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 surplus" sheetId="1" state="visible" r:id="rId1"/>
    <sheet name="P surplus" sheetId="2" state="visible" r:id="rId2"/>
    <sheet name="Blue water consumption" sheetId="3" state="visible" r:id="rId3"/>
    <sheet name="Cropland use" sheetId="4" state="visible" r:id="rId4"/>
    <sheet name="GHG emissions" sheetId="5" state="visible" r:id="rId5"/>
    <sheet name="Biodiversity loss - PDF" sheetId="6" state="visible" r:id="rId6"/>
    <sheet name="Biodiversity loss - HANPP" sheetId="7" state="visible" r:id="rId7"/>
    <sheet name="Raw material consump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Trier secteurs et catégories par (ordre décroissant) :</t>
        </is>
      </c>
      <c r="B1" s="2" t="inlineStr">
        <is>
          <t>M_imp*Y_dom+M_dom*Y_dom+M_row*Y_imp</t>
        </is>
      </c>
    </row>
    <row r="3">
      <c r="A3" s="1" t="inlineStr">
        <is>
          <t>N surplus</t>
        </is>
      </c>
      <c r="B3" s="1">
        <f>INDEX($B$17:$GQ$17,MATCH(1,$B$29:$GQ$29,0))</f>
        <v/>
      </c>
      <c r="C3" s="1">
        <f>INDEX($B$17:$GQ$17,MATCH(2,$B$29:$GQ$29,0))</f>
        <v/>
      </c>
      <c r="D3" s="1">
        <f>INDEX($B$17:$GQ$17,MATCH(3,$B$29:$GQ$29,0))</f>
        <v/>
      </c>
      <c r="E3" s="1">
        <f>INDEX($B$17:$GQ$17,MATCH(4,$B$29:$GQ$29,0))</f>
        <v/>
      </c>
      <c r="F3" s="1">
        <f>INDEX($B$17:$GQ$17,MATCH(5,$B$29:$GQ$29,0))</f>
        <v/>
      </c>
      <c r="G3" s="1">
        <f>INDEX($B$17:$GQ$17,MATCH(6,$B$29:$GQ$29,0))</f>
        <v/>
      </c>
      <c r="H3" s="1">
        <f>INDEX($B$17:$GQ$17,MATCH(7,$B$29:$GQ$29,0))</f>
        <v/>
      </c>
      <c r="I3" s="1">
        <f>INDEX($B$17:$GQ$17,MATCH(8,$B$29:$GQ$29,0))</f>
        <v/>
      </c>
      <c r="J3" s="1">
        <f>INDEX($B$17:$GQ$17,MATCH(9,$B$29:$GQ$29,0))</f>
        <v/>
      </c>
      <c r="K3" s="1">
        <f>INDEX($B$17:$GQ$17,MATCH(10,$B$29:$GQ$29,0))</f>
        <v/>
      </c>
      <c r="L3" s="1">
        <f>INDEX($B$17:$GQ$17,MATCH(11,$B$29:$GQ$29,0))</f>
        <v/>
      </c>
      <c r="M3" s="1">
        <f>INDEX($B$17:$GQ$17,MATCH(12,$B$29:$GQ$29,0))</f>
        <v/>
      </c>
      <c r="N3" s="1">
        <f>INDEX($B$17:$GQ$17,MATCH(13,$B$29:$GQ$29,0))</f>
        <v/>
      </c>
      <c r="O3" s="1">
        <f>INDEX($B$17:$GQ$17,MATCH(14,$B$29:$GQ$29,0))</f>
        <v/>
      </c>
      <c r="P3" s="1">
        <f>INDEX($B$17:$GQ$17,MATCH(15,$B$29:$GQ$29,0))</f>
        <v/>
      </c>
      <c r="Q3" s="1">
        <f>INDEX($B$17:$GQ$17,MATCH(16,$B$29:$GQ$29,0))</f>
        <v/>
      </c>
      <c r="R3" s="1">
        <f>INDEX($B$17:$GQ$17,MATCH(17,$B$29:$GQ$29,0))</f>
        <v/>
      </c>
      <c r="S3" s="1">
        <f>INDEX($B$17:$GQ$17,MATCH(18,$B$29:$GQ$29,0))</f>
        <v/>
      </c>
      <c r="T3" s="1">
        <f>INDEX($B$17:$GQ$17,MATCH(19,$B$29:$GQ$29,0))</f>
        <v/>
      </c>
      <c r="U3" s="1">
        <f>INDEX($B$17:$GQ$17,MATCH(20,$B$29:$GQ$29,0))</f>
        <v/>
      </c>
      <c r="V3" s="1">
        <f>INDEX($B$17:$GQ$17,MATCH(21,$B$29:$GQ$29,0))</f>
        <v/>
      </c>
      <c r="W3" s="1">
        <f>INDEX($B$17:$GQ$17,MATCH(22,$B$29:$GQ$29,0))</f>
        <v/>
      </c>
      <c r="X3" s="1">
        <f>INDEX($B$17:$GQ$17,MATCH(23,$B$29:$GQ$29,0))</f>
        <v/>
      </c>
      <c r="Y3" s="1">
        <f>INDEX($B$17:$GQ$17,MATCH(24,$B$29:$GQ$29,0))</f>
        <v/>
      </c>
      <c r="Z3" s="1">
        <f>INDEX($B$17:$GQ$17,MATCH(25,$B$29:$GQ$29,0))</f>
        <v/>
      </c>
      <c r="AA3" s="1">
        <f>INDEX($B$17:$GQ$17,MATCH(26,$B$29:$GQ$29,0))</f>
        <v/>
      </c>
      <c r="AB3" s="1">
        <f>INDEX($B$17:$GQ$17,MATCH(27,$B$29:$GQ$29,0))</f>
        <v/>
      </c>
      <c r="AC3" s="1">
        <f>INDEX($B$17:$GQ$17,MATCH(28,$B$29:$GQ$29,0))</f>
        <v/>
      </c>
      <c r="AD3" s="1">
        <f>INDEX($B$17:$GQ$17,MATCH(29,$B$29:$GQ$29,0))</f>
        <v/>
      </c>
      <c r="AE3" s="1">
        <f>INDEX($B$17:$GQ$17,MATCH(30,$B$29:$GQ$29,0))</f>
        <v/>
      </c>
      <c r="AF3" s="1">
        <f>INDEX($B$17:$GQ$17,MATCH(31,$B$29:$GQ$29,0))</f>
        <v/>
      </c>
      <c r="AG3" s="1">
        <f>INDEX($B$17:$GQ$17,MATCH(32,$B$29:$GQ$29,0))</f>
        <v/>
      </c>
      <c r="AH3" s="1">
        <f>INDEX($B$17:$GQ$17,MATCH(33,$B$29:$GQ$29,0))</f>
        <v/>
      </c>
      <c r="AI3" s="1">
        <f>INDEX($B$17:$GQ$17,MATCH(34,$B$29:$GQ$29,0))</f>
        <v/>
      </c>
      <c r="AJ3" s="1">
        <f>INDEX($B$17:$GQ$17,MATCH(35,$B$29:$GQ$29,0))</f>
        <v/>
      </c>
      <c r="AK3" s="1">
        <f>INDEX($B$17:$GQ$17,MATCH(36,$B$29:$GQ$29,0))</f>
        <v/>
      </c>
      <c r="AL3" s="1">
        <f>INDEX($B$17:$GQ$17,MATCH(37,$B$29:$GQ$29,0))</f>
        <v/>
      </c>
      <c r="AM3" s="1">
        <f>INDEX($B$17:$GQ$17,MATCH(38,$B$29:$GQ$29,0))</f>
        <v/>
      </c>
      <c r="AN3" s="1">
        <f>INDEX($B$17:$GQ$17,MATCH(39,$B$29:$GQ$29,0))</f>
        <v/>
      </c>
      <c r="AO3" s="1">
        <f>INDEX($B$17:$GQ$17,MATCH(40,$B$29:$GQ$29,0))</f>
        <v/>
      </c>
      <c r="AP3" s="1">
        <f>INDEX($B$17:$GQ$17,MATCH(41,$B$29:$GQ$29,0))</f>
        <v/>
      </c>
      <c r="AQ3" s="1">
        <f>INDEX($B$17:$GQ$17,MATCH(42,$B$29:$GQ$29,0))</f>
        <v/>
      </c>
      <c r="AR3" s="1">
        <f>INDEX($B$17:$GQ$17,MATCH(43,$B$29:$GQ$29,0))</f>
        <v/>
      </c>
      <c r="AS3" s="1">
        <f>INDEX($B$17:$GQ$17,MATCH(44,$B$29:$GQ$29,0))</f>
        <v/>
      </c>
      <c r="AT3" s="1">
        <f>INDEX($B$17:$GQ$17,MATCH(45,$B$29:$GQ$29,0))</f>
        <v/>
      </c>
      <c r="AU3" s="1">
        <f>INDEX($B$17:$GQ$17,MATCH(46,$B$29:$GQ$29,0))</f>
        <v/>
      </c>
      <c r="AV3" s="1">
        <f>INDEX($B$17:$GQ$17,MATCH(47,$B$29:$GQ$29,0))</f>
        <v/>
      </c>
      <c r="AW3" s="1">
        <f>INDEX($B$17:$GQ$17,MATCH(48,$B$29:$GQ$29,0))</f>
        <v/>
      </c>
      <c r="AX3" s="1">
        <f>INDEX($B$17:$GQ$17,MATCH(49,$B$29:$GQ$29,0))</f>
        <v/>
      </c>
      <c r="AY3" s="1">
        <f>INDEX($B$17:$GQ$17,MATCH(50,$B$29:$GQ$29,0))</f>
        <v/>
      </c>
      <c r="AZ3" s="1">
        <f>INDEX($B$17:$GQ$17,MATCH(51,$B$29:$GQ$29,0))</f>
        <v/>
      </c>
      <c r="BA3" s="1">
        <f>INDEX($B$17:$GQ$17,MATCH(52,$B$29:$GQ$29,0))</f>
        <v/>
      </c>
      <c r="BB3" s="1">
        <f>INDEX($B$17:$GQ$17,MATCH(53,$B$29:$GQ$29,0))</f>
        <v/>
      </c>
      <c r="BC3" s="1">
        <f>INDEX($B$17:$GQ$17,MATCH(54,$B$29:$GQ$29,0))</f>
        <v/>
      </c>
      <c r="BD3" s="1">
        <f>INDEX($B$17:$GQ$17,MATCH(55,$B$29:$GQ$29,0))</f>
        <v/>
      </c>
      <c r="BE3" s="1">
        <f>INDEX($B$17:$GQ$17,MATCH(56,$B$29:$GQ$29,0))</f>
        <v/>
      </c>
      <c r="BF3" s="1">
        <f>INDEX($B$17:$GQ$17,MATCH(57,$B$29:$GQ$29,0))</f>
        <v/>
      </c>
      <c r="BG3" s="1">
        <f>INDEX($B$17:$GQ$17,MATCH(58,$B$29:$GQ$29,0))</f>
        <v/>
      </c>
      <c r="BH3" s="1">
        <f>INDEX($B$17:$GQ$17,MATCH(59,$B$29:$GQ$29,0))</f>
        <v/>
      </c>
      <c r="BI3" s="1">
        <f>INDEX($B$17:$GQ$17,MATCH(60,$B$29:$GQ$29,0))</f>
        <v/>
      </c>
      <c r="BJ3" s="1">
        <f>INDEX($B$17:$GQ$17,MATCH(61,$B$29:$GQ$29,0))</f>
        <v/>
      </c>
      <c r="BK3" s="1">
        <f>INDEX($B$17:$GQ$17,MATCH(62,$B$29:$GQ$29,0))</f>
        <v/>
      </c>
      <c r="BL3" s="1">
        <f>INDEX($B$17:$GQ$17,MATCH(63,$B$29:$GQ$29,0))</f>
        <v/>
      </c>
      <c r="BM3" s="1">
        <f>INDEX($B$17:$GQ$17,MATCH(64,$B$29:$GQ$29,0))</f>
        <v/>
      </c>
      <c r="BN3" s="1">
        <f>INDEX($B$17:$GQ$17,MATCH(65,$B$29:$GQ$29,0))</f>
        <v/>
      </c>
      <c r="BO3" s="1">
        <f>INDEX($B$17:$GQ$17,MATCH(66,$B$29:$GQ$29,0))</f>
        <v/>
      </c>
      <c r="BP3" s="1">
        <f>INDEX($B$17:$GQ$17,MATCH(67,$B$29:$GQ$29,0))</f>
        <v/>
      </c>
      <c r="BQ3" s="1">
        <f>INDEX($B$17:$GQ$17,MATCH(68,$B$29:$GQ$29,0))</f>
        <v/>
      </c>
      <c r="BR3" s="1">
        <f>INDEX($B$17:$GQ$17,MATCH(69,$B$29:$GQ$29,0))</f>
        <v/>
      </c>
      <c r="BS3" s="1">
        <f>INDEX($B$17:$GQ$17,MATCH(70,$B$29:$GQ$29,0))</f>
        <v/>
      </c>
      <c r="BT3" s="1">
        <f>INDEX($B$17:$GQ$17,MATCH(71,$B$29:$GQ$29,0))</f>
        <v/>
      </c>
      <c r="BU3" s="1">
        <f>INDEX($B$17:$GQ$17,MATCH(72,$B$29:$GQ$29,0))</f>
        <v/>
      </c>
      <c r="BV3" s="1">
        <f>INDEX($B$17:$GQ$17,MATCH(73,$B$29:$GQ$29,0))</f>
        <v/>
      </c>
      <c r="BW3" s="1">
        <f>INDEX($B$17:$GQ$17,MATCH(74,$B$29:$GQ$29,0))</f>
        <v/>
      </c>
      <c r="BX3" s="1">
        <f>INDEX($B$17:$GQ$17,MATCH(75,$B$29:$GQ$29,0))</f>
        <v/>
      </c>
      <c r="BY3" s="1">
        <f>INDEX($B$17:$GQ$17,MATCH(76,$B$29:$GQ$29,0))</f>
        <v/>
      </c>
      <c r="BZ3" s="1">
        <f>INDEX($B$17:$GQ$17,MATCH(77,$B$29:$GQ$29,0))</f>
        <v/>
      </c>
      <c r="CA3" s="1">
        <f>INDEX($B$17:$GQ$17,MATCH(78,$B$29:$GQ$29,0))</f>
        <v/>
      </c>
      <c r="CB3" s="1">
        <f>INDEX($B$17:$GQ$17,MATCH(79,$B$29:$GQ$29,0))</f>
        <v/>
      </c>
      <c r="CC3" s="1">
        <f>INDEX($B$17:$GQ$17,MATCH(80,$B$29:$GQ$29,0))</f>
        <v/>
      </c>
      <c r="CD3" s="1">
        <f>INDEX($B$17:$GQ$17,MATCH(81,$B$29:$GQ$29,0))</f>
        <v/>
      </c>
      <c r="CE3" s="1">
        <f>INDEX($B$17:$GQ$17,MATCH(82,$B$29:$GQ$29,0))</f>
        <v/>
      </c>
      <c r="CF3" s="1">
        <f>INDEX($B$17:$GQ$17,MATCH(83,$B$29:$GQ$29,0))</f>
        <v/>
      </c>
      <c r="CG3" s="1">
        <f>INDEX($B$17:$GQ$17,MATCH(84,$B$29:$GQ$29,0))</f>
        <v/>
      </c>
      <c r="CH3" s="1">
        <f>INDEX($B$17:$GQ$17,MATCH(85,$B$29:$GQ$29,0))</f>
        <v/>
      </c>
      <c r="CI3" s="1">
        <f>INDEX($B$17:$GQ$17,MATCH(86,$B$29:$GQ$29,0))</f>
        <v/>
      </c>
      <c r="CJ3" s="1">
        <f>INDEX($B$17:$GQ$17,MATCH(87,$B$29:$GQ$29,0))</f>
        <v/>
      </c>
      <c r="CK3" s="1">
        <f>INDEX($B$17:$GQ$17,MATCH(88,$B$29:$GQ$29,0))</f>
        <v/>
      </c>
      <c r="CL3" s="1">
        <f>INDEX($B$17:$GQ$17,MATCH(89,$B$29:$GQ$29,0))</f>
        <v/>
      </c>
      <c r="CM3" s="1">
        <f>INDEX($B$17:$GQ$17,MATCH(90,$B$29:$GQ$29,0))</f>
        <v/>
      </c>
      <c r="CN3" s="1">
        <f>INDEX($B$17:$GQ$17,MATCH(91,$B$29:$GQ$29,0))</f>
        <v/>
      </c>
      <c r="CO3" s="1">
        <f>INDEX($B$17:$GQ$17,MATCH(92,$B$29:$GQ$29,0))</f>
        <v/>
      </c>
      <c r="CP3" s="1">
        <f>INDEX($B$17:$GQ$17,MATCH(93,$B$29:$GQ$29,0))</f>
        <v/>
      </c>
      <c r="CQ3" s="1">
        <f>INDEX($B$17:$GQ$17,MATCH(94,$B$29:$GQ$29,0))</f>
        <v/>
      </c>
      <c r="CR3" s="1">
        <f>INDEX($B$17:$GQ$17,MATCH(95,$B$29:$GQ$29,0))</f>
        <v/>
      </c>
      <c r="CS3" s="1">
        <f>INDEX($B$17:$GQ$17,MATCH(96,$B$29:$GQ$29,0))</f>
        <v/>
      </c>
      <c r="CT3" s="1">
        <f>INDEX($B$17:$GQ$17,MATCH(97,$B$29:$GQ$29,0))</f>
        <v/>
      </c>
      <c r="CU3" s="1">
        <f>INDEX($B$17:$GQ$17,MATCH(98,$B$29:$GQ$29,0))</f>
        <v/>
      </c>
      <c r="CV3" s="1">
        <f>INDEX($B$17:$GQ$17,MATCH(99,$B$29:$GQ$29,0))</f>
        <v/>
      </c>
      <c r="CW3" s="1">
        <f>INDEX($B$17:$GQ$17,MATCH(100,$B$29:$GQ$29,0))</f>
        <v/>
      </c>
      <c r="CX3" s="1">
        <f>INDEX($B$17:$GQ$17,MATCH(101,$B$29:$GQ$29,0))</f>
        <v/>
      </c>
      <c r="CY3" s="1">
        <f>INDEX($B$17:$GQ$17,MATCH(102,$B$29:$GQ$29,0))</f>
        <v/>
      </c>
      <c r="CZ3" s="1">
        <f>INDEX($B$17:$GQ$17,MATCH(103,$B$29:$GQ$29,0))</f>
        <v/>
      </c>
      <c r="DA3" s="1">
        <f>INDEX($B$17:$GQ$17,MATCH(104,$B$29:$GQ$29,0))</f>
        <v/>
      </c>
      <c r="DB3" s="1">
        <f>INDEX($B$17:$GQ$17,MATCH(105,$B$29:$GQ$29,0))</f>
        <v/>
      </c>
      <c r="DC3" s="1">
        <f>INDEX($B$17:$GQ$17,MATCH(106,$B$29:$GQ$29,0))</f>
        <v/>
      </c>
      <c r="DD3" s="1">
        <f>INDEX($B$17:$GQ$17,MATCH(107,$B$29:$GQ$29,0))</f>
        <v/>
      </c>
      <c r="DE3" s="1">
        <f>INDEX($B$17:$GQ$17,MATCH(108,$B$29:$GQ$29,0))</f>
        <v/>
      </c>
      <c r="DF3" s="1">
        <f>INDEX($B$17:$GQ$17,MATCH(109,$B$29:$GQ$29,0))</f>
        <v/>
      </c>
      <c r="DG3" s="1">
        <f>INDEX($B$17:$GQ$17,MATCH(110,$B$29:$GQ$29,0))</f>
        <v/>
      </c>
      <c r="DH3" s="1">
        <f>INDEX($B$17:$GQ$17,MATCH(111,$B$29:$GQ$29,0))</f>
        <v/>
      </c>
      <c r="DI3" s="1">
        <f>INDEX($B$17:$GQ$17,MATCH(112,$B$29:$GQ$29,0))</f>
        <v/>
      </c>
      <c r="DJ3" s="1">
        <f>INDEX($B$17:$GQ$17,MATCH(113,$B$29:$GQ$29,0))</f>
        <v/>
      </c>
      <c r="DK3" s="1">
        <f>INDEX($B$17:$GQ$17,MATCH(114,$B$29:$GQ$29,0))</f>
        <v/>
      </c>
      <c r="DL3" s="1">
        <f>INDEX($B$17:$GQ$17,MATCH(115,$B$29:$GQ$29,0))</f>
        <v/>
      </c>
      <c r="DM3" s="1">
        <f>INDEX($B$17:$GQ$17,MATCH(116,$B$29:$GQ$29,0))</f>
        <v/>
      </c>
      <c r="DN3" s="1">
        <f>INDEX($B$17:$GQ$17,MATCH(117,$B$29:$GQ$29,0))</f>
        <v/>
      </c>
      <c r="DO3" s="1">
        <f>INDEX($B$17:$GQ$17,MATCH(118,$B$29:$GQ$29,0))</f>
        <v/>
      </c>
      <c r="DP3" s="1">
        <f>INDEX($B$17:$GQ$17,MATCH(119,$B$29:$GQ$29,0))</f>
        <v/>
      </c>
      <c r="DQ3" s="1">
        <f>INDEX($B$17:$GQ$17,MATCH(120,$B$29:$GQ$29,0))</f>
        <v/>
      </c>
      <c r="DR3" s="1">
        <f>INDEX($B$17:$GQ$17,MATCH(121,$B$29:$GQ$29,0))</f>
        <v/>
      </c>
      <c r="DS3" s="1">
        <f>INDEX($B$17:$GQ$17,MATCH(122,$B$29:$GQ$29,0))</f>
        <v/>
      </c>
      <c r="DT3" s="1">
        <f>INDEX($B$17:$GQ$17,MATCH(123,$B$29:$GQ$29,0))</f>
        <v/>
      </c>
      <c r="DU3" s="1">
        <f>INDEX($B$17:$GQ$17,MATCH(124,$B$29:$GQ$29,0))</f>
        <v/>
      </c>
      <c r="DV3" s="1">
        <f>INDEX($B$17:$GQ$17,MATCH(125,$B$29:$GQ$29,0))</f>
        <v/>
      </c>
      <c r="DW3" s="1">
        <f>INDEX($B$17:$GQ$17,MATCH(126,$B$29:$GQ$29,0))</f>
        <v/>
      </c>
      <c r="DX3" s="1">
        <f>INDEX($B$17:$GQ$17,MATCH(127,$B$29:$GQ$29,0))</f>
        <v/>
      </c>
      <c r="DY3" s="1">
        <f>INDEX($B$17:$GQ$17,MATCH(128,$B$29:$GQ$29,0))</f>
        <v/>
      </c>
      <c r="DZ3" s="1">
        <f>INDEX($B$17:$GQ$17,MATCH(129,$B$29:$GQ$29,0))</f>
        <v/>
      </c>
      <c r="EA3" s="1">
        <f>INDEX($B$17:$GQ$17,MATCH(130,$B$29:$GQ$29,0))</f>
        <v/>
      </c>
      <c r="EB3" s="1">
        <f>INDEX($B$17:$GQ$17,MATCH(131,$B$29:$GQ$29,0))</f>
        <v/>
      </c>
      <c r="EC3" s="1">
        <f>INDEX($B$17:$GQ$17,MATCH(132,$B$29:$GQ$29,0))</f>
        <v/>
      </c>
      <c r="ED3" s="1">
        <f>INDEX($B$17:$GQ$17,MATCH(133,$B$29:$GQ$29,0))</f>
        <v/>
      </c>
      <c r="EE3" s="1">
        <f>INDEX($B$17:$GQ$17,MATCH(134,$B$29:$GQ$29,0))</f>
        <v/>
      </c>
      <c r="EF3" s="1">
        <f>INDEX($B$17:$GQ$17,MATCH(135,$B$29:$GQ$29,0))</f>
        <v/>
      </c>
      <c r="EG3" s="1">
        <f>INDEX($B$17:$GQ$17,MATCH(136,$B$29:$GQ$29,0))</f>
        <v/>
      </c>
      <c r="EH3" s="1">
        <f>INDEX($B$17:$GQ$17,MATCH(137,$B$29:$GQ$29,0))</f>
        <v/>
      </c>
      <c r="EI3" s="1">
        <f>INDEX($B$17:$GQ$17,MATCH(138,$B$29:$GQ$29,0))</f>
        <v/>
      </c>
      <c r="EJ3" s="1">
        <f>INDEX($B$17:$GQ$17,MATCH(139,$B$29:$GQ$29,0))</f>
        <v/>
      </c>
      <c r="EK3" s="1">
        <f>INDEX($B$17:$GQ$17,MATCH(140,$B$29:$GQ$29,0))</f>
        <v/>
      </c>
      <c r="EL3" s="1">
        <f>INDEX($B$17:$GQ$17,MATCH(141,$B$29:$GQ$29,0))</f>
        <v/>
      </c>
      <c r="EM3" s="1">
        <f>INDEX($B$17:$GQ$17,MATCH(142,$B$29:$GQ$29,0))</f>
        <v/>
      </c>
      <c r="EN3" s="1">
        <f>INDEX($B$17:$GQ$17,MATCH(143,$B$29:$GQ$29,0))</f>
        <v/>
      </c>
      <c r="EO3" s="1">
        <f>INDEX($B$17:$GQ$17,MATCH(144,$B$29:$GQ$29,0))</f>
        <v/>
      </c>
      <c r="EP3" s="1">
        <f>INDEX($B$17:$GQ$17,MATCH(145,$B$29:$GQ$29,0))</f>
        <v/>
      </c>
      <c r="EQ3" s="1">
        <f>INDEX($B$17:$GQ$17,MATCH(146,$B$29:$GQ$29,0))</f>
        <v/>
      </c>
      <c r="ER3" s="1">
        <f>INDEX($B$17:$GQ$17,MATCH(147,$B$29:$GQ$29,0))</f>
        <v/>
      </c>
      <c r="ES3" s="1">
        <f>INDEX($B$17:$GQ$17,MATCH(148,$B$29:$GQ$29,0))</f>
        <v/>
      </c>
      <c r="ET3" s="1">
        <f>INDEX($B$17:$GQ$17,MATCH(149,$B$29:$GQ$29,0))</f>
        <v/>
      </c>
      <c r="EU3" s="1">
        <f>INDEX($B$17:$GQ$17,MATCH(150,$B$29:$GQ$29,0))</f>
        <v/>
      </c>
      <c r="EV3" s="1">
        <f>INDEX($B$17:$GQ$17,MATCH(151,$B$29:$GQ$29,0))</f>
        <v/>
      </c>
      <c r="EW3" s="1">
        <f>INDEX($B$17:$GQ$17,MATCH(152,$B$29:$GQ$29,0))</f>
        <v/>
      </c>
      <c r="EX3" s="1">
        <f>INDEX($B$17:$GQ$17,MATCH(153,$B$29:$GQ$29,0))</f>
        <v/>
      </c>
      <c r="EY3" s="1">
        <f>INDEX($B$17:$GQ$17,MATCH(154,$B$29:$GQ$29,0))</f>
        <v/>
      </c>
      <c r="EZ3" s="1">
        <f>INDEX($B$17:$GQ$17,MATCH(155,$B$29:$GQ$29,0))</f>
        <v/>
      </c>
      <c r="FA3" s="1">
        <f>INDEX($B$17:$GQ$17,MATCH(156,$B$29:$GQ$29,0))</f>
        <v/>
      </c>
      <c r="FB3" s="1">
        <f>INDEX($B$17:$GQ$17,MATCH(157,$B$29:$GQ$29,0))</f>
        <v/>
      </c>
      <c r="FC3" s="1">
        <f>INDEX($B$17:$GQ$17,MATCH(158,$B$29:$GQ$29,0))</f>
        <v/>
      </c>
      <c r="FD3" s="1">
        <f>INDEX($B$17:$GQ$17,MATCH(159,$B$29:$GQ$29,0))</f>
        <v/>
      </c>
      <c r="FE3" s="1">
        <f>INDEX($B$17:$GQ$17,MATCH(160,$B$29:$GQ$29,0))</f>
        <v/>
      </c>
      <c r="FF3" s="1">
        <f>INDEX($B$17:$GQ$17,MATCH(161,$B$29:$GQ$29,0))</f>
        <v/>
      </c>
      <c r="FG3" s="1">
        <f>INDEX($B$17:$GQ$17,MATCH(162,$B$29:$GQ$29,0))</f>
        <v/>
      </c>
      <c r="FH3" s="1">
        <f>INDEX($B$17:$GQ$17,MATCH(163,$B$29:$GQ$29,0))</f>
        <v/>
      </c>
      <c r="FI3" s="1">
        <f>INDEX($B$17:$GQ$17,MATCH(164,$B$29:$GQ$29,0))</f>
        <v/>
      </c>
      <c r="FJ3" s="1">
        <f>INDEX($B$17:$GQ$17,MATCH(165,$B$29:$GQ$29,0))</f>
        <v/>
      </c>
      <c r="FK3" s="1">
        <f>INDEX($B$17:$GQ$17,MATCH(166,$B$29:$GQ$29,0))</f>
        <v/>
      </c>
      <c r="FL3" s="1">
        <f>INDEX($B$17:$GQ$17,MATCH(167,$B$29:$GQ$29,0))</f>
        <v/>
      </c>
      <c r="FM3" s="1">
        <f>INDEX($B$17:$GQ$17,MATCH(168,$B$29:$GQ$29,0))</f>
        <v/>
      </c>
      <c r="FN3" s="1">
        <f>INDEX($B$17:$GQ$17,MATCH(169,$B$29:$GQ$29,0))</f>
        <v/>
      </c>
      <c r="FO3" s="1">
        <f>INDEX($B$17:$GQ$17,MATCH(170,$B$29:$GQ$29,0))</f>
        <v/>
      </c>
      <c r="FP3" s="1">
        <f>INDEX($B$17:$GQ$17,MATCH(171,$B$29:$GQ$29,0))</f>
        <v/>
      </c>
      <c r="FQ3" s="1">
        <f>INDEX($B$17:$GQ$17,MATCH(172,$B$29:$GQ$29,0))</f>
        <v/>
      </c>
      <c r="FR3" s="1">
        <f>INDEX($B$17:$GQ$17,MATCH(173,$B$29:$GQ$29,0))</f>
        <v/>
      </c>
      <c r="FS3" s="1">
        <f>INDEX($B$17:$GQ$17,MATCH(174,$B$29:$GQ$29,0))</f>
        <v/>
      </c>
      <c r="FT3" s="1">
        <f>INDEX($B$17:$GQ$17,MATCH(175,$B$29:$GQ$29,0))</f>
        <v/>
      </c>
      <c r="FU3" s="1">
        <f>INDEX($B$17:$GQ$17,MATCH(176,$B$29:$GQ$29,0))</f>
        <v/>
      </c>
      <c r="FV3" s="1">
        <f>INDEX($B$17:$GQ$17,MATCH(177,$B$29:$GQ$29,0))</f>
        <v/>
      </c>
      <c r="FW3" s="1">
        <f>INDEX($B$17:$GQ$17,MATCH(178,$B$29:$GQ$29,0))</f>
        <v/>
      </c>
      <c r="FX3" s="1">
        <f>INDEX($B$17:$GQ$17,MATCH(179,$B$29:$GQ$29,0))</f>
        <v/>
      </c>
      <c r="FY3" s="1">
        <f>INDEX($B$17:$GQ$17,MATCH(180,$B$29:$GQ$29,0))</f>
        <v/>
      </c>
      <c r="FZ3" s="1">
        <f>INDEX($B$17:$GQ$17,MATCH(181,$B$29:$GQ$29,0))</f>
        <v/>
      </c>
      <c r="GA3" s="1">
        <f>INDEX($B$17:$GQ$17,MATCH(182,$B$29:$GQ$29,0))</f>
        <v/>
      </c>
      <c r="GB3" s="1">
        <f>INDEX($B$17:$GQ$17,MATCH(183,$B$29:$GQ$29,0))</f>
        <v/>
      </c>
      <c r="GC3" s="1">
        <f>INDEX($B$17:$GQ$17,MATCH(184,$B$29:$GQ$29,0))</f>
        <v/>
      </c>
      <c r="GD3" s="1">
        <f>INDEX($B$17:$GQ$17,MATCH(185,$B$29:$GQ$29,0))</f>
        <v/>
      </c>
      <c r="GE3" s="1">
        <f>INDEX($B$17:$GQ$17,MATCH(186,$B$29:$GQ$29,0))</f>
        <v/>
      </c>
      <c r="GF3" s="1">
        <f>INDEX($B$17:$GQ$17,MATCH(187,$B$29:$GQ$29,0))</f>
        <v/>
      </c>
      <c r="GG3" s="1">
        <f>INDEX($B$17:$GQ$17,MATCH(188,$B$29:$GQ$29,0))</f>
        <v/>
      </c>
      <c r="GH3" s="1">
        <f>INDEX($B$17:$GQ$17,MATCH(189,$B$29:$GQ$29,0))</f>
        <v/>
      </c>
      <c r="GI3" s="1">
        <f>INDEX($B$17:$GQ$17,MATCH(190,$B$29:$GQ$29,0))</f>
        <v/>
      </c>
      <c r="GJ3" s="1">
        <f>INDEX($B$17:$GQ$17,MATCH(191,$B$29:$GQ$29,0))</f>
        <v/>
      </c>
      <c r="GK3" s="1">
        <f>INDEX($B$17:$GQ$17,MATCH(192,$B$29:$GQ$29,0))</f>
        <v/>
      </c>
      <c r="GL3" s="1">
        <f>INDEX($B$17:$GQ$17,MATCH(193,$B$29:$GQ$29,0))</f>
        <v/>
      </c>
      <c r="GM3" s="1">
        <f>INDEX($B$17:$GQ$17,MATCH(194,$B$29:$GQ$29,0))</f>
        <v/>
      </c>
      <c r="GN3" s="1">
        <f>INDEX($B$17:$GQ$17,MATCH(195,$B$29:$GQ$29,0))</f>
        <v/>
      </c>
      <c r="GO3" s="1">
        <f>INDEX($B$17:$GQ$17,MATCH(196,$B$29:$GQ$29,0))</f>
        <v/>
      </c>
      <c r="GP3" s="1">
        <f>INDEX($B$17:$GQ$17,MATCH(197,$B$29:$GQ$29,0))</f>
        <v/>
      </c>
      <c r="GQ3" s="1">
        <f>INDEX($B$17:$GQ$17,MATCH(198,$B$29:$GQ$29,0))</f>
        <v/>
      </c>
      <c r="GR3" s="1">
        <f>INDEX($GR$17:$HC$17,MATCH(1,$GR$30:$HC$30,0))</f>
        <v/>
      </c>
      <c r="GS3" s="1">
        <f>INDEX($GR$17:$HC$17,MATCH(2,$GR$30:$HC$30,0))</f>
        <v/>
      </c>
      <c r="GT3" s="1">
        <f>INDEX($GR$17:$HC$17,MATCH(3,$GR$30:$HC$30,0))</f>
        <v/>
      </c>
      <c r="GU3" s="1">
        <f>INDEX($GR$17:$HC$17,MATCH(4,$GR$30:$HC$30,0))</f>
        <v/>
      </c>
      <c r="GV3" s="1">
        <f>INDEX($GR$17:$HC$17,MATCH(5,$GR$30:$HC$30,0))</f>
        <v/>
      </c>
      <c r="GW3" s="1">
        <f>INDEX($GR$17:$HC$17,MATCH(6,$GR$30:$HC$30,0))</f>
        <v/>
      </c>
      <c r="GX3" s="1">
        <f>INDEX($GR$17:$HC$17,MATCH(7,$GR$30:$HC$30,0))</f>
        <v/>
      </c>
      <c r="GY3" s="1">
        <f>INDEX($GR$17:$HC$17,MATCH(8,$GR$30:$HC$30,0))</f>
        <v/>
      </c>
      <c r="GZ3" s="1">
        <f>INDEX($GR$17:$HC$17,MATCH(9,$GR$30:$HC$30,0))</f>
        <v/>
      </c>
      <c r="HA3" s="1">
        <f>INDEX($GR$17:$HC$17,MATCH(10,$GR$30:$HC$30,0))</f>
        <v/>
      </c>
      <c r="HB3" s="1">
        <f>INDEX($GR$17:$HC$17,MATCH(11,$GR$30:$HC$30,0))</f>
        <v/>
      </c>
      <c r="HC3" s="1">
        <f>INDEX($GR$17:$HC$17,MATCH(12,$GR$30:$HC$30,0))</f>
        <v/>
      </c>
    </row>
    <row r="4">
      <c r="A4" s="1" t="inlineStr">
        <is>
          <t>M_imp</t>
        </is>
      </c>
      <c r="B4">
        <f>INDEX($B$18:$GQ$18,MATCH(1,$B$29:$GQ$29,0))</f>
        <v/>
      </c>
      <c r="C4">
        <f>INDEX($B$18:$GQ$18,MATCH(2,$B$29:$GQ$29,0))</f>
        <v/>
      </c>
      <c r="D4">
        <f>INDEX($B$18:$GQ$18,MATCH(3,$B$29:$GQ$29,0))</f>
        <v/>
      </c>
      <c r="E4">
        <f>INDEX($B$18:$GQ$18,MATCH(4,$B$29:$GQ$29,0))</f>
        <v/>
      </c>
      <c r="F4">
        <f>INDEX($B$18:$GQ$18,MATCH(5,$B$29:$GQ$29,0))</f>
        <v/>
      </c>
      <c r="G4">
        <f>INDEX($B$18:$GQ$18,MATCH(6,$B$29:$GQ$29,0))</f>
        <v/>
      </c>
      <c r="H4">
        <f>INDEX($B$18:$GQ$18,MATCH(7,$B$29:$GQ$29,0))</f>
        <v/>
      </c>
      <c r="I4">
        <f>INDEX($B$18:$GQ$18,MATCH(8,$B$29:$GQ$29,0))</f>
        <v/>
      </c>
      <c r="J4">
        <f>INDEX($B$18:$GQ$18,MATCH(9,$B$29:$GQ$29,0))</f>
        <v/>
      </c>
      <c r="K4">
        <f>INDEX($B$18:$GQ$18,MATCH(10,$B$29:$GQ$29,0))</f>
        <v/>
      </c>
      <c r="L4">
        <f>INDEX($B$18:$GQ$18,MATCH(11,$B$29:$GQ$29,0))</f>
        <v/>
      </c>
      <c r="M4">
        <f>INDEX($B$18:$GQ$18,MATCH(12,$B$29:$GQ$29,0))</f>
        <v/>
      </c>
      <c r="N4">
        <f>INDEX($B$18:$GQ$18,MATCH(13,$B$29:$GQ$29,0))</f>
        <v/>
      </c>
      <c r="O4">
        <f>INDEX($B$18:$GQ$18,MATCH(14,$B$29:$GQ$29,0))</f>
        <v/>
      </c>
      <c r="P4">
        <f>INDEX($B$18:$GQ$18,MATCH(15,$B$29:$GQ$29,0))</f>
        <v/>
      </c>
      <c r="Q4">
        <f>INDEX($B$18:$GQ$18,MATCH(16,$B$29:$GQ$29,0))</f>
        <v/>
      </c>
      <c r="R4">
        <f>INDEX($B$18:$GQ$18,MATCH(17,$B$29:$GQ$29,0))</f>
        <v/>
      </c>
      <c r="S4">
        <f>INDEX($B$18:$GQ$18,MATCH(18,$B$29:$GQ$29,0))</f>
        <v/>
      </c>
      <c r="T4">
        <f>INDEX($B$18:$GQ$18,MATCH(19,$B$29:$GQ$29,0))</f>
        <v/>
      </c>
      <c r="U4">
        <f>INDEX($B$18:$GQ$18,MATCH(20,$B$29:$GQ$29,0))</f>
        <v/>
      </c>
      <c r="V4">
        <f>INDEX($B$18:$GQ$18,MATCH(21,$B$29:$GQ$29,0))</f>
        <v/>
      </c>
      <c r="W4">
        <f>INDEX($B$18:$GQ$18,MATCH(22,$B$29:$GQ$29,0))</f>
        <v/>
      </c>
      <c r="X4">
        <f>INDEX($B$18:$GQ$18,MATCH(23,$B$29:$GQ$29,0))</f>
        <v/>
      </c>
      <c r="Y4">
        <f>INDEX($B$18:$GQ$18,MATCH(24,$B$29:$GQ$29,0))</f>
        <v/>
      </c>
      <c r="Z4">
        <f>INDEX($B$18:$GQ$18,MATCH(25,$B$29:$GQ$29,0))</f>
        <v/>
      </c>
      <c r="AA4">
        <f>INDEX($B$18:$GQ$18,MATCH(26,$B$29:$GQ$29,0))</f>
        <v/>
      </c>
      <c r="AB4">
        <f>INDEX($B$18:$GQ$18,MATCH(27,$B$29:$GQ$29,0))</f>
        <v/>
      </c>
      <c r="AC4">
        <f>INDEX($B$18:$GQ$18,MATCH(28,$B$29:$GQ$29,0))</f>
        <v/>
      </c>
      <c r="AD4">
        <f>INDEX($B$18:$GQ$18,MATCH(29,$B$29:$GQ$29,0))</f>
        <v/>
      </c>
      <c r="AE4">
        <f>INDEX($B$18:$GQ$18,MATCH(30,$B$29:$GQ$29,0))</f>
        <v/>
      </c>
      <c r="AF4">
        <f>INDEX($B$18:$GQ$18,MATCH(31,$B$29:$GQ$29,0))</f>
        <v/>
      </c>
      <c r="AG4">
        <f>INDEX($B$18:$GQ$18,MATCH(32,$B$29:$GQ$29,0))</f>
        <v/>
      </c>
      <c r="AH4">
        <f>INDEX($B$18:$GQ$18,MATCH(33,$B$29:$GQ$29,0))</f>
        <v/>
      </c>
      <c r="AI4">
        <f>INDEX($B$18:$GQ$18,MATCH(34,$B$29:$GQ$29,0))</f>
        <v/>
      </c>
      <c r="AJ4">
        <f>INDEX($B$18:$GQ$18,MATCH(35,$B$29:$GQ$29,0))</f>
        <v/>
      </c>
      <c r="AK4">
        <f>INDEX($B$18:$GQ$18,MATCH(36,$B$29:$GQ$29,0))</f>
        <v/>
      </c>
      <c r="AL4">
        <f>INDEX($B$18:$GQ$18,MATCH(37,$B$29:$GQ$29,0))</f>
        <v/>
      </c>
      <c r="AM4">
        <f>INDEX($B$18:$GQ$18,MATCH(38,$B$29:$GQ$29,0))</f>
        <v/>
      </c>
      <c r="AN4">
        <f>INDEX($B$18:$GQ$18,MATCH(39,$B$29:$GQ$29,0))</f>
        <v/>
      </c>
      <c r="AO4">
        <f>INDEX($B$18:$GQ$18,MATCH(40,$B$29:$GQ$29,0))</f>
        <v/>
      </c>
      <c r="AP4">
        <f>INDEX($B$18:$GQ$18,MATCH(41,$B$29:$GQ$29,0))</f>
        <v/>
      </c>
      <c r="AQ4">
        <f>INDEX($B$18:$GQ$18,MATCH(42,$B$29:$GQ$29,0))</f>
        <v/>
      </c>
      <c r="AR4">
        <f>INDEX($B$18:$GQ$18,MATCH(43,$B$29:$GQ$29,0))</f>
        <v/>
      </c>
      <c r="AS4">
        <f>INDEX($B$18:$GQ$18,MATCH(44,$B$29:$GQ$29,0))</f>
        <v/>
      </c>
      <c r="AT4">
        <f>INDEX($B$18:$GQ$18,MATCH(45,$B$29:$GQ$29,0))</f>
        <v/>
      </c>
      <c r="AU4">
        <f>INDEX($B$18:$GQ$18,MATCH(46,$B$29:$GQ$29,0))</f>
        <v/>
      </c>
      <c r="AV4">
        <f>INDEX($B$18:$GQ$18,MATCH(47,$B$29:$GQ$29,0))</f>
        <v/>
      </c>
      <c r="AW4">
        <f>INDEX($B$18:$GQ$18,MATCH(48,$B$29:$GQ$29,0))</f>
        <v/>
      </c>
      <c r="AX4">
        <f>INDEX($B$18:$GQ$18,MATCH(49,$B$29:$GQ$29,0))</f>
        <v/>
      </c>
      <c r="AY4">
        <f>INDEX($B$18:$GQ$18,MATCH(50,$B$29:$GQ$29,0))</f>
        <v/>
      </c>
      <c r="AZ4">
        <f>INDEX($B$18:$GQ$18,MATCH(51,$B$29:$GQ$29,0))</f>
        <v/>
      </c>
      <c r="BA4">
        <f>INDEX($B$18:$GQ$18,MATCH(52,$B$29:$GQ$29,0))</f>
        <v/>
      </c>
      <c r="BB4">
        <f>INDEX($B$18:$GQ$18,MATCH(53,$B$29:$GQ$29,0))</f>
        <v/>
      </c>
      <c r="BC4">
        <f>INDEX($B$18:$GQ$18,MATCH(54,$B$29:$GQ$29,0))</f>
        <v/>
      </c>
      <c r="BD4">
        <f>INDEX($B$18:$GQ$18,MATCH(55,$B$29:$GQ$29,0))</f>
        <v/>
      </c>
      <c r="BE4">
        <f>INDEX($B$18:$GQ$18,MATCH(56,$B$29:$GQ$29,0))</f>
        <v/>
      </c>
      <c r="BF4">
        <f>INDEX($B$18:$GQ$18,MATCH(57,$B$29:$GQ$29,0))</f>
        <v/>
      </c>
      <c r="BG4">
        <f>INDEX($B$18:$GQ$18,MATCH(58,$B$29:$GQ$29,0))</f>
        <v/>
      </c>
      <c r="BH4">
        <f>INDEX($B$18:$GQ$18,MATCH(59,$B$29:$GQ$29,0))</f>
        <v/>
      </c>
      <c r="BI4">
        <f>INDEX($B$18:$GQ$18,MATCH(60,$B$29:$GQ$29,0))</f>
        <v/>
      </c>
      <c r="BJ4">
        <f>INDEX($B$18:$GQ$18,MATCH(61,$B$29:$GQ$29,0))</f>
        <v/>
      </c>
      <c r="BK4">
        <f>INDEX($B$18:$GQ$18,MATCH(62,$B$29:$GQ$29,0))</f>
        <v/>
      </c>
      <c r="BL4">
        <f>INDEX($B$18:$GQ$18,MATCH(63,$B$29:$GQ$29,0))</f>
        <v/>
      </c>
      <c r="BM4">
        <f>INDEX($B$18:$GQ$18,MATCH(64,$B$29:$GQ$29,0))</f>
        <v/>
      </c>
      <c r="BN4">
        <f>INDEX($B$18:$GQ$18,MATCH(65,$B$29:$GQ$29,0))</f>
        <v/>
      </c>
      <c r="BO4">
        <f>INDEX($B$18:$GQ$18,MATCH(66,$B$29:$GQ$29,0))</f>
        <v/>
      </c>
      <c r="BP4">
        <f>INDEX($B$18:$GQ$18,MATCH(67,$B$29:$GQ$29,0))</f>
        <v/>
      </c>
      <c r="BQ4">
        <f>INDEX($B$18:$GQ$18,MATCH(68,$B$29:$GQ$29,0))</f>
        <v/>
      </c>
      <c r="BR4">
        <f>INDEX($B$18:$GQ$18,MATCH(69,$B$29:$GQ$29,0))</f>
        <v/>
      </c>
      <c r="BS4">
        <f>INDEX($B$18:$GQ$18,MATCH(70,$B$29:$GQ$29,0))</f>
        <v/>
      </c>
      <c r="BT4">
        <f>INDEX($B$18:$GQ$18,MATCH(71,$B$29:$GQ$29,0))</f>
        <v/>
      </c>
      <c r="BU4">
        <f>INDEX($B$18:$GQ$18,MATCH(72,$B$29:$GQ$29,0))</f>
        <v/>
      </c>
      <c r="BV4">
        <f>INDEX($B$18:$GQ$18,MATCH(73,$B$29:$GQ$29,0))</f>
        <v/>
      </c>
      <c r="BW4">
        <f>INDEX($B$18:$GQ$18,MATCH(74,$B$29:$GQ$29,0))</f>
        <v/>
      </c>
      <c r="BX4">
        <f>INDEX($B$18:$GQ$18,MATCH(75,$B$29:$GQ$29,0))</f>
        <v/>
      </c>
      <c r="BY4">
        <f>INDEX($B$18:$GQ$18,MATCH(76,$B$29:$GQ$29,0))</f>
        <v/>
      </c>
      <c r="BZ4">
        <f>INDEX($B$18:$GQ$18,MATCH(77,$B$29:$GQ$29,0))</f>
        <v/>
      </c>
      <c r="CA4">
        <f>INDEX($B$18:$GQ$18,MATCH(78,$B$29:$GQ$29,0))</f>
        <v/>
      </c>
      <c r="CB4">
        <f>INDEX($B$18:$GQ$18,MATCH(79,$B$29:$GQ$29,0))</f>
        <v/>
      </c>
      <c r="CC4">
        <f>INDEX($B$18:$GQ$18,MATCH(80,$B$29:$GQ$29,0))</f>
        <v/>
      </c>
      <c r="CD4">
        <f>INDEX($B$18:$GQ$18,MATCH(81,$B$29:$GQ$29,0))</f>
        <v/>
      </c>
      <c r="CE4">
        <f>INDEX($B$18:$GQ$18,MATCH(82,$B$29:$GQ$29,0))</f>
        <v/>
      </c>
      <c r="CF4">
        <f>INDEX($B$18:$GQ$18,MATCH(83,$B$29:$GQ$29,0))</f>
        <v/>
      </c>
      <c r="CG4">
        <f>INDEX($B$18:$GQ$18,MATCH(84,$B$29:$GQ$29,0))</f>
        <v/>
      </c>
      <c r="CH4">
        <f>INDEX($B$18:$GQ$18,MATCH(85,$B$29:$GQ$29,0))</f>
        <v/>
      </c>
      <c r="CI4">
        <f>INDEX($B$18:$GQ$18,MATCH(86,$B$29:$GQ$29,0))</f>
        <v/>
      </c>
      <c r="CJ4">
        <f>INDEX($B$18:$GQ$18,MATCH(87,$B$29:$GQ$29,0))</f>
        <v/>
      </c>
      <c r="CK4">
        <f>INDEX($B$18:$GQ$18,MATCH(88,$B$29:$GQ$29,0))</f>
        <v/>
      </c>
      <c r="CL4">
        <f>INDEX($B$18:$GQ$18,MATCH(89,$B$29:$GQ$29,0))</f>
        <v/>
      </c>
      <c r="CM4">
        <f>INDEX($B$18:$GQ$18,MATCH(90,$B$29:$GQ$29,0))</f>
        <v/>
      </c>
      <c r="CN4">
        <f>INDEX($B$18:$GQ$18,MATCH(91,$B$29:$GQ$29,0))</f>
        <v/>
      </c>
      <c r="CO4">
        <f>INDEX($B$18:$GQ$18,MATCH(92,$B$29:$GQ$29,0))</f>
        <v/>
      </c>
      <c r="CP4">
        <f>INDEX($B$18:$GQ$18,MATCH(93,$B$29:$GQ$29,0))</f>
        <v/>
      </c>
      <c r="CQ4">
        <f>INDEX($B$18:$GQ$18,MATCH(94,$B$29:$GQ$29,0))</f>
        <v/>
      </c>
      <c r="CR4">
        <f>INDEX($B$18:$GQ$18,MATCH(95,$B$29:$GQ$29,0))</f>
        <v/>
      </c>
      <c r="CS4">
        <f>INDEX($B$18:$GQ$18,MATCH(96,$B$29:$GQ$29,0))</f>
        <v/>
      </c>
      <c r="CT4">
        <f>INDEX($B$18:$GQ$18,MATCH(97,$B$29:$GQ$29,0))</f>
        <v/>
      </c>
      <c r="CU4">
        <f>INDEX($B$18:$GQ$18,MATCH(98,$B$29:$GQ$29,0))</f>
        <v/>
      </c>
      <c r="CV4">
        <f>INDEX($B$18:$GQ$18,MATCH(99,$B$29:$GQ$29,0))</f>
        <v/>
      </c>
      <c r="CW4">
        <f>INDEX($B$18:$GQ$18,MATCH(100,$B$29:$GQ$29,0))</f>
        <v/>
      </c>
      <c r="CX4">
        <f>INDEX($B$18:$GQ$18,MATCH(101,$B$29:$GQ$29,0))</f>
        <v/>
      </c>
      <c r="CY4">
        <f>INDEX($B$18:$GQ$18,MATCH(102,$B$29:$GQ$29,0))</f>
        <v/>
      </c>
      <c r="CZ4">
        <f>INDEX($B$18:$GQ$18,MATCH(103,$B$29:$GQ$29,0))</f>
        <v/>
      </c>
      <c r="DA4">
        <f>INDEX($B$18:$GQ$18,MATCH(104,$B$29:$GQ$29,0))</f>
        <v/>
      </c>
      <c r="DB4">
        <f>INDEX($B$18:$GQ$18,MATCH(105,$B$29:$GQ$29,0))</f>
        <v/>
      </c>
      <c r="DC4">
        <f>INDEX($B$18:$GQ$18,MATCH(106,$B$29:$GQ$29,0))</f>
        <v/>
      </c>
      <c r="DD4">
        <f>INDEX($B$18:$GQ$18,MATCH(107,$B$29:$GQ$29,0))</f>
        <v/>
      </c>
      <c r="DE4">
        <f>INDEX($B$18:$GQ$18,MATCH(108,$B$29:$GQ$29,0))</f>
        <v/>
      </c>
      <c r="DF4">
        <f>INDEX($B$18:$GQ$18,MATCH(109,$B$29:$GQ$29,0))</f>
        <v/>
      </c>
      <c r="DG4">
        <f>INDEX($B$18:$GQ$18,MATCH(110,$B$29:$GQ$29,0))</f>
        <v/>
      </c>
      <c r="DH4">
        <f>INDEX($B$18:$GQ$18,MATCH(111,$B$29:$GQ$29,0))</f>
        <v/>
      </c>
      <c r="DI4">
        <f>INDEX($B$18:$GQ$18,MATCH(112,$B$29:$GQ$29,0))</f>
        <v/>
      </c>
      <c r="DJ4">
        <f>INDEX($B$18:$GQ$18,MATCH(113,$B$29:$GQ$29,0))</f>
        <v/>
      </c>
      <c r="DK4">
        <f>INDEX($B$18:$GQ$18,MATCH(114,$B$29:$GQ$29,0))</f>
        <v/>
      </c>
      <c r="DL4">
        <f>INDEX($B$18:$GQ$18,MATCH(115,$B$29:$GQ$29,0))</f>
        <v/>
      </c>
      <c r="DM4">
        <f>INDEX($B$18:$GQ$18,MATCH(116,$B$29:$GQ$29,0))</f>
        <v/>
      </c>
      <c r="DN4">
        <f>INDEX($B$18:$GQ$18,MATCH(117,$B$29:$GQ$29,0))</f>
        <v/>
      </c>
      <c r="DO4">
        <f>INDEX($B$18:$GQ$18,MATCH(118,$B$29:$GQ$29,0))</f>
        <v/>
      </c>
      <c r="DP4">
        <f>INDEX($B$18:$GQ$18,MATCH(119,$B$29:$GQ$29,0))</f>
        <v/>
      </c>
      <c r="DQ4">
        <f>INDEX($B$18:$GQ$18,MATCH(120,$B$29:$GQ$29,0))</f>
        <v/>
      </c>
      <c r="DR4">
        <f>INDEX($B$18:$GQ$18,MATCH(121,$B$29:$GQ$29,0))</f>
        <v/>
      </c>
      <c r="DS4">
        <f>INDEX($B$18:$GQ$18,MATCH(122,$B$29:$GQ$29,0))</f>
        <v/>
      </c>
      <c r="DT4">
        <f>INDEX($B$18:$GQ$18,MATCH(123,$B$29:$GQ$29,0))</f>
        <v/>
      </c>
      <c r="DU4">
        <f>INDEX($B$18:$GQ$18,MATCH(124,$B$29:$GQ$29,0))</f>
        <v/>
      </c>
      <c r="DV4">
        <f>INDEX($B$18:$GQ$18,MATCH(125,$B$29:$GQ$29,0))</f>
        <v/>
      </c>
      <c r="DW4">
        <f>INDEX($B$18:$GQ$18,MATCH(126,$B$29:$GQ$29,0))</f>
        <v/>
      </c>
      <c r="DX4">
        <f>INDEX($B$18:$GQ$18,MATCH(127,$B$29:$GQ$29,0))</f>
        <v/>
      </c>
      <c r="DY4">
        <f>INDEX($B$18:$GQ$18,MATCH(128,$B$29:$GQ$29,0))</f>
        <v/>
      </c>
      <c r="DZ4">
        <f>INDEX($B$18:$GQ$18,MATCH(129,$B$29:$GQ$29,0))</f>
        <v/>
      </c>
      <c r="EA4">
        <f>INDEX($B$18:$GQ$18,MATCH(130,$B$29:$GQ$29,0))</f>
        <v/>
      </c>
      <c r="EB4">
        <f>INDEX($B$18:$GQ$18,MATCH(131,$B$29:$GQ$29,0))</f>
        <v/>
      </c>
      <c r="EC4">
        <f>INDEX($B$18:$GQ$18,MATCH(132,$B$29:$GQ$29,0))</f>
        <v/>
      </c>
      <c r="ED4">
        <f>INDEX($B$18:$GQ$18,MATCH(133,$B$29:$GQ$29,0))</f>
        <v/>
      </c>
      <c r="EE4">
        <f>INDEX($B$18:$GQ$18,MATCH(134,$B$29:$GQ$29,0))</f>
        <v/>
      </c>
      <c r="EF4">
        <f>INDEX($B$18:$GQ$18,MATCH(135,$B$29:$GQ$29,0))</f>
        <v/>
      </c>
      <c r="EG4">
        <f>INDEX($B$18:$GQ$18,MATCH(136,$B$29:$GQ$29,0))</f>
        <v/>
      </c>
      <c r="EH4">
        <f>INDEX($B$18:$GQ$18,MATCH(137,$B$29:$GQ$29,0))</f>
        <v/>
      </c>
      <c r="EI4">
        <f>INDEX($B$18:$GQ$18,MATCH(138,$B$29:$GQ$29,0))</f>
        <v/>
      </c>
      <c r="EJ4">
        <f>INDEX($B$18:$GQ$18,MATCH(139,$B$29:$GQ$29,0))</f>
        <v/>
      </c>
      <c r="EK4">
        <f>INDEX($B$18:$GQ$18,MATCH(140,$B$29:$GQ$29,0))</f>
        <v/>
      </c>
      <c r="EL4">
        <f>INDEX($B$18:$GQ$18,MATCH(141,$B$29:$GQ$29,0))</f>
        <v/>
      </c>
      <c r="EM4">
        <f>INDEX($B$18:$GQ$18,MATCH(142,$B$29:$GQ$29,0))</f>
        <v/>
      </c>
      <c r="EN4">
        <f>INDEX($B$18:$GQ$18,MATCH(143,$B$29:$GQ$29,0))</f>
        <v/>
      </c>
      <c r="EO4">
        <f>INDEX($B$18:$GQ$18,MATCH(144,$B$29:$GQ$29,0))</f>
        <v/>
      </c>
      <c r="EP4">
        <f>INDEX($B$18:$GQ$18,MATCH(145,$B$29:$GQ$29,0))</f>
        <v/>
      </c>
      <c r="EQ4">
        <f>INDEX($B$18:$GQ$18,MATCH(146,$B$29:$GQ$29,0))</f>
        <v/>
      </c>
      <c r="ER4">
        <f>INDEX($B$18:$GQ$18,MATCH(147,$B$29:$GQ$29,0))</f>
        <v/>
      </c>
      <c r="ES4">
        <f>INDEX($B$18:$GQ$18,MATCH(148,$B$29:$GQ$29,0))</f>
        <v/>
      </c>
      <c r="ET4">
        <f>INDEX($B$18:$GQ$18,MATCH(149,$B$29:$GQ$29,0))</f>
        <v/>
      </c>
      <c r="EU4">
        <f>INDEX($B$18:$GQ$18,MATCH(150,$B$29:$GQ$29,0))</f>
        <v/>
      </c>
      <c r="EV4">
        <f>INDEX($B$18:$GQ$18,MATCH(151,$B$29:$GQ$29,0))</f>
        <v/>
      </c>
      <c r="EW4">
        <f>INDEX($B$18:$GQ$18,MATCH(152,$B$29:$GQ$29,0))</f>
        <v/>
      </c>
      <c r="EX4">
        <f>INDEX($B$18:$GQ$18,MATCH(153,$B$29:$GQ$29,0))</f>
        <v/>
      </c>
      <c r="EY4">
        <f>INDEX($B$18:$GQ$18,MATCH(154,$B$29:$GQ$29,0))</f>
        <v/>
      </c>
      <c r="EZ4">
        <f>INDEX($B$18:$GQ$18,MATCH(155,$B$29:$GQ$29,0))</f>
        <v/>
      </c>
      <c r="FA4">
        <f>INDEX($B$18:$GQ$18,MATCH(156,$B$29:$GQ$29,0))</f>
        <v/>
      </c>
      <c r="FB4">
        <f>INDEX($B$18:$GQ$18,MATCH(157,$B$29:$GQ$29,0))</f>
        <v/>
      </c>
      <c r="FC4">
        <f>INDEX($B$18:$GQ$18,MATCH(158,$B$29:$GQ$29,0))</f>
        <v/>
      </c>
      <c r="FD4">
        <f>INDEX($B$18:$GQ$18,MATCH(159,$B$29:$GQ$29,0))</f>
        <v/>
      </c>
      <c r="FE4">
        <f>INDEX($B$18:$GQ$18,MATCH(160,$B$29:$GQ$29,0))</f>
        <v/>
      </c>
      <c r="FF4">
        <f>INDEX($B$18:$GQ$18,MATCH(161,$B$29:$GQ$29,0))</f>
        <v/>
      </c>
      <c r="FG4">
        <f>INDEX($B$18:$GQ$18,MATCH(162,$B$29:$GQ$29,0))</f>
        <v/>
      </c>
      <c r="FH4">
        <f>INDEX($B$18:$GQ$18,MATCH(163,$B$29:$GQ$29,0))</f>
        <v/>
      </c>
      <c r="FI4">
        <f>INDEX($B$18:$GQ$18,MATCH(164,$B$29:$GQ$29,0))</f>
        <v/>
      </c>
      <c r="FJ4">
        <f>INDEX($B$18:$GQ$18,MATCH(165,$B$29:$GQ$29,0))</f>
        <v/>
      </c>
      <c r="FK4">
        <f>INDEX($B$18:$GQ$18,MATCH(166,$B$29:$GQ$29,0))</f>
        <v/>
      </c>
      <c r="FL4">
        <f>INDEX($B$18:$GQ$18,MATCH(167,$B$29:$GQ$29,0))</f>
        <v/>
      </c>
      <c r="FM4">
        <f>INDEX($B$18:$GQ$18,MATCH(168,$B$29:$GQ$29,0))</f>
        <v/>
      </c>
      <c r="FN4">
        <f>INDEX($B$18:$GQ$18,MATCH(169,$B$29:$GQ$29,0))</f>
        <v/>
      </c>
      <c r="FO4">
        <f>INDEX($B$18:$GQ$18,MATCH(170,$B$29:$GQ$29,0))</f>
        <v/>
      </c>
      <c r="FP4">
        <f>INDEX($B$18:$GQ$18,MATCH(171,$B$29:$GQ$29,0))</f>
        <v/>
      </c>
      <c r="FQ4">
        <f>INDEX($B$18:$GQ$18,MATCH(172,$B$29:$GQ$29,0))</f>
        <v/>
      </c>
      <c r="FR4">
        <f>INDEX($B$18:$GQ$18,MATCH(173,$B$29:$GQ$29,0))</f>
        <v/>
      </c>
      <c r="FS4">
        <f>INDEX($B$18:$GQ$18,MATCH(174,$B$29:$GQ$29,0))</f>
        <v/>
      </c>
      <c r="FT4">
        <f>INDEX($B$18:$GQ$18,MATCH(175,$B$29:$GQ$29,0))</f>
        <v/>
      </c>
      <c r="FU4">
        <f>INDEX($B$18:$GQ$18,MATCH(176,$B$29:$GQ$29,0))</f>
        <v/>
      </c>
      <c r="FV4">
        <f>INDEX($B$18:$GQ$18,MATCH(177,$B$29:$GQ$29,0))</f>
        <v/>
      </c>
      <c r="FW4">
        <f>INDEX($B$18:$GQ$18,MATCH(178,$B$29:$GQ$29,0))</f>
        <v/>
      </c>
      <c r="FX4">
        <f>INDEX($B$18:$GQ$18,MATCH(179,$B$29:$GQ$29,0))</f>
        <v/>
      </c>
      <c r="FY4">
        <f>INDEX($B$18:$GQ$18,MATCH(180,$B$29:$GQ$29,0))</f>
        <v/>
      </c>
      <c r="FZ4">
        <f>INDEX($B$18:$GQ$18,MATCH(181,$B$29:$GQ$29,0))</f>
        <v/>
      </c>
      <c r="GA4">
        <f>INDEX($B$18:$GQ$18,MATCH(182,$B$29:$GQ$29,0))</f>
        <v/>
      </c>
      <c r="GB4">
        <f>INDEX($B$18:$GQ$18,MATCH(183,$B$29:$GQ$29,0))</f>
        <v/>
      </c>
      <c r="GC4">
        <f>INDEX($B$18:$GQ$18,MATCH(184,$B$29:$GQ$29,0))</f>
        <v/>
      </c>
      <c r="GD4">
        <f>INDEX($B$18:$GQ$18,MATCH(185,$B$29:$GQ$29,0))</f>
        <v/>
      </c>
      <c r="GE4">
        <f>INDEX($B$18:$GQ$18,MATCH(186,$B$29:$GQ$29,0))</f>
        <v/>
      </c>
      <c r="GF4">
        <f>INDEX($B$18:$GQ$18,MATCH(187,$B$29:$GQ$29,0))</f>
        <v/>
      </c>
      <c r="GG4">
        <f>INDEX($B$18:$GQ$18,MATCH(188,$B$29:$GQ$29,0))</f>
        <v/>
      </c>
      <c r="GH4">
        <f>INDEX($B$18:$GQ$18,MATCH(189,$B$29:$GQ$29,0))</f>
        <v/>
      </c>
      <c r="GI4">
        <f>INDEX($B$18:$GQ$18,MATCH(190,$B$29:$GQ$29,0))</f>
        <v/>
      </c>
      <c r="GJ4">
        <f>INDEX($B$18:$GQ$18,MATCH(191,$B$29:$GQ$29,0))</f>
        <v/>
      </c>
      <c r="GK4">
        <f>INDEX($B$18:$GQ$18,MATCH(192,$B$29:$GQ$29,0))</f>
        <v/>
      </c>
      <c r="GL4">
        <f>INDEX($B$18:$GQ$18,MATCH(193,$B$29:$GQ$29,0))</f>
        <v/>
      </c>
      <c r="GM4">
        <f>INDEX($B$18:$GQ$18,MATCH(194,$B$29:$GQ$29,0))</f>
        <v/>
      </c>
      <c r="GN4">
        <f>INDEX($B$18:$GQ$18,MATCH(195,$B$29:$GQ$29,0))</f>
        <v/>
      </c>
      <c r="GO4">
        <f>INDEX($B$18:$GQ$18,MATCH(196,$B$29:$GQ$29,0))</f>
        <v/>
      </c>
      <c r="GP4">
        <f>INDEX($B$18:$GQ$18,MATCH(197,$B$29:$GQ$29,0))</f>
        <v/>
      </c>
      <c r="GQ4">
        <f>INDEX($B$18:$GQ$18,MATCH(198,$B$29:$GQ$29,0))</f>
        <v/>
      </c>
      <c r="GR4">
        <f>INDEX($GR$18:$HC$18,MATCH(1,$GR$30:$HC$30,0))</f>
        <v/>
      </c>
      <c r="GS4">
        <f>INDEX($GR$18:$HC$18,MATCH(2,$GR$30:$HC$30,0))</f>
        <v/>
      </c>
      <c r="GT4">
        <f>INDEX($GR$18:$HC$18,MATCH(3,$GR$30:$HC$30,0))</f>
        <v/>
      </c>
      <c r="GU4">
        <f>INDEX($GR$18:$HC$18,MATCH(4,$GR$30:$HC$30,0))</f>
        <v/>
      </c>
      <c r="GV4">
        <f>INDEX($GR$18:$HC$18,MATCH(5,$GR$30:$HC$30,0))</f>
        <v/>
      </c>
      <c r="GW4">
        <f>INDEX($GR$18:$HC$18,MATCH(6,$GR$30:$HC$30,0))</f>
        <v/>
      </c>
      <c r="GX4">
        <f>INDEX($GR$18:$HC$18,MATCH(7,$GR$30:$HC$30,0))</f>
        <v/>
      </c>
      <c r="GY4">
        <f>INDEX($GR$18:$HC$18,MATCH(8,$GR$30:$HC$30,0))</f>
        <v/>
      </c>
      <c r="GZ4">
        <f>INDEX($GR$18:$HC$18,MATCH(9,$GR$30:$HC$30,0))</f>
        <v/>
      </c>
      <c r="HA4">
        <f>INDEX($GR$18:$HC$18,MATCH(10,$GR$30:$HC$30,0))</f>
        <v/>
      </c>
      <c r="HB4">
        <f>INDEX($GR$18:$HC$18,MATCH(11,$GR$30:$HC$30,0))</f>
        <v/>
      </c>
      <c r="HC4">
        <f>INDEX($GR$18:$HC$18,MATCH(12,$GR$30:$HC$30,0))</f>
        <v/>
      </c>
    </row>
    <row r="5">
      <c r="A5" s="1" t="inlineStr">
        <is>
          <t>M_dom</t>
        </is>
      </c>
      <c r="B5">
        <f>INDEX($B$19:$GQ$19,MATCH(1,$B$29:$GQ$29,0))</f>
        <v/>
      </c>
      <c r="C5">
        <f>INDEX($B$19:$GQ$19,MATCH(2,$B$29:$GQ$29,0))</f>
        <v/>
      </c>
      <c r="D5">
        <f>INDEX($B$19:$GQ$19,MATCH(3,$B$29:$GQ$29,0))</f>
        <v/>
      </c>
      <c r="E5">
        <f>INDEX($B$19:$GQ$19,MATCH(4,$B$29:$GQ$29,0))</f>
        <v/>
      </c>
      <c r="F5">
        <f>INDEX($B$19:$GQ$19,MATCH(5,$B$29:$GQ$29,0))</f>
        <v/>
      </c>
      <c r="G5">
        <f>INDEX($B$19:$GQ$19,MATCH(6,$B$29:$GQ$29,0))</f>
        <v/>
      </c>
      <c r="H5">
        <f>INDEX($B$19:$GQ$19,MATCH(7,$B$29:$GQ$29,0))</f>
        <v/>
      </c>
      <c r="I5">
        <f>INDEX($B$19:$GQ$19,MATCH(8,$B$29:$GQ$29,0))</f>
        <v/>
      </c>
      <c r="J5">
        <f>INDEX($B$19:$GQ$19,MATCH(9,$B$29:$GQ$29,0))</f>
        <v/>
      </c>
      <c r="K5">
        <f>INDEX($B$19:$GQ$19,MATCH(10,$B$29:$GQ$29,0))</f>
        <v/>
      </c>
      <c r="L5">
        <f>INDEX($B$19:$GQ$19,MATCH(11,$B$29:$GQ$29,0))</f>
        <v/>
      </c>
      <c r="M5">
        <f>INDEX($B$19:$GQ$19,MATCH(12,$B$29:$GQ$29,0))</f>
        <v/>
      </c>
      <c r="N5">
        <f>INDEX($B$19:$GQ$19,MATCH(13,$B$29:$GQ$29,0))</f>
        <v/>
      </c>
      <c r="O5">
        <f>INDEX($B$19:$GQ$19,MATCH(14,$B$29:$GQ$29,0))</f>
        <v/>
      </c>
      <c r="P5">
        <f>INDEX($B$19:$GQ$19,MATCH(15,$B$29:$GQ$29,0))</f>
        <v/>
      </c>
      <c r="Q5">
        <f>INDEX($B$19:$GQ$19,MATCH(16,$B$29:$GQ$29,0))</f>
        <v/>
      </c>
      <c r="R5">
        <f>INDEX($B$19:$GQ$19,MATCH(17,$B$29:$GQ$29,0))</f>
        <v/>
      </c>
      <c r="S5">
        <f>INDEX($B$19:$GQ$19,MATCH(18,$B$29:$GQ$29,0))</f>
        <v/>
      </c>
      <c r="T5">
        <f>INDEX($B$19:$GQ$19,MATCH(19,$B$29:$GQ$29,0))</f>
        <v/>
      </c>
      <c r="U5">
        <f>INDEX($B$19:$GQ$19,MATCH(20,$B$29:$GQ$29,0))</f>
        <v/>
      </c>
      <c r="V5">
        <f>INDEX($B$19:$GQ$19,MATCH(21,$B$29:$GQ$29,0))</f>
        <v/>
      </c>
      <c r="W5">
        <f>INDEX($B$19:$GQ$19,MATCH(22,$B$29:$GQ$29,0))</f>
        <v/>
      </c>
      <c r="X5">
        <f>INDEX($B$19:$GQ$19,MATCH(23,$B$29:$GQ$29,0))</f>
        <v/>
      </c>
      <c r="Y5">
        <f>INDEX($B$19:$GQ$19,MATCH(24,$B$29:$GQ$29,0))</f>
        <v/>
      </c>
      <c r="Z5">
        <f>INDEX($B$19:$GQ$19,MATCH(25,$B$29:$GQ$29,0))</f>
        <v/>
      </c>
      <c r="AA5">
        <f>INDEX($B$19:$GQ$19,MATCH(26,$B$29:$GQ$29,0))</f>
        <v/>
      </c>
      <c r="AB5">
        <f>INDEX($B$19:$GQ$19,MATCH(27,$B$29:$GQ$29,0))</f>
        <v/>
      </c>
      <c r="AC5">
        <f>INDEX($B$19:$GQ$19,MATCH(28,$B$29:$GQ$29,0))</f>
        <v/>
      </c>
      <c r="AD5">
        <f>INDEX($B$19:$GQ$19,MATCH(29,$B$29:$GQ$29,0))</f>
        <v/>
      </c>
      <c r="AE5">
        <f>INDEX($B$19:$GQ$19,MATCH(30,$B$29:$GQ$29,0))</f>
        <v/>
      </c>
      <c r="AF5">
        <f>INDEX($B$19:$GQ$19,MATCH(31,$B$29:$GQ$29,0))</f>
        <v/>
      </c>
      <c r="AG5">
        <f>INDEX($B$19:$GQ$19,MATCH(32,$B$29:$GQ$29,0))</f>
        <v/>
      </c>
      <c r="AH5">
        <f>INDEX($B$19:$GQ$19,MATCH(33,$B$29:$GQ$29,0))</f>
        <v/>
      </c>
      <c r="AI5">
        <f>INDEX($B$19:$GQ$19,MATCH(34,$B$29:$GQ$29,0))</f>
        <v/>
      </c>
      <c r="AJ5">
        <f>INDEX($B$19:$GQ$19,MATCH(35,$B$29:$GQ$29,0))</f>
        <v/>
      </c>
      <c r="AK5">
        <f>INDEX($B$19:$GQ$19,MATCH(36,$B$29:$GQ$29,0))</f>
        <v/>
      </c>
      <c r="AL5">
        <f>INDEX($B$19:$GQ$19,MATCH(37,$B$29:$GQ$29,0))</f>
        <v/>
      </c>
      <c r="AM5">
        <f>INDEX($B$19:$GQ$19,MATCH(38,$B$29:$GQ$29,0))</f>
        <v/>
      </c>
      <c r="AN5">
        <f>INDEX($B$19:$GQ$19,MATCH(39,$B$29:$GQ$29,0))</f>
        <v/>
      </c>
      <c r="AO5">
        <f>INDEX($B$19:$GQ$19,MATCH(40,$B$29:$GQ$29,0))</f>
        <v/>
      </c>
      <c r="AP5">
        <f>INDEX($B$19:$GQ$19,MATCH(41,$B$29:$GQ$29,0))</f>
        <v/>
      </c>
      <c r="AQ5">
        <f>INDEX($B$19:$GQ$19,MATCH(42,$B$29:$GQ$29,0))</f>
        <v/>
      </c>
      <c r="AR5">
        <f>INDEX($B$19:$GQ$19,MATCH(43,$B$29:$GQ$29,0))</f>
        <v/>
      </c>
      <c r="AS5">
        <f>INDEX($B$19:$GQ$19,MATCH(44,$B$29:$GQ$29,0))</f>
        <v/>
      </c>
      <c r="AT5">
        <f>INDEX($B$19:$GQ$19,MATCH(45,$B$29:$GQ$29,0))</f>
        <v/>
      </c>
      <c r="AU5">
        <f>INDEX($B$19:$GQ$19,MATCH(46,$B$29:$GQ$29,0))</f>
        <v/>
      </c>
      <c r="AV5">
        <f>INDEX($B$19:$GQ$19,MATCH(47,$B$29:$GQ$29,0))</f>
        <v/>
      </c>
      <c r="AW5">
        <f>INDEX($B$19:$GQ$19,MATCH(48,$B$29:$GQ$29,0))</f>
        <v/>
      </c>
      <c r="AX5">
        <f>INDEX($B$19:$GQ$19,MATCH(49,$B$29:$GQ$29,0))</f>
        <v/>
      </c>
      <c r="AY5">
        <f>INDEX($B$19:$GQ$19,MATCH(50,$B$29:$GQ$29,0))</f>
        <v/>
      </c>
      <c r="AZ5">
        <f>INDEX($B$19:$GQ$19,MATCH(51,$B$29:$GQ$29,0))</f>
        <v/>
      </c>
      <c r="BA5">
        <f>INDEX($B$19:$GQ$19,MATCH(52,$B$29:$GQ$29,0))</f>
        <v/>
      </c>
      <c r="BB5">
        <f>INDEX($B$19:$GQ$19,MATCH(53,$B$29:$GQ$29,0))</f>
        <v/>
      </c>
      <c r="BC5">
        <f>INDEX($B$19:$GQ$19,MATCH(54,$B$29:$GQ$29,0))</f>
        <v/>
      </c>
      <c r="BD5">
        <f>INDEX($B$19:$GQ$19,MATCH(55,$B$29:$GQ$29,0))</f>
        <v/>
      </c>
      <c r="BE5">
        <f>INDEX($B$19:$GQ$19,MATCH(56,$B$29:$GQ$29,0))</f>
        <v/>
      </c>
      <c r="BF5">
        <f>INDEX($B$19:$GQ$19,MATCH(57,$B$29:$GQ$29,0))</f>
        <v/>
      </c>
      <c r="BG5">
        <f>INDEX($B$19:$GQ$19,MATCH(58,$B$29:$GQ$29,0))</f>
        <v/>
      </c>
      <c r="BH5">
        <f>INDEX($B$19:$GQ$19,MATCH(59,$B$29:$GQ$29,0))</f>
        <v/>
      </c>
      <c r="BI5">
        <f>INDEX($B$19:$GQ$19,MATCH(60,$B$29:$GQ$29,0))</f>
        <v/>
      </c>
      <c r="BJ5">
        <f>INDEX($B$19:$GQ$19,MATCH(61,$B$29:$GQ$29,0))</f>
        <v/>
      </c>
      <c r="BK5">
        <f>INDEX($B$19:$GQ$19,MATCH(62,$B$29:$GQ$29,0))</f>
        <v/>
      </c>
      <c r="BL5">
        <f>INDEX($B$19:$GQ$19,MATCH(63,$B$29:$GQ$29,0))</f>
        <v/>
      </c>
      <c r="BM5">
        <f>INDEX($B$19:$GQ$19,MATCH(64,$B$29:$GQ$29,0))</f>
        <v/>
      </c>
      <c r="BN5">
        <f>INDEX($B$19:$GQ$19,MATCH(65,$B$29:$GQ$29,0))</f>
        <v/>
      </c>
      <c r="BO5">
        <f>INDEX($B$19:$GQ$19,MATCH(66,$B$29:$GQ$29,0))</f>
        <v/>
      </c>
      <c r="BP5">
        <f>INDEX($B$19:$GQ$19,MATCH(67,$B$29:$GQ$29,0))</f>
        <v/>
      </c>
      <c r="BQ5">
        <f>INDEX($B$19:$GQ$19,MATCH(68,$B$29:$GQ$29,0))</f>
        <v/>
      </c>
      <c r="BR5">
        <f>INDEX($B$19:$GQ$19,MATCH(69,$B$29:$GQ$29,0))</f>
        <v/>
      </c>
      <c r="BS5">
        <f>INDEX($B$19:$GQ$19,MATCH(70,$B$29:$GQ$29,0))</f>
        <v/>
      </c>
      <c r="BT5">
        <f>INDEX($B$19:$GQ$19,MATCH(71,$B$29:$GQ$29,0))</f>
        <v/>
      </c>
      <c r="BU5">
        <f>INDEX($B$19:$GQ$19,MATCH(72,$B$29:$GQ$29,0))</f>
        <v/>
      </c>
      <c r="BV5">
        <f>INDEX($B$19:$GQ$19,MATCH(73,$B$29:$GQ$29,0))</f>
        <v/>
      </c>
      <c r="BW5">
        <f>INDEX($B$19:$GQ$19,MATCH(74,$B$29:$GQ$29,0))</f>
        <v/>
      </c>
      <c r="BX5">
        <f>INDEX($B$19:$GQ$19,MATCH(75,$B$29:$GQ$29,0))</f>
        <v/>
      </c>
      <c r="BY5">
        <f>INDEX($B$19:$GQ$19,MATCH(76,$B$29:$GQ$29,0))</f>
        <v/>
      </c>
      <c r="BZ5">
        <f>INDEX($B$19:$GQ$19,MATCH(77,$B$29:$GQ$29,0))</f>
        <v/>
      </c>
      <c r="CA5">
        <f>INDEX($B$19:$GQ$19,MATCH(78,$B$29:$GQ$29,0))</f>
        <v/>
      </c>
      <c r="CB5">
        <f>INDEX($B$19:$GQ$19,MATCH(79,$B$29:$GQ$29,0))</f>
        <v/>
      </c>
      <c r="CC5">
        <f>INDEX($B$19:$GQ$19,MATCH(80,$B$29:$GQ$29,0))</f>
        <v/>
      </c>
      <c r="CD5">
        <f>INDEX($B$19:$GQ$19,MATCH(81,$B$29:$GQ$29,0))</f>
        <v/>
      </c>
      <c r="CE5">
        <f>INDEX($B$19:$GQ$19,MATCH(82,$B$29:$GQ$29,0))</f>
        <v/>
      </c>
      <c r="CF5">
        <f>INDEX($B$19:$GQ$19,MATCH(83,$B$29:$GQ$29,0))</f>
        <v/>
      </c>
      <c r="CG5">
        <f>INDEX($B$19:$GQ$19,MATCH(84,$B$29:$GQ$29,0))</f>
        <v/>
      </c>
      <c r="CH5">
        <f>INDEX($B$19:$GQ$19,MATCH(85,$B$29:$GQ$29,0))</f>
        <v/>
      </c>
      <c r="CI5">
        <f>INDEX($B$19:$GQ$19,MATCH(86,$B$29:$GQ$29,0))</f>
        <v/>
      </c>
      <c r="CJ5">
        <f>INDEX($B$19:$GQ$19,MATCH(87,$B$29:$GQ$29,0))</f>
        <v/>
      </c>
      <c r="CK5">
        <f>INDEX($B$19:$GQ$19,MATCH(88,$B$29:$GQ$29,0))</f>
        <v/>
      </c>
      <c r="CL5">
        <f>INDEX($B$19:$GQ$19,MATCH(89,$B$29:$GQ$29,0))</f>
        <v/>
      </c>
      <c r="CM5">
        <f>INDEX($B$19:$GQ$19,MATCH(90,$B$29:$GQ$29,0))</f>
        <v/>
      </c>
      <c r="CN5">
        <f>INDEX($B$19:$GQ$19,MATCH(91,$B$29:$GQ$29,0))</f>
        <v/>
      </c>
      <c r="CO5">
        <f>INDEX($B$19:$GQ$19,MATCH(92,$B$29:$GQ$29,0))</f>
        <v/>
      </c>
      <c r="CP5">
        <f>INDEX($B$19:$GQ$19,MATCH(93,$B$29:$GQ$29,0))</f>
        <v/>
      </c>
      <c r="CQ5">
        <f>INDEX($B$19:$GQ$19,MATCH(94,$B$29:$GQ$29,0))</f>
        <v/>
      </c>
      <c r="CR5">
        <f>INDEX($B$19:$GQ$19,MATCH(95,$B$29:$GQ$29,0))</f>
        <v/>
      </c>
      <c r="CS5">
        <f>INDEX($B$19:$GQ$19,MATCH(96,$B$29:$GQ$29,0))</f>
        <v/>
      </c>
      <c r="CT5">
        <f>INDEX($B$19:$GQ$19,MATCH(97,$B$29:$GQ$29,0))</f>
        <v/>
      </c>
      <c r="CU5">
        <f>INDEX($B$19:$GQ$19,MATCH(98,$B$29:$GQ$29,0))</f>
        <v/>
      </c>
      <c r="CV5">
        <f>INDEX($B$19:$GQ$19,MATCH(99,$B$29:$GQ$29,0))</f>
        <v/>
      </c>
      <c r="CW5">
        <f>INDEX($B$19:$GQ$19,MATCH(100,$B$29:$GQ$29,0))</f>
        <v/>
      </c>
      <c r="CX5">
        <f>INDEX($B$19:$GQ$19,MATCH(101,$B$29:$GQ$29,0))</f>
        <v/>
      </c>
      <c r="CY5">
        <f>INDEX($B$19:$GQ$19,MATCH(102,$B$29:$GQ$29,0))</f>
        <v/>
      </c>
      <c r="CZ5">
        <f>INDEX($B$19:$GQ$19,MATCH(103,$B$29:$GQ$29,0))</f>
        <v/>
      </c>
      <c r="DA5">
        <f>INDEX($B$19:$GQ$19,MATCH(104,$B$29:$GQ$29,0))</f>
        <v/>
      </c>
      <c r="DB5">
        <f>INDEX($B$19:$GQ$19,MATCH(105,$B$29:$GQ$29,0))</f>
        <v/>
      </c>
      <c r="DC5">
        <f>INDEX($B$19:$GQ$19,MATCH(106,$B$29:$GQ$29,0))</f>
        <v/>
      </c>
      <c r="DD5">
        <f>INDEX($B$19:$GQ$19,MATCH(107,$B$29:$GQ$29,0))</f>
        <v/>
      </c>
      <c r="DE5">
        <f>INDEX($B$19:$GQ$19,MATCH(108,$B$29:$GQ$29,0))</f>
        <v/>
      </c>
      <c r="DF5">
        <f>INDEX($B$19:$GQ$19,MATCH(109,$B$29:$GQ$29,0))</f>
        <v/>
      </c>
      <c r="DG5">
        <f>INDEX($B$19:$GQ$19,MATCH(110,$B$29:$GQ$29,0))</f>
        <v/>
      </c>
      <c r="DH5">
        <f>INDEX($B$19:$GQ$19,MATCH(111,$B$29:$GQ$29,0))</f>
        <v/>
      </c>
      <c r="DI5">
        <f>INDEX($B$19:$GQ$19,MATCH(112,$B$29:$GQ$29,0))</f>
        <v/>
      </c>
      <c r="DJ5">
        <f>INDEX($B$19:$GQ$19,MATCH(113,$B$29:$GQ$29,0))</f>
        <v/>
      </c>
      <c r="DK5">
        <f>INDEX($B$19:$GQ$19,MATCH(114,$B$29:$GQ$29,0))</f>
        <v/>
      </c>
      <c r="DL5">
        <f>INDEX($B$19:$GQ$19,MATCH(115,$B$29:$GQ$29,0))</f>
        <v/>
      </c>
      <c r="DM5">
        <f>INDEX($B$19:$GQ$19,MATCH(116,$B$29:$GQ$29,0))</f>
        <v/>
      </c>
      <c r="DN5">
        <f>INDEX($B$19:$GQ$19,MATCH(117,$B$29:$GQ$29,0))</f>
        <v/>
      </c>
      <c r="DO5">
        <f>INDEX($B$19:$GQ$19,MATCH(118,$B$29:$GQ$29,0))</f>
        <v/>
      </c>
      <c r="DP5">
        <f>INDEX($B$19:$GQ$19,MATCH(119,$B$29:$GQ$29,0))</f>
        <v/>
      </c>
      <c r="DQ5">
        <f>INDEX($B$19:$GQ$19,MATCH(120,$B$29:$GQ$29,0))</f>
        <v/>
      </c>
      <c r="DR5">
        <f>INDEX($B$19:$GQ$19,MATCH(121,$B$29:$GQ$29,0))</f>
        <v/>
      </c>
      <c r="DS5">
        <f>INDEX($B$19:$GQ$19,MATCH(122,$B$29:$GQ$29,0))</f>
        <v/>
      </c>
      <c r="DT5">
        <f>INDEX($B$19:$GQ$19,MATCH(123,$B$29:$GQ$29,0))</f>
        <v/>
      </c>
      <c r="DU5">
        <f>INDEX($B$19:$GQ$19,MATCH(124,$B$29:$GQ$29,0))</f>
        <v/>
      </c>
      <c r="DV5">
        <f>INDEX($B$19:$GQ$19,MATCH(125,$B$29:$GQ$29,0))</f>
        <v/>
      </c>
      <c r="DW5">
        <f>INDEX($B$19:$GQ$19,MATCH(126,$B$29:$GQ$29,0))</f>
        <v/>
      </c>
      <c r="DX5">
        <f>INDEX($B$19:$GQ$19,MATCH(127,$B$29:$GQ$29,0))</f>
        <v/>
      </c>
      <c r="DY5">
        <f>INDEX($B$19:$GQ$19,MATCH(128,$B$29:$GQ$29,0))</f>
        <v/>
      </c>
      <c r="DZ5">
        <f>INDEX($B$19:$GQ$19,MATCH(129,$B$29:$GQ$29,0))</f>
        <v/>
      </c>
      <c r="EA5">
        <f>INDEX($B$19:$GQ$19,MATCH(130,$B$29:$GQ$29,0))</f>
        <v/>
      </c>
      <c r="EB5">
        <f>INDEX($B$19:$GQ$19,MATCH(131,$B$29:$GQ$29,0))</f>
        <v/>
      </c>
      <c r="EC5">
        <f>INDEX($B$19:$GQ$19,MATCH(132,$B$29:$GQ$29,0))</f>
        <v/>
      </c>
      <c r="ED5">
        <f>INDEX($B$19:$GQ$19,MATCH(133,$B$29:$GQ$29,0))</f>
        <v/>
      </c>
      <c r="EE5">
        <f>INDEX($B$19:$GQ$19,MATCH(134,$B$29:$GQ$29,0))</f>
        <v/>
      </c>
      <c r="EF5">
        <f>INDEX($B$19:$GQ$19,MATCH(135,$B$29:$GQ$29,0))</f>
        <v/>
      </c>
      <c r="EG5">
        <f>INDEX($B$19:$GQ$19,MATCH(136,$B$29:$GQ$29,0))</f>
        <v/>
      </c>
      <c r="EH5">
        <f>INDEX($B$19:$GQ$19,MATCH(137,$B$29:$GQ$29,0))</f>
        <v/>
      </c>
      <c r="EI5">
        <f>INDEX($B$19:$GQ$19,MATCH(138,$B$29:$GQ$29,0))</f>
        <v/>
      </c>
      <c r="EJ5">
        <f>INDEX($B$19:$GQ$19,MATCH(139,$B$29:$GQ$29,0))</f>
        <v/>
      </c>
      <c r="EK5">
        <f>INDEX($B$19:$GQ$19,MATCH(140,$B$29:$GQ$29,0))</f>
        <v/>
      </c>
      <c r="EL5">
        <f>INDEX($B$19:$GQ$19,MATCH(141,$B$29:$GQ$29,0))</f>
        <v/>
      </c>
      <c r="EM5">
        <f>INDEX($B$19:$GQ$19,MATCH(142,$B$29:$GQ$29,0))</f>
        <v/>
      </c>
      <c r="EN5">
        <f>INDEX($B$19:$GQ$19,MATCH(143,$B$29:$GQ$29,0))</f>
        <v/>
      </c>
      <c r="EO5">
        <f>INDEX($B$19:$GQ$19,MATCH(144,$B$29:$GQ$29,0))</f>
        <v/>
      </c>
      <c r="EP5">
        <f>INDEX($B$19:$GQ$19,MATCH(145,$B$29:$GQ$29,0))</f>
        <v/>
      </c>
      <c r="EQ5">
        <f>INDEX($B$19:$GQ$19,MATCH(146,$B$29:$GQ$29,0))</f>
        <v/>
      </c>
      <c r="ER5">
        <f>INDEX($B$19:$GQ$19,MATCH(147,$B$29:$GQ$29,0))</f>
        <v/>
      </c>
      <c r="ES5">
        <f>INDEX($B$19:$GQ$19,MATCH(148,$B$29:$GQ$29,0))</f>
        <v/>
      </c>
      <c r="ET5">
        <f>INDEX($B$19:$GQ$19,MATCH(149,$B$29:$GQ$29,0))</f>
        <v/>
      </c>
      <c r="EU5">
        <f>INDEX($B$19:$GQ$19,MATCH(150,$B$29:$GQ$29,0))</f>
        <v/>
      </c>
      <c r="EV5">
        <f>INDEX($B$19:$GQ$19,MATCH(151,$B$29:$GQ$29,0))</f>
        <v/>
      </c>
      <c r="EW5">
        <f>INDEX($B$19:$GQ$19,MATCH(152,$B$29:$GQ$29,0))</f>
        <v/>
      </c>
      <c r="EX5">
        <f>INDEX($B$19:$GQ$19,MATCH(153,$B$29:$GQ$29,0))</f>
        <v/>
      </c>
      <c r="EY5">
        <f>INDEX($B$19:$GQ$19,MATCH(154,$B$29:$GQ$29,0))</f>
        <v/>
      </c>
      <c r="EZ5">
        <f>INDEX($B$19:$GQ$19,MATCH(155,$B$29:$GQ$29,0))</f>
        <v/>
      </c>
      <c r="FA5">
        <f>INDEX($B$19:$GQ$19,MATCH(156,$B$29:$GQ$29,0))</f>
        <v/>
      </c>
      <c r="FB5">
        <f>INDEX($B$19:$GQ$19,MATCH(157,$B$29:$GQ$29,0))</f>
        <v/>
      </c>
      <c r="FC5">
        <f>INDEX($B$19:$GQ$19,MATCH(158,$B$29:$GQ$29,0))</f>
        <v/>
      </c>
      <c r="FD5">
        <f>INDEX($B$19:$GQ$19,MATCH(159,$B$29:$GQ$29,0))</f>
        <v/>
      </c>
      <c r="FE5">
        <f>INDEX($B$19:$GQ$19,MATCH(160,$B$29:$GQ$29,0))</f>
        <v/>
      </c>
      <c r="FF5">
        <f>INDEX($B$19:$GQ$19,MATCH(161,$B$29:$GQ$29,0))</f>
        <v/>
      </c>
      <c r="FG5">
        <f>INDEX($B$19:$GQ$19,MATCH(162,$B$29:$GQ$29,0))</f>
        <v/>
      </c>
      <c r="FH5">
        <f>INDEX($B$19:$GQ$19,MATCH(163,$B$29:$GQ$29,0))</f>
        <v/>
      </c>
      <c r="FI5">
        <f>INDEX($B$19:$GQ$19,MATCH(164,$B$29:$GQ$29,0))</f>
        <v/>
      </c>
      <c r="FJ5">
        <f>INDEX($B$19:$GQ$19,MATCH(165,$B$29:$GQ$29,0))</f>
        <v/>
      </c>
      <c r="FK5">
        <f>INDEX($B$19:$GQ$19,MATCH(166,$B$29:$GQ$29,0))</f>
        <v/>
      </c>
      <c r="FL5">
        <f>INDEX($B$19:$GQ$19,MATCH(167,$B$29:$GQ$29,0))</f>
        <v/>
      </c>
      <c r="FM5">
        <f>INDEX($B$19:$GQ$19,MATCH(168,$B$29:$GQ$29,0))</f>
        <v/>
      </c>
      <c r="FN5">
        <f>INDEX($B$19:$GQ$19,MATCH(169,$B$29:$GQ$29,0))</f>
        <v/>
      </c>
      <c r="FO5">
        <f>INDEX($B$19:$GQ$19,MATCH(170,$B$29:$GQ$29,0))</f>
        <v/>
      </c>
      <c r="FP5">
        <f>INDEX($B$19:$GQ$19,MATCH(171,$B$29:$GQ$29,0))</f>
        <v/>
      </c>
      <c r="FQ5">
        <f>INDEX($B$19:$GQ$19,MATCH(172,$B$29:$GQ$29,0))</f>
        <v/>
      </c>
      <c r="FR5">
        <f>INDEX($B$19:$GQ$19,MATCH(173,$B$29:$GQ$29,0))</f>
        <v/>
      </c>
      <c r="FS5">
        <f>INDEX($B$19:$GQ$19,MATCH(174,$B$29:$GQ$29,0))</f>
        <v/>
      </c>
      <c r="FT5">
        <f>INDEX($B$19:$GQ$19,MATCH(175,$B$29:$GQ$29,0))</f>
        <v/>
      </c>
      <c r="FU5">
        <f>INDEX($B$19:$GQ$19,MATCH(176,$B$29:$GQ$29,0))</f>
        <v/>
      </c>
      <c r="FV5">
        <f>INDEX($B$19:$GQ$19,MATCH(177,$B$29:$GQ$29,0))</f>
        <v/>
      </c>
      <c r="FW5">
        <f>INDEX($B$19:$GQ$19,MATCH(178,$B$29:$GQ$29,0))</f>
        <v/>
      </c>
      <c r="FX5">
        <f>INDEX($B$19:$GQ$19,MATCH(179,$B$29:$GQ$29,0))</f>
        <v/>
      </c>
      <c r="FY5">
        <f>INDEX($B$19:$GQ$19,MATCH(180,$B$29:$GQ$29,0))</f>
        <v/>
      </c>
      <c r="FZ5">
        <f>INDEX($B$19:$GQ$19,MATCH(181,$B$29:$GQ$29,0))</f>
        <v/>
      </c>
      <c r="GA5">
        <f>INDEX($B$19:$GQ$19,MATCH(182,$B$29:$GQ$29,0))</f>
        <v/>
      </c>
      <c r="GB5">
        <f>INDEX($B$19:$GQ$19,MATCH(183,$B$29:$GQ$29,0))</f>
        <v/>
      </c>
      <c r="GC5">
        <f>INDEX($B$19:$GQ$19,MATCH(184,$B$29:$GQ$29,0))</f>
        <v/>
      </c>
      <c r="GD5">
        <f>INDEX($B$19:$GQ$19,MATCH(185,$B$29:$GQ$29,0))</f>
        <v/>
      </c>
      <c r="GE5">
        <f>INDEX($B$19:$GQ$19,MATCH(186,$B$29:$GQ$29,0))</f>
        <v/>
      </c>
      <c r="GF5">
        <f>INDEX($B$19:$GQ$19,MATCH(187,$B$29:$GQ$29,0))</f>
        <v/>
      </c>
      <c r="GG5">
        <f>INDEX($B$19:$GQ$19,MATCH(188,$B$29:$GQ$29,0))</f>
        <v/>
      </c>
      <c r="GH5">
        <f>INDEX($B$19:$GQ$19,MATCH(189,$B$29:$GQ$29,0))</f>
        <v/>
      </c>
      <c r="GI5">
        <f>INDEX($B$19:$GQ$19,MATCH(190,$B$29:$GQ$29,0))</f>
        <v/>
      </c>
      <c r="GJ5">
        <f>INDEX($B$19:$GQ$19,MATCH(191,$B$29:$GQ$29,0))</f>
        <v/>
      </c>
      <c r="GK5">
        <f>INDEX($B$19:$GQ$19,MATCH(192,$B$29:$GQ$29,0))</f>
        <v/>
      </c>
      <c r="GL5">
        <f>INDEX($B$19:$GQ$19,MATCH(193,$B$29:$GQ$29,0))</f>
        <v/>
      </c>
      <c r="GM5">
        <f>INDEX($B$19:$GQ$19,MATCH(194,$B$29:$GQ$29,0))</f>
        <v/>
      </c>
      <c r="GN5">
        <f>INDEX($B$19:$GQ$19,MATCH(195,$B$29:$GQ$29,0))</f>
        <v/>
      </c>
      <c r="GO5">
        <f>INDEX($B$19:$GQ$19,MATCH(196,$B$29:$GQ$29,0))</f>
        <v/>
      </c>
      <c r="GP5">
        <f>INDEX($B$19:$GQ$19,MATCH(197,$B$29:$GQ$29,0))</f>
        <v/>
      </c>
      <c r="GQ5">
        <f>INDEX($B$19:$GQ$19,MATCH(198,$B$29:$GQ$29,0))</f>
        <v/>
      </c>
      <c r="GR5">
        <f>INDEX($GR$19:$HC$19,MATCH(1,$GR$30:$HC$30,0))</f>
        <v/>
      </c>
      <c r="GS5">
        <f>INDEX($GR$19:$HC$19,MATCH(2,$GR$30:$HC$30,0))</f>
        <v/>
      </c>
      <c r="GT5">
        <f>INDEX($GR$19:$HC$19,MATCH(3,$GR$30:$HC$30,0))</f>
        <v/>
      </c>
      <c r="GU5">
        <f>INDEX($GR$19:$HC$19,MATCH(4,$GR$30:$HC$30,0))</f>
        <v/>
      </c>
      <c r="GV5">
        <f>INDEX($GR$19:$HC$19,MATCH(5,$GR$30:$HC$30,0))</f>
        <v/>
      </c>
      <c r="GW5">
        <f>INDEX($GR$19:$HC$19,MATCH(6,$GR$30:$HC$30,0))</f>
        <v/>
      </c>
      <c r="GX5">
        <f>INDEX($GR$19:$HC$19,MATCH(7,$GR$30:$HC$30,0))</f>
        <v/>
      </c>
      <c r="GY5">
        <f>INDEX($GR$19:$HC$19,MATCH(8,$GR$30:$HC$30,0))</f>
        <v/>
      </c>
      <c r="GZ5">
        <f>INDEX($GR$19:$HC$19,MATCH(9,$GR$30:$HC$30,0))</f>
        <v/>
      </c>
      <c r="HA5">
        <f>INDEX($GR$19:$HC$19,MATCH(10,$GR$30:$HC$30,0))</f>
        <v/>
      </c>
      <c r="HB5">
        <f>INDEX($GR$19:$HC$19,MATCH(11,$GR$30:$HC$30,0))</f>
        <v/>
      </c>
      <c r="HC5">
        <f>INDEX($GR$19:$HC$19,MATCH(12,$GR$30:$HC$30,0))</f>
        <v/>
      </c>
    </row>
    <row r="6">
      <c r="A6" s="1" t="inlineStr">
        <is>
          <t>M_row</t>
        </is>
      </c>
      <c r="B6">
        <f>INDEX($B$20:$GQ$20,MATCH(1,$B$29:$GQ$29,0))</f>
        <v/>
      </c>
      <c r="C6">
        <f>INDEX($B$20:$GQ$20,MATCH(2,$B$29:$GQ$29,0))</f>
        <v/>
      </c>
      <c r="D6">
        <f>INDEX($B$20:$GQ$20,MATCH(3,$B$29:$GQ$29,0))</f>
        <v/>
      </c>
      <c r="E6">
        <f>INDEX($B$20:$GQ$20,MATCH(4,$B$29:$GQ$29,0))</f>
        <v/>
      </c>
      <c r="F6">
        <f>INDEX($B$20:$GQ$20,MATCH(5,$B$29:$GQ$29,0))</f>
        <v/>
      </c>
      <c r="G6">
        <f>INDEX($B$20:$GQ$20,MATCH(6,$B$29:$GQ$29,0))</f>
        <v/>
      </c>
      <c r="H6">
        <f>INDEX($B$20:$GQ$20,MATCH(7,$B$29:$GQ$29,0))</f>
        <v/>
      </c>
      <c r="I6">
        <f>INDEX($B$20:$GQ$20,MATCH(8,$B$29:$GQ$29,0))</f>
        <v/>
      </c>
      <c r="J6">
        <f>INDEX($B$20:$GQ$20,MATCH(9,$B$29:$GQ$29,0))</f>
        <v/>
      </c>
      <c r="K6">
        <f>INDEX($B$20:$GQ$20,MATCH(10,$B$29:$GQ$29,0))</f>
        <v/>
      </c>
      <c r="L6">
        <f>INDEX($B$20:$GQ$20,MATCH(11,$B$29:$GQ$29,0))</f>
        <v/>
      </c>
      <c r="M6">
        <f>INDEX($B$20:$GQ$20,MATCH(12,$B$29:$GQ$29,0))</f>
        <v/>
      </c>
      <c r="N6">
        <f>INDEX($B$20:$GQ$20,MATCH(13,$B$29:$GQ$29,0))</f>
        <v/>
      </c>
      <c r="O6">
        <f>INDEX($B$20:$GQ$20,MATCH(14,$B$29:$GQ$29,0))</f>
        <v/>
      </c>
      <c r="P6">
        <f>INDEX($B$20:$GQ$20,MATCH(15,$B$29:$GQ$29,0))</f>
        <v/>
      </c>
      <c r="Q6">
        <f>INDEX($B$20:$GQ$20,MATCH(16,$B$29:$GQ$29,0))</f>
        <v/>
      </c>
      <c r="R6">
        <f>INDEX($B$20:$GQ$20,MATCH(17,$B$29:$GQ$29,0))</f>
        <v/>
      </c>
      <c r="S6">
        <f>INDEX($B$20:$GQ$20,MATCH(18,$B$29:$GQ$29,0))</f>
        <v/>
      </c>
      <c r="T6">
        <f>INDEX($B$20:$GQ$20,MATCH(19,$B$29:$GQ$29,0))</f>
        <v/>
      </c>
      <c r="U6">
        <f>INDEX($B$20:$GQ$20,MATCH(20,$B$29:$GQ$29,0))</f>
        <v/>
      </c>
      <c r="V6">
        <f>INDEX($B$20:$GQ$20,MATCH(21,$B$29:$GQ$29,0))</f>
        <v/>
      </c>
      <c r="W6">
        <f>INDEX($B$20:$GQ$20,MATCH(22,$B$29:$GQ$29,0))</f>
        <v/>
      </c>
      <c r="X6">
        <f>INDEX($B$20:$GQ$20,MATCH(23,$B$29:$GQ$29,0))</f>
        <v/>
      </c>
      <c r="Y6">
        <f>INDEX($B$20:$GQ$20,MATCH(24,$B$29:$GQ$29,0))</f>
        <v/>
      </c>
      <c r="Z6">
        <f>INDEX($B$20:$GQ$20,MATCH(25,$B$29:$GQ$29,0))</f>
        <v/>
      </c>
      <c r="AA6">
        <f>INDEX($B$20:$GQ$20,MATCH(26,$B$29:$GQ$29,0))</f>
        <v/>
      </c>
      <c r="AB6">
        <f>INDEX($B$20:$GQ$20,MATCH(27,$B$29:$GQ$29,0))</f>
        <v/>
      </c>
      <c r="AC6">
        <f>INDEX($B$20:$GQ$20,MATCH(28,$B$29:$GQ$29,0))</f>
        <v/>
      </c>
      <c r="AD6">
        <f>INDEX($B$20:$GQ$20,MATCH(29,$B$29:$GQ$29,0))</f>
        <v/>
      </c>
      <c r="AE6">
        <f>INDEX($B$20:$GQ$20,MATCH(30,$B$29:$GQ$29,0))</f>
        <v/>
      </c>
      <c r="AF6">
        <f>INDEX($B$20:$GQ$20,MATCH(31,$B$29:$GQ$29,0))</f>
        <v/>
      </c>
      <c r="AG6">
        <f>INDEX($B$20:$GQ$20,MATCH(32,$B$29:$GQ$29,0))</f>
        <v/>
      </c>
      <c r="AH6">
        <f>INDEX($B$20:$GQ$20,MATCH(33,$B$29:$GQ$29,0))</f>
        <v/>
      </c>
      <c r="AI6">
        <f>INDEX($B$20:$GQ$20,MATCH(34,$B$29:$GQ$29,0))</f>
        <v/>
      </c>
      <c r="AJ6">
        <f>INDEX($B$20:$GQ$20,MATCH(35,$B$29:$GQ$29,0))</f>
        <v/>
      </c>
      <c r="AK6">
        <f>INDEX($B$20:$GQ$20,MATCH(36,$B$29:$GQ$29,0))</f>
        <v/>
      </c>
      <c r="AL6">
        <f>INDEX($B$20:$GQ$20,MATCH(37,$B$29:$GQ$29,0))</f>
        <v/>
      </c>
      <c r="AM6">
        <f>INDEX($B$20:$GQ$20,MATCH(38,$B$29:$GQ$29,0))</f>
        <v/>
      </c>
      <c r="AN6">
        <f>INDEX($B$20:$GQ$20,MATCH(39,$B$29:$GQ$29,0))</f>
        <v/>
      </c>
      <c r="AO6">
        <f>INDEX($B$20:$GQ$20,MATCH(40,$B$29:$GQ$29,0))</f>
        <v/>
      </c>
      <c r="AP6">
        <f>INDEX($B$20:$GQ$20,MATCH(41,$B$29:$GQ$29,0))</f>
        <v/>
      </c>
      <c r="AQ6">
        <f>INDEX($B$20:$GQ$20,MATCH(42,$B$29:$GQ$29,0))</f>
        <v/>
      </c>
      <c r="AR6">
        <f>INDEX($B$20:$GQ$20,MATCH(43,$B$29:$GQ$29,0))</f>
        <v/>
      </c>
      <c r="AS6">
        <f>INDEX($B$20:$GQ$20,MATCH(44,$B$29:$GQ$29,0))</f>
        <v/>
      </c>
      <c r="AT6">
        <f>INDEX($B$20:$GQ$20,MATCH(45,$B$29:$GQ$29,0))</f>
        <v/>
      </c>
      <c r="AU6">
        <f>INDEX($B$20:$GQ$20,MATCH(46,$B$29:$GQ$29,0))</f>
        <v/>
      </c>
      <c r="AV6">
        <f>INDEX($B$20:$GQ$20,MATCH(47,$B$29:$GQ$29,0))</f>
        <v/>
      </c>
      <c r="AW6">
        <f>INDEX($B$20:$GQ$20,MATCH(48,$B$29:$GQ$29,0))</f>
        <v/>
      </c>
      <c r="AX6">
        <f>INDEX($B$20:$GQ$20,MATCH(49,$B$29:$GQ$29,0))</f>
        <v/>
      </c>
      <c r="AY6">
        <f>INDEX($B$20:$GQ$20,MATCH(50,$B$29:$GQ$29,0))</f>
        <v/>
      </c>
      <c r="AZ6">
        <f>INDEX($B$20:$GQ$20,MATCH(51,$B$29:$GQ$29,0))</f>
        <v/>
      </c>
      <c r="BA6">
        <f>INDEX($B$20:$GQ$20,MATCH(52,$B$29:$GQ$29,0))</f>
        <v/>
      </c>
      <c r="BB6">
        <f>INDEX($B$20:$GQ$20,MATCH(53,$B$29:$GQ$29,0))</f>
        <v/>
      </c>
      <c r="BC6">
        <f>INDEX($B$20:$GQ$20,MATCH(54,$B$29:$GQ$29,0))</f>
        <v/>
      </c>
      <c r="BD6">
        <f>INDEX($B$20:$GQ$20,MATCH(55,$B$29:$GQ$29,0))</f>
        <v/>
      </c>
      <c r="BE6">
        <f>INDEX($B$20:$GQ$20,MATCH(56,$B$29:$GQ$29,0))</f>
        <v/>
      </c>
      <c r="BF6">
        <f>INDEX($B$20:$GQ$20,MATCH(57,$B$29:$GQ$29,0))</f>
        <v/>
      </c>
      <c r="BG6">
        <f>INDEX($B$20:$GQ$20,MATCH(58,$B$29:$GQ$29,0))</f>
        <v/>
      </c>
      <c r="BH6">
        <f>INDEX($B$20:$GQ$20,MATCH(59,$B$29:$GQ$29,0))</f>
        <v/>
      </c>
      <c r="BI6">
        <f>INDEX($B$20:$GQ$20,MATCH(60,$B$29:$GQ$29,0))</f>
        <v/>
      </c>
      <c r="BJ6">
        <f>INDEX($B$20:$GQ$20,MATCH(61,$B$29:$GQ$29,0))</f>
        <v/>
      </c>
      <c r="BK6">
        <f>INDEX($B$20:$GQ$20,MATCH(62,$B$29:$GQ$29,0))</f>
        <v/>
      </c>
      <c r="BL6">
        <f>INDEX($B$20:$GQ$20,MATCH(63,$B$29:$GQ$29,0))</f>
        <v/>
      </c>
      <c r="BM6">
        <f>INDEX($B$20:$GQ$20,MATCH(64,$B$29:$GQ$29,0))</f>
        <v/>
      </c>
      <c r="BN6">
        <f>INDEX($B$20:$GQ$20,MATCH(65,$B$29:$GQ$29,0))</f>
        <v/>
      </c>
      <c r="BO6">
        <f>INDEX($B$20:$GQ$20,MATCH(66,$B$29:$GQ$29,0))</f>
        <v/>
      </c>
      <c r="BP6">
        <f>INDEX($B$20:$GQ$20,MATCH(67,$B$29:$GQ$29,0))</f>
        <v/>
      </c>
      <c r="BQ6">
        <f>INDEX($B$20:$GQ$20,MATCH(68,$B$29:$GQ$29,0))</f>
        <v/>
      </c>
      <c r="BR6">
        <f>INDEX($B$20:$GQ$20,MATCH(69,$B$29:$GQ$29,0))</f>
        <v/>
      </c>
      <c r="BS6">
        <f>INDEX($B$20:$GQ$20,MATCH(70,$B$29:$GQ$29,0))</f>
        <v/>
      </c>
      <c r="BT6">
        <f>INDEX($B$20:$GQ$20,MATCH(71,$B$29:$GQ$29,0))</f>
        <v/>
      </c>
      <c r="BU6">
        <f>INDEX($B$20:$GQ$20,MATCH(72,$B$29:$GQ$29,0))</f>
        <v/>
      </c>
      <c r="BV6">
        <f>INDEX($B$20:$GQ$20,MATCH(73,$B$29:$GQ$29,0))</f>
        <v/>
      </c>
      <c r="BW6">
        <f>INDEX($B$20:$GQ$20,MATCH(74,$B$29:$GQ$29,0))</f>
        <v/>
      </c>
      <c r="BX6">
        <f>INDEX($B$20:$GQ$20,MATCH(75,$B$29:$GQ$29,0))</f>
        <v/>
      </c>
      <c r="BY6">
        <f>INDEX($B$20:$GQ$20,MATCH(76,$B$29:$GQ$29,0))</f>
        <v/>
      </c>
      <c r="BZ6">
        <f>INDEX($B$20:$GQ$20,MATCH(77,$B$29:$GQ$29,0))</f>
        <v/>
      </c>
      <c r="CA6">
        <f>INDEX($B$20:$GQ$20,MATCH(78,$B$29:$GQ$29,0))</f>
        <v/>
      </c>
      <c r="CB6">
        <f>INDEX($B$20:$GQ$20,MATCH(79,$B$29:$GQ$29,0))</f>
        <v/>
      </c>
      <c r="CC6">
        <f>INDEX($B$20:$GQ$20,MATCH(80,$B$29:$GQ$29,0))</f>
        <v/>
      </c>
      <c r="CD6">
        <f>INDEX($B$20:$GQ$20,MATCH(81,$B$29:$GQ$29,0))</f>
        <v/>
      </c>
      <c r="CE6">
        <f>INDEX($B$20:$GQ$20,MATCH(82,$B$29:$GQ$29,0))</f>
        <v/>
      </c>
      <c r="CF6">
        <f>INDEX($B$20:$GQ$20,MATCH(83,$B$29:$GQ$29,0))</f>
        <v/>
      </c>
      <c r="CG6">
        <f>INDEX($B$20:$GQ$20,MATCH(84,$B$29:$GQ$29,0))</f>
        <v/>
      </c>
      <c r="CH6">
        <f>INDEX($B$20:$GQ$20,MATCH(85,$B$29:$GQ$29,0))</f>
        <v/>
      </c>
      <c r="CI6">
        <f>INDEX($B$20:$GQ$20,MATCH(86,$B$29:$GQ$29,0))</f>
        <v/>
      </c>
      <c r="CJ6">
        <f>INDEX($B$20:$GQ$20,MATCH(87,$B$29:$GQ$29,0))</f>
        <v/>
      </c>
      <c r="CK6">
        <f>INDEX($B$20:$GQ$20,MATCH(88,$B$29:$GQ$29,0))</f>
        <v/>
      </c>
      <c r="CL6">
        <f>INDEX($B$20:$GQ$20,MATCH(89,$B$29:$GQ$29,0))</f>
        <v/>
      </c>
      <c r="CM6">
        <f>INDEX($B$20:$GQ$20,MATCH(90,$B$29:$GQ$29,0))</f>
        <v/>
      </c>
      <c r="CN6">
        <f>INDEX($B$20:$GQ$20,MATCH(91,$B$29:$GQ$29,0))</f>
        <v/>
      </c>
      <c r="CO6">
        <f>INDEX($B$20:$GQ$20,MATCH(92,$B$29:$GQ$29,0))</f>
        <v/>
      </c>
      <c r="CP6">
        <f>INDEX($B$20:$GQ$20,MATCH(93,$B$29:$GQ$29,0))</f>
        <v/>
      </c>
      <c r="CQ6">
        <f>INDEX($B$20:$GQ$20,MATCH(94,$B$29:$GQ$29,0))</f>
        <v/>
      </c>
      <c r="CR6">
        <f>INDEX($B$20:$GQ$20,MATCH(95,$B$29:$GQ$29,0))</f>
        <v/>
      </c>
      <c r="CS6">
        <f>INDEX($B$20:$GQ$20,MATCH(96,$B$29:$GQ$29,0))</f>
        <v/>
      </c>
      <c r="CT6">
        <f>INDEX($B$20:$GQ$20,MATCH(97,$B$29:$GQ$29,0))</f>
        <v/>
      </c>
      <c r="CU6">
        <f>INDEX($B$20:$GQ$20,MATCH(98,$B$29:$GQ$29,0))</f>
        <v/>
      </c>
      <c r="CV6">
        <f>INDEX($B$20:$GQ$20,MATCH(99,$B$29:$GQ$29,0))</f>
        <v/>
      </c>
      <c r="CW6">
        <f>INDEX($B$20:$GQ$20,MATCH(100,$B$29:$GQ$29,0))</f>
        <v/>
      </c>
      <c r="CX6">
        <f>INDEX($B$20:$GQ$20,MATCH(101,$B$29:$GQ$29,0))</f>
        <v/>
      </c>
      <c r="CY6">
        <f>INDEX($B$20:$GQ$20,MATCH(102,$B$29:$GQ$29,0))</f>
        <v/>
      </c>
      <c r="CZ6">
        <f>INDEX($B$20:$GQ$20,MATCH(103,$B$29:$GQ$29,0))</f>
        <v/>
      </c>
      <c r="DA6">
        <f>INDEX($B$20:$GQ$20,MATCH(104,$B$29:$GQ$29,0))</f>
        <v/>
      </c>
      <c r="DB6">
        <f>INDEX($B$20:$GQ$20,MATCH(105,$B$29:$GQ$29,0))</f>
        <v/>
      </c>
      <c r="DC6">
        <f>INDEX($B$20:$GQ$20,MATCH(106,$B$29:$GQ$29,0))</f>
        <v/>
      </c>
      <c r="DD6">
        <f>INDEX($B$20:$GQ$20,MATCH(107,$B$29:$GQ$29,0))</f>
        <v/>
      </c>
      <c r="DE6">
        <f>INDEX($B$20:$GQ$20,MATCH(108,$B$29:$GQ$29,0))</f>
        <v/>
      </c>
      <c r="DF6">
        <f>INDEX($B$20:$GQ$20,MATCH(109,$B$29:$GQ$29,0))</f>
        <v/>
      </c>
      <c r="DG6">
        <f>INDEX($B$20:$GQ$20,MATCH(110,$B$29:$GQ$29,0))</f>
        <v/>
      </c>
      <c r="DH6">
        <f>INDEX($B$20:$GQ$20,MATCH(111,$B$29:$GQ$29,0))</f>
        <v/>
      </c>
      <c r="DI6">
        <f>INDEX($B$20:$GQ$20,MATCH(112,$B$29:$GQ$29,0))</f>
        <v/>
      </c>
      <c r="DJ6">
        <f>INDEX($B$20:$GQ$20,MATCH(113,$B$29:$GQ$29,0))</f>
        <v/>
      </c>
      <c r="DK6">
        <f>INDEX($B$20:$GQ$20,MATCH(114,$B$29:$GQ$29,0))</f>
        <v/>
      </c>
      <c r="DL6">
        <f>INDEX($B$20:$GQ$20,MATCH(115,$B$29:$GQ$29,0))</f>
        <v/>
      </c>
      <c r="DM6">
        <f>INDEX($B$20:$GQ$20,MATCH(116,$B$29:$GQ$29,0))</f>
        <v/>
      </c>
      <c r="DN6">
        <f>INDEX($B$20:$GQ$20,MATCH(117,$B$29:$GQ$29,0))</f>
        <v/>
      </c>
      <c r="DO6">
        <f>INDEX($B$20:$GQ$20,MATCH(118,$B$29:$GQ$29,0))</f>
        <v/>
      </c>
      <c r="DP6">
        <f>INDEX($B$20:$GQ$20,MATCH(119,$B$29:$GQ$29,0))</f>
        <v/>
      </c>
      <c r="DQ6">
        <f>INDEX($B$20:$GQ$20,MATCH(120,$B$29:$GQ$29,0))</f>
        <v/>
      </c>
      <c r="DR6">
        <f>INDEX($B$20:$GQ$20,MATCH(121,$B$29:$GQ$29,0))</f>
        <v/>
      </c>
      <c r="DS6">
        <f>INDEX($B$20:$GQ$20,MATCH(122,$B$29:$GQ$29,0))</f>
        <v/>
      </c>
      <c r="DT6">
        <f>INDEX($B$20:$GQ$20,MATCH(123,$B$29:$GQ$29,0))</f>
        <v/>
      </c>
      <c r="DU6">
        <f>INDEX($B$20:$GQ$20,MATCH(124,$B$29:$GQ$29,0))</f>
        <v/>
      </c>
      <c r="DV6">
        <f>INDEX($B$20:$GQ$20,MATCH(125,$B$29:$GQ$29,0))</f>
        <v/>
      </c>
      <c r="DW6">
        <f>INDEX($B$20:$GQ$20,MATCH(126,$B$29:$GQ$29,0))</f>
        <v/>
      </c>
      <c r="DX6">
        <f>INDEX($B$20:$GQ$20,MATCH(127,$B$29:$GQ$29,0))</f>
        <v/>
      </c>
      <c r="DY6">
        <f>INDEX($B$20:$GQ$20,MATCH(128,$B$29:$GQ$29,0))</f>
        <v/>
      </c>
      <c r="DZ6">
        <f>INDEX($B$20:$GQ$20,MATCH(129,$B$29:$GQ$29,0))</f>
        <v/>
      </c>
      <c r="EA6">
        <f>INDEX($B$20:$GQ$20,MATCH(130,$B$29:$GQ$29,0))</f>
        <v/>
      </c>
      <c r="EB6">
        <f>INDEX($B$20:$GQ$20,MATCH(131,$B$29:$GQ$29,0))</f>
        <v/>
      </c>
      <c r="EC6">
        <f>INDEX($B$20:$GQ$20,MATCH(132,$B$29:$GQ$29,0))</f>
        <v/>
      </c>
      <c r="ED6">
        <f>INDEX($B$20:$GQ$20,MATCH(133,$B$29:$GQ$29,0))</f>
        <v/>
      </c>
      <c r="EE6">
        <f>INDEX($B$20:$GQ$20,MATCH(134,$B$29:$GQ$29,0))</f>
        <v/>
      </c>
      <c r="EF6">
        <f>INDEX($B$20:$GQ$20,MATCH(135,$B$29:$GQ$29,0))</f>
        <v/>
      </c>
      <c r="EG6">
        <f>INDEX($B$20:$GQ$20,MATCH(136,$B$29:$GQ$29,0))</f>
        <v/>
      </c>
      <c r="EH6">
        <f>INDEX($B$20:$GQ$20,MATCH(137,$B$29:$GQ$29,0))</f>
        <v/>
      </c>
      <c r="EI6">
        <f>INDEX($B$20:$GQ$20,MATCH(138,$B$29:$GQ$29,0))</f>
        <v/>
      </c>
      <c r="EJ6">
        <f>INDEX($B$20:$GQ$20,MATCH(139,$B$29:$GQ$29,0))</f>
        <v/>
      </c>
      <c r="EK6">
        <f>INDEX($B$20:$GQ$20,MATCH(140,$B$29:$GQ$29,0))</f>
        <v/>
      </c>
      <c r="EL6">
        <f>INDEX($B$20:$GQ$20,MATCH(141,$B$29:$GQ$29,0))</f>
        <v/>
      </c>
      <c r="EM6">
        <f>INDEX($B$20:$GQ$20,MATCH(142,$B$29:$GQ$29,0))</f>
        <v/>
      </c>
      <c r="EN6">
        <f>INDEX($B$20:$GQ$20,MATCH(143,$B$29:$GQ$29,0))</f>
        <v/>
      </c>
      <c r="EO6">
        <f>INDEX($B$20:$GQ$20,MATCH(144,$B$29:$GQ$29,0))</f>
        <v/>
      </c>
      <c r="EP6">
        <f>INDEX($B$20:$GQ$20,MATCH(145,$B$29:$GQ$29,0))</f>
        <v/>
      </c>
      <c r="EQ6">
        <f>INDEX($B$20:$GQ$20,MATCH(146,$B$29:$GQ$29,0))</f>
        <v/>
      </c>
      <c r="ER6">
        <f>INDEX($B$20:$GQ$20,MATCH(147,$B$29:$GQ$29,0))</f>
        <v/>
      </c>
      <c r="ES6">
        <f>INDEX($B$20:$GQ$20,MATCH(148,$B$29:$GQ$29,0))</f>
        <v/>
      </c>
      <c r="ET6">
        <f>INDEX($B$20:$GQ$20,MATCH(149,$B$29:$GQ$29,0))</f>
        <v/>
      </c>
      <c r="EU6">
        <f>INDEX($B$20:$GQ$20,MATCH(150,$B$29:$GQ$29,0))</f>
        <v/>
      </c>
      <c r="EV6">
        <f>INDEX($B$20:$GQ$20,MATCH(151,$B$29:$GQ$29,0))</f>
        <v/>
      </c>
      <c r="EW6">
        <f>INDEX($B$20:$GQ$20,MATCH(152,$B$29:$GQ$29,0))</f>
        <v/>
      </c>
      <c r="EX6">
        <f>INDEX($B$20:$GQ$20,MATCH(153,$B$29:$GQ$29,0))</f>
        <v/>
      </c>
      <c r="EY6">
        <f>INDEX($B$20:$GQ$20,MATCH(154,$B$29:$GQ$29,0))</f>
        <v/>
      </c>
      <c r="EZ6">
        <f>INDEX($B$20:$GQ$20,MATCH(155,$B$29:$GQ$29,0))</f>
        <v/>
      </c>
      <c r="FA6">
        <f>INDEX($B$20:$GQ$20,MATCH(156,$B$29:$GQ$29,0))</f>
        <v/>
      </c>
      <c r="FB6">
        <f>INDEX($B$20:$GQ$20,MATCH(157,$B$29:$GQ$29,0))</f>
        <v/>
      </c>
      <c r="FC6">
        <f>INDEX($B$20:$GQ$20,MATCH(158,$B$29:$GQ$29,0))</f>
        <v/>
      </c>
      <c r="FD6">
        <f>INDEX($B$20:$GQ$20,MATCH(159,$B$29:$GQ$29,0))</f>
        <v/>
      </c>
      <c r="FE6">
        <f>INDEX($B$20:$GQ$20,MATCH(160,$B$29:$GQ$29,0))</f>
        <v/>
      </c>
      <c r="FF6">
        <f>INDEX($B$20:$GQ$20,MATCH(161,$B$29:$GQ$29,0))</f>
        <v/>
      </c>
      <c r="FG6">
        <f>INDEX($B$20:$GQ$20,MATCH(162,$B$29:$GQ$29,0))</f>
        <v/>
      </c>
      <c r="FH6">
        <f>INDEX($B$20:$GQ$20,MATCH(163,$B$29:$GQ$29,0))</f>
        <v/>
      </c>
      <c r="FI6">
        <f>INDEX($B$20:$GQ$20,MATCH(164,$B$29:$GQ$29,0))</f>
        <v/>
      </c>
      <c r="FJ6">
        <f>INDEX($B$20:$GQ$20,MATCH(165,$B$29:$GQ$29,0))</f>
        <v/>
      </c>
      <c r="FK6">
        <f>INDEX($B$20:$GQ$20,MATCH(166,$B$29:$GQ$29,0))</f>
        <v/>
      </c>
      <c r="FL6">
        <f>INDEX($B$20:$GQ$20,MATCH(167,$B$29:$GQ$29,0))</f>
        <v/>
      </c>
      <c r="FM6">
        <f>INDEX($B$20:$GQ$20,MATCH(168,$B$29:$GQ$29,0))</f>
        <v/>
      </c>
      <c r="FN6">
        <f>INDEX($B$20:$GQ$20,MATCH(169,$B$29:$GQ$29,0))</f>
        <v/>
      </c>
      <c r="FO6">
        <f>INDEX($B$20:$GQ$20,MATCH(170,$B$29:$GQ$29,0))</f>
        <v/>
      </c>
      <c r="FP6">
        <f>INDEX($B$20:$GQ$20,MATCH(171,$B$29:$GQ$29,0))</f>
        <v/>
      </c>
      <c r="FQ6">
        <f>INDEX($B$20:$GQ$20,MATCH(172,$B$29:$GQ$29,0))</f>
        <v/>
      </c>
      <c r="FR6">
        <f>INDEX($B$20:$GQ$20,MATCH(173,$B$29:$GQ$29,0))</f>
        <v/>
      </c>
      <c r="FS6">
        <f>INDEX($B$20:$GQ$20,MATCH(174,$B$29:$GQ$29,0))</f>
        <v/>
      </c>
      <c r="FT6">
        <f>INDEX($B$20:$GQ$20,MATCH(175,$B$29:$GQ$29,0))</f>
        <v/>
      </c>
      <c r="FU6">
        <f>INDEX($B$20:$GQ$20,MATCH(176,$B$29:$GQ$29,0))</f>
        <v/>
      </c>
      <c r="FV6">
        <f>INDEX($B$20:$GQ$20,MATCH(177,$B$29:$GQ$29,0))</f>
        <v/>
      </c>
      <c r="FW6">
        <f>INDEX($B$20:$GQ$20,MATCH(178,$B$29:$GQ$29,0))</f>
        <v/>
      </c>
      <c r="FX6">
        <f>INDEX($B$20:$GQ$20,MATCH(179,$B$29:$GQ$29,0))</f>
        <v/>
      </c>
      <c r="FY6">
        <f>INDEX($B$20:$GQ$20,MATCH(180,$B$29:$GQ$29,0))</f>
        <v/>
      </c>
      <c r="FZ6">
        <f>INDEX($B$20:$GQ$20,MATCH(181,$B$29:$GQ$29,0))</f>
        <v/>
      </c>
      <c r="GA6">
        <f>INDEX($B$20:$GQ$20,MATCH(182,$B$29:$GQ$29,0))</f>
        <v/>
      </c>
      <c r="GB6">
        <f>INDEX($B$20:$GQ$20,MATCH(183,$B$29:$GQ$29,0))</f>
        <v/>
      </c>
      <c r="GC6">
        <f>INDEX($B$20:$GQ$20,MATCH(184,$B$29:$GQ$29,0))</f>
        <v/>
      </c>
      <c r="GD6">
        <f>INDEX($B$20:$GQ$20,MATCH(185,$B$29:$GQ$29,0))</f>
        <v/>
      </c>
      <c r="GE6">
        <f>INDEX($B$20:$GQ$20,MATCH(186,$B$29:$GQ$29,0))</f>
        <v/>
      </c>
      <c r="GF6">
        <f>INDEX($B$20:$GQ$20,MATCH(187,$B$29:$GQ$29,0))</f>
        <v/>
      </c>
      <c r="GG6">
        <f>INDEX($B$20:$GQ$20,MATCH(188,$B$29:$GQ$29,0))</f>
        <v/>
      </c>
      <c r="GH6">
        <f>INDEX($B$20:$GQ$20,MATCH(189,$B$29:$GQ$29,0))</f>
        <v/>
      </c>
      <c r="GI6">
        <f>INDEX($B$20:$GQ$20,MATCH(190,$B$29:$GQ$29,0))</f>
        <v/>
      </c>
      <c r="GJ6">
        <f>INDEX($B$20:$GQ$20,MATCH(191,$B$29:$GQ$29,0))</f>
        <v/>
      </c>
      <c r="GK6">
        <f>INDEX($B$20:$GQ$20,MATCH(192,$B$29:$GQ$29,0))</f>
        <v/>
      </c>
      <c r="GL6">
        <f>INDEX($B$20:$GQ$20,MATCH(193,$B$29:$GQ$29,0))</f>
        <v/>
      </c>
      <c r="GM6">
        <f>INDEX($B$20:$GQ$20,MATCH(194,$B$29:$GQ$29,0))</f>
        <v/>
      </c>
      <c r="GN6">
        <f>INDEX($B$20:$GQ$20,MATCH(195,$B$29:$GQ$29,0))</f>
        <v/>
      </c>
      <c r="GO6">
        <f>INDEX($B$20:$GQ$20,MATCH(196,$B$29:$GQ$29,0))</f>
        <v/>
      </c>
      <c r="GP6">
        <f>INDEX($B$20:$GQ$20,MATCH(197,$B$29:$GQ$29,0))</f>
        <v/>
      </c>
      <c r="GQ6">
        <f>INDEX($B$20:$GQ$20,MATCH(198,$B$29:$GQ$29,0))</f>
        <v/>
      </c>
      <c r="GR6">
        <f>INDEX($GR$20:$HC$20,MATCH(1,$GR$30:$HC$30,0))</f>
        <v/>
      </c>
      <c r="GS6">
        <f>INDEX($GR$20:$HC$20,MATCH(2,$GR$30:$HC$30,0))</f>
        <v/>
      </c>
      <c r="GT6">
        <f>INDEX($GR$20:$HC$20,MATCH(3,$GR$30:$HC$30,0))</f>
        <v/>
      </c>
      <c r="GU6">
        <f>INDEX($GR$20:$HC$20,MATCH(4,$GR$30:$HC$30,0))</f>
        <v/>
      </c>
      <c r="GV6">
        <f>INDEX($GR$20:$HC$20,MATCH(5,$GR$30:$HC$30,0))</f>
        <v/>
      </c>
      <c r="GW6">
        <f>INDEX($GR$20:$HC$20,MATCH(6,$GR$30:$HC$30,0))</f>
        <v/>
      </c>
      <c r="GX6">
        <f>INDEX($GR$20:$HC$20,MATCH(7,$GR$30:$HC$30,0))</f>
        <v/>
      </c>
      <c r="GY6">
        <f>INDEX($GR$20:$HC$20,MATCH(8,$GR$30:$HC$30,0))</f>
        <v/>
      </c>
      <c r="GZ6">
        <f>INDEX($GR$20:$HC$20,MATCH(9,$GR$30:$HC$30,0))</f>
        <v/>
      </c>
      <c r="HA6">
        <f>INDEX($GR$20:$HC$20,MATCH(10,$GR$30:$HC$30,0))</f>
        <v/>
      </c>
      <c r="HB6">
        <f>INDEX($GR$20:$HC$20,MATCH(11,$GR$30:$HC$30,0))</f>
        <v/>
      </c>
      <c r="HC6">
        <f>INDEX($GR$20:$HC$20,MATCH(12,$GR$30:$HC$30,0))</f>
        <v/>
      </c>
    </row>
    <row r="7">
      <c r="A7" s="1" t="inlineStr">
        <is>
          <t>Y_imp</t>
        </is>
      </c>
      <c r="B7">
        <f>INDEX($B$21:$GQ$21,MATCH(1,$B$29:$GQ$29,0))</f>
        <v/>
      </c>
      <c r="C7">
        <f>INDEX($B$21:$GQ$21,MATCH(2,$B$29:$GQ$29,0))</f>
        <v/>
      </c>
      <c r="D7">
        <f>INDEX($B$21:$GQ$21,MATCH(3,$B$29:$GQ$29,0))</f>
        <v/>
      </c>
      <c r="E7">
        <f>INDEX($B$21:$GQ$21,MATCH(4,$B$29:$GQ$29,0))</f>
        <v/>
      </c>
      <c r="F7">
        <f>INDEX($B$21:$GQ$21,MATCH(5,$B$29:$GQ$29,0))</f>
        <v/>
      </c>
      <c r="G7">
        <f>INDEX($B$21:$GQ$21,MATCH(6,$B$29:$GQ$29,0))</f>
        <v/>
      </c>
      <c r="H7">
        <f>INDEX($B$21:$GQ$21,MATCH(7,$B$29:$GQ$29,0))</f>
        <v/>
      </c>
      <c r="I7">
        <f>INDEX($B$21:$GQ$21,MATCH(8,$B$29:$GQ$29,0))</f>
        <v/>
      </c>
      <c r="J7">
        <f>INDEX($B$21:$GQ$21,MATCH(9,$B$29:$GQ$29,0))</f>
        <v/>
      </c>
      <c r="K7">
        <f>INDEX($B$21:$GQ$21,MATCH(10,$B$29:$GQ$29,0))</f>
        <v/>
      </c>
      <c r="L7">
        <f>INDEX($B$21:$GQ$21,MATCH(11,$B$29:$GQ$29,0))</f>
        <v/>
      </c>
      <c r="M7">
        <f>INDEX($B$21:$GQ$21,MATCH(12,$B$29:$GQ$29,0))</f>
        <v/>
      </c>
      <c r="N7">
        <f>INDEX($B$21:$GQ$21,MATCH(13,$B$29:$GQ$29,0))</f>
        <v/>
      </c>
      <c r="O7">
        <f>INDEX($B$21:$GQ$21,MATCH(14,$B$29:$GQ$29,0))</f>
        <v/>
      </c>
      <c r="P7">
        <f>INDEX($B$21:$GQ$21,MATCH(15,$B$29:$GQ$29,0))</f>
        <v/>
      </c>
      <c r="Q7">
        <f>INDEX($B$21:$GQ$21,MATCH(16,$B$29:$GQ$29,0))</f>
        <v/>
      </c>
      <c r="R7">
        <f>INDEX($B$21:$GQ$21,MATCH(17,$B$29:$GQ$29,0))</f>
        <v/>
      </c>
      <c r="S7">
        <f>INDEX($B$21:$GQ$21,MATCH(18,$B$29:$GQ$29,0))</f>
        <v/>
      </c>
      <c r="T7">
        <f>INDEX($B$21:$GQ$21,MATCH(19,$B$29:$GQ$29,0))</f>
        <v/>
      </c>
      <c r="U7">
        <f>INDEX($B$21:$GQ$21,MATCH(20,$B$29:$GQ$29,0))</f>
        <v/>
      </c>
      <c r="V7">
        <f>INDEX($B$21:$GQ$21,MATCH(21,$B$29:$GQ$29,0))</f>
        <v/>
      </c>
      <c r="W7">
        <f>INDEX($B$21:$GQ$21,MATCH(22,$B$29:$GQ$29,0))</f>
        <v/>
      </c>
      <c r="X7">
        <f>INDEX($B$21:$GQ$21,MATCH(23,$B$29:$GQ$29,0))</f>
        <v/>
      </c>
      <c r="Y7">
        <f>INDEX($B$21:$GQ$21,MATCH(24,$B$29:$GQ$29,0))</f>
        <v/>
      </c>
      <c r="Z7">
        <f>INDEX($B$21:$GQ$21,MATCH(25,$B$29:$GQ$29,0))</f>
        <v/>
      </c>
      <c r="AA7">
        <f>INDEX($B$21:$GQ$21,MATCH(26,$B$29:$GQ$29,0))</f>
        <v/>
      </c>
      <c r="AB7">
        <f>INDEX($B$21:$GQ$21,MATCH(27,$B$29:$GQ$29,0))</f>
        <v/>
      </c>
      <c r="AC7">
        <f>INDEX($B$21:$GQ$21,MATCH(28,$B$29:$GQ$29,0))</f>
        <v/>
      </c>
      <c r="AD7">
        <f>INDEX($B$21:$GQ$21,MATCH(29,$B$29:$GQ$29,0))</f>
        <v/>
      </c>
      <c r="AE7">
        <f>INDEX($B$21:$GQ$21,MATCH(30,$B$29:$GQ$29,0))</f>
        <v/>
      </c>
      <c r="AF7">
        <f>INDEX($B$21:$GQ$21,MATCH(31,$B$29:$GQ$29,0))</f>
        <v/>
      </c>
      <c r="AG7">
        <f>INDEX($B$21:$GQ$21,MATCH(32,$B$29:$GQ$29,0))</f>
        <v/>
      </c>
      <c r="AH7">
        <f>INDEX($B$21:$GQ$21,MATCH(33,$B$29:$GQ$29,0))</f>
        <v/>
      </c>
      <c r="AI7">
        <f>INDEX($B$21:$GQ$21,MATCH(34,$B$29:$GQ$29,0))</f>
        <v/>
      </c>
      <c r="AJ7">
        <f>INDEX($B$21:$GQ$21,MATCH(35,$B$29:$GQ$29,0))</f>
        <v/>
      </c>
      <c r="AK7">
        <f>INDEX($B$21:$GQ$21,MATCH(36,$B$29:$GQ$29,0))</f>
        <v/>
      </c>
      <c r="AL7">
        <f>INDEX($B$21:$GQ$21,MATCH(37,$B$29:$GQ$29,0))</f>
        <v/>
      </c>
      <c r="AM7">
        <f>INDEX($B$21:$GQ$21,MATCH(38,$B$29:$GQ$29,0))</f>
        <v/>
      </c>
      <c r="AN7">
        <f>INDEX($B$21:$GQ$21,MATCH(39,$B$29:$GQ$29,0))</f>
        <v/>
      </c>
      <c r="AO7">
        <f>INDEX($B$21:$GQ$21,MATCH(40,$B$29:$GQ$29,0))</f>
        <v/>
      </c>
      <c r="AP7">
        <f>INDEX($B$21:$GQ$21,MATCH(41,$B$29:$GQ$29,0))</f>
        <v/>
      </c>
      <c r="AQ7">
        <f>INDEX($B$21:$GQ$21,MATCH(42,$B$29:$GQ$29,0))</f>
        <v/>
      </c>
      <c r="AR7">
        <f>INDEX($B$21:$GQ$21,MATCH(43,$B$29:$GQ$29,0))</f>
        <v/>
      </c>
      <c r="AS7">
        <f>INDEX($B$21:$GQ$21,MATCH(44,$B$29:$GQ$29,0))</f>
        <v/>
      </c>
      <c r="AT7">
        <f>INDEX($B$21:$GQ$21,MATCH(45,$B$29:$GQ$29,0))</f>
        <v/>
      </c>
      <c r="AU7">
        <f>INDEX($B$21:$GQ$21,MATCH(46,$B$29:$GQ$29,0))</f>
        <v/>
      </c>
      <c r="AV7">
        <f>INDEX($B$21:$GQ$21,MATCH(47,$B$29:$GQ$29,0))</f>
        <v/>
      </c>
      <c r="AW7">
        <f>INDEX($B$21:$GQ$21,MATCH(48,$B$29:$GQ$29,0))</f>
        <v/>
      </c>
      <c r="AX7">
        <f>INDEX($B$21:$GQ$21,MATCH(49,$B$29:$GQ$29,0))</f>
        <v/>
      </c>
      <c r="AY7">
        <f>INDEX($B$21:$GQ$21,MATCH(50,$B$29:$GQ$29,0))</f>
        <v/>
      </c>
      <c r="AZ7">
        <f>INDEX($B$21:$GQ$21,MATCH(51,$B$29:$GQ$29,0))</f>
        <v/>
      </c>
      <c r="BA7">
        <f>INDEX($B$21:$GQ$21,MATCH(52,$B$29:$GQ$29,0))</f>
        <v/>
      </c>
      <c r="BB7">
        <f>INDEX($B$21:$GQ$21,MATCH(53,$B$29:$GQ$29,0))</f>
        <v/>
      </c>
      <c r="BC7">
        <f>INDEX($B$21:$GQ$21,MATCH(54,$B$29:$GQ$29,0))</f>
        <v/>
      </c>
      <c r="BD7">
        <f>INDEX($B$21:$GQ$21,MATCH(55,$B$29:$GQ$29,0))</f>
        <v/>
      </c>
      <c r="BE7">
        <f>INDEX($B$21:$GQ$21,MATCH(56,$B$29:$GQ$29,0))</f>
        <v/>
      </c>
      <c r="BF7">
        <f>INDEX($B$21:$GQ$21,MATCH(57,$B$29:$GQ$29,0))</f>
        <v/>
      </c>
      <c r="BG7">
        <f>INDEX($B$21:$GQ$21,MATCH(58,$B$29:$GQ$29,0))</f>
        <v/>
      </c>
      <c r="BH7">
        <f>INDEX($B$21:$GQ$21,MATCH(59,$B$29:$GQ$29,0))</f>
        <v/>
      </c>
      <c r="BI7">
        <f>INDEX($B$21:$GQ$21,MATCH(60,$B$29:$GQ$29,0))</f>
        <v/>
      </c>
      <c r="BJ7">
        <f>INDEX($B$21:$GQ$21,MATCH(61,$B$29:$GQ$29,0))</f>
        <v/>
      </c>
      <c r="BK7">
        <f>INDEX($B$21:$GQ$21,MATCH(62,$B$29:$GQ$29,0))</f>
        <v/>
      </c>
      <c r="BL7">
        <f>INDEX($B$21:$GQ$21,MATCH(63,$B$29:$GQ$29,0))</f>
        <v/>
      </c>
      <c r="BM7">
        <f>INDEX($B$21:$GQ$21,MATCH(64,$B$29:$GQ$29,0))</f>
        <v/>
      </c>
      <c r="BN7">
        <f>INDEX($B$21:$GQ$21,MATCH(65,$B$29:$GQ$29,0))</f>
        <v/>
      </c>
      <c r="BO7">
        <f>INDEX($B$21:$GQ$21,MATCH(66,$B$29:$GQ$29,0))</f>
        <v/>
      </c>
      <c r="BP7">
        <f>INDEX($B$21:$GQ$21,MATCH(67,$B$29:$GQ$29,0))</f>
        <v/>
      </c>
      <c r="BQ7">
        <f>INDEX($B$21:$GQ$21,MATCH(68,$B$29:$GQ$29,0))</f>
        <v/>
      </c>
      <c r="BR7">
        <f>INDEX($B$21:$GQ$21,MATCH(69,$B$29:$GQ$29,0))</f>
        <v/>
      </c>
      <c r="BS7">
        <f>INDEX($B$21:$GQ$21,MATCH(70,$B$29:$GQ$29,0))</f>
        <v/>
      </c>
      <c r="BT7">
        <f>INDEX($B$21:$GQ$21,MATCH(71,$B$29:$GQ$29,0))</f>
        <v/>
      </c>
      <c r="BU7">
        <f>INDEX($B$21:$GQ$21,MATCH(72,$B$29:$GQ$29,0))</f>
        <v/>
      </c>
      <c r="BV7">
        <f>INDEX($B$21:$GQ$21,MATCH(73,$B$29:$GQ$29,0))</f>
        <v/>
      </c>
      <c r="BW7">
        <f>INDEX($B$21:$GQ$21,MATCH(74,$B$29:$GQ$29,0))</f>
        <v/>
      </c>
      <c r="BX7">
        <f>INDEX($B$21:$GQ$21,MATCH(75,$B$29:$GQ$29,0))</f>
        <v/>
      </c>
      <c r="BY7">
        <f>INDEX($B$21:$GQ$21,MATCH(76,$B$29:$GQ$29,0))</f>
        <v/>
      </c>
      <c r="BZ7">
        <f>INDEX($B$21:$GQ$21,MATCH(77,$B$29:$GQ$29,0))</f>
        <v/>
      </c>
      <c r="CA7">
        <f>INDEX($B$21:$GQ$21,MATCH(78,$B$29:$GQ$29,0))</f>
        <v/>
      </c>
      <c r="CB7">
        <f>INDEX($B$21:$GQ$21,MATCH(79,$B$29:$GQ$29,0))</f>
        <v/>
      </c>
      <c r="CC7">
        <f>INDEX($B$21:$GQ$21,MATCH(80,$B$29:$GQ$29,0))</f>
        <v/>
      </c>
      <c r="CD7">
        <f>INDEX($B$21:$GQ$21,MATCH(81,$B$29:$GQ$29,0))</f>
        <v/>
      </c>
      <c r="CE7">
        <f>INDEX($B$21:$GQ$21,MATCH(82,$B$29:$GQ$29,0))</f>
        <v/>
      </c>
      <c r="CF7">
        <f>INDEX($B$21:$GQ$21,MATCH(83,$B$29:$GQ$29,0))</f>
        <v/>
      </c>
      <c r="CG7">
        <f>INDEX($B$21:$GQ$21,MATCH(84,$B$29:$GQ$29,0))</f>
        <v/>
      </c>
      <c r="CH7">
        <f>INDEX($B$21:$GQ$21,MATCH(85,$B$29:$GQ$29,0))</f>
        <v/>
      </c>
      <c r="CI7">
        <f>INDEX($B$21:$GQ$21,MATCH(86,$B$29:$GQ$29,0))</f>
        <v/>
      </c>
      <c r="CJ7">
        <f>INDEX($B$21:$GQ$21,MATCH(87,$B$29:$GQ$29,0))</f>
        <v/>
      </c>
      <c r="CK7">
        <f>INDEX($B$21:$GQ$21,MATCH(88,$B$29:$GQ$29,0))</f>
        <v/>
      </c>
      <c r="CL7">
        <f>INDEX($B$21:$GQ$21,MATCH(89,$B$29:$GQ$29,0))</f>
        <v/>
      </c>
      <c r="CM7">
        <f>INDEX($B$21:$GQ$21,MATCH(90,$B$29:$GQ$29,0))</f>
        <v/>
      </c>
      <c r="CN7">
        <f>INDEX($B$21:$GQ$21,MATCH(91,$B$29:$GQ$29,0))</f>
        <v/>
      </c>
      <c r="CO7">
        <f>INDEX($B$21:$GQ$21,MATCH(92,$B$29:$GQ$29,0))</f>
        <v/>
      </c>
      <c r="CP7">
        <f>INDEX($B$21:$GQ$21,MATCH(93,$B$29:$GQ$29,0))</f>
        <v/>
      </c>
      <c r="CQ7">
        <f>INDEX($B$21:$GQ$21,MATCH(94,$B$29:$GQ$29,0))</f>
        <v/>
      </c>
      <c r="CR7">
        <f>INDEX($B$21:$GQ$21,MATCH(95,$B$29:$GQ$29,0))</f>
        <v/>
      </c>
      <c r="CS7">
        <f>INDEX($B$21:$GQ$21,MATCH(96,$B$29:$GQ$29,0))</f>
        <v/>
      </c>
      <c r="CT7">
        <f>INDEX($B$21:$GQ$21,MATCH(97,$B$29:$GQ$29,0))</f>
        <v/>
      </c>
      <c r="CU7">
        <f>INDEX($B$21:$GQ$21,MATCH(98,$B$29:$GQ$29,0))</f>
        <v/>
      </c>
      <c r="CV7">
        <f>INDEX($B$21:$GQ$21,MATCH(99,$B$29:$GQ$29,0))</f>
        <v/>
      </c>
      <c r="CW7">
        <f>INDEX($B$21:$GQ$21,MATCH(100,$B$29:$GQ$29,0))</f>
        <v/>
      </c>
      <c r="CX7">
        <f>INDEX($B$21:$GQ$21,MATCH(101,$B$29:$GQ$29,0))</f>
        <v/>
      </c>
      <c r="CY7">
        <f>INDEX($B$21:$GQ$21,MATCH(102,$B$29:$GQ$29,0))</f>
        <v/>
      </c>
      <c r="CZ7">
        <f>INDEX($B$21:$GQ$21,MATCH(103,$B$29:$GQ$29,0))</f>
        <v/>
      </c>
      <c r="DA7">
        <f>INDEX($B$21:$GQ$21,MATCH(104,$B$29:$GQ$29,0))</f>
        <v/>
      </c>
      <c r="DB7">
        <f>INDEX($B$21:$GQ$21,MATCH(105,$B$29:$GQ$29,0))</f>
        <v/>
      </c>
      <c r="DC7">
        <f>INDEX($B$21:$GQ$21,MATCH(106,$B$29:$GQ$29,0))</f>
        <v/>
      </c>
      <c r="DD7">
        <f>INDEX($B$21:$GQ$21,MATCH(107,$B$29:$GQ$29,0))</f>
        <v/>
      </c>
      <c r="DE7">
        <f>INDEX($B$21:$GQ$21,MATCH(108,$B$29:$GQ$29,0))</f>
        <v/>
      </c>
      <c r="DF7">
        <f>INDEX($B$21:$GQ$21,MATCH(109,$B$29:$GQ$29,0))</f>
        <v/>
      </c>
      <c r="DG7">
        <f>INDEX($B$21:$GQ$21,MATCH(110,$B$29:$GQ$29,0))</f>
        <v/>
      </c>
      <c r="DH7">
        <f>INDEX($B$21:$GQ$21,MATCH(111,$B$29:$GQ$29,0))</f>
        <v/>
      </c>
      <c r="DI7">
        <f>INDEX($B$21:$GQ$21,MATCH(112,$B$29:$GQ$29,0))</f>
        <v/>
      </c>
      <c r="DJ7">
        <f>INDEX($B$21:$GQ$21,MATCH(113,$B$29:$GQ$29,0))</f>
        <v/>
      </c>
      <c r="DK7">
        <f>INDEX($B$21:$GQ$21,MATCH(114,$B$29:$GQ$29,0))</f>
        <v/>
      </c>
      <c r="DL7">
        <f>INDEX($B$21:$GQ$21,MATCH(115,$B$29:$GQ$29,0))</f>
        <v/>
      </c>
      <c r="DM7">
        <f>INDEX($B$21:$GQ$21,MATCH(116,$B$29:$GQ$29,0))</f>
        <v/>
      </c>
      <c r="DN7">
        <f>INDEX($B$21:$GQ$21,MATCH(117,$B$29:$GQ$29,0))</f>
        <v/>
      </c>
      <c r="DO7">
        <f>INDEX($B$21:$GQ$21,MATCH(118,$B$29:$GQ$29,0))</f>
        <v/>
      </c>
      <c r="DP7">
        <f>INDEX($B$21:$GQ$21,MATCH(119,$B$29:$GQ$29,0))</f>
        <v/>
      </c>
      <c r="DQ7">
        <f>INDEX($B$21:$GQ$21,MATCH(120,$B$29:$GQ$29,0))</f>
        <v/>
      </c>
      <c r="DR7">
        <f>INDEX($B$21:$GQ$21,MATCH(121,$B$29:$GQ$29,0))</f>
        <v/>
      </c>
      <c r="DS7">
        <f>INDEX($B$21:$GQ$21,MATCH(122,$B$29:$GQ$29,0))</f>
        <v/>
      </c>
      <c r="DT7">
        <f>INDEX($B$21:$GQ$21,MATCH(123,$B$29:$GQ$29,0))</f>
        <v/>
      </c>
      <c r="DU7">
        <f>INDEX($B$21:$GQ$21,MATCH(124,$B$29:$GQ$29,0))</f>
        <v/>
      </c>
      <c r="DV7">
        <f>INDEX($B$21:$GQ$21,MATCH(125,$B$29:$GQ$29,0))</f>
        <v/>
      </c>
      <c r="DW7">
        <f>INDEX($B$21:$GQ$21,MATCH(126,$B$29:$GQ$29,0))</f>
        <v/>
      </c>
      <c r="DX7">
        <f>INDEX($B$21:$GQ$21,MATCH(127,$B$29:$GQ$29,0))</f>
        <v/>
      </c>
      <c r="DY7">
        <f>INDEX($B$21:$GQ$21,MATCH(128,$B$29:$GQ$29,0))</f>
        <v/>
      </c>
      <c r="DZ7">
        <f>INDEX($B$21:$GQ$21,MATCH(129,$B$29:$GQ$29,0))</f>
        <v/>
      </c>
      <c r="EA7">
        <f>INDEX($B$21:$GQ$21,MATCH(130,$B$29:$GQ$29,0))</f>
        <v/>
      </c>
      <c r="EB7">
        <f>INDEX($B$21:$GQ$21,MATCH(131,$B$29:$GQ$29,0))</f>
        <v/>
      </c>
      <c r="EC7">
        <f>INDEX($B$21:$GQ$21,MATCH(132,$B$29:$GQ$29,0))</f>
        <v/>
      </c>
      <c r="ED7">
        <f>INDEX($B$21:$GQ$21,MATCH(133,$B$29:$GQ$29,0))</f>
        <v/>
      </c>
      <c r="EE7">
        <f>INDEX($B$21:$GQ$21,MATCH(134,$B$29:$GQ$29,0))</f>
        <v/>
      </c>
      <c r="EF7">
        <f>INDEX($B$21:$GQ$21,MATCH(135,$B$29:$GQ$29,0))</f>
        <v/>
      </c>
      <c r="EG7">
        <f>INDEX($B$21:$GQ$21,MATCH(136,$B$29:$GQ$29,0))</f>
        <v/>
      </c>
      <c r="EH7">
        <f>INDEX($B$21:$GQ$21,MATCH(137,$B$29:$GQ$29,0))</f>
        <v/>
      </c>
      <c r="EI7">
        <f>INDEX($B$21:$GQ$21,MATCH(138,$B$29:$GQ$29,0))</f>
        <v/>
      </c>
      <c r="EJ7">
        <f>INDEX($B$21:$GQ$21,MATCH(139,$B$29:$GQ$29,0))</f>
        <v/>
      </c>
      <c r="EK7">
        <f>INDEX($B$21:$GQ$21,MATCH(140,$B$29:$GQ$29,0))</f>
        <v/>
      </c>
      <c r="EL7">
        <f>INDEX($B$21:$GQ$21,MATCH(141,$B$29:$GQ$29,0))</f>
        <v/>
      </c>
      <c r="EM7">
        <f>INDEX($B$21:$GQ$21,MATCH(142,$B$29:$GQ$29,0))</f>
        <v/>
      </c>
      <c r="EN7">
        <f>INDEX($B$21:$GQ$21,MATCH(143,$B$29:$GQ$29,0))</f>
        <v/>
      </c>
      <c r="EO7">
        <f>INDEX($B$21:$GQ$21,MATCH(144,$B$29:$GQ$29,0))</f>
        <v/>
      </c>
      <c r="EP7">
        <f>INDEX($B$21:$GQ$21,MATCH(145,$B$29:$GQ$29,0))</f>
        <v/>
      </c>
      <c r="EQ7">
        <f>INDEX($B$21:$GQ$21,MATCH(146,$B$29:$GQ$29,0))</f>
        <v/>
      </c>
      <c r="ER7">
        <f>INDEX($B$21:$GQ$21,MATCH(147,$B$29:$GQ$29,0))</f>
        <v/>
      </c>
      <c r="ES7">
        <f>INDEX($B$21:$GQ$21,MATCH(148,$B$29:$GQ$29,0))</f>
        <v/>
      </c>
      <c r="ET7">
        <f>INDEX($B$21:$GQ$21,MATCH(149,$B$29:$GQ$29,0))</f>
        <v/>
      </c>
      <c r="EU7">
        <f>INDEX($B$21:$GQ$21,MATCH(150,$B$29:$GQ$29,0))</f>
        <v/>
      </c>
      <c r="EV7">
        <f>INDEX($B$21:$GQ$21,MATCH(151,$B$29:$GQ$29,0))</f>
        <v/>
      </c>
      <c r="EW7">
        <f>INDEX($B$21:$GQ$21,MATCH(152,$B$29:$GQ$29,0))</f>
        <v/>
      </c>
      <c r="EX7">
        <f>INDEX($B$21:$GQ$21,MATCH(153,$B$29:$GQ$29,0))</f>
        <v/>
      </c>
      <c r="EY7">
        <f>INDEX($B$21:$GQ$21,MATCH(154,$B$29:$GQ$29,0))</f>
        <v/>
      </c>
      <c r="EZ7">
        <f>INDEX($B$21:$GQ$21,MATCH(155,$B$29:$GQ$29,0))</f>
        <v/>
      </c>
      <c r="FA7">
        <f>INDEX($B$21:$GQ$21,MATCH(156,$B$29:$GQ$29,0))</f>
        <v/>
      </c>
      <c r="FB7">
        <f>INDEX($B$21:$GQ$21,MATCH(157,$B$29:$GQ$29,0))</f>
        <v/>
      </c>
      <c r="FC7">
        <f>INDEX($B$21:$GQ$21,MATCH(158,$B$29:$GQ$29,0))</f>
        <v/>
      </c>
      <c r="FD7">
        <f>INDEX($B$21:$GQ$21,MATCH(159,$B$29:$GQ$29,0))</f>
        <v/>
      </c>
      <c r="FE7">
        <f>INDEX($B$21:$GQ$21,MATCH(160,$B$29:$GQ$29,0))</f>
        <v/>
      </c>
      <c r="FF7">
        <f>INDEX($B$21:$GQ$21,MATCH(161,$B$29:$GQ$29,0))</f>
        <v/>
      </c>
      <c r="FG7">
        <f>INDEX($B$21:$GQ$21,MATCH(162,$B$29:$GQ$29,0))</f>
        <v/>
      </c>
      <c r="FH7">
        <f>INDEX($B$21:$GQ$21,MATCH(163,$B$29:$GQ$29,0))</f>
        <v/>
      </c>
      <c r="FI7">
        <f>INDEX($B$21:$GQ$21,MATCH(164,$B$29:$GQ$29,0))</f>
        <v/>
      </c>
      <c r="FJ7">
        <f>INDEX($B$21:$GQ$21,MATCH(165,$B$29:$GQ$29,0))</f>
        <v/>
      </c>
      <c r="FK7">
        <f>INDEX($B$21:$GQ$21,MATCH(166,$B$29:$GQ$29,0))</f>
        <v/>
      </c>
      <c r="FL7">
        <f>INDEX($B$21:$GQ$21,MATCH(167,$B$29:$GQ$29,0))</f>
        <v/>
      </c>
      <c r="FM7">
        <f>INDEX($B$21:$GQ$21,MATCH(168,$B$29:$GQ$29,0))</f>
        <v/>
      </c>
      <c r="FN7">
        <f>INDEX($B$21:$GQ$21,MATCH(169,$B$29:$GQ$29,0))</f>
        <v/>
      </c>
      <c r="FO7">
        <f>INDEX($B$21:$GQ$21,MATCH(170,$B$29:$GQ$29,0))</f>
        <v/>
      </c>
      <c r="FP7">
        <f>INDEX($B$21:$GQ$21,MATCH(171,$B$29:$GQ$29,0))</f>
        <v/>
      </c>
      <c r="FQ7">
        <f>INDEX($B$21:$GQ$21,MATCH(172,$B$29:$GQ$29,0))</f>
        <v/>
      </c>
      <c r="FR7">
        <f>INDEX($B$21:$GQ$21,MATCH(173,$B$29:$GQ$29,0))</f>
        <v/>
      </c>
      <c r="FS7">
        <f>INDEX($B$21:$GQ$21,MATCH(174,$B$29:$GQ$29,0))</f>
        <v/>
      </c>
      <c r="FT7">
        <f>INDEX($B$21:$GQ$21,MATCH(175,$B$29:$GQ$29,0))</f>
        <v/>
      </c>
      <c r="FU7">
        <f>INDEX($B$21:$GQ$21,MATCH(176,$B$29:$GQ$29,0))</f>
        <v/>
      </c>
      <c r="FV7">
        <f>INDEX($B$21:$GQ$21,MATCH(177,$B$29:$GQ$29,0))</f>
        <v/>
      </c>
      <c r="FW7">
        <f>INDEX($B$21:$GQ$21,MATCH(178,$B$29:$GQ$29,0))</f>
        <v/>
      </c>
      <c r="FX7">
        <f>INDEX($B$21:$GQ$21,MATCH(179,$B$29:$GQ$29,0))</f>
        <v/>
      </c>
      <c r="FY7">
        <f>INDEX($B$21:$GQ$21,MATCH(180,$B$29:$GQ$29,0))</f>
        <v/>
      </c>
      <c r="FZ7">
        <f>INDEX($B$21:$GQ$21,MATCH(181,$B$29:$GQ$29,0))</f>
        <v/>
      </c>
      <c r="GA7">
        <f>INDEX($B$21:$GQ$21,MATCH(182,$B$29:$GQ$29,0))</f>
        <v/>
      </c>
      <c r="GB7">
        <f>INDEX($B$21:$GQ$21,MATCH(183,$B$29:$GQ$29,0))</f>
        <v/>
      </c>
      <c r="GC7">
        <f>INDEX($B$21:$GQ$21,MATCH(184,$B$29:$GQ$29,0))</f>
        <v/>
      </c>
      <c r="GD7">
        <f>INDEX($B$21:$GQ$21,MATCH(185,$B$29:$GQ$29,0))</f>
        <v/>
      </c>
      <c r="GE7">
        <f>INDEX($B$21:$GQ$21,MATCH(186,$B$29:$GQ$29,0))</f>
        <v/>
      </c>
      <c r="GF7">
        <f>INDEX($B$21:$GQ$21,MATCH(187,$B$29:$GQ$29,0))</f>
        <v/>
      </c>
      <c r="GG7">
        <f>INDEX($B$21:$GQ$21,MATCH(188,$B$29:$GQ$29,0))</f>
        <v/>
      </c>
      <c r="GH7">
        <f>INDEX($B$21:$GQ$21,MATCH(189,$B$29:$GQ$29,0))</f>
        <v/>
      </c>
      <c r="GI7">
        <f>INDEX($B$21:$GQ$21,MATCH(190,$B$29:$GQ$29,0))</f>
        <v/>
      </c>
      <c r="GJ7">
        <f>INDEX($B$21:$GQ$21,MATCH(191,$B$29:$GQ$29,0))</f>
        <v/>
      </c>
      <c r="GK7">
        <f>INDEX($B$21:$GQ$21,MATCH(192,$B$29:$GQ$29,0))</f>
        <v/>
      </c>
      <c r="GL7">
        <f>INDEX($B$21:$GQ$21,MATCH(193,$B$29:$GQ$29,0))</f>
        <v/>
      </c>
      <c r="GM7">
        <f>INDEX($B$21:$GQ$21,MATCH(194,$B$29:$GQ$29,0))</f>
        <v/>
      </c>
      <c r="GN7">
        <f>INDEX($B$21:$GQ$21,MATCH(195,$B$29:$GQ$29,0))</f>
        <v/>
      </c>
      <c r="GO7">
        <f>INDEX($B$21:$GQ$21,MATCH(196,$B$29:$GQ$29,0))</f>
        <v/>
      </c>
      <c r="GP7">
        <f>INDEX($B$21:$GQ$21,MATCH(197,$B$29:$GQ$29,0))</f>
        <v/>
      </c>
      <c r="GQ7">
        <f>INDEX($B$21:$GQ$21,MATCH(198,$B$29:$GQ$29,0))</f>
        <v/>
      </c>
      <c r="GR7">
        <f>INDEX($GR$21:$HC$21,MATCH(1,$GR$30:$HC$30,0))</f>
        <v/>
      </c>
      <c r="GS7">
        <f>INDEX($GR$21:$HC$21,MATCH(2,$GR$30:$HC$30,0))</f>
        <v/>
      </c>
      <c r="GT7">
        <f>INDEX($GR$21:$HC$21,MATCH(3,$GR$30:$HC$30,0))</f>
        <v/>
      </c>
      <c r="GU7">
        <f>INDEX($GR$21:$HC$21,MATCH(4,$GR$30:$HC$30,0))</f>
        <v/>
      </c>
      <c r="GV7">
        <f>INDEX($GR$21:$HC$21,MATCH(5,$GR$30:$HC$30,0))</f>
        <v/>
      </c>
      <c r="GW7">
        <f>INDEX($GR$21:$HC$21,MATCH(6,$GR$30:$HC$30,0))</f>
        <v/>
      </c>
      <c r="GX7">
        <f>INDEX($GR$21:$HC$21,MATCH(7,$GR$30:$HC$30,0))</f>
        <v/>
      </c>
      <c r="GY7">
        <f>INDEX($GR$21:$HC$21,MATCH(8,$GR$30:$HC$30,0))</f>
        <v/>
      </c>
      <c r="GZ7">
        <f>INDEX($GR$21:$HC$21,MATCH(9,$GR$30:$HC$30,0))</f>
        <v/>
      </c>
      <c r="HA7">
        <f>INDEX($GR$21:$HC$21,MATCH(10,$GR$30:$HC$30,0))</f>
        <v/>
      </c>
      <c r="HB7">
        <f>INDEX($GR$21:$HC$21,MATCH(11,$GR$30:$HC$30,0))</f>
        <v/>
      </c>
      <c r="HC7">
        <f>INDEX($GR$21:$HC$21,MATCH(12,$GR$30:$HC$30,0))</f>
        <v/>
      </c>
    </row>
    <row r="8">
      <c r="A8" s="1" t="inlineStr">
        <is>
          <t>Y_dom</t>
        </is>
      </c>
      <c r="B8">
        <f>INDEX($B$22:$GQ$22,MATCH(1,$B$29:$GQ$29,0))</f>
        <v/>
      </c>
      <c r="C8">
        <f>INDEX($B$22:$GQ$22,MATCH(2,$B$29:$GQ$29,0))</f>
        <v/>
      </c>
      <c r="D8">
        <f>INDEX($B$22:$GQ$22,MATCH(3,$B$29:$GQ$29,0))</f>
        <v/>
      </c>
      <c r="E8">
        <f>INDEX($B$22:$GQ$22,MATCH(4,$B$29:$GQ$29,0))</f>
        <v/>
      </c>
      <c r="F8">
        <f>INDEX($B$22:$GQ$22,MATCH(5,$B$29:$GQ$29,0))</f>
        <v/>
      </c>
      <c r="G8">
        <f>INDEX($B$22:$GQ$22,MATCH(6,$B$29:$GQ$29,0))</f>
        <v/>
      </c>
      <c r="H8">
        <f>INDEX($B$22:$GQ$22,MATCH(7,$B$29:$GQ$29,0))</f>
        <v/>
      </c>
      <c r="I8">
        <f>INDEX($B$22:$GQ$22,MATCH(8,$B$29:$GQ$29,0))</f>
        <v/>
      </c>
      <c r="J8">
        <f>INDEX($B$22:$GQ$22,MATCH(9,$B$29:$GQ$29,0))</f>
        <v/>
      </c>
      <c r="K8">
        <f>INDEX($B$22:$GQ$22,MATCH(10,$B$29:$GQ$29,0))</f>
        <v/>
      </c>
      <c r="L8">
        <f>INDEX($B$22:$GQ$22,MATCH(11,$B$29:$GQ$29,0))</f>
        <v/>
      </c>
      <c r="M8">
        <f>INDEX($B$22:$GQ$22,MATCH(12,$B$29:$GQ$29,0))</f>
        <v/>
      </c>
      <c r="N8">
        <f>INDEX($B$22:$GQ$22,MATCH(13,$B$29:$GQ$29,0))</f>
        <v/>
      </c>
      <c r="O8">
        <f>INDEX($B$22:$GQ$22,MATCH(14,$B$29:$GQ$29,0))</f>
        <v/>
      </c>
      <c r="P8">
        <f>INDEX($B$22:$GQ$22,MATCH(15,$B$29:$GQ$29,0))</f>
        <v/>
      </c>
      <c r="Q8">
        <f>INDEX($B$22:$GQ$22,MATCH(16,$B$29:$GQ$29,0))</f>
        <v/>
      </c>
      <c r="R8">
        <f>INDEX($B$22:$GQ$22,MATCH(17,$B$29:$GQ$29,0))</f>
        <v/>
      </c>
      <c r="S8">
        <f>INDEX($B$22:$GQ$22,MATCH(18,$B$29:$GQ$29,0))</f>
        <v/>
      </c>
      <c r="T8">
        <f>INDEX($B$22:$GQ$22,MATCH(19,$B$29:$GQ$29,0))</f>
        <v/>
      </c>
      <c r="U8">
        <f>INDEX($B$22:$GQ$22,MATCH(20,$B$29:$GQ$29,0))</f>
        <v/>
      </c>
      <c r="V8">
        <f>INDEX($B$22:$GQ$22,MATCH(21,$B$29:$GQ$29,0))</f>
        <v/>
      </c>
      <c r="W8">
        <f>INDEX($B$22:$GQ$22,MATCH(22,$B$29:$GQ$29,0))</f>
        <v/>
      </c>
      <c r="X8">
        <f>INDEX($B$22:$GQ$22,MATCH(23,$B$29:$GQ$29,0))</f>
        <v/>
      </c>
      <c r="Y8">
        <f>INDEX($B$22:$GQ$22,MATCH(24,$B$29:$GQ$29,0))</f>
        <v/>
      </c>
      <c r="Z8">
        <f>INDEX($B$22:$GQ$22,MATCH(25,$B$29:$GQ$29,0))</f>
        <v/>
      </c>
      <c r="AA8">
        <f>INDEX($B$22:$GQ$22,MATCH(26,$B$29:$GQ$29,0))</f>
        <v/>
      </c>
      <c r="AB8">
        <f>INDEX($B$22:$GQ$22,MATCH(27,$B$29:$GQ$29,0))</f>
        <v/>
      </c>
      <c r="AC8">
        <f>INDEX($B$22:$GQ$22,MATCH(28,$B$29:$GQ$29,0))</f>
        <v/>
      </c>
      <c r="AD8">
        <f>INDEX($B$22:$GQ$22,MATCH(29,$B$29:$GQ$29,0))</f>
        <v/>
      </c>
      <c r="AE8">
        <f>INDEX($B$22:$GQ$22,MATCH(30,$B$29:$GQ$29,0))</f>
        <v/>
      </c>
      <c r="AF8">
        <f>INDEX($B$22:$GQ$22,MATCH(31,$B$29:$GQ$29,0))</f>
        <v/>
      </c>
      <c r="AG8">
        <f>INDEX($B$22:$GQ$22,MATCH(32,$B$29:$GQ$29,0))</f>
        <v/>
      </c>
      <c r="AH8">
        <f>INDEX($B$22:$GQ$22,MATCH(33,$B$29:$GQ$29,0))</f>
        <v/>
      </c>
      <c r="AI8">
        <f>INDEX($B$22:$GQ$22,MATCH(34,$B$29:$GQ$29,0))</f>
        <v/>
      </c>
      <c r="AJ8">
        <f>INDEX($B$22:$GQ$22,MATCH(35,$B$29:$GQ$29,0))</f>
        <v/>
      </c>
      <c r="AK8">
        <f>INDEX($B$22:$GQ$22,MATCH(36,$B$29:$GQ$29,0))</f>
        <v/>
      </c>
      <c r="AL8">
        <f>INDEX($B$22:$GQ$22,MATCH(37,$B$29:$GQ$29,0))</f>
        <v/>
      </c>
      <c r="AM8">
        <f>INDEX($B$22:$GQ$22,MATCH(38,$B$29:$GQ$29,0))</f>
        <v/>
      </c>
      <c r="AN8">
        <f>INDEX($B$22:$GQ$22,MATCH(39,$B$29:$GQ$29,0))</f>
        <v/>
      </c>
      <c r="AO8">
        <f>INDEX($B$22:$GQ$22,MATCH(40,$B$29:$GQ$29,0))</f>
        <v/>
      </c>
      <c r="AP8">
        <f>INDEX($B$22:$GQ$22,MATCH(41,$B$29:$GQ$29,0))</f>
        <v/>
      </c>
      <c r="AQ8">
        <f>INDEX($B$22:$GQ$22,MATCH(42,$B$29:$GQ$29,0))</f>
        <v/>
      </c>
      <c r="AR8">
        <f>INDEX($B$22:$GQ$22,MATCH(43,$B$29:$GQ$29,0))</f>
        <v/>
      </c>
      <c r="AS8">
        <f>INDEX($B$22:$GQ$22,MATCH(44,$B$29:$GQ$29,0))</f>
        <v/>
      </c>
      <c r="AT8">
        <f>INDEX($B$22:$GQ$22,MATCH(45,$B$29:$GQ$29,0))</f>
        <v/>
      </c>
      <c r="AU8">
        <f>INDEX($B$22:$GQ$22,MATCH(46,$B$29:$GQ$29,0))</f>
        <v/>
      </c>
      <c r="AV8">
        <f>INDEX($B$22:$GQ$22,MATCH(47,$B$29:$GQ$29,0))</f>
        <v/>
      </c>
      <c r="AW8">
        <f>INDEX($B$22:$GQ$22,MATCH(48,$B$29:$GQ$29,0))</f>
        <v/>
      </c>
      <c r="AX8">
        <f>INDEX($B$22:$GQ$22,MATCH(49,$B$29:$GQ$29,0))</f>
        <v/>
      </c>
      <c r="AY8">
        <f>INDEX($B$22:$GQ$22,MATCH(50,$B$29:$GQ$29,0))</f>
        <v/>
      </c>
      <c r="AZ8">
        <f>INDEX($B$22:$GQ$22,MATCH(51,$B$29:$GQ$29,0))</f>
        <v/>
      </c>
      <c r="BA8">
        <f>INDEX($B$22:$GQ$22,MATCH(52,$B$29:$GQ$29,0))</f>
        <v/>
      </c>
      <c r="BB8">
        <f>INDEX($B$22:$GQ$22,MATCH(53,$B$29:$GQ$29,0))</f>
        <v/>
      </c>
      <c r="BC8">
        <f>INDEX($B$22:$GQ$22,MATCH(54,$B$29:$GQ$29,0))</f>
        <v/>
      </c>
      <c r="BD8">
        <f>INDEX($B$22:$GQ$22,MATCH(55,$B$29:$GQ$29,0))</f>
        <v/>
      </c>
      <c r="BE8">
        <f>INDEX($B$22:$GQ$22,MATCH(56,$B$29:$GQ$29,0))</f>
        <v/>
      </c>
      <c r="BF8">
        <f>INDEX($B$22:$GQ$22,MATCH(57,$B$29:$GQ$29,0))</f>
        <v/>
      </c>
      <c r="BG8">
        <f>INDEX($B$22:$GQ$22,MATCH(58,$B$29:$GQ$29,0))</f>
        <v/>
      </c>
      <c r="BH8">
        <f>INDEX($B$22:$GQ$22,MATCH(59,$B$29:$GQ$29,0))</f>
        <v/>
      </c>
      <c r="BI8">
        <f>INDEX($B$22:$GQ$22,MATCH(60,$B$29:$GQ$29,0))</f>
        <v/>
      </c>
      <c r="BJ8">
        <f>INDEX($B$22:$GQ$22,MATCH(61,$B$29:$GQ$29,0))</f>
        <v/>
      </c>
      <c r="BK8">
        <f>INDEX($B$22:$GQ$22,MATCH(62,$B$29:$GQ$29,0))</f>
        <v/>
      </c>
      <c r="BL8">
        <f>INDEX($B$22:$GQ$22,MATCH(63,$B$29:$GQ$29,0))</f>
        <v/>
      </c>
      <c r="BM8">
        <f>INDEX($B$22:$GQ$22,MATCH(64,$B$29:$GQ$29,0))</f>
        <v/>
      </c>
      <c r="BN8">
        <f>INDEX($B$22:$GQ$22,MATCH(65,$B$29:$GQ$29,0))</f>
        <v/>
      </c>
      <c r="BO8">
        <f>INDEX($B$22:$GQ$22,MATCH(66,$B$29:$GQ$29,0))</f>
        <v/>
      </c>
      <c r="BP8">
        <f>INDEX($B$22:$GQ$22,MATCH(67,$B$29:$GQ$29,0))</f>
        <v/>
      </c>
      <c r="BQ8">
        <f>INDEX($B$22:$GQ$22,MATCH(68,$B$29:$GQ$29,0))</f>
        <v/>
      </c>
      <c r="BR8">
        <f>INDEX($B$22:$GQ$22,MATCH(69,$B$29:$GQ$29,0))</f>
        <v/>
      </c>
      <c r="BS8">
        <f>INDEX($B$22:$GQ$22,MATCH(70,$B$29:$GQ$29,0))</f>
        <v/>
      </c>
      <c r="BT8">
        <f>INDEX($B$22:$GQ$22,MATCH(71,$B$29:$GQ$29,0))</f>
        <v/>
      </c>
      <c r="BU8">
        <f>INDEX($B$22:$GQ$22,MATCH(72,$B$29:$GQ$29,0))</f>
        <v/>
      </c>
      <c r="BV8">
        <f>INDEX($B$22:$GQ$22,MATCH(73,$B$29:$GQ$29,0))</f>
        <v/>
      </c>
      <c r="BW8">
        <f>INDEX($B$22:$GQ$22,MATCH(74,$B$29:$GQ$29,0))</f>
        <v/>
      </c>
      <c r="BX8">
        <f>INDEX($B$22:$GQ$22,MATCH(75,$B$29:$GQ$29,0))</f>
        <v/>
      </c>
      <c r="BY8">
        <f>INDEX($B$22:$GQ$22,MATCH(76,$B$29:$GQ$29,0))</f>
        <v/>
      </c>
      <c r="BZ8">
        <f>INDEX($B$22:$GQ$22,MATCH(77,$B$29:$GQ$29,0))</f>
        <v/>
      </c>
      <c r="CA8">
        <f>INDEX($B$22:$GQ$22,MATCH(78,$B$29:$GQ$29,0))</f>
        <v/>
      </c>
      <c r="CB8">
        <f>INDEX($B$22:$GQ$22,MATCH(79,$B$29:$GQ$29,0))</f>
        <v/>
      </c>
      <c r="CC8">
        <f>INDEX($B$22:$GQ$22,MATCH(80,$B$29:$GQ$29,0))</f>
        <v/>
      </c>
      <c r="CD8">
        <f>INDEX($B$22:$GQ$22,MATCH(81,$B$29:$GQ$29,0))</f>
        <v/>
      </c>
      <c r="CE8">
        <f>INDEX($B$22:$GQ$22,MATCH(82,$B$29:$GQ$29,0))</f>
        <v/>
      </c>
      <c r="CF8">
        <f>INDEX($B$22:$GQ$22,MATCH(83,$B$29:$GQ$29,0))</f>
        <v/>
      </c>
      <c r="CG8">
        <f>INDEX($B$22:$GQ$22,MATCH(84,$B$29:$GQ$29,0))</f>
        <v/>
      </c>
      <c r="CH8">
        <f>INDEX($B$22:$GQ$22,MATCH(85,$B$29:$GQ$29,0))</f>
        <v/>
      </c>
      <c r="CI8">
        <f>INDEX($B$22:$GQ$22,MATCH(86,$B$29:$GQ$29,0))</f>
        <v/>
      </c>
      <c r="CJ8">
        <f>INDEX($B$22:$GQ$22,MATCH(87,$B$29:$GQ$29,0))</f>
        <v/>
      </c>
      <c r="CK8">
        <f>INDEX($B$22:$GQ$22,MATCH(88,$B$29:$GQ$29,0))</f>
        <v/>
      </c>
      <c r="CL8">
        <f>INDEX($B$22:$GQ$22,MATCH(89,$B$29:$GQ$29,0))</f>
        <v/>
      </c>
      <c r="CM8">
        <f>INDEX($B$22:$GQ$22,MATCH(90,$B$29:$GQ$29,0))</f>
        <v/>
      </c>
      <c r="CN8">
        <f>INDEX($B$22:$GQ$22,MATCH(91,$B$29:$GQ$29,0))</f>
        <v/>
      </c>
      <c r="CO8">
        <f>INDEX($B$22:$GQ$22,MATCH(92,$B$29:$GQ$29,0))</f>
        <v/>
      </c>
      <c r="CP8">
        <f>INDEX($B$22:$GQ$22,MATCH(93,$B$29:$GQ$29,0))</f>
        <v/>
      </c>
      <c r="CQ8">
        <f>INDEX($B$22:$GQ$22,MATCH(94,$B$29:$GQ$29,0))</f>
        <v/>
      </c>
      <c r="CR8">
        <f>INDEX($B$22:$GQ$22,MATCH(95,$B$29:$GQ$29,0))</f>
        <v/>
      </c>
      <c r="CS8">
        <f>INDEX($B$22:$GQ$22,MATCH(96,$B$29:$GQ$29,0))</f>
        <v/>
      </c>
      <c r="CT8">
        <f>INDEX($B$22:$GQ$22,MATCH(97,$B$29:$GQ$29,0))</f>
        <v/>
      </c>
      <c r="CU8">
        <f>INDEX($B$22:$GQ$22,MATCH(98,$B$29:$GQ$29,0))</f>
        <v/>
      </c>
      <c r="CV8">
        <f>INDEX($B$22:$GQ$22,MATCH(99,$B$29:$GQ$29,0))</f>
        <v/>
      </c>
      <c r="CW8">
        <f>INDEX($B$22:$GQ$22,MATCH(100,$B$29:$GQ$29,0))</f>
        <v/>
      </c>
      <c r="CX8">
        <f>INDEX($B$22:$GQ$22,MATCH(101,$B$29:$GQ$29,0))</f>
        <v/>
      </c>
      <c r="CY8">
        <f>INDEX($B$22:$GQ$22,MATCH(102,$B$29:$GQ$29,0))</f>
        <v/>
      </c>
      <c r="CZ8">
        <f>INDEX($B$22:$GQ$22,MATCH(103,$B$29:$GQ$29,0))</f>
        <v/>
      </c>
      <c r="DA8">
        <f>INDEX($B$22:$GQ$22,MATCH(104,$B$29:$GQ$29,0))</f>
        <v/>
      </c>
      <c r="DB8">
        <f>INDEX($B$22:$GQ$22,MATCH(105,$B$29:$GQ$29,0))</f>
        <v/>
      </c>
      <c r="DC8">
        <f>INDEX($B$22:$GQ$22,MATCH(106,$B$29:$GQ$29,0))</f>
        <v/>
      </c>
      <c r="DD8">
        <f>INDEX($B$22:$GQ$22,MATCH(107,$B$29:$GQ$29,0))</f>
        <v/>
      </c>
      <c r="DE8">
        <f>INDEX($B$22:$GQ$22,MATCH(108,$B$29:$GQ$29,0))</f>
        <v/>
      </c>
      <c r="DF8">
        <f>INDEX($B$22:$GQ$22,MATCH(109,$B$29:$GQ$29,0))</f>
        <v/>
      </c>
      <c r="DG8">
        <f>INDEX($B$22:$GQ$22,MATCH(110,$B$29:$GQ$29,0))</f>
        <v/>
      </c>
      <c r="DH8">
        <f>INDEX($B$22:$GQ$22,MATCH(111,$B$29:$GQ$29,0))</f>
        <v/>
      </c>
      <c r="DI8">
        <f>INDEX($B$22:$GQ$22,MATCH(112,$B$29:$GQ$29,0))</f>
        <v/>
      </c>
      <c r="DJ8">
        <f>INDEX($B$22:$GQ$22,MATCH(113,$B$29:$GQ$29,0))</f>
        <v/>
      </c>
      <c r="DK8">
        <f>INDEX($B$22:$GQ$22,MATCH(114,$B$29:$GQ$29,0))</f>
        <v/>
      </c>
      <c r="DL8">
        <f>INDEX($B$22:$GQ$22,MATCH(115,$B$29:$GQ$29,0))</f>
        <v/>
      </c>
      <c r="DM8">
        <f>INDEX($B$22:$GQ$22,MATCH(116,$B$29:$GQ$29,0))</f>
        <v/>
      </c>
      <c r="DN8">
        <f>INDEX($B$22:$GQ$22,MATCH(117,$B$29:$GQ$29,0))</f>
        <v/>
      </c>
      <c r="DO8">
        <f>INDEX($B$22:$GQ$22,MATCH(118,$B$29:$GQ$29,0))</f>
        <v/>
      </c>
      <c r="DP8">
        <f>INDEX($B$22:$GQ$22,MATCH(119,$B$29:$GQ$29,0))</f>
        <v/>
      </c>
      <c r="DQ8">
        <f>INDEX($B$22:$GQ$22,MATCH(120,$B$29:$GQ$29,0))</f>
        <v/>
      </c>
      <c r="DR8">
        <f>INDEX($B$22:$GQ$22,MATCH(121,$B$29:$GQ$29,0))</f>
        <v/>
      </c>
      <c r="DS8">
        <f>INDEX($B$22:$GQ$22,MATCH(122,$B$29:$GQ$29,0))</f>
        <v/>
      </c>
      <c r="DT8">
        <f>INDEX($B$22:$GQ$22,MATCH(123,$B$29:$GQ$29,0))</f>
        <v/>
      </c>
      <c r="DU8">
        <f>INDEX($B$22:$GQ$22,MATCH(124,$B$29:$GQ$29,0))</f>
        <v/>
      </c>
      <c r="DV8">
        <f>INDEX($B$22:$GQ$22,MATCH(125,$B$29:$GQ$29,0))</f>
        <v/>
      </c>
      <c r="DW8">
        <f>INDEX($B$22:$GQ$22,MATCH(126,$B$29:$GQ$29,0))</f>
        <v/>
      </c>
      <c r="DX8">
        <f>INDEX($B$22:$GQ$22,MATCH(127,$B$29:$GQ$29,0))</f>
        <v/>
      </c>
      <c r="DY8">
        <f>INDEX($B$22:$GQ$22,MATCH(128,$B$29:$GQ$29,0))</f>
        <v/>
      </c>
      <c r="DZ8">
        <f>INDEX($B$22:$GQ$22,MATCH(129,$B$29:$GQ$29,0))</f>
        <v/>
      </c>
      <c r="EA8">
        <f>INDEX($B$22:$GQ$22,MATCH(130,$B$29:$GQ$29,0))</f>
        <v/>
      </c>
      <c r="EB8">
        <f>INDEX($B$22:$GQ$22,MATCH(131,$B$29:$GQ$29,0))</f>
        <v/>
      </c>
      <c r="EC8">
        <f>INDEX($B$22:$GQ$22,MATCH(132,$B$29:$GQ$29,0))</f>
        <v/>
      </c>
      <c r="ED8">
        <f>INDEX($B$22:$GQ$22,MATCH(133,$B$29:$GQ$29,0))</f>
        <v/>
      </c>
      <c r="EE8">
        <f>INDEX($B$22:$GQ$22,MATCH(134,$B$29:$GQ$29,0))</f>
        <v/>
      </c>
      <c r="EF8">
        <f>INDEX($B$22:$GQ$22,MATCH(135,$B$29:$GQ$29,0))</f>
        <v/>
      </c>
      <c r="EG8">
        <f>INDEX($B$22:$GQ$22,MATCH(136,$B$29:$GQ$29,0))</f>
        <v/>
      </c>
      <c r="EH8">
        <f>INDEX($B$22:$GQ$22,MATCH(137,$B$29:$GQ$29,0))</f>
        <v/>
      </c>
      <c r="EI8">
        <f>INDEX($B$22:$GQ$22,MATCH(138,$B$29:$GQ$29,0))</f>
        <v/>
      </c>
      <c r="EJ8">
        <f>INDEX($B$22:$GQ$22,MATCH(139,$B$29:$GQ$29,0))</f>
        <v/>
      </c>
      <c r="EK8">
        <f>INDEX($B$22:$GQ$22,MATCH(140,$B$29:$GQ$29,0))</f>
        <v/>
      </c>
      <c r="EL8">
        <f>INDEX($B$22:$GQ$22,MATCH(141,$B$29:$GQ$29,0))</f>
        <v/>
      </c>
      <c r="EM8">
        <f>INDEX($B$22:$GQ$22,MATCH(142,$B$29:$GQ$29,0))</f>
        <v/>
      </c>
      <c r="EN8">
        <f>INDEX($B$22:$GQ$22,MATCH(143,$B$29:$GQ$29,0))</f>
        <v/>
      </c>
      <c r="EO8">
        <f>INDEX($B$22:$GQ$22,MATCH(144,$B$29:$GQ$29,0))</f>
        <v/>
      </c>
      <c r="EP8">
        <f>INDEX($B$22:$GQ$22,MATCH(145,$B$29:$GQ$29,0))</f>
        <v/>
      </c>
      <c r="EQ8">
        <f>INDEX($B$22:$GQ$22,MATCH(146,$B$29:$GQ$29,0))</f>
        <v/>
      </c>
      <c r="ER8">
        <f>INDEX($B$22:$GQ$22,MATCH(147,$B$29:$GQ$29,0))</f>
        <v/>
      </c>
      <c r="ES8">
        <f>INDEX($B$22:$GQ$22,MATCH(148,$B$29:$GQ$29,0))</f>
        <v/>
      </c>
      <c r="ET8">
        <f>INDEX($B$22:$GQ$22,MATCH(149,$B$29:$GQ$29,0))</f>
        <v/>
      </c>
      <c r="EU8">
        <f>INDEX($B$22:$GQ$22,MATCH(150,$B$29:$GQ$29,0))</f>
        <v/>
      </c>
      <c r="EV8">
        <f>INDEX($B$22:$GQ$22,MATCH(151,$B$29:$GQ$29,0))</f>
        <v/>
      </c>
      <c r="EW8">
        <f>INDEX($B$22:$GQ$22,MATCH(152,$B$29:$GQ$29,0))</f>
        <v/>
      </c>
      <c r="EX8">
        <f>INDEX($B$22:$GQ$22,MATCH(153,$B$29:$GQ$29,0))</f>
        <v/>
      </c>
      <c r="EY8">
        <f>INDEX($B$22:$GQ$22,MATCH(154,$B$29:$GQ$29,0))</f>
        <v/>
      </c>
      <c r="EZ8">
        <f>INDEX($B$22:$GQ$22,MATCH(155,$B$29:$GQ$29,0))</f>
        <v/>
      </c>
      <c r="FA8">
        <f>INDEX($B$22:$GQ$22,MATCH(156,$B$29:$GQ$29,0))</f>
        <v/>
      </c>
      <c r="FB8">
        <f>INDEX($B$22:$GQ$22,MATCH(157,$B$29:$GQ$29,0))</f>
        <v/>
      </c>
      <c r="FC8">
        <f>INDEX($B$22:$GQ$22,MATCH(158,$B$29:$GQ$29,0))</f>
        <v/>
      </c>
      <c r="FD8">
        <f>INDEX($B$22:$GQ$22,MATCH(159,$B$29:$GQ$29,0))</f>
        <v/>
      </c>
      <c r="FE8">
        <f>INDEX($B$22:$GQ$22,MATCH(160,$B$29:$GQ$29,0))</f>
        <v/>
      </c>
      <c r="FF8">
        <f>INDEX($B$22:$GQ$22,MATCH(161,$B$29:$GQ$29,0))</f>
        <v/>
      </c>
      <c r="FG8">
        <f>INDEX($B$22:$GQ$22,MATCH(162,$B$29:$GQ$29,0))</f>
        <v/>
      </c>
      <c r="FH8">
        <f>INDEX($B$22:$GQ$22,MATCH(163,$B$29:$GQ$29,0))</f>
        <v/>
      </c>
      <c r="FI8">
        <f>INDEX($B$22:$GQ$22,MATCH(164,$B$29:$GQ$29,0))</f>
        <v/>
      </c>
      <c r="FJ8">
        <f>INDEX($B$22:$GQ$22,MATCH(165,$B$29:$GQ$29,0))</f>
        <v/>
      </c>
      <c r="FK8">
        <f>INDEX($B$22:$GQ$22,MATCH(166,$B$29:$GQ$29,0))</f>
        <v/>
      </c>
      <c r="FL8">
        <f>INDEX($B$22:$GQ$22,MATCH(167,$B$29:$GQ$29,0))</f>
        <v/>
      </c>
      <c r="FM8">
        <f>INDEX($B$22:$GQ$22,MATCH(168,$B$29:$GQ$29,0))</f>
        <v/>
      </c>
      <c r="FN8">
        <f>INDEX($B$22:$GQ$22,MATCH(169,$B$29:$GQ$29,0))</f>
        <v/>
      </c>
      <c r="FO8">
        <f>INDEX($B$22:$GQ$22,MATCH(170,$B$29:$GQ$29,0))</f>
        <v/>
      </c>
      <c r="FP8">
        <f>INDEX($B$22:$GQ$22,MATCH(171,$B$29:$GQ$29,0))</f>
        <v/>
      </c>
      <c r="FQ8">
        <f>INDEX($B$22:$GQ$22,MATCH(172,$B$29:$GQ$29,0))</f>
        <v/>
      </c>
      <c r="FR8">
        <f>INDEX($B$22:$GQ$22,MATCH(173,$B$29:$GQ$29,0))</f>
        <v/>
      </c>
      <c r="FS8">
        <f>INDEX($B$22:$GQ$22,MATCH(174,$B$29:$GQ$29,0))</f>
        <v/>
      </c>
      <c r="FT8">
        <f>INDEX($B$22:$GQ$22,MATCH(175,$B$29:$GQ$29,0))</f>
        <v/>
      </c>
      <c r="FU8">
        <f>INDEX($B$22:$GQ$22,MATCH(176,$B$29:$GQ$29,0))</f>
        <v/>
      </c>
      <c r="FV8">
        <f>INDEX($B$22:$GQ$22,MATCH(177,$B$29:$GQ$29,0))</f>
        <v/>
      </c>
      <c r="FW8">
        <f>INDEX($B$22:$GQ$22,MATCH(178,$B$29:$GQ$29,0))</f>
        <v/>
      </c>
      <c r="FX8">
        <f>INDEX($B$22:$GQ$22,MATCH(179,$B$29:$GQ$29,0))</f>
        <v/>
      </c>
      <c r="FY8">
        <f>INDEX($B$22:$GQ$22,MATCH(180,$B$29:$GQ$29,0))</f>
        <v/>
      </c>
      <c r="FZ8">
        <f>INDEX($B$22:$GQ$22,MATCH(181,$B$29:$GQ$29,0))</f>
        <v/>
      </c>
      <c r="GA8">
        <f>INDEX($B$22:$GQ$22,MATCH(182,$B$29:$GQ$29,0))</f>
        <v/>
      </c>
      <c r="GB8">
        <f>INDEX($B$22:$GQ$22,MATCH(183,$B$29:$GQ$29,0))</f>
        <v/>
      </c>
      <c r="GC8">
        <f>INDEX($B$22:$GQ$22,MATCH(184,$B$29:$GQ$29,0))</f>
        <v/>
      </c>
      <c r="GD8">
        <f>INDEX($B$22:$GQ$22,MATCH(185,$B$29:$GQ$29,0))</f>
        <v/>
      </c>
      <c r="GE8">
        <f>INDEX($B$22:$GQ$22,MATCH(186,$B$29:$GQ$29,0))</f>
        <v/>
      </c>
      <c r="GF8">
        <f>INDEX($B$22:$GQ$22,MATCH(187,$B$29:$GQ$29,0))</f>
        <v/>
      </c>
      <c r="GG8">
        <f>INDEX($B$22:$GQ$22,MATCH(188,$B$29:$GQ$29,0))</f>
        <v/>
      </c>
      <c r="GH8">
        <f>INDEX($B$22:$GQ$22,MATCH(189,$B$29:$GQ$29,0))</f>
        <v/>
      </c>
      <c r="GI8">
        <f>INDEX($B$22:$GQ$22,MATCH(190,$B$29:$GQ$29,0))</f>
        <v/>
      </c>
      <c r="GJ8">
        <f>INDEX($B$22:$GQ$22,MATCH(191,$B$29:$GQ$29,0))</f>
        <v/>
      </c>
      <c r="GK8">
        <f>INDEX($B$22:$GQ$22,MATCH(192,$B$29:$GQ$29,0))</f>
        <v/>
      </c>
      <c r="GL8">
        <f>INDEX($B$22:$GQ$22,MATCH(193,$B$29:$GQ$29,0))</f>
        <v/>
      </c>
      <c r="GM8">
        <f>INDEX($B$22:$GQ$22,MATCH(194,$B$29:$GQ$29,0))</f>
        <v/>
      </c>
      <c r="GN8">
        <f>INDEX($B$22:$GQ$22,MATCH(195,$B$29:$GQ$29,0))</f>
        <v/>
      </c>
      <c r="GO8">
        <f>INDEX($B$22:$GQ$22,MATCH(196,$B$29:$GQ$29,0))</f>
        <v/>
      </c>
      <c r="GP8">
        <f>INDEX($B$22:$GQ$22,MATCH(197,$B$29:$GQ$29,0))</f>
        <v/>
      </c>
      <c r="GQ8">
        <f>INDEX($B$22:$GQ$22,MATCH(198,$B$29:$GQ$29,0))</f>
        <v/>
      </c>
      <c r="GR8">
        <f>INDEX($GR$22:$HC$22,MATCH(1,$GR$30:$HC$30,0))</f>
        <v/>
      </c>
      <c r="GS8">
        <f>INDEX($GR$22:$HC$22,MATCH(2,$GR$30:$HC$30,0))</f>
        <v/>
      </c>
      <c r="GT8">
        <f>INDEX($GR$22:$HC$22,MATCH(3,$GR$30:$HC$30,0))</f>
        <v/>
      </c>
      <c r="GU8">
        <f>INDEX($GR$22:$HC$22,MATCH(4,$GR$30:$HC$30,0))</f>
        <v/>
      </c>
      <c r="GV8">
        <f>INDEX($GR$22:$HC$22,MATCH(5,$GR$30:$HC$30,0))</f>
        <v/>
      </c>
      <c r="GW8">
        <f>INDEX($GR$22:$HC$22,MATCH(6,$GR$30:$HC$30,0))</f>
        <v/>
      </c>
      <c r="GX8">
        <f>INDEX($GR$22:$HC$22,MATCH(7,$GR$30:$HC$30,0))</f>
        <v/>
      </c>
      <c r="GY8">
        <f>INDEX($GR$22:$HC$22,MATCH(8,$GR$30:$HC$30,0))</f>
        <v/>
      </c>
      <c r="GZ8">
        <f>INDEX($GR$22:$HC$22,MATCH(9,$GR$30:$HC$30,0))</f>
        <v/>
      </c>
      <c r="HA8">
        <f>INDEX($GR$22:$HC$22,MATCH(10,$GR$30:$HC$30,0))</f>
        <v/>
      </c>
      <c r="HB8">
        <f>INDEX($GR$22:$HC$22,MATCH(11,$GR$30:$HC$30,0))</f>
        <v/>
      </c>
      <c r="HC8">
        <f>INDEX($GR$22:$HC$22,MATCH(12,$GR$30:$HC$30,0))</f>
        <v/>
      </c>
    </row>
    <row r="9">
      <c r="A9" s="1" t="inlineStr">
        <is>
          <t>M_imp*Y_dom</t>
        </is>
      </c>
      <c r="B9">
        <f>INDEX($B$23:$GQ$23,MATCH(1,$B$29:$GQ$29,0))</f>
        <v/>
      </c>
      <c r="C9">
        <f>INDEX($B$23:$GQ$23,MATCH(2,$B$29:$GQ$29,0))</f>
        <v/>
      </c>
      <c r="D9">
        <f>INDEX($B$23:$GQ$23,MATCH(3,$B$29:$GQ$29,0))</f>
        <v/>
      </c>
      <c r="E9">
        <f>INDEX($B$23:$GQ$23,MATCH(4,$B$29:$GQ$29,0))</f>
        <v/>
      </c>
      <c r="F9">
        <f>INDEX($B$23:$GQ$23,MATCH(5,$B$29:$GQ$29,0))</f>
        <v/>
      </c>
      <c r="G9">
        <f>INDEX($B$23:$GQ$23,MATCH(6,$B$29:$GQ$29,0))</f>
        <v/>
      </c>
      <c r="H9">
        <f>INDEX($B$23:$GQ$23,MATCH(7,$B$29:$GQ$29,0))</f>
        <v/>
      </c>
      <c r="I9">
        <f>INDEX($B$23:$GQ$23,MATCH(8,$B$29:$GQ$29,0))</f>
        <v/>
      </c>
      <c r="J9">
        <f>INDEX($B$23:$GQ$23,MATCH(9,$B$29:$GQ$29,0))</f>
        <v/>
      </c>
      <c r="K9">
        <f>INDEX($B$23:$GQ$23,MATCH(10,$B$29:$GQ$29,0))</f>
        <v/>
      </c>
      <c r="L9">
        <f>INDEX($B$23:$GQ$23,MATCH(11,$B$29:$GQ$29,0))</f>
        <v/>
      </c>
      <c r="M9">
        <f>INDEX($B$23:$GQ$23,MATCH(12,$B$29:$GQ$29,0))</f>
        <v/>
      </c>
      <c r="N9">
        <f>INDEX($B$23:$GQ$23,MATCH(13,$B$29:$GQ$29,0))</f>
        <v/>
      </c>
      <c r="O9">
        <f>INDEX($B$23:$GQ$23,MATCH(14,$B$29:$GQ$29,0))</f>
        <v/>
      </c>
      <c r="P9">
        <f>INDEX($B$23:$GQ$23,MATCH(15,$B$29:$GQ$29,0))</f>
        <v/>
      </c>
      <c r="Q9">
        <f>INDEX($B$23:$GQ$23,MATCH(16,$B$29:$GQ$29,0))</f>
        <v/>
      </c>
      <c r="R9">
        <f>INDEX($B$23:$GQ$23,MATCH(17,$B$29:$GQ$29,0))</f>
        <v/>
      </c>
      <c r="S9">
        <f>INDEX($B$23:$GQ$23,MATCH(18,$B$29:$GQ$29,0))</f>
        <v/>
      </c>
      <c r="T9">
        <f>INDEX($B$23:$GQ$23,MATCH(19,$B$29:$GQ$29,0))</f>
        <v/>
      </c>
      <c r="U9">
        <f>INDEX($B$23:$GQ$23,MATCH(20,$B$29:$GQ$29,0))</f>
        <v/>
      </c>
      <c r="V9">
        <f>INDEX($B$23:$GQ$23,MATCH(21,$B$29:$GQ$29,0))</f>
        <v/>
      </c>
      <c r="W9">
        <f>INDEX($B$23:$GQ$23,MATCH(22,$B$29:$GQ$29,0))</f>
        <v/>
      </c>
      <c r="X9">
        <f>INDEX($B$23:$GQ$23,MATCH(23,$B$29:$GQ$29,0))</f>
        <v/>
      </c>
      <c r="Y9">
        <f>INDEX($B$23:$GQ$23,MATCH(24,$B$29:$GQ$29,0))</f>
        <v/>
      </c>
      <c r="Z9">
        <f>INDEX($B$23:$GQ$23,MATCH(25,$B$29:$GQ$29,0))</f>
        <v/>
      </c>
      <c r="AA9">
        <f>INDEX($B$23:$GQ$23,MATCH(26,$B$29:$GQ$29,0))</f>
        <v/>
      </c>
      <c r="AB9">
        <f>INDEX($B$23:$GQ$23,MATCH(27,$B$29:$GQ$29,0))</f>
        <v/>
      </c>
      <c r="AC9">
        <f>INDEX($B$23:$GQ$23,MATCH(28,$B$29:$GQ$29,0))</f>
        <v/>
      </c>
      <c r="AD9">
        <f>INDEX($B$23:$GQ$23,MATCH(29,$B$29:$GQ$29,0))</f>
        <v/>
      </c>
      <c r="AE9">
        <f>INDEX($B$23:$GQ$23,MATCH(30,$B$29:$GQ$29,0))</f>
        <v/>
      </c>
      <c r="AF9">
        <f>INDEX($B$23:$GQ$23,MATCH(31,$B$29:$GQ$29,0))</f>
        <v/>
      </c>
      <c r="AG9">
        <f>INDEX($B$23:$GQ$23,MATCH(32,$B$29:$GQ$29,0))</f>
        <v/>
      </c>
      <c r="AH9">
        <f>INDEX($B$23:$GQ$23,MATCH(33,$B$29:$GQ$29,0))</f>
        <v/>
      </c>
      <c r="AI9">
        <f>INDEX($B$23:$GQ$23,MATCH(34,$B$29:$GQ$29,0))</f>
        <v/>
      </c>
      <c r="AJ9">
        <f>INDEX($B$23:$GQ$23,MATCH(35,$B$29:$GQ$29,0))</f>
        <v/>
      </c>
      <c r="AK9">
        <f>INDEX($B$23:$GQ$23,MATCH(36,$B$29:$GQ$29,0))</f>
        <v/>
      </c>
      <c r="AL9">
        <f>INDEX($B$23:$GQ$23,MATCH(37,$B$29:$GQ$29,0))</f>
        <v/>
      </c>
      <c r="AM9">
        <f>INDEX($B$23:$GQ$23,MATCH(38,$B$29:$GQ$29,0))</f>
        <v/>
      </c>
      <c r="AN9">
        <f>INDEX($B$23:$GQ$23,MATCH(39,$B$29:$GQ$29,0))</f>
        <v/>
      </c>
      <c r="AO9">
        <f>INDEX($B$23:$GQ$23,MATCH(40,$B$29:$GQ$29,0))</f>
        <v/>
      </c>
      <c r="AP9">
        <f>INDEX($B$23:$GQ$23,MATCH(41,$B$29:$GQ$29,0))</f>
        <v/>
      </c>
      <c r="AQ9">
        <f>INDEX($B$23:$GQ$23,MATCH(42,$B$29:$GQ$29,0))</f>
        <v/>
      </c>
      <c r="AR9">
        <f>INDEX($B$23:$GQ$23,MATCH(43,$B$29:$GQ$29,0))</f>
        <v/>
      </c>
      <c r="AS9">
        <f>INDEX($B$23:$GQ$23,MATCH(44,$B$29:$GQ$29,0))</f>
        <v/>
      </c>
      <c r="AT9">
        <f>INDEX($B$23:$GQ$23,MATCH(45,$B$29:$GQ$29,0))</f>
        <v/>
      </c>
      <c r="AU9">
        <f>INDEX($B$23:$GQ$23,MATCH(46,$B$29:$GQ$29,0))</f>
        <v/>
      </c>
      <c r="AV9">
        <f>INDEX($B$23:$GQ$23,MATCH(47,$B$29:$GQ$29,0))</f>
        <v/>
      </c>
      <c r="AW9">
        <f>INDEX($B$23:$GQ$23,MATCH(48,$B$29:$GQ$29,0))</f>
        <v/>
      </c>
      <c r="AX9">
        <f>INDEX($B$23:$GQ$23,MATCH(49,$B$29:$GQ$29,0))</f>
        <v/>
      </c>
      <c r="AY9">
        <f>INDEX($B$23:$GQ$23,MATCH(50,$B$29:$GQ$29,0))</f>
        <v/>
      </c>
      <c r="AZ9">
        <f>INDEX($B$23:$GQ$23,MATCH(51,$B$29:$GQ$29,0))</f>
        <v/>
      </c>
      <c r="BA9">
        <f>INDEX($B$23:$GQ$23,MATCH(52,$B$29:$GQ$29,0))</f>
        <v/>
      </c>
      <c r="BB9">
        <f>INDEX($B$23:$GQ$23,MATCH(53,$B$29:$GQ$29,0))</f>
        <v/>
      </c>
      <c r="BC9">
        <f>INDEX($B$23:$GQ$23,MATCH(54,$B$29:$GQ$29,0))</f>
        <v/>
      </c>
      <c r="BD9">
        <f>INDEX($B$23:$GQ$23,MATCH(55,$B$29:$GQ$29,0))</f>
        <v/>
      </c>
      <c r="BE9">
        <f>INDEX($B$23:$GQ$23,MATCH(56,$B$29:$GQ$29,0))</f>
        <v/>
      </c>
      <c r="BF9">
        <f>INDEX($B$23:$GQ$23,MATCH(57,$B$29:$GQ$29,0))</f>
        <v/>
      </c>
      <c r="BG9">
        <f>INDEX($B$23:$GQ$23,MATCH(58,$B$29:$GQ$29,0))</f>
        <v/>
      </c>
      <c r="BH9">
        <f>INDEX($B$23:$GQ$23,MATCH(59,$B$29:$GQ$29,0))</f>
        <v/>
      </c>
      <c r="BI9">
        <f>INDEX($B$23:$GQ$23,MATCH(60,$B$29:$GQ$29,0))</f>
        <v/>
      </c>
      <c r="BJ9">
        <f>INDEX($B$23:$GQ$23,MATCH(61,$B$29:$GQ$29,0))</f>
        <v/>
      </c>
      <c r="BK9">
        <f>INDEX($B$23:$GQ$23,MATCH(62,$B$29:$GQ$29,0))</f>
        <v/>
      </c>
      <c r="BL9">
        <f>INDEX($B$23:$GQ$23,MATCH(63,$B$29:$GQ$29,0))</f>
        <v/>
      </c>
      <c r="BM9">
        <f>INDEX($B$23:$GQ$23,MATCH(64,$B$29:$GQ$29,0))</f>
        <v/>
      </c>
      <c r="BN9">
        <f>INDEX($B$23:$GQ$23,MATCH(65,$B$29:$GQ$29,0))</f>
        <v/>
      </c>
      <c r="BO9">
        <f>INDEX($B$23:$GQ$23,MATCH(66,$B$29:$GQ$29,0))</f>
        <v/>
      </c>
      <c r="BP9">
        <f>INDEX($B$23:$GQ$23,MATCH(67,$B$29:$GQ$29,0))</f>
        <v/>
      </c>
      <c r="BQ9">
        <f>INDEX($B$23:$GQ$23,MATCH(68,$B$29:$GQ$29,0))</f>
        <v/>
      </c>
      <c r="BR9">
        <f>INDEX($B$23:$GQ$23,MATCH(69,$B$29:$GQ$29,0))</f>
        <v/>
      </c>
      <c r="BS9">
        <f>INDEX($B$23:$GQ$23,MATCH(70,$B$29:$GQ$29,0))</f>
        <v/>
      </c>
      <c r="BT9">
        <f>INDEX($B$23:$GQ$23,MATCH(71,$B$29:$GQ$29,0))</f>
        <v/>
      </c>
      <c r="BU9">
        <f>INDEX($B$23:$GQ$23,MATCH(72,$B$29:$GQ$29,0))</f>
        <v/>
      </c>
      <c r="BV9">
        <f>INDEX($B$23:$GQ$23,MATCH(73,$B$29:$GQ$29,0))</f>
        <v/>
      </c>
      <c r="BW9">
        <f>INDEX($B$23:$GQ$23,MATCH(74,$B$29:$GQ$29,0))</f>
        <v/>
      </c>
      <c r="BX9">
        <f>INDEX($B$23:$GQ$23,MATCH(75,$B$29:$GQ$29,0))</f>
        <v/>
      </c>
      <c r="BY9">
        <f>INDEX($B$23:$GQ$23,MATCH(76,$B$29:$GQ$29,0))</f>
        <v/>
      </c>
      <c r="BZ9">
        <f>INDEX($B$23:$GQ$23,MATCH(77,$B$29:$GQ$29,0))</f>
        <v/>
      </c>
      <c r="CA9">
        <f>INDEX($B$23:$GQ$23,MATCH(78,$B$29:$GQ$29,0))</f>
        <v/>
      </c>
      <c r="CB9">
        <f>INDEX($B$23:$GQ$23,MATCH(79,$B$29:$GQ$29,0))</f>
        <v/>
      </c>
      <c r="CC9">
        <f>INDEX($B$23:$GQ$23,MATCH(80,$B$29:$GQ$29,0))</f>
        <v/>
      </c>
      <c r="CD9">
        <f>INDEX($B$23:$GQ$23,MATCH(81,$B$29:$GQ$29,0))</f>
        <v/>
      </c>
      <c r="CE9">
        <f>INDEX($B$23:$GQ$23,MATCH(82,$B$29:$GQ$29,0))</f>
        <v/>
      </c>
      <c r="CF9">
        <f>INDEX($B$23:$GQ$23,MATCH(83,$B$29:$GQ$29,0))</f>
        <v/>
      </c>
      <c r="CG9">
        <f>INDEX($B$23:$GQ$23,MATCH(84,$B$29:$GQ$29,0))</f>
        <v/>
      </c>
      <c r="CH9">
        <f>INDEX($B$23:$GQ$23,MATCH(85,$B$29:$GQ$29,0))</f>
        <v/>
      </c>
      <c r="CI9">
        <f>INDEX($B$23:$GQ$23,MATCH(86,$B$29:$GQ$29,0))</f>
        <v/>
      </c>
      <c r="CJ9">
        <f>INDEX($B$23:$GQ$23,MATCH(87,$B$29:$GQ$29,0))</f>
        <v/>
      </c>
      <c r="CK9">
        <f>INDEX($B$23:$GQ$23,MATCH(88,$B$29:$GQ$29,0))</f>
        <v/>
      </c>
      <c r="CL9">
        <f>INDEX($B$23:$GQ$23,MATCH(89,$B$29:$GQ$29,0))</f>
        <v/>
      </c>
      <c r="CM9">
        <f>INDEX($B$23:$GQ$23,MATCH(90,$B$29:$GQ$29,0))</f>
        <v/>
      </c>
      <c r="CN9">
        <f>INDEX($B$23:$GQ$23,MATCH(91,$B$29:$GQ$29,0))</f>
        <v/>
      </c>
      <c r="CO9">
        <f>INDEX($B$23:$GQ$23,MATCH(92,$B$29:$GQ$29,0))</f>
        <v/>
      </c>
      <c r="CP9">
        <f>INDEX($B$23:$GQ$23,MATCH(93,$B$29:$GQ$29,0))</f>
        <v/>
      </c>
      <c r="CQ9">
        <f>INDEX($B$23:$GQ$23,MATCH(94,$B$29:$GQ$29,0))</f>
        <v/>
      </c>
      <c r="CR9">
        <f>INDEX($B$23:$GQ$23,MATCH(95,$B$29:$GQ$29,0))</f>
        <v/>
      </c>
      <c r="CS9">
        <f>INDEX($B$23:$GQ$23,MATCH(96,$B$29:$GQ$29,0))</f>
        <v/>
      </c>
      <c r="CT9">
        <f>INDEX($B$23:$GQ$23,MATCH(97,$B$29:$GQ$29,0))</f>
        <v/>
      </c>
      <c r="CU9">
        <f>INDEX($B$23:$GQ$23,MATCH(98,$B$29:$GQ$29,0))</f>
        <v/>
      </c>
      <c r="CV9">
        <f>INDEX($B$23:$GQ$23,MATCH(99,$B$29:$GQ$29,0))</f>
        <v/>
      </c>
      <c r="CW9">
        <f>INDEX($B$23:$GQ$23,MATCH(100,$B$29:$GQ$29,0))</f>
        <v/>
      </c>
      <c r="CX9">
        <f>INDEX($B$23:$GQ$23,MATCH(101,$B$29:$GQ$29,0))</f>
        <v/>
      </c>
      <c r="CY9">
        <f>INDEX($B$23:$GQ$23,MATCH(102,$B$29:$GQ$29,0))</f>
        <v/>
      </c>
      <c r="CZ9">
        <f>INDEX($B$23:$GQ$23,MATCH(103,$B$29:$GQ$29,0))</f>
        <v/>
      </c>
      <c r="DA9">
        <f>INDEX($B$23:$GQ$23,MATCH(104,$B$29:$GQ$29,0))</f>
        <v/>
      </c>
      <c r="DB9">
        <f>INDEX($B$23:$GQ$23,MATCH(105,$B$29:$GQ$29,0))</f>
        <v/>
      </c>
      <c r="DC9">
        <f>INDEX($B$23:$GQ$23,MATCH(106,$B$29:$GQ$29,0))</f>
        <v/>
      </c>
      <c r="DD9">
        <f>INDEX($B$23:$GQ$23,MATCH(107,$B$29:$GQ$29,0))</f>
        <v/>
      </c>
      <c r="DE9">
        <f>INDEX($B$23:$GQ$23,MATCH(108,$B$29:$GQ$29,0))</f>
        <v/>
      </c>
      <c r="DF9">
        <f>INDEX($B$23:$GQ$23,MATCH(109,$B$29:$GQ$29,0))</f>
        <v/>
      </c>
      <c r="DG9">
        <f>INDEX($B$23:$GQ$23,MATCH(110,$B$29:$GQ$29,0))</f>
        <v/>
      </c>
      <c r="DH9">
        <f>INDEX($B$23:$GQ$23,MATCH(111,$B$29:$GQ$29,0))</f>
        <v/>
      </c>
      <c r="DI9">
        <f>INDEX($B$23:$GQ$23,MATCH(112,$B$29:$GQ$29,0))</f>
        <v/>
      </c>
      <c r="DJ9">
        <f>INDEX($B$23:$GQ$23,MATCH(113,$B$29:$GQ$29,0))</f>
        <v/>
      </c>
      <c r="DK9">
        <f>INDEX($B$23:$GQ$23,MATCH(114,$B$29:$GQ$29,0))</f>
        <v/>
      </c>
      <c r="DL9">
        <f>INDEX($B$23:$GQ$23,MATCH(115,$B$29:$GQ$29,0))</f>
        <v/>
      </c>
      <c r="DM9">
        <f>INDEX($B$23:$GQ$23,MATCH(116,$B$29:$GQ$29,0))</f>
        <v/>
      </c>
      <c r="DN9">
        <f>INDEX($B$23:$GQ$23,MATCH(117,$B$29:$GQ$29,0))</f>
        <v/>
      </c>
      <c r="DO9">
        <f>INDEX($B$23:$GQ$23,MATCH(118,$B$29:$GQ$29,0))</f>
        <v/>
      </c>
      <c r="DP9">
        <f>INDEX($B$23:$GQ$23,MATCH(119,$B$29:$GQ$29,0))</f>
        <v/>
      </c>
      <c r="DQ9">
        <f>INDEX($B$23:$GQ$23,MATCH(120,$B$29:$GQ$29,0))</f>
        <v/>
      </c>
      <c r="DR9">
        <f>INDEX($B$23:$GQ$23,MATCH(121,$B$29:$GQ$29,0))</f>
        <v/>
      </c>
      <c r="DS9">
        <f>INDEX($B$23:$GQ$23,MATCH(122,$B$29:$GQ$29,0))</f>
        <v/>
      </c>
      <c r="DT9">
        <f>INDEX($B$23:$GQ$23,MATCH(123,$B$29:$GQ$29,0))</f>
        <v/>
      </c>
      <c r="DU9">
        <f>INDEX($B$23:$GQ$23,MATCH(124,$B$29:$GQ$29,0))</f>
        <v/>
      </c>
      <c r="DV9">
        <f>INDEX($B$23:$GQ$23,MATCH(125,$B$29:$GQ$29,0))</f>
        <v/>
      </c>
      <c r="DW9">
        <f>INDEX($B$23:$GQ$23,MATCH(126,$B$29:$GQ$29,0))</f>
        <v/>
      </c>
      <c r="DX9">
        <f>INDEX($B$23:$GQ$23,MATCH(127,$B$29:$GQ$29,0))</f>
        <v/>
      </c>
      <c r="DY9">
        <f>INDEX($B$23:$GQ$23,MATCH(128,$B$29:$GQ$29,0))</f>
        <v/>
      </c>
      <c r="DZ9">
        <f>INDEX($B$23:$GQ$23,MATCH(129,$B$29:$GQ$29,0))</f>
        <v/>
      </c>
      <c r="EA9">
        <f>INDEX($B$23:$GQ$23,MATCH(130,$B$29:$GQ$29,0))</f>
        <v/>
      </c>
      <c r="EB9">
        <f>INDEX($B$23:$GQ$23,MATCH(131,$B$29:$GQ$29,0))</f>
        <v/>
      </c>
      <c r="EC9">
        <f>INDEX($B$23:$GQ$23,MATCH(132,$B$29:$GQ$29,0))</f>
        <v/>
      </c>
      <c r="ED9">
        <f>INDEX($B$23:$GQ$23,MATCH(133,$B$29:$GQ$29,0))</f>
        <v/>
      </c>
      <c r="EE9">
        <f>INDEX($B$23:$GQ$23,MATCH(134,$B$29:$GQ$29,0))</f>
        <v/>
      </c>
      <c r="EF9">
        <f>INDEX($B$23:$GQ$23,MATCH(135,$B$29:$GQ$29,0))</f>
        <v/>
      </c>
      <c r="EG9">
        <f>INDEX($B$23:$GQ$23,MATCH(136,$B$29:$GQ$29,0))</f>
        <v/>
      </c>
      <c r="EH9">
        <f>INDEX($B$23:$GQ$23,MATCH(137,$B$29:$GQ$29,0))</f>
        <v/>
      </c>
      <c r="EI9">
        <f>INDEX($B$23:$GQ$23,MATCH(138,$B$29:$GQ$29,0))</f>
        <v/>
      </c>
      <c r="EJ9">
        <f>INDEX($B$23:$GQ$23,MATCH(139,$B$29:$GQ$29,0))</f>
        <v/>
      </c>
      <c r="EK9">
        <f>INDEX($B$23:$GQ$23,MATCH(140,$B$29:$GQ$29,0))</f>
        <v/>
      </c>
      <c r="EL9">
        <f>INDEX($B$23:$GQ$23,MATCH(141,$B$29:$GQ$29,0))</f>
        <v/>
      </c>
      <c r="EM9">
        <f>INDEX($B$23:$GQ$23,MATCH(142,$B$29:$GQ$29,0))</f>
        <v/>
      </c>
      <c r="EN9">
        <f>INDEX($B$23:$GQ$23,MATCH(143,$B$29:$GQ$29,0))</f>
        <v/>
      </c>
      <c r="EO9">
        <f>INDEX($B$23:$GQ$23,MATCH(144,$B$29:$GQ$29,0))</f>
        <v/>
      </c>
      <c r="EP9">
        <f>INDEX($B$23:$GQ$23,MATCH(145,$B$29:$GQ$29,0))</f>
        <v/>
      </c>
      <c r="EQ9">
        <f>INDEX($B$23:$GQ$23,MATCH(146,$B$29:$GQ$29,0))</f>
        <v/>
      </c>
      <c r="ER9">
        <f>INDEX($B$23:$GQ$23,MATCH(147,$B$29:$GQ$29,0))</f>
        <v/>
      </c>
      <c r="ES9">
        <f>INDEX($B$23:$GQ$23,MATCH(148,$B$29:$GQ$29,0))</f>
        <v/>
      </c>
      <c r="ET9">
        <f>INDEX($B$23:$GQ$23,MATCH(149,$B$29:$GQ$29,0))</f>
        <v/>
      </c>
      <c r="EU9">
        <f>INDEX($B$23:$GQ$23,MATCH(150,$B$29:$GQ$29,0))</f>
        <v/>
      </c>
      <c r="EV9">
        <f>INDEX($B$23:$GQ$23,MATCH(151,$B$29:$GQ$29,0))</f>
        <v/>
      </c>
      <c r="EW9">
        <f>INDEX($B$23:$GQ$23,MATCH(152,$B$29:$GQ$29,0))</f>
        <v/>
      </c>
      <c r="EX9">
        <f>INDEX($B$23:$GQ$23,MATCH(153,$B$29:$GQ$29,0))</f>
        <v/>
      </c>
      <c r="EY9">
        <f>INDEX($B$23:$GQ$23,MATCH(154,$B$29:$GQ$29,0))</f>
        <v/>
      </c>
      <c r="EZ9">
        <f>INDEX($B$23:$GQ$23,MATCH(155,$B$29:$GQ$29,0))</f>
        <v/>
      </c>
      <c r="FA9">
        <f>INDEX($B$23:$GQ$23,MATCH(156,$B$29:$GQ$29,0))</f>
        <v/>
      </c>
      <c r="FB9">
        <f>INDEX($B$23:$GQ$23,MATCH(157,$B$29:$GQ$29,0))</f>
        <v/>
      </c>
      <c r="FC9">
        <f>INDEX($B$23:$GQ$23,MATCH(158,$B$29:$GQ$29,0))</f>
        <v/>
      </c>
      <c r="FD9">
        <f>INDEX($B$23:$GQ$23,MATCH(159,$B$29:$GQ$29,0))</f>
        <v/>
      </c>
      <c r="FE9">
        <f>INDEX($B$23:$GQ$23,MATCH(160,$B$29:$GQ$29,0))</f>
        <v/>
      </c>
      <c r="FF9">
        <f>INDEX($B$23:$GQ$23,MATCH(161,$B$29:$GQ$29,0))</f>
        <v/>
      </c>
      <c r="FG9">
        <f>INDEX($B$23:$GQ$23,MATCH(162,$B$29:$GQ$29,0))</f>
        <v/>
      </c>
      <c r="FH9">
        <f>INDEX($B$23:$GQ$23,MATCH(163,$B$29:$GQ$29,0))</f>
        <v/>
      </c>
      <c r="FI9">
        <f>INDEX($B$23:$GQ$23,MATCH(164,$B$29:$GQ$29,0))</f>
        <v/>
      </c>
      <c r="FJ9">
        <f>INDEX($B$23:$GQ$23,MATCH(165,$B$29:$GQ$29,0))</f>
        <v/>
      </c>
      <c r="FK9">
        <f>INDEX($B$23:$GQ$23,MATCH(166,$B$29:$GQ$29,0))</f>
        <v/>
      </c>
      <c r="FL9">
        <f>INDEX($B$23:$GQ$23,MATCH(167,$B$29:$GQ$29,0))</f>
        <v/>
      </c>
      <c r="FM9">
        <f>INDEX($B$23:$GQ$23,MATCH(168,$B$29:$GQ$29,0))</f>
        <v/>
      </c>
      <c r="FN9">
        <f>INDEX($B$23:$GQ$23,MATCH(169,$B$29:$GQ$29,0))</f>
        <v/>
      </c>
      <c r="FO9">
        <f>INDEX($B$23:$GQ$23,MATCH(170,$B$29:$GQ$29,0))</f>
        <v/>
      </c>
      <c r="FP9">
        <f>INDEX($B$23:$GQ$23,MATCH(171,$B$29:$GQ$29,0))</f>
        <v/>
      </c>
      <c r="FQ9">
        <f>INDEX($B$23:$GQ$23,MATCH(172,$B$29:$GQ$29,0))</f>
        <v/>
      </c>
      <c r="FR9">
        <f>INDEX($B$23:$GQ$23,MATCH(173,$B$29:$GQ$29,0))</f>
        <v/>
      </c>
      <c r="FS9">
        <f>INDEX($B$23:$GQ$23,MATCH(174,$B$29:$GQ$29,0))</f>
        <v/>
      </c>
      <c r="FT9">
        <f>INDEX($B$23:$GQ$23,MATCH(175,$B$29:$GQ$29,0))</f>
        <v/>
      </c>
      <c r="FU9">
        <f>INDEX($B$23:$GQ$23,MATCH(176,$B$29:$GQ$29,0))</f>
        <v/>
      </c>
      <c r="FV9">
        <f>INDEX($B$23:$GQ$23,MATCH(177,$B$29:$GQ$29,0))</f>
        <v/>
      </c>
      <c r="FW9">
        <f>INDEX($B$23:$GQ$23,MATCH(178,$B$29:$GQ$29,0))</f>
        <v/>
      </c>
      <c r="FX9">
        <f>INDEX($B$23:$GQ$23,MATCH(179,$B$29:$GQ$29,0))</f>
        <v/>
      </c>
      <c r="FY9">
        <f>INDEX($B$23:$GQ$23,MATCH(180,$B$29:$GQ$29,0))</f>
        <v/>
      </c>
      <c r="FZ9">
        <f>INDEX($B$23:$GQ$23,MATCH(181,$B$29:$GQ$29,0))</f>
        <v/>
      </c>
      <c r="GA9">
        <f>INDEX($B$23:$GQ$23,MATCH(182,$B$29:$GQ$29,0))</f>
        <v/>
      </c>
      <c r="GB9">
        <f>INDEX($B$23:$GQ$23,MATCH(183,$B$29:$GQ$29,0))</f>
        <v/>
      </c>
      <c r="GC9">
        <f>INDEX($B$23:$GQ$23,MATCH(184,$B$29:$GQ$29,0))</f>
        <v/>
      </c>
      <c r="GD9">
        <f>INDEX($B$23:$GQ$23,MATCH(185,$B$29:$GQ$29,0))</f>
        <v/>
      </c>
      <c r="GE9">
        <f>INDEX($B$23:$GQ$23,MATCH(186,$B$29:$GQ$29,0))</f>
        <v/>
      </c>
      <c r="GF9">
        <f>INDEX($B$23:$GQ$23,MATCH(187,$B$29:$GQ$29,0))</f>
        <v/>
      </c>
      <c r="GG9">
        <f>INDEX($B$23:$GQ$23,MATCH(188,$B$29:$GQ$29,0))</f>
        <v/>
      </c>
      <c r="GH9">
        <f>INDEX($B$23:$GQ$23,MATCH(189,$B$29:$GQ$29,0))</f>
        <v/>
      </c>
      <c r="GI9">
        <f>INDEX($B$23:$GQ$23,MATCH(190,$B$29:$GQ$29,0))</f>
        <v/>
      </c>
      <c r="GJ9">
        <f>INDEX($B$23:$GQ$23,MATCH(191,$B$29:$GQ$29,0))</f>
        <v/>
      </c>
      <c r="GK9">
        <f>INDEX($B$23:$GQ$23,MATCH(192,$B$29:$GQ$29,0))</f>
        <v/>
      </c>
      <c r="GL9">
        <f>INDEX($B$23:$GQ$23,MATCH(193,$B$29:$GQ$29,0))</f>
        <v/>
      </c>
      <c r="GM9">
        <f>INDEX($B$23:$GQ$23,MATCH(194,$B$29:$GQ$29,0))</f>
        <v/>
      </c>
      <c r="GN9">
        <f>INDEX($B$23:$GQ$23,MATCH(195,$B$29:$GQ$29,0))</f>
        <v/>
      </c>
      <c r="GO9">
        <f>INDEX($B$23:$GQ$23,MATCH(196,$B$29:$GQ$29,0))</f>
        <v/>
      </c>
      <c r="GP9">
        <f>INDEX($B$23:$GQ$23,MATCH(197,$B$29:$GQ$29,0))</f>
        <v/>
      </c>
      <c r="GQ9">
        <f>INDEX($B$23:$GQ$23,MATCH(198,$B$29:$GQ$29,0))</f>
        <v/>
      </c>
      <c r="GR9">
        <f>INDEX($GR$23:$HC$23,MATCH(1,$GR$30:$HC$30,0))</f>
        <v/>
      </c>
      <c r="GS9">
        <f>INDEX($GR$23:$HC$23,MATCH(2,$GR$30:$HC$30,0))</f>
        <v/>
      </c>
      <c r="GT9">
        <f>INDEX($GR$23:$HC$23,MATCH(3,$GR$30:$HC$30,0))</f>
        <v/>
      </c>
      <c r="GU9">
        <f>INDEX($GR$23:$HC$23,MATCH(4,$GR$30:$HC$30,0))</f>
        <v/>
      </c>
      <c r="GV9">
        <f>INDEX($GR$23:$HC$23,MATCH(5,$GR$30:$HC$30,0))</f>
        <v/>
      </c>
      <c r="GW9">
        <f>INDEX($GR$23:$HC$23,MATCH(6,$GR$30:$HC$30,0))</f>
        <v/>
      </c>
      <c r="GX9">
        <f>INDEX($GR$23:$HC$23,MATCH(7,$GR$30:$HC$30,0))</f>
        <v/>
      </c>
      <c r="GY9">
        <f>INDEX($GR$23:$HC$23,MATCH(8,$GR$30:$HC$30,0))</f>
        <v/>
      </c>
      <c r="GZ9">
        <f>INDEX($GR$23:$HC$23,MATCH(9,$GR$30:$HC$30,0))</f>
        <v/>
      </c>
      <c r="HA9">
        <f>INDEX($GR$23:$HC$23,MATCH(10,$GR$30:$HC$30,0))</f>
        <v/>
      </c>
      <c r="HB9">
        <f>INDEX($GR$23:$HC$23,MATCH(11,$GR$30:$HC$30,0))</f>
        <v/>
      </c>
      <c r="HC9">
        <f>INDEX($GR$23:$HC$23,MATCH(12,$GR$30:$HC$30,0))</f>
        <v/>
      </c>
    </row>
    <row r="10">
      <c r="A10" s="1" t="inlineStr">
        <is>
          <t>M_dom*Y_dom</t>
        </is>
      </c>
      <c r="B10">
        <f>INDEX($B$24:$GQ$24,MATCH(1,$B$29:$GQ$29,0))</f>
        <v/>
      </c>
      <c r="C10">
        <f>INDEX($B$24:$GQ$24,MATCH(2,$B$29:$GQ$29,0))</f>
        <v/>
      </c>
      <c r="D10">
        <f>INDEX($B$24:$GQ$24,MATCH(3,$B$29:$GQ$29,0))</f>
        <v/>
      </c>
      <c r="E10">
        <f>INDEX($B$24:$GQ$24,MATCH(4,$B$29:$GQ$29,0))</f>
        <v/>
      </c>
      <c r="F10">
        <f>INDEX($B$24:$GQ$24,MATCH(5,$B$29:$GQ$29,0))</f>
        <v/>
      </c>
      <c r="G10">
        <f>INDEX($B$24:$GQ$24,MATCH(6,$B$29:$GQ$29,0))</f>
        <v/>
      </c>
      <c r="H10">
        <f>INDEX($B$24:$GQ$24,MATCH(7,$B$29:$GQ$29,0))</f>
        <v/>
      </c>
      <c r="I10">
        <f>INDEX($B$24:$GQ$24,MATCH(8,$B$29:$GQ$29,0))</f>
        <v/>
      </c>
      <c r="J10">
        <f>INDEX($B$24:$GQ$24,MATCH(9,$B$29:$GQ$29,0))</f>
        <v/>
      </c>
      <c r="K10">
        <f>INDEX($B$24:$GQ$24,MATCH(10,$B$29:$GQ$29,0))</f>
        <v/>
      </c>
      <c r="L10">
        <f>INDEX($B$24:$GQ$24,MATCH(11,$B$29:$GQ$29,0))</f>
        <v/>
      </c>
      <c r="M10">
        <f>INDEX($B$24:$GQ$24,MATCH(12,$B$29:$GQ$29,0))</f>
        <v/>
      </c>
      <c r="N10">
        <f>INDEX($B$24:$GQ$24,MATCH(13,$B$29:$GQ$29,0))</f>
        <v/>
      </c>
      <c r="O10">
        <f>INDEX($B$24:$GQ$24,MATCH(14,$B$29:$GQ$29,0))</f>
        <v/>
      </c>
      <c r="P10">
        <f>INDEX($B$24:$GQ$24,MATCH(15,$B$29:$GQ$29,0))</f>
        <v/>
      </c>
      <c r="Q10">
        <f>INDEX($B$24:$GQ$24,MATCH(16,$B$29:$GQ$29,0))</f>
        <v/>
      </c>
      <c r="R10">
        <f>INDEX($B$24:$GQ$24,MATCH(17,$B$29:$GQ$29,0))</f>
        <v/>
      </c>
      <c r="S10">
        <f>INDEX($B$24:$GQ$24,MATCH(18,$B$29:$GQ$29,0))</f>
        <v/>
      </c>
      <c r="T10">
        <f>INDEX($B$24:$GQ$24,MATCH(19,$B$29:$GQ$29,0))</f>
        <v/>
      </c>
      <c r="U10">
        <f>INDEX($B$24:$GQ$24,MATCH(20,$B$29:$GQ$29,0))</f>
        <v/>
      </c>
      <c r="V10">
        <f>INDEX($B$24:$GQ$24,MATCH(21,$B$29:$GQ$29,0))</f>
        <v/>
      </c>
      <c r="W10">
        <f>INDEX($B$24:$GQ$24,MATCH(22,$B$29:$GQ$29,0))</f>
        <v/>
      </c>
      <c r="X10">
        <f>INDEX($B$24:$GQ$24,MATCH(23,$B$29:$GQ$29,0))</f>
        <v/>
      </c>
      <c r="Y10">
        <f>INDEX($B$24:$GQ$24,MATCH(24,$B$29:$GQ$29,0))</f>
        <v/>
      </c>
      <c r="Z10">
        <f>INDEX($B$24:$GQ$24,MATCH(25,$B$29:$GQ$29,0))</f>
        <v/>
      </c>
      <c r="AA10">
        <f>INDEX($B$24:$GQ$24,MATCH(26,$B$29:$GQ$29,0))</f>
        <v/>
      </c>
      <c r="AB10">
        <f>INDEX($B$24:$GQ$24,MATCH(27,$B$29:$GQ$29,0))</f>
        <v/>
      </c>
      <c r="AC10">
        <f>INDEX($B$24:$GQ$24,MATCH(28,$B$29:$GQ$29,0))</f>
        <v/>
      </c>
      <c r="AD10">
        <f>INDEX($B$24:$GQ$24,MATCH(29,$B$29:$GQ$29,0))</f>
        <v/>
      </c>
      <c r="AE10">
        <f>INDEX($B$24:$GQ$24,MATCH(30,$B$29:$GQ$29,0))</f>
        <v/>
      </c>
      <c r="AF10">
        <f>INDEX($B$24:$GQ$24,MATCH(31,$B$29:$GQ$29,0))</f>
        <v/>
      </c>
      <c r="AG10">
        <f>INDEX($B$24:$GQ$24,MATCH(32,$B$29:$GQ$29,0))</f>
        <v/>
      </c>
      <c r="AH10">
        <f>INDEX($B$24:$GQ$24,MATCH(33,$B$29:$GQ$29,0))</f>
        <v/>
      </c>
      <c r="AI10">
        <f>INDEX($B$24:$GQ$24,MATCH(34,$B$29:$GQ$29,0))</f>
        <v/>
      </c>
      <c r="AJ10">
        <f>INDEX($B$24:$GQ$24,MATCH(35,$B$29:$GQ$29,0))</f>
        <v/>
      </c>
      <c r="AK10">
        <f>INDEX($B$24:$GQ$24,MATCH(36,$B$29:$GQ$29,0))</f>
        <v/>
      </c>
      <c r="AL10">
        <f>INDEX($B$24:$GQ$24,MATCH(37,$B$29:$GQ$29,0))</f>
        <v/>
      </c>
      <c r="AM10">
        <f>INDEX($B$24:$GQ$24,MATCH(38,$B$29:$GQ$29,0))</f>
        <v/>
      </c>
      <c r="AN10">
        <f>INDEX($B$24:$GQ$24,MATCH(39,$B$29:$GQ$29,0))</f>
        <v/>
      </c>
      <c r="AO10">
        <f>INDEX($B$24:$GQ$24,MATCH(40,$B$29:$GQ$29,0))</f>
        <v/>
      </c>
      <c r="AP10">
        <f>INDEX($B$24:$GQ$24,MATCH(41,$B$29:$GQ$29,0))</f>
        <v/>
      </c>
      <c r="AQ10">
        <f>INDEX($B$24:$GQ$24,MATCH(42,$B$29:$GQ$29,0))</f>
        <v/>
      </c>
      <c r="AR10">
        <f>INDEX($B$24:$GQ$24,MATCH(43,$B$29:$GQ$29,0))</f>
        <v/>
      </c>
      <c r="AS10">
        <f>INDEX($B$24:$GQ$24,MATCH(44,$B$29:$GQ$29,0))</f>
        <v/>
      </c>
      <c r="AT10">
        <f>INDEX($B$24:$GQ$24,MATCH(45,$B$29:$GQ$29,0))</f>
        <v/>
      </c>
      <c r="AU10">
        <f>INDEX($B$24:$GQ$24,MATCH(46,$B$29:$GQ$29,0))</f>
        <v/>
      </c>
      <c r="AV10">
        <f>INDEX($B$24:$GQ$24,MATCH(47,$B$29:$GQ$29,0))</f>
        <v/>
      </c>
      <c r="AW10">
        <f>INDEX($B$24:$GQ$24,MATCH(48,$B$29:$GQ$29,0))</f>
        <v/>
      </c>
      <c r="AX10">
        <f>INDEX($B$24:$GQ$24,MATCH(49,$B$29:$GQ$29,0))</f>
        <v/>
      </c>
      <c r="AY10">
        <f>INDEX($B$24:$GQ$24,MATCH(50,$B$29:$GQ$29,0))</f>
        <v/>
      </c>
      <c r="AZ10">
        <f>INDEX($B$24:$GQ$24,MATCH(51,$B$29:$GQ$29,0))</f>
        <v/>
      </c>
      <c r="BA10">
        <f>INDEX($B$24:$GQ$24,MATCH(52,$B$29:$GQ$29,0))</f>
        <v/>
      </c>
      <c r="BB10">
        <f>INDEX($B$24:$GQ$24,MATCH(53,$B$29:$GQ$29,0))</f>
        <v/>
      </c>
      <c r="BC10">
        <f>INDEX($B$24:$GQ$24,MATCH(54,$B$29:$GQ$29,0))</f>
        <v/>
      </c>
      <c r="BD10">
        <f>INDEX($B$24:$GQ$24,MATCH(55,$B$29:$GQ$29,0))</f>
        <v/>
      </c>
      <c r="BE10">
        <f>INDEX($B$24:$GQ$24,MATCH(56,$B$29:$GQ$29,0))</f>
        <v/>
      </c>
      <c r="BF10">
        <f>INDEX($B$24:$GQ$24,MATCH(57,$B$29:$GQ$29,0))</f>
        <v/>
      </c>
      <c r="BG10">
        <f>INDEX($B$24:$GQ$24,MATCH(58,$B$29:$GQ$29,0))</f>
        <v/>
      </c>
      <c r="BH10">
        <f>INDEX($B$24:$GQ$24,MATCH(59,$B$29:$GQ$29,0))</f>
        <v/>
      </c>
      <c r="BI10">
        <f>INDEX($B$24:$GQ$24,MATCH(60,$B$29:$GQ$29,0))</f>
        <v/>
      </c>
      <c r="BJ10">
        <f>INDEX($B$24:$GQ$24,MATCH(61,$B$29:$GQ$29,0))</f>
        <v/>
      </c>
      <c r="BK10">
        <f>INDEX($B$24:$GQ$24,MATCH(62,$B$29:$GQ$29,0))</f>
        <v/>
      </c>
      <c r="BL10">
        <f>INDEX($B$24:$GQ$24,MATCH(63,$B$29:$GQ$29,0))</f>
        <v/>
      </c>
      <c r="BM10">
        <f>INDEX($B$24:$GQ$24,MATCH(64,$B$29:$GQ$29,0))</f>
        <v/>
      </c>
      <c r="BN10">
        <f>INDEX($B$24:$GQ$24,MATCH(65,$B$29:$GQ$29,0))</f>
        <v/>
      </c>
      <c r="BO10">
        <f>INDEX($B$24:$GQ$24,MATCH(66,$B$29:$GQ$29,0))</f>
        <v/>
      </c>
      <c r="BP10">
        <f>INDEX($B$24:$GQ$24,MATCH(67,$B$29:$GQ$29,0))</f>
        <v/>
      </c>
      <c r="BQ10">
        <f>INDEX($B$24:$GQ$24,MATCH(68,$B$29:$GQ$29,0))</f>
        <v/>
      </c>
      <c r="BR10">
        <f>INDEX($B$24:$GQ$24,MATCH(69,$B$29:$GQ$29,0))</f>
        <v/>
      </c>
      <c r="BS10">
        <f>INDEX($B$24:$GQ$24,MATCH(70,$B$29:$GQ$29,0))</f>
        <v/>
      </c>
      <c r="BT10">
        <f>INDEX($B$24:$GQ$24,MATCH(71,$B$29:$GQ$29,0))</f>
        <v/>
      </c>
      <c r="BU10">
        <f>INDEX($B$24:$GQ$24,MATCH(72,$B$29:$GQ$29,0))</f>
        <v/>
      </c>
      <c r="BV10">
        <f>INDEX($B$24:$GQ$24,MATCH(73,$B$29:$GQ$29,0))</f>
        <v/>
      </c>
      <c r="BW10">
        <f>INDEX($B$24:$GQ$24,MATCH(74,$B$29:$GQ$29,0))</f>
        <v/>
      </c>
      <c r="BX10">
        <f>INDEX($B$24:$GQ$24,MATCH(75,$B$29:$GQ$29,0))</f>
        <v/>
      </c>
      <c r="BY10">
        <f>INDEX($B$24:$GQ$24,MATCH(76,$B$29:$GQ$29,0))</f>
        <v/>
      </c>
      <c r="BZ10">
        <f>INDEX($B$24:$GQ$24,MATCH(77,$B$29:$GQ$29,0))</f>
        <v/>
      </c>
      <c r="CA10">
        <f>INDEX($B$24:$GQ$24,MATCH(78,$B$29:$GQ$29,0))</f>
        <v/>
      </c>
      <c r="CB10">
        <f>INDEX($B$24:$GQ$24,MATCH(79,$B$29:$GQ$29,0))</f>
        <v/>
      </c>
      <c r="CC10">
        <f>INDEX($B$24:$GQ$24,MATCH(80,$B$29:$GQ$29,0))</f>
        <v/>
      </c>
      <c r="CD10">
        <f>INDEX($B$24:$GQ$24,MATCH(81,$B$29:$GQ$29,0))</f>
        <v/>
      </c>
      <c r="CE10">
        <f>INDEX($B$24:$GQ$24,MATCH(82,$B$29:$GQ$29,0))</f>
        <v/>
      </c>
      <c r="CF10">
        <f>INDEX($B$24:$GQ$24,MATCH(83,$B$29:$GQ$29,0))</f>
        <v/>
      </c>
      <c r="CG10">
        <f>INDEX($B$24:$GQ$24,MATCH(84,$B$29:$GQ$29,0))</f>
        <v/>
      </c>
      <c r="CH10">
        <f>INDEX($B$24:$GQ$24,MATCH(85,$B$29:$GQ$29,0))</f>
        <v/>
      </c>
      <c r="CI10">
        <f>INDEX($B$24:$GQ$24,MATCH(86,$B$29:$GQ$29,0))</f>
        <v/>
      </c>
      <c r="CJ10">
        <f>INDEX($B$24:$GQ$24,MATCH(87,$B$29:$GQ$29,0))</f>
        <v/>
      </c>
      <c r="CK10">
        <f>INDEX($B$24:$GQ$24,MATCH(88,$B$29:$GQ$29,0))</f>
        <v/>
      </c>
      <c r="CL10">
        <f>INDEX($B$24:$GQ$24,MATCH(89,$B$29:$GQ$29,0))</f>
        <v/>
      </c>
      <c r="CM10">
        <f>INDEX($B$24:$GQ$24,MATCH(90,$B$29:$GQ$29,0))</f>
        <v/>
      </c>
      <c r="CN10">
        <f>INDEX($B$24:$GQ$24,MATCH(91,$B$29:$GQ$29,0))</f>
        <v/>
      </c>
      <c r="CO10">
        <f>INDEX($B$24:$GQ$24,MATCH(92,$B$29:$GQ$29,0))</f>
        <v/>
      </c>
      <c r="CP10">
        <f>INDEX($B$24:$GQ$24,MATCH(93,$B$29:$GQ$29,0))</f>
        <v/>
      </c>
      <c r="CQ10">
        <f>INDEX($B$24:$GQ$24,MATCH(94,$B$29:$GQ$29,0))</f>
        <v/>
      </c>
      <c r="CR10">
        <f>INDEX($B$24:$GQ$24,MATCH(95,$B$29:$GQ$29,0))</f>
        <v/>
      </c>
      <c r="CS10">
        <f>INDEX($B$24:$GQ$24,MATCH(96,$B$29:$GQ$29,0))</f>
        <v/>
      </c>
      <c r="CT10">
        <f>INDEX($B$24:$GQ$24,MATCH(97,$B$29:$GQ$29,0))</f>
        <v/>
      </c>
      <c r="CU10">
        <f>INDEX($B$24:$GQ$24,MATCH(98,$B$29:$GQ$29,0))</f>
        <v/>
      </c>
      <c r="CV10">
        <f>INDEX($B$24:$GQ$24,MATCH(99,$B$29:$GQ$29,0))</f>
        <v/>
      </c>
      <c r="CW10">
        <f>INDEX($B$24:$GQ$24,MATCH(100,$B$29:$GQ$29,0))</f>
        <v/>
      </c>
      <c r="CX10">
        <f>INDEX($B$24:$GQ$24,MATCH(101,$B$29:$GQ$29,0))</f>
        <v/>
      </c>
      <c r="CY10">
        <f>INDEX($B$24:$GQ$24,MATCH(102,$B$29:$GQ$29,0))</f>
        <v/>
      </c>
      <c r="CZ10">
        <f>INDEX($B$24:$GQ$24,MATCH(103,$B$29:$GQ$29,0))</f>
        <v/>
      </c>
      <c r="DA10">
        <f>INDEX($B$24:$GQ$24,MATCH(104,$B$29:$GQ$29,0))</f>
        <v/>
      </c>
      <c r="DB10">
        <f>INDEX($B$24:$GQ$24,MATCH(105,$B$29:$GQ$29,0))</f>
        <v/>
      </c>
      <c r="DC10">
        <f>INDEX($B$24:$GQ$24,MATCH(106,$B$29:$GQ$29,0))</f>
        <v/>
      </c>
      <c r="DD10">
        <f>INDEX($B$24:$GQ$24,MATCH(107,$B$29:$GQ$29,0))</f>
        <v/>
      </c>
      <c r="DE10">
        <f>INDEX($B$24:$GQ$24,MATCH(108,$B$29:$GQ$29,0))</f>
        <v/>
      </c>
      <c r="DF10">
        <f>INDEX($B$24:$GQ$24,MATCH(109,$B$29:$GQ$29,0))</f>
        <v/>
      </c>
      <c r="DG10">
        <f>INDEX($B$24:$GQ$24,MATCH(110,$B$29:$GQ$29,0))</f>
        <v/>
      </c>
      <c r="DH10">
        <f>INDEX($B$24:$GQ$24,MATCH(111,$B$29:$GQ$29,0))</f>
        <v/>
      </c>
      <c r="DI10">
        <f>INDEX($B$24:$GQ$24,MATCH(112,$B$29:$GQ$29,0))</f>
        <v/>
      </c>
      <c r="DJ10">
        <f>INDEX($B$24:$GQ$24,MATCH(113,$B$29:$GQ$29,0))</f>
        <v/>
      </c>
      <c r="DK10">
        <f>INDEX($B$24:$GQ$24,MATCH(114,$B$29:$GQ$29,0))</f>
        <v/>
      </c>
      <c r="DL10">
        <f>INDEX($B$24:$GQ$24,MATCH(115,$B$29:$GQ$29,0))</f>
        <v/>
      </c>
      <c r="DM10">
        <f>INDEX($B$24:$GQ$24,MATCH(116,$B$29:$GQ$29,0))</f>
        <v/>
      </c>
      <c r="DN10">
        <f>INDEX($B$24:$GQ$24,MATCH(117,$B$29:$GQ$29,0))</f>
        <v/>
      </c>
      <c r="DO10">
        <f>INDEX($B$24:$GQ$24,MATCH(118,$B$29:$GQ$29,0))</f>
        <v/>
      </c>
      <c r="DP10">
        <f>INDEX($B$24:$GQ$24,MATCH(119,$B$29:$GQ$29,0))</f>
        <v/>
      </c>
      <c r="DQ10">
        <f>INDEX($B$24:$GQ$24,MATCH(120,$B$29:$GQ$29,0))</f>
        <v/>
      </c>
      <c r="DR10">
        <f>INDEX($B$24:$GQ$24,MATCH(121,$B$29:$GQ$29,0))</f>
        <v/>
      </c>
      <c r="DS10">
        <f>INDEX($B$24:$GQ$24,MATCH(122,$B$29:$GQ$29,0))</f>
        <v/>
      </c>
      <c r="DT10">
        <f>INDEX($B$24:$GQ$24,MATCH(123,$B$29:$GQ$29,0))</f>
        <v/>
      </c>
      <c r="DU10">
        <f>INDEX($B$24:$GQ$24,MATCH(124,$B$29:$GQ$29,0))</f>
        <v/>
      </c>
      <c r="DV10">
        <f>INDEX($B$24:$GQ$24,MATCH(125,$B$29:$GQ$29,0))</f>
        <v/>
      </c>
      <c r="DW10">
        <f>INDEX($B$24:$GQ$24,MATCH(126,$B$29:$GQ$29,0))</f>
        <v/>
      </c>
      <c r="DX10">
        <f>INDEX($B$24:$GQ$24,MATCH(127,$B$29:$GQ$29,0))</f>
        <v/>
      </c>
      <c r="DY10">
        <f>INDEX($B$24:$GQ$24,MATCH(128,$B$29:$GQ$29,0))</f>
        <v/>
      </c>
      <c r="DZ10">
        <f>INDEX($B$24:$GQ$24,MATCH(129,$B$29:$GQ$29,0))</f>
        <v/>
      </c>
      <c r="EA10">
        <f>INDEX($B$24:$GQ$24,MATCH(130,$B$29:$GQ$29,0))</f>
        <v/>
      </c>
      <c r="EB10">
        <f>INDEX($B$24:$GQ$24,MATCH(131,$B$29:$GQ$29,0))</f>
        <v/>
      </c>
      <c r="EC10">
        <f>INDEX($B$24:$GQ$24,MATCH(132,$B$29:$GQ$29,0))</f>
        <v/>
      </c>
      <c r="ED10">
        <f>INDEX($B$24:$GQ$24,MATCH(133,$B$29:$GQ$29,0))</f>
        <v/>
      </c>
      <c r="EE10">
        <f>INDEX($B$24:$GQ$24,MATCH(134,$B$29:$GQ$29,0))</f>
        <v/>
      </c>
      <c r="EF10">
        <f>INDEX($B$24:$GQ$24,MATCH(135,$B$29:$GQ$29,0))</f>
        <v/>
      </c>
      <c r="EG10">
        <f>INDEX($B$24:$GQ$24,MATCH(136,$B$29:$GQ$29,0))</f>
        <v/>
      </c>
      <c r="EH10">
        <f>INDEX($B$24:$GQ$24,MATCH(137,$B$29:$GQ$29,0))</f>
        <v/>
      </c>
      <c r="EI10">
        <f>INDEX($B$24:$GQ$24,MATCH(138,$B$29:$GQ$29,0))</f>
        <v/>
      </c>
      <c r="EJ10">
        <f>INDEX($B$24:$GQ$24,MATCH(139,$B$29:$GQ$29,0))</f>
        <v/>
      </c>
      <c r="EK10">
        <f>INDEX($B$24:$GQ$24,MATCH(140,$B$29:$GQ$29,0))</f>
        <v/>
      </c>
      <c r="EL10">
        <f>INDEX($B$24:$GQ$24,MATCH(141,$B$29:$GQ$29,0))</f>
        <v/>
      </c>
      <c r="EM10">
        <f>INDEX($B$24:$GQ$24,MATCH(142,$B$29:$GQ$29,0))</f>
        <v/>
      </c>
      <c r="EN10">
        <f>INDEX($B$24:$GQ$24,MATCH(143,$B$29:$GQ$29,0))</f>
        <v/>
      </c>
      <c r="EO10">
        <f>INDEX($B$24:$GQ$24,MATCH(144,$B$29:$GQ$29,0))</f>
        <v/>
      </c>
      <c r="EP10">
        <f>INDEX($B$24:$GQ$24,MATCH(145,$B$29:$GQ$29,0))</f>
        <v/>
      </c>
      <c r="EQ10">
        <f>INDEX($B$24:$GQ$24,MATCH(146,$B$29:$GQ$29,0))</f>
        <v/>
      </c>
      <c r="ER10">
        <f>INDEX($B$24:$GQ$24,MATCH(147,$B$29:$GQ$29,0))</f>
        <v/>
      </c>
      <c r="ES10">
        <f>INDEX($B$24:$GQ$24,MATCH(148,$B$29:$GQ$29,0))</f>
        <v/>
      </c>
      <c r="ET10">
        <f>INDEX($B$24:$GQ$24,MATCH(149,$B$29:$GQ$29,0))</f>
        <v/>
      </c>
      <c r="EU10">
        <f>INDEX($B$24:$GQ$24,MATCH(150,$B$29:$GQ$29,0))</f>
        <v/>
      </c>
      <c r="EV10">
        <f>INDEX($B$24:$GQ$24,MATCH(151,$B$29:$GQ$29,0))</f>
        <v/>
      </c>
      <c r="EW10">
        <f>INDEX($B$24:$GQ$24,MATCH(152,$B$29:$GQ$29,0))</f>
        <v/>
      </c>
      <c r="EX10">
        <f>INDEX($B$24:$GQ$24,MATCH(153,$B$29:$GQ$29,0))</f>
        <v/>
      </c>
      <c r="EY10">
        <f>INDEX($B$24:$GQ$24,MATCH(154,$B$29:$GQ$29,0))</f>
        <v/>
      </c>
      <c r="EZ10">
        <f>INDEX($B$24:$GQ$24,MATCH(155,$B$29:$GQ$29,0))</f>
        <v/>
      </c>
      <c r="FA10">
        <f>INDEX($B$24:$GQ$24,MATCH(156,$B$29:$GQ$29,0))</f>
        <v/>
      </c>
      <c r="FB10">
        <f>INDEX($B$24:$GQ$24,MATCH(157,$B$29:$GQ$29,0))</f>
        <v/>
      </c>
      <c r="FC10">
        <f>INDEX($B$24:$GQ$24,MATCH(158,$B$29:$GQ$29,0))</f>
        <v/>
      </c>
      <c r="FD10">
        <f>INDEX($B$24:$GQ$24,MATCH(159,$B$29:$GQ$29,0))</f>
        <v/>
      </c>
      <c r="FE10">
        <f>INDEX($B$24:$GQ$24,MATCH(160,$B$29:$GQ$29,0))</f>
        <v/>
      </c>
      <c r="FF10">
        <f>INDEX($B$24:$GQ$24,MATCH(161,$B$29:$GQ$29,0))</f>
        <v/>
      </c>
      <c r="FG10">
        <f>INDEX($B$24:$GQ$24,MATCH(162,$B$29:$GQ$29,0))</f>
        <v/>
      </c>
      <c r="FH10">
        <f>INDEX($B$24:$GQ$24,MATCH(163,$B$29:$GQ$29,0))</f>
        <v/>
      </c>
      <c r="FI10">
        <f>INDEX($B$24:$GQ$24,MATCH(164,$B$29:$GQ$29,0))</f>
        <v/>
      </c>
      <c r="FJ10">
        <f>INDEX($B$24:$GQ$24,MATCH(165,$B$29:$GQ$29,0))</f>
        <v/>
      </c>
      <c r="FK10">
        <f>INDEX($B$24:$GQ$24,MATCH(166,$B$29:$GQ$29,0))</f>
        <v/>
      </c>
      <c r="FL10">
        <f>INDEX($B$24:$GQ$24,MATCH(167,$B$29:$GQ$29,0))</f>
        <v/>
      </c>
      <c r="FM10">
        <f>INDEX($B$24:$GQ$24,MATCH(168,$B$29:$GQ$29,0))</f>
        <v/>
      </c>
      <c r="FN10">
        <f>INDEX($B$24:$GQ$24,MATCH(169,$B$29:$GQ$29,0))</f>
        <v/>
      </c>
      <c r="FO10">
        <f>INDEX($B$24:$GQ$24,MATCH(170,$B$29:$GQ$29,0))</f>
        <v/>
      </c>
      <c r="FP10">
        <f>INDEX($B$24:$GQ$24,MATCH(171,$B$29:$GQ$29,0))</f>
        <v/>
      </c>
      <c r="FQ10">
        <f>INDEX($B$24:$GQ$24,MATCH(172,$B$29:$GQ$29,0))</f>
        <v/>
      </c>
      <c r="FR10">
        <f>INDEX($B$24:$GQ$24,MATCH(173,$B$29:$GQ$29,0))</f>
        <v/>
      </c>
      <c r="FS10">
        <f>INDEX($B$24:$GQ$24,MATCH(174,$B$29:$GQ$29,0))</f>
        <v/>
      </c>
      <c r="FT10">
        <f>INDEX($B$24:$GQ$24,MATCH(175,$B$29:$GQ$29,0))</f>
        <v/>
      </c>
      <c r="FU10">
        <f>INDEX($B$24:$GQ$24,MATCH(176,$B$29:$GQ$29,0))</f>
        <v/>
      </c>
      <c r="FV10">
        <f>INDEX($B$24:$GQ$24,MATCH(177,$B$29:$GQ$29,0))</f>
        <v/>
      </c>
      <c r="FW10">
        <f>INDEX($B$24:$GQ$24,MATCH(178,$B$29:$GQ$29,0))</f>
        <v/>
      </c>
      <c r="FX10">
        <f>INDEX($B$24:$GQ$24,MATCH(179,$B$29:$GQ$29,0))</f>
        <v/>
      </c>
      <c r="FY10">
        <f>INDEX($B$24:$GQ$24,MATCH(180,$B$29:$GQ$29,0))</f>
        <v/>
      </c>
      <c r="FZ10">
        <f>INDEX($B$24:$GQ$24,MATCH(181,$B$29:$GQ$29,0))</f>
        <v/>
      </c>
      <c r="GA10">
        <f>INDEX($B$24:$GQ$24,MATCH(182,$B$29:$GQ$29,0))</f>
        <v/>
      </c>
      <c r="GB10">
        <f>INDEX($B$24:$GQ$24,MATCH(183,$B$29:$GQ$29,0))</f>
        <v/>
      </c>
      <c r="GC10">
        <f>INDEX($B$24:$GQ$24,MATCH(184,$B$29:$GQ$29,0))</f>
        <v/>
      </c>
      <c r="GD10">
        <f>INDEX($B$24:$GQ$24,MATCH(185,$B$29:$GQ$29,0))</f>
        <v/>
      </c>
      <c r="GE10">
        <f>INDEX($B$24:$GQ$24,MATCH(186,$B$29:$GQ$29,0))</f>
        <v/>
      </c>
      <c r="GF10">
        <f>INDEX($B$24:$GQ$24,MATCH(187,$B$29:$GQ$29,0))</f>
        <v/>
      </c>
      <c r="GG10">
        <f>INDEX($B$24:$GQ$24,MATCH(188,$B$29:$GQ$29,0))</f>
        <v/>
      </c>
      <c r="GH10">
        <f>INDEX($B$24:$GQ$24,MATCH(189,$B$29:$GQ$29,0))</f>
        <v/>
      </c>
      <c r="GI10">
        <f>INDEX($B$24:$GQ$24,MATCH(190,$B$29:$GQ$29,0))</f>
        <v/>
      </c>
      <c r="GJ10">
        <f>INDEX($B$24:$GQ$24,MATCH(191,$B$29:$GQ$29,0))</f>
        <v/>
      </c>
      <c r="GK10">
        <f>INDEX($B$24:$GQ$24,MATCH(192,$B$29:$GQ$29,0))</f>
        <v/>
      </c>
      <c r="GL10">
        <f>INDEX($B$24:$GQ$24,MATCH(193,$B$29:$GQ$29,0))</f>
        <v/>
      </c>
      <c r="GM10">
        <f>INDEX($B$24:$GQ$24,MATCH(194,$B$29:$GQ$29,0))</f>
        <v/>
      </c>
      <c r="GN10">
        <f>INDEX($B$24:$GQ$24,MATCH(195,$B$29:$GQ$29,0))</f>
        <v/>
      </c>
      <c r="GO10">
        <f>INDEX($B$24:$GQ$24,MATCH(196,$B$29:$GQ$29,0))</f>
        <v/>
      </c>
      <c r="GP10">
        <f>INDEX($B$24:$GQ$24,MATCH(197,$B$29:$GQ$29,0))</f>
        <v/>
      </c>
      <c r="GQ10">
        <f>INDEX($B$24:$GQ$24,MATCH(198,$B$29:$GQ$29,0))</f>
        <v/>
      </c>
      <c r="GR10">
        <f>INDEX($GR$24:$HC$24,MATCH(1,$GR$30:$HC$30,0))</f>
        <v/>
      </c>
      <c r="GS10">
        <f>INDEX($GR$24:$HC$24,MATCH(2,$GR$30:$HC$30,0))</f>
        <v/>
      </c>
      <c r="GT10">
        <f>INDEX($GR$24:$HC$24,MATCH(3,$GR$30:$HC$30,0))</f>
        <v/>
      </c>
      <c r="GU10">
        <f>INDEX($GR$24:$HC$24,MATCH(4,$GR$30:$HC$30,0))</f>
        <v/>
      </c>
      <c r="GV10">
        <f>INDEX($GR$24:$HC$24,MATCH(5,$GR$30:$HC$30,0))</f>
        <v/>
      </c>
      <c r="GW10">
        <f>INDEX($GR$24:$HC$24,MATCH(6,$GR$30:$HC$30,0))</f>
        <v/>
      </c>
      <c r="GX10">
        <f>INDEX($GR$24:$HC$24,MATCH(7,$GR$30:$HC$30,0))</f>
        <v/>
      </c>
      <c r="GY10">
        <f>INDEX($GR$24:$HC$24,MATCH(8,$GR$30:$HC$30,0))</f>
        <v/>
      </c>
      <c r="GZ10">
        <f>INDEX($GR$24:$HC$24,MATCH(9,$GR$30:$HC$30,0))</f>
        <v/>
      </c>
      <c r="HA10">
        <f>INDEX($GR$24:$HC$24,MATCH(10,$GR$30:$HC$30,0))</f>
        <v/>
      </c>
      <c r="HB10">
        <f>INDEX($GR$24:$HC$24,MATCH(11,$GR$30:$HC$30,0))</f>
        <v/>
      </c>
      <c r="HC10">
        <f>INDEX($GR$24:$HC$24,MATCH(12,$GR$30:$HC$30,0))</f>
        <v/>
      </c>
    </row>
    <row r="11">
      <c r="A11" s="1" t="inlineStr">
        <is>
          <t>M_imp*Y_dom+M_dom*Y_dom</t>
        </is>
      </c>
      <c r="B11">
        <f>INDEX($B$25:$GQ$25,MATCH(1,$B$29:$GQ$29,0))</f>
        <v/>
      </c>
      <c r="C11">
        <f>INDEX($B$25:$GQ$25,MATCH(2,$B$29:$GQ$29,0))</f>
        <v/>
      </c>
      <c r="D11">
        <f>INDEX($B$25:$GQ$25,MATCH(3,$B$29:$GQ$29,0))</f>
        <v/>
      </c>
      <c r="E11">
        <f>INDEX($B$25:$GQ$25,MATCH(4,$B$29:$GQ$29,0))</f>
        <v/>
      </c>
      <c r="F11">
        <f>INDEX($B$25:$GQ$25,MATCH(5,$B$29:$GQ$29,0))</f>
        <v/>
      </c>
      <c r="G11">
        <f>INDEX($B$25:$GQ$25,MATCH(6,$B$29:$GQ$29,0))</f>
        <v/>
      </c>
      <c r="H11">
        <f>INDEX($B$25:$GQ$25,MATCH(7,$B$29:$GQ$29,0))</f>
        <v/>
      </c>
      <c r="I11">
        <f>INDEX($B$25:$GQ$25,MATCH(8,$B$29:$GQ$29,0))</f>
        <v/>
      </c>
      <c r="J11">
        <f>INDEX($B$25:$GQ$25,MATCH(9,$B$29:$GQ$29,0))</f>
        <v/>
      </c>
      <c r="K11">
        <f>INDEX($B$25:$GQ$25,MATCH(10,$B$29:$GQ$29,0))</f>
        <v/>
      </c>
      <c r="L11">
        <f>INDEX($B$25:$GQ$25,MATCH(11,$B$29:$GQ$29,0))</f>
        <v/>
      </c>
      <c r="M11">
        <f>INDEX($B$25:$GQ$25,MATCH(12,$B$29:$GQ$29,0))</f>
        <v/>
      </c>
      <c r="N11">
        <f>INDEX($B$25:$GQ$25,MATCH(13,$B$29:$GQ$29,0))</f>
        <v/>
      </c>
      <c r="O11">
        <f>INDEX($B$25:$GQ$25,MATCH(14,$B$29:$GQ$29,0))</f>
        <v/>
      </c>
      <c r="P11">
        <f>INDEX($B$25:$GQ$25,MATCH(15,$B$29:$GQ$29,0))</f>
        <v/>
      </c>
      <c r="Q11">
        <f>INDEX($B$25:$GQ$25,MATCH(16,$B$29:$GQ$29,0))</f>
        <v/>
      </c>
      <c r="R11">
        <f>INDEX($B$25:$GQ$25,MATCH(17,$B$29:$GQ$29,0))</f>
        <v/>
      </c>
      <c r="S11">
        <f>INDEX($B$25:$GQ$25,MATCH(18,$B$29:$GQ$29,0))</f>
        <v/>
      </c>
      <c r="T11">
        <f>INDEX($B$25:$GQ$25,MATCH(19,$B$29:$GQ$29,0))</f>
        <v/>
      </c>
      <c r="U11">
        <f>INDEX($B$25:$GQ$25,MATCH(20,$B$29:$GQ$29,0))</f>
        <v/>
      </c>
      <c r="V11">
        <f>INDEX($B$25:$GQ$25,MATCH(21,$B$29:$GQ$29,0))</f>
        <v/>
      </c>
      <c r="W11">
        <f>INDEX($B$25:$GQ$25,MATCH(22,$B$29:$GQ$29,0))</f>
        <v/>
      </c>
      <c r="X11">
        <f>INDEX($B$25:$GQ$25,MATCH(23,$B$29:$GQ$29,0))</f>
        <v/>
      </c>
      <c r="Y11">
        <f>INDEX($B$25:$GQ$25,MATCH(24,$B$29:$GQ$29,0))</f>
        <v/>
      </c>
      <c r="Z11">
        <f>INDEX($B$25:$GQ$25,MATCH(25,$B$29:$GQ$29,0))</f>
        <v/>
      </c>
      <c r="AA11">
        <f>INDEX($B$25:$GQ$25,MATCH(26,$B$29:$GQ$29,0))</f>
        <v/>
      </c>
      <c r="AB11">
        <f>INDEX($B$25:$GQ$25,MATCH(27,$B$29:$GQ$29,0))</f>
        <v/>
      </c>
      <c r="AC11">
        <f>INDEX($B$25:$GQ$25,MATCH(28,$B$29:$GQ$29,0))</f>
        <v/>
      </c>
      <c r="AD11">
        <f>INDEX($B$25:$GQ$25,MATCH(29,$B$29:$GQ$29,0))</f>
        <v/>
      </c>
      <c r="AE11">
        <f>INDEX($B$25:$GQ$25,MATCH(30,$B$29:$GQ$29,0))</f>
        <v/>
      </c>
      <c r="AF11">
        <f>INDEX($B$25:$GQ$25,MATCH(31,$B$29:$GQ$29,0))</f>
        <v/>
      </c>
      <c r="AG11">
        <f>INDEX($B$25:$GQ$25,MATCH(32,$B$29:$GQ$29,0))</f>
        <v/>
      </c>
      <c r="AH11">
        <f>INDEX($B$25:$GQ$25,MATCH(33,$B$29:$GQ$29,0))</f>
        <v/>
      </c>
      <c r="AI11">
        <f>INDEX($B$25:$GQ$25,MATCH(34,$B$29:$GQ$29,0))</f>
        <v/>
      </c>
      <c r="AJ11">
        <f>INDEX($B$25:$GQ$25,MATCH(35,$B$29:$GQ$29,0))</f>
        <v/>
      </c>
      <c r="AK11">
        <f>INDEX($B$25:$GQ$25,MATCH(36,$B$29:$GQ$29,0))</f>
        <v/>
      </c>
      <c r="AL11">
        <f>INDEX($B$25:$GQ$25,MATCH(37,$B$29:$GQ$29,0))</f>
        <v/>
      </c>
      <c r="AM11">
        <f>INDEX($B$25:$GQ$25,MATCH(38,$B$29:$GQ$29,0))</f>
        <v/>
      </c>
      <c r="AN11">
        <f>INDEX($B$25:$GQ$25,MATCH(39,$B$29:$GQ$29,0))</f>
        <v/>
      </c>
      <c r="AO11">
        <f>INDEX($B$25:$GQ$25,MATCH(40,$B$29:$GQ$29,0))</f>
        <v/>
      </c>
      <c r="AP11">
        <f>INDEX($B$25:$GQ$25,MATCH(41,$B$29:$GQ$29,0))</f>
        <v/>
      </c>
      <c r="AQ11">
        <f>INDEX($B$25:$GQ$25,MATCH(42,$B$29:$GQ$29,0))</f>
        <v/>
      </c>
      <c r="AR11">
        <f>INDEX($B$25:$GQ$25,MATCH(43,$B$29:$GQ$29,0))</f>
        <v/>
      </c>
      <c r="AS11">
        <f>INDEX($B$25:$GQ$25,MATCH(44,$B$29:$GQ$29,0))</f>
        <v/>
      </c>
      <c r="AT11">
        <f>INDEX($B$25:$GQ$25,MATCH(45,$B$29:$GQ$29,0))</f>
        <v/>
      </c>
      <c r="AU11">
        <f>INDEX($B$25:$GQ$25,MATCH(46,$B$29:$GQ$29,0))</f>
        <v/>
      </c>
      <c r="AV11">
        <f>INDEX($B$25:$GQ$25,MATCH(47,$B$29:$GQ$29,0))</f>
        <v/>
      </c>
      <c r="AW11">
        <f>INDEX($B$25:$GQ$25,MATCH(48,$B$29:$GQ$29,0))</f>
        <v/>
      </c>
      <c r="AX11">
        <f>INDEX($B$25:$GQ$25,MATCH(49,$B$29:$GQ$29,0))</f>
        <v/>
      </c>
      <c r="AY11">
        <f>INDEX($B$25:$GQ$25,MATCH(50,$B$29:$GQ$29,0))</f>
        <v/>
      </c>
      <c r="AZ11">
        <f>INDEX($B$25:$GQ$25,MATCH(51,$B$29:$GQ$29,0))</f>
        <v/>
      </c>
      <c r="BA11">
        <f>INDEX($B$25:$GQ$25,MATCH(52,$B$29:$GQ$29,0))</f>
        <v/>
      </c>
      <c r="BB11">
        <f>INDEX($B$25:$GQ$25,MATCH(53,$B$29:$GQ$29,0))</f>
        <v/>
      </c>
      <c r="BC11">
        <f>INDEX($B$25:$GQ$25,MATCH(54,$B$29:$GQ$29,0))</f>
        <v/>
      </c>
      <c r="BD11">
        <f>INDEX($B$25:$GQ$25,MATCH(55,$B$29:$GQ$29,0))</f>
        <v/>
      </c>
      <c r="BE11">
        <f>INDEX($B$25:$GQ$25,MATCH(56,$B$29:$GQ$29,0))</f>
        <v/>
      </c>
      <c r="BF11">
        <f>INDEX($B$25:$GQ$25,MATCH(57,$B$29:$GQ$29,0))</f>
        <v/>
      </c>
      <c r="BG11">
        <f>INDEX($B$25:$GQ$25,MATCH(58,$B$29:$GQ$29,0))</f>
        <v/>
      </c>
      <c r="BH11">
        <f>INDEX($B$25:$GQ$25,MATCH(59,$B$29:$GQ$29,0))</f>
        <v/>
      </c>
      <c r="BI11">
        <f>INDEX($B$25:$GQ$25,MATCH(60,$B$29:$GQ$29,0))</f>
        <v/>
      </c>
      <c r="BJ11">
        <f>INDEX($B$25:$GQ$25,MATCH(61,$B$29:$GQ$29,0))</f>
        <v/>
      </c>
      <c r="BK11">
        <f>INDEX($B$25:$GQ$25,MATCH(62,$B$29:$GQ$29,0))</f>
        <v/>
      </c>
      <c r="BL11">
        <f>INDEX($B$25:$GQ$25,MATCH(63,$B$29:$GQ$29,0))</f>
        <v/>
      </c>
      <c r="BM11">
        <f>INDEX($B$25:$GQ$25,MATCH(64,$B$29:$GQ$29,0))</f>
        <v/>
      </c>
      <c r="BN11">
        <f>INDEX($B$25:$GQ$25,MATCH(65,$B$29:$GQ$29,0))</f>
        <v/>
      </c>
      <c r="BO11">
        <f>INDEX($B$25:$GQ$25,MATCH(66,$B$29:$GQ$29,0))</f>
        <v/>
      </c>
      <c r="BP11">
        <f>INDEX($B$25:$GQ$25,MATCH(67,$B$29:$GQ$29,0))</f>
        <v/>
      </c>
      <c r="BQ11">
        <f>INDEX($B$25:$GQ$25,MATCH(68,$B$29:$GQ$29,0))</f>
        <v/>
      </c>
      <c r="BR11">
        <f>INDEX($B$25:$GQ$25,MATCH(69,$B$29:$GQ$29,0))</f>
        <v/>
      </c>
      <c r="BS11">
        <f>INDEX($B$25:$GQ$25,MATCH(70,$B$29:$GQ$29,0))</f>
        <v/>
      </c>
      <c r="BT11">
        <f>INDEX($B$25:$GQ$25,MATCH(71,$B$29:$GQ$29,0))</f>
        <v/>
      </c>
      <c r="BU11">
        <f>INDEX($B$25:$GQ$25,MATCH(72,$B$29:$GQ$29,0))</f>
        <v/>
      </c>
      <c r="BV11">
        <f>INDEX($B$25:$GQ$25,MATCH(73,$B$29:$GQ$29,0))</f>
        <v/>
      </c>
      <c r="BW11">
        <f>INDEX($B$25:$GQ$25,MATCH(74,$B$29:$GQ$29,0))</f>
        <v/>
      </c>
      <c r="BX11">
        <f>INDEX($B$25:$GQ$25,MATCH(75,$B$29:$GQ$29,0))</f>
        <v/>
      </c>
      <c r="BY11">
        <f>INDEX($B$25:$GQ$25,MATCH(76,$B$29:$GQ$29,0))</f>
        <v/>
      </c>
      <c r="BZ11">
        <f>INDEX($B$25:$GQ$25,MATCH(77,$B$29:$GQ$29,0))</f>
        <v/>
      </c>
      <c r="CA11">
        <f>INDEX($B$25:$GQ$25,MATCH(78,$B$29:$GQ$29,0))</f>
        <v/>
      </c>
      <c r="CB11">
        <f>INDEX($B$25:$GQ$25,MATCH(79,$B$29:$GQ$29,0))</f>
        <v/>
      </c>
      <c r="CC11">
        <f>INDEX($B$25:$GQ$25,MATCH(80,$B$29:$GQ$29,0))</f>
        <v/>
      </c>
      <c r="CD11">
        <f>INDEX($B$25:$GQ$25,MATCH(81,$B$29:$GQ$29,0))</f>
        <v/>
      </c>
      <c r="CE11">
        <f>INDEX($B$25:$GQ$25,MATCH(82,$B$29:$GQ$29,0))</f>
        <v/>
      </c>
      <c r="CF11">
        <f>INDEX($B$25:$GQ$25,MATCH(83,$B$29:$GQ$29,0))</f>
        <v/>
      </c>
      <c r="CG11">
        <f>INDEX($B$25:$GQ$25,MATCH(84,$B$29:$GQ$29,0))</f>
        <v/>
      </c>
      <c r="CH11">
        <f>INDEX($B$25:$GQ$25,MATCH(85,$B$29:$GQ$29,0))</f>
        <v/>
      </c>
      <c r="CI11">
        <f>INDEX($B$25:$GQ$25,MATCH(86,$B$29:$GQ$29,0))</f>
        <v/>
      </c>
      <c r="CJ11">
        <f>INDEX($B$25:$GQ$25,MATCH(87,$B$29:$GQ$29,0))</f>
        <v/>
      </c>
      <c r="CK11">
        <f>INDEX($B$25:$GQ$25,MATCH(88,$B$29:$GQ$29,0))</f>
        <v/>
      </c>
      <c r="CL11">
        <f>INDEX($B$25:$GQ$25,MATCH(89,$B$29:$GQ$29,0))</f>
        <v/>
      </c>
      <c r="CM11">
        <f>INDEX($B$25:$GQ$25,MATCH(90,$B$29:$GQ$29,0))</f>
        <v/>
      </c>
      <c r="CN11">
        <f>INDEX($B$25:$GQ$25,MATCH(91,$B$29:$GQ$29,0))</f>
        <v/>
      </c>
      <c r="CO11">
        <f>INDEX($B$25:$GQ$25,MATCH(92,$B$29:$GQ$29,0))</f>
        <v/>
      </c>
      <c r="CP11">
        <f>INDEX($B$25:$GQ$25,MATCH(93,$B$29:$GQ$29,0))</f>
        <v/>
      </c>
      <c r="CQ11">
        <f>INDEX($B$25:$GQ$25,MATCH(94,$B$29:$GQ$29,0))</f>
        <v/>
      </c>
      <c r="CR11">
        <f>INDEX($B$25:$GQ$25,MATCH(95,$B$29:$GQ$29,0))</f>
        <v/>
      </c>
      <c r="CS11">
        <f>INDEX($B$25:$GQ$25,MATCH(96,$B$29:$GQ$29,0))</f>
        <v/>
      </c>
      <c r="CT11">
        <f>INDEX($B$25:$GQ$25,MATCH(97,$B$29:$GQ$29,0))</f>
        <v/>
      </c>
      <c r="CU11">
        <f>INDEX($B$25:$GQ$25,MATCH(98,$B$29:$GQ$29,0))</f>
        <v/>
      </c>
      <c r="CV11">
        <f>INDEX($B$25:$GQ$25,MATCH(99,$B$29:$GQ$29,0))</f>
        <v/>
      </c>
      <c r="CW11">
        <f>INDEX($B$25:$GQ$25,MATCH(100,$B$29:$GQ$29,0))</f>
        <v/>
      </c>
      <c r="CX11">
        <f>INDEX($B$25:$GQ$25,MATCH(101,$B$29:$GQ$29,0))</f>
        <v/>
      </c>
      <c r="CY11">
        <f>INDEX($B$25:$GQ$25,MATCH(102,$B$29:$GQ$29,0))</f>
        <v/>
      </c>
      <c r="CZ11">
        <f>INDEX($B$25:$GQ$25,MATCH(103,$B$29:$GQ$29,0))</f>
        <v/>
      </c>
      <c r="DA11">
        <f>INDEX($B$25:$GQ$25,MATCH(104,$B$29:$GQ$29,0))</f>
        <v/>
      </c>
      <c r="DB11">
        <f>INDEX($B$25:$GQ$25,MATCH(105,$B$29:$GQ$29,0))</f>
        <v/>
      </c>
      <c r="DC11">
        <f>INDEX($B$25:$GQ$25,MATCH(106,$B$29:$GQ$29,0))</f>
        <v/>
      </c>
      <c r="DD11">
        <f>INDEX($B$25:$GQ$25,MATCH(107,$B$29:$GQ$29,0))</f>
        <v/>
      </c>
      <c r="DE11">
        <f>INDEX($B$25:$GQ$25,MATCH(108,$B$29:$GQ$29,0))</f>
        <v/>
      </c>
      <c r="DF11">
        <f>INDEX($B$25:$GQ$25,MATCH(109,$B$29:$GQ$29,0))</f>
        <v/>
      </c>
      <c r="DG11">
        <f>INDEX($B$25:$GQ$25,MATCH(110,$B$29:$GQ$29,0))</f>
        <v/>
      </c>
      <c r="DH11">
        <f>INDEX($B$25:$GQ$25,MATCH(111,$B$29:$GQ$29,0))</f>
        <v/>
      </c>
      <c r="DI11">
        <f>INDEX($B$25:$GQ$25,MATCH(112,$B$29:$GQ$29,0))</f>
        <v/>
      </c>
      <c r="DJ11">
        <f>INDEX($B$25:$GQ$25,MATCH(113,$B$29:$GQ$29,0))</f>
        <v/>
      </c>
      <c r="DK11">
        <f>INDEX($B$25:$GQ$25,MATCH(114,$B$29:$GQ$29,0))</f>
        <v/>
      </c>
      <c r="DL11">
        <f>INDEX($B$25:$GQ$25,MATCH(115,$B$29:$GQ$29,0))</f>
        <v/>
      </c>
      <c r="DM11">
        <f>INDEX($B$25:$GQ$25,MATCH(116,$B$29:$GQ$29,0))</f>
        <v/>
      </c>
      <c r="DN11">
        <f>INDEX($B$25:$GQ$25,MATCH(117,$B$29:$GQ$29,0))</f>
        <v/>
      </c>
      <c r="DO11">
        <f>INDEX($B$25:$GQ$25,MATCH(118,$B$29:$GQ$29,0))</f>
        <v/>
      </c>
      <c r="DP11">
        <f>INDEX($B$25:$GQ$25,MATCH(119,$B$29:$GQ$29,0))</f>
        <v/>
      </c>
      <c r="DQ11">
        <f>INDEX($B$25:$GQ$25,MATCH(120,$B$29:$GQ$29,0))</f>
        <v/>
      </c>
      <c r="DR11">
        <f>INDEX($B$25:$GQ$25,MATCH(121,$B$29:$GQ$29,0))</f>
        <v/>
      </c>
      <c r="DS11">
        <f>INDEX($B$25:$GQ$25,MATCH(122,$B$29:$GQ$29,0))</f>
        <v/>
      </c>
      <c r="DT11">
        <f>INDEX($B$25:$GQ$25,MATCH(123,$B$29:$GQ$29,0))</f>
        <v/>
      </c>
      <c r="DU11">
        <f>INDEX($B$25:$GQ$25,MATCH(124,$B$29:$GQ$29,0))</f>
        <v/>
      </c>
      <c r="DV11">
        <f>INDEX($B$25:$GQ$25,MATCH(125,$B$29:$GQ$29,0))</f>
        <v/>
      </c>
      <c r="DW11">
        <f>INDEX($B$25:$GQ$25,MATCH(126,$B$29:$GQ$29,0))</f>
        <v/>
      </c>
      <c r="DX11">
        <f>INDEX($B$25:$GQ$25,MATCH(127,$B$29:$GQ$29,0))</f>
        <v/>
      </c>
      <c r="DY11">
        <f>INDEX($B$25:$GQ$25,MATCH(128,$B$29:$GQ$29,0))</f>
        <v/>
      </c>
      <c r="DZ11">
        <f>INDEX($B$25:$GQ$25,MATCH(129,$B$29:$GQ$29,0))</f>
        <v/>
      </c>
      <c r="EA11">
        <f>INDEX($B$25:$GQ$25,MATCH(130,$B$29:$GQ$29,0))</f>
        <v/>
      </c>
      <c r="EB11">
        <f>INDEX($B$25:$GQ$25,MATCH(131,$B$29:$GQ$29,0))</f>
        <v/>
      </c>
      <c r="EC11">
        <f>INDEX($B$25:$GQ$25,MATCH(132,$B$29:$GQ$29,0))</f>
        <v/>
      </c>
      <c r="ED11">
        <f>INDEX($B$25:$GQ$25,MATCH(133,$B$29:$GQ$29,0))</f>
        <v/>
      </c>
      <c r="EE11">
        <f>INDEX($B$25:$GQ$25,MATCH(134,$B$29:$GQ$29,0))</f>
        <v/>
      </c>
      <c r="EF11">
        <f>INDEX($B$25:$GQ$25,MATCH(135,$B$29:$GQ$29,0))</f>
        <v/>
      </c>
      <c r="EG11">
        <f>INDEX($B$25:$GQ$25,MATCH(136,$B$29:$GQ$29,0))</f>
        <v/>
      </c>
      <c r="EH11">
        <f>INDEX($B$25:$GQ$25,MATCH(137,$B$29:$GQ$29,0))</f>
        <v/>
      </c>
      <c r="EI11">
        <f>INDEX($B$25:$GQ$25,MATCH(138,$B$29:$GQ$29,0))</f>
        <v/>
      </c>
      <c r="EJ11">
        <f>INDEX($B$25:$GQ$25,MATCH(139,$B$29:$GQ$29,0))</f>
        <v/>
      </c>
      <c r="EK11">
        <f>INDEX($B$25:$GQ$25,MATCH(140,$B$29:$GQ$29,0))</f>
        <v/>
      </c>
      <c r="EL11">
        <f>INDEX($B$25:$GQ$25,MATCH(141,$B$29:$GQ$29,0))</f>
        <v/>
      </c>
      <c r="EM11">
        <f>INDEX($B$25:$GQ$25,MATCH(142,$B$29:$GQ$29,0))</f>
        <v/>
      </c>
      <c r="EN11">
        <f>INDEX($B$25:$GQ$25,MATCH(143,$B$29:$GQ$29,0))</f>
        <v/>
      </c>
      <c r="EO11">
        <f>INDEX($B$25:$GQ$25,MATCH(144,$B$29:$GQ$29,0))</f>
        <v/>
      </c>
      <c r="EP11">
        <f>INDEX($B$25:$GQ$25,MATCH(145,$B$29:$GQ$29,0))</f>
        <v/>
      </c>
      <c r="EQ11">
        <f>INDEX($B$25:$GQ$25,MATCH(146,$B$29:$GQ$29,0))</f>
        <v/>
      </c>
      <c r="ER11">
        <f>INDEX($B$25:$GQ$25,MATCH(147,$B$29:$GQ$29,0))</f>
        <v/>
      </c>
      <c r="ES11">
        <f>INDEX($B$25:$GQ$25,MATCH(148,$B$29:$GQ$29,0))</f>
        <v/>
      </c>
      <c r="ET11">
        <f>INDEX($B$25:$GQ$25,MATCH(149,$B$29:$GQ$29,0))</f>
        <v/>
      </c>
      <c r="EU11">
        <f>INDEX($B$25:$GQ$25,MATCH(150,$B$29:$GQ$29,0))</f>
        <v/>
      </c>
      <c r="EV11">
        <f>INDEX($B$25:$GQ$25,MATCH(151,$B$29:$GQ$29,0))</f>
        <v/>
      </c>
      <c r="EW11">
        <f>INDEX($B$25:$GQ$25,MATCH(152,$B$29:$GQ$29,0))</f>
        <v/>
      </c>
      <c r="EX11">
        <f>INDEX($B$25:$GQ$25,MATCH(153,$B$29:$GQ$29,0))</f>
        <v/>
      </c>
      <c r="EY11">
        <f>INDEX($B$25:$GQ$25,MATCH(154,$B$29:$GQ$29,0))</f>
        <v/>
      </c>
      <c r="EZ11">
        <f>INDEX($B$25:$GQ$25,MATCH(155,$B$29:$GQ$29,0))</f>
        <v/>
      </c>
      <c r="FA11">
        <f>INDEX($B$25:$GQ$25,MATCH(156,$B$29:$GQ$29,0))</f>
        <v/>
      </c>
      <c r="FB11">
        <f>INDEX($B$25:$GQ$25,MATCH(157,$B$29:$GQ$29,0))</f>
        <v/>
      </c>
      <c r="FC11">
        <f>INDEX($B$25:$GQ$25,MATCH(158,$B$29:$GQ$29,0))</f>
        <v/>
      </c>
      <c r="FD11">
        <f>INDEX($B$25:$GQ$25,MATCH(159,$B$29:$GQ$29,0))</f>
        <v/>
      </c>
      <c r="FE11">
        <f>INDEX($B$25:$GQ$25,MATCH(160,$B$29:$GQ$29,0))</f>
        <v/>
      </c>
      <c r="FF11">
        <f>INDEX($B$25:$GQ$25,MATCH(161,$B$29:$GQ$29,0))</f>
        <v/>
      </c>
      <c r="FG11">
        <f>INDEX($B$25:$GQ$25,MATCH(162,$B$29:$GQ$29,0))</f>
        <v/>
      </c>
      <c r="FH11">
        <f>INDEX($B$25:$GQ$25,MATCH(163,$B$29:$GQ$29,0))</f>
        <v/>
      </c>
      <c r="FI11">
        <f>INDEX($B$25:$GQ$25,MATCH(164,$B$29:$GQ$29,0))</f>
        <v/>
      </c>
      <c r="FJ11">
        <f>INDEX($B$25:$GQ$25,MATCH(165,$B$29:$GQ$29,0))</f>
        <v/>
      </c>
      <c r="FK11">
        <f>INDEX($B$25:$GQ$25,MATCH(166,$B$29:$GQ$29,0))</f>
        <v/>
      </c>
      <c r="FL11">
        <f>INDEX($B$25:$GQ$25,MATCH(167,$B$29:$GQ$29,0))</f>
        <v/>
      </c>
      <c r="FM11">
        <f>INDEX($B$25:$GQ$25,MATCH(168,$B$29:$GQ$29,0))</f>
        <v/>
      </c>
      <c r="FN11">
        <f>INDEX($B$25:$GQ$25,MATCH(169,$B$29:$GQ$29,0))</f>
        <v/>
      </c>
      <c r="FO11">
        <f>INDEX($B$25:$GQ$25,MATCH(170,$B$29:$GQ$29,0))</f>
        <v/>
      </c>
      <c r="FP11">
        <f>INDEX($B$25:$GQ$25,MATCH(171,$B$29:$GQ$29,0))</f>
        <v/>
      </c>
      <c r="FQ11">
        <f>INDEX($B$25:$GQ$25,MATCH(172,$B$29:$GQ$29,0))</f>
        <v/>
      </c>
      <c r="FR11">
        <f>INDEX($B$25:$GQ$25,MATCH(173,$B$29:$GQ$29,0))</f>
        <v/>
      </c>
      <c r="FS11">
        <f>INDEX($B$25:$GQ$25,MATCH(174,$B$29:$GQ$29,0))</f>
        <v/>
      </c>
      <c r="FT11">
        <f>INDEX($B$25:$GQ$25,MATCH(175,$B$29:$GQ$29,0))</f>
        <v/>
      </c>
      <c r="FU11">
        <f>INDEX($B$25:$GQ$25,MATCH(176,$B$29:$GQ$29,0))</f>
        <v/>
      </c>
      <c r="FV11">
        <f>INDEX($B$25:$GQ$25,MATCH(177,$B$29:$GQ$29,0))</f>
        <v/>
      </c>
      <c r="FW11">
        <f>INDEX($B$25:$GQ$25,MATCH(178,$B$29:$GQ$29,0))</f>
        <v/>
      </c>
      <c r="FX11">
        <f>INDEX($B$25:$GQ$25,MATCH(179,$B$29:$GQ$29,0))</f>
        <v/>
      </c>
      <c r="FY11">
        <f>INDEX($B$25:$GQ$25,MATCH(180,$B$29:$GQ$29,0))</f>
        <v/>
      </c>
      <c r="FZ11">
        <f>INDEX($B$25:$GQ$25,MATCH(181,$B$29:$GQ$29,0))</f>
        <v/>
      </c>
      <c r="GA11">
        <f>INDEX($B$25:$GQ$25,MATCH(182,$B$29:$GQ$29,0))</f>
        <v/>
      </c>
      <c r="GB11">
        <f>INDEX($B$25:$GQ$25,MATCH(183,$B$29:$GQ$29,0))</f>
        <v/>
      </c>
      <c r="GC11">
        <f>INDEX($B$25:$GQ$25,MATCH(184,$B$29:$GQ$29,0))</f>
        <v/>
      </c>
      <c r="GD11">
        <f>INDEX($B$25:$GQ$25,MATCH(185,$B$29:$GQ$29,0))</f>
        <v/>
      </c>
      <c r="GE11">
        <f>INDEX($B$25:$GQ$25,MATCH(186,$B$29:$GQ$29,0))</f>
        <v/>
      </c>
      <c r="GF11">
        <f>INDEX($B$25:$GQ$25,MATCH(187,$B$29:$GQ$29,0))</f>
        <v/>
      </c>
      <c r="GG11">
        <f>INDEX($B$25:$GQ$25,MATCH(188,$B$29:$GQ$29,0))</f>
        <v/>
      </c>
      <c r="GH11">
        <f>INDEX($B$25:$GQ$25,MATCH(189,$B$29:$GQ$29,0))</f>
        <v/>
      </c>
      <c r="GI11">
        <f>INDEX($B$25:$GQ$25,MATCH(190,$B$29:$GQ$29,0))</f>
        <v/>
      </c>
      <c r="GJ11">
        <f>INDEX($B$25:$GQ$25,MATCH(191,$B$29:$GQ$29,0))</f>
        <v/>
      </c>
      <c r="GK11">
        <f>INDEX($B$25:$GQ$25,MATCH(192,$B$29:$GQ$29,0))</f>
        <v/>
      </c>
      <c r="GL11">
        <f>INDEX($B$25:$GQ$25,MATCH(193,$B$29:$GQ$29,0))</f>
        <v/>
      </c>
      <c r="GM11">
        <f>INDEX($B$25:$GQ$25,MATCH(194,$B$29:$GQ$29,0))</f>
        <v/>
      </c>
      <c r="GN11">
        <f>INDEX($B$25:$GQ$25,MATCH(195,$B$29:$GQ$29,0))</f>
        <v/>
      </c>
      <c r="GO11">
        <f>INDEX($B$25:$GQ$25,MATCH(196,$B$29:$GQ$29,0))</f>
        <v/>
      </c>
      <c r="GP11">
        <f>INDEX($B$25:$GQ$25,MATCH(197,$B$29:$GQ$29,0))</f>
        <v/>
      </c>
      <c r="GQ11">
        <f>INDEX($B$25:$GQ$25,MATCH(198,$B$29:$GQ$29,0))</f>
        <v/>
      </c>
      <c r="GR11">
        <f>INDEX($GR$25:$HC$25,MATCH(1,$GR$30:$HC$30,0))</f>
        <v/>
      </c>
      <c r="GS11">
        <f>INDEX($GR$25:$HC$25,MATCH(2,$GR$30:$HC$30,0))</f>
        <v/>
      </c>
      <c r="GT11">
        <f>INDEX($GR$25:$HC$25,MATCH(3,$GR$30:$HC$30,0))</f>
        <v/>
      </c>
      <c r="GU11">
        <f>INDEX($GR$25:$HC$25,MATCH(4,$GR$30:$HC$30,0))</f>
        <v/>
      </c>
      <c r="GV11">
        <f>INDEX($GR$25:$HC$25,MATCH(5,$GR$30:$HC$30,0))</f>
        <v/>
      </c>
      <c r="GW11">
        <f>INDEX($GR$25:$HC$25,MATCH(6,$GR$30:$HC$30,0))</f>
        <v/>
      </c>
      <c r="GX11">
        <f>INDEX($GR$25:$HC$25,MATCH(7,$GR$30:$HC$30,0))</f>
        <v/>
      </c>
      <c r="GY11">
        <f>INDEX($GR$25:$HC$25,MATCH(8,$GR$30:$HC$30,0))</f>
        <v/>
      </c>
      <c r="GZ11">
        <f>INDEX($GR$25:$HC$25,MATCH(9,$GR$30:$HC$30,0))</f>
        <v/>
      </c>
      <c r="HA11">
        <f>INDEX($GR$25:$HC$25,MATCH(10,$GR$30:$HC$30,0))</f>
        <v/>
      </c>
      <c r="HB11">
        <f>INDEX($GR$25:$HC$25,MATCH(11,$GR$30:$HC$30,0))</f>
        <v/>
      </c>
      <c r="HC11">
        <f>INDEX($GR$25:$HC$25,MATCH(12,$GR$30:$HC$30,0))</f>
        <v/>
      </c>
    </row>
    <row r="12">
      <c r="A12" s="1" t="inlineStr">
        <is>
          <t>M_row*Y_imp</t>
        </is>
      </c>
      <c r="B12">
        <f>INDEX($B$26:$GQ$26,MATCH(1,$B$29:$GQ$29,0))</f>
        <v/>
      </c>
      <c r="C12">
        <f>INDEX($B$26:$GQ$26,MATCH(2,$B$29:$GQ$29,0))</f>
        <v/>
      </c>
      <c r="D12">
        <f>INDEX($B$26:$GQ$26,MATCH(3,$B$29:$GQ$29,0))</f>
        <v/>
      </c>
      <c r="E12">
        <f>INDEX($B$26:$GQ$26,MATCH(4,$B$29:$GQ$29,0))</f>
        <v/>
      </c>
      <c r="F12">
        <f>INDEX($B$26:$GQ$26,MATCH(5,$B$29:$GQ$29,0))</f>
        <v/>
      </c>
      <c r="G12">
        <f>INDEX($B$26:$GQ$26,MATCH(6,$B$29:$GQ$29,0))</f>
        <v/>
      </c>
      <c r="H12">
        <f>INDEX($B$26:$GQ$26,MATCH(7,$B$29:$GQ$29,0))</f>
        <v/>
      </c>
      <c r="I12">
        <f>INDEX($B$26:$GQ$26,MATCH(8,$B$29:$GQ$29,0))</f>
        <v/>
      </c>
      <c r="J12">
        <f>INDEX($B$26:$GQ$26,MATCH(9,$B$29:$GQ$29,0))</f>
        <v/>
      </c>
      <c r="K12">
        <f>INDEX($B$26:$GQ$26,MATCH(10,$B$29:$GQ$29,0))</f>
        <v/>
      </c>
      <c r="L12">
        <f>INDEX($B$26:$GQ$26,MATCH(11,$B$29:$GQ$29,0))</f>
        <v/>
      </c>
      <c r="M12">
        <f>INDEX($B$26:$GQ$26,MATCH(12,$B$29:$GQ$29,0))</f>
        <v/>
      </c>
      <c r="N12">
        <f>INDEX($B$26:$GQ$26,MATCH(13,$B$29:$GQ$29,0))</f>
        <v/>
      </c>
      <c r="O12">
        <f>INDEX($B$26:$GQ$26,MATCH(14,$B$29:$GQ$29,0))</f>
        <v/>
      </c>
      <c r="P12">
        <f>INDEX($B$26:$GQ$26,MATCH(15,$B$29:$GQ$29,0))</f>
        <v/>
      </c>
      <c r="Q12">
        <f>INDEX($B$26:$GQ$26,MATCH(16,$B$29:$GQ$29,0))</f>
        <v/>
      </c>
      <c r="R12">
        <f>INDEX($B$26:$GQ$26,MATCH(17,$B$29:$GQ$29,0))</f>
        <v/>
      </c>
      <c r="S12">
        <f>INDEX($B$26:$GQ$26,MATCH(18,$B$29:$GQ$29,0))</f>
        <v/>
      </c>
      <c r="T12">
        <f>INDEX($B$26:$GQ$26,MATCH(19,$B$29:$GQ$29,0))</f>
        <v/>
      </c>
      <c r="U12">
        <f>INDEX($B$26:$GQ$26,MATCH(20,$B$29:$GQ$29,0))</f>
        <v/>
      </c>
      <c r="V12">
        <f>INDEX($B$26:$GQ$26,MATCH(21,$B$29:$GQ$29,0))</f>
        <v/>
      </c>
      <c r="W12">
        <f>INDEX($B$26:$GQ$26,MATCH(22,$B$29:$GQ$29,0))</f>
        <v/>
      </c>
      <c r="X12">
        <f>INDEX($B$26:$GQ$26,MATCH(23,$B$29:$GQ$29,0))</f>
        <v/>
      </c>
      <c r="Y12">
        <f>INDEX($B$26:$GQ$26,MATCH(24,$B$29:$GQ$29,0))</f>
        <v/>
      </c>
      <c r="Z12">
        <f>INDEX($B$26:$GQ$26,MATCH(25,$B$29:$GQ$29,0))</f>
        <v/>
      </c>
      <c r="AA12">
        <f>INDEX($B$26:$GQ$26,MATCH(26,$B$29:$GQ$29,0))</f>
        <v/>
      </c>
      <c r="AB12">
        <f>INDEX($B$26:$GQ$26,MATCH(27,$B$29:$GQ$29,0))</f>
        <v/>
      </c>
      <c r="AC12">
        <f>INDEX($B$26:$GQ$26,MATCH(28,$B$29:$GQ$29,0))</f>
        <v/>
      </c>
      <c r="AD12">
        <f>INDEX($B$26:$GQ$26,MATCH(29,$B$29:$GQ$29,0))</f>
        <v/>
      </c>
      <c r="AE12">
        <f>INDEX($B$26:$GQ$26,MATCH(30,$B$29:$GQ$29,0))</f>
        <v/>
      </c>
      <c r="AF12">
        <f>INDEX($B$26:$GQ$26,MATCH(31,$B$29:$GQ$29,0))</f>
        <v/>
      </c>
      <c r="AG12">
        <f>INDEX($B$26:$GQ$26,MATCH(32,$B$29:$GQ$29,0))</f>
        <v/>
      </c>
      <c r="AH12">
        <f>INDEX($B$26:$GQ$26,MATCH(33,$B$29:$GQ$29,0))</f>
        <v/>
      </c>
      <c r="AI12">
        <f>INDEX($B$26:$GQ$26,MATCH(34,$B$29:$GQ$29,0))</f>
        <v/>
      </c>
      <c r="AJ12">
        <f>INDEX($B$26:$GQ$26,MATCH(35,$B$29:$GQ$29,0))</f>
        <v/>
      </c>
      <c r="AK12">
        <f>INDEX($B$26:$GQ$26,MATCH(36,$B$29:$GQ$29,0))</f>
        <v/>
      </c>
      <c r="AL12">
        <f>INDEX($B$26:$GQ$26,MATCH(37,$B$29:$GQ$29,0))</f>
        <v/>
      </c>
      <c r="AM12">
        <f>INDEX($B$26:$GQ$26,MATCH(38,$B$29:$GQ$29,0))</f>
        <v/>
      </c>
      <c r="AN12">
        <f>INDEX($B$26:$GQ$26,MATCH(39,$B$29:$GQ$29,0))</f>
        <v/>
      </c>
      <c r="AO12">
        <f>INDEX($B$26:$GQ$26,MATCH(40,$B$29:$GQ$29,0))</f>
        <v/>
      </c>
      <c r="AP12">
        <f>INDEX($B$26:$GQ$26,MATCH(41,$B$29:$GQ$29,0))</f>
        <v/>
      </c>
      <c r="AQ12">
        <f>INDEX($B$26:$GQ$26,MATCH(42,$B$29:$GQ$29,0))</f>
        <v/>
      </c>
      <c r="AR12">
        <f>INDEX($B$26:$GQ$26,MATCH(43,$B$29:$GQ$29,0))</f>
        <v/>
      </c>
      <c r="AS12">
        <f>INDEX($B$26:$GQ$26,MATCH(44,$B$29:$GQ$29,0))</f>
        <v/>
      </c>
      <c r="AT12">
        <f>INDEX($B$26:$GQ$26,MATCH(45,$B$29:$GQ$29,0))</f>
        <v/>
      </c>
      <c r="AU12">
        <f>INDEX($B$26:$GQ$26,MATCH(46,$B$29:$GQ$29,0))</f>
        <v/>
      </c>
      <c r="AV12">
        <f>INDEX($B$26:$GQ$26,MATCH(47,$B$29:$GQ$29,0))</f>
        <v/>
      </c>
      <c r="AW12">
        <f>INDEX($B$26:$GQ$26,MATCH(48,$B$29:$GQ$29,0))</f>
        <v/>
      </c>
      <c r="AX12">
        <f>INDEX($B$26:$GQ$26,MATCH(49,$B$29:$GQ$29,0))</f>
        <v/>
      </c>
      <c r="AY12">
        <f>INDEX($B$26:$GQ$26,MATCH(50,$B$29:$GQ$29,0))</f>
        <v/>
      </c>
      <c r="AZ12">
        <f>INDEX($B$26:$GQ$26,MATCH(51,$B$29:$GQ$29,0))</f>
        <v/>
      </c>
      <c r="BA12">
        <f>INDEX($B$26:$GQ$26,MATCH(52,$B$29:$GQ$29,0))</f>
        <v/>
      </c>
      <c r="BB12">
        <f>INDEX($B$26:$GQ$26,MATCH(53,$B$29:$GQ$29,0))</f>
        <v/>
      </c>
      <c r="BC12">
        <f>INDEX($B$26:$GQ$26,MATCH(54,$B$29:$GQ$29,0))</f>
        <v/>
      </c>
      <c r="BD12">
        <f>INDEX($B$26:$GQ$26,MATCH(55,$B$29:$GQ$29,0))</f>
        <v/>
      </c>
      <c r="BE12">
        <f>INDEX($B$26:$GQ$26,MATCH(56,$B$29:$GQ$29,0))</f>
        <v/>
      </c>
      <c r="BF12">
        <f>INDEX($B$26:$GQ$26,MATCH(57,$B$29:$GQ$29,0))</f>
        <v/>
      </c>
      <c r="BG12">
        <f>INDEX($B$26:$GQ$26,MATCH(58,$B$29:$GQ$29,0))</f>
        <v/>
      </c>
      <c r="BH12">
        <f>INDEX($B$26:$GQ$26,MATCH(59,$B$29:$GQ$29,0))</f>
        <v/>
      </c>
      <c r="BI12">
        <f>INDEX($B$26:$GQ$26,MATCH(60,$B$29:$GQ$29,0))</f>
        <v/>
      </c>
      <c r="BJ12">
        <f>INDEX($B$26:$GQ$26,MATCH(61,$B$29:$GQ$29,0))</f>
        <v/>
      </c>
      <c r="BK12">
        <f>INDEX($B$26:$GQ$26,MATCH(62,$B$29:$GQ$29,0))</f>
        <v/>
      </c>
      <c r="BL12">
        <f>INDEX($B$26:$GQ$26,MATCH(63,$B$29:$GQ$29,0))</f>
        <v/>
      </c>
      <c r="BM12">
        <f>INDEX($B$26:$GQ$26,MATCH(64,$B$29:$GQ$29,0))</f>
        <v/>
      </c>
      <c r="BN12">
        <f>INDEX($B$26:$GQ$26,MATCH(65,$B$29:$GQ$29,0))</f>
        <v/>
      </c>
      <c r="BO12">
        <f>INDEX($B$26:$GQ$26,MATCH(66,$B$29:$GQ$29,0))</f>
        <v/>
      </c>
      <c r="BP12">
        <f>INDEX($B$26:$GQ$26,MATCH(67,$B$29:$GQ$29,0))</f>
        <v/>
      </c>
      <c r="BQ12">
        <f>INDEX($B$26:$GQ$26,MATCH(68,$B$29:$GQ$29,0))</f>
        <v/>
      </c>
      <c r="BR12">
        <f>INDEX($B$26:$GQ$26,MATCH(69,$B$29:$GQ$29,0))</f>
        <v/>
      </c>
      <c r="BS12">
        <f>INDEX($B$26:$GQ$26,MATCH(70,$B$29:$GQ$29,0))</f>
        <v/>
      </c>
      <c r="BT12">
        <f>INDEX($B$26:$GQ$26,MATCH(71,$B$29:$GQ$29,0))</f>
        <v/>
      </c>
      <c r="BU12">
        <f>INDEX($B$26:$GQ$26,MATCH(72,$B$29:$GQ$29,0))</f>
        <v/>
      </c>
      <c r="BV12">
        <f>INDEX($B$26:$GQ$26,MATCH(73,$B$29:$GQ$29,0))</f>
        <v/>
      </c>
      <c r="BW12">
        <f>INDEX($B$26:$GQ$26,MATCH(74,$B$29:$GQ$29,0))</f>
        <v/>
      </c>
      <c r="BX12">
        <f>INDEX($B$26:$GQ$26,MATCH(75,$B$29:$GQ$29,0))</f>
        <v/>
      </c>
      <c r="BY12">
        <f>INDEX($B$26:$GQ$26,MATCH(76,$B$29:$GQ$29,0))</f>
        <v/>
      </c>
      <c r="BZ12">
        <f>INDEX($B$26:$GQ$26,MATCH(77,$B$29:$GQ$29,0))</f>
        <v/>
      </c>
      <c r="CA12">
        <f>INDEX($B$26:$GQ$26,MATCH(78,$B$29:$GQ$29,0))</f>
        <v/>
      </c>
      <c r="CB12">
        <f>INDEX($B$26:$GQ$26,MATCH(79,$B$29:$GQ$29,0))</f>
        <v/>
      </c>
      <c r="CC12">
        <f>INDEX($B$26:$GQ$26,MATCH(80,$B$29:$GQ$29,0))</f>
        <v/>
      </c>
      <c r="CD12">
        <f>INDEX($B$26:$GQ$26,MATCH(81,$B$29:$GQ$29,0))</f>
        <v/>
      </c>
      <c r="CE12">
        <f>INDEX($B$26:$GQ$26,MATCH(82,$B$29:$GQ$29,0))</f>
        <v/>
      </c>
      <c r="CF12">
        <f>INDEX($B$26:$GQ$26,MATCH(83,$B$29:$GQ$29,0))</f>
        <v/>
      </c>
      <c r="CG12">
        <f>INDEX($B$26:$GQ$26,MATCH(84,$B$29:$GQ$29,0))</f>
        <v/>
      </c>
      <c r="CH12">
        <f>INDEX($B$26:$GQ$26,MATCH(85,$B$29:$GQ$29,0))</f>
        <v/>
      </c>
      <c r="CI12">
        <f>INDEX($B$26:$GQ$26,MATCH(86,$B$29:$GQ$29,0))</f>
        <v/>
      </c>
      <c r="CJ12">
        <f>INDEX($B$26:$GQ$26,MATCH(87,$B$29:$GQ$29,0))</f>
        <v/>
      </c>
      <c r="CK12">
        <f>INDEX($B$26:$GQ$26,MATCH(88,$B$29:$GQ$29,0))</f>
        <v/>
      </c>
      <c r="CL12">
        <f>INDEX($B$26:$GQ$26,MATCH(89,$B$29:$GQ$29,0))</f>
        <v/>
      </c>
      <c r="CM12">
        <f>INDEX($B$26:$GQ$26,MATCH(90,$B$29:$GQ$29,0))</f>
        <v/>
      </c>
      <c r="CN12">
        <f>INDEX($B$26:$GQ$26,MATCH(91,$B$29:$GQ$29,0))</f>
        <v/>
      </c>
      <c r="CO12">
        <f>INDEX($B$26:$GQ$26,MATCH(92,$B$29:$GQ$29,0))</f>
        <v/>
      </c>
      <c r="CP12">
        <f>INDEX($B$26:$GQ$26,MATCH(93,$B$29:$GQ$29,0))</f>
        <v/>
      </c>
      <c r="CQ12">
        <f>INDEX($B$26:$GQ$26,MATCH(94,$B$29:$GQ$29,0))</f>
        <v/>
      </c>
      <c r="CR12">
        <f>INDEX($B$26:$GQ$26,MATCH(95,$B$29:$GQ$29,0))</f>
        <v/>
      </c>
      <c r="CS12">
        <f>INDEX($B$26:$GQ$26,MATCH(96,$B$29:$GQ$29,0))</f>
        <v/>
      </c>
      <c r="CT12">
        <f>INDEX($B$26:$GQ$26,MATCH(97,$B$29:$GQ$29,0))</f>
        <v/>
      </c>
      <c r="CU12">
        <f>INDEX($B$26:$GQ$26,MATCH(98,$B$29:$GQ$29,0))</f>
        <v/>
      </c>
      <c r="CV12">
        <f>INDEX($B$26:$GQ$26,MATCH(99,$B$29:$GQ$29,0))</f>
        <v/>
      </c>
      <c r="CW12">
        <f>INDEX($B$26:$GQ$26,MATCH(100,$B$29:$GQ$29,0))</f>
        <v/>
      </c>
      <c r="CX12">
        <f>INDEX($B$26:$GQ$26,MATCH(101,$B$29:$GQ$29,0))</f>
        <v/>
      </c>
      <c r="CY12">
        <f>INDEX($B$26:$GQ$26,MATCH(102,$B$29:$GQ$29,0))</f>
        <v/>
      </c>
      <c r="CZ12">
        <f>INDEX($B$26:$GQ$26,MATCH(103,$B$29:$GQ$29,0))</f>
        <v/>
      </c>
      <c r="DA12">
        <f>INDEX($B$26:$GQ$26,MATCH(104,$B$29:$GQ$29,0))</f>
        <v/>
      </c>
      <c r="DB12">
        <f>INDEX($B$26:$GQ$26,MATCH(105,$B$29:$GQ$29,0))</f>
        <v/>
      </c>
      <c r="DC12">
        <f>INDEX($B$26:$GQ$26,MATCH(106,$B$29:$GQ$29,0))</f>
        <v/>
      </c>
      <c r="DD12">
        <f>INDEX($B$26:$GQ$26,MATCH(107,$B$29:$GQ$29,0))</f>
        <v/>
      </c>
      <c r="DE12">
        <f>INDEX($B$26:$GQ$26,MATCH(108,$B$29:$GQ$29,0))</f>
        <v/>
      </c>
      <c r="DF12">
        <f>INDEX($B$26:$GQ$26,MATCH(109,$B$29:$GQ$29,0))</f>
        <v/>
      </c>
      <c r="DG12">
        <f>INDEX($B$26:$GQ$26,MATCH(110,$B$29:$GQ$29,0))</f>
        <v/>
      </c>
      <c r="DH12">
        <f>INDEX($B$26:$GQ$26,MATCH(111,$B$29:$GQ$29,0))</f>
        <v/>
      </c>
      <c r="DI12">
        <f>INDEX($B$26:$GQ$26,MATCH(112,$B$29:$GQ$29,0))</f>
        <v/>
      </c>
      <c r="DJ12">
        <f>INDEX($B$26:$GQ$26,MATCH(113,$B$29:$GQ$29,0))</f>
        <v/>
      </c>
      <c r="DK12">
        <f>INDEX($B$26:$GQ$26,MATCH(114,$B$29:$GQ$29,0))</f>
        <v/>
      </c>
      <c r="DL12">
        <f>INDEX($B$26:$GQ$26,MATCH(115,$B$29:$GQ$29,0))</f>
        <v/>
      </c>
      <c r="DM12">
        <f>INDEX($B$26:$GQ$26,MATCH(116,$B$29:$GQ$29,0))</f>
        <v/>
      </c>
      <c r="DN12">
        <f>INDEX($B$26:$GQ$26,MATCH(117,$B$29:$GQ$29,0))</f>
        <v/>
      </c>
      <c r="DO12">
        <f>INDEX($B$26:$GQ$26,MATCH(118,$B$29:$GQ$29,0))</f>
        <v/>
      </c>
      <c r="DP12">
        <f>INDEX($B$26:$GQ$26,MATCH(119,$B$29:$GQ$29,0))</f>
        <v/>
      </c>
      <c r="DQ12">
        <f>INDEX($B$26:$GQ$26,MATCH(120,$B$29:$GQ$29,0))</f>
        <v/>
      </c>
      <c r="DR12">
        <f>INDEX($B$26:$GQ$26,MATCH(121,$B$29:$GQ$29,0))</f>
        <v/>
      </c>
      <c r="DS12">
        <f>INDEX($B$26:$GQ$26,MATCH(122,$B$29:$GQ$29,0))</f>
        <v/>
      </c>
      <c r="DT12">
        <f>INDEX($B$26:$GQ$26,MATCH(123,$B$29:$GQ$29,0))</f>
        <v/>
      </c>
      <c r="DU12">
        <f>INDEX($B$26:$GQ$26,MATCH(124,$B$29:$GQ$29,0))</f>
        <v/>
      </c>
      <c r="DV12">
        <f>INDEX($B$26:$GQ$26,MATCH(125,$B$29:$GQ$29,0))</f>
        <v/>
      </c>
      <c r="DW12">
        <f>INDEX($B$26:$GQ$26,MATCH(126,$B$29:$GQ$29,0))</f>
        <v/>
      </c>
      <c r="DX12">
        <f>INDEX($B$26:$GQ$26,MATCH(127,$B$29:$GQ$29,0))</f>
        <v/>
      </c>
      <c r="DY12">
        <f>INDEX($B$26:$GQ$26,MATCH(128,$B$29:$GQ$29,0))</f>
        <v/>
      </c>
      <c r="DZ12">
        <f>INDEX($B$26:$GQ$26,MATCH(129,$B$29:$GQ$29,0))</f>
        <v/>
      </c>
      <c r="EA12">
        <f>INDEX($B$26:$GQ$26,MATCH(130,$B$29:$GQ$29,0))</f>
        <v/>
      </c>
      <c r="EB12">
        <f>INDEX($B$26:$GQ$26,MATCH(131,$B$29:$GQ$29,0))</f>
        <v/>
      </c>
      <c r="EC12">
        <f>INDEX($B$26:$GQ$26,MATCH(132,$B$29:$GQ$29,0))</f>
        <v/>
      </c>
      <c r="ED12">
        <f>INDEX($B$26:$GQ$26,MATCH(133,$B$29:$GQ$29,0))</f>
        <v/>
      </c>
      <c r="EE12">
        <f>INDEX($B$26:$GQ$26,MATCH(134,$B$29:$GQ$29,0))</f>
        <v/>
      </c>
      <c r="EF12">
        <f>INDEX($B$26:$GQ$26,MATCH(135,$B$29:$GQ$29,0))</f>
        <v/>
      </c>
      <c r="EG12">
        <f>INDEX($B$26:$GQ$26,MATCH(136,$B$29:$GQ$29,0))</f>
        <v/>
      </c>
      <c r="EH12">
        <f>INDEX($B$26:$GQ$26,MATCH(137,$B$29:$GQ$29,0))</f>
        <v/>
      </c>
      <c r="EI12">
        <f>INDEX($B$26:$GQ$26,MATCH(138,$B$29:$GQ$29,0))</f>
        <v/>
      </c>
      <c r="EJ12">
        <f>INDEX($B$26:$GQ$26,MATCH(139,$B$29:$GQ$29,0))</f>
        <v/>
      </c>
      <c r="EK12">
        <f>INDEX($B$26:$GQ$26,MATCH(140,$B$29:$GQ$29,0))</f>
        <v/>
      </c>
      <c r="EL12">
        <f>INDEX($B$26:$GQ$26,MATCH(141,$B$29:$GQ$29,0))</f>
        <v/>
      </c>
      <c r="EM12">
        <f>INDEX($B$26:$GQ$26,MATCH(142,$B$29:$GQ$29,0))</f>
        <v/>
      </c>
      <c r="EN12">
        <f>INDEX($B$26:$GQ$26,MATCH(143,$B$29:$GQ$29,0))</f>
        <v/>
      </c>
      <c r="EO12">
        <f>INDEX($B$26:$GQ$26,MATCH(144,$B$29:$GQ$29,0))</f>
        <v/>
      </c>
      <c r="EP12">
        <f>INDEX($B$26:$GQ$26,MATCH(145,$B$29:$GQ$29,0))</f>
        <v/>
      </c>
      <c r="EQ12">
        <f>INDEX($B$26:$GQ$26,MATCH(146,$B$29:$GQ$29,0))</f>
        <v/>
      </c>
      <c r="ER12">
        <f>INDEX($B$26:$GQ$26,MATCH(147,$B$29:$GQ$29,0))</f>
        <v/>
      </c>
      <c r="ES12">
        <f>INDEX($B$26:$GQ$26,MATCH(148,$B$29:$GQ$29,0))</f>
        <v/>
      </c>
      <c r="ET12">
        <f>INDEX($B$26:$GQ$26,MATCH(149,$B$29:$GQ$29,0))</f>
        <v/>
      </c>
      <c r="EU12">
        <f>INDEX($B$26:$GQ$26,MATCH(150,$B$29:$GQ$29,0))</f>
        <v/>
      </c>
      <c r="EV12">
        <f>INDEX($B$26:$GQ$26,MATCH(151,$B$29:$GQ$29,0))</f>
        <v/>
      </c>
      <c r="EW12">
        <f>INDEX($B$26:$GQ$26,MATCH(152,$B$29:$GQ$29,0))</f>
        <v/>
      </c>
      <c r="EX12">
        <f>INDEX($B$26:$GQ$26,MATCH(153,$B$29:$GQ$29,0))</f>
        <v/>
      </c>
      <c r="EY12">
        <f>INDEX($B$26:$GQ$26,MATCH(154,$B$29:$GQ$29,0))</f>
        <v/>
      </c>
      <c r="EZ12">
        <f>INDEX($B$26:$GQ$26,MATCH(155,$B$29:$GQ$29,0))</f>
        <v/>
      </c>
      <c r="FA12">
        <f>INDEX($B$26:$GQ$26,MATCH(156,$B$29:$GQ$29,0))</f>
        <v/>
      </c>
      <c r="FB12">
        <f>INDEX($B$26:$GQ$26,MATCH(157,$B$29:$GQ$29,0))</f>
        <v/>
      </c>
      <c r="FC12">
        <f>INDEX($B$26:$GQ$26,MATCH(158,$B$29:$GQ$29,0))</f>
        <v/>
      </c>
      <c r="FD12">
        <f>INDEX($B$26:$GQ$26,MATCH(159,$B$29:$GQ$29,0))</f>
        <v/>
      </c>
      <c r="FE12">
        <f>INDEX($B$26:$GQ$26,MATCH(160,$B$29:$GQ$29,0))</f>
        <v/>
      </c>
      <c r="FF12">
        <f>INDEX($B$26:$GQ$26,MATCH(161,$B$29:$GQ$29,0))</f>
        <v/>
      </c>
      <c r="FG12">
        <f>INDEX($B$26:$GQ$26,MATCH(162,$B$29:$GQ$29,0))</f>
        <v/>
      </c>
      <c r="FH12">
        <f>INDEX($B$26:$GQ$26,MATCH(163,$B$29:$GQ$29,0))</f>
        <v/>
      </c>
      <c r="FI12">
        <f>INDEX($B$26:$GQ$26,MATCH(164,$B$29:$GQ$29,0))</f>
        <v/>
      </c>
      <c r="FJ12">
        <f>INDEX($B$26:$GQ$26,MATCH(165,$B$29:$GQ$29,0))</f>
        <v/>
      </c>
      <c r="FK12">
        <f>INDEX($B$26:$GQ$26,MATCH(166,$B$29:$GQ$29,0))</f>
        <v/>
      </c>
      <c r="FL12">
        <f>INDEX($B$26:$GQ$26,MATCH(167,$B$29:$GQ$29,0))</f>
        <v/>
      </c>
      <c r="FM12">
        <f>INDEX($B$26:$GQ$26,MATCH(168,$B$29:$GQ$29,0))</f>
        <v/>
      </c>
      <c r="FN12">
        <f>INDEX($B$26:$GQ$26,MATCH(169,$B$29:$GQ$29,0))</f>
        <v/>
      </c>
      <c r="FO12">
        <f>INDEX($B$26:$GQ$26,MATCH(170,$B$29:$GQ$29,0))</f>
        <v/>
      </c>
      <c r="FP12">
        <f>INDEX($B$26:$GQ$26,MATCH(171,$B$29:$GQ$29,0))</f>
        <v/>
      </c>
      <c r="FQ12">
        <f>INDEX($B$26:$GQ$26,MATCH(172,$B$29:$GQ$29,0))</f>
        <v/>
      </c>
      <c r="FR12">
        <f>INDEX($B$26:$GQ$26,MATCH(173,$B$29:$GQ$29,0))</f>
        <v/>
      </c>
      <c r="FS12">
        <f>INDEX($B$26:$GQ$26,MATCH(174,$B$29:$GQ$29,0))</f>
        <v/>
      </c>
      <c r="FT12">
        <f>INDEX($B$26:$GQ$26,MATCH(175,$B$29:$GQ$29,0))</f>
        <v/>
      </c>
      <c r="FU12">
        <f>INDEX($B$26:$GQ$26,MATCH(176,$B$29:$GQ$29,0))</f>
        <v/>
      </c>
      <c r="FV12">
        <f>INDEX($B$26:$GQ$26,MATCH(177,$B$29:$GQ$29,0))</f>
        <v/>
      </c>
      <c r="FW12">
        <f>INDEX($B$26:$GQ$26,MATCH(178,$B$29:$GQ$29,0))</f>
        <v/>
      </c>
      <c r="FX12">
        <f>INDEX($B$26:$GQ$26,MATCH(179,$B$29:$GQ$29,0))</f>
        <v/>
      </c>
      <c r="FY12">
        <f>INDEX($B$26:$GQ$26,MATCH(180,$B$29:$GQ$29,0))</f>
        <v/>
      </c>
      <c r="FZ12">
        <f>INDEX($B$26:$GQ$26,MATCH(181,$B$29:$GQ$29,0))</f>
        <v/>
      </c>
      <c r="GA12">
        <f>INDEX($B$26:$GQ$26,MATCH(182,$B$29:$GQ$29,0))</f>
        <v/>
      </c>
      <c r="GB12">
        <f>INDEX($B$26:$GQ$26,MATCH(183,$B$29:$GQ$29,0))</f>
        <v/>
      </c>
      <c r="GC12">
        <f>INDEX($B$26:$GQ$26,MATCH(184,$B$29:$GQ$29,0))</f>
        <v/>
      </c>
      <c r="GD12">
        <f>INDEX($B$26:$GQ$26,MATCH(185,$B$29:$GQ$29,0))</f>
        <v/>
      </c>
      <c r="GE12">
        <f>INDEX($B$26:$GQ$26,MATCH(186,$B$29:$GQ$29,0))</f>
        <v/>
      </c>
      <c r="GF12">
        <f>INDEX($B$26:$GQ$26,MATCH(187,$B$29:$GQ$29,0))</f>
        <v/>
      </c>
      <c r="GG12">
        <f>INDEX($B$26:$GQ$26,MATCH(188,$B$29:$GQ$29,0))</f>
        <v/>
      </c>
      <c r="GH12">
        <f>INDEX($B$26:$GQ$26,MATCH(189,$B$29:$GQ$29,0))</f>
        <v/>
      </c>
      <c r="GI12">
        <f>INDEX($B$26:$GQ$26,MATCH(190,$B$29:$GQ$29,0))</f>
        <v/>
      </c>
      <c r="GJ12">
        <f>INDEX($B$26:$GQ$26,MATCH(191,$B$29:$GQ$29,0))</f>
        <v/>
      </c>
      <c r="GK12">
        <f>INDEX($B$26:$GQ$26,MATCH(192,$B$29:$GQ$29,0))</f>
        <v/>
      </c>
      <c r="GL12">
        <f>INDEX($B$26:$GQ$26,MATCH(193,$B$29:$GQ$29,0))</f>
        <v/>
      </c>
      <c r="GM12">
        <f>INDEX($B$26:$GQ$26,MATCH(194,$B$29:$GQ$29,0))</f>
        <v/>
      </c>
      <c r="GN12">
        <f>INDEX($B$26:$GQ$26,MATCH(195,$B$29:$GQ$29,0))</f>
        <v/>
      </c>
      <c r="GO12">
        <f>INDEX($B$26:$GQ$26,MATCH(196,$B$29:$GQ$29,0))</f>
        <v/>
      </c>
      <c r="GP12">
        <f>INDEX($B$26:$GQ$26,MATCH(197,$B$29:$GQ$29,0))</f>
        <v/>
      </c>
      <c r="GQ12">
        <f>INDEX($B$26:$GQ$26,MATCH(198,$B$29:$GQ$29,0))</f>
        <v/>
      </c>
      <c r="GR12">
        <f>INDEX($GR$26:$HC$26,MATCH(1,$GR$30:$HC$30,0))</f>
        <v/>
      </c>
      <c r="GS12">
        <f>INDEX($GR$26:$HC$26,MATCH(2,$GR$30:$HC$30,0))</f>
        <v/>
      </c>
      <c r="GT12">
        <f>INDEX($GR$26:$HC$26,MATCH(3,$GR$30:$HC$30,0))</f>
        <v/>
      </c>
      <c r="GU12">
        <f>INDEX($GR$26:$HC$26,MATCH(4,$GR$30:$HC$30,0))</f>
        <v/>
      </c>
      <c r="GV12">
        <f>INDEX($GR$26:$HC$26,MATCH(5,$GR$30:$HC$30,0))</f>
        <v/>
      </c>
      <c r="GW12">
        <f>INDEX($GR$26:$HC$26,MATCH(6,$GR$30:$HC$30,0))</f>
        <v/>
      </c>
      <c r="GX12">
        <f>INDEX($GR$26:$HC$26,MATCH(7,$GR$30:$HC$30,0))</f>
        <v/>
      </c>
      <c r="GY12">
        <f>INDEX($GR$26:$HC$26,MATCH(8,$GR$30:$HC$30,0))</f>
        <v/>
      </c>
      <c r="GZ12">
        <f>INDEX($GR$26:$HC$26,MATCH(9,$GR$30:$HC$30,0))</f>
        <v/>
      </c>
      <c r="HA12">
        <f>INDEX($GR$26:$HC$26,MATCH(10,$GR$30:$HC$30,0))</f>
        <v/>
      </c>
      <c r="HB12">
        <f>INDEX($GR$26:$HC$26,MATCH(11,$GR$30:$HC$30,0))</f>
        <v/>
      </c>
      <c r="HC12">
        <f>INDEX($GR$26:$HC$26,MATCH(12,$GR$30:$HC$30,0))</f>
        <v/>
      </c>
    </row>
    <row r="13">
      <c r="A13" s="1" t="inlineStr">
        <is>
          <t>M_imp*Y_dom+M_dom*Y_dom+M_row*Y_imp</t>
        </is>
      </c>
      <c r="B13">
        <f>INDEX($B$27:$GQ$27,MATCH(1,$B$29:$GQ$29,0))</f>
        <v/>
      </c>
      <c r="C13">
        <f>INDEX($B$27:$GQ$27,MATCH(2,$B$29:$GQ$29,0))</f>
        <v/>
      </c>
      <c r="D13">
        <f>INDEX($B$27:$GQ$27,MATCH(3,$B$29:$GQ$29,0))</f>
        <v/>
      </c>
      <c r="E13">
        <f>INDEX($B$27:$GQ$27,MATCH(4,$B$29:$GQ$29,0))</f>
        <v/>
      </c>
      <c r="F13">
        <f>INDEX($B$27:$GQ$27,MATCH(5,$B$29:$GQ$29,0))</f>
        <v/>
      </c>
      <c r="G13">
        <f>INDEX($B$27:$GQ$27,MATCH(6,$B$29:$GQ$29,0))</f>
        <v/>
      </c>
      <c r="H13">
        <f>INDEX($B$27:$GQ$27,MATCH(7,$B$29:$GQ$29,0))</f>
        <v/>
      </c>
      <c r="I13">
        <f>INDEX($B$27:$GQ$27,MATCH(8,$B$29:$GQ$29,0))</f>
        <v/>
      </c>
      <c r="J13">
        <f>INDEX($B$27:$GQ$27,MATCH(9,$B$29:$GQ$29,0))</f>
        <v/>
      </c>
      <c r="K13">
        <f>INDEX($B$27:$GQ$27,MATCH(10,$B$29:$GQ$29,0))</f>
        <v/>
      </c>
      <c r="L13">
        <f>INDEX($B$27:$GQ$27,MATCH(11,$B$29:$GQ$29,0))</f>
        <v/>
      </c>
      <c r="M13">
        <f>INDEX($B$27:$GQ$27,MATCH(12,$B$29:$GQ$29,0))</f>
        <v/>
      </c>
      <c r="N13">
        <f>INDEX($B$27:$GQ$27,MATCH(13,$B$29:$GQ$29,0))</f>
        <v/>
      </c>
      <c r="O13">
        <f>INDEX($B$27:$GQ$27,MATCH(14,$B$29:$GQ$29,0))</f>
        <v/>
      </c>
      <c r="P13">
        <f>INDEX($B$27:$GQ$27,MATCH(15,$B$29:$GQ$29,0))</f>
        <v/>
      </c>
      <c r="Q13">
        <f>INDEX($B$27:$GQ$27,MATCH(16,$B$29:$GQ$29,0))</f>
        <v/>
      </c>
      <c r="R13">
        <f>INDEX($B$27:$GQ$27,MATCH(17,$B$29:$GQ$29,0))</f>
        <v/>
      </c>
      <c r="S13">
        <f>INDEX($B$27:$GQ$27,MATCH(18,$B$29:$GQ$29,0))</f>
        <v/>
      </c>
      <c r="T13">
        <f>INDEX($B$27:$GQ$27,MATCH(19,$B$29:$GQ$29,0))</f>
        <v/>
      </c>
      <c r="U13">
        <f>INDEX($B$27:$GQ$27,MATCH(20,$B$29:$GQ$29,0))</f>
        <v/>
      </c>
      <c r="V13">
        <f>INDEX($B$27:$GQ$27,MATCH(21,$B$29:$GQ$29,0))</f>
        <v/>
      </c>
      <c r="W13">
        <f>INDEX($B$27:$GQ$27,MATCH(22,$B$29:$GQ$29,0))</f>
        <v/>
      </c>
      <c r="X13">
        <f>INDEX($B$27:$GQ$27,MATCH(23,$B$29:$GQ$29,0))</f>
        <v/>
      </c>
      <c r="Y13">
        <f>INDEX($B$27:$GQ$27,MATCH(24,$B$29:$GQ$29,0))</f>
        <v/>
      </c>
      <c r="Z13">
        <f>INDEX($B$27:$GQ$27,MATCH(25,$B$29:$GQ$29,0))</f>
        <v/>
      </c>
      <c r="AA13">
        <f>INDEX($B$27:$GQ$27,MATCH(26,$B$29:$GQ$29,0))</f>
        <v/>
      </c>
      <c r="AB13">
        <f>INDEX($B$27:$GQ$27,MATCH(27,$B$29:$GQ$29,0))</f>
        <v/>
      </c>
      <c r="AC13">
        <f>INDEX($B$27:$GQ$27,MATCH(28,$B$29:$GQ$29,0))</f>
        <v/>
      </c>
      <c r="AD13">
        <f>INDEX($B$27:$GQ$27,MATCH(29,$B$29:$GQ$29,0))</f>
        <v/>
      </c>
      <c r="AE13">
        <f>INDEX($B$27:$GQ$27,MATCH(30,$B$29:$GQ$29,0))</f>
        <v/>
      </c>
      <c r="AF13">
        <f>INDEX($B$27:$GQ$27,MATCH(31,$B$29:$GQ$29,0))</f>
        <v/>
      </c>
      <c r="AG13">
        <f>INDEX($B$27:$GQ$27,MATCH(32,$B$29:$GQ$29,0))</f>
        <v/>
      </c>
      <c r="AH13">
        <f>INDEX($B$27:$GQ$27,MATCH(33,$B$29:$GQ$29,0))</f>
        <v/>
      </c>
      <c r="AI13">
        <f>INDEX($B$27:$GQ$27,MATCH(34,$B$29:$GQ$29,0))</f>
        <v/>
      </c>
      <c r="AJ13">
        <f>INDEX($B$27:$GQ$27,MATCH(35,$B$29:$GQ$29,0))</f>
        <v/>
      </c>
      <c r="AK13">
        <f>INDEX($B$27:$GQ$27,MATCH(36,$B$29:$GQ$29,0))</f>
        <v/>
      </c>
      <c r="AL13">
        <f>INDEX($B$27:$GQ$27,MATCH(37,$B$29:$GQ$29,0))</f>
        <v/>
      </c>
      <c r="AM13">
        <f>INDEX($B$27:$GQ$27,MATCH(38,$B$29:$GQ$29,0))</f>
        <v/>
      </c>
      <c r="AN13">
        <f>INDEX($B$27:$GQ$27,MATCH(39,$B$29:$GQ$29,0))</f>
        <v/>
      </c>
      <c r="AO13">
        <f>INDEX($B$27:$GQ$27,MATCH(40,$B$29:$GQ$29,0))</f>
        <v/>
      </c>
      <c r="AP13">
        <f>INDEX($B$27:$GQ$27,MATCH(41,$B$29:$GQ$29,0))</f>
        <v/>
      </c>
      <c r="AQ13">
        <f>INDEX($B$27:$GQ$27,MATCH(42,$B$29:$GQ$29,0))</f>
        <v/>
      </c>
      <c r="AR13">
        <f>INDEX($B$27:$GQ$27,MATCH(43,$B$29:$GQ$29,0))</f>
        <v/>
      </c>
      <c r="AS13">
        <f>INDEX($B$27:$GQ$27,MATCH(44,$B$29:$GQ$29,0))</f>
        <v/>
      </c>
      <c r="AT13">
        <f>INDEX($B$27:$GQ$27,MATCH(45,$B$29:$GQ$29,0))</f>
        <v/>
      </c>
      <c r="AU13">
        <f>INDEX($B$27:$GQ$27,MATCH(46,$B$29:$GQ$29,0))</f>
        <v/>
      </c>
      <c r="AV13">
        <f>INDEX($B$27:$GQ$27,MATCH(47,$B$29:$GQ$29,0))</f>
        <v/>
      </c>
      <c r="AW13">
        <f>INDEX($B$27:$GQ$27,MATCH(48,$B$29:$GQ$29,0))</f>
        <v/>
      </c>
      <c r="AX13">
        <f>INDEX($B$27:$GQ$27,MATCH(49,$B$29:$GQ$29,0))</f>
        <v/>
      </c>
      <c r="AY13">
        <f>INDEX($B$27:$GQ$27,MATCH(50,$B$29:$GQ$29,0))</f>
        <v/>
      </c>
      <c r="AZ13">
        <f>INDEX($B$27:$GQ$27,MATCH(51,$B$29:$GQ$29,0))</f>
        <v/>
      </c>
      <c r="BA13">
        <f>INDEX($B$27:$GQ$27,MATCH(52,$B$29:$GQ$29,0))</f>
        <v/>
      </c>
      <c r="BB13">
        <f>INDEX($B$27:$GQ$27,MATCH(53,$B$29:$GQ$29,0))</f>
        <v/>
      </c>
      <c r="BC13">
        <f>INDEX($B$27:$GQ$27,MATCH(54,$B$29:$GQ$29,0))</f>
        <v/>
      </c>
      <c r="BD13">
        <f>INDEX($B$27:$GQ$27,MATCH(55,$B$29:$GQ$29,0))</f>
        <v/>
      </c>
      <c r="BE13">
        <f>INDEX($B$27:$GQ$27,MATCH(56,$B$29:$GQ$29,0))</f>
        <v/>
      </c>
      <c r="BF13">
        <f>INDEX($B$27:$GQ$27,MATCH(57,$B$29:$GQ$29,0))</f>
        <v/>
      </c>
      <c r="BG13">
        <f>INDEX($B$27:$GQ$27,MATCH(58,$B$29:$GQ$29,0))</f>
        <v/>
      </c>
      <c r="BH13">
        <f>INDEX($B$27:$GQ$27,MATCH(59,$B$29:$GQ$29,0))</f>
        <v/>
      </c>
      <c r="BI13">
        <f>INDEX($B$27:$GQ$27,MATCH(60,$B$29:$GQ$29,0))</f>
        <v/>
      </c>
      <c r="BJ13">
        <f>INDEX($B$27:$GQ$27,MATCH(61,$B$29:$GQ$29,0))</f>
        <v/>
      </c>
      <c r="BK13">
        <f>INDEX($B$27:$GQ$27,MATCH(62,$B$29:$GQ$29,0))</f>
        <v/>
      </c>
      <c r="BL13">
        <f>INDEX($B$27:$GQ$27,MATCH(63,$B$29:$GQ$29,0))</f>
        <v/>
      </c>
      <c r="BM13">
        <f>INDEX($B$27:$GQ$27,MATCH(64,$B$29:$GQ$29,0))</f>
        <v/>
      </c>
      <c r="BN13">
        <f>INDEX($B$27:$GQ$27,MATCH(65,$B$29:$GQ$29,0))</f>
        <v/>
      </c>
      <c r="BO13">
        <f>INDEX($B$27:$GQ$27,MATCH(66,$B$29:$GQ$29,0))</f>
        <v/>
      </c>
      <c r="BP13">
        <f>INDEX($B$27:$GQ$27,MATCH(67,$B$29:$GQ$29,0))</f>
        <v/>
      </c>
      <c r="BQ13">
        <f>INDEX($B$27:$GQ$27,MATCH(68,$B$29:$GQ$29,0))</f>
        <v/>
      </c>
      <c r="BR13">
        <f>INDEX($B$27:$GQ$27,MATCH(69,$B$29:$GQ$29,0))</f>
        <v/>
      </c>
      <c r="BS13">
        <f>INDEX($B$27:$GQ$27,MATCH(70,$B$29:$GQ$29,0))</f>
        <v/>
      </c>
      <c r="BT13">
        <f>INDEX($B$27:$GQ$27,MATCH(71,$B$29:$GQ$29,0))</f>
        <v/>
      </c>
      <c r="BU13">
        <f>INDEX($B$27:$GQ$27,MATCH(72,$B$29:$GQ$29,0))</f>
        <v/>
      </c>
      <c r="BV13">
        <f>INDEX($B$27:$GQ$27,MATCH(73,$B$29:$GQ$29,0))</f>
        <v/>
      </c>
      <c r="BW13">
        <f>INDEX($B$27:$GQ$27,MATCH(74,$B$29:$GQ$29,0))</f>
        <v/>
      </c>
      <c r="BX13">
        <f>INDEX($B$27:$GQ$27,MATCH(75,$B$29:$GQ$29,0))</f>
        <v/>
      </c>
      <c r="BY13">
        <f>INDEX($B$27:$GQ$27,MATCH(76,$B$29:$GQ$29,0))</f>
        <v/>
      </c>
      <c r="BZ13">
        <f>INDEX($B$27:$GQ$27,MATCH(77,$B$29:$GQ$29,0))</f>
        <v/>
      </c>
      <c r="CA13">
        <f>INDEX($B$27:$GQ$27,MATCH(78,$B$29:$GQ$29,0))</f>
        <v/>
      </c>
      <c r="CB13">
        <f>INDEX($B$27:$GQ$27,MATCH(79,$B$29:$GQ$29,0))</f>
        <v/>
      </c>
      <c r="CC13">
        <f>INDEX($B$27:$GQ$27,MATCH(80,$B$29:$GQ$29,0))</f>
        <v/>
      </c>
      <c r="CD13">
        <f>INDEX($B$27:$GQ$27,MATCH(81,$B$29:$GQ$29,0))</f>
        <v/>
      </c>
      <c r="CE13">
        <f>INDEX($B$27:$GQ$27,MATCH(82,$B$29:$GQ$29,0))</f>
        <v/>
      </c>
      <c r="CF13">
        <f>INDEX($B$27:$GQ$27,MATCH(83,$B$29:$GQ$29,0))</f>
        <v/>
      </c>
      <c r="CG13">
        <f>INDEX($B$27:$GQ$27,MATCH(84,$B$29:$GQ$29,0))</f>
        <v/>
      </c>
      <c r="CH13">
        <f>INDEX($B$27:$GQ$27,MATCH(85,$B$29:$GQ$29,0))</f>
        <v/>
      </c>
      <c r="CI13">
        <f>INDEX($B$27:$GQ$27,MATCH(86,$B$29:$GQ$29,0))</f>
        <v/>
      </c>
      <c r="CJ13">
        <f>INDEX($B$27:$GQ$27,MATCH(87,$B$29:$GQ$29,0))</f>
        <v/>
      </c>
      <c r="CK13">
        <f>INDEX($B$27:$GQ$27,MATCH(88,$B$29:$GQ$29,0))</f>
        <v/>
      </c>
      <c r="CL13">
        <f>INDEX($B$27:$GQ$27,MATCH(89,$B$29:$GQ$29,0))</f>
        <v/>
      </c>
      <c r="CM13">
        <f>INDEX($B$27:$GQ$27,MATCH(90,$B$29:$GQ$29,0))</f>
        <v/>
      </c>
      <c r="CN13">
        <f>INDEX($B$27:$GQ$27,MATCH(91,$B$29:$GQ$29,0))</f>
        <v/>
      </c>
      <c r="CO13">
        <f>INDEX($B$27:$GQ$27,MATCH(92,$B$29:$GQ$29,0))</f>
        <v/>
      </c>
      <c r="CP13">
        <f>INDEX($B$27:$GQ$27,MATCH(93,$B$29:$GQ$29,0))</f>
        <v/>
      </c>
      <c r="CQ13">
        <f>INDEX($B$27:$GQ$27,MATCH(94,$B$29:$GQ$29,0))</f>
        <v/>
      </c>
      <c r="CR13">
        <f>INDEX($B$27:$GQ$27,MATCH(95,$B$29:$GQ$29,0))</f>
        <v/>
      </c>
      <c r="CS13">
        <f>INDEX($B$27:$GQ$27,MATCH(96,$B$29:$GQ$29,0))</f>
        <v/>
      </c>
      <c r="CT13">
        <f>INDEX($B$27:$GQ$27,MATCH(97,$B$29:$GQ$29,0))</f>
        <v/>
      </c>
      <c r="CU13">
        <f>INDEX($B$27:$GQ$27,MATCH(98,$B$29:$GQ$29,0))</f>
        <v/>
      </c>
      <c r="CV13">
        <f>INDEX($B$27:$GQ$27,MATCH(99,$B$29:$GQ$29,0))</f>
        <v/>
      </c>
      <c r="CW13">
        <f>INDEX($B$27:$GQ$27,MATCH(100,$B$29:$GQ$29,0))</f>
        <v/>
      </c>
      <c r="CX13">
        <f>INDEX($B$27:$GQ$27,MATCH(101,$B$29:$GQ$29,0))</f>
        <v/>
      </c>
      <c r="CY13">
        <f>INDEX($B$27:$GQ$27,MATCH(102,$B$29:$GQ$29,0))</f>
        <v/>
      </c>
      <c r="CZ13">
        <f>INDEX($B$27:$GQ$27,MATCH(103,$B$29:$GQ$29,0))</f>
        <v/>
      </c>
      <c r="DA13">
        <f>INDEX($B$27:$GQ$27,MATCH(104,$B$29:$GQ$29,0))</f>
        <v/>
      </c>
      <c r="DB13">
        <f>INDEX($B$27:$GQ$27,MATCH(105,$B$29:$GQ$29,0))</f>
        <v/>
      </c>
      <c r="DC13">
        <f>INDEX($B$27:$GQ$27,MATCH(106,$B$29:$GQ$29,0))</f>
        <v/>
      </c>
      <c r="DD13">
        <f>INDEX($B$27:$GQ$27,MATCH(107,$B$29:$GQ$29,0))</f>
        <v/>
      </c>
      <c r="DE13">
        <f>INDEX($B$27:$GQ$27,MATCH(108,$B$29:$GQ$29,0))</f>
        <v/>
      </c>
      <c r="DF13">
        <f>INDEX($B$27:$GQ$27,MATCH(109,$B$29:$GQ$29,0))</f>
        <v/>
      </c>
      <c r="DG13">
        <f>INDEX($B$27:$GQ$27,MATCH(110,$B$29:$GQ$29,0))</f>
        <v/>
      </c>
      <c r="DH13">
        <f>INDEX($B$27:$GQ$27,MATCH(111,$B$29:$GQ$29,0))</f>
        <v/>
      </c>
      <c r="DI13">
        <f>INDEX($B$27:$GQ$27,MATCH(112,$B$29:$GQ$29,0))</f>
        <v/>
      </c>
      <c r="DJ13">
        <f>INDEX($B$27:$GQ$27,MATCH(113,$B$29:$GQ$29,0))</f>
        <v/>
      </c>
      <c r="DK13">
        <f>INDEX($B$27:$GQ$27,MATCH(114,$B$29:$GQ$29,0))</f>
        <v/>
      </c>
      <c r="DL13">
        <f>INDEX($B$27:$GQ$27,MATCH(115,$B$29:$GQ$29,0))</f>
        <v/>
      </c>
      <c r="DM13">
        <f>INDEX($B$27:$GQ$27,MATCH(116,$B$29:$GQ$29,0))</f>
        <v/>
      </c>
      <c r="DN13">
        <f>INDEX($B$27:$GQ$27,MATCH(117,$B$29:$GQ$29,0))</f>
        <v/>
      </c>
      <c r="DO13">
        <f>INDEX($B$27:$GQ$27,MATCH(118,$B$29:$GQ$29,0))</f>
        <v/>
      </c>
      <c r="DP13">
        <f>INDEX($B$27:$GQ$27,MATCH(119,$B$29:$GQ$29,0))</f>
        <v/>
      </c>
      <c r="DQ13">
        <f>INDEX($B$27:$GQ$27,MATCH(120,$B$29:$GQ$29,0))</f>
        <v/>
      </c>
      <c r="DR13">
        <f>INDEX($B$27:$GQ$27,MATCH(121,$B$29:$GQ$29,0))</f>
        <v/>
      </c>
      <c r="DS13">
        <f>INDEX($B$27:$GQ$27,MATCH(122,$B$29:$GQ$29,0))</f>
        <v/>
      </c>
      <c r="DT13">
        <f>INDEX($B$27:$GQ$27,MATCH(123,$B$29:$GQ$29,0))</f>
        <v/>
      </c>
      <c r="DU13">
        <f>INDEX($B$27:$GQ$27,MATCH(124,$B$29:$GQ$29,0))</f>
        <v/>
      </c>
      <c r="DV13">
        <f>INDEX($B$27:$GQ$27,MATCH(125,$B$29:$GQ$29,0))</f>
        <v/>
      </c>
      <c r="DW13">
        <f>INDEX($B$27:$GQ$27,MATCH(126,$B$29:$GQ$29,0))</f>
        <v/>
      </c>
      <c r="DX13">
        <f>INDEX($B$27:$GQ$27,MATCH(127,$B$29:$GQ$29,0))</f>
        <v/>
      </c>
      <c r="DY13">
        <f>INDEX($B$27:$GQ$27,MATCH(128,$B$29:$GQ$29,0))</f>
        <v/>
      </c>
      <c r="DZ13">
        <f>INDEX($B$27:$GQ$27,MATCH(129,$B$29:$GQ$29,0))</f>
        <v/>
      </c>
      <c r="EA13">
        <f>INDEX($B$27:$GQ$27,MATCH(130,$B$29:$GQ$29,0))</f>
        <v/>
      </c>
      <c r="EB13">
        <f>INDEX($B$27:$GQ$27,MATCH(131,$B$29:$GQ$29,0))</f>
        <v/>
      </c>
      <c r="EC13">
        <f>INDEX($B$27:$GQ$27,MATCH(132,$B$29:$GQ$29,0))</f>
        <v/>
      </c>
      <c r="ED13">
        <f>INDEX($B$27:$GQ$27,MATCH(133,$B$29:$GQ$29,0))</f>
        <v/>
      </c>
      <c r="EE13">
        <f>INDEX($B$27:$GQ$27,MATCH(134,$B$29:$GQ$29,0))</f>
        <v/>
      </c>
      <c r="EF13">
        <f>INDEX($B$27:$GQ$27,MATCH(135,$B$29:$GQ$29,0))</f>
        <v/>
      </c>
      <c r="EG13">
        <f>INDEX($B$27:$GQ$27,MATCH(136,$B$29:$GQ$29,0))</f>
        <v/>
      </c>
      <c r="EH13">
        <f>INDEX($B$27:$GQ$27,MATCH(137,$B$29:$GQ$29,0))</f>
        <v/>
      </c>
      <c r="EI13">
        <f>INDEX($B$27:$GQ$27,MATCH(138,$B$29:$GQ$29,0))</f>
        <v/>
      </c>
      <c r="EJ13">
        <f>INDEX($B$27:$GQ$27,MATCH(139,$B$29:$GQ$29,0))</f>
        <v/>
      </c>
      <c r="EK13">
        <f>INDEX($B$27:$GQ$27,MATCH(140,$B$29:$GQ$29,0))</f>
        <v/>
      </c>
      <c r="EL13">
        <f>INDEX($B$27:$GQ$27,MATCH(141,$B$29:$GQ$29,0))</f>
        <v/>
      </c>
      <c r="EM13">
        <f>INDEX($B$27:$GQ$27,MATCH(142,$B$29:$GQ$29,0))</f>
        <v/>
      </c>
      <c r="EN13">
        <f>INDEX($B$27:$GQ$27,MATCH(143,$B$29:$GQ$29,0))</f>
        <v/>
      </c>
      <c r="EO13">
        <f>INDEX($B$27:$GQ$27,MATCH(144,$B$29:$GQ$29,0))</f>
        <v/>
      </c>
      <c r="EP13">
        <f>INDEX($B$27:$GQ$27,MATCH(145,$B$29:$GQ$29,0))</f>
        <v/>
      </c>
      <c r="EQ13">
        <f>INDEX($B$27:$GQ$27,MATCH(146,$B$29:$GQ$29,0))</f>
        <v/>
      </c>
      <c r="ER13">
        <f>INDEX($B$27:$GQ$27,MATCH(147,$B$29:$GQ$29,0))</f>
        <v/>
      </c>
      <c r="ES13">
        <f>INDEX($B$27:$GQ$27,MATCH(148,$B$29:$GQ$29,0))</f>
        <v/>
      </c>
      <c r="ET13">
        <f>INDEX($B$27:$GQ$27,MATCH(149,$B$29:$GQ$29,0))</f>
        <v/>
      </c>
      <c r="EU13">
        <f>INDEX($B$27:$GQ$27,MATCH(150,$B$29:$GQ$29,0))</f>
        <v/>
      </c>
      <c r="EV13">
        <f>INDEX($B$27:$GQ$27,MATCH(151,$B$29:$GQ$29,0))</f>
        <v/>
      </c>
      <c r="EW13">
        <f>INDEX($B$27:$GQ$27,MATCH(152,$B$29:$GQ$29,0))</f>
        <v/>
      </c>
      <c r="EX13">
        <f>INDEX($B$27:$GQ$27,MATCH(153,$B$29:$GQ$29,0))</f>
        <v/>
      </c>
      <c r="EY13">
        <f>INDEX($B$27:$GQ$27,MATCH(154,$B$29:$GQ$29,0))</f>
        <v/>
      </c>
      <c r="EZ13">
        <f>INDEX($B$27:$GQ$27,MATCH(155,$B$29:$GQ$29,0))</f>
        <v/>
      </c>
      <c r="FA13">
        <f>INDEX($B$27:$GQ$27,MATCH(156,$B$29:$GQ$29,0))</f>
        <v/>
      </c>
      <c r="FB13">
        <f>INDEX($B$27:$GQ$27,MATCH(157,$B$29:$GQ$29,0))</f>
        <v/>
      </c>
      <c r="FC13">
        <f>INDEX($B$27:$GQ$27,MATCH(158,$B$29:$GQ$29,0))</f>
        <v/>
      </c>
      <c r="FD13">
        <f>INDEX($B$27:$GQ$27,MATCH(159,$B$29:$GQ$29,0))</f>
        <v/>
      </c>
      <c r="FE13">
        <f>INDEX($B$27:$GQ$27,MATCH(160,$B$29:$GQ$29,0))</f>
        <v/>
      </c>
      <c r="FF13">
        <f>INDEX($B$27:$GQ$27,MATCH(161,$B$29:$GQ$29,0))</f>
        <v/>
      </c>
      <c r="FG13">
        <f>INDEX($B$27:$GQ$27,MATCH(162,$B$29:$GQ$29,0))</f>
        <v/>
      </c>
      <c r="FH13">
        <f>INDEX($B$27:$GQ$27,MATCH(163,$B$29:$GQ$29,0))</f>
        <v/>
      </c>
      <c r="FI13">
        <f>INDEX($B$27:$GQ$27,MATCH(164,$B$29:$GQ$29,0))</f>
        <v/>
      </c>
      <c r="FJ13">
        <f>INDEX($B$27:$GQ$27,MATCH(165,$B$29:$GQ$29,0))</f>
        <v/>
      </c>
      <c r="FK13">
        <f>INDEX($B$27:$GQ$27,MATCH(166,$B$29:$GQ$29,0))</f>
        <v/>
      </c>
      <c r="FL13">
        <f>INDEX($B$27:$GQ$27,MATCH(167,$B$29:$GQ$29,0))</f>
        <v/>
      </c>
      <c r="FM13">
        <f>INDEX($B$27:$GQ$27,MATCH(168,$B$29:$GQ$29,0))</f>
        <v/>
      </c>
      <c r="FN13">
        <f>INDEX($B$27:$GQ$27,MATCH(169,$B$29:$GQ$29,0))</f>
        <v/>
      </c>
      <c r="FO13">
        <f>INDEX($B$27:$GQ$27,MATCH(170,$B$29:$GQ$29,0))</f>
        <v/>
      </c>
      <c r="FP13">
        <f>INDEX($B$27:$GQ$27,MATCH(171,$B$29:$GQ$29,0))</f>
        <v/>
      </c>
      <c r="FQ13">
        <f>INDEX($B$27:$GQ$27,MATCH(172,$B$29:$GQ$29,0))</f>
        <v/>
      </c>
      <c r="FR13">
        <f>INDEX($B$27:$GQ$27,MATCH(173,$B$29:$GQ$29,0))</f>
        <v/>
      </c>
      <c r="FS13">
        <f>INDEX($B$27:$GQ$27,MATCH(174,$B$29:$GQ$29,0))</f>
        <v/>
      </c>
      <c r="FT13">
        <f>INDEX($B$27:$GQ$27,MATCH(175,$B$29:$GQ$29,0))</f>
        <v/>
      </c>
      <c r="FU13">
        <f>INDEX($B$27:$GQ$27,MATCH(176,$B$29:$GQ$29,0))</f>
        <v/>
      </c>
      <c r="FV13">
        <f>INDEX($B$27:$GQ$27,MATCH(177,$B$29:$GQ$29,0))</f>
        <v/>
      </c>
      <c r="FW13">
        <f>INDEX($B$27:$GQ$27,MATCH(178,$B$29:$GQ$29,0))</f>
        <v/>
      </c>
      <c r="FX13">
        <f>INDEX($B$27:$GQ$27,MATCH(179,$B$29:$GQ$29,0))</f>
        <v/>
      </c>
      <c r="FY13">
        <f>INDEX($B$27:$GQ$27,MATCH(180,$B$29:$GQ$29,0))</f>
        <v/>
      </c>
      <c r="FZ13">
        <f>INDEX($B$27:$GQ$27,MATCH(181,$B$29:$GQ$29,0))</f>
        <v/>
      </c>
      <c r="GA13">
        <f>INDEX($B$27:$GQ$27,MATCH(182,$B$29:$GQ$29,0))</f>
        <v/>
      </c>
      <c r="GB13">
        <f>INDEX($B$27:$GQ$27,MATCH(183,$B$29:$GQ$29,0))</f>
        <v/>
      </c>
      <c r="GC13">
        <f>INDEX($B$27:$GQ$27,MATCH(184,$B$29:$GQ$29,0))</f>
        <v/>
      </c>
      <c r="GD13">
        <f>INDEX($B$27:$GQ$27,MATCH(185,$B$29:$GQ$29,0))</f>
        <v/>
      </c>
      <c r="GE13">
        <f>INDEX($B$27:$GQ$27,MATCH(186,$B$29:$GQ$29,0))</f>
        <v/>
      </c>
      <c r="GF13">
        <f>INDEX($B$27:$GQ$27,MATCH(187,$B$29:$GQ$29,0))</f>
        <v/>
      </c>
      <c r="GG13">
        <f>INDEX($B$27:$GQ$27,MATCH(188,$B$29:$GQ$29,0))</f>
        <v/>
      </c>
      <c r="GH13">
        <f>INDEX($B$27:$GQ$27,MATCH(189,$B$29:$GQ$29,0))</f>
        <v/>
      </c>
      <c r="GI13">
        <f>INDEX($B$27:$GQ$27,MATCH(190,$B$29:$GQ$29,0))</f>
        <v/>
      </c>
      <c r="GJ13">
        <f>INDEX($B$27:$GQ$27,MATCH(191,$B$29:$GQ$29,0))</f>
        <v/>
      </c>
      <c r="GK13">
        <f>INDEX($B$27:$GQ$27,MATCH(192,$B$29:$GQ$29,0))</f>
        <v/>
      </c>
      <c r="GL13">
        <f>INDEX($B$27:$GQ$27,MATCH(193,$B$29:$GQ$29,0))</f>
        <v/>
      </c>
      <c r="GM13">
        <f>INDEX($B$27:$GQ$27,MATCH(194,$B$29:$GQ$29,0))</f>
        <v/>
      </c>
      <c r="GN13">
        <f>INDEX($B$27:$GQ$27,MATCH(195,$B$29:$GQ$29,0))</f>
        <v/>
      </c>
      <c r="GO13">
        <f>INDEX($B$27:$GQ$27,MATCH(196,$B$29:$GQ$29,0))</f>
        <v/>
      </c>
      <c r="GP13">
        <f>INDEX($B$27:$GQ$27,MATCH(197,$B$29:$GQ$29,0))</f>
        <v/>
      </c>
      <c r="GQ13">
        <f>INDEX($B$27:$GQ$27,MATCH(198,$B$29:$GQ$29,0))</f>
        <v/>
      </c>
      <c r="GR13">
        <f>INDEX($GR$27:$HC$27,MATCH(1,$GR$30:$HC$30,0))</f>
        <v/>
      </c>
      <c r="GS13">
        <f>INDEX($GR$27:$HC$27,MATCH(2,$GR$30:$HC$30,0))</f>
        <v/>
      </c>
      <c r="GT13">
        <f>INDEX($GR$27:$HC$27,MATCH(3,$GR$30:$HC$30,0))</f>
        <v/>
      </c>
      <c r="GU13">
        <f>INDEX($GR$27:$HC$27,MATCH(4,$GR$30:$HC$30,0))</f>
        <v/>
      </c>
      <c r="GV13">
        <f>INDEX($GR$27:$HC$27,MATCH(5,$GR$30:$HC$30,0))</f>
        <v/>
      </c>
      <c r="GW13">
        <f>INDEX($GR$27:$HC$27,MATCH(6,$GR$30:$HC$30,0))</f>
        <v/>
      </c>
      <c r="GX13">
        <f>INDEX($GR$27:$HC$27,MATCH(7,$GR$30:$HC$30,0))</f>
        <v/>
      </c>
      <c r="GY13">
        <f>INDEX($GR$27:$HC$27,MATCH(8,$GR$30:$HC$30,0))</f>
        <v/>
      </c>
      <c r="GZ13">
        <f>INDEX($GR$27:$HC$27,MATCH(9,$GR$30:$HC$30,0))</f>
        <v/>
      </c>
      <c r="HA13">
        <f>INDEX($GR$27:$HC$27,MATCH(10,$GR$30:$HC$30,0))</f>
        <v/>
      </c>
      <c r="HB13">
        <f>INDEX($GR$27:$HC$27,MATCH(11,$GR$30:$HC$30,0))</f>
        <v/>
      </c>
      <c r="HC13">
        <f>INDEX($GR$27:$HC$27,MATCH(12,$GR$30:$HC$30,0))</f>
        <v/>
      </c>
    </row>
    <row r="14">
      <c r="A14" s="2">
        <f>"Part de "&amp;$B$1&amp;" (%)"</f>
        <v/>
      </c>
      <c r="B14" s="3">
        <f>IFERROR(INDEX($B$28:$GQ$28,MATCH(1,$B$29:$GQ$29,0))/SUM($B$28:$GQ$28)*100,0)</f>
        <v/>
      </c>
      <c r="C14" s="3">
        <f>IFERROR(INDEX($B$28:$GQ$28,MATCH(2,$B$29:$GQ$29,0))/SUM($B$28:$GQ$28)*100,0)</f>
        <v/>
      </c>
      <c r="D14" s="3">
        <f>IFERROR(INDEX($B$28:$GQ$28,MATCH(3,$B$29:$GQ$29,0))/SUM($B$28:$GQ$28)*100,0)</f>
        <v/>
      </c>
      <c r="E14" s="3">
        <f>IFERROR(INDEX($B$28:$GQ$28,MATCH(4,$B$29:$GQ$29,0))/SUM($B$28:$GQ$28)*100,0)</f>
        <v/>
      </c>
      <c r="F14" s="3">
        <f>IFERROR(INDEX($B$28:$GQ$28,MATCH(5,$B$29:$GQ$29,0))/SUM($B$28:$GQ$28)*100,0)</f>
        <v/>
      </c>
      <c r="G14" s="3">
        <f>IFERROR(INDEX($B$28:$GQ$28,MATCH(6,$B$29:$GQ$29,0))/SUM($B$28:$GQ$28)*100,0)</f>
        <v/>
      </c>
      <c r="H14" s="3">
        <f>IFERROR(INDEX($B$28:$GQ$28,MATCH(7,$B$29:$GQ$29,0))/SUM($B$28:$GQ$28)*100,0)</f>
        <v/>
      </c>
      <c r="I14" s="3">
        <f>IFERROR(INDEX($B$28:$GQ$28,MATCH(8,$B$29:$GQ$29,0))/SUM($B$28:$GQ$28)*100,0)</f>
        <v/>
      </c>
      <c r="J14" s="3">
        <f>IFERROR(INDEX($B$28:$GQ$28,MATCH(9,$B$29:$GQ$29,0))/SUM($B$28:$GQ$28)*100,0)</f>
        <v/>
      </c>
      <c r="K14" s="3">
        <f>IFERROR(INDEX($B$28:$GQ$28,MATCH(10,$B$29:$GQ$29,0))/SUM($B$28:$GQ$28)*100,0)</f>
        <v/>
      </c>
      <c r="L14" s="3">
        <f>IFERROR(INDEX($B$28:$GQ$28,MATCH(11,$B$29:$GQ$29,0))/SUM($B$28:$GQ$28)*100,0)</f>
        <v/>
      </c>
      <c r="M14" s="3">
        <f>IFERROR(INDEX($B$28:$GQ$28,MATCH(12,$B$29:$GQ$29,0))/SUM($B$28:$GQ$28)*100,0)</f>
        <v/>
      </c>
      <c r="N14" s="3">
        <f>IFERROR(INDEX($B$28:$GQ$28,MATCH(13,$B$29:$GQ$29,0))/SUM($B$28:$GQ$28)*100,0)</f>
        <v/>
      </c>
      <c r="O14" s="3">
        <f>IFERROR(INDEX($B$28:$GQ$28,MATCH(14,$B$29:$GQ$29,0))/SUM($B$28:$GQ$28)*100,0)</f>
        <v/>
      </c>
      <c r="P14" s="3">
        <f>IFERROR(INDEX($B$28:$GQ$28,MATCH(15,$B$29:$GQ$29,0))/SUM($B$28:$GQ$28)*100,0)</f>
        <v/>
      </c>
      <c r="Q14" s="3">
        <f>IFERROR(INDEX($B$28:$GQ$28,MATCH(16,$B$29:$GQ$29,0))/SUM($B$28:$GQ$28)*100,0)</f>
        <v/>
      </c>
      <c r="R14" s="3">
        <f>IFERROR(INDEX($B$28:$GQ$28,MATCH(17,$B$29:$GQ$29,0))/SUM($B$28:$GQ$28)*100,0)</f>
        <v/>
      </c>
      <c r="S14" s="3">
        <f>IFERROR(INDEX($B$28:$GQ$28,MATCH(18,$B$29:$GQ$29,0))/SUM($B$28:$GQ$28)*100,0)</f>
        <v/>
      </c>
      <c r="T14" s="3">
        <f>IFERROR(INDEX($B$28:$GQ$28,MATCH(19,$B$29:$GQ$29,0))/SUM($B$28:$GQ$28)*100,0)</f>
        <v/>
      </c>
      <c r="U14" s="3">
        <f>IFERROR(INDEX($B$28:$GQ$28,MATCH(20,$B$29:$GQ$29,0))/SUM($B$28:$GQ$28)*100,0)</f>
        <v/>
      </c>
      <c r="V14" s="3">
        <f>IFERROR(INDEX($B$28:$GQ$28,MATCH(21,$B$29:$GQ$29,0))/SUM($B$28:$GQ$28)*100,0)</f>
        <v/>
      </c>
      <c r="W14" s="3">
        <f>IFERROR(INDEX($B$28:$GQ$28,MATCH(22,$B$29:$GQ$29,0))/SUM($B$28:$GQ$28)*100,0)</f>
        <v/>
      </c>
      <c r="X14" s="3">
        <f>IFERROR(INDEX($B$28:$GQ$28,MATCH(23,$B$29:$GQ$29,0))/SUM($B$28:$GQ$28)*100,0)</f>
        <v/>
      </c>
      <c r="Y14" s="3">
        <f>IFERROR(INDEX($B$28:$GQ$28,MATCH(24,$B$29:$GQ$29,0))/SUM($B$28:$GQ$28)*100,0)</f>
        <v/>
      </c>
      <c r="Z14" s="3">
        <f>IFERROR(INDEX($B$28:$GQ$28,MATCH(25,$B$29:$GQ$29,0))/SUM($B$28:$GQ$28)*100,0)</f>
        <v/>
      </c>
      <c r="AA14" s="3">
        <f>IFERROR(INDEX($B$28:$GQ$28,MATCH(26,$B$29:$GQ$29,0))/SUM($B$28:$GQ$28)*100,0)</f>
        <v/>
      </c>
      <c r="AB14" s="3">
        <f>IFERROR(INDEX($B$28:$GQ$28,MATCH(27,$B$29:$GQ$29,0))/SUM($B$28:$GQ$28)*100,0)</f>
        <v/>
      </c>
      <c r="AC14" s="3">
        <f>IFERROR(INDEX($B$28:$GQ$28,MATCH(28,$B$29:$GQ$29,0))/SUM($B$28:$GQ$28)*100,0)</f>
        <v/>
      </c>
      <c r="AD14" s="3">
        <f>IFERROR(INDEX($B$28:$GQ$28,MATCH(29,$B$29:$GQ$29,0))/SUM($B$28:$GQ$28)*100,0)</f>
        <v/>
      </c>
      <c r="AE14" s="3">
        <f>IFERROR(INDEX($B$28:$GQ$28,MATCH(30,$B$29:$GQ$29,0))/SUM($B$28:$GQ$28)*100,0)</f>
        <v/>
      </c>
      <c r="AF14" s="3">
        <f>IFERROR(INDEX($B$28:$GQ$28,MATCH(31,$B$29:$GQ$29,0))/SUM($B$28:$GQ$28)*100,0)</f>
        <v/>
      </c>
      <c r="AG14" s="3">
        <f>IFERROR(INDEX($B$28:$GQ$28,MATCH(32,$B$29:$GQ$29,0))/SUM($B$28:$GQ$28)*100,0)</f>
        <v/>
      </c>
      <c r="AH14" s="3">
        <f>IFERROR(INDEX($B$28:$GQ$28,MATCH(33,$B$29:$GQ$29,0))/SUM($B$28:$GQ$28)*100,0)</f>
        <v/>
      </c>
      <c r="AI14" s="3">
        <f>IFERROR(INDEX($B$28:$GQ$28,MATCH(34,$B$29:$GQ$29,0))/SUM($B$28:$GQ$28)*100,0)</f>
        <v/>
      </c>
      <c r="AJ14" s="3">
        <f>IFERROR(INDEX($B$28:$GQ$28,MATCH(35,$B$29:$GQ$29,0))/SUM($B$28:$GQ$28)*100,0)</f>
        <v/>
      </c>
      <c r="AK14" s="3">
        <f>IFERROR(INDEX($B$28:$GQ$28,MATCH(36,$B$29:$GQ$29,0))/SUM($B$28:$GQ$28)*100,0)</f>
        <v/>
      </c>
      <c r="AL14" s="3">
        <f>IFERROR(INDEX($B$28:$GQ$28,MATCH(37,$B$29:$GQ$29,0))/SUM($B$28:$GQ$28)*100,0)</f>
        <v/>
      </c>
      <c r="AM14" s="3">
        <f>IFERROR(INDEX($B$28:$GQ$28,MATCH(38,$B$29:$GQ$29,0))/SUM($B$28:$GQ$28)*100,0)</f>
        <v/>
      </c>
      <c r="AN14" s="3">
        <f>IFERROR(INDEX($B$28:$GQ$28,MATCH(39,$B$29:$GQ$29,0))/SUM($B$28:$GQ$28)*100,0)</f>
        <v/>
      </c>
      <c r="AO14" s="3">
        <f>IFERROR(INDEX($B$28:$GQ$28,MATCH(40,$B$29:$GQ$29,0))/SUM($B$28:$GQ$28)*100,0)</f>
        <v/>
      </c>
      <c r="AP14" s="3">
        <f>IFERROR(INDEX($B$28:$GQ$28,MATCH(41,$B$29:$GQ$29,0))/SUM($B$28:$GQ$28)*100,0)</f>
        <v/>
      </c>
      <c r="AQ14" s="3">
        <f>IFERROR(INDEX($B$28:$GQ$28,MATCH(42,$B$29:$GQ$29,0))/SUM($B$28:$GQ$28)*100,0)</f>
        <v/>
      </c>
      <c r="AR14" s="3">
        <f>IFERROR(INDEX($B$28:$GQ$28,MATCH(43,$B$29:$GQ$29,0))/SUM($B$28:$GQ$28)*100,0)</f>
        <v/>
      </c>
      <c r="AS14" s="3">
        <f>IFERROR(INDEX($B$28:$GQ$28,MATCH(44,$B$29:$GQ$29,0))/SUM($B$28:$GQ$28)*100,0)</f>
        <v/>
      </c>
      <c r="AT14" s="3">
        <f>IFERROR(INDEX($B$28:$GQ$28,MATCH(45,$B$29:$GQ$29,0))/SUM($B$28:$GQ$28)*100,0)</f>
        <v/>
      </c>
      <c r="AU14" s="3">
        <f>IFERROR(INDEX($B$28:$GQ$28,MATCH(46,$B$29:$GQ$29,0))/SUM($B$28:$GQ$28)*100,0)</f>
        <v/>
      </c>
      <c r="AV14" s="3">
        <f>IFERROR(INDEX($B$28:$GQ$28,MATCH(47,$B$29:$GQ$29,0))/SUM($B$28:$GQ$28)*100,0)</f>
        <v/>
      </c>
      <c r="AW14" s="3">
        <f>IFERROR(INDEX($B$28:$GQ$28,MATCH(48,$B$29:$GQ$29,0))/SUM($B$28:$GQ$28)*100,0)</f>
        <v/>
      </c>
      <c r="AX14" s="3">
        <f>IFERROR(INDEX($B$28:$GQ$28,MATCH(49,$B$29:$GQ$29,0))/SUM($B$28:$GQ$28)*100,0)</f>
        <v/>
      </c>
      <c r="AY14" s="3">
        <f>IFERROR(INDEX($B$28:$GQ$28,MATCH(50,$B$29:$GQ$29,0))/SUM($B$28:$GQ$28)*100,0)</f>
        <v/>
      </c>
      <c r="AZ14" s="3">
        <f>IFERROR(INDEX($B$28:$GQ$28,MATCH(51,$B$29:$GQ$29,0))/SUM($B$28:$GQ$28)*100,0)</f>
        <v/>
      </c>
      <c r="BA14" s="3">
        <f>IFERROR(INDEX($B$28:$GQ$28,MATCH(52,$B$29:$GQ$29,0))/SUM($B$28:$GQ$28)*100,0)</f>
        <v/>
      </c>
      <c r="BB14" s="3">
        <f>IFERROR(INDEX($B$28:$GQ$28,MATCH(53,$B$29:$GQ$29,0))/SUM($B$28:$GQ$28)*100,0)</f>
        <v/>
      </c>
      <c r="BC14" s="3">
        <f>IFERROR(INDEX($B$28:$GQ$28,MATCH(54,$B$29:$GQ$29,0))/SUM($B$28:$GQ$28)*100,0)</f>
        <v/>
      </c>
      <c r="BD14" s="3">
        <f>IFERROR(INDEX($B$28:$GQ$28,MATCH(55,$B$29:$GQ$29,0))/SUM($B$28:$GQ$28)*100,0)</f>
        <v/>
      </c>
      <c r="BE14" s="3">
        <f>IFERROR(INDEX($B$28:$GQ$28,MATCH(56,$B$29:$GQ$29,0))/SUM($B$28:$GQ$28)*100,0)</f>
        <v/>
      </c>
      <c r="BF14" s="3">
        <f>IFERROR(INDEX($B$28:$GQ$28,MATCH(57,$B$29:$GQ$29,0))/SUM($B$28:$GQ$28)*100,0)</f>
        <v/>
      </c>
      <c r="BG14" s="3">
        <f>IFERROR(INDEX($B$28:$GQ$28,MATCH(58,$B$29:$GQ$29,0))/SUM($B$28:$GQ$28)*100,0)</f>
        <v/>
      </c>
      <c r="BH14" s="3">
        <f>IFERROR(INDEX($B$28:$GQ$28,MATCH(59,$B$29:$GQ$29,0))/SUM($B$28:$GQ$28)*100,0)</f>
        <v/>
      </c>
      <c r="BI14" s="3">
        <f>IFERROR(INDEX($B$28:$GQ$28,MATCH(60,$B$29:$GQ$29,0))/SUM($B$28:$GQ$28)*100,0)</f>
        <v/>
      </c>
      <c r="BJ14" s="3">
        <f>IFERROR(INDEX($B$28:$GQ$28,MATCH(61,$B$29:$GQ$29,0))/SUM($B$28:$GQ$28)*100,0)</f>
        <v/>
      </c>
      <c r="BK14" s="3">
        <f>IFERROR(INDEX($B$28:$GQ$28,MATCH(62,$B$29:$GQ$29,0))/SUM($B$28:$GQ$28)*100,0)</f>
        <v/>
      </c>
      <c r="BL14" s="3">
        <f>IFERROR(INDEX($B$28:$GQ$28,MATCH(63,$B$29:$GQ$29,0))/SUM($B$28:$GQ$28)*100,0)</f>
        <v/>
      </c>
      <c r="BM14" s="3">
        <f>IFERROR(INDEX($B$28:$GQ$28,MATCH(64,$B$29:$GQ$29,0))/SUM($B$28:$GQ$28)*100,0)</f>
        <v/>
      </c>
      <c r="BN14" s="3">
        <f>IFERROR(INDEX($B$28:$GQ$28,MATCH(65,$B$29:$GQ$29,0))/SUM($B$28:$GQ$28)*100,0)</f>
        <v/>
      </c>
      <c r="BO14" s="3">
        <f>IFERROR(INDEX($B$28:$GQ$28,MATCH(66,$B$29:$GQ$29,0))/SUM($B$28:$GQ$28)*100,0)</f>
        <v/>
      </c>
      <c r="BP14" s="3">
        <f>IFERROR(INDEX($B$28:$GQ$28,MATCH(67,$B$29:$GQ$29,0))/SUM($B$28:$GQ$28)*100,0)</f>
        <v/>
      </c>
      <c r="BQ14" s="3">
        <f>IFERROR(INDEX($B$28:$GQ$28,MATCH(68,$B$29:$GQ$29,0))/SUM($B$28:$GQ$28)*100,0)</f>
        <v/>
      </c>
      <c r="BR14" s="3">
        <f>IFERROR(INDEX($B$28:$GQ$28,MATCH(69,$B$29:$GQ$29,0))/SUM($B$28:$GQ$28)*100,0)</f>
        <v/>
      </c>
      <c r="BS14" s="3">
        <f>IFERROR(INDEX($B$28:$GQ$28,MATCH(70,$B$29:$GQ$29,0))/SUM($B$28:$GQ$28)*100,0)</f>
        <v/>
      </c>
      <c r="BT14" s="3">
        <f>IFERROR(INDEX($B$28:$GQ$28,MATCH(71,$B$29:$GQ$29,0))/SUM($B$28:$GQ$28)*100,0)</f>
        <v/>
      </c>
      <c r="BU14" s="3">
        <f>IFERROR(INDEX($B$28:$GQ$28,MATCH(72,$B$29:$GQ$29,0))/SUM($B$28:$GQ$28)*100,0)</f>
        <v/>
      </c>
      <c r="BV14" s="3">
        <f>IFERROR(INDEX($B$28:$GQ$28,MATCH(73,$B$29:$GQ$29,0))/SUM($B$28:$GQ$28)*100,0)</f>
        <v/>
      </c>
      <c r="BW14" s="3">
        <f>IFERROR(INDEX($B$28:$GQ$28,MATCH(74,$B$29:$GQ$29,0))/SUM($B$28:$GQ$28)*100,0)</f>
        <v/>
      </c>
      <c r="BX14" s="3">
        <f>IFERROR(INDEX($B$28:$GQ$28,MATCH(75,$B$29:$GQ$29,0))/SUM($B$28:$GQ$28)*100,0)</f>
        <v/>
      </c>
      <c r="BY14" s="3">
        <f>IFERROR(INDEX($B$28:$GQ$28,MATCH(76,$B$29:$GQ$29,0))/SUM($B$28:$GQ$28)*100,0)</f>
        <v/>
      </c>
      <c r="BZ14" s="3">
        <f>IFERROR(INDEX($B$28:$GQ$28,MATCH(77,$B$29:$GQ$29,0))/SUM($B$28:$GQ$28)*100,0)</f>
        <v/>
      </c>
      <c r="CA14" s="3">
        <f>IFERROR(INDEX($B$28:$GQ$28,MATCH(78,$B$29:$GQ$29,0))/SUM($B$28:$GQ$28)*100,0)</f>
        <v/>
      </c>
      <c r="CB14" s="3">
        <f>IFERROR(INDEX($B$28:$GQ$28,MATCH(79,$B$29:$GQ$29,0))/SUM($B$28:$GQ$28)*100,0)</f>
        <v/>
      </c>
      <c r="CC14" s="3">
        <f>IFERROR(INDEX($B$28:$GQ$28,MATCH(80,$B$29:$GQ$29,0))/SUM($B$28:$GQ$28)*100,0)</f>
        <v/>
      </c>
      <c r="CD14" s="3">
        <f>IFERROR(INDEX($B$28:$GQ$28,MATCH(81,$B$29:$GQ$29,0))/SUM($B$28:$GQ$28)*100,0)</f>
        <v/>
      </c>
      <c r="CE14" s="3">
        <f>IFERROR(INDEX($B$28:$GQ$28,MATCH(82,$B$29:$GQ$29,0))/SUM($B$28:$GQ$28)*100,0)</f>
        <v/>
      </c>
      <c r="CF14" s="3">
        <f>IFERROR(INDEX($B$28:$GQ$28,MATCH(83,$B$29:$GQ$29,0))/SUM($B$28:$GQ$28)*100,0)</f>
        <v/>
      </c>
      <c r="CG14" s="3">
        <f>IFERROR(INDEX($B$28:$GQ$28,MATCH(84,$B$29:$GQ$29,0))/SUM($B$28:$GQ$28)*100,0)</f>
        <v/>
      </c>
      <c r="CH14" s="3">
        <f>IFERROR(INDEX($B$28:$GQ$28,MATCH(85,$B$29:$GQ$29,0))/SUM($B$28:$GQ$28)*100,0)</f>
        <v/>
      </c>
      <c r="CI14" s="3">
        <f>IFERROR(INDEX($B$28:$GQ$28,MATCH(86,$B$29:$GQ$29,0))/SUM($B$28:$GQ$28)*100,0)</f>
        <v/>
      </c>
      <c r="CJ14" s="3">
        <f>IFERROR(INDEX($B$28:$GQ$28,MATCH(87,$B$29:$GQ$29,0))/SUM($B$28:$GQ$28)*100,0)</f>
        <v/>
      </c>
      <c r="CK14" s="3">
        <f>IFERROR(INDEX($B$28:$GQ$28,MATCH(88,$B$29:$GQ$29,0))/SUM($B$28:$GQ$28)*100,0)</f>
        <v/>
      </c>
      <c r="CL14" s="3">
        <f>IFERROR(INDEX($B$28:$GQ$28,MATCH(89,$B$29:$GQ$29,0))/SUM($B$28:$GQ$28)*100,0)</f>
        <v/>
      </c>
      <c r="CM14" s="3">
        <f>IFERROR(INDEX($B$28:$GQ$28,MATCH(90,$B$29:$GQ$29,0))/SUM($B$28:$GQ$28)*100,0)</f>
        <v/>
      </c>
      <c r="CN14" s="3">
        <f>IFERROR(INDEX($B$28:$GQ$28,MATCH(91,$B$29:$GQ$29,0))/SUM($B$28:$GQ$28)*100,0)</f>
        <v/>
      </c>
      <c r="CO14" s="3">
        <f>IFERROR(INDEX($B$28:$GQ$28,MATCH(92,$B$29:$GQ$29,0))/SUM($B$28:$GQ$28)*100,0)</f>
        <v/>
      </c>
      <c r="CP14" s="3">
        <f>IFERROR(INDEX($B$28:$GQ$28,MATCH(93,$B$29:$GQ$29,0))/SUM($B$28:$GQ$28)*100,0)</f>
        <v/>
      </c>
      <c r="CQ14" s="3">
        <f>IFERROR(INDEX($B$28:$GQ$28,MATCH(94,$B$29:$GQ$29,0))/SUM($B$28:$GQ$28)*100,0)</f>
        <v/>
      </c>
      <c r="CR14" s="3">
        <f>IFERROR(INDEX($B$28:$GQ$28,MATCH(95,$B$29:$GQ$29,0))/SUM($B$28:$GQ$28)*100,0)</f>
        <v/>
      </c>
      <c r="CS14" s="3">
        <f>IFERROR(INDEX($B$28:$GQ$28,MATCH(96,$B$29:$GQ$29,0))/SUM($B$28:$GQ$28)*100,0)</f>
        <v/>
      </c>
      <c r="CT14" s="3">
        <f>IFERROR(INDEX($B$28:$GQ$28,MATCH(97,$B$29:$GQ$29,0))/SUM($B$28:$GQ$28)*100,0)</f>
        <v/>
      </c>
      <c r="CU14" s="3">
        <f>IFERROR(INDEX($B$28:$GQ$28,MATCH(98,$B$29:$GQ$29,0))/SUM($B$28:$GQ$28)*100,0)</f>
        <v/>
      </c>
      <c r="CV14" s="3">
        <f>IFERROR(INDEX($B$28:$GQ$28,MATCH(99,$B$29:$GQ$29,0))/SUM($B$28:$GQ$28)*100,0)</f>
        <v/>
      </c>
      <c r="CW14" s="3">
        <f>IFERROR(INDEX($B$28:$GQ$28,MATCH(100,$B$29:$GQ$29,0))/SUM($B$28:$GQ$28)*100,0)</f>
        <v/>
      </c>
      <c r="CX14" s="3">
        <f>IFERROR(INDEX($B$28:$GQ$28,MATCH(101,$B$29:$GQ$29,0))/SUM($B$28:$GQ$28)*100,0)</f>
        <v/>
      </c>
      <c r="CY14" s="3">
        <f>IFERROR(INDEX($B$28:$GQ$28,MATCH(102,$B$29:$GQ$29,0))/SUM($B$28:$GQ$28)*100,0)</f>
        <v/>
      </c>
      <c r="CZ14" s="3">
        <f>IFERROR(INDEX($B$28:$GQ$28,MATCH(103,$B$29:$GQ$29,0))/SUM($B$28:$GQ$28)*100,0)</f>
        <v/>
      </c>
      <c r="DA14" s="3">
        <f>IFERROR(INDEX($B$28:$GQ$28,MATCH(104,$B$29:$GQ$29,0))/SUM($B$28:$GQ$28)*100,0)</f>
        <v/>
      </c>
      <c r="DB14" s="3">
        <f>IFERROR(INDEX($B$28:$GQ$28,MATCH(105,$B$29:$GQ$29,0))/SUM($B$28:$GQ$28)*100,0)</f>
        <v/>
      </c>
      <c r="DC14" s="3">
        <f>IFERROR(INDEX($B$28:$GQ$28,MATCH(106,$B$29:$GQ$29,0))/SUM($B$28:$GQ$28)*100,0)</f>
        <v/>
      </c>
      <c r="DD14" s="3">
        <f>IFERROR(INDEX($B$28:$GQ$28,MATCH(107,$B$29:$GQ$29,0))/SUM($B$28:$GQ$28)*100,0)</f>
        <v/>
      </c>
      <c r="DE14" s="3">
        <f>IFERROR(INDEX($B$28:$GQ$28,MATCH(108,$B$29:$GQ$29,0))/SUM($B$28:$GQ$28)*100,0)</f>
        <v/>
      </c>
      <c r="DF14" s="3">
        <f>IFERROR(INDEX($B$28:$GQ$28,MATCH(109,$B$29:$GQ$29,0))/SUM($B$28:$GQ$28)*100,0)</f>
        <v/>
      </c>
      <c r="DG14" s="3">
        <f>IFERROR(INDEX($B$28:$GQ$28,MATCH(110,$B$29:$GQ$29,0))/SUM($B$28:$GQ$28)*100,0)</f>
        <v/>
      </c>
      <c r="DH14" s="3">
        <f>IFERROR(INDEX($B$28:$GQ$28,MATCH(111,$B$29:$GQ$29,0))/SUM($B$28:$GQ$28)*100,0)</f>
        <v/>
      </c>
      <c r="DI14" s="3">
        <f>IFERROR(INDEX($B$28:$GQ$28,MATCH(112,$B$29:$GQ$29,0))/SUM($B$28:$GQ$28)*100,0)</f>
        <v/>
      </c>
      <c r="DJ14" s="3">
        <f>IFERROR(INDEX($B$28:$GQ$28,MATCH(113,$B$29:$GQ$29,0))/SUM($B$28:$GQ$28)*100,0)</f>
        <v/>
      </c>
      <c r="DK14" s="3">
        <f>IFERROR(INDEX($B$28:$GQ$28,MATCH(114,$B$29:$GQ$29,0))/SUM($B$28:$GQ$28)*100,0)</f>
        <v/>
      </c>
      <c r="DL14" s="3">
        <f>IFERROR(INDEX($B$28:$GQ$28,MATCH(115,$B$29:$GQ$29,0))/SUM($B$28:$GQ$28)*100,0)</f>
        <v/>
      </c>
      <c r="DM14" s="3">
        <f>IFERROR(INDEX($B$28:$GQ$28,MATCH(116,$B$29:$GQ$29,0))/SUM($B$28:$GQ$28)*100,0)</f>
        <v/>
      </c>
      <c r="DN14" s="3">
        <f>IFERROR(INDEX($B$28:$GQ$28,MATCH(117,$B$29:$GQ$29,0))/SUM($B$28:$GQ$28)*100,0)</f>
        <v/>
      </c>
      <c r="DO14" s="3">
        <f>IFERROR(INDEX($B$28:$GQ$28,MATCH(118,$B$29:$GQ$29,0))/SUM($B$28:$GQ$28)*100,0)</f>
        <v/>
      </c>
      <c r="DP14" s="3">
        <f>IFERROR(INDEX($B$28:$GQ$28,MATCH(119,$B$29:$GQ$29,0))/SUM($B$28:$GQ$28)*100,0)</f>
        <v/>
      </c>
      <c r="DQ14" s="3">
        <f>IFERROR(INDEX($B$28:$GQ$28,MATCH(120,$B$29:$GQ$29,0))/SUM($B$28:$GQ$28)*100,0)</f>
        <v/>
      </c>
      <c r="DR14" s="3">
        <f>IFERROR(INDEX($B$28:$GQ$28,MATCH(121,$B$29:$GQ$29,0))/SUM($B$28:$GQ$28)*100,0)</f>
        <v/>
      </c>
      <c r="DS14" s="3">
        <f>IFERROR(INDEX($B$28:$GQ$28,MATCH(122,$B$29:$GQ$29,0))/SUM($B$28:$GQ$28)*100,0)</f>
        <v/>
      </c>
      <c r="DT14" s="3">
        <f>IFERROR(INDEX($B$28:$GQ$28,MATCH(123,$B$29:$GQ$29,0))/SUM($B$28:$GQ$28)*100,0)</f>
        <v/>
      </c>
      <c r="DU14" s="3">
        <f>IFERROR(INDEX($B$28:$GQ$28,MATCH(124,$B$29:$GQ$29,0))/SUM($B$28:$GQ$28)*100,0)</f>
        <v/>
      </c>
      <c r="DV14" s="3">
        <f>IFERROR(INDEX($B$28:$GQ$28,MATCH(125,$B$29:$GQ$29,0))/SUM($B$28:$GQ$28)*100,0)</f>
        <v/>
      </c>
      <c r="DW14" s="3">
        <f>IFERROR(INDEX($B$28:$GQ$28,MATCH(126,$B$29:$GQ$29,0))/SUM($B$28:$GQ$28)*100,0)</f>
        <v/>
      </c>
      <c r="DX14" s="3">
        <f>IFERROR(INDEX($B$28:$GQ$28,MATCH(127,$B$29:$GQ$29,0))/SUM($B$28:$GQ$28)*100,0)</f>
        <v/>
      </c>
      <c r="DY14" s="3">
        <f>IFERROR(INDEX($B$28:$GQ$28,MATCH(128,$B$29:$GQ$29,0))/SUM($B$28:$GQ$28)*100,0)</f>
        <v/>
      </c>
      <c r="DZ14" s="3">
        <f>IFERROR(INDEX($B$28:$GQ$28,MATCH(129,$B$29:$GQ$29,0))/SUM($B$28:$GQ$28)*100,0)</f>
        <v/>
      </c>
      <c r="EA14" s="3">
        <f>IFERROR(INDEX($B$28:$GQ$28,MATCH(130,$B$29:$GQ$29,0))/SUM($B$28:$GQ$28)*100,0)</f>
        <v/>
      </c>
      <c r="EB14" s="3">
        <f>IFERROR(INDEX($B$28:$GQ$28,MATCH(131,$B$29:$GQ$29,0))/SUM($B$28:$GQ$28)*100,0)</f>
        <v/>
      </c>
      <c r="EC14" s="3">
        <f>IFERROR(INDEX($B$28:$GQ$28,MATCH(132,$B$29:$GQ$29,0))/SUM($B$28:$GQ$28)*100,0)</f>
        <v/>
      </c>
      <c r="ED14" s="3">
        <f>IFERROR(INDEX($B$28:$GQ$28,MATCH(133,$B$29:$GQ$29,0))/SUM($B$28:$GQ$28)*100,0)</f>
        <v/>
      </c>
      <c r="EE14" s="3">
        <f>IFERROR(INDEX($B$28:$GQ$28,MATCH(134,$B$29:$GQ$29,0))/SUM($B$28:$GQ$28)*100,0)</f>
        <v/>
      </c>
      <c r="EF14" s="3">
        <f>IFERROR(INDEX($B$28:$GQ$28,MATCH(135,$B$29:$GQ$29,0))/SUM($B$28:$GQ$28)*100,0)</f>
        <v/>
      </c>
      <c r="EG14" s="3">
        <f>IFERROR(INDEX($B$28:$GQ$28,MATCH(136,$B$29:$GQ$29,0))/SUM($B$28:$GQ$28)*100,0)</f>
        <v/>
      </c>
      <c r="EH14" s="3">
        <f>IFERROR(INDEX($B$28:$GQ$28,MATCH(137,$B$29:$GQ$29,0))/SUM($B$28:$GQ$28)*100,0)</f>
        <v/>
      </c>
      <c r="EI14" s="3">
        <f>IFERROR(INDEX($B$28:$GQ$28,MATCH(138,$B$29:$GQ$29,0))/SUM($B$28:$GQ$28)*100,0)</f>
        <v/>
      </c>
      <c r="EJ14" s="3">
        <f>IFERROR(INDEX($B$28:$GQ$28,MATCH(139,$B$29:$GQ$29,0))/SUM($B$28:$GQ$28)*100,0)</f>
        <v/>
      </c>
      <c r="EK14" s="3">
        <f>IFERROR(INDEX($B$28:$GQ$28,MATCH(140,$B$29:$GQ$29,0))/SUM($B$28:$GQ$28)*100,0)</f>
        <v/>
      </c>
      <c r="EL14" s="3">
        <f>IFERROR(INDEX($B$28:$GQ$28,MATCH(141,$B$29:$GQ$29,0))/SUM($B$28:$GQ$28)*100,0)</f>
        <v/>
      </c>
      <c r="EM14" s="3">
        <f>IFERROR(INDEX($B$28:$GQ$28,MATCH(142,$B$29:$GQ$29,0))/SUM($B$28:$GQ$28)*100,0)</f>
        <v/>
      </c>
      <c r="EN14" s="3">
        <f>IFERROR(INDEX($B$28:$GQ$28,MATCH(143,$B$29:$GQ$29,0))/SUM($B$28:$GQ$28)*100,0)</f>
        <v/>
      </c>
      <c r="EO14" s="3">
        <f>IFERROR(INDEX($B$28:$GQ$28,MATCH(144,$B$29:$GQ$29,0))/SUM($B$28:$GQ$28)*100,0)</f>
        <v/>
      </c>
      <c r="EP14" s="3">
        <f>IFERROR(INDEX($B$28:$GQ$28,MATCH(145,$B$29:$GQ$29,0))/SUM($B$28:$GQ$28)*100,0)</f>
        <v/>
      </c>
      <c r="EQ14" s="3">
        <f>IFERROR(INDEX($B$28:$GQ$28,MATCH(146,$B$29:$GQ$29,0))/SUM($B$28:$GQ$28)*100,0)</f>
        <v/>
      </c>
      <c r="ER14" s="3">
        <f>IFERROR(INDEX($B$28:$GQ$28,MATCH(147,$B$29:$GQ$29,0))/SUM($B$28:$GQ$28)*100,0)</f>
        <v/>
      </c>
      <c r="ES14" s="3">
        <f>IFERROR(INDEX($B$28:$GQ$28,MATCH(148,$B$29:$GQ$29,0))/SUM($B$28:$GQ$28)*100,0)</f>
        <v/>
      </c>
      <c r="ET14" s="3">
        <f>IFERROR(INDEX($B$28:$GQ$28,MATCH(149,$B$29:$GQ$29,0))/SUM($B$28:$GQ$28)*100,0)</f>
        <v/>
      </c>
      <c r="EU14" s="3">
        <f>IFERROR(INDEX($B$28:$GQ$28,MATCH(150,$B$29:$GQ$29,0))/SUM($B$28:$GQ$28)*100,0)</f>
        <v/>
      </c>
      <c r="EV14" s="3">
        <f>IFERROR(INDEX($B$28:$GQ$28,MATCH(151,$B$29:$GQ$29,0))/SUM($B$28:$GQ$28)*100,0)</f>
        <v/>
      </c>
      <c r="EW14" s="3">
        <f>IFERROR(INDEX($B$28:$GQ$28,MATCH(152,$B$29:$GQ$29,0))/SUM($B$28:$GQ$28)*100,0)</f>
        <v/>
      </c>
      <c r="EX14" s="3">
        <f>IFERROR(INDEX($B$28:$GQ$28,MATCH(153,$B$29:$GQ$29,0))/SUM($B$28:$GQ$28)*100,0)</f>
        <v/>
      </c>
      <c r="EY14" s="3">
        <f>IFERROR(INDEX($B$28:$GQ$28,MATCH(154,$B$29:$GQ$29,0))/SUM($B$28:$GQ$28)*100,0)</f>
        <v/>
      </c>
      <c r="EZ14" s="3">
        <f>IFERROR(INDEX($B$28:$GQ$28,MATCH(155,$B$29:$GQ$29,0))/SUM($B$28:$GQ$28)*100,0)</f>
        <v/>
      </c>
      <c r="FA14" s="3">
        <f>IFERROR(INDEX($B$28:$GQ$28,MATCH(156,$B$29:$GQ$29,0))/SUM($B$28:$GQ$28)*100,0)</f>
        <v/>
      </c>
      <c r="FB14" s="3">
        <f>IFERROR(INDEX($B$28:$GQ$28,MATCH(157,$B$29:$GQ$29,0))/SUM($B$28:$GQ$28)*100,0)</f>
        <v/>
      </c>
      <c r="FC14" s="3">
        <f>IFERROR(INDEX($B$28:$GQ$28,MATCH(158,$B$29:$GQ$29,0))/SUM($B$28:$GQ$28)*100,0)</f>
        <v/>
      </c>
      <c r="FD14" s="3">
        <f>IFERROR(INDEX($B$28:$GQ$28,MATCH(159,$B$29:$GQ$29,0))/SUM($B$28:$GQ$28)*100,0)</f>
        <v/>
      </c>
      <c r="FE14" s="3">
        <f>IFERROR(INDEX($B$28:$GQ$28,MATCH(160,$B$29:$GQ$29,0))/SUM($B$28:$GQ$28)*100,0)</f>
        <v/>
      </c>
      <c r="FF14" s="3">
        <f>IFERROR(INDEX($B$28:$GQ$28,MATCH(161,$B$29:$GQ$29,0))/SUM($B$28:$GQ$28)*100,0)</f>
        <v/>
      </c>
      <c r="FG14" s="3">
        <f>IFERROR(INDEX($B$28:$GQ$28,MATCH(162,$B$29:$GQ$29,0))/SUM($B$28:$GQ$28)*100,0)</f>
        <v/>
      </c>
      <c r="FH14" s="3">
        <f>IFERROR(INDEX($B$28:$GQ$28,MATCH(163,$B$29:$GQ$29,0))/SUM($B$28:$GQ$28)*100,0)</f>
        <v/>
      </c>
      <c r="FI14" s="3">
        <f>IFERROR(INDEX($B$28:$GQ$28,MATCH(164,$B$29:$GQ$29,0))/SUM($B$28:$GQ$28)*100,0)</f>
        <v/>
      </c>
      <c r="FJ14" s="3">
        <f>IFERROR(INDEX($B$28:$GQ$28,MATCH(165,$B$29:$GQ$29,0))/SUM($B$28:$GQ$28)*100,0)</f>
        <v/>
      </c>
      <c r="FK14" s="3">
        <f>IFERROR(INDEX($B$28:$GQ$28,MATCH(166,$B$29:$GQ$29,0))/SUM($B$28:$GQ$28)*100,0)</f>
        <v/>
      </c>
      <c r="FL14" s="3">
        <f>IFERROR(INDEX($B$28:$GQ$28,MATCH(167,$B$29:$GQ$29,0))/SUM($B$28:$GQ$28)*100,0)</f>
        <v/>
      </c>
      <c r="FM14" s="3">
        <f>IFERROR(INDEX($B$28:$GQ$28,MATCH(168,$B$29:$GQ$29,0))/SUM($B$28:$GQ$28)*100,0)</f>
        <v/>
      </c>
      <c r="FN14" s="3">
        <f>IFERROR(INDEX($B$28:$GQ$28,MATCH(169,$B$29:$GQ$29,0))/SUM($B$28:$GQ$28)*100,0)</f>
        <v/>
      </c>
      <c r="FO14" s="3">
        <f>IFERROR(INDEX($B$28:$GQ$28,MATCH(170,$B$29:$GQ$29,0))/SUM($B$28:$GQ$28)*100,0)</f>
        <v/>
      </c>
      <c r="FP14" s="3">
        <f>IFERROR(INDEX($B$28:$GQ$28,MATCH(171,$B$29:$GQ$29,0))/SUM($B$28:$GQ$28)*100,0)</f>
        <v/>
      </c>
      <c r="FQ14" s="3">
        <f>IFERROR(INDEX($B$28:$GQ$28,MATCH(172,$B$29:$GQ$29,0))/SUM($B$28:$GQ$28)*100,0)</f>
        <v/>
      </c>
      <c r="FR14" s="3">
        <f>IFERROR(INDEX($B$28:$GQ$28,MATCH(173,$B$29:$GQ$29,0))/SUM($B$28:$GQ$28)*100,0)</f>
        <v/>
      </c>
      <c r="FS14" s="3">
        <f>IFERROR(INDEX($B$28:$GQ$28,MATCH(174,$B$29:$GQ$29,0))/SUM($B$28:$GQ$28)*100,0)</f>
        <v/>
      </c>
      <c r="FT14" s="3">
        <f>IFERROR(INDEX($B$28:$GQ$28,MATCH(175,$B$29:$GQ$29,0))/SUM($B$28:$GQ$28)*100,0)</f>
        <v/>
      </c>
      <c r="FU14" s="3">
        <f>IFERROR(INDEX($B$28:$GQ$28,MATCH(176,$B$29:$GQ$29,0))/SUM($B$28:$GQ$28)*100,0)</f>
        <v/>
      </c>
      <c r="FV14" s="3">
        <f>IFERROR(INDEX($B$28:$GQ$28,MATCH(177,$B$29:$GQ$29,0))/SUM($B$28:$GQ$28)*100,0)</f>
        <v/>
      </c>
      <c r="FW14" s="3">
        <f>IFERROR(INDEX($B$28:$GQ$28,MATCH(178,$B$29:$GQ$29,0))/SUM($B$28:$GQ$28)*100,0)</f>
        <v/>
      </c>
      <c r="FX14" s="3">
        <f>IFERROR(INDEX($B$28:$GQ$28,MATCH(179,$B$29:$GQ$29,0))/SUM($B$28:$GQ$28)*100,0)</f>
        <v/>
      </c>
      <c r="FY14" s="3">
        <f>IFERROR(INDEX($B$28:$GQ$28,MATCH(180,$B$29:$GQ$29,0))/SUM($B$28:$GQ$28)*100,0)</f>
        <v/>
      </c>
      <c r="FZ14" s="3">
        <f>IFERROR(INDEX($B$28:$GQ$28,MATCH(181,$B$29:$GQ$29,0))/SUM($B$28:$GQ$28)*100,0)</f>
        <v/>
      </c>
      <c r="GA14" s="3">
        <f>IFERROR(INDEX($B$28:$GQ$28,MATCH(182,$B$29:$GQ$29,0))/SUM($B$28:$GQ$28)*100,0)</f>
        <v/>
      </c>
      <c r="GB14" s="3">
        <f>IFERROR(INDEX($B$28:$GQ$28,MATCH(183,$B$29:$GQ$29,0))/SUM($B$28:$GQ$28)*100,0)</f>
        <v/>
      </c>
      <c r="GC14" s="3">
        <f>IFERROR(INDEX($B$28:$GQ$28,MATCH(184,$B$29:$GQ$29,0))/SUM($B$28:$GQ$28)*100,0)</f>
        <v/>
      </c>
      <c r="GD14" s="3">
        <f>IFERROR(INDEX($B$28:$GQ$28,MATCH(185,$B$29:$GQ$29,0))/SUM($B$28:$GQ$28)*100,0)</f>
        <v/>
      </c>
      <c r="GE14" s="3">
        <f>IFERROR(INDEX($B$28:$GQ$28,MATCH(186,$B$29:$GQ$29,0))/SUM($B$28:$GQ$28)*100,0)</f>
        <v/>
      </c>
      <c r="GF14" s="3">
        <f>IFERROR(INDEX($B$28:$GQ$28,MATCH(187,$B$29:$GQ$29,0))/SUM($B$28:$GQ$28)*100,0)</f>
        <v/>
      </c>
      <c r="GG14" s="3">
        <f>IFERROR(INDEX($B$28:$GQ$28,MATCH(188,$B$29:$GQ$29,0))/SUM($B$28:$GQ$28)*100,0)</f>
        <v/>
      </c>
      <c r="GH14" s="3">
        <f>IFERROR(INDEX($B$28:$GQ$28,MATCH(189,$B$29:$GQ$29,0))/SUM($B$28:$GQ$28)*100,0)</f>
        <v/>
      </c>
      <c r="GI14" s="3">
        <f>IFERROR(INDEX($B$28:$GQ$28,MATCH(190,$B$29:$GQ$29,0))/SUM($B$28:$GQ$28)*100,0)</f>
        <v/>
      </c>
      <c r="GJ14" s="3">
        <f>IFERROR(INDEX($B$28:$GQ$28,MATCH(191,$B$29:$GQ$29,0))/SUM($B$28:$GQ$28)*100,0)</f>
        <v/>
      </c>
      <c r="GK14" s="3">
        <f>IFERROR(INDEX($B$28:$GQ$28,MATCH(192,$B$29:$GQ$29,0))/SUM($B$28:$GQ$28)*100,0)</f>
        <v/>
      </c>
      <c r="GL14" s="3">
        <f>IFERROR(INDEX($B$28:$GQ$28,MATCH(193,$B$29:$GQ$29,0))/SUM($B$28:$GQ$28)*100,0)</f>
        <v/>
      </c>
      <c r="GM14" s="3">
        <f>IFERROR(INDEX($B$28:$GQ$28,MATCH(194,$B$29:$GQ$29,0))/SUM($B$28:$GQ$28)*100,0)</f>
        <v/>
      </c>
      <c r="GN14" s="3">
        <f>IFERROR(INDEX($B$28:$GQ$28,MATCH(195,$B$29:$GQ$29,0))/SUM($B$28:$GQ$28)*100,0)</f>
        <v/>
      </c>
      <c r="GO14" s="3">
        <f>IFERROR(INDEX($B$28:$GQ$28,MATCH(196,$B$29:$GQ$29,0))/SUM($B$28:$GQ$28)*100,0)</f>
        <v/>
      </c>
      <c r="GP14" s="3">
        <f>IFERROR(INDEX($B$28:$GQ$28,MATCH(197,$B$29:$GQ$29,0))/SUM($B$28:$GQ$28)*100,0)</f>
        <v/>
      </c>
      <c r="GQ14" s="3">
        <f>IFERROR(INDEX($B$28:$GQ$28,MATCH(198,$B$29:$GQ$29,0))/SUM($B$28:$GQ$28)*100,0)</f>
        <v/>
      </c>
      <c r="GR14" s="3">
        <f>IFERROR(INDEX($GR$28:$HC$28,MATCH(1,$GR$30:$HC$30,0))/SUM($GR$28:$HC$28)*100,0)</f>
        <v/>
      </c>
      <c r="GS14" s="3">
        <f>IFERROR(INDEX($GR$28:$HC$28,MATCH(2,$GR$30:$HC$30,0))/SUM($GR$28:$HC$28)*100,0)</f>
        <v/>
      </c>
      <c r="GT14" s="3">
        <f>IFERROR(INDEX($GR$28:$HC$28,MATCH(3,$GR$30:$HC$30,0))/SUM($GR$28:$HC$28)*100,0)</f>
        <v/>
      </c>
      <c r="GU14" s="3">
        <f>IFERROR(INDEX($GR$28:$HC$28,MATCH(4,$GR$30:$HC$30,0))/SUM($GR$28:$HC$28)*100,0)</f>
        <v/>
      </c>
      <c r="GV14" s="3">
        <f>IFERROR(INDEX($GR$28:$HC$28,MATCH(5,$GR$30:$HC$30,0))/SUM($GR$28:$HC$28)*100,0)</f>
        <v/>
      </c>
      <c r="GW14" s="3">
        <f>IFERROR(INDEX($GR$28:$HC$28,MATCH(6,$GR$30:$HC$30,0))/SUM($GR$28:$HC$28)*100,0)</f>
        <v/>
      </c>
      <c r="GX14" s="3">
        <f>IFERROR(INDEX($GR$28:$HC$28,MATCH(7,$GR$30:$HC$30,0))/SUM($GR$28:$HC$28)*100,0)</f>
        <v/>
      </c>
      <c r="GY14" s="3">
        <f>IFERROR(INDEX($GR$28:$HC$28,MATCH(8,$GR$30:$HC$30,0))/SUM($GR$28:$HC$28)*100,0)</f>
        <v/>
      </c>
      <c r="GZ14" s="3">
        <f>IFERROR(INDEX($GR$28:$HC$28,MATCH(9,$GR$30:$HC$30,0))/SUM($GR$28:$HC$28)*100,0)</f>
        <v/>
      </c>
      <c r="HA14" s="3">
        <f>IFERROR(INDEX($GR$28:$HC$28,MATCH(10,$GR$30:$HC$30,0))/SUM($GR$28:$HC$28)*100,0)</f>
        <v/>
      </c>
      <c r="HB14" s="3">
        <f>IFERROR(INDEX($GR$28:$HC$28,MATCH(11,$GR$30:$HC$30,0))/SUM($GR$28:$HC$28)*100,0)</f>
        <v/>
      </c>
      <c r="HC14" s="3">
        <f>IFERROR(INDEX($GR$28:$HC$28,MATCH(12,$GR$30:$HC$30,0))/SUM($GR$28:$HC$28)*100,0)</f>
        <v/>
      </c>
    </row>
    <row r="16">
      <c r="A16" s="1" t="inlineStr">
        <is>
          <t>Données sources (ordre du bridge, non triées)</t>
        </is>
      </c>
    </row>
    <row r="17">
      <c r="A17" s="1" t="inlineStr">
        <is>
          <t>N surplus</t>
        </is>
      </c>
      <c r="B17" s="1" t="inlineStr">
        <is>
          <t>Paddy rice</t>
        </is>
      </c>
      <c r="C17" s="1" t="inlineStr">
        <is>
          <t>Wheat</t>
        </is>
      </c>
      <c r="D17" s="1" t="inlineStr">
        <is>
          <t>Cereal grains nec</t>
        </is>
      </c>
      <c r="E17" s="1" t="inlineStr">
        <is>
          <t>Vegetables, fruit, nuts</t>
        </is>
      </c>
      <c r="F17" s="1" t="inlineStr">
        <is>
          <t>Oil seeds</t>
        </is>
      </c>
      <c r="G17" s="1" t="inlineStr">
        <is>
          <t>Sugar cane, sugar beet</t>
        </is>
      </c>
      <c r="H17" s="1" t="inlineStr">
        <is>
          <t>Plant-based fibers</t>
        </is>
      </c>
      <c r="I17" s="1" t="inlineStr">
        <is>
          <t>Crops nec</t>
        </is>
      </c>
      <c r="J17" s="1" t="inlineStr">
        <is>
          <t>Cattle</t>
        </is>
      </c>
      <c r="K17" s="1" t="inlineStr">
        <is>
          <t>Pigs</t>
        </is>
      </c>
      <c r="L17" s="1" t="inlineStr">
        <is>
          <t>Poultry</t>
        </is>
      </c>
      <c r="M17" s="1" t="inlineStr">
        <is>
          <t>Meat animals nec</t>
        </is>
      </c>
      <c r="N17" s="1" t="inlineStr">
        <is>
          <t>Animal products nec</t>
        </is>
      </c>
      <c r="O17" s="1" t="inlineStr">
        <is>
          <t>Raw milk</t>
        </is>
      </c>
      <c r="P17" s="1" t="inlineStr">
        <is>
          <t>Wool, silk-worm cocoons</t>
        </is>
      </c>
      <c r="Q17" s="1" t="inlineStr">
        <is>
          <t>Manure (conventional treatment)</t>
        </is>
      </c>
      <c r="R17" s="1" t="inlineStr">
        <is>
          <t>Manure (biogas treatment)</t>
        </is>
      </c>
      <c r="S17" s="1" t="inlineStr">
        <is>
          <t>Products of forestry, logging and related services (02)</t>
        </is>
      </c>
      <c r="T17" s="1" t="inlineStr">
        <is>
          <t>Fish and other fishing products; services incidental of fishing (05)</t>
        </is>
      </c>
      <c r="U17" s="1" t="inlineStr">
        <is>
          <t>Anthracite</t>
        </is>
      </c>
      <c r="V17" s="1" t="inlineStr">
        <is>
          <t>Coking Coal</t>
        </is>
      </c>
      <c r="W17" s="1" t="inlineStr">
        <is>
          <t>Other Bituminous Coal</t>
        </is>
      </c>
      <c r="X17" s="1" t="inlineStr">
        <is>
          <t>Sub-Bituminous Coal</t>
        </is>
      </c>
      <c r="Y17" s="1" t="inlineStr">
        <is>
          <t>Patent Fuel</t>
        </is>
      </c>
      <c r="Z17" s="1" t="inlineStr">
        <is>
          <t>Lignite/Brown Coal</t>
        </is>
      </c>
      <c r="AA17" s="1" t="inlineStr">
        <is>
          <t>BKB/Peat Briquettes</t>
        </is>
      </c>
      <c r="AB17" s="1" t="inlineStr">
        <is>
          <t>Peat</t>
        </is>
      </c>
      <c r="AC17" s="1" t="inlineStr">
        <is>
          <t>Crude petroleum and services related to crude oil extraction, excluding surveying</t>
        </is>
      </c>
      <c r="AD17" s="1" t="inlineStr">
        <is>
          <t>Natural gas and services related to natural gas extraction, excluding surveying</t>
        </is>
      </c>
      <c r="AE17" s="1" t="inlineStr">
        <is>
          <t>Natural Gas Liquids</t>
        </is>
      </c>
      <c r="AF17" s="1" t="inlineStr">
        <is>
          <t>Other Hydrocarbons</t>
        </is>
      </c>
      <c r="AG17" s="1" t="inlineStr">
        <is>
          <t>Uranium and thorium ores (12)</t>
        </is>
      </c>
      <c r="AH17" s="1" t="inlineStr">
        <is>
          <t>Iron ores</t>
        </is>
      </c>
      <c r="AI17" s="1" t="inlineStr">
        <is>
          <t>Copper ores and concentrates</t>
        </is>
      </c>
      <c r="AJ17" s="1" t="inlineStr">
        <is>
          <t>Nickel ores and concentrates</t>
        </is>
      </c>
      <c r="AK17" s="1" t="inlineStr">
        <is>
          <t>Aluminium ores and concentrates</t>
        </is>
      </c>
      <c r="AL17" s="1" t="inlineStr">
        <is>
          <t>Precious metal ores and concentrates</t>
        </is>
      </c>
      <c r="AM17" s="1" t="inlineStr">
        <is>
          <t>Lead, zinc and tin ores and concentrates</t>
        </is>
      </c>
      <c r="AN17" s="1" t="inlineStr">
        <is>
          <t>Other non-ferrous metal ores and concentrates</t>
        </is>
      </c>
      <c r="AO17" s="1" t="inlineStr">
        <is>
          <t>Stone</t>
        </is>
      </c>
      <c r="AP17" s="1" t="inlineStr">
        <is>
          <t>Sand and clay</t>
        </is>
      </c>
      <c r="AQ17" s="1" t="inlineStr">
        <is>
          <t>Chemical and fertilizer minerals, salt and other mining and quarrying products n.e.c.</t>
        </is>
      </c>
      <c r="AR17" s="1" t="inlineStr">
        <is>
          <t>Products of meat cattle</t>
        </is>
      </c>
      <c r="AS17" s="1" t="inlineStr">
        <is>
          <t>Products of meat pigs</t>
        </is>
      </c>
      <c r="AT17" s="1" t="inlineStr">
        <is>
          <t>Products of meat poultry</t>
        </is>
      </c>
      <c r="AU17" s="1" t="inlineStr">
        <is>
          <t>Meat products nec</t>
        </is>
      </c>
      <c r="AV17" s="1" t="inlineStr">
        <is>
          <t>products of Vegetable oils and fats</t>
        </is>
      </c>
      <c r="AW17" s="1" t="inlineStr">
        <is>
          <t>Dairy products</t>
        </is>
      </c>
      <c r="AX17" s="1" t="inlineStr">
        <is>
          <t>Processed rice</t>
        </is>
      </c>
      <c r="AY17" s="1" t="inlineStr">
        <is>
          <t>Sugar</t>
        </is>
      </c>
      <c r="AZ17" s="1" t="inlineStr">
        <is>
          <t>Food products nec</t>
        </is>
      </c>
      <c r="BA17" s="1" t="inlineStr">
        <is>
          <t>Beverages</t>
        </is>
      </c>
      <c r="BB17" s="1" t="inlineStr">
        <is>
          <t>Fish products</t>
        </is>
      </c>
      <c r="BC17" s="1" t="inlineStr">
        <is>
          <t>Tobacco products (16)</t>
        </is>
      </c>
      <c r="BD17" s="1" t="inlineStr">
        <is>
          <t>Textiles (17)</t>
        </is>
      </c>
      <c r="BE17" s="1" t="inlineStr">
        <is>
          <t>Wearing apparel; furs (18)</t>
        </is>
      </c>
      <c r="BF17" s="1" t="inlineStr">
        <is>
          <t>Leather and leather products (19)</t>
        </is>
      </c>
      <c r="BG17" s="1" t="inlineStr">
        <is>
          <t>Wood and products of wood and cork (except furniture); articles of straw and plaiting materials (20)</t>
        </is>
      </c>
      <c r="BH17" s="1" t="inlineStr">
        <is>
          <t>Wood material for treatment, Re-processing of secondary wood material into new wood material</t>
        </is>
      </c>
      <c r="BI17" s="1" t="inlineStr">
        <is>
          <t>Pulp</t>
        </is>
      </c>
      <c r="BJ17" s="1" t="inlineStr">
        <is>
          <t>Secondary paper for treatment, Re-processing of secondary paper into new pulp</t>
        </is>
      </c>
      <c r="BK17" s="1" t="inlineStr">
        <is>
          <t>Paper and paper products</t>
        </is>
      </c>
      <c r="BL17" s="1" t="inlineStr">
        <is>
          <t>Printed matter and recorded media (22)</t>
        </is>
      </c>
      <c r="BM17" s="1" t="inlineStr">
        <is>
          <t>Coke Oven Coke</t>
        </is>
      </c>
      <c r="BN17" s="1" t="inlineStr">
        <is>
          <t>Gas Coke</t>
        </is>
      </c>
      <c r="BO17" s="1" t="inlineStr">
        <is>
          <t>Coal Tar</t>
        </is>
      </c>
      <c r="BP17" s="1" t="inlineStr">
        <is>
          <t>Motor Gasoline</t>
        </is>
      </c>
      <c r="BQ17" s="1" t="inlineStr">
        <is>
          <t>Aviation Gasoline</t>
        </is>
      </c>
      <c r="BR17" s="1" t="inlineStr">
        <is>
          <t>Gasoline Type Jet Fuel</t>
        </is>
      </c>
      <c r="BS17" s="1" t="inlineStr">
        <is>
          <t>Kerosene Type Jet Fuel</t>
        </is>
      </c>
      <c r="BT17" s="1" t="inlineStr">
        <is>
          <t>Kerosene</t>
        </is>
      </c>
      <c r="BU17" s="1" t="inlineStr">
        <is>
          <t>Gas/Diesel Oil</t>
        </is>
      </c>
      <c r="BV17" s="1" t="inlineStr">
        <is>
          <t>Heavy Fuel Oil</t>
        </is>
      </c>
      <c r="BW17" s="1" t="inlineStr">
        <is>
          <t>Refinery Gas</t>
        </is>
      </c>
      <c r="BX17" s="1" t="inlineStr">
        <is>
          <t>Liquefied Petroleum Gases (LPG)</t>
        </is>
      </c>
      <c r="BY17" s="1" t="inlineStr">
        <is>
          <t>Refinery Feedstocks</t>
        </is>
      </c>
      <c r="BZ17" s="1" t="inlineStr">
        <is>
          <t>Ethane</t>
        </is>
      </c>
      <c r="CA17" s="1" t="inlineStr">
        <is>
          <t>Naphtha</t>
        </is>
      </c>
      <c r="CB17" s="1" t="inlineStr">
        <is>
          <t>White Spirit &amp; SBP</t>
        </is>
      </c>
      <c r="CC17" s="1" t="inlineStr">
        <is>
          <t>Lubricants</t>
        </is>
      </c>
      <c r="CD17" s="1" t="inlineStr">
        <is>
          <t>Bitumen</t>
        </is>
      </c>
      <c r="CE17" s="1" t="inlineStr">
        <is>
          <t>Paraffin Waxes</t>
        </is>
      </c>
      <c r="CF17" s="1" t="inlineStr">
        <is>
          <t>Petroleum Coke</t>
        </is>
      </c>
      <c r="CG17" s="1" t="inlineStr">
        <is>
          <t>Non-specified Petroleum Products</t>
        </is>
      </c>
      <c r="CH17" s="1" t="inlineStr">
        <is>
          <t>Nuclear fuel</t>
        </is>
      </c>
      <c r="CI17" s="1" t="inlineStr">
        <is>
          <t>Plastics, basic</t>
        </is>
      </c>
      <c r="CJ17" s="1" t="inlineStr">
        <is>
          <t>Secondary plastic for treatment, Re-processing of secondary plastic into new plastic</t>
        </is>
      </c>
      <c r="CK17" s="1" t="inlineStr">
        <is>
          <t>N-fertiliser</t>
        </is>
      </c>
      <c r="CL17" s="1" t="inlineStr">
        <is>
          <t>P- and other fertiliser</t>
        </is>
      </c>
      <c r="CM17" s="1" t="inlineStr">
        <is>
          <t>Chemicals nec</t>
        </is>
      </c>
      <c r="CN17" s="1" t="inlineStr">
        <is>
          <t>Charcoal</t>
        </is>
      </c>
      <c r="CO17" s="1" t="inlineStr">
        <is>
          <t>Additives/Blending Components</t>
        </is>
      </c>
      <c r="CP17" s="1" t="inlineStr">
        <is>
          <t>Biogasoline</t>
        </is>
      </c>
      <c r="CQ17" s="1" t="inlineStr">
        <is>
          <t>Biodiesels</t>
        </is>
      </c>
      <c r="CR17" s="1" t="inlineStr">
        <is>
          <t>Other Liquid Biofuels</t>
        </is>
      </c>
      <c r="CS17" s="1" t="inlineStr">
        <is>
          <t>Glass and glass products</t>
        </is>
      </c>
      <c r="CT17" s="1" t="inlineStr">
        <is>
          <t>Secondary glass for treatment, Re-processing of secondary glass into new glass</t>
        </is>
      </c>
      <c r="CU17" s="1" t="inlineStr">
        <is>
          <t>Ceramic goods</t>
        </is>
      </c>
      <c r="CV17" s="1" t="inlineStr">
        <is>
          <t>Bricks, tiles and construction products, in baked clay</t>
        </is>
      </c>
      <c r="CW17" s="1" t="inlineStr">
        <is>
          <t>Cement, lime and plaster</t>
        </is>
      </c>
      <c r="CX17" s="1" t="inlineStr">
        <is>
          <t>Ash for treatment, Re-processing of ash into clinker</t>
        </is>
      </c>
      <c r="CY17" s="1" t="inlineStr">
        <is>
          <t>Other non-metallic mineral products</t>
        </is>
      </c>
      <c r="CZ17" s="1" t="inlineStr">
        <is>
          <t>Basic iron and steel and of ferro-alloys and first products thereof</t>
        </is>
      </c>
      <c r="DA17" s="1" t="inlineStr">
        <is>
          <t>Secondary steel for treatment, Re-processing of secondary steel into new steel</t>
        </is>
      </c>
      <c r="DB17" s="1" t="inlineStr">
        <is>
          <t>Precious metals</t>
        </is>
      </c>
      <c r="DC17" s="1" t="inlineStr">
        <is>
          <t>Secondary preciuos metals for treatment, Re-processing of secondary preciuos metals into new preciuos metals</t>
        </is>
      </c>
      <c r="DD17" s="1" t="inlineStr">
        <is>
          <t>Aluminium and aluminium products</t>
        </is>
      </c>
      <c r="DE17" s="1" t="inlineStr">
        <is>
          <t>Secondary aluminium for treatment, Re-processing of secondary aluminium into new aluminium</t>
        </is>
      </c>
      <c r="DF17" s="1" t="inlineStr">
        <is>
          <t>Lead, zinc and tin and products thereof</t>
        </is>
      </c>
      <c r="DG17" s="1" t="inlineStr">
        <is>
          <t>Secondary lead for treatment, Re-processing of secondary lead into new lead</t>
        </is>
      </c>
      <c r="DH17" s="1" t="inlineStr">
        <is>
          <t>Copper products</t>
        </is>
      </c>
      <c r="DI17" s="1" t="inlineStr">
        <is>
          <t>Secondary copper for treatment, Re-processing of secondary copper into new copper</t>
        </is>
      </c>
      <c r="DJ17" s="1" t="inlineStr">
        <is>
          <t>Other non-ferrous metal products</t>
        </is>
      </c>
      <c r="DK17" s="1" t="inlineStr">
        <is>
          <t>Secondary other non-ferrous metals for treatment, Re-processing of secondary other non-ferrous metals into new other non-ferrous metals</t>
        </is>
      </c>
      <c r="DL17" s="1" t="inlineStr">
        <is>
          <t>Foundry work services</t>
        </is>
      </c>
      <c r="DM17" s="1" t="inlineStr">
        <is>
          <t>Fabricated metal products, except machinery and equipment (28)</t>
        </is>
      </c>
      <c r="DN17" s="1" t="inlineStr">
        <is>
          <t>Machinery and equipment n.e.c. (29)</t>
        </is>
      </c>
      <c r="DO17" s="1" t="inlineStr">
        <is>
          <t>Office machinery and computers (30)</t>
        </is>
      </c>
      <c r="DP17" s="1" t="inlineStr">
        <is>
          <t>Electrical machinery and apparatus n.e.c. (31)</t>
        </is>
      </c>
      <c r="DQ17" s="1" t="inlineStr">
        <is>
          <t>Radio, television and communication equipment and apparatus (32)</t>
        </is>
      </c>
      <c r="DR17" s="1" t="inlineStr">
        <is>
          <t>Medical, precision and optical instruments, watches and clocks (33)</t>
        </is>
      </c>
      <c r="DS17" s="1" t="inlineStr">
        <is>
          <t>Motor vehicles, trailers and semi-trailers (34)</t>
        </is>
      </c>
      <c r="DT17" s="1" t="inlineStr">
        <is>
          <t>Other transport equipment (35)</t>
        </is>
      </c>
      <c r="DU17" s="1" t="inlineStr">
        <is>
          <t>Furniture; other manufactured goods n.e.c. (36)</t>
        </is>
      </c>
      <c r="DV17" s="1" t="inlineStr">
        <is>
          <t>Secondary raw materials</t>
        </is>
      </c>
      <c r="DW17" s="1" t="inlineStr">
        <is>
          <t>Bottles for treatment, Recycling of bottles by direct reuse</t>
        </is>
      </c>
      <c r="DX17" s="1" t="inlineStr">
        <is>
          <t>Electricity by coal</t>
        </is>
      </c>
      <c r="DY17" s="1" t="inlineStr">
        <is>
          <t>Electricity by gas</t>
        </is>
      </c>
      <c r="DZ17" s="1" t="inlineStr">
        <is>
          <t>Electricity by nuclear</t>
        </is>
      </c>
      <c r="EA17" s="1" t="inlineStr">
        <is>
          <t>Electricity by hydro</t>
        </is>
      </c>
      <c r="EB17" s="1" t="inlineStr">
        <is>
          <t>Electricity by wind</t>
        </is>
      </c>
      <c r="EC17" s="1" t="inlineStr">
        <is>
          <t>Electricity by petroleum and other oil derivatives</t>
        </is>
      </c>
      <c r="ED17" s="1" t="inlineStr">
        <is>
          <t>Electricity by biomass and waste</t>
        </is>
      </c>
      <c r="EE17" s="1" t="inlineStr">
        <is>
          <t>Electricity by solar photovoltaic</t>
        </is>
      </c>
      <c r="EF17" s="1" t="inlineStr">
        <is>
          <t>Electricity by solar thermal</t>
        </is>
      </c>
      <c r="EG17" s="1" t="inlineStr">
        <is>
          <t>Electricity by tide, wave, ocean</t>
        </is>
      </c>
      <c r="EH17" s="1" t="inlineStr">
        <is>
          <t>Electricity by Geothermal</t>
        </is>
      </c>
      <c r="EI17" s="1" t="inlineStr">
        <is>
          <t>Electricity nec</t>
        </is>
      </c>
      <c r="EJ17" s="1" t="inlineStr">
        <is>
          <t>Transmission services of electricity</t>
        </is>
      </c>
      <c r="EK17" s="1" t="inlineStr">
        <is>
          <t>Distribution and trade services of electricity</t>
        </is>
      </c>
      <c r="EL17" s="1" t="inlineStr">
        <is>
          <t>Coke oven gas</t>
        </is>
      </c>
      <c r="EM17" s="1" t="inlineStr">
        <is>
          <t>Blast Furnace Gas</t>
        </is>
      </c>
      <c r="EN17" s="1" t="inlineStr">
        <is>
          <t>Oxygen Steel Furnace Gas</t>
        </is>
      </c>
      <c r="EO17" s="1" t="inlineStr">
        <is>
          <t>Gas Works Gas</t>
        </is>
      </c>
      <c r="EP17" s="1" t="inlineStr">
        <is>
          <t>Biogas</t>
        </is>
      </c>
      <c r="EQ17" s="1" t="inlineStr">
        <is>
          <t>Distribution services of gaseous fuels through mains</t>
        </is>
      </c>
      <c r="ER17" s="1" t="inlineStr">
        <is>
          <t>Steam and hot water supply services</t>
        </is>
      </c>
      <c r="ES17" s="1" t="inlineStr">
        <is>
          <t>Collected and purified water, distribution services of water (41)</t>
        </is>
      </c>
      <c r="ET17" s="1" t="inlineStr">
        <is>
          <t>Construction work (45)</t>
        </is>
      </c>
      <c r="EU17" s="1" t="inlineStr">
        <is>
          <t>Secondary construction material for treatment, Re-processing of secondary construction material into aggregates</t>
        </is>
      </c>
      <c r="EV17" s="1" t="inlineStr">
        <is>
          <t>Sale, maintenance, repair of motor vehicles, motor vehicles parts, motorcycles, motor cycles parts and accessoiries</t>
        </is>
      </c>
      <c r="EW17" s="1" t="inlineStr">
        <is>
          <t>Retail trade services of motor fuel</t>
        </is>
      </c>
      <c r="EX17" s="1" t="inlineStr">
        <is>
          <t>Wholesale trade and commission trade services, except of motor vehicles and motorcycles (51)</t>
        </is>
      </c>
      <c r="EY17" s="1" t="inlineStr">
        <is>
          <t>Retail  trade services, except of motor vehicles and motorcycles; repair services of personal and household goods (52)</t>
        </is>
      </c>
      <c r="EZ17" s="1" t="inlineStr">
        <is>
          <t>Hotel and restaurant services (55)</t>
        </is>
      </c>
      <c r="FA17" s="1" t="inlineStr">
        <is>
          <t>Railway transportation services</t>
        </is>
      </c>
      <c r="FB17" s="1" t="inlineStr">
        <is>
          <t>Other land transportation services</t>
        </is>
      </c>
      <c r="FC17" s="1" t="inlineStr">
        <is>
          <t>Transportation services via pipelines</t>
        </is>
      </c>
      <c r="FD17" s="1" t="inlineStr">
        <is>
          <t>Sea and coastal water transportation services</t>
        </is>
      </c>
      <c r="FE17" s="1" t="inlineStr">
        <is>
          <t>Inland water transportation services</t>
        </is>
      </c>
      <c r="FF17" s="1" t="inlineStr">
        <is>
          <t>Air transport services (62)</t>
        </is>
      </c>
      <c r="FG17" s="1" t="inlineStr">
        <is>
          <t>Supporting and auxiliary transport services; travel agency services (63)</t>
        </is>
      </c>
      <c r="FH17" s="1" t="inlineStr">
        <is>
          <t>Post and telecommunication services (64)</t>
        </is>
      </c>
      <c r="FI17" s="1" t="inlineStr">
        <is>
          <t>Financial intermediation services, except insurance and pension funding services (65)</t>
        </is>
      </c>
      <c r="FJ17" s="1" t="inlineStr">
        <is>
          <t>Insurance and pension funding services, except compulsory social security services (66)</t>
        </is>
      </c>
      <c r="FK17" s="1" t="inlineStr">
        <is>
          <t>Services auxiliary to financial intermediation (67)</t>
        </is>
      </c>
      <c r="FL17" s="1" t="inlineStr">
        <is>
          <t>Real estate services (70)</t>
        </is>
      </c>
      <c r="FM17" s="1" t="inlineStr">
        <is>
          <t>Renting services of machinery and equipment without operator and of personal and household goods (71)</t>
        </is>
      </c>
      <c r="FN17" s="1" t="inlineStr">
        <is>
          <t>Computer and related services (72)</t>
        </is>
      </c>
      <c r="FO17" s="1" t="inlineStr">
        <is>
          <t>Research and development services (73)</t>
        </is>
      </c>
      <c r="FP17" s="1" t="inlineStr">
        <is>
          <t>Other business services (74)</t>
        </is>
      </c>
      <c r="FQ17" s="1" t="inlineStr">
        <is>
          <t>Public administration and defence services; compulsory social security services (75)</t>
        </is>
      </c>
      <c r="FR17" s="1" t="inlineStr">
        <is>
          <t>Education services (80)</t>
        </is>
      </c>
      <c r="FS17" s="1" t="inlineStr">
        <is>
          <t>Health and social work services (85)</t>
        </is>
      </c>
      <c r="FT17" s="1" t="inlineStr">
        <is>
          <t>Food waste for treatment: incineration</t>
        </is>
      </c>
      <c r="FU17" s="1" t="inlineStr">
        <is>
          <t>Paper waste for treatment: incineration</t>
        </is>
      </c>
      <c r="FV17" s="1" t="inlineStr">
        <is>
          <t>Plastic waste for treatment: incineration</t>
        </is>
      </c>
      <c r="FW17" s="1" t="inlineStr">
        <is>
          <t>Intert/metal waste for treatment: incineration</t>
        </is>
      </c>
      <c r="FX17" s="1" t="inlineStr">
        <is>
          <t>Textiles waste for treatment: incineration</t>
        </is>
      </c>
      <c r="FY17" s="1" t="inlineStr">
        <is>
          <t>Wood waste for treatment: incineration</t>
        </is>
      </c>
      <c r="FZ17" s="1" t="inlineStr">
        <is>
          <t>Oil/hazardous waste for treatment: incineration</t>
        </is>
      </c>
      <c r="GA17" s="1" t="inlineStr">
        <is>
          <t>Food waste for treatment: biogasification and land application</t>
        </is>
      </c>
      <c r="GB17" s="1" t="inlineStr">
        <is>
          <t>Paper waste for treatment: biogasification and land application</t>
        </is>
      </c>
      <c r="GC17" s="1" t="inlineStr">
        <is>
          <t>Sewage sludge for treatment: biogasification and land application</t>
        </is>
      </c>
      <c r="GD17" s="1" t="inlineStr">
        <is>
          <t>Food waste for treatment: composting and land application</t>
        </is>
      </c>
      <c r="GE17" s="1" t="inlineStr">
        <is>
          <t>Paper and wood waste for treatment: composting and land application</t>
        </is>
      </c>
      <c r="GF17" s="1" t="inlineStr">
        <is>
          <t>Food waste for treatment: waste water treatment</t>
        </is>
      </c>
      <c r="GG17" s="1" t="inlineStr">
        <is>
          <t>Other waste for treatment: waste water treatment</t>
        </is>
      </c>
      <c r="GH17" s="1" t="inlineStr">
        <is>
          <t>Food waste for treatment: landfill</t>
        </is>
      </c>
      <c r="GI17" s="1" t="inlineStr">
        <is>
          <t>Paper for treatment: landfill</t>
        </is>
      </c>
      <c r="GJ17" s="1" t="inlineStr">
        <is>
          <t>Plastic waste for treatment: landfill</t>
        </is>
      </c>
      <c r="GK17" s="1" t="inlineStr">
        <is>
          <t>Inert/metal/hazardous waste for treatment: landfill</t>
        </is>
      </c>
      <c r="GL17" s="1" t="inlineStr">
        <is>
          <t>Textiles waste for treatment: landfill</t>
        </is>
      </c>
      <c r="GM17" s="1" t="inlineStr">
        <is>
          <t>Wood waste for treatment: landfill</t>
        </is>
      </c>
      <c r="GN17" s="1" t="inlineStr">
        <is>
          <t>Membership organisation services n.e.c. (91)</t>
        </is>
      </c>
      <c r="GO17" s="1" t="inlineStr">
        <is>
          <t>Recreational, cultural and sporting services (92)</t>
        </is>
      </c>
      <c r="GP17" s="1" t="inlineStr">
        <is>
          <t>Other services (93)</t>
        </is>
      </c>
      <c r="GQ17" s="1" t="inlineStr">
        <is>
          <t>Extra-territorial organizations and bodies</t>
        </is>
      </c>
      <c r="GR17" s="1" t="inlineStr">
        <is>
          <t>Vegetables, fruits, nuts</t>
        </is>
      </c>
      <c r="GS17" s="1" t="inlineStr">
        <is>
          <t>Cattle</t>
        </is>
      </c>
      <c r="GT17" s="1" t="inlineStr">
        <is>
          <t>Meat nec</t>
        </is>
      </c>
      <c r="GU17" s="1" t="inlineStr">
        <is>
          <t>Animal nec</t>
        </is>
      </c>
      <c r="GV17" s="1" t="inlineStr">
        <is>
          <t>Dairy products</t>
        </is>
      </c>
      <c r="GW17" s="1" t="inlineStr">
        <is>
          <t>Food nec</t>
        </is>
      </c>
      <c r="GX17" s="1" t="inlineStr">
        <is>
          <t>Housing</t>
        </is>
      </c>
      <c r="GY17" s="1" t="inlineStr">
        <is>
          <t>Mobility</t>
        </is>
      </c>
      <c r="GZ17" s="1" t="inlineStr">
        <is>
          <t>Textiles</t>
        </is>
      </c>
      <c r="HA17" s="1" t="inlineStr">
        <is>
          <t>Final goods nec</t>
        </is>
      </c>
      <c r="HB17" s="1" t="inlineStr">
        <is>
          <t>Hotel &amp; restaurant</t>
        </is>
      </c>
      <c r="HC17" s="1" t="inlineStr">
        <is>
          <t>Final services</t>
        </is>
      </c>
    </row>
    <row r="18">
      <c r="A18" s="1" t="inlineStr">
        <is>
          <t>M_imp</t>
        </is>
      </c>
      <c r="B18" t="n">
        <v>1.505126408532713e-07</v>
      </c>
      <c r="C18" t="n">
        <v>9.955081757112173e-08</v>
      </c>
      <c r="D18" t="n">
        <v>6.49115147174629e-08</v>
      </c>
      <c r="E18" t="n">
        <v>3.243622386499021e-07</v>
      </c>
      <c r="F18" t="n">
        <v>1.614900382440678e-07</v>
      </c>
      <c r="G18" t="n">
        <v>8.437324530075573e-09</v>
      </c>
      <c r="H18" t="n">
        <v>7.460361703558949e-08</v>
      </c>
      <c r="I18" t="n">
        <v>1.35718985136444e-08</v>
      </c>
      <c r="J18" t="n">
        <v>1.037466274985125e-06</v>
      </c>
      <c r="K18" t="n">
        <v>7.674129550153039e-07</v>
      </c>
      <c r="L18" t="n">
        <v>7.381708449617844e-07</v>
      </c>
      <c r="M18" t="n">
        <v>6.895216916886234e-07</v>
      </c>
      <c r="N18" t="n">
        <v>9.703580857310031e-07</v>
      </c>
      <c r="O18" t="n">
        <v>1.189971995409446e-06</v>
      </c>
      <c r="P18" t="n">
        <v>9.672134403032034e-07</v>
      </c>
      <c r="Q18" t="n">
        <v>0</v>
      </c>
      <c r="R18" t="n">
        <v>0</v>
      </c>
      <c r="S18" t="n">
        <v>5.766416694145432e-08</v>
      </c>
      <c r="T18" t="n">
        <v>1.771619362135251e-06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5.532488346353215e-07</v>
      </c>
      <c r="AD18" t="n">
        <v>7.973686402825315e-06</v>
      </c>
      <c r="AE18" t="n">
        <v>3.934821233857075e-08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6.609242445222317e-08</v>
      </c>
      <c r="AO18" t="n">
        <v>4.410392525970799e-08</v>
      </c>
      <c r="AP18" t="n">
        <v>1.24962695554629e-09</v>
      </c>
      <c r="AQ18" t="n">
        <v>2.6575543027131e-08</v>
      </c>
      <c r="AR18" t="n">
        <v>1.162090755543028e-06</v>
      </c>
      <c r="AS18" t="n">
        <v>4.551418666725005e-07</v>
      </c>
      <c r="AT18" t="n">
        <v>7.676887258629875e-07</v>
      </c>
      <c r="AU18" t="n">
        <v>1.374897240838277e-06</v>
      </c>
      <c r="AV18" t="n">
        <v>6.139165178288918e-07</v>
      </c>
      <c r="AW18" t="n">
        <v>8.244073312303689e-07</v>
      </c>
      <c r="AX18" t="n">
        <v>1.315206555655303e-07</v>
      </c>
      <c r="AY18" t="n">
        <v>2.558441221617998e-07</v>
      </c>
      <c r="AZ18" t="n">
        <v>9.563582264136345e-07</v>
      </c>
      <c r="BA18" t="n">
        <v>6.263491520203482e-07</v>
      </c>
      <c r="BB18" t="n">
        <v>1.169499048124611e-06</v>
      </c>
      <c r="BC18" t="n">
        <v>1.771132559496288e-07</v>
      </c>
      <c r="BD18" t="n">
        <v>4.114761066585233e-07</v>
      </c>
      <c r="BE18" t="n">
        <v>2.292825251683045e-07</v>
      </c>
      <c r="BF18" t="n">
        <v>4.006206833215274e-07</v>
      </c>
      <c r="BG18" t="n">
        <v>1.854270686313674e-07</v>
      </c>
      <c r="BH18" t="n">
        <v>1.461022585217631e-07</v>
      </c>
      <c r="BI18" t="n">
        <v>1.532934361667958e-07</v>
      </c>
      <c r="BJ18" t="n">
        <v>1.412637714238961e-07</v>
      </c>
      <c r="BK18" t="n">
        <v>3.675123326756256e-07</v>
      </c>
      <c r="BL18" t="n">
        <v>1.349800259634891e-07</v>
      </c>
      <c r="BM18" t="n">
        <v>1.549656146119268e-08</v>
      </c>
      <c r="BN18" t="n">
        <v>0</v>
      </c>
      <c r="BO18" t="n">
        <v>3.47440283783754e-07</v>
      </c>
      <c r="BP18" t="n">
        <v>5.065301680248076e-07</v>
      </c>
      <c r="BQ18" t="n">
        <v>0</v>
      </c>
      <c r="BR18" t="n">
        <v>0</v>
      </c>
      <c r="BS18" t="n">
        <v>1.305552273523029e-07</v>
      </c>
      <c r="BT18" t="n">
        <v>0</v>
      </c>
      <c r="BU18" t="n">
        <v>2.258701964961598e-07</v>
      </c>
      <c r="BV18" t="n">
        <v>7.794115160974952e-08</v>
      </c>
      <c r="BW18" t="n">
        <v>6.648275710328697e-10</v>
      </c>
      <c r="BX18" t="n">
        <v>1.323373800586286e-07</v>
      </c>
      <c r="BY18" t="n">
        <v>1.268980041833716e-07</v>
      </c>
      <c r="BZ18" t="n">
        <v>0</v>
      </c>
      <c r="CA18" t="n">
        <v>6.970751837269169e-08</v>
      </c>
      <c r="CB18" t="n">
        <v>1.426578407578671e-07</v>
      </c>
      <c r="CC18" t="n">
        <v>2.411319533056175e-07</v>
      </c>
      <c r="CD18" t="n">
        <v>2.637557199183162e-08</v>
      </c>
      <c r="CE18" t="n">
        <v>2.938649597770802e-08</v>
      </c>
      <c r="CF18" t="n">
        <v>4.420913819295156e-08</v>
      </c>
      <c r="CG18" t="n">
        <v>2.813520694022735e-08</v>
      </c>
      <c r="CH18" t="n">
        <v>8.819365522445834e-10</v>
      </c>
      <c r="CI18" t="n">
        <v>2.444647043466441e-07</v>
      </c>
      <c r="CJ18" t="n">
        <v>2.154868914441932e-07</v>
      </c>
      <c r="CK18" t="n">
        <v>9.281647460907021e-08</v>
      </c>
      <c r="CL18" t="n">
        <v>1.470572944434293e-07</v>
      </c>
      <c r="CM18" t="n">
        <v>3.113566656615747e-07</v>
      </c>
      <c r="CN18" t="n">
        <v>0</v>
      </c>
      <c r="CO18" t="n">
        <v>6.733561506578169e-08</v>
      </c>
      <c r="CP18" t="n">
        <v>1.273776170519296e-07</v>
      </c>
      <c r="CQ18" t="n">
        <v>5.283656474879264e-08</v>
      </c>
      <c r="CR18" t="n">
        <v>0</v>
      </c>
      <c r="CS18" t="n">
        <v>1.640547513325123e-07</v>
      </c>
      <c r="CT18" t="n">
        <v>1.252583816192004e-07</v>
      </c>
      <c r="CU18" t="n">
        <v>1.824205447249938e-07</v>
      </c>
      <c r="CV18" t="n">
        <v>1.371761905606572e-07</v>
      </c>
      <c r="CW18" t="n">
        <v>1.211789317026368e-07</v>
      </c>
      <c r="CX18" t="n">
        <v>1.075149793759232e-07</v>
      </c>
      <c r="CY18" t="n">
        <v>1.707218563508449e-07</v>
      </c>
      <c r="CZ18" t="n">
        <v>1.559683306107913e-07</v>
      </c>
      <c r="DA18" t="n">
        <v>1.315394404524648e-07</v>
      </c>
      <c r="DB18" t="n">
        <v>4.046149165353971e-07</v>
      </c>
      <c r="DC18" t="n">
        <v>0</v>
      </c>
      <c r="DD18" t="n">
        <v>2.07764747902148e-07</v>
      </c>
      <c r="DE18" t="n">
        <v>1.997839790041264e-07</v>
      </c>
      <c r="DF18" t="n">
        <v>2.782895242135698e-07</v>
      </c>
      <c r="DG18" t="n">
        <v>3.164501471046599e-07</v>
      </c>
      <c r="DH18" t="n">
        <v>2.861786584671246e-07</v>
      </c>
      <c r="DI18" t="n">
        <v>0</v>
      </c>
      <c r="DJ18" t="n">
        <v>2.985477108896467e-07</v>
      </c>
      <c r="DK18" t="n">
        <v>0</v>
      </c>
      <c r="DL18" t="n">
        <v>1.961272150724689e-07</v>
      </c>
      <c r="DM18" t="n">
        <v>1.4205294149605e-07</v>
      </c>
      <c r="DN18" t="n">
        <v>1.537132557319594e-07</v>
      </c>
      <c r="DO18" t="n">
        <v>1.956569760542919e-07</v>
      </c>
      <c r="DP18" t="n">
        <v>1.40714922340216e-07</v>
      </c>
      <c r="DQ18" t="n">
        <v>1.502738587730535e-07</v>
      </c>
      <c r="DR18" t="n">
        <v>1.171882883383441e-07</v>
      </c>
      <c r="DS18" t="n">
        <v>1.847772459755125e-07</v>
      </c>
      <c r="DT18" t="n">
        <v>1.583517410819173e-07</v>
      </c>
      <c r="DU18" t="n">
        <v>1.812402309078891e-07</v>
      </c>
      <c r="DV18" t="n">
        <v>0</v>
      </c>
      <c r="DW18" t="n">
        <v>0</v>
      </c>
      <c r="DX18" t="n">
        <v>7.478866554662853e-07</v>
      </c>
      <c r="DY18" t="n">
        <v>1.641203336671334e-07</v>
      </c>
      <c r="DZ18" t="n">
        <v>1.283690336305484e-07</v>
      </c>
      <c r="EA18" t="n">
        <v>1.593192955133444e-07</v>
      </c>
      <c r="EB18" t="n">
        <v>6.401009295738176e-08</v>
      </c>
      <c r="EC18" t="n">
        <v>5.637389555972726e-07</v>
      </c>
      <c r="ED18" t="n">
        <v>1.304781351276933e-07</v>
      </c>
      <c r="EE18" t="n">
        <v>1.399757075899771e-08</v>
      </c>
      <c r="EF18" t="n">
        <v>0</v>
      </c>
      <c r="EG18" t="n">
        <v>1.935162867101385e-07</v>
      </c>
      <c r="EH18" t="n">
        <v>0</v>
      </c>
      <c r="EI18" t="n">
        <v>0</v>
      </c>
      <c r="EJ18" t="n">
        <v>7.118132234700625e-08</v>
      </c>
      <c r="EK18" t="n">
        <v>7.101635286659712e-08</v>
      </c>
      <c r="EL18" t="n">
        <v>1.604922282629642e-08</v>
      </c>
      <c r="EM18" t="n">
        <v>3.290544505455886e-08</v>
      </c>
      <c r="EN18" t="n">
        <v>3.065447369655699e-15</v>
      </c>
      <c r="EO18" t="n">
        <v>0</v>
      </c>
      <c r="EP18" t="n">
        <v>6.824566943381936e-08</v>
      </c>
      <c r="EQ18" t="n">
        <v>1.471650525765919e-07</v>
      </c>
      <c r="ER18" t="n">
        <v>6.107289617739894e-07</v>
      </c>
      <c r="ES18" t="n">
        <v>9.632170380990076e-08</v>
      </c>
      <c r="ET18" t="n">
        <v>1.282391411146381e-07</v>
      </c>
      <c r="EU18" t="n">
        <v>0</v>
      </c>
      <c r="EV18" t="n">
        <v>4.844644464115527e-08</v>
      </c>
      <c r="EW18" t="n">
        <v>1.202244180508022e-07</v>
      </c>
      <c r="EX18" t="n">
        <v>6.773074984546057e-08</v>
      </c>
      <c r="EY18" t="n">
        <v>7.284292872829038e-08</v>
      </c>
      <c r="EZ18" t="n">
        <v>2.598615184905426e-07</v>
      </c>
      <c r="FA18" t="n">
        <v>1.498657992769824e-07</v>
      </c>
      <c r="FB18" t="n">
        <v>9.512140588156257e-08</v>
      </c>
      <c r="FC18" t="n">
        <v>5.051150000638811e-07</v>
      </c>
      <c r="FD18" t="n">
        <v>5.795341159147514e-07</v>
      </c>
      <c r="FE18" t="n">
        <v>8.382181067872099e-07</v>
      </c>
      <c r="FF18" t="n">
        <v>2.749701099649838e-07</v>
      </c>
      <c r="FG18" t="n">
        <v>1.052408630049089e-07</v>
      </c>
      <c r="FH18" t="n">
        <v>7.846155995834378e-08</v>
      </c>
      <c r="FI18" t="n">
        <v>1.14807484756265e-07</v>
      </c>
      <c r="FJ18" t="n">
        <v>1.396652491703233e-07</v>
      </c>
      <c r="FK18" t="n">
        <v>1.71957459925718e-07</v>
      </c>
      <c r="FL18" t="n">
        <v>9.011918839908403e-08</v>
      </c>
      <c r="FM18" t="n">
        <v>1.117581167086596e-07</v>
      </c>
      <c r="FN18" t="n">
        <v>1.161820331551317e-07</v>
      </c>
      <c r="FO18" t="n">
        <v>3.268649129057053e-07</v>
      </c>
      <c r="FP18" t="n">
        <v>1.067763681912133e-07</v>
      </c>
      <c r="FQ18" t="n">
        <v>1.295488366887828e-07</v>
      </c>
      <c r="FR18" t="n">
        <v>9.192104159182746e-08</v>
      </c>
      <c r="FS18" t="n">
        <v>9.175687503775672e-08</v>
      </c>
      <c r="FT18" t="n">
        <v>1.007019122248589e-07</v>
      </c>
      <c r="FU18" t="n">
        <v>1.019542559819628e-07</v>
      </c>
      <c r="FV18" t="n">
        <v>1.143235682810145e-07</v>
      </c>
      <c r="FW18" t="n">
        <v>1.031803697011014e-07</v>
      </c>
      <c r="FX18" t="n">
        <v>1.018713532091006e-07</v>
      </c>
      <c r="FY18" t="n">
        <v>1.051408632488878e-07</v>
      </c>
      <c r="FZ18" t="n">
        <v>9.747126497749224e-08</v>
      </c>
      <c r="GA18" t="n">
        <v>9.411106826644551e-08</v>
      </c>
      <c r="GB18" t="n">
        <v>9.201356945907147e-08</v>
      </c>
      <c r="GC18" t="n">
        <v>1.089245727205807e-07</v>
      </c>
      <c r="GD18" t="n">
        <v>1.01667072619411e-07</v>
      </c>
      <c r="GE18" t="n">
        <v>1.086495861298287e-06</v>
      </c>
      <c r="GF18" t="n">
        <v>1.251441369698592e-07</v>
      </c>
      <c r="GG18" t="n">
        <v>1.294415429621135e-07</v>
      </c>
      <c r="GH18" t="n">
        <v>1.242999171145885e-07</v>
      </c>
      <c r="GI18" t="n">
        <v>1.20912179871006e-07</v>
      </c>
      <c r="GJ18" t="n">
        <v>1.473897555068057e-07</v>
      </c>
      <c r="GK18" t="n">
        <v>1.002676440219393e-07</v>
      </c>
      <c r="GL18" t="n">
        <v>1.255530096060106e-07</v>
      </c>
      <c r="GM18" t="n">
        <v>1.090186568545831e-07</v>
      </c>
      <c r="GN18" t="n">
        <v>1.77636602709721e-07</v>
      </c>
      <c r="GO18" t="n">
        <v>1.960123234542415e-07</v>
      </c>
      <c r="GP18" t="n">
        <v>2.783099895021427e-07</v>
      </c>
      <c r="GQ18" t="n">
        <v>0</v>
      </c>
      <c r="GR18" t="n">
        <v>3.251196378208452e-07</v>
      </c>
      <c r="GS18" t="n">
        <v>1.162090755543028e-06</v>
      </c>
      <c r="GT18" t="n">
        <v>1.050355199134266e-06</v>
      </c>
      <c r="GU18" t="n">
        <v>8.51870027744564e-07</v>
      </c>
      <c r="GV18" t="n">
        <v>8.302330423319717e-07</v>
      </c>
      <c r="GW18" t="n">
        <v>8.42392028008906e-07</v>
      </c>
      <c r="GX18" t="n">
        <v>1.183293075617288e-07</v>
      </c>
      <c r="GY18" t="n">
        <v>1.87749417341824e-07</v>
      </c>
      <c r="GZ18" t="n">
        <v>3.050478634811544e-07</v>
      </c>
      <c r="HA18" t="n">
        <v>1.92378336915553e-07</v>
      </c>
      <c r="HB18" t="n">
        <v>2.598615184905426e-07</v>
      </c>
      <c r="HC18" t="n">
        <v>1.162214034704845e-07</v>
      </c>
    </row>
    <row r="19">
      <c r="A19" s="1" t="inlineStr">
        <is>
          <t>M_dom</t>
        </is>
      </c>
      <c r="B19" t="n">
        <v>2.061188136560214e-05</v>
      </c>
      <c r="C19" t="n">
        <v>1.006915186032617e-05</v>
      </c>
      <c r="D19" t="n">
        <v>8.246349030280847e-06</v>
      </c>
      <c r="E19" t="n">
        <v>2.572612060157432e-06</v>
      </c>
      <c r="F19" t="n">
        <v>3.665652777983705e-05</v>
      </c>
      <c r="G19" t="n">
        <v>1.651612270753016e-06</v>
      </c>
      <c r="H19" t="n">
        <v>6.682593358686313e-06</v>
      </c>
      <c r="I19" t="n">
        <v>8.387309626823014e-08</v>
      </c>
      <c r="J19" t="n">
        <v>7.78878927526416e-05</v>
      </c>
      <c r="K19" t="n">
        <v>2.914465699024868e-05</v>
      </c>
      <c r="L19" t="n">
        <v>1.652071970137483e-05</v>
      </c>
      <c r="M19" t="n">
        <v>1.780880467698336e-05</v>
      </c>
      <c r="N19" t="n">
        <v>2.558221447189464e-05</v>
      </c>
      <c r="O19" t="n">
        <v>3.756982748461804e-05</v>
      </c>
      <c r="P19" t="n">
        <v>1.038388194548948e-06</v>
      </c>
      <c r="Q19" t="n">
        <v>0</v>
      </c>
      <c r="R19" t="n">
        <v>0</v>
      </c>
      <c r="S19" t="n">
        <v>9.89563638339756e-08</v>
      </c>
      <c r="T19" t="n">
        <v>1.884407489107156e-06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3.760857070728157e-08</v>
      </c>
      <c r="AD19" t="n">
        <v>6.264618679572557e-07</v>
      </c>
      <c r="AE19" t="n">
        <v>3.091685372827816e-09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2.037385028118578e-10</v>
      </c>
      <c r="AO19" t="n">
        <v>4.909763234618895e-08</v>
      </c>
      <c r="AP19" t="n">
        <v>1.417702460499545e-09</v>
      </c>
      <c r="AQ19" t="n">
        <v>2.642499535029472e-08</v>
      </c>
      <c r="AR19" t="n">
        <v>3.080797267452974e-05</v>
      </c>
      <c r="AS19" t="n">
        <v>7.734511073081991e-06</v>
      </c>
      <c r="AT19" t="n">
        <v>3.959023587093997e-06</v>
      </c>
      <c r="AU19" t="n">
        <v>4.600309717485215e-06</v>
      </c>
      <c r="AV19" t="n">
        <v>3.475201479205949e-06</v>
      </c>
      <c r="AW19" t="n">
        <v>1.177074266357902e-05</v>
      </c>
      <c r="AX19" t="n">
        <v>3.26000339783634e-07</v>
      </c>
      <c r="AY19" t="n">
        <v>1.343439634680342e-05</v>
      </c>
      <c r="AZ19" t="n">
        <v>7.226299196900889e-06</v>
      </c>
      <c r="BA19" t="n">
        <v>3.736217617730366e-06</v>
      </c>
      <c r="BB19" t="n">
        <v>9.14798883099044e-06</v>
      </c>
      <c r="BC19" t="n">
        <v>4.915301933700227e-08</v>
      </c>
      <c r="BD19" t="n">
        <v>1.018178025044774e-07</v>
      </c>
      <c r="BE19" t="n">
        <v>5.423371883285978e-08</v>
      </c>
      <c r="BF19" t="n">
        <v>7.128563755513331e-07</v>
      </c>
      <c r="BG19" t="n">
        <v>7.735621275543986e-08</v>
      </c>
      <c r="BH19" t="n">
        <v>4.55847635001384e-08</v>
      </c>
      <c r="BI19" t="n">
        <v>3.181613393588296e-08</v>
      </c>
      <c r="BJ19" t="n">
        <v>2.880796029066851e-08</v>
      </c>
      <c r="BK19" t="n">
        <v>1.459919461588823e-07</v>
      </c>
      <c r="BL19" t="n">
        <v>4.265137191969748e-08</v>
      </c>
      <c r="BM19" t="n">
        <v>7.046008585299891e-10</v>
      </c>
      <c r="BN19" t="n">
        <v>0</v>
      </c>
      <c r="BO19" t="n">
        <v>1.579704518719426e-08</v>
      </c>
      <c r="BP19" t="n">
        <v>4.131704507868988e-08</v>
      </c>
      <c r="BQ19" t="n">
        <v>0</v>
      </c>
      <c r="BR19" t="n">
        <v>0</v>
      </c>
      <c r="BS19" t="n">
        <v>1.06492089035853e-08</v>
      </c>
      <c r="BT19" t="n">
        <v>0</v>
      </c>
      <c r="BU19" t="n">
        <v>1.842403896571971e-08</v>
      </c>
      <c r="BV19" t="n">
        <v>6.357557230905505e-09</v>
      </c>
      <c r="BW19" t="n">
        <v>5.422976363392361e-11</v>
      </c>
      <c r="BX19" t="n">
        <v>1.07945832148739e-08</v>
      </c>
      <c r="BY19" t="n">
        <v>1.03510408851272e-08</v>
      </c>
      <c r="BZ19" t="n">
        <v>0</v>
      </c>
      <c r="CA19" t="n">
        <v>5.685944564714559e-09</v>
      </c>
      <c r="CB19" t="n">
        <v>1.163657414138156e-08</v>
      </c>
      <c r="CC19" t="n">
        <v>1.966907643315196e-08</v>
      </c>
      <c r="CD19" t="n">
        <v>2.151451559580678e-09</v>
      </c>
      <c r="CE19" t="n">
        <v>2.397040152760941e-09</v>
      </c>
      <c r="CF19" t="n">
        <v>3.606102055750387e-09</v>
      </c>
      <c r="CG19" t="n">
        <v>2.294950877653621e-09</v>
      </c>
      <c r="CH19" t="n">
        <v>3.484808961949893e-10</v>
      </c>
      <c r="CI19" t="n">
        <v>1.450436944088611e-07</v>
      </c>
      <c r="CJ19" t="n">
        <v>1.576908307578405e-07</v>
      </c>
      <c r="CK19" t="n">
        <v>1.96823536592767e-08</v>
      </c>
      <c r="CL19" t="n">
        <v>2.971983199038677e-08</v>
      </c>
      <c r="CM19" t="n">
        <v>1.789687237123925e-07</v>
      </c>
      <c r="CN19" t="n">
        <v>0</v>
      </c>
      <c r="CO19" t="n">
        <v>3.867462205167613e-08</v>
      </c>
      <c r="CP19" t="n">
        <v>7.315978106984961e-08</v>
      </c>
      <c r="CQ19" t="n">
        <v>3.034499055534802e-08</v>
      </c>
      <c r="CR19" t="n">
        <v>0</v>
      </c>
      <c r="CS19" t="n">
        <v>3.592644752138748e-08</v>
      </c>
      <c r="CT19" t="n">
        <v>2.917033236410056e-08</v>
      </c>
      <c r="CU19" t="n">
        <v>4.383621220158538e-08</v>
      </c>
      <c r="CV19" t="n">
        <v>7.675543824980659e-08</v>
      </c>
      <c r="CW19" t="n">
        <v>3.735000189114563e-08</v>
      </c>
      <c r="CX19" t="n">
        <v>3.698055980392796e-08</v>
      </c>
      <c r="CY19" t="n">
        <v>6.730364285397192e-08</v>
      </c>
      <c r="CZ19" t="n">
        <v>4.663373364839566e-08</v>
      </c>
      <c r="DA19" t="n">
        <v>4.938326803492836e-08</v>
      </c>
      <c r="DB19" t="n">
        <v>4.959074750191784e-08</v>
      </c>
      <c r="DC19" t="n">
        <v>0</v>
      </c>
      <c r="DD19" t="n">
        <v>2.975526108695449e-08</v>
      </c>
      <c r="DE19" t="n">
        <v>3.175229107780967e-08</v>
      </c>
      <c r="DF19" t="n">
        <v>1.746713685685954e-08</v>
      </c>
      <c r="DG19" t="n">
        <v>2.10415098869217e-08</v>
      </c>
      <c r="DH19" t="n">
        <v>2.245345347505425e-08</v>
      </c>
      <c r="DI19" t="n">
        <v>0</v>
      </c>
      <c r="DJ19" t="n">
        <v>2.844856596002456e-08</v>
      </c>
      <c r="DK19" t="n">
        <v>0</v>
      </c>
      <c r="DL19" t="n">
        <v>3.692094190821512e-08</v>
      </c>
      <c r="DM19" t="n">
        <v>2.476374200846973e-08</v>
      </c>
      <c r="DN19" t="n">
        <v>2.833922839258981e-08</v>
      </c>
      <c r="DO19" t="n">
        <v>4.316803062492819e-08</v>
      </c>
      <c r="DP19" t="n">
        <v>2.755136671055926e-08</v>
      </c>
      <c r="DQ19" t="n">
        <v>3.711728533637848e-08</v>
      </c>
      <c r="DR19" t="n">
        <v>2.970706799399273e-08</v>
      </c>
      <c r="DS19" t="n">
        <v>3.417320525052861e-08</v>
      </c>
      <c r="DT19" t="n">
        <v>2.315346716065382e-08</v>
      </c>
      <c r="DU19" t="n">
        <v>4.533011728409058e-08</v>
      </c>
      <c r="DV19" t="n">
        <v>0</v>
      </c>
      <c r="DW19" t="n">
        <v>0</v>
      </c>
      <c r="DX19" t="n">
        <v>1.096554635845709e-07</v>
      </c>
      <c r="DY19" t="n">
        <v>4.570244866960801e-08</v>
      </c>
      <c r="DZ19" t="n">
        <v>2.823506555474119e-08</v>
      </c>
      <c r="EA19" t="n">
        <v>3.145866290210319e-08</v>
      </c>
      <c r="EB19" t="n">
        <v>1.269967005111606e-08</v>
      </c>
      <c r="EC19" t="n">
        <v>6.933197446685474e-08</v>
      </c>
      <c r="ED19" t="n">
        <v>2.889629707571126e-08</v>
      </c>
      <c r="EE19" t="n">
        <v>2.704921122147429e-09</v>
      </c>
      <c r="EF19" t="n">
        <v>0</v>
      </c>
      <c r="EG19" t="n">
        <v>4.502905673741462e-08</v>
      </c>
      <c r="EH19" t="n">
        <v>0</v>
      </c>
      <c r="EI19" t="n">
        <v>0</v>
      </c>
      <c r="EJ19" t="n">
        <v>9.447552168722929e-09</v>
      </c>
      <c r="EK19" t="n">
        <v>8.811526375253429e-09</v>
      </c>
      <c r="EL19" t="n">
        <v>2.683378709763985e-09</v>
      </c>
      <c r="EM19" t="n">
        <v>5.49245442526605e-09</v>
      </c>
      <c r="EN19" t="n">
        <v>1.01996284608022e-15</v>
      </c>
      <c r="EO19" t="n">
        <v>0</v>
      </c>
      <c r="EP19" t="n">
        <v>1.139699465578271e-08</v>
      </c>
      <c r="EQ19" t="n">
        <v>2.455773182709841e-08</v>
      </c>
      <c r="ER19" t="n">
        <v>1.387118111134438e-07</v>
      </c>
      <c r="ES19" t="n">
        <v>3.328438609630933e-08</v>
      </c>
      <c r="ET19" t="n">
        <v>3.415699454764138e-08</v>
      </c>
      <c r="EU19" t="n">
        <v>0</v>
      </c>
      <c r="EV19" t="n">
        <v>7.329460605664829e-09</v>
      </c>
      <c r="EW19" t="n">
        <v>9.944566812682173e-08</v>
      </c>
      <c r="EX19" t="n">
        <v>2.414323997621135e-08</v>
      </c>
      <c r="EY19" t="n">
        <v>2.794116550813031e-08</v>
      </c>
      <c r="EZ19" t="n">
        <v>7.980067965185625e-07</v>
      </c>
      <c r="FA19" t="n">
        <v>2.626896580593722e-08</v>
      </c>
      <c r="FB19" t="n">
        <v>2.095153754812948e-08</v>
      </c>
      <c r="FC19" t="n">
        <v>3.674825530204696e-08</v>
      </c>
      <c r="FD19" t="n">
        <v>3.699155228749812e-08</v>
      </c>
      <c r="FE19" t="n">
        <v>9.579215511438013e-08</v>
      </c>
      <c r="FF19" t="n">
        <v>7.50538520460887e-08</v>
      </c>
      <c r="FG19" t="n">
        <v>2.67198321361176e-08</v>
      </c>
      <c r="FH19" t="n">
        <v>4.038487671503882e-08</v>
      </c>
      <c r="FI19" t="n">
        <v>2.763373737353265e-08</v>
      </c>
      <c r="FJ19" t="n">
        <v>3.776079528530463e-08</v>
      </c>
      <c r="FK19" t="n">
        <v>3.986217326489564e-08</v>
      </c>
      <c r="FL19" t="n">
        <v>2.698403590653053e-08</v>
      </c>
      <c r="FM19" t="n">
        <v>9.29118514184231e-08</v>
      </c>
      <c r="FN19" t="n">
        <v>5.283443361509382e-08</v>
      </c>
      <c r="FO19" t="n">
        <v>1.597476612491968e-07</v>
      </c>
      <c r="FP19" t="n">
        <v>7.336151841148987e-08</v>
      </c>
      <c r="FQ19" t="n">
        <v>4.701285949731972e-08</v>
      </c>
      <c r="FR19" t="n">
        <v>1.451651832948624e-07</v>
      </c>
      <c r="FS19" t="n">
        <v>8.990899998413654e-08</v>
      </c>
      <c r="FT19" t="n">
        <v>3.665000066335977e-08</v>
      </c>
      <c r="FU19" t="n">
        <v>3.650575142079462e-08</v>
      </c>
      <c r="FV19" t="n">
        <v>3.625631032982686e-08</v>
      </c>
      <c r="FW19" t="n">
        <v>3.663494800483129e-08</v>
      </c>
      <c r="FX19" t="n">
        <v>3.578470585262449e-08</v>
      </c>
      <c r="FY19" t="n">
        <v>3.632247709448698e-08</v>
      </c>
      <c r="FZ19" t="n">
        <v>3.630966543844716e-08</v>
      </c>
      <c r="GA19" t="n">
        <v>3.523816165204871e-08</v>
      </c>
      <c r="GB19" t="n">
        <v>3.260643778912052e-08</v>
      </c>
      <c r="GC19" t="n">
        <v>3.448307978122952e-08</v>
      </c>
      <c r="GD19" t="n">
        <v>3.539380227301349e-08</v>
      </c>
      <c r="GE19" t="n">
        <v>1.52979731298438e-08</v>
      </c>
      <c r="GF19" t="n">
        <v>3.62662281366693e-08</v>
      </c>
      <c r="GG19" t="n">
        <v>3.601143214887728e-08</v>
      </c>
      <c r="GH19" t="n">
        <v>3.562314084735357e-08</v>
      </c>
      <c r="GI19" t="n">
        <v>3.585392942104691e-08</v>
      </c>
      <c r="GJ19" t="n">
        <v>3.528744073739698e-08</v>
      </c>
      <c r="GK19" t="n">
        <v>3.624172034714321e-08</v>
      </c>
      <c r="GL19" t="n">
        <v>3.539295121926347e-08</v>
      </c>
      <c r="GM19" t="n">
        <v>3.575157144370831e-08</v>
      </c>
      <c r="GN19" t="n">
        <v>6.48498310969727e-08</v>
      </c>
      <c r="GO19" t="n">
        <v>2.241385484949441e-07</v>
      </c>
      <c r="GP19" t="n">
        <v>1.136335157107407e-08</v>
      </c>
      <c r="GQ19" t="n">
        <v>0</v>
      </c>
      <c r="GR19" t="n">
        <v>2.574973000840566e-06</v>
      </c>
      <c r="GS19" t="n">
        <v>3.080797267452974e-05</v>
      </c>
      <c r="GT19" t="n">
        <v>6.646165481257275e-06</v>
      </c>
      <c r="GU19" t="n">
        <v>1.172503000763374e-05</v>
      </c>
      <c r="GV19" t="n">
        <v>1.218188200383948e-05</v>
      </c>
      <c r="GW19" t="n">
        <v>7.240341571324001e-06</v>
      </c>
      <c r="GX19" t="n">
        <v>4.240323617418568e-08</v>
      </c>
      <c r="GY19" t="n">
        <v>3.38778754943161e-08</v>
      </c>
      <c r="GZ19" t="n">
        <v>8.802466691011673e-08</v>
      </c>
      <c r="HA19" t="n">
        <v>4.669219135489918e-08</v>
      </c>
      <c r="HB19" t="n">
        <v>7.980067965185625e-07</v>
      </c>
      <c r="HC19" t="n">
        <v>8.748992668338542e-08</v>
      </c>
    </row>
    <row r="20">
      <c r="A20" s="1" t="inlineStr">
        <is>
          <t>M_row</t>
        </is>
      </c>
      <c r="B20" t="n">
        <v>1.346085346462098e-05</v>
      </c>
      <c r="C20" t="n">
        <v>2.796650663778368e-05</v>
      </c>
      <c r="D20" t="n">
        <v>2.10371644644485e-05</v>
      </c>
      <c r="E20" t="n">
        <v>8.091426657204e-06</v>
      </c>
      <c r="F20" t="n">
        <v>1.960820520839743e-05</v>
      </c>
      <c r="G20" t="n">
        <v>5.453418782656699e-06</v>
      </c>
      <c r="H20" t="n">
        <v>0.0001702083402173757</v>
      </c>
      <c r="I20" t="n">
        <v>9.997188038955576e-06</v>
      </c>
      <c r="J20" t="n">
        <v>0.0001567329794153751</v>
      </c>
      <c r="K20" t="n">
        <v>3.241673297530776e-05</v>
      </c>
      <c r="L20" t="n">
        <v>3.015011300355818e-05</v>
      </c>
      <c r="M20" t="n">
        <v>7.340471843977968e-05</v>
      </c>
      <c r="N20" t="n">
        <v>1.240473700164364e-05</v>
      </c>
      <c r="O20" t="n">
        <v>0</v>
      </c>
      <c r="P20" t="n">
        <v>0.0001126701325641588</v>
      </c>
      <c r="Q20" t="n">
        <v>0</v>
      </c>
      <c r="R20" t="n">
        <v>0</v>
      </c>
      <c r="S20" t="n">
        <v>9.021785518481984e-07</v>
      </c>
      <c r="T20" t="n">
        <v>1.005788089114065e-05</v>
      </c>
      <c r="U20" t="n">
        <v>2.732687659686395e-08</v>
      </c>
      <c r="V20" t="n">
        <v>1.310153216406417e-08</v>
      </c>
      <c r="W20" t="n">
        <v>7.020333096242566e-08</v>
      </c>
      <c r="X20" t="n">
        <v>0</v>
      </c>
      <c r="Y20" t="n">
        <v>4.579602197800085e-08</v>
      </c>
      <c r="Z20" t="n">
        <v>1.308281812515173e-07</v>
      </c>
      <c r="AA20" t="n">
        <v>4.483263492581565e-07</v>
      </c>
      <c r="AB20" t="n">
        <v>0</v>
      </c>
      <c r="AC20" t="n">
        <v>1.461426116632632e-07</v>
      </c>
      <c r="AD20" t="n">
        <v>9.467703421074955e-09</v>
      </c>
      <c r="AE20" t="n">
        <v>1.471562418987316e-06</v>
      </c>
      <c r="AF20" t="n">
        <v>0</v>
      </c>
      <c r="AG20" t="n">
        <v>7.772801416350718e-08</v>
      </c>
      <c r="AH20" t="n">
        <v>1.030322311889364e-10</v>
      </c>
      <c r="AI20" t="n">
        <v>0.0003791393360597637</v>
      </c>
      <c r="AJ20" t="n">
        <v>1.006287895196975e-06</v>
      </c>
      <c r="AK20" t="n">
        <v>1.197638926089839e-08</v>
      </c>
      <c r="AL20" t="n">
        <v>2.167992789605401e-06</v>
      </c>
      <c r="AM20" t="n">
        <v>6.239197740357748e-08</v>
      </c>
      <c r="AN20" t="n">
        <v>4.242601680589587e-09</v>
      </c>
      <c r="AO20" t="n">
        <v>3.924662251485065e-08</v>
      </c>
      <c r="AP20" t="n">
        <v>9.336220869739547e-09</v>
      </c>
      <c r="AQ20" t="n">
        <v>4.735612157866267e-08</v>
      </c>
      <c r="AR20" t="n">
        <v>1.714443706502041e-05</v>
      </c>
      <c r="AS20" t="n">
        <v>1.558300989777764e-05</v>
      </c>
      <c r="AT20" t="n">
        <v>7.62891067881159e-06</v>
      </c>
      <c r="AU20" t="n">
        <v>2.030191151435246e-06</v>
      </c>
      <c r="AV20" t="n">
        <v>5.404354521964299e-06</v>
      </c>
      <c r="AW20" t="n">
        <v>9.93539353767843e-06</v>
      </c>
      <c r="AX20" t="n">
        <v>4.459892899680468e-06</v>
      </c>
      <c r="AY20" t="n">
        <v>6.820230966795332e-06</v>
      </c>
      <c r="AZ20" t="n">
        <v>6.102109031706498e-06</v>
      </c>
      <c r="BA20" t="n">
        <v>3.18592646520756e-06</v>
      </c>
      <c r="BB20" t="n">
        <v>2.204265950771164e-06</v>
      </c>
      <c r="BC20" t="n">
        <v>1.073260763163747e-06</v>
      </c>
      <c r="BD20" t="n">
        <v>1.865276363872091e-06</v>
      </c>
      <c r="BE20" t="n">
        <v>1.76839125539127e-06</v>
      </c>
      <c r="BF20" t="n">
        <v>2.990475493642928e-06</v>
      </c>
      <c r="BG20" t="n">
        <v>9.76358868816998e-07</v>
      </c>
      <c r="BH20" t="n">
        <v>0</v>
      </c>
      <c r="BI20" t="n">
        <v>2.050825156054802e-06</v>
      </c>
      <c r="BJ20" t="n">
        <v>0</v>
      </c>
      <c r="BK20" t="n">
        <v>4.325308132718303e-07</v>
      </c>
      <c r="BL20" t="n">
        <v>2.863290031864243e-07</v>
      </c>
      <c r="BM20" t="n">
        <v>2.817233904085645e-07</v>
      </c>
      <c r="BN20" t="n">
        <v>0</v>
      </c>
      <c r="BO20" t="n">
        <v>0</v>
      </c>
      <c r="BP20" t="n">
        <v>6.920275335852525e-06</v>
      </c>
      <c r="BQ20" t="n">
        <v>3.142710848792641e-08</v>
      </c>
      <c r="BR20" t="n">
        <v>0</v>
      </c>
      <c r="BS20" t="n">
        <v>4.409771429761624e-07</v>
      </c>
      <c r="BT20" t="n">
        <v>1.164875133189769e-07</v>
      </c>
      <c r="BU20" t="n">
        <v>1.803577241026249e-07</v>
      </c>
      <c r="BV20" t="n">
        <v>1.66120868251976e-06</v>
      </c>
      <c r="BW20" t="n">
        <v>0</v>
      </c>
      <c r="BX20" t="n">
        <v>2.471012247623541e-07</v>
      </c>
      <c r="BY20" t="n">
        <v>1.273968658981265e-07</v>
      </c>
      <c r="BZ20" t="n">
        <v>0</v>
      </c>
      <c r="CA20" t="n">
        <v>1.763037441211993e-07</v>
      </c>
      <c r="CB20" t="n">
        <v>0</v>
      </c>
      <c r="CC20" t="n">
        <v>0</v>
      </c>
      <c r="CD20" t="n">
        <v>1.023351960240426e-07</v>
      </c>
      <c r="CE20" t="n">
        <v>0</v>
      </c>
      <c r="CF20" t="n">
        <v>6.831861300195261e-08</v>
      </c>
      <c r="CG20" t="n">
        <v>5.817383976560152e-08</v>
      </c>
      <c r="CH20" t="n">
        <v>0</v>
      </c>
      <c r="CI20" t="n">
        <v>2.043922654732924e-06</v>
      </c>
      <c r="CJ20" t="n">
        <v>0</v>
      </c>
      <c r="CK20" t="n">
        <v>3.733235035398133e-06</v>
      </c>
      <c r="CL20" t="n">
        <v>8.933895935705183e-06</v>
      </c>
      <c r="CM20" t="n">
        <v>9.576226832567685e-07</v>
      </c>
      <c r="CN20" t="n">
        <v>0</v>
      </c>
      <c r="CO20" t="n">
        <v>9.518559995567222e-06</v>
      </c>
      <c r="CP20" t="n">
        <v>0</v>
      </c>
      <c r="CQ20" t="n">
        <v>0</v>
      </c>
      <c r="CR20" t="n">
        <v>0</v>
      </c>
      <c r="CS20" t="n">
        <v>4.906332322734009e-07</v>
      </c>
      <c r="CT20" t="n">
        <v>0</v>
      </c>
      <c r="CU20" t="n">
        <v>5.44635494555528e-07</v>
      </c>
      <c r="CV20" t="n">
        <v>4.497025457652206e-07</v>
      </c>
      <c r="CW20" t="n">
        <v>3.503118909532082e-07</v>
      </c>
      <c r="CX20" t="n">
        <v>0</v>
      </c>
      <c r="CY20" t="n">
        <v>4.203619959337454e-07</v>
      </c>
      <c r="CZ20" t="n">
        <v>3.29449561035642e-07</v>
      </c>
      <c r="DA20" t="n">
        <v>0</v>
      </c>
      <c r="DB20" t="n">
        <v>1.208664009151258e-06</v>
      </c>
      <c r="DC20" t="n">
        <v>0</v>
      </c>
      <c r="DD20" t="n">
        <v>5.907061141345602e-07</v>
      </c>
      <c r="DE20" t="n">
        <v>0</v>
      </c>
      <c r="DF20" t="n">
        <v>1.16386370321322e-06</v>
      </c>
      <c r="DG20" t="n">
        <v>0</v>
      </c>
      <c r="DH20" t="n">
        <v>6.968746018728974e-07</v>
      </c>
      <c r="DI20" t="n">
        <v>0</v>
      </c>
      <c r="DJ20" t="n">
        <v>6.019551687252266e-07</v>
      </c>
      <c r="DK20" t="n">
        <v>0</v>
      </c>
      <c r="DL20" t="n">
        <v>0</v>
      </c>
      <c r="DM20" t="n">
        <v>3.149792068222065e-07</v>
      </c>
      <c r="DN20" t="n">
        <v>1.54360607861831e-07</v>
      </c>
      <c r="DO20" t="n">
        <v>8.360237209878668e-07</v>
      </c>
      <c r="DP20" t="n">
        <v>1.705280273119385e-07</v>
      </c>
      <c r="DQ20" t="n">
        <v>1.473077376257432e-07</v>
      </c>
      <c r="DR20" t="n">
        <v>8.664367240647889e-08</v>
      </c>
      <c r="DS20" t="n">
        <v>3.309409118048388e-07</v>
      </c>
      <c r="DT20" t="n">
        <v>2.027249322363759e-07</v>
      </c>
      <c r="DU20" t="n">
        <v>7.453886053995659e-07</v>
      </c>
      <c r="DV20" t="n">
        <v>0</v>
      </c>
      <c r="DW20" t="n">
        <v>0</v>
      </c>
      <c r="DX20" t="n">
        <v>1.248579141551408e-07</v>
      </c>
      <c r="DY20" t="n">
        <v>5.892069603268281e-07</v>
      </c>
      <c r="DZ20" t="n">
        <v>1.942981734224659e-06</v>
      </c>
      <c r="EA20" t="n">
        <v>1.284858958814124e-06</v>
      </c>
      <c r="EB20" t="n">
        <v>5.545226756561409e-07</v>
      </c>
      <c r="EC20" t="n">
        <v>2.545682395678141e-07</v>
      </c>
      <c r="ED20" t="n">
        <v>1.031673185781428e-06</v>
      </c>
      <c r="EE20" t="n">
        <v>1.452164703289439e-06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6.31592654907556e-07</v>
      </c>
      <c r="EU20" t="n">
        <v>0</v>
      </c>
      <c r="EV20" t="n">
        <v>3.886017258077278e-07</v>
      </c>
      <c r="EW20" t="n">
        <v>2.988351817763217e-06</v>
      </c>
      <c r="EX20" t="n">
        <v>6.950949600942781e-07</v>
      </c>
      <c r="EY20" t="n">
        <v>6.072557338242856e-07</v>
      </c>
      <c r="EZ20" t="n">
        <v>2.127980245420611e-06</v>
      </c>
      <c r="FA20" t="n">
        <v>5.045513354155346e-07</v>
      </c>
      <c r="FB20" t="n">
        <v>3.082416243933417e-07</v>
      </c>
      <c r="FC20" t="n">
        <v>1.18278818835162e-06</v>
      </c>
      <c r="FD20" t="n">
        <v>7.151829736002659e-07</v>
      </c>
      <c r="FE20" t="n">
        <v>1.479116211611441e-06</v>
      </c>
      <c r="FF20" t="n">
        <v>5.920853193825346e-07</v>
      </c>
      <c r="FG20" t="n">
        <v>4.045520077805837e-07</v>
      </c>
      <c r="FH20" t="n">
        <v>2.270546061815316e-07</v>
      </c>
      <c r="FI20" t="n">
        <v>1.377224989858529e-07</v>
      </c>
      <c r="FJ20" t="n">
        <v>1.997691766894962e-07</v>
      </c>
      <c r="FK20" t="n">
        <v>2.053732678777219e-07</v>
      </c>
      <c r="FL20" t="n">
        <v>1.793595772947257e-07</v>
      </c>
      <c r="FM20" t="n">
        <v>5.056012955836157e-07</v>
      </c>
      <c r="FN20" t="n">
        <v>3.389289602430836e-07</v>
      </c>
      <c r="FO20" t="n">
        <v>9.479397151497038e-07</v>
      </c>
      <c r="FP20" t="n">
        <v>2.634366637370734e-07</v>
      </c>
      <c r="FQ20" t="n">
        <v>5.566757985838096e-07</v>
      </c>
      <c r="FR20" t="n">
        <v>4.230286947283022e-07</v>
      </c>
      <c r="FS20" t="n">
        <v>8.756421773263495e-07</v>
      </c>
      <c r="FT20" t="n">
        <v>5.711164103528903e-07</v>
      </c>
      <c r="FU20" t="n">
        <v>2.521697672960619e-07</v>
      </c>
      <c r="FV20" t="n">
        <v>2.14692715650887e-07</v>
      </c>
      <c r="FW20" t="n">
        <v>3.069205803303566e-07</v>
      </c>
      <c r="FX20" t="n">
        <v>1.946838142963119e-07</v>
      </c>
      <c r="FY20" t="n">
        <v>2.686879949530036e-07</v>
      </c>
      <c r="FZ20" t="n">
        <v>2.742468231985751e-07</v>
      </c>
      <c r="GA20" t="n">
        <v>1.737689676116489e-07</v>
      </c>
      <c r="GB20" t="n">
        <v>2.470484061589348e-07</v>
      </c>
      <c r="GC20" t="n">
        <v>2.897454934121192e-07</v>
      </c>
      <c r="GD20" t="n">
        <v>3.060766111700689e-07</v>
      </c>
      <c r="GE20" t="n">
        <v>1.193339289544578e-07</v>
      </c>
      <c r="GF20" t="n">
        <v>1.607773293496604e-07</v>
      </c>
      <c r="GG20" t="n">
        <v>2.637197249433814e-07</v>
      </c>
      <c r="GH20" t="n">
        <v>1.857934228703614e-07</v>
      </c>
      <c r="GI20" t="n">
        <v>1.718996074549285e-07</v>
      </c>
      <c r="GJ20" t="n">
        <v>1.370373276356391e-07</v>
      </c>
      <c r="GK20" t="n">
        <v>2.819106027656406e-07</v>
      </c>
      <c r="GL20" t="n">
        <v>1.489054550623507e-07</v>
      </c>
      <c r="GM20" t="n">
        <v>1.752121790856181e-07</v>
      </c>
      <c r="GN20" t="n">
        <v>1.022831714042464e-06</v>
      </c>
      <c r="GO20" t="n">
        <v>5.461331894629674e-07</v>
      </c>
      <c r="GP20" t="n">
        <v>1.067568838731889e-06</v>
      </c>
      <c r="GQ20" t="n">
        <v>0</v>
      </c>
      <c r="GR20" t="n">
        <v>8.031322861130241e-06</v>
      </c>
      <c r="GS20" t="n">
        <v>1.714443706502041e-05</v>
      </c>
      <c r="GT20" t="n">
        <v>8.240426104938047e-06</v>
      </c>
      <c r="GU20" t="n">
        <v>1.03214724236558e-05</v>
      </c>
      <c r="GV20" t="n">
        <v>9.935393537678431e-06</v>
      </c>
      <c r="GW20" t="n">
        <v>5.779749006689943e-06</v>
      </c>
      <c r="GX20" t="n">
        <v>3.536998470360157e-07</v>
      </c>
      <c r="GY20" t="n">
        <v>3.99379586233883e-07</v>
      </c>
      <c r="GZ20" t="n">
        <v>2.150503718903962e-06</v>
      </c>
      <c r="HA20" t="n">
        <v>4.216669884054279e-07</v>
      </c>
      <c r="HB20" t="n">
        <v>0</v>
      </c>
      <c r="HC20" t="n">
        <v>4.736316086511236e-07</v>
      </c>
    </row>
    <row r="21">
      <c r="A21" s="1" t="inlineStr">
        <is>
          <t>Y_imp</t>
        </is>
      </c>
      <c r="B21" t="n">
        <v>12.58953104607659</v>
      </c>
      <c r="C21" t="n">
        <v>393.4168379264765</v>
      </c>
      <c r="D21" t="n">
        <v>6.170733505199777</v>
      </c>
      <c r="E21" t="n">
        <v>6666.413095894283</v>
      </c>
      <c r="F21" t="n">
        <v>709.1867968887566</v>
      </c>
      <c r="G21" t="n">
        <v>0</v>
      </c>
      <c r="H21" t="n">
        <v>18.17377665812187</v>
      </c>
      <c r="I21" t="n">
        <v>418.3549082338893</v>
      </c>
      <c r="J21" t="n">
        <v>0</v>
      </c>
      <c r="K21" t="n">
        <v>0</v>
      </c>
      <c r="L21" t="n">
        <v>37.6718724459</v>
      </c>
      <c r="M21" t="n">
        <v>134.968553567</v>
      </c>
      <c r="N21" t="n">
        <v>358.935505393</v>
      </c>
      <c r="O21" t="n">
        <v>0</v>
      </c>
      <c r="P21" t="n">
        <v>0</v>
      </c>
      <c r="Q21" t="n">
        <v>0</v>
      </c>
      <c r="R21" t="n">
        <v>0</v>
      </c>
      <c r="S21" t="n">
        <v>324.7181188907604</v>
      </c>
      <c r="T21" t="n">
        <v>191.524540960959</v>
      </c>
      <c r="U21" t="n">
        <v>6.3533008602</v>
      </c>
      <c r="V21" t="n">
        <v>0</v>
      </c>
      <c r="W21" t="n">
        <v>14.9039839728</v>
      </c>
      <c r="X21" t="n">
        <v>0</v>
      </c>
      <c r="Y21" t="n">
        <v>14.5218305376</v>
      </c>
      <c r="Z21" t="n">
        <v>0</v>
      </c>
      <c r="AA21" t="n">
        <v>0</v>
      </c>
      <c r="AB21" t="n">
        <v>0</v>
      </c>
      <c r="AC21" t="n">
        <v>0</v>
      </c>
      <c r="AD21" t="n">
        <v>10172.62054431125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1038.49431455</v>
      </c>
      <c r="AS21" t="n">
        <v>596.450475476</v>
      </c>
      <c r="AT21" t="n">
        <v>892.77666271</v>
      </c>
      <c r="AU21" t="n">
        <v>2166.43173804</v>
      </c>
      <c r="AV21" t="n">
        <v>152.524386109</v>
      </c>
      <c r="AW21" t="n">
        <v>1806.03861601</v>
      </c>
      <c r="AX21" t="n">
        <v>130.972569754</v>
      </c>
      <c r="AY21" t="n">
        <v>92.7266572539</v>
      </c>
      <c r="AZ21" t="n">
        <v>11484.8366485</v>
      </c>
      <c r="BA21" t="n">
        <v>1737.93637934</v>
      </c>
      <c r="BB21" t="n">
        <v>1549.8190821</v>
      </c>
      <c r="BC21" t="n">
        <v>1749.27710897</v>
      </c>
      <c r="BD21" t="n">
        <v>5191.81852316</v>
      </c>
      <c r="BE21" t="n">
        <v>10896.3904117</v>
      </c>
      <c r="BF21" t="n">
        <v>6719.86299841</v>
      </c>
      <c r="BG21" t="n">
        <v>627.2895343705732</v>
      </c>
      <c r="BH21" t="n">
        <v>64.05277614142688</v>
      </c>
      <c r="BI21" t="n">
        <v>0</v>
      </c>
      <c r="BJ21" t="n">
        <v>0</v>
      </c>
      <c r="BK21" t="n">
        <v>1766.04037623</v>
      </c>
      <c r="BL21" t="n">
        <v>1559.83702366</v>
      </c>
      <c r="BM21" t="n">
        <v>0.1066507278430744</v>
      </c>
      <c r="BN21" t="n">
        <v>0</v>
      </c>
      <c r="BO21" t="n">
        <v>0</v>
      </c>
      <c r="BP21" t="n">
        <v>262.4815319927819</v>
      </c>
      <c r="BQ21" t="n">
        <v>0.2627304867</v>
      </c>
      <c r="BR21" t="n">
        <v>0</v>
      </c>
      <c r="BS21" t="n">
        <v>52.29044704524056</v>
      </c>
      <c r="BT21" t="n">
        <v>157.136715636</v>
      </c>
      <c r="BU21" t="n">
        <v>7198.155178050654</v>
      </c>
      <c r="BV21" t="n">
        <v>1.056828588528105</v>
      </c>
      <c r="BW21" t="n">
        <v>0</v>
      </c>
      <c r="BX21" t="n">
        <v>612.4260780905207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2378.036229680418</v>
      </c>
      <c r="CJ21" t="n">
        <v>286.2161694295821</v>
      </c>
      <c r="CK21" t="n">
        <v>1.678914217057</v>
      </c>
      <c r="CL21" t="n">
        <v>44.52294982682</v>
      </c>
      <c r="CM21" t="n">
        <v>6643.333391030001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895.250211626</v>
      </c>
      <c r="CV21" t="n">
        <v>0.112600342789</v>
      </c>
      <c r="CW21" t="n">
        <v>0.9188687922269055</v>
      </c>
      <c r="CX21" t="n">
        <v>0.0555902005850945</v>
      </c>
      <c r="CY21" t="n">
        <v>791.2557892889999</v>
      </c>
      <c r="CZ21" t="n">
        <v>0.00617002623215275</v>
      </c>
      <c r="DA21" t="n">
        <v>0.0003962561419472482</v>
      </c>
      <c r="DB21" t="n">
        <v>5.425036059269236</v>
      </c>
      <c r="DC21" t="n">
        <v>0.00030458495076355</v>
      </c>
      <c r="DD21" t="n">
        <v>1.326188745780254</v>
      </c>
      <c r="DE21" t="n">
        <v>0.102340521859746</v>
      </c>
      <c r="DF21" t="n">
        <v>0</v>
      </c>
      <c r="DG21" t="n">
        <v>0</v>
      </c>
      <c r="DH21" t="n">
        <v>0</v>
      </c>
      <c r="DI21" t="n">
        <v>0</v>
      </c>
      <c r="DJ21" t="n">
        <v>7.493593020374871</v>
      </c>
      <c r="DK21" t="n">
        <v>0.06099700859512885</v>
      </c>
      <c r="DL21" t="n">
        <v>0</v>
      </c>
      <c r="DM21" t="n">
        <v>2010.42848448</v>
      </c>
      <c r="DN21" t="n">
        <v>520.4741344620001</v>
      </c>
      <c r="DO21" t="n">
        <v>1803.7615755</v>
      </c>
      <c r="DP21" t="n">
        <v>2577.26127398</v>
      </c>
      <c r="DQ21" t="n">
        <v>4696.77493081</v>
      </c>
      <c r="DR21" t="n">
        <v>4669.90644814</v>
      </c>
      <c r="DS21" t="n">
        <v>29014.0209561</v>
      </c>
      <c r="DT21" t="n">
        <v>2813.826555028</v>
      </c>
      <c r="DU21" t="n">
        <v>10799.400247</v>
      </c>
      <c r="DV21" t="n">
        <v>0</v>
      </c>
      <c r="DW21" t="n">
        <v>0</v>
      </c>
      <c r="DX21" t="n">
        <v>63.36121108093538</v>
      </c>
      <c r="DY21" t="n">
        <v>50.54035836745297</v>
      </c>
      <c r="DZ21" t="n">
        <v>20.42194883294816</v>
      </c>
      <c r="EA21" t="n">
        <v>34.97312082171879</v>
      </c>
      <c r="EB21" t="n">
        <v>7.774574842925006</v>
      </c>
      <c r="EC21" t="n">
        <v>7.784159298468468</v>
      </c>
      <c r="ED21" t="n">
        <v>4.48699372323996</v>
      </c>
      <c r="EE21" t="n">
        <v>2.286287747679654</v>
      </c>
      <c r="EF21" t="n">
        <v>0</v>
      </c>
      <c r="EG21" t="n">
        <v>0.004994755577657015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107.8362040536</v>
      </c>
      <c r="EY21" t="n">
        <v>0</v>
      </c>
      <c r="EZ21" t="n">
        <v>0</v>
      </c>
      <c r="FA21" t="n">
        <v>1317.51410816752</v>
      </c>
      <c r="FB21" t="n">
        <v>5070.06724283</v>
      </c>
      <c r="FC21" t="n">
        <v>0.665434672022</v>
      </c>
      <c r="FD21" t="n">
        <v>3107.382957970209</v>
      </c>
      <c r="FE21" t="n">
        <v>243.823954249855</v>
      </c>
      <c r="FF21" t="n">
        <v>8077.98179555482</v>
      </c>
      <c r="FG21" t="n">
        <v>854.2088896967999</v>
      </c>
      <c r="FH21" t="n">
        <v>2604.55483714</v>
      </c>
      <c r="FI21" t="n">
        <v>1220.23761793</v>
      </c>
      <c r="FJ21" t="n">
        <v>1145.74717822</v>
      </c>
      <c r="FK21" t="n">
        <v>0</v>
      </c>
      <c r="FL21" t="n">
        <v>0</v>
      </c>
      <c r="FM21" t="n">
        <v>0</v>
      </c>
      <c r="FN21" t="n">
        <v>1.81215275413</v>
      </c>
      <c r="FO21" t="n">
        <v>1038.66680669</v>
      </c>
      <c r="FP21" t="n">
        <v>652.781205856</v>
      </c>
      <c r="FQ21" t="n">
        <v>1267.51855990752</v>
      </c>
      <c r="FR21" t="n">
        <v>1024.3292228668</v>
      </c>
      <c r="FS21" t="n">
        <v>1545.727142509</v>
      </c>
      <c r="FT21" t="n">
        <v>7.17729398812</v>
      </c>
      <c r="FU21" t="n">
        <v>7.47894238651</v>
      </c>
      <c r="FV21" t="n">
        <v>3.45613363925</v>
      </c>
      <c r="FW21" t="n">
        <v>12.4528250492</v>
      </c>
      <c r="FX21" t="n">
        <v>1.43287113325</v>
      </c>
      <c r="FY21" t="n">
        <v>2.51968033716</v>
      </c>
      <c r="FZ21" t="n">
        <v>7.26812830262</v>
      </c>
      <c r="GA21" t="n">
        <v>0.635575731595</v>
      </c>
      <c r="GB21" t="n">
        <v>0.0431870936057</v>
      </c>
      <c r="GC21" t="n">
        <v>6.216701355879999</v>
      </c>
      <c r="GD21" t="n">
        <v>8.337650195269999</v>
      </c>
      <c r="GE21" t="n">
        <v>0</v>
      </c>
      <c r="GF21" t="n">
        <v>2.85792305986</v>
      </c>
      <c r="GG21" t="n">
        <v>5.47808633417</v>
      </c>
      <c r="GH21" t="n">
        <v>6.61878061193</v>
      </c>
      <c r="GI21" t="n">
        <v>4.28667166764</v>
      </c>
      <c r="GJ21" t="n">
        <v>0.910953415573</v>
      </c>
      <c r="GK21" t="n">
        <v>10.7985323575</v>
      </c>
      <c r="GL21" t="n">
        <v>0.479886330691</v>
      </c>
      <c r="GM21" t="n">
        <v>1.59815003337</v>
      </c>
      <c r="GN21" t="n">
        <v>95.8633370956</v>
      </c>
      <c r="GO21" t="n">
        <v>2481.46822075</v>
      </c>
      <c r="GP21" t="n">
        <v>262.19233730575</v>
      </c>
      <c r="GQ21" t="n">
        <v>0</v>
      </c>
      <c r="GR21" t="n">
        <v>6818.937482003284</v>
      </c>
      <c r="GS21" t="n">
        <v>1038.49431455</v>
      </c>
      <c r="GT21" t="n">
        <v>3828.2993022389</v>
      </c>
      <c r="GU21" t="n">
        <v>2356.498662363959</v>
      </c>
      <c r="GV21" t="n">
        <v>1806.03861601</v>
      </c>
      <c r="GW21" t="n">
        <v>17903.87345874475</v>
      </c>
      <c r="GX21" t="n">
        <v>26463.52351771602</v>
      </c>
      <c r="GY21" t="n">
        <v>58120.83281466164</v>
      </c>
      <c r="GZ21" t="n">
        <v>22808.07193327</v>
      </c>
      <c r="HA21" t="n">
        <v>52451.49181921694</v>
      </c>
      <c r="HB21" t="n">
        <v>0</v>
      </c>
      <c r="HC21" t="n">
        <v>14392.9916857984</v>
      </c>
    </row>
    <row r="22">
      <c r="A22" s="1" t="inlineStr">
        <is>
          <t>Y_dom</t>
        </is>
      </c>
      <c r="B22" t="n">
        <v>111.1237859411297</v>
      </c>
      <c r="C22" t="n">
        <v>6143.007796311505</v>
      </c>
      <c r="D22" t="n">
        <v>370.6834656242983</v>
      </c>
      <c r="E22" t="n">
        <v>10280.1076048156</v>
      </c>
      <c r="F22" t="n">
        <v>726.0784872377837</v>
      </c>
      <c r="G22" t="n">
        <v>0</v>
      </c>
      <c r="H22" t="n">
        <v>514.0743081434518</v>
      </c>
      <c r="I22" t="n">
        <v>0</v>
      </c>
      <c r="J22" t="n">
        <v>0</v>
      </c>
      <c r="K22" t="n">
        <v>0</v>
      </c>
      <c r="L22" t="n">
        <v>3117.91278957</v>
      </c>
      <c r="M22" t="n">
        <v>1889.75665498</v>
      </c>
      <c r="N22" t="n">
        <v>139.245465367</v>
      </c>
      <c r="O22" t="n">
        <v>137.460607966</v>
      </c>
      <c r="P22" t="n">
        <v>0</v>
      </c>
      <c r="Q22" t="n">
        <v>0</v>
      </c>
      <c r="R22" t="n">
        <v>0</v>
      </c>
      <c r="S22" t="n">
        <v>4983.726911349618</v>
      </c>
      <c r="T22" t="n">
        <v>235.5104379290872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7.51704678874619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5050.44137163263</v>
      </c>
      <c r="AS22" t="n">
        <v>2108.07915814567</v>
      </c>
      <c r="AT22" t="n">
        <v>8018.044447814699</v>
      </c>
      <c r="AU22" t="n">
        <v>15949.9837150327</v>
      </c>
      <c r="AV22" t="n">
        <v>26.9606270569</v>
      </c>
      <c r="AW22" t="n">
        <v>8488.22304035583</v>
      </c>
      <c r="AX22" t="n">
        <v>26.83840954758</v>
      </c>
      <c r="AY22" t="n">
        <v>662.143368282305</v>
      </c>
      <c r="AZ22" t="n">
        <v>23360.725289119</v>
      </c>
      <c r="BA22" t="n">
        <v>7010.44186901366</v>
      </c>
      <c r="BB22" t="n">
        <v>2468.4934124624</v>
      </c>
      <c r="BC22" t="n">
        <v>874.533016486</v>
      </c>
      <c r="BD22" t="n">
        <v>2215.3406393403</v>
      </c>
      <c r="BE22" t="n">
        <v>3273.5352910359</v>
      </c>
      <c r="BF22" t="n">
        <v>128.1294884929</v>
      </c>
      <c r="BG22" t="n">
        <v>710.2622544142647</v>
      </c>
      <c r="BH22" t="n">
        <v>438.2363337857354</v>
      </c>
      <c r="BI22" t="n">
        <v>0</v>
      </c>
      <c r="BJ22" t="n">
        <v>0</v>
      </c>
      <c r="BK22" t="n">
        <v>1585.48345099</v>
      </c>
      <c r="BL22" t="n">
        <v>5484.64885857</v>
      </c>
      <c r="BM22" t="n">
        <v>0.7293099116569257</v>
      </c>
      <c r="BN22" t="n">
        <v>0</v>
      </c>
      <c r="BO22" t="n">
        <v>0</v>
      </c>
      <c r="BP22" t="n">
        <v>4666.461821447218</v>
      </c>
      <c r="BQ22" t="n">
        <v>0</v>
      </c>
      <c r="BR22" t="n">
        <v>0</v>
      </c>
      <c r="BS22" t="n">
        <v>43.24791175475945</v>
      </c>
      <c r="BT22" t="n">
        <v>0</v>
      </c>
      <c r="BU22" t="n">
        <v>7435.932931149347</v>
      </c>
      <c r="BV22" t="n">
        <v>2.143706431271896</v>
      </c>
      <c r="BW22" t="n">
        <v>0</v>
      </c>
      <c r="BX22" t="n">
        <v>301.7327080874792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37588.16532331418</v>
      </c>
      <c r="CJ22" t="n">
        <v>1908.19843728582</v>
      </c>
      <c r="CK22" t="n">
        <v>8.09257081484</v>
      </c>
      <c r="CL22" t="n">
        <v>43.7871681139</v>
      </c>
      <c r="CM22" t="n">
        <v>9071.78079087</v>
      </c>
      <c r="CN22" t="n">
        <v>0</v>
      </c>
      <c r="CO22" t="n">
        <v>0</v>
      </c>
      <c r="CP22" t="n">
        <v>347.92681816</v>
      </c>
      <c r="CQ22" t="n">
        <v>984.283941537</v>
      </c>
      <c r="CR22" t="n">
        <v>0</v>
      </c>
      <c r="CS22" t="n">
        <v>0</v>
      </c>
      <c r="CT22" t="n">
        <v>0</v>
      </c>
      <c r="CU22" t="n">
        <v>689.762294742</v>
      </c>
      <c r="CV22" t="n">
        <v>7.73099013119</v>
      </c>
      <c r="CW22" t="n">
        <v>50.51563095007756</v>
      </c>
      <c r="CX22" t="n">
        <v>11.09450161082244</v>
      </c>
      <c r="CY22" t="n">
        <v>967.1063444620002</v>
      </c>
      <c r="CZ22" t="n">
        <v>0.00406246458415987</v>
      </c>
      <c r="DA22" t="n">
        <v>0.00182100319917013</v>
      </c>
      <c r="DB22" t="n">
        <v>0</v>
      </c>
      <c r="DC22" t="n">
        <v>0</v>
      </c>
      <c r="DD22" t="n">
        <v>0.4672341779052208</v>
      </c>
      <c r="DE22" t="n">
        <v>0.2665403071037792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0.145615571681</v>
      </c>
      <c r="DM22" t="n">
        <v>3671.05667554</v>
      </c>
      <c r="DN22" t="n">
        <v>310.999624913</v>
      </c>
      <c r="DO22" t="n">
        <v>0</v>
      </c>
      <c r="DP22" t="n">
        <v>1938.44845799</v>
      </c>
      <c r="DQ22" t="n">
        <v>1956.93538405</v>
      </c>
      <c r="DR22" t="n">
        <v>2869.15447629</v>
      </c>
      <c r="DS22" t="n">
        <v>26547.7846919</v>
      </c>
      <c r="DT22" t="n">
        <v>1501.0289734745</v>
      </c>
      <c r="DU22" t="n">
        <v>7391.270739749999</v>
      </c>
      <c r="DV22" t="n">
        <v>0</v>
      </c>
      <c r="DW22" t="n">
        <v>0</v>
      </c>
      <c r="DX22" t="n">
        <v>160.5329327670646</v>
      </c>
      <c r="DY22" t="n">
        <v>458.081979294547</v>
      </c>
      <c r="DZ22" t="n">
        <v>10186.75299786705</v>
      </c>
      <c r="EA22" t="n">
        <v>1235.352666958281</v>
      </c>
      <c r="EB22" t="n">
        <v>488.069507329075</v>
      </c>
      <c r="EC22" t="n">
        <v>36.95167720963154</v>
      </c>
      <c r="ED22" t="n">
        <v>213.02996467476</v>
      </c>
      <c r="EE22" t="n">
        <v>167.1032224043203</v>
      </c>
      <c r="EF22" t="n">
        <v>0</v>
      </c>
      <c r="EG22" t="n">
        <v>11.36406994162234</v>
      </c>
      <c r="EH22" t="n">
        <v>0</v>
      </c>
      <c r="EI22" t="n">
        <v>0</v>
      </c>
      <c r="EJ22" t="n">
        <v>2459.82274317</v>
      </c>
      <c r="EK22" t="n">
        <v>9539.403568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8925.814611510001</v>
      </c>
      <c r="ER22" t="n">
        <v>1377.80644143</v>
      </c>
      <c r="ES22" t="n">
        <v>5628.20353823</v>
      </c>
      <c r="ET22" t="n">
        <v>8796.46644765</v>
      </c>
      <c r="EU22" t="n">
        <v>0</v>
      </c>
      <c r="EV22" t="n">
        <v>30296.038247431</v>
      </c>
      <c r="EW22" t="n">
        <v>769.0573023287</v>
      </c>
      <c r="EX22" t="n">
        <v>9886.43859541</v>
      </c>
      <c r="EY22" t="n">
        <v>7198.74526698</v>
      </c>
      <c r="EZ22" t="n">
        <v>83954.16485263</v>
      </c>
      <c r="FA22" t="n">
        <v>15294.563008583</v>
      </c>
      <c r="FB22" t="n">
        <v>30950.3724516</v>
      </c>
      <c r="FC22" t="n">
        <v>308.121759012</v>
      </c>
      <c r="FD22" t="n">
        <v>1190.086000744</v>
      </c>
      <c r="FE22" t="n">
        <v>749.5853719010657</v>
      </c>
      <c r="FF22" t="n">
        <v>11302.3998226312</v>
      </c>
      <c r="FG22" t="n">
        <v>16771.579081532</v>
      </c>
      <c r="FH22" t="n">
        <v>42904.6385463</v>
      </c>
      <c r="FI22" t="n">
        <v>13529.354277</v>
      </c>
      <c r="FJ22" t="n">
        <v>31909.8454513</v>
      </c>
      <c r="FK22" t="n">
        <v>0</v>
      </c>
      <c r="FL22" t="n">
        <v>242143.1325731</v>
      </c>
      <c r="FM22" t="n">
        <v>3328.271032657</v>
      </c>
      <c r="FN22" t="n">
        <v>70.8903087324</v>
      </c>
      <c r="FO22" t="n">
        <v>11126.0696009</v>
      </c>
      <c r="FP22" t="n">
        <v>15846.2651147</v>
      </c>
      <c r="FQ22" t="n">
        <v>186753.738044755</v>
      </c>
      <c r="FR22" t="n">
        <v>130808.66813279</v>
      </c>
      <c r="FS22" t="n">
        <v>258670.8658642</v>
      </c>
      <c r="FT22" t="n">
        <v>767.062811341</v>
      </c>
      <c r="FU22" t="n">
        <v>804.795130685</v>
      </c>
      <c r="FV22" t="n">
        <v>332.707084072</v>
      </c>
      <c r="FW22" t="n">
        <v>949.25281436</v>
      </c>
      <c r="FX22" t="n">
        <v>167.741871249</v>
      </c>
      <c r="FY22" t="n">
        <v>222.57871309</v>
      </c>
      <c r="FZ22" t="n">
        <v>919.981640762</v>
      </c>
      <c r="GA22" t="n">
        <v>70.53742816650001</v>
      </c>
      <c r="GB22" t="n">
        <v>6.1009405067</v>
      </c>
      <c r="GC22" t="n">
        <v>773.519846848</v>
      </c>
      <c r="GD22" t="n">
        <v>479.801236121</v>
      </c>
      <c r="GE22" t="n">
        <v>1.88906969237</v>
      </c>
      <c r="GF22" t="n">
        <v>266.243214735</v>
      </c>
      <c r="GG22" t="n">
        <v>472.339913116</v>
      </c>
      <c r="GH22" t="n">
        <v>460.334042583</v>
      </c>
      <c r="GI22" t="n">
        <v>317.565150196</v>
      </c>
      <c r="GJ22" t="n">
        <v>84.5779130124</v>
      </c>
      <c r="GK22" t="n">
        <v>1333.35580079</v>
      </c>
      <c r="GL22" t="n">
        <v>52.3022720474</v>
      </c>
      <c r="GM22" t="n">
        <v>192.223716855</v>
      </c>
      <c r="GN22" t="n">
        <v>22590.5100676</v>
      </c>
      <c r="GO22" t="n">
        <v>71885.0849681</v>
      </c>
      <c r="GP22" t="n">
        <v>11238.476071223</v>
      </c>
      <c r="GQ22" t="n">
        <v>0</v>
      </c>
      <c r="GR22" t="n">
        <v>10307.0682318725</v>
      </c>
      <c r="GS22" t="n">
        <v>5050.44137163263</v>
      </c>
      <c r="GT22" t="n">
        <v>31083.77676554307</v>
      </c>
      <c r="GU22" t="n">
        <v>8862.978943651917</v>
      </c>
      <c r="GV22" t="n">
        <v>8625.68364832183</v>
      </c>
      <c r="GW22" t="n">
        <v>35754.45194623331</v>
      </c>
      <c r="GX22" t="n">
        <v>348068.806370803</v>
      </c>
      <c r="GY22" t="n">
        <v>115961.4466882009</v>
      </c>
      <c r="GZ22" t="n">
        <v>5617.0054188691</v>
      </c>
      <c r="HA22" t="n">
        <v>76311.73408172725</v>
      </c>
      <c r="HB22" t="n">
        <v>83954.16485263</v>
      </c>
      <c r="HC22" t="n">
        <v>879887.6501223976</v>
      </c>
    </row>
    <row r="23">
      <c r="A23" s="1" t="inlineStr">
        <is>
          <t>M_imp*Y_dom</t>
        </is>
      </c>
      <c r="B23" t="n">
        <v>1.672553448361306e-05</v>
      </c>
      <c r="C23" t="n">
        <v>0.0006115414484685852</v>
      </c>
      <c r="D23" t="n">
        <v>2.406162523439179e-05</v>
      </c>
      <c r="E23" t="n">
        <v>0.003334478716259871</v>
      </c>
      <c r="F23" t="n">
        <v>0.0001172544426722246</v>
      </c>
      <c r="G23" t="n">
        <v>0</v>
      </c>
      <c r="H23" t="n">
        <v>3.83518028125697e-05</v>
      </c>
      <c r="I23" t="n">
        <v>0</v>
      </c>
      <c r="J23" t="n">
        <v>0</v>
      </c>
      <c r="K23" t="n">
        <v>0</v>
      </c>
      <c r="L23" t="n">
        <v>0.002301552318394041</v>
      </c>
      <c r="M23" t="n">
        <v>0.001303028205621644</v>
      </c>
      <c r="N23" t="n">
        <v>0.0001351179632202448</v>
      </c>
      <c r="O23" t="n">
        <v>0.0001635742739514966</v>
      </c>
      <c r="P23" t="n">
        <v>0</v>
      </c>
      <c r="Q23" t="n">
        <v>0</v>
      </c>
      <c r="R23" t="n">
        <v>0</v>
      </c>
      <c r="S23" t="n">
        <v>0.0002873824606066829</v>
      </c>
      <c r="T23" t="n">
        <v>0.0004172348518201231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5.993857376882719e-05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0.005869071229386328</v>
      </c>
      <c r="AS23" t="n">
        <v>0.0009594750831318136</v>
      </c>
      <c r="AT23" t="n">
        <v>0.006155362326055668</v>
      </c>
      <c r="AU23" t="n">
        <v>0.02192958860121391</v>
      </c>
      <c r="AV23" t="n">
        <v>1.655157428125545e-05</v>
      </c>
      <c r="AW23" t="n">
        <v>0.006997753303587878</v>
      </c>
      <c r="AX23" t="n">
        <v>3.529805218033908e-06</v>
      </c>
      <c r="AY23" t="n">
        <v>0.0001694054888034437</v>
      </c>
      <c r="AZ23" t="n">
        <v>0.02234122180523799</v>
      </c>
      <c r="BA23" t="n">
        <v>0.004390984319944651</v>
      </c>
      <c r="BB23" t="n">
        <v>0.00288690069617665</v>
      </c>
      <c r="BC23" t="n">
        <v>0.0001548913899852859</v>
      </c>
      <c r="BD23" t="n">
        <v>0.0009115597411981504</v>
      </c>
      <c r="BE23" t="n">
        <v>0.0007505644377562719</v>
      </c>
      <c r="BF23" t="n">
        <v>5.133132323366339e-05</v>
      </c>
      <c r="BG23" t="n">
        <v>0.0001317018477955436</v>
      </c>
      <c r="BH23" t="n">
        <v>6.402731813239321e-05</v>
      </c>
      <c r="BI23" t="n">
        <v>0</v>
      </c>
      <c r="BJ23" t="n">
        <v>0</v>
      </c>
      <c r="BK23" t="n">
        <v>0.0005826847214919358</v>
      </c>
      <c r="BL23" t="n">
        <v>0.0007403180453303995</v>
      </c>
      <c r="BM23" t="n">
        <v>1.130179587024855e-08</v>
      </c>
      <c r="BN23" t="n">
        <v>0</v>
      </c>
      <c r="BO23" t="n">
        <v>0</v>
      </c>
      <c r="BP23" t="n">
        <v>0.002363703690499009</v>
      </c>
      <c r="BQ23" t="n">
        <v>0</v>
      </c>
      <c r="BR23" t="n">
        <v>0</v>
      </c>
      <c r="BS23" t="n">
        <v>5.646240951654954e-06</v>
      </c>
      <c r="BT23" t="n">
        <v>0</v>
      </c>
      <c r="BU23" t="n">
        <v>0.001679555632290969</v>
      </c>
      <c r="BV23" t="n">
        <v>1.670829479665579e-07</v>
      </c>
      <c r="BW23" t="n">
        <v>0</v>
      </c>
      <c r="BX23" t="n">
        <v>3.993051606629197e-05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0.009188979722696779</v>
      </c>
      <c r="CJ23" t="n">
        <v>0.0004111917495093886</v>
      </c>
      <c r="CK23" t="n">
        <v>7.511238935576995e-07</v>
      </c>
      <c r="CL23" t="n">
        <v>6.439222474169731e-06</v>
      </c>
      <c r="CM23" t="n">
        <v>0.002824559418658006</v>
      </c>
      <c r="CN23" t="n">
        <v>0</v>
      </c>
      <c r="CO23" t="n">
        <v>0</v>
      </c>
      <c r="CP23" t="n">
        <v>4.431808900568083e-05</v>
      </c>
      <c r="CQ23" t="n">
        <v>5.200618220821654e-05</v>
      </c>
      <c r="CR23" t="n">
        <v>0</v>
      </c>
      <c r="CS23" t="n">
        <v>0</v>
      </c>
      <c r="CT23" t="n">
        <v>0</v>
      </c>
      <c r="CU23" t="n">
        <v>0.0001258268135375974</v>
      </c>
      <c r="CV23" t="n">
        <v>1.06050777545868e-06</v>
      </c>
      <c r="CW23" t="n">
        <v>6.121430192815056e-06</v>
      </c>
      <c r="CX23" t="n">
        <v>1.192825111873721e-06</v>
      </c>
      <c r="CY23" t="n">
        <v>0.0001651061904152323</v>
      </c>
      <c r="CZ23" t="n">
        <v>6.336158193568774e-10</v>
      </c>
      <c r="DA23" t="n">
        <v>2.395337418809871e-10</v>
      </c>
      <c r="DB23" t="n">
        <v>0</v>
      </c>
      <c r="DC23" t="n">
        <v>0</v>
      </c>
      <c r="DD23" t="n">
        <v>9.707479118374556e-08</v>
      </c>
      <c r="DE23" t="n">
        <v>5.325048311817481e-08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2.855917654497999e-08</v>
      </c>
      <c r="DM23" t="n">
        <v>0.0005214843991591674</v>
      </c>
      <c r="DN23" t="n">
        <v>4.780476487679543e-05</v>
      </c>
      <c r="DO23" t="n">
        <v>0</v>
      </c>
      <c r="DP23" t="n">
        <v>0.0002727686242265743</v>
      </c>
      <c r="DQ23" t="n">
        <v>0.000294076231530721</v>
      </c>
      <c r="DR23" t="n">
        <v>0.0003362313020547231</v>
      </c>
      <c r="DS23" t="n">
        <v>0.004905426542120153</v>
      </c>
      <c r="DT23" t="n">
        <v>0.0002376905513640901</v>
      </c>
      <c r="DU23" t="n">
        <v>0.001339595615575014</v>
      </c>
      <c r="DV23" t="n">
        <v>0</v>
      </c>
      <c r="DW23" t="n">
        <v>0</v>
      </c>
      <c r="DX23" t="n">
        <v>0.000120060438179354</v>
      </c>
      <c r="DY23" t="n">
        <v>7.518056728872193e-05</v>
      </c>
      <c r="DZ23" t="n">
        <v>0.001307663638169285</v>
      </c>
      <c r="EA23" t="n">
        <v>0.0001968155166103245</v>
      </c>
      <c r="EB23" t="n">
        <v>3.124137453379761e-05</v>
      </c>
      <c r="EC23" t="n">
        <v>2.083109991772523e-05</v>
      </c>
      <c r="ED23" t="n">
        <v>2.779575251708107e-05</v>
      </c>
      <c r="EE23" t="n">
        <v>2.339039179661005e-06</v>
      </c>
      <c r="EF23" t="n">
        <v>0</v>
      </c>
      <c r="EG23" t="n">
        <v>2.199132617017056e-06</v>
      </c>
      <c r="EH23" t="n">
        <v>0</v>
      </c>
      <c r="EI23" t="n">
        <v>0</v>
      </c>
      <c r="EJ23" t="n">
        <v>0.0001750934355980809</v>
      </c>
      <c r="EK23" t="n">
        <v>0.0006774536499219635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0.001313567976591781</v>
      </c>
      <c r="ER23" t="n">
        <v>0.0008414662975000589</v>
      </c>
      <c r="ES23" t="n">
        <v>0.0005421181541912255</v>
      </c>
      <c r="ET23" t="n">
        <v>0.001128051302090368</v>
      </c>
      <c r="EU23" t="n">
        <v>0</v>
      </c>
      <c r="EV23" t="n">
        <v>0.001467735339800489</v>
      </c>
      <c r="EW23" t="n">
        <v>9.245946662018778e-05</v>
      </c>
      <c r="EX23" t="n">
        <v>0.0006696158993682212</v>
      </c>
      <c r="EY23" t="n">
        <v>0.0005243776884157419</v>
      </c>
      <c r="EZ23" t="n">
        <v>0.02181645676220977</v>
      </c>
      <c r="FA23" t="n">
        <v>0.00229213190987346</v>
      </c>
      <c r="FB23" t="n">
        <v>0.002944042940154176</v>
      </c>
      <c r="FC23" t="n">
        <v>0.0001556369223230295</v>
      </c>
      <c r="FD23" t="n">
        <v>0.0006896954383036962</v>
      </c>
      <c r="FE23" t="n">
        <v>0.000628316031310298</v>
      </c>
      <c r="FF23" t="n">
        <v>0.003107822122097115</v>
      </c>
      <c r="FG23" t="n">
        <v>0.001765055456495505</v>
      </c>
      <c r="FH23" t="n">
        <v>0.003366364869791585</v>
      </c>
      <c r="FI23" t="n">
        <v>0.001553271134918786</v>
      </c>
      <c r="FJ23" t="n">
        <v>0.004456696515942321</v>
      </c>
      <c r="FK23" t="n">
        <v>0</v>
      </c>
      <c r="FL23" t="n">
        <v>0.02182174258389958</v>
      </c>
      <c r="FM23" t="n">
        <v>0.000371961302505732</v>
      </c>
      <c r="FN23" t="n">
        <v>8.236180199525219e-06</v>
      </c>
      <c r="FO23" t="n">
        <v>0.003636721771080994</v>
      </c>
      <c r="FP23" t="n">
        <v>0.001692006638342786</v>
      </c>
      <c r="FQ23" t="n">
        <v>0.0241937295109797</v>
      </c>
      <c r="FR23" t="n">
        <v>0.01202406902400575</v>
      </c>
      <c r="FS23" t="n">
        <v>0.02373483031500973</v>
      </c>
      <c r="FT23" t="n">
        <v>7.724469189861488e-05</v>
      </c>
      <c r="FU23" t="n">
        <v>8.20522887668957e-05</v>
      </c>
      <c r="FV23" t="n">
        <v>3.803626104348251e-05</v>
      </c>
      <c r="FW23" t="n">
        <v>9.794425632547575e-05</v>
      </c>
      <c r="FX23" t="n">
        <v>1.708809141396236e-05</v>
      </c>
      <c r="FY23" t="n">
        <v>2.340211803510912e-05</v>
      </c>
      <c r="FZ23" t="n">
        <v>8.967177428114097e-05</v>
      </c>
      <c r="GA23" t="n">
        <v>6.638352717516979e-06</v>
      </c>
      <c r="GB23" t="n">
        <v>5.613693130789031e-07</v>
      </c>
      <c r="GC23" t="n">
        <v>8.425531880880745e-05</v>
      </c>
      <c r="GD23" t="n">
        <v>4.877998711559687e-05</v>
      </c>
      <c r="GE23" t="n">
        <v>2.052466402464033e-06</v>
      </c>
      <c r="GF23" t="n">
        <v>3.331877733209247e-05</v>
      </c>
      <c r="GG23" t="n">
        <v>6.114040715632566e-05</v>
      </c>
      <c r="GH23" t="n">
        <v>5.721948333809033e-05</v>
      </c>
      <c r="GI23" t="n">
        <v>3.839749456126179e-05</v>
      </c>
      <c r="GJ23" t="n">
        <v>1.246591792017351e-05</v>
      </c>
      <c r="GK23" t="n">
        <v>0.0001336924447881995</v>
      </c>
      <c r="GL23" t="n">
        <v>6.56670766478339e-06</v>
      </c>
      <c r="GM23" t="n">
        <v>2.095597142712779e-05</v>
      </c>
      <c r="GN23" t="n">
        <v>0.004012901461888214</v>
      </c>
      <c r="GO23" t="n">
        <v>0.01409036252630285</v>
      </c>
      <c r="GP23" t="n">
        <v>0.003127780157402155</v>
      </c>
      <c r="GQ23" t="n">
        <v>0</v>
      </c>
      <c r="GR23" t="n">
        <v>0.003351030290541126</v>
      </c>
      <c r="GS23" t="n">
        <v>0.005869071229386328</v>
      </c>
      <c r="GT23" t="n">
        <v>0.03264900653441707</v>
      </c>
      <c r="GU23" t="n">
        <v>0.007550106118628245</v>
      </c>
      <c r="GV23" t="n">
        <v>0.007161327577539374</v>
      </c>
      <c r="GW23" t="n">
        <v>0.03011926528533446</v>
      </c>
      <c r="GX23" t="n">
        <v>0.04118674084169456</v>
      </c>
      <c r="GY23" t="n">
        <v>0.0217716940498247</v>
      </c>
      <c r="GZ23" t="n">
        <v>0.001713455502188086</v>
      </c>
      <c r="HA23" t="n">
        <v>0.01468072448978461</v>
      </c>
      <c r="HB23" t="n">
        <v>0.02181645676220977</v>
      </c>
      <c r="HC23" t="n">
        <v>0.1022617775935717</v>
      </c>
    </row>
    <row r="24">
      <c r="A24" s="1" t="inlineStr">
        <is>
          <t>M_dom*Y_dom</t>
        </is>
      </c>
      <c r="B24" t="n">
        <v>0.002290470292715132</v>
      </c>
      <c r="C24" t="n">
        <v>0.06185487838022818</v>
      </c>
      <c r="D24" t="n">
        <v>0.003056785237292076</v>
      </c>
      <c r="E24" t="n">
        <v>0.02644672880386474</v>
      </c>
      <c r="F24" t="n">
        <v>0.02661551623777388</v>
      </c>
      <c r="G24" t="n">
        <v>0</v>
      </c>
      <c r="H24" t="n">
        <v>0.003435349557470692</v>
      </c>
      <c r="I24" t="n">
        <v>0</v>
      </c>
      <c r="J24" t="n">
        <v>0</v>
      </c>
      <c r="K24" t="n">
        <v>0</v>
      </c>
      <c r="L24" t="n">
        <v>0.05151016324981764</v>
      </c>
      <c r="M24" t="n">
        <v>0.03365430715556825</v>
      </c>
      <c r="N24" t="n">
        <v>0.003562207359257372</v>
      </c>
      <c r="O24" t="n">
        <v>0.005164371327213332</v>
      </c>
      <c r="P24" t="n">
        <v>0</v>
      </c>
      <c r="Q24" t="n">
        <v>0</v>
      </c>
      <c r="R24" t="n">
        <v>0</v>
      </c>
      <c r="S24" t="n">
        <v>0.0004931714934886882</v>
      </c>
      <c r="T24" t="n">
        <v>0.000443797632996478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4.709143172800028e-06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0.1555938597715726</v>
      </c>
      <c r="AS24" t="n">
        <v>0.01630496159161105</v>
      </c>
      <c r="AT24" t="n">
        <v>0.03174362709126646</v>
      </c>
      <c r="AU24" t="n">
        <v>0.07337486507799586</v>
      </c>
      <c r="AV24" t="n">
        <v>9.369361102845881e-05</v>
      </c>
      <c r="AW24" t="n">
        <v>0.09991268907909082</v>
      </c>
      <c r="AX24" t="n">
        <v>8.749330631763406e-06</v>
      </c>
      <c r="AY24" t="n">
        <v>0.00889549644791191</v>
      </c>
      <c r="AZ24" t="n">
        <v>0.1688115903957829</v>
      </c>
      <c r="BA24" t="n">
        <v>0.02619253641908343</v>
      </c>
      <c r="BB24" t="n">
        <v>0.02258175016657951</v>
      </c>
      <c r="BC24" t="n">
        <v>4.298593827018328e-05</v>
      </c>
      <c r="BD24" t="n">
        <v>0.0002255611156964934</v>
      </c>
      <c r="BE24" t="n">
        <v>0.0001775359925634848</v>
      </c>
      <c r="BF24" t="n">
        <v>9.133792276829495e-05</v>
      </c>
      <c r="BG24" t="n">
        <v>5.494319806462821e-05</v>
      </c>
      <c r="BH24" t="n">
        <v>1.997689963279046e-05</v>
      </c>
      <c r="BI24" t="n">
        <v>0</v>
      </c>
      <c r="BJ24" t="n">
        <v>0</v>
      </c>
      <c r="BK24" t="n">
        <v>0.000231467814612731</v>
      </c>
      <c r="BL24" t="n">
        <v>0.0002339277983158133</v>
      </c>
      <c r="BM24" t="n">
        <v>5.138723898879004e-10</v>
      </c>
      <c r="BN24" t="n">
        <v>0</v>
      </c>
      <c r="BO24" t="n">
        <v>0</v>
      </c>
      <c r="BP24" t="n">
        <v>0.00019280441343472</v>
      </c>
      <c r="BQ24" t="n">
        <v>0</v>
      </c>
      <c r="BR24" t="n">
        <v>0</v>
      </c>
      <c r="BS24" t="n">
        <v>4.605560469202558e-07</v>
      </c>
      <c r="BT24" t="n">
        <v>0</v>
      </c>
      <c r="BU24" t="n">
        <v>0.000136999918069974</v>
      </c>
      <c r="BV24" t="n">
        <v>1.362873632307128e-08</v>
      </c>
      <c r="BW24" t="n">
        <v>0</v>
      </c>
      <c r="BX24" t="n">
        <v>3.257078826099549e-06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0.005451926364544531</v>
      </c>
      <c r="CJ24" t="n">
        <v>0.000300905396826414</v>
      </c>
      <c r="CK24" t="n">
        <v>1.592808407904219e-07</v>
      </c>
      <c r="CL24" t="n">
        <v>1.301347279679929e-06</v>
      </c>
      <c r="CM24" t="n">
        <v>0.001623565029940603</v>
      </c>
      <c r="CN24" t="n">
        <v>0</v>
      </c>
      <c r="CO24" t="n">
        <v>0</v>
      </c>
      <c r="CP24" t="n">
        <v>2.545424984491497e-05</v>
      </c>
      <c r="CQ24" t="n">
        <v>2.986808690972099e-05</v>
      </c>
      <c r="CR24" t="n">
        <v>0</v>
      </c>
      <c r="CS24" t="n">
        <v>0</v>
      </c>
      <c r="CT24" t="n">
        <v>0</v>
      </c>
      <c r="CU24" t="n">
        <v>3.023656632096279e-05</v>
      </c>
      <c r="CV24" t="n">
        <v>5.933955356244182e-07</v>
      </c>
      <c r="CW24" t="n">
        <v>1.886758911517812e-06</v>
      </c>
      <c r="CX24" t="n">
        <v>4.102808803137943e-07</v>
      </c>
      <c r="CY24" t="n">
        <v>6.508978000948081e-05</v>
      </c>
      <c r="CZ24" t="n">
        <v>1.894478913737518e-10</v>
      </c>
      <c r="DA24" t="n">
        <v>8.992708907708055e-11</v>
      </c>
      <c r="DB24" t="n">
        <v>0</v>
      </c>
      <c r="DC24" t="n">
        <v>0</v>
      </c>
      <c r="DD24" t="n">
        <v>1.390267495231839e-08</v>
      </c>
      <c r="DE24" t="n">
        <v>8.463265415127977e-09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5.376264062965735e-09</v>
      </c>
      <c r="DM24" t="n">
        <v>9.090910041154313e-05</v>
      </c>
      <c r="DN24" t="n">
        <v>8.81348940041927e-06</v>
      </c>
      <c r="DO24" t="n">
        <v>0</v>
      </c>
      <c r="DP24" t="n">
        <v>5.340690431560061e-05</v>
      </c>
      <c r="DQ24" t="n">
        <v>7.263612903463926e-05</v>
      </c>
      <c r="DR24" t="n">
        <v>8.523416711241564e-05</v>
      </c>
      <c r="DS24" t="n">
        <v>0.0009072228952231401</v>
      </c>
      <c r="DT24" t="n">
        <v>3.475402504453174e-05</v>
      </c>
      <c r="DU24" t="n">
        <v>0.0003350471695113344</v>
      </c>
      <c r="DV24" t="n">
        <v>0</v>
      </c>
      <c r="DW24" t="n">
        <v>0</v>
      </c>
      <c r="DX24" t="n">
        <v>1.760331316316322e-05</v>
      </c>
      <c r="DY24" t="n">
        <v>2.093546814518147e-05</v>
      </c>
      <c r="DZ24" t="n">
        <v>0.0002876236386847326</v>
      </c>
      <c r="EA24" t="n">
        <v>3.886254311505472e-05</v>
      </c>
      <c r="EB24" t="n">
        <v>6.198321705090023e-06</v>
      </c>
      <c r="EC24" t="n">
        <v>2.561932740805632e-06</v>
      </c>
      <c r="ED24" t="n">
        <v>6.155777145270142e-06</v>
      </c>
      <c r="EE24" t="n">
        <v>4.520010358603456e-07</v>
      </c>
      <c r="EF24" t="n">
        <v>0</v>
      </c>
      <c r="EG24" t="n">
        <v>5.117133501692605e-07</v>
      </c>
      <c r="EH24" t="n">
        <v>0</v>
      </c>
      <c r="EI24" t="n">
        <v>0</v>
      </c>
      <c r="EJ24" t="n">
        <v>2.323930369190972e-05</v>
      </c>
      <c r="EK24" t="n">
        <v>8.405670614361866e-05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0.0002191977615678592</v>
      </c>
      <c r="ER24" t="n">
        <v>0.0001911180268545244</v>
      </c>
      <c r="ES24" t="n">
        <v>0.0001873312995950616</v>
      </c>
      <c r="ET24" t="n">
        <v>0.0003004608564908914</v>
      </c>
      <c r="EU24" t="n">
        <v>0</v>
      </c>
      <c r="EV24" t="n">
        <v>0.0002220536188422604</v>
      </c>
      <c r="EW24" t="n">
        <v>7.647941725788871e-05</v>
      </c>
      <c r="EX24" t="n">
        <v>0.0002386906595190615</v>
      </c>
      <c r="EY24" t="n">
        <v>0.0002011413329555579</v>
      </c>
      <c r="EZ24" t="n">
        <v>0.06699599414843856</v>
      </c>
      <c r="FA24" t="n">
        <v>0.0004017723526892191</v>
      </c>
      <c r="FB24" t="n">
        <v>0.0006484578905482896</v>
      </c>
      <c r="FC24" t="n">
        <v>1.132293706428876e-05</v>
      </c>
      <c r="FD24" t="n">
        <v>4.40231285231412e-05</v>
      </c>
      <c r="FE24" t="n">
        <v>7.180439821661721e-05</v>
      </c>
      <c r="FF24" t="n">
        <v>0.0008482886440535014</v>
      </c>
      <c r="FG24" t="n">
        <v>0.0004481337777161565</v>
      </c>
      <c r="FH24" t="n">
        <v>0.001732698538195628</v>
      </c>
      <c r="FI24" t="n">
        <v>0.0003738666229240987</v>
      </c>
      <c r="FJ24" t="n">
        <v>0.001204941141672249</v>
      </c>
      <c r="FK24" t="n">
        <v>0</v>
      </c>
      <c r="FL24" t="n">
        <v>0.006533998983872314</v>
      </c>
      <c r="FM24" t="n">
        <v>0.0003092358236664688</v>
      </c>
      <c r="FN24" t="n">
        <v>3.745449310675494e-06</v>
      </c>
      <c r="FO24" t="n">
        <v>0.00177736359763956</v>
      </c>
      <c r="FP24" t="n">
        <v>0.001162506069965414</v>
      </c>
      <c r="FQ24" t="n">
        <v>0.00877982724729732</v>
      </c>
      <c r="FR24" t="n">
        <v>0.01898886428605328</v>
      </c>
      <c r="FS24" t="n">
        <v>0.02325683887488094</v>
      </c>
      <c r="FT24" t="n">
        <v>2.811285254448626e-05</v>
      </c>
      <c r="FU24" t="n">
        <v>2.937965098545253e-05</v>
      </c>
      <c r="FV24" t="n">
        <v>1.206273128904623e-05</v>
      </c>
      <c r="FW24" t="n">
        <v>3.477582749751837e-05</v>
      </c>
      <c r="FX24" t="n">
        <v>6.002593521814274e-06</v>
      </c>
      <c r="FY24" t="n">
        <v>8.084610207931916e-06</v>
      </c>
      <c r="FZ24" t="n">
        <v>3.340422558558191e-05</v>
      </c>
      <c r="GA24" t="n">
        <v>2.485609296250901e-06</v>
      </c>
      <c r="GB24" t="n">
        <v>1.98929937086839e-07</v>
      </c>
      <c r="GC24" t="n">
        <v>2.667334659122402e-05</v>
      </c>
      <c r="GD24" t="n">
        <v>1.698199008161413e-05</v>
      </c>
      <c r="GE24" t="n">
        <v>2.889893739427855e-08</v>
      </c>
      <c r="GF24" t="n">
        <v>9.655637165419742e-06</v>
      </c>
      <c r="GG24" t="n">
        <v>1.700963673238342e-05</v>
      </c>
      <c r="GH24" t="n">
        <v>1.639854443576586e-05</v>
      </c>
      <c r="GI24" t="n">
        <v>1.138595848171155e-05</v>
      </c>
      <c r="GJ24" t="n">
        <v>2.984538093117782e-06</v>
      </c>
      <c r="GK24" t="n">
        <v>4.832310805547238e-05</v>
      </c>
      <c r="GL24" t="n">
        <v>1.851131763230276e-06</v>
      </c>
      <c r="GM24" t="n">
        <v>6.872299946316689e-06</v>
      </c>
      <c r="GN24" t="n">
        <v>0.001464990762278321</v>
      </c>
      <c r="GO24" t="n">
        <v>0.01611221860318566</v>
      </c>
      <c r="GP24" t="n">
        <v>0.0001277067547204102</v>
      </c>
      <c r="GQ24" t="n">
        <v>0</v>
      </c>
      <c r="GR24" t="n">
        <v>0.0265404224148932</v>
      </c>
      <c r="GS24" t="n">
        <v>0.1555938597715726</v>
      </c>
      <c r="GT24" t="n">
        <v>0.2065879241662593</v>
      </c>
      <c r="GU24" t="n">
        <v>0.1039186940713447</v>
      </c>
      <c r="GV24" t="n">
        <v>0.1050770604063041</v>
      </c>
      <c r="GW24" t="n">
        <v>0.2588744447862194</v>
      </c>
      <c r="GX24" t="n">
        <v>0.01475924380140806</v>
      </c>
      <c r="GY24" t="n">
        <v>0.003928527453043643</v>
      </c>
      <c r="GZ24" t="n">
        <v>0.0004944350310282733</v>
      </c>
      <c r="HA24" t="n">
        <v>0.00356316209036819</v>
      </c>
      <c r="HB24" t="n">
        <v>0.06699599414843856</v>
      </c>
      <c r="HC24" t="n">
        <v>0.07698130599882484</v>
      </c>
    </row>
    <row r="25">
      <c r="A25" s="1" t="inlineStr">
        <is>
          <t>M_imp*Y_dom+M_dom*Y_dom</t>
        </is>
      </c>
      <c r="B25" t="n">
        <v>0.002307195827198745</v>
      </c>
      <c r="C25" t="n">
        <v>0.06246641982869677</v>
      </c>
      <c r="D25" t="n">
        <v>0.003080846862526467</v>
      </c>
      <c r="E25" t="n">
        <v>0.02978120752012461</v>
      </c>
      <c r="F25" t="n">
        <v>0.02673277068044611</v>
      </c>
      <c r="G25" t="n">
        <v>0</v>
      </c>
      <c r="H25" t="n">
        <v>0.003473701360283262</v>
      </c>
      <c r="I25" t="n">
        <v>0</v>
      </c>
      <c r="J25" t="n">
        <v>0</v>
      </c>
      <c r="K25" t="n">
        <v>0</v>
      </c>
      <c r="L25" t="n">
        <v>0.05381171556821168</v>
      </c>
      <c r="M25" t="n">
        <v>0.0349573353611899</v>
      </c>
      <c r="N25" t="n">
        <v>0.003697325322477617</v>
      </c>
      <c r="O25" t="n">
        <v>0.005327945601164829</v>
      </c>
      <c r="P25" t="n">
        <v>0</v>
      </c>
      <c r="Q25" t="n">
        <v>0</v>
      </c>
      <c r="R25" t="n">
        <v>0</v>
      </c>
      <c r="S25" t="n">
        <v>0.0007805539540953711</v>
      </c>
      <c r="T25" t="n">
        <v>0.000861032484816601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6.464771694162722e-05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0.1614629310009589</v>
      </c>
      <c r="AS25" t="n">
        <v>0.01726443667474286</v>
      </c>
      <c r="AT25" t="n">
        <v>0.03789898941732212</v>
      </c>
      <c r="AU25" t="n">
        <v>0.09530445367920977</v>
      </c>
      <c r="AV25" t="n">
        <v>0.0001102451853097143</v>
      </c>
      <c r="AW25" t="n">
        <v>0.1069104423826787</v>
      </c>
      <c r="AX25" t="n">
        <v>1.227913584979732e-05</v>
      </c>
      <c r="AY25" t="n">
        <v>0.009064901936715353</v>
      </c>
      <c r="AZ25" t="n">
        <v>0.1911528122010209</v>
      </c>
      <c r="BA25" t="n">
        <v>0.03058352073902808</v>
      </c>
      <c r="BB25" t="n">
        <v>0.02546865086275616</v>
      </c>
      <c r="BC25" t="n">
        <v>0.0001978773282554691</v>
      </c>
      <c r="BD25" t="n">
        <v>0.001137120856894644</v>
      </c>
      <c r="BE25" t="n">
        <v>0.0009281004303197567</v>
      </c>
      <c r="BF25" t="n">
        <v>0.0001426692460019583</v>
      </c>
      <c r="BG25" t="n">
        <v>0.0001866450458601718</v>
      </c>
      <c r="BH25" t="n">
        <v>8.400421776518367e-05</v>
      </c>
      <c r="BI25" t="n">
        <v>0</v>
      </c>
      <c r="BJ25" t="n">
        <v>0</v>
      </c>
      <c r="BK25" t="n">
        <v>0.0008141525361046668</v>
      </c>
      <c r="BL25" t="n">
        <v>0.0009742458436462129</v>
      </c>
      <c r="BM25" t="n">
        <v>1.181566826013645e-08</v>
      </c>
      <c r="BN25" t="n">
        <v>0</v>
      </c>
      <c r="BO25" t="n">
        <v>0</v>
      </c>
      <c r="BP25" t="n">
        <v>0.002556508103933729</v>
      </c>
      <c r="BQ25" t="n">
        <v>0</v>
      </c>
      <c r="BR25" t="n">
        <v>0</v>
      </c>
      <c r="BS25" t="n">
        <v>6.10679699857521e-06</v>
      </c>
      <c r="BT25" t="n">
        <v>0</v>
      </c>
      <c r="BU25" t="n">
        <v>0.001816555550360943</v>
      </c>
      <c r="BV25" t="n">
        <v>1.807116842896292e-07</v>
      </c>
      <c r="BW25" t="n">
        <v>0</v>
      </c>
      <c r="BX25" t="n">
        <v>4.318759489239152e-05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0.01464090608724131</v>
      </c>
      <c r="CJ25" t="n">
        <v>0.0007120971463358025</v>
      </c>
      <c r="CK25" t="n">
        <v>9.104047343481213e-07</v>
      </c>
      <c r="CL25" t="n">
        <v>7.74056975384966e-06</v>
      </c>
      <c r="CM25" t="n">
        <v>0.004448124448598609</v>
      </c>
      <c r="CN25" t="n">
        <v>0</v>
      </c>
      <c r="CO25" t="n">
        <v>0</v>
      </c>
      <c r="CP25" t="n">
        <v>6.97723388505958e-05</v>
      </c>
      <c r="CQ25" t="n">
        <v>8.187426911793753e-05</v>
      </c>
      <c r="CR25" t="n">
        <v>0</v>
      </c>
      <c r="CS25" t="n">
        <v>0</v>
      </c>
      <c r="CT25" t="n">
        <v>0</v>
      </c>
      <c r="CU25" t="n">
        <v>0.0001560633798585601</v>
      </c>
      <c r="CV25" t="n">
        <v>1.653903311083098e-06</v>
      </c>
      <c r="CW25" t="n">
        <v>8.008189104332867e-06</v>
      </c>
      <c r="CX25" t="n">
        <v>1.603105992187516e-06</v>
      </c>
      <c r="CY25" t="n">
        <v>0.0002301959704247131</v>
      </c>
      <c r="CZ25" t="n">
        <v>8.230637107306292e-10</v>
      </c>
      <c r="DA25" t="n">
        <v>3.294608309580677e-10</v>
      </c>
      <c r="DB25" t="n">
        <v>0</v>
      </c>
      <c r="DC25" t="n">
        <v>0</v>
      </c>
      <c r="DD25" t="n">
        <v>1.109774661360639e-07</v>
      </c>
      <c r="DE25" t="n">
        <v>6.171374853330279e-08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3.393544060794573e-08</v>
      </c>
      <c r="DM25" t="n">
        <v>0.0006123934995707106</v>
      </c>
      <c r="DN25" t="n">
        <v>5.66182542772147e-05</v>
      </c>
      <c r="DO25" t="n">
        <v>0</v>
      </c>
      <c r="DP25" t="n">
        <v>0.0003261755285421749</v>
      </c>
      <c r="DQ25" t="n">
        <v>0.0003667123605653602</v>
      </c>
      <c r="DR25" t="n">
        <v>0.0004214654691671387</v>
      </c>
      <c r="DS25" t="n">
        <v>0.005812649437343293</v>
      </c>
      <c r="DT25" t="n">
        <v>0.0002724445764086218</v>
      </c>
      <c r="DU25" t="n">
        <v>0.001674642785086348</v>
      </c>
      <c r="DV25" t="n">
        <v>0</v>
      </c>
      <c r="DW25" t="n">
        <v>0</v>
      </c>
      <c r="DX25" t="n">
        <v>0.0001376637513425172</v>
      </c>
      <c r="DY25" t="n">
        <v>9.611603543390341e-05</v>
      </c>
      <c r="DZ25" t="n">
        <v>0.001595287276854018</v>
      </c>
      <c r="EA25" t="n">
        <v>0.0002356780597253792</v>
      </c>
      <c r="EB25" t="n">
        <v>3.743969623888763e-05</v>
      </c>
      <c r="EC25" t="n">
        <v>2.339303265853086e-05</v>
      </c>
      <c r="ED25" t="n">
        <v>3.395152966235121e-05</v>
      </c>
      <c r="EE25" t="n">
        <v>2.79104021552135e-06</v>
      </c>
      <c r="EF25" t="n">
        <v>0</v>
      </c>
      <c r="EG25" t="n">
        <v>2.710845967186317e-06</v>
      </c>
      <c r="EH25" t="n">
        <v>0</v>
      </c>
      <c r="EI25" t="n">
        <v>0</v>
      </c>
      <c r="EJ25" t="n">
        <v>0.0001983327392899906</v>
      </c>
      <c r="EK25" t="n">
        <v>0.0007615103560655821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0.001532765738159641</v>
      </c>
      <c r="ER25" t="n">
        <v>0.001032584324354583</v>
      </c>
      <c r="ES25" t="n">
        <v>0.000729449453786287</v>
      </c>
      <c r="ET25" t="n">
        <v>0.001428512158581259</v>
      </c>
      <c r="EU25" t="n">
        <v>0</v>
      </c>
      <c r="EV25" t="n">
        <v>0.001689788958642749</v>
      </c>
      <c r="EW25" t="n">
        <v>0.0001689388838780765</v>
      </c>
      <c r="EX25" t="n">
        <v>0.0009083065588872828</v>
      </c>
      <c r="EY25" t="n">
        <v>0.0007255190213712997</v>
      </c>
      <c r="EZ25" t="n">
        <v>0.08881245091064832</v>
      </c>
      <c r="FA25" t="n">
        <v>0.002693904262562679</v>
      </c>
      <c r="FB25" t="n">
        <v>0.003592500830702466</v>
      </c>
      <c r="FC25" t="n">
        <v>0.0001669598593873183</v>
      </c>
      <c r="FD25" t="n">
        <v>0.0007337185668268374</v>
      </c>
      <c r="FE25" t="n">
        <v>0.0007001204295269152</v>
      </c>
      <c r="FF25" t="n">
        <v>0.003956110766150616</v>
      </c>
      <c r="FG25" t="n">
        <v>0.002213189234211661</v>
      </c>
      <c r="FH25" t="n">
        <v>0.005099063407987213</v>
      </c>
      <c r="FI25" t="n">
        <v>0.001927137757842885</v>
      </c>
      <c r="FJ25" t="n">
        <v>0.00566163765761457</v>
      </c>
      <c r="FK25" t="n">
        <v>0</v>
      </c>
      <c r="FL25" t="n">
        <v>0.02835574156777189</v>
      </c>
      <c r="FM25" t="n">
        <v>0.0006811971261722009</v>
      </c>
      <c r="FN25" t="n">
        <v>1.198162951020071e-05</v>
      </c>
      <c r="FO25" t="n">
        <v>0.005414085368720554</v>
      </c>
      <c r="FP25" t="n">
        <v>0.0028545127083082</v>
      </c>
      <c r="FQ25" t="n">
        <v>0.03297355675827702</v>
      </c>
      <c r="FR25" t="n">
        <v>0.03101293331005903</v>
      </c>
      <c r="FS25" t="n">
        <v>0.04699166918989067</v>
      </c>
      <c r="FT25" t="n">
        <v>0.0001053575444431011</v>
      </c>
      <c r="FU25" t="n">
        <v>0.0001114319397523482</v>
      </c>
      <c r="FV25" t="n">
        <v>5.009899233252874e-05</v>
      </c>
      <c r="FW25" t="n">
        <v>0.0001327200838229941</v>
      </c>
      <c r="FX25" t="n">
        <v>2.309068493577664e-05</v>
      </c>
      <c r="FY25" t="n">
        <v>3.148672824304104e-05</v>
      </c>
      <c r="FZ25" t="n">
        <v>0.0001230759998667229</v>
      </c>
      <c r="GA25" t="n">
        <v>9.123962013767879e-06</v>
      </c>
      <c r="GB25" t="n">
        <v>7.602992501657421e-07</v>
      </c>
      <c r="GC25" t="n">
        <v>0.0001109286654000315</v>
      </c>
      <c r="GD25" t="n">
        <v>6.5761977197211e-05</v>
      </c>
      <c r="GE25" t="n">
        <v>2.081365339858312e-06</v>
      </c>
      <c r="GF25" t="n">
        <v>4.297441449751221e-05</v>
      </c>
      <c r="GG25" t="n">
        <v>7.815004388870909e-05</v>
      </c>
      <c r="GH25" t="n">
        <v>7.36180277738562e-05</v>
      </c>
      <c r="GI25" t="n">
        <v>4.978345304297334e-05</v>
      </c>
      <c r="GJ25" t="n">
        <v>1.54504560132913e-05</v>
      </c>
      <c r="GK25" t="n">
        <v>0.0001820155528436719</v>
      </c>
      <c r="GL25" t="n">
        <v>8.417839428013666e-06</v>
      </c>
      <c r="GM25" t="n">
        <v>2.782827137344448e-05</v>
      </c>
      <c r="GN25" t="n">
        <v>0.005477892224166535</v>
      </c>
      <c r="GO25" t="n">
        <v>0.03020258112948851</v>
      </c>
      <c r="GP25" t="n">
        <v>0.003255486912122566</v>
      </c>
      <c r="GQ25" t="n">
        <v>0</v>
      </c>
      <c r="GR25" t="n">
        <v>0.02989145270543432</v>
      </c>
      <c r="GS25" t="n">
        <v>0.1614629310009589</v>
      </c>
      <c r="GT25" t="n">
        <v>0.2392369307006763</v>
      </c>
      <c r="GU25" t="n">
        <v>0.1114688001899729</v>
      </c>
      <c r="GV25" t="n">
        <v>0.1122383879838435</v>
      </c>
      <c r="GW25" t="n">
        <v>0.2889937100715538</v>
      </c>
      <c r="GX25" t="n">
        <v>0.05594598464310262</v>
      </c>
      <c r="GY25" t="n">
        <v>0.02570022150286835</v>
      </c>
      <c r="GZ25" t="n">
        <v>0.002207890533216359</v>
      </c>
      <c r="HA25" t="n">
        <v>0.0182438865801528</v>
      </c>
      <c r="HB25" t="n">
        <v>0.08881245091064832</v>
      </c>
      <c r="HC25" t="n">
        <v>0.1792430835923965</v>
      </c>
    </row>
    <row r="26">
      <c r="A26" s="1" t="inlineStr">
        <is>
          <t>M_row*Y_imp</t>
        </is>
      </c>
      <c r="B26" t="n">
        <v>0.0001694658325995334</v>
      </c>
      <c r="C26" t="n">
        <v>0.01100249460928667</v>
      </c>
      <c r="D26" t="n">
        <v>0.0001298147356151705</v>
      </c>
      <c r="E26" t="n">
        <v>0.05394079263205285</v>
      </c>
      <c r="F26" t="n">
        <v>0.01390588024448081</v>
      </c>
      <c r="G26" t="n">
        <v>0</v>
      </c>
      <c r="H26" t="n">
        <v>0.003093328360460207</v>
      </c>
      <c r="I26" t="n">
        <v>0.004182372684634196</v>
      </c>
      <c r="J26" t="n">
        <v>0</v>
      </c>
      <c r="K26" t="n">
        <v>0</v>
      </c>
      <c r="L26" t="n">
        <v>0.001135811211299515</v>
      </c>
      <c r="M26" t="n">
        <v>0.009907328672809955</v>
      </c>
      <c r="N26" t="n">
        <v>0.00445250054495221</v>
      </c>
      <c r="O26" t="n">
        <v>0</v>
      </c>
      <c r="P26" t="n">
        <v>0</v>
      </c>
      <c r="Q26" t="n">
        <v>0</v>
      </c>
      <c r="R26" t="n">
        <v>0</v>
      </c>
      <c r="S26" t="n">
        <v>0.0002929537222597374</v>
      </c>
      <c r="T26" t="n">
        <v>0.001926331020715714</v>
      </c>
      <c r="U26" t="n">
        <v>1.73615868589435e-07</v>
      </c>
      <c r="V26" t="n">
        <v>0</v>
      </c>
      <c r="W26" t="n">
        <v>1.046309319501166e-06</v>
      </c>
      <c r="X26" t="n">
        <v>0</v>
      </c>
      <c r="Y26" t="n">
        <v>6.650420704607334e-07</v>
      </c>
      <c r="Z26" t="n">
        <v>0</v>
      </c>
      <c r="AA26" t="n">
        <v>0</v>
      </c>
      <c r="AB26" t="n">
        <v>0</v>
      </c>
      <c r="AC26" t="n">
        <v>0</v>
      </c>
      <c r="AD26" t="n">
        <v>9.6311354328673e-05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0.01780440041818398</v>
      </c>
      <c r="AS26" t="n">
        <v>0.009294493662876688</v>
      </c>
      <c r="AT26" t="n">
        <v>0.006810913415942092</v>
      </c>
      <c r="AU26" t="n">
        <v>0.004398270544757287</v>
      </c>
      <c r="AV26" t="n">
        <v>0.0008242958557780029</v>
      </c>
      <c r="AW26" t="n">
        <v>0.01794370439430345</v>
      </c>
      <c r="AX26" t="n">
        <v>0.0005841236338987695</v>
      </c>
      <c r="AY26" t="n">
        <v>0.0006324172192504658</v>
      </c>
      <c r="AZ26" t="n">
        <v>0.07008172544048565</v>
      </c>
      <c r="BA26" t="n">
        <v>0.005536937505786311</v>
      </c>
      <c r="BB26" t="n">
        <v>0.00341621343252845</v>
      </c>
      <c r="BC26" t="n">
        <v>0.001877430484958015</v>
      </c>
      <c r="BD26" t="n">
        <v>0.009684176376763656</v>
      </c>
      <c r="BE26" t="n">
        <v>0.01926908151937956</v>
      </c>
      <c r="BF26" t="n">
        <v>0.02009558561738299</v>
      </c>
      <c r="BG26" t="n">
        <v>0.0006124597001987942</v>
      </c>
      <c r="BH26" t="n">
        <v>0</v>
      </c>
      <c r="BI26" t="n">
        <v>0</v>
      </c>
      <c r="BJ26" t="n">
        <v>0</v>
      </c>
      <c r="BK26" t="n">
        <v>0.000763866880201651</v>
      </c>
      <c r="BL26" t="n">
        <v>0.0004466265801178467</v>
      </c>
      <c r="BM26" t="n">
        <v>3.0046004637492e-08</v>
      </c>
      <c r="BN26" t="n">
        <v>0</v>
      </c>
      <c r="BO26" t="n">
        <v>0</v>
      </c>
      <c r="BP26" t="n">
        <v>0.001816444471966434</v>
      </c>
      <c r="BQ26" t="n">
        <v>8.256859508606606e-09</v>
      </c>
      <c r="BR26" t="n">
        <v>0</v>
      </c>
      <c r="BS26" t="n">
        <v>2.305889194295649e-05</v>
      </c>
      <c r="BT26" t="n">
        <v>1.830446525554884e-05</v>
      </c>
      <c r="BU26" t="n">
        <v>0.001298242885650741</v>
      </c>
      <c r="BV26" t="n">
        <v>1.755612827197991e-06</v>
      </c>
      <c r="BW26" t="n">
        <v>0</v>
      </c>
      <c r="BX26" t="n">
        <v>0.0001513312339725728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0.004860522123619474</v>
      </c>
      <c r="CJ26" t="n">
        <v>0</v>
      </c>
      <c r="CK26" t="n">
        <v>6.267781376545218e-06</v>
      </c>
      <c r="CL26" t="n">
        <v>0.000397763400503433</v>
      </c>
      <c r="CM26" t="n">
        <v>0.006361806747687436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0.0004875850417598676</v>
      </c>
      <c r="CV26" t="n">
        <v>5.06366608062498e-08</v>
      </c>
      <c r="CW26" t="n">
        <v>3.218906641428979e-07</v>
      </c>
      <c r="CX26" t="n">
        <v>0</v>
      </c>
      <c r="CY26" t="n">
        <v>0.0003326138628796551</v>
      </c>
      <c r="CZ26" t="n">
        <v>2.032712433761119e-09</v>
      </c>
      <c r="DA26" t="n">
        <v>0</v>
      </c>
      <c r="DB26" t="n">
        <v>6.557045833186494e-06</v>
      </c>
      <c r="DC26" t="n">
        <v>0</v>
      </c>
      <c r="DD26" t="n">
        <v>7.833878006288401e-07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4.510807050937936e-06</v>
      </c>
      <c r="DK26" t="n">
        <v>0</v>
      </c>
      <c r="DL26" t="n">
        <v>0</v>
      </c>
      <c r="DM26" t="n">
        <v>0.0006332431694142811</v>
      </c>
      <c r="DN26" t="n">
        <v>8.034070377191468e-05</v>
      </c>
      <c r="DO26" t="n">
        <v>0.001507987464124447</v>
      </c>
      <c r="DP26" t="n">
        <v>0.0004394952809192628</v>
      </c>
      <c r="DQ26" t="n">
        <v>0.0006918712891949275</v>
      </c>
      <c r="DR26" t="n">
        <v>0.0004046178444615456</v>
      </c>
      <c r="DS26" t="n">
        <v>0.009601926550336435</v>
      </c>
      <c r="DT26" t="n">
        <v>0.0005704327976929664</v>
      </c>
      <c r="DU26" t="n">
        <v>0.008049749889263057</v>
      </c>
      <c r="DV26" t="n">
        <v>0</v>
      </c>
      <c r="DW26" t="n">
        <v>0</v>
      </c>
      <c r="DX26" t="n">
        <v>7.911148653909185e-06</v>
      </c>
      <c r="DY26" t="n">
        <v>2.977873092751554e-05</v>
      </c>
      <c r="DZ26" t="n">
        <v>3.967947355968887e-05</v>
      </c>
      <c r="EA26" t="n">
        <v>4.493552760547418e-05</v>
      </c>
      <c r="EB26" t="n">
        <v>4.311178043987695e-06</v>
      </c>
      <c r="EC26" t="n">
        <v>1.981599729126549e-06</v>
      </c>
      <c r="ED26" t="n">
        <v>4.629111109036239e-06</v>
      </c>
      <c r="EE26" t="n">
        <v>3.320066368743506e-06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7.495640195335552e-05</v>
      </c>
      <c r="EY26" t="n">
        <v>0</v>
      </c>
      <c r="EZ26" t="n">
        <v>0</v>
      </c>
      <c r="FA26" t="n">
        <v>0.0006647535027047293</v>
      </c>
      <c r="FB26" t="n">
        <v>0.001562805762713391</v>
      </c>
      <c r="FC26" t="n">
        <v>7.870682701872561e-07</v>
      </c>
      <c r="FD26" t="n">
        <v>0.002222347383995924</v>
      </c>
      <c r="FE26" t="n">
        <v>0.0003606439635101668</v>
      </c>
      <c r="FF26" t="n">
        <v>0.004782854431387376</v>
      </c>
      <c r="FG26" t="n">
        <v>0.0003455719213908636</v>
      </c>
      <c r="FH26" t="n">
        <v>0.0005913761728250259</v>
      </c>
      <c r="FI26" t="n">
        <v>0.000168054174097864</v>
      </c>
      <c r="FJ26" t="n">
        <v>0.0002288849704873229</v>
      </c>
      <c r="FK26" t="n">
        <v>0</v>
      </c>
      <c r="FL26" t="n">
        <v>0</v>
      </c>
      <c r="FM26" t="n">
        <v>0</v>
      </c>
      <c r="FN26" t="n">
        <v>6.141910487589212e-07</v>
      </c>
      <c r="FO26" t="n">
        <v>0.0009845935168691709</v>
      </c>
      <c r="FP26" t="n">
        <v>0.0001719665030209683</v>
      </c>
      <c r="FQ26" t="n">
        <v>0.000705596906556319</v>
      </c>
      <c r="FR26" t="n">
        <v>0.0004333206541213985</v>
      </c>
      <c r="FS26" t="n">
        <v>0.001353503880619017</v>
      </c>
      <c r="FT26" t="n">
        <v>4.099070378542474e-06</v>
      </c>
      <c r="FU26" t="n">
        <v>1.88596316122688e-06</v>
      </c>
      <c r="FV26" t="n">
        <v>7.420067166629658e-07</v>
      </c>
      <c r="FW26" t="n">
        <v>3.822028290852866e-06</v>
      </c>
      <c r="FX26" t="n">
        <v>2.789568176161889e-07</v>
      </c>
      <c r="FY26" t="n">
        <v>6.770078577140285e-07</v>
      </c>
      <c r="FZ26" t="n">
        <v>1.993261097593187e-06</v>
      </c>
      <c r="GA26" t="n">
        <v>1.104433387182816e-07</v>
      </c>
      <c r="GB26" t="n">
        <v>1.066930264192491e-08</v>
      </c>
      <c r="GC26" t="n">
        <v>1.801261201755241e-06</v>
      </c>
      <c r="GD26" t="n">
        <v>2.551959716889705e-06</v>
      </c>
      <c r="GE26" t="n">
        <v>0</v>
      </c>
      <c r="GF26" t="n">
        <v>4.594892370511004e-07</v>
      </c>
      <c r="GG26" t="n">
        <v>1.444679421263409e-06</v>
      </c>
      <c r="GH26" t="n">
        <v>1.22972590511846e-06</v>
      </c>
      <c r="GI26" t="n">
        <v>7.368771769554799e-07</v>
      </c>
      <c r="GJ26" t="n">
        <v>1.248346216706817e-07</v>
      </c>
      <c r="GK26" t="n">
        <v>3.044220765887099e-06</v>
      </c>
      <c r="GL26" t="n">
        <v>7.145769244974506e-08</v>
      </c>
      <c r="GM26" t="n">
        <v>2.800153498525109e-07</v>
      </c>
      <c r="GN26" t="n">
        <v>9.805206139532305e-05</v>
      </c>
      <c r="GO26" t="n">
        <v>0.001355212153949192</v>
      </c>
      <c r="GP26" t="n">
        <v>0.0002799083690618991</v>
      </c>
      <c r="GQ26" t="n">
        <v>0</v>
      </c>
      <c r="GR26" t="n">
        <v>0.05476508848783086</v>
      </c>
      <c r="GS26" t="n">
        <v>0.01780440041818398</v>
      </c>
      <c r="GT26" t="n">
        <v>0.03154681750768554</v>
      </c>
      <c r="GU26" t="n">
        <v>0.02432253595997138</v>
      </c>
      <c r="GV26" t="n">
        <v>0.01794370439430345</v>
      </c>
      <c r="GW26" t="n">
        <v>0.1034798948390824</v>
      </c>
      <c r="GX26" t="n">
        <v>0.009360144220250159</v>
      </c>
      <c r="GY26" t="n">
        <v>0.02321227416108826</v>
      </c>
      <c r="GZ26" t="n">
        <v>0.0490488435135262</v>
      </c>
      <c r="HA26" t="n">
        <v>0.02211706259278115</v>
      </c>
      <c r="HB26" t="n">
        <v>0</v>
      </c>
      <c r="HC26" t="n">
        <v>0.006816975805446942</v>
      </c>
    </row>
    <row r="27">
      <c r="A27" s="1" t="inlineStr">
        <is>
          <t>M_imp*Y_dom+M_dom*Y_dom+M_row*Y_imp</t>
        </is>
      </c>
      <c r="B27" t="n">
        <v>0.002476661659798278</v>
      </c>
      <c r="C27" t="n">
        <v>0.07346891443798344</v>
      </c>
      <c r="D27" t="n">
        <v>0.003210661598141638</v>
      </c>
      <c r="E27" t="n">
        <v>0.08372200015217746</v>
      </c>
      <c r="F27" t="n">
        <v>0.04063865092492691</v>
      </c>
      <c r="G27" t="n">
        <v>0</v>
      </c>
      <c r="H27" t="n">
        <v>0.00656702972074347</v>
      </c>
      <c r="I27" t="n">
        <v>0.004182372684634196</v>
      </c>
      <c r="J27" t="n">
        <v>0</v>
      </c>
      <c r="K27" t="n">
        <v>0</v>
      </c>
      <c r="L27" t="n">
        <v>0.0549475267795112</v>
      </c>
      <c r="M27" t="n">
        <v>0.04486466403399985</v>
      </c>
      <c r="N27" t="n">
        <v>0.008149825867429827</v>
      </c>
      <c r="O27" t="n">
        <v>0.005327945601164829</v>
      </c>
      <c r="P27" t="n">
        <v>0</v>
      </c>
      <c r="Q27" t="n">
        <v>0</v>
      </c>
      <c r="R27" t="n">
        <v>0</v>
      </c>
      <c r="S27" t="n">
        <v>0.001073507676355108</v>
      </c>
      <c r="T27" t="n">
        <v>0.002787363505532315</v>
      </c>
      <c r="U27" t="n">
        <v>1.73615868589435e-07</v>
      </c>
      <c r="V27" t="n">
        <v>0</v>
      </c>
      <c r="W27" t="n">
        <v>1.046309319501166e-06</v>
      </c>
      <c r="X27" t="n">
        <v>0</v>
      </c>
      <c r="Y27" t="n">
        <v>6.650420704607334e-07</v>
      </c>
      <c r="Z27" t="n">
        <v>0</v>
      </c>
      <c r="AA27" t="n">
        <v>0</v>
      </c>
      <c r="AB27" t="n">
        <v>0</v>
      </c>
      <c r="AC27" t="n">
        <v>0</v>
      </c>
      <c r="AD27" t="n">
        <v>0.0001609590712703002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0.1792673314191429</v>
      </c>
      <c r="AS27" t="n">
        <v>0.02655893033761955</v>
      </c>
      <c r="AT27" t="n">
        <v>0.04470990283326422</v>
      </c>
      <c r="AU27" t="n">
        <v>0.09970272422396706</v>
      </c>
      <c r="AV27" t="n">
        <v>0.0009345410410877171</v>
      </c>
      <c r="AW27" t="n">
        <v>0.1248541467769821</v>
      </c>
      <c r="AX27" t="n">
        <v>0.0005964027697485669</v>
      </c>
      <c r="AY27" t="n">
        <v>0.00969731915596582</v>
      </c>
      <c r="AZ27" t="n">
        <v>0.2612345376415066</v>
      </c>
      <c r="BA27" t="n">
        <v>0.03612045824481439</v>
      </c>
      <c r="BB27" t="n">
        <v>0.02888486429528461</v>
      </c>
      <c r="BC27" t="n">
        <v>0.002075307813213485</v>
      </c>
      <c r="BD27" t="n">
        <v>0.0108212972336583</v>
      </c>
      <c r="BE27" t="n">
        <v>0.02019718194969931</v>
      </c>
      <c r="BF27" t="n">
        <v>0.02023825486338495</v>
      </c>
      <c r="BG27" t="n">
        <v>0.000799104746058966</v>
      </c>
      <c r="BH27" t="n">
        <v>8.400421776518367e-05</v>
      </c>
      <c r="BI27" t="n">
        <v>0</v>
      </c>
      <c r="BJ27" t="n">
        <v>0</v>
      </c>
      <c r="BK27" t="n">
        <v>0.001578019416306318</v>
      </c>
      <c r="BL27" t="n">
        <v>0.00142087242376406</v>
      </c>
      <c r="BM27" t="n">
        <v>4.186167289762846e-08</v>
      </c>
      <c r="BN27" t="n">
        <v>0</v>
      </c>
      <c r="BO27" t="n">
        <v>0</v>
      </c>
      <c r="BP27" t="n">
        <v>0.004372952575900163</v>
      </c>
      <c r="BQ27" t="n">
        <v>8.256859508606606e-09</v>
      </c>
      <c r="BR27" t="n">
        <v>0</v>
      </c>
      <c r="BS27" t="n">
        <v>2.91656889415317e-05</v>
      </c>
      <c r="BT27" t="n">
        <v>1.830446525554884e-05</v>
      </c>
      <c r="BU27" t="n">
        <v>0.003114798436011684</v>
      </c>
      <c r="BV27" t="n">
        <v>1.93632451148762e-06</v>
      </c>
      <c r="BW27" t="n">
        <v>0</v>
      </c>
      <c r="BX27" t="n">
        <v>0.0001945188288649643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0.01950142821086078</v>
      </c>
      <c r="CJ27" t="n">
        <v>0.0007120971463358025</v>
      </c>
      <c r="CK27" t="n">
        <v>7.178186110893339e-06</v>
      </c>
      <c r="CL27" t="n">
        <v>0.0004055039702572826</v>
      </c>
      <c r="CM27" t="n">
        <v>0.01080993119628604</v>
      </c>
      <c r="CN27" t="n">
        <v>0</v>
      </c>
      <c r="CO27" t="n">
        <v>0</v>
      </c>
      <c r="CP27" t="n">
        <v>6.97723388505958e-05</v>
      </c>
      <c r="CQ27" t="n">
        <v>8.187426911793753e-05</v>
      </c>
      <c r="CR27" t="n">
        <v>0</v>
      </c>
      <c r="CS27" t="n">
        <v>0</v>
      </c>
      <c r="CT27" t="n">
        <v>0</v>
      </c>
      <c r="CU27" t="n">
        <v>0.0006436484216184278</v>
      </c>
      <c r="CV27" t="n">
        <v>1.704539971889348e-06</v>
      </c>
      <c r="CW27" t="n">
        <v>8.330079768475765e-06</v>
      </c>
      <c r="CX27" t="n">
        <v>1.603105992187516e-06</v>
      </c>
      <c r="CY27" t="n">
        <v>0.0005628098333043683</v>
      </c>
      <c r="CZ27" t="n">
        <v>2.855776144491749e-09</v>
      </c>
      <c r="DA27" t="n">
        <v>3.294608309580677e-10</v>
      </c>
      <c r="DB27" t="n">
        <v>6.557045833186494e-06</v>
      </c>
      <c r="DC27" t="n">
        <v>0</v>
      </c>
      <c r="DD27" t="n">
        <v>8.943652667649041e-07</v>
      </c>
      <c r="DE27" t="n">
        <v>6.171374853330279e-08</v>
      </c>
      <c r="DF27" t="n">
        <v>0</v>
      </c>
      <c r="DG27" t="n">
        <v>0</v>
      </c>
      <c r="DH27" t="n">
        <v>0</v>
      </c>
      <c r="DI27" t="n">
        <v>0</v>
      </c>
      <c r="DJ27" t="n">
        <v>4.510807050937936e-06</v>
      </c>
      <c r="DK27" t="n">
        <v>0</v>
      </c>
      <c r="DL27" t="n">
        <v>3.393544060794573e-08</v>
      </c>
      <c r="DM27" t="n">
        <v>0.001245636668984992</v>
      </c>
      <c r="DN27" t="n">
        <v>0.0001369589580491294</v>
      </c>
      <c r="DO27" t="n">
        <v>0.001507987464124447</v>
      </c>
      <c r="DP27" t="n">
        <v>0.0007656708094614377</v>
      </c>
      <c r="DQ27" t="n">
        <v>0.001058583649760288</v>
      </c>
      <c r="DR27" t="n">
        <v>0.0008260833136286842</v>
      </c>
      <c r="DS27" t="n">
        <v>0.01541457598767973</v>
      </c>
      <c r="DT27" t="n">
        <v>0.0008428773741015883</v>
      </c>
      <c r="DU27" t="n">
        <v>0.009724392674349406</v>
      </c>
      <c r="DV27" t="n">
        <v>0</v>
      </c>
      <c r="DW27" t="n">
        <v>0</v>
      </c>
      <c r="DX27" t="n">
        <v>0.0001455748999964264</v>
      </c>
      <c r="DY27" t="n">
        <v>0.0001258947663614189</v>
      </c>
      <c r="DZ27" t="n">
        <v>0.001634966750413707</v>
      </c>
      <c r="EA27" t="n">
        <v>0.0002806135873308534</v>
      </c>
      <c r="EB27" t="n">
        <v>4.175087428287532e-05</v>
      </c>
      <c r="EC27" t="n">
        <v>2.537463238765741e-05</v>
      </c>
      <c r="ED27" t="n">
        <v>3.858064077138745e-05</v>
      </c>
      <c r="EE27" t="n">
        <v>6.111106584264856e-06</v>
      </c>
      <c r="EF27" t="n">
        <v>0</v>
      </c>
      <c r="EG27" t="n">
        <v>2.710845967186317e-06</v>
      </c>
      <c r="EH27" t="n">
        <v>0</v>
      </c>
      <c r="EI27" t="n">
        <v>0</v>
      </c>
      <c r="EJ27" t="n">
        <v>0.0001983327392899906</v>
      </c>
      <c r="EK27" t="n">
        <v>0.0007615103560655821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0.001532765738159641</v>
      </c>
      <c r="ER27" t="n">
        <v>0.001032584324354583</v>
      </c>
      <c r="ES27" t="n">
        <v>0.000729449453786287</v>
      </c>
      <c r="ET27" t="n">
        <v>0.001428512158581259</v>
      </c>
      <c r="EU27" t="n">
        <v>0</v>
      </c>
      <c r="EV27" t="n">
        <v>0.001689788958642749</v>
      </c>
      <c r="EW27" t="n">
        <v>0.0001689388838780765</v>
      </c>
      <c r="EX27" t="n">
        <v>0.0009832629608406383</v>
      </c>
      <c r="EY27" t="n">
        <v>0.0007255190213712997</v>
      </c>
      <c r="EZ27" t="n">
        <v>0.08881245091064832</v>
      </c>
      <c r="FA27" t="n">
        <v>0.003358657765267408</v>
      </c>
      <c r="FB27" t="n">
        <v>0.005155306593415857</v>
      </c>
      <c r="FC27" t="n">
        <v>0.0001677469276575056</v>
      </c>
      <c r="FD27" t="n">
        <v>0.002956065950822762</v>
      </c>
      <c r="FE27" t="n">
        <v>0.001060764393037082</v>
      </c>
      <c r="FF27" t="n">
        <v>0.008738965197537991</v>
      </c>
      <c r="FG27" t="n">
        <v>0.002558761155602525</v>
      </c>
      <c r="FH27" t="n">
        <v>0.005690439580812239</v>
      </c>
      <c r="FI27" t="n">
        <v>0.002095191931940749</v>
      </c>
      <c r="FJ27" t="n">
        <v>0.005890522628101893</v>
      </c>
      <c r="FK27" t="n">
        <v>0</v>
      </c>
      <c r="FL27" t="n">
        <v>0.02835574156777189</v>
      </c>
      <c r="FM27" t="n">
        <v>0.0006811971261722009</v>
      </c>
      <c r="FN27" t="n">
        <v>1.259582055895963e-05</v>
      </c>
      <c r="FO27" t="n">
        <v>0.006398678885589724</v>
      </c>
      <c r="FP27" t="n">
        <v>0.003026479211329168</v>
      </c>
      <c r="FQ27" t="n">
        <v>0.03367915366483334</v>
      </c>
      <c r="FR27" t="n">
        <v>0.03144625396418042</v>
      </c>
      <c r="FS27" t="n">
        <v>0.04834517307050969</v>
      </c>
      <c r="FT27" t="n">
        <v>0.0001094566148216436</v>
      </c>
      <c r="FU27" t="n">
        <v>0.0001133179029135751</v>
      </c>
      <c r="FV27" t="n">
        <v>5.08409990491917e-05</v>
      </c>
      <c r="FW27" t="n">
        <v>0.000136542112113847</v>
      </c>
      <c r="FX27" t="n">
        <v>2.336964175339282e-05</v>
      </c>
      <c r="FY27" t="n">
        <v>3.216373610075506e-05</v>
      </c>
      <c r="FZ27" t="n">
        <v>0.0001250692609643161</v>
      </c>
      <c r="GA27" t="n">
        <v>9.23440535248616e-06</v>
      </c>
      <c r="GB27" t="n">
        <v>7.709685528076671e-07</v>
      </c>
      <c r="GC27" t="n">
        <v>0.0001127299266017867</v>
      </c>
      <c r="GD27" t="n">
        <v>6.831393691410071e-05</v>
      </c>
      <c r="GE27" t="n">
        <v>2.081365339858312e-06</v>
      </c>
      <c r="GF27" t="n">
        <v>4.343390373456332e-05</v>
      </c>
      <c r="GG27" t="n">
        <v>7.95947233099725e-05</v>
      </c>
      <c r="GH27" t="n">
        <v>7.484775367897465e-05</v>
      </c>
      <c r="GI27" t="n">
        <v>5.052033021992882e-05</v>
      </c>
      <c r="GJ27" t="n">
        <v>1.557529063496198e-05</v>
      </c>
      <c r="GK27" t="n">
        <v>0.000185059773609559</v>
      </c>
      <c r="GL27" t="n">
        <v>8.48929712046341e-06</v>
      </c>
      <c r="GM27" t="n">
        <v>2.810828672329699e-05</v>
      </c>
      <c r="GN27" t="n">
        <v>0.005575944285561858</v>
      </c>
      <c r="GO27" t="n">
        <v>0.0315577932834377</v>
      </c>
      <c r="GP27" t="n">
        <v>0.003535395281184465</v>
      </c>
      <c r="GQ27" t="n">
        <v>0</v>
      </c>
      <c r="GR27" t="n">
        <v>0.08465654119326518</v>
      </c>
      <c r="GS27" t="n">
        <v>0.1792673314191429</v>
      </c>
      <c r="GT27" t="n">
        <v>0.2707837482083619</v>
      </c>
      <c r="GU27" t="n">
        <v>0.1357913361499443</v>
      </c>
      <c r="GV27" t="n">
        <v>0.130182092378147</v>
      </c>
      <c r="GW27" t="n">
        <v>0.3924736049106362</v>
      </c>
      <c r="GX27" t="n">
        <v>0.06530612886335278</v>
      </c>
      <c r="GY27" t="n">
        <v>0.0489124956639566</v>
      </c>
      <c r="GZ27" t="n">
        <v>0.05125673404674256</v>
      </c>
      <c r="HA27" t="n">
        <v>0.04036094917293395</v>
      </c>
      <c r="HB27" t="n">
        <v>0.08881245091064832</v>
      </c>
      <c r="HC27" t="n">
        <v>0.1860600593978435</v>
      </c>
    </row>
    <row r="28">
      <c r="A28" s="1" t="inlineStr">
        <is>
          <t>Clé de tri</t>
        </is>
      </c>
      <c r="B28">
        <f>INDEX(B$18:B$27,MATCH($B$1,$A$18:$A$27,0))</f>
        <v/>
      </c>
      <c r="C28">
        <f>INDEX(C$18:C$27,MATCH($B$1,$A$18:$A$27,0))</f>
        <v/>
      </c>
      <c r="D28">
        <f>INDEX(D$18:D$27,MATCH($B$1,$A$18:$A$27,0))</f>
        <v/>
      </c>
      <c r="E28">
        <f>INDEX(E$18:E$27,MATCH($B$1,$A$18:$A$27,0))</f>
        <v/>
      </c>
      <c r="F28">
        <f>INDEX(F$18:F$27,MATCH($B$1,$A$18:$A$27,0))</f>
        <v/>
      </c>
      <c r="G28">
        <f>INDEX(G$18:G$27,MATCH($B$1,$A$18:$A$27,0))</f>
        <v/>
      </c>
      <c r="H28">
        <f>INDEX(H$18:H$27,MATCH($B$1,$A$18:$A$27,0))</f>
        <v/>
      </c>
      <c r="I28">
        <f>INDEX(I$18:I$27,MATCH($B$1,$A$18:$A$27,0))</f>
        <v/>
      </c>
      <c r="J28">
        <f>INDEX(J$18:J$27,MATCH($B$1,$A$18:$A$27,0))</f>
        <v/>
      </c>
      <c r="K28">
        <f>INDEX(K$18:K$27,MATCH($B$1,$A$18:$A$27,0))</f>
        <v/>
      </c>
      <c r="L28">
        <f>INDEX(L$18:L$27,MATCH($B$1,$A$18:$A$27,0))</f>
        <v/>
      </c>
      <c r="M28">
        <f>INDEX(M$18:M$27,MATCH($B$1,$A$18:$A$27,0))</f>
        <v/>
      </c>
      <c r="N28">
        <f>INDEX(N$18:N$27,MATCH($B$1,$A$18:$A$27,0))</f>
        <v/>
      </c>
      <c r="O28">
        <f>INDEX(O$18:O$27,MATCH($B$1,$A$18:$A$27,0))</f>
        <v/>
      </c>
      <c r="P28">
        <f>INDEX(P$18:P$27,MATCH($B$1,$A$18:$A$27,0))</f>
        <v/>
      </c>
      <c r="Q28">
        <f>INDEX(Q$18:Q$27,MATCH($B$1,$A$18:$A$27,0))</f>
        <v/>
      </c>
      <c r="R28">
        <f>INDEX(R$18:R$27,MATCH($B$1,$A$18:$A$27,0))</f>
        <v/>
      </c>
      <c r="S28">
        <f>INDEX(S$18:S$27,MATCH($B$1,$A$18:$A$27,0))</f>
        <v/>
      </c>
      <c r="T28">
        <f>INDEX(T$18:T$27,MATCH($B$1,$A$18:$A$27,0))</f>
        <v/>
      </c>
      <c r="U28">
        <f>INDEX(U$18:U$27,MATCH($B$1,$A$18:$A$27,0))</f>
        <v/>
      </c>
      <c r="V28">
        <f>INDEX(V$18:V$27,MATCH($B$1,$A$18:$A$27,0))</f>
        <v/>
      </c>
      <c r="W28">
        <f>INDEX(W$18:W$27,MATCH($B$1,$A$18:$A$27,0))</f>
        <v/>
      </c>
      <c r="X28">
        <f>INDEX(X$18:X$27,MATCH($B$1,$A$18:$A$27,0))</f>
        <v/>
      </c>
      <c r="Y28">
        <f>INDEX(Y$18:Y$27,MATCH($B$1,$A$18:$A$27,0))</f>
        <v/>
      </c>
      <c r="Z28">
        <f>INDEX(Z$18:Z$27,MATCH($B$1,$A$18:$A$27,0))</f>
        <v/>
      </c>
      <c r="AA28">
        <f>INDEX(AA$18:AA$27,MATCH($B$1,$A$18:$A$27,0))</f>
        <v/>
      </c>
      <c r="AB28">
        <f>INDEX(AB$18:AB$27,MATCH($B$1,$A$18:$A$27,0))</f>
        <v/>
      </c>
      <c r="AC28">
        <f>INDEX(AC$18:AC$27,MATCH($B$1,$A$18:$A$27,0))</f>
        <v/>
      </c>
      <c r="AD28">
        <f>INDEX(AD$18:AD$27,MATCH($B$1,$A$18:$A$27,0))</f>
        <v/>
      </c>
      <c r="AE28">
        <f>INDEX(AE$18:AE$27,MATCH($B$1,$A$18:$A$27,0))</f>
        <v/>
      </c>
      <c r="AF28">
        <f>INDEX(AF$18:AF$27,MATCH($B$1,$A$18:$A$27,0))</f>
        <v/>
      </c>
      <c r="AG28">
        <f>INDEX(AG$18:AG$27,MATCH($B$1,$A$18:$A$27,0))</f>
        <v/>
      </c>
      <c r="AH28">
        <f>INDEX(AH$18:AH$27,MATCH($B$1,$A$18:$A$27,0))</f>
        <v/>
      </c>
      <c r="AI28">
        <f>INDEX(AI$18:AI$27,MATCH($B$1,$A$18:$A$27,0))</f>
        <v/>
      </c>
      <c r="AJ28">
        <f>INDEX(AJ$18:AJ$27,MATCH($B$1,$A$18:$A$27,0))</f>
        <v/>
      </c>
      <c r="AK28">
        <f>INDEX(AK$18:AK$27,MATCH($B$1,$A$18:$A$27,0))</f>
        <v/>
      </c>
      <c r="AL28">
        <f>INDEX(AL$18:AL$27,MATCH($B$1,$A$18:$A$27,0))</f>
        <v/>
      </c>
      <c r="AM28">
        <f>INDEX(AM$18:AM$27,MATCH($B$1,$A$18:$A$27,0))</f>
        <v/>
      </c>
      <c r="AN28">
        <f>INDEX(AN$18:AN$27,MATCH($B$1,$A$18:$A$27,0))</f>
        <v/>
      </c>
      <c r="AO28">
        <f>INDEX(AO$18:AO$27,MATCH($B$1,$A$18:$A$27,0))</f>
        <v/>
      </c>
      <c r="AP28">
        <f>INDEX(AP$18:AP$27,MATCH($B$1,$A$18:$A$27,0))</f>
        <v/>
      </c>
      <c r="AQ28">
        <f>INDEX(AQ$18:AQ$27,MATCH($B$1,$A$18:$A$27,0))</f>
        <v/>
      </c>
      <c r="AR28">
        <f>INDEX(AR$18:AR$27,MATCH($B$1,$A$18:$A$27,0))</f>
        <v/>
      </c>
      <c r="AS28">
        <f>INDEX(AS$18:AS$27,MATCH($B$1,$A$18:$A$27,0))</f>
        <v/>
      </c>
      <c r="AT28">
        <f>INDEX(AT$18:AT$27,MATCH($B$1,$A$18:$A$27,0))</f>
        <v/>
      </c>
      <c r="AU28">
        <f>INDEX(AU$18:AU$27,MATCH($B$1,$A$18:$A$27,0))</f>
        <v/>
      </c>
      <c r="AV28">
        <f>INDEX(AV$18:AV$27,MATCH($B$1,$A$18:$A$27,0))</f>
        <v/>
      </c>
      <c r="AW28">
        <f>INDEX(AW$18:AW$27,MATCH($B$1,$A$18:$A$27,0))</f>
        <v/>
      </c>
      <c r="AX28">
        <f>INDEX(AX$18:AX$27,MATCH($B$1,$A$18:$A$27,0))</f>
        <v/>
      </c>
      <c r="AY28">
        <f>INDEX(AY$18:AY$27,MATCH($B$1,$A$18:$A$27,0))</f>
        <v/>
      </c>
      <c r="AZ28">
        <f>INDEX(AZ$18:AZ$27,MATCH($B$1,$A$18:$A$27,0))</f>
        <v/>
      </c>
      <c r="BA28">
        <f>INDEX(BA$18:BA$27,MATCH($B$1,$A$18:$A$27,0))</f>
        <v/>
      </c>
      <c r="BB28">
        <f>INDEX(BB$18:BB$27,MATCH($B$1,$A$18:$A$27,0))</f>
        <v/>
      </c>
      <c r="BC28">
        <f>INDEX(BC$18:BC$27,MATCH($B$1,$A$18:$A$27,0))</f>
        <v/>
      </c>
      <c r="BD28">
        <f>INDEX(BD$18:BD$27,MATCH($B$1,$A$18:$A$27,0))</f>
        <v/>
      </c>
      <c r="BE28">
        <f>INDEX(BE$18:BE$27,MATCH($B$1,$A$18:$A$27,0))</f>
        <v/>
      </c>
      <c r="BF28">
        <f>INDEX(BF$18:BF$27,MATCH($B$1,$A$18:$A$27,0))</f>
        <v/>
      </c>
      <c r="BG28">
        <f>INDEX(BG$18:BG$27,MATCH($B$1,$A$18:$A$27,0))</f>
        <v/>
      </c>
      <c r="BH28">
        <f>INDEX(BH$18:BH$27,MATCH($B$1,$A$18:$A$27,0))</f>
        <v/>
      </c>
      <c r="BI28">
        <f>INDEX(BI$18:BI$27,MATCH($B$1,$A$18:$A$27,0))</f>
        <v/>
      </c>
      <c r="BJ28">
        <f>INDEX(BJ$18:BJ$27,MATCH($B$1,$A$18:$A$27,0))</f>
        <v/>
      </c>
      <c r="BK28">
        <f>INDEX(BK$18:BK$27,MATCH($B$1,$A$18:$A$27,0))</f>
        <v/>
      </c>
      <c r="BL28">
        <f>INDEX(BL$18:BL$27,MATCH($B$1,$A$18:$A$27,0))</f>
        <v/>
      </c>
      <c r="BM28">
        <f>INDEX(BM$18:BM$27,MATCH($B$1,$A$18:$A$27,0))</f>
        <v/>
      </c>
      <c r="BN28">
        <f>INDEX(BN$18:BN$27,MATCH($B$1,$A$18:$A$27,0))</f>
        <v/>
      </c>
      <c r="BO28">
        <f>INDEX(BO$18:BO$27,MATCH($B$1,$A$18:$A$27,0))</f>
        <v/>
      </c>
      <c r="BP28">
        <f>INDEX(BP$18:BP$27,MATCH($B$1,$A$18:$A$27,0))</f>
        <v/>
      </c>
      <c r="BQ28">
        <f>INDEX(BQ$18:BQ$27,MATCH($B$1,$A$18:$A$27,0))</f>
        <v/>
      </c>
      <c r="BR28">
        <f>INDEX(BR$18:BR$27,MATCH($B$1,$A$18:$A$27,0))</f>
        <v/>
      </c>
      <c r="BS28">
        <f>INDEX(BS$18:BS$27,MATCH($B$1,$A$18:$A$27,0))</f>
        <v/>
      </c>
      <c r="BT28">
        <f>INDEX(BT$18:BT$27,MATCH($B$1,$A$18:$A$27,0))</f>
        <v/>
      </c>
      <c r="BU28">
        <f>INDEX(BU$18:BU$27,MATCH($B$1,$A$18:$A$27,0))</f>
        <v/>
      </c>
      <c r="BV28">
        <f>INDEX(BV$18:BV$27,MATCH($B$1,$A$18:$A$27,0))</f>
        <v/>
      </c>
      <c r="BW28">
        <f>INDEX(BW$18:BW$27,MATCH($B$1,$A$18:$A$27,0))</f>
        <v/>
      </c>
      <c r="BX28">
        <f>INDEX(BX$18:BX$27,MATCH($B$1,$A$18:$A$27,0))</f>
        <v/>
      </c>
      <c r="BY28">
        <f>INDEX(BY$18:BY$27,MATCH($B$1,$A$18:$A$27,0))</f>
        <v/>
      </c>
      <c r="BZ28">
        <f>INDEX(BZ$18:BZ$27,MATCH($B$1,$A$18:$A$27,0))</f>
        <v/>
      </c>
      <c r="CA28">
        <f>INDEX(CA$18:CA$27,MATCH($B$1,$A$18:$A$27,0))</f>
        <v/>
      </c>
      <c r="CB28">
        <f>INDEX(CB$18:CB$27,MATCH($B$1,$A$18:$A$27,0))</f>
        <v/>
      </c>
      <c r="CC28">
        <f>INDEX(CC$18:CC$27,MATCH($B$1,$A$18:$A$27,0))</f>
        <v/>
      </c>
      <c r="CD28">
        <f>INDEX(CD$18:CD$27,MATCH($B$1,$A$18:$A$27,0))</f>
        <v/>
      </c>
      <c r="CE28">
        <f>INDEX(CE$18:CE$27,MATCH($B$1,$A$18:$A$27,0))</f>
        <v/>
      </c>
      <c r="CF28">
        <f>INDEX(CF$18:CF$27,MATCH($B$1,$A$18:$A$27,0))</f>
        <v/>
      </c>
      <c r="CG28">
        <f>INDEX(CG$18:CG$27,MATCH($B$1,$A$18:$A$27,0))</f>
        <v/>
      </c>
      <c r="CH28">
        <f>INDEX(CH$18:CH$27,MATCH($B$1,$A$18:$A$27,0))</f>
        <v/>
      </c>
      <c r="CI28">
        <f>INDEX(CI$18:CI$27,MATCH($B$1,$A$18:$A$27,0))</f>
        <v/>
      </c>
      <c r="CJ28">
        <f>INDEX(CJ$18:CJ$27,MATCH($B$1,$A$18:$A$27,0))</f>
        <v/>
      </c>
      <c r="CK28">
        <f>INDEX(CK$18:CK$27,MATCH($B$1,$A$18:$A$27,0))</f>
        <v/>
      </c>
      <c r="CL28">
        <f>INDEX(CL$18:CL$27,MATCH($B$1,$A$18:$A$27,0))</f>
        <v/>
      </c>
      <c r="CM28">
        <f>INDEX(CM$18:CM$27,MATCH($B$1,$A$18:$A$27,0))</f>
        <v/>
      </c>
      <c r="CN28">
        <f>INDEX(CN$18:CN$27,MATCH($B$1,$A$18:$A$27,0))</f>
        <v/>
      </c>
      <c r="CO28">
        <f>INDEX(CO$18:CO$27,MATCH($B$1,$A$18:$A$27,0))</f>
        <v/>
      </c>
      <c r="CP28">
        <f>INDEX(CP$18:CP$27,MATCH($B$1,$A$18:$A$27,0))</f>
        <v/>
      </c>
      <c r="CQ28">
        <f>INDEX(CQ$18:CQ$27,MATCH($B$1,$A$18:$A$27,0))</f>
        <v/>
      </c>
      <c r="CR28">
        <f>INDEX(CR$18:CR$27,MATCH($B$1,$A$18:$A$27,0))</f>
        <v/>
      </c>
      <c r="CS28">
        <f>INDEX(CS$18:CS$27,MATCH($B$1,$A$18:$A$27,0))</f>
        <v/>
      </c>
      <c r="CT28">
        <f>INDEX(CT$18:CT$27,MATCH($B$1,$A$18:$A$27,0))</f>
        <v/>
      </c>
      <c r="CU28">
        <f>INDEX(CU$18:CU$27,MATCH($B$1,$A$18:$A$27,0))</f>
        <v/>
      </c>
      <c r="CV28">
        <f>INDEX(CV$18:CV$27,MATCH($B$1,$A$18:$A$27,0))</f>
        <v/>
      </c>
      <c r="CW28">
        <f>INDEX(CW$18:CW$27,MATCH($B$1,$A$18:$A$27,0))</f>
        <v/>
      </c>
      <c r="CX28">
        <f>INDEX(CX$18:CX$27,MATCH($B$1,$A$18:$A$27,0))</f>
        <v/>
      </c>
      <c r="CY28">
        <f>INDEX(CY$18:CY$27,MATCH($B$1,$A$18:$A$27,0))</f>
        <v/>
      </c>
      <c r="CZ28">
        <f>INDEX(CZ$18:CZ$27,MATCH($B$1,$A$18:$A$27,0))</f>
        <v/>
      </c>
      <c r="DA28">
        <f>INDEX(DA$18:DA$27,MATCH($B$1,$A$18:$A$27,0))</f>
        <v/>
      </c>
      <c r="DB28">
        <f>INDEX(DB$18:DB$27,MATCH($B$1,$A$18:$A$27,0))</f>
        <v/>
      </c>
      <c r="DC28">
        <f>INDEX(DC$18:DC$27,MATCH($B$1,$A$18:$A$27,0))</f>
        <v/>
      </c>
      <c r="DD28">
        <f>INDEX(DD$18:DD$27,MATCH($B$1,$A$18:$A$27,0))</f>
        <v/>
      </c>
      <c r="DE28">
        <f>INDEX(DE$18:DE$27,MATCH($B$1,$A$18:$A$27,0))</f>
        <v/>
      </c>
      <c r="DF28">
        <f>INDEX(DF$18:DF$27,MATCH($B$1,$A$18:$A$27,0))</f>
        <v/>
      </c>
      <c r="DG28">
        <f>INDEX(DG$18:DG$27,MATCH($B$1,$A$18:$A$27,0))</f>
        <v/>
      </c>
      <c r="DH28">
        <f>INDEX(DH$18:DH$27,MATCH($B$1,$A$18:$A$27,0))</f>
        <v/>
      </c>
      <c r="DI28">
        <f>INDEX(DI$18:DI$27,MATCH($B$1,$A$18:$A$27,0))</f>
        <v/>
      </c>
      <c r="DJ28">
        <f>INDEX(DJ$18:DJ$27,MATCH($B$1,$A$18:$A$27,0))</f>
        <v/>
      </c>
      <c r="DK28">
        <f>INDEX(DK$18:DK$27,MATCH($B$1,$A$18:$A$27,0))</f>
        <v/>
      </c>
      <c r="DL28">
        <f>INDEX(DL$18:DL$27,MATCH($B$1,$A$18:$A$27,0))</f>
        <v/>
      </c>
      <c r="DM28">
        <f>INDEX(DM$18:DM$27,MATCH($B$1,$A$18:$A$27,0))</f>
        <v/>
      </c>
      <c r="DN28">
        <f>INDEX(DN$18:DN$27,MATCH($B$1,$A$18:$A$27,0))</f>
        <v/>
      </c>
      <c r="DO28">
        <f>INDEX(DO$18:DO$27,MATCH($B$1,$A$18:$A$27,0))</f>
        <v/>
      </c>
      <c r="DP28">
        <f>INDEX(DP$18:DP$27,MATCH($B$1,$A$18:$A$27,0))</f>
        <v/>
      </c>
      <c r="DQ28">
        <f>INDEX(DQ$18:DQ$27,MATCH($B$1,$A$18:$A$27,0))</f>
        <v/>
      </c>
      <c r="DR28">
        <f>INDEX(DR$18:DR$27,MATCH($B$1,$A$18:$A$27,0))</f>
        <v/>
      </c>
      <c r="DS28">
        <f>INDEX(DS$18:DS$27,MATCH($B$1,$A$18:$A$27,0))</f>
        <v/>
      </c>
      <c r="DT28">
        <f>INDEX(DT$18:DT$27,MATCH($B$1,$A$18:$A$27,0))</f>
        <v/>
      </c>
      <c r="DU28">
        <f>INDEX(DU$18:DU$27,MATCH($B$1,$A$18:$A$27,0))</f>
        <v/>
      </c>
      <c r="DV28">
        <f>INDEX(DV$18:DV$27,MATCH($B$1,$A$18:$A$27,0))</f>
        <v/>
      </c>
      <c r="DW28">
        <f>INDEX(DW$18:DW$27,MATCH($B$1,$A$18:$A$27,0))</f>
        <v/>
      </c>
      <c r="DX28">
        <f>INDEX(DX$18:DX$27,MATCH($B$1,$A$18:$A$27,0))</f>
        <v/>
      </c>
      <c r="DY28">
        <f>INDEX(DY$18:DY$27,MATCH($B$1,$A$18:$A$27,0))</f>
        <v/>
      </c>
      <c r="DZ28">
        <f>INDEX(DZ$18:DZ$27,MATCH($B$1,$A$18:$A$27,0))</f>
        <v/>
      </c>
      <c r="EA28">
        <f>INDEX(EA$18:EA$27,MATCH($B$1,$A$18:$A$27,0))</f>
        <v/>
      </c>
      <c r="EB28">
        <f>INDEX(EB$18:EB$27,MATCH($B$1,$A$18:$A$27,0))</f>
        <v/>
      </c>
      <c r="EC28">
        <f>INDEX(EC$18:EC$27,MATCH($B$1,$A$18:$A$27,0))</f>
        <v/>
      </c>
      <c r="ED28">
        <f>INDEX(ED$18:ED$27,MATCH($B$1,$A$18:$A$27,0))</f>
        <v/>
      </c>
      <c r="EE28">
        <f>INDEX(EE$18:EE$27,MATCH($B$1,$A$18:$A$27,0))</f>
        <v/>
      </c>
      <c r="EF28">
        <f>INDEX(EF$18:EF$27,MATCH($B$1,$A$18:$A$27,0))</f>
        <v/>
      </c>
      <c r="EG28">
        <f>INDEX(EG$18:EG$27,MATCH($B$1,$A$18:$A$27,0))</f>
        <v/>
      </c>
      <c r="EH28">
        <f>INDEX(EH$18:EH$27,MATCH($B$1,$A$18:$A$27,0))</f>
        <v/>
      </c>
      <c r="EI28">
        <f>INDEX(EI$18:EI$27,MATCH($B$1,$A$18:$A$27,0))</f>
        <v/>
      </c>
      <c r="EJ28">
        <f>INDEX(EJ$18:EJ$27,MATCH($B$1,$A$18:$A$27,0))</f>
        <v/>
      </c>
      <c r="EK28">
        <f>INDEX(EK$18:EK$27,MATCH($B$1,$A$18:$A$27,0))</f>
        <v/>
      </c>
      <c r="EL28">
        <f>INDEX(EL$18:EL$27,MATCH($B$1,$A$18:$A$27,0))</f>
        <v/>
      </c>
      <c r="EM28">
        <f>INDEX(EM$18:EM$27,MATCH($B$1,$A$18:$A$27,0))</f>
        <v/>
      </c>
      <c r="EN28">
        <f>INDEX(EN$18:EN$27,MATCH($B$1,$A$18:$A$27,0))</f>
        <v/>
      </c>
      <c r="EO28">
        <f>INDEX(EO$18:EO$27,MATCH($B$1,$A$18:$A$27,0))</f>
        <v/>
      </c>
      <c r="EP28">
        <f>INDEX(EP$18:EP$27,MATCH($B$1,$A$18:$A$27,0))</f>
        <v/>
      </c>
      <c r="EQ28">
        <f>INDEX(EQ$18:EQ$27,MATCH($B$1,$A$18:$A$27,0))</f>
        <v/>
      </c>
      <c r="ER28">
        <f>INDEX(ER$18:ER$27,MATCH($B$1,$A$18:$A$27,0))</f>
        <v/>
      </c>
      <c r="ES28">
        <f>INDEX(ES$18:ES$27,MATCH($B$1,$A$18:$A$27,0))</f>
        <v/>
      </c>
      <c r="ET28">
        <f>INDEX(ET$18:ET$27,MATCH($B$1,$A$18:$A$27,0))</f>
        <v/>
      </c>
      <c r="EU28">
        <f>INDEX(EU$18:EU$27,MATCH($B$1,$A$18:$A$27,0))</f>
        <v/>
      </c>
      <c r="EV28">
        <f>INDEX(EV$18:EV$27,MATCH($B$1,$A$18:$A$27,0))</f>
        <v/>
      </c>
      <c r="EW28">
        <f>INDEX(EW$18:EW$27,MATCH($B$1,$A$18:$A$27,0))</f>
        <v/>
      </c>
      <c r="EX28">
        <f>INDEX(EX$18:EX$27,MATCH($B$1,$A$18:$A$27,0))</f>
        <v/>
      </c>
      <c r="EY28">
        <f>INDEX(EY$18:EY$27,MATCH($B$1,$A$18:$A$27,0))</f>
        <v/>
      </c>
      <c r="EZ28">
        <f>INDEX(EZ$18:EZ$27,MATCH($B$1,$A$18:$A$27,0))</f>
        <v/>
      </c>
      <c r="FA28">
        <f>INDEX(FA$18:FA$27,MATCH($B$1,$A$18:$A$27,0))</f>
        <v/>
      </c>
      <c r="FB28">
        <f>INDEX(FB$18:FB$27,MATCH($B$1,$A$18:$A$27,0))</f>
        <v/>
      </c>
      <c r="FC28">
        <f>INDEX(FC$18:FC$27,MATCH($B$1,$A$18:$A$27,0))</f>
        <v/>
      </c>
      <c r="FD28">
        <f>INDEX(FD$18:FD$27,MATCH($B$1,$A$18:$A$27,0))</f>
        <v/>
      </c>
      <c r="FE28">
        <f>INDEX(FE$18:FE$27,MATCH($B$1,$A$18:$A$27,0))</f>
        <v/>
      </c>
      <c r="FF28">
        <f>INDEX(FF$18:FF$27,MATCH($B$1,$A$18:$A$27,0))</f>
        <v/>
      </c>
      <c r="FG28">
        <f>INDEX(FG$18:FG$27,MATCH($B$1,$A$18:$A$27,0))</f>
        <v/>
      </c>
      <c r="FH28">
        <f>INDEX(FH$18:FH$27,MATCH($B$1,$A$18:$A$27,0))</f>
        <v/>
      </c>
      <c r="FI28">
        <f>INDEX(FI$18:FI$27,MATCH($B$1,$A$18:$A$27,0))</f>
        <v/>
      </c>
      <c r="FJ28">
        <f>INDEX(FJ$18:FJ$27,MATCH($B$1,$A$18:$A$27,0))</f>
        <v/>
      </c>
      <c r="FK28">
        <f>INDEX(FK$18:FK$27,MATCH($B$1,$A$18:$A$27,0))</f>
        <v/>
      </c>
      <c r="FL28">
        <f>INDEX(FL$18:FL$27,MATCH($B$1,$A$18:$A$27,0))</f>
        <v/>
      </c>
      <c r="FM28">
        <f>INDEX(FM$18:FM$27,MATCH($B$1,$A$18:$A$27,0))</f>
        <v/>
      </c>
      <c r="FN28">
        <f>INDEX(FN$18:FN$27,MATCH($B$1,$A$18:$A$27,0))</f>
        <v/>
      </c>
      <c r="FO28">
        <f>INDEX(FO$18:FO$27,MATCH($B$1,$A$18:$A$27,0))</f>
        <v/>
      </c>
      <c r="FP28">
        <f>INDEX(FP$18:FP$27,MATCH($B$1,$A$18:$A$27,0))</f>
        <v/>
      </c>
      <c r="FQ28">
        <f>INDEX(FQ$18:FQ$27,MATCH($B$1,$A$18:$A$27,0))</f>
        <v/>
      </c>
      <c r="FR28">
        <f>INDEX(FR$18:FR$27,MATCH($B$1,$A$18:$A$27,0))</f>
        <v/>
      </c>
      <c r="FS28">
        <f>INDEX(FS$18:FS$27,MATCH($B$1,$A$18:$A$27,0))</f>
        <v/>
      </c>
      <c r="FT28">
        <f>INDEX(FT$18:FT$27,MATCH($B$1,$A$18:$A$27,0))</f>
        <v/>
      </c>
      <c r="FU28">
        <f>INDEX(FU$18:FU$27,MATCH($B$1,$A$18:$A$27,0))</f>
        <v/>
      </c>
      <c r="FV28">
        <f>INDEX(FV$18:FV$27,MATCH($B$1,$A$18:$A$27,0))</f>
        <v/>
      </c>
      <c r="FW28">
        <f>INDEX(FW$18:FW$27,MATCH($B$1,$A$18:$A$27,0))</f>
        <v/>
      </c>
      <c r="FX28">
        <f>INDEX(FX$18:FX$27,MATCH($B$1,$A$18:$A$27,0))</f>
        <v/>
      </c>
      <c r="FY28">
        <f>INDEX(FY$18:FY$27,MATCH($B$1,$A$18:$A$27,0))</f>
        <v/>
      </c>
      <c r="FZ28">
        <f>INDEX(FZ$18:FZ$27,MATCH($B$1,$A$18:$A$27,0))</f>
        <v/>
      </c>
      <c r="GA28">
        <f>INDEX(GA$18:GA$27,MATCH($B$1,$A$18:$A$27,0))</f>
        <v/>
      </c>
      <c r="GB28">
        <f>INDEX(GB$18:GB$27,MATCH($B$1,$A$18:$A$27,0))</f>
        <v/>
      </c>
      <c r="GC28">
        <f>INDEX(GC$18:GC$27,MATCH($B$1,$A$18:$A$27,0))</f>
        <v/>
      </c>
      <c r="GD28">
        <f>INDEX(GD$18:GD$27,MATCH($B$1,$A$18:$A$27,0))</f>
        <v/>
      </c>
      <c r="GE28">
        <f>INDEX(GE$18:GE$27,MATCH($B$1,$A$18:$A$27,0))</f>
        <v/>
      </c>
      <c r="GF28">
        <f>INDEX(GF$18:GF$27,MATCH($B$1,$A$18:$A$27,0))</f>
        <v/>
      </c>
      <c r="GG28">
        <f>INDEX(GG$18:GG$27,MATCH($B$1,$A$18:$A$27,0))</f>
        <v/>
      </c>
      <c r="GH28">
        <f>INDEX(GH$18:GH$27,MATCH($B$1,$A$18:$A$27,0))</f>
        <v/>
      </c>
      <c r="GI28">
        <f>INDEX(GI$18:GI$27,MATCH($B$1,$A$18:$A$27,0))</f>
        <v/>
      </c>
      <c r="GJ28">
        <f>INDEX(GJ$18:GJ$27,MATCH($B$1,$A$18:$A$27,0))</f>
        <v/>
      </c>
      <c r="GK28">
        <f>INDEX(GK$18:GK$27,MATCH($B$1,$A$18:$A$27,0))</f>
        <v/>
      </c>
      <c r="GL28">
        <f>INDEX(GL$18:GL$27,MATCH($B$1,$A$18:$A$27,0))</f>
        <v/>
      </c>
      <c r="GM28">
        <f>INDEX(GM$18:GM$27,MATCH($B$1,$A$18:$A$27,0))</f>
        <v/>
      </c>
      <c r="GN28">
        <f>INDEX(GN$18:GN$27,MATCH($B$1,$A$18:$A$27,0))</f>
        <v/>
      </c>
      <c r="GO28">
        <f>INDEX(GO$18:GO$27,MATCH($B$1,$A$18:$A$27,0))</f>
        <v/>
      </c>
      <c r="GP28">
        <f>INDEX(GP$18:GP$27,MATCH($B$1,$A$18:$A$27,0))</f>
        <v/>
      </c>
      <c r="GQ28">
        <f>INDEX(GQ$18:GQ$27,MATCH($B$1,$A$18:$A$27,0))</f>
        <v/>
      </c>
      <c r="GR28">
        <f>INDEX(GR$18:GR$27,MATCH($B$1,$A$18:$A$27,0))</f>
        <v/>
      </c>
      <c r="GS28">
        <f>INDEX(GS$18:GS$27,MATCH($B$1,$A$18:$A$27,0))</f>
        <v/>
      </c>
      <c r="GT28">
        <f>INDEX(GT$18:GT$27,MATCH($B$1,$A$18:$A$27,0))</f>
        <v/>
      </c>
      <c r="GU28">
        <f>INDEX(GU$18:GU$27,MATCH($B$1,$A$18:$A$27,0))</f>
        <v/>
      </c>
      <c r="GV28">
        <f>INDEX(GV$18:GV$27,MATCH($B$1,$A$18:$A$27,0))</f>
        <v/>
      </c>
      <c r="GW28">
        <f>INDEX(GW$18:GW$27,MATCH($B$1,$A$18:$A$27,0))</f>
        <v/>
      </c>
      <c r="GX28">
        <f>INDEX(GX$18:GX$27,MATCH($B$1,$A$18:$A$27,0))</f>
        <v/>
      </c>
      <c r="GY28">
        <f>INDEX(GY$18:GY$27,MATCH($B$1,$A$18:$A$27,0))</f>
        <v/>
      </c>
      <c r="GZ28">
        <f>INDEX(GZ$18:GZ$27,MATCH($B$1,$A$18:$A$27,0))</f>
        <v/>
      </c>
      <c r="HA28">
        <f>INDEX(HA$18:HA$27,MATCH($B$1,$A$18:$A$27,0))</f>
        <v/>
      </c>
      <c r="HB28">
        <f>INDEX(HB$18:HB$27,MATCH($B$1,$A$18:$A$27,0))</f>
        <v/>
      </c>
      <c r="HC28">
        <f>INDEX(HC$18:HC$27,MATCH($B$1,$A$18:$A$27,0))</f>
        <v/>
      </c>
    </row>
    <row r="29">
      <c r="A29" s="1" t="inlineStr">
        <is>
          <t>Rang</t>
        </is>
      </c>
      <c r="B29">
        <f>RANK(B28,$B$28:$GQ$28,0)+COUNTIF($B$28:B28,B28)-1</f>
        <v/>
      </c>
      <c r="C29">
        <f>RANK(C28,$B$28:$GQ$28,0)+COUNTIF($B$28:C28,C28)-1</f>
        <v/>
      </c>
      <c r="D29">
        <f>RANK(D28,$B$28:$GQ$28,0)+COUNTIF($B$28:D28,D28)-1</f>
        <v/>
      </c>
      <c r="E29">
        <f>RANK(E28,$B$28:$GQ$28,0)+COUNTIF($B$28:E28,E28)-1</f>
        <v/>
      </c>
      <c r="F29">
        <f>RANK(F28,$B$28:$GQ$28,0)+COUNTIF($B$28:F28,F28)-1</f>
        <v/>
      </c>
      <c r="G29">
        <f>RANK(G28,$B$28:$GQ$28,0)+COUNTIF($B$28:G28,G28)-1</f>
        <v/>
      </c>
      <c r="H29">
        <f>RANK(H28,$B$28:$GQ$28,0)+COUNTIF($B$28:H28,H28)-1</f>
        <v/>
      </c>
      <c r="I29">
        <f>RANK(I28,$B$28:$GQ$28,0)+COUNTIF($B$28:I28,I28)-1</f>
        <v/>
      </c>
      <c r="J29">
        <f>RANK(J28,$B$28:$GQ$28,0)+COUNTIF($B$28:J28,J28)-1</f>
        <v/>
      </c>
      <c r="K29">
        <f>RANK(K28,$B$28:$GQ$28,0)+COUNTIF($B$28:K28,K28)-1</f>
        <v/>
      </c>
      <c r="L29">
        <f>RANK(L28,$B$28:$GQ$28,0)+COUNTIF($B$28:L28,L28)-1</f>
        <v/>
      </c>
      <c r="M29">
        <f>RANK(M28,$B$28:$GQ$28,0)+COUNTIF($B$28:M28,M28)-1</f>
        <v/>
      </c>
      <c r="N29">
        <f>RANK(N28,$B$28:$GQ$28,0)+COUNTIF($B$28:N28,N28)-1</f>
        <v/>
      </c>
      <c r="O29">
        <f>RANK(O28,$B$28:$GQ$28,0)+COUNTIF($B$28:O28,O28)-1</f>
        <v/>
      </c>
      <c r="P29">
        <f>RANK(P28,$B$28:$GQ$28,0)+COUNTIF($B$28:P28,P28)-1</f>
        <v/>
      </c>
      <c r="Q29">
        <f>RANK(Q28,$B$28:$GQ$28,0)+COUNTIF($B$28:Q28,Q28)-1</f>
        <v/>
      </c>
      <c r="R29">
        <f>RANK(R28,$B$28:$GQ$28,0)+COUNTIF($B$28:R28,R28)-1</f>
        <v/>
      </c>
      <c r="S29">
        <f>RANK(S28,$B$28:$GQ$28,0)+COUNTIF($B$28:S28,S28)-1</f>
        <v/>
      </c>
      <c r="T29">
        <f>RANK(T28,$B$28:$GQ$28,0)+COUNTIF($B$28:T28,T28)-1</f>
        <v/>
      </c>
      <c r="U29">
        <f>RANK(U28,$B$28:$GQ$28,0)+COUNTIF($B$28:U28,U28)-1</f>
        <v/>
      </c>
      <c r="V29">
        <f>RANK(V28,$B$28:$GQ$28,0)+COUNTIF($B$28:V28,V28)-1</f>
        <v/>
      </c>
      <c r="W29">
        <f>RANK(W28,$B$28:$GQ$28,0)+COUNTIF($B$28:W28,W28)-1</f>
        <v/>
      </c>
      <c r="X29">
        <f>RANK(X28,$B$28:$GQ$28,0)+COUNTIF($B$28:X28,X28)-1</f>
        <v/>
      </c>
      <c r="Y29">
        <f>RANK(Y28,$B$28:$GQ$28,0)+COUNTIF($B$28:Y28,Y28)-1</f>
        <v/>
      </c>
      <c r="Z29">
        <f>RANK(Z28,$B$28:$GQ$28,0)+COUNTIF($B$28:Z28,Z28)-1</f>
        <v/>
      </c>
      <c r="AA29">
        <f>RANK(AA28,$B$28:$GQ$28,0)+COUNTIF($B$28:AA28,AA28)-1</f>
        <v/>
      </c>
      <c r="AB29">
        <f>RANK(AB28,$B$28:$GQ$28,0)+COUNTIF($B$28:AB28,AB28)-1</f>
        <v/>
      </c>
      <c r="AC29">
        <f>RANK(AC28,$B$28:$GQ$28,0)+COUNTIF($B$28:AC28,AC28)-1</f>
        <v/>
      </c>
      <c r="AD29">
        <f>RANK(AD28,$B$28:$GQ$28,0)+COUNTIF($B$28:AD28,AD28)-1</f>
        <v/>
      </c>
      <c r="AE29">
        <f>RANK(AE28,$B$28:$GQ$28,0)+COUNTIF($B$28:AE28,AE28)-1</f>
        <v/>
      </c>
      <c r="AF29">
        <f>RANK(AF28,$B$28:$GQ$28,0)+COUNTIF($B$28:AF28,AF28)-1</f>
        <v/>
      </c>
      <c r="AG29">
        <f>RANK(AG28,$B$28:$GQ$28,0)+COUNTIF($B$28:AG28,AG28)-1</f>
        <v/>
      </c>
      <c r="AH29">
        <f>RANK(AH28,$B$28:$GQ$28,0)+COUNTIF($B$28:AH28,AH28)-1</f>
        <v/>
      </c>
      <c r="AI29">
        <f>RANK(AI28,$B$28:$GQ$28,0)+COUNTIF($B$28:AI28,AI28)-1</f>
        <v/>
      </c>
      <c r="AJ29">
        <f>RANK(AJ28,$B$28:$GQ$28,0)+COUNTIF($B$28:AJ28,AJ28)-1</f>
        <v/>
      </c>
      <c r="AK29">
        <f>RANK(AK28,$B$28:$GQ$28,0)+COUNTIF($B$28:AK28,AK28)-1</f>
        <v/>
      </c>
      <c r="AL29">
        <f>RANK(AL28,$B$28:$GQ$28,0)+COUNTIF($B$28:AL28,AL28)-1</f>
        <v/>
      </c>
      <c r="AM29">
        <f>RANK(AM28,$B$28:$GQ$28,0)+COUNTIF($B$28:AM28,AM28)-1</f>
        <v/>
      </c>
      <c r="AN29">
        <f>RANK(AN28,$B$28:$GQ$28,0)+COUNTIF($B$28:AN28,AN28)-1</f>
        <v/>
      </c>
      <c r="AO29">
        <f>RANK(AO28,$B$28:$GQ$28,0)+COUNTIF($B$28:AO28,AO28)-1</f>
        <v/>
      </c>
      <c r="AP29">
        <f>RANK(AP28,$B$28:$GQ$28,0)+COUNTIF($B$28:AP28,AP28)-1</f>
        <v/>
      </c>
      <c r="AQ29">
        <f>RANK(AQ28,$B$28:$GQ$28,0)+COUNTIF($B$28:AQ28,AQ28)-1</f>
        <v/>
      </c>
      <c r="AR29">
        <f>RANK(AR28,$B$28:$GQ$28,0)+COUNTIF($B$28:AR28,AR28)-1</f>
        <v/>
      </c>
      <c r="AS29">
        <f>RANK(AS28,$B$28:$GQ$28,0)+COUNTIF($B$28:AS28,AS28)-1</f>
        <v/>
      </c>
      <c r="AT29">
        <f>RANK(AT28,$B$28:$GQ$28,0)+COUNTIF($B$28:AT28,AT28)-1</f>
        <v/>
      </c>
      <c r="AU29">
        <f>RANK(AU28,$B$28:$GQ$28,0)+COUNTIF($B$28:AU28,AU28)-1</f>
        <v/>
      </c>
      <c r="AV29">
        <f>RANK(AV28,$B$28:$GQ$28,0)+COUNTIF($B$28:AV28,AV28)-1</f>
        <v/>
      </c>
      <c r="AW29">
        <f>RANK(AW28,$B$28:$GQ$28,0)+COUNTIF($B$28:AW28,AW28)-1</f>
        <v/>
      </c>
      <c r="AX29">
        <f>RANK(AX28,$B$28:$GQ$28,0)+COUNTIF($B$28:AX28,AX28)-1</f>
        <v/>
      </c>
      <c r="AY29">
        <f>RANK(AY28,$B$28:$GQ$28,0)+COUNTIF($B$28:AY28,AY28)-1</f>
        <v/>
      </c>
      <c r="AZ29">
        <f>RANK(AZ28,$B$28:$GQ$28,0)+COUNTIF($B$28:AZ28,AZ28)-1</f>
        <v/>
      </c>
      <c r="BA29">
        <f>RANK(BA28,$B$28:$GQ$28,0)+COUNTIF($B$28:BA28,BA28)-1</f>
        <v/>
      </c>
      <c r="BB29">
        <f>RANK(BB28,$B$28:$GQ$28,0)+COUNTIF($B$28:BB28,BB28)-1</f>
        <v/>
      </c>
      <c r="BC29">
        <f>RANK(BC28,$B$28:$GQ$28,0)+COUNTIF($B$28:BC28,BC28)-1</f>
        <v/>
      </c>
      <c r="BD29">
        <f>RANK(BD28,$B$28:$GQ$28,0)+COUNTIF($B$28:BD28,BD28)-1</f>
        <v/>
      </c>
      <c r="BE29">
        <f>RANK(BE28,$B$28:$GQ$28,0)+COUNTIF($B$28:BE28,BE28)-1</f>
        <v/>
      </c>
      <c r="BF29">
        <f>RANK(BF28,$B$28:$GQ$28,0)+COUNTIF($B$28:BF28,BF28)-1</f>
        <v/>
      </c>
      <c r="BG29">
        <f>RANK(BG28,$B$28:$GQ$28,0)+COUNTIF($B$28:BG28,BG28)-1</f>
        <v/>
      </c>
      <c r="BH29">
        <f>RANK(BH28,$B$28:$GQ$28,0)+COUNTIF($B$28:BH28,BH28)-1</f>
        <v/>
      </c>
      <c r="BI29">
        <f>RANK(BI28,$B$28:$GQ$28,0)+COUNTIF($B$28:BI28,BI28)-1</f>
        <v/>
      </c>
      <c r="BJ29">
        <f>RANK(BJ28,$B$28:$GQ$28,0)+COUNTIF($B$28:BJ28,BJ28)-1</f>
        <v/>
      </c>
      <c r="BK29">
        <f>RANK(BK28,$B$28:$GQ$28,0)+COUNTIF($B$28:BK28,BK28)-1</f>
        <v/>
      </c>
      <c r="BL29">
        <f>RANK(BL28,$B$28:$GQ$28,0)+COUNTIF($B$28:BL28,BL28)-1</f>
        <v/>
      </c>
      <c r="BM29">
        <f>RANK(BM28,$B$28:$GQ$28,0)+COUNTIF($B$28:BM28,BM28)-1</f>
        <v/>
      </c>
      <c r="BN29">
        <f>RANK(BN28,$B$28:$GQ$28,0)+COUNTIF($B$28:BN28,BN28)-1</f>
        <v/>
      </c>
      <c r="BO29">
        <f>RANK(BO28,$B$28:$GQ$28,0)+COUNTIF($B$28:BO28,BO28)-1</f>
        <v/>
      </c>
      <c r="BP29">
        <f>RANK(BP28,$B$28:$GQ$28,0)+COUNTIF($B$28:BP28,BP28)-1</f>
        <v/>
      </c>
      <c r="BQ29">
        <f>RANK(BQ28,$B$28:$GQ$28,0)+COUNTIF($B$28:BQ28,BQ28)-1</f>
        <v/>
      </c>
      <c r="BR29">
        <f>RANK(BR28,$B$28:$GQ$28,0)+COUNTIF($B$28:BR28,BR28)-1</f>
        <v/>
      </c>
      <c r="BS29">
        <f>RANK(BS28,$B$28:$GQ$28,0)+COUNTIF($B$28:BS28,BS28)-1</f>
        <v/>
      </c>
      <c r="BT29">
        <f>RANK(BT28,$B$28:$GQ$28,0)+COUNTIF($B$28:BT28,BT28)-1</f>
        <v/>
      </c>
      <c r="BU29">
        <f>RANK(BU28,$B$28:$GQ$28,0)+COUNTIF($B$28:BU28,BU28)-1</f>
        <v/>
      </c>
      <c r="BV29">
        <f>RANK(BV28,$B$28:$GQ$28,0)+COUNTIF($B$28:BV28,BV28)-1</f>
        <v/>
      </c>
      <c r="BW29">
        <f>RANK(BW28,$B$28:$GQ$28,0)+COUNTIF($B$28:BW28,BW28)-1</f>
        <v/>
      </c>
      <c r="BX29">
        <f>RANK(BX28,$B$28:$GQ$28,0)+COUNTIF($B$28:BX28,BX28)-1</f>
        <v/>
      </c>
      <c r="BY29">
        <f>RANK(BY28,$B$28:$GQ$28,0)+COUNTIF($B$28:BY28,BY28)-1</f>
        <v/>
      </c>
      <c r="BZ29">
        <f>RANK(BZ28,$B$28:$GQ$28,0)+COUNTIF($B$28:BZ28,BZ28)-1</f>
        <v/>
      </c>
      <c r="CA29">
        <f>RANK(CA28,$B$28:$GQ$28,0)+COUNTIF($B$28:CA28,CA28)-1</f>
        <v/>
      </c>
      <c r="CB29">
        <f>RANK(CB28,$B$28:$GQ$28,0)+COUNTIF($B$28:CB28,CB28)-1</f>
        <v/>
      </c>
      <c r="CC29">
        <f>RANK(CC28,$B$28:$GQ$28,0)+COUNTIF($B$28:CC28,CC28)-1</f>
        <v/>
      </c>
      <c r="CD29">
        <f>RANK(CD28,$B$28:$GQ$28,0)+COUNTIF($B$28:CD28,CD28)-1</f>
        <v/>
      </c>
      <c r="CE29">
        <f>RANK(CE28,$B$28:$GQ$28,0)+COUNTIF($B$28:CE28,CE28)-1</f>
        <v/>
      </c>
      <c r="CF29">
        <f>RANK(CF28,$B$28:$GQ$28,0)+COUNTIF($B$28:CF28,CF28)-1</f>
        <v/>
      </c>
      <c r="CG29">
        <f>RANK(CG28,$B$28:$GQ$28,0)+COUNTIF($B$28:CG28,CG28)-1</f>
        <v/>
      </c>
      <c r="CH29">
        <f>RANK(CH28,$B$28:$GQ$28,0)+COUNTIF($B$28:CH28,CH28)-1</f>
        <v/>
      </c>
      <c r="CI29">
        <f>RANK(CI28,$B$28:$GQ$28,0)+COUNTIF($B$28:CI28,CI28)-1</f>
        <v/>
      </c>
      <c r="CJ29">
        <f>RANK(CJ28,$B$28:$GQ$28,0)+COUNTIF($B$28:CJ28,CJ28)-1</f>
        <v/>
      </c>
      <c r="CK29">
        <f>RANK(CK28,$B$28:$GQ$28,0)+COUNTIF($B$28:CK28,CK28)-1</f>
        <v/>
      </c>
      <c r="CL29">
        <f>RANK(CL28,$B$28:$GQ$28,0)+COUNTIF($B$28:CL28,CL28)-1</f>
        <v/>
      </c>
      <c r="CM29">
        <f>RANK(CM28,$B$28:$GQ$28,0)+COUNTIF($B$28:CM28,CM28)-1</f>
        <v/>
      </c>
      <c r="CN29">
        <f>RANK(CN28,$B$28:$GQ$28,0)+COUNTIF($B$28:CN28,CN28)-1</f>
        <v/>
      </c>
      <c r="CO29">
        <f>RANK(CO28,$B$28:$GQ$28,0)+COUNTIF($B$28:CO28,CO28)-1</f>
        <v/>
      </c>
      <c r="CP29">
        <f>RANK(CP28,$B$28:$GQ$28,0)+COUNTIF($B$28:CP28,CP28)-1</f>
        <v/>
      </c>
      <c r="CQ29">
        <f>RANK(CQ28,$B$28:$GQ$28,0)+COUNTIF($B$28:CQ28,CQ28)-1</f>
        <v/>
      </c>
      <c r="CR29">
        <f>RANK(CR28,$B$28:$GQ$28,0)+COUNTIF($B$28:CR28,CR28)-1</f>
        <v/>
      </c>
      <c r="CS29">
        <f>RANK(CS28,$B$28:$GQ$28,0)+COUNTIF($B$28:CS28,CS28)-1</f>
        <v/>
      </c>
      <c r="CT29">
        <f>RANK(CT28,$B$28:$GQ$28,0)+COUNTIF($B$28:CT28,CT28)-1</f>
        <v/>
      </c>
      <c r="CU29">
        <f>RANK(CU28,$B$28:$GQ$28,0)+COUNTIF($B$28:CU28,CU28)-1</f>
        <v/>
      </c>
      <c r="CV29">
        <f>RANK(CV28,$B$28:$GQ$28,0)+COUNTIF($B$28:CV28,CV28)-1</f>
        <v/>
      </c>
      <c r="CW29">
        <f>RANK(CW28,$B$28:$GQ$28,0)+COUNTIF($B$28:CW28,CW28)-1</f>
        <v/>
      </c>
      <c r="CX29">
        <f>RANK(CX28,$B$28:$GQ$28,0)+COUNTIF($B$28:CX28,CX28)-1</f>
        <v/>
      </c>
      <c r="CY29">
        <f>RANK(CY28,$B$28:$GQ$28,0)+COUNTIF($B$28:CY28,CY28)-1</f>
        <v/>
      </c>
      <c r="CZ29">
        <f>RANK(CZ28,$B$28:$GQ$28,0)+COUNTIF($B$28:CZ28,CZ28)-1</f>
        <v/>
      </c>
      <c r="DA29">
        <f>RANK(DA28,$B$28:$GQ$28,0)+COUNTIF($B$28:DA28,DA28)-1</f>
        <v/>
      </c>
      <c r="DB29">
        <f>RANK(DB28,$B$28:$GQ$28,0)+COUNTIF($B$28:DB28,DB28)-1</f>
        <v/>
      </c>
      <c r="DC29">
        <f>RANK(DC28,$B$28:$GQ$28,0)+COUNTIF($B$28:DC28,DC28)-1</f>
        <v/>
      </c>
      <c r="DD29">
        <f>RANK(DD28,$B$28:$GQ$28,0)+COUNTIF($B$28:DD28,DD28)-1</f>
        <v/>
      </c>
      <c r="DE29">
        <f>RANK(DE28,$B$28:$GQ$28,0)+COUNTIF($B$28:DE28,DE28)-1</f>
        <v/>
      </c>
      <c r="DF29">
        <f>RANK(DF28,$B$28:$GQ$28,0)+COUNTIF($B$28:DF28,DF28)-1</f>
        <v/>
      </c>
      <c r="DG29">
        <f>RANK(DG28,$B$28:$GQ$28,0)+COUNTIF($B$28:DG28,DG28)-1</f>
        <v/>
      </c>
      <c r="DH29">
        <f>RANK(DH28,$B$28:$GQ$28,0)+COUNTIF($B$28:DH28,DH28)-1</f>
        <v/>
      </c>
      <c r="DI29">
        <f>RANK(DI28,$B$28:$GQ$28,0)+COUNTIF($B$28:DI28,DI28)-1</f>
        <v/>
      </c>
      <c r="DJ29">
        <f>RANK(DJ28,$B$28:$GQ$28,0)+COUNTIF($B$28:DJ28,DJ28)-1</f>
        <v/>
      </c>
      <c r="DK29">
        <f>RANK(DK28,$B$28:$GQ$28,0)+COUNTIF($B$28:DK28,DK28)-1</f>
        <v/>
      </c>
      <c r="DL29">
        <f>RANK(DL28,$B$28:$GQ$28,0)+COUNTIF($B$28:DL28,DL28)-1</f>
        <v/>
      </c>
      <c r="DM29">
        <f>RANK(DM28,$B$28:$GQ$28,0)+COUNTIF($B$28:DM28,DM28)-1</f>
        <v/>
      </c>
      <c r="DN29">
        <f>RANK(DN28,$B$28:$GQ$28,0)+COUNTIF($B$28:DN28,DN28)-1</f>
        <v/>
      </c>
      <c r="DO29">
        <f>RANK(DO28,$B$28:$GQ$28,0)+COUNTIF($B$28:DO28,DO28)-1</f>
        <v/>
      </c>
      <c r="DP29">
        <f>RANK(DP28,$B$28:$GQ$28,0)+COUNTIF($B$28:DP28,DP28)-1</f>
        <v/>
      </c>
      <c r="DQ29">
        <f>RANK(DQ28,$B$28:$GQ$28,0)+COUNTIF($B$28:DQ28,DQ28)-1</f>
        <v/>
      </c>
      <c r="DR29">
        <f>RANK(DR28,$B$28:$GQ$28,0)+COUNTIF($B$28:DR28,DR28)-1</f>
        <v/>
      </c>
      <c r="DS29">
        <f>RANK(DS28,$B$28:$GQ$28,0)+COUNTIF($B$28:DS28,DS28)-1</f>
        <v/>
      </c>
      <c r="DT29">
        <f>RANK(DT28,$B$28:$GQ$28,0)+COUNTIF($B$28:DT28,DT28)-1</f>
        <v/>
      </c>
      <c r="DU29">
        <f>RANK(DU28,$B$28:$GQ$28,0)+COUNTIF($B$28:DU28,DU28)-1</f>
        <v/>
      </c>
      <c r="DV29">
        <f>RANK(DV28,$B$28:$GQ$28,0)+COUNTIF($B$28:DV28,DV28)-1</f>
        <v/>
      </c>
      <c r="DW29">
        <f>RANK(DW28,$B$28:$GQ$28,0)+COUNTIF($B$28:DW28,DW28)-1</f>
        <v/>
      </c>
      <c r="DX29">
        <f>RANK(DX28,$B$28:$GQ$28,0)+COUNTIF($B$28:DX28,DX28)-1</f>
        <v/>
      </c>
      <c r="DY29">
        <f>RANK(DY28,$B$28:$GQ$28,0)+COUNTIF($B$28:DY28,DY28)-1</f>
        <v/>
      </c>
      <c r="DZ29">
        <f>RANK(DZ28,$B$28:$GQ$28,0)+COUNTIF($B$28:DZ28,DZ28)-1</f>
        <v/>
      </c>
      <c r="EA29">
        <f>RANK(EA28,$B$28:$GQ$28,0)+COUNTIF($B$28:EA28,EA28)-1</f>
        <v/>
      </c>
      <c r="EB29">
        <f>RANK(EB28,$B$28:$GQ$28,0)+COUNTIF($B$28:EB28,EB28)-1</f>
        <v/>
      </c>
      <c r="EC29">
        <f>RANK(EC28,$B$28:$GQ$28,0)+COUNTIF($B$28:EC28,EC28)-1</f>
        <v/>
      </c>
      <c r="ED29">
        <f>RANK(ED28,$B$28:$GQ$28,0)+COUNTIF($B$28:ED28,ED28)-1</f>
        <v/>
      </c>
      <c r="EE29">
        <f>RANK(EE28,$B$28:$GQ$28,0)+COUNTIF($B$28:EE28,EE28)-1</f>
        <v/>
      </c>
      <c r="EF29">
        <f>RANK(EF28,$B$28:$GQ$28,0)+COUNTIF($B$28:EF28,EF28)-1</f>
        <v/>
      </c>
      <c r="EG29">
        <f>RANK(EG28,$B$28:$GQ$28,0)+COUNTIF($B$28:EG28,EG28)-1</f>
        <v/>
      </c>
      <c r="EH29">
        <f>RANK(EH28,$B$28:$GQ$28,0)+COUNTIF($B$28:EH28,EH28)-1</f>
        <v/>
      </c>
      <c r="EI29">
        <f>RANK(EI28,$B$28:$GQ$28,0)+COUNTIF($B$28:EI28,EI28)-1</f>
        <v/>
      </c>
      <c r="EJ29">
        <f>RANK(EJ28,$B$28:$GQ$28,0)+COUNTIF($B$28:EJ28,EJ28)-1</f>
        <v/>
      </c>
      <c r="EK29">
        <f>RANK(EK28,$B$28:$GQ$28,0)+COUNTIF($B$28:EK28,EK28)-1</f>
        <v/>
      </c>
      <c r="EL29">
        <f>RANK(EL28,$B$28:$GQ$28,0)+COUNTIF($B$28:EL28,EL28)-1</f>
        <v/>
      </c>
      <c r="EM29">
        <f>RANK(EM28,$B$28:$GQ$28,0)+COUNTIF($B$28:EM28,EM28)-1</f>
        <v/>
      </c>
      <c r="EN29">
        <f>RANK(EN28,$B$28:$GQ$28,0)+COUNTIF($B$28:EN28,EN28)-1</f>
        <v/>
      </c>
      <c r="EO29">
        <f>RANK(EO28,$B$28:$GQ$28,0)+COUNTIF($B$28:EO28,EO28)-1</f>
        <v/>
      </c>
      <c r="EP29">
        <f>RANK(EP28,$B$28:$GQ$28,0)+COUNTIF($B$28:EP28,EP28)-1</f>
        <v/>
      </c>
      <c r="EQ29">
        <f>RANK(EQ28,$B$28:$GQ$28,0)+COUNTIF($B$28:EQ28,EQ28)-1</f>
        <v/>
      </c>
      <c r="ER29">
        <f>RANK(ER28,$B$28:$GQ$28,0)+COUNTIF($B$28:ER28,ER28)-1</f>
        <v/>
      </c>
      <c r="ES29">
        <f>RANK(ES28,$B$28:$GQ$28,0)+COUNTIF($B$28:ES28,ES28)-1</f>
        <v/>
      </c>
      <c r="ET29">
        <f>RANK(ET28,$B$28:$GQ$28,0)+COUNTIF($B$28:ET28,ET28)-1</f>
        <v/>
      </c>
      <c r="EU29">
        <f>RANK(EU28,$B$28:$GQ$28,0)+COUNTIF($B$28:EU28,EU28)-1</f>
        <v/>
      </c>
      <c r="EV29">
        <f>RANK(EV28,$B$28:$GQ$28,0)+COUNTIF($B$28:EV28,EV28)-1</f>
        <v/>
      </c>
      <c r="EW29">
        <f>RANK(EW28,$B$28:$GQ$28,0)+COUNTIF($B$28:EW28,EW28)-1</f>
        <v/>
      </c>
      <c r="EX29">
        <f>RANK(EX28,$B$28:$GQ$28,0)+COUNTIF($B$28:EX28,EX28)-1</f>
        <v/>
      </c>
      <c r="EY29">
        <f>RANK(EY28,$B$28:$GQ$28,0)+COUNTIF($B$28:EY28,EY28)-1</f>
        <v/>
      </c>
      <c r="EZ29">
        <f>RANK(EZ28,$B$28:$GQ$28,0)+COUNTIF($B$28:EZ28,EZ28)-1</f>
        <v/>
      </c>
      <c r="FA29">
        <f>RANK(FA28,$B$28:$GQ$28,0)+COUNTIF($B$28:FA28,FA28)-1</f>
        <v/>
      </c>
      <c r="FB29">
        <f>RANK(FB28,$B$28:$GQ$28,0)+COUNTIF($B$28:FB28,FB28)-1</f>
        <v/>
      </c>
      <c r="FC29">
        <f>RANK(FC28,$B$28:$GQ$28,0)+COUNTIF($B$28:FC28,FC28)-1</f>
        <v/>
      </c>
      <c r="FD29">
        <f>RANK(FD28,$B$28:$GQ$28,0)+COUNTIF($B$28:FD28,FD28)-1</f>
        <v/>
      </c>
      <c r="FE29">
        <f>RANK(FE28,$B$28:$GQ$28,0)+COUNTIF($B$28:FE28,FE28)-1</f>
        <v/>
      </c>
      <c r="FF29">
        <f>RANK(FF28,$B$28:$GQ$28,0)+COUNTIF($B$28:FF28,FF28)-1</f>
        <v/>
      </c>
      <c r="FG29">
        <f>RANK(FG28,$B$28:$GQ$28,0)+COUNTIF($B$28:FG28,FG28)-1</f>
        <v/>
      </c>
      <c r="FH29">
        <f>RANK(FH28,$B$28:$GQ$28,0)+COUNTIF($B$28:FH28,FH28)-1</f>
        <v/>
      </c>
      <c r="FI29">
        <f>RANK(FI28,$B$28:$GQ$28,0)+COUNTIF($B$28:FI28,FI28)-1</f>
        <v/>
      </c>
      <c r="FJ29">
        <f>RANK(FJ28,$B$28:$GQ$28,0)+COUNTIF($B$28:FJ28,FJ28)-1</f>
        <v/>
      </c>
      <c r="FK29">
        <f>RANK(FK28,$B$28:$GQ$28,0)+COUNTIF($B$28:FK28,FK28)-1</f>
        <v/>
      </c>
      <c r="FL29">
        <f>RANK(FL28,$B$28:$GQ$28,0)+COUNTIF($B$28:FL28,FL28)-1</f>
        <v/>
      </c>
      <c r="FM29">
        <f>RANK(FM28,$B$28:$GQ$28,0)+COUNTIF($B$28:FM28,FM28)-1</f>
        <v/>
      </c>
      <c r="FN29">
        <f>RANK(FN28,$B$28:$GQ$28,0)+COUNTIF($B$28:FN28,FN28)-1</f>
        <v/>
      </c>
      <c r="FO29">
        <f>RANK(FO28,$B$28:$GQ$28,0)+COUNTIF($B$28:FO28,FO28)-1</f>
        <v/>
      </c>
      <c r="FP29">
        <f>RANK(FP28,$B$28:$GQ$28,0)+COUNTIF($B$28:FP28,FP28)-1</f>
        <v/>
      </c>
      <c r="FQ29">
        <f>RANK(FQ28,$B$28:$GQ$28,0)+COUNTIF($B$28:FQ28,FQ28)-1</f>
        <v/>
      </c>
      <c r="FR29">
        <f>RANK(FR28,$B$28:$GQ$28,0)+COUNTIF($B$28:FR28,FR28)-1</f>
        <v/>
      </c>
      <c r="FS29">
        <f>RANK(FS28,$B$28:$GQ$28,0)+COUNTIF($B$28:FS28,FS28)-1</f>
        <v/>
      </c>
      <c r="FT29">
        <f>RANK(FT28,$B$28:$GQ$28,0)+COUNTIF($B$28:FT28,FT28)-1</f>
        <v/>
      </c>
      <c r="FU29">
        <f>RANK(FU28,$B$28:$GQ$28,0)+COUNTIF($B$28:FU28,FU28)-1</f>
        <v/>
      </c>
      <c r="FV29">
        <f>RANK(FV28,$B$28:$GQ$28,0)+COUNTIF($B$28:FV28,FV28)-1</f>
        <v/>
      </c>
      <c r="FW29">
        <f>RANK(FW28,$B$28:$GQ$28,0)+COUNTIF($B$28:FW28,FW28)-1</f>
        <v/>
      </c>
      <c r="FX29">
        <f>RANK(FX28,$B$28:$GQ$28,0)+COUNTIF($B$28:FX28,FX28)-1</f>
        <v/>
      </c>
      <c r="FY29">
        <f>RANK(FY28,$B$28:$GQ$28,0)+COUNTIF($B$28:FY28,FY28)-1</f>
        <v/>
      </c>
      <c r="FZ29">
        <f>RANK(FZ28,$B$28:$GQ$28,0)+COUNTIF($B$28:FZ28,FZ28)-1</f>
        <v/>
      </c>
      <c r="GA29">
        <f>RANK(GA28,$B$28:$GQ$28,0)+COUNTIF($B$28:GA28,GA28)-1</f>
        <v/>
      </c>
      <c r="GB29">
        <f>RANK(GB28,$B$28:$GQ$28,0)+COUNTIF($B$28:GB28,GB28)-1</f>
        <v/>
      </c>
      <c r="GC29">
        <f>RANK(GC28,$B$28:$GQ$28,0)+COUNTIF($B$28:GC28,GC28)-1</f>
        <v/>
      </c>
      <c r="GD29">
        <f>RANK(GD28,$B$28:$GQ$28,0)+COUNTIF($B$28:GD28,GD28)-1</f>
        <v/>
      </c>
      <c r="GE29">
        <f>RANK(GE28,$B$28:$GQ$28,0)+COUNTIF($B$28:GE28,GE28)-1</f>
        <v/>
      </c>
      <c r="GF29">
        <f>RANK(GF28,$B$28:$GQ$28,0)+COUNTIF($B$28:GF28,GF28)-1</f>
        <v/>
      </c>
      <c r="GG29">
        <f>RANK(GG28,$B$28:$GQ$28,0)+COUNTIF($B$28:GG28,GG28)-1</f>
        <v/>
      </c>
      <c r="GH29">
        <f>RANK(GH28,$B$28:$GQ$28,0)+COUNTIF($B$28:GH28,GH28)-1</f>
        <v/>
      </c>
      <c r="GI29">
        <f>RANK(GI28,$B$28:$GQ$28,0)+COUNTIF($B$28:GI28,GI28)-1</f>
        <v/>
      </c>
      <c r="GJ29">
        <f>RANK(GJ28,$B$28:$GQ$28,0)+COUNTIF($B$28:GJ28,GJ28)-1</f>
        <v/>
      </c>
      <c r="GK29">
        <f>RANK(GK28,$B$28:$GQ$28,0)+COUNTIF($B$28:GK28,GK28)-1</f>
        <v/>
      </c>
      <c r="GL29">
        <f>RANK(GL28,$B$28:$GQ$28,0)+COUNTIF($B$28:GL28,GL28)-1</f>
        <v/>
      </c>
      <c r="GM29">
        <f>RANK(GM28,$B$28:$GQ$28,0)+COUNTIF($B$28:GM28,GM28)-1</f>
        <v/>
      </c>
      <c r="GN29">
        <f>RANK(GN28,$B$28:$GQ$28,0)+COUNTIF($B$28:GN28,GN28)-1</f>
        <v/>
      </c>
      <c r="GO29">
        <f>RANK(GO28,$B$28:$GQ$28,0)+COUNTIF($B$28:GO28,GO28)-1</f>
        <v/>
      </c>
      <c r="GP29">
        <f>RANK(GP28,$B$28:$GQ$28,0)+COUNTIF($B$28:GP28,GP28)-1</f>
        <v/>
      </c>
      <c r="GQ29">
        <f>RANK(GQ28,$B$28:$GQ$28,0)+COUNTIF($B$28:GQ28,GQ28)-1</f>
        <v/>
      </c>
    </row>
    <row r="30">
      <c r="A30" s="1" t="inlineStr">
        <is>
          <t>Rang (catégories)</t>
        </is>
      </c>
      <c r="GR30">
        <f>RANK(GR28,$GR$28:$HC$28,0)+COUNTIF($GR$28:GR28,GR28)-1</f>
        <v/>
      </c>
      <c r="GS30">
        <f>RANK(GS28,$GR$28:$HC$28,0)+COUNTIF($GR$28:GS28,GS28)-1</f>
        <v/>
      </c>
      <c r="GT30">
        <f>RANK(GT28,$GR$28:$HC$28,0)+COUNTIF($GR$28:GT28,GT28)-1</f>
        <v/>
      </c>
      <c r="GU30">
        <f>RANK(GU28,$GR$28:$HC$28,0)+COUNTIF($GR$28:GU28,GU28)-1</f>
        <v/>
      </c>
      <c r="GV30">
        <f>RANK(GV28,$GR$28:$HC$28,0)+COUNTIF($GR$28:GV28,GV28)-1</f>
        <v/>
      </c>
      <c r="GW30">
        <f>RANK(GW28,$GR$28:$HC$28,0)+COUNTIF($GR$28:GW28,GW28)-1</f>
        <v/>
      </c>
      <c r="GX30">
        <f>RANK(GX28,$GR$28:$HC$28,0)+COUNTIF($GR$28:GX28,GX28)-1</f>
        <v/>
      </c>
      <c r="GY30">
        <f>RANK(GY28,$GR$28:$HC$28,0)+COUNTIF($GR$28:GY28,GY28)-1</f>
        <v/>
      </c>
      <c r="GZ30">
        <f>RANK(GZ28,$GR$28:$HC$28,0)+COUNTIF($GR$28:GZ28,GZ28)-1</f>
        <v/>
      </c>
      <c r="HA30">
        <f>RANK(HA28,$GR$28:$HC$28,0)+COUNTIF($GR$28:HA28,HA28)-1</f>
        <v/>
      </c>
      <c r="HB30">
        <f>RANK(HB28,$GR$28:$HC$28,0)+COUNTIF($GR$28:HB28,HB28)-1</f>
        <v/>
      </c>
      <c r="HC30">
        <f>RANK(HC28,$GR$28:$HC$28,0)+COUNTIF($GR$28:HC28,HC28)-1</f>
        <v/>
      </c>
    </row>
  </sheetData>
  <dataValidations count="1">
    <dataValidation sqref="B1" showDropDown="0" showInputMessage="0" showErrorMessage="0" allowBlank="0" type="list">
      <formula1>=$A$18:$A$27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Trier secteurs et catégories par (ordre décroissant) :</t>
        </is>
      </c>
      <c r="B1" s="2" t="inlineStr">
        <is>
          <t>M_imp*Y_dom+M_dom*Y_dom+M_row*Y_imp</t>
        </is>
      </c>
    </row>
    <row r="3">
      <c r="A3" s="1" t="inlineStr">
        <is>
          <t>P surplus</t>
        </is>
      </c>
      <c r="B3" s="1">
        <f>INDEX($B$17:$GQ$17,MATCH(1,$B$29:$GQ$29,0))</f>
        <v/>
      </c>
      <c r="C3" s="1">
        <f>INDEX($B$17:$GQ$17,MATCH(2,$B$29:$GQ$29,0))</f>
        <v/>
      </c>
      <c r="D3" s="1">
        <f>INDEX($B$17:$GQ$17,MATCH(3,$B$29:$GQ$29,0))</f>
        <v/>
      </c>
      <c r="E3" s="1">
        <f>INDEX($B$17:$GQ$17,MATCH(4,$B$29:$GQ$29,0))</f>
        <v/>
      </c>
      <c r="F3" s="1">
        <f>INDEX($B$17:$GQ$17,MATCH(5,$B$29:$GQ$29,0))</f>
        <v/>
      </c>
      <c r="G3" s="1">
        <f>INDEX($B$17:$GQ$17,MATCH(6,$B$29:$GQ$29,0))</f>
        <v/>
      </c>
      <c r="H3" s="1">
        <f>INDEX($B$17:$GQ$17,MATCH(7,$B$29:$GQ$29,0))</f>
        <v/>
      </c>
      <c r="I3" s="1">
        <f>INDEX($B$17:$GQ$17,MATCH(8,$B$29:$GQ$29,0))</f>
        <v/>
      </c>
      <c r="J3" s="1">
        <f>INDEX($B$17:$GQ$17,MATCH(9,$B$29:$GQ$29,0))</f>
        <v/>
      </c>
      <c r="K3" s="1">
        <f>INDEX($B$17:$GQ$17,MATCH(10,$B$29:$GQ$29,0))</f>
        <v/>
      </c>
      <c r="L3" s="1">
        <f>INDEX($B$17:$GQ$17,MATCH(11,$B$29:$GQ$29,0))</f>
        <v/>
      </c>
      <c r="M3" s="1">
        <f>INDEX($B$17:$GQ$17,MATCH(12,$B$29:$GQ$29,0))</f>
        <v/>
      </c>
      <c r="N3" s="1">
        <f>INDEX($B$17:$GQ$17,MATCH(13,$B$29:$GQ$29,0))</f>
        <v/>
      </c>
      <c r="O3" s="1">
        <f>INDEX($B$17:$GQ$17,MATCH(14,$B$29:$GQ$29,0))</f>
        <v/>
      </c>
      <c r="P3" s="1">
        <f>INDEX($B$17:$GQ$17,MATCH(15,$B$29:$GQ$29,0))</f>
        <v/>
      </c>
      <c r="Q3" s="1">
        <f>INDEX($B$17:$GQ$17,MATCH(16,$B$29:$GQ$29,0))</f>
        <v/>
      </c>
      <c r="R3" s="1">
        <f>INDEX($B$17:$GQ$17,MATCH(17,$B$29:$GQ$29,0))</f>
        <v/>
      </c>
      <c r="S3" s="1">
        <f>INDEX($B$17:$GQ$17,MATCH(18,$B$29:$GQ$29,0))</f>
        <v/>
      </c>
      <c r="T3" s="1">
        <f>INDEX($B$17:$GQ$17,MATCH(19,$B$29:$GQ$29,0))</f>
        <v/>
      </c>
      <c r="U3" s="1">
        <f>INDEX($B$17:$GQ$17,MATCH(20,$B$29:$GQ$29,0))</f>
        <v/>
      </c>
      <c r="V3" s="1">
        <f>INDEX($B$17:$GQ$17,MATCH(21,$B$29:$GQ$29,0))</f>
        <v/>
      </c>
      <c r="W3" s="1">
        <f>INDEX($B$17:$GQ$17,MATCH(22,$B$29:$GQ$29,0))</f>
        <v/>
      </c>
      <c r="X3" s="1">
        <f>INDEX($B$17:$GQ$17,MATCH(23,$B$29:$GQ$29,0))</f>
        <v/>
      </c>
      <c r="Y3" s="1">
        <f>INDEX($B$17:$GQ$17,MATCH(24,$B$29:$GQ$29,0))</f>
        <v/>
      </c>
      <c r="Z3" s="1">
        <f>INDEX($B$17:$GQ$17,MATCH(25,$B$29:$GQ$29,0))</f>
        <v/>
      </c>
      <c r="AA3" s="1">
        <f>INDEX($B$17:$GQ$17,MATCH(26,$B$29:$GQ$29,0))</f>
        <v/>
      </c>
      <c r="AB3" s="1">
        <f>INDEX($B$17:$GQ$17,MATCH(27,$B$29:$GQ$29,0))</f>
        <v/>
      </c>
      <c r="AC3" s="1">
        <f>INDEX($B$17:$GQ$17,MATCH(28,$B$29:$GQ$29,0))</f>
        <v/>
      </c>
      <c r="AD3" s="1">
        <f>INDEX($B$17:$GQ$17,MATCH(29,$B$29:$GQ$29,0))</f>
        <v/>
      </c>
      <c r="AE3" s="1">
        <f>INDEX($B$17:$GQ$17,MATCH(30,$B$29:$GQ$29,0))</f>
        <v/>
      </c>
      <c r="AF3" s="1">
        <f>INDEX($B$17:$GQ$17,MATCH(31,$B$29:$GQ$29,0))</f>
        <v/>
      </c>
      <c r="AG3" s="1">
        <f>INDEX($B$17:$GQ$17,MATCH(32,$B$29:$GQ$29,0))</f>
        <v/>
      </c>
      <c r="AH3" s="1">
        <f>INDEX($B$17:$GQ$17,MATCH(33,$B$29:$GQ$29,0))</f>
        <v/>
      </c>
      <c r="AI3" s="1">
        <f>INDEX($B$17:$GQ$17,MATCH(34,$B$29:$GQ$29,0))</f>
        <v/>
      </c>
      <c r="AJ3" s="1">
        <f>INDEX($B$17:$GQ$17,MATCH(35,$B$29:$GQ$29,0))</f>
        <v/>
      </c>
      <c r="AK3" s="1">
        <f>INDEX($B$17:$GQ$17,MATCH(36,$B$29:$GQ$29,0))</f>
        <v/>
      </c>
      <c r="AL3" s="1">
        <f>INDEX($B$17:$GQ$17,MATCH(37,$B$29:$GQ$29,0))</f>
        <v/>
      </c>
      <c r="AM3" s="1">
        <f>INDEX($B$17:$GQ$17,MATCH(38,$B$29:$GQ$29,0))</f>
        <v/>
      </c>
      <c r="AN3" s="1">
        <f>INDEX($B$17:$GQ$17,MATCH(39,$B$29:$GQ$29,0))</f>
        <v/>
      </c>
      <c r="AO3" s="1">
        <f>INDEX($B$17:$GQ$17,MATCH(40,$B$29:$GQ$29,0))</f>
        <v/>
      </c>
      <c r="AP3" s="1">
        <f>INDEX($B$17:$GQ$17,MATCH(41,$B$29:$GQ$29,0))</f>
        <v/>
      </c>
      <c r="AQ3" s="1">
        <f>INDEX($B$17:$GQ$17,MATCH(42,$B$29:$GQ$29,0))</f>
        <v/>
      </c>
      <c r="AR3" s="1">
        <f>INDEX($B$17:$GQ$17,MATCH(43,$B$29:$GQ$29,0))</f>
        <v/>
      </c>
      <c r="AS3" s="1">
        <f>INDEX($B$17:$GQ$17,MATCH(44,$B$29:$GQ$29,0))</f>
        <v/>
      </c>
      <c r="AT3" s="1">
        <f>INDEX($B$17:$GQ$17,MATCH(45,$B$29:$GQ$29,0))</f>
        <v/>
      </c>
      <c r="AU3" s="1">
        <f>INDEX($B$17:$GQ$17,MATCH(46,$B$29:$GQ$29,0))</f>
        <v/>
      </c>
      <c r="AV3" s="1">
        <f>INDEX($B$17:$GQ$17,MATCH(47,$B$29:$GQ$29,0))</f>
        <v/>
      </c>
      <c r="AW3" s="1">
        <f>INDEX($B$17:$GQ$17,MATCH(48,$B$29:$GQ$29,0))</f>
        <v/>
      </c>
      <c r="AX3" s="1">
        <f>INDEX($B$17:$GQ$17,MATCH(49,$B$29:$GQ$29,0))</f>
        <v/>
      </c>
      <c r="AY3" s="1">
        <f>INDEX($B$17:$GQ$17,MATCH(50,$B$29:$GQ$29,0))</f>
        <v/>
      </c>
      <c r="AZ3" s="1">
        <f>INDEX($B$17:$GQ$17,MATCH(51,$B$29:$GQ$29,0))</f>
        <v/>
      </c>
      <c r="BA3" s="1">
        <f>INDEX($B$17:$GQ$17,MATCH(52,$B$29:$GQ$29,0))</f>
        <v/>
      </c>
      <c r="BB3" s="1">
        <f>INDEX($B$17:$GQ$17,MATCH(53,$B$29:$GQ$29,0))</f>
        <v/>
      </c>
      <c r="BC3" s="1">
        <f>INDEX($B$17:$GQ$17,MATCH(54,$B$29:$GQ$29,0))</f>
        <v/>
      </c>
      <c r="BD3" s="1">
        <f>INDEX($B$17:$GQ$17,MATCH(55,$B$29:$GQ$29,0))</f>
        <v/>
      </c>
      <c r="BE3" s="1">
        <f>INDEX($B$17:$GQ$17,MATCH(56,$B$29:$GQ$29,0))</f>
        <v/>
      </c>
      <c r="BF3" s="1">
        <f>INDEX($B$17:$GQ$17,MATCH(57,$B$29:$GQ$29,0))</f>
        <v/>
      </c>
      <c r="BG3" s="1">
        <f>INDEX($B$17:$GQ$17,MATCH(58,$B$29:$GQ$29,0))</f>
        <v/>
      </c>
      <c r="BH3" s="1">
        <f>INDEX($B$17:$GQ$17,MATCH(59,$B$29:$GQ$29,0))</f>
        <v/>
      </c>
      <c r="BI3" s="1">
        <f>INDEX($B$17:$GQ$17,MATCH(60,$B$29:$GQ$29,0))</f>
        <v/>
      </c>
      <c r="BJ3" s="1">
        <f>INDEX($B$17:$GQ$17,MATCH(61,$B$29:$GQ$29,0))</f>
        <v/>
      </c>
      <c r="BK3" s="1">
        <f>INDEX($B$17:$GQ$17,MATCH(62,$B$29:$GQ$29,0))</f>
        <v/>
      </c>
      <c r="BL3" s="1">
        <f>INDEX($B$17:$GQ$17,MATCH(63,$B$29:$GQ$29,0))</f>
        <v/>
      </c>
      <c r="BM3" s="1">
        <f>INDEX($B$17:$GQ$17,MATCH(64,$B$29:$GQ$29,0))</f>
        <v/>
      </c>
      <c r="BN3" s="1">
        <f>INDEX($B$17:$GQ$17,MATCH(65,$B$29:$GQ$29,0))</f>
        <v/>
      </c>
      <c r="BO3" s="1">
        <f>INDEX($B$17:$GQ$17,MATCH(66,$B$29:$GQ$29,0))</f>
        <v/>
      </c>
      <c r="BP3" s="1">
        <f>INDEX($B$17:$GQ$17,MATCH(67,$B$29:$GQ$29,0))</f>
        <v/>
      </c>
      <c r="BQ3" s="1">
        <f>INDEX($B$17:$GQ$17,MATCH(68,$B$29:$GQ$29,0))</f>
        <v/>
      </c>
      <c r="BR3" s="1">
        <f>INDEX($B$17:$GQ$17,MATCH(69,$B$29:$GQ$29,0))</f>
        <v/>
      </c>
      <c r="BS3" s="1">
        <f>INDEX($B$17:$GQ$17,MATCH(70,$B$29:$GQ$29,0))</f>
        <v/>
      </c>
      <c r="BT3" s="1">
        <f>INDEX($B$17:$GQ$17,MATCH(71,$B$29:$GQ$29,0))</f>
        <v/>
      </c>
      <c r="BU3" s="1">
        <f>INDEX($B$17:$GQ$17,MATCH(72,$B$29:$GQ$29,0))</f>
        <v/>
      </c>
      <c r="BV3" s="1">
        <f>INDEX($B$17:$GQ$17,MATCH(73,$B$29:$GQ$29,0))</f>
        <v/>
      </c>
      <c r="BW3" s="1">
        <f>INDEX($B$17:$GQ$17,MATCH(74,$B$29:$GQ$29,0))</f>
        <v/>
      </c>
      <c r="BX3" s="1">
        <f>INDEX($B$17:$GQ$17,MATCH(75,$B$29:$GQ$29,0))</f>
        <v/>
      </c>
      <c r="BY3" s="1">
        <f>INDEX($B$17:$GQ$17,MATCH(76,$B$29:$GQ$29,0))</f>
        <v/>
      </c>
      <c r="BZ3" s="1">
        <f>INDEX($B$17:$GQ$17,MATCH(77,$B$29:$GQ$29,0))</f>
        <v/>
      </c>
      <c r="CA3" s="1">
        <f>INDEX($B$17:$GQ$17,MATCH(78,$B$29:$GQ$29,0))</f>
        <v/>
      </c>
      <c r="CB3" s="1">
        <f>INDEX($B$17:$GQ$17,MATCH(79,$B$29:$GQ$29,0))</f>
        <v/>
      </c>
      <c r="CC3" s="1">
        <f>INDEX($B$17:$GQ$17,MATCH(80,$B$29:$GQ$29,0))</f>
        <v/>
      </c>
      <c r="CD3" s="1">
        <f>INDEX($B$17:$GQ$17,MATCH(81,$B$29:$GQ$29,0))</f>
        <v/>
      </c>
      <c r="CE3" s="1">
        <f>INDEX($B$17:$GQ$17,MATCH(82,$B$29:$GQ$29,0))</f>
        <v/>
      </c>
      <c r="CF3" s="1">
        <f>INDEX($B$17:$GQ$17,MATCH(83,$B$29:$GQ$29,0))</f>
        <v/>
      </c>
      <c r="CG3" s="1">
        <f>INDEX($B$17:$GQ$17,MATCH(84,$B$29:$GQ$29,0))</f>
        <v/>
      </c>
      <c r="CH3" s="1">
        <f>INDEX($B$17:$GQ$17,MATCH(85,$B$29:$GQ$29,0))</f>
        <v/>
      </c>
      <c r="CI3" s="1">
        <f>INDEX($B$17:$GQ$17,MATCH(86,$B$29:$GQ$29,0))</f>
        <v/>
      </c>
      <c r="CJ3" s="1">
        <f>INDEX($B$17:$GQ$17,MATCH(87,$B$29:$GQ$29,0))</f>
        <v/>
      </c>
      <c r="CK3" s="1">
        <f>INDEX($B$17:$GQ$17,MATCH(88,$B$29:$GQ$29,0))</f>
        <v/>
      </c>
      <c r="CL3" s="1">
        <f>INDEX($B$17:$GQ$17,MATCH(89,$B$29:$GQ$29,0))</f>
        <v/>
      </c>
      <c r="CM3" s="1">
        <f>INDEX($B$17:$GQ$17,MATCH(90,$B$29:$GQ$29,0))</f>
        <v/>
      </c>
      <c r="CN3" s="1">
        <f>INDEX($B$17:$GQ$17,MATCH(91,$B$29:$GQ$29,0))</f>
        <v/>
      </c>
      <c r="CO3" s="1">
        <f>INDEX($B$17:$GQ$17,MATCH(92,$B$29:$GQ$29,0))</f>
        <v/>
      </c>
      <c r="CP3" s="1">
        <f>INDEX($B$17:$GQ$17,MATCH(93,$B$29:$GQ$29,0))</f>
        <v/>
      </c>
      <c r="CQ3" s="1">
        <f>INDEX($B$17:$GQ$17,MATCH(94,$B$29:$GQ$29,0))</f>
        <v/>
      </c>
      <c r="CR3" s="1">
        <f>INDEX($B$17:$GQ$17,MATCH(95,$B$29:$GQ$29,0))</f>
        <v/>
      </c>
      <c r="CS3" s="1">
        <f>INDEX($B$17:$GQ$17,MATCH(96,$B$29:$GQ$29,0))</f>
        <v/>
      </c>
      <c r="CT3" s="1">
        <f>INDEX($B$17:$GQ$17,MATCH(97,$B$29:$GQ$29,0))</f>
        <v/>
      </c>
      <c r="CU3" s="1">
        <f>INDEX($B$17:$GQ$17,MATCH(98,$B$29:$GQ$29,0))</f>
        <v/>
      </c>
      <c r="CV3" s="1">
        <f>INDEX($B$17:$GQ$17,MATCH(99,$B$29:$GQ$29,0))</f>
        <v/>
      </c>
      <c r="CW3" s="1">
        <f>INDEX($B$17:$GQ$17,MATCH(100,$B$29:$GQ$29,0))</f>
        <v/>
      </c>
      <c r="CX3" s="1">
        <f>INDEX($B$17:$GQ$17,MATCH(101,$B$29:$GQ$29,0))</f>
        <v/>
      </c>
      <c r="CY3" s="1">
        <f>INDEX($B$17:$GQ$17,MATCH(102,$B$29:$GQ$29,0))</f>
        <v/>
      </c>
      <c r="CZ3" s="1">
        <f>INDEX($B$17:$GQ$17,MATCH(103,$B$29:$GQ$29,0))</f>
        <v/>
      </c>
      <c r="DA3" s="1">
        <f>INDEX($B$17:$GQ$17,MATCH(104,$B$29:$GQ$29,0))</f>
        <v/>
      </c>
      <c r="DB3" s="1">
        <f>INDEX($B$17:$GQ$17,MATCH(105,$B$29:$GQ$29,0))</f>
        <v/>
      </c>
      <c r="DC3" s="1">
        <f>INDEX($B$17:$GQ$17,MATCH(106,$B$29:$GQ$29,0))</f>
        <v/>
      </c>
      <c r="DD3" s="1">
        <f>INDEX($B$17:$GQ$17,MATCH(107,$B$29:$GQ$29,0))</f>
        <v/>
      </c>
      <c r="DE3" s="1">
        <f>INDEX($B$17:$GQ$17,MATCH(108,$B$29:$GQ$29,0))</f>
        <v/>
      </c>
      <c r="DF3" s="1">
        <f>INDEX($B$17:$GQ$17,MATCH(109,$B$29:$GQ$29,0))</f>
        <v/>
      </c>
      <c r="DG3" s="1">
        <f>INDEX($B$17:$GQ$17,MATCH(110,$B$29:$GQ$29,0))</f>
        <v/>
      </c>
      <c r="DH3" s="1">
        <f>INDEX($B$17:$GQ$17,MATCH(111,$B$29:$GQ$29,0))</f>
        <v/>
      </c>
      <c r="DI3" s="1">
        <f>INDEX($B$17:$GQ$17,MATCH(112,$B$29:$GQ$29,0))</f>
        <v/>
      </c>
      <c r="DJ3" s="1">
        <f>INDEX($B$17:$GQ$17,MATCH(113,$B$29:$GQ$29,0))</f>
        <v/>
      </c>
      <c r="DK3" s="1">
        <f>INDEX($B$17:$GQ$17,MATCH(114,$B$29:$GQ$29,0))</f>
        <v/>
      </c>
      <c r="DL3" s="1">
        <f>INDEX($B$17:$GQ$17,MATCH(115,$B$29:$GQ$29,0))</f>
        <v/>
      </c>
      <c r="DM3" s="1">
        <f>INDEX($B$17:$GQ$17,MATCH(116,$B$29:$GQ$29,0))</f>
        <v/>
      </c>
      <c r="DN3" s="1">
        <f>INDEX($B$17:$GQ$17,MATCH(117,$B$29:$GQ$29,0))</f>
        <v/>
      </c>
      <c r="DO3" s="1">
        <f>INDEX($B$17:$GQ$17,MATCH(118,$B$29:$GQ$29,0))</f>
        <v/>
      </c>
      <c r="DP3" s="1">
        <f>INDEX($B$17:$GQ$17,MATCH(119,$B$29:$GQ$29,0))</f>
        <v/>
      </c>
      <c r="DQ3" s="1">
        <f>INDEX($B$17:$GQ$17,MATCH(120,$B$29:$GQ$29,0))</f>
        <v/>
      </c>
      <c r="DR3" s="1">
        <f>INDEX($B$17:$GQ$17,MATCH(121,$B$29:$GQ$29,0))</f>
        <v/>
      </c>
      <c r="DS3" s="1">
        <f>INDEX($B$17:$GQ$17,MATCH(122,$B$29:$GQ$29,0))</f>
        <v/>
      </c>
      <c r="DT3" s="1">
        <f>INDEX($B$17:$GQ$17,MATCH(123,$B$29:$GQ$29,0))</f>
        <v/>
      </c>
      <c r="DU3" s="1">
        <f>INDEX($B$17:$GQ$17,MATCH(124,$B$29:$GQ$29,0))</f>
        <v/>
      </c>
      <c r="DV3" s="1">
        <f>INDEX($B$17:$GQ$17,MATCH(125,$B$29:$GQ$29,0))</f>
        <v/>
      </c>
      <c r="DW3" s="1">
        <f>INDEX($B$17:$GQ$17,MATCH(126,$B$29:$GQ$29,0))</f>
        <v/>
      </c>
      <c r="DX3" s="1">
        <f>INDEX($B$17:$GQ$17,MATCH(127,$B$29:$GQ$29,0))</f>
        <v/>
      </c>
      <c r="DY3" s="1">
        <f>INDEX($B$17:$GQ$17,MATCH(128,$B$29:$GQ$29,0))</f>
        <v/>
      </c>
      <c r="DZ3" s="1">
        <f>INDEX($B$17:$GQ$17,MATCH(129,$B$29:$GQ$29,0))</f>
        <v/>
      </c>
      <c r="EA3" s="1">
        <f>INDEX($B$17:$GQ$17,MATCH(130,$B$29:$GQ$29,0))</f>
        <v/>
      </c>
      <c r="EB3" s="1">
        <f>INDEX($B$17:$GQ$17,MATCH(131,$B$29:$GQ$29,0))</f>
        <v/>
      </c>
      <c r="EC3" s="1">
        <f>INDEX($B$17:$GQ$17,MATCH(132,$B$29:$GQ$29,0))</f>
        <v/>
      </c>
      <c r="ED3" s="1">
        <f>INDEX($B$17:$GQ$17,MATCH(133,$B$29:$GQ$29,0))</f>
        <v/>
      </c>
      <c r="EE3" s="1">
        <f>INDEX($B$17:$GQ$17,MATCH(134,$B$29:$GQ$29,0))</f>
        <v/>
      </c>
      <c r="EF3" s="1">
        <f>INDEX($B$17:$GQ$17,MATCH(135,$B$29:$GQ$29,0))</f>
        <v/>
      </c>
      <c r="EG3" s="1">
        <f>INDEX($B$17:$GQ$17,MATCH(136,$B$29:$GQ$29,0))</f>
        <v/>
      </c>
      <c r="EH3" s="1">
        <f>INDEX($B$17:$GQ$17,MATCH(137,$B$29:$GQ$29,0))</f>
        <v/>
      </c>
      <c r="EI3" s="1">
        <f>INDEX($B$17:$GQ$17,MATCH(138,$B$29:$GQ$29,0))</f>
        <v/>
      </c>
      <c r="EJ3" s="1">
        <f>INDEX($B$17:$GQ$17,MATCH(139,$B$29:$GQ$29,0))</f>
        <v/>
      </c>
      <c r="EK3" s="1">
        <f>INDEX($B$17:$GQ$17,MATCH(140,$B$29:$GQ$29,0))</f>
        <v/>
      </c>
      <c r="EL3" s="1">
        <f>INDEX($B$17:$GQ$17,MATCH(141,$B$29:$GQ$29,0))</f>
        <v/>
      </c>
      <c r="EM3" s="1">
        <f>INDEX($B$17:$GQ$17,MATCH(142,$B$29:$GQ$29,0))</f>
        <v/>
      </c>
      <c r="EN3" s="1">
        <f>INDEX($B$17:$GQ$17,MATCH(143,$B$29:$GQ$29,0))</f>
        <v/>
      </c>
      <c r="EO3" s="1">
        <f>INDEX($B$17:$GQ$17,MATCH(144,$B$29:$GQ$29,0))</f>
        <v/>
      </c>
      <c r="EP3" s="1">
        <f>INDEX($B$17:$GQ$17,MATCH(145,$B$29:$GQ$29,0))</f>
        <v/>
      </c>
      <c r="EQ3" s="1">
        <f>INDEX($B$17:$GQ$17,MATCH(146,$B$29:$GQ$29,0))</f>
        <v/>
      </c>
      <c r="ER3" s="1">
        <f>INDEX($B$17:$GQ$17,MATCH(147,$B$29:$GQ$29,0))</f>
        <v/>
      </c>
      <c r="ES3" s="1">
        <f>INDEX($B$17:$GQ$17,MATCH(148,$B$29:$GQ$29,0))</f>
        <v/>
      </c>
      <c r="ET3" s="1">
        <f>INDEX($B$17:$GQ$17,MATCH(149,$B$29:$GQ$29,0))</f>
        <v/>
      </c>
      <c r="EU3" s="1">
        <f>INDEX($B$17:$GQ$17,MATCH(150,$B$29:$GQ$29,0))</f>
        <v/>
      </c>
      <c r="EV3" s="1">
        <f>INDEX($B$17:$GQ$17,MATCH(151,$B$29:$GQ$29,0))</f>
        <v/>
      </c>
      <c r="EW3" s="1">
        <f>INDEX($B$17:$GQ$17,MATCH(152,$B$29:$GQ$29,0))</f>
        <v/>
      </c>
      <c r="EX3" s="1">
        <f>INDEX($B$17:$GQ$17,MATCH(153,$B$29:$GQ$29,0))</f>
        <v/>
      </c>
      <c r="EY3" s="1">
        <f>INDEX($B$17:$GQ$17,MATCH(154,$B$29:$GQ$29,0))</f>
        <v/>
      </c>
      <c r="EZ3" s="1">
        <f>INDEX($B$17:$GQ$17,MATCH(155,$B$29:$GQ$29,0))</f>
        <v/>
      </c>
      <c r="FA3" s="1">
        <f>INDEX($B$17:$GQ$17,MATCH(156,$B$29:$GQ$29,0))</f>
        <v/>
      </c>
      <c r="FB3" s="1">
        <f>INDEX($B$17:$GQ$17,MATCH(157,$B$29:$GQ$29,0))</f>
        <v/>
      </c>
      <c r="FC3" s="1">
        <f>INDEX($B$17:$GQ$17,MATCH(158,$B$29:$GQ$29,0))</f>
        <v/>
      </c>
      <c r="FD3" s="1">
        <f>INDEX($B$17:$GQ$17,MATCH(159,$B$29:$GQ$29,0))</f>
        <v/>
      </c>
      <c r="FE3" s="1">
        <f>INDEX($B$17:$GQ$17,MATCH(160,$B$29:$GQ$29,0))</f>
        <v/>
      </c>
      <c r="FF3" s="1">
        <f>INDEX($B$17:$GQ$17,MATCH(161,$B$29:$GQ$29,0))</f>
        <v/>
      </c>
      <c r="FG3" s="1">
        <f>INDEX($B$17:$GQ$17,MATCH(162,$B$29:$GQ$29,0))</f>
        <v/>
      </c>
      <c r="FH3" s="1">
        <f>INDEX($B$17:$GQ$17,MATCH(163,$B$29:$GQ$29,0))</f>
        <v/>
      </c>
      <c r="FI3" s="1">
        <f>INDEX($B$17:$GQ$17,MATCH(164,$B$29:$GQ$29,0))</f>
        <v/>
      </c>
      <c r="FJ3" s="1">
        <f>INDEX($B$17:$GQ$17,MATCH(165,$B$29:$GQ$29,0))</f>
        <v/>
      </c>
      <c r="FK3" s="1">
        <f>INDEX($B$17:$GQ$17,MATCH(166,$B$29:$GQ$29,0))</f>
        <v/>
      </c>
      <c r="FL3" s="1">
        <f>INDEX($B$17:$GQ$17,MATCH(167,$B$29:$GQ$29,0))</f>
        <v/>
      </c>
      <c r="FM3" s="1">
        <f>INDEX($B$17:$GQ$17,MATCH(168,$B$29:$GQ$29,0))</f>
        <v/>
      </c>
      <c r="FN3" s="1">
        <f>INDEX($B$17:$GQ$17,MATCH(169,$B$29:$GQ$29,0))</f>
        <v/>
      </c>
      <c r="FO3" s="1">
        <f>INDEX($B$17:$GQ$17,MATCH(170,$B$29:$GQ$29,0))</f>
        <v/>
      </c>
      <c r="FP3" s="1">
        <f>INDEX($B$17:$GQ$17,MATCH(171,$B$29:$GQ$29,0))</f>
        <v/>
      </c>
      <c r="FQ3" s="1">
        <f>INDEX($B$17:$GQ$17,MATCH(172,$B$29:$GQ$29,0))</f>
        <v/>
      </c>
      <c r="FR3" s="1">
        <f>INDEX($B$17:$GQ$17,MATCH(173,$B$29:$GQ$29,0))</f>
        <v/>
      </c>
      <c r="FS3" s="1">
        <f>INDEX($B$17:$GQ$17,MATCH(174,$B$29:$GQ$29,0))</f>
        <v/>
      </c>
      <c r="FT3" s="1">
        <f>INDEX($B$17:$GQ$17,MATCH(175,$B$29:$GQ$29,0))</f>
        <v/>
      </c>
      <c r="FU3" s="1">
        <f>INDEX($B$17:$GQ$17,MATCH(176,$B$29:$GQ$29,0))</f>
        <v/>
      </c>
      <c r="FV3" s="1">
        <f>INDEX($B$17:$GQ$17,MATCH(177,$B$29:$GQ$29,0))</f>
        <v/>
      </c>
      <c r="FW3" s="1">
        <f>INDEX($B$17:$GQ$17,MATCH(178,$B$29:$GQ$29,0))</f>
        <v/>
      </c>
      <c r="FX3" s="1">
        <f>INDEX($B$17:$GQ$17,MATCH(179,$B$29:$GQ$29,0))</f>
        <v/>
      </c>
      <c r="FY3" s="1">
        <f>INDEX($B$17:$GQ$17,MATCH(180,$B$29:$GQ$29,0))</f>
        <v/>
      </c>
      <c r="FZ3" s="1">
        <f>INDEX($B$17:$GQ$17,MATCH(181,$B$29:$GQ$29,0))</f>
        <v/>
      </c>
      <c r="GA3" s="1">
        <f>INDEX($B$17:$GQ$17,MATCH(182,$B$29:$GQ$29,0))</f>
        <v/>
      </c>
      <c r="GB3" s="1">
        <f>INDEX($B$17:$GQ$17,MATCH(183,$B$29:$GQ$29,0))</f>
        <v/>
      </c>
      <c r="GC3" s="1">
        <f>INDEX($B$17:$GQ$17,MATCH(184,$B$29:$GQ$29,0))</f>
        <v/>
      </c>
      <c r="GD3" s="1">
        <f>INDEX($B$17:$GQ$17,MATCH(185,$B$29:$GQ$29,0))</f>
        <v/>
      </c>
      <c r="GE3" s="1">
        <f>INDEX($B$17:$GQ$17,MATCH(186,$B$29:$GQ$29,0))</f>
        <v/>
      </c>
      <c r="GF3" s="1">
        <f>INDEX($B$17:$GQ$17,MATCH(187,$B$29:$GQ$29,0))</f>
        <v/>
      </c>
      <c r="GG3" s="1">
        <f>INDEX($B$17:$GQ$17,MATCH(188,$B$29:$GQ$29,0))</f>
        <v/>
      </c>
      <c r="GH3" s="1">
        <f>INDEX($B$17:$GQ$17,MATCH(189,$B$29:$GQ$29,0))</f>
        <v/>
      </c>
      <c r="GI3" s="1">
        <f>INDEX($B$17:$GQ$17,MATCH(190,$B$29:$GQ$29,0))</f>
        <v/>
      </c>
      <c r="GJ3" s="1">
        <f>INDEX($B$17:$GQ$17,MATCH(191,$B$29:$GQ$29,0))</f>
        <v/>
      </c>
      <c r="GK3" s="1">
        <f>INDEX($B$17:$GQ$17,MATCH(192,$B$29:$GQ$29,0))</f>
        <v/>
      </c>
      <c r="GL3" s="1">
        <f>INDEX($B$17:$GQ$17,MATCH(193,$B$29:$GQ$29,0))</f>
        <v/>
      </c>
      <c r="GM3" s="1">
        <f>INDEX($B$17:$GQ$17,MATCH(194,$B$29:$GQ$29,0))</f>
        <v/>
      </c>
      <c r="GN3" s="1">
        <f>INDEX($B$17:$GQ$17,MATCH(195,$B$29:$GQ$29,0))</f>
        <v/>
      </c>
      <c r="GO3" s="1">
        <f>INDEX($B$17:$GQ$17,MATCH(196,$B$29:$GQ$29,0))</f>
        <v/>
      </c>
      <c r="GP3" s="1">
        <f>INDEX($B$17:$GQ$17,MATCH(197,$B$29:$GQ$29,0))</f>
        <v/>
      </c>
      <c r="GQ3" s="1">
        <f>INDEX($B$17:$GQ$17,MATCH(198,$B$29:$GQ$29,0))</f>
        <v/>
      </c>
      <c r="GR3" s="1">
        <f>INDEX($GR$17:$HC$17,MATCH(1,$GR$30:$HC$30,0))</f>
        <v/>
      </c>
      <c r="GS3" s="1">
        <f>INDEX($GR$17:$HC$17,MATCH(2,$GR$30:$HC$30,0))</f>
        <v/>
      </c>
      <c r="GT3" s="1">
        <f>INDEX($GR$17:$HC$17,MATCH(3,$GR$30:$HC$30,0))</f>
        <v/>
      </c>
      <c r="GU3" s="1">
        <f>INDEX($GR$17:$HC$17,MATCH(4,$GR$30:$HC$30,0))</f>
        <v/>
      </c>
      <c r="GV3" s="1">
        <f>INDEX($GR$17:$HC$17,MATCH(5,$GR$30:$HC$30,0))</f>
        <v/>
      </c>
      <c r="GW3" s="1">
        <f>INDEX($GR$17:$HC$17,MATCH(6,$GR$30:$HC$30,0))</f>
        <v/>
      </c>
      <c r="GX3" s="1">
        <f>INDEX($GR$17:$HC$17,MATCH(7,$GR$30:$HC$30,0))</f>
        <v/>
      </c>
      <c r="GY3" s="1">
        <f>INDEX($GR$17:$HC$17,MATCH(8,$GR$30:$HC$30,0))</f>
        <v/>
      </c>
      <c r="GZ3" s="1">
        <f>INDEX($GR$17:$HC$17,MATCH(9,$GR$30:$HC$30,0))</f>
        <v/>
      </c>
      <c r="HA3" s="1">
        <f>INDEX($GR$17:$HC$17,MATCH(10,$GR$30:$HC$30,0))</f>
        <v/>
      </c>
      <c r="HB3" s="1">
        <f>INDEX($GR$17:$HC$17,MATCH(11,$GR$30:$HC$30,0))</f>
        <v/>
      </c>
      <c r="HC3" s="1">
        <f>INDEX($GR$17:$HC$17,MATCH(12,$GR$30:$HC$30,0))</f>
        <v/>
      </c>
    </row>
    <row r="4">
      <c r="A4" s="1" t="inlineStr">
        <is>
          <t>M_imp</t>
        </is>
      </c>
      <c r="B4">
        <f>INDEX($B$18:$GQ$18,MATCH(1,$B$29:$GQ$29,0))</f>
        <v/>
      </c>
      <c r="C4">
        <f>INDEX($B$18:$GQ$18,MATCH(2,$B$29:$GQ$29,0))</f>
        <v/>
      </c>
      <c r="D4">
        <f>INDEX($B$18:$GQ$18,MATCH(3,$B$29:$GQ$29,0))</f>
        <v/>
      </c>
      <c r="E4">
        <f>INDEX($B$18:$GQ$18,MATCH(4,$B$29:$GQ$29,0))</f>
        <v/>
      </c>
      <c r="F4">
        <f>INDEX($B$18:$GQ$18,MATCH(5,$B$29:$GQ$29,0))</f>
        <v/>
      </c>
      <c r="G4">
        <f>INDEX($B$18:$GQ$18,MATCH(6,$B$29:$GQ$29,0))</f>
        <v/>
      </c>
      <c r="H4">
        <f>INDEX($B$18:$GQ$18,MATCH(7,$B$29:$GQ$29,0))</f>
        <v/>
      </c>
      <c r="I4">
        <f>INDEX($B$18:$GQ$18,MATCH(8,$B$29:$GQ$29,0))</f>
        <v/>
      </c>
      <c r="J4">
        <f>INDEX($B$18:$GQ$18,MATCH(9,$B$29:$GQ$29,0))</f>
        <v/>
      </c>
      <c r="K4">
        <f>INDEX($B$18:$GQ$18,MATCH(10,$B$29:$GQ$29,0))</f>
        <v/>
      </c>
      <c r="L4">
        <f>INDEX($B$18:$GQ$18,MATCH(11,$B$29:$GQ$29,0))</f>
        <v/>
      </c>
      <c r="M4">
        <f>INDEX($B$18:$GQ$18,MATCH(12,$B$29:$GQ$29,0))</f>
        <v/>
      </c>
      <c r="N4">
        <f>INDEX($B$18:$GQ$18,MATCH(13,$B$29:$GQ$29,0))</f>
        <v/>
      </c>
      <c r="O4">
        <f>INDEX($B$18:$GQ$18,MATCH(14,$B$29:$GQ$29,0))</f>
        <v/>
      </c>
      <c r="P4">
        <f>INDEX($B$18:$GQ$18,MATCH(15,$B$29:$GQ$29,0))</f>
        <v/>
      </c>
      <c r="Q4">
        <f>INDEX($B$18:$GQ$18,MATCH(16,$B$29:$GQ$29,0))</f>
        <v/>
      </c>
      <c r="R4">
        <f>INDEX($B$18:$GQ$18,MATCH(17,$B$29:$GQ$29,0))</f>
        <v/>
      </c>
      <c r="S4">
        <f>INDEX($B$18:$GQ$18,MATCH(18,$B$29:$GQ$29,0))</f>
        <v/>
      </c>
      <c r="T4">
        <f>INDEX($B$18:$GQ$18,MATCH(19,$B$29:$GQ$29,0))</f>
        <v/>
      </c>
      <c r="U4">
        <f>INDEX($B$18:$GQ$18,MATCH(20,$B$29:$GQ$29,0))</f>
        <v/>
      </c>
      <c r="V4">
        <f>INDEX($B$18:$GQ$18,MATCH(21,$B$29:$GQ$29,0))</f>
        <v/>
      </c>
      <c r="W4">
        <f>INDEX($B$18:$GQ$18,MATCH(22,$B$29:$GQ$29,0))</f>
        <v/>
      </c>
      <c r="X4">
        <f>INDEX($B$18:$GQ$18,MATCH(23,$B$29:$GQ$29,0))</f>
        <v/>
      </c>
      <c r="Y4">
        <f>INDEX($B$18:$GQ$18,MATCH(24,$B$29:$GQ$29,0))</f>
        <v/>
      </c>
      <c r="Z4">
        <f>INDEX($B$18:$GQ$18,MATCH(25,$B$29:$GQ$29,0))</f>
        <v/>
      </c>
      <c r="AA4">
        <f>INDEX($B$18:$GQ$18,MATCH(26,$B$29:$GQ$29,0))</f>
        <v/>
      </c>
      <c r="AB4">
        <f>INDEX($B$18:$GQ$18,MATCH(27,$B$29:$GQ$29,0))</f>
        <v/>
      </c>
      <c r="AC4">
        <f>INDEX($B$18:$GQ$18,MATCH(28,$B$29:$GQ$29,0))</f>
        <v/>
      </c>
      <c r="AD4">
        <f>INDEX($B$18:$GQ$18,MATCH(29,$B$29:$GQ$29,0))</f>
        <v/>
      </c>
      <c r="AE4">
        <f>INDEX($B$18:$GQ$18,MATCH(30,$B$29:$GQ$29,0))</f>
        <v/>
      </c>
      <c r="AF4">
        <f>INDEX($B$18:$GQ$18,MATCH(31,$B$29:$GQ$29,0))</f>
        <v/>
      </c>
      <c r="AG4">
        <f>INDEX($B$18:$GQ$18,MATCH(32,$B$29:$GQ$29,0))</f>
        <v/>
      </c>
      <c r="AH4">
        <f>INDEX($B$18:$GQ$18,MATCH(33,$B$29:$GQ$29,0))</f>
        <v/>
      </c>
      <c r="AI4">
        <f>INDEX($B$18:$GQ$18,MATCH(34,$B$29:$GQ$29,0))</f>
        <v/>
      </c>
      <c r="AJ4">
        <f>INDEX($B$18:$GQ$18,MATCH(35,$B$29:$GQ$29,0))</f>
        <v/>
      </c>
      <c r="AK4">
        <f>INDEX($B$18:$GQ$18,MATCH(36,$B$29:$GQ$29,0))</f>
        <v/>
      </c>
      <c r="AL4">
        <f>INDEX($B$18:$GQ$18,MATCH(37,$B$29:$GQ$29,0))</f>
        <v/>
      </c>
      <c r="AM4">
        <f>INDEX($B$18:$GQ$18,MATCH(38,$B$29:$GQ$29,0))</f>
        <v/>
      </c>
      <c r="AN4">
        <f>INDEX($B$18:$GQ$18,MATCH(39,$B$29:$GQ$29,0))</f>
        <v/>
      </c>
      <c r="AO4">
        <f>INDEX($B$18:$GQ$18,MATCH(40,$B$29:$GQ$29,0))</f>
        <v/>
      </c>
      <c r="AP4">
        <f>INDEX($B$18:$GQ$18,MATCH(41,$B$29:$GQ$29,0))</f>
        <v/>
      </c>
      <c r="AQ4">
        <f>INDEX($B$18:$GQ$18,MATCH(42,$B$29:$GQ$29,0))</f>
        <v/>
      </c>
      <c r="AR4">
        <f>INDEX($B$18:$GQ$18,MATCH(43,$B$29:$GQ$29,0))</f>
        <v/>
      </c>
      <c r="AS4">
        <f>INDEX($B$18:$GQ$18,MATCH(44,$B$29:$GQ$29,0))</f>
        <v/>
      </c>
      <c r="AT4">
        <f>INDEX($B$18:$GQ$18,MATCH(45,$B$29:$GQ$29,0))</f>
        <v/>
      </c>
      <c r="AU4">
        <f>INDEX($B$18:$GQ$18,MATCH(46,$B$29:$GQ$29,0))</f>
        <v/>
      </c>
      <c r="AV4">
        <f>INDEX($B$18:$GQ$18,MATCH(47,$B$29:$GQ$29,0))</f>
        <v/>
      </c>
      <c r="AW4">
        <f>INDEX($B$18:$GQ$18,MATCH(48,$B$29:$GQ$29,0))</f>
        <v/>
      </c>
      <c r="AX4">
        <f>INDEX($B$18:$GQ$18,MATCH(49,$B$29:$GQ$29,0))</f>
        <v/>
      </c>
      <c r="AY4">
        <f>INDEX($B$18:$GQ$18,MATCH(50,$B$29:$GQ$29,0))</f>
        <v/>
      </c>
      <c r="AZ4">
        <f>INDEX($B$18:$GQ$18,MATCH(51,$B$29:$GQ$29,0))</f>
        <v/>
      </c>
      <c r="BA4">
        <f>INDEX($B$18:$GQ$18,MATCH(52,$B$29:$GQ$29,0))</f>
        <v/>
      </c>
      <c r="BB4">
        <f>INDEX($B$18:$GQ$18,MATCH(53,$B$29:$GQ$29,0))</f>
        <v/>
      </c>
      <c r="BC4">
        <f>INDEX($B$18:$GQ$18,MATCH(54,$B$29:$GQ$29,0))</f>
        <v/>
      </c>
      <c r="BD4">
        <f>INDEX($B$18:$GQ$18,MATCH(55,$B$29:$GQ$29,0))</f>
        <v/>
      </c>
      <c r="BE4">
        <f>INDEX($B$18:$GQ$18,MATCH(56,$B$29:$GQ$29,0))</f>
        <v/>
      </c>
      <c r="BF4">
        <f>INDEX($B$18:$GQ$18,MATCH(57,$B$29:$GQ$29,0))</f>
        <v/>
      </c>
      <c r="BG4">
        <f>INDEX($B$18:$GQ$18,MATCH(58,$B$29:$GQ$29,0))</f>
        <v/>
      </c>
      <c r="BH4">
        <f>INDEX($B$18:$GQ$18,MATCH(59,$B$29:$GQ$29,0))</f>
        <v/>
      </c>
      <c r="BI4">
        <f>INDEX($B$18:$GQ$18,MATCH(60,$B$29:$GQ$29,0))</f>
        <v/>
      </c>
      <c r="BJ4">
        <f>INDEX($B$18:$GQ$18,MATCH(61,$B$29:$GQ$29,0))</f>
        <v/>
      </c>
      <c r="BK4">
        <f>INDEX($B$18:$GQ$18,MATCH(62,$B$29:$GQ$29,0))</f>
        <v/>
      </c>
      <c r="BL4">
        <f>INDEX($B$18:$GQ$18,MATCH(63,$B$29:$GQ$29,0))</f>
        <v/>
      </c>
      <c r="BM4">
        <f>INDEX($B$18:$GQ$18,MATCH(64,$B$29:$GQ$29,0))</f>
        <v/>
      </c>
      <c r="BN4">
        <f>INDEX($B$18:$GQ$18,MATCH(65,$B$29:$GQ$29,0))</f>
        <v/>
      </c>
      <c r="BO4">
        <f>INDEX($B$18:$GQ$18,MATCH(66,$B$29:$GQ$29,0))</f>
        <v/>
      </c>
      <c r="BP4">
        <f>INDEX($B$18:$GQ$18,MATCH(67,$B$29:$GQ$29,0))</f>
        <v/>
      </c>
      <c r="BQ4">
        <f>INDEX($B$18:$GQ$18,MATCH(68,$B$29:$GQ$29,0))</f>
        <v/>
      </c>
      <c r="BR4">
        <f>INDEX($B$18:$GQ$18,MATCH(69,$B$29:$GQ$29,0))</f>
        <v/>
      </c>
      <c r="BS4">
        <f>INDEX($B$18:$GQ$18,MATCH(70,$B$29:$GQ$29,0))</f>
        <v/>
      </c>
      <c r="BT4">
        <f>INDEX($B$18:$GQ$18,MATCH(71,$B$29:$GQ$29,0))</f>
        <v/>
      </c>
      <c r="BU4">
        <f>INDEX($B$18:$GQ$18,MATCH(72,$B$29:$GQ$29,0))</f>
        <v/>
      </c>
      <c r="BV4">
        <f>INDEX($B$18:$GQ$18,MATCH(73,$B$29:$GQ$29,0))</f>
        <v/>
      </c>
      <c r="BW4">
        <f>INDEX($B$18:$GQ$18,MATCH(74,$B$29:$GQ$29,0))</f>
        <v/>
      </c>
      <c r="BX4">
        <f>INDEX($B$18:$GQ$18,MATCH(75,$B$29:$GQ$29,0))</f>
        <v/>
      </c>
      <c r="BY4">
        <f>INDEX($B$18:$GQ$18,MATCH(76,$B$29:$GQ$29,0))</f>
        <v/>
      </c>
      <c r="BZ4">
        <f>INDEX($B$18:$GQ$18,MATCH(77,$B$29:$GQ$29,0))</f>
        <v/>
      </c>
      <c r="CA4">
        <f>INDEX($B$18:$GQ$18,MATCH(78,$B$29:$GQ$29,0))</f>
        <v/>
      </c>
      <c r="CB4">
        <f>INDEX($B$18:$GQ$18,MATCH(79,$B$29:$GQ$29,0))</f>
        <v/>
      </c>
      <c r="CC4">
        <f>INDEX($B$18:$GQ$18,MATCH(80,$B$29:$GQ$29,0))</f>
        <v/>
      </c>
      <c r="CD4">
        <f>INDEX($B$18:$GQ$18,MATCH(81,$B$29:$GQ$29,0))</f>
        <v/>
      </c>
      <c r="CE4">
        <f>INDEX($B$18:$GQ$18,MATCH(82,$B$29:$GQ$29,0))</f>
        <v/>
      </c>
      <c r="CF4">
        <f>INDEX($B$18:$GQ$18,MATCH(83,$B$29:$GQ$29,0))</f>
        <v/>
      </c>
      <c r="CG4">
        <f>INDEX($B$18:$GQ$18,MATCH(84,$B$29:$GQ$29,0))</f>
        <v/>
      </c>
      <c r="CH4">
        <f>INDEX($B$18:$GQ$18,MATCH(85,$B$29:$GQ$29,0))</f>
        <v/>
      </c>
      <c r="CI4">
        <f>INDEX($B$18:$GQ$18,MATCH(86,$B$29:$GQ$29,0))</f>
        <v/>
      </c>
      <c r="CJ4">
        <f>INDEX($B$18:$GQ$18,MATCH(87,$B$29:$GQ$29,0))</f>
        <v/>
      </c>
      <c r="CK4">
        <f>INDEX($B$18:$GQ$18,MATCH(88,$B$29:$GQ$29,0))</f>
        <v/>
      </c>
      <c r="CL4">
        <f>INDEX($B$18:$GQ$18,MATCH(89,$B$29:$GQ$29,0))</f>
        <v/>
      </c>
      <c r="CM4">
        <f>INDEX($B$18:$GQ$18,MATCH(90,$B$29:$GQ$29,0))</f>
        <v/>
      </c>
      <c r="CN4">
        <f>INDEX($B$18:$GQ$18,MATCH(91,$B$29:$GQ$29,0))</f>
        <v/>
      </c>
      <c r="CO4">
        <f>INDEX($B$18:$GQ$18,MATCH(92,$B$29:$GQ$29,0))</f>
        <v/>
      </c>
      <c r="CP4">
        <f>INDEX($B$18:$GQ$18,MATCH(93,$B$29:$GQ$29,0))</f>
        <v/>
      </c>
      <c r="CQ4">
        <f>INDEX($B$18:$GQ$18,MATCH(94,$B$29:$GQ$29,0))</f>
        <v/>
      </c>
      <c r="CR4">
        <f>INDEX($B$18:$GQ$18,MATCH(95,$B$29:$GQ$29,0))</f>
        <v/>
      </c>
      <c r="CS4">
        <f>INDEX($B$18:$GQ$18,MATCH(96,$B$29:$GQ$29,0))</f>
        <v/>
      </c>
      <c r="CT4">
        <f>INDEX($B$18:$GQ$18,MATCH(97,$B$29:$GQ$29,0))</f>
        <v/>
      </c>
      <c r="CU4">
        <f>INDEX($B$18:$GQ$18,MATCH(98,$B$29:$GQ$29,0))</f>
        <v/>
      </c>
      <c r="CV4">
        <f>INDEX($B$18:$GQ$18,MATCH(99,$B$29:$GQ$29,0))</f>
        <v/>
      </c>
      <c r="CW4">
        <f>INDEX($B$18:$GQ$18,MATCH(100,$B$29:$GQ$29,0))</f>
        <v/>
      </c>
      <c r="CX4">
        <f>INDEX($B$18:$GQ$18,MATCH(101,$B$29:$GQ$29,0))</f>
        <v/>
      </c>
      <c r="CY4">
        <f>INDEX($B$18:$GQ$18,MATCH(102,$B$29:$GQ$29,0))</f>
        <v/>
      </c>
      <c r="CZ4">
        <f>INDEX($B$18:$GQ$18,MATCH(103,$B$29:$GQ$29,0))</f>
        <v/>
      </c>
      <c r="DA4">
        <f>INDEX($B$18:$GQ$18,MATCH(104,$B$29:$GQ$29,0))</f>
        <v/>
      </c>
      <c r="DB4">
        <f>INDEX($B$18:$GQ$18,MATCH(105,$B$29:$GQ$29,0))</f>
        <v/>
      </c>
      <c r="DC4">
        <f>INDEX($B$18:$GQ$18,MATCH(106,$B$29:$GQ$29,0))</f>
        <v/>
      </c>
      <c r="DD4">
        <f>INDEX($B$18:$GQ$18,MATCH(107,$B$29:$GQ$29,0))</f>
        <v/>
      </c>
      <c r="DE4">
        <f>INDEX($B$18:$GQ$18,MATCH(108,$B$29:$GQ$29,0))</f>
        <v/>
      </c>
      <c r="DF4">
        <f>INDEX($B$18:$GQ$18,MATCH(109,$B$29:$GQ$29,0))</f>
        <v/>
      </c>
      <c r="DG4">
        <f>INDEX($B$18:$GQ$18,MATCH(110,$B$29:$GQ$29,0))</f>
        <v/>
      </c>
      <c r="DH4">
        <f>INDEX($B$18:$GQ$18,MATCH(111,$B$29:$GQ$29,0))</f>
        <v/>
      </c>
      <c r="DI4">
        <f>INDEX($B$18:$GQ$18,MATCH(112,$B$29:$GQ$29,0))</f>
        <v/>
      </c>
      <c r="DJ4">
        <f>INDEX($B$18:$GQ$18,MATCH(113,$B$29:$GQ$29,0))</f>
        <v/>
      </c>
      <c r="DK4">
        <f>INDEX($B$18:$GQ$18,MATCH(114,$B$29:$GQ$29,0))</f>
        <v/>
      </c>
      <c r="DL4">
        <f>INDEX($B$18:$GQ$18,MATCH(115,$B$29:$GQ$29,0))</f>
        <v/>
      </c>
      <c r="DM4">
        <f>INDEX($B$18:$GQ$18,MATCH(116,$B$29:$GQ$29,0))</f>
        <v/>
      </c>
      <c r="DN4">
        <f>INDEX($B$18:$GQ$18,MATCH(117,$B$29:$GQ$29,0))</f>
        <v/>
      </c>
      <c r="DO4">
        <f>INDEX($B$18:$GQ$18,MATCH(118,$B$29:$GQ$29,0))</f>
        <v/>
      </c>
      <c r="DP4">
        <f>INDEX($B$18:$GQ$18,MATCH(119,$B$29:$GQ$29,0))</f>
        <v/>
      </c>
      <c r="DQ4">
        <f>INDEX($B$18:$GQ$18,MATCH(120,$B$29:$GQ$29,0))</f>
        <v/>
      </c>
      <c r="DR4">
        <f>INDEX($B$18:$GQ$18,MATCH(121,$B$29:$GQ$29,0))</f>
        <v/>
      </c>
      <c r="DS4">
        <f>INDEX($B$18:$GQ$18,MATCH(122,$B$29:$GQ$29,0))</f>
        <v/>
      </c>
      <c r="DT4">
        <f>INDEX($B$18:$GQ$18,MATCH(123,$B$29:$GQ$29,0))</f>
        <v/>
      </c>
      <c r="DU4">
        <f>INDEX($B$18:$GQ$18,MATCH(124,$B$29:$GQ$29,0))</f>
        <v/>
      </c>
      <c r="DV4">
        <f>INDEX($B$18:$GQ$18,MATCH(125,$B$29:$GQ$29,0))</f>
        <v/>
      </c>
      <c r="DW4">
        <f>INDEX($B$18:$GQ$18,MATCH(126,$B$29:$GQ$29,0))</f>
        <v/>
      </c>
      <c r="DX4">
        <f>INDEX($B$18:$GQ$18,MATCH(127,$B$29:$GQ$29,0))</f>
        <v/>
      </c>
      <c r="DY4">
        <f>INDEX($B$18:$GQ$18,MATCH(128,$B$29:$GQ$29,0))</f>
        <v/>
      </c>
      <c r="DZ4">
        <f>INDEX($B$18:$GQ$18,MATCH(129,$B$29:$GQ$29,0))</f>
        <v/>
      </c>
      <c r="EA4">
        <f>INDEX($B$18:$GQ$18,MATCH(130,$B$29:$GQ$29,0))</f>
        <v/>
      </c>
      <c r="EB4">
        <f>INDEX($B$18:$GQ$18,MATCH(131,$B$29:$GQ$29,0))</f>
        <v/>
      </c>
      <c r="EC4">
        <f>INDEX($B$18:$GQ$18,MATCH(132,$B$29:$GQ$29,0))</f>
        <v/>
      </c>
      <c r="ED4">
        <f>INDEX($B$18:$GQ$18,MATCH(133,$B$29:$GQ$29,0))</f>
        <v/>
      </c>
      <c r="EE4">
        <f>INDEX($B$18:$GQ$18,MATCH(134,$B$29:$GQ$29,0))</f>
        <v/>
      </c>
      <c r="EF4">
        <f>INDEX($B$18:$GQ$18,MATCH(135,$B$29:$GQ$29,0))</f>
        <v/>
      </c>
      <c r="EG4">
        <f>INDEX($B$18:$GQ$18,MATCH(136,$B$29:$GQ$29,0))</f>
        <v/>
      </c>
      <c r="EH4">
        <f>INDEX($B$18:$GQ$18,MATCH(137,$B$29:$GQ$29,0))</f>
        <v/>
      </c>
      <c r="EI4">
        <f>INDEX($B$18:$GQ$18,MATCH(138,$B$29:$GQ$29,0))</f>
        <v/>
      </c>
      <c r="EJ4">
        <f>INDEX($B$18:$GQ$18,MATCH(139,$B$29:$GQ$29,0))</f>
        <v/>
      </c>
      <c r="EK4">
        <f>INDEX($B$18:$GQ$18,MATCH(140,$B$29:$GQ$29,0))</f>
        <v/>
      </c>
      <c r="EL4">
        <f>INDEX($B$18:$GQ$18,MATCH(141,$B$29:$GQ$29,0))</f>
        <v/>
      </c>
      <c r="EM4">
        <f>INDEX($B$18:$GQ$18,MATCH(142,$B$29:$GQ$29,0))</f>
        <v/>
      </c>
      <c r="EN4">
        <f>INDEX($B$18:$GQ$18,MATCH(143,$B$29:$GQ$29,0))</f>
        <v/>
      </c>
      <c r="EO4">
        <f>INDEX($B$18:$GQ$18,MATCH(144,$B$29:$GQ$29,0))</f>
        <v/>
      </c>
      <c r="EP4">
        <f>INDEX($B$18:$GQ$18,MATCH(145,$B$29:$GQ$29,0))</f>
        <v/>
      </c>
      <c r="EQ4">
        <f>INDEX($B$18:$GQ$18,MATCH(146,$B$29:$GQ$29,0))</f>
        <v/>
      </c>
      <c r="ER4">
        <f>INDEX($B$18:$GQ$18,MATCH(147,$B$29:$GQ$29,0))</f>
        <v/>
      </c>
      <c r="ES4">
        <f>INDEX($B$18:$GQ$18,MATCH(148,$B$29:$GQ$29,0))</f>
        <v/>
      </c>
      <c r="ET4">
        <f>INDEX($B$18:$GQ$18,MATCH(149,$B$29:$GQ$29,0))</f>
        <v/>
      </c>
      <c r="EU4">
        <f>INDEX($B$18:$GQ$18,MATCH(150,$B$29:$GQ$29,0))</f>
        <v/>
      </c>
      <c r="EV4">
        <f>INDEX($B$18:$GQ$18,MATCH(151,$B$29:$GQ$29,0))</f>
        <v/>
      </c>
      <c r="EW4">
        <f>INDEX($B$18:$GQ$18,MATCH(152,$B$29:$GQ$29,0))</f>
        <v/>
      </c>
      <c r="EX4">
        <f>INDEX($B$18:$GQ$18,MATCH(153,$B$29:$GQ$29,0))</f>
        <v/>
      </c>
      <c r="EY4">
        <f>INDEX($B$18:$GQ$18,MATCH(154,$B$29:$GQ$29,0))</f>
        <v/>
      </c>
      <c r="EZ4">
        <f>INDEX($B$18:$GQ$18,MATCH(155,$B$29:$GQ$29,0))</f>
        <v/>
      </c>
      <c r="FA4">
        <f>INDEX($B$18:$GQ$18,MATCH(156,$B$29:$GQ$29,0))</f>
        <v/>
      </c>
      <c r="FB4">
        <f>INDEX($B$18:$GQ$18,MATCH(157,$B$29:$GQ$29,0))</f>
        <v/>
      </c>
      <c r="FC4">
        <f>INDEX($B$18:$GQ$18,MATCH(158,$B$29:$GQ$29,0))</f>
        <v/>
      </c>
      <c r="FD4">
        <f>INDEX($B$18:$GQ$18,MATCH(159,$B$29:$GQ$29,0))</f>
        <v/>
      </c>
      <c r="FE4">
        <f>INDEX($B$18:$GQ$18,MATCH(160,$B$29:$GQ$29,0))</f>
        <v/>
      </c>
      <c r="FF4">
        <f>INDEX($B$18:$GQ$18,MATCH(161,$B$29:$GQ$29,0))</f>
        <v/>
      </c>
      <c r="FG4">
        <f>INDEX($B$18:$GQ$18,MATCH(162,$B$29:$GQ$29,0))</f>
        <v/>
      </c>
      <c r="FH4">
        <f>INDEX($B$18:$GQ$18,MATCH(163,$B$29:$GQ$29,0))</f>
        <v/>
      </c>
      <c r="FI4">
        <f>INDEX($B$18:$GQ$18,MATCH(164,$B$29:$GQ$29,0))</f>
        <v/>
      </c>
      <c r="FJ4">
        <f>INDEX($B$18:$GQ$18,MATCH(165,$B$29:$GQ$29,0))</f>
        <v/>
      </c>
      <c r="FK4">
        <f>INDEX($B$18:$GQ$18,MATCH(166,$B$29:$GQ$29,0))</f>
        <v/>
      </c>
      <c r="FL4">
        <f>INDEX($B$18:$GQ$18,MATCH(167,$B$29:$GQ$29,0))</f>
        <v/>
      </c>
      <c r="FM4">
        <f>INDEX($B$18:$GQ$18,MATCH(168,$B$29:$GQ$29,0))</f>
        <v/>
      </c>
      <c r="FN4">
        <f>INDEX($B$18:$GQ$18,MATCH(169,$B$29:$GQ$29,0))</f>
        <v/>
      </c>
      <c r="FO4">
        <f>INDEX($B$18:$GQ$18,MATCH(170,$B$29:$GQ$29,0))</f>
        <v/>
      </c>
      <c r="FP4">
        <f>INDEX($B$18:$GQ$18,MATCH(171,$B$29:$GQ$29,0))</f>
        <v/>
      </c>
      <c r="FQ4">
        <f>INDEX($B$18:$GQ$18,MATCH(172,$B$29:$GQ$29,0))</f>
        <v/>
      </c>
      <c r="FR4">
        <f>INDEX($B$18:$GQ$18,MATCH(173,$B$29:$GQ$29,0))</f>
        <v/>
      </c>
      <c r="FS4">
        <f>INDEX($B$18:$GQ$18,MATCH(174,$B$29:$GQ$29,0))</f>
        <v/>
      </c>
      <c r="FT4">
        <f>INDEX($B$18:$GQ$18,MATCH(175,$B$29:$GQ$29,0))</f>
        <v/>
      </c>
      <c r="FU4">
        <f>INDEX($B$18:$GQ$18,MATCH(176,$B$29:$GQ$29,0))</f>
        <v/>
      </c>
      <c r="FV4">
        <f>INDEX($B$18:$GQ$18,MATCH(177,$B$29:$GQ$29,0))</f>
        <v/>
      </c>
      <c r="FW4">
        <f>INDEX($B$18:$GQ$18,MATCH(178,$B$29:$GQ$29,0))</f>
        <v/>
      </c>
      <c r="FX4">
        <f>INDEX($B$18:$GQ$18,MATCH(179,$B$29:$GQ$29,0))</f>
        <v/>
      </c>
      <c r="FY4">
        <f>INDEX($B$18:$GQ$18,MATCH(180,$B$29:$GQ$29,0))</f>
        <v/>
      </c>
      <c r="FZ4">
        <f>INDEX($B$18:$GQ$18,MATCH(181,$B$29:$GQ$29,0))</f>
        <v/>
      </c>
      <c r="GA4">
        <f>INDEX($B$18:$GQ$18,MATCH(182,$B$29:$GQ$29,0))</f>
        <v/>
      </c>
      <c r="GB4">
        <f>INDEX($B$18:$GQ$18,MATCH(183,$B$29:$GQ$29,0))</f>
        <v/>
      </c>
      <c r="GC4">
        <f>INDEX($B$18:$GQ$18,MATCH(184,$B$29:$GQ$29,0))</f>
        <v/>
      </c>
      <c r="GD4">
        <f>INDEX($B$18:$GQ$18,MATCH(185,$B$29:$GQ$29,0))</f>
        <v/>
      </c>
      <c r="GE4">
        <f>INDEX($B$18:$GQ$18,MATCH(186,$B$29:$GQ$29,0))</f>
        <v/>
      </c>
      <c r="GF4">
        <f>INDEX($B$18:$GQ$18,MATCH(187,$B$29:$GQ$29,0))</f>
        <v/>
      </c>
      <c r="GG4">
        <f>INDEX($B$18:$GQ$18,MATCH(188,$B$29:$GQ$29,0))</f>
        <v/>
      </c>
      <c r="GH4">
        <f>INDEX($B$18:$GQ$18,MATCH(189,$B$29:$GQ$29,0))</f>
        <v/>
      </c>
      <c r="GI4">
        <f>INDEX($B$18:$GQ$18,MATCH(190,$B$29:$GQ$29,0))</f>
        <v/>
      </c>
      <c r="GJ4">
        <f>INDEX($B$18:$GQ$18,MATCH(191,$B$29:$GQ$29,0))</f>
        <v/>
      </c>
      <c r="GK4">
        <f>INDEX($B$18:$GQ$18,MATCH(192,$B$29:$GQ$29,0))</f>
        <v/>
      </c>
      <c r="GL4">
        <f>INDEX($B$18:$GQ$18,MATCH(193,$B$29:$GQ$29,0))</f>
        <v/>
      </c>
      <c r="GM4">
        <f>INDEX($B$18:$GQ$18,MATCH(194,$B$29:$GQ$29,0))</f>
        <v/>
      </c>
      <c r="GN4">
        <f>INDEX($B$18:$GQ$18,MATCH(195,$B$29:$GQ$29,0))</f>
        <v/>
      </c>
      <c r="GO4">
        <f>INDEX($B$18:$GQ$18,MATCH(196,$B$29:$GQ$29,0))</f>
        <v/>
      </c>
      <c r="GP4">
        <f>INDEX($B$18:$GQ$18,MATCH(197,$B$29:$GQ$29,0))</f>
        <v/>
      </c>
      <c r="GQ4">
        <f>INDEX($B$18:$GQ$18,MATCH(198,$B$29:$GQ$29,0))</f>
        <v/>
      </c>
      <c r="GR4">
        <f>INDEX($GR$18:$HC$18,MATCH(1,$GR$30:$HC$30,0))</f>
        <v/>
      </c>
      <c r="GS4">
        <f>INDEX($GR$18:$HC$18,MATCH(2,$GR$30:$HC$30,0))</f>
        <v/>
      </c>
      <c r="GT4">
        <f>INDEX($GR$18:$HC$18,MATCH(3,$GR$30:$HC$30,0))</f>
        <v/>
      </c>
      <c r="GU4">
        <f>INDEX($GR$18:$HC$18,MATCH(4,$GR$30:$HC$30,0))</f>
        <v/>
      </c>
      <c r="GV4">
        <f>INDEX($GR$18:$HC$18,MATCH(5,$GR$30:$HC$30,0))</f>
        <v/>
      </c>
      <c r="GW4">
        <f>INDEX($GR$18:$HC$18,MATCH(6,$GR$30:$HC$30,0))</f>
        <v/>
      </c>
      <c r="GX4">
        <f>INDEX($GR$18:$HC$18,MATCH(7,$GR$30:$HC$30,0))</f>
        <v/>
      </c>
      <c r="GY4">
        <f>INDEX($GR$18:$HC$18,MATCH(8,$GR$30:$HC$30,0))</f>
        <v/>
      </c>
      <c r="GZ4">
        <f>INDEX($GR$18:$HC$18,MATCH(9,$GR$30:$HC$30,0))</f>
        <v/>
      </c>
      <c r="HA4">
        <f>INDEX($GR$18:$HC$18,MATCH(10,$GR$30:$HC$30,0))</f>
        <v/>
      </c>
      <c r="HB4">
        <f>INDEX($GR$18:$HC$18,MATCH(11,$GR$30:$HC$30,0))</f>
        <v/>
      </c>
      <c r="HC4">
        <f>INDEX($GR$18:$HC$18,MATCH(12,$GR$30:$HC$30,0))</f>
        <v/>
      </c>
    </row>
    <row r="5">
      <c r="A5" s="1" t="inlineStr">
        <is>
          <t>M_dom</t>
        </is>
      </c>
      <c r="B5">
        <f>INDEX($B$19:$GQ$19,MATCH(1,$B$29:$GQ$29,0))</f>
        <v/>
      </c>
      <c r="C5">
        <f>INDEX($B$19:$GQ$19,MATCH(2,$B$29:$GQ$29,0))</f>
        <v/>
      </c>
      <c r="D5">
        <f>INDEX($B$19:$GQ$19,MATCH(3,$B$29:$GQ$29,0))</f>
        <v/>
      </c>
      <c r="E5">
        <f>INDEX($B$19:$GQ$19,MATCH(4,$B$29:$GQ$29,0))</f>
        <v/>
      </c>
      <c r="F5">
        <f>INDEX($B$19:$GQ$19,MATCH(5,$B$29:$GQ$29,0))</f>
        <v/>
      </c>
      <c r="G5">
        <f>INDEX($B$19:$GQ$19,MATCH(6,$B$29:$GQ$29,0))</f>
        <v/>
      </c>
      <c r="H5">
        <f>INDEX($B$19:$GQ$19,MATCH(7,$B$29:$GQ$29,0))</f>
        <v/>
      </c>
      <c r="I5">
        <f>INDEX($B$19:$GQ$19,MATCH(8,$B$29:$GQ$29,0))</f>
        <v/>
      </c>
      <c r="J5">
        <f>INDEX($B$19:$GQ$19,MATCH(9,$B$29:$GQ$29,0))</f>
        <v/>
      </c>
      <c r="K5">
        <f>INDEX($B$19:$GQ$19,MATCH(10,$B$29:$GQ$29,0))</f>
        <v/>
      </c>
      <c r="L5">
        <f>INDEX($B$19:$GQ$19,MATCH(11,$B$29:$GQ$29,0))</f>
        <v/>
      </c>
      <c r="M5">
        <f>INDEX($B$19:$GQ$19,MATCH(12,$B$29:$GQ$29,0))</f>
        <v/>
      </c>
      <c r="N5">
        <f>INDEX($B$19:$GQ$19,MATCH(13,$B$29:$GQ$29,0))</f>
        <v/>
      </c>
      <c r="O5">
        <f>INDEX($B$19:$GQ$19,MATCH(14,$B$29:$GQ$29,0))</f>
        <v/>
      </c>
      <c r="P5">
        <f>INDEX($B$19:$GQ$19,MATCH(15,$B$29:$GQ$29,0))</f>
        <v/>
      </c>
      <c r="Q5">
        <f>INDEX($B$19:$GQ$19,MATCH(16,$B$29:$GQ$29,0))</f>
        <v/>
      </c>
      <c r="R5">
        <f>INDEX($B$19:$GQ$19,MATCH(17,$B$29:$GQ$29,0))</f>
        <v/>
      </c>
      <c r="S5">
        <f>INDEX($B$19:$GQ$19,MATCH(18,$B$29:$GQ$29,0))</f>
        <v/>
      </c>
      <c r="T5">
        <f>INDEX($B$19:$GQ$19,MATCH(19,$B$29:$GQ$29,0))</f>
        <v/>
      </c>
      <c r="U5">
        <f>INDEX($B$19:$GQ$19,MATCH(20,$B$29:$GQ$29,0))</f>
        <v/>
      </c>
      <c r="V5">
        <f>INDEX($B$19:$GQ$19,MATCH(21,$B$29:$GQ$29,0))</f>
        <v/>
      </c>
      <c r="W5">
        <f>INDEX($B$19:$GQ$19,MATCH(22,$B$29:$GQ$29,0))</f>
        <v/>
      </c>
      <c r="X5">
        <f>INDEX($B$19:$GQ$19,MATCH(23,$B$29:$GQ$29,0))</f>
        <v/>
      </c>
      <c r="Y5">
        <f>INDEX($B$19:$GQ$19,MATCH(24,$B$29:$GQ$29,0))</f>
        <v/>
      </c>
      <c r="Z5">
        <f>INDEX($B$19:$GQ$19,MATCH(25,$B$29:$GQ$29,0))</f>
        <v/>
      </c>
      <c r="AA5">
        <f>INDEX($B$19:$GQ$19,MATCH(26,$B$29:$GQ$29,0))</f>
        <v/>
      </c>
      <c r="AB5">
        <f>INDEX($B$19:$GQ$19,MATCH(27,$B$29:$GQ$29,0))</f>
        <v/>
      </c>
      <c r="AC5">
        <f>INDEX($B$19:$GQ$19,MATCH(28,$B$29:$GQ$29,0))</f>
        <v/>
      </c>
      <c r="AD5">
        <f>INDEX($B$19:$GQ$19,MATCH(29,$B$29:$GQ$29,0))</f>
        <v/>
      </c>
      <c r="AE5">
        <f>INDEX($B$19:$GQ$19,MATCH(30,$B$29:$GQ$29,0))</f>
        <v/>
      </c>
      <c r="AF5">
        <f>INDEX($B$19:$GQ$19,MATCH(31,$B$29:$GQ$29,0))</f>
        <v/>
      </c>
      <c r="AG5">
        <f>INDEX($B$19:$GQ$19,MATCH(32,$B$29:$GQ$29,0))</f>
        <v/>
      </c>
      <c r="AH5">
        <f>INDEX($B$19:$GQ$19,MATCH(33,$B$29:$GQ$29,0))</f>
        <v/>
      </c>
      <c r="AI5">
        <f>INDEX($B$19:$GQ$19,MATCH(34,$B$29:$GQ$29,0))</f>
        <v/>
      </c>
      <c r="AJ5">
        <f>INDEX($B$19:$GQ$19,MATCH(35,$B$29:$GQ$29,0))</f>
        <v/>
      </c>
      <c r="AK5">
        <f>INDEX($B$19:$GQ$19,MATCH(36,$B$29:$GQ$29,0))</f>
        <v/>
      </c>
      <c r="AL5">
        <f>INDEX($B$19:$GQ$19,MATCH(37,$B$29:$GQ$29,0))</f>
        <v/>
      </c>
      <c r="AM5">
        <f>INDEX($B$19:$GQ$19,MATCH(38,$B$29:$GQ$29,0))</f>
        <v/>
      </c>
      <c r="AN5">
        <f>INDEX($B$19:$GQ$19,MATCH(39,$B$29:$GQ$29,0))</f>
        <v/>
      </c>
      <c r="AO5">
        <f>INDEX($B$19:$GQ$19,MATCH(40,$B$29:$GQ$29,0))</f>
        <v/>
      </c>
      <c r="AP5">
        <f>INDEX($B$19:$GQ$19,MATCH(41,$B$29:$GQ$29,0))</f>
        <v/>
      </c>
      <c r="AQ5">
        <f>INDEX($B$19:$GQ$19,MATCH(42,$B$29:$GQ$29,0))</f>
        <v/>
      </c>
      <c r="AR5">
        <f>INDEX($B$19:$GQ$19,MATCH(43,$B$29:$GQ$29,0))</f>
        <v/>
      </c>
      <c r="AS5">
        <f>INDEX($B$19:$GQ$19,MATCH(44,$B$29:$GQ$29,0))</f>
        <v/>
      </c>
      <c r="AT5">
        <f>INDEX($B$19:$GQ$19,MATCH(45,$B$29:$GQ$29,0))</f>
        <v/>
      </c>
      <c r="AU5">
        <f>INDEX($B$19:$GQ$19,MATCH(46,$B$29:$GQ$29,0))</f>
        <v/>
      </c>
      <c r="AV5">
        <f>INDEX($B$19:$GQ$19,MATCH(47,$B$29:$GQ$29,0))</f>
        <v/>
      </c>
      <c r="AW5">
        <f>INDEX($B$19:$GQ$19,MATCH(48,$B$29:$GQ$29,0))</f>
        <v/>
      </c>
      <c r="AX5">
        <f>INDEX($B$19:$GQ$19,MATCH(49,$B$29:$GQ$29,0))</f>
        <v/>
      </c>
      <c r="AY5">
        <f>INDEX($B$19:$GQ$19,MATCH(50,$B$29:$GQ$29,0))</f>
        <v/>
      </c>
      <c r="AZ5">
        <f>INDEX($B$19:$GQ$19,MATCH(51,$B$29:$GQ$29,0))</f>
        <v/>
      </c>
      <c r="BA5">
        <f>INDEX($B$19:$GQ$19,MATCH(52,$B$29:$GQ$29,0))</f>
        <v/>
      </c>
      <c r="BB5">
        <f>INDEX($B$19:$GQ$19,MATCH(53,$B$29:$GQ$29,0))</f>
        <v/>
      </c>
      <c r="BC5">
        <f>INDEX($B$19:$GQ$19,MATCH(54,$B$29:$GQ$29,0))</f>
        <v/>
      </c>
      <c r="BD5">
        <f>INDEX($B$19:$GQ$19,MATCH(55,$B$29:$GQ$29,0))</f>
        <v/>
      </c>
      <c r="BE5">
        <f>INDEX($B$19:$GQ$19,MATCH(56,$B$29:$GQ$29,0))</f>
        <v/>
      </c>
      <c r="BF5">
        <f>INDEX($B$19:$GQ$19,MATCH(57,$B$29:$GQ$29,0))</f>
        <v/>
      </c>
      <c r="BG5">
        <f>INDEX($B$19:$GQ$19,MATCH(58,$B$29:$GQ$29,0))</f>
        <v/>
      </c>
      <c r="BH5">
        <f>INDEX($B$19:$GQ$19,MATCH(59,$B$29:$GQ$29,0))</f>
        <v/>
      </c>
      <c r="BI5">
        <f>INDEX($B$19:$GQ$19,MATCH(60,$B$29:$GQ$29,0))</f>
        <v/>
      </c>
      <c r="BJ5">
        <f>INDEX($B$19:$GQ$19,MATCH(61,$B$29:$GQ$29,0))</f>
        <v/>
      </c>
      <c r="BK5">
        <f>INDEX($B$19:$GQ$19,MATCH(62,$B$29:$GQ$29,0))</f>
        <v/>
      </c>
      <c r="BL5">
        <f>INDEX($B$19:$GQ$19,MATCH(63,$B$29:$GQ$29,0))</f>
        <v/>
      </c>
      <c r="BM5">
        <f>INDEX($B$19:$GQ$19,MATCH(64,$B$29:$GQ$29,0))</f>
        <v/>
      </c>
      <c r="BN5">
        <f>INDEX($B$19:$GQ$19,MATCH(65,$B$29:$GQ$29,0))</f>
        <v/>
      </c>
      <c r="BO5">
        <f>INDEX($B$19:$GQ$19,MATCH(66,$B$29:$GQ$29,0))</f>
        <v/>
      </c>
      <c r="BP5">
        <f>INDEX($B$19:$GQ$19,MATCH(67,$B$29:$GQ$29,0))</f>
        <v/>
      </c>
      <c r="BQ5">
        <f>INDEX($B$19:$GQ$19,MATCH(68,$B$29:$GQ$29,0))</f>
        <v/>
      </c>
      <c r="BR5">
        <f>INDEX($B$19:$GQ$19,MATCH(69,$B$29:$GQ$29,0))</f>
        <v/>
      </c>
      <c r="BS5">
        <f>INDEX($B$19:$GQ$19,MATCH(70,$B$29:$GQ$29,0))</f>
        <v/>
      </c>
      <c r="BT5">
        <f>INDEX($B$19:$GQ$19,MATCH(71,$B$29:$GQ$29,0))</f>
        <v/>
      </c>
      <c r="BU5">
        <f>INDEX($B$19:$GQ$19,MATCH(72,$B$29:$GQ$29,0))</f>
        <v/>
      </c>
      <c r="BV5">
        <f>INDEX($B$19:$GQ$19,MATCH(73,$B$29:$GQ$29,0))</f>
        <v/>
      </c>
      <c r="BW5">
        <f>INDEX($B$19:$GQ$19,MATCH(74,$B$29:$GQ$29,0))</f>
        <v/>
      </c>
      <c r="BX5">
        <f>INDEX($B$19:$GQ$19,MATCH(75,$B$29:$GQ$29,0))</f>
        <v/>
      </c>
      <c r="BY5">
        <f>INDEX($B$19:$GQ$19,MATCH(76,$B$29:$GQ$29,0))</f>
        <v/>
      </c>
      <c r="BZ5">
        <f>INDEX($B$19:$GQ$19,MATCH(77,$B$29:$GQ$29,0))</f>
        <v/>
      </c>
      <c r="CA5">
        <f>INDEX($B$19:$GQ$19,MATCH(78,$B$29:$GQ$29,0))</f>
        <v/>
      </c>
      <c r="CB5">
        <f>INDEX($B$19:$GQ$19,MATCH(79,$B$29:$GQ$29,0))</f>
        <v/>
      </c>
      <c r="CC5">
        <f>INDEX($B$19:$GQ$19,MATCH(80,$B$29:$GQ$29,0))</f>
        <v/>
      </c>
      <c r="CD5">
        <f>INDEX($B$19:$GQ$19,MATCH(81,$B$29:$GQ$29,0))</f>
        <v/>
      </c>
      <c r="CE5">
        <f>INDEX($B$19:$GQ$19,MATCH(82,$B$29:$GQ$29,0))</f>
        <v/>
      </c>
      <c r="CF5">
        <f>INDEX($B$19:$GQ$19,MATCH(83,$B$29:$GQ$29,0))</f>
        <v/>
      </c>
      <c r="CG5">
        <f>INDEX($B$19:$GQ$19,MATCH(84,$B$29:$GQ$29,0))</f>
        <v/>
      </c>
      <c r="CH5">
        <f>INDEX($B$19:$GQ$19,MATCH(85,$B$29:$GQ$29,0))</f>
        <v/>
      </c>
      <c r="CI5">
        <f>INDEX($B$19:$GQ$19,MATCH(86,$B$29:$GQ$29,0))</f>
        <v/>
      </c>
      <c r="CJ5">
        <f>INDEX($B$19:$GQ$19,MATCH(87,$B$29:$GQ$29,0))</f>
        <v/>
      </c>
      <c r="CK5">
        <f>INDEX($B$19:$GQ$19,MATCH(88,$B$29:$GQ$29,0))</f>
        <v/>
      </c>
      <c r="CL5">
        <f>INDEX($B$19:$GQ$19,MATCH(89,$B$29:$GQ$29,0))</f>
        <v/>
      </c>
      <c r="CM5">
        <f>INDEX($B$19:$GQ$19,MATCH(90,$B$29:$GQ$29,0))</f>
        <v/>
      </c>
      <c r="CN5">
        <f>INDEX($B$19:$GQ$19,MATCH(91,$B$29:$GQ$29,0))</f>
        <v/>
      </c>
      <c r="CO5">
        <f>INDEX($B$19:$GQ$19,MATCH(92,$B$29:$GQ$29,0))</f>
        <v/>
      </c>
      <c r="CP5">
        <f>INDEX($B$19:$GQ$19,MATCH(93,$B$29:$GQ$29,0))</f>
        <v/>
      </c>
      <c r="CQ5">
        <f>INDEX($B$19:$GQ$19,MATCH(94,$B$29:$GQ$29,0))</f>
        <v/>
      </c>
      <c r="CR5">
        <f>INDEX($B$19:$GQ$19,MATCH(95,$B$29:$GQ$29,0))</f>
        <v/>
      </c>
      <c r="CS5">
        <f>INDEX($B$19:$GQ$19,MATCH(96,$B$29:$GQ$29,0))</f>
        <v/>
      </c>
      <c r="CT5">
        <f>INDEX($B$19:$GQ$19,MATCH(97,$B$29:$GQ$29,0))</f>
        <v/>
      </c>
      <c r="CU5">
        <f>INDEX($B$19:$GQ$19,MATCH(98,$B$29:$GQ$29,0))</f>
        <v/>
      </c>
      <c r="CV5">
        <f>INDEX($B$19:$GQ$19,MATCH(99,$B$29:$GQ$29,0))</f>
        <v/>
      </c>
      <c r="CW5">
        <f>INDEX($B$19:$GQ$19,MATCH(100,$B$29:$GQ$29,0))</f>
        <v/>
      </c>
      <c r="CX5">
        <f>INDEX($B$19:$GQ$19,MATCH(101,$B$29:$GQ$29,0))</f>
        <v/>
      </c>
      <c r="CY5">
        <f>INDEX($B$19:$GQ$19,MATCH(102,$B$29:$GQ$29,0))</f>
        <v/>
      </c>
      <c r="CZ5">
        <f>INDEX($B$19:$GQ$19,MATCH(103,$B$29:$GQ$29,0))</f>
        <v/>
      </c>
      <c r="DA5">
        <f>INDEX($B$19:$GQ$19,MATCH(104,$B$29:$GQ$29,0))</f>
        <v/>
      </c>
      <c r="DB5">
        <f>INDEX($B$19:$GQ$19,MATCH(105,$B$29:$GQ$29,0))</f>
        <v/>
      </c>
      <c r="DC5">
        <f>INDEX($B$19:$GQ$19,MATCH(106,$B$29:$GQ$29,0))</f>
        <v/>
      </c>
      <c r="DD5">
        <f>INDEX($B$19:$GQ$19,MATCH(107,$B$29:$GQ$29,0))</f>
        <v/>
      </c>
      <c r="DE5">
        <f>INDEX($B$19:$GQ$19,MATCH(108,$B$29:$GQ$29,0))</f>
        <v/>
      </c>
      <c r="DF5">
        <f>INDEX($B$19:$GQ$19,MATCH(109,$B$29:$GQ$29,0))</f>
        <v/>
      </c>
      <c r="DG5">
        <f>INDEX($B$19:$GQ$19,MATCH(110,$B$29:$GQ$29,0))</f>
        <v/>
      </c>
      <c r="DH5">
        <f>INDEX($B$19:$GQ$19,MATCH(111,$B$29:$GQ$29,0))</f>
        <v/>
      </c>
      <c r="DI5">
        <f>INDEX($B$19:$GQ$19,MATCH(112,$B$29:$GQ$29,0))</f>
        <v/>
      </c>
      <c r="DJ5">
        <f>INDEX($B$19:$GQ$19,MATCH(113,$B$29:$GQ$29,0))</f>
        <v/>
      </c>
      <c r="DK5">
        <f>INDEX($B$19:$GQ$19,MATCH(114,$B$29:$GQ$29,0))</f>
        <v/>
      </c>
      <c r="DL5">
        <f>INDEX($B$19:$GQ$19,MATCH(115,$B$29:$GQ$29,0))</f>
        <v/>
      </c>
      <c r="DM5">
        <f>INDEX($B$19:$GQ$19,MATCH(116,$B$29:$GQ$29,0))</f>
        <v/>
      </c>
      <c r="DN5">
        <f>INDEX($B$19:$GQ$19,MATCH(117,$B$29:$GQ$29,0))</f>
        <v/>
      </c>
      <c r="DO5">
        <f>INDEX($B$19:$GQ$19,MATCH(118,$B$29:$GQ$29,0))</f>
        <v/>
      </c>
      <c r="DP5">
        <f>INDEX($B$19:$GQ$19,MATCH(119,$B$29:$GQ$29,0))</f>
        <v/>
      </c>
      <c r="DQ5">
        <f>INDEX($B$19:$GQ$19,MATCH(120,$B$29:$GQ$29,0))</f>
        <v/>
      </c>
      <c r="DR5">
        <f>INDEX($B$19:$GQ$19,MATCH(121,$B$29:$GQ$29,0))</f>
        <v/>
      </c>
      <c r="DS5">
        <f>INDEX($B$19:$GQ$19,MATCH(122,$B$29:$GQ$29,0))</f>
        <v/>
      </c>
      <c r="DT5">
        <f>INDEX($B$19:$GQ$19,MATCH(123,$B$29:$GQ$29,0))</f>
        <v/>
      </c>
      <c r="DU5">
        <f>INDEX($B$19:$GQ$19,MATCH(124,$B$29:$GQ$29,0))</f>
        <v/>
      </c>
      <c r="DV5">
        <f>INDEX($B$19:$GQ$19,MATCH(125,$B$29:$GQ$29,0))</f>
        <v/>
      </c>
      <c r="DW5">
        <f>INDEX($B$19:$GQ$19,MATCH(126,$B$29:$GQ$29,0))</f>
        <v/>
      </c>
      <c r="DX5">
        <f>INDEX($B$19:$GQ$19,MATCH(127,$B$29:$GQ$29,0))</f>
        <v/>
      </c>
      <c r="DY5">
        <f>INDEX($B$19:$GQ$19,MATCH(128,$B$29:$GQ$29,0))</f>
        <v/>
      </c>
      <c r="DZ5">
        <f>INDEX($B$19:$GQ$19,MATCH(129,$B$29:$GQ$29,0))</f>
        <v/>
      </c>
      <c r="EA5">
        <f>INDEX($B$19:$GQ$19,MATCH(130,$B$29:$GQ$29,0))</f>
        <v/>
      </c>
      <c r="EB5">
        <f>INDEX($B$19:$GQ$19,MATCH(131,$B$29:$GQ$29,0))</f>
        <v/>
      </c>
      <c r="EC5">
        <f>INDEX($B$19:$GQ$19,MATCH(132,$B$29:$GQ$29,0))</f>
        <v/>
      </c>
      <c r="ED5">
        <f>INDEX($B$19:$GQ$19,MATCH(133,$B$29:$GQ$29,0))</f>
        <v/>
      </c>
      <c r="EE5">
        <f>INDEX($B$19:$GQ$19,MATCH(134,$B$29:$GQ$29,0))</f>
        <v/>
      </c>
      <c r="EF5">
        <f>INDEX($B$19:$GQ$19,MATCH(135,$B$29:$GQ$29,0))</f>
        <v/>
      </c>
      <c r="EG5">
        <f>INDEX($B$19:$GQ$19,MATCH(136,$B$29:$GQ$29,0))</f>
        <v/>
      </c>
      <c r="EH5">
        <f>INDEX($B$19:$GQ$19,MATCH(137,$B$29:$GQ$29,0))</f>
        <v/>
      </c>
      <c r="EI5">
        <f>INDEX($B$19:$GQ$19,MATCH(138,$B$29:$GQ$29,0))</f>
        <v/>
      </c>
      <c r="EJ5">
        <f>INDEX($B$19:$GQ$19,MATCH(139,$B$29:$GQ$29,0))</f>
        <v/>
      </c>
      <c r="EK5">
        <f>INDEX($B$19:$GQ$19,MATCH(140,$B$29:$GQ$29,0))</f>
        <v/>
      </c>
      <c r="EL5">
        <f>INDEX($B$19:$GQ$19,MATCH(141,$B$29:$GQ$29,0))</f>
        <v/>
      </c>
      <c r="EM5">
        <f>INDEX($B$19:$GQ$19,MATCH(142,$B$29:$GQ$29,0))</f>
        <v/>
      </c>
      <c r="EN5">
        <f>INDEX($B$19:$GQ$19,MATCH(143,$B$29:$GQ$29,0))</f>
        <v/>
      </c>
      <c r="EO5">
        <f>INDEX($B$19:$GQ$19,MATCH(144,$B$29:$GQ$29,0))</f>
        <v/>
      </c>
      <c r="EP5">
        <f>INDEX($B$19:$GQ$19,MATCH(145,$B$29:$GQ$29,0))</f>
        <v/>
      </c>
      <c r="EQ5">
        <f>INDEX($B$19:$GQ$19,MATCH(146,$B$29:$GQ$29,0))</f>
        <v/>
      </c>
      <c r="ER5">
        <f>INDEX($B$19:$GQ$19,MATCH(147,$B$29:$GQ$29,0))</f>
        <v/>
      </c>
      <c r="ES5">
        <f>INDEX($B$19:$GQ$19,MATCH(148,$B$29:$GQ$29,0))</f>
        <v/>
      </c>
      <c r="ET5">
        <f>INDEX($B$19:$GQ$19,MATCH(149,$B$29:$GQ$29,0))</f>
        <v/>
      </c>
      <c r="EU5">
        <f>INDEX($B$19:$GQ$19,MATCH(150,$B$29:$GQ$29,0))</f>
        <v/>
      </c>
      <c r="EV5">
        <f>INDEX($B$19:$GQ$19,MATCH(151,$B$29:$GQ$29,0))</f>
        <v/>
      </c>
      <c r="EW5">
        <f>INDEX($B$19:$GQ$19,MATCH(152,$B$29:$GQ$29,0))</f>
        <v/>
      </c>
      <c r="EX5">
        <f>INDEX($B$19:$GQ$19,MATCH(153,$B$29:$GQ$29,0))</f>
        <v/>
      </c>
      <c r="EY5">
        <f>INDEX($B$19:$GQ$19,MATCH(154,$B$29:$GQ$29,0))</f>
        <v/>
      </c>
      <c r="EZ5">
        <f>INDEX($B$19:$GQ$19,MATCH(155,$B$29:$GQ$29,0))</f>
        <v/>
      </c>
      <c r="FA5">
        <f>INDEX($B$19:$GQ$19,MATCH(156,$B$29:$GQ$29,0))</f>
        <v/>
      </c>
      <c r="FB5">
        <f>INDEX($B$19:$GQ$19,MATCH(157,$B$29:$GQ$29,0))</f>
        <v/>
      </c>
      <c r="FC5">
        <f>INDEX($B$19:$GQ$19,MATCH(158,$B$29:$GQ$29,0))</f>
        <v/>
      </c>
      <c r="FD5">
        <f>INDEX($B$19:$GQ$19,MATCH(159,$B$29:$GQ$29,0))</f>
        <v/>
      </c>
      <c r="FE5">
        <f>INDEX($B$19:$GQ$19,MATCH(160,$B$29:$GQ$29,0))</f>
        <v/>
      </c>
      <c r="FF5">
        <f>INDEX($B$19:$GQ$19,MATCH(161,$B$29:$GQ$29,0))</f>
        <v/>
      </c>
      <c r="FG5">
        <f>INDEX($B$19:$GQ$19,MATCH(162,$B$29:$GQ$29,0))</f>
        <v/>
      </c>
      <c r="FH5">
        <f>INDEX($B$19:$GQ$19,MATCH(163,$B$29:$GQ$29,0))</f>
        <v/>
      </c>
      <c r="FI5">
        <f>INDEX($B$19:$GQ$19,MATCH(164,$B$29:$GQ$29,0))</f>
        <v/>
      </c>
      <c r="FJ5">
        <f>INDEX($B$19:$GQ$19,MATCH(165,$B$29:$GQ$29,0))</f>
        <v/>
      </c>
      <c r="FK5">
        <f>INDEX($B$19:$GQ$19,MATCH(166,$B$29:$GQ$29,0))</f>
        <v/>
      </c>
      <c r="FL5">
        <f>INDEX($B$19:$GQ$19,MATCH(167,$B$29:$GQ$29,0))</f>
        <v/>
      </c>
      <c r="FM5">
        <f>INDEX($B$19:$GQ$19,MATCH(168,$B$29:$GQ$29,0))</f>
        <v/>
      </c>
      <c r="FN5">
        <f>INDEX($B$19:$GQ$19,MATCH(169,$B$29:$GQ$29,0))</f>
        <v/>
      </c>
      <c r="FO5">
        <f>INDEX($B$19:$GQ$19,MATCH(170,$B$29:$GQ$29,0))</f>
        <v/>
      </c>
      <c r="FP5">
        <f>INDEX($B$19:$GQ$19,MATCH(171,$B$29:$GQ$29,0))</f>
        <v/>
      </c>
      <c r="FQ5">
        <f>INDEX($B$19:$GQ$19,MATCH(172,$B$29:$GQ$29,0))</f>
        <v/>
      </c>
      <c r="FR5">
        <f>INDEX($B$19:$GQ$19,MATCH(173,$B$29:$GQ$29,0))</f>
        <v/>
      </c>
      <c r="FS5">
        <f>INDEX($B$19:$GQ$19,MATCH(174,$B$29:$GQ$29,0))</f>
        <v/>
      </c>
      <c r="FT5">
        <f>INDEX($B$19:$GQ$19,MATCH(175,$B$29:$GQ$29,0))</f>
        <v/>
      </c>
      <c r="FU5">
        <f>INDEX($B$19:$GQ$19,MATCH(176,$B$29:$GQ$29,0))</f>
        <v/>
      </c>
      <c r="FV5">
        <f>INDEX($B$19:$GQ$19,MATCH(177,$B$29:$GQ$29,0))</f>
        <v/>
      </c>
      <c r="FW5">
        <f>INDEX($B$19:$GQ$19,MATCH(178,$B$29:$GQ$29,0))</f>
        <v/>
      </c>
      <c r="FX5">
        <f>INDEX($B$19:$GQ$19,MATCH(179,$B$29:$GQ$29,0))</f>
        <v/>
      </c>
      <c r="FY5">
        <f>INDEX($B$19:$GQ$19,MATCH(180,$B$29:$GQ$29,0))</f>
        <v/>
      </c>
      <c r="FZ5">
        <f>INDEX($B$19:$GQ$19,MATCH(181,$B$29:$GQ$29,0))</f>
        <v/>
      </c>
      <c r="GA5">
        <f>INDEX($B$19:$GQ$19,MATCH(182,$B$29:$GQ$29,0))</f>
        <v/>
      </c>
      <c r="GB5">
        <f>INDEX($B$19:$GQ$19,MATCH(183,$B$29:$GQ$29,0))</f>
        <v/>
      </c>
      <c r="GC5">
        <f>INDEX($B$19:$GQ$19,MATCH(184,$B$29:$GQ$29,0))</f>
        <v/>
      </c>
      <c r="GD5">
        <f>INDEX($B$19:$GQ$19,MATCH(185,$B$29:$GQ$29,0))</f>
        <v/>
      </c>
      <c r="GE5">
        <f>INDEX($B$19:$GQ$19,MATCH(186,$B$29:$GQ$29,0))</f>
        <v/>
      </c>
      <c r="GF5">
        <f>INDEX($B$19:$GQ$19,MATCH(187,$B$29:$GQ$29,0))</f>
        <v/>
      </c>
      <c r="GG5">
        <f>INDEX($B$19:$GQ$19,MATCH(188,$B$29:$GQ$29,0))</f>
        <v/>
      </c>
      <c r="GH5">
        <f>INDEX($B$19:$GQ$19,MATCH(189,$B$29:$GQ$29,0))</f>
        <v/>
      </c>
      <c r="GI5">
        <f>INDEX($B$19:$GQ$19,MATCH(190,$B$29:$GQ$29,0))</f>
        <v/>
      </c>
      <c r="GJ5">
        <f>INDEX($B$19:$GQ$19,MATCH(191,$B$29:$GQ$29,0))</f>
        <v/>
      </c>
      <c r="GK5">
        <f>INDEX($B$19:$GQ$19,MATCH(192,$B$29:$GQ$29,0))</f>
        <v/>
      </c>
      <c r="GL5">
        <f>INDEX($B$19:$GQ$19,MATCH(193,$B$29:$GQ$29,0))</f>
        <v/>
      </c>
      <c r="GM5">
        <f>INDEX($B$19:$GQ$19,MATCH(194,$B$29:$GQ$29,0))</f>
        <v/>
      </c>
      <c r="GN5">
        <f>INDEX($B$19:$GQ$19,MATCH(195,$B$29:$GQ$29,0))</f>
        <v/>
      </c>
      <c r="GO5">
        <f>INDEX($B$19:$GQ$19,MATCH(196,$B$29:$GQ$29,0))</f>
        <v/>
      </c>
      <c r="GP5">
        <f>INDEX($B$19:$GQ$19,MATCH(197,$B$29:$GQ$29,0))</f>
        <v/>
      </c>
      <c r="GQ5">
        <f>INDEX($B$19:$GQ$19,MATCH(198,$B$29:$GQ$29,0))</f>
        <v/>
      </c>
      <c r="GR5">
        <f>INDEX($GR$19:$HC$19,MATCH(1,$GR$30:$HC$30,0))</f>
        <v/>
      </c>
      <c r="GS5">
        <f>INDEX($GR$19:$HC$19,MATCH(2,$GR$30:$HC$30,0))</f>
        <v/>
      </c>
      <c r="GT5">
        <f>INDEX($GR$19:$HC$19,MATCH(3,$GR$30:$HC$30,0))</f>
        <v/>
      </c>
      <c r="GU5">
        <f>INDEX($GR$19:$HC$19,MATCH(4,$GR$30:$HC$30,0))</f>
        <v/>
      </c>
      <c r="GV5">
        <f>INDEX($GR$19:$HC$19,MATCH(5,$GR$30:$HC$30,0))</f>
        <v/>
      </c>
      <c r="GW5">
        <f>INDEX($GR$19:$HC$19,MATCH(6,$GR$30:$HC$30,0))</f>
        <v/>
      </c>
      <c r="GX5">
        <f>INDEX($GR$19:$HC$19,MATCH(7,$GR$30:$HC$30,0))</f>
        <v/>
      </c>
      <c r="GY5">
        <f>INDEX($GR$19:$HC$19,MATCH(8,$GR$30:$HC$30,0))</f>
        <v/>
      </c>
      <c r="GZ5">
        <f>INDEX($GR$19:$HC$19,MATCH(9,$GR$30:$HC$30,0))</f>
        <v/>
      </c>
      <c r="HA5">
        <f>INDEX($GR$19:$HC$19,MATCH(10,$GR$30:$HC$30,0))</f>
        <v/>
      </c>
      <c r="HB5">
        <f>INDEX($GR$19:$HC$19,MATCH(11,$GR$30:$HC$30,0))</f>
        <v/>
      </c>
      <c r="HC5">
        <f>INDEX($GR$19:$HC$19,MATCH(12,$GR$30:$HC$30,0))</f>
        <v/>
      </c>
    </row>
    <row r="6">
      <c r="A6" s="1" t="inlineStr">
        <is>
          <t>M_row</t>
        </is>
      </c>
      <c r="B6">
        <f>INDEX($B$20:$GQ$20,MATCH(1,$B$29:$GQ$29,0))</f>
        <v/>
      </c>
      <c r="C6">
        <f>INDEX($B$20:$GQ$20,MATCH(2,$B$29:$GQ$29,0))</f>
        <v/>
      </c>
      <c r="D6">
        <f>INDEX($B$20:$GQ$20,MATCH(3,$B$29:$GQ$29,0))</f>
        <v/>
      </c>
      <c r="E6">
        <f>INDEX($B$20:$GQ$20,MATCH(4,$B$29:$GQ$29,0))</f>
        <v/>
      </c>
      <c r="F6">
        <f>INDEX($B$20:$GQ$20,MATCH(5,$B$29:$GQ$29,0))</f>
        <v/>
      </c>
      <c r="G6">
        <f>INDEX($B$20:$GQ$20,MATCH(6,$B$29:$GQ$29,0))</f>
        <v/>
      </c>
      <c r="H6">
        <f>INDEX($B$20:$GQ$20,MATCH(7,$B$29:$GQ$29,0))</f>
        <v/>
      </c>
      <c r="I6">
        <f>INDEX($B$20:$GQ$20,MATCH(8,$B$29:$GQ$29,0))</f>
        <v/>
      </c>
      <c r="J6">
        <f>INDEX($B$20:$GQ$20,MATCH(9,$B$29:$GQ$29,0))</f>
        <v/>
      </c>
      <c r="K6">
        <f>INDEX($B$20:$GQ$20,MATCH(10,$B$29:$GQ$29,0))</f>
        <v/>
      </c>
      <c r="L6">
        <f>INDEX($B$20:$GQ$20,MATCH(11,$B$29:$GQ$29,0))</f>
        <v/>
      </c>
      <c r="M6">
        <f>INDEX($B$20:$GQ$20,MATCH(12,$B$29:$GQ$29,0))</f>
        <v/>
      </c>
      <c r="N6">
        <f>INDEX($B$20:$GQ$20,MATCH(13,$B$29:$GQ$29,0))</f>
        <v/>
      </c>
      <c r="O6">
        <f>INDEX($B$20:$GQ$20,MATCH(14,$B$29:$GQ$29,0))</f>
        <v/>
      </c>
      <c r="P6">
        <f>INDEX($B$20:$GQ$20,MATCH(15,$B$29:$GQ$29,0))</f>
        <v/>
      </c>
      <c r="Q6">
        <f>INDEX($B$20:$GQ$20,MATCH(16,$B$29:$GQ$29,0))</f>
        <v/>
      </c>
      <c r="R6">
        <f>INDEX($B$20:$GQ$20,MATCH(17,$B$29:$GQ$29,0))</f>
        <v/>
      </c>
      <c r="S6">
        <f>INDEX($B$20:$GQ$20,MATCH(18,$B$29:$GQ$29,0))</f>
        <v/>
      </c>
      <c r="T6">
        <f>INDEX($B$20:$GQ$20,MATCH(19,$B$29:$GQ$29,0))</f>
        <v/>
      </c>
      <c r="U6">
        <f>INDEX($B$20:$GQ$20,MATCH(20,$B$29:$GQ$29,0))</f>
        <v/>
      </c>
      <c r="V6">
        <f>INDEX($B$20:$GQ$20,MATCH(21,$B$29:$GQ$29,0))</f>
        <v/>
      </c>
      <c r="W6">
        <f>INDEX($B$20:$GQ$20,MATCH(22,$B$29:$GQ$29,0))</f>
        <v/>
      </c>
      <c r="X6">
        <f>INDEX($B$20:$GQ$20,MATCH(23,$B$29:$GQ$29,0))</f>
        <v/>
      </c>
      <c r="Y6">
        <f>INDEX($B$20:$GQ$20,MATCH(24,$B$29:$GQ$29,0))</f>
        <v/>
      </c>
      <c r="Z6">
        <f>INDEX($B$20:$GQ$20,MATCH(25,$B$29:$GQ$29,0))</f>
        <v/>
      </c>
      <c r="AA6">
        <f>INDEX($B$20:$GQ$20,MATCH(26,$B$29:$GQ$29,0))</f>
        <v/>
      </c>
      <c r="AB6">
        <f>INDEX($B$20:$GQ$20,MATCH(27,$B$29:$GQ$29,0))</f>
        <v/>
      </c>
      <c r="AC6">
        <f>INDEX($B$20:$GQ$20,MATCH(28,$B$29:$GQ$29,0))</f>
        <v/>
      </c>
      <c r="AD6">
        <f>INDEX($B$20:$GQ$20,MATCH(29,$B$29:$GQ$29,0))</f>
        <v/>
      </c>
      <c r="AE6">
        <f>INDEX($B$20:$GQ$20,MATCH(30,$B$29:$GQ$29,0))</f>
        <v/>
      </c>
      <c r="AF6">
        <f>INDEX($B$20:$GQ$20,MATCH(31,$B$29:$GQ$29,0))</f>
        <v/>
      </c>
      <c r="AG6">
        <f>INDEX($B$20:$GQ$20,MATCH(32,$B$29:$GQ$29,0))</f>
        <v/>
      </c>
      <c r="AH6">
        <f>INDEX($B$20:$GQ$20,MATCH(33,$B$29:$GQ$29,0))</f>
        <v/>
      </c>
      <c r="AI6">
        <f>INDEX($B$20:$GQ$20,MATCH(34,$B$29:$GQ$29,0))</f>
        <v/>
      </c>
      <c r="AJ6">
        <f>INDEX($B$20:$GQ$20,MATCH(35,$B$29:$GQ$29,0))</f>
        <v/>
      </c>
      <c r="AK6">
        <f>INDEX($B$20:$GQ$20,MATCH(36,$B$29:$GQ$29,0))</f>
        <v/>
      </c>
      <c r="AL6">
        <f>INDEX($B$20:$GQ$20,MATCH(37,$B$29:$GQ$29,0))</f>
        <v/>
      </c>
      <c r="AM6">
        <f>INDEX($B$20:$GQ$20,MATCH(38,$B$29:$GQ$29,0))</f>
        <v/>
      </c>
      <c r="AN6">
        <f>INDEX($B$20:$GQ$20,MATCH(39,$B$29:$GQ$29,0))</f>
        <v/>
      </c>
      <c r="AO6">
        <f>INDEX($B$20:$GQ$20,MATCH(40,$B$29:$GQ$29,0))</f>
        <v/>
      </c>
      <c r="AP6">
        <f>INDEX($B$20:$GQ$20,MATCH(41,$B$29:$GQ$29,0))</f>
        <v/>
      </c>
      <c r="AQ6">
        <f>INDEX($B$20:$GQ$20,MATCH(42,$B$29:$GQ$29,0))</f>
        <v/>
      </c>
      <c r="AR6">
        <f>INDEX($B$20:$GQ$20,MATCH(43,$B$29:$GQ$29,0))</f>
        <v/>
      </c>
      <c r="AS6">
        <f>INDEX($B$20:$GQ$20,MATCH(44,$B$29:$GQ$29,0))</f>
        <v/>
      </c>
      <c r="AT6">
        <f>INDEX($B$20:$GQ$20,MATCH(45,$B$29:$GQ$29,0))</f>
        <v/>
      </c>
      <c r="AU6">
        <f>INDEX($B$20:$GQ$20,MATCH(46,$B$29:$GQ$29,0))</f>
        <v/>
      </c>
      <c r="AV6">
        <f>INDEX($B$20:$GQ$20,MATCH(47,$B$29:$GQ$29,0))</f>
        <v/>
      </c>
      <c r="AW6">
        <f>INDEX($B$20:$GQ$20,MATCH(48,$B$29:$GQ$29,0))</f>
        <v/>
      </c>
      <c r="AX6">
        <f>INDEX($B$20:$GQ$20,MATCH(49,$B$29:$GQ$29,0))</f>
        <v/>
      </c>
      <c r="AY6">
        <f>INDEX($B$20:$GQ$20,MATCH(50,$B$29:$GQ$29,0))</f>
        <v/>
      </c>
      <c r="AZ6">
        <f>INDEX($B$20:$GQ$20,MATCH(51,$B$29:$GQ$29,0))</f>
        <v/>
      </c>
      <c r="BA6">
        <f>INDEX($B$20:$GQ$20,MATCH(52,$B$29:$GQ$29,0))</f>
        <v/>
      </c>
      <c r="BB6">
        <f>INDEX($B$20:$GQ$20,MATCH(53,$B$29:$GQ$29,0))</f>
        <v/>
      </c>
      <c r="BC6">
        <f>INDEX($B$20:$GQ$20,MATCH(54,$B$29:$GQ$29,0))</f>
        <v/>
      </c>
      <c r="BD6">
        <f>INDEX($B$20:$GQ$20,MATCH(55,$B$29:$GQ$29,0))</f>
        <v/>
      </c>
      <c r="BE6">
        <f>INDEX($B$20:$GQ$20,MATCH(56,$B$29:$GQ$29,0))</f>
        <v/>
      </c>
      <c r="BF6">
        <f>INDEX($B$20:$GQ$20,MATCH(57,$B$29:$GQ$29,0))</f>
        <v/>
      </c>
      <c r="BG6">
        <f>INDEX($B$20:$GQ$20,MATCH(58,$B$29:$GQ$29,0))</f>
        <v/>
      </c>
      <c r="BH6">
        <f>INDEX($B$20:$GQ$20,MATCH(59,$B$29:$GQ$29,0))</f>
        <v/>
      </c>
      <c r="BI6">
        <f>INDEX($B$20:$GQ$20,MATCH(60,$B$29:$GQ$29,0))</f>
        <v/>
      </c>
      <c r="BJ6">
        <f>INDEX($B$20:$GQ$20,MATCH(61,$B$29:$GQ$29,0))</f>
        <v/>
      </c>
      <c r="BK6">
        <f>INDEX($B$20:$GQ$20,MATCH(62,$B$29:$GQ$29,0))</f>
        <v/>
      </c>
      <c r="BL6">
        <f>INDEX($B$20:$GQ$20,MATCH(63,$B$29:$GQ$29,0))</f>
        <v/>
      </c>
      <c r="BM6">
        <f>INDEX($B$20:$GQ$20,MATCH(64,$B$29:$GQ$29,0))</f>
        <v/>
      </c>
      <c r="BN6">
        <f>INDEX($B$20:$GQ$20,MATCH(65,$B$29:$GQ$29,0))</f>
        <v/>
      </c>
      <c r="BO6">
        <f>INDEX($B$20:$GQ$20,MATCH(66,$B$29:$GQ$29,0))</f>
        <v/>
      </c>
      <c r="BP6">
        <f>INDEX($B$20:$GQ$20,MATCH(67,$B$29:$GQ$29,0))</f>
        <v/>
      </c>
      <c r="BQ6">
        <f>INDEX($B$20:$GQ$20,MATCH(68,$B$29:$GQ$29,0))</f>
        <v/>
      </c>
      <c r="BR6">
        <f>INDEX($B$20:$GQ$20,MATCH(69,$B$29:$GQ$29,0))</f>
        <v/>
      </c>
      <c r="BS6">
        <f>INDEX($B$20:$GQ$20,MATCH(70,$B$29:$GQ$29,0))</f>
        <v/>
      </c>
      <c r="BT6">
        <f>INDEX($B$20:$GQ$20,MATCH(71,$B$29:$GQ$29,0))</f>
        <v/>
      </c>
      <c r="BU6">
        <f>INDEX($B$20:$GQ$20,MATCH(72,$B$29:$GQ$29,0))</f>
        <v/>
      </c>
      <c r="BV6">
        <f>INDEX($B$20:$GQ$20,MATCH(73,$B$29:$GQ$29,0))</f>
        <v/>
      </c>
      <c r="BW6">
        <f>INDEX($B$20:$GQ$20,MATCH(74,$B$29:$GQ$29,0))</f>
        <v/>
      </c>
      <c r="BX6">
        <f>INDEX($B$20:$GQ$20,MATCH(75,$B$29:$GQ$29,0))</f>
        <v/>
      </c>
      <c r="BY6">
        <f>INDEX($B$20:$GQ$20,MATCH(76,$B$29:$GQ$29,0))</f>
        <v/>
      </c>
      <c r="BZ6">
        <f>INDEX($B$20:$GQ$20,MATCH(77,$B$29:$GQ$29,0))</f>
        <v/>
      </c>
      <c r="CA6">
        <f>INDEX($B$20:$GQ$20,MATCH(78,$B$29:$GQ$29,0))</f>
        <v/>
      </c>
      <c r="CB6">
        <f>INDEX($B$20:$GQ$20,MATCH(79,$B$29:$GQ$29,0))</f>
        <v/>
      </c>
      <c r="CC6">
        <f>INDEX($B$20:$GQ$20,MATCH(80,$B$29:$GQ$29,0))</f>
        <v/>
      </c>
      <c r="CD6">
        <f>INDEX($B$20:$GQ$20,MATCH(81,$B$29:$GQ$29,0))</f>
        <v/>
      </c>
      <c r="CE6">
        <f>INDEX($B$20:$GQ$20,MATCH(82,$B$29:$GQ$29,0))</f>
        <v/>
      </c>
      <c r="CF6">
        <f>INDEX($B$20:$GQ$20,MATCH(83,$B$29:$GQ$29,0))</f>
        <v/>
      </c>
      <c r="CG6">
        <f>INDEX($B$20:$GQ$20,MATCH(84,$B$29:$GQ$29,0))</f>
        <v/>
      </c>
      <c r="CH6">
        <f>INDEX($B$20:$GQ$20,MATCH(85,$B$29:$GQ$29,0))</f>
        <v/>
      </c>
      <c r="CI6">
        <f>INDEX($B$20:$GQ$20,MATCH(86,$B$29:$GQ$29,0))</f>
        <v/>
      </c>
      <c r="CJ6">
        <f>INDEX($B$20:$GQ$20,MATCH(87,$B$29:$GQ$29,0))</f>
        <v/>
      </c>
      <c r="CK6">
        <f>INDEX($B$20:$GQ$20,MATCH(88,$B$29:$GQ$29,0))</f>
        <v/>
      </c>
      <c r="CL6">
        <f>INDEX($B$20:$GQ$20,MATCH(89,$B$29:$GQ$29,0))</f>
        <v/>
      </c>
      <c r="CM6">
        <f>INDEX($B$20:$GQ$20,MATCH(90,$B$29:$GQ$29,0))</f>
        <v/>
      </c>
      <c r="CN6">
        <f>INDEX($B$20:$GQ$20,MATCH(91,$B$29:$GQ$29,0))</f>
        <v/>
      </c>
      <c r="CO6">
        <f>INDEX($B$20:$GQ$20,MATCH(92,$B$29:$GQ$29,0))</f>
        <v/>
      </c>
      <c r="CP6">
        <f>INDEX($B$20:$GQ$20,MATCH(93,$B$29:$GQ$29,0))</f>
        <v/>
      </c>
      <c r="CQ6">
        <f>INDEX($B$20:$GQ$20,MATCH(94,$B$29:$GQ$29,0))</f>
        <v/>
      </c>
      <c r="CR6">
        <f>INDEX($B$20:$GQ$20,MATCH(95,$B$29:$GQ$29,0))</f>
        <v/>
      </c>
      <c r="CS6">
        <f>INDEX($B$20:$GQ$20,MATCH(96,$B$29:$GQ$29,0))</f>
        <v/>
      </c>
      <c r="CT6">
        <f>INDEX($B$20:$GQ$20,MATCH(97,$B$29:$GQ$29,0))</f>
        <v/>
      </c>
      <c r="CU6">
        <f>INDEX($B$20:$GQ$20,MATCH(98,$B$29:$GQ$29,0))</f>
        <v/>
      </c>
      <c r="CV6">
        <f>INDEX($B$20:$GQ$20,MATCH(99,$B$29:$GQ$29,0))</f>
        <v/>
      </c>
      <c r="CW6">
        <f>INDEX($B$20:$GQ$20,MATCH(100,$B$29:$GQ$29,0))</f>
        <v/>
      </c>
      <c r="CX6">
        <f>INDEX($B$20:$GQ$20,MATCH(101,$B$29:$GQ$29,0))</f>
        <v/>
      </c>
      <c r="CY6">
        <f>INDEX($B$20:$GQ$20,MATCH(102,$B$29:$GQ$29,0))</f>
        <v/>
      </c>
      <c r="CZ6">
        <f>INDEX($B$20:$GQ$20,MATCH(103,$B$29:$GQ$29,0))</f>
        <v/>
      </c>
      <c r="DA6">
        <f>INDEX($B$20:$GQ$20,MATCH(104,$B$29:$GQ$29,0))</f>
        <v/>
      </c>
      <c r="DB6">
        <f>INDEX($B$20:$GQ$20,MATCH(105,$B$29:$GQ$29,0))</f>
        <v/>
      </c>
      <c r="DC6">
        <f>INDEX($B$20:$GQ$20,MATCH(106,$B$29:$GQ$29,0))</f>
        <v/>
      </c>
      <c r="DD6">
        <f>INDEX($B$20:$GQ$20,MATCH(107,$B$29:$GQ$29,0))</f>
        <v/>
      </c>
      <c r="DE6">
        <f>INDEX($B$20:$GQ$20,MATCH(108,$B$29:$GQ$29,0))</f>
        <v/>
      </c>
      <c r="DF6">
        <f>INDEX($B$20:$GQ$20,MATCH(109,$B$29:$GQ$29,0))</f>
        <v/>
      </c>
      <c r="DG6">
        <f>INDEX($B$20:$GQ$20,MATCH(110,$B$29:$GQ$29,0))</f>
        <v/>
      </c>
      <c r="DH6">
        <f>INDEX($B$20:$GQ$20,MATCH(111,$B$29:$GQ$29,0))</f>
        <v/>
      </c>
      <c r="DI6">
        <f>INDEX($B$20:$GQ$20,MATCH(112,$B$29:$GQ$29,0))</f>
        <v/>
      </c>
      <c r="DJ6">
        <f>INDEX($B$20:$GQ$20,MATCH(113,$B$29:$GQ$29,0))</f>
        <v/>
      </c>
      <c r="DK6">
        <f>INDEX($B$20:$GQ$20,MATCH(114,$B$29:$GQ$29,0))</f>
        <v/>
      </c>
      <c r="DL6">
        <f>INDEX($B$20:$GQ$20,MATCH(115,$B$29:$GQ$29,0))</f>
        <v/>
      </c>
      <c r="DM6">
        <f>INDEX($B$20:$GQ$20,MATCH(116,$B$29:$GQ$29,0))</f>
        <v/>
      </c>
      <c r="DN6">
        <f>INDEX($B$20:$GQ$20,MATCH(117,$B$29:$GQ$29,0))</f>
        <v/>
      </c>
      <c r="DO6">
        <f>INDEX($B$20:$GQ$20,MATCH(118,$B$29:$GQ$29,0))</f>
        <v/>
      </c>
      <c r="DP6">
        <f>INDEX($B$20:$GQ$20,MATCH(119,$B$29:$GQ$29,0))</f>
        <v/>
      </c>
      <c r="DQ6">
        <f>INDEX($B$20:$GQ$20,MATCH(120,$B$29:$GQ$29,0))</f>
        <v/>
      </c>
      <c r="DR6">
        <f>INDEX($B$20:$GQ$20,MATCH(121,$B$29:$GQ$29,0))</f>
        <v/>
      </c>
      <c r="DS6">
        <f>INDEX($B$20:$GQ$20,MATCH(122,$B$29:$GQ$29,0))</f>
        <v/>
      </c>
      <c r="DT6">
        <f>INDEX($B$20:$GQ$20,MATCH(123,$B$29:$GQ$29,0))</f>
        <v/>
      </c>
      <c r="DU6">
        <f>INDEX($B$20:$GQ$20,MATCH(124,$B$29:$GQ$29,0))</f>
        <v/>
      </c>
      <c r="DV6">
        <f>INDEX($B$20:$GQ$20,MATCH(125,$B$29:$GQ$29,0))</f>
        <v/>
      </c>
      <c r="DW6">
        <f>INDEX($B$20:$GQ$20,MATCH(126,$B$29:$GQ$29,0))</f>
        <v/>
      </c>
      <c r="DX6">
        <f>INDEX($B$20:$GQ$20,MATCH(127,$B$29:$GQ$29,0))</f>
        <v/>
      </c>
      <c r="DY6">
        <f>INDEX($B$20:$GQ$20,MATCH(128,$B$29:$GQ$29,0))</f>
        <v/>
      </c>
      <c r="DZ6">
        <f>INDEX($B$20:$GQ$20,MATCH(129,$B$29:$GQ$29,0))</f>
        <v/>
      </c>
      <c r="EA6">
        <f>INDEX($B$20:$GQ$20,MATCH(130,$B$29:$GQ$29,0))</f>
        <v/>
      </c>
      <c r="EB6">
        <f>INDEX($B$20:$GQ$20,MATCH(131,$B$29:$GQ$29,0))</f>
        <v/>
      </c>
      <c r="EC6">
        <f>INDEX($B$20:$GQ$20,MATCH(132,$B$29:$GQ$29,0))</f>
        <v/>
      </c>
      <c r="ED6">
        <f>INDEX($B$20:$GQ$20,MATCH(133,$B$29:$GQ$29,0))</f>
        <v/>
      </c>
      <c r="EE6">
        <f>INDEX($B$20:$GQ$20,MATCH(134,$B$29:$GQ$29,0))</f>
        <v/>
      </c>
      <c r="EF6">
        <f>INDEX($B$20:$GQ$20,MATCH(135,$B$29:$GQ$29,0))</f>
        <v/>
      </c>
      <c r="EG6">
        <f>INDEX($B$20:$GQ$20,MATCH(136,$B$29:$GQ$29,0))</f>
        <v/>
      </c>
      <c r="EH6">
        <f>INDEX($B$20:$GQ$20,MATCH(137,$B$29:$GQ$29,0))</f>
        <v/>
      </c>
      <c r="EI6">
        <f>INDEX($B$20:$GQ$20,MATCH(138,$B$29:$GQ$29,0))</f>
        <v/>
      </c>
      <c r="EJ6">
        <f>INDEX($B$20:$GQ$20,MATCH(139,$B$29:$GQ$29,0))</f>
        <v/>
      </c>
      <c r="EK6">
        <f>INDEX($B$20:$GQ$20,MATCH(140,$B$29:$GQ$29,0))</f>
        <v/>
      </c>
      <c r="EL6">
        <f>INDEX($B$20:$GQ$20,MATCH(141,$B$29:$GQ$29,0))</f>
        <v/>
      </c>
      <c r="EM6">
        <f>INDEX($B$20:$GQ$20,MATCH(142,$B$29:$GQ$29,0))</f>
        <v/>
      </c>
      <c r="EN6">
        <f>INDEX($B$20:$GQ$20,MATCH(143,$B$29:$GQ$29,0))</f>
        <v/>
      </c>
      <c r="EO6">
        <f>INDEX($B$20:$GQ$20,MATCH(144,$B$29:$GQ$29,0))</f>
        <v/>
      </c>
      <c r="EP6">
        <f>INDEX($B$20:$GQ$20,MATCH(145,$B$29:$GQ$29,0))</f>
        <v/>
      </c>
      <c r="EQ6">
        <f>INDEX($B$20:$GQ$20,MATCH(146,$B$29:$GQ$29,0))</f>
        <v/>
      </c>
      <c r="ER6">
        <f>INDEX($B$20:$GQ$20,MATCH(147,$B$29:$GQ$29,0))</f>
        <v/>
      </c>
      <c r="ES6">
        <f>INDEX($B$20:$GQ$20,MATCH(148,$B$29:$GQ$29,0))</f>
        <v/>
      </c>
      <c r="ET6">
        <f>INDEX($B$20:$GQ$20,MATCH(149,$B$29:$GQ$29,0))</f>
        <v/>
      </c>
      <c r="EU6">
        <f>INDEX($B$20:$GQ$20,MATCH(150,$B$29:$GQ$29,0))</f>
        <v/>
      </c>
      <c r="EV6">
        <f>INDEX($B$20:$GQ$20,MATCH(151,$B$29:$GQ$29,0))</f>
        <v/>
      </c>
      <c r="EW6">
        <f>INDEX($B$20:$GQ$20,MATCH(152,$B$29:$GQ$29,0))</f>
        <v/>
      </c>
      <c r="EX6">
        <f>INDEX($B$20:$GQ$20,MATCH(153,$B$29:$GQ$29,0))</f>
        <v/>
      </c>
      <c r="EY6">
        <f>INDEX($B$20:$GQ$20,MATCH(154,$B$29:$GQ$29,0))</f>
        <v/>
      </c>
      <c r="EZ6">
        <f>INDEX($B$20:$GQ$20,MATCH(155,$B$29:$GQ$29,0))</f>
        <v/>
      </c>
      <c r="FA6">
        <f>INDEX($B$20:$GQ$20,MATCH(156,$B$29:$GQ$29,0))</f>
        <v/>
      </c>
      <c r="FB6">
        <f>INDEX($B$20:$GQ$20,MATCH(157,$B$29:$GQ$29,0))</f>
        <v/>
      </c>
      <c r="FC6">
        <f>INDEX($B$20:$GQ$20,MATCH(158,$B$29:$GQ$29,0))</f>
        <v/>
      </c>
      <c r="FD6">
        <f>INDEX($B$20:$GQ$20,MATCH(159,$B$29:$GQ$29,0))</f>
        <v/>
      </c>
      <c r="FE6">
        <f>INDEX($B$20:$GQ$20,MATCH(160,$B$29:$GQ$29,0))</f>
        <v/>
      </c>
      <c r="FF6">
        <f>INDEX($B$20:$GQ$20,MATCH(161,$B$29:$GQ$29,0))</f>
        <v/>
      </c>
      <c r="FG6">
        <f>INDEX($B$20:$GQ$20,MATCH(162,$B$29:$GQ$29,0))</f>
        <v/>
      </c>
      <c r="FH6">
        <f>INDEX($B$20:$GQ$20,MATCH(163,$B$29:$GQ$29,0))</f>
        <v/>
      </c>
      <c r="FI6">
        <f>INDEX($B$20:$GQ$20,MATCH(164,$B$29:$GQ$29,0))</f>
        <v/>
      </c>
      <c r="FJ6">
        <f>INDEX($B$20:$GQ$20,MATCH(165,$B$29:$GQ$29,0))</f>
        <v/>
      </c>
      <c r="FK6">
        <f>INDEX($B$20:$GQ$20,MATCH(166,$B$29:$GQ$29,0))</f>
        <v/>
      </c>
      <c r="FL6">
        <f>INDEX($B$20:$GQ$20,MATCH(167,$B$29:$GQ$29,0))</f>
        <v/>
      </c>
      <c r="FM6">
        <f>INDEX($B$20:$GQ$20,MATCH(168,$B$29:$GQ$29,0))</f>
        <v/>
      </c>
      <c r="FN6">
        <f>INDEX($B$20:$GQ$20,MATCH(169,$B$29:$GQ$29,0))</f>
        <v/>
      </c>
      <c r="FO6">
        <f>INDEX($B$20:$GQ$20,MATCH(170,$B$29:$GQ$29,0))</f>
        <v/>
      </c>
      <c r="FP6">
        <f>INDEX($B$20:$GQ$20,MATCH(171,$B$29:$GQ$29,0))</f>
        <v/>
      </c>
      <c r="FQ6">
        <f>INDEX($B$20:$GQ$20,MATCH(172,$B$29:$GQ$29,0))</f>
        <v/>
      </c>
      <c r="FR6">
        <f>INDEX($B$20:$GQ$20,MATCH(173,$B$29:$GQ$29,0))</f>
        <v/>
      </c>
      <c r="FS6">
        <f>INDEX($B$20:$GQ$20,MATCH(174,$B$29:$GQ$29,0))</f>
        <v/>
      </c>
      <c r="FT6">
        <f>INDEX($B$20:$GQ$20,MATCH(175,$B$29:$GQ$29,0))</f>
        <v/>
      </c>
      <c r="FU6">
        <f>INDEX($B$20:$GQ$20,MATCH(176,$B$29:$GQ$29,0))</f>
        <v/>
      </c>
      <c r="FV6">
        <f>INDEX($B$20:$GQ$20,MATCH(177,$B$29:$GQ$29,0))</f>
        <v/>
      </c>
      <c r="FW6">
        <f>INDEX($B$20:$GQ$20,MATCH(178,$B$29:$GQ$29,0))</f>
        <v/>
      </c>
      <c r="FX6">
        <f>INDEX($B$20:$GQ$20,MATCH(179,$B$29:$GQ$29,0))</f>
        <v/>
      </c>
      <c r="FY6">
        <f>INDEX($B$20:$GQ$20,MATCH(180,$B$29:$GQ$29,0))</f>
        <v/>
      </c>
      <c r="FZ6">
        <f>INDEX($B$20:$GQ$20,MATCH(181,$B$29:$GQ$29,0))</f>
        <v/>
      </c>
      <c r="GA6">
        <f>INDEX($B$20:$GQ$20,MATCH(182,$B$29:$GQ$29,0))</f>
        <v/>
      </c>
      <c r="GB6">
        <f>INDEX($B$20:$GQ$20,MATCH(183,$B$29:$GQ$29,0))</f>
        <v/>
      </c>
      <c r="GC6">
        <f>INDEX($B$20:$GQ$20,MATCH(184,$B$29:$GQ$29,0))</f>
        <v/>
      </c>
      <c r="GD6">
        <f>INDEX($B$20:$GQ$20,MATCH(185,$B$29:$GQ$29,0))</f>
        <v/>
      </c>
      <c r="GE6">
        <f>INDEX($B$20:$GQ$20,MATCH(186,$B$29:$GQ$29,0))</f>
        <v/>
      </c>
      <c r="GF6">
        <f>INDEX($B$20:$GQ$20,MATCH(187,$B$29:$GQ$29,0))</f>
        <v/>
      </c>
      <c r="GG6">
        <f>INDEX($B$20:$GQ$20,MATCH(188,$B$29:$GQ$29,0))</f>
        <v/>
      </c>
      <c r="GH6">
        <f>INDEX($B$20:$GQ$20,MATCH(189,$B$29:$GQ$29,0))</f>
        <v/>
      </c>
      <c r="GI6">
        <f>INDEX($B$20:$GQ$20,MATCH(190,$B$29:$GQ$29,0))</f>
        <v/>
      </c>
      <c r="GJ6">
        <f>INDEX($B$20:$GQ$20,MATCH(191,$B$29:$GQ$29,0))</f>
        <v/>
      </c>
      <c r="GK6">
        <f>INDEX($B$20:$GQ$20,MATCH(192,$B$29:$GQ$29,0))</f>
        <v/>
      </c>
      <c r="GL6">
        <f>INDEX($B$20:$GQ$20,MATCH(193,$B$29:$GQ$29,0))</f>
        <v/>
      </c>
      <c r="GM6">
        <f>INDEX($B$20:$GQ$20,MATCH(194,$B$29:$GQ$29,0))</f>
        <v/>
      </c>
      <c r="GN6">
        <f>INDEX($B$20:$GQ$20,MATCH(195,$B$29:$GQ$29,0))</f>
        <v/>
      </c>
      <c r="GO6">
        <f>INDEX($B$20:$GQ$20,MATCH(196,$B$29:$GQ$29,0))</f>
        <v/>
      </c>
      <c r="GP6">
        <f>INDEX($B$20:$GQ$20,MATCH(197,$B$29:$GQ$29,0))</f>
        <v/>
      </c>
      <c r="GQ6">
        <f>INDEX($B$20:$GQ$20,MATCH(198,$B$29:$GQ$29,0))</f>
        <v/>
      </c>
      <c r="GR6">
        <f>INDEX($GR$20:$HC$20,MATCH(1,$GR$30:$HC$30,0))</f>
        <v/>
      </c>
      <c r="GS6">
        <f>INDEX($GR$20:$HC$20,MATCH(2,$GR$30:$HC$30,0))</f>
        <v/>
      </c>
      <c r="GT6">
        <f>INDEX($GR$20:$HC$20,MATCH(3,$GR$30:$HC$30,0))</f>
        <v/>
      </c>
      <c r="GU6">
        <f>INDEX($GR$20:$HC$20,MATCH(4,$GR$30:$HC$30,0))</f>
        <v/>
      </c>
      <c r="GV6">
        <f>INDEX($GR$20:$HC$20,MATCH(5,$GR$30:$HC$30,0))</f>
        <v/>
      </c>
      <c r="GW6">
        <f>INDEX($GR$20:$HC$20,MATCH(6,$GR$30:$HC$30,0))</f>
        <v/>
      </c>
      <c r="GX6">
        <f>INDEX($GR$20:$HC$20,MATCH(7,$GR$30:$HC$30,0))</f>
        <v/>
      </c>
      <c r="GY6">
        <f>INDEX($GR$20:$HC$20,MATCH(8,$GR$30:$HC$30,0))</f>
        <v/>
      </c>
      <c r="GZ6">
        <f>INDEX($GR$20:$HC$20,MATCH(9,$GR$30:$HC$30,0))</f>
        <v/>
      </c>
      <c r="HA6">
        <f>INDEX($GR$20:$HC$20,MATCH(10,$GR$30:$HC$30,0))</f>
        <v/>
      </c>
      <c r="HB6">
        <f>INDEX($GR$20:$HC$20,MATCH(11,$GR$30:$HC$30,0))</f>
        <v/>
      </c>
      <c r="HC6">
        <f>INDEX($GR$20:$HC$20,MATCH(12,$GR$30:$HC$30,0))</f>
        <v/>
      </c>
    </row>
    <row r="7">
      <c r="A7" s="1" t="inlineStr">
        <is>
          <t>Y_imp</t>
        </is>
      </c>
      <c r="B7">
        <f>INDEX($B$21:$GQ$21,MATCH(1,$B$29:$GQ$29,0))</f>
        <v/>
      </c>
      <c r="C7">
        <f>INDEX($B$21:$GQ$21,MATCH(2,$B$29:$GQ$29,0))</f>
        <v/>
      </c>
      <c r="D7">
        <f>INDEX($B$21:$GQ$21,MATCH(3,$B$29:$GQ$29,0))</f>
        <v/>
      </c>
      <c r="E7">
        <f>INDEX($B$21:$GQ$21,MATCH(4,$B$29:$GQ$29,0))</f>
        <v/>
      </c>
      <c r="F7">
        <f>INDEX($B$21:$GQ$21,MATCH(5,$B$29:$GQ$29,0))</f>
        <v/>
      </c>
      <c r="G7">
        <f>INDEX($B$21:$GQ$21,MATCH(6,$B$29:$GQ$29,0))</f>
        <v/>
      </c>
      <c r="H7">
        <f>INDEX($B$21:$GQ$21,MATCH(7,$B$29:$GQ$29,0))</f>
        <v/>
      </c>
      <c r="I7">
        <f>INDEX($B$21:$GQ$21,MATCH(8,$B$29:$GQ$29,0))</f>
        <v/>
      </c>
      <c r="J7">
        <f>INDEX($B$21:$GQ$21,MATCH(9,$B$29:$GQ$29,0))</f>
        <v/>
      </c>
      <c r="K7">
        <f>INDEX($B$21:$GQ$21,MATCH(10,$B$29:$GQ$29,0))</f>
        <v/>
      </c>
      <c r="L7">
        <f>INDEX($B$21:$GQ$21,MATCH(11,$B$29:$GQ$29,0))</f>
        <v/>
      </c>
      <c r="M7">
        <f>INDEX($B$21:$GQ$21,MATCH(12,$B$29:$GQ$29,0))</f>
        <v/>
      </c>
      <c r="N7">
        <f>INDEX($B$21:$GQ$21,MATCH(13,$B$29:$GQ$29,0))</f>
        <v/>
      </c>
      <c r="O7">
        <f>INDEX($B$21:$GQ$21,MATCH(14,$B$29:$GQ$29,0))</f>
        <v/>
      </c>
      <c r="P7">
        <f>INDEX($B$21:$GQ$21,MATCH(15,$B$29:$GQ$29,0))</f>
        <v/>
      </c>
      <c r="Q7">
        <f>INDEX($B$21:$GQ$21,MATCH(16,$B$29:$GQ$29,0))</f>
        <v/>
      </c>
      <c r="R7">
        <f>INDEX($B$21:$GQ$21,MATCH(17,$B$29:$GQ$29,0))</f>
        <v/>
      </c>
      <c r="S7">
        <f>INDEX($B$21:$GQ$21,MATCH(18,$B$29:$GQ$29,0))</f>
        <v/>
      </c>
      <c r="T7">
        <f>INDEX($B$21:$GQ$21,MATCH(19,$B$29:$GQ$29,0))</f>
        <v/>
      </c>
      <c r="U7">
        <f>INDEX($B$21:$GQ$21,MATCH(20,$B$29:$GQ$29,0))</f>
        <v/>
      </c>
      <c r="V7">
        <f>INDEX($B$21:$GQ$21,MATCH(21,$B$29:$GQ$29,0))</f>
        <v/>
      </c>
      <c r="W7">
        <f>INDEX($B$21:$GQ$21,MATCH(22,$B$29:$GQ$29,0))</f>
        <v/>
      </c>
      <c r="X7">
        <f>INDEX($B$21:$GQ$21,MATCH(23,$B$29:$GQ$29,0))</f>
        <v/>
      </c>
      <c r="Y7">
        <f>INDEX($B$21:$GQ$21,MATCH(24,$B$29:$GQ$29,0))</f>
        <v/>
      </c>
      <c r="Z7">
        <f>INDEX($B$21:$GQ$21,MATCH(25,$B$29:$GQ$29,0))</f>
        <v/>
      </c>
      <c r="AA7">
        <f>INDEX($B$21:$GQ$21,MATCH(26,$B$29:$GQ$29,0))</f>
        <v/>
      </c>
      <c r="AB7">
        <f>INDEX($B$21:$GQ$21,MATCH(27,$B$29:$GQ$29,0))</f>
        <v/>
      </c>
      <c r="AC7">
        <f>INDEX($B$21:$GQ$21,MATCH(28,$B$29:$GQ$29,0))</f>
        <v/>
      </c>
      <c r="AD7">
        <f>INDEX($B$21:$GQ$21,MATCH(29,$B$29:$GQ$29,0))</f>
        <v/>
      </c>
      <c r="AE7">
        <f>INDEX($B$21:$GQ$21,MATCH(30,$B$29:$GQ$29,0))</f>
        <v/>
      </c>
      <c r="AF7">
        <f>INDEX($B$21:$GQ$21,MATCH(31,$B$29:$GQ$29,0))</f>
        <v/>
      </c>
      <c r="AG7">
        <f>INDEX($B$21:$GQ$21,MATCH(32,$B$29:$GQ$29,0))</f>
        <v/>
      </c>
      <c r="AH7">
        <f>INDEX($B$21:$GQ$21,MATCH(33,$B$29:$GQ$29,0))</f>
        <v/>
      </c>
      <c r="AI7">
        <f>INDEX($B$21:$GQ$21,MATCH(34,$B$29:$GQ$29,0))</f>
        <v/>
      </c>
      <c r="AJ7">
        <f>INDEX($B$21:$GQ$21,MATCH(35,$B$29:$GQ$29,0))</f>
        <v/>
      </c>
      <c r="AK7">
        <f>INDEX($B$21:$GQ$21,MATCH(36,$B$29:$GQ$29,0))</f>
        <v/>
      </c>
      <c r="AL7">
        <f>INDEX($B$21:$GQ$21,MATCH(37,$B$29:$GQ$29,0))</f>
        <v/>
      </c>
      <c r="AM7">
        <f>INDEX($B$21:$GQ$21,MATCH(38,$B$29:$GQ$29,0))</f>
        <v/>
      </c>
      <c r="AN7">
        <f>INDEX($B$21:$GQ$21,MATCH(39,$B$29:$GQ$29,0))</f>
        <v/>
      </c>
      <c r="AO7">
        <f>INDEX($B$21:$GQ$21,MATCH(40,$B$29:$GQ$29,0))</f>
        <v/>
      </c>
      <c r="AP7">
        <f>INDEX($B$21:$GQ$21,MATCH(41,$B$29:$GQ$29,0))</f>
        <v/>
      </c>
      <c r="AQ7">
        <f>INDEX($B$21:$GQ$21,MATCH(42,$B$29:$GQ$29,0))</f>
        <v/>
      </c>
      <c r="AR7">
        <f>INDEX($B$21:$GQ$21,MATCH(43,$B$29:$GQ$29,0))</f>
        <v/>
      </c>
      <c r="AS7">
        <f>INDEX($B$21:$GQ$21,MATCH(44,$B$29:$GQ$29,0))</f>
        <v/>
      </c>
      <c r="AT7">
        <f>INDEX($B$21:$GQ$21,MATCH(45,$B$29:$GQ$29,0))</f>
        <v/>
      </c>
      <c r="AU7">
        <f>INDEX($B$21:$GQ$21,MATCH(46,$B$29:$GQ$29,0))</f>
        <v/>
      </c>
      <c r="AV7">
        <f>INDEX($B$21:$GQ$21,MATCH(47,$B$29:$GQ$29,0))</f>
        <v/>
      </c>
      <c r="AW7">
        <f>INDEX($B$21:$GQ$21,MATCH(48,$B$29:$GQ$29,0))</f>
        <v/>
      </c>
      <c r="AX7">
        <f>INDEX($B$21:$GQ$21,MATCH(49,$B$29:$GQ$29,0))</f>
        <v/>
      </c>
      <c r="AY7">
        <f>INDEX($B$21:$GQ$21,MATCH(50,$B$29:$GQ$29,0))</f>
        <v/>
      </c>
      <c r="AZ7">
        <f>INDEX($B$21:$GQ$21,MATCH(51,$B$29:$GQ$29,0))</f>
        <v/>
      </c>
      <c r="BA7">
        <f>INDEX($B$21:$GQ$21,MATCH(52,$B$29:$GQ$29,0))</f>
        <v/>
      </c>
      <c r="BB7">
        <f>INDEX($B$21:$GQ$21,MATCH(53,$B$29:$GQ$29,0))</f>
        <v/>
      </c>
      <c r="BC7">
        <f>INDEX($B$21:$GQ$21,MATCH(54,$B$29:$GQ$29,0))</f>
        <v/>
      </c>
      <c r="BD7">
        <f>INDEX($B$21:$GQ$21,MATCH(55,$B$29:$GQ$29,0))</f>
        <v/>
      </c>
      <c r="BE7">
        <f>INDEX($B$21:$GQ$21,MATCH(56,$B$29:$GQ$29,0))</f>
        <v/>
      </c>
      <c r="BF7">
        <f>INDEX($B$21:$GQ$21,MATCH(57,$B$29:$GQ$29,0))</f>
        <v/>
      </c>
      <c r="BG7">
        <f>INDEX($B$21:$GQ$21,MATCH(58,$B$29:$GQ$29,0))</f>
        <v/>
      </c>
      <c r="BH7">
        <f>INDEX($B$21:$GQ$21,MATCH(59,$B$29:$GQ$29,0))</f>
        <v/>
      </c>
      <c r="BI7">
        <f>INDEX($B$21:$GQ$21,MATCH(60,$B$29:$GQ$29,0))</f>
        <v/>
      </c>
      <c r="BJ7">
        <f>INDEX($B$21:$GQ$21,MATCH(61,$B$29:$GQ$29,0))</f>
        <v/>
      </c>
      <c r="BK7">
        <f>INDEX($B$21:$GQ$21,MATCH(62,$B$29:$GQ$29,0))</f>
        <v/>
      </c>
      <c r="BL7">
        <f>INDEX($B$21:$GQ$21,MATCH(63,$B$29:$GQ$29,0))</f>
        <v/>
      </c>
      <c r="BM7">
        <f>INDEX($B$21:$GQ$21,MATCH(64,$B$29:$GQ$29,0))</f>
        <v/>
      </c>
      <c r="BN7">
        <f>INDEX($B$21:$GQ$21,MATCH(65,$B$29:$GQ$29,0))</f>
        <v/>
      </c>
      <c r="BO7">
        <f>INDEX($B$21:$GQ$21,MATCH(66,$B$29:$GQ$29,0))</f>
        <v/>
      </c>
      <c r="BP7">
        <f>INDEX($B$21:$GQ$21,MATCH(67,$B$29:$GQ$29,0))</f>
        <v/>
      </c>
      <c r="BQ7">
        <f>INDEX($B$21:$GQ$21,MATCH(68,$B$29:$GQ$29,0))</f>
        <v/>
      </c>
      <c r="BR7">
        <f>INDEX($B$21:$GQ$21,MATCH(69,$B$29:$GQ$29,0))</f>
        <v/>
      </c>
      <c r="BS7">
        <f>INDEX($B$21:$GQ$21,MATCH(70,$B$29:$GQ$29,0))</f>
        <v/>
      </c>
      <c r="BT7">
        <f>INDEX($B$21:$GQ$21,MATCH(71,$B$29:$GQ$29,0))</f>
        <v/>
      </c>
      <c r="BU7">
        <f>INDEX($B$21:$GQ$21,MATCH(72,$B$29:$GQ$29,0))</f>
        <v/>
      </c>
      <c r="BV7">
        <f>INDEX($B$21:$GQ$21,MATCH(73,$B$29:$GQ$29,0))</f>
        <v/>
      </c>
      <c r="BW7">
        <f>INDEX($B$21:$GQ$21,MATCH(74,$B$29:$GQ$29,0))</f>
        <v/>
      </c>
      <c r="BX7">
        <f>INDEX($B$21:$GQ$21,MATCH(75,$B$29:$GQ$29,0))</f>
        <v/>
      </c>
      <c r="BY7">
        <f>INDEX($B$21:$GQ$21,MATCH(76,$B$29:$GQ$29,0))</f>
        <v/>
      </c>
      <c r="BZ7">
        <f>INDEX($B$21:$GQ$21,MATCH(77,$B$29:$GQ$29,0))</f>
        <v/>
      </c>
      <c r="CA7">
        <f>INDEX($B$21:$GQ$21,MATCH(78,$B$29:$GQ$29,0))</f>
        <v/>
      </c>
      <c r="CB7">
        <f>INDEX($B$21:$GQ$21,MATCH(79,$B$29:$GQ$29,0))</f>
        <v/>
      </c>
      <c r="CC7">
        <f>INDEX($B$21:$GQ$21,MATCH(80,$B$29:$GQ$29,0))</f>
        <v/>
      </c>
      <c r="CD7">
        <f>INDEX($B$21:$GQ$21,MATCH(81,$B$29:$GQ$29,0))</f>
        <v/>
      </c>
      <c r="CE7">
        <f>INDEX($B$21:$GQ$21,MATCH(82,$B$29:$GQ$29,0))</f>
        <v/>
      </c>
      <c r="CF7">
        <f>INDEX($B$21:$GQ$21,MATCH(83,$B$29:$GQ$29,0))</f>
        <v/>
      </c>
      <c r="CG7">
        <f>INDEX($B$21:$GQ$21,MATCH(84,$B$29:$GQ$29,0))</f>
        <v/>
      </c>
      <c r="CH7">
        <f>INDEX($B$21:$GQ$21,MATCH(85,$B$29:$GQ$29,0))</f>
        <v/>
      </c>
      <c r="CI7">
        <f>INDEX($B$21:$GQ$21,MATCH(86,$B$29:$GQ$29,0))</f>
        <v/>
      </c>
      <c r="CJ7">
        <f>INDEX($B$21:$GQ$21,MATCH(87,$B$29:$GQ$29,0))</f>
        <v/>
      </c>
      <c r="CK7">
        <f>INDEX($B$21:$GQ$21,MATCH(88,$B$29:$GQ$29,0))</f>
        <v/>
      </c>
      <c r="CL7">
        <f>INDEX($B$21:$GQ$21,MATCH(89,$B$29:$GQ$29,0))</f>
        <v/>
      </c>
      <c r="CM7">
        <f>INDEX($B$21:$GQ$21,MATCH(90,$B$29:$GQ$29,0))</f>
        <v/>
      </c>
      <c r="CN7">
        <f>INDEX($B$21:$GQ$21,MATCH(91,$B$29:$GQ$29,0))</f>
        <v/>
      </c>
      <c r="CO7">
        <f>INDEX($B$21:$GQ$21,MATCH(92,$B$29:$GQ$29,0))</f>
        <v/>
      </c>
      <c r="CP7">
        <f>INDEX($B$21:$GQ$21,MATCH(93,$B$29:$GQ$29,0))</f>
        <v/>
      </c>
      <c r="CQ7">
        <f>INDEX($B$21:$GQ$21,MATCH(94,$B$29:$GQ$29,0))</f>
        <v/>
      </c>
      <c r="CR7">
        <f>INDEX($B$21:$GQ$21,MATCH(95,$B$29:$GQ$29,0))</f>
        <v/>
      </c>
      <c r="CS7">
        <f>INDEX($B$21:$GQ$21,MATCH(96,$B$29:$GQ$29,0))</f>
        <v/>
      </c>
      <c r="CT7">
        <f>INDEX($B$21:$GQ$21,MATCH(97,$B$29:$GQ$29,0))</f>
        <v/>
      </c>
      <c r="CU7">
        <f>INDEX($B$21:$GQ$21,MATCH(98,$B$29:$GQ$29,0))</f>
        <v/>
      </c>
      <c r="CV7">
        <f>INDEX($B$21:$GQ$21,MATCH(99,$B$29:$GQ$29,0))</f>
        <v/>
      </c>
      <c r="CW7">
        <f>INDEX($B$21:$GQ$21,MATCH(100,$B$29:$GQ$29,0))</f>
        <v/>
      </c>
      <c r="CX7">
        <f>INDEX($B$21:$GQ$21,MATCH(101,$B$29:$GQ$29,0))</f>
        <v/>
      </c>
      <c r="CY7">
        <f>INDEX($B$21:$GQ$21,MATCH(102,$B$29:$GQ$29,0))</f>
        <v/>
      </c>
      <c r="CZ7">
        <f>INDEX($B$21:$GQ$21,MATCH(103,$B$29:$GQ$29,0))</f>
        <v/>
      </c>
      <c r="DA7">
        <f>INDEX($B$21:$GQ$21,MATCH(104,$B$29:$GQ$29,0))</f>
        <v/>
      </c>
      <c r="DB7">
        <f>INDEX($B$21:$GQ$21,MATCH(105,$B$29:$GQ$29,0))</f>
        <v/>
      </c>
      <c r="DC7">
        <f>INDEX($B$21:$GQ$21,MATCH(106,$B$29:$GQ$29,0))</f>
        <v/>
      </c>
      <c r="DD7">
        <f>INDEX($B$21:$GQ$21,MATCH(107,$B$29:$GQ$29,0))</f>
        <v/>
      </c>
      <c r="DE7">
        <f>INDEX($B$21:$GQ$21,MATCH(108,$B$29:$GQ$29,0))</f>
        <v/>
      </c>
      <c r="DF7">
        <f>INDEX($B$21:$GQ$21,MATCH(109,$B$29:$GQ$29,0))</f>
        <v/>
      </c>
      <c r="DG7">
        <f>INDEX($B$21:$GQ$21,MATCH(110,$B$29:$GQ$29,0))</f>
        <v/>
      </c>
      <c r="DH7">
        <f>INDEX($B$21:$GQ$21,MATCH(111,$B$29:$GQ$29,0))</f>
        <v/>
      </c>
      <c r="DI7">
        <f>INDEX($B$21:$GQ$21,MATCH(112,$B$29:$GQ$29,0))</f>
        <v/>
      </c>
      <c r="DJ7">
        <f>INDEX($B$21:$GQ$21,MATCH(113,$B$29:$GQ$29,0))</f>
        <v/>
      </c>
      <c r="DK7">
        <f>INDEX($B$21:$GQ$21,MATCH(114,$B$29:$GQ$29,0))</f>
        <v/>
      </c>
      <c r="DL7">
        <f>INDEX($B$21:$GQ$21,MATCH(115,$B$29:$GQ$29,0))</f>
        <v/>
      </c>
      <c r="DM7">
        <f>INDEX($B$21:$GQ$21,MATCH(116,$B$29:$GQ$29,0))</f>
        <v/>
      </c>
      <c r="DN7">
        <f>INDEX($B$21:$GQ$21,MATCH(117,$B$29:$GQ$29,0))</f>
        <v/>
      </c>
      <c r="DO7">
        <f>INDEX($B$21:$GQ$21,MATCH(118,$B$29:$GQ$29,0))</f>
        <v/>
      </c>
      <c r="DP7">
        <f>INDEX($B$21:$GQ$21,MATCH(119,$B$29:$GQ$29,0))</f>
        <v/>
      </c>
      <c r="DQ7">
        <f>INDEX($B$21:$GQ$21,MATCH(120,$B$29:$GQ$29,0))</f>
        <v/>
      </c>
      <c r="DR7">
        <f>INDEX($B$21:$GQ$21,MATCH(121,$B$29:$GQ$29,0))</f>
        <v/>
      </c>
      <c r="DS7">
        <f>INDEX($B$21:$GQ$21,MATCH(122,$B$29:$GQ$29,0))</f>
        <v/>
      </c>
      <c r="DT7">
        <f>INDEX($B$21:$GQ$21,MATCH(123,$B$29:$GQ$29,0))</f>
        <v/>
      </c>
      <c r="DU7">
        <f>INDEX($B$21:$GQ$21,MATCH(124,$B$29:$GQ$29,0))</f>
        <v/>
      </c>
      <c r="DV7">
        <f>INDEX($B$21:$GQ$21,MATCH(125,$B$29:$GQ$29,0))</f>
        <v/>
      </c>
      <c r="DW7">
        <f>INDEX($B$21:$GQ$21,MATCH(126,$B$29:$GQ$29,0))</f>
        <v/>
      </c>
      <c r="DX7">
        <f>INDEX($B$21:$GQ$21,MATCH(127,$B$29:$GQ$29,0))</f>
        <v/>
      </c>
      <c r="DY7">
        <f>INDEX($B$21:$GQ$21,MATCH(128,$B$29:$GQ$29,0))</f>
        <v/>
      </c>
      <c r="DZ7">
        <f>INDEX($B$21:$GQ$21,MATCH(129,$B$29:$GQ$29,0))</f>
        <v/>
      </c>
      <c r="EA7">
        <f>INDEX($B$21:$GQ$21,MATCH(130,$B$29:$GQ$29,0))</f>
        <v/>
      </c>
      <c r="EB7">
        <f>INDEX($B$21:$GQ$21,MATCH(131,$B$29:$GQ$29,0))</f>
        <v/>
      </c>
      <c r="EC7">
        <f>INDEX($B$21:$GQ$21,MATCH(132,$B$29:$GQ$29,0))</f>
        <v/>
      </c>
      <c r="ED7">
        <f>INDEX($B$21:$GQ$21,MATCH(133,$B$29:$GQ$29,0))</f>
        <v/>
      </c>
      <c r="EE7">
        <f>INDEX($B$21:$GQ$21,MATCH(134,$B$29:$GQ$29,0))</f>
        <v/>
      </c>
      <c r="EF7">
        <f>INDEX($B$21:$GQ$21,MATCH(135,$B$29:$GQ$29,0))</f>
        <v/>
      </c>
      <c r="EG7">
        <f>INDEX($B$21:$GQ$21,MATCH(136,$B$29:$GQ$29,0))</f>
        <v/>
      </c>
      <c r="EH7">
        <f>INDEX($B$21:$GQ$21,MATCH(137,$B$29:$GQ$29,0))</f>
        <v/>
      </c>
      <c r="EI7">
        <f>INDEX($B$21:$GQ$21,MATCH(138,$B$29:$GQ$29,0))</f>
        <v/>
      </c>
      <c r="EJ7">
        <f>INDEX($B$21:$GQ$21,MATCH(139,$B$29:$GQ$29,0))</f>
        <v/>
      </c>
      <c r="EK7">
        <f>INDEX($B$21:$GQ$21,MATCH(140,$B$29:$GQ$29,0))</f>
        <v/>
      </c>
      <c r="EL7">
        <f>INDEX($B$21:$GQ$21,MATCH(141,$B$29:$GQ$29,0))</f>
        <v/>
      </c>
      <c r="EM7">
        <f>INDEX($B$21:$GQ$21,MATCH(142,$B$29:$GQ$29,0))</f>
        <v/>
      </c>
      <c r="EN7">
        <f>INDEX($B$21:$GQ$21,MATCH(143,$B$29:$GQ$29,0))</f>
        <v/>
      </c>
      <c r="EO7">
        <f>INDEX($B$21:$GQ$21,MATCH(144,$B$29:$GQ$29,0))</f>
        <v/>
      </c>
      <c r="EP7">
        <f>INDEX($B$21:$GQ$21,MATCH(145,$B$29:$GQ$29,0))</f>
        <v/>
      </c>
      <c r="EQ7">
        <f>INDEX($B$21:$GQ$21,MATCH(146,$B$29:$GQ$29,0))</f>
        <v/>
      </c>
      <c r="ER7">
        <f>INDEX($B$21:$GQ$21,MATCH(147,$B$29:$GQ$29,0))</f>
        <v/>
      </c>
      <c r="ES7">
        <f>INDEX($B$21:$GQ$21,MATCH(148,$B$29:$GQ$29,0))</f>
        <v/>
      </c>
      <c r="ET7">
        <f>INDEX($B$21:$GQ$21,MATCH(149,$B$29:$GQ$29,0))</f>
        <v/>
      </c>
      <c r="EU7">
        <f>INDEX($B$21:$GQ$21,MATCH(150,$B$29:$GQ$29,0))</f>
        <v/>
      </c>
      <c r="EV7">
        <f>INDEX($B$21:$GQ$21,MATCH(151,$B$29:$GQ$29,0))</f>
        <v/>
      </c>
      <c r="EW7">
        <f>INDEX($B$21:$GQ$21,MATCH(152,$B$29:$GQ$29,0))</f>
        <v/>
      </c>
      <c r="EX7">
        <f>INDEX($B$21:$GQ$21,MATCH(153,$B$29:$GQ$29,0))</f>
        <v/>
      </c>
      <c r="EY7">
        <f>INDEX($B$21:$GQ$21,MATCH(154,$B$29:$GQ$29,0))</f>
        <v/>
      </c>
      <c r="EZ7">
        <f>INDEX($B$21:$GQ$21,MATCH(155,$B$29:$GQ$29,0))</f>
        <v/>
      </c>
      <c r="FA7">
        <f>INDEX($B$21:$GQ$21,MATCH(156,$B$29:$GQ$29,0))</f>
        <v/>
      </c>
      <c r="FB7">
        <f>INDEX($B$21:$GQ$21,MATCH(157,$B$29:$GQ$29,0))</f>
        <v/>
      </c>
      <c r="FC7">
        <f>INDEX($B$21:$GQ$21,MATCH(158,$B$29:$GQ$29,0))</f>
        <v/>
      </c>
      <c r="FD7">
        <f>INDEX($B$21:$GQ$21,MATCH(159,$B$29:$GQ$29,0))</f>
        <v/>
      </c>
      <c r="FE7">
        <f>INDEX($B$21:$GQ$21,MATCH(160,$B$29:$GQ$29,0))</f>
        <v/>
      </c>
      <c r="FF7">
        <f>INDEX($B$21:$GQ$21,MATCH(161,$B$29:$GQ$29,0))</f>
        <v/>
      </c>
      <c r="FG7">
        <f>INDEX($B$21:$GQ$21,MATCH(162,$B$29:$GQ$29,0))</f>
        <v/>
      </c>
      <c r="FH7">
        <f>INDEX($B$21:$GQ$21,MATCH(163,$B$29:$GQ$29,0))</f>
        <v/>
      </c>
      <c r="FI7">
        <f>INDEX($B$21:$GQ$21,MATCH(164,$B$29:$GQ$29,0))</f>
        <v/>
      </c>
      <c r="FJ7">
        <f>INDEX($B$21:$GQ$21,MATCH(165,$B$29:$GQ$29,0))</f>
        <v/>
      </c>
      <c r="FK7">
        <f>INDEX($B$21:$GQ$21,MATCH(166,$B$29:$GQ$29,0))</f>
        <v/>
      </c>
      <c r="FL7">
        <f>INDEX($B$21:$GQ$21,MATCH(167,$B$29:$GQ$29,0))</f>
        <v/>
      </c>
      <c r="FM7">
        <f>INDEX($B$21:$GQ$21,MATCH(168,$B$29:$GQ$29,0))</f>
        <v/>
      </c>
      <c r="FN7">
        <f>INDEX($B$21:$GQ$21,MATCH(169,$B$29:$GQ$29,0))</f>
        <v/>
      </c>
      <c r="FO7">
        <f>INDEX($B$21:$GQ$21,MATCH(170,$B$29:$GQ$29,0))</f>
        <v/>
      </c>
      <c r="FP7">
        <f>INDEX($B$21:$GQ$21,MATCH(171,$B$29:$GQ$29,0))</f>
        <v/>
      </c>
      <c r="FQ7">
        <f>INDEX($B$21:$GQ$21,MATCH(172,$B$29:$GQ$29,0))</f>
        <v/>
      </c>
      <c r="FR7">
        <f>INDEX($B$21:$GQ$21,MATCH(173,$B$29:$GQ$29,0))</f>
        <v/>
      </c>
      <c r="FS7">
        <f>INDEX($B$21:$GQ$21,MATCH(174,$B$29:$GQ$29,0))</f>
        <v/>
      </c>
      <c r="FT7">
        <f>INDEX($B$21:$GQ$21,MATCH(175,$B$29:$GQ$29,0))</f>
        <v/>
      </c>
      <c r="FU7">
        <f>INDEX($B$21:$GQ$21,MATCH(176,$B$29:$GQ$29,0))</f>
        <v/>
      </c>
      <c r="FV7">
        <f>INDEX($B$21:$GQ$21,MATCH(177,$B$29:$GQ$29,0))</f>
        <v/>
      </c>
      <c r="FW7">
        <f>INDEX($B$21:$GQ$21,MATCH(178,$B$29:$GQ$29,0))</f>
        <v/>
      </c>
      <c r="FX7">
        <f>INDEX($B$21:$GQ$21,MATCH(179,$B$29:$GQ$29,0))</f>
        <v/>
      </c>
      <c r="FY7">
        <f>INDEX($B$21:$GQ$21,MATCH(180,$B$29:$GQ$29,0))</f>
        <v/>
      </c>
      <c r="FZ7">
        <f>INDEX($B$21:$GQ$21,MATCH(181,$B$29:$GQ$29,0))</f>
        <v/>
      </c>
      <c r="GA7">
        <f>INDEX($B$21:$GQ$21,MATCH(182,$B$29:$GQ$29,0))</f>
        <v/>
      </c>
      <c r="GB7">
        <f>INDEX($B$21:$GQ$21,MATCH(183,$B$29:$GQ$29,0))</f>
        <v/>
      </c>
      <c r="GC7">
        <f>INDEX($B$21:$GQ$21,MATCH(184,$B$29:$GQ$29,0))</f>
        <v/>
      </c>
      <c r="GD7">
        <f>INDEX($B$21:$GQ$21,MATCH(185,$B$29:$GQ$29,0))</f>
        <v/>
      </c>
      <c r="GE7">
        <f>INDEX($B$21:$GQ$21,MATCH(186,$B$29:$GQ$29,0))</f>
        <v/>
      </c>
      <c r="GF7">
        <f>INDEX($B$21:$GQ$21,MATCH(187,$B$29:$GQ$29,0))</f>
        <v/>
      </c>
      <c r="GG7">
        <f>INDEX($B$21:$GQ$21,MATCH(188,$B$29:$GQ$29,0))</f>
        <v/>
      </c>
      <c r="GH7">
        <f>INDEX($B$21:$GQ$21,MATCH(189,$B$29:$GQ$29,0))</f>
        <v/>
      </c>
      <c r="GI7">
        <f>INDEX($B$21:$GQ$21,MATCH(190,$B$29:$GQ$29,0))</f>
        <v/>
      </c>
      <c r="GJ7">
        <f>INDEX($B$21:$GQ$21,MATCH(191,$B$29:$GQ$29,0))</f>
        <v/>
      </c>
      <c r="GK7">
        <f>INDEX($B$21:$GQ$21,MATCH(192,$B$29:$GQ$29,0))</f>
        <v/>
      </c>
      <c r="GL7">
        <f>INDEX($B$21:$GQ$21,MATCH(193,$B$29:$GQ$29,0))</f>
        <v/>
      </c>
      <c r="GM7">
        <f>INDEX($B$21:$GQ$21,MATCH(194,$B$29:$GQ$29,0))</f>
        <v/>
      </c>
      <c r="GN7">
        <f>INDEX($B$21:$GQ$21,MATCH(195,$B$29:$GQ$29,0))</f>
        <v/>
      </c>
      <c r="GO7">
        <f>INDEX($B$21:$GQ$21,MATCH(196,$B$29:$GQ$29,0))</f>
        <v/>
      </c>
      <c r="GP7">
        <f>INDEX($B$21:$GQ$21,MATCH(197,$B$29:$GQ$29,0))</f>
        <v/>
      </c>
      <c r="GQ7">
        <f>INDEX($B$21:$GQ$21,MATCH(198,$B$29:$GQ$29,0))</f>
        <v/>
      </c>
      <c r="GR7">
        <f>INDEX($GR$21:$HC$21,MATCH(1,$GR$30:$HC$30,0))</f>
        <v/>
      </c>
      <c r="GS7">
        <f>INDEX($GR$21:$HC$21,MATCH(2,$GR$30:$HC$30,0))</f>
        <v/>
      </c>
      <c r="GT7">
        <f>INDEX($GR$21:$HC$21,MATCH(3,$GR$30:$HC$30,0))</f>
        <v/>
      </c>
      <c r="GU7">
        <f>INDEX($GR$21:$HC$21,MATCH(4,$GR$30:$HC$30,0))</f>
        <v/>
      </c>
      <c r="GV7">
        <f>INDEX($GR$21:$HC$21,MATCH(5,$GR$30:$HC$30,0))</f>
        <v/>
      </c>
      <c r="GW7">
        <f>INDEX($GR$21:$HC$21,MATCH(6,$GR$30:$HC$30,0))</f>
        <v/>
      </c>
      <c r="GX7">
        <f>INDEX($GR$21:$HC$21,MATCH(7,$GR$30:$HC$30,0))</f>
        <v/>
      </c>
      <c r="GY7">
        <f>INDEX($GR$21:$HC$21,MATCH(8,$GR$30:$HC$30,0))</f>
        <v/>
      </c>
      <c r="GZ7">
        <f>INDEX($GR$21:$HC$21,MATCH(9,$GR$30:$HC$30,0))</f>
        <v/>
      </c>
      <c r="HA7">
        <f>INDEX($GR$21:$HC$21,MATCH(10,$GR$30:$HC$30,0))</f>
        <v/>
      </c>
      <c r="HB7">
        <f>INDEX($GR$21:$HC$21,MATCH(11,$GR$30:$HC$30,0))</f>
        <v/>
      </c>
      <c r="HC7">
        <f>INDEX($GR$21:$HC$21,MATCH(12,$GR$30:$HC$30,0))</f>
        <v/>
      </c>
    </row>
    <row r="8">
      <c r="A8" s="1" t="inlineStr">
        <is>
          <t>Y_dom</t>
        </is>
      </c>
      <c r="B8">
        <f>INDEX($B$22:$GQ$22,MATCH(1,$B$29:$GQ$29,0))</f>
        <v/>
      </c>
      <c r="C8">
        <f>INDEX($B$22:$GQ$22,MATCH(2,$B$29:$GQ$29,0))</f>
        <v/>
      </c>
      <c r="D8">
        <f>INDEX($B$22:$GQ$22,MATCH(3,$B$29:$GQ$29,0))</f>
        <v/>
      </c>
      <c r="E8">
        <f>INDEX($B$22:$GQ$22,MATCH(4,$B$29:$GQ$29,0))</f>
        <v/>
      </c>
      <c r="F8">
        <f>INDEX($B$22:$GQ$22,MATCH(5,$B$29:$GQ$29,0))</f>
        <v/>
      </c>
      <c r="G8">
        <f>INDEX($B$22:$GQ$22,MATCH(6,$B$29:$GQ$29,0))</f>
        <v/>
      </c>
      <c r="H8">
        <f>INDEX($B$22:$GQ$22,MATCH(7,$B$29:$GQ$29,0))</f>
        <v/>
      </c>
      <c r="I8">
        <f>INDEX($B$22:$GQ$22,MATCH(8,$B$29:$GQ$29,0))</f>
        <v/>
      </c>
      <c r="J8">
        <f>INDEX($B$22:$GQ$22,MATCH(9,$B$29:$GQ$29,0))</f>
        <v/>
      </c>
      <c r="K8">
        <f>INDEX($B$22:$GQ$22,MATCH(10,$B$29:$GQ$29,0))</f>
        <v/>
      </c>
      <c r="L8">
        <f>INDEX($B$22:$GQ$22,MATCH(11,$B$29:$GQ$29,0))</f>
        <v/>
      </c>
      <c r="M8">
        <f>INDEX($B$22:$GQ$22,MATCH(12,$B$29:$GQ$29,0))</f>
        <v/>
      </c>
      <c r="N8">
        <f>INDEX($B$22:$GQ$22,MATCH(13,$B$29:$GQ$29,0))</f>
        <v/>
      </c>
      <c r="O8">
        <f>INDEX($B$22:$GQ$22,MATCH(14,$B$29:$GQ$29,0))</f>
        <v/>
      </c>
      <c r="P8">
        <f>INDEX($B$22:$GQ$22,MATCH(15,$B$29:$GQ$29,0))</f>
        <v/>
      </c>
      <c r="Q8">
        <f>INDEX($B$22:$GQ$22,MATCH(16,$B$29:$GQ$29,0))</f>
        <v/>
      </c>
      <c r="R8">
        <f>INDEX($B$22:$GQ$22,MATCH(17,$B$29:$GQ$29,0))</f>
        <v/>
      </c>
      <c r="S8">
        <f>INDEX($B$22:$GQ$22,MATCH(18,$B$29:$GQ$29,0))</f>
        <v/>
      </c>
      <c r="T8">
        <f>INDEX($B$22:$GQ$22,MATCH(19,$B$29:$GQ$29,0))</f>
        <v/>
      </c>
      <c r="U8">
        <f>INDEX($B$22:$GQ$22,MATCH(20,$B$29:$GQ$29,0))</f>
        <v/>
      </c>
      <c r="V8">
        <f>INDEX($B$22:$GQ$22,MATCH(21,$B$29:$GQ$29,0))</f>
        <v/>
      </c>
      <c r="W8">
        <f>INDEX($B$22:$GQ$22,MATCH(22,$B$29:$GQ$29,0))</f>
        <v/>
      </c>
      <c r="X8">
        <f>INDEX($B$22:$GQ$22,MATCH(23,$B$29:$GQ$29,0))</f>
        <v/>
      </c>
      <c r="Y8">
        <f>INDEX($B$22:$GQ$22,MATCH(24,$B$29:$GQ$29,0))</f>
        <v/>
      </c>
      <c r="Z8">
        <f>INDEX($B$22:$GQ$22,MATCH(25,$B$29:$GQ$29,0))</f>
        <v/>
      </c>
      <c r="AA8">
        <f>INDEX($B$22:$GQ$22,MATCH(26,$B$29:$GQ$29,0))</f>
        <v/>
      </c>
      <c r="AB8">
        <f>INDEX($B$22:$GQ$22,MATCH(27,$B$29:$GQ$29,0))</f>
        <v/>
      </c>
      <c r="AC8">
        <f>INDEX($B$22:$GQ$22,MATCH(28,$B$29:$GQ$29,0))</f>
        <v/>
      </c>
      <c r="AD8">
        <f>INDEX($B$22:$GQ$22,MATCH(29,$B$29:$GQ$29,0))</f>
        <v/>
      </c>
      <c r="AE8">
        <f>INDEX($B$22:$GQ$22,MATCH(30,$B$29:$GQ$29,0))</f>
        <v/>
      </c>
      <c r="AF8">
        <f>INDEX($B$22:$GQ$22,MATCH(31,$B$29:$GQ$29,0))</f>
        <v/>
      </c>
      <c r="AG8">
        <f>INDEX($B$22:$GQ$22,MATCH(32,$B$29:$GQ$29,0))</f>
        <v/>
      </c>
      <c r="AH8">
        <f>INDEX($B$22:$GQ$22,MATCH(33,$B$29:$GQ$29,0))</f>
        <v/>
      </c>
      <c r="AI8">
        <f>INDEX($B$22:$GQ$22,MATCH(34,$B$29:$GQ$29,0))</f>
        <v/>
      </c>
      <c r="AJ8">
        <f>INDEX($B$22:$GQ$22,MATCH(35,$B$29:$GQ$29,0))</f>
        <v/>
      </c>
      <c r="AK8">
        <f>INDEX($B$22:$GQ$22,MATCH(36,$B$29:$GQ$29,0))</f>
        <v/>
      </c>
      <c r="AL8">
        <f>INDEX($B$22:$GQ$22,MATCH(37,$B$29:$GQ$29,0))</f>
        <v/>
      </c>
      <c r="AM8">
        <f>INDEX($B$22:$GQ$22,MATCH(38,$B$29:$GQ$29,0))</f>
        <v/>
      </c>
      <c r="AN8">
        <f>INDEX($B$22:$GQ$22,MATCH(39,$B$29:$GQ$29,0))</f>
        <v/>
      </c>
      <c r="AO8">
        <f>INDEX($B$22:$GQ$22,MATCH(40,$B$29:$GQ$29,0))</f>
        <v/>
      </c>
      <c r="AP8">
        <f>INDEX($B$22:$GQ$22,MATCH(41,$B$29:$GQ$29,0))</f>
        <v/>
      </c>
      <c r="AQ8">
        <f>INDEX($B$22:$GQ$22,MATCH(42,$B$29:$GQ$29,0))</f>
        <v/>
      </c>
      <c r="AR8">
        <f>INDEX($B$22:$GQ$22,MATCH(43,$B$29:$GQ$29,0))</f>
        <v/>
      </c>
      <c r="AS8">
        <f>INDEX($B$22:$GQ$22,MATCH(44,$B$29:$GQ$29,0))</f>
        <v/>
      </c>
      <c r="AT8">
        <f>INDEX($B$22:$GQ$22,MATCH(45,$B$29:$GQ$29,0))</f>
        <v/>
      </c>
      <c r="AU8">
        <f>INDEX($B$22:$GQ$22,MATCH(46,$B$29:$GQ$29,0))</f>
        <v/>
      </c>
      <c r="AV8">
        <f>INDEX($B$22:$GQ$22,MATCH(47,$B$29:$GQ$29,0))</f>
        <v/>
      </c>
      <c r="AW8">
        <f>INDEX($B$22:$GQ$22,MATCH(48,$B$29:$GQ$29,0))</f>
        <v/>
      </c>
      <c r="AX8">
        <f>INDEX($B$22:$GQ$22,MATCH(49,$B$29:$GQ$29,0))</f>
        <v/>
      </c>
      <c r="AY8">
        <f>INDEX($B$22:$GQ$22,MATCH(50,$B$29:$GQ$29,0))</f>
        <v/>
      </c>
      <c r="AZ8">
        <f>INDEX($B$22:$GQ$22,MATCH(51,$B$29:$GQ$29,0))</f>
        <v/>
      </c>
      <c r="BA8">
        <f>INDEX($B$22:$GQ$22,MATCH(52,$B$29:$GQ$29,0))</f>
        <v/>
      </c>
      <c r="BB8">
        <f>INDEX($B$22:$GQ$22,MATCH(53,$B$29:$GQ$29,0))</f>
        <v/>
      </c>
      <c r="BC8">
        <f>INDEX($B$22:$GQ$22,MATCH(54,$B$29:$GQ$29,0))</f>
        <v/>
      </c>
      <c r="BD8">
        <f>INDEX($B$22:$GQ$22,MATCH(55,$B$29:$GQ$29,0))</f>
        <v/>
      </c>
      <c r="BE8">
        <f>INDEX($B$22:$GQ$22,MATCH(56,$B$29:$GQ$29,0))</f>
        <v/>
      </c>
      <c r="BF8">
        <f>INDEX($B$22:$GQ$22,MATCH(57,$B$29:$GQ$29,0))</f>
        <v/>
      </c>
      <c r="BG8">
        <f>INDEX($B$22:$GQ$22,MATCH(58,$B$29:$GQ$29,0))</f>
        <v/>
      </c>
      <c r="BH8">
        <f>INDEX($B$22:$GQ$22,MATCH(59,$B$29:$GQ$29,0))</f>
        <v/>
      </c>
      <c r="BI8">
        <f>INDEX($B$22:$GQ$22,MATCH(60,$B$29:$GQ$29,0))</f>
        <v/>
      </c>
      <c r="BJ8">
        <f>INDEX($B$22:$GQ$22,MATCH(61,$B$29:$GQ$29,0))</f>
        <v/>
      </c>
      <c r="BK8">
        <f>INDEX($B$22:$GQ$22,MATCH(62,$B$29:$GQ$29,0))</f>
        <v/>
      </c>
      <c r="BL8">
        <f>INDEX($B$22:$GQ$22,MATCH(63,$B$29:$GQ$29,0))</f>
        <v/>
      </c>
      <c r="BM8">
        <f>INDEX($B$22:$GQ$22,MATCH(64,$B$29:$GQ$29,0))</f>
        <v/>
      </c>
      <c r="BN8">
        <f>INDEX($B$22:$GQ$22,MATCH(65,$B$29:$GQ$29,0))</f>
        <v/>
      </c>
      <c r="BO8">
        <f>INDEX($B$22:$GQ$22,MATCH(66,$B$29:$GQ$29,0))</f>
        <v/>
      </c>
      <c r="BP8">
        <f>INDEX($B$22:$GQ$22,MATCH(67,$B$29:$GQ$29,0))</f>
        <v/>
      </c>
      <c r="BQ8">
        <f>INDEX($B$22:$GQ$22,MATCH(68,$B$29:$GQ$29,0))</f>
        <v/>
      </c>
      <c r="BR8">
        <f>INDEX($B$22:$GQ$22,MATCH(69,$B$29:$GQ$29,0))</f>
        <v/>
      </c>
      <c r="BS8">
        <f>INDEX($B$22:$GQ$22,MATCH(70,$B$29:$GQ$29,0))</f>
        <v/>
      </c>
      <c r="BT8">
        <f>INDEX($B$22:$GQ$22,MATCH(71,$B$29:$GQ$29,0))</f>
        <v/>
      </c>
      <c r="BU8">
        <f>INDEX($B$22:$GQ$22,MATCH(72,$B$29:$GQ$29,0))</f>
        <v/>
      </c>
      <c r="BV8">
        <f>INDEX($B$22:$GQ$22,MATCH(73,$B$29:$GQ$29,0))</f>
        <v/>
      </c>
      <c r="BW8">
        <f>INDEX($B$22:$GQ$22,MATCH(74,$B$29:$GQ$29,0))</f>
        <v/>
      </c>
      <c r="BX8">
        <f>INDEX($B$22:$GQ$22,MATCH(75,$B$29:$GQ$29,0))</f>
        <v/>
      </c>
      <c r="BY8">
        <f>INDEX($B$22:$GQ$22,MATCH(76,$B$29:$GQ$29,0))</f>
        <v/>
      </c>
      <c r="BZ8">
        <f>INDEX($B$22:$GQ$22,MATCH(77,$B$29:$GQ$29,0))</f>
        <v/>
      </c>
      <c r="CA8">
        <f>INDEX($B$22:$GQ$22,MATCH(78,$B$29:$GQ$29,0))</f>
        <v/>
      </c>
      <c r="CB8">
        <f>INDEX($B$22:$GQ$22,MATCH(79,$B$29:$GQ$29,0))</f>
        <v/>
      </c>
      <c r="CC8">
        <f>INDEX($B$22:$GQ$22,MATCH(80,$B$29:$GQ$29,0))</f>
        <v/>
      </c>
      <c r="CD8">
        <f>INDEX($B$22:$GQ$22,MATCH(81,$B$29:$GQ$29,0))</f>
        <v/>
      </c>
      <c r="CE8">
        <f>INDEX($B$22:$GQ$22,MATCH(82,$B$29:$GQ$29,0))</f>
        <v/>
      </c>
      <c r="CF8">
        <f>INDEX($B$22:$GQ$22,MATCH(83,$B$29:$GQ$29,0))</f>
        <v/>
      </c>
      <c r="CG8">
        <f>INDEX($B$22:$GQ$22,MATCH(84,$B$29:$GQ$29,0))</f>
        <v/>
      </c>
      <c r="CH8">
        <f>INDEX($B$22:$GQ$22,MATCH(85,$B$29:$GQ$29,0))</f>
        <v/>
      </c>
      <c r="CI8">
        <f>INDEX($B$22:$GQ$22,MATCH(86,$B$29:$GQ$29,0))</f>
        <v/>
      </c>
      <c r="CJ8">
        <f>INDEX($B$22:$GQ$22,MATCH(87,$B$29:$GQ$29,0))</f>
        <v/>
      </c>
      <c r="CK8">
        <f>INDEX($B$22:$GQ$22,MATCH(88,$B$29:$GQ$29,0))</f>
        <v/>
      </c>
      <c r="CL8">
        <f>INDEX($B$22:$GQ$22,MATCH(89,$B$29:$GQ$29,0))</f>
        <v/>
      </c>
      <c r="CM8">
        <f>INDEX($B$22:$GQ$22,MATCH(90,$B$29:$GQ$29,0))</f>
        <v/>
      </c>
      <c r="CN8">
        <f>INDEX($B$22:$GQ$22,MATCH(91,$B$29:$GQ$29,0))</f>
        <v/>
      </c>
      <c r="CO8">
        <f>INDEX($B$22:$GQ$22,MATCH(92,$B$29:$GQ$29,0))</f>
        <v/>
      </c>
      <c r="CP8">
        <f>INDEX($B$22:$GQ$22,MATCH(93,$B$29:$GQ$29,0))</f>
        <v/>
      </c>
      <c r="CQ8">
        <f>INDEX($B$22:$GQ$22,MATCH(94,$B$29:$GQ$29,0))</f>
        <v/>
      </c>
      <c r="CR8">
        <f>INDEX($B$22:$GQ$22,MATCH(95,$B$29:$GQ$29,0))</f>
        <v/>
      </c>
      <c r="CS8">
        <f>INDEX($B$22:$GQ$22,MATCH(96,$B$29:$GQ$29,0))</f>
        <v/>
      </c>
      <c r="CT8">
        <f>INDEX($B$22:$GQ$22,MATCH(97,$B$29:$GQ$29,0))</f>
        <v/>
      </c>
      <c r="CU8">
        <f>INDEX($B$22:$GQ$22,MATCH(98,$B$29:$GQ$29,0))</f>
        <v/>
      </c>
      <c r="CV8">
        <f>INDEX($B$22:$GQ$22,MATCH(99,$B$29:$GQ$29,0))</f>
        <v/>
      </c>
      <c r="CW8">
        <f>INDEX($B$22:$GQ$22,MATCH(100,$B$29:$GQ$29,0))</f>
        <v/>
      </c>
      <c r="CX8">
        <f>INDEX($B$22:$GQ$22,MATCH(101,$B$29:$GQ$29,0))</f>
        <v/>
      </c>
      <c r="CY8">
        <f>INDEX($B$22:$GQ$22,MATCH(102,$B$29:$GQ$29,0))</f>
        <v/>
      </c>
      <c r="CZ8">
        <f>INDEX($B$22:$GQ$22,MATCH(103,$B$29:$GQ$29,0))</f>
        <v/>
      </c>
      <c r="DA8">
        <f>INDEX($B$22:$GQ$22,MATCH(104,$B$29:$GQ$29,0))</f>
        <v/>
      </c>
      <c r="DB8">
        <f>INDEX($B$22:$GQ$22,MATCH(105,$B$29:$GQ$29,0))</f>
        <v/>
      </c>
      <c r="DC8">
        <f>INDEX($B$22:$GQ$22,MATCH(106,$B$29:$GQ$29,0))</f>
        <v/>
      </c>
      <c r="DD8">
        <f>INDEX($B$22:$GQ$22,MATCH(107,$B$29:$GQ$29,0))</f>
        <v/>
      </c>
      <c r="DE8">
        <f>INDEX($B$22:$GQ$22,MATCH(108,$B$29:$GQ$29,0))</f>
        <v/>
      </c>
      <c r="DF8">
        <f>INDEX($B$22:$GQ$22,MATCH(109,$B$29:$GQ$29,0))</f>
        <v/>
      </c>
      <c r="DG8">
        <f>INDEX($B$22:$GQ$22,MATCH(110,$B$29:$GQ$29,0))</f>
        <v/>
      </c>
      <c r="DH8">
        <f>INDEX($B$22:$GQ$22,MATCH(111,$B$29:$GQ$29,0))</f>
        <v/>
      </c>
      <c r="DI8">
        <f>INDEX($B$22:$GQ$22,MATCH(112,$B$29:$GQ$29,0))</f>
        <v/>
      </c>
      <c r="DJ8">
        <f>INDEX($B$22:$GQ$22,MATCH(113,$B$29:$GQ$29,0))</f>
        <v/>
      </c>
      <c r="DK8">
        <f>INDEX($B$22:$GQ$22,MATCH(114,$B$29:$GQ$29,0))</f>
        <v/>
      </c>
      <c r="DL8">
        <f>INDEX($B$22:$GQ$22,MATCH(115,$B$29:$GQ$29,0))</f>
        <v/>
      </c>
      <c r="DM8">
        <f>INDEX($B$22:$GQ$22,MATCH(116,$B$29:$GQ$29,0))</f>
        <v/>
      </c>
      <c r="DN8">
        <f>INDEX($B$22:$GQ$22,MATCH(117,$B$29:$GQ$29,0))</f>
        <v/>
      </c>
      <c r="DO8">
        <f>INDEX($B$22:$GQ$22,MATCH(118,$B$29:$GQ$29,0))</f>
        <v/>
      </c>
      <c r="DP8">
        <f>INDEX($B$22:$GQ$22,MATCH(119,$B$29:$GQ$29,0))</f>
        <v/>
      </c>
      <c r="DQ8">
        <f>INDEX($B$22:$GQ$22,MATCH(120,$B$29:$GQ$29,0))</f>
        <v/>
      </c>
      <c r="DR8">
        <f>INDEX($B$22:$GQ$22,MATCH(121,$B$29:$GQ$29,0))</f>
        <v/>
      </c>
      <c r="DS8">
        <f>INDEX($B$22:$GQ$22,MATCH(122,$B$29:$GQ$29,0))</f>
        <v/>
      </c>
      <c r="DT8">
        <f>INDEX($B$22:$GQ$22,MATCH(123,$B$29:$GQ$29,0))</f>
        <v/>
      </c>
      <c r="DU8">
        <f>INDEX($B$22:$GQ$22,MATCH(124,$B$29:$GQ$29,0))</f>
        <v/>
      </c>
      <c r="DV8">
        <f>INDEX($B$22:$GQ$22,MATCH(125,$B$29:$GQ$29,0))</f>
        <v/>
      </c>
      <c r="DW8">
        <f>INDEX($B$22:$GQ$22,MATCH(126,$B$29:$GQ$29,0))</f>
        <v/>
      </c>
      <c r="DX8">
        <f>INDEX($B$22:$GQ$22,MATCH(127,$B$29:$GQ$29,0))</f>
        <v/>
      </c>
      <c r="DY8">
        <f>INDEX($B$22:$GQ$22,MATCH(128,$B$29:$GQ$29,0))</f>
        <v/>
      </c>
      <c r="DZ8">
        <f>INDEX($B$22:$GQ$22,MATCH(129,$B$29:$GQ$29,0))</f>
        <v/>
      </c>
      <c r="EA8">
        <f>INDEX($B$22:$GQ$22,MATCH(130,$B$29:$GQ$29,0))</f>
        <v/>
      </c>
      <c r="EB8">
        <f>INDEX($B$22:$GQ$22,MATCH(131,$B$29:$GQ$29,0))</f>
        <v/>
      </c>
      <c r="EC8">
        <f>INDEX($B$22:$GQ$22,MATCH(132,$B$29:$GQ$29,0))</f>
        <v/>
      </c>
      <c r="ED8">
        <f>INDEX($B$22:$GQ$22,MATCH(133,$B$29:$GQ$29,0))</f>
        <v/>
      </c>
      <c r="EE8">
        <f>INDEX($B$22:$GQ$22,MATCH(134,$B$29:$GQ$29,0))</f>
        <v/>
      </c>
      <c r="EF8">
        <f>INDEX($B$22:$GQ$22,MATCH(135,$B$29:$GQ$29,0))</f>
        <v/>
      </c>
      <c r="EG8">
        <f>INDEX($B$22:$GQ$22,MATCH(136,$B$29:$GQ$29,0))</f>
        <v/>
      </c>
      <c r="EH8">
        <f>INDEX($B$22:$GQ$22,MATCH(137,$B$29:$GQ$29,0))</f>
        <v/>
      </c>
      <c r="EI8">
        <f>INDEX($B$22:$GQ$22,MATCH(138,$B$29:$GQ$29,0))</f>
        <v/>
      </c>
      <c r="EJ8">
        <f>INDEX($B$22:$GQ$22,MATCH(139,$B$29:$GQ$29,0))</f>
        <v/>
      </c>
      <c r="EK8">
        <f>INDEX($B$22:$GQ$22,MATCH(140,$B$29:$GQ$29,0))</f>
        <v/>
      </c>
      <c r="EL8">
        <f>INDEX($B$22:$GQ$22,MATCH(141,$B$29:$GQ$29,0))</f>
        <v/>
      </c>
      <c r="EM8">
        <f>INDEX($B$22:$GQ$22,MATCH(142,$B$29:$GQ$29,0))</f>
        <v/>
      </c>
      <c r="EN8">
        <f>INDEX($B$22:$GQ$22,MATCH(143,$B$29:$GQ$29,0))</f>
        <v/>
      </c>
      <c r="EO8">
        <f>INDEX($B$22:$GQ$22,MATCH(144,$B$29:$GQ$29,0))</f>
        <v/>
      </c>
      <c r="EP8">
        <f>INDEX($B$22:$GQ$22,MATCH(145,$B$29:$GQ$29,0))</f>
        <v/>
      </c>
      <c r="EQ8">
        <f>INDEX($B$22:$GQ$22,MATCH(146,$B$29:$GQ$29,0))</f>
        <v/>
      </c>
      <c r="ER8">
        <f>INDEX($B$22:$GQ$22,MATCH(147,$B$29:$GQ$29,0))</f>
        <v/>
      </c>
      <c r="ES8">
        <f>INDEX($B$22:$GQ$22,MATCH(148,$B$29:$GQ$29,0))</f>
        <v/>
      </c>
      <c r="ET8">
        <f>INDEX($B$22:$GQ$22,MATCH(149,$B$29:$GQ$29,0))</f>
        <v/>
      </c>
      <c r="EU8">
        <f>INDEX($B$22:$GQ$22,MATCH(150,$B$29:$GQ$29,0))</f>
        <v/>
      </c>
      <c r="EV8">
        <f>INDEX($B$22:$GQ$22,MATCH(151,$B$29:$GQ$29,0))</f>
        <v/>
      </c>
      <c r="EW8">
        <f>INDEX($B$22:$GQ$22,MATCH(152,$B$29:$GQ$29,0))</f>
        <v/>
      </c>
      <c r="EX8">
        <f>INDEX($B$22:$GQ$22,MATCH(153,$B$29:$GQ$29,0))</f>
        <v/>
      </c>
      <c r="EY8">
        <f>INDEX($B$22:$GQ$22,MATCH(154,$B$29:$GQ$29,0))</f>
        <v/>
      </c>
      <c r="EZ8">
        <f>INDEX($B$22:$GQ$22,MATCH(155,$B$29:$GQ$29,0))</f>
        <v/>
      </c>
      <c r="FA8">
        <f>INDEX($B$22:$GQ$22,MATCH(156,$B$29:$GQ$29,0))</f>
        <v/>
      </c>
      <c r="FB8">
        <f>INDEX($B$22:$GQ$22,MATCH(157,$B$29:$GQ$29,0))</f>
        <v/>
      </c>
      <c r="FC8">
        <f>INDEX($B$22:$GQ$22,MATCH(158,$B$29:$GQ$29,0))</f>
        <v/>
      </c>
      <c r="FD8">
        <f>INDEX($B$22:$GQ$22,MATCH(159,$B$29:$GQ$29,0))</f>
        <v/>
      </c>
      <c r="FE8">
        <f>INDEX($B$22:$GQ$22,MATCH(160,$B$29:$GQ$29,0))</f>
        <v/>
      </c>
      <c r="FF8">
        <f>INDEX($B$22:$GQ$22,MATCH(161,$B$29:$GQ$29,0))</f>
        <v/>
      </c>
      <c r="FG8">
        <f>INDEX($B$22:$GQ$22,MATCH(162,$B$29:$GQ$29,0))</f>
        <v/>
      </c>
      <c r="FH8">
        <f>INDEX($B$22:$GQ$22,MATCH(163,$B$29:$GQ$29,0))</f>
        <v/>
      </c>
      <c r="FI8">
        <f>INDEX($B$22:$GQ$22,MATCH(164,$B$29:$GQ$29,0))</f>
        <v/>
      </c>
      <c r="FJ8">
        <f>INDEX($B$22:$GQ$22,MATCH(165,$B$29:$GQ$29,0))</f>
        <v/>
      </c>
      <c r="FK8">
        <f>INDEX($B$22:$GQ$22,MATCH(166,$B$29:$GQ$29,0))</f>
        <v/>
      </c>
      <c r="FL8">
        <f>INDEX($B$22:$GQ$22,MATCH(167,$B$29:$GQ$29,0))</f>
        <v/>
      </c>
      <c r="FM8">
        <f>INDEX($B$22:$GQ$22,MATCH(168,$B$29:$GQ$29,0))</f>
        <v/>
      </c>
      <c r="FN8">
        <f>INDEX($B$22:$GQ$22,MATCH(169,$B$29:$GQ$29,0))</f>
        <v/>
      </c>
      <c r="FO8">
        <f>INDEX($B$22:$GQ$22,MATCH(170,$B$29:$GQ$29,0))</f>
        <v/>
      </c>
      <c r="FP8">
        <f>INDEX($B$22:$GQ$22,MATCH(171,$B$29:$GQ$29,0))</f>
        <v/>
      </c>
      <c r="FQ8">
        <f>INDEX($B$22:$GQ$22,MATCH(172,$B$29:$GQ$29,0))</f>
        <v/>
      </c>
      <c r="FR8">
        <f>INDEX($B$22:$GQ$22,MATCH(173,$B$29:$GQ$29,0))</f>
        <v/>
      </c>
      <c r="FS8">
        <f>INDEX($B$22:$GQ$22,MATCH(174,$B$29:$GQ$29,0))</f>
        <v/>
      </c>
      <c r="FT8">
        <f>INDEX($B$22:$GQ$22,MATCH(175,$B$29:$GQ$29,0))</f>
        <v/>
      </c>
      <c r="FU8">
        <f>INDEX($B$22:$GQ$22,MATCH(176,$B$29:$GQ$29,0))</f>
        <v/>
      </c>
      <c r="FV8">
        <f>INDEX($B$22:$GQ$22,MATCH(177,$B$29:$GQ$29,0))</f>
        <v/>
      </c>
      <c r="FW8">
        <f>INDEX($B$22:$GQ$22,MATCH(178,$B$29:$GQ$29,0))</f>
        <v/>
      </c>
      <c r="FX8">
        <f>INDEX($B$22:$GQ$22,MATCH(179,$B$29:$GQ$29,0))</f>
        <v/>
      </c>
      <c r="FY8">
        <f>INDEX($B$22:$GQ$22,MATCH(180,$B$29:$GQ$29,0))</f>
        <v/>
      </c>
      <c r="FZ8">
        <f>INDEX($B$22:$GQ$22,MATCH(181,$B$29:$GQ$29,0))</f>
        <v/>
      </c>
      <c r="GA8">
        <f>INDEX($B$22:$GQ$22,MATCH(182,$B$29:$GQ$29,0))</f>
        <v/>
      </c>
      <c r="GB8">
        <f>INDEX($B$22:$GQ$22,MATCH(183,$B$29:$GQ$29,0))</f>
        <v/>
      </c>
      <c r="GC8">
        <f>INDEX($B$22:$GQ$22,MATCH(184,$B$29:$GQ$29,0))</f>
        <v/>
      </c>
      <c r="GD8">
        <f>INDEX($B$22:$GQ$22,MATCH(185,$B$29:$GQ$29,0))</f>
        <v/>
      </c>
      <c r="GE8">
        <f>INDEX($B$22:$GQ$22,MATCH(186,$B$29:$GQ$29,0))</f>
        <v/>
      </c>
      <c r="GF8">
        <f>INDEX($B$22:$GQ$22,MATCH(187,$B$29:$GQ$29,0))</f>
        <v/>
      </c>
      <c r="GG8">
        <f>INDEX($B$22:$GQ$22,MATCH(188,$B$29:$GQ$29,0))</f>
        <v/>
      </c>
      <c r="GH8">
        <f>INDEX($B$22:$GQ$22,MATCH(189,$B$29:$GQ$29,0))</f>
        <v/>
      </c>
      <c r="GI8">
        <f>INDEX($B$22:$GQ$22,MATCH(190,$B$29:$GQ$29,0))</f>
        <v/>
      </c>
      <c r="GJ8">
        <f>INDEX($B$22:$GQ$22,MATCH(191,$B$29:$GQ$29,0))</f>
        <v/>
      </c>
      <c r="GK8">
        <f>INDEX($B$22:$GQ$22,MATCH(192,$B$29:$GQ$29,0))</f>
        <v/>
      </c>
      <c r="GL8">
        <f>INDEX($B$22:$GQ$22,MATCH(193,$B$29:$GQ$29,0))</f>
        <v/>
      </c>
      <c r="GM8">
        <f>INDEX($B$22:$GQ$22,MATCH(194,$B$29:$GQ$29,0))</f>
        <v/>
      </c>
      <c r="GN8">
        <f>INDEX($B$22:$GQ$22,MATCH(195,$B$29:$GQ$29,0))</f>
        <v/>
      </c>
      <c r="GO8">
        <f>INDEX($B$22:$GQ$22,MATCH(196,$B$29:$GQ$29,0))</f>
        <v/>
      </c>
      <c r="GP8">
        <f>INDEX($B$22:$GQ$22,MATCH(197,$B$29:$GQ$29,0))</f>
        <v/>
      </c>
      <c r="GQ8">
        <f>INDEX($B$22:$GQ$22,MATCH(198,$B$29:$GQ$29,0))</f>
        <v/>
      </c>
      <c r="GR8">
        <f>INDEX($GR$22:$HC$22,MATCH(1,$GR$30:$HC$30,0))</f>
        <v/>
      </c>
      <c r="GS8">
        <f>INDEX($GR$22:$HC$22,MATCH(2,$GR$30:$HC$30,0))</f>
        <v/>
      </c>
      <c r="GT8">
        <f>INDEX($GR$22:$HC$22,MATCH(3,$GR$30:$HC$30,0))</f>
        <v/>
      </c>
      <c r="GU8">
        <f>INDEX($GR$22:$HC$22,MATCH(4,$GR$30:$HC$30,0))</f>
        <v/>
      </c>
      <c r="GV8">
        <f>INDEX($GR$22:$HC$22,MATCH(5,$GR$30:$HC$30,0))</f>
        <v/>
      </c>
      <c r="GW8">
        <f>INDEX($GR$22:$HC$22,MATCH(6,$GR$30:$HC$30,0))</f>
        <v/>
      </c>
      <c r="GX8">
        <f>INDEX($GR$22:$HC$22,MATCH(7,$GR$30:$HC$30,0))</f>
        <v/>
      </c>
      <c r="GY8">
        <f>INDEX($GR$22:$HC$22,MATCH(8,$GR$30:$HC$30,0))</f>
        <v/>
      </c>
      <c r="GZ8">
        <f>INDEX($GR$22:$HC$22,MATCH(9,$GR$30:$HC$30,0))</f>
        <v/>
      </c>
      <c r="HA8">
        <f>INDEX($GR$22:$HC$22,MATCH(10,$GR$30:$HC$30,0))</f>
        <v/>
      </c>
      <c r="HB8">
        <f>INDEX($GR$22:$HC$22,MATCH(11,$GR$30:$HC$30,0))</f>
        <v/>
      </c>
      <c r="HC8">
        <f>INDEX($GR$22:$HC$22,MATCH(12,$GR$30:$HC$30,0))</f>
        <v/>
      </c>
    </row>
    <row r="9">
      <c r="A9" s="1" t="inlineStr">
        <is>
          <t>M_imp*Y_dom</t>
        </is>
      </c>
      <c r="B9">
        <f>INDEX($B$23:$GQ$23,MATCH(1,$B$29:$GQ$29,0))</f>
        <v/>
      </c>
      <c r="C9">
        <f>INDEX($B$23:$GQ$23,MATCH(2,$B$29:$GQ$29,0))</f>
        <v/>
      </c>
      <c r="D9">
        <f>INDEX($B$23:$GQ$23,MATCH(3,$B$29:$GQ$29,0))</f>
        <v/>
      </c>
      <c r="E9">
        <f>INDEX($B$23:$GQ$23,MATCH(4,$B$29:$GQ$29,0))</f>
        <v/>
      </c>
      <c r="F9">
        <f>INDEX($B$23:$GQ$23,MATCH(5,$B$29:$GQ$29,0))</f>
        <v/>
      </c>
      <c r="G9">
        <f>INDEX($B$23:$GQ$23,MATCH(6,$B$29:$GQ$29,0))</f>
        <v/>
      </c>
      <c r="H9">
        <f>INDEX($B$23:$GQ$23,MATCH(7,$B$29:$GQ$29,0))</f>
        <v/>
      </c>
      <c r="I9">
        <f>INDEX($B$23:$GQ$23,MATCH(8,$B$29:$GQ$29,0))</f>
        <v/>
      </c>
      <c r="J9">
        <f>INDEX($B$23:$GQ$23,MATCH(9,$B$29:$GQ$29,0))</f>
        <v/>
      </c>
      <c r="K9">
        <f>INDEX($B$23:$GQ$23,MATCH(10,$B$29:$GQ$29,0))</f>
        <v/>
      </c>
      <c r="L9">
        <f>INDEX($B$23:$GQ$23,MATCH(11,$B$29:$GQ$29,0))</f>
        <v/>
      </c>
      <c r="M9">
        <f>INDEX($B$23:$GQ$23,MATCH(12,$B$29:$GQ$29,0))</f>
        <v/>
      </c>
      <c r="N9">
        <f>INDEX($B$23:$GQ$23,MATCH(13,$B$29:$GQ$29,0))</f>
        <v/>
      </c>
      <c r="O9">
        <f>INDEX($B$23:$GQ$23,MATCH(14,$B$29:$GQ$29,0))</f>
        <v/>
      </c>
      <c r="P9">
        <f>INDEX($B$23:$GQ$23,MATCH(15,$B$29:$GQ$29,0))</f>
        <v/>
      </c>
      <c r="Q9">
        <f>INDEX($B$23:$GQ$23,MATCH(16,$B$29:$GQ$29,0))</f>
        <v/>
      </c>
      <c r="R9">
        <f>INDEX($B$23:$GQ$23,MATCH(17,$B$29:$GQ$29,0))</f>
        <v/>
      </c>
      <c r="S9">
        <f>INDEX($B$23:$GQ$23,MATCH(18,$B$29:$GQ$29,0))</f>
        <v/>
      </c>
      <c r="T9">
        <f>INDEX($B$23:$GQ$23,MATCH(19,$B$29:$GQ$29,0))</f>
        <v/>
      </c>
      <c r="U9">
        <f>INDEX($B$23:$GQ$23,MATCH(20,$B$29:$GQ$29,0))</f>
        <v/>
      </c>
      <c r="V9">
        <f>INDEX($B$23:$GQ$23,MATCH(21,$B$29:$GQ$29,0))</f>
        <v/>
      </c>
      <c r="W9">
        <f>INDEX($B$23:$GQ$23,MATCH(22,$B$29:$GQ$29,0))</f>
        <v/>
      </c>
      <c r="X9">
        <f>INDEX($B$23:$GQ$23,MATCH(23,$B$29:$GQ$29,0))</f>
        <v/>
      </c>
      <c r="Y9">
        <f>INDEX($B$23:$GQ$23,MATCH(24,$B$29:$GQ$29,0))</f>
        <v/>
      </c>
      <c r="Z9">
        <f>INDEX($B$23:$GQ$23,MATCH(25,$B$29:$GQ$29,0))</f>
        <v/>
      </c>
      <c r="AA9">
        <f>INDEX($B$23:$GQ$23,MATCH(26,$B$29:$GQ$29,0))</f>
        <v/>
      </c>
      <c r="AB9">
        <f>INDEX($B$23:$GQ$23,MATCH(27,$B$29:$GQ$29,0))</f>
        <v/>
      </c>
      <c r="AC9">
        <f>INDEX($B$23:$GQ$23,MATCH(28,$B$29:$GQ$29,0))</f>
        <v/>
      </c>
      <c r="AD9">
        <f>INDEX($B$23:$GQ$23,MATCH(29,$B$29:$GQ$29,0))</f>
        <v/>
      </c>
      <c r="AE9">
        <f>INDEX($B$23:$GQ$23,MATCH(30,$B$29:$GQ$29,0))</f>
        <v/>
      </c>
      <c r="AF9">
        <f>INDEX($B$23:$GQ$23,MATCH(31,$B$29:$GQ$29,0))</f>
        <v/>
      </c>
      <c r="AG9">
        <f>INDEX($B$23:$GQ$23,MATCH(32,$B$29:$GQ$29,0))</f>
        <v/>
      </c>
      <c r="AH9">
        <f>INDEX($B$23:$GQ$23,MATCH(33,$B$29:$GQ$29,0))</f>
        <v/>
      </c>
      <c r="AI9">
        <f>INDEX($B$23:$GQ$23,MATCH(34,$B$29:$GQ$29,0))</f>
        <v/>
      </c>
      <c r="AJ9">
        <f>INDEX($B$23:$GQ$23,MATCH(35,$B$29:$GQ$29,0))</f>
        <v/>
      </c>
      <c r="AK9">
        <f>INDEX($B$23:$GQ$23,MATCH(36,$B$29:$GQ$29,0))</f>
        <v/>
      </c>
      <c r="AL9">
        <f>INDEX($B$23:$GQ$23,MATCH(37,$B$29:$GQ$29,0))</f>
        <v/>
      </c>
      <c r="AM9">
        <f>INDEX($B$23:$GQ$23,MATCH(38,$B$29:$GQ$29,0))</f>
        <v/>
      </c>
      <c r="AN9">
        <f>INDEX($B$23:$GQ$23,MATCH(39,$B$29:$GQ$29,0))</f>
        <v/>
      </c>
      <c r="AO9">
        <f>INDEX($B$23:$GQ$23,MATCH(40,$B$29:$GQ$29,0))</f>
        <v/>
      </c>
      <c r="AP9">
        <f>INDEX($B$23:$GQ$23,MATCH(41,$B$29:$GQ$29,0))</f>
        <v/>
      </c>
      <c r="AQ9">
        <f>INDEX($B$23:$GQ$23,MATCH(42,$B$29:$GQ$29,0))</f>
        <v/>
      </c>
      <c r="AR9">
        <f>INDEX($B$23:$GQ$23,MATCH(43,$B$29:$GQ$29,0))</f>
        <v/>
      </c>
      <c r="AS9">
        <f>INDEX($B$23:$GQ$23,MATCH(44,$B$29:$GQ$29,0))</f>
        <v/>
      </c>
      <c r="AT9">
        <f>INDEX($B$23:$GQ$23,MATCH(45,$B$29:$GQ$29,0))</f>
        <v/>
      </c>
      <c r="AU9">
        <f>INDEX($B$23:$GQ$23,MATCH(46,$B$29:$GQ$29,0))</f>
        <v/>
      </c>
      <c r="AV9">
        <f>INDEX($B$23:$GQ$23,MATCH(47,$B$29:$GQ$29,0))</f>
        <v/>
      </c>
      <c r="AW9">
        <f>INDEX($B$23:$GQ$23,MATCH(48,$B$29:$GQ$29,0))</f>
        <v/>
      </c>
      <c r="AX9">
        <f>INDEX($B$23:$GQ$23,MATCH(49,$B$29:$GQ$29,0))</f>
        <v/>
      </c>
      <c r="AY9">
        <f>INDEX($B$23:$GQ$23,MATCH(50,$B$29:$GQ$29,0))</f>
        <v/>
      </c>
      <c r="AZ9">
        <f>INDEX($B$23:$GQ$23,MATCH(51,$B$29:$GQ$29,0))</f>
        <v/>
      </c>
      <c r="BA9">
        <f>INDEX($B$23:$GQ$23,MATCH(52,$B$29:$GQ$29,0))</f>
        <v/>
      </c>
      <c r="BB9">
        <f>INDEX($B$23:$GQ$23,MATCH(53,$B$29:$GQ$29,0))</f>
        <v/>
      </c>
      <c r="BC9">
        <f>INDEX($B$23:$GQ$23,MATCH(54,$B$29:$GQ$29,0))</f>
        <v/>
      </c>
      <c r="BD9">
        <f>INDEX($B$23:$GQ$23,MATCH(55,$B$29:$GQ$29,0))</f>
        <v/>
      </c>
      <c r="BE9">
        <f>INDEX($B$23:$GQ$23,MATCH(56,$B$29:$GQ$29,0))</f>
        <v/>
      </c>
      <c r="BF9">
        <f>INDEX($B$23:$GQ$23,MATCH(57,$B$29:$GQ$29,0))</f>
        <v/>
      </c>
      <c r="BG9">
        <f>INDEX($B$23:$GQ$23,MATCH(58,$B$29:$GQ$29,0))</f>
        <v/>
      </c>
      <c r="BH9">
        <f>INDEX($B$23:$GQ$23,MATCH(59,$B$29:$GQ$29,0))</f>
        <v/>
      </c>
      <c r="BI9">
        <f>INDEX($B$23:$GQ$23,MATCH(60,$B$29:$GQ$29,0))</f>
        <v/>
      </c>
      <c r="BJ9">
        <f>INDEX($B$23:$GQ$23,MATCH(61,$B$29:$GQ$29,0))</f>
        <v/>
      </c>
      <c r="BK9">
        <f>INDEX($B$23:$GQ$23,MATCH(62,$B$29:$GQ$29,0))</f>
        <v/>
      </c>
      <c r="BL9">
        <f>INDEX($B$23:$GQ$23,MATCH(63,$B$29:$GQ$29,0))</f>
        <v/>
      </c>
      <c r="BM9">
        <f>INDEX($B$23:$GQ$23,MATCH(64,$B$29:$GQ$29,0))</f>
        <v/>
      </c>
      <c r="BN9">
        <f>INDEX($B$23:$GQ$23,MATCH(65,$B$29:$GQ$29,0))</f>
        <v/>
      </c>
      <c r="BO9">
        <f>INDEX($B$23:$GQ$23,MATCH(66,$B$29:$GQ$29,0))</f>
        <v/>
      </c>
      <c r="BP9">
        <f>INDEX($B$23:$GQ$23,MATCH(67,$B$29:$GQ$29,0))</f>
        <v/>
      </c>
      <c r="BQ9">
        <f>INDEX($B$23:$GQ$23,MATCH(68,$B$29:$GQ$29,0))</f>
        <v/>
      </c>
      <c r="BR9">
        <f>INDEX($B$23:$GQ$23,MATCH(69,$B$29:$GQ$29,0))</f>
        <v/>
      </c>
      <c r="BS9">
        <f>INDEX($B$23:$GQ$23,MATCH(70,$B$29:$GQ$29,0))</f>
        <v/>
      </c>
      <c r="BT9">
        <f>INDEX($B$23:$GQ$23,MATCH(71,$B$29:$GQ$29,0))</f>
        <v/>
      </c>
      <c r="BU9">
        <f>INDEX($B$23:$GQ$23,MATCH(72,$B$29:$GQ$29,0))</f>
        <v/>
      </c>
      <c r="BV9">
        <f>INDEX($B$23:$GQ$23,MATCH(73,$B$29:$GQ$29,0))</f>
        <v/>
      </c>
      <c r="BW9">
        <f>INDEX($B$23:$GQ$23,MATCH(74,$B$29:$GQ$29,0))</f>
        <v/>
      </c>
      <c r="BX9">
        <f>INDEX($B$23:$GQ$23,MATCH(75,$B$29:$GQ$29,0))</f>
        <v/>
      </c>
      <c r="BY9">
        <f>INDEX($B$23:$GQ$23,MATCH(76,$B$29:$GQ$29,0))</f>
        <v/>
      </c>
      <c r="BZ9">
        <f>INDEX($B$23:$GQ$23,MATCH(77,$B$29:$GQ$29,0))</f>
        <v/>
      </c>
      <c r="CA9">
        <f>INDEX($B$23:$GQ$23,MATCH(78,$B$29:$GQ$29,0))</f>
        <v/>
      </c>
      <c r="CB9">
        <f>INDEX($B$23:$GQ$23,MATCH(79,$B$29:$GQ$29,0))</f>
        <v/>
      </c>
      <c r="CC9">
        <f>INDEX($B$23:$GQ$23,MATCH(80,$B$29:$GQ$29,0))</f>
        <v/>
      </c>
      <c r="CD9">
        <f>INDEX($B$23:$GQ$23,MATCH(81,$B$29:$GQ$29,0))</f>
        <v/>
      </c>
      <c r="CE9">
        <f>INDEX($B$23:$GQ$23,MATCH(82,$B$29:$GQ$29,0))</f>
        <v/>
      </c>
      <c r="CF9">
        <f>INDEX($B$23:$GQ$23,MATCH(83,$B$29:$GQ$29,0))</f>
        <v/>
      </c>
      <c r="CG9">
        <f>INDEX($B$23:$GQ$23,MATCH(84,$B$29:$GQ$29,0))</f>
        <v/>
      </c>
      <c r="CH9">
        <f>INDEX($B$23:$GQ$23,MATCH(85,$B$29:$GQ$29,0))</f>
        <v/>
      </c>
      <c r="CI9">
        <f>INDEX($B$23:$GQ$23,MATCH(86,$B$29:$GQ$29,0))</f>
        <v/>
      </c>
      <c r="CJ9">
        <f>INDEX($B$23:$GQ$23,MATCH(87,$B$29:$GQ$29,0))</f>
        <v/>
      </c>
      <c r="CK9">
        <f>INDEX($B$23:$GQ$23,MATCH(88,$B$29:$GQ$29,0))</f>
        <v/>
      </c>
      <c r="CL9">
        <f>INDEX($B$23:$GQ$23,MATCH(89,$B$29:$GQ$29,0))</f>
        <v/>
      </c>
      <c r="CM9">
        <f>INDEX($B$23:$GQ$23,MATCH(90,$B$29:$GQ$29,0))</f>
        <v/>
      </c>
      <c r="CN9">
        <f>INDEX($B$23:$GQ$23,MATCH(91,$B$29:$GQ$29,0))</f>
        <v/>
      </c>
      <c r="CO9">
        <f>INDEX($B$23:$GQ$23,MATCH(92,$B$29:$GQ$29,0))</f>
        <v/>
      </c>
      <c r="CP9">
        <f>INDEX($B$23:$GQ$23,MATCH(93,$B$29:$GQ$29,0))</f>
        <v/>
      </c>
      <c r="CQ9">
        <f>INDEX($B$23:$GQ$23,MATCH(94,$B$29:$GQ$29,0))</f>
        <v/>
      </c>
      <c r="CR9">
        <f>INDEX($B$23:$GQ$23,MATCH(95,$B$29:$GQ$29,0))</f>
        <v/>
      </c>
      <c r="CS9">
        <f>INDEX($B$23:$GQ$23,MATCH(96,$B$29:$GQ$29,0))</f>
        <v/>
      </c>
      <c r="CT9">
        <f>INDEX($B$23:$GQ$23,MATCH(97,$B$29:$GQ$29,0))</f>
        <v/>
      </c>
      <c r="CU9">
        <f>INDEX($B$23:$GQ$23,MATCH(98,$B$29:$GQ$29,0))</f>
        <v/>
      </c>
      <c r="CV9">
        <f>INDEX($B$23:$GQ$23,MATCH(99,$B$29:$GQ$29,0))</f>
        <v/>
      </c>
      <c r="CW9">
        <f>INDEX($B$23:$GQ$23,MATCH(100,$B$29:$GQ$29,0))</f>
        <v/>
      </c>
      <c r="CX9">
        <f>INDEX($B$23:$GQ$23,MATCH(101,$B$29:$GQ$29,0))</f>
        <v/>
      </c>
      <c r="CY9">
        <f>INDEX($B$23:$GQ$23,MATCH(102,$B$29:$GQ$29,0))</f>
        <v/>
      </c>
      <c r="CZ9">
        <f>INDEX($B$23:$GQ$23,MATCH(103,$B$29:$GQ$29,0))</f>
        <v/>
      </c>
      <c r="DA9">
        <f>INDEX($B$23:$GQ$23,MATCH(104,$B$29:$GQ$29,0))</f>
        <v/>
      </c>
      <c r="DB9">
        <f>INDEX($B$23:$GQ$23,MATCH(105,$B$29:$GQ$29,0))</f>
        <v/>
      </c>
      <c r="DC9">
        <f>INDEX($B$23:$GQ$23,MATCH(106,$B$29:$GQ$29,0))</f>
        <v/>
      </c>
      <c r="DD9">
        <f>INDEX($B$23:$GQ$23,MATCH(107,$B$29:$GQ$29,0))</f>
        <v/>
      </c>
      <c r="DE9">
        <f>INDEX($B$23:$GQ$23,MATCH(108,$B$29:$GQ$29,0))</f>
        <v/>
      </c>
      <c r="DF9">
        <f>INDEX($B$23:$GQ$23,MATCH(109,$B$29:$GQ$29,0))</f>
        <v/>
      </c>
      <c r="DG9">
        <f>INDEX($B$23:$GQ$23,MATCH(110,$B$29:$GQ$29,0))</f>
        <v/>
      </c>
      <c r="DH9">
        <f>INDEX($B$23:$GQ$23,MATCH(111,$B$29:$GQ$29,0))</f>
        <v/>
      </c>
      <c r="DI9">
        <f>INDEX($B$23:$GQ$23,MATCH(112,$B$29:$GQ$29,0))</f>
        <v/>
      </c>
      <c r="DJ9">
        <f>INDEX($B$23:$GQ$23,MATCH(113,$B$29:$GQ$29,0))</f>
        <v/>
      </c>
      <c r="DK9">
        <f>INDEX($B$23:$GQ$23,MATCH(114,$B$29:$GQ$29,0))</f>
        <v/>
      </c>
      <c r="DL9">
        <f>INDEX($B$23:$GQ$23,MATCH(115,$B$29:$GQ$29,0))</f>
        <v/>
      </c>
      <c r="DM9">
        <f>INDEX($B$23:$GQ$23,MATCH(116,$B$29:$GQ$29,0))</f>
        <v/>
      </c>
      <c r="DN9">
        <f>INDEX($B$23:$GQ$23,MATCH(117,$B$29:$GQ$29,0))</f>
        <v/>
      </c>
      <c r="DO9">
        <f>INDEX($B$23:$GQ$23,MATCH(118,$B$29:$GQ$29,0))</f>
        <v/>
      </c>
      <c r="DP9">
        <f>INDEX($B$23:$GQ$23,MATCH(119,$B$29:$GQ$29,0))</f>
        <v/>
      </c>
      <c r="DQ9">
        <f>INDEX($B$23:$GQ$23,MATCH(120,$B$29:$GQ$29,0))</f>
        <v/>
      </c>
      <c r="DR9">
        <f>INDEX($B$23:$GQ$23,MATCH(121,$B$29:$GQ$29,0))</f>
        <v/>
      </c>
      <c r="DS9">
        <f>INDEX($B$23:$GQ$23,MATCH(122,$B$29:$GQ$29,0))</f>
        <v/>
      </c>
      <c r="DT9">
        <f>INDEX($B$23:$GQ$23,MATCH(123,$B$29:$GQ$29,0))</f>
        <v/>
      </c>
      <c r="DU9">
        <f>INDEX($B$23:$GQ$23,MATCH(124,$B$29:$GQ$29,0))</f>
        <v/>
      </c>
      <c r="DV9">
        <f>INDEX($B$23:$GQ$23,MATCH(125,$B$29:$GQ$29,0))</f>
        <v/>
      </c>
      <c r="DW9">
        <f>INDEX($B$23:$GQ$23,MATCH(126,$B$29:$GQ$29,0))</f>
        <v/>
      </c>
      <c r="DX9">
        <f>INDEX($B$23:$GQ$23,MATCH(127,$B$29:$GQ$29,0))</f>
        <v/>
      </c>
      <c r="DY9">
        <f>INDEX($B$23:$GQ$23,MATCH(128,$B$29:$GQ$29,0))</f>
        <v/>
      </c>
      <c r="DZ9">
        <f>INDEX($B$23:$GQ$23,MATCH(129,$B$29:$GQ$29,0))</f>
        <v/>
      </c>
      <c r="EA9">
        <f>INDEX($B$23:$GQ$23,MATCH(130,$B$29:$GQ$29,0))</f>
        <v/>
      </c>
      <c r="EB9">
        <f>INDEX($B$23:$GQ$23,MATCH(131,$B$29:$GQ$29,0))</f>
        <v/>
      </c>
      <c r="EC9">
        <f>INDEX($B$23:$GQ$23,MATCH(132,$B$29:$GQ$29,0))</f>
        <v/>
      </c>
      <c r="ED9">
        <f>INDEX($B$23:$GQ$23,MATCH(133,$B$29:$GQ$29,0))</f>
        <v/>
      </c>
      <c r="EE9">
        <f>INDEX($B$23:$GQ$23,MATCH(134,$B$29:$GQ$29,0))</f>
        <v/>
      </c>
      <c r="EF9">
        <f>INDEX($B$23:$GQ$23,MATCH(135,$B$29:$GQ$29,0))</f>
        <v/>
      </c>
      <c r="EG9">
        <f>INDEX($B$23:$GQ$23,MATCH(136,$B$29:$GQ$29,0))</f>
        <v/>
      </c>
      <c r="EH9">
        <f>INDEX($B$23:$GQ$23,MATCH(137,$B$29:$GQ$29,0))</f>
        <v/>
      </c>
      <c r="EI9">
        <f>INDEX($B$23:$GQ$23,MATCH(138,$B$29:$GQ$29,0))</f>
        <v/>
      </c>
      <c r="EJ9">
        <f>INDEX($B$23:$GQ$23,MATCH(139,$B$29:$GQ$29,0))</f>
        <v/>
      </c>
      <c r="EK9">
        <f>INDEX($B$23:$GQ$23,MATCH(140,$B$29:$GQ$29,0))</f>
        <v/>
      </c>
      <c r="EL9">
        <f>INDEX($B$23:$GQ$23,MATCH(141,$B$29:$GQ$29,0))</f>
        <v/>
      </c>
      <c r="EM9">
        <f>INDEX($B$23:$GQ$23,MATCH(142,$B$29:$GQ$29,0))</f>
        <v/>
      </c>
      <c r="EN9">
        <f>INDEX($B$23:$GQ$23,MATCH(143,$B$29:$GQ$29,0))</f>
        <v/>
      </c>
      <c r="EO9">
        <f>INDEX($B$23:$GQ$23,MATCH(144,$B$29:$GQ$29,0))</f>
        <v/>
      </c>
      <c r="EP9">
        <f>INDEX($B$23:$GQ$23,MATCH(145,$B$29:$GQ$29,0))</f>
        <v/>
      </c>
      <c r="EQ9">
        <f>INDEX($B$23:$GQ$23,MATCH(146,$B$29:$GQ$29,0))</f>
        <v/>
      </c>
      <c r="ER9">
        <f>INDEX($B$23:$GQ$23,MATCH(147,$B$29:$GQ$29,0))</f>
        <v/>
      </c>
      <c r="ES9">
        <f>INDEX($B$23:$GQ$23,MATCH(148,$B$29:$GQ$29,0))</f>
        <v/>
      </c>
      <c r="ET9">
        <f>INDEX($B$23:$GQ$23,MATCH(149,$B$29:$GQ$29,0))</f>
        <v/>
      </c>
      <c r="EU9">
        <f>INDEX($B$23:$GQ$23,MATCH(150,$B$29:$GQ$29,0))</f>
        <v/>
      </c>
      <c r="EV9">
        <f>INDEX($B$23:$GQ$23,MATCH(151,$B$29:$GQ$29,0))</f>
        <v/>
      </c>
      <c r="EW9">
        <f>INDEX($B$23:$GQ$23,MATCH(152,$B$29:$GQ$29,0))</f>
        <v/>
      </c>
      <c r="EX9">
        <f>INDEX($B$23:$GQ$23,MATCH(153,$B$29:$GQ$29,0))</f>
        <v/>
      </c>
      <c r="EY9">
        <f>INDEX($B$23:$GQ$23,MATCH(154,$B$29:$GQ$29,0))</f>
        <v/>
      </c>
      <c r="EZ9">
        <f>INDEX($B$23:$GQ$23,MATCH(155,$B$29:$GQ$29,0))</f>
        <v/>
      </c>
      <c r="FA9">
        <f>INDEX($B$23:$GQ$23,MATCH(156,$B$29:$GQ$29,0))</f>
        <v/>
      </c>
      <c r="FB9">
        <f>INDEX($B$23:$GQ$23,MATCH(157,$B$29:$GQ$29,0))</f>
        <v/>
      </c>
      <c r="FC9">
        <f>INDEX($B$23:$GQ$23,MATCH(158,$B$29:$GQ$29,0))</f>
        <v/>
      </c>
      <c r="FD9">
        <f>INDEX($B$23:$GQ$23,MATCH(159,$B$29:$GQ$29,0))</f>
        <v/>
      </c>
      <c r="FE9">
        <f>INDEX($B$23:$GQ$23,MATCH(160,$B$29:$GQ$29,0))</f>
        <v/>
      </c>
      <c r="FF9">
        <f>INDEX($B$23:$GQ$23,MATCH(161,$B$29:$GQ$29,0))</f>
        <v/>
      </c>
      <c r="FG9">
        <f>INDEX($B$23:$GQ$23,MATCH(162,$B$29:$GQ$29,0))</f>
        <v/>
      </c>
      <c r="FH9">
        <f>INDEX($B$23:$GQ$23,MATCH(163,$B$29:$GQ$29,0))</f>
        <v/>
      </c>
      <c r="FI9">
        <f>INDEX($B$23:$GQ$23,MATCH(164,$B$29:$GQ$29,0))</f>
        <v/>
      </c>
      <c r="FJ9">
        <f>INDEX($B$23:$GQ$23,MATCH(165,$B$29:$GQ$29,0))</f>
        <v/>
      </c>
      <c r="FK9">
        <f>INDEX($B$23:$GQ$23,MATCH(166,$B$29:$GQ$29,0))</f>
        <v/>
      </c>
      <c r="FL9">
        <f>INDEX($B$23:$GQ$23,MATCH(167,$B$29:$GQ$29,0))</f>
        <v/>
      </c>
      <c r="FM9">
        <f>INDEX($B$23:$GQ$23,MATCH(168,$B$29:$GQ$29,0))</f>
        <v/>
      </c>
      <c r="FN9">
        <f>INDEX($B$23:$GQ$23,MATCH(169,$B$29:$GQ$29,0))</f>
        <v/>
      </c>
      <c r="FO9">
        <f>INDEX($B$23:$GQ$23,MATCH(170,$B$29:$GQ$29,0))</f>
        <v/>
      </c>
      <c r="FP9">
        <f>INDEX($B$23:$GQ$23,MATCH(171,$B$29:$GQ$29,0))</f>
        <v/>
      </c>
      <c r="FQ9">
        <f>INDEX($B$23:$GQ$23,MATCH(172,$B$29:$GQ$29,0))</f>
        <v/>
      </c>
      <c r="FR9">
        <f>INDEX($B$23:$GQ$23,MATCH(173,$B$29:$GQ$29,0))</f>
        <v/>
      </c>
      <c r="FS9">
        <f>INDEX($B$23:$GQ$23,MATCH(174,$B$29:$GQ$29,0))</f>
        <v/>
      </c>
      <c r="FT9">
        <f>INDEX($B$23:$GQ$23,MATCH(175,$B$29:$GQ$29,0))</f>
        <v/>
      </c>
      <c r="FU9">
        <f>INDEX($B$23:$GQ$23,MATCH(176,$B$29:$GQ$29,0))</f>
        <v/>
      </c>
      <c r="FV9">
        <f>INDEX($B$23:$GQ$23,MATCH(177,$B$29:$GQ$29,0))</f>
        <v/>
      </c>
      <c r="FW9">
        <f>INDEX($B$23:$GQ$23,MATCH(178,$B$29:$GQ$29,0))</f>
        <v/>
      </c>
      <c r="FX9">
        <f>INDEX($B$23:$GQ$23,MATCH(179,$B$29:$GQ$29,0))</f>
        <v/>
      </c>
      <c r="FY9">
        <f>INDEX($B$23:$GQ$23,MATCH(180,$B$29:$GQ$29,0))</f>
        <v/>
      </c>
      <c r="FZ9">
        <f>INDEX($B$23:$GQ$23,MATCH(181,$B$29:$GQ$29,0))</f>
        <v/>
      </c>
      <c r="GA9">
        <f>INDEX($B$23:$GQ$23,MATCH(182,$B$29:$GQ$29,0))</f>
        <v/>
      </c>
      <c r="GB9">
        <f>INDEX($B$23:$GQ$23,MATCH(183,$B$29:$GQ$29,0))</f>
        <v/>
      </c>
      <c r="GC9">
        <f>INDEX($B$23:$GQ$23,MATCH(184,$B$29:$GQ$29,0))</f>
        <v/>
      </c>
      <c r="GD9">
        <f>INDEX($B$23:$GQ$23,MATCH(185,$B$29:$GQ$29,0))</f>
        <v/>
      </c>
      <c r="GE9">
        <f>INDEX($B$23:$GQ$23,MATCH(186,$B$29:$GQ$29,0))</f>
        <v/>
      </c>
      <c r="GF9">
        <f>INDEX($B$23:$GQ$23,MATCH(187,$B$29:$GQ$29,0))</f>
        <v/>
      </c>
      <c r="GG9">
        <f>INDEX($B$23:$GQ$23,MATCH(188,$B$29:$GQ$29,0))</f>
        <v/>
      </c>
      <c r="GH9">
        <f>INDEX($B$23:$GQ$23,MATCH(189,$B$29:$GQ$29,0))</f>
        <v/>
      </c>
      <c r="GI9">
        <f>INDEX($B$23:$GQ$23,MATCH(190,$B$29:$GQ$29,0))</f>
        <v/>
      </c>
      <c r="GJ9">
        <f>INDEX($B$23:$GQ$23,MATCH(191,$B$29:$GQ$29,0))</f>
        <v/>
      </c>
      <c r="GK9">
        <f>INDEX($B$23:$GQ$23,MATCH(192,$B$29:$GQ$29,0))</f>
        <v/>
      </c>
      <c r="GL9">
        <f>INDEX($B$23:$GQ$23,MATCH(193,$B$29:$GQ$29,0))</f>
        <v/>
      </c>
      <c r="GM9">
        <f>INDEX($B$23:$GQ$23,MATCH(194,$B$29:$GQ$29,0))</f>
        <v/>
      </c>
      <c r="GN9">
        <f>INDEX($B$23:$GQ$23,MATCH(195,$B$29:$GQ$29,0))</f>
        <v/>
      </c>
      <c r="GO9">
        <f>INDEX($B$23:$GQ$23,MATCH(196,$B$29:$GQ$29,0))</f>
        <v/>
      </c>
      <c r="GP9">
        <f>INDEX($B$23:$GQ$23,MATCH(197,$B$29:$GQ$29,0))</f>
        <v/>
      </c>
      <c r="GQ9">
        <f>INDEX($B$23:$GQ$23,MATCH(198,$B$29:$GQ$29,0))</f>
        <v/>
      </c>
      <c r="GR9">
        <f>INDEX($GR$23:$HC$23,MATCH(1,$GR$30:$HC$30,0))</f>
        <v/>
      </c>
      <c r="GS9">
        <f>INDEX($GR$23:$HC$23,MATCH(2,$GR$30:$HC$30,0))</f>
        <v/>
      </c>
      <c r="GT9">
        <f>INDEX($GR$23:$HC$23,MATCH(3,$GR$30:$HC$30,0))</f>
        <v/>
      </c>
      <c r="GU9">
        <f>INDEX($GR$23:$HC$23,MATCH(4,$GR$30:$HC$30,0))</f>
        <v/>
      </c>
      <c r="GV9">
        <f>INDEX($GR$23:$HC$23,MATCH(5,$GR$30:$HC$30,0))</f>
        <v/>
      </c>
      <c r="GW9">
        <f>INDEX($GR$23:$HC$23,MATCH(6,$GR$30:$HC$30,0))</f>
        <v/>
      </c>
      <c r="GX9">
        <f>INDEX($GR$23:$HC$23,MATCH(7,$GR$30:$HC$30,0))</f>
        <v/>
      </c>
      <c r="GY9">
        <f>INDEX($GR$23:$HC$23,MATCH(8,$GR$30:$HC$30,0))</f>
        <v/>
      </c>
      <c r="GZ9">
        <f>INDEX($GR$23:$HC$23,MATCH(9,$GR$30:$HC$30,0))</f>
        <v/>
      </c>
      <c r="HA9">
        <f>INDEX($GR$23:$HC$23,MATCH(10,$GR$30:$HC$30,0))</f>
        <v/>
      </c>
      <c r="HB9">
        <f>INDEX($GR$23:$HC$23,MATCH(11,$GR$30:$HC$30,0))</f>
        <v/>
      </c>
      <c r="HC9">
        <f>INDEX($GR$23:$HC$23,MATCH(12,$GR$30:$HC$30,0))</f>
        <v/>
      </c>
    </row>
    <row r="10">
      <c r="A10" s="1" t="inlineStr">
        <is>
          <t>M_dom*Y_dom</t>
        </is>
      </c>
      <c r="B10">
        <f>INDEX($B$24:$GQ$24,MATCH(1,$B$29:$GQ$29,0))</f>
        <v/>
      </c>
      <c r="C10">
        <f>INDEX($B$24:$GQ$24,MATCH(2,$B$29:$GQ$29,0))</f>
        <v/>
      </c>
      <c r="D10">
        <f>INDEX($B$24:$GQ$24,MATCH(3,$B$29:$GQ$29,0))</f>
        <v/>
      </c>
      <c r="E10">
        <f>INDEX($B$24:$GQ$24,MATCH(4,$B$29:$GQ$29,0))</f>
        <v/>
      </c>
      <c r="F10">
        <f>INDEX($B$24:$GQ$24,MATCH(5,$B$29:$GQ$29,0))</f>
        <v/>
      </c>
      <c r="G10">
        <f>INDEX($B$24:$GQ$24,MATCH(6,$B$29:$GQ$29,0))</f>
        <v/>
      </c>
      <c r="H10">
        <f>INDEX($B$24:$GQ$24,MATCH(7,$B$29:$GQ$29,0))</f>
        <v/>
      </c>
      <c r="I10">
        <f>INDEX($B$24:$GQ$24,MATCH(8,$B$29:$GQ$29,0))</f>
        <v/>
      </c>
      <c r="J10">
        <f>INDEX($B$24:$GQ$24,MATCH(9,$B$29:$GQ$29,0))</f>
        <v/>
      </c>
      <c r="K10">
        <f>INDEX($B$24:$GQ$24,MATCH(10,$B$29:$GQ$29,0))</f>
        <v/>
      </c>
      <c r="L10">
        <f>INDEX($B$24:$GQ$24,MATCH(11,$B$29:$GQ$29,0))</f>
        <v/>
      </c>
      <c r="M10">
        <f>INDEX($B$24:$GQ$24,MATCH(12,$B$29:$GQ$29,0))</f>
        <v/>
      </c>
      <c r="N10">
        <f>INDEX($B$24:$GQ$24,MATCH(13,$B$29:$GQ$29,0))</f>
        <v/>
      </c>
      <c r="O10">
        <f>INDEX($B$24:$GQ$24,MATCH(14,$B$29:$GQ$29,0))</f>
        <v/>
      </c>
      <c r="P10">
        <f>INDEX($B$24:$GQ$24,MATCH(15,$B$29:$GQ$29,0))</f>
        <v/>
      </c>
      <c r="Q10">
        <f>INDEX($B$24:$GQ$24,MATCH(16,$B$29:$GQ$29,0))</f>
        <v/>
      </c>
      <c r="R10">
        <f>INDEX($B$24:$GQ$24,MATCH(17,$B$29:$GQ$29,0))</f>
        <v/>
      </c>
      <c r="S10">
        <f>INDEX($B$24:$GQ$24,MATCH(18,$B$29:$GQ$29,0))</f>
        <v/>
      </c>
      <c r="T10">
        <f>INDEX($B$24:$GQ$24,MATCH(19,$B$29:$GQ$29,0))</f>
        <v/>
      </c>
      <c r="U10">
        <f>INDEX($B$24:$GQ$24,MATCH(20,$B$29:$GQ$29,0))</f>
        <v/>
      </c>
      <c r="V10">
        <f>INDEX($B$24:$GQ$24,MATCH(21,$B$29:$GQ$29,0))</f>
        <v/>
      </c>
      <c r="W10">
        <f>INDEX($B$24:$GQ$24,MATCH(22,$B$29:$GQ$29,0))</f>
        <v/>
      </c>
      <c r="X10">
        <f>INDEX($B$24:$GQ$24,MATCH(23,$B$29:$GQ$29,0))</f>
        <v/>
      </c>
      <c r="Y10">
        <f>INDEX($B$24:$GQ$24,MATCH(24,$B$29:$GQ$29,0))</f>
        <v/>
      </c>
      <c r="Z10">
        <f>INDEX($B$24:$GQ$24,MATCH(25,$B$29:$GQ$29,0))</f>
        <v/>
      </c>
      <c r="AA10">
        <f>INDEX($B$24:$GQ$24,MATCH(26,$B$29:$GQ$29,0))</f>
        <v/>
      </c>
      <c r="AB10">
        <f>INDEX($B$24:$GQ$24,MATCH(27,$B$29:$GQ$29,0))</f>
        <v/>
      </c>
      <c r="AC10">
        <f>INDEX($B$24:$GQ$24,MATCH(28,$B$29:$GQ$29,0))</f>
        <v/>
      </c>
      <c r="AD10">
        <f>INDEX($B$24:$GQ$24,MATCH(29,$B$29:$GQ$29,0))</f>
        <v/>
      </c>
      <c r="AE10">
        <f>INDEX($B$24:$GQ$24,MATCH(30,$B$29:$GQ$29,0))</f>
        <v/>
      </c>
      <c r="AF10">
        <f>INDEX($B$24:$GQ$24,MATCH(31,$B$29:$GQ$29,0))</f>
        <v/>
      </c>
      <c r="AG10">
        <f>INDEX($B$24:$GQ$24,MATCH(32,$B$29:$GQ$29,0))</f>
        <v/>
      </c>
      <c r="AH10">
        <f>INDEX($B$24:$GQ$24,MATCH(33,$B$29:$GQ$29,0))</f>
        <v/>
      </c>
      <c r="AI10">
        <f>INDEX($B$24:$GQ$24,MATCH(34,$B$29:$GQ$29,0))</f>
        <v/>
      </c>
      <c r="AJ10">
        <f>INDEX($B$24:$GQ$24,MATCH(35,$B$29:$GQ$29,0))</f>
        <v/>
      </c>
      <c r="AK10">
        <f>INDEX($B$24:$GQ$24,MATCH(36,$B$29:$GQ$29,0))</f>
        <v/>
      </c>
      <c r="AL10">
        <f>INDEX($B$24:$GQ$24,MATCH(37,$B$29:$GQ$29,0))</f>
        <v/>
      </c>
      <c r="AM10">
        <f>INDEX($B$24:$GQ$24,MATCH(38,$B$29:$GQ$29,0))</f>
        <v/>
      </c>
      <c r="AN10">
        <f>INDEX($B$24:$GQ$24,MATCH(39,$B$29:$GQ$29,0))</f>
        <v/>
      </c>
      <c r="AO10">
        <f>INDEX($B$24:$GQ$24,MATCH(40,$B$29:$GQ$29,0))</f>
        <v/>
      </c>
      <c r="AP10">
        <f>INDEX($B$24:$GQ$24,MATCH(41,$B$29:$GQ$29,0))</f>
        <v/>
      </c>
      <c r="AQ10">
        <f>INDEX($B$24:$GQ$24,MATCH(42,$B$29:$GQ$29,0))</f>
        <v/>
      </c>
      <c r="AR10">
        <f>INDEX($B$24:$GQ$24,MATCH(43,$B$29:$GQ$29,0))</f>
        <v/>
      </c>
      <c r="AS10">
        <f>INDEX($B$24:$GQ$24,MATCH(44,$B$29:$GQ$29,0))</f>
        <v/>
      </c>
      <c r="AT10">
        <f>INDEX($B$24:$GQ$24,MATCH(45,$B$29:$GQ$29,0))</f>
        <v/>
      </c>
      <c r="AU10">
        <f>INDEX($B$24:$GQ$24,MATCH(46,$B$29:$GQ$29,0))</f>
        <v/>
      </c>
      <c r="AV10">
        <f>INDEX($B$24:$GQ$24,MATCH(47,$B$29:$GQ$29,0))</f>
        <v/>
      </c>
      <c r="AW10">
        <f>INDEX($B$24:$GQ$24,MATCH(48,$B$29:$GQ$29,0))</f>
        <v/>
      </c>
      <c r="AX10">
        <f>INDEX($B$24:$GQ$24,MATCH(49,$B$29:$GQ$29,0))</f>
        <v/>
      </c>
      <c r="AY10">
        <f>INDEX($B$24:$GQ$24,MATCH(50,$B$29:$GQ$29,0))</f>
        <v/>
      </c>
      <c r="AZ10">
        <f>INDEX($B$24:$GQ$24,MATCH(51,$B$29:$GQ$29,0))</f>
        <v/>
      </c>
      <c r="BA10">
        <f>INDEX($B$24:$GQ$24,MATCH(52,$B$29:$GQ$29,0))</f>
        <v/>
      </c>
      <c r="BB10">
        <f>INDEX($B$24:$GQ$24,MATCH(53,$B$29:$GQ$29,0))</f>
        <v/>
      </c>
      <c r="BC10">
        <f>INDEX($B$24:$GQ$24,MATCH(54,$B$29:$GQ$29,0))</f>
        <v/>
      </c>
      <c r="BD10">
        <f>INDEX($B$24:$GQ$24,MATCH(55,$B$29:$GQ$29,0))</f>
        <v/>
      </c>
      <c r="BE10">
        <f>INDEX($B$24:$GQ$24,MATCH(56,$B$29:$GQ$29,0))</f>
        <v/>
      </c>
      <c r="BF10">
        <f>INDEX($B$24:$GQ$24,MATCH(57,$B$29:$GQ$29,0))</f>
        <v/>
      </c>
      <c r="BG10">
        <f>INDEX($B$24:$GQ$24,MATCH(58,$B$29:$GQ$29,0))</f>
        <v/>
      </c>
      <c r="BH10">
        <f>INDEX($B$24:$GQ$24,MATCH(59,$B$29:$GQ$29,0))</f>
        <v/>
      </c>
      <c r="BI10">
        <f>INDEX($B$24:$GQ$24,MATCH(60,$B$29:$GQ$29,0))</f>
        <v/>
      </c>
      <c r="BJ10">
        <f>INDEX($B$24:$GQ$24,MATCH(61,$B$29:$GQ$29,0))</f>
        <v/>
      </c>
      <c r="BK10">
        <f>INDEX($B$24:$GQ$24,MATCH(62,$B$29:$GQ$29,0))</f>
        <v/>
      </c>
      <c r="BL10">
        <f>INDEX($B$24:$GQ$24,MATCH(63,$B$29:$GQ$29,0))</f>
        <v/>
      </c>
      <c r="BM10">
        <f>INDEX($B$24:$GQ$24,MATCH(64,$B$29:$GQ$29,0))</f>
        <v/>
      </c>
      <c r="BN10">
        <f>INDEX($B$24:$GQ$24,MATCH(65,$B$29:$GQ$29,0))</f>
        <v/>
      </c>
      <c r="BO10">
        <f>INDEX($B$24:$GQ$24,MATCH(66,$B$29:$GQ$29,0))</f>
        <v/>
      </c>
      <c r="BP10">
        <f>INDEX($B$24:$GQ$24,MATCH(67,$B$29:$GQ$29,0))</f>
        <v/>
      </c>
      <c r="BQ10">
        <f>INDEX($B$24:$GQ$24,MATCH(68,$B$29:$GQ$29,0))</f>
        <v/>
      </c>
      <c r="BR10">
        <f>INDEX($B$24:$GQ$24,MATCH(69,$B$29:$GQ$29,0))</f>
        <v/>
      </c>
      <c r="BS10">
        <f>INDEX($B$24:$GQ$24,MATCH(70,$B$29:$GQ$29,0))</f>
        <v/>
      </c>
      <c r="BT10">
        <f>INDEX($B$24:$GQ$24,MATCH(71,$B$29:$GQ$29,0))</f>
        <v/>
      </c>
      <c r="BU10">
        <f>INDEX($B$24:$GQ$24,MATCH(72,$B$29:$GQ$29,0))</f>
        <v/>
      </c>
      <c r="BV10">
        <f>INDEX($B$24:$GQ$24,MATCH(73,$B$29:$GQ$29,0))</f>
        <v/>
      </c>
      <c r="BW10">
        <f>INDEX($B$24:$GQ$24,MATCH(74,$B$29:$GQ$29,0))</f>
        <v/>
      </c>
      <c r="BX10">
        <f>INDEX($B$24:$GQ$24,MATCH(75,$B$29:$GQ$29,0))</f>
        <v/>
      </c>
      <c r="BY10">
        <f>INDEX($B$24:$GQ$24,MATCH(76,$B$29:$GQ$29,0))</f>
        <v/>
      </c>
      <c r="BZ10">
        <f>INDEX($B$24:$GQ$24,MATCH(77,$B$29:$GQ$29,0))</f>
        <v/>
      </c>
      <c r="CA10">
        <f>INDEX($B$24:$GQ$24,MATCH(78,$B$29:$GQ$29,0))</f>
        <v/>
      </c>
      <c r="CB10">
        <f>INDEX($B$24:$GQ$24,MATCH(79,$B$29:$GQ$29,0))</f>
        <v/>
      </c>
      <c r="CC10">
        <f>INDEX($B$24:$GQ$24,MATCH(80,$B$29:$GQ$29,0))</f>
        <v/>
      </c>
      <c r="CD10">
        <f>INDEX($B$24:$GQ$24,MATCH(81,$B$29:$GQ$29,0))</f>
        <v/>
      </c>
      <c r="CE10">
        <f>INDEX($B$24:$GQ$24,MATCH(82,$B$29:$GQ$29,0))</f>
        <v/>
      </c>
      <c r="CF10">
        <f>INDEX($B$24:$GQ$24,MATCH(83,$B$29:$GQ$29,0))</f>
        <v/>
      </c>
      <c r="CG10">
        <f>INDEX($B$24:$GQ$24,MATCH(84,$B$29:$GQ$29,0))</f>
        <v/>
      </c>
      <c r="CH10">
        <f>INDEX($B$24:$GQ$24,MATCH(85,$B$29:$GQ$29,0))</f>
        <v/>
      </c>
      <c r="CI10">
        <f>INDEX($B$24:$GQ$24,MATCH(86,$B$29:$GQ$29,0))</f>
        <v/>
      </c>
      <c r="CJ10">
        <f>INDEX($B$24:$GQ$24,MATCH(87,$B$29:$GQ$29,0))</f>
        <v/>
      </c>
      <c r="CK10">
        <f>INDEX($B$24:$GQ$24,MATCH(88,$B$29:$GQ$29,0))</f>
        <v/>
      </c>
      <c r="CL10">
        <f>INDEX($B$24:$GQ$24,MATCH(89,$B$29:$GQ$29,0))</f>
        <v/>
      </c>
      <c r="CM10">
        <f>INDEX($B$24:$GQ$24,MATCH(90,$B$29:$GQ$29,0))</f>
        <v/>
      </c>
      <c r="CN10">
        <f>INDEX($B$24:$GQ$24,MATCH(91,$B$29:$GQ$29,0))</f>
        <v/>
      </c>
      <c r="CO10">
        <f>INDEX($B$24:$GQ$24,MATCH(92,$B$29:$GQ$29,0))</f>
        <v/>
      </c>
      <c r="CP10">
        <f>INDEX($B$24:$GQ$24,MATCH(93,$B$29:$GQ$29,0))</f>
        <v/>
      </c>
      <c r="CQ10">
        <f>INDEX($B$24:$GQ$24,MATCH(94,$B$29:$GQ$29,0))</f>
        <v/>
      </c>
      <c r="CR10">
        <f>INDEX($B$24:$GQ$24,MATCH(95,$B$29:$GQ$29,0))</f>
        <v/>
      </c>
      <c r="CS10">
        <f>INDEX($B$24:$GQ$24,MATCH(96,$B$29:$GQ$29,0))</f>
        <v/>
      </c>
      <c r="CT10">
        <f>INDEX($B$24:$GQ$24,MATCH(97,$B$29:$GQ$29,0))</f>
        <v/>
      </c>
      <c r="CU10">
        <f>INDEX($B$24:$GQ$24,MATCH(98,$B$29:$GQ$29,0))</f>
        <v/>
      </c>
      <c r="CV10">
        <f>INDEX($B$24:$GQ$24,MATCH(99,$B$29:$GQ$29,0))</f>
        <v/>
      </c>
      <c r="CW10">
        <f>INDEX($B$24:$GQ$24,MATCH(100,$B$29:$GQ$29,0))</f>
        <v/>
      </c>
      <c r="CX10">
        <f>INDEX($B$24:$GQ$24,MATCH(101,$B$29:$GQ$29,0))</f>
        <v/>
      </c>
      <c r="CY10">
        <f>INDEX($B$24:$GQ$24,MATCH(102,$B$29:$GQ$29,0))</f>
        <v/>
      </c>
      <c r="CZ10">
        <f>INDEX($B$24:$GQ$24,MATCH(103,$B$29:$GQ$29,0))</f>
        <v/>
      </c>
      <c r="DA10">
        <f>INDEX($B$24:$GQ$24,MATCH(104,$B$29:$GQ$29,0))</f>
        <v/>
      </c>
      <c r="DB10">
        <f>INDEX($B$24:$GQ$24,MATCH(105,$B$29:$GQ$29,0))</f>
        <v/>
      </c>
      <c r="DC10">
        <f>INDEX($B$24:$GQ$24,MATCH(106,$B$29:$GQ$29,0))</f>
        <v/>
      </c>
      <c r="DD10">
        <f>INDEX($B$24:$GQ$24,MATCH(107,$B$29:$GQ$29,0))</f>
        <v/>
      </c>
      <c r="DE10">
        <f>INDEX($B$24:$GQ$24,MATCH(108,$B$29:$GQ$29,0))</f>
        <v/>
      </c>
      <c r="DF10">
        <f>INDEX($B$24:$GQ$24,MATCH(109,$B$29:$GQ$29,0))</f>
        <v/>
      </c>
      <c r="DG10">
        <f>INDEX($B$24:$GQ$24,MATCH(110,$B$29:$GQ$29,0))</f>
        <v/>
      </c>
      <c r="DH10">
        <f>INDEX($B$24:$GQ$24,MATCH(111,$B$29:$GQ$29,0))</f>
        <v/>
      </c>
      <c r="DI10">
        <f>INDEX($B$24:$GQ$24,MATCH(112,$B$29:$GQ$29,0))</f>
        <v/>
      </c>
      <c r="DJ10">
        <f>INDEX($B$24:$GQ$24,MATCH(113,$B$29:$GQ$29,0))</f>
        <v/>
      </c>
      <c r="DK10">
        <f>INDEX($B$24:$GQ$24,MATCH(114,$B$29:$GQ$29,0))</f>
        <v/>
      </c>
      <c r="DL10">
        <f>INDEX($B$24:$GQ$24,MATCH(115,$B$29:$GQ$29,0))</f>
        <v/>
      </c>
      <c r="DM10">
        <f>INDEX($B$24:$GQ$24,MATCH(116,$B$29:$GQ$29,0))</f>
        <v/>
      </c>
      <c r="DN10">
        <f>INDEX($B$24:$GQ$24,MATCH(117,$B$29:$GQ$29,0))</f>
        <v/>
      </c>
      <c r="DO10">
        <f>INDEX($B$24:$GQ$24,MATCH(118,$B$29:$GQ$29,0))</f>
        <v/>
      </c>
      <c r="DP10">
        <f>INDEX($B$24:$GQ$24,MATCH(119,$B$29:$GQ$29,0))</f>
        <v/>
      </c>
      <c r="DQ10">
        <f>INDEX($B$24:$GQ$24,MATCH(120,$B$29:$GQ$29,0))</f>
        <v/>
      </c>
      <c r="DR10">
        <f>INDEX($B$24:$GQ$24,MATCH(121,$B$29:$GQ$29,0))</f>
        <v/>
      </c>
      <c r="DS10">
        <f>INDEX($B$24:$GQ$24,MATCH(122,$B$29:$GQ$29,0))</f>
        <v/>
      </c>
      <c r="DT10">
        <f>INDEX($B$24:$GQ$24,MATCH(123,$B$29:$GQ$29,0))</f>
        <v/>
      </c>
      <c r="DU10">
        <f>INDEX($B$24:$GQ$24,MATCH(124,$B$29:$GQ$29,0))</f>
        <v/>
      </c>
      <c r="DV10">
        <f>INDEX($B$24:$GQ$24,MATCH(125,$B$29:$GQ$29,0))</f>
        <v/>
      </c>
      <c r="DW10">
        <f>INDEX($B$24:$GQ$24,MATCH(126,$B$29:$GQ$29,0))</f>
        <v/>
      </c>
      <c r="DX10">
        <f>INDEX($B$24:$GQ$24,MATCH(127,$B$29:$GQ$29,0))</f>
        <v/>
      </c>
      <c r="DY10">
        <f>INDEX($B$24:$GQ$24,MATCH(128,$B$29:$GQ$29,0))</f>
        <v/>
      </c>
      <c r="DZ10">
        <f>INDEX($B$24:$GQ$24,MATCH(129,$B$29:$GQ$29,0))</f>
        <v/>
      </c>
      <c r="EA10">
        <f>INDEX($B$24:$GQ$24,MATCH(130,$B$29:$GQ$29,0))</f>
        <v/>
      </c>
      <c r="EB10">
        <f>INDEX($B$24:$GQ$24,MATCH(131,$B$29:$GQ$29,0))</f>
        <v/>
      </c>
      <c r="EC10">
        <f>INDEX($B$24:$GQ$24,MATCH(132,$B$29:$GQ$29,0))</f>
        <v/>
      </c>
      <c r="ED10">
        <f>INDEX($B$24:$GQ$24,MATCH(133,$B$29:$GQ$29,0))</f>
        <v/>
      </c>
      <c r="EE10">
        <f>INDEX($B$24:$GQ$24,MATCH(134,$B$29:$GQ$29,0))</f>
        <v/>
      </c>
      <c r="EF10">
        <f>INDEX($B$24:$GQ$24,MATCH(135,$B$29:$GQ$29,0))</f>
        <v/>
      </c>
      <c r="EG10">
        <f>INDEX($B$24:$GQ$24,MATCH(136,$B$29:$GQ$29,0))</f>
        <v/>
      </c>
      <c r="EH10">
        <f>INDEX($B$24:$GQ$24,MATCH(137,$B$29:$GQ$29,0))</f>
        <v/>
      </c>
      <c r="EI10">
        <f>INDEX($B$24:$GQ$24,MATCH(138,$B$29:$GQ$29,0))</f>
        <v/>
      </c>
      <c r="EJ10">
        <f>INDEX($B$24:$GQ$24,MATCH(139,$B$29:$GQ$29,0))</f>
        <v/>
      </c>
      <c r="EK10">
        <f>INDEX($B$24:$GQ$24,MATCH(140,$B$29:$GQ$29,0))</f>
        <v/>
      </c>
      <c r="EL10">
        <f>INDEX($B$24:$GQ$24,MATCH(141,$B$29:$GQ$29,0))</f>
        <v/>
      </c>
      <c r="EM10">
        <f>INDEX($B$24:$GQ$24,MATCH(142,$B$29:$GQ$29,0))</f>
        <v/>
      </c>
      <c r="EN10">
        <f>INDEX($B$24:$GQ$24,MATCH(143,$B$29:$GQ$29,0))</f>
        <v/>
      </c>
      <c r="EO10">
        <f>INDEX($B$24:$GQ$24,MATCH(144,$B$29:$GQ$29,0))</f>
        <v/>
      </c>
      <c r="EP10">
        <f>INDEX($B$24:$GQ$24,MATCH(145,$B$29:$GQ$29,0))</f>
        <v/>
      </c>
      <c r="EQ10">
        <f>INDEX($B$24:$GQ$24,MATCH(146,$B$29:$GQ$29,0))</f>
        <v/>
      </c>
      <c r="ER10">
        <f>INDEX($B$24:$GQ$24,MATCH(147,$B$29:$GQ$29,0))</f>
        <v/>
      </c>
      <c r="ES10">
        <f>INDEX($B$24:$GQ$24,MATCH(148,$B$29:$GQ$29,0))</f>
        <v/>
      </c>
      <c r="ET10">
        <f>INDEX($B$24:$GQ$24,MATCH(149,$B$29:$GQ$29,0))</f>
        <v/>
      </c>
      <c r="EU10">
        <f>INDEX($B$24:$GQ$24,MATCH(150,$B$29:$GQ$29,0))</f>
        <v/>
      </c>
      <c r="EV10">
        <f>INDEX($B$24:$GQ$24,MATCH(151,$B$29:$GQ$29,0))</f>
        <v/>
      </c>
      <c r="EW10">
        <f>INDEX($B$24:$GQ$24,MATCH(152,$B$29:$GQ$29,0))</f>
        <v/>
      </c>
      <c r="EX10">
        <f>INDEX($B$24:$GQ$24,MATCH(153,$B$29:$GQ$29,0))</f>
        <v/>
      </c>
      <c r="EY10">
        <f>INDEX($B$24:$GQ$24,MATCH(154,$B$29:$GQ$29,0))</f>
        <v/>
      </c>
      <c r="EZ10">
        <f>INDEX($B$24:$GQ$24,MATCH(155,$B$29:$GQ$29,0))</f>
        <v/>
      </c>
      <c r="FA10">
        <f>INDEX($B$24:$GQ$24,MATCH(156,$B$29:$GQ$29,0))</f>
        <v/>
      </c>
      <c r="FB10">
        <f>INDEX($B$24:$GQ$24,MATCH(157,$B$29:$GQ$29,0))</f>
        <v/>
      </c>
      <c r="FC10">
        <f>INDEX($B$24:$GQ$24,MATCH(158,$B$29:$GQ$29,0))</f>
        <v/>
      </c>
      <c r="FD10">
        <f>INDEX($B$24:$GQ$24,MATCH(159,$B$29:$GQ$29,0))</f>
        <v/>
      </c>
      <c r="FE10">
        <f>INDEX($B$24:$GQ$24,MATCH(160,$B$29:$GQ$29,0))</f>
        <v/>
      </c>
      <c r="FF10">
        <f>INDEX($B$24:$GQ$24,MATCH(161,$B$29:$GQ$29,0))</f>
        <v/>
      </c>
      <c r="FG10">
        <f>INDEX($B$24:$GQ$24,MATCH(162,$B$29:$GQ$29,0))</f>
        <v/>
      </c>
      <c r="FH10">
        <f>INDEX($B$24:$GQ$24,MATCH(163,$B$29:$GQ$29,0))</f>
        <v/>
      </c>
      <c r="FI10">
        <f>INDEX($B$24:$GQ$24,MATCH(164,$B$29:$GQ$29,0))</f>
        <v/>
      </c>
      <c r="FJ10">
        <f>INDEX($B$24:$GQ$24,MATCH(165,$B$29:$GQ$29,0))</f>
        <v/>
      </c>
      <c r="FK10">
        <f>INDEX($B$24:$GQ$24,MATCH(166,$B$29:$GQ$29,0))</f>
        <v/>
      </c>
      <c r="FL10">
        <f>INDEX($B$24:$GQ$24,MATCH(167,$B$29:$GQ$29,0))</f>
        <v/>
      </c>
      <c r="FM10">
        <f>INDEX($B$24:$GQ$24,MATCH(168,$B$29:$GQ$29,0))</f>
        <v/>
      </c>
      <c r="FN10">
        <f>INDEX($B$24:$GQ$24,MATCH(169,$B$29:$GQ$29,0))</f>
        <v/>
      </c>
      <c r="FO10">
        <f>INDEX($B$24:$GQ$24,MATCH(170,$B$29:$GQ$29,0))</f>
        <v/>
      </c>
      <c r="FP10">
        <f>INDEX($B$24:$GQ$24,MATCH(171,$B$29:$GQ$29,0))</f>
        <v/>
      </c>
      <c r="FQ10">
        <f>INDEX($B$24:$GQ$24,MATCH(172,$B$29:$GQ$29,0))</f>
        <v/>
      </c>
      <c r="FR10">
        <f>INDEX($B$24:$GQ$24,MATCH(173,$B$29:$GQ$29,0))</f>
        <v/>
      </c>
      <c r="FS10">
        <f>INDEX($B$24:$GQ$24,MATCH(174,$B$29:$GQ$29,0))</f>
        <v/>
      </c>
      <c r="FT10">
        <f>INDEX($B$24:$GQ$24,MATCH(175,$B$29:$GQ$29,0))</f>
        <v/>
      </c>
      <c r="FU10">
        <f>INDEX($B$24:$GQ$24,MATCH(176,$B$29:$GQ$29,0))</f>
        <v/>
      </c>
      <c r="FV10">
        <f>INDEX($B$24:$GQ$24,MATCH(177,$B$29:$GQ$29,0))</f>
        <v/>
      </c>
      <c r="FW10">
        <f>INDEX($B$24:$GQ$24,MATCH(178,$B$29:$GQ$29,0))</f>
        <v/>
      </c>
      <c r="FX10">
        <f>INDEX($B$24:$GQ$24,MATCH(179,$B$29:$GQ$29,0))</f>
        <v/>
      </c>
      <c r="FY10">
        <f>INDEX($B$24:$GQ$24,MATCH(180,$B$29:$GQ$29,0))</f>
        <v/>
      </c>
      <c r="FZ10">
        <f>INDEX($B$24:$GQ$24,MATCH(181,$B$29:$GQ$29,0))</f>
        <v/>
      </c>
      <c r="GA10">
        <f>INDEX($B$24:$GQ$24,MATCH(182,$B$29:$GQ$29,0))</f>
        <v/>
      </c>
      <c r="GB10">
        <f>INDEX($B$24:$GQ$24,MATCH(183,$B$29:$GQ$29,0))</f>
        <v/>
      </c>
      <c r="GC10">
        <f>INDEX($B$24:$GQ$24,MATCH(184,$B$29:$GQ$29,0))</f>
        <v/>
      </c>
      <c r="GD10">
        <f>INDEX($B$24:$GQ$24,MATCH(185,$B$29:$GQ$29,0))</f>
        <v/>
      </c>
      <c r="GE10">
        <f>INDEX($B$24:$GQ$24,MATCH(186,$B$29:$GQ$29,0))</f>
        <v/>
      </c>
      <c r="GF10">
        <f>INDEX($B$24:$GQ$24,MATCH(187,$B$29:$GQ$29,0))</f>
        <v/>
      </c>
      <c r="GG10">
        <f>INDEX($B$24:$GQ$24,MATCH(188,$B$29:$GQ$29,0))</f>
        <v/>
      </c>
      <c r="GH10">
        <f>INDEX($B$24:$GQ$24,MATCH(189,$B$29:$GQ$29,0))</f>
        <v/>
      </c>
      <c r="GI10">
        <f>INDEX($B$24:$GQ$24,MATCH(190,$B$29:$GQ$29,0))</f>
        <v/>
      </c>
      <c r="GJ10">
        <f>INDEX($B$24:$GQ$24,MATCH(191,$B$29:$GQ$29,0))</f>
        <v/>
      </c>
      <c r="GK10">
        <f>INDEX($B$24:$GQ$24,MATCH(192,$B$29:$GQ$29,0))</f>
        <v/>
      </c>
      <c r="GL10">
        <f>INDEX($B$24:$GQ$24,MATCH(193,$B$29:$GQ$29,0))</f>
        <v/>
      </c>
      <c r="GM10">
        <f>INDEX($B$24:$GQ$24,MATCH(194,$B$29:$GQ$29,0))</f>
        <v/>
      </c>
      <c r="GN10">
        <f>INDEX($B$24:$GQ$24,MATCH(195,$B$29:$GQ$29,0))</f>
        <v/>
      </c>
      <c r="GO10">
        <f>INDEX($B$24:$GQ$24,MATCH(196,$B$29:$GQ$29,0))</f>
        <v/>
      </c>
      <c r="GP10">
        <f>INDEX($B$24:$GQ$24,MATCH(197,$B$29:$GQ$29,0))</f>
        <v/>
      </c>
      <c r="GQ10">
        <f>INDEX($B$24:$GQ$24,MATCH(198,$B$29:$GQ$29,0))</f>
        <v/>
      </c>
      <c r="GR10">
        <f>INDEX($GR$24:$HC$24,MATCH(1,$GR$30:$HC$30,0))</f>
        <v/>
      </c>
      <c r="GS10">
        <f>INDEX($GR$24:$HC$24,MATCH(2,$GR$30:$HC$30,0))</f>
        <v/>
      </c>
      <c r="GT10">
        <f>INDEX($GR$24:$HC$24,MATCH(3,$GR$30:$HC$30,0))</f>
        <v/>
      </c>
      <c r="GU10">
        <f>INDEX($GR$24:$HC$24,MATCH(4,$GR$30:$HC$30,0))</f>
        <v/>
      </c>
      <c r="GV10">
        <f>INDEX($GR$24:$HC$24,MATCH(5,$GR$30:$HC$30,0))</f>
        <v/>
      </c>
      <c r="GW10">
        <f>INDEX($GR$24:$HC$24,MATCH(6,$GR$30:$HC$30,0))</f>
        <v/>
      </c>
      <c r="GX10">
        <f>INDEX($GR$24:$HC$24,MATCH(7,$GR$30:$HC$30,0))</f>
        <v/>
      </c>
      <c r="GY10">
        <f>INDEX($GR$24:$HC$24,MATCH(8,$GR$30:$HC$30,0))</f>
        <v/>
      </c>
      <c r="GZ10">
        <f>INDEX($GR$24:$HC$24,MATCH(9,$GR$30:$HC$30,0))</f>
        <v/>
      </c>
      <c r="HA10">
        <f>INDEX($GR$24:$HC$24,MATCH(10,$GR$30:$HC$30,0))</f>
        <v/>
      </c>
      <c r="HB10">
        <f>INDEX($GR$24:$HC$24,MATCH(11,$GR$30:$HC$30,0))</f>
        <v/>
      </c>
      <c r="HC10">
        <f>INDEX($GR$24:$HC$24,MATCH(12,$GR$30:$HC$30,0))</f>
        <v/>
      </c>
    </row>
    <row r="11">
      <c r="A11" s="1" t="inlineStr">
        <is>
          <t>M_imp*Y_dom+M_dom*Y_dom</t>
        </is>
      </c>
      <c r="B11">
        <f>INDEX($B$25:$GQ$25,MATCH(1,$B$29:$GQ$29,0))</f>
        <v/>
      </c>
      <c r="C11">
        <f>INDEX($B$25:$GQ$25,MATCH(2,$B$29:$GQ$29,0))</f>
        <v/>
      </c>
      <c r="D11">
        <f>INDEX($B$25:$GQ$25,MATCH(3,$B$29:$GQ$29,0))</f>
        <v/>
      </c>
      <c r="E11">
        <f>INDEX($B$25:$GQ$25,MATCH(4,$B$29:$GQ$29,0))</f>
        <v/>
      </c>
      <c r="F11">
        <f>INDEX($B$25:$GQ$25,MATCH(5,$B$29:$GQ$29,0))</f>
        <v/>
      </c>
      <c r="G11">
        <f>INDEX($B$25:$GQ$25,MATCH(6,$B$29:$GQ$29,0))</f>
        <v/>
      </c>
      <c r="H11">
        <f>INDEX($B$25:$GQ$25,MATCH(7,$B$29:$GQ$29,0))</f>
        <v/>
      </c>
      <c r="I11">
        <f>INDEX($B$25:$GQ$25,MATCH(8,$B$29:$GQ$29,0))</f>
        <v/>
      </c>
      <c r="J11">
        <f>INDEX($B$25:$GQ$25,MATCH(9,$B$29:$GQ$29,0))</f>
        <v/>
      </c>
      <c r="K11">
        <f>INDEX($B$25:$GQ$25,MATCH(10,$B$29:$GQ$29,0))</f>
        <v/>
      </c>
      <c r="L11">
        <f>INDEX($B$25:$GQ$25,MATCH(11,$B$29:$GQ$29,0))</f>
        <v/>
      </c>
      <c r="M11">
        <f>INDEX($B$25:$GQ$25,MATCH(12,$B$29:$GQ$29,0))</f>
        <v/>
      </c>
      <c r="N11">
        <f>INDEX($B$25:$GQ$25,MATCH(13,$B$29:$GQ$29,0))</f>
        <v/>
      </c>
      <c r="O11">
        <f>INDEX($B$25:$GQ$25,MATCH(14,$B$29:$GQ$29,0))</f>
        <v/>
      </c>
      <c r="P11">
        <f>INDEX($B$25:$GQ$25,MATCH(15,$B$29:$GQ$29,0))</f>
        <v/>
      </c>
      <c r="Q11">
        <f>INDEX($B$25:$GQ$25,MATCH(16,$B$29:$GQ$29,0))</f>
        <v/>
      </c>
      <c r="R11">
        <f>INDEX($B$25:$GQ$25,MATCH(17,$B$29:$GQ$29,0))</f>
        <v/>
      </c>
      <c r="S11">
        <f>INDEX($B$25:$GQ$25,MATCH(18,$B$29:$GQ$29,0))</f>
        <v/>
      </c>
      <c r="T11">
        <f>INDEX($B$25:$GQ$25,MATCH(19,$B$29:$GQ$29,0))</f>
        <v/>
      </c>
      <c r="U11">
        <f>INDEX($B$25:$GQ$25,MATCH(20,$B$29:$GQ$29,0))</f>
        <v/>
      </c>
      <c r="V11">
        <f>INDEX($B$25:$GQ$25,MATCH(21,$B$29:$GQ$29,0))</f>
        <v/>
      </c>
      <c r="W11">
        <f>INDEX($B$25:$GQ$25,MATCH(22,$B$29:$GQ$29,0))</f>
        <v/>
      </c>
      <c r="X11">
        <f>INDEX($B$25:$GQ$25,MATCH(23,$B$29:$GQ$29,0))</f>
        <v/>
      </c>
      <c r="Y11">
        <f>INDEX($B$25:$GQ$25,MATCH(24,$B$29:$GQ$29,0))</f>
        <v/>
      </c>
      <c r="Z11">
        <f>INDEX($B$25:$GQ$25,MATCH(25,$B$29:$GQ$29,0))</f>
        <v/>
      </c>
      <c r="AA11">
        <f>INDEX($B$25:$GQ$25,MATCH(26,$B$29:$GQ$29,0))</f>
        <v/>
      </c>
      <c r="AB11">
        <f>INDEX($B$25:$GQ$25,MATCH(27,$B$29:$GQ$29,0))</f>
        <v/>
      </c>
      <c r="AC11">
        <f>INDEX($B$25:$GQ$25,MATCH(28,$B$29:$GQ$29,0))</f>
        <v/>
      </c>
      <c r="AD11">
        <f>INDEX($B$25:$GQ$25,MATCH(29,$B$29:$GQ$29,0))</f>
        <v/>
      </c>
      <c r="AE11">
        <f>INDEX($B$25:$GQ$25,MATCH(30,$B$29:$GQ$29,0))</f>
        <v/>
      </c>
      <c r="AF11">
        <f>INDEX($B$25:$GQ$25,MATCH(31,$B$29:$GQ$29,0))</f>
        <v/>
      </c>
      <c r="AG11">
        <f>INDEX($B$25:$GQ$25,MATCH(32,$B$29:$GQ$29,0))</f>
        <v/>
      </c>
      <c r="AH11">
        <f>INDEX($B$25:$GQ$25,MATCH(33,$B$29:$GQ$29,0))</f>
        <v/>
      </c>
      <c r="AI11">
        <f>INDEX($B$25:$GQ$25,MATCH(34,$B$29:$GQ$29,0))</f>
        <v/>
      </c>
      <c r="AJ11">
        <f>INDEX($B$25:$GQ$25,MATCH(35,$B$29:$GQ$29,0))</f>
        <v/>
      </c>
      <c r="AK11">
        <f>INDEX($B$25:$GQ$25,MATCH(36,$B$29:$GQ$29,0))</f>
        <v/>
      </c>
      <c r="AL11">
        <f>INDEX($B$25:$GQ$25,MATCH(37,$B$29:$GQ$29,0))</f>
        <v/>
      </c>
      <c r="AM11">
        <f>INDEX($B$25:$GQ$25,MATCH(38,$B$29:$GQ$29,0))</f>
        <v/>
      </c>
      <c r="AN11">
        <f>INDEX($B$25:$GQ$25,MATCH(39,$B$29:$GQ$29,0))</f>
        <v/>
      </c>
      <c r="AO11">
        <f>INDEX($B$25:$GQ$25,MATCH(40,$B$29:$GQ$29,0))</f>
        <v/>
      </c>
      <c r="AP11">
        <f>INDEX($B$25:$GQ$25,MATCH(41,$B$29:$GQ$29,0))</f>
        <v/>
      </c>
      <c r="AQ11">
        <f>INDEX($B$25:$GQ$25,MATCH(42,$B$29:$GQ$29,0))</f>
        <v/>
      </c>
      <c r="AR11">
        <f>INDEX($B$25:$GQ$25,MATCH(43,$B$29:$GQ$29,0))</f>
        <v/>
      </c>
      <c r="AS11">
        <f>INDEX($B$25:$GQ$25,MATCH(44,$B$29:$GQ$29,0))</f>
        <v/>
      </c>
      <c r="AT11">
        <f>INDEX($B$25:$GQ$25,MATCH(45,$B$29:$GQ$29,0))</f>
        <v/>
      </c>
      <c r="AU11">
        <f>INDEX($B$25:$GQ$25,MATCH(46,$B$29:$GQ$29,0))</f>
        <v/>
      </c>
      <c r="AV11">
        <f>INDEX($B$25:$GQ$25,MATCH(47,$B$29:$GQ$29,0))</f>
        <v/>
      </c>
      <c r="AW11">
        <f>INDEX($B$25:$GQ$25,MATCH(48,$B$29:$GQ$29,0))</f>
        <v/>
      </c>
      <c r="AX11">
        <f>INDEX($B$25:$GQ$25,MATCH(49,$B$29:$GQ$29,0))</f>
        <v/>
      </c>
      <c r="AY11">
        <f>INDEX($B$25:$GQ$25,MATCH(50,$B$29:$GQ$29,0))</f>
        <v/>
      </c>
      <c r="AZ11">
        <f>INDEX($B$25:$GQ$25,MATCH(51,$B$29:$GQ$29,0))</f>
        <v/>
      </c>
      <c r="BA11">
        <f>INDEX($B$25:$GQ$25,MATCH(52,$B$29:$GQ$29,0))</f>
        <v/>
      </c>
      <c r="BB11">
        <f>INDEX($B$25:$GQ$25,MATCH(53,$B$29:$GQ$29,0))</f>
        <v/>
      </c>
      <c r="BC11">
        <f>INDEX($B$25:$GQ$25,MATCH(54,$B$29:$GQ$29,0))</f>
        <v/>
      </c>
      <c r="BD11">
        <f>INDEX($B$25:$GQ$25,MATCH(55,$B$29:$GQ$29,0))</f>
        <v/>
      </c>
      <c r="BE11">
        <f>INDEX($B$25:$GQ$25,MATCH(56,$B$29:$GQ$29,0))</f>
        <v/>
      </c>
      <c r="BF11">
        <f>INDEX($B$25:$GQ$25,MATCH(57,$B$29:$GQ$29,0))</f>
        <v/>
      </c>
      <c r="BG11">
        <f>INDEX($B$25:$GQ$25,MATCH(58,$B$29:$GQ$29,0))</f>
        <v/>
      </c>
      <c r="BH11">
        <f>INDEX($B$25:$GQ$25,MATCH(59,$B$29:$GQ$29,0))</f>
        <v/>
      </c>
      <c r="BI11">
        <f>INDEX($B$25:$GQ$25,MATCH(60,$B$29:$GQ$29,0))</f>
        <v/>
      </c>
      <c r="BJ11">
        <f>INDEX($B$25:$GQ$25,MATCH(61,$B$29:$GQ$29,0))</f>
        <v/>
      </c>
      <c r="BK11">
        <f>INDEX($B$25:$GQ$25,MATCH(62,$B$29:$GQ$29,0))</f>
        <v/>
      </c>
      <c r="BL11">
        <f>INDEX($B$25:$GQ$25,MATCH(63,$B$29:$GQ$29,0))</f>
        <v/>
      </c>
      <c r="BM11">
        <f>INDEX($B$25:$GQ$25,MATCH(64,$B$29:$GQ$29,0))</f>
        <v/>
      </c>
      <c r="BN11">
        <f>INDEX($B$25:$GQ$25,MATCH(65,$B$29:$GQ$29,0))</f>
        <v/>
      </c>
      <c r="BO11">
        <f>INDEX($B$25:$GQ$25,MATCH(66,$B$29:$GQ$29,0))</f>
        <v/>
      </c>
      <c r="BP11">
        <f>INDEX($B$25:$GQ$25,MATCH(67,$B$29:$GQ$29,0))</f>
        <v/>
      </c>
      <c r="BQ11">
        <f>INDEX($B$25:$GQ$25,MATCH(68,$B$29:$GQ$29,0))</f>
        <v/>
      </c>
      <c r="BR11">
        <f>INDEX($B$25:$GQ$25,MATCH(69,$B$29:$GQ$29,0))</f>
        <v/>
      </c>
      <c r="BS11">
        <f>INDEX($B$25:$GQ$25,MATCH(70,$B$29:$GQ$29,0))</f>
        <v/>
      </c>
      <c r="BT11">
        <f>INDEX($B$25:$GQ$25,MATCH(71,$B$29:$GQ$29,0))</f>
        <v/>
      </c>
      <c r="BU11">
        <f>INDEX($B$25:$GQ$25,MATCH(72,$B$29:$GQ$29,0))</f>
        <v/>
      </c>
      <c r="BV11">
        <f>INDEX($B$25:$GQ$25,MATCH(73,$B$29:$GQ$29,0))</f>
        <v/>
      </c>
      <c r="BW11">
        <f>INDEX($B$25:$GQ$25,MATCH(74,$B$29:$GQ$29,0))</f>
        <v/>
      </c>
      <c r="BX11">
        <f>INDEX($B$25:$GQ$25,MATCH(75,$B$29:$GQ$29,0))</f>
        <v/>
      </c>
      <c r="BY11">
        <f>INDEX($B$25:$GQ$25,MATCH(76,$B$29:$GQ$29,0))</f>
        <v/>
      </c>
      <c r="BZ11">
        <f>INDEX($B$25:$GQ$25,MATCH(77,$B$29:$GQ$29,0))</f>
        <v/>
      </c>
      <c r="CA11">
        <f>INDEX($B$25:$GQ$25,MATCH(78,$B$29:$GQ$29,0))</f>
        <v/>
      </c>
      <c r="CB11">
        <f>INDEX($B$25:$GQ$25,MATCH(79,$B$29:$GQ$29,0))</f>
        <v/>
      </c>
      <c r="CC11">
        <f>INDEX($B$25:$GQ$25,MATCH(80,$B$29:$GQ$29,0))</f>
        <v/>
      </c>
      <c r="CD11">
        <f>INDEX($B$25:$GQ$25,MATCH(81,$B$29:$GQ$29,0))</f>
        <v/>
      </c>
      <c r="CE11">
        <f>INDEX($B$25:$GQ$25,MATCH(82,$B$29:$GQ$29,0))</f>
        <v/>
      </c>
      <c r="CF11">
        <f>INDEX($B$25:$GQ$25,MATCH(83,$B$29:$GQ$29,0))</f>
        <v/>
      </c>
      <c r="CG11">
        <f>INDEX($B$25:$GQ$25,MATCH(84,$B$29:$GQ$29,0))</f>
        <v/>
      </c>
      <c r="CH11">
        <f>INDEX($B$25:$GQ$25,MATCH(85,$B$29:$GQ$29,0))</f>
        <v/>
      </c>
      <c r="CI11">
        <f>INDEX($B$25:$GQ$25,MATCH(86,$B$29:$GQ$29,0))</f>
        <v/>
      </c>
      <c r="CJ11">
        <f>INDEX($B$25:$GQ$25,MATCH(87,$B$29:$GQ$29,0))</f>
        <v/>
      </c>
      <c r="CK11">
        <f>INDEX($B$25:$GQ$25,MATCH(88,$B$29:$GQ$29,0))</f>
        <v/>
      </c>
      <c r="CL11">
        <f>INDEX($B$25:$GQ$25,MATCH(89,$B$29:$GQ$29,0))</f>
        <v/>
      </c>
      <c r="CM11">
        <f>INDEX($B$25:$GQ$25,MATCH(90,$B$29:$GQ$29,0))</f>
        <v/>
      </c>
      <c r="CN11">
        <f>INDEX($B$25:$GQ$25,MATCH(91,$B$29:$GQ$29,0))</f>
        <v/>
      </c>
      <c r="CO11">
        <f>INDEX($B$25:$GQ$25,MATCH(92,$B$29:$GQ$29,0))</f>
        <v/>
      </c>
      <c r="CP11">
        <f>INDEX($B$25:$GQ$25,MATCH(93,$B$29:$GQ$29,0))</f>
        <v/>
      </c>
      <c r="CQ11">
        <f>INDEX($B$25:$GQ$25,MATCH(94,$B$29:$GQ$29,0))</f>
        <v/>
      </c>
      <c r="CR11">
        <f>INDEX($B$25:$GQ$25,MATCH(95,$B$29:$GQ$29,0))</f>
        <v/>
      </c>
      <c r="CS11">
        <f>INDEX($B$25:$GQ$25,MATCH(96,$B$29:$GQ$29,0))</f>
        <v/>
      </c>
      <c r="CT11">
        <f>INDEX($B$25:$GQ$25,MATCH(97,$B$29:$GQ$29,0))</f>
        <v/>
      </c>
      <c r="CU11">
        <f>INDEX($B$25:$GQ$25,MATCH(98,$B$29:$GQ$29,0))</f>
        <v/>
      </c>
      <c r="CV11">
        <f>INDEX($B$25:$GQ$25,MATCH(99,$B$29:$GQ$29,0))</f>
        <v/>
      </c>
      <c r="CW11">
        <f>INDEX($B$25:$GQ$25,MATCH(100,$B$29:$GQ$29,0))</f>
        <v/>
      </c>
      <c r="CX11">
        <f>INDEX($B$25:$GQ$25,MATCH(101,$B$29:$GQ$29,0))</f>
        <v/>
      </c>
      <c r="CY11">
        <f>INDEX($B$25:$GQ$25,MATCH(102,$B$29:$GQ$29,0))</f>
        <v/>
      </c>
      <c r="CZ11">
        <f>INDEX($B$25:$GQ$25,MATCH(103,$B$29:$GQ$29,0))</f>
        <v/>
      </c>
      <c r="DA11">
        <f>INDEX($B$25:$GQ$25,MATCH(104,$B$29:$GQ$29,0))</f>
        <v/>
      </c>
      <c r="DB11">
        <f>INDEX($B$25:$GQ$25,MATCH(105,$B$29:$GQ$29,0))</f>
        <v/>
      </c>
      <c r="DC11">
        <f>INDEX($B$25:$GQ$25,MATCH(106,$B$29:$GQ$29,0))</f>
        <v/>
      </c>
      <c r="DD11">
        <f>INDEX($B$25:$GQ$25,MATCH(107,$B$29:$GQ$29,0))</f>
        <v/>
      </c>
      <c r="DE11">
        <f>INDEX($B$25:$GQ$25,MATCH(108,$B$29:$GQ$29,0))</f>
        <v/>
      </c>
      <c r="DF11">
        <f>INDEX($B$25:$GQ$25,MATCH(109,$B$29:$GQ$29,0))</f>
        <v/>
      </c>
      <c r="DG11">
        <f>INDEX($B$25:$GQ$25,MATCH(110,$B$29:$GQ$29,0))</f>
        <v/>
      </c>
      <c r="DH11">
        <f>INDEX($B$25:$GQ$25,MATCH(111,$B$29:$GQ$29,0))</f>
        <v/>
      </c>
      <c r="DI11">
        <f>INDEX($B$25:$GQ$25,MATCH(112,$B$29:$GQ$29,0))</f>
        <v/>
      </c>
      <c r="DJ11">
        <f>INDEX($B$25:$GQ$25,MATCH(113,$B$29:$GQ$29,0))</f>
        <v/>
      </c>
      <c r="DK11">
        <f>INDEX($B$25:$GQ$25,MATCH(114,$B$29:$GQ$29,0))</f>
        <v/>
      </c>
      <c r="DL11">
        <f>INDEX($B$25:$GQ$25,MATCH(115,$B$29:$GQ$29,0))</f>
        <v/>
      </c>
      <c r="DM11">
        <f>INDEX($B$25:$GQ$25,MATCH(116,$B$29:$GQ$29,0))</f>
        <v/>
      </c>
      <c r="DN11">
        <f>INDEX($B$25:$GQ$25,MATCH(117,$B$29:$GQ$29,0))</f>
        <v/>
      </c>
      <c r="DO11">
        <f>INDEX($B$25:$GQ$25,MATCH(118,$B$29:$GQ$29,0))</f>
        <v/>
      </c>
      <c r="DP11">
        <f>INDEX($B$25:$GQ$25,MATCH(119,$B$29:$GQ$29,0))</f>
        <v/>
      </c>
      <c r="DQ11">
        <f>INDEX($B$25:$GQ$25,MATCH(120,$B$29:$GQ$29,0))</f>
        <v/>
      </c>
      <c r="DR11">
        <f>INDEX($B$25:$GQ$25,MATCH(121,$B$29:$GQ$29,0))</f>
        <v/>
      </c>
      <c r="DS11">
        <f>INDEX($B$25:$GQ$25,MATCH(122,$B$29:$GQ$29,0))</f>
        <v/>
      </c>
      <c r="DT11">
        <f>INDEX($B$25:$GQ$25,MATCH(123,$B$29:$GQ$29,0))</f>
        <v/>
      </c>
      <c r="DU11">
        <f>INDEX($B$25:$GQ$25,MATCH(124,$B$29:$GQ$29,0))</f>
        <v/>
      </c>
      <c r="DV11">
        <f>INDEX($B$25:$GQ$25,MATCH(125,$B$29:$GQ$29,0))</f>
        <v/>
      </c>
      <c r="DW11">
        <f>INDEX($B$25:$GQ$25,MATCH(126,$B$29:$GQ$29,0))</f>
        <v/>
      </c>
      <c r="DX11">
        <f>INDEX($B$25:$GQ$25,MATCH(127,$B$29:$GQ$29,0))</f>
        <v/>
      </c>
      <c r="DY11">
        <f>INDEX($B$25:$GQ$25,MATCH(128,$B$29:$GQ$29,0))</f>
        <v/>
      </c>
      <c r="DZ11">
        <f>INDEX($B$25:$GQ$25,MATCH(129,$B$29:$GQ$29,0))</f>
        <v/>
      </c>
      <c r="EA11">
        <f>INDEX($B$25:$GQ$25,MATCH(130,$B$29:$GQ$29,0))</f>
        <v/>
      </c>
      <c r="EB11">
        <f>INDEX($B$25:$GQ$25,MATCH(131,$B$29:$GQ$29,0))</f>
        <v/>
      </c>
      <c r="EC11">
        <f>INDEX($B$25:$GQ$25,MATCH(132,$B$29:$GQ$29,0))</f>
        <v/>
      </c>
      <c r="ED11">
        <f>INDEX($B$25:$GQ$25,MATCH(133,$B$29:$GQ$29,0))</f>
        <v/>
      </c>
      <c r="EE11">
        <f>INDEX($B$25:$GQ$25,MATCH(134,$B$29:$GQ$29,0))</f>
        <v/>
      </c>
      <c r="EF11">
        <f>INDEX($B$25:$GQ$25,MATCH(135,$B$29:$GQ$29,0))</f>
        <v/>
      </c>
      <c r="EG11">
        <f>INDEX($B$25:$GQ$25,MATCH(136,$B$29:$GQ$29,0))</f>
        <v/>
      </c>
      <c r="EH11">
        <f>INDEX($B$25:$GQ$25,MATCH(137,$B$29:$GQ$29,0))</f>
        <v/>
      </c>
      <c r="EI11">
        <f>INDEX($B$25:$GQ$25,MATCH(138,$B$29:$GQ$29,0))</f>
        <v/>
      </c>
      <c r="EJ11">
        <f>INDEX($B$25:$GQ$25,MATCH(139,$B$29:$GQ$29,0))</f>
        <v/>
      </c>
      <c r="EK11">
        <f>INDEX($B$25:$GQ$25,MATCH(140,$B$29:$GQ$29,0))</f>
        <v/>
      </c>
      <c r="EL11">
        <f>INDEX($B$25:$GQ$25,MATCH(141,$B$29:$GQ$29,0))</f>
        <v/>
      </c>
      <c r="EM11">
        <f>INDEX($B$25:$GQ$25,MATCH(142,$B$29:$GQ$29,0))</f>
        <v/>
      </c>
      <c r="EN11">
        <f>INDEX($B$25:$GQ$25,MATCH(143,$B$29:$GQ$29,0))</f>
        <v/>
      </c>
      <c r="EO11">
        <f>INDEX($B$25:$GQ$25,MATCH(144,$B$29:$GQ$29,0))</f>
        <v/>
      </c>
      <c r="EP11">
        <f>INDEX($B$25:$GQ$25,MATCH(145,$B$29:$GQ$29,0))</f>
        <v/>
      </c>
      <c r="EQ11">
        <f>INDEX($B$25:$GQ$25,MATCH(146,$B$29:$GQ$29,0))</f>
        <v/>
      </c>
      <c r="ER11">
        <f>INDEX($B$25:$GQ$25,MATCH(147,$B$29:$GQ$29,0))</f>
        <v/>
      </c>
      <c r="ES11">
        <f>INDEX($B$25:$GQ$25,MATCH(148,$B$29:$GQ$29,0))</f>
        <v/>
      </c>
      <c r="ET11">
        <f>INDEX($B$25:$GQ$25,MATCH(149,$B$29:$GQ$29,0))</f>
        <v/>
      </c>
      <c r="EU11">
        <f>INDEX($B$25:$GQ$25,MATCH(150,$B$29:$GQ$29,0))</f>
        <v/>
      </c>
      <c r="EV11">
        <f>INDEX($B$25:$GQ$25,MATCH(151,$B$29:$GQ$29,0))</f>
        <v/>
      </c>
      <c r="EW11">
        <f>INDEX($B$25:$GQ$25,MATCH(152,$B$29:$GQ$29,0))</f>
        <v/>
      </c>
      <c r="EX11">
        <f>INDEX($B$25:$GQ$25,MATCH(153,$B$29:$GQ$29,0))</f>
        <v/>
      </c>
      <c r="EY11">
        <f>INDEX($B$25:$GQ$25,MATCH(154,$B$29:$GQ$29,0))</f>
        <v/>
      </c>
      <c r="EZ11">
        <f>INDEX($B$25:$GQ$25,MATCH(155,$B$29:$GQ$29,0))</f>
        <v/>
      </c>
      <c r="FA11">
        <f>INDEX($B$25:$GQ$25,MATCH(156,$B$29:$GQ$29,0))</f>
        <v/>
      </c>
      <c r="FB11">
        <f>INDEX($B$25:$GQ$25,MATCH(157,$B$29:$GQ$29,0))</f>
        <v/>
      </c>
      <c r="FC11">
        <f>INDEX($B$25:$GQ$25,MATCH(158,$B$29:$GQ$29,0))</f>
        <v/>
      </c>
      <c r="FD11">
        <f>INDEX($B$25:$GQ$25,MATCH(159,$B$29:$GQ$29,0))</f>
        <v/>
      </c>
      <c r="FE11">
        <f>INDEX($B$25:$GQ$25,MATCH(160,$B$29:$GQ$29,0))</f>
        <v/>
      </c>
      <c r="FF11">
        <f>INDEX($B$25:$GQ$25,MATCH(161,$B$29:$GQ$29,0))</f>
        <v/>
      </c>
      <c r="FG11">
        <f>INDEX($B$25:$GQ$25,MATCH(162,$B$29:$GQ$29,0))</f>
        <v/>
      </c>
      <c r="FH11">
        <f>INDEX($B$25:$GQ$25,MATCH(163,$B$29:$GQ$29,0))</f>
        <v/>
      </c>
      <c r="FI11">
        <f>INDEX($B$25:$GQ$25,MATCH(164,$B$29:$GQ$29,0))</f>
        <v/>
      </c>
      <c r="FJ11">
        <f>INDEX($B$25:$GQ$25,MATCH(165,$B$29:$GQ$29,0))</f>
        <v/>
      </c>
      <c r="FK11">
        <f>INDEX($B$25:$GQ$25,MATCH(166,$B$29:$GQ$29,0))</f>
        <v/>
      </c>
      <c r="FL11">
        <f>INDEX($B$25:$GQ$25,MATCH(167,$B$29:$GQ$29,0))</f>
        <v/>
      </c>
      <c r="FM11">
        <f>INDEX($B$25:$GQ$25,MATCH(168,$B$29:$GQ$29,0))</f>
        <v/>
      </c>
      <c r="FN11">
        <f>INDEX($B$25:$GQ$25,MATCH(169,$B$29:$GQ$29,0))</f>
        <v/>
      </c>
      <c r="FO11">
        <f>INDEX($B$25:$GQ$25,MATCH(170,$B$29:$GQ$29,0))</f>
        <v/>
      </c>
      <c r="FP11">
        <f>INDEX($B$25:$GQ$25,MATCH(171,$B$29:$GQ$29,0))</f>
        <v/>
      </c>
      <c r="FQ11">
        <f>INDEX($B$25:$GQ$25,MATCH(172,$B$29:$GQ$29,0))</f>
        <v/>
      </c>
      <c r="FR11">
        <f>INDEX($B$25:$GQ$25,MATCH(173,$B$29:$GQ$29,0))</f>
        <v/>
      </c>
      <c r="FS11">
        <f>INDEX($B$25:$GQ$25,MATCH(174,$B$29:$GQ$29,0))</f>
        <v/>
      </c>
      <c r="FT11">
        <f>INDEX($B$25:$GQ$25,MATCH(175,$B$29:$GQ$29,0))</f>
        <v/>
      </c>
      <c r="FU11">
        <f>INDEX($B$25:$GQ$25,MATCH(176,$B$29:$GQ$29,0))</f>
        <v/>
      </c>
      <c r="FV11">
        <f>INDEX($B$25:$GQ$25,MATCH(177,$B$29:$GQ$29,0))</f>
        <v/>
      </c>
      <c r="FW11">
        <f>INDEX($B$25:$GQ$25,MATCH(178,$B$29:$GQ$29,0))</f>
        <v/>
      </c>
      <c r="FX11">
        <f>INDEX($B$25:$GQ$25,MATCH(179,$B$29:$GQ$29,0))</f>
        <v/>
      </c>
      <c r="FY11">
        <f>INDEX($B$25:$GQ$25,MATCH(180,$B$29:$GQ$29,0))</f>
        <v/>
      </c>
      <c r="FZ11">
        <f>INDEX($B$25:$GQ$25,MATCH(181,$B$29:$GQ$29,0))</f>
        <v/>
      </c>
      <c r="GA11">
        <f>INDEX($B$25:$GQ$25,MATCH(182,$B$29:$GQ$29,0))</f>
        <v/>
      </c>
      <c r="GB11">
        <f>INDEX($B$25:$GQ$25,MATCH(183,$B$29:$GQ$29,0))</f>
        <v/>
      </c>
      <c r="GC11">
        <f>INDEX($B$25:$GQ$25,MATCH(184,$B$29:$GQ$29,0))</f>
        <v/>
      </c>
      <c r="GD11">
        <f>INDEX($B$25:$GQ$25,MATCH(185,$B$29:$GQ$29,0))</f>
        <v/>
      </c>
      <c r="GE11">
        <f>INDEX($B$25:$GQ$25,MATCH(186,$B$29:$GQ$29,0))</f>
        <v/>
      </c>
      <c r="GF11">
        <f>INDEX($B$25:$GQ$25,MATCH(187,$B$29:$GQ$29,0))</f>
        <v/>
      </c>
      <c r="GG11">
        <f>INDEX($B$25:$GQ$25,MATCH(188,$B$29:$GQ$29,0))</f>
        <v/>
      </c>
      <c r="GH11">
        <f>INDEX($B$25:$GQ$25,MATCH(189,$B$29:$GQ$29,0))</f>
        <v/>
      </c>
      <c r="GI11">
        <f>INDEX($B$25:$GQ$25,MATCH(190,$B$29:$GQ$29,0))</f>
        <v/>
      </c>
      <c r="GJ11">
        <f>INDEX($B$25:$GQ$25,MATCH(191,$B$29:$GQ$29,0))</f>
        <v/>
      </c>
      <c r="GK11">
        <f>INDEX($B$25:$GQ$25,MATCH(192,$B$29:$GQ$29,0))</f>
        <v/>
      </c>
      <c r="GL11">
        <f>INDEX($B$25:$GQ$25,MATCH(193,$B$29:$GQ$29,0))</f>
        <v/>
      </c>
      <c r="GM11">
        <f>INDEX($B$25:$GQ$25,MATCH(194,$B$29:$GQ$29,0))</f>
        <v/>
      </c>
      <c r="GN11">
        <f>INDEX($B$25:$GQ$25,MATCH(195,$B$29:$GQ$29,0))</f>
        <v/>
      </c>
      <c r="GO11">
        <f>INDEX($B$25:$GQ$25,MATCH(196,$B$29:$GQ$29,0))</f>
        <v/>
      </c>
      <c r="GP11">
        <f>INDEX($B$25:$GQ$25,MATCH(197,$B$29:$GQ$29,0))</f>
        <v/>
      </c>
      <c r="GQ11">
        <f>INDEX($B$25:$GQ$25,MATCH(198,$B$29:$GQ$29,0))</f>
        <v/>
      </c>
      <c r="GR11">
        <f>INDEX($GR$25:$HC$25,MATCH(1,$GR$30:$HC$30,0))</f>
        <v/>
      </c>
      <c r="GS11">
        <f>INDEX($GR$25:$HC$25,MATCH(2,$GR$30:$HC$30,0))</f>
        <v/>
      </c>
      <c r="GT11">
        <f>INDEX($GR$25:$HC$25,MATCH(3,$GR$30:$HC$30,0))</f>
        <v/>
      </c>
      <c r="GU11">
        <f>INDEX($GR$25:$HC$25,MATCH(4,$GR$30:$HC$30,0))</f>
        <v/>
      </c>
      <c r="GV11">
        <f>INDEX($GR$25:$HC$25,MATCH(5,$GR$30:$HC$30,0))</f>
        <v/>
      </c>
      <c r="GW11">
        <f>INDEX($GR$25:$HC$25,MATCH(6,$GR$30:$HC$30,0))</f>
        <v/>
      </c>
      <c r="GX11">
        <f>INDEX($GR$25:$HC$25,MATCH(7,$GR$30:$HC$30,0))</f>
        <v/>
      </c>
      <c r="GY11">
        <f>INDEX($GR$25:$HC$25,MATCH(8,$GR$30:$HC$30,0))</f>
        <v/>
      </c>
      <c r="GZ11">
        <f>INDEX($GR$25:$HC$25,MATCH(9,$GR$30:$HC$30,0))</f>
        <v/>
      </c>
      <c r="HA11">
        <f>INDEX($GR$25:$HC$25,MATCH(10,$GR$30:$HC$30,0))</f>
        <v/>
      </c>
      <c r="HB11">
        <f>INDEX($GR$25:$HC$25,MATCH(11,$GR$30:$HC$30,0))</f>
        <v/>
      </c>
      <c r="HC11">
        <f>INDEX($GR$25:$HC$25,MATCH(12,$GR$30:$HC$30,0))</f>
        <v/>
      </c>
    </row>
    <row r="12">
      <c r="A12" s="1" t="inlineStr">
        <is>
          <t>M_row*Y_imp</t>
        </is>
      </c>
      <c r="B12">
        <f>INDEX($B$26:$GQ$26,MATCH(1,$B$29:$GQ$29,0))</f>
        <v/>
      </c>
      <c r="C12">
        <f>INDEX($B$26:$GQ$26,MATCH(2,$B$29:$GQ$29,0))</f>
        <v/>
      </c>
      <c r="D12">
        <f>INDEX($B$26:$GQ$26,MATCH(3,$B$29:$GQ$29,0))</f>
        <v/>
      </c>
      <c r="E12">
        <f>INDEX($B$26:$GQ$26,MATCH(4,$B$29:$GQ$29,0))</f>
        <v/>
      </c>
      <c r="F12">
        <f>INDEX($B$26:$GQ$26,MATCH(5,$B$29:$GQ$29,0))</f>
        <v/>
      </c>
      <c r="G12">
        <f>INDEX($B$26:$GQ$26,MATCH(6,$B$29:$GQ$29,0))</f>
        <v/>
      </c>
      <c r="H12">
        <f>INDEX($B$26:$GQ$26,MATCH(7,$B$29:$GQ$29,0))</f>
        <v/>
      </c>
      <c r="I12">
        <f>INDEX($B$26:$GQ$26,MATCH(8,$B$29:$GQ$29,0))</f>
        <v/>
      </c>
      <c r="J12">
        <f>INDEX($B$26:$GQ$26,MATCH(9,$B$29:$GQ$29,0))</f>
        <v/>
      </c>
      <c r="K12">
        <f>INDEX($B$26:$GQ$26,MATCH(10,$B$29:$GQ$29,0))</f>
        <v/>
      </c>
      <c r="L12">
        <f>INDEX($B$26:$GQ$26,MATCH(11,$B$29:$GQ$29,0))</f>
        <v/>
      </c>
      <c r="M12">
        <f>INDEX($B$26:$GQ$26,MATCH(12,$B$29:$GQ$29,0))</f>
        <v/>
      </c>
      <c r="N12">
        <f>INDEX($B$26:$GQ$26,MATCH(13,$B$29:$GQ$29,0))</f>
        <v/>
      </c>
      <c r="O12">
        <f>INDEX($B$26:$GQ$26,MATCH(14,$B$29:$GQ$29,0))</f>
        <v/>
      </c>
      <c r="P12">
        <f>INDEX($B$26:$GQ$26,MATCH(15,$B$29:$GQ$29,0))</f>
        <v/>
      </c>
      <c r="Q12">
        <f>INDEX($B$26:$GQ$26,MATCH(16,$B$29:$GQ$29,0))</f>
        <v/>
      </c>
      <c r="R12">
        <f>INDEX($B$26:$GQ$26,MATCH(17,$B$29:$GQ$29,0))</f>
        <v/>
      </c>
      <c r="S12">
        <f>INDEX($B$26:$GQ$26,MATCH(18,$B$29:$GQ$29,0))</f>
        <v/>
      </c>
      <c r="T12">
        <f>INDEX($B$26:$GQ$26,MATCH(19,$B$29:$GQ$29,0))</f>
        <v/>
      </c>
      <c r="U12">
        <f>INDEX($B$26:$GQ$26,MATCH(20,$B$29:$GQ$29,0))</f>
        <v/>
      </c>
      <c r="V12">
        <f>INDEX($B$26:$GQ$26,MATCH(21,$B$29:$GQ$29,0))</f>
        <v/>
      </c>
      <c r="W12">
        <f>INDEX($B$26:$GQ$26,MATCH(22,$B$29:$GQ$29,0))</f>
        <v/>
      </c>
      <c r="X12">
        <f>INDEX($B$26:$GQ$26,MATCH(23,$B$29:$GQ$29,0))</f>
        <v/>
      </c>
      <c r="Y12">
        <f>INDEX($B$26:$GQ$26,MATCH(24,$B$29:$GQ$29,0))</f>
        <v/>
      </c>
      <c r="Z12">
        <f>INDEX($B$26:$GQ$26,MATCH(25,$B$29:$GQ$29,0))</f>
        <v/>
      </c>
      <c r="AA12">
        <f>INDEX($B$26:$GQ$26,MATCH(26,$B$29:$GQ$29,0))</f>
        <v/>
      </c>
      <c r="AB12">
        <f>INDEX($B$26:$GQ$26,MATCH(27,$B$29:$GQ$29,0))</f>
        <v/>
      </c>
      <c r="AC12">
        <f>INDEX($B$26:$GQ$26,MATCH(28,$B$29:$GQ$29,0))</f>
        <v/>
      </c>
      <c r="AD12">
        <f>INDEX($B$26:$GQ$26,MATCH(29,$B$29:$GQ$29,0))</f>
        <v/>
      </c>
      <c r="AE12">
        <f>INDEX($B$26:$GQ$26,MATCH(30,$B$29:$GQ$29,0))</f>
        <v/>
      </c>
      <c r="AF12">
        <f>INDEX($B$26:$GQ$26,MATCH(31,$B$29:$GQ$29,0))</f>
        <v/>
      </c>
      <c r="AG12">
        <f>INDEX($B$26:$GQ$26,MATCH(32,$B$29:$GQ$29,0))</f>
        <v/>
      </c>
      <c r="AH12">
        <f>INDEX($B$26:$GQ$26,MATCH(33,$B$29:$GQ$29,0))</f>
        <v/>
      </c>
      <c r="AI12">
        <f>INDEX($B$26:$GQ$26,MATCH(34,$B$29:$GQ$29,0))</f>
        <v/>
      </c>
      <c r="AJ12">
        <f>INDEX($B$26:$GQ$26,MATCH(35,$B$29:$GQ$29,0))</f>
        <v/>
      </c>
      <c r="AK12">
        <f>INDEX($B$26:$GQ$26,MATCH(36,$B$29:$GQ$29,0))</f>
        <v/>
      </c>
      <c r="AL12">
        <f>INDEX($B$26:$GQ$26,MATCH(37,$B$29:$GQ$29,0))</f>
        <v/>
      </c>
      <c r="AM12">
        <f>INDEX($B$26:$GQ$26,MATCH(38,$B$29:$GQ$29,0))</f>
        <v/>
      </c>
      <c r="AN12">
        <f>INDEX($B$26:$GQ$26,MATCH(39,$B$29:$GQ$29,0))</f>
        <v/>
      </c>
      <c r="AO12">
        <f>INDEX($B$26:$GQ$26,MATCH(40,$B$29:$GQ$29,0))</f>
        <v/>
      </c>
      <c r="AP12">
        <f>INDEX($B$26:$GQ$26,MATCH(41,$B$29:$GQ$29,0))</f>
        <v/>
      </c>
      <c r="AQ12">
        <f>INDEX($B$26:$GQ$26,MATCH(42,$B$29:$GQ$29,0))</f>
        <v/>
      </c>
      <c r="AR12">
        <f>INDEX($B$26:$GQ$26,MATCH(43,$B$29:$GQ$29,0))</f>
        <v/>
      </c>
      <c r="AS12">
        <f>INDEX($B$26:$GQ$26,MATCH(44,$B$29:$GQ$29,0))</f>
        <v/>
      </c>
      <c r="AT12">
        <f>INDEX($B$26:$GQ$26,MATCH(45,$B$29:$GQ$29,0))</f>
        <v/>
      </c>
      <c r="AU12">
        <f>INDEX($B$26:$GQ$26,MATCH(46,$B$29:$GQ$29,0))</f>
        <v/>
      </c>
      <c r="AV12">
        <f>INDEX($B$26:$GQ$26,MATCH(47,$B$29:$GQ$29,0))</f>
        <v/>
      </c>
      <c r="AW12">
        <f>INDEX($B$26:$GQ$26,MATCH(48,$B$29:$GQ$29,0))</f>
        <v/>
      </c>
      <c r="AX12">
        <f>INDEX($B$26:$GQ$26,MATCH(49,$B$29:$GQ$29,0))</f>
        <v/>
      </c>
      <c r="AY12">
        <f>INDEX($B$26:$GQ$26,MATCH(50,$B$29:$GQ$29,0))</f>
        <v/>
      </c>
      <c r="AZ12">
        <f>INDEX($B$26:$GQ$26,MATCH(51,$B$29:$GQ$29,0))</f>
        <v/>
      </c>
      <c r="BA12">
        <f>INDEX($B$26:$GQ$26,MATCH(52,$B$29:$GQ$29,0))</f>
        <v/>
      </c>
      <c r="BB12">
        <f>INDEX($B$26:$GQ$26,MATCH(53,$B$29:$GQ$29,0))</f>
        <v/>
      </c>
      <c r="BC12">
        <f>INDEX($B$26:$GQ$26,MATCH(54,$B$29:$GQ$29,0))</f>
        <v/>
      </c>
      <c r="BD12">
        <f>INDEX($B$26:$GQ$26,MATCH(55,$B$29:$GQ$29,0))</f>
        <v/>
      </c>
      <c r="BE12">
        <f>INDEX($B$26:$GQ$26,MATCH(56,$B$29:$GQ$29,0))</f>
        <v/>
      </c>
      <c r="BF12">
        <f>INDEX($B$26:$GQ$26,MATCH(57,$B$29:$GQ$29,0))</f>
        <v/>
      </c>
      <c r="BG12">
        <f>INDEX($B$26:$GQ$26,MATCH(58,$B$29:$GQ$29,0))</f>
        <v/>
      </c>
      <c r="BH12">
        <f>INDEX($B$26:$GQ$26,MATCH(59,$B$29:$GQ$29,0))</f>
        <v/>
      </c>
      <c r="BI12">
        <f>INDEX($B$26:$GQ$26,MATCH(60,$B$29:$GQ$29,0))</f>
        <v/>
      </c>
      <c r="BJ12">
        <f>INDEX($B$26:$GQ$26,MATCH(61,$B$29:$GQ$29,0))</f>
        <v/>
      </c>
      <c r="BK12">
        <f>INDEX($B$26:$GQ$26,MATCH(62,$B$29:$GQ$29,0))</f>
        <v/>
      </c>
      <c r="BL12">
        <f>INDEX($B$26:$GQ$26,MATCH(63,$B$29:$GQ$29,0))</f>
        <v/>
      </c>
      <c r="BM12">
        <f>INDEX($B$26:$GQ$26,MATCH(64,$B$29:$GQ$29,0))</f>
        <v/>
      </c>
      <c r="BN12">
        <f>INDEX($B$26:$GQ$26,MATCH(65,$B$29:$GQ$29,0))</f>
        <v/>
      </c>
      <c r="BO12">
        <f>INDEX($B$26:$GQ$26,MATCH(66,$B$29:$GQ$29,0))</f>
        <v/>
      </c>
      <c r="BP12">
        <f>INDEX($B$26:$GQ$26,MATCH(67,$B$29:$GQ$29,0))</f>
        <v/>
      </c>
      <c r="BQ12">
        <f>INDEX($B$26:$GQ$26,MATCH(68,$B$29:$GQ$29,0))</f>
        <v/>
      </c>
      <c r="BR12">
        <f>INDEX($B$26:$GQ$26,MATCH(69,$B$29:$GQ$29,0))</f>
        <v/>
      </c>
      <c r="BS12">
        <f>INDEX($B$26:$GQ$26,MATCH(70,$B$29:$GQ$29,0))</f>
        <v/>
      </c>
      <c r="BT12">
        <f>INDEX($B$26:$GQ$26,MATCH(71,$B$29:$GQ$29,0))</f>
        <v/>
      </c>
      <c r="BU12">
        <f>INDEX($B$26:$GQ$26,MATCH(72,$B$29:$GQ$29,0))</f>
        <v/>
      </c>
      <c r="BV12">
        <f>INDEX($B$26:$GQ$26,MATCH(73,$B$29:$GQ$29,0))</f>
        <v/>
      </c>
      <c r="BW12">
        <f>INDEX($B$26:$GQ$26,MATCH(74,$B$29:$GQ$29,0))</f>
        <v/>
      </c>
      <c r="BX12">
        <f>INDEX($B$26:$GQ$26,MATCH(75,$B$29:$GQ$29,0))</f>
        <v/>
      </c>
      <c r="BY12">
        <f>INDEX($B$26:$GQ$26,MATCH(76,$B$29:$GQ$29,0))</f>
        <v/>
      </c>
      <c r="BZ12">
        <f>INDEX($B$26:$GQ$26,MATCH(77,$B$29:$GQ$29,0))</f>
        <v/>
      </c>
      <c r="CA12">
        <f>INDEX($B$26:$GQ$26,MATCH(78,$B$29:$GQ$29,0))</f>
        <v/>
      </c>
      <c r="CB12">
        <f>INDEX($B$26:$GQ$26,MATCH(79,$B$29:$GQ$29,0))</f>
        <v/>
      </c>
      <c r="CC12">
        <f>INDEX($B$26:$GQ$26,MATCH(80,$B$29:$GQ$29,0))</f>
        <v/>
      </c>
      <c r="CD12">
        <f>INDEX($B$26:$GQ$26,MATCH(81,$B$29:$GQ$29,0))</f>
        <v/>
      </c>
      <c r="CE12">
        <f>INDEX($B$26:$GQ$26,MATCH(82,$B$29:$GQ$29,0))</f>
        <v/>
      </c>
      <c r="CF12">
        <f>INDEX($B$26:$GQ$26,MATCH(83,$B$29:$GQ$29,0))</f>
        <v/>
      </c>
      <c r="CG12">
        <f>INDEX($B$26:$GQ$26,MATCH(84,$B$29:$GQ$29,0))</f>
        <v/>
      </c>
      <c r="CH12">
        <f>INDEX($B$26:$GQ$26,MATCH(85,$B$29:$GQ$29,0))</f>
        <v/>
      </c>
      <c r="CI12">
        <f>INDEX($B$26:$GQ$26,MATCH(86,$B$29:$GQ$29,0))</f>
        <v/>
      </c>
      <c r="CJ12">
        <f>INDEX($B$26:$GQ$26,MATCH(87,$B$29:$GQ$29,0))</f>
        <v/>
      </c>
      <c r="CK12">
        <f>INDEX($B$26:$GQ$26,MATCH(88,$B$29:$GQ$29,0))</f>
        <v/>
      </c>
      <c r="CL12">
        <f>INDEX($B$26:$GQ$26,MATCH(89,$B$29:$GQ$29,0))</f>
        <v/>
      </c>
      <c r="CM12">
        <f>INDEX($B$26:$GQ$26,MATCH(90,$B$29:$GQ$29,0))</f>
        <v/>
      </c>
      <c r="CN12">
        <f>INDEX($B$26:$GQ$26,MATCH(91,$B$29:$GQ$29,0))</f>
        <v/>
      </c>
      <c r="CO12">
        <f>INDEX($B$26:$GQ$26,MATCH(92,$B$29:$GQ$29,0))</f>
        <v/>
      </c>
      <c r="CP12">
        <f>INDEX($B$26:$GQ$26,MATCH(93,$B$29:$GQ$29,0))</f>
        <v/>
      </c>
      <c r="CQ12">
        <f>INDEX($B$26:$GQ$26,MATCH(94,$B$29:$GQ$29,0))</f>
        <v/>
      </c>
      <c r="CR12">
        <f>INDEX($B$26:$GQ$26,MATCH(95,$B$29:$GQ$29,0))</f>
        <v/>
      </c>
      <c r="CS12">
        <f>INDEX($B$26:$GQ$26,MATCH(96,$B$29:$GQ$29,0))</f>
        <v/>
      </c>
      <c r="CT12">
        <f>INDEX($B$26:$GQ$26,MATCH(97,$B$29:$GQ$29,0))</f>
        <v/>
      </c>
      <c r="CU12">
        <f>INDEX($B$26:$GQ$26,MATCH(98,$B$29:$GQ$29,0))</f>
        <v/>
      </c>
      <c r="CV12">
        <f>INDEX($B$26:$GQ$26,MATCH(99,$B$29:$GQ$29,0))</f>
        <v/>
      </c>
      <c r="CW12">
        <f>INDEX($B$26:$GQ$26,MATCH(100,$B$29:$GQ$29,0))</f>
        <v/>
      </c>
      <c r="CX12">
        <f>INDEX($B$26:$GQ$26,MATCH(101,$B$29:$GQ$29,0))</f>
        <v/>
      </c>
      <c r="CY12">
        <f>INDEX($B$26:$GQ$26,MATCH(102,$B$29:$GQ$29,0))</f>
        <v/>
      </c>
      <c r="CZ12">
        <f>INDEX($B$26:$GQ$26,MATCH(103,$B$29:$GQ$29,0))</f>
        <v/>
      </c>
      <c r="DA12">
        <f>INDEX($B$26:$GQ$26,MATCH(104,$B$29:$GQ$29,0))</f>
        <v/>
      </c>
      <c r="DB12">
        <f>INDEX($B$26:$GQ$26,MATCH(105,$B$29:$GQ$29,0))</f>
        <v/>
      </c>
      <c r="DC12">
        <f>INDEX($B$26:$GQ$26,MATCH(106,$B$29:$GQ$29,0))</f>
        <v/>
      </c>
      <c r="DD12">
        <f>INDEX($B$26:$GQ$26,MATCH(107,$B$29:$GQ$29,0))</f>
        <v/>
      </c>
      <c r="DE12">
        <f>INDEX($B$26:$GQ$26,MATCH(108,$B$29:$GQ$29,0))</f>
        <v/>
      </c>
      <c r="DF12">
        <f>INDEX($B$26:$GQ$26,MATCH(109,$B$29:$GQ$29,0))</f>
        <v/>
      </c>
      <c r="DG12">
        <f>INDEX($B$26:$GQ$26,MATCH(110,$B$29:$GQ$29,0))</f>
        <v/>
      </c>
      <c r="DH12">
        <f>INDEX($B$26:$GQ$26,MATCH(111,$B$29:$GQ$29,0))</f>
        <v/>
      </c>
      <c r="DI12">
        <f>INDEX($B$26:$GQ$26,MATCH(112,$B$29:$GQ$29,0))</f>
        <v/>
      </c>
      <c r="DJ12">
        <f>INDEX($B$26:$GQ$26,MATCH(113,$B$29:$GQ$29,0))</f>
        <v/>
      </c>
      <c r="DK12">
        <f>INDEX($B$26:$GQ$26,MATCH(114,$B$29:$GQ$29,0))</f>
        <v/>
      </c>
      <c r="DL12">
        <f>INDEX($B$26:$GQ$26,MATCH(115,$B$29:$GQ$29,0))</f>
        <v/>
      </c>
      <c r="DM12">
        <f>INDEX($B$26:$GQ$26,MATCH(116,$B$29:$GQ$29,0))</f>
        <v/>
      </c>
      <c r="DN12">
        <f>INDEX($B$26:$GQ$26,MATCH(117,$B$29:$GQ$29,0))</f>
        <v/>
      </c>
      <c r="DO12">
        <f>INDEX($B$26:$GQ$26,MATCH(118,$B$29:$GQ$29,0))</f>
        <v/>
      </c>
      <c r="DP12">
        <f>INDEX($B$26:$GQ$26,MATCH(119,$B$29:$GQ$29,0))</f>
        <v/>
      </c>
      <c r="DQ12">
        <f>INDEX($B$26:$GQ$26,MATCH(120,$B$29:$GQ$29,0))</f>
        <v/>
      </c>
      <c r="DR12">
        <f>INDEX($B$26:$GQ$26,MATCH(121,$B$29:$GQ$29,0))</f>
        <v/>
      </c>
      <c r="DS12">
        <f>INDEX($B$26:$GQ$26,MATCH(122,$B$29:$GQ$29,0))</f>
        <v/>
      </c>
      <c r="DT12">
        <f>INDEX($B$26:$GQ$26,MATCH(123,$B$29:$GQ$29,0))</f>
        <v/>
      </c>
      <c r="DU12">
        <f>INDEX($B$26:$GQ$26,MATCH(124,$B$29:$GQ$29,0))</f>
        <v/>
      </c>
      <c r="DV12">
        <f>INDEX($B$26:$GQ$26,MATCH(125,$B$29:$GQ$29,0))</f>
        <v/>
      </c>
      <c r="DW12">
        <f>INDEX($B$26:$GQ$26,MATCH(126,$B$29:$GQ$29,0))</f>
        <v/>
      </c>
      <c r="DX12">
        <f>INDEX($B$26:$GQ$26,MATCH(127,$B$29:$GQ$29,0))</f>
        <v/>
      </c>
      <c r="DY12">
        <f>INDEX($B$26:$GQ$26,MATCH(128,$B$29:$GQ$29,0))</f>
        <v/>
      </c>
      <c r="DZ12">
        <f>INDEX($B$26:$GQ$26,MATCH(129,$B$29:$GQ$29,0))</f>
        <v/>
      </c>
      <c r="EA12">
        <f>INDEX($B$26:$GQ$26,MATCH(130,$B$29:$GQ$29,0))</f>
        <v/>
      </c>
      <c r="EB12">
        <f>INDEX($B$26:$GQ$26,MATCH(131,$B$29:$GQ$29,0))</f>
        <v/>
      </c>
      <c r="EC12">
        <f>INDEX($B$26:$GQ$26,MATCH(132,$B$29:$GQ$29,0))</f>
        <v/>
      </c>
      <c r="ED12">
        <f>INDEX($B$26:$GQ$26,MATCH(133,$B$29:$GQ$29,0))</f>
        <v/>
      </c>
      <c r="EE12">
        <f>INDEX($B$26:$GQ$26,MATCH(134,$B$29:$GQ$29,0))</f>
        <v/>
      </c>
      <c r="EF12">
        <f>INDEX($B$26:$GQ$26,MATCH(135,$B$29:$GQ$29,0))</f>
        <v/>
      </c>
      <c r="EG12">
        <f>INDEX($B$26:$GQ$26,MATCH(136,$B$29:$GQ$29,0))</f>
        <v/>
      </c>
      <c r="EH12">
        <f>INDEX($B$26:$GQ$26,MATCH(137,$B$29:$GQ$29,0))</f>
        <v/>
      </c>
      <c r="EI12">
        <f>INDEX($B$26:$GQ$26,MATCH(138,$B$29:$GQ$29,0))</f>
        <v/>
      </c>
      <c r="EJ12">
        <f>INDEX($B$26:$GQ$26,MATCH(139,$B$29:$GQ$29,0))</f>
        <v/>
      </c>
      <c r="EK12">
        <f>INDEX($B$26:$GQ$26,MATCH(140,$B$29:$GQ$29,0))</f>
        <v/>
      </c>
      <c r="EL12">
        <f>INDEX($B$26:$GQ$26,MATCH(141,$B$29:$GQ$29,0))</f>
        <v/>
      </c>
      <c r="EM12">
        <f>INDEX($B$26:$GQ$26,MATCH(142,$B$29:$GQ$29,0))</f>
        <v/>
      </c>
      <c r="EN12">
        <f>INDEX($B$26:$GQ$26,MATCH(143,$B$29:$GQ$29,0))</f>
        <v/>
      </c>
      <c r="EO12">
        <f>INDEX($B$26:$GQ$26,MATCH(144,$B$29:$GQ$29,0))</f>
        <v/>
      </c>
      <c r="EP12">
        <f>INDEX($B$26:$GQ$26,MATCH(145,$B$29:$GQ$29,0))</f>
        <v/>
      </c>
      <c r="EQ12">
        <f>INDEX($B$26:$GQ$26,MATCH(146,$B$29:$GQ$29,0))</f>
        <v/>
      </c>
      <c r="ER12">
        <f>INDEX($B$26:$GQ$26,MATCH(147,$B$29:$GQ$29,0))</f>
        <v/>
      </c>
      <c r="ES12">
        <f>INDEX($B$26:$GQ$26,MATCH(148,$B$29:$GQ$29,0))</f>
        <v/>
      </c>
      <c r="ET12">
        <f>INDEX($B$26:$GQ$26,MATCH(149,$B$29:$GQ$29,0))</f>
        <v/>
      </c>
      <c r="EU12">
        <f>INDEX($B$26:$GQ$26,MATCH(150,$B$29:$GQ$29,0))</f>
        <v/>
      </c>
      <c r="EV12">
        <f>INDEX($B$26:$GQ$26,MATCH(151,$B$29:$GQ$29,0))</f>
        <v/>
      </c>
      <c r="EW12">
        <f>INDEX($B$26:$GQ$26,MATCH(152,$B$29:$GQ$29,0))</f>
        <v/>
      </c>
      <c r="EX12">
        <f>INDEX($B$26:$GQ$26,MATCH(153,$B$29:$GQ$29,0))</f>
        <v/>
      </c>
      <c r="EY12">
        <f>INDEX($B$26:$GQ$26,MATCH(154,$B$29:$GQ$29,0))</f>
        <v/>
      </c>
      <c r="EZ12">
        <f>INDEX($B$26:$GQ$26,MATCH(155,$B$29:$GQ$29,0))</f>
        <v/>
      </c>
      <c r="FA12">
        <f>INDEX($B$26:$GQ$26,MATCH(156,$B$29:$GQ$29,0))</f>
        <v/>
      </c>
      <c r="FB12">
        <f>INDEX($B$26:$GQ$26,MATCH(157,$B$29:$GQ$29,0))</f>
        <v/>
      </c>
      <c r="FC12">
        <f>INDEX($B$26:$GQ$26,MATCH(158,$B$29:$GQ$29,0))</f>
        <v/>
      </c>
      <c r="FD12">
        <f>INDEX($B$26:$GQ$26,MATCH(159,$B$29:$GQ$29,0))</f>
        <v/>
      </c>
      <c r="FE12">
        <f>INDEX($B$26:$GQ$26,MATCH(160,$B$29:$GQ$29,0))</f>
        <v/>
      </c>
      <c r="FF12">
        <f>INDEX($B$26:$GQ$26,MATCH(161,$B$29:$GQ$29,0))</f>
        <v/>
      </c>
      <c r="FG12">
        <f>INDEX($B$26:$GQ$26,MATCH(162,$B$29:$GQ$29,0))</f>
        <v/>
      </c>
      <c r="FH12">
        <f>INDEX($B$26:$GQ$26,MATCH(163,$B$29:$GQ$29,0))</f>
        <v/>
      </c>
      <c r="FI12">
        <f>INDEX($B$26:$GQ$26,MATCH(164,$B$29:$GQ$29,0))</f>
        <v/>
      </c>
      <c r="FJ12">
        <f>INDEX($B$26:$GQ$26,MATCH(165,$B$29:$GQ$29,0))</f>
        <v/>
      </c>
      <c r="FK12">
        <f>INDEX($B$26:$GQ$26,MATCH(166,$B$29:$GQ$29,0))</f>
        <v/>
      </c>
      <c r="FL12">
        <f>INDEX($B$26:$GQ$26,MATCH(167,$B$29:$GQ$29,0))</f>
        <v/>
      </c>
      <c r="FM12">
        <f>INDEX($B$26:$GQ$26,MATCH(168,$B$29:$GQ$29,0))</f>
        <v/>
      </c>
      <c r="FN12">
        <f>INDEX($B$26:$GQ$26,MATCH(169,$B$29:$GQ$29,0))</f>
        <v/>
      </c>
      <c r="FO12">
        <f>INDEX($B$26:$GQ$26,MATCH(170,$B$29:$GQ$29,0))</f>
        <v/>
      </c>
      <c r="FP12">
        <f>INDEX($B$26:$GQ$26,MATCH(171,$B$29:$GQ$29,0))</f>
        <v/>
      </c>
      <c r="FQ12">
        <f>INDEX($B$26:$GQ$26,MATCH(172,$B$29:$GQ$29,0))</f>
        <v/>
      </c>
      <c r="FR12">
        <f>INDEX($B$26:$GQ$26,MATCH(173,$B$29:$GQ$29,0))</f>
        <v/>
      </c>
      <c r="FS12">
        <f>INDEX($B$26:$GQ$26,MATCH(174,$B$29:$GQ$29,0))</f>
        <v/>
      </c>
      <c r="FT12">
        <f>INDEX($B$26:$GQ$26,MATCH(175,$B$29:$GQ$29,0))</f>
        <v/>
      </c>
      <c r="FU12">
        <f>INDEX($B$26:$GQ$26,MATCH(176,$B$29:$GQ$29,0))</f>
        <v/>
      </c>
      <c r="FV12">
        <f>INDEX($B$26:$GQ$26,MATCH(177,$B$29:$GQ$29,0))</f>
        <v/>
      </c>
      <c r="FW12">
        <f>INDEX($B$26:$GQ$26,MATCH(178,$B$29:$GQ$29,0))</f>
        <v/>
      </c>
      <c r="FX12">
        <f>INDEX($B$26:$GQ$26,MATCH(179,$B$29:$GQ$29,0))</f>
        <v/>
      </c>
      <c r="FY12">
        <f>INDEX($B$26:$GQ$26,MATCH(180,$B$29:$GQ$29,0))</f>
        <v/>
      </c>
      <c r="FZ12">
        <f>INDEX($B$26:$GQ$26,MATCH(181,$B$29:$GQ$29,0))</f>
        <v/>
      </c>
      <c r="GA12">
        <f>INDEX($B$26:$GQ$26,MATCH(182,$B$29:$GQ$29,0))</f>
        <v/>
      </c>
      <c r="GB12">
        <f>INDEX($B$26:$GQ$26,MATCH(183,$B$29:$GQ$29,0))</f>
        <v/>
      </c>
      <c r="GC12">
        <f>INDEX($B$26:$GQ$26,MATCH(184,$B$29:$GQ$29,0))</f>
        <v/>
      </c>
      <c r="GD12">
        <f>INDEX($B$26:$GQ$26,MATCH(185,$B$29:$GQ$29,0))</f>
        <v/>
      </c>
      <c r="GE12">
        <f>INDEX($B$26:$GQ$26,MATCH(186,$B$29:$GQ$29,0))</f>
        <v/>
      </c>
      <c r="GF12">
        <f>INDEX($B$26:$GQ$26,MATCH(187,$B$29:$GQ$29,0))</f>
        <v/>
      </c>
      <c r="GG12">
        <f>INDEX($B$26:$GQ$26,MATCH(188,$B$29:$GQ$29,0))</f>
        <v/>
      </c>
      <c r="GH12">
        <f>INDEX($B$26:$GQ$26,MATCH(189,$B$29:$GQ$29,0))</f>
        <v/>
      </c>
      <c r="GI12">
        <f>INDEX($B$26:$GQ$26,MATCH(190,$B$29:$GQ$29,0))</f>
        <v/>
      </c>
      <c r="GJ12">
        <f>INDEX($B$26:$GQ$26,MATCH(191,$B$29:$GQ$29,0))</f>
        <v/>
      </c>
      <c r="GK12">
        <f>INDEX($B$26:$GQ$26,MATCH(192,$B$29:$GQ$29,0))</f>
        <v/>
      </c>
      <c r="GL12">
        <f>INDEX($B$26:$GQ$26,MATCH(193,$B$29:$GQ$29,0))</f>
        <v/>
      </c>
      <c r="GM12">
        <f>INDEX($B$26:$GQ$26,MATCH(194,$B$29:$GQ$29,0))</f>
        <v/>
      </c>
      <c r="GN12">
        <f>INDEX($B$26:$GQ$26,MATCH(195,$B$29:$GQ$29,0))</f>
        <v/>
      </c>
      <c r="GO12">
        <f>INDEX($B$26:$GQ$26,MATCH(196,$B$29:$GQ$29,0))</f>
        <v/>
      </c>
      <c r="GP12">
        <f>INDEX($B$26:$GQ$26,MATCH(197,$B$29:$GQ$29,0))</f>
        <v/>
      </c>
      <c r="GQ12">
        <f>INDEX($B$26:$GQ$26,MATCH(198,$B$29:$GQ$29,0))</f>
        <v/>
      </c>
      <c r="GR12">
        <f>INDEX($GR$26:$HC$26,MATCH(1,$GR$30:$HC$30,0))</f>
        <v/>
      </c>
      <c r="GS12">
        <f>INDEX($GR$26:$HC$26,MATCH(2,$GR$30:$HC$30,0))</f>
        <v/>
      </c>
      <c r="GT12">
        <f>INDEX($GR$26:$HC$26,MATCH(3,$GR$30:$HC$30,0))</f>
        <v/>
      </c>
      <c r="GU12">
        <f>INDEX($GR$26:$HC$26,MATCH(4,$GR$30:$HC$30,0))</f>
        <v/>
      </c>
      <c r="GV12">
        <f>INDEX($GR$26:$HC$26,MATCH(5,$GR$30:$HC$30,0))</f>
        <v/>
      </c>
      <c r="GW12">
        <f>INDEX($GR$26:$HC$26,MATCH(6,$GR$30:$HC$30,0))</f>
        <v/>
      </c>
      <c r="GX12">
        <f>INDEX($GR$26:$HC$26,MATCH(7,$GR$30:$HC$30,0))</f>
        <v/>
      </c>
      <c r="GY12">
        <f>INDEX($GR$26:$HC$26,MATCH(8,$GR$30:$HC$30,0))</f>
        <v/>
      </c>
      <c r="GZ12">
        <f>INDEX($GR$26:$HC$26,MATCH(9,$GR$30:$HC$30,0))</f>
        <v/>
      </c>
      <c r="HA12">
        <f>INDEX($GR$26:$HC$26,MATCH(10,$GR$30:$HC$30,0))</f>
        <v/>
      </c>
      <c r="HB12">
        <f>INDEX($GR$26:$HC$26,MATCH(11,$GR$30:$HC$30,0))</f>
        <v/>
      </c>
      <c r="HC12">
        <f>INDEX($GR$26:$HC$26,MATCH(12,$GR$30:$HC$30,0))</f>
        <v/>
      </c>
    </row>
    <row r="13">
      <c r="A13" s="1" t="inlineStr">
        <is>
          <t>M_imp*Y_dom+M_dom*Y_dom+M_row*Y_imp</t>
        </is>
      </c>
      <c r="B13">
        <f>INDEX($B$27:$GQ$27,MATCH(1,$B$29:$GQ$29,0))</f>
        <v/>
      </c>
      <c r="C13">
        <f>INDEX($B$27:$GQ$27,MATCH(2,$B$29:$GQ$29,0))</f>
        <v/>
      </c>
      <c r="D13">
        <f>INDEX($B$27:$GQ$27,MATCH(3,$B$29:$GQ$29,0))</f>
        <v/>
      </c>
      <c r="E13">
        <f>INDEX($B$27:$GQ$27,MATCH(4,$B$29:$GQ$29,0))</f>
        <v/>
      </c>
      <c r="F13">
        <f>INDEX($B$27:$GQ$27,MATCH(5,$B$29:$GQ$29,0))</f>
        <v/>
      </c>
      <c r="G13">
        <f>INDEX($B$27:$GQ$27,MATCH(6,$B$29:$GQ$29,0))</f>
        <v/>
      </c>
      <c r="H13">
        <f>INDEX($B$27:$GQ$27,MATCH(7,$B$29:$GQ$29,0))</f>
        <v/>
      </c>
      <c r="I13">
        <f>INDEX($B$27:$GQ$27,MATCH(8,$B$29:$GQ$29,0))</f>
        <v/>
      </c>
      <c r="J13">
        <f>INDEX($B$27:$GQ$27,MATCH(9,$B$29:$GQ$29,0))</f>
        <v/>
      </c>
      <c r="K13">
        <f>INDEX($B$27:$GQ$27,MATCH(10,$B$29:$GQ$29,0))</f>
        <v/>
      </c>
      <c r="L13">
        <f>INDEX($B$27:$GQ$27,MATCH(11,$B$29:$GQ$29,0))</f>
        <v/>
      </c>
      <c r="M13">
        <f>INDEX($B$27:$GQ$27,MATCH(12,$B$29:$GQ$29,0))</f>
        <v/>
      </c>
      <c r="N13">
        <f>INDEX($B$27:$GQ$27,MATCH(13,$B$29:$GQ$29,0))</f>
        <v/>
      </c>
      <c r="O13">
        <f>INDEX($B$27:$GQ$27,MATCH(14,$B$29:$GQ$29,0))</f>
        <v/>
      </c>
      <c r="P13">
        <f>INDEX($B$27:$GQ$27,MATCH(15,$B$29:$GQ$29,0))</f>
        <v/>
      </c>
      <c r="Q13">
        <f>INDEX($B$27:$GQ$27,MATCH(16,$B$29:$GQ$29,0))</f>
        <v/>
      </c>
      <c r="R13">
        <f>INDEX($B$27:$GQ$27,MATCH(17,$B$29:$GQ$29,0))</f>
        <v/>
      </c>
      <c r="S13">
        <f>INDEX($B$27:$GQ$27,MATCH(18,$B$29:$GQ$29,0))</f>
        <v/>
      </c>
      <c r="T13">
        <f>INDEX($B$27:$GQ$27,MATCH(19,$B$29:$GQ$29,0))</f>
        <v/>
      </c>
      <c r="U13">
        <f>INDEX($B$27:$GQ$27,MATCH(20,$B$29:$GQ$29,0))</f>
        <v/>
      </c>
      <c r="V13">
        <f>INDEX($B$27:$GQ$27,MATCH(21,$B$29:$GQ$29,0))</f>
        <v/>
      </c>
      <c r="W13">
        <f>INDEX($B$27:$GQ$27,MATCH(22,$B$29:$GQ$29,0))</f>
        <v/>
      </c>
      <c r="X13">
        <f>INDEX($B$27:$GQ$27,MATCH(23,$B$29:$GQ$29,0))</f>
        <v/>
      </c>
      <c r="Y13">
        <f>INDEX($B$27:$GQ$27,MATCH(24,$B$29:$GQ$29,0))</f>
        <v/>
      </c>
      <c r="Z13">
        <f>INDEX($B$27:$GQ$27,MATCH(25,$B$29:$GQ$29,0))</f>
        <v/>
      </c>
      <c r="AA13">
        <f>INDEX($B$27:$GQ$27,MATCH(26,$B$29:$GQ$29,0))</f>
        <v/>
      </c>
      <c r="AB13">
        <f>INDEX($B$27:$GQ$27,MATCH(27,$B$29:$GQ$29,0))</f>
        <v/>
      </c>
      <c r="AC13">
        <f>INDEX($B$27:$GQ$27,MATCH(28,$B$29:$GQ$29,0))</f>
        <v/>
      </c>
      <c r="AD13">
        <f>INDEX($B$27:$GQ$27,MATCH(29,$B$29:$GQ$29,0))</f>
        <v/>
      </c>
      <c r="AE13">
        <f>INDEX($B$27:$GQ$27,MATCH(30,$B$29:$GQ$29,0))</f>
        <v/>
      </c>
      <c r="AF13">
        <f>INDEX($B$27:$GQ$27,MATCH(31,$B$29:$GQ$29,0))</f>
        <v/>
      </c>
      <c r="AG13">
        <f>INDEX($B$27:$GQ$27,MATCH(32,$B$29:$GQ$29,0))</f>
        <v/>
      </c>
      <c r="AH13">
        <f>INDEX($B$27:$GQ$27,MATCH(33,$B$29:$GQ$29,0))</f>
        <v/>
      </c>
      <c r="AI13">
        <f>INDEX($B$27:$GQ$27,MATCH(34,$B$29:$GQ$29,0))</f>
        <v/>
      </c>
      <c r="AJ13">
        <f>INDEX($B$27:$GQ$27,MATCH(35,$B$29:$GQ$29,0))</f>
        <v/>
      </c>
      <c r="AK13">
        <f>INDEX($B$27:$GQ$27,MATCH(36,$B$29:$GQ$29,0))</f>
        <v/>
      </c>
      <c r="AL13">
        <f>INDEX($B$27:$GQ$27,MATCH(37,$B$29:$GQ$29,0))</f>
        <v/>
      </c>
      <c r="AM13">
        <f>INDEX($B$27:$GQ$27,MATCH(38,$B$29:$GQ$29,0))</f>
        <v/>
      </c>
      <c r="AN13">
        <f>INDEX($B$27:$GQ$27,MATCH(39,$B$29:$GQ$29,0))</f>
        <v/>
      </c>
      <c r="AO13">
        <f>INDEX($B$27:$GQ$27,MATCH(40,$B$29:$GQ$29,0))</f>
        <v/>
      </c>
      <c r="AP13">
        <f>INDEX($B$27:$GQ$27,MATCH(41,$B$29:$GQ$29,0))</f>
        <v/>
      </c>
      <c r="AQ13">
        <f>INDEX($B$27:$GQ$27,MATCH(42,$B$29:$GQ$29,0))</f>
        <v/>
      </c>
      <c r="AR13">
        <f>INDEX($B$27:$GQ$27,MATCH(43,$B$29:$GQ$29,0))</f>
        <v/>
      </c>
      <c r="AS13">
        <f>INDEX($B$27:$GQ$27,MATCH(44,$B$29:$GQ$29,0))</f>
        <v/>
      </c>
      <c r="AT13">
        <f>INDEX($B$27:$GQ$27,MATCH(45,$B$29:$GQ$29,0))</f>
        <v/>
      </c>
      <c r="AU13">
        <f>INDEX($B$27:$GQ$27,MATCH(46,$B$29:$GQ$29,0))</f>
        <v/>
      </c>
      <c r="AV13">
        <f>INDEX($B$27:$GQ$27,MATCH(47,$B$29:$GQ$29,0))</f>
        <v/>
      </c>
      <c r="AW13">
        <f>INDEX($B$27:$GQ$27,MATCH(48,$B$29:$GQ$29,0))</f>
        <v/>
      </c>
      <c r="AX13">
        <f>INDEX($B$27:$GQ$27,MATCH(49,$B$29:$GQ$29,0))</f>
        <v/>
      </c>
      <c r="AY13">
        <f>INDEX($B$27:$GQ$27,MATCH(50,$B$29:$GQ$29,0))</f>
        <v/>
      </c>
      <c r="AZ13">
        <f>INDEX($B$27:$GQ$27,MATCH(51,$B$29:$GQ$29,0))</f>
        <v/>
      </c>
      <c r="BA13">
        <f>INDEX($B$27:$GQ$27,MATCH(52,$B$29:$GQ$29,0))</f>
        <v/>
      </c>
      <c r="BB13">
        <f>INDEX($B$27:$GQ$27,MATCH(53,$B$29:$GQ$29,0))</f>
        <v/>
      </c>
      <c r="BC13">
        <f>INDEX($B$27:$GQ$27,MATCH(54,$B$29:$GQ$29,0))</f>
        <v/>
      </c>
      <c r="BD13">
        <f>INDEX($B$27:$GQ$27,MATCH(55,$B$29:$GQ$29,0))</f>
        <v/>
      </c>
      <c r="BE13">
        <f>INDEX($B$27:$GQ$27,MATCH(56,$B$29:$GQ$29,0))</f>
        <v/>
      </c>
      <c r="BF13">
        <f>INDEX($B$27:$GQ$27,MATCH(57,$B$29:$GQ$29,0))</f>
        <v/>
      </c>
      <c r="BG13">
        <f>INDEX($B$27:$GQ$27,MATCH(58,$B$29:$GQ$29,0))</f>
        <v/>
      </c>
      <c r="BH13">
        <f>INDEX($B$27:$GQ$27,MATCH(59,$B$29:$GQ$29,0))</f>
        <v/>
      </c>
      <c r="BI13">
        <f>INDEX($B$27:$GQ$27,MATCH(60,$B$29:$GQ$29,0))</f>
        <v/>
      </c>
      <c r="BJ13">
        <f>INDEX($B$27:$GQ$27,MATCH(61,$B$29:$GQ$29,0))</f>
        <v/>
      </c>
      <c r="BK13">
        <f>INDEX($B$27:$GQ$27,MATCH(62,$B$29:$GQ$29,0))</f>
        <v/>
      </c>
      <c r="BL13">
        <f>INDEX($B$27:$GQ$27,MATCH(63,$B$29:$GQ$29,0))</f>
        <v/>
      </c>
      <c r="BM13">
        <f>INDEX($B$27:$GQ$27,MATCH(64,$B$29:$GQ$29,0))</f>
        <v/>
      </c>
      <c r="BN13">
        <f>INDEX($B$27:$GQ$27,MATCH(65,$B$29:$GQ$29,0))</f>
        <v/>
      </c>
      <c r="BO13">
        <f>INDEX($B$27:$GQ$27,MATCH(66,$B$29:$GQ$29,0))</f>
        <v/>
      </c>
      <c r="BP13">
        <f>INDEX($B$27:$GQ$27,MATCH(67,$B$29:$GQ$29,0))</f>
        <v/>
      </c>
      <c r="BQ13">
        <f>INDEX($B$27:$GQ$27,MATCH(68,$B$29:$GQ$29,0))</f>
        <v/>
      </c>
      <c r="BR13">
        <f>INDEX($B$27:$GQ$27,MATCH(69,$B$29:$GQ$29,0))</f>
        <v/>
      </c>
      <c r="BS13">
        <f>INDEX($B$27:$GQ$27,MATCH(70,$B$29:$GQ$29,0))</f>
        <v/>
      </c>
      <c r="BT13">
        <f>INDEX($B$27:$GQ$27,MATCH(71,$B$29:$GQ$29,0))</f>
        <v/>
      </c>
      <c r="BU13">
        <f>INDEX($B$27:$GQ$27,MATCH(72,$B$29:$GQ$29,0))</f>
        <v/>
      </c>
      <c r="BV13">
        <f>INDEX($B$27:$GQ$27,MATCH(73,$B$29:$GQ$29,0))</f>
        <v/>
      </c>
      <c r="BW13">
        <f>INDEX($B$27:$GQ$27,MATCH(74,$B$29:$GQ$29,0))</f>
        <v/>
      </c>
      <c r="BX13">
        <f>INDEX($B$27:$GQ$27,MATCH(75,$B$29:$GQ$29,0))</f>
        <v/>
      </c>
      <c r="BY13">
        <f>INDEX($B$27:$GQ$27,MATCH(76,$B$29:$GQ$29,0))</f>
        <v/>
      </c>
      <c r="BZ13">
        <f>INDEX($B$27:$GQ$27,MATCH(77,$B$29:$GQ$29,0))</f>
        <v/>
      </c>
      <c r="CA13">
        <f>INDEX($B$27:$GQ$27,MATCH(78,$B$29:$GQ$29,0))</f>
        <v/>
      </c>
      <c r="CB13">
        <f>INDEX($B$27:$GQ$27,MATCH(79,$B$29:$GQ$29,0))</f>
        <v/>
      </c>
      <c r="CC13">
        <f>INDEX($B$27:$GQ$27,MATCH(80,$B$29:$GQ$29,0))</f>
        <v/>
      </c>
      <c r="CD13">
        <f>INDEX($B$27:$GQ$27,MATCH(81,$B$29:$GQ$29,0))</f>
        <v/>
      </c>
      <c r="CE13">
        <f>INDEX($B$27:$GQ$27,MATCH(82,$B$29:$GQ$29,0))</f>
        <v/>
      </c>
      <c r="CF13">
        <f>INDEX($B$27:$GQ$27,MATCH(83,$B$29:$GQ$29,0))</f>
        <v/>
      </c>
      <c r="CG13">
        <f>INDEX($B$27:$GQ$27,MATCH(84,$B$29:$GQ$29,0))</f>
        <v/>
      </c>
      <c r="CH13">
        <f>INDEX($B$27:$GQ$27,MATCH(85,$B$29:$GQ$29,0))</f>
        <v/>
      </c>
      <c r="CI13">
        <f>INDEX($B$27:$GQ$27,MATCH(86,$B$29:$GQ$29,0))</f>
        <v/>
      </c>
      <c r="CJ13">
        <f>INDEX($B$27:$GQ$27,MATCH(87,$B$29:$GQ$29,0))</f>
        <v/>
      </c>
      <c r="CK13">
        <f>INDEX($B$27:$GQ$27,MATCH(88,$B$29:$GQ$29,0))</f>
        <v/>
      </c>
      <c r="CL13">
        <f>INDEX($B$27:$GQ$27,MATCH(89,$B$29:$GQ$29,0))</f>
        <v/>
      </c>
      <c r="CM13">
        <f>INDEX($B$27:$GQ$27,MATCH(90,$B$29:$GQ$29,0))</f>
        <v/>
      </c>
      <c r="CN13">
        <f>INDEX($B$27:$GQ$27,MATCH(91,$B$29:$GQ$29,0))</f>
        <v/>
      </c>
      <c r="CO13">
        <f>INDEX($B$27:$GQ$27,MATCH(92,$B$29:$GQ$29,0))</f>
        <v/>
      </c>
      <c r="CP13">
        <f>INDEX($B$27:$GQ$27,MATCH(93,$B$29:$GQ$29,0))</f>
        <v/>
      </c>
      <c r="CQ13">
        <f>INDEX($B$27:$GQ$27,MATCH(94,$B$29:$GQ$29,0))</f>
        <v/>
      </c>
      <c r="CR13">
        <f>INDEX($B$27:$GQ$27,MATCH(95,$B$29:$GQ$29,0))</f>
        <v/>
      </c>
      <c r="CS13">
        <f>INDEX($B$27:$GQ$27,MATCH(96,$B$29:$GQ$29,0))</f>
        <v/>
      </c>
      <c r="CT13">
        <f>INDEX($B$27:$GQ$27,MATCH(97,$B$29:$GQ$29,0))</f>
        <v/>
      </c>
      <c r="CU13">
        <f>INDEX($B$27:$GQ$27,MATCH(98,$B$29:$GQ$29,0))</f>
        <v/>
      </c>
      <c r="CV13">
        <f>INDEX($B$27:$GQ$27,MATCH(99,$B$29:$GQ$29,0))</f>
        <v/>
      </c>
      <c r="CW13">
        <f>INDEX($B$27:$GQ$27,MATCH(100,$B$29:$GQ$29,0))</f>
        <v/>
      </c>
      <c r="CX13">
        <f>INDEX($B$27:$GQ$27,MATCH(101,$B$29:$GQ$29,0))</f>
        <v/>
      </c>
      <c r="CY13">
        <f>INDEX($B$27:$GQ$27,MATCH(102,$B$29:$GQ$29,0))</f>
        <v/>
      </c>
      <c r="CZ13">
        <f>INDEX($B$27:$GQ$27,MATCH(103,$B$29:$GQ$29,0))</f>
        <v/>
      </c>
      <c r="DA13">
        <f>INDEX($B$27:$GQ$27,MATCH(104,$B$29:$GQ$29,0))</f>
        <v/>
      </c>
      <c r="DB13">
        <f>INDEX($B$27:$GQ$27,MATCH(105,$B$29:$GQ$29,0))</f>
        <v/>
      </c>
      <c r="DC13">
        <f>INDEX($B$27:$GQ$27,MATCH(106,$B$29:$GQ$29,0))</f>
        <v/>
      </c>
      <c r="DD13">
        <f>INDEX($B$27:$GQ$27,MATCH(107,$B$29:$GQ$29,0))</f>
        <v/>
      </c>
      <c r="DE13">
        <f>INDEX($B$27:$GQ$27,MATCH(108,$B$29:$GQ$29,0))</f>
        <v/>
      </c>
      <c r="DF13">
        <f>INDEX($B$27:$GQ$27,MATCH(109,$B$29:$GQ$29,0))</f>
        <v/>
      </c>
      <c r="DG13">
        <f>INDEX($B$27:$GQ$27,MATCH(110,$B$29:$GQ$29,0))</f>
        <v/>
      </c>
      <c r="DH13">
        <f>INDEX($B$27:$GQ$27,MATCH(111,$B$29:$GQ$29,0))</f>
        <v/>
      </c>
      <c r="DI13">
        <f>INDEX($B$27:$GQ$27,MATCH(112,$B$29:$GQ$29,0))</f>
        <v/>
      </c>
      <c r="DJ13">
        <f>INDEX($B$27:$GQ$27,MATCH(113,$B$29:$GQ$29,0))</f>
        <v/>
      </c>
      <c r="DK13">
        <f>INDEX($B$27:$GQ$27,MATCH(114,$B$29:$GQ$29,0))</f>
        <v/>
      </c>
      <c r="DL13">
        <f>INDEX($B$27:$GQ$27,MATCH(115,$B$29:$GQ$29,0))</f>
        <v/>
      </c>
      <c r="DM13">
        <f>INDEX($B$27:$GQ$27,MATCH(116,$B$29:$GQ$29,0))</f>
        <v/>
      </c>
      <c r="DN13">
        <f>INDEX($B$27:$GQ$27,MATCH(117,$B$29:$GQ$29,0))</f>
        <v/>
      </c>
      <c r="DO13">
        <f>INDEX($B$27:$GQ$27,MATCH(118,$B$29:$GQ$29,0))</f>
        <v/>
      </c>
      <c r="DP13">
        <f>INDEX($B$27:$GQ$27,MATCH(119,$B$29:$GQ$29,0))</f>
        <v/>
      </c>
      <c r="DQ13">
        <f>INDEX($B$27:$GQ$27,MATCH(120,$B$29:$GQ$29,0))</f>
        <v/>
      </c>
      <c r="DR13">
        <f>INDEX($B$27:$GQ$27,MATCH(121,$B$29:$GQ$29,0))</f>
        <v/>
      </c>
      <c r="DS13">
        <f>INDEX($B$27:$GQ$27,MATCH(122,$B$29:$GQ$29,0))</f>
        <v/>
      </c>
      <c r="DT13">
        <f>INDEX($B$27:$GQ$27,MATCH(123,$B$29:$GQ$29,0))</f>
        <v/>
      </c>
      <c r="DU13">
        <f>INDEX($B$27:$GQ$27,MATCH(124,$B$29:$GQ$29,0))</f>
        <v/>
      </c>
      <c r="DV13">
        <f>INDEX($B$27:$GQ$27,MATCH(125,$B$29:$GQ$29,0))</f>
        <v/>
      </c>
      <c r="DW13">
        <f>INDEX($B$27:$GQ$27,MATCH(126,$B$29:$GQ$29,0))</f>
        <v/>
      </c>
      <c r="DX13">
        <f>INDEX($B$27:$GQ$27,MATCH(127,$B$29:$GQ$29,0))</f>
        <v/>
      </c>
      <c r="DY13">
        <f>INDEX($B$27:$GQ$27,MATCH(128,$B$29:$GQ$29,0))</f>
        <v/>
      </c>
      <c r="DZ13">
        <f>INDEX($B$27:$GQ$27,MATCH(129,$B$29:$GQ$29,0))</f>
        <v/>
      </c>
      <c r="EA13">
        <f>INDEX($B$27:$GQ$27,MATCH(130,$B$29:$GQ$29,0))</f>
        <v/>
      </c>
      <c r="EB13">
        <f>INDEX($B$27:$GQ$27,MATCH(131,$B$29:$GQ$29,0))</f>
        <v/>
      </c>
      <c r="EC13">
        <f>INDEX($B$27:$GQ$27,MATCH(132,$B$29:$GQ$29,0))</f>
        <v/>
      </c>
      <c r="ED13">
        <f>INDEX($B$27:$GQ$27,MATCH(133,$B$29:$GQ$29,0))</f>
        <v/>
      </c>
      <c r="EE13">
        <f>INDEX($B$27:$GQ$27,MATCH(134,$B$29:$GQ$29,0))</f>
        <v/>
      </c>
      <c r="EF13">
        <f>INDEX($B$27:$GQ$27,MATCH(135,$B$29:$GQ$29,0))</f>
        <v/>
      </c>
      <c r="EG13">
        <f>INDEX($B$27:$GQ$27,MATCH(136,$B$29:$GQ$29,0))</f>
        <v/>
      </c>
      <c r="EH13">
        <f>INDEX($B$27:$GQ$27,MATCH(137,$B$29:$GQ$29,0))</f>
        <v/>
      </c>
      <c r="EI13">
        <f>INDEX($B$27:$GQ$27,MATCH(138,$B$29:$GQ$29,0))</f>
        <v/>
      </c>
      <c r="EJ13">
        <f>INDEX($B$27:$GQ$27,MATCH(139,$B$29:$GQ$29,0))</f>
        <v/>
      </c>
      <c r="EK13">
        <f>INDEX($B$27:$GQ$27,MATCH(140,$B$29:$GQ$29,0))</f>
        <v/>
      </c>
      <c r="EL13">
        <f>INDEX($B$27:$GQ$27,MATCH(141,$B$29:$GQ$29,0))</f>
        <v/>
      </c>
      <c r="EM13">
        <f>INDEX($B$27:$GQ$27,MATCH(142,$B$29:$GQ$29,0))</f>
        <v/>
      </c>
      <c r="EN13">
        <f>INDEX($B$27:$GQ$27,MATCH(143,$B$29:$GQ$29,0))</f>
        <v/>
      </c>
      <c r="EO13">
        <f>INDEX($B$27:$GQ$27,MATCH(144,$B$29:$GQ$29,0))</f>
        <v/>
      </c>
      <c r="EP13">
        <f>INDEX($B$27:$GQ$27,MATCH(145,$B$29:$GQ$29,0))</f>
        <v/>
      </c>
      <c r="EQ13">
        <f>INDEX($B$27:$GQ$27,MATCH(146,$B$29:$GQ$29,0))</f>
        <v/>
      </c>
      <c r="ER13">
        <f>INDEX($B$27:$GQ$27,MATCH(147,$B$29:$GQ$29,0))</f>
        <v/>
      </c>
      <c r="ES13">
        <f>INDEX($B$27:$GQ$27,MATCH(148,$B$29:$GQ$29,0))</f>
        <v/>
      </c>
      <c r="ET13">
        <f>INDEX($B$27:$GQ$27,MATCH(149,$B$29:$GQ$29,0))</f>
        <v/>
      </c>
      <c r="EU13">
        <f>INDEX($B$27:$GQ$27,MATCH(150,$B$29:$GQ$29,0))</f>
        <v/>
      </c>
      <c r="EV13">
        <f>INDEX($B$27:$GQ$27,MATCH(151,$B$29:$GQ$29,0))</f>
        <v/>
      </c>
      <c r="EW13">
        <f>INDEX($B$27:$GQ$27,MATCH(152,$B$29:$GQ$29,0))</f>
        <v/>
      </c>
      <c r="EX13">
        <f>INDEX($B$27:$GQ$27,MATCH(153,$B$29:$GQ$29,0))</f>
        <v/>
      </c>
      <c r="EY13">
        <f>INDEX($B$27:$GQ$27,MATCH(154,$B$29:$GQ$29,0))</f>
        <v/>
      </c>
      <c r="EZ13">
        <f>INDEX($B$27:$GQ$27,MATCH(155,$B$29:$GQ$29,0))</f>
        <v/>
      </c>
      <c r="FA13">
        <f>INDEX($B$27:$GQ$27,MATCH(156,$B$29:$GQ$29,0))</f>
        <v/>
      </c>
      <c r="FB13">
        <f>INDEX($B$27:$GQ$27,MATCH(157,$B$29:$GQ$29,0))</f>
        <v/>
      </c>
      <c r="FC13">
        <f>INDEX($B$27:$GQ$27,MATCH(158,$B$29:$GQ$29,0))</f>
        <v/>
      </c>
      <c r="FD13">
        <f>INDEX($B$27:$GQ$27,MATCH(159,$B$29:$GQ$29,0))</f>
        <v/>
      </c>
      <c r="FE13">
        <f>INDEX($B$27:$GQ$27,MATCH(160,$B$29:$GQ$29,0))</f>
        <v/>
      </c>
      <c r="FF13">
        <f>INDEX($B$27:$GQ$27,MATCH(161,$B$29:$GQ$29,0))</f>
        <v/>
      </c>
      <c r="FG13">
        <f>INDEX($B$27:$GQ$27,MATCH(162,$B$29:$GQ$29,0))</f>
        <v/>
      </c>
      <c r="FH13">
        <f>INDEX($B$27:$GQ$27,MATCH(163,$B$29:$GQ$29,0))</f>
        <v/>
      </c>
      <c r="FI13">
        <f>INDEX($B$27:$GQ$27,MATCH(164,$B$29:$GQ$29,0))</f>
        <v/>
      </c>
      <c r="FJ13">
        <f>INDEX($B$27:$GQ$27,MATCH(165,$B$29:$GQ$29,0))</f>
        <v/>
      </c>
      <c r="FK13">
        <f>INDEX($B$27:$GQ$27,MATCH(166,$B$29:$GQ$29,0))</f>
        <v/>
      </c>
      <c r="FL13">
        <f>INDEX($B$27:$GQ$27,MATCH(167,$B$29:$GQ$29,0))</f>
        <v/>
      </c>
      <c r="FM13">
        <f>INDEX($B$27:$GQ$27,MATCH(168,$B$29:$GQ$29,0))</f>
        <v/>
      </c>
      <c r="FN13">
        <f>INDEX($B$27:$GQ$27,MATCH(169,$B$29:$GQ$29,0))</f>
        <v/>
      </c>
      <c r="FO13">
        <f>INDEX($B$27:$GQ$27,MATCH(170,$B$29:$GQ$29,0))</f>
        <v/>
      </c>
      <c r="FP13">
        <f>INDEX($B$27:$GQ$27,MATCH(171,$B$29:$GQ$29,0))</f>
        <v/>
      </c>
      <c r="FQ13">
        <f>INDEX($B$27:$GQ$27,MATCH(172,$B$29:$GQ$29,0))</f>
        <v/>
      </c>
      <c r="FR13">
        <f>INDEX($B$27:$GQ$27,MATCH(173,$B$29:$GQ$29,0))</f>
        <v/>
      </c>
      <c r="FS13">
        <f>INDEX($B$27:$GQ$27,MATCH(174,$B$29:$GQ$29,0))</f>
        <v/>
      </c>
      <c r="FT13">
        <f>INDEX($B$27:$GQ$27,MATCH(175,$B$29:$GQ$29,0))</f>
        <v/>
      </c>
      <c r="FU13">
        <f>INDEX($B$27:$GQ$27,MATCH(176,$B$29:$GQ$29,0))</f>
        <v/>
      </c>
      <c r="FV13">
        <f>INDEX($B$27:$GQ$27,MATCH(177,$B$29:$GQ$29,0))</f>
        <v/>
      </c>
      <c r="FW13">
        <f>INDEX($B$27:$GQ$27,MATCH(178,$B$29:$GQ$29,0))</f>
        <v/>
      </c>
      <c r="FX13">
        <f>INDEX($B$27:$GQ$27,MATCH(179,$B$29:$GQ$29,0))</f>
        <v/>
      </c>
      <c r="FY13">
        <f>INDEX($B$27:$GQ$27,MATCH(180,$B$29:$GQ$29,0))</f>
        <v/>
      </c>
      <c r="FZ13">
        <f>INDEX($B$27:$GQ$27,MATCH(181,$B$29:$GQ$29,0))</f>
        <v/>
      </c>
      <c r="GA13">
        <f>INDEX($B$27:$GQ$27,MATCH(182,$B$29:$GQ$29,0))</f>
        <v/>
      </c>
      <c r="GB13">
        <f>INDEX($B$27:$GQ$27,MATCH(183,$B$29:$GQ$29,0))</f>
        <v/>
      </c>
      <c r="GC13">
        <f>INDEX($B$27:$GQ$27,MATCH(184,$B$29:$GQ$29,0))</f>
        <v/>
      </c>
      <c r="GD13">
        <f>INDEX($B$27:$GQ$27,MATCH(185,$B$29:$GQ$29,0))</f>
        <v/>
      </c>
      <c r="GE13">
        <f>INDEX($B$27:$GQ$27,MATCH(186,$B$29:$GQ$29,0))</f>
        <v/>
      </c>
      <c r="GF13">
        <f>INDEX($B$27:$GQ$27,MATCH(187,$B$29:$GQ$29,0))</f>
        <v/>
      </c>
      <c r="GG13">
        <f>INDEX($B$27:$GQ$27,MATCH(188,$B$29:$GQ$29,0))</f>
        <v/>
      </c>
      <c r="GH13">
        <f>INDEX($B$27:$GQ$27,MATCH(189,$B$29:$GQ$29,0))</f>
        <v/>
      </c>
      <c r="GI13">
        <f>INDEX($B$27:$GQ$27,MATCH(190,$B$29:$GQ$29,0))</f>
        <v/>
      </c>
      <c r="GJ13">
        <f>INDEX($B$27:$GQ$27,MATCH(191,$B$29:$GQ$29,0))</f>
        <v/>
      </c>
      <c r="GK13">
        <f>INDEX($B$27:$GQ$27,MATCH(192,$B$29:$GQ$29,0))</f>
        <v/>
      </c>
      <c r="GL13">
        <f>INDEX($B$27:$GQ$27,MATCH(193,$B$29:$GQ$29,0))</f>
        <v/>
      </c>
      <c r="GM13">
        <f>INDEX($B$27:$GQ$27,MATCH(194,$B$29:$GQ$29,0))</f>
        <v/>
      </c>
      <c r="GN13">
        <f>INDEX($B$27:$GQ$27,MATCH(195,$B$29:$GQ$29,0))</f>
        <v/>
      </c>
      <c r="GO13">
        <f>INDEX($B$27:$GQ$27,MATCH(196,$B$29:$GQ$29,0))</f>
        <v/>
      </c>
      <c r="GP13">
        <f>INDEX($B$27:$GQ$27,MATCH(197,$B$29:$GQ$29,0))</f>
        <v/>
      </c>
      <c r="GQ13">
        <f>INDEX($B$27:$GQ$27,MATCH(198,$B$29:$GQ$29,0))</f>
        <v/>
      </c>
      <c r="GR13">
        <f>INDEX($GR$27:$HC$27,MATCH(1,$GR$30:$HC$30,0))</f>
        <v/>
      </c>
      <c r="GS13">
        <f>INDEX($GR$27:$HC$27,MATCH(2,$GR$30:$HC$30,0))</f>
        <v/>
      </c>
      <c r="GT13">
        <f>INDEX($GR$27:$HC$27,MATCH(3,$GR$30:$HC$30,0))</f>
        <v/>
      </c>
      <c r="GU13">
        <f>INDEX($GR$27:$HC$27,MATCH(4,$GR$30:$HC$30,0))</f>
        <v/>
      </c>
      <c r="GV13">
        <f>INDEX($GR$27:$HC$27,MATCH(5,$GR$30:$HC$30,0))</f>
        <v/>
      </c>
      <c r="GW13">
        <f>INDEX($GR$27:$HC$27,MATCH(6,$GR$30:$HC$30,0))</f>
        <v/>
      </c>
      <c r="GX13">
        <f>INDEX($GR$27:$HC$27,MATCH(7,$GR$30:$HC$30,0))</f>
        <v/>
      </c>
      <c r="GY13">
        <f>INDEX($GR$27:$HC$27,MATCH(8,$GR$30:$HC$30,0))</f>
        <v/>
      </c>
      <c r="GZ13">
        <f>INDEX($GR$27:$HC$27,MATCH(9,$GR$30:$HC$30,0))</f>
        <v/>
      </c>
      <c r="HA13">
        <f>INDEX($GR$27:$HC$27,MATCH(10,$GR$30:$HC$30,0))</f>
        <v/>
      </c>
      <c r="HB13">
        <f>INDEX($GR$27:$HC$27,MATCH(11,$GR$30:$HC$30,0))</f>
        <v/>
      </c>
      <c r="HC13">
        <f>INDEX($GR$27:$HC$27,MATCH(12,$GR$30:$HC$30,0))</f>
        <v/>
      </c>
    </row>
    <row r="14">
      <c r="A14" s="2">
        <f>"Part de "&amp;$B$1&amp;" (%)"</f>
        <v/>
      </c>
      <c r="B14" s="3">
        <f>IFERROR(INDEX($B$28:$GQ$28,MATCH(1,$B$29:$GQ$29,0))/SUM($B$28:$GQ$28)*100,0)</f>
        <v/>
      </c>
      <c r="C14" s="3">
        <f>IFERROR(INDEX($B$28:$GQ$28,MATCH(2,$B$29:$GQ$29,0))/SUM($B$28:$GQ$28)*100,0)</f>
        <v/>
      </c>
      <c r="D14" s="3">
        <f>IFERROR(INDEX($B$28:$GQ$28,MATCH(3,$B$29:$GQ$29,0))/SUM($B$28:$GQ$28)*100,0)</f>
        <v/>
      </c>
      <c r="E14" s="3">
        <f>IFERROR(INDEX($B$28:$GQ$28,MATCH(4,$B$29:$GQ$29,0))/SUM($B$28:$GQ$28)*100,0)</f>
        <v/>
      </c>
      <c r="F14" s="3">
        <f>IFERROR(INDEX($B$28:$GQ$28,MATCH(5,$B$29:$GQ$29,0))/SUM($B$28:$GQ$28)*100,0)</f>
        <v/>
      </c>
      <c r="G14" s="3">
        <f>IFERROR(INDEX($B$28:$GQ$28,MATCH(6,$B$29:$GQ$29,0))/SUM($B$28:$GQ$28)*100,0)</f>
        <v/>
      </c>
      <c r="H14" s="3">
        <f>IFERROR(INDEX($B$28:$GQ$28,MATCH(7,$B$29:$GQ$29,0))/SUM($B$28:$GQ$28)*100,0)</f>
        <v/>
      </c>
      <c r="I14" s="3">
        <f>IFERROR(INDEX($B$28:$GQ$28,MATCH(8,$B$29:$GQ$29,0))/SUM($B$28:$GQ$28)*100,0)</f>
        <v/>
      </c>
      <c r="J14" s="3">
        <f>IFERROR(INDEX($B$28:$GQ$28,MATCH(9,$B$29:$GQ$29,0))/SUM($B$28:$GQ$28)*100,0)</f>
        <v/>
      </c>
      <c r="K14" s="3">
        <f>IFERROR(INDEX($B$28:$GQ$28,MATCH(10,$B$29:$GQ$29,0))/SUM($B$28:$GQ$28)*100,0)</f>
        <v/>
      </c>
      <c r="L14" s="3">
        <f>IFERROR(INDEX($B$28:$GQ$28,MATCH(11,$B$29:$GQ$29,0))/SUM($B$28:$GQ$28)*100,0)</f>
        <v/>
      </c>
      <c r="M14" s="3">
        <f>IFERROR(INDEX($B$28:$GQ$28,MATCH(12,$B$29:$GQ$29,0))/SUM($B$28:$GQ$28)*100,0)</f>
        <v/>
      </c>
      <c r="N14" s="3">
        <f>IFERROR(INDEX($B$28:$GQ$28,MATCH(13,$B$29:$GQ$29,0))/SUM($B$28:$GQ$28)*100,0)</f>
        <v/>
      </c>
      <c r="O14" s="3">
        <f>IFERROR(INDEX($B$28:$GQ$28,MATCH(14,$B$29:$GQ$29,0))/SUM($B$28:$GQ$28)*100,0)</f>
        <v/>
      </c>
      <c r="P14" s="3">
        <f>IFERROR(INDEX($B$28:$GQ$28,MATCH(15,$B$29:$GQ$29,0))/SUM($B$28:$GQ$28)*100,0)</f>
        <v/>
      </c>
      <c r="Q14" s="3">
        <f>IFERROR(INDEX($B$28:$GQ$28,MATCH(16,$B$29:$GQ$29,0))/SUM($B$28:$GQ$28)*100,0)</f>
        <v/>
      </c>
      <c r="R14" s="3">
        <f>IFERROR(INDEX($B$28:$GQ$28,MATCH(17,$B$29:$GQ$29,0))/SUM($B$28:$GQ$28)*100,0)</f>
        <v/>
      </c>
      <c r="S14" s="3">
        <f>IFERROR(INDEX($B$28:$GQ$28,MATCH(18,$B$29:$GQ$29,0))/SUM($B$28:$GQ$28)*100,0)</f>
        <v/>
      </c>
      <c r="T14" s="3">
        <f>IFERROR(INDEX($B$28:$GQ$28,MATCH(19,$B$29:$GQ$29,0))/SUM($B$28:$GQ$28)*100,0)</f>
        <v/>
      </c>
      <c r="U14" s="3">
        <f>IFERROR(INDEX($B$28:$GQ$28,MATCH(20,$B$29:$GQ$29,0))/SUM($B$28:$GQ$28)*100,0)</f>
        <v/>
      </c>
      <c r="V14" s="3">
        <f>IFERROR(INDEX($B$28:$GQ$28,MATCH(21,$B$29:$GQ$29,0))/SUM($B$28:$GQ$28)*100,0)</f>
        <v/>
      </c>
      <c r="W14" s="3">
        <f>IFERROR(INDEX($B$28:$GQ$28,MATCH(22,$B$29:$GQ$29,0))/SUM($B$28:$GQ$28)*100,0)</f>
        <v/>
      </c>
      <c r="X14" s="3">
        <f>IFERROR(INDEX($B$28:$GQ$28,MATCH(23,$B$29:$GQ$29,0))/SUM($B$28:$GQ$28)*100,0)</f>
        <v/>
      </c>
      <c r="Y14" s="3">
        <f>IFERROR(INDEX($B$28:$GQ$28,MATCH(24,$B$29:$GQ$29,0))/SUM($B$28:$GQ$28)*100,0)</f>
        <v/>
      </c>
      <c r="Z14" s="3">
        <f>IFERROR(INDEX($B$28:$GQ$28,MATCH(25,$B$29:$GQ$29,0))/SUM($B$28:$GQ$28)*100,0)</f>
        <v/>
      </c>
      <c r="AA14" s="3">
        <f>IFERROR(INDEX($B$28:$GQ$28,MATCH(26,$B$29:$GQ$29,0))/SUM($B$28:$GQ$28)*100,0)</f>
        <v/>
      </c>
      <c r="AB14" s="3">
        <f>IFERROR(INDEX($B$28:$GQ$28,MATCH(27,$B$29:$GQ$29,0))/SUM($B$28:$GQ$28)*100,0)</f>
        <v/>
      </c>
      <c r="AC14" s="3">
        <f>IFERROR(INDEX($B$28:$GQ$28,MATCH(28,$B$29:$GQ$29,0))/SUM($B$28:$GQ$28)*100,0)</f>
        <v/>
      </c>
      <c r="AD14" s="3">
        <f>IFERROR(INDEX($B$28:$GQ$28,MATCH(29,$B$29:$GQ$29,0))/SUM($B$28:$GQ$28)*100,0)</f>
        <v/>
      </c>
      <c r="AE14" s="3">
        <f>IFERROR(INDEX($B$28:$GQ$28,MATCH(30,$B$29:$GQ$29,0))/SUM($B$28:$GQ$28)*100,0)</f>
        <v/>
      </c>
      <c r="AF14" s="3">
        <f>IFERROR(INDEX($B$28:$GQ$28,MATCH(31,$B$29:$GQ$29,0))/SUM($B$28:$GQ$28)*100,0)</f>
        <v/>
      </c>
      <c r="AG14" s="3">
        <f>IFERROR(INDEX($B$28:$GQ$28,MATCH(32,$B$29:$GQ$29,0))/SUM($B$28:$GQ$28)*100,0)</f>
        <v/>
      </c>
      <c r="AH14" s="3">
        <f>IFERROR(INDEX($B$28:$GQ$28,MATCH(33,$B$29:$GQ$29,0))/SUM($B$28:$GQ$28)*100,0)</f>
        <v/>
      </c>
      <c r="AI14" s="3">
        <f>IFERROR(INDEX($B$28:$GQ$28,MATCH(34,$B$29:$GQ$29,0))/SUM($B$28:$GQ$28)*100,0)</f>
        <v/>
      </c>
      <c r="AJ14" s="3">
        <f>IFERROR(INDEX($B$28:$GQ$28,MATCH(35,$B$29:$GQ$29,0))/SUM($B$28:$GQ$28)*100,0)</f>
        <v/>
      </c>
      <c r="AK14" s="3">
        <f>IFERROR(INDEX($B$28:$GQ$28,MATCH(36,$B$29:$GQ$29,0))/SUM($B$28:$GQ$28)*100,0)</f>
        <v/>
      </c>
      <c r="AL14" s="3">
        <f>IFERROR(INDEX($B$28:$GQ$28,MATCH(37,$B$29:$GQ$29,0))/SUM($B$28:$GQ$28)*100,0)</f>
        <v/>
      </c>
      <c r="AM14" s="3">
        <f>IFERROR(INDEX($B$28:$GQ$28,MATCH(38,$B$29:$GQ$29,0))/SUM($B$28:$GQ$28)*100,0)</f>
        <v/>
      </c>
      <c r="AN14" s="3">
        <f>IFERROR(INDEX($B$28:$GQ$28,MATCH(39,$B$29:$GQ$29,0))/SUM($B$28:$GQ$28)*100,0)</f>
        <v/>
      </c>
      <c r="AO14" s="3">
        <f>IFERROR(INDEX($B$28:$GQ$28,MATCH(40,$B$29:$GQ$29,0))/SUM($B$28:$GQ$28)*100,0)</f>
        <v/>
      </c>
      <c r="AP14" s="3">
        <f>IFERROR(INDEX($B$28:$GQ$28,MATCH(41,$B$29:$GQ$29,0))/SUM($B$28:$GQ$28)*100,0)</f>
        <v/>
      </c>
      <c r="AQ14" s="3">
        <f>IFERROR(INDEX($B$28:$GQ$28,MATCH(42,$B$29:$GQ$29,0))/SUM($B$28:$GQ$28)*100,0)</f>
        <v/>
      </c>
      <c r="AR14" s="3">
        <f>IFERROR(INDEX($B$28:$GQ$28,MATCH(43,$B$29:$GQ$29,0))/SUM($B$28:$GQ$28)*100,0)</f>
        <v/>
      </c>
      <c r="AS14" s="3">
        <f>IFERROR(INDEX($B$28:$GQ$28,MATCH(44,$B$29:$GQ$29,0))/SUM($B$28:$GQ$28)*100,0)</f>
        <v/>
      </c>
      <c r="AT14" s="3">
        <f>IFERROR(INDEX($B$28:$GQ$28,MATCH(45,$B$29:$GQ$29,0))/SUM($B$28:$GQ$28)*100,0)</f>
        <v/>
      </c>
      <c r="AU14" s="3">
        <f>IFERROR(INDEX($B$28:$GQ$28,MATCH(46,$B$29:$GQ$29,0))/SUM($B$28:$GQ$28)*100,0)</f>
        <v/>
      </c>
      <c r="AV14" s="3">
        <f>IFERROR(INDEX($B$28:$GQ$28,MATCH(47,$B$29:$GQ$29,0))/SUM($B$28:$GQ$28)*100,0)</f>
        <v/>
      </c>
      <c r="AW14" s="3">
        <f>IFERROR(INDEX($B$28:$GQ$28,MATCH(48,$B$29:$GQ$29,0))/SUM($B$28:$GQ$28)*100,0)</f>
        <v/>
      </c>
      <c r="AX14" s="3">
        <f>IFERROR(INDEX($B$28:$GQ$28,MATCH(49,$B$29:$GQ$29,0))/SUM($B$28:$GQ$28)*100,0)</f>
        <v/>
      </c>
      <c r="AY14" s="3">
        <f>IFERROR(INDEX($B$28:$GQ$28,MATCH(50,$B$29:$GQ$29,0))/SUM($B$28:$GQ$28)*100,0)</f>
        <v/>
      </c>
      <c r="AZ14" s="3">
        <f>IFERROR(INDEX($B$28:$GQ$28,MATCH(51,$B$29:$GQ$29,0))/SUM($B$28:$GQ$28)*100,0)</f>
        <v/>
      </c>
      <c r="BA14" s="3">
        <f>IFERROR(INDEX($B$28:$GQ$28,MATCH(52,$B$29:$GQ$29,0))/SUM($B$28:$GQ$28)*100,0)</f>
        <v/>
      </c>
      <c r="BB14" s="3">
        <f>IFERROR(INDEX($B$28:$GQ$28,MATCH(53,$B$29:$GQ$29,0))/SUM($B$28:$GQ$28)*100,0)</f>
        <v/>
      </c>
      <c r="BC14" s="3">
        <f>IFERROR(INDEX($B$28:$GQ$28,MATCH(54,$B$29:$GQ$29,0))/SUM($B$28:$GQ$28)*100,0)</f>
        <v/>
      </c>
      <c r="BD14" s="3">
        <f>IFERROR(INDEX($B$28:$GQ$28,MATCH(55,$B$29:$GQ$29,0))/SUM($B$28:$GQ$28)*100,0)</f>
        <v/>
      </c>
      <c r="BE14" s="3">
        <f>IFERROR(INDEX($B$28:$GQ$28,MATCH(56,$B$29:$GQ$29,0))/SUM($B$28:$GQ$28)*100,0)</f>
        <v/>
      </c>
      <c r="BF14" s="3">
        <f>IFERROR(INDEX($B$28:$GQ$28,MATCH(57,$B$29:$GQ$29,0))/SUM($B$28:$GQ$28)*100,0)</f>
        <v/>
      </c>
      <c r="BG14" s="3">
        <f>IFERROR(INDEX($B$28:$GQ$28,MATCH(58,$B$29:$GQ$29,0))/SUM($B$28:$GQ$28)*100,0)</f>
        <v/>
      </c>
      <c r="BH14" s="3">
        <f>IFERROR(INDEX($B$28:$GQ$28,MATCH(59,$B$29:$GQ$29,0))/SUM($B$28:$GQ$28)*100,0)</f>
        <v/>
      </c>
      <c r="BI14" s="3">
        <f>IFERROR(INDEX($B$28:$GQ$28,MATCH(60,$B$29:$GQ$29,0))/SUM($B$28:$GQ$28)*100,0)</f>
        <v/>
      </c>
      <c r="BJ14" s="3">
        <f>IFERROR(INDEX($B$28:$GQ$28,MATCH(61,$B$29:$GQ$29,0))/SUM($B$28:$GQ$28)*100,0)</f>
        <v/>
      </c>
      <c r="BK14" s="3">
        <f>IFERROR(INDEX($B$28:$GQ$28,MATCH(62,$B$29:$GQ$29,0))/SUM($B$28:$GQ$28)*100,0)</f>
        <v/>
      </c>
      <c r="BL14" s="3">
        <f>IFERROR(INDEX($B$28:$GQ$28,MATCH(63,$B$29:$GQ$29,0))/SUM($B$28:$GQ$28)*100,0)</f>
        <v/>
      </c>
      <c r="BM14" s="3">
        <f>IFERROR(INDEX($B$28:$GQ$28,MATCH(64,$B$29:$GQ$29,0))/SUM($B$28:$GQ$28)*100,0)</f>
        <v/>
      </c>
      <c r="BN14" s="3">
        <f>IFERROR(INDEX($B$28:$GQ$28,MATCH(65,$B$29:$GQ$29,0))/SUM($B$28:$GQ$28)*100,0)</f>
        <v/>
      </c>
      <c r="BO14" s="3">
        <f>IFERROR(INDEX($B$28:$GQ$28,MATCH(66,$B$29:$GQ$29,0))/SUM($B$28:$GQ$28)*100,0)</f>
        <v/>
      </c>
      <c r="BP14" s="3">
        <f>IFERROR(INDEX($B$28:$GQ$28,MATCH(67,$B$29:$GQ$29,0))/SUM($B$28:$GQ$28)*100,0)</f>
        <v/>
      </c>
      <c r="BQ14" s="3">
        <f>IFERROR(INDEX($B$28:$GQ$28,MATCH(68,$B$29:$GQ$29,0))/SUM($B$28:$GQ$28)*100,0)</f>
        <v/>
      </c>
      <c r="BR14" s="3">
        <f>IFERROR(INDEX($B$28:$GQ$28,MATCH(69,$B$29:$GQ$29,0))/SUM($B$28:$GQ$28)*100,0)</f>
        <v/>
      </c>
      <c r="BS14" s="3">
        <f>IFERROR(INDEX($B$28:$GQ$28,MATCH(70,$B$29:$GQ$29,0))/SUM($B$28:$GQ$28)*100,0)</f>
        <v/>
      </c>
      <c r="BT14" s="3">
        <f>IFERROR(INDEX($B$28:$GQ$28,MATCH(71,$B$29:$GQ$29,0))/SUM($B$28:$GQ$28)*100,0)</f>
        <v/>
      </c>
      <c r="BU14" s="3">
        <f>IFERROR(INDEX($B$28:$GQ$28,MATCH(72,$B$29:$GQ$29,0))/SUM($B$28:$GQ$28)*100,0)</f>
        <v/>
      </c>
      <c r="BV14" s="3">
        <f>IFERROR(INDEX($B$28:$GQ$28,MATCH(73,$B$29:$GQ$29,0))/SUM($B$28:$GQ$28)*100,0)</f>
        <v/>
      </c>
      <c r="BW14" s="3">
        <f>IFERROR(INDEX($B$28:$GQ$28,MATCH(74,$B$29:$GQ$29,0))/SUM($B$28:$GQ$28)*100,0)</f>
        <v/>
      </c>
      <c r="BX14" s="3">
        <f>IFERROR(INDEX($B$28:$GQ$28,MATCH(75,$B$29:$GQ$29,0))/SUM($B$28:$GQ$28)*100,0)</f>
        <v/>
      </c>
      <c r="BY14" s="3">
        <f>IFERROR(INDEX($B$28:$GQ$28,MATCH(76,$B$29:$GQ$29,0))/SUM($B$28:$GQ$28)*100,0)</f>
        <v/>
      </c>
      <c r="BZ14" s="3">
        <f>IFERROR(INDEX($B$28:$GQ$28,MATCH(77,$B$29:$GQ$29,0))/SUM($B$28:$GQ$28)*100,0)</f>
        <v/>
      </c>
      <c r="CA14" s="3">
        <f>IFERROR(INDEX($B$28:$GQ$28,MATCH(78,$B$29:$GQ$29,0))/SUM($B$28:$GQ$28)*100,0)</f>
        <v/>
      </c>
      <c r="CB14" s="3">
        <f>IFERROR(INDEX($B$28:$GQ$28,MATCH(79,$B$29:$GQ$29,0))/SUM($B$28:$GQ$28)*100,0)</f>
        <v/>
      </c>
      <c r="CC14" s="3">
        <f>IFERROR(INDEX($B$28:$GQ$28,MATCH(80,$B$29:$GQ$29,0))/SUM($B$28:$GQ$28)*100,0)</f>
        <v/>
      </c>
      <c r="CD14" s="3">
        <f>IFERROR(INDEX($B$28:$GQ$28,MATCH(81,$B$29:$GQ$29,0))/SUM($B$28:$GQ$28)*100,0)</f>
        <v/>
      </c>
      <c r="CE14" s="3">
        <f>IFERROR(INDEX($B$28:$GQ$28,MATCH(82,$B$29:$GQ$29,0))/SUM($B$28:$GQ$28)*100,0)</f>
        <v/>
      </c>
      <c r="CF14" s="3">
        <f>IFERROR(INDEX($B$28:$GQ$28,MATCH(83,$B$29:$GQ$29,0))/SUM($B$28:$GQ$28)*100,0)</f>
        <v/>
      </c>
      <c r="CG14" s="3">
        <f>IFERROR(INDEX($B$28:$GQ$28,MATCH(84,$B$29:$GQ$29,0))/SUM($B$28:$GQ$28)*100,0)</f>
        <v/>
      </c>
      <c r="CH14" s="3">
        <f>IFERROR(INDEX($B$28:$GQ$28,MATCH(85,$B$29:$GQ$29,0))/SUM($B$28:$GQ$28)*100,0)</f>
        <v/>
      </c>
      <c r="CI14" s="3">
        <f>IFERROR(INDEX($B$28:$GQ$28,MATCH(86,$B$29:$GQ$29,0))/SUM($B$28:$GQ$28)*100,0)</f>
        <v/>
      </c>
      <c r="CJ14" s="3">
        <f>IFERROR(INDEX($B$28:$GQ$28,MATCH(87,$B$29:$GQ$29,0))/SUM($B$28:$GQ$28)*100,0)</f>
        <v/>
      </c>
      <c r="CK14" s="3">
        <f>IFERROR(INDEX($B$28:$GQ$28,MATCH(88,$B$29:$GQ$29,0))/SUM($B$28:$GQ$28)*100,0)</f>
        <v/>
      </c>
      <c r="CL14" s="3">
        <f>IFERROR(INDEX($B$28:$GQ$28,MATCH(89,$B$29:$GQ$29,0))/SUM($B$28:$GQ$28)*100,0)</f>
        <v/>
      </c>
      <c r="CM14" s="3">
        <f>IFERROR(INDEX($B$28:$GQ$28,MATCH(90,$B$29:$GQ$29,0))/SUM($B$28:$GQ$28)*100,0)</f>
        <v/>
      </c>
      <c r="CN14" s="3">
        <f>IFERROR(INDEX($B$28:$GQ$28,MATCH(91,$B$29:$GQ$29,0))/SUM($B$28:$GQ$28)*100,0)</f>
        <v/>
      </c>
      <c r="CO14" s="3">
        <f>IFERROR(INDEX($B$28:$GQ$28,MATCH(92,$B$29:$GQ$29,0))/SUM($B$28:$GQ$28)*100,0)</f>
        <v/>
      </c>
      <c r="CP14" s="3">
        <f>IFERROR(INDEX($B$28:$GQ$28,MATCH(93,$B$29:$GQ$29,0))/SUM($B$28:$GQ$28)*100,0)</f>
        <v/>
      </c>
      <c r="CQ14" s="3">
        <f>IFERROR(INDEX($B$28:$GQ$28,MATCH(94,$B$29:$GQ$29,0))/SUM($B$28:$GQ$28)*100,0)</f>
        <v/>
      </c>
      <c r="CR14" s="3">
        <f>IFERROR(INDEX($B$28:$GQ$28,MATCH(95,$B$29:$GQ$29,0))/SUM($B$28:$GQ$28)*100,0)</f>
        <v/>
      </c>
      <c r="CS14" s="3">
        <f>IFERROR(INDEX($B$28:$GQ$28,MATCH(96,$B$29:$GQ$29,0))/SUM($B$28:$GQ$28)*100,0)</f>
        <v/>
      </c>
      <c r="CT14" s="3">
        <f>IFERROR(INDEX($B$28:$GQ$28,MATCH(97,$B$29:$GQ$29,0))/SUM($B$28:$GQ$28)*100,0)</f>
        <v/>
      </c>
      <c r="CU14" s="3">
        <f>IFERROR(INDEX($B$28:$GQ$28,MATCH(98,$B$29:$GQ$29,0))/SUM($B$28:$GQ$28)*100,0)</f>
        <v/>
      </c>
      <c r="CV14" s="3">
        <f>IFERROR(INDEX($B$28:$GQ$28,MATCH(99,$B$29:$GQ$29,0))/SUM($B$28:$GQ$28)*100,0)</f>
        <v/>
      </c>
      <c r="CW14" s="3">
        <f>IFERROR(INDEX($B$28:$GQ$28,MATCH(100,$B$29:$GQ$29,0))/SUM($B$28:$GQ$28)*100,0)</f>
        <v/>
      </c>
      <c r="CX14" s="3">
        <f>IFERROR(INDEX($B$28:$GQ$28,MATCH(101,$B$29:$GQ$29,0))/SUM($B$28:$GQ$28)*100,0)</f>
        <v/>
      </c>
      <c r="CY14" s="3">
        <f>IFERROR(INDEX($B$28:$GQ$28,MATCH(102,$B$29:$GQ$29,0))/SUM($B$28:$GQ$28)*100,0)</f>
        <v/>
      </c>
      <c r="CZ14" s="3">
        <f>IFERROR(INDEX($B$28:$GQ$28,MATCH(103,$B$29:$GQ$29,0))/SUM($B$28:$GQ$28)*100,0)</f>
        <v/>
      </c>
      <c r="DA14" s="3">
        <f>IFERROR(INDEX($B$28:$GQ$28,MATCH(104,$B$29:$GQ$29,0))/SUM($B$28:$GQ$28)*100,0)</f>
        <v/>
      </c>
      <c r="DB14" s="3">
        <f>IFERROR(INDEX($B$28:$GQ$28,MATCH(105,$B$29:$GQ$29,0))/SUM($B$28:$GQ$28)*100,0)</f>
        <v/>
      </c>
      <c r="DC14" s="3">
        <f>IFERROR(INDEX($B$28:$GQ$28,MATCH(106,$B$29:$GQ$29,0))/SUM($B$28:$GQ$28)*100,0)</f>
        <v/>
      </c>
      <c r="DD14" s="3">
        <f>IFERROR(INDEX($B$28:$GQ$28,MATCH(107,$B$29:$GQ$29,0))/SUM($B$28:$GQ$28)*100,0)</f>
        <v/>
      </c>
      <c r="DE14" s="3">
        <f>IFERROR(INDEX($B$28:$GQ$28,MATCH(108,$B$29:$GQ$29,0))/SUM($B$28:$GQ$28)*100,0)</f>
        <v/>
      </c>
      <c r="DF14" s="3">
        <f>IFERROR(INDEX($B$28:$GQ$28,MATCH(109,$B$29:$GQ$29,0))/SUM($B$28:$GQ$28)*100,0)</f>
        <v/>
      </c>
      <c r="DG14" s="3">
        <f>IFERROR(INDEX($B$28:$GQ$28,MATCH(110,$B$29:$GQ$29,0))/SUM($B$28:$GQ$28)*100,0)</f>
        <v/>
      </c>
      <c r="DH14" s="3">
        <f>IFERROR(INDEX($B$28:$GQ$28,MATCH(111,$B$29:$GQ$29,0))/SUM($B$28:$GQ$28)*100,0)</f>
        <v/>
      </c>
      <c r="DI14" s="3">
        <f>IFERROR(INDEX($B$28:$GQ$28,MATCH(112,$B$29:$GQ$29,0))/SUM($B$28:$GQ$28)*100,0)</f>
        <v/>
      </c>
      <c r="DJ14" s="3">
        <f>IFERROR(INDEX($B$28:$GQ$28,MATCH(113,$B$29:$GQ$29,0))/SUM($B$28:$GQ$28)*100,0)</f>
        <v/>
      </c>
      <c r="DK14" s="3">
        <f>IFERROR(INDEX($B$28:$GQ$28,MATCH(114,$B$29:$GQ$29,0))/SUM($B$28:$GQ$28)*100,0)</f>
        <v/>
      </c>
      <c r="DL14" s="3">
        <f>IFERROR(INDEX($B$28:$GQ$28,MATCH(115,$B$29:$GQ$29,0))/SUM($B$28:$GQ$28)*100,0)</f>
        <v/>
      </c>
      <c r="DM14" s="3">
        <f>IFERROR(INDEX($B$28:$GQ$28,MATCH(116,$B$29:$GQ$29,0))/SUM($B$28:$GQ$28)*100,0)</f>
        <v/>
      </c>
      <c r="DN14" s="3">
        <f>IFERROR(INDEX($B$28:$GQ$28,MATCH(117,$B$29:$GQ$29,0))/SUM($B$28:$GQ$28)*100,0)</f>
        <v/>
      </c>
      <c r="DO14" s="3">
        <f>IFERROR(INDEX($B$28:$GQ$28,MATCH(118,$B$29:$GQ$29,0))/SUM($B$28:$GQ$28)*100,0)</f>
        <v/>
      </c>
      <c r="DP14" s="3">
        <f>IFERROR(INDEX($B$28:$GQ$28,MATCH(119,$B$29:$GQ$29,0))/SUM($B$28:$GQ$28)*100,0)</f>
        <v/>
      </c>
      <c r="DQ14" s="3">
        <f>IFERROR(INDEX($B$28:$GQ$28,MATCH(120,$B$29:$GQ$29,0))/SUM($B$28:$GQ$28)*100,0)</f>
        <v/>
      </c>
      <c r="DR14" s="3">
        <f>IFERROR(INDEX($B$28:$GQ$28,MATCH(121,$B$29:$GQ$29,0))/SUM($B$28:$GQ$28)*100,0)</f>
        <v/>
      </c>
      <c r="DS14" s="3">
        <f>IFERROR(INDEX($B$28:$GQ$28,MATCH(122,$B$29:$GQ$29,0))/SUM($B$28:$GQ$28)*100,0)</f>
        <v/>
      </c>
      <c r="DT14" s="3">
        <f>IFERROR(INDEX($B$28:$GQ$28,MATCH(123,$B$29:$GQ$29,0))/SUM($B$28:$GQ$28)*100,0)</f>
        <v/>
      </c>
      <c r="DU14" s="3">
        <f>IFERROR(INDEX($B$28:$GQ$28,MATCH(124,$B$29:$GQ$29,0))/SUM($B$28:$GQ$28)*100,0)</f>
        <v/>
      </c>
      <c r="DV14" s="3">
        <f>IFERROR(INDEX($B$28:$GQ$28,MATCH(125,$B$29:$GQ$29,0))/SUM($B$28:$GQ$28)*100,0)</f>
        <v/>
      </c>
      <c r="DW14" s="3">
        <f>IFERROR(INDEX($B$28:$GQ$28,MATCH(126,$B$29:$GQ$29,0))/SUM($B$28:$GQ$28)*100,0)</f>
        <v/>
      </c>
      <c r="DX14" s="3">
        <f>IFERROR(INDEX($B$28:$GQ$28,MATCH(127,$B$29:$GQ$29,0))/SUM($B$28:$GQ$28)*100,0)</f>
        <v/>
      </c>
      <c r="DY14" s="3">
        <f>IFERROR(INDEX($B$28:$GQ$28,MATCH(128,$B$29:$GQ$29,0))/SUM($B$28:$GQ$28)*100,0)</f>
        <v/>
      </c>
      <c r="DZ14" s="3">
        <f>IFERROR(INDEX($B$28:$GQ$28,MATCH(129,$B$29:$GQ$29,0))/SUM($B$28:$GQ$28)*100,0)</f>
        <v/>
      </c>
      <c r="EA14" s="3">
        <f>IFERROR(INDEX($B$28:$GQ$28,MATCH(130,$B$29:$GQ$29,0))/SUM($B$28:$GQ$28)*100,0)</f>
        <v/>
      </c>
      <c r="EB14" s="3">
        <f>IFERROR(INDEX($B$28:$GQ$28,MATCH(131,$B$29:$GQ$29,0))/SUM($B$28:$GQ$28)*100,0)</f>
        <v/>
      </c>
      <c r="EC14" s="3">
        <f>IFERROR(INDEX($B$28:$GQ$28,MATCH(132,$B$29:$GQ$29,0))/SUM($B$28:$GQ$28)*100,0)</f>
        <v/>
      </c>
      <c r="ED14" s="3">
        <f>IFERROR(INDEX($B$28:$GQ$28,MATCH(133,$B$29:$GQ$29,0))/SUM($B$28:$GQ$28)*100,0)</f>
        <v/>
      </c>
      <c r="EE14" s="3">
        <f>IFERROR(INDEX($B$28:$GQ$28,MATCH(134,$B$29:$GQ$29,0))/SUM($B$28:$GQ$28)*100,0)</f>
        <v/>
      </c>
      <c r="EF14" s="3">
        <f>IFERROR(INDEX($B$28:$GQ$28,MATCH(135,$B$29:$GQ$29,0))/SUM($B$28:$GQ$28)*100,0)</f>
        <v/>
      </c>
      <c r="EG14" s="3">
        <f>IFERROR(INDEX($B$28:$GQ$28,MATCH(136,$B$29:$GQ$29,0))/SUM($B$28:$GQ$28)*100,0)</f>
        <v/>
      </c>
      <c r="EH14" s="3">
        <f>IFERROR(INDEX($B$28:$GQ$28,MATCH(137,$B$29:$GQ$29,0))/SUM($B$28:$GQ$28)*100,0)</f>
        <v/>
      </c>
      <c r="EI14" s="3">
        <f>IFERROR(INDEX($B$28:$GQ$28,MATCH(138,$B$29:$GQ$29,0))/SUM($B$28:$GQ$28)*100,0)</f>
        <v/>
      </c>
      <c r="EJ14" s="3">
        <f>IFERROR(INDEX($B$28:$GQ$28,MATCH(139,$B$29:$GQ$29,0))/SUM($B$28:$GQ$28)*100,0)</f>
        <v/>
      </c>
      <c r="EK14" s="3">
        <f>IFERROR(INDEX($B$28:$GQ$28,MATCH(140,$B$29:$GQ$29,0))/SUM($B$28:$GQ$28)*100,0)</f>
        <v/>
      </c>
      <c r="EL14" s="3">
        <f>IFERROR(INDEX($B$28:$GQ$28,MATCH(141,$B$29:$GQ$29,0))/SUM($B$28:$GQ$28)*100,0)</f>
        <v/>
      </c>
      <c r="EM14" s="3">
        <f>IFERROR(INDEX($B$28:$GQ$28,MATCH(142,$B$29:$GQ$29,0))/SUM($B$28:$GQ$28)*100,0)</f>
        <v/>
      </c>
      <c r="EN14" s="3">
        <f>IFERROR(INDEX($B$28:$GQ$28,MATCH(143,$B$29:$GQ$29,0))/SUM($B$28:$GQ$28)*100,0)</f>
        <v/>
      </c>
      <c r="EO14" s="3">
        <f>IFERROR(INDEX($B$28:$GQ$28,MATCH(144,$B$29:$GQ$29,0))/SUM($B$28:$GQ$28)*100,0)</f>
        <v/>
      </c>
      <c r="EP14" s="3">
        <f>IFERROR(INDEX($B$28:$GQ$28,MATCH(145,$B$29:$GQ$29,0))/SUM($B$28:$GQ$28)*100,0)</f>
        <v/>
      </c>
      <c r="EQ14" s="3">
        <f>IFERROR(INDEX($B$28:$GQ$28,MATCH(146,$B$29:$GQ$29,0))/SUM($B$28:$GQ$28)*100,0)</f>
        <v/>
      </c>
      <c r="ER14" s="3">
        <f>IFERROR(INDEX($B$28:$GQ$28,MATCH(147,$B$29:$GQ$29,0))/SUM($B$28:$GQ$28)*100,0)</f>
        <v/>
      </c>
      <c r="ES14" s="3">
        <f>IFERROR(INDEX($B$28:$GQ$28,MATCH(148,$B$29:$GQ$29,0))/SUM($B$28:$GQ$28)*100,0)</f>
        <v/>
      </c>
      <c r="ET14" s="3">
        <f>IFERROR(INDEX($B$28:$GQ$28,MATCH(149,$B$29:$GQ$29,0))/SUM($B$28:$GQ$28)*100,0)</f>
        <v/>
      </c>
      <c r="EU14" s="3">
        <f>IFERROR(INDEX($B$28:$GQ$28,MATCH(150,$B$29:$GQ$29,0))/SUM($B$28:$GQ$28)*100,0)</f>
        <v/>
      </c>
      <c r="EV14" s="3">
        <f>IFERROR(INDEX($B$28:$GQ$28,MATCH(151,$B$29:$GQ$29,0))/SUM($B$28:$GQ$28)*100,0)</f>
        <v/>
      </c>
      <c r="EW14" s="3">
        <f>IFERROR(INDEX($B$28:$GQ$28,MATCH(152,$B$29:$GQ$29,0))/SUM($B$28:$GQ$28)*100,0)</f>
        <v/>
      </c>
      <c r="EX14" s="3">
        <f>IFERROR(INDEX($B$28:$GQ$28,MATCH(153,$B$29:$GQ$29,0))/SUM($B$28:$GQ$28)*100,0)</f>
        <v/>
      </c>
      <c r="EY14" s="3">
        <f>IFERROR(INDEX($B$28:$GQ$28,MATCH(154,$B$29:$GQ$29,0))/SUM($B$28:$GQ$28)*100,0)</f>
        <v/>
      </c>
      <c r="EZ14" s="3">
        <f>IFERROR(INDEX($B$28:$GQ$28,MATCH(155,$B$29:$GQ$29,0))/SUM($B$28:$GQ$28)*100,0)</f>
        <v/>
      </c>
      <c r="FA14" s="3">
        <f>IFERROR(INDEX($B$28:$GQ$28,MATCH(156,$B$29:$GQ$29,0))/SUM($B$28:$GQ$28)*100,0)</f>
        <v/>
      </c>
      <c r="FB14" s="3">
        <f>IFERROR(INDEX($B$28:$GQ$28,MATCH(157,$B$29:$GQ$29,0))/SUM($B$28:$GQ$28)*100,0)</f>
        <v/>
      </c>
      <c r="FC14" s="3">
        <f>IFERROR(INDEX($B$28:$GQ$28,MATCH(158,$B$29:$GQ$29,0))/SUM($B$28:$GQ$28)*100,0)</f>
        <v/>
      </c>
      <c r="FD14" s="3">
        <f>IFERROR(INDEX($B$28:$GQ$28,MATCH(159,$B$29:$GQ$29,0))/SUM($B$28:$GQ$28)*100,0)</f>
        <v/>
      </c>
      <c r="FE14" s="3">
        <f>IFERROR(INDEX($B$28:$GQ$28,MATCH(160,$B$29:$GQ$29,0))/SUM($B$28:$GQ$28)*100,0)</f>
        <v/>
      </c>
      <c r="FF14" s="3">
        <f>IFERROR(INDEX($B$28:$GQ$28,MATCH(161,$B$29:$GQ$29,0))/SUM($B$28:$GQ$28)*100,0)</f>
        <v/>
      </c>
      <c r="FG14" s="3">
        <f>IFERROR(INDEX($B$28:$GQ$28,MATCH(162,$B$29:$GQ$29,0))/SUM($B$28:$GQ$28)*100,0)</f>
        <v/>
      </c>
      <c r="FH14" s="3">
        <f>IFERROR(INDEX($B$28:$GQ$28,MATCH(163,$B$29:$GQ$29,0))/SUM($B$28:$GQ$28)*100,0)</f>
        <v/>
      </c>
      <c r="FI14" s="3">
        <f>IFERROR(INDEX($B$28:$GQ$28,MATCH(164,$B$29:$GQ$29,0))/SUM($B$28:$GQ$28)*100,0)</f>
        <v/>
      </c>
      <c r="FJ14" s="3">
        <f>IFERROR(INDEX($B$28:$GQ$28,MATCH(165,$B$29:$GQ$29,0))/SUM($B$28:$GQ$28)*100,0)</f>
        <v/>
      </c>
      <c r="FK14" s="3">
        <f>IFERROR(INDEX($B$28:$GQ$28,MATCH(166,$B$29:$GQ$29,0))/SUM($B$28:$GQ$28)*100,0)</f>
        <v/>
      </c>
      <c r="FL14" s="3">
        <f>IFERROR(INDEX($B$28:$GQ$28,MATCH(167,$B$29:$GQ$29,0))/SUM($B$28:$GQ$28)*100,0)</f>
        <v/>
      </c>
      <c r="FM14" s="3">
        <f>IFERROR(INDEX($B$28:$GQ$28,MATCH(168,$B$29:$GQ$29,0))/SUM($B$28:$GQ$28)*100,0)</f>
        <v/>
      </c>
      <c r="FN14" s="3">
        <f>IFERROR(INDEX($B$28:$GQ$28,MATCH(169,$B$29:$GQ$29,0))/SUM($B$28:$GQ$28)*100,0)</f>
        <v/>
      </c>
      <c r="FO14" s="3">
        <f>IFERROR(INDEX($B$28:$GQ$28,MATCH(170,$B$29:$GQ$29,0))/SUM($B$28:$GQ$28)*100,0)</f>
        <v/>
      </c>
      <c r="FP14" s="3">
        <f>IFERROR(INDEX($B$28:$GQ$28,MATCH(171,$B$29:$GQ$29,0))/SUM($B$28:$GQ$28)*100,0)</f>
        <v/>
      </c>
      <c r="FQ14" s="3">
        <f>IFERROR(INDEX($B$28:$GQ$28,MATCH(172,$B$29:$GQ$29,0))/SUM($B$28:$GQ$28)*100,0)</f>
        <v/>
      </c>
      <c r="FR14" s="3">
        <f>IFERROR(INDEX($B$28:$GQ$28,MATCH(173,$B$29:$GQ$29,0))/SUM($B$28:$GQ$28)*100,0)</f>
        <v/>
      </c>
      <c r="FS14" s="3">
        <f>IFERROR(INDEX($B$28:$GQ$28,MATCH(174,$B$29:$GQ$29,0))/SUM($B$28:$GQ$28)*100,0)</f>
        <v/>
      </c>
      <c r="FT14" s="3">
        <f>IFERROR(INDEX($B$28:$GQ$28,MATCH(175,$B$29:$GQ$29,0))/SUM($B$28:$GQ$28)*100,0)</f>
        <v/>
      </c>
      <c r="FU14" s="3">
        <f>IFERROR(INDEX($B$28:$GQ$28,MATCH(176,$B$29:$GQ$29,0))/SUM($B$28:$GQ$28)*100,0)</f>
        <v/>
      </c>
      <c r="FV14" s="3">
        <f>IFERROR(INDEX($B$28:$GQ$28,MATCH(177,$B$29:$GQ$29,0))/SUM($B$28:$GQ$28)*100,0)</f>
        <v/>
      </c>
      <c r="FW14" s="3">
        <f>IFERROR(INDEX($B$28:$GQ$28,MATCH(178,$B$29:$GQ$29,0))/SUM($B$28:$GQ$28)*100,0)</f>
        <v/>
      </c>
      <c r="FX14" s="3">
        <f>IFERROR(INDEX($B$28:$GQ$28,MATCH(179,$B$29:$GQ$29,0))/SUM($B$28:$GQ$28)*100,0)</f>
        <v/>
      </c>
      <c r="FY14" s="3">
        <f>IFERROR(INDEX($B$28:$GQ$28,MATCH(180,$B$29:$GQ$29,0))/SUM($B$28:$GQ$28)*100,0)</f>
        <v/>
      </c>
      <c r="FZ14" s="3">
        <f>IFERROR(INDEX($B$28:$GQ$28,MATCH(181,$B$29:$GQ$29,0))/SUM($B$28:$GQ$28)*100,0)</f>
        <v/>
      </c>
      <c r="GA14" s="3">
        <f>IFERROR(INDEX($B$28:$GQ$28,MATCH(182,$B$29:$GQ$29,0))/SUM($B$28:$GQ$28)*100,0)</f>
        <v/>
      </c>
      <c r="GB14" s="3">
        <f>IFERROR(INDEX($B$28:$GQ$28,MATCH(183,$B$29:$GQ$29,0))/SUM($B$28:$GQ$28)*100,0)</f>
        <v/>
      </c>
      <c r="GC14" s="3">
        <f>IFERROR(INDEX($B$28:$GQ$28,MATCH(184,$B$29:$GQ$29,0))/SUM($B$28:$GQ$28)*100,0)</f>
        <v/>
      </c>
      <c r="GD14" s="3">
        <f>IFERROR(INDEX($B$28:$GQ$28,MATCH(185,$B$29:$GQ$29,0))/SUM($B$28:$GQ$28)*100,0)</f>
        <v/>
      </c>
      <c r="GE14" s="3">
        <f>IFERROR(INDEX($B$28:$GQ$28,MATCH(186,$B$29:$GQ$29,0))/SUM($B$28:$GQ$28)*100,0)</f>
        <v/>
      </c>
      <c r="GF14" s="3">
        <f>IFERROR(INDEX($B$28:$GQ$28,MATCH(187,$B$29:$GQ$29,0))/SUM($B$28:$GQ$28)*100,0)</f>
        <v/>
      </c>
      <c r="GG14" s="3">
        <f>IFERROR(INDEX($B$28:$GQ$28,MATCH(188,$B$29:$GQ$29,0))/SUM($B$28:$GQ$28)*100,0)</f>
        <v/>
      </c>
      <c r="GH14" s="3">
        <f>IFERROR(INDEX($B$28:$GQ$28,MATCH(189,$B$29:$GQ$29,0))/SUM($B$28:$GQ$28)*100,0)</f>
        <v/>
      </c>
      <c r="GI14" s="3">
        <f>IFERROR(INDEX($B$28:$GQ$28,MATCH(190,$B$29:$GQ$29,0))/SUM($B$28:$GQ$28)*100,0)</f>
        <v/>
      </c>
      <c r="GJ14" s="3">
        <f>IFERROR(INDEX($B$28:$GQ$28,MATCH(191,$B$29:$GQ$29,0))/SUM($B$28:$GQ$28)*100,0)</f>
        <v/>
      </c>
      <c r="GK14" s="3">
        <f>IFERROR(INDEX($B$28:$GQ$28,MATCH(192,$B$29:$GQ$29,0))/SUM($B$28:$GQ$28)*100,0)</f>
        <v/>
      </c>
      <c r="GL14" s="3">
        <f>IFERROR(INDEX($B$28:$GQ$28,MATCH(193,$B$29:$GQ$29,0))/SUM($B$28:$GQ$28)*100,0)</f>
        <v/>
      </c>
      <c r="GM14" s="3">
        <f>IFERROR(INDEX($B$28:$GQ$28,MATCH(194,$B$29:$GQ$29,0))/SUM($B$28:$GQ$28)*100,0)</f>
        <v/>
      </c>
      <c r="GN14" s="3">
        <f>IFERROR(INDEX($B$28:$GQ$28,MATCH(195,$B$29:$GQ$29,0))/SUM($B$28:$GQ$28)*100,0)</f>
        <v/>
      </c>
      <c r="GO14" s="3">
        <f>IFERROR(INDEX($B$28:$GQ$28,MATCH(196,$B$29:$GQ$29,0))/SUM($B$28:$GQ$28)*100,0)</f>
        <v/>
      </c>
      <c r="GP14" s="3">
        <f>IFERROR(INDEX($B$28:$GQ$28,MATCH(197,$B$29:$GQ$29,0))/SUM($B$28:$GQ$28)*100,0)</f>
        <v/>
      </c>
      <c r="GQ14" s="3">
        <f>IFERROR(INDEX($B$28:$GQ$28,MATCH(198,$B$29:$GQ$29,0))/SUM($B$28:$GQ$28)*100,0)</f>
        <v/>
      </c>
      <c r="GR14" s="3">
        <f>IFERROR(INDEX($GR$28:$HC$28,MATCH(1,$GR$30:$HC$30,0))/SUM($GR$28:$HC$28)*100,0)</f>
        <v/>
      </c>
      <c r="GS14" s="3">
        <f>IFERROR(INDEX($GR$28:$HC$28,MATCH(2,$GR$30:$HC$30,0))/SUM($GR$28:$HC$28)*100,0)</f>
        <v/>
      </c>
      <c r="GT14" s="3">
        <f>IFERROR(INDEX($GR$28:$HC$28,MATCH(3,$GR$30:$HC$30,0))/SUM($GR$28:$HC$28)*100,0)</f>
        <v/>
      </c>
      <c r="GU14" s="3">
        <f>IFERROR(INDEX($GR$28:$HC$28,MATCH(4,$GR$30:$HC$30,0))/SUM($GR$28:$HC$28)*100,0)</f>
        <v/>
      </c>
      <c r="GV14" s="3">
        <f>IFERROR(INDEX($GR$28:$HC$28,MATCH(5,$GR$30:$HC$30,0))/SUM($GR$28:$HC$28)*100,0)</f>
        <v/>
      </c>
      <c r="GW14" s="3">
        <f>IFERROR(INDEX($GR$28:$HC$28,MATCH(6,$GR$30:$HC$30,0))/SUM($GR$28:$HC$28)*100,0)</f>
        <v/>
      </c>
      <c r="GX14" s="3">
        <f>IFERROR(INDEX($GR$28:$HC$28,MATCH(7,$GR$30:$HC$30,0))/SUM($GR$28:$HC$28)*100,0)</f>
        <v/>
      </c>
      <c r="GY14" s="3">
        <f>IFERROR(INDEX($GR$28:$HC$28,MATCH(8,$GR$30:$HC$30,0))/SUM($GR$28:$HC$28)*100,0)</f>
        <v/>
      </c>
      <c r="GZ14" s="3">
        <f>IFERROR(INDEX($GR$28:$HC$28,MATCH(9,$GR$30:$HC$30,0))/SUM($GR$28:$HC$28)*100,0)</f>
        <v/>
      </c>
      <c r="HA14" s="3">
        <f>IFERROR(INDEX($GR$28:$HC$28,MATCH(10,$GR$30:$HC$30,0))/SUM($GR$28:$HC$28)*100,0)</f>
        <v/>
      </c>
      <c r="HB14" s="3">
        <f>IFERROR(INDEX($GR$28:$HC$28,MATCH(11,$GR$30:$HC$30,0))/SUM($GR$28:$HC$28)*100,0)</f>
        <v/>
      </c>
      <c r="HC14" s="3">
        <f>IFERROR(INDEX($GR$28:$HC$28,MATCH(12,$GR$30:$HC$30,0))/SUM($GR$28:$HC$28)*100,0)</f>
        <v/>
      </c>
    </row>
    <row r="16">
      <c r="A16" s="1" t="inlineStr">
        <is>
          <t>Données sources (ordre du bridge, non triées)</t>
        </is>
      </c>
    </row>
    <row r="17">
      <c r="A17" s="1" t="inlineStr">
        <is>
          <t>P surplus</t>
        </is>
      </c>
      <c r="B17" s="1" t="inlineStr">
        <is>
          <t>Paddy rice</t>
        </is>
      </c>
      <c r="C17" s="1" t="inlineStr">
        <is>
          <t>Wheat</t>
        </is>
      </c>
      <c r="D17" s="1" t="inlineStr">
        <is>
          <t>Cereal grains nec</t>
        </is>
      </c>
      <c r="E17" s="1" t="inlineStr">
        <is>
          <t>Vegetables, fruit, nuts</t>
        </is>
      </c>
      <c r="F17" s="1" t="inlineStr">
        <is>
          <t>Oil seeds</t>
        </is>
      </c>
      <c r="G17" s="1" t="inlineStr">
        <is>
          <t>Sugar cane, sugar beet</t>
        </is>
      </c>
      <c r="H17" s="1" t="inlineStr">
        <is>
          <t>Plant-based fibers</t>
        </is>
      </c>
      <c r="I17" s="1" t="inlineStr">
        <is>
          <t>Crops nec</t>
        </is>
      </c>
      <c r="J17" s="1" t="inlineStr">
        <is>
          <t>Cattle</t>
        </is>
      </c>
      <c r="K17" s="1" t="inlineStr">
        <is>
          <t>Pigs</t>
        </is>
      </c>
      <c r="L17" s="1" t="inlineStr">
        <is>
          <t>Poultry</t>
        </is>
      </c>
      <c r="M17" s="1" t="inlineStr">
        <is>
          <t>Meat animals nec</t>
        </is>
      </c>
      <c r="N17" s="1" t="inlineStr">
        <is>
          <t>Animal products nec</t>
        </is>
      </c>
      <c r="O17" s="1" t="inlineStr">
        <is>
          <t>Raw milk</t>
        </is>
      </c>
      <c r="P17" s="1" t="inlineStr">
        <is>
          <t>Wool, silk-worm cocoons</t>
        </is>
      </c>
      <c r="Q17" s="1" t="inlineStr">
        <is>
          <t>Manure (conventional treatment)</t>
        </is>
      </c>
      <c r="R17" s="1" t="inlineStr">
        <is>
          <t>Manure (biogas treatment)</t>
        </is>
      </c>
      <c r="S17" s="1" t="inlineStr">
        <is>
          <t>Products of forestry, logging and related services (02)</t>
        </is>
      </c>
      <c r="T17" s="1" t="inlineStr">
        <is>
          <t>Fish and other fishing products; services incidental of fishing (05)</t>
        </is>
      </c>
      <c r="U17" s="1" t="inlineStr">
        <is>
          <t>Anthracite</t>
        </is>
      </c>
      <c r="V17" s="1" t="inlineStr">
        <is>
          <t>Coking Coal</t>
        </is>
      </c>
      <c r="W17" s="1" t="inlineStr">
        <is>
          <t>Other Bituminous Coal</t>
        </is>
      </c>
      <c r="X17" s="1" t="inlineStr">
        <is>
          <t>Sub-Bituminous Coal</t>
        </is>
      </c>
      <c r="Y17" s="1" t="inlineStr">
        <is>
          <t>Patent Fuel</t>
        </is>
      </c>
      <c r="Z17" s="1" t="inlineStr">
        <is>
          <t>Lignite/Brown Coal</t>
        </is>
      </c>
      <c r="AA17" s="1" t="inlineStr">
        <is>
          <t>BKB/Peat Briquettes</t>
        </is>
      </c>
      <c r="AB17" s="1" t="inlineStr">
        <is>
          <t>Peat</t>
        </is>
      </c>
      <c r="AC17" s="1" t="inlineStr">
        <is>
          <t>Crude petroleum and services related to crude oil extraction, excluding surveying</t>
        </is>
      </c>
      <c r="AD17" s="1" t="inlineStr">
        <is>
          <t>Natural gas and services related to natural gas extraction, excluding surveying</t>
        </is>
      </c>
      <c r="AE17" s="1" t="inlineStr">
        <is>
          <t>Natural Gas Liquids</t>
        </is>
      </c>
      <c r="AF17" s="1" t="inlineStr">
        <is>
          <t>Other Hydrocarbons</t>
        </is>
      </c>
      <c r="AG17" s="1" t="inlineStr">
        <is>
          <t>Uranium and thorium ores (12)</t>
        </is>
      </c>
      <c r="AH17" s="1" t="inlineStr">
        <is>
          <t>Iron ores</t>
        </is>
      </c>
      <c r="AI17" s="1" t="inlineStr">
        <is>
          <t>Copper ores and concentrates</t>
        </is>
      </c>
      <c r="AJ17" s="1" t="inlineStr">
        <is>
          <t>Nickel ores and concentrates</t>
        </is>
      </c>
      <c r="AK17" s="1" t="inlineStr">
        <is>
          <t>Aluminium ores and concentrates</t>
        </is>
      </c>
      <c r="AL17" s="1" t="inlineStr">
        <is>
          <t>Precious metal ores and concentrates</t>
        </is>
      </c>
      <c r="AM17" s="1" t="inlineStr">
        <is>
          <t>Lead, zinc and tin ores and concentrates</t>
        </is>
      </c>
      <c r="AN17" s="1" t="inlineStr">
        <is>
          <t>Other non-ferrous metal ores and concentrates</t>
        </is>
      </c>
      <c r="AO17" s="1" t="inlineStr">
        <is>
          <t>Stone</t>
        </is>
      </c>
      <c r="AP17" s="1" t="inlineStr">
        <is>
          <t>Sand and clay</t>
        </is>
      </c>
      <c r="AQ17" s="1" t="inlineStr">
        <is>
          <t>Chemical and fertilizer minerals, salt and other mining and quarrying products n.e.c.</t>
        </is>
      </c>
      <c r="AR17" s="1" t="inlineStr">
        <is>
          <t>Products of meat cattle</t>
        </is>
      </c>
      <c r="AS17" s="1" t="inlineStr">
        <is>
          <t>Products of meat pigs</t>
        </is>
      </c>
      <c r="AT17" s="1" t="inlineStr">
        <is>
          <t>Products of meat poultry</t>
        </is>
      </c>
      <c r="AU17" s="1" t="inlineStr">
        <is>
          <t>Meat products nec</t>
        </is>
      </c>
      <c r="AV17" s="1" t="inlineStr">
        <is>
          <t>products of Vegetable oils and fats</t>
        </is>
      </c>
      <c r="AW17" s="1" t="inlineStr">
        <is>
          <t>Dairy products</t>
        </is>
      </c>
      <c r="AX17" s="1" t="inlineStr">
        <is>
          <t>Processed rice</t>
        </is>
      </c>
      <c r="AY17" s="1" t="inlineStr">
        <is>
          <t>Sugar</t>
        </is>
      </c>
      <c r="AZ17" s="1" t="inlineStr">
        <is>
          <t>Food products nec</t>
        </is>
      </c>
      <c r="BA17" s="1" t="inlineStr">
        <is>
          <t>Beverages</t>
        </is>
      </c>
      <c r="BB17" s="1" t="inlineStr">
        <is>
          <t>Fish products</t>
        </is>
      </c>
      <c r="BC17" s="1" t="inlineStr">
        <is>
          <t>Tobacco products (16)</t>
        </is>
      </c>
      <c r="BD17" s="1" t="inlineStr">
        <is>
          <t>Textiles (17)</t>
        </is>
      </c>
      <c r="BE17" s="1" t="inlineStr">
        <is>
          <t>Wearing apparel; furs (18)</t>
        </is>
      </c>
      <c r="BF17" s="1" t="inlineStr">
        <is>
          <t>Leather and leather products (19)</t>
        </is>
      </c>
      <c r="BG17" s="1" t="inlineStr">
        <is>
          <t>Wood and products of wood and cork (except furniture); articles of straw and plaiting materials (20)</t>
        </is>
      </c>
      <c r="BH17" s="1" t="inlineStr">
        <is>
          <t>Wood material for treatment, Re-processing of secondary wood material into new wood material</t>
        </is>
      </c>
      <c r="BI17" s="1" t="inlineStr">
        <is>
          <t>Pulp</t>
        </is>
      </c>
      <c r="BJ17" s="1" t="inlineStr">
        <is>
          <t>Secondary paper for treatment, Re-processing of secondary paper into new pulp</t>
        </is>
      </c>
      <c r="BK17" s="1" t="inlineStr">
        <is>
          <t>Paper and paper products</t>
        </is>
      </c>
      <c r="BL17" s="1" t="inlineStr">
        <is>
          <t>Printed matter and recorded media (22)</t>
        </is>
      </c>
      <c r="BM17" s="1" t="inlineStr">
        <is>
          <t>Coke Oven Coke</t>
        </is>
      </c>
      <c r="BN17" s="1" t="inlineStr">
        <is>
          <t>Gas Coke</t>
        </is>
      </c>
      <c r="BO17" s="1" t="inlineStr">
        <is>
          <t>Coal Tar</t>
        </is>
      </c>
      <c r="BP17" s="1" t="inlineStr">
        <is>
          <t>Motor Gasoline</t>
        </is>
      </c>
      <c r="BQ17" s="1" t="inlineStr">
        <is>
          <t>Aviation Gasoline</t>
        </is>
      </c>
      <c r="BR17" s="1" t="inlineStr">
        <is>
          <t>Gasoline Type Jet Fuel</t>
        </is>
      </c>
      <c r="BS17" s="1" t="inlineStr">
        <is>
          <t>Kerosene Type Jet Fuel</t>
        </is>
      </c>
      <c r="BT17" s="1" t="inlineStr">
        <is>
          <t>Kerosene</t>
        </is>
      </c>
      <c r="BU17" s="1" t="inlineStr">
        <is>
          <t>Gas/Diesel Oil</t>
        </is>
      </c>
      <c r="BV17" s="1" t="inlineStr">
        <is>
          <t>Heavy Fuel Oil</t>
        </is>
      </c>
      <c r="BW17" s="1" t="inlineStr">
        <is>
          <t>Refinery Gas</t>
        </is>
      </c>
      <c r="BX17" s="1" t="inlineStr">
        <is>
          <t>Liquefied Petroleum Gases (LPG)</t>
        </is>
      </c>
      <c r="BY17" s="1" t="inlineStr">
        <is>
          <t>Refinery Feedstocks</t>
        </is>
      </c>
      <c r="BZ17" s="1" t="inlineStr">
        <is>
          <t>Ethane</t>
        </is>
      </c>
      <c r="CA17" s="1" t="inlineStr">
        <is>
          <t>Naphtha</t>
        </is>
      </c>
      <c r="CB17" s="1" t="inlineStr">
        <is>
          <t>White Spirit &amp; SBP</t>
        </is>
      </c>
      <c r="CC17" s="1" t="inlineStr">
        <is>
          <t>Lubricants</t>
        </is>
      </c>
      <c r="CD17" s="1" t="inlineStr">
        <is>
          <t>Bitumen</t>
        </is>
      </c>
      <c r="CE17" s="1" t="inlineStr">
        <is>
          <t>Paraffin Waxes</t>
        </is>
      </c>
      <c r="CF17" s="1" t="inlineStr">
        <is>
          <t>Petroleum Coke</t>
        </is>
      </c>
      <c r="CG17" s="1" t="inlineStr">
        <is>
          <t>Non-specified Petroleum Products</t>
        </is>
      </c>
      <c r="CH17" s="1" t="inlineStr">
        <is>
          <t>Nuclear fuel</t>
        </is>
      </c>
      <c r="CI17" s="1" t="inlineStr">
        <is>
          <t>Plastics, basic</t>
        </is>
      </c>
      <c r="CJ17" s="1" t="inlineStr">
        <is>
          <t>Secondary plastic for treatment, Re-processing of secondary plastic into new plastic</t>
        </is>
      </c>
      <c r="CK17" s="1" t="inlineStr">
        <is>
          <t>N-fertiliser</t>
        </is>
      </c>
      <c r="CL17" s="1" t="inlineStr">
        <is>
          <t>P- and other fertiliser</t>
        </is>
      </c>
      <c r="CM17" s="1" t="inlineStr">
        <is>
          <t>Chemicals nec</t>
        </is>
      </c>
      <c r="CN17" s="1" t="inlineStr">
        <is>
          <t>Charcoal</t>
        </is>
      </c>
      <c r="CO17" s="1" t="inlineStr">
        <is>
          <t>Additives/Blending Components</t>
        </is>
      </c>
      <c r="CP17" s="1" t="inlineStr">
        <is>
          <t>Biogasoline</t>
        </is>
      </c>
      <c r="CQ17" s="1" t="inlineStr">
        <is>
          <t>Biodiesels</t>
        </is>
      </c>
      <c r="CR17" s="1" t="inlineStr">
        <is>
          <t>Other Liquid Biofuels</t>
        </is>
      </c>
      <c r="CS17" s="1" t="inlineStr">
        <is>
          <t>Glass and glass products</t>
        </is>
      </c>
      <c r="CT17" s="1" t="inlineStr">
        <is>
          <t>Secondary glass for treatment, Re-processing of secondary glass into new glass</t>
        </is>
      </c>
      <c r="CU17" s="1" t="inlineStr">
        <is>
          <t>Ceramic goods</t>
        </is>
      </c>
      <c r="CV17" s="1" t="inlineStr">
        <is>
          <t>Bricks, tiles and construction products, in baked clay</t>
        </is>
      </c>
      <c r="CW17" s="1" t="inlineStr">
        <is>
          <t>Cement, lime and plaster</t>
        </is>
      </c>
      <c r="CX17" s="1" t="inlineStr">
        <is>
          <t>Ash for treatment, Re-processing of ash into clinker</t>
        </is>
      </c>
      <c r="CY17" s="1" t="inlineStr">
        <is>
          <t>Other non-metallic mineral products</t>
        </is>
      </c>
      <c r="CZ17" s="1" t="inlineStr">
        <is>
          <t>Basic iron and steel and of ferro-alloys and first products thereof</t>
        </is>
      </c>
      <c r="DA17" s="1" t="inlineStr">
        <is>
          <t>Secondary steel for treatment, Re-processing of secondary steel into new steel</t>
        </is>
      </c>
      <c r="DB17" s="1" t="inlineStr">
        <is>
          <t>Precious metals</t>
        </is>
      </c>
      <c r="DC17" s="1" t="inlineStr">
        <is>
          <t>Secondary preciuos metals for treatment, Re-processing of secondary preciuos metals into new preciuos metals</t>
        </is>
      </c>
      <c r="DD17" s="1" t="inlineStr">
        <is>
          <t>Aluminium and aluminium products</t>
        </is>
      </c>
      <c r="DE17" s="1" t="inlineStr">
        <is>
          <t>Secondary aluminium for treatment, Re-processing of secondary aluminium into new aluminium</t>
        </is>
      </c>
      <c r="DF17" s="1" t="inlineStr">
        <is>
          <t>Lead, zinc and tin and products thereof</t>
        </is>
      </c>
      <c r="DG17" s="1" t="inlineStr">
        <is>
          <t>Secondary lead for treatment, Re-processing of secondary lead into new lead</t>
        </is>
      </c>
      <c r="DH17" s="1" t="inlineStr">
        <is>
          <t>Copper products</t>
        </is>
      </c>
      <c r="DI17" s="1" t="inlineStr">
        <is>
          <t>Secondary copper for treatment, Re-processing of secondary copper into new copper</t>
        </is>
      </c>
      <c r="DJ17" s="1" t="inlineStr">
        <is>
          <t>Other non-ferrous metal products</t>
        </is>
      </c>
      <c r="DK17" s="1" t="inlineStr">
        <is>
          <t>Secondary other non-ferrous metals for treatment, Re-processing of secondary other non-ferrous metals into new other non-ferrous metals</t>
        </is>
      </c>
      <c r="DL17" s="1" t="inlineStr">
        <is>
          <t>Foundry work services</t>
        </is>
      </c>
      <c r="DM17" s="1" t="inlineStr">
        <is>
          <t>Fabricated metal products, except machinery and equipment (28)</t>
        </is>
      </c>
      <c r="DN17" s="1" t="inlineStr">
        <is>
          <t>Machinery and equipment n.e.c. (29)</t>
        </is>
      </c>
      <c r="DO17" s="1" t="inlineStr">
        <is>
          <t>Office machinery and computers (30)</t>
        </is>
      </c>
      <c r="DP17" s="1" t="inlineStr">
        <is>
          <t>Electrical machinery and apparatus n.e.c. (31)</t>
        </is>
      </c>
      <c r="DQ17" s="1" t="inlineStr">
        <is>
          <t>Radio, television and communication equipment and apparatus (32)</t>
        </is>
      </c>
      <c r="DR17" s="1" t="inlineStr">
        <is>
          <t>Medical, precision and optical instruments, watches and clocks (33)</t>
        </is>
      </c>
      <c r="DS17" s="1" t="inlineStr">
        <is>
          <t>Motor vehicles, trailers and semi-trailers (34)</t>
        </is>
      </c>
      <c r="DT17" s="1" t="inlineStr">
        <is>
          <t>Other transport equipment (35)</t>
        </is>
      </c>
      <c r="DU17" s="1" t="inlineStr">
        <is>
          <t>Furniture; other manufactured goods n.e.c. (36)</t>
        </is>
      </c>
      <c r="DV17" s="1" t="inlineStr">
        <is>
          <t>Secondary raw materials</t>
        </is>
      </c>
      <c r="DW17" s="1" t="inlineStr">
        <is>
          <t>Bottles for treatment, Recycling of bottles by direct reuse</t>
        </is>
      </c>
      <c r="DX17" s="1" t="inlineStr">
        <is>
          <t>Electricity by coal</t>
        </is>
      </c>
      <c r="DY17" s="1" t="inlineStr">
        <is>
          <t>Electricity by gas</t>
        </is>
      </c>
      <c r="DZ17" s="1" t="inlineStr">
        <is>
          <t>Electricity by nuclear</t>
        </is>
      </c>
      <c r="EA17" s="1" t="inlineStr">
        <is>
          <t>Electricity by hydro</t>
        </is>
      </c>
      <c r="EB17" s="1" t="inlineStr">
        <is>
          <t>Electricity by wind</t>
        </is>
      </c>
      <c r="EC17" s="1" t="inlineStr">
        <is>
          <t>Electricity by petroleum and other oil derivatives</t>
        </is>
      </c>
      <c r="ED17" s="1" t="inlineStr">
        <is>
          <t>Electricity by biomass and waste</t>
        </is>
      </c>
      <c r="EE17" s="1" t="inlineStr">
        <is>
          <t>Electricity by solar photovoltaic</t>
        </is>
      </c>
      <c r="EF17" s="1" t="inlineStr">
        <is>
          <t>Electricity by solar thermal</t>
        </is>
      </c>
      <c r="EG17" s="1" t="inlineStr">
        <is>
          <t>Electricity by tide, wave, ocean</t>
        </is>
      </c>
      <c r="EH17" s="1" t="inlineStr">
        <is>
          <t>Electricity by Geothermal</t>
        </is>
      </c>
      <c r="EI17" s="1" t="inlineStr">
        <is>
          <t>Electricity nec</t>
        </is>
      </c>
      <c r="EJ17" s="1" t="inlineStr">
        <is>
          <t>Transmission services of electricity</t>
        </is>
      </c>
      <c r="EK17" s="1" t="inlineStr">
        <is>
          <t>Distribution and trade services of electricity</t>
        </is>
      </c>
      <c r="EL17" s="1" t="inlineStr">
        <is>
          <t>Coke oven gas</t>
        </is>
      </c>
      <c r="EM17" s="1" t="inlineStr">
        <is>
          <t>Blast Furnace Gas</t>
        </is>
      </c>
      <c r="EN17" s="1" t="inlineStr">
        <is>
          <t>Oxygen Steel Furnace Gas</t>
        </is>
      </c>
      <c r="EO17" s="1" t="inlineStr">
        <is>
          <t>Gas Works Gas</t>
        </is>
      </c>
      <c r="EP17" s="1" t="inlineStr">
        <is>
          <t>Biogas</t>
        </is>
      </c>
      <c r="EQ17" s="1" t="inlineStr">
        <is>
          <t>Distribution services of gaseous fuels through mains</t>
        </is>
      </c>
      <c r="ER17" s="1" t="inlineStr">
        <is>
          <t>Steam and hot water supply services</t>
        </is>
      </c>
      <c r="ES17" s="1" t="inlineStr">
        <is>
          <t>Collected and purified water, distribution services of water (41)</t>
        </is>
      </c>
      <c r="ET17" s="1" t="inlineStr">
        <is>
          <t>Construction work (45)</t>
        </is>
      </c>
      <c r="EU17" s="1" t="inlineStr">
        <is>
          <t>Secondary construction material for treatment, Re-processing of secondary construction material into aggregates</t>
        </is>
      </c>
      <c r="EV17" s="1" t="inlineStr">
        <is>
          <t>Sale, maintenance, repair of motor vehicles, motor vehicles parts, motorcycles, motor cycles parts and accessoiries</t>
        </is>
      </c>
      <c r="EW17" s="1" t="inlineStr">
        <is>
          <t>Retail trade services of motor fuel</t>
        </is>
      </c>
      <c r="EX17" s="1" t="inlineStr">
        <is>
          <t>Wholesale trade and commission trade services, except of motor vehicles and motorcycles (51)</t>
        </is>
      </c>
      <c r="EY17" s="1" t="inlineStr">
        <is>
          <t>Retail  trade services, except of motor vehicles and motorcycles; repair services of personal and household goods (52)</t>
        </is>
      </c>
      <c r="EZ17" s="1" t="inlineStr">
        <is>
          <t>Hotel and restaurant services (55)</t>
        </is>
      </c>
      <c r="FA17" s="1" t="inlineStr">
        <is>
          <t>Railway transportation services</t>
        </is>
      </c>
      <c r="FB17" s="1" t="inlineStr">
        <is>
          <t>Other land transportation services</t>
        </is>
      </c>
      <c r="FC17" s="1" t="inlineStr">
        <is>
          <t>Transportation services via pipelines</t>
        </is>
      </c>
      <c r="FD17" s="1" t="inlineStr">
        <is>
          <t>Sea and coastal water transportation services</t>
        </is>
      </c>
      <c r="FE17" s="1" t="inlineStr">
        <is>
          <t>Inland water transportation services</t>
        </is>
      </c>
      <c r="FF17" s="1" t="inlineStr">
        <is>
          <t>Air transport services (62)</t>
        </is>
      </c>
      <c r="FG17" s="1" t="inlineStr">
        <is>
          <t>Supporting and auxiliary transport services; travel agency services (63)</t>
        </is>
      </c>
      <c r="FH17" s="1" t="inlineStr">
        <is>
          <t>Post and telecommunication services (64)</t>
        </is>
      </c>
      <c r="FI17" s="1" t="inlineStr">
        <is>
          <t>Financial intermediation services, except insurance and pension funding services (65)</t>
        </is>
      </c>
      <c r="FJ17" s="1" t="inlineStr">
        <is>
          <t>Insurance and pension funding services, except compulsory social security services (66)</t>
        </is>
      </c>
      <c r="FK17" s="1" t="inlineStr">
        <is>
          <t>Services auxiliary to financial intermediation (67)</t>
        </is>
      </c>
      <c r="FL17" s="1" t="inlineStr">
        <is>
          <t>Real estate services (70)</t>
        </is>
      </c>
      <c r="FM17" s="1" t="inlineStr">
        <is>
          <t>Renting services of machinery and equipment without operator and of personal and household goods (71)</t>
        </is>
      </c>
      <c r="FN17" s="1" t="inlineStr">
        <is>
          <t>Computer and related services (72)</t>
        </is>
      </c>
      <c r="FO17" s="1" t="inlineStr">
        <is>
          <t>Research and development services (73)</t>
        </is>
      </c>
      <c r="FP17" s="1" t="inlineStr">
        <is>
          <t>Other business services (74)</t>
        </is>
      </c>
      <c r="FQ17" s="1" t="inlineStr">
        <is>
          <t>Public administration and defence services; compulsory social security services (75)</t>
        </is>
      </c>
      <c r="FR17" s="1" t="inlineStr">
        <is>
          <t>Education services (80)</t>
        </is>
      </c>
      <c r="FS17" s="1" t="inlineStr">
        <is>
          <t>Health and social work services (85)</t>
        </is>
      </c>
      <c r="FT17" s="1" t="inlineStr">
        <is>
          <t>Food waste for treatment: incineration</t>
        </is>
      </c>
      <c r="FU17" s="1" t="inlineStr">
        <is>
          <t>Paper waste for treatment: incineration</t>
        </is>
      </c>
      <c r="FV17" s="1" t="inlineStr">
        <is>
          <t>Plastic waste for treatment: incineration</t>
        </is>
      </c>
      <c r="FW17" s="1" t="inlineStr">
        <is>
          <t>Intert/metal waste for treatment: incineration</t>
        </is>
      </c>
      <c r="FX17" s="1" t="inlineStr">
        <is>
          <t>Textiles waste for treatment: incineration</t>
        </is>
      </c>
      <c r="FY17" s="1" t="inlineStr">
        <is>
          <t>Wood waste for treatment: incineration</t>
        </is>
      </c>
      <c r="FZ17" s="1" t="inlineStr">
        <is>
          <t>Oil/hazardous waste for treatment: incineration</t>
        </is>
      </c>
      <c r="GA17" s="1" t="inlineStr">
        <is>
          <t>Food waste for treatment: biogasification and land application</t>
        </is>
      </c>
      <c r="GB17" s="1" t="inlineStr">
        <is>
          <t>Paper waste for treatment: biogasification and land application</t>
        </is>
      </c>
      <c r="GC17" s="1" t="inlineStr">
        <is>
          <t>Sewage sludge for treatment: biogasification and land application</t>
        </is>
      </c>
      <c r="GD17" s="1" t="inlineStr">
        <is>
          <t>Food waste for treatment: composting and land application</t>
        </is>
      </c>
      <c r="GE17" s="1" t="inlineStr">
        <is>
          <t>Paper and wood waste for treatment: composting and land application</t>
        </is>
      </c>
      <c r="GF17" s="1" t="inlineStr">
        <is>
          <t>Food waste for treatment: waste water treatment</t>
        </is>
      </c>
      <c r="GG17" s="1" t="inlineStr">
        <is>
          <t>Other waste for treatment: waste water treatment</t>
        </is>
      </c>
      <c r="GH17" s="1" t="inlineStr">
        <is>
          <t>Food waste for treatment: landfill</t>
        </is>
      </c>
      <c r="GI17" s="1" t="inlineStr">
        <is>
          <t>Paper for treatment: landfill</t>
        </is>
      </c>
      <c r="GJ17" s="1" t="inlineStr">
        <is>
          <t>Plastic waste for treatment: landfill</t>
        </is>
      </c>
      <c r="GK17" s="1" t="inlineStr">
        <is>
          <t>Inert/metal/hazardous waste for treatment: landfill</t>
        </is>
      </c>
      <c r="GL17" s="1" t="inlineStr">
        <is>
          <t>Textiles waste for treatment: landfill</t>
        </is>
      </c>
      <c r="GM17" s="1" t="inlineStr">
        <is>
          <t>Wood waste for treatment: landfill</t>
        </is>
      </c>
      <c r="GN17" s="1" t="inlineStr">
        <is>
          <t>Membership organisation services n.e.c. (91)</t>
        </is>
      </c>
      <c r="GO17" s="1" t="inlineStr">
        <is>
          <t>Recreational, cultural and sporting services (92)</t>
        </is>
      </c>
      <c r="GP17" s="1" t="inlineStr">
        <is>
          <t>Other services (93)</t>
        </is>
      </c>
      <c r="GQ17" s="1" t="inlineStr">
        <is>
          <t>Extra-territorial organizations and bodies</t>
        </is>
      </c>
      <c r="GR17" s="1" t="inlineStr">
        <is>
          <t>Vegetables, fruits, nuts</t>
        </is>
      </c>
      <c r="GS17" s="1" t="inlineStr">
        <is>
          <t>Cattle</t>
        </is>
      </c>
      <c r="GT17" s="1" t="inlineStr">
        <is>
          <t>Meat nec</t>
        </is>
      </c>
      <c r="GU17" s="1" t="inlineStr">
        <is>
          <t>Animal nec</t>
        </is>
      </c>
      <c r="GV17" s="1" t="inlineStr">
        <is>
          <t>Dairy products</t>
        </is>
      </c>
      <c r="GW17" s="1" t="inlineStr">
        <is>
          <t>Food nec</t>
        </is>
      </c>
      <c r="GX17" s="1" t="inlineStr">
        <is>
          <t>Housing</t>
        </is>
      </c>
      <c r="GY17" s="1" t="inlineStr">
        <is>
          <t>Mobility</t>
        </is>
      </c>
      <c r="GZ17" s="1" t="inlineStr">
        <is>
          <t>Textiles</t>
        </is>
      </c>
      <c r="HA17" s="1" t="inlineStr">
        <is>
          <t>Final goods nec</t>
        </is>
      </c>
      <c r="HB17" s="1" t="inlineStr">
        <is>
          <t>Hotel &amp; restaurant</t>
        </is>
      </c>
      <c r="HC17" s="1" t="inlineStr">
        <is>
          <t>Final services</t>
        </is>
      </c>
    </row>
    <row r="18">
      <c r="A18" s="1" t="inlineStr">
        <is>
          <t>M_imp</t>
        </is>
      </c>
      <c r="B18" t="n">
        <v>9.782928515689572e-09</v>
      </c>
      <c r="C18" t="n">
        <v>8.026642244087378e-09</v>
      </c>
      <c r="D18" t="n">
        <v>5.119596526182413e-09</v>
      </c>
      <c r="E18" t="n">
        <v>2.121530111715134e-08</v>
      </c>
      <c r="F18" t="n">
        <v>1.337762646123861e-08</v>
      </c>
      <c r="G18" t="n">
        <v>6.761315000067808e-10</v>
      </c>
      <c r="H18" t="n">
        <v>4.955100586953419e-09</v>
      </c>
      <c r="I18" t="n">
        <v>1.00340779395936e-09</v>
      </c>
      <c r="J18" t="n">
        <v>4.48784674281547e-08</v>
      </c>
      <c r="K18" t="n">
        <v>3.991724676603242e-08</v>
      </c>
      <c r="L18" t="n">
        <v>3.651149117447906e-08</v>
      </c>
      <c r="M18" t="n">
        <v>3.17220106366865e-08</v>
      </c>
      <c r="N18" t="n">
        <v>4.29720410110125e-08</v>
      </c>
      <c r="O18" t="n">
        <v>5.213709630098204e-08</v>
      </c>
      <c r="P18" t="n">
        <v>7.211894675566096e-08</v>
      </c>
      <c r="Q18" t="n">
        <v>0</v>
      </c>
      <c r="R18" t="n">
        <v>0</v>
      </c>
      <c r="S18" t="n">
        <v>3.560608073281896e-09</v>
      </c>
      <c r="T18" t="n">
        <v>1.333981475331939e-07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4.276994155549772e-08</v>
      </c>
      <c r="AD18" t="n">
        <v>6.123423493968771e-07</v>
      </c>
      <c r="AE18" t="n">
        <v>3.021761118845867e-09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5.200362493983049e-09</v>
      </c>
      <c r="AO18" t="n">
        <v>2.959557162697988e-09</v>
      </c>
      <c r="AP18" t="n">
        <v>8.755223485504136e-11</v>
      </c>
      <c r="AQ18" t="n">
        <v>1.894203615319369e-09</v>
      </c>
      <c r="AR18" t="n">
        <v>6.77038434136383e-08</v>
      </c>
      <c r="AS18" t="n">
        <v>2.450820009376538e-08</v>
      </c>
      <c r="AT18" t="n">
        <v>3.910490599092013e-08</v>
      </c>
      <c r="AU18" t="n">
        <v>6.817989114785016e-08</v>
      </c>
      <c r="AV18" t="n">
        <v>3.244851268277645e-08</v>
      </c>
      <c r="AW18" t="n">
        <v>3.825140633742679e-08</v>
      </c>
      <c r="AX18" t="n">
        <v>8.820011782901585e-09</v>
      </c>
      <c r="AY18" t="n">
        <v>1.540908771316232e-08</v>
      </c>
      <c r="AZ18" t="n">
        <v>4.843761819594341e-08</v>
      </c>
      <c r="BA18" t="n">
        <v>3.299301627774807e-08</v>
      </c>
      <c r="BB18" t="n">
        <v>5.099558553358301e-08</v>
      </c>
      <c r="BC18" t="n">
        <v>1.336731367052866e-08</v>
      </c>
      <c r="BD18" t="n">
        <v>3.74516872705616e-08</v>
      </c>
      <c r="BE18" t="n">
        <v>2.37233151744469e-08</v>
      </c>
      <c r="BF18" t="n">
        <v>8.378957212949296e-08</v>
      </c>
      <c r="BG18" t="n">
        <v>1.383456168208043e-08</v>
      </c>
      <c r="BH18" t="n">
        <v>1.135099582863104e-08</v>
      </c>
      <c r="BI18" t="n">
        <v>1.293080044898582e-08</v>
      </c>
      <c r="BJ18" t="n">
        <v>1.232737205396868e-08</v>
      </c>
      <c r="BK18" t="n">
        <v>3.23840668929877e-08</v>
      </c>
      <c r="BL18" t="n">
        <v>1.050264132032126e-08</v>
      </c>
      <c r="BM18" t="n">
        <v>9.27466035459918e-10</v>
      </c>
      <c r="BN18" t="n">
        <v>0</v>
      </c>
      <c r="BO18" t="n">
        <v>2.079419190003757e-08</v>
      </c>
      <c r="BP18" t="n">
        <v>4.337295229325055e-08</v>
      </c>
      <c r="BQ18" t="n">
        <v>0</v>
      </c>
      <c r="BR18" t="n">
        <v>0</v>
      </c>
      <c r="BS18" t="n">
        <v>1.11791292983895e-08</v>
      </c>
      <c r="BT18" t="n">
        <v>0</v>
      </c>
      <c r="BU18" t="n">
        <v>1.93407135496201e-08</v>
      </c>
      <c r="BV18" t="n">
        <v>6.673912556873128e-09</v>
      </c>
      <c r="BW18" t="n">
        <v>5.692756091298312e-11</v>
      </c>
      <c r="BX18" t="n">
        <v>1.133173036855815e-08</v>
      </c>
      <c r="BY18" t="n">
        <v>1.086596190507767e-08</v>
      </c>
      <c r="BZ18" t="n">
        <v>0</v>
      </c>
      <c r="CA18" t="n">
        <v>5.968886765736941e-09</v>
      </c>
      <c r="CB18" t="n">
        <v>1.22154389382958e-08</v>
      </c>
      <c r="CC18" t="n">
        <v>2.064753220104846e-08</v>
      </c>
      <c r="CD18" t="n">
        <v>2.258474821653172e-09</v>
      </c>
      <c r="CE18" t="n">
        <v>2.516293831771763e-09</v>
      </c>
      <c r="CF18" t="n">
        <v>3.785521072266035e-09</v>
      </c>
      <c r="CG18" t="n">
        <v>2.409149890394474e-09</v>
      </c>
      <c r="CH18" t="n">
        <v>7.363988798781442e-11</v>
      </c>
      <c r="CI18" t="n">
        <v>1.889326347955094e-08</v>
      </c>
      <c r="CJ18" t="n">
        <v>1.667928955604839e-08</v>
      </c>
      <c r="CK18" t="n">
        <v>7.065986880865216e-09</v>
      </c>
      <c r="CL18" t="n">
        <v>1.137543251639946e-08</v>
      </c>
      <c r="CM18" t="n">
        <v>2.303709544877104e-08</v>
      </c>
      <c r="CN18" t="n">
        <v>0</v>
      </c>
      <c r="CO18" t="n">
        <v>4.982384780100094e-09</v>
      </c>
      <c r="CP18" t="n">
        <v>9.425093633947913e-09</v>
      </c>
      <c r="CQ18" t="n">
        <v>3.909564881230058e-09</v>
      </c>
      <c r="CR18" t="n">
        <v>0</v>
      </c>
      <c r="CS18" t="n">
        <v>1.268587388855595e-08</v>
      </c>
      <c r="CT18" t="n">
        <v>9.912710655386003e-09</v>
      </c>
      <c r="CU18" t="n">
        <v>1.383547775667189e-08</v>
      </c>
      <c r="CV18" t="n">
        <v>9.927104158456103e-09</v>
      </c>
      <c r="CW18" t="n">
        <v>9.035145196879308e-09</v>
      </c>
      <c r="CX18" t="n">
        <v>8.053208193622947e-09</v>
      </c>
      <c r="CY18" t="n">
        <v>1.287750075265508e-08</v>
      </c>
      <c r="CZ18" t="n">
        <v>1.163774342153376e-08</v>
      </c>
      <c r="DA18" t="n">
        <v>9.713981350812051e-09</v>
      </c>
      <c r="DB18" t="n">
        <v>2.811379530023319e-08</v>
      </c>
      <c r="DC18" t="n">
        <v>0</v>
      </c>
      <c r="DD18" t="n">
        <v>1.613414899703256e-08</v>
      </c>
      <c r="DE18" t="n">
        <v>1.565177552304511e-08</v>
      </c>
      <c r="DF18" t="n">
        <v>2.127719021856284e-08</v>
      </c>
      <c r="DG18" t="n">
        <v>2.42531063938422e-08</v>
      </c>
      <c r="DH18" t="n">
        <v>2.350912131300539e-08</v>
      </c>
      <c r="DI18" t="n">
        <v>0</v>
      </c>
      <c r="DJ18" t="n">
        <v>2.317752920943893e-08</v>
      </c>
      <c r="DK18" t="n">
        <v>0</v>
      </c>
      <c r="DL18" t="n">
        <v>1.384026180701844e-08</v>
      </c>
      <c r="DM18" t="n">
        <v>1.073325673670373e-08</v>
      </c>
      <c r="DN18" t="n">
        <v>1.203827615531606e-08</v>
      </c>
      <c r="DO18" t="n">
        <v>1.525680741793296e-08</v>
      </c>
      <c r="DP18" t="n">
        <v>1.086382049522731e-08</v>
      </c>
      <c r="DQ18" t="n">
        <v>1.17184861215652e-08</v>
      </c>
      <c r="DR18" t="n">
        <v>9.044598441083414e-09</v>
      </c>
      <c r="DS18" t="n">
        <v>1.469504963678594e-08</v>
      </c>
      <c r="DT18" t="n">
        <v>1.243681460331969e-08</v>
      </c>
      <c r="DU18" t="n">
        <v>1.515493282279703e-08</v>
      </c>
      <c r="DV18" t="n">
        <v>0</v>
      </c>
      <c r="DW18" t="n">
        <v>0</v>
      </c>
      <c r="DX18" t="n">
        <v>6.334365591551525e-08</v>
      </c>
      <c r="DY18" t="n">
        <v>1.31761397451771e-08</v>
      </c>
      <c r="DZ18" t="n">
        <v>1.012031895186899e-08</v>
      </c>
      <c r="EA18" t="n">
        <v>1.261903836447559e-08</v>
      </c>
      <c r="EB18" t="n">
        <v>5.022712517456721e-09</v>
      </c>
      <c r="EC18" t="n">
        <v>4.444272891062517e-08</v>
      </c>
      <c r="ED18" t="n">
        <v>1.05331302975343e-08</v>
      </c>
      <c r="EE18" t="n">
        <v>1.084458717110923e-09</v>
      </c>
      <c r="EF18" t="n">
        <v>0</v>
      </c>
      <c r="EG18" t="n">
        <v>1.50159450459131e-08</v>
      </c>
      <c r="EH18" t="n">
        <v>0</v>
      </c>
      <c r="EI18" t="n">
        <v>0</v>
      </c>
      <c r="EJ18" t="n">
        <v>5.792318384658259e-09</v>
      </c>
      <c r="EK18" t="n">
        <v>5.715261369422791e-09</v>
      </c>
      <c r="EL18" t="n">
        <v>1.339718302272943e-09</v>
      </c>
      <c r="EM18" t="n">
        <v>2.747123599777935e-09</v>
      </c>
      <c r="EN18" t="n">
        <v>2.321714626288187e-16</v>
      </c>
      <c r="EO18" t="n">
        <v>0</v>
      </c>
      <c r="EP18" t="n">
        <v>5.697561037178131e-09</v>
      </c>
      <c r="EQ18" t="n">
        <v>1.22863407582054e-08</v>
      </c>
      <c r="ER18" t="n">
        <v>4.933224222283866e-08</v>
      </c>
      <c r="ES18" t="n">
        <v>7.220176936911068e-09</v>
      </c>
      <c r="ET18" t="n">
        <v>9.799222265678492e-09</v>
      </c>
      <c r="EU18" t="n">
        <v>0</v>
      </c>
      <c r="EV18" t="n">
        <v>3.968332647595883e-09</v>
      </c>
      <c r="EW18" t="n">
        <v>9.429268659578032e-09</v>
      </c>
      <c r="EX18" t="n">
        <v>4.979479103275087e-09</v>
      </c>
      <c r="EY18" t="n">
        <v>5.397871779381687e-09</v>
      </c>
      <c r="EZ18" t="n">
        <v>1.383369393070492e-08</v>
      </c>
      <c r="FA18" t="n">
        <v>1.033718188476575e-08</v>
      </c>
      <c r="FB18" t="n">
        <v>7.338964053377994e-09</v>
      </c>
      <c r="FC18" t="n">
        <v>3.755869829841377e-08</v>
      </c>
      <c r="FD18" t="n">
        <v>5.162801432559976e-08</v>
      </c>
      <c r="FE18" t="n">
        <v>6.753426492877073e-08</v>
      </c>
      <c r="FF18" t="n">
        <v>2.011790537964363e-08</v>
      </c>
      <c r="FG18" t="n">
        <v>8.142236489758116e-09</v>
      </c>
      <c r="FH18" t="n">
        <v>5.830687273106434e-09</v>
      </c>
      <c r="FI18" t="n">
        <v>8.803933228713463e-09</v>
      </c>
      <c r="FJ18" t="n">
        <v>1.066013885441649e-08</v>
      </c>
      <c r="FK18" t="n">
        <v>1.323127489490455e-08</v>
      </c>
      <c r="FL18" t="n">
        <v>6.837261984507032e-09</v>
      </c>
      <c r="FM18" t="n">
        <v>8.005521095680289e-09</v>
      </c>
      <c r="FN18" t="n">
        <v>8.700862818761258e-09</v>
      </c>
      <c r="FO18" t="n">
        <v>2.425110931770483e-08</v>
      </c>
      <c r="FP18" t="n">
        <v>7.898576078157377e-09</v>
      </c>
      <c r="FQ18" t="n">
        <v>9.812442905381051e-09</v>
      </c>
      <c r="FR18" t="n">
        <v>6.04509663424486e-09</v>
      </c>
      <c r="FS18" t="n">
        <v>6.653694834414807e-09</v>
      </c>
      <c r="FT18" t="n">
        <v>7.608121870362317e-09</v>
      </c>
      <c r="FU18" t="n">
        <v>7.700752067973528e-09</v>
      </c>
      <c r="FV18" t="n">
        <v>8.688926956828773e-09</v>
      </c>
      <c r="FW18" t="n">
        <v>7.836567757610336e-09</v>
      </c>
      <c r="FX18" t="n">
        <v>7.7226896324845e-09</v>
      </c>
      <c r="FY18" t="n">
        <v>7.981292132688126e-09</v>
      </c>
      <c r="FZ18" t="n">
        <v>7.355683380136526e-09</v>
      </c>
      <c r="GA18" t="n">
        <v>7.081266619624621e-09</v>
      </c>
      <c r="GB18" t="n">
        <v>6.915317178798893e-09</v>
      </c>
      <c r="GC18" t="n">
        <v>8.269602871786245e-09</v>
      </c>
      <c r="GD18" t="n">
        <v>7.727600889050612e-09</v>
      </c>
      <c r="GE18" t="n">
        <v>8.488938114812307e-08</v>
      </c>
      <c r="GF18" t="n">
        <v>9.588704838558618e-09</v>
      </c>
      <c r="GG18" t="n">
        <v>9.957330713834922e-09</v>
      </c>
      <c r="GH18" t="n">
        <v>9.51082005322673e-09</v>
      </c>
      <c r="GI18" t="n">
        <v>9.222071060245403e-09</v>
      </c>
      <c r="GJ18" t="n">
        <v>1.127163132366521e-08</v>
      </c>
      <c r="GK18" t="n">
        <v>7.577681142301968e-09</v>
      </c>
      <c r="GL18" t="n">
        <v>9.548281152280663e-09</v>
      </c>
      <c r="GM18" t="n">
        <v>8.272834705503708e-09</v>
      </c>
      <c r="GN18" t="n">
        <v>1.34513649572652e-08</v>
      </c>
      <c r="GO18" t="n">
        <v>1.386294920988913e-08</v>
      </c>
      <c r="GP18" t="n">
        <v>2.173545047123815e-08</v>
      </c>
      <c r="GQ18" t="n">
        <v>0</v>
      </c>
      <c r="GR18" t="n">
        <v>2.12446842958457e-08</v>
      </c>
      <c r="GS18" t="n">
        <v>6.77038434136383e-08</v>
      </c>
      <c r="GT18" t="n">
        <v>5.232519818818241e-08</v>
      </c>
      <c r="GU18" t="n">
        <v>4.085384709748436e-08</v>
      </c>
      <c r="GV18" t="n">
        <v>3.847269145084375e-08</v>
      </c>
      <c r="GW18" t="n">
        <v>4.262946875816407e-08</v>
      </c>
      <c r="GX18" t="n">
        <v>9.148505201188292e-09</v>
      </c>
      <c r="GY18" t="n">
        <v>1.476231062129088e-08</v>
      </c>
      <c r="GZ18" t="n">
        <v>3.050794088761101e-08</v>
      </c>
      <c r="HA18" t="n">
        <v>1.552172236538329e-08</v>
      </c>
      <c r="HB18" t="n">
        <v>1.383369393070492e-08</v>
      </c>
      <c r="HC18" t="n">
        <v>8.505885028341717e-09</v>
      </c>
    </row>
    <row r="19">
      <c r="A19" s="1" t="inlineStr">
        <is>
          <t>M_dom</t>
        </is>
      </c>
      <c r="B19" t="n">
        <v>1.29273385360408e-06</v>
      </c>
      <c r="C19" t="n">
        <v>1.754208335510067e-08</v>
      </c>
      <c r="D19" t="n">
        <v>2.752127333194487e-07</v>
      </c>
      <c r="E19" t="n">
        <v>2.797722549841887e-08</v>
      </c>
      <c r="F19" t="n">
        <v>2.277298940392714e-08</v>
      </c>
      <c r="G19" t="n">
        <v>1.543831270357239e-09</v>
      </c>
      <c r="H19" t="n">
        <v>8.019939265569355e-07</v>
      </c>
      <c r="I19" t="n">
        <v>4.50430000703727e-09</v>
      </c>
      <c r="J19" t="n">
        <v>5.664890420478097e-06</v>
      </c>
      <c r="K19" t="n">
        <v>1.345013623492792e-07</v>
      </c>
      <c r="L19" t="n">
        <v>1.379463448652289e-07</v>
      </c>
      <c r="M19" t="n">
        <v>1.024719855407648e-06</v>
      </c>
      <c r="N19" t="n">
        <v>1.172049100862176e-06</v>
      </c>
      <c r="O19" t="n">
        <v>1.40029760560233e-06</v>
      </c>
      <c r="P19" t="n">
        <v>4.969500397426475e-08</v>
      </c>
      <c r="Q19" t="n">
        <v>0</v>
      </c>
      <c r="R19" t="n">
        <v>0</v>
      </c>
      <c r="S19" t="n">
        <v>5.297063011773102e-09</v>
      </c>
      <c r="T19" t="n">
        <v>7.725555017267809e-08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1.416722069130173e-09</v>
      </c>
      <c r="AD19" t="n">
        <v>2.322665108083797e-08</v>
      </c>
      <c r="AE19" t="n">
        <v>1.14627312727984e-10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6.774500001593493e-12</v>
      </c>
      <c r="AO19" t="n">
        <v>2.229540347903904e-09</v>
      </c>
      <c r="AP19" t="n">
        <v>5.505267323100109e-11</v>
      </c>
      <c r="AQ19" t="n">
        <v>1.03591168518444e-09</v>
      </c>
      <c r="AR19" t="n">
        <v>2.214149407813218e-06</v>
      </c>
      <c r="AS19" t="n">
        <v>5.715014726952159e-08</v>
      </c>
      <c r="AT19" t="n">
        <v>6.756630179974983e-08</v>
      </c>
      <c r="AU19" t="n">
        <v>1.29130314362321e-07</v>
      </c>
      <c r="AV19" t="n">
        <v>6.851571192972959e-08</v>
      </c>
      <c r="AW19" t="n">
        <v>4.281209319515548e-07</v>
      </c>
      <c r="AX19" t="n">
        <v>7.732716758725654e-09</v>
      </c>
      <c r="AY19" t="n">
        <v>3.279742997260576e-08</v>
      </c>
      <c r="AZ19" t="n">
        <v>1.800812777889743e-07</v>
      </c>
      <c r="BA19" t="n">
        <v>7.423049701642916e-08</v>
      </c>
      <c r="BB19" t="n">
        <v>1.989366731230472e-07</v>
      </c>
      <c r="BC19" t="n">
        <v>1.664324565536641e-09</v>
      </c>
      <c r="BD19" t="n">
        <v>2.87355023848822e-09</v>
      </c>
      <c r="BE19" t="n">
        <v>1.53121174343547e-09</v>
      </c>
      <c r="BF19" t="n">
        <v>3.400676774474053e-08</v>
      </c>
      <c r="BG19" t="n">
        <v>3.282803733586772e-09</v>
      </c>
      <c r="BH19" t="n">
        <v>1.466119667637967e-09</v>
      </c>
      <c r="BI19" t="n">
        <v>1.254719584199139e-09</v>
      </c>
      <c r="BJ19" t="n">
        <v>1.102776278207653e-09</v>
      </c>
      <c r="BK19" t="n">
        <v>3.719018541812064e-09</v>
      </c>
      <c r="BL19" t="n">
        <v>1.476996086609851e-09</v>
      </c>
      <c r="BM19" t="n">
        <v>2.546451741242835e-11</v>
      </c>
      <c r="BN19" t="n">
        <v>0</v>
      </c>
      <c r="BO19" t="n">
        <v>5.709096399328922e-10</v>
      </c>
      <c r="BP19" t="n">
        <v>1.334606815986309e-09</v>
      </c>
      <c r="BQ19" t="n">
        <v>0</v>
      </c>
      <c r="BR19" t="n">
        <v>0</v>
      </c>
      <c r="BS19" t="n">
        <v>3.439863452973423e-10</v>
      </c>
      <c r="BT19" t="n">
        <v>0</v>
      </c>
      <c r="BU19" t="n">
        <v>5.951267258570625e-10</v>
      </c>
      <c r="BV19" t="n">
        <v>2.053592337060184e-10</v>
      </c>
      <c r="BW19" t="n">
        <v>1.751713742923294e-12</v>
      </c>
      <c r="BX19" t="n">
        <v>3.486822230635678e-10</v>
      </c>
      <c r="BY19" t="n">
        <v>3.343563052426806e-10</v>
      </c>
      <c r="BZ19" t="n">
        <v>0</v>
      </c>
      <c r="CA19" t="n">
        <v>1.836650225541459e-10</v>
      </c>
      <c r="CB19" t="n">
        <v>3.758812795951159e-10</v>
      </c>
      <c r="CC19" t="n">
        <v>6.353447628875712e-10</v>
      </c>
      <c r="CD19" t="n">
        <v>6.949558121260047e-11</v>
      </c>
      <c r="CE19" t="n">
        <v>7.742842442203293e-11</v>
      </c>
      <c r="CF19" t="n">
        <v>1.164830206725643e-10</v>
      </c>
      <c r="CG19" t="n">
        <v>7.413056464383709e-11</v>
      </c>
      <c r="CH19" t="n">
        <v>9.760425668983796e-12</v>
      </c>
      <c r="CI19" t="n">
        <v>3.437615347505832e-09</v>
      </c>
      <c r="CJ19" t="n">
        <v>3.779671152280717e-09</v>
      </c>
      <c r="CK19" t="n">
        <v>8.077808726577386e-10</v>
      </c>
      <c r="CL19" t="n">
        <v>1.137016669067984e-09</v>
      </c>
      <c r="CM19" t="n">
        <v>4.838613021694522e-09</v>
      </c>
      <c r="CN19" t="n">
        <v>0</v>
      </c>
      <c r="CO19" t="n">
        <v>1.044751991922908e-09</v>
      </c>
      <c r="CP19" t="n">
        <v>1.976350700302227e-09</v>
      </c>
      <c r="CQ19" t="n">
        <v>8.197456303373112e-10</v>
      </c>
      <c r="CR19" t="n">
        <v>0</v>
      </c>
      <c r="CS19" t="n">
        <v>1.412845556906404e-09</v>
      </c>
      <c r="CT19" t="n">
        <v>1.081362947289959e-09</v>
      </c>
      <c r="CU19" t="n">
        <v>1.422607698944625e-09</v>
      </c>
      <c r="CV19" t="n">
        <v>2.194875026785924e-09</v>
      </c>
      <c r="CW19" t="n">
        <v>1.493039231965878e-09</v>
      </c>
      <c r="CX19" t="n">
        <v>1.480965575092482e-09</v>
      </c>
      <c r="CY19" t="n">
        <v>2.226091469262125e-09</v>
      </c>
      <c r="CZ19" t="n">
        <v>1.458014983995919e-09</v>
      </c>
      <c r="DA19" t="n">
        <v>1.527074393549854e-09</v>
      </c>
      <c r="DB19" t="n">
        <v>1.729837245012318e-09</v>
      </c>
      <c r="DC19" t="n">
        <v>0</v>
      </c>
      <c r="DD19" t="n">
        <v>1.116099511972527e-09</v>
      </c>
      <c r="DE19" t="n">
        <v>1.20406329242385e-09</v>
      </c>
      <c r="DF19" t="n">
        <v>6.717670736065201e-10</v>
      </c>
      <c r="DG19" t="n">
        <v>8.12391407470428e-10</v>
      </c>
      <c r="DH19" t="n">
        <v>8.278352440292606e-10</v>
      </c>
      <c r="DI19" t="n">
        <v>0</v>
      </c>
      <c r="DJ19" t="n">
        <v>1.099857296291997e-09</v>
      </c>
      <c r="DK19" t="n">
        <v>0</v>
      </c>
      <c r="DL19" t="n">
        <v>1.4912084726319e-09</v>
      </c>
      <c r="DM19" t="n">
        <v>8.290654760457451e-10</v>
      </c>
      <c r="DN19" t="n">
        <v>9.429792438424731e-10</v>
      </c>
      <c r="DO19" t="n">
        <v>1.59365976084571e-09</v>
      </c>
      <c r="DP19" t="n">
        <v>8.98561500136735e-10</v>
      </c>
      <c r="DQ19" t="n">
        <v>1.23981376492795e-09</v>
      </c>
      <c r="DR19" t="n">
        <v>9.827392964642349e-10</v>
      </c>
      <c r="DS19" t="n">
        <v>1.137584511490055e-09</v>
      </c>
      <c r="DT19" t="n">
        <v>8.682530594437062e-10</v>
      </c>
      <c r="DU19" t="n">
        <v>1.490214331437549e-09</v>
      </c>
      <c r="DV19" t="n">
        <v>0</v>
      </c>
      <c r="DW19" t="n">
        <v>0</v>
      </c>
      <c r="DX19" t="n">
        <v>3.20837658498174e-09</v>
      </c>
      <c r="DY19" t="n">
        <v>1.320162011185012e-09</v>
      </c>
      <c r="DZ19" t="n">
        <v>1.023555931303651e-09</v>
      </c>
      <c r="EA19" t="n">
        <v>1.156649294489694e-09</v>
      </c>
      <c r="EB19" t="n">
        <v>4.602972919945584e-10</v>
      </c>
      <c r="EC19" t="n">
        <v>2.112632123482189e-09</v>
      </c>
      <c r="ED19" t="n">
        <v>9.085082834432249e-10</v>
      </c>
      <c r="EE19" t="n">
        <v>9.486310155015005e-11</v>
      </c>
      <c r="EF19" t="n">
        <v>0</v>
      </c>
      <c r="EG19" t="n">
        <v>1.638226550216228e-09</v>
      </c>
      <c r="EH19" t="n">
        <v>0</v>
      </c>
      <c r="EI19" t="n">
        <v>0</v>
      </c>
      <c r="EJ19" t="n">
        <v>3.474104391439259e-10</v>
      </c>
      <c r="EK19" t="n">
        <v>3.219549217234797e-10</v>
      </c>
      <c r="EL19" t="n">
        <v>9.221864886856107e-11</v>
      </c>
      <c r="EM19" t="n">
        <v>1.887363084198312e-10</v>
      </c>
      <c r="EN19" t="n">
        <v>3.919127070560655e-17</v>
      </c>
      <c r="EO19" t="n">
        <v>0</v>
      </c>
      <c r="EP19" t="n">
        <v>3.916822898936414e-10</v>
      </c>
      <c r="EQ19" t="n">
        <v>8.439009451836961e-10</v>
      </c>
      <c r="ER19" t="n">
        <v>4.183290423172993e-09</v>
      </c>
      <c r="ES19" t="n">
        <v>1.125772869101524e-09</v>
      </c>
      <c r="ET19" t="n">
        <v>1.163242634501935e-09</v>
      </c>
      <c r="EU19" t="n">
        <v>0</v>
      </c>
      <c r="EV19" t="n">
        <v>2.740401335306771e-10</v>
      </c>
      <c r="EW19" t="n">
        <v>2.572724859544717e-09</v>
      </c>
      <c r="EX19" t="n">
        <v>1.035599821394005e-09</v>
      </c>
      <c r="EY19" t="n">
        <v>1.170565680957165e-09</v>
      </c>
      <c r="EZ19" t="n">
        <v>2.840057844199529e-08</v>
      </c>
      <c r="FA19" t="n">
        <v>1.003883130975217e-09</v>
      </c>
      <c r="FB19" t="n">
        <v>7.953358690247753e-10</v>
      </c>
      <c r="FC19" t="n">
        <v>1.393942455483006e-09</v>
      </c>
      <c r="FD19" t="n">
        <v>1.268096639184837e-09</v>
      </c>
      <c r="FE19" t="n">
        <v>3.545117976978521e-09</v>
      </c>
      <c r="FF19" t="n">
        <v>2.802783419964009e-09</v>
      </c>
      <c r="FG19" t="n">
        <v>1.112905423807468e-09</v>
      </c>
      <c r="FH19" t="n">
        <v>1.548944163892292e-09</v>
      </c>
      <c r="FI19" t="n">
        <v>1.04413171165591e-09</v>
      </c>
      <c r="FJ19" t="n">
        <v>1.434329907459686e-09</v>
      </c>
      <c r="FK19" t="n">
        <v>1.501253466693308e-09</v>
      </c>
      <c r="FL19" t="n">
        <v>9.754025965537265e-10</v>
      </c>
      <c r="FM19" t="n">
        <v>3.573434717389102e-09</v>
      </c>
      <c r="FN19" t="n">
        <v>2.102818401831642e-09</v>
      </c>
      <c r="FO19" t="n">
        <v>6.313909641206466e-09</v>
      </c>
      <c r="FP19" t="n">
        <v>2.906352720205365e-09</v>
      </c>
      <c r="FQ19" t="n">
        <v>1.630832232544473e-09</v>
      </c>
      <c r="FR19" t="n">
        <v>5.713891275256521e-09</v>
      </c>
      <c r="FS19" t="n">
        <v>3.517927481806665e-09</v>
      </c>
      <c r="FT19" t="n">
        <v>1.372607657391341e-09</v>
      </c>
      <c r="FU19" t="n">
        <v>1.366815718321158e-09</v>
      </c>
      <c r="FV19" t="n">
        <v>1.358060511465499e-09</v>
      </c>
      <c r="FW19" t="n">
        <v>1.375165504077151e-09</v>
      </c>
      <c r="FX19" t="n">
        <v>1.344092230053936e-09</v>
      </c>
      <c r="FY19" t="n">
        <v>1.362491645578487e-09</v>
      </c>
      <c r="FZ19" t="n">
        <v>1.360093999296204e-09</v>
      </c>
      <c r="GA19" t="n">
        <v>1.320760495354702e-09</v>
      </c>
      <c r="GB19" t="n">
        <v>1.205857549411212e-09</v>
      </c>
      <c r="GC19" t="n">
        <v>1.293712324123325e-09</v>
      </c>
      <c r="GD19" t="n">
        <v>1.325778316168679e-09</v>
      </c>
      <c r="GE19" t="n">
        <v>5.744006422218651e-10</v>
      </c>
      <c r="GF19" t="n">
        <v>1.358305305852075e-09</v>
      </c>
      <c r="GG19" t="n">
        <v>1.348367711935225e-09</v>
      </c>
      <c r="GH19" t="n">
        <v>1.339624434653151e-09</v>
      </c>
      <c r="GI19" t="n">
        <v>1.348075228051878e-09</v>
      </c>
      <c r="GJ19" t="n">
        <v>1.321846288280758e-09</v>
      </c>
      <c r="GK19" t="n">
        <v>1.362301340346427e-09</v>
      </c>
      <c r="GL19" t="n">
        <v>1.325696816157007e-09</v>
      </c>
      <c r="GM19" t="n">
        <v>1.346946298965918e-09</v>
      </c>
      <c r="GN19" t="n">
        <v>2.39154186225524e-09</v>
      </c>
      <c r="GO19" t="n">
        <v>8.865730788571421e-09</v>
      </c>
      <c r="GP19" t="n">
        <v>4.415925189917989e-10</v>
      </c>
      <c r="GQ19" t="n">
        <v>0</v>
      </c>
      <c r="GR19" t="n">
        <v>2.80832637034194e-08</v>
      </c>
      <c r="GS19" t="n">
        <v>2.214149407813218e-06</v>
      </c>
      <c r="GT19" t="n">
        <v>1.637004709595604e-07</v>
      </c>
      <c r="GU19" t="n">
        <v>4.304853925348319e-07</v>
      </c>
      <c r="GV19" t="n">
        <v>4.436137325293268e-07</v>
      </c>
      <c r="GW19" t="n">
        <v>1.626131563206766e-07</v>
      </c>
      <c r="GX19" t="n">
        <v>1.335333449565937e-09</v>
      </c>
      <c r="GY19" t="n">
        <v>1.201139099536508e-09</v>
      </c>
      <c r="GZ19" t="n">
        <v>2.801428320909858e-09</v>
      </c>
      <c r="HA19" t="n">
        <v>1.421295047412739e-09</v>
      </c>
      <c r="HB19" t="n">
        <v>2.840057844199529e-08</v>
      </c>
      <c r="HC19" t="n">
        <v>3.385265088452934e-09</v>
      </c>
    </row>
    <row r="20">
      <c r="A20" s="1" t="inlineStr">
        <is>
          <t>M_row</t>
        </is>
      </c>
      <c r="B20" t="n">
        <v>4.291881386944713e-07</v>
      </c>
      <c r="C20" t="n">
        <v>3.348018630081632e-07</v>
      </c>
      <c r="D20" t="n">
        <v>6.462445783342506e-07</v>
      </c>
      <c r="E20" t="n">
        <v>3.17434917060135e-07</v>
      </c>
      <c r="F20" t="n">
        <v>6.00553001505813e-07</v>
      </c>
      <c r="G20" t="n">
        <v>4.906512530478033e-08</v>
      </c>
      <c r="H20" t="n">
        <v>2.002348569051114e-05</v>
      </c>
      <c r="I20" t="n">
        <v>2.722281893843884e-07</v>
      </c>
      <c r="J20" t="n">
        <v>1.06354272676405e-05</v>
      </c>
      <c r="K20" t="n">
        <v>2.476569286986138e-07</v>
      </c>
      <c r="L20" t="n">
        <v>2.213716001467172e-07</v>
      </c>
      <c r="M20" t="n">
        <v>4.301291299493487e-06</v>
      </c>
      <c r="N20" t="n">
        <v>9.947210030152621e-07</v>
      </c>
      <c r="O20" t="n">
        <v>0</v>
      </c>
      <c r="P20" t="n">
        <v>5.69968949012455e-06</v>
      </c>
      <c r="Q20" t="n">
        <v>0</v>
      </c>
      <c r="R20" t="n">
        <v>0</v>
      </c>
      <c r="S20" t="n">
        <v>5.688829790677376e-08</v>
      </c>
      <c r="T20" t="n">
        <v>3.891097075295099e-07</v>
      </c>
      <c r="U20" t="n">
        <v>1.129979261890204e-09</v>
      </c>
      <c r="V20" t="n">
        <v>6.457138947953008e-10</v>
      </c>
      <c r="W20" t="n">
        <v>7.054304477881269e-09</v>
      </c>
      <c r="X20" t="n">
        <v>0</v>
      </c>
      <c r="Y20" t="n">
        <v>2.5055380259657e-09</v>
      </c>
      <c r="Z20" t="n">
        <v>7.949381410677755e-09</v>
      </c>
      <c r="AA20" t="n">
        <v>2.720123179248639e-08</v>
      </c>
      <c r="AB20" t="n">
        <v>0</v>
      </c>
      <c r="AC20" t="n">
        <v>1.258142132532226e-08</v>
      </c>
      <c r="AD20" t="n">
        <v>6.976348331593776e-10</v>
      </c>
      <c r="AE20" t="n">
        <v>1.186536043262268e-07</v>
      </c>
      <c r="AF20" t="n">
        <v>0</v>
      </c>
      <c r="AG20" t="n">
        <v>6.622209031305828e-09</v>
      </c>
      <c r="AH20" t="n">
        <v>3.199292629496272e-12</v>
      </c>
      <c r="AI20" t="n">
        <v>2.399639722794443e-05</v>
      </c>
      <c r="AJ20" t="n">
        <v>7.167149146560173e-08</v>
      </c>
      <c r="AK20" t="n">
        <v>4.514966445290524e-10</v>
      </c>
      <c r="AL20" t="n">
        <v>1.206054843472856e-07</v>
      </c>
      <c r="AM20" t="n">
        <v>4.457351225026506e-09</v>
      </c>
      <c r="AN20" t="n">
        <v>2.865549577473171e-10</v>
      </c>
      <c r="AO20" t="n">
        <v>2.495526734466437e-09</v>
      </c>
      <c r="AP20" t="n">
        <v>5.653412927623437e-10</v>
      </c>
      <c r="AQ20" t="n">
        <v>1.744105651058135e-09</v>
      </c>
      <c r="AR20" t="n">
        <v>1.375569622025935e-06</v>
      </c>
      <c r="AS20" t="n">
        <v>1.732903482788726e-07</v>
      </c>
      <c r="AT20" t="n">
        <v>1.388051771512264e-07</v>
      </c>
      <c r="AU20" t="n">
        <v>1.062718528423252e-07</v>
      </c>
      <c r="AV20" t="n">
        <v>5.25612939858262e-07</v>
      </c>
      <c r="AW20" t="n">
        <v>4.042990815002624e-07</v>
      </c>
      <c r="AX20" t="n">
        <v>2.993299682191408e-07</v>
      </c>
      <c r="AY20" t="n">
        <v>2.013309849316405e-07</v>
      </c>
      <c r="AZ20" t="n">
        <v>2.690897359038393e-07</v>
      </c>
      <c r="BA20" t="n">
        <v>1.338122741277182e-07</v>
      </c>
      <c r="BB20" t="n">
        <v>1.583893079926524e-07</v>
      </c>
      <c r="BC20" t="n">
        <v>4.513353734728474e-08</v>
      </c>
      <c r="BD20" t="n">
        <v>1.860967667910785e-07</v>
      </c>
      <c r="BE20" t="n">
        <v>1.672284527841607e-07</v>
      </c>
      <c r="BF20" t="n">
        <v>1.076368256488481e-06</v>
      </c>
      <c r="BG20" t="n">
        <v>8.223801739241669e-08</v>
      </c>
      <c r="BH20" t="n">
        <v>0</v>
      </c>
      <c r="BI20" t="n">
        <v>1.966966055894534e-07</v>
      </c>
      <c r="BJ20" t="n">
        <v>0</v>
      </c>
      <c r="BK20" t="n">
        <v>2.900070798271475e-08</v>
      </c>
      <c r="BL20" t="n">
        <v>1.807389373082081e-08</v>
      </c>
      <c r="BM20" t="n">
        <v>1.986524886007596e-08</v>
      </c>
      <c r="BN20" t="n">
        <v>0</v>
      </c>
      <c r="BO20" t="n">
        <v>0</v>
      </c>
      <c r="BP20" t="n">
        <v>5.492289961569057e-07</v>
      </c>
      <c r="BQ20" t="n">
        <v>3.483932648153751e-09</v>
      </c>
      <c r="BR20" t="n">
        <v>0</v>
      </c>
      <c r="BS20" t="n">
        <v>3.166664583752935e-08</v>
      </c>
      <c r="BT20" t="n">
        <v>1.030825539155745e-08</v>
      </c>
      <c r="BU20" t="n">
        <v>1.355105759579267e-08</v>
      </c>
      <c r="BV20" t="n">
        <v>1.24625536907208e-07</v>
      </c>
      <c r="BW20" t="n">
        <v>0</v>
      </c>
      <c r="BX20" t="n">
        <v>1.800773981738798e-08</v>
      </c>
      <c r="BY20" t="n">
        <v>8.241515346753421e-09</v>
      </c>
      <c r="BZ20" t="n">
        <v>0</v>
      </c>
      <c r="CA20" t="n">
        <v>1.345145802389844e-08</v>
      </c>
      <c r="CB20" t="n">
        <v>0</v>
      </c>
      <c r="CC20" t="n">
        <v>0</v>
      </c>
      <c r="CD20" t="n">
        <v>6.421156199582306e-09</v>
      </c>
      <c r="CE20" t="n">
        <v>0</v>
      </c>
      <c r="CF20" t="n">
        <v>5.67542664273356e-09</v>
      </c>
      <c r="CG20" t="n">
        <v>3.923976256404773e-09</v>
      </c>
      <c r="CH20" t="n">
        <v>0</v>
      </c>
      <c r="CI20" t="n">
        <v>1.305684858872875e-07</v>
      </c>
      <c r="CJ20" t="n">
        <v>0</v>
      </c>
      <c r="CK20" t="n">
        <v>3.453488219123785e-07</v>
      </c>
      <c r="CL20" t="n">
        <v>8.441955087432104e-07</v>
      </c>
      <c r="CM20" t="n">
        <v>8.845604994137521e-08</v>
      </c>
      <c r="CN20" t="n">
        <v>0</v>
      </c>
      <c r="CO20" t="n">
        <v>1.464681606975122e-06</v>
      </c>
      <c r="CP20" t="n">
        <v>0</v>
      </c>
      <c r="CQ20" t="n">
        <v>0</v>
      </c>
      <c r="CR20" t="n">
        <v>0</v>
      </c>
      <c r="CS20" t="n">
        <v>3.328170082678685e-08</v>
      </c>
      <c r="CT20" t="n">
        <v>0</v>
      </c>
      <c r="CU20" t="n">
        <v>3.852145051674268e-08</v>
      </c>
      <c r="CV20" t="n">
        <v>2.551076304899802e-08</v>
      </c>
      <c r="CW20" t="n">
        <v>2.545913677682264e-08</v>
      </c>
      <c r="CX20" t="n">
        <v>0</v>
      </c>
      <c r="CY20" t="n">
        <v>3.249269050621892e-08</v>
      </c>
      <c r="CZ20" t="n">
        <v>2.177023564829688e-08</v>
      </c>
      <c r="DA20" t="n">
        <v>0</v>
      </c>
      <c r="DB20" t="n">
        <v>7.000412334770797e-08</v>
      </c>
      <c r="DC20" t="n">
        <v>0</v>
      </c>
      <c r="DD20" t="n">
        <v>4.455815912544207e-08</v>
      </c>
      <c r="DE20" t="n">
        <v>0</v>
      </c>
      <c r="DF20" t="n">
        <v>8.941337200917585e-08</v>
      </c>
      <c r="DG20" t="n">
        <v>0</v>
      </c>
      <c r="DH20" t="n">
        <v>5.962527146219018e-08</v>
      </c>
      <c r="DI20" t="n">
        <v>0</v>
      </c>
      <c r="DJ20" t="n">
        <v>4.615806268855131e-08</v>
      </c>
      <c r="DK20" t="n">
        <v>0</v>
      </c>
      <c r="DL20" t="n">
        <v>0</v>
      </c>
      <c r="DM20" t="n">
        <v>2.284905549356886e-08</v>
      </c>
      <c r="DN20" t="n">
        <v>9.544655612145102e-09</v>
      </c>
      <c r="DO20" t="n">
        <v>6.859420472701166e-08</v>
      </c>
      <c r="DP20" t="n">
        <v>1.693487478625723e-08</v>
      </c>
      <c r="DQ20" t="n">
        <v>1.437785664445159e-08</v>
      </c>
      <c r="DR20" t="n">
        <v>9.479623176959541e-09</v>
      </c>
      <c r="DS20" t="n">
        <v>2.518828482803326e-08</v>
      </c>
      <c r="DT20" t="n">
        <v>1.6084255848878e-08</v>
      </c>
      <c r="DU20" t="n">
        <v>5.661027796283559e-08</v>
      </c>
      <c r="DV20" t="n">
        <v>0</v>
      </c>
      <c r="DW20" t="n">
        <v>0</v>
      </c>
      <c r="DX20" t="n">
        <v>4.371761813965013e-09</v>
      </c>
      <c r="DY20" t="n">
        <v>2.25480933935963e-08</v>
      </c>
      <c r="DZ20" t="n">
        <v>1.100822144992944e-07</v>
      </c>
      <c r="EA20" t="n">
        <v>8.286971310789186e-08</v>
      </c>
      <c r="EB20" t="n">
        <v>1.895712960113621e-08</v>
      </c>
      <c r="EC20" t="n">
        <v>1.263543175707543e-08</v>
      </c>
      <c r="ED20" t="n">
        <v>3.561998264469662e-08</v>
      </c>
      <c r="EE20" t="n">
        <v>5.587703617669518e-08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4.696086012285451e-08</v>
      </c>
      <c r="EU20" t="n">
        <v>0</v>
      </c>
      <c r="EV20" t="n">
        <v>3.23648495889125e-08</v>
      </c>
      <c r="EW20" t="n">
        <v>2.777749283729864e-07</v>
      </c>
      <c r="EX20" t="n">
        <v>4.643218423358155e-08</v>
      </c>
      <c r="EY20" t="n">
        <v>5.357957953116992e-08</v>
      </c>
      <c r="EZ20" t="n">
        <v>1.669769032836782e-07</v>
      </c>
      <c r="FA20" t="n">
        <v>2.664903758738499e-08</v>
      </c>
      <c r="FB20" t="n">
        <v>2.115787001948813e-08</v>
      </c>
      <c r="FC20" t="n">
        <v>8.721476254565735e-08</v>
      </c>
      <c r="FD20" t="n">
        <v>6.79471669997462e-08</v>
      </c>
      <c r="FE20" t="n">
        <v>9.935172452255283e-08</v>
      </c>
      <c r="FF20" t="n">
        <v>3.753243528023346e-08</v>
      </c>
      <c r="FG20" t="n">
        <v>2.963546772686375e-08</v>
      </c>
      <c r="FH20" t="n">
        <v>1.79450034904272e-08</v>
      </c>
      <c r="FI20" t="n">
        <v>1.101011758040462e-08</v>
      </c>
      <c r="FJ20" t="n">
        <v>1.52516292389168e-08</v>
      </c>
      <c r="FK20" t="n">
        <v>1.495246147668557e-08</v>
      </c>
      <c r="FL20" t="n">
        <v>1.271383583434497e-08</v>
      </c>
      <c r="FM20" t="n">
        <v>3.494979112519673e-08</v>
      </c>
      <c r="FN20" t="n">
        <v>2.64459557544339e-08</v>
      </c>
      <c r="FO20" t="n">
        <v>7.772714798957216e-08</v>
      </c>
      <c r="FP20" t="n">
        <v>1.902677965626783e-08</v>
      </c>
      <c r="FQ20" t="n">
        <v>4.702319951214052e-08</v>
      </c>
      <c r="FR20" t="n">
        <v>3.373733085919426e-08</v>
      </c>
      <c r="FS20" t="n">
        <v>5.976520430728912e-08</v>
      </c>
      <c r="FT20" t="n">
        <v>1.416105359744034e-08</v>
      </c>
      <c r="FU20" t="n">
        <v>1.051867637989234e-08</v>
      </c>
      <c r="FV20" t="n">
        <v>1.099871587777166e-08</v>
      </c>
      <c r="FW20" t="n">
        <v>1.419384970534904e-08</v>
      </c>
      <c r="FX20" t="n">
        <v>9.032802103214272e-09</v>
      </c>
      <c r="FY20" t="n">
        <v>1.033279792400382e-08</v>
      </c>
      <c r="FZ20" t="n">
        <v>1.213559259738494e-08</v>
      </c>
      <c r="GA20" t="n">
        <v>5.819954183621355e-09</v>
      </c>
      <c r="GB20" t="n">
        <v>7.330031648673028e-09</v>
      </c>
      <c r="GC20" t="n">
        <v>1.20863688066819e-08</v>
      </c>
      <c r="GD20" t="n">
        <v>1.193094299859093e-08</v>
      </c>
      <c r="GE20" t="n">
        <v>8.427994074666329e-09</v>
      </c>
      <c r="GF20" t="n">
        <v>8.641746486329231e-09</v>
      </c>
      <c r="GG20" t="n">
        <v>8.920668145985617e-09</v>
      </c>
      <c r="GH20" t="n">
        <v>7.367775333722866e-09</v>
      </c>
      <c r="GI20" t="n">
        <v>6.999915083140797e-09</v>
      </c>
      <c r="GJ20" t="n">
        <v>6.432580721230734e-09</v>
      </c>
      <c r="GK20" t="n">
        <v>1.099474992637827e-08</v>
      </c>
      <c r="GL20" t="n">
        <v>6.110771388574494e-09</v>
      </c>
      <c r="GM20" t="n">
        <v>8.313064077227528e-09</v>
      </c>
      <c r="GN20" t="n">
        <v>8.674341969356356e-08</v>
      </c>
      <c r="GO20" t="n">
        <v>4.643893469596407e-08</v>
      </c>
      <c r="GP20" t="n">
        <v>8.657658510120757e-08</v>
      </c>
      <c r="GQ20" t="n">
        <v>0</v>
      </c>
      <c r="GR20" t="n">
        <v>3.220913939984368e-07</v>
      </c>
      <c r="GS20" t="n">
        <v>1.375569622025935e-06</v>
      </c>
      <c r="GT20" t="n">
        <v>2.733303520816874e-07</v>
      </c>
      <c r="GU20" t="n">
        <v>4.929960352711523e-07</v>
      </c>
      <c r="GV20" t="n">
        <v>4.042990815002624e-07</v>
      </c>
      <c r="GW20" t="n">
        <v>2.577322378567533e-07</v>
      </c>
      <c r="GX20" t="n">
        <v>2.397551786908637e-08</v>
      </c>
      <c r="GY20" t="n">
        <v>2.959869349522004e-08</v>
      </c>
      <c r="GZ20" t="n">
        <v>4.393801632670543e-07</v>
      </c>
      <c r="HA20" t="n">
        <v>3.503670399414205e-08</v>
      </c>
      <c r="HB20" t="n">
        <v>0</v>
      </c>
      <c r="HC20" t="n">
        <v>3.716799422294698e-08</v>
      </c>
    </row>
    <row r="21">
      <c r="A21" s="1" t="inlineStr">
        <is>
          <t>Y_imp</t>
        </is>
      </c>
      <c r="B21" t="n">
        <v>12.58953104607659</v>
      </c>
      <c r="C21" t="n">
        <v>393.4168379264765</v>
      </c>
      <c r="D21" t="n">
        <v>6.170733505199777</v>
      </c>
      <c r="E21" t="n">
        <v>6666.413095894283</v>
      </c>
      <c r="F21" t="n">
        <v>709.1867968887566</v>
      </c>
      <c r="G21" t="n">
        <v>0</v>
      </c>
      <c r="H21" t="n">
        <v>18.17377665812187</v>
      </c>
      <c r="I21" t="n">
        <v>418.3549082338893</v>
      </c>
      <c r="J21" t="n">
        <v>0</v>
      </c>
      <c r="K21" t="n">
        <v>0</v>
      </c>
      <c r="L21" t="n">
        <v>37.6718724459</v>
      </c>
      <c r="M21" t="n">
        <v>134.968553567</v>
      </c>
      <c r="N21" t="n">
        <v>358.935505393</v>
      </c>
      <c r="O21" t="n">
        <v>0</v>
      </c>
      <c r="P21" t="n">
        <v>0</v>
      </c>
      <c r="Q21" t="n">
        <v>0</v>
      </c>
      <c r="R21" t="n">
        <v>0</v>
      </c>
      <c r="S21" t="n">
        <v>324.7181188907604</v>
      </c>
      <c r="T21" t="n">
        <v>191.524540960959</v>
      </c>
      <c r="U21" t="n">
        <v>6.3533008602</v>
      </c>
      <c r="V21" t="n">
        <v>0</v>
      </c>
      <c r="W21" t="n">
        <v>14.9039839728</v>
      </c>
      <c r="X21" t="n">
        <v>0</v>
      </c>
      <c r="Y21" t="n">
        <v>14.5218305376</v>
      </c>
      <c r="Z21" t="n">
        <v>0</v>
      </c>
      <c r="AA21" t="n">
        <v>0</v>
      </c>
      <c r="AB21" t="n">
        <v>0</v>
      </c>
      <c r="AC21" t="n">
        <v>0</v>
      </c>
      <c r="AD21" t="n">
        <v>10172.62054431125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1038.49431455</v>
      </c>
      <c r="AS21" t="n">
        <v>596.450475476</v>
      </c>
      <c r="AT21" t="n">
        <v>892.77666271</v>
      </c>
      <c r="AU21" t="n">
        <v>2166.43173804</v>
      </c>
      <c r="AV21" t="n">
        <v>152.524386109</v>
      </c>
      <c r="AW21" t="n">
        <v>1806.03861601</v>
      </c>
      <c r="AX21" t="n">
        <v>130.972569754</v>
      </c>
      <c r="AY21" t="n">
        <v>92.7266572539</v>
      </c>
      <c r="AZ21" t="n">
        <v>11484.8366485</v>
      </c>
      <c r="BA21" t="n">
        <v>1737.93637934</v>
      </c>
      <c r="BB21" t="n">
        <v>1549.8190821</v>
      </c>
      <c r="BC21" t="n">
        <v>1749.27710897</v>
      </c>
      <c r="BD21" t="n">
        <v>5191.81852316</v>
      </c>
      <c r="BE21" t="n">
        <v>10896.3904117</v>
      </c>
      <c r="BF21" t="n">
        <v>6719.86299841</v>
      </c>
      <c r="BG21" t="n">
        <v>627.2895343705732</v>
      </c>
      <c r="BH21" t="n">
        <v>64.05277614142688</v>
      </c>
      <c r="BI21" t="n">
        <v>0</v>
      </c>
      <c r="BJ21" t="n">
        <v>0</v>
      </c>
      <c r="BK21" t="n">
        <v>1766.04037623</v>
      </c>
      <c r="BL21" t="n">
        <v>1559.83702366</v>
      </c>
      <c r="BM21" t="n">
        <v>0.1066507278430744</v>
      </c>
      <c r="BN21" t="n">
        <v>0</v>
      </c>
      <c r="BO21" t="n">
        <v>0</v>
      </c>
      <c r="BP21" t="n">
        <v>262.4815319927819</v>
      </c>
      <c r="BQ21" t="n">
        <v>0.2627304867</v>
      </c>
      <c r="BR21" t="n">
        <v>0</v>
      </c>
      <c r="BS21" t="n">
        <v>52.29044704524056</v>
      </c>
      <c r="BT21" t="n">
        <v>157.136715636</v>
      </c>
      <c r="BU21" t="n">
        <v>7198.155178050654</v>
      </c>
      <c r="BV21" t="n">
        <v>1.056828588528105</v>
      </c>
      <c r="BW21" t="n">
        <v>0</v>
      </c>
      <c r="BX21" t="n">
        <v>612.4260780905207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2378.036229680418</v>
      </c>
      <c r="CJ21" t="n">
        <v>286.2161694295821</v>
      </c>
      <c r="CK21" t="n">
        <v>1.678914217057</v>
      </c>
      <c r="CL21" t="n">
        <v>44.52294982682</v>
      </c>
      <c r="CM21" t="n">
        <v>6643.333391030001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895.250211626</v>
      </c>
      <c r="CV21" t="n">
        <v>0.112600342789</v>
      </c>
      <c r="CW21" t="n">
        <v>0.9188687922269055</v>
      </c>
      <c r="CX21" t="n">
        <v>0.0555902005850945</v>
      </c>
      <c r="CY21" t="n">
        <v>791.2557892889999</v>
      </c>
      <c r="CZ21" t="n">
        <v>0.00617002623215275</v>
      </c>
      <c r="DA21" t="n">
        <v>0.0003962561419472482</v>
      </c>
      <c r="DB21" t="n">
        <v>5.425036059269236</v>
      </c>
      <c r="DC21" t="n">
        <v>0.00030458495076355</v>
      </c>
      <c r="DD21" t="n">
        <v>1.326188745780254</v>
      </c>
      <c r="DE21" t="n">
        <v>0.102340521859746</v>
      </c>
      <c r="DF21" t="n">
        <v>0</v>
      </c>
      <c r="DG21" t="n">
        <v>0</v>
      </c>
      <c r="DH21" t="n">
        <v>0</v>
      </c>
      <c r="DI21" t="n">
        <v>0</v>
      </c>
      <c r="DJ21" t="n">
        <v>7.493593020374871</v>
      </c>
      <c r="DK21" t="n">
        <v>0.06099700859512885</v>
      </c>
      <c r="DL21" t="n">
        <v>0</v>
      </c>
      <c r="DM21" t="n">
        <v>2010.42848448</v>
      </c>
      <c r="DN21" t="n">
        <v>520.4741344620001</v>
      </c>
      <c r="DO21" t="n">
        <v>1803.7615755</v>
      </c>
      <c r="DP21" t="n">
        <v>2577.26127398</v>
      </c>
      <c r="DQ21" t="n">
        <v>4696.77493081</v>
      </c>
      <c r="DR21" t="n">
        <v>4669.90644814</v>
      </c>
      <c r="DS21" t="n">
        <v>29014.0209561</v>
      </c>
      <c r="DT21" t="n">
        <v>2813.826555028</v>
      </c>
      <c r="DU21" t="n">
        <v>10799.400247</v>
      </c>
      <c r="DV21" t="n">
        <v>0</v>
      </c>
      <c r="DW21" t="n">
        <v>0</v>
      </c>
      <c r="DX21" t="n">
        <v>63.36121108093538</v>
      </c>
      <c r="DY21" t="n">
        <v>50.54035836745297</v>
      </c>
      <c r="DZ21" t="n">
        <v>20.42194883294816</v>
      </c>
      <c r="EA21" t="n">
        <v>34.97312082171879</v>
      </c>
      <c r="EB21" t="n">
        <v>7.774574842925006</v>
      </c>
      <c r="EC21" t="n">
        <v>7.784159298468468</v>
      </c>
      <c r="ED21" t="n">
        <v>4.48699372323996</v>
      </c>
      <c r="EE21" t="n">
        <v>2.286287747679654</v>
      </c>
      <c r="EF21" t="n">
        <v>0</v>
      </c>
      <c r="EG21" t="n">
        <v>0.004994755577657015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107.8362040536</v>
      </c>
      <c r="EY21" t="n">
        <v>0</v>
      </c>
      <c r="EZ21" t="n">
        <v>0</v>
      </c>
      <c r="FA21" t="n">
        <v>1317.51410816752</v>
      </c>
      <c r="FB21" t="n">
        <v>5070.06724283</v>
      </c>
      <c r="FC21" t="n">
        <v>0.665434672022</v>
      </c>
      <c r="FD21" t="n">
        <v>3107.382957970209</v>
      </c>
      <c r="FE21" t="n">
        <v>243.823954249855</v>
      </c>
      <c r="FF21" t="n">
        <v>8077.98179555482</v>
      </c>
      <c r="FG21" t="n">
        <v>854.2088896967999</v>
      </c>
      <c r="FH21" t="n">
        <v>2604.55483714</v>
      </c>
      <c r="FI21" t="n">
        <v>1220.23761793</v>
      </c>
      <c r="FJ21" t="n">
        <v>1145.74717822</v>
      </c>
      <c r="FK21" t="n">
        <v>0</v>
      </c>
      <c r="FL21" t="n">
        <v>0</v>
      </c>
      <c r="FM21" t="n">
        <v>0</v>
      </c>
      <c r="FN21" t="n">
        <v>1.81215275413</v>
      </c>
      <c r="FO21" t="n">
        <v>1038.66680669</v>
      </c>
      <c r="FP21" t="n">
        <v>652.781205856</v>
      </c>
      <c r="FQ21" t="n">
        <v>1267.51855990752</v>
      </c>
      <c r="FR21" t="n">
        <v>1024.3292228668</v>
      </c>
      <c r="FS21" t="n">
        <v>1545.727142509</v>
      </c>
      <c r="FT21" t="n">
        <v>7.17729398812</v>
      </c>
      <c r="FU21" t="n">
        <v>7.47894238651</v>
      </c>
      <c r="FV21" t="n">
        <v>3.45613363925</v>
      </c>
      <c r="FW21" t="n">
        <v>12.4528250492</v>
      </c>
      <c r="FX21" t="n">
        <v>1.43287113325</v>
      </c>
      <c r="FY21" t="n">
        <v>2.51968033716</v>
      </c>
      <c r="FZ21" t="n">
        <v>7.26812830262</v>
      </c>
      <c r="GA21" t="n">
        <v>0.635575731595</v>
      </c>
      <c r="GB21" t="n">
        <v>0.0431870936057</v>
      </c>
      <c r="GC21" t="n">
        <v>6.216701355879999</v>
      </c>
      <c r="GD21" t="n">
        <v>8.337650195269999</v>
      </c>
      <c r="GE21" t="n">
        <v>0</v>
      </c>
      <c r="GF21" t="n">
        <v>2.85792305986</v>
      </c>
      <c r="GG21" t="n">
        <v>5.47808633417</v>
      </c>
      <c r="GH21" t="n">
        <v>6.61878061193</v>
      </c>
      <c r="GI21" t="n">
        <v>4.28667166764</v>
      </c>
      <c r="GJ21" t="n">
        <v>0.910953415573</v>
      </c>
      <c r="GK21" t="n">
        <v>10.7985323575</v>
      </c>
      <c r="GL21" t="n">
        <v>0.479886330691</v>
      </c>
      <c r="GM21" t="n">
        <v>1.59815003337</v>
      </c>
      <c r="GN21" t="n">
        <v>95.8633370956</v>
      </c>
      <c r="GO21" t="n">
        <v>2481.46822075</v>
      </c>
      <c r="GP21" t="n">
        <v>262.19233730575</v>
      </c>
      <c r="GQ21" t="n">
        <v>0</v>
      </c>
      <c r="GR21" t="n">
        <v>6818.937482003284</v>
      </c>
      <c r="GS21" t="n">
        <v>1038.49431455</v>
      </c>
      <c r="GT21" t="n">
        <v>3828.2993022389</v>
      </c>
      <c r="GU21" t="n">
        <v>2356.498662363959</v>
      </c>
      <c r="GV21" t="n">
        <v>1806.03861601</v>
      </c>
      <c r="GW21" t="n">
        <v>17903.87345874475</v>
      </c>
      <c r="GX21" t="n">
        <v>26463.52351771602</v>
      </c>
      <c r="GY21" t="n">
        <v>58120.83281466164</v>
      </c>
      <c r="GZ21" t="n">
        <v>22808.07193327</v>
      </c>
      <c r="HA21" t="n">
        <v>52451.49181921694</v>
      </c>
      <c r="HB21" t="n">
        <v>0</v>
      </c>
      <c r="HC21" t="n">
        <v>14392.9916857984</v>
      </c>
    </row>
    <row r="22">
      <c r="A22" s="1" t="inlineStr">
        <is>
          <t>Y_dom</t>
        </is>
      </c>
      <c r="B22" t="n">
        <v>111.1237859411297</v>
      </c>
      <c r="C22" t="n">
        <v>6143.007796311505</v>
      </c>
      <c r="D22" t="n">
        <v>370.6834656242983</v>
      </c>
      <c r="E22" t="n">
        <v>10280.1076048156</v>
      </c>
      <c r="F22" t="n">
        <v>726.0784872377837</v>
      </c>
      <c r="G22" t="n">
        <v>0</v>
      </c>
      <c r="H22" t="n">
        <v>514.0743081434518</v>
      </c>
      <c r="I22" t="n">
        <v>0</v>
      </c>
      <c r="J22" t="n">
        <v>0</v>
      </c>
      <c r="K22" t="n">
        <v>0</v>
      </c>
      <c r="L22" t="n">
        <v>3117.91278957</v>
      </c>
      <c r="M22" t="n">
        <v>1889.75665498</v>
      </c>
      <c r="N22" t="n">
        <v>139.245465367</v>
      </c>
      <c r="O22" t="n">
        <v>137.460607966</v>
      </c>
      <c r="P22" t="n">
        <v>0</v>
      </c>
      <c r="Q22" t="n">
        <v>0</v>
      </c>
      <c r="R22" t="n">
        <v>0</v>
      </c>
      <c r="S22" t="n">
        <v>4983.726911349618</v>
      </c>
      <c r="T22" t="n">
        <v>235.5104379290872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7.51704678874619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5050.44137163263</v>
      </c>
      <c r="AS22" t="n">
        <v>2108.07915814567</v>
      </c>
      <c r="AT22" t="n">
        <v>8018.044447814699</v>
      </c>
      <c r="AU22" t="n">
        <v>15949.9837150327</v>
      </c>
      <c r="AV22" t="n">
        <v>26.9606270569</v>
      </c>
      <c r="AW22" t="n">
        <v>8488.22304035583</v>
      </c>
      <c r="AX22" t="n">
        <v>26.83840954758</v>
      </c>
      <c r="AY22" t="n">
        <v>662.143368282305</v>
      </c>
      <c r="AZ22" t="n">
        <v>23360.725289119</v>
      </c>
      <c r="BA22" t="n">
        <v>7010.44186901366</v>
      </c>
      <c r="BB22" t="n">
        <v>2468.4934124624</v>
      </c>
      <c r="BC22" t="n">
        <v>874.533016486</v>
      </c>
      <c r="BD22" t="n">
        <v>2215.3406393403</v>
      </c>
      <c r="BE22" t="n">
        <v>3273.5352910359</v>
      </c>
      <c r="BF22" t="n">
        <v>128.1294884929</v>
      </c>
      <c r="BG22" t="n">
        <v>710.2622544142647</v>
      </c>
      <c r="BH22" t="n">
        <v>438.2363337857354</v>
      </c>
      <c r="BI22" t="n">
        <v>0</v>
      </c>
      <c r="BJ22" t="n">
        <v>0</v>
      </c>
      <c r="BK22" t="n">
        <v>1585.48345099</v>
      </c>
      <c r="BL22" t="n">
        <v>5484.64885857</v>
      </c>
      <c r="BM22" t="n">
        <v>0.7293099116569257</v>
      </c>
      <c r="BN22" t="n">
        <v>0</v>
      </c>
      <c r="BO22" t="n">
        <v>0</v>
      </c>
      <c r="BP22" t="n">
        <v>4666.461821447218</v>
      </c>
      <c r="BQ22" t="n">
        <v>0</v>
      </c>
      <c r="BR22" t="n">
        <v>0</v>
      </c>
      <c r="BS22" t="n">
        <v>43.24791175475945</v>
      </c>
      <c r="BT22" t="n">
        <v>0</v>
      </c>
      <c r="BU22" t="n">
        <v>7435.932931149347</v>
      </c>
      <c r="BV22" t="n">
        <v>2.143706431271896</v>
      </c>
      <c r="BW22" t="n">
        <v>0</v>
      </c>
      <c r="BX22" t="n">
        <v>301.7327080874792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37588.16532331418</v>
      </c>
      <c r="CJ22" t="n">
        <v>1908.19843728582</v>
      </c>
      <c r="CK22" t="n">
        <v>8.09257081484</v>
      </c>
      <c r="CL22" t="n">
        <v>43.7871681139</v>
      </c>
      <c r="CM22" t="n">
        <v>9071.78079087</v>
      </c>
      <c r="CN22" t="n">
        <v>0</v>
      </c>
      <c r="CO22" t="n">
        <v>0</v>
      </c>
      <c r="CP22" t="n">
        <v>347.92681816</v>
      </c>
      <c r="CQ22" t="n">
        <v>984.283941537</v>
      </c>
      <c r="CR22" t="n">
        <v>0</v>
      </c>
      <c r="CS22" t="n">
        <v>0</v>
      </c>
      <c r="CT22" t="n">
        <v>0</v>
      </c>
      <c r="CU22" t="n">
        <v>689.762294742</v>
      </c>
      <c r="CV22" t="n">
        <v>7.73099013119</v>
      </c>
      <c r="CW22" t="n">
        <v>50.51563095007756</v>
      </c>
      <c r="CX22" t="n">
        <v>11.09450161082244</v>
      </c>
      <c r="CY22" t="n">
        <v>967.1063444620002</v>
      </c>
      <c r="CZ22" t="n">
        <v>0.00406246458415987</v>
      </c>
      <c r="DA22" t="n">
        <v>0.00182100319917013</v>
      </c>
      <c r="DB22" t="n">
        <v>0</v>
      </c>
      <c r="DC22" t="n">
        <v>0</v>
      </c>
      <c r="DD22" t="n">
        <v>0.4672341779052208</v>
      </c>
      <c r="DE22" t="n">
        <v>0.2665403071037792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0.145615571681</v>
      </c>
      <c r="DM22" t="n">
        <v>3671.05667554</v>
      </c>
      <c r="DN22" t="n">
        <v>310.999624913</v>
      </c>
      <c r="DO22" t="n">
        <v>0</v>
      </c>
      <c r="DP22" t="n">
        <v>1938.44845799</v>
      </c>
      <c r="DQ22" t="n">
        <v>1956.93538405</v>
      </c>
      <c r="DR22" t="n">
        <v>2869.15447629</v>
      </c>
      <c r="DS22" t="n">
        <v>26547.7846919</v>
      </c>
      <c r="DT22" t="n">
        <v>1501.0289734745</v>
      </c>
      <c r="DU22" t="n">
        <v>7391.270739749999</v>
      </c>
      <c r="DV22" t="n">
        <v>0</v>
      </c>
      <c r="DW22" t="n">
        <v>0</v>
      </c>
      <c r="DX22" t="n">
        <v>160.5329327670646</v>
      </c>
      <c r="DY22" t="n">
        <v>458.081979294547</v>
      </c>
      <c r="DZ22" t="n">
        <v>10186.75299786705</v>
      </c>
      <c r="EA22" t="n">
        <v>1235.352666958281</v>
      </c>
      <c r="EB22" t="n">
        <v>488.069507329075</v>
      </c>
      <c r="EC22" t="n">
        <v>36.95167720963154</v>
      </c>
      <c r="ED22" t="n">
        <v>213.02996467476</v>
      </c>
      <c r="EE22" t="n">
        <v>167.1032224043203</v>
      </c>
      <c r="EF22" t="n">
        <v>0</v>
      </c>
      <c r="EG22" t="n">
        <v>11.36406994162234</v>
      </c>
      <c r="EH22" t="n">
        <v>0</v>
      </c>
      <c r="EI22" t="n">
        <v>0</v>
      </c>
      <c r="EJ22" t="n">
        <v>2459.82274317</v>
      </c>
      <c r="EK22" t="n">
        <v>9539.403568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8925.814611510001</v>
      </c>
      <c r="ER22" t="n">
        <v>1377.80644143</v>
      </c>
      <c r="ES22" t="n">
        <v>5628.20353823</v>
      </c>
      <c r="ET22" t="n">
        <v>8796.46644765</v>
      </c>
      <c r="EU22" t="n">
        <v>0</v>
      </c>
      <c r="EV22" t="n">
        <v>30296.038247431</v>
      </c>
      <c r="EW22" t="n">
        <v>769.0573023287</v>
      </c>
      <c r="EX22" t="n">
        <v>9886.43859541</v>
      </c>
      <c r="EY22" t="n">
        <v>7198.74526698</v>
      </c>
      <c r="EZ22" t="n">
        <v>83954.16485263</v>
      </c>
      <c r="FA22" t="n">
        <v>15294.563008583</v>
      </c>
      <c r="FB22" t="n">
        <v>30950.3724516</v>
      </c>
      <c r="FC22" t="n">
        <v>308.121759012</v>
      </c>
      <c r="FD22" t="n">
        <v>1190.086000744</v>
      </c>
      <c r="FE22" t="n">
        <v>749.5853719010657</v>
      </c>
      <c r="FF22" t="n">
        <v>11302.3998226312</v>
      </c>
      <c r="FG22" t="n">
        <v>16771.579081532</v>
      </c>
      <c r="FH22" t="n">
        <v>42904.6385463</v>
      </c>
      <c r="FI22" t="n">
        <v>13529.354277</v>
      </c>
      <c r="FJ22" t="n">
        <v>31909.8454513</v>
      </c>
      <c r="FK22" t="n">
        <v>0</v>
      </c>
      <c r="FL22" t="n">
        <v>242143.1325731</v>
      </c>
      <c r="FM22" t="n">
        <v>3328.271032657</v>
      </c>
      <c r="FN22" t="n">
        <v>70.8903087324</v>
      </c>
      <c r="FO22" t="n">
        <v>11126.0696009</v>
      </c>
      <c r="FP22" t="n">
        <v>15846.2651147</v>
      </c>
      <c r="FQ22" t="n">
        <v>186753.738044755</v>
      </c>
      <c r="FR22" t="n">
        <v>130808.66813279</v>
      </c>
      <c r="FS22" t="n">
        <v>258670.8658642</v>
      </c>
      <c r="FT22" t="n">
        <v>767.062811341</v>
      </c>
      <c r="FU22" t="n">
        <v>804.795130685</v>
      </c>
      <c r="FV22" t="n">
        <v>332.707084072</v>
      </c>
      <c r="FW22" t="n">
        <v>949.25281436</v>
      </c>
      <c r="FX22" t="n">
        <v>167.741871249</v>
      </c>
      <c r="FY22" t="n">
        <v>222.57871309</v>
      </c>
      <c r="FZ22" t="n">
        <v>919.981640762</v>
      </c>
      <c r="GA22" t="n">
        <v>70.53742816650001</v>
      </c>
      <c r="GB22" t="n">
        <v>6.1009405067</v>
      </c>
      <c r="GC22" t="n">
        <v>773.519846848</v>
      </c>
      <c r="GD22" t="n">
        <v>479.801236121</v>
      </c>
      <c r="GE22" t="n">
        <v>1.88906969237</v>
      </c>
      <c r="GF22" t="n">
        <v>266.243214735</v>
      </c>
      <c r="GG22" t="n">
        <v>472.339913116</v>
      </c>
      <c r="GH22" t="n">
        <v>460.334042583</v>
      </c>
      <c r="GI22" t="n">
        <v>317.565150196</v>
      </c>
      <c r="GJ22" t="n">
        <v>84.5779130124</v>
      </c>
      <c r="GK22" t="n">
        <v>1333.35580079</v>
      </c>
      <c r="GL22" t="n">
        <v>52.3022720474</v>
      </c>
      <c r="GM22" t="n">
        <v>192.223716855</v>
      </c>
      <c r="GN22" t="n">
        <v>22590.5100676</v>
      </c>
      <c r="GO22" t="n">
        <v>71885.0849681</v>
      </c>
      <c r="GP22" t="n">
        <v>11238.476071223</v>
      </c>
      <c r="GQ22" t="n">
        <v>0</v>
      </c>
      <c r="GR22" t="n">
        <v>10307.0682318725</v>
      </c>
      <c r="GS22" t="n">
        <v>5050.44137163263</v>
      </c>
      <c r="GT22" t="n">
        <v>31083.77676554307</v>
      </c>
      <c r="GU22" t="n">
        <v>8862.978943651917</v>
      </c>
      <c r="GV22" t="n">
        <v>8625.68364832183</v>
      </c>
      <c r="GW22" t="n">
        <v>35754.45194623331</v>
      </c>
      <c r="GX22" t="n">
        <v>348068.806370803</v>
      </c>
      <c r="GY22" t="n">
        <v>115961.4466882009</v>
      </c>
      <c r="GZ22" t="n">
        <v>5617.0054188691</v>
      </c>
      <c r="HA22" t="n">
        <v>76311.73408172725</v>
      </c>
      <c r="HB22" t="n">
        <v>83954.16485263</v>
      </c>
      <c r="HC22" t="n">
        <v>879887.6501223976</v>
      </c>
    </row>
    <row r="23">
      <c r="A23" s="1" t="inlineStr">
        <is>
          <t>M_imp*Y_dom</t>
        </is>
      </c>
      <c r="B23" t="n">
        <v>1.087116054254862e-06</v>
      </c>
      <c r="C23" t="n">
        <v>4.930772588363204e-05</v>
      </c>
      <c r="D23" t="n">
        <v>1.897749782923415e-06</v>
      </c>
      <c r="E23" t="n">
        <v>0.0002180955783528804</v>
      </c>
      <c r="F23" t="n">
        <v>9.713206783808275e-06</v>
      </c>
      <c r="G23" t="n">
        <v>0</v>
      </c>
      <c r="H23" t="n">
        <v>2.547289906019291e-06</v>
      </c>
      <c r="I23" t="n">
        <v>0</v>
      </c>
      <c r="J23" t="n">
        <v>0</v>
      </c>
      <c r="K23" t="n">
        <v>0</v>
      </c>
      <c r="L23" t="n">
        <v>0.0001138396452991804</v>
      </c>
      <c r="M23" t="n">
        <v>5.994688071002465e-05</v>
      </c>
      <c r="N23" t="n">
        <v>5.983661848348245e-06</v>
      </c>
      <c r="O23" t="n">
        <v>7.16679695511488e-06</v>
      </c>
      <c r="P23" t="n">
        <v>0</v>
      </c>
      <c r="Q23" t="n">
        <v>0</v>
      </c>
      <c r="R23" t="n">
        <v>0</v>
      </c>
      <c r="S23" t="n">
        <v>1.77450982755837e-05</v>
      </c>
      <c r="T23" t="n">
        <v>3.141665614447149e-05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4.603006091147092e-06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0.0003419342917947762</v>
      </c>
      <c r="AS23" t="n">
        <v>5.166522582133056e-05</v>
      </c>
      <c r="AT23" t="n">
        <v>0.0003135448743628129</v>
      </c>
      <c r="AU23" t="n">
        <v>0.001087468153500912</v>
      </c>
      <c r="AV23" t="n">
        <v>8.748322489914255e-07</v>
      </c>
      <c r="AW23" t="n">
        <v>0.0003246864685993591</v>
      </c>
      <c r="AX23" t="n">
        <v>2.36715088443994e-07</v>
      </c>
      <c r="AY23" t="n">
        <v>1.020302524055078e-05</v>
      </c>
      <c r="AZ23" t="n">
        <v>0.001131537892334666</v>
      </c>
      <c r="BA23" t="n">
        <v>0.0002312956226985743</v>
      </c>
      <c r="BB23" t="n">
        <v>0.0001258822669543125</v>
      </c>
      <c r="BC23" t="n">
        <v>1.169015714660198e-05</v>
      </c>
      <c r="BD23" t="n">
        <v>8.296824482233891e-05</v>
      </c>
      <c r="BE23" t="n">
        <v>7.765910944391942e-05</v>
      </c>
      <c r="BF23" t="n">
        <v>1.073591501799088e-05</v>
      </c>
      <c r="BG23" t="n">
        <v>9.826166969147651e-06</v>
      </c>
      <c r="BH23" t="n">
        <v>4.974418796756444e-06</v>
      </c>
      <c r="BI23" t="n">
        <v>0</v>
      </c>
      <c r="BJ23" t="n">
        <v>0</v>
      </c>
      <c r="BK23" t="n">
        <v>5.134440213458515e-05</v>
      </c>
      <c r="BL23" t="n">
        <v>5.760329972947013e-05</v>
      </c>
      <c r="BM23" t="n">
        <v>6.764101723860719e-10</v>
      </c>
      <c r="BN23" t="n">
        <v>0</v>
      </c>
      <c r="BO23" t="n">
        <v>0</v>
      </c>
      <c r="BP23" t="n">
        <v>0.0002023982259599053</v>
      </c>
      <c r="BQ23" t="n">
        <v>0</v>
      </c>
      <c r="BR23" t="n">
        <v>0</v>
      </c>
      <c r="BS23" t="n">
        <v>4.834739973917951e-07</v>
      </c>
      <c r="BT23" t="n">
        <v>0</v>
      </c>
      <c r="BU23" t="n">
        <v>0.0001438162487955465</v>
      </c>
      <c r="BV23" t="n">
        <v>1.430690926991519e-08</v>
      </c>
      <c r="BW23" t="n">
        <v>0</v>
      </c>
      <c r="BX23" t="n">
        <v>3.419153691422179e-06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0.0007101631111662949</v>
      </c>
      <c r="CJ23" t="n">
        <v>3.182739426588924e-05</v>
      </c>
      <c r="CK23" t="n">
        <v>5.718199921013217e-08</v>
      </c>
      <c r="CL23" t="n">
        <v>4.980979759639078e-07</v>
      </c>
      <c r="CM23" t="n">
        <v>0.0002089874799695998</v>
      </c>
      <c r="CN23" t="n">
        <v>0</v>
      </c>
      <c r="CO23" t="n">
        <v>0</v>
      </c>
      <c r="CP23" t="n">
        <v>3.279242838919569e-06</v>
      </c>
      <c r="CQ23" t="n">
        <v>3.848121930991755e-06</v>
      </c>
      <c r="CR23" t="n">
        <v>0</v>
      </c>
      <c r="CS23" t="n">
        <v>0</v>
      </c>
      <c r="CT23" t="n">
        <v>0</v>
      </c>
      <c r="CU23" t="n">
        <v>9.543190886293903e-06</v>
      </c>
      <c r="CV23" t="n">
        <v>7.674634428031934e-08</v>
      </c>
      <c r="CW23" t="n">
        <v>4.56416060345921e-07</v>
      </c>
      <c r="CX23" t="n">
        <v>8.934633127643825e-08</v>
      </c>
      <c r="CY23" t="n">
        <v>1.245391267870691e-05</v>
      </c>
      <c r="CZ23" t="n">
        <v>4.727792048952039e-11</v>
      </c>
      <c r="DA23" t="n">
        <v>1.768919111650772e-11</v>
      </c>
      <c r="DB23" t="n">
        <v>0</v>
      </c>
      <c r="DC23" t="n">
        <v>0</v>
      </c>
      <c r="DD23" t="n">
        <v>7.538425842828852e-09</v>
      </c>
      <c r="DE23" t="n">
        <v>4.171829054631858e-09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2.015357635243701e-09</v>
      </c>
      <c r="DM23" t="n">
        <v>3.940239379356091e-05</v>
      </c>
      <c r="DN23" t="n">
        <v>3.743899368902408e-06</v>
      </c>
      <c r="DO23" t="n">
        <v>0</v>
      </c>
      <c r="DP23" t="n">
        <v>2.105895608685353e-05</v>
      </c>
      <c r="DQ23" t="n">
        <v>2.293232013878979e-05</v>
      </c>
      <c r="DR23" t="n">
        <v>2.595035010348004e-05</v>
      </c>
      <c r="DS23" t="n">
        <v>0.0003901210137941764</v>
      </c>
      <c r="DT23" t="n">
        <v>1.866801905731363e-05</v>
      </c>
      <c r="DU23" t="n">
        <v>0.0001120142115360165</v>
      </c>
      <c r="DV23" t="n">
        <v>0</v>
      </c>
      <c r="DW23" t="n">
        <v>0</v>
      </c>
      <c r="DX23" t="n">
        <v>1.016874285630548e-05</v>
      </c>
      <c r="DY23" t="n">
        <v>6.035752173932275e-06</v>
      </c>
      <c r="DZ23" t="n">
        <v>0.0001030931894223222</v>
      </c>
      <c r="EA23" t="n">
        <v>1.558896269800378e-05</v>
      </c>
      <c r="EB23" t="n">
        <v>2.45143282385068e-06</v>
      </c>
      <c r="EC23" t="n">
        <v>1.642233373020581e-06</v>
      </c>
      <c r="ED23" t="n">
        <v>2.243872375198376e-06</v>
      </c>
      <c r="EE23" t="n">
        <v>1.812165461936904e-07</v>
      </c>
      <c r="EF23" t="n">
        <v>0</v>
      </c>
      <c r="EG23" t="n">
        <v>1.706422497413139e-07</v>
      </c>
      <c r="EH23" t="n">
        <v>0</v>
      </c>
      <c r="EI23" t="n">
        <v>0</v>
      </c>
      <c r="EJ23" t="n">
        <v>1.42480764982641e-05</v>
      </c>
      <c r="EK23" t="n">
        <v>5.452018469952433e-05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0.0001096655998615806</v>
      </c>
      <c r="ER23" t="n">
        <v>6.797028110481213e-05</v>
      </c>
      <c r="ES23" t="n">
        <v>4.063662538296952e-05</v>
      </c>
      <c r="ET23" t="n">
        <v>8.619852987310567e-05</v>
      </c>
      <c r="EU23" t="n">
        <v>0</v>
      </c>
      <c r="EV23" t="n">
        <v>0.000120224757670094</v>
      </c>
      <c r="EW23" t="n">
        <v>7.251647918267638e-06</v>
      </c>
      <c r="EX23" t="n">
        <v>4.922931439165639e-05</v>
      </c>
      <c r="EY23" t="n">
        <v>3.885790392358884e-05</v>
      </c>
      <c r="EZ23" t="n">
        <v>0.001161396220779228</v>
      </c>
      <c r="FA23" t="n">
        <v>0.0001581026796677326</v>
      </c>
      <c r="FB23" t="n">
        <v>0.0002271436708609529</v>
      </c>
      <c r="FC23" t="n">
        <v>1.157265218590826e-05</v>
      </c>
      <c r="FD23" t="n">
        <v>6.144177709510696e-05</v>
      </c>
      <c r="FE23" t="n">
        <v>5.062269709269771e-05</v>
      </c>
      <c r="FF23" t="n">
        <v>0.0002273806101945954</v>
      </c>
      <c r="FG23" t="n">
        <v>0.0001365581631885138</v>
      </c>
      <c r="FH23" t="n">
        <v>0.0002501635299291431</v>
      </c>
      <c r="FI23" t="n">
        <v>0.0001191115316823169</v>
      </c>
      <c r="FJ23" t="n">
        <v>0.0003401633833338283</v>
      </c>
      <c r="FK23" t="n">
        <v>0</v>
      </c>
      <c r="FL23" t="n">
        <v>0.001655596035151503</v>
      </c>
      <c r="FM23" t="n">
        <v>2.664454396407724e-05</v>
      </c>
      <c r="FN23" t="n">
        <v>6.168068514602457e-07</v>
      </c>
      <c r="FO23" t="n">
        <v>0.0002698195301678184</v>
      </c>
      <c r="FP23" t="n">
        <v>0.0001251629305631092</v>
      </c>
      <c r="FQ23" t="n">
        <v>0.001832510391930648</v>
      </c>
      <c r="FR23" t="n">
        <v>0.0007907510394595818</v>
      </c>
      <c r="FS23" t="n">
        <v>0.001721117004014233</v>
      </c>
      <c r="FT23" t="n">
        <v>5.835907350905067e-06</v>
      </c>
      <c r="FU23" t="n">
        <v>6.19752776691754e-06</v>
      </c>
      <c r="FV23" t="n">
        <v>2.890867551521097e-06</v>
      </c>
      <c r="FW23" t="n">
        <v>7.438883998834446e-06</v>
      </c>
      <c r="FX23" t="n">
        <v>1.295418410028202e-06</v>
      </c>
      <c r="FY23" t="n">
        <v>1.776465731689065e-06</v>
      </c>
      <c r="FZ23" t="n">
        <v>6.767093664983775e-06</v>
      </c>
      <c r="GA23" t="n">
        <v>4.994943355096061e-07</v>
      </c>
      <c r="GB23" t="n">
        <v>4.218993869281253e-08</v>
      </c>
      <c r="GC23" t="n">
        <v>6.396701946877878e-06</v>
      </c>
      <c r="GD23" t="n">
        <v>3.707712458816222e-06</v>
      </c>
      <c r="GE23" t="n">
        <v>1.603619571309645e-07</v>
      </c>
      <c r="GF23" t="n">
        <v>2.552927601362895e-06</v>
      </c>
      <c r="GG23" t="n">
        <v>4.703244724240065e-06</v>
      </c>
      <c r="GH23" t="n">
        <v>4.378154243381324e-06</v>
      </c>
      <c r="GI23" t="n">
        <v>2.928608381365016e-06</v>
      </c>
      <c r="GJ23" t="n">
        <v>9.533310536007991e-07</v>
      </c>
      <c r="GK23" t="n">
        <v>1.010374510762532e-05</v>
      </c>
      <c r="GL23" t="n">
        <v>4.993967984116452e-07</v>
      </c>
      <c r="GM23" t="n">
        <v>1.590235036018962e-06</v>
      </c>
      <c r="GN23" t="n">
        <v>0.0003038731954900612</v>
      </c>
      <c r="GO23" t="n">
        <v>0.0009965392818613345</v>
      </c>
      <c r="GP23" t="n">
        <v>0.0002442733400182627</v>
      </c>
      <c r="GQ23" t="n">
        <v>0</v>
      </c>
      <c r="GR23" t="n">
        <v>0.0002189704106018718</v>
      </c>
      <c r="GS23" t="n">
        <v>0.0003419342917947762</v>
      </c>
      <c r="GT23" t="n">
        <v>0.001626464779694261</v>
      </c>
      <c r="GU23" t="n">
        <v>0.0003620867865921788</v>
      </c>
      <c r="GV23" t="n">
        <v>0.000331853265554474</v>
      </c>
      <c r="GW23" t="n">
        <v>0.001524193292207232</v>
      </c>
      <c r="GX23" t="n">
        <v>0.003184309285454692</v>
      </c>
      <c r="GY23" t="n">
        <v>0.001711858896105484</v>
      </c>
      <c r="GZ23" t="n">
        <v>0.0001713632692842492</v>
      </c>
      <c r="HA23" t="n">
        <v>0.001184489549637528</v>
      </c>
      <c r="HB23" t="n">
        <v>0.001161396220779228</v>
      </c>
      <c r="HC23" t="n">
        <v>0.007484223189798877</v>
      </c>
    </row>
    <row r="24">
      <c r="A24" s="1" t="inlineStr">
        <is>
          <t>M_dom*Y_dom</t>
        </is>
      </c>
      <c r="B24" t="n">
        <v>0.0001436534800267515</v>
      </c>
      <c r="C24" t="n">
        <v>0.0001077611548139297</v>
      </c>
      <c r="D24" t="n">
        <v>0.000102016809770789</v>
      </c>
      <c r="E24" t="n">
        <v>0.0002876088886079367</v>
      </c>
      <c r="F24" t="n">
        <v>1.653497769628549e-05</v>
      </c>
      <c r="G24" t="n">
        <v>0</v>
      </c>
      <c r="H24" t="n">
        <v>0.000412284472930007</v>
      </c>
      <c r="I24" t="n">
        <v>0</v>
      </c>
      <c r="J24" t="n">
        <v>0</v>
      </c>
      <c r="K24" t="n">
        <v>0</v>
      </c>
      <c r="L24" t="n">
        <v>0.0004301046729297311</v>
      </c>
      <c r="M24" t="n">
        <v>0.001936471166246746</v>
      </c>
      <c r="N24" t="n">
        <v>0.0001632025224825276</v>
      </c>
      <c r="O24" t="n">
        <v>0.0001924857601994303</v>
      </c>
      <c r="P24" t="n">
        <v>0</v>
      </c>
      <c r="Q24" t="n">
        <v>0</v>
      </c>
      <c r="R24" t="n">
        <v>0</v>
      </c>
      <c r="S24" t="n">
        <v>2.639911548288826e-05</v>
      </c>
      <c r="T24" t="n">
        <v>1.819448845361999e-05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1.745958229205413e-07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0.01118243177219576</v>
      </c>
      <c r="AS24" t="n">
        <v>0.0001204770343438342</v>
      </c>
      <c r="AT24" t="n">
        <v>0.0005417496110048564</v>
      </c>
      <c r="AU24" t="n">
        <v>0.002059626411196073</v>
      </c>
      <c r="AV24" t="n">
        <v>1.847226556875434e-06</v>
      </c>
      <c r="AW24" t="n">
        <v>0.003633985958649798</v>
      </c>
      <c r="AX24" t="n">
        <v>2.075338192861144e-07</v>
      </c>
      <c r="AY24" t="n">
        <v>2.17166007530642e-05</v>
      </c>
      <c r="AZ24" t="n">
        <v>0.004206829260141755</v>
      </c>
      <c r="BA24" t="n">
        <v>0.0005203885842416685</v>
      </c>
      <c r="BB24" t="n">
        <v>0.000491073867101428</v>
      </c>
      <c r="BC24" t="n">
        <v>1.45550678271051e-06</v>
      </c>
      <c r="BD24" t="n">
        <v>6.365892622508964e-06</v>
      </c>
      <c r="BE24" t="n">
        <v>5.012475680184619e-06</v>
      </c>
      <c r="BF24" t="n">
        <v>4.357269756430455e-06</v>
      </c>
      <c r="BG24" t="n">
        <v>2.331651580616906e-06</v>
      </c>
      <c r="BH24" t="n">
        <v>6.425069080368235e-07</v>
      </c>
      <c r="BI24" t="n">
        <v>0</v>
      </c>
      <c r="BJ24" t="n">
        <v>0</v>
      </c>
      <c r="BK24" t="n">
        <v>5.896442351967989e-06</v>
      </c>
      <c r="BL24" t="n">
        <v>8.100804900537074e-06</v>
      </c>
      <c r="BM24" t="n">
        <v>1.857152494444436e-11</v>
      </c>
      <c r="BN24" t="n">
        <v>0</v>
      </c>
      <c r="BO24" t="n">
        <v>0</v>
      </c>
      <c r="BP24" t="n">
        <v>6.227891753443343e-06</v>
      </c>
      <c r="BQ24" t="n">
        <v>0</v>
      </c>
      <c r="BR24" t="n">
        <v>0</v>
      </c>
      <c r="BS24" t="n">
        <v>1.487669110626168e-08</v>
      </c>
      <c r="BT24" t="n">
        <v>0</v>
      </c>
      <c r="BU24" t="n">
        <v>4.425322419007621e-06</v>
      </c>
      <c r="BV24" t="n">
        <v>4.4022991001666e-10</v>
      </c>
      <c r="BW24" t="n">
        <v>0</v>
      </c>
      <c r="BX24" t="n">
        <v>1.052088314269328e-07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0.0001292136540000113</v>
      </c>
      <c r="CJ24" t="n">
        <v>7.212362586236361e-06</v>
      </c>
      <c r="CK24" t="n">
        <v>6.537023914856002e-09</v>
      </c>
      <c r="CL24" t="n">
        <v>4.978674003678642e-08</v>
      </c>
      <c r="CM24" t="n">
        <v>4.38948366646618e-05</v>
      </c>
      <c r="CN24" t="n">
        <v>0</v>
      </c>
      <c r="CO24" t="n">
        <v>0</v>
      </c>
      <c r="CP24" t="n">
        <v>6.876254107244415e-07</v>
      </c>
      <c r="CQ24" t="n">
        <v>8.068624600861413e-07</v>
      </c>
      <c r="CR24" t="n">
        <v>0</v>
      </c>
      <c r="CS24" t="n">
        <v>0</v>
      </c>
      <c r="CT24" t="n">
        <v>0</v>
      </c>
      <c r="CU24" t="n">
        <v>9.81261150941681e-07</v>
      </c>
      <c r="CV24" t="n">
        <v>1.696855717127736e-08</v>
      </c>
      <c r="CW24" t="n">
        <v>7.542181883597554e-08</v>
      </c>
      <c r="CX24" t="n">
        <v>1.643057495843612e-08</v>
      </c>
      <c r="CY24" t="n">
        <v>2.152867183276136e-06</v>
      </c>
      <c r="CZ24" t="n">
        <v>5.923134235657838e-12</v>
      </c>
      <c r="DA24" t="n">
        <v>2.780807356025069e-12</v>
      </c>
      <c r="DB24" t="n">
        <v>0</v>
      </c>
      <c r="DC24" t="n">
        <v>0</v>
      </c>
      <c r="DD24" t="n">
        <v>5.214798379369019e-10</v>
      </c>
      <c r="DE24" t="n">
        <v>3.209313997350406e-10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2.17143174237845e-10</v>
      </c>
      <c r="DM24" t="n">
        <v>3.04354635029748e-06</v>
      </c>
      <c r="DN24" t="n">
        <v>2.932661911357535e-07</v>
      </c>
      <c r="DO24" t="n">
        <v>0</v>
      </c>
      <c r="DP24" t="n">
        <v>1.741815154349235e-06</v>
      </c>
      <c r="DQ24" t="n">
        <v>2.426235426219754e-06</v>
      </c>
      <c r="DR24" t="n">
        <v>2.819630851476445e-06</v>
      </c>
      <c r="DS24" t="n">
        <v>3.020034867987821e-05</v>
      </c>
      <c r="DT24" t="n">
        <v>1.30327299853288e-06</v>
      </c>
      <c r="DU24" t="n">
        <v>1.101457758391046e-05</v>
      </c>
      <c r="DV24" t="n">
        <v>0</v>
      </c>
      <c r="DW24" t="n">
        <v>0</v>
      </c>
      <c r="DX24" t="n">
        <v>5.150501026082981e-07</v>
      </c>
      <c r="DY24" t="n">
        <v>6.047424270731002e-07</v>
      </c>
      <c r="DZ24" t="n">
        <v>1.042671145169207e-05</v>
      </c>
      <c r="EA24" t="n">
        <v>1.428869790683258e-06</v>
      </c>
      <c r="EB24" t="n">
        <v>2.246570725286915e-07</v>
      </c>
      <c r="EC24" t="n">
        <v>7.806530028961229e-08</v>
      </c>
      <c r="ED24" t="n">
        <v>1.935394875286371e-07</v>
      </c>
      <c r="EE24" t="n">
        <v>1.585192995629835e-08</v>
      </c>
      <c r="EF24" t="n">
        <v>0</v>
      </c>
      <c r="EG24" t="n">
        <v>1.86169210968799e-08</v>
      </c>
      <c r="EH24" t="n">
        <v>0</v>
      </c>
      <c r="EI24" t="n">
        <v>0</v>
      </c>
      <c r="EJ24" t="n">
        <v>8.545680994209063e-07</v>
      </c>
      <c r="EK24" t="n">
        <v>3.071257929024123e-06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7.532503387187735e-06</v>
      </c>
      <c r="ER24" t="n">
        <v>5.76376449142018e-06</v>
      </c>
      <c r="ES24" t="n">
        <v>6.336078845120536e-06</v>
      </c>
      <c r="ET24" t="n">
        <v>1.023242480487227e-05</v>
      </c>
      <c r="EU24" t="n">
        <v>0</v>
      </c>
      <c r="EV24" t="n">
        <v>8.30233036677649e-06</v>
      </c>
      <c r="EW24" t="n">
        <v>1.978572840115444e-06</v>
      </c>
      <c r="EX24" t="n">
        <v>1.023839404362939e-05</v>
      </c>
      <c r="EY24" t="n">
        <v>8.42660415547961e-06</v>
      </c>
      <c r="EZ24" t="n">
        <v>0.002384346844429322</v>
      </c>
      <c r="FA24" t="n">
        <v>1.535395379995403e-05</v>
      </c>
      <c r="FB24" t="n">
        <v>2.461594137043375e-05</v>
      </c>
      <c r="FC24" t="n">
        <v>4.295040013449303e-07</v>
      </c>
      <c r="FD24" t="n">
        <v>1.509144057884389e-06</v>
      </c>
      <c r="FE24" t="n">
        <v>2.657368577206599e-06</v>
      </c>
      <c r="FF24" t="n">
        <v>3.167817882867488e-05</v>
      </c>
      <c r="FG24" t="n">
        <v>1.866518132565284e-05</v>
      </c>
      <c r="FH24" t="n">
        <v>6.645688948019966e-05</v>
      </c>
      <c r="FI24" t="n">
        <v>1.412642783884322e-05</v>
      </c>
      <c r="FJ24" t="n">
        <v>4.5769245673216e-05</v>
      </c>
      <c r="FK24" t="n">
        <v>0</v>
      </c>
      <c r="FL24" t="n">
        <v>0.000236187040249455</v>
      </c>
      <c r="FM24" t="n">
        <v>1.1893359256977e-05</v>
      </c>
      <c r="FN24" t="n">
        <v>1.490694457140171e-07</v>
      </c>
      <c r="FO24" t="n">
        <v>7.024899812185669e-05</v>
      </c>
      <c r="FP24" t="n">
        <v>4.605483572120372e-05</v>
      </c>
      <c r="FQ24" t="n">
        <v>0.0003045640155515535</v>
      </c>
      <c r="FR24" t="n">
        <v>0.0007474265075718744</v>
      </c>
      <c r="FS24" t="n">
        <v>0.0009099853477663947</v>
      </c>
      <c r="FT24" t="n">
        <v>1.052876288546786e-06</v>
      </c>
      <c r="FU24" t="n">
        <v>1.100006634648589e-06</v>
      </c>
      <c r="FV24" t="n">
        <v>4.518363527630151e-07</v>
      </c>
      <c r="FW24" t="n">
        <v>1.305379724956023e-06</v>
      </c>
      <c r="FX24" t="n">
        <v>2.254605458004886e-07</v>
      </c>
      <c r="FY24" t="n">
        <v>3.03261637068736e-07</v>
      </c>
      <c r="FZ24" t="n">
        <v>1.251261509063072e-06</v>
      </c>
      <c r="GA24" t="n">
        <v>9.316304856623325e-08</v>
      </c>
      <c r="GB24" t="n">
        <v>7.35686516851286e-09</v>
      </c>
      <c r="GC24" t="n">
        <v>1.000712158821244e-06</v>
      </c>
      <c r="GD24" t="n">
        <v>6.361100749201503e-07</v>
      </c>
      <c r="GE24" t="n">
        <v>1.085082844499189e-09</v>
      </c>
      <c r="GF24" t="n">
        <v>3.616395712216638e-07</v>
      </c>
      <c r="GG24" t="n">
        <v>6.36887887903904e-07</v>
      </c>
      <c r="GH24" t="n">
        <v>6.166747315468509e-07</v>
      </c>
      <c r="GI24" t="n">
        <v>4.281017122718016e-07</v>
      </c>
      <c r="GJ24" t="n">
        <v>1.117990003859737e-07</v>
      </c>
      <c r="GK24" t="n">
        <v>1.816432394574901e-06</v>
      </c>
      <c r="GL24" t="n">
        <v>6.933695553101581e-08</v>
      </c>
      <c r="GM24" t="n">
        <v>2.589150239913148e-07</v>
      </c>
      <c r="GN24" t="n">
        <v>5.402615051636386e-05</v>
      </c>
      <c r="GO24" t="n">
        <v>0.0006373138110407568</v>
      </c>
      <c r="GP24" t="n">
        <v>4.96282695792042e-06</v>
      </c>
      <c r="GQ24" t="n">
        <v>0</v>
      </c>
      <c r="GR24" t="n">
        <v>0.0002894561151648121</v>
      </c>
      <c r="GS24" t="n">
        <v>0.01118243177219576</v>
      </c>
      <c r="GT24" t="n">
        <v>0.005088428895721241</v>
      </c>
      <c r="GU24" t="n">
        <v>0.003815382969585945</v>
      </c>
      <c r="GV24" t="n">
        <v>0.003826471718849228</v>
      </c>
      <c r="GW24" t="n">
        <v>0.005814144283492956</v>
      </c>
      <c r="GX24" t="n">
        <v>0.0004647879198974227</v>
      </c>
      <c r="GY24" t="n">
        <v>0.0001392858276560164</v>
      </c>
      <c r="GZ24" t="n">
        <v>1.573563805912404e-05</v>
      </c>
      <c r="HA24" t="n">
        <v>0.0001084614897098368</v>
      </c>
      <c r="HB24" t="n">
        <v>0.002384346844429322</v>
      </c>
      <c r="HC24" t="n">
        <v>0.002978652943720243</v>
      </c>
    </row>
    <row r="25">
      <c r="A25" s="1" t="inlineStr">
        <is>
          <t>M_imp*Y_dom+M_dom*Y_dom</t>
        </is>
      </c>
      <c r="B25" t="n">
        <v>0.0001447405960810064</v>
      </c>
      <c r="C25" t="n">
        <v>0.0001570688806975618</v>
      </c>
      <c r="D25" t="n">
        <v>0.0001039145595537125</v>
      </c>
      <c r="E25" t="n">
        <v>0.0005057044669608171</v>
      </c>
      <c r="F25" t="n">
        <v>2.624818448009377e-05</v>
      </c>
      <c r="G25" t="n">
        <v>0</v>
      </c>
      <c r="H25" t="n">
        <v>0.0004148317628360263</v>
      </c>
      <c r="I25" t="n">
        <v>0</v>
      </c>
      <c r="J25" t="n">
        <v>0</v>
      </c>
      <c r="K25" t="n">
        <v>0</v>
      </c>
      <c r="L25" t="n">
        <v>0.0005439443182289116</v>
      </c>
      <c r="M25" t="n">
        <v>0.001996418046956771</v>
      </c>
      <c r="N25" t="n">
        <v>0.0001691861843308759</v>
      </c>
      <c r="O25" t="n">
        <v>0.0001996525571545452</v>
      </c>
      <c r="P25" t="n">
        <v>0</v>
      </c>
      <c r="Q25" t="n">
        <v>0</v>
      </c>
      <c r="R25" t="n">
        <v>0</v>
      </c>
      <c r="S25" t="n">
        <v>4.414421375847196e-05</v>
      </c>
      <c r="T25" t="n">
        <v>4.961114459809148e-05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4.777601914067634e-06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0.01152436606399054</v>
      </c>
      <c r="AS25" t="n">
        <v>0.0001721422601651647</v>
      </c>
      <c r="AT25" t="n">
        <v>0.0008552944853676693</v>
      </c>
      <c r="AU25" t="n">
        <v>0.003147094564696985</v>
      </c>
      <c r="AV25" t="n">
        <v>2.72205880586686e-06</v>
      </c>
      <c r="AW25" t="n">
        <v>0.003958672427249157</v>
      </c>
      <c r="AX25" t="n">
        <v>4.442489077301084e-07</v>
      </c>
      <c r="AY25" t="n">
        <v>3.191962599361498e-05</v>
      </c>
      <c r="AZ25" t="n">
        <v>0.00533836715247642</v>
      </c>
      <c r="BA25" t="n">
        <v>0.0007516842069402428</v>
      </c>
      <c r="BB25" t="n">
        <v>0.0006169561340557405</v>
      </c>
      <c r="BC25" t="n">
        <v>1.314566392931249e-05</v>
      </c>
      <c r="BD25" t="n">
        <v>8.933413744484787e-05</v>
      </c>
      <c r="BE25" t="n">
        <v>8.267158512410404e-05</v>
      </c>
      <c r="BF25" t="n">
        <v>1.509318477442134e-05</v>
      </c>
      <c r="BG25" t="n">
        <v>1.215781854976456e-05</v>
      </c>
      <c r="BH25" t="n">
        <v>5.616925704793267e-06</v>
      </c>
      <c r="BI25" t="n">
        <v>0</v>
      </c>
      <c r="BJ25" t="n">
        <v>0</v>
      </c>
      <c r="BK25" t="n">
        <v>5.724084448655314e-05</v>
      </c>
      <c r="BL25" t="n">
        <v>6.570410463000721e-05</v>
      </c>
      <c r="BM25" t="n">
        <v>6.949816973305163e-10</v>
      </c>
      <c r="BN25" t="n">
        <v>0</v>
      </c>
      <c r="BO25" t="n">
        <v>0</v>
      </c>
      <c r="BP25" t="n">
        <v>0.0002086261177133486</v>
      </c>
      <c r="BQ25" t="n">
        <v>0</v>
      </c>
      <c r="BR25" t="n">
        <v>0</v>
      </c>
      <c r="BS25" t="n">
        <v>4.983506884980568e-07</v>
      </c>
      <c r="BT25" t="n">
        <v>0</v>
      </c>
      <c r="BU25" t="n">
        <v>0.0001482415712145541</v>
      </c>
      <c r="BV25" t="n">
        <v>1.474713917993185e-08</v>
      </c>
      <c r="BW25" t="n">
        <v>0</v>
      </c>
      <c r="BX25" t="n">
        <v>3.524362522849112e-06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0.0008393767651663063</v>
      </c>
      <c r="CJ25" t="n">
        <v>3.90397568521256e-05</v>
      </c>
      <c r="CK25" t="n">
        <v>6.371902312498818e-08</v>
      </c>
      <c r="CL25" t="n">
        <v>5.478847160006943e-07</v>
      </c>
      <c r="CM25" t="n">
        <v>0.0002528823166342616</v>
      </c>
      <c r="CN25" t="n">
        <v>0</v>
      </c>
      <c r="CO25" t="n">
        <v>0</v>
      </c>
      <c r="CP25" t="n">
        <v>3.96686824964401e-06</v>
      </c>
      <c r="CQ25" t="n">
        <v>4.654984391077896e-06</v>
      </c>
      <c r="CR25" t="n">
        <v>0</v>
      </c>
      <c r="CS25" t="n">
        <v>0</v>
      </c>
      <c r="CT25" t="n">
        <v>0</v>
      </c>
      <c r="CU25" t="n">
        <v>1.052445203723558e-05</v>
      </c>
      <c r="CV25" t="n">
        <v>9.37149014515967e-08</v>
      </c>
      <c r="CW25" t="n">
        <v>5.318378791818965e-07</v>
      </c>
      <c r="CX25" t="n">
        <v>1.057769062348744e-07</v>
      </c>
      <c r="CY25" t="n">
        <v>1.460677986198305e-05</v>
      </c>
      <c r="CZ25" t="n">
        <v>5.320105472517823e-11</v>
      </c>
      <c r="DA25" t="n">
        <v>2.046999847253279e-11</v>
      </c>
      <c r="DB25" t="n">
        <v>0</v>
      </c>
      <c r="DC25" t="n">
        <v>0</v>
      </c>
      <c r="DD25" t="n">
        <v>8.059905680765755e-09</v>
      </c>
      <c r="DE25" t="n">
        <v>4.492760454366899e-09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2.232500809481546e-09</v>
      </c>
      <c r="DM25" t="n">
        <v>4.244594014385839e-05</v>
      </c>
      <c r="DN25" t="n">
        <v>4.037165560038161e-06</v>
      </c>
      <c r="DO25" t="n">
        <v>0</v>
      </c>
      <c r="DP25" t="n">
        <v>2.280077124120277e-05</v>
      </c>
      <c r="DQ25" t="n">
        <v>2.535855556500955e-05</v>
      </c>
      <c r="DR25" t="n">
        <v>2.876998095495648e-05</v>
      </c>
      <c r="DS25" t="n">
        <v>0.0004203213624740545</v>
      </c>
      <c r="DT25" t="n">
        <v>1.997129205584651e-05</v>
      </c>
      <c r="DU25" t="n">
        <v>0.000123028789119927</v>
      </c>
      <c r="DV25" t="n">
        <v>0</v>
      </c>
      <c r="DW25" t="n">
        <v>0</v>
      </c>
      <c r="DX25" t="n">
        <v>1.068379295891378e-05</v>
      </c>
      <c r="DY25" t="n">
        <v>6.640494601005375e-06</v>
      </c>
      <c r="DZ25" t="n">
        <v>0.0001135199008740142</v>
      </c>
      <c r="EA25" t="n">
        <v>1.701783248868704e-05</v>
      </c>
      <c r="EB25" t="n">
        <v>2.676089896379372e-06</v>
      </c>
      <c r="EC25" t="n">
        <v>1.720298673310193e-06</v>
      </c>
      <c r="ED25" t="n">
        <v>2.437411862727013e-06</v>
      </c>
      <c r="EE25" t="n">
        <v>1.970684761499888e-07</v>
      </c>
      <c r="EF25" t="n">
        <v>0</v>
      </c>
      <c r="EG25" t="n">
        <v>1.892591708381938e-07</v>
      </c>
      <c r="EH25" t="n">
        <v>0</v>
      </c>
      <c r="EI25" t="n">
        <v>0</v>
      </c>
      <c r="EJ25" t="n">
        <v>1.510264459768501e-05</v>
      </c>
      <c r="EK25" t="n">
        <v>5.759144262854846e-05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0.0001171981032487684</v>
      </c>
      <c r="ER25" t="n">
        <v>7.373404559623231e-05</v>
      </c>
      <c r="ES25" t="n">
        <v>4.697270422809006e-05</v>
      </c>
      <c r="ET25" t="n">
        <v>9.643095467797793e-05</v>
      </c>
      <c r="EU25" t="n">
        <v>0</v>
      </c>
      <c r="EV25" t="n">
        <v>0.0001285270880368705</v>
      </c>
      <c r="EW25" t="n">
        <v>9.230220758383082e-06</v>
      </c>
      <c r="EX25" t="n">
        <v>5.946770843528578e-05</v>
      </c>
      <c r="EY25" t="n">
        <v>4.728450807906844e-05</v>
      </c>
      <c r="EZ25" t="n">
        <v>0.00354574306520855</v>
      </c>
      <c r="FA25" t="n">
        <v>0.0001734566334676866</v>
      </c>
      <c r="FB25" t="n">
        <v>0.0002517596122313867</v>
      </c>
      <c r="FC25" t="n">
        <v>1.200215618725319e-05</v>
      </c>
      <c r="FD25" t="n">
        <v>6.295092115299134e-05</v>
      </c>
      <c r="FE25" t="n">
        <v>5.328006566990431e-05</v>
      </c>
      <c r="FF25" t="n">
        <v>0.0002590587890232703</v>
      </c>
      <c r="FG25" t="n">
        <v>0.0001552233445141666</v>
      </c>
      <c r="FH25" t="n">
        <v>0.0003166204194093428</v>
      </c>
      <c r="FI25" t="n">
        <v>0.0001332379595211601</v>
      </c>
      <c r="FJ25" t="n">
        <v>0.0003859326290070443</v>
      </c>
      <c r="FK25" t="n">
        <v>0</v>
      </c>
      <c r="FL25" t="n">
        <v>0.001891783075400958</v>
      </c>
      <c r="FM25" t="n">
        <v>3.853790322105424e-05</v>
      </c>
      <c r="FN25" t="n">
        <v>7.658762971742627e-07</v>
      </c>
      <c r="FO25" t="n">
        <v>0.0003400685282896751</v>
      </c>
      <c r="FP25" t="n">
        <v>0.0001712177662843129</v>
      </c>
      <c r="FQ25" t="n">
        <v>0.002137074407482201</v>
      </c>
      <c r="FR25" t="n">
        <v>0.001538177547031456</v>
      </c>
      <c r="FS25" t="n">
        <v>0.002631102351780628</v>
      </c>
      <c r="FT25" t="n">
        <v>6.888783639451853e-06</v>
      </c>
      <c r="FU25" t="n">
        <v>7.297534401566129e-06</v>
      </c>
      <c r="FV25" t="n">
        <v>3.342703904284113e-06</v>
      </c>
      <c r="FW25" t="n">
        <v>8.744263723790469e-06</v>
      </c>
      <c r="FX25" t="n">
        <v>1.520878955828691e-06</v>
      </c>
      <c r="FY25" t="n">
        <v>2.0797273687578e-06</v>
      </c>
      <c r="FZ25" t="n">
        <v>8.018355174046847e-06</v>
      </c>
      <c r="GA25" t="n">
        <v>5.926573840758394e-07</v>
      </c>
      <c r="GB25" t="n">
        <v>4.954680386132539e-08</v>
      </c>
      <c r="GC25" t="n">
        <v>7.397414105699122e-06</v>
      </c>
      <c r="GD25" t="n">
        <v>4.343822533736372e-06</v>
      </c>
      <c r="GE25" t="n">
        <v>1.614470399754637e-07</v>
      </c>
      <c r="GF25" t="n">
        <v>2.914567172584559e-06</v>
      </c>
      <c r="GG25" t="n">
        <v>5.340132612143969e-06</v>
      </c>
      <c r="GH25" t="n">
        <v>4.994828974928175e-06</v>
      </c>
      <c r="GI25" t="n">
        <v>3.356710093636818e-06</v>
      </c>
      <c r="GJ25" t="n">
        <v>1.065130053986773e-06</v>
      </c>
      <c r="GK25" t="n">
        <v>1.192017750220023e-05</v>
      </c>
      <c r="GL25" t="n">
        <v>5.687337539426609e-07</v>
      </c>
      <c r="GM25" t="n">
        <v>1.849150060010277e-06</v>
      </c>
      <c r="GN25" t="n">
        <v>0.0003578993460064251</v>
      </c>
      <c r="GO25" t="n">
        <v>0.001633853092902091</v>
      </c>
      <c r="GP25" t="n">
        <v>0.0002492361669761831</v>
      </c>
      <c r="GQ25" t="n">
        <v>0</v>
      </c>
      <c r="GR25" t="n">
        <v>0.000508426525766684</v>
      </c>
      <c r="GS25" t="n">
        <v>0.01152436606399054</v>
      </c>
      <c r="GT25" t="n">
        <v>0.006714893675415502</v>
      </c>
      <c r="GU25" t="n">
        <v>0.004177469756178124</v>
      </c>
      <c r="GV25" t="n">
        <v>0.004158324984403702</v>
      </c>
      <c r="GW25" t="n">
        <v>0.007338337575700188</v>
      </c>
      <c r="GX25" t="n">
        <v>0.003649097205352114</v>
      </c>
      <c r="GY25" t="n">
        <v>0.0018511447237615</v>
      </c>
      <c r="GZ25" t="n">
        <v>0.0001870989073433732</v>
      </c>
      <c r="HA25" t="n">
        <v>0.001292951039347365</v>
      </c>
      <c r="HB25" t="n">
        <v>0.00354574306520855</v>
      </c>
      <c r="HC25" t="n">
        <v>0.01046287613351912</v>
      </c>
    </row>
    <row r="26">
      <c r="A26" s="1" t="inlineStr">
        <is>
          <t>M_row*Y_imp</t>
        </is>
      </c>
      <c r="B26" t="n">
        <v>5.40327739670187e-06</v>
      </c>
      <c r="C26" t="n">
        <v>0.0001317166902765649</v>
      </c>
      <c r="D26" t="n">
        <v>3.987803072080862e-06</v>
      </c>
      <c r="E26" t="n">
        <v>0.0021161522881838</v>
      </c>
      <c r="F26" t="n">
        <v>0.0004259042594998362</v>
      </c>
      <c r="G26" t="n">
        <v>0</v>
      </c>
      <c r="H26" t="n">
        <v>0.0003639023568564487</v>
      </c>
      <c r="I26" t="n">
        <v>0.0001138879991885836</v>
      </c>
      <c r="J26" t="n">
        <v>0</v>
      </c>
      <c r="K26" t="n">
        <v>0</v>
      </c>
      <c r="L26" t="n">
        <v>8.339482683871909e-06</v>
      </c>
      <c r="M26" t="n">
        <v>0.0005805390651629576</v>
      </c>
      <c r="N26" t="n">
        <v>0.000357040685942315</v>
      </c>
      <c r="O26" t="n">
        <v>0</v>
      </c>
      <c r="P26" t="n">
        <v>0</v>
      </c>
      <c r="Q26" t="n">
        <v>0</v>
      </c>
      <c r="R26" t="n">
        <v>0</v>
      </c>
      <c r="S26" t="n">
        <v>1.847266108318476e-05</v>
      </c>
      <c r="T26" t="n">
        <v>7.452405811804239e-05</v>
      </c>
      <c r="U26" t="n">
        <v>7.179098216575194e-09</v>
      </c>
      <c r="V26" t="n">
        <v>0</v>
      </c>
      <c r="W26" t="n">
        <v>1.051372408775937e-07</v>
      </c>
      <c r="X26" t="n">
        <v>0</v>
      </c>
      <c r="Y26" t="n">
        <v>3.638499861858672e-08</v>
      </c>
      <c r="Z26" t="n">
        <v>0</v>
      </c>
      <c r="AA26" t="n">
        <v>0</v>
      </c>
      <c r="AB26" t="n">
        <v>0</v>
      </c>
      <c r="AC26" t="n">
        <v>0</v>
      </c>
      <c r="AD26" t="n">
        <v>7.096774436224237e-06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0.001428521231741626</v>
      </c>
      <c r="AS26" t="n">
        <v>0.0001033591106263352</v>
      </c>
      <c r="AT26" t="n">
        <v>0.0001239220228239423</v>
      </c>
      <c r="AU26" t="n">
        <v>0.0002302307148579296</v>
      </c>
      <c r="AV26" t="n">
        <v>8.016879098282815e-05</v>
      </c>
      <c r="AW26" t="n">
        <v>0.0007301797536068481</v>
      </c>
      <c r="AX26" t="n">
        <v>3.920401514204402e-05</v>
      </c>
      <c r="AY26" t="n">
        <v>1.866874923434633e-05</v>
      </c>
      <c r="AZ26" t="n">
        <v>0.0030904516606436</v>
      </c>
      <c r="BA26" t="n">
        <v>0.0002325572192087782</v>
      </c>
      <c r="BB26" t="n">
        <v>0.0002454747719276267</v>
      </c>
      <c r="BC26" t="n">
        <v>7.895106372844777e-05</v>
      </c>
      <c r="BD26" t="n">
        <v>0.0009661806409261082</v>
      </c>
      <c r="BE26" t="n">
        <v>0.001822186509480755</v>
      </c>
      <c r="BF26" t="n">
        <v>0.007233047219440027</v>
      </c>
      <c r="BG26" t="n">
        <v>5.158704763764816e-05</v>
      </c>
      <c r="BH26" t="n">
        <v>0</v>
      </c>
      <c r="BI26" t="n">
        <v>0</v>
      </c>
      <c r="BJ26" t="n">
        <v>0</v>
      </c>
      <c r="BK26" t="n">
        <v>5.121642123672992e-05</v>
      </c>
      <c r="BL26" t="n">
        <v>2.819232860303067e-05</v>
      </c>
      <c r="BM26" t="n">
        <v>2.118643249710904e-09</v>
      </c>
      <c r="BN26" t="n">
        <v>0</v>
      </c>
      <c r="BO26" t="n">
        <v>0</v>
      </c>
      <c r="BP26" t="n">
        <v>0.0001441624683261223</v>
      </c>
      <c r="BQ26" t="n">
        <v>9.153353202794548e-10</v>
      </c>
      <c r="BR26" t="n">
        <v>0</v>
      </c>
      <c r="BS26" t="n">
        <v>1.655863067267716e-06</v>
      </c>
      <c r="BT26" t="n">
        <v>1.619805396166427e-06</v>
      </c>
      <c r="BU26" t="n">
        <v>9.754261540121762e-05</v>
      </c>
      <c r="BV26" t="n">
        <v>1.317078302642019e-07</v>
      </c>
      <c r="BW26" t="n">
        <v>0</v>
      </c>
      <c r="BX26" t="n">
        <v>1.102840947163743e-05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0.0003104965898944861</v>
      </c>
      <c r="CJ26" t="n">
        <v>0</v>
      </c>
      <c r="CK26" t="n">
        <v>5.798110469525783e-07</v>
      </c>
      <c r="CL26" t="n">
        <v>3.758607427980074e-05</v>
      </c>
      <c r="CM26" t="n">
        <v>0.0005876430302141553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3.448633672725437e-05</v>
      </c>
      <c r="CV26" t="n">
        <v>2.872520664126132e-09</v>
      </c>
      <c r="CW26" t="n">
        <v>2.339360626125861e-08</v>
      </c>
      <c r="CX26" t="n">
        <v>0</v>
      </c>
      <c r="CY26" t="n">
        <v>2.571002947262145e-05</v>
      </c>
      <c r="CZ26" t="n">
        <v>1.343229250301387e-10</v>
      </c>
      <c r="DA26" t="n">
        <v>0</v>
      </c>
      <c r="DB26" t="n">
        <v>3.797748934588472e-07</v>
      </c>
      <c r="DC26" t="n">
        <v>0</v>
      </c>
      <c r="DD26" t="n">
        <v>5.9092529164847e-08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3.458897363969539e-07</v>
      </c>
      <c r="DK26" t="n">
        <v>0</v>
      </c>
      <c r="DL26" t="n">
        <v>0</v>
      </c>
      <c r="DM26" t="n">
        <v>4.593639200773507e-05</v>
      </c>
      <c r="DN26" t="n">
        <v>4.967746368469093e-06</v>
      </c>
      <c r="DO26" t="n">
        <v>0.0001237275907885641</v>
      </c>
      <c r="DP26" t="n">
        <v>4.36455969663211e-05</v>
      </c>
      <c r="DQ26" t="n">
        <v>6.75295566464402e-05</v>
      </c>
      <c r="DR26" t="n">
        <v>4.426895340002075e-05</v>
      </c>
      <c r="DS26" t="n">
        <v>0.0007308134238487726</v>
      </c>
      <c r="DT26" t="n">
        <v>4.525830622543733e-05</v>
      </c>
      <c r="DU26" t="n">
        <v>0.0006113570498145854</v>
      </c>
      <c r="DV26" t="n">
        <v>0</v>
      </c>
      <c r="DW26" t="n">
        <v>0</v>
      </c>
      <c r="DX26" t="n">
        <v>2.770001230902101e-07</v>
      </c>
      <c r="DY26" t="n">
        <v>1.139588720615156e-06</v>
      </c>
      <c r="DZ26" t="n">
        <v>2.248093351922214e-06</v>
      </c>
      <c r="EA26" t="n">
        <v>2.898212488983476e-06</v>
      </c>
      <c r="EB26" t="n">
        <v>1.473836228910625e-07</v>
      </c>
      <c r="EC26" t="n">
        <v>9.835621360200246e-08</v>
      </c>
      <c r="ED26" t="n">
        <v>1.598266385486701e-07</v>
      </c>
      <c r="EE26" t="n">
        <v>1.27750983187431e-07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5.007070493666848e-06</v>
      </c>
      <c r="EY26" t="n">
        <v>0</v>
      </c>
      <c r="EZ26" t="n">
        <v>0</v>
      </c>
      <c r="FA26" t="n">
        <v>3.511048299046626e-05</v>
      </c>
      <c r="FB26" t="n">
        <v>0.0001072718237138617</v>
      </c>
      <c r="FC26" t="n">
        <v>5.803572691004611e-08</v>
      </c>
      <c r="FD26" t="n">
        <v>0.0002111378687773671</v>
      </c>
      <c r="FE26" t="n">
        <v>2.422433033463112e-05</v>
      </c>
      <c r="FF26" t="n">
        <v>0.0003031863289365653</v>
      </c>
      <c r="FG26" t="n">
        <v>2.531487998260963e-05</v>
      </c>
      <c r="FH26" t="n">
        <v>4.673874564348635e-05</v>
      </c>
      <c r="FI26" t="n">
        <v>1.343495964944214e-05</v>
      </c>
      <c r="FJ26" t="n">
        <v>1.747451116374657e-05</v>
      </c>
      <c r="FK26" t="n">
        <v>0</v>
      </c>
      <c r="FL26" t="n">
        <v>0</v>
      </c>
      <c r="FM26" t="n">
        <v>0</v>
      </c>
      <c r="FN26" t="n">
        <v>4.792411155599751e-08</v>
      </c>
      <c r="FO26" t="n">
        <v>8.073260859544997e-05</v>
      </c>
      <c r="FP26" t="n">
        <v>1.242032416757493e-05</v>
      </c>
      <c r="FQ26" t="n">
        <v>5.960277812787235e-05</v>
      </c>
      <c r="FR26" t="n">
        <v>3.455813390059857e-05</v>
      </c>
      <c r="FS26" t="n">
        <v>9.238069847537259e-05</v>
      </c>
      <c r="FT26" t="n">
        <v>1.016380448503537e-07</v>
      </c>
      <c r="FU26" t="n">
        <v>7.866857462755835e-08</v>
      </c>
      <c r="FV26" t="n">
        <v>3.801303193371974e-08</v>
      </c>
      <c r="FW26" t="n">
        <v>1.767535271553506e-07</v>
      </c>
      <c r="FX26" t="n">
        <v>1.294284138605562e-08</v>
      </c>
      <c r="FY26" t="n">
        <v>2.60353477569601e-08</v>
      </c>
      <c r="FZ26" t="n">
        <v>8.820304402611925e-08</v>
      </c>
      <c r="GA26" t="n">
        <v>3.699021638104524e-09</v>
      </c>
      <c r="GB26" t="n">
        <v>3.165627629439856e-10</v>
      </c>
      <c r="GC26" t="n">
        <v>7.51373453481651e-08</v>
      </c>
      <c r="GD26" t="n">
        <v>9.947602922195688e-08</v>
      </c>
      <c r="GE26" t="n">
        <v>0</v>
      </c>
      <c r="GF26" t="n">
        <v>2.469744656074444e-08</v>
      </c>
      <c r="GG26" t="n">
        <v>4.886819026218944e-08</v>
      </c>
      <c r="GH26" t="n">
        <v>4.876568853190099e-08</v>
      </c>
      <c r="GI26" t="n">
        <v>3.000633766278555e-08</v>
      </c>
      <c r="GJ26" t="n">
        <v>5.859781378954169e-09</v>
      </c>
      <c r="GK26" t="n">
        <v>1.187271628426165e-07</v>
      </c>
      <c r="GL26" t="n">
        <v>2.932475659354561e-09</v>
      </c>
      <c r="GM26" t="n">
        <v>1.328552363242812e-08</v>
      </c>
      <c r="GN26" t="n">
        <v>8.315513682909191e-06</v>
      </c>
      <c r="GO26" t="n">
        <v>0.0001152367406535194</v>
      </c>
      <c r="GP26" t="n">
        <v>2.269971720363579e-05</v>
      </c>
      <c r="GQ26" t="n">
        <v>0</v>
      </c>
      <c r="GR26" t="n">
        <v>0.002196321079166628</v>
      </c>
      <c r="GS26" t="n">
        <v>0.001428521231741626</v>
      </c>
      <c r="GT26" t="n">
        <v>0.001046390396155037</v>
      </c>
      <c r="GU26" t="n">
        <v>0.001161744497667206</v>
      </c>
      <c r="GV26" t="n">
        <v>0.0007301797536068481</v>
      </c>
      <c r="GW26" t="n">
        <v>0.004614405372826413</v>
      </c>
      <c r="GX26" t="n">
        <v>0.0006344766809779877</v>
      </c>
      <c r="GY26" t="n">
        <v>0.001720300716168097</v>
      </c>
      <c r="GZ26" t="n">
        <v>0.01002141436984689</v>
      </c>
      <c r="HA26" t="n">
        <v>0.001837727392921067</v>
      </c>
      <c r="HB26" t="n">
        <v>0</v>
      </c>
      <c r="HC26" t="n">
        <v>0.0005349586318286787</v>
      </c>
    </row>
    <row r="27">
      <c r="A27" s="1" t="inlineStr">
        <is>
          <t>M_imp*Y_dom+M_dom*Y_dom+M_row*Y_imp</t>
        </is>
      </c>
      <c r="B27" t="n">
        <v>0.0001501438734777082</v>
      </c>
      <c r="C27" t="n">
        <v>0.0002887855709741267</v>
      </c>
      <c r="D27" t="n">
        <v>0.0001079023626257933</v>
      </c>
      <c r="E27" t="n">
        <v>0.002621856755144617</v>
      </c>
      <c r="F27" t="n">
        <v>0.00045215244397993</v>
      </c>
      <c r="G27" t="n">
        <v>0</v>
      </c>
      <c r="H27" t="n">
        <v>0.000778734119692475</v>
      </c>
      <c r="I27" t="n">
        <v>0.0001138879991885836</v>
      </c>
      <c r="J27" t="n">
        <v>0</v>
      </c>
      <c r="K27" t="n">
        <v>0</v>
      </c>
      <c r="L27" t="n">
        <v>0.0005522838009127836</v>
      </c>
      <c r="M27" t="n">
        <v>0.002576957112119729</v>
      </c>
      <c r="N27" t="n">
        <v>0.0005262268702731908</v>
      </c>
      <c r="O27" t="n">
        <v>0.0001996525571545452</v>
      </c>
      <c r="P27" t="n">
        <v>0</v>
      </c>
      <c r="Q27" t="n">
        <v>0</v>
      </c>
      <c r="R27" t="n">
        <v>0</v>
      </c>
      <c r="S27" t="n">
        <v>6.261687484165672e-05</v>
      </c>
      <c r="T27" t="n">
        <v>0.0001241352027161339</v>
      </c>
      <c r="U27" t="n">
        <v>7.179098216575194e-09</v>
      </c>
      <c r="V27" t="n">
        <v>0</v>
      </c>
      <c r="W27" t="n">
        <v>1.051372408775937e-07</v>
      </c>
      <c r="X27" t="n">
        <v>0</v>
      </c>
      <c r="Y27" t="n">
        <v>3.638499861858672e-08</v>
      </c>
      <c r="Z27" t="n">
        <v>0</v>
      </c>
      <c r="AA27" t="n">
        <v>0</v>
      </c>
      <c r="AB27" t="n">
        <v>0</v>
      </c>
      <c r="AC27" t="n">
        <v>0</v>
      </c>
      <c r="AD27" t="n">
        <v>1.187437635029187e-05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0.01295288729573217</v>
      </c>
      <c r="AS27" t="n">
        <v>0.0002755013707914999</v>
      </c>
      <c r="AT27" t="n">
        <v>0.0009792165081916116</v>
      </c>
      <c r="AU27" t="n">
        <v>0.003377325279554915</v>
      </c>
      <c r="AV27" t="n">
        <v>8.289084978869502e-05</v>
      </c>
      <c r="AW27" t="n">
        <v>0.004688852180856005</v>
      </c>
      <c r="AX27" t="n">
        <v>3.964826404977414e-05</v>
      </c>
      <c r="AY27" t="n">
        <v>5.058837522796132e-05</v>
      </c>
      <c r="AZ27" t="n">
        <v>0.00842881881312002</v>
      </c>
      <c r="BA27" t="n">
        <v>0.0009842414261490209</v>
      </c>
      <c r="BB27" t="n">
        <v>0.0008624309059833672</v>
      </c>
      <c r="BC27" t="n">
        <v>9.209672765776025e-05</v>
      </c>
      <c r="BD27" t="n">
        <v>0.001055514778370956</v>
      </c>
      <c r="BE27" t="n">
        <v>0.001904858094604859</v>
      </c>
      <c r="BF27" t="n">
        <v>0.007248140404214449</v>
      </c>
      <c r="BG27" t="n">
        <v>6.374486618741272e-05</v>
      </c>
      <c r="BH27" t="n">
        <v>5.616925704793267e-06</v>
      </c>
      <c r="BI27" t="n">
        <v>0</v>
      </c>
      <c r="BJ27" t="n">
        <v>0</v>
      </c>
      <c r="BK27" t="n">
        <v>0.0001084572657232831</v>
      </c>
      <c r="BL27" t="n">
        <v>9.389643323303787e-05</v>
      </c>
      <c r="BM27" t="n">
        <v>2.81362494704142e-09</v>
      </c>
      <c r="BN27" t="n">
        <v>0</v>
      </c>
      <c r="BO27" t="n">
        <v>0</v>
      </c>
      <c r="BP27" t="n">
        <v>0.0003527885860394709</v>
      </c>
      <c r="BQ27" t="n">
        <v>9.153353202794548e-10</v>
      </c>
      <c r="BR27" t="n">
        <v>0</v>
      </c>
      <c r="BS27" t="n">
        <v>2.154213755765773e-06</v>
      </c>
      <c r="BT27" t="n">
        <v>1.619805396166427e-06</v>
      </c>
      <c r="BU27" t="n">
        <v>0.0002457841866157717</v>
      </c>
      <c r="BV27" t="n">
        <v>1.464549694441337e-07</v>
      </c>
      <c r="BW27" t="n">
        <v>0</v>
      </c>
      <c r="BX27" t="n">
        <v>1.455277199448654e-05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0.001149873355060792</v>
      </c>
      <c r="CJ27" t="n">
        <v>3.90397568521256e-05</v>
      </c>
      <c r="CK27" t="n">
        <v>6.435300700775665e-07</v>
      </c>
      <c r="CL27" t="n">
        <v>3.813395899580143e-05</v>
      </c>
      <c r="CM27" t="n">
        <v>0.0008405253468484169</v>
      </c>
      <c r="CN27" t="n">
        <v>0</v>
      </c>
      <c r="CO27" t="n">
        <v>0</v>
      </c>
      <c r="CP27" t="n">
        <v>3.96686824964401e-06</v>
      </c>
      <c r="CQ27" t="n">
        <v>4.654984391077896e-06</v>
      </c>
      <c r="CR27" t="n">
        <v>0</v>
      </c>
      <c r="CS27" t="n">
        <v>0</v>
      </c>
      <c r="CT27" t="n">
        <v>0</v>
      </c>
      <c r="CU27" t="n">
        <v>4.501078876448995e-05</v>
      </c>
      <c r="CV27" t="n">
        <v>9.658742211572283e-08</v>
      </c>
      <c r="CW27" t="n">
        <v>5.552314854431551e-07</v>
      </c>
      <c r="CX27" t="n">
        <v>1.057769062348744e-07</v>
      </c>
      <c r="CY27" t="n">
        <v>4.031680933460449e-05</v>
      </c>
      <c r="CZ27" t="n">
        <v>1.875239797553169e-10</v>
      </c>
      <c r="DA27" t="n">
        <v>2.046999847253279e-11</v>
      </c>
      <c r="DB27" t="n">
        <v>3.797748934588472e-07</v>
      </c>
      <c r="DC27" t="n">
        <v>0</v>
      </c>
      <c r="DD27" t="n">
        <v>6.715243484561275e-08</v>
      </c>
      <c r="DE27" t="n">
        <v>4.492760454366899e-09</v>
      </c>
      <c r="DF27" t="n">
        <v>0</v>
      </c>
      <c r="DG27" t="n">
        <v>0</v>
      </c>
      <c r="DH27" t="n">
        <v>0</v>
      </c>
      <c r="DI27" t="n">
        <v>0</v>
      </c>
      <c r="DJ27" t="n">
        <v>3.458897363969539e-07</v>
      </c>
      <c r="DK27" t="n">
        <v>0</v>
      </c>
      <c r="DL27" t="n">
        <v>2.232500809481546e-09</v>
      </c>
      <c r="DM27" t="n">
        <v>8.838233215159346e-05</v>
      </c>
      <c r="DN27" t="n">
        <v>9.004911928507253e-06</v>
      </c>
      <c r="DO27" t="n">
        <v>0.0001237275907885641</v>
      </c>
      <c r="DP27" t="n">
        <v>6.644636820752387e-05</v>
      </c>
      <c r="DQ27" t="n">
        <v>9.288811221144975e-05</v>
      </c>
      <c r="DR27" t="n">
        <v>7.303893435497723e-05</v>
      </c>
      <c r="DS27" t="n">
        <v>0.001151134786322827</v>
      </c>
      <c r="DT27" t="n">
        <v>6.522959828128383e-05</v>
      </c>
      <c r="DU27" t="n">
        <v>0.0007343858389345124</v>
      </c>
      <c r="DV27" t="n">
        <v>0</v>
      </c>
      <c r="DW27" t="n">
        <v>0</v>
      </c>
      <c r="DX27" t="n">
        <v>1.096079308200399e-05</v>
      </c>
      <c r="DY27" t="n">
        <v>7.780083321620531e-06</v>
      </c>
      <c r="DZ27" t="n">
        <v>0.0001157679942259365</v>
      </c>
      <c r="EA27" t="n">
        <v>1.991604497767051e-05</v>
      </c>
      <c r="EB27" t="n">
        <v>2.823473519270434e-06</v>
      </c>
      <c r="EC27" t="n">
        <v>1.818654886912196e-06</v>
      </c>
      <c r="ED27" t="n">
        <v>2.597238501275683e-06</v>
      </c>
      <c r="EE27" t="n">
        <v>3.248194593374198e-07</v>
      </c>
      <c r="EF27" t="n">
        <v>0</v>
      </c>
      <c r="EG27" t="n">
        <v>1.892591708381938e-07</v>
      </c>
      <c r="EH27" t="n">
        <v>0</v>
      </c>
      <c r="EI27" t="n">
        <v>0</v>
      </c>
      <c r="EJ27" t="n">
        <v>1.510264459768501e-05</v>
      </c>
      <c r="EK27" t="n">
        <v>5.759144262854846e-05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0.0001171981032487684</v>
      </c>
      <c r="ER27" t="n">
        <v>7.373404559623231e-05</v>
      </c>
      <c r="ES27" t="n">
        <v>4.697270422809006e-05</v>
      </c>
      <c r="ET27" t="n">
        <v>9.643095467797793e-05</v>
      </c>
      <c r="EU27" t="n">
        <v>0</v>
      </c>
      <c r="EV27" t="n">
        <v>0.0001285270880368705</v>
      </c>
      <c r="EW27" t="n">
        <v>9.230220758383082e-06</v>
      </c>
      <c r="EX27" t="n">
        <v>6.447477892895264e-05</v>
      </c>
      <c r="EY27" t="n">
        <v>4.728450807906844e-05</v>
      </c>
      <c r="EZ27" t="n">
        <v>0.00354574306520855</v>
      </c>
      <c r="FA27" t="n">
        <v>0.0002085671164581529</v>
      </c>
      <c r="FB27" t="n">
        <v>0.0003590314359452484</v>
      </c>
      <c r="FC27" t="n">
        <v>1.206019191416324e-05</v>
      </c>
      <c r="FD27" t="n">
        <v>0.0002740887899303585</v>
      </c>
      <c r="FE27" t="n">
        <v>7.750439600453542e-05</v>
      </c>
      <c r="FF27" t="n">
        <v>0.0005622451179598355</v>
      </c>
      <c r="FG27" t="n">
        <v>0.0001805382244967762</v>
      </c>
      <c r="FH27" t="n">
        <v>0.0003633591650528292</v>
      </c>
      <c r="FI27" t="n">
        <v>0.0001466729191706023</v>
      </c>
      <c r="FJ27" t="n">
        <v>0.0004034071401707909</v>
      </c>
      <c r="FK27" t="n">
        <v>0</v>
      </c>
      <c r="FL27" t="n">
        <v>0.001891783075400958</v>
      </c>
      <c r="FM27" t="n">
        <v>3.853790322105424e-05</v>
      </c>
      <c r="FN27" t="n">
        <v>8.138004087302602e-07</v>
      </c>
      <c r="FO27" t="n">
        <v>0.000420801136885125</v>
      </c>
      <c r="FP27" t="n">
        <v>0.0001836380904518878</v>
      </c>
      <c r="FQ27" t="n">
        <v>0.002196677185610073</v>
      </c>
      <c r="FR27" t="n">
        <v>0.001572735680932055</v>
      </c>
      <c r="FS27" t="n">
        <v>0.002723483050256</v>
      </c>
      <c r="FT27" t="n">
        <v>6.990421684302206e-06</v>
      </c>
      <c r="FU27" t="n">
        <v>7.376202976193687e-06</v>
      </c>
      <c r="FV27" t="n">
        <v>3.380716936217832e-06</v>
      </c>
      <c r="FW27" t="n">
        <v>8.921017250945819e-06</v>
      </c>
      <c r="FX27" t="n">
        <v>1.533821797214747e-06</v>
      </c>
      <c r="FY27" t="n">
        <v>2.105762716514761e-06</v>
      </c>
      <c r="FZ27" t="n">
        <v>8.106558218072967e-06</v>
      </c>
      <c r="GA27" t="n">
        <v>5.963564057139439e-07</v>
      </c>
      <c r="GB27" t="n">
        <v>4.986336662426938e-08</v>
      </c>
      <c r="GC27" t="n">
        <v>7.472551451047287e-06</v>
      </c>
      <c r="GD27" t="n">
        <v>4.44329856295833e-06</v>
      </c>
      <c r="GE27" t="n">
        <v>1.614470399754637e-07</v>
      </c>
      <c r="GF27" t="n">
        <v>2.939264619145304e-06</v>
      </c>
      <c r="GG27" t="n">
        <v>5.389000802406159e-06</v>
      </c>
      <c r="GH27" t="n">
        <v>5.043594663460075e-06</v>
      </c>
      <c r="GI27" t="n">
        <v>3.386716431299603e-06</v>
      </c>
      <c r="GJ27" t="n">
        <v>1.070989835365727e-06</v>
      </c>
      <c r="GK27" t="n">
        <v>1.203890466504284e-05</v>
      </c>
      <c r="GL27" t="n">
        <v>5.716662296020155e-07</v>
      </c>
      <c r="GM27" t="n">
        <v>1.862435583642705e-06</v>
      </c>
      <c r="GN27" t="n">
        <v>0.0003662148596893343</v>
      </c>
      <c r="GO27" t="n">
        <v>0.00174908983355561</v>
      </c>
      <c r="GP27" t="n">
        <v>0.0002719358841798189</v>
      </c>
      <c r="GQ27" t="n">
        <v>0</v>
      </c>
      <c r="GR27" t="n">
        <v>0.002704747604933312</v>
      </c>
      <c r="GS27" t="n">
        <v>0.01295288729573217</v>
      </c>
      <c r="GT27" t="n">
        <v>0.007761284071570538</v>
      </c>
      <c r="GU27" t="n">
        <v>0.00533921425384533</v>
      </c>
      <c r="GV27" t="n">
        <v>0.00488850473801055</v>
      </c>
      <c r="GW27" t="n">
        <v>0.0119527429485266</v>
      </c>
      <c r="GX27" t="n">
        <v>0.004283573886330102</v>
      </c>
      <c r="GY27" t="n">
        <v>0.003571445439929597</v>
      </c>
      <c r="GZ27" t="n">
        <v>0.01020851327719026</v>
      </c>
      <c r="HA27" t="n">
        <v>0.003130678432268432</v>
      </c>
      <c r="HB27" t="n">
        <v>0.00354574306520855</v>
      </c>
      <c r="HC27" t="n">
        <v>0.0109978347653478</v>
      </c>
    </row>
    <row r="28">
      <c r="A28" s="1" t="inlineStr">
        <is>
          <t>Clé de tri</t>
        </is>
      </c>
      <c r="B28">
        <f>INDEX(B$18:B$27,MATCH($B$1,$A$18:$A$27,0))</f>
        <v/>
      </c>
      <c r="C28">
        <f>INDEX(C$18:C$27,MATCH($B$1,$A$18:$A$27,0))</f>
        <v/>
      </c>
      <c r="D28">
        <f>INDEX(D$18:D$27,MATCH($B$1,$A$18:$A$27,0))</f>
        <v/>
      </c>
      <c r="E28">
        <f>INDEX(E$18:E$27,MATCH($B$1,$A$18:$A$27,0))</f>
        <v/>
      </c>
      <c r="F28">
        <f>INDEX(F$18:F$27,MATCH($B$1,$A$18:$A$27,0))</f>
        <v/>
      </c>
      <c r="G28">
        <f>INDEX(G$18:G$27,MATCH($B$1,$A$18:$A$27,0))</f>
        <v/>
      </c>
      <c r="H28">
        <f>INDEX(H$18:H$27,MATCH($B$1,$A$18:$A$27,0))</f>
        <v/>
      </c>
      <c r="I28">
        <f>INDEX(I$18:I$27,MATCH($B$1,$A$18:$A$27,0))</f>
        <v/>
      </c>
      <c r="J28">
        <f>INDEX(J$18:J$27,MATCH($B$1,$A$18:$A$27,0))</f>
        <v/>
      </c>
      <c r="K28">
        <f>INDEX(K$18:K$27,MATCH($B$1,$A$18:$A$27,0))</f>
        <v/>
      </c>
      <c r="L28">
        <f>INDEX(L$18:L$27,MATCH($B$1,$A$18:$A$27,0))</f>
        <v/>
      </c>
      <c r="M28">
        <f>INDEX(M$18:M$27,MATCH($B$1,$A$18:$A$27,0))</f>
        <v/>
      </c>
      <c r="N28">
        <f>INDEX(N$18:N$27,MATCH($B$1,$A$18:$A$27,0))</f>
        <v/>
      </c>
      <c r="O28">
        <f>INDEX(O$18:O$27,MATCH($B$1,$A$18:$A$27,0))</f>
        <v/>
      </c>
      <c r="P28">
        <f>INDEX(P$18:P$27,MATCH($B$1,$A$18:$A$27,0))</f>
        <v/>
      </c>
      <c r="Q28">
        <f>INDEX(Q$18:Q$27,MATCH($B$1,$A$18:$A$27,0))</f>
        <v/>
      </c>
      <c r="R28">
        <f>INDEX(R$18:R$27,MATCH($B$1,$A$18:$A$27,0))</f>
        <v/>
      </c>
      <c r="S28">
        <f>INDEX(S$18:S$27,MATCH($B$1,$A$18:$A$27,0))</f>
        <v/>
      </c>
      <c r="T28">
        <f>INDEX(T$18:T$27,MATCH($B$1,$A$18:$A$27,0))</f>
        <v/>
      </c>
      <c r="U28">
        <f>INDEX(U$18:U$27,MATCH($B$1,$A$18:$A$27,0))</f>
        <v/>
      </c>
      <c r="V28">
        <f>INDEX(V$18:V$27,MATCH($B$1,$A$18:$A$27,0))</f>
        <v/>
      </c>
      <c r="W28">
        <f>INDEX(W$18:W$27,MATCH($B$1,$A$18:$A$27,0))</f>
        <v/>
      </c>
      <c r="X28">
        <f>INDEX(X$18:X$27,MATCH($B$1,$A$18:$A$27,0))</f>
        <v/>
      </c>
      <c r="Y28">
        <f>INDEX(Y$18:Y$27,MATCH($B$1,$A$18:$A$27,0))</f>
        <v/>
      </c>
      <c r="Z28">
        <f>INDEX(Z$18:Z$27,MATCH($B$1,$A$18:$A$27,0))</f>
        <v/>
      </c>
      <c r="AA28">
        <f>INDEX(AA$18:AA$27,MATCH($B$1,$A$18:$A$27,0))</f>
        <v/>
      </c>
      <c r="AB28">
        <f>INDEX(AB$18:AB$27,MATCH($B$1,$A$18:$A$27,0))</f>
        <v/>
      </c>
      <c r="AC28">
        <f>INDEX(AC$18:AC$27,MATCH($B$1,$A$18:$A$27,0))</f>
        <v/>
      </c>
      <c r="AD28">
        <f>INDEX(AD$18:AD$27,MATCH($B$1,$A$18:$A$27,0))</f>
        <v/>
      </c>
      <c r="AE28">
        <f>INDEX(AE$18:AE$27,MATCH($B$1,$A$18:$A$27,0))</f>
        <v/>
      </c>
      <c r="AF28">
        <f>INDEX(AF$18:AF$27,MATCH($B$1,$A$18:$A$27,0))</f>
        <v/>
      </c>
      <c r="AG28">
        <f>INDEX(AG$18:AG$27,MATCH($B$1,$A$18:$A$27,0))</f>
        <v/>
      </c>
      <c r="AH28">
        <f>INDEX(AH$18:AH$27,MATCH($B$1,$A$18:$A$27,0))</f>
        <v/>
      </c>
      <c r="AI28">
        <f>INDEX(AI$18:AI$27,MATCH($B$1,$A$18:$A$27,0))</f>
        <v/>
      </c>
      <c r="AJ28">
        <f>INDEX(AJ$18:AJ$27,MATCH($B$1,$A$18:$A$27,0))</f>
        <v/>
      </c>
      <c r="AK28">
        <f>INDEX(AK$18:AK$27,MATCH($B$1,$A$18:$A$27,0))</f>
        <v/>
      </c>
      <c r="AL28">
        <f>INDEX(AL$18:AL$27,MATCH($B$1,$A$18:$A$27,0))</f>
        <v/>
      </c>
      <c r="AM28">
        <f>INDEX(AM$18:AM$27,MATCH($B$1,$A$18:$A$27,0))</f>
        <v/>
      </c>
      <c r="AN28">
        <f>INDEX(AN$18:AN$27,MATCH($B$1,$A$18:$A$27,0))</f>
        <v/>
      </c>
      <c r="AO28">
        <f>INDEX(AO$18:AO$27,MATCH($B$1,$A$18:$A$27,0))</f>
        <v/>
      </c>
      <c r="AP28">
        <f>INDEX(AP$18:AP$27,MATCH($B$1,$A$18:$A$27,0))</f>
        <v/>
      </c>
      <c r="AQ28">
        <f>INDEX(AQ$18:AQ$27,MATCH($B$1,$A$18:$A$27,0))</f>
        <v/>
      </c>
      <c r="AR28">
        <f>INDEX(AR$18:AR$27,MATCH($B$1,$A$18:$A$27,0))</f>
        <v/>
      </c>
      <c r="AS28">
        <f>INDEX(AS$18:AS$27,MATCH($B$1,$A$18:$A$27,0))</f>
        <v/>
      </c>
      <c r="AT28">
        <f>INDEX(AT$18:AT$27,MATCH($B$1,$A$18:$A$27,0))</f>
        <v/>
      </c>
      <c r="AU28">
        <f>INDEX(AU$18:AU$27,MATCH($B$1,$A$18:$A$27,0))</f>
        <v/>
      </c>
      <c r="AV28">
        <f>INDEX(AV$18:AV$27,MATCH($B$1,$A$18:$A$27,0))</f>
        <v/>
      </c>
      <c r="AW28">
        <f>INDEX(AW$18:AW$27,MATCH($B$1,$A$18:$A$27,0))</f>
        <v/>
      </c>
      <c r="AX28">
        <f>INDEX(AX$18:AX$27,MATCH($B$1,$A$18:$A$27,0))</f>
        <v/>
      </c>
      <c r="AY28">
        <f>INDEX(AY$18:AY$27,MATCH($B$1,$A$18:$A$27,0))</f>
        <v/>
      </c>
      <c r="AZ28">
        <f>INDEX(AZ$18:AZ$27,MATCH($B$1,$A$18:$A$27,0))</f>
        <v/>
      </c>
      <c r="BA28">
        <f>INDEX(BA$18:BA$27,MATCH($B$1,$A$18:$A$27,0))</f>
        <v/>
      </c>
      <c r="BB28">
        <f>INDEX(BB$18:BB$27,MATCH($B$1,$A$18:$A$27,0))</f>
        <v/>
      </c>
      <c r="BC28">
        <f>INDEX(BC$18:BC$27,MATCH($B$1,$A$18:$A$27,0))</f>
        <v/>
      </c>
      <c r="BD28">
        <f>INDEX(BD$18:BD$27,MATCH($B$1,$A$18:$A$27,0))</f>
        <v/>
      </c>
      <c r="BE28">
        <f>INDEX(BE$18:BE$27,MATCH($B$1,$A$18:$A$27,0))</f>
        <v/>
      </c>
      <c r="BF28">
        <f>INDEX(BF$18:BF$27,MATCH($B$1,$A$18:$A$27,0))</f>
        <v/>
      </c>
      <c r="BG28">
        <f>INDEX(BG$18:BG$27,MATCH($B$1,$A$18:$A$27,0))</f>
        <v/>
      </c>
      <c r="BH28">
        <f>INDEX(BH$18:BH$27,MATCH($B$1,$A$18:$A$27,0))</f>
        <v/>
      </c>
      <c r="BI28">
        <f>INDEX(BI$18:BI$27,MATCH($B$1,$A$18:$A$27,0))</f>
        <v/>
      </c>
      <c r="BJ28">
        <f>INDEX(BJ$18:BJ$27,MATCH($B$1,$A$18:$A$27,0))</f>
        <v/>
      </c>
      <c r="BK28">
        <f>INDEX(BK$18:BK$27,MATCH($B$1,$A$18:$A$27,0))</f>
        <v/>
      </c>
      <c r="BL28">
        <f>INDEX(BL$18:BL$27,MATCH($B$1,$A$18:$A$27,0))</f>
        <v/>
      </c>
      <c r="BM28">
        <f>INDEX(BM$18:BM$27,MATCH($B$1,$A$18:$A$27,0))</f>
        <v/>
      </c>
      <c r="BN28">
        <f>INDEX(BN$18:BN$27,MATCH($B$1,$A$18:$A$27,0))</f>
        <v/>
      </c>
      <c r="BO28">
        <f>INDEX(BO$18:BO$27,MATCH($B$1,$A$18:$A$27,0))</f>
        <v/>
      </c>
      <c r="BP28">
        <f>INDEX(BP$18:BP$27,MATCH($B$1,$A$18:$A$27,0))</f>
        <v/>
      </c>
      <c r="BQ28">
        <f>INDEX(BQ$18:BQ$27,MATCH($B$1,$A$18:$A$27,0))</f>
        <v/>
      </c>
      <c r="BR28">
        <f>INDEX(BR$18:BR$27,MATCH($B$1,$A$18:$A$27,0))</f>
        <v/>
      </c>
      <c r="BS28">
        <f>INDEX(BS$18:BS$27,MATCH($B$1,$A$18:$A$27,0))</f>
        <v/>
      </c>
      <c r="BT28">
        <f>INDEX(BT$18:BT$27,MATCH($B$1,$A$18:$A$27,0))</f>
        <v/>
      </c>
      <c r="BU28">
        <f>INDEX(BU$18:BU$27,MATCH($B$1,$A$18:$A$27,0))</f>
        <v/>
      </c>
      <c r="BV28">
        <f>INDEX(BV$18:BV$27,MATCH($B$1,$A$18:$A$27,0))</f>
        <v/>
      </c>
      <c r="BW28">
        <f>INDEX(BW$18:BW$27,MATCH($B$1,$A$18:$A$27,0))</f>
        <v/>
      </c>
      <c r="BX28">
        <f>INDEX(BX$18:BX$27,MATCH($B$1,$A$18:$A$27,0))</f>
        <v/>
      </c>
      <c r="BY28">
        <f>INDEX(BY$18:BY$27,MATCH($B$1,$A$18:$A$27,0))</f>
        <v/>
      </c>
      <c r="BZ28">
        <f>INDEX(BZ$18:BZ$27,MATCH($B$1,$A$18:$A$27,0))</f>
        <v/>
      </c>
      <c r="CA28">
        <f>INDEX(CA$18:CA$27,MATCH($B$1,$A$18:$A$27,0))</f>
        <v/>
      </c>
      <c r="CB28">
        <f>INDEX(CB$18:CB$27,MATCH($B$1,$A$18:$A$27,0))</f>
        <v/>
      </c>
      <c r="CC28">
        <f>INDEX(CC$18:CC$27,MATCH($B$1,$A$18:$A$27,0))</f>
        <v/>
      </c>
      <c r="CD28">
        <f>INDEX(CD$18:CD$27,MATCH($B$1,$A$18:$A$27,0))</f>
        <v/>
      </c>
      <c r="CE28">
        <f>INDEX(CE$18:CE$27,MATCH($B$1,$A$18:$A$27,0))</f>
        <v/>
      </c>
      <c r="CF28">
        <f>INDEX(CF$18:CF$27,MATCH($B$1,$A$18:$A$27,0))</f>
        <v/>
      </c>
      <c r="CG28">
        <f>INDEX(CG$18:CG$27,MATCH($B$1,$A$18:$A$27,0))</f>
        <v/>
      </c>
      <c r="CH28">
        <f>INDEX(CH$18:CH$27,MATCH($B$1,$A$18:$A$27,0))</f>
        <v/>
      </c>
      <c r="CI28">
        <f>INDEX(CI$18:CI$27,MATCH($B$1,$A$18:$A$27,0))</f>
        <v/>
      </c>
      <c r="CJ28">
        <f>INDEX(CJ$18:CJ$27,MATCH($B$1,$A$18:$A$27,0))</f>
        <v/>
      </c>
      <c r="CK28">
        <f>INDEX(CK$18:CK$27,MATCH($B$1,$A$18:$A$27,0))</f>
        <v/>
      </c>
      <c r="CL28">
        <f>INDEX(CL$18:CL$27,MATCH($B$1,$A$18:$A$27,0))</f>
        <v/>
      </c>
      <c r="CM28">
        <f>INDEX(CM$18:CM$27,MATCH($B$1,$A$18:$A$27,0))</f>
        <v/>
      </c>
      <c r="CN28">
        <f>INDEX(CN$18:CN$27,MATCH($B$1,$A$18:$A$27,0))</f>
        <v/>
      </c>
      <c r="CO28">
        <f>INDEX(CO$18:CO$27,MATCH($B$1,$A$18:$A$27,0))</f>
        <v/>
      </c>
      <c r="CP28">
        <f>INDEX(CP$18:CP$27,MATCH($B$1,$A$18:$A$27,0))</f>
        <v/>
      </c>
      <c r="CQ28">
        <f>INDEX(CQ$18:CQ$27,MATCH($B$1,$A$18:$A$27,0))</f>
        <v/>
      </c>
      <c r="CR28">
        <f>INDEX(CR$18:CR$27,MATCH($B$1,$A$18:$A$27,0))</f>
        <v/>
      </c>
      <c r="CS28">
        <f>INDEX(CS$18:CS$27,MATCH($B$1,$A$18:$A$27,0))</f>
        <v/>
      </c>
      <c r="CT28">
        <f>INDEX(CT$18:CT$27,MATCH($B$1,$A$18:$A$27,0))</f>
        <v/>
      </c>
      <c r="CU28">
        <f>INDEX(CU$18:CU$27,MATCH($B$1,$A$18:$A$27,0))</f>
        <v/>
      </c>
      <c r="CV28">
        <f>INDEX(CV$18:CV$27,MATCH($B$1,$A$18:$A$27,0))</f>
        <v/>
      </c>
      <c r="CW28">
        <f>INDEX(CW$18:CW$27,MATCH($B$1,$A$18:$A$27,0))</f>
        <v/>
      </c>
      <c r="CX28">
        <f>INDEX(CX$18:CX$27,MATCH($B$1,$A$18:$A$27,0))</f>
        <v/>
      </c>
      <c r="CY28">
        <f>INDEX(CY$18:CY$27,MATCH($B$1,$A$18:$A$27,0))</f>
        <v/>
      </c>
      <c r="CZ28">
        <f>INDEX(CZ$18:CZ$27,MATCH($B$1,$A$18:$A$27,0))</f>
        <v/>
      </c>
      <c r="DA28">
        <f>INDEX(DA$18:DA$27,MATCH($B$1,$A$18:$A$27,0))</f>
        <v/>
      </c>
      <c r="DB28">
        <f>INDEX(DB$18:DB$27,MATCH($B$1,$A$18:$A$27,0))</f>
        <v/>
      </c>
      <c r="DC28">
        <f>INDEX(DC$18:DC$27,MATCH($B$1,$A$18:$A$27,0))</f>
        <v/>
      </c>
      <c r="DD28">
        <f>INDEX(DD$18:DD$27,MATCH($B$1,$A$18:$A$27,0))</f>
        <v/>
      </c>
      <c r="DE28">
        <f>INDEX(DE$18:DE$27,MATCH($B$1,$A$18:$A$27,0))</f>
        <v/>
      </c>
      <c r="DF28">
        <f>INDEX(DF$18:DF$27,MATCH($B$1,$A$18:$A$27,0))</f>
        <v/>
      </c>
      <c r="DG28">
        <f>INDEX(DG$18:DG$27,MATCH($B$1,$A$18:$A$27,0))</f>
        <v/>
      </c>
      <c r="DH28">
        <f>INDEX(DH$18:DH$27,MATCH($B$1,$A$18:$A$27,0))</f>
        <v/>
      </c>
      <c r="DI28">
        <f>INDEX(DI$18:DI$27,MATCH($B$1,$A$18:$A$27,0))</f>
        <v/>
      </c>
      <c r="DJ28">
        <f>INDEX(DJ$18:DJ$27,MATCH($B$1,$A$18:$A$27,0))</f>
        <v/>
      </c>
      <c r="DK28">
        <f>INDEX(DK$18:DK$27,MATCH($B$1,$A$18:$A$27,0))</f>
        <v/>
      </c>
      <c r="DL28">
        <f>INDEX(DL$18:DL$27,MATCH($B$1,$A$18:$A$27,0))</f>
        <v/>
      </c>
      <c r="DM28">
        <f>INDEX(DM$18:DM$27,MATCH($B$1,$A$18:$A$27,0))</f>
        <v/>
      </c>
      <c r="DN28">
        <f>INDEX(DN$18:DN$27,MATCH($B$1,$A$18:$A$27,0))</f>
        <v/>
      </c>
      <c r="DO28">
        <f>INDEX(DO$18:DO$27,MATCH($B$1,$A$18:$A$27,0))</f>
        <v/>
      </c>
      <c r="DP28">
        <f>INDEX(DP$18:DP$27,MATCH($B$1,$A$18:$A$27,0))</f>
        <v/>
      </c>
      <c r="DQ28">
        <f>INDEX(DQ$18:DQ$27,MATCH($B$1,$A$18:$A$27,0))</f>
        <v/>
      </c>
      <c r="DR28">
        <f>INDEX(DR$18:DR$27,MATCH($B$1,$A$18:$A$27,0))</f>
        <v/>
      </c>
      <c r="DS28">
        <f>INDEX(DS$18:DS$27,MATCH($B$1,$A$18:$A$27,0))</f>
        <v/>
      </c>
      <c r="DT28">
        <f>INDEX(DT$18:DT$27,MATCH($B$1,$A$18:$A$27,0))</f>
        <v/>
      </c>
      <c r="DU28">
        <f>INDEX(DU$18:DU$27,MATCH($B$1,$A$18:$A$27,0))</f>
        <v/>
      </c>
      <c r="DV28">
        <f>INDEX(DV$18:DV$27,MATCH($B$1,$A$18:$A$27,0))</f>
        <v/>
      </c>
      <c r="DW28">
        <f>INDEX(DW$18:DW$27,MATCH($B$1,$A$18:$A$27,0))</f>
        <v/>
      </c>
      <c r="DX28">
        <f>INDEX(DX$18:DX$27,MATCH($B$1,$A$18:$A$27,0))</f>
        <v/>
      </c>
      <c r="DY28">
        <f>INDEX(DY$18:DY$27,MATCH($B$1,$A$18:$A$27,0))</f>
        <v/>
      </c>
      <c r="DZ28">
        <f>INDEX(DZ$18:DZ$27,MATCH($B$1,$A$18:$A$27,0))</f>
        <v/>
      </c>
      <c r="EA28">
        <f>INDEX(EA$18:EA$27,MATCH($B$1,$A$18:$A$27,0))</f>
        <v/>
      </c>
      <c r="EB28">
        <f>INDEX(EB$18:EB$27,MATCH($B$1,$A$18:$A$27,0))</f>
        <v/>
      </c>
      <c r="EC28">
        <f>INDEX(EC$18:EC$27,MATCH($B$1,$A$18:$A$27,0))</f>
        <v/>
      </c>
      <c r="ED28">
        <f>INDEX(ED$18:ED$27,MATCH($B$1,$A$18:$A$27,0))</f>
        <v/>
      </c>
      <c r="EE28">
        <f>INDEX(EE$18:EE$27,MATCH($B$1,$A$18:$A$27,0))</f>
        <v/>
      </c>
      <c r="EF28">
        <f>INDEX(EF$18:EF$27,MATCH($B$1,$A$18:$A$27,0))</f>
        <v/>
      </c>
      <c r="EG28">
        <f>INDEX(EG$18:EG$27,MATCH($B$1,$A$18:$A$27,0))</f>
        <v/>
      </c>
      <c r="EH28">
        <f>INDEX(EH$18:EH$27,MATCH($B$1,$A$18:$A$27,0))</f>
        <v/>
      </c>
      <c r="EI28">
        <f>INDEX(EI$18:EI$27,MATCH($B$1,$A$18:$A$27,0))</f>
        <v/>
      </c>
      <c r="EJ28">
        <f>INDEX(EJ$18:EJ$27,MATCH($B$1,$A$18:$A$27,0))</f>
        <v/>
      </c>
      <c r="EK28">
        <f>INDEX(EK$18:EK$27,MATCH($B$1,$A$18:$A$27,0))</f>
        <v/>
      </c>
      <c r="EL28">
        <f>INDEX(EL$18:EL$27,MATCH($B$1,$A$18:$A$27,0))</f>
        <v/>
      </c>
      <c r="EM28">
        <f>INDEX(EM$18:EM$27,MATCH($B$1,$A$18:$A$27,0))</f>
        <v/>
      </c>
      <c r="EN28">
        <f>INDEX(EN$18:EN$27,MATCH($B$1,$A$18:$A$27,0))</f>
        <v/>
      </c>
      <c r="EO28">
        <f>INDEX(EO$18:EO$27,MATCH($B$1,$A$18:$A$27,0))</f>
        <v/>
      </c>
      <c r="EP28">
        <f>INDEX(EP$18:EP$27,MATCH($B$1,$A$18:$A$27,0))</f>
        <v/>
      </c>
      <c r="EQ28">
        <f>INDEX(EQ$18:EQ$27,MATCH($B$1,$A$18:$A$27,0))</f>
        <v/>
      </c>
      <c r="ER28">
        <f>INDEX(ER$18:ER$27,MATCH($B$1,$A$18:$A$27,0))</f>
        <v/>
      </c>
      <c r="ES28">
        <f>INDEX(ES$18:ES$27,MATCH($B$1,$A$18:$A$27,0))</f>
        <v/>
      </c>
      <c r="ET28">
        <f>INDEX(ET$18:ET$27,MATCH($B$1,$A$18:$A$27,0))</f>
        <v/>
      </c>
      <c r="EU28">
        <f>INDEX(EU$18:EU$27,MATCH($B$1,$A$18:$A$27,0))</f>
        <v/>
      </c>
      <c r="EV28">
        <f>INDEX(EV$18:EV$27,MATCH($B$1,$A$18:$A$27,0))</f>
        <v/>
      </c>
      <c r="EW28">
        <f>INDEX(EW$18:EW$27,MATCH($B$1,$A$18:$A$27,0))</f>
        <v/>
      </c>
      <c r="EX28">
        <f>INDEX(EX$18:EX$27,MATCH($B$1,$A$18:$A$27,0))</f>
        <v/>
      </c>
      <c r="EY28">
        <f>INDEX(EY$18:EY$27,MATCH($B$1,$A$18:$A$27,0))</f>
        <v/>
      </c>
      <c r="EZ28">
        <f>INDEX(EZ$18:EZ$27,MATCH($B$1,$A$18:$A$27,0))</f>
        <v/>
      </c>
      <c r="FA28">
        <f>INDEX(FA$18:FA$27,MATCH($B$1,$A$18:$A$27,0))</f>
        <v/>
      </c>
      <c r="FB28">
        <f>INDEX(FB$18:FB$27,MATCH($B$1,$A$18:$A$27,0))</f>
        <v/>
      </c>
      <c r="FC28">
        <f>INDEX(FC$18:FC$27,MATCH($B$1,$A$18:$A$27,0))</f>
        <v/>
      </c>
      <c r="FD28">
        <f>INDEX(FD$18:FD$27,MATCH($B$1,$A$18:$A$27,0))</f>
        <v/>
      </c>
      <c r="FE28">
        <f>INDEX(FE$18:FE$27,MATCH($B$1,$A$18:$A$27,0))</f>
        <v/>
      </c>
      <c r="FF28">
        <f>INDEX(FF$18:FF$27,MATCH($B$1,$A$18:$A$27,0))</f>
        <v/>
      </c>
      <c r="FG28">
        <f>INDEX(FG$18:FG$27,MATCH($B$1,$A$18:$A$27,0))</f>
        <v/>
      </c>
      <c r="FH28">
        <f>INDEX(FH$18:FH$27,MATCH($B$1,$A$18:$A$27,0))</f>
        <v/>
      </c>
      <c r="FI28">
        <f>INDEX(FI$18:FI$27,MATCH($B$1,$A$18:$A$27,0))</f>
        <v/>
      </c>
      <c r="FJ28">
        <f>INDEX(FJ$18:FJ$27,MATCH($B$1,$A$18:$A$27,0))</f>
        <v/>
      </c>
      <c r="FK28">
        <f>INDEX(FK$18:FK$27,MATCH($B$1,$A$18:$A$27,0))</f>
        <v/>
      </c>
      <c r="FL28">
        <f>INDEX(FL$18:FL$27,MATCH($B$1,$A$18:$A$27,0))</f>
        <v/>
      </c>
      <c r="FM28">
        <f>INDEX(FM$18:FM$27,MATCH($B$1,$A$18:$A$27,0))</f>
        <v/>
      </c>
      <c r="FN28">
        <f>INDEX(FN$18:FN$27,MATCH($B$1,$A$18:$A$27,0))</f>
        <v/>
      </c>
      <c r="FO28">
        <f>INDEX(FO$18:FO$27,MATCH($B$1,$A$18:$A$27,0))</f>
        <v/>
      </c>
      <c r="FP28">
        <f>INDEX(FP$18:FP$27,MATCH($B$1,$A$18:$A$27,0))</f>
        <v/>
      </c>
      <c r="FQ28">
        <f>INDEX(FQ$18:FQ$27,MATCH($B$1,$A$18:$A$27,0))</f>
        <v/>
      </c>
      <c r="FR28">
        <f>INDEX(FR$18:FR$27,MATCH($B$1,$A$18:$A$27,0))</f>
        <v/>
      </c>
      <c r="FS28">
        <f>INDEX(FS$18:FS$27,MATCH($B$1,$A$18:$A$27,0))</f>
        <v/>
      </c>
      <c r="FT28">
        <f>INDEX(FT$18:FT$27,MATCH($B$1,$A$18:$A$27,0))</f>
        <v/>
      </c>
      <c r="FU28">
        <f>INDEX(FU$18:FU$27,MATCH($B$1,$A$18:$A$27,0))</f>
        <v/>
      </c>
      <c r="FV28">
        <f>INDEX(FV$18:FV$27,MATCH($B$1,$A$18:$A$27,0))</f>
        <v/>
      </c>
      <c r="FW28">
        <f>INDEX(FW$18:FW$27,MATCH($B$1,$A$18:$A$27,0))</f>
        <v/>
      </c>
      <c r="FX28">
        <f>INDEX(FX$18:FX$27,MATCH($B$1,$A$18:$A$27,0))</f>
        <v/>
      </c>
      <c r="FY28">
        <f>INDEX(FY$18:FY$27,MATCH($B$1,$A$18:$A$27,0))</f>
        <v/>
      </c>
      <c r="FZ28">
        <f>INDEX(FZ$18:FZ$27,MATCH($B$1,$A$18:$A$27,0))</f>
        <v/>
      </c>
      <c r="GA28">
        <f>INDEX(GA$18:GA$27,MATCH($B$1,$A$18:$A$27,0))</f>
        <v/>
      </c>
      <c r="GB28">
        <f>INDEX(GB$18:GB$27,MATCH($B$1,$A$18:$A$27,0))</f>
        <v/>
      </c>
      <c r="GC28">
        <f>INDEX(GC$18:GC$27,MATCH($B$1,$A$18:$A$27,0))</f>
        <v/>
      </c>
      <c r="GD28">
        <f>INDEX(GD$18:GD$27,MATCH($B$1,$A$18:$A$27,0))</f>
        <v/>
      </c>
      <c r="GE28">
        <f>INDEX(GE$18:GE$27,MATCH($B$1,$A$18:$A$27,0))</f>
        <v/>
      </c>
      <c r="GF28">
        <f>INDEX(GF$18:GF$27,MATCH($B$1,$A$18:$A$27,0))</f>
        <v/>
      </c>
      <c r="GG28">
        <f>INDEX(GG$18:GG$27,MATCH($B$1,$A$18:$A$27,0))</f>
        <v/>
      </c>
      <c r="GH28">
        <f>INDEX(GH$18:GH$27,MATCH($B$1,$A$18:$A$27,0))</f>
        <v/>
      </c>
      <c r="GI28">
        <f>INDEX(GI$18:GI$27,MATCH($B$1,$A$18:$A$27,0))</f>
        <v/>
      </c>
      <c r="GJ28">
        <f>INDEX(GJ$18:GJ$27,MATCH($B$1,$A$18:$A$27,0))</f>
        <v/>
      </c>
      <c r="GK28">
        <f>INDEX(GK$18:GK$27,MATCH($B$1,$A$18:$A$27,0))</f>
        <v/>
      </c>
      <c r="GL28">
        <f>INDEX(GL$18:GL$27,MATCH($B$1,$A$18:$A$27,0))</f>
        <v/>
      </c>
      <c r="GM28">
        <f>INDEX(GM$18:GM$27,MATCH($B$1,$A$18:$A$27,0))</f>
        <v/>
      </c>
      <c r="GN28">
        <f>INDEX(GN$18:GN$27,MATCH($B$1,$A$18:$A$27,0))</f>
        <v/>
      </c>
      <c r="GO28">
        <f>INDEX(GO$18:GO$27,MATCH($B$1,$A$18:$A$27,0))</f>
        <v/>
      </c>
      <c r="GP28">
        <f>INDEX(GP$18:GP$27,MATCH($B$1,$A$18:$A$27,0))</f>
        <v/>
      </c>
      <c r="GQ28">
        <f>INDEX(GQ$18:GQ$27,MATCH($B$1,$A$18:$A$27,0))</f>
        <v/>
      </c>
      <c r="GR28">
        <f>INDEX(GR$18:GR$27,MATCH($B$1,$A$18:$A$27,0))</f>
        <v/>
      </c>
      <c r="GS28">
        <f>INDEX(GS$18:GS$27,MATCH($B$1,$A$18:$A$27,0))</f>
        <v/>
      </c>
      <c r="GT28">
        <f>INDEX(GT$18:GT$27,MATCH($B$1,$A$18:$A$27,0))</f>
        <v/>
      </c>
      <c r="GU28">
        <f>INDEX(GU$18:GU$27,MATCH($B$1,$A$18:$A$27,0))</f>
        <v/>
      </c>
      <c r="GV28">
        <f>INDEX(GV$18:GV$27,MATCH($B$1,$A$18:$A$27,0))</f>
        <v/>
      </c>
      <c r="GW28">
        <f>INDEX(GW$18:GW$27,MATCH($B$1,$A$18:$A$27,0))</f>
        <v/>
      </c>
      <c r="GX28">
        <f>INDEX(GX$18:GX$27,MATCH($B$1,$A$18:$A$27,0))</f>
        <v/>
      </c>
      <c r="GY28">
        <f>INDEX(GY$18:GY$27,MATCH($B$1,$A$18:$A$27,0))</f>
        <v/>
      </c>
      <c r="GZ28">
        <f>INDEX(GZ$18:GZ$27,MATCH($B$1,$A$18:$A$27,0))</f>
        <v/>
      </c>
      <c r="HA28">
        <f>INDEX(HA$18:HA$27,MATCH($B$1,$A$18:$A$27,0))</f>
        <v/>
      </c>
      <c r="HB28">
        <f>INDEX(HB$18:HB$27,MATCH($B$1,$A$18:$A$27,0))</f>
        <v/>
      </c>
      <c r="HC28">
        <f>INDEX(HC$18:HC$27,MATCH($B$1,$A$18:$A$27,0))</f>
        <v/>
      </c>
    </row>
    <row r="29">
      <c r="A29" s="1" t="inlineStr">
        <is>
          <t>Rang</t>
        </is>
      </c>
      <c r="B29">
        <f>RANK(B28,$B$28:$GQ$28,0)+COUNTIF($B$28:B28,B28)-1</f>
        <v/>
      </c>
      <c r="C29">
        <f>RANK(C28,$B$28:$GQ$28,0)+COUNTIF($B$28:C28,C28)-1</f>
        <v/>
      </c>
      <c r="D29">
        <f>RANK(D28,$B$28:$GQ$28,0)+COUNTIF($B$28:D28,D28)-1</f>
        <v/>
      </c>
      <c r="E29">
        <f>RANK(E28,$B$28:$GQ$28,0)+COUNTIF($B$28:E28,E28)-1</f>
        <v/>
      </c>
      <c r="F29">
        <f>RANK(F28,$B$28:$GQ$28,0)+COUNTIF($B$28:F28,F28)-1</f>
        <v/>
      </c>
      <c r="G29">
        <f>RANK(G28,$B$28:$GQ$28,0)+COUNTIF($B$28:G28,G28)-1</f>
        <v/>
      </c>
      <c r="H29">
        <f>RANK(H28,$B$28:$GQ$28,0)+COUNTIF($B$28:H28,H28)-1</f>
        <v/>
      </c>
      <c r="I29">
        <f>RANK(I28,$B$28:$GQ$28,0)+COUNTIF($B$28:I28,I28)-1</f>
        <v/>
      </c>
      <c r="J29">
        <f>RANK(J28,$B$28:$GQ$28,0)+COUNTIF($B$28:J28,J28)-1</f>
        <v/>
      </c>
      <c r="K29">
        <f>RANK(K28,$B$28:$GQ$28,0)+COUNTIF($B$28:K28,K28)-1</f>
        <v/>
      </c>
      <c r="L29">
        <f>RANK(L28,$B$28:$GQ$28,0)+COUNTIF($B$28:L28,L28)-1</f>
        <v/>
      </c>
      <c r="M29">
        <f>RANK(M28,$B$28:$GQ$28,0)+COUNTIF($B$28:M28,M28)-1</f>
        <v/>
      </c>
      <c r="N29">
        <f>RANK(N28,$B$28:$GQ$28,0)+COUNTIF($B$28:N28,N28)-1</f>
        <v/>
      </c>
      <c r="O29">
        <f>RANK(O28,$B$28:$GQ$28,0)+COUNTIF($B$28:O28,O28)-1</f>
        <v/>
      </c>
      <c r="P29">
        <f>RANK(P28,$B$28:$GQ$28,0)+COUNTIF($B$28:P28,P28)-1</f>
        <v/>
      </c>
      <c r="Q29">
        <f>RANK(Q28,$B$28:$GQ$28,0)+COUNTIF($B$28:Q28,Q28)-1</f>
        <v/>
      </c>
      <c r="R29">
        <f>RANK(R28,$B$28:$GQ$28,0)+COUNTIF($B$28:R28,R28)-1</f>
        <v/>
      </c>
      <c r="S29">
        <f>RANK(S28,$B$28:$GQ$28,0)+COUNTIF($B$28:S28,S28)-1</f>
        <v/>
      </c>
      <c r="T29">
        <f>RANK(T28,$B$28:$GQ$28,0)+COUNTIF($B$28:T28,T28)-1</f>
        <v/>
      </c>
      <c r="U29">
        <f>RANK(U28,$B$28:$GQ$28,0)+COUNTIF($B$28:U28,U28)-1</f>
        <v/>
      </c>
      <c r="V29">
        <f>RANK(V28,$B$28:$GQ$28,0)+COUNTIF($B$28:V28,V28)-1</f>
        <v/>
      </c>
      <c r="W29">
        <f>RANK(W28,$B$28:$GQ$28,0)+COUNTIF($B$28:W28,W28)-1</f>
        <v/>
      </c>
      <c r="X29">
        <f>RANK(X28,$B$28:$GQ$28,0)+COUNTIF($B$28:X28,X28)-1</f>
        <v/>
      </c>
      <c r="Y29">
        <f>RANK(Y28,$B$28:$GQ$28,0)+COUNTIF($B$28:Y28,Y28)-1</f>
        <v/>
      </c>
      <c r="Z29">
        <f>RANK(Z28,$B$28:$GQ$28,0)+COUNTIF($B$28:Z28,Z28)-1</f>
        <v/>
      </c>
      <c r="AA29">
        <f>RANK(AA28,$B$28:$GQ$28,0)+COUNTIF($B$28:AA28,AA28)-1</f>
        <v/>
      </c>
      <c r="AB29">
        <f>RANK(AB28,$B$28:$GQ$28,0)+COUNTIF($B$28:AB28,AB28)-1</f>
        <v/>
      </c>
      <c r="AC29">
        <f>RANK(AC28,$B$28:$GQ$28,0)+COUNTIF($B$28:AC28,AC28)-1</f>
        <v/>
      </c>
      <c r="AD29">
        <f>RANK(AD28,$B$28:$GQ$28,0)+COUNTIF($B$28:AD28,AD28)-1</f>
        <v/>
      </c>
      <c r="AE29">
        <f>RANK(AE28,$B$28:$GQ$28,0)+COUNTIF($B$28:AE28,AE28)-1</f>
        <v/>
      </c>
      <c r="AF29">
        <f>RANK(AF28,$B$28:$GQ$28,0)+COUNTIF($B$28:AF28,AF28)-1</f>
        <v/>
      </c>
      <c r="AG29">
        <f>RANK(AG28,$B$28:$GQ$28,0)+COUNTIF($B$28:AG28,AG28)-1</f>
        <v/>
      </c>
      <c r="AH29">
        <f>RANK(AH28,$B$28:$GQ$28,0)+COUNTIF($B$28:AH28,AH28)-1</f>
        <v/>
      </c>
      <c r="AI29">
        <f>RANK(AI28,$B$28:$GQ$28,0)+COUNTIF($B$28:AI28,AI28)-1</f>
        <v/>
      </c>
      <c r="AJ29">
        <f>RANK(AJ28,$B$28:$GQ$28,0)+COUNTIF($B$28:AJ28,AJ28)-1</f>
        <v/>
      </c>
      <c r="AK29">
        <f>RANK(AK28,$B$28:$GQ$28,0)+COUNTIF($B$28:AK28,AK28)-1</f>
        <v/>
      </c>
      <c r="AL29">
        <f>RANK(AL28,$B$28:$GQ$28,0)+COUNTIF($B$28:AL28,AL28)-1</f>
        <v/>
      </c>
      <c r="AM29">
        <f>RANK(AM28,$B$28:$GQ$28,0)+COUNTIF($B$28:AM28,AM28)-1</f>
        <v/>
      </c>
      <c r="AN29">
        <f>RANK(AN28,$B$28:$GQ$28,0)+COUNTIF($B$28:AN28,AN28)-1</f>
        <v/>
      </c>
      <c r="AO29">
        <f>RANK(AO28,$B$28:$GQ$28,0)+COUNTIF($B$28:AO28,AO28)-1</f>
        <v/>
      </c>
      <c r="AP29">
        <f>RANK(AP28,$B$28:$GQ$28,0)+COUNTIF($B$28:AP28,AP28)-1</f>
        <v/>
      </c>
      <c r="AQ29">
        <f>RANK(AQ28,$B$28:$GQ$28,0)+COUNTIF($B$28:AQ28,AQ28)-1</f>
        <v/>
      </c>
      <c r="AR29">
        <f>RANK(AR28,$B$28:$GQ$28,0)+COUNTIF($B$28:AR28,AR28)-1</f>
        <v/>
      </c>
      <c r="AS29">
        <f>RANK(AS28,$B$28:$GQ$28,0)+COUNTIF($B$28:AS28,AS28)-1</f>
        <v/>
      </c>
      <c r="AT29">
        <f>RANK(AT28,$B$28:$GQ$28,0)+COUNTIF($B$28:AT28,AT28)-1</f>
        <v/>
      </c>
      <c r="AU29">
        <f>RANK(AU28,$B$28:$GQ$28,0)+COUNTIF($B$28:AU28,AU28)-1</f>
        <v/>
      </c>
      <c r="AV29">
        <f>RANK(AV28,$B$28:$GQ$28,0)+COUNTIF($B$28:AV28,AV28)-1</f>
        <v/>
      </c>
      <c r="AW29">
        <f>RANK(AW28,$B$28:$GQ$28,0)+COUNTIF($B$28:AW28,AW28)-1</f>
        <v/>
      </c>
      <c r="AX29">
        <f>RANK(AX28,$B$28:$GQ$28,0)+COUNTIF($B$28:AX28,AX28)-1</f>
        <v/>
      </c>
      <c r="AY29">
        <f>RANK(AY28,$B$28:$GQ$28,0)+COUNTIF($B$28:AY28,AY28)-1</f>
        <v/>
      </c>
      <c r="AZ29">
        <f>RANK(AZ28,$B$28:$GQ$28,0)+COUNTIF($B$28:AZ28,AZ28)-1</f>
        <v/>
      </c>
      <c r="BA29">
        <f>RANK(BA28,$B$28:$GQ$28,0)+COUNTIF($B$28:BA28,BA28)-1</f>
        <v/>
      </c>
      <c r="BB29">
        <f>RANK(BB28,$B$28:$GQ$28,0)+COUNTIF($B$28:BB28,BB28)-1</f>
        <v/>
      </c>
      <c r="BC29">
        <f>RANK(BC28,$B$28:$GQ$28,0)+COUNTIF($B$28:BC28,BC28)-1</f>
        <v/>
      </c>
      <c r="BD29">
        <f>RANK(BD28,$B$28:$GQ$28,0)+COUNTIF($B$28:BD28,BD28)-1</f>
        <v/>
      </c>
      <c r="BE29">
        <f>RANK(BE28,$B$28:$GQ$28,0)+COUNTIF($B$28:BE28,BE28)-1</f>
        <v/>
      </c>
      <c r="BF29">
        <f>RANK(BF28,$B$28:$GQ$28,0)+COUNTIF($B$28:BF28,BF28)-1</f>
        <v/>
      </c>
      <c r="BG29">
        <f>RANK(BG28,$B$28:$GQ$28,0)+COUNTIF($B$28:BG28,BG28)-1</f>
        <v/>
      </c>
      <c r="BH29">
        <f>RANK(BH28,$B$28:$GQ$28,0)+COUNTIF($B$28:BH28,BH28)-1</f>
        <v/>
      </c>
      <c r="BI29">
        <f>RANK(BI28,$B$28:$GQ$28,0)+COUNTIF($B$28:BI28,BI28)-1</f>
        <v/>
      </c>
      <c r="BJ29">
        <f>RANK(BJ28,$B$28:$GQ$28,0)+COUNTIF($B$28:BJ28,BJ28)-1</f>
        <v/>
      </c>
      <c r="BK29">
        <f>RANK(BK28,$B$28:$GQ$28,0)+COUNTIF($B$28:BK28,BK28)-1</f>
        <v/>
      </c>
      <c r="BL29">
        <f>RANK(BL28,$B$28:$GQ$28,0)+COUNTIF($B$28:BL28,BL28)-1</f>
        <v/>
      </c>
      <c r="BM29">
        <f>RANK(BM28,$B$28:$GQ$28,0)+COUNTIF($B$28:BM28,BM28)-1</f>
        <v/>
      </c>
      <c r="BN29">
        <f>RANK(BN28,$B$28:$GQ$28,0)+COUNTIF($B$28:BN28,BN28)-1</f>
        <v/>
      </c>
      <c r="BO29">
        <f>RANK(BO28,$B$28:$GQ$28,0)+COUNTIF($B$28:BO28,BO28)-1</f>
        <v/>
      </c>
      <c r="BP29">
        <f>RANK(BP28,$B$28:$GQ$28,0)+COUNTIF($B$28:BP28,BP28)-1</f>
        <v/>
      </c>
      <c r="BQ29">
        <f>RANK(BQ28,$B$28:$GQ$28,0)+COUNTIF($B$28:BQ28,BQ28)-1</f>
        <v/>
      </c>
      <c r="BR29">
        <f>RANK(BR28,$B$28:$GQ$28,0)+COUNTIF($B$28:BR28,BR28)-1</f>
        <v/>
      </c>
      <c r="BS29">
        <f>RANK(BS28,$B$28:$GQ$28,0)+COUNTIF($B$28:BS28,BS28)-1</f>
        <v/>
      </c>
      <c r="BT29">
        <f>RANK(BT28,$B$28:$GQ$28,0)+COUNTIF($B$28:BT28,BT28)-1</f>
        <v/>
      </c>
      <c r="BU29">
        <f>RANK(BU28,$B$28:$GQ$28,0)+COUNTIF($B$28:BU28,BU28)-1</f>
        <v/>
      </c>
      <c r="BV29">
        <f>RANK(BV28,$B$28:$GQ$28,0)+COUNTIF($B$28:BV28,BV28)-1</f>
        <v/>
      </c>
      <c r="BW29">
        <f>RANK(BW28,$B$28:$GQ$28,0)+COUNTIF($B$28:BW28,BW28)-1</f>
        <v/>
      </c>
      <c r="BX29">
        <f>RANK(BX28,$B$28:$GQ$28,0)+COUNTIF($B$28:BX28,BX28)-1</f>
        <v/>
      </c>
      <c r="BY29">
        <f>RANK(BY28,$B$28:$GQ$28,0)+COUNTIF($B$28:BY28,BY28)-1</f>
        <v/>
      </c>
      <c r="BZ29">
        <f>RANK(BZ28,$B$28:$GQ$28,0)+COUNTIF($B$28:BZ28,BZ28)-1</f>
        <v/>
      </c>
      <c r="CA29">
        <f>RANK(CA28,$B$28:$GQ$28,0)+COUNTIF($B$28:CA28,CA28)-1</f>
        <v/>
      </c>
      <c r="CB29">
        <f>RANK(CB28,$B$28:$GQ$28,0)+COUNTIF($B$28:CB28,CB28)-1</f>
        <v/>
      </c>
      <c r="CC29">
        <f>RANK(CC28,$B$28:$GQ$28,0)+COUNTIF($B$28:CC28,CC28)-1</f>
        <v/>
      </c>
      <c r="CD29">
        <f>RANK(CD28,$B$28:$GQ$28,0)+COUNTIF($B$28:CD28,CD28)-1</f>
        <v/>
      </c>
      <c r="CE29">
        <f>RANK(CE28,$B$28:$GQ$28,0)+COUNTIF($B$28:CE28,CE28)-1</f>
        <v/>
      </c>
      <c r="CF29">
        <f>RANK(CF28,$B$28:$GQ$28,0)+COUNTIF($B$28:CF28,CF28)-1</f>
        <v/>
      </c>
      <c r="CG29">
        <f>RANK(CG28,$B$28:$GQ$28,0)+COUNTIF($B$28:CG28,CG28)-1</f>
        <v/>
      </c>
      <c r="CH29">
        <f>RANK(CH28,$B$28:$GQ$28,0)+COUNTIF($B$28:CH28,CH28)-1</f>
        <v/>
      </c>
      <c r="CI29">
        <f>RANK(CI28,$B$28:$GQ$28,0)+COUNTIF($B$28:CI28,CI28)-1</f>
        <v/>
      </c>
      <c r="CJ29">
        <f>RANK(CJ28,$B$28:$GQ$28,0)+COUNTIF($B$28:CJ28,CJ28)-1</f>
        <v/>
      </c>
      <c r="CK29">
        <f>RANK(CK28,$B$28:$GQ$28,0)+COUNTIF($B$28:CK28,CK28)-1</f>
        <v/>
      </c>
      <c r="CL29">
        <f>RANK(CL28,$B$28:$GQ$28,0)+COUNTIF($B$28:CL28,CL28)-1</f>
        <v/>
      </c>
      <c r="CM29">
        <f>RANK(CM28,$B$28:$GQ$28,0)+COUNTIF($B$28:CM28,CM28)-1</f>
        <v/>
      </c>
      <c r="CN29">
        <f>RANK(CN28,$B$28:$GQ$28,0)+COUNTIF($B$28:CN28,CN28)-1</f>
        <v/>
      </c>
      <c r="CO29">
        <f>RANK(CO28,$B$28:$GQ$28,0)+COUNTIF($B$28:CO28,CO28)-1</f>
        <v/>
      </c>
      <c r="CP29">
        <f>RANK(CP28,$B$28:$GQ$28,0)+COUNTIF($B$28:CP28,CP28)-1</f>
        <v/>
      </c>
      <c r="CQ29">
        <f>RANK(CQ28,$B$28:$GQ$28,0)+COUNTIF($B$28:CQ28,CQ28)-1</f>
        <v/>
      </c>
      <c r="CR29">
        <f>RANK(CR28,$B$28:$GQ$28,0)+COUNTIF($B$28:CR28,CR28)-1</f>
        <v/>
      </c>
      <c r="CS29">
        <f>RANK(CS28,$B$28:$GQ$28,0)+COUNTIF($B$28:CS28,CS28)-1</f>
        <v/>
      </c>
      <c r="CT29">
        <f>RANK(CT28,$B$28:$GQ$28,0)+COUNTIF($B$28:CT28,CT28)-1</f>
        <v/>
      </c>
      <c r="CU29">
        <f>RANK(CU28,$B$28:$GQ$28,0)+COUNTIF($B$28:CU28,CU28)-1</f>
        <v/>
      </c>
      <c r="CV29">
        <f>RANK(CV28,$B$28:$GQ$28,0)+COUNTIF($B$28:CV28,CV28)-1</f>
        <v/>
      </c>
      <c r="CW29">
        <f>RANK(CW28,$B$28:$GQ$28,0)+COUNTIF($B$28:CW28,CW28)-1</f>
        <v/>
      </c>
      <c r="CX29">
        <f>RANK(CX28,$B$28:$GQ$28,0)+COUNTIF($B$28:CX28,CX28)-1</f>
        <v/>
      </c>
      <c r="CY29">
        <f>RANK(CY28,$B$28:$GQ$28,0)+COUNTIF($B$28:CY28,CY28)-1</f>
        <v/>
      </c>
      <c r="CZ29">
        <f>RANK(CZ28,$B$28:$GQ$28,0)+COUNTIF($B$28:CZ28,CZ28)-1</f>
        <v/>
      </c>
      <c r="DA29">
        <f>RANK(DA28,$B$28:$GQ$28,0)+COUNTIF($B$28:DA28,DA28)-1</f>
        <v/>
      </c>
      <c r="DB29">
        <f>RANK(DB28,$B$28:$GQ$28,0)+COUNTIF($B$28:DB28,DB28)-1</f>
        <v/>
      </c>
      <c r="DC29">
        <f>RANK(DC28,$B$28:$GQ$28,0)+COUNTIF($B$28:DC28,DC28)-1</f>
        <v/>
      </c>
      <c r="DD29">
        <f>RANK(DD28,$B$28:$GQ$28,0)+COUNTIF($B$28:DD28,DD28)-1</f>
        <v/>
      </c>
      <c r="DE29">
        <f>RANK(DE28,$B$28:$GQ$28,0)+COUNTIF($B$28:DE28,DE28)-1</f>
        <v/>
      </c>
      <c r="DF29">
        <f>RANK(DF28,$B$28:$GQ$28,0)+COUNTIF($B$28:DF28,DF28)-1</f>
        <v/>
      </c>
      <c r="DG29">
        <f>RANK(DG28,$B$28:$GQ$28,0)+COUNTIF($B$28:DG28,DG28)-1</f>
        <v/>
      </c>
      <c r="DH29">
        <f>RANK(DH28,$B$28:$GQ$28,0)+COUNTIF($B$28:DH28,DH28)-1</f>
        <v/>
      </c>
      <c r="DI29">
        <f>RANK(DI28,$B$28:$GQ$28,0)+COUNTIF($B$28:DI28,DI28)-1</f>
        <v/>
      </c>
      <c r="DJ29">
        <f>RANK(DJ28,$B$28:$GQ$28,0)+COUNTIF($B$28:DJ28,DJ28)-1</f>
        <v/>
      </c>
      <c r="DK29">
        <f>RANK(DK28,$B$28:$GQ$28,0)+COUNTIF($B$28:DK28,DK28)-1</f>
        <v/>
      </c>
      <c r="DL29">
        <f>RANK(DL28,$B$28:$GQ$28,0)+COUNTIF($B$28:DL28,DL28)-1</f>
        <v/>
      </c>
      <c r="DM29">
        <f>RANK(DM28,$B$28:$GQ$28,0)+COUNTIF($B$28:DM28,DM28)-1</f>
        <v/>
      </c>
      <c r="DN29">
        <f>RANK(DN28,$B$28:$GQ$28,0)+COUNTIF($B$28:DN28,DN28)-1</f>
        <v/>
      </c>
      <c r="DO29">
        <f>RANK(DO28,$B$28:$GQ$28,0)+COUNTIF($B$28:DO28,DO28)-1</f>
        <v/>
      </c>
      <c r="DP29">
        <f>RANK(DP28,$B$28:$GQ$28,0)+COUNTIF($B$28:DP28,DP28)-1</f>
        <v/>
      </c>
      <c r="DQ29">
        <f>RANK(DQ28,$B$28:$GQ$28,0)+COUNTIF($B$28:DQ28,DQ28)-1</f>
        <v/>
      </c>
      <c r="DR29">
        <f>RANK(DR28,$B$28:$GQ$28,0)+COUNTIF($B$28:DR28,DR28)-1</f>
        <v/>
      </c>
      <c r="DS29">
        <f>RANK(DS28,$B$28:$GQ$28,0)+COUNTIF($B$28:DS28,DS28)-1</f>
        <v/>
      </c>
      <c r="DT29">
        <f>RANK(DT28,$B$28:$GQ$28,0)+COUNTIF($B$28:DT28,DT28)-1</f>
        <v/>
      </c>
      <c r="DU29">
        <f>RANK(DU28,$B$28:$GQ$28,0)+COUNTIF($B$28:DU28,DU28)-1</f>
        <v/>
      </c>
      <c r="DV29">
        <f>RANK(DV28,$B$28:$GQ$28,0)+COUNTIF($B$28:DV28,DV28)-1</f>
        <v/>
      </c>
      <c r="DW29">
        <f>RANK(DW28,$B$28:$GQ$28,0)+COUNTIF($B$28:DW28,DW28)-1</f>
        <v/>
      </c>
      <c r="DX29">
        <f>RANK(DX28,$B$28:$GQ$28,0)+COUNTIF($B$28:DX28,DX28)-1</f>
        <v/>
      </c>
      <c r="DY29">
        <f>RANK(DY28,$B$28:$GQ$28,0)+COUNTIF($B$28:DY28,DY28)-1</f>
        <v/>
      </c>
      <c r="DZ29">
        <f>RANK(DZ28,$B$28:$GQ$28,0)+COUNTIF($B$28:DZ28,DZ28)-1</f>
        <v/>
      </c>
      <c r="EA29">
        <f>RANK(EA28,$B$28:$GQ$28,0)+COUNTIF($B$28:EA28,EA28)-1</f>
        <v/>
      </c>
      <c r="EB29">
        <f>RANK(EB28,$B$28:$GQ$28,0)+COUNTIF($B$28:EB28,EB28)-1</f>
        <v/>
      </c>
      <c r="EC29">
        <f>RANK(EC28,$B$28:$GQ$28,0)+COUNTIF($B$28:EC28,EC28)-1</f>
        <v/>
      </c>
      <c r="ED29">
        <f>RANK(ED28,$B$28:$GQ$28,0)+COUNTIF($B$28:ED28,ED28)-1</f>
        <v/>
      </c>
      <c r="EE29">
        <f>RANK(EE28,$B$28:$GQ$28,0)+COUNTIF($B$28:EE28,EE28)-1</f>
        <v/>
      </c>
      <c r="EF29">
        <f>RANK(EF28,$B$28:$GQ$28,0)+COUNTIF($B$28:EF28,EF28)-1</f>
        <v/>
      </c>
      <c r="EG29">
        <f>RANK(EG28,$B$28:$GQ$28,0)+COUNTIF($B$28:EG28,EG28)-1</f>
        <v/>
      </c>
      <c r="EH29">
        <f>RANK(EH28,$B$28:$GQ$28,0)+COUNTIF($B$28:EH28,EH28)-1</f>
        <v/>
      </c>
      <c r="EI29">
        <f>RANK(EI28,$B$28:$GQ$28,0)+COUNTIF($B$28:EI28,EI28)-1</f>
        <v/>
      </c>
      <c r="EJ29">
        <f>RANK(EJ28,$B$28:$GQ$28,0)+COUNTIF($B$28:EJ28,EJ28)-1</f>
        <v/>
      </c>
      <c r="EK29">
        <f>RANK(EK28,$B$28:$GQ$28,0)+COUNTIF($B$28:EK28,EK28)-1</f>
        <v/>
      </c>
      <c r="EL29">
        <f>RANK(EL28,$B$28:$GQ$28,0)+COUNTIF($B$28:EL28,EL28)-1</f>
        <v/>
      </c>
      <c r="EM29">
        <f>RANK(EM28,$B$28:$GQ$28,0)+COUNTIF($B$28:EM28,EM28)-1</f>
        <v/>
      </c>
      <c r="EN29">
        <f>RANK(EN28,$B$28:$GQ$28,0)+COUNTIF($B$28:EN28,EN28)-1</f>
        <v/>
      </c>
      <c r="EO29">
        <f>RANK(EO28,$B$28:$GQ$28,0)+COUNTIF($B$28:EO28,EO28)-1</f>
        <v/>
      </c>
      <c r="EP29">
        <f>RANK(EP28,$B$28:$GQ$28,0)+COUNTIF($B$28:EP28,EP28)-1</f>
        <v/>
      </c>
      <c r="EQ29">
        <f>RANK(EQ28,$B$28:$GQ$28,0)+COUNTIF($B$28:EQ28,EQ28)-1</f>
        <v/>
      </c>
      <c r="ER29">
        <f>RANK(ER28,$B$28:$GQ$28,0)+COUNTIF($B$28:ER28,ER28)-1</f>
        <v/>
      </c>
      <c r="ES29">
        <f>RANK(ES28,$B$28:$GQ$28,0)+COUNTIF($B$28:ES28,ES28)-1</f>
        <v/>
      </c>
      <c r="ET29">
        <f>RANK(ET28,$B$28:$GQ$28,0)+COUNTIF($B$28:ET28,ET28)-1</f>
        <v/>
      </c>
      <c r="EU29">
        <f>RANK(EU28,$B$28:$GQ$28,0)+COUNTIF($B$28:EU28,EU28)-1</f>
        <v/>
      </c>
      <c r="EV29">
        <f>RANK(EV28,$B$28:$GQ$28,0)+COUNTIF($B$28:EV28,EV28)-1</f>
        <v/>
      </c>
      <c r="EW29">
        <f>RANK(EW28,$B$28:$GQ$28,0)+COUNTIF($B$28:EW28,EW28)-1</f>
        <v/>
      </c>
      <c r="EX29">
        <f>RANK(EX28,$B$28:$GQ$28,0)+COUNTIF($B$28:EX28,EX28)-1</f>
        <v/>
      </c>
      <c r="EY29">
        <f>RANK(EY28,$B$28:$GQ$28,0)+COUNTIF($B$28:EY28,EY28)-1</f>
        <v/>
      </c>
      <c r="EZ29">
        <f>RANK(EZ28,$B$28:$GQ$28,0)+COUNTIF($B$28:EZ28,EZ28)-1</f>
        <v/>
      </c>
      <c r="FA29">
        <f>RANK(FA28,$B$28:$GQ$28,0)+COUNTIF($B$28:FA28,FA28)-1</f>
        <v/>
      </c>
      <c r="FB29">
        <f>RANK(FB28,$B$28:$GQ$28,0)+COUNTIF($B$28:FB28,FB28)-1</f>
        <v/>
      </c>
      <c r="FC29">
        <f>RANK(FC28,$B$28:$GQ$28,0)+COUNTIF($B$28:FC28,FC28)-1</f>
        <v/>
      </c>
      <c r="FD29">
        <f>RANK(FD28,$B$28:$GQ$28,0)+COUNTIF($B$28:FD28,FD28)-1</f>
        <v/>
      </c>
      <c r="FE29">
        <f>RANK(FE28,$B$28:$GQ$28,0)+COUNTIF($B$28:FE28,FE28)-1</f>
        <v/>
      </c>
      <c r="FF29">
        <f>RANK(FF28,$B$28:$GQ$28,0)+COUNTIF($B$28:FF28,FF28)-1</f>
        <v/>
      </c>
      <c r="FG29">
        <f>RANK(FG28,$B$28:$GQ$28,0)+COUNTIF($B$28:FG28,FG28)-1</f>
        <v/>
      </c>
      <c r="FH29">
        <f>RANK(FH28,$B$28:$GQ$28,0)+COUNTIF($B$28:FH28,FH28)-1</f>
        <v/>
      </c>
      <c r="FI29">
        <f>RANK(FI28,$B$28:$GQ$28,0)+COUNTIF($B$28:FI28,FI28)-1</f>
        <v/>
      </c>
      <c r="FJ29">
        <f>RANK(FJ28,$B$28:$GQ$28,0)+COUNTIF($B$28:FJ28,FJ28)-1</f>
        <v/>
      </c>
      <c r="FK29">
        <f>RANK(FK28,$B$28:$GQ$28,0)+COUNTIF($B$28:FK28,FK28)-1</f>
        <v/>
      </c>
      <c r="FL29">
        <f>RANK(FL28,$B$28:$GQ$28,0)+COUNTIF($B$28:FL28,FL28)-1</f>
        <v/>
      </c>
      <c r="FM29">
        <f>RANK(FM28,$B$28:$GQ$28,0)+COUNTIF($B$28:FM28,FM28)-1</f>
        <v/>
      </c>
      <c r="FN29">
        <f>RANK(FN28,$B$28:$GQ$28,0)+COUNTIF($B$28:FN28,FN28)-1</f>
        <v/>
      </c>
      <c r="FO29">
        <f>RANK(FO28,$B$28:$GQ$28,0)+COUNTIF($B$28:FO28,FO28)-1</f>
        <v/>
      </c>
      <c r="FP29">
        <f>RANK(FP28,$B$28:$GQ$28,0)+COUNTIF($B$28:FP28,FP28)-1</f>
        <v/>
      </c>
      <c r="FQ29">
        <f>RANK(FQ28,$B$28:$GQ$28,0)+COUNTIF($B$28:FQ28,FQ28)-1</f>
        <v/>
      </c>
      <c r="FR29">
        <f>RANK(FR28,$B$28:$GQ$28,0)+COUNTIF($B$28:FR28,FR28)-1</f>
        <v/>
      </c>
      <c r="FS29">
        <f>RANK(FS28,$B$28:$GQ$28,0)+COUNTIF($B$28:FS28,FS28)-1</f>
        <v/>
      </c>
      <c r="FT29">
        <f>RANK(FT28,$B$28:$GQ$28,0)+COUNTIF($B$28:FT28,FT28)-1</f>
        <v/>
      </c>
      <c r="FU29">
        <f>RANK(FU28,$B$28:$GQ$28,0)+COUNTIF($B$28:FU28,FU28)-1</f>
        <v/>
      </c>
      <c r="FV29">
        <f>RANK(FV28,$B$28:$GQ$28,0)+COUNTIF($B$28:FV28,FV28)-1</f>
        <v/>
      </c>
      <c r="FW29">
        <f>RANK(FW28,$B$28:$GQ$28,0)+COUNTIF($B$28:FW28,FW28)-1</f>
        <v/>
      </c>
      <c r="FX29">
        <f>RANK(FX28,$B$28:$GQ$28,0)+COUNTIF($B$28:FX28,FX28)-1</f>
        <v/>
      </c>
      <c r="FY29">
        <f>RANK(FY28,$B$28:$GQ$28,0)+COUNTIF($B$28:FY28,FY28)-1</f>
        <v/>
      </c>
      <c r="FZ29">
        <f>RANK(FZ28,$B$28:$GQ$28,0)+COUNTIF($B$28:FZ28,FZ28)-1</f>
        <v/>
      </c>
      <c r="GA29">
        <f>RANK(GA28,$B$28:$GQ$28,0)+COUNTIF($B$28:GA28,GA28)-1</f>
        <v/>
      </c>
      <c r="GB29">
        <f>RANK(GB28,$B$28:$GQ$28,0)+COUNTIF($B$28:GB28,GB28)-1</f>
        <v/>
      </c>
      <c r="GC29">
        <f>RANK(GC28,$B$28:$GQ$28,0)+COUNTIF($B$28:GC28,GC28)-1</f>
        <v/>
      </c>
      <c r="GD29">
        <f>RANK(GD28,$B$28:$GQ$28,0)+COUNTIF($B$28:GD28,GD28)-1</f>
        <v/>
      </c>
      <c r="GE29">
        <f>RANK(GE28,$B$28:$GQ$28,0)+COUNTIF($B$28:GE28,GE28)-1</f>
        <v/>
      </c>
      <c r="GF29">
        <f>RANK(GF28,$B$28:$GQ$28,0)+COUNTIF($B$28:GF28,GF28)-1</f>
        <v/>
      </c>
      <c r="GG29">
        <f>RANK(GG28,$B$28:$GQ$28,0)+COUNTIF($B$28:GG28,GG28)-1</f>
        <v/>
      </c>
      <c r="GH29">
        <f>RANK(GH28,$B$28:$GQ$28,0)+COUNTIF($B$28:GH28,GH28)-1</f>
        <v/>
      </c>
      <c r="GI29">
        <f>RANK(GI28,$B$28:$GQ$28,0)+COUNTIF($B$28:GI28,GI28)-1</f>
        <v/>
      </c>
      <c r="GJ29">
        <f>RANK(GJ28,$B$28:$GQ$28,0)+COUNTIF($B$28:GJ28,GJ28)-1</f>
        <v/>
      </c>
      <c r="GK29">
        <f>RANK(GK28,$B$28:$GQ$28,0)+COUNTIF($B$28:GK28,GK28)-1</f>
        <v/>
      </c>
      <c r="GL29">
        <f>RANK(GL28,$B$28:$GQ$28,0)+COUNTIF($B$28:GL28,GL28)-1</f>
        <v/>
      </c>
      <c r="GM29">
        <f>RANK(GM28,$B$28:$GQ$28,0)+COUNTIF($B$28:GM28,GM28)-1</f>
        <v/>
      </c>
      <c r="GN29">
        <f>RANK(GN28,$B$28:$GQ$28,0)+COUNTIF($B$28:GN28,GN28)-1</f>
        <v/>
      </c>
      <c r="GO29">
        <f>RANK(GO28,$B$28:$GQ$28,0)+COUNTIF($B$28:GO28,GO28)-1</f>
        <v/>
      </c>
      <c r="GP29">
        <f>RANK(GP28,$B$28:$GQ$28,0)+COUNTIF($B$28:GP28,GP28)-1</f>
        <v/>
      </c>
      <c r="GQ29">
        <f>RANK(GQ28,$B$28:$GQ$28,0)+COUNTIF($B$28:GQ28,GQ28)-1</f>
        <v/>
      </c>
    </row>
    <row r="30">
      <c r="A30" s="1" t="inlineStr">
        <is>
          <t>Rang (catégories)</t>
        </is>
      </c>
      <c r="GR30">
        <f>RANK(GR28,$GR$28:$HC$28,0)+COUNTIF($GR$28:GR28,GR28)-1</f>
        <v/>
      </c>
      <c r="GS30">
        <f>RANK(GS28,$GR$28:$HC$28,0)+COUNTIF($GR$28:GS28,GS28)-1</f>
        <v/>
      </c>
      <c r="GT30">
        <f>RANK(GT28,$GR$28:$HC$28,0)+COUNTIF($GR$28:GT28,GT28)-1</f>
        <v/>
      </c>
      <c r="GU30">
        <f>RANK(GU28,$GR$28:$HC$28,0)+COUNTIF($GR$28:GU28,GU28)-1</f>
        <v/>
      </c>
      <c r="GV30">
        <f>RANK(GV28,$GR$28:$HC$28,0)+COUNTIF($GR$28:GV28,GV28)-1</f>
        <v/>
      </c>
      <c r="GW30">
        <f>RANK(GW28,$GR$28:$HC$28,0)+COUNTIF($GR$28:GW28,GW28)-1</f>
        <v/>
      </c>
      <c r="GX30">
        <f>RANK(GX28,$GR$28:$HC$28,0)+COUNTIF($GR$28:GX28,GX28)-1</f>
        <v/>
      </c>
      <c r="GY30">
        <f>RANK(GY28,$GR$28:$HC$28,0)+COUNTIF($GR$28:GY28,GY28)-1</f>
        <v/>
      </c>
      <c r="GZ30">
        <f>RANK(GZ28,$GR$28:$HC$28,0)+COUNTIF($GR$28:GZ28,GZ28)-1</f>
        <v/>
      </c>
      <c r="HA30">
        <f>RANK(HA28,$GR$28:$HC$28,0)+COUNTIF($GR$28:HA28,HA28)-1</f>
        <v/>
      </c>
      <c r="HB30">
        <f>RANK(HB28,$GR$28:$HC$28,0)+COUNTIF($GR$28:HB28,HB28)-1</f>
        <v/>
      </c>
      <c r="HC30">
        <f>RANK(HC28,$GR$28:$HC$28,0)+COUNTIF($GR$28:HC28,HC28)-1</f>
        <v/>
      </c>
    </row>
  </sheetData>
  <dataValidations count="1">
    <dataValidation sqref="B1" showDropDown="0" showInputMessage="0" showErrorMessage="0" allowBlank="0" type="list">
      <formula1>=$A$18:$A$27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Trier secteurs et catégories par (ordre décroissant) :</t>
        </is>
      </c>
      <c r="B1" s="2" t="inlineStr">
        <is>
          <t>M_imp*Y_dom+M_dom*Y_dom+M_row*Y_imp</t>
        </is>
      </c>
    </row>
    <row r="3">
      <c r="A3" s="1" t="inlineStr">
        <is>
          <t>Blue water consumption</t>
        </is>
      </c>
      <c r="B3" s="1">
        <f>INDEX($B$17:$GQ$17,MATCH(1,$B$29:$GQ$29,0))</f>
        <v/>
      </c>
      <c r="C3" s="1">
        <f>INDEX($B$17:$GQ$17,MATCH(2,$B$29:$GQ$29,0))</f>
        <v/>
      </c>
      <c r="D3" s="1">
        <f>INDEX($B$17:$GQ$17,MATCH(3,$B$29:$GQ$29,0))</f>
        <v/>
      </c>
      <c r="E3" s="1">
        <f>INDEX($B$17:$GQ$17,MATCH(4,$B$29:$GQ$29,0))</f>
        <v/>
      </c>
      <c r="F3" s="1">
        <f>INDEX($B$17:$GQ$17,MATCH(5,$B$29:$GQ$29,0))</f>
        <v/>
      </c>
      <c r="G3" s="1">
        <f>INDEX($B$17:$GQ$17,MATCH(6,$B$29:$GQ$29,0))</f>
        <v/>
      </c>
      <c r="H3" s="1">
        <f>INDEX($B$17:$GQ$17,MATCH(7,$B$29:$GQ$29,0))</f>
        <v/>
      </c>
      <c r="I3" s="1">
        <f>INDEX($B$17:$GQ$17,MATCH(8,$B$29:$GQ$29,0))</f>
        <v/>
      </c>
      <c r="J3" s="1">
        <f>INDEX($B$17:$GQ$17,MATCH(9,$B$29:$GQ$29,0))</f>
        <v/>
      </c>
      <c r="K3" s="1">
        <f>INDEX($B$17:$GQ$17,MATCH(10,$B$29:$GQ$29,0))</f>
        <v/>
      </c>
      <c r="L3" s="1">
        <f>INDEX($B$17:$GQ$17,MATCH(11,$B$29:$GQ$29,0))</f>
        <v/>
      </c>
      <c r="M3" s="1">
        <f>INDEX($B$17:$GQ$17,MATCH(12,$B$29:$GQ$29,0))</f>
        <v/>
      </c>
      <c r="N3" s="1">
        <f>INDEX($B$17:$GQ$17,MATCH(13,$B$29:$GQ$29,0))</f>
        <v/>
      </c>
      <c r="O3" s="1">
        <f>INDEX($B$17:$GQ$17,MATCH(14,$B$29:$GQ$29,0))</f>
        <v/>
      </c>
      <c r="P3" s="1">
        <f>INDEX($B$17:$GQ$17,MATCH(15,$B$29:$GQ$29,0))</f>
        <v/>
      </c>
      <c r="Q3" s="1">
        <f>INDEX($B$17:$GQ$17,MATCH(16,$B$29:$GQ$29,0))</f>
        <v/>
      </c>
      <c r="R3" s="1">
        <f>INDEX($B$17:$GQ$17,MATCH(17,$B$29:$GQ$29,0))</f>
        <v/>
      </c>
      <c r="S3" s="1">
        <f>INDEX($B$17:$GQ$17,MATCH(18,$B$29:$GQ$29,0))</f>
        <v/>
      </c>
      <c r="T3" s="1">
        <f>INDEX($B$17:$GQ$17,MATCH(19,$B$29:$GQ$29,0))</f>
        <v/>
      </c>
      <c r="U3" s="1">
        <f>INDEX($B$17:$GQ$17,MATCH(20,$B$29:$GQ$29,0))</f>
        <v/>
      </c>
      <c r="V3" s="1">
        <f>INDEX($B$17:$GQ$17,MATCH(21,$B$29:$GQ$29,0))</f>
        <v/>
      </c>
      <c r="W3" s="1">
        <f>INDEX($B$17:$GQ$17,MATCH(22,$B$29:$GQ$29,0))</f>
        <v/>
      </c>
      <c r="X3" s="1">
        <f>INDEX($B$17:$GQ$17,MATCH(23,$B$29:$GQ$29,0))</f>
        <v/>
      </c>
      <c r="Y3" s="1">
        <f>INDEX($B$17:$GQ$17,MATCH(24,$B$29:$GQ$29,0))</f>
        <v/>
      </c>
      <c r="Z3" s="1">
        <f>INDEX($B$17:$GQ$17,MATCH(25,$B$29:$GQ$29,0))</f>
        <v/>
      </c>
      <c r="AA3" s="1">
        <f>INDEX($B$17:$GQ$17,MATCH(26,$B$29:$GQ$29,0))</f>
        <v/>
      </c>
      <c r="AB3" s="1">
        <f>INDEX($B$17:$GQ$17,MATCH(27,$B$29:$GQ$29,0))</f>
        <v/>
      </c>
      <c r="AC3" s="1">
        <f>INDEX($B$17:$GQ$17,MATCH(28,$B$29:$GQ$29,0))</f>
        <v/>
      </c>
      <c r="AD3" s="1">
        <f>INDEX($B$17:$GQ$17,MATCH(29,$B$29:$GQ$29,0))</f>
        <v/>
      </c>
      <c r="AE3" s="1">
        <f>INDEX($B$17:$GQ$17,MATCH(30,$B$29:$GQ$29,0))</f>
        <v/>
      </c>
      <c r="AF3" s="1">
        <f>INDEX($B$17:$GQ$17,MATCH(31,$B$29:$GQ$29,0))</f>
        <v/>
      </c>
      <c r="AG3" s="1">
        <f>INDEX($B$17:$GQ$17,MATCH(32,$B$29:$GQ$29,0))</f>
        <v/>
      </c>
      <c r="AH3" s="1">
        <f>INDEX($B$17:$GQ$17,MATCH(33,$B$29:$GQ$29,0))</f>
        <v/>
      </c>
      <c r="AI3" s="1">
        <f>INDEX($B$17:$GQ$17,MATCH(34,$B$29:$GQ$29,0))</f>
        <v/>
      </c>
      <c r="AJ3" s="1">
        <f>INDEX($B$17:$GQ$17,MATCH(35,$B$29:$GQ$29,0))</f>
        <v/>
      </c>
      <c r="AK3" s="1">
        <f>INDEX($B$17:$GQ$17,MATCH(36,$B$29:$GQ$29,0))</f>
        <v/>
      </c>
      <c r="AL3" s="1">
        <f>INDEX($B$17:$GQ$17,MATCH(37,$B$29:$GQ$29,0))</f>
        <v/>
      </c>
      <c r="AM3" s="1">
        <f>INDEX($B$17:$GQ$17,MATCH(38,$B$29:$GQ$29,0))</f>
        <v/>
      </c>
      <c r="AN3" s="1">
        <f>INDEX($B$17:$GQ$17,MATCH(39,$B$29:$GQ$29,0))</f>
        <v/>
      </c>
      <c r="AO3" s="1">
        <f>INDEX($B$17:$GQ$17,MATCH(40,$B$29:$GQ$29,0))</f>
        <v/>
      </c>
      <c r="AP3" s="1">
        <f>INDEX($B$17:$GQ$17,MATCH(41,$B$29:$GQ$29,0))</f>
        <v/>
      </c>
      <c r="AQ3" s="1">
        <f>INDEX($B$17:$GQ$17,MATCH(42,$B$29:$GQ$29,0))</f>
        <v/>
      </c>
      <c r="AR3" s="1">
        <f>INDEX($B$17:$GQ$17,MATCH(43,$B$29:$GQ$29,0))</f>
        <v/>
      </c>
      <c r="AS3" s="1">
        <f>INDEX($B$17:$GQ$17,MATCH(44,$B$29:$GQ$29,0))</f>
        <v/>
      </c>
      <c r="AT3" s="1">
        <f>INDEX($B$17:$GQ$17,MATCH(45,$B$29:$GQ$29,0))</f>
        <v/>
      </c>
      <c r="AU3" s="1">
        <f>INDEX($B$17:$GQ$17,MATCH(46,$B$29:$GQ$29,0))</f>
        <v/>
      </c>
      <c r="AV3" s="1">
        <f>INDEX($B$17:$GQ$17,MATCH(47,$B$29:$GQ$29,0))</f>
        <v/>
      </c>
      <c r="AW3" s="1">
        <f>INDEX($B$17:$GQ$17,MATCH(48,$B$29:$GQ$29,0))</f>
        <v/>
      </c>
      <c r="AX3" s="1">
        <f>INDEX($B$17:$GQ$17,MATCH(49,$B$29:$GQ$29,0))</f>
        <v/>
      </c>
      <c r="AY3" s="1">
        <f>INDEX($B$17:$GQ$17,MATCH(50,$B$29:$GQ$29,0))</f>
        <v/>
      </c>
      <c r="AZ3" s="1">
        <f>INDEX($B$17:$GQ$17,MATCH(51,$B$29:$GQ$29,0))</f>
        <v/>
      </c>
      <c r="BA3" s="1">
        <f>INDEX($B$17:$GQ$17,MATCH(52,$B$29:$GQ$29,0))</f>
        <v/>
      </c>
      <c r="BB3" s="1">
        <f>INDEX($B$17:$GQ$17,MATCH(53,$B$29:$GQ$29,0))</f>
        <v/>
      </c>
      <c r="BC3" s="1">
        <f>INDEX($B$17:$GQ$17,MATCH(54,$B$29:$GQ$29,0))</f>
        <v/>
      </c>
      <c r="BD3" s="1">
        <f>INDEX($B$17:$GQ$17,MATCH(55,$B$29:$GQ$29,0))</f>
        <v/>
      </c>
      <c r="BE3" s="1">
        <f>INDEX($B$17:$GQ$17,MATCH(56,$B$29:$GQ$29,0))</f>
        <v/>
      </c>
      <c r="BF3" s="1">
        <f>INDEX($B$17:$GQ$17,MATCH(57,$B$29:$GQ$29,0))</f>
        <v/>
      </c>
      <c r="BG3" s="1">
        <f>INDEX($B$17:$GQ$17,MATCH(58,$B$29:$GQ$29,0))</f>
        <v/>
      </c>
      <c r="BH3" s="1">
        <f>INDEX($B$17:$GQ$17,MATCH(59,$B$29:$GQ$29,0))</f>
        <v/>
      </c>
      <c r="BI3" s="1">
        <f>INDEX($B$17:$GQ$17,MATCH(60,$B$29:$GQ$29,0))</f>
        <v/>
      </c>
      <c r="BJ3" s="1">
        <f>INDEX($B$17:$GQ$17,MATCH(61,$B$29:$GQ$29,0))</f>
        <v/>
      </c>
      <c r="BK3" s="1">
        <f>INDEX($B$17:$GQ$17,MATCH(62,$B$29:$GQ$29,0))</f>
        <v/>
      </c>
      <c r="BL3" s="1">
        <f>INDEX($B$17:$GQ$17,MATCH(63,$B$29:$GQ$29,0))</f>
        <v/>
      </c>
      <c r="BM3" s="1">
        <f>INDEX($B$17:$GQ$17,MATCH(64,$B$29:$GQ$29,0))</f>
        <v/>
      </c>
      <c r="BN3" s="1">
        <f>INDEX($B$17:$GQ$17,MATCH(65,$B$29:$GQ$29,0))</f>
        <v/>
      </c>
      <c r="BO3" s="1">
        <f>INDEX($B$17:$GQ$17,MATCH(66,$B$29:$GQ$29,0))</f>
        <v/>
      </c>
      <c r="BP3" s="1">
        <f>INDEX($B$17:$GQ$17,MATCH(67,$B$29:$GQ$29,0))</f>
        <v/>
      </c>
      <c r="BQ3" s="1">
        <f>INDEX($B$17:$GQ$17,MATCH(68,$B$29:$GQ$29,0))</f>
        <v/>
      </c>
      <c r="BR3" s="1">
        <f>INDEX($B$17:$GQ$17,MATCH(69,$B$29:$GQ$29,0))</f>
        <v/>
      </c>
      <c r="BS3" s="1">
        <f>INDEX($B$17:$GQ$17,MATCH(70,$B$29:$GQ$29,0))</f>
        <v/>
      </c>
      <c r="BT3" s="1">
        <f>INDEX($B$17:$GQ$17,MATCH(71,$B$29:$GQ$29,0))</f>
        <v/>
      </c>
      <c r="BU3" s="1">
        <f>INDEX($B$17:$GQ$17,MATCH(72,$B$29:$GQ$29,0))</f>
        <v/>
      </c>
      <c r="BV3" s="1">
        <f>INDEX($B$17:$GQ$17,MATCH(73,$B$29:$GQ$29,0))</f>
        <v/>
      </c>
      <c r="BW3" s="1">
        <f>INDEX($B$17:$GQ$17,MATCH(74,$B$29:$GQ$29,0))</f>
        <v/>
      </c>
      <c r="BX3" s="1">
        <f>INDEX($B$17:$GQ$17,MATCH(75,$B$29:$GQ$29,0))</f>
        <v/>
      </c>
      <c r="BY3" s="1">
        <f>INDEX($B$17:$GQ$17,MATCH(76,$B$29:$GQ$29,0))</f>
        <v/>
      </c>
      <c r="BZ3" s="1">
        <f>INDEX($B$17:$GQ$17,MATCH(77,$B$29:$GQ$29,0))</f>
        <v/>
      </c>
      <c r="CA3" s="1">
        <f>INDEX($B$17:$GQ$17,MATCH(78,$B$29:$GQ$29,0))</f>
        <v/>
      </c>
      <c r="CB3" s="1">
        <f>INDEX($B$17:$GQ$17,MATCH(79,$B$29:$GQ$29,0))</f>
        <v/>
      </c>
      <c r="CC3" s="1">
        <f>INDEX($B$17:$GQ$17,MATCH(80,$B$29:$GQ$29,0))</f>
        <v/>
      </c>
      <c r="CD3" s="1">
        <f>INDEX($B$17:$GQ$17,MATCH(81,$B$29:$GQ$29,0))</f>
        <v/>
      </c>
      <c r="CE3" s="1">
        <f>INDEX($B$17:$GQ$17,MATCH(82,$B$29:$GQ$29,0))</f>
        <v/>
      </c>
      <c r="CF3" s="1">
        <f>INDEX($B$17:$GQ$17,MATCH(83,$B$29:$GQ$29,0))</f>
        <v/>
      </c>
      <c r="CG3" s="1">
        <f>INDEX($B$17:$GQ$17,MATCH(84,$B$29:$GQ$29,0))</f>
        <v/>
      </c>
      <c r="CH3" s="1">
        <f>INDEX($B$17:$GQ$17,MATCH(85,$B$29:$GQ$29,0))</f>
        <v/>
      </c>
      <c r="CI3" s="1">
        <f>INDEX($B$17:$GQ$17,MATCH(86,$B$29:$GQ$29,0))</f>
        <v/>
      </c>
      <c r="CJ3" s="1">
        <f>INDEX($B$17:$GQ$17,MATCH(87,$B$29:$GQ$29,0))</f>
        <v/>
      </c>
      <c r="CK3" s="1">
        <f>INDEX($B$17:$GQ$17,MATCH(88,$B$29:$GQ$29,0))</f>
        <v/>
      </c>
      <c r="CL3" s="1">
        <f>INDEX($B$17:$GQ$17,MATCH(89,$B$29:$GQ$29,0))</f>
        <v/>
      </c>
      <c r="CM3" s="1">
        <f>INDEX($B$17:$GQ$17,MATCH(90,$B$29:$GQ$29,0))</f>
        <v/>
      </c>
      <c r="CN3" s="1">
        <f>INDEX($B$17:$GQ$17,MATCH(91,$B$29:$GQ$29,0))</f>
        <v/>
      </c>
      <c r="CO3" s="1">
        <f>INDEX($B$17:$GQ$17,MATCH(92,$B$29:$GQ$29,0))</f>
        <v/>
      </c>
      <c r="CP3" s="1">
        <f>INDEX($B$17:$GQ$17,MATCH(93,$B$29:$GQ$29,0))</f>
        <v/>
      </c>
      <c r="CQ3" s="1">
        <f>INDEX($B$17:$GQ$17,MATCH(94,$B$29:$GQ$29,0))</f>
        <v/>
      </c>
      <c r="CR3" s="1">
        <f>INDEX($B$17:$GQ$17,MATCH(95,$B$29:$GQ$29,0))</f>
        <v/>
      </c>
      <c r="CS3" s="1">
        <f>INDEX($B$17:$GQ$17,MATCH(96,$B$29:$GQ$29,0))</f>
        <v/>
      </c>
      <c r="CT3" s="1">
        <f>INDEX($B$17:$GQ$17,MATCH(97,$B$29:$GQ$29,0))</f>
        <v/>
      </c>
      <c r="CU3" s="1">
        <f>INDEX($B$17:$GQ$17,MATCH(98,$B$29:$GQ$29,0))</f>
        <v/>
      </c>
      <c r="CV3" s="1">
        <f>INDEX($B$17:$GQ$17,MATCH(99,$B$29:$GQ$29,0))</f>
        <v/>
      </c>
      <c r="CW3" s="1">
        <f>INDEX($B$17:$GQ$17,MATCH(100,$B$29:$GQ$29,0))</f>
        <v/>
      </c>
      <c r="CX3" s="1">
        <f>INDEX($B$17:$GQ$17,MATCH(101,$B$29:$GQ$29,0))</f>
        <v/>
      </c>
      <c r="CY3" s="1">
        <f>INDEX($B$17:$GQ$17,MATCH(102,$B$29:$GQ$29,0))</f>
        <v/>
      </c>
      <c r="CZ3" s="1">
        <f>INDEX($B$17:$GQ$17,MATCH(103,$B$29:$GQ$29,0))</f>
        <v/>
      </c>
      <c r="DA3" s="1">
        <f>INDEX($B$17:$GQ$17,MATCH(104,$B$29:$GQ$29,0))</f>
        <v/>
      </c>
      <c r="DB3" s="1">
        <f>INDEX($B$17:$GQ$17,MATCH(105,$B$29:$GQ$29,0))</f>
        <v/>
      </c>
      <c r="DC3" s="1">
        <f>INDEX($B$17:$GQ$17,MATCH(106,$B$29:$GQ$29,0))</f>
        <v/>
      </c>
      <c r="DD3" s="1">
        <f>INDEX($B$17:$GQ$17,MATCH(107,$B$29:$GQ$29,0))</f>
        <v/>
      </c>
      <c r="DE3" s="1">
        <f>INDEX($B$17:$GQ$17,MATCH(108,$B$29:$GQ$29,0))</f>
        <v/>
      </c>
      <c r="DF3" s="1">
        <f>INDEX($B$17:$GQ$17,MATCH(109,$B$29:$GQ$29,0))</f>
        <v/>
      </c>
      <c r="DG3" s="1">
        <f>INDEX($B$17:$GQ$17,MATCH(110,$B$29:$GQ$29,0))</f>
        <v/>
      </c>
      <c r="DH3" s="1">
        <f>INDEX($B$17:$GQ$17,MATCH(111,$B$29:$GQ$29,0))</f>
        <v/>
      </c>
      <c r="DI3" s="1">
        <f>INDEX($B$17:$GQ$17,MATCH(112,$B$29:$GQ$29,0))</f>
        <v/>
      </c>
      <c r="DJ3" s="1">
        <f>INDEX($B$17:$GQ$17,MATCH(113,$B$29:$GQ$29,0))</f>
        <v/>
      </c>
      <c r="DK3" s="1">
        <f>INDEX($B$17:$GQ$17,MATCH(114,$B$29:$GQ$29,0))</f>
        <v/>
      </c>
      <c r="DL3" s="1">
        <f>INDEX($B$17:$GQ$17,MATCH(115,$B$29:$GQ$29,0))</f>
        <v/>
      </c>
      <c r="DM3" s="1">
        <f>INDEX($B$17:$GQ$17,MATCH(116,$B$29:$GQ$29,0))</f>
        <v/>
      </c>
      <c r="DN3" s="1">
        <f>INDEX($B$17:$GQ$17,MATCH(117,$B$29:$GQ$29,0))</f>
        <v/>
      </c>
      <c r="DO3" s="1">
        <f>INDEX($B$17:$GQ$17,MATCH(118,$B$29:$GQ$29,0))</f>
        <v/>
      </c>
      <c r="DP3" s="1">
        <f>INDEX($B$17:$GQ$17,MATCH(119,$B$29:$GQ$29,0))</f>
        <v/>
      </c>
      <c r="DQ3" s="1">
        <f>INDEX($B$17:$GQ$17,MATCH(120,$B$29:$GQ$29,0))</f>
        <v/>
      </c>
      <c r="DR3" s="1">
        <f>INDEX($B$17:$GQ$17,MATCH(121,$B$29:$GQ$29,0))</f>
        <v/>
      </c>
      <c r="DS3" s="1">
        <f>INDEX($B$17:$GQ$17,MATCH(122,$B$29:$GQ$29,0))</f>
        <v/>
      </c>
      <c r="DT3" s="1">
        <f>INDEX($B$17:$GQ$17,MATCH(123,$B$29:$GQ$29,0))</f>
        <v/>
      </c>
      <c r="DU3" s="1">
        <f>INDEX($B$17:$GQ$17,MATCH(124,$B$29:$GQ$29,0))</f>
        <v/>
      </c>
      <c r="DV3" s="1">
        <f>INDEX($B$17:$GQ$17,MATCH(125,$B$29:$GQ$29,0))</f>
        <v/>
      </c>
      <c r="DW3" s="1">
        <f>INDEX($B$17:$GQ$17,MATCH(126,$B$29:$GQ$29,0))</f>
        <v/>
      </c>
      <c r="DX3" s="1">
        <f>INDEX($B$17:$GQ$17,MATCH(127,$B$29:$GQ$29,0))</f>
        <v/>
      </c>
      <c r="DY3" s="1">
        <f>INDEX($B$17:$GQ$17,MATCH(128,$B$29:$GQ$29,0))</f>
        <v/>
      </c>
      <c r="DZ3" s="1">
        <f>INDEX($B$17:$GQ$17,MATCH(129,$B$29:$GQ$29,0))</f>
        <v/>
      </c>
      <c r="EA3" s="1">
        <f>INDEX($B$17:$GQ$17,MATCH(130,$B$29:$GQ$29,0))</f>
        <v/>
      </c>
      <c r="EB3" s="1">
        <f>INDEX($B$17:$GQ$17,MATCH(131,$B$29:$GQ$29,0))</f>
        <v/>
      </c>
      <c r="EC3" s="1">
        <f>INDEX($B$17:$GQ$17,MATCH(132,$B$29:$GQ$29,0))</f>
        <v/>
      </c>
      <c r="ED3" s="1">
        <f>INDEX($B$17:$GQ$17,MATCH(133,$B$29:$GQ$29,0))</f>
        <v/>
      </c>
      <c r="EE3" s="1">
        <f>INDEX($B$17:$GQ$17,MATCH(134,$B$29:$GQ$29,0))</f>
        <v/>
      </c>
      <c r="EF3" s="1">
        <f>INDEX($B$17:$GQ$17,MATCH(135,$B$29:$GQ$29,0))</f>
        <v/>
      </c>
      <c r="EG3" s="1">
        <f>INDEX($B$17:$GQ$17,MATCH(136,$B$29:$GQ$29,0))</f>
        <v/>
      </c>
      <c r="EH3" s="1">
        <f>INDEX($B$17:$GQ$17,MATCH(137,$B$29:$GQ$29,0))</f>
        <v/>
      </c>
      <c r="EI3" s="1">
        <f>INDEX($B$17:$GQ$17,MATCH(138,$B$29:$GQ$29,0))</f>
        <v/>
      </c>
      <c r="EJ3" s="1">
        <f>INDEX($B$17:$GQ$17,MATCH(139,$B$29:$GQ$29,0))</f>
        <v/>
      </c>
      <c r="EK3" s="1">
        <f>INDEX($B$17:$GQ$17,MATCH(140,$B$29:$GQ$29,0))</f>
        <v/>
      </c>
      <c r="EL3" s="1">
        <f>INDEX($B$17:$GQ$17,MATCH(141,$B$29:$GQ$29,0))</f>
        <v/>
      </c>
      <c r="EM3" s="1">
        <f>INDEX($B$17:$GQ$17,MATCH(142,$B$29:$GQ$29,0))</f>
        <v/>
      </c>
      <c r="EN3" s="1">
        <f>INDEX($B$17:$GQ$17,MATCH(143,$B$29:$GQ$29,0))</f>
        <v/>
      </c>
      <c r="EO3" s="1">
        <f>INDEX($B$17:$GQ$17,MATCH(144,$B$29:$GQ$29,0))</f>
        <v/>
      </c>
      <c r="EP3" s="1">
        <f>INDEX($B$17:$GQ$17,MATCH(145,$B$29:$GQ$29,0))</f>
        <v/>
      </c>
      <c r="EQ3" s="1">
        <f>INDEX($B$17:$GQ$17,MATCH(146,$B$29:$GQ$29,0))</f>
        <v/>
      </c>
      <c r="ER3" s="1">
        <f>INDEX($B$17:$GQ$17,MATCH(147,$B$29:$GQ$29,0))</f>
        <v/>
      </c>
      <c r="ES3" s="1">
        <f>INDEX($B$17:$GQ$17,MATCH(148,$B$29:$GQ$29,0))</f>
        <v/>
      </c>
      <c r="ET3" s="1">
        <f>INDEX($B$17:$GQ$17,MATCH(149,$B$29:$GQ$29,0))</f>
        <v/>
      </c>
      <c r="EU3" s="1">
        <f>INDEX($B$17:$GQ$17,MATCH(150,$B$29:$GQ$29,0))</f>
        <v/>
      </c>
      <c r="EV3" s="1">
        <f>INDEX($B$17:$GQ$17,MATCH(151,$B$29:$GQ$29,0))</f>
        <v/>
      </c>
      <c r="EW3" s="1">
        <f>INDEX($B$17:$GQ$17,MATCH(152,$B$29:$GQ$29,0))</f>
        <v/>
      </c>
      <c r="EX3" s="1">
        <f>INDEX($B$17:$GQ$17,MATCH(153,$B$29:$GQ$29,0))</f>
        <v/>
      </c>
      <c r="EY3" s="1">
        <f>INDEX($B$17:$GQ$17,MATCH(154,$B$29:$GQ$29,0))</f>
        <v/>
      </c>
      <c r="EZ3" s="1">
        <f>INDEX($B$17:$GQ$17,MATCH(155,$B$29:$GQ$29,0))</f>
        <v/>
      </c>
      <c r="FA3" s="1">
        <f>INDEX($B$17:$GQ$17,MATCH(156,$B$29:$GQ$29,0))</f>
        <v/>
      </c>
      <c r="FB3" s="1">
        <f>INDEX($B$17:$GQ$17,MATCH(157,$B$29:$GQ$29,0))</f>
        <v/>
      </c>
      <c r="FC3" s="1">
        <f>INDEX($B$17:$GQ$17,MATCH(158,$B$29:$GQ$29,0))</f>
        <v/>
      </c>
      <c r="FD3" s="1">
        <f>INDEX($B$17:$GQ$17,MATCH(159,$B$29:$GQ$29,0))</f>
        <v/>
      </c>
      <c r="FE3" s="1">
        <f>INDEX($B$17:$GQ$17,MATCH(160,$B$29:$GQ$29,0))</f>
        <v/>
      </c>
      <c r="FF3" s="1">
        <f>INDEX($B$17:$GQ$17,MATCH(161,$B$29:$GQ$29,0))</f>
        <v/>
      </c>
      <c r="FG3" s="1">
        <f>INDEX($B$17:$GQ$17,MATCH(162,$B$29:$GQ$29,0))</f>
        <v/>
      </c>
      <c r="FH3" s="1">
        <f>INDEX($B$17:$GQ$17,MATCH(163,$B$29:$GQ$29,0))</f>
        <v/>
      </c>
      <c r="FI3" s="1">
        <f>INDEX($B$17:$GQ$17,MATCH(164,$B$29:$GQ$29,0))</f>
        <v/>
      </c>
      <c r="FJ3" s="1">
        <f>INDEX($B$17:$GQ$17,MATCH(165,$B$29:$GQ$29,0))</f>
        <v/>
      </c>
      <c r="FK3" s="1">
        <f>INDEX($B$17:$GQ$17,MATCH(166,$B$29:$GQ$29,0))</f>
        <v/>
      </c>
      <c r="FL3" s="1">
        <f>INDEX($B$17:$GQ$17,MATCH(167,$B$29:$GQ$29,0))</f>
        <v/>
      </c>
      <c r="FM3" s="1">
        <f>INDEX($B$17:$GQ$17,MATCH(168,$B$29:$GQ$29,0))</f>
        <v/>
      </c>
      <c r="FN3" s="1">
        <f>INDEX($B$17:$GQ$17,MATCH(169,$B$29:$GQ$29,0))</f>
        <v/>
      </c>
      <c r="FO3" s="1">
        <f>INDEX($B$17:$GQ$17,MATCH(170,$B$29:$GQ$29,0))</f>
        <v/>
      </c>
      <c r="FP3" s="1">
        <f>INDEX($B$17:$GQ$17,MATCH(171,$B$29:$GQ$29,0))</f>
        <v/>
      </c>
      <c r="FQ3" s="1">
        <f>INDEX($B$17:$GQ$17,MATCH(172,$B$29:$GQ$29,0))</f>
        <v/>
      </c>
      <c r="FR3" s="1">
        <f>INDEX($B$17:$GQ$17,MATCH(173,$B$29:$GQ$29,0))</f>
        <v/>
      </c>
      <c r="FS3" s="1">
        <f>INDEX($B$17:$GQ$17,MATCH(174,$B$29:$GQ$29,0))</f>
        <v/>
      </c>
      <c r="FT3" s="1">
        <f>INDEX($B$17:$GQ$17,MATCH(175,$B$29:$GQ$29,0))</f>
        <v/>
      </c>
      <c r="FU3" s="1">
        <f>INDEX($B$17:$GQ$17,MATCH(176,$B$29:$GQ$29,0))</f>
        <v/>
      </c>
      <c r="FV3" s="1">
        <f>INDEX($B$17:$GQ$17,MATCH(177,$B$29:$GQ$29,0))</f>
        <v/>
      </c>
      <c r="FW3" s="1">
        <f>INDEX($B$17:$GQ$17,MATCH(178,$B$29:$GQ$29,0))</f>
        <v/>
      </c>
      <c r="FX3" s="1">
        <f>INDEX($B$17:$GQ$17,MATCH(179,$B$29:$GQ$29,0))</f>
        <v/>
      </c>
      <c r="FY3" s="1">
        <f>INDEX($B$17:$GQ$17,MATCH(180,$B$29:$GQ$29,0))</f>
        <v/>
      </c>
      <c r="FZ3" s="1">
        <f>INDEX($B$17:$GQ$17,MATCH(181,$B$29:$GQ$29,0))</f>
        <v/>
      </c>
      <c r="GA3" s="1">
        <f>INDEX($B$17:$GQ$17,MATCH(182,$B$29:$GQ$29,0))</f>
        <v/>
      </c>
      <c r="GB3" s="1">
        <f>INDEX($B$17:$GQ$17,MATCH(183,$B$29:$GQ$29,0))</f>
        <v/>
      </c>
      <c r="GC3" s="1">
        <f>INDEX($B$17:$GQ$17,MATCH(184,$B$29:$GQ$29,0))</f>
        <v/>
      </c>
      <c r="GD3" s="1">
        <f>INDEX($B$17:$GQ$17,MATCH(185,$B$29:$GQ$29,0))</f>
        <v/>
      </c>
      <c r="GE3" s="1">
        <f>INDEX($B$17:$GQ$17,MATCH(186,$B$29:$GQ$29,0))</f>
        <v/>
      </c>
      <c r="GF3" s="1">
        <f>INDEX($B$17:$GQ$17,MATCH(187,$B$29:$GQ$29,0))</f>
        <v/>
      </c>
      <c r="GG3" s="1">
        <f>INDEX($B$17:$GQ$17,MATCH(188,$B$29:$GQ$29,0))</f>
        <v/>
      </c>
      <c r="GH3" s="1">
        <f>INDEX($B$17:$GQ$17,MATCH(189,$B$29:$GQ$29,0))</f>
        <v/>
      </c>
      <c r="GI3" s="1">
        <f>INDEX($B$17:$GQ$17,MATCH(190,$B$29:$GQ$29,0))</f>
        <v/>
      </c>
      <c r="GJ3" s="1">
        <f>INDEX($B$17:$GQ$17,MATCH(191,$B$29:$GQ$29,0))</f>
        <v/>
      </c>
      <c r="GK3" s="1">
        <f>INDEX($B$17:$GQ$17,MATCH(192,$B$29:$GQ$29,0))</f>
        <v/>
      </c>
      <c r="GL3" s="1">
        <f>INDEX($B$17:$GQ$17,MATCH(193,$B$29:$GQ$29,0))</f>
        <v/>
      </c>
      <c r="GM3" s="1">
        <f>INDEX($B$17:$GQ$17,MATCH(194,$B$29:$GQ$29,0))</f>
        <v/>
      </c>
      <c r="GN3" s="1">
        <f>INDEX($B$17:$GQ$17,MATCH(195,$B$29:$GQ$29,0))</f>
        <v/>
      </c>
      <c r="GO3" s="1">
        <f>INDEX($B$17:$GQ$17,MATCH(196,$B$29:$GQ$29,0))</f>
        <v/>
      </c>
      <c r="GP3" s="1">
        <f>INDEX($B$17:$GQ$17,MATCH(197,$B$29:$GQ$29,0))</f>
        <v/>
      </c>
      <c r="GQ3" s="1">
        <f>INDEX($B$17:$GQ$17,MATCH(198,$B$29:$GQ$29,0))</f>
        <v/>
      </c>
      <c r="GR3" s="1">
        <f>INDEX($GR$17:$HC$17,MATCH(1,$GR$30:$HC$30,0))</f>
        <v/>
      </c>
      <c r="GS3" s="1">
        <f>INDEX($GR$17:$HC$17,MATCH(2,$GR$30:$HC$30,0))</f>
        <v/>
      </c>
      <c r="GT3" s="1">
        <f>INDEX($GR$17:$HC$17,MATCH(3,$GR$30:$HC$30,0))</f>
        <v/>
      </c>
      <c r="GU3" s="1">
        <f>INDEX($GR$17:$HC$17,MATCH(4,$GR$30:$HC$30,0))</f>
        <v/>
      </c>
      <c r="GV3" s="1">
        <f>INDEX($GR$17:$HC$17,MATCH(5,$GR$30:$HC$30,0))</f>
        <v/>
      </c>
      <c r="GW3" s="1">
        <f>INDEX($GR$17:$HC$17,MATCH(6,$GR$30:$HC$30,0))</f>
        <v/>
      </c>
      <c r="GX3" s="1">
        <f>INDEX($GR$17:$HC$17,MATCH(7,$GR$30:$HC$30,0))</f>
        <v/>
      </c>
      <c r="GY3" s="1">
        <f>INDEX($GR$17:$HC$17,MATCH(8,$GR$30:$HC$30,0))</f>
        <v/>
      </c>
      <c r="GZ3" s="1">
        <f>INDEX($GR$17:$HC$17,MATCH(9,$GR$30:$HC$30,0))</f>
        <v/>
      </c>
      <c r="HA3" s="1">
        <f>INDEX($GR$17:$HC$17,MATCH(10,$GR$30:$HC$30,0))</f>
        <v/>
      </c>
      <c r="HB3" s="1">
        <f>INDEX($GR$17:$HC$17,MATCH(11,$GR$30:$HC$30,0))</f>
        <v/>
      </c>
      <c r="HC3" s="1">
        <f>INDEX($GR$17:$HC$17,MATCH(12,$GR$30:$HC$30,0))</f>
        <v/>
      </c>
    </row>
    <row r="4">
      <c r="A4" s="1" t="inlineStr">
        <is>
          <t>M_imp</t>
        </is>
      </c>
      <c r="B4">
        <f>INDEX($B$18:$GQ$18,MATCH(1,$B$29:$GQ$29,0))</f>
        <v/>
      </c>
      <c r="C4">
        <f>INDEX($B$18:$GQ$18,MATCH(2,$B$29:$GQ$29,0))</f>
        <v/>
      </c>
      <c r="D4">
        <f>INDEX($B$18:$GQ$18,MATCH(3,$B$29:$GQ$29,0))</f>
        <v/>
      </c>
      <c r="E4">
        <f>INDEX($B$18:$GQ$18,MATCH(4,$B$29:$GQ$29,0))</f>
        <v/>
      </c>
      <c r="F4">
        <f>INDEX($B$18:$GQ$18,MATCH(5,$B$29:$GQ$29,0))</f>
        <v/>
      </c>
      <c r="G4">
        <f>INDEX($B$18:$GQ$18,MATCH(6,$B$29:$GQ$29,0))</f>
        <v/>
      </c>
      <c r="H4">
        <f>INDEX($B$18:$GQ$18,MATCH(7,$B$29:$GQ$29,0))</f>
        <v/>
      </c>
      <c r="I4">
        <f>INDEX($B$18:$GQ$18,MATCH(8,$B$29:$GQ$29,0))</f>
        <v/>
      </c>
      <c r="J4">
        <f>INDEX($B$18:$GQ$18,MATCH(9,$B$29:$GQ$29,0))</f>
        <v/>
      </c>
      <c r="K4">
        <f>INDEX($B$18:$GQ$18,MATCH(10,$B$29:$GQ$29,0))</f>
        <v/>
      </c>
      <c r="L4">
        <f>INDEX($B$18:$GQ$18,MATCH(11,$B$29:$GQ$29,0))</f>
        <v/>
      </c>
      <c r="M4">
        <f>INDEX($B$18:$GQ$18,MATCH(12,$B$29:$GQ$29,0))</f>
        <v/>
      </c>
      <c r="N4">
        <f>INDEX($B$18:$GQ$18,MATCH(13,$B$29:$GQ$29,0))</f>
        <v/>
      </c>
      <c r="O4">
        <f>INDEX($B$18:$GQ$18,MATCH(14,$B$29:$GQ$29,0))</f>
        <v/>
      </c>
      <c r="P4">
        <f>INDEX($B$18:$GQ$18,MATCH(15,$B$29:$GQ$29,0))</f>
        <v/>
      </c>
      <c r="Q4">
        <f>INDEX($B$18:$GQ$18,MATCH(16,$B$29:$GQ$29,0))</f>
        <v/>
      </c>
      <c r="R4">
        <f>INDEX($B$18:$GQ$18,MATCH(17,$B$29:$GQ$29,0))</f>
        <v/>
      </c>
      <c r="S4">
        <f>INDEX($B$18:$GQ$18,MATCH(18,$B$29:$GQ$29,0))</f>
        <v/>
      </c>
      <c r="T4">
        <f>INDEX($B$18:$GQ$18,MATCH(19,$B$29:$GQ$29,0))</f>
        <v/>
      </c>
      <c r="U4">
        <f>INDEX($B$18:$GQ$18,MATCH(20,$B$29:$GQ$29,0))</f>
        <v/>
      </c>
      <c r="V4">
        <f>INDEX($B$18:$GQ$18,MATCH(21,$B$29:$GQ$29,0))</f>
        <v/>
      </c>
      <c r="W4">
        <f>INDEX($B$18:$GQ$18,MATCH(22,$B$29:$GQ$29,0))</f>
        <v/>
      </c>
      <c r="X4">
        <f>INDEX($B$18:$GQ$18,MATCH(23,$B$29:$GQ$29,0))</f>
        <v/>
      </c>
      <c r="Y4">
        <f>INDEX($B$18:$GQ$18,MATCH(24,$B$29:$GQ$29,0))</f>
        <v/>
      </c>
      <c r="Z4">
        <f>INDEX($B$18:$GQ$18,MATCH(25,$B$29:$GQ$29,0))</f>
        <v/>
      </c>
      <c r="AA4">
        <f>INDEX($B$18:$GQ$18,MATCH(26,$B$29:$GQ$29,0))</f>
        <v/>
      </c>
      <c r="AB4">
        <f>INDEX($B$18:$GQ$18,MATCH(27,$B$29:$GQ$29,0))</f>
        <v/>
      </c>
      <c r="AC4">
        <f>INDEX($B$18:$GQ$18,MATCH(28,$B$29:$GQ$29,0))</f>
        <v/>
      </c>
      <c r="AD4">
        <f>INDEX($B$18:$GQ$18,MATCH(29,$B$29:$GQ$29,0))</f>
        <v/>
      </c>
      <c r="AE4">
        <f>INDEX($B$18:$GQ$18,MATCH(30,$B$29:$GQ$29,0))</f>
        <v/>
      </c>
      <c r="AF4">
        <f>INDEX($B$18:$GQ$18,MATCH(31,$B$29:$GQ$29,0))</f>
        <v/>
      </c>
      <c r="AG4">
        <f>INDEX($B$18:$GQ$18,MATCH(32,$B$29:$GQ$29,0))</f>
        <v/>
      </c>
      <c r="AH4">
        <f>INDEX($B$18:$GQ$18,MATCH(33,$B$29:$GQ$29,0))</f>
        <v/>
      </c>
      <c r="AI4">
        <f>INDEX($B$18:$GQ$18,MATCH(34,$B$29:$GQ$29,0))</f>
        <v/>
      </c>
      <c r="AJ4">
        <f>INDEX($B$18:$GQ$18,MATCH(35,$B$29:$GQ$29,0))</f>
        <v/>
      </c>
      <c r="AK4">
        <f>INDEX($B$18:$GQ$18,MATCH(36,$B$29:$GQ$29,0))</f>
        <v/>
      </c>
      <c r="AL4">
        <f>INDEX($B$18:$GQ$18,MATCH(37,$B$29:$GQ$29,0))</f>
        <v/>
      </c>
      <c r="AM4">
        <f>INDEX($B$18:$GQ$18,MATCH(38,$B$29:$GQ$29,0))</f>
        <v/>
      </c>
      <c r="AN4">
        <f>INDEX($B$18:$GQ$18,MATCH(39,$B$29:$GQ$29,0))</f>
        <v/>
      </c>
      <c r="AO4">
        <f>INDEX($B$18:$GQ$18,MATCH(40,$B$29:$GQ$29,0))</f>
        <v/>
      </c>
      <c r="AP4">
        <f>INDEX($B$18:$GQ$18,MATCH(41,$B$29:$GQ$29,0))</f>
        <v/>
      </c>
      <c r="AQ4">
        <f>INDEX($B$18:$GQ$18,MATCH(42,$B$29:$GQ$29,0))</f>
        <v/>
      </c>
      <c r="AR4">
        <f>INDEX($B$18:$GQ$18,MATCH(43,$B$29:$GQ$29,0))</f>
        <v/>
      </c>
      <c r="AS4">
        <f>INDEX($B$18:$GQ$18,MATCH(44,$B$29:$GQ$29,0))</f>
        <v/>
      </c>
      <c r="AT4">
        <f>INDEX($B$18:$GQ$18,MATCH(45,$B$29:$GQ$29,0))</f>
        <v/>
      </c>
      <c r="AU4">
        <f>INDEX($B$18:$GQ$18,MATCH(46,$B$29:$GQ$29,0))</f>
        <v/>
      </c>
      <c r="AV4">
        <f>INDEX($B$18:$GQ$18,MATCH(47,$B$29:$GQ$29,0))</f>
        <v/>
      </c>
      <c r="AW4">
        <f>INDEX($B$18:$GQ$18,MATCH(48,$B$29:$GQ$29,0))</f>
        <v/>
      </c>
      <c r="AX4">
        <f>INDEX($B$18:$GQ$18,MATCH(49,$B$29:$GQ$29,0))</f>
        <v/>
      </c>
      <c r="AY4">
        <f>INDEX($B$18:$GQ$18,MATCH(50,$B$29:$GQ$29,0))</f>
        <v/>
      </c>
      <c r="AZ4">
        <f>INDEX($B$18:$GQ$18,MATCH(51,$B$29:$GQ$29,0))</f>
        <v/>
      </c>
      <c r="BA4">
        <f>INDEX($B$18:$GQ$18,MATCH(52,$B$29:$GQ$29,0))</f>
        <v/>
      </c>
      <c r="BB4">
        <f>INDEX($B$18:$GQ$18,MATCH(53,$B$29:$GQ$29,0))</f>
        <v/>
      </c>
      <c r="BC4">
        <f>INDEX($B$18:$GQ$18,MATCH(54,$B$29:$GQ$29,0))</f>
        <v/>
      </c>
      <c r="BD4">
        <f>INDEX($B$18:$GQ$18,MATCH(55,$B$29:$GQ$29,0))</f>
        <v/>
      </c>
      <c r="BE4">
        <f>INDEX($B$18:$GQ$18,MATCH(56,$B$29:$GQ$29,0))</f>
        <v/>
      </c>
      <c r="BF4">
        <f>INDEX($B$18:$GQ$18,MATCH(57,$B$29:$GQ$29,0))</f>
        <v/>
      </c>
      <c r="BG4">
        <f>INDEX($B$18:$GQ$18,MATCH(58,$B$29:$GQ$29,0))</f>
        <v/>
      </c>
      <c r="BH4">
        <f>INDEX($B$18:$GQ$18,MATCH(59,$B$29:$GQ$29,0))</f>
        <v/>
      </c>
      <c r="BI4">
        <f>INDEX($B$18:$GQ$18,MATCH(60,$B$29:$GQ$29,0))</f>
        <v/>
      </c>
      <c r="BJ4">
        <f>INDEX($B$18:$GQ$18,MATCH(61,$B$29:$GQ$29,0))</f>
        <v/>
      </c>
      <c r="BK4">
        <f>INDEX($B$18:$GQ$18,MATCH(62,$B$29:$GQ$29,0))</f>
        <v/>
      </c>
      <c r="BL4">
        <f>INDEX($B$18:$GQ$18,MATCH(63,$B$29:$GQ$29,0))</f>
        <v/>
      </c>
      <c r="BM4">
        <f>INDEX($B$18:$GQ$18,MATCH(64,$B$29:$GQ$29,0))</f>
        <v/>
      </c>
      <c r="BN4">
        <f>INDEX($B$18:$GQ$18,MATCH(65,$B$29:$GQ$29,0))</f>
        <v/>
      </c>
      <c r="BO4">
        <f>INDEX($B$18:$GQ$18,MATCH(66,$B$29:$GQ$29,0))</f>
        <v/>
      </c>
      <c r="BP4">
        <f>INDEX($B$18:$GQ$18,MATCH(67,$B$29:$GQ$29,0))</f>
        <v/>
      </c>
      <c r="BQ4">
        <f>INDEX($B$18:$GQ$18,MATCH(68,$B$29:$GQ$29,0))</f>
        <v/>
      </c>
      <c r="BR4">
        <f>INDEX($B$18:$GQ$18,MATCH(69,$B$29:$GQ$29,0))</f>
        <v/>
      </c>
      <c r="BS4">
        <f>INDEX($B$18:$GQ$18,MATCH(70,$B$29:$GQ$29,0))</f>
        <v/>
      </c>
      <c r="BT4">
        <f>INDEX($B$18:$GQ$18,MATCH(71,$B$29:$GQ$29,0))</f>
        <v/>
      </c>
      <c r="BU4">
        <f>INDEX($B$18:$GQ$18,MATCH(72,$B$29:$GQ$29,0))</f>
        <v/>
      </c>
      <c r="BV4">
        <f>INDEX($B$18:$GQ$18,MATCH(73,$B$29:$GQ$29,0))</f>
        <v/>
      </c>
      <c r="BW4">
        <f>INDEX($B$18:$GQ$18,MATCH(74,$B$29:$GQ$29,0))</f>
        <v/>
      </c>
      <c r="BX4">
        <f>INDEX($B$18:$GQ$18,MATCH(75,$B$29:$GQ$29,0))</f>
        <v/>
      </c>
      <c r="BY4">
        <f>INDEX($B$18:$GQ$18,MATCH(76,$B$29:$GQ$29,0))</f>
        <v/>
      </c>
      <c r="BZ4">
        <f>INDEX($B$18:$GQ$18,MATCH(77,$B$29:$GQ$29,0))</f>
        <v/>
      </c>
      <c r="CA4">
        <f>INDEX($B$18:$GQ$18,MATCH(78,$B$29:$GQ$29,0))</f>
        <v/>
      </c>
      <c r="CB4">
        <f>INDEX($B$18:$GQ$18,MATCH(79,$B$29:$GQ$29,0))</f>
        <v/>
      </c>
      <c r="CC4">
        <f>INDEX($B$18:$GQ$18,MATCH(80,$B$29:$GQ$29,0))</f>
        <v/>
      </c>
      <c r="CD4">
        <f>INDEX($B$18:$GQ$18,MATCH(81,$B$29:$GQ$29,0))</f>
        <v/>
      </c>
      <c r="CE4">
        <f>INDEX($B$18:$GQ$18,MATCH(82,$B$29:$GQ$29,0))</f>
        <v/>
      </c>
      <c r="CF4">
        <f>INDEX($B$18:$GQ$18,MATCH(83,$B$29:$GQ$29,0))</f>
        <v/>
      </c>
      <c r="CG4">
        <f>INDEX($B$18:$GQ$18,MATCH(84,$B$29:$GQ$29,0))</f>
        <v/>
      </c>
      <c r="CH4">
        <f>INDEX($B$18:$GQ$18,MATCH(85,$B$29:$GQ$29,0))</f>
        <v/>
      </c>
      <c r="CI4">
        <f>INDEX($B$18:$GQ$18,MATCH(86,$B$29:$GQ$29,0))</f>
        <v/>
      </c>
      <c r="CJ4">
        <f>INDEX($B$18:$GQ$18,MATCH(87,$B$29:$GQ$29,0))</f>
        <v/>
      </c>
      <c r="CK4">
        <f>INDEX($B$18:$GQ$18,MATCH(88,$B$29:$GQ$29,0))</f>
        <v/>
      </c>
      <c r="CL4">
        <f>INDEX($B$18:$GQ$18,MATCH(89,$B$29:$GQ$29,0))</f>
        <v/>
      </c>
      <c r="CM4">
        <f>INDEX($B$18:$GQ$18,MATCH(90,$B$29:$GQ$29,0))</f>
        <v/>
      </c>
      <c r="CN4">
        <f>INDEX($B$18:$GQ$18,MATCH(91,$B$29:$GQ$29,0))</f>
        <v/>
      </c>
      <c r="CO4">
        <f>INDEX($B$18:$GQ$18,MATCH(92,$B$29:$GQ$29,0))</f>
        <v/>
      </c>
      <c r="CP4">
        <f>INDEX($B$18:$GQ$18,MATCH(93,$B$29:$GQ$29,0))</f>
        <v/>
      </c>
      <c r="CQ4">
        <f>INDEX($B$18:$GQ$18,MATCH(94,$B$29:$GQ$29,0))</f>
        <v/>
      </c>
      <c r="CR4">
        <f>INDEX($B$18:$GQ$18,MATCH(95,$B$29:$GQ$29,0))</f>
        <v/>
      </c>
      <c r="CS4">
        <f>INDEX($B$18:$GQ$18,MATCH(96,$B$29:$GQ$29,0))</f>
        <v/>
      </c>
      <c r="CT4">
        <f>INDEX($B$18:$GQ$18,MATCH(97,$B$29:$GQ$29,0))</f>
        <v/>
      </c>
      <c r="CU4">
        <f>INDEX($B$18:$GQ$18,MATCH(98,$B$29:$GQ$29,0))</f>
        <v/>
      </c>
      <c r="CV4">
        <f>INDEX($B$18:$GQ$18,MATCH(99,$B$29:$GQ$29,0))</f>
        <v/>
      </c>
      <c r="CW4">
        <f>INDEX($B$18:$GQ$18,MATCH(100,$B$29:$GQ$29,0))</f>
        <v/>
      </c>
      <c r="CX4">
        <f>INDEX($B$18:$GQ$18,MATCH(101,$B$29:$GQ$29,0))</f>
        <v/>
      </c>
      <c r="CY4">
        <f>INDEX($B$18:$GQ$18,MATCH(102,$B$29:$GQ$29,0))</f>
        <v/>
      </c>
      <c r="CZ4">
        <f>INDEX($B$18:$GQ$18,MATCH(103,$B$29:$GQ$29,0))</f>
        <v/>
      </c>
      <c r="DA4">
        <f>INDEX($B$18:$GQ$18,MATCH(104,$B$29:$GQ$29,0))</f>
        <v/>
      </c>
      <c r="DB4">
        <f>INDEX($B$18:$GQ$18,MATCH(105,$B$29:$GQ$29,0))</f>
        <v/>
      </c>
      <c r="DC4">
        <f>INDEX($B$18:$GQ$18,MATCH(106,$B$29:$GQ$29,0))</f>
        <v/>
      </c>
      <c r="DD4">
        <f>INDEX($B$18:$GQ$18,MATCH(107,$B$29:$GQ$29,0))</f>
        <v/>
      </c>
      <c r="DE4">
        <f>INDEX($B$18:$GQ$18,MATCH(108,$B$29:$GQ$29,0))</f>
        <v/>
      </c>
      <c r="DF4">
        <f>INDEX($B$18:$GQ$18,MATCH(109,$B$29:$GQ$29,0))</f>
        <v/>
      </c>
      <c r="DG4">
        <f>INDEX($B$18:$GQ$18,MATCH(110,$B$29:$GQ$29,0))</f>
        <v/>
      </c>
      <c r="DH4">
        <f>INDEX($B$18:$GQ$18,MATCH(111,$B$29:$GQ$29,0))</f>
        <v/>
      </c>
      <c r="DI4">
        <f>INDEX($B$18:$GQ$18,MATCH(112,$B$29:$GQ$29,0))</f>
        <v/>
      </c>
      <c r="DJ4">
        <f>INDEX($B$18:$GQ$18,MATCH(113,$B$29:$GQ$29,0))</f>
        <v/>
      </c>
      <c r="DK4">
        <f>INDEX($B$18:$GQ$18,MATCH(114,$B$29:$GQ$29,0))</f>
        <v/>
      </c>
      <c r="DL4">
        <f>INDEX($B$18:$GQ$18,MATCH(115,$B$29:$GQ$29,0))</f>
        <v/>
      </c>
      <c r="DM4">
        <f>INDEX($B$18:$GQ$18,MATCH(116,$B$29:$GQ$29,0))</f>
        <v/>
      </c>
      <c r="DN4">
        <f>INDEX($B$18:$GQ$18,MATCH(117,$B$29:$GQ$29,0))</f>
        <v/>
      </c>
      <c r="DO4">
        <f>INDEX($B$18:$GQ$18,MATCH(118,$B$29:$GQ$29,0))</f>
        <v/>
      </c>
      <c r="DP4">
        <f>INDEX($B$18:$GQ$18,MATCH(119,$B$29:$GQ$29,0))</f>
        <v/>
      </c>
      <c r="DQ4">
        <f>INDEX($B$18:$GQ$18,MATCH(120,$B$29:$GQ$29,0))</f>
        <v/>
      </c>
      <c r="DR4">
        <f>INDEX($B$18:$GQ$18,MATCH(121,$B$29:$GQ$29,0))</f>
        <v/>
      </c>
      <c r="DS4">
        <f>INDEX($B$18:$GQ$18,MATCH(122,$B$29:$GQ$29,0))</f>
        <v/>
      </c>
      <c r="DT4">
        <f>INDEX($B$18:$GQ$18,MATCH(123,$B$29:$GQ$29,0))</f>
        <v/>
      </c>
      <c r="DU4">
        <f>INDEX($B$18:$GQ$18,MATCH(124,$B$29:$GQ$29,0))</f>
        <v/>
      </c>
      <c r="DV4">
        <f>INDEX($B$18:$GQ$18,MATCH(125,$B$29:$GQ$29,0))</f>
        <v/>
      </c>
      <c r="DW4">
        <f>INDEX($B$18:$GQ$18,MATCH(126,$B$29:$GQ$29,0))</f>
        <v/>
      </c>
      <c r="DX4">
        <f>INDEX($B$18:$GQ$18,MATCH(127,$B$29:$GQ$29,0))</f>
        <v/>
      </c>
      <c r="DY4">
        <f>INDEX($B$18:$GQ$18,MATCH(128,$B$29:$GQ$29,0))</f>
        <v/>
      </c>
      <c r="DZ4">
        <f>INDEX($B$18:$GQ$18,MATCH(129,$B$29:$GQ$29,0))</f>
        <v/>
      </c>
      <c r="EA4">
        <f>INDEX($B$18:$GQ$18,MATCH(130,$B$29:$GQ$29,0))</f>
        <v/>
      </c>
      <c r="EB4">
        <f>INDEX($B$18:$GQ$18,MATCH(131,$B$29:$GQ$29,0))</f>
        <v/>
      </c>
      <c r="EC4">
        <f>INDEX($B$18:$GQ$18,MATCH(132,$B$29:$GQ$29,0))</f>
        <v/>
      </c>
      <c r="ED4">
        <f>INDEX($B$18:$GQ$18,MATCH(133,$B$29:$GQ$29,0))</f>
        <v/>
      </c>
      <c r="EE4">
        <f>INDEX($B$18:$GQ$18,MATCH(134,$B$29:$GQ$29,0))</f>
        <v/>
      </c>
      <c r="EF4">
        <f>INDEX($B$18:$GQ$18,MATCH(135,$B$29:$GQ$29,0))</f>
        <v/>
      </c>
      <c r="EG4">
        <f>INDEX($B$18:$GQ$18,MATCH(136,$B$29:$GQ$29,0))</f>
        <v/>
      </c>
      <c r="EH4">
        <f>INDEX($B$18:$GQ$18,MATCH(137,$B$29:$GQ$29,0))</f>
        <v/>
      </c>
      <c r="EI4">
        <f>INDEX($B$18:$GQ$18,MATCH(138,$B$29:$GQ$29,0))</f>
        <v/>
      </c>
      <c r="EJ4">
        <f>INDEX($B$18:$GQ$18,MATCH(139,$B$29:$GQ$29,0))</f>
        <v/>
      </c>
      <c r="EK4">
        <f>INDEX($B$18:$GQ$18,MATCH(140,$B$29:$GQ$29,0))</f>
        <v/>
      </c>
      <c r="EL4">
        <f>INDEX($B$18:$GQ$18,MATCH(141,$B$29:$GQ$29,0))</f>
        <v/>
      </c>
      <c r="EM4">
        <f>INDEX($B$18:$GQ$18,MATCH(142,$B$29:$GQ$29,0))</f>
        <v/>
      </c>
      <c r="EN4">
        <f>INDEX($B$18:$GQ$18,MATCH(143,$B$29:$GQ$29,0))</f>
        <v/>
      </c>
      <c r="EO4">
        <f>INDEX($B$18:$GQ$18,MATCH(144,$B$29:$GQ$29,0))</f>
        <v/>
      </c>
      <c r="EP4">
        <f>INDEX($B$18:$GQ$18,MATCH(145,$B$29:$GQ$29,0))</f>
        <v/>
      </c>
      <c r="EQ4">
        <f>INDEX($B$18:$GQ$18,MATCH(146,$B$29:$GQ$29,0))</f>
        <v/>
      </c>
      <c r="ER4">
        <f>INDEX($B$18:$GQ$18,MATCH(147,$B$29:$GQ$29,0))</f>
        <v/>
      </c>
      <c r="ES4">
        <f>INDEX($B$18:$GQ$18,MATCH(148,$B$29:$GQ$29,0))</f>
        <v/>
      </c>
      <c r="ET4">
        <f>INDEX($B$18:$GQ$18,MATCH(149,$B$29:$GQ$29,0))</f>
        <v/>
      </c>
      <c r="EU4">
        <f>INDEX($B$18:$GQ$18,MATCH(150,$B$29:$GQ$29,0))</f>
        <v/>
      </c>
      <c r="EV4">
        <f>INDEX($B$18:$GQ$18,MATCH(151,$B$29:$GQ$29,0))</f>
        <v/>
      </c>
      <c r="EW4">
        <f>INDEX($B$18:$GQ$18,MATCH(152,$B$29:$GQ$29,0))</f>
        <v/>
      </c>
      <c r="EX4">
        <f>INDEX($B$18:$GQ$18,MATCH(153,$B$29:$GQ$29,0))</f>
        <v/>
      </c>
      <c r="EY4">
        <f>INDEX($B$18:$GQ$18,MATCH(154,$B$29:$GQ$29,0))</f>
        <v/>
      </c>
      <c r="EZ4">
        <f>INDEX($B$18:$GQ$18,MATCH(155,$B$29:$GQ$29,0))</f>
        <v/>
      </c>
      <c r="FA4">
        <f>INDEX($B$18:$GQ$18,MATCH(156,$B$29:$GQ$29,0))</f>
        <v/>
      </c>
      <c r="FB4">
        <f>INDEX($B$18:$GQ$18,MATCH(157,$B$29:$GQ$29,0))</f>
        <v/>
      </c>
      <c r="FC4">
        <f>INDEX($B$18:$GQ$18,MATCH(158,$B$29:$GQ$29,0))</f>
        <v/>
      </c>
      <c r="FD4">
        <f>INDEX($B$18:$GQ$18,MATCH(159,$B$29:$GQ$29,0))</f>
        <v/>
      </c>
      <c r="FE4">
        <f>INDEX($B$18:$GQ$18,MATCH(160,$B$29:$GQ$29,0))</f>
        <v/>
      </c>
      <c r="FF4">
        <f>INDEX($B$18:$GQ$18,MATCH(161,$B$29:$GQ$29,0))</f>
        <v/>
      </c>
      <c r="FG4">
        <f>INDEX($B$18:$GQ$18,MATCH(162,$B$29:$GQ$29,0))</f>
        <v/>
      </c>
      <c r="FH4">
        <f>INDEX($B$18:$GQ$18,MATCH(163,$B$29:$GQ$29,0))</f>
        <v/>
      </c>
      <c r="FI4">
        <f>INDEX($B$18:$GQ$18,MATCH(164,$B$29:$GQ$29,0))</f>
        <v/>
      </c>
      <c r="FJ4">
        <f>INDEX($B$18:$GQ$18,MATCH(165,$B$29:$GQ$29,0))</f>
        <v/>
      </c>
      <c r="FK4">
        <f>INDEX($B$18:$GQ$18,MATCH(166,$B$29:$GQ$29,0))</f>
        <v/>
      </c>
      <c r="FL4">
        <f>INDEX($B$18:$GQ$18,MATCH(167,$B$29:$GQ$29,0))</f>
        <v/>
      </c>
      <c r="FM4">
        <f>INDEX($B$18:$GQ$18,MATCH(168,$B$29:$GQ$29,0))</f>
        <v/>
      </c>
      <c r="FN4">
        <f>INDEX($B$18:$GQ$18,MATCH(169,$B$29:$GQ$29,0))</f>
        <v/>
      </c>
      <c r="FO4">
        <f>INDEX($B$18:$GQ$18,MATCH(170,$B$29:$GQ$29,0))</f>
        <v/>
      </c>
      <c r="FP4">
        <f>INDEX($B$18:$GQ$18,MATCH(171,$B$29:$GQ$29,0))</f>
        <v/>
      </c>
      <c r="FQ4">
        <f>INDEX($B$18:$GQ$18,MATCH(172,$B$29:$GQ$29,0))</f>
        <v/>
      </c>
      <c r="FR4">
        <f>INDEX($B$18:$GQ$18,MATCH(173,$B$29:$GQ$29,0))</f>
        <v/>
      </c>
      <c r="FS4">
        <f>INDEX($B$18:$GQ$18,MATCH(174,$B$29:$GQ$29,0))</f>
        <v/>
      </c>
      <c r="FT4">
        <f>INDEX($B$18:$GQ$18,MATCH(175,$B$29:$GQ$29,0))</f>
        <v/>
      </c>
      <c r="FU4">
        <f>INDEX($B$18:$GQ$18,MATCH(176,$B$29:$GQ$29,0))</f>
        <v/>
      </c>
      <c r="FV4">
        <f>INDEX($B$18:$GQ$18,MATCH(177,$B$29:$GQ$29,0))</f>
        <v/>
      </c>
      <c r="FW4">
        <f>INDEX($B$18:$GQ$18,MATCH(178,$B$29:$GQ$29,0))</f>
        <v/>
      </c>
      <c r="FX4">
        <f>INDEX($B$18:$GQ$18,MATCH(179,$B$29:$GQ$29,0))</f>
        <v/>
      </c>
      <c r="FY4">
        <f>INDEX($B$18:$GQ$18,MATCH(180,$B$29:$GQ$29,0))</f>
        <v/>
      </c>
      <c r="FZ4">
        <f>INDEX($B$18:$GQ$18,MATCH(181,$B$29:$GQ$29,0))</f>
        <v/>
      </c>
      <c r="GA4">
        <f>INDEX($B$18:$GQ$18,MATCH(182,$B$29:$GQ$29,0))</f>
        <v/>
      </c>
      <c r="GB4">
        <f>INDEX($B$18:$GQ$18,MATCH(183,$B$29:$GQ$29,0))</f>
        <v/>
      </c>
      <c r="GC4">
        <f>INDEX($B$18:$GQ$18,MATCH(184,$B$29:$GQ$29,0))</f>
        <v/>
      </c>
      <c r="GD4">
        <f>INDEX($B$18:$GQ$18,MATCH(185,$B$29:$GQ$29,0))</f>
        <v/>
      </c>
      <c r="GE4">
        <f>INDEX($B$18:$GQ$18,MATCH(186,$B$29:$GQ$29,0))</f>
        <v/>
      </c>
      <c r="GF4">
        <f>INDEX($B$18:$GQ$18,MATCH(187,$B$29:$GQ$29,0))</f>
        <v/>
      </c>
      <c r="GG4">
        <f>INDEX($B$18:$GQ$18,MATCH(188,$B$29:$GQ$29,0))</f>
        <v/>
      </c>
      <c r="GH4">
        <f>INDEX($B$18:$GQ$18,MATCH(189,$B$29:$GQ$29,0))</f>
        <v/>
      </c>
      <c r="GI4">
        <f>INDEX($B$18:$GQ$18,MATCH(190,$B$29:$GQ$29,0))</f>
        <v/>
      </c>
      <c r="GJ4">
        <f>INDEX($B$18:$GQ$18,MATCH(191,$B$29:$GQ$29,0))</f>
        <v/>
      </c>
      <c r="GK4">
        <f>INDEX($B$18:$GQ$18,MATCH(192,$B$29:$GQ$29,0))</f>
        <v/>
      </c>
      <c r="GL4">
        <f>INDEX($B$18:$GQ$18,MATCH(193,$B$29:$GQ$29,0))</f>
        <v/>
      </c>
      <c r="GM4">
        <f>INDEX($B$18:$GQ$18,MATCH(194,$B$29:$GQ$29,0))</f>
        <v/>
      </c>
      <c r="GN4">
        <f>INDEX($B$18:$GQ$18,MATCH(195,$B$29:$GQ$29,0))</f>
        <v/>
      </c>
      <c r="GO4">
        <f>INDEX($B$18:$GQ$18,MATCH(196,$B$29:$GQ$29,0))</f>
        <v/>
      </c>
      <c r="GP4">
        <f>INDEX($B$18:$GQ$18,MATCH(197,$B$29:$GQ$29,0))</f>
        <v/>
      </c>
      <c r="GQ4">
        <f>INDEX($B$18:$GQ$18,MATCH(198,$B$29:$GQ$29,0))</f>
        <v/>
      </c>
      <c r="GR4">
        <f>INDEX($GR$18:$HC$18,MATCH(1,$GR$30:$HC$30,0))</f>
        <v/>
      </c>
      <c r="GS4">
        <f>INDEX($GR$18:$HC$18,MATCH(2,$GR$30:$HC$30,0))</f>
        <v/>
      </c>
      <c r="GT4">
        <f>INDEX($GR$18:$HC$18,MATCH(3,$GR$30:$HC$30,0))</f>
        <v/>
      </c>
      <c r="GU4">
        <f>INDEX($GR$18:$HC$18,MATCH(4,$GR$30:$HC$30,0))</f>
        <v/>
      </c>
      <c r="GV4">
        <f>INDEX($GR$18:$HC$18,MATCH(5,$GR$30:$HC$30,0))</f>
        <v/>
      </c>
      <c r="GW4">
        <f>INDEX($GR$18:$HC$18,MATCH(6,$GR$30:$HC$30,0))</f>
        <v/>
      </c>
      <c r="GX4">
        <f>INDEX($GR$18:$HC$18,MATCH(7,$GR$30:$HC$30,0))</f>
        <v/>
      </c>
      <c r="GY4">
        <f>INDEX($GR$18:$HC$18,MATCH(8,$GR$30:$HC$30,0))</f>
        <v/>
      </c>
      <c r="GZ4">
        <f>INDEX($GR$18:$HC$18,MATCH(9,$GR$30:$HC$30,0))</f>
        <v/>
      </c>
      <c r="HA4">
        <f>INDEX($GR$18:$HC$18,MATCH(10,$GR$30:$HC$30,0))</f>
        <v/>
      </c>
      <c r="HB4">
        <f>INDEX($GR$18:$HC$18,MATCH(11,$GR$30:$HC$30,0))</f>
        <v/>
      </c>
      <c r="HC4">
        <f>INDEX($GR$18:$HC$18,MATCH(12,$GR$30:$HC$30,0))</f>
        <v/>
      </c>
    </row>
    <row r="5">
      <c r="A5" s="1" t="inlineStr">
        <is>
          <t>M_dom</t>
        </is>
      </c>
      <c r="B5">
        <f>INDEX($B$19:$GQ$19,MATCH(1,$B$29:$GQ$29,0))</f>
        <v/>
      </c>
      <c r="C5">
        <f>INDEX($B$19:$GQ$19,MATCH(2,$B$29:$GQ$29,0))</f>
        <v/>
      </c>
      <c r="D5">
        <f>INDEX($B$19:$GQ$19,MATCH(3,$B$29:$GQ$29,0))</f>
        <v/>
      </c>
      <c r="E5">
        <f>INDEX($B$19:$GQ$19,MATCH(4,$B$29:$GQ$29,0))</f>
        <v/>
      </c>
      <c r="F5">
        <f>INDEX($B$19:$GQ$19,MATCH(5,$B$29:$GQ$29,0))</f>
        <v/>
      </c>
      <c r="G5">
        <f>INDEX($B$19:$GQ$19,MATCH(6,$B$29:$GQ$29,0))</f>
        <v/>
      </c>
      <c r="H5">
        <f>INDEX($B$19:$GQ$19,MATCH(7,$B$29:$GQ$29,0))</f>
        <v/>
      </c>
      <c r="I5">
        <f>INDEX($B$19:$GQ$19,MATCH(8,$B$29:$GQ$29,0))</f>
        <v/>
      </c>
      <c r="J5">
        <f>INDEX($B$19:$GQ$19,MATCH(9,$B$29:$GQ$29,0))</f>
        <v/>
      </c>
      <c r="K5">
        <f>INDEX($B$19:$GQ$19,MATCH(10,$B$29:$GQ$29,0))</f>
        <v/>
      </c>
      <c r="L5">
        <f>INDEX($B$19:$GQ$19,MATCH(11,$B$29:$GQ$29,0))</f>
        <v/>
      </c>
      <c r="M5">
        <f>INDEX($B$19:$GQ$19,MATCH(12,$B$29:$GQ$29,0))</f>
        <v/>
      </c>
      <c r="N5">
        <f>INDEX($B$19:$GQ$19,MATCH(13,$B$29:$GQ$29,0))</f>
        <v/>
      </c>
      <c r="O5">
        <f>INDEX($B$19:$GQ$19,MATCH(14,$B$29:$GQ$29,0))</f>
        <v/>
      </c>
      <c r="P5">
        <f>INDEX($B$19:$GQ$19,MATCH(15,$B$29:$GQ$29,0))</f>
        <v/>
      </c>
      <c r="Q5">
        <f>INDEX($B$19:$GQ$19,MATCH(16,$B$29:$GQ$29,0))</f>
        <v/>
      </c>
      <c r="R5">
        <f>INDEX($B$19:$GQ$19,MATCH(17,$B$29:$GQ$29,0))</f>
        <v/>
      </c>
      <c r="S5">
        <f>INDEX($B$19:$GQ$19,MATCH(18,$B$29:$GQ$29,0))</f>
        <v/>
      </c>
      <c r="T5">
        <f>INDEX($B$19:$GQ$19,MATCH(19,$B$29:$GQ$29,0))</f>
        <v/>
      </c>
      <c r="U5">
        <f>INDEX($B$19:$GQ$19,MATCH(20,$B$29:$GQ$29,0))</f>
        <v/>
      </c>
      <c r="V5">
        <f>INDEX($B$19:$GQ$19,MATCH(21,$B$29:$GQ$29,0))</f>
        <v/>
      </c>
      <c r="W5">
        <f>INDEX($B$19:$GQ$19,MATCH(22,$B$29:$GQ$29,0))</f>
        <v/>
      </c>
      <c r="X5">
        <f>INDEX($B$19:$GQ$19,MATCH(23,$B$29:$GQ$29,0))</f>
        <v/>
      </c>
      <c r="Y5">
        <f>INDEX($B$19:$GQ$19,MATCH(24,$B$29:$GQ$29,0))</f>
        <v/>
      </c>
      <c r="Z5">
        <f>INDEX($B$19:$GQ$19,MATCH(25,$B$29:$GQ$29,0))</f>
        <v/>
      </c>
      <c r="AA5">
        <f>INDEX($B$19:$GQ$19,MATCH(26,$B$29:$GQ$29,0))</f>
        <v/>
      </c>
      <c r="AB5">
        <f>INDEX($B$19:$GQ$19,MATCH(27,$B$29:$GQ$29,0))</f>
        <v/>
      </c>
      <c r="AC5">
        <f>INDEX($B$19:$GQ$19,MATCH(28,$B$29:$GQ$29,0))</f>
        <v/>
      </c>
      <c r="AD5">
        <f>INDEX($B$19:$GQ$19,MATCH(29,$B$29:$GQ$29,0))</f>
        <v/>
      </c>
      <c r="AE5">
        <f>INDEX($B$19:$GQ$19,MATCH(30,$B$29:$GQ$29,0))</f>
        <v/>
      </c>
      <c r="AF5">
        <f>INDEX($B$19:$GQ$19,MATCH(31,$B$29:$GQ$29,0))</f>
        <v/>
      </c>
      <c r="AG5">
        <f>INDEX($B$19:$GQ$19,MATCH(32,$B$29:$GQ$29,0))</f>
        <v/>
      </c>
      <c r="AH5">
        <f>INDEX($B$19:$GQ$19,MATCH(33,$B$29:$GQ$29,0))</f>
        <v/>
      </c>
      <c r="AI5">
        <f>INDEX($B$19:$GQ$19,MATCH(34,$B$29:$GQ$29,0))</f>
        <v/>
      </c>
      <c r="AJ5">
        <f>INDEX($B$19:$GQ$19,MATCH(35,$B$29:$GQ$29,0))</f>
        <v/>
      </c>
      <c r="AK5">
        <f>INDEX($B$19:$GQ$19,MATCH(36,$B$29:$GQ$29,0))</f>
        <v/>
      </c>
      <c r="AL5">
        <f>INDEX($B$19:$GQ$19,MATCH(37,$B$29:$GQ$29,0))</f>
        <v/>
      </c>
      <c r="AM5">
        <f>INDEX($B$19:$GQ$19,MATCH(38,$B$29:$GQ$29,0))</f>
        <v/>
      </c>
      <c r="AN5">
        <f>INDEX($B$19:$GQ$19,MATCH(39,$B$29:$GQ$29,0))</f>
        <v/>
      </c>
      <c r="AO5">
        <f>INDEX($B$19:$GQ$19,MATCH(40,$B$29:$GQ$29,0))</f>
        <v/>
      </c>
      <c r="AP5">
        <f>INDEX($B$19:$GQ$19,MATCH(41,$B$29:$GQ$29,0))</f>
        <v/>
      </c>
      <c r="AQ5">
        <f>INDEX($B$19:$GQ$19,MATCH(42,$B$29:$GQ$29,0))</f>
        <v/>
      </c>
      <c r="AR5">
        <f>INDEX($B$19:$GQ$19,MATCH(43,$B$29:$GQ$29,0))</f>
        <v/>
      </c>
      <c r="AS5">
        <f>INDEX($B$19:$GQ$19,MATCH(44,$B$29:$GQ$29,0))</f>
        <v/>
      </c>
      <c r="AT5">
        <f>INDEX($B$19:$GQ$19,MATCH(45,$B$29:$GQ$29,0))</f>
        <v/>
      </c>
      <c r="AU5">
        <f>INDEX($B$19:$GQ$19,MATCH(46,$B$29:$GQ$29,0))</f>
        <v/>
      </c>
      <c r="AV5">
        <f>INDEX($B$19:$GQ$19,MATCH(47,$B$29:$GQ$29,0))</f>
        <v/>
      </c>
      <c r="AW5">
        <f>INDEX($B$19:$GQ$19,MATCH(48,$B$29:$GQ$29,0))</f>
        <v/>
      </c>
      <c r="AX5">
        <f>INDEX($B$19:$GQ$19,MATCH(49,$B$29:$GQ$29,0))</f>
        <v/>
      </c>
      <c r="AY5">
        <f>INDEX($B$19:$GQ$19,MATCH(50,$B$29:$GQ$29,0))</f>
        <v/>
      </c>
      <c r="AZ5">
        <f>INDEX($B$19:$GQ$19,MATCH(51,$B$29:$GQ$29,0))</f>
        <v/>
      </c>
      <c r="BA5">
        <f>INDEX($B$19:$GQ$19,MATCH(52,$B$29:$GQ$29,0))</f>
        <v/>
      </c>
      <c r="BB5">
        <f>INDEX($B$19:$GQ$19,MATCH(53,$B$29:$GQ$29,0))</f>
        <v/>
      </c>
      <c r="BC5">
        <f>INDEX($B$19:$GQ$19,MATCH(54,$B$29:$GQ$29,0))</f>
        <v/>
      </c>
      <c r="BD5">
        <f>INDEX($B$19:$GQ$19,MATCH(55,$B$29:$GQ$29,0))</f>
        <v/>
      </c>
      <c r="BE5">
        <f>INDEX($B$19:$GQ$19,MATCH(56,$B$29:$GQ$29,0))</f>
        <v/>
      </c>
      <c r="BF5">
        <f>INDEX($B$19:$GQ$19,MATCH(57,$B$29:$GQ$29,0))</f>
        <v/>
      </c>
      <c r="BG5">
        <f>INDEX($B$19:$GQ$19,MATCH(58,$B$29:$GQ$29,0))</f>
        <v/>
      </c>
      <c r="BH5">
        <f>INDEX($B$19:$GQ$19,MATCH(59,$B$29:$GQ$29,0))</f>
        <v/>
      </c>
      <c r="BI5">
        <f>INDEX($B$19:$GQ$19,MATCH(60,$B$29:$GQ$29,0))</f>
        <v/>
      </c>
      <c r="BJ5">
        <f>INDEX($B$19:$GQ$19,MATCH(61,$B$29:$GQ$29,0))</f>
        <v/>
      </c>
      <c r="BK5">
        <f>INDEX($B$19:$GQ$19,MATCH(62,$B$29:$GQ$29,0))</f>
        <v/>
      </c>
      <c r="BL5">
        <f>INDEX($B$19:$GQ$19,MATCH(63,$B$29:$GQ$29,0))</f>
        <v/>
      </c>
      <c r="BM5">
        <f>INDEX($B$19:$GQ$19,MATCH(64,$B$29:$GQ$29,0))</f>
        <v/>
      </c>
      <c r="BN5">
        <f>INDEX($B$19:$GQ$19,MATCH(65,$B$29:$GQ$29,0))</f>
        <v/>
      </c>
      <c r="BO5">
        <f>INDEX($B$19:$GQ$19,MATCH(66,$B$29:$GQ$29,0))</f>
        <v/>
      </c>
      <c r="BP5">
        <f>INDEX($B$19:$GQ$19,MATCH(67,$B$29:$GQ$29,0))</f>
        <v/>
      </c>
      <c r="BQ5">
        <f>INDEX($B$19:$GQ$19,MATCH(68,$B$29:$GQ$29,0))</f>
        <v/>
      </c>
      <c r="BR5">
        <f>INDEX($B$19:$GQ$19,MATCH(69,$B$29:$GQ$29,0))</f>
        <v/>
      </c>
      <c r="BS5">
        <f>INDEX($B$19:$GQ$19,MATCH(70,$B$29:$GQ$29,0))</f>
        <v/>
      </c>
      <c r="BT5">
        <f>INDEX($B$19:$GQ$19,MATCH(71,$B$29:$GQ$29,0))</f>
        <v/>
      </c>
      <c r="BU5">
        <f>INDEX($B$19:$GQ$19,MATCH(72,$B$29:$GQ$29,0))</f>
        <v/>
      </c>
      <c r="BV5">
        <f>INDEX($B$19:$GQ$19,MATCH(73,$B$29:$GQ$29,0))</f>
        <v/>
      </c>
      <c r="BW5">
        <f>INDEX($B$19:$GQ$19,MATCH(74,$B$29:$GQ$29,0))</f>
        <v/>
      </c>
      <c r="BX5">
        <f>INDEX($B$19:$GQ$19,MATCH(75,$B$29:$GQ$29,0))</f>
        <v/>
      </c>
      <c r="BY5">
        <f>INDEX($B$19:$GQ$19,MATCH(76,$B$29:$GQ$29,0))</f>
        <v/>
      </c>
      <c r="BZ5">
        <f>INDEX($B$19:$GQ$19,MATCH(77,$B$29:$GQ$29,0))</f>
        <v/>
      </c>
      <c r="CA5">
        <f>INDEX($B$19:$GQ$19,MATCH(78,$B$29:$GQ$29,0))</f>
        <v/>
      </c>
      <c r="CB5">
        <f>INDEX($B$19:$GQ$19,MATCH(79,$B$29:$GQ$29,0))</f>
        <v/>
      </c>
      <c r="CC5">
        <f>INDEX($B$19:$GQ$19,MATCH(80,$B$29:$GQ$29,0))</f>
        <v/>
      </c>
      <c r="CD5">
        <f>INDEX($B$19:$GQ$19,MATCH(81,$B$29:$GQ$29,0))</f>
        <v/>
      </c>
      <c r="CE5">
        <f>INDEX($B$19:$GQ$19,MATCH(82,$B$29:$GQ$29,0))</f>
        <v/>
      </c>
      <c r="CF5">
        <f>INDEX($B$19:$GQ$19,MATCH(83,$B$29:$GQ$29,0))</f>
        <v/>
      </c>
      <c r="CG5">
        <f>INDEX($B$19:$GQ$19,MATCH(84,$B$29:$GQ$29,0))</f>
        <v/>
      </c>
      <c r="CH5">
        <f>INDEX($B$19:$GQ$19,MATCH(85,$B$29:$GQ$29,0))</f>
        <v/>
      </c>
      <c r="CI5">
        <f>INDEX($B$19:$GQ$19,MATCH(86,$B$29:$GQ$29,0))</f>
        <v/>
      </c>
      <c r="CJ5">
        <f>INDEX($B$19:$GQ$19,MATCH(87,$B$29:$GQ$29,0))</f>
        <v/>
      </c>
      <c r="CK5">
        <f>INDEX($B$19:$GQ$19,MATCH(88,$B$29:$GQ$29,0))</f>
        <v/>
      </c>
      <c r="CL5">
        <f>INDEX($B$19:$GQ$19,MATCH(89,$B$29:$GQ$29,0))</f>
        <v/>
      </c>
      <c r="CM5">
        <f>INDEX($B$19:$GQ$19,MATCH(90,$B$29:$GQ$29,0))</f>
        <v/>
      </c>
      <c r="CN5">
        <f>INDEX($B$19:$GQ$19,MATCH(91,$B$29:$GQ$29,0))</f>
        <v/>
      </c>
      <c r="CO5">
        <f>INDEX($B$19:$GQ$19,MATCH(92,$B$29:$GQ$29,0))</f>
        <v/>
      </c>
      <c r="CP5">
        <f>INDEX($B$19:$GQ$19,MATCH(93,$B$29:$GQ$29,0))</f>
        <v/>
      </c>
      <c r="CQ5">
        <f>INDEX($B$19:$GQ$19,MATCH(94,$B$29:$GQ$29,0))</f>
        <v/>
      </c>
      <c r="CR5">
        <f>INDEX($B$19:$GQ$19,MATCH(95,$B$29:$GQ$29,0))</f>
        <v/>
      </c>
      <c r="CS5">
        <f>INDEX($B$19:$GQ$19,MATCH(96,$B$29:$GQ$29,0))</f>
        <v/>
      </c>
      <c r="CT5">
        <f>INDEX($B$19:$GQ$19,MATCH(97,$B$29:$GQ$29,0))</f>
        <v/>
      </c>
      <c r="CU5">
        <f>INDEX($B$19:$GQ$19,MATCH(98,$B$29:$GQ$29,0))</f>
        <v/>
      </c>
      <c r="CV5">
        <f>INDEX($B$19:$GQ$19,MATCH(99,$B$29:$GQ$29,0))</f>
        <v/>
      </c>
      <c r="CW5">
        <f>INDEX($B$19:$GQ$19,MATCH(100,$B$29:$GQ$29,0))</f>
        <v/>
      </c>
      <c r="CX5">
        <f>INDEX($B$19:$GQ$19,MATCH(101,$B$29:$GQ$29,0))</f>
        <v/>
      </c>
      <c r="CY5">
        <f>INDEX($B$19:$GQ$19,MATCH(102,$B$29:$GQ$29,0))</f>
        <v/>
      </c>
      <c r="CZ5">
        <f>INDEX($B$19:$GQ$19,MATCH(103,$B$29:$GQ$29,0))</f>
        <v/>
      </c>
      <c r="DA5">
        <f>INDEX($B$19:$GQ$19,MATCH(104,$B$29:$GQ$29,0))</f>
        <v/>
      </c>
      <c r="DB5">
        <f>INDEX($B$19:$GQ$19,MATCH(105,$B$29:$GQ$29,0))</f>
        <v/>
      </c>
      <c r="DC5">
        <f>INDEX($B$19:$GQ$19,MATCH(106,$B$29:$GQ$29,0))</f>
        <v/>
      </c>
      <c r="DD5">
        <f>INDEX($B$19:$GQ$19,MATCH(107,$B$29:$GQ$29,0))</f>
        <v/>
      </c>
      <c r="DE5">
        <f>INDEX($B$19:$GQ$19,MATCH(108,$B$29:$GQ$29,0))</f>
        <v/>
      </c>
      <c r="DF5">
        <f>INDEX($B$19:$GQ$19,MATCH(109,$B$29:$GQ$29,0))</f>
        <v/>
      </c>
      <c r="DG5">
        <f>INDEX($B$19:$GQ$19,MATCH(110,$B$29:$GQ$29,0))</f>
        <v/>
      </c>
      <c r="DH5">
        <f>INDEX($B$19:$GQ$19,MATCH(111,$B$29:$GQ$29,0))</f>
        <v/>
      </c>
      <c r="DI5">
        <f>INDEX($B$19:$GQ$19,MATCH(112,$B$29:$GQ$29,0))</f>
        <v/>
      </c>
      <c r="DJ5">
        <f>INDEX($B$19:$GQ$19,MATCH(113,$B$29:$GQ$29,0))</f>
        <v/>
      </c>
      <c r="DK5">
        <f>INDEX($B$19:$GQ$19,MATCH(114,$B$29:$GQ$29,0))</f>
        <v/>
      </c>
      <c r="DL5">
        <f>INDEX($B$19:$GQ$19,MATCH(115,$B$29:$GQ$29,0))</f>
        <v/>
      </c>
      <c r="DM5">
        <f>INDEX($B$19:$GQ$19,MATCH(116,$B$29:$GQ$29,0))</f>
        <v/>
      </c>
      <c r="DN5">
        <f>INDEX($B$19:$GQ$19,MATCH(117,$B$29:$GQ$29,0))</f>
        <v/>
      </c>
      <c r="DO5">
        <f>INDEX($B$19:$GQ$19,MATCH(118,$B$29:$GQ$29,0))</f>
        <v/>
      </c>
      <c r="DP5">
        <f>INDEX($B$19:$GQ$19,MATCH(119,$B$29:$GQ$29,0))</f>
        <v/>
      </c>
      <c r="DQ5">
        <f>INDEX($B$19:$GQ$19,MATCH(120,$B$29:$GQ$29,0))</f>
        <v/>
      </c>
      <c r="DR5">
        <f>INDEX($B$19:$GQ$19,MATCH(121,$B$29:$GQ$29,0))</f>
        <v/>
      </c>
      <c r="DS5">
        <f>INDEX($B$19:$GQ$19,MATCH(122,$B$29:$GQ$29,0))</f>
        <v/>
      </c>
      <c r="DT5">
        <f>INDEX($B$19:$GQ$19,MATCH(123,$B$29:$GQ$29,0))</f>
        <v/>
      </c>
      <c r="DU5">
        <f>INDEX($B$19:$GQ$19,MATCH(124,$B$29:$GQ$29,0))</f>
        <v/>
      </c>
      <c r="DV5">
        <f>INDEX($B$19:$GQ$19,MATCH(125,$B$29:$GQ$29,0))</f>
        <v/>
      </c>
      <c r="DW5">
        <f>INDEX($B$19:$GQ$19,MATCH(126,$B$29:$GQ$29,0))</f>
        <v/>
      </c>
      <c r="DX5">
        <f>INDEX($B$19:$GQ$19,MATCH(127,$B$29:$GQ$29,0))</f>
        <v/>
      </c>
      <c r="DY5">
        <f>INDEX($B$19:$GQ$19,MATCH(128,$B$29:$GQ$29,0))</f>
        <v/>
      </c>
      <c r="DZ5">
        <f>INDEX($B$19:$GQ$19,MATCH(129,$B$29:$GQ$29,0))</f>
        <v/>
      </c>
      <c r="EA5">
        <f>INDEX($B$19:$GQ$19,MATCH(130,$B$29:$GQ$29,0))</f>
        <v/>
      </c>
      <c r="EB5">
        <f>INDEX($B$19:$GQ$19,MATCH(131,$B$29:$GQ$29,0))</f>
        <v/>
      </c>
      <c r="EC5">
        <f>INDEX($B$19:$GQ$19,MATCH(132,$B$29:$GQ$29,0))</f>
        <v/>
      </c>
      <c r="ED5">
        <f>INDEX($B$19:$GQ$19,MATCH(133,$B$29:$GQ$29,0))</f>
        <v/>
      </c>
      <c r="EE5">
        <f>INDEX($B$19:$GQ$19,MATCH(134,$B$29:$GQ$29,0))</f>
        <v/>
      </c>
      <c r="EF5">
        <f>INDEX($B$19:$GQ$19,MATCH(135,$B$29:$GQ$29,0))</f>
        <v/>
      </c>
      <c r="EG5">
        <f>INDEX($B$19:$GQ$19,MATCH(136,$B$29:$GQ$29,0))</f>
        <v/>
      </c>
      <c r="EH5">
        <f>INDEX($B$19:$GQ$19,MATCH(137,$B$29:$GQ$29,0))</f>
        <v/>
      </c>
      <c r="EI5">
        <f>INDEX($B$19:$GQ$19,MATCH(138,$B$29:$GQ$29,0))</f>
        <v/>
      </c>
      <c r="EJ5">
        <f>INDEX($B$19:$GQ$19,MATCH(139,$B$29:$GQ$29,0))</f>
        <v/>
      </c>
      <c r="EK5">
        <f>INDEX($B$19:$GQ$19,MATCH(140,$B$29:$GQ$29,0))</f>
        <v/>
      </c>
      <c r="EL5">
        <f>INDEX($B$19:$GQ$19,MATCH(141,$B$29:$GQ$29,0))</f>
        <v/>
      </c>
      <c r="EM5">
        <f>INDEX($B$19:$GQ$19,MATCH(142,$B$29:$GQ$29,0))</f>
        <v/>
      </c>
      <c r="EN5">
        <f>INDEX($B$19:$GQ$19,MATCH(143,$B$29:$GQ$29,0))</f>
        <v/>
      </c>
      <c r="EO5">
        <f>INDEX($B$19:$GQ$19,MATCH(144,$B$29:$GQ$29,0))</f>
        <v/>
      </c>
      <c r="EP5">
        <f>INDEX($B$19:$GQ$19,MATCH(145,$B$29:$GQ$29,0))</f>
        <v/>
      </c>
      <c r="EQ5">
        <f>INDEX($B$19:$GQ$19,MATCH(146,$B$29:$GQ$29,0))</f>
        <v/>
      </c>
      <c r="ER5">
        <f>INDEX($B$19:$GQ$19,MATCH(147,$B$29:$GQ$29,0))</f>
        <v/>
      </c>
      <c r="ES5">
        <f>INDEX($B$19:$GQ$19,MATCH(148,$B$29:$GQ$29,0))</f>
        <v/>
      </c>
      <c r="ET5">
        <f>INDEX($B$19:$GQ$19,MATCH(149,$B$29:$GQ$29,0))</f>
        <v/>
      </c>
      <c r="EU5">
        <f>INDEX($B$19:$GQ$19,MATCH(150,$B$29:$GQ$29,0))</f>
        <v/>
      </c>
      <c r="EV5">
        <f>INDEX($B$19:$GQ$19,MATCH(151,$B$29:$GQ$29,0))</f>
        <v/>
      </c>
      <c r="EW5">
        <f>INDEX($B$19:$GQ$19,MATCH(152,$B$29:$GQ$29,0))</f>
        <v/>
      </c>
      <c r="EX5">
        <f>INDEX($B$19:$GQ$19,MATCH(153,$B$29:$GQ$29,0))</f>
        <v/>
      </c>
      <c r="EY5">
        <f>INDEX($B$19:$GQ$19,MATCH(154,$B$29:$GQ$29,0))</f>
        <v/>
      </c>
      <c r="EZ5">
        <f>INDEX($B$19:$GQ$19,MATCH(155,$B$29:$GQ$29,0))</f>
        <v/>
      </c>
      <c r="FA5">
        <f>INDEX($B$19:$GQ$19,MATCH(156,$B$29:$GQ$29,0))</f>
        <v/>
      </c>
      <c r="FB5">
        <f>INDEX($B$19:$GQ$19,MATCH(157,$B$29:$GQ$29,0))</f>
        <v/>
      </c>
      <c r="FC5">
        <f>INDEX($B$19:$GQ$19,MATCH(158,$B$29:$GQ$29,0))</f>
        <v/>
      </c>
      <c r="FD5">
        <f>INDEX($B$19:$GQ$19,MATCH(159,$B$29:$GQ$29,0))</f>
        <v/>
      </c>
      <c r="FE5">
        <f>INDEX($B$19:$GQ$19,MATCH(160,$B$29:$GQ$29,0))</f>
        <v/>
      </c>
      <c r="FF5">
        <f>INDEX($B$19:$GQ$19,MATCH(161,$B$29:$GQ$29,0))</f>
        <v/>
      </c>
      <c r="FG5">
        <f>INDEX($B$19:$GQ$19,MATCH(162,$B$29:$GQ$29,0))</f>
        <v/>
      </c>
      <c r="FH5">
        <f>INDEX($B$19:$GQ$19,MATCH(163,$B$29:$GQ$29,0))</f>
        <v/>
      </c>
      <c r="FI5">
        <f>INDEX($B$19:$GQ$19,MATCH(164,$B$29:$GQ$29,0))</f>
        <v/>
      </c>
      <c r="FJ5">
        <f>INDEX($B$19:$GQ$19,MATCH(165,$B$29:$GQ$29,0))</f>
        <v/>
      </c>
      <c r="FK5">
        <f>INDEX($B$19:$GQ$19,MATCH(166,$B$29:$GQ$29,0))</f>
        <v/>
      </c>
      <c r="FL5">
        <f>INDEX($B$19:$GQ$19,MATCH(167,$B$29:$GQ$29,0))</f>
        <v/>
      </c>
      <c r="FM5">
        <f>INDEX($B$19:$GQ$19,MATCH(168,$B$29:$GQ$29,0))</f>
        <v/>
      </c>
      <c r="FN5">
        <f>INDEX($B$19:$GQ$19,MATCH(169,$B$29:$GQ$29,0))</f>
        <v/>
      </c>
      <c r="FO5">
        <f>INDEX($B$19:$GQ$19,MATCH(170,$B$29:$GQ$29,0))</f>
        <v/>
      </c>
      <c r="FP5">
        <f>INDEX($B$19:$GQ$19,MATCH(171,$B$29:$GQ$29,0))</f>
        <v/>
      </c>
      <c r="FQ5">
        <f>INDEX($B$19:$GQ$19,MATCH(172,$B$29:$GQ$29,0))</f>
        <v/>
      </c>
      <c r="FR5">
        <f>INDEX($B$19:$GQ$19,MATCH(173,$B$29:$GQ$29,0))</f>
        <v/>
      </c>
      <c r="FS5">
        <f>INDEX($B$19:$GQ$19,MATCH(174,$B$29:$GQ$29,0))</f>
        <v/>
      </c>
      <c r="FT5">
        <f>INDEX($B$19:$GQ$19,MATCH(175,$B$29:$GQ$29,0))</f>
        <v/>
      </c>
      <c r="FU5">
        <f>INDEX($B$19:$GQ$19,MATCH(176,$B$29:$GQ$29,0))</f>
        <v/>
      </c>
      <c r="FV5">
        <f>INDEX($B$19:$GQ$19,MATCH(177,$B$29:$GQ$29,0))</f>
        <v/>
      </c>
      <c r="FW5">
        <f>INDEX($B$19:$GQ$19,MATCH(178,$B$29:$GQ$29,0))</f>
        <v/>
      </c>
      <c r="FX5">
        <f>INDEX($B$19:$GQ$19,MATCH(179,$B$29:$GQ$29,0))</f>
        <v/>
      </c>
      <c r="FY5">
        <f>INDEX($B$19:$GQ$19,MATCH(180,$B$29:$GQ$29,0))</f>
        <v/>
      </c>
      <c r="FZ5">
        <f>INDEX($B$19:$GQ$19,MATCH(181,$B$29:$GQ$29,0))</f>
        <v/>
      </c>
      <c r="GA5">
        <f>INDEX($B$19:$GQ$19,MATCH(182,$B$29:$GQ$29,0))</f>
        <v/>
      </c>
      <c r="GB5">
        <f>INDEX($B$19:$GQ$19,MATCH(183,$B$29:$GQ$29,0))</f>
        <v/>
      </c>
      <c r="GC5">
        <f>INDEX($B$19:$GQ$19,MATCH(184,$B$29:$GQ$29,0))</f>
        <v/>
      </c>
      <c r="GD5">
        <f>INDEX($B$19:$GQ$19,MATCH(185,$B$29:$GQ$29,0))</f>
        <v/>
      </c>
      <c r="GE5">
        <f>INDEX($B$19:$GQ$19,MATCH(186,$B$29:$GQ$29,0))</f>
        <v/>
      </c>
      <c r="GF5">
        <f>INDEX($B$19:$GQ$19,MATCH(187,$B$29:$GQ$29,0))</f>
        <v/>
      </c>
      <c r="GG5">
        <f>INDEX($B$19:$GQ$19,MATCH(188,$B$29:$GQ$29,0))</f>
        <v/>
      </c>
      <c r="GH5">
        <f>INDEX($B$19:$GQ$19,MATCH(189,$B$29:$GQ$29,0))</f>
        <v/>
      </c>
      <c r="GI5">
        <f>INDEX($B$19:$GQ$19,MATCH(190,$B$29:$GQ$29,0))</f>
        <v/>
      </c>
      <c r="GJ5">
        <f>INDEX($B$19:$GQ$19,MATCH(191,$B$29:$GQ$29,0))</f>
        <v/>
      </c>
      <c r="GK5">
        <f>INDEX($B$19:$GQ$19,MATCH(192,$B$29:$GQ$29,0))</f>
        <v/>
      </c>
      <c r="GL5">
        <f>INDEX($B$19:$GQ$19,MATCH(193,$B$29:$GQ$29,0))</f>
        <v/>
      </c>
      <c r="GM5">
        <f>INDEX($B$19:$GQ$19,MATCH(194,$B$29:$GQ$29,0))</f>
        <v/>
      </c>
      <c r="GN5">
        <f>INDEX($B$19:$GQ$19,MATCH(195,$B$29:$GQ$29,0))</f>
        <v/>
      </c>
      <c r="GO5">
        <f>INDEX($B$19:$GQ$19,MATCH(196,$B$29:$GQ$29,0))</f>
        <v/>
      </c>
      <c r="GP5">
        <f>INDEX($B$19:$GQ$19,MATCH(197,$B$29:$GQ$29,0))</f>
        <v/>
      </c>
      <c r="GQ5">
        <f>INDEX($B$19:$GQ$19,MATCH(198,$B$29:$GQ$29,0))</f>
        <v/>
      </c>
      <c r="GR5">
        <f>INDEX($GR$19:$HC$19,MATCH(1,$GR$30:$HC$30,0))</f>
        <v/>
      </c>
      <c r="GS5">
        <f>INDEX($GR$19:$HC$19,MATCH(2,$GR$30:$HC$30,0))</f>
        <v/>
      </c>
      <c r="GT5">
        <f>INDEX($GR$19:$HC$19,MATCH(3,$GR$30:$HC$30,0))</f>
        <v/>
      </c>
      <c r="GU5">
        <f>INDEX($GR$19:$HC$19,MATCH(4,$GR$30:$HC$30,0))</f>
        <v/>
      </c>
      <c r="GV5">
        <f>INDEX($GR$19:$HC$19,MATCH(5,$GR$30:$HC$30,0))</f>
        <v/>
      </c>
      <c r="GW5">
        <f>INDEX($GR$19:$HC$19,MATCH(6,$GR$30:$HC$30,0))</f>
        <v/>
      </c>
      <c r="GX5">
        <f>INDEX($GR$19:$HC$19,MATCH(7,$GR$30:$HC$30,0))</f>
        <v/>
      </c>
      <c r="GY5">
        <f>INDEX($GR$19:$HC$19,MATCH(8,$GR$30:$HC$30,0))</f>
        <v/>
      </c>
      <c r="GZ5">
        <f>INDEX($GR$19:$HC$19,MATCH(9,$GR$30:$HC$30,0))</f>
        <v/>
      </c>
      <c r="HA5">
        <f>INDEX($GR$19:$HC$19,MATCH(10,$GR$30:$HC$30,0))</f>
        <v/>
      </c>
      <c r="HB5">
        <f>INDEX($GR$19:$HC$19,MATCH(11,$GR$30:$HC$30,0))</f>
        <v/>
      </c>
      <c r="HC5">
        <f>INDEX($GR$19:$HC$19,MATCH(12,$GR$30:$HC$30,0))</f>
        <v/>
      </c>
    </row>
    <row r="6">
      <c r="A6" s="1" t="inlineStr">
        <is>
          <t>M_row</t>
        </is>
      </c>
      <c r="B6">
        <f>INDEX($B$20:$GQ$20,MATCH(1,$B$29:$GQ$29,0))</f>
        <v/>
      </c>
      <c r="C6">
        <f>INDEX($B$20:$GQ$20,MATCH(2,$B$29:$GQ$29,0))</f>
        <v/>
      </c>
      <c r="D6">
        <f>INDEX($B$20:$GQ$20,MATCH(3,$B$29:$GQ$29,0))</f>
        <v/>
      </c>
      <c r="E6">
        <f>INDEX($B$20:$GQ$20,MATCH(4,$B$29:$GQ$29,0))</f>
        <v/>
      </c>
      <c r="F6">
        <f>INDEX($B$20:$GQ$20,MATCH(5,$B$29:$GQ$29,0))</f>
        <v/>
      </c>
      <c r="G6">
        <f>INDEX($B$20:$GQ$20,MATCH(6,$B$29:$GQ$29,0))</f>
        <v/>
      </c>
      <c r="H6">
        <f>INDEX($B$20:$GQ$20,MATCH(7,$B$29:$GQ$29,0))</f>
        <v/>
      </c>
      <c r="I6">
        <f>INDEX($B$20:$GQ$20,MATCH(8,$B$29:$GQ$29,0))</f>
        <v/>
      </c>
      <c r="J6">
        <f>INDEX($B$20:$GQ$20,MATCH(9,$B$29:$GQ$29,0))</f>
        <v/>
      </c>
      <c r="K6">
        <f>INDEX($B$20:$GQ$20,MATCH(10,$B$29:$GQ$29,0))</f>
        <v/>
      </c>
      <c r="L6">
        <f>INDEX($B$20:$GQ$20,MATCH(11,$B$29:$GQ$29,0))</f>
        <v/>
      </c>
      <c r="M6">
        <f>INDEX($B$20:$GQ$20,MATCH(12,$B$29:$GQ$29,0))</f>
        <v/>
      </c>
      <c r="N6">
        <f>INDEX($B$20:$GQ$20,MATCH(13,$B$29:$GQ$29,0))</f>
        <v/>
      </c>
      <c r="O6">
        <f>INDEX($B$20:$GQ$20,MATCH(14,$B$29:$GQ$29,0))</f>
        <v/>
      </c>
      <c r="P6">
        <f>INDEX($B$20:$GQ$20,MATCH(15,$B$29:$GQ$29,0))</f>
        <v/>
      </c>
      <c r="Q6">
        <f>INDEX($B$20:$GQ$20,MATCH(16,$B$29:$GQ$29,0))</f>
        <v/>
      </c>
      <c r="R6">
        <f>INDEX($B$20:$GQ$20,MATCH(17,$B$29:$GQ$29,0))</f>
        <v/>
      </c>
      <c r="S6">
        <f>INDEX($B$20:$GQ$20,MATCH(18,$B$29:$GQ$29,0))</f>
        <v/>
      </c>
      <c r="T6">
        <f>INDEX($B$20:$GQ$20,MATCH(19,$B$29:$GQ$29,0))</f>
        <v/>
      </c>
      <c r="U6">
        <f>INDEX($B$20:$GQ$20,MATCH(20,$B$29:$GQ$29,0))</f>
        <v/>
      </c>
      <c r="V6">
        <f>INDEX($B$20:$GQ$20,MATCH(21,$B$29:$GQ$29,0))</f>
        <v/>
      </c>
      <c r="W6">
        <f>INDEX($B$20:$GQ$20,MATCH(22,$B$29:$GQ$29,0))</f>
        <v/>
      </c>
      <c r="X6">
        <f>INDEX($B$20:$GQ$20,MATCH(23,$B$29:$GQ$29,0))</f>
        <v/>
      </c>
      <c r="Y6">
        <f>INDEX($B$20:$GQ$20,MATCH(24,$B$29:$GQ$29,0))</f>
        <v/>
      </c>
      <c r="Z6">
        <f>INDEX($B$20:$GQ$20,MATCH(25,$B$29:$GQ$29,0))</f>
        <v/>
      </c>
      <c r="AA6">
        <f>INDEX($B$20:$GQ$20,MATCH(26,$B$29:$GQ$29,0))</f>
        <v/>
      </c>
      <c r="AB6">
        <f>INDEX($B$20:$GQ$20,MATCH(27,$B$29:$GQ$29,0))</f>
        <v/>
      </c>
      <c r="AC6">
        <f>INDEX($B$20:$GQ$20,MATCH(28,$B$29:$GQ$29,0))</f>
        <v/>
      </c>
      <c r="AD6">
        <f>INDEX($B$20:$GQ$20,MATCH(29,$B$29:$GQ$29,0))</f>
        <v/>
      </c>
      <c r="AE6">
        <f>INDEX($B$20:$GQ$20,MATCH(30,$B$29:$GQ$29,0))</f>
        <v/>
      </c>
      <c r="AF6">
        <f>INDEX($B$20:$GQ$20,MATCH(31,$B$29:$GQ$29,0))</f>
        <v/>
      </c>
      <c r="AG6">
        <f>INDEX($B$20:$GQ$20,MATCH(32,$B$29:$GQ$29,0))</f>
        <v/>
      </c>
      <c r="AH6">
        <f>INDEX($B$20:$GQ$20,MATCH(33,$B$29:$GQ$29,0))</f>
        <v/>
      </c>
      <c r="AI6">
        <f>INDEX($B$20:$GQ$20,MATCH(34,$B$29:$GQ$29,0))</f>
        <v/>
      </c>
      <c r="AJ6">
        <f>INDEX($B$20:$GQ$20,MATCH(35,$B$29:$GQ$29,0))</f>
        <v/>
      </c>
      <c r="AK6">
        <f>INDEX($B$20:$GQ$20,MATCH(36,$B$29:$GQ$29,0))</f>
        <v/>
      </c>
      <c r="AL6">
        <f>INDEX($B$20:$GQ$20,MATCH(37,$B$29:$GQ$29,0))</f>
        <v/>
      </c>
      <c r="AM6">
        <f>INDEX($B$20:$GQ$20,MATCH(38,$B$29:$GQ$29,0))</f>
        <v/>
      </c>
      <c r="AN6">
        <f>INDEX($B$20:$GQ$20,MATCH(39,$B$29:$GQ$29,0))</f>
        <v/>
      </c>
      <c r="AO6">
        <f>INDEX($B$20:$GQ$20,MATCH(40,$B$29:$GQ$29,0))</f>
        <v/>
      </c>
      <c r="AP6">
        <f>INDEX($B$20:$GQ$20,MATCH(41,$B$29:$GQ$29,0))</f>
        <v/>
      </c>
      <c r="AQ6">
        <f>INDEX($B$20:$GQ$20,MATCH(42,$B$29:$GQ$29,0))</f>
        <v/>
      </c>
      <c r="AR6">
        <f>INDEX($B$20:$GQ$20,MATCH(43,$B$29:$GQ$29,0))</f>
        <v/>
      </c>
      <c r="AS6">
        <f>INDEX($B$20:$GQ$20,MATCH(44,$B$29:$GQ$29,0))</f>
        <v/>
      </c>
      <c r="AT6">
        <f>INDEX($B$20:$GQ$20,MATCH(45,$B$29:$GQ$29,0))</f>
        <v/>
      </c>
      <c r="AU6">
        <f>INDEX($B$20:$GQ$20,MATCH(46,$B$29:$GQ$29,0))</f>
        <v/>
      </c>
      <c r="AV6">
        <f>INDEX($B$20:$GQ$20,MATCH(47,$B$29:$GQ$29,0))</f>
        <v/>
      </c>
      <c r="AW6">
        <f>INDEX($B$20:$GQ$20,MATCH(48,$B$29:$GQ$29,0))</f>
        <v/>
      </c>
      <c r="AX6">
        <f>INDEX($B$20:$GQ$20,MATCH(49,$B$29:$GQ$29,0))</f>
        <v/>
      </c>
      <c r="AY6">
        <f>INDEX($B$20:$GQ$20,MATCH(50,$B$29:$GQ$29,0))</f>
        <v/>
      </c>
      <c r="AZ6">
        <f>INDEX($B$20:$GQ$20,MATCH(51,$B$29:$GQ$29,0))</f>
        <v/>
      </c>
      <c r="BA6">
        <f>INDEX($B$20:$GQ$20,MATCH(52,$B$29:$GQ$29,0))</f>
        <v/>
      </c>
      <c r="BB6">
        <f>INDEX($B$20:$GQ$20,MATCH(53,$B$29:$GQ$29,0))</f>
        <v/>
      </c>
      <c r="BC6">
        <f>INDEX($B$20:$GQ$20,MATCH(54,$B$29:$GQ$29,0))</f>
        <v/>
      </c>
      <c r="BD6">
        <f>INDEX($B$20:$GQ$20,MATCH(55,$B$29:$GQ$29,0))</f>
        <v/>
      </c>
      <c r="BE6">
        <f>INDEX($B$20:$GQ$20,MATCH(56,$B$29:$GQ$29,0))</f>
        <v/>
      </c>
      <c r="BF6">
        <f>INDEX($B$20:$GQ$20,MATCH(57,$B$29:$GQ$29,0))</f>
        <v/>
      </c>
      <c r="BG6">
        <f>INDEX($B$20:$GQ$20,MATCH(58,$B$29:$GQ$29,0))</f>
        <v/>
      </c>
      <c r="BH6">
        <f>INDEX($B$20:$GQ$20,MATCH(59,$B$29:$GQ$29,0))</f>
        <v/>
      </c>
      <c r="BI6">
        <f>INDEX($B$20:$GQ$20,MATCH(60,$B$29:$GQ$29,0))</f>
        <v/>
      </c>
      <c r="BJ6">
        <f>INDEX($B$20:$GQ$20,MATCH(61,$B$29:$GQ$29,0))</f>
        <v/>
      </c>
      <c r="BK6">
        <f>INDEX($B$20:$GQ$20,MATCH(62,$B$29:$GQ$29,0))</f>
        <v/>
      </c>
      <c r="BL6">
        <f>INDEX($B$20:$GQ$20,MATCH(63,$B$29:$GQ$29,0))</f>
        <v/>
      </c>
      <c r="BM6">
        <f>INDEX($B$20:$GQ$20,MATCH(64,$B$29:$GQ$29,0))</f>
        <v/>
      </c>
      <c r="BN6">
        <f>INDEX($B$20:$GQ$20,MATCH(65,$B$29:$GQ$29,0))</f>
        <v/>
      </c>
      <c r="BO6">
        <f>INDEX($B$20:$GQ$20,MATCH(66,$B$29:$GQ$29,0))</f>
        <v/>
      </c>
      <c r="BP6">
        <f>INDEX($B$20:$GQ$20,MATCH(67,$B$29:$GQ$29,0))</f>
        <v/>
      </c>
      <c r="BQ6">
        <f>INDEX($B$20:$GQ$20,MATCH(68,$B$29:$GQ$29,0))</f>
        <v/>
      </c>
      <c r="BR6">
        <f>INDEX($B$20:$GQ$20,MATCH(69,$B$29:$GQ$29,0))</f>
        <v/>
      </c>
      <c r="BS6">
        <f>INDEX($B$20:$GQ$20,MATCH(70,$B$29:$GQ$29,0))</f>
        <v/>
      </c>
      <c r="BT6">
        <f>INDEX($B$20:$GQ$20,MATCH(71,$B$29:$GQ$29,0))</f>
        <v/>
      </c>
      <c r="BU6">
        <f>INDEX($B$20:$GQ$20,MATCH(72,$B$29:$GQ$29,0))</f>
        <v/>
      </c>
      <c r="BV6">
        <f>INDEX($B$20:$GQ$20,MATCH(73,$B$29:$GQ$29,0))</f>
        <v/>
      </c>
      <c r="BW6">
        <f>INDEX($B$20:$GQ$20,MATCH(74,$B$29:$GQ$29,0))</f>
        <v/>
      </c>
      <c r="BX6">
        <f>INDEX($B$20:$GQ$20,MATCH(75,$B$29:$GQ$29,0))</f>
        <v/>
      </c>
      <c r="BY6">
        <f>INDEX($B$20:$GQ$20,MATCH(76,$B$29:$GQ$29,0))</f>
        <v/>
      </c>
      <c r="BZ6">
        <f>INDEX($B$20:$GQ$20,MATCH(77,$B$29:$GQ$29,0))</f>
        <v/>
      </c>
      <c r="CA6">
        <f>INDEX($B$20:$GQ$20,MATCH(78,$B$29:$GQ$29,0))</f>
        <v/>
      </c>
      <c r="CB6">
        <f>INDEX($B$20:$GQ$20,MATCH(79,$B$29:$GQ$29,0))</f>
        <v/>
      </c>
      <c r="CC6">
        <f>INDEX($B$20:$GQ$20,MATCH(80,$B$29:$GQ$29,0))</f>
        <v/>
      </c>
      <c r="CD6">
        <f>INDEX($B$20:$GQ$20,MATCH(81,$B$29:$GQ$29,0))</f>
        <v/>
      </c>
      <c r="CE6">
        <f>INDEX($B$20:$GQ$20,MATCH(82,$B$29:$GQ$29,0))</f>
        <v/>
      </c>
      <c r="CF6">
        <f>INDEX($B$20:$GQ$20,MATCH(83,$B$29:$GQ$29,0))</f>
        <v/>
      </c>
      <c r="CG6">
        <f>INDEX($B$20:$GQ$20,MATCH(84,$B$29:$GQ$29,0))</f>
        <v/>
      </c>
      <c r="CH6">
        <f>INDEX($B$20:$GQ$20,MATCH(85,$B$29:$GQ$29,0))</f>
        <v/>
      </c>
      <c r="CI6">
        <f>INDEX($B$20:$GQ$20,MATCH(86,$B$29:$GQ$29,0))</f>
        <v/>
      </c>
      <c r="CJ6">
        <f>INDEX($B$20:$GQ$20,MATCH(87,$B$29:$GQ$29,0))</f>
        <v/>
      </c>
      <c r="CK6">
        <f>INDEX($B$20:$GQ$20,MATCH(88,$B$29:$GQ$29,0))</f>
        <v/>
      </c>
      <c r="CL6">
        <f>INDEX($B$20:$GQ$20,MATCH(89,$B$29:$GQ$29,0))</f>
        <v/>
      </c>
      <c r="CM6">
        <f>INDEX($B$20:$GQ$20,MATCH(90,$B$29:$GQ$29,0))</f>
        <v/>
      </c>
      <c r="CN6">
        <f>INDEX($B$20:$GQ$20,MATCH(91,$B$29:$GQ$29,0))</f>
        <v/>
      </c>
      <c r="CO6">
        <f>INDEX($B$20:$GQ$20,MATCH(92,$B$29:$GQ$29,0))</f>
        <v/>
      </c>
      <c r="CP6">
        <f>INDEX($B$20:$GQ$20,MATCH(93,$B$29:$GQ$29,0))</f>
        <v/>
      </c>
      <c r="CQ6">
        <f>INDEX($B$20:$GQ$20,MATCH(94,$B$29:$GQ$29,0))</f>
        <v/>
      </c>
      <c r="CR6">
        <f>INDEX($B$20:$GQ$20,MATCH(95,$B$29:$GQ$29,0))</f>
        <v/>
      </c>
      <c r="CS6">
        <f>INDEX($B$20:$GQ$20,MATCH(96,$B$29:$GQ$29,0))</f>
        <v/>
      </c>
      <c r="CT6">
        <f>INDEX($B$20:$GQ$20,MATCH(97,$B$29:$GQ$29,0))</f>
        <v/>
      </c>
      <c r="CU6">
        <f>INDEX($B$20:$GQ$20,MATCH(98,$B$29:$GQ$29,0))</f>
        <v/>
      </c>
      <c r="CV6">
        <f>INDEX($B$20:$GQ$20,MATCH(99,$B$29:$GQ$29,0))</f>
        <v/>
      </c>
      <c r="CW6">
        <f>INDEX($B$20:$GQ$20,MATCH(100,$B$29:$GQ$29,0))</f>
        <v/>
      </c>
      <c r="CX6">
        <f>INDEX($B$20:$GQ$20,MATCH(101,$B$29:$GQ$29,0))</f>
        <v/>
      </c>
      <c r="CY6">
        <f>INDEX($B$20:$GQ$20,MATCH(102,$B$29:$GQ$29,0))</f>
        <v/>
      </c>
      <c r="CZ6">
        <f>INDEX($B$20:$GQ$20,MATCH(103,$B$29:$GQ$29,0))</f>
        <v/>
      </c>
      <c r="DA6">
        <f>INDEX($B$20:$GQ$20,MATCH(104,$B$29:$GQ$29,0))</f>
        <v/>
      </c>
      <c r="DB6">
        <f>INDEX($B$20:$GQ$20,MATCH(105,$B$29:$GQ$29,0))</f>
        <v/>
      </c>
      <c r="DC6">
        <f>INDEX($B$20:$GQ$20,MATCH(106,$B$29:$GQ$29,0))</f>
        <v/>
      </c>
      <c r="DD6">
        <f>INDEX($B$20:$GQ$20,MATCH(107,$B$29:$GQ$29,0))</f>
        <v/>
      </c>
      <c r="DE6">
        <f>INDEX($B$20:$GQ$20,MATCH(108,$B$29:$GQ$29,0))</f>
        <v/>
      </c>
      <c r="DF6">
        <f>INDEX($B$20:$GQ$20,MATCH(109,$B$29:$GQ$29,0))</f>
        <v/>
      </c>
      <c r="DG6">
        <f>INDEX($B$20:$GQ$20,MATCH(110,$B$29:$GQ$29,0))</f>
        <v/>
      </c>
      <c r="DH6">
        <f>INDEX($B$20:$GQ$20,MATCH(111,$B$29:$GQ$29,0))</f>
        <v/>
      </c>
      <c r="DI6">
        <f>INDEX($B$20:$GQ$20,MATCH(112,$B$29:$GQ$29,0))</f>
        <v/>
      </c>
      <c r="DJ6">
        <f>INDEX($B$20:$GQ$20,MATCH(113,$B$29:$GQ$29,0))</f>
        <v/>
      </c>
      <c r="DK6">
        <f>INDEX($B$20:$GQ$20,MATCH(114,$B$29:$GQ$29,0))</f>
        <v/>
      </c>
      <c r="DL6">
        <f>INDEX($B$20:$GQ$20,MATCH(115,$B$29:$GQ$29,0))</f>
        <v/>
      </c>
      <c r="DM6">
        <f>INDEX($B$20:$GQ$20,MATCH(116,$B$29:$GQ$29,0))</f>
        <v/>
      </c>
      <c r="DN6">
        <f>INDEX($B$20:$GQ$20,MATCH(117,$B$29:$GQ$29,0))</f>
        <v/>
      </c>
      <c r="DO6">
        <f>INDEX($B$20:$GQ$20,MATCH(118,$B$29:$GQ$29,0))</f>
        <v/>
      </c>
      <c r="DP6">
        <f>INDEX($B$20:$GQ$20,MATCH(119,$B$29:$GQ$29,0))</f>
        <v/>
      </c>
      <c r="DQ6">
        <f>INDEX($B$20:$GQ$20,MATCH(120,$B$29:$GQ$29,0))</f>
        <v/>
      </c>
      <c r="DR6">
        <f>INDEX($B$20:$GQ$20,MATCH(121,$B$29:$GQ$29,0))</f>
        <v/>
      </c>
      <c r="DS6">
        <f>INDEX($B$20:$GQ$20,MATCH(122,$B$29:$GQ$29,0))</f>
        <v/>
      </c>
      <c r="DT6">
        <f>INDEX($B$20:$GQ$20,MATCH(123,$B$29:$GQ$29,0))</f>
        <v/>
      </c>
      <c r="DU6">
        <f>INDEX($B$20:$GQ$20,MATCH(124,$B$29:$GQ$29,0))</f>
        <v/>
      </c>
      <c r="DV6">
        <f>INDEX($B$20:$GQ$20,MATCH(125,$B$29:$GQ$29,0))</f>
        <v/>
      </c>
      <c r="DW6">
        <f>INDEX($B$20:$GQ$20,MATCH(126,$B$29:$GQ$29,0))</f>
        <v/>
      </c>
      <c r="DX6">
        <f>INDEX($B$20:$GQ$20,MATCH(127,$B$29:$GQ$29,0))</f>
        <v/>
      </c>
      <c r="DY6">
        <f>INDEX($B$20:$GQ$20,MATCH(128,$B$29:$GQ$29,0))</f>
        <v/>
      </c>
      <c r="DZ6">
        <f>INDEX($B$20:$GQ$20,MATCH(129,$B$29:$GQ$29,0))</f>
        <v/>
      </c>
      <c r="EA6">
        <f>INDEX($B$20:$GQ$20,MATCH(130,$B$29:$GQ$29,0))</f>
        <v/>
      </c>
      <c r="EB6">
        <f>INDEX($B$20:$GQ$20,MATCH(131,$B$29:$GQ$29,0))</f>
        <v/>
      </c>
      <c r="EC6">
        <f>INDEX($B$20:$GQ$20,MATCH(132,$B$29:$GQ$29,0))</f>
        <v/>
      </c>
      <c r="ED6">
        <f>INDEX($B$20:$GQ$20,MATCH(133,$B$29:$GQ$29,0))</f>
        <v/>
      </c>
      <c r="EE6">
        <f>INDEX($B$20:$GQ$20,MATCH(134,$B$29:$GQ$29,0))</f>
        <v/>
      </c>
      <c r="EF6">
        <f>INDEX($B$20:$GQ$20,MATCH(135,$B$29:$GQ$29,0))</f>
        <v/>
      </c>
      <c r="EG6">
        <f>INDEX($B$20:$GQ$20,MATCH(136,$B$29:$GQ$29,0))</f>
        <v/>
      </c>
      <c r="EH6">
        <f>INDEX($B$20:$GQ$20,MATCH(137,$B$29:$GQ$29,0))</f>
        <v/>
      </c>
      <c r="EI6">
        <f>INDEX($B$20:$GQ$20,MATCH(138,$B$29:$GQ$29,0))</f>
        <v/>
      </c>
      <c r="EJ6">
        <f>INDEX($B$20:$GQ$20,MATCH(139,$B$29:$GQ$29,0))</f>
        <v/>
      </c>
      <c r="EK6">
        <f>INDEX($B$20:$GQ$20,MATCH(140,$B$29:$GQ$29,0))</f>
        <v/>
      </c>
      <c r="EL6">
        <f>INDEX($B$20:$GQ$20,MATCH(141,$B$29:$GQ$29,0))</f>
        <v/>
      </c>
      <c r="EM6">
        <f>INDEX($B$20:$GQ$20,MATCH(142,$B$29:$GQ$29,0))</f>
        <v/>
      </c>
      <c r="EN6">
        <f>INDEX($B$20:$GQ$20,MATCH(143,$B$29:$GQ$29,0))</f>
        <v/>
      </c>
      <c r="EO6">
        <f>INDEX($B$20:$GQ$20,MATCH(144,$B$29:$GQ$29,0))</f>
        <v/>
      </c>
      <c r="EP6">
        <f>INDEX($B$20:$GQ$20,MATCH(145,$B$29:$GQ$29,0))</f>
        <v/>
      </c>
      <c r="EQ6">
        <f>INDEX($B$20:$GQ$20,MATCH(146,$B$29:$GQ$29,0))</f>
        <v/>
      </c>
      <c r="ER6">
        <f>INDEX($B$20:$GQ$20,MATCH(147,$B$29:$GQ$29,0))</f>
        <v/>
      </c>
      <c r="ES6">
        <f>INDEX($B$20:$GQ$20,MATCH(148,$B$29:$GQ$29,0))</f>
        <v/>
      </c>
      <c r="ET6">
        <f>INDEX($B$20:$GQ$20,MATCH(149,$B$29:$GQ$29,0))</f>
        <v/>
      </c>
      <c r="EU6">
        <f>INDEX($B$20:$GQ$20,MATCH(150,$B$29:$GQ$29,0))</f>
        <v/>
      </c>
      <c r="EV6">
        <f>INDEX($B$20:$GQ$20,MATCH(151,$B$29:$GQ$29,0))</f>
        <v/>
      </c>
      <c r="EW6">
        <f>INDEX($B$20:$GQ$20,MATCH(152,$B$29:$GQ$29,0))</f>
        <v/>
      </c>
      <c r="EX6">
        <f>INDEX($B$20:$GQ$20,MATCH(153,$B$29:$GQ$29,0))</f>
        <v/>
      </c>
      <c r="EY6">
        <f>INDEX($B$20:$GQ$20,MATCH(154,$B$29:$GQ$29,0))</f>
        <v/>
      </c>
      <c r="EZ6">
        <f>INDEX($B$20:$GQ$20,MATCH(155,$B$29:$GQ$29,0))</f>
        <v/>
      </c>
      <c r="FA6">
        <f>INDEX($B$20:$GQ$20,MATCH(156,$B$29:$GQ$29,0))</f>
        <v/>
      </c>
      <c r="FB6">
        <f>INDEX($B$20:$GQ$20,MATCH(157,$B$29:$GQ$29,0))</f>
        <v/>
      </c>
      <c r="FC6">
        <f>INDEX($B$20:$GQ$20,MATCH(158,$B$29:$GQ$29,0))</f>
        <v/>
      </c>
      <c r="FD6">
        <f>INDEX($B$20:$GQ$20,MATCH(159,$B$29:$GQ$29,0))</f>
        <v/>
      </c>
      <c r="FE6">
        <f>INDEX($B$20:$GQ$20,MATCH(160,$B$29:$GQ$29,0))</f>
        <v/>
      </c>
      <c r="FF6">
        <f>INDEX($B$20:$GQ$20,MATCH(161,$B$29:$GQ$29,0))</f>
        <v/>
      </c>
      <c r="FG6">
        <f>INDEX($B$20:$GQ$20,MATCH(162,$B$29:$GQ$29,0))</f>
        <v/>
      </c>
      <c r="FH6">
        <f>INDEX($B$20:$GQ$20,MATCH(163,$B$29:$GQ$29,0))</f>
        <v/>
      </c>
      <c r="FI6">
        <f>INDEX($B$20:$GQ$20,MATCH(164,$B$29:$GQ$29,0))</f>
        <v/>
      </c>
      <c r="FJ6">
        <f>INDEX($B$20:$GQ$20,MATCH(165,$B$29:$GQ$29,0))</f>
        <v/>
      </c>
      <c r="FK6">
        <f>INDEX($B$20:$GQ$20,MATCH(166,$B$29:$GQ$29,0))</f>
        <v/>
      </c>
      <c r="FL6">
        <f>INDEX($B$20:$GQ$20,MATCH(167,$B$29:$GQ$29,0))</f>
        <v/>
      </c>
      <c r="FM6">
        <f>INDEX($B$20:$GQ$20,MATCH(168,$B$29:$GQ$29,0))</f>
        <v/>
      </c>
      <c r="FN6">
        <f>INDEX($B$20:$GQ$20,MATCH(169,$B$29:$GQ$29,0))</f>
        <v/>
      </c>
      <c r="FO6">
        <f>INDEX($B$20:$GQ$20,MATCH(170,$B$29:$GQ$29,0))</f>
        <v/>
      </c>
      <c r="FP6">
        <f>INDEX($B$20:$GQ$20,MATCH(171,$B$29:$GQ$29,0))</f>
        <v/>
      </c>
      <c r="FQ6">
        <f>INDEX($B$20:$GQ$20,MATCH(172,$B$29:$GQ$29,0))</f>
        <v/>
      </c>
      <c r="FR6">
        <f>INDEX($B$20:$GQ$20,MATCH(173,$B$29:$GQ$29,0))</f>
        <v/>
      </c>
      <c r="FS6">
        <f>INDEX($B$20:$GQ$20,MATCH(174,$B$29:$GQ$29,0))</f>
        <v/>
      </c>
      <c r="FT6">
        <f>INDEX($B$20:$GQ$20,MATCH(175,$B$29:$GQ$29,0))</f>
        <v/>
      </c>
      <c r="FU6">
        <f>INDEX($B$20:$GQ$20,MATCH(176,$B$29:$GQ$29,0))</f>
        <v/>
      </c>
      <c r="FV6">
        <f>INDEX($B$20:$GQ$20,MATCH(177,$B$29:$GQ$29,0))</f>
        <v/>
      </c>
      <c r="FW6">
        <f>INDEX($B$20:$GQ$20,MATCH(178,$B$29:$GQ$29,0))</f>
        <v/>
      </c>
      <c r="FX6">
        <f>INDEX($B$20:$GQ$20,MATCH(179,$B$29:$GQ$29,0))</f>
        <v/>
      </c>
      <c r="FY6">
        <f>INDEX($B$20:$GQ$20,MATCH(180,$B$29:$GQ$29,0))</f>
        <v/>
      </c>
      <c r="FZ6">
        <f>INDEX($B$20:$GQ$20,MATCH(181,$B$29:$GQ$29,0))</f>
        <v/>
      </c>
      <c r="GA6">
        <f>INDEX($B$20:$GQ$20,MATCH(182,$B$29:$GQ$29,0))</f>
        <v/>
      </c>
      <c r="GB6">
        <f>INDEX($B$20:$GQ$20,MATCH(183,$B$29:$GQ$29,0))</f>
        <v/>
      </c>
      <c r="GC6">
        <f>INDEX($B$20:$GQ$20,MATCH(184,$B$29:$GQ$29,0))</f>
        <v/>
      </c>
      <c r="GD6">
        <f>INDEX($B$20:$GQ$20,MATCH(185,$B$29:$GQ$29,0))</f>
        <v/>
      </c>
      <c r="GE6">
        <f>INDEX($B$20:$GQ$20,MATCH(186,$B$29:$GQ$29,0))</f>
        <v/>
      </c>
      <c r="GF6">
        <f>INDEX($B$20:$GQ$20,MATCH(187,$B$29:$GQ$29,0))</f>
        <v/>
      </c>
      <c r="GG6">
        <f>INDEX($B$20:$GQ$20,MATCH(188,$B$29:$GQ$29,0))</f>
        <v/>
      </c>
      <c r="GH6">
        <f>INDEX($B$20:$GQ$20,MATCH(189,$B$29:$GQ$29,0))</f>
        <v/>
      </c>
      <c r="GI6">
        <f>INDEX($B$20:$GQ$20,MATCH(190,$B$29:$GQ$29,0))</f>
        <v/>
      </c>
      <c r="GJ6">
        <f>INDEX($B$20:$GQ$20,MATCH(191,$B$29:$GQ$29,0))</f>
        <v/>
      </c>
      <c r="GK6">
        <f>INDEX($B$20:$GQ$20,MATCH(192,$B$29:$GQ$29,0))</f>
        <v/>
      </c>
      <c r="GL6">
        <f>INDEX($B$20:$GQ$20,MATCH(193,$B$29:$GQ$29,0))</f>
        <v/>
      </c>
      <c r="GM6">
        <f>INDEX($B$20:$GQ$20,MATCH(194,$B$29:$GQ$29,0))</f>
        <v/>
      </c>
      <c r="GN6">
        <f>INDEX($B$20:$GQ$20,MATCH(195,$B$29:$GQ$29,0))</f>
        <v/>
      </c>
      <c r="GO6">
        <f>INDEX($B$20:$GQ$20,MATCH(196,$B$29:$GQ$29,0))</f>
        <v/>
      </c>
      <c r="GP6">
        <f>INDEX($B$20:$GQ$20,MATCH(197,$B$29:$GQ$29,0))</f>
        <v/>
      </c>
      <c r="GQ6">
        <f>INDEX($B$20:$GQ$20,MATCH(198,$B$29:$GQ$29,0))</f>
        <v/>
      </c>
      <c r="GR6">
        <f>INDEX($GR$20:$HC$20,MATCH(1,$GR$30:$HC$30,0))</f>
        <v/>
      </c>
      <c r="GS6">
        <f>INDEX($GR$20:$HC$20,MATCH(2,$GR$30:$HC$30,0))</f>
        <v/>
      </c>
      <c r="GT6">
        <f>INDEX($GR$20:$HC$20,MATCH(3,$GR$30:$HC$30,0))</f>
        <v/>
      </c>
      <c r="GU6">
        <f>INDEX($GR$20:$HC$20,MATCH(4,$GR$30:$HC$30,0))</f>
        <v/>
      </c>
      <c r="GV6">
        <f>INDEX($GR$20:$HC$20,MATCH(5,$GR$30:$HC$30,0))</f>
        <v/>
      </c>
      <c r="GW6">
        <f>INDEX($GR$20:$HC$20,MATCH(6,$GR$30:$HC$30,0))</f>
        <v/>
      </c>
      <c r="GX6">
        <f>INDEX($GR$20:$HC$20,MATCH(7,$GR$30:$HC$30,0))</f>
        <v/>
      </c>
      <c r="GY6">
        <f>INDEX($GR$20:$HC$20,MATCH(8,$GR$30:$HC$30,0))</f>
        <v/>
      </c>
      <c r="GZ6">
        <f>INDEX($GR$20:$HC$20,MATCH(9,$GR$30:$HC$30,0))</f>
        <v/>
      </c>
      <c r="HA6">
        <f>INDEX($GR$20:$HC$20,MATCH(10,$GR$30:$HC$30,0))</f>
        <v/>
      </c>
      <c r="HB6">
        <f>INDEX($GR$20:$HC$20,MATCH(11,$GR$30:$HC$30,0))</f>
        <v/>
      </c>
      <c r="HC6">
        <f>INDEX($GR$20:$HC$20,MATCH(12,$GR$30:$HC$30,0))</f>
        <v/>
      </c>
    </row>
    <row r="7">
      <c r="A7" s="1" t="inlineStr">
        <is>
          <t>Y_imp</t>
        </is>
      </c>
      <c r="B7">
        <f>INDEX($B$21:$GQ$21,MATCH(1,$B$29:$GQ$29,0))</f>
        <v/>
      </c>
      <c r="C7">
        <f>INDEX($B$21:$GQ$21,MATCH(2,$B$29:$GQ$29,0))</f>
        <v/>
      </c>
      <c r="D7">
        <f>INDEX($B$21:$GQ$21,MATCH(3,$B$29:$GQ$29,0))</f>
        <v/>
      </c>
      <c r="E7">
        <f>INDEX($B$21:$GQ$21,MATCH(4,$B$29:$GQ$29,0))</f>
        <v/>
      </c>
      <c r="F7">
        <f>INDEX($B$21:$GQ$21,MATCH(5,$B$29:$GQ$29,0))</f>
        <v/>
      </c>
      <c r="G7">
        <f>INDEX($B$21:$GQ$21,MATCH(6,$B$29:$GQ$29,0))</f>
        <v/>
      </c>
      <c r="H7">
        <f>INDEX($B$21:$GQ$21,MATCH(7,$B$29:$GQ$29,0))</f>
        <v/>
      </c>
      <c r="I7">
        <f>INDEX($B$21:$GQ$21,MATCH(8,$B$29:$GQ$29,0))</f>
        <v/>
      </c>
      <c r="J7">
        <f>INDEX($B$21:$GQ$21,MATCH(9,$B$29:$GQ$29,0))</f>
        <v/>
      </c>
      <c r="K7">
        <f>INDEX($B$21:$GQ$21,MATCH(10,$B$29:$GQ$29,0))</f>
        <v/>
      </c>
      <c r="L7">
        <f>INDEX($B$21:$GQ$21,MATCH(11,$B$29:$GQ$29,0))</f>
        <v/>
      </c>
      <c r="M7">
        <f>INDEX($B$21:$GQ$21,MATCH(12,$B$29:$GQ$29,0))</f>
        <v/>
      </c>
      <c r="N7">
        <f>INDEX($B$21:$GQ$21,MATCH(13,$B$29:$GQ$29,0))</f>
        <v/>
      </c>
      <c r="O7">
        <f>INDEX($B$21:$GQ$21,MATCH(14,$B$29:$GQ$29,0))</f>
        <v/>
      </c>
      <c r="P7">
        <f>INDEX($B$21:$GQ$21,MATCH(15,$B$29:$GQ$29,0))</f>
        <v/>
      </c>
      <c r="Q7">
        <f>INDEX($B$21:$GQ$21,MATCH(16,$B$29:$GQ$29,0))</f>
        <v/>
      </c>
      <c r="R7">
        <f>INDEX($B$21:$GQ$21,MATCH(17,$B$29:$GQ$29,0))</f>
        <v/>
      </c>
      <c r="S7">
        <f>INDEX($B$21:$GQ$21,MATCH(18,$B$29:$GQ$29,0))</f>
        <v/>
      </c>
      <c r="T7">
        <f>INDEX($B$21:$GQ$21,MATCH(19,$B$29:$GQ$29,0))</f>
        <v/>
      </c>
      <c r="U7">
        <f>INDEX($B$21:$GQ$21,MATCH(20,$B$29:$GQ$29,0))</f>
        <v/>
      </c>
      <c r="V7">
        <f>INDEX($B$21:$GQ$21,MATCH(21,$B$29:$GQ$29,0))</f>
        <v/>
      </c>
      <c r="W7">
        <f>INDEX($B$21:$GQ$21,MATCH(22,$B$29:$GQ$29,0))</f>
        <v/>
      </c>
      <c r="X7">
        <f>INDEX($B$21:$GQ$21,MATCH(23,$B$29:$GQ$29,0))</f>
        <v/>
      </c>
      <c r="Y7">
        <f>INDEX($B$21:$GQ$21,MATCH(24,$B$29:$GQ$29,0))</f>
        <v/>
      </c>
      <c r="Z7">
        <f>INDEX($B$21:$GQ$21,MATCH(25,$B$29:$GQ$29,0))</f>
        <v/>
      </c>
      <c r="AA7">
        <f>INDEX($B$21:$GQ$21,MATCH(26,$B$29:$GQ$29,0))</f>
        <v/>
      </c>
      <c r="AB7">
        <f>INDEX($B$21:$GQ$21,MATCH(27,$B$29:$GQ$29,0))</f>
        <v/>
      </c>
      <c r="AC7">
        <f>INDEX($B$21:$GQ$21,MATCH(28,$B$29:$GQ$29,0))</f>
        <v/>
      </c>
      <c r="AD7">
        <f>INDEX($B$21:$GQ$21,MATCH(29,$B$29:$GQ$29,0))</f>
        <v/>
      </c>
      <c r="AE7">
        <f>INDEX($B$21:$GQ$21,MATCH(30,$B$29:$GQ$29,0))</f>
        <v/>
      </c>
      <c r="AF7">
        <f>INDEX($B$21:$GQ$21,MATCH(31,$B$29:$GQ$29,0))</f>
        <v/>
      </c>
      <c r="AG7">
        <f>INDEX($B$21:$GQ$21,MATCH(32,$B$29:$GQ$29,0))</f>
        <v/>
      </c>
      <c r="AH7">
        <f>INDEX($B$21:$GQ$21,MATCH(33,$B$29:$GQ$29,0))</f>
        <v/>
      </c>
      <c r="AI7">
        <f>INDEX($B$21:$GQ$21,MATCH(34,$B$29:$GQ$29,0))</f>
        <v/>
      </c>
      <c r="AJ7">
        <f>INDEX($B$21:$GQ$21,MATCH(35,$B$29:$GQ$29,0))</f>
        <v/>
      </c>
      <c r="AK7">
        <f>INDEX($B$21:$GQ$21,MATCH(36,$B$29:$GQ$29,0))</f>
        <v/>
      </c>
      <c r="AL7">
        <f>INDEX($B$21:$GQ$21,MATCH(37,$B$29:$GQ$29,0))</f>
        <v/>
      </c>
      <c r="AM7">
        <f>INDEX($B$21:$GQ$21,MATCH(38,$B$29:$GQ$29,0))</f>
        <v/>
      </c>
      <c r="AN7">
        <f>INDEX($B$21:$GQ$21,MATCH(39,$B$29:$GQ$29,0))</f>
        <v/>
      </c>
      <c r="AO7">
        <f>INDEX($B$21:$GQ$21,MATCH(40,$B$29:$GQ$29,0))</f>
        <v/>
      </c>
      <c r="AP7">
        <f>INDEX($B$21:$GQ$21,MATCH(41,$B$29:$GQ$29,0))</f>
        <v/>
      </c>
      <c r="AQ7">
        <f>INDEX($B$21:$GQ$21,MATCH(42,$B$29:$GQ$29,0))</f>
        <v/>
      </c>
      <c r="AR7">
        <f>INDEX($B$21:$GQ$21,MATCH(43,$B$29:$GQ$29,0))</f>
        <v/>
      </c>
      <c r="AS7">
        <f>INDEX($B$21:$GQ$21,MATCH(44,$B$29:$GQ$29,0))</f>
        <v/>
      </c>
      <c r="AT7">
        <f>INDEX($B$21:$GQ$21,MATCH(45,$B$29:$GQ$29,0))</f>
        <v/>
      </c>
      <c r="AU7">
        <f>INDEX($B$21:$GQ$21,MATCH(46,$B$29:$GQ$29,0))</f>
        <v/>
      </c>
      <c r="AV7">
        <f>INDEX($B$21:$GQ$21,MATCH(47,$B$29:$GQ$29,0))</f>
        <v/>
      </c>
      <c r="AW7">
        <f>INDEX($B$21:$GQ$21,MATCH(48,$B$29:$GQ$29,0))</f>
        <v/>
      </c>
      <c r="AX7">
        <f>INDEX($B$21:$GQ$21,MATCH(49,$B$29:$GQ$29,0))</f>
        <v/>
      </c>
      <c r="AY7">
        <f>INDEX($B$21:$GQ$21,MATCH(50,$B$29:$GQ$29,0))</f>
        <v/>
      </c>
      <c r="AZ7">
        <f>INDEX($B$21:$GQ$21,MATCH(51,$B$29:$GQ$29,0))</f>
        <v/>
      </c>
      <c r="BA7">
        <f>INDEX($B$21:$GQ$21,MATCH(52,$B$29:$GQ$29,0))</f>
        <v/>
      </c>
      <c r="BB7">
        <f>INDEX($B$21:$GQ$21,MATCH(53,$B$29:$GQ$29,0))</f>
        <v/>
      </c>
      <c r="BC7">
        <f>INDEX($B$21:$GQ$21,MATCH(54,$B$29:$GQ$29,0))</f>
        <v/>
      </c>
      <c r="BD7">
        <f>INDEX($B$21:$GQ$21,MATCH(55,$B$29:$GQ$29,0))</f>
        <v/>
      </c>
      <c r="BE7">
        <f>INDEX($B$21:$GQ$21,MATCH(56,$B$29:$GQ$29,0))</f>
        <v/>
      </c>
      <c r="BF7">
        <f>INDEX($B$21:$GQ$21,MATCH(57,$B$29:$GQ$29,0))</f>
        <v/>
      </c>
      <c r="BG7">
        <f>INDEX($B$21:$GQ$21,MATCH(58,$B$29:$GQ$29,0))</f>
        <v/>
      </c>
      <c r="BH7">
        <f>INDEX($B$21:$GQ$21,MATCH(59,$B$29:$GQ$29,0))</f>
        <v/>
      </c>
      <c r="BI7">
        <f>INDEX($B$21:$GQ$21,MATCH(60,$B$29:$GQ$29,0))</f>
        <v/>
      </c>
      <c r="BJ7">
        <f>INDEX($B$21:$GQ$21,MATCH(61,$B$29:$GQ$29,0))</f>
        <v/>
      </c>
      <c r="BK7">
        <f>INDEX($B$21:$GQ$21,MATCH(62,$B$29:$GQ$29,0))</f>
        <v/>
      </c>
      <c r="BL7">
        <f>INDEX($B$21:$GQ$21,MATCH(63,$B$29:$GQ$29,0))</f>
        <v/>
      </c>
      <c r="BM7">
        <f>INDEX($B$21:$GQ$21,MATCH(64,$B$29:$GQ$29,0))</f>
        <v/>
      </c>
      <c r="BN7">
        <f>INDEX($B$21:$GQ$21,MATCH(65,$B$29:$GQ$29,0))</f>
        <v/>
      </c>
      <c r="BO7">
        <f>INDEX($B$21:$GQ$21,MATCH(66,$B$29:$GQ$29,0))</f>
        <v/>
      </c>
      <c r="BP7">
        <f>INDEX($B$21:$GQ$21,MATCH(67,$B$29:$GQ$29,0))</f>
        <v/>
      </c>
      <c r="BQ7">
        <f>INDEX($B$21:$GQ$21,MATCH(68,$B$29:$GQ$29,0))</f>
        <v/>
      </c>
      <c r="BR7">
        <f>INDEX($B$21:$GQ$21,MATCH(69,$B$29:$GQ$29,0))</f>
        <v/>
      </c>
      <c r="BS7">
        <f>INDEX($B$21:$GQ$21,MATCH(70,$B$29:$GQ$29,0))</f>
        <v/>
      </c>
      <c r="BT7">
        <f>INDEX($B$21:$GQ$21,MATCH(71,$B$29:$GQ$29,0))</f>
        <v/>
      </c>
      <c r="BU7">
        <f>INDEX($B$21:$GQ$21,MATCH(72,$B$29:$GQ$29,0))</f>
        <v/>
      </c>
      <c r="BV7">
        <f>INDEX($B$21:$GQ$21,MATCH(73,$B$29:$GQ$29,0))</f>
        <v/>
      </c>
      <c r="BW7">
        <f>INDEX($B$21:$GQ$21,MATCH(74,$B$29:$GQ$29,0))</f>
        <v/>
      </c>
      <c r="BX7">
        <f>INDEX($B$21:$GQ$21,MATCH(75,$B$29:$GQ$29,0))</f>
        <v/>
      </c>
      <c r="BY7">
        <f>INDEX($B$21:$GQ$21,MATCH(76,$B$29:$GQ$29,0))</f>
        <v/>
      </c>
      <c r="BZ7">
        <f>INDEX($B$21:$GQ$21,MATCH(77,$B$29:$GQ$29,0))</f>
        <v/>
      </c>
      <c r="CA7">
        <f>INDEX($B$21:$GQ$21,MATCH(78,$B$29:$GQ$29,0))</f>
        <v/>
      </c>
      <c r="CB7">
        <f>INDEX($B$21:$GQ$21,MATCH(79,$B$29:$GQ$29,0))</f>
        <v/>
      </c>
      <c r="CC7">
        <f>INDEX($B$21:$GQ$21,MATCH(80,$B$29:$GQ$29,0))</f>
        <v/>
      </c>
      <c r="CD7">
        <f>INDEX($B$21:$GQ$21,MATCH(81,$B$29:$GQ$29,0))</f>
        <v/>
      </c>
      <c r="CE7">
        <f>INDEX($B$21:$GQ$21,MATCH(82,$B$29:$GQ$29,0))</f>
        <v/>
      </c>
      <c r="CF7">
        <f>INDEX($B$21:$GQ$21,MATCH(83,$B$29:$GQ$29,0))</f>
        <v/>
      </c>
      <c r="CG7">
        <f>INDEX($B$21:$GQ$21,MATCH(84,$B$29:$GQ$29,0))</f>
        <v/>
      </c>
      <c r="CH7">
        <f>INDEX($B$21:$GQ$21,MATCH(85,$B$29:$GQ$29,0))</f>
        <v/>
      </c>
      <c r="CI7">
        <f>INDEX($B$21:$GQ$21,MATCH(86,$B$29:$GQ$29,0))</f>
        <v/>
      </c>
      <c r="CJ7">
        <f>INDEX($B$21:$GQ$21,MATCH(87,$B$29:$GQ$29,0))</f>
        <v/>
      </c>
      <c r="CK7">
        <f>INDEX($B$21:$GQ$21,MATCH(88,$B$29:$GQ$29,0))</f>
        <v/>
      </c>
      <c r="CL7">
        <f>INDEX($B$21:$GQ$21,MATCH(89,$B$29:$GQ$29,0))</f>
        <v/>
      </c>
      <c r="CM7">
        <f>INDEX($B$21:$GQ$21,MATCH(90,$B$29:$GQ$29,0))</f>
        <v/>
      </c>
      <c r="CN7">
        <f>INDEX($B$21:$GQ$21,MATCH(91,$B$29:$GQ$29,0))</f>
        <v/>
      </c>
      <c r="CO7">
        <f>INDEX($B$21:$GQ$21,MATCH(92,$B$29:$GQ$29,0))</f>
        <v/>
      </c>
      <c r="CP7">
        <f>INDEX($B$21:$GQ$21,MATCH(93,$B$29:$GQ$29,0))</f>
        <v/>
      </c>
      <c r="CQ7">
        <f>INDEX($B$21:$GQ$21,MATCH(94,$B$29:$GQ$29,0))</f>
        <v/>
      </c>
      <c r="CR7">
        <f>INDEX($B$21:$GQ$21,MATCH(95,$B$29:$GQ$29,0))</f>
        <v/>
      </c>
      <c r="CS7">
        <f>INDEX($B$21:$GQ$21,MATCH(96,$B$29:$GQ$29,0))</f>
        <v/>
      </c>
      <c r="CT7">
        <f>INDEX($B$21:$GQ$21,MATCH(97,$B$29:$GQ$29,0))</f>
        <v/>
      </c>
      <c r="CU7">
        <f>INDEX($B$21:$GQ$21,MATCH(98,$B$29:$GQ$29,0))</f>
        <v/>
      </c>
      <c r="CV7">
        <f>INDEX($B$21:$GQ$21,MATCH(99,$B$29:$GQ$29,0))</f>
        <v/>
      </c>
      <c r="CW7">
        <f>INDEX($B$21:$GQ$21,MATCH(100,$B$29:$GQ$29,0))</f>
        <v/>
      </c>
      <c r="CX7">
        <f>INDEX($B$21:$GQ$21,MATCH(101,$B$29:$GQ$29,0))</f>
        <v/>
      </c>
      <c r="CY7">
        <f>INDEX($B$21:$GQ$21,MATCH(102,$B$29:$GQ$29,0))</f>
        <v/>
      </c>
      <c r="CZ7">
        <f>INDEX($B$21:$GQ$21,MATCH(103,$B$29:$GQ$29,0))</f>
        <v/>
      </c>
      <c r="DA7">
        <f>INDEX($B$21:$GQ$21,MATCH(104,$B$29:$GQ$29,0))</f>
        <v/>
      </c>
      <c r="DB7">
        <f>INDEX($B$21:$GQ$21,MATCH(105,$B$29:$GQ$29,0))</f>
        <v/>
      </c>
      <c r="DC7">
        <f>INDEX($B$21:$GQ$21,MATCH(106,$B$29:$GQ$29,0))</f>
        <v/>
      </c>
      <c r="DD7">
        <f>INDEX($B$21:$GQ$21,MATCH(107,$B$29:$GQ$29,0))</f>
        <v/>
      </c>
      <c r="DE7">
        <f>INDEX($B$21:$GQ$21,MATCH(108,$B$29:$GQ$29,0))</f>
        <v/>
      </c>
      <c r="DF7">
        <f>INDEX($B$21:$GQ$21,MATCH(109,$B$29:$GQ$29,0))</f>
        <v/>
      </c>
      <c r="DG7">
        <f>INDEX($B$21:$GQ$21,MATCH(110,$B$29:$GQ$29,0))</f>
        <v/>
      </c>
      <c r="DH7">
        <f>INDEX($B$21:$GQ$21,MATCH(111,$B$29:$GQ$29,0))</f>
        <v/>
      </c>
      <c r="DI7">
        <f>INDEX($B$21:$GQ$21,MATCH(112,$B$29:$GQ$29,0))</f>
        <v/>
      </c>
      <c r="DJ7">
        <f>INDEX($B$21:$GQ$21,MATCH(113,$B$29:$GQ$29,0))</f>
        <v/>
      </c>
      <c r="DK7">
        <f>INDEX($B$21:$GQ$21,MATCH(114,$B$29:$GQ$29,0))</f>
        <v/>
      </c>
      <c r="DL7">
        <f>INDEX($B$21:$GQ$21,MATCH(115,$B$29:$GQ$29,0))</f>
        <v/>
      </c>
      <c r="DM7">
        <f>INDEX($B$21:$GQ$21,MATCH(116,$B$29:$GQ$29,0))</f>
        <v/>
      </c>
      <c r="DN7">
        <f>INDEX($B$21:$GQ$21,MATCH(117,$B$29:$GQ$29,0))</f>
        <v/>
      </c>
      <c r="DO7">
        <f>INDEX($B$21:$GQ$21,MATCH(118,$B$29:$GQ$29,0))</f>
        <v/>
      </c>
      <c r="DP7">
        <f>INDEX($B$21:$GQ$21,MATCH(119,$B$29:$GQ$29,0))</f>
        <v/>
      </c>
      <c r="DQ7">
        <f>INDEX($B$21:$GQ$21,MATCH(120,$B$29:$GQ$29,0))</f>
        <v/>
      </c>
      <c r="DR7">
        <f>INDEX($B$21:$GQ$21,MATCH(121,$B$29:$GQ$29,0))</f>
        <v/>
      </c>
      <c r="DS7">
        <f>INDEX($B$21:$GQ$21,MATCH(122,$B$29:$GQ$29,0))</f>
        <v/>
      </c>
      <c r="DT7">
        <f>INDEX($B$21:$GQ$21,MATCH(123,$B$29:$GQ$29,0))</f>
        <v/>
      </c>
      <c r="DU7">
        <f>INDEX($B$21:$GQ$21,MATCH(124,$B$29:$GQ$29,0))</f>
        <v/>
      </c>
      <c r="DV7">
        <f>INDEX($B$21:$GQ$21,MATCH(125,$B$29:$GQ$29,0))</f>
        <v/>
      </c>
      <c r="DW7">
        <f>INDEX($B$21:$GQ$21,MATCH(126,$B$29:$GQ$29,0))</f>
        <v/>
      </c>
      <c r="DX7">
        <f>INDEX($B$21:$GQ$21,MATCH(127,$B$29:$GQ$29,0))</f>
        <v/>
      </c>
      <c r="DY7">
        <f>INDEX($B$21:$GQ$21,MATCH(128,$B$29:$GQ$29,0))</f>
        <v/>
      </c>
      <c r="DZ7">
        <f>INDEX($B$21:$GQ$21,MATCH(129,$B$29:$GQ$29,0))</f>
        <v/>
      </c>
      <c r="EA7">
        <f>INDEX($B$21:$GQ$21,MATCH(130,$B$29:$GQ$29,0))</f>
        <v/>
      </c>
      <c r="EB7">
        <f>INDEX($B$21:$GQ$21,MATCH(131,$B$29:$GQ$29,0))</f>
        <v/>
      </c>
      <c r="EC7">
        <f>INDEX($B$21:$GQ$21,MATCH(132,$B$29:$GQ$29,0))</f>
        <v/>
      </c>
      <c r="ED7">
        <f>INDEX($B$21:$GQ$21,MATCH(133,$B$29:$GQ$29,0))</f>
        <v/>
      </c>
      <c r="EE7">
        <f>INDEX($B$21:$GQ$21,MATCH(134,$B$29:$GQ$29,0))</f>
        <v/>
      </c>
      <c r="EF7">
        <f>INDEX($B$21:$GQ$21,MATCH(135,$B$29:$GQ$29,0))</f>
        <v/>
      </c>
      <c r="EG7">
        <f>INDEX($B$21:$GQ$21,MATCH(136,$B$29:$GQ$29,0))</f>
        <v/>
      </c>
      <c r="EH7">
        <f>INDEX($B$21:$GQ$21,MATCH(137,$B$29:$GQ$29,0))</f>
        <v/>
      </c>
      <c r="EI7">
        <f>INDEX($B$21:$GQ$21,MATCH(138,$B$29:$GQ$29,0))</f>
        <v/>
      </c>
      <c r="EJ7">
        <f>INDEX($B$21:$GQ$21,MATCH(139,$B$29:$GQ$29,0))</f>
        <v/>
      </c>
      <c r="EK7">
        <f>INDEX($B$21:$GQ$21,MATCH(140,$B$29:$GQ$29,0))</f>
        <v/>
      </c>
      <c r="EL7">
        <f>INDEX($B$21:$GQ$21,MATCH(141,$B$29:$GQ$29,0))</f>
        <v/>
      </c>
      <c r="EM7">
        <f>INDEX($B$21:$GQ$21,MATCH(142,$B$29:$GQ$29,0))</f>
        <v/>
      </c>
      <c r="EN7">
        <f>INDEX($B$21:$GQ$21,MATCH(143,$B$29:$GQ$29,0))</f>
        <v/>
      </c>
      <c r="EO7">
        <f>INDEX($B$21:$GQ$21,MATCH(144,$B$29:$GQ$29,0))</f>
        <v/>
      </c>
      <c r="EP7">
        <f>INDEX($B$21:$GQ$21,MATCH(145,$B$29:$GQ$29,0))</f>
        <v/>
      </c>
      <c r="EQ7">
        <f>INDEX($B$21:$GQ$21,MATCH(146,$B$29:$GQ$29,0))</f>
        <v/>
      </c>
      <c r="ER7">
        <f>INDEX($B$21:$GQ$21,MATCH(147,$B$29:$GQ$29,0))</f>
        <v/>
      </c>
      <c r="ES7">
        <f>INDEX($B$21:$GQ$21,MATCH(148,$B$29:$GQ$29,0))</f>
        <v/>
      </c>
      <c r="ET7">
        <f>INDEX($B$21:$GQ$21,MATCH(149,$B$29:$GQ$29,0))</f>
        <v/>
      </c>
      <c r="EU7">
        <f>INDEX($B$21:$GQ$21,MATCH(150,$B$29:$GQ$29,0))</f>
        <v/>
      </c>
      <c r="EV7">
        <f>INDEX($B$21:$GQ$21,MATCH(151,$B$29:$GQ$29,0))</f>
        <v/>
      </c>
      <c r="EW7">
        <f>INDEX($B$21:$GQ$21,MATCH(152,$B$29:$GQ$29,0))</f>
        <v/>
      </c>
      <c r="EX7">
        <f>INDEX($B$21:$GQ$21,MATCH(153,$B$29:$GQ$29,0))</f>
        <v/>
      </c>
      <c r="EY7">
        <f>INDEX($B$21:$GQ$21,MATCH(154,$B$29:$GQ$29,0))</f>
        <v/>
      </c>
      <c r="EZ7">
        <f>INDEX($B$21:$GQ$21,MATCH(155,$B$29:$GQ$29,0))</f>
        <v/>
      </c>
      <c r="FA7">
        <f>INDEX($B$21:$GQ$21,MATCH(156,$B$29:$GQ$29,0))</f>
        <v/>
      </c>
      <c r="FB7">
        <f>INDEX($B$21:$GQ$21,MATCH(157,$B$29:$GQ$29,0))</f>
        <v/>
      </c>
      <c r="FC7">
        <f>INDEX($B$21:$GQ$21,MATCH(158,$B$29:$GQ$29,0))</f>
        <v/>
      </c>
      <c r="FD7">
        <f>INDEX($B$21:$GQ$21,MATCH(159,$B$29:$GQ$29,0))</f>
        <v/>
      </c>
      <c r="FE7">
        <f>INDEX($B$21:$GQ$21,MATCH(160,$B$29:$GQ$29,0))</f>
        <v/>
      </c>
      <c r="FF7">
        <f>INDEX($B$21:$GQ$21,MATCH(161,$B$29:$GQ$29,0))</f>
        <v/>
      </c>
      <c r="FG7">
        <f>INDEX($B$21:$GQ$21,MATCH(162,$B$29:$GQ$29,0))</f>
        <v/>
      </c>
      <c r="FH7">
        <f>INDEX($B$21:$GQ$21,MATCH(163,$B$29:$GQ$29,0))</f>
        <v/>
      </c>
      <c r="FI7">
        <f>INDEX($B$21:$GQ$21,MATCH(164,$B$29:$GQ$29,0))</f>
        <v/>
      </c>
      <c r="FJ7">
        <f>INDEX($B$21:$GQ$21,MATCH(165,$B$29:$GQ$29,0))</f>
        <v/>
      </c>
      <c r="FK7">
        <f>INDEX($B$21:$GQ$21,MATCH(166,$B$29:$GQ$29,0))</f>
        <v/>
      </c>
      <c r="FL7">
        <f>INDEX($B$21:$GQ$21,MATCH(167,$B$29:$GQ$29,0))</f>
        <v/>
      </c>
      <c r="FM7">
        <f>INDEX($B$21:$GQ$21,MATCH(168,$B$29:$GQ$29,0))</f>
        <v/>
      </c>
      <c r="FN7">
        <f>INDEX($B$21:$GQ$21,MATCH(169,$B$29:$GQ$29,0))</f>
        <v/>
      </c>
      <c r="FO7">
        <f>INDEX($B$21:$GQ$21,MATCH(170,$B$29:$GQ$29,0))</f>
        <v/>
      </c>
      <c r="FP7">
        <f>INDEX($B$21:$GQ$21,MATCH(171,$B$29:$GQ$29,0))</f>
        <v/>
      </c>
      <c r="FQ7">
        <f>INDEX($B$21:$GQ$21,MATCH(172,$B$29:$GQ$29,0))</f>
        <v/>
      </c>
      <c r="FR7">
        <f>INDEX($B$21:$GQ$21,MATCH(173,$B$29:$GQ$29,0))</f>
        <v/>
      </c>
      <c r="FS7">
        <f>INDEX($B$21:$GQ$21,MATCH(174,$B$29:$GQ$29,0))</f>
        <v/>
      </c>
      <c r="FT7">
        <f>INDEX($B$21:$GQ$21,MATCH(175,$B$29:$GQ$29,0))</f>
        <v/>
      </c>
      <c r="FU7">
        <f>INDEX($B$21:$GQ$21,MATCH(176,$B$29:$GQ$29,0))</f>
        <v/>
      </c>
      <c r="FV7">
        <f>INDEX($B$21:$GQ$21,MATCH(177,$B$29:$GQ$29,0))</f>
        <v/>
      </c>
      <c r="FW7">
        <f>INDEX($B$21:$GQ$21,MATCH(178,$B$29:$GQ$29,0))</f>
        <v/>
      </c>
      <c r="FX7">
        <f>INDEX($B$21:$GQ$21,MATCH(179,$B$29:$GQ$29,0))</f>
        <v/>
      </c>
      <c r="FY7">
        <f>INDEX($B$21:$GQ$21,MATCH(180,$B$29:$GQ$29,0))</f>
        <v/>
      </c>
      <c r="FZ7">
        <f>INDEX($B$21:$GQ$21,MATCH(181,$B$29:$GQ$29,0))</f>
        <v/>
      </c>
      <c r="GA7">
        <f>INDEX($B$21:$GQ$21,MATCH(182,$B$29:$GQ$29,0))</f>
        <v/>
      </c>
      <c r="GB7">
        <f>INDEX($B$21:$GQ$21,MATCH(183,$B$29:$GQ$29,0))</f>
        <v/>
      </c>
      <c r="GC7">
        <f>INDEX($B$21:$GQ$21,MATCH(184,$B$29:$GQ$29,0))</f>
        <v/>
      </c>
      <c r="GD7">
        <f>INDEX($B$21:$GQ$21,MATCH(185,$B$29:$GQ$29,0))</f>
        <v/>
      </c>
      <c r="GE7">
        <f>INDEX($B$21:$GQ$21,MATCH(186,$B$29:$GQ$29,0))</f>
        <v/>
      </c>
      <c r="GF7">
        <f>INDEX($B$21:$GQ$21,MATCH(187,$B$29:$GQ$29,0))</f>
        <v/>
      </c>
      <c r="GG7">
        <f>INDEX($B$21:$GQ$21,MATCH(188,$B$29:$GQ$29,0))</f>
        <v/>
      </c>
      <c r="GH7">
        <f>INDEX($B$21:$GQ$21,MATCH(189,$B$29:$GQ$29,0))</f>
        <v/>
      </c>
      <c r="GI7">
        <f>INDEX($B$21:$GQ$21,MATCH(190,$B$29:$GQ$29,0))</f>
        <v/>
      </c>
      <c r="GJ7">
        <f>INDEX($B$21:$GQ$21,MATCH(191,$B$29:$GQ$29,0))</f>
        <v/>
      </c>
      <c r="GK7">
        <f>INDEX($B$21:$GQ$21,MATCH(192,$B$29:$GQ$29,0))</f>
        <v/>
      </c>
      <c r="GL7">
        <f>INDEX($B$21:$GQ$21,MATCH(193,$B$29:$GQ$29,0))</f>
        <v/>
      </c>
      <c r="GM7">
        <f>INDEX($B$21:$GQ$21,MATCH(194,$B$29:$GQ$29,0))</f>
        <v/>
      </c>
      <c r="GN7">
        <f>INDEX($B$21:$GQ$21,MATCH(195,$B$29:$GQ$29,0))</f>
        <v/>
      </c>
      <c r="GO7">
        <f>INDEX($B$21:$GQ$21,MATCH(196,$B$29:$GQ$29,0))</f>
        <v/>
      </c>
      <c r="GP7">
        <f>INDEX($B$21:$GQ$21,MATCH(197,$B$29:$GQ$29,0))</f>
        <v/>
      </c>
      <c r="GQ7">
        <f>INDEX($B$21:$GQ$21,MATCH(198,$B$29:$GQ$29,0))</f>
        <v/>
      </c>
      <c r="GR7">
        <f>INDEX($GR$21:$HC$21,MATCH(1,$GR$30:$HC$30,0))</f>
        <v/>
      </c>
      <c r="GS7">
        <f>INDEX($GR$21:$HC$21,MATCH(2,$GR$30:$HC$30,0))</f>
        <v/>
      </c>
      <c r="GT7">
        <f>INDEX($GR$21:$HC$21,MATCH(3,$GR$30:$HC$30,0))</f>
        <v/>
      </c>
      <c r="GU7">
        <f>INDEX($GR$21:$HC$21,MATCH(4,$GR$30:$HC$30,0))</f>
        <v/>
      </c>
      <c r="GV7">
        <f>INDEX($GR$21:$HC$21,MATCH(5,$GR$30:$HC$30,0))</f>
        <v/>
      </c>
      <c r="GW7">
        <f>INDEX($GR$21:$HC$21,MATCH(6,$GR$30:$HC$30,0))</f>
        <v/>
      </c>
      <c r="GX7">
        <f>INDEX($GR$21:$HC$21,MATCH(7,$GR$30:$HC$30,0))</f>
        <v/>
      </c>
      <c r="GY7">
        <f>INDEX($GR$21:$HC$21,MATCH(8,$GR$30:$HC$30,0))</f>
        <v/>
      </c>
      <c r="GZ7">
        <f>INDEX($GR$21:$HC$21,MATCH(9,$GR$30:$HC$30,0))</f>
        <v/>
      </c>
      <c r="HA7">
        <f>INDEX($GR$21:$HC$21,MATCH(10,$GR$30:$HC$30,0))</f>
        <v/>
      </c>
      <c r="HB7">
        <f>INDEX($GR$21:$HC$21,MATCH(11,$GR$30:$HC$30,0))</f>
        <v/>
      </c>
      <c r="HC7">
        <f>INDEX($GR$21:$HC$21,MATCH(12,$GR$30:$HC$30,0))</f>
        <v/>
      </c>
    </row>
    <row r="8">
      <c r="A8" s="1" t="inlineStr">
        <is>
          <t>Y_dom</t>
        </is>
      </c>
      <c r="B8">
        <f>INDEX($B$22:$GQ$22,MATCH(1,$B$29:$GQ$29,0))</f>
        <v/>
      </c>
      <c r="C8">
        <f>INDEX($B$22:$GQ$22,MATCH(2,$B$29:$GQ$29,0))</f>
        <v/>
      </c>
      <c r="D8">
        <f>INDEX($B$22:$GQ$22,MATCH(3,$B$29:$GQ$29,0))</f>
        <v/>
      </c>
      <c r="E8">
        <f>INDEX($B$22:$GQ$22,MATCH(4,$B$29:$GQ$29,0))</f>
        <v/>
      </c>
      <c r="F8">
        <f>INDEX($B$22:$GQ$22,MATCH(5,$B$29:$GQ$29,0))</f>
        <v/>
      </c>
      <c r="G8">
        <f>INDEX($B$22:$GQ$22,MATCH(6,$B$29:$GQ$29,0))</f>
        <v/>
      </c>
      <c r="H8">
        <f>INDEX($B$22:$GQ$22,MATCH(7,$B$29:$GQ$29,0))</f>
        <v/>
      </c>
      <c r="I8">
        <f>INDEX($B$22:$GQ$22,MATCH(8,$B$29:$GQ$29,0))</f>
        <v/>
      </c>
      <c r="J8">
        <f>INDEX($B$22:$GQ$22,MATCH(9,$B$29:$GQ$29,0))</f>
        <v/>
      </c>
      <c r="K8">
        <f>INDEX($B$22:$GQ$22,MATCH(10,$B$29:$GQ$29,0))</f>
        <v/>
      </c>
      <c r="L8">
        <f>INDEX($B$22:$GQ$22,MATCH(11,$B$29:$GQ$29,0))</f>
        <v/>
      </c>
      <c r="M8">
        <f>INDEX($B$22:$GQ$22,MATCH(12,$B$29:$GQ$29,0))</f>
        <v/>
      </c>
      <c r="N8">
        <f>INDEX($B$22:$GQ$22,MATCH(13,$B$29:$GQ$29,0))</f>
        <v/>
      </c>
      <c r="O8">
        <f>INDEX($B$22:$GQ$22,MATCH(14,$B$29:$GQ$29,0))</f>
        <v/>
      </c>
      <c r="P8">
        <f>INDEX($B$22:$GQ$22,MATCH(15,$B$29:$GQ$29,0))</f>
        <v/>
      </c>
      <c r="Q8">
        <f>INDEX($B$22:$GQ$22,MATCH(16,$B$29:$GQ$29,0))</f>
        <v/>
      </c>
      <c r="R8">
        <f>INDEX($B$22:$GQ$22,MATCH(17,$B$29:$GQ$29,0))</f>
        <v/>
      </c>
      <c r="S8">
        <f>INDEX($B$22:$GQ$22,MATCH(18,$B$29:$GQ$29,0))</f>
        <v/>
      </c>
      <c r="T8">
        <f>INDEX($B$22:$GQ$22,MATCH(19,$B$29:$GQ$29,0))</f>
        <v/>
      </c>
      <c r="U8">
        <f>INDEX($B$22:$GQ$22,MATCH(20,$B$29:$GQ$29,0))</f>
        <v/>
      </c>
      <c r="V8">
        <f>INDEX($B$22:$GQ$22,MATCH(21,$B$29:$GQ$29,0))</f>
        <v/>
      </c>
      <c r="W8">
        <f>INDEX($B$22:$GQ$22,MATCH(22,$B$29:$GQ$29,0))</f>
        <v/>
      </c>
      <c r="X8">
        <f>INDEX($B$22:$GQ$22,MATCH(23,$B$29:$GQ$29,0))</f>
        <v/>
      </c>
      <c r="Y8">
        <f>INDEX($B$22:$GQ$22,MATCH(24,$B$29:$GQ$29,0))</f>
        <v/>
      </c>
      <c r="Z8">
        <f>INDEX($B$22:$GQ$22,MATCH(25,$B$29:$GQ$29,0))</f>
        <v/>
      </c>
      <c r="AA8">
        <f>INDEX($B$22:$GQ$22,MATCH(26,$B$29:$GQ$29,0))</f>
        <v/>
      </c>
      <c r="AB8">
        <f>INDEX($B$22:$GQ$22,MATCH(27,$B$29:$GQ$29,0))</f>
        <v/>
      </c>
      <c r="AC8">
        <f>INDEX($B$22:$GQ$22,MATCH(28,$B$29:$GQ$29,0))</f>
        <v/>
      </c>
      <c r="AD8">
        <f>INDEX($B$22:$GQ$22,MATCH(29,$B$29:$GQ$29,0))</f>
        <v/>
      </c>
      <c r="AE8">
        <f>INDEX($B$22:$GQ$22,MATCH(30,$B$29:$GQ$29,0))</f>
        <v/>
      </c>
      <c r="AF8">
        <f>INDEX($B$22:$GQ$22,MATCH(31,$B$29:$GQ$29,0))</f>
        <v/>
      </c>
      <c r="AG8">
        <f>INDEX($B$22:$GQ$22,MATCH(32,$B$29:$GQ$29,0))</f>
        <v/>
      </c>
      <c r="AH8">
        <f>INDEX($B$22:$GQ$22,MATCH(33,$B$29:$GQ$29,0))</f>
        <v/>
      </c>
      <c r="AI8">
        <f>INDEX($B$22:$GQ$22,MATCH(34,$B$29:$GQ$29,0))</f>
        <v/>
      </c>
      <c r="AJ8">
        <f>INDEX($B$22:$GQ$22,MATCH(35,$B$29:$GQ$29,0))</f>
        <v/>
      </c>
      <c r="AK8">
        <f>INDEX($B$22:$GQ$22,MATCH(36,$B$29:$GQ$29,0))</f>
        <v/>
      </c>
      <c r="AL8">
        <f>INDEX($B$22:$GQ$22,MATCH(37,$B$29:$GQ$29,0))</f>
        <v/>
      </c>
      <c r="AM8">
        <f>INDEX($B$22:$GQ$22,MATCH(38,$B$29:$GQ$29,0))</f>
        <v/>
      </c>
      <c r="AN8">
        <f>INDEX($B$22:$GQ$22,MATCH(39,$B$29:$GQ$29,0))</f>
        <v/>
      </c>
      <c r="AO8">
        <f>INDEX($B$22:$GQ$22,MATCH(40,$B$29:$GQ$29,0))</f>
        <v/>
      </c>
      <c r="AP8">
        <f>INDEX($B$22:$GQ$22,MATCH(41,$B$29:$GQ$29,0))</f>
        <v/>
      </c>
      <c r="AQ8">
        <f>INDEX($B$22:$GQ$22,MATCH(42,$B$29:$GQ$29,0))</f>
        <v/>
      </c>
      <c r="AR8">
        <f>INDEX($B$22:$GQ$22,MATCH(43,$B$29:$GQ$29,0))</f>
        <v/>
      </c>
      <c r="AS8">
        <f>INDEX($B$22:$GQ$22,MATCH(44,$B$29:$GQ$29,0))</f>
        <v/>
      </c>
      <c r="AT8">
        <f>INDEX($B$22:$GQ$22,MATCH(45,$B$29:$GQ$29,0))</f>
        <v/>
      </c>
      <c r="AU8">
        <f>INDEX($B$22:$GQ$22,MATCH(46,$B$29:$GQ$29,0))</f>
        <v/>
      </c>
      <c r="AV8">
        <f>INDEX($B$22:$GQ$22,MATCH(47,$B$29:$GQ$29,0))</f>
        <v/>
      </c>
      <c r="AW8">
        <f>INDEX($B$22:$GQ$22,MATCH(48,$B$29:$GQ$29,0))</f>
        <v/>
      </c>
      <c r="AX8">
        <f>INDEX($B$22:$GQ$22,MATCH(49,$B$29:$GQ$29,0))</f>
        <v/>
      </c>
      <c r="AY8">
        <f>INDEX($B$22:$GQ$22,MATCH(50,$B$29:$GQ$29,0))</f>
        <v/>
      </c>
      <c r="AZ8">
        <f>INDEX($B$22:$GQ$22,MATCH(51,$B$29:$GQ$29,0))</f>
        <v/>
      </c>
      <c r="BA8">
        <f>INDEX($B$22:$GQ$22,MATCH(52,$B$29:$GQ$29,0))</f>
        <v/>
      </c>
      <c r="BB8">
        <f>INDEX($B$22:$GQ$22,MATCH(53,$B$29:$GQ$29,0))</f>
        <v/>
      </c>
      <c r="BC8">
        <f>INDEX($B$22:$GQ$22,MATCH(54,$B$29:$GQ$29,0))</f>
        <v/>
      </c>
      <c r="BD8">
        <f>INDEX($B$22:$GQ$22,MATCH(55,$B$29:$GQ$29,0))</f>
        <v/>
      </c>
      <c r="BE8">
        <f>INDEX($B$22:$GQ$22,MATCH(56,$B$29:$GQ$29,0))</f>
        <v/>
      </c>
      <c r="BF8">
        <f>INDEX($B$22:$GQ$22,MATCH(57,$B$29:$GQ$29,0))</f>
        <v/>
      </c>
      <c r="BG8">
        <f>INDEX($B$22:$GQ$22,MATCH(58,$B$29:$GQ$29,0))</f>
        <v/>
      </c>
      <c r="BH8">
        <f>INDEX($B$22:$GQ$22,MATCH(59,$B$29:$GQ$29,0))</f>
        <v/>
      </c>
      <c r="BI8">
        <f>INDEX($B$22:$GQ$22,MATCH(60,$B$29:$GQ$29,0))</f>
        <v/>
      </c>
      <c r="BJ8">
        <f>INDEX($B$22:$GQ$22,MATCH(61,$B$29:$GQ$29,0))</f>
        <v/>
      </c>
      <c r="BK8">
        <f>INDEX($B$22:$GQ$22,MATCH(62,$B$29:$GQ$29,0))</f>
        <v/>
      </c>
      <c r="BL8">
        <f>INDEX($B$22:$GQ$22,MATCH(63,$B$29:$GQ$29,0))</f>
        <v/>
      </c>
      <c r="BM8">
        <f>INDEX($B$22:$GQ$22,MATCH(64,$B$29:$GQ$29,0))</f>
        <v/>
      </c>
      <c r="BN8">
        <f>INDEX($B$22:$GQ$22,MATCH(65,$B$29:$GQ$29,0))</f>
        <v/>
      </c>
      <c r="BO8">
        <f>INDEX($B$22:$GQ$22,MATCH(66,$B$29:$GQ$29,0))</f>
        <v/>
      </c>
      <c r="BP8">
        <f>INDEX($B$22:$GQ$22,MATCH(67,$B$29:$GQ$29,0))</f>
        <v/>
      </c>
      <c r="BQ8">
        <f>INDEX($B$22:$GQ$22,MATCH(68,$B$29:$GQ$29,0))</f>
        <v/>
      </c>
      <c r="BR8">
        <f>INDEX($B$22:$GQ$22,MATCH(69,$B$29:$GQ$29,0))</f>
        <v/>
      </c>
      <c r="BS8">
        <f>INDEX($B$22:$GQ$22,MATCH(70,$B$29:$GQ$29,0))</f>
        <v/>
      </c>
      <c r="BT8">
        <f>INDEX($B$22:$GQ$22,MATCH(71,$B$29:$GQ$29,0))</f>
        <v/>
      </c>
      <c r="BU8">
        <f>INDEX($B$22:$GQ$22,MATCH(72,$B$29:$GQ$29,0))</f>
        <v/>
      </c>
      <c r="BV8">
        <f>INDEX($B$22:$GQ$22,MATCH(73,$B$29:$GQ$29,0))</f>
        <v/>
      </c>
      <c r="BW8">
        <f>INDEX($B$22:$GQ$22,MATCH(74,$B$29:$GQ$29,0))</f>
        <v/>
      </c>
      <c r="BX8">
        <f>INDEX($B$22:$GQ$22,MATCH(75,$B$29:$GQ$29,0))</f>
        <v/>
      </c>
      <c r="BY8">
        <f>INDEX($B$22:$GQ$22,MATCH(76,$B$29:$GQ$29,0))</f>
        <v/>
      </c>
      <c r="BZ8">
        <f>INDEX($B$22:$GQ$22,MATCH(77,$B$29:$GQ$29,0))</f>
        <v/>
      </c>
      <c r="CA8">
        <f>INDEX($B$22:$GQ$22,MATCH(78,$B$29:$GQ$29,0))</f>
        <v/>
      </c>
      <c r="CB8">
        <f>INDEX($B$22:$GQ$22,MATCH(79,$B$29:$GQ$29,0))</f>
        <v/>
      </c>
      <c r="CC8">
        <f>INDEX($B$22:$GQ$22,MATCH(80,$B$29:$GQ$29,0))</f>
        <v/>
      </c>
      <c r="CD8">
        <f>INDEX($B$22:$GQ$22,MATCH(81,$B$29:$GQ$29,0))</f>
        <v/>
      </c>
      <c r="CE8">
        <f>INDEX($B$22:$GQ$22,MATCH(82,$B$29:$GQ$29,0))</f>
        <v/>
      </c>
      <c r="CF8">
        <f>INDEX($B$22:$GQ$22,MATCH(83,$B$29:$GQ$29,0))</f>
        <v/>
      </c>
      <c r="CG8">
        <f>INDEX($B$22:$GQ$22,MATCH(84,$B$29:$GQ$29,0))</f>
        <v/>
      </c>
      <c r="CH8">
        <f>INDEX($B$22:$GQ$22,MATCH(85,$B$29:$GQ$29,0))</f>
        <v/>
      </c>
      <c r="CI8">
        <f>INDEX($B$22:$GQ$22,MATCH(86,$B$29:$GQ$29,0))</f>
        <v/>
      </c>
      <c r="CJ8">
        <f>INDEX($B$22:$GQ$22,MATCH(87,$B$29:$GQ$29,0))</f>
        <v/>
      </c>
      <c r="CK8">
        <f>INDEX($B$22:$GQ$22,MATCH(88,$B$29:$GQ$29,0))</f>
        <v/>
      </c>
      <c r="CL8">
        <f>INDEX($B$22:$GQ$22,MATCH(89,$B$29:$GQ$29,0))</f>
        <v/>
      </c>
      <c r="CM8">
        <f>INDEX($B$22:$GQ$22,MATCH(90,$B$29:$GQ$29,0))</f>
        <v/>
      </c>
      <c r="CN8">
        <f>INDEX($B$22:$GQ$22,MATCH(91,$B$29:$GQ$29,0))</f>
        <v/>
      </c>
      <c r="CO8">
        <f>INDEX($B$22:$GQ$22,MATCH(92,$B$29:$GQ$29,0))</f>
        <v/>
      </c>
      <c r="CP8">
        <f>INDEX($B$22:$GQ$22,MATCH(93,$B$29:$GQ$29,0))</f>
        <v/>
      </c>
      <c r="CQ8">
        <f>INDEX($B$22:$GQ$22,MATCH(94,$B$29:$GQ$29,0))</f>
        <v/>
      </c>
      <c r="CR8">
        <f>INDEX($B$22:$GQ$22,MATCH(95,$B$29:$GQ$29,0))</f>
        <v/>
      </c>
      <c r="CS8">
        <f>INDEX($B$22:$GQ$22,MATCH(96,$B$29:$GQ$29,0))</f>
        <v/>
      </c>
      <c r="CT8">
        <f>INDEX($B$22:$GQ$22,MATCH(97,$B$29:$GQ$29,0))</f>
        <v/>
      </c>
      <c r="CU8">
        <f>INDEX($B$22:$GQ$22,MATCH(98,$B$29:$GQ$29,0))</f>
        <v/>
      </c>
      <c r="CV8">
        <f>INDEX($B$22:$GQ$22,MATCH(99,$B$29:$GQ$29,0))</f>
        <v/>
      </c>
      <c r="CW8">
        <f>INDEX($B$22:$GQ$22,MATCH(100,$B$29:$GQ$29,0))</f>
        <v/>
      </c>
      <c r="CX8">
        <f>INDEX($B$22:$GQ$22,MATCH(101,$B$29:$GQ$29,0))</f>
        <v/>
      </c>
      <c r="CY8">
        <f>INDEX($B$22:$GQ$22,MATCH(102,$B$29:$GQ$29,0))</f>
        <v/>
      </c>
      <c r="CZ8">
        <f>INDEX($B$22:$GQ$22,MATCH(103,$B$29:$GQ$29,0))</f>
        <v/>
      </c>
      <c r="DA8">
        <f>INDEX($B$22:$GQ$22,MATCH(104,$B$29:$GQ$29,0))</f>
        <v/>
      </c>
      <c r="DB8">
        <f>INDEX($B$22:$GQ$22,MATCH(105,$B$29:$GQ$29,0))</f>
        <v/>
      </c>
      <c r="DC8">
        <f>INDEX($B$22:$GQ$22,MATCH(106,$B$29:$GQ$29,0))</f>
        <v/>
      </c>
      <c r="DD8">
        <f>INDEX($B$22:$GQ$22,MATCH(107,$B$29:$GQ$29,0))</f>
        <v/>
      </c>
      <c r="DE8">
        <f>INDEX($B$22:$GQ$22,MATCH(108,$B$29:$GQ$29,0))</f>
        <v/>
      </c>
      <c r="DF8">
        <f>INDEX($B$22:$GQ$22,MATCH(109,$B$29:$GQ$29,0))</f>
        <v/>
      </c>
      <c r="DG8">
        <f>INDEX($B$22:$GQ$22,MATCH(110,$B$29:$GQ$29,0))</f>
        <v/>
      </c>
      <c r="DH8">
        <f>INDEX($B$22:$GQ$22,MATCH(111,$B$29:$GQ$29,0))</f>
        <v/>
      </c>
      <c r="DI8">
        <f>INDEX($B$22:$GQ$22,MATCH(112,$B$29:$GQ$29,0))</f>
        <v/>
      </c>
      <c r="DJ8">
        <f>INDEX($B$22:$GQ$22,MATCH(113,$B$29:$GQ$29,0))</f>
        <v/>
      </c>
      <c r="DK8">
        <f>INDEX($B$22:$GQ$22,MATCH(114,$B$29:$GQ$29,0))</f>
        <v/>
      </c>
      <c r="DL8">
        <f>INDEX($B$22:$GQ$22,MATCH(115,$B$29:$GQ$29,0))</f>
        <v/>
      </c>
      <c r="DM8">
        <f>INDEX($B$22:$GQ$22,MATCH(116,$B$29:$GQ$29,0))</f>
        <v/>
      </c>
      <c r="DN8">
        <f>INDEX($B$22:$GQ$22,MATCH(117,$B$29:$GQ$29,0))</f>
        <v/>
      </c>
      <c r="DO8">
        <f>INDEX($B$22:$GQ$22,MATCH(118,$B$29:$GQ$29,0))</f>
        <v/>
      </c>
      <c r="DP8">
        <f>INDEX($B$22:$GQ$22,MATCH(119,$B$29:$GQ$29,0))</f>
        <v/>
      </c>
      <c r="DQ8">
        <f>INDEX($B$22:$GQ$22,MATCH(120,$B$29:$GQ$29,0))</f>
        <v/>
      </c>
      <c r="DR8">
        <f>INDEX($B$22:$GQ$22,MATCH(121,$B$29:$GQ$29,0))</f>
        <v/>
      </c>
      <c r="DS8">
        <f>INDEX($B$22:$GQ$22,MATCH(122,$B$29:$GQ$29,0))</f>
        <v/>
      </c>
      <c r="DT8">
        <f>INDEX($B$22:$GQ$22,MATCH(123,$B$29:$GQ$29,0))</f>
        <v/>
      </c>
      <c r="DU8">
        <f>INDEX($B$22:$GQ$22,MATCH(124,$B$29:$GQ$29,0))</f>
        <v/>
      </c>
      <c r="DV8">
        <f>INDEX($B$22:$GQ$22,MATCH(125,$B$29:$GQ$29,0))</f>
        <v/>
      </c>
      <c r="DW8">
        <f>INDEX($B$22:$GQ$22,MATCH(126,$B$29:$GQ$29,0))</f>
        <v/>
      </c>
      <c r="DX8">
        <f>INDEX($B$22:$GQ$22,MATCH(127,$B$29:$GQ$29,0))</f>
        <v/>
      </c>
      <c r="DY8">
        <f>INDEX($B$22:$GQ$22,MATCH(128,$B$29:$GQ$29,0))</f>
        <v/>
      </c>
      <c r="DZ8">
        <f>INDEX($B$22:$GQ$22,MATCH(129,$B$29:$GQ$29,0))</f>
        <v/>
      </c>
      <c r="EA8">
        <f>INDEX($B$22:$GQ$22,MATCH(130,$B$29:$GQ$29,0))</f>
        <v/>
      </c>
      <c r="EB8">
        <f>INDEX($B$22:$GQ$22,MATCH(131,$B$29:$GQ$29,0))</f>
        <v/>
      </c>
      <c r="EC8">
        <f>INDEX($B$22:$GQ$22,MATCH(132,$B$29:$GQ$29,0))</f>
        <v/>
      </c>
      <c r="ED8">
        <f>INDEX($B$22:$GQ$22,MATCH(133,$B$29:$GQ$29,0))</f>
        <v/>
      </c>
      <c r="EE8">
        <f>INDEX($B$22:$GQ$22,MATCH(134,$B$29:$GQ$29,0))</f>
        <v/>
      </c>
      <c r="EF8">
        <f>INDEX($B$22:$GQ$22,MATCH(135,$B$29:$GQ$29,0))</f>
        <v/>
      </c>
      <c r="EG8">
        <f>INDEX($B$22:$GQ$22,MATCH(136,$B$29:$GQ$29,0))</f>
        <v/>
      </c>
      <c r="EH8">
        <f>INDEX($B$22:$GQ$22,MATCH(137,$B$29:$GQ$29,0))</f>
        <v/>
      </c>
      <c r="EI8">
        <f>INDEX($B$22:$GQ$22,MATCH(138,$B$29:$GQ$29,0))</f>
        <v/>
      </c>
      <c r="EJ8">
        <f>INDEX($B$22:$GQ$22,MATCH(139,$B$29:$GQ$29,0))</f>
        <v/>
      </c>
      <c r="EK8">
        <f>INDEX($B$22:$GQ$22,MATCH(140,$B$29:$GQ$29,0))</f>
        <v/>
      </c>
      <c r="EL8">
        <f>INDEX($B$22:$GQ$22,MATCH(141,$B$29:$GQ$29,0))</f>
        <v/>
      </c>
      <c r="EM8">
        <f>INDEX($B$22:$GQ$22,MATCH(142,$B$29:$GQ$29,0))</f>
        <v/>
      </c>
      <c r="EN8">
        <f>INDEX($B$22:$GQ$22,MATCH(143,$B$29:$GQ$29,0))</f>
        <v/>
      </c>
      <c r="EO8">
        <f>INDEX($B$22:$GQ$22,MATCH(144,$B$29:$GQ$29,0))</f>
        <v/>
      </c>
      <c r="EP8">
        <f>INDEX($B$22:$GQ$22,MATCH(145,$B$29:$GQ$29,0))</f>
        <v/>
      </c>
      <c r="EQ8">
        <f>INDEX($B$22:$GQ$22,MATCH(146,$B$29:$GQ$29,0))</f>
        <v/>
      </c>
      <c r="ER8">
        <f>INDEX($B$22:$GQ$22,MATCH(147,$B$29:$GQ$29,0))</f>
        <v/>
      </c>
      <c r="ES8">
        <f>INDEX($B$22:$GQ$22,MATCH(148,$B$29:$GQ$29,0))</f>
        <v/>
      </c>
      <c r="ET8">
        <f>INDEX($B$22:$GQ$22,MATCH(149,$B$29:$GQ$29,0))</f>
        <v/>
      </c>
      <c r="EU8">
        <f>INDEX($B$22:$GQ$22,MATCH(150,$B$29:$GQ$29,0))</f>
        <v/>
      </c>
      <c r="EV8">
        <f>INDEX($B$22:$GQ$22,MATCH(151,$B$29:$GQ$29,0))</f>
        <v/>
      </c>
      <c r="EW8">
        <f>INDEX($B$22:$GQ$22,MATCH(152,$B$29:$GQ$29,0))</f>
        <v/>
      </c>
      <c r="EX8">
        <f>INDEX($B$22:$GQ$22,MATCH(153,$B$29:$GQ$29,0))</f>
        <v/>
      </c>
      <c r="EY8">
        <f>INDEX($B$22:$GQ$22,MATCH(154,$B$29:$GQ$29,0))</f>
        <v/>
      </c>
      <c r="EZ8">
        <f>INDEX($B$22:$GQ$22,MATCH(155,$B$29:$GQ$29,0))</f>
        <v/>
      </c>
      <c r="FA8">
        <f>INDEX($B$22:$GQ$22,MATCH(156,$B$29:$GQ$29,0))</f>
        <v/>
      </c>
      <c r="FB8">
        <f>INDEX($B$22:$GQ$22,MATCH(157,$B$29:$GQ$29,0))</f>
        <v/>
      </c>
      <c r="FC8">
        <f>INDEX($B$22:$GQ$22,MATCH(158,$B$29:$GQ$29,0))</f>
        <v/>
      </c>
      <c r="FD8">
        <f>INDEX($B$22:$GQ$22,MATCH(159,$B$29:$GQ$29,0))</f>
        <v/>
      </c>
      <c r="FE8">
        <f>INDEX($B$22:$GQ$22,MATCH(160,$B$29:$GQ$29,0))</f>
        <v/>
      </c>
      <c r="FF8">
        <f>INDEX($B$22:$GQ$22,MATCH(161,$B$29:$GQ$29,0))</f>
        <v/>
      </c>
      <c r="FG8">
        <f>INDEX($B$22:$GQ$22,MATCH(162,$B$29:$GQ$29,0))</f>
        <v/>
      </c>
      <c r="FH8">
        <f>INDEX($B$22:$GQ$22,MATCH(163,$B$29:$GQ$29,0))</f>
        <v/>
      </c>
      <c r="FI8">
        <f>INDEX($B$22:$GQ$22,MATCH(164,$B$29:$GQ$29,0))</f>
        <v/>
      </c>
      <c r="FJ8">
        <f>INDEX($B$22:$GQ$22,MATCH(165,$B$29:$GQ$29,0))</f>
        <v/>
      </c>
      <c r="FK8">
        <f>INDEX($B$22:$GQ$22,MATCH(166,$B$29:$GQ$29,0))</f>
        <v/>
      </c>
      <c r="FL8">
        <f>INDEX($B$22:$GQ$22,MATCH(167,$B$29:$GQ$29,0))</f>
        <v/>
      </c>
      <c r="FM8">
        <f>INDEX($B$22:$GQ$22,MATCH(168,$B$29:$GQ$29,0))</f>
        <v/>
      </c>
      <c r="FN8">
        <f>INDEX($B$22:$GQ$22,MATCH(169,$B$29:$GQ$29,0))</f>
        <v/>
      </c>
      <c r="FO8">
        <f>INDEX($B$22:$GQ$22,MATCH(170,$B$29:$GQ$29,0))</f>
        <v/>
      </c>
      <c r="FP8">
        <f>INDEX($B$22:$GQ$22,MATCH(171,$B$29:$GQ$29,0))</f>
        <v/>
      </c>
      <c r="FQ8">
        <f>INDEX($B$22:$GQ$22,MATCH(172,$B$29:$GQ$29,0))</f>
        <v/>
      </c>
      <c r="FR8">
        <f>INDEX($B$22:$GQ$22,MATCH(173,$B$29:$GQ$29,0))</f>
        <v/>
      </c>
      <c r="FS8">
        <f>INDEX($B$22:$GQ$22,MATCH(174,$B$29:$GQ$29,0))</f>
        <v/>
      </c>
      <c r="FT8">
        <f>INDEX($B$22:$GQ$22,MATCH(175,$B$29:$GQ$29,0))</f>
        <v/>
      </c>
      <c r="FU8">
        <f>INDEX($B$22:$GQ$22,MATCH(176,$B$29:$GQ$29,0))</f>
        <v/>
      </c>
      <c r="FV8">
        <f>INDEX($B$22:$GQ$22,MATCH(177,$B$29:$GQ$29,0))</f>
        <v/>
      </c>
      <c r="FW8">
        <f>INDEX($B$22:$GQ$22,MATCH(178,$B$29:$GQ$29,0))</f>
        <v/>
      </c>
      <c r="FX8">
        <f>INDEX($B$22:$GQ$22,MATCH(179,$B$29:$GQ$29,0))</f>
        <v/>
      </c>
      <c r="FY8">
        <f>INDEX($B$22:$GQ$22,MATCH(180,$B$29:$GQ$29,0))</f>
        <v/>
      </c>
      <c r="FZ8">
        <f>INDEX($B$22:$GQ$22,MATCH(181,$B$29:$GQ$29,0))</f>
        <v/>
      </c>
      <c r="GA8">
        <f>INDEX($B$22:$GQ$22,MATCH(182,$B$29:$GQ$29,0))</f>
        <v/>
      </c>
      <c r="GB8">
        <f>INDEX($B$22:$GQ$22,MATCH(183,$B$29:$GQ$29,0))</f>
        <v/>
      </c>
      <c r="GC8">
        <f>INDEX($B$22:$GQ$22,MATCH(184,$B$29:$GQ$29,0))</f>
        <v/>
      </c>
      <c r="GD8">
        <f>INDEX($B$22:$GQ$22,MATCH(185,$B$29:$GQ$29,0))</f>
        <v/>
      </c>
      <c r="GE8">
        <f>INDEX($B$22:$GQ$22,MATCH(186,$B$29:$GQ$29,0))</f>
        <v/>
      </c>
      <c r="GF8">
        <f>INDEX($B$22:$GQ$22,MATCH(187,$B$29:$GQ$29,0))</f>
        <v/>
      </c>
      <c r="GG8">
        <f>INDEX($B$22:$GQ$22,MATCH(188,$B$29:$GQ$29,0))</f>
        <v/>
      </c>
      <c r="GH8">
        <f>INDEX($B$22:$GQ$22,MATCH(189,$B$29:$GQ$29,0))</f>
        <v/>
      </c>
      <c r="GI8">
        <f>INDEX($B$22:$GQ$22,MATCH(190,$B$29:$GQ$29,0))</f>
        <v/>
      </c>
      <c r="GJ8">
        <f>INDEX($B$22:$GQ$22,MATCH(191,$B$29:$GQ$29,0))</f>
        <v/>
      </c>
      <c r="GK8">
        <f>INDEX($B$22:$GQ$22,MATCH(192,$B$29:$GQ$29,0))</f>
        <v/>
      </c>
      <c r="GL8">
        <f>INDEX($B$22:$GQ$22,MATCH(193,$B$29:$GQ$29,0))</f>
        <v/>
      </c>
      <c r="GM8">
        <f>INDEX($B$22:$GQ$22,MATCH(194,$B$29:$GQ$29,0))</f>
        <v/>
      </c>
      <c r="GN8">
        <f>INDEX($B$22:$GQ$22,MATCH(195,$B$29:$GQ$29,0))</f>
        <v/>
      </c>
      <c r="GO8">
        <f>INDEX($B$22:$GQ$22,MATCH(196,$B$29:$GQ$29,0))</f>
        <v/>
      </c>
      <c r="GP8">
        <f>INDEX($B$22:$GQ$22,MATCH(197,$B$29:$GQ$29,0))</f>
        <v/>
      </c>
      <c r="GQ8">
        <f>INDEX($B$22:$GQ$22,MATCH(198,$B$29:$GQ$29,0))</f>
        <v/>
      </c>
      <c r="GR8">
        <f>INDEX($GR$22:$HC$22,MATCH(1,$GR$30:$HC$30,0))</f>
        <v/>
      </c>
      <c r="GS8">
        <f>INDEX($GR$22:$HC$22,MATCH(2,$GR$30:$HC$30,0))</f>
        <v/>
      </c>
      <c r="GT8">
        <f>INDEX($GR$22:$HC$22,MATCH(3,$GR$30:$HC$30,0))</f>
        <v/>
      </c>
      <c r="GU8">
        <f>INDEX($GR$22:$HC$22,MATCH(4,$GR$30:$HC$30,0))</f>
        <v/>
      </c>
      <c r="GV8">
        <f>INDEX($GR$22:$HC$22,MATCH(5,$GR$30:$HC$30,0))</f>
        <v/>
      </c>
      <c r="GW8">
        <f>INDEX($GR$22:$HC$22,MATCH(6,$GR$30:$HC$30,0))</f>
        <v/>
      </c>
      <c r="GX8">
        <f>INDEX($GR$22:$HC$22,MATCH(7,$GR$30:$HC$30,0))</f>
        <v/>
      </c>
      <c r="GY8">
        <f>INDEX($GR$22:$HC$22,MATCH(8,$GR$30:$HC$30,0))</f>
        <v/>
      </c>
      <c r="GZ8">
        <f>INDEX($GR$22:$HC$22,MATCH(9,$GR$30:$HC$30,0))</f>
        <v/>
      </c>
      <c r="HA8">
        <f>INDEX($GR$22:$HC$22,MATCH(10,$GR$30:$HC$30,0))</f>
        <v/>
      </c>
      <c r="HB8">
        <f>INDEX($GR$22:$HC$22,MATCH(11,$GR$30:$HC$30,0))</f>
        <v/>
      </c>
      <c r="HC8">
        <f>INDEX($GR$22:$HC$22,MATCH(12,$GR$30:$HC$30,0))</f>
        <v/>
      </c>
    </row>
    <row r="9">
      <c r="A9" s="1" t="inlineStr">
        <is>
          <t>M_imp*Y_dom</t>
        </is>
      </c>
      <c r="B9">
        <f>INDEX($B$23:$GQ$23,MATCH(1,$B$29:$GQ$29,0))</f>
        <v/>
      </c>
      <c r="C9">
        <f>INDEX($B$23:$GQ$23,MATCH(2,$B$29:$GQ$29,0))</f>
        <v/>
      </c>
      <c r="D9">
        <f>INDEX($B$23:$GQ$23,MATCH(3,$B$29:$GQ$29,0))</f>
        <v/>
      </c>
      <c r="E9">
        <f>INDEX($B$23:$GQ$23,MATCH(4,$B$29:$GQ$29,0))</f>
        <v/>
      </c>
      <c r="F9">
        <f>INDEX($B$23:$GQ$23,MATCH(5,$B$29:$GQ$29,0))</f>
        <v/>
      </c>
      <c r="G9">
        <f>INDEX($B$23:$GQ$23,MATCH(6,$B$29:$GQ$29,0))</f>
        <v/>
      </c>
      <c r="H9">
        <f>INDEX($B$23:$GQ$23,MATCH(7,$B$29:$GQ$29,0))</f>
        <v/>
      </c>
      <c r="I9">
        <f>INDEX($B$23:$GQ$23,MATCH(8,$B$29:$GQ$29,0))</f>
        <v/>
      </c>
      <c r="J9">
        <f>INDEX($B$23:$GQ$23,MATCH(9,$B$29:$GQ$29,0))</f>
        <v/>
      </c>
      <c r="K9">
        <f>INDEX($B$23:$GQ$23,MATCH(10,$B$29:$GQ$29,0))</f>
        <v/>
      </c>
      <c r="L9">
        <f>INDEX($B$23:$GQ$23,MATCH(11,$B$29:$GQ$29,0))</f>
        <v/>
      </c>
      <c r="M9">
        <f>INDEX($B$23:$GQ$23,MATCH(12,$B$29:$GQ$29,0))</f>
        <v/>
      </c>
      <c r="N9">
        <f>INDEX($B$23:$GQ$23,MATCH(13,$B$29:$GQ$29,0))</f>
        <v/>
      </c>
      <c r="O9">
        <f>INDEX($B$23:$GQ$23,MATCH(14,$B$29:$GQ$29,0))</f>
        <v/>
      </c>
      <c r="P9">
        <f>INDEX($B$23:$GQ$23,MATCH(15,$B$29:$GQ$29,0))</f>
        <v/>
      </c>
      <c r="Q9">
        <f>INDEX($B$23:$GQ$23,MATCH(16,$B$29:$GQ$29,0))</f>
        <v/>
      </c>
      <c r="R9">
        <f>INDEX($B$23:$GQ$23,MATCH(17,$B$29:$GQ$29,0))</f>
        <v/>
      </c>
      <c r="S9">
        <f>INDEX($B$23:$GQ$23,MATCH(18,$B$29:$GQ$29,0))</f>
        <v/>
      </c>
      <c r="T9">
        <f>INDEX($B$23:$GQ$23,MATCH(19,$B$29:$GQ$29,0))</f>
        <v/>
      </c>
      <c r="U9">
        <f>INDEX($B$23:$GQ$23,MATCH(20,$B$29:$GQ$29,0))</f>
        <v/>
      </c>
      <c r="V9">
        <f>INDEX($B$23:$GQ$23,MATCH(21,$B$29:$GQ$29,0))</f>
        <v/>
      </c>
      <c r="W9">
        <f>INDEX($B$23:$GQ$23,MATCH(22,$B$29:$GQ$29,0))</f>
        <v/>
      </c>
      <c r="X9">
        <f>INDEX($B$23:$GQ$23,MATCH(23,$B$29:$GQ$29,0))</f>
        <v/>
      </c>
      <c r="Y9">
        <f>INDEX($B$23:$GQ$23,MATCH(24,$B$29:$GQ$29,0))</f>
        <v/>
      </c>
      <c r="Z9">
        <f>INDEX($B$23:$GQ$23,MATCH(25,$B$29:$GQ$29,0))</f>
        <v/>
      </c>
      <c r="AA9">
        <f>INDEX($B$23:$GQ$23,MATCH(26,$B$29:$GQ$29,0))</f>
        <v/>
      </c>
      <c r="AB9">
        <f>INDEX($B$23:$GQ$23,MATCH(27,$B$29:$GQ$29,0))</f>
        <v/>
      </c>
      <c r="AC9">
        <f>INDEX($B$23:$GQ$23,MATCH(28,$B$29:$GQ$29,0))</f>
        <v/>
      </c>
      <c r="AD9">
        <f>INDEX($B$23:$GQ$23,MATCH(29,$B$29:$GQ$29,0))</f>
        <v/>
      </c>
      <c r="AE9">
        <f>INDEX($B$23:$GQ$23,MATCH(30,$B$29:$GQ$29,0))</f>
        <v/>
      </c>
      <c r="AF9">
        <f>INDEX($B$23:$GQ$23,MATCH(31,$B$29:$GQ$29,0))</f>
        <v/>
      </c>
      <c r="AG9">
        <f>INDEX($B$23:$GQ$23,MATCH(32,$B$29:$GQ$29,0))</f>
        <v/>
      </c>
      <c r="AH9">
        <f>INDEX($B$23:$GQ$23,MATCH(33,$B$29:$GQ$29,0))</f>
        <v/>
      </c>
      <c r="AI9">
        <f>INDEX($B$23:$GQ$23,MATCH(34,$B$29:$GQ$29,0))</f>
        <v/>
      </c>
      <c r="AJ9">
        <f>INDEX($B$23:$GQ$23,MATCH(35,$B$29:$GQ$29,0))</f>
        <v/>
      </c>
      <c r="AK9">
        <f>INDEX($B$23:$GQ$23,MATCH(36,$B$29:$GQ$29,0))</f>
        <v/>
      </c>
      <c r="AL9">
        <f>INDEX($B$23:$GQ$23,MATCH(37,$B$29:$GQ$29,0))</f>
        <v/>
      </c>
      <c r="AM9">
        <f>INDEX($B$23:$GQ$23,MATCH(38,$B$29:$GQ$29,0))</f>
        <v/>
      </c>
      <c r="AN9">
        <f>INDEX($B$23:$GQ$23,MATCH(39,$B$29:$GQ$29,0))</f>
        <v/>
      </c>
      <c r="AO9">
        <f>INDEX($B$23:$GQ$23,MATCH(40,$B$29:$GQ$29,0))</f>
        <v/>
      </c>
      <c r="AP9">
        <f>INDEX($B$23:$GQ$23,MATCH(41,$B$29:$GQ$29,0))</f>
        <v/>
      </c>
      <c r="AQ9">
        <f>INDEX($B$23:$GQ$23,MATCH(42,$B$29:$GQ$29,0))</f>
        <v/>
      </c>
      <c r="AR9">
        <f>INDEX($B$23:$GQ$23,MATCH(43,$B$29:$GQ$29,0))</f>
        <v/>
      </c>
      <c r="AS9">
        <f>INDEX($B$23:$GQ$23,MATCH(44,$B$29:$GQ$29,0))</f>
        <v/>
      </c>
      <c r="AT9">
        <f>INDEX($B$23:$GQ$23,MATCH(45,$B$29:$GQ$29,0))</f>
        <v/>
      </c>
      <c r="AU9">
        <f>INDEX($B$23:$GQ$23,MATCH(46,$B$29:$GQ$29,0))</f>
        <v/>
      </c>
      <c r="AV9">
        <f>INDEX($B$23:$GQ$23,MATCH(47,$B$29:$GQ$29,0))</f>
        <v/>
      </c>
      <c r="AW9">
        <f>INDEX($B$23:$GQ$23,MATCH(48,$B$29:$GQ$29,0))</f>
        <v/>
      </c>
      <c r="AX9">
        <f>INDEX($B$23:$GQ$23,MATCH(49,$B$29:$GQ$29,0))</f>
        <v/>
      </c>
      <c r="AY9">
        <f>INDEX($B$23:$GQ$23,MATCH(50,$B$29:$GQ$29,0))</f>
        <v/>
      </c>
      <c r="AZ9">
        <f>INDEX($B$23:$GQ$23,MATCH(51,$B$29:$GQ$29,0))</f>
        <v/>
      </c>
      <c r="BA9">
        <f>INDEX($B$23:$GQ$23,MATCH(52,$B$29:$GQ$29,0))</f>
        <v/>
      </c>
      <c r="BB9">
        <f>INDEX($B$23:$GQ$23,MATCH(53,$B$29:$GQ$29,0))</f>
        <v/>
      </c>
      <c r="BC9">
        <f>INDEX($B$23:$GQ$23,MATCH(54,$B$29:$GQ$29,0))</f>
        <v/>
      </c>
      <c r="BD9">
        <f>INDEX($B$23:$GQ$23,MATCH(55,$B$29:$GQ$29,0))</f>
        <v/>
      </c>
      <c r="BE9">
        <f>INDEX($B$23:$GQ$23,MATCH(56,$B$29:$GQ$29,0))</f>
        <v/>
      </c>
      <c r="BF9">
        <f>INDEX($B$23:$GQ$23,MATCH(57,$B$29:$GQ$29,0))</f>
        <v/>
      </c>
      <c r="BG9">
        <f>INDEX($B$23:$GQ$23,MATCH(58,$B$29:$GQ$29,0))</f>
        <v/>
      </c>
      <c r="BH9">
        <f>INDEX($B$23:$GQ$23,MATCH(59,$B$29:$GQ$29,0))</f>
        <v/>
      </c>
      <c r="BI9">
        <f>INDEX($B$23:$GQ$23,MATCH(60,$B$29:$GQ$29,0))</f>
        <v/>
      </c>
      <c r="BJ9">
        <f>INDEX($B$23:$GQ$23,MATCH(61,$B$29:$GQ$29,0))</f>
        <v/>
      </c>
      <c r="BK9">
        <f>INDEX($B$23:$GQ$23,MATCH(62,$B$29:$GQ$29,0))</f>
        <v/>
      </c>
      <c r="BL9">
        <f>INDEX($B$23:$GQ$23,MATCH(63,$B$29:$GQ$29,0))</f>
        <v/>
      </c>
      <c r="BM9">
        <f>INDEX($B$23:$GQ$23,MATCH(64,$B$29:$GQ$29,0))</f>
        <v/>
      </c>
      <c r="BN9">
        <f>INDEX($B$23:$GQ$23,MATCH(65,$B$29:$GQ$29,0))</f>
        <v/>
      </c>
      <c r="BO9">
        <f>INDEX($B$23:$GQ$23,MATCH(66,$B$29:$GQ$29,0))</f>
        <v/>
      </c>
      <c r="BP9">
        <f>INDEX($B$23:$GQ$23,MATCH(67,$B$29:$GQ$29,0))</f>
        <v/>
      </c>
      <c r="BQ9">
        <f>INDEX($B$23:$GQ$23,MATCH(68,$B$29:$GQ$29,0))</f>
        <v/>
      </c>
      <c r="BR9">
        <f>INDEX($B$23:$GQ$23,MATCH(69,$B$29:$GQ$29,0))</f>
        <v/>
      </c>
      <c r="BS9">
        <f>INDEX($B$23:$GQ$23,MATCH(70,$B$29:$GQ$29,0))</f>
        <v/>
      </c>
      <c r="BT9">
        <f>INDEX($B$23:$GQ$23,MATCH(71,$B$29:$GQ$29,0))</f>
        <v/>
      </c>
      <c r="BU9">
        <f>INDEX($B$23:$GQ$23,MATCH(72,$B$29:$GQ$29,0))</f>
        <v/>
      </c>
      <c r="BV9">
        <f>INDEX($B$23:$GQ$23,MATCH(73,$B$29:$GQ$29,0))</f>
        <v/>
      </c>
      <c r="BW9">
        <f>INDEX($B$23:$GQ$23,MATCH(74,$B$29:$GQ$29,0))</f>
        <v/>
      </c>
      <c r="BX9">
        <f>INDEX($B$23:$GQ$23,MATCH(75,$B$29:$GQ$29,0))</f>
        <v/>
      </c>
      <c r="BY9">
        <f>INDEX($B$23:$GQ$23,MATCH(76,$B$29:$GQ$29,0))</f>
        <v/>
      </c>
      <c r="BZ9">
        <f>INDEX($B$23:$GQ$23,MATCH(77,$B$29:$GQ$29,0))</f>
        <v/>
      </c>
      <c r="CA9">
        <f>INDEX($B$23:$GQ$23,MATCH(78,$B$29:$GQ$29,0))</f>
        <v/>
      </c>
      <c r="CB9">
        <f>INDEX($B$23:$GQ$23,MATCH(79,$B$29:$GQ$29,0))</f>
        <v/>
      </c>
      <c r="CC9">
        <f>INDEX($B$23:$GQ$23,MATCH(80,$B$29:$GQ$29,0))</f>
        <v/>
      </c>
      <c r="CD9">
        <f>INDEX($B$23:$GQ$23,MATCH(81,$B$29:$GQ$29,0))</f>
        <v/>
      </c>
      <c r="CE9">
        <f>INDEX($B$23:$GQ$23,MATCH(82,$B$29:$GQ$29,0))</f>
        <v/>
      </c>
      <c r="CF9">
        <f>INDEX($B$23:$GQ$23,MATCH(83,$B$29:$GQ$29,0))</f>
        <v/>
      </c>
      <c r="CG9">
        <f>INDEX($B$23:$GQ$23,MATCH(84,$B$29:$GQ$29,0))</f>
        <v/>
      </c>
      <c r="CH9">
        <f>INDEX($B$23:$GQ$23,MATCH(85,$B$29:$GQ$29,0))</f>
        <v/>
      </c>
      <c r="CI9">
        <f>INDEX($B$23:$GQ$23,MATCH(86,$B$29:$GQ$29,0))</f>
        <v/>
      </c>
      <c r="CJ9">
        <f>INDEX($B$23:$GQ$23,MATCH(87,$B$29:$GQ$29,0))</f>
        <v/>
      </c>
      <c r="CK9">
        <f>INDEX($B$23:$GQ$23,MATCH(88,$B$29:$GQ$29,0))</f>
        <v/>
      </c>
      <c r="CL9">
        <f>INDEX($B$23:$GQ$23,MATCH(89,$B$29:$GQ$29,0))</f>
        <v/>
      </c>
      <c r="CM9">
        <f>INDEX($B$23:$GQ$23,MATCH(90,$B$29:$GQ$29,0))</f>
        <v/>
      </c>
      <c r="CN9">
        <f>INDEX($B$23:$GQ$23,MATCH(91,$B$29:$GQ$29,0))</f>
        <v/>
      </c>
      <c r="CO9">
        <f>INDEX($B$23:$GQ$23,MATCH(92,$B$29:$GQ$29,0))</f>
        <v/>
      </c>
      <c r="CP9">
        <f>INDEX($B$23:$GQ$23,MATCH(93,$B$29:$GQ$29,0))</f>
        <v/>
      </c>
      <c r="CQ9">
        <f>INDEX($B$23:$GQ$23,MATCH(94,$B$29:$GQ$29,0))</f>
        <v/>
      </c>
      <c r="CR9">
        <f>INDEX($B$23:$GQ$23,MATCH(95,$B$29:$GQ$29,0))</f>
        <v/>
      </c>
      <c r="CS9">
        <f>INDEX($B$23:$GQ$23,MATCH(96,$B$29:$GQ$29,0))</f>
        <v/>
      </c>
      <c r="CT9">
        <f>INDEX($B$23:$GQ$23,MATCH(97,$B$29:$GQ$29,0))</f>
        <v/>
      </c>
      <c r="CU9">
        <f>INDEX($B$23:$GQ$23,MATCH(98,$B$29:$GQ$29,0))</f>
        <v/>
      </c>
      <c r="CV9">
        <f>INDEX($B$23:$GQ$23,MATCH(99,$B$29:$GQ$29,0))</f>
        <v/>
      </c>
      <c r="CW9">
        <f>INDEX($B$23:$GQ$23,MATCH(100,$B$29:$GQ$29,0))</f>
        <v/>
      </c>
      <c r="CX9">
        <f>INDEX($B$23:$GQ$23,MATCH(101,$B$29:$GQ$29,0))</f>
        <v/>
      </c>
      <c r="CY9">
        <f>INDEX($B$23:$GQ$23,MATCH(102,$B$29:$GQ$29,0))</f>
        <v/>
      </c>
      <c r="CZ9">
        <f>INDEX($B$23:$GQ$23,MATCH(103,$B$29:$GQ$29,0))</f>
        <v/>
      </c>
      <c r="DA9">
        <f>INDEX($B$23:$GQ$23,MATCH(104,$B$29:$GQ$29,0))</f>
        <v/>
      </c>
      <c r="DB9">
        <f>INDEX($B$23:$GQ$23,MATCH(105,$B$29:$GQ$29,0))</f>
        <v/>
      </c>
      <c r="DC9">
        <f>INDEX($B$23:$GQ$23,MATCH(106,$B$29:$GQ$29,0))</f>
        <v/>
      </c>
      <c r="DD9">
        <f>INDEX($B$23:$GQ$23,MATCH(107,$B$29:$GQ$29,0))</f>
        <v/>
      </c>
      <c r="DE9">
        <f>INDEX($B$23:$GQ$23,MATCH(108,$B$29:$GQ$29,0))</f>
        <v/>
      </c>
      <c r="DF9">
        <f>INDEX($B$23:$GQ$23,MATCH(109,$B$29:$GQ$29,0))</f>
        <v/>
      </c>
      <c r="DG9">
        <f>INDEX($B$23:$GQ$23,MATCH(110,$B$29:$GQ$29,0))</f>
        <v/>
      </c>
      <c r="DH9">
        <f>INDEX($B$23:$GQ$23,MATCH(111,$B$29:$GQ$29,0))</f>
        <v/>
      </c>
      <c r="DI9">
        <f>INDEX($B$23:$GQ$23,MATCH(112,$B$29:$GQ$29,0))</f>
        <v/>
      </c>
      <c r="DJ9">
        <f>INDEX($B$23:$GQ$23,MATCH(113,$B$29:$GQ$29,0))</f>
        <v/>
      </c>
      <c r="DK9">
        <f>INDEX($B$23:$GQ$23,MATCH(114,$B$29:$GQ$29,0))</f>
        <v/>
      </c>
      <c r="DL9">
        <f>INDEX($B$23:$GQ$23,MATCH(115,$B$29:$GQ$29,0))</f>
        <v/>
      </c>
      <c r="DM9">
        <f>INDEX($B$23:$GQ$23,MATCH(116,$B$29:$GQ$29,0))</f>
        <v/>
      </c>
      <c r="DN9">
        <f>INDEX($B$23:$GQ$23,MATCH(117,$B$29:$GQ$29,0))</f>
        <v/>
      </c>
      <c r="DO9">
        <f>INDEX($B$23:$GQ$23,MATCH(118,$B$29:$GQ$29,0))</f>
        <v/>
      </c>
      <c r="DP9">
        <f>INDEX($B$23:$GQ$23,MATCH(119,$B$29:$GQ$29,0))</f>
        <v/>
      </c>
      <c r="DQ9">
        <f>INDEX($B$23:$GQ$23,MATCH(120,$B$29:$GQ$29,0))</f>
        <v/>
      </c>
      <c r="DR9">
        <f>INDEX($B$23:$GQ$23,MATCH(121,$B$29:$GQ$29,0))</f>
        <v/>
      </c>
      <c r="DS9">
        <f>INDEX($B$23:$GQ$23,MATCH(122,$B$29:$GQ$29,0))</f>
        <v/>
      </c>
      <c r="DT9">
        <f>INDEX($B$23:$GQ$23,MATCH(123,$B$29:$GQ$29,0))</f>
        <v/>
      </c>
      <c r="DU9">
        <f>INDEX($B$23:$GQ$23,MATCH(124,$B$29:$GQ$29,0))</f>
        <v/>
      </c>
      <c r="DV9">
        <f>INDEX($B$23:$GQ$23,MATCH(125,$B$29:$GQ$29,0))</f>
        <v/>
      </c>
      <c r="DW9">
        <f>INDEX($B$23:$GQ$23,MATCH(126,$B$29:$GQ$29,0))</f>
        <v/>
      </c>
      <c r="DX9">
        <f>INDEX($B$23:$GQ$23,MATCH(127,$B$29:$GQ$29,0))</f>
        <v/>
      </c>
      <c r="DY9">
        <f>INDEX($B$23:$GQ$23,MATCH(128,$B$29:$GQ$29,0))</f>
        <v/>
      </c>
      <c r="DZ9">
        <f>INDEX($B$23:$GQ$23,MATCH(129,$B$29:$GQ$29,0))</f>
        <v/>
      </c>
      <c r="EA9">
        <f>INDEX($B$23:$GQ$23,MATCH(130,$B$29:$GQ$29,0))</f>
        <v/>
      </c>
      <c r="EB9">
        <f>INDEX($B$23:$GQ$23,MATCH(131,$B$29:$GQ$29,0))</f>
        <v/>
      </c>
      <c r="EC9">
        <f>INDEX($B$23:$GQ$23,MATCH(132,$B$29:$GQ$29,0))</f>
        <v/>
      </c>
      <c r="ED9">
        <f>INDEX($B$23:$GQ$23,MATCH(133,$B$29:$GQ$29,0))</f>
        <v/>
      </c>
      <c r="EE9">
        <f>INDEX($B$23:$GQ$23,MATCH(134,$B$29:$GQ$29,0))</f>
        <v/>
      </c>
      <c r="EF9">
        <f>INDEX($B$23:$GQ$23,MATCH(135,$B$29:$GQ$29,0))</f>
        <v/>
      </c>
      <c r="EG9">
        <f>INDEX($B$23:$GQ$23,MATCH(136,$B$29:$GQ$29,0))</f>
        <v/>
      </c>
      <c r="EH9">
        <f>INDEX($B$23:$GQ$23,MATCH(137,$B$29:$GQ$29,0))</f>
        <v/>
      </c>
      <c r="EI9">
        <f>INDEX($B$23:$GQ$23,MATCH(138,$B$29:$GQ$29,0))</f>
        <v/>
      </c>
      <c r="EJ9">
        <f>INDEX($B$23:$GQ$23,MATCH(139,$B$29:$GQ$29,0))</f>
        <v/>
      </c>
      <c r="EK9">
        <f>INDEX($B$23:$GQ$23,MATCH(140,$B$29:$GQ$29,0))</f>
        <v/>
      </c>
      <c r="EL9">
        <f>INDEX($B$23:$GQ$23,MATCH(141,$B$29:$GQ$29,0))</f>
        <v/>
      </c>
      <c r="EM9">
        <f>INDEX($B$23:$GQ$23,MATCH(142,$B$29:$GQ$29,0))</f>
        <v/>
      </c>
      <c r="EN9">
        <f>INDEX($B$23:$GQ$23,MATCH(143,$B$29:$GQ$29,0))</f>
        <v/>
      </c>
      <c r="EO9">
        <f>INDEX($B$23:$GQ$23,MATCH(144,$B$29:$GQ$29,0))</f>
        <v/>
      </c>
      <c r="EP9">
        <f>INDEX($B$23:$GQ$23,MATCH(145,$B$29:$GQ$29,0))</f>
        <v/>
      </c>
      <c r="EQ9">
        <f>INDEX($B$23:$GQ$23,MATCH(146,$B$29:$GQ$29,0))</f>
        <v/>
      </c>
      <c r="ER9">
        <f>INDEX($B$23:$GQ$23,MATCH(147,$B$29:$GQ$29,0))</f>
        <v/>
      </c>
      <c r="ES9">
        <f>INDEX($B$23:$GQ$23,MATCH(148,$B$29:$GQ$29,0))</f>
        <v/>
      </c>
      <c r="ET9">
        <f>INDEX($B$23:$GQ$23,MATCH(149,$B$29:$GQ$29,0))</f>
        <v/>
      </c>
      <c r="EU9">
        <f>INDEX($B$23:$GQ$23,MATCH(150,$B$29:$GQ$29,0))</f>
        <v/>
      </c>
      <c r="EV9">
        <f>INDEX($B$23:$GQ$23,MATCH(151,$B$29:$GQ$29,0))</f>
        <v/>
      </c>
      <c r="EW9">
        <f>INDEX($B$23:$GQ$23,MATCH(152,$B$29:$GQ$29,0))</f>
        <v/>
      </c>
      <c r="EX9">
        <f>INDEX($B$23:$GQ$23,MATCH(153,$B$29:$GQ$29,0))</f>
        <v/>
      </c>
      <c r="EY9">
        <f>INDEX($B$23:$GQ$23,MATCH(154,$B$29:$GQ$29,0))</f>
        <v/>
      </c>
      <c r="EZ9">
        <f>INDEX($B$23:$GQ$23,MATCH(155,$B$29:$GQ$29,0))</f>
        <v/>
      </c>
      <c r="FA9">
        <f>INDEX($B$23:$GQ$23,MATCH(156,$B$29:$GQ$29,0))</f>
        <v/>
      </c>
      <c r="FB9">
        <f>INDEX($B$23:$GQ$23,MATCH(157,$B$29:$GQ$29,0))</f>
        <v/>
      </c>
      <c r="FC9">
        <f>INDEX($B$23:$GQ$23,MATCH(158,$B$29:$GQ$29,0))</f>
        <v/>
      </c>
      <c r="FD9">
        <f>INDEX($B$23:$GQ$23,MATCH(159,$B$29:$GQ$29,0))</f>
        <v/>
      </c>
      <c r="FE9">
        <f>INDEX($B$23:$GQ$23,MATCH(160,$B$29:$GQ$29,0))</f>
        <v/>
      </c>
      <c r="FF9">
        <f>INDEX($B$23:$GQ$23,MATCH(161,$B$29:$GQ$29,0))</f>
        <v/>
      </c>
      <c r="FG9">
        <f>INDEX($B$23:$GQ$23,MATCH(162,$B$29:$GQ$29,0))</f>
        <v/>
      </c>
      <c r="FH9">
        <f>INDEX($B$23:$GQ$23,MATCH(163,$B$29:$GQ$29,0))</f>
        <v/>
      </c>
      <c r="FI9">
        <f>INDEX($B$23:$GQ$23,MATCH(164,$B$29:$GQ$29,0))</f>
        <v/>
      </c>
      <c r="FJ9">
        <f>INDEX($B$23:$GQ$23,MATCH(165,$B$29:$GQ$29,0))</f>
        <v/>
      </c>
      <c r="FK9">
        <f>INDEX($B$23:$GQ$23,MATCH(166,$B$29:$GQ$29,0))</f>
        <v/>
      </c>
      <c r="FL9">
        <f>INDEX($B$23:$GQ$23,MATCH(167,$B$29:$GQ$29,0))</f>
        <v/>
      </c>
      <c r="FM9">
        <f>INDEX($B$23:$GQ$23,MATCH(168,$B$29:$GQ$29,0))</f>
        <v/>
      </c>
      <c r="FN9">
        <f>INDEX($B$23:$GQ$23,MATCH(169,$B$29:$GQ$29,0))</f>
        <v/>
      </c>
      <c r="FO9">
        <f>INDEX($B$23:$GQ$23,MATCH(170,$B$29:$GQ$29,0))</f>
        <v/>
      </c>
      <c r="FP9">
        <f>INDEX($B$23:$GQ$23,MATCH(171,$B$29:$GQ$29,0))</f>
        <v/>
      </c>
      <c r="FQ9">
        <f>INDEX($B$23:$GQ$23,MATCH(172,$B$29:$GQ$29,0))</f>
        <v/>
      </c>
      <c r="FR9">
        <f>INDEX($B$23:$GQ$23,MATCH(173,$B$29:$GQ$29,0))</f>
        <v/>
      </c>
      <c r="FS9">
        <f>INDEX($B$23:$GQ$23,MATCH(174,$B$29:$GQ$29,0))</f>
        <v/>
      </c>
      <c r="FT9">
        <f>INDEX($B$23:$GQ$23,MATCH(175,$B$29:$GQ$29,0))</f>
        <v/>
      </c>
      <c r="FU9">
        <f>INDEX($B$23:$GQ$23,MATCH(176,$B$29:$GQ$29,0))</f>
        <v/>
      </c>
      <c r="FV9">
        <f>INDEX($B$23:$GQ$23,MATCH(177,$B$29:$GQ$29,0))</f>
        <v/>
      </c>
      <c r="FW9">
        <f>INDEX($B$23:$GQ$23,MATCH(178,$B$29:$GQ$29,0))</f>
        <v/>
      </c>
      <c r="FX9">
        <f>INDEX($B$23:$GQ$23,MATCH(179,$B$29:$GQ$29,0))</f>
        <v/>
      </c>
      <c r="FY9">
        <f>INDEX($B$23:$GQ$23,MATCH(180,$B$29:$GQ$29,0))</f>
        <v/>
      </c>
      <c r="FZ9">
        <f>INDEX($B$23:$GQ$23,MATCH(181,$B$29:$GQ$29,0))</f>
        <v/>
      </c>
      <c r="GA9">
        <f>INDEX($B$23:$GQ$23,MATCH(182,$B$29:$GQ$29,0))</f>
        <v/>
      </c>
      <c r="GB9">
        <f>INDEX($B$23:$GQ$23,MATCH(183,$B$29:$GQ$29,0))</f>
        <v/>
      </c>
      <c r="GC9">
        <f>INDEX($B$23:$GQ$23,MATCH(184,$B$29:$GQ$29,0))</f>
        <v/>
      </c>
      <c r="GD9">
        <f>INDEX($B$23:$GQ$23,MATCH(185,$B$29:$GQ$29,0))</f>
        <v/>
      </c>
      <c r="GE9">
        <f>INDEX($B$23:$GQ$23,MATCH(186,$B$29:$GQ$29,0))</f>
        <v/>
      </c>
      <c r="GF9">
        <f>INDEX($B$23:$GQ$23,MATCH(187,$B$29:$GQ$29,0))</f>
        <v/>
      </c>
      <c r="GG9">
        <f>INDEX($B$23:$GQ$23,MATCH(188,$B$29:$GQ$29,0))</f>
        <v/>
      </c>
      <c r="GH9">
        <f>INDEX($B$23:$GQ$23,MATCH(189,$B$29:$GQ$29,0))</f>
        <v/>
      </c>
      <c r="GI9">
        <f>INDEX($B$23:$GQ$23,MATCH(190,$B$29:$GQ$29,0))</f>
        <v/>
      </c>
      <c r="GJ9">
        <f>INDEX($B$23:$GQ$23,MATCH(191,$B$29:$GQ$29,0))</f>
        <v/>
      </c>
      <c r="GK9">
        <f>INDEX($B$23:$GQ$23,MATCH(192,$B$29:$GQ$29,0))</f>
        <v/>
      </c>
      <c r="GL9">
        <f>INDEX($B$23:$GQ$23,MATCH(193,$B$29:$GQ$29,0))</f>
        <v/>
      </c>
      <c r="GM9">
        <f>INDEX($B$23:$GQ$23,MATCH(194,$B$29:$GQ$29,0))</f>
        <v/>
      </c>
      <c r="GN9">
        <f>INDEX($B$23:$GQ$23,MATCH(195,$B$29:$GQ$29,0))</f>
        <v/>
      </c>
      <c r="GO9">
        <f>INDEX($B$23:$GQ$23,MATCH(196,$B$29:$GQ$29,0))</f>
        <v/>
      </c>
      <c r="GP9">
        <f>INDEX($B$23:$GQ$23,MATCH(197,$B$29:$GQ$29,0))</f>
        <v/>
      </c>
      <c r="GQ9">
        <f>INDEX($B$23:$GQ$23,MATCH(198,$B$29:$GQ$29,0))</f>
        <v/>
      </c>
      <c r="GR9">
        <f>INDEX($GR$23:$HC$23,MATCH(1,$GR$30:$HC$30,0))</f>
        <v/>
      </c>
      <c r="GS9">
        <f>INDEX($GR$23:$HC$23,MATCH(2,$GR$30:$HC$30,0))</f>
        <v/>
      </c>
      <c r="GT9">
        <f>INDEX($GR$23:$HC$23,MATCH(3,$GR$30:$HC$30,0))</f>
        <v/>
      </c>
      <c r="GU9">
        <f>INDEX($GR$23:$HC$23,MATCH(4,$GR$30:$HC$30,0))</f>
        <v/>
      </c>
      <c r="GV9">
        <f>INDEX($GR$23:$HC$23,MATCH(5,$GR$30:$HC$30,0))</f>
        <v/>
      </c>
      <c r="GW9">
        <f>INDEX($GR$23:$HC$23,MATCH(6,$GR$30:$HC$30,0))</f>
        <v/>
      </c>
      <c r="GX9">
        <f>INDEX($GR$23:$HC$23,MATCH(7,$GR$30:$HC$30,0))</f>
        <v/>
      </c>
      <c r="GY9">
        <f>INDEX($GR$23:$HC$23,MATCH(8,$GR$30:$HC$30,0))</f>
        <v/>
      </c>
      <c r="GZ9">
        <f>INDEX($GR$23:$HC$23,MATCH(9,$GR$30:$HC$30,0))</f>
        <v/>
      </c>
      <c r="HA9">
        <f>INDEX($GR$23:$HC$23,MATCH(10,$GR$30:$HC$30,0))</f>
        <v/>
      </c>
      <c r="HB9">
        <f>INDEX($GR$23:$HC$23,MATCH(11,$GR$30:$HC$30,0))</f>
        <v/>
      </c>
      <c r="HC9">
        <f>INDEX($GR$23:$HC$23,MATCH(12,$GR$30:$HC$30,0))</f>
        <v/>
      </c>
    </row>
    <row r="10">
      <c r="A10" s="1" t="inlineStr">
        <is>
          <t>M_dom*Y_dom</t>
        </is>
      </c>
      <c r="B10">
        <f>INDEX($B$24:$GQ$24,MATCH(1,$B$29:$GQ$29,0))</f>
        <v/>
      </c>
      <c r="C10">
        <f>INDEX($B$24:$GQ$24,MATCH(2,$B$29:$GQ$29,0))</f>
        <v/>
      </c>
      <c r="D10">
        <f>INDEX($B$24:$GQ$24,MATCH(3,$B$29:$GQ$29,0))</f>
        <v/>
      </c>
      <c r="E10">
        <f>INDEX($B$24:$GQ$24,MATCH(4,$B$29:$GQ$29,0))</f>
        <v/>
      </c>
      <c r="F10">
        <f>INDEX($B$24:$GQ$24,MATCH(5,$B$29:$GQ$29,0))</f>
        <v/>
      </c>
      <c r="G10">
        <f>INDEX($B$24:$GQ$24,MATCH(6,$B$29:$GQ$29,0))</f>
        <v/>
      </c>
      <c r="H10">
        <f>INDEX($B$24:$GQ$24,MATCH(7,$B$29:$GQ$29,0))</f>
        <v/>
      </c>
      <c r="I10">
        <f>INDEX($B$24:$GQ$24,MATCH(8,$B$29:$GQ$29,0))</f>
        <v/>
      </c>
      <c r="J10">
        <f>INDEX($B$24:$GQ$24,MATCH(9,$B$29:$GQ$29,0))</f>
        <v/>
      </c>
      <c r="K10">
        <f>INDEX($B$24:$GQ$24,MATCH(10,$B$29:$GQ$29,0))</f>
        <v/>
      </c>
      <c r="L10">
        <f>INDEX($B$24:$GQ$24,MATCH(11,$B$29:$GQ$29,0))</f>
        <v/>
      </c>
      <c r="M10">
        <f>INDEX($B$24:$GQ$24,MATCH(12,$B$29:$GQ$29,0))</f>
        <v/>
      </c>
      <c r="N10">
        <f>INDEX($B$24:$GQ$24,MATCH(13,$B$29:$GQ$29,0))</f>
        <v/>
      </c>
      <c r="O10">
        <f>INDEX($B$24:$GQ$24,MATCH(14,$B$29:$GQ$29,0))</f>
        <v/>
      </c>
      <c r="P10">
        <f>INDEX($B$24:$GQ$24,MATCH(15,$B$29:$GQ$29,0))</f>
        <v/>
      </c>
      <c r="Q10">
        <f>INDEX($B$24:$GQ$24,MATCH(16,$B$29:$GQ$29,0))</f>
        <v/>
      </c>
      <c r="R10">
        <f>INDEX($B$24:$GQ$24,MATCH(17,$B$29:$GQ$29,0))</f>
        <v/>
      </c>
      <c r="S10">
        <f>INDEX($B$24:$GQ$24,MATCH(18,$B$29:$GQ$29,0))</f>
        <v/>
      </c>
      <c r="T10">
        <f>INDEX($B$24:$GQ$24,MATCH(19,$B$29:$GQ$29,0))</f>
        <v/>
      </c>
      <c r="U10">
        <f>INDEX($B$24:$GQ$24,MATCH(20,$B$29:$GQ$29,0))</f>
        <v/>
      </c>
      <c r="V10">
        <f>INDEX($B$24:$GQ$24,MATCH(21,$B$29:$GQ$29,0))</f>
        <v/>
      </c>
      <c r="W10">
        <f>INDEX($B$24:$GQ$24,MATCH(22,$B$29:$GQ$29,0))</f>
        <v/>
      </c>
      <c r="X10">
        <f>INDEX($B$24:$GQ$24,MATCH(23,$B$29:$GQ$29,0))</f>
        <v/>
      </c>
      <c r="Y10">
        <f>INDEX($B$24:$GQ$24,MATCH(24,$B$29:$GQ$29,0))</f>
        <v/>
      </c>
      <c r="Z10">
        <f>INDEX($B$24:$GQ$24,MATCH(25,$B$29:$GQ$29,0))</f>
        <v/>
      </c>
      <c r="AA10">
        <f>INDEX($B$24:$GQ$24,MATCH(26,$B$29:$GQ$29,0))</f>
        <v/>
      </c>
      <c r="AB10">
        <f>INDEX($B$24:$GQ$24,MATCH(27,$B$29:$GQ$29,0))</f>
        <v/>
      </c>
      <c r="AC10">
        <f>INDEX($B$24:$GQ$24,MATCH(28,$B$29:$GQ$29,0))</f>
        <v/>
      </c>
      <c r="AD10">
        <f>INDEX($B$24:$GQ$24,MATCH(29,$B$29:$GQ$29,0))</f>
        <v/>
      </c>
      <c r="AE10">
        <f>INDEX($B$24:$GQ$24,MATCH(30,$B$29:$GQ$29,0))</f>
        <v/>
      </c>
      <c r="AF10">
        <f>INDEX($B$24:$GQ$24,MATCH(31,$B$29:$GQ$29,0))</f>
        <v/>
      </c>
      <c r="AG10">
        <f>INDEX($B$24:$GQ$24,MATCH(32,$B$29:$GQ$29,0))</f>
        <v/>
      </c>
      <c r="AH10">
        <f>INDEX($B$24:$GQ$24,MATCH(33,$B$29:$GQ$29,0))</f>
        <v/>
      </c>
      <c r="AI10">
        <f>INDEX($B$24:$GQ$24,MATCH(34,$B$29:$GQ$29,0))</f>
        <v/>
      </c>
      <c r="AJ10">
        <f>INDEX($B$24:$GQ$24,MATCH(35,$B$29:$GQ$29,0))</f>
        <v/>
      </c>
      <c r="AK10">
        <f>INDEX($B$24:$GQ$24,MATCH(36,$B$29:$GQ$29,0))</f>
        <v/>
      </c>
      <c r="AL10">
        <f>INDEX($B$24:$GQ$24,MATCH(37,$B$29:$GQ$29,0))</f>
        <v/>
      </c>
      <c r="AM10">
        <f>INDEX($B$24:$GQ$24,MATCH(38,$B$29:$GQ$29,0))</f>
        <v/>
      </c>
      <c r="AN10">
        <f>INDEX($B$24:$GQ$24,MATCH(39,$B$29:$GQ$29,0))</f>
        <v/>
      </c>
      <c r="AO10">
        <f>INDEX($B$24:$GQ$24,MATCH(40,$B$29:$GQ$29,0))</f>
        <v/>
      </c>
      <c r="AP10">
        <f>INDEX($B$24:$GQ$24,MATCH(41,$B$29:$GQ$29,0))</f>
        <v/>
      </c>
      <c r="AQ10">
        <f>INDEX($B$24:$GQ$24,MATCH(42,$B$29:$GQ$29,0))</f>
        <v/>
      </c>
      <c r="AR10">
        <f>INDEX($B$24:$GQ$24,MATCH(43,$B$29:$GQ$29,0))</f>
        <v/>
      </c>
      <c r="AS10">
        <f>INDEX($B$24:$GQ$24,MATCH(44,$B$29:$GQ$29,0))</f>
        <v/>
      </c>
      <c r="AT10">
        <f>INDEX($B$24:$GQ$24,MATCH(45,$B$29:$GQ$29,0))</f>
        <v/>
      </c>
      <c r="AU10">
        <f>INDEX($B$24:$GQ$24,MATCH(46,$B$29:$GQ$29,0))</f>
        <v/>
      </c>
      <c r="AV10">
        <f>INDEX($B$24:$GQ$24,MATCH(47,$B$29:$GQ$29,0))</f>
        <v/>
      </c>
      <c r="AW10">
        <f>INDEX($B$24:$GQ$24,MATCH(48,$B$29:$GQ$29,0))</f>
        <v/>
      </c>
      <c r="AX10">
        <f>INDEX($B$24:$GQ$24,MATCH(49,$B$29:$GQ$29,0))</f>
        <v/>
      </c>
      <c r="AY10">
        <f>INDEX($B$24:$GQ$24,MATCH(50,$B$29:$GQ$29,0))</f>
        <v/>
      </c>
      <c r="AZ10">
        <f>INDEX($B$24:$GQ$24,MATCH(51,$B$29:$GQ$29,0))</f>
        <v/>
      </c>
      <c r="BA10">
        <f>INDEX($B$24:$GQ$24,MATCH(52,$B$29:$GQ$29,0))</f>
        <v/>
      </c>
      <c r="BB10">
        <f>INDEX($B$24:$GQ$24,MATCH(53,$B$29:$GQ$29,0))</f>
        <v/>
      </c>
      <c r="BC10">
        <f>INDEX($B$24:$GQ$24,MATCH(54,$B$29:$GQ$29,0))</f>
        <v/>
      </c>
      <c r="BD10">
        <f>INDEX($B$24:$GQ$24,MATCH(55,$B$29:$GQ$29,0))</f>
        <v/>
      </c>
      <c r="BE10">
        <f>INDEX($B$24:$GQ$24,MATCH(56,$B$29:$GQ$29,0))</f>
        <v/>
      </c>
      <c r="BF10">
        <f>INDEX($B$24:$GQ$24,MATCH(57,$B$29:$GQ$29,0))</f>
        <v/>
      </c>
      <c r="BG10">
        <f>INDEX($B$24:$GQ$24,MATCH(58,$B$29:$GQ$29,0))</f>
        <v/>
      </c>
      <c r="BH10">
        <f>INDEX($B$24:$GQ$24,MATCH(59,$B$29:$GQ$29,0))</f>
        <v/>
      </c>
      <c r="BI10">
        <f>INDEX($B$24:$GQ$24,MATCH(60,$B$29:$GQ$29,0))</f>
        <v/>
      </c>
      <c r="BJ10">
        <f>INDEX($B$24:$GQ$24,MATCH(61,$B$29:$GQ$29,0))</f>
        <v/>
      </c>
      <c r="BK10">
        <f>INDEX($B$24:$GQ$24,MATCH(62,$B$29:$GQ$29,0))</f>
        <v/>
      </c>
      <c r="BL10">
        <f>INDEX($B$24:$GQ$24,MATCH(63,$B$29:$GQ$29,0))</f>
        <v/>
      </c>
      <c r="BM10">
        <f>INDEX($B$24:$GQ$24,MATCH(64,$B$29:$GQ$29,0))</f>
        <v/>
      </c>
      <c r="BN10">
        <f>INDEX($B$24:$GQ$24,MATCH(65,$B$29:$GQ$29,0))</f>
        <v/>
      </c>
      <c r="BO10">
        <f>INDEX($B$24:$GQ$24,MATCH(66,$B$29:$GQ$29,0))</f>
        <v/>
      </c>
      <c r="BP10">
        <f>INDEX($B$24:$GQ$24,MATCH(67,$B$29:$GQ$29,0))</f>
        <v/>
      </c>
      <c r="BQ10">
        <f>INDEX($B$24:$GQ$24,MATCH(68,$B$29:$GQ$29,0))</f>
        <v/>
      </c>
      <c r="BR10">
        <f>INDEX($B$24:$GQ$24,MATCH(69,$B$29:$GQ$29,0))</f>
        <v/>
      </c>
      <c r="BS10">
        <f>INDEX($B$24:$GQ$24,MATCH(70,$B$29:$GQ$29,0))</f>
        <v/>
      </c>
      <c r="BT10">
        <f>INDEX($B$24:$GQ$24,MATCH(71,$B$29:$GQ$29,0))</f>
        <v/>
      </c>
      <c r="BU10">
        <f>INDEX($B$24:$GQ$24,MATCH(72,$B$29:$GQ$29,0))</f>
        <v/>
      </c>
      <c r="BV10">
        <f>INDEX($B$24:$GQ$24,MATCH(73,$B$29:$GQ$29,0))</f>
        <v/>
      </c>
      <c r="BW10">
        <f>INDEX($B$24:$GQ$24,MATCH(74,$B$29:$GQ$29,0))</f>
        <v/>
      </c>
      <c r="BX10">
        <f>INDEX($B$24:$GQ$24,MATCH(75,$B$29:$GQ$29,0))</f>
        <v/>
      </c>
      <c r="BY10">
        <f>INDEX($B$24:$GQ$24,MATCH(76,$B$29:$GQ$29,0))</f>
        <v/>
      </c>
      <c r="BZ10">
        <f>INDEX($B$24:$GQ$24,MATCH(77,$B$29:$GQ$29,0))</f>
        <v/>
      </c>
      <c r="CA10">
        <f>INDEX($B$24:$GQ$24,MATCH(78,$B$29:$GQ$29,0))</f>
        <v/>
      </c>
      <c r="CB10">
        <f>INDEX($B$24:$GQ$24,MATCH(79,$B$29:$GQ$29,0))</f>
        <v/>
      </c>
      <c r="CC10">
        <f>INDEX($B$24:$GQ$24,MATCH(80,$B$29:$GQ$29,0))</f>
        <v/>
      </c>
      <c r="CD10">
        <f>INDEX($B$24:$GQ$24,MATCH(81,$B$29:$GQ$29,0))</f>
        <v/>
      </c>
      <c r="CE10">
        <f>INDEX($B$24:$GQ$24,MATCH(82,$B$29:$GQ$29,0))</f>
        <v/>
      </c>
      <c r="CF10">
        <f>INDEX($B$24:$GQ$24,MATCH(83,$B$29:$GQ$29,0))</f>
        <v/>
      </c>
      <c r="CG10">
        <f>INDEX($B$24:$GQ$24,MATCH(84,$B$29:$GQ$29,0))</f>
        <v/>
      </c>
      <c r="CH10">
        <f>INDEX($B$24:$GQ$24,MATCH(85,$B$29:$GQ$29,0))</f>
        <v/>
      </c>
      <c r="CI10">
        <f>INDEX($B$24:$GQ$24,MATCH(86,$B$29:$GQ$29,0))</f>
        <v/>
      </c>
      <c r="CJ10">
        <f>INDEX($B$24:$GQ$24,MATCH(87,$B$29:$GQ$29,0))</f>
        <v/>
      </c>
      <c r="CK10">
        <f>INDEX($B$24:$GQ$24,MATCH(88,$B$29:$GQ$29,0))</f>
        <v/>
      </c>
      <c r="CL10">
        <f>INDEX($B$24:$GQ$24,MATCH(89,$B$29:$GQ$29,0))</f>
        <v/>
      </c>
      <c r="CM10">
        <f>INDEX($B$24:$GQ$24,MATCH(90,$B$29:$GQ$29,0))</f>
        <v/>
      </c>
      <c r="CN10">
        <f>INDEX($B$24:$GQ$24,MATCH(91,$B$29:$GQ$29,0))</f>
        <v/>
      </c>
      <c r="CO10">
        <f>INDEX($B$24:$GQ$24,MATCH(92,$B$29:$GQ$29,0))</f>
        <v/>
      </c>
      <c r="CP10">
        <f>INDEX($B$24:$GQ$24,MATCH(93,$B$29:$GQ$29,0))</f>
        <v/>
      </c>
      <c r="CQ10">
        <f>INDEX($B$24:$GQ$24,MATCH(94,$B$29:$GQ$29,0))</f>
        <v/>
      </c>
      <c r="CR10">
        <f>INDEX($B$24:$GQ$24,MATCH(95,$B$29:$GQ$29,0))</f>
        <v/>
      </c>
      <c r="CS10">
        <f>INDEX($B$24:$GQ$24,MATCH(96,$B$29:$GQ$29,0))</f>
        <v/>
      </c>
      <c r="CT10">
        <f>INDEX($B$24:$GQ$24,MATCH(97,$B$29:$GQ$29,0))</f>
        <v/>
      </c>
      <c r="CU10">
        <f>INDEX($B$24:$GQ$24,MATCH(98,$B$29:$GQ$29,0))</f>
        <v/>
      </c>
      <c r="CV10">
        <f>INDEX($B$24:$GQ$24,MATCH(99,$B$29:$GQ$29,0))</f>
        <v/>
      </c>
      <c r="CW10">
        <f>INDEX($B$24:$GQ$24,MATCH(100,$B$29:$GQ$29,0))</f>
        <v/>
      </c>
      <c r="CX10">
        <f>INDEX($B$24:$GQ$24,MATCH(101,$B$29:$GQ$29,0))</f>
        <v/>
      </c>
      <c r="CY10">
        <f>INDEX($B$24:$GQ$24,MATCH(102,$B$29:$GQ$29,0))</f>
        <v/>
      </c>
      <c r="CZ10">
        <f>INDEX($B$24:$GQ$24,MATCH(103,$B$29:$GQ$29,0))</f>
        <v/>
      </c>
      <c r="DA10">
        <f>INDEX($B$24:$GQ$24,MATCH(104,$B$29:$GQ$29,0))</f>
        <v/>
      </c>
      <c r="DB10">
        <f>INDEX($B$24:$GQ$24,MATCH(105,$B$29:$GQ$29,0))</f>
        <v/>
      </c>
      <c r="DC10">
        <f>INDEX($B$24:$GQ$24,MATCH(106,$B$29:$GQ$29,0))</f>
        <v/>
      </c>
      <c r="DD10">
        <f>INDEX($B$24:$GQ$24,MATCH(107,$B$29:$GQ$29,0))</f>
        <v/>
      </c>
      <c r="DE10">
        <f>INDEX($B$24:$GQ$24,MATCH(108,$B$29:$GQ$29,0))</f>
        <v/>
      </c>
      <c r="DF10">
        <f>INDEX($B$24:$GQ$24,MATCH(109,$B$29:$GQ$29,0))</f>
        <v/>
      </c>
      <c r="DG10">
        <f>INDEX($B$24:$GQ$24,MATCH(110,$B$29:$GQ$29,0))</f>
        <v/>
      </c>
      <c r="DH10">
        <f>INDEX($B$24:$GQ$24,MATCH(111,$B$29:$GQ$29,0))</f>
        <v/>
      </c>
      <c r="DI10">
        <f>INDEX($B$24:$GQ$24,MATCH(112,$B$29:$GQ$29,0))</f>
        <v/>
      </c>
      <c r="DJ10">
        <f>INDEX($B$24:$GQ$24,MATCH(113,$B$29:$GQ$29,0))</f>
        <v/>
      </c>
      <c r="DK10">
        <f>INDEX($B$24:$GQ$24,MATCH(114,$B$29:$GQ$29,0))</f>
        <v/>
      </c>
      <c r="DL10">
        <f>INDEX($B$24:$GQ$24,MATCH(115,$B$29:$GQ$29,0))</f>
        <v/>
      </c>
      <c r="DM10">
        <f>INDEX($B$24:$GQ$24,MATCH(116,$B$29:$GQ$29,0))</f>
        <v/>
      </c>
      <c r="DN10">
        <f>INDEX($B$24:$GQ$24,MATCH(117,$B$29:$GQ$29,0))</f>
        <v/>
      </c>
      <c r="DO10">
        <f>INDEX($B$24:$GQ$24,MATCH(118,$B$29:$GQ$29,0))</f>
        <v/>
      </c>
      <c r="DP10">
        <f>INDEX($B$24:$GQ$24,MATCH(119,$B$29:$GQ$29,0))</f>
        <v/>
      </c>
      <c r="DQ10">
        <f>INDEX($B$24:$GQ$24,MATCH(120,$B$29:$GQ$29,0))</f>
        <v/>
      </c>
      <c r="DR10">
        <f>INDEX($B$24:$GQ$24,MATCH(121,$B$29:$GQ$29,0))</f>
        <v/>
      </c>
      <c r="DS10">
        <f>INDEX($B$24:$GQ$24,MATCH(122,$B$29:$GQ$29,0))</f>
        <v/>
      </c>
      <c r="DT10">
        <f>INDEX($B$24:$GQ$24,MATCH(123,$B$29:$GQ$29,0))</f>
        <v/>
      </c>
      <c r="DU10">
        <f>INDEX($B$24:$GQ$24,MATCH(124,$B$29:$GQ$29,0))</f>
        <v/>
      </c>
      <c r="DV10">
        <f>INDEX($B$24:$GQ$24,MATCH(125,$B$29:$GQ$29,0))</f>
        <v/>
      </c>
      <c r="DW10">
        <f>INDEX($B$24:$GQ$24,MATCH(126,$B$29:$GQ$29,0))</f>
        <v/>
      </c>
      <c r="DX10">
        <f>INDEX($B$24:$GQ$24,MATCH(127,$B$29:$GQ$29,0))</f>
        <v/>
      </c>
      <c r="DY10">
        <f>INDEX($B$24:$GQ$24,MATCH(128,$B$29:$GQ$29,0))</f>
        <v/>
      </c>
      <c r="DZ10">
        <f>INDEX($B$24:$GQ$24,MATCH(129,$B$29:$GQ$29,0))</f>
        <v/>
      </c>
      <c r="EA10">
        <f>INDEX($B$24:$GQ$24,MATCH(130,$B$29:$GQ$29,0))</f>
        <v/>
      </c>
      <c r="EB10">
        <f>INDEX($B$24:$GQ$24,MATCH(131,$B$29:$GQ$29,0))</f>
        <v/>
      </c>
      <c r="EC10">
        <f>INDEX($B$24:$GQ$24,MATCH(132,$B$29:$GQ$29,0))</f>
        <v/>
      </c>
      <c r="ED10">
        <f>INDEX($B$24:$GQ$24,MATCH(133,$B$29:$GQ$29,0))</f>
        <v/>
      </c>
      <c r="EE10">
        <f>INDEX($B$24:$GQ$24,MATCH(134,$B$29:$GQ$29,0))</f>
        <v/>
      </c>
      <c r="EF10">
        <f>INDEX($B$24:$GQ$24,MATCH(135,$B$29:$GQ$29,0))</f>
        <v/>
      </c>
      <c r="EG10">
        <f>INDEX($B$24:$GQ$24,MATCH(136,$B$29:$GQ$29,0))</f>
        <v/>
      </c>
      <c r="EH10">
        <f>INDEX($B$24:$GQ$24,MATCH(137,$B$29:$GQ$29,0))</f>
        <v/>
      </c>
      <c r="EI10">
        <f>INDEX($B$24:$GQ$24,MATCH(138,$B$29:$GQ$29,0))</f>
        <v/>
      </c>
      <c r="EJ10">
        <f>INDEX($B$24:$GQ$24,MATCH(139,$B$29:$GQ$29,0))</f>
        <v/>
      </c>
      <c r="EK10">
        <f>INDEX($B$24:$GQ$24,MATCH(140,$B$29:$GQ$29,0))</f>
        <v/>
      </c>
      <c r="EL10">
        <f>INDEX($B$24:$GQ$24,MATCH(141,$B$29:$GQ$29,0))</f>
        <v/>
      </c>
      <c r="EM10">
        <f>INDEX($B$24:$GQ$24,MATCH(142,$B$29:$GQ$29,0))</f>
        <v/>
      </c>
      <c r="EN10">
        <f>INDEX($B$24:$GQ$24,MATCH(143,$B$29:$GQ$29,0))</f>
        <v/>
      </c>
      <c r="EO10">
        <f>INDEX($B$24:$GQ$24,MATCH(144,$B$29:$GQ$29,0))</f>
        <v/>
      </c>
      <c r="EP10">
        <f>INDEX($B$24:$GQ$24,MATCH(145,$B$29:$GQ$29,0))</f>
        <v/>
      </c>
      <c r="EQ10">
        <f>INDEX($B$24:$GQ$24,MATCH(146,$B$29:$GQ$29,0))</f>
        <v/>
      </c>
      <c r="ER10">
        <f>INDEX($B$24:$GQ$24,MATCH(147,$B$29:$GQ$29,0))</f>
        <v/>
      </c>
      <c r="ES10">
        <f>INDEX($B$24:$GQ$24,MATCH(148,$B$29:$GQ$29,0))</f>
        <v/>
      </c>
      <c r="ET10">
        <f>INDEX($B$24:$GQ$24,MATCH(149,$B$29:$GQ$29,0))</f>
        <v/>
      </c>
      <c r="EU10">
        <f>INDEX($B$24:$GQ$24,MATCH(150,$B$29:$GQ$29,0))</f>
        <v/>
      </c>
      <c r="EV10">
        <f>INDEX($B$24:$GQ$24,MATCH(151,$B$29:$GQ$29,0))</f>
        <v/>
      </c>
      <c r="EW10">
        <f>INDEX($B$24:$GQ$24,MATCH(152,$B$29:$GQ$29,0))</f>
        <v/>
      </c>
      <c r="EX10">
        <f>INDEX($B$24:$GQ$24,MATCH(153,$B$29:$GQ$29,0))</f>
        <v/>
      </c>
      <c r="EY10">
        <f>INDEX($B$24:$GQ$24,MATCH(154,$B$29:$GQ$29,0))</f>
        <v/>
      </c>
      <c r="EZ10">
        <f>INDEX($B$24:$GQ$24,MATCH(155,$B$29:$GQ$29,0))</f>
        <v/>
      </c>
      <c r="FA10">
        <f>INDEX($B$24:$GQ$24,MATCH(156,$B$29:$GQ$29,0))</f>
        <v/>
      </c>
      <c r="FB10">
        <f>INDEX($B$24:$GQ$24,MATCH(157,$B$29:$GQ$29,0))</f>
        <v/>
      </c>
      <c r="FC10">
        <f>INDEX($B$24:$GQ$24,MATCH(158,$B$29:$GQ$29,0))</f>
        <v/>
      </c>
      <c r="FD10">
        <f>INDEX($B$24:$GQ$24,MATCH(159,$B$29:$GQ$29,0))</f>
        <v/>
      </c>
      <c r="FE10">
        <f>INDEX($B$24:$GQ$24,MATCH(160,$B$29:$GQ$29,0))</f>
        <v/>
      </c>
      <c r="FF10">
        <f>INDEX($B$24:$GQ$24,MATCH(161,$B$29:$GQ$29,0))</f>
        <v/>
      </c>
      <c r="FG10">
        <f>INDEX($B$24:$GQ$24,MATCH(162,$B$29:$GQ$29,0))</f>
        <v/>
      </c>
      <c r="FH10">
        <f>INDEX($B$24:$GQ$24,MATCH(163,$B$29:$GQ$29,0))</f>
        <v/>
      </c>
      <c r="FI10">
        <f>INDEX($B$24:$GQ$24,MATCH(164,$B$29:$GQ$29,0))</f>
        <v/>
      </c>
      <c r="FJ10">
        <f>INDEX($B$24:$GQ$24,MATCH(165,$B$29:$GQ$29,0))</f>
        <v/>
      </c>
      <c r="FK10">
        <f>INDEX($B$24:$GQ$24,MATCH(166,$B$29:$GQ$29,0))</f>
        <v/>
      </c>
      <c r="FL10">
        <f>INDEX($B$24:$GQ$24,MATCH(167,$B$29:$GQ$29,0))</f>
        <v/>
      </c>
      <c r="FM10">
        <f>INDEX($B$24:$GQ$24,MATCH(168,$B$29:$GQ$29,0))</f>
        <v/>
      </c>
      <c r="FN10">
        <f>INDEX($B$24:$GQ$24,MATCH(169,$B$29:$GQ$29,0))</f>
        <v/>
      </c>
      <c r="FO10">
        <f>INDEX($B$24:$GQ$24,MATCH(170,$B$29:$GQ$29,0))</f>
        <v/>
      </c>
      <c r="FP10">
        <f>INDEX($B$24:$GQ$24,MATCH(171,$B$29:$GQ$29,0))</f>
        <v/>
      </c>
      <c r="FQ10">
        <f>INDEX($B$24:$GQ$24,MATCH(172,$B$29:$GQ$29,0))</f>
        <v/>
      </c>
      <c r="FR10">
        <f>INDEX($B$24:$GQ$24,MATCH(173,$B$29:$GQ$29,0))</f>
        <v/>
      </c>
      <c r="FS10">
        <f>INDEX($B$24:$GQ$24,MATCH(174,$B$29:$GQ$29,0))</f>
        <v/>
      </c>
      <c r="FT10">
        <f>INDEX($B$24:$GQ$24,MATCH(175,$B$29:$GQ$29,0))</f>
        <v/>
      </c>
      <c r="FU10">
        <f>INDEX($B$24:$GQ$24,MATCH(176,$B$29:$GQ$29,0))</f>
        <v/>
      </c>
      <c r="FV10">
        <f>INDEX($B$24:$GQ$24,MATCH(177,$B$29:$GQ$29,0))</f>
        <v/>
      </c>
      <c r="FW10">
        <f>INDEX($B$24:$GQ$24,MATCH(178,$B$29:$GQ$29,0))</f>
        <v/>
      </c>
      <c r="FX10">
        <f>INDEX($B$24:$GQ$24,MATCH(179,$B$29:$GQ$29,0))</f>
        <v/>
      </c>
      <c r="FY10">
        <f>INDEX($B$24:$GQ$24,MATCH(180,$B$29:$GQ$29,0))</f>
        <v/>
      </c>
      <c r="FZ10">
        <f>INDEX($B$24:$GQ$24,MATCH(181,$B$29:$GQ$29,0))</f>
        <v/>
      </c>
      <c r="GA10">
        <f>INDEX($B$24:$GQ$24,MATCH(182,$B$29:$GQ$29,0))</f>
        <v/>
      </c>
      <c r="GB10">
        <f>INDEX($B$24:$GQ$24,MATCH(183,$B$29:$GQ$29,0))</f>
        <v/>
      </c>
      <c r="GC10">
        <f>INDEX($B$24:$GQ$24,MATCH(184,$B$29:$GQ$29,0))</f>
        <v/>
      </c>
      <c r="GD10">
        <f>INDEX($B$24:$GQ$24,MATCH(185,$B$29:$GQ$29,0))</f>
        <v/>
      </c>
      <c r="GE10">
        <f>INDEX($B$24:$GQ$24,MATCH(186,$B$29:$GQ$29,0))</f>
        <v/>
      </c>
      <c r="GF10">
        <f>INDEX($B$24:$GQ$24,MATCH(187,$B$29:$GQ$29,0))</f>
        <v/>
      </c>
      <c r="GG10">
        <f>INDEX($B$24:$GQ$24,MATCH(188,$B$29:$GQ$29,0))</f>
        <v/>
      </c>
      <c r="GH10">
        <f>INDEX($B$24:$GQ$24,MATCH(189,$B$29:$GQ$29,0))</f>
        <v/>
      </c>
      <c r="GI10">
        <f>INDEX($B$24:$GQ$24,MATCH(190,$B$29:$GQ$29,0))</f>
        <v/>
      </c>
      <c r="GJ10">
        <f>INDEX($B$24:$GQ$24,MATCH(191,$B$29:$GQ$29,0))</f>
        <v/>
      </c>
      <c r="GK10">
        <f>INDEX($B$24:$GQ$24,MATCH(192,$B$29:$GQ$29,0))</f>
        <v/>
      </c>
      <c r="GL10">
        <f>INDEX($B$24:$GQ$24,MATCH(193,$B$29:$GQ$29,0))</f>
        <v/>
      </c>
      <c r="GM10">
        <f>INDEX($B$24:$GQ$24,MATCH(194,$B$29:$GQ$29,0))</f>
        <v/>
      </c>
      <c r="GN10">
        <f>INDEX($B$24:$GQ$24,MATCH(195,$B$29:$GQ$29,0))</f>
        <v/>
      </c>
      <c r="GO10">
        <f>INDEX($B$24:$GQ$24,MATCH(196,$B$29:$GQ$29,0))</f>
        <v/>
      </c>
      <c r="GP10">
        <f>INDEX($B$24:$GQ$24,MATCH(197,$B$29:$GQ$29,0))</f>
        <v/>
      </c>
      <c r="GQ10">
        <f>INDEX($B$24:$GQ$24,MATCH(198,$B$29:$GQ$29,0))</f>
        <v/>
      </c>
      <c r="GR10">
        <f>INDEX($GR$24:$HC$24,MATCH(1,$GR$30:$HC$30,0))</f>
        <v/>
      </c>
      <c r="GS10">
        <f>INDEX($GR$24:$HC$24,MATCH(2,$GR$30:$HC$30,0))</f>
        <v/>
      </c>
      <c r="GT10">
        <f>INDEX($GR$24:$HC$24,MATCH(3,$GR$30:$HC$30,0))</f>
        <v/>
      </c>
      <c r="GU10">
        <f>INDEX($GR$24:$HC$24,MATCH(4,$GR$30:$HC$30,0))</f>
        <v/>
      </c>
      <c r="GV10">
        <f>INDEX($GR$24:$HC$24,MATCH(5,$GR$30:$HC$30,0))</f>
        <v/>
      </c>
      <c r="GW10">
        <f>INDEX($GR$24:$HC$24,MATCH(6,$GR$30:$HC$30,0))</f>
        <v/>
      </c>
      <c r="GX10">
        <f>INDEX($GR$24:$HC$24,MATCH(7,$GR$30:$HC$30,0))</f>
        <v/>
      </c>
      <c r="GY10">
        <f>INDEX($GR$24:$HC$24,MATCH(8,$GR$30:$HC$30,0))</f>
        <v/>
      </c>
      <c r="GZ10">
        <f>INDEX($GR$24:$HC$24,MATCH(9,$GR$30:$HC$30,0))</f>
        <v/>
      </c>
      <c r="HA10">
        <f>INDEX($GR$24:$HC$24,MATCH(10,$GR$30:$HC$30,0))</f>
        <v/>
      </c>
      <c r="HB10">
        <f>INDEX($GR$24:$HC$24,MATCH(11,$GR$30:$HC$30,0))</f>
        <v/>
      </c>
      <c r="HC10">
        <f>INDEX($GR$24:$HC$24,MATCH(12,$GR$30:$HC$30,0))</f>
        <v/>
      </c>
    </row>
    <row r="11">
      <c r="A11" s="1" t="inlineStr">
        <is>
          <t>M_imp*Y_dom+M_dom*Y_dom</t>
        </is>
      </c>
      <c r="B11">
        <f>INDEX($B$25:$GQ$25,MATCH(1,$B$29:$GQ$29,0))</f>
        <v/>
      </c>
      <c r="C11">
        <f>INDEX($B$25:$GQ$25,MATCH(2,$B$29:$GQ$29,0))</f>
        <v/>
      </c>
      <c r="D11">
        <f>INDEX($B$25:$GQ$25,MATCH(3,$B$29:$GQ$29,0))</f>
        <v/>
      </c>
      <c r="E11">
        <f>INDEX($B$25:$GQ$25,MATCH(4,$B$29:$GQ$29,0))</f>
        <v/>
      </c>
      <c r="F11">
        <f>INDEX($B$25:$GQ$25,MATCH(5,$B$29:$GQ$29,0))</f>
        <v/>
      </c>
      <c r="G11">
        <f>INDEX($B$25:$GQ$25,MATCH(6,$B$29:$GQ$29,0))</f>
        <v/>
      </c>
      <c r="H11">
        <f>INDEX($B$25:$GQ$25,MATCH(7,$B$29:$GQ$29,0))</f>
        <v/>
      </c>
      <c r="I11">
        <f>INDEX($B$25:$GQ$25,MATCH(8,$B$29:$GQ$29,0))</f>
        <v/>
      </c>
      <c r="J11">
        <f>INDEX($B$25:$GQ$25,MATCH(9,$B$29:$GQ$29,0))</f>
        <v/>
      </c>
      <c r="K11">
        <f>INDEX($B$25:$GQ$25,MATCH(10,$B$29:$GQ$29,0))</f>
        <v/>
      </c>
      <c r="L11">
        <f>INDEX($B$25:$GQ$25,MATCH(11,$B$29:$GQ$29,0))</f>
        <v/>
      </c>
      <c r="M11">
        <f>INDEX($B$25:$GQ$25,MATCH(12,$B$29:$GQ$29,0))</f>
        <v/>
      </c>
      <c r="N11">
        <f>INDEX($B$25:$GQ$25,MATCH(13,$B$29:$GQ$29,0))</f>
        <v/>
      </c>
      <c r="O11">
        <f>INDEX($B$25:$GQ$25,MATCH(14,$B$29:$GQ$29,0))</f>
        <v/>
      </c>
      <c r="P11">
        <f>INDEX($B$25:$GQ$25,MATCH(15,$B$29:$GQ$29,0))</f>
        <v/>
      </c>
      <c r="Q11">
        <f>INDEX($B$25:$GQ$25,MATCH(16,$B$29:$GQ$29,0))</f>
        <v/>
      </c>
      <c r="R11">
        <f>INDEX($B$25:$GQ$25,MATCH(17,$B$29:$GQ$29,0))</f>
        <v/>
      </c>
      <c r="S11">
        <f>INDEX($B$25:$GQ$25,MATCH(18,$B$29:$GQ$29,0))</f>
        <v/>
      </c>
      <c r="T11">
        <f>INDEX($B$25:$GQ$25,MATCH(19,$B$29:$GQ$29,0))</f>
        <v/>
      </c>
      <c r="U11">
        <f>INDEX($B$25:$GQ$25,MATCH(20,$B$29:$GQ$29,0))</f>
        <v/>
      </c>
      <c r="V11">
        <f>INDEX($B$25:$GQ$25,MATCH(21,$B$29:$GQ$29,0))</f>
        <v/>
      </c>
      <c r="W11">
        <f>INDEX($B$25:$GQ$25,MATCH(22,$B$29:$GQ$29,0))</f>
        <v/>
      </c>
      <c r="X11">
        <f>INDEX($B$25:$GQ$25,MATCH(23,$B$29:$GQ$29,0))</f>
        <v/>
      </c>
      <c r="Y11">
        <f>INDEX($B$25:$GQ$25,MATCH(24,$B$29:$GQ$29,0))</f>
        <v/>
      </c>
      <c r="Z11">
        <f>INDEX($B$25:$GQ$25,MATCH(25,$B$29:$GQ$29,0))</f>
        <v/>
      </c>
      <c r="AA11">
        <f>INDEX($B$25:$GQ$25,MATCH(26,$B$29:$GQ$29,0))</f>
        <v/>
      </c>
      <c r="AB11">
        <f>INDEX($B$25:$GQ$25,MATCH(27,$B$29:$GQ$29,0))</f>
        <v/>
      </c>
      <c r="AC11">
        <f>INDEX($B$25:$GQ$25,MATCH(28,$B$29:$GQ$29,0))</f>
        <v/>
      </c>
      <c r="AD11">
        <f>INDEX($B$25:$GQ$25,MATCH(29,$B$29:$GQ$29,0))</f>
        <v/>
      </c>
      <c r="AE11">
        <f>INDEX($B$25:$GQ$25,MATCH(30,$B$29:$GQ$29,0))</f>
        <v/>
      </c>
      <c r="AF11">
        <f>INDEX($B$25:$GQ$25,MATCH(31,$B$29:$GQ$29,0))</f>
        <v/>
      </c>
      <c r="AG11">
        <f>INDEX($B$25:$GQ$25,MATCH(32,$B$29:$GQ$29,0))</f>
        <v/>
      </c>
      <c r="AH11">
        <f>INDEX($B$25:$GQ$25,MATCH(33,$B$29:$GQ$29,0))</f>
        <v/>
      </c>
      <c r="AI11">
        <f>INDEX($B$25:$GQ$25,MATCH(34,$B$29:$GQ$29,0))</f>
        <v/>
      </c>
      <c r="AJ11">
        <f>INDEX($B$25:$GQ$25,MATCH(35,$B$29:$GQ$29,0))</f>
        <v/>
      </c>
      <c r="AK11">
        <f>INDEX($B$25:$GQ$25,MATCH(36,$B$29:$GQ$29,0))</f>
        <v/>
      </c>
      <c r="AL11">
        <f>INDEX($B$25:$GQ$25,MATCH(37,$B$29:$GQ$29,0))</f>
        <v/>
      </c>
      <c r="AM11">
        <f>INDEX($B$25:$GQ$25,MATCH(38,$B$29:$GQ$29,0))</f>
        <v/>
      </c>
      <c r="AN11">
        <f>INDEX($B$25:$GQ$25,MATCH(39,$B$29:$GQ$29,0))</f>
        <v/>
      </c>
      <c r="AO11">
        <f>INDEX($B$25:$GQ$25,MATCH(40,$B$29:$GQ$29,0))</f>
        <v/>
      </c>
      <c r="AP11">
        <f>INDEX($B$25:$GQ$25,MATCH(41,$B$29:$GQ$29,0))</f>
        <v/>
      </c>
      <c r="AQ11">
        <f>INDEX($B$25:$GQ$25,MATCH(42,$B$29:$GQ$29,0))</f>
        <v/>
      </c>
      <c r="AR11">
        <f>INDEX($B$25:$GQ$25,MATCH(43,$B$29:$GQ$29,0))</f>
        <v/>
      </c>
      <c r="AS11">
        <f>INDEX($B$25:$GQ$25,MATCH(44,$B$29:$GQ$29,0))</f>
        <v/>
      </c>
      <c r="AT11">
        <f>INDEX($B$25:$GQ$25,MATCH(45,$B$29:$GQ$29,0))</f>
        <v/>
      </c>
      <c r="AU11">
        <f>INDEX($B$25:$GQ$25,MATCH(46,$B$29:$GQ$29,0))</f>
        <v/>
      </c>
      <c r="AV11">
        <f>INDEX($B$25:$GQ$25,MATCH(47,$B$29:$GQ$29,0))</f>
        <v/>
      </c>
      <c r="AW11">
        <f>INDEX($B$25:$GQ$25,MATCH(48,$B$29:$GQ$29,0))</f>
        <v/>
      </c>
      <c r="AX11">
        <f>INDEX($B$25:$GQ$25,MATCH(49,$B$29:$GQ$29,0))</f>
        <v/>
      </c>
      <c r="AY11">
        <f>INDEX($B$25:$GQ$25,MATCH(50,$B$29:$GQ$29,0))</f>
        <v/>
      </c>
      <c r="AZ11">
        <f>INDEX($B$25:$GQ$25,MATCH(51,$B$29:$GQ$29,0))</f>
        <v/>
      </c>
      <c r="BA11">
        <f>INDEX($B$25:$GQ$25,MATCH(52,$B$29:$GQ$29,0))</f>
        <v/>
      </c>
      <c r="BB11">
        <f>INDEX($B$25:$GQ$25,MATCH(53,$B$29:$GQ$29,0))</f>
        <v/>
      </c>
      <c r="BC11">
        <f>INDEX($B$25:$GQ$25,MATCH(54,$B$29:$GQ$29,0))</f>
        <v/>
      </c>
      <c r="BD11">
        <f>INDEX($B$25:$GQ$25,MATCH(55,$B$29:$GQ$29,0))</f>
        <v/>
      </c>
      <c r="BE11">
        <f>INDEX($B$25:$GQ$25,MATCH(56,$B$29:$GQ$29,0))</f>
        <v/>
      </c>
      <c r="BF11">
        <f>INDEX($B$25:$GQ$25,MATCH(57,$B$29:$GQ$29,0))</f>
        <v/>
      </c>
      <c r="BG11">
        <f>INDEX($B$25:$GQ$25,MATCH(58,$B$29:$GQ$29,0))</f>
        <v/>
      </c>
      <c r="BH11">
        <f>INDEX($B$25:$GQ$25,MATCH(59,$B$29:$GQ$29,0))</f>
        <v/>
      </c>
      <c r="BI11">
        <f>INDEX($B$25:$GQ$25,MATCH(60,$B$29:$GQ$29,0))</f>
        <v/>
      </c>
      <c r="BJ11">
        <f>INDEX($B$25:$GQ$25,MATCH(61,$B$29:$GQ$29,0))</f>
        <v/>
      </c>
      <c r="BK11">
        <f>INDEX($B$25:$GQ$25,MATCH(62,$B$29:$GQ$29,0))</f>
        <v/>
      </c>
      <c r="BL11">
        <f>INDEX($B$25:$GQ$25,MATCH(63,$B$29:$GQ$29,0))</f>
        <v/>
      </c>
      <c r="BM11">
        <f>INDEX($B$25:$GQ$25,MATCH(64,$B$29:$GQ$29,0))</f>
        <v/>
      </c>
      <c r="BN11">
        <f>INDEX($B$25:$GQ$25,MATCH(65,$B$29:$GQ$29,0))</f>
        <v/>
      </c>
      <c r="BO11">
        <f>INDEX($B$25:$GQ$25,MATCH(66,$B$29:$GQ$29,0))</f>
        <v/>
      </c>
      <c r="BP11">
        <f>INDEX($B$25:$GQ$25,MATCH(67,$B$29:$GQ$29,0))</f>
        <v/>
      </c>
      <c r="BQ11">
        <f>INDEX($B$25:$GQ$25,MATCH(68,$B$29:$GQ$29,0))</f>
        <v/>
      </c>
      <c r="BR11">
        <f>INDEX($B$25:$GQ$25,MATCH(69,$B$29:$GQ$29,0))</f>
        <v/>
      </c>
      <c r="BS11">
        <f>INDEX($B$25:$GQ$25,MATCH(70,$B$29:$GQ$29,0))</f>
        <v/>
      </c>
      <c r="BT11">
        <f>INDEX($B$25:$GQ$25,MATCH(71,$B$29:$GQ$29,0))</f>
        <v/>
      </c>
      <c r="BU11">
        <f>INDEX($B$25:$GQ$25,MATCH(72,$B$29:$GQ$29,0))</f>
        <v/>
      </c>
      <c r="BV11">
        <f>INDEX($B$25:$GQ$25,MATCH(73,$B$29:$GQ$29,0))</f>
        <v/>
      </c>
      <c r="BW11">
        <f>INDEX($B$25:$GQ$25,MATCH(74,$B$29:$GQ$29,0))</f>
        <v/>
      </c>
      <c r="BX11">
        <f>INDEX($B$25:$GQ$25,MATCH(75,$B$29:$GQ$29,0))</f>
        <v/>
      </c>
      <c r="BY11">
        <f>INDEX($B$25:$GQ$25,MATCH(76,$B$29:$GQ$29,0))</f>
        <v/>
      </c>
      <c r="BZ11">
        <f>INDEX($B$25:$GQ$25,MATCH(77,$B$29:$GQ$29,0))</f>
        <v/>
      </c>
      <c r="CA11">
        <f>INDEX($B$25:$GQ$25,MATCH(78,$B$29:$GQ$29,0))</f>
        <v/>
      </c>
      <c r="CB11">
        <f>INDEX($B$25:$GQ$25,MATCH(79,$B$29:$GQ$29,0))</f>
        <v/>
      </c>
      <c r="CC11">
        <f>INDEX($B$25:$GQ$25,MATCH(80,$B$29:$GQ$29,0))</f>
        <v/>
      </c>
      <c r="CD11">
        <f>INDEX($B$25:$GQ$25,MATCH(81,$B$29:$GQ$29,0))</f>
        <v/>
      </c>
      <c r="CE11">
        <f>INDEX($B$25:$GQ$25,MATCH(82,$B$29:$GQ$29,0))</f>
        <v/>
      </c>
      <c r="CF11">
        <f>INDEX($B$25:$GQ$25,MATCH(83,$B$29:$GQ$29,0))</f>
        <v/>
      </c>
      <c r="CG11">
        <f>INDEX($B$25:$GQ$25,MATCH(84,$B$29:$GQ$29,0))</f>
        <v/>
      </c>
      <c r="CH11">
        <f>INDEX($B$25:$GQ$25,MATCH(85,$B$29:$GQ$29,0))</f>
        <v/>
      </c>
      <c r="CI11">
        <f>INDEX($B$25:$GQ$25,MATCH(86,$B$29:$GQ$29,0))</f>
        <v/>
      </c>
      <c r="CJ11">
        <f>INDEX($B$25:$GQ$25,MATCH(87,$B$29:$GQ$29,0))</f>
        <v/>
      </c>
      <c r="CK11">
        <f>INDEX($B$25:$GQ$25,MATCH(88,$B$29:$GQ$29,0))</f>
        <v/>
      </c>
      <c r="CL11">
        <f>INDEX($B$25:$GQ$25,MATCH(89,$B$29:$GQ$29,0))</f>
        <v/>
      </c>
      <c r="CM11">
        <f>INDEX($B$25:$GQ$25,MATCH(90,$B$29:$GQ$29,0))</f>
        <v/>
      </c>
      <c r="CN11">
        <f>INDEX($B$25:$GQ$25,MATCH(91,$B$29:$GQ$29,0))</f>
        <v/>
      </c>
      <c r="CO11">
        <f>INDEX($B$25:$GQ$25,MATCH(92,$B$29:$GQ$29,0))</f>
        <v/>
      </c>
      <c r="CP11">
        <f>INDEX($B$25:$GQ$25,MATCH(93,$B$29:$GQ$29,0))</f>
        <v/>
      </c>
      <c r="CQ11">
        <f>INDEX($B$25:$GQ$25,MATCH(94,$B$29:$GQ$29,0))</f>
        <v/>
      </c>
      <c r="CR11">
        <f>INDEX($B$25:$GQ$25,MATCH(95,$B$29:$GQ$29,0))</f>
        <v/>
      </c>
      <c r="CS11">
        <f>INDEX($B$25:$GQ$25,MATCH(96,$B$29:$GQ$29,0))</f>
        <v/>
      </c>
      <c r="CT11">
        <f>INDEX($B$25:$GQ$25,MATCH(97,$B$29:$GQ$29,0))</f>
        <v/>
      </c>
      <c r="CU11">
        <f>INDEX($B$25:$GQ$25,MATCH(98,$B$29:$GQ$29,0))</f>
        <v/>
      </c>
      <c r="CV11">
        <f>INDEX($B$25:$GQ$25,MATCH(99,$B$29:$GQ$29,0))</f>
        <v/>
      </c>
      <c r="CW11">
        <f>INDEX($B$25:$GQ$25,MATCH(100,$B$29:$GQ$29,0))</f>
        <v/>
      </c>
      <c r="CX11">
        <f>INDEX($B$25:$GQ$25,MATCH(101,$B$29:$GQ$29,0))</f>
        <v/>
      </c>
      <c r="CY11">
        <f>INDEX($B$25:$GQ$25,MATCH(102,$B$29:$GQ$29,0))</f>
        <v/>
      </c>
      <c r="CZ11">
        <f>INDEX($B$25:$GQ$25,MATCH(103,$B$29:$GQ$29,0))</f>
        <v/>
      </c>
      <c r="DA11">
        <f>INDEX($B$25:$GQ$25,MATCH(104,$B$29:$GQ$29,0))</f>
        <v/>
      </c>
      <c r="DB11">
        <f>INDEX($B$25:$GQ$25,MATCH(105,$B$29:$GQ$29,0))</f>
        <v/>
      </c>
      <c r="DC11">
        <f>INDEX($B$25:$GQ$25,MATCH(106,$B$29:$GQ$29,0))</f>
        <v/>
      </c>
      <c r="DD11">
        <f>INDEX($B$25:$GQ$25,MATCH(107,$B$29:$GQ$29,0))</f>
        <v/>
      </c>
      <c r="DE11">
        <f>INDEX($B$25:$GQ$25,MATCH(108,$B$29:$GQ$29,0))</f>
        <v/>
      </c>
      <c r="DF11">
        <f>INDEX($B$25:$GQ$25,MATCH(109,$B$29:$GQ$29,0))</f>
        <v/>
      </c>
      <c r="DG11">
        <f>INDEX($B$25:$GQ$25,MATCH(110,$B$29:$GQ$29,0))</f>
        <v/>
      </c>
      <c r="DH11">
        <f>INDEX($B$25:$GQ$25,MATCH(111,$B$29:$GQ$29,0))</f>
        <v/>
      </c>
      <c r="DI11">
        <f>INDEX($B$25:$GQ$25,MATCH(112,$B$29:$GQ$29,0))</f>
        <v/>
      </c>
      <c r="DJ11">
        <f>INDEX($B$25:$GQ$25,MATCH(113,$B$29:$GQ$29,0))</f>
        <v/>
      </c>
      <c r="DK11">
        <f>INDEX($B$25:$GQ$25,MATCH(114,$B$29:$GQ$29,0))</f>
        <v/>
      </c>
      <c r="DL11">
        <f>INDEX($B$25:$GQ$25,MATCH(115,$B$29:$GQ$29,0))</f>
        <v/>
      </c>
      <c r="DM11">
        <f>INDEX($B$25:$GQ$25,MATCH(116,$B$29:$GQ$29,0))</f>
        <v/>
      </c>
      <c r="DN11">
        <f>INDEX($B$25:$GQ$25,MATCH(117,$B$29:$GQ$29,0))</f>
        <v/>
      </c>
      <c r="DO11">
        <f>INDEX($B$25:$GQ$25,MATCH(118,$B$29:$GQ$29,0))</f>
        <v/>
      </c>
      <c r="DP11">
        <f>INDEX($B$25:$GQ$25,MATCH(119,$B$29:$GQ$29,0))</f>
        <v/>
      </c>
      <c r="DQ11">
        <f>INDEX($B$25:$GQ$25,MATCH(120,$B$29:$GQ$29,0))</f>
        <v/>
      </c>
      <c r="DR11">
        <f>INDEX($B$25:$GQ$25,MATCH(121,$B$29:$GQ$29,0))</f>
        <v/>
      </c>
      <c r="DS11">
        <f>INDEX($B$25:$GQ$25,MATCH(122,$B$29:$GQ$29,0))</f>
        <v/>
      </c>
      <c r="DT11">
        <f>INDEX($B$25:$GQ$25,MATCH(123,$B$29:$GQ$29,0))</f>
        <v/>
      </c>
      <c r="DU11">
        <f>INDEX($B$25:$GQ$25,MATCH(124,$B$29:$GQ$29,0))</f>
        <v/>
      </c>
      <c r="DV11">
        <f>INDEX($B$25:$GQ$25,MATCH(125,$B$29:$GQ$29,0))</f>
        <v/>
      </c>
      <c r="DW11">
        <f>INDEX($B$25:$GQ$25,MATCH(126,$B$29:$GQ$29,0))</f>
        <v/>
      </c>
      <c r="DX11">
        <f>INDEX($B$25:$GQ$25,MATCH(127,$B$29:$GQ$29,0))</f>
        <v/>
      </c>
      <c r="DY11">
        <f>INDEX($B$25:$GQ$25,MATCH(128,$B$29:$GQ$29,0))</f>
        <v/>
      </c>
      <c r="DZ11">
        <f>INDEX($B$25:$GQ$25,MATCH(129,$B$29:$GQ$29,0))</f>
        <v/>
      </c>
      <c r="EA11">
        <f>INDEX($B$25:$GQ$25,MATCH(130,$B$29:$GQ$29,0))</f>
        <v/>
      </c>
      <c r="EB11">
        <f>INDEX($B$25:$GQ$25,MATCH(131,$B$29:$GQ$29,0))</f>
        <v/>
      </c>
      <c r="EC11">
        <f>INDEX($B$25:$GQ$25,MATCH(132,$B$29:$GQ$29,0))</f>
        <v/>
      </c>
      <c r="ED11">
        <f>INDEX($B$25:$GQ$25,MATCH(133,$B$29:$GQ$29,0))</f>
        <v/>
      </c>
      <c r="EE11">
        <f>INDEX($B$25:$GQ$25,MATCH(134,$B$29:$GQ$29,0))</f>
        <v/>
      </c>
      <c r="EF11">
        <f>INDEX($B$25:$GQ$25,MATCH(135,$B$29:$GQ$29,0))</f>
        <v/>
      </c>
      <c r="EG11">
        <f>INDEX($B$25:$GQ$25,MATCH(136,$B$29:$GQ$29,0))</f>
        <v/>
      </c>
      <c r="EH11">
        <f>INDEX($B$25:$GQ$25,MATCH(137,$B$29:$GQ$29,0))</f>
        <v/>
      </c>
      <c r="EI11">
        <f>INDEX($B$25:$GQ$25,MATCH(138,$B$29:$GQ$29,0))</f>
        <v/>
      </c>
      <c r="EJ11">
        <f>INDEX($B$25:$GQ$25,MATCH(139,$B$29:$GQ$29,0))</f>
        <v/>
      </c>
      <c r="EK11">
        <f>INDEX($B$25:$GQ$25,MATCH(140,$B$29:$GQ$29,0))</f>
        <v/>
      </c>
      <c r="EL11">
        <f>INDEX($B$25:$GQ$25,MATCH(141,$B$29:$GQ$29,0))</f>
        <v/>
      </c>
      <c r="EM11">
        <f>INDEX($B$25:$GQ$25,MATCH(142,$B$29:$GQ$29,0))</f>
        <v/>
      </c>
      <c r="EN11">
        <f>INDEX($B$25:$GQ$25,MATCH(143,$B$29:$GQ$29,0))</f>
        <v/>
      </c>
      <c r="EO11">
        <f>INDEX($B$25:$GQ$25,MATCH(144,$B$29:$GQ$29,0))</f>
        <v/>
      </c>
      <c r="EP11">
        <f>INDEX($B$25:$GQ$25,MATCH(145,$B$29:$GQ$29,0))</f>
        <v/>
      </c>
      <c r="EQ11">
        <f>INDEX($B$25:$GQ$25,MATCH(146,$B$29:$GQ$29,0))</f>
        <v/>
      </c>
      <c r="ER11">
        <f>INDEX($B$25:$GQ$25,MATCH(147,$B$29:$GQ$29,0))</f>
        <v/>
      </c>
      <c r="ES11">
        <f>INDEX($B$25:$GQ$25,MATCH(148,$B$29:$GQ$29,0))</f>
        <v/>
      </c>
      <c r="ET11">
        <f>INDEX($B$25:$GQ$25,MATCH(149,$B$29:$GQ$29,0))</f>
        <v/>
      </c>
      <c r="EU11">
        <f>INDEX($B$25:$GQ$25,MATCH(150,$B$29:$GQ$29,0))</f>
        <v/>
      </c>
      <c r="EV11">
        <f>INDEX($B$25:$GQ$25,MATCH(151,$B$29:$GQ$29,0))</f>
        <v/>
      </c>
      <c r="EW11">
        <f>INDEX($B$25:$GQ$25,MATCH(152,$B$29:$GQ$29,0))</f>
        <v/>
      </c>
      <c r="EX11">
        <f>INDEX($B$25:$GQ$25,MATCH(153,$B$29:$GQ$29,0))</f>
        <v/>
      </c>
      <c r="EY11">
        <f>INDEX($B$25:$GQ$25,MATCH(154,$B$29:$GQ$29,0))</f>
        <v/>
      </c>
      <c r="EZ11">
        <f>INDEX($B$25:$GQ$25,MATCH(155,$B$29:$GQ$29,0))</f>
        <v/>
      </c>
      <c r="FA11">
        <f>INDEX($B$25:$GQ$25,MATCH(156,$B$29:$GQ$29,0))</f>
        <v/>
      </c>
      <c r="FB11">
        <f>INDEX($B$25:$GQ$25,MATCH(157,$B$29:$GQ$29,0))</f>
        <v/>
      </c>
      <c r="FC11">
        <f>INDEX($B$25:$GQ$25,MATCH(158,$B$29:$GQ$29,0))</f>
        <v/>
      </c>
      <c r="FD11">
        <f>INDEX($B$25:$GQ$25,MATCH(159,$B$29:$GQ$29,0))</f>
        <v/>
      </c>
      <c r="FE11">
        <f>INDEX($B$25:$GQ$25,MATCH(160,$B$29:$GQ$29,0))</f>
        <v/>
      </c>
      <c r="FF11">
        <f>INDEX($B$25:$GQ$25,MATCH(161,$B$29:$GQ$29,0))</f>
        <v/>
      </c>
      <c r="FG11">
        <f>INDEX($B$25:$GQ$25,MATCH(162,$B$29:$GQ$29,0))</f>
        <v/>
      </c>
      <c r="FH11">
        <f>INDEX($B$25:$GQ$25,MATCH(163,$B$29:$GQ$29,0))</f>
        <v/>
      </c>
      <c r="FI11">
        <f>INDEX($B$25:$GQ$25,MATCH(164,$B$29:$GQ$29,0))</f>
        <v/>
      </c>
      <c r="FJ11">
        <f>INDEX($B$25:$GQ$25,MATCH(165,$B$29:$GQ$29,0))</f>
        <v/>
      </c>
      <c r="FK11">
        <f>INDEX($B$25:$GQ$25,MATCH(166,$B$29:$GQ$29,0))</f>
        <v/>
      </c>
      <c r="FL11">
        <f>INDEX($B$25:$GQ$25,MATCH(167,$B$29:$GQ$29,0))</f>
        <v/>
      </c>
      <c r="FM11">
        <f>INDEX($B$25:$GQ$25,MATCH(168,$B$29:$GQ$29,0))</f>
        <v/>
      </c>
      <c r="FN11">
        <f>INDEX($B$25:$GQ$25,MATCH(169,$B$29:$GQ$29,0))</f>
        <v/>
      </c>
      <c r="FO11">
        <f>INDEX($B$25:$GQ$25,MATCH(170,$B$29:$GQ$29,0))</f>
        <v/>
      </c>
      <c r="FP11">
        <f>INDEX($B$25:$GQ$25,MATCH(171,$B$29:$GQ$29,0))</f>
        <v/>
      </c>
      <c r="FQ11">
        <f>INDEX($B$25:$GQ$25,MATCH(172,$B$29:$GQ$29,0))</f>
        <v/>
      </c>
      <c r="FR11">
        <f>INDEX($B$25:$GQ$25,MATCH(173,$B$29:$GQ$29,0))</f>
        <v/>
      </c>
      <c r="FS11">
        <f>INDEX($B$25:$GQ$25,MATCH(174,$B$29:$GQ$29,0))</f>
        <v/>
      </c>
      <c r="FT11">
        <f>INDEX($B$25:$GQ$25,MATCH(175,$B$29:$GQ$29,0))</f>
        <v/>
      </c>
      <c r="FU11">
        <f>INDEX($B$25:$GQ$25,MATCH(176,$B$29:$GQ$29,0))</f>
        <v/>
      </c>
      <c r="FV11">
        <f>INDEX($B$25:$GQ$25,MATCH(177,$B$29:$GQ$29,0))</f>
        <v/>
      </c>
      <c r="FW11">
        <f>INDEX($B$25:$GQ$25,MATCH(178,$B$29:$GQ$29,0))</f>
        <v/>
      </c>
      <c r="FX11">
        <f>INDEX($B$25:$GQ$25,MATCH(179,$B$29:$GQ$29,0))</f>
        <v/>
      </c>
      <c r="FY11">
        <f>INDEX($B$25:$GQ$25,MATCH(180,$B$29:$GQ$29,0))</f>
        <v/>
      </c>
      <c r="FZ11">
        <f>INDEX($B$25:$GQ$25,MATCH(181,$B$29:$GQ$29,0))</f>
        <v/>
      </c>
      <c r="GA11">
        <f>INDEX($B$25:$GQ$25,MATCH(182,$B$29:$GQ$29,0))</f>
        <v/>
      </c>
      <c r="GB11">
        <f>INDEX($B$25:$GQ$25,MATCH(183,$B$29:$GQ$29,0))</f>
        <v/>
      </c>
      <c r="GC11">
        <f>INDEX($B$25:$GQ$25,MATCH(184,$B$29:$GQ$29,0))</f>
        <v/>
      </c>
      <c r="GD11">
        <f>INDEX($B$25:$GQ$25,MATCH(185,$B$29:$GQ$29,0))</f>
        <v/>
      </c>
      <c r="GE11">
        <f>INDEX($B$25:$GQ$25,MATCH(186,$B$29:$GQ$29,0))</f>
        <v/>
      </c>
      <c r="GF11">
        <f>INDEX($B$25:$GQ$25,MATCH(187,$B$29:$GQ$29,0))</f>
        <v/>
      </c>
      <c r="GG11">
        <f>INDEX($B$25:$GQ$25,MATCH(188,$B$29:$GQ$29,0))</f>
        <v/>
      </c>
      <c r="GH11">
        <f>INDEX($B$25:$GQ$25,MATCH(189,$B$29:$GQ$29,0))</f>
        <v/>
      </c>
      <c r="GI11">
        <f>INDEX($B$25:$GQ$25,MATCH(190,$B$29:$GQ$29,0))</f>
        <v/>
      </c>
      <c r="GJ11">
        <f>INDEX($B$25:$GQ$25,MATCH(191,$B$29:$GQ$29,0))</f>
        <v/>
      </c>
      <c r="GK11">
        <f>INDEX($B$25:$GQ$25,MATCH(192,$B$29:$GQ$29,0))</f>
        <v/>
      </c>
      <c r="GL11">
        <f>INDEX($B$25:$GQ$25,MATCH(193,$B$29:$GQ$29,0))</f>
        <v/>
      </c>
      <c r="GM11">
        <f>INDEX($B$25:$GQ$25,MATCH(194,$B$29:$GQ$29,0))</f>
        <v/>
      </c>
      <c r="GN11">
        <f>INDEX($B$25:$GQ$25,MATCH(195,$B$29:$GQ$29,0))</f>
        <v/>
      </c>
      <c r="GO11">
        <f>INDEX($B$25:$GQ$25,MATCH(196,$B$29:$GQ$29,0))</f>
        <v/>
      </c>
      <c r="GP11">
        <f>INDEX($B$25:$GQ$25,MATCH(197,$B$29:$GQ$29,0))</f>
        <v/>
      </c>
      <c r="GQ11">
        <f>INDEX($B$25:$GQ$25,MATCH(198,$B$29:$GQ$29,0))</f>
        <v/>
      </c>
      <c r="GR11">
        <f>INDEX($GR$25:$HC$25,MATCH(1,$GR$30:$HC$30,0))</f>
        <v/>
      </c>
      <c r="GS11">
        <f>INDEX($GR$25:$HC$25,MATCH(2,$GR$30:$HC$30,0))</f>
        <v/>
      </c>
      <c r="GT11">
        <f>INDEX($GR$25:$HC$25,MATCH(3,$GR$30:$HC$30,0))</f>
        <v/>
      </c>
      <c r="GU11">
        <f>INDEX($GR$25:$HC$25,MATCH(4,$GR$30:$HC$30,0))</f>
        <v/>
      </c>
      <c r="GV11">
        <f>INDEX($GR$25:$HC$25,MATCH(5,$GR$30:$HC$30,0))</f>
        <v/>
      </c>
      <c r="GW11">
        <f>INDEX($GR$25:$HC$25,MATCH(6,$GR$30:$HC$30,0))</f>
        <v/>
      </c>
      <c r="GX11">
        <f>INDEX($GR$25:$HC$25,MATCH(7,$GR$30:$HC$30,0))</f>
        <v/>
      </c>
      <c r="GY11">
        <f>INDEX($GR$25:$HC$25,MATCH(8,$GR$30:$HC$30,0))</f>
        <v/>
      </c>
      <c r="GZ11">
        <f>INDEX($GR$25:$HC$25,MATCH(9,$GR$30:$HC$30,0))</f>
        <v/>
      </c>
      <c r="HA11">
        <f>INDEX($GR$25:$HC$25,MATCH(10,$GR$30:$HC$30,0))</f>
        <v/>
      </c>
      <c r="HB11">
        <f>INDEX($GR$25:$HC$25,MATCH(11,$GR$30:$HC$30,0))</f>
        <v/>
      </c>
      <c r="HC11">
        <f>INDEX($GR$25:$HC$25,MATCH(12,$GR$30:$HC$30,0))</f>
        <v/>
      </c>
    </row>
    <row r="12">
      <c r="A12" s="1" t="inlineStr">
        <is>
          <t>M_row*Y_imp</t>
        </is>
      </c>
      <c r="B12">
        <f>INDEX($B$26:$GQ$26,MATCH(1,$B$29:$GQ$29,0))</f>
        <v/>
      </c>
      <c r="C12">
        <f>INDEX($B$26:$GQ$26,MATCH(2,$B$29:$GQ$29,0))</f>
        <v/>
      </c>
      <c r="D12">
        <f>INDEX($B$26:$GQ$26,MATCH(3,$B$29:$GQ$29,0))</f>
        <v/>
      </c>
      <c r="E12">
        <f>INDEX($B$26:$GQ$26,MATCH(4,$B$29:$GQ$29,0))</f>
        <v/>
      </c>
      <c r="F12">
        <f>INDEX($B$26:$GQ$26,MATCH(5,$B$29:$GQ$29,0))</f>
        <v/>
      </c>
      <c r="G12">
        <f>INDEX($B$26:$GQ$26,MATCH(6,$B$29:$GQ$29,0))</f>
        <v/>
      </c>
      <c r="H12">
        <f>INDEX($B$26:$GQ$26,MATCH(7,$B$29:$GQ$29,0))</f>
        <v/>
      </c>
      <c r="I12">
        <f>INDEX($B$26:$GQ$26,MATCH(8,$B$29:$GQ$29,0))</f>
        <v/>
      </c>
      <c r="J12">
        <f>INDEX($B$26:$GQ$26,MATCH(9,$B$29:$GQ$29,0))</f>
        <v/>
      </c>
      <c r="K12">
        <f>INDEX($B$26:$GQ$26,MATCH(10,$B$29:$GQ$29,0))</f>
        <v/>
      </c>
      <c r="L12">
        <f>INDEX($B$26:$GQ$26,MATCH(11,$B$29:$GQ$29,0))</f>
        <v/>
      </c>
      <c r="M12">
        <f>INDEX($B$26:$GQ$26,MATCH(12,$B$29:$GQ$29,0))</f>
        <v/>
      </c>
      <c r="N12">
        <f>INDEX($B$26:$GQ$26,MATCH(13,$B$29:$GQ$29,0))</f>
        <v/>
      </c>
      <c r="O12">
        <f>INDEX($B$26:$GQ$26,MATCH(14,$B$29:$GQ$29,0))</f>
        <v/>
      </c>
      <c r="P12">
        <f>INDEX($B$26:$GQ$26,MATCH(15,$B$29:$GQ$29,0))</f>
        <v/>
      </c>
      <c r="Q12">
        <f>INDEX($B$26:$GQ$26,MATCH(16,$B$29:$GQ$29,0))</f>
        <v/>
      </c>
      <c r="R12">
        <f>INDEX($B$26:$GQ$26,MATCH(17,$B$29:$GQ$29,0))</f>
        <v/>
      </c>
      <c r="S12">
        <f>INDEX($B$26:$GQ$26,MATCH(18,$B$29:$GQ$29,0))</f>
        <v/>
      </c>
      <c r="T12">
        <f>INDEX($B$26:$GQ$26,MATCH(19,$B$29:$GQ$29,0))</f>
        <v/>
      </c>
      <c r="U12">
        <f>INDEX($B$26:$GQ$26,MATCH(20,$B$29:$GQ$29,0))</f>
        <v/>
      </c>
      <c r="V12">
        <f>INDEX($B$26:$GQ$26,MATCH(21,$B$29:$GQ$29,0))</f>
        <v/>
      </c>
      <c r="W12">
        <f>INDEX($B$26:$GQ$26,MATCH(22,$B$29:$GQ$29,0))</f>
        <v/>
      </c>
      <c r="X12">
        <f>INDEX($B$26:$GQ$26,MATCH(23,$B$29:$GQ$29,0))</f>
        <v/>
      </c>
      <c r="Y12">
        <f>INDEX($B$26:$GQ$26,MATCH(24,$B$29:$GQ$29,0))</f>
        <v/>
      </c>
      <c r="Z12">
        <f>INDEX($B$26:$GQ$26,MATCH(25,$B$29:$GQ$29,0))</f>
        <v/>
      </c>
      <c r="AA12">
        <f>INDEX($B$26:$GQ$26,MATCH(26,$B$29:$GQ$29,0))</f>
        <v/>
      </c>
      <c r="AB12">
        <f>INDEX($B$26:$GQ$26,MATCH(27,$B$29:$GQ$29,0))</f>
        <v/>
      </c>
      <c r="AC12">
        <f>INDEX($B$26:$GQ$26,MATCH(28,$B$29:$GQ$29,0))</f>
        <v/>
      </c>
      <c r="AD12">
        <f>INDEX($B$26:$GQ$26,MATCH(29,$B$29:$GQ$29,0))</f>
        <v/>
      </c>
      <c r="AE12">
        <f>INDEX($B$26:$GQ$26,MATCH(30,$B$29:$GQ$29,0))</f>
        <v/>
      </c>
      <c r="AF12">
        <f>INDEX($B$26:$GQ$26,MATCH(31,$B$29:$GQ$29,0))</f>
        <v/>
      </c>
      <c r="AG12">
        <f>INDEX($B$26:$GQ$26,MATCH(32,$B$29:$GQ$29,0))</f>
        <v/>
      </c>
      <c r="AH12">
        <f>INDEX($B$26:$GQ$26,MATCH(33,$B$29:$GQ$29,0))</f>
        <v/>
      </c>
      <c r="AI12">
        <f>INDEX($B$26:$GQ$26,MATCH(34,$B$29:$GQ$29,0))</f>
        <v/>
      </c>
      <c r="AJ12">
        <f>INDEX($B$26:$GQ$26,MATCH(35,$B$29:$GQ$29,0))</f>
        <v/>
      </c>
      <c r="AK12">
        <f>INDEX($B$26:$GQ$26,MATCH(36,$B$29:$GQ$29,0))</f>
        <v/>
      </c>
      <c r="AL12">
        <f>INDEX($B$26:$GQ$26,MATCH(37,$B$29:$GQ$29,0))</f>
        <v/>
      </c>
      <c r="AM12">
        <f>INDEX($B$26:$GQ$26,MATCH(38,$B$29:$GQ$29,0))</f>
        <v/>
      </c>
      <c r="AN12">
        <f>INDEX($B$26:$GQ$26,MATCH(39,$B$29:$GQ$29,0))</f>
        <v/>
      </c>
      <c r="AO12">
        <f>INDEX($B$26:$GQ$26,MATCH(40,$B$29:$GQ$29,0))</f>
        <v/>
      </c>
      <c r="AP12">
        <f>INDEX($B$26:$GQ$26,MATCH(41,$B$29:$GQ$29,0))</f>
        <v/>
      </c>
      <c r="AQ12">
        <f>INDEX($B$26:$GQ$26,MATCH(42,$B$29:$GQ$29,0))</f>
        <v/>
      </c>
      <c r="AR12">
        <f>INDEX($B$26:$GQ$26,MATCH(43,$B$29:$GQ$29,0))</f>
        <v/>
      </c>
      <c r="AS12">
        <f>INDEX($B$26:$GQ$26,MATCH(44,$B$29:$GQ$29,0))</f>
        <v/>
      </c>
      <c r="AT12">
        <f>INDEX($B$26:$GQ$26,MATCH(45,$B$29:$GQ$29,0))</f>
        <v/>
      </c>
      <c r="AU12">
        <f>INDEX($B$26:$GQ$26,MATCH(46,$B$29:$GQ$29,0))</f>
        <v/>
      </c>
      <c r="AV12">
        <f>INDEX($B$26:$GQ$26,MATCH(47,$B$29:$GQ$29,0))</f>
        <v/>
      </c>
      <c r="AW12">
        <f>INDEX($B$26:$GQ$26,MATCH(48,$B$29:$GQ$29,0))</f>
        <v/>
      </c>
      <c r="AX12">
        <f>INDEX($B$26:$GQ$26,MATCH(49,$B$29:$GQ$29,0))</f>
        <v/>
      </c>
      <c r="AY12">
        <f>INDEX($B$26:$GQ$26,MATCH(50,$B$29:$GQ$29,0))</f>
        <v/>
      </c>
      <c r="AZ12">
        <f>INDEX($B$26:$GQ$26,MATCH(51,$B$29:$GQ$29,0))</f>
        <v/>
      </c>
      <c r="BA12">
        <f>INDEX($B$26:$GQ$26,MATCH(52,$B$29:$GQ$29,0))</f>
        <v/>
      </c>
      <c r="BB12">
        <f>INDEX($B$26:$GQ$26,MATCH(53,$B$29:$GQ$29,0))</f>
        <v/>
      </c>
      <c r="BC12">
        <f>INDEX($B$26:$GQ$26,MATCH(54,$B$29:$GQ$29,0))</f>
        <v/>
      </c>
      <c r="BD12">
        <f>INDEX($B$26:$GQ$26,MATCH(55,$B$29:$GQ$29,0))</f>
        <v/>
      </c>
      <c r="BE12">
        <f>INDEX($B$26:$GQ$26,MATCH(56,$B$29:$GQ$29,0))</f>
        <v/>
      </c>
      <c r="BF12">
        <f>INDEX($B$26:$GQ$26,MATCH(57,$B$29:$GQ$29,0))</f>
        <v/>
      </c>
      <c r="BG12">
        <f>INDEX($B$26:$GQ$26,MATCH(58,$B$29:$GQ$29,0))</f>
        <v/>
      </c>
      <c r="BH12">
        <f>INDEX($B$26:$GQ$26,MATCH(59,$B$29:$GQ$29,0))</f>
        <v/>
      </c>
      <c r="BI12">
        <f>INDEX($B$26:$GQ$26,MATCH(60,$B$29:$GQ$29,0))</f>
        <v/>
      </c>
      <c r="BJ12">
        <f>INDEX($B$26:$GQ$26,MATCH(61,$B$29:$GQ$29,0))</f>
        <v/>
      </c>
      <c r="BK12">
        <f>INDEX($B$26:$GQ$26,MATCH(62,$B$29:$GQ$29,0))</f>
        <v/>
      </c>
      <c r="BL12">
        <f>INDEX($B$26:$GQ$26,MATCH(63,$B$29:$GQ$29,0))</f>
        <v/>
      </c>
      <c r="BM12">
        <f>INDEX($B$26:$GQ$26,MATCH(64,$B$29:$GQ$29,0))</f>
        <v/>
      </c>
      <c r="BN12">
        <f>INDEX($B$26:$GQ$26,MATCH(65,$B$29:$GQ$29,0))</f>
        <v/>
      </c>
      <c r="BO12">
        <f>INDEX($B$26:$GQ$26,MATCH(66,$B$29:$GQ$29,0))</f>
        <v/>
      </c>
      <c r="BP12">
        <f>INDEX($B$26:$GQ$26,MATCH(67,$B$29:$GQ$29,0))</f>
        <v/>
      </c>
      <c r="BQ12">
        <f>INDEX($B$26:$GQ$26,MATCH(68,$B$29:$GQ$29,0))</f>
        <v/>
      </c>
      <c r="BR12">
        <f>INDEX($B$26:$GQ$26,MATCH(69,$B$29:$GQ$29,0))</f>
        <v/>
      </c>
      <c r="BS12">
        <f>INDEX($B$26:$GQ$26,MATCH(70,$B$29:$GQ$29,0))</f>
        <v/>
      </c>
      <c r="BT12">
        <f>INDEX($B$26:$GQ$26,MATCH(71,$B$29:$GQ$29,0))</f>
        <v/>
      </c>
      <c r="BU12">
        <f>INDEX($B$26:$GQ$26,MATCH(72,$B$29:$GQ$29,0))</f>
        <v/>
      </c>
      <c r="BV12">
        <f>INDEX($B$26:$GQ$26,MATCH(73,$B$29:$GQ$29,0))</f>
        <v/>
      </c>
      <c r="BW12">
        <f>INDEX($B$26:$GQ$26,MATCH(74,$B$29:$GQ$29,0))</f>
        <v/>
      </c>
      <c r="BX12">
        <f>INDEX($B$26:$GQ$26,MATCH(75,$B$29:$GQ$29,0))</f>
        <v/>
      </c>
      <c r="BY12">
        <f>INDEX($B$26:$GQ$26,MATCH(76,$B$29:$GQ$29,0))</f>
        <v/>
      </c>
      <c r="BZ12">
        <f>INDEX($B$26:$GQ$26,MATCH(77,$B$29:$GQ$29,0))</f>
        <v/>
      </c>
      <c r="CA12">
        <f>INDEX($B$26:$GQ$26,MATCH(78,$B$29:$GQ$29,0))</f>
        <v/>
      </c>
      <c r="CB12">
        <f>INDEX($B$26:$GQ$26,MATCH(79,$B$29:$GQ$29,0))</f>
        <v/>
      </c>
      <c r="CC12">
        <f>INDEX($B$26:$GQ$26,MATCH(80,$B$29:$GQ$29,0))</f>
        <v/>
      </c>
      <c r="CD12">
        <f>INDEX($B$26:$GQ$26,MATCH(81,$B$29:$GQ$29,0))</f>
        <v/>
      </c>
      <c r="CE12">
        <f>INDEX($B$26:$GQ$26,MATCH(82,$B$29:$GQ$29,0))</f>
        <v/>
      </c>
      <c r="CF12">
        <f>INDEX($B$26:$GQ$26,MATCH(83,$B$29:$GQ$29,0))</f>
        <v/>
      </c>
      <c r="CG12">
        <f>INDEX($B$26:$GQ$26,MATCH(84,$B$29:$GQ$29,0))</f>
        <v/>
      </c>
      <c r="CH12">
        <f>INDEX($B$26:$GQ$26,MATCH(85,$B$29:$GQ$29,0))</f>
        <v/>
      </c>
      <c r="CI12">
        <f>INDEX($B$26:$GQ$26,MATCH(86,$B$29:$GQ$29,0))</f>
        <v/>
      </c>
      <c r="CJ12">
        <f>INDEX($B$26:$GQ$26,MATCH(87,$B$29:$GQ$29,0))</f>
        <v/>
      </c>
      <c r="CK12">
        <f>INDEX($B$26:$GQ$26,MATCH(88,$B$29:$GQ$29,0))</f>
        <v/>
      </c>
      <c r="CL12">
        <f>INDEX($B$26:$GQ$26,MATCH(89,$B$29:$GQ$29,0))</f>
        <v/>
      </c>
      <c r="CM12">
        <f>INDEX($B$26:$GQ$26,MATCH(90,$B$29:$GQ$29,0))</f>
        <v/>
      </c>
      <c r="CN12">
        <f>INDEX($B$26:$GQ$26,MATCH(91,$B$29:$GQ$29,0))</f>
        <v/>
      </c>
      <c r="CO12">
        <f>INDEX($B$26:$GQ$26,MATCH(92,$B$29:$GQ$29,0))</f>
        <v/>
      </c>
      <c r="CP12">
        <f>INDEX($B$26:$GQ$26,MATCH(93,$B$29:$GQ$29,0))</f>
        <v/>
      </c>
      <c r="CQ12">
        <f>INDEX($B$26:$GQ$26,MATCH(94,$B$29:$GQ$29,0))</f>
        <v/>
      </c>
      <c r="CR12">
        <f>INDEX($B$26:$GQ$26,MATCH(95,$B$29:$GQ$29,0))</f>
        <v/>
      </c>
      <c r="CS12">
        <f>INDEX($B$26:$GQ$26,MATCH(96,$B$29:$GQ$29,0))</f>
        <v/>
      </c>
      <c r="CT12">
        <f>INDEX($B$26:$GQ$26,MATCH(97,$B$29:$GQ$29,0))</f>
        <v/>
      </c>
      <c r="CU12">
        <f>INDEX($B$26:$GQ$26,MATCH(98,$B$29:$GQ$29,0))</f>
        <v/>
      </c>
      <c r="CV12">
        <f>INDEX($B$26:$GQ$26,MATCH(99,$B$29:$GQ$29,0))</f>
        <v/>
      </c>
      <c r="CW12">
        <f>INDEX($B$26:$GQ$26,MATCH(100,$B$29:$GQ$29,0))</f>
        <v/>
      </c>
      <c r="CX12">
        <f>INDEX($B$26:$GQ$26,MATCH(101,$B$29:$GQ$29,0))</f>
        <v/>
      </c>
      <c r="CY12">
        <f>INDEX($B$26:$GQ$26,MATCH(102,$B$29:$GQ$29,0))</f>
        <v/>
      </c>
      <c r="CZ12">
        <f>INDEX($B$26:$GQ$26,MATCH(103,$B$29:$GQ$29,0))</f>
        <v/>
      </c>
      <c r="DA12">
        <f>INDEX($B$26:$GQ$26,MATCH(104,$B$29:$GQ$29,0))</f>
        <v/>
      </c>
      <c r="DB12">
        <f>INDEX($B$26:$GQ$26,MATCH(105,$B$29:$GQ$29,0))</f>
        <v/>
      </c>
      <c r="DC12">
        <f>INDEX($B$26:$GQ$26,MATCH(106,$B$29:$GQ$29,0))</f>
        <v/>
      </c>
      <c r="DD12">
        <f>INDEX($B$26:$GQ$26,MATCH(107,$B$29:$GQ$29,0))</f>
        <v/>
      </c>
      <c r="DE12">
        <f>INDEX($B$26:$GQ$26,MATCH(108,$B$29:$GQ$29,0))</f>
        <v/>
      </c>
      <c r="DF12">
        <f>INDEX($B$26:$GQ$26,MATCH(109,$B$29:$GQ$29,0))</f>
        <v/>
      </c>
      <c r="DG12">
        <f>INDEX($B$26:$GQ$26,MATCH(110,$B$29:$GQ$29,0))</f>
        <v/>
      </c>
      <c r="DH12">
        <f>INDEX($B$26:$GQ$26,MATCH(111,$B$29:$GQ$29,0))</f>
        <v/>
      </c>
      <c r="DI12">
        <f>INDEX($B$26:$GQ$26,MATCH(112,$B$29:$GQ$29,0))</f>
        <v/>
      </c>
      <c r="DJ12">
        <f>INDEX($B$26:$GQ$26,MATCH(113,$B$29:$GQ$29,0))</f>
        <v/>
      </c>
      <c r="DK12">
        <f>INDEX($B$26:$GQ$26,MATCH(114,$B$29:$GQ$29,0))</f>
        <v/>
      </c>
      <c r="DL12">
        <f>INDEX($B$26:$GQ$26,MATCH(115,$B$29:$GQ$29,0))</f>
        <v/>
      </c>
      <c r="DM12">
        <f>INDEX($B$26:$GQ$26,MATCH(116,$B$29:$GQ$29,0))</f>
        <v/>
      </c>
      <c r="DN12">
        <f>INDEX($B$26:$GQ$26,MATCH(117,$B$29:$GQ$29,0))</f>
        <v/>
      </c>
      <c r="DO12">
        <f>INDEX($B$26:$GQ$26,MATCH(118,$B$29:$GQ$29,0))</f>
        <v/>
      </c>
      <c r="DP12">
        <f>INDEX($B$26:$GQ$26,MATCH(119,$B$29:$GQ$29,0))</f>
        <v/>
      </c>
      <c r="DQ12">
        <f>INDEX($B$26:$GQ$26,MATCH(120,$B$29:$GQ$29,0))</f>
        <v/>
      </c>
      <c r="DR12">
        <f>INDEX($B$26:$GQ$26,MATCH(121,$B$29:$GQ$29,0))</f>
        <v/>
      </c>
      <c r="DS12">
        <f>INDEX($B$26:$GQ$26,MATCH(122,$B$29:$GQ$29,0))</f>
        <v/>
      </c>
      <c r="DT12">
        <f>INDEX($B$26:$GQ$26,MATCH(123,$B$29:$GQ$29,0))</f>
        <v/>
      </c>
      <c r="DU12">
        <f>INDEX($B$26:$GQ$26,MATCH(124,$B$29:$GQ$29,0))</f>
        <v/>
      </c>
      <c r="DV12">
        <f>INDEX($B$26:$GQ$26,MATCH(125,$B$29:$GQ$29,0))</f>
        <v/>
      </c>
      <c r="DW12">
        <f>INDEX($B$26:$GQ$26,MATCH(126,$B$29:$GQ$29,0))</f>
        <v/>
      </c>
      <c r="DX12">
        <f>INDEX($B$26:$GQ$26,MATCH(127,$B$29:$GQ$29,0))</f>
        <v/>
      </c>
      <c r="DY12">
        <f>INDEX($B$26:$GQ$26,MATCH(128,$B$29:$GQ$29,0))</f>
        <v/>
      </c>
      <c r="DZ12">
        <f>INDEX($B$26:$GQ$26,MATCH(129,$B$29:$GQ$29,0))</f>
        <v/>
      </c>
      <c r="EA12">
        <f>INDEX($B$26:$GQ$26,MATCH(130,$B$29:$GQ$29,0))</f>
        <v/>
      </c>
      <c r="EB12">
        <f>INDEX($B$26:$GQ$26,MATCH(131,$B$29:$GQ$29,0))</f>
        <v/>
      </c>
      <c r="EC12">
        <f>INDEX($B$26:$GQ$26,MATCH(132,$B$29:$GQ$29,0))</f>
        <v/>
      </c>
      <c r="ED12">
        <f>INDEX($B$26:$GQ$26,MATCH(133,$B$29:$GQ$29,0))</f>
        <v/>
      </c>
      <c r="EE12">
        <f>INDEX($B$26:$GQ$26,MATCH(134,$B$29:$GQ$29,0))</f>
        <v/>
      </c>
      <c r="EF12">
        <f>INDEX($B$26:$GQ$26,MATCH(135,$B$29:$GQ$29,0))</f>
        <v/>
      </c>
      <c r="EG12">
        <f>INDEX($B$26:$GQ$26,MATCH(136,$B$29:$GQ$29,0))</f>
        <v/>
      </c>
      <c r="EH12">
        <f>INDEX($B$26:$GQ$26,MATCH(137,$B$29:$GQ$29,0))</f>
        <v/>
      </c>
      <c r="EI12">
        <f>INDEX($B$26:$GQ$26,MATCH(138,$B$29:$GQ$29,0))</f>
        <v/>
      </c>
      <c r="EJ12">
        <f>INDEX($B$26:$GQ$26,MATCH(139,$B$29:$GQ$29,0))</f>
        <v/>
      </c>
      <c r="EK12">
        <f>INDEX($B$26:$GQ$26,MATCH(140,$B$29:$GQ$29,0))</f>
        <v/>
      </c>
      <c r="EL12">
        <f>INDEX($B$26:$GQ$26,MATCH(141,$B$29:$GQ$29,0))</f>
        <v/>
      </c>
      <c r="EM12">
        <f>INDEX($B$26:$GQ$26,MATCH(142,$B$29:$GQ$29,0))</f>
        <v/>
      </c>
      <c r="EN12">
        <f>INDEX($B$26:$GQ$26,MATCH(143,$B$29:$GQ$29,0))</f>
        <v/>
      </c>
      <c r="EO12">
        <f>INDEX($B$26:$GQ$26,MATCH(144,$B$29:$GQ$29,0))</f>
        <v/>
      </c>
      <c r="EP12">
        <f>INDEX($B$26:$GQ$26,MATCH(145,$B$29:$GQ$29,0))</f>
        <v/>
      </c>
      <c r="EQ12">
        <f>INDEX($B$26:$GQ$26,MATCH(146,$B$29:$GQ$29,0))</f>
        <v/>
      </c>
      <c r="ER12">
        <f>INDEX($B$26:$GQ$26,MATCH(147,$B$29:$GQ$29,0))</f>
        <v/>
      </c>
      <c r="ES12">
        <f>INDEX($B$26:$GQ$26,MATCH(148,$B$29:$GQ$29,0))</f>
        <v/>
      </c>
      <c r="ET12">
        <f>INDEX($B$26:$GQ$26,MATCH(149,$B$29:$GQ$29,0))</f>
        <v/>
      </c>
      <c r="EU12">
        <f>INDEX($B$26:$GQ$26,MATCH(150,$B$29:$GQ$29,0))</f>
        <v/>
      </c>
      <c r="EV12">
        <f>INDEX($B$26:$GQ$26,MATCH(151,$B$29:$GQ$29,0))</f>
        <v/>
      </c>
      <c r="EW12">
        <f>INDEX($B$26:$GQ$26,MATCH(152,$B$29:$GQ$29,0))</f>
        <v/>
      </c>
      <c r="EX12">
        <f>INDEX($B$26:$GQ$26,MATCH(153,$B$29:$GQ$29,0))</f>
        <v/>
      </c>
      <c r="EY12">
        <f>INDEX($B$26:$GQ$26,MATCH(154,$B$29:$GQ$29,0))</f>
        <v/>
      </c>
      <c r="EZ12">
        <f>INDEX($B$26:$GQ$26,MATCH(155,$B$29:$GQ$29,0))</f>
        <v/>
      </c>
      <c r="FA12">
        <f>INDEX($B$26:$GQ$26,MATCH(156,$B$29:$GQ$29,0))</f>
        <v/>
      </c>
      <c r="FB12">
        <f>INDEX($B$26:$GQ$26,MATCH(157,$B$29:$GQ$29,0))</f>
        <v/>
      </c>
      <c r="FC12">
        <f>INDEX($B$26:$GQ$26,MATCH(158,$B$29:$GQ$29,0))</f>
        <v/>
      </c>
      <c r="FD12">
        <f>INDEX($B$26:$GQ$26,MATCH(159,$B$29:$GQ$29,0))</f>
        <v/>
      </c>
      <c r="FE12">
        <f>INDEX($B$26:$GQ$26,MATCH(160,$B$29:$GQ$29,0))</f>
        <v/>
      </c>
      <c r="FF12">
        <f>INDEX($B$26:$GQ$26,MATCH(161,$B$29:$GQ$29,0))</f>
        <v/>
      </c>
      <c r="FG12">
        <f>INDEX($B$26:$GQ$26,MATCH(162,$B$29:$GQ$29,0))</f>
        <v/>
      </c>
      <c r="FH12">
        <f>INDEX($B$26:$GQ$26,MATCH(163,$B$29:$GQ$29,0))</f>
        <v/>
      </c>
      <c r="FI12">
        <f>INDEX($B$26:$GQ$26,MATCH(164,$B$29:$GQ$29,0))</f>
        <v/>
      </c>
      <c r="FJ12">
        <f>INDEX($B$26:$GQ$26,MATCH(165,$B$29:$GQ$29,0))</f>
        <v/>
      </c>
      <c r="FK12">
        <f>INDEX($B$26:$GQ$26,MATCH(166,$B$29:$GQ$29,0))</f>
        <v/>
      </c>
      <c r="FL12">
        <f>INDEX($B$26:$GQ$26,MATCH(167,$B$29:$GQ$29,0))</f>
        <v/>
      </c>
      <c r="FM12">
        <f>INDEX($B$26:$GQ$26,MATCH(168,$B$29:$GQ$29,0))</f>
        <v/>
      </c>
      <c r="FN12">
        <f>INDEX($B$26:$GQ$26,MATCH(169,$B$29:$GQ$29,0))</f>
        <v/>
      </c>
      <c r="FO12">
        <f>INDEX($B$26:$GQ$26,MATCH(170,$B$29:$GQ$29,0))</f>
        <v/>
      </c>
      <c r="FP12">
        <f>INDEX($B$26:$GQ$26,MATCH(171,$B$29:$GQ$29,0))</f>
        <v/>
      </c>
      <c r="FQ12">
        <f>INDEX($B$26:$GQ$26,MATCH(172,$B$29:$GQ$29,0))</f>
        <v/>
      </c>
      <c r="FR12">
        <f>INDEX($B$26:$GQ$26,MATCH(173,$B$29:$GQ$29,0))</f>
        <v/>
      </c>
      <c r="FS12">
        <f>INDEX($B$26:$GQ$26,MATCH(174,$B$29:$GQ$29,0))</f>
        <v/>
      </c>
      <c r="FT12">
        <f>INDEX($B$26:$GQ$26,MATCH(175,$B$29:$GQ$29,0))</f>
        <v/>
      </c>
      <c r="FU12">
        <f>INDEX($B$26:$GQ$26,MATCH(176,$B$29:$GQ$29,0))</f>
        <v/>
      </c>
      <c r="FV12">
        <f>INDEX($B$26:$GQ$26,MATCH(177,$B$29:$GQ$29,0))</f>
        <v/>
      </c>
      <c r="FW12">
        <f>INDEX($B$26:$GQ$26,MATCH(178,$B$29:$GQ$29,0))</f>
        <v/>
      </c>
      <c r="FX12">
        <f>INDEX($B$26:$GQ$26,MATCH(179,$B$29:$GQ$29,0))</f>
        <v/>
      </c>
      <c r="FY12">
        <f>INDEX($B$26:$GQ$26,MATCH(180,$B$29:$GQ$29,0))</f>
        <v/>
      </c>
      <c r="FZ12">
        <f>INDEX($B$26:$GQ$26,MATCH(181,$B$29:$GQ$29,0))</f>
        <v/>
      </c>
      <c r="GA12">
        <f>INDEX($B$26:$GQ$26,MATCH(182,$B$29:$GQ$29,0))</f>
        <v/>
      </c>
      <c r="GB12">
        <f>INDEX($B$26:$GQ$26,MATCH(183,$B$29:$GQ$29,0))</f>
        <v/>
      </c>
      <c r="GC12">
        <f>INDEX($B$26:$GQ$26,MATCH(184,$B$29:$GQ$29,0))</f>
        <v/>
      </c>
      <c r="GD12">
        <f>INDEX($B$26:$GQ$26,MATCH(185,$B$29:$GQ$29,0))</f>
        <v/>
      </c>
      <c r="GE12">
        <f>INDEX($B$26:$GQ$26,MATCH(186,$B$29:$GQ$29,0))</f>
        <v/>
      </c>
      <c r="GF12">
        <f>INDEX($B$26:$GQ$26,MATCH(187,$B$29:$GQ$29,0))</f>
        <v/>
      </c>
      <c r="GG12">
        <f>INDEX($B$26:$GQ$26,MATCH(188,$B$29:$GQ$29,0))</f>
        <v/>
      </c>
      <c r="GH12">
        <f>INDEX($B$26:$GQ$26,MATCH(189,$B$29:$GQ$29,0))</f>
        <v/>
      </c>
      <c r="GI12">
        <f>INDEX($B$26:$GQ$26,MATCH(190,$B$29:$GQ$29,0))</f>
        <v/>
      </c>
      <c r="GJ12">
        <f>INDEX($B$26:$GQ$26,MATCH(191,$B$29:$GQ$29,0))</f>
        <v/>
      </c>
      <c r="GK12">
        <f>INDEX($B$26:$GQ$26,MATCH(192,$B$29:$GQ$29,0))</f>
        <v/>
      </c>
      <c r="GL12">
        <f>INDEX($B$26:$GQ$26,MATCH(193,$B$29:$GQ$29,0))</f>
        <v/>
      </c>
      <c r="GM12">
        <f>INDEX($B$26:$GQ$26,MATCH(194,$B$29:$GQ$29,0))</f>
        <v/>
      </c>
      <c r="GN12">
        <f>INDEX($B$26:$GQ$26,MATCH(195,$B$29:$GQ$29,0))</f>
        <v/>
      </c>
      <c r="GO12">
        <f>INDEX($B$26:$GQ$26,MATCH(196,$B$29:$GQ$29,0))</f>
        <v/>
      </c>
      <c r="GP12">
        <f>INDEX($B$26:$GQ$26,MATCH(197,$B$29:$GQ$29,0))</f>
        <v/>
      </c>
      <c r="GQ12">
        <f>INDEX($B$26:$GQ$26,MATCH(198,$B$29:$GQ$29,0))</f>
        <v/>
      </c>
      <c r="GR12">
        <f>INDEX($GR$26:$HC$26,MATCH(1,$GR$30:$HC$30,0))</f>
        <v/>
      </c>
      <c r="GS12">
        <f>INDEX($GR$26:$HC$26,MATCH(2,$GR$30:$HC$30,0))</f>
        <v/>
      </c>
      <c r="GT12">
        <f>INDEX($GR$26:$HC$26,MATCH(3,$GR$30:$HC$30,0))</f>
        <v/>
      </c>
      <c r="GU12">
        <f>INDEX($GR$26:$HC$26,MATCH(4,$GR$30:$HC$30,0))</f>
        <v/>
      </c>
      <c r="GV12">
        <f>INDEX($GR$26:$HC$26,MATCH(5,$GR$30:$HC$30,0))</f>
        <v/>
      </c>
      <c r="GW12">
        <f>INDEX($GR$26:$HC$26,MATCH(6,$GR$30:$HC$30,0))</f>
        <v/>
      </c>
      <c r="GX12">
        <f>INDEX($GR$26:$HC$26,MATCH(7,$GR$30:$HC$30,0))</f>
        <v/>
      </c>
      <c r="GY12">
        <f>INDEX($GR$26:$HC$26,MATCH(8,$GR$30:$HC$30,0))</f>
        <v/>
      </c>
      <c r="GZ12">
        <f>INDEX($GR$26:$HC$26,MATCH(9,$GR$30:$HC$30,0))</f>
        <v/>
      </c>
      <c r="HA12">
        <f>INDEX($GR$26:$HC$26,MATCH(10,$GR$30:$HC$30,0))</f>
        <v/>
      </c>
      <c r="HB12">
        <f>INDEX($GR$26:$HC$26,MATCH(11,$GR$30:$HC$30,0))</f>
        <v/>
      </c>
      <c r="HC12">
        <f>INDEX($GR$26:$HC$26,MATCH(12,$GR$30:$HC$30,0))</f>
        <v/>
      </c>
    </row>
    <row r="13">
      <c r="A13" s="1" t="inlineStr">
        <is>
          <t>M_imp*Y_dom+M_dom*Y_dom+M_row*Y_imp</t>
        </is>
      </c>
      <c r="B13">
        <f>INDEX($B$27:$GQ$27,MATCH(1,$B$29:$GQ$29,0))</f>
        <v/>
      </c>
      <c r="C13">
        <f>INDEX($B$27:$GQ$27,MATCH(2,$B$29:$GQ$29,0))</f>
        <v/>
      </c>
      <c r="D13">
        <f>INDEX($B$27:$GQ$27,MATCH(3,$B$29:$GQ$29,0))</f>
        <v/>
      </c>
      <c r="E13">
        <f>INDEX($B$27:$GQ$27,MATCH(4,$B$29:$GQ$29,0))</f>
        <v/>
      </c>
      <c r="F13">
        <f>INDEX($B$27:$GQ$27,MATCH(5,$B$29:$GQ$29,0))</f>
        <v/>
      </c>
      <c r="G13">
        <f>INDEX($B$27:$GQ$27,MATCH(6,$B$29:$GQ$29,0))</f>
        <v/>
      </c>
      <c r="H13">
        <f>INDEX($B$27:$GQ$27,MATCH(7,$B$29:$GQ$29,0))</f>
        <v/>
      </c>
      <c r="I13">
        <f>INDEX($B$27:$GQ$27,MATCH(8,$B$29:$GQ$29,0))</f>
        <v/>
      </c>
      <c r="J13">
        <f>INDEX($B$27:$GQ$27,MATCH(9,$B$29:$GQ$29,0))</f>
        <v/>
      </c>
      <c r="K13">
        <f>INDEX($B$27:$GQ$27,MATCH(10,$B$29:$GQ$29,0))</f>
        <v/>
      </c>
      <c r="L13">
        <f>INDEX($B$27:$GQ$27,MATCH(11,$B$29:$GQ$29,0))</f>
        <v/>
      </c>
      <c r="M13">
        <f>INDEX($B$27:$GQ$27,MATCH(12,$B$29:$GQ$29,0))</f>
        <v/>
      </c>
      <c r="N13">
        <f>INDEX($B$27:$GQ$27,MATCH(13,$B$29:$GQ$29,0))</f>
        <v/>
      </c>
      <c r="O13">
        <f>INDEX($B$27:$GQ$27,MATCH(14,$B$29:$GQ$29,0))</f>
        <v/>
      </c>
      <c r="P13">
        <f>INDEX($B$27:$GQ$27,MATCH(15,$B$29:$GQ$29,0))</f>
        <v/>
      </c>
      <c r="Q13">
        <f>INDEX($B$27:$GQ$27,MATCH(16,$B$29:$GQ$29,0))</f>
        <v/>
      </c>
      <c r="R13">
        <f>INDEX($B$27:$GQ$27,MATCH(17,$B$29:$GQ$29,0))</f>
        <v/>
      </c>
      <c r="S13">
        <f>INDEX($B$27:$GQ$27,MATCH(18,$B$29:$GQ$29,0))</f>
        <v/>
      </c>
      <c r="T13">
        <f>INDEX($B$27:$GQ$27,MATCH(19,$B$29:$GQ$29,0))</f>
        <v/>
      </c>
      <c r="U13">
        <f>INDEX($B$27:$GQ$27,MATCH(20,$B$29:$GQ$29,0))</f>
        <v/>
      </c>
      <c r="V13">
        <f>INDEX($B$27:$GQ$27,MATCH(21,$B$29:$GQ$29,0))</f>
        <v/>
      </c>
      <c r="W13">
        <f>INDEX($B$27:$GQ$27,MATCH(22,$B$29:$GQ$29,0))</f>
        <v/>
      </c>
      <c r="X13">
        <f>INDEX($B$27:$GQ$27,MATCH(23,$B$29:$GQ$29,0))</f>
        <v/>
      </c>
      <c r="Y13">
        <f>INDEX($B$27:$GQ$27,MATCH(24,$B$29:$GQ$29,0))</f>
        <v/>
      </c>
      <c r="Z13">
        <f>INDEX($B$27:$GQ$27,MATCH(25,$B$29:$GQ$29,0))</f>
        <v/>
      </c>
      <c r="AA13">
        <f>INDEX($B$27:$GQ$27,MATCH(26,$B$29:$GQ$29,0))</f>
        <v/>
      </c>
      <c r="AB13">
        <f>INDEX($B$27:$GQ$27,MATCH(27,$B$29:$GQ$29,0))</f>
        <v/>
      </c>
      <c r="AC13">
        <f>INDEX($B$27:$GQ$27,MATCH(28,$B$29:$GQ$29,0))</f>
        <v/>
      </c>
      <c r="AD13">
        <f>INDEX($B$27:$GQ$27,MATCH(29,$B$29:$GQ$29,0))</f>
        <v/>
      </c>
      <c r="AE13">
        <f>INDEX($B$27:$GQ$27,MATCH(30,$B$29:$GQ$29,0))</f>
        <v/>
      </c>
      <c r="AF13">
        <f>INDEX($B$27:$GQ$27,MATCH(31,$B$29:$GQ$29,0))</f>
        <v/>
      </c>
      <c r="AG13">
        <f>INDEX($B$27:$GQ$27,MATCH(32,$B$29:$GQ$29,0))</f>
        <v/>
      </c>
      <c r="AH13">
        <f>INDEX($B$27:$GQ$27,MATCH(33,$B$29:$GQ$29,0))</f>
        <v/>
      </c>
      <c r="AI13">
        <f>INDEX($B$27:$GQ$27,MATCH(34,$B$29:$GQ$29,0))</f>
        <v/>
      </c>
      <c r="AJ13">
        <f>INDEX($B$27:$GQ$27,MATCH(35,$B$29:$GQ$29,0))</f>
        <v/>
      </c>
      <c r="AK13">
        <f>INDEX($B$27:$GQ$27,MATCH(36,$B$29:$GQ$29,0))</f>
        <v/>
      </c>
      <c r="AL13">
        <f>INDEX($B$27:$GQ$27,MATCH(37,$B$29:$GQ$29,0))</f>
        <v/>
      </c>
      <c r="AM13">
        <f>INDEX($B$27:$GQ$27,MATCH(38,$B$29:$GQ$29,0))</f>
        <v/>
      </c>
      <c r="AN13">
        <f>INDEX($B$27:$GQ$27,MATCH(39,$B$29:$GQ$29,0))</f>
        <v/>
      </c>
      <c r="AO13">
        <f>INDEX($B$27:$GQ$27,MATCH(40,$B$29:$GQ$29,0))</f>
        <v/>
      </c>
      <c r="AP13">
        <f>INDEX($B$27:$GQ$27,MATCH(41,$B$29:$GQ$29,0))</f>
        <v/>
      </c>
      <c r="AQ13">
        <f>INDEX($B$27:$GQ$27,MATCH(42,$B$29:$GQ$29,0))</f>
        <v/>
      </c>
      <c r="AR13">
        <f>INDEX($B$27:$GQ$27,MATCH(43,$B$29:$GQ$29,0))</f>
        <v/>
      </c>
      <c r="AS13">
        <f>INDEX($B$27:$GQ$27,MATCH(44,$B$29:$GQ$29,0))</f>
        <v/>
      </c>
      <c r="AT13">
        <f>INDEX($B$27:$GQ$27,MATCH(45,$B$29:$GQ$29,0))</f>
        <v/>
      </c>
      <c r="AU13">
        <f>INDEX($B$27:$GQ$27,MATCH(46,$B$29:$GQ$29,0))</f>
        <v/>
      </c>
      <c r="AV13">
        <f>INDEX($B$27:$GQ$27,MATCH(47,$B$29:$GQ$29,0))</f>
        <v/>
      </c>
      <c r="AW13">
        <f>INDEX($B$27:$GQ$27,MATCH(48,$B$29:$GQ$29,0))</f>
        <v/>
      </c>
      <c r="AX13">
        <f>INDEX($B$27:$GQ$27,MATCH(49,$B$29:$GQ$29,0))</f>
        <v/>
      </c>
      <c r="AY13">
        <f>INDEX($B$27:$GQ$27,MATCH(50,$B$29:$GQ$29,0))</f>
        <v/>
      </c>
      <c r="AZ13">
        <f>INDEX($B$27:$GQ$27,MATCH(51,$B$29:$GQ$29,0))</f>
        <v/>
      </c>
      <c r="BA13">
        <f>INDEX($B$27:$GQ$27,MATCH(52,$B$29:$GQ$29,0))</f>
        <v/>
      </c>
      <c r="BB13">
        <f>INDEX($B$27:$GQ$27,MATCH(53,$B$29:$GQ$29,0))</f>
        <v/>
      </c>
      <c r="BC13">
        <f>INDEX($B$27:$GQ$27,MATCH(54,$B$29:$GQ$29,0))</f>
        <v/>
      </c>
      <c r="BD13">
        <f>INDEX($B$27:$GQ$27,MATCH(55,$B$29:$GQ$29,0))</f>
        <v/>
      </c>
      <c r="BE13">
        <f>INDEX($B$27:$GQ$27,MATCH(56,$B$29:$GQ$29,0))</f>
        <v/>
      </c>
      <c r="BF13">
        <f>INDEX($B$27:$GQ$27,MATCH(57,$B$29:$GQ$29,0))</f>
        <v/>
      </c>
      <c r="BG13">
        <f>INDEX($B$27:$GQ$27,MATCH(58,$B$29:$GQ$29,0))</f>
        <v/>
      </c>
      <c r="BH13">
        <f>INDEX($B$27:$GQ$27,MATCH(59,$B$29:$GQ$29,0))</f>
        <v/>
      </c>
      <c r="BI13">
        <f>INDEX($B$27:$GQ$27,MATCH(60,$B$29:$GQ$29,0))</f>
        <v/>
      </c>
      <c r="BJ13">
        <f>INDEX($B$27:$GQ$27,MATCH(61,$B$29:$GQ$29,0))</f>
        <v/>
      </c>
      <c r="BK13">
        <f>INDEX($B$27:$GQ$27,MATCH(62,$B$29:$GQ$29,0))</f>
        <v/>
      </c>
      <c r="BL13">
        <f>INDEX($B$27:$GQ$27,MATCH(63,$B$29:$GQ$29,0))</f>
        <v/>
      </c>
      <c r="BM13">
        <f>INDEX($B$27:$GQ$27,MATCH(64,$B$29:$GQ$29,0))</f>
        <v/>
      </c>
      <c r="BN13">
        <f>INDEX($B$27:$GQ$27,MATCH(65,$B$29:$GQ$29,0))</f>
        <v/>
      </c>
      <c r="BO13">
        <f>INDEX($B$27:$GQ$27,MATCH(66,$B$29:$GQ$29,0))</f>
        <v/>
      </c>
      <c r="BP13">
        <f>INDEX($B$27:$GQ$27,MATCH(67,$B$29:$GQ$29,0))</f>
        <v/>
      </c>
      <c r="BQ13">
        <f>INDEX($B$27:$GQ$27,MATCH(68,$B$29:$GQ$29,0))</f>
        <v/>
      </c>
      <c r="BR13">
        <f>INDEX($B$27:$GQ$27,MATCH(69,$B$29:$GQ$29,0))</f>
        <v/>
      </c>
      <c r="BS13">
        <f>INDEX($B$27:$GQ$27,MATCH(70,$B$29:$GQ$29,0))</f>
        <v/>
      </c>
      <c r="BT13">
        <f>INDEX($B$27:$GQ$27,MATCH(71,$B$29:$GQ$29,0))</f>
        <v/>
      </c>
      <c r="BU13">
        <f>INDEX($B$27:$GQ$27,MATCH(72,$B$29:$GQ$29,0))</f>
        <v/>
      </c>
      <c r="BV13">
        <f>INDEX($B$27:$GQ$27,MATCH(73,$B$29:$GQ$29,0))</f>
        <v/>
      </c>
      <c r="BW13">
        <f>INDEX($B$27:$GQ$27,MATCH(74,$B$29:$GQ$29,0))</f>
        <v/>
      </c>
      <c r="BX13">
        <f>INDEX($B$27:$GQ$27,MATCH(75,$B$29:$GQ$29,0))</f>
        <v/>
      </c>
      <c r="BY13">
        <f>INDEX($B$27:$GQ$27,MATCH(76,$B$29:$GQ$29,0))</f>
        <v/>
      </c>
      <c r="BZ13">
        <f>INDEX($B$27:$GQ$27,MATCH(77,$B$29:$GQ$29,0))</f>
        <v/>
      </c>
      <c r="CA13">
        <f>INDEX($B$27:$GQ$27,MATCH(78,$B$29:$GQ$29,0))</f>
        <v/>
      </c>
      <c r="CB13">
        <f>INDEX($B$27:$GQ$27,MATCH(79,$B$29:$GQ$29,0))</f>
        <v/>
      </c>
      <c r="CC13">
        <f>INDEX($B$27:$GQ$27,MATCH(80,$B$29:$GQ$29,0))</f>
        <v/>
      </c>
      <c r="CD13">
        <f>INDEX($B$27:$GQ$27,MATCH(81,$B$29:$GQ$29,0))</f>
        <v/>
      </c>
      <c r="CE13">
        <f>INDEX($B$27:$GQ$27,MATCH(82,$B$29:$GQ$29,0))</f>
        <v/>
      </c>
      <c r="CF13">
        <f>INDEX($B$27:$GQ$27,MATCH(83,$B$29:$GQ$29,0))</f>
        <v/>
      </c>
      <c r="CG13">
        <f>INDEX($B$27:$GQ$27,MATCH(84,$B$29:$GQ$29,0))</f>
        <v/>
      </c>
      <c r="CH13">
        <f>INDEX($B$27:$GQ$27,MATCH(85,$B$29:$GQ$29,0))</f>
        <v/>
      </c>
      <c r="CI13">
        <f>INDEX($B$27:$GQ$27,MATCH(86,$B$29:$GQ$29,0))</f>
        <v/>
      </c>
      <c r="CJ13">
        <f>INDEX($B$27:$GQ$27,MATCH(87,$B$29:$GQ$29,0))</f>
        <v/>
      </c>
      <c r="CK13">
        <f>INDEX($B$27:$GQ$27,MATCH(88,$B$29:$GQ$29,0))</f>
        <v/>
      </c>
      <c r="CL13">
        <f>INDEX($B$27:$GQ$27,MATCH(89,$B$29:$GQ$29,0))</f>
        <v/>
      </c>
      <c r="CM13">
        <f>INDEX($B$27:$GQ$27,MATCH(90,$B$29:$GQ$29,0))</f>
        <v/>
      </c>
      <c r="CN13">
        <f>INDEX($B$27:$GQ$27,MATCH(91,$B$29:$GQ$29,0))</f>
        <v/>
      </c>
      <c r="CO13">
        <f>INDEX($B$27:$GQ$27,MATCH(92,$B$29:$GQ$29,0))</f>
        <v/>
      </c>
      <c r="CP13">
        <f>INDEX($B$27:$GQ$27,MATCH(93,$B$29:$GQ$29,0))</f>
        <v/>
      </c>
      <c r="CQ13">
        <f>INDEX($B$27:$GQ$27,MATCH(94,$B$29:$GQ$29,0))</f>
        <v/>
      </c>
      <c r="CR13">
        <f>INDEX($B$27:$GQ$27,MATCH(95,$B$29:$GQ$29,0))</f>
        <v/>
      </c>
      <c r="CS13">
        <f>INDEX($B$27:$GQ$27,MATCH(96,$B$29:$GQ$29,0))</f>
        <v/>
      </c>
      <c r="CT13">
        <f>INDEX($B$27:$GQ$27,MATCH(97,$B$29:$GQ$29,0))</f>
        <v/>
      </c>
      <c r="CU13">
        <f>INDEX($B$27:$GQ$27,MATCH(98,$B$29:$GQ$29,0))</f>
        <v/>
      </c>
      <c r="CV13">
        <f>INDEX($B$27:$GQ$27,MATCH(99,$B$29:$GQ$29,0))</f>
        <v/>
      </c>
      <c r="CW13">
        <f>INDEX($B$27:$GQ$27,MATCH(100,$B$29:$GQ$29,0))</f>
        <v/>
      </c>
      <c r="CX13">
        <f>INDEX($B$27:$GQ$27,MATCH(101,$B$29:$GQ$29,0))</f>
        <v/>
      </c>
      <c r="CY13">
        <f>INDEX($B$27:$GQ$27,MATCH(102,$B$29:$GQ$29,0))</f>
        <v/>
      </c>
      <c r="CZ13">
        <f>INDEX($B$27:$GQ$27,MATCH(103,$B$29:$GQ$29,0))</f>
        <v/>
      </c>
      <c r="DA13">
        <f>INDEX($B$27:$GQ$27,MATCH(104,$B$29:$GQ$29,0))</f>
        <v/>
      </c>
      <c r="DB13">
        <f>INDEX($B$27:$GQ$27,MATCH(105,$B$29:$GQ$29,0))</f>
        <v/>
      </c>
      <c r="DC13">
        <f>INDEX($B$27:$GQ$27,MATCH(106,$B$29:$GQ$29,0))</f>
        <v/>
      </c>
      <c r="DD13">
        <f>INDEX($B$27:$GQ$27,MATCH(107,$B$29:$GQ$29,0))</f>
        <v/>
      </c>
      <c r="DE13">
        <f>INDEX($B$27:$GQ$27,MATCH(108,$B$29:$GQ$29,0))</f>
        <v/>
      </c>
      <c r="DF13">
        <f>INDEX($B$27:$GQ$27,MATCH(109,$B$29:$GQ$29,0))</f>
        <v/>
      </c>
      <c r="DG13">
        <f>INDEX($B$27:$GQ$27,MATCH(110,$B$29:$GQ$29,0))</f>
        <v/>
      </c>
      <c r="DH13">
        <f>INDEX($B$27:$GQ$27,MATCH(111,$B$29:$GQ$29,0))</f>
        <v/>
      </c>
      <c r="DI13">
        <f>INDEX($B$27:$GQ$27,MATCH(112,$B$29:$GQ$29,0))</f>
        <v/>
      </c>
      <c r="DJ13">
        <f>INDEX($B$27:$GQ$27,MATCH(113,$B$29:$GQ$29,0))</f>
        <v/>
      </c>
      <c r="DK13">
        <f>INDEX($B$27:$GQ$27,MATCH(114,$B$29:$GQ$29,0))</f>
        <v/>
      </c>
      <c r="DL13">
        <f>INDEX($B$27:$GQ$27,MATCH(115,$B$29:$GQ$29,0))</f>
        <v/>
      </c>
      <c r="DM13">
        <f>INDEX($B$27:$GQ$27,MATCH(116,$B$29:$GQ$29,0))</f>
        <v/>
      </c>
      <c r="DN13">
        <f>INDEX($B$27:$GQ$27,MATCH(117,$B$29:$GQ$29,0))</f>
        <v/>
      </c>
      <c r="DO13">
        <f>INDEX($B$27:$GQ$27,MATCH(118,$B$29:$GQ$29,0))</f>
        <v/>
      </c>
      <c r="DP13">
        <f>INDEX($B$27:$GQ$27,MATCH(119,$B$29:$GQ$29,0))</f>
        <v/>
      </c>
      <c r="DQ13">
        <f>INDEX($B$27:$GQ$27,MATCH(120,$B$29:$GQ$29,0))</f>
        <v/>
      </c>
      <c r="DR13">
        <f>INDEX($B$27:$GQ$27,MATCH(121,$B$29:$GQ$29,0))</f>
        <v/>
      </c>
      <c r="DS13">
        <f>INDEX($B$27:$GQ$27,MATCH(122,$B$29:$GQ$29,0))</f>
        <v/>
      </c>
      <c r="DT13">
        <f>INDEX($B$27:$GQ$27,MATCH(123,$B$29:$GQ$29,0))</f>
        <v/>
      </c>
      <c r="DU13">
        <f>INDEX($B$27:$GQ$27,MATCH(124,$B$29:$GQ$29,0))</f>
        <v/>
      </c>
      <c r="DV13">
        <f>INDEX($B$27:$GQ$27,MATCH(125,$B$29:$GQ$29,0))</f>
        <v/>
      </c>
      <c r="DW13">
        <f>INDEX($B$27:$GQ$27,MATCH(126,$B$29:$GQ$29,0))</f>
        <v/>
      </c>
      <c r="DX13">
        <f>INDEX($B$27:$GQ$27,MATCH(127,$B$29:$GQ$29,0))</f>
        <v/>
      </c>
      <c r="DY13">
        <f>INDEX($B$27:$GQ$27,MATCH(128,$B$29:$GQ$29,0))</f>
        <v/>
      </c>
      <c r="DZ13">
        <f>INDEX($B$27:$GQ$27,MATCH(129,$B$29:$GQ$29,0))</f>
        <v/>
      </c>
      <c r="EA13">
        <f>INDEX($B$27:$GQ$27,MATCH(130,$B$29:$GQ$29,0))</f>
        <v/>
      </c>
      <c r="EB13">
        <f>INDEX($B$27:$GQ$27,MATCH(131,$B$29:$GQ$29,0))</f>
        <v/>
      </c>
      <c r="EC13">
        <f>INDEX($B$27:$GQ$27,MATCH(132,$B$29:$GQ$29,0))</f>
        <v/>
      </c>
      <c r="ED13">
        <f>INDEX($B$27:$GQ$27,MATCH(133,$B$29:$GQ$29,0))</f>
        <v/>
      </c>
      <c r="EE13">
        <f>INDEX($B$27:$GQ$27,MATCH(134,$B$29:$GQ$29,0))</f>
        <v/>
      </c>
      <c r="EF13">
        <f>INDEX($B$27:$GQ$27,MATCH(135,$B$29:$GQ$29,0))</f>
        <v/>
      </c>
      <c r="EG13">
        <f>INDEX($B$27:$GQ$27,MATCH(136,$B$29:$GQ$29,0))</f>
        <v/>
      </c>
      <c r="EH13">
        <f>INDEX($B$27:$GQ$27,MATCH(137,$B$29:$GQ$29,0))</f>
        <v/>
      </c>
      <c r="EI13">
        <f>INDEX($B$27:$GQ$27,MATCH(138,$B$29:$GQ$29,0))</f>
        <v/>
      </c>
      <c r="EJ13">
        <f>INDEX($B$27:$GQ$27,MATCH(139,$B$29:$GQ$29,0))</f>
        <v/>
      </c>
      <c r="EK13">
        <f>INDEX($B$27:$GQ$27,MATCH(140,$B$29:$GQ$29,0))</f>
        <v/>
      </c>
      <c r="EL13">
        <f>INDEX($B$27:$GQ$27,MATCH(141,$B$29:$GQ$29,0))</f>
        <v/>
      </c>
      <c r="EM13">
        <f>INDEX($B$27:$GQ$27,MATCH(142,$B$29:$GQ$29,0))</f>
        <v/>
      </c>
      <c r="EN13">
        <f>INDEX($B$27:$GQ$27,MATCH(143,$B$29:$GQ$29,0))</f>
        <v/>
      </c>
      <c r="EO13">
        <f>INDEX($B$27:$GQ$27,MATCH(144,$B$29:$GQ$29,0))</f>
        <v/>
      </c>
      <c r="EP13">
        <f>INDEX($B$27:$GQ$27,MATCH(145,$B$29:$GQ$29,0))</f>
        <v/>
      </c>
      <c r="EQ13">
        <f>INDEX($B$27:$GQ$27,MATCH(146,$B$29:$GQ$29,0))</f>
        <v/>
      </c>
      <c r="ER13">
        <f>INDEX($B$27:$GQ$27,MATCH(147,$B$29:$GQ$29,0))</f>
        <v/>
      </c>
      <c r="ES13">
        <f>INDEX($B$27:$GQ$27,MATCH(148,$B$29:$GQ$29,0))</f>
        <v/>
      </c>
      <c r="ET13">
        <f>INDEX($B$27:$GQ$27,MATCH(149,$B$29:$GQ$29,0))</f>
        <v/>
      </c>
      <c r="EU13">
        <f>INDEX($B$27:$GQ$27,MATCH(150,$B$29:$GQ$29,0))</f>
        <v/>
      </c>
      <c r="EV13">
        <f>INDEX($B$27:$GQ$27,MATCH(151,$B$29:$GQ$29,0))</f>
        <v/>
      </c>
      <c r="EW13">
        <f>INDEX($B$27:$GQ$27,MATCH(152,$B$29:$GQ$29,0))</f>
        <v/>
      </c>
      <c r="EX13">
        <f>INDEX($B$27:$GQ$27,MATCH(153,$B$29:$GQ$29,0))</f>
        <v/>
      </c>
      <c r="EY13">
        <f>INDEX($B$27:$GQ$27,MATCH(154,$B$29:$GQ$29,0))</f>
        <v/>
      </c>
      <c r="EZ13">
        <f>INDEX($B$27:$GQ$27,MATCH(155,$B$29:$GQ$29,0))</f>
        <v/>
      </c>
      <c r="FA13">
        <f>INDEX($B$27:$GQ$27,MATCH(156,$B$29:$GQ$29,0))</f>
        <v/>
      </c>
      <c r="FB13">
        <f>INDEX($B$27:$GQ$27,MATCH(157,$B$29:$GQ$29,0))</f>
        <v/>
      </c>
      <c r="FC13">
        <f>INDEX($B$27:$GQ$27,MATCH(158,$B$29:$GQ$29,0))</f>
        <v/>
      </c>
      <c r="FD13">
        <f>INDEX($B$27:$GQ$27,MATCH(159,$B$29:$GQ$29,0))</f>
        <v/>
      </c>
      <c r="FE13">
        <f>INDEX($B$27:$GQ$27,MATCH(160,$B$29:$GQ$29,0))</f>
        <v/>
      </c>
      <c r="FF13">
        <f>INDEX($B$27:$GQ$27,MATCH(161,$B$29:$GQ$29,0))</f>
        <v/>
      </c>
      <c r="FG13">
        <f>INDEX($B$27:$GQ$27,MATCH(162,$B$29:$GQ$29,0))</f>
        <v/>
      </c>
      <c r="FH13">
        <f>INDEX($B$27:$GQ$27,MATCH(163,$B$29:$GQ$29,0))</f>
        <v/>
      </c>
      <c r="FI13">
        <f>INDEX($B$27:$GQ$27,MATCH(164,$B$29:$GQ$29,0))</f>
        <v/>
      </c>
      <c r="FJ13">
        <f>INDEX($B$27:$GQ$27,MATCH(165,$B$29:$GQ$29,0))</f>
        <v/>
      </c>
      <c r="FK13">
        <f>INDEX($B$27:$GQ$27,MATCH(166,$B$29:$GQ$29,0))</f>
        <v/>
      </c>
      <c r="FL13">
        <f>INDEX($B$27:$GQ$27,MATCH(167,$B$29:$GQ$29,0))</f>
        <v/>
      </c>
      <c r="FM13">
        <f>INDEX($B$27:$GQ$27,MATCH(168,$B$29:$GQ$29,0))</f>
        <v/>
      </c>
      <c r="FN13">
        <f>INDEX($B$27:$GQ$27,MATCH(169,$B$29:$GQ$29,0))</f>
        <v/>
      </c>
      <c r="FO13">
        <f>INDEX($B$27:$GQ$27,MATCH(170,$B$29:$GQ$29,0))</f>
        <v/>
      </c>
      <c r="FP13">
        <f>INDEX($B$27:$GQ$27,MATCH(171,$B$29:$GQ$29,0))</f>
        <v/>
      </c>
      <c r="FQ13">
        <f>INDEX($B$27:$GQ$27,MATCH(172,$B$29:$GQ$29,0))</f>
        <v/>
      </c>
      <c r="FR13">
        <f>INDEX($B$27:$GQ$27,MATCH(173,$B$29:$GQ$29,0))</f>
        <v/>
      </c>
      <c r="FS13">
        <f>INDEX($B$27:$GQ$27,MATCH(174,$B$29:$GQ$29,0))</f>
        <v/>
      </c>
      <c r="FT13">
        <f>INDEX($B$27:$GQ$27,MATCH(175,$B$29:$GQ$29,0))</f>
        <v/>
      </c>
      <c r="FU13">
        <f>INDEX($B$27:$GQ$27,MATCH(176,$B$29:$GQ$29,0))</f>
        <v/>
      </c>
      <c r="FV13">
        <f>INDEX($B$27:$GQ$27,MATCH(177,$B$29:$GQ$29,0))</f>
        <v/>
      </c>
      <c r="FW13">
        <f>INDEX($B$27:$GQ$27,MATCH(178,$B$29:$GQ$29,0))</f>
        <v/>
      </c>
      <c r="FX13">
        <f>INDEX($B$27:$GQ$27,MATCH(179,$B$29:$GQ$29,0))</f>
        <v/>
      </c>
      <c r="FY13">
        <f>INDEX($B$27:$GQ$27,MATCH(180,$B$29:$GQ$29,0))</f>
        <v/>
      </c>
      <c r="FZ13">
        <f>INDEX($B$27:$GQ$27,MATCH(181,$B$29:$GQ$29,0))</f>
        <v/>
      </c>
      <c r="GA13">
        <f>INDEX($B$27:$GQ$27,MATCH(182,$B$29:$GQ$29,0))</f>
        <v/>
      </c>
      <c r="GB13">
        <f>INDEX($B$27:$GQ$27,MATCH(183,$B$29:$GQ$29,0))</f>
        <v/>
      </c>
      <c r="GC13">
        <f>INDEX($B$27:$GQ$27,MATCH(184,$B$29:$GQ$29,0))</f>
        <v/>
      </c>
      <c r="GD13">
        <f>INDEX($B$27:$GQ$27,MATCH(185,$B$29:$GQ$29,0))</f>
        <v/>
      </c>
      <c r="GE13">
        <f>INDEX($B$27:$GQ$27,MATCH(186,$B$29:$GQ$29,0))</f>
        <v/>
      </c>
      <c r="GF13">
        <f>INDEX($B$27:$GQ$27,MATCH(187,$B$29:$GQ$29,0))</f>
        <v/>
      </c>
      <c r="GG13">
        <f>INDEX($B$27:$GQ$27,MATCH(188,$B$29:$GQ$29,0))</f>
        <v/>
      </c>
      <c r="GH13">
        <f>INDEX($B$27:$GQ$27,MATCH(189,$B$29:$GQ$29,0))</f>
        <v/>
      </c>
      <c r="GI13">
        <f>INDEX($B$27:$GQ$27,MATCH(190,$B$29:$GQ$29,0))</f>
        <v/>
      </c>
      <c r="GJ13">
        <f>INDEX($B$27:$GQ$27,MATCH(191,$B$29:$GQ$29,0))</f>
        <v/>
      </c>
      <c r="GK13">
        <f>INDEX($B$27:$GQ$27,MATCH(192,$B$29:$GQ$29,0))</f>
        <v/>
      </c>
      <c r="GL13">
        <f>INDEX($B$27:$GQ$27,MATCH(193,$B$29:$GQ$29,0))</f>
        <v/>
      </c>
      <c r="GM13">
        <f>INDEX($B$27:$GQ$27,MATCH(194,$B$29:$GQ$29,0))</f>
        <v/>
      </c>
      <c r="GN13">
        <f>INDEX($B$27:$GQ$27,MATCH(195,$B$29:$GQ$29,0))</f>
        <v/>
      </c>
      <c r="GO13">
        <f>INDEX($B$27:$GQ$27,MATCH(196,$B$29:$GQ$29,0))</f>
        <v/>
      </c>
      <c r="GP13">
        <f>INDEX($B$27:$GQ$27,MATCH(197,$B$29:$GQ$29,0))</f>
        <v/>
      </c>
      <c r="GQ13">
        <f>INDEX($B$27:$GQ$27,MATCH(198,$B$29:$GQ$29,0))</f>
        <v/>
      </c>
      <c r="GR13">
        <f>INDEX($GR$27:$HC$27,MATCH(1,$GR$30:$HC$30,0))</f>
        <v/>
      </c>
      <c r="GS13">
        <f>INDEX($GR$27:$HC$27,MATCH(2,$GR$30:$HC$30,0))</f>
        <v/>
      </c>
      <c r="GT13">
        <f>INDEX($GR$27:$HC$27,MATCH(3,$GR$30:$HC$30,0))</f>
        <v/>
      </c>
      <c r="GU13">
        <f>INDEX($GR$27:$HC$27,MATCH(4,$GR$30:$HC$30,0))</f>
        <v/>
      </c>
      <c r="GV13">
        <f>INDEX($GR$27:$HC$27,MATCH(5,$GR$30:$HC$30,0))</f>
        <v/>
      </c>
      <c r="GW13">
        <f>INDEX($GR$27:$HC$27,MATCH(6,$GR$30:$HC$30,0))</f>
        <v/>
      </c>
      <c r="GX13">
        <f>INDEX($GR$27:$HC$27,MATCH(7,$GR$30:$HC$30,0))</f>
        <v/>
      </c>
      <c r="GY13">
        <f>INDEX($GR$27:$HC$27,MATCH(8,$GR$30:$HC$30,0))</f>
        <v/>
      </c>
      <c r="GZ13">
        <f>INDEX($GR$27:$HC$27,MATCH(9,$GR$30:$HC$30,0))</f>
        <v/>
      </c>
      <c r="HA13">
        <f>INDEX($GR$27:$HC$27,MATCH(10,$GR$30:$HC$30,0))</f>
        <v/>
      </c>
      <c r="HB13">
        <f>INDEX($GR$27:$HC$27,MATCH(11,$GR$30:$HC$30,0))</f>
        <v/>
      </c>
      <c r="HC13">
        <f>INDEX($GR$27:$HC$27,MATCH(12,$GR$30:$HC$30,0))</f>
        <v/>
      </c>
    </row>
    <row r="14">
      <c r="A14" s="2">
        <f>"Part de "&amp;$B$1&amp;" (%)"</f>
        <v/>
      </c>
      <c r="B14" s="3">
        <f>IFERROR(INDEX($B$28:$GQ$28,MATCH(1,$B$29:$GQ$29,0))/SUM($B$28:$GQ$28)*100,0)</f>
        <v/>
      </c>
      <c r="C14" s="3">
        <f>IFERROR(INDEX($B$28:$GQ$28,MATCH(2,$B$29:$GQ$29,0))/SUM($B$28:$GQ$28)*100,0)</f>
        <v/>
      </c>
      <c r="D14" s="3">
        <f>IFERROR(INDEX($B$28:$GQ$28,MATCH(3,$B$29:$GQ$29,0))/SUM($B$28:$GQ$28)*100,0)</f>
        <v/>
      </c>
      <c r="E14" s="3">
        <f>IFERROR(INDEX($B$28:$GQ$28,MATCH(4,$B$29:$GQ$29,0))/SUM($B$28:$GQ$28)*100,0)</f>
        <v/>
      </c>
      <c r="F14" s="3">
        <f>IFERROR(INDEX($B$28:$GQ$28,MATCH(5,$B$29:$GQ$29,0))/SUM($B$28:$GQ$28)*100,0)</f>
        <v/>
      </c>
      <c r="G14" s="3">
        <f>IFERROR(INDEX($B$28:$GQ$28,MATCH(6,$B$29:$GQ$29,0))/SUM($B$28:$GQ$28)*100,0)</f>
        <v/>
      </c>
      <c r="H14" s="3">
        <f>IFERROR(INDEX($B$28:$GQ$28,MATCH(7,$B$29:$GQ$29,0))/SUM($B$28:$GQ$28)*100,0)</f>
        <v/>
      </c>
      <c r="I14" s="3">
        <f>IFERROR(INDEX($B$28:$GQ$28,MATCH(8,$B$29:$GQ$29,0))/SUM($B$28:$GQ$28)*100,0)</f>
        <v/>
      </c>
      <c r="J14" s="3">
        <f>IFERROR(INDEX($B$28:$GQ$28,MATCH(9,$B$29:$GQ$29,0))/SUM($B$28:$GQ$28)*100,0)</f>
        <v/>
      </c>
      <c r="K14" s="3">
        <f>IFERROR(INDEX($B$28:$GQ$28,MATCH(10,$B$29:$GQ$29,0))/SUM($B$28:$GQ$28)*100,0)</f>
        <v/>
      </c>
      <c r="L14" s="3">
        <f>IFERROR(INDEX($B$28:$GQ$28,MATCH(11,$B$29:$GQ$29,0))/SUM($B$28:$GQ$28)*100,0)</f>
        <v/>
      </c>
      <c r="M14" s="3">
        <f>IFERROR(INDEX($B$28:$GQ$28,MATCH(12,$B$29:$GQ$29,0))/SUM($B$28:$GQ$28)*100,0)</f>
        <v/>
      </c>
      <c r="N14" s="3">
        <f>IFERROR(INDEX($B$28:$GQ$28,MATCH(13,$B$29:$GQ$29,0))/SUM($B$28:$GQ$28)*100,0)</f>
        <v/>
      </c>
      <c r="O14" s="3">
        <f>IFERROR(INDEX($B$28:$GQ$28,MATCH(14,$B$29:$GQ$29,0))/SUM($B$28:$GQ$28)*100,0)</f>
        <v/>
      </c>
      <c r="P14" s="3">
        <f>IFERROR(INDEX($B$28:$GQ$28,MATCH(15,$B$29:$GQ$29,0))/SUM($B$28:$GQ$28)*100,0)</f>
        <v/>
      </c>
      <c r="Q14" s="3">
        <f>IFERROR(INDEX($B$28:$GQ$28,MATCH(16,$B$29:$GQ$29,0))/SUM($B$28:$GQ$28)*100,0)</f>
        <v/>
      </c>
      <c r="R14" s="3">
        <f>IFERROR(INDEX($B$28:$GQ$28,MATCH(17,$B$29:$GQ$29,0))/SUM($B$28:$GQ$28)*100,0)</f>
        <v/>
      </c>
      <c r="S14" s="3">
        <f>IFERROR(INDEX($B$28:$GQ$28,MATCH(18,$B$29:$GQ$29,0))/SUM($B$28:$GQ$28)*100,0)</f>
        <v/>
      </c>
      <c r="T14" s="3">
        <f>IFERROR(INDEX($B$28:$GQ$28,MATCH(19,$B$29:$GQ$29,0))/SUM($B$28:$GQ$28)*100,0)</f>
        <v/>
      </c>
      <c r="U14" s="3">
        <f>IFERROR(INDEX($B$28:$GQ$28,MATCH(20,$B$29:$GQ$29,0))/SUM($B$28:$GQ$28)*100,0)</f>
        <v/>
      </c>
      <c r="V14" s="3">
        <f>IFERROR(INDEX($B$28:$GQ$28,MATCH(21,$B$29:$GQ$29,0))/SUM($B$28:$GQ$28)*100,0)</f>
        <v/>
      </c>
      <c r="W14" s="3">
        <f>IFERROR(INDEX($B$28:$GQ$28,MATCH(22,$B$29:$GQ$29,0))/SUM($B$28:$GQ$28)*100,0)</f>
        <v/>
      </c>
      <c r="X14" s="3">
        <f>IFERROR(INDEX($B$28:$GQ$28,MATCH(23,$B$29:$GQ$29,0))/SUM($B$28:$GQ$28)*100,0)</f>
        <v/>
      </c>
      <c r="Y14" s="3">
        <f>IFERROR(INDEX($B$28:$GQ$28,MATCH(24,$B$29:$GQ$29,0))/SUM($B$28:$GQ$28)*100,0)</f>
        <v/>
      </c>
      <c r="Z14" s="3">
        <f>IFERROR(INDEX($B$28:$GQ$28,MATCH(25,$B$29:$GQ$29,0))/SUM($B$28:$GQ$28)*100,0)</f>
        <v/>
      </c>
      <c r="AA14" s="3">
        <f>IFERROR(INDEX($B$28:$GQ$28,MATCH(26,$B$29:$GQ$29,0))/SUM($B$28:$GQ$28)*100,0)</f>
        <v/>
      </c>
      <c r="AB14" s="3">
        <f>IFERROR(INDEX($B$28:$GQ$28,MATCH(27,$B$29:$GQ$29,0))/SUM($B$28:$GQ$28)*100,0)</f>
        <v/>
      </c>
      <c r="AC14" s="3">
        <f>IFERROR(INDEX($B$28:$GQ$28,MATCH(28,$B$29:$GQ$29,0))/SUM($B$28:$GQ$28)*100,0)</f>
        <v/>
      </c>
      <c r="AD14" s="3">
        <f>IFERROR(INDEX($B$28:$GQ$28,MATCH(29,$B$29:$GQ$29,0))/SUM($B$28:$GQ$28)*100,0)</f>
        <v/>
      </c>
      <c r="AE14" s="3">
        <f>IFERROR(INDEX($B$28:$GQ$28,MATCH(30,$B$29:$GQ$29,0))/SUM($B$28:$GQ$28)*100,0)</f>
        <v/>
      </c>
      <c r="AF14" s="3">
        <f>IFERROR(INDEX($B$28:$GQ$28,MATCH(31,$B$29:$GQ$29,0))/SUM($B$28:$GQ$28)*100,0)</f>
        <v/>
      </c>
      <c r="AG14" s="3">
        <f>IFERROR(INDEX($B$28:$GQ$28,MATCH(32,$B$29:$GQ$29,0))/SUM($B$28:$GQ$28)*100,0)</f>
        <v/>
      </c>
      <c r="AH14" s="3">
        <f>IFERROR(INDEX($B$28:$GQ$28,MATCH(33,$B$29:$GQ$29,0))/SUM($B$28:$GQ$28)*100,0)</f>
        <v/>
      </c>
      <c r="AI14" s="3">
        <f>IFERROR(INDEX($B$28:$GQ$28,MATCH(34,$B$29:$GQ$29,0))/SUM($B$28:$GQ$28)*100,0)</f>
        <v/>
      </c>
      <c r="AJ14" s="3">
        <f>IFERROR(INDEX($B$28:$GQ$28,MATCH(35,$B$29:$GQ$29,0))/SUM($B$28:$GQ$28)*100,0)</f>
        <v/>
      </c>
      <c r="AK14" s="3">
        <f>IFERROR(INDEX($B$28:$GQ$28,MATCH(36,$B$29:$GQ$29,0))/SUM($B$28:$GQ$28)*100,0)</f>
        <v/>
      </c>
      <c r="AL14" s="3">
        <f>IFERROR(INDEX($B$28:$GQ$28,MATCH(37,$B$29:$GQ$29,0))/SUM($B$28:$GQ$28)*100,0)</f>
        <v/>
      </c>
      <c r="AM14" s="3">
        <f>IFERROR(INDEX($B$28:$GQ$28,MATCH(38,$B$29:$GQ$29,0))/SUM($B$28:$GQ$28)*100,0)</f>
        <v/>
      </c>
      <c r="AN14" s="3">
        <f>IFERROR(INDEX($B$28:$GQ$28,MATCH(39,$B$29:$GQ$29,0))/SUM($B$28:$GQ$28)*100,0)</f>
        <v/>
      </c>
      <c r="AO14" s="3">
        <f>IFERROR(INDEX($B$28:$GQ$28,MATCH(40,$B$29:$GQ$29,0))/SUM($B$28:$GQ$28)*100,0)</f>
        <v/>
      </c>
      <c r="AP14" s="3">
        <f>IFERROR(INDEX($B$28:$GQ$28,MATCH(41,$B$29:$GQ$29,0))/SUM($B$28:$GQ$28)*100,0)</f>
        <v/>
      </c>
      <c r="AQ14" s="3">
        <f>IFERROR(INDEX($B$28:$GQ$28,MATCH(42,$B$29:$GQ$29,0))/SUM($B$28:$GQ$28)*100,0)</f>
        <v/>
      </c>
      <c r="AR14" s="3">
        <f>IFERROR(INDEX($B$28:$GQ$28,MATCH(43,$B$29:$GQ$29,0))/SUM($B$28:$GQ$28)*100,0)</f>
        <v/>
      </c>
      <c r="AS14" s="3">
        <f>IFERROR(INDEX($B$28:$GQ$28,MATCH(44,$B$29:$GQ$29,0))/SUM($B$28:$GQ$28)*100,0)</f>
        <v/>
      </c>
      <c r="AT14" s="3">
        <f>IFERROR(INDEX($B$28:$GQ$28,MATCH(45,$B$29:$GQ$29,0))/SUM($B$28:$GQ$28)*100,0)</f>
        <v/>
      </c>
      <c r="AU14" s="3">
        <f>IFERROR(INDEX($B$28:$GQ$28,MATCH(46,$B$29:$GQ$29,0))/SUM($B$28:$GQ$28)*100,0)</f>
        <v/>
      </c>
      <c r="AV14" s="3">
        <f>IFERROR(INDEX($B$28:$GQ$28,MATCH(47,$B$29:$GQ$29,0))/SUM($B$28:$GQ$28)*100,0)</f>
        <v/>
      </c>
      <c r="AW14" s="3">
        <f>IFERROR(INDEX($B$28:$GQ$28,MATCH(48,$B$29:$GQ$29,0))/SUM($B$28:$GQ$28)*100,0)</f>
        <v/>
      </c>
      <c r="AX14" s="3">
        <f>IFERROR(INDEX($B$28:$GQ$28,MATCH(49,$B$29:$GQ$29,0))/SUM($B$28:$GQ$28)*100,0)</f>
        <v/>
      </c>
      <c r="AY14" s="3">
        <f>IFERROR(INDEX($B$28:$GQ$28,MATCH(50,$B$29:$GQ$29,0))/SUM($B$28:$GQ$28)*100,0)</f>
        <v/>
      </c>
      <c r="AZ14" s="3">
        <f>IFERROR(INDEX($B$28:$GQ$28,MATCH(51,$B$29:$GQ$29,0))/SUM($B$28:$GQ$28)*100,0)</f>
        <v/>
      </c>
      <c r="BA14" s="3">
        <f>IFERROR(INDEX($B$28:$GQ$28,MATCH(52,$B$29:$GQ$29,0))/SUM($B$28:$GQ$28)*100,0)</f>
        <v/>
      </c>
      <c r="BB14" s="3">
        <f>IFERROR(INDEX($B$28:$GQ$28,MATCH(53,$B$29:$GQ$29,0))/SUM($B$28:$GQ$28)*100,0)</f>
        <v/>
      </c>
      <c r="BC14" s="3">
        <f>IFERROR(INDEX($B$28:$GQ$28,MATCH(54,$B$29:$GQ$29,0))/SUM($B$28:$GQ$28)*100,0)</f>
        <v/>
      </c>
      <c r="BD14" s="3">
        <f>IFERROR(INDEX($B$28:$GQ$28,MATCH(55,$B$29:$GQ$29,0))/SUM($B$28:$GQ$28)*100,0)</f>
        <v/>
      </c>
      <c r="BE14" s="3">
        <f>IFERROR(INDEX($B$28:$GQ$28,MATCH(56,$B$29:$GQ$29,0))/SUM($B$28:$GQ$28)*100,0)</f>
        <v/>
      </c>
      <c r="BF14" s="3">
        <f>IFERROR(INDEX($B$28:$GQ$28,MATCH(57,$B$29:$GQ$29,0))/SUM($B$28:$GQ$28)*100,0)</f>
        <v/>
      </c>
      <c r="BG14" s="3">
        <f>IFERROR(INDEX($B$28:$GQ$28,MATCH(58,$B$29:$GQ$29,0))/SUM($B$28:$GQ$28)*100,0)</f>
        <v/>
      </c>
      <c r="BH14" s="3">
        <f>IFERROR(INDEX($B$28:$GQ$28,MATCH(59,$B$29:$GQ$29,0))/SUM($B$28:$GQ$28)*100,0)</f>
        <v/>
      </c>
      <c r="BI14" s="3">
        <f>IFERROR(INDEX($B$28:$GQ$28,MATCH(60,$B$29:$GQ$29,0))/SUM($B$28:$GQ$28)*100,0)</f>
        <v/>
      </c>
      <c r="BJ14" s="3">
        <f>IFERROR(INDEX($B$28:$GQ$28,MATCH(61,$B$29:$GQ$29,0))/SUM($B$28:$GQ$28)*100,0)</f>
        <v/>
      </c>
      <c r="BK14" s="3">
        <f>IFERROR(INDEX($B$28:$GQ$28,MATCH(62,$B$29:$GQ$29,0))/SUM($B$28:$GQ$28)*100,0)</f>
        <v/>
      </c>
      <c r="BL14" s="3">
        <f>IFERROR(INDEX($B$28:$GQ$28,MATCH(63,$B$29:$GQ$29,0))/SUM($B$28:$GQ$28)*100,0)</f>
        <v/>
      </c>
      <c r="BM14" s="3">
        <f>IFERROR(INDEX($B$28:$GQ$28,MATCH(64,$B$29:$GQ$29,0))/SUM($B$28:$GQ$28)*100,0)</f>
        <v/>
      </c>
      <c r="BN14" s="3">
        <f>IFERROR(INDEX($B$28:$GQ$28,MATCH(65,$B$29:$GQ$29,0))/SUM($B$28:$GQ$28)*100,0)</f>
        <v/>
      </c>
      <c r="BO14" s="3">
        <f>IFERROR(INDEX($B$28:$GQ$28,MATCH(66,$B$29:$GQ$29,0))/SUM($B$28:$GQ$28)*100,0)</f>
        <v/>
      </c>
      <c r="BP14" s="3">
        <f>IFERROR(INDEX($B$28:$GQ$28,MATCH(67,$B$29:$GQ$29,0))/SUM($B$28:$GQ$28)*100,0)</f>
        <v/>
      </c>
      <c r="BQ14" s="3">
        <f>IFERROR(INDEX($B$28:$GQ$28,MATCH(68,$B$29:$GQ$29,0))/SUM($B$28:$GQ$28)*100,0)</f>
        <v/>
      </c>
      <c r="BR14" s="3">
        <f>IFERROR(INDEX($B$28:$GQ$28,MATCH(69,$B$29:$GQ$29,0))/SUM($B$28:$GQ$28)*100,0)</f>
        <v/>
      </c>
      <c r="BS14" s="3">
        <f>IFERROR(INDEX($B$28:$GQ$28,MATCH(70,$B$29:$GQ$29,0))/SUM($B$28:$GQ$28)*100,0)</f>
        <v/>
      </c>
      <c r="BT14" s="3">
        <f>IFERROR(INDEX($B$28:$GQ$28,MATCH(71,$B$29:$GQ$29,0))/SUM($B$28:$GQ$28)*100,0)</f>
        <v/>
      </c>
      <c r="BU14" s="3">
        <f>IFERROR(INDEX($B$28:$GQ$28,MATCH(72,$B$29:$GQ$29,0))/SUM($B$28:$GQ$28)*100,0)</f>
        <v/>
      </c>
      <c r="BV14" s="3">
        <f>IFERROR(INDEX($B$28:$GQ$28,MATCH(73,$B$29:$GQ$29,0))/SUM($B$28:$GQ$28)*100,0)</f>
        <v/>
      </c>
      <c r="BW14" s="3">
        <f>IFERROR(INDEX($B$28:$GQ$28,MATCH(74,$B$29:$GQ$29,0))/SUM($B$28:$GQ$28)*100,0)</f>
        <v/>
      </c>
      <c r="BX14" s="3">
        <f>IFERROR(INDEX($B$28:$GQ$28,MATCH(75,$B$29:$GQ$29,0))/SUM($B$28:$GQ$28)*100,0)</f>
        <v/>
      </c>
      <c r="BY14" s="3">
        <f>IFERROR(INDEX($B$28:$GQ$28,MATCH(76,$B$29:$GQ$29,0))/SUM($B$28:$GQ$28)*100,0)</f>
        <v/>
      </c>
      <c r="BZ14" s="3">
        <f>IFERROR(INDEX($B$28:$GQ$28,MATCH(77,$B$29:$GQ$29,0))/SUM($B$28:$GQ$28)*100,0)</f>
        <v/>
      </c>
      <c r="CA14" s="3">
        <f>IFERROR(INDEX($B$28:$GQ$28,MATCH(78,$B$29:$GQ$29,0))/SUM($B$28:$GQ$28)*100,0)</f>
        <v/>
      </c>
      <c r="CB14" s="3">
        <f>IFERROR(INDEX($B$28:$GQ$28,MATCH(79,$B$29:$GQ$29,0))/SUM($B$28:$GQ$28)*100,0)</f>
        <v/>
      </c>
      <c r="CC14" s="3">
        <f>IFERROR(INDEX($B$28:$GQ$28,MATCH(80,$B$29:$GQ$29,0))/SUM($B$28:$GQ$28)*100,0)</f>
        <v/>
      </c>
      <c r="CD14" s="3">
        <f>IFERROR(INDEX($B$28:$GQ$28,MATCH(81,$B$29:$GQ$29,0))/SUM($B$28:$GQ$28)*100,0)</f>
        <v/>
      </c>
      <c r="CE14" s="3">
        <f>IFERROR(INDEX($B$28:$GQ$28,MATCH(82,$B$29:$GQ$29,0))/SUM($B$28:$GQ$28)*100,0)</f>
        <v/>
      </c>
      <c r="CF14" s="3">
        <f>IFERROR(INDEX($B$28:$GQ$28,MATCH(83,$B$29:$GQ$29,0))/SUM($B$28:$GQ$28)*100,0)</f>
        <v/>
      </c>
      <c r="CG14" s="3">
        <f>IFERROR(INDEX($B$28:$GQ$28,MATCH(84,$B$29:$GQ$29,0))/SUM($B$28:$GQ$28)*100,0)</f>
        <v/>
      </c>
      <c r="CH14" s="3">
        <f>IFERROR(INDEX($B$28:$GQ$28,MATCH(85,$B$29:$GQ$29,0))/SUM($B$28:$GQ$28)*100,0)</f>
        <v/>
      </c>
      <c r="CI14" s="3">
        <f>IFERROR(INDEX($B$28:$GQ$28,MATCH(86,$B$29:$GQ$29,0))/SUM($B$28:$GQ$28)*100,0)</f>
        <v/>
      </c>
      <c r="CJ14" s="3">
        <f>IFERROR(INDEX($B$28:$GQ$28,MATCH(87,$B$29:$GQ$29,0))/SUM($B$28:$GQ$28)*100,0)</f>
        <v/>
      </c>
      <c r="CK14" s="3">
        <f>IFERROR(INDEX($B$28:$GQ$28,MATCH(88,$B$29:$GQ$29,0))/SUM($B$28:$GQ$28)*100,0)</f>
        <v/>
      </c>
      <c r="CL14" s="3">
        <f>IFERROR(INDEX($B$28:$GQ$28,MATCH(89,$B$29:$GQ$29,0))/SUM($B$28:$GQ$28)*100,0)</f>
        <v/>
      </c>
      <c r="CM14" s="3">
        <f>IFERROR(INDEX($B$28:$GQ$28,MATCH(90,$B$29:$GQ$29,0))/SUM($B$28:$GQ$28)*100,0)</f>
        <v/>
      </c>
      <c r="CN14" s="3">
        <f>IFERROR(INDEX($B$28:$GQ$28,MATCH(91,$B$29:$GQ$29,0))/SUM($B$28:$GQ$28)*100,0)</f>
        <v/>
      </c>
      <c r="CO14" s="3">
        <f>IFERROR(INDEX($B$28:$GQ$28,MATCH(92,$B$29:$GQ$29,0))/SUM($B$28:$GQ$28)*100,0)</f>
        <v/>
      </c>
      <c r="CP14" s="3">
        <f>IFERROR(INDEX($B$28:$GQ$28,MATCH(93,$B$29:$GQ$29,0))/SUM($B$28:$GQ$28)*100,0)</f>
        <v/>
      </c>
      <c r="CQ14" s="3">
        <f>IFERROR(INDEX($B$28:$GQ$28,MATCH(94,$B$29:$GQ$29,0))/SUM($B$28:$GQ$28)*100,0)</f>
        <v/>
      </c>
      <c r="CR14" s="3">
        <f>IFERROR(INDEX($B$28:$GQ$28,MATCH(95,$B$29:$GQ$29,0))/SUM($B$28:$GQ$28)*100,0)</f>
        <v/>
      </c>
      <c r="CS14" s="3">
        <f>IFERROR(INDEX($B$28:$GQ$28,MATCH(96,$B$29:$GQ$29,0))/SUM($B$28:$GQ$28)*100,0)</f>
        <v/>
      </c>
      <c r="CT14" s="3">
        <f>IFERROR(INDEX($B$28:$GQ$28,MATCH(97,$B$29:$GQ$29,0))/SUM($B$28:$GQ$28)*100,0)</f>
        <v/>
      </c>
      <c r="CU14" s="3">
        <f>IFERROR(INDEX($B$28:$GQ$28,MATCH(98,$B$29:$GQ$29,0))/SUM($B$28:$GQ$28)*100,0)</f>
        <v/>
      </c>
      <c r="CV14" s="3">
        <f>IFERROR(INDEX($B$28:$GQ$28,MATCH(99,$B$29:$GQ$29,0))/SUM($B$28:$GQ$28)*100,0)</f>
        <v/>
      </c>
      <c r="CW14" s="3">
        <f>IFERROR(INDEX($B$28:$GQ$28,MATCH(100,$B$29:$GQ$29,0))/SUM($B$28:$GQ$28)*100,0)</f>
        <v/>
      </c>
      <c r="CX14" s="3">
        <f>IFERROR(INDEX($B$28:$GQ$28,MATCH(101,$B$29:$GQ$29,0))/SUM($B$28:$GQ$28)*100,0)</f>
        <v/>
      </c>
      <c r="CY14" s="3">
        <f>IFERROR(INDEX($B$28:$GQ$28,MATCH(102,$B$29:$GQ$29,0))/SUM($B$28:$GQ$28)*100,0)</f>
        <v/>
      </c>
      <c r="CZ14" s="3">
        <f>IFERROR(INDEX($B$28:$GQ$28,MATCH(103,$B$29:$GQ$29,0))/SUM($B$28:$GQ$28)*100,0)</f>
        <v/>
      </c>
      <c r="DA14" s="3">
        <f>IFERROR(INDEX($B$28:$GQ$28,MATCH(104,$B$29:$GQ$29,0))/SUM($B$28:$GQ$28)*100,0)</f>
        <v/>
      </c>
      <c r="DB14" s="3">
        <f>IFERROR(INDEX($B$28:$GQ$28,MATCH(105,$B$29:$GQ$29,0))/SUM($B$28:$GQ$28)*100,0)</f>
        <v/>
      </c>
      <c r="DC14" s="3">
        <f>IFERROR(INDEX($B$28:$GQ$28,MATCH(106,$B$29:$GQ$29,0))/SUM($B$28:$GQ$28)*100,0)</f>
        <v/>
      </c>
      <c r="DD14" s="3">
        <f>IFERROR(INDEX($B$28:$GQ$28,MATCH(107,$B$29:$GQ$29,0))/SUM($B$28:$GQ$28)*100,0)</f>
        <v/>
      </c>
      <c r="DE14" s="3">
        <f>IFERROR(INDEX($B$28:$GQ$28,MATCH(108,$B$29:$GQ$29,0))/SUM($B$28:$GQ$28)*100,0)</f>
        <v/>
      </c>
      <c r="DF14" s="3">
        <f>IFERROR(INDEX($B$28:$GQ$28,MATCH(109,$B$29:$GQ$29,0))/SUM($B$28:$GQ$28)*100,0)</f>
        <v/>
      </c>
      <c r="DG14" s="3">
        <f>IFERROR(INDEX($B$28:$GQ$28,MATCH(110,$B$29:$GQ$29,0))/SUM($B$28:$GQ$28)*100,0)</f>
        <v/>
      </c>
      <c r="DH14" s="3">
        <f>IFERROR(INDEX($B$28:$GQ$28,MATCH(111,$B$29:$GQ$29,0))/SUM($B$28:$GQ$28)*100,0)</f>
        <v/>
      </c>
      <c r="DI14" s="3">
        <f>IFERROR(INDEX($B$28:$GQ$28,MATCH(112,$B$29:$GQ$29,0))/SUM($B$28:$GQ$28)*100,0)</f>
        <v/>
      </c>
      <c r="DJ14" s="3">
        <f>IFERROR(INDEX($B$28:$GQ$28,MATCH(113,$B$29:$GQ$29,0))/SUM($B$28:$GQ$28)*100,0)</f>
        <v/>
      </c>
      <c r="DK14" s="3">
        <f>IFERROR(INDEX($B$28:$GQ$28,MATCH(114,$B$29:$GQ$29,0))/SUM($B$28:$GQ$28)*100,0)</f>
        <v/>
      </c>
      <c r="DL14" s="3">
        <f>IFERROR(INDEX($B$28:$GQ$28,MATCH(115,$B$29:$GQ$29,0))/SUM($B$28:$GQ$28)*100,0)</f>
        <v/>
      </c>
      <c r="DM14" s="3">
        <f>IFERROR(INDEX($B$28:$GQ$28,MATCH(116,$B$29:$GQ$29,0))/SUM($B$28:$GQ$28)*100,0)</f>
        <v/>
      </c>
      <c r="DN14" s="3">
        <f>IFERROR(INDEX($B$28:$GQ$28,MATCH(117,$B$29:$GQ$29,0))/SUM($B$28:$GQ$28)*100,0)</f>
        <v/>
      </c>
      <c r="DO14" s="3">
        <f>IFERROR(INDEX($B$28:$GQ$28,MATCH(118,$B$29:$GQ$29,0))/SUM($B$28:$GQ$28)*100,0)</f>
        <v/>
      </c>
      <c r="DP14" s="3">
        <f>IFERROR(INDEX($B$28:$GQ$28,MATCH(119,$B$29:$GQ$29,0))/SUM($B$28:$GQ$28)*100,0)</f>
        <v/>
      </c>
      <c r="DQ14" s="3">
        <f>IFERROR(INDEX($B$28:$GQ$28,MATCH(120,$B$29:$GQ$29,0))/SUM($B$28:$GQ$28)*100,0)</f>
        <v/>
      </c>
      <c r="DR14" s="3">
        <f>IFERROR(INDEX($B$28:$GQ$28,MATCH(121,$B$29:$GQ$29,0))/SUM($B$28:$GQ$28)*100,0)</f>
        <v/>
      </c>
      <c r="DS14" s="3">
        <f>IFERROR(INDEX($B$28:$GQ$28,MATCH(122,$B$29:$GQ$29,0))/SUM($B$28:$GQ$28)*100,0)</f>
        <v/>
      </c>
      <c r="DT14" s="3">
        <f>IFERROR(INDEX($B$28:$GQ$28,MATCH(123,$B$29:$GQ$29,0))/SUM($B$28:$GQ$28)*100,0)</f>
        <v/>
      </c>
      <c r="DU14" s="3">
        <f>IFERROR(INDEX($B$28:$GQ$28,MATCH(124,$B$29:$GQ$29,0))/SUM($B$28:$GQ$28)*100,0)</f>
        <v/>
      </c>
      <c r="DV14" s="3">
        <f>IFERROR(INDEX($B$28:$GQ$28,MATCH(125,$B$29:$GQ$29,0))/SUM($B$28:$GQ$28)*100,0)</f>
        <v/>
      </c>
      <c r="DW14" s="3">
        <f>IFERROR(INDEX($B$28:$GQ$28,MATCH(126,$B$29:$GQ$29,0))/SUM($B$28:$GQ$28)*100,0)</f>
        <v/>
      </c>
      <c r="DX14" s="3">
        <f>IFERROR(INDEX($B$28:$GQ$28,MATCH(127,$B$29:$GQ$29,0))/SUM($B$28:$GQ$28)*100,0)</f>
        <v/>
      </c>
      <c r="DY14" s="3">
        <f>IFERROR(INDEX($B$28:$GQ$28,MATCH(128,$B$29:$GQ$29,0))/SUM($B$28:$GQ$28)*100,0)</f>
        <v/>
      </c>
      <c r="DZ14" s="3">
        <f>IFERROR(INDEX($B$28:$GQ$28,MATCH(129,$B$29:$GQ$29,0))/SUM($B$28:$GQ$28)*100,0)</f>
        <v/>
      </c>
      <c r="EA14" s="3">
        <f>IFERROR(INDEX($B$28:$GQ$28,MATCH(130,$B$29:$GQ$29,0))/SUM($B$28:$GQ$28)*100,0)</f>
        <v/>
      </c>
      <c r="EB14" s="3">
        <f>IFERROR(INDEX($B$28:$GQ$28,MATCH(131,$B$29:$GQ$29,0))/SUM($B$28:$GQ$28)*100,0)</f>
        <v/>
      </c>
      <c r="EC14" s="3">
        <f>IFERROR(INDEX($B$28:$GQ$28,MATCH(132,$B$29:$GQ$29,0))/SUM($B$28:$GQ$28)*100,0)</f>
        <v/>
      </c>
      <c r="ED14" s="3">
        <f>IFERROR(INDEX($B$28:$GQ$28,MATCH(133,$B$29:$GQ$29,0))/SUM($B$28:$GQ$28)*100,0)</f>
        <v/>
      </c>
      <c r="EE14" s="3">
        <f>IFERROR(INDEX($B$28:$GQ$28,MATCH(134,$B$29:$GQ$29,0))/SUM($B$28:$GQ$28)*100,0)</f>
        <v/>
      </c>
      <c r="EF14" s="3">
        <f>IFERROR(INDEX($B$28:$GQ$28,MATCH(135,$B$29:$GQ$29,0))/SUM($B$28:$GQ$28)*100,0)</f>
        <v/>
      </c>
      <c r="EG14" s="3">
        <f>IFERROR(INDEX($B$28:$GQ$28,MATCH(136,$B$29:$GQ$29,0))/SUM($B$28:$GQ$28)*100,0)</f>
        <v/>
      </c>
      <c r="EH14" s="3">
        <f>IFERROR(INDEX($B$28:$GQ$28,MATCH(137,$B$29:$GQ$29,0))/SUM($B$28:$GQ$28)*100,0)</f>
        <v/>
      </c>
      <c r="EI14" s="3">
        <f>IFERROR(INDEX($B$28:$GQ$28,MATCH(138,$B$29:$GQ$29,0))/SUM($B$28:$GQ$28)*100,0)</f>
        <v/>
      </c>
      <c r="EJ14" s="3">
        <f>IFERROR(INDEX($B$28:$GQ$28,MATCH(139,$B$29:$GQ$29,0))/SUM($B$28:$GQ$28)*100,0)</f>
        <v/>
      </c>
      <c r="EK14" s="3">
        <f>IFERROR(INDEX($B$28:$GQ$28,MATCH(140,$B$29:$GQ$29,0))/SUM($B$28:$GQ$28)*100,0)</f>
        <v/>
      </c>
      <c r="EL14" s="3">
        <f>IFERROR(INDEX($B$28:$GQ$28,MATCH(141,$B$29:$GQ$29,0))/SUM($B$28:$GQ$28)*100,0)</f>
        <v/>
      </c>
      <c r="EM14" s="3">
        <f>IFERROR(INDEX($B$28:$GQ$28,MATCH(142,$B$29:$GQ$29,0))/SUM($B$28:$GQ$28)*100,0)</f>
        <v/>
      </c>
      <c r="EN14" s="3">
        <f>IFERROR(INDEX($B$28:$GQ$28,MATCH(143,$B$29:$GQ$29,0))/SUM($B$28:$GQ$28)*100,0)</f>
        <v/>
      </c>
      <c r="EO14" s="3">
        <f>IFERROR(INDEX($B$28:$GQ$28,MATCH(144,$B$29:$GQ$29,0))/SUM($B$28:$GQ$28)*100,0)</f>
        <v/>
      </c>
      <c r="EP14" s="3">
        <f>IFERROR(INDEX($B$28:$GQ$28,MATCH(145,$B$29:$GQ$29,0))/SUM($B$28:$GQ$28)*100,0)</f>
        <v/>
      </c>
      <c r="EQ14" s="3">
        <f>IFERROR(INDEX($B$28:$GQ$28,MATCH(146,$B$29:$GQ$29,0))/SUM($B$28:$GQ$28)*100,0)</f>
        <v/>
      </c>
      <c r="ER14" s="3">
        <f>IFERROR(INDEX($B$28:$GQ$28,MATCH(147,$B$29:$GQ$29,0))/SUM($B$28:$GQ$28)*100,0)</f>
        <v/>
      </c>
      <c r="ES14" s="3">
        <f>IFERROR(INDEX($B$28:$GQ$28,MATCH(148,$B$29:$GQ$29,0))/SUM($B$28:$GQ$28)*100,0)</f>
        <v/>
      </c>
      <c r="ET14" s="3">
        <f>IFERROR(INDEX($B$28:$GQ$28,MATCH(149,$B$29:$GQ$29,0))/SUM($B$28:$GQ$28)*100,0)</f>
        <v/>
      </c>
      <c r="EU14" s="3">
        <f>IFERROR(INDEX($B$28:$GQ$28,MATCH(150,$B$29:$GQ$29,0))/SUM($B$28:$GQ$28)*100,0)</f>
        <v/>
      </c>
      <c r="EV14" s="3">
        <f>IFERROR(INDEX($B$28:$GQ$28,MATCH(151,$B$29:$GQ$29,0))/SUM($B$28:$GQ$28)*100,0)</f>
        <v/>
      </c>
      <c r="EW14" s="3">
        <f>IFERROR(INDEX($B$28:$GQ$28,MATCH(152,$B$29:$GQ$29,0))/SUM($B$28:$GQ$28)*100,0)</f>
        <v/>
      </c>
      <c r="EX14" s="3">
        <f>IFERROR(INDEX($B$28:$GQ$28,MATCH(153,$B$29:$GQ$29,0))/SUM($B$28:$GQ$28)*100,0)</f>
        <v/>
      </c>
      <c r="EY14" s="3">
        <f>IFERROR(INDEX($B$28:$GQ$28,MATCH(154,$B$29:$GQ$29,0))/SUM($B$28:$GQ$28)*100,0)</f>
        <v/>
      </c>
      <c r="EZ14" s="3">
        <f>IFERROR(INDEX($B$28:$GQ$28,MATCH(155,$B$29:$GQ$29,0))/SUM($B$28:$GQ$28)*100,0)</f>
        <v/>
      </c>
      <c r="FA14" s="3">
        <f>IFERROR(INDEX($B$28:$GQ$28,MATCH(156,$B$29:$GQ$29,0))/SUM($B$28:$GQ$28)*100,0)</f>
        <v/>
      </c>
      <c r="FB14" s="3">
        <f>IFERROR(INDEX($B$28:$GQ$28,MATCH(157,$B$29:$GQ$29,0))/SUM($B$28:$GQ$28)*100,0)</f>
        <v/>
      </c>
      <c r="FC14" s="3">
        <f>IFERROR(INDEX($B$28:$GQ$28,MATCH(158,$B$29:$GQ$29,0))/SUM($B$28:$GQ$28)*100,0)</f>
        <v/>
      </c>
      <c r="FD14" s="3">
        <f>IFERROR(INDEX($B$28:$GQ$28,MATCH(159,$B$29:$GQ$29,0))/SUM($B$28:$GQ$28)*100,0)</f>
        <v/>
      </c>
      <c r="FE14" s="3">
        <f>IFERROR(INDEX($B$28:$GQ$28,MATCH(160,$B$29:$GQ$29,0))/SUM($B$28:$GQ$28)*100,0)</f>
        <v/>
      </c>
      <c r="FF14" s="3">
        <f>IFERROR(INDEX($B$28:$GQ$28,MATCH(161,$B$29:$GQ$29,0))/SUM($B$28:$GQ$28)*100,0)</f>
        <v/>
      </c>
      <c r="FG14" s="3">
        <f>IFERROR(INDEX($B$28:$GQ$28,MATCH(162,$B$29:$GQ$29,0))/SUM($B$28:$GQ$28)*100,0)</f>
        <v/>
      </c>
      <c r="FH14" s="3">
        <f>IFERROR(INDEX($B$28:$GQ$28,MATCH(163,$B$29:$GQ$29,0))/SUM($B$28:$GQ$28)*100,0)</f>
        <v/>
      </c>
      <c r="FI14" s="3">
        <f>IFERROR(INDEX($B$28:$GQ$28,MATCH(164,$B$29:$GQ$29,0))/SUM($B$28:$GQ$28)*100,0)</f>
        <v/>
      </c>
      <c r="FJ14" s="3">
        <f>IFERROR(INDEX($B$28:$GQ$28,MATCH(165,$B$29:$GQ$29,0))/SUM($B$28:$GQ$28)*100,0)</f>
        <v/>
      </c>
      <c r="FK14" s="3">
        <f>IFERROR(INDEX($B$28:$GQ$28,MATCH(166,$B$29:$GQ$29,0))/SUM($B$28:$GQ$28)*100,0)</f>
        <v/>
      </c>
      <c r="FL14" s="3">
        <f>IFERROR(INDEX($B$28:$GQ$28,MATCH(167,$B$29:$GQ$29,0))/SUM($B$28:$GQ$28)*100,0)</f>
        <v/>
      </c>
      <c r="FM14" s="3">
        <f>IFERROR(INDEX($B$28:$GQ$28,MATCH(168,$B$29:$GQ$29,0))/SUM($B$28:$GQ$28)*100,0)</f>
        <v/>
      </c>
      <c r="FN14" s="3">
        <f>IFERROR(INDEX($B$28:$GQ$28,MATCH(169,$B$29:$GQ$29,0))/SUM($B$28:$GQ$28)*100,0)</f>
        <v/>
      </c>
      <c r="FO14" s="3">
        <f>IFERROR(INDEX($B$28:$GQ$28,MATCH(170,$B$29:$GQ$29,0))/SUM($B$28:$GQ$28)*100,0)</f>
        <v/>
      </c>
      <c r="FP14" s="3">
        <f>IFERROR(INDEX($B$28:$GQ$28,MATCH(171,$B$29:$GQ$29,0))/SUM($B$28:$GQ$28)*100,0)</f>
        <v/>
      </c>
      <c r="FQ14" s="3">
        <f>IFERROR(INDEX($B$28:$GQ$28,MATCH(172,$B$29:$GQ$29,0))/SUM($B$28:$GQ$28)*100,0)</f>
        <v/>
      </c>
      <c r="FR14" s="3">
        <f>IFERROR(INDEX($B$28:$GQ$28,MATCH(173,$B$29:$GQ$29,0))/SUM($B$28:$GQ$28)*100,0)</f>
        <v/>
      </c>
      <c r="FS14" s="3">
        <f>IFERROR(INDEX($B$28:$GQ$28,MATCH(174,$B$29:$GQ$29,0))/SUM($B$28:$GQ$28)*100,0)</f>
        <v/>
      </c>
      <c r="FT14" s="3">
        <f>IFERROR(INDEX($B$28:$GQ$28,MATCH(175,$B$29:$GQ$29,0))/SUM($B$28:$GQ$28)*100,0)</f>
        <v/>
      </c>
      <c r="FU14" s="3">
        <f>IFERROR(INDEX($B$28:$GQ$28,MATCH(176,$B$29:$GQ$29,0))/SUM($B$28:$GQ$28)*100,0)</f>
        <v/>
      </c>
      <c r="FV14" s="3">
        <f>IFERROR(INDEX($B$28:$GQ$28,MATCH(177,$B$29:$GQ$29,0))/SUM($B$28:$GQ$28)*100,0)</f>
        <v/>
      </c>
      <c r="FW14" s="3">
        <f>IFERROR(INDEX($B$28:$GQ$28,MATCH(178,$B$29:$GQ$29,0))/SUM($B$28:$GQ$28)*100,0)</f>
        <v/>
      </c>
      <c r="FX14" s="3">
        <f>IFERROR(INDEX($B$28:$GQ$28,MATCH(179,$B$29:$GQ$29,0))/SUM($B$28:$GQ$28)*100,0)</f>
        <v/>
      </c>
      <c r="FY14" s="3">
        <f>IFERROR(INDEX($B$28:$GQ$28,MATCH(180,$B$29:$GQ$29,0))/SUM($B$28:$GQ$28)*100,0)</f>
        <v/>
      </c>
      <c r="FZ14" s="3">
        <f>IFERROR(INDEX($B$28:$GQ$28,MATCH(181,$B$29:$GQ$29,0))/SUM($B$28:$GQ$28)*100,0)</f>
        <v/>
      </c>
      <c r="GA14" s="3">
        <f>IFERROR(INDEX($B$28:$GQ$28,MATCH(182,$B$29:$GQ$29,0))/SUM($B$28:$GQ$28)*100,0)</f>
        <v/>
      </c>
      <c r="GB14" s="3">
        <f>IFERROR(INDEX($B$28:$GQ$28,MATCH(183,$B$29:$GQ$29,0))/SUM($B$28:$GQ$28)*100,0)</f>
        <v/>
      </c>
      <c r="GC14" s="3">
        <f>IFERROR(INDEX($B$28:$GQ$28,MATCH(184,$B$29:$GQ$29,0))/SUM($B$28:$GQ$28)*100,0)</f>
        <v/>
      </c>
      <c r="GD14" s="3">
        <f>IFERROR(INDEX($B$28:$GQ$28,MATCH(185,$B$29:$GQ$29,0))/SUM($B$28:$GQ$28)*100,0)</f>
        <v/>
      </c>
      <c r="GE14" s="3">
        <f>IFERROR(INDEX($B$28:$GQ$28,MATCH(186,$B$29:$GQ$29,0))/SUM($B$28:$GQ$28)*100,0)</f>
        <v/>
      </c>
      <c r="GF14" s="3">
        <f>IFERROR(INDEX($B$28:$GQ$28,MATCH(187,$B$29:$GQ$29,0))/SUM($B$28:$GQ$28)*100,0)</f>
        <v/>
      </c>
      <c r="GG14" s="3">
        <f>IFERROR(INDEX($B$28:$GQ$28,MATCH(188,$B$29:$GQ$29,0))/SUM($B$28:$GQ$28)*100,0)</f>
        <v/>
      </c>
      <c r="GH14" s="3">
        <f>IFERROR(INDEX($B$28:$GQ$28,MATCH(189,$B$29:$GQ$29,0))/SUM($B$28:$GQ$28)*100,0)</f>
        <v/>
      </c>
      <c r="GI14" s="3">
        <f>IFERROR(INDEX($B$28:$GQ$28,MATCH(190,$B$29:$GQ$29,0))/SUM($B$28:$GQ$28)*100,0)</f>
        <v/>
      </c>
      <c r="GJ14" s="3">
        <f>IFERROR(INDEX($B$28:$GQ$28,MATCH(191,$B$29:$GQ$29,0))/SUM($B$28:$GQ$28)*100,0)</f>
        <v/>
      </c>
      <c r="GK14" s="3">
        <f>IFERROR(INDEX($B$28:$GQ$28,MATCH(192,$B$29:$GQ$29,0))/SUM($B$28:$GQ$28)*100,0)</f>
        <v/>
      </c>
      <c r="GL14" s="3">
        <f>IFERROR(INDEX($B$28:$GQ$28,MATCH(193,$B$29:$GQ$29,0))/SUM($B$28:$GQ$28)*100,0)</f>
        <v/>
      </c>
      <c r="GM14" s="3">
        <f>IFERROR(INDEX($B$28:$GQ$28,MATCH(194,$B$29:$GQ$29,0))/SUM($B$28:$GQ$28)*100,0)</f>
        <v/>
      </c>
      <c r="GN14" s="3">
        <f>IFERROR(INDEX($B$28:$GQ$28,MATCH(195,$B$29:$GQ$29,0))/SUM($B$28:$GQ$28)*100,0)</f>
        <v/>
      </c>
      <c r="GO14" s="3">
        <f>IFERROR(INDEX($B$28:$GQ$28,MATCH(196,$B$29:$GQ$29,0))/SUM($B$28:$GQ$28)*100,0)</f>
        <v/>
      </c>
      <c r="GP14" s="3">
        <f>IFERROR(INDEX($B$28:$GQ$28,MATCH(197,$B$29:$GQ$29,0))/SUM($B$28:$GQ$28)*100,0)</f>
        <v/>
      </c>
      <c r="GQ14" s="3">
        <f>IFERROR(INDEX($B$28:$GQ$28,MATCH(198,$B$29:$GQ$29,0))/SUM($B$28:$GQ$28)*100,0)</f>
        <v/>
      </c>
      <c r="GR14" s="3">
        <f>IFERROR(INDEX($GR$28:$HC$28,MATCH(1,$GR$30:$HC$30,0))/SUM($GR$28:$HC$28)*100,0)</f>
        <v/>
      </c>
      <c r="GS14" s="3">
        <f>IFERROR(INDEX($GR$28:$HC$28,MATCH(2,$GR$30:$HC$30,0))/SUM($GR$28:$HC$28)*100,0)</f>
        <v/>
      </c>
      <c r="GT14" s="3">
        <f>IFERROR(INDEX($GR$28:$HC$28,MATCH(3,$GR$30:$HC$30,0))/SUM($GR$28:$HC$28)*100,0)</f>
        <v/>
      </c>
      <c r="GU14" s="3">
        <f>IFERROR(INDEX($GR$28:$HC$28,MATCH(4,$GR$30:$HC$30,0))/SUM($GR$28:$HC$28)*100,0)</f>
        <v/>
      </c>
      <c r="GV14" s="3">
        <f>IFERROR(INDEX($GR$28:$HC$28,MATCH(5,$GR$30:$HC$30,0))/SUM($GR$28:$HC$28)*100,0)</f>
        <v/>
      </c>
      <c r="GW14" s="3">
        <f>IFERROR(INDEX($GR$28:$HC$28,MATCH(6,$GR$30:$HC$30,0))/SUM($GR$28:$HC$28)*100,0)</f>
        <v/>
      </c>
      <c r="GX14" s="3">
        <f>IFERROR(INDEX($GR$28:$HC$28,MATCH(7,$GR$30:$HC$30,0))/SUM($GR$28:$HC$28)*100,0)</f>
        <v/>
      </c>
      <c r="GY14" s="3">
        <f>IFERROR(INDEX($GR$28:$HC$28,MATCH(8,$GR$30:$HC$30,0))/SUM($GR$28:$HC$28)*100,0)</f>
        <v/>
      </c>
      <c r="GZ14" s="3">
        <f>IFERROR(INDEX($GR$28:$HC$28,MATCH(9,$GR$30:$HC$30,0))/SUM($GR$28:$HC$28)*100,0)</f>
        <v/>
      </c>
      <c r="HA14" s="3">
        <f>IFERROR(INDEX($GR$28:$HC$28,MATCH(10,$GR$30:$HC$30,0))/SUM($GR$28:$HC$28)*100,0)</f>
        <v/>
      </c>
      <c r="HB14" s="3">
        <f>IFERROR(INDEX($GR$28:$HC$28,MATCH(11,$GR$30:$HC$30,0))/SUM($GR$28:$HC$28)*100,0)</f>
        <v/>
      </c>
      <c r="HC14" s="3">
        <f>IFERROR(INDEX($GR$28:$HC$28,MATCH(12,$GR$30:$HC$30,0))/SUM($GR$28:$HC$28)*100,0)</f>
        <v/>
      </c>
    </row>
    <row r="16">
      <c r="A16" s="1" t="inlineStr">
        <is>
          <t>Données sources (ordre du bridge, non triées)</t>
        </is>
      </c>
    </row>
    <row r="17">
      <c r="A17" s="1" t="inlineStr">
        <is>
          <t>Blue water consumption</t>
        </is>
      </c>
      <c r="B17" s="1" t="inlineStr">
        <is>
          <t>Paddy rice</t>
        </is>
      </c>
      <c r="C17" s="1" t="inlineStr">
        <is>
          <t>Wheat</t>
        </is>
      </c>
      <c r="D17" s="1" t="inlineStr">
        <is>
          <t>Cereal grains nec</t>
        </is>
      </c>
      <c r="E17" s="1" t="inlineStr">
        <is>
          <t>Vegetables, fruit, nuts</t>
        </is>
      </c>
      <c r="F17" s="1" t="inlineStr">
        <is>
          <t>Oil seeds</t>
        </is>
      </c>
      <c r="G17" s="1" t="inlineStr">
        <is>
          <t>Sugar cane, sugar beet</t>
        </is>
      </c>
      <c r="H17" s="1" t="inlineStr">
        <is>
          <t>Plant-based fibers</t>
        </is>
      </c>
      <c r="I17" s="1" t="inlineStr">
        <is>
          <t>Crops nec</t>
        </is>
      </c>
      <c r="J17" s="1" t="inlineStr">
        <is>
          <t>Cattle</t>
        </is>
      </c>
      <c r="K17" s="1" t="inlineStr">
        <is>
          <t>Pigs</t>
        </is>
      </c>
      <c r="L17" s="1" t="inlineStr">
        <is>
          <t>Poultry</t>
        </is>
      </c>
      <c r="M17" s="1" t="inlineStr">
        <is>
          <t>Meat animals nec</t>
        </is>
      </c>
      <c r="N17" s="1" t="inlineStr">
        <is>
          <t>Animal products nec</t>
        </is>
      </c>
      <c r="O17" s="1" t="inlineStr">
        <is>
          <t>Raw milk</t>
        </is>
      </c>
      <c r="P17" s="1" t="inlineStr">
        <is>
          <t>Wool, silk-worm cocoons</t>
        </is>
      </c>
      <c r="Q17" s="1" t="inlineStr">
        <is>
          <t>Manure (conventional treatment)</t>
        </is>
      </c>
      <c r="R17" s="1" t="inlineStr">
        <is>
          <t>Manure (biogas treatment)</t>
        </is>
      </c>
      <c r="S17" s="1" t="inlineStr">
        <is>
          <t>Products of forestry, logging and related services (02)</t>
        </is>
      </c>
      <c r="T17" s="1" t="inlineStr">
        <is>
          <t>Fish and other fishing products; services incidental of fishing (05)</t>
        </is>
      </c>
      <c r="U17" s="1" t="inlineStr">
        <is>
          <t>Anthracite</t>
        </is>
      </c>
      <c r="V17" s="1" t="inlineStr">
        <is>
          <t>Coking Coal</t>
        </is>
      </c>
      <c r="W17" s="1" t="inlineStr">
        <is>
          <t>Other Bituminous Coal</t>
        </is>
      </c>
      <c r="X17" s="1" t="inlineStr">
        <is>
          <t>Sub-Bituminous Coal</t>
        </is>
      </c>
      <c r="Y17" s="1" t="inlineStr">
        <is>
          <t>Patent Fuel</t>
        </is>
      </c>
      <c r="Z17" s="1" t="inlineStr">
        <is>
          <t>Lignite/Brown Coal</t>
        </is>
      </c>
      <c r="AA17" s="1" t="inlineStr">
        <is>
          <t>BKB/Peat Briquettes</t>
        </is>
      </c>
      <c r="AB17" s="1" t="inlineStr">
        <is>
          <t>Peat</t>
        </is>
      </c>
      <c r="AC17" s="1" t="inlineStr">
        <is>
          <t>Crude petroleum and services related to crude oil extraction, excluding surveying</t>
        </is>
      </c>
      <c r="AD17" s="1" t="inlineStr">
        <is>
          <t>Natural gas and services related to natural gas extraction, excluding surveying</t>
        </is>
      </c>
      <c r="AE17" s="1" t="inlineStr">
        <is>
          <t>Natural Gas Liquids</t>
        </is>
      </c>
      <c r="AF17" s="1" t="inlineStr">
        <is>
          <t>Other Hydrocarbons</t>
        </is>
      </c>
      <c r="AG17" s="1" t="inlineStr">
        <is>
          <t>Uranium and thorium ores (12)</t>
        </is>
      </c>
      <c r="AH17" s="1" t="inlineStr">
        <is>
          <t>Iron ores</t>
        </is>
      </c>
      <c r="AI17" s="1" t="inlineStr">
        <is>
          <t>Copper ores and concentrates</t>
        </is>
      </c>
      <c r="AJ17" s="1" t="inlineStr">
        <is>
          <t>Nickel ores and concentrates</t>
        </is>
      </c>
      <c r="AK17" s="1" t="inlineStr">
        <is>
          <t>Aluminium ores and concentrates</t>
        </is>
      </c>
      <c r="AL17" s="1" t="inlineStr">
        <is>
          <t>Precious metal ores and concentrates</t>
        </is>
      </c>
      <c r="AM17" s="1" t="inlineStr">
        <is>
          <t>Lead, zinc and tin ores and concentrates</t>
        </is>
      </c>
      <c r="AN17" s="1" t="inlineStr">
        <is>
          <t>Other non-ferrous metal ores and concentrates</t>
        </is>
      </c>
      <c r="AO17" s="1" t="inlineStr">
        <is>
          <t>Stone</t>
        </is>
      </c>
      <c r="AP17" s="1" t="inlineStr">
        <is>
          <t>Sand and clay</t>
        </is>
      </c>
      <c r="AQ17" s="1" t="inlineStr">
        <is>
          <t>Chemical and fertilizer minerals, salt and other mining and quarrying products n.e.c.</t>
        </is>
      </c>
      <c r="AR17" s="1" t="inlineStr">
        <is>
          <t>Products of meat cattle</t>
        </is>
      </c>
      <c r="AS17" s="1" t="inlineStr">
        <is>
          <t>Products of meat pigs</t>
        </is>
      </c>
      <c r="AT17" s="1" t="inlineStr">
        <is>
          <t>Products of meat poultry</t>
        </is>
      </c>
      <c r="AU17" s="1" t="inlineStr">
        <is>
          <t>Meat products nec</t>
        </is>
      </c>
      <c r="AV17" s="1" t="inlineStr">
        <is>
          <t>products of Vegetable oils and fats</t>
        </is>
      </c>
      <c r="AW17" s="1" t="inlineStr">
        <is>
          <t>Dairy products</t>
        </is>
      </c>
      <c r="AX17" s="1" t="inlineStr">
        <is>
          <t>Processed rice</t>
        </is>
      </c>
      <c r="AY17" s="1" t="inlineStr">
        <is>
          <t>Sugar</t>
        </is>
      </c>
      <c r="AZ17" s="1" t="inlineStr">
        <is>
          <t>Food products nec</t>
        </is>
      </c>
      <c r="BA17" s="1" t="inlineStr">
        <is>
          <t>Beverages</t>
        </is>
      </c>
      <c r="BB17" s="1" t="inlineStr">
        <is>
          <t>Fish products</t>
        </is>
      </c>
      <c r="BC17" s="1" t="inlineStr">
        <is>
          <t>Tobacco products (16)</t>
        </is>
      </c>
      <c r="BD17" s="1" t="inlineStr">
        <is>
          <t>Textiles (17)</t>
        </is>
      </c>
      <c r="BE17" s="1" t="inlineStr">
        <is>
          <t>Wearing apparel; furs (18)</t>
        </is>
      </c>
      <c r="BF17" s="1" t="inlineStr">
        <is>
          <t>Leather and leather products (19)</t>
        </is>
      </c>
      <c r="BG17" s="1" t="inlineStr">
        <is>
          <t>Wood and products of wood and cork (except furniture); articles of straw and plaiting materials (20)</t>
        </is>
      </c>
      <c r="BH17" s="1" t="inlineStr">
        <is>
          <t>Wood material for treatment, Re-processing of secondary wood material into new wood material</t>
        </is>
      </c>
      <c r="BI17" s="1" t="inlineStr">
        <is>
          <t>Pulp</t>
        </is>
      </c>
      <c r="BJ17" s="1" t="inlineStr">
        <is>
          <t>Secondary paper for treatment, Re-processing of secondary paper into new pulp</t>
        </is>
      </c>
      <c r="BK17" s="1" t="inlineStr">
        <is>
          <t>Paper and paper products</t>
        </is>
      </c>
      <c r="BL17" s="1" t="inlineStr">
        <is>
          <t>Printed matter and recorded media (22)</t>
        </is>
      </c>
      <c r="BM17" s="1" t="inlineStr">
        <is>
          <t>Coke Oven Coke</t>
        </is>
      </c>
      <c r="BN17" s="1" t="inlineStr">
        <is>
          <t>Gas Coke</t>
        </is>
      </c>
      <c r="BO17" s="1" t="inlineStr">
        <is>
          <t>Coal Tar</t>
        </is>
      </c>
      <c r="BP17" s="1" t="inlineStr">
        <is>
          <t>Motor Gasoline</t>
        </is>
      </c>
      <c r="BQ17" s="1" t="inlineStr">
        <is>
          <t>Aviation Gasoline</t>
        </is>
      </c>
      <c r="BR17" s="1" t="inlineStr">
        <is>
          <t>Gasoline Type Jet Fuel</t>
        </is>
      </c>
      <c r="BS17" s="1" t="inlineStr">
        <is>
          <t>Kerosene Type Jet Fuel</t>
        </is>
      </c>
      <c r="BT17" s="1" t="inlineStr">
        <is>
          <t>Kerosene</t>
        </is>
      </c>
      <c r="BU17" s="1" t="inlineStr">
        <is>
          <t>Gas/Diesel Oil</t>
        </is>
      </c>
      <c r="BV17" s="1" t="inlineStr">
        <is>
          <t>Heavy Fuel Oil</t>
        </is>
      </c>
      <c r="BW17" s="1" t="inlineStr">
        <is>
          <t>Refinery Gas</t>
        </is>
      </c>
      <c r="BX17" s="1" t="inlineStr">
        <is>
          <t>Liquefied Petroleum Gases (LPG)</t>
        </is>
      </c>
      <c r="BY17" s="1" t="inlineStr">
        <is>
          <t>Refinery Feedstocks</t>
        </is>
      </c>
      <c r="BZ17" s="1" t="inlineStr">
        <is>
          <t>Ethane</t>
        </is>
      </c>
      <c r="CA17" s="1" t="inlineStr">
        <is>
          <t>Naphtha</t>
        </is>
      </c>
      <c r="CB17" s="1" t="inlineStr">
        <is>
          <t>White Spirit &amp; SBP</t>
        </is>
      </c>
      <c r="CC17" s="1" t="inlineStr">
        <is>
          <t>Lubricants</t>
        </is>
      </c>
      <c r="CD17" s="1" t="inlineStr">
        <is>
          <t>Bitumen</t>
        </is>
      </c>
      <c r="CE17" s="1" t="inlineStr">
        <is>
          <t>Paraffin Waxes</t>
        </is>
      </c>
      <c r="CF17" s="1" t="inlineStr">
        <is>
          <t>Petroleum Coke</t>
        </is>
      </c>
      <c r="CG17" s="1" t="inlineStr">
        <is>
          <t>Non-specified Petroleum Products</t>
        </is>
      </c>
      <c r="CH17" s="1" t="inlineStr">
        <is>
          <t>Nuclear fuel</t>
        </is>
      </c>
      <c r="CI17" s="1" t="inlineStr">
        <is>
          <t>Plastics, basic</t>
        </is>
      </c>
      <c r="CJ17" s="1" t="inlineStr">
        <is>
          <t>Secondary plastic for treatment, Re-processing of secondary plastic into new plastic</t>
        </is>
      </c>
      <c r="CK17" s="1" t="inlineStr">
        <is>
          <t>N-fertiliser</t>
        </is>
      </c>
      <c r="CL17" s="1" t="inlineStr">
        <is>
          <t>P- and other fertiliser</t>
        </is>
      </c>
      <c r="CM17" s="1" t="inlineStr">
        <is>
          <t>Chemicals nec</t>
        </is>
      </c>
      <c r="CN17" s="1" t="inlineStr">
        <is>
          <t>Charcoal</t>
        </is>
      </c>
      <c r="CO17" s="1" t="inlineStr">
        <is>
          <t>Additives/Blending Components</t>
        </is>
      </c>
      <c r="CP17" s="1" t="inlineStr">
        <is>
          <t>Biogasoline</t>
        </is>
      </c>
      <c r="CQ17" s="1" t="inlineStr">
        <is>
          <t>Biodiesels</t>
        </is>
      </c>
      <c r="CR17" s="1" t="inlineStr">
        <is>
          <t>Other Liquid Biofuels</t>
        </is>
      </c>
      <c r="CS17" s="1" t="inlineStr">
        <is>
          <t>Glass and glass products</t>
        </is>
      </c>
      <c r="CT17" s="1" t="inlineStr">
        <is>
          <t>Secondary glass for treatment, Re-processing of secondary glass into new glass</t>
        </is>
      </c>
      <c r="CU17" s="1" t="inlineStr">
        <is>
          <t>Ceramic goods</t>
        </is>
      </c>
      <c r="CV17" s="1" t="inlineStr">
        <is>
          <t>Bricks, tiles and construction products, in baked clay</t>
        </is>
      </c>
      <c r="CW17" s="1" t="inlineStr">
        <is>
          <t>Cement, lime and plaster</t>
        </is>
      </c>
      <c r="CX17" s="1" t="inlineStr">
        <is>
          <t>Ash for treatment, Re-processing of ash into clinker</t>
        </is>
      </c>
      <c r="CY17" s="1" t="inlineStr">
        <is>
          <t>Other non-metallic mineral products</t>
        </is>
      </c>
      <c r="CZ17" s="1" t="inlineStr">
        <is>
          <t>Basic iron and steel and of ferro-alloys and first products thereof</t>
        </is>
      </c>
      <c r="DA17" s="1" t="inlineStr">
        <is>
          <t>Secondary steel for treatment, Re-processing of secondary steel into new steel</t>
        </is>
      </c>
      <c r="DB17" s="1" t="inlineStr">
        <is>
          <t>Precious metals</t>
        </is>
      </c>
      <c r="DC17" s="1" t="inlineStr">
        <is>
          <t>Secondary preciuos metals for treatment, Re-processing of secondary preciuos metals into new preciuos metals</t>
        </is>
      </c>
      <c r="DD17" s="1" t="inlineStr">
        <is>
          <t>Aluminium and aluminium products</t>
        </is>
      </c>
      <c r="DE17" s="1" t="inlineStr">
        <is>
          <t>Secondary aluminium for treatment, Re-processing of secondary aluminium into new aluminium</t>
        </is>
      </c>
      <c r="DF17" s="1" t="inlineStr">
        <is>
          <t>Lead, zinc and tin and products thereof</t>
        </is>
      </c>
      <c r="DG17" s="1" t="inlineStr">
        <is>
          <t>Secondary lead for treatment, Re-processing of secondary lead into new lead</t>
        </is>
      </c>
      <c r="DH17" s="1" t="inlineStr">
        <is>
          <t>Copper products</t>
        </is>
      </c>
      <c r="DI17" s="1" t="inlineStr">
        <is>
          <t>Secondary copper for treatment, Re-processing of secondary copper into new copper</t>
        </is>
      </c>
      <c r="DJ17" s="1" t="inlineStr">
        <is>
          <t>Other non-ferrous metal products</t>
        </is>
      </c>
      <c r="DK17" s="1" t="inlineStr">
        <is>
          <t>Secondary other non-ferrous metals for treatment, Re-processing of secondary other non-ferrous metals into new other non-ferrous metals</t>
        </is>
      </c>
      <c r="DL17" s="1" t="inlineStr">
        <is>
          <t>Foundry work services</t>
        </is>
      </c>
      <c r="DM17" s="1" t="inlineStr">
        <is>
          <t>Fabricated metal products, except machinery and equipment (28)</t>
        </is>
      </c>
      <c r="DN17" s="1" t="inlineStr">
        <is>
          <t>Machinery and equipment n.e.c. (29)</t>
        </is>
      </c>
      <c r="DO17" s="1" t="inlineStr">
        <is>
          <t>Office machinery and computers (30)</t>
        </is>
      </c>
      <c r="DP17" s="1" t="inlineStr">
        <is>
          <t>Electrical machinery and apparatus n.e.c. (31)</t>
        </is>
      </c>
      <c r="DQ17" s="1" t="inlineStr">
        <is>
          <t>Radio, television and communication equipment and apparatus (32)</t>
        </is>
      </c>
      <c r="DR17" s="1" t="inlineStr">
        <is>
          <t>Medical, precision and optical instruments, watches and clocks (33)</t>
        </is>
      </c>
      <c r="DS17" s="1" t="inlineStr">
        <is>
          <t>Motor vehicles, trailers and semi-trailers (34)</t>
        </is>
      </c>
      <c r="DT17" s="1" t="inlineStr">
        <is>
          <t>Other transport equipment (35)</t>
        </is>
      </c>
      <c r="DU17" s="1" t="inlineStr">
        <is>
          <t>Furniture; other manufactured goods n.e.c. (36)</t>
        </is>
      </c>
      <c r="DV17" s="1" t="inlineStr">
        <is>
          <t>Secondary raw materials</t>
        </is>
      </c>
      <c r="DW17" s="1" t="inlineStr">
        <is>
          <t>Bottles for treatment, Recycling of bottles by direct reuse</t>
        </is>
      </c>
      <c r="DX17" s="1" t="inlineStr">
        <is>
          <t>Electricity by coal</t>
        </is>
      </c>
      <c r="DY17" s="1" t="inlineStr">
        <is>
          <t>Electricity by gas</t>
        </is>
      </c>
      <c r="DZ17" s="1" t="inlineStr">
        <is>
          <t>Electricity by nuclear</t>
        </is>
      </c>
      <c r="EA17" s="1" t="inlineStr">
        <is>
          <t>Electricity by hydro</t>
        </is>
      </c>
      <c r="EB17" s="1" t="inlineStr">
        <is>
          <t>Electricity by wind</t>
        </is>
      </c>
      <c r="EC17" s="1" t="inlineStr">
        <is>
          <t>Electricity by petroleum and other oil derivatives</t>
        </is>
      </c>
      <c r="ED17" s="1" t="inlineStr">
        <is>
          <t>Electricity by biomass and waste</t>
        </is>
      </c>
      <c r="EE17" s="1" t="inlineStr">
        <is>
          <t>Electricity by solar photovoltaic</t>
        </is>
      </c>
      <c r="EF17" s="1" t="inlineStr">
        <is>
          <t>Electricity by solar thermal</t>
        </is>
      </c>
      <c r="EG17" s="1" t="inlineStr">
        <is>
          <t>Electricity by tide, wave, ocean</t>
        </is>
      </c>
      <c r="EH17" s="1" t="inlineStr">
        <is>
          <t>Electricity by Geothermal</t>
        </is>
      </c>
      <c r="EI17" s="1" t="inlineStr">
        <is>
          <t>Electricity nec</t>
        </is>
      </c>
      <c r="EJ17" s="1" t="inlineStr">
        <is>
          <t>Transmission services of electricity</t>
        </is>
      </c>
      <c r="EK17" s="1" t="inlineStr">
        <is>
          <t>Distribution and trade services of electricity</t>
        </is>
      </c>
      <c r="EL17" s="1" t="inlineStr">
        <is>
          <t>Coke oven gas</t>
        </is>
      </c>
      <c r="EM17" s="1" t="inlineStr">
        <is>
          <t>Blast Furnace Gas</t>
        </is>
      </c>
      <c r="EN17" s="1" t="inlineStr">
        <is>
          <t>Oxygen Steel Furnace Gas</t>
        </is>
      </c>
      <c r="EO17" s="1" t="inlineStr">
        <is>
          <t>Gas Works Gas</t>
        </is>
      </c>
      <c r="EP17" s="1" t="inlineStr">
        <is>
          <t>Biogas</t>
        </is>
      </c>
      <c r="EQ17" s="1" t="inlineStr">
        <is>
          <t>Distribution services of gaseous fuels through mains</t>
        </is>
      </c>
      <c r="ER17" s="1" t="inlineStr">
        <is>
          <t>Steam and hot water supply services</t>
        </is>
      </c>
      <c r="ES17" s="1" t="inlineStr">
        <is>
          <t>Collected and purified water, distribution services of water (41)</t>
        </is>
      </c>
      <c r="ET17" s="1" t="inlineStr">
        <is>
          <t>Construction work (45)</t>
        </is>
      </c>
      <c r="EU17" s="1" t="inlineStr">
        <is>
          <t>Secondary construction material for treatment, Re-processing of secondary construction material into aggregates</t>
        </is>
      </c>
      <c r="EV17" s="1" t="inlineStr">
        <is>
          <t>Sale, maintenance, repair of motor vehicles, motor vehicles parts, motorcycles, motor cycles parts and accessoiries</t>
        </is>
      </c>
      <c r="EW17" s="1" t="inlineStr">
        <is>
          <t>Retail trade services of motor fuel</t>
        </is>
      </c>
      <c r="EX17" s="1" t="inlineStr">
        <is>
          <t>Wholesale trade and commission trade services, except of motor vehicles and motorcycles (51)</t>
        </is>
      </c>
      <c r="EY17" s="1" t="inlineStr">
        <is>
          <t>Retail  trade services, except of motor vehicles and motorcycles; repair services of personal and household goods (52)</t>
        </is>
      </c>
      <c r="EZ17" s="1" t="inlineStr">
        <is>
          <t>Hotel and restaurant services (55)</t>
        </is>
      </c>
      <c r="FA17" s="1" t="inlineStr">
        <is>
          <t>Railway transportation services</t>
        </is>
      </c>
      <c r="FB17" s="1" t="inlineStr">
        <is>
          <t>Other land transportation services</t>
        </is>
      </c>
      <c r="FC17" s="1" t="inlineStr">
        <is>
          <t>Transportation services via pipelines</t>
        </is>
      </c>
      <c r="FD17" s="1" t="inlineStr">
        <is>
          <t>Sea and coastal water transportation services</t>
        </is>
      </c>
      <c r="FE17" s="1" t="inlineStr">
        <is>
          <t>Inland water transportation services</t>
        </is>
      </c>
      <c r="FF17" s="1" t="inlineStr">
        <is>
          <t>Air transport services (62)</t>
        </is>
      </c>
      <c r="FG17" s="1" t="inlineStr">
        <is>
          <t>Supporting and auxiliary transport services; travel agency services (63)</t>
        </is>
      </c>
      <c r="FH17" s="1" t="inlineStr">
        <is>
          <t>Post and telecommunication services (64)</t>
        </is>
      </c>
      <c r="FI17" s="1" t="inlineStr">
        <is>
          <t>Financial intermediation services, except insurance and pension funding services (65)</t>
        </is>
      </c>
      <c r="FJ17" s="1" t="inlineStr">
        <is>
          <t>Insurance and pension funding services, except compulsory social security services (66)</t>
        </is>
      </c>
      <c r="FK17" s="1" t="inlineStr">
        <is>
          <t>Services auxiliary to financial intermediation (67)</t>
        </is>
      </c>
      <c r="FL17" s="1" t="inlineStr">
        <is>
          <t>Real estate services (70)</t>
        </is>
      </c>
      <c r="FM17" s="1" t="inlineStr">
        <is>
          <t>Renting services of machinery and equipment without operator and of personal and household goods (71)</t>
        </is>
      </c>
      <c r="FN17" s="1" t="inlineStr">
        <is>
          <t>Computer and related services (72)</t>
        </is>
      </c>
      <c r="FO17" s="1" t="inlineStr">
        <is>
          <t>Research and development services (73)</t>
        </is>
      </c>
      <c r="FP17" s="1" t="inlineStr">
        <is>
          <t>Other business services (74)</t>
        </is>
      </c>
      <c r="FQ17" s="1" t="inlineStr">
        <is>
          <t>Public administration and defence services; compulsory social security services (75)</t>
        </is>
      </c>
      <c r="FR17" s="1" t="inlineStr">
        <is>
          <t>Education services (80)</t>
        </is>
      </c>
      <c r="FS17" s="1" t="inlineStr">
        <is>
          <t>Health and social work services (85)</t>
        </is>
      </c>
      <c r="FT17" s="1" t="inlineStr">
        <is>
          <t>Food waste for treatment: incineration</t>
        </is>
      </c>
      <c r="FU17" s="1" t="inlineStr">
        <is>
          <t>Paper waste for treatment: incineration</t>
        </is>
      </c>
      <c r="FV17" s="1" t="inlineStr">
        <is>
          <t>Plastic waste for treatment: incineration</t>
        </is>
      </c>
      <c r="FW17" s="1" t="inlineStr">
        <is>
          <t>Intert/metal waste for treatment: incineration</t>
        </is>
      </c>
      <c r="FX17" s="1" t="inlineStr">
        <is>
          <t>Textiles waste for treatment: incineration</t>
        </is>
      </c>
      <c r="FY17" s="1" t="inlineStr">
        <is>
          <t>Wood waste for treatment: incineration</t>
        </is>
      </c>
      <c r="FZ17" s="1" t="inlineStr">
        <is>
          <t>Oil/hazardous waste for treatment: incineration</t>
        </is>
      </c>
      <c r="GA17" s="1" t="inlineStr">
        <is>
          <t>Food waste for treatment: biogasification and land application</t>
        </is>
      </c>
      <c r="GB17" s="1" t="inlineStr">
        <is>
          <t>Paper waste for treatment: biogasification and land application</t>
        </is>
      </c>
      <c r="GC17" s="1" t="inlineStr">
        <is>
          <t>Sewage sludge for treatment: biogasification and land application</t>
        </is>
      </c>
      <c r="GD17" s="1" t="inlineStr">
        <is>
          <t>Food waste for treatment: composting and land application</t>
        </is>
      </c>
      <c r="GE17" s="1" t="inlineStr">
        <is>
          <t>Paper and wood waste for treatment: composting and land application</t>
        </is>
      </c>
      <c r="GF17" s="1" t="inlineStr">
        <is>
          <t>Food waste for treatment: waste water treatment</t>
        </is>
      </c>
      <c r="GG17" s="1" t="inlineStr">
        <is>
          <t>Other waste for treatment: waste water treatment</t>
        </is>
      </c>
      <c r="GH17" s="1" t="inlineStr">
        <is>
          <t>Food waste for treatment: landfill</t>
        </is>
      </c>
      <c r="GI17" s="1" t="inlineStr">
        <is>
          <t>Paper for treatment: landfill</t>
        </is>
      </c>
      <c r="GJ17" s="1" t="inlineStr">
        <is>
          <t>Plastic waste for treatment: landfill</t>
        </is>
      </c>
      <c r="GK17" s="1" t="inlineStr">
        <is>
          <t>Inert/metal/hazardous waste for treatment: landfill</t>
        </is>
      </c>
      <c r="GL17" s="1" t="inlineStr">
        <is>
          <t>Textiles waste for treatment: landfill</t>
        </is>
      </c>
      <c r="GM17" s="1" t="inlineStr">
        <is>
          <t>Wood waste for treatment: landfill</t>
        </is>
      </c>
      <c r="GN17" s="1" t="inlineStr">
        <is>
          <t>Membership organisation services n.e.c. (91)</t>
        </is>
      </c>
      <c r="GO17" s="1" t="inlineStr">
        <is>
          <t>Recreational, cultural and sporting services (92)</t>
        </is>
      </c>
      <c r="GP17" s="1" t="inlineStr">
        <is>
          <t>Other services (93)</t>
        </is>
      </c>
      <c r="GQ17" s="1" t="inlineStr">
        <is>
          <t>Extra-territorial organizations and bodies</t>
        </is>
      </c>
      <c r="GR17" s="1" t="inlineStr">
        <is>
          <t>Vegetables, fruits, nuts</t>
        </is>
      </c>
      <c r="GS17" s="1" t="inlineStr">
        <is>
          <t>Cattle</t>
        </is>
      </c>
      <c r="GT17" s="1" t="inlineStr">
        <is>
          <t>Meat nec</t>
        </is>
      </c>
      <c r="GU17" s="1" t="inlineStr">
        <is>
          <t>Animal nec</t>
        </is>
      </c>
      <c r="GV17" s="1" t="inlineStr">
        <is>
          <t>Dairy products</t>
        </is>
      </c>
      <c r="GW17" s="1" t="inlineStr">
        <is>
          <t>Food nec</t>
        </is>
      </c>
      <c r="GX17" s="1" t="inlineStr">
        <is>
          <t>Housing</t>
        </is>
      </c>
      <c r="GY17" s="1" t="inlineStr">
        <is>
          <t>Mobility</t>
        </is>
      </c>
      <c r="GZ17" s="1" t="inlineStr">
        <is>
          <t>Textiles</t>
        </is>
      </c>
      <c r="HA17" s="1" t="inlineStr">
        <is>
          <t>Final goods nec</t>
        </is>
      </c>
      <c r="HB17" s="1" t="inlineStr">
        <is>
          <t>Hotel &amp; restaurant</t>
        </is>
      </c>
      <c r="HC17" s="1" t="inlineStr">
        <is>
          <t>Final services</t>
        </is>
      </c>
    </row>
    <row r="18">
      <c r="A18" s="1" t="inlineStr">
        <is>
          <t>M_imp</t>
        </is>
      </c>
      <c r="B18" t="n">
        <v>0.002664876358889735</v>
      </c>
      <c r="C18" t="n">
        <v>0.00165418260593546</v>
      </c>
      <c r="D18" t="n">
        <v>0.00108628554756109</v>
      </c>
      <c r="E18" t="n">
        <v>0.006950639881843012</v>
      </c>
      <c r="F18" t="n">
        <v>0.002742008325797439</v>
      </c>
      <c r="G18" t="n">
        <v>0.0001519501251250102</v>
      </c>
      <c r="H18" t="n">
        <v>0.001271830135393907</v>
      </c>
      <c r="I18" t="n">
        <v>0.0002654451279840625</v>
      </c>
      <c r="J18" t="n">
        <v>0.03947949030816196</v>
      </c>
      <c r="K18" t="n">
        <v>0.01645815059695297</v>
      </c>
      <c r="L18" t="n">
        <v>0.01400316401424042</v>
      </c>
      <c r="M18" t="n">
        <v>0.0216219706978557</v>
      </c>
      <c r="N18" t="n">
        <v>0.03242408450216782</v>
      </c>
      <c r="O18" t="n">
        <v>0.03098015328101536</v>
      </c>
      <c r="P18" t="n">
        <v>0.01468179816441623</v>
      </c>
      <c r="Q18" t="n">
        <v>0</v>
      </c>
      <c r="R18" t="n">
        <v>0</v>
      </c>
      <c r="S18" t="n">
        <v>0.001541640966322314</v>
      </c>
      <c r="T18" t="n">
        <v>0.02413025744047562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0.005689062141048286</v>
      </c>
      <c r="AD18" t="n">
        <v>0.08646089589359518</v>
      </c>
      <c r="AE18" t="n">
        <v>0.000426668304315565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0.000662069781701912</v>
      </c>
      <c r="AO18" t="n">
        <v>0.0005537971008812316</v>
      </c>
      <c r="AP18" t="n">
        <v>1.570808187531631e-05</v>
      </c>
      <c r="AQ18" t="n">
        <v>0.0003488257380219691</v>
      </c>
      <c r="AR18" t="n">
        <v>0.01880878674072991</v>
      </c>
      <c r="AS18" t="n">
        <v>0.007020297556597842</v>
      </c>
      <c r="AT18" t="n">
        <v>0.009722520798469761</v>
      </c>
      <c r="AU18" t="n">
        <v>0.01606386766706215</v>
      </c>
      <c r="AV18" t="n">
        <v>0.007105851760372634</v>
      </c>
      <c r="AW18" t="n">
        <v>0.01270533454436353</v>
      </c>
      <c r="AX18" t="n">
        <v>0.001456165099926319</v>
      </c>
      <c r="AY18" t="n">
        <v>0.003434723244501936</v>
      </c>
      <c r="AZ18" t="n">
        <v>0.01217139475052278</v>
      </c>
      <c r="BA18" t="n">
        <v>0.009769425137123464</v>
      </c>
      <c r="BB18" t="n">
        <v>0.01195780283320063</v>
      </c>
      <c r="BC18" t="n">
        <v>0.002598512703746604</v>
      </c>
      <c r="BD18" t="n">
        <v>0.005415894330995857</v>
      </c>
      <c r="BE18" t="n">
        <v>0.0031189156220116</v>
      </c>
      <c r="BF18" t="n">
        <v>0.005668719885969537</v>
      </c>
      <c r="BG18" t="n">
        <v>0.002485264077689888</v>
      </c>
      <c r="BH18" t="n">
        <v>0.001905517546422486</v>
      </c>
      <c r="BI18" t="n">
        <v>0.002142250949977766</v>
      </c>
      <c r="BJ18" t="n">
        <v>0.00202608873642595</v>
      </c>
      <c r="BK18" t="n">
        <v>0.004774047825385029</v>
      </c>
      <c r="BL18" t="n">
        <v>0.001789867526915667</v>
      </c>
      <c r="BM18" t="n">
        <v>0.000155940498152596</v>
      </c>
      <c r="BN18" t="n">
        <v>0</v>
      </c>
      <c r="BO18" t="n">
        <v>0.003496250637516351</v>
      </c>
      <c r="BP18" t="n">
        <v>0.008322151974711848</v>
      </c>
      <c r="BQ18" t="n">
        <v>0</v>
      </c>
      <c r="BR18" t="n">
        <v>0</v>
      </c>
      <c r="BS18" t="n">
        <v>0.002144986920073166</v>
      </c>
      <c r="BT18" t="n">
        <v>0</v>
      </c>
      <c r="BU18" t="n">
        <v>0.003710984368017921</v>
      </c>
      <c r="BV18" t="n">
        <v>0.001280551874146898</v>
      </c>
      <c r="BW18" t="n">
        <v>1.092291120578391e-05</v>
      </c>
      <c r="BX18" t="n">
        <v>0.002174267117145821</v>
      </c>
      <c r="BY18" t="n">
        <v>0.002084897781482175</v>
      </c>
      <c r="BZ18" t="n">
        <v>0</v>
      </c>
      <c r="CA18" t="n">
        <v>0.001145275605147002</v>
      </c>
      <c r="CB18" t="n">
        <v>0.002343826719594697</v>
      </c>
      <c r="CC18" t="n">
        <v>0.003961728791094059</v>
      </c>
      <c r="CD18" t="n">
        <v>0.0004333430490241399</v>
      </c>
      <c r="CE18" t="n">
        <v>0.0004828112231186291</v>
      </c>
      <c r="CF18" t="n">
        <v>0.0007263436380838598</v>
      </c>
      <c r="CG18" t="n">
        <v>0.0004622537956975293</v>
      </c>
      <c r="CH18" t="n">
        <v>1.27003318856124e-05</v>
      </c>
      <c r="CI18" t="n">
        <v>0.003562284486416305</v>
      </c>
      <c r="CJ18" t="n">
        <v>0.003143309581968163</v>
      </c>
      <c r="CK18" t="n">
        <v>0.001141261497208041</v>
      </c>
      <c r="CL18" t="n">
        <v>0.001891631905224907</v>
      </c>
      <c r="CM18" t="n">
        <v>0.004219479275288002</v>
      </c>
      <c r="CN18" t="n">
        <v>0</v>
      </c>
      <c r="CO18" t="n">
        <v>0.0009126306263259542</v>
      </c>
      <c r="CP18" t="n">
        <v>0.001726406832391841</v>
      </c>
      <c r="CQ18" t="n">
        <v>0.0007161219342921134</v>
      </c>
      <c r="CR18" t="n">
        <v>0</v>
      </c>
      <c r="CS18" t="n">
        <v>0.002158535440884826</v>
      </c>
      <c r="CT18" t="n">
        <v>0.001729482391244781</v>
      </c>
      <c r="CU18" t="n">
        <v>0.002353955637956572</v>
      </c>
      <c r="CV18" t="n">
        <v>0.001885804351305367</v>
      </c>
      <c r="CW18" t="n">
        <v>0.001837567022539783</v>
      </c>
      <c r="CX18" t="n">
        <v>0.001578493797857519</v>
      </c>
      <c r="CY18" t="n">
        <v>0.002296079651143113</v>
      </c>
      <c r="CZ18" t="n">
        <v>0.002487981863171672</v>
      </c>
      <c r="DA18" t="n">
        <v>0.002116277368031606</v>
      </c>
      <c r="DB18" t="n">
        <v>0.003432941479136696</v>
      </c>
      <c r="DC18" t="n">
        <v>0</v>
      </c>
      <c r="DD18" t="n">
        <v>0.003123250735735969</v>
      </c>
      <c r="DE18" t="n">
        <v>0.003046406676451933</v>
      </c>
      <c r="DF18" t="n">
        <v>0.004177239626211584</v>
      </c>
      <c r="DG18" t="n">
        <v>0.005085951009683513</v>
      </c>
      <c r="DH18" t="n">
        <v>0.003990492756487412</v>
      </c>
      <c r="DI18" t="n">
        <v>0</v>
      </c>
      <c r="DJ18" t="n">
        <v>0.003366234183091974</v>
      </c>
      <c r="DK18" t="n">
        <v>0</v>
      </c>
      <c r="DL18" t="n">
        <v>0.002399381379164068</v>
      </c>
      <c r="DM18" t="n">
        <v>0.002454219768535649</v>
      </c>
      <c r="DN18" t="n">
        <v>0.002325793930196617</v>
      </c>
      <c r="DO18" t="n">
        <v>0.002439301503183244</v>
      </c>
      <c r="DP18" t="n">
        <v>0.00216077695809026</v>
      </c>
      <c r="DQ18" t="n">
        <v>0.002200464134707094</v>
      </c>
      <c r="DR18" t="n">
        <v>0.001652530119912751</v>
      </c>
      <c r="DS18" t="n">
        <v>0.002767261856892126</v>
      </c>
      <c r="DT18" t="n">
        <v>0.002224411543770874</v>
      </c>
      <c r="DU18" t="n">
        <v>0.002383746020704506</v>
      </c>
      <c r="DV18" t="n">
        <v>0</v>
      </c>
      <c r="DW18" t="n">
        <v>0</v>
      </c>
      <c r="DX18" t="n">
        <v>0.01093749763187034</v>
      </c>
      <c r="DY18" t="n">
        <v>0.002362880363654308</v>
      </c>
      <c r="DZ18" t="n">
        <v>0.001875601666230523</v>
      </c>
      <c r="EA18" t="n">
        <v>0.002325823795040329</v>
      </c>
      <c r="EB18" t="n">
        <v>0.0009581144752926686</v>
      </c>
      <c r="EC18" t="n">
        <v>0.009540083429208403</v>
      </c>
      <c r="ED18" t="n">
        <v>0.001885011235323304</v>
      </c>
      <c r="EE18" t="n">
        <v>0.0002144378205950853</v>
      </c>
      <c r="EF18" t="n">
        <v>0</v>
      </c>
      <c r="EG18" t="n">
        <v>0.002796113289625223</v>
      </c>
      <c r="EH18" t="n">
        <v>0</v>
      </c>
      <c r="EI18" t="n">
        <v>0</v>
      </c>
      <c r="EJ18" t="n">
        <v>0.0009628687014941815</v>
      </c>
      <c r="EK18" t="n">
        <v>0.0009176720517894782</v>
      </c>
      <c r="EL18" t="n">
        <v>0.0002377064988549169</v>
      </c>
      <c r="EM18" t="n">
        <v>0.0004874587233665493</v>
      </c>
      <c r="EN18" t="n">
        <v>4.254010459583629e-11</v>
      </c>
      <c r="EO18" t="n">
        <v>0</v>
      </c>
      <c r="EP18" t="n">
        <v>0.001011014623964139</v>
      </c>
      <c r="EQ18" t="n">
        <v>0.002180218590666209</v>
      </c>
      <c r="ER18" t="n">
        <v>0.009214635562679456</v>
      </c>
      <c r="ES18" t="n">
        <v>0.001356969278364625</v>
      </c>
      <c r="ET18" t="n">
        <v>0.001873419092836577</v>
      </c>
      <c r="EU18" t="n">
        <v>0</v>
      </c>
      <c r="EV18" t="n">
        <v>0.0006214567046720124</v>
      </c>
      <c r="EW18" t="n">
        <v>0.001471134918797387</v>
      </c>
      <c r="EX18" t="n">
        <v>0.0008124762173606658</v>
      </c>
      <c r="EY18" t="n">
        <v>0.0009366470124526574</v>
      </c>
      <c r="EZ18" t="n">
        <v>0.002717354130213632</v>
      </c>
      <c r="FA18" t="n">
        <v>0.00176527031587314</v>
      </c>
      <c r="FB18" t="n">
        <v>0.001325119187609464</v>
      </c>
      <c r="FC18" t="n">
        <v>0.004100967614830462</v>
      </c>
      <c r="FD18" t="n">
        <v>0.007940203735414351</v>
      </c>
      <c r="FE18" t="n">
        <v>0.01425995210814048</v>
      </c>
      <c r="FF18" t="n">
        <v>0.003805794106459591</v>
      </c>
      <c r="FG18" t="n">
        <v>0.001331144754307799</v>
      </c>
      <c r="FH18" t="n">
        <v>0.001022448264043117</v>
      </c>
      <c r="FI18" t="n">
        <v>0.001429583759293498</v>
      </c>
      <c r="FJ18" t="n">
        <v>0.001643974664511019</v>
      </c>
      <c r="FK18" t="n">
        <v>0.002048989095875207</v>
      </c>
      <c r="FL18" t="n">
        <v>0.001244880951958025</v>
      </c>
      <c r="FM18" t="n">
        <v>0.001354887877124464</v>
      </c>
      <c r="FN18" t="n">
        <v>0.001376932886297923</v>
      </c>
      <c r="FO18" t="n">
        <v>0.004355670400972995</v>
      </c>
      <c r="FP18" t="n">
        <v>0.001276331941023385</v>
      </c>
      <c r="FQ18" t="n">
        <v>0.001607748772694416</v>
      </c>
      <c r="FR18" t="n">
        <v>0.001080104303749212</v>
      </c>
      <c r="FS18" t="n">
        <v>0.001111331431886019</v>
      </c>
      <c r="FT18" t="n">
        <v>0.001310572555492747</v>
      </c>
      <c r="FU18" t="n">
        <v>0.001321888333322865</v>
      </c>
      <c r="FV18" t="n">
        <v>0.00144735037098832</v>
      </c>
      <c r="FW18" t="n">
        <v>0.001347157616417559</v>
      </c>
      <c r="FX18" t="n">
        <v>0.001313532039428077</v>
      </c>
      <c r="FY18" t="n">
        <v>0.001358896975051796</v>
      </c>
      <c r="FZ18" t="n">
        <v>0.001274090943397136</v>
      </c>
      <c r="GA18" t="n">
        <v>0.001194709886629279</v>
      </c>
      <c r="GB18" t="n">
        <v>0.001153003124257279</v>
      </c>
      <c r="GC18" t="n">
        <v>0.001373191262746468</v>
      </c>
      <c r="GD18" t="n">
        <v>0.001332112676140576</v>
      </c>
      <c r="GE18" t="n">
        <v>0.0101673990768755</v>
      </c>
      <c r="GF18" t="n">
        <v>0.001567505759358752</v>
      </c>
      <c r="GG18" t="n">
        <v>0.001619886942956142</v>
      </c>
      <c r="GH18" t="n">
        <v>0.001538358081523566</v>
      </c>
      <c r="GI18" t="n">
        <v>0.001489999673135574</v>
      </c>
      <c r="GJ18" t="n">
        <v>0.001718087173899072</v>
      </c>
      <c r="GK18" t="n">
        <v>0.001288764923159366</v>
      </c>
      <c r="GL18" t="n">
        <v>0.001502160117714963</v>
      </c>
      <c r="GM18" t="n">
        <v>0.00136628419631451</v>
      </c>
      <c r="GN18" t="n">
        <v>0.001888306543605076</v>
      </c>
      <c r="GO18" t="n">
        <v>0.002307288253013384</v>
      </c>
      <c r="GP18" t="n">
        <v>0.002653933645577493</v>
      </c>
      <c r="GQ18" t="n">
        <v>0</v>
      </c>
      <c r="GR18" t="n">
        <v>0.006951045876009121</v>
      </c>
      <c r="GS18" t="n">
        <v>0.01880878674072991</v>
      </c>
      <c r="GT18" t="n">
        <v>0.01394599777962304</v>
      </c>
      <c r="GU18" t="n">
        <v>0.01331872143645281</v>
      </c>
      <c r="GV18" t="n">
        <v>0.01299656568573484</v>
      </c>
      <c r="GW18" t="n">
        <v>0.01090395846112651</v>
      </c>
      <c r="GX18" t="n">
        <v>0.001686700287005045</v>
      </c>
      <c r="GY18" t="n">
        <v>0.002729546819647041</v>
      </c>
      <c r="GZ18" t="n">
        <v>0.004083005024457019</v>
      </c>
      <c r="HA18" t="n">
        <v>0.002849903264649093</v>
      </c>
      <c r="HB18" t="n">
        <v>0.002717354130213632</v>
      </c>
      <c r="HC18" t="n">
        <v>0.001401220242583312</v>
      </c>
    </row>
    <row r="19">
      <c r="A19" s="1" t="inlineStr">
        <is>
          <t>M_dom</t>
        </is>
      </c>
      <c r="B19" t="n">
        <v>2.42227937649831</v>
      </c>
      <c r="C19" t="n">
        <v>0.00275241400073763</v>
      </c>
      <c r="D19" t="n">
        <v>0.04211638099707475</v>
      </c>
      <c r="E19" t="n">
        <v>0.01234526811096269</v>
      </c>
      <c r="F19" t="n">
        <v>0.02580152028154161</v>
      </c>
      <c r="G19" t="n">
        <v>0.001355193176830815</v>
      </c>
      <c r="H19" t="n">
        <v>0.04122843807926708</v>
      </c>
      <c r="I19" t="n">
        <v>0.003881484616334248</v>
      </c>
      <c r="J19" t="n">
        <v>0.09825227738216109</v>
      </c>
      <c r="K19" t="n">
        <v>0.03688198458452779</v>
      </c>
      <c r="L19" t="n">
        <v>0.02032287980388633</v>
      </c>
      <c r="M19" t="n">
        <v>0.02555488337831888</v>
      </c>
      <c r="N19" t="n">
        <v>0.0292325147266467</v>
      </c>
      <c r="O19" t="n">
        <v>0.03625345799170852</v>
      </c>
      <c r="P19" t="n">
        <v>0.004103991640925108</v>
      </c>
      <c r="Q19" t="n">
        <v>0</v>
      </c>
      <c r="R19" t="n">
        <v>0</v>
      </c>
      <c r="S19" t="n">
        <v>0.0007224861592060429</v>
      </c>
      <c r="T19" t="n">
        <v>0.004485760966466938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9.034672267896752e-05</v>
      </c>
      <c r="AD19" t="n">
        <v>0.001350179686479085</v>
      </c>
      <c r="AE19" t="n">
        <v>6.663493784399739e-06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7.327556890458557e-07</v>
      </c>
      <c r="AO19" t="n">
        <v>7.967943103698023e-05</v>
      </c>
      <c r="AP19" t="n">
        <v>2.323371598694923e-06</v>
      </c>
      <c r="AQ19" t="n">
        <v>4.760231473473959e-05</v>
      </c>
      <c r="AR19" t="n">
        <v>0.03912967410982608</v>
      </c>
      <c r="AS19" t="n">
        <v>0.01087403116834253</v>
      </c>
      <c r="AT19" t="n">
        <v>0.005836408599543252</v>
      </c>
      <c r="AU19" t="n">
        <v>0.007238316995446353</v>
      </c>
      <c r="AV19" t="n">
        <v>0.0225186435260332</v>
      </c>
      <c r="AW19" t="n">
        <v>0.01231884629023784</v>
      </c>
      <c r="AX19" t="n">
        <v>0.003581956571377169</v>
      </c>
      <c r="AY19" t="n">
        <v>0.01384392548323978</v>
      </c>
      <c r="AZ19" t="n">
        <v>0.01197568644668176</v>
      </c>
      <c r="BA19" t="n">
        <v>0.009305514118199276</v>
      </c>
      <c r="BB19" t="n">
        <v>0.01768109500653128</v>
      </c>
      <c r="BC19" t="n">
        <v>0.000297700316859913</v>
      </c>
      <c r="BD19" t="n">
        <v>0.002786734945873025</v>
      </c>
      <c r="BE19" t="n">
        <v>0.001013034347946113</v>
      </c>
      <c r="BF19" t="n">
        <v>0.006720715496226834</v>
      </c>
      <c r="BG19" t="n">
        <v>0.0003882001830738048</v>
      </c>
      <c r="BH19" t="n">
        <v>0.0001329941408374497</v>
      </c>
      <c r="BI19" t="n">
        <v>0.0005601338706996362</v>
      </c>
      <c r="BJ19" t="n">
        <v>0.0001058179593737934</v>
      </c>
      <c r="BK19" t="n">
        <v>0.002058460997564585</v>
      </c>
      <c r="BL19" t="n">
        <v>0.0001917905249532315</v>
      </c>
      <c r="BM19" t="n">
        <v>1.717646944000203e-06</v>
      </c>
      <c r="BN19" t="n">
        <v>0</v>
      </c>
      <c r="BO19" t="n">
        <v>3.850941700982717e-05</v>
      </c>
      <c r="BP19" t="n">
        <v>8.955892284438169e-05</v>
      </c>
      <c r="BQ19" t="n">
        <v>0</v>
      </c>
      <c r="BR19" t="n">
        <v>0</v>
      </c>
      <c r="BS19" t="n">
        <v>2.30832431835826e-05</v>
      </c>
      <c r="BT19" t="n">
        <v>0</v>
      </c>
      <c r="BU19" t="n">
        <v>3.993601667040471e-05</v>
      </c>
      <c r="BV19" t="n">
        <v>1.378065354321601e-05</v>
      </c>
      <c r="BW19" t="n">
        <v>1.175485039046506e-07</v>
      </c>
      <c r="BX19" t="n">
        <v>2.339835892120534e-05</v>
      </c>
      <c r="BY19" t="n">
        <v>2.243698093610961e-05</v>
      </c>
      <c r="BZ19" t="n">
        <v>0</v>
      </c>
      <c r="CA19" t="n">
        <v>1.232486269064008e-05</v>
      </c>
      <c r="CB19" t="n">
        <v>2.522351259761914e-05</v>
      </c>
      <c r="CC19" t="n">
        <v>4.263481267048451e-05</v>
      </c>
      <c r="CD19" t="n">
        <v>4.663500546159548e-06</v>
      </c>
      <c r="CE19" t="n">
        <v>5.195831981924709e-06</v>
      </c>
      <c r="CF19" t="n">
        <v>7.816600372663447e-06</v>
      </c>
      <c r="CG19" t="n">
        <v>4.974539694921672e-06</v>
      </c>
      <c r="CH19" t="n">
        <v>3.739364169821556e-06</v>
      </c>
      <c r="CI19" t="n">
        <v>0.0007351905256431776</v>
      </c>
      <c r="CJ19" t="n">
        <v>0.0004340589571226752</v>
      </c>
      <c r="CK19" t="n">
        <v>1.134080294575273</v>
      </c>
      <c r="CL19" t="n">
        <v>0.005453916752319073</v>
      </c>
      <c r="CM19" t="n">
        <v>0.0005239048417270211</v>
      </c>
      <c r="CN19" t="n">
        <v>0</v>
      </c>
      <c r="CO19" t="n">
        <v>8.563118275882193e-05</v>
      </c>
      <c r="CP19" t="n">
        <v>0.0001619857235899834</v>
      </c>
      <c r="CQ19" t="n">
        <v>6.718871015378663e-05</v>
      </c>
      <c r="CR19" t="n">
        <v>0</v>
      </c>
      <c r="CS19" t="n">
        <v>0.001271332380515861</v>
      </c>
      <c r="CT19" t="n">
        <v>0.0001057707264427409</v>
      </c>
      <c r="CU19" t="n">
        <v>0.0003098197320502663</v>
      </c>
      <c r="CV19" t="n">
        <v>0.004267276403767829</v>
      </c>
      <c r="CW19" t="n">
        <v>0.001009597311246266</v>
      </c>
      <c r="CX19" t="n">
        <v>0.0002069932918801005</v>
      </c>
      <c r="CY19" t="n">
        <v>0.0003117107364919618</v>
      </c>
      <c r="CZ19" t="n">
        <v>0.001594506055051496</v>
      </c>
      <c r="DA19" t="n">
        <v>0.0001562015212927244</v>
      </c>
      <c r="DB19" t="n">
        <v>0.0001167326945474084</v>
      </c>
      <c r="DC19" t="n">
        <v>0</v>
      </c>
      <c r="DD19" t="n">
        <v>0.0002701432784684606</v>
      </c>
      <c r="DE19" t="n">
        <v>8.122096729951162e-05</v>
      </c>
      <c r="DF19" t="n">
        <v>0.004232362393968013</v>
      </c>
      <c r="DG19" t="n">
        <v>4.645404791726536e-05</v>
      </c>
      <c r="DH19" t="n">
        <v>0.0002046928072731954</v>
      </c>
      <c r="DI19" t="n">
        <v>0</v>
      </c>
      <c r="DJ19" t="n">
        <v>8.137581120195676e-05</v>
      </c>
      <c r="DK19" t="n">
        <v>0</v>
      </c>
      <c r="DL19" t="n">
        <v>0.0001054473122584327</v>
      </c>
      <c r="DM19" t="n">
        <v>0.0001107235157638454</v>
      </c>
      <c r="DN19" t="n">
        <v>0.0001090236214870267</v>
      </c>
      <c r="DO19" t="n">
        <v>9.711899703924492e-05</v>
      </c>
      <c r="DP19" t="n">
        <v>0.0001144779975264786</v>
      </c>
      <c r="DQ19" t="n">
        <v>8.818779916258444e-05</v>
      </c>
      <c r="DR19" t="n">
        <v>7.307962760508205e-05</v>
      </c>
      <c r="DS19" t="n">
        <v>0.0001260608836889162</v>
      </c>
      <c r="DT19" t="n">
        <v>6.151912699309095e-05</v>
      </c>
      <c r="DU19" t="n">
        <v>0.0001147293058529789</v>
      </c>
      <c r="DV19" t="n">
        <v>0</v>
      </c>
      <c r="DW19" t="n">
        <v>0</v>
      </c>
      <c r="DX19" t="n">
        <v>0.001366488828728422</v>
      </c>
      <c r="DY19" t="n">
        <v>0.0001931915477031179</v>
      </c>
      <c r="DZ19" t="n">
        <v>0.0004648537714452116</v>
      </c>
      <c r="EA19" t="n">
        <v>0.000533697210627983</v>
      </c>
      <c r="EB19" t="n">
        <v>0.000135191423097234</v>
      </c>
      <c r="EC19" t="n">
        <v>0.0004330235467484765</v>
      </c>
      <c r="ED19" t="n">
        <v>0.0002167308614470253</v>
      </c>
      <c r="EE19" t="n">
        <v>3.44858653237819e-05</v>
      </c>
      <c r="EF19" t="n">
        <v>0</v>
      </c>
      <c r="EG19" t="n">
        <v>0.0001939597785735214</v>
      </c>
      <c r="EH19" t="n">
        <v>0</v>
      </c>
      <c r="EI19" t="n">
        <v>0</v>
      </c>
      <c r="EJ19" t="n">
        <v>0.0003632548829880033</v>
      </c>
      <c r="EK19" t="n">
        <v>7.170286454745099e-05</v>
      </c>
      <c r="EL19" t="n">
        <v>1.093986015984023e-05</v>
      </c>
      <c r="EM19" t="n">
        <v>2.242453912346998e-05</v>
      </c>
      <c r="EN19" t="n">
        <v>2.295518873107448e-12</v>
      </c>
      <c r="EO19" t="n">
        <v>0</v>
      </c>
      <c r="EP19" t="n">
        <v>4.65193637595775e-05</v>
      </c>
      <c r="EQ19" t="n">
        <v>0.000100289472609345</v>
      </c>
      <c r="ER19" t="n">
        <v>0.000584835134514594</v>
      </c>
      <c r="ES19" t="n">
        <v>9.087600394661447e-05</v>
      </c>
      <c r="ET19" t="n">
        <v>0.0001570395148513947</v>
      </c>
      <c r="EU19" t="n">
        <v>0</v>
      </c>
      <c r="EV19" t="n">
        <v>1.959606482482976e-05</v>
      </c>
      <c r="EW19" t="n">
        <v>0.0002322072241194175</v>
      </c>
      <c r="EX19" t="n">
        <v>4.552803571596233e-05</v>
      </c>
      <c r="EY19" t="n">
        <v>5.97442336901667e-05</v>
      </c>
      <c r="EZ19" t="n">
        <v>0.001248887059032179</v>
      </c>
      <c r="FA19" t="n">
        <v>6.998242125007815e-05</v>
      </c>
      <c r="FB19" t="n">
        <v>4.117434911303527e-05</v>
      </c>
      <c r="FC19" t="n">
        <v>0.0001632155511336506</v>
      </c>
      <c r="FD19" t="n">
        <v>6.426775561316005e-05</v>
      </c>
      <c r="FE19" t="n">
        <v>0.0001855641022160248</v>
      </c>
      <c r="FF19" t="n">
        <v>0.0001220216222582799</v>
      </c>
      <c r="FG19" t="n">
        <v>5.461247881218644e-05</v>
      </c>
      <c r="FH19" t="n">
        <v>7.65320847150981e-05</v>
      </c>
      <c r="FI19" t="n">
        <v>6.179522575539192e-05</v>
      </c>
      <c r="FJ19" t="n">
        <v>7.844466934269226e-05</v>
      </c>
      <c r="FK19" t="n">
        <v>8.891482354673043e-05</v>
      </c>
      <c r="FL19" t="n">
        <v>9.484769638602081e-05</v>
      </c>
      <c r="FM19" t="n">
        <v>0.0001558914281357021</v>
      </c>
      <c r="FN19" t="n">
        <v>9.059604732951776e-05</v>
      </c>
      <c r="FO19" t="n">
        <v>0.0002984424523801578</v>
      </c>
      <c r="FP19" t="n">
        <v>0.0001252484871190408</v>
      </c>
      <c r="FQ19" t="n">
        <v>0.0001080180089515019</v>
      </c>
      <c r="FR19" t="n">
        <v>0.0002333433837887102</v>
      </c>
      <c r="FS19" t="n">
        <v>0.0001478395386265327</v>
      </c>
      <c r="FT19" t="n">
        <v>9.050019875861268e-05</v>
      </c>
      <c r="FU19" t="n">
        <v>9.035544625234778e-05</v>
      </c>
      <c r="FV19" t="n">
        <v>8.922153805050045e-05</v>
      </c>
      <c r="FW19" t="n">
        <v>9.043635196997611e-05</v>
      </c>
      <c r="FX19" t="n">
        <v>8.648857114409129e-05</v>
      </c>
      <c r="FY19" t="n">
        <v>8.838469740848192e-05</v>
      </c>
      <c r="FZ19" t="n">
        <v>8.963552764127357e-05</v>
      </c>
      <c r="GA19" t="n">
        <v>7.912358456390476e-05</v>
      </c>
      <c r="GB19" t="n">
        <v>7.197532001093468e-05</v>
      </c>
      <c r="GC19" t="n">
        <v>8.097179534809974e-05</v>
      </c>
      <c r="GD19" t="n">
        <v>9.565725543487358e-05</v>
      </c>
      <c r="GE19" t="n">
        <v>3.653738504735741e-05</v>
      </c>
      <c r="GF19" t="n">
        <v>9.034787033744878e-05</v>
      </c>
      <c r="GG19" t="n">
        <v>9.008738249248162e-05</v>
      </c>
      <c r="GH19" t="n">
        <v>8.045073698426813e-05</v>
      </c>
      <c r="GI19" t="n">
        <v>7.999224609947099e-05</v>
      </c>
      <c r="GJ19" t="n">
        <v>7.809423007311593e-05</v>
      </c>
      <c r="GK19" t="n">
        <v>8.214090743470207e-05</v>
      </c>
      <c r="GL19" t="n">
        <v>7.779240420268242e-05</v>
      </c>
      <c r="GM19" t="n">
        <v>7.928519644478515e-05</v>
      </c>
      <c r="GN19" t="n">
        <v>0.0001577096187233313</v>
      </c>
      <c r="GO19" t="n">
        <v>0.0004025221761556902</v>
      </c>
      <c r="GP19" t="n">
        <v>2.220805526716634e-05</v>
      </c>
      <c r="GQ19" t="n">
        <v>0</v>
      </c>
      <c r="GR19" t="n">
        <v>0.01237187903215824</v>
      </c>
      <c r="GS19" t="n">
        <v>0.03912967410982608</v>
      </c>
      <c r="GT19" t="n">
        <v>0.00954930349265844</v>
      </c>
      <c r="GU19" t="n">
        <v>0.01237643170038025</v>
      </c>
      <c r="GV19" t="n">
        <v>0.01270027301651877</v>
      </c>
      <c r="GW19" t="n">
        <v>0.01978121676628062</v>
      </c>
      <c r="GX19" t="n">
        <v>0.0002042324257759134</v>
      </c>
      <c r="GY19" t="n">
        <v>0.0001286513277852732</v>
      </c>
      <c r="GZ19" t="n">
        <v>0.001842777767271105</v>
      </c>
      <c r="HA19" t="n">
        <v>0.0003411597891162393</v>
      </c>
      <c r="HB19" t="n">
        <v>0.001248887059032179</v>
      </c>
      <c r="HC19" t="n">
        <v>0.0001568064955543976</v>
      </c>
    </row>
    <row r="20">
      <c r="A20" s="1" t="inlineStr">
        <is>
          <t>M_row</t>
        </is>
      </c>
      <c r="B20" t="n">
        <v>1.332817122556405</v>
      </c>
      <c r="C20" t="n">
        <v>0.02378019532955166</v>
      </c>
      <c r="D20" t="n">
        <v>0.1453258530556988</v>
      </c>
      <c r="E20" t="n">
        <v>0.2277439410874586</v>
      </c>
      <c r="F20" t="n">
        <v>0.07220649022943323</v>
      </c>
      <c r="G20" t="n">
        <v>0.2617436325287021</v>
      </c>
      <c r="H20" t="n">
        <v>0.1353352427894862</v>
      </c>
      <c r="I20" t="n">
        <v>0.9502847214317551</v>
      </c>
      <c r="J20" t="n">
        <v>0.371570455297587</v>
      </c>
      <c r="K20" t="n">
        <v>0.07815703526507742</v>
      </c>
      <c r="L20" t="n">
        <v>0.03434463936127256</v>
      </c>
      <c r="M20" t="n">
        <v>0.1341793379835537</v>
      </c>
      <c r="N20" t="n">
        <v>0.10169582871506</v>
      </c>
      <c r="O20" t="n">
        <v>0</v>
      </c>
      <c r="P20" t="n">
        <v>1.746367418796192</v>
      </c>
      <c r="Q20" t="n">
        <v>0</v>
      </c>
      <c r="R20" t="n">
        <v>0</v>
      </c>
      <c r="S20" t="n">
        <v>0.005845887066493168</v>
      </c>
      <c r="T20" t="n">
        <v>0.04997769409050637</v>
      </c>
      <c r="U20" t="n">
        <v>0.0002310499271610036</v>
      </c>
      <c r="V20" t="n">
        <v>0.0001083117728937262</v>
      </c>
      <c r="W20" t="n">
        <v>0.001421830511037698</v>
      </c>
      <c r="X20" t="n">
        <v>0</v>
      </c>
      <c r="Y20" t="n">
        <v>0.0004469291247454165</v>
      </c>
      <c r="Z20" t="n">
        <v>0.001755587583594638</v>
      </c>
      <c r="AA20" t="n">
        <v>0.006011791892276048</v>
      </c>
      <c r="AB20" t="n">
        <v>0</v>
      </c>
      <c r="AC20" t="n">
        <v>0.002719946664155693</v>
      </c>
      <c r="AD20" t="n">
        <v>0.0001234252344906284</v>
      </c>
      <c r="AE20" t="n">
        <v>0.02311177145717928</v>
      </c>
      <c r="AF20" t="n">
        <v>0</v>
      </c>
      <c r="AG20" t="n">
        <v>0.0008655586326992182</v>
      </c>
      <c r="AH20" t="n">
        <v>6.754509241871091e-07</v>
      </c>
      <c r="AI20" t="n">
        <v>4.747525009790508</v>
      </c>
      <c r="AJ20" t="n">
        <v>0.004161787511977566</v>
      </c>
      <c r="AK20" t="n">
        <v>0.0003536558426855929</v>
      </c>
      <c r="AL20" t="n">
        <v>0.0321870512368409</v>
      </c>
      <c r="AM20" t="n">
        <v>0.0007456373904342665</v>
      </c>
      <c r="AN20" t="n">
        <v>3.747192365124175e-05</v>
      </c>
      <c r="AO20" t="n">
        <v>0.0004840892763980015</v>
      </c>
      <c r="AP20" t="n">
        <v>0.0001245850306790525</v>
      </c>
      <c r="AQ20" t="n">
        <v>0.0006179631835191057</v>
      </c>
      <c r="AR20" t="n">
        <v>0.05231098806818153</v>
      </c>
      <c r="AS20" t="n">
        <v>0.07787254573743597</v>
      </c>
      <c r="AT20" t="n">
        <v>0.03249193666803832</v>
      </c>
      <c r="AU20" t="n">
        <v>0.01816476571257717</v>
      </c>
      <c r="AV20" t="n">
        <v>0.09082963528574091</v>
      </c>
      <c r="AW20" t="n">
        <v>0.03038463206928195</v>
      </c>
      <c r="AX20" t="n">
        <v>0.1690485249701402</v>
      </c>
      <c r="AY20" t="n">
        <v>0.3212429519183329</v>
      </c>
      <c r="AZ20" t="n">
        <v>0.06202891663274988</v>
      </c>
      <c r="BA20" t="n">
        <v>0.03351152691139243</v>
      </c>
      <c r="BB20" t="n">
        <v>0.06748671196696537</v>
      </c>
      <c r="BC20" t="n">
        <v>0.07197869855329156</v>
      </c>
      <c r="BD20" t="n">
        <v>0.02107529901001624</v>
      </c>
      <c r="BE20" t="n">
        <v>0.02468532710149878</v>
      </c>
      <c r="BF20" t="n">
        <v>0.04321923636960657</v>
      </c>
      <c r="BG20" t="n">
        <v>0.009369690041264351</v>
      </c>
      <c r="BH20" t="n">
        <v>0</v>
      </c>
      <c r="BI20" t="n">
        <v>0.03216524380493426</v>
      </c>
      <c r="BJ20" t="n">
        <v>0</v>
      </c>
      <c r="BK20" t="n">
        <v>0.008610680185432996</v>
      </c>
      <c r="BL20" t="n">
        <v>0.003660415895035424</v>
      </c>
      <c r="BM20" t="n">
        <v>0.002256599455585074</v>
      </c>
      <c r="BN20" t="n">
        <v>0</v>
      </c>
      <c r="BO20" t="n">
        <v>0</v>
      </c>
      <c r="BP20" t="n">
        <v>0.1392438697078512</v>
      </c>
      <c r="BQ20" t="n">
        <v>0.0003893307874468369</v>
      </c>
      <c r="BR20" t="n">
        <v>0</v>
      </c>
      <c r="BS20" t="n">
        <v>0.008100226482144091</v>
      </c>
      <c r="BT20" t="n">
        <v>0.001640436650517621</v>
      </c>
      <c r="BU20" t="n">
        <v>0.003467788693270479</v>
      </c>
      <c r="BV20" t="n">
        <v>0.03496868146333139</v>
      </c>
      <c r="BW20" t="n">
        <v>0</v>
      </c>
      <c r="BX20" t="n">
        <v>0.003110992549584113</v>
      </c>
      <c r="BY20" t="n">
        <v>0.00223599889337415</v>
      </c>
      <c r="BZ20" t="n">
        <v>0</v>
      </c>
      <c r="CA20" t="n">
        <v>0.00204009858908199</v>
      </c>
      <c r="CB20" t="n">
        <v>0</v>
      </c>
      <c r="CC20" t="n">
        <v>0</v>
      </c>
      <c r="CD20" t="n">
        <v>0.001065824265479199</v>
      </c>
      <c r="CE20" t="n">
        <v>0</v>
      </c>
      <c r="CF20" t="n">
        <v>0.00100368006807506</v>
      </c>
      <c r="CG20" t="n">
        <v>0.001281640358661666</v>
      </c>
      <c r="CH20" t="n">
        <v>0</v>
      </c>
      <c r="CI20" t="n">
        <v>0.02937893966592513</v>
      </c>
      <c r="CJ20" t="n">
        <v>0</v>
      </c>
      <c r="CK20" t="n">
        <v>0.2950999872528628</v>
      </c>
      <c r="CL20" t="n">
        <v>0.1551174579632632</v>
      </c>
      <c r="CM20" t="n">
        <v>0.01548081210731005</v>
      </c>
      <c r="CN20" t="n">
        <v>0</v>
      </c>
      <c r="CO20" t="n">
        <v>0.08938926856603807</v>
      </c>
      <c r="CP20" t="n">
        <v>0</v>
      </c>
      <c r="CQ20" t="n">
        <v>0</v>
      </c>
      <c r="CR20" t="n">
        <v>0</v>
      </c>
      <c r="CS20" t="n">
        <v>0.00830078124953517</v>
      </c>
      <c r="CT20" t="n">
        <v>0</v>
      </c>
      <c r="CU20" t="n">
        <v>0.009084641972603374</v>
      </c>
      <c r="CV20" t="n">
        <v>0.01157796877989919</v>
      </c>
      <c r="CW20" t="n">
        <v>0.01567878618518596</v>
      </c>
      <c r="CX20" t="n">
        <v>0</v>
      </c>
      <c r="CY20" t="n">
        <v>0.007134004004204802</v>
      </c>
      <c r="CZ20" t="n">
        <v>0.01226741099660718</v>
      </c>
      <c r="DA20" t="n">
        <v>0</v>
      </c>
      <c r="DB20" t="n">
        <v>0.004064628080652839</v>
      </c>
      <c r="DC20" t="n">
        <v>0</v>
      </c>
      <c r="DD20" t="n">
        <v>0.01079074235347352</v>
      </c>
      <c r="DE20" t="n">
        <v>0</v>
      </c>
      <c r="DF20" t="n">
        <v>0.02223147234250079</v>
      </c>
      <c r="DG20" t="n">
        <v>0</v>
      </c>
      <c r="DH20" t="n">
        <v>0.009590955004665174</v>
      </c>
      <c r="DI20" t="n">
        <v>0</v>
      </c>
      <c r="DJ20" t="n">
        <v>0.008997784093533898</v>
      </c>
      <c r="DK20" t="n">
        <v>0</v>
      </c>
      <c r="DL20" t="n">
        <v>0</v>
      </c>
      <c r="DM20" t="n">
        <v>0.007766958929051163</v>
      </c>
      <c r="DN20" t="n">
        <v>0.002036496374749672</v>
      </c>
      <c r="DO20" t="n">
        <v>0.01368426348838871</v>
      </c>
      <c r="DP20" t="n">
        <v>0.004250723636496604</v>
      </c>
      <c r="DQ20" t="n">
        <v>0.002767051336813799</v>
      </c>
      <c r="DR20" t="n">
        <v>0.001747498950746188</v>
      </c>
      <c r="DS20" t="n">
        <v>0.004243071739226651</v>
      </c>
      <c r="DT20" t="n">
        <v>0.002661843165069002</v>
      </c>
      <c r="DU20" t="n">
        <v>0.01086786867971288</v>
      </c>
      <c r="DV20" t="n">
        <v>0</v>
      </c>
      <c r="DW20" t="n">
        <v>0</v>
      </c>
      <c r="DX20" t="n">
        <v>0.007867861976465773</v>
      </c>
      <c r="DY20" t="n">
        <v>0.006132526152443933</v>
      </c>
      <c r="DZ20" t="n">
        <v>0.1737185317119328</v>
      </c>
      <c r="EA20" t="n">
        <v>0.007595426985720942</v>
      </c>
      <c r="EB20" t="n">
        <v>0.00271720765111273</v>
      </c>
      <c r="EC20" t="n">
        <v>0.003979543755619738</v>
      </c>
      <c r="ED20" t="n">
        <v>0.0153167643870128</v>
      </c>
      <c r="EE20" t="n">
        <v>0.008960567026941918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0.008240775052681152</v>
      </c>
      <c r="EU20" t="n">
        <v>0</v>
      </c>
      <c r="EV20" t="n">
        <v>0.004148087333200463</v>
      </c>
      <c r="EW20" t="n">
        <v>0.02657056243704211</v>
      </c>
      <c r="EX20" t="n">
        <v>0.00611556591172043</v>
      </c>
      <c r="EY20" t="n">
        <v>0.007359983943730187</v>
      </c>
      <c r="EZ20" t="n">
        <v>0.01966754482242326</v>
      </c>
      <c r="FA20" t="n">
        <v>0.004090709165463141</v>
      </c>
      <c r="FB20" t="n">
        <v>0.003143473455530638</v>
      </c>
      <c r="FC20" t="n">
        <v>0.007636132937323844</v>
      </c>
      <c r="FD20" t="n">
        <v>0.008782352127000266</v>
      </c>
      <c r="FE20" t="n">
        <v>0.009438075113994679</v>
      </c>
      <c r="FF20" t="n">
        <v>0.005834362344497301</v>
      </c>
      <c r="FG20" t="n">
        <v>0.004508302633528962</v>
      </c>
      <c r="FH20" t="n">
        <v>0.002692696290304682</v>
      </c>
      <c r="FI20" t="n">
        <v>0.002028253938572675</v>
      </c>
      <c r="FJ20" t="n">
        <v>0.002382556509411468</v>
      </c>
      <c r="FK20" t="n">
        <v>0.00218892375866714</v>
      </c>
      <c r="FL20" t="n">
        <v>0.002336208270297297</v>
      </c>
      <c r="FM20" t="n">
        <v>0.002952372778477678</v>
      </c>
      <c r="FN20" t="n">
        <v>0.00446416672227879</v>
      </c>
      <c r="FO20" t="n">
        <v>0.01685939407288707</v>
      </c>
      <c r="FP20" t="n">
        <v>0.004642842950405107</v>
      </c>
      <c r="FQ20" t="n">
        <v>0.005836876594461985</v>
      </c>
      <c r="FR20" t="n">
        <v>0.0051513452291485</v>
      </c>
      <c r="FS20" t="n">
        <v>0.008173820988230442</v>
      </c>
      <c r="FT20" t="n">
        <v>0.002347081800899142</v>
      </c>
      <c r="FU20" t="n">
        <v>0.002130455089575254</v>
      </c>
      <c r="FV20" t="n">
        <v>0.002081045519184149</v>
      </c>
      <c r="FW20" t="n">
        <v>0.00230384721403706</v>
      </c>
      <c r="FX20" t="n">
        <v>0.00203272657668745</v>
      </c>
      <c r="FY20" t="n">
        <v>0.001847992529514279</v>
      </c>
      <c r="FZ20" t="n">
        <v>0.002460183802492345</v>
      </c>
      <c r="GA20" t="n">
        <v>0.001192201836208995</v>
      </c>
      <c r="GB20" t="n">
        <v>0.003067377249918003</v>
      </c>
      <c r="GC20" t="n">
        <v>0.004136298488810181</v>
      </c>
      <c r="GD20" t="n">
        <v>0.002112607553333128</v>
      </c>
      <c r="GE20" t="n">
        <v>0.001515618946359499</v>
      </c>
      <c r="GF20" t="n">
        <v>0.001577310754015785</v>
      </c>
      <c r="GG20" t="n">
        <v>0.001620254784027547</v>
      </c>
      <c r="GH20" t="n">
        <v>0.001365595374106244</v>
      </c>
      <c r="GI20" t="n">
        <v>0.001411361159170309</v>
      </c>
      <c r="GJ20" t="n">
        <v>0.001148854137312796</v>
      </c>
      <c r="GK20" t="n">
        <v>0.001902445240045076</v>
      </c>
      <c r="GL20" t="n">
        <v>0.001267617058305447</v>
      </c>
      <c r="GM20" t="n">
        <v>0.001379801117351983</v>
      </c>
      <c r="GN20" t="n">
        <v>0.00931012097976</v>
      </c>
      <c r="GO20" t="n">
        <v>0.006903261776447624</v>
      </c>
      <c r="GP20" t="n">
        <v>0.01393940322693993</v>
      </c>
      <c r="GQ20" t="n">
        <v>0</v>
      </c>
      <c r="GR20" t="n">
        <v>0.2246814741713062</v>
      </c>
      <c r="GS20" t="n">
        <v>0.05231098806818153</v>
      </c>
      <c r="GT20" t="n">
        <v>0.03505778731297979</v>
      </c>
      <c r="GU20" t="n">
        <v>0.04283898779907683</v>
      </c>
      <c r="GV20" t="n">
        <v>0.03038463206928195</v>
      </c>
      <c r="GW20" t="n">
        <v>0.0849574551990782</v>
      </c>
      <c r="GX20" t="n">
        <v>0.005430912519653854</v>
      </c>
      <c r="GY20" t="n">
        <v>0.005119500527198267</v>
      </c>
      <c r="GZ20" t="n">
        <v>0.02932415499987212</v>
      </c>
      <c r="HA20" t="n">
        <v>0.007078250576768741</v>
      </c>
      <c r="HB20" t="n">
        <v>0</v>
      </c>
      <c r="HC20" t="n">
        <v>0.005867921351352503</v>
      </c>
    </row>
    <row r="21">
      <c r="A21" s="1" t="inlineStr">
        <is>
          <t>Y_imp</t>
        </is>
      </c>
      <c r="B21" t="n">
        <v>12.58953104607659</v>
      </c>
      <c r="C21" t="n">
        <v>393.4168379264765</v>
      </c>
      <c r="D21" t="n">
        <v>6.170733505199777</v>
      </c>
      <c r="E21" t="n">
        <v>6666.413095894283</v>
      </c>
      <c r="F21" t="n">
        <v>709.1867968887566</v>
      </c>
      <c r="G21" t="n">
        <v>0</v>
      </c>
      <c r="H21" t="n">
        <v>18.17377665812187</v>
      </c>
      <c r="I21" t="n">
        <v>418.3549082338893</v>
      </c>
      <c r="J21" t="n">
        <v>0</v>
      </c>
      <c r="K21" t="n">
        <v>0</v>
      </c>
      <c r="L21" t="n">
        <v>37.6718724459</v>
      </c>
      <c r="M21" t="n">
        <v>134.968553567</v>
      </c>
      <c r="N21" t="n">
        <v>358.935505393</v>
      </c>
      <c r="O21" t="n">
        <v>0</v>
      </c>
      <c r="P21" t="n">
        <v>0</v>
      </c>
      <c r="Q21" t="n">
        <v>0</v>
      </c>
      <c r="R21" t="n">
        <v>0</v>
      </c>
      <c r="S21" t="n">
        <v>324.7181188907604</v>
      </c>
      <c r="T21" t="n">
        <v>191.524540960959</v>
      </c>
      <c r="U21" t="n">
        <v>6.3533008602</v>
      </c>
      <c r="V21" t="n">
        <v>0</v>
      </c>
      <c r="W21" t="n">
        <v>14.9039839728</v>
      </c>
      <c r="X21" t="n">
        <v>0</v>
      </c>
      <c r="Y21" t="n">
        <v>14.5218305376</v>
      </c>
      <c r="Z21" t="n">
        <v>0</v>
      </c>
      <c r="AA21" t="n">
        <v>0</v>
      </c>
      <c r="AB21" t="n">
        <v>0</v>
      </c>
      <c r="AC21" t="n">
        <v>0</v>
      </c>
      <c r="AD21" t="n">
        <v>10172.62054431125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1038.49431455</v>
      </c>
      <c r="AS21" t="n">
        <v>596.450475476</v>
      </c>
      <c r="AT21" t="n">
        <v>892.77666271</v>
      </c>
      <c r="AU21" t="n">
        <v>2166.43173804</v>
      </c>
      <c r="AV21" t="n">
        <v>152.524386109</v>
      </c>
      <c r="AW21" t="n">
        <v>1806.03861601</v>
      </c>
      <c r="AX21" t="n">
        <v>130.972569754</v>
      </c>
      <c r="AY21" t="n">
        <v>92.7266572539</v>
      </c>
      <c r="AZ21" t="n">
        <v>11484.8366485</v>
      </c>
      <c r="BA21" t="n">
        <v>1737.93637934</v>
      </c>
      <c r="BB21" t="n">
        <v>1549.8190821</v>
      </c>
      <c r="BC21" t="n">
        <v>1749.27710897</v>
      </c>
      <c r="BD21" t="n">
        <v>5191.81852316</v>
      </c>
      <c r="BE21" t="n">
        <v>10896.3904117</v>
      </c>
      <c r="BF21" t="n">
        <v>6719.86299841</v>
      </c>
      <c r="BG21" t="n">
        <v>627.2895343705732</v>
      </c>
      <c r="BH21" t="n">
        <v>64.05277614142688</v>
      </c>
      <c r="BI21" t="n">
        <v>0</v>
      </c>
      <c r="BJ21" t="n">
        <v>0</v>
      </c>
      <c r="BK21" t="n">
        <v>1766.04037623</v>
      </c>
      <c r="BL21" t="n">
        <v>1559.83702366</v>
      </c>
      <c r="BM21" t="n">
        <v>0.1066507278430744</v>
      </c>
      <c r="BN21" t="n">
        <v>0</v>
      </c>
      <c r="BO21" t="n">
        <v>0</v>
      </c>
      <c r="BP21" t="n">
        <v>262.4815319927819</v>
      </c>
      <c r="BQ21" t="n">
        <v>0.2627304867</v>
      </c>
      <c r="BR21" t="n">
        <v>0</v>
      </c>
      <c r="BS21" t="n">
        <v>52.29044704524056</v>
      </c>
      <c r="BT21" t="n">
        <v>157.136715636</v>
      </c>
      <c r="BU21" t="n">
        <v>7198.155178050654</v>
      </c>
      <c r="BV21" t="n">
        <v>1.056828588528105</v>
      </c>
      <c r="BW21" t="n">
        <v>0</v>
      </c>
      <c r="BX21" t="n">
        <v>612.4260780905207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2378.036229680418</v>
      </c>
      <c r="CJ21" t="n">
        <v>286.2161694295821</v>
      </c>
      <c r="CK21" t="n">
        <v>1.678914217057</v>
      </c>
      <c r="CL21" t="n">
        <v>44.52294982682</v>
      </c>
      <c r="CM21" t="n">
        <v>6643.333391030001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895.250211626</v>
      </c>
      <c r="CV21" t="n">
        <v>0.112600342789</v>
      </c>
      <c r="CW21" t="n">
        <v>0.9188687922269055</v>
      </c>
      <c r="CX21" t="n">
        <v>0.0555902005850945</v>
      </c>
      <c r="CY21" t="n">
        <v>791.2557892889999</v>
      </c>
      <c r="CZ21" t="n">
        <v>0.00617002623215275</v>
      </c>
      <c r="DA21" t="n">
        <v>0.0003962561419472482</v>
      </c>
      <c r="DB21" t="n">
        <v>5.425036059269236</v>
      </c>
      <c r="DC21" t="n">
        <v>0.00030458495076355</v>
      </c>
      <c r="DD21" t="n">
        <v>1.326188745780254</v>
      </c>
      <c r="DE21" t="n">
        <v>0.102340521859746</v>
      </c>
      <c r="DF21" t="n">
        <v>0</v>
      </c>
      <c r="DG21" t="n">
        <v>0</v>
      </c>
      <c r="DH21" t="n">
        <v>0</v>
      </c>
      <c r="DI21" t="n">
        <v>0</v>
      </c>
      <c r="DJ21" t="n">
        <v>7.493593020374871</v>
      </c>
      <c r="DK21" t="n">
        <v>0.06099700859512885</v>
      </c>
      <c r="DL21" t="n">
        <v>0</v>
      </c>
      <c r="DM21" t="n">
        <v>2010.42848448</v>
      </c>
      <c r="DN21" t="n">
        <v>520.4741344620001</v>
      </c>
      <c r="DO21" t="n">
        <v>1803.7615755</v>
      </c>
      <c r="DP21" t="n">
        <v>2577.26127398</v>
      </c>
      <c r="DQ21" t="n">
        <v>4696.77493081</v>
      </c>
      <c r="DR21" t="n">
        <v>4669.90644814</v>
      </c>
      <c r="DS21" t="n">
        <v>29014.0209561</v>
      </c>
      <c r="DT21" t="n">
        <v>2813.826555028</v>
      </c>
      <c r="DU21" t="n">
        <v>10799.400247</v>
      </c>
      <c r="DV21" t="n">
        <v>0</v>
      </c>
      <c r="DW21" t="n">
        <v>0</v>
      </c>
      <c r="DX21" t="n">
        <v>63.36121108093538</v>
      </c>
      <c r="DY21" t="n">
        <v>50.54035836745297</v>
      </c>
      <c r="DZ21" t="n">
        <v>20.42194883294816</v>
      </c>
      <c r="EA21" t="n">
        <v>34.97312082171879</v>
      </c>
      <c r="EB21" t="n">
        <v>7.774574842925006</v>
      </c>
      <c r="EC21" t="n">
        <v>7.784159298468468</v>
      </c>
      <c r="ED21" t="n">
        <v>4.48699372323996</v>
      </c>
      <c r="EE21" t="n">
        <v>2.286287747679654</v>
      </c>
      <c r="EF21" t="n">
        <v>0</v>
      </c>
      <c r="EG21" t="n">
        <v>0.004994755577657015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107.8362040536</v>
      </c>
      <c r="EY21" t="n">
        <v>0</v>
      </c>
      <c r="EZ21" t="n">
        <v>0</v>
      </c>
      <c r="FA21" t="n">
        <v>1317.51410816752</v>
      </c>
      <c r="FB21" t="n">
        <v>5070.06724283</v>
      </c>
      <c r="FC21" t="n">
        <v>0.665434672022</v>
      </c>
      <c r="FD21" t="n">
        <v>3107.382957970209</v>
      </c>
      <c r="FE21" t="n">
        <v>243.823954249855</v>
      </c>
      <c r="FF21" t="n">
        <v>8077.98179555482</v>
      </c>
      <c r="FG21" t="n">
        <v>854.2088896967999</v>
      </c>
      <c r="FH21" t="n">
        <v>2604.55483714</v>
      </c>
      <c r="FI21" t="n">
        <v>1220.23761793</v>
      </c>
      <c r="FJ21" t="n">
        <v>1145.74717822</v>
      </c>
      <c r="FK21" t="n">
        <v>0</v>
      </c>
      <c r="FL21" t="n">
        <v>0</v>
      </c>
      <c r="FM21" t="n">
        <v>0</v>
      </c>
      <c r="FN21" t="n">
        <v>1.81215275413</v>
      </c>
      <c r="FO21" t="n">
        <v>1038.66680669</v>
      </c>
      <c r="FP21" t="n">
        <v>652.781205856</v>
      </c>
      <c r="FQ21" t="n">
        <v>1267.51855990752</v>
      </c>
      <c r="FR21" t="n">
        <v>1024.3292228668</v>
      </c>
      <c r="FS21" t="n">
        <v>1545.727142509</v>
      </c>
      <c r="FT21" t="n">
        <v>7.17729398812</v>
      </c>
      <c r="FU21" t="n">
        <v>7.47894238651</v>
      </c>
      <c r="FV21" t="n">
        <v>3.45613363925</v>
      </c>
      <c r="FW21" t="n">
        <v>12.4528250492</v>
      </c>
      <c r="FX21" t="n">
        <v>1.43287113325</v>
      </c>
      <c r="FY21" t="n">
        <v>2.51968033716</v>
      </c>
      <c r="FZ21" t="n">
        <v>7.26812830262</v>
      </c>
      <c r="GA21" t="n">
        <v>0.635575731595</v>
      </c>
      <c r="GB21" t="n">
        <v>0.0431870936057</v>
      </c>
      <c r="GC21" t="n">
        <v>6.216701355879999</v>
      </c>
      <c r="GD21" t="n">
        <v>8.337650195269999</v>
      </c>
      <c r="GE21" t="n">
        <v>0</v>
      </c>
      <c r="GF21" t="n">
        <v>2.85792305986</v>
      </c>
      <c r="GG21" t="n">
        <v>5.47808633417</v>
      </c>
      <c r="GH21" t="n">
        <v>6.61878061193</v>
      </c>
      <c r="GI21" t="n">
        <v>4.28667166764</v>
      </c>
      <c r="GJ21" t="n">
        <v>0.910953415573</v>
      </c>
      <c r="GK21" t="n">
        <v>10.7985323575</v>
      </c>
      <c r="GL21" t="n">
        <v>0.479886330691</v>
      </c>
      <c r="GM21" t="n">
        <v>1.59815003337</v>
      </c>
      <c r="GN21" t="n">
        <v>95.8633370956</v>
      </c>
      <c r="GO21" t="n">
        <v>2481.46822075</v>
      </c>
      <c r="GP21" t="n">
        <v>262.19233730575</v>
      </c>
      <c r="GQ21" t="n">
        <v>0</v>
      </c>
      <c r="GR21" t="n">
        <v>6818.937482003284</v>
      </c>
      <c r="GS21" t="n">
        <v>1038.49431455</v>
      </c>
      <c r="GT21" t="n">
        <v>3828.2993022389</v>
      </c>
      <c r="GU21" t="n">
        <v>2356.498662363959</v>
      </c>
      <c r="GV21" t="n">
        <v>1806.03861601</v>
      </c>
      <c r="GW21" t="n">
        <v>17903.87345874475</v>
      </c>
      <c r="GX21" t="n">
        <v>26463.52351771602</v>
      </c>
      <c r="GY21" t="n">
        <v>58120.83281466164</v>
      </c>
      <c r="GZ21" t="n">
        <v>22808.07193327</v>
      </c>
      <c r="HA21" t="n">
        <v>52451.49181921694</v>
      </c>
      <c r="HB21" t="n">
        <v>0</v>
      </c>
      <c r="HC21" t="n">
        <v>14392.9916857984</v>
      </c>
    </row>
    <row r="22">
      <c r="A22" s="1" t="inlineStr">
        <is>
          <t>Y_dom</t>
        </is>
      </c>
      <c r="B22" t="n">
        <v>111.1237859411297</v>
      </c>
      <c r="C22" t="n">
        <v>6143.007796311505</v>
      </c>
      <c r="D22" t="n">
        <v>370.6834656242983</v>
      </c>
      <c r="E22" t="n">
        <v>10280.1076048156</v>
      </c>
      <c r="F22" t="n">
        <v>726.0784872377837</v>
      </c>
      <c r="G22" t="n">
        <v>0</v>
      </c>
      <c r="H22" t="n">
        <v>514.0743081434518</v>
      </c>
      <c r="I22" t="n">
        <v>0</v>
      </c>
      <c r="J22" t="n">
        <v>0</v>
      </c>
      <c r="K22" t="n">
        <v>0</v>
      </c>
      <c r="L22" t="n">
        <v>3117.91278957</v>
      </c>
      <c r="M22" t="n">
        <v>1889.75665498</v>
      </c>
      <c r="N22" t="n">
        <v>139.245465367</v>
      </c>
      <c r="O22" t="n">
        <v>137.460607966</v>
      </c>
      <c r="P22" t="n">
        <v>0</v>
      </c>
      <c r="Q22" t="n">
        <v>0</v>
      </c>
      <c r="R22" t="n">
        <v>0</v>
      </c>
      <c r="S22" t="n">
        <v>4983.726911349618</v>
      </c>
      <c r="T22" t="n">
        <v>235.5104379290872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7.51704678874619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5050.44137163263</v>
      </c>
      <c r="AS22" t="n">
        <v>2108.07915814567</v>
      </c>
      <c r="AT22" t="n">
        <v>8018.044447814699</v>
      </c>
      <c r="AU22" t="n">
        <v>15949.9837150327</v>
      </c>
      <c r="AV22" t="n">
        <v>26.9606270569</v>
      </c>
      <c r="AW22" t="n">
        <v>8488.22304035583</v>
      </c>
      <c r="AX22" t="n">
        <v>26.83840954758</v>
      </c>
      <c r="AY22" t="n">
        <v>662.143368282305</v>
      </c>
      <c r="AZ22" t="n">
        <v>23360.725289119</v>
      </c>
      <c r="BA22" t="n">
        <v>7010.44186901366</v>
      </c>
      <c r="BB22" t="n">
        <v>2468.4934124624</v>
      </c>
      <c r="BC22" t="n">
        <v>874.533016486</v>
      </c>
      <c r="BD22" t="n">
        <v>2215.3406393403</v>
      </c>
      <c r="BE22" t="n">
        <v>3273.5352910359</v>
      </c>
      <c r="BF22" t="n">
        <v>128.1294884929</v>
      </c>
      <c r="BG22" t="n">
        <v>710.2622544142647</v>
      </c>
      <c r="BH22" t="n">
        <v>438.2363337857354</v>
      </c>
      <c r="BI22" t="n">
        <v>0</v>
      </c>
      <c r="BJ22" t="n">
        <v>0</v>
      </c>
      <c r="BK22" t="n">
        <v>1585.48345099</v>
      </c>
      <c r="BL22" t="n">
        <v>5484.64885857</v>
      </c>
      <c r="BM22" t="n">
        <v>0.7293099116569257</v>
      </c>
      <c r="BN22" t="n">
        <v>0</v>
      </c>
      <c r="BO22" t="n">
        <v>0</v>
      </c>
      <c r="BP22" t="n">
        <v>4666.461821447218</v>
      </c>
      <c r="BQ22" t="n">
        <v>0</v>
      </c>
      <c r="BR22" t="n">
        <v>0</v>
      </c>
      <c r="BS22" t="n">
        <v>43.24791175475945</v>
      </c>
      <c r="BT22" t="n">
        <v>0</v>
      </c>
      <c r="BU22" t="n">
        <v>7435.932931149347</v>
      </c>
      <c r="BV22" t="n">
        <v>2.143706431271896</v>
      </c>
      <c r="BW22" t="n">
        <v>0</v>
      </c>
      <c r="BX22" t="n">
        <v>301.7327080874792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37588.16532331418</v>
      </c>
      <c r="CJ22" t="n">
        <v>1908.19843728582</v>
      </c>
      <c r="CK22" t="n">
        <v>8.09257081484</v>
      </c>
      <c r="CL22" t="n">
        <v>43.7871681139</v>
      </c>
      <c r="CM22" t="n">
        <v>9071.78079087</v>
      </c>
      <c r="CN22" t="n">
        <v>0</v>
      </c>
      <c r="CO22" t="n">
        <v>0</v>
      </c>
      <c r="CP22" t="n">
        <v>347.92681816</v>
      </c>
      <c r="CQ22" t="n">
        <v>984.283941537</v>
      </c>
      <c r="CR22" t="n">
        <v>0</v>
      </c>
      <c r="CS22" t="n">
        <v>0</v>
      </c>
      <c r="CT22" t="n">
        <v>0</v>
      </c>
      <c r="CU22" t="n">
        <v>689.762294742</v>
      </c>
      <c r="CV22" t="n">
        <v>7.73099013119</v>
      </c>
      <c r="CW22" t="n">
        <v>50.51563095007756</v>
      </c>
      <c r="CX22" t="n">
        <v>11.09450161082244</v>
      </c>
      <c r="CY22" t="n">
        <v>967.1063444620002</v>
      </c>
      <c r="CZ22" t="n">
        <v>0.00406246458415987</v>
      </c>
      <c r="DA22" t="n">
        <v>0.00182100319917013</v>
      </c>
      <c r="DB22" t="n">
        <v>0</v>
      </c>
      <c r="DC22" t="n">
        <v>0</v>
      </c>
      <c r="DD22" t="n">
        <v>0.4672341779052208</v>
      </c>
      <c r="DE22" t="n">
        <v>0.2665403071037792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0.145615571681</v>
      </c>
      <c r="DM22" t="n">
        <v>3671.05667554</v>
      </c>
      <c r="DN22" t="n">
        <v>310.999624913</v>
      </c>
      <c r="DO22" t="n">
        <v>0</v>
      </c>
      <c r="DP22" t="n">
        <v>1938.44845799</v>
      </c>
      <c r="DQ22" t="n">
        <v>1956.93538405</v>
      </c>
      <c r="DR22" t="n">
        <v>2869.15447629</v>
      </c>
      <c r="DS22" t="n">
        <v>26547.7846919</v>
      </c>
      <c r="DT22" t="n">
        <v>1501.0289734745</v>
      </c>
      <c r="DU22" t="n">
        <v>7391.270739749999</v>
      </c>
      <c r="DV22" t="n">
        <v>0</v>
      </c>
      <c r="DW22" t="n">
        <v>0</v>
      </c>
      <c r="DX22" t="n">
        <v>160.5329327670646</v>
      </c>
      <c r="DY22" t="n">
        <v>458.081979294547</v>
      </c>
      <c r="DZ22" t="n">
        <v>10186.75299786705</v>
      </c>
      <c r="EA22" t="n">
        <v>1235.352666958281</v>
      </c>
      <c r="EB22" t="n">
        <v>488.069507329075</v>
      </c>
      <c r="EC22" t="n">
        <v>36.95167720963154</v>
      </c>
      <c r="ED22" t="n">
        <v>213.02996467476</v>
      </c>
      <c r="EE22" t="n">
        <v>167.1032224043203</v>
      </c>
      <c r="EF22" t="n">
        <v>0</v>
      </c>
      <c r="EG22" t="n">
        <v>11.36406994162234</v>
      </c>
      <c r="EH22" t="n">
        <v>0</v>
      </c>
      <c r="EI22" t="n">
        <v>0</v>
      </c>
      <c r="EJ22" t="n">
        <v>2459.82274317</v>
      </c>
      <c r="EK22" t="n">
        <v>9539.403568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8925.814611510001</v>
      </c>
      <c r="ER22" t="n">
        <v>1377.80644143</v>
      </c>
      <c r="ES22" t="n">
        <v>5628.20353823</v>
      </c>
      <c r="ET22" t="n">
        <v>8796.46644765</v>
      </c>
      <c r="EU22" t="n">
        <v>0</v>
      </c>
      <c r="EV22" t="n">
        <v>30296.038247431</v>
      </c>
      <c r="EW22" t="n">
        <v>769.0573023287</v>
      </c>
      <c r="EX22" t="n">
        <v>9886.43859541</v>
      </c>
      <c r="EY22" t="n">
        <v>7198.74526698</v>
      </c>
      <c r="EZ22" t="n">
        <v>83954.16485263</v>
      </c>
      <c r="FA22" t="n">
        <v>15294.563008583</v>
      </c>
      <c r="FB22" t="n">
        <v>30950.3724516</v>
      </c>
      <c r="FC22" t="n">
        <v>308.121759012</v>
      </c>
      <c r="FD22" t="n">
        <v>1190.086000744</v>
      </c>
      <c r="FE22" t="n">
        <v>749.5853719010657</v>
      </c>
      <c r="FF22" t="n">
        <v>11302.3998226312</v>
      </c>
      <c r="FG22" t="n">
        <v>16771.579081532</v>
      </c>
      <c r="FH22" t="n">
        <v>42904.6385463</v>
      </c>
      <c r="FI22" t="n">
        <v>13529.354277</v>
      </c>
      <c r="FJ22" t="n">
        <v>31909.8454513</v>
      </c>
      <c r="FK22" t="n">
        <v>0</v>
      </c>
      <c r="FL22" t="n">
        <v>242143.1325731</v>
      </c>
      <c r="FM22" t="n">
        <v>3328.271032657</v>
      </c>
      <c r="FN22" t="n">
        <v>70.8903087324</v>
      </c>
      <c r="FO22" t="n">
        <v>11126.0696009</v>
      </c>
      <c r="FP22" t="n">
        <v>15846.2651147</v>
      </c>
      <c r="FQ22" t="n">
        <v>186753.738044755</v>
      </c>
      <c r="FR22" t="n">
        <v>130808.66813279</v>
      </c>
      <c r="FS22" t="n">
        <v>258670.8658642</v>
      </c>
      <c r="FT22" t="n">
        <v>767.062811341</v>
      </c>
      <c r="FU22" t="n">
        <v>804.795130685</v>
      </c>
      <c r="FV22" t="n">
        <v>332.707084072</v>
      </c>
      <c r="FW22" t="n">
        <v>949.25281436</v>
      </c>
      <c r="FX22" t="n">
        <v>167.741871249</v>
      </c>
      <c r="FY22" t="n">
        <v>222.57871309</v>
      </c>
      <c r="FZ22" t="n">
        <v>919.981640762</v>
      </c>
      <c r="GA22" t="n">
        <v>70.53742816650001</v>
      </c>
      <c r="GB22" t="n">
        <v>6.1009405067</v>
      </c>
      <c r="GC22" t="n">
        <v>773.519846848</v>
      </c>
      <c r="GD22" t="n">
        <v>479.801236121</v>
      </c>
      <c r="GE22" t="n">
        <v>1.88906969237</v>
      </c>
      <c r="GF22" t="n">
        <v>266.243214735</v>
      </c>
      <c r="GG22" t="n">
        <v>472.339913116</v>
      </c>
      <c r="GH22" t="n">
        <v>460.334042583</v>
      </c>
      <c r="GI22" t="n">
        <v>317.565150196</v>
      </c>
      <c r="GJ22" t="n">
        <v>84.5779130124</v>
      </c>
      <c r="GK22" t="n">
        <v>1333.35580079</v>
      </c>
      <c r="GL22" t="n">
        <v>52.3022720474</v>
      </c>
      <c r="GM22" t="n">
        <v>192.223716855</v>
      </c>
      <c r="GN22" t="n">
        <v>22590.5100676</v>
      </c>
      <c r="GO22" t="n">
        <v>71885.0849681</v>
      </c>
      <c r="GP22" t="n">
        <v>11238.476071223</v>
      </c>
      <c r="GQ22" t="n">
        <v>0</v>
      </c>
      <c r="GR22" t="n">
        <v>10307.0682318725</v>
      </c>
      <c r="GS22" t="n">
        <v>5050.44137163263</v>
      </c>
      <c r="GT22" t="n">
        <v>31083.77676554307</v>
      </c>
      <c r="GU22" t="n">
        <v>8862.978943651917</v>
      </c>
      <c r="GV22" t="n">
        <v>8625.68364832183</v>
      </c>
      <c r="GW22" t="n">
        <v>35754.45194623331</v>
      </c>
      <c r="GX22" t="n">
        <v>348068.806370803</v>
      </c>
      <c r="GY22" t="n">
        <v>115961.4466882009</v>
      </c>
      <c r="GZ22" t="n">
        <v>5617.0054188691</v>
      </c>
      <c r="HA22" t="n">
        <v>76311.73408172725</v>
      </c>
      <c r="HB22" t="n">
        <v>83954.16485263</v>
      </c>
      <c r="HC22" t="n">
        <v>879887.6501223976</v>
      </c>
    </row>
    <row r="23">
      <c r="A23" s="1" t="inlineStr">
        <is>
          <t>M_imp*Y_dom</t>
        </is>
      </c>
      <c r="B23" t="n">
        <v>0.29613115006484</v>
      </c>
      <c r="C23" t="n">
        <v>10.16165664478441</v>
      </c>
      <c r="D23" t="n">
        <v>0.4026680914275332</v>
      </c>
      <c r="E23" t="n">
        <v>71.45332590766894</v>
      </c>
      <c r="F23" t="n">
        <v>1.990913257188413</v>
      </c>
      <c r="G23" t="n">
        <v>0</v>
      </c>
      <c r="H23" t="n">
        <v>0.6538151969286153</v>
      </c>
      <c r="I23" t="n">
        <v>0</v>
      </c>
      <c r="J23" t="n">
        <v>0</v>
      </c>
      <c r="K23" t="n">
        <v>0</v>
      </c>
      <c r="L23" t="n">
        <v>43.66064417444658</v>
      </c>
      <c r="M23" t="n">
        <v>40.86026302005537</v>
      </c>
      <c r="N23" t="n">
        <v>4.514906735603291</v>
      </c>
      <c r="O23" t="n">
        <v>4.258550704888241</v>
      </c>
      <c r="P23" t="n">
        <v>0</v>
      </c>
      <c r="Q23" t="n">
        <v>0</v>
      </c>
      <c r="R23" t="n">
        <v>0</v>
      </c>
      <c r="S23" t="n">
        <v>7.683117571499546</v>
      </c>
      <c r="T23" t="n">
        <v>5.682927497148029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0.6499305998290683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94.99267470559758</v>
      </c>
      <c r="AS23" t="n">
        <v>14.79934296304488</v>
      </c>
      <c r="AT23" t="n">
        <v>77.9556039069334</v>
      </c>
      <c r="AU23" t="n">
        <v>256.2184276900817</v>
      </c>
      <c r="AV23" t="n">
        <v>0.1915782192330229</v>
      </c>
      <c r="AW23" t="n">
        <v>107.8457134148953</v>
      </c>
      <c r="AX23" t="n">
        <v>0.03908115532071531</v>
      </c>
      <c r="AY23" t="n">
        <v>2.274279218232039</v>
      </c>
      <c r="AZ23" t="n">
        <v>284.3326091523878</v>
      </c>
      <c r="BA23" t="n">
        <v>68.48798701748484</v>
      </c>
      <c r="BB23" t="n">
        <v>29.51775752127997</v>
      </c>
      <c r="BC23" t="n">
        <v>2.272485153184709</v>
      </c>
      <c r="BD23" t="n">
        <v>11.99805080982787</v>
      </c>
      <c r="BE23" t="n">
        <v>10.20988035841816</v>
      </c>
      <c r="BF23" t="n">
        <v>0.7263301793988073</v>
      </c>
      <c r="BG23" t="n">
        <v>1.765189266634808</v>
      </c>
      <c r="BH23" t="n">
        <v>0.8350670235085803</v>
      </c>
      <c r="BI23" t="n">
        <v>0</v>
      </c>
      <c r="BJ23" t="n">
        <v>0</v>
      </c>
      <c r="BK23" t="n">
        <v>7.569173821382761</v>
      </c>
      <c r="BL23" t="n">
        <v>9.81679488848952</v>
      </c>
      <c r="BM23" t="n">
        <v>0.0001137289509314068</v>
      </c>
      <c r="BN23" t="n">
        <v>0</v>
      </c>
      <c r="BO23" t="n">
        <v>0</v>
      </c>
      <c r="BP23" t="n">
        <v>38.83500446227441</v>
      </c>
      <c r="BQ23" t="n">
        <v>0</v>
      </c>
      <c r="BR23" t="n">
        <v>0</v>
      </c>
      <c r="BS23" t="n">
        <v>0.09276620503443754</v>
      </c>
      <c r="BT23" t="n">
        <v>0</v>
      </c>
      <c r="BU23" t="n">
        <v>27.59463086912491</v>
      </c>
      <c r="BV23" t="n">
        <v>0.002745127288185985</v>
      </c>
      <c r="BW23" t="n">
        <v>0</v>
      </c>
      <c r="BX23" t="n">
        <v>0.656047505361965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133.8997382040934</v>
      </c>
      <c r="CJ23" t="n">
        <v>5.998058432217194</v>
      </c>
      <c r="CK23" t="n">
        <v>0.009235739484406395</v>
      </c>
      <c r="CL23" t="n">
        <v>0.08282920424369997</v>
      </c>
      <c r="CM23" t="n">
        <v>38.27819103703177</v>
      </c>
      <c r="CN23" t="n">
        <v>0</v>
      </c>
      <c r="CO23" t="n">
        <v>0</v>
      </c>
      <c r="CP23" t="n">
        <v>0.6006632360437775</v>
      </c>
      <c r="CQ23" t="n">
        <v>0.7048673201061419</v>
      </c>
      <c r="CR23" t="n">
        <v>0</v>
      </c>
      <c r="CS23" t="n">
        <v>0</v>
      </c>
      <c r="CT23" t="n">
        <v>0</v>
      </c>
      <c r="CU23" t="n">
        <v>1.623669842557793</v>
      </c>
      <c r="CV23" t="n">
        <v>0.01457913482929695</v>
      </c>
      <c r="CW23" t="n">
        <v>0.09282585755665251</v>
      </c>
      <c r="CX23" t="n">
        <v>0.01751260198300348</v>
      </c>
      <c r="CY23" t="n">
        <v>2.220553198010601</v>
      </c>
      <c r="CZ23" t="n">
        <v>1.0107338205167e-05</v>
      </c>
      <c r="DA23" t="n">
        <v>3.853747857516897e-06</v>
      </c>
      <c r="DB23" t="n">
        <v>0</v>
      </c>
      <c r="DC23" t="n">
        <v>0</v>
      </c>
      <c r="DD23" t="n">
        <v>0.001459289489903471</v>
      </c>
      <c r="DE23" t="n">
        <v>0.0008119901711045015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0.0003493872912077219</v>
      </c>
      <c r="DM23" t="n">
        <v>9.009579864525028</v>
      </c>
      <c r="DN23" t="n">
        <v>0.7233210399160801</v>
      </c>
      <c r="DO23" t="n">
        <v>0</v>
      </c>
      <c r="DP23" t="n">
        <v>4.188554762470387</v>
      </c>
      <c r="DQ23" t="n">
        <v>4.306166126541277</v>
      </c>
      <c r="DR23" t="n">
        <v>4.741364190751721</v>
      </c>
      <c r="DS23" t="n">
        <v>73.46467196287956</v>
      </c>
      <c r="DT23" t="n">
        <v>3.338906176131223</v>
      </c>
      <c r="DU23" t="n">
        <v>17.61891221382871</v>
      </c>
      <c r="DV23" t="n">
        <v>0</v>
      </c>
      <c r="DW23" t="n">
        <v>0</v>
      </c>
      <c r="DX23" t="n">
        <v>1.75582857197697</v>
      </c>
      <c r="DY23" t="n">
        <v>1.082392913818984</v>
      </c>
      <c r="DZ23" t="n">
        <v>19.10629089627821</v>
      </c>
      <c r="EA23" t="n">
        <v>2.873212628078101</v>
      </c>
      <c r="EB23" t="n">
        <v>0.467626459920948</v>
      </c>
      <c r="EC23" t="n">
        <v>0.3525220834290637</v>
      </c>
      <c r="ED23" t="n">
        <v>0.4015638768724493</v>
      </c>
      <c r="EE23" t="n">
        <v>0.03583325082679829</v>
      </c>
      <c r="EF23" t="n">
        <v>0</v>
      </c>
      <c r="EG23" t="n">
        <v>0.03177522698800077</v>
      </c>
      <c r="EH23" t="n">
        <v>0</v>
      </c>
      <c r="EI23" t="n">
        <v>0</v>
      </c>
      <c r="EJ23" t="n">
        <v>2.368486330621954</v>
      </c>
      <c r="EK23" t="n">
        <v>8.75404404509443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19.46022695285419</v>
      </c>
      <c r="ER23" t="n">
        <v>12.69598423368971</v>
      </c>
      <c r="ES23" t="n">
        <v>7.637299293761193</v>
      </c>
      <c r="ET23" t="n">
        <v>16.47946819252385</v>
      </c>
      <c r="EU23" t="n">
        <v>0</v>
      </c>
      <c r="EV23" t="n">
        <v>18.82767609386572</v>
      </c>
      <c r="EW23" t="n">
        <v>1.131387052011869</v>
      </c>
      <c r="EX23" t="n">
        <v>8.03249623316721</v>
      </c>
      <c r="EY23" t="n">
        <v>6.742683247724525</v>
      </c>
      <c r="EZ23" t="n">
        <v>228.1331966109303</v>
      </c>
      <c r="FA23" t="n">
        <v>26.99903807330295</v>
      </c>
      <c r="FB23" t="n">
        <v>41.01293239927452</v>
      </c>
      <c r="FC23" t="n">
        <v>1.263597355132808</v>
      </c>
      <c r="FD23" t="n">
        <v>9.449525308571834</v>
      </c>
      <c r="FE23" t="n">
        <v>10.68905150427187</v>
      </c>
      <c r="FF23" t="n">
        <v>43.01460663381975</v>
      </c>
      <c r="FG23" t="n">
        <v>22.32539951583973</v>
      </c>
      <c r="FH23" t="n">
        <v>43.86777320106184</v>
      </c>
      <c r="FI23" t="n">
        <v>19.34134514812723</v>
      </c>
      <c r="FJ23" t="n">
        <v>52.45897747039938</v>
      </c>
      <c r="FK23" t="n">
        <v>0</v>
      </c>
      <c r="FL23" t="n">
        <v>301.439373387699</v>
      </c>
      <c r="FM23" t="n">
        <v>4.509434073931492</v>
      </c>
      <c r="FN23" t="n">
        <v>0.09761119741345439</v>
      </c>
      <c r="FO23" t="n">
        <v>48.46149203980556</v>
      </c>
      <c r="FP23" t="n">
        <v>20.2250943118162</v>
      </c>
      <c r="FQ23" t="n">
        <v>300.2530931375494</v>
      </c>
      <c r="FR23" t="n">
        <v>141.2870054179288</v>
      </c>
      <c r="FS23" t="n">
        <v>287.4690637480579</v>
      </c>
      <c r="FT23" t="n">
        <v>1.005291468882625</v>
      </c>
      <c r="FU23" t="n">
        <v>1.063849293967552</v>
      </c>
      <c r="FV23" t="n">
        <v>0.4815437215620514</v>
      </c>
      <c r="FW23" t="n">
        <v>1.278793158770877</v>
      </c>
      <c r="FX23" t="n">
        <v>0.2203343222391809</v>
      </c>
      <c r="FY23" t="n">
        <v>0.3024615399289226</v>
      </c>
      <c r="FZ23" t="n">
        <v>1.172140276586501</v>
      </c>
      <c r="GA23" t="n">
        <v>0.08427176280792013</v>
      </c>
      <c r="GB23" t="n">
        <v>0.00703440346513289</v>
      </c>
      <c r="GC23" t="n">
        <v>1.06219069525266</v>
      </c>
      <c r="GD23" t="n">
        <v>0.6391493086647015</v>
      </c>
      <c r="GE23" t="n">
        <v>0.01920692544635622</v>
      </c>
      <c r="GF23" t="n">
        <v>0.4173377724873015</v>
      </c>
      <c r="GG23" t="n">
        <v>0.7651372578936472</v>
      </c>
      <c r="GH23" t="n">
        <v>0.7081585946079713</v>
      </c>
      <c r="GI23" t="n">
        <v>0.4731719699912895</v>
      </c>
      <c r="GJ23" t="n">
        <v>0.1453122275417559</v>
      </c>
      <c r="GK23" t="n">
        <v>1.71838218614922</v>
      </c>
      <c r="GL23" t="n">
        <v>0.07856638713548239</v>
      </c>
      <c r="GM23" t="n">
        <v>0.2626322264958216</v>
      </c>
      <c r="GN23" t="n">
        <v>42.65780798402543</v>
      </c>
      <c r="GO23" t="n">
        <v>165.8596121137661</v>
      </c>
      <c r="GP23" t="n">
        <v>29.82616977043627</v>
      </c>
      <c r="GQ23" t="n">
        <v>0</v>
      </c>
      <c r="GR23" t="n">
        <v>71.64490412690196</v>
      </c>
      <c r="GS23" t="n">
        <v>94.99267470559758</v>
      </c>
      <c r="GT23" t="n">
        <v>433.4942817545619</v>
      </c>
      <c r="GU23" t="n">
        <v>118.0435476476467</v>
      </c>
      <c r="GV23" t="n">
        <v>112.1042641197836</v>
      </c>
      <c r="GW23" t="n">
        <v>389.8650588220719</v>
      </c>
      <c r="GX23" t="n">
        <v>587.0877556031369</v>
      </c>
      <c r="GY23" t="n">
        <v>316.5221980094485</v>
      </c>
      <c r="GZ23" t="n">
        <v>22.93426134764483</v>
      </c>
      <c r="HA23" t="n">
        <v>217.4810600905479</v>
      </c>
      <c r="HB23" t="n">
        <v>228.1331966109303</v>
      </c>
      <c r="HC23" t="n">
        <v>1232.916386550566</v>
      </c>
    </row>
    <row r="24">
      <c r="A24" s="1" t="inlineStr">
        <is>
          <t>M_dom*Y_dom</t>
        </is>
      </c>
      <c r="B24" t="n">
        <v>269.1728549236113</v>
      </c>
      <c r="C24" t="n">
        <v>16.90810066520821</v>
      </c>
      <c r="D24" t="n">
        <v>15.61184606754901</v>
      </c>
      <c r="E24" t="n">
        <v>126.910684590995</v>
      </c>
      <c r="F24" t="n">
        <v>18.73392881445672</v>
      </c>
      <c r="G24" t="n">
        <v>0</v>
      </c>
      <c r="H24" t="n">
        <v>21.19448078143437</v>
      </c>
      <c r="I24" t="n">
        <v>0</v>
      </c>
      <c r="J24" t="n">
        <v>0</v>
      </c>
      <c r="K24" t="n">
        <v>0</v>
      </c>
      <c r="L24" t="n">
        <v>63.36496686143104</v>
      </c>
      <c r="M24" t="n">
        <v>48.29251093141588</v>
      </c>
      <c r="N24" t="n">
        <v>4.0704951169596</v>
      </c>
      <c r="O24" t="n">
        <v>4.983422376410095</v>
      </c>
      <c r="P24" t="n">
        <v>0</v>
      </c>
      <c r="Q24" t="n">
        <v>0</v>
      </c>
      <c r="R24" t="n">
        <v>0</v>
      </c>
      <c r="S24" t="n">
        <v>3.600673714712781</v>
      </c>
      <c r="T24" t="n">
        <v>1.056443529657834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0.01014936387647795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197.6221249827678</v>
      </c>
      <c r="AS24" t="n">
        <v>22.92331847100931</v>
      </c>
      <c r="AT24" t="n">
        <v>46.79658356674574</v>
      </c>
      <c r="AU24" t="n">
        <v>115.4510382016138</v>
      </c>
      <c r="AV24" t="n">
        <v>0.6071167499326567</v>
      </c>
      <c r="AW24" t="n">
        <v>104.5651149113988</v>
      </c>
      <c r="AX24" t="n">
        <v>0.0961340174442659</v>
      </c>
      <c r="AY24" t="n">
        <v>9.166663449721625</v>
      </c>
      <c r="AZ24" t="n">
        <v>279.7607212295583</v>
      </c>
      <c r="BA24" t="n">
        <v>65.23576578692193</v>
      </c>
      <c r="BB24" t="n">
        <v>43.64566654874431</v>
      </c>
      <c r="BC24" t="n">
        <v>0.2603487561123377</v>
      </c>
      <c r="BD24" t="n">
        <v>6.173567176662304</v>
      </c>
      <c r="BE24" t="n">
        <v>3.316203689033144</v>
      </c>
      <c r="BF24" t="n">
        <v>0.861121838837851</v>
      </c>
      <c r="BG24" t="n">
        <v>0.2757239371940309</v>
      </c>
      <c r="BH24" t="n">
        <v>0.05828286469558774</v>
      </c>
      <c r="BI24" t="n">
        <v>0</v>
      </c>
      <c r="BJ24" t="n">
        <v>0</v>
      </c>
      <c r="BK24" t="n">
        <v>3.263655846147016</v>
      </c>
      <c r="BL24" t="n">
        <v>1.051903683769282</v>
      </c>
      <c r="BM24" t="n">
        <v>1.252696940986577e-06</v>
      </c>
      <c r="BN24" t="n">
        <v>0</v>
      </c>
      <c r="BO24" t="n">
        <v>0</v>
      </c>
      <c r="BP24" t="n">
        <v>0.4179232942232443</v>
      </c>
      <c r="BQ24" t="n">
        <v>0</v>
      </c>
      <c r="BR24" t="n">
        <v>0</v>
      </c>
      <c r="BS24" t="n">
        <v>0.0009983020642172328</v>
      </c>
      <c r="BT24" t="n">
        <v>0</v>
      </c>
      <c r="BU24" t="n">
        <v>0.2969615414983917</v>
      </c>
      <c r="BV24" t="n">
        <v>2.9541675627722e-05</v>
      </c>
      <c r="BW24" t="n">
        <v>0</v>
      </c>
      <c r="BX24" t="n">
        <v>0.007060050202098115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27.63446302201001</v>
      </c>
      <c r="CJ24" t="n">
        <v>0.8282706236714017</v>
      </c>
      <c r="CK24" t="n">
        <v>9.177625093565009</v>
      </c>
      <c r="CL24" t="n">
        <v>0.2388115697130108</v>
      </c>
      <c r="CM24" t="n">
        <v>4.752749879422978</v>
      </c>
      <c r="CN24" t="n">
        <v>0</v>
      </c>
      <c r="CO24" t="n">
        <v>0</v>
      </c>
      <c r="CP24" t="n">
        <v>0.05635917739600819</v>
      </c>
      <c r="CQ24" t="n">
        <v>0.06613276845695616</v>
      </c>
      <c r="CR24" t="n">
        <v>0</v>
      </c>
      <c r="CS24" t="n">
        <v>0</v>
      </c>
      <c r="CT24" t="n">
        <v>0</v>
      </c>
      <c r="CU24" t="n">
        <v>0.2137019693353433</v>
      </c>
      <c r="CV24" t="n">
        <v>0.03299027176458903</v>
      </c>
      <c r="CW24" t="n">
        <v>0.05100044518310697</v>
      </c>
      <c r="CX24" t="n">
        <v>0.002296487410193215</v>
      </c>
      <c r="CY24" t="n">
        <v>0.301457430898299</v>
      </c>
      <c r="CZ24" t="n">
        <v>6.477624377875172e-06</v>
      </c>
      <c r="DA24" t="n">
        <v>2.844434699892924e-07</v>
      </c>
      <c r="DB24" t="n">
        <v>0</v>
      </c>
      <c r="DC24" t="n">
        <v>0</v>
      </c>
      <c r="DD24" t="n">
        <v>0.0001262201726318323</v>
      </c>
      <c r="DE24" t="n">
        <v>2.164866156727783e-05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1.53547706567366e-05</v>
      </c>
      <c r="DM24" t="n">
        <v>0.4064723016841231</v>
      </c>
      <c r="DN24" t="n">
        <v>0.03390630538912218</v>
      </c>
      <c r="DO24" t="n">
        <v>0</v>
      </c>
      <c r="DP24" t="n">
        <v>0.2219096977789855</v>
      </c>
      <c r="DQ24" t="n">
        <v>0.1725778246227564</v>
      </c>
      <c r="DR24" t="n">
        <v>0.2096767406687274</v>
      </c>
      <c r="DS24" t="n">
        <v>3.346637198243995</v>
      </c>
      <c r="DT24" t="n">
        <v>0.0923419920394867</v>
      </c>
      <c r="DU24" t="n">
        <v>0.8479953613429512</v>
      </c>
      <c r="DV24" t="n">
        <v>0</v>
      </c>
      <c r="DW24" t="n">
        <v>0</v>
      </c>
      <c r="DX24" t="n">
        <v>0.2193664592692046</v>
      </c>
      <c r="DY24" t="n">
        <v>0.08849756655482115</v>
      </c>
      <c r="DZ24" t="n">
        <v>4.735350549839314</v>
      </c>
      <c r="EA24" t="n">
        <v>0.6593042724974744</v>
      </c>
      <c r="EB24" t="n">
        <v>0.06598281126618355</v>
      </c>
      <c r="EC24" t="n">
        <v>0.0160009463236195</v>
      </c>
      <c r="ED24" t="n">
        <v>0.04617016775799011</v>
      </c>
      <c r="EE24" t="n">
        <v>0.005762699223005366</v>
      </c>
      <c r="EF24" t="n">
        <v>0</v>
      </c>
      <c r="EG24" t="n">
        <v>0.002204172489571079</v>
      </c>
      <c r="EH24" t="n">
        <v>0</v>
      </c>
      <c r="EI24" t="n">
        <v>0</v>
      </c>
      <c r="EJ24" t="n">
        <v>0.8935426227414477</v>
      </c>
      <c r="EK24" t="n">
        <v>0.6840025618997747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0.8951652399971234</v>
      </c>
      <c r="ER24" t="n">
        <v>0.8057896155087881</v>
      </c>
      <c r="ES24" t="n">
        <v>0.511468646952539</v>
      </c>
      <c r="ET24" t="n">
        <v>1.381392823345527</v>
      </c>
      <c r="EU24" t="n">
        <v>0</v>
      </c>
      <c r="EV24" t="n">
        <v>0.5936831294321795</v>
      </c>
      <c r="EW24" t="n">
        <v>0.178580661362515</v>
      </c>
      <c r="EX24" t="n">
        <v>0.4501101294754949</v>
      </c>
      <c r="EY24" t="n">
        <v>0.4300835195064346</v>
      </c>
      <c r="EZ24" t="n">
        <v>104.8492700363038</v>
      </c>
      <c r="FA24" t="n">
        <v>1.070350551302518</v>
      </c>
      <c r="FB24" t="n">
        <v>1.274361440500648</v>
      </c>
      <c r="FC24" t="n">
        <v>0.05029026271341344</v>
      </c>
      <c r="FD24" t="n">
        <v>0.0764841562544584</v>
      </c>
      <c r="FE24" t="n">
        <v>0.1390961365710863</v>
      </c>
      <c r="FF24" t="n">
        <v>1.379137161769155</v>
      </c>
      <c r="FG24" t="n">
        <v>0.9159375072370757</v>
      </c>
      <c r="FH24" t="n">
        <v>3.283581431896095</v>
      </c>
      <c r="FI24" t="n">
        <v>0.8360495018718922</v>
      </c>
      <c r="FJ24" t="n">
        <v>2.503157275203641</v>
      </c>
      <c r="FK24" t="n">
        <v>0</v>
      </c>
      <c r="FL24" t="n">
        <v>22.96671832025337</v>
      </c>
      <c r="FM24" t="n">
        <v>0.518848924503588</v>
      </c>
      <c r="FN24" t="n">
        <v>0.006422381765124637</v>
      </c>
      <c r="FO24" t="n">
        <v>3.32049149704492</v>
      </c>
      <c r="FP24" t="n">
        <v>1.984720732103409</v>
      </c>
      <c r="FQ24" t="n">
        <v>20.17276694784479</v>
      </c>
      <c r="FR24" t="n">
        <v>30.52333725099964</v>
      </c>
      <c r="FS24" t="n">
        <v>38.24178146548905</v>
      </c>
      <c r="FT24" t="n">
        <v>0.06941933688670072</v>
      </c>
      <c r="FU24" t="n">
        <v>0.07271762317475972</v>
      </c>
      <c r="FV24" t="n">
        <v>0.029684637761201</v>
      </c>
      <c r="FW24" t="n">
        <v>0.08584696162795136</v>
      </c>
      <c r="FX24" t="n">
        <v>0.01450775476536214</v>
      </c>
      <c r="FY24" t="n">
        <v>0.01967255220602896</v>
      </c>
      <c r="FZ24" t="n">
        <v>0.08246303978998647</v>
      </c>
      <c r="GA24" t="n">
        <v>0.005581174162452421</v>
      </c>
      <c r="GB24" t="n">
        <v>0.0004391171453374064</v>
      </c>
      <c r="GC24" t="n">
        <v>0.06263329073666971</v>
      </c>
      <c r="GD24" t="n">
        <v>0.04589646940159459</v>
      </c>
      <c r="GE24" t="n">
        <v>6.90216667314157e-05</v>
      </c>
      <c r="GF24" t="n">
        <v>0.02405450744310331</v>
      </c>
      <c r="GG24" t="n">
        <v>0.04255186641934663</v>
      </c>
      <c r="GH24" t="n">
        <v>0.03703421298474982</v>
      </c>
      <c r="GI24" t="n">
        <v>0.0254027496470939</v>
      </c>
      <c r="GJ24" t="n">
        <v>0.006605046997894351</v>
      </c>
      <c r="GK24" t="n">
        <v>0.1095230554102145</v>
      </c>
      <c r="GL24" t="n">
        <v>0.00406871948783</v>
      </c>
      <c r="GM24" t="n">
        <v>0.01524049515219543</v>
      </c>
      <c r="GN24" t="n">
        <v>3.562740729526774</v>
      </c>
      <c r="GO24" t="n">
        <v>28.93534083449631</v>
      </c>
      <c r="GP24" t="n">
        <v>0.2495846977084469</v>
      </c>
      <c r="GQ24" t="n">
        <v>0</v>
      </c>
      <c r="GR24" t="n">
        <v>127.5178013409277</v>
      </c>
      <c r="GS24" t="n">
        <v>197.6221249827678</v>
      </c>
      <c r="GT24" t="n">
        <v>296.8284180322157</v>
      </c>
      <c r="GU24" t="n">
        <v>109.6920535580162</v>
      </c>
      <c r="GV24" t="n">
        <v>109.5485372878089</v>
      </c>
      <c r="GW24" t="n">
        <v>707.2665643080052</v>
      </c>
      <c r="GX24" t="n">
        <v>71.08693666203578</v>
      </c>
      <c r="GY24" t="n">
        <v>14.91859408833822</v>
      </c>
      <c r="GZ24" t="n">
        <v>10.3508927045333</v>
      </c>
      <c r="HA24" t="n">
        <v>26.0344951064166</v>
      </c>
      <c r="HB24" t="n">
        <v>104.8492700363038</v>
      </c>
      <c r="HC24" t="n">
        <v>137.9720988972871</v>
      </c>
    </row>
    <row r="25">
      <c r="A25" s="1" t="inlineStr">
        <is>
          <t>M_imp*Y_dom+M_dom*Y_dom</t>
        </is>
      </c>
      <c r="B25" t="n">
        <v>269.4689860736762</v>
      </c>
      <c r="C25" t="n">
        <v>27.06975730999262</v>
      </c>
      <c r="D25" t="n">
        <v>16.01451415897654</v>
      </c>
      <c r="E25" t="n">
        <v>198.364010498664</v>
      </c>
      <c r="F25" t="n">
        <v>20.72484207164514</v>
      </c>
      <c r="G25" t="n">
        <v>0</v>
      </c>
      <c r="H25" t="n">
        <v>21.84829597836298</v>
      </c>
      <c r="I25" t="n">
        <v>0</v>
      </c>
      <c r="J25" t="n">
        <v>0</v>
      </c>
      <c r="K25" t="n">
        <v>0</v>
      </c>
      <c r="L25" t="n">
        <v>107.0256110358776</v>
      </c>
      <c r="M25" t="n">
        <v>89.15277395147125</v>
      </c>
      <c r="N25" t="n">
        <v>8.585401852562892</v>
      </c>
      <c r="O25" t="n">
        <v>9.241973081298337</v>
      </c>
      <c r="P25" t="n">
        <v>0</v>
      </c>
      <c r="Q25" t="n">
        <v>0</v>
      </c>
      <c r="R25" t="n">
        <v>0</v>
      </c>
      <c r="S25" t="n">
        <v>11.28379128621233</v>
      </c>
      <c r="T25" t="n">
        <v>6.739371026805863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0.6600799637055462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292.6147996883655</v>
      </c>
      <c r="AS25" t="n">
        <v>37.72266143405419</v>
      </c>
      <c r="AT25" t="n">
        <v>124.7521874736791</v>
      </c>
      <c r="AU25" t="n">
        <v>371.6694658916954</v>
      </c>
      <c r="AV25" t="n">
        <v>0.7986949691656797</v>
      </c>
      <c r="AW25" t="n">
        <v>212.4108283262941</v>
      </c>
      <c r="AX25" t="n">
        <v>0.1352151727649812</v>
      </c>
      <c r="AY25" t="n">
        <v>11.44094266795366</v>
      </c>
      <c r="AZ25" t="n">
        <v>564.0933303819461</v>
      </c>
      <c r="BA25" t="n">
        <v>133.7237528044068</v>
      </c>
      <c r="BB25" t="n">
        <v>73.16342407002428</v>
      </c>
      <c r="BC25" t="n">
        <v>2.532833909297047</v>
      </c>
      <c r="BD25" t="n">
        <v>18.17161798649017</v>
      </c>
      <c r="BE25" t="n">
        <v>13.5260840474513</v>
      </c>
      <c r="BF25" t="n">
        <v>1.587452018236658</v>
      </c>
      <c r="BG25" t="n">
        <v>2.040913203828839</v>
      </c>
      <c r="BH25" t="n">
        <v>0.8933498882041681</v>
      </c>
      <c r="BI25" t="n">
        <v>0</v>
      </c>
      <c r="BJ25" t="n">
        <v>0</v>
      </c>
      <c r="BK25" t="n">
        <v>10.83282966752978</v>
      </c>
      <c r="BL25" t="n">
        <v>10.8686985722588</v>
      </c>
      <c r="BM25" t="n">
        <v>0.0001149816478723933</v>
      </c>
      <c r="BN25" t="n">
        <v>0</v>
      </c>
      <c r="BO25" t="n">
        <v>0</v>
      </c>
      <c r="BP25" t="n">
        <v>39.25292775649766</v>
      </c>
      <c r="BQ25" t="n">
        <v>0</v>
      </c>
      <c r="BR25" t="n">
        <v>0</v>
      </c>
      <c r="BS25" t="n">
        <v>0.09376450709865478</v>
      </c>
      <c r="BT25" t="n">
        <v>0</v>
      </c>
      <c r="BU25" t="n">
        <v>27.8915924106233</v>
      </c>
      <c r="BV25" t="n">
        <v>0.002774668963813707</v>
      </c>
      <c r="BW25" t="n">
        <v>0</v>
      </c>
      <c r="BX25" t="n">
        <v>0.6631075555640631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161.5342012261034</v>
      </c>
      <c r="CJ25" t="n">
        <v>6.826329055888595</v>
      </c>
      <c r="CK25" t="n">
        <v>9.186860833049415</v>
      </c>
      <c r="CL25" t="n">
        <v>0.3216407739567108</v>
      </c>
      <c r="CM25" t="n">
        <v>43.03094091645475</v>
      </c>
      <c r="CN25" t="n">
        <v>0</v>
      </c>
      <c r="CO25" t="n">
        <v>0</v>
      </c>
      <c r="CP25" t="n">
        <v>0.6570224134397856</v>
      </c>
      <c r="CQ25" t="n">
        <v>0.7710000885630981</v>
      </c>
      <c r="CR25" t="n">
        <v>0</v>
      </c>
      <c r="CS25" t="n">
        <v>0</v>
      </c>
      <c r="CT25" t="n">
        <v>0</v>
      </c>
      <c r="CU25" t="n">
        <v>1.837371811893137</v>
      </c>
      <c r="CV25" t="n">
        <v>0.04756940659388598</v>
      </c>
      <c r="CW25" t="n">
        <v>0.1438263027397595</v>
      </c>
      <c r="CX25" t="n">
        <v>0.01980908939319669</v>
      </c>
      <c r="CY25" t="n">
        <v>2.5220106289089</v>
      </c>
      <c r="CZ25" t="n">
        <v>1.658496258304217e-05</v>
      </c>
      <c r="DA25" t="n">
        <v>4.138191327506189e-06</v>
      </c>
      <c r="DB25" t="n">
        <v>0</v>
      </c>
      <c r="DC25" t="n">
        <v>0</v>
      </c>
      <c r="DD25" t="n">
        <v>0.001585509662535304</v>
      </c>
      <c r="DE25" t="n">
        <v>0.0008336388326717793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0.0003647420618644585</v>
      </c>
      <c r="DM25" t="n">
        <v>9.416052166209152</v>
      </c>
      <c r="DN25" t="n">
        <v>0.7572273453052023</v>
      </c>
      <c r="DO25" t="n">
        <v>0</v>
      </c>
      <c r="DP25" t="n">
        <v>4.410464460249373</v>
      </c>
      <c r="DQ25" t="n">
        <v>4.478743951164033</v>
      </c>
      <c r="DR25" t="n">
        <v>4.951040931420448</v>
      </c>
      <c r="DS25" t="n">
        <v>76.81130916112356</v>
      </c>
      <c r="DT25" t="n">
        <v>3.43124816817071</v>
      </c>
      <c r="DU25" t="n">
        <v>18.46690757517166</v>
      </c>
      <c r="DV25" t="n">
        <v>0</v>
      </c>
      <c r="DW25" t="n">
        <v>0</v>
      </c>
      <c r="DX25" t="n">
        <v>1.975195031246175</v>
      </c>
      <c r="DY25" t="n">
        <v>1.170890480373805</v>
      </c>
      <c r="DZ25" t="n">
        <v>23.84164144611753</v>
      </c>
      <c r="EA25" t="n">
        <v>3.532516900575575</v>
      </c>
      <c r="EB25" t="n">
        <v>0.5336092711871315</v>
      </c>
      <c r="EC25" t="n">
        <v>0.3685230297526831</v>
      </c>
      <c r="ED25" t="n">
        <v>0.4477340446304394</v>
      </c>
      <c r="EE25" t="n">
        <v>0.04159595004980365</v>
      </c>
      <c r="EF25" t="n">
        <v>0</v>
      </c>
      <c r="EG25" t="n">
        <v>0.03397939947757185</v>
      </c>
      <c r="EH25" t="n">
        <v>0</v>
      </c>
      <c r="EI25" t="n">
        <v>0</v>
      </c>
      <c r="EJ25" t="n">
        <v>3.262028953363401</v>
      </c>
      <c r="EK25" t="n">
        <v>9.438046606994204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20.35539219285132</v>
      </c>
      <c r="ER25" t="n">
        <v>13.50177384919849</v>
      </c>
      <c r="ES25" t="n">
        <v>8.148767940713732</v>
      </c>
      <c r="ET25" t="n">
        <v>17.86086101586938</v>
      </c>
      <c r="EU25" t="n">
        <v>0</v>
      </c>
      <c r="EV25" t="n">
        <v>19.4213592232979</v>
      </c>
      <c r="EW25" t="n">
        <v>1.309967713374384</v>
      </c>
      <c r="EX25" t="n">
        <v>8.482606362642706</v>
      </c>
      <c r="EY25" t="n">
        <v>7.17276676723096</v>
      </c>
      <c r="EZ25" t="n">
        <v>332.9824666472341</v>
      </c>
      <c r="FA25" t="n">
        <v>28.06938862460547</v>
      </c>
      <c r="FB25" t="n">
        <v>42.28729383977517</v>
      </c>
      <c r="FC25" t="n">
        <v>1.313887617846222</v>
      </c>
      <c r="FD25" t="n">
        <v>9.526009464826293</v>
      </c>
      <c r="FE25" t="n">
        <v>10.82814764084295</v>
      </c>
      <c r="FF25" t="n">
        <v>44.3937437955889</v>
      </c>
      <c r="FG25" t="n">
        <v>23.24133702307681</v>
      </c>
      <c r="FH25" t="n">
        <v>47.15135463295794</v>
      </c>
      <c r="FI25" t="n">
        <v>20.17739464999912</v>
      </c>
      <c r="FJ25" t="n">
        <v>54.96213474560302</v>
      </c>
      <c r="FK25" t="n">
        <v>0</v>
      </c>
      <c r="FL25" t="n">
        <v>324.4060917079524</v>
      </c>
      <c r="FM25" t="n">
        <v>5.028282998435079</v>
      </c>
      <c r="FN25" t="n">
        <v>0.104033579178579</v>
      </c>
      <c r="FO25" t="n">
        <v>51.78198353685048</v>
      </c>
      <c r="FP25" t="n">
        <v>22.2098150439196</v>
      </c>
      <c r="FQ25" t="n">
        <v>320.4258600853942</v>
      </c>
      <c r="FR25" t="n">
        <v>171.8103426689285</v>
      </c>
      <c r="FS25" t="n">
        <v>325.7108452135469</v>
      </c>
      <c r="FT25" t="n">
        <v>1.074710805769326</v>
      </c>
      <c r="FU25" t="n">
        <v>1.136566917142312</v>
      </c>
      <c r="FV25" t="n">
        <v>0.5112283593232524</v>
      </c>
      <c r="FW25" t="n">
        <v>1.364640120398828</v>
      </c>
      <c r="FX25" t="n">
        <v>0.234842077004543</v>
      </c>
      <c r="FY25" t="n">
        <v>0.3221340921349515</v>
      </c>
      <c r="FZ25" t="n">
        <v>1.254603316376488</v>
      </c>
      <c r="GA25" t="n">
        <v>0.08985293697037255</v>
      </c>
      <c r="GB25" t="n">
        <v>0.007473520610470296</v>
      </c>
      <c r="GC25" t="n">
        <v>1.124823985989329</v>
      </c>
      <c r="GD25" t="n">
        <v>0.6850457780662962</v>
      </c>
      <c r="GE25" t="n">
        <v>0.01927594711308763</v>
      </c>
      <c r="GF25" t="n">
        <v>0.4413922799304049</v>
      </c>
      <c r="GG25" t="n">
        <v>0.8076891243129938</v>
      </c>
      <c r="GH25" t="n">
        <v>0.7451928075927211</v>
      </c>
      <c r="GI25" t="n">
        <v>0.4985747196383833</v>
      </c>
      <c r="GJ25" t="n">
        <v>0.1519172745396502</v>
      </c>
      <c r="GK25" t="n">
        <v>1.827905241559434</v>
      </c>
      <c r="GL25" t="n">
        <v>0.08263510662331239</v>
      </c>
      <c r="GM25" t="n">
        <v>0.277872721648017</v>
      </c>
      <c r="GN25" t="n">
        <v>46.2205487135522</v>
      </c>
      <c r="GO25" t="n">
        <v>194.7949529482624</v>
      </c>
      <c r="GP25" t="n">
        <v>30.07575446814472</v>
      </c>
      <c r="GQ25" t="n">
        <v>0</v>
      </c>
      <c r="GR25" t="n">
        <v>199.1627054678297</v>
      </c>
      <c r="GS25" t="n">
        <v>292.6147996883655</v>
      </c>
      <c r="GT25" t="n">
        <v>730.3226997867777</v>
      </c>
      <c r="GU25" t="n">
        <v>227.7356012056629</v>
      </c>
      <c r="GV25" t="n">
        <v>221.6528014075924</v>
      </c>
      <c r="GW25" t="n">
        <v>1097.131623130077</v>
      </c>
      <c r="GX25" t="n">
        <v>658.1746922651727</v>
      </c>
      <c r="GY25" t="n">
        <v>331.4407920977868</v>
      </c>
      <c r="GZ25" t="n">
        <v>33.28515405217814</v>
      </c>
      <c r="HA25" t="n">
        <v>243.5155551969645</v>
      </c>
      <c r="HB25" t="n">
        <v>332.9824666472341</v>
      </c>
      <c r="HC25" t="n">
        <v>1370.888485447854</v>
      </c>
    </row>
    <row r="26">
      <c r="A26" s="1" t="inlineStr">
        <is>
          <t>M_row*Y_imp</t>
        </is>
      </c>
      <c r="B26" t="n">
        <v>16.77954254316633</v>
      </c>
      <c r="C26" t="n">
        <v>9.35552925182618</v>
      </c>
      <c r="D26" t="n">
        <v>0.8967671106225401</v>
      </c>
      <c r="E26" t="n">
        <v>1518.23519137601</v>
      </c>
      <c r="F26" t="n">
        <v>51.20788952039106</v>
      </c>
      <c r="G26" t="n">
        <v>0</v>
      </c>
      <c r="H26" t="n">
        <v>2.459552476428821</v>
      </c>
      <c r="I26" t="n">
        <v>397.556277430649</v>
      </c>
      <c r="J26" t="n">
        <v>0</v>
      </c>
      <c r="K26" t="n">
        <v>0</v>
      </c>
      <c r="L26" t="n">
        <v>1.293826873218296</v>
      </c>
      <c r="M26" t="n">
        <v>18.10999116621787</v>
      </c>
      <c r="N26" t="n">
        <v>36.50224367620002</v>
      </c>
      <c r="O26" t="n">
        <v>0</v>
      </c>
      <c r="P26" t="n">
        <v>0</v>
      </c>
      <c r="Q26" t="n">
        <v>0</v>
      </c>
      <c r="R26" t="n">
        <v>0</v>
      </c>
      <c r="S26" t="n">
        <v>1.898265451479487</v>
      </c>
      <c r="T26" t="n">
        <v>9.571954918971466</v>
      </c>
      <c r="U26" t="n">
        <v>0.001467929700981152</v>
      </c>
      <c r="V26" t="n">
        <v>0</v>
      </c>
      <c r="W26" t="n">
        <v>0.02119093914854388</v>
      </c>
      <c r="X26" t="n">
        <v>0</v>
      </c>
      <c r="Y26" t="n">
        <v>0.006490229011870828</v>
      </c>
      <c r="Z26" t="n">
        <v>0</v>
      </c>
      <c r="AA26" t="n">
        <v>0</v>
      </c>
      <c r="AB26" t="n">
        <v>0</v>
      </c>
      <c r="AC26" t="n">
        <v>0</v>
      </c>
      <c r="AD26" t="n">
        <v>1.255558076065801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54.32466369729941</v>
      </c>
      <c r="AS26" t="n">
        <v>46.44711693162024</v>
      </c>
      <c r="AT26" t="n">
        <v>29.00804278347593</v>
      </c>
      <c r="AU26" t="n">
        <v>39.35272495378796</v>
      </c>
      <c r="AV26" t="n">
        <v>13.853734362462</v>
      </c>
      <c r="AW26" t="n">
        <v>54.87581885037903</v>
      </c>
      <c r="AX26" t="n">
        <v>22.1407197284625</v>
      </c>
      <c r="AY26" t="n">
        <v>29.78778509776233</v>
      </c>
      <c r="AZ26" t="n">
        <v>712.3919750105571</v>
      </c>
      <c r="BA26" t="n">
        <v>58.24090174654033</v>
      </c>
      <c r="BB26" t="n">
        <v>104.5921939945894</v>
      </c>
      <c r="BC26" t="n">
        <v>125.910689712725</v>
      </c>
      <c r="BD26" t="n">
        <v>109.4191277813379</v>
      </c>
      <c r="BE26" t="n">
        <v>268.9809615384495</v>
      </c>
      <c r="BF26" t="n">
        <v>290.4273472996549</v>
      </c>
      <c r="BG26" t="n">
        <v>5.877508503181311</v>
      </c>
      <c r="BH26" t="n">
        <v>0</v>
      </c>
      <c r="BI26" t="n">
        <v>0</v>
      </c>
      <c r="BJ26" t="n">
        <v>0</v>
      </c>
      <c r="BK26" t="n">
        <v>15.20680887427829</v>
      </c>
      <c r="BL26" t="n">
        <v>5.709652235069812</v>
      </c>
      <c r="BM26" t="n">
        <v>0.0002406679743884335</v>
      </c>
      <c r="BN26" t="n">
        <v>0</v>
      </c>
      <c r="BO26" t="n">
        <v>0</v>
      </c>
      <c r="BP26" t="n">
        <v>36.54894424152009</v>
      </c>
      <c r="BQ26" t="n">
        <v>0.0001022890672732017</v>
      </c>
      <c r="BR26" t="n">
        <v>0</v>
      </c>
      <c r="BS26" t="n">
        <v>0.4235644639190108</v>
      </c>
      <c r="BT26" t="n">
        <v>0.2577728274712597</v>
      </c>
      <c r="BU26" t="n">
        <v>24.96168113885041</v>
      </c>
      <c r="BV26" t="n">
        <v>0.03695590227358141</v>
      </c>
      <c r="BW26" t="n">
        <v>0</v>
      </c>
      <c r="BX26" t="n">
        <v>1.905252966110628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69.86418291516507</v>
      </c>
      <c r="CJ26" t="n">
        <v>0</v>
      </c>
      <c r="CK26" t="n">
        <v>0.4954475640521709</v>
      </c>
      <c r="CL26" t="n">
        <v>6.906286798162228</v>
      </c>
      <c r="CM26" t="n">
        <v>102.8441959927544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8.133027648519613</v>
      </c>
      <c r="CV26" t="n">
        <v>0.001303683253416988</v>
      </c>
      <c r="CW26" t="n">
        <v>0.01440674732556572</v>
      </c>
      <c r="CX26" t="n">
        <v>0</v>
      </c>
      <c r="CY26" t="n">
        <v>5.644821969137957</v>
      </c>
      <c r="CZ26" t="n">
        <v>7.569024764966541e-05</v>
      </c>
      <c r="DA26" t="n">
        <v>0</v>
      </c>
      <c r="DB26" t="n">
        <v>0.02205075390505996</v>
      </c>
      <c r="DC26" t="n">
        <v>0</v>
      </c>
      <c r="DD26" t="n">
        <v>0.01431056106779092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0.06742573208214565</v>
      </c>
      <c r="DK26" t="n">
        <v>0</v>
      </c>
      <c r="DL26" t="n">
        <v>0</v>
      </c>
      <c r="DM26" t="n">
        <v>15.61491546875073</v>
      </c>
      <c r="DN26" t="n">
        <v>1.059943687982836</v>
      </c>
      <c r="DO26" t="n">
        <v>24.68314866937314</v>
      </c>
      <c r="DP26" t="n">
        <v>10.95522541473414</v>
      </c>
      <c r="DQ26" t="n">
        <v>12.99621735101135</v>
      </c>
      <c r="DR26" t="n">
        <v>8.16065661820751</v>
      </c>
      <c r="DS26" t="n">
        <v>123.1085723601577</v>
      </c>
      <c r="DT26" t="n">
        <v>7.489964983190936</v>
      </c>
      <c r="DU26" t="n">
        <v>117.3664637040548</v>
      </c>
      <c r="DV26" t="n">
        <v>0</v>
      </c>
      <c r="DW26" t="n">
        <v>0</v>
      </c>
      <c r="DX26" t="n">
        <v>0.4985172634465133</v>
      </c>
      <c r="DY26" t="n">
        <v>0.3099400694422939</v>
      </c>
      <c r="DZ26" t="n">
        <v>3.547670965955974</v>
      </c>
      <c r="EA26" t="n">
        <v>0.2656357856641619</v>
      </c>
      <c r="EB26" t="n">
        <v>0.02112513424734438</v>
      </c>
      <c r="EC26" t="n">
        <v>0.03097740252896952</v>
      </c>
      <c r="ED26" t="n">
        <v>0.0687262256648718</v>
      </c>
      <c r="EE26" t="n">
        <v>0.02048643460595961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0.6594794135595246</v>
      </c>
      <c r="EY26" t="n">
        <v>0</v>
      </c>
      <c r="EZ26" t="n">
        <v>0</v>
      </c>
      <c r="FA26" t="n">
        <v>5.38956703790787</v>
      </c>
      <c r="FB26" t="n">
        <v>15.93762179559151</v>
      </c>
      <c r="FC26" t="n">
        <v>0.005081347616664483</v>
      </c>
      <c r="FD26" t="n">
        <v>27.29013133033404</v>
      </c>
      <c r="FE26" t="n">
        <v>2.301228794801333</v>
      </c>
      <c r="FF26" t="n">
        <v>47.12987280751973</v>
      </c>
      <c r="FG26" t="n">
        <v>3.851032187003933</v>
      </c>
      <c r="FH26" t="n">
        <v>7.013275147861993</v>
      </c>
      <c r="FI26" t="n">
        <v>2.474951754561062</v>
      </c>
      <c r="FJ26" t="n">
        <v>2.729807397607883</v>
      </c>
      <c r="FK26" t="n">
        <v>0</v>
      </c>
      <c r="FL26" t="n">
        <v>0</v>
      </c>
      <c r="FM26" t="n">
        <v>0</v>
      </c>
      <c r="FN26" t="n">
        <v>0.008089752020673004</v>
      </c>
      <c r="FO26" t="n">
        <v>17.51129300441393</v>
      </c>
      <c r="FP26" t="n">
        <v>3.030760619765475</v>
      </c>
      <c r="FQ26" t="n">
        <v>7.398349415370365</v>
      </c>
      <c r="FR26" t="n">
        <v>5.27667345529228</v>
      </c>
      <c r="FS26" t="n">
        <v>12.63449695951753</v>
      </c>
      <c r="FT26" t="n">
        <v>0.01684569609921928</v>
      </c>
      <c r="FU26" t="n">
        <v>0.01593355087198033</v>
      </c>
      <c r="FV26" t="n">
        <v>0.00719237142366282</v>
      </c>
      <c r="FW26" t="n">
        <v>0.02868940629649033</v>
      </c>
      <c r="FX26" t="n">
        <v>0.00291263523352554</v>
      </c>
      <c r="FY26" t="n">
        <v>0.0046563504398357</v>
      </c>
      <c r="FZ26" t="n">
        <v>0.0178809315245419</v>
      </c>
      <c r="GA26" t="n">
        <v>0.0007577345542574346</v>
      </c>
      <c r="GB26" t="n">
        <v>0.0001324711084162035</v>
      </c>
      <c r="GC26" t="n">
        <v>0.02571413242371064</v>
      </c>
      <c r="GD26" t="n">
        <v>0.01761418277957683</v>
      </c>
      <c r="GE26" t="n">
        <v>0</v>
      </c>
      <c r="GF26" t="n">
        <v>0.004507832776466877</v>
      </c>
      <c r="GG26" t="n">
        <v>0.008875895590254871</v>
      </c>
      <c r="GH26" t="n">
        <v>0.009038576185875702</v>
      </c>
      <c r="GI26" t="n">
        <v>0.006050041893822912</v>
      </c>
      <c r="GJ26" t="n">
        <v>0.001046552600380264</v>
      </c>
      <c r="GK26" t="n">
        <v>0.0205436164829986</v>
      </c>
      <c r="GL26" t="n">
        <v>0.0006083120988315203</v>
      </c>
      <c r="GM26" t="n">
        <v>0.002205129201740035</v>
      </c>
      <c r="GN26" t="n">
        <v>0.8924992658835507</v>
      </c>
      <c r="GO26" t="n">
        <v>17.13022471777297</v>
      </c>
      <c r="GP26" t="n">
        <v>3.654804712718694</v>
      </c>
      <c r="GQ26" t="n">
        <v>0</v>
      </c>
      <c r="GR26" t="n">
        <v>1532.088925738472</v>
      </c>
      <c r="GS26" t="n">
        <v>54.32466369729941</v>
      </c>
      <c r="GT26" t="n">
        <v>134.2117027083203</v>
      </c>
      <c r="GU26" t="n">
        <v>100.9500174455505</v>
      </c>
      <c r="GV26" t="n">
        <v>54.87581885037903</v>
      </c>
      <c r="GW26" t="n">
        <v>1521.067527261272</v>
      </c>
      <c r="GX26" t="n">
        <v>143.7210811865181</v>
      </c>
      <c r="GY26" t="n">
        <v>297.5496342358626</v>
      </c>
      <c r="GZ26" t="n">
        <v>668.8274366194423</v>
      </c>
      <c r="HA26" t="n">
        <v>371.2648022217532</v>
      </c>
      <c r="HB26" t="n">
        <v>0</v>
      </c>
      <c r="HC26" t="n">
        <v>84.45694322293546</v>
      </c>
    </row>
    <row r="27">
      <c r="A27" s="1" t="inlineStr">
        <is>
          <t>M_imp*Y_dom+M_dom*Y_dom+M_row*Y_imp</t>
        </is>
      </c>
      <c r="B27" t="n">
        <v>286.2485286168425</v>
      </c>
      <c r="C27" t="n">
        <v>36.4252865618188</v>
      </c>
      <c r="D27" t="n">
        <v>16.91128126959908</v>
      </c>
      <c r="E27" t="n">
        <v>1716.599201874674</v>
      </c>
      <c r="F27" t="n">
        <v>71.93273159203619</v>
      </c>
      <c r="G27" t="n">
        <v>0</v>
      </c>
      <c r="H27" t="n">
        <v>24.30784845479181</v>
      </c>
      <c r="I27" t="n">
        <v>397.556277430649</v>
      </c>
      <c r="J27" t="n">
        <v>0</v>
      </c>
      <c r="K27" t="n">
        <v>0</v>
      </c>
      <c r="L27" t="n">
        <v>108.3194379090959</v>
      </c>
      <c r="M27" t="n">
        <v>107.2627651176891</v>
      </c>
      <c r="N27" t="n">
        <v>45.08764552876292</v>
      </c>
      <c r="O27" t="n">
        <v>9.241973081298337</v>
      </c>
      <c r="P27" t="n">
        <v>0</v>
      </c>
      <c r="Q27" t="n">
        <v>0</v>
      </c>
      <c r="R27" t="n">
        <v>0</v>
      </c>
      <c r="S27" t="n">
        <v>13.18205673769181</v>
      </c>
      <c r="T27" t="n">
        <v>16.31132594577733</v>
      </c>
      <c r="U27" t="n">
        <v>0.001467929700981152</v>
      </c>
      <c r="V27" t="n">
        <v>0</v>
      </c>
      <c r="W27" t="n">
        <v>0.02119093914854388</v>
      </c>
      <c r="X27" t="n">
        <v>0</v>
      </c>
      <c r="Y27" t="n">
        <v>0.006490229011870828</v>
      </c>
      <c r="Z27" t="n">
        <v>0</v>
      </c>
      <c r="AA27" t="n">
        <v>0</v>
      </c>
      <c r="AB27" t="n">
        <v>0</v>
      </c>
      <c r="AC27" t="n">
        <v>0</v>
      </c>
      <c r="AD27" t="n">
        <v>1.915638039771347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346.9394633856649</v>
      </c>
      <c r="AS27" t="n">
        <v>84.16977836567443</v>
      </c>
      <c r="AT27" t="n">
        <v>153.7602302571551</v>
      </c>
      <c r="AU27" t="n">
        <v>411.0221908454834</v>
      </c>
      <c r="AV27" t="n">
        <v>14.65242933162768</v>
      </c>
      <c r="AW27" t="n">
        <v>267.2866471766732</v>
      </c>
      <c r="AX27" t="n">
        <v>22.27593490122748</v>
      </c>
      <c r="AY27" t="n">
        <v>41.22872776571599</v>
      </c>
      <c r="AZ27" t="n">
        <v>1276.485305392503</v>
      </c>
      <c r="BA27" t="n">
        <v>191.9646545509471</v>
      </c>
      <c r="BB27" t="n">
        <v>177.7556180646137</v>
      </c>
      <c r="BC27" t="n">
        <v>128.443523622022</v>
      </c>
      <c r="BD27" t="n">
        <v>127.5907457678281</v>
      </c>
      <c r="BE27" t="n">
        <v>282.5070455859008</v>
      </c>
      <c r="BF27" t="n">
        <v>292.0147993178916</v>
      </c>
      <c r="BG27" t="n">
        <v>7.91842170701015</v>
      </c>
      <c r="BH27" t="n">
        <v>0.8933498882041681</v>
      </c>
      <c r="BI27" t="n">
        <v>0</v>
      </c>
      <c r="BJ27" t="n">
        <v>0</v>
      </c>
      <c r="BK27" t="n">
        <v>26.03963854180807</v>
      </c>
      <c r="BL27" t="n">
        <v>16.57835080732861</v>
      </c>
      <c r="BM27" t="n">
        <v>0.0003556496222608268</v>
      </c>
      <c r="BN27" t="n">
        <v>0</v>
      </c>
      <c r="BO27" t="n">
        <v>0</v>
      </c>
      <c r="BP27" t="n">
        <v>75.80187199801775</v>
      </c>
      <c r="BQ27" t="n">
        <v>0.0001022890672732017</v>
      </c>
      <c r="BR27" t="n">
        <v>0</v>
      </c>
      <c r="BS27" t="n">
        <v>0.5173289710176656</v>
      </c>
      <c r="BT27" t="n">
        <v>0.2577728274712597</v>
      </c>
      <c r="BU27" t="n">
        <v>52.85327354947371</v>
      </c>
      <c r="BV27" t="n">
        <v>0.03973057123739512</v>
      </c>
      <c r="BW27" t="n">
        <v>0</v>
      </c>
      <c r="BX27" t="n">
        <v>2.568360521674691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231.3983841412685</v>
      </c>
      <c r="CJ27" t="n">
        <v>6.826329055888595</v>
      </c>
      <c r="CK27" t="n">
        <v>9.682308397101586</v>
      </c>
      <c r="CL27" t="n">
        <v>7.227927572118938</v>
      </c>
      <c r="CM27" t="n">
        <v>145.8751369092091</v>
      </c>
      <c r="CN27" t="n">
        <v>0</v>
      </c>
      <c r="CO27" t="n">
        <v>0</v>
      </c>
      <c r="CP27" t="n">
        <v>0.6570224134397856</v>
      </c>
      <c r="CQ27" t="n">
        <v>0.7710000885630981</v>
      </c>
      <c r="CR27" t="n">
        <v>0</v>
      </c>
      <c r="CS27" t="n">
        <v>0</v>
      </c>
      <c r="CT27" t="n">
        <v>0</v>
      </c>
      <c r="CU27" t="n">
        <v>9.97039946041275</v>
      </c>
      <c r="CV27" t="n">
        <v>0.04887308984730297</v>
      </c>
      <c r="CW27" t="n">
        <v>0.1582330500653252</v>
      </c>
      <c r="CX27" t="n">
        <v>0.01980908939319669</v>
      </c>
      <c r="CY27" t="n">
        <v>8.166832598046856</v>
      </c>
      <c r="CZ27" t="n">
        <v>9.227521023270758e-05</v>
      </c>
      <c r="DA27" t="n">
        <v>4.138191327506189e-06</v>
      </c>
      <c r="DB27" t="n">
        <v>0.02205075390505996</v>
      </c>
      <c r="DC27" t="n">
        <v>0</v>
      </c>
      <c r="DD27" t="n">
        <v>0.01589607073032622</v>
      </c>
      <c r="DE27" t="n">
        <v>0.0008336388326717793</v>
      </c>
      <c r="DF27" t="n">
        <v>0</v>
      </c>
      <c r="DG27" t="n">
        <v>0</v>
      </c>
      <c r="DH27" t="n">
        <v>0</v>
      </c>
      <c r="DI27" t="n">
        <v>0</v>
      </c>
      <c r="DJ27" t="n">
        <v>0.06742573208214565</v>
      </c>
      <c r="DK27" t="n">
        <v>0</v>
      </c>
      <c r="DL27" t="n">
        <v>0.0003647420618644585</v>
      </c>
      <c r="DM27" t="n">
        <v>25.03096763495989</v>
      </c>
      <c r="DN27" t="n">
        <v>1.817171033288039</v>
      </c>
      <c r="DO27" t="n">
        <v>24.68314866937314</v>
      </c>
      <c r="DP27" t="n">
        <v>15.36568987498351</v>
      </c>
      <c r="DQ27" t="n">
        <v>17.47496130217538</v>
      </c>
      <c r="DR27" t="n">
        <v>13.11169754962796</v>
      </c>
      <c r="DS27" t="n">
        <v>199.9198815212813</v>
      </c>
      <c r="DT27" t="n">
        <v>10.92121315136165</v>
      </c>
      <c r="DU27" t="n">
        <v>135.8333712792265</v>
      </c>
      <c r="DV27" t="n">
        <v>0</v>
      </c>
      <c r="DW27" t="n">
        <v>0</v>
      </c>
      <c r="DX27" t="n">
        <v>2.473712294692688</v>
      </c>
      <c r="DY27" t="n">
        <v>1.480830549816099</v>
      </c>
      <c r="DZ27" t="n">
        <v>27.3893124120735</v>
      </c>
      <c r="EA27" t="n">
        <v>3.798152686239737</v>
      </c>
      <c r="EB27" t="n">
        <v>0.5547344054344759</v>
      </c>
      <c r="EC27" t="n">
        <v>0.3995004322816527</v>
      </c>
      <c r="ED27" t="n">
        <v>0.5164602702953112</v>
      </c>
      <c r="EE27" t="n">
        <v>0.06208238465576327</v>
      </c>
      <c r="EF27" t="n">
        <v>0</v>
      </c>
      <c r="EG27" t="n">
        <v>0.03397939947757185</v>
      </c>
      <c r="EH27" t="n">
        <v>0</v>
      </c>
      <c r="EI27" t="n">
        <v>0</v>
      </c>
      <c r="EJ27" t="n">
        <v>3.262028953363401</v>
      </c>
      <c r="EK27" t="n">
        <v>9.438046606994204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20.35539219285132</v>
      </c>
      <c r="ER27" t="n">
        <v>13.50177384919849</v>
      </c>
      <c r="ES27" t="n">
        <v>8.148767940713732</v>
      </c>
      <c r="ET27" t="n">
        <v>17.86086101586938</v>
      </c>
      <c r="EU27" t="n">
        <v>0</v>
      </c>
      <c r="EV27" t="n">
        <v>19.4213592232979</v>
      </c>
      <c r="EW27" t="n">
        <v>1.309967713374384</v>
      </c>
      <c r="EX27" t="n">
        <v>9.142085776202229</v>
      </c>
      <c r="EY27" t="n">
        <v>7.17276676723096</v>
      </c>
      <c r="EZ27" t="n">
        <v>332.9824666472341</v>
      </c>
      <c r="FA27" t="n">
        <v>33.45895566251334</v>
      </c>
      <c r="FB27" t="n">
        <v>58.22491563536668</v>
      </c>
      <c r="FC27" t="n">
        <v>1.318968965462886</v>
      </c>
      <c r="FD27" t="n">
        <v>36.81614079516034</v>
      </c>
      <c r="FE27" t="n">
        <v>13.12937643564429</v>
      </c>
      <c r="FF27" t="n">
        <v>91.52361660310864</v>
      </c>
      <c r="FG27" t="n">
        <v>27.09236921008074</v>
      </c>
      <c r="FH27" t="n">
        <v>54.16462978081994</v>
      </c>
      <c r="FI27" t="n">
        <v>22.65234640456018</v>
      </c>
      <c r="FJ27" t="n">
        <v>57.69194214321091</v>
      </c>
      <c r="FK27" t="n">
        <v>0</v>
      </c>
      <c r="FL27" t="n">
        <v>324.4060917079524</v>
      </c>
      <c r="FM27" t="n">
        <v>5.028282998435079</v>
      </c>
      <c r="FN27" t="n">
        <v>0.112123331199252</v>
      </c>
      <c r="FO27" t="n">
        <v>69.2932765412644</v>
      </c>
      <c r="FP27" t="n">
        <v>25.24057566368508</v>
      </c>
      <c r="FQ27" t="n">
        <v>327.8242095007645</v>
      </c>
      <c r="FR27" t="n">
        <v>177.0870161242208</v>
      </c>
      <c r="FS27" t="n">
        <v>338.3453421730645</v>
      </c>
      <c r="FT27" t="n">
        <v>1.091556501868545</v>
      </c>
      <c r="FU27" t="n">
        <v>1.152500468014292</v>
      </c>
      <c r="FV27" t="n">
        <v>0.5184207307469152</v>
      </c>
      <c r="FW27" t="n">
        <v>1.393329526695319</v>
      </c>
      <c r="FX27" t="n">
        <v>0.2377547122380686</v>
      </c>
      <c r="FY27" t="n">
        <v>0.3267904425747872</v>
      </c>
      <c r="FZ27" t="n">
        <v>1.272484247901029</v>
      </c>
      <c r="GA27" t="n">
        <v>0.09061067152462998</v>
      </c>
      <c r="GB27" t="n">
        <v>0.007605991718886499</v>
      </c>
      <c r="GC27" t="n">
        <v>1.15053811841304</v>
      </c>
      <c r="GD27" t="n">
        <v>0.702659960845873</v>
      </c>
      <c r="GE27" t="n">
        <v>0.01927594711308763</v>
      </c>
      <c r="GF27" t="n">
        <v>0.4459001127068717</v>
      </c>
      <c r="GG27" t="n">
        <v>0.8165650199032487</v>
      </c>
      <c r="GH27" t="n">
        <v>0.7542313837785968</v>
      </c>
      <c r="GI27" t="n">
        <v>0.5046247615322063</v>
      </c>
      <c r="GJ27" t="n">
        <v>0.1529638271400305</v>
      </c>
      <c r="GK27" t="n">
        <v>1.848448858042433</v>
      </c>
      <c r="GL27" t="n">
        <v>0.08324341872214391</v>
      </c>
      <c r="GM27" t="n">
        <v>0.2800778508497571</v>
      </c>
      <c r="GN27" t="n">
        <v>47.11304797943576</v>
      </c>
      <c r="GO27" t="n">
        <v>211.9251776660354</v>
      </c>
      <c r="GP27" t="n">
        <v>33.73055918086342</v>
      </c>
      <c r="GQ27" t="n">
        <v>0</v>
      </c>
      <c r="GR27" t="n">
        <v>1731.251631206302</v>
      </c>
      <c r="GS27" t="n">
        <v>346.9394633856649</v>
      </c>
      <c r="GT27" t="n">
        <v>864.534402495098</v>
      </c>
      <c r="GU27" t="n">
        <v>328.6856186512134</v>
      </c>
      <c r="GV27" t="n">
        <v>276.5286202579715</v>
      </c>
      <c r="GW27" t="n">
        <v>2618.199150391349</v>
      </c>
      <c r="GX27" t="n">
        <v>801.8957734516907</v>
      </c>
      <c r="GY27" t="n">
        <v>628.9904263336493</v>
      </c>
      <c r="GZ27" t="n">
        <v>702.1125906716204</v>
      </c>
      <c r="HA27" t="n">
        <v>614.7803574187177</v>
      </c>
      <c r="HB27" t="n">
        <v>332.9824666472341</v>
      </c>
      <c r="HC27" t="n">
        <v>1455.345428670789</v>
      </c>
    </row>
    <row r="28">
      <c r="A28" s="1" t="inlineStr">
        <is>
          <t>Clé de tri</t>
        </is>
      </c>
      <c r="B28">
        <f>INDEX(B$18:B$27,MATCH($B$1,$A$18:$A$27,0))</f>
        <v/>
      </c>
      <c r="C28">
        <f>INDEX(C$18:C$27,MATCH($B$1,$A$18:$A$27,0))</f>
        <v/>
      </c>
      <c r="D28">
        <f>INDEX(D$18:D$27,MATCH($B$1,$A$18:$A$27,0))</f>
        <v/>
      </c>
      <c r="E28">
        <f>INDEX(E$18:E$27,MATCH($B$1,$A$18:$A$27,0))</f>
        <v/>
      </c>
      <c r="F28">
        <f>INDEX(F$18:F$27,MATCH($B$1,$A$18:$A$27,0))</f>
        <v/>
      </c>
      <c r="G28">
        <f>INDEX(G$18:G$27,MATCH($B$1,$A$18:$A$27,0))</f>
        <v/>
      </c>
      <c r="H28">
        <f>INDEX(H$18:H$27,MATCH($B$1,$A$18:$A$27,0))</f>
        <v/>
      </c>
      <c r="I28">
        <f>INDEX(I$18:I$27,MATCH($B$1,$A$18:$A$27,0))</f>
        <v/>
      </c>
      <c r="J28">
        <f>INDEX(J$18:J$27,MATCH($B$1,$A$18:$A$27,0))</f>
        <v/>
      </c>
      <c r="K28">
        <f>INDEX(K$18:K$27,MATCH($B$1,$A$18:$A$27,0))</f>
        <v/>
      </c>
      <c r="L28">
        <f>INDEX(L$18:L$27,MATCH($B$1,$A$18:$A$27,0))</f>
        <v/>
      </c>
      <c r="M28">
        <f>INDEX(M$18:M$27,MATCH($B$1,$A$18:$A$27,0))</f>
        <v/>
      </c>
      <c r="N28">
        <f>INDEX(N$18:N$27,MATCH($B$1,$A$18:$A$27,0))</f>
        <v/>
      </c>
      <c r="O28">
        <f>INDEX(O$18:O$27,MATCH($B$1,$A$18:$A$27,0))</f>
        <v/>
      </c>
      <c r="P28">
        <f>INDEX(P$18:P$27,MATCH($B$1,$A$18:$A$27,0))</f>
        <v/>
      </c>
      <c r="Q28">
        <f>INDEX(Q$18:Q$27,MATCH($B$1,$A$18:$A$27,0))</f>
        <v/>
      </c>
      <c r="R28">
        <f>INDEX(R$18:R$27,MATCH($B$1,$A$18:$A$27,0))</f>
        <v/>
      </c>
      <c r="S28">
        <f>INDEX(S$18:S$27,MATCH($B$1,$A$18:$A$27,0))</f>
        <v/>
      </c>
      <c r="T28">
        <f>INDEX(T$18:T$27,MATCH($B$1,$A$18:$A$27,0))</f>
        <v/>
      </c>
      <c r="U28">
        <f>INDEX(U$18:U$27,MATCH($B$1,$A$18:$A$27,0))</f>
        <v/>
      </c>
      <c r="V28">
        <f>INDEX(V$18:V$27,MATCH($B$1,$A$18:$A$27,0))</f>
        <v/>
      </c>
      <c r="W28">
        <f>INDEX(W$18:W$27,MATCH($B$1,$A$18:$A$27,0))</f>
        <v/>
      </c>
      <c r="X28">
        <f>INDEX(X$18:X$27,MATCH($B$1,$A$18:$A$27,0))</f>
        <v/>
      </c>
      <c r="Y28">
        <f>INDEX(Y$18:Y$27,MATCH($B$1,$A$18:$A$27,0))</f>
        <v/>
      </c>
      <c r="Z28">
        <f>INDEX(Z$18:Z$27,MATCH($B$1,$A$18:$A$27,0))</f>
        <v/>
      </c>
      <c r="AA28">
        <f>INDEX(AA$18:AA$27,MATCH($B$1,$A$18:$A$27,0))</f>
        <v/>
      </c>
      <c r="AB28">
        <f>INDEX(AB$18:AB$27,MATCH($B$1,$A$18:$A$27,0))</f>
        <v/>
      </c>
      <c r="AC28">
        <f>INDEX(AC$18:AC$27,MATCH($B$1,$A$18:$A$27,0))</f>
        <v/>
      </c>
      <c r="AD28">
        <f>INDEX(AD$18:AD$27,MATCH($B$1,$A$18:$A$27,0))</f>
        <v/>
      </c>
      <c r="AE28">
        <f>INDEX(AE$18:AE$27,MATCH($B$1,$A$18:$A$27,0))</f>
        <v/>
      </c>
      <c r="AF28">
        <f>INDEX(AF$18:AF$27,MATCH($B$1,$A$18:$A$27,0))</f>
        <v/>
      </c>
      <c r="AG28">
        <f>INDEX(AG$18:AG$27,MATCH($B$1,$A$18:$A$27,0))</f>
        <v/>
      </c>
      <c r="AH28">
        <f>INDEX(AH$18:AH$27,MATCH($B$1,$A$18:$A$27,0))</f>
        <v/>
      </c>
      <c r="AI28">
        <f>INDEX(AI$18:AI$27,MATCH($B$1,$A$18:$A$27,0))</f>
        <v/>
      </c>
      <c r="AJ28">
        <f>INDEX(AJ$18:AJ$27,MATCH($B$1,$A$18:$A$27,0))</f>
        <v/>
      </c>
      <c r="AK28">
        <f>INDEX(AK$18:AK$27,MATCH($B$1,$A$18:$A$27,0))</f>
        <v/>
      </c>
      <c r="AL28">
        <f>INDEX(AL$18:AL$27,MATCH($B$1,$A$18:$A$27,0))</f>
        <v/>
      </c>
      <c r="AM28">
        <f>INDEX(AM$18:AM$27,MATCH($B$1,$A$18:$A$27,0))</f>
        <v/>
      </c>
      <c r="AN28">
        <f>INDEX(AN$18:AN$27,MATCH($B$1,$A$18:$A$27,0))</f>
        <v/>
      </c>
      <c r="AO28">
        <f>INDEX(AO$18:AO$27,MATCH($B$1,$A$18:$A$27,0))</f>
        <v/>
      </c>
      <c r="AP28">
        <f>INDEX(AP$18:AP$27,MATCH($B$1,$A$18:$A$27,0))</f>
        <v/>
      </c>
      <c r="AQ28">
        <f>INDEX(AQ$18:AQ$27,MATCH($B$1,$A$18:$A$27,0))</f>
        <v/>
      </c>
      <c r="AR28">
        <f>INDEX(AR$18:AR$27,MATCH($B$1,$A$18:$A$27,0))</f>
        <v/>
      </c>
      <c r="AS28">
        <f>INDEX(AS$18:AS$27,MATCH($B$1,$A$18:$A$27,0))</f>
        <v/>
      </c>
      <c r="AT28">
        <f>INDEX(AT$18:AT$27,MATCH($B$1,$A$18:$A$27,0))</f>
        <v/>
      </c>
      <c r="AU28">
        <f>INDEX(AU$18:AU$27,MATCH($B$1,$A$18:$A$27,0))</f>
        <v/>
      </c>
      <c r="AV28">
        <f>INDEX(AV$18:AV$27,MATCH($B$1,$A$18:$A$27,0))</f>
        <v/>
      </c>
      <c r="AW28">
        <f>INDEX(AW$18:AW$27,MATCH($B$1,$A$18:$A$27,0))</f>
        <v/>
      </c>
      <c r="AX28">
        <f>INDEX(AX$18:AX$27,MATCH($B$1,$A$18:$A$27,0))</f>
        <v/>
      </c>
      <c r="AY28">
        <f>INDEX(AY$18:AY$27,MATCH($B$1,$A$18:$A$27,0))</f>
        <v/>
      </c>
      <c r="AZ28">
        <f>INDEX(AZ$18:AZ$27,MATCH($B$1,$A$18:$A$27,0))</f>
        <v/>
      </c>
      <c r="BA28">
        <f>INDEX(BA$18:BA$27,MATCH($B$1,$A$18:$A$27,0))</f>
        <v/>
      </c>
      <c r="BB28">
        <f>INDEX(BB$18:BB$27,MATCH($B$1,$A$18:$A$27,0))</f>
        <v/>
      </c>
      <c r="BC28">
        <f>INDEX(BC$18:BC$27,MATCH($B$1,$A$18:$A$27,0))</f>
        <v/>
      </c>
      <c r="BD28">
        <f>INDEX(BD$18:BD$27,MATCH($B$1,$A$18:$A$27,0))</f>
        <v/>
      </c>
      <c r="BE28">
        <f>INDEX(BE$18:BE$27,MATCH($B$1,$A$18:$A$27,0))</f>
        <v/>
      </c>
      <c r="BF28">
        <f>INDEX(BF$18:BF$27,MATCH($B$1,$A$18:$A$27,0))</f>
        <v/>
      </c>
      <c r="BG28">
        <f>INDEX(BG$18:BG$27,MATCH($B$1,$A$18:$A$27,0))</f>
        <v/>
      </c>
      <c r="BH28">
        <f>INDEX(BH$18:BH$27,MATCH($B$1,$A$18:$A$27,0))</f>
        <v/>
      </c>
      <c r="BI28">
        <f>INDEX(BI$18:BI$27,MATCH($B$1,$A$18:$A$27,0))</f>
        <v/>
      </c>
      <c r="BJ28">
        <f>INDEX(BJ$18:BJ$27,MATCH($B$1,$A$18:$A$27,0))</f>
        <v/>
      </c>
      <c r="BK28">
        <f>INDEX(BK$18:BK$27,MATCH($B$1,$A$18:$A$27,0))</f>
        <v/>
      </c>
      <c r="BL28">
        <f>INDEX(BL$18:BL$27,MATCH($B$1,$A$18:$A$27,0))</f>
        <v/>
      </c>
      <c r="BM28">
        <f>INDEX(BM$18:BM$27,MATCH($B$1,$A$18:$A$27,0))</f>
        <v/>
      </c>
      <c r="BN28">
        <f>INDEX(BN$18:BN$27,MATCH($B$1,$A$18:$A$27,0))</f>
        <v/>
      </c>
      <c r="BO28">
        <f>INDEX(BO$18:BO$27,MATCH($B$1,$A$18:$A$27,0))</f>
        <v/>
      </c>
      <c r="BP28">
        <f>INDEX(BP$18:BP$27,MATCH($B$1,$A$18:$A$27,0))</f>
        <v/>
      </c>
      <c r="BQ28">
        <f>INDEX(BQ$18:BQ$27,MATCH($B$1,$A$18:$A$27,0))</f>
        <v/>
      </c>
      <c r="BR28">
        <f>INDEX(BR$18:BR$27,MATCH($B$1,$A$18:$A$27,0))</f>
        <v/>
      </c>
      <c r="BS28">
        <f>INDEX(BS$18:BS$27,MATCH($B$1,$A$18:$A$27,0))</f>
        <v/>
      </c>
      <c r="BT28">
        <f>INDEX(BT$18:BT$27,MATCH($B$1,$A$18:$A$27,0))</f>
        <v/>
      </c>
      <c r="BU28">
        <f>INDEX(BU$18:BU$27,MATCH($B$1,$A$18:$A$27,0))</f>
        <v/>
      </c>
      <c r="BV28">
        <f>INDEX(BV$18:BV$27,MATCH($B$1,$A$18:$A$27,0))</f>
        <v/>
      </c>
      <c r="BW28">
        <f>INDEX(BW$18:BW$27,MATCH($B$1,$A$18:$A$27,0))</f>
        <v/>
      </c>
      <c r="BX28">
        <f>INDEX(BX$18:BX$27,MATCH($B$1,$A$18:$A$27,0))</f>
        <v/>
      </c>
      <c r="BY28">
        <f>INDEX(BY$18:BY$27,MATCH($B$1,$A$18:$A$27,0))</f>
        <v/>
      </c>
      <c r="BZ28">
        <f>INDEX(BZ$18:BZ$27,MATCH($B$1,$A$18:$A$27,0))</f>
        <v/>
      </c>
      <c r="CA28">
        <f>INDEX(CA$18:CA$27,MATCH($B$1,$A$18:$A$27,0))</f>
        <v/>
      </c>
      <c r="CB28">
        <f>INDEX(CB$18:CB$27,MATCH($B$1,$A$18:$A$27,0))</f>
        <v/>
      </c>
      <c r="CC28">
        <f>INDEX(CC$18:CC$27,MATCH($B$1,$A$18:$A$27,0))</f>
        <v/>
      </c>
      <c r="CD28">
        <f>INDEX(CD$18:CD$27,MATCH($B$1,$A$18:$A$27,0))</f>
        <v/>
      </c>
      <c r="CE28">
        <f>INDEX(CE$18:CE$27,MATCH($B$1,$A$18:$A$27,0))</f>
        <v/>
      </c>
      <c r="CF28">
        <f>INDEX(CF$18:CF$27,MATCH($B$1,$A$18:$A$27,0))</f>
        <v/>
      </c>
      <c r="CG28">
        <f>INDEX(CG$18:CG$27,MATCH($B$1,$A$18:$A$27,0))</f>
        <v/>
      </c>
      <c r="CH28">
        <f>INDEX(CH$18:CH$27,MATCH($B$1,$A$18:$A$27,0))</f>
        <v/>
      </c>
      <c r="CI28">
        <f>INDEX(CI$18:CI$27,MATCH($B$1,$A$18:$A$27,0))</f>
        <v/>
      </c>
      <c r="CJ28">
        <f>INDEX(CJ$18:CJ$27,MATCH($B$1,$A$18:$A$27,0))</f>
        <v/>
      </c>
      <c r="CK28">
        <f>INDEX(CK$18:CK$27,MATCH($B$1,$A$18:$A$27,0))</f>
        <v/>
      </c>
      <c r="CL28">
        <f>INDEX(CL$18:CL$27,MATCH($B$1,$A$18:$A$27,0))</f>
        <v/>
      </c>
      <c r="CM28">
        <f>INDEX(CM$18:CM$27,MATCH($B$1,$A$18:$A$27,0))</f>
        <v/>
      </c>
      <c r="CN28">
        <f>INDEX(CN$18:CN$27,MATCH($B$1,$A$18:$A$27,0))</f>
        <v/>
      </c>
      <c r="CO28">
        <f>INDEX(CO$18:CO$27,MATCH($B$1,$A$18:$A$27,0))</f>
        <v/>
      </c>
      <c r="CP28">
        <f>INDEX(CP$18:CP$27,MATCH($B$1,$A$18:$A$27,0))</f>
        <v/>
      </c>
      <c r="CQ28">
        <f>INDEX(CQ$18:CQ$27,MATCH($B$1,$A$18:$A$27,0))</f>
        <v/>
      </c>
      <c r="CR28">
        <f>INDEX(CR$18:CR$27,MATCH($B$1,$A$18:$A$27,0))</f>
        <v/>
      </c>
      <c r="CS28">
        <f>INDEX(CS$18:CS$27,MATCH($B$1,$A$18:$A$27,0))</f>
        <v/>
      </c>
      <c r="CT28">
        <f>INDEX(CT$18:CT$27,MATCH($B$1,$A$18:$A$27,0))</f>
        <v/>
      </c>
      <c r="CU28">
        <f>INDEX(CU$18:CU$27,MATCH($B$1,$A$18:$A$27,0))</f>
        <v/>
      </c>
      <c r="CV28">
        <f>INDEX(CV$18:CV$27,MATCH($B$1,$A$18:$A$27,0))</f>
        <v/>
      </c>
      <c r="CW28">
        <f>INDEX(CW$18:CW$27,MATCH($B$1,$A$18:$A$27,0))</f>
        <v/>
      </c>
      <c r="CX28">
        <f>INDEX(CX$18:CX$27,MATCH($B$1,$A$18:$A$27,0))</f>
        <v/>
      </c>
      <c r="CY28">
        <f>INDEX(CY$18:CY$27,MATCH($B$1,$A$18:$A$27,0))</f>
        <v/>
      </c>
      <c r="CZ28">
        <f>INDEX(CZ$18:CZ$27,MATCH($B$1,$A$18:$A$27,0))</f>
        <v/>
      </c>
      <c r="DA28">
        <f>INDEX(DA$18:DA$27,MATCH($B$1,$A$18:$A$27,0))</f>
        <v/>
      </c>
      <c r="DB28">
        <f>INDEX(DB$18:DB$27,MATCH($B$1,$A$18:$A$27,0))</f>
        <v/>
      </c>
      <c r="DC28">
        <f>INDEX(DC$18:DC$27,MATCH($B$1,$A$18:$A$27,0))</f>
        <v/>
      </c>
      <c r="DD28">
        <f>INDEX(DD$18:DD$27,MATCH($B$1,$A$18:$A$27,0))</f>
        <v/>
      </c>
      <c r="DE28">
        <f>INDEX(DE$18:DE$27,MATCH($B$1,$A$18:$A$27,0))</f>
        <v/>
      </c>
      <c r="DF28">
        <f>INDEX(DF$18:DF$27,MATCH($B$1,$A$18:$A$27,0))</f>
        <v/>
      </c>
      <c r="DG28">
        <f>INDEX(DG$18:DG$27,MATCH($B$1,$A$18:$A$27,0))</f>
        <v/>
      </c>
      <c r="DH28">
        <f>INDEX(DH$18:DH$27,MATCH($B$1,$A$18:$A$27,0))</f>
        <v/>
      </c>
      <c r="DI28">
        <f>INDEX(DI$18:DI$27,MATCH($B$1,$A$18:$A$27,0))</f>
        <v/>
      </c>
      <c r="DJ28">
        <f>INDEX(DJ$18:DJ$27,MATCH($B$1,$A$18:$A$27,0))</f>
        <v/>
      </c>
      <c r="DK28">
        <f>INDEX(DK$18:DK$27,MATCH($B$1,$A$18:$A$27,0))</f>
        <v/>
      </c>
      <c r="DL28">
        <f>INDEX(DL$18:DL$27,MATCH($B$1,$A$18:$A$27,0))</f>
        <v/>
      </c>
      <c r="DM28">
        <f>INDEX(DM$18:DM$27,MATCH($B$1,$A$18:$A$27,0))</f>
        <v/>
      </c>
      <c r="DN28">
        <f>INDEX(DN$18:DN$27,MATCH($B$1,$A$18:$A$27,0))</f>
        <v/>
      </c>
      <c r="DO28">
        <f>INDEX(DO$18:DO$27,MATCH($B$1,$A$18:$A$27,0))</f>
        <v/>
      </c>
      <c r="DP28">
        <f>INDEX(DP$18:DP$27,MATCH($B$1,$A$18:$A$27,0))</f>
        <v/>
      </c>
      <c r="DQ28">
        <f>INDEX(DQ$18:DQ$27,MATCH($B$1,$A$18:$A$27,0))</f>
        <v/>
      </c>
      <c r="DR28">
        <f>INDEX(DR$18:DR$27,MATCH($B$1,$A$18:$A$27,0))</f>
        <v/>
      </c>
      <c r="DS28">
        <f>INDEX(DS$18:DS$27,MATCH($B$1,$A$18:$A$27,0))</f>
        <v/>
      </c>
      <c r="DT28">
        <f>INDEX(DT$18:DT$27,MATCH($B$1,$A$18:$A$27,0))</f>
        <v/>
      </c>
      <c r="DU28">
        <f>INDEX(DU$18:DU$27,MATCH($B$1,$A$18:$A$27,0))</f>
        <v/>
      </c>
      <c r="DV28">
        <f>INDEX(DV$18:DV$27,MATCH($B$1,$A$18:$A$27,0))</f>
        <v/>
      </c>
      <c r="DW28">
        <f>INDEX(DW$18:DW$27,MATCH($B$1,$A$18:$A$27,0))</f>
        <v/>
      </c>
      <c r="DX28">
        <f>INDEX(DX$18:DX$27,MATCH($B$1,$A$18:$A$27,0))</f>
        <v/>
      </c>
      <c r="DY28">
        <f>INDEX(DY$18:DY$27,MATCH($B$1,$A$18:$A$27,0))</f>
        <v/>
      </c>
      <c r="DZ28">
        <f>INDEX(DZ$18:DZ$27,MATCH($B$1,$A$18:$A$27,0))</f>
        <v/>
      </c>
      <c r="EA28">
        <f>INDEX(EA$18:EA$27,MATCH($B$1,$A$18:$A$27,0))</f>
        <v/>
      </c>
      <c r="EB28">
        <f>INDEX(EB$18:EB$27,MATCH($B$1,$A$18:$A$27,0))</f>
        <v/>
      </c>
      <c r="EC28">
        <f>INDEX(EC$18:EC$27,MATCH($B$1,$A$18:$A$27,0))</f>
        <v/>
      </c>
      <c r="ED28">
        <f>INDEX(ED$18:ED$27,MATCH($B$1,$A$18:$A$27,0))</f>
        <v/>
      </c>
      <c r="EE28">
        <f>INDEX(EE$18:EE$27,MATCH($B$1,$A$18:$A$27,0))</f>
        <v/>
      </c>
      <c r="EF28">
        <f>INDEX(EF$18:EF$27,MATCH($B$1,$A$18:$A$27,0))</f>
        <v/>
      </c>
      <c r="EG28">
        <f>INDEX(EG$18:EG$27,MATCH($B$1,$A$18:$A$27,0))</f>
        <v/>
      </c>
      <c r="EH28">
        <f>INDEX(EH$18:EH$27,MATCH($B$1,$A$18:$A$27,0))</f>
        <v/>
      </c>
      <c r="EI28">
        <f>INDEX(EI$18:EI$27,MATCH($B$1,$A$18:$A$27,0))</f>
        <v/>
      </c>
      <c r="EJ28">
        <f>INDEX(EJ$18:EJ$27,MATCH($B$1,$A$18:$A$27,0))</f>
        <v/>
      </c>
      <c r="EK28">
        <f>INDEX(EK$18:EK$27,MATCH($B$1,$A$18:$A$27,0))</f>
        <v/>
      </c>
      <c r="EL28">
        <f>INDEX(EL$18:EL$27,MATCH($B$1,$A$18:$A$27,0))</f>
        <v/>
      </c>
      <c r="EM28">
        <f>INDEX(EM$18:EM$27,MATCH($B$1,$A$18:$A$27,0))</f>
        <v/>
      </c>
      <c r="EN28">
        <f>INDEX(EN$18:EN$27,MATCH($B$1,$A$18:$A$27,0))</f>
        <v/>
      </c>
      <c r="EO28">
        <f>INDEX(EO$18:EO$27,MATCH($B$1,$A$18:$A$27,0))</f>
        <v/>
      </c>
      <c r="EP28">
        <f>INDEX(EP$18:EP$27,MATCH($B$1,$A$18:$A$27,0))</f>
        <v/>
      </c>
      <c r="EQ28">
        <f>INDEX(EQ$18:EQ$27,MATCH($B$1,$A$18:$A$27,0))</f>
        <v/>
      </c>
      <c r="ER28">
        <f>INDEX(ER$18:ER$27,MATCH($B$1,$A$18:$A$27,0))</f>
        <v/>
      </c>
      <c r="ES28">
        <f>INDEX(ES$18:ES$27,MATCH($B$1,$A$18:$A$27,0))</f>
        <v/>
      </c>
      <c r="ET28">
        <f>INDEX(ET$18:ET$27,MATCH($B$1,$A$18:$A$27,0))</f>
        <v/>
      </c>
      <c r="EU28">
        <f>INDEX(EU$18:EU$27,MATCH($B$1,$A$18:$A$27,0))</f>
        <v/>
      </c>
      <c r="EV28">
        <f>INDEX(EV$18:EV$27,MATCH($B$1,$A$18:$A$27,0))</f>
        <v/>
      </c>
      <c r="EW28">
        <f>INDEX(EW$18:EW$27,MATCH($B$1,$A$18:$A$27,0))</f>
        <v/>
      </c>
      <c r="EX28">
        <f>INDEX(EX$18:EX$27,MATCH($B$1,$A$18:$A$27,0))</f>
        <v/>
      </c>
      <c r="EY28">
        <f>INDEX(EY$18:EY$27,MATCH($B$1,$A$18:$A$27,0))</f>
        <v/>
      </c>
      <c r="EZ28">
        <f>INDEX(EZ$18:EZ$27,MATCH($B$1,$A$18:$A$27,0))</f>
        <v/>
      </c>
      <c r="FA28">
        <f>INDEX(FA$18:FA$27,MATCH($B$1,$A$18:$A$27,0))</f>
        <v/>
      </c>
      <c r="FB28">
        <f>INDEX(FB$18:FB$27,MATCH($B$1,$A$18:$A$27,0))</f>
        <v/>
      </c>
      <c r="FC28">
        <f>INDEX(FC$18:FC$27,MATCH($B$1,$A$18:$A$27,0))</f>
        <v/>
      </c>
      <c r="FD28">
        <f>INDEX(FD$18:FD$27,MATCH($B$1,$A$18:$A$27,0))</f>
        <v/>
      </c>
      <c r="FE28">
        <f>INDEX(FE$18:FE$27,MATCH($B$1,$A$18:$A$27,0))</f>
        <v/>
      </c>
      <c r="FF28">
        <f>INDEX(FF$18:FF$27,MATCH($B$1,$A$18:$A$27,0))</f>
        <v/>
      </c>
      <c r="FG28">
        <f>INDEX(FG$18:FG$27,MATCH($B$1,$A$18:$A$27,0))</f>
        <v/>
      </c>
      <c r="FH28">
        <f>INDEX(FH$18:FH$27,MATCH($B$1,$A$18:$A$27,0))</f>
        <v/>
      </c>
      <c r="FI28">
        <f>INDEX(FI$18:FI$27,MATCH($B$1,$A$18:$A$27,0))</f>
        <v/>
      </c>
      <c r="FJ28">
        <f>INDEX(FJ$18:FJ$27,MATCH($B$1,$A$18:$A$27,0))</f>
        <v/>
      </c>
      <c r="FK28">
        <f>INDEX(FK$18:FK$27,MATCH($B$1,$A$18:$A$27,0))</f>
        <v/>
      </c>
      <c r="FL28">
        <f>INDEX(FL$18:FL$27,MATCH($B$1,$A$18:$A$27,0))</f>
        <v/>
      </c>
      <c r="FM28">
        <f>INDEX(FM$18:FM$27,MATCH($B$1,$A$18:$A$27,0))</f>
        <v/>
      </c>
      <c r="FN28">
        <f>INDEX(FN$18:FN$27,MATCH($B$1,$A$18:$A$27,0))</f>
        <v/>
      </c>
      <c r="FO28">
        <f>INDEX(FO$18:FO$27,MATCH($B$1,$A$18:$A$27,0))</f>
        <v/>
      </c>
      <c r="FP28">
        <f>INDEX(FP$18:FP$27,MATCH($B$1,$A$18:$A$27,0))</f>
        <v/>
      </c>
      <c r="FQ28">
        <f>INDEX(FQ$18:FQ$27,MATCH($B$1,$A$18:$A$27,0))</f>
        <v/>
      </c>
      <c r="FR28">
        <f>INDEX(FR$18:FR$27,MATCH($B$1,$A$18:$A$27,0))</f>
        <v/>
      </c>
      <c r="FS28">
        <f>INDEX(FS$18:FS$27,MATCH($B$1,$A$18:$A$27,0))</f>
        <v/>
      </c>
      <c r="FT28">
        <f>INDEX(FT$18:FT$27,MATCH($B$1,$A$18:$A$27,0))</f>
        <v/>
      </c>
      <c r="FU28">
        <f>INDEX(FU$18:FU$27,MATCH($B$1,$A$18:$A$27,0))</f>
        <v/>
      </c>
      <c r="FV28">
        <f>INDEX(FV$18:FV$27,MATCH($B$1,$A$18:$A$27,0))</f>
        <v/>
      </c>
      <c r="FW28">
        <f>INDEX(FW$18:FW$27,MATCH($B$1,$A$18:$A$27,0))</f>
        <v/>
      </c>
      <c r="FX28">
        <f>INDEX(FX$18:FX$27,MATCH($B$1,$A$18:$A$27,0))</f>
        <v/>
      </c>
      <c r="FY28">
        <f>INDEX(FY$18:FY$27,MATCH($B$1,$A$18:$A$27,0))</f>
        <v/>
      </c>
      <c r="FZ28">
        <f>INDEX(FZ$18:FZ$27,MATCH($B$1,$A$18:$A$27,0))</f>
        <v/>
      </c>
      <c r="GA28">
        <f>INDEX(GA$18:GA$27,MATCH($B$1,$A$18:$A$27,0))</f>
        <v/>
      </c>
      <c r="GB28">
        <f>INDEX(GB$18:GB$27,MATCH($B$1,$A$18:$A$27,0))</f>
        <v/>
      </c>
      <c r="GC28">
        <f>INDEX(GC$18:GC$27,MATCH($B$1,$A$18:$A$27,0))</f>
        <v/>
      </c>
      <c r="GD28">
        <f>INDEX(GD$18:GD$27,MATCH($B$1,$A$18:$A$27,0))</f>
        <v/>
      </c>
      <c r="GE28">
        <f>INDEX(GE$18:GE$27,MATCH($B$1,$A$18:$A$27,0))</f>
        <v/>
      </c>
      <c r="GF28">
        <f>INDEX(GF$18:GF$27,MATCH($B$1,$A$18:$A$27,0))</f>
        <v/>
      </c>
      <c r="GG28">
        <f>INDEX(GG$18:GG$27,MATCH($B$1,$A$18:$A$27,0))</f>
        <v/>
      </c>
      <c r="GH28">
        <f>INDEX(GH$18:GH$27,MATCH($B$1,$A$18:$A$27,0))</f>
        <v/>
      </c>
      <c r="GI28">
        <f>INDEX(GI$18:GI$27,MATCH($B$1,$A$18:$A$27,0))</f>
        <v/>
      </c>
      <c r="GJ28">
        <f>INDEX(GJ$18:GJ$27,MATCH($B$1,$A$18:$A$27,0))</f>
        <v/>
      </c>
      <c r="GK28">
        <f>INDEX(GK$18:GK$27,MATCH($B$1,$A$18:$A$27,0))</f>
        <v/>
      </c>
      <c r="GL28">
        <f>INDEX(GL$18:GL$27,MATCH($B$1,$A$18:$A$27,0))</f>
        <v/>
      </c>
      <c r="GM28">
        <f>INDEX(GM$18:GM$27,MATCH($B$1,$A$18:$A$27,0))</f>
        <v/>
      </c>
      <c r="GN28">
        <f>INDEX(GN$18:GN$27,MATCH($B$1,$A$18:$A$27,0))</f>
        <v/>
      </c>
      <c r="GO28">
        <f>INDEX(GO$18:GO$27,MATCH($B$1,$A$18:$A$27,0))</f>
        <v/>
      </c>
      <c r="GP28">
        <f>INDEX(GP$18:GP$27,MATCH($B$1,$A$18:$A$27,0))</f>
        <v/>
      </c>
      <c r="GQ28">
        <f>INDEX(GQ$18:GQ$27,MATCH($B$1,$A$18:$A$27,0))</f>
        <v/>
      </c>
      <c r="GR28">
        <f>INDEX(GR$18:GR$27,MATCH($B$1,$A$18:$A$27,0))</f>
        <v/>
      </c>
      <c r="GS28">
        <f>INDEX(GS$18:GS$27,MATCH($B$1,$A$18:$A$27,0))</f>
        <v/>
      </c>
      <c r="GT28">
        <f>INDEX(GT$18:GT$27,MATCH($B$1,$A$18:$A$27,0))</f>
        <v/>
      </c>
      <c r="GU28">
        <f>INDEX(GU$18:GU$27,MATCH($B$1,$A$18:$A$27,0))</f>
        <v/>
      </c>
      <c r="GV28">
        <f>INDEX(GV$18:GV$27,MATCH($B$1,$A$18:$A$27,0))</f>
        <v/>
      </c>
      <c r="GW28">
        <f>INDEX(GW$18:GW$27,MATCH($B$1,$A$18:$A$27,0))</f>
        <v/>
      </c>
      <c r="GX28">
        <f>INDEX(GX$18:GX$27,MATCH($B$1,$A$18:$A$27,0))</f>
        <v/>
      </c>
      <c r="GY28">
        <f>INDEX(GY$18:GY$27,MATCH($B$1,$A$18:$A$27,0))</f>
        <v/>
      </c>
      <c r="GZ28">
        <f>INDEX(GZ$18:GZ$27,MATCH($B$1,$A$18:$A$27,0))</f>
        <v/>
      </c>
      <c r="HA28">
        <f>INDEX(HA$18:HA$27,MATCH($B$1,$A$18:$A$27,0))</f>
        <v/>
      </c>
      <c r="HB28">
        <f>INDEX(HB$18:HB$27,MATCH($B$1,$A$18:$A$27,0))</f>
        <v/>
      </c>
      <c r="HC28">
        <f>INDEX(HC$18:HC$27,MATCH($B$1,$A$18:$A$27,0))</f>
        <v/>
      </c>
    </row>
    <row r="29">
      <c r="A29" s="1" t="inlineStr">
        <is>
          <t>Rang</t>
        </is>
      </c>
      <c r="B29">
        <f>RANK(B28,$B$28:$GQ$28,0)+COUNTIF($B$28:B28,B28)-1</f>
        <v/>
      </c>
      <c r="C29">
        <f>RANK(C28,$B$28:$GQ$28,0)+COUNTIF($B$28:C28,C28)-1</f>
        <v/>
      </c>
      <c r="D29">
        <f>RANK(D28,$B$28:$GQ$28,0)+COUNTIF($B$28:D28,D28)-1</f>
        <v/>
      </c>
      <c r="E29">
        <f>RANK(E28,$B$28:$GQ$28,0)+COUNTIF($B$28:E28,E28)-1</f>
        <v/>
      </c>
      <c r="F29">
        <f>RANK(F28,$B$28:$GQ$28,0)+COUNTIF($B$28:F28,F28)-1</f>
        <v/>
      </c>
      <c r="G29">
        <f>RANK(G28,$B$28:$GQ$28,0)+COUNTIF($B$28:G28,G28)-1</f>
        <v/>
      </c>
      <c r="H29">
        <f>RANK(H28,$B$28:$GQ$28,0)+COUNTIF($B$28:H28,H28)-1</f>
        <v/>
      </c>
      <c r="I29">
        <f>RANK(I28,$B$28:$GQ$28,0)+COUNTIF($B$28:I28,I28)-1</f>
        <v/>
      </c>
      <c r="J29">
        <f>RANK(J28,$B$28:$GQ$28,0)+COUNTIF($B$28:J28,J28)-1</f>
        <v/>
      </c>
      <c r="K29">
        <f>RANK(K28,$B$28:$GQ$28,0)+COUNTIF($B$28:K28,K28)-1</f>
        <v/>
      </c>
      <c r="L29">
        <f>RANK(L28,$B$28:$GQ$28,0)+COUNTIF($B$28:L28,L28)-1</f>
        <v/>
      </c>
      <c r="M29">
        <f>RANK(M28,$B$28:$GQ$28,0)+COUNTIF($B$28:M28,M28)-1</f>
        <v/>
      </c>
      <c r="N29">
        <f>RANK(N28,$B$28:$GQ$28,0)+COUNTIF($B$28:N28,N28)-1</f>
        <v/>
      </c>
      <c r="O29">
        <f>RANK(O28,$B$28:$GQ$28,0)+COUNTIF($B$28:O28,O28)-1</f>
        <v/>
      </c>
      <c r="P29">
        <f>RANK(P28,$B$28:$GQ$28,0)+COUNTIF($B$28:P28,P28)-1</f>
        <v/>
      </c>
      <c r="Q29">
        <f>RANK(Q28,$B$28:$GQ$28,0)+COUNTIF($B$28:Q28,Q28)-1</f>
        <v/>
      </c>
      <c r="R29">
        <f>RANK(R28,$B$28:$GQ$28,0)+COUNTIF($B$28:R28,R28)-1</f>
        <v/>
      </c>
      <c r="S29">
        <f>RANK(S28,$B$28:$GQ$28,0)+COUNTIF($B$28:S28,S28)-1</f>
        <v/>
      </c>
      <c r="T29">
        <f>RANK(T28,$B$28:$GQ$28,0)+COUNTIF($B$28:T28,T28)-1</f>
        <v/>
      </c>
      <c r="U29">
        <f>RANK(U28,$B$28:$GQ$28,0)+COUNTIF($B$28:U28,U28)-1</f>
        <v/>
      </c>
      <c r="V29">
        <f>RANK(V28,$B$28:$GQ$28,0)+COUNTIF($B$28:V28,V28)-1</f>
        <v/>
      </c>
      <c r="W29">
        <f>RANK(W28,$B$28:$GQ$28,0)+COUNTIF($B$28:W28,W28)-1</f>
        <v/>
      </c>
      <c r="X29">
        <f>RANK(X28,$B$28:$GQ$28,0)+COUNTIF($B$28:X28,X28)-1</f>
        <v/>
      </c>
      <c r="Y29">
        <f>RANK(Y28,$B$28:$GQ$28,0)+COUNTIF($B$28:Y28,Y28)-1</f>
        <v/>
      </c>
      <c r="Z29">
        <f>RANK(Z28,$B$28:$GQ$28,0)+COUNTIF($B$28:Z28,Z28)-1</f>
        <v/>
      </c>
      <c r="AA29">
        <f>RANK(AA28,$B$28:$GQ$28,0)+COUNTIF($B$28:AA28,AA28)-1</f>
        <v/>
      </c>
      <c r="AB29">
        <f>RANK(AB28,$B$28:$GQ$28,0)+COUNTIF($B$28:AB28,AB28)-1</f>
        <v/>
      </c>
      <c r="AC29">
        <f>RANK(AC28,$B$28:$GQ$28,0)+COUNTIF($B$28:AC28,AC28)-1</f>
        <v/>
      </c>
      <c r="AD29">
        <f>RANK(AD28,$B$28:$GQ$28,0)+COUNTIF($B$28:AD28,AD28)-1</f>
        <v/>
      </c>
      <c r="AE29">
        <f>RANK(AE28,$B$28:$GQ$28,0)+COUNTIF($B$28:AE28,AE28)-1</f>
        <v/>
      </c>
      <c r="AF29">
        <f>RANK(AF28,$B$28:$GQ$28,0)+COUNTIF($B$28:AF28,AF28)-1</f>
        <v/>
      </c>
      <c r="AG29">
        <f>RANK(AG28,$B$28:$GQ$28,0)+COUNTIF($B$28:AG28,AG28)-1</f>
        <v/>
      </c>
      <c r="AH29">
        <f>RANK(AH28,$B$28:$GQ$28,0)+COUNTIF($B$28:AH28,AH28)-1</f>
        <v/>
      </c>
      <c r="AI29">
        <f>RANK(AI28,$B$28:$GQ$28,0)+COUNTIF($B$28:AI28,AI28)-1</f>
        <v/>
      </c>
      <c r="AJ29">
        <f>RANK(AJ28,$B$28:$GQ$28,0)+COUNTIF($B$28:AJ28,AJ28)-1</f>
        <v/>
      </c>
      <c r="AK29">
        <f>RANK(AK28,$B$28:$GQ$28,0)+COUNTIF($B$28:AK28,AK28)-1</f>
        <v/>
      </c>
      <c r="AL29">
        <f>RANK(AL28,$B$28:$GQ$28,0)+COUNTIF($B$28:AL28,AL28)-1</f>
        <v/>
      </c>
      <c r="AM29">
        <f>RANK(AM28,$B$28:$GQ$28,0)+COUNTIF($B$28:AM28,AM28)-1</f>
        <v/>
      </c>
      <c r="AN29">
        <f>RANK(AN28,$B$28:$GQ$28,0)+COUNTIF($B$28:AN28,AN28)-1</f>
        <v/>
      </c>
      <c r="AO29">
        <f>RANK(AO28,$B$28:$GQ$28,0)+COUNTIF($B$28:AO28,AO28)-1</f>
        <v/>
      </c>
      <c r="AP29">
        <f>RANK(AP28,$B$28:$GQ$28,0)+COUNTIF($B$28:AP28,AP28)-1</f>
        <v/>
      </c>
      <c r="AQ29">
        <f>RANK(AQ28,$B$28:$GQ$28,0)+COUNTIF($B$28:AQ28,AQ28)-1</f>
        <v/>
      </c>
      <c r="AR29">
        <f>RANK(AR28,$B$28:$GQ$28,0)+COUNTIF($B$28:AR28,AR28)-1</f>
        <v/>
      </c>
      <c r="AS29">
        <f>RANK(AS28,$B$28:$GQ$28,0)+COUNTIF($B$28:AS28,AS28)-1</f>
        <v/>
      </c>
      <c r="AT29">
        <f>RANK(AT28,$B$28:$GQ$28,0)+COUNTIF($B$28:AT28,AT28)-1</f>
        <v/>
      </c>
      <c r="AU29">
        <f>RANK(AU28,$B$28:$GQ$28,0)+COUNTIF($B$28:AU28,AU28)-1</f>
        <v/>
      </c>
      <c r="AV29">
        <f>RANK(AV28,$B$28:$GQ$28,0)+COUNTIF($B$28:AV28,AV28)-1</f>
        <v/>
      </c>
      <c r="AW29">
        <f>RANK(AW28,$B$28:$GQ$28,0)+COUNTIF($B$28:AW28,AW28)-1</f>
        <v/>
      </c>
      <c r="AX29">
        <f>RANK(AX28,$B$28:$GQ$28,0)+COUNTIF($B$28:AX28,AX28)-1</f>
        <v/>
      </c>
      <c r="AY29">
        <f>RANK(AY28,$B$28:$GQ$28,0)+COUNTIF($B$28:AY28,AY28)-1</f>
        <v/>
      </c>
      <c r="AZ29">
        <f>RANK(AZ28,$B$28:$GQ$28,0)+COUNTIF($B$28:AZ28,AZ28)-1</f>
        <v/>
      </c>
      <c r="BA29">
        <f>RANK(BA28,$B$28:$GQ$28,0)+COUNTIF($B$28:BA28,BA28)-1</f>
        <v/>
      </c>
      <c r="BB29">
        <f>RANK(BB28,$B$28:$GQ$28,0)+COUNTIF($B$28:BB28,BB28)-1</f>
        <v/>
      </c>
      <c r="BC29">
        <f>RANK(BC28,$B$28:$GQ$28,0)+COUNTIF($B$28:BC28,BC28)-1</f>
        <v/>
      </c>
      <c r="BD29">
        <f>RANK(BD28,$B$28:$GQ$28,0)+COUNTIF($B$28:BD28,BD28)-1</f>
        <v/>
      </c>
      <c r="BE29">
        <f>RANK(BE28,$B$28:$GQ$28,0)+COUNTIF($B$28:BE28,BE28)-1</f>
        <v/>
      </c>
      <c r="BF29">
        <f>RANK(BF28,$B$28:$GQ$28,0)+COUNTIF($B$28:BF28,BF28)-1</f>
        <v/>
      </c>
      <c r="BG29">
        <f>RANK(BG28,$B$28:$GQ$28,0)+COUNTIF($B$28:BG28,BG28)-1</f>
        <v/>
      </c>
      <c r="BH29">
        <f>RANK(BH28,$B$28:$GQ$28,0)+COUNTIF($B$28:BH28,BH28)-1</f>
        <v/>
      </c>
      <c r="BI29">
        <f>RANK(BI28,$B$28:$GQ$28,0)+COUNTIF($B$28:BI28,BI28)-1</f>
        <v/>
      </c>
      <c r="BJ29">
        <f>RANK(BJ28,$B$28:$GQ$28,0)+COUNTIF($B$28:BJ28,BJ28)-1</f>
        <v/>
      </c>
      <c r="BK29">
        <f>RANK(BK28,$B$28:$GQ$28,0)+COUNTIF($B$28:BK28,BK28)-1</f>
        <v/>
      </c>
      <c r="BL29">
        <f>RANK(BL28,$B$28:$GQ$28,0)+COUNTIF($B$28:BL28,BL28)-1</f>
        <v/>
      </c>
      <c r="BM29">
        <f>RANK(BM28,$B$28:$GQ$28,0)+COUNTIF($B$28:BM28,BM28)-1</f>
        <v/>
      </c>
      <c r="BN29">
        <f>RANK(BN28,$B$28:$GQ$28,0)+COUNTIF($B$28:BN28,BN28)-1</f>
        <v/>
      </c>
      <c r="BO29">
        <f>RANK(BO28,$B$28:$GQ$28,0)+COUNTIF($B$28:BO28,BO28)-1</f>
        <v/>
      </c>
      <c r="BP29">
        <f>RANK(BP28,$B$28:$GQ$28,0)+COUNTIF($B$28:BP28,BP28)-1</f>
        <v/>
      </c>
      <c r="BQ29">
        <f>RANK(BQ28,$B$28:$GQ$28,0)+COUNTIF($B$28:BQ28,BQ28)-1</f>
        <v/>
      </c>
      <c r="BR29">
        <f>RANK(BR28,$B$28:$GQ$28,0)+COUNTIF($B$28:BR28,BR28)-1</f>
        <v/>
      </c>
      <c r="BS29">
        <f>RANK(BS28,$B$28:$GQ$28,0)+COUNTIF($B$28:BS28,BS28)-1</f>
        <v/>
      </c>
      <c r="BT29">
        <f>RANK(BT28,$B$28:$GQ$28,0)+COUNTIF($B$28:BT28,BT28)-1</f>
        <v/>
      </c>
      <c r="BU29">
        <f>RANK(BU28,$B$28:$GQ$28,0)+COUNTIF($B$28:BU28,BU28)-1</f>
        <v/>
      </c>
      <c r="BV29">
        <f>RANK(BV28,$B$28:$GQ$28,0)+COUNTIF($B$28:BV28,BV28)-1</f>
        <v/>
      </c>
      <c r="BW29">
        <f>RANK(BW28,$B$28:$GQ$28,0)+COUNTIF($B$28:BW28,BW28)-1</f>
        <v/>
      </c>
      <c r="BX29">
        <f>RANK(BX28,$B$28:$GQ$28,0)+COUNTIF($B$28:BX28,BX28)-1</f>
        <v/>
      </c>
      <c r="BY29">
        <f>RANK(BY28,$B$28:$GQ$28,0)+COUNTIF($B$28:BY28,BY28)-1</f>
        <v/>
      </c>
      <c r="BZ29">
        <f>RANK(BZ28,$B$28:$GQ$28,0)+COUNTIF($B$28:BZ28,BZ28)-1</f>
        <v/>
      </c>
      <c r="CA29">
        <f>RANK(CA28,$B$28:$GQ$28,0)+COUNTIF($B$28:CA28,CA28)-1</f>
        <v/>
      </c>
      <c r="CB29">
        <f>RANK(CB28,$B$28:$GQ$28,0)+COUNTIF($B$28:CB28,CB28)-1</f>
        <v/>
      </c>
      <c r="CC29">
        <f>RANK(CC28,$B$28:$GQ$28,0)+COUNTIF($B$28:CC28,CC28)-1</f>
        <v/>
      </c>
      <c r="CD29">
        <f>RANK(CD28,$B$28:$GQ$28,0)+COUNTIF($B$28:CD28,CD28)-1</f>
        <v/>
      </c>
      <c r="CE29">
        <f>RANK(CE28,$B$28:$GQ$28,0)+COUNTIF($B$28:CE28,CE28)-1</f>
        <v/>
      </c>
      <c r="CF29">
        <f>RANK(CF28,$B$28:$GQ$28,0)+COUNTIF($B$28:CF28,CF28)-1</f>
        <v/>
      </c>
      <c r="CG29">
        <f>RANK(CG28,$B$28:$GQ$28,0)+COUNTIF($B$28:CG28,CG28)-1</f>
        <v/>
      </c>
      <c r="CH29">
        <f>RANK(CH28,$B$28:$GQ$28,0)+COUNTIF($B$28:CH28,CH28)-1</f>
        <v/>
      </c>
      <c r="CI29">
        <f>RANK(CI28,$B$28:$GQ$28,0)+COUNTIF($B$28:CI28,CI28)-1</f>
        <v/>
      </c>
      <c r="CJ29">
        <f>RANK(CJ28,$B$28:$GQ$28,0)+COUNTIF($B$28:CJ28,CJ28)-1</f>
        <v/>
      </c>
      <c r="CK29">
        <f>RANK(CK28,$B$28:$GQ$28,0)+COUNTIF($B$28:CK28,CK28)-1</f>
        <v/>
      </c>
      <c r="CL29">
        <f>RANK(CL28,$B$28:$GQ$28,0)+COUNTIF($B$28:CL28,CL28)-1</f>
        <v/>
      </c>
      <c r="CM29">
        <f>RANK(CM28,$B$28:$GQ$28,0)+COUNTIF($B$28:CM28,CM28)-1</f>
        <v/>
      </c>
      <c r="CN29">
        <f>RANK(CN28,$B$28:$GQ$28,0)+COUNTIF($B$28:CN28,CN28)-1</f>
        <v/>
      </c>
      <c r="CO29">
        <f>RANK(CO28,$B$28:$GQ$28,0)+COUNTIF($B$28:CO28,CO28)-1</f>
        <v/>
      </c>
      <c r="CP29">
        <f>RANK(CP28,$B$28:$GQ$28,0)+COUNTIF($B$28:CP28,CP28)-1</f>
        <v/>
      </c>
      <c r="CQ29">
        <f>RANK(CQ28,$B$28:$GQ$28,0)+COUNTIF($B$28:CQ28,CQ28)-1</f>
        <v/>
      </c>
      <c r="CR29">
        <f>RANK(CR28,$B$28:$GQ$28,0)+COUNTIF($B$28:CR28,CR28)-1</f>
        <v/>
      </c>
      <c r="CS29">
        <f>RANK(CS28,$B$28:$GQ$28,0)+COUNTIF($B$28:CS28,CS28)-1</f>
        <v/>
      </c>
      <c r="CT29">
        <f>RANK(CT28,$B$28:$GQ$28,0)+COUNTIF($B$28:CT28,CT28)-1</f>
        <v/>
      </c>
      <c r="CU29">
        <f>RANK(CU28,$B$28:$GQ$28,0)+COUNTIF($B$28:CU28,CU28)-1</f>
        <v/>
      </c>
      <c r="CV29">
        <f>RANK(CV28,$B$28:$GQ$28,0)+COUNTIF($B$28:CV28,CV28)-1</f>
        <v/>
      </c>
      <c r="CW29">
        <f>RANK(CW28,$B$28:$GQ$28,0)+COUNTIF($B$28:CW28,CW28)-1</f>
        <v/>
      </c>
      <c r="CX29">
        <f>RANK(CX28,$B$28:$GQ$28,0)+COUNTIF($B$28:CX28,CX28)-1</f>
        <v/>
      </c>
      <c r="CY29">
        <f>RANK(CY28,$B$28:$GQ$28,0)+COUNTIF($B$28:CY28,CY28)-1</f>
        <v/>
      </c>
      <c r="CZ29">
        <f>RANK(CZ28,$B$28:$GQ$28,0)+COUNTIF($B$28:CZ28,CZ28)-1</f>
        <v/>
      </c>
      <c r="DA29">
        <f>RANK(DA28,$B$28:$GQ$28,0)+COUNTIF($B$28:DA28,DA28)-1</f>
        <v/>
      </c>
      <c r="DB29">
        <f>RANK(DB28,$B$28:$GQ$28,0)+COUNTIF($B$28:DB28,DB28)-1</f>
        <v/>
      </c>
      <c r="DC29">
        <f>RANK(DC28,$B$28:$GQ$28,0)+COUNTIF($B$28:DC28,DC28)-1</f>
        <v/>
      </c>
      <c r="DD29">
        <f>RANK(DD28,$B$28:$GQ$28,0)+COUNTIF($B$28:DD28,DD28)-1</f>
        <v/>
      </c>
      <c r="DE29">
        <f>RANK(DE28,$B$28:$GQ$28,0)+COUNTIF($B$28:DE28,DE28)-1</f>
        <v/>
      </c>
      <c r="DF29">
        <f>RANK(DF28,$B$28:$GQ$28,0)+COUNTIF($B$28:DF28,DF28)-1</f>
        <v/>
      </c>
      <c r="DG29">
        <f>RANK(DG28,$B$28:$GQ$28,0)+COUNTIF($B$28:DG28,DG28)-1</f>
        <v/>
      </c>
      <c r="DH29">
        <f>RANK(DH28,$B$28:$GQ$28,0)+COUNTIF($B$28:DH28,DH28)-1</f>
        <v/>
      </c>
      <c r="DI29">
        <f>RANK(DI28,$B$28:$GQ$28,0)+COUNTIF($B$28:DI28,DI28)-1</f>
        <v/>
      </c>
      <c r="DJ29">
        <f>RANK(DJ28,$B$28:$GQ$28,0)+COUNTIF($B$28:DJ28,DJ28)-1</f>
        <v/>
      </c>
      <c r="DK29">
        <f>RANK(DK28,$B$28:$GQ$28,0)+COUNTIF($B$28:DK28,DK28)-1</f>
        <v/>
      </c>
      <c r="DL29">
        <f>RANK(DL28,$B$28:$GQ$28,0)+COUNTIF($B$28:DL28,DL28)-1</f>
        <v/>
      </c>
      <c r="DM29">
        <f>RANK(DM28,$B$28:$GQ$28,0)+COUNTIF($B$28:DM28,DM28)-1</f>
        <v/>
      </c>
      <c r="DN29">
        <f>RANK(DN28,$B$28:$GQ$28,0)+COUNTIF($B$28:DN28,DN28)-1</f>
        <v/>
      </c>
      <c r="DO29">
        <f>RANK(DO28,$B$28:$GQ$28,0)+COUNTIF($B$28:DO28,DO28)-1</f>
        <v/>
      </c>
      <c r="DP29">
        <f>RANK(DP28,$B$28:$GQ$28,0)+COUNTIF($B$28:DP28,DP28)-1</f>
        <v/>
      </c>
      <c r="DQ29">
        <f>RANK(DQ28,$B$28:$GQ$28,0)+COUNTIF($B$28:DQ28,DQ28)-1</f>
        <v/>
      </c>
      <c r="DR29">
        <f>RANK(DR28,$B$28:$GQ$28,0)+COUNTIF($B$28:DR28,DR28)-1</f>
        <v/>
      </c>
      <c r="DS29">
        <f>RANK(DS28,$B$28:$GQ$28,0)+COUNTIF($B$28:DS28,DS28)-1</f>
        <v/>
      </c>
      <c r="DT29">
        <f>RANK(DT28,$B$28:$GQ$28,0)+COUNTIF($B$28:DT28,DT28)-1</f>
        <v/>
      </c>
      <c r="DU29">
        <f>RANK(DU28,$B$28:$GQ$28,0)+COUNTIF($B$28:DU28,DU28)-1</f>
        <v/>
      </c>
      <c r="DV29">
        <f>RANK(DV28,$B$28:$GQ$28,0)+COUNTIF($B$28:DV28,DV28)-1</f>
        <v/>
      </c>
      <c r="DW29">
        <f>RANK(DW28,$B$28:$GQ$28,0)+COUNTIF($B$28:DW28,DW28)-1</f>
        <v/>
      </c>
      <c r="DX29">
        <f>RANK(DX28,$B$28:$GQ$28,0)+COUNTIF($B$28:DX28,DX28)-1</f>
        <v/>
      </c>
      <c r="DY29">
        <f>RANK(DY28,$B$28:$GQ$28,0)+COUNTIF($B$28:DY28,DY28)-1</f>
        <v/>
      </c>
      <c r="DZ29">
        <f>RANK(DZ28,$B$28:$GQ$28,0)+COUNTIF($B$28:DZ28,DZ28)-1</f>
        <v/>
      </c>
      <c r="EA29">
        <f>RANK(EA28,$B$28:$GQ$28,0)+COUNTIF($B$28:EA28,EA28)-1</f>
        <v/>
      </c>
      <c r="EB29">
        <f>RANK(EB28,$B$28:$GQ$28,0)+COUNTIF($B$28:EB28,EB28)-1</f>
        <v/>
      </c>
      <c r="EC29">
        <f>RANK(EC28,$B$28:$GQ$28,0)+COUNTIF($B$28:EC28,EC28)-1</f>
        <v/>
      </c>
      <c r="ED29">
        <f>RANK(ED28,$B$28:$GQ$28,0)+COUNTIF($B$28:ED28,ED28)-1</f>
        <v/>
      </c>
      <c r="EE29">
        <f>RANK(EE28,$B$28:$GQ$28,0)+COUNTIF($B$28:EE28,EE28)-1</f>
        <v/>
      </c>
      <c r="EF29">
        <f>RANK(EF28,$B$28:$GQ$28,0)+COUNTIF($B$28:EF28,EF28)-1</f>
        <v/>
      </c>
      <c r="EG29">
        <f>RANK(EG28,$B$28:$GQ$28,0)+COUNTIF($B$28:EG28,EG28)-1</f>
        <v/>
      </c>
      <c r="EH29">
        <f>RANK(EH28,$B$28:$GQ$28,0)+COUNTIF($B$28:EH28,EH28)-1</f>
        <v/>
      </c>
      <c r="EI29">
        <f>RANK(EI28,$B$28:$GQ$28,0)+COUNTIF($B$28:EI28,EI28)-1</f>
        <v/>
      </c>
      <c r="EJ29">
        <f>RANK(EJ28,$B$28:$GQ$28,0)+COUNTIF($B$28:EJ28,EJ28)-1</f>
        <v/>
      </c>
      <c r="EK29">
        <f>RANK(EK28,$B$28:$GQ$28,0)+COUNTIF($B$28:EK28,EK28)-1</f>
        <v/>
      </c>
      <c r="EL29">
        <f>RANK(EL28,$B$28:$GQ$28,0)+COUNTIF($B$28:EL28,EL28)-1</f>
        <v/>
      </c>
      <c r="EM29">
        <f>RANK(EM28,$B$28:$GQ$28,0)+COUNTIF($B$28:EM28,EM28)-1</f>
        <v/>
      </c>
      <c r="EN29">
        <f>RANK(EN28,$B$28:$GQ$28,0)+COUNTIF($B$28:EN28,EN28)-1</f>
        <v/>
      </c>
      <c r="EO29">
        <f>RANK(EO28,$B$28:$GQ$28,0)+COUNTIF($B$28:EO28,EO28)-1</f>
        <v/>
      </c>
      <c r="EP29">
        <f>RANK(EP28,$B$28:$GQ$28,0)+COUNTIF($B$28:EP28,EP28)-1</f>
        <v/>
      </c>
      <c r="EQ29">
        <f>RANK(EQ28,$B$28:$GQ$28,0)+COUNTIF($B$28:EQ28,EQ28)-1</f>
        <v/>
      </c>
      <c r="ER29">
        <f>RANK(ER28,$B$28:$GQ$28,0)+COUNTIF($B$28:ER28,ER28)-1</f>
        <v/>
      </c>
      <c r="ES29">
        <f>RANK(ES28,$B$28:$GQ$28,0)+COUNTIF($B$28:ES28,ES28)-1</f>
        <v/>
      </c>
      <c r="ET29">
        <f>RANK(ET28,$B$28:$GQ$28,0)+COUNTIF($B$28:ET28,ET28)-1</f>
        <v/>
      </c>
      <c r="EU29">
        <f>RANK(EU28,$B$28:$GQ$28,0)+COUNTIF($B$28:EU28,EU28)-1</f>
        <v/>
      </c>
      <c r="EV29">
        <f>RANK(EV28,$B$28:$GQ$28,0)+COUNTIF($B$28:EV28,EV28)-1</f>
        <v/>
      </c>
      <c r="EW29">
        <f>RANK(EW28,$B$28:$GQ$28,0)+COUNTIF($B$28:EW28,EW28)-1</f>
        <v/>
      </c>
      <c r="EX29">
        <f>RANK(EX28,$B$28:$GQ$28,0)+COUNTIF($B$28:EX28,EX28)-1</f>
        <v/>
      </c>
      <c r="EY29">
        <f>RANK(EY28,$B$28:$GQ$28,0)+COUNTIF($B$28:EY28,EY28)-1</f>
        <v/>
      </c>
      <c r="EZ29">
        <f>RANK(EZ28,$B$28:$GQ$28,0)+COUNTIF($B$28:EZ28,EZ28)-1</f>
        <v/>
      </c>
      <c r="FA29">
        <f>RANK(FA28,$B$28:$GQ$28,0)+COUNTIF($B$28:FA28,FA28)-1</f>
        <v/>
      </c>
      <c r="FB29">
        <f>RANK(FB28,$B$28:$GQ$28,0)+COUNTIF($B$28:FB28,FB28)-1</f>
        <v/>
      </c>
      <c r="FC29">
        <f>RANK(FC28,$B$28:$GQ$28,0)+COUNTIF($B$28:FC28,FC28)-1</f>
        <v/>
      </c>
      <c r="FD29">
        <f>RANK(FD28,$B$28:$GQ$28,0)+COUNTIF($B$28:FD28,FD28)-1</f>
        <v/>
      </c>
      <c r="FE29">
        <f>RANK(FE28,$B$28:$GQ$28,0)+COUNTIF($B$28:FE28,FE28)-1</f>
        <v/>
      </c>
      <c r="FF29">
        <f>RANK(FF28,$B$28:$GQ$28,0)+COUNTIF($B$28:FF28,FF28)-1</f>
        <v/>
      </c>
      <c r="FG29">
        <f>RANK(FG28,$B$28:$GQ$28,0)+COUNTIF($B$28:FG28,FG28)-1</f>
        <v/>
      </c>
      <c r="FH29">
        <f>RANK(FH28,$B$28:$GQ$28,0)+COUNTIF($B$28:FH28,FH28)-1</f>
        <v/>
      </c>
      <c r="FI29">
        <f>RANK(FI28,$B$28:$GQ$28,0)+COUNTIF($B$28:FI28,FI28)-1</f>
        <v/>
      </c>
      <c r="FJ29">
        <f>RANK(FJ28,$B$28:$GQ$28,0)+COUNTIF($B$28:FJ28,FJ28)-1</f>
        <v/>
      </c>
      <c r="FK29">
        <f>RANK(FK28,$B$28:$GQ$28,0)+COUNTIF($B$28:FK28,FK28)-1</f>
        <v/>
      </c>
      <c r="FL29">
        <f>RANK(FL28,$B$28:$GQ$28,0)+COUNTIF($B$28:FL28,FL28)-1</f>
        <v/>
      </c>
      <c r="FM29">
        <f>RANK(FM28,$B$28:$GQ$28,0)+COUNTIF($B$28:FM28,FM28)-1</f>
        <v/>
      </c>
      <c r="FN29">
        <f>RANK(FN28,$B$28:$GQ$28,0)+COUNTIF($B$28:FN28,FN28)-1</f>
        <v/>
      </c>
      <c r="FO29">
        <f>RANK(FO28,$B$28:$GQ$28,0)+COUNTIF($B$28:FO28,FO28)-1</f>
        <v/>
      </c>
      <c r="FP29">
        <f>RANK(FP28,$B$28:$GQ$28,0)+COUNTIF($B$28:FP28,FP28)-1</f>
        <v/>
      </c>
      <c r="FQ29">
        <f>RANK(FQ28,$B$28:$GQ$28,0)+COUNTIF($B$28:FQ28,FQ28)-1</f>
        <v/>
      </c>
      <c r="FR29">
        <f>RANK(FR28,$B$28:$GQ$28,0)+COUNTIF($B$28:FR28,FR28)-1</f>
        <v/>
      </c>
      <c r="FS29">
        <f>RANK(FS28,$B$28:$GQ$28,0)+COUNTIF($B$28:FS28,FS28)-1</f>
        <v/>
      </c>
      <c r="FT29">
        <f>RANK(FT28,$B$28:$GQ$28,0)+COUNTIF($B$28:FT28,FT28)-1</f>
        <v/>
      </c>
      <c r="FU29">
        <f>RANK(FU28,$B$28:$GQ$28,0)+COUNTIF($B$28:FU28,FU28)-1</f>
        <v/>
      </c>
      <c r="FV29">
        <f>RANK(FV28,$B$28:$GQ$28,0)+COUNTIF($B$28:FV28,FV28)-1</f>
        <v/>
      </c>
      <c r="FW29">
        <f>RANK(FW28,$B$28:$GQ$28,0)+COUNTIF($B$28:FW28,FW28)-1</f>
        <v/>
      </c>
      <c r="FX29">
        <f>RANK(FX28,$B$28:$GQ$28,0)+COUNTIF($B$28:FX28,FX28)-1</f>
        <v/>
      </c>
      <c r="FY29">
        <f>RANK(FY28,$B$28:$GQ$28,0)+COUNTIF($B$28:FY28,FY28)-1</f>
        <v/>
      </c>
      <c r="FZ29">
        <f>RANK(FZ28,$B$28:$GQ$28,0)+COUNTIF($B$28:FZ28,FZ28)-1</f>
        <v/>
      </c>
      <c r="GA29">
        <f>RANK(GA28,$B$28:$GQ$28,0)+COUNTIF($B$28:GA28,GA28)-1</f>
        <v/>
      </c>
      <c r="GB29">
        <f>RANK(GB28,$B$28:$GQ$28,0)+COUNTIF($B$28:GB28,GB28)-1</f>
        <v/>
      </c>
      <c r="GC29">
        <f>RANK(GC28,$B$28:$GQ$28,0)+COUNTIF($B$28:GC28,GC28)-1</f>
        <v/>
      </c>
      <c r="GD29">
        <f>RANK(GD28,$B$28:$GQ$28,0)+COUNTIF($B$28:GD28,GD28)-1</f>
        <v/>
      </c>
      <c r="GE29">
        <f>RANK(GE28,$B$28:$GQ$28,0)+COUNTIF($B$28:GE28,GE28)-1</f>
        <v/>
      </c>
      <c r="GF29">
        <f>RANK(GF28,$B$28:$GQ$28,0)+COUNTIF($B$28:GF28,GF28)-1</f>
        <v/>
      </c>
      <c r="GG29">
        <f>RANK(GG28,$B$28:$GQ$28,0)+COUNTIF($B$28:GG28,GG28)-1</f>
        <v/>
      </c>
      <c r="GH29">
        <f>RANK(GH28,$B$28:$GQ$28,0)+COUNTIF($B$28:GH28,GH28)-1</f>
        <v/>
      </c>
      <c r="GI29">
        <f>RANK(GI28,$B$28:$GQ$28,0)+COUNTIF($B$28:GI28,GI28)-1</f>
        <v/>
      </c>
      <c r="GJ29">
        <f>RANK(GJ28,$B$28:$GQ$28,0)+COUNTIF($B$28:GJ28,GJ28)-1</f>
        <v/>
      </c>
      <c r="GK29">
        <f>RANK(GK28,$B$28:$GQ$28,0)+COUNTIF($B$28:GK28,GK28)-1</f>
        <v/>
      </c>
      <c r="GL29">
        <f>RANK(GL28,$B$28:$GQ$28,0)+COUNTIF($B$28:GL28,GL28)-1</f>
        <v/>
      </c>
      <c r="GM29">
        <f>RANK(GM28,$B$28:$GQ$28,0)+COUNTIF($B$28:GM28,GM28)-1</f>
        <v/>
      </c>
      <c r="GN29">
        <f>RANK(GN28,$B$28:$GQ$28,0)+COUNTIF($B$28:GN28,GN28)-1</f>
        <v/>
      </c>
      <c r="GO29">
        <f>RANK(GO28,$B$28:$GQ$28,0)+COUNTIF($B$28:GO28,GO28)-1</f>
        <v/>
      </c>
      <c r="GP29">
        <f>RANK(GP28,$B$28:$GQ$28,0)+COUNTIF($B$28:GP28,GP28)-1</f>
        <v/>
      </c>
      <c r="GQ29">
        <f>RANK(GQ28,$B$28:$GQ$28,0)+COUNTIF($B$28:GQ28,GQ28)-1</f>
        <v/>
      </c>
    </row>
    <row r="30">
      <c r="A30" s="1" t="inlineStr">
        <is>
          <t>Rang (catégories)</t>
        </is>
      </c>
      <c r="GR30">
        <f>RANK(GR28,$GR$28:$HC$28,0)+COUNTIF($GR$28:GR28,GR28)-1</f>
        <v/>
      </c>
      <c r="GS30">
        <f>RANK(GS28,$GR$28:$HC$28,0)+COUNTIF($GR$28:GS28,GS28)-1</f>
        <v/>
      </c>
      <c r="GT30">
        <f>RANK(GT28,$GR$28:$HC$28,0)+COUNTIF($GR$28:GT28,GT28)-1</f>
        <v/>
      </c>
      <c r="GU30">
        <f>RANK(GU28,$GR$28:$HC$28,0)+COUNTIF($GR$28:GU28,GU28)-1</f>
        <v/>
      </c>
      <c r="GV30">
        <f>RANK(GV28,$GR$28:$HC$28,0)+COUNTIF($GR$28:GV28,GV28)-1</f>
        <v/>
      </c>
      <c r="GW30">
        <f>RANK(GW28,$GR$28:$HC$28,0)+COUNTIF($GR$28:GW28,GW28)-1</f>
        <v/>
      </c>
      <c r="GX30">
        <f>RANK(GX28,$GR$28:$HC$28,0)+COUNTIF($GR$28:GX28,GX28)-1</f>
        <v/>
      </c>
      <c r="GY30">
        <f>RANK(GY28,$GR$28:$HC$28,0)+COUNTIF($GR$28:GY28,GY28)-1</f>
        <v/>
      </c>
      <c r="GZ30">
        <f>RANK(GZ28,$GR$28:$HC$28,0)+COUNTIF($GR$28:GZ28,GZ28)-1</f>
        <v/>
      </c>
      <c r="HA30">
        <f>RANK(HA28,$GR$28:$HC$28,0)+COUNTIF($GR$28:HA28,HA28)-1</f>
        <v/>
      </c>
      <c r="HB30">
        <f>RANK(HB28,$GR$28:$HC$28,0)+COUNTIF($GR$28:HB28,HB28)-1</f>
        <v/>
      </c>
      <c r="HC30">
        <f>RANK(HC28,$GR$28:$HC$28,0)+COUNTIF($GR$28:HC28,HC28)-1</f>
        <v/>
      </c>
    </row>
  </sheetData>
  <dataValidations count="1">
    <dataValidation sqref="B1" showDropDown="0" showInputMessage="0" showErrorMessage="0" allowBlank="0" type="list">
      <formula1>=$A$18:$A$27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Trier secteurs et catégories par (ordre décroissant) :</t>
        </is>
      </c>
      <c r="B1" s="2" t="inlineStr">
        <is>
          <t>M_imp*Y_dom+M_dom*Y_dom+M_row*Y_imp</t>
        </is>
      </c>
    </row>
    <row r="3">
      <c r="A3" s="1" t="inlineStr">
        <is>
          <t>Cropland use</t>
        </is>
      </c>
      <c r="B3" s="1">
        <f>INDEX($B$17:$GQ$17,MATCH(1,$B$29:$GQ$29,0))</f>
        <v/>
      </c>
      <c r="C3" s="1">
        <f>INDEX($B$17:$GQ$17,MATCH(2,$B$29:$GQ$29,0))</f>
        <v/>
      </c>
      <c r="D3" s="1">
        <f>INDEX($B$17:$GQ$17,MATCH(3,$B$29:$GQ$29,0))</f>
        <v/>
      </c>
      <c r="E3" s="1">
        <f>INDEX($B$17:$GQ$17,MATCH(4,$B$29:$GQ$29,0))</f>
        <v/>
      </c>
      <c r="F3" s="1">
        <f>INDEX($B$17:$GQ$17,MATCH(5,$B$29:$GQ$29,0))</f>
        <v/>
      </c>
      <c r="G3" s="1">
        <f>INDEX($B$17:$GQ$17,MATCH(6,$B$29:$GQ$29,0))</f>
        <v/>
      </c>
      <c r="H3" s="1">
        <f>INDEX($B$17:$GQ$17,MATCH(7,$B$29:$GQ$29,0))</f>
        <v/>
      </c>
      <c r="I3" s="1">
        <f>INDEX($B$17:$GQ$17,MATCH(8,$B$29:$GQ$29,0))</f>
        <v/>
      </c>
      <c r="J3" s="1">
        <f>INDEX($B$17:$GQ$17,MATCH(9,$B$29:$GQ$29,0))</f>
        <v/>
      </c>
      <c r="K3" s="1">
        <f>INDEX($B$17:$GQ$17,MATCH(10,$B$29:$GQ$29,0))</f>
        <v/>
      </c>
      <c r="L3" s="1">
        <f>INDEX($B$17:$GQ$17,MATCH(11,$B$29:$GQ$29,0))</f>
        <v/>
      </c>
      <c r="M3" s="1">
        <f>INDEX($B$17:$GQ$17,MATCH(12,$B$29:$GQ$29,0))</f>
        <v/>
      </c>
      <c r="N3" s="1">
        <f>INDEX($B$17:$GQ$17,MATCH(13,$B$29:$GQ$29,0))</f>
        <v/>
      </c>
      <c r="O3" s="1">
        <f>INDEX($B$17:$GQ$17,MATCH(14,$B$29:$GQ$29,0))</f>
        <v/>
      </c>
      <c r="P3" s="1">
        <f>INDEX($B$17:$GQ$17,MATCH(15,$B$29:$GQ$29,0))</f>
        <v/>
      </c>
      <c r="Q3" s="1">
        <f>INDEX($B$17:$GQ$17,MATCH(16,$B$29:$GQ$29,0))</f>
        <v/>
      </c>
      <c r="R3" s="1">
        <f>INDEX($B$17:$GQ$17,MATCH(17,$B$29:$GQ$29,0))</f>
        <v/>
      </c>
      <c r="S3" s="1">
        <f>INDEX($B$17:$GQ$17,MATCH(18,$B$29:$GQ$29,0))</f>
        <v/>
      </c>
      <c r="T3" s="1">
        <f>INDEX($B$17:$GQ$17,MATCH(19,$B$29:$GQ$29,0))</f>
        <v/>
      </c>
      <c r="U3" s="1">
        <f>INDEX($B$17:$GQ$17,MATCH(20,$B$29:$GQ$29,0))</f>
        <v/>
      </c>
      <c r="V3" s="1">
        <f>INDEX($B$17:$GQ$17,MATCH(21,$B$29:$GQ$29,0))</f>
        <v/>
      </c>
      <c r="W3" s="1">
        <f>INDEX($B$17:$GQ$17,MATCH(22,$B$29:$GQ$29,0))</f>
        <v/>
      </c>
      <c r="X3" s="1">
        <f>INDEX($B$17:$GQ$17,MATCH(23,$B$29:$GQ$29,0))</f>
        <v/>
      </c>
      <c r="Y3" s="1">
        <f>INDEX($B$17:$GQ$17,MATCH(24,$B$29:$GQ$29,0))</f>
        <v/>
      </c>
      <c r="Z3" s="1">
        <f>INDEX($B$17:$GQ$17,MATCH(25,$B$29:$GQ$29,0))</f>
        <v/>
      </c>
      <c r="AA3" s="1">
        <f>INDEX($B$17:$GQ$17,MATCH(26,$B$29:$GQ$29,0))</f>
        <v/>
      </c>
      <c r="AB3" s="1">
        <f>INDEX($B$17:$GQ$17,MATCH(27,$B$29:$GQ$29,0))</f>
        <v/>
      </c>
      <c r="AC3" s="1">
        <f>INDEX($B$17:$GQ$17,MATCH(28,$B$29:$GQ$29,0))</f>
        <v/>
      </c>
      <c r="AD3" s="1">
        <f>INDEX($B$17:$GQ$17,MATCH(29,$B$29:$GQ$29,0))</f>
        <v/>
      </c>
      <c r="AE3" s="1">
        <f>INDEX($B$17:$GQ$17,MATCH(30,$B$29:$GQ$29,0))</f>
        <v/>
      </c>
      <c r="AF3" s="1">
        <f>INDEX($B$17:$GQ$17,MATCH(31,$B$29:$GQ$29,0))</f>
        <v/>
      </c>
      <c r="AG3" s="1">
        <f>INDEX($B$17:$GQ$17,MATCH(32,$B$29:$GQ$29,0))</f>
        <v/>
      </c>
      <c r="AH3" s="1">
        <f>INDEX($B$17:$GQ$17,MATCH(33,$B$29:$GQ$29,0))</f>
        <v/>
      </c>
      <c r="AI3" s="1">
        <f>INDEX($B$17:$GQ$17,MATCH(34,$B$29:$GQ$29,0))</f>
        <v/>
      </c>
      <c r="AJ3" s="1">
        <f>INDEX($B$17:$GQ$17,MATCH(35,$B$29:$GQ$29,0))</f>
        <v/>
      </c>
      <c r="AK3" s="1">
        <f>INDEX($B$17:$GQ$17,MATCH(36,$B$29:$GQ$29,0))</f>
        <v/>
      </c>
      <c r="AL3" s="1">
        <f>INDEX($B$17:$GQ$17,MATCH(37,$B$29:$GQ$29,0))</f>
        <v/>
      </c>
      <c r="AM3" s="1">
        <f>INDEX($B$17:$GQ$17,MATCH(38,$B$29:$GQ$29,0))</f>
        <v/>
      </c>
      <c r="AN3" s="1">
        <f>INDEX($B$17:$GQ$17,MATCH(39,$B$29:$GQ$29,0))</f>
        <v/>
      </c>
      <c r="AO3" s="1">
        <f>INDEX($B$17:$GQ$17,MATCH(40,$B$29:$GQ$29,0))</f>
        <v/>
      </c>
      <c r="AP3" s="1">
        <f>INDEX($B$17:$GQ$17,MATCH(41,$B$29:$GQ$29,0))</f>
        <v/>
      </c>
      <c r="AQ3" s="1">
        <f>INDEX($B$17:$GQ$17,MATCH(42,$B$29:$GQ$29,0))</f>
        <v/>
      </c>
      <c r="AR3" s="1">
        <f>INDEX($B$17:$GQ$17,MATCH(43,$B$29:$GQ$29,0))</f>
        <v/>
      </c>
      <c r="AS3" s="1">
        <f>INDEX($B$17:$GQ$17,MATCH(44,$B$29:$GQ$29,0))</f>
        <v/>
      </c>
      <c r="AT3" s="1">
        <f>INDEX($B$17:$GQ$17,MATCH(45,$B$29:$GQ$29,0))</f>
        <v/>
      </c>
      <c r="AU3" s="1">
        <f>INDEX($B$17:$GQ$17,MATCH(46,$B$29:$GQ$29,0))</f>
        <v/>
      </c>
      <c r="AV3" s="1">
        <f>INDEX($B$17:$GQ$17,MATCH(47,$B$29:$GQ$29,0))</f>
        <v/>
      </c>
      <c r="AW3" s="1">
        <f>INDEX($B$17:$GQ$17,MATCH(48,$B$29:$GQ$29,0))</f>
        <v/>
      </c>
      <c r="AX3" s="1">
        <f>INDEX($B$17:$GQ$17,MATCH(49,$B$29:$GQ$29,0))</f>
        <v/>
      </c>
      <c r="AY3" s="1">
        <f>INDEX($B$17:$GQ$17,MATCH(50,$B$29:$GQ$29,0))</f>
        <v/>
      </c>
      <c r="AZ3" s="1">
        <f>INDEX($B$17:$GQ$17,MATCH(51,$B$29:$GQ$29,0))</f>
        <v/>
      </c>
      <c r="BA3" s="1">
        <f>INDEX($B$17:$GQ$17,MATCH(52,$B$29:$GQ$29,0))</f>
        <v/>
      </c>
      <c r="BB3" s="1">
        <f>INDEX($B$17:$GQ$17,MATCH(53,$B$29:$GQ$29,0))</f>
        <v/>
      </c>
      <c r="BC3" s="1">
        <f>INDEX($B$17:$GQ$17,MATCH(54,$B$29:$GQ$29,0))</f>
        <v/>
      </c>
      <c r="BD3" s="1">
        <f>INDEX($B$17:$GQ$17,MATCH(55,$B$29:$GQ$29,0))</f>
        <v/>
      </c>
      <c r="BE3" s="1">
        <f>INDEX($B$17:$GQ$17,MATCH(56,$B$29:$GQ$29,0))</f>
        <v/>
      </c>
      <c r="BF3" s="1">
        <f>INDEX($B$17:$GQ$17,MATCH(57,$B$29:$GQ$29,0))</f>
        <v/>
      </c>
      <c r="BG3" s="1">
        <f>INDEX($B$17:$GQ$17,MATCH(58,$B$29:$GQ$29,0))</f>
        <v/>
      </c>
      <c r="BH3" s="1">
        <f>INDEX($B$17:$GQ$17,MATCH(59,$B$29:$GQ$29,0))</f>
        <v/>
      </c>
      <c r="BI3" s="1">
        <f>INDEX($B$17:$GQ$17,MATCH(60,$B$29:$GQ$29,0))</f>
        <v/>
      </c>
      <c r="BJ3" s="1">
        <f>INDEX($B$17:$GQ$17,MATCH(61,$B$29:$GQ$29,0))</f>
        <v/>
      </c>
      <c r="BK3" s="1">
        <f>INDEX($B$17:$GQ$17,MATCH(62,$B$29:$GQ$29,0))</f>
        <v/>
      </c>
      <c r="BL3" s="1">
        <f>INDEX($B$17:$GQ$17,MATCH(63,$B$29:$GQ$29,0))</f>
        <v/>
      </c>
      <c r="BM3" s="1">
        <f>INDEX($B$17:$GQ$17,MATCH(64,$B$29:$GQ$29,0))</f>
        <v/>
      </c>
      <c r="BN3" s="1">
        <f>INDEX($B$17:$GQ$17,MATCH(65,$B$29:$GQ$29,0))</f>
        <v/>
      </c>
      <c r="BO3" s="1">
        <f>INDEX($B$17:$GQ$17,MATCH(66,$B$29:$GQ$29,0))</f>
        <v/>
      </c>
      <c r="BP3" s="1">
        <f>INDEX($B$17:$GQ$17,MATCH(67,$B$29:$GQ$29,0))</f>
        <v/>
      </c>
      <c r="BQ3" s="1">
        <f>INDEX($B$17:$GQ$17,MATCH(68,$B$29:$GQ$29,0))</f>
        <v/>
      </c>
      <c r="BR3" s="1">
        <f>INDEX($B$17:$GQ$17,MATCH(69,$B$29:$GQ$29,0))</f>
        <v/>
      </c>
      <c r="BS3" s="1">
        <f>INDEX($B$17:$GQ$17,MATCH(70,$B$29:$GQ$29,0))</f>
        <v/>
      </c>
      <c r="BT3" s="1">
        <f>INDEX($B$17:$GQ$17,MATCH(71,$B$29:$GQ$29,0))</f>
        <v/>
      </c>
      <c r="BU3" s="1">
        <f>INDEX($B$17:$GQ$17,MATCH(72,$B$29:$GQ$29,0))</f>
        <v/>
      </c>
      <c r="BV3" s="1">
        <f>INDEX($B$17:$GQ$17,MATCH(73,$B$29:$GQ$29,0))</f>
        <v/>
      </c>
      <c r="BW3" s="1">
        <f>INDEX($B$17:$GQ$17,MATCH(74,$B$29:$GQ$29,0))</f>
        <v/>
      </c>
      <c r="BX3" s="1">
        <f>INDEX($B$17:$GQ$17,MATCH(75,$B$29:$GQ$29,0))</f>
        <v/>
      </c>
      <c r="BY3" s="1">
        <f>INDEX($B$17:$GQ$17,MATCH(76,$B$29:$GQ$29,0))</f>
        <v/>
      </c>
      <c r="BZ3" s="1">
        <f>INDEX($B$17:$GQ$17,MATCH(77,$B$29:$GQ$29,0))</f>
        <v/>
      </c>
      <c r="CA3" s="1">
        <f>INDEX($B$17:$GQ$17,MATCH(78,$B$29:$GQ$29,0))</f>
        <v/>
      </c>
      <c r="CB3" s="1">
        <f>INDEX($B$17:$GQ$17,MATCH(79,$B$29:$GQ$29,0))</f>
        <v/>
      </c>
      <c r="CC3" s="1">
        <f>INDEX($B$17:$GQ$17,MATCH(80,$B$29:$GQ$29,0))</f>
        <v/>
      </c>
      <c r="CD3" s="1">
        <f>INDEX($B$17:$GQ$17,MATCH(81,$B$29:$GQ$29,0))</f>
        <v/>
      </c>
      <c r="CE3" s="1">
        <f>INDEX($B$17:$GQ$17,MATCH(82,$B$29:$GQ$29,0))</f>
        <v/>
      </c>
      <c r="CF3" s="1">
        <f>INDEX($B$17:$GQ$17,MATCH(83,$B$29:$GQ$29,0))</f>
        <v/>
      </c>
      <c r="CG3" s="1">
        <f>INDEX($B$17:$GQ$17,MATCH(84,$B$29:$GQ$29,0))</f>
        <v/>
      </c>
      <c r="CH3" s="1">
        <f>INDEX($B$17:$GQ$17,MATCH(85,$B$29:$GQ$29,0))</f>
        <v/>
      </c>
      <c r="CI3" s="1">
        <f>INDEX($B$17:$GQ$17,MATCH(86,$B$29:$GQ$29,0))</f>
        <v/>
      </c>
      <c r="CJ3" s="1">
        <f>INDEX($B$17:$GQ$17,MATCH(87,$B$29:$GQ$29,0))</f>
        <v/>
      </c>
      <c r="CK3" s="1">
        <f>INDEX($B$17:$GQ$17,MATCH(88,$B$29:$GQ$29,0))</f>
        <v/>
      </c>
      <c r="CL3" s="1">
        <f>INDEX($B$17:$GQ$17,MATCH(89,$B$29:$GQ$29,0))</f>
        <v/>
      </c>
      <c r="CM3" s="1">
        <f>INDEX($B$17:$GQ$17,MATCH(90,$B$29:$GQ$29,0))</f>
        <v/>
      </c>
      <c r="CN3" s="1">
        <f>INDEX($B$17:$GQ$17,MATCH(91,$B$29:$GQ$29,0))</f>
        <v/>
      </c>
      <c r="CO3" s="1">
        <f>INDEX($B$17:$GQ$17,MATCH(92,$B$29:$GQ$29,0))</f>
        <v/>
      </c>
      <c r="CP3" s="1">
        <f>INDEX($B$17:$GQ$17,MATCH(93,$B$29:$GQ$29,0))</f>
        <v/>
      </c>
      <c r="CQ3" s="1">
        <f>INDEX($B$17:$GQ$17,MATCH(94,$B$29:$GQ$29,0))</f>
        <v/>
      </c>
      <c r="CR3" s="1">
        <f>INDEX($B$17:$GQ$17,MATCH(95,$B$29:$GQ$29,0))</f>
        <v/>
      </c>
      <c r="CS3" s="1">
        <f>INDEX($B$17:$GQ$17,MATCH(96,$B$29:$GQ$29,0))</f>
        <v/>
      </c>
      <c r="CT3" s="1">
        <f>INDEX($B$17:$GQ$17,MATCH(97,$B$29:$GQ$29,0))</f>
        <v/>
      </c>
      <c r="CU3" s="1">
        <f>INDEX($B$17:$GQ$17,MATCH(98,$B$29:$GQ$29,0))</f>
        <v/>
      </c>
      <c r="CV3" s="1">
        <f>INDEX($B$17:$GQ$17,MATCH(99,$B$29:$GQ$29,0))</f>
        <v/>
      </c>
      <c r="CW3" s="1">
        <f>INDEX($B$17:$GQ$17,MATCH(100,$B$29:$GQ$29,0))</f>
        <v/>
      </c>
      <c r="CX3" s="1">
        <f>INDEX($B$17:$GQ$17,MATCH(101,$B$29:$GQ$29,0))</f>
        <v/>
      </c>
      <c r="CY3" s="1">
        <f>INDEX($B$17:$GQ$17,MATCH(102,$B$29:$GQ$29,0))</f>
        <v/>
      </c>
      <c r="CZ3" s="1">
        <f>INDEX($B$17:$GQ$17,MATCH(103,$B$29:$GQ$29,0))</f>
        <v/>
      </c>
      <c r="DA3" s="1">
        <f>INDEX($B$17:$GQ$17,MATCH(104,$B$29:$GQ$29,0))</f>
        <v/>
      </c>
      <c r="DB3" s="1">
        <f>INDEX($B$17:$GQ$17,MATCH(105,$B$29:$GQ$29,0))</f>
        <v/>
      </c>
      <c r="DC3" s="1">
        <f>INDEX($B$17:$GQ$17,MATCH(106,$B$29:$GQ$29,0))</f>
        <v/>
      </c>
      <c r="DD3" s="1">
        <f>INDEX($B$17:$GQ$17,MATCH(107,$B$29:$GQ$29,0))</f>
        <v/>
      </c>
      <c r="DE3" s="1">
        <f>INDEX($B$17:$GQ$17,MATCH(108,$B$29:$GQ$29,0))</f>
        <v/>
      </c>
      <c r="DF3" s="1">
        <f>INDEX($B$17:$GQ$17,MATCH(109,$B$29:$GQ$29,0))</f>
        <v/>
      </c>
      <c r="DG3" s="1">
        <f>INDEX($B$17:$GQ$17,MATCH(110,$B$29:$GQ$29,0))</f>
        <v/>
      </c>
      <c r="DH3" s="1">
        <f>INDEX($B$17:$GQ$17,MATCH(111,$B$29:$GQ$29,0))</f>
        <v/>
      </c>
      <c r="DI3" s="1">
        <f>INDEX($B$17:$GQ$17,MATCH(112,$B$29:$GQ$29,0))</f>
        <v/>
      </c>
      <c r="DJ3" s="1">
        <f>INDEX($B$17:$GQ$17,MATCH(113,$B$29:$GQ$29,0))</f>
        <v/>
      </c>
      <c r="DK3" s="1">
        <f>INDEX($B$17:$GQ$17,MATCH(114,$B$29:$GQ$29,0))</f>
        <v/>
      </c>
      <c r="DL3" s="1">
        <f>INDEX($B$17:$GQ$17,MATCH(115,$B$29:$GQ$29,0))</f>
        <v/>
      </c>
      <c r="DM3" s="1">
        <f>INDEX($B$17:$GQ$17,MATCH(116,$B$29:$GQ$29,0))</f>
        <v/>
      </c>
      <c r="DN3" s="1">
        <f>INDEX($B$17:$GQ$17,MATCH(117,$B$29:$GQ$29,0))</f>
        <v/>
      </c>
      <c r="DO3" s="1">
        <f>INDEX($B$17:$GQ$17,MATCH(118,$B$29:$GQ$29,0))</f>
        <v/>
      </c>
      <c r="DP3" s="1">
        <f>INDEX($B$17:$GQ$17,MATCH(119,$B$29:$GQ$29,0))</f>
        <v/>
      </c>
      <c r="DQ3" s="1">
        <f>INDEX($B$17:$GQ$17,MATCH(120,$B$29:$GQ$29,0))</f>
        <v/>
      </c>
      <c r="DR3" s="1">
        <f>INDEX($B$17:$GQ$17,MATCH(121,$B$29:$GQ$29,0))</f>
        <v/>
      </c>
      <c r="DS3" s="1">
        <f>INDEX($B$17:$GQ$17,MATCH(122,$B$29:$GQ$29,0))</f>
        <v/>
      </c>
      <c r="DT3" s="1">
        <f>INDEX($B$17:$GQ$17,MATCH(123,$B$29:$GQ$29,0))</f>
        <v/>
      </c>
      <c r="DU3" s="1">
        <f>INDEX($B$17:$GQ$17,MATCH(124,$B$29:$GQ$29,0))</f>
        <v/>
      </c>
      <c r="DV3" s="1">
        <f>INDEX($B$17:$GQ$17,MATCH(125,$B$29:$GQ$29,0))</f>
        <v/>
      </c>
      <c r="DW3" s="1">
        <f>INDEX($B$17:$GQ$17,MATCH(126,$B$29:$GQ$29,0))</f>
        <v/>
      </c>
      <c r="DX3" s="1">
        <f>INDEX($B$17:$GQ$17,MATCH(127,$B$29:$GQ$29,0))</f>
        <v/>
      </c>
      <c r="DY3" s="1">
        <f>INDEX($B$17:$GQ$17,MATCH(128,$B$29:$GQ$29,0))</f>
        <v/>
      </c>
      <c r="DZ3" s="1">
        <f>INDEX($B$17:$GQ$17,MATCH(129,$B$29:$GQ$29,0))</f>
        <v/>
      </c>
      <c r="EA3" s="1">
        <f>INDEX($B$17:$GQ$17,MATCH(130,$B$29:$GQ$29,0))</f>
        <v/>
      </c>
      <c r="EB3" s="1">
        <f>INDEX($B$17:$GQ$17,MATCH(131,$B$29:$GQ$29,0))</f>
        <v/>
      </c>
      <c r="EC3" s="1">
        <f>INDEX($B$17:$GQ$17,MATCH(132,$B$29:$GQ$29,0))</f>
        <v/>
      </c>
      <c r="ED3" s="1">
        <f>INDEX($B$17:$GQ$17,MATCH(133,$B$29:$GQ$29,0))</f>
        <v/>
      </c>
      <c r="EE3" s="1">
        <f>INDEX($B$17:$GQ$17,MATCH(134,$B$29:$GQ$29,0))</f>
        <v/>
      </c>
      <c r="EF3" s="1">
        <f>INDEX($B$17:$GQ$17,MATCH(135,$B$29:$GQ$29,0))</f>
        <v/>
      </c>
      <c r="EG3" s="1">
        <f>INDEX($B$17:$GQ$17,MATCH(136,$B$29:$GQ$29,0))</f>
        <v/>
      </c>
      <c r="EH3" s="1">
        <f>INDEX($B$17:$GQ$17,MATCH(137,$B$29:$GQ$29,0))</f>
        <v/>
      </c>
      <c r="EI3" s="1">
        <f>INDEX($B$17:$GQ$17,MATCH(138,$B$29:$GQ$29,0))</f>
        <v/>
      </c>
      <c r="EJ3" s="1">
        <f>INDEX($B$17:$GQ$17,MATCH(139,$B$29:$GQ$29,0))</f>
        <v/>
      </c>
      <c r="EK3" s="1">
        <f>INDEX($B$17:$GQ$17,MATCH(140,$B$29:$GQ$29,0))</f>
        <v/>
      </c>
      <c r="EL3" s="1">
        <f>INDEX($B$17:$GQ$17,MATCH(141,$B$29:$GQ$29,0))</f>
        <v/>
      </c>
      <c r="EM3" s="1">
        <f>INDEX($B$17:$GQ$17,MATCH(142,$B$29:$GQ$29,0))</f>
        <v/>
      </c>
      <c r="EN3" s="1">
        <f>INDEX($B$17:$GQ$17,MATCH(143,$B$29:$GQ$29,0))</f>
        <v/>
      </c>
      <c r="EO3" s="1">
        <f>INDEX($B$17:$GQ$17,MATCH(144,$B$29:$GQ$29,0))</f>
        <v/>
      </c>
      <c r="EP3" s="1">
        <f>INDEX($B$17:$GQ$17,MATCH(145,$B$29:$GQ$29,0))</f>
        <v/>
      </c>
      <c r="EQ3" s="1">
        <f>INDEX($B$17:$GQ$17,MATCH(146,$B$29:$GQ$29,0))</f>
        <v/>
      </c>
      <c r="ER3" s="1">
        <f>INDEX($B$17:$GQ$17,MATCH(147,$B$29:$GQ$29,0))</f>
        <v/>
      </c>
      <c r="ES3" s="1">
        <f>INDEX($B$17:$GQ$17,MATCH(148,$B$29:$GQ$29,0))</f>
        <v/>
      </c>
      <c r="ET3" s="1">
        <f>INDEX($B$17:$GQ$17,MATCH(149,$B$29:$GQ$29,0))</f>
        <v/>
      </c>
      <c r="EU3" s="1">
        <f>INDEX($B$17:$GQ$17,MATCH(150,$B$29:$GQ$29,0))</f>
        <v/>
      </c>
      <c r="EV3" s="1">
        <f>INDEX($B$17:$GQ$17,MATCH(151,$B$29:$GQ$29,0))</f>
        <v/>
      </c>
      <c r="EW3" s="1">
        <f>INDEX($B$17:$GQ$17,MATCH(152,$B$29:$GQ$29,0))</f>
        <v/>
      </c>
      <c r="EX3" s="1">
        <f>INDEX($B$17:$GQ$17,MATCH(153,$B$29:$GQ$29,0))</f>
        <v/>
      </c>
      <c r="EY3" s="1">
        <f>INDEX($B$17:$GQ$17,MATCH(154,$B$29:$GQ$29,0))</f>
        <v/>
      </c>
      <c r="EZ3" s="1">
        <f>INDEX($B$17:$GQ$17,MATCH(155,$B$29:$GQ$29,0))</f>
        <v/>
      </c>
      <c r="FA3" s="1">
        <f>INDEX($B$17:$GQ$17,MATCH(156,$B$29:$GQ$29,0))</f>
        <v/>
      </c>
      <c r="FB3" s="1">
        <f>INDEX($B$17:$GQ$17,MATCH(157,$B$29:$GQ$29,0))</f>
        <v/>
      </c>
      <c r="FC3" s="1">
        <f>INDEX($B$17:$GQ$17,MATCH(158,$B$29:$GQ$29,0))</f>
        <v/>
      </c>
      <c r="FD3" s="1">
        <f>INDEX($B$17:$GQ$17,MATCH(159,$B$29:$GQ$29,0))</f>
        <v/>
      </c>
      <c r="FE3" s="1">
        <f>INDEX($B$17:$GQ$17,MATCH(160,$B$29:$GQ$29,0))</f>
        <v/>
      </c>
      <c r="FF3" s="1">
        <f>INDEX($B$17:$GQ$17,MATCH(161,$B$29:$GQ$29,0))</f>
        <v/>
      </c>
      <c r="FG3" s="1">
        <f>INDEX($B$17:$GQ$17,MATCH(162,$B$29:$GQ$29,0))</f>
        <v/>
      </c>
      <c r="FH3" s="1">
        <f>INDEX($B$17:$GQ$17,MATCH(163,$B$29:$GQ$29,0))</f>
        <v/>
      </c>
      <c r="FI3" s="1">
        <f>INDEX($B$17:$GQ$17,MATCH(164,$B$29:$GQ$29,0))</f>
        <v/>
      </c>
      <c r="FJ3" s="1">
        <f>INDEX($B$17:$GQ$17,MATCH(165,$B$29:$GQ$29,0))</f>
        <v/>
      </c>
      <c r="FK3" s="1">
        <f>INDEX($B$17:$GQ$17,MATCH(166,$B$29:$GQ$29,0))</f>
        <v/>
      </c>
      <c r="FL3" s="1">
        <f>INDEX($B$17:$GQ$17,MATCH(167,$B$29:$GQ$29,0))</f>
        <v/>
      </c>
      <c r="FM3" s="1">
        <f>INDEX($B$17:$GQ$17,MATCH(168,$B$29:$GQ$29,0))</f>
        <v/>
      </c>
      <c r="FN3" s="1">
        <f>INDEX($B$17:$GQ$17,MATCH(169,$B$29:$GQ$29,0))</f>
        <v/>
      </c>
      <c r="FO3" s="1">
        <f>INDEX($B$17:$GQ$17,MATCH(170,$B$29:$GQ$29,0))</f>
        <v/>
      </c>
      <c r="FP3" s="1">
        <f>INDEX($B$17:$GQ$17,MATCH(171,$B$29:$GQ$29,0))</f>
        <v/>
      </c>
      <c r="FQ3" s="1">
        <f>INDEX($B$17:$GQ$17,MATCH(172,$B$29:$GQ$29,0))</f>
        <v/>
      </c>
      <c r="FR3" s="1">
        <f>INDEX($B$17:$GQ$17,MATCH(173,$B$29:$GQ$29,0))</f>
        <v/>
      </c>
      <c r="FS3" s="1">
        <f>INDEX($B$17:$GQ$17,MATCH(174,$B$29:$GQ$29,0))</f>
        <v/>
      </c>
      <c r="FT3" s="1">
        <f>INDEX($B$17:$GQ$17,MATCH(175,$B$29:$GQ$29,0))</f>
        <v/>
      </c>
      <c r="FU3" s="1">
        <f>INDEX($B$17:$GQ$17,MATCH(176,$B$29:$GQ$29,0))</f>
        <v/>
      </c>
      <c r="FV3" s="1">
        <f>INDEX($B$17:$GQ$17,MATCH(177,$B$29:$GQ$29,0))</f>
        <v/>
      </c>
      <c r="FW3" s="1">
        <f>INDEX($B$17:$GQ$17,MATCH(178,$B$29:$GQ$29,0))</f>
        <v/>
      </c>
      <c r="FX3" s="1">
        <f>INDEX($B$17:$GQ$17,MATCH(179,$B$29:$GQ$29,0))</f>
        <v/>
      </c>
      <c r="FY3" s="1">
        <f>INDEX($B$17:$GQ$17,MATCH(180,$B$29:$GQ$29,0))</f>
        <v/>
      </c>
      <c r="FZ3" s="1">
        <f>INDEX($B$17:$GQ$17,MATCH(181,$B$29:$GQ$29,0))</f>
        <v/>
      </c>
      <c r="GA3" s="1">
        <f>INDEX($B$17:$GQ$17,MATCH(182,$B$29:$GQ$29,0))</f>
        <v/>
      </c>
      <c r="GB3" s="1">
        <f>INDEX($B$17:$GQ$17,MATCH(183,$B$29:$GQ$29,0))</f>
        <v/>
      </c>
      <c r="GC3" s="1">
        <f>INDEX($B$17:$GQ$17,MATCH(184,$B$29:$GQ$29,0))</f>
        <v/>
      </c>
      <c r="GD3" s="1">
        <f>INDEX($B$17:$GQ$17,MATCH(185,$B$29:$GQ$29,0))</f>
        <v/>
      </c>
      <c r="GE3" s="1">
        <f>INDEX($B$17:$GQ$17,MATCH(186,$B$29:$GQ$29,0))</f>
        <v/>
      </c>
      <c r="GF3" s="1">
        <f>INDEX($B$17:$GQ$17,MATCH(187,$B$29:$GQ$29,0))</f>
        <v/>
      </c>
      <c r="GG3" s="1">
        <f>INDEX($B$17:$GQ$17,MATCH(188,$B$29:$GQ$29,0))</f>
        <v/>
      </c>
      <c r="GH3" s="1">
        <f>INDEX($B$17:$GQ$17,MATCH(189,$B$29:$GQ$29,0))</f>
        <v/>
      </c>
      <c r="GI3" s="1">
        <f>INDEX($B$17:$GQ$17,MATCH(190,$B$29:$GQ$29,0))</f>
        <v/>
      </c>
      <c r="GJ3" s="1">
        <f>INDEX($B$17:$GQ$17,MATCH(191,$B$29:$GQ$29,0))</f>
        <v/>
      </c>
      <c r="GK3" s="1">
        <f>INDEX($B$17:$GQ$17,MATCH(192,$B$29:$GQ$29,0))</f>
        <v/>
      </c>
      <c r="GL3" s="1">
        <f>INDEX($B$17:$GQ$17,MATCH(193,$B$29:$GQ$29,0))</f>
        <v/>
      </c>
      <c r="GM3" s="1">
        <f>INDEX($B$17:$GQ$17,MATCH(194,$B$29:$GQ$29,0))</f>
        <v/>
      </c>
      <c r="GN3" s="1">
        <f>INDEX($B$17:$GQ$17,MATCH(195,$B$29:$GQ$29,0))</f>
        <v/>
      </c>
      <c r="GO3" s="1">
        <f>INDEX($B$17:$GQ$17,MATCH(196,$B$29:$GQ$29,0))</f>
        <v/>
      </c>
      <c r="GP3" s="1">
        <f>INDEX($B$17:$GQ$17,MATCH(197,$B$29:$GQ$29,0))</f>
        <v/>
      </c>
      <c r="GQ3" s="1">
        <f>INDEX($B$17:$GQ$17,MATCH(198,$B$29:$GQ$29,0))</f>
        <v/>
      </c>
      <c r="GR3" s="1">
        <f>INDEX($GR$17:$HC$17,MATCH(1,$GR$30:$HC$30,0))</f>
        <v/>
      </c>
      <c r="GS3" s="1">
        <f>INDEX($GR$17:$HC$17,MATCH(2,$GR$30:$HC$30,0))</f>
        <v/>
      </c>
      <c r="GT3" s="1">
        <f>INDEX($GR$17:$HC$17,MATCH(3,$GR$30:$HC$30,0))</f>
        <v/>
      </c>
      <c r="GU3" s="1">
        <f>INDEX($GR$17:$HC$17,MATCH(4,$GR$30:$HC$30,0))</f>
        <v/>
      </c>
      <c r="GV3" s="1">
        <f>INDEX($GR$17:$HC$17,MATCH(5,$GR$30:$HC$30,0))</f>
        <v/>
      </c>
      <c r="GW3" s="1">
        <f>INDEX($GR$17:$HC$17,MATCH(6,$GR$30:$HC$30,0))</f>
        <v/>
      </c>
      <c r="GX3" s="1">
        <f>INDEX($GR$17:$HC$17,MATCH(7,$GR$30:$HC$30,0))</f>
        <v/>
      </c>
      <c r="GY3" s="1">
        <f>INDEX($GR$17:$HC$17,MATCH(8,$GR$30:$HC$30,0))</f>
        <v/>
      </c>
      <c r="GZ3" s="1">
        <f>INDEX($GR$17:$HC$17,MATCH(9,$GR$30:$HC$30,0))</f>
        <v/>
      </c>
      <c r="HA3" s="1">
        <f>INDEX($GR$17:$HC$17,MATCH(10,$GR$30:$HC$30,0))</f>
        <v/>
      </c>
      <c r="HB3" s="1">
        <f>INDEX($GR$17:$HC$17,MATCH(11,$GR$30:$HC$30,0))</f>
        <v/>
      </c>
      <c r="HC3" s="1">
        <f>INDEX($GR$17:$HC$17,MATCH(12,$GR$30:$HC$30,0))</f>
        <v/>
      </c>
    </row>
    <row r="4">
      <c r="A4" s="1" t="inlineStr">
        <is>
          <t>M_imp</t>
        </is>
      </c>
      <c r="B4">
        <f>INDEX($B$18:$GQ$18,MATCH(1,$B$29:$GQ$29,0))</f>
        <v/>
      </c>
      <c r="C4">
        <f>INDEX($B$18:$GQ$18,MATCH(2,$B$29:$GQ$29,0))</f>
        <v/>
      </c>
      <c r="D4">
        <f>INDEX($B$18:$GQ$18,MATCH(3,$B$29:$GQ$29,0))</f>
        <v/>
      </c>
      <c r="E4">
        <f>INDEX($B$18:$GQ$18,MATCH(4,$B$29:$GQ$29,0))</f>
        <v/>
      </c>
      <c r="F4">
        <f>INDEX($B$18:$GQ$18,MATCH(5,$B$29:$GQ$29,0))</f>
        <v/>
      </c>
      <c r="G4">
        <f>INDEX($B$18:$GQ$18,MATCH(6,$B$29:$GQ$29,0))</f>
        <v/>
      </c>
      <c r="H4">
        <f>INDEX($B$18:$GQ$18,MATCH(7,$B$29:$GQ$29,0))</f>
        <v/>
      </c>
      <c r="I4">
        <f>INDEX($B$18:$GQ$18,MATCH(8,$B$29:$GQ$29,0))</f>
        <v/>
      </c>
      <c r="J4">
        <f>INDEX($B$18:$GQ$18,MATCH(9,$B$29:$GQ$29,0))</f>
        <v/>
      </c>
      <c r="K4">
        <f>INDEX($B$18:$GQ$18,MATCH(10,$B$29:$GQ$29,0))</f>
        <v/>
      </c>
      <c r="L4">
        <f>INDEX($B$18:$GQ$18,MATCH(11,$B$29:$GQ$29,0))</f>
        <v/>
      </c>
      <c r="M4">
        <f>INDEX($B$18:$GQ$18,MATCH(12,$B$29:$GQ$29,0))</f>
        <v/>
      </c>
      <c r="N4">
        <f>INDEX($B$18:$GQ$18,MATCH(13,$B$29:$GQ$29,0))</f>
        <v/>
      </c>
      <c r="O4">
        <f>INDEX($B$18:$GQ$18,MATCH(14,$B$29:$GQ$29,0))</f>
        <v/>
      </c>
      <c r="P4">
        <f>INDEX($B$18:$GQ$18,MATCH(15,$B$29:$GQ$29,0))</f>
        <v/>
      </c>
      <c r="Q4">
        <f>INDEX($B$18:$GQ$18,MATCH(16,$B$29:$GQ$29,0))</f>
        <v/>
      </c>
      <c r="R4">
        <f>INDEX($B$18:$GQ$18,MATCH(17,$B$29:$GQ$29,0))</f>
        <v/>
      </c>
      <c r="S4">
        <f>INDEX($B$18:$GQ$18,MATCH(18,$B$29:$GQ$29,0))</f>
        <v/>
      </c>
      <c r="T4">
        <f>INDEX($B$18:$GQ$18,MATCH(19,$B$29:$GQ$29,0))</f>
        <v/>
      </c>
      <c r="U4">
        <f>INDEX($B$18:$GQ$18,MATCH(20,$B$29:$GQ$29,0))</f>
        <v/>
      </c>
      <c r="V4">
        <f>INDEX($B$18:$GQ$18,MATCH(21,$B$29:$GQ$29,0))</f>
        <v/>
      </c>
      <c r="W4">
        <f>INDEX($B$18:$GQ$18,MATCH(22,$B$29:$GQ$29,0))</f>
        <v/>
      </c>
      <c r="X4">
        <f>INDEX($B$18:$GQ$18,MATCH(23,$B$29:$GQ$29,0))</f>
        <v/>
      </c>
      <c r="Y4">
        <f>INDEX($B$18:$GQ$18,MATCH(24,$B$29:$GQ$29,0))</f>
        <v/>
      </c>
      <c r="Z4">
        <f>INDEX($B$18:$GQ$18,MATCH(25,$B$29:$GQ$29,0))</f>
        <v/>
      </c>
      <c r="AA4">
        <f>INDEX($B$18:$GQ$18,MATCH(26,$B$29:$GQ$29,0))</f>
        <v/>
      </c>
      <c r="AB4">
        <f>INDEX($B$18:$GQ$18,MATCH(27,$B$29:$GQ$29,0))</f>
        <v/>
      </c>
      <c r="AC4">
        <f>INDEX($B$18:$GQ$18,MATCH(28,$B$29:$GQ$29,0))</f>
        <v/>
      </c>
      <c r="AD4">
        <f>INDEX($B$18:$GQ$18,MATCH(29,$B$29:$GQ$29,0))</f>
        <v/>
      </c>
      <c r="AE4">
        <f>INDEX($B$18:$GQ$18,MATCH(30,$B$29:$GQ$29,0))</f>
        <v/>
      </c>
      <c r="AF4">
        <f>INDEX($B$18:$GQ$18,MATCH(31,$B$29:$GQ$29,0))</f>
        <v/>
      </c>
      <c r="AG4">
        <f>INDEX($B$18:$GQ$18,MATCH(32,$B$29:$GQ$29,0))</f>
        <v/>
      </c>
      <c r="AH4">
        <f>INDEX($B$18:$GQ$18,MATCH(33,$B$29:$GQ$29,0))</f>
        <v/>
      </c>
      <c r="AI4">
        <f>INDEX($B$18:$GQ$18,MATCH(34,$B$29:$GQ$29,0))</f>
        <v/>
      </c>
      <c r="AJ4">
        <f>INDEX($B$18:$GQ$18,MATCH(35,$B$29:$GQ$29,0))</f>
        <v/>
      </c>
      <c r="AK4">
        <f>INDEX($B$18:$GQ$18,MATCH(36,$B$29:$GQ$29,0))</f>
        <v/>
      </c>
      <c r="AL4">
        <f>INDEX($B$18:$GQ$18,MATCH(37,$B$29:$GQ$29,0))</f>
        <v/>
      </c>
      <c r="AM4">
        <f>INDEX($B$18:$GQ$18,MATCH(38,$B$29:$GQ$29,0))</f>
        <v/>
      </c>
      <c r="AN4">
        <f>INDEX($B$18:$GQ$18,MATCH(39,$B$29:$GQ$29,0))</f>
        <v/>
      </c>
      <c r="AO4">
        <f>INDEX($B$18:$GQ$18,MATCH(40,$B$29:$GQ$29,0))</f>
        <v/>
      </c>
      <c r="AP4">
        <f>INDEX($B$18:$GQ$18,MATCH(41,$B$29:$GQ$29,0))</f>
        <v/>
      </c>
      <c r="AQ4">
        <f>INDEX($B$18:$GQ$18,MATCH(42,$B$29:$GQ$29,0))</f>
        <v/>
      </c>
      <c r="AR4">
        <f>INDEX($B$18:$GQ$18,MATCH(43,$B$29:$GQ$29,0))</f>
        <v/>
      </c>
      <c r="AS4">
        <f>INDEX($B$18:$GQ$18,MATCH(44,$B$29:$GQ$29,0))</f>
        <v/>
      </c>
      <c r="AT4">
        <f>INDEX($B$18:$GQ$18,MATCH(45,$B$29:$GQ$29,0))</f>
        <v/>
      </c>
      <c r="AU4">
        <f>INDEX($B$18:$GQ$18,MATCH(46,$B$29:$GQ$29,0))</f>
        <v/>
      </c>
      <c r="AV4">
        <f>INDEX($B$18:$GQ$18,MATCH(47,$B$29:$GQ$29,0))</f>
        <v/>
      </c>
      <c r="AW4">
        <f>INDEX($B$18:$GQ$18,MATCH(48,$B$29:$GQ$29,0))</f>
        <v/>
      </c>
      <c r="AX4">
        <f>INDEX($B$18:$GQ$18,MATCH(49,$B$29:$GQ$29,0))</f>
        <v/>
      </c>
      <c r="AY4">
        <f>INDEX($B$18:$GQ$18,MATCH(50,$B$29:$GQ$29,0))</f>
        <v/>
      </c>
      <c r="AZ4">
        <f>INDEX($B$18:$GQ$18,MATCH(51,$B$29:$GQ$29,0))</f>
        <v/>
      </c>
      <c r="BA4">
        <f>INDEX($B$18:$GQ$18,MATCH(52,$B$29:$GQ$29,0))</f>
        <v/>
      </c>
      <c r="BB4">
        <f>INDEX($B$18:$GQ$18,MATCH(53,$B$29:$GQ$29,0))</f>
        <v/>
      </c>
      <c r="BC4">
        <f>INDEX($B$18:$GQ$18,MATCH(54,$B$29:$GQ$29,0))</f>
        <v/>
      </c>
      <c r="BD4">
        <f>INDEX($B$18:$GQ$18,MATCH(55,$B$29:$GQ$29,0))</f>
        <v/>
      </c>
      <c r="BE4">
        <f>INDEX($B$18:$GQ$18,MATCH(56,$B$29:$GQ$29,0))</f>
        <v/>
      </c>
      <c r="BF4">
        <f>INDEX($B$18:$GQ$18,MATCH(57,$B$29:$GQ$29,0))</f>
        <v/>
      </c>
      <c r="BG4">
        <f>INDEX($B$18:$GQ$18,MATCH(58,$B$29:$GQ$29,0))</f>
        <v/>
      </c>
      <c r="BH4">
        <f>INDEX($B$18:$GQ$18,MATCH(59,$B$29:$GQ$29,0))</f>
        <v/>
      </c>
      <c r="BI4">
        <f>INDEX($B$18:$GQ$18,MATCH(60,$B$29:$GQ$29,0))</f>
        <v/>
      </c>
      <c r="BJ4">
        <f>INDEX($B$18:$GQ$18,MATCH(61,$B$29:$GQ$29,0))</f>
        <v/>
      </c>
      <c r="BK4">
        <f>INDEX($B$18:$GQ$18,MATCH(62,$B$29:$GQ$29,0))</f>
        <v/>
      </c>
      <c r="BL4">
        <f>INDEX($B$18:$GQ$18,MATCH(63,$B$29:$GQ$29,0))</f>
        <v/>
      </c>
      <c r="BM4">
        <f>INDEX($B$18:$GQ$18,MATCH(64,$B$29:$GQ$29,0))</f>
        <v/>
      </c>
      <c r="BN4">
        <f>INDEX($B$18:$GQ$18,MATCH(65,$B$29:$GQ$29,0))</f>
        <v/>
      </c>
      <c r="BO4">
        <f>INDEX($B$18:$GQ$18,MATCH(66,$B$29:$GQ$29,0))</f>
        <v/>
      </c>
      <c r="BP4">
        <f>INDEX($B$18:$GQ$18,MATCH(67,$B$29:$GQ$29,0))</f>
        <v/>
      </c>
      <c r="BQ4">
        <f>INDEX($B$18:$GQ$18,MATCH(68,$B$29:$GQ$29,0))</f>
        <v/>
      </c>
      <c r="BR4">
        <f>INDEX($B$18:$GQ$18,MATCH(69,$B$29:$GQ$29,0))</f>
        <v/>
      </c>
      <c r="BS4">
        <f>INDEX($B$18:$GQ$18,MATCH(70,$B$29:$GQ$29,0))</f>
        <v/>
      </c>
      <c r="BT4">
        <f>INDEX($B$18:$GQ$18,MATCH(71,$B$29:$GQ$29,0))</f>
        <v/>
      </c>
      <c r="BU4">
        <f>INDEX($B$18:$GQ$18,MATCH(72,$B$29:$GQ$29,0))</f>
        <v/>
      </c>
      <c r="BV4">
        <f>INDEX($B$18:$GQ$18,MATCH(73,$B$29:$GQ$29,0))</f>
        <v/>
      </c>
      <c r="BW4">
        <f>INDEX($B$18:$GQ$18,MATCH(74,$B$29:$GQ$29,0))</f>
        <v/>
      </c>
      <c r="BX4">
        <f>INDEX($B$18:$GQ$18,MATCH(75,$B$29:$GQ$29,0))</f>
        <v/>
      </c>
      <c r="BY4">
        <f>INDEX($B$18:$GQ$18,MATCH(76,$B$29:$GQ$29,0))</f>
        <v/>
      </c>
      <c r="BZ4">
        <f>INDEX($B$18:$GQ$18,MATCH(77,$B$29:$GQ$29,0))</f>
        <v/>
      </c>
      <c r="CA4">
        <f>INDEX($B$18:$GQ$18,MATCH(78,$B$29:$GQ$29,0))</f>
        <v/>
      </c>
      <c r="CB4">
        <f>INDEX($B$18:$GQ$18,MATCH(79,$B$29:$GQ$29,0))</f>
        <v/>
      </c>
      <c r="CC4">
        <f>INDEX($B$18:$GQ$18,MATCH(80,$B$29:$GQ$29,0))</f>
        <v/>
      </c>
      <c r="CD4">
        <f>INDEX($B$18:$GQ$18,MATCH(81,$B$29:$GQ$29,0))</f>
        <v/>
      </c>
      <c r="CE4">
        <f>INDEX($B$18:$GQ$18,MATCH(82,$B$29:$GQ$29,0))</f>
        <v/>
      </c>
      <c r="CF4">
        <f>INDEX($B$18:$GQ$18,MATCH(83,$B$29:$GQ$29,0))</f>
        <v/>
      </c>
      <c r="CG4">
        <f>INDEX($B$18:$GQ$18,MATCH(84,$B$29:$GQ$29,0))</f>
        <v/>
      </c>
      <c r="CH4">
        <f>INDEX($B$18:$GQ$18,MATCH(85,$B$29:$GQ$29,0))</f>
        <v/>
      </c>
      <c r="CI4">
        <f>INDEX($B$18:$GQ$18,MATCH(86,$B$29:$GQ$29,0))</f>
        <v/>
      </c>
      <c r="CJ4">
        <f>INDEX($B$18:$GQ$18,MATCH(87,$B$29:$GQ$29,0))</f>
        <v/>
      </c>
      <c r="CK4">
        <f>INDEX($B$18:$GQ$18,MATCH(88,$B$29:$GQ$29,0))</f>
        <v/>
      </c>
      <c r="CL4">
        <f>INDEX($B$18:$GQ$18,MATCH(89,$B$29:$GQ$29,0))</f>
        <v/>
      </c>
      <c r="CM4">
        <f>INDEX($B$18:$GQ$18,MATCH(90,$B$29:$GQ$29,0))</f>
        <v/>
      </c>
      <c r="CN4">
        <f>INDEX($B$18:$GQ$18,MATCH(91,$B$29:$GQ$29,0))</f>
        <v/>
      </c>
      <c r="CO4">
        <f>INDEX($B$18:$GQ$18,MATCH(92,$B$29:$GQ$29,0))</f>
        <v/>
      </c>
      <c r="CP4">
        <f>INDEX($B$18:$GQ$18,MATCH(93,$B$29:$GQ$29,0))</f>
        <v/>
      </c>
      <c r="CQ4">
        <f>INDEX($B$18:$GQ$18,MATCH(94,$B$29:$GQ$29,0))</f>
        <v/>
      </c>
      <c r="CR4">
        <f>INDEX($B$18:$GQ$18,MATCH(95,$B$29:$GQ$29,0))</f>
        <v/>
      </c>
      <c r="CS4">
        <f>INDEX($B$18:$GQ$18,MATCH(96,$B$29:$GQ$29,0))</f>
        <v/>
      </c>
      <c r="CT4">
        <f>INDEX($B$18:$GQ$18,MATCH(97,$B$29:$GQ$29,0))</f>
        <v/>
      </c>
      <c r="CU4">
        <f>INDEX($B$18:$GQ$18,MATCH(98,$B$29:$GQ$29,0))</f>
        <v/>
      </c>
      <c r="CV4">
        <f>INDEX($B$18:$GQ$18,MATCH(99,$B$29:$GQ$29,0))</f>
        <v/>
      </c>
      <c r="CW4">
        <f>INDEX($B$18:$GQ$18,MATCH(100,$B$29:$GQ$29,0))</f>
        <v/>
      </c>
      <c r="CX4">
        <f>INDEX($B$18:$GQ$18,MATCH(101,$B$29:$GQ$29,0))</f>
        <v/>
      </c>
      <c r="CY4">
        <f>INDEX($B$18:$GQ$18,MATCH(102,$B$29:$GQ$29,0))</f>
        <v/>
      </c>
      <c r="CZ4">
        <f>INDEX($B$18:$GQ$18,MATCH(103,$B$29:$GQ$29,0))</f>
        <v/>
      </c>
      <c r="DA4">
        <f>INDEX($B$18:$GQ$18,MATCH(104,$B$29:$GQ$29,0))</f>
        <v/>
      </c>
      <c r="DB4">
        <f>INDEX($B$18:$GQ$18,MATCH(105,$B$29:$GQ$29,0))</f>
        <v/>
      </c>
      <c r="DC4">
        <f>INDEX($B$18:$GQ$18,MATCH(106,$B$29:$GQ$29,0))</f>
        <v/>
      </c>
      <c r="DD4">
        <f>INDEX($B$18:$GQ$18,MATCH(107,$B$29:$GQ$29,0))</f>
        <v/>
      </c>
      <c r="DE4">
        <f>INDEX($B$18:$GQ$18,MATCH(108,$B$29:$GQ$29,0))</f>
        <v/>
      </c>
      <c r="DF4">
        <f>INDEX($B$18:$GQ$18,MATCH(109,$B$29:$GQ$29,0))</f>
        <v/>
      </c>
      <c r="DG4">
        <f>INDEX($B$18:$GQ$18,MATCH(110,$B$29:$GQ$29,0))</f>
        <v/>
      </c>
      <c r="DH4">
        <f>INDEX($B$18:$GQ$18,MATCH(111,$B$29:$GQ$29,0))</f>
        <v/>
      </c>
      <c r="DI4">
        <f>INDEX($B$18:$GQ$18,MATCH(112,$B$29:$GQ$29,0))</f>
        <v/>
      </c>
      <c r="DJ4">
        <f>INDEX($B$18:$GQ$18,MATCH(113,$B$29:$GQ$29,0))</f>
        <v/>
      </c>
      <c r="DK4">
        <f>INDEX($B$18:$GQ$18,MATCH(114,$B$29:$GQ$29,0))</f>
        <v/>
      </c>
      <c r="DL4">
        <f>INDEX($B$18:$GQ$18,MATCH(115,$B$29:$GQ$29,0))</f>
        <v/>
      </c>
      <c r="DM4">
        <f>INDEX($B$18:$GQ$18,MATCH(116,$B$29:$GQ$29,0))</f>
        <v/>
      </c>
      <c r="DN4">
        <f>INDEX($B$18:$GQ$18,MATCH(117,$B$29:$GQ$29,0))</f>
        <v/>
      </c>
      <c r="DO4">
        <f>INDEX($B$18:$GQ$18,MATCH(118,$B$29:$GQ$29,0))</f>
        <v/>
      </c>
      <c r="DP4">
        <f>INDEX($B$18:$GQ$18,MATCH(119,$B$29:$GQ$29,0))</f>
        <v/>
      </c>
      <c r="DQ4">
        <f>INDEX($B$18:$GQ$18,MATCH(120,$B$29:$GQ$29,0))</f>
        <v/>
      </c>
      <c r="DR4">
        <f>INDEX($B$18:$GQ$18,MATCH(121,$B$29:$GQ$29,0))</f>
        <v/>
      </c>
      <c r="DS4">
        <f>INDEX($B$18:$GQ$18,MATCH(122,$B$29:$GQ$29,0))</f>
        <v/>
      </c>
      <c r="DT4">
        <f>INDEX($B$18:$GQ$18,MATCH(123,$B$29:$GQ$29,0))</f>
        <v/>
      </c>
      <c r="DU4">
        <f>INDEX($B$18:$GQ$18,MATCH(124,$B$29:$GQ$29,0))</f>
        <v/>
      </c>
      <c r="DV4">
        <f>INDEX($B$18:$GQ$18,MATCH(125,$B$29:$GQ$29,0))</f>
        <v/>
      </c>
      <c r="DW4">
        <f>INDEX($B$18:$GQ$18,MATCH(126,$B$29:$GQ$29,0))</f>
        <v/>
      </c>
      <c r="DX4">
        <f>INDEX($B$18:$GQ$18,MATCH(127,$B$29:$GQ$29,0))</f>
        <v/>
      </c>
      <c r="DY4">
        <f>INDEX($B$18:$GQ$18,MATCH(128,$B$29:$GQ$29,0))</f>
        <v/>
      </c>
      <c r="DZ4">
        <f>INDEX($B$18:$GQ$18,MATCH(129,$B$29:$GQ$29,0))</f>
        <v/>
      </c>
      <c r="EA4">
        <f>INDEX($B$18:$GQ$18,MATCH(130,$B$29:$GQ$29,0))</f>
        <v/>
      </c>
      <c r="EB4">
        <f>INDEX($B$18:$GQ$18,MATCH(131,$B$29:$GQ$29,0))</f>
        <v/>
      </c>
      <c r="EC4">
        <f>INDEX($B$18:$GQ$18,MATCH(132,$B$29:$GQ$29,0))</f>
        <v/>
      </c>
      <c r="ED4">
        <f>INDEX($B$18:$GQ$18,MATCH(133,$B$29:$GQ$29,0))</f>
        <v/>
      </c>
      <c r="EE4">
        <f>INDEX($B$18:$GQ$18,MATCH(134,$B$29:$GQ$29,0))</f>
        <v/>
      </c>
      <c r="EF4">
        <f>INDEX($B$18:$GQ$18,MATCH(135,$B$29:$GQ$29,0))</f>
        <v/>
      </c>
      <c r="EG4">
        <f>INDEX($B$18:$GQ$18,MATCH(136,$B$29:$GQ$29,0))</f>
        <v/>
      </c>
      <c r="EH4">
        <f>INDEX($B$18:$GQ$18,MATCH(137,$B$29:$GQ$29,0))</f>
        <v/>
      </c>
      <c r="EI4">
        <f>INDEX($B$18:$GQ$18,MATCH(138,$B$29:$GQ$29,0))</f>
        <v/>
      </c>
      <c r="EJ4">
        <f>INDEX($B$18:$GQ$18,MATCH(139,$B$29:$GQ$29,0))</f>
        <v/>
      </c>
      <c r="EK4">
        <f>INDEX($B$18:$GQ$18,MATCH(140,$B$29:$GQ$29,0))</f>
        <v/>
      </c>
      <c r="EL4">
        <f>INDEX($B$18:$GQ$18,MATCH(141,$B$29:$GQ$29,0))</f>
        <v/>
      </c>
      <c r="EM4">
        <f>INDEX($B$18:$GQ$18,MATCH(142,$B$29:$GQ$29,0))</f>
        <v/>
      </c>
      <c r="EN4">
        <f>INDEX($B$18:$GQ$18,MATCH(143,$B$29:$GQ$29,0))</f>
        <v/>
      </c>
      <c r="EO4">
        <f>INDEX($B$18:$GQ$18,MATCH(144,$B$29:$GQ$29,0))</f>
        <v/>
      </c>
      <c r="EP4">
        <f>INDEX($B$18:$GQ$18,MATCH(145,$B$29:$GQ$29,0))</f>
        <v/>
      </c>
      <c r="EQ4">
        <f>INDEX($B$18:$GQ$18,MATCH(146,$B$29:$GQ$29,0))</f>
        <v/>
      </c>
      <c r="ER4">
        <f>INDEX($B$18:$GQ$18,MATCH(147,$B$29:$GQ$29,0))</f>
        <v/>
      </c>
      <c r="ES4">
        <f>INDEX($B$18:$GQ$18,MATCH(148,$B$29:$GQ$29,0))</f>
        <v/>
      </c>
      <c r="ET4">
        <f>INDEX($B$18:$GQ$18,MATCH(149,$B$29:$GQ$29,0))</f>
        <v/>
      </c>
      <c r="EU4">
        <f>INDEX($B$18:$GQ$18,MATCH(150,$B$29:$GQ$29,0))</f>
        <v/>
      </c>
      <c r="EV4">
        <f>INDEX($B$18:$GQ$18,MATCH(151,$B$29:$GQ$29,0))</f>
        <v/>
      </c>
      <c r="EW4">
        <f>INDEX($B$18:$GQ$18,MATCH(152,$B$29:$GQ$29,0))</f>
        <v/>
      </c>
      <c r="EX4">
        <f>INDEX($B$18:$GQ$18,MATCH(153,$B$29:$GQ$29,0))</f>
        <v/>
      </c>
      <c r="EY4">
        <f>INDEX($B$18:$GQ$18,MATCH(154,$B$29:$GQ$29,0))</f>
        <v/>
      </c>
      <c r="EZ4">
        <f>INDEX($B$18:$GQ$18,MATCH(155,$B$29:$GQ$29,0))</f>
        <v/>
      </c>
      <c r="FA4">
        <f>INDEX($B$18:$GQ$18,MATCH(156,$B$29:$GQ$29,0))</f>
        <v/>
      </c>
      <c r="FB4">
        <f>INDEX($B$18:$GQ$18,MATCH(157,$B$29:$GQ$29,0))</f>
        <v/>
      </c>
      <c r="FC4">
        <f>INDEX($B$18:$GQ$18,MATCH(158,$B$29:$GQ$29,0))</f>
        <v/>
      </c>
      <c r="FD4">
        <f>INDEX($B$18:$GQ$18,MATCH(159,$B$29:$GQ$29,0))</f>
        <v/>
      </c>
      <c r="FE4">
        <f>INDEX($B$18:$GQ$18,MATCH(160,$B$29:$GQ$29,0))</f>
        <v/>
      </c>
      <c r="FF4">
        <f>INDEX($B$18:$GQ$18,MATCH(161,$B$29:$GQ$29,0))</f>
        <v/>
      </c>
      <c r="FG4">
        <f>INDEX($B$18:$GQ$18,MATCH(162,$B$29:$GQ$29,0))</f>
        <v/>
      </c>
      <c r="FH4">
        <f>INDEX($B$18:$GQ$18,MATCH(163,$B$29:$GQ$29,0))</f>
        <v/>
      </c>
      <c r="FI4">
        <f>INDEX($B$18:$GQ$18,MATCH(164,$B$29:$GQ$29,0))</f>
        <v/>
      </c>
      <c r="FJ4">
        <f>INDEX($B$18:$GQ$18,MATCH(165,$B$29:$GQ$29,0))</f>
        <v/>
      </c>
      <c r="FK4">
        <f>INDEX($B$18:$GQ$18,MATCH(166,$B$29:$GQ$29,0))</f>
        <v/>
      </c>
      <c r="FL4">
        <f>INDEX($B$18:$GQ$18,MATCH(167,$B$29:$GQ$29,0))</f>
        <v/>
      </c>
      <c r="FM4">
        <f>INDEX($B$18:$GQ$18,MATCH(168,$B$29:$GQ$29,0))</f>
        <v/>
      </c>
      <c r="FN4">
        <f>INDEX($B$18:$GQ$18,MATCH(169,$B$29:$GQ$29,0))</f>
        <v/>
      </c>
      <c r="FO4">
        <f>INDEX($B$18:$GQ$18,MATCH(170,$B$29:$GQ$29,0))</f>
        <v/>
      </c>
      <c r="FP4">
        <f>INDEX($B$18:$GQ$18,MATCH(171,$B$29:$GQ$29,0))</f>
        <v/>
      </c>
      <c r="FQ4">
        <f>INDEX($B$18:$GQ$18,MATCH(172,$B$29:$GQ$29,0))</f>
        <v/>
      </c>
      <c r="FR4">
        <f>INDEX($B$18:$GQ$18,MATCH(173,$B$29:$GQ$29,0))</f>
        <v/>
      </c>
      <c r="FS4">
        <f>INDEX($B$18:$GQ$18,MATCH(174,$B$29:$GQ$29,0))</f>
        <v/>
      </c>
      <c r="FT4">
        <f>INDEX($B$18:$GQ$18,MATCH(175,$B$29:$GQ$29,0))</f>
        <v/>
      </c>
      <c r="FU4">
        <f>INDEX($B$18:$GQ$18,MATCH(176,$B$29:$GQ$29,0))</f>
        <v/>
      </c>
      <c r="FV4">
        <f>INDEX($B$18:$GQ$18,MATCH(177,$B$29:$GQ$29,0))</f>
        <v/>
      </c>
      <c r="FW4">
        <f>INDEX($B$18:$GQ$18,MATCH(178,$B$29:$GQ$29,0))</f>
        <v/>
      </c>
      <c r="FX4">
        <f>INDEX($B$18:$GQ$18,MATCH(179,$B$29:$GQ$29,0))</f>
        <v/>
      </c>
      <c r="FY4">
        <f>INDEX($B$18:$GQ$18,MATCH(180,$B$29:$GQ$29,0))</f>
        <v/>
      </c>
      <c r="FZ4">
        <f>INDEX($B$18:$GQ$18,MATCH(181,$B$29:$GQ$29,0))</f>
        <v/>
      </c>
      <c r="GA4">
        <f>INDEX($B$18:$GQ$18,MATCH(182,$B$29:$GQ$29,0))</f>
        <v/>
      </c>
      <c r="GB4">
        <f>INDEX($B$18:$GQ$18,MATCH(183,$B$29:$GQ$29,0))</f>
        <v/>
      </c>
      <c r="GC4">
        <f>INDEX($B$18:$GQ$18,MATCH(184,$B$29:$GQ$29,0))</f>
        <v/>
      </c>
      <c r="GD4">
        <f>INDEX($B$18:$GQ$18,MATCH(185,$B$29:$GQ$29,0))</f>
        <v/>
      </c>
      <c r="GE4">
        <f>INDEX($B$18:$GQ$18,MATCH(186,$B$29:$GQ$29,0))</f>
        <v/>
      </c>
      <c r="GF4">
        <f>INDEX($B$18:$GQ$18,MATCH(187,$B$29:$GQ$29,0))</f>
        <v/>
      </c>
      <c r="GG4">
        <f>INDEX($B$18:$GQ$18,MATCH(188,$B$29:$GQ$29,0))</f>
        <v/>
      </c>
      <c r="GH4">
        <f>INDEX($B$18:$GQ$18,MATCH(189,$B$29:$GQ$29,0))</f>
        <v/>
      </c>
      <c r="GI4">
        <f>INDEX($B$18:$GQ$18,MATCH(190,$B$29:$GQ$29,0))</f>
        <v/>
      </c>
      <c r="GJ4">
        <f>INDEX($B$18:$GQ$18,MATCH(191,$B$29:$GQ$29,0))</f>
        <v/>
      </c>
      <c r="GK4">
        <f>INDEX($B$18:$GQ$18,MATCH(192,$B$29:$GQ$29,0))</f>
        <v/>
      </c>
      <c r="GL4">
        <f>INDEX($B$18:$GQ$18,MATCH(193,$B$29:$GQ$29,0))</f>
        <v/>
      </c>
      <c r="GM4">
        <f>INDEX($B$18:$GQ$18,MATCH(194,$B$29:$GQ$29,0))</f>
        <v/>
      </c>
      <c r="GN4">
        <f>INDEX($B$18:$GQ$18,MATCH(195,$B$29:$GQ$29,0))</f>
        <v/>
      </c>
      <c r="GO4">
        <f>INDEX($B$18:$GQ$18,MATCH(196,$B$29:$GQ$29,0))</f>
        <v/>
      </c>
      <c r="GP4">
        <f>INDEX($B$18:$GQ$18,MATCH(197,$B$29:$GQ$29,0))</f>
        <v/>
      </c>
      <c r="GQ4">
        <f>INDEX($B$18:$GQ$18,MATCH(198,$B$29:$GQ$29,0))</f>
        <v/>
      </c>
      <c r="GR4">
        <f>INDEX($GR$18:$HC$18,MATCH(1,$GR$30:$HC$30,0))</f>
        <v/>
      </c>
      <c r="GS4">
        <f>INDEX($GR$18:$HC$18,MATCH(2,$GR$30:$HC$30,0))</f>
        <v/>
      </c>
      <c r="GT4">
        <f>INDEX($GR$18:$HC$18,MATCH(3,$GR$30:$HC$30,0))</f>
        <v/>
      </c>
      <c r="GU4">
        <f>INDEX($GR$18:$HC$18,MATCH(4,$GR$30:$HC$30,0))</f>
        <v/>
      </c>
      <c r="GV4">
        <f>INDEX($GR$18:$HC$18,MATCH(5,$GR$30:$HC$30,0))</f>
        <v/>
      </c>
      <c r="GW4">
        <f>INDEX($GR$18:$HC$18,MATCH(6,$GR$30:$HC$30,0))</f>
        <v/>
      </c>
      <c r="GX4">
        <f>INDEX($GR$18:$HC$18,MATCH(7,$GR$30:$HC$30,0))</f>
        <v/>
      </c>
      <c r="GY4">
        <f>INDEX($GR$18:$HC$18,MATCH(8,$GR$30:$HC$30,0))</f>
        <v/>
      </c>
      <c r="GZ4">
        <f>INDEX($GR$18:$HC$18,MATCH(9,$GR$30:$HC$30,0))</f>
        <v/>
      </c>
      <c r="HA4">
        <f>INDEX($GR$18:$HC$18,MATCH(10,$GR$30:$HC$30,0))</f>
        <v/>
      </c>
      <c r="HB4">
        <f>INDEX($GR$18:$HC$18,MATCH(11,$GR$30:$HC$30,0))</f>
        <v/>
      </c>
      <c r="HC4">
        <f>INDEX($GR$18:$HC$18,MATCH(12,$GR$30:$HC$30,0))</f>
        <v/>
      </c>
    </row>
    <row r="5">
      <c r="A5" s="1" t="inlineStr">
        <is>
          <t>M_dom</t>
        </is>
      </c>
      <c r="B5">
        <f>INDEX($B$19:$GQ$19,MATCH(1,$B$29:$GQ$29,0))</f>
        <v/>
      </c>
      <c r="C5">
        <f>INDEX($B$19:$GQ$19,MATCH(2,$B$29:$GQ$29,0))</f>
        <v/>
      </c>
      <c r="D5">
        <f>INDEX($B$19:$GQ$19,MATCH(3,$B$29:$GQ$29,0))</f>
        <v/>
      </c>
      <c r="E5">
        <f>INDEX($B$19:$GQ$19,MATCH(4,$B$29:$GQ$29,0))</f>
        <v/>
      </c>
      <c r="F5">
        <f>INDEX($B$19:$GQ$19,MATCH(5,$B$29:$GQ$29,0))</f>
        <v/>
      </c>
      <c r="G5">
        <f>INDEX($B$19:$GQ$19,MATCH(6,$B$29:$GQ$29,0))</f>
        <v/>
      </c>
      <c r="H5">
        <f>INDEX($B$19:$GQ$19,MATCH(7,$B$29:$GQ$29,0))</f>
        <v/>
      </c>
      <c r="I5">
        <f>INDEX($B$19:$GQ$19,MATCH(8,$B$29:$GQ$29,0))</f>
        <v/>
      </c>
      <c r="J5">
        <f>INDEX($B$19:$GQ$19,MATCH(9,$B$29:$GQ$29,0))</f>
        <v/>
      </c>
      <c r="K5">
        <f>INDEX($B$19:$GQ$19,MATCH(10,$B$29:$GQ$29,0))</f>
        <v/>
      </c>
      <c r="L5">
        <f>INDEX($B$19:$GQ$19,MATCH(11,$B$29:$GQ$29,0))</f>
        <v/>
      </c>
      <c r="M5">
        <f>INDEX($B$19:$GQ$19,MATCH(12,$B$29:$GQ$29,0))</f>
        <v/>
      </c>
      <c r="N5">
        <f>INDEX($B$19:$GQ$19,MATCH(13,$B$29:$GQ$29,0))</f>
        <v/>
      </c>
      <c r="O5">
        <f>INDEX($B$19:$GQ$19,MATCH(14,$B$29:$GQ$29,0))</f>
        <v/>
      </c>
      <c r="P5">
        <f>INDEX($B$19:$GQ$19,MATCH(15,$B$29:$GQ$29,0))</f>
        <v/>
      </c>
      <c r="Q5">
        <f>INDEX($B$19:$GQ$19,MATCH(16,$B$29:$GQ$29,0))</f>
        <v/>
      </c>
      <c r="R5">
        <f>INDEX($B$19:$GQ$19,MATCH(17,$B$29:$GQ$29,0))</f>
        <v/>
      </c>
      <c r="S5">
        <f>INDEX($B$19:$GQ$19,MATCH(18,$B$29:$GQ$29,0))</f>
        <v/>
      </c>
      <c r="T5">
        <f>INDEX($B$19:$GQ$19,MATCH(19,$B$29:$GQ$29,0))</f>
        <v/>
      </c>
      <c r="U5">
        <f>INDEX($B$19:$GQ$19,MATCH(20,$B$29:$GQ$29,0))</f>
        <v/>
      </c>
      <c r="V5">
        <f>INDEX($B$19:$GQ$19,MATCH(21,$B$29:$GQ$29,0))</f>
        <v/>
      </c>
      <c r="W5">
        <f>INDEX($B$19:$GQ$19,MATCH(22,$B$29:$GQ$29,0))</f>
        <v/>
      </c>
      <c r="X5">
        <f>INDEX($B$19:$GQ$19,MATCH(23,$B$29:$GQ$29,0))</f>
        <v/>
      </c>
      <c r="Y5">
        <f>INDEX($B$19:$GQ$19,MATCH(24,$B$29:$GQ$29,0))</f>
        <v/>
      </c>
      <c r="Z5">
        <f>INDEX($B$19:$GQ$19,MATCH(25,$B$29:$GQ$29,0))</f>
        <v/>
      </c>
      <c r="AA5">
        <f>INDEX($B$19:$GQ$19,MATCH(26,$B$29:$GQ$29,0))</f>
        <v/>
      </c>
      <c r="AB5">
        <f>INDEX($B$19:$GQ$19,MATCH(27,$B$29:$GQ$29,0))</f>
        <v/>
      </c>
      <c r="AC5">
        <f>INDEX($B$19:$GQ$19,MATCH(28,$B$29:$GQ$29,0))</f>
        <v/>
      </c>
      <c r="AD5">
        <f>INDEX($B$19:$GQ$19,MATCH(29,$B$29:$GQ$29,0))</f>
        <v/>
      </c>
      <c r="AE5">
        <f>INDEX($B$19:$GQ$19,MATCH(30,$B$29:$GQ$29,0))</f>
        <v/>
      </c>
      <c r="AF5">
        <f>INDEX($B$19:$GQ$19,MATCH(31,$B$29:$GQ$29,0))</f>
        <v/>
      </c>
      <c r="AG5">
        <f>INDEX($B$19:$GQ$19,MATCH(32,$B$29:$GQ$29,0))</f>
        <v/>
      </c>
      <c r="AH5">
        <f>INDEX($B$19:$GQ$19,MATCH(33,$B$29:$GQ$29,0))</f>
        <v/>
      </c>
      <c r="AI5">
        <f>INDEX($B$19:$GQ$19,MATCH(34,$B$29:$GQ$29,0))</f>
        <v/>
      </c>
      <c r="AJ5">
        <f>INDEX($B$19:$GQ$19,MATCH(35,$B$29:$GQ$29,0))</f>
        <v/>
      </c>
      <c r="AK5">
        <f>INDEX($B$19:$GQ$19,MATCH(36,$B$29:$GQ$29,0))</f>
        <v/>
      </c>
      <c r="AL5">
        <f>INDEX($B$19:$GQ$19,MATCH(37,$B$29:$GQ$29,0))</f>
        <v/>
      </c>
      <c r="AM5">
        <f>INDEX($B$19:$GQ$19,MATCH(38,$B$29:$GQ$29,0))</f>
        <v/>
      </c>
      <c r="AN5">
        <f>INDEX($B$19:$GQ$19,MATCH(39,$B$29:$GQ$29,0))</f>
        <v/>
      </c>
      <c r="AO5">
        <f>INDEX($B$19:$GQ$19,MATCH(40,$B$29:$GQ$29,0))</f>
        <v/>
      </c>
      <c r="AP5">
        <f>INDEX($B$19:$GQ$19,MATCH(41,$B$29:$GQ$29,0))</f>
        <v/>
      </c>
      <c r="AQ5">
        <f>INDEX($B$19:$GQ$19,MATCH(42,$B$29:$GQ$29,0))</f>
        <v/>
      </c>
      <c r="AR5">
        <f>INDEX($B$19:$GQ$19,MATCH(43,$B$29:$GQ$29,0))</f>
        <v/>
      </c>
      <c r="AS5">
        <f>INDEX($B$19:$GQ$19,MATCH(44,$B$29:$GQ$29,0))</f>
        <v/>
      </c>
      <c r="AT5">
        <f>INDEX($B$19:$GQ$19,MATCH(45,$B$29:$GQ$29,0))</f>
        <v/>
      </c>
      <c r="AU5">
        <f>INDEX($B$19:$GQ$19,MATCH(46,$B$29:$GQ$29,0))</f>
        <v/>
      </c>
      <c r="AV5">
        <f>INDEX($B$19:$GQ$19,MATCH(47,$B$29:$GQ$29,0))</f>
        <v/>
      </c>
      <c r="AW5">
        <f>INDEX($B$19:$GQ$19,MATCH(48,$B$29:$GQ$29,0))</f>
        <v/>
      </c>
      <c r="AX5">
        <f>INDEX($B$19:$GQ$19,MATCH(49,$B$29:$GQ$29,0))</f>
        <v/>
      </c>
      <c r="AY5">
        <f>INDEX($B$19:$GQ$19,MATCH(50,$B$29:$GQ$29,0))</f>
        <v/>
      </c>
      <c r="AZ5">
        <f>INDEX($B$19:$GQ$19,MATCH(51,$B$29:$GQ$29,0))</f>
        <v/>
      </c>
      <c r="BA5">
        <f>INDEX($B$19:$GQ$19,MATCH(52,$B$29:$GQ$29,0))</f>
        <v/>
      </c>
      <c r="BB5">
        <f>INDEX($B$19:$GQ$19,MATCH(53,$B$29:$GQ$29,0))</f>
        <v/>
      </c>
      <c r="BC5">
        <f>INDEX($B$19:$GQ$19,MATCH(54,$B$29:$GQ$29,0))</f>
        <v/>
      </c>
      <c r="BD5">
        <f>INDEX($B$19:$GQ$19,MATCH(55,$B$29:$GQ$29,0))</f>
        <v/>
      </c>
      <c r="BE5">
        <f>INDEX($B$19:$GQ$19,MATCH(56,$B$29:$GQ$29,0))</f>
        <v/>
      </c>
      <c r="BF5">
        <f>INDEX($B$19:$GQ$19,MATCH(57,$B$29:$GQ$29,0))</f>
        <v/>
      </c>
      <c r="BG5">
        <f>INDEX($B$19:$GQ$19,MATCH(58,$B$29:$GQ$29,0))</f>
        <v/>
      </c>
      <c r="BH5">
        <f>INDEX($B$19:$GQ$19,MATCH(59,$B$29:$GQ$29,0))</f>
        <v/>
      </c>
      <c r="BI5">
        <f>INDEX($B$19:$GQ$19,MATCH(60,$B$29:$GQ$29,0))</f>
        <v/>
      </c>
      <c r="BJ5">
        <f>INDEX($B$19:$GQ$19,MATCH(61,$B$29:$GQ$29,0))</f>
        <v/>
      </c>
      <c r="BK5">
        <f>INDEX($B$19:$GQ$19,MATCH(62,$B$29:$GQ$29,0))</f>
        <v/>
      </c>
      <c r="BL5">
        <f>INDEX($B$19:$GQ$19,MATCH(63,$B$29:$GQ$29,0))</f>
        <v/>
      </c>
      <c r="BM5">
        <f>INDEX($B$19:$GQ$19,MATCH(64,$B$29:$GQ$29,0))</f>
        <v/>
      </c>
      <c r="BN5">
        <f>INDEX($B$19:$GQ$19,MATCH(65,$B$29:$GQ$29,0))</f>
        <v/>
      </c>
      <c r="BO5">
        <f>INDEX($B$19:$GQ$19,MATCH(66,$B$29:$GQ$29,0))</f>
        <v/>
      </c>
      <c r="BP5">
        <f>INDEX($B$19:$GQ$19,MATCH(67,$B$29:$GQ$29,0))</f>
        <v/>
      </c>
      <c r="BQ5">
        <f>INDEX($B$19:$GQ$19,MATCH(68,$B$29:$GQ$29,0))</f>
        <v/>
      </c>
      <c r="BR5">
        <f>INDEX($B$19:$GQ$19,MATCH(69,$B$29:$GQ$29,0))</f>
        <v/>
      </c>
      <c r="BS5">
        <f>INDEX($B$19:$GQ$19,MATCH(70,$B$29:$GQ$29,0))</f>
        <v/>
      </c>
      <c r="BT5">
        <f>INDEX($B$19:$GQ$19,MATCH(71,$B$29:$GQ$29,0))</f>
        <v/>
      </c>
      <c r="BU5">
        <f>INDEX($B$19:$GQ$19,MATCH(72,$B$29:$GQ$29,0))</f>
        <v/>
      </c>
      <c r="BV5">
        <f>INDEX($B$19:$GQ$19,MATCH(73,$B$29:$GQ$29,0))</f>
        <v/>
      </c>
      <c r="BW5">
        <f>INDEX($B$19:$GQ$19,MATCH(74,$B$29:$GQ$29,0))</f>
        <v/>
      </c>
      <c r="BX5">
        <f>INDEX($B$19:$GQ$19,MATCH(75,$B$29:$GQ$29,0))</f>
        <v/>
      </c>
      <c r="BY5">
        <f>INDEX($B$19:$GQ$19,MATCH(76,$B$29:$GQ$29,0))</f>
        <v/>
      </c>
      <c r="BZ5">
        <f>INDEX($B$19:$GQ$19,MATCH(77,$B$29:$GQ$29,0))</f>
        <v/>
      </c>
      <c r="CA5">
        <f>INDEX($B$19:$GQ$19,MATCH(78,$B$29:$GQ$29,0))</f>
        <v/>
      </c>
      <c r="CB5">
        <f>INDEX($B$19:$GQ$19,MATCH(79,$B$29:$GQ$29,0))</f>
        <v/>
      </c>
      <c r="CC5">
        <f>INDEX($B$19:$GQ$19,MATCH(80,$B$29:$GQ$29,0))</f>
        <v/>
      </c>
      <c r="CD5">
        <f>INDEX($B$19:$GQ$19,MATCH(81,$B$29:$GQ$29,0))</f>
        <v/>
      </c>
      <c r="CE5">
        <f>INDEX($B$19:$GQ$19,MATCH(82,$B$29:$GQ$29,0))</f>
        <v/>
      </c>
      <c r="CF5">
        <f>INDEX($B$19:$GQ$19,MATCH(83,$B$29:$GQ$29,0))</f>
        <v/>
      </c>
      <c r="CG5">
        <f>INDEX($B$19:$GQ$19,MATCH(84,$B$29:$GQ$29,0))</f>
        <v/>
      </c>
      <c r="CH5">
        <f>INDEX($B$19:$GQ$19,MATCH(85,$B$29:$GQ$29,0))</f>
        <v/>
      </c>
      <c r="CI5">
        <f>INDEX($B$19:$GQ$19,MATCH(86,$B$29:$GQ$29,0))</f>
        <v/>
      </c>
      <c r="CJ5">
        <f>INDEX($B$19:$GQ$19,MATCH(87,$B$29:$GQ$29,0))</f>
        <v/>
      </c>
      <c r="CK5">
        <f>INDEX($B$19:$GQ$19,MATCH(88,$B$29:$GQ$29,0))</f>
        <v/>
      </c>
      <c r="CL5">
        <f>INDEX($B$19:$GQ$19,MATCH(89,$B$29:$GQ$29,0))</f>
        <v/>
      </c>
      <c r="CM5">
        <f>INDEX($B$19:$GQ$19,MATCH(90,$B$29:$GQ$29,0))</f>
        <v/>
      </c>
      <c r="CN5">
        <f>INDEX($B$19:$GQ$19,MATCH(91,$B$29:$GQ$29,0))</f>
        <v/>
      </c>
      <c r="CO5">
        <f>INDEX($B$19:$GQ$19,MATCH(92,$B$29:$GQ$29,0))</f>
        <v/>
      </c>
      <c r="CP5">
        <f>INDEX($B$19:$GQ$19,MATCH(93,$B$29:$GQ$29,0))</f>
        <v/>
      </c>
      <c r="CQ5">
        <f>INDEX($B$19:$GQ$19,MATCH(94,$B$29:$GQ$29,0))</f>
        <v/>
      </c>
      <c r="CR5">
        <f>INDEX($B$19:$GQ$19,MATCH(95,$B$29:$GQ$29,0))</f>
        <v/>
      </c>
      <c r="CS5">
        <f>INDEX($B$19:$GQ$19,MATCH(96,$B$29:$GQ$29,0))</f>
        <v/>
      </c>
      <c r="CT5">
        <f>INDEX($B$19:$GQ$19,MATCH(97,$B$29:$GQ$29,0))</f>
        <v/>
      </c>
      <c r="CU5">
        <f>INDEX($B$19:$GQ$19,MATCH(98,$B$29:$GQ$29,0))</f>
        <v/>
      </c>
      <c r="CV5">
        <f>INDEX($B$19:$GQ$19,MATCH(99,$B$29:$GQ$29,0))</f>
        <v/>
      </c>
      <c r="CW5">
        <f>INDEX($B$19:$GQ$19,MATCH(100,$B$29:$GQ$29,0))</f>
        <v/>
      </c>
      <c r="CX5">
        <f>INDEX($B$19:$GQ$19,MATCH(101,$B$29:$GQ$29,0))</f>
        <v/>
      </c>
      <c r="CY5">
        <f>INDEX($B$19:$GQ$19,MATCH(102,$B$29:$GQ$29,0))</f>
        <v/>
      </c>
      <c r="CZ5">
        <f>INDEX($B$19:$GQ$19,MATCH(103,$B$29:$GQ$29,0))</f>
        <v/>
      </c>
      <c r="DA5">
        <f>INDEX($B$19:$GQ$19,MATCH(104,$B$29:$GQ$29,0))</f>
        <v/>
      </c>
      <c r="DB5">
        <f>INDEX($B$19:$GQ$19,MATCH(105,$B$29:$GQ$29,0))</f>
        <v/>
      </c>
      <c r="DC5">
        <f>INDEX($B$19:$GQ$19,MATCH(106,$B$29:$GQ$29,0))</f>
        <v/>
      </c>
      <c r="DD5">
        <f>INDEX($B$19:$GQ$19,MATCH(107,$B$29:$GQ$29,0))</f>
        <v/>
      </c>
      <c r="DE5">
        <f>INDEX($B$19:$GQ$19,MATCH(108,$B$29:$GQ$29,0))</f>
        <v/>
      </c>
      <c r="DF5">
        <f>INDEX($B$19:$GQ$19,MATCH(109,$B$29:$GQ$29,0))</f>
        <v/>
      </c>
      <c r="DG5">
        <f>INDEX($B$19:$GQ$19,MATCH(110,$B$29:$GQ$29,0))</f>
        <v/>
      </c>
      <c r="DH5">
        <f>INDEX($B$19:$GQ$19,MATCH(111,$B$29:$GQ$29,0))</f>
        <v/>
      </c>
      <c r="DI5">
        <f>INDEX($B$19:$GQ$19,MATCH(112,$B$29:$GQ$29,0))</f>
        <v/>
      </c>
      <c r="DJ5">
        <f>INDEX($B$19:$GQ$19,MATCH(113,$B$29:$GQ$29,0))</f>
        <v/>
      </c>
      <c r="DK5">
        <f>INDEX($B$19:$GQ$19,MATCH(114,$B$29:$GQ$29,0))</f>
        <v/>
      </c>
      <c r="DL5">
        <f>INDEX($B$19:$GQ$19,MATCH(115,$B$29:$GQ$29,0))</f>
        <v/>
      </c>
      <c r="DM5">
        <f>INDEX($B$19:$GQ$19,MATCH(116,$B$29:$GQ$29,0))</f>
        <v/>
      </c>
      <c r="DN5">
        <f>INDEX($B$19:$GQ$19,MATCH(117,$B$29:$GQ$29,0))</f>
        <v/>
      </c>
      <c r="DO5">
        <f>INDEX($B$19:$GQ$19,MATCH(118,$B$29:$GQ$29,0))</f>
        <v/>
      </c>
      <c r="DP5">
        <f>INDEX($B$19:$GQ$19,MATCH(119,$B$29:$GQ$29,0))</f>
        <v/>
      </c>
      <c r="DQ5">
        <f>INDEX($B$19:$GQ$19,MATCH(120,$B$29:$GQ$29,0))</f>
        <v/>
      </c>
      <c r="DR5">
        <f>INDEX($B$19:$GQ$19,MATCH(121,$B$29:$GQ$29,0))</f>
        <v/>
      </c>
      <c r="DS5">
        <f>INDEX($B$19:$GQ$19,MATCH(122,$B$29:$GQ$29,0))</f>
        <v/>
      </c>
      <c r="DT5">
        <f>INDEX($B$19:$GQ$19,MATCH(123,$B$29:$GQ$29,0))</f>
        <v/>
      </c>
      <c r="DU5">
        <f>INDEX($B$19:$GQ$19,MATCH(124,$B$29:$GQ$29,0))</f>
        <v/>
      </c>
      <c r="DV5">
        <f>INDEX($B$19:$GQ$19,MATCH(125,$B$29:$GQ$29,0))</f>
        <v/>
      </c>
      <c r="DW5">
        <f>INDEX($B$19:$GQ$19,MATCH(126,$B$29:$GQ$29,0))</f>
        <v/>
      </c>
      <c r="DX5">
        <f>INDEX($B$19:$GQ$19,MATCH(127,$B$29:$GQ$29,0))</f>
        <v/>
      </c>
      <c r="DY5">
        <f>INDEX($B$19:$GQ$19,MATCH(128,$B$29:$GQ$29,0))</f>
        <v/>
      </c>
      <c r="DZ5">
        <f>INDEX($B$19:$GQ$19,MATCH(129,$B$29:$GQ$29,0))</f>
        <v/>
      </c>
      <c r="EA5">
        <f>INDEX($B$19:$GQ$19,MATCH(130,$B$29:$GQ$29,0))</f>
        <v/>
      </c>
      <c r="EB5">
        <f>INDEX($B$19:$GQ$19,MATCH(131,$B$29:$GQ$29,0))</f>
        <v/>
      </c>
      <c r="EC5">
        <f>INDEX($B$19:$GQ$19,MATCH(132,$B$29:$GQ$29,0))</f>
        <v/>
      </c>
      <c r="ED5">
        <f>INDEX($B$19:$GQ$19,MATCH(133,$B$29:$GQ$29,0))</f>
        <v/>
      </c>
      <c r="EE5">
        <f>INDEX($B$19:$GQ$19,MATCH(134,$B$29:$GQ$29,0))</f>
        <v/>
      </c>
      <c r="EF5">
        <f>INDEX($B$19:$GQ$19,MATCH(135,$B$29:$GQ$29,0))</f>
        <v/>
      </c>
      <c r="EG5">
        <f>INDEX($B$19:$GQ$19,MATCH(136,$B$29:$GQ$29,0))</f>
        <v/>
      </c>
      <c r="EH5">
        <f>INDEX($B$19:$GQ$19,MATCH(137,$B$29:$GQ$29,0))</f>
        <v/>
      </c>
      <c r="EI5">
        <f>INDEX($B$19:$GQ$19,MATCH(138,$B$29:$GQ$29,0))</f>
        <v/>
      </c>
      <c r="EJ5">
        <f>INDEX($B$19:$GQ$19,MATCH(139,$B$29:$GQ$29,0))</f>
        <v/>
      </c>
      <c r="EK5">
        <f>INDEX($B$19:$GQ$19,MATCH(140,$B$29:$GQ$29,0))</f>
        <v/>
      </c>
      <c r="EL5">
        <f>INDEX($B$19:$GQ$19,MATCH(141,$B$29:$GQ$29,0))</f>
        <v/>
      </c>
      <c r="EM5">
        <f>INDEX($B$19:$GQ$19,MATCH(142,$B$29:$GQ$29,0))</f>
        <v/>
      </c>
      <c r="EN5">
        <f>INDEX($B$19:$GQ$19,MATCH(143,$B$29:$GQ$29,0))</f>
        <v/>
      </c>
      <c r="EO5">
        <f>INDEX($B$19:$GQ$19,MATCH(144,$B$29:$GQ$29,0))</f>
        <v/>
      </c>
      <c r="EP5">
        <f>INDEX($B$19:$GQ$19,MATCH(145,$B$29:$GQ$29,0))</f>
        <v/>
      </c>
      <c r="EQ5">
        <f>INDEX($B$19:$GQ$19,MATCH(146,$B$29:$GQ$29,0))</f>
        <v/>
      </c>
      <c r="ER5">
        <f>INDEX($B$19:$GQ$19,MATCH(147,$B$29:$GQ$29,0))</f>
        <v/>
      </c>
      <c r="ES5">
        <f>INDEX($B$19:$GQ$19,MATCH(148,$B$29:$GQ$29,0))</f>
        <v/>
      </c>
      <c r="ET5">
        <f>INDEX($B$19:$GQ$19,MATCH(149,$B$29:$GQ$29,0))</f>
        <v/>
      </c>
      <c r="EU5">
        <f>INDEX($B$19:$GQ$19,MATCH(150,$B$29:$GQ$29,0))</f>
        <v/>
      </c>
      <c r="EV5">
        <f>INDEX($B$19:$GQ$19,MATCH(151,$B$29:$GQ$29,0))</f>
        <v/>
      </c>
      <c r="EW5">
        <f>INDEX($B$19:$GQ$19,MATCH(152,$B$29:$GQ$29,0))</f>
        <v/>
      </c>
      <c r="EX5">
        <f>INDEX($B$19:$GQ$19,MATCH(153,$B$29:$GQ$29,0))</f>
        <v/>
      </c>
      <c r="EY5">
        <f>INDEX($B$19:$GQ$19,MATCH(154,$B$29:$GQ$29,0))</f>
        <v/>
      </c>
      <c r="EZ5">
        <f>INDEX($B$19:$GQ$19,MATCH(155,$B$29:$GQ$29,0))</f>
        <v/>
      </c>
      <c r="FA5">
        <f>INDEX($B$19:$GQ$19,MATCH(156,$B$29:$GQ$29,0))</f>
        <v/>
      </c>
      <c r="FB5">
        <f>INDEX($B$19:$GQ$19,MATCH(157,$B$29:$GQ$29,0))</f>
        <v/>
      </c>
      <c r="FC5">
        <f>INDEX($B$19:$GQ$19,MATCH(158,$B$29:$GQ$29,0))</f>
        <v/>
      </c>
      <c r="FD5">
        <f>INDEX($B$19:$GQ$19,MATCH(159,$B$29:$GQ$29,0))</f>
        <v/>
      </c>
      <c r="FE5">
        <f>INDEX($B$19:$GQ$19,MATCH(160,$B$29:$GQ$29,0))</f>
        <v/>
      </c>
      <c r="FF5">
        <f>INDEX($B$19:$GQ$19,MATCH(161,$B$29:$GQ$29,0))</f>
        <v/>
      </c>
      <c r="FG5">
        <f>INDEX($B$19:$GQ$19,MATCH(162,$B$29:$GQ$29,0))</f>
        <v/>
      </c>
      <c r="FH5">
        <f>INDEX($B$19:$GQ$19,MATCH(163,$B$29:$GQ$29,0))</f>
        <v/>
      </c>
      <c r="FI5">
        <f>INDEX($B$19:$GQ$19,MATCH(164,$B$29:$GQ$29,0))</f>
        <v/>
      </c>
      <c r="FJ5">
        <f>INDEX($B$19:$GQ$19,MATCH(165,$B$29:$GQ$29,0))</f>
        <v/>
      </c>
      <c r="FK5">
        <f>INDEX($B$19:$GQ$19,MATCH(166,$B$29:$GQ$29,0))</f>
        <v/>
      </c>
      <c r="FL5">
        <f>INDEX($B$19:$GQ$19,MATCH(167,$B$29:$GQ$29,0))</f>
        <v/>
      </c>
      <c r="FM5">
        <f>INDEX($B$19:$GQ$19,MATCH(168,$B$29:$GQ$29,0))</f>
        <v/>
      </c>
      <c r="FN5">
        <f>INDEX($B$19:$GQ$19,MATCH(169,$B$29:$GQ$29,0))</f>
        <v/>
      </c>
      <c r="FO5">
        <f>INDEX($B$19:$GQ$19,MATCH(170,$B$29:$GQ$29,0))</f>
        <v/>
      </c>
      <c r="FP5">
        <f>INDEX($B$19:$GQ$19,MATCH(171,$B$29:$GQ$29,0))</f>
        <v/>
      </c>
      <c r="FQ5">
        <f>INDEX($B$19:$GQ$19,MATCH(172,$B$29:$GQ$29,0))</f>
        <v/>
      </c>
      <c r="FR5">
        <f>INDEX($B$19:$GQ$19,MATCH(173,$B$29:$GQ$29,0))</f>
        <v/>
      </c>
      <c r="FS5">
        <f>INDEX($B$19:$GQ$19,MATCH(174,$B$29:$GQ$29,0))</f>
        <v/>
      </c>
      <c r="FT5">
        <f>INDEX($B$19:$GQ$19,MATCH(175,$B$29:$GQ$29,0))</f>
        <v/>
      </c>
      <c r="FU5">
        <f>INDEX($B$19:$GQ$19,MATCH(176,$B$29:$GQ$29,0))</f>
        <v/>
      </c>
      <c r="FV5">
        <f>INDEX($B$19:$GQ$19,MATCH(177,$B$29:$GQ$29,0))</f>
        <v/>
      </c>
      <c r="FW5">
        <f>INDEX($B$19:$GQ$19,MATCH(178,$B$29:$GQ$29,0))</f>
        <v/>
      </c>
      <c r="FX5">
        <f>INDEX($B$19:$GQ$19,MATCH(179,$B$29:$GQ$29,0))</f>
        <v/>
      </c>
      <c r="FY5">
        <f>INDEX($B$19:$GQ$19,MATCH(180,$B$29:$GQ$29,0))</f>
        <v/>
      </c>
      <c r="FZ5">
        <f>INDEX($B$19:$GQ$19,MATCH(181,$B$29:$GQ$29,0))</f>
        <v/>
      </c>
      <c r="GA5">
        <f>INDEX($B$19:$GQ$19,MATCH(182,$B$29:$GQ$29,0))</f>
        <v/>
      </c>
      <c r="GB5">
        <f>INDEX($B$19:$GQ$19,MATCH(183,$B$29:$GQ$29,0))</f>
        <v/>
      </c>
      <c r="GC5">
        <f>INDEX($B$19:$GQ$19,MATCH(184,$B$29:$GQ$29,0))</f>
        <v/>
      </c>
      <c r="GD5">
        <f>INDEX($B$19:$GQ$19,MATCH(185,$B$29:$GQ$29,0))</f>
        <v/>
      </c>
      <c r="GE5">
        <f>INDEX($B$19:$GQ$19,MATCH(186,$B$29:$GQ$29,0))</f>
        <v/>
      </c>
      <c r="GF5">
        <f>INDEX($B$19:$GQ$19,MATCH(187,$B$29:$GQ$29,0))</f>
        <v/>
      </c>
      <c r="GG5">
        <f>INDEX($B$19:$GQ$19,MATCH(188,$B$29:$GQ$29,0))</f>
        <v/>
      </c>
      <c r="GH5">
        <f>INDEX($B$19:$GQ$19,MATCH(189,$B$29:$GQ$29,0))</f>
        <v/>
      </c>
      <c r="GI5">
        <f>INDEX($B$19:$GQ$19,MATCH(190,$B$29:$GQ$29,0))</f>
        <v/>
      </c>
      <c r="GJ5">
        <f>INDEX($B$19:$GQ$19,MATCH(191,$B$29:$GQ$29,0))</f>
        <v/>
      </c>
      <c r="GK5">
        <f>INDEX($B$19:$GQ$19,MATCH(192,$B$29:$GQ$29,0))</f>
        <v/>
      </c>
      <c r="GL5">
        <f>INDEX($B$19:$GQ$19,MATCH(193,$B$29:$GQ$29,0))</f>
        <v/>
      </c>
      <c r="GM5">
        <f>INDEX($B$19:$GQ$19,MATCH(194,$B$29:$GQ$29,0))</f>
        <v/>
      </c>
      <c r="GN5">
        <f>INDEX($B$19:$GQ$19,MATCH(195,$B$29:$GQ$29,0))</f>
        <v/>
      </c>
      <c r="GO5">
        <f>INDEX($B$19:$GQ$19,MATCH(196,$B$29:$GQ$29,0))</f>
        <v/>
      </c>
      <c r="GP5">
        <f>INDEX($B$19:$GQ$19,MATCH(197,$B$29:$GQ$29,0))</f>
        <v/>
      </c>
      <c r="GQ5">
        <f>INDEX($B$19:$GQ$19,MATCH(198,$B$29:$GQ$29,0))</f>
        <v/>
      </c>
      <c r="GR5">
        <f>INDEX($GR$19:$HC$19,MATCH(1,$GR$30:$HC$30,0))</f>
        <v/>
      </c>
      <c r="GS5">
        <f>INDEX($GR$19:$HC$19,MATCH(2,$GR$30:$HC$30,0))</f>
        <v/>
      </c>
      <c r="GT5">
        <f>INDEX($GR$19:$HC$19,MATCH(3,$GR$30:$HC$30,0))</f>
        <v/>
      </c>
      <c r="GU5">
        <f>INDEX($GR$19:$HC$19,MATCH(4,$GR$30:$HC$30,0))</f>
        <v/>
      </c>
      <c r="GV5">
        <f>INDEX($GR$19:$HC$19,MATCH(5,$GR$30:$HC$30,0))</f>
        <v/>
      </c>
      <c r="GW5">
        <f>INDEX($GR$19:$HC$19,MATCH(6,$GR$30:$HC$30,0))</f>
        <v/>
      </c>
      <c r="GX5">
        <f>INDEX($GR$19:$HC$19,MATCH(7,$GR$30:$HC$30,0))</f>
        <v/>
      </c>
      <c r="GY5">
        <f>INDEX($GR$19:$HC$19,MATCH(8,$GR$30:$HC$30,0))</f>
        <v/>
      </c>
      <c r="GZ5">
        <f>INDEX($GR$19:$HC$19,MATCH(9,$GR$30:$HC$30,0))</f>
        <v/>
      </c>
      <c r="HA5">
        <f>INDEX($GR$19:$HC$19,MATCH(10,$GR$30:$HC$30,0))</f>
        <v/>
      </c>
      <c r="HB5">
        <f>INDEX($GR$19:$HC$19,MATCH(11,$GR$30:$HC$30,0))</f>
        <v/>
      </c>
      <c r="HC5">
        <f>INDEX($GR$19:$HC$19,MATCH(12,$GR$30:$HC$30,0))</f>
        <v/>
      </c>
    </row>
    <row r="6">
      <c r="A6" s="1" t="inlineStr">
        <is>
          <t>M_row</t>
        </is>
      </c>
      <c r="B6">
        <f>INDEX($B$20:$GQ$20,MATCH(1,$B$29:$GQ$29,0))</f>
        <v/>
      </c>
      <c r="C6">
        <f>INDEX($B$20:$GQ$20,MATCH(2,$B$29:$GQ$29,0))</f>
        <v/>
      </c>
      <c r="D6">
        <f>INDEX($B$20:$GQ$20,MATCH(3,$B$29:$GQ$29,0))</f>
        <v/>
      </c>
      <c r="E6">
        <f>INDEX($B$20:$GQ$20,MATCH(4,$B$29:$GQ$29,0))</f>
        <v/>
      </c>
      <c r="F6">
        <f>INDEX($B$20:$GQ$20,MATCH(5,$B$29:$GQ$29,0))</f>
        <v/>
      </c>
      <c r="G6">
        <f>INDEX($B$20:$GQ$20,MATCH(6,$B$29:$GQ$29,0))</f>
        <v/>
      </c>
      <c r="H6">
        <f>INDEX($B$20:$GQ$20,MATCH(7,$B$29:$GQ$29,0))</f>
        <v/>
      </c>
      <c r="I6">
        <f>INDEX($B$20:$GQ$20,MATCH(8,$B$29:$GQ$29,0))</f>
        <v/>
      </c>
      <c r="J6">
        <f>INDEX($B$20:$GQ$20,MATCH(9,$B$29:$GQ$29,0))</f>
        <v/>
      </c>
      <c r="K6">
        <f>INDEX($B$20:$GQ$20,MATCH(10,$B$29:$GQ$29,0))</f>
        <v/>
      </c>
      <c r="L6">
        <f>INDEX($B$20:$GQ$20,MATCH(11,$B$29:$GQ$29,0))</f>
        <v/>
      </c>
      <c r="M6">
        <f>INDEX($B$20:$GQ$20,MATCH(12,$B$29:$GQ$29,0))</f>
        <v/>
      </c>
      <c r="N6">
        <f>INDEX($B$20:$GQ$20,MATCH(13,$B$29:$GQ$29,0))</f>
        <v/>
      </c>
      <c r="O6">
        <f>INDEX($B$20:$GQ$20,MATCH(14,$B$29:$GQ$29,0))</f>
        <v/>
      </c>
      <c r="P6">
        <f>INDEX($B$20:$GQ$20,MATCH(15,$B$29:$GQ$29,0))</f>
        <v/>
      </c>
      <c r="Q6">
        <f>INDEX($B$20:$GQ$20,MATCH(16,$B$29:$GQ$29,0))</f>
        <v/>
      </c>
      <c r="R6">
        <f>INDEX($B$20:$GQ$20,MATCH(17,$B$29:$GQ$29,0))</f>
        <v/>
      </c>
      <c r="S6">
        <f>INDEX($B$20:$GQ$20,MATCH(18,$B$29:$GQ$29,0))</f>
        <v/>
      </c>
      <c r="T6">
        <f>INDEX($B$20:$GQ$20,MATCH(19,$B$29:$GQ$29,0))</f>
        <v/>
      </c>
      <c r="U6">
        <f>INDEX($B$20:$GQ$20,MATCH(20,$B$29:$GQ$29,0))</f>
        <v/>
      </c>
      <c r="V6">
        <f>INDEX($B$20:$GQ$20,MATCH(21,$B$29:$GQ$29,0))</f>
        <v/>
      </c>
      <c r="W6">
        <f>INDEX($B$20:$GQ$20,MATCH(22,$B$29:$GQ$29,0))</f>
        <v/>
      </c>
      <c r="X6">
        <f>INDEX($B$20:$GQ$20,MATCH(23,$B$29:$GQ$29,0))</f>
        <v/>
      </c>
      <c r="Y6">
        <f>INDEX($B$20:$GQ$20,MATCH(24,$B$29:$GQ$29,0))</f>
        <v/>
      </c>
      <c r="Z6">
        <f>INDEX($B$20:$GQ$20,MATCH(25,$B$29:$GQ$29,0))</f>
        <v/>
      </c>
      <c r="AA6">
        <f>INDEX($B$20:$GQ$20,MATCH(26,$B$29:$GQ$29,0))</f>
        <v/>
      </c>
      <c r="AB6">
        <f>INDEX($B$20:$GQ$20,MATCH(27,$B$29:$GQ$29,0))</f>
        <v/>
      </c>
      <c r="AC6">
        <f>INDEX($B$20:$GQ$20,MATCH(28,$B$29:$GQ$29,0))</f>
        <v/>
      </c>
      <c r="AD6">
        <f>INDEX($B$20:$GQ$20,MATCH(29,$B$29:$GQ$29,0))</f>
        <v/>
      </c>
      <c r="AE6">
        <f>INDEX($B$20:$GQ$20,MATCH(30,$B$29:$GQ$29,0))</f>
        <v/>
      </c>
      <c r="AF6">
        <f>INDEX($B$20:$GQ$20,MATCH(31,$B$29:$GQ$29,0))</f>
        <v/>
      </c>
      <c r="AG6">
        <f>INDEX($B$20:$GQ$20,MATCH(32,$B$29:$GQ$29,0))</f>
        <v/>
      </c>
      <c r="AH6">
        <f>INDEX($B$20:$GQ$20,MATCH(33,$B$29:$GQ$29,0))</f>
        <v/>
      </c>
      <c r="AI6">
        <f>INDEX($B$20:$GQ$20,MATCH(34,$B$29:$GQ$29,0))</f>
        <v/>
      </c>
      <c r="AJ6">
        <f>INDEX($B$20:$GQ$20,MATCH(35,$B$29:$GQ$29,0))</f>
        <v/>
      </c>
      <c r="AK6">
        <f>INDEX($B$20:$GQ$20,MATCH(36,$B$29:$GQ$29,0))</f>
        <v/>
      </c>
      <c r="AL6">
        <f>INDEX($B$20:$GQ$20,MATCH(37,$B$29:$GQ$29,0))</f>
        <v/>
      </c>
      <c r="AM6">
        <f>INDEX($B$20:$GQ$20,MATCH(38,$B$29:$GQ$29,0))</f>
        <v/>
      </c>
      <c r="AN6">
        <f>INDEX($B$20:$GQ$20,MATCH(39,$B$29:$GQ$29,0))</f>
        <v/>
      </c>
      <c r="AO6">
        <f>INDEX($B$20:$GQ$20,MATCH(40,$B$29:$GQ$29,0))</f>
        <v/>
      </c>
      <c r="AP6">
        <f>INDEX($B$20:$GQ$20,MATCH(41,$B$29:$GQ$29,0))</f>
        <v/>
      </c>
      <c r="AQ6">
        <f>INDEX($B$20:$GQ$20,MATCH(42,$B$29:$GQ$29,0))</f>
        <v/>
      </c>
      <c r="AR6">
        <f>INDEX($B$20:$GQ$20,MATCH(43,$B$29:$GQ$29,0))</f>
        <v/>
      </c>
      <c r="AS6">
        <f>INDEX($B$20:$GQ$20,MATCH(44,$B$29:$GQ$29,0))</f>
        <v/>
      </c>
      <c r="AT6">
        <f>INDEX($B$20:$GQ$20,MATCH(45,$B$29:$GQ$29,0))</f>
        <v/>
      </c>
      <c r="AU6">
        <f>INDEX($B$20:$GQ$20,MATCH(46,$B$29:$GQ$29,0))</f>
        <v/>
      </c>
      <c r="AV6">
        <f>INDEX($B$20:$GQ$20,MATCH(47,$B$29:$GQ$29,0))</f>
        <v/>
      </c>
      <c r="AW6">
        <f>INDEX($B$20:$GQ$20,MATCH(48,$B$29:$GQ$29,0))</f>
        <v/>
      </c>
      <c r="AX6">
        <f>INDEX($B$20:$GQ$20,MATCH(49,$B$29:$GQ$29,0))</f>
        <v/>
      </c>
      <c r="AY6">
        <f>INDEX($B$20:$GQ$20,MATCH(50,$B$29:$GQ$29,0))</f>
        <v/>
      </c>
      <c r="AZ6">
        <f>INDEX($B$20:$GQ$20,MATCH(51,$B$29:$GQ$29,0))</f>
        <v/>
      </c>
      <c r="BA6">
        <f>INDEX($B$20:$GQ$20,MATCH(52,$B$29:$GQ$29,0))</f>
        <v/>
      </c>
      <c r="BB6">
        <f>INDEX($B$20:$GQ$20,MATCH(53,$B$29:$GQ$29,0))</f>
        <v/>
      </c>
      <c r="BC6">
        <f>INDEX($B$20:$GQ$20,MATCH(54,$B$29:$GQ$29,0))</f>
        <v/>
      </c>
      <c r="BD6">
        <f>INDEX($B$20:$GQ$20,MATCH(55,$B$29:$GQ$29,0))</f>
        <v/>
      </c>
      <c r="BE6">
        <f>INDEX($B$20:$GQ$20,MATCH(56,$B$29:$GQ$29,0))</f>
        <v/>
      </c>
      <c r="BF6">
        <f>INDEX($B$20:$GQ$20,MATCH(57,$B$29:$GQ$29,0))</f>
        <v/>
      </c>
      <c r="BG6">
        <f>INDEX($B$20:$GQ$20,MATCH(58,$B$29:$GQ$29,0))</f>
        <v/>
      </c>
      <c r="BH6">
        <f>INDEX($B$20:$GQ$20,MATCH(59,$B$29:$GQ$29,0))</f>
        <v/>
      </c>
      <c r="BI6">
        <f>INDEX($B$20:$GQ$20,MATCH(60,$B$29:$GQ$29,0))</f>
        <v/>
      </c>
      <c r="BJ6">
        <f>INDEX($B$20:$GQ$20,MATCH(61,$B$29:$GQ$29,0))</f>
        <v/>
      </c>
      <c r="BK6">
        <f>INDEX($B$20:$GQ$20,MATCH(62,$B$29:$GQ$29,0))</f>
        <v/>
      </c>
      <c r="BL6">
        <f>INDEX($B$20:$GQ$20,MATCH(63,$B$29:$GQ$29,0))</f>
        <v/>
      </c>
      <c r="BM6">
        <f>INDEX($B$20:$GQ$20,MATCH(64,$B$29:$GQ$29,0))</f>
        <v/>
      </c>
      <c r="BN6">
        <f>INDEX($B$20:$GQ$20,MATCH(65,$B$29:$GQ$29,0))</f>
        <v/>
      </c>
      <c r="BO6">
        <f>INDEX($B$20:$GQ$20,MATCH(66,$B$29:$GQ$29,0))</f>
        <v/>
      </c>
      <c r="BP6">
        <f>INDEX($B$20:$GQ$20,MATCH(67,$B$29:$GQ$29,0))</f>
        <v/>
      </c>
      <c r="BQ6">
        <f>INDEX($B$20:$GQ$20,MATCH(68,$B$29:$GQ$29,0))</f>
        <v/>
      </c>
      <c r="BR6">
        <f>INDEX($B$20:$GQ$20,MATCH(69,$B$29:$GQ$29,0))</f>
        <v/>
      </c>
      <c r="BS6">
        <f>INDEX($B$20:$GQ$20,MATCH(70,$B$29:$GQ$29,0))</f>
        <v/>
      </c>
      <c r="BT6">
        <f>INDEX($B$20:$GQ$20,MATCH(71,$B$29:$GQ$29,0))</f>
        <v/>
      </c>
      <c r="BU6">
        <f>INDEX($B$20:$GQ$20,MATCH(72,$B$29:$GQ$29,0))</f>
        <v/>
      </c>
      <c r="BV6">
        <f>INDEX($B$20:$GQ$20,MATCH(73,$B$29:$GQ$29,0))</f>
        <v/>
      </c>
      <c r="BW6">
        <f>INDEX($B$20:$GQ$20,MATCH(74,$B$29:$GQ$29,0))</f>
        <v/>
      </c>
      <c r="BX6">
        <f>INDEX($B$20:$GQ$20,MATCH(75,$B$29:$GQ$29,0))</f>
        <v/>
      </c>
      <c r="BY6">
        <f>INDEX($B$20:$GQ$20,MATCH(76,$B$29:$GQ$29,0))</f>
        <v/>
      </c>
      <c r="BZ6">
        <f>INDEX($B$20:$GQ$20,MATCH(77,$B$29:$GQ$29,0))</f>
        <v/>
      </c>
      <c r="CA6">
        <f>INDEX($B$20:$GQ$20,MATCH(78,$B$29:$GQ$29,0))</f>
        <v/>
      </c>
      <c r="CB6">
        <f>INDEX($B$20:$GQ$20,MATCH(79,$B$29:$GQ$29,0))</f>
        <v/>
      </c>
      <c r="CC6">
        <f>INDEX($B$20:$GQ$20,MATCH(80,$B$29:$GQ$29,0))</f>
        <v/>
      </c>
      <c r="CD6">
        <f>INDEX($B$20:$GQ$20,MATCH(81,$B$29:$GQ$29,0))</f>
        <v/>
      </c>
      <c r="CE6">
        <f>INDEX($B$20:$GQ$20,MATCH(82,$B$29:$GQ$29,0))</f>
        <v/>
      </c>
      <c r="CF6">
        <f>INDEX($B$20:$GQ$20,MATCH(83,$B$29:$GQ$29,0))</f>
        <v/>
      </c>
      <c r="CG6">
        <f>INDEX($B$20:$GQ$20,MATCH(84,$B$29:$GQ$29,0))</f>
        <v/>
      </c>
      <c r="CH6">
        <f>INDEX($B$20:$GQ$20,MATCH(85,$B$29:$GQ$29,0))</f>
        <v/>
      </c>
      <c r="CI6">
        <f>INDEX($B$20:$GQ$20,MATCH(86,$B$29:$GQ$29,0))</f>
        <v/>
      </c>
      <c r="CJ6">
        <f>INDEX($B$20:$GQ$20,MATCH(87,$B$29:$GQ$29,0))</f>
        <v/>
      </c>
      <c r="CK6">
        <f>INDEX($B$20:$GQ$20,MATCH(88,$B$29:$GQ$29,0))</f>
        <v/>
      </c>
      <c r="CL6">
        <f>INDEX($B$20:$GQ$20,MATCH(89,$B$29:$GQ$29,0))</f>
        <v/>
      </c>
      <c r="CM6">
        <f>INDEX($B$20:$GQ$20,MATCH(90,$B$29:$GQ$29,0))</f>
        <v/>
      </c>
      <c r="CN6">
        <f>INDEX($B$20:$GQ$20,MATCH(91,$B$29:$GQ$29,0))</f>
        <v/>
      </c>
      <c r="CO6">
        <f>INDEX($B$20:$GQ$20,MATCH(92,$B$29:$GQ$29,0))</f>
        <v/>
      </c>
      <c r="CP6">
        <f>INDEX($B$20:$GQ$20,MATCH(93,$B$29:$GQ$29,0))</f>
        <v/>
      </c>
      <c r="CQ6">
        <f>INDEX($B$20:$GQ$20,MATCH(94,$B$29:$GQ$29,0))</f>
        <v/>
      </c>
      <c r="CR6">
        <f>INDEX($B$20:$GQ$20,MATCH(95,$B$29:$GQ$29,0))</f>
        <v/>
      </c>
      <c r="CS6">
        <f>INDEX($B$20:$GQ$20,MATCH(96,$B$29:$GQ$29,0))</f>
        <v/>
      </c>
      <c r="CT6">
        <f>INDEX($B$20:$GQ$20,MATCH(97,$B$29:$GQ$29,0))</f>
        <v/>
      </c>
      <c r="CU6">
        <f>INDEX($B$20:$GQ$20,MATCH(98,$B$29:$GQ$29,0))</f>
        <v/>
      </c>
      <c r="CV6">
        <f>INDEX($B$20:$GQ$20,MATCH(99,$B$29:$GQ$29,0))</f>
        <v/>
      </c>
      <c r="CW6">
        <f>INDEX($B$20:$GQ$20,MATCH(100,$B$29:$GQ$29,0))</f>
        <v/>
      </c>
      <c r="CX6">
        <f>INDEX($B$20:$GQ$20,MATCH(101,$B$29:$GQ$29,0))</f>
        <v/>
      </c>
      <c r="CY6">
        <f>INDEX($B$20:$GQ$20,MATCH(102,$B$29:$GQ$29,0))</f>
        <v/>
      </c>
      <c r="CZ6">
        <f>INDEX($B$20:$GQ$20,MATCH(103,$B$29:$GQ$29,0))</f>
        <v/>
      </c>
      <c r="DA6">
        <f>INDEX($B$20:$GQ$20,MATCH(104,$B$29:$GQ$29,0))</f>
        <v/>
      </c>
      <c r="DB6">
        <f>INDEX($B$20:$GQ$20,MATCH(105,$B$29:$GQ$29,0))</f>
        <v/>
      </c>
      <c r="DC6">
        <f>INDEX($B$20:$GQ$20,MATCH(106,$B$29:$GQ$29,0))</f>
        <v/>
      </c>
      <c r="DD6">
        <f>INDEX($B$20:$GQ$20,MATCH(107,$B$29:$GQ$29,0))</f>
        <v/>
      </c>
      <c r="DE6">
        <f>INDEX($B$20:$GQ$20,MATCH(108,$B$29:$GQ$29,0))</f>
        <v/>
      </c>
      <c r="DF6">
        <f>INDEX($B$20:$GQ$20,MATCH(109,$B$29:$GQ$29,0))</f>
        <v/>
      </c>
      <c r="DG6">
        <f>INDEX($B$20:$GQ$20,MATCH(110,$B$29:$GQ$29,0))</f>
        <v/>
      </c>
      <c r="DH6">
        <f>INDEX($B$20:$GQ$20,MATCH(111,$B$29:$GQ$29,0))</f>
        <v/>
      </c>
      <c r="DI6">
        <f>INDEX($B$20:$GQ$20,MATCH(112,$B$29:$GQ$29,0))</f>
        <v/>
      </c>
      <c r="DJ6">
        <f>INDEX($B$20:$GQ$20,MATCH(113,$B$29:$GQ$29,0))</f>
        <v/>
      </c>
      <c r="DK6">
        <f>INDEX($B$20:$GQ$20,MATCH(114,$B$29:$GQ$29,0))</f>
        <v/>
      </c>
      <c r="DL6">
        <f>INDEX($B$20:$GQ$20,MATCH(115,$B$29:$GQ$29,0))</f>
        <v/>
      </c>
      <c r="DM6">
        <f>INDEX($B$20:$GQ$20,MATCH(116,$B$29:$GQ$29,0))</f>
        <v/>
      </c>
      <c r="DN6">
        <f>INDEX($B$20:$GQ$20,MATCH(117,$B$29:$GQ$29,0))</f>
        <v/>
      </c>
      <c r="DO6">
        <f>INDEX($B$20:$GQ$20,MATCH(118,$B$29:$GQ$29,0))</f>
        <v/>
      </c>
      <c r="DP6">
        <f>INDEX($B$20:$GQ$20,MATCH(119,$B$29:$GQ$29,0))</f>
        <v/>
      </c>
      <c r="DQ6">
        <f>INDEX($B$20:$GQ$20,MATCH(120,$B$29:$GQ$29,0))</f>
        <v/>
      </c>
      <c r="DR6">
        <f>INDEX($B$20:$GQ$20,MATCH(121,$B$29:$GQ$29,0))</f>
        <v/>
      </c>
      <c r="DS6">
        <f>INDEX($B$20:$GQ$20,MATCH(122,$B$29:$GQ$29,0))</f>
        <v/>
      </c>
      <c r="DT6">
        <f>INDEX($B$20:$GQ$20,MATCH(123,$B$29:$GQ$29,0))</f>
        <v/>
      </c>
      <c r="DU6">
        <f>INDEX($B$20:$GQ$20,MATCH(124,$B$29:$GQ$29,0))</f>
        <v/>
      </c>
      <c r="DV6">
        <f>INDEX($B$20:$GQ$20,MATCH(125,$B$29:$GQ$29,0))</f>
        <v/>
      </c>
      <c r="DW6">
        <f>INDEX($B$20:$GQ$20,MATCH(126,$B$29:$GQ$29,0))</f>
        <v/>
      </c>
      <c r="DX6">
        <f>INDEX($B$20:$GQ$20,MATCH(127,$B$29:$GQ$29,0))</f>
        <v/>
      </c>
      <c r="DY6">
        <f>INDEX($B$20:$GQ$20,MATCH(128,$B$29:$GQ$29,0))</f>
        <v/>
      </c>
      <c r="DZ6">
        <f>INDEX($B$20:$GQ$20,MATCH(129,$B$29:$GQ$29,0))</f>
        <v/>
      </c>
      <c r="EA6">
        <f>INDEX($B$20:$GQ$20,MATCH(130,$B$29:$GQ$29,0))</f>
        <v/>
      </c>
      <c r="EB6">
        <f>INDEX($B$20:$GQ$20,MATCH(131,$B$29:$GQ$29,0))</f>
        <v/>
      </c>
      <c r="EC6">
        <f>INDEX($B$20:$GQ$20,MATCH(132,$B$29:$GQ$29,0))</f>
        <v/>
      </c>
      <c r="ED6">
        <f>INDEX($B$20:$GQ$20,MATCH(133,$B$29:$GQ$29,0))</f>
        <v/>
      </c>
      <c r="EE6">
        <f>INDEX($B$20:$GQ$20,MATCH(134,$B$29:$GQ$29,0))</f>
        <v/>
      </c>
      <c r="EF6">
        <f>INDEX($B$20:$GQ$20,MATCH(135,$B$29:$GQ$29,0))</f>
        <v/>
      </c>
      <c r="EG6">
        <f>INDEX($B$20:$GQ$20,MATCH(136,$B$29:$GQ$29,0))</f>
        <v/>
      </c>
      <c r="EH6">
        <f>INDEX($B$20:$GQ$20,MATCH(137,$B$29:$GQ$29,0))</f>
        <v/>
      </c>
      <c r="EI6">
        <f>INDEX($B$20:$GQ$20,MATCH(138,$B$29:$GQ$29,0))</f>
        <v/>
      </c>
      <c r="EJ6">
        <f>INDEX($B$20:$GQ$20,MATCH(139,$B$29:$GQ$29,0))</f>
        <v/>
      </c>
      <c r="EK6">
        <f>INDEX($B$20:$GQ$20,MATCH(140,$B$29:$GQ$29,0))</f>
        <v/>
      </c>
      <c r="EL6">
        <f>INDEX($B$20:$GQ$20,MATCH(141,$B$29:$GQ$29,0))</f>
        <v/>
      </c>
      <c r="EM6">
        <f>INDEX($B$20:$GQ$20,MATCH(142,$B$29:$GQ$29,0))</f>
        <v/>
      </c>
      <c r="EN6">
        <f>INDEX($B$20:$GQ$20,MATCH(143,$B$29:$GQ$29,0))</f>
        <v/>
      </c>
      <c r="EO6">
        <f>INDEX($B$20:$GQ$20,MATCH(144,$B$29:$GQ$29,0))</f>
        <v/>
      </c>
      <c r="EP6">
        <f>INDEX($B$20:$GQ$20,MATCH(145,$B$29:$GQ$29,0))</f>
        <v/>
      </c>
      <c r="EQ6">
        <f>INDEX($B$20:$GQ$20,MATCH(146,$B$29:$GQ$29,0))</f>
        <v/>
      </c>
      <c r="ER6">
        <f>INDEX($B$20:$GQ$20,MATCH(147,$B$29:$GQ$29,0))</f>
        <v/>
      </c>
      <c r="ES6">
        <f>INDEX($B$20:$GQ$20,MATCH(148,$B$29:$GQ$29,0))</f>
        <v/>
      </c>
      <c r="ET6">
        <f>INDEX($B$20:$GQ$20,MATCH(149,$B$29:$GQ$29,0))</f>
        <v/>
      </c>
      <c r="EU6">
        <f>INDEX($B$20:$GQ$20,MATCH(150,$B$29:$GQ$29,0))</f>
        <v/>
      </c>
      <c r="EV6">
        <f>INDEX($B$20:$GQ$20,MATCH(151,$B$29:$GQ$29,0))</f>
        <v/>
      </c>
      <c r="EW6">
        <f>INDEX($B$20:$GQ$20,MATCH(152,$B$29:$GQ$29,0))</f>
        <v/>
      </c>
      <c r="EX6">
        <f>INDEX($B$20:$GQ$20,MATCH(153,$B$29:$GQ$29,0))</f>
        <v/>
      </c>
      <c r="EY6">
        <f>INDEX($B$20:$GQ$20,MATCH(154,$B$29:$GQ$29,0))</f>
        <v/>
      </c>
      <c r="EZ6">
        <f>INDEX($B$20:$GQ$20,MATCH(155,$B$29:$GQ$29,0))</f>
        <v/>
      </c>
      <c r="FA6">
        <f>INDEX($B$20:$GQ$20,MATCH(156,$B$29:$GQ$29,0))</f>
        <v/>
      </c>
      <c r="FB6">
        <f>INDEX($B$20:$GQ$20,MATCH(157,$B$29:$GQ$29,0))</f>
        <v/>
      </c>
      <c r="FC6">
        <f>INDEX($B$20:$GQ$20,MATCH(158,$B$29:$GQ$29,0))</f>
        <v/>
      </c>
      <c r="FD6">
        <f>INDEX($B$20:$GQ$20,MATCH(159,$B$29:$GQ$29,0))</f>
        <v/>
      </c>
      <c r="FE6">
        <f>INDEX($B$20:$GQ$20,MATCH(160,$B$29:$GQ$29,0))</f>
        <v/>
      </c>
      <c r="FF6">
        <f>INDEX($B$20:$GQ$20,MATCH(161,$B$29:$GQ$29,0))</f>
        <v/>
      </c>
      <c r="FG6">
        <f>INDEX($B$20:$GQ$20,MATCH(162,$B$29:$GQ$29,0))</f>
        <v/>
      </c>
      <c r="FH6">
        <f>INDEX($B$20:$GQ$20,MATCH(163,$B$29:$GQ$29,0))</f>
        <v/>
      </c>
      <c r="FI6">
        <f>INDEX($B$20:$GQ$20,MATCH(164,$B$29:$GQ$29,0))</f>
        <v/>
      </c>
      <c r="FJ6">
        <f>INDEX($B$20:$GQ$20,MATCH(165,$B$29:$GQ$29,0))</f>
        <v/>
      </c>
      <c r="FK6">
        <f>INDEX($B$20:$GQ$20,MATCH(166,$B$29:$GQ$29,0))</f>
        <v/>
      </c>
      <c r="FL6">
        <f>INDEX($B$20:$GQ$20,MATCH(167,$B$29:$GQ$29,0))</f>
        <v/>
      </c>
      <c r="FM6">
        <f>INDEX($B$20:$GQ$20,MATCH(168,$B$29:$GQ$29,0))</f>
        <v/>
      </c>
      <c r="FN6">
        <f>INDEX($B$20:$GQ$20,MATCH(169,$B$29:$GQ$29,0))</f>
        <v/>
      </c>
      <c r="FO6">
        <f>INDEX($B$20:$GQ$20,MATCH(170,$B$29:$GQ$29,0))</f>
        <v/>
      </c>
      <c r="FP6">
        <f>INDEX($B$20:$GQ$20,MATCH(171,$B$29:$GQ$29,0))</f>
        <v/>
      </c>
      <c r="FQ6">
        <f>INDEX($B$20:$GQ$20,MATCH(172,$B$29:$GQ$29,0))</f>
        <v/>
      </c>
      <c r="FR6">
        <f>INDEX($B$20:$GQ$20,MATCH(173,$B$29:$GQ$29,0))</f>
        <v/>
      </c>
      <c r="FS6">
        <f>INDEX($B$20:$GQ$20,MATCH(174,$B$29:$GQ$29,0))</f>
        <v/>
      </c>
      <c r="FT6">
        <f>INDEX($B$20:$GQ$20,MATCH(175,$B$29:$GQ$29,0))</f>
        <v/>
      </c>
      <c r="FU6">
        <f>INDEX($B$20:$GQ$20,MATCH(176,$B$29:$GQ$29,0))</f>
        <v/>
      </c>
      <c r="FV6">
        <f>INDEX($B$20:$GQ$20,MATCH(177,$B$29:$GQ$29,0))</f>
        <v/>
      </c>
      <c r="FW6">
        <f>INDEX($B$20:$GQ$20,MATCH(178,$B$29:$GQ$29,0))</f>
        <v/>
      </c>
      <c r="FX6">
        <f>INDEX($B$20:$GQ$20,MATCH(179,$B$29:$GQ$29,0))</f>
        <v/>
      </c>
      <c r="FY6">
        <f>INDEX($B$20:$GQ$20,MATCH(180,$B$29:$GQ$29,0))</f>
        <v/>
      </c>
      <c r="FZ6">
        <f>INDEX($B$20:$GQ$20,MATCH(181,$B$29:$GQ$29,0))</f>
        <v/>
      </c>
      <c r="GA6">
        <f>INDEX($B$20:$GQ$20,MATCH(182,$B$29:$GQ$29,0))</f>
        <v/>
      </c>
      <c r="GB6">
        <f>INDEX($B$20:$GQ$20,MATCH(183,$B$29:$GQ$29,0))</f>
        <v/>
      </c>
      <c r="GC6">
        <f>INDEX($B$20:$GQ$20,MATCH(184,$B$29:$GQ$29,0))</f>
        <v/>
      </c>
      <c r="GD6">
        <f>INDEX($B$20:$GQ$20,MATCH(185,$B$29:$GQ$29,0))</f>
        <v/>
      </c>
      <c r="GE6">
        <f>INDEX($B$20:$GQ$20,MATCH(186,$B$29:$GQ$29,0))</f>
        <v/>
      </c>
      <c r="GF6">
        <f>INDEX($B$20:$GQ$20,MATCH(187,$B$29:$GQ$29,0))</f>
        <v/>
      </c>
      <c r="GG6">
        <f>INDEX($B$20:$GQ$20,MATCH(188,$B$29:$GQ$29,0))</f>
        <v/>
      </c>
      <c r="GH6">
        <f>INDEX($B$20:$GQ$20,MATCH(189,$B$29:$GQ$29,0))</f>
        <v/>
      </c>
      <c r="GI6">
        <f>INDEX($B$20:$GQ$20,MATCH(190,$B$29:$GQ$29,0))</f>
        <v/>
      </c>
      <c r="GJ6">
        <f>INDEX($B$20:$GQ$20,MATCH(191,$B$29:$GQ$29,0))</f>
        <v/>
      </c>
      <c r="GK6">
        <f>INDEX($B$20:$GQ$20,MATCH(192,$B$29:$GQ$29,0))</f>
        <v/>
      </c>
      <c r="GL6">
        <f>INDEX($B$20:$GQ$20,MATCH(193,$B$29:$GQ$29,0))</f>
        <v/>
      </c>
      <c r="GM6">
        <f>INDEX($B$20:$GQ$20,MATCH(194,$B$29:$GQ$29,0))</f>
        <v/>
      </c>
      <c r="GN6">
        <f>INDEX($B$20:$GQ$20,MATCH(195,$B$29:$GQ$29,0))</f>
        <v/>
      </c>
      <c r="GO6">
        <f>INDEX($B$20:$GQ$20,MATCH(196,$B$29:$GQ$29,0))</f>
        <v/>
      </c>
      <c r="GP6">
        <f>INDEX($B$20:$GQ$20,MATCH(197,$B$29:$GQ$29,0))</f>
        <v/>
      </c>
      <c r="GQ6">
        <f>INDEX($B$20:$GQ$20,MATCH(198,$B$29:$GQ$29,0))</f>
        <v/>
      </c>
      <c r="GR6">
        <f>INDEX($GR$20:$HC$20,MATCH(1,$GR$30:$HC$30,0))</f>
        <v/>
      </c>
      <c r="GS6">
        <f>INDEX($GR$20:$HC$20,MATCH(2,$GR$30:$HC$30,0))</f>
        <v/>
      </c>
      <c r="GT6">
        <f>INDEX($GR$20:$HC$20,MATCH(3,$GR$30:$HC$30,0))</f>
        <v/>
      </c>
      <c r="GU6">
        <f>INDEX($GR$20:$HC$20,MATCH(4,$GR$30:$HC$30,0))</f>
        <v/>
      </c>
      <c r="GV6">
        <f>INDEX($GR$20:$HC$20,MATCH(5,$GR$30:$HC$30,0))</f>
        <v/>
      </c>
      <c r="GW6">
        <f>INDEX($GR$20:$HC$20,MATCH(6,$GR$30:$HC$30,0))</f>
        <v/>
      </c>
      <c r="GX6">
        <f>INDEX($GR$20:$HC$20,MATCH(7,$GR$30:$HC$30,0))</f>
        <v/>
      </c>
      <c r="GY6">
        <f>INDEX($GR$20:$HC$20,MATCH(8,$GR$30:$HC$30,0))</f>
        <v/>
      </c>
      <c r="GZ6">
        <f>INDEX($GR$20:$HC$20,MATCH(9,$GR$30:$HC$30,0))</f>
        <v/>
      </c>
      <c r="HA6">
        <f>INDEX($GR$20:$HC$20,MATCH(10,$GR$30:$HC$30,0))</f>
        <v/>
      </c>
      <c r="HB6">
        <f>INDEX($GR$20:$HC$20,MATCH(11,$GR$30:$HC$30,0))</f>
        <v/>
      </c>
      <c r="HC6">
        <f>INDEX($GR$20:$HC$20,MATCH(12,$GR$30:$HC$30,0))</f>
        <v/>
      </c>
    </row>
    <row r="7">
      <c r="A7" s="1" t="inlineStr">
        <is>
          <t>Y_imp</t>
        </is>
      </c>
      <c r="B7">
        <f>INDEX($B$21:$GQ$21,MATCH(1,$B$29:$GQ$29,0))</f>
        <v/>
      </c>
      <c r="C7">
        <f>INDEX($B$21:$GQ$21,MATCH(2,$B$29:$GQ$29,0))</f>
        <v/>
      </c>
      <c r="D7">
        <f>INDEX($B$21:$GQ$21,MATCH(3,$B$29:$GQ$29,0))</f>
        <v/>
      </c>
      <c r="E7">
        <f>INDEX($B$21:$GQ$21,MATCH(4,$B$29:$GQ$29,0))</f>
        <v/>
      </c>
      <c r="F7">
        <f>INDEX($B$21:$GQ$21,MATCH(5,$B$29:$GQ$29,0))</f>
        <v/>
      </c>
      <c r="G7">
        <f>INDEX($B$21:$GQ$21,MATCH(6,$B$29:$GQ$29,0))</f>
        <v/>
      </c>
      <c r="H7">
        <f>INDEX($B$21:$GQ$21,MATCH(7,$B$29:$GQ$29,0))</f>
        <v/>
      </c>
      <c r="I7">
        <f>INDEX($B$21:$GQ$21,MATCH(8,$B$29:$GQ$29,0))</f>
        <v/>
      </c>
      <c r="J7">
        <f>INDEX($B$21:$GQ$21,MATCH(9,$B$29:$GQ$29,0))</f>
        <v/>
      </c>
      <c r="K7">
        <f>INDEX($B$21:$GQ$21,MATCH(10,$B$29:$GQ$29,0))</f>
        <v/>
      </c>
      <c r="L7">
        <f>INDEX($B$21:$GQ$21,MATCH(11,$B$29:$GQ$29,0))</f>
        <v/>
      </c>
      <c r="M7">
        <f>INDEX($B$21:$GQ$21,MATCH(12,$B$29:$GQ$29,0))</f>
        <v/>
      </c>
      <c r="N7">
        <f>INDEX($B$21:$GQ$21,MATCH(13,$B$29:$GQ$29,0))</f>
        <v/>
      </c>
      <c r="O7">
        <f>INDEX($B$21:$GQ$21,MATCH(14,$B$29:$GQ$29,0))</f>
        <v/>
      </c>
      <c r="P7">
        <f>INDEX($B$21:$GQ$21,MATCH(15,$B$29:$GQ$29,0))</f>
        <v/>
      </c>
      <c r="Q7">
        <f>INDEX($B$21:$GQ$21,MATCH(16,$B$29:$GQ$29,0))</f>
        <v/>
      </c>
      <c r="R7">
        <f>INDEX($B$21:$GQ$21,MATCH(17,$B$29:$GQ$29,0))</f>
        <v/>
      </c>
      <c r="S7">
        <f>INDEX($B$21:$GQ$21,MATCH(18,$B$29:$GQ$29,0))</f>
        <v/>
      </c>
      <c r="T7">
        <f>INDEX($B$21:$GQ$21,MATCH(19,$B$29:$GQ$29,0))</f>
        <v/>
      </c>
      <c r="U7">
        <f>INDEX($B$21:$GQ$21,MATCH(20,$B$29:$GQ$29,0))</f>
        <v/>
      </c>
      <c r="V7">
        <f>INDEX($B$21:$GQ$21,MATCH(21,$B$29:$GQ$29,0))</f>
        <v/>
      </c>
      <c r="W7">
        <f>INDEX($B$21:$GQ$21,MATCH(22,$B$29:$GQ$29,0))</f>
        <v/>
      </c>
      <c r="X7">
        <f>INDEX($B$21:$GQ$21,MATCH(23,$B$29:$GQ$29,0))</f>
        <v/>
      </c>
      <c r="Y7">
        <f>INDEX($B$21:$GQ$21,MATCH(24,$B$29:$GQ$29,0))</f>
        <v/>
      </c>
      <c r="Z7">
        <f>INDEX($B$21:$GQ$21,MATCH(25,$B$29:$GQ$29,0))</f>
        <v/>
      </c>
      <c r="AA7">
        <f>INDEX($B$21:$GQ$21,MATCH(26,$B$29:$GQ$29,0))</f>
        <v/>
      </c>
      <c r="AB7">
        <f>INDEX($B$21:$GQ$21,MATCH(27,$B$29:$GQ$29,0))</f>
        <v/>
      </c>
      <c r="AC7">
        <f>INDEX($B$21:$GQ$21,MATCH(28,$B$29:$GQ$29,0))</f>
        <v/>
      </c>
      <c r="AD7">
        <f>INDEX($B$21:$GQ$21,MATCH(29,$B$29:$GQ$29,0))</f>
        <v/>
      </c>
      <c r="AE7">
        <f>INDEX($B$21:$GQ$21,MATCH(30,$B$29:$GQ$29,0))</f>
        <v/>
      </c>
      <c r="AF7">
        <f>INDEX($B$21:$GQ$21,MATCH(31,$B$29:$GQ$29,0))</f>
        <v/>
      </c>
      <c r="AG7">
        <f>INDEX($B$21:$GQ$21,MATCH(32,$B$29:$GQ$29,0))</f>
        <v/>
      </c>
      <c r="AH7">
        <f>INDEX($B$21:$GQ$21,MATCH(33,$B$29:$GQ$29,0))</f>
        <v/>
      </c>
      <c r="AI7">
        <f>INDEX($B$21:$GQ$21,MATCH(34,$B$29:$GQ$29,0))</f>
        <v/>
      </c>
      <c r="AJ7">
        <f>INDEX($B$21:$GQ$21,MATCH(35,$B$29:$GQ$29,0))</f>
        <v/>
      </c>
      <c r="AK7">
        <f>INDEX($B$21:$GQ$21,MATCH(36,$B$29:$GQ$29,0))</f>
        <v/>
      </c>
      <c r="AL7">
        <f>INDEX($B$21:$GQ$21,MATCH(37,$B$29:$GQ$29,0))</f>
        <v/>
      </c>
      <c r="AM7">
        <f>INDEX($B$21:$GQ$21,MATCH(38,$B$29:$GQ$29,0))</f>
        <v/>
      </c>
      <c r="AN7">
        <f>INDEX($B$21:$GQ$21,MATCH(39,$B$29:$GQ$29,0))</f>
        <v/>
      </c>
      <c r="AO7">
        <f>INDEX($B$21:$GQ$21,MATCH(40,$B$29:$GQ$29,0))</f>
        <v/>
      </c>
      <c r="AP7">
        <f>INDEX($B$21:$GQ$21,MATCH(41,$B$29:$GQ$29,0))</f>
        <v/>
      </c>
      <c r="AQ7">
        <f>INDEX($B$21:$GQ$21,MATCH(42,$B$29:$GQ$29,0))</f>
        <v/>
      </c>
      <c r="AR7">
        <f>INDEX($B$21:$GQ$21,MATCH(43,$B$29:$GQ$29,0))</f>
        <v/>
      </c>
      <c r="AS7">
        <f>INDEX($B$21:$GQ$21,MATCH(44,$B$29:$GQ$29,0))</f>
        <v/>
      </c>
      <c r="AT7">
        <f>INDEX($B$21:$GQ$21,MATCH(45,$B$29:$GQ$29,0))</f>
        <v/>
      </c>
      <c r="AU7">
        <f>INDEX($B$21:$GQ$21,MATCH(46,$B$29:$GQ$29,0))</f>
        <v/>
      </c>
      <c r="AV7">
        <f>INDEX($B$21:$GQ$21,MATCH(47,$B$29:$GQ$29,0))</f>
        <v/>
      </c>
      <c r="AW7">
        <f>INDEX($B$21:$GQ$21,MATCH(48,$B$29:$GQ$29,0))</f>
        <v/>
      </c>
      <c r="AX7">
        <f>INDEX($B$21:$GQ$21,MATCH(49,$B$29:$GQ$29,0))</f>
        <v/>
      </c>
      <c r="AY7">
        <f>INDEX($B$21:$GQ$21,MATCH(50,$B$29:$GQ$29,0))</f>
        <v/>
      </c>
      <c r="AZ7">
        <f>INDEX($B$21:$GQ$21,MATCH(51,$B$29:$GQ$29,0))</f>
        <v/>
      </c>
      <c r="BA7">
        <f>INDEX($B$21:$GQ$21,MATCH(52,$B$29:$GQ$29,0))</f>
        <v/>
      </c>
      <c r="BB7">
        <f>INDEX($B$21:$GQ$21,MATCH(53,$B$29:$GQ$29,0))</f>
        <v/>
      </c>
      <c r="BC7">
        <f>INDEX($B$21:$GQ$21,MATCH(54,$B$29:$GQ$29,0))</f>
        <v/>
      </c>
      <c r="BD7">
        <f>INDEX($B$21:$GQ$21,MATCH(55,$B$29:$GQ$29,0))</f>
        <v/>
      </c>
      <c r="BE7">
        <f>INDEX($B$21:$GQ$21,MATCH(56,$B$29:$GQ$29,0))</f>
        <v/>
      </c>
      <c r="BF7">
        <f>INDEX($B$21:$GQ$21,MATCH(57,$B$29:$GQ$29,0))</f>
        <v/>
      </c>
      <c r="BG7">
        <f>INDEX($B$21:$GQ$21,MATCH(58,$B$29:$GQ$29,0))</f>
        <v/>
      </c>
      <c r="BH7">
        <f>INDEX($B$21:$GQ$21,MATCH(59,$B$29:$GQ$29,0))</f>
        <v/>
      </c>
      <c r="BI7">
        <f>INDEX($B$21:$GQ$21,MATCH(60,$B$29:$GQ$29,0))</f>
        <v/>
      </c>
      <c r="BJ7">
        <f>INDEX($B$21:$GQ$21,MATCH(61,$B$29:$GQ$29,0))</f>
        <v/>
      </c>
      <c r="BK7">
        <f>INDEX($B$21:$GQ$21,MATCH(62,$B$29:$GQ$29,0))</f>
        <v/>
      </c>
      <c r="BL7">
        <f>INDEX($B$21:$GQ$21,MATCH(63,$B$29:$GQ$29,0))</f>
        <v/>
      </c>
      <c r="BM7">
        <f>INDEX($B$21:$GQ$21,MATCH(64,$B$29:$GQ$29,0))</f>
        <v/>
      </c>
      <c r="BN7">
        <f>INDEX($B$21:$GQ$21,MATCH(65,$B$29:$GQ$29,0))</f>
        <v/>
      </c>
      <c r="BO7">
        <f>INDEX($B$21:$GQ$21,MATCH(66,$B$29:$GQ$29,0))</f>
        <v/>
      </c>
      <c r="BP7">
        <f>INDEX($B$21:$GQ$21,MATCH(67,$B$29:$GQ$29,0))</f>
        <v/>
      </c>
      <c r="BQ7">
        <f>INDEX($B$21:$GQ$21,MATCH(68,$B$29:$GQ$29,0))</f>
        <v/>
      </c>
      <c r="BR7">
        <f>INDEX($B$21:$GQ$21,MATCH(69,$B$29:$GQ$29,0))</f>
        <v/>
      </c>
      <c r="BS7">
        <f>INDEX($B$21:$GQ$21,MATCH(70,$B$29:$GQ$29,0))</f>
        <v/>
      </c>
      <c r="BT7">
        <f>INDEX($B$21:$GQ$21,MATCH(71,$B$29:$GQ$29,0))</f>
        <v/>
      </c>
      <c r="BU7">
        <f>INDEX($B$21:$GQ$21,MATCH(72,$B$29:$GQ$29,0))</f>
        <v/>
      </c>
      <c r="BV7">
        <f>INDEX($B$21:$GQ$21,MATCH(73,$B$29:$GQ$29,0))</f>
        <v/>
      </c>
      <c r="BW7">
        <f>INDEX($B$21:$GQ$21,MATCH(74,$B$29:$GQ$29,0))</f>
        <v/>
      </c>
      <c r="BX7">
        <f>INDEX($B$21:$GQ$21,MATCH(75,$B$29:$GQ$29,0))</f>
        <v/>
      </c>
      <c r="BY7">
        <f>INDEX($B$21:$GQ$21,MATCH(76,$B$29:$GQ$29,0))</f>
        <v/>
      </c>
      <c r="BZ7">
        <f>INDEX($B$21:$GQ$21,MATCH(77,$B$29:$GQ$29,0))</f>
        <v/>
      </c>
      <c r="CA7">
        <f>INDEX($B$21:$GQ$21,MATCH(78,$B$29:$GQ$29,0))</f>
        <v/>
      </c>
      <c r="CB7">
        <f>INDEX($B$21:$GQ$21,MATCH(79,$B$29:$GQ$29,0))</f>
        <v/>
      </c>
      <c r="CC7">
        <f>INDEX($B$21:$GQ$21,MATCH(80,$B$29:$GQ$29,0))</f>
        <v/>
      </c>
      <c r="CD7">
        <f>INDEX($B$21:$GQ$21,MATCH(81,$B$29:$GQ$29,0))</f>
        <v/>
      </c>
      <c r="CE7">
        <f>INDEX($B$21:$GQ$21,MATCH(82,$B$29:$GQ$29,0))</f>
        <v/>
      </c>
      <c r="CF7">
        <f>INDEX($B$21:$GQ$21,MATCH(83,$B$29:$GQ$29,0))</f>
        <v/>
      </c>
      <c r="CG7">
        <f>INDEX($B$21:$GQ$21,MATCH(84,$B$29:$GQ$29,0))</f>
        <v/>
      </c>
      <c r="CH7">
        <f>INDEX($B$21:$GQ$21,MATCH(85,$B$29:$GQ$29,0))</f>
        <v/>
      </c>
      <c r="CI7">
        <f>INDEX($B$21:$GQ$21,MATCH(86,$B$29:$GQ$29,0))</f>
        <v/>
      </c>
      <c r="CJ7">
        <f>INDEX($B$21:$GQ$21,MATCH(87,$B$29:$GQ$29,0))</f>
        <v/>
      </c>
      <c r="CK7">
        <f>INDEX($B$21:$GQ$21,MATCH(88,$B$29:$GQ$29,0))</f>
        <v/>
      </c>
      <c r="CL7">
        <f>INDEX($B$21:$GQ$21,MATCH(89,$B$29:$GQ$29,0))</f>
        <v/>
      </c>
      <c r="CM7">
        <f>INDEX($B$21:$GQ$21,MATCH(90,$B$29:$GQ$29,0))</f>
        <v/>
      </c>
      <c r="CN7">
        <f>INDEX($B$21:$GQ$21,MATCH(91,$B$29:$GQ$29,0))</f>
        <v/>
      </c>
      <c r="CO7">
        <f>INDEX($B$21:$GQ$21,MATCH(92,$B$29:$GQ$29,0))</f>
        <v/>
      </c>
      <c r="CP7">
        <f>INDEX($B$21:$GQ$21,MATCH(93,$B$29:$GQ$29,0))</f>
        <v/>
      </c>
      <c r="CQ7">
        <f>INDEX($B$21:$GQ$21,MATCH(94,$B$29:$GQ$29,0))</f>
        <v/>
      </c>
      <c r="CR7">
        <f>INDEX($B$21:$GQ$21,MATCH(95,$B$29:$GQ$29,0))</f>
        <v/>
      </c>
      <c r="CS7">
        <f>INDEX($B$21:$GQ$21,MATCH(96,$B$29:$GQ$29,0))</f>
        <v/>
      </c>
      <c r="CT7">
        <f>INDEX($B$21:$GQ$21,MATCH(97,$B$29:$GQ$29,0))</f>
        <v/>
      </c>
      <c r="CU7">
        <f>INDEX($B$21:$GQ$21,MATCH(98,$B$29:$GQ$29,0))</f>
        <v/>
      </c>
      <c r="CV7">
        <f>INDEX($B$21:$GQ$21,MATCH(99,$B$29:$GQ$29,0))</f>
        <v/>
      </c>
      <c r="CW7">
        <f>INDEX($B$21:$GQ$21,MATCH(100,$B$29:$GQ$29,0))</f>
        <v/>
      </c>
      <c r="CX7">
        <f>INDEX($B$21:$GQ$21,MATCH(101,$B$29:$GQ$29,0))</f>
        <v/>
      </c>
      <c r="CY7">
        <f>INDEX($B$21:$GQ$21,MATCH(102,$B$29:$GQ$29,0))</f>
        <v/>
      </c>
      <c r="CZ7">
        <f>INDEX($B$21:$GQ$21,MATCH(103,$B$29:$GQ$29,0))</f>
        <v/>
      </c>
      <c r="DA7">
        <f>INDEX($B$21:$GQ$21,MATCH(104,$B$29:$GQ$29,0))</f>
        <v/>
      </c>
      <c r="DB7">
        <f>INDEX($B$21:$GQ$21,MATCH(105,$B$29:$GQ$29,0))</f>
        <v/>
      </c>
      <c r="DC7">
        <f>INDEX($B$21:$GQ$21,MATCH(106,$B$29:$GQ$29,0))</f>
        <v/>
      </c>
      <c r="DD7">
        <f>INDEX($B$21:$GQ$21,MATCH(107,$B$29:$GQ$29,0))</f>
        <v/>
      </c>
      <c r="DE7">
        <f>INDEX($B$21:$GQ$21,MATCH(108,$B$29:$GQ$29,0))</f>
        <v/>
      </c>
      <c r="DF7">
        <f>INDEX($B$21:$GQ$21,MATCH(109,$B$29:$GQ$29,0))</f>
        <v/>
      </c>
      <c r="DG7">
        <f>INDEX($B$21:$GQ$21,MATCH(110,$B$29:$GQ$29,0))</f>
        <v/>
      </c>
      <c r="DH7">
        <f>INDEX($B$21:$GQ$21,MATCH(111,$B$29:$GQ$29,0))</f>
        <v/>
      </c>
      <c r="DI7">
        <f>INDEX($B$21:$GQ$21,MATCH(112,$B$29:$GQ$29,0))</f>
        <v/>
      </c>
      <c r="DJ7">
        <f>INDEX($B$21:$GQ$21,MATCH(113,$B$29:$GQ$29,0))</f>
        <v/>
      </c>
      <c r="DK7">
        <f>INDEX($B$21:$GQ$21,MATCH(114,$B$29:$GQ$29,0))</f>
        <v/>
      </c>
      <c r="DL7">
        <f>INDEX($B$21:$GQ$21,MATCH(115,$B$29:$GQ$29,0))</f>
        <v/>
      </c>
      <c r="DM7">
        <f>INDEX($B$21:$GQ$21,MATCH(116,$B$29:$GQ$29,0))</f>
        <v/>
      </c>
      <c r="DN7">
        <f>INDEX($B$21:$GQ$21,MATCH(117,$B$29:$GQ$29,0))</f>
        <v/>
      </c>
      <c r="DO7">
        <f>INDEX($B$21:$GQ$21,MATCH(118,$B$29:$GQ$29,0))</f>
        <v/>
      </c>
      <c r="DP7">
        <f>INDEX($B$21:$GQ$21,MATCH(119,$B$29:$GQ$29,0))</f>
        <v/>
      </c>
      <c r="DQ7">
        <f>INDEX($B$21:$GQ$21,MATCH(120,$B$29:$GQ$29,0))</f>
        <v/>
      </c>
      <c r="DR7">
        <f>INDEX($B$21:$GQ$21,MATCH(121,$B$29:$GQ$29,0))</f>
        <v/>
      </c>
      <c r="DS7">
        <f>INDEX($B$21:$GQ$21,MATCH(122,$B$29:$GQ$29,0))</f>
        <v/>
      </c>
      <c r="DT7">
        <f>INDEX($B$21:$GQ$21,MATCH(123,$B$29:$GQ$29,0))</f>
        <v/>
      </c>
      <c r="DU7">
        <f>INDEX($B$21:$GQ$21,MATCH(124,$B$29:$GQ$29,0))</f>
        <v/>
      </c>
      <c r="DV7">
        <f>INDEX($B$21:$GQ$21,MATCH(125,$B$29:$GQ$29,0))</f>
        <v/>
      </c>
      <c r="DW7">
        <f>INDEX($B$21:$GQ$21,MATCH(126,$B$29:$GQ$29,0))</f>
        <v/>
      </c>
      <c r="DX7">
        <f>INDEX($B$21:$GQ$21,MATCH(127,$B$29:$GQ$29,0))</f>
        <v/>
      </c>
      <c r="DY7">
        <f>INDEX($B$21:$GQ$21,MATCH(128,$B$29:$GQ$29,0))</f>
        <v/>
      </c>
      <c r="DZ7">
        <f>INDEX($B$21:$GQ$21,MATCH(129,$B$29:$GQ$29,0))</f>
        <v/>
      </c>
      <c r="EA7">
        <f>INDEX($B$21:$GQ$21,MATCH(130,$B$29:$GQ$29,0))</f>
        <v/>
      </c>
      <c r="EB7">
        <f>INDEX($B$21:$GQ$21,MATCH(131,$B$29:$GQ$29,0))</f>
        <v/>
      </c>
      <c r="EC7">
        <f>INDEX($B$21:$GQ$21,MATCH(132,$B$29:$GQ$29,0))</f>
        <v/>
      </c>
      <c r="ED7">
        <f>INDEX($B$21:$GQ$21,MATCH(133,$B$29:$GQ$29,0))</f>
        <v/>
      </c>
      <c r="EE7">
        <f>INDEX($B$21:$GQ$21,MATCH(134,$B$29:$GQ$29,0))</f>
        <v/>
      </c>
      <c r="EF7">
        <f>INDEX($B$21:$GQ$21,MATCH(135,$B$29:$GQ$29,0))</f>
        <v/>
      </c>
      <c r="EG7">
        <f>INDEX($B$21:$GQ$21,MATCH(136,$B$29:$GQ$29,0))</f>
        <v/>
      </c>
      <c r="EH7">
        <f>INDEX($B$21:$GQ$21,MATCH(137,$B$29:$GQ$29,0))</f>
        <v/>
      </c>
      <c r="EI7">
        <f>INDEX($B$21:$GQ$21,MATCH(138,$B$29:$GQ$29,0))</f>
        <v/>
      </c>
      <c r="EJ7">
        <f>INDEX($B$21:$GQ$21,MATCH(139,$B$29:$GQ$29,0))</f>
        <v/>
      </c>
      <c r="EK7">
        <f>INDEX($B$21:$GQ$21,MATCH(140,$B$29:$GQ$29,0))</f>
        <v/>
      </c>
      <c r="EL7">
        <f>INDEX($B$21:$GQ$21,MATCH(141,$B$29:$GQ$29,0))</f>
        <v/>
      </c>
      <c r="EM7">
        <f>INDEX($B$21:$GQ$21,MATCH(142,$B$29:$GQ$29,0))</f>
        <v/>
      </c>
      <c r="EN7">
        <f>INDEX($B$21:$GQ$21,MATCH(143,$B$29:$GQ$29,0))</f>
        <v/>
      </c>
      <c r="EO7">
        <f>INDEX($B$21:$GQ$21,MATCH(144,$B$29:$GQ$29,0))</f>
        <v/>
      </c>
      <c r="EP7">
        <f>INDEX($B$21:$GQ$21,MATCH(145,$B$29:$GQ$29,0))</f>
        <v/>
      </c>
      <c r="EQ7">
        <f>INDEX($B$21:$GQ$21,MATCH(146,$B$29:$GQ$29,0))</f>
        <v/>
      </c>
      <c r="ER7">
        <f>INDEX($B$21:$GQ$21,MATCH(147,$B$29:$GQ$29,0))</f>
        <v/>
      </c>
      <c r="ES7">
        <f>INDEX($B$21:$GQ$21,MATCH(148,$B$29:$GQ$29,0))</f>
        <v/>
      </c>
      <c r="ET7">
        <f>INDEX($B$21:$GQ$21,MATCH(149,$B$29:$GQ$29,0))</f>
        <v/>
      </c>
      <c r="EU7">
        <f>INDEX($B$21:$GQ$21,MATCH(150,$B$29:$GQ$29,0))</f>
        <v/>
      </c>
      <c r="EV7">
        <f>INDEX($B$21:$GQ$21,MATCH(151,$B$29:$GQ$29,0))</f>
        <v/>
      </c>
      <c r="EW7">
        <f>INDEX($B$21:$GQ$21,MATCH(152,$B$29:$GQ$29,0))</f>
        <v/>
      </c>
      <c r="EX7">
        <f>INDEX($B$21:$GQ$21,MATCH(153,$B$29:$GQ$29,0))</f>
        <v/>
      </c>
      <c r="EY7">
        <f>INDEX($B$21:$GQ$21,MATCH(154,$B$29:$GQ$29,0))</f>
        <v/>
      </c>
      <c r="EZ7">
        <f>INDEX($B$21:$GQ$21,MATCH(155,$B$29:$GQ$29,0))</f>
        <v/>
      </c>
      <c r="FA7">
        <f>INDEX($B$21:$GQ$21,MATCH(156,$B$29:$GQ$29,0))</f>
        <v/>
      </c>
      <c r="FB7">
        <f>INDEX($B$21:$GQ$21,MATCH(157,$B$29:$GQ$29,0))</f>
        <v/>
      </c>
      <c r="FC7">
        <f>INDEX($B$21:$GQ$21,MATCH(158,$B$29:$GQ$29,0))</f>
        <v/>
      </c>
      <c r="FD7">
        <f>INDEX($B$21:$GQ$21,MATCH(159,$B$29:$GQ$29,0))</f>
        <v/>
      </c>
      <c r="FE7">
        <f>INDEX($B$21:$GQ$21,MATCH(160,$B$29:$GQ$29,0))</f>
        <v/>
      </c>
      <c r="FF7">
        <f>INDEX($B$21:$GQ$21,MATCH(161,$B$29:$GQ$29,0))</f>
        <v/>
      </c>
      <c r="FG7">
        <f>INDEX($B$21:$GQ$21,MATCH(162,$B$29:$GQ$29,0))</f>
        <v/>
      </c>
      <c r="FH7">
        <f>INDEX($B$21:$GQ$21,MATCH(163,$B$29:$GQ$29,0))</f>
        <v/>
      </c>
      <c r="FI7">
        <f>INDEX($B$21:$GQ$21,MATCH(164,$B$29:$GQ$29,0))</f>
        <v/>
      </c>
      <c r="FJ7">
        <f>INDEX($B$21:$GQ$21,MATCH(165,$B$29:$GQ$29,0))</f>
        <v/>
      </c>
      <c r="FK7">
        <f>INDEX($B$21:$GQ$21,MATCH(166,$B$29:$GQ$29,0))</f>
        <v/>
      </c>
      <c r="FL7">
        <f>INDEX($B$21:$GQ$21,MATCH(167,$B$29:$GQ$29,0))</f>
        <v/>
      </c>
      <c r="FM7">
        <f>INDEX($B$21:$GQ$21,MATCH(168,$B$29:$GQ$29,0))</f>
        <v/>
      </c>
      <c r="FN7">
        <f>INDEX($B$21:$GQ$21,MATCH(169,$B$29:$GQ$29,0))</f>
        <v/>
      </c>
      <c r="FO7">
        <f>INDEX($B$21:$GQ$21,MATCH(170,$B$29:$GQ$29,0))</f>
        <v/>
      </c>
      <c r="FP7">
        <f>INDEX($B$21:$GQ$21,MATCH(171,$B$29:$GQ$29,0))</f>
        <v/>
      </c>
      <c r="FQ7">
        <f>INDEX($B$21:$GQ$21,MATCH(172,$B$29:$GQ$29,0))</f>
        <v/>
      </c>
      <c r="FR7">
        <f>INDEX($B$21:$GQ$21,MATCH(173,$B$29:$GQ$29,0))</f>
        <v/>
      </c>
      <c r="FS7">
        <f>INDEX($B$21:$GQ$21,MATCH(174,$B$29:$GQ$29,0))</f>
        <v/>
      </c>
      <c r="FT7">
        <f>INDEX($B$21:$GQ$21,MATCH(175,$B$29:$GQ$29,0))</f>
        <v/>
      </c>
      <c r="FU7">
        <f>INDEX($B$21:$GQ$21,MATCH(176,$B$29:$GQ$29,0))</f>
        <v/>
      </c>
      <c r="FV7">
        <f>INDEX($B$21:$GQ$21,MATCH(177,$B$29:$GQ$29,0))</f>
        <v/>
      </c>
      <c r="FW7">
        <f>INDEX($B$21:$GQ$21,MATCH(178,$B$29:$GQ$29,0))</f>
        <v/>
      </c>
      <c r="FX7">
        <f>INDEX($B$21:$GQ$21,MATCH(179,$B$29:$GQ$29,0))</f>
        <v/>
      </c>
      <c r="FY7">
        <f>INDEX($B$21:$GQ$21,MATCH(180,$B$29:$GQ$29,0))</f>
        <v/>
      </c>
      <c r="FZ7">
        <f>INDEX($B$21:$GQ$21,MATCH(181,$B$29:$GQ$29,0))</f>
        <v/>
      </c>
      <c r="GA7">
        <f>INDEX($B$21:$GQ$21,MATCH(182,$B$29:$GQ$29,0))</f>
        <v/>
      </c>
      <c r="GB7">
        <f>INDEX($B$21:$GQ$21,MATCH(183,$B$29:$GQ$29,0))</f>
        <v/>
      </c>
      <c r="GC7">
        <f>INDEX($B$21:$GQ$21,MATCH(184,$B$29:$GQ$29,0))</f>
        <v/>
      </c>
      <c r="GD7">
        <f>INDEX($B$21:$GQ$21,MATCH(185,$B$29:$GQ$29,0))</f>
        <v/>
      </c>
      <c r="GE7">
        <f>INDEX($B$21:$GQ$21,MATCH(186,$B$29:$GQ$29,0))</f>
        <v/>
      </c>
      <c r="GF7">
        <f>INDEX($B$21:$GQ$21,MATCH(187,$B$29:$GQ$29,0))</f>
        <v/>
      </c>
      <c r="GG7">
        <f>INDEX($B$21:$GQ$21,MATCH(188,$B$29:$GQ$29,0))</f>
        <v/>
      </c>
      <c r="GH7">
        <f>INDEX($B$21:$GQ$21,MATCH(189,$B$29:$GQ$29,0))</f>
        <v/>
      </c>
      <c r="GI7">
        <f>INDEX($B$21:$GQ$21,MATCH(190,$B$29:$GQ$29,0))</f>
        <v/>
      </c>
      <c r="GJ7">
        <f>INDEX($B$21:$GQ$21,MATCH(191,$B$29:$GQ$29,0))</f>
        <v/>
      </c>
      <c r="GK7">
        <f>INDEX($B$21:$GQ$21,MATCH(192,$B$29:$GQ$29,0))</f>
        <v/>
      </c>
      <c r="GL7">
        <f>INDEX($B$21:$GQ$21,MATCH(193,$B$29:$GQ$29,0))</f>
        <v/>
      </c>
      <c r="GM7">
        <f>INDEX($B$21:$GQ$21,MATCH(194,$B$29:$GQ$29,0))</f>
        <v/>
      </c>
      <c r="GN7">
        <f>INDEX($B$21:$GQ$21,MATCH(195,$B$29:$GQ$29,0))</f>
        <v/>
      </c>
      <c r="GO7">
        <f>INDEX($B$21:$GQ$21,MATCH(196,$B$29:$GQ$29,0))</f>
        <v/>
      </c>
      <c r="GP7">
        <f>INDEX($B$21:$GQ$21,MATCH(197,$B$29:$GQ$29,0))</f>
        <v/>
      </c>
      <c r="GQ7">
        <f>INDEX($B$21:$GQ$21,MATCH(198,$B$29:$GQ$29,0))</f>
        <v/>
      </c>
      <c r="GR7">
        <f>INDEX($GR$21:$HC$21,MATCH(1,$GR$30:$HC$30,0))</f>
        <v/>
      </c>
      <c r="GS7">
        <f>INDEX($GR$21:$HC$21,MATCH(2,$GR$30:$HC$30,0))</f>
        <v/>
      </c>
      <c r="GT7">
        <f>INDEX($GR$21:$HC$21,MATCH(3,$GR$30:$HC$30,0))</f>
        <v/>
      </c>
      <c r="GU7">
        <f>INDEX($GR$21:$HC$21,MATCH(4,$GR$30:$HC$30,0))</f>
        <v/>
      </c>
      <c r="GV7">
        <f>INDEX($GR$21:$HC$21,MATCH(5,$GR$30:$HC$30,0))</f>
        <v/>
      </c>
      <c r="GW7">
        <f>INDEX($GR$21:$HC$21,MATCH(6,$GR$30:$HC$30,0))</f>
        <v/>
      </c>
      <c r="GX7">
        <f>INDEX($GR$21:$HC$21,MATCH(7,$GR$30:$HC$30,0))</f>
        <v/>
      </c>
      <c r="GY7">
        <f>INDEX($GR$21:$HC$21,MATCH(8,$GR$30:$HC$30,0))</f>
        <v/>
      </c>
      <c r="GZ7">
        <f>INDEX($GR$21:$HC$21,MATCH(9,$GR$30:$HC$30,0))</f>
        <v/>
      </c>
      <c r="HA7">
        <f>INDEX($GR$21:$HC$21,MATCH(10,$GR$30:$HC$30,0))</f>
        <v/>
      </c>
      <c r="HB7">
        <f>INDEX($GR$21:$HC$21,MATCH(11,$GR$30:$HC$30,0))</f>
        <v/>
      </c>
      <c r="HC7">
        <f>INDEX($GR$21:$HC$21,MATCH(12,$GR$30:$HC$30,0))</f>
        <v/>
      </c>
    </row>
    <row r="8">
      <c r="A8" s="1" t="inlineStr">
        <is>
          <t>Y_dom</t>
        </is>
      </c>
      <c r="B8">
        <f>INDEX($B$22:$GQ$22,MATCH(1,$B$29:$GQ$29,0))</f>
        <v/>
      </c>
      <c r="C8">
        <f>INDEX($B$22:$GQ$22,MATCH(2,$B$29:$GQ$29,0))</f>
        <v/>
      </c>
      <c r="D8">
        <f>INDEX($B$22:$GQ$22,MATCH(3,$B$29:$GQ$29,0))</f>
        <v/>
      </c>
      <c r="E8">
        <f>INDEX($B$22:$GQ$22,MATCH(4,$B$29:$GQ$29,0))</f>
        <v/>
      </c>
      <c r="F8">
        <f>INDEX($B$22:$GQ$22,MATCH(5,$B$29:$GQ$29,0))</f>
        <v/>
      </c>
      <c r="G8">
        <f>INDEX($B$22:$GQ$22,MATCH(6,$B$29:$GQ$29,0))</f>
        <v/>
      </c>
      <c r="H8">
        <f>INDEX($B$22:$GQ$22,MATCH(7,$B$29:$GQ$29,0))</f>
        <v/>
      </c>
      <c r="I8">
        <f>INDEX($B$22:$GQ$22,MATCH(8,$B$29:$GQ$29,0))</f>
        <v/>
      </c>
      <c r="J8">
        <f>INDEX($B$22:$GQ$22,MATCH(9,$B$29:$GQ$29,0))</f>
        <v/>
      </c>
      <c r="K8">
        <f>INDEX($B$22:$GQ$22,MATCH(10,$B$29:$GQ$29,0))</f>
        <v/>
      </c>
      <c r="L8">
        <f>INDEX($B$22:$GQ$22,MATCH(11,$B$29:$GQ$29,0))</f>
        <v/>
      </c>
      <c r="M8">
        <f>INDEX($B$22:$GQ$22,MATCH(12,$B$29:$GQ$29,0))</f>
        <v/>
      </c>
      <c r="N8">
        <f>INDEX($B$22:$GQ$22,MATCH(13,$B$29:$GQ$29,0))</f>
        <v/>
      </c>
      <c r="O8">
        <f>INDEX($B$22:$GQ$22,MATCH(14,$B$29:$GQ$29,0))</f>
        <v/>
      </c>
      <c r="P8">
        <f>INDEX($B$22:$GQ$22,MATCH(15,$B$29:$GQ$29,0))</f>
        <v/>
      </c>
      <c r="Q8">
        <f>INDEX($B$22:$GQ$22,MATCH(16,$B$29:$GQ$29,0))</f>
        <v/>
      </c>
      <c r="R8">
        <f>INDEX($B$22:$GQ$22,MATCH(17,$B$29:$GQ$29,0))</f>
        <v/>
      </c>
      <c r="S8">
        <f>INDEX($B$22:$GQ$22,MATCH(18,$B$29:$GQ$29,0))</f>
        <v/>
      </c>
      <c r="T8">
        <f>INDEX($B$22:$GQ$22,MATCH(19,$B$29:$GQ$29,0))</f>
        <v/>
      </c>
      <c r="U8">
        <f>INDEX($B$22:$GQ$22,MATCH(20,$B$29:$GQ$29,0))</f>
        <v/>
      </c>
      <c r="V8">
        <f>INDEX($B$22:$GQ$22,MATCH(21,$B$29:$GQ$29,0))</f>
        <v/>
      </c>
      <c r="W8">
        <f>INDEX($B$22:$GQ$22,MATCH(22,$B$29:$GQ$29,0))</f>
        <v/>
      </c>
      <c r="X8">
        <f>INDEX($B$22:$GQ$22,MATCH(23,$B$29:$GQ$29,0))</f>
        <v/>
      </c>
      <c r="Y8">
        <f>INDEX($B$22:$GQ$22,MATCH(24,$B$29:$GQ$29,0))</f>
        <v/>
      </c>
      <c r="Z8">
        <f>INDEX($B$22:$GQ$22,MATCH(25,$B$29:$GQ$29,0))</f>
        <v/>
      </c>
      <c r="AA8">
        <f>INDEX($B$22:$GQ$22,MATCH(26,$B$29:$GQ$29,0))</f>
        <v/>
      </c>
      <c r="AB8">
        <f>INDEX($B$22:$GQ$22,MATCH(27,$B$29:$GQ$29,0))</f>
        <v/>
      </c>
      <c r="AC8">
        <f>INDEX($B$22:$GQ$22,MATCH(28,$B$29:$GQ$29,0))</f>
        <v/>
      </c>
      <c r="AD8">
        <f>INDEX($B$22:$GQ$22,MATCH(29,$B$29:$GQ$29,0))</f>
        <v/>
      </c>
      <c r="AE8">
        <f>INDEX($B$22:$GQ$22,MATCH(30,$B$29:$GQ$29,0))</f>
        <v/>
      </c>
      <c r="AF8">
        <f>INDEX($B$22:$GQ$22,MATCH(31,$B$29:$GQ$29,0))</f>
        <v/>
      </c>
      <c r="AG8">
        <f>INDEX($B$22:$GQ$22,MATCH(32,$B$29:$GQ$29,0))</f>
        <v/>
      </c>
      <c r="AH8">
        <f>INDEX($B$22:$GQ$22,MATCH(33,$B$29:$GQ$29,0))</f>
        <v/>
      </c>
      <c r="AI8">
        <f>INDEX($B$22:$GQ$22,MATCH(34,$B$29:$GQ$29,0))</f>
        <v/>
      </c>
      <c r="AJ8">
        <f>INDEX($B$22:$GQ$22,MATCH(35,$B$29:$GQ$29,0))</f>
        <v/>
      </c>
      <c r="AK8">
        <f>INDEX($B$22:$GQ$22,MATCH(36,$B$29:$GQ$29,0))</f>
        <v/>
      </c>
      <c r="AL8">
        <f>INDEX($B$22:$GQ$22,MATCH(37,$B$29:$GQ$29,0))</f>
        <v/>
      </c>
      <c r="AM8">
        <f>INDEX($B$22:$GQ$22,MATCH(38,$B$29:$GQ$29,0))</f>
        <v/>
      </c>
      <c r="AN8">
        <f>INDEX($B$22:$GQ$22,MATCH(39,$B$29:$GQ$29,0))</f>
        <v/>
      </c>
      <c r="AO8">
        <f>INDEX($B$22:$GQ$22,MATCH(40,$B$29:$GQ$29,0))</f>
        <v/>
      </c>
      <c r="AP8">
        <f>INDEX($B$22:$GQ$22,MATCH(41,$B$29:$GQ$29,0))</f>
        <v/>
      </c>
      <c r="AQ8">
        <f>INDEX($B$22:$GQ$22,MATCH(42,$B$29:$GQ$29,0))</f>
        <v/>
      </c>
      <c r="AR8">
        <f>INDEX($B$22:$GQ$22,MATCH(43,$B$29:$GQ$29,0))</f>
        <v/>
      </c>
      <c r="AS8">
        <f>INDEX($B$22:$GQ$22,MATCH(44,$B$29:$GQ$29,0))</f>
        <v/>
      </c>
      <c r="AT8">
        <f>INDEX($B$22:$GQ$22,MATCH(45,$B$29:$GQ$29,0))</f>
        <v/>
      </c>
      <c r="AU8">
        <f>INDEX($B$22:$GQ$22,MATCH(46,$B$29:$GQ$29,0))</f>
        <v/>
      </c>
      <c r="AV8">
        <f>INDEX($B$22:$GQ$22,MATCH(47,$B$29:$GQ$29,0))</f>
        <v/>
      </c>
      <c r="AW8">
        <f>INDEX($B$22:$GQ$22,MATCH(48,$B$29:$GQ$29,0))</f>
        <v/>
      </c>
      <c r="AX8">
        <f>INDEX($B$22:$GQ$22,MATCH(49,$B$29:$GQ$29,0))</f>
        <v/>
      </c>
      <c r="AY8">
        <f>INDEX($B$22:$GQ$22,MATCH(50,$B$29:$GQ$29,0))</f>
        <v/>
      </c>
      <c r="AZ8">
        <f>INDEX($B$22:$GQ$22,MATCH(51,$B$29:$GQ$29,0))</f>
        <v/>
      </c>
      <c r="BA8">
        <f>INDEX($B$22:$GQ$22,MATCH(52,$B$29:$GQ$29,0))</f>
        <v/>
      </c>
      <c r="BB8">
        <f>INDEX($B$22:$GQ$22,MATCH(53,$B$29:$GQ$29,0))</f>
        <v/>
      </c>
      <c r="BC8">
        <f>INDEX($B$22:$GQ$22,MATCH(54,$B$29:$GQ$29,0))</f>
        <v/>
      </c>
      <c r="BD8">
        <f>INDEX($B$22:$GQ$22,MATCH(55,$B$29:$GQ$29,0))</f>
        <v/>
      </c>
      <c r="BE8">
        <f>INDEX($B$22:$GQ$22,MATCH(56,$B$29:$GQ$29,0))</f>
        <v/>
      </c>
      <c r="BF8">
        <f>INDEX($B$22:$GQ$22,MATCH(57,$B$29:$GQ$29,0))</f>
        <v/>
      </c>
      <c r="BG8">
        <f>INDEX($B$22:$GQ$22,MATCH(58,$B$29:$GQ$29,0))</f>
        <v/>
      </c>
      <c r="BH8">
        <f>INDEX($B$22:$GQ$22,MATCH(59,$B$29:$GQ$29,0))</f>
        <v/>
      </c>
      <c r="BI8">
        <f>INDEX($B$22:$GQ$22,MATCH(60,$B$29:$GQ$29,0))</f>
        <v/>
      </c>
      <c r="BJ8">
        <f>INDEX($B$22:$GQ$22,MATCH(61,$B$29:$GQ$29,0))</f>
        <v/>
      </c>
      <c r="BK8">
        <f>INDEX($B$22:$GQ$22,MATCH(62,$B$29:$GQ$29,0))</f>
        <v/>
      </c>
      <c r="BL8">
        <f>INDEX($B$22:$GQ$22,MATCH(63,$B$29:$GQ$29,0))</f>
        <v/>
      </c>
      <c r="BM8">
        <f>INDEX($B$22:$GQ$22,MATCH(64,$B$29:$GQ$29,0))</f>
        <v/>
      </c>
      <c r="BN8">
        <f>INDEX($B$22:$GQ$22,MATCH(65,$B$29:$GQ$29,0))</f>
        <v/>
      </c>
      <c r="BO8">
        <f>INDEX($B$22:$GQ$22,MATCH(66,$B$29:$GQ$29,0))</f>
        <v/>
      </c>
      <c r="BP8">
        <f>INDEX($B$22:$GQ$22,MATCH(67,$B$29:$GQ$29,0))</f>
        <v/>
      </c>
      <c r="BQ8">
        <f>INDEX($B$22:$GQ$22,MATCH(68,$B$29:$GQ$29,0))</f>
        <v/>
      </c>
      <c r="BR8">
        <f>INDEX($B$22:$GQ$22,MATCH(69,$B$29:$GQ$29,0))</f>
        <v/>
      </c>
      <c r="BS8">
        <f>INDEX($B$22:$GQ$22,MATCH(70,$B$29:$GQ$29,0))</f>
        <v/>
      </c>
      <c r="BT8">
        <f>INDEX($B$22:$GQ$22,MATCH(71,$B$29:$GQ$29,0))</f>
        <v/>
      </c>
      <c r="BU8">
        <f>INDEX($B$22:$GQ$22,MATCH(72,$B$29:$GQ$29,0))</f>
        <v/>
      </c>
      <c r="BV8">
        <f>INDEX($B$22:$GQ$22,MATCH(73,$B$29:$GQ$29,0))</f>
        <v/>
      </c>
      <c r="BW8">
        <f>INDEX($B$22:$GQ$22,MATCH(74,$B$29:$GQ$29,0))</f>
        <v/>
      </c>
      <c r="BX8">
        <f>INDEX($B$22:$GQ$22,MATCH(75,$B$29:$GQ$29,0))</f>
        <v/>
      </c>
      <c r="BY8">
        <f>INDEX($B$22:$GQ$22,MATCH(76,$B$29:$GQ$29,0))</f>
        <v/>
      </c>
      <c r="BZ8">
        <f>INDEX($B$22:$GQ$22,MATCH(77,$B$29:$GQ$29,0))</f>
        <v/>
      </c>
      <c r="CA8">
        <f>INDEX($B$22:$GQ$22,MATCH(78,$B$29:$GQ$29,0))</f>
        <v/>
      </c>
      <c r="CB8">
        <f>INDEX($B$22:$GQ$22,MATCH(79,$B$29:$GQ$29,0))</f>
        <v/>
      </c>
      <c r="CC8">
        <f>INDEX($B$22:$GQ$22,MATCH(80,$B$29:$GQ$29,0))</f>
        <v/>
      </c>
      <c r="CD8">
        <f>INDEX($B$22:$GQ$22,MATCH(81,$B$29:$GQ$29,0))</f>
        <v/>
      </c>
      <c r="CE8">
        <f>INDEX($B$22:$GQ$22,MATCH(82,$B$29:$GQ$29,0))</f>
        <v/>
      </c>
      <c r="CF8">
        <f>INDEX($B$22:$GQ$22,MATCH(83,$B$29:$GQ$29,0))</f>
        <v/>
      </c>
      <c r="CG8">
        <f>INDEX($B$22:$GQ$22,MATCH(84,$B$29:$GQ$29,0))</f>
        <v/>
      </c>
      <c r="CH8">
        <f>INDEX($B$22:$GQ$22,MATCH(85,$B$29:$GQ$29,0))</f>
        <v/>
      </c>
      <c r="CI8">
        <f>INDEX($B$22:$GQ$22,MATCH(86,$B$29:$GQ$29,0))</f>
        <v/>
      </c>
      <c r="CJ8">
        <f>INDEX($B$22:$GQ$22,MATCH(87,$B$29:$GQ$29,0))</f>
        <v/>
      </c>
      <c r="CK8">
        <f>INDEX($B$22:$GQ$22,MATCH(88,$B$29:$GQ$29,0))</f>
        <v/>
      </c>
      <c r="CL8">
        <f>INDEX($B$22:$GQ$22,MATCH(89,$B$29:$GQ$29,0))</f>
        <v/>
      </c>
      <c r="CM8">
        <f>INDEX($B$22:$GQ$22,MATCH(90,$B$29:$GQ$29,0))</f>
        <v/>
      </c>
      <c r="CN8">
        <f>INDEX($B$22:$GQ$22,MATCH(91,$B$29:$GQ$29,0))</f>
        <v/>
      </c>
      <c r="CO8">
        <f>INDEX($B$22:$GQ$22,MATCH(92,$B$29:$GQ$29,0))</f>
        <v/>
      </c>
      <c r="CP8">
        <f>INDEX($B$22:$GQ$22,MATCH(93,$B$29:$GQ$29,0))</f>
        <v/>
      </c>
      <c r="CQ8">
        <f>INDEX($B$22:$GQ$22,MATCH(94,$B$29:$GQ$29,0))</f>
        <v/>
      </c>
      <c r="CR8">
        <f>INDEX($B$22:$GQ$22,MATCH(95,$B$29:$GQ$29,0))</f>
        <v/>
      </c>
      <c r="CS8">
        <f>INDEX($B$22:$GQ$22,MATCH(96,$B$29:$GQ$29,0))</f>
        <v/>
      </c>
      <c r="CT8">
        <f>INDEX($B$22:$GQ$22,MATCH(97,$B$29:$GQ$29,0))</f>
        <v/>
      </c>
      <c r="CU8">
        <f>INDEX($B$22:$GQ$22,MATCH(98,$B$29:$GQ$29,0))</f>
        <v/>
      </c>
      <c r="CV8">
        <f>INDEX($B$22:$GQ$22,MATCH(99,$B$29:$GQ$29,0))</f>
        <v/>
      </c>
      <c r="CW8">
        <f>INDEX($B$22:$GQ$22,MATCH(100,$B$29:$GQ$29,0))</f>
        <v/>
      </c>
      <c r="CX8">
        <f>INDEX($B$22:$GQ$22,MATCH(101,$B$29:$GQ$29,0))</f>
        <v/>
      </c>
      <c r="CY8">
        <f>INDEX($B$22:$GQ$22,MATCH(102,$B$29:$GQ$29,0))</f>
        <v/>
      </c>
      <c r="CZ8">
        <f>INDEX($B$22:$GQ$22,MATCH(103,$B$29:$GQ$29,0))</f>
        <v/>
      </c>
      <c r="DA8">
        <f>INDEX($B$22:$GQ$22,MATCH(104,$B$29:$GQ$29,0))</f>
        <v/>
      </c>
      <c r="DB8">
        <f>INDEX($B$22:$GQ$22,MATCH(105,$B$29:$GQ$29,0))</f>
        <v/>
      </c>
      <c r="DC8">
        <f>INDEX($B$22:$GQ$22,MATCH(106,$B$29:$GQ$29,0))</f>
        <v/>
      </c>
      <c r="DD8">
        <f>INDEX($B$22:$GQ$22,MATCH(107,$B$29:$GQ$29,0))</f>
        <v/>
      </c>
      <c r="DE8">
        <f>INDEX($B$22:$GQ$22,MATCH(108,$B$29:$GQ$29,0))</f>
        <v/>
      </c>
      <c r="DF8">
        <f>INDEX($B$22:$GQ$22,MATCH(109,$B$29:$GQ$29,0))</f>
        <v/>
      </c>
      <c r="DG8">
        <f>INDEX($B$22:$GQ$22,MATCH(110,$B$29:$GQ$29,0))</f>
        <v/>
      </c>
      <c r="DH8">
        <f>INDEX($B$22:$GQ$22,MATCH(111,$B$29:$GQ$29,0))</f>
        <v/>
      </c>
      <c r="DI8">
        <f>INDEX($B$22:$GQ$22,MATCH(112,$B$29:$GQ$29,0))</f>
        <v/>
      </c>
      <c r="DJ8">
        <f>INDEX($B$22:$GQ$22,MATCH(113,$B$29:$GQ$29,0))</f>
        <v/>
      </c>
      <c r="DK8">
        <f>INDEX($B$22:$GQ$22,MATCH(114,$B$29:$GQ$29,0))</f>
        <v/>
      </c>
      <c r="DL8">
        <f>INDEX($B$22:$GQ$22,MATCH(115,$B$29:$GQ$29,0))</f>
        <v/>
      </c>
      <c r="DM8">
        <f>INDEX($B$22:$GQ$22,MATCH(116,$B$29:$GQ$29,0))</f>
        <v/>
      </c>
      <c r="DN8">
        <f>INDEX($B$22:$GQ$22,MATCH(117,$B$29:$GQ$29,0))</f>
        <v/>
      </c>
      <c r="DO8">
        <f>INDEX($B$22:$GQ$22,MATCH(118,$B$29:$GQ$29,0))</f>
        <v/>
      </c>
      <c r="DP8">
        <f>INDEX($B$22:$GQ$22,MATCH(119,$B$29:$GQ$29,0))</f>
        <v/>
      </c>
      <c r="DQ8">
        <f>INDEX($B$22:$GQ$22,MATCH(120,$B$29:$GQ$29,0))</f>
        <v/>
      </c>
      <c r="DR8">
        <f>INDEX($B$22:$GQ$22,MATCH(121,$B$29:$GQ$29,0))</f>
        <v/>
      </c>
      <c r="DS8">
        <f>INDEX($B$22:$GQ$22,MATCH(122,$B$29:$GQ$29,0))</f>
        <v/>
      </c>
      <c r="DT8">
        <f>INDEX($B$22:$GQ$22,MATCH(123,$B$29:$GQ$29,0))</f>
        <v/>
      </c>
      <c r="DU8">
        <f>INDEX($B$22:$GQ$22,MATCH(124,$B$29:$GQ$29,0))</f>
        <v/>
      </c>
      <c r="DV8">
        <f>INDEX($B$22:$GQ$22,MATCH(125,$B$29:$GQ$29,0))</f>
        <v/>
      </c>
      <c r="DW8">
        <f>INDEX($B$22:$GQ$22,MATCH(126,$B$29:$GQ$29,0))</f>
        <v/>
      </c>
      <c r="DX8">
        <f>INDEX($B$22:$GQ$22,MATCH(127,$B$29:$GQ$29,0))</f>
        <v/>
      </c>
      <c r="DY8">
        <f>INDEX($B$22:$GQ$22,MATCH(128,$B$29:$GQ$29,0))</f>
        <v/>
      </c>
      <c r="DZ8">
        <f>INDEX($B$22:$GQ$22,MATCH(129,$B$29:$GQ$29,0))</f>
        <v/>
      </c>
      <c r="EA8">
        <f>INDEX($B$22:$GQ$22,MATCH(130,$B$29:$GQ$29,0))</f>
        <v/>
      </c>
      <c r="EB8">
        <f>INDEX($B$22:$GQ$22,MATCH(131,$B$29:$GQ$29,0))</f>
        <v/>
      </c>
      <c r="EC8">
        <f>INDEX($B$22:$GQ$22,MATCH(132,$B$29:$GQ$29,0))</f>
        <v/>
      </c>
      <c r="ED8">
        <f>INDEX($B$22:$GQ$22,MATCH(133,$B$29:$GQ$29,0))</f>
        <v/>
      </c>
      <c r="EE8">
        <f>INDEX($B$22:$GQ$22,MATCH(134,$B$29:$GQ$29,0))</f>
        <v/>
      </c>
      <c r="EF8">
        <f>INDEX($B$22:$GQ$22,MATCH(135,$B$29:$GQ$29,0))</f>
        <v/>
      </c>
      <c r="EG8">
        <f>INDEX($B$22:$GQ$22,MATCH(136,$B$29:$GQ$29,0))</f>
        <v/>
      </c>
      <c r="EH8">
        <f>INDEX($B$22:$GQ$22,MATCH(137,$B$29:$GQ$29,0))</f>
        <v/>
      </c>
      <c r="EI8">
        <f>INDEX($B$22:$GQ$22,MATCH(138,$B$29:$GQ$29,0))</f>
        <v/>
      </c>
      <c r="EJ8">
        <f>INDEX($B$22:$GQ$22,MATCH(139,$B$29:$GQ$29,0))</f>
        <v/>
      </c>
      <c r="EK8">
        <f>INDEX($B$22:$GQ$22,MATCH(140,$B$29:$GQ$29,0))</f>
        <v/>
      </c>
      <c r="EL8">
        <f>INDEX($B$22:$GQ$22,MATCH(141,$B$29:$GQ$29,0))</f>
        <v/>
      </c>
      <c r="EM8">
        <f>INDEX($B$22:$GQ$22,MATCH(142,$B$29:$GQ$29,0))</f>
        <v/>
      </c>
      <c r="EN8">
        <f>INDEX($B$22:$GQ$22,MATCH(143,$B$29:$GQ$29,0))</f>
        <v/>
      </c>
      <c r="EO8">
        <f>INDEX($B$22:$GQ$22,MATCH(144,$B$29:$GQ$29,0))</f>
        <v/>
      </c>
      <c r="EP8">
        <f>INDEX($B$22:$GQ$22,MATCH(145,$B$29:$GQ$29,0))</f>
        <v/>
      </c>
      <c r="EQ8">
        <f>INDEX($B$22:$GQ$22,MATCH(146,$B$29:$GQ$29,0))</f>
        <v/>
      </c>
      <c r="ER8">
        <f>INDEX($B$22:$GQ$22,MATCH(147,$B$29:$GQ$29,0))</f>
        <v/>
      </c>
      <c r="ES8">
        <f>INDEX($B$22:$GQ$22,MATCH(148,$B$29:$GQ$29,0))</f>
        <v/>
      </c>
      <c r="ET8">
        <f>INDEX($B$22:$GQ$22,MATCH(149,$B$29:$GQ$29,0))</f>
        <v/>
      </c>
      <c r="EU8">
        <f>INDEX($B$22:$GQ$22,MATCH(150,$B$29:$GQ$29,0))</f>
        <v/>
      </c>
      <c r="EV8">
        <f>INDEX($B$22:$GQ$22,MATCH(151,$B$29:$GQ$29,0))</f>
        <v/>
      </c>
      <c r="EW8">
        <f>INDEX($B$22:$GQ$22,MATCH(152,$B$29:$GQ$29,0))</f>
        <v/>
      </c>
      <c r="EX8">
        <f>INDEX($B$22:$GQ$22,MATCH(153,$B$29:$GQ$29,0))</f>
        <v/>
      </c>
      <c r="EY8">
        <f>INDEX($B$22:$GQ$22,MATCH(154,$B$29:$GQ$29,0))</f>
        <v/>
      </c>
      <c r="EZ8">
        <f>INDEX($B$22:$GQ$22,MATCH(155,$B$29:$GQ$29,0))</f>
        <v/>
      </c>
      <c r="FA8">
        <f>INDEX($B$22:$GQ$22,MATCH(156,$B$29:$GQ$29,0))</f>
        <v/>
      </c>
      <c r="FB8">
        <f>INDEX($B$22:$GQ$22,MATCH(157,$B$29:$GQ$29,0))</f>
        <v/>
      </c>
      <c r="FC8">
        <f>INDEX($B$22:$GQ$22,MATCH(158,$B$29:$GQ$29,0))</f>
        <v/>
      </c>
      <c r="FD8">
        <f>INDEX($B$22:$GQ$22,MATCH(159,$B$29:$GQ$29,0))</f>
        <v/>
      </c>
      <c r="FE8">
        <f>INDEX($B$22:$GQ$22,MATCH(160,$B$29:$GQ$29,0))</f>
        <v/>
      </c>
      <c r="FF8">
        <f>INDEX($B$22:$GQ$22,MATCH(161,$B$29:$GQ$29,0))</f>
        <v/>
      </c>
      <c r="FG8">
        <f>INDEX($B$22:$GQ$22,MATCH(162,$B$29:$GQ$29,0))</f>
        <v/>
      </c>
      <c r="FH8">
        <f>INDEX($B$22:$GQ$22,MATCH(163,$B$29:$GQ$29,0))</f>
        <v/>
      </c>
      <c r="FI8">
        <f>INDEX($B$22:$GQ$22,MATCH(164,$B$29:$GQ$29,0))</f>
        <v/>
      </c>
      <c r="FJ8">
        <f>INDEX($B$22:$GQ$22,MATCH(165,$B$29:$GQ$29,0))</f>
        <v/>
      </c>
      <c r="FK8">
        <f>INDEX($B$22:$GQ$22,MATCH(166,$B$29:$GQ$29,0))</f>
        <v/>
      </c>
      <c r="FL8">
        <f>INDEX($B$22:$GQ$22,MATCH(167,$B$29:$GQ$29,0))</f>
        <v/>
      </c>
      <c r="FM8">
        <f>INDEX($B$22:$GQ$22,MATCH(168,$B$29:$GQ$29,0))</f>
        <v/>
      </c>
      <c r="FN8">
        <f>INDEX($B$22:$GQ$22,MATCH(169,$B$29:$GQ$29,0))</f>
        <v/>
      </c>
      <c r="FO8">
        <f>INDEX($B$22:$GQ$22,MATCH(170,$B$29:$GQ$29,0))</f>
        <v/>
      </c>
      <c r="FP8">
        <f>INDEX($B$22:$GQ$22,MATCH(171,$B$29:$GQ$29,0))</f>
        <v/>
      </c>
      <c r="FQ8">
        <f>INDEX($B$22:$GQ$22,MATCH(172,$B$29:$GQ$29,0))</f>
        <v/>
      </c>
      <c r="FR8">
        <f>INDEX($B$22:$GQ$22,MATCH(173,$B$29:$GQ$29,0))</f>
        <v/>
      </c>
      <c r="FS8">
        <f>INDEX($B$22:$GQ$22,MATCH(174,$B$29:$GQ$29,0))</f>
        <v/>
      </c>
      <c r="FT8">
        <f>INDEX($B$22:$GQ$22,MATCH(175,$B$29:$GQ$29,0))</f>
        <v/>
      </c>
      <c r="FU8">
        <f>INDEX($B$22:$GQ$22,MATCH(176,$B$29:$GQ$29,0))</f>
        <v/>
      </c>
      <c r="FV8">
        <f>INDEX($B$22:$GQ$22,MATCH(177,$B$29:$GQ$29,0))</f>
        <v/>
      </c>
      <c r="FW8">
        <f>INDEX($B$22:$GQ$22,MATCH(178,$B$29:$GQ$29,0))</f>
        <v/>
      </c>
      <c r="FX8">
        <f>INDEX($B$22:$GQ$22,MATCH(179,$B$29:$GQ$29,0))</f>
        <v/>
      </c>
      <c r="FY8">
        <f>INDEX($B$22:$GQ$22,MATCH(180,$B$29:$GQ$29,0))</f>
        <v/>
      </c>
      <c r="FZ8">
        <f>INDEX($B$22:$GQ$22,MATCH(181,$B$29:$GQ$29,0))</f>
        <v/>
      </c>
      <c r="GA8">
        <f>INDEX($B$22:$GQ$22,MATCH(182,$B$29:$GQ$29,0))</f>
        <v/>
      </c>
      <c r="GB8">
        <f>INDEX($B$22:$GQ$22,MATCH(183,$B$29:$GQ$29,0))</f>
        <v/>
      </c>
      <c r="GC8">
        <f>INDEX($B$22:$GQ$22,MATCH(184,$B$29:$GQ$29,0))</f>
        <v/>
      </c>
      <c r="GD8">
        <f>INDEX($B$22:$GQ$22,MATCH(185,$B$29:$GQ$29,0))</f>
        <v/>
      </c>
      <c r="GE8">
        <f>INDEX($B$22:$GQ$22,MATCH(186,$B$29:$GQ$29,0))</f>
        <v/>
      </c>
      <c r="GF8">
        <f>INDEX($B$22:$GQ$22,MATCH(187,$B$29:$GQ$29,0))</f>
        <v/>
      </c>
      <c r="GG8">
        <f>INDEX($B$22:$GQ$22,MATCH(188,$B$29:$GQ$29,0))</f>
        <v/>
      </c>
      <c r="GH8">
        <f>INDEX($B$22:$GQ$22,MATCH(189,$B$29:$GQ$29,0))</f>
        <v/>
      </c>
      <c r="GI8">
        <f>INDEX($B$22:$GQ$22,MATCH(190,$B$29:$GQ$29,0))</f>
        <v/>
      </c>
      <c r="GJ8">
        <f>INDEX($B$22:$GQ$22,MATCH(191,$B$29:$GQ$29,0))</f>
        <v/>
      </c>
      <c r="GK8">
        <f>INDEX($B$22:$GQ$22,MATCH(192,$B$29:$GQ$29,0))</f>
        <v/>
      </c>
      <c r="GL8">
        <f>INDEX($B$22:$GQ$22,MATCH(193,$B$29:$GQ$29,0))</f>
        <v/>
      </c>
      <c r="GM8">
        <f>INDEX($B$22:$GQ$22,MATCH(194,$B$29:$GQ$29,0))</f>
        <v/>
      </c>
      <c r="GN8">
        <f>INDEX($B$22:$GQ$22,MATCH(195,$B$29:$GQ$29,0))</f>
        <v/>
      </c>
      <c r="GO8">
        <f>INDEX($B$22:$GQ$22,MATCH(196,$B$29:$GQ$29,0))</f>
        <v/>
      </c>
      <c r="GP8">
        <f>INDEX($B$22:$GQ$22,MATCH(197,$B$29:$GQ$29,0))</f>
        <v/>
      </c>
      <c r="GQ8">
        <f>INDEX($B$22:$GQ$22,MATCH(198,$B$29:$GQ$29,0))</f>
        <v/>
      </c>
      <c r="GR8">
        <f>INDEX($GR$22:$HC$22,MATCH(1,$GR$30:$HC$30,0))</f>
        <v/>
      </c>
      <c r="GS8">
        <f>INDEX($GR$22:$HC$22,MATCH(2,$GR$30:$HC$30,0))</f>
        <v/>
      </c>
      <c r="GT8">
        <f>INDEX($GR$22:$HC$22,MATCH(3,$GR$30:$HC$30,0))</f>
        <v/>
      </c>
      <c r="GU8">
        <f>INDEX($GR$22:$HC$22,MATCH(4,$GR$30:$HC$30,0))</f>
        <v/>
      </c>
      <c r="GV8">
        <f>INDEX($GR$22:$HC$22,MATCH(5,$GR$30:$HC$30,0))</f>
        <v/>
      </c>
      <c r="GW8">
        <f>INDEX($GR$22:$HC$22,MATCH(6,$GR$30:$HC$30,0))</f>
        <v/>
      </c>
      <c r="GX8">
        <f>INDEX($GR$22:$HC$22,MATCH(7,$GR$30:$HC$30,0))</f>
        <v/>
      </c>
      <c r="GY8">
        <f>INDEX($GR$22:$HC$22,MATCH(8,$GR$30:$HC$30,0))</f>
        <v/>
      </c>
      <c r="GZ8">
        <f>INDEX($GR$22:$HC$22,MATCH(9,$GR$30:$HC$30,0))</f>
        <v/>
      </c>
      <c r="HA8">
        <f>INDEX($GR$22:$HC$22,MATCH(10,$GR$30:$HC$30,0))</f>
        <v/>
      </c>
      <c r="HB8">
        <f>INDEX($GR$22:$HC$22,MATCH(11,$GR$30:$HC$30,0))</f>
        <v/>
      </c>
      <c r="HC8">
        <f>INDEX($GR$22:$HC$22,MATCH(12,$GR$30:$HC$30,0))</f>
        <v/>
      </c>
    </row>
    <row r="9">
      <c r="A9" s="1" t="inlineStr">
        <is>
          <t>M_imp*Y_dom</t>
        </is>
      </c>
      <c r="B9">
        <f>INDEX($B$23:$GQ$23,MATCH(1,$B$29:$GQ$29,0))</f>
        <v/>
      </c>
      <c r="C9">
        <f>INDEX($B$23:$GQ$23,MATCH(2,$B$29:$GQ$29,0))</f>
        <v/>
      </c>
      <c r="D9">
        <f>INDEX($B$23:$GQ$23,MATCH(3,$B$29:$GQ$29,0))</f>
        <v/>
      </c>
      <c r="E9">
        <f>INDEX($B$23:$GQ$23,MATCH(4,$B$29:$GQ$29,0))</f>
        <v/>
      </c>
      <c r="F9">
        <f>INDEX($B$23:$GQ$23,MATCH(5,$B$29:$GQ$29,0))</f>
        <v/>
      </c>
      <c r="G9">
        <f>INDEX($B$23:$GQ$23,MATCH(6,$B$29:$GQ$29,0))</f>
        <v/>
      </c>
      <c r="H9">
        <f>INDEX($B$23:$GQ$23,MATCH(7,$B$29:$GQ$29,0))</f>
        <v/>
      </c>
      <c r="I9">
        <f>INDEX($B$23:$GQ$23,MATCH(8,$B$29:$GQ$29,0))</f>
        <v/>
      </c>
      <c r="J9">
        <f>INDEX($B$23:$GQ$23,MATCH(9,$B$29:$GQ$29,0))</f>
        <v/>
      </c>
      <c r="K9">
        <f>INDEX($B$23:$GQ$23,MATCH(10,$B$29:$GQ$29,0))</f>
        <v/>
      </c>
      <c r="L9">
        <f>INDEX($B$23:$GQ$23,MATCH(11,$B$29:$GQ$29,0))</f>
        <v/>
      </c>
      <c r="M9">
        <f>INDEX($B$23:$GQ$23,MATCH(12,$B$29:$GQ$29,0))</f>
        <v/>
      </c>
      <c r="N9">
        <f>INDEX($B$23:$GQ$23,MATCH(13,$B$29:$GQ$29,0))</f>
        <v/>
      </c>
      <c r="O9">
        <f>INDEX($B$23:$GQ$23,MATCH(14,$B$29:$GQ$29,0))</f>
        <v/>
      </c>
      <c r="P9">
        <f>INDEX($B$23:$GQ$23,MATCH(15,$B$29:$GQ$29,0))</f>
        <v/>
      </c>
      <c r="Q9">
        <f>INDEX($B$23:$GQ$23,MATCH(16,$B$29:$GQ$29,0))</f>
        <v/>
      </c>
      <c r="R9">
        <f>INDEX($B$23:$GQ$23,MATCH(17,$B$29:$GQ$29,0))</f>
        <v/>
      </c>
      <c r="S9">
        <f>INDEX($B$23:$GQ$23,MATCH(18,$B$29:$GQ$29,0))</f>
        <v/>
      </c>
      <c r="T9">
        <f>INDEX($B$23:$GQ$23,MATCH(19,$B$29:$GQ$29,0))</f>
        <v/>
      </c>
      <c r="U9">
        <f>INDEX($B$23:$GQ$23,MATCH(20,$B$29:$GQ$29,0))</f>
        <v/>
      </c>
      <c r="V9">
        <f>INDEX($B$23:$GQ$23,MATCH(21,$B$29:$GQ$29,0))</f>
        <v/>
      </c>
      <c r="W9">
        <f>INDEX($B$23:$GQ$23,MATCH(22,$B$29:$GQ$29,0))</f>
        <v/>
      </c>
      <c r="X9">
        <f>INDEX($B$23:$GQ$23,MATCH(23,$B$29:$GQ$29,0))</f>
        <v/>
      </c>
      <c r="Y9">
        <f>INDEX($B$23:$GQ$23,MATCH(24,$B$29:$GQ$29,0))</f>
        <v/>
      </c>
      <c r="Z9">
        <f>INDEX($B$23:$GQ$23,MATCH(25,$B$29:$GQ$29,0))</f>
        <v/>
      </c>
      <c r="AA9">
        <f>INDEX($B$23:$GQ$23,MATCH(26,$B$29:$GQ$29,0))</f>
        <v/>
      </c>
      <c r="AB9">
        <f>INDEX($B$23:$GQ$23,MATCH(27,$B$29:$GQ$29,0))</f>
        <v/>
      </c>
      <c r="AC9">
        <f>INDEX($B$23:$GQ$23,MATCH(28,$B$29:$GQ$29,0))</f>
        <v/>
      </c>
      <c r="AD9">
        <f>INDEX($B$23:$GQ$23,MATCH(29,$B$29:$GQ$29,0))</f>
        <v/>
      </c>
      <c r="AE9">
        <f>INDEX($B$23:$GQ$23,MATCH(30,$B$29:$GQ$29,0))</f>
        <v/>
      </c>
      <c r="AF9">
        <f>INDEX($B$23:$GQ$23,MATCH(31,$B$29:$GQ$29,0))</f>
        <v/>
      </c>
      <c r="AG9">
        <f>INDEX($B$23:$GQ$23,MATCH(32,$B$29:$GQ$29,0))</f>
        <v/>
      </c>
      <c r="AH9">
        <f>INDEX($B$23:$GQ$23,MATCH(33,$B$29:$GQ$29,0))</f>
        <v/>
      </c>
      <c r="AI9">
        <f>INDEX($B$23:$GQ$23,MATCH(34,$B$29:$GQ$29,0))</f>
        <v/>
      </c>
      <c r="AJ9">
        <f>INDEX($B$23:$GQ$23,MATCH(35,$B$29:$GQ$29,0))</f>
        <v/>
      </c>
      <c r="AK9">
        <f>INDEX($B$23:$GQ$23,MATCH(36,$B$29:$GQ$29,0))</f>
        <v/>
      </c>
      <c r="AL9">
        <f>INDEX($B$23:$GQ$23,MATCH(37,$B$29:$GQ$29,0))</f>
        <v/>
      </c>
      <c r="AM9">
        <f>INDEX($B$23:$GQ$23,MATCH(38,$B$29:$GQ$29,0))</f>
        <v/>
      </c>
      <c r="AN9">
        <f>INDEX($B$23:$GQ$23,MATCH(39,$B$29:$GQ$29,0))</f>
        <v/>
      </c>
      <c r="AO9">
        <f>INDEX($B$23:$GQ$23,MATCH(40,$B$29:$GQ$29,0))</f>
        <v/>
      </c>
      <c r="AP9">
        <f>INDEX($B$23:$GQ$23,MATCH(41,$B$29:$GQ$29,0))</f>
        <v/>
      </c>
      <c r="AQ9">
        <f>INDEX($B$23:$GQ$23,MATCH(42,$B$29:$GQ$29,0))</f>
        <v/>
      </c>
      <c r="AR9">
        <f>INDEX($B$23:$GQ$23,MATCH(43,$B$29:$GQ$29,0))</f>
        <v/>
      </c>
      <c r="AS9">
        <f>INDEX($B$23:$GQ$23,MATCH(44,$B$29:$GQ$29,0))</f>
        <v/>
      </c>
      <c r="AT9">
        <f>INDEX($B$23:$GQ$23,MATCH(45,$B$29:$GQ$29,0))</f>
        <v/>
      </c>
      <c r="AU9">
        <f>INDEX($B$23:$GQ$23,MATCH(46,$B$29:$GQ$29,0))</f>
        <v/>
      </c>
      <c r="AV9">
        <f>INDEX($B$23:$GQ$23,MATCH(47,$B$29:$GQ$29,0))</f>
        <v/>
      </c>
      <c r="AW9">
        <f>INDEX($B$23:$GQ$23,MATCH(48,$B$29:$GQ$29,0))</f>
        <v/>
      </c>
      <c r="AX9">
        <f>INDEX($B$23:$GQ$23,MATCH(49,$B$29:$GQ$29,0))</f>
        <v/>
      </c>
      <c r="AY9">
        <f>INDEX($B$23:$GQ$23,MATCH(50,$B$29:$GQ$29,0))</f>
        <v/>
      </c>
      <c r="AZ9">
        <f>INDEX($B$23:$GQ$23,MATCH(51,$B$29:$GQ$29,0))</f>
        <v/>
      </c>
      <c r="BA9">
        <f>INDEX($B$23:$GQ$23,MATCH(52,$B$29:$GQ$29,0))</f>
        <v/>
      </c>
      <c r="BB9">
        <f>INDEX($B$23:$GQ$23,MATCH(53,$B$29:$GQ$29,0))</f>
        <v/>
      </c>
      <c r="BC9">
        <f>INDEX($B$23:$GQ$23,MATCH(54,$B$29:$GQ$29,0))</f>
        <v/>
      </c>
      <c r="BD9">
        <f>INDEX($B$23:$GQ$23,MATCH(55,$B$29:$GQ$29,0))</f>
        <v/>
      </c>
      <c r="BE9">
        <f>INDEX($B$23:$GQ$23,MATCH(56,$B$29:$GQ$29,0))</f>
        <v/>
      </c>
      <c r="BF9">
        <f>INDEX($B$23:$GQ$23,MATCH(57,$B$29:$GQ$29,0))</f>
        <v/>
      </c>
      <c r="BG9">
        <f>INDEX($B$23:$GQ$23,MATCH(58,$B$29:$GQ$29,0))</f>
        <v/>
      </c>
      <c r="BH9">
        <f>INDEX($B$23:$GQ$23,MATCH(59,$B$29:$GQ$29,0))</f>
        <v/>
      </c>
      <c r="BI9">
        <f>INDEX($B$23:$GQ$23,MATCH(60,$B$29:$GQ$29,0))</f>
        <v/>
      </c>
      <c r="BJ9">
        <f>INDEX($B$23:$GQ$23,MATCH(61,$B$29:$GQ$29,0))</f>
        <v/>
      </c>
      <c r="BK9">
        <f>INDEX($B$23:$GQ$23,MATCH(62,$B$29:$GQ$29,0))</f>
        <v/>
      </c>
      <c r="BL9">
        <f>INDEX($B$23:$GQ$23,MATCH(63,$B$29:$GQ$29,0))</f>
        <v/>
      </c>
      <c r="BM9">
        <f>INDEX($B$23:$GQ$23,MATCH(64,$B$29:$GQ$29,0))</f>
        <v/>
      </c>
      <c r="BN9">
        <f>INDEX($B$23:$GQ$23,MATCH(65,$B$29:$GQ$29,0))</f>
        <v/>
      </c>
      <c r="BO9">
        <f>INDEX($B$23:$GQ$23,MATCH(66,$B$29:$GQ$29,0))</f>
        <v/>
      </c>
      <c r="BP9">
        <f>INDEX($B$23:$GQ$23,MATCH(67,$B$29:$GQ$29,0))</f>
        <v/>
      </c>
      <c r="BQ9">
        <f>INDEX($B$23:$GQ$23,MATCH(68,$B$29:$GQ$29,0))</f>
        <v/>
      </c>
      <c r="BR9">
        <f>INDEX($B$23:$GQ$23,MATCH(69,$B$29:$GQ$29,0))</f>
        <v/>
      </c>
      <c r="BS9">
        <f>INDEX($B$23:$GQ$23,MATCH(70,$B$29:$GQ$29,0))</f>
        <v/>
      </c>
      <c r="BT9">
        <f>INDEX($B$23:$GQ$23,MATCH(71,$B$29:$GQ$29,0))</f>
        <v/>
      </c>
      <c r="BU9">
        <f>INDEX($B$23:$GQ$23,MATCH(72,$B$29:$GQ$29,0))</f>
        <v/>
      </c>
      <c r="BV9">
        <f>INDEX($B$23:$GQ$23,MATCH(73,$B$29:$GQ$29,0))</f>
        <v/>
      </c>
      <c r="BW9">
        <f>INDEX($B$23:$GQ$23,MATCH(74,$B$29:$GQ$29,0))</f>
        <v/>
      </c>
      <c r="BX9">
        <f>INDEX($B$23:$GQ$23,MATCH(75,$B$29:$GQ$29,0))</f>
        <v/>
      </c>
      <c r="BY9">
        <f>INDEX($B$23:$GQ$23,MATCH(76,$B$29:$GQ$29,0))</f>
        <v/>
      </c>
      <c r="BZ9">
        <f>INDEX($B$23:$GQ$23,MATCH(77,$B$29:$GQ$29,0))</f>
        <v/>
      </c>
      <c r="CA9">
        <f>INDEX($B$23:$GQ$23,MATCH(78,$B$29:$GQ$29,0))</f>
        <v/>
      </c>
      <c r="CB9">
        <f>INDEX($B$23:$GQ$23,MATCH(79,$B$29:$GQ$29,0))</f>
        <v/>
      </c>
      <c r="CC9">
        <f>INDEX($B$23:$GQ$23,MATCH(80,$B$29:$GQ$29,0))</f>
        <v/>
      </c>
      <c r="CD9">
        <f>INDEX($B$23:$GQ$23,MATCH(81,$B$29:$GQ$29,0))</f>
        <v/>
      </c>
      <c r="CE9">
        <f>INDEX($B$23:$GQ$23,MATCH(82,$B$29:$GQ$29,0))</f>
        <v/>
      </c>
      <c r="CF9">
        <f>INDEX($B$23:$GQ$23,MATCH(83,$B$29:$GQ$29,0))</f>
        <v/>
      </c>
      <c r="CG9">
        <f>INDEX($B$23:$GQ$23,MATCH(84,$B$29:$GQ$29,0))</f>
        <v/>
      </c>
      <c r="CH9">
        <f>INDEX($B$23:$GQ$23,MATCH(85,$B$29:$GQ$29,0))</f>
        <v/>
      </c>
      <c r="CI9">
        <f>INDEX($B$23:$GQ$23,MATCH(86,$B$29:$GQ$29,0))</f>
        <v/>
      </c>
      <c r="CJ9">
        <f>INDEX($B$23:$GQ$23,MATCH(87,$B$29:$GQ$29,0))</f>
        <v/>
      </c>
      <c r="CK9">
        <f>INDEX($B$23:$GQ$23,MATCH(88,$B$29:$GQ$29,0))</f>
        <v/>
      </c>
      <c r="CL9">
        <f>INDEX($B$23:$GQ$23,MATCH(89,$B$29:$GQ$29,0))</f>
        <v/>
      </c>
      <c r="CM9">
        <f>INDEX($B$23:$GQ$23,MATCH(90,$B$29:$GQ$29,0))</f>
        <v/>
      </c>
      <c r="CN9">
        <f>INDEX($B$23:$GQ$23,MATCH(91,$B$29:$GQ$29,0))</f>
        <v/>
      </c>
      <c r="CO9">
        <f>INDEX($B$23:$GQ$23,MATCH(92,$B$29:$GQ$29,0))</f>
        <v/>
      </c>
      <c r="CP9">
        <f>INDEX($B$23:$GQ$23,MATCH(93,$B$29:$GQ$29,0))</f>
        <v/>
      </c>
      <c r="CQ9">
        <f>INDEX($B$23:$GQ$23,MATCH(94,$B$29:$GQ$29,0))</f>
        <v/>
      </c>
      <c r="CR9">
        <f>INDEX($B$23:$GQ$23,MATCH(95,$B$29:$GQ$29,0))</f>
        <v/>
      </c>
      <c r="CS9">
        <f>INDEX($B$23:$GQ$23,MATCH(96,$B$29:$GQ$29,0))</f>
        <v/>
      </c>
      <c r="CT9">
        <f>INDEX($B$23:$GQ$23,MATCH(97,$B$29:$GQ$29,0))</f>
        <v/>
      </c>
      <c r="CU9">
        <f>INDEX($B$23:$GQ$23,MATCH(98,$B$29:$GQ$29,0))</f>
        <v/>
      </c>
      <c r="CV9">
        <f>INDEX($B$23:$GQ$23,MATCH(99,$B$29:$GQ$29,0))</f>
        <v/>
      </c>
      <c r="CW9">
        <f>INDEX($B$23:$GQ$23,MATCH(100,$B$29:$GQ$29,0))</f>
        <v/>
      </c>
      <c r="CX9">
        <f>INDEX($B$23:$GQ$23,MATCH(101,$B$29:$GQ$29,0))</f>
        <v/>
      </c>
      <c r="CY9">
        <f>INDEX($B$23:$GQ$23,MATCH(102,$B$29:$GQ$29,0))</f>
        <v/>
      </c>
      <c r="CZ9">
        <f>INDEX($B$23:$GQ$23,MATCH(103,$B$29:$GQ$29,0))</f>
        <v/>
      </c>
      <c r="DA9">
        <f>INDEX($B$23:$GQ$23,MATCH(104,$B$29:$GQ$29,0))</f>
        <v/>
      </c>
      <c r="DB9">
        <f>INDEX($B$23:$GQ$23,MATCH(105,$B$29:$GQ$29,0))</f>
        <v/>
      </c>
      <c r="DC9">
        <f>INDEX($B$23:$GQ$23,MATCH(106,$B$29:$GQ$29,0))</f>
        <v/>
      </c>
      <c r="DD9">
        <f>INDEX($B$23:$GQ$23,MATCH(107,$B$29:$GQ$29,0))</f>
        <v/>
      </c>
      <c r="DE9">
        <f>INDEX($B$23:$GQ$23,MATCH(108,$B$29:$GQ$29,0))</f>
        <v/>
      </c>
      <c r="DF9">
        <f>INDEX($B$23:$GQ$23,MATCH(109,$B$29:$GQ$29,0))</f>
        <v/>
      </c>
      <c r="DG9">
        <f>INDEX($B$23:$GQ$23,MATCH(110,$B$29:$GQ$29,0))</f>
        <v/>
      </c>
      <c r="DH9">
        <f>INDEX($B$23:$GQ$23,MATCH(111,$B$29:$GQ$29,0))</f>
        <v/>
      </c>
      <c r="DI9">
        <f>INDEX($B$23:$GQ$23,MATCH(112,$B$29:$GQ$29,0))</f>
        <v/>
      </c>
      <c r="DJ9">
        <f>INDEX($B$23:$GQ$23,MATCH(113,$B$29:$GQ$29,0))</f>
        <v/>
      </c>
      <c r="DK9">
        <f>INDEX($B$23:$GQ$23,MATCH(114,$B$29:$GQ$29,0))</f>
        <v/>
      </c>
      <c r="DL9">
        <f>INDEX($B$23:$GQ$23,MATCH(115,$B$29:$GQ$29,0))</f>
        <v/>
      </c>
      <c r="DM9">
        <f>INDEX($B$23:$GQ$23,MATCH(116,$B$29:$GQ$29,0))</f>
        <v/>
      </c>
      <c r="DN9">
        <f>INDEX($B$23:$GQ$23,MATCH(117,$B$29:$GQ$29,0))</f>
        <v/>
      </c>
      <c r="DO9">
        <f>INDEX($B$23:$GQ$23,MATCH(118,$B$29:$GQ$29,0))</f>
        <v/>
      </c>
      <c r="DP9">
        <f>INDEX($B$23:$GQ$23,MATCH(119,$B$29:$GQ$29,0))</f>
        <v/>
      </c>
      <c r="DQ9">
        <f>INDEX($B$23:$GQ$23,MATCH(120,$B$29:$GQ$29,0))</f>
        <v/>
      </c>
      <c r="DR9">
        <f>INDEX($B$23:$GQ$23,MATCH(121,$B$29:$GQ$29,0))</f>
        <v/>
      </c>
      <c r="DS9">
        <f>INDEX($B$23:$GQ$23,MATCH(122,$B$29:$GQ$29,0))</f>
        <v/>
      </c>
      <c r="DT9">
        <f>INDEX($B$23:$GQ$23,MATCH(123,$B$29:$GQ$29,0))</f>
        <v/>
      </c>
      <c r="DU9">
        <f>INDEX($B$23:$GQ$23,MATCH(124,$B$29:$GQ$29,0))</f>
        <v/>
      </c>
      <c r="DV9">
        <f>INDEX($B$23:$GQ$23,MATCH(125,$B$29:$GQ$29,0))</f>
        <v/>
      </c>
      <c r="DW9">
        <f>INDEX($B$23:$GQ$23,MATCH(126,$B$29:$GQ$29,0))</f>
        <v/>
      </c>
      <c r="DX9">
        <f>INDEX($B$23:$GQ$23,MATCH(127,$B$29:$GQ$29,0))</f>
        <v/>
      </c>
      <c r="DY9">
        <f>INDEX($B$23:$GQ$23,MATCH(128,$B$29:$GQ$29,0))</f>
        <v/>
      </c>
      <c r="DZ9">
        <f>INDEX($B$23:$GQ$23,MATCH(129,$B$29:$GQ$29,0))</f>
        <v/>
      </c>
      <c r="EA9">
        <f>INDEX($B$23:$GQ$23,MATCH(130,$B$29:$GQ$29,0))</f>
        <v/>
      </c>
      <c r="EB9">
        <f>INDEX($B$23:$GQ$23,MATCH(131,$B$29:$GQ$29,0))</f>
        <v/>
      </c>
      <c r="EC9">
        <f>INDEX($B$23:$GQ$23,MATCH(132,$B$29:$GQ$29,0))</f>
        <v/>
      </c>
      <c r="ED9">
        <f>INDEX($B$23:$GQ$23,MATCH(133,$B$29:$GQ$29,0))</f>
        <v/>
      </c>
      <c r="EE9">
        <f>INDEX($B$23:$GQ$23,MATCH(134,$B$29:$GQ$29,0))</f>
        <v/>
      </c>
      <c r="EF9">
        <f>INDEX($B$23:$GQ$23,MATCH(135,$B$29:$GQ$29,0))</f>
        <v/>
      </c>
      <c r="EG9">
        <f>INDEX($B$23:$GQ$23,MATCH(136,$B$29:$GQ$29,0))</f>
        <v/>
      </c>
      <c r="EH9">
        <f>INDEX($B$23:$GQ$23,MATCH(137,$B$29:$GQ$29,0))</f>
        <v/>
      </c>
      <c r="EI9">
        <f>INDEX($B$23:$GQ$23,MATCH(138,$B$29:$GQ$29,0))</f>
        <v/>
      </c>
      <c r="EJ9">
        <f>INDEX($B$23:$GQ$23,MATCH(139,$B$29:$GQ$29,0))</f>
        <v/>
      </c>
      <c r="EK9">
        <f>INDEX($B$23:$GQ$23,MATCH(140,$B$29:$GQ$29,0))</f>
        <v/>
      </c>
      <c r="EL9">
        <f>INDEX($B$23:$GQ$23,MATCH(141,$B$29:$GQ$29,0))</f>
        <v/>
      </c>
      <c r="EM9">
        <f>INDEX($B$23:$GQ$23,MATCH(142,$B$29:$GQ$29,0))</f>
        <v/>
      </c>
      <c r="EN9">
        <f>INDEX($B$23:$GQ$23,MATCH(143,$B$29:$GQ$29,0))</f>
        <v/>
      </c>
      <c r="EO9">
        <f>INDEX($B$23:$GQ$23,MATCH(144,$B$29:$GQ$29,0))</f>
        <v/>
      </c>
      <c r="EP9">
        <f>INDEX($B$23:$GQ$23,MATCH(145,$B$29:$GQ$29,0))</f>
        <v/>
      </c>
      <c r="EQ9">
        <f>INDEX($B$23:$GQ$23,MATCH(146,$B$29:$GQ$29,0))</f>
        <v/>
      </c>
      <c r="ER9">
        <f>INDEX($B$23:$GQ$23,MATCH(147,$B$29:$GQ$29,0))</f>
        <v/>
      </c>
      <c r="ES9">
        <f>INDEX($B$23:$GQ$23,MATCH(148,$B$29:$GQ$29,0))</f>
        <v/>
      </c>
      <c r="ET9">
        <f>INDEX($B$23:$GQ$23,MATCH(149,$B$29:$GQ$29,0))</f>
        <v/>
      </c>
      <c r="EU9">
        <f>INDEX($B$23:$GQ$23,MATCH(150,$B$29:$GQ$29,0))</f>
        <v/>
      </c>
      <c r="EV9">
        <f>INDEX($B$23:$GQ$23,MATCH(151,$B$29:$GQ$29,0))</f>
        <v/>
      </c>
      <c r="EW9">
        <f>INDEX($B$23:$GQ$23,MATCH(152,$B$29:$GQ$29,0))</f>
        <v/>
      </c>
      <c r="EX9">
        <f>INDEX($B$23:$GQ$23,MATCH(153,$B$29:$GQ$29,0))</f>
        <v/>
      </c>
      <c r="EY9">
        <f>INDEX($B$23:$GQ$23,MATCH(154,$B$29:$GQ$29,0))</f>
        <v/>
      </c>
      <c r="EZ9">
        <f>INDEX($B$23:$GQ$23,MATCH(155,$B$29:$GQ$29,0))</f>
        <v/>
      </c>
      <c r="FA9">
        <f>INDEX($B$23:$GQ$23,MATCH(156,$B$29:$GQ$29,0))</f>
        <v/>
      </c>
      <c r="FB9">
        <f>INDEX($B$23:$GQ$23,MATCH(157,$B$29:$GQ$29,0))</f>
        <v/>
      </c>
      <c r="FC9">
        <f>INDEX($B$23:$GQ$23,MATCH(158,$B$29:$GQ$29,0))</f>
        <v/>
      </c>
      <c r="FD9">
        <f>INDEX($B$23:$GQ$23,MATCH(159,$B$29:$GQ$29,0))</f>
        <v/>
      </c>
      <c r="FE9">
        <f>INDEX($B$23:$GQ$23,MATCH(160,$B$29:$GQ$29,0))</f>
        <v/>
      </c>
      <c r="FF9">
        <f>INDEX($B$23:$GQ$23,MATCH(161,$B$29:$GQ$29,0))</f>
        <v/>
      </c>
      <c r="FG9">
        <f>INDEX($B$23:$GQ$23,MATCH(162,$B$29:$GQ$29,0))</f>
        <v/>
      </c>
      <c r="FH9">
        <f>INDEX($B$23:$GQ$23,MATCH(163,$B$29:$GQ$29,0))</f>
        <v/>
      </c>
      <c r="FI9">
        <f>INDEX($B$23:$GQ$23,MATCH(164,$B$29:$GQ$29,0))</f>
        <v/>
      </c>
      <c r="FJ9">
        <f>INDEX($B$23:$GQ$23,MATCH(165,$B$29:$GQ$29,0))</f>
        <v/>
      </c>
      <c r="FK9">
        <f>INDEX($B$23:$GQ$23,MATCH(166,$B$29:$GQ$29,0))</f>
        <v/>
      </c>
      <c r="FL9">
        <f>INDEX($B$23:$GQ$23,MATCH(167,$B$29:$GQ$29,0))</f>
        <v/>
      </c>
      <c r="FM9">
        <f>INDEX($B$23:$GQ$23,MATCH(168,$B$29:$GQ$29,0))</f>
        <v/>
      </c>
      <c r="FN9">
        <f>INDEX($B$23:$GQ$23,MATCH(169,$B$29:$GQ$29,0))</f>
        <v/>
      </c>
      <c r="FO9">
        <f>INDEX($B$23:$GQ$23,MATCH(170,$B$29:$GQ$29,0))</f>
        <v/>
      </c>
      <c r="FP9">
        <f>INDEX($B$23:$GQ$23,MATCH(171,$B$29:$GQ$29,0))</f>
        <v/>
      </c>
      <c r="FQ9">
        <f>INDEX($B$23:$GQ$23,MATCH(172,$B$29:$GQ$29,0))</f>
        <v/>
      </c>
      <c r="FR9">
        <f>INDEX($B$23:$GQ$23,MATCH(173,$B$29:$GQ$29,0))</f>
        <v/>
      </c>
      <c r="FS9">
        <f>INDEX($B$23:$GQ$23,MATCH(174,$B$29:$GQ$29,0))</f>
        <v/>
      </c>
      <c r="FT9">
        <f>INDEX($B$23:$GQ$23,MATCH(175,$B$29:$GQ$29,0))</f>
        <v/>
      </c>
      <c r="FU9">
        <f>INDEX($B$23:$GQ$23,MATCH(176,$B$29:$GQ$29,0))</f>
        <v/>
      </c>
      <c r="FV9">
        <f>INDEX($B$23:$GQ$23,MATCH(177,$B$29:$GQ$29,0))</f>
        <v/>
      </c>
      <c r="FW9">
        <f>INDEX($B$23:$GQ$23,MATCH(178,$B$29:$GQ$29,0))</f>
        <v/>
      </c>
      <c r="FX9">
        <f>INDEX($B$23:$GQ$23,MATCH(179,$B$29:$GQ$29,0))</f>
        <v/>
      </c>
      <c r="FY9">
        <f>INDEX($B$23:$GQ$23,MATCH(180,$B$29:$GQ$29,0))</f>
        <v/>
      </c>
      <c r="FZ9">
        <f>INDEX($B$23:$GQ$23,MATCH(181,$B$29:$GQ$29,0))</f>
        <v/>
      </c>
      <c r="GA9">
        <f>INDEX($B$23:$GQ$23,MATCH(182,$B$29:$GQ$29,0))</f>
        <v/>
      </c>
      <c r="GB9">
        <f>INDEX($B$23:$GQ$23,MATCH(183,$B$29:$GQ$29,0))</f>
        <v/>
      </c>
      <c r="GC9">
        <f>INDEX($B$23:$GQ$23,MATCH(184,$B$29:$GQ$29,0))</f>
        <v/>
      </c>
      <c r="GD9">
        <f>INDEX($B$23:$GQ$23,MATCH(185,$B$29:$GQ$29,0))</f>
        <v/>
      </c>
      <c r="GE9">
        <f>INDEX($B$23:$GQ$23,MATCH(186,$B$29:$GQ$29,0))</f>
        <v/>
      </c>
      <c r="GF9">
        <f>INDEX($B$23:$GQ$23,MATCH(187,$B$29:$GQ$29,0))</f>
        <v/>
      </c>
      <c r="GG9">
        <f>INDEX($B$23:$GQ$23,MATCH(188,$B$29:$GQ$29,0))</f>
        <v/>
      </c>
      <c r="GH9">
        <f>INDEX($B$23:$GQ$23,MATCH(189,$B$29:$GQ$29,0))</f>
        <v/>
      </c>
      <c r="GI9">
        <f>INDEX($B$23:$GQ$23,MATCH(190,$B$29:$GQ$29,0))</f>
        <v/>
      </c>
      <c r="GJ9">
        <f>INDEX($B$23:$GQ$23,MATCH(191,$B$29:$GQ$29,0))</f>
        <v/>
      </c>
      <c r="GK9">
        <f>INDEX($B$23:$GQ$23,MATCH(192,$B$29:$GQ$29,0))</f>
        <v/>
      </c>
      <c r="GL9">
        <f>INDEX($B$23:$GQ$23,MATCH(193,$B$29:$GQ$29,0))</f>
        <v/>
      </c>
      <c r="GM9">
        <f>INDEX($B$23:$GQ$23,MATCH(194,$B$29:$GQ$29,0))</f>
        <v/>
      </c>
      <c r="GN9">
        <f>INDEX($B$23:$GQ$23,MATCH(195,$B$29:$GQ$29,0))</f>
        <v/>
      </c>
      <c r="GO9">
        <f>INDEX($B$23:$GQ$23,MATCH(196,$B$29:$GQ$29,0))</f>
        <v/>
      </c>
      <c r="GP9">
        <f>INDEX($B$23:$GQ$23,MATCH(197,$B$29:$GQ$29,0))</f>
        <v/>
      </c>
      <c r="GQ9">
        <f>INDEX($B$23:$GQ$23,MATCH(198,$B$29:$GQ$29,0))</f>
        <v/>
      </c>
      <c r="GR9">
        <f>INDEX($GR$23:$HC$23,MATCH(1,$GR$30:$HC$30,0))</f>
        <v/>
      </c>
      <c r="GS9">
        <f>INDEX($GR$23:$HC$23,MATCH(2,$GR$30:$HC$30,0))</f>
        <v/>
      </c>
      <c r="GT9">
        <f>INDEX($GR$23:$HC$23,MATCH(3,$GR$30:$HC$30,0))</f>
        <v/>
      </c>
      <c r="GU9">
        <f>INDEX($GR$23:$HC$23,MATCH(4,$GR$30:$HC$30,0))</f>
        <v/>
      </c>
      <c r="GV9">
        <f>INDEX($GR$23:$HC$23,MATCH(5,$GR$30:$HC$30,0))</f>
        <v/>
      </c>
      <c r="GW9">
        <f>INDEX($GR$23:$HC$23,MATCH(6,$GR$30:$HC$30,0))</f>
        <v/>
      </c>
      <c r="GX9">
        <f>INDEX($GR$23:$HC$23,MATCH(7,$GR$30:$HC$30,0))</f>
        <v/>
      </c>
      <c r="GY9">
        <f>INDEX($GR$23:$HC$23,MATCH(8,$GR$30:$HC$30,0))</f>
        <v/>
      </c>
      <c r="GZ9">
        <f>INDEX($GR$23:$HC$23,MATCH(9,$GR$30:$HC$30,0))</f>
        <v/>
      </c>
      <c r="HA9">
        <f>INDEX($GR$23:$HC$23,MATCH(10,$GR$30:$HC$30,0))</f>
        <v/>
      </c>
      <c r="HB9">
        <f>INDEX($GR$23:$HC$23,MATCH(11,$GR$30:$HC$30,0))</f>
        <v/>
      </c>
      <c r="HC9">
        <f>INDEX($GR$23:$HC$23,MATCH(12,$GR$30:$HC$30,0))</f>
        <v/>
      </c>
    </row>
    <row r="10">
      <c r="A10" s="1" t="inlineStr">
        <is>
          <t>M_dom*Y_dom</t>
        </is>
      </c>
      <c r="B10">
        <f>INDEX($B$24:$GQ$24,MATCH(1,$B$29:$GQ$29,0))</f>
        <v/>
      </c>
      <c r="C10">
        <f>INDEX($B$24:$GQ$24,MATCH(2,$B$29:$GQ$29,0))</f>
        <v/>
      </c>
      <c r="D10">
        <f>INDEX($B$24:$GQ$24,MATCH(3,$B$29:$GQ$29,0))</f>
        <v/>
      </c>
      <c r="E10">
        <f>INDEX($B$24:$GQ$24,MATCH(4,$B$29:$GQ$29,0))</f>
        <v/>
      </c>
      <c r="F10">
        <f>INDEX($B$24:$GQ$24,MATCH(5,$B$29:$GQ$29,0))</f>
        <v/>
      </c>
      <c r="G10">
        <f>INDEX($B$24:$GQ$24,MATCH(6,$B$29:$GQ$29,0))</f>
        <v/>
      </c>
      <c r="H10">
        <f>INDEX($B$24:$GQ$24,MATCH(7,$B$29:$GQ$29,0))</f>
        <v/>
      </c>
      <c r="I10">
        <f>INDEX($B$24:$GQ$24,MATCH(8,$B$29:$GQ$29,0))</f>
        <v/>
      </c>
      <c r="J10">
        <f>INDEX($B$24:$GQ$24,MATCH(9,$B$29:$GQ$29,0))</f>
        <v/>
      </c>
      <c r="K10">
        <f>INDEX($B$24:$GQ$24,MATCH(10,$B$29:$GQ$29,0))</f>
        <v/>
      </c>
      <c r="L10">
        <f>INDEX($B$24:$GQ$24,MATCH(11,$B$29:$GQ$29,0))</f>
        <v/>
      </c>
      <c r="M10">
        <f>INDEX($B$24:$GQ$24,MATCH(12,$B$29:$GQ$29,0))</f>
        <v/>
      </c>
      <c r="N10">
        <f>INDEX($B$24:$GQ$24,MATCH(13,$B$29:$GQ$29,0))</f>
        <v/>
      </c>
      <c r="O10">
        <f>INDEX($B$24:$GQ$24,MATCH(14,$B$29:$GQ$29,0))</f>
        <v/>
      </c>
      <c r="P10">
        <f>INDEX($B$24:$GQ$24,MATCH(15,$B$29:$GQ$29,0))</f>
        <v/>
      </c>
      <c r="Q10">
        <f>INDEX($B$24:$GQ$24,MATCH(16,$B$29:$GQ$29,0))</f>
        <v/>
      </c>
      <c r="R10">
        <f>INDEX($B$24:$GQ$24,MATCH(17,$B$29:$GQ$29,0))</f>
        <v/>
      </c>
      <c r="S10">
        <f>INDEX($B$24:$GQ$24,MATCH(18,$B$29:$GQ$29,0))</f>
        <v/>
      </c>
      <c r="T10">
        <f>INDEX($B$24:$GQ$24,MATCH(19,$B$29:$GQ$29,0))</f>
        <v/>
      </c>
      <c r="U10">
        <f>INDEX($B$24:$GQ$24,MATCH(20,$B$29:$GQ$29,0))</f>
        <v/>
      </c>
      <c r="V10">
        <f>INDEX($B$24:$GQ$24,MATCH(21,$B$29:$GQ$29,0))</f>
        <v/>
      </c>
      <c r="W10">
        <f>INDEX($B$24:$GQ$24,MATCH(22,$B$29:$GQ$29,0))</f>
        <v/>
      </c>
      <c r="X10">
        <f>INDEX($B$24:$GQ$24,MATCH(23,$B$29:$GQ$29,0))</f>
        <v/>
      </c>
      <c r="Y10">
        <f>INDEX($B$24:$GQ$24,MATCH(24,$B$29:$GQ$29,0))</f>
        <v/>
      </c>
      <c r="Z10">
        <f>INDEX($B$24:$GQ$24,MATCH(25,$B$29:$GQ$29,0))</f>
        <v/>
      </c>
      <c r="AA10">
        <f>INDEX($B$24:$GQ$24,MATCH(26,$B$29:$GQ$29,0))</f>
        <v/>
      </c>
      <c r="AB10">
        <f>INDEX($B$24:$GQ$24,MATCH(27,$B$29:$GQ$29,0))</f>
        <v/>
      </c>
      <c r="AC10">
        <f>INDEX($B$24:$GQ$24,MATCH(28,$B$29:$GQ$29,0))</f>
        <v/>
      </c>
      <c r="AD10">
        <f>INDEX($B$24:$GQ$24,MATCH(29,$B$29:$GQ$29,0))</f>
        <v/>
      </c>
      <c r="AE10">
        <f>INDEX($B$24:$GQ$24,MATCH(30,$B$29:$GQ$29,0))</f>
        <v/>
      </c>
      <c r="AF10">
        <f>INDEX($B$24:$GQ$24,MATCH(31,$B$29:$GQ$29,0))</f>
        <v/>
      </c>
      <c r="AG10">
        <f>INDEX($B$24:$GQ$24,MATCH(32,$B$29:$GQ$29,0))</f>
        <v/>
      </c>
      <c r="AH10">
        <f>INDEX($B$24:$GQ$24,MATCH(33,$B$29:$GQ$29,0))</f>
        <v/>
      </c>
      <c r="AI10">
        <f>INDEX($B$24:$GQ$24,MATCH(34,$B$29:$GQ$29,0))</f>
        <v/>
      </c>
      <c r="AJ10">
        <f>INDEX($B$24:$GQ$24,MATCH(35,$B$29:$GQ$29,0))</f>
        <v/>
      </c>
      <c r="AK10">
        <f>INDEX($B$24:$GQ$24,MATCH(36,$B$29:$GQ$29,0))</f>
        <v/>
      </c>
      <c r="AL10">
        <f>INDEX($B$24:$GQ$24,MATCH(37,$B$29:$GQ$29,0))</f>
        <v/>
      </c>
      <c r="AM10">
        <f>INDEX($B$24:$GQ$24,MATCH(38,$B$29:$GQ$29,0))</f>
        <v/>
      </c>
      <c r="AN10">
        <f>INDEX($B$24:$GQ$24,MATCH(39,$B$29:$GQ$29,0))</f>
        <v/>
      </c>
      <c r="AO10">
        <f>INDEX($B$24:$GQ$24,MATCH(40,$B$29:$GQ$29,0))</f>
        <v/>
      </c>
      <c r="AP10">
        <f>INDEX($B$24:$GQ$24,MATCH(41,$B$29:$GQ$29,0))</f>
        <v/>
      </c>
      <c r="AQ10">
        <f>INDEX($B$24:$GQ$24,MATCH(42,$B$29:$GQ$29,0))</f>
        <v/>
      </c>
      <c r="AR10">
        <f>INDEX($B$24:$GQ$24,MATCH(43,$B$29:$GQ$29,0))</f>
        <v/>
      </c>
      <c r="AS10">
        <f>INDEX($B$24:$GQ$24,MATCH(44,$B$29:$GQ$29,0))</f>
        <v/>
      </c>
      <c r="AT10">
        <f>INDEX($B$24:$GQ$24,MATCH(45,$B$29:$GQ$29,0))</f>
        <v/>
      </c>
      <c r="AU10">
        <f>INDEX($B$24:$GQ$24,MATCH(46,$B$29:$GQ$29,0))</f>
        <v/>
      </c>
      <c r="AV10">
        <f>INDEX($B$24:$GQ$24,MATCH(47,$B$29:$GQ$29,0))</f>
        <v/>
      </c>
      <c r="AW10">
        <f>INDEX($B$24:$GQ$24,MATCH(48,$B$29:$GQ$29,0))</f>
        <v/>
      </c>
      <c r="AX10">
        <f>INDEX($B$24:$GQ$24,MATCH(49,$B$29:$GQ$29,0))</f>
        <v/>
      </c>
      <c r="AY10">
        <f>INDEX($B$24:$GQ$24,MATCH(50,$B$29:$GQ$29,0))</f>
        <v/>
      </c>
      <c r="AZ10">
        <f>INDEX($B$24:$GQ$24,MATCH(51,$B$29:$GQ$29,0))</f>
        <v/>
      </c>
      <c r="BA10">
        <f>INDEX($B$24:$GQ$24,MATCH(52,$B$29:$GQ$29,0))</f>
        <v/>
      </c>
      <c r="BB10">
        <f>INDEX($B$24:$GQ$24,MATCH(53,$B$29:$GQ$29,0))</f>
        <v/>
      </c>
      <c r="BC10">
        <f>INDEX($B$24:$GQ$24,MATCH(54,$B$29:$GQ$29,0))</f>
        <v/>
      </c>
      <c r="BD10">
        <f>INDEX($B$24:$GQ$24,MATCH(55,$B$29:$GQ$29,0))</f>
        <v/>
      </c>
      <c r="BE10">
        <f>INDEX($B$24:$GQ$24,MATCH(56,$B$29:$GQ$29,0))</f>
        <v/>
      </c>
      <c r="BF10">
        <f>INDEX($B$24:$GQ$24,MATCH(57,$B$29:$GQ$29,0))</f>
        <v/>
      </c>
      <c r="BG10">
        <f>INDEX($B$24:$GQ$24,MATCH(58,$B$29:$GQ$29,0))</f>
        <v/>
      </c>
      <c r="BH10">
        <f>INDEX($B$24:$GQ$24,MATCH(59,$B$29:$GQ$29,0))</f>
        <v/>
      </c>
      <c r="BI10">
        <f>INDEX($B$24:$GQ$24,MATCH(60,$B$29:$GQ$29,0))</f>
        <v/>
      </c>
      <c r="BJ10">
        <f>INDEX($B$24:$GQ$24,MATCH(61,$B$29:$GQ$29,0))</f>
        <v/>
      </c>
      <c r="BK10">
        <f>INDEX($B$24:$GQ$24,MATCH(62,$B$29:$GQ$29,0))</f>
        <v/>
      </c>
      <c r="BL10">
        <f>INDEX($B$24:$GQ$24,MATCH(63,$B$29:$GQ$29,0))</f>
        <v/>
      </c>
      <c r="BM10">
        <f>INDEX($B$24:$GQ$24,MATCH(64,$B$29:$GQ$29,0))</f>
        <v/>
      </c>
      <c r="BN10">
        <f>INDEX($B$24:$GQ$24,MATCH(65,$B$29:$GQ$29,0))</f>
        <v/>
      </c>
      <c r="BO10">
        <f>INDEX($B$24:$GQ$24,MATCH(66,$B$29:$GQ$29,0))</f>
        <v/>
      </c>
      <c r="BP10">
        <f>INDEX($B$24:$GQ$24,MATCH(67,$B$29:$GQ$29,0))</f>
        <v/>
      </c>
      <c r="BQ10">
        <f>INDEX($B$24:$GQ$24,MATCH(68,$B$29:$GQ$29,0))</f>
        <v/>
      </c>
      <c r="BR10">
        <f>INDEX($B$24:$GQ$24,MATCH(69,$B$29:$GQ$29,0))</f>
        <v/>
      </c>
      <c r="BS10">
        <f>INDEX($B$24:$GQ$24,MATCH(70,$B$29:$GQ$29,0))</f>
        <v/>
      </c>
      <c r="BT10">
        <f>INDEX($B$24:$GQ$24,MATCH(71,$B$29:$GQ$29,0))</f>
        <v/>
      </c>
      <c r="BU10">
        <f>INDEX($B$24:$GQ$24,MATCH(72,$B$29:$GQ$29,0))</f>
        <v/>
      </c>
      <c r="BV10">
        <f>INDEX($B$24:$GQ$24,MATCH(73,$B$29:$GQ$29,0))</f>
        <v/>
      </c>
      <c r="BW10">
        <f>INDEX($B$24:$GQ$24,MATCH(74,$B$29:$GQ$29,0))</f>
        <v/>
      </c>
      <c r="BX10">
        <f>INDEX($B$24:$GQ$24,MATCH(75,$B$29:$GQ$29,0))</f>
        <v/>
      </c>
      <c r="BY10">
        <f>INDEX($B$24:$GQ$24,MATCH(76,$B$29:$GQ$29,0))</f>
        <v/>
      </c>
      <c r="BZ10">
        <f>INDEX($B$24:$GQ$24,MATCH(77,$B$29:$GQ$29,0))</f>
        <v/>
      </c>
      <c r="CA10">
        <f>INDEX($B$24:$GQ$24,MATCH(78,$B$29:$GQ$29,0))</f>
        <v/>
      </c>
      <c r="CB10">
        <f>INDEX($B$24:$GQ$24,MATCH(79,$B$29:$GQ$29,0))</f>
        <v/>
      </c>
      <c r="CC10">
        <f>INDEX($B$24:$GQ$24,MATCH(80,$B$29:$GQ$29,0))</f>
        <v/>
      </c>
      <c r="CD10">
        <f>INDEX($B$24:$GQ$24,MATCH(81,$B$29:$GQ$29,0))</f>
        <v/>
      </c>
      <c r="CE10">
        <f>INDEX($B$24:$GQ$24,MATCH(82,$B$29:$GQ$29,0))</f>
        <v/>
      </c>
      <c r="CF10">
        <f>INDEX($B$24:$GQ$24,MATCH(83,$B$29:$GQ$29,0))</f>
        <v/>
      </c>
      <c r="CG10">
        <f>INDEX($B$24:$GQ$24,MATCH(84,$B$29:$GQ$29,0))</f>
        <v/>
      </c>
      <c r="CH10">
        <f>INDEX($B$24:$GQ$24,MATCH(85,$B$29:$GQ$29,0))</f>
        <v/>
      </c>
      <c r="CI10">
        <f>INDEX($B$24:$GQ$24,MATCH(86,$B$29:$GQ$29,0))</f>
        <v/>
      </c>
      <c r="CJ10">
        <f>INDEX($B$24:$GQ$24,MATCH(87,$B$29:$GQ$29,0))</f>
        <v/>
      </c>
      <c r="CK10">
        <f>INDEX($B$24:$GQ$24,MATCH(88,$B$29:$GQ$29,0))</f>
        <v/>
      </c>
      <c r="CL10">
        <f>INDEX($B$24:$GQ$24,MATCH(89,$B$29:$GQ$29,0))</f>
        <v/>
      </c>
      <c r="CM10">
        <f>INDEX($B$24:$GQ$24,MATCH(90,$B$29:$GQ$29,0))</f>
        <v/>
      </c>
      <c r="CN10">
        <f>INDEX($B$24:$GQ$24,MATCH(91,$B$29:$GQ$29,0))</f>
        <v/>
      </c>
      <c r="CO10">
        <f>INDEX($B$24:$GQ$24,MATCH(92,$B$29:$GQ$29,0))</f>
        <v/>
      </c>
      <c r="CP10">
        <f>INDEX($B$24:$GQ$24,MATCH(93,$B$29:$GQ$29,0))</f>
        <v/>
      </c>
      <c r="CQ10">
        <f>INDEX($B$24:$GQ$24,MATCH(94,$B$29:$GQ$29,0))</f>
        <v/>
      </c>
      <c r="CR10">
        <f>INDEX($B$24:$GQ$24,MATCH(95,$B$29:$GQ$29,0))</f>
        <v/>
      </c>
      <c r="CS10">
        <f>INDEX($B$24:$GQ$24,MATCH(96,$B$29:$GQ$29,0))</f>
        <v/>
      </c>
      <c r="CT10">
        <f>INDEX($B$24:$GQ$24,MATCH(97,$B$29:$GQ$29,0))</f>
        <v/>
      </c>
      <c r="CU10">
        <f>INDEX($B$24:$GQ$24,MATCH(98,$B$29:$GQ$29,0))</f>
        <v/>
      </c>
      <c r="CV10">
        <f>INDEX($B$24:$GQ$24,MATCH(99,$B$29:$GQ$29,0))</f>
        <v/>
      </c>
      <c r="CW10">
        <f>INDEX($B$24:$GQ$24,MATCH(100,$B$29:$GQ$29,0))</f>
        <v/>
      </c>
      <c r="CX10">
        <f>INDEX($B$24:$GQ$24,MATCH(101,$B$29:$GQ$29,0))</f>
        <v/>
      </c>
      <c r="CY10">
        <f>INDEX($B$24:$GQ$24,MATCH(102,$B$29:$GQ$29,0))</f>
        <v/>
      </c>
      <c r="CZ10">
        <f>INDEX($B$24:$GQ$24,MATCH(103,$B$29:$GQ$29,0))</f>
        <v/>
      </c>
      <c r="DA10">
        <f>INDEX($B$24:$GQ$24,MATCH(104,$B$29:$GQ$29,0))</f>
        <v/>
      </c>
      <c r="DB10">
        <f>INDEX($B$24:$GQ$24,MATCH(105,$B$29:$GQ$29,0))</f>
        <v/>
      </c>
      <c r="DC10">
        <f>INDEX($B$24:$GQ$24,MATCH(106,$B$29:$GQ$29,0))</f>
        <v/>
      </c>
      <c r="DD10">
        <f>INDEX($B$24:$GQ$24,MATCH(107,$B$29:$GQ$29,0))</f>
        <v/>
      </c>
      <c r="DE10">
        <f>INDEX($B$24:$GQ$24,MATCH(108,$B$29:$GQ$29,0))</f>
        <v/>
      </c>
      <c r="DF10">
        <f>INDEX($B$24:$GQ$24,MATCH(109,$B$29:$GQ$29,0))</f>
        <v/>
      </c>
      <c r="DG10">
        <f>INDEX($B$24:$GQ$24,MATCH(110,$B$29:$GQ$29,0))</f>
        <v/>
      </c>
      <c r="DH10">
        <f>INDEX($B$24:$GQ$24,MATCH(111,$B$29:$GQ$29,0))</f>
        <v/>
      </c>
      <c r="DI10">
        <f>INDEX($B$24:$GQ$24,MATCH(112,$B$29:$GQ$29,0))</f>
        <v/>
      </c>
      <c r="DJ10">
        <f>INDEX($B$24:$GQ$24,MATCH(113,$B$29:$GQ$29,0))</f>
        <v/>
      </c>
      <c r="DK10">
        <f>INDEX($B$24:$GQ$24,MATCH(114,$B$29:$GQ$29,0))</f>
        <v/>
      </c>
      <c r="DL10">
        <f>INDEX($B$24:$GQ$24,MATCH(115,$B$29:$GQ$29,0))</f>
        <v/>
      </c>
      <c r="DM10">
        <f>INDEX($B$24:$GQ$24,MATCH(116,$B$29:$GQ$29,0))</f>
        <v/>
      </c>
      <c r="DN10">
        <f>INDEX($B$24:$GQ$24,MATCH(117,$B$29:$GQ$29,0))</f>
        <v/>
      </c>
      <c r="DO10">
        <f>INDEX($B$24:$GQ$24,MATCH(118,$B$29:$GQ$29,0))</f>
        <v/>
      </c>
      <c r="DP10">
        <f>INDEX($B$24:$GQ$24,MATCH(119,$B$29:$GQ$29,0))</f>
        <v/>
      </c>
      <c r="DQ10">
        <f>INDEX($B$24:$GQ$24,MATCH(120,$B$29:$GQ$29,0))</f>
        <v/>
      </c>
      <c r="DR10">
        <f>INDEX($B$24:$GQ$24,MATCH(121,$B$29:$GQ$29,0))</f>
        <v/>
      </c>
      <c r="DS10">
        <f>INDEX($B$24:$GQ$24,MATCH(122,$B$29:$GQ$29,0))</f>
        <v/>
      </c>
      <c r="DT10">
        <f>INDEX($B$24:$GQ$24,MATCH(123,$B$29:$GQ$29,0))</f>
        <v/>
      </c>
      <c r="DU10">
        <f>INDEX($B$24:$GQ$24,MATCH(124,$B$29:$GQ$29,0))</f>
        <v/>
      </c>
      <c r="DV10">
        <f>INDEX($B$24:$GQ$24,MATCH(125,$B$29:$GQ$29,0))</f>
        <v/>
      </c>
      <c r="DW10">
        <f>INDEX($B$24:$GQ$24,MATCH(126,$B$29:$GQ$29,0))</f>
        <v/>
      </c>
      <c r="DX10">
        <f>INDEX($B$24:$GQ$24,MATCH(127,$B$29:$GQ$29,0))</f>
        <v/>
      </c>
      <c r="DY10">
        <f>INDEX($B$24:$GQ$24,MATCH(128,$B$29:$GQ$29,0))</f>
        <v/>
      </c>
      <c r="DZ10">
        <f>INDEX($B$24:$GQ$24,MATCH(129,$B$29:$GQ$29,0))</f>
        <v/>
      </c>
      <c r="EA10">
        <f>INDEX($B$24:$GQ$24,MATCH(130,$B$29:$GQ$29,0))</f>
        <v/>
      </c>
      <c r="EB10">
        <f>INDEX($B$24:$GQ$24,MATCH(131,$B$29:$GQ$29,0))</f>
        <v/>
      </c>
      <c r="EC10">
        <f>INDEX($B$24:$GQ$24,MATCH(132,$B$29:$GQ$29,0))</f>
        <v/>
      </c>
      <c r="ED10">
        <f>INDEX($B$24:$GQ$24,MATCH(133,$B$29:$GQ$29,0))</f>
        <v/>
      </c>
      <c r="EE10">
        <f>INDEX($B$24:$GQ$24,MATCH(134,$B$29:$GQ$29,0))</f>
        <v/>
      </c>
      <c r="EF10">
        <f>INDEX($B$24:$GQ$24,MATCH(135,$B$29:$GQ$29,0))</f>
        <v/>
      </c>
      <c r="EG10">
        <f>INDEX($B$24:$GQ$24,MATCH(136,$B$29:$GQ$29,0))</f>
        <v/>
      </c>
      <c r="EH10">
        <f>INDEX($B$24:$GQ$24,MATCH(137,$B$29:$GQ$29,0))</f>
        <v/>
      </c>
      <c r="EI10">
        <f>INDEX($B$24:$GQ$24,MATCH(138,$B$29:$GQ$29,0))</f>
        <v/>
      </c>
      <c r="EJ10">
        <f>INDEX($B$24:$GQ$24,MATCH(139,$B$29:$GQ$29,0))</f>
        <v/>
      </c>
      <c r="EK10">
        <f>INDEX($B$24:$GQ$24,MATCH(140,$B$29:$GQ$29,0))</f>
        <v/>
      </c>
      <c r="EL10">
        <f>INDEX($B$24:$GQ$24,MATCH(141,$B$29:$GQ$29,0))</f>
        <v/>
      </c>
      <c r="EM10">
        <f>INDEX($B$24:$GQ$24,MATCH(142,$B$29:$GQ$29,0))</f>
        <v/>
      </c>
      <c r="EN10">
        <f>INDEX($B$24:$GQ$24,MATCH(143,$B$29:$GQ$29,0))</f>
        <v/>
      </c>
      <c r="EO10">
        <f>INDEX($B$24:$GQ$24,MATCH(144,$B$29:$GQ$29,0))</f>
        <v/>
      </c>
      <c r="EP10">
        <f>INDEX($B$24:$GQ$24,MATCH(145,$B$29:$GQ$29,0))</f>
        <v/>
      </c>
      <c r="EQ10">
        <f>INDEX($B$24:$GQ$24,MATCH(146,$B$29:$GQ$29,0))</f>
        <v/>
      </c>
      <c r="ER10">
        <f>INDEX($B$24:$GQ$24,MATCH(147,$B$29:$GQ$29,0))</f>
        <v/>
      </c>
      <c r="ES10">
        <f>INDEX($B$24:$GQ$24,MATCH(148,$B$29:$GQ$29,0))</f>
        <v/>
      </c>
      <c r="ET10">
        <f>INDEX($B$24:$GQ$24,MATCH(149,$B$29:$GQ$29,0))</f>
        <v/>
      </c>
      <c r="EU10">
        <f>INDEX($B$24:$GQ$24,MATCH(150,$B$29:$GQ$29,0))</f>
        <v/>
      </c>
      <c r="EV10">
        <f>INDEX($B$24:$GQ$24,MATCH(151,$B$29:$GQ$29,0))</f>
        <v/>
      </c>
      <c r="EW10">
        <f>INDEX($B$24:$GQ$24,MATCH(152,$B$29:$GQ$29,0))</f>
        <v/>
      </c>
      <c r="EX10">
        <f>INDEX($B$24:$GQ$24,MATCH(153,$B$29:$GQ$29,0))</f>
        <v/>
      </c>
      <c r="EY10">
        <f>INDEX($B$24:$GQ$24,MATCH(154,$B$29:$GQ$29,0))</f>
        <v/>
      </c>
      <c r="EZ10">
        <f>INDEX($B$24:$GQ$24,MATCH(155,$B$29:$GQ$29,0))</f>
        <v/>
      </c>
      <c r="FA10">
        <f>INDEX($B$24:$GQ$24,MATCH(156,$B$29:$GQ$29,0))</f>
        <v/>
      </c>
      <c r="FB10">
        <f>INDEX($B$24:$GQ$24,MATCH(157,$B$29:$GQ$29,0))</f>
        <v/>
      </c>
      <c r="FC10">
        <f>INDEX($B$24:$GQ$24,MATCH(158,$B$29:$GQ$29,0))</f>
        <v/>
      </c>
      <c r="FD10">
        <f>INDEX($B$24:$GQ$24,MATCH(159,$B$29:$GQ$29,0))</f>
        <v/>
      </c>
      <c r="FE10">
        <f>INDEX($B$24:$GQ$24,MATCH(160,$B$29:$GQ$29,0))</f>
        <v/>
      </c>
      <c r="FF10">
        <f>INDEX($B$24:$GQ$24,MATCH(161,$B$29:$GQ$29,0))</f>
        <v/>
      </c>
      <c r="FG10">
        <f>INDEX($B$24:$GQ$24,MATCH(162,$B$29:$GQ$29,0))</f>
        <v/>
      </c>
      <c r="FH10">
        <f>INDEX($B$24:$GQ$24,MATCH(163,$B$29:$GQ$29,0))</f>
        <v/>
      </c>
      <c r="FI10">
        <f>INDEX($B$24:$GQ$24,MATCH(164,$B$29:$GQ$29,0))</f>
        <v/>
      </c>
      <c r="FJ10">
        <f>INDEX($B$24:$GQ$24,MATCH(165,$B$29:$GQ$29,0))</f>
        <v/>
      </c>
      <c r="FK10">
        <f>INDEX($B$24:$GQ$24,MATCH(166,$B$29:$GQ$29,0))</f>
        <v/>
      </c>
      <c r="FL10">
        <f>INDEX($B$24:$GQ$24,MATCH(167,$B$29:$GQ$29,0))</f>
        <v/>
      </c>
      <c r="FM10">
        <f>INDEX($B$24:$GQ$24,MATCH(168,$B$29:$GQ$29,0))</f>
        <v/>
      </c>
      <c r="FN10">
        <f>INDEX($B$24:$GQ$24,MATCH(169,$B$29:$GQ$29,0))</f>
        <v/>
      </c>
      <c r="FO10">
        <f>INDEX($B$24:$GQ$24,MATCH(170,$B$29:$GQ$29,0))</f>
        <v/>
      </c>
      <c r="FP10">
        <f>INDEX($B$24:$GQ$24,MATCH(171,$B$29:$GQ$29,0))</f>
        <v/>
      </c>
      <c r="FQ10">
        <f>INDEX($B$24:$GQ$24,MATCH(172,$B$29:$GQ$29,0))</f>
        <v/>
      </c>
      <c r="FR10">
        <f>INDEX($B$24:$GQ$24,MATCH(173,$B$29:$GQ$29,0))</f>
        <v/>
      </c>
      <c r="FS10">
        <f>INDEX($B$24:$GQ$24,MATCH(174,$B$29:$GQ$29,0))</f>
        <v/>
      </c>
      <c r="FT10">
        <f>INDEX($B$24:$GQ$24,MATCH(175,$B$29:$GQ$29,0))</f>
        <v/>
      </c>
      <c r="FU10">
        <f>INDEX($B$24:$GQ$24,MATCH(176,$B$29:$GQ$29,0))</f>
        <v/>
      </c>
      <c r="FV10">
        <f>INDEX($B$24:$GQ$24,MATCH(177,$B$29:$GQ$29,0))</f>
        <v/>
      </c>
      <c r="FW10">
        <f>INDEX($B$24:$GQ$24,MATCH(178,$B$29:$GQ$29,0))</f>
        <v/>
      </c>
      <c r="FX10">
        <f>INDEX($B$24:$GQ$24,MATCH(179,$B$29:$GQ$29,0))</f>
        <v/>
      </c>
      <c r="FY10">
        <f>INDEX($B$24:$GQ$24,MATCH(180,$B$29:$GQ$29,0))</f>
        <v/>
      </c>
      <c r="FZ10">
        <f>INDEX($B$24:$GQ$24,MATCH(181,$B$29:$GQ$29,0))</f>
        <v/>
      </c>
      <c r="GA10">
        <f>INDEX($B$24:$GQ$24,MATCH(182,$B$29:$GQ$29,0))</f>
        <v/>
      </c>
      <c r="GB10">
        <f>INDEX($B$24:$GQ$24,MATCH(183,$B$29:$GQ$29,0))</f>
        <v/>
      </c>
      <c r="GC10">
        <f>INDEX($B$24:$GQ$24,MATCH(184,$B$29:$GQ$29,0))</f>
        <v/>
      </c>
      <c r="GD10">
        <f>INDEX($B$24:$GQ$24,MATCH(185,$B$29:$GQ$29,0))</f>
        <v/>
      </c>
      <c r="GE10">
        <f>INDEX($B$24:$GQ$24,MATCH(186,$B$29:$GQ$29,0))</f>
        <v/>
      </c>
      <c r="GF10">
        <f>INDEX($B$24:$GQ$24,MATCH(187,$B$29:$GQ$29,0))</f>
        <v/>
      </c>
      <c r="GG10">
        <f>INDEX($B$24:$GQ$24,MATCH(188,$B$29:$GQ$29,0))</f>
        <v/>
      </c>
      <c r="GH10">
        <f>INDEX($B$24:$GQ$24,MATCH(189,$B$29:$GQ$29,0))</f>
        <v/>
      </c>
      <c r="GI10">
        <f>INDEX($B$24:$GQ$24,MATCH(190,$B$29:$GQ$29,0))</f>
        <v/>
      </c>
      <c r="GJ10">
        <f>INDEX($B$24:$GQ$24,MATCH(191,$B$29:$GQ$29,0))</f>
        <v/>
      </c>
      <c r="GK10">
        <f>INDEX($B$24:$GQ$24,MATCH(192,$B$29:$GQ$29,0))</f>
        <v/>
      </c>
      <c r="GL10">
        <f>INDEX($B$24:$GQ$24,MATCH(193,$B$29:$GQ$29,0))</f>
        <v/>
      </c>
      <c r="GM10">
        <f>INDEX($B$24:$GQ$24,MATCH(194,$B$29:$GQ$29,0))</f>
        <v/>
      </c>
      <c r="GN10">
        <f>INDEX($B$24:$GQ$24,MATCH(195,$B$29:$GQ$29,0))</f>
        <v/>
      </c>
      <c r="GO10">
        <f>INDEX($B$24:$GQ$24,MATCH(196,$B$29:$GQ$29,0))</f>
        <v/>
      </c>
      <c r="GP10">
        <f>INDEX($B$24:$GQ$24,MATCH(197,$B$29:$GQ$29,0))</f>
        <v/>
      </c>
      <c r="GQ10">
        <f>INDEX($B$24:$GQ$24,MATCH(198,$B$29:$GQ$29,0))</f>
        <v/>
      </c>
      <c r="GR10">
        <f>INDEX($GR$24:$HC$24,MATCH(1,$GR$30:$HC$30,0))</f>
        <v/>
      </c>
      <c r="GS10">
        <f>INDEX($GR$24:$HC$24,MATCH(2,$GR$30:$HC$30,0))</f>
        <v/>
      </c>
      <c r="GT10">
        <f>INDEX($GR$24:$HC$24,MATCH(3,$GR$30:$HC$30,0))</f>
        <v/>
      </c>
      <c r="GU10">
        <f>INDEX($GR$24:$HC$24,MATCH(4,$GR$30:$HC$30,0))</f>
        <v/>
      </c>
      <c r="GV10">
        <f>INDEX($GR$24:$HC$24,MATCH(5,$GR$30:$HC$30,0))</f>
        <v/>
      </c>
      <c r="GW10">
        <f>INDEX($GR$24:$HC$24,MATCH(6,$GR$30:$HC$30,0))</f>
        <v/>
      </c>
      <c r="GX10">
        <f>INDEX($GR$24:$HC$24,MATCH(7,$GR$30:$HC$30,0))</f>
        <v/>
      </c>
      <c r="GY10">
        <f>INDEX($GR$24:$HC$24,MATCH(8,$GR$30:$HC$30,0))</f>
        <v/>
      </c>
      <c r="GZ10">
        <f>INDEX($GR$24:$HC$24,MATCH(9,$GR$30:$HC$30,0))</f>
        <v/>
      </c>
      <c r="HA10">
        <f>INDEX($GR$24:$HC$24,MATCH(10,$GR$30:$HC$30,0))</f>
        <v/>
      </c>
      <c r="HB10">
        <f>INDEX($GR$24:$HC$24,MATCH(11,$GR$30:$HC$30,0))</f>
        <v/>
      </c>
      <c r="HC10">
        <f>INDEX($GR$24:$HC$24,MATCH(12,$GR$30:$HC$30,0))</f>
        <v/>
      </c>
    </row>
    <row r="11">
      <c r="A11" s="1" t="inlineStr">
        <is>
          <t>M_imp*Y_dom+M_dom*Y_dom</t>
        </is>
      </c>
      <c r="B11">
        <f>INDEX($B$25:$GQ$25,MATCH(1,$B$29:$GQ$29,0))</f>
        <v/>
      </c>
      <c r="C11">
        <f>INDEX($B$25:$GQ$25,MATCH(2,$B$29:$GQ$29,0))</f>
        <v/>
      </c>
      <c r="D11">
        <f>INDEX($B$25:$GQ$25,MATCH(3,$B$29:$GQ$29,0))</f>
        <v/>
      </c>
      <c r="E11">
        <f>INDEX($B$25:$GQ$25,MATCH(4,$B$29:$GQ$29,0))</f>
        <v/>
      </c>
      <c r="F11">
        <f>INDEX($B$25:$GQ$25,MATCH(5,$B$29:$GQ$29,0))</f>
        <v/>
      </c>
      <c r="G11">
        <f>INDEX($B$25:$GQ$25,MATCH(6,$B$29:$GQ$29,0))</f>
        <v/>
      </c>
      <c r="H11">
        <f>INDEX($B$25:$GQ$25,MATCH(7,$B$29:$GQ$29,0))</f>
        <v/>
      </c>
      <c r="I11">
        <f>INDEX($B$25:$GQ$25,MATCH(8,$B$29:$GQ$29,0))</f>
        <v/>
      </c>
      <c r="J11">
        <f>INDEX($B$25:$GQ$25,MATCH(9,$B$29:$GQ$29,0))</f>
        <v/>
      </c>
      <c r="K11">
        <f>INDEX($B$25:$GQ$25,MATCH(10,$B$29:$GQ$29,0))</f>
        <v/>
      </c>
      <c r="L11">
        <f>INDEX($B$25:$GQ$25,MATCH(11,$B$29:$GQ$29,0))</f>
        <v/>
      </c>
      <c r="M11">
        <f>INDEX($B$25:$GQ$25,MATCH(12,$B$29:$GQ$29,0))</f>
        <v/>
      </c>
      <c r="N11">
        <f>INDEX($B$25:$GQ$25,MATCH(13,$B$29:$GQ$29,0))</f>
        <v/>
      </c>
      <c r="O11">
        <f>INDEX($B$25:$GQ$25,MATCH(14,$B$29:$GQ$29,0))</f>
        <v/>
      </c>
      <c r="P11">
        <f>INDEX($B$25:$GQ$25,MATCH(15,$B$29:$GQ$29,0))</f>
        <v/>
      </c>
      <c r="Q11">
        <f>INDEX($B$25:$GQ$25,MATCH(16,$B$29:$GQ$29,0))</f>
        <v/>
      </c>
      <c r="R11">
        <f>INDEX($B$25:$GQ$25,MATCH(17,$B$29:$GQ$29,0))</f>
        <v/>
      </c>
      <c r="S11">
        <f>INDEX($B$25:$GQ$25,MATCH(18,$B$29:$GQ$29,0))</f>
        <v/>
      </c>
      <c r="T11">
        <f>INDEX($B$25:$GQ$25,MATCH(19,$B$29:$GQ$29,0))</f>
        <v/>
      </c>
      <c r="U11">
        <f>INDEX($B$25:$GQ$25,MATCH(20,$B$29:$GQ$29,0))</f>
        <v/>
      </c>
      <c r="V11">
        <f>INDEX($B$25:$GQ$25,MATCH(21,$B$29:$GQ$29,0))</f>
        <v/>
      </c>
      <c r="W11">
        <f>INDEX($B$25:$GQ$25,MATCH(22,$B$29:$GQ$29,0))</f>
        <v/>
      </c>
      <c r="X11">
        <f>INDEX($B$25:$GQ$25,MATCH(23,$B$29:$GQ$29,0))</f>
        <v/>
      </c>
      <c r="Y11">
        <f>INDEX($B$25:$GQ$25,MATCH(24,$B$29:$GQ$29,0))</f>
        <v/>
      </c>
      <c r="Z11">
        <f>INDEX($B$25:$GQ$25,MATCH(25,$B$29:$GQ$29,0))</f>
        <v/>
      </c>
      <c r="AA11">
        <f>INDEX($B$25:$GQ$25,MATCH(26,$B$29:$GQ$29,0))</f>
        <v/>
      </c>
      <c r="AB11">
        <f>INDEX($B$25:$GQ$25,MATCH(27,$B$29:$GQ$29,0))</f>
        <v/>
      </c>
      <c r="AC11">
        <f>INDEX($B$25:$GQ$25,MATCH(28,$B$29:$GQ$29,0))</f>
        <v/>
      </c>
      <c r="AD11">
        <f>INDEX($B$25:$GQ$25,MATCH(29,$B$29:$GQ$29,0))</f>
        <v/>
      </c>
      <c r="AE11">
        <f>INDEX($B$25:$GQ$25,MATCH(30,$B$29:$GQ$29,0))</f>
        <v/>
      </c>
      <c r="AF11">
        <f>INDEX($B$25:$GQ$25,MATCH(31,$B$29:$GQ$29,0))</f>
        <v/>
      </c>
      <c r="AG11">
        <f>INDEX($B$25:$GQ$25,MATCH(32,$B$29:$GQ$29,0))</f>
        <v/>
      </c>
      <c r="AH11">
        <f>INDEX($B$25:$GQ$25,MATCH(33,$B$29:$GQ$29,0))</f>
        <v/>
      </c>
      <c r="AI11">
        <f>INDEX($B$25:$GQ$25,MATCH(34,$B$29:$GQ$29,0))</f>
        <v/>
      </c>
      <c r="AJ11">
        <f>INDEX($B$25:$GQ$25,MATCH(35,$B$29:$GQ$29,0))</f>
        <v/>
      </c>
      <c r="AK11">
        <f>INDEX($B$25:$GQ$25,MATCH(36,$B$29:$GQ$29,0))</f>
        <v/>
      </c>
      <c r="AL11">
        <f>INDEX($B$25:$GQ$25,MATCH(37,$B$29:$GQ$29,0))</f>
        <v/>
      </c>
      <c r="AM11">
        <f>INDEX($B$25:$GQ$25,MATCH(38,$B$29:$GQ$29,0))</f>
        <v/>
      </c>
      <c r="AN11">
        <f>INDEX($B$25:$GQ$25,MATCH(39,$B$29:$GQ$29,0))</f>
        <v/>
      </c>
      <c r="AO11">
        <f>INDEX($B$25:$GQ$25,MATCH(40,$B$29:$GQ$29,0))</f>
        <v/>
      </c>
      <c r="AP11">
        <f>INDEX($B$25:$GQ$25,MATCH(41,$B$29:$GQ$29,0))</f>
        <v/>
      </c>
      <c r="AQ11">
        <f>INDEX($B$25:$GQ$25,MATCH(42,$B$29:$GQ$29,0))</f>
        <v/>
      </c>
      <c r="AR11">
        <f>INDEX($B$25:$GQ$25,MATCH(43,$B$29:$GQ$29,0))</f>
        <v/>
      </c>
      <c r="AS11">
        <f>INDEX($B$25:$GQ$25,MATCH(44,$B$29:$GQ$29,0))</f>
        <v/>
      </c>
      <c r="AT11">
        <f>INDEX($B$25:$GQ$25,MATCH(45,$B$29:$GQ$29,0))</f>
        <v/>
      </c>
      <c r="AU11">
        <f>INDEX($B$25:$GQ$25,MATCH(46,$B$29:$GQ$29,0))</f>
        <v/>
      </c>
      <c r="AV11">
        <f>INDEX($B$25:$GQ$25,MATCH(47,$B$29:$GQ$29,0))</f>
        <v/>
      </c>
      <c r="AW11">
        <f>INDEX($B$25:$GQ$25,MATCH(48,$B$29:$GQ$29,0))</f>
        <v/>
      </c>
      <c r="AX11">
        <f>INDEX($B$25:$GQ$25,MATCH(49,$B$29:$GQ$29,0))</f>
        <v/>
      </c>
      <c r="AY11">
        <f>INDEX($B$25:$GQ$25,MATCH(50,$B$29:$GQ$29,0))</f>
        <v/>
      </c>
      <c r="AZ11">
        <f>INDEX($B$25:$GQ$25,MATCH(51,$B$29:$GQ$29,0))</f>
        <v/>
      </c>
      <c r="BA11">
        <f>INDEX($B$25:$GQ$25,MATCH(52,$B$29:$GQ$29,0))</f>
        <v/>
      </c>
      <c r="BB11">
        <f>INDEX($B$25:$GQ$25,MATCH(53,$B$29:$GQ$29,0))</f>
        <v/>
      </c>
      <c r="BC11">
        <f>INDEX($B$25:$GQ$25,MATCH(54,$B$29:$GQ$29,0))</f>
        <v/>
      </c>
      <c r="BD11">
        <f>INDEX($B$25:$GQ$25,MATCH(55,$B$29:$GQ$29,0))</f>
        <v/>
      </c>
      <c r="BE11">
        <f>INDEX($B$25:$GQ$25,MATCH(56,$B$29:$GQ$29,0))</f>
        <v/>
      </c>
      <c r="BF11">
        <f>INDEX($B$25:$GQ$25,MATCH(57,$B$29:$GQ$29,0))</f>
        <v/>
      </c>
      <c r="BG11">
        <f>INDEX($B$25:$GQ$25,MATCH(58,$B$29:$GQ$29,0))</f>
        <v/>
      </c>
      <c r="BH11">
        <f>INDEX($B$25:$GQ$25,MATCH(59,$B$29:$GQ$29,0))</f>
        <v/>
      </c>
      <c r="BI11">
        <f>INDEX($B$25:$GQ$25,MATCH(60,$B$29:$GQ$29,0))</f>
        <v/>
      </c>
      <c r="BJ11">
        <f>INDEX($B$25:$GQ$25,MATCH(61,$B$29:$GQ$29,0))</f>
        <v/>
      </c>
      <c r="BK11">
        <f>INDEX($B$25:$GQ$25,MATCH(62,$B$29:$GQ$29,0))</f>
        <v/>
      </c>
      <c r="BL11">
        <f>INDEX($B$25:$GQ$25,MATCH(63,$B$29:$GQ$29,0))</f>
        <v/>
      </c>
      <c r="BM11">
        <f>INDEX($B$25:$GQ$25,MATCH(64,$B$29:$GQ$29,0))</f>
        <v/>
      </c>
      <c r="BN11">
        <f>INDEX($B$25:$GQ$25,MATCH(65,$B$29:$GQ$29,0))</f>
        <v/>
      </c>
      <c r="BO11">
        <f>INDEX($B$25:$GQ$25,MATCH(66,$B$29:$GQ$29,0))</f>
        <v/>
      </c>
      <c r="BP11">
        <f>INDEX($B$25:$GQ$25,MATCH(67,$B$29:$GQ$29,0))</f>
        <v/>
      </c>
      <c r="BQ11">
        <f>INDEX($B$25:$GQ$25,MATCH(68,$B$29:$GQ$29,0))</f>
        <v/>
      </c>
      <c r="BR11">
        <f>INDEX($B$25:$GQ$25,MATCH(69,$B$29:$GQ$29,0))</f>
        <v/>
      </c>
      <c r="BS11">
        <f>INDEX($B$25:$GQ$25,MATCH(70,$B$29:$GQ$29,0))</f>
        <v/>
      </c>
      <c r="BT11">
        <f>INDEX($B$25:$GQ$25,MATCH(71,$B$29:$GQ$29,0))</f>
        <v/>
      </c>
      <c r="BU11">
        <f>INDEX($B$25:$GQ$25,MATCH(72,$B$29:$GQ$29,0))</f>
        <v/>
      </c>
      <c r="BV11">
        <f>INDEX($B$25:$GQ$25,MATCH(73,$B$29:$GQ$29,0))</f>
        <v/>
      </c>
      <c r="BW11">
        <f>INDEX($B$25:$GQ$25,MATCH(74,$B$29:$GQ$29,0))</f>
        <v/>
      </c>
      <c r="BX11">
        <f>INDEX($B$25:$GQ$25,MATCH(75,$B$29:$GQ$29,0))</f>
        <v/>
      </c>
      <c r="BY11">
        <f>INDEX($B$25:$GQ$25,MATCH(76,$B$29:$GQ$29,0))</f>
        <v/>
      </c>
      <c r="BZ11">
        <f>INDEX($B$25:$GQ$25,MATCH(77,$B$29:$GQ$29,0))</f>
        <v/>
      </c>
      <c r="CA11">
        <f>INDEX($B$25:$GQ$25,MATCH(78,$B$29:$GQ$29,0))</f>
        <v/>
      </c>
      <c r="CB11">
        <f>INDEX($B$25:$GQ$25,MATCH(79,$B$29:$GQ$29,0))</f>
        <v/>
      </c>
      <c r="CC11">
        <f>INDEX($B$25:$GQ$25,MATCH(80,$B$29:$GQ$29,0))</f>
        <v/>
      </c>
      <c r="CD11">
        <f>INDEX($B$25:$GQ$25,MATCH(81,$B$29:$GQ$29,0))</f>
        <v/>
      </c>
      <c r="CE11">
        <f>INDEX($B$25:$GQ$25,MATCH(82,$B$29:$GQ$29,0))</f>
        <v/>
      </c>
      <c r="CF11">
        <f>INDEX($B$25:$GQ$25,MATCH(83,$B$29:$GQ$29,0))</f>
        <v/>
      </c>
      <c r="CG11">
        <f>INDEX($B$25:$GQ$25,MATCH(84,$B$29:$GQ$29,0))</f>
        <v/>
      </c>
      <c r="CH11">
        <f>INDEX($B$25:$GQ$25,MATCH(85,$B$29:$GQ$29,0))</f>
        <v/>
      </c>
      <c r="CI11">
        <f>INDEX($B$25:$GQ$25,MATCH(86,$B$29:$GQ$29,0))</f>
        <v/>
      </c>
      <c r="CJ11">
        <f>INDEX($B$25:$GQ$25,MATCH(87,$B$29:$GQ$29,0))</f>
        <v/>
      </c>
      <c r="CK11">
        <f>INDEX($B$25:$GQ$25,MATCH(88,$B$29:$GQ$29,0))</f>
        <v/>
      </c>
      <c r="CL11">
        <f>INDEX($B$25:$GQ$25,MATCH(89,$B$29:$GQ$29,0))</f>
        <v/>
      </c>
      <c r="CM11">
        <f>INDEX($B$25:$GQ$25,MATCH(90,$B$29:$GQ$29,0))</f>
        <v/>
      </c>
      <c r="CN11">
        <f>INDEX($B$25:$GQ$25,MATCH(91,$B$29:$GQ$29,0))</f>
        <v/>
      </c>
      <c r="CO11">
        <f>INDEX($B$25:$GQ$25,MATCH(92,$B$29:$GQ$29,0))</f>
        <v/>
      </c>
      <c r="CP11">
        <f>INDEX($B$25:$GQ$25,MATCH(93,$B$29:$GQ$29,0))</f>
        <v/>
      </c>
      <c r="CQ11">
        <f>INDEX($B$25:$GQ$25,MATCH(94,$B$29:$GQ$29,0))</f>
        <v/>
      </c>
      <c r="CR11">
        <f>INDEX($B$25:$GQ$25,MATCH(95,$B$29:$GQ$29,0))</f>
        <v/>
      </c>
      <c r="CS11">
        <f>INDEX($B$25:$GQ$25,MATCH(96,$B$29:$GQ$29,0))</f>
        <v/>
      </c>
      <c r="CT11">
        <f>INDEX($B$25:$GQ$25,MATCH(97,$B$29:$GQ$29,0))</f>
        <v/>
      </c>
      <c r="CU11">
        <f>INDEX($B$25:$GQ$25,MATCH(98,$B$29:$GQ$29,0))</f>
        <v/>
      </c>
      <c r="CV11">
        <f>INDEX($B$25:$GQ$25,MATCH(99,$B$29:$GQ$29,0))</f>
        <v/>
      </c>
      <c r="CW11">
        <f>INDEX($B$25:$GQ$25,MATCH(100,$B$29:$GQ$29,0))</f>
        <v/>
      </c>
      <c r="CX11">
        <f>INDEX($B$25:$GQ$25,MATCH(101,$B$29:$GQ$29,0))</f>
        <v/>
      </c>
      <c r="CY11">
        <f>INDEX($B$25:$GQ$25,MATCH(102,$B$29:$GQ$29,0))</f>
        <v/>
      </c>
      <c r="CZ11">
        <f>INDEX($B$25:$GQ$25,MATCH(103,$B$29:$GQ$29,0))</f>
        <v/>
      </c>
      <c r="DA11">
        <f>INDEX($B$25:$GQ$25,MATCH(104,$B$29:$GQ$29,0))</f>
        <v/>
      </c>
      <c r="DB11">
        <f>INDEX($B$25:$GQ$25,MATCH(105,$B$29:$GQ$29,0))</f>
        <v/>
      </c>
      <c r="DC11">
        <f>INDEX($B$25:$GQ$25,MATCH(106,$B$29:$GQ$29,0))</f>
        <v/>
      </c>
      <c r="DD11">
        <f>INDEX($B$25:$GQ$25,MATCH(107,$B$29:$GQ$29,0))</f>
        <v/>
      </c>
      <c r="DE11">
        <f>INDEX($B$25:$GQ$25,MATCH(108,$B$29:$GQ$29,0))</f>
        <v/>
      </c>
      <c r="DF11">
        <f>INDEX($B$25:$GQ$25,MATCH(109,$B$29:$GQ$29,0))</f>
        <v/>
      </c>
      <c r="DG11">
        <f>INDEX($B$25:$GQ$25,MATCH(110,$B$29:$GQ$29,0))</f>
        <v/>
      </c>
      <c r="DH11">
        <f>INDEX($B$25:$GQ$25,MATCH(111,$B$29:$GQ$29,0))</f>
        <v/>
      </c>
      <c r="DI11">
        <f>INDEX($B$25:$GQ$25,MATCH(112,$B$29:$GQ$29,0))</f>
        <v/>
      </c>
      <c r="DJ11">
        <f>INDEX($B$25:$GQ$25,MATCH(113,$B$29:$GQ$29,0))</f>
        <v/>
      </c>
      <c r="DK11">
        <f>INDEX($B$25:$GQ$25,MATCH(114,$B$29:$GQ$29,0))</f>
        <v/>
      </c>
      <c r="DL11">
        <f>INDEX($B$25:$GQ$25,MATCH(115,$B$29:$GQ$29,0))</f>
        <v/>
      </c>
      <c r="DM11">
        <f>INDEX($B$25:$GQ$25,MATCH(116,$B$29:$GQ$29,0))</f>
        <v/>
      </c>
      <c r="DN11">
        <f>INDEX($B$25:$GQ$25,MATCH(117,$B$29:$GQ$29,0))</f>
        <v/>
      </c>
      <c r="DO11">
        <f>INDEX($B$25:$GQ$25,MATCH(118,$B$29:$GQ$29,0))</f>
        <v/>
      </c>
      <c r="DP11">
        <f>INDEX($B$25:$GQ$25,MATCH(119,$B$29:$GQ$29,0))</f>
        <v/>
      </c>
      <c r="DQ11">
        <f>INDEX($B$25:$GQ$25,MATCH(120,$B$29:$GQ$29,0))</f>
        <v/>
      </c>
      <c r="DR11">
        <f>INDEX($B$25:$GQ$25,MATCH(121,$B$29:$GQ$29,0))</f>
        <v/>
      </c>
      <c r="DS11">
        <f>INDEX($B$25:$GQ$25,MATCH(122,$B$29:$GQ$29,0))</f>
        <v/>
      </c>
      <c r="DT11">
        <f>INDEX($B$25:$GQ$25,MATCH(123,$B$29:$GQ$29,0))</f>
        <v/>
      </c>
      <c r="DU11">
        <f>INDEX($B$25:$GQ$25,MATCH(124,$B$29:$GQ$29,0))</f>
        <v/>
      </c>
      <c r="DV11">
        <f>INDEX($B$25:$GQ$25,MATCH(125,$B$29:$GQ$29,0))</f>
        <v/>
      </c>
      <c r="DW11">
        <f>INDEX($B$25:$GQ$25,MATCH(126,$B$29:$GQ$29,0))</f>
        <v/>
      </c>
      <c r="DX11">
        <f>INDEX($B$25:$GQ$25,MATCH(127,$B$29:$GQ$29,0))</f>
        <v/>
      </c>
      <c r="DY11">
        <f>INDEX($B$25:$GQ$25,MATCH(128,$B$29:$GQ$29,0))</f>
        <v/>
      </c>
      <c r="DZ11">
        <f>INDEX($B$25:$GQ$25,MATCH(129,$B$29:$GQ$29,0))</f>
        <v/>
      </c>
      <c r="EA11">
        <f>INDEX($B$25:$GQ$25,MATCH(130,$B$29:$GQ$29,0))</f>
        <v/>
      </c>
      <c r="EB11">
        <f>INDEX($B$25:$GQ$25,MATCH(131,$B$29:$GQ$29,0))</f>
        <v/>
      </c>
      <c r="EC11">
        <f>INDEX($B$25:$GQ$25,MATCH(132,$B$29:$GQ$29,0))</f>
        <v/>
      </c>
      <c r="ED11">
        <f>INDEX($B$25:$GQ$25,MATCH(133,$B$29:$GQ$29,0))</f>
        <v/>
      </c>
      <c r="EE11">
        <f>INDEX($B$25:$GQ$25,MATCH(134,$B$29:$GQ$29,0))</f>
        <v/>
      </c>
      <c r="EF11">
        <f>INDEX($B$25:$GQ$25,MATCH(135,$B$29:$GQ$29,0))</f>
        <v/>
      </c>
      <c r="EG11">
        <f>INDEX($B$25:$GQ$25,MATCH(136,$B$29:$GQ$29,0))</f>
        <v/>
      </c>
      <c r="EH11">
        <f>INDEX($B$25:$GQ$25,MATCH(137,$B$29:$GQ$29,0))</f>
        <v/>
      </c>
      <c r="EI11">
        <f>INDEX($B$25:$GQ$25,MATCH(138,$B$29:$GQ$29,0))</f>
        <v/>
      </c>
      <c r="EJ11">
        <f>INDEX($B$25:$GQ$25,MATCH(139,$B$29:$GQ$29,0))</f>
        <v/>
      </c>
      <c r="EK11">
        <f>INDEX($B$25:$GQ$25,MATCH(140,$B$29:$GQ$29,0))</f>
        <v/>
      </c>
      <c r="EL11">
        <f>INDEX($B$25:$GQ$25,MATCH(141,$B$29:$GQ$29,0))</f>
        <v/>
      </c>
      <c r="EM11">
        <f>INDEX($B$25:$GQ$25,MATCH(142,$B$29:$GQ$29,0))</f>
        <v/>
      </c>
      <c r="EN11">
        <f>INDEX($B$25:$GQ$25,MATCH(143,$B$29:$GQ$29,0))</f>
        <v/>
      </c>
      <c r="EO11">
        <f>INDEX($B$25:$GQ$25,MATCH(144,$B$29:$GQ$29,0))</f>
        <v/>
      </c>
      <c r="EP11">
        <f>INDEX($B$25:$GQ$25,MATCH(145,$B$29:$GQ$29,0))</f>
        <v/>
      </c>
      <c r="EQ11">
        <f>INDEX($B$25:$GQ$25,MATCH(146,$B$29:$GQ$29,0))</f>
        <v/>
      </c>
      <c r="ER11">
        <f>INDEX($B$25:$GQ$25,MATCH(147,$B$29:$GQ$29,0))</f>
        <v/>
      </c>
      <c r="ES11">
        <f>INDEX($B$25:$GQ$25,MATCH(148,$B$29:$GQ$29,0))</f>
        <v/>
      </c>
      <c r="ET11">
        <f>INDEX($B$25:$GQ$25,MATCH(149,$B$29:$GQ$29,0))</f>
        <v/>
      </c>
      <c r="EU11">
        <f>INDEX($B$25:$GQ$25,MATCH(150,$B$29:$GQ$29,0))</f>
        <v/>
      </c>
      <c r="EV11">
        <f>INDEX($B$25:$GQ$25,MATCH(151,$B$29:$GQ$29,0))</f>
        <v/>
      </c>
      <c r="EW11">
        <f>INDEX($B$25:$GQ$25,MATCH(152,$B$29:$GQ$29,0))</f>
        <v/>
      </c>
      <c r="EX11">
        <f>INDEX($B$25:$GQ$25,MATCH(153,$B$29:$GQ$29,0))</f>
        <v/>
      </c>
      <c r="EY11">
        <f>INDEX($B$25:$GQ$25,MATCH(154,$B$29:$GQ$29,0))</f>
        <v/>
      </c>
      <c r="EZ11">
        <f>INDEX($B$25:$GQ$25,MATCH(155,$B$29:$GQ$29,0))</f>
        <v/>
      </c>
      <c r="FA11">
        <f>INDEX($B$25:$GQ$25,MATCH(156,$B$29:$GQ$29,0))</f>
        <v/>
      </c>
      <c r="FB11">
        <f>INDEX($B$25:$GQ$25,MATCH(157,$B$29:$GQ$29,0))</f>
        <v/>
      </c>
      <c r="FC11">
        <f>INDEX($B$25:$GQ$25,MATCH(158,$B$29:$GQ$29,0))</f>
        <v/>
      </c>
      <c r="FD11">
        <f>INDEX($B$25:$GQ$25,MATCH(159,$B$29:$GQ$29,0))</f>
        <v/>
      </c>
      <c r="FE11">
        <f>INDEX($B$25:$GQ$25,MATCH(160,$B$29:$GQ$29,0))</f>
        <v/>
      </c>
      <c r="FF11">
        <f>INDEX($B$25:$GQ$25,MATCH(161,$B$29:$GQ$29,0))</f>
        <v/>
      </c>
      <c r="FG11">
        <f>INDEX($B$25:$GQ$25,MATCH(162,$B$29:$GQ$29,0))</f>
        <v/>
      </c>
      <c r="FH11">
        <f>INDEX($B$25:$GQ$25,MATCH(163,$B$29:$GQ$29,0))</f>
        <v/>
      </c>
      <c r="FI11">
        <f>INDEX($B$25:$GQ$25,MATCH(164,$B$29:$GQ$29,0))</f>
        <v/>
      </c>
      <c r="FJ11">
        <f>INDEX($B$25:$GQ$25,MATCH(165,$B$29:$GQ$29,0))</f>
        <v/>
      </c>
      <c r="FK11">
        <f>INDEX($B$25:$GQ$25,MATCH(166,$B$29:$GQ$29,0))</f>
        <v/>
      </c>
      <c r="FL11">
        <f>INDEX($B$25:$GQ$25,MATCH(167,$B$29:$GQ$29,0))</f>
        <v/>
      </c>
      <c r="FM11">
        <f>INDEX($B$25:$GQ$25,MATCH(168,$B$29:$GQ$29,0))</f>
        <v/>
      </c>
      <c r="FN11">
        <f>INDEX($B$25:$GQ$25,MATCH(169,$B$29:$GQ$29,0))</f>
        <v/>
      </c>
      <c r="FO11">
        <f>INDEX($B$25:$GQ$25,MATCH(170,$B$29:$GQ$29,0))</f>
        <v/>
      </c>
      <c r="FP11">
        <f>INDEX($B$25:$GQ$25,MATCH(171,$B$29:$GQ$29,0))</f>
        <v/>
      </c>
      <c r="FQ11">
        <f>INDEX($B$25:$GQ$25,MATCH(172,$B$29:$GQ$29,0))</f>
        <v/>
      </c>
      <c r="FR11">
        <f>INDEX($B$25:$GQ$25,MATCH(173,$B$29:$GQ$29,0))</f>
        <v/>
      </c>
      <c r="FS11">
        <f>INDEX($B$25:$GQ$25,MATCH(174,$B$29:$GQ$29,0))</f>
        <v/>
      </c>
      <c r="FT11">
        <f>INDEX($B$25:$GQ$25,MATCH(175,$B$29:$GQ$29,0))</f>
        <v/>
      </c>
      <c r="FU11">
        <f>INDEX($B$25:$GQ$25,MATCH(176,$B$29:$GQ$29,0))</f>
        <v/>
      </c>
      <c r="FV11">
        <f>INDEX($B$25:$GQ$25,MATCH(177,$B$29:$GQ$29,0))</f>
        <v/>
      </c>
      <c r="FW11">
        <f>INDEX($B$25:$GQ$25,MATCH(178,$B$29:$GQ$29,0))</f>
        <v/>
      </c>
      <c r="FX11">
        <f>INDEX($B$25:$GQ$25,MATCH(179,$B$29:$GQ$29,0))</f>
        <v/>
      </c>
      <c r="FY11">
        <f>INDEX($B$25:$GQ$25,MATCH(180,$B$29:$GQ$29,0))</f>
        <v/>
      </c>
      <c r="FZ11">
        <f>INDEX($B$25:$GQ$25,MATCH(181,$B$29:$GQ$29,0))</f>
        <v/>
      </c>
      <c r="GA11">
        <f>INDEX($B$25:$GQ$25,MATCH(182,$B$29:$GQ$29,0))</f>
        <v/>
      </c>
      <c r="GB11">
        <f>INDEX($B$25:$GQ$25,MATCH(183,$B$29:$GQ$29,0))</f>
        <v/>
      </c>
      <c r="GC11">
        <f>INDEX($B$25:$GQ$25,MATCH(184,$B$29:$GQ$29,0))</f>
        <v/>
      </c>
      <c r="GD11">
        <f>INDEX($B$25:$GQ$25,MATCH(185,$B$29:$GQ$29,0))</f>
        <v/>
      </c>
      <c r="GE11">
        <f>INDEX($B$25:$GQ$25,MATCH(186,$B$29:$GQ$29,0))</f>
        <v/>
      </c>
      <c r="GF11">
        <f>INDEX($B$25:$GQ$25,MATCH(187,$B$29:$GQ$29,0))</f>
        <v/>
      </c>
      <c r="GG11">
        <f>INDEX($B$25:$GQ$25,MATCH(188,$B$29:$GQ$29,0))</f>
        <v/>
      </c>
      <c r="GH11">
        <f>INDEX($B$25:$GQ$25,MATCH(189,$B$29:$GQ$29,0))</f>
        <v/>
      </c>
      <c r="GI11">
        <f>INDEX($B$25:$GQ$25,MATCH(190,$B$29:$GQ$29,0))</f>
        <v/>
      </c>
      <c r="GJ11">
        <f>INDEX($B$25:$GQ$25,MATCH(191,$B$29:$GQ$29,0))</f>
        <v/>
      </c>
      <c r="GK11">
        <f>INDEX($B$25:$GQ$25,MATCH(192,$B$29:$GQ$29,0))</f>
        <v/>
      </c>
      <c r="GL11">
        <f>INDEX($B$25:$GQ$25,MATCH(193,$B$29:$GQ$29,0))</f>
        <v/>
      </c>
      <c r="GM11">
        <f>INDEX($B$25:$GQ$25,MATCH(194,$B$29:$GQ$29,0))</f>
        <v/>
      </c>
      <c r="GN11">
        <f>INDEX($B$25:$GQ$25,MATCH(195,$B$29:$GQ$29,0))</f>
        <v/>
      </c>
      <c r="GO11">
        <f>INDEX($B$25:$GQ$25,MATCH(196,$B$29:$GQ$29,0))</f>
        <v/>
      </c>
      <c r="GP11">
        <f>INDEX($B$25:$GQ$25,MATCH(197,$B$29:$GQ$29,0))</f>
        <v/>
      </c>
      <c r="GQ11">
        <f>INDEX($B$25:$GQ$25,MATCH(198,$B$29:$GQ$29,0))</f>
        <v/>
      </c>
      <c r="GR11">
        <f>INDEX($GR$25:$HC$25,MATCH(1,$GR$30:$HC$30,0))</f>
        <v/>
      </c>
      <c r="GS11">
        <f>INDEX($GR$25:$HC$25,MATCH(2,$GR$30:$HC$30,0))</f>
        <v/>
      </c>
      <c r="GT11">
        <f>INDEX($GR$25:$HC$25,MATCH(3,$GR$30:$HC$30,0))</f>
        <v/>
      </c>
      <c r="GU11">
        <f>INDEX($GR$25:$HC$25,MATCH(4,$GR$30:$HC$30,0))</f>
        <v/>
      </c>
      <c r="GV11">
        <f>INDEX($GR$25:$HC$25,MATCH(5,$GR$30:$HC$30,0))</f>
        <v/>
      </c>
      <c r="GW11">
        <f>INDEX($GR$25:$HC$25,MATCH(6,$GR$30:$HC$30,0))</f>
        <v/>
      </c>
      <c r="GX11">
        <f>INDEX($GR$25:$HC$25,MATCH(7,$GR$30:$HC$30,0))</f>
        <v/>
      </c>
      <c r="GY11">
        <f>INDEX($GR$25:$HC$25,MATCH(8,$GR$30:$HC$30,0))</f>
        <v/>
      </c>
      <c r="GZ11">
        <f>INDEX($GR$25:$HC$25,MATCH(9,$GR$30:$HC$30,0))</f>
        <v/>
      </c>
      <c r="HA11">
        <f>INDEX($GR$25:$HC$25,MATCH(10,$GR$30:$HC$30,0))</f>
        <v/>
      </c>
      <c r="HB11">
        <f>INDEX($GR$25:$HC$25,MATCH(11,$GR$30:$HC$30,0))</f>
        <v/>
      </c>
      <c r="HC11">
        <f>INDEX($GR$25:$HC$25,MATCH(12,$GR$30:$HC$30,0))</f>
        <v/>
      </c>
    </row>
    <row r="12">
      <c r="A12" s="1" t="inlineStr">
        <is>
          <t>M_row*Y_imp</t>
        </is>
      </c>
      <c r="B12">
        <f>INDEX($B$26:$GQ$26,MATCH(1,$B$29:$GQ$29,0))</f>
        <v/>
      </c>
      <c r="C12">
        <f>INDEX($B$26:$GQ$26,MATCH(2,$B$29:$GQ$29,0))</f>
        <v/>
      </c>
      <c r="D12">
        <f>INDEX($B$26:$GQ$26,MATCH(3,$B$29:$GQ$29,0))</f>
        <v/>
      </c>
      <c r="E12">
        <f>INDEX($B$26:$GQ$26,MATCH(4,$B$29:$GQ$29,0))</f>
        <v/>
      </c>
      <c r="F12">
        <f>INDEX($B$26:$GQ$26,MATCH(5,$B$29:$GQ$29,0))</f>
        <v/>
      </c>
      <c r="G12">
        <f>INDEX($B$26:$GQ$26,MATCH(6,$B$29:$GQ$29,0))</f>
        <v/>
      </c>
      <c r="H12">
        <f>INDEX($B$26:$GQ$26,MATCH(7,$B$29:$GQ$29,0))</f>
        <v/>
      </c>
      <c r="I12">
        <f>INDEX($B$26:$GQ$26,MATCH(8,$B$29:$GQ$29,0))</f>
        <v/>
      </c>
      <c r="J12">
        <f>INDEX($B$26:$GQ$26,MATCH(9,$B$29:$GQ$29,0))</f>
        <v/>
      </c>
      <c r="K12">
        <f>INDEX($B$26:$GQ$26,MATCH(10,$B$29:$GQ$29,0))</f>
        <v/>
      </c>
      <c r="L12">
        <f>INDEX($B$26:$GQ$26,MATCH(11,$B$29:$GQ$29,0))</f>
        <v/>
      </c>
      <c r="M12">
        <f>INDEX($B$26:$GQ$26,MATCH(12,$B$29:$GQ$29,0))</f>
        <v/>
      </c>
      <c r="N12">
        <f>INDEX($B$26:$GQ$26,MATCH(13,$B$29:$GQ$29,0))</f>
        <v/>
      </c>
      <c r="O12">
        <f>INDEX($B$26:$GQ$26,MATCH(14,$B$29:$GQ$29,0))</f>
        <v/>
      </c>
      <c r="P12">
        <f>INDEX($B$26:$GQ$26,MATCH(15,$B$29:$GQ$29,0))</f>
        <v/>
      </c>
      <c r="Q12">
        <f>INDEX($B$26:$GQ$26,MATCH(16,$B$29:$GQ$29,0))</f>
        <v/>
      </c>
      <c r="R12">
        <f>INDEX($B$26:$GQ$26,MATCH(17,$B$29:$GQ$29,0))</f>
        <v/>
      </c>
      <c r="S12">
        <f>INDEX($B$26:$GQ$26,MATCH(18,$B$29:$GQ$29,0))</f>
        <v/>
      </c>
      <c r="T12">
        <f>INDEX($B$26:$GQ$26,MATCH(19,$B$29:$GQ$29,0))</f>
        <v/>
      </c>
      <c r="U12">
        <f>INDEX($B$26:$GQ$26,MATCH(20,$B$29:$GQ$29,0))</f>
        <v/>
      </c>
      <c r="V12">
        <f>INDEX($B$26:$GQ$26,MATCH(21,$B$29:$GQ$29,0))</f>
        <v/>
      </c>
      <c r="W12">
        <f>INDEX($B$26:$GQ$26,MATCH(22,$B$29:$GQ$29,0))</f>
        <v/>
      </c>
      <c r="X12">
        <f>INDEX($B$26:$GQ$26,MATCH(23,$B$29:$GQ$29,0))</f>
        <v/>
      </c>
      <c r="Y12">
        <f>INDEX($B$26:$GQ$26,MATCH(24,$B$29:$GQ$29,0))</f>
        <v/>
      </c>
      <c r="Z12">
        <f>INDEX($B$26:$GQ$26,MATCH(25,$B$29:$GQ$29,0))</f>
        <v/>
      </c>
      <c r="AA12">
        <f>INDEX($B$26:$GQ$26,MATCH(26,$B$29:$GQ$29,0))</f>
        <v/>
      </c>
      <c r="AB12">
        <f>INDEX($B$26:$GQ$26,MATCH(27,$B$29:$GQ$29,0))</f>
        <v/>
      </c>
      <c r="AC12">
        <f>INDEX($B$26:$GQ$26,MATCH(28,$B$29:$GQ$29,0))</f>
        <v/>
      </c>
      <c r="AD12">
        <f>INDEX($B$26:$GQ$26,MATCH(29,$B$29:$GQ$29,0))</f>
        <v/>
      </c>
      <c r="AE12">
        <f>INDEX($B$26:$GQ$26,MATCH(30,$B$29:$GQ$29,0))</f>
        <v/>
      </c>
      <c r="AF12">
        <f>INDEX($B$26:$GQ$26,MATCH(31,$B$29:$GQ$29,0))</f>
        <v/>
      </c>
      <c r="AG12">
        <f>INDEX($B$26:$GQ$26,MATCH(32,$B$29:$GQ$29,0))</f>
        <v/>
      </c>
      <c r="AH12">
        <f>INDEX($B$26:$GQ$26,MATCH(33,$B$29:$GQ$29,0))</f>
        <v/>
      </c>
      <c r="AI12">
        <f>INDEX($B$26:$GQ$26,MATCH(34,$B$29:$GQ$29,0))</f>
        <v/>
      </c>
      <c r="AJ12">
        <f>INDEX($B$26:$GQ$26,MATCH(35,$B$29:$GQ$29,0))</f>
        <v/>
      </c>
      <c r="AK12">
        <f>INDEX($B$26:$GQ$26,MATCH(36,$B$29:$GQ$29,0))</f>
        <v/>
      </c>
      <c r="AL12">
        <f>INDEX($B$26:$GQ$26,MATCH(37,$B$29:$GQ$29,0))</f>
        <v/>
      </c>
      <c r="AM12">
        <f>INDEX($B$26:$GQ$26,MATCH(38,$B$29:$GQ$29,0))</f>
        <v/>
      </c>
      <c r="AN12">
        <f>INDEX($B$26:$GQ$26,MATCH(39,$B$29:$GQ$29,0))</f>
        <v/>
      </c>
      <c r="AO12">
        <f>INDEX($B$26:$GQ$26,MATCH(40,$B$29:$GQ$29,0))</f>
        <v/>
      </c>
      <c r="AP12">
        <f>INDEX($B$26:$GQ$26,MATCH(41,$B$29:$GQ$29,0))</f>
        <v/>
      </c>
      <c r="AQ12">
        <f>INDEX($B$26:$GQ$26,MATCH(42,$B$29:$GQ$29,0))</f>
        <v/>
      </c>
      <c r="AR12">
        <f>INDEX($B$26:$GQ$26,MATCH(43,$B$29:$GQ$29,0))</f>
        <v/>
      </c>
      <c r="AS12">
        <f>INDEX($B$26:$GQ$26,MATCH(44,$B$29:$GQ$29,0))</f>
        <v/>
      </c>
      <c r="AT12">
        <f>INDEX($B$26:$GQ$26,MATCH(45,$B$29:$GQ$29,0))</f>
        <v/>
      </c>
      <c r="AU12">
        <f>INDEX($B$26:$GQ$26,MATCH(46,$B$29:$GQ$29,0))</f>
        <v/>
      </c>
      <c r="AV12">
        <f>INDEX($B$26:$GQ$26,MATCH(47,$B$29:$GQ$29,0))</f>
        <v/>
      </c>
      <c r="AW12">
        <f>INDEX($B$26:$GQ$26,MATCH(48,$B$29:$GQ$29,0))</f>
        <v/>
      </c>
      <c r="AX12">
        <f>INDEX($B$26:$GQ$26,MATCH(49,$B$29:$GQ$29,0))</f>
        <v/>
      </c>
      <c r="AY12">
        <f>INDEX($B$26:$GQ$26,MATCH(50,$B$29:$GQ$29,0))</f>
        <v/>
      </c>
      <c r="AZ12">
        <f>INDEX($B$26:$GQ$26,MATCH(51,$B$29:$GQ$29,0))</f>
        <v/>
      </c>
      <c r="BA12">
        <f>INDEX($B$26:$GQ$26,MATCH(52,$B$29:$GQ$29,0))</f>
        <v/>
      </c>
      <c r="BB12">
        <f>INDEX($B$26:$GQ$26,MATCH(53,$B$29:$GQ$29,0))</f>
        <v/>
      </c>
      <c r="BC12">
        <f>INDEX($B$26:$GQ$26,MATCH(54,$B$29:$GQ$29,0))</f>
        <v/>
      </c>
      <c r="BD12">
        <f>INDEX($B$26:$GQ$26,MATCH(55,$B$29:$GQ$29,0))</f>
        <v/>
      </c>
      <c r="BE12">
        <f>INDEX($B$26:$GQ$26,MATCH(56,$B$29:$GQ$29,0))</f>
        <v/>
      </c>
      <c r="BF12">
        <f>INDEX($B$26:$GQ$26,MATCH(57,$B$29:$GQ$29,0))</f>
        <v/>
      </c>
      <c r="BG12">
        <f>INDEX($B$26:$GQ$26,MATCH(58,$B$29:$GQ$29,0))</f>
        <v/>
      </c>
      <c r="BH12">
        <f>INDEX($B$26:$GQ$26,MATCH(59,$B$29:$GQ$29,0))</f>
        <v/>
      </c>
      <c r="BI12">
        <f>INDEX($B$26:$GQ$26,MATCH(60,$B$29:$GQ$29,0))</f>
        <v/>
      </c>
      <c r="BJ12">
        <f>INDEX($B$26:$GQ$26,MATCH(61,$B$29:$GQ$29,0))</f>
        <v/>
      </c>
      <c r="BK12">
        <f>INDEX($B$26:$GQ$26,MATCH(62,$B$29:$GQ$29,0))</f>
        <v/>
      </c>
      <c r="BL12">
        <f>INDEX($B$26:$GQ$26,MATCH(63,$B$29:$GQ$29,0))</f>
        <v/>
      </c>
      <c r="BM12">
        <f>INDEX($B$26:$GQ$26,MATCH(64,$B$29:$GQ$29,0))</f>
        <v/>
      </c>
      <c r="BN12">
        <f>INDEX($B$26:$GQ$26,MATCH(65,$B$29:$GQ$29,0))</f>
        <v/>
      </c>
      <c r="BO12">
        <f>INDEX($B$26:$GQ$26,MATCH(66,$B$29:$GQ$29,0))</f>
        <v/>
      </c>
      <c r="BP12">
        <f>INDEX($B$26:$GQ$26,MATCH(67,$B$29:$GQ$29,0))</f>
        <v/>
      </c>
      <c r="BQ12">
        <f>INDEX($B$26:$GQ$26,MATCH(68,$B$29:$GQ$29,0))</f>
        <v/>
      </c>
      <c r="BR12">
        <f>INDEX($B$26:$GQ$26,MATCH(69,$B$29:$GQ$29,0))</f>
        <v/>
      </c>
      <c r="BS12">
        <f>INDEX($B$26:$GQ$26,MATCH(70,$B$29:$GQ$29,0))</f>
        <v/>
      </c>
      <c r="BT12">
        <f>INDEX($B$26:$GQ$26,MATCH(71,$B$29:$GQ$29,0))</f>
        <v/>
      </c>
      <c r="BU12">
        <f>INDEX($B$26:$GQ$26,MATCH(72,$B$29:$GQ$29,0))</f>
        <v/>
      </c>
      <c r="BV12">
        <f>INDEX($B$26:$GQ$26,MATCH(73,$B$29:$GQ$29,0))</f>
        <v/>
      </c>
      <c r="BW12">
        <f>INDEX($B$26:$GQ$26,MATCH(74,$B$29:$GQ$29,0))</f>
        <v/>
      </c>
      <c r="BX12">
        <f>INDEX($B$26:$GQ$26,MATCH(75,$B$29:$GQ$29,0))</f>
        <v/>
      </c>
      <c r="BY12">
        <f>INDEX($B$26:$GQ$26,MATCH(76,$B$29:$GQ$29,0))</f>
        <v/>
      </c>
      <c r="BZ12">
        <f>INDEX($B$26:$GQ$26,MATCH(77,$B$29:$GQ$29,0))</f>
        <v/>
      </c>
      <c r="CA12">
        <f>INDEX($B$26:$GQ$26,MATCH(78,$B$29:$GQ$29,0))</f>
        <v/>
      </c>
      <c r="CB12">
        <f>INDEX($B$26:$GQ$26,MATCH(79,$B$29:$GQ$29,0))</f>
        <v/>
      </c>
      <c r="CC12">
        <f>INDEX($B$26:$GQ$26,MATCH(80,$B$29:$GQ$29,0))</f>
        <v/>
      </c>
      <c r="CD12">
        <f>INDEX($B$26:$GQ$26,MATCH(81,$B$29:$GQ$29,0))</f>
        <v/>
      </c>
      <c r="CE12">
        <f>INDEX($B$26:$GQ$26,MATCH(82,$B$29:$GQ$29,0))</f>
        <v/>
      </c>
      <c r="CF12">
        <f>INDEX($B$26:$GQ$26,MATCH(83,$B$29:$GQ$29,0))</f>
        <v/>
      </c>
      <c r="CG12">
        <f>INDEX($B$26:$GQ$26,MATCH(84,$B$29:$GQ$29,0))</f>
        <v/>
      </c>
      <c r="CH12">
        <f>INDEX($B$26:$GQ$26,MATCH(85,$B$29:$GQ$29,0))</f>
        <v/>
      </c>
      <c r="CI12">
        <f>INDEX($B$26:$GQ$26,MATCH(86,$B$29:$GQ$29,0))</f>
        <v/>
      </c>
      <c r="CJ12">
        <f>INDEX($B$26:$GQ$26,MATCH(87,$B$29:$GQ$29,0))</f>
        <v/>
      </c>
      <c r="CK12">
        <f>INDEX($B$26:$GQ$26,MATCH(88,$B$29:$GQ$29,0))</f>
        <v/>
      </c>
      <c r="CL12">
        <f>INDEX($B$26:$GQ$26,MATCH(89,$B$29:$GQ$29,0))</f>
        <v/>
      </c>
      <c r="CM12">
        <f>INDEX($B$26:$GQ$26,MATCH(90,$B$29:$GQ$29,0))</f>
        <v/>
      </c>
      <c r="CN12">
        <f>INDEX($B$26:$GQ$26,MATCH(91,$B$29:$GQ$29,0))</f>
        <v/>
      </c>
      <c r="CO12">
        <f>INDEX($B$26:$GQ$26,MATCH(92,$B$29:$GQ$29,0))</f>
        <v/>
      </c>
      <c r="CP12">
        <f>INDEX($B$26:$GQ$26,MATCH(93,$B$29:$GQ$29,0))</f>
        <v/>
      </c>
      <c r="CQ12">
        <f>INDEX($B$26:$GQ$26,MATCH(94,$B$29:$GQ$29,0))</f>
        <v/>
      </c>
      <c r="CR12">
        <f>INDEX($B$26:$GQ$26,MATCH(95,$B$29:$GQ$29,0))</f>
        <v/>
      </c>
      <c r="CS12">
        <f>INDEX($B$26:$GQ$26,MATCH(96,$B$29:$GQ$29,0))</f>
        <v/>
      </c>
      <c r="CT12">
        <f>INDEX($B$26:$GQ$26,MATCH(97,$B$29:$GQ$29,0))</f>
        <v/>
      </c>
      <c r="CU12">
        <f>INDEX($B$26:$GQ$26,MATCH(98,$B$29:$GQ$29,0))</f>
        <v/>
      </c>
      <c r="CV12">
        <f>INDEX($B$26:$GQ$26,MATCH(99,$B$29:$GQ$29,0))</f>
        <v/>
      </c>
      <c r="CW12">
        <f>INDEX($B$26:$GQ$26,MATCH(100,$B$29:$GQ$29,0))</f>
        <v/>
      </c>
      <c r="CX12">
        <f>INDEX($B$26:$GQ$26,MATCH(101,$B$29:$GQ$29,0))</f>
        <v/>
      </c>
      <c r="CY12">
        <f>INDEX($B$26:$GQ$26,MATCH(102,$B$29:$GQ$29,0))</f>
        <v/>
      </c>
      <c r="CZ12">
        <f>INDEX($B$26:$GQ$26,MATCH(103,$B$29:$GQ$29,0))</f>
        <v/>
      </c>
      <c r="DA12">
        <f>INDEX($B$26:$GQ$26,MATCH(104,$B$29:$GQ$29,0))</f>
        <v/>
      </c>
      <c r="DB12">
        <f>INDEX($B$26:$GQ$26,MATCH(105,$B$29:$GQ$29,0))</f>
        <v/>
      </c>
      <c r="DC12">
        <f>INDEX($B$26:$GQ$26,MATCH(106,$B$29:$GQ$29,0))</f>
        <v/>
      </c>
      <c r="DD12">
        <f>INDEX($B$26:$GQ$26,MATCH(107,$B$29:$GQ$29,0))</f>
        <v/>
      </c>
      <c r="DE12">
        <f>INDEX($B$26:$GQ$26,MATCH(108,$B$29:$GQ$29,0))</f>
        <v/>
      </c>
      <c r="DF12">
        <f>INDEX($B$26:$GQ$26,MATCH(109,$B$29:$GQ$29,0))</f>
        <v/>
      </c>
      <c r="DG12">
        <f>INDEX($B$26:$GQ$26,MATCH(110,$B$29:$GQ$29,0))</f>
        <v/>
      </c>
      <c r="DH12">
        <f>INDEX($B$26:$GQ$26,MATCH(111,$B$29:$GQ$29,0))</f>
        <v/>
      </c>
      <c r="DI12">
        <f>INDEX($B$26:$GQ$26,MATCH(112,$B$29:$GQ$29,0))</f>
        <v/>
      </c>
      <c r="DJ12">
        <f>INDEX($B$26:$GQ$26,MATCH(113,$B$29:$GQ$29,0))</f>
        <v/>
      </c>
      <c r="DK12">
        <f>INDEX($B$26:$GQ$26,MATCH(114,$B$29:$GQ$29,0))</f>
        <v/>
      </c>
      <c r="DL12">
        <f>INDEX($B$26:$GQ$26,MATCH(115,$B$29:$GQ$29,0))</f>
        <v/>
      </c>
      <c r="DM12">
        <f>INDEX($B$26:$GQ$26,MATCH(116,$B$29:$GQ$29,0))</f>
        <v/>
      </c>
      <c r="DN12">
        <f>INDEX($B$26:$GQ$26,MATCH(117,$B$29:$GQ$29,0))</f>
        <v/>
      </c>
      <c r="DO12">
        <f>INDEX($B$26:$GQ$26,MATCH(118,$B$29:$GQ$29,0))</f>
        <v/>
      </c>
      <c r="DP12">
        <f>INDEX($B$26:$GQ$26,MATCH(119,$B$29:$GQ$29,0))</f>
        <v/>
      </c>
      <c r="DQ12">
        <f>INDEX($B$26:$GQ$26,MATCH(120,$B$29:$GQ$29,0))</f>
        <v/>
      </c>
      <c r="DR12">
        <f>INDEX($B$26:$GQ$26,MATCH(121,$B$29:$GQ$29,0))</f>
        <v/>
      </c>
      <c r="DS12">
        <f>INDEX($B$26:$GQ$26,MATCH(122,$B$29:$GQ$29,0))</f>
        <v/>
      </c>
      <c r="DT12">
        <f>INDEX($B$26:$GQ$26,MATCH(123,$B$29:$GQ$29,0))</f>
        <v/>
      </c>
      <c r="DU12">
        <f>INDEX($B$26:$GQ$26,MATCH(124,$B$29:$GQ$29,0))</f>
        <v/>
      </c>
      <c r="DV12">
        <f>INDEX($B$26:$GQ$26,MATCH(125,$B$29:$GQ$29,0))</f>
        <v/>
      </c>
      <c r="DW12">
        <f>INDEX($B$26:$GQ$26,MATCH(126,$B$29:$GQ$29,0))</f>
        <v/>
      </c>
      <c r="DX12">
        <f>INDEX($B$26:$GQ$26,MATCH(127,$B$29:$GQ$29,0))</f>
        <v/>
      </c>
      <c r="DY12">
        <f>INDEX($B$26:$GQ$26,MATCH(128,$B$29:$GQ$29,0))</f>
        <v/>
      </c>
      <c r="DZ12">
        <f>INDEX($B$26:$GQ$26,MATCH(129,$B$29:$GQ$29,0))</f>
        <v/>
      </c>
      <c r="EA12">
        <f>INDEX($B$26:$GQ$26,MATCH(130,$B$29:$GQ$29,0))</f>
        <v/>
      </c>
      <c r="EB12">
        <f>INDEX($B$26:$GQ$26,MATCH(131,$B$29:$GQ$29,0))</f>
        <v/>
      </c>
      <c r="EC12">
        <f>INDEX($B$26:$GQ$26,MATCH(132,$B$29:$GQ$29,0))</f>
        <v/>
      </c>
      <c r="ED12">
        <f>INDEX($B$26:$GQ$26,MATCH(133,$B$29:$GQ$29,0))</f>
        <v/>
      </c>
      <c r="EE12">
        <f>INDEX($B$26:$GQ$26,MATCH(134,$B$29:$GQ$29,0))</f>
        <v/>
      </c>
      <c r="EF12">
        <f>INDEX($B$26:$GQ$26,MATCH(135,$B$29:$GQ$29,0))</f>
        <v/>
      </c>
      <c r="EG12">
        <f>INDEX($B$26:$GQ$26,MATCH(136,$B$29:$GQ$29,0))</f>
        <v/>
      </c>
      <c r="EH12">
        <f>INDEX($B$26:$GQ$26,MATCH(137,$B$29:$GQ$29,0))</f>
        <v/>
      </c>
      <c r="EI12">
        <f>INDEX($B$26:$GQ$26,MATCH(138,$B$29:$GQ$29,0))</f>
        <v/>
      </c>
      <c r="EJ12">
        <f>INDEX($B$26:$GQ$26,MATCH(139,$B$29:$GQ$29,0))</f>
        <v/>
      </c>
      <c r="EK12">
        <f>INDEX($B$26:$GQ$26,MATCH(140,$B$29:$GQ$29,0))</f>
        <v/>
      </c>
      <c r="EL12">
        <f>INDEX($B$26:$GQ$26,MATCH(141,$B$29:$GQ$29,0))</f>
        <v/>
      </c>
      <c r="EM12">
        <f>INDEX($B$26:$GQ$26,MATCH(142,$B$29:$GQ$29,0))</f>
        <v/>
      </c>
      <c r="EN12">
        <f>INDEX($B$26:$GQ$26,MATCH(143,$B$29:$GQ$29,0))</f>
        <v/>
      </c>
      <c r="EO12">
        <f>INDEX($B$26:$GQ$26,MATCH(144,$B$29:$GQ$29,0))</f>
        <v/>
      </c>
      <c r="EP12">
        <f>INDEX($B$26:$GQ$26,MATCH(145,$B$29:$GQ$29,0))</f>
        <v/>
      </c>
      <c r="EQ12">
        <f>INDEX($B$26:$GQ$26,MATCH(146,$B$29:$GQ$29,0))</f>
        <v/>
      </c>
      <c r="ER12">
        <f>INDEX($B$26:$GQ$26,MATCH(147,$B$29:$GQ$29,0))</f>
        <v/>
      </c>
      <c r="ES12">
        <f>INDEX($B$26:$GQ$26,MATCH(148,$B$29:$GQ$29,0))</f>
        <v/>
      </c>
      <c r="ET12">
        <f>INDEX($B$26:$GQ$26,MATCH(149,$B$29:$GQ$29,0))</f>
        <v/>
      </c>
      <c r="EU12">
        <f>INDEX($B$26:$GQ$26,MATCH(150,$B$29:$GQ$29,0))</f>
        <v/>
      </c>
      <c r="EV12">
        <f>INDEX($B$26:$GQ$26,MATCH(151,$B$29:$GQ$29,0))</f>
        <v/>
      </c>
      <c r="EW12">
        <f>INDEX($B$26:$GQ$26,MATCH(152,$B$29:$GQ$29,0))</f>
        <v/>
      </c>
      <c r="EX12">
        <f>INDEX($B$26:$GQ$26,MATCH(153,$B$29:$GQ$29,0))</f>
        <v/>
      </c>
      <c r="EY12">
        <f>INDEX($B$26:$GQ$26,MATCH(154,$B$29:$GQ$29,0))</f>
        <v/>
      </c>
      <c r="EZ12">
        <f>INDEX($B$26:$GQ$26,MATCH(155,$B$29:$GQ$29,0))</f>
        <v/>
      </c>
      <c r="FA12">
        <f>INDEX($B$26:$GQ$26,MATCH(156,$B$29:$GQ$29,0))</f>
        <v/>
      </c>
      <c r="FB12">
        <f>INDEX($B$26:$GQ$26,MATCH(157,$B$29:$GQ$29,0))</f>
        <v/>
      </c>
      <c r="FC12">
        <f>INDEX($B$26:$GQ$26,MATCH(158,$B$29:$GQ$29,0))</f>
        <v/>
      </c>
      <c r="FD12">
        <f>INDEX($B$26:$GQ$26,MATCH(159,$B$29:$GQ$29,0))</f>
        <v/>
      </c>
      <c r="FE12">
        <f>INDEX($B$26:$GQ$26,MATCH(160,$B$29:$GQ$29,0))</f>
        <v/>
      </c>
      <c r="FF12">
        <f>INDEX($B$26:$GQ$26,MATCH(161,$B$29:$GQ$29,0))</f>
        <v/>
      </c>
      <c r="FG12">
        <f>INDEX($B$26:$GQ$26,MATCH(162,$B$29:$GQ$29,0))</f>
        <v/>
      </c>
      <c r="FH12">
        <f>INDEX($B$26:$GQ$26,MATCH(163,$B$29:$GQ$29,0))</f>
        <v/>
      </c>
      <c r="FI12">
        <f>INDEX($B$26:$GQ$26,MATCH(164,$B$29:$GQ$29,0))</f>
        <v/>
      </c>
      <c r="FJ12">
        <f>INDEX($B$26:$GQ$26,MATCH(165,$B$29:$GQ$29,0))</f>
        <v/>
      </c>
      <c r="FK12">
        <f>INDEX($B$26:$GQ$26,MATCH(166,$B$29:$GQ$29,0))</f>
        <v/>
      </c>
      <c r="FL12">
        <f>INDEX($B$26:$GQ$26,MATCH(167,$B$29:$GQ$29,0))</f>
        <v/>
      </c>
      <c r="FM12">
        <f>INDEX($B$26:$GQ$26,MATCH(168,$B$29:$GQ$29,0))</f>
        <v/>
      </c>
      <c r="FN12">
        <f>INDEX($B$26:$GQ$26,MATCH(169,$B$29:$GQ$29,0))</f>
        <v/>
      </c>
      <c r="FO12">
        <f>INDEX($B$26:$GQ$26,MATCH(170,$B$29:$GQ$29,0))</f>
        <v/>
      </c>
      <c r="FP12">
        <f>INDEX($B$26:$GQ$26,MATCH(171,$B$29:$GQ$29,0))</f>
        <v/>
      </c>
      <c r="FQ12">
        <f>INDEX($B$26:$GQ$26,MATCH(172,$B$29:$GQ$29,0))</f>
        <v/>
      </c>
      <c r="FR12">
        <f>INDEX($B$26:$GQ$26,MATCH(173,$B$29:$GQ$29,0))</f>
        <v/>
      </c>
      <c r="FS12">
        <f>INDEX($B$26:$GQ$26,MATCH(174,$B$29:$GQ$29,0))</f>
        <v/>
      </c>
      <c r="FT12">
        <f>INDEX($B$26:$GQ$26,MATCH(175,$B$29:$GQ$29,0))</f>
        <v/>
      </c>
      <c r="FU12">
        <f>INDEX($B$26:$GQ$26,MATCH(176,$B$29:$GQ$29,0))</f>
        <v/>
      </c>
      <c r="FV12">
        <f>INDEX($B$26:$GQ$26,MATCH(177,$B$29:$GQ$29,0))</f>
        <v/>
      </c>
      <c r="FW12">
        <f>INDEX($B$26:$GQ$26,MATCH(178,$B$29:$GQ$29,0))</f>
        <v/>
      </c>
      <c r="FX12">
        <f>INDEX($B$26:$GQ$26,MATCH(179,$B$29:$GQ$29,0))</f>
        <v/>
      </c>
      <c r="FY12">
        <f>INDEX($B$26:$GQ$26,MATCH(180,$B$29:$GQ$29,0))</f>
        <v/>
      </c>
      <c r="FZ12">
        <f>INDEX($B$26:$GQ$26,MATCH(181,$B$29:$GQ$29,0))</f>
        <v/>
      </c>
      <c r="GA12">
        <f>INDEX($B$26:$GQ$26,MATCH(182,$B$29:$GQ$29,0))</f>
        <v/>
      </c>
      <c r="GB12">
        <f>INDEX($B$26:$GQ$26,MATCH(183,$B$29:$GQ$29,0))</f>
        <v/>
      </c>
      <c r="GC12">
        <f>INDEX($B$26:$GQ$26,MATCH(184,$B$29:$GQ$29,0))</f>
        <v/>
      </c>
      <c r="GD12">
        <f>INDEX($B$26:$GQ$26,MATCH(185,$B$29:$GQ$29,0))</f>
        <v/>
      </c>
      <c r="GE12">
        <f>INDEX($B$26:$GQ$26,MATCH(186,$B$29:$GQ$29,0))</f>
        <v/>
      </c>
      <c r="GF12">
        <f>INDEX($B$26:$GQ$26,MATCH(187,$B$29:$GQ$29,0))</f>
        <v/>
      </c>
      <c r="GG12">
        <f>INDEX($B$26:$GQ$26,MATCH(188,$B$29:$GQ$29,0))</f>
        <v/>
      </c>
      <c r="GH12">
        <f>INDEX($B$26:$GQ$26,MATCH(189,$B$29:$GQ$29,0))</f>
        <v/>
      </c>
      <c r="GI12">
        <f>INDEX($B$26:$GQ$26,MATCH(190,$B$29:$GQ$29,0))</f>
        <v/>
      </c>
      <c r="GJ12">
        <f>INDEX($B$26:$GQ$26,MATCH(191,$B$29:$GQ$29,0))</f>
        <v/>
      </c>
      <c r="GK12">
        <f>INDEX($B$26:$GQ$26,MATCH(192,$B$29:$GQ$29,0))</f>
        <v/>
      </c>
      <c r="GL12">
        <f>INDEX($B$26:$GQ$26,MATCH(193,$B$29:$GQ$29,0))</f>
        <v/>
      </c>
      <c r="GM12">
        <f>INDEX($B$26:$GQ$26,MATCH(194,$B$29:$GQ$29,0))</f>
        <v/>
      </c>
      <c r="GN12">
        <f>INDEX($B$26:$GQ$26,MATCH(195,$B$29:$GQ$29,0))</f>
        <v/>
      </c>
      <c r="GO12">
        <f>INDEX($B$26:$GQ$26,MATCH(196,$B$29:$GQ$29,0))</f>
        <v/>
      </c>
      <c r="GP12">
        <f>INDEX($B$26:$GQ$26,MATCH(197,$B$29:$GQ$29,0))</f>
        <v/>
      </c>
      <c r="GQ12">
        <f>INDEX($B$26:$GQ$26,MATCH(198,$B$29:$GQ$29,0))</f>
        <v/>
      </c>
      <c r="GR12">
        <f>INDEX($GR$26:$HC$26,MATCH(1,$GR$30:$HC$30,0))</f>
        <v/>
      </c>
      <c r="GS12">
        <f>INDEX($GR$26:$HC$26,MATCH(2,$GR$30:$HC$30,0))</f>
        <v/>
      </c>
      <c r="GT12">
        <f>INDEX($GR$26:$HC$26,MATCH(3,$GR$30:$HC$30,0))</f>
        <v/>
      </c>
      <c r="GU12">
        <f>INDEX($GR$26:$HC$26,MATCH(4,$GR$30:$HC$30,0))</f>
        <v/>
      </c>
      <c r="GV12">
        <f>INDEX($GR$26:$HC$26,MATCH(5,$GR$30:$HC$30,0))</f>
        <v/>
      </c>
      <c r="GW12">
        <f>INDEX($GR$26:$HC$26,MATCH(6,$GR$30:$HC$30,0))</f>
        <v/>
      </c>
      <c r="GX12">
        <f>INDEX($GR$26:$HC$26,MATCH(7,$GR$30:$HC$30,0))</f>
        <v/>
      </c>
      <c r="GY12">
        <f>INDEX($GR$26:$HC$26,MATCH(8,$GR$30:$HC$30,0))</f>
        <v/>
      </c>
      <c r="GZ12">
        <f>INDEX($GR$26:$HC$26,MATCH(9,$GR$30:$HC$30,0))</f>
        <v/>
      </c>
      <c r="HA12">
        <f>INDEX($GR$26:$HC$26,MATCH(10,$GR$30:$HC$30,0))</f>
        <v/>
      </c>
      <c r="HB12">
        <f>INDEX($GR$26:$HC$26,MATCH(11,$GR$30:$HC$30,0))</f>
        <v/>
      </c>
      <c r="HC12">
        <f>INDEX($GR$26:$HC$26,MATCH(12,$GR$30:$HC$30,0))</f>
        <v/>
      </c>
    </row>
    <row r="13">
      <c r="A13" s="1" t="inlineStr">
        <is>
          <t>M_imp*Y_dom+M_dom*Y_dom+M_row*Y_imp</t>
        </is>
      </c>
      <c r="B13">
        <f>INDEX($B$27:$GQ$27,MATCH(1,$B$29:$GQ$29,0))</f>
        <v/>
      </c>
      <c r="C13">
        <f>INDEX($B$27:$GQ$27,MATCH(2,$B$29:$GQ$29,0))</f>
        <v/>
      </c>
      <c r="D13">
        <f>INDEX($B$27:$GQ$27,MATCH(3,$B$29:$GQ$29,0))</f>
        <v/>
      </c>
      <c r="E13">
        <f>INDEX($B$27:$GQ$27,MATCH(4,$B$29:$GQ$29,0))</f>
        <v/>
      </c>
      <c r="F13">
        <f>INDEX($B$27:$GQ$27,MATCH(5,$B$29:$GQ$29,0))</f>
        <v/>
      </c>
      <c r="G13">
        <f>INDEX($B$27:$GQ$27,MATCH(6,$B$29:$GQ$29,0))</f>
        <v/>
      </c>
      <c r="H13">
        <f>INDEX($B$27:$GQ$27,MATCH(7,$B$29:$GQ$29,0))</f>
        <v/>
      </c>
      <c r="I13">
        <f>INDEX($B$27:$GQ$27,MATCH(8,$B$29:$GQ$29,0))</f>
        <v/>
      </c>
      <c r="J13">
        <f>INDEX($B$27:$GQ$27,MATCH(9,$B$29:$GQ$29,0))</f>
        <v/>
      </c>
      <c r="K13">
        <f>INDEX($B$27:$GQ$27,MATCH(10,$B$29:$GQ$29,0))</f>
        <v/>
      </c>
      <c r="L13">
        <f>INDEX($B$27:$GQ$27,MATCH(11,$B$29:$GQ$29,0))</f>
        <v/>
      </c>
      <c r="M13">
        <f>INDEX($B$27:$GQ$27,MATCH(12,$B$29:$GQ$29,0))</f>
        <v/>
      </c>
      <c r="N13">
        <f>INDEX($B$27:$GQ$27,MATCH(13,$B$29:$GQ$29,0))</f>
        <v/>
      </c>
      <c r="O13">
        <f>INDEX($B$27:$GQ$27,MATCH(14,$B$29:$GQ$29,0))</f>
        <v/>
      </c>
      <c r="P13">
        <f>INDEX($B$27:$GQ$27,MATCH(15,$B$29:$GQ$29,0))</f>
        <v/>
      </c>
      <c r="Q13">
        <f>INDEX($B$27:$GQ$27,MATCH(16,$B$29:$GQ$29,0))</f>
        <v/>
      </c>
      <c r="R13">
        <f>INDEX($B$27:$GQ$27,MATCH(17,$B$29:$GQ$29,0))</f>
        <v/>
      </c>
      <c r="S13">
        <f>INDEX($B$27:$GQ$27,MATCH(18,$B$29:$GQ$29,0))</f>
        <v/>
      </c>
      <c r="T13">
        <f>INDEX($B$27:$GQ$27,MATCH(19,$B$29:$GQ$29,0))</f>
        <v/>
      </c>
      <c r="U13">
        <f>INDEX($B$27:$GQ$27,MATCH(20,$B$29:$GQ$29,0))</f>
        <v/>
      </c>
      <c r="V13">
        <f>INDEX($B$27:$GQ$27,MATCH(21,$B$29:$GQ$29,0))</f>
        <v/>
      </c>
      <c r="W13">
        <f>INDEX($B$27:$GQ$27,MATCH(22,$B$29:$GQ$29,0))</f>
        <v/>
      </c>
      <c r="X13">
        <f>INDEX($B$27:$GQ$27,MATCH(23,$B$29:$GQ$29,0))</f>
        <v/>
      </c>
      <c r="Y13">
        <f>INDEX($B$27:$GQ$27,MATCH(24,$B$29:$GQ$29,0))</f>
        <v/>
      </c>
      <c r="Z13">
        <f>INDEX($B$27:$GQ$27,MATCH(25,$B$29:$GQ$29,0))</f>
        <v/>
      </c>
      <c r="AA13">
        <f>INDEX($B$27:$GQ$27,MATCH(26,$B$29:$GQ$29,0))</f>
        <v/>
      </c>
      <c r="AB13">
        <f>INDEX($B$27:$GQ$27,MATCH(27,$B$29:$GQ$29,0))</f>
        <v/>
      </c>
      <c r="AC13">
        <f>INDEX($B$27:$GQ$27,MATCH(28,$B$29:$GQ$29,0))</f>
        <v/>
      </c>
      <c r="AD13">
        <f>INDEX($B$27:$GQ$27,MATCH(29,$B$29:$GQ$29,0))</f>
        <v/>
      </c>
      <c r="AE13">
        <f>INDEX($B$27:$GQ$27,MATCH(30,$B$29:$GQ$29,0))</f>
        <v/>
      </c>
      <c r="AF13">
        <f>INDEX($B$27:$GQ$27,MATCH(31,$B$29:$GQ$29,0))</f>
        <v/>
      </c>
      <c r="AG13">
        <f>INDEX($B$27:$GQ$27,MATCH(32,$B$29:$GQ$29,0))</f>
        <v/>
      </c>
      <c r="AH13">
        <f>INDEX($B$27:$GQ$27,MATCH(33,$B$29:$GQ$29,0))</f>
        <v/>
      </c>
      <c r="AI13">
        <f>INDEX($B$27:$GQ$27,MATCH(34,$B$29:$GQ$29,0))</f>
        <v/>
      </c>
      <c r="AJ13">
        <f>INDEX($B$27:$GQ$27,MATCH(35,$B$29:$GQ$29,0))</f>
        <v/>
      </c>
      <c r="AK13">
        <f>INDEX($B$27:$GQ$27,MATCH(36,$B$29:$GQ$29,0))</f>
        <v/>
      </c>
      <c r="AL13">
        <f>INDEX($B$27:$GQ$27,MATCH(37,$B$29:$GQ$29,0))</f>
        <v/>
      </c>
      <c r="AM13">
        <f>INDEX($B$27:$GQ$27,MATCH(38,$B$29:$GQ$29,0))</f>
        <v/>
      </c>
      <c r="AN13">
        <f>INDEX($B$27:$GQ$27,MATCH(39,$B$29:$GQ$29,0))</f>
        <v/>
      </c>
      <c r="AO13">
        <f>INDEX($B$27:$GQ$27,MATCH(40,$B$29:$GQ$29,0))</f>
        <v/>
      </c>
      <c r="AP13">
        <f>INDEX($B$27:$GQ$27,MATCH(41,$B$29:$GQ$29,0))</f>
        <v/>
      </c>
      <c r="AQ13">
        <f>INDEX($B$27:$GQ$27,MATCH(42,$B$29:$GQ$29,0))</f>
        <v/>
      </c>
      <c r="AR13">
        <f>INDEX($B$27:$GQ$27,MATCH(43,$B$29:$GQ$29,0))</f>
        <v/>
      </c>
      <c r="AS13">
        <f>INDEX($B$27:$GQ$27,MATCH(44,$B$29:$GQ$29,0))</f>
        <v/>
      </c>
      <c r="AT13">
        <f>INDEX($B$27:$GQ$27,MATCH(45,$B$29:$GQ$29,0))</f>
        <v/>
      </c>
      <c r="AU13">
        <f>INDEX($B$27:$GQ$27,MATCH(46,$B$29:$GQ$29,0))</f>
        <v/>
      </c>
      <c r="AV13">
        <f>INDEX($B$27:$GQ$27,MATCH(47,$B$29:$GQ$29,0))</f>
        <v/>
      </c>
      <c r="AW13">
        <f>INDEX($B$27:$GQ$27,MATCH(48,$B$29:$GQ$29,0))</f>
        <v/>
      </c>
      <c r="AX13">
        <f>INDEX($B$27:$GQ$27,MATCH(49,$B$29:$GQ$29,0))</f>
        <v/>
      </c>
      <c r="AY13">
        <f>INDEX($B$27:$GQ$27,MATCH(50,$B$29:$GQ$29,0))</f>
        <v/>
      </c>
      <c r="AZ13">
        <f>INDEX($B$27:$GQ$27,MATCH(51,$B$29:$GQ$29,0))</f>
        <v/>
      </c>
      <c r="BA13">
        <f>INDEX($B$27:$GQ$27,MATCH(52,$B$29:$GQ$29,0))</f>
        <v/>
      </c>
      <c r="BB13">
        <f>INDEX($B$27:$GQ$27,MATCH(53,$B$29:$GQ$29,0))</f>
        <v/>
      </c>
      <c r="BC13">
        <f>INDEX($B$27:$GQ$27,MATCH(54,$B$29:$GQ$29,0))</f>
        <v/>
      </c>
      <c r="BD13">
        <f>INDEX($B$27:$GQ$27,MATCH(55,$B$29:$GQ$29,0))</f>
        <v/>
      </c>
      <c r="BE13">
        <f>INDEX($B$27:$GQ$27,MATCH(56,$B$29:$GQ$29,0))</f>
        <v/>
      </c>
      <c r="BF13">
        <f>INDEX($B$27:$GQ$27,MATCH(57,$B$29:$GQ$29,0))</f>
        <v/>
      </c>
      <c r="BG13">
        <f>INDEX($B$27:$GQ$27,MATCH(58,$B$29:$GQ$29,0))</f>
        <v/>
      </c>
      <c r="BH13">
        <f>INDEX($B$27:$GQ$27,MATCH(59,$B$29:$GQ$29,0))</f>
        <v/>
      </c>
      <c r="BI13">
        <f>INDEX($B$27:$GQ$27,MATCH(60,$B$29:$GQ$29,0))</f>
        <v/>
      </c>
      <c r="BJ13">
        <f>INDEX($B$27:$GQ$27,MATCH(61,$B$29:$GQ$29,0))</f>
        <v/>
      </c>
      <c r="BK13">
        <f>INDEX($B$27:$GQ$27,MATCH(62,$B$29:$GQ$29,0))</f>
        <v/>
      </c>
      <c r="BL13">
        <f>INDEX($B$27:$GQ$27,MATCH(63,$B$29:$GQ$29,0))</f>
        <v/>
      </c>
      <c r="BM13">
        <f>INDEX($B$27:$GQ$27,MATCH(64,$B$29:$GQ$29,0))</f>
        <v/>
      </c>
      <c r="BN13">
        <f>INDEX($B$27:$GQ$27,MATCH(65,$B$29:$GQ$29,0))</f>
        <v/>
      </c>
      <c r="BO13">
        <f>INDEX($B$27:$GQ$27,MATCH(66,$B$29:$GQ$29,0))</f>
        <v/>
      </c>
      <c r="BP13">
        <f>INDEX($B$27:$GQ$27,MATCH(67,$B$29:$GQ$29,0))</f>
        <v/>
      </c>
      <c r="BQ13">
        <f>INDEX($B$27:$GQ$27,MATCH(68,$B$29:$GQ$29,0))</f>
        <v/>
      </c>
      <c r="BR13">
        <f>INDEX($B$27:$GQ$27,MATCH(69,$B$29:$GQ$29,0))</f>
        <v/>
      </c>
      <c r="BS13">
        <f>INDEX($B$27:$GQ$27,MATCH(70,$B$29:$GQ$29,0))</f>
        <v/>
      </c>
      <c r="BT13">
        <f>INDEX($B$27:$GQ$27,MATCH(71,$B$29:$GQ$29,0))</f>
        <v/>
      </c>
      <c r="BU13">
        <f>INDEX($B$27:$GQ$27,MATCH(72,$B$29:$GQ$29,0))</f>
        <v/>
      </c>
      <c r="BV13">
        <f>INDEX($B$27:$GQ$27,MATCH(73,$B$29:$GQ$29,0))</f>
        <v/>
      </c>
      <c r="BW13">
        <f>INDEX($B$27:$GQ$27,MATCH(74,$B$29:$GQ$29,0))</f>
        <v/>
      </c>
      <c r="BX13">
        <f>INDEX($B$27:$GQ$27,MATCH(75,$B$29:$GQ$29,0))</f>
        <v/>
      </c>
      <c r="BY13">
        <f>INDEX($B$27:$GQ$27,MATCH(76,$B$29:$GQ$29,0))</f>
        <v/>
      </c>
      <c r="BZ13">
        <f>INDEX($B$27:$GQ$27,MATCH(77,$B$29:$GQ$29,0))</f>
        <v/>
      </c>
      <c r="CA13">
        <f>INDEX($B$27:$GQ$27,MATCH(78,$B$29:$GQ$29,0))</f>
        <v/>
      </c>
      <c r="CB13">
        <f>INDEX($B$27:$GQ$27,MATCH(79,$B$29:$GQ$29,0))</f>
        <v/>
      </c>
      <c r="CC13">
        <f>INDEX($B$27:$GQ$27,MATCH(80,$B$29:$GQ$29,0))</f>
        <v/>
      </c>
      <c r="CD13">
        <f>INDEX($B$27:$GQ$27,MATCH(81,$B$29:$GQ$29,0))</f>
        <v/>
      </c>
      <c r="CE13">
        <f>INDEX($B$27:$GQ$27,MATCH(82,$B$29:$GQ$29,0))</f>
        <v/>
      </c>
      <c r="CF13">
        <f>INDEX($B$27:$GQ$27,MATCH(83,$B$29:$GQ$29,0))</f>
        <v/>
      </c>
      <c r="CG13">
        <f>INDEX($B$27:$GQ$27,MATCH(84,$B$29:$GQ$29,0))</f>
        <v/>
      </c>
      <c r="CH13">
        <f>INDEX($B$27:$GQ$27,MATCH(85,$B$29:$GQ$29,0))</f>
        <v/>
      </c>
      <c r="CI13">
        <f>INDEX($B$27:$GQ$27,MATCH(86,$B$29:$GQ$29,0))</f>
        <v/>
      </c>
      <c r="CJ13">
        <f>INDEX($B$27:$GQ$27,MATCH(87,$B$29:$GQ$29,0))</f>
        <v/>
      </c>
      <c r="CK13">
        <f>INDEX($B$27:$GQ$27,MATCH(88,$B$29:$GQ$29,0))</f>
        <v/>
      </c>
      <c r="CL13">
        <f>INDEX($B$27:$GQ$27,MATCH(89,$B$29:$GQ$29,0))</f>
        <v/>
      </c>
      <c r="CM13">
        <f>INDEX($B$27:$GQ$27,MATCH(90,$B$29:$GQ$29,0))</f>
        <v/>
      </c>
      <c r="CN13">
        <f>INDEX($B$27:$GQ$27,MATCH(91,$B$29:$GQ$29,0))</f>
        <v/>
      </c>
      <c r="CO13">
        <f>INDEX($B$27:$GQ$27,MATCH(92,$B$29:$GQ$29,0))</f>
        <v/>
      </c>
      <c r="CP13">
        <f>INDEX($B$27:$GQ$27,MATCH(93,$B$29:$GQ$29,0))</f>
        <v/>
      </c>
      <c r="CQ13">
        <f>INDEX($B$27:$GQ$27,MATCH(94,$B$29:$GQ$29,0))</f>
        <v/>
      </c>
      <c r="CR13">
        <f>INDEX($B$27:$GQ$27,MATCH(95,$B$29:$GQ$29,0))</f>
        <v/>
      </c>
      <c r="CS13">
        <f>INDEX($B$27:$GQ$27,MATCH(96,$B$29:$GQ$29,0))</f>
        <v/>
      </c>
      <c r="CT13">
        <f>INDEX($B$27:$GQ$27,MATCH(97,$B$29:$GQ$29,0))</f>
        <v/>
      </c>
      <c r="CU13">
        <f>INDEX($B$27:$GQ$27,MATCH(98,$B$29:$GQ$29,0))</f>
        <v/>
      </c>
      <c r="CV13">
        <f>INDEX($B$27:$GQ$27,MATCH(99,$B$29:$GQ$29,0))</f>
        <v/>
      </c>
      <c r="CW13">
        <f>INDEX($B$27:$GQ$27,MATCH(100,$B$29:$GQ$29,0))</f>
        <v/>
      </c>
      <c r="CX13">
        <f>INDEX($B$27:$GQ$27,MATCH(101,$B$29:$GQ$29,0))</f>
        <v/>
      </c>
      <c r="CY13">
        <f>INDEX($B$27:$GQ$27,MATCH(102,$B$29:$GQ$29,0))</f>
        <v/>
      </c>
      <c r="CZ13">
        <f>INDEX($B$27:$GQ$27,MATCH(103,$B$29:$GQ$29,0))</f>
        <v/>
      </c>
      <c r="DA13">
        <f>INDEX($B$27:$GQ$27,MATCH(104,$B$29:$GQ$29,0))</f>
        <v/>
      </c>
      <c r="DB13">
        <f>INDEX($B$27:$GQ$27,MATCH(105,$B$29:$GQ$29,0))</f>
        <v/>
      </c>
      <c r="DC13">
        <f>INDEX($B$27:$GQ$27,MATCH(106,$B$29:$GQ$29,0))</f>
        <v/>
      </c>
      <c r="DD13">
        <f>INDEX($B$27:$GQ$27,MATCH(107,$B$29:$GQ$29,0))</f>
        <v/>
      </c>
      <c r="DE13">
        <f>INDEX($B$27:$GQ$27,MATCH(108,$B$29:$GQ$29,0))</f>
        <v/>
      </c>
      <c r="DF13">
        <f>INDEX($B$27:$GQ$27,MATCH(109,$B$29:$GQ$29,0))</f>
        <v/>
      </c>
      <c r="DG13">
        <f>INDEX($B$27:$GQ$27,MATCH(110,$B$29:$GQ$29,0))</f>
        <v/>
      </c>
      <c r="DH13">
        <f>INDEX($B$27:$GQ$27,MATCH(111,$B$29:$GQ$29,0))</f>
        <v/>
      </c>
      <c r="DI13">
        <f>INDEX($B$27:$GQ$27,MATCH(112,$B$29:$GQ$29,0))</f>
        <v/>
      </c>
      <c r="DJ13">
        <f>INDEX($B$27:$GQ$27,MATCH(113,$B$29:$GQ$29,0))</f>
        <v/>
      </c>
      <c r="DK13">
        <f>INDEX($B$27:$GQ$27,MATCH(114,$B$29:$GQ$29,0))</f>
        <v/>
      </c>
      <c r="DL13">
        <f>INDEX($B$27:$GQ$27,MATCH(115,$B$29:$GQ$29,0))</f>
        <v/>
      </c>
      <c r="DM13">
        <f>INDEX($B$27:$GQ$27,MATCH(116,$B$29:$GQ$29,0))</f>
        <v/>
      </c>
      <c r="DN13">
        <f>INDEX($B$27:$GQ$27,MATCH(117,$B$29:$GQ$29,0))</f>
        <v/>
      </c>
      <c r="DO13">
        <f>INDEX($B$27:$GQ$27,MATCH(118,$B$29:$GQ$29,0))</f>
        <v/>
      </c>
      <c r="DP13">
        <f>INDEX($B$27:$GQ$27,MATCH(119,$B$29:$GQ$29,0))</f>
        <v/>
      </c>
      <c r="DQ13">
        <f>INDEX($B$27:$GQ$27,MATCH(120,$B$29:$GQ$29,0))</f>
        <v/>
      </c>
      <c r="DR13">
        <f>INDEX($B$27:$GQ$27,MATCH(121,$B$29:$GQ$29,0))</f>
        <v/>
      </c>
      <c r="DS13">
        <f>INDEX($B$27:$GQ$27,MATCH(122,$B$29:$GQ$29,0))</f>
        <v/>
      </c>
      <c r="DT13">
        <f>INDEX($B$27:$GQ$27,MATCH(123,$B$29:$GQ$29,0))</f>
        <v/>
      </c>
      <c r="DU13">
        <f>INDEX($B$27:$GQ$27,MATCH(124,$B$29:$GQ$29,0))</f>
        <v/>
      </c>
      <c r="DV13">
        <f>INDEX($B$27:$GQ$27,MATCH(125,$B$29:$GQ$29,0))</f>
        <v/>
      </c>
      <c r="DW13">
        <f>INDEX($B$27:$GQ$27,MATCH(126,$B$29:$GQ$29,0))</f>
        <v/>
      </c>
      <c r="DX13">
        <f>INDEX($B$27:$GQ$27,MATCH(127,$B$29:$GQ$29,0))</f>
        <v/>
      </c>
      <c r="DY13">
        <f>INDEX($B$27:$GQ$27,MATCH(128,$B$29:$GQ$29,0))</f>
        <v/>
      </c>
      <c r="DZ13">
        <f>INDEX($B$27:$GQ$27,MATCH(129,$B$29:$GQ$29,0))</f>
        <v/>
      </c>
      <c r="EA13">
        <f>INDEX($B$27:$GQ$27,MATCH(130,$B$29:$GQ$29,0))</f>
        <v/>
      </c>
      <c r="EB13">
        <f>INDEX($B$27:$GQ$27,MATCH(131,$B$29:$GQ$29,0))</f>
        <v/>
      </c>
      <c r="EC13">
        <f>INDEX($B$27:$GQ$27,MATCH(132,$B$29:$GQ$29,0))</f>
        <v/>
      </c>
      <c r="ED13">
        <f>INDEX($B$27:$GQ$27,MATCH(133,$B$29:$GQ$29,0))</f>
        <v/>
      </c>
      <c r="EE13">
        <f>INDEX($B$27:$GQ$27,MATCH(134,$B$29:$GQ$29,0))</f>
        <v/>
      </c>
      <c r="EF13">
        <f>INDEX($B$27:$GQ$27,MATCH(135,$B$29:$GQ$29,0))</f>
        <v/>
      </c>
      <c r="EG13">
        <f>INDEX($B$27:$GQ$27,MATCH(136,$B$29:$GQ$29,0))</f>
        <v/>
      </c>
      <c r="EH13">
        <f>INDEX($B$27:$GQ$27,MATCH(137,$B$29:$GQ$29,0))</f>
        <v/>
      </c>
      <c r="EI13">
        <f>INDEX($B$27:$GQ$27,MATCH(138,$B$29:$GQ$29,0))</f>
        <v/>
      </c>
      <c r="EJ13">
        <f>INDEX($B$27:$GQ$27,MATCH(139,$B$29:$GQ$29,0))</f>
        <v/>
      </c>
      <c r="EK13">
        <f>INDEX($B$27:$GQ$27,MATCH(140,$B$29:$GQ$29,0))</f>
        <v/>
      </c>
      <c r="EL13">
        <f>INDEX($B$27:$GQ$27,MATCH(141,$B$29:$GQ$29,0))</f>
        <v/>
      </c>
      <c r="EM13">
        <f>INDEX($B$27:$GQ$27,MATCH(142,$B$29:$GQ$29,0))</f>
        <v/>
      </c>
      <c r="EN13">
        <f>INDEX($B$27:$GQ$27,MATCH(143,$B$29:$GQ$29,0))</f>
        <v/>
      </c>
      <c r="EO13">
        <f>INDEX($B$27:$GQ$27,MATCH(144,$B$29:$GQ$29,0))</f>
        <v/>
      </c>
      <c r="EP13">
        <f>INDEX($B$27:$GQ$27,MATCH(145,$B$29:$GQ$29,0))</f>
        <v/>
      </c>
      <c r="EQ13">
        <f>INDEX($B$27:$GQ$27,MATCH(146,$B$29:$GQ$29,0))</f>
        <v/>
      </c>
      <c r="ER13">
        <f>INDEX($B$27:$GQ$27,MATCH(147,$B$29:$GQ$29,0))</f>
        <v/>
      </c>
      <c r="ES13">
        <f>INDEX($B$27:$GQ$27,MATCH(148,$B$29:$GQ$29,0))</f>
        <v/>
      </c>
      <c r="ET13">
        <f>INDEX($B$27:$GQ$27,MATCH(149,$B$29:$GQ$29,0))</f>
        <v/>
      </c>
      <c r="EU13">
        <f>INDEX($B$27:$GQ$27,MATCH(150,$B$29:$GQ$29,0))</f>
        <v/>
      </c>
      <c r="EV13">
        <f>INDEX($B$27:$GQ$27,MATCH(151,$B$29:$GQ$29,0))</f>
        <v/>
      </c>
      <c r="EW13">
        <f>INDEX($B$27:$GQ$27,MATCH(152,$B$29:$GQ$29,0))</f>
        <v/>
      </c>
      <c r="EX13">
        <f>INDEX($B$27:$GQ$27,MATCH(153,$B$29:$GQ$29,0))</f>
        <v/>
      </c>
      <c r="EY13">
        <f>INDEX($B$27:$GQ$27,MATCH(154,$B$29:$GQ$29,0))</f>
        <v/>
      </c>
      <c r="EZ13">
        <f>INDEX($B$27:$GQ$27,MATCH(155,$B$29:$GQ$29,0))</f>
        <v/>
      </c>
      <c r="FA13">
        <f>INDEX($B$27:$GQ$27,MATCH(156,$B$29:$GQ$29,0))</f>
        <v/>
      </c>
      <c r="FB13">
        <f>INDEX($B$27:$GQ$27,MATCH(157,$B$29:$GQ$29,0))</f>
        <v/>
      </c>
      <c r="FC13">
        <f>INDEX($B$27:$GQ$27,MATCH(158,$B$29:$GQ$29,0))</f>
        <v/>
      </c>
      <c r="FD13">
        <f>INDEX($B$27:$GQ$27,MATCH(159,$B$29:$GQ$29,0))</f>
        <v/>
      </c>
      <c r="FE13">
        <f>INDEX($B$27:$GQ$27,MATCH(160,$B$29:$GQ$29,0))</f>
        <v/>
      </c>
      <c r="FF13">
        <f>INDEX($B$27:$GQ$27,MATCH(161,$B$29:$GQ$29,0))</f>
        <v/>
      </c>
      <c r="FG13">
        <f>INDEX($B$27:$GQ$27,MATCH(162,$B$29:$GQ$29,0))</f>
        <v/>
      </c>
      <c r="FH13">
        <f>INDEX($B$27:$GQ$27,MATCH(163,$B$29:$GQ$29,0))</f>
        <v/>
      </c>
      <c r="FI13">
        <f>INDEX($B$27:$GQ$27,MATCH(164,$B$29:$GQ$29,0))</f>
        <v/>
      </c>
      <c r="FJ13">
        <f>INDEX($B$27:$GQ$27,MATCH(165,$B$29:$GQ$29,0))</f>
        <v/>
      </c>
      <c r="FK13">
        <f>INDEX($B$27:$GQ$27,MATCH(166,$B$29:$GQ$29,0))</f>
        <v/>
      </c>
      <c r="FL13">
        <f>INDEX($B$27:$GQ$27,MATCH(167,$B$29:$GQ$29,0))</f>
        <v/>
      </c>
      <c r="FM13">
        <f>INDEX($B$27:$GQ$27,MATCH(168,$B$29:$GQ$29,0))</f>
        <v/>
      </c>
      <c r="FN13">
        <f>INDEX($B$27:$GQ$27,MATCH(169,$B$29:$GQ$29,0))</f>
        <v/>
      </c>
      <c r="FO13">
        <f>INDEX($B$27:$GQ$27,MATCH(170,$B$29:$GQ$29,0))</f>
        <v/>
      </c>
      <c r="FP13">
        <f>INDEX($B$27:$GQ$27,MATCH(171,$B$29:$GQ$29,0))</f>
        <v/>
      </c>
      <c r="FQ13">
        <f>INDEX($B$27:$GQ$27,MATCH(172,$B$29:$GQ$29,0))</f>
        <v/>
      </c>
      <c r="FR13">
        <f>INDEX($B$27:$GQ$27,MATCH(173,$B$29:$GQ$29,0))</f>
        <v/>
      </c>
      <c r="FS13">
        <f>INDEX($B$27:$GQ$27,MATCH(174,$B$29:$GQ$29,0))</f>
        <v/>
      </c>
      <c r="FT13">
        <f>INDEX($B$27:$GQ$27,MATCH(175,$B$29:$GQ$29,0))</f>
        <v/>
      </c>
      <c r="FU13">
        <f>INDEX($B$27:$GQ$27,MATCH(176,$B$29:$GQ$29,0))</f>
        <v/>
      </c>
      <c r="FV13">
        <f>INDEX($B$27:$GQ$27,MATCH(177,$B$29:$GQ$29,0))</f>
        <v/>
      </c>
      <c r="FW13">
        <f>INDEX($B$27:$GQ$27,MATCH(178,$B$29:$GQ$29,0))</f>
        <v/>
      </c>
      <c r="FX13">
        <f>INDEX($B$27:$GQ$27,MATCH(179,$B$29:$GQ$29,0))</f>
        <v/>
      </c>
      <c r="FY13">
        <f>INDEX($B$27:$GQ$27,MATCH(180,$B$29:$GQ$29,0))</f>
        <v/>
      </c>
      <c r="FZ13">
        <f>INDEX($B$27:$GQ$27,MATCH(181,$B$29:$GQ$29,0))</f>
        <v/>
      </c>
      <c r="GA13">
        <f>INDEX($B$27:$GQ$27,MATCH(182,$B$29:$GQ$29,0))</f>
        <v/>
      </c>
      <c r="GB13">
        <f>INDEX($B$27:$GQ$27,MATCH(183,$B$29:$GQ$29,0))</f>
        <v/>
      </c>
      <c r="GC13">
        <f>INDEX($B$27:$GQ$27,MATCH(184,$B$29:$GQ$29,0))</f>
        <v/>
      </c>
      <c r="GD13">
        <f>INDEX($B$27:$GQ$27,MATCH(185,$B$29:$GQ$29,0))</f>
        <v/>
      </c>
      <c r="GE13">
        <f>INDEX($B$27:$GQ$27,MATCH(186,$B$29:$GQ$29,0))</f>
        <v/>
      </c>
      <c r="GF13">
        <f>INDEX($B$27:$GQ$27,MATCH(187,$B$29:$GQ$29,0))</f>
        <v/>
      </c>
      <c r="GG13">
        <f>INDEX($B$27:$GQ$27,MATCH(188,$B$29:$GQ$29,0))</f>
        <v/>
      </c>
      <c r="GH13">
        <f>INDEX($B$27:$GQ$27,MATCH(189,$B$29:$GQ$29,0))</f>
        <v/>
      </c>
      <c r="GI13">
        <f>INDEX($B$27:$GQ$27,MATCH(190,$B$29:$GQ$29,0))</f>
        <v/>
      </c>
      <c r="GJ13">
        <f>INDEX($B$27:$GQ$27,MATCH(191,$B$29:$GQ$29,0))</f>
        <v/>
      </c>
      <c r="GK13">
        <f>INDEX($B$27:$GQ$27,MATCH(192,$B$29:$GQ$29,0))</f>
        <v/>
      </c>
      <c r="GL13">
        <f>INDEX($B$27:$GQ$27,MATCH(193,$B$29:$GQ$29,0))</f>
        <v/>
      </c>
      <c r="GM13">
        <f>INDEX($B$27:$GQ$27,MATCH(194,$B$29:$GQ$29,0))</f>
        <v/>
      </c>
      <c r="GN13">
        <f>INDEX($B$27:$GQ$27,MATCH(195,$B$29:$GQ$29,0))</f>
        <v/>
      </c>
      <c r="GO13">
        <f>INDEX($B$27:$GQ$27,MATCH(196,$B$29:$GQ$29,0))</f>
        <v/>
      </c>
      <c r="GP13">
        <f>INDEX($B$27:$GQ$27,MATCH(197,$B$29:$GQ$29,0))</f>
        <v/>
      </c>
      <c r="GQ13">
        <f>INDEX($B$27:$GQ$27,MATCH(198,$B$29:$GQ$29,0))</f>
        <v/>
      </c>
      <c r="GR13">
        <f>INDEX($GR$27:$HC$27,MATCH(1,$GR$30:$HC$30,0))</f>
        <v/>
      </c>
      <c r="GS13">
        <f>INDEX($GR$27:$HC$27,MATCH(2,$GR$30:$HC$30,0))</f>
        <v/>
      </c>
      <c r="GT13">
        <f>INDEX($GR$27:$HC$27,MATCH(3,$GR$30:$HC$30,0))</f>
        <v/>
      </c>
      <c r="GU13">
        <f>INDEX($GR$27:$HC$27,MATCH(4,$GR$30:$HC$30,0))</f>
        <v/>
      </c>
      <c r="GV13">
        <f>INDEX($GR$27:$HC$27,MATCH(5,$GR$30:$HC$30,0))</f>
        <v/>
      </c>
      <c r="GW13">
        <f>INDEX($GR$27:$HC$27,MATCH(6,$GR$30:$HC$30,0))</f>
        <v/>
      </c>
      <c r="GX13">
        <f>INDEX($GR$27:$HC$27,MATCH(7,$GR$30:$HC$30,0))</f>
        <v/>
      </c>
      <c r="GY13">
        <f>INDEX($GR$27:$HC$27,MATCH(8,$GR$30:$HC$30,0))</f>
        <v/>
      </c>
      <c r="GZ13">
        <f>INDEX($GR$27:$HC$27,MATCH(9,$GR$30:$HC$30,0))</f>
        <v/>
      </c>
      <c r="HA13">
        <f>INDEX($GR$27:$HC$27,MATCH(10,$GR$30:$HC$30,0))</f>
        <v/>
      </c>
      <c r="HB13">
        <f>INDEX($GR$27:$HC$27,MATCH(11,$GR$30:$HC$30,0))</f>
        <v/>
      </c>
      <c r="HC13">
        <f>INDEX($GR$27:$HC$27,MATCH(12,$GR$30:$HC$30,0))</f>
        <v/>
      </c>
    </row>
    <row r="14">
      <c r="A14" s="2">
        <f>"Part de "&amp;$B$1&amp;" (%)"</f>
        <v/>
      </c>
      <c r="B14" s="3">
        <f>IFERROR(INDEX($B$28:$GQ$28,MATCH(1,$B$29:$GQ$29,0))/SUM($B$28:$GQ$28)*100,0)</f>
        <v/>
      </c>
      <c r="C14" s="3">
        <f>IFERROR(INDEX($B$28:$GQ$28,MATCH(2,$B$29:$GQ$29,0))/SUM($B$28:$GQ$28)*100,0)</f>
        <v/>
      </c>
      <c r="D14" s="3">
        <f>IFERROR(INDEX($B$28:$GQ$28,MATCH(3,$B$29:$GQ$29,0))/SUM($B$28:$GQ$28)*100,0)</f>
        <v/>
      </c>
      <c r="E14" s="3">
        <f>IFERROR(INDEX($B$28:$GQ$28,MATCH(4,$B$29:$GQ$29,0))/SUM($B$28:$GQ$28)*100,0)</f>
        <v/>
      </c>
      <c r="F14" s="3">
        <f>IFERROR(INDEX($B$28:$GQ$28,MATCH(5,$B$29:$GQ$29,0))/SUM($B$28:$GQ$28)*100,0)</f>
        <v/>
      </c>
      <c r="G14" s="3">
        <f>IFERROR(INDEX($B$28:$GQ$28,MATCH(6,$B$29:$GQ$29,0))/SUM($B$28:$GQ$28)*100,0)</f>
        <v/>
      </c>
      <c r="H14" s="3">
        <f>IFERROR(INDEX($B$28:$GQ$28,MATCH(7,$B$29:$GQ$29,0))/SUM($B$28:$GQ$28)*100,0)</f>
        <v/>
      </c>
      <c r="I14" s="3">
        <f>IFERROR(INDEX($B$28:$GQ$28,MATCH(8,$B$29:$GQ$29,0))/SUM($B$28:$GQ$28)*100,0)</f>
        <v/>
      </c>
      <c r="J14" s="3">
        <f>IFERROR(INDEX($B$28:$GQ$28,MATCH(9,$B$29:$GQ$29,0))/SUM($B$28:$GQ$28)*100,0)</f>
        <v/>
      </c>
      <c r="K14" s="3">
        <f>IFERROR(INDEX($B$28:$GQ$28,MATCH(10,$B$29:$GQ$29,0))/SUM($B$28:$GQ$28)*100,0)</f>
        <v/>
      </c>
      <c r="L14" s="3">
        <f>IFERROR(INDEX($B$28:$GQ$28,MATCH(11,$B$29:$GQ$29,0))/SUM($B$28:$GQ$28)*100,0)</f>
        <v/>
      </c>
      <c r="M14" s="3">
        <f>IFERROR(INDEX($B$28:$GQ$28,MATCH(12,$B$29:$GQ$29,0))/SUM($B$28:$GQ$28)*100,0)</f>
        <v/>
      </c>
      <c r="N14" s="3">
        <f>IFERROR(INDEX($B$28:$GQ$28,MATCH(13,$B$29:$GQ$29,0))/SUM($B$28:$GQ$28)*100,0)</f>
        <v/>
      </c>
      <c r="O14" s="3">
        <f>IFERROR(INDEX($B$28:$GQ$28,MATCH(14,$B$29:$GQ$29,0))/SUM($B$28:$GQ$28)*100,0)</f>
        <v/>
      </c>
      <c r="P14" s="3">
        <f>IFERROR(INDEX($B$28:$GQ$28,MATCH(15,$B$29:$GQ$29,0))/SUM($B$28:$GQ$28)*100,0)</f>
        <v/>
      </c>
      <c r="Q14" s="3">
        <f>IFERROR(INDEX($B$28:$GQ$28,MATCH(16,$B$29:$GQ$29,0))/SUM($B$28:$GQ$28)*100,0)</f>
        <v/>
      </c>
      <c r="R14" s="3">
        <f>IFERROR(INDEX($B$28:$GQ$28,MATCH(17,$B$29:$GQ$29,0))/SUM($B$28:$GQ$28)*100,0)</f>
        <v/>
      </c>
      <c r="S14" s="3">
        <f>IFERROR(INDEX($B$28:$GQ$28,MATCH(18,$B$29:$GQ$29,0))/SUM($B$28:$GQ$28)*100,0)</f>
        <v/>
      </c>
      <c r="T14" s="3">
        <f>IFERROR(INDEX($B$28:$GQ$28,MATCH(19,$B$29:$GQ$29,0))/SUM($B$28:$GQ$28)*100,0)</f>
        <v/>
      </c>
      <c r="U14" s="3">
        <f>IFERROR(INDEX($B$28:$GQ$28,MATCH(20,$B$29:$GQ$29,0))/SUM($B$28:$GQ$28)*100,0)</f>
        <v/>
      </c>
      <c r="V14" s="3">
        <f>IFERROR(INDEX($B$28:$GQ$28,MATCH(21,$B$29:$GQ$29,0))/SUM($B$28:$GQ$28)*100,0)</f>
        <v/>
      </c>
      <c r="W14" s="3">
        <f>IFERROR(INDEX($B$28:$GQ$28,MATCH(22,$B$29:$GQ$29,0))/SUM($B$28:$GQ$28)*100,0)</f>
        <v/>
      </c>
      <c r="X14" s="3">
        <f>IFERROR(INDEX($B$28:$GQ$28,MATCH(23,$B$29:$GQ$29,0))/SUM($B$28:$GQ$28)*100,0)</f>
        <v/>
      </c>
      <c r="Y14" s="3">
        <f>IFERROR(INDEX($B$28:$GQ$28,MATCH(24,$B$29:$GQ$29,0))/SUM($B$28:$GQ$28)*100,0)</f>
        <v/>
      </c>
      <c r="Z14" s="3">
        <f>IFERROR(INDEX($B$28:$GQ$28,MATCH(25,$B$29:$GQ$29,0))/SUM($B$28:$GQ$28)*100,0)</f>
        <v/>
      </c>
      <c r="AA14" s="3">
        <f>IFERROR(INDEX($B$28:$GQ$28,MATCH(26,$B$29:$GQ$29,0))/SUM($B$28:$GQ$28)*100,0)</f>
        <v/>
      </c>
      <c r="AB14" s="3">
        <f>IFERROR(INDEX($B$28:$GQ$28,MATCH(27,$B$29:$GQ$29,0))/SUM($B$28:$GQ$28)*100,0)</f>
        <v/>
      </c>
      <c r="AC14" s="3">
        <f>IFERROR(INDEX($B$28:$GQ$28,MATCH(28,$B$29:$GQ$29,0))/SUM($B$28:$GQ$28)*100,0)</f>
        <v/>
      </c>
      <c r="AD14" s="3">
        <f>IFERROR(INDEX($B$28:$GQ$28,MATCH(29,$B$29:$GQ$29,0))/SUM($B$28:$GQ$28)*100,0)</f>
        <v/>
      </c>
      <c r="AE14" s="3">
        <f>IFERROR(INDEX($B$28:$GQ$28,MATCH(30,$B$29:$GQ$29,0))/SUM($B$28:$GQ$28)*100,0)</f>
        <v/>
      </c>
      <c r="AF14" s="3">
        <f>IFERROR(INDEX($B$28:$GQ$28,MATCH(31,$B$29:$GQ$29,0))/SUM($B$28:$GQ$28)*100,0)</f>
        <v/>
      </c>
      <c r="AG14" s="3">
        <f>IFERROR(INDEX($B$28:$GQ$28,MATCH(32,$B$29:$GQ$29,0))/SUM($B$28:$GQ$28)*100,0)</f>
        <v/>
      </c>
      <c r="AH14" s="3">
        <f>IFERROR(INDEX($B$28:$GQ$28,MATCH(33,$B$29:$GQ$29,0))/SUM($B$28:$GQ$28)*100,0)</f>
        <v/>
      </c>
      <c r="AI14" s="3">
        <f>IFERROR(INDEX($B$28:$GQ$28,MATCH(34,$B$29:$GQ$29,0))/SUM($B$28:$GQ$28)*100,0)</f>
        <v/>
      </c>
      <c r="AJ14" s="3">
        <f>IFERROR(INDEX($B$28:$GQ$28,MATCH(35,$B$29:$GQ$29,0))/SUM($B$28:$GQ$28)*100,0)</f>
        <v/>
      </c>
      <c r="AK14" s="3">
        <f>IFERROR(INDEX($B$28:$GQ$28,MATCH(36,$B$29:$GQ$29,0))/SUM($B$28:$GQ$28)*100,0)</f>
        <v/>
      </c>
      <c r="AL14" s="3">
        <f>IFERROR(INDEX($B$28:$GQ$28,MATCH(37,$B$29:$GQ$29,0))/SUM($B$28:$GQ$28)*100,0)</f>
        <v/>
      </c>
      <c r="AM14" s="3">
        <f>IFERROR(INDEX($B$28:$GQ$28,MATCH(38,$B$29:$GQ$29,0))/SUM($B$28:$GQ$28)*100,0)</f>
        <v/>
      </c>
      <c r="AN14" s="3">
        <f>IFERROR(INDEX($B$28:$GQ$28,MATCH(39,$B$29:$GQ$29,0))/SUM($B$28:$GQ$28)*100,0)</f>
        <v/>
      </c>
      <c r="AO14" s="3">
        <f>IFERROR(INDEX($B$28:$GQ$28,MATCH(40,$B$29:$GQ$29,0))/SUM($B$28:$GQ$28)*100,0)</f>
        <v/>
      </c>
      <c r="AP14" s="3">
        <f>IFERROR(INDEX($B$28:$GQ$28,MATCH(41,$B$29:$GQ$29,0))/SUM($B$28:$GQ$28)*100,0)</f>
        <v/>
      </c>
      <c r="AQ14" s="3">
        <f>IFERROR(INDEX($B$28:$GQ$28,MATCH(42,$B$29:$GQ$29,0))/SUM($B$28:$GQ$28)*100,0)</f>
        <v/>
      </c>
      <c r="AR14" s="3">
        <f>IFERROR(INDEX($B$28:$GQ$28,MATCH(43,$B$29:$GQ$29,0))/SUM($B$28:$GQ$28)*100,0)</f>
        <v/>
      </c>
      <c r="AS14" s="3">
        <f>IFERROR(INDEX($B$28:$GQ$28,MATCH(44,$B$29:$GQ$29,0))/SUM($B$28:$GQ$28)*100,0)</f>
        <v/>
      </c>
      <c r="AT14" s="3">
        <f>IFERROR(INDEX($B$28:$GQ$28,MATCH(45,$B$29:$GQ$29,0))/SUM($B$28:$GQ$28)*100,0)</f>
        <v/>
      </c>
      <c r="AU14" s="3">
        <f>IFERROR(INDEX($B$28:$GQ$28,MATCH(46,$B$29:$GQ$29,0))/SUM($B$28:$GQ$28)*100,0)</f>
        <v/>
      </c>
      <c r="AV14" s="3">
        <f>IFERROR(INDEX($B$28:$GQ$28,MATCH(47,$B$29:$GQ$29,0))/SUM($B$28:$GQ$28)*100,0)</f>
        <v/>
      </c>
      <c r="AW14" s="3">
        <f>IFERROR(INDEX($B$28:$GQ$28,MATCH(48,$B$29:$GQ$29,0))/SUM($B$28:$GQ$28)*100,0)</f>
        <v/>
      </c>
      <c r="AX14" s="3">
        <f>IFERROR(INDEX($B$28:$GQ$28,MATCH(49,$B$29:$GQ$29,0))/SUM($B$28:$GQ$28)*100,0)</f>
        <v/>
      </c>
      <c r="AY14" s="3">
        <f>IFERROR(INDEX($B$28:$GQ$28,MATCH(50,$B$29:$GQ$29,0))/SUM($B$28:$GQ$28)*100,0)</f>
        <v/>
      </c>
      <c r="AZ14" s="3">
        <f>IFERROR(INDEX($B$28:$GQ$28,MATCH(51,$B$29:$GQ$29,0))/SUM($B$28:$GQ$28)*100,0)</f>
        <v/>
      </c>
      <c r="BA14" s="3">
        <f>IFERROR(INDEX($B$28:$GQ$28,MATCH(52,$B$29:$GQ$29,0))/SUM($B$28:$GQ$28)*100,0)</f>
        <v/>
      </c>
      <c r="BB14" s="3">
        <f>IFERROR(INDEX($B$28:$GQ$28,MATCH(53,$B$29:$GQ$29,0))/SUM($B$28:$GQ$28)*100,0)</f>
        <v/>
      </c>
      <c r="BC14" s="3">
        <f>IFERROR(INDEX($B$28:$GQ$28,MATCH(54,$B$29:$GQ$29,0))/SUM($B$28:$GQ$28)*100,0)</f>
        <v/>
      </c>
      <c r="BD14" s="3">
        <f>IFERROR(INDEX($B$28:$GQ$28,MATCH(55,$B$29:$GQ$29,0))/SUM($B$28:$GQ$28)*100,0)</f>
        <v/>
      </c>
      <c r="BE14" s="3">
        <f>IFERROR(INDEX($B$28:$GQ$28,MATCH(56,$B$29:$GQ$29,0))/SUM($B$28:$GQ$28)*100,0)</f>
        <v/>
      </c>
      <c r="BF14" s="3">
        <f>IFERROR(INDEX($B$28:$GQ$28,MATCH(57,$B$29:$GQ$29,0))/SUM($B$28:$GQ$28)*100,0)</f>
        <v/>
      </c>
      <c r="BG14" s="3">
        <f>IFERROR(INDEX($B$28:$GQ$28,MATCH(58,$B$29:$GQ$29,0))/SUM($B$28:$GQ$28)*100,0)</f>
        <v/>
      </c>
      <c r="BH14" s="3">
        <f>IFERROR(INDEX($B$28:$GQ$28,MATCH(59,$B$29:$GQ$29,0))/SUM($B$28:$GQ$28)*100,0)</f>
        <v/>
      </c>
      <c r="BI14" s="3">
        <f>IFERROR(INDEX($B$28:$GQ$28,MATCH(60,$B$29:$GQ$29,0))/SUM($B$28:$GQ$28)*100,0)</f>
        <v/>
      </c>
      <c r="BJ14" s="3">
        <f>IFERROR(INDEX($B$28:$GQ$28,MATCH(61,$B$29:$GQ$29,0))/SUM($B$28:$GQ$28)*100,0)</f>
        <v/>
      </c>
      <c r="BK14" s="3">
        <f>IFERROR(INDEX($B$28:$GQ$28,MATCH(62,$B$29:$GQ$29,0))/SUM($B$28:$GQ$28)*100,0)</f>
        <v/>
      </c>
      <c r="BL14" s="3">
        <f>IFERROR(INDEX($B$28:$GQ$28,MATCH(63,$B$29:$GQ$29,0))/SUM($B$28:$GQ$28)*100,0)</f>
        <v/>
      </c>
      <c r="BM14" s="3">
        <f>IFERROR(INDEX($B$28:$GQ$28,MATCH(64,$B$29:$GQ$29,0))/SUM($B$28:$GQ$28)*100,0)</f>
        <v/>
      </c>
      <c r="BN14" s="3">
        <f>IFERROR(INDEX($B$28:$GQ$28,MATCH(65,$B$29:$GQ$29,0))/SUM($B$28:$GQ$28)*100,0)</f>
        <v/>
      </c>
      <c r="BO14" s="3">
        <f>IFERROR(INDEX($B$28:$GQ$28,MATCH(66,$B$29:$GQ$29,0))/SUM($B$28:$GQ$28)*100,0)</f>
        <v/>
      </c>
      <c r="BP14" s="3">
        <f>IFERROR(INDEX($B$28:$GQ$28,MATCH(67,$B$29:$GQ$29,0))/SUM($B$28:$GQ$28)*100,0)</f>
        <v/>
      </c>
      <c r="BQ14" s="3">
        <f>IFERROR(INDEX($B$28:$GQ$28,MATCH(68,$B$29:$GQ$29,0))/SUM($B$28:$GQ$28)*100,0)</f>
        <v/>
      </c>
      <c r="BR14" s="3">
        <f>IFERROR(INDEX($B$28:$GQ$28,MATCH(69,$B$29:$GQ$29,0))/SUM($B$28:$GQ$28)*100,0)</f>
        <v/>
      </c>
      <c r="BS14" s="3">
        <f>IFERROR(INDEX($B$28:$GQ$28,MATCH(70,$B$29:$GQ$29,0))/SUM($B$28:$GQ$28)*100,0)</f>
        <v/>
      </c>
      <c r="BT14" s="3">
        <f>IFERROR(INDEX($B$28:$GQ$28,MATCH(71,$B$29:$GQ$29,0))/SUM($B$28:$GQ$28)*100,0)</f>
        <v/>
      </c>
      <c r="BU14" s="3">
        <f>IFERROR(INDEX($B$28:$GQ$28,MATCH(72,$B$29:$GQ$29,0))/SUM($B$28:$GQ$28)*100,0)</f>
        <v/>
      </c>
      <c r="BV14" s="3">
        <f>IFERROR(INDEX($B$28:$GQ$28,MATCH(73,$B$29:$GQ$29,0))/SUM($B$28:$GQ$28)*100,0)</f>
        <v/>
      </c>
      <c r="BW14" s="3">
        <f>IFERROR(INDEX($B$28:$GQ$28,MATCH(74,$B$29:$GQ$29,0))/SUM($B$28:$GQ$28)*100,0)</f>
        <v/>
      </c>
      <c r="BX14" s="3">
        <f>IFERROR(INDEX($B$28:$GQ$28,MATCH(75,$B$29:$GQ$29,0))/SUM($B$28:$GQ$28)*100,0)</f>
        <v/>
      </c>
      <c r="BY14" s="3">
        <f>IFERROR(INDEX($B$28:$GQ$28,MATCH(76,$B$29:$GQ$29,0))/SUM($B$28:$GQ$28)*100,0)</f>
        <v/>
      </c>
      <c r="BZ14" s="3">
        <f>IFERROR(INDEX($B$28:$GQ$28,MATCH(77,$B$29:$GQ$29,0))/SUM($B$28:$GQ$28)*100,0)</f>
        <v/>
      </c>
      <c r="CA14" s="3">
        <f>IFERROR(INDEX($B$28:$GQ$28,MATCH(78,$B$29:$GQ$29,0))/SUM($B$28:$GQ$28)*100,0)</f>
        <v/>
      </c>
      <c r="CB14" s="3">
        <f>IFERROR(INDEX($B$28:$GQ$28,MATCH(79,$B$29:$GQ$29,0))/SUM($B$28:$GQ$28)*100,0)</f>
        <v/>
      </c>
      <c r="CC14" s="3">
        <f>IFERROR(INDEX($B$28:$GQ$28,MATCH(80,$B$29:$GQ$29,0))/SUM($B$28:$GQ$28)*100,0)</f>
        <v/>
      </c>
      <c r="CD14" s="3">
        <f>IFERROR(INDEX($B$28:$GQ$28,MATCH(81,$B$29:$GQ$29,0))/SUM($B$28:$GQ$28)*100,0)</f>
        <v/>
      </c>
      <c r="CE14" s="3">
        <f>IFERROR(INDEX($B$28:$GQ$28,MATCH(82,$B$29:$GQ$29,0))/SUM($B$28:$GQ$28)*100,0)</f>
        <v/>
      </c>
      <c r="CF14" s="3">
        <f>IFERROR(INDEX($B$28:$GQ$28,MATCH(83,$B$29:$GQ$29,0))/SUM($B$28:$GQ$28)*100,0)</f>
        <v/>
      </c>
      <c r="CG14" s="3">
        <f>IFERROR(INDEX($B$28:$GQ$28,MATCH(84,$B$29:$GQ$29,0))/SUM($B$28:$GQ$28)*100,0)</f>
        <v/>
      </c>
      <c r="CH14" s="3">
        <f>IFERROR(INDEX($B$28:$GQ$28,MATCH(85,$B$29:$GQ$29,0))/SUM($B$28:$GQ$28)*100,0)</f>
        <v/>
      </c>
      <c r="CI14" s="3">
        <f>IFERROR(INDEX($B$28:$GQ$28,MATCH(86,$B$29:$GQ$29,0))/SUM($B$28:$GQ$28)*100,0)</f>
        <v/>
      </c>
      <c r="CJ14" s="3">
        <f>IFERROR(INDEX($B$28:$GQ$28,MATCH(87,$B$29:$GQ$29,0))/SUM($B$28:$GQ$28)*100,0)</f>
        <v/>
      </c>
      <c r="CK14" s="3">
        <f>IFERROR(INDEX($B$28:$GQ$28,MATCH(88,$B$29:$GQ$29,0))/SUM($B$28:$GQ$28)*100,0)</f>
        <v/>
      </c>
      <c r="CL14" s="3">
        <f>IFERROR(INDEX($B$28:$GQ$28,MATCH(89,$B$29:$GQ$29,0))/SUM($B$28:$GQ$28)*100,0)</f>
        <v/>
      </c>
      <c r="CM14" s="3">
        <f>IFERROR(INDEX($B$28:$GQ$28,MATCH(90,$B$29:$GQ$29,0))/SUM($B$28:$GQ$28)*100,0)</f>
        <v/>
      </c>
      <c r="CN14" s="3">
        <f>IFERROR(INDEX($B$28:$GQ$28,MATCH(91,$B$29:$GQ$29,0))/SUM($B$28:$GQ$28)*100,0)</f>
        <v/>
      </c>
      <c r="CO14" s="3">
        <f>IFERROR(INDEX($B$28:$GQ$28,MATCH(92,$B$29:$GQ$29,0))/SUM($B$28:$GQ$28)*100,0)</f>
        <v/>
      </c>
      <c r="CP14" s="3">
        <f>IFERROR(INDEX($B$28:$GQ$28,MATCH(93,$B$29:$GQ$29,0))/SUM($B$28:$GQ$28)*100,0)</f>
        <v/>
      </c>
      <c r="CQ14" s="3">
        <f>IFERROR(INDEX($B$28:$GQ$28,MATCH(94,$B$29:$GQ$29,0))/SUM($B$28:$GQ$28)*100,0)</f>
        <v/>
      </c>
      <c r="CR14" s="3">
        <f>IFERROR(INDEX($B$28:$GQ$28,MATCH(95,$B$29:$GQ$29,0))/SUM($B$28:$GQ$28)*100,0)</f>
        <v/>
      </c>
      <c r="CS14" s="3">
        <f>IFERROR(INDEX($B$28:$GQ$28,MATCH(96,$B$29:$GQ$29,0))/SUM($B$28:$GQ$28)*100,0)</f>
        <v/>
      </c>
      <c r="CT14" s="3">
        <f>IFERROR(INDEX($B$28:$GQ$28,MATCH(97,$B$29:$GQ$29,0))/SUM($B$28:$GQ$28)*100,0)</f>
        <v/>
      </c>
      <c r="CU14" s="3">
        <f>IFERROR(INDEX($B$28:$GQ$28,MATCH(98,$B$29:$GQ$29,0))/SUM($B$28:$GQ$28)*100,0)</f>
        <v/>
      </c>
      <c r="CV14" s="3">
        <f>IFERROR(INDEX($B$28:$GQ$28,MATCH(99,$B$29:$GQ$29,0))/SUM($B$28:$GQ$28)*100,0)</f>
        <v/>
      </c>
      <c r="CW14" s="3">
        <f>IFERROR(INDEX($B$28:$GQ$28,MATCH(100,$B$29:$GQ$29,0))/SUM($B$28:$GQ$28)*100,0)</f>
        <v/>
      </c>
      <c r="CX14" s="3">
        <f>IFERROR(INDEX($B$28:$GQ$28,MATCH(101,$B$29:$GQ$29,0))/SUM($B$28:$GQ$28)*100,0)</f>
        <v/>
      </c>
      <c r="CY14" s="3">
        <f>IFERROR(INDEX($B$28:$GQ$28,MATCH(102,$B$29:$GQ$29,0))/SUM($B$28:$GQ$28)*100,0)</f>
        <v/>
      </c>
      <c r="CZ14" s="3">
        <f>IFERROR(INDEX($B$28:$GQ$28,MATCH(103,$B$29:$GQ$29,0))/SUM($B$28:$GQ$28)*100,0)</f>
        <v/>
      </c>
      <c r="DA14" s="3">
        <f>IFERROR(INDEX($B$28:$GQ$28,MATCH(104,$B$29:$GQ$29,0))/SUM($B$28:$GQ$28)*100,0)</f>
        <v/>
      </c>
      <c r="DB14" s="3">
        <f>IFERROR(INDEX($B$28:$GQ$28,MATCH(105,$B$29:$GQ$29,0))/SUM($B$28:$GQ$28)*100,0)</f>
        <v/>
      </c>
      <c r="DC14" s="3">
        <f>IFERROR(INDEX($B$28:$GQ$28,MATCH(106,$B$29:$GQ$29,0))/SUM($B$28:$GQ$28)*100,0)</f>
        <v/>
      </c>
      <c r="DD14" s="3">
        <f>IFERROR(INDEX($B$28:$GQ$28,MATCH(107,$B$29:$GQ$29,0))/SUM($B$28:$GQ$28)*100,0)</f>
        <v/>
      </c>
      <c r="DE14" s="3">
        <f>IFERROR(INDEX($B$28:$GQ$28,MATCH(108,$B$29:$GQ$29,0))/SUM($B$28:$GQ$28)*100,0)</f>
        <v/>
      </c>
      <c r="DF14" s="3">
        <f>IFERROR(INDEX($B$28:$GQ$28,MATCH(109,$B$29:$GQ$29,0))/SUM($B$28:$GQ$28)*100,0)</f>
        <v/>
      </c>
      <c r="DG14" s="3">
        <f>IFERROR(INDEX($B$28:$GQ$28,MATCH(110,$B$29:$GQ$29,0))/SUM($B$28:$GQ$28)*100,0)</f>
        <v/>
      </c>
      <c r="DH14" s="3">
        <f>IFERROR(INDEX($B$28:$GQ$28,MATCH(111,$B$29:$GQ$29,0))/SUM($B$28:$GQ$28)*100,0)</f>
        <v/>
      </c>
      <c r="DI14" s="3">
        <f>IFERROR(INDEX($B$28:$GQ$28,MATCH(112,$B$29:$GQ$29,0))/SUM($B$28:$GQ$28)*100,0)</f>
        <v/>
      </c>
      <c r="DJ14" s="3">
        <f>IFERROR(INDEX($B$28:$GQ$28,MATCH(113,$B$29:$GQ$29,0))/SUM($B$28:$GQ$28)*100,0)</f>
        <v/>
      </c>
      <c r="DK14" s="3">
        <f>IFERROR(INDEX($B$28:$GQ$28,MATCH(114,$B$29:$GQ$29,0))/SUM($B$28:$GQ$28)*100,0)</f>
        <v/>
      </c>
      <c r="DL14" s="3">
        <f>IFERROR(INDEX($B$28:$GQ$28,MATCH(115,$B$29:$GQ$29,0))/SUM($B$28:$GQ$28)*100,0)</f>
        <v/>
      </c>
      <c r="DM14" s="3">
        <f>IFERROR(INDEX($B$28:$GQ$28,MATCH(116,$B$29:$GQ$29,0))/SUM($B$28:$GQ$28)*100,0)</f>
        <v/>
      </c>
      <c r="DN14" s="3">
        <f>IFERROR(INDEX($B$28:$GQ$28,MATCH(117,$B$29:$GQ$29,0))/SUM($B$28:$GQ$28)*100,0)</f>
        <v/>
      </c>
      <c r="DO14" s="3">
        <f>IFERROR(INDEX($B$28:$GQ$28,MATCH(118,$B$29:$GQ$29,0))/SUM($B$28:$GQ$28)*100,0)</f>
        <v/>
      </c>
      <c r="DP14" s="3">
        <f>IFERROR(INDEX($B$28:$GQ$28,MATCH(119,$B$29:$GQ$29,0))/SUM($B$28:$GQ$28)*100,0)</f>
        <v/>
      </c>
      <c r="DQ14" s="3">
        <f>IFERROR(INDEX($B$28:$GQ$28,MATCH(120,$B$29:$GQ$29,0))/SUM($B$28:$GQ$28)*100,0)</f>
        <v/>
      </c>
      <c r="DR14" s="3">
        <f>IFERROR(INDEX($B$28:$GQ$28,MATCH(121,$B$29:$GQ$29,0))/SUM($B$28:$GQ$28)*100,0)</f>
        <v/>
      </c>
      <c r="DS14" s="3">
        <f>IFERROR(INDEX($B$28:$GQ$28,MATCH(122,$B$29:$GQ$29,0))/SUM($B$28:$GQ$28)*100,0)</f>
        <v/>
      </c>
      <c r="DT14" s="3">
        <f>IFERROR(INDEX($B$28:$GQ$28,MATCH(123,$B$29:$GQ$29,0))/SUM($B$28:$GQ$28)*100,0)</f>
        <v/>
      </c>
      <c r="DU14" s="3">
        <f>IFERROR(INDEX($B$28:$GQ$28,MATCH(124,$B$29:$GQ$29,0))/SUM($B$28:$GQ$28)*100,0)</f>
        <v/>
      </c>
      <c r="DV14" s="3">
        <f>IFERROR(INDEX($B$28:$GQ$28,MATCH(125,$B$29:$GQ$29,0))/SUM($B$28:$GQ$28)*100,0)</f>
        <v/>
      </c>
      <c r="DW14" s="3">
        <f>IFERROR(INDEX($B$28:$GQ$28,MATCH(126,$B$29:$GQ$29,0))/SUM($B$28:$GQ$28)*100,0)</f>
        <v/>
      </c>
      <c r="DX14" s="3">
        <f>IFERROR(INDEX($B$28:$GQ$28,MATCH(127,$B$29:$GQ$29,0))/SUM($B$28:$GQ$28)*100,0)</f>
        <v/>
      </c>
      <c r="DY14" s="3">
        <f>IFERROR(INDEX($B$28:$GQ$28,MATCH(128,$B$29:$GQ$29,0))/SUM($B$28:$GQ$28)*100,0)</f>
        <v/>
      </c>
      <c r="DZ14" s="3">
        <f>IFERROR(INDEX($B$28:$GQ$28,MATCH(129,$B$29:$GQ$29,0))/SUM($B$28:$GQ$28)*100,0)</f>
        <v/>
      </c>
      <c r="EA14" s="3">
        <f>IFERROR(INDEX($B$28:$GQ$28,MATCH(130,$B$29:$GQ$29,0))/SUM($B$28:$GQ$28)*100,0)</f>
        <v/>
      </c>
      <c r="EB14" s="3">
        <f>IFERROR(INDEX($B$28:$GQ$28,MATCH(131,$B$29:$GQ$29,0))/SUM($B$28:$GQ$28)*100,0)</f>
        <v/>
      </c>
      <c r="EC14" s="3">
        <f>IFERROR(INDEX($B$28:$GQ$28,MATCH(132,$B$29:$GQ$29,0))/SUM($B$28:$GQ$28)*100,0)</f>
        <v/>
      </c>
      <c r="ED14" s="3">
        <f>IFERROR(INDEX($B$28:$GQ$28,MATCH(133,$B$29:$GQ$29,0))/SUM($B$28:$GQ$28)*100,0)</f>
        <v/>
      </c>
      <c r="EE14" s="3">
        <f>IFERROR(INDEX($B$28:$GQ$28,MATCH(134,$B$29:$GQ$29,0))/SUM($B$28:$GQ$28)*100,0)</f>
        <v/>
      </c>
      <c r="EF14" s="3">
        <f>IFERROR(INDEX($B$28:$GQ$28,MATCH(135,$B$29:$GQ$29,0))/SUM($B$28:$GQ$28)*100,0)</f>
        <v/>
      </c>
      <c r="EG14" s="3">
        <f>IFERROR(INDEX($B$28:$GQ$28,MATCH(136,$B$29:$GQ$29,0))/SUM($B$28:$GQ$28)*100,0)</f>
        <v/>
      </c>
      <c r="EH14" s="3">
        <f>IFERROR(INDEX($B$28:$GQ$28,MATCH(137,$B$29:$GQ$29,0))/SUM($B$28:$GQ$28)*100,0)</f>
        <v/>
      </c>
      <c r="EI14" s="3">
        <f>IFERROR(INDEX($B$28:$GQ$28,MATCH(138,$B$29:$GQ$29,0))/SUM($B$28:$GQ$28)*100,0)</f>
        <v/>
      </c>
      <c r="EJ14" s="3">
        <f>IFERROR(INDEX($B$28:$GQ$28,MATCH(139,$B$29:$GQ$29,0))/SUM($B$28:$GQ$28)*100,0)</f>
        <v/>
      </c>
      <c r="EK14" s="3">
        <f>IFERROR(INDEX($B$28:$GQ$28,MATCH(140,$B$29:$GQ$29,0))/SUM($B$28:$GQ$28)*100,0)</f>
        <v/>
      </c>
      <c r="EL14" s="3">
        <f>IFERROR(INDEX($B$28:$GQ$28,MATCH(141,$B$29:$GQ$29,0))/SUM($B$28:$GQ$28)*100,0)</f>
        <v/>
      </c>
      <c r="EM14" s="3">
        <f>IFERROR(INDEX($B$28:$GQ$28,MATCH(142,$B$29:$GQ$29,0))/SUM($B$28:$GQ$28)*100,0)</f>
        <v/>
      </c>
      <c r="EN14" s="3">
        <f>IFERROR(INDEX($B$28:$GQ$28,MATCH(143,$B$29:$GQ$29,0))/SUM($B$28:$GQ$28)*100,0)</f>
        <v/>
      </c>
      <c r="EO14" s="3">
        <f>IFERROR(INDEX($B$28:$GQ$28,MATCH(144,$B$29:$GQ$29,0))/SUM($B$28:$GQ$28)*100,0)</f>
        <v/>
      </c>
      <c r="EP14" s="3">
        <f>IFERROR(INDEX($B$28:$GQ$28,MATCH(145,$B$29:$GQ$29,0))/SUM($B$28:$GQ$28)*100,0)</f>
        <v/>
      </c>
      <c r="EQ14" s="3">
        <f>IFERROR(INDEX($B$28:$GQ$28,MATCH(146,$B$29:$GQ$29,0))/SUM($B$28:$GQ$28)*100,0)</f>
        <v/>
      </c>
      <c r="ER14" s="3">
        <f>IFERROR(INDEX($B$28:$GQ$28,MATCH(147,$B$29:$GQ$29,0))/SUM($B$28:$GQ$28)*100,0)</f>
        <v/>
      </c>
      <c r="ES14" s="3">
        <f>IFERROR(INDEX($B$28:$GQ$28,MATCH(148,$B$29:$GQ$29,0))/SUM($B$28:$GQ$28)*100,0)</f>
        <v/>
      </c>
      <c r="ET14" s="3">
        <f>IFERROR(INDEX($B$28:$GQ$28,MATCH(149,$B$29:$GQ$29,0))/SUM($B$28:$GQ$28)*100,0)</f>
        <v/>
      </c>
      <c r="EU14" s="3">
        <f>IFERROR(INDEX($B$28:$GQ$28,MATCH(150,$B$29:$GQ$29,0))/SUM($B$28:$GQ$28)*100,0)</f>
        <v/>
      </c>
      <c r="EV14" s="3">
        <f>IFERROR(INDEX($B$28:$GQ$28,MATCH(151,$B$29:$GQ$29,0))/SUM($B$28:$GQ$28)*100,0)</f>
        <v/>
      </c>
      <c r="EW14" s="3">
        <f>IFERROR(INDEX($B$28:$GQ$28,MATCH(152,$B$29:$GQ$29,0))/SUM($B$28:$GQ$28)*100,0)</f>
        <v/>
      </c>
      <c r="EX14" s="3">
        <f>IFERROR(INDEX($B$28:$GQ$28,MATCH(153,$B$29:$GQ$29,0))/SUM($B$28:$GQ$28)*100,0)</f>
        <v/>
      </c>
      <c r="EY14" s="3">
        <f>IFERROR(INDEX($B$28:$GQ$28,MATCH(154,$B$29:$GQ$29,0))/SUM($B$28:$GQ$28)*100,0)</f>
        <v/>
      </c>
      <c r="EZ14" s="3">
        <f>IFERROR(INDEX($B$28:$GQ$28,MATCH(155,$B$29:$GQ$29,0))/SUM($B$28:$GQ$28)*100,0)</f>
        <v/>
      </c>
      <c r="FA14" s="3">
        <f>IFERROR(INDEX($B$28:$GQ$28,MATCH(156,$B$29:$GQ$29,0))/SUM($B$28:$GQ$28)*100,0)</f>
        <v/>
      </c>
      <c r="FB14" s="3">
        <f>IFERROR(INDEX($B$28:$GQ$28,MATCH(157,$B$29:$GQ$29,0))/SUM($B$28:$GQ$28)*100,0)</f>
        <v/>
      </c>
      <c r="FC14" s="3">
        <f>IFERROR(INDEX($B$28:$GQ$28,MATCH(158,$B$29:$GQ$29,0))/SUM($B$28:$GQ$28)*100,0)</f>
        <v/>
      </c>
      <c r="FD14" s="3">
        <f>IFERROR(INDEX($B$28:$GQ$28,MATCH(159,$B$29:$GQ$29,0))/SUM($B$28:$GQ$28)*100,0)</f>
        <v/>
      </c>
      <c r="FE14" s="3">
        <f>IFERROR(INDEX($B$28:$GQ$28,MATCH(160,$B$29:$GQ$29,0))/SUM($B$28:$GQ$28)*100,0)</f>
        <v/>
      </c>
      <c r="FF14" s="3">
        <f>IFERROR(INDEX($B$28:$GQ$28,MATCH(161,$B$29:$GQ$29,0))/SUM($B$28:$GQ$28)*100,0)</f>
        <v/>
      </c>
      <c r="FG14" s="3">
        <f>IFERROR(INDEX($B$28:$GQ$28,MATCH(162,$B$29:$GQ$29,0))/SUM($B$28:$GQ$28)*100,0)</f>
        <v/>
      </c>
      <c r="FH14" s="3">
        <f>IFERROR(INDEX($B$28:$GQ$28,MATCH(163,$B$29:$GQ$29,0))/SUM($B$28:$GQ$28)*100,0)</f>
        <v/>
      </c>
      <c r="FI14" s="3">
        <f>IFERROR(INDEX($B$28:$GQ$28,MATCH(164,$B$29:$GQ$29,0))/SUM($B$28:$GQ$28)*100,0)</f>
        <v/>
      </c>
      <c r="FJ14" s="3">
        <f>IFERROR(INDEX($B$28:$GQ$28,MATCH(165,$B$29:$GQ$29,0))/SUM($B$28:$GQ$28)*100,0)</f>
        <v/>
      </c>
      <c r="FK14" s="3">
        <f>IFERROR(INDEX($B$28:$GQ$28,MATCH(166,$B$29:$GQ$29,0))/SUM($B$28:$GQ$28)*100,0)</f>
        <v/>
      </c>
      <c r="FL14" s="3">
        <f>IFERROR(INDEX($B$28:$GQ$28,MATCH(167,$B$29:$GQ$29,0))/SUM($B$28:$GQ$28)*100,0)</f>
        <v/>
      </c>
      <c r="FM14" s="3">
        <f>IFERROR(INDEX($B$28:$GQ$28,MATCH(168,$B$29:$GQ$29,0))/SUM($B$28:$GQ$28)*100,0)</f>
        <v/>
      </c>
      <c r="FN14" s="3">
        <f>IFERROR(INDEX($B$28:$GQ$28,MATCH(169,$B$29:$GQ$29,0))/SUM($B$28:$GQ$28)*100,0)</f>
        <v/>
      </c>
      <c r="FO14" s="3">
        <f>IFERROR(INDEX($B$28:$GQ$28,MATCH(170,$B$29:$GQ$29,0))/SUM($B$28:$GQ$28)*100,0)</f>
        <v/>
      </c>
      <c r="FP14" s="3">
        <f>IFERROR(INDEX($B$28:$GQ$28,MATCH(171,$B$29:$GQ$29,0))/SUM($B$28:$GQ$28)*100,0)</f>
        <v/>
      </c>
      <c r="FQ14" s="3">
        <f>IFERROR(INDEX($B$28:$GQ$28,MATCH(172,$B$29:$GQ$29,0))/SUM($B$28:$GQ$28)*100,0)</f>
        <v/>
      </c>
      <c r="FR14" s="3">
        <f>IFERROR(INDEX($B$28:$GQ$28,MATCH(173,$B$29:$GQ$29,0))/SUM($B$28:$GQ$28)*100,0)</f>
        <v/>
      </c>
      <c r="FS14" s="3">
        <f>IFERROR(INDEX($B$28:$GQ$28,MATCH(174,$B$29:$GQ$29,0))/SUM($B$28:$GQ$28)*100,0)</f>
        <v/>
      </c>
      <c r="FT14" s="3">
        <f>IFERROR(INDEX($B$28:$GQ$28,MATCH(175,$B$29:$GQ$29,0))/SUM($B$28:$GQ$28)*100,0)</f>
        <v/>
      </c>
      <c r="FU14" s="3">
        <f>IFERROR(INDEX($B$28:$GQ$28,MATCH(176,$B$29:$GQ$29,0))/SUM($B$28:$GQ$28)*100,0)</f>
        <v/>
      </c>
      <c r="FV14" s="3">
        <f>IFERROR(INDEX($B$28:$GQ$28,MATCH(177,$B$29:$GQ$29,0))/SUM($B$28:$GQ$28)*100,0)</f>
        <v/>
      </c>
      <c r="FW14" s="3">
        <f>IFERROR(INDEX($B$28:$GQ$28,MATCH(178,$B$29:$GQ$29,0))/SUM($B$28:$GQ$28)*100,0)</f>
        <v/>
      </c>
      <c r="FX14" s="3">
        <f>IFERROR(INDEX($B$28:$GQ$28,MATCH(179,$B$29:$GQ$29,0))/SUM($B$28:$GQ$28)*100,0)</f>
        <v/>
      </c>
      <c r="FY14" s="3">
        <f>IFERROR(INDEX($B$28:$GQ$28,MATCH(180,$B$29:$GQ$29,0))/SUM($B$28:$GQ$28)*100,0)</f>
        <v/>
      </c>
      <c r="FZ14" s="3">
        <f>IFERROR(INDEX($B$28:$GQ$28,MATCH(181,$B$29:$GQ$29,0))/SUM($B$28:$GQ$28)*100,0)</f>
        <v/>
      </c>
      <c r="GA14" s="3">
        <f>IFERROR(INDEX($B$28:$GQ$28,MATCH(182,$B$29:$GQ$29,0))/SUM($B$28:$GQ$28)*100,0)</f>
        <v/>
      </c>
      <c r="GB14" s="3">
        <f>IFERROR(INDEX($B$28:$GQ$28,MATCH(183,$B$29:$GQ$29,0))/SUM($B$28:$GQ$28)*100,0)</f>
        <v/>
      </c>
      <c r="GC14" s="3">
        <f>IFERROR(INDEX($B$28:$GQ$28,MATCH(184,$B$29:$GQ$29,0))/SUM($B$28:$GQ$28)*100,0)</f>
        <v/>
      </c>
      <c r="GD14" s="3">
        <f>IFERROR(INDEX($B$28:$GQ$28,MATCH(185,$B$29:$GQ$29,0))/SUM($B$28:$GQ$28)*100,0)</f>
        <v/>
      </c>
      <c r="GE14" s="3">
        <f>IFERROR(INDEX($B$28:$GQ$28,MATCH(186,$B$29:$GQ$29,0))/SUM($B$28:$GQ$28)*100,0)</f>
        <v/>
      </c>
      <c r="GF14" s="3">
        <f>IFERROR(INDEX($B$28:$GQ$28,MATCH(187,$B$29:$GQ$29,0))/SUM($B$28:$GQ$28)*100,0)</f>
        <v/>
      </c>
      <c r="GG14" s="3">
        <f>IFERROR(INDEX($B$28:$GQ$28,MATCH(188,$B$29:$GQ$29,0))/SUM($B$28:$GQ$28)*100,0)</f>
        <v/>
      </c>
      <c r="GH14" s="3">
        <f>IFERROR(INDEX($B$28:$GQ$28,MATCH(189,$B$29:$GQ$29,0))/SUM($B$28:$GQ$28)*100,0)</f>
        <v/>
      </c>
      <c r="GI14" s="3">
        <f>IFERROR(INDEX($B$28:$GQ$28,MATCH(190,$B$29:$GQ$29,0))/SUM($B$28:$GQ$28)*100,0)</f>
        <v/>
      </c>
      <c r="GJ14" s="3">
        <f>IFERROR(INDEX($B$28:$GQ$28,MATCH(191,$B$29:$GQ$29,0))/SUM($B$28:$GQ$28)*100,0)</f>
        <v/>
      </c>
      <c r="GK14" s="3">
        <f>IFERROR(INDEX($B$28:$GQ$28,MATCH(192,$B$29:$GQ$29,0))/SUM($B$28:$GQ$28)*100,0)</f>
        <v/>
      </c>
      <c r="GL14" s="3">
        <f>IFERROR(INDEX($B$28:$GQ$28,MATCH(193,$B$29:$GQ$29,0))/SUM($B$28:$GQ$28)*100,0)</f>
        <v/>
      </c>
      <c r="GM14" s="3">
        <f>IFERROR(INDEX($B$28:$GQ$28,MATCH(194,$B$29:$GQ$29,0))/SUM($B$28:$GQ$28)*100,0)</f>
        <v/>
      </c>
      <c r="GN14" s="3">
        <f>IFERROR(INDEX($B$28:$GQ$28,MATCH(195,$B$29:$GQ$29,0))/SUM($B$28:$GQ$28)*100,0)</f>
        <v/>
      </c>
      <c r="GO14" s="3">
        <f>IFERROR(INDEX($B$28:$GQ$28,MATCH(196,$B$29:$GQ$29,0))/SUM($B$28:$GQ$28)*100,0)</f>
        <v/>
      </c>
      <c r="GP14" s="3">
        <f>IFERROR(INDEX($B$28:$GQ$28,MATCH(197,$B$29:$GQ$29,0))/SUM($B$28:$GQ$28)*100,0)</f>
        <v/>
      </c>
      <c r="GQ14" s="3">
        <f>IFERROR(INDEX($B$28:$GQ$28,MATCH(198,$B$29:$GQ$29,0))/SUM($B$28:$GQ$28)*100,0)</f>
        <v/>
      </c>
      <c r="GR14" s="3">
        <f>IFERROR(INDEX($GR$28:$HC$28,MATCH(1,$GR$30:$HC$30,0))/SUM($GR$28:$HC$28)*100,0)</f>
        <v/>
      </c>
      <c r="GS14" s="3">
        <f>IFERROR(INDEX($GR$28:$HC$28,MATCH(2,$GR$30:$HC$30,0))/SUM($GR$28:$HC$28)*100,0)</f>
        <v/>
      </c>
      <c r="GT14" s="3">
        <f>IFERROR(INDEX($GR$28:$HC$28,MATCH(3,$GR$30:$HC$30,0))/SUM($GR$28:$HC$28)*100,0)</f>
        <v/>
      </c>
      <c r="GU14" s="3">
        <f>IFERROR(INDEX($GR$28:$HC$28,MATCH(4,$GR$30:$HC$30,0))/SUM($GR$28:$HC$28)*100,0)</f>
        <v/>
      </c>
      <c r="GV14" s="3">
        <f>IFERROR(INDEX($GR$28:$HC$28,MATCH(5,$GR$30:$HC$30,0))/SUM($GR$28:$HC$28)*100,0)</f>
        <v/>
      </c>
      <c r="GW14" s="3">
        <f>IFERROR(INDEX($GR$28:$HC$28,MATCH(6,$GR$30:$HC$30,0))/SUM($GR$28:$HC$28)*100,0)</f>
        <v/>
      </c>
      <c r="GX14" s="3">
        <f>IFERROR(INDEX($GR$28:$HC$28,MATCH(7,$GR$30:$HC$30,0))/SUM($GR$28:$HC$28)*100,0)</f>
        <v/>
      </c>
      <c r="GY14" s="3">
        <f>IFERROR(INDEX($GR$28:$HC$28,MATCH(8,$GR$30:$HC$30,0))/SUM($GR$28:$HC$28)*100,0)</f>
        <v/>
      </c>
      <c r="GZ14" s="3">
        <f>IFERROR(INDEX($GR$28:$HC$28,MATCH(9,$GR$30:$HC$30,0))/SUM($GR$28:$HC$28)*100,0)</f>
        <v/>
      </c>
      <c r="HA14" s="3">
        <f>IFERROR(INDEX($GR$28:$HC$28,MATCH(10,$GR$30:$HC$30,0))/SUM($GR$28:$HC$28)*100,0)</f>
        <v/>
      </c>
      <c r="HB14" s="3">
        <f>IFERROR(INDEX($GR$28:$HC$28,MATCH(11,$GR$30:$HC$30,0))/SUM($GR$28:$HC$28)*100,0)</f>
        <v/>
      </c>
      <c r="HC14" s="3">
        <f>IFERROR(INDEX($GR$28:$HC$28,MATCH(12,$GR$30:$HC$30,0))/SUM($GR$28:$HC$28)*100,0)</f>
        <v/>
      </c>
    </row>
    <row r="16">
      <c r="A16" s="1" t="inlineStr">
        <is>
          <t>Données sources (ordre du bridge, non triées)</t>
        </is>
      </c>
    </row>
    <row r="17">
      <c r="A17" s="1" t="inlineStr">
        <is>
          <t>Cropland use</t>
        </is>
      </c>
      <c r="B17" s="1" t="inlineStr">
        <is>
          <t>Paddy rice</t>
        </is>
      </c>
      <c r="C17" s="1" t="inlineStr">
        <is>
          <t>Wheat</t>
        </is>
      </c>
      <c r="D17" s="1" t="inlineStr">
        <is>
          <t>Cereal grains nec</t>
        </is>
      </c>
      <c r="E17" s="1" t="inlineStr">
        <is>
          <t>Vegetables, fruit, nuts</t>
        </is>
      </c>
      <c r="F17" s="1" t="inlineStr">
        <is>
          <t>Oil seeds</t>
        </is>
      </c>
      <c r="G17" s="1" t="inlineStr">
        <is>
          <t>Sugar cane, sugar beet</t>
        </is>
      </c>
      <c r="H17" s="1" t="inlineStr">
        <is>
          <t>Plant-based fibers</t>
        </is>
      </c>
      <c r="I17" s="1" t="inlineStr">
        <is>
          <t>Crops nec</t>
        </is>
      </c>
      <c r="J17" s="1" t="inlineStr">
        <is>
          <t>Cattle</t>
        </is>
      </c>
      <c r="K17" s="1" t="inlineStr">
        <is>
          <t>Pigs</t>
        </is>
      </c>
      <c r="L17" s="1" t="inlineStr">
        <is>
          <t>Poultry</t>
        </is>
      </c>
      <c r="M17" s="1" t="inlineStr">
        <is>
          <t>Meat animals nec</t>
        </is>
      </c>
      <c r="N17" s="1" t="inlineStr">
        <is>
          <t>Animal products nec</t>
        </is>
      </c>
      <c r="O17" s="1" t="inlineStr">
        <is>
          <t>Raw milk</t>
        </is>
      </c>
      <c r="P17" s="1" t="inlineStr">
        <is>
          <t>Wool, silk-worm cocoons</t>
        </is>
      </c>
      <c r="Q17" s="1" t="inlineStr">
        <is>
          <t>Manure (conventional treatment)</t>
        </is>
      </c>
      <c r="R17" s="1" t="inlineStr">
        <is>
          <t>Manure (biogas treatment)</t>
        </is>
      </c>
      <c r="S17" s="1" t="inlineStr">
        <is>
          <t>Products of forestry, logging and related services (02)</t>
        </is>
      </c>
      <c r="T17" s="1" t="inlineStr">
        <is>
          <t>Fish and other fishing products; services incidental of fishing (05)</t>
        </is>
      </c>
      <c r="U17" s="1" t="inlineStr">
        <is>
          <t>Anthracite</t>
        </is>
      </c>
      <c r="V17" s="1" t="inlineStr">
        <is>
          <t>Coking Coal</t>
        </is>
      </c>
      <c r="W17" s="1" t="inlineStr">
        <is>
          <t>Other Bituminous Coal</t>
        </is>
      </c>
      <c r="X17" s="1" t="inlineStr">
        <is>
          <t>Sub-Bituminous Coal</t>
        </is>
      </c>
      <c r="Y17" s="1" t="inlineStr">
        <is>
          <t>Patent Fuel</t>
        </is>
      </c>
      <c r="Z17" s="1" t="inlineStr">
        <is>
          <t>Lignite/Brown Coal</t>
        </is>
      </c>
      <c r="AA17" s="1" t="inlineStr">
        <is>
          <t>BKB/Peat Briquettes</t>
        </is>
      </c>
      <c r="AB17" s="1" t="inlineStr">
        <is>
          <t>Peat</t>
        </is>
      </c>
      <c r="AC17" s="1" t="inlineStr">
        <is>
          <t>Crude petroleum and services related to crude oil extraction, excluding surveying</t>
        </is>
      </c>
      <c r="AD17" s="1" t="inlineStr">
        <is>
          <t>Natural gas and services related to natural gas extraction, excluding surveying</t>
        </is>
      </c>
      <c r="AE17" s="1" t="inlineStr">
        <is>
          <t>Natural Gas Liquids</t>
        </is>
      </c>
      <c r="AF17" s="1" t="inlineStr">
        <is>
          <t>Other Hydrocarbons</t>
        </is>
      </c>
      <c r="AG17" s="1" t="inlineStr">
        <is>
          <t>Uranium and thorium ores (12)</t>
        </is>
      </c>
      <c r="AH17" s="1" t="inlineStr">
        <is>
          <t>Iron ores</t>
        </is>
      </c>
      <c r="AI17" s="1" t="inlineStr">
        <is>
          <t>Copper ores and concentrates</t>
        </is>
      </c>
      <c r="AJ17" s="1" t="inlineStr">
        <is>
          <t>Nickel ores and concentrates</t>
        </is>
      </c>
      <c r="AK17" s="1" t="inlineStr">
        <is>
          <t>Aluminium ores and concentrates</t>
        </is>
      </c>
      <c r="AL17" s="1" t="inlineStr">
        <is>
          <t>Precious metal ores and concentrates</t>
        </is>
      </c>
      <c r="AM17" s="1" t="inlineStr">
        <is>
          <t>Lead, zinc and tin ores and concentrates</t>
        </is>
      </c>
      <c r="AN17" s="1" t="inlineStr">
        <is>
          <t>Other non-ferrous metal ores and concentrates</t>
        </is>
      </c>
      <c r="AO17" s="1" t="inlineStr">
        <is>
          <t>Stone</t>
        </is>
      </c>
      <c r="AP17" s="1" t="inlineStr">
        <is>
          <t>Sand and clay</t>
        </is>
      </c>
      <c r="AQ17" s="1" t="inlineStr">
        <is>
          <t>Chemical and fertilizer minerals, salt and other mining and quarrying products n.e.c.</t>
        </is>
      </c>
      <c r="AR17" s="1" t="inlineStr">
        <is>
          <t>Products of meat cattle</t>
        </is>
      </c>
      <c r="AS17" s="1" t="inlineStr">
        <is>
          <t>Products of meat pigs</t>
        </is>
      </c>
      <c r="AT17" s="1" t="inlineStr">
        <is>
          <t>Products of meat poultry</t>
        </is>
      </c>
      <c r="AU17" s="1" t="inlineStr">
        <is>
          <t>Meat products nec</t>
        </is>
      </c>
      <c r="AV17" s="1" t="inlineStr">
        <is>
          <t>products of Vegetable oils and fats</t>
        </is>
      </c>
      <c r="AW17" s="1" t="inlineStr">
        <is>
          <t>Dairy products</t>
        </is>
      </c>
      <c r="AX17" s="1" t="inlineStr">
        <is>
          <t>Processed rice</t>
        </is>
      </c>
      <c r="AY17" s="1" t="inlineStr">
        <is>
          <t>Sugar</t>
        </is>
      </c>
      <c r="AZ17" s="1" t="inlineStr">
        <is>
          <t>Food products nec</t>
        </is>
      </c>
      <c r="BA17" s="1" t="inlineStr">
        <is>
          <t>Beverages</t>
        </is>
      </c>
      <c r="BB17" s="1" t="inlineStr">
        <is>
          <t>Fish products</t>
        </is>
      </c>
      <c r="BC17" s="1" t="inlineStr">
        <is>
          <t>Tobacco products (16)</t>
        </is>
      </c>
      <c r="BD17" s="1" t="inlineStr">
        <is>
          <t>Textiles (17)</t>
        </is>
      </c>
      <c r="BE17" s="1" t="inlineStr">
        <is>
          <t>Wearing apparel; furs (18)</t>
        </is>
      </c>
      <c r="BF17" s="1" t="inlineStr">
        <is>
          <t>Leather and leather products (19)</t>
        </is>
      </c>
      <c r="BG17" s="1" t="inlineStr">
        <is>
          <t>Wood and products of wood and cork (except furniture); articles of straw and plaiting materials (20)</t>
        </is>
      </c>
      <c r="BH17" s="1" t="inlineStr">
        <is>
          <t>Wood material for treatment, Re-processing of secondary wood material into new wood material</t>
        </is>
      </c>
      <c r="BI17" s="1" t="inlineStr">
        <is>
          <t>Pulp</t>
        </is>
      </c>
      <c r="BJ17" s="1" t="inlineStr">
        <is>
          <t>Secondary paper for treatment, Re-processing of secondary paper into new pulp</t>
        </is>
      </c>
      <c r="BK17" s="1" t="inlineStr">
        <is>
          <t>Paper and paper products</t>
        </is>
      </c>
      <c r="BL17" s="1" t="inlineStr">
        <is>
          <t>Printed matter and recorded media (22)</t>
        </is>
      </c>
      <c r="BM17" s="1" t="inlineStr">
        <is>
          <t>Coke Oven Coke</t>
        </is>
      </c>
      <c r="BN17" s="1" t="inlineStr">
        <is>
          <t>Gas Coke</t>
        </is>
      </c>
      <c r="BO17" s="1" t="inlineStr">
        <is>
          <t>Coal Tar</t>
        </is>
      </c>
      <c r="BP17" s="1" t="inlineStr">
        <is>
          <t>Motor Gasoline</t>
        </is>
      </c>
      <c r="BQ17" s="1" t="inlineStr">
        <is>
          <t>Aviation Gasoline</t>
        </is>
      </c>
      <c r="BR17" s="1" t="inlineStr">
        <is>
          <t>Gasoline Type Jet Fuel</t>
        </is>
      </c>
      <c r="BS17" s="1" t="inlineStr">
        <is>
          <t>Kerosene Type Jet Fuel</t>
        </is>
      </c>
      <c r="BT17" s="1" t="inlineStr">
        <is>
          <t>Kerosene</t>
        </is>
      </c>
      <c r="BU17" s="1" t="inlineStr">
        <is>
          <t>Gas/Diesel Oil</t>
        </is>
      </c>
      <c r="BV17" s="1" t="inlineStr">
        <is>
          <t>Heavy Fuel Oil</t>
        </is>
      </c>
      <c r="BW17" s="1" t="inlineStr">
        <is>
          <t>Refinery Gas</t>
        </is>
      </c>
      <c r="BX17" s="1" t="inlineStr">
        <is>
          <t>Liquefied Petroleum Gases (LPG)</t>
        </is>
      </c>
      <c r="BY17" s="1" t="inlineStr">
        <is>
          <t>Refinery Feedstocks</t>
        </is>
      </c>
      <c r="BZ17" s="1" t="inlineStr">
        <is>
          <t>Ethane</t>
        </is>
      </c>
      <c r="CA17" s="1" t="inlineStr">
        <is>
          <t>Naphtha</t>
        </is>
      </c>
      <c r="CB17" s="1" t="inlineStr">
        <is>
          <t>White Spirit &amp; SBP</t>
        </is>
      </c>
      <c r="CC17" s="1" t="inlineStr">
        <is>
          <t>Lubricants</t>
        </is>
      </c>
      <c r="CD17" s="1" t="inlineStr">
        <is>
          <t>Bitumen</t>
        </is>
      </c>
      <c r="CE17" s="1" t="inlineStr">
        <is>
          <t>Paraffin Waxes</t>
        </is>
      </c>
      <c r="CF17" s="1" t="inlineStr">
        <is>
          <t>Petroleum Coke</t>
        </is>
      </c>
      <c r="CG17" s="1" t="inlineStr">
        <is>
          <t>Non-specified Petroleum Products</t>
        </is>
      </c>
      <c r="CH17" s="1" t="inlineStr">
        <is>
          <t>Nuclear fuel</t>
        </is>
      </c>
      <c r="CI17" s="1" t="inlineStr">
        <is>
          <t>Plastics, basic</t>
        </is>
      </c>
      <c r="CJ17" s="1" t="inlineStr">
        <is>
          <t>Secondary plastic for treatment, Re-processing of secondary plastic into new plastic</t>
        </is>
      </c>
      <c r="CK17" s="1" t="inlineStr">
        <is>
          <t>N-fertiliser</t>
        </is>
      </c>
      <c r="CL17" s="1" t="inlineStr">
        <is>
          <t>P- and other fertiliser</t>
        </is>
      </c>
      <c r="CM17" s="1" t="inlineStr">
        <is>
          <t>Chemicals nec</t>
        </is>
      </c>
      <c r="CN17" s="1" t="inlineStr">
        <is>
          <t>Charcoal</t>
        </is>
      </c>
      <c r="CO17" s="1" t="inlineStr">
        <is>
          <t>Additives/Blending Components</t>
        </is>
      </c>
      <c r="CP17" s="1" t="inlineStr">
        <is>
          <t>Biogasoline</t>
        </is>
      </c>
      <c r="CQ17" s="1" t="inlineStr">
        <is>
          <t>Biodiesels</t>
        </is>
      </c>
      <c r="CR17" s="1" t="inlineStr">
        <is>
          <t>Other Liquid Biofuels</t>
        </is>
      </c>
      <c r="CS17" s="1" t="inlineStr">
        <is>
          <t>Glass and glass products</t>
        </is>
      </c>
      <c r="CT17" s="1" t="inlineStr">
        <is>
          <t>Secondary glass for treatment, Re-processing of secondary glass into new glass</t>
        </is>
      </c>
      <c r="CU17" s="1" t="inlineStr">
        <is>
          <t>Ceramic goods</t>
        </is>
      </c>
      <c r="CV17" s="1" t="inlineStr">
        <is>
          <t>Bricks, tiles and construction products, in baked clay</t>
        </is>
      </c>
      <c r="CW17" s="1" t="inlineStr">
        <is>
          <t>Cement, lime and plaster</t>
        </is>
      </c>
      <c r="CX17" s="1" t="inlineStr">
        <is>
          <t>Ash for treatment, Re-processing of ash into clinker</t>
        </is>
      </c>
      <c r="CY17" s="1" t="inlineStr">
        <is>
          <t>Other non-metallic mineral products</t>
        </is>
      </c>
      <c r="CZ17" s="1" t="inlineStr">
        <is>
          <t>Basic iron and steel and of ferro-alloys and first products thereof</t>
        </is>
      </c>
      <c r="DA17" s="1" t="inlineStr">
        <is>
          <t>Secondary steel for treatment, Re-processing of secondary steel into new steel</t>
        </is>
      </c>
      <c r="DB17" s="1" t="inlineStr">
        <is>
          <t>Precious metals</t>
        </is>
      </c>
      <c r="DC17" s="1" t="inlineStr">
        <is>
          <t>Secondary preciuos metals for treatment, Re-processing of secondary preciuos metals into new preciuos metals</t>
        </is>
      </c>
      <c r="DD17" s="1" t="inlineStr">
        <is>
          <t>Aluminium and aluminium products</t>
        </is>
      </c>
      <c r="DE17" s="1" t="inlineStr">
        <is>
          <t>Secondary aluminium for treatment, Re-processing of secondary aluminium into new aluminium</t>
        </is>
      </c>
      <c r="DF17" s="1" t="inlineStr">
        <is>
          <t>Lead, zinc and tin and products thereof</t>
        </is>
      </c>
      <c r="DG17" s="1" t="inlineStr">
        <is>
          <t>Secondary lead for treatment, Re-processing of secondary lead into new lead</t>
        </is>
      </c>
      <c r="DH17" s="1" t="inlineStr">
        <is>
          <t>Copper products</t>
        </is>
      </c>
      <c r="DI17" s="1" t="inlineStr">
        <is>
          <t>Secondary copper for treatment, Re-processing of secondary copper into new copper</t>
        </is>
      </c>
      <c r="DJ17" s="1" t="inlineStr">
        <is>
          <t>Other non-ferrous metal products</t>
        </is>
      </c>
      <c r="DK17" s="1" t="inlineStr">
        <is>
          <t>Secondary other non-ferrous metals for treatment, Re-processing of secondary other non-ferrous metals into new other non-ferrous metals</t>
        </is>
      </c>
      <c r="DL17" s="1" t="inlineStr">
        <is>
          <t>Foundry work services</t>
        </is>
      </c>
      <c r="DM17" s="1" t="inlineStr">
        <is>
          <t>Fabricated metal products, except machinery and equipment (28)</t>
        </is>
      </c>
      <c r="DN17" s="1" t="inlineStr">
        <is>
          <t>Machinery and equipment n.e.c. (29)</t>
        </is>
      </c>
      <c r="DO17" s="1" t="inlineStr">
        <is>
          <t>Office machinery and computers (30)</t>
        </is>
      </c>
      <c r="DP17" s="1" t="inlineStr">
        <is>
          <t>Electrical machinery and apparatus n.e.c. (31)</t>
        </is>
      </c>
      <c r="DQ17" s="1" t="inlineStr">
        <is>
          <t>Radio, television and communication equipment and apparatus (32)</t>
        </is>
      </c>
      <c r="DR17" s="1" t="inlineStr">
        <is>
          <t>Medical, precision and optical instruments, watches and clocks (33)</t>
        </is>
      </c>
      <c r="DS17" s="1" t="inlineStr">
        <is>
          <t>Motor vehicles, trailers and semi-trailers (34)</t>
        </is>
      </c>
      <c r="DT17" s="1" t="inlineStr">
        <is>
          <t>Other transport equipment (35)</t>
        </is>
      </c>
      <c r="DU17" s="1" t="inlineStr">
        <is>
          <t>Furniture; other manufactured goods n.e.c. (36)</t>
        </is>
      </c>
      <c r="DV17" s="1" t="inlineStr">
        <is>
          <t>Secondary raw materials</t>
        </is>
      </c>
      <c r="DW17" s="1" t="inlineStr">
        <is>
          <t>Bottles for treatment, Recycling of bottles by direct reuse</t>
        </is>
      </c>
      <c r="DX17" s="1" t="inlineStr">
        <is>
          <t>Electricity by coal</t>
        </is>
      </c>
      <c r="DY17" s="1" t="inlineStr">
        <is>
          <t>Electricity by gas</t>
        </is>
      </c>
      <c r="DZ17" s="1" t="inlineStr">
        <is>
          <t>Electricity by nuclear</t>
        </is>
      </c>
      <c r="EA17" s="1" t="inlineStr">
        <is>
          <t>Electricity by hydro</t>
        </is>
      </c>
      <c r="EB17" s="1" t="inlineStr">
        <is>
          <t>Electricity by wind</t>
        </is>
      </c>
      <c r="EC17" s="1" t="inlineStr">
        <is>
          <t>Electricity by petroleum and other oil derivatives</t>
        </is>
      </c>
      <c r="ED17" s="1" t="inlineStr">
        <is>
          <t>Electricity by biomass and waste</t>
        </is>
      </c>
      <c r="EE17" s="1" t="inlineStr">
        <is>
          <t>Electricity by solar photovoltaic</t>
        </is>
      </c>
      <c r="EF17" s="1" t="inlineStr">
        <is>
          <t>Electricity by solar thermal</t>
        </is>
      </c>
      <c r="EG17" s="1" t="inlineStr">
        <is>
          <t>Electricity by tide, wave, ocean</t>
        </is>
      </c>
      <c r="EH17" s="1" t="inlineStr">
        <is>
          <t>Electricity by Geothermal</t>
        </is>
      </c>
      <c r="EI17" s="1" t="inlineStr">
        <is>
          <t>Electricity nec</t>
        </is>
      </c>
      <c r="EJ17" s="1" t="inlineStr">
        <is>
          <t>Transmission services of electricity</t>
        </is>
      </c>
      <c r="EK17" s="1" t="inlineStr">
        <is>
          <t>Distribution and trade services of electricity</t>
        </is>
      </c>
      <c r="EL17" s="1" t="inlineStr">
        <is>
          <t>Coke oven gas</t>
        </is>
      </c>
      <c r="EM17" s="1" t="inlineStr">
        <is>
          <t>Blast Furnace Gas</t>
        </is>
      </c>
      <c r="EN17" s="1" t="inlineStr">
        <is>
          <t>Oxygen Steel Furnace Gas</t>
        </is>
      </c>
      <c r="EO17" s="1" t="inlineStr">
        <is>
          <t>Gas Works Gas</t>
        </is>
      </c>
      <c r="EP17" s="1" t="inlineStr">
        <is>
          <t>Biogas</t>
        </is>
      </c>
      <c r="EQ17" s="1" t="inlineStr">
        <is>
          <t>Distribution services of gaseous fuels through mains</t>
        </is>
      </c>
      <c r="ER17" s="1" t="inlineStr">
        <is>
          <t>Steam and hot water supply services</t>
        </is>
      </c>
      <c r="ES17" s="1" t="inlineStr">
        <is>
          <t>Collected and purified water, distribution services of water (41)</t>
        </is>
      </c>
      <c r="ET17" s="1" t="inlineStr">
        <is>
          <t>Construction work (45)</t>
        </is>
      </c>
      <c r="EU17" s="1" t="inlineStr">
        <is>
          <t>Secondary construction material for treatment, Re-processing of secondary construction material into aggregates</t>
        </is>
      </c>
      <c r="EV17" s="1" t="inlineStr">
        <is>
          <t>Sale, maintenance, repair of motor vehicles, motor vehicles parts, motorcycles, motor cycles parts and accessoiries</t>
        </is>
      </c>
      <c r="EW17" s="1" t="inlineStr">
        <is>
          <t>Retail trade services of motor fuel</t>
        </is>
      </c>
      <c r="EX17" s="1" t="inlineStr">
        <is>
          <t>Wholesale trade and commission trade services, except of motor vehicles and motorcycles (51)</t>
        </is>
      </c>
      <c r="EY17" s="1" t="inlineStr">
        <is>
          <t>Retail  trade services, except of motor vehicles and motorcycles; repair services of personal and household goods (52)</t>
        </is>
      </c>
      <c r="EZ17" s="1" t="inlineStr">
        <is>
          <t>Hotel and restaurant services (55)</t>
        </is>
      </c>
      <c r="FA17" s="1" t="inlineStr">
        <is>
          <t>Railway transportation services</t>
        </is>
      </c>
      <c r="FB17" s="1" t="inlineStr">
        <is>
          <t>Other land transportation services</t>
        </is>
      </c>
      <c r="FC17" s="1" t="inlineStr">
        <is>
          <t>Transportation services via pipelines</t>
        </is>
      </c>
      <c r="FD17" s="1" t="inlineStr">
        <is>
          <t>Sea and coastal water transportation services</t>
        </is>
      </c>
      <c r="FE17" s="1" t="inlineStr">
        <is>
          <t>Inland water transportation services</t>
        </is>
      </c>
      <c r="FF17" s="1" t="inlineStr">
        <is>
          <t>Air transport services (62)</t>
        </is>
      </c>
      <c r="FG17" s="1" t="inlineStr">
        <is>
          <t>Supporting and auxiliary transport services; travel agency services (63)</t>
        </is>
      </c>
      <c r="FH17" s="1" t="inlineStr">
        <is>
          <t>Post and telecommunication services (64)</t>
        </is>
      </c>
      <c r="FI17" s="1" t="inlineStr">
        <is>
          <t>Financial intermediation services, except insurance and pension funding services (65)</t>
        </is>
      </c>
      <c r="FJ17" s="1" t="inlineStr">
        <is>
          <t>Insurance and pension funding services, except compulsory social security services (66)</t>
        </is>
      </c>
      <c r="FK17" s="1" t="inlineStr">
        <is>
          <t>Services auxiliary to financial intermediation (67)</t>
        </is>
      </c>
      <c r="FL17" s="1" t="inlineStr">
        <is>
          <t>Real estate services (70)</t>
        </is>
      </c>
      <c r="FM17" s="1" t="inlineStr">
        <is>
          <t>Renting services of machinery and equipment without operator and of personal and household goods (71)</t>
        </is>
      </c>
      <c r="FN17" s="1" t="inlineStr">
        <is>
          <t>Computer and related services (72)</t>
        </is>
      </c>
      <c r="FO17" s="1" t="inlineStr">
        <is>
          <t>Research and development services (73)</t>
        </is>
      </c>
      <c r="FP17" s="1" t="inlineStr">
        <is>
          <t>Other business services (74)</t>
        </is>
      </c>
      <c r="FQ17" s="1" t="inlineStr">
        <is>
          <t>Public administration and defence services; compulsory social security services (75)</t>
        </is>
      </c>
      <c r="FR17" s="1" t="inlineStr">
        <is>
          <t>Education services (80)</t>
        </is>
      </c>
      <c r="FS17" s="1" t="inlineStr">
        <is>
          <t>Health and social work services (85)</t>
        </is>
      </c>
      <c r="FT17" s="1" t="inlineStr">
        <is>
          <t>Food waste for treatment: incineration</t>
        </is>
      </c>
      <c r="FU17" s="1" t="inlineStr">
        <is>
          <t>Paper waste for treatment: incineration</t>
        </is>
      </c>
      <c r="FV17" s="1" t="inlineStr">
        <is>
          <t>Plastic waste for treatment: incineration</t>
        </is>
      </c>
      <c r="FW17" s="1" t="inlineStr">
        <is>
          <t>Intert/metal waste for treatment: incineration</t>
        </is>
      </c>
      <c r="FX17" s="1" t="inlineStr">
        <is>
          <t>Textiles waste for treatment: incineration</t>
        </is>
      </c>
      <c r="FY17" s="1" t="inlineStr">
        <is>
          <t>Wood waste for treatment: incineration</t>
        </is>
      </c>
      <c r="FZ17" s="1" t="inlineStr">
        <is>
          <t>Oil/hazardous waste for treatment: incineration</t>
        </is>
      </c>
      <c r="GA17" s="1" t="inlineStr">
        <is>
          <t>Food waste for treatment: biogasification and land application</t>
        </is>
      </c>
      <c r="GB17" s="1" t="inlineStr">
        <is>
          <t>Paper waste for treatment: biogasification and land application</t>
        </is>
      </c>
      <c r="GC17" s="1" t="inlineStr">
        <is>
          <t>Sewage sludge for treatment: biogasification and land application</t>
        </is>
      </c>
      <c r="GD17" s="1" t="inlineStr">
        <is>
          <t>Food waste for treatment: composting and land application</t>
        </is>
      </c>
      <c r="GE17" s="1" t="inlineStr">
        <is>
          <t>Paper and wood waste for treatment: composting and land application</t>
        </is>
      </c>
      <c r="GF17" s="1" t="inlineStr">
        <is>
          <t>Food waste for treatment: waste water treatment</t>
        </is>
      </c>
      <c r="GG17" s="1" t="inlineStr">
        <is>
          <t>Other waste for treatment: waste water treatment</t>
        </is>
      </c>
      <c r="GH17" s="1" t="inlineStr">
        <is>
          <t>Food waste for treatment: landfill</t>
        </is>
      </c>
      <c r="GI17" s="1" t="inlineStr">
        <is>
          <t>Paper for treatment: landfill</t>
        </is>
      </c>
      <c r="GJ17" s="1" t="inlineStr">
        <is>
          <t>Plastic waste for treatment: landfill</t>
        </is>
      </c>
      <c r="GK17" s="1" t="inlineStr">
        <is>
          <t>Inert/metal/hazardous waste for treatment: landfill</t>
        </is>
      </c>
      <c r="GL17" s="1" t="inlineStr">
        <is>
          <t>Textiles waste for treatment: landfill</t>
        </is>
      </c>
      <c r="GM17" s="1" t="inlineStr">
        <is>
          <t>Wood waste for treatment: landfill</t>
        </is>
      </c>
      <c r="GN17" s="1" t="inlineStr">
        <is>
          <t>Membership organisation services n.e.c. (91)</t>
        </is>
      </c>
      <c r="GO17" s="1" t="inlineStr">
        <is>
          <t>Recreational, cultural and sporting services (92)</t>
        </is>
      </c>
      <c r="GP17" s="1" t="inlineStr">
        <is>
          <t>Other services (93)</t>
        </is>
      </c>
      <c r="GQ17" s="1" t="inlineStr">
        <is>
          <t>Extra-territorial organizations and bodies</t>
        </is>
      </c>
      <c r="GR17" s="1" t="inlineStr">
        <is>
          <t>Vegetables, fruits, nuts</t>
        </is>
      </c>
      <c r="GS17" s="1" t="inlineStr">
        <is>
          <t>Cattle</t>
        </is>
      </c>
      <c r="GT17" s="1" t="inlineStr">
        <is>
          <t>Meat nec</t>
        </is>
      </c>
      <c r="GU17" s="1" t="inlineStr">
        <is>
          <t>Animal nec</t>
        </is>
      </c>
      <c r="GV17" s="1" t="inlineStr">
        <is>
          <t>Dairy products</t>
        </is>
      </c>
      <c r="GW17" s="1" t="inlineStr">
        <is>
          <t>Food nec</t>
        </is>
      </c>
      <c r="GX17" s="1" t="inlineStr">
        <is>
          <t>Housing</t>
        </is>
      </c>
      <c r="GY17" s="1" t="inlineStr">
        <is>
          <t>Mobility</t>
        </is>
      </c>
      <c r="GZ17" s="1" t="inlineStr">
        <is>
          <t>Textiles</t>
        </is>
      </c>
      <c r="HA17" s="1" t="inlineStr">
        <is>
          <t>Final goods nec</t>
        </is>
      </c>
      <c r="HB17" s="1" t="inlineStr">
        <is>
          <t>Hotel &amp; restaurant</t>
        </is>
      </c>
      <c r="HC17" s="1" t="inlineStr">
        <is>
          <t>Final services</t>
        </is>
      </c>
    </row>
    <row r="18">
      <c r="A18" s="1" t="inlineStr">
        <is>
          <t>M_imp</t>
        </is>
      </c>
      <c r="B18" t="n">
        <v>0.02419907152978228</v>
      </c>
      <c r="C18" t="n">
        <v>0.02051359214008478</v>
      </c>
      <c r="D18" t="n">
        <v>0.01355143017047684</v>
      </c>
      <c r="E18" t="n">
        <v>0.07984187160389331</v>
      </c>
      <c r="F18" t="n">
        <v>0.0358949817118711</v>
      </c>
      <c r="G18" t="n">
        <v>0.001737875660234708</v>
      </c>
      <c r="H18" t="n">
        <v>0.01180486074853024</v>
      </c>
      <c r="I18" t="n">
        <v>0.002725276952277168</v>
      </c>
      <c r="J18" t="n">
        <v>0.3581978326071154</v>
      </c>
      <c r="K18" t="n">
        <v>0.206889728397399</v>
      </c>
      <c r="L18" t="n">
        <v>0.1968158085444517</v>
      </c>
      <c r="M18" t="n">
        <v>0.2137088118350744</v>
      </c>
      <c r="N18" t="n">
        <v>0.3149403180290738</v>
      </c>
      <c r="O18" t="n">
        <v>0.3485825872751698</v>
      </c>
      <c r="P18" t="n">
        <v>0.1604422851004671</v>
      </c>
      <c r="Q18" t="n">
        <v>0</v>
      </c>
      <c r="R18" t="n">
        <v>0</v>
      </c>
      <c r="S18" t="n">
        <v>0.01198719267427326</v>
      </c>
      <c r="T18" t="n">
        <v>0.3224568997104322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0.0671050711855055</v>
      </c>
      <c r="AD18" t="n">
        <v>1.001336874004983</v>
      </c>
      <c r="AE18" t="n">
        <v>0.004941370577252388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0.007189009245528251</v>
      </c>
      <c r="AO18" t="n">
        <v>0.006937710642784741</v>
      </c>
      <c r="AP18" t="n">
        <v>0.0001941234995645838</v>
      </c>
      <c r="AQ18" t="n">
        <v>0.003970688735146713</v>
      </c>
      <c r="AR18" t="n">
        <v>0.2059044155485753</v>
      </c>
      <c r="AS18" t="n">
        <v>0.1282088670932341</v>
      </c>
      <c r="AT18" t="n">
        <v>0.216590661760227</v>
      </c>
      <c r="AU18" t="n">
        <v>0.3613485902373699</v>
      </c>
      <c r="AV18" t="n">
        <v>0.2005914277639284</v>
      </c>
      <c r="AW18" t="n">
        <v>0.1717296301595791</v>
      </c>
      <c r="AX18" t="n">
        <v>0.02763438270120173</v>
      </c>
      <c r="AY18" t="n">
        <v>0.07435928084799619</v>
      </c>
      <c r="AZ18" t="n">
        <v>0.3064134259754444</v>
      </c>
      <c r="BA18" t="n">
        <v>0.1724726360002135</v>
      </c>
      <c r="BB18" t="n">
        <v>0.3946154928965084</v>
      </c>
      <c r="BC18" t="n">
        <v>0.02610062363030524</v>
      </c>
      <c r="BD18" t="n">
        <v>0.05589888205068031</v>
      </c>
      <c r="BE18" t="n">
        <v>0.03171008598246387</v>
      </c>
      <c r="BF18" t="n">
        <v>0.059297251070029</v>
      </c>
      <c r="BG18" t="n">
        <v>0.02574933217752697</v>
      </c>
      <c r="BH18" t="n">
        <v>0.02020291392615402</v>
      </c>
      <c r="BI18" t="n">
        <v>0.02071545377488612</v>
      </c>
      <c r="BJ18" t="n">
        <v>0.01919859759253377</v>
      </c>
      <c r="BK18" t="n">
        <v>0.05009127847949946</v>
      </c>
      <c r="BL18" t="n">
        <v>0.0184558518623583</v>
      </c>
      <c r="BM18" t="n">
        <v>0.002099225719972561</v>
      </c>
      <c r="BN18" t="n">
        <v>0</v>
      </c>
      <c r="BO18" t="n">
        <v>0.04706563688004154</v>
      </c>
      <c r="BP18" t="n">
        <v>0.09884871168770563</v>
      </c>
      <c r="BQ18" t="n">
        <v>0</v>
      </c>
      <c r="BR18" t="n">
        <v>0</v>
      </c>
      <c r="BS18" t="n">
        <v>0.02547769260631015</v>
      </c>
      <c r="BT18" t="n">
        <v>0</v>
      </c>
      <c r="BU18" t="n">
        <v>0.04407824807252027</v>
      </c>
      <c r="BV18" t="n">
        <v>0.01521011819045769</v>
      </c>
      <c r="BW18" t="n">
        <v>0.0001297400516705341</v>
      </c>
      <c r="BX18" t="n">
        <v>0.02582547510982051</v>
      </c>
      <c r="BY18" t="n">
        <v>0.0247639363762457</v>
      </c>
      <c r="BZ18" t="n">
        <v>0</v>
      </c>
      <c r="CA18" t="n">
        <v>0.01360333716506808</v>
      </c>
      <c r="CB18" t="n">
        <v>0.02783944135487176</v>
      </c>
      <c r="CC18" t="n">
        <v>0.04705650373599951</v>
      </c>
      <c r="CD18" t="n">
        <v>0.005147148593250861</v>
      </c>
      <c r="CE18" t="n">
        <v>0.00573472958320965</v>
      </c>
      <c r="CF18" t="n">
        <v>0.008627350847260681</v>
      </c>
      <c r="CG18" t="n">
        <v>0.005490550779500109</v>
      </c>
      <c r="CH18" t="n">
        <v>0.0001367765777927823</v>
      </c>
      <c r="CI18" t="n">
        <v>0.0426279995989677</v>
      </c>
      <c r="CJ18" t="n">
        <v>0.03596284738143922</v>
      </c>
      <c r="CK18" t="n">
        <v>0.01319506087847388</v>
      </c>
      <c r="CL18" t="n">
        <v>0.02036214504444105</v>
      </c>
      <c r="CM18" t="n">
        <v>0.05010110540926217</v>
      </c>
      <c r="CN18" t="n">
        <v>0</v>
      </c>
      <c r="CO18" t="n">
        <v>0.01083616935170056</v>
      </c>
      <c r="CP18" t="n">
        <v>0.02049851614924062</v>
      </c>
      <c r="CQ18" t="n">
        <v>0.008502730648891866</v>
      </c>
      <c r="CR18" t="n">
        <v>0</v>
      </c>
      <c r="CS18" t="n">
        <v>0.02301532733048316</v>
      </c>
      <c r="CT18" t="n">
        <v>0.01741815892791213</v>
      </c>
      <c r="CU18" t="n">
        <v>0.02608121647366736</v>
      </c>
      <c r="CV18" t="n">
        <v>0.02230231726805052</v>
      </c>
      <c r="CW18" t="n">
        <v>0.01699902091974985</v>
      </c>
      <c r="CX18" t="n">
        <v>0.01528693096058273</v>
      </c>
      <c r="CY18" t="n">
        <v>0.02537691658312526</v>
      </c>
      <c r="CZ18" t="n">
        <v>0.02319679607753818</v>
      </c>
      <c r="DA18" t="n">
        <v>0.01914834426302459</v>
      </c>
      <c r="DB18" t="n">
        <v>0.04168496058147558</v>
      </c>
      <c r="DC18" t="n">
        <v>0</v>
      </c>
      <c r="DD18" t="n">
        <v>0.02969267767815409</v>
      </c>
      <c r="DE18" t="n">
        <v>0.02884832231925734</v>
      </c>
      <c r="DF18" t="n">
        <v>0.04851354297240047</v>
      </c>
      <c r="DG18" t="n">
        <v>0.06087151368464413</v>
      </c>
      <c r="DH18" t="n">
        <v>0.03899879612429386</v>
      </c>
      <c r="DI18" t="n">
        <v>0</v>
      </c>
      <c r="DJ18" t="n">
        <v>0.03832655797046937</v>
      </c>
      <c r="DK18" t="n">
        <v>0</v>
      </c>
      <c r="DL18" t="n">
        <v>0.02269655802562656</v>
      </c>
      <c r="DM18" t="n">
        <v>0.01966038134713715</v>
      </c>
      <c r="DN18" t="n">
        <v>0.02136243435104165</v>
      </c>
      <c r="DO18" t="n">
        <v>0.02617827931529039</v>
      </c>
      <c r="DP18" t="n">
        <v>0.01976222586198716</v>
      </c>
      <c r="DQ18" t="n">
        <v>0.0216691041691763</v>
      </c>
      <c r="DR18" t="n">
        <v>0.01662727771041703</v>
      </c>
      <c r="DS18" t="n">
        <v>0.02577337261140212</v>
      </c>
      <c r="DT18" t="n">
        <v>0.02035856175939611</v>
      </c>
      <c r="DU18" t="n">
        <v>0.02414744237173311</v>
      </c>
      <c r="DV18" t="n">
        <v>0</v>
      </c>
      <c r="DW18" t="n">
        <v>0</v>
      </c>
      <c r="DX18" t="n">
        <v>0.1230276698147269</v>
      </c>
      <c r="DY18" t="n">
        <v>0.02380054049100857</v>
      </c>
      <c r="DZ18" t="n">
        <v>0.01758202474805623</v>
      </c>
      <c r="EA18" t="n">
        <v>0.02223715997690367</v>
      </c>
      <c r="EB18" t="n">
        <v>0.009238693430254206</v>
      </c>
      <c r="EC18" t="n">
        <v>0.1002740598963784</v>
      </c>
      <c r="ED18" t="n">
        <v>0.018367983052453</v>
      </c>
      <c r="EE18" t="n">
        <v>0.001915236308434895</v>
      </c>
      <c r="EF18" t="n">
        <v>0</v>
      </c>
      <c r="EG18" t="n">
        <v>0.0266066891296999</v>
      </c>
      <c r="EH18" t="n">
        <v>0</v>
      </c>
      <c r="EI18" t="n">
        <v>0</v>
      </c>
      <c r="EJ18" t="n">
        <v>0.009975734740426496</v>
      </c>
      <c r="EK18" t="n">
        <v>0.009405114119935993</v>
      </c>
      <c r="EL18" t="n">
        <v>0.002223166195866043</v>
      </c>
      <c r="EM18" t="n">
        <v>0.004558276234009302</v>
      </c>
      <c r="EN18" t="n">
        <v>4.197858026340177e-10</v>
      </c>
      <c r="EO18" t="n">
        <v>0</v>
      </c>
      <c r="EP18" t="n">
        <v>0.00945408515769103</v>
      </c>
      <c r="EQ18" t="n">
        <v>0.02038654579751775</v>
      </c>
      <c r="ER18" t="n">
        <v>0.09311097991449784</v>
      </c>
      <c r="ES18" t="n">
        <v>0.013549557600543</v>
      </c>
      <c r="ET18" t="n">
        <v>0.01790259118935103</v>
      </c>
      <c r="EU18" t="n">
        <v>0</v>
      </c>
      <c r="EV18" t="n">
        <v>0.006564913388319781</v>
      </c>
      <c r="EW18" t="n">
        <v>0.02284273782775539</v>
      </c>
      <c r="EX18" t="n">
        <v>0.009221146363866294</v>
      </c>
      <c r="EY18" t="n">
        <v>0.01004930676716803</v>
      </c>
      <c r="EZ18" t="n">
        <v>0.04648740086761261</v>
      </c>
      <c r="FA18" t="n">
        <v>0.02201262160461413</v>
      </c>
      <c r="FB18" t="n">
        <v>0.01516797486694573</v>
      </c>
      <c r="FC18" t="n">
        <v>0.07372771500162949</v>
      </c>
      <c r="FD18" t="n">
        <v>0.08260077334909816</v>
      </c>
      <c r="FE18" t="n">
        <v>0.1626604480465324</v>
      </c>
      <c r="FF18" t="n">
        <v>0.04474242923297352</v>
      </c>
      <c r="FG18" t="n">
        <v>0.01503756350546756</v>
      </c>
      <c r="FH18" t="n">
        <v>0.01118873275724919</v>
      </c>
      <c r="FI18" t="n">
        <v>0.01521876449351841</v>
      </c>
      <c r="FJ18" t="n">
        <v>0.01835818280031556</v>
      </c>
      <c r="FK18" t="n">
        <v>0.02237542798933168</v>
      </c>
      <c r="FL18" t="n">
        <v>0.01246692484514389</v>
      </c>
      <c r="FM18" t="n">
        <v>0.01610809209904826</v>
      </c>
      <c r="FN18" t="n">
        <v>0.01581976139806069</v>
      </c>
      <c r="FO18" t="n">
        <v>0.04639250622387443</v>
      </c>
      <c r="FP18" t="n">
        <v>0.01508300940875205</v>
      </c>
      <c r="FQ18" t="n">
        <v>0.01738434199248151</v>
      </c>
      <c r="FR18" t="n">
        <v>0.01468346672513896</v>
      </c>
      <c r="FS18" t="n">
        <v>0.01355938368974654</v>
      </c>
      <c r="FT18" t="n">
        <v>0.01375419891514411</v>
      </c>
      <c r="FU18" t="n">
        <v>0.0138928831322453</v>
      </c>
      <c r="FV18" t="n">
        <v>0.01534673942870047</v>
      </c>
      <c r="FW18" t="n">
        <v>0.01406646543625059</v>
      </c>
      <c r="FX18" t="n">
        <v>0.01384416918888978</v>
      </c>
      <c r="FY18" t="n">
        <v>0.01426521928647185</v>
      </c>
      <c r="FZ18" t="n">
        <v>0.01334612324542156</v>
      </c>
      <c r="GA18" t="n">
        <v>0.01280497710808604</v>
      </c>
      <c r="GB18" t="n">
        <v>0.0125164767901799</v>
      </c>
      <c r="GC18" t="n">
        <v>0.01462015845449327</v>
      </c>
      <c r="GD18" t="n">
        <v>0.01385630110171973</v>
      </c>
      <c r="GE18" t="n">
        <v>0.1292489763683692</v>
      </c>
      <c r="GF18" t="n">
        <v>0.01669841154695104</v>
      </c>
      <c r="GG18" t="n">
        <v>0.01722161546007684</v>
      </c>
      <c r="GH18" t="n">
        <v>0.01650670288064781</v>
      </c>
      <c r="GI18" t="n">
        <v>0.01607464647741225</v>
      </c>
      <c r="GJ18" t="n">
        <v>0.0191533839410402</v>
      </c>
      <c r="GK18" t="n">
        <v>0.01365999352071601</v>
      </c>
      <c r="GL18" t="n">
        <v>0.01657157957920279</v>
      </c>
      <c r="GM18" t="n">
        <v>0.01464923220177919</v>
      </c>
      <c r="GN18" t="n">
        <v>0.02337006539845269</v>
      </c>
      <c r="GO18" t="n">
        <v>0.02988568732151404</v>
      </c>
      <c r="GP18" t="n">
        <v>0.03359808565346223</v>
      </c>
      <c r="GQ18" t="n">
        <v>0</v>
      </c>
      <c r="GR18" t="n">
        <v>0.08015772124005367</v>
      </c>
      <c r="GS18" t="n">
        <v>0.2059044155485753</v>
      </c>
      <c r="GT18" t="n">
        <v>0.282717391958141</v>
      </c>
      <c r="GU18" t="n">
        <v>0.1779847825739264</v>
      </c>
      <c r="GV18" t="n">
        <v>0.1745479940130256</v>
      </c>
      <c r="GW18" t="n">
        <v>0.2642714055142601</v>
      </c>
      <c r="GX18" t="n">
        <v>0.01772136057300512</v>
      </c>
      <c r="GY18" t="n">
        <v>0.02984861283687157</v>
      </c>
      <c r="GZ18" t="n">
        <v>0.04187941074515462</v>
      </c>
      <c r="HA18" t="n">
        <v>0.03062057005691021</v>
      </c>
      <c r="HB18" t="n">
        <v>0.04648740086761261</v>
      </c>
      <c r="HC18" t="n">
        <v>0.01664376174502691</v>
      </c>
    </row>
    <row r="19">
      <c r="A19" s="1" t="inlineStr">
        <is>
          <t>M_dom</t>
        </is>
      </c>
      <c r="B19" t="n">
        <v>4.047052759948543</v>
      </c>
      <c r="C19" t="n">
        <v>2.017888141914036</v>
      </c>
      <c r="D19" t="n">
        <v>1.114163080929499</v>
      </c>
      <c r="E19" t="n">
        <v>0.8953654566539677</v>
      </c>
      <c r="F19" t="n">
        <v>3.581227469700463</v>
      </c>
      <c r="G19" t="n">
        <v>0.1163870039537666</v>
      </c>
      <c r="H19" t="n">
        <v>0.2627997012971492</v>
      </c>
      <c r="I19" t="n">
        <v>0.005427398279789949</v>
      </c>
      <c r="J19" t="n">
        <v>4.22230181458387</v>
      </c>
      <c r="K19" t="n">
        <v>1.465030195731769</v>
      </c>
      <c r="L19" t="n">
        <v>0.7073014358900357</v>
      </c>
      <c r="M19" t="n">
        <v>0.9184355131333014</v>
      </c>
      <c r="N19" t="n">
        <v>0.5554713442791468</v>
      </c>
      <c r="O19" t="n">
        <v>2.246336954099754</v>
      </c>
      <c r="P19" t="n">
        <v>0.07682177574344196</v>
      </c>
      <c r="Q19" t="n">
        <v>0</v>
      </c>
      <c r="R19" t="n">
        <v>0</v>
      </c>
      <c r="S19" t="n">
        <v>0.00586063369916068</v>
      </c>
      <c r="T19" t="n">
        <v>0.138319329306657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0.002985494155483899</v>
      </c>
      <c r="AD19" t="n">
        <v>0.05066428824860273</v>
      </c>
      <c r="AE19" t="n">
        <v>0.0002500353580924044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1.765077007846966e-05</v>
      </c>
      <c r="AO19" t="n">
        <v>0.003413948584555375</v>
      </c>
      <c r="AP19" t="n">
        <v>0.00010834259081029</v>
      </c>
      <c r="AQ19" t="n">
        <v>0.002003537034075679</v>
      </c>
      <c r="AR19" t="n">
        <v>1.691388082229619</v>
      </c>
      <c r="AS19" t="n">
        <v>0.4438026382701623</v>
      </c>
      <c r="AT19" t="n">
        <v>0.2966309692091233</v>
      </c>
      <c r="AU19" t="n">
        <v>0.4031216502816472</v>
      </c>
      <c r="AV19" t="n">
        <v>0.3325441041912532</v>
      </c>
      <c r="AW19" t="n">
        <v>0.7250412972524616</v>
      </c>
      <c r="AX19" t="n">
        <v>0.032881622219947</v>
      </c>
      <c r="AY19" t="n">
        <v>0.9712251179698956</v>
      </c>
      <c r="AZ19" t="n">
        <v>0.667183734987758</v>
      </c>
      <c r="BA19" t="n">
        <v>0.4762013725343781</v>
      </c>
      <c r="BB19" t="n">
        <v>0.8558543320542036</v>
      </c>
      <c r="BC19" t="n">
        <v>0.004278144805669567</v>
      </c>
      <c r="BD19" t="n">
        <v>0.00962782442440358</v>
      </c>
      <c r="BE19" t="n">
        <v>0.005072917346498613</v>
      </c>
      <c r="BF19" t="n">
        <v>0.04366969807271644</v>
      </c>
      <c r="BG19" t="n">
        <v>0.005756719425062735</v>
      </c>
      <c r="BH19" t="n">
        <v>0.004038089141042004</v>
      </c>
      <c r="BI19" t="n">
        <v>0.002460529073594081</v>
      </c>
      <c r="BJ19" t="n">
        <v>0.002268972678715556</v>
      </c>
      <c r="BK19" t="n">
        <v>0.01413475296313894</v>
      </c>
      <c r="BL19" t="n">
        <v>0.003577952434519014</v>
      </c>
      <c r="BM19" t="n">
        <v>5.815766954740831e-05</v>
      </c>
      <c r="BN19" t="n">
        <v>0</v>
      </c>
      <c r="BO19" t="n">
        <v>0.001303888367153732</v>
      </c>
      <c r="BP19" t="n">
        <v>0.003629965891196985</v>
      </c>
      <c r="BQ19" t="n">
        <v>0</v>
      </c>
      <c r="BR19" t="n">
        <v>0</v>
      </c>
      <c r="BS19" t="n">
        <v>0.000935601207785161</v>
      </c>
      <c r="BT19" t="n">
        <v>0</v>
      </c>
      <c r="BU19" t="n">
        <v>0.001618668135399508</v>
      </c>
      <c r="BV19" t="n">
        <v>0.0005585520440720291</v>
      </c>
      <c r="BW19" t="n">
        <v>4.764421576683783e-06</v>
      </c>
      <c r="BX19" t="n">
        <v>0.0009483731791536078</v>
      </c>
      <c r="BY19" t="n">
        <v>0.0009094031766783722</v>
      </c>
      <c r="BZ19" t="n">
        <v>0</v>
      </c>
      <c r="CA19" t="n">
        <v>0.0004995466619946478</v>
      </c>
      <c r="CB19" t="n">
        <v>0.001022345162062823</v>
      </c>
      <c r="CC19" t="n">
        <v>0.001728050440920886</v>
      </c>
      <c r="CD19" t="n">
        <v>0.0001890183376560535</v>
      </c>
      <c r="CE19" t="n">
        <v>0.0002105949581934635</v>
      </c>
      <c r="CF19" t="n">
        <v>0.000316818830776592</v>
      </c>
      <c r="CG19" t="n">
        <v>0.000201626117103848</v>
      </c>
      <c r="CH19" t="n">
        <v>3.30239676385386e-05</v>
      </c>
      <c r="CI19" t="n">
        <v>0.0153064023620138</v>
      </c>
      <c r="CJ19" t="n">
        <v>0.01627245458268874</v>
      </c>
      <c r="CK19" t="n">
        <v>0.001495148896745777</v>
      </c>
      <c r="CL19" t="n">
        <v>0.002351328915010416</v>
      </c>
      <c r="CM19" t="n">
        <v>0.01701533186586662</v>
      </c>
      <c r="CN19" t="n">
        <v>0</v>
      </c>
      <c r="CO19" t="n">
        <v>0.003678182204990447</v>
      </c>
      <c r="CP19" t="n">
        <v>0.006957891160859925</v>
      </c>
      <c r="CQ19" t="n">
        <v>0.002885970728244077</v>
      </c>
      <c r="CR19" t="n">
        <v>0</v>
      </c>
      <c r="CS19" t="n">
        <v>0.00279279629894382</v>
      </c>
      <c r="CT19" t="n">
        <v>0.002357709355567733</v>
      </c>
      <c r="CU19" t="n">
        <v>0.003857252744044264</v>
      </c>
      <c r="CV19" t="n">
        <v>0.007230260690365991</v>
      </c>
      <c r="CW19" t="n">
        <v>0.002856953279533388</v>
      </c>
      <c r="CX19" t="n">
        <v>0.00282585083152527</v>
      </c>
      <c r="CY19" t="n">
        <v>0.005882748582939243</v>
      </c>
      <c r="CZ19" t="n">
        <v>0.004214077731616001</v>
      </c>
      <c r="DA19" t="n">
        <v>0.004458772631286818</v>
      </c>
      <c r="DB19" t="n">
        <v>0.004162677725598245</v>
      </c>
      <c r="DC19" t="n">
        <v>0</v>
      </c>
      <c r="DD19" t="n">
        <v>0.002381677889316386</v>
      </c>
      <c r="DE19" t="n">
        <v>0.002523469437623605</v>
      </c>
      <c r="DF19" t="n">
        <v>0.0013842085351882</v>
      </c>
      <c r="DG19" t="n">
        <v>0.001650214085096095</v>
      </c>
      <c r="DH19" t="n">
        <v>0.00182646779341586</v>
      </c>
      <c r="DI19" t="n">
        <v>0</v>
      </c>
      <c r="DJ19" t="n">
        <v>0.002256392312402828</v>
      </c>
      <c r="DK19" t="n">
        <v>0</v>
      </c>
      <c r="DL19" t="n">
        <v>0.002821396365680549</v>
      </c>
      <c r="DM19" t="n">
        <v>0.002123741858126783</v>
      </c>
      <c r="DN19" t="n">
        <v>0.002436734780575294</v>
      </c>
      <c r="DO19" t="n">
        <v>0.003470556153003072</v>
      </c>
      <c r="DP19" t="n">
        <v>0.00241997662745226</v>
      </c>
      <c r="DQ19" t="n">
        <v>0.003184538654855955</v>
      </c>
      <c r="DR19" t="n">
        <v>0.002562774736416167</v>
      </c>
      <c r="DS19" t="n">
        <v>0.002956432476725271</v>
      </c>
      <c r="DT19" t="n">
        <v>0.001847948432650427</v>
      </c>
      <c r="DU19" t="n">
        <v>0.003723561669175408</v>
      </c>
      <c r="DV19" t="n">
        <v>0</v>
      </c>
      <c r="DW19" t="n">
        <v>0</v>
      </c>
      <c r="DX19" t="n">
        <v>0.01018528939380158</v>
      </c>
      <c r="DY19" t="n">
        <v>0.004272412979806452</v>
      </c>
      <c r="DZ19" t="n">
        <v>0.002298198339580313</v>
      </c>
      <c r="EA19" t="n">
        <v>0.002535307139901165</v>
      </c>
      <c r="EB19" t="n">
        <v>0.001033355039843499</v>
      </c>
      <c r="EC19" t="n">
        <v>0.006357305566501634</v>
      </c>
      <c r="ED19" t="n">
        <v>0.002601313208956819</v>
      </c>
      <c r="EE19" t="n">
        <v>0.0002255292575446489</v>
      </c>
      <c r="EF19" t="n">
        <v>0</v>
      </c>
      <c r="EG19" t="n">
        <v>0.003657083613499109</v>
      </c>
      <c r="EH19" t="n">
        <v>0</v>
      </c>
      <c r="EI19" t="n">
        <v>0</v>
      </c>
      <c r="EJ19" t="n">
        <v>0.0007642074913104842</v>
      </c>
      <c r="EK19" t="n">
        <v>0.0007149712773549857</v>
      </c>
      <c r="EL19" t="n">
        <v>0.0002264338881067521</v>
      </c>
      <c r="EM19" t="n">
        <v>0.0004634556042606872</v>
      </c>
      <c r="EN19" t="n">
        <v>7.943746657850906e-11</v>
      </c>
      <c r="EO19" t="n">
        <v>0</v>
      </c>
      <c r="EP19" t="n">
        <v>0.0009615812404920976</v>
      </c>
      <c r="EQ19" t="n">
        <v>0.002072064189060903</v>
      </c>
      <c r="ER19" t="n">
        <v>0.01269663007641549</v>
      </c>
      <c r="ES19" t="n">
        <v>0.002842210767291158</v>
      </c>
      <c r="ET19" t="n">
        <v>0.002901962637818565</v>
      </c>
      <c r="EU19" t="n">
        <v>0</v>
      </c>
      <c r="EV19" t="n">
        <v>0.0005866052033987168</v>
      </c>
      <c r="EW19" t="n">
        <v>0.009615871552428466</v>
      </c>
      <c r="EX19" t="n">
        <v>0.001782606124707116</v>
      </c>
      <c r="EY19" t="n">
        <v>0.002096657296294584</v>
      </c>
      <c r="EZ19" t="n">
        <v>0.06997841962336521</v>
      </c>
      <c r="FA19" t="n">
        <v>0.002052479828877871</v>
      </c>
      <c r="FB19" t="n">
        <v>0.001646555300844604</v>
      </c>
      <c r="FC19" t="n">
        <v>0.00287978785550971</v>
      </c>
      <c r="FD19" t="n">
        <v>0.002761336557098888</v>
      </c>
      <c r="FE19" t="n">
        <v>0.007694841385786974</v>
      </c>
      <c r="FF19" t="n">
        <v>0.00561639447775149</v>
      </c>
      <c r="FG19" t="n">
        <v>0.001979624238453328</v>
      </c>
      <c r="FH19" t="n">
        <v>0.003080703696602202</v>
      </c>
      <c r="FI19" t="n">
        <v>0.002192302113392126</v>
      </c>
      <c r="FJ19" t="n">
        <v>0.002983839075403978</v>
      </c>
      <c r="FK19" t="n">
        <v>0.003180442491330509</v>
      </c>
      <c r="FL19" t="n">
        <v>0.002197807072485947</v>
      </c>
      <c r="FM19" t="n">
        <v>0.007145695673214636</v>
      </c>
      <c r="FN19" t="n">
        <v>0.003996568942937245</v>
      </c>
      <c r="FO19" t="n">
        <v>0.01211402041309813</v>
      </c>
      <c r="FP19" t="n">
        <v>0.005575099808384658</v>
      </c>
      <c r="FQ19" t="n">
        <v>0.004127548701977537</v>
      </c>
      <c r="FR19" t="n">
        <v>0.01116152955972851</v>
      </c>
      <c r="FS19" t="n">
        <v>0.00689705774004344</v>
      </c>
      <c r="FT19" t="n">
        <v>0.002955506499841775</v>
      </c>
      <c r="FU19" t="n">
        <v>0.00294472298358757</v>
      </c>
      <c r="FV19" t="n">
        <v>0.002923288628586965</v>
      </c>
      <c r="FW19" t="n">
        <v>0.00294897560935144</v>
      </c>
      <c r="FX19" t="n">
        <v>0.00288115457275663</v>
      </c>
      <c r="FY19" t="n">
        <v>0.002926286668365008</v>
      </c>
      <c r="FZ19" t="n">
        <v>0.002928156595424515</v>
      </c>
      <c r="GA19" t="n">
        <v>0.002842218361958043</v>
      </c>
      <c r="GB19" t="n">
        <v>0.002677167856561847</v>
      </c>
      <c r="GC19" t="n">
        <v>0.002780267520629569</v>
      </c>
      <c r="GD19" t="n">
        <v>0.002856690398375517</v>
      </c>
      <c r="GE19" t="n">
        <v>0.001235020467095687</v>
      </c>
      <c r="GF19" t="n">
        <v>0.002923880430902896</v>
      </c>
      <c r="GG19" t="n">
        <v>0.002905443930009975</v>
      </c>
      <c r="GH19" t="n">
        <v>0.002864739901523929</v>
      </c>
      <c r="GI19" t="n">
        <v>0.00288202672099481</v>
      </c>
      <c r="GJ19" t="n">
        <v>0.002845243211836615</v>
      </c>
      <c r="GK19" t="n">
        <v>0.00291353837253727</v>
      </c>
      <c r="GL19" t="n">
        <v>0.002855635813141131</v>
      </c>
      <c r="GM19" t="n">
        <v>0.002870413004944556</v>
      </c>
      <c r="GN19" t="n">
        <v>0.005057836950120015</v>
      </c>
      <c r="GO19" t="n">
        <v>0.01696931077230384</v>
      </c>
      <c r="GP19" t="n">
        <v>0.0008735884850304456</v>
      </c>
      <c r="GQ19" t="n">
        <v>0</v>
      </c>
      <c r="GR19" t="n">
        <v>0.8938932614339452</v>
      </c>
      <c r="GS19" t="n">
        <v>1.691388082229619</v>
      </c>
      <c r="GT19" t="n">
        <v>0.4402514875952907</v>
      </c>
      <c r="GU19" t="n">
        <v>0.7067866003095737</v>
      </c>
      <c r="GV19" t="n">
        <v>0.749284967019663</v>
      </c>
      <c r="GW19" t="n">
        <v>0.6955703746146793</v>
      </c>
      <c r="GX19" t="n">
        <v>0.003845213801087228</v>
      </c>
      <c r="GY19" t="n">
        <v>0.002764714685065609</v>
      </c>
      <c r="GZ19" t="n">
        <v>0.007749798604172716</v>
      </c>
      <c r="HA19" t="n">
        <v>0.00419291981571605</v>
      </c>
      <c r="HB19" t="n">
        <v>0.06997841962336521</v>
      </c>
      <c r="HC19" t="n">
        <v>0.006813777745956287</v>
      </c>
    </row>
    <row r="20">
      <c r="A20" s="1" t="inlineStr">
        <is>
          <t>M_row</t>
        </is>
      </c>
      <c r="B20" t="n">
        <v>4.051227845401749</v>
      </c>
      <c r="C20" t="n">
        <v>4.954351039927357</v>
      </c>
      <c r="D20" t="n">
        <v>5.12154471467321</v>
      </c>
      <c r="E20" t="n">
        <v>2.435761800767658</v>
      </c>
      <c r="F20" t="n">
        <v>8.66331899424298</v>
      </c>
      <c r="G20" t="n">
        <v>0.8188152921626665</v>
      </c>
      <c r="H20" t="n">
        <v>26.93560683071311</v>
      </c>
      <c r="I20" t="n">
        <v>5.72356750737914</v>
      </c>
      <c r="J20" t="n">
        <v>6.31254231030145</v>
      </c>
      <c r="K20" t="n">
        <v>1.752128830900986</v>
      </c>
      <c r="L20" t="n">
        <v>0.7655391975510268</v>
      </c>
      <c r="M20" t="n">
        <v>2.58804794487144</v>
      </c>
      <c r="N20" t="n">
        <v>0.8068847725663746</v>
      </c>
      <c r="O20" t="n">
        <v>0</v>
      </c>
      <c r="P20" t="n">
        <v>20.31671040899315</v>
      </c>
      <c r="Q20" t="n">
        <v>0</v>
      </c>
      <c r="R20" t="n">
        <v>0</v>
      </c>
      <c r="S20" t="n">
        <v>0.07717155619877762</v>
      </c>
      <c r="T20" t="n">
        <v>1.397704887526069</v>
      </c>
      <c r="U20" t="n">
        <v>0.004183626426366439</v>
      </c>
      <c r="V20" t="n">
        <v>0.001659538957999452</v>
      </c>
      <c r="W20" t="n">
        <v>0.01714492334349727</v>
      </c>
      <c r="X20" t="n">
        <v>0</v>
      </c>
      <c r="Y20" t="n">
        <v>0.003211814774190103</v>
      </c>
      <c r="Z20" t="n">
        <v>0.022441623402477</v>
      </c>
      <c r="AA20" t="n">
        <v>0.0778548796868762</v>
      </c>
      <c r="AB20" t="n">
        <v>0</v>
      </c>
      <c r="AC20" t="n">
        <v>0.03158096598859103</v>
      </c>
      <c r="AD20" t="n">
        <v>0.001523254013091078</v>
      </c>
      <c r="AE20" t="n">
        <v>0.4960373129418493</v>
      </c>
      <c r="AF20" t="n">
        <v>0</v>
      </c>
      <c r="AG20" t="n">
        <v>0.00752397504632878</v>
      </c>
      <c r="AH20" t="n">
        <v>1.834183616583965e-05</v>
      </c>
      <c r="AI20" t="n">
        <v>59.82343944004205</v>
      </c>
      <c r="AJ20" t="n">
        <v>0.1884643805530341</v>
      </c>
      <c r="AK20" t="n">
        <v>0.003066153543407224</v>
      </c>
      <c r="AL20" t="n">
        <v>0.2861873610235758</v>
      </c>
      <c r="AM20" t="n">
        <v>0.006385897388109369</v>
      </c>
      <c r="AN20" t="n">
        <v>0.0005065250872434817</v>
      </c>
      <c r="AO20" t="n">
        <v>0.005423834095596581</v>
      </c>
      <c r="AP20" t="n">
        <v>0.001276945660631773</v>
      </c>
      <c r="AQ20" t="n">
        <v>0.01191692767512758</v>
      </c>
      <c r="AR20" t="n">
        <v>1.093413749969965</v>
      </c>
      <c r="AS20" t="n">
        <v>1.146625721587684</v>
      </c>
      <c r="AT20" t="n">
        <v>0.737916619690023</v>
      </c>
      <c r="AU20" t="n">
        <v>0.2827625299110353</v>
      </c>
      <c r="AV20" t="n">
        <v>2.485789493403161</v>
      </c>
      <c r="AW20" t="n">
        <v>0.6518382423729432</v>
      </c>
      <c r="AX20" t="n">
        <v>0.8025816524814147</v>
      </c>
      <c r="AY20" t="n">
        <v>1.25042721951544</v>
      </c>
      <c r="AZ20" t="n">
        <v>1.489079765139552</v>
      </c>
      <c r="BA20" t="n">
        <v>0.5529748527483531</v>
      </c>
      <c r="BB20" t="n">
        <v>0.3185948771485103</v>
      </c>
      <c r="BC20" t="n">
        <v>0.559036566121036</v>
      </c>
      <c r="BD20" t="n">
        <v>0.215486204602574</v>
      </c>
      <c r="BE20" t="n">
        <v>0.233651346924922</v>
      </c>
      <c r="BF20" t="n">
        <v>0.3382614919446555</v>
      </c>
      <c r="BG20" t="n">
        <v>0.1100638818681633</v>
      </c>
      <c r="BH20" t="n">
        <v>0</v>
      </c>
      <c r="BI20" t="n">
        <v>0.2047549422077711</v>
      </c>
      <c r="BJ20" t="n">
        <v>0</v>
      </c>
      <c r="BK20" t="n">
        <v>0.05311480704623128</v>
      </c>
      <c r="BL20" t="n">
        <v>0.03231627039065821</v>
      </c>
      <c r="BM20" t="n">
        <v>0.03213413897918369</v>
      </c>
      <c r="BN20" t="n">
        <v>0</v>
      </c>
      <c r="BO20" t="n">
        <v>0</v>
      </c>
      <c r="BP20" t="n">
        <v>1.471350741516661</v>
      </c>
      <c r="BQ20" t="n">
        <v>0.00418360318355308</v>
      </c>
      <c r="BR20" t="n">
        <v>0</v>
      </c>
      <c r="BS20" t="n">
        <v>0.09141956915375304</v>
      </c>
      <c r="BT20" t="n">
        <v>0.02495603371119354</v>
      </c>
      <c r="BU20" t="n">
        <v>0.04035622035592654</v>
      </c>
      <c r="BV20" t="n">
        <v>0.3705663135688085</v>
      </c>
      <c r="BW20" t="n">
        <v>0</v>
      </c>
      <c r="BX20" t="n">
        <v>0.09365256238036876</v>
      </c>
      <c r="BY20" t="n">
        <v>0.02677530512349623</v>
      </c>
      <c r="BZ20" t="n">
        <v>0</v>
      </c>
      <c r="CA20" t="n">
        <v>0.04298730117780734</v>
      </c>
      <c r="CB20" t="n">
        <v>0</v>
      </c>
      <c r="CC20" t="n">
        <v>0</v>
      </c>
      <c r="CD20" t="n">
        <v>0.01292551995651657</v>
      </c>
      <c r="CE20" t="n">
        <v>0</v>
      </c>
      <c r="CF20" t="n">
        <v>0.01692121559189078</v>
      </c>
      <c r="CG20" t="n">
        <v>0.01198967467219001</v>
      </c>
      <c r="CH20" t="n">
        <v>0</v>
      </c>
      <c r="CI20" t="n">
        <v>0.3825076866386292</v>
      </c>
      <c r="CJ20" t="n">
        <v>0</v>
      </c>
      <c r="CK20" t="n">
        <v>1.101536028149902</v>
      </c>
      <c r="CL20" t="n">
        <v>2.514580229110107</v>
      </c>
      <c r="CM20" t="n">
        <v>0.1267308857560075</v>
      </c>
      <c r="CN20" t="n">
        <v>0</v>
      </c>
      <c r="CO20" t="n">
        <v>1.043503376828336</v>
      </c>
      <c r="CP20" t="n">
        <v>0</v>
      </c>
      <c r="CQ20" t="n">
        <v>0</v>
      </c>
      <c r="CR20" t="n">
        <v>0</v>
      </c>
      <c r="CS20" t="n">
        <v>0.08223435631703423</v>
      </c>
      <c r="CT20" t="n">
        <v>0</v>
      </c>
      <c r="CU20" t="n">
        <v>0.08377913333865031</v>
      </c>
      <c r="CV20" t="n">
        <v>0.05389099251159953</v>
      </c>
      <c r="CW20" t="n">
        <v>0.04986181003118053</v>
      </c>
      <c r="CX20" t="n">
        <v>0</v>
      </c>
      <c r="CY20" t="n">
        <v>0.05588431774216639</v>
      </c>
      <c r="CZ20" t="n">
        <v>0.04286737637929791</v>
      </c>
      <c r="DA20" t="n">
        <v>0</v>
      </c>
      <c r="DB20" t="n">
        <v>0.06148266004134906</v>
      </c>
      <c r="DC20" t="n">
        <v>0</v>
      </c>
      <c r="DD20" t="n">
        <v>0.09616633112081377</v>
      </c>
      <c r="DE20" t="n">
        <v>0</v>
      </c>
      <c r="DF20" t="n">
        <v>0.282707864402295</v>
      </c>
      <c r="DG20" t="n">
        <v>0</v>
      </c>
      <c r="DH20" t="n">
        <v>0.0891179151930868</v>
      </c>
      <c r="DI20" t="n">
        <v>0</v>
      </c>
      <c r="DJ20" t="n">
        <v>0.08888576374949918</v>
      </c>
      <c r="DK20" t="n">
        <v>0</v>
      </c>
      <c r="DL20" t="n">
        <v>0</v>
      </c>
      <c r="DM20" t="n">
        <v>0.03731677687524543</v>
      </c>
      <c r="DN20" t="n">
        <v>0.01933989538842203</v>
      </c>
      <c r="DO20" t="n">
        <v>0.1018248581162471</v>
      </c>
      <c r="DP20" t="n">
        <v>0.02424721971301655</v>
      </c>
      <c r="DQ20" t="n">
        <v>0.02551077564742691</v>
      </c>
      <c r="DR20" t="n">
        <v>0.01608827066969007</v>
      </c>
      <c r="DS20" t="n">
        <v>0.04939070908071001</v>
      </c>
      <c r="DT20" t="n">
        <v>0.02126525429923188</v>
      </c>
      <c r="DU20" t="n">
        <v>0.07766736695304985</v>
      </c>
      <c r="DV20" t="n">
        <v>0</v>
      </c>
      <c r="DW20" t="n">
        <v>0</v>
      </c>
      <c r="DX20" t="n">
        <v>0.008337493912792688</v>
      </c>
      <c r="DY20" t="n">
        <v>0.03449234545666646</v>
      </c>
      <c r="DZ20" t="n">
        <v>0.1243452642390709</v>
      </c>
      <c r="EA20" t="n">
        <v>0.08446417527991013</v>
      </c>
      <c r="EB20" t="n">
        <v>0.0280727910701827</v>
      </c>
      <c r="EC20" t="n">
        <v>0.01897372137437596</v>
      </c>
      <c r="ED20" t="n">
        <v>0.0446770796760502</v>
      </c>
      <c r="EE20" t="n">
        <v>0.09099059766182586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0.06152326987451952</v>
      </c>
      <c r="EU20" t="n">
        <v>0</v>
      </c>
      <c r="EV20" t="n">
        <v>0.05092824030614669</v>
      </c>
      <c r="EW20" t="n">
        <v>0.3763738508117553</v>
      </c>
      <c r="EX20" t="n">
        <v>0.08317241961011584</v>
      </c>
      <c r="EY20" t="n">
        <v>0.0679449913135485</v>
      </c>
      <c r="EZ20" t="n">
        <v>0.2531720314033942</v>
      </c>
      <c r="FA20" t="n">
        <v>0.08204999773680163</v>
      </c>
      <c r="FB20" t="n">
        <v>0.03760472917635765</v>
      </c>
      <c r="FC20" t="n">
        <v>0.1755724674284818</v>
      </c>
      <c r="FD20" t="n">
        <v>0.08777368536868625</v>
      </c>
      <c r="FE20" t="n">
        <v>0.1771471744193637</v>
      </c>
      <c r="FF20" t="n">
        <v>0.07686271919934401</v>
      </c>
      <c r="FG20" t="n">
        <v>0.05847878853147765</v>
      </c>
      <c r="FH20" t="n">
        <v>0.02996019456164096</v>
      </c>
      <c r="FI20" t="n">
        <v>0.02003361212110924</v>
      </c>
      <c r="FJ20" t="n">
        <v>0.03188053083131257</v>
      </c>
      <c r="FK20" t="n">
        <v>0.02921250354445798</v>
      </c>
      <c r="FL20" t="n">
        <v>0.0288676073264097</v>
      </c>
      <c r="FM20" t="n">
        <v>0.03048911622455073</v>
      </c>
      <c r="FN20" t="n">
        <v>0.04225564818393376</v>
      </c>
      <c r="FO20" t="n">
        <v>0.1414465865498379</v>
      </c>
      <c r="FP20" t="n">
        <v>0.03241698293097015</v>
      </c>
      <c r="FQ20" t="n">
        <v>0.0722798593396738</v>
      </c>
      <c r="FR20" t="n">
        <v>0.0600364616624148</v>
      </c>
      <c r="FS20" t="n">
        <v>0.1303286722497047</v>
      </c>
      <c r="FT20" t="n">
        <v>0.04722259135328442</v>
      </c>
      <c r="FU20" t="n">
        <v>0.03809018974838518</v>
      </c>
      <c r="FV20" t="n">
        <v>0.02856056024779107</v>
      </c>
      <c r="FW20" t="n">
        <v>0.05527269012933132</v>
      </c>
      <c r="FX20" t="n">
        <v>0.02539551972023682</v>
      </c>
      <c r="FY20" t="n">
        <v>0.03447802763945398</v>
      </c>
      <c r="FZ20" t="n">
        <v>0.04026427181057447</v>
      </c>
      <c r="GA20" t="n">
        <v>0.01781754262629172</v>
      </c>
      <c r="GB20" t="n">
        <v>0.02554063360888463</v>
      </c>
      <c r="GC20" t="n">
        <v>0.03251044341547882</v>
      </c>
      <c r="GD20" t="n">
        <v>0.03237183997824777</v>
      </c>
      <c r="GE20" t="n">
        <v>0.01441391557786167</v>
      </c>
      <c r="GF20" t="n">
        <v>0.02218981305519728</v>
      </c>
      <c r="GG20" t="n">
        <v>0.03002018175786202</v>
      </c>
      <c r="GH20" t="n">
        <v>0.02758027054471853</v>
      </c>
      <c r="GI20" t="n">
        <v>0.02199507691907627</v>
      </c>
      <c r="GJ20" t="n">
        <v>0.01736078419554504</v>
      </c>
      <c r="GK20" t="n">
        <v>0.04353267040251714</v>
      </c>
      <c r="GL20" t="n">
        <v>0.01994998398823346</v>
      </c>
      <c r="GM20" t="n">
        <v>0.02213621275652814</v>
      </c>
      <c r="GN20" t="n">
        <v>0.120597553720725</v>
      </c>
      <c r="GO20" t="n">
        <v>0.06745425407528724</v>
      </c>
      <c r="GP20" t="n">
        <v>0.1404246064009656</v>
      </c>
      <c r="GQ20" t="n">
        <v>0</v>
      </c>
      <c r="GR20" t="n">
        <v>2.436880808403058</v>
      </c>
      <c r="GS20" t="n">
        <v>1.093413749969965</v>
      </c>
      <c r="GT20" t="n">
        <v>0.6095213857406623</v>
      </c>
      <c r="GU20" t="n">
        <v>0.736074857770094</v>
      </c>
      <c r="GV20" t="n">
        <v>0.6518382423729432</v>
      </c>
      <c r="GW20" t="n">
        <v>1.610519098771146</v>
      </c>
      <c r="GX20" t="n">
        <v>0.05997333842472822</v>
      </c>
      <c r="GY20" t="n">
        <v>0.05987968835373018</v>
      </c>
      <c r="GZ20" t="n">
        <v>0.2603373255631937</v>
      </c>
      <c r="HA20" t="n">
        <v>0.05887704638070626</v>
      </c>
      <c r="HB20" t="n">
        <v>0</v>
      </c>
      <c r="HC20" t="n">
        <v>0.06529279735714985</v>
      </c>
    </row>
    <row r="21">
      <c r="A21" s="1" t="inlineStr">
        <is>
          <t>Y_imp</t>
        </is>
      </c>
      <c r="B21" t="n">
        <v>12.58953104607659</v>
      </c>
      <c r="C21" t="n">
        <v>393.4168379264765</v>
      </c>
      <c r="D21" t="n">
        <v>6.170733505199777</v>
      </c>
      <c r="E21" t="n">
        <v>6666.413095894283</v>
      </c>
      <c r="F21" t="n">
        <v>709.1867968887566</v>
      </c>
      <c r="G21" t="n">
        <v>0</v>
      </c>
      <c r="H21" t="n">
        <v>18.17377665812187</v>
      </c>
      <c r="I21" t="n">
        <v>418.3549082338893</v>
      </c>
      <c r="J21" t="n">
        <v>0</v>
      </c>
      <c r="K21" t="n">
        <v>0</v>
      </c>
      <c r="L21" t="n">
        <v>37.6718724459</v>
      </c>
      <c r="M21" t="n">
        <v>134.968553567</v>
      </c>
      <c r="N21" t="n">
        <v>358.935505393</v>
      </c>
      <c r="O21" t="n">
        <v>0</v>
      </c>
      <c r="P21" t="n">
        <v>0</v>
      </c>
      <c r="Q21" t="n">
        <v>0</v>
      </c>
      <c r="R21" t="n">
        <v>0</v>
      </c>
      <c r="S21" t="n">
        <v>324.7181188907604</v>
      </c>
      <c r="T21" t="n">
        <v>191.524540960959</v>
      </c>
      <c r="U21" t="n">
        <v>6.3533008602</v>
      </c>
      <c r="V21" t="n">
        <v>0</v>
      </c>
      <c r="W21" t="n">
        <v>14.9039839728</v>
      </c>
      <c r="X21" t="n">
        <v>0</v>
      </c>
      <c r="Y21" t="n">
        <v>14.5218305376</v>
      </c>
      <c r="Z21" t="n">
        <v>0</v>
      </c>
      <c r="AA21" t="n">
        <v>0</v>
      </c>
      <c r="AB21" t="n">
        <v>0</v>
      </c>
      <c r="AC21" t="n">
        <v>0</v>
      </c>
      <c r="AD21" t="n">
        <v>10172.62054431125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1038.49431455</v>
      </c>
      <c r="AS21" t="n">
        <v>596.450475476</v>
      </c>
      <c r="AT21" t="n">
        <v>892.77666271</v>
      </c>
      <c r="AU21" t="n">
        <v>2166.43173804</v>
      </c>
      <c r="AV21" t="n">
        <v>152.524386109</v>
      </c>
      <c r="AW21" t="n">
        <v>1806.03861601</v>
      </c>
      <c r="AX21" t="n">
        <v>130.972569754</v>
      </c>
      <c r="AY21" t="n">
        <v>92.7266572539</v>
      </c>
      <c r="AZ21" t="n">
        <v>11484.8366485</v>
      </c>
      <c r="BA21" t="n">
        <v>1737.93637934</v>
      </c>
      <c r="BB21" t="n">
        <v>1549.8190821</v>
      </c>
      <c r="BC21" t="n">
        <v>1749.27710897</v>
      </c>
      <c r="BD21" t="n">
        <v>5191.81852316</v>
      </c>
      <c r="BE21" t="n">
        <v>10896.3904117</v>
      </c>
      <c r="BF21" t="n">
        <v>6719.86299841</v>
      </c>
      <c r="BG21" t="n">
        <v>627.2895343705732</v>
      </c>
      <c r="BH21" t="n">
        <v>64.05277614142688</v>
      </c>
      <c r="BI21" t="n">
        <v>0</v>
      </c>
      <c r="BJ21" t="n">
        <v>0</v>
      </c>
      <c r="BK21" t="n">
        <v>1766.04037623</v>
      </c>
      <c r="BL21" t="n">
        <v>1559.83702366</v>
      </c>
      <c r="BM21" t="n">
        <v>0.1066507278430744</v>
      </c>
      <c r="BN21" t="n">
        <v>0</v>
      </c>
      <c r="BO21" t="n">
        <v>0</v>
      </c>
      <c r="BP21" t="n">
        <v>262.4815319927819</v>
      </c>
      <c r="BQ21" t="n">
        <v>0.2627304867</v>
      </c>
      <c r="BR21" t="n">
        <v>0</v>
      </c>
      <c r="BS21" t="n">
        <v>52.29044704524056</v>
      </c>
      <c r="BT21" t="n">
        <v>157.136715636</v>
      </c>
      <c r="BU21" t="n">
        <v>7198.155178050654</v>
      </c>
      <c r="BV21" t="n">
        <v>1.056828588528105</v>
      </c>
      <c r="BW21" t="n">
        <v>0</v>
      </c>
      <c r="BX21" t="n">
        <v>612.4260780905207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2378.036229680418</v>
      </c>
      <c r="CJ21" t="n">
        <v>286.2161694295821</v>
      </c>
      <c r="CK21" t="n">
        <v>1.678914217057</v>
      </c>
      <c r="CL21" t="n">
        <v>44.52294982682</v>
      </c>
      <c r="CM21" t="n">
        <v>6643.333391030001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895.250211626</v>
      </c>
      <c r="CV21" t="n">
        <v>0.112600342789</v>
      </c>
      <c r="CW21" t="n">
        <v>0.9188687922269055</v>
      </c>
      <c r="CX21" t="n">
        <v>0.0555902005850945</v>
      </c>
      <c r="CY21" t="n">
        <v>791.2557892889999</v>
      </c>
      <c r="CZ21" t="n">
        <v>0.00617002623215275</v>
      </c>
      <c r="DA21" t="n">
        <v>0.0003962561419472482</v>
      </c>
      <c r="DB21" t="n">
        <v>5.425036059269236</v>
      </c>
      <c r="DC21" t="n">
        <v>0.00030458495076355</v>
      </c>
      <c r="DD21" t="n">
        <v>1.326188745780254</v>
      </c>
      <c r="DE21" t="n">
        <v>0.102340521859746</v>
      </c>
      <c r="DF21" t="n">
        <v>0</v>
      </c>
      <c r="DG21" t="n">
        <v>0</v>
      </c>
      <c r="DH21" t="n">
        <v>0</v>
      </c>
      <c r="DI21" t="n">
        <v>0</v>
      </c>
      <c r="DJ21" t="n">
        <v>7.493593020374871</v>
      </c>
      <c r="DK21" t="n">
        <v>0.06099700859512885</v>
      </c>
      <c r="DL21" t="n">
        <v>0</v>
      </c>
      <c r="DM21" t="n">
        <v>2010.42848448</v>
      </c>
      <c r="DN21" t="n">
        <v>520.4741344620001</v>
      </c>
      <c r="DO21" t="n">
        <v>1803.7615755</v>
      </c>
      <c r="DP21" t="n">
        <v>2577.26127398</v>
      </c>
      <c r="DQ21" t="n">
        <v>4696.77493081</v>
      </c>
      <c r="DR21" t="n">
        <v>4669.90644814</v>
      </c>
      <c r="DS21" t="n">
        <v>29014.0209561</v>
      </c>
      <c r="DT21" t="n">
        <v>2813.826555028</v>
      </c>
      <c r="DU21" t="n">
        <v>10799.400247</v>
      </c>
      <c r="DV21" t="n">
        <v>0</v>
      </c>
      <c r="DW21" t="n">
        <v>0</v>
      </c>
      <c r="DX21" t="n">
        <v>63.36121108093538</v>
      </c>
      <c r="DY21" t="n">
        <v>50.54035836745297</v>
      </c>
      <c r="DZ21" t="n">
        <v>20.42194883294816</v>
      </c>
      <c r="EA21" t="n">
        <v>34.97312082171879</v>
      </c>
      <c r="EB21" t="n">
        <v>7.774574842925006</v>
      </c>
      <c r="EC21" t="n">
        <v>7.784159298468468</v>
      </c>
      <c r="ED21" t="n">
        <v>4.48699372323996</v>
      </c>
      <c r="EE21" t="n">
        <v>2.286287747679654</v>
      </c>
      <c r="EF21" t="n">
        <v>0</v>
      </c>
      <c r="EG21" t="n">
        <v>0.004994755577657015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107.8362040536</v>
      </c>
      <c r="EY21" t="n">
        <v>0</v>
      </c>
      <c r="EZ21" t="n">
        <v>0</v>
      </c>
      <c r="FA21" t="n">
        <v>1317.51410816752</v>
      </c>
      <c r="FB21" t="n">
        <v>5070.06724283</v>
      </c>
      <c r="FC21" t="n">
        <v>0.665434672022</v>
      </c>
      <c r="FD21" t="n">
        <v>3107.382957970209</v>
      </c>
      <c r="FE21" t="n">
        <v>243.823954249855</v>
      </c>
      <c r="FF21" t="n">
        <v>8077.98179555482</v>
      </c>
      <c r="FG21" t="n">
        <v>854.2088896967999</v>
      </c>
      <c r="FH21" t="n">
        <v>2604.55483714</v>
      </c>
      <c r="FI21" t="n">
        <v>1220.23761793</v>
      </c>
      <c r="FJ21" t="n">
        <v>1145.74717822</v>
      </c>
      <c r="FK21" t="n">
        <v>0</v>
      </c>
      <c r="FL21" t="n">
        <v>0</v>
      </c>
      <c r="FM21" t="n">
        <v>0</v>
      </c>
      <c r="FN21" t="n">
        <v>1.81215275413</v>
      </c>
      <c r="FO21" t="n">
        <v>1038.66680669</v>
      </c>
      <c r="FP21" t="n">
        <v>652.781205856</v>
      </c>
      <c r="FQ21" t="n">
        <v>1267.51855990752</v>
      </c>
      <c r="FR21" t="n">
        <v>1024.3292228668</v>
      </c>
      <c r="FS21" t="n">
        <v>1545.727142509</v>
      </c>
      <c r="FT21" t="n">
        <v>7.17729398812</v>
      </c>
      <c r="FU21" t="n">
        <v>7.47894238651</v>
      </c>
      <c r="FV21" t="n">
        <v>3.45613363925</v>
      </c>
      <c r="FW21" t="n">
        <v>12.4528250492</v>
      </c>
      <c r="FX21" t="n">
        <v>1.43287113325</v>
      </c>
      <c r="FY21" t="n">
        <v>2.51968033716</v>
      </c>
      <c r="FZ21" t="n">
        <v>7.26812830262</v>
      </c>
      <c r="GA21" t="n">
        <v>0.635575731595</v>
      </c>
      <c r="GB21" t="n">
        <v>0.0431870936057</v>
      </c>
      <c r="GC21" t="n">
        <v>6.216701355879999</v>
      </c>
      <c r="GD21" t="n">
        <v>8.337650195269999</v>
      </c>
      <c r="GE21" t="n">
        <v>0</v>
      </c>
      <c r="GF21" t="n">
        <v>2.85792305986</v>
      </c>
      <c r="GG21" t="n">
        <v>5.47808633417</v>
      </c>
      <c r="GH21" t="n">
        <v>6.61878061193</v>
      </c>
      <c r="GI21" t="n">
        <v>4.28667166764</v>
      </c>
      <c r="GJ21" t="n">
        <v>0.910953415573</v>
      </c>
      <c r="GK21" t="n">
        <v>10.7985323575</v>
      </c>
      <c r="GL21" t="n">
        <v>0.479886330691</v>
      </c>
      <c r="GM21" t="n">
        <v>1.59815003337</v>
      </c>
      <c r="GN21" t="n">
        <v>95.8633370956</v>
      </c>
      <c r="GO21" t="n">
        <v>2481.46822075</v>
      </c>
      <c r="GP21" t="n">
        <v>262.19233730575</v>
      </c>
      <c r="GQ21" t="n">
        <v>0</v>
      </c>
      <c r="GR21" t="n">
        <v>6818.937482003284</v>
      </c>
      <c r="GS21" t="n">
        <v>1038.49431455</v>
      </c>
      <c r="GT21" t="n">
        <v>3828.2993022389</v>
      </c>
      <c r="GU21" t="n">
        <v>2356.498662363959</v>
      </c>
      <c r="GV21" t="n">
        <v>1806.03861601</v>
      </c>
      <c r="GW21" t="n">
        <v>17903.87345874475</v>
      </c>
      <c r="GX21" t="n">
        <v>26463.52351771602</v>
      </c>
      <c r="GY21" t="n">
        <v>58120.83281466164</v>
      </c>
      <c r="GZ21" t="n">
        <v>22808.07193327</v>
      </c>
      <c r="HA21" t="n">
        <v>52451.49181921694</v>
      </c>
      <c r="HB21" t="n">
        <v>0</v>
      </c>
      <c r="HC21" t="n">
        <v>14392.9916857984</v>
      </c>
    </row>
    <row r="22">
      <c r="A22" s="1" t="inlineStr">
        <is>
          <t>Y_dom</t>
        </is>
      </c>
      <c r="B22" t="n">
        <v>111.1237859411297</v>
      </c>
      <c r="C22" t="n">
        <v>6143.007796311505</v>
      </c>
      <c r="D22" t="n">
        <v>370.6834656242983</v>
      </c>
      <c r="E22" t="n">
        <v>10280.1076048156</v>
      </c>
      <c r="F22" t="n">
        <v>726.0784872377837</v>
      </c>
      <c r="G22" t="n">
        <v>0</v>
      </c>
      <c r="H22" t="n">
        <v>514.0743081434518</v>
      </c>
      <c r="I22" t="n">
        <v>0</v>
      </c>
      <c r="J22" t="n">
        <v>0</v>
      </c>
      <c r="K22" t="n">
        <v>0</v>
      </c>
      <c r="L22" t="n">
        <v>3117.91278957</v>
      </c>
      <c r="M22" t="n">
        <v>1889.75665498</v>
      </c>
      <c r="N22" t="n">
        <v>139.245465367</v>
      </c>
      <c r="O22" t="n">
        <v>137.460607966</v>
      </c>
      <c r="P22" t="n">
        <v>0</v>
      </c>
      <c r="Q22" t="n">
        <v>0</v>
      </c>
      <c r="R22" t="n">
        <v>0</v>
      </c>
      <c r="S22" t="n">
        <v>4983.726911349618</v>
      </c>
      <c r="T22" t="n">
        <v>235.5104379290872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7.51704678874619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5050.44137163263</v>
      </c>
      <c r="AS22" t="n">
        <v>2108.07915814567</v>
      </c>
      <c r="AT22" t="n">
        <v>8018.044447814699</v>
      </c>
      <c r="AU22" t="n">
        <v>15949.9837150327</v>
      </c>
      <c r="AV22" t="n">
        <v>26.9606270569</v>
      </c>
      <c r="AW22" t="n">
        <v>8488.22304035583</v>
      </c>
      <c r="AX22" t="n">
        <v>26.83840954758</v>
      </c>
      <c r="AY22" t="n">
        <v>662.143368282305</v>
      </c>
      <c r="AZ22" t="n">
        <v>23360.725289119</v>
      </c>
      <c r="BA22" t="n">
        <v>7010.44186901366</v>
      </c>
      <c r="BB22" t="n">
        <v>2468.4934124624</v>
      </c>
      <c r="BC22" t="n">
        <v>874.533016486</v>
      </c>
      <c r="BD22" t="n">
        <v>2215.3406393403</v>
      </c>
      <c r="BE22" t="n">
        <v>3273.5352910359</v>
      </c>
      <c r="BF22" t="n">
        <v>128.1294884929</v>
      </c>
      <c r="BG22" t="n">
        <v>710.2622544142647</v>
      </c>
      <c r="BH22" t="n">
        <v>438.2363337857354</v>
      </c>
      <c r="BI22" t="n">
        <v>0</v>
      </c>
      <c r="BJ22" t="n">
        <v>0</v>
      </c>
      <c r="BK22" t="n">
        <v>1585.48345099</v>
      </c>
      <c r="BL22" t="n">
        <v>5484.64885857</v>
      </c>
      <c r="BM22" t="n">
        <v>0.7293099116569257</v>
      </c>
      <c r="BN22" t="n">
        <v>0</v>
      </c>
      <c r="BO22" t="n">
        <v>0</v>
      </c>
      <c r="BP22" t="n">
        <v>4666.461821447218</v>
      </c>
      <c r="BQ22" t="n">
        <v>0</v>
      </c>
      <c r="BR22" t="n">
        <v>0</v>
      </c>
      <c r="BS22" t="n">
        <v>43.24791175475945</v>
      </c>
      <c r="BT22" t="n">
        <v>0</v>
      </c>
      <c r="BU22" t="n">
        <v>7435.932931149347</v>
      </c>
      <c r="BV22" t="n">
        <v>2.143706431271896</v>
      </c>
      <c r="BW22" t="n">
        <v>0</v>
      </c>
      <c r="BX22" t="n">
        <v>301.7327080874792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37588.16532331418</v>
      </c>
      <c r="CJ22" t="n">
        <v>1908.19843728582</v>
      </c>
      <c r="CK22" t="n">
        <v>8.09257081484</v>
      </c>
      <c r="CL22" t="n">
        <v>43.7871681139</v>
      </c>
      <c r="CM22" t="n">
        <v>9071.78079087</v>
      </c>
      <c r="CN22" t="n">
        <v>0</v>
      </c>
      <c r="CO22" t="n">
        <v>0</v>
      </c>
      <c r="CP22" t="n">
        <v>347.92681816</v>
      </c>
      <c r="CQ22" t="n">
        <v>984.283941537</v>
      </c>
      <c r="CR22" t="n">
        <v>0</v>
      </c>
      <c r="CS22" t="n">
        <v>0</v>
      </c>
      <c r="CT22" t="n">
        <v>0</v>
      </c>
      <c r="CU22" t="n">
        <v>689.762294742</v>
      </c>
      <c r="CV22" t="n">
        <v>7.73099013119</v>
      </c>
      <c r="CW22" t="n">
        <v>50.51563095007756</v>
      </c>
      <c r="CX22" t="n">
        <v>11.09450161082244</v>
      </c>
      <c r="CY22" t="n">
        <v>967.1063444620002</v>
      </c>
      <c r="CZ22" t="n">
        <v>0.00406246458415987</v>
      </c>
      <c r="DA22" t="n">
        <v>0.00182100319917013</v>
      </c>
      <c r="DB22" t="n">
        <v>0</v>
      </c>
      <c r="DC22" t="n">
        <v>0</v>
      </c>
      <c r="DD22" t="n">
        <v>0.4672341779052208</v>
      </c>
      <c r="DE22" t="n">
        <v>0.2665403071037792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0.145615571681</v>
      </c>
      <c r="DM22" t="n">
        <v>3671.05667554</v>
      </c>
      <c r="DN22" t="n">
        <v>310.999624913</v>
      </c>
      <c r="DO22" t="n">
        <v>0</v>
      </c>
      <c r="DP22" t="n">
        <v>1938.44845799</v>
      </c>
      <c r="DQ22" t="n">
        <v>1956.93538405</v>
      </c>
      <c r="DR22" t="n">
        <v>2869.15447629</v>
      </c>
      <c r="DS22" t="n">
        <v>26547.7846919</v>
      </c>
      <c r="DT22" t="n">
        <v>1501.0289734745</v>
      </c>
      <c r="DU22" t="n">
        <v>7391.270739749999</v>
      </c>
      <c r="DV22" t="n">
        <v>0</v>
      </c>
      <c r="DW22" t="n">
        <v>0</v>
      </c>
      <c r="DX22" t="n">
        <v>160.5329327670646</v>
      </c>
      <c r="DY22" t="n">
        <v>458.081979294547</v>
      </c>
      <c r="DZ22" t="n">
        <v>10186.75299786705</v>
      </c>
      <c r="EA22" t="n">
        <v>1235.352666958281</v>
      </c>
      <c r="EB22" t="n">
        <v>488.069507329075</v>
      </c>
      <c r="EC22" t="n">
        <v>36.95167720963154</v>
      </c>
      <c r="ED22" t="n">
        <v>213.02996467476</v>
      </c>
      <c r="EE22" t="n">
        <v>167.1032224043203</v>
      </c>
      <c r="EF22" t="n">
        <v>0</v>
      </c>
      <c r="EG22" t="n">
        <v>11.36406994162234</v>
      </c>
      <c r="EH22" t="n">
        <v>0</v>
      </c>
      <c r="EI22" t="n">
        <v>0</v>
      </c>
      <c r="EJ22" t="n">
        <v>2459.82274317</v>
      </c>
      <c r="EK22" t="n">
        <v>9539.403568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8925.814611510001</v>
      </c>
      <c r="ER22" t="n">
        <v>1377.80644143</v>
      </c>
      <c r="ES22" t="n">
        <v>5628.20353823</v>
      </c>
      <c r="ET22" t="n">
        <v>8796.46644765</v>
      </c>
      <c r="EU22" t="n">
        <v>0</v>
      </c>
      <c r="EV22" t="n">
        <v>30296.038247431</v>
      </c>
      <c r="EW22" t="n">
        <v>769.0573023287</v>
      </c>
      <c r="EX22" t="n">
        <v>9886.43859541</v>
      </c>
      <c r="EY22" t="n">
        <v>7198.74526698</v>
      </c>
      <c r="EZ22" t="n">
        <v>83954.16485263</v>
      </c>
      <c r="FA22" t="n">
        <v>15294.563008583</v>
      </c>
      <c r="FB22" t="n">
        <v>30950.3724516</v>
      </c>
      <c r="FC22" t="n">
        <v>308.121759012</v>
      </c>
      <c r="FD22" t="n">
        <v>1190.086000744</v>
      </c>
      <c r="FE22" t="n">
        <v>749.5853719010657</v>
      </c>
      <c r="FF22" t="n">
        <v>11302.3998226312</v>
      </c>
      <c r="FG22" t="n">
        <v>16771.579081532</v>
      </c>
      <c r="FH22" t="n">
        <v>42904.6385463</v>
      </c>
      <c r="FI22" t="n">
        <v>13529.354277</v>
      </c>
      <c r="FJ22" t="n">
        <v>31909.8454513</v>
      </c>
      <c r="FK22" t="n">
        <v>0</v>
      </c>
      <c r="FL22" t="n">
        <v>242143.1325731</v>
      </c>
      <c r="FM22" t="n">
        <v>3328.271032657</v>
      </c>
      <c r="FN22" t="n">
        <v>70.8903087324</v>
      </c>
      <c r="FO22" t="n">
        <v>11126.0696009</v>
      </c>
      <c r="FP22" t="n">
        <v>15846.2651147</v>
      </c>
      <c r="FQ22" t="n">
        <v>186753.738044755</v>
      </c>
      <c r="FR22" t="n">
        <v>130808.66813279</v>
      </c>
      <c r="FS22" t="n">
        <v>258670.8658642</v>
      </c>
      <c r="FT22" t="n">
        <v>767.062811341</v>
      </c>
      <c r="FU22" t="n">
        <v>804.795130685</v>
      </c>
      <c r="FV22" t="n">
        <v>332.707084072</v>
      </c>
      <c r="FW22" t="n">
        <v>949.25281436</v>
      </c>
      <c r="FX22" t="n">
        <v>167.741871249</v>
      </c>
      <c r="FY22" t="n">
        <v>222.57871309</v>
      </c>
      <c r="FZ22" t="n">
        <v>919.981640762</v>
      </c>
      <c r="GA22" t="n">
        <v>70.53742816650001</v>
      </c>
      <c r="GB22" t="n">
        <v>6.1009405067</v>
      </c>
      <c r="GC22" t="n">
        <v>773.519846848</v>
      </c>
      <c r="GD22" t="n">
        <v>479.801236121</v>
      </c>
      <c r="GE22" t="n">
        <v>1.88906969237</v>
      </c>
      <c r="GF22" t="n">
        <v>266.243214735</v>
      </c>
      <c r="GG22" t="n">
        <v>472.339913116</v>
      </c>
      <c r="GH22" t="n">
        <v>460.334042583</v>
      </c>
      <c r="GI22" t="n">
        <v>317.565150196</v>
      </c>
      <c r="GJ22" t="n">
        <v>84.5779130124</v>
      </c>
      <c r="GK22" t="n">
        <v>1333.35580079</v>
      </c>
      <c r="GL22" t="n">
        <v>52.3022720474</v>
      </c>
      <c r="GM22" t="n">
        <v>192.223716855</v>
      </c>
      <c r="GN22" t="n">
        <v>22590.5100676</v>
      </c>
      <c r="GO22" t="n">
        <v>71885.0849681</v>
      </c>
      <c r="GP22" t="n">
        <v>11238.476071223</v>
      </c>
      <c r="GQ22" t="n">
        <v>0</v>
      </c>
      <c r="GR22" t="n">
        <v>10307.0682318725</v>
      </c>
      <c r="GS22" t="n">
        <v>5050.44137163263</v>
      </c>
      <c r="GT22" t="n">
        <v>31083.77676554307</v>
      </c>
      <c r="GU22" t="n">
        <v>8862.978943651917</v>
      </c>
      <c r="GV22" t="n">
        <v>8625.68364832183</v>
      </c>
      <c r="GW22" t="n">
        <v>35754.45194623331</v>
      </c>
      <c r="GX22" t="n">
        <v>348068.806370803</v>
      </c>
      <c r="GY22" t="n">
        <v>115961.4466882009</v>
      </c>
      <c r="GZ22" t="n">
        <v>5617.0054188691</v>
      </c>
      <c r="HA22" t="n">
        <v>76311.73408172725</v>
      </c>
      <c r="HB22" t="n">
        <v>83954.16485263</v>
      </c>
      <c r="HC22" t="n">
        <v>879887.6501223976</v>
      </c>
    </row>
    <row r="23">
      <c r="A23" s="1" t="inlineStr">
        <is>
          <t>M_imp*Y_dom</t>
        </is>
      </c>
      <c r="B23" t="n">
        <v>2.689092444649612</v>
      </c>
      <c r="C23" t="n">
        <v>126.0151564468952</v>
      </c>
      <c r="D23" t="n">
        <v>5.023291099758029</v>
      </c>
      <c r="E23" t="n">
        <v>820.7830314578943</v>
      </c>
      <c r="F23" t="n">
        <v>26.06257402078328</v>
      </c>
      <c r="G23" t="n">
        <v>0</v>
      </c>
      <c r="H23" t="n">
        <v>6.068575622030476</v>
      </c>
      <c r="I23" t="n">
        <v>0</v>
      </c>
      <c r="J23" t="n">
        <v>0</v>
      </c>
      <c r="K23" t="n">
        <v>0</v>
      </c>
      <c r="L23" t="n">
        <v>613.6545266503066</v>
      </c>
      <c r="M23" t="n">
        <v>403.8576493932004</v>
      </c>
      <c r="N23" t="n">
        <v>43.85401114678936</v>
      </c>
      <c r="O23" t="n">
        <v>47.9163743732061</v>
      </c>
      <c r="P23" t="n">
        <v>0</v>
      </c>
      <c r="Q23" t="n">
        <v>0</v>
      </c>
      <c r="R23" t="n">
        <v>0</v>
      </c>
      <c r="S23" t="n">
        <v>59.74089472230864</v>
      </c>
      <c r="T23" t="n">
        <v>75.94196566405965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7.527096133192303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1039.908178888362</v>
      </c>
      <c r="AS23" t="n">
        <v>270.274440608715</v>
      </c>
      <c r="AT23" t="n">
        <v>1736.6335529751</v>
      </c>
      <c r="AU23" t="n">
        <v>5763.504129736075</v>
      </c>
      <c r="AV23" t="n">
        <v>5.408070674754369</v>
      </c>
      <c r="AW23" t="n">
        <v>1457.679403432325</v>
      </c>
      <c r="AX23" t="n">
        <v>0.741662880529412</v>
      </c>
      <c r="AY23" t="n">
        <v>49.23650468374209</v>
      </c>
      <c r="AZ23" t="n">
        <v>7158.039869110155</v>
      </c>
      <c r="BA23" t="n">
        <v>1209.109388675049</v>
      </c>
      <c r="BB23" t="n">
        <v>974.1057446706341</v>
      </c>
      <c r="BC23" t="n">
        <v>22.82585711557661</v>
      </c>
      <c r="BD23" t="n">
        <v>123.8350651005621</v>
      </c>
      <c r="BE23" t="n">
        <v>103.8040855453783</v>
      </c>
      <c r="BF23" t="n">
        <v>7.597726448637883</v>
      </c>
      <c r="BG23" t="n">
        <v>18.28877872207207</v>
      </c>
      <c r="BH23" t="n">
        <v>8.853650930786515</v>
      </c>
      <c r="BI23" t="n">
        <v>0</v>
      </c>
      <c r="BJ23" t="n">
        <v>0</v>
      </c>
      <c r="BK23" t="n">
        <v>79.41889306817792</v>
      </c>
      <c r="BL23" t="n">
        <v>101.2238668508205</v>
      </c>
      <c r="BM23" t="n">
        <v>0.001530986124381135</v>
      </c>
      <c r="BN23" t="n">
        <v>0</v>
      </c>
      <c r="BO23" t="n">
        <v>0</v>
      </c>
      <c r="BP23" t="n">
        <v>461.2737391899218</v>
      </c>
      <c r="BQ23" t="n">
        <v>0</v>
      </c>
      <c r="BR23" t="n">
        <v>0</v>
      </c>
      <c r="BS23" t="n">
        <v>1.101857001552589</v>
      </c>
      <c r="BT23" t="n">
        <v>0</v>
      </c>
      <c r="BU23" t="n">
        <v>327.7628963898237</v>
      </c>
      <c r="BV23" t="n">
        <v>0.0326060281852898</v>
      </c>
      <c r="BW23" t="n">
        <v>0</v>
      </c>
      <c r="BX23" t="n">
        <v>7.792390542531934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1602.308296328168</v>
      </c>
      <c r="CJ23" t="n">
        <v>68.62424917361078</v>
      </c>
      <c r="CK23" t="n">
        <v>0.1067819645651748</v>
      </c>
      <c r="CL23" t="n">
        <v>0.8916006682205559</v>
      </c>
      <c r="CM23" t="n">
        <v>454.5062456530976</v>
      </c>
      <c r="CN23" t="n">
        <v>0</v>
      </c>
      <c r="CO23" t="n">
        <v>0</v>
      </c>
      <c r="CP23" t="n">
        <v>7.131983500806665</v>
      </c>
      <c r="CQ23" t="n">
        <v>8.369101236918739</v>
      </c>
      <c r="CR23" t="n">
        <v>0</v>
      </c>
      <c r="CS23" t="n">
        <v>0</v>
      </c>
      <c r="CT23" t="n">
        <v>0</v>
      </c>
      <c r="CU23" t="n">
        <v>17.98983972453965</v>
      </c>
      <c r="CV23" t="n">
        <v>0.1724189947019669</v>
      </c>
      <c r="CW23" t="n">
        <v>0.8587162672947315</v>
      </c>
      <c r="CX23" t="n">
        <v>0.1696008801667165</v>
      </c>
      <c r="CY23" t="n">
        <v>24.54217703042339</v>
      </c>
      <c r="CZ23" t="n">
        <v>9.423616253097744e-05</v>
      </c>
      <c r="DA23" t="n">
        <v>3.486919616177878e-05</v>
      </c>
      <c r="DB23" t="n">
        <v>0</v>
      </c>
      <c r="DC23" t="n">
        <v>0</v>
      </c>
      <c r="DD23" t="n">
        <v>0.01387343384475703</v>
      </c>
      <c r="DE23" t="n">
        <v>0.007689240690403659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0.0033049722720926</v>
      </c>
      <c r="DM23" t="n">
        <v>72.17437418806993</v>
      </c>
      <c r="DN23" t="n">
        <v>6.643709070402541</v>
      </c>
      <c r="DO23" t="n">
        <v>0</v>
      </c>
      <c r="DP23" t="n">
        <v>38.30805624861911</v>
      </c>
      <c r="DQ23" t="n">
        <v>42.40503668932647</v>
      </c>
      <c r="DR23" t="n">
        <v>47.70622827135997</v>
      </c>
      <c r="DS23" t="n">
        <v>684.225946871616</v>
      </c>
      <c r="DT23" t="n">
        <v>30.55879105912355</v>
      </c>
      <c r="DU23" t="n">
        <v>178.4802842419903</v>
      </c>
      <c r="DV23" t="n">
        <v>0</v>
      </c>
      <c r="DW23" t="n">
        <v>0</v>
      </c>
      <c r="DX23" t="n">
        <v>19.74999264685619</v>
      </c>
      <c r="DY23" t="n">
        <v>10.90259869640121</v>
      </c>
      <c r="DZ23" t="n">
        <v>179.1037433108345</v>
      </c>
      <c r="EA23" t="n">
        <v>27.4707348830459</v>
      </c>
      <c r="EB23" t="n">
        <v>4.509124550868533</v>
      </c>
      <c r="EC23" t="n">
        <v>3.705294693790234</v>
      </c>
      <c r="ED23" t="n">
        <v>3.912930780810653</v>
      </c>
      <c r="EE23" t="n">
        <v>0.3200421588052257</v>
      </c>
      <c r="EF23" t="n">
        <v>0</v>
      </c>
      <c r="EG23" t="n">
        <v>0.3023602761849125</v>
      </c>
      <c r="EH23" t="n">
        <v>0</v>
      </c>
      <c r="EI23" t="n">
        <v>0</v>
      </c>
      <c r="EJ23" t="n">
        <v>24.53853919433217</v>
      </c>
      <c r="EK23" t="n">
        <v>89.71917919316458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181.9665283577017</v>
      </c>
      <c r="ER23" t="n">
        <v>128.2889078940545</v>
      </c>
      <c r="ES23" t="n">
        <v>76.25966802882732</v>
      </c>
      <c r="ET23" t="n">
        <v>157.4795427231209</v>
      </c>
      <c r="EU23" t="n">
        <v>0</v>
      </c>
      <c r="EV23" t="n">
        <v>198.8908671036079</v>
      </c>
      <c r="EW23" t="n">
        <v>17.56737433161531</v>
      </c>
      <c r="EX23" t="n">
        <v>91.16429730565231</v>
      </c>
      <c r="EY23" t="n">
        <v>72.34239952658095</v>
      </c>
      <c r="EZ23" t="n">
        <v>3902.810916009844</v>
      </c>
      <c r="FA23" t="n">
        <v>336.6734281158662</v>
      </c>
      <c r="FB23" t="n">
        <v>469.4544714684782</v>
      </c>
      <c r="FC23" t="n">
        <v>22.7171132342375</v>
      </c>
      <c r="FD23" t="n">
        <v>98.3020240133898</v>
      </c>
      <c r="FE23" t="n">
        <v>121.927892442554</v>
      </c>
      <c r="FF23" t="n">
        <v>505.6968242268489</v>
      </c>
      <c r="FG23" t="n">
        <v>252.2036855255088</v>
      </c>
      <c r="FH23" t="n">
        <v>480.0485347409229</v>
      </c>
      <c r="FI23" t="n">
        <v>205.900056491039</v>
      </c>
      <c r="FJ23" t="n">
        <v>585.8067759247836</v>
      </c>
      <c r="FK23" t="n">
        <v>0</v>
      </c>
      <c r="FL23" t="n">
        <v>3018.78023555655</v>
      </c>
      <c r="FM23" t="n">
        <v>53.61209632463342</v>
      </c>
      <c r="FN23" t="n">
        <v>1.121467769581426</v>
      </c>
      <c r="FO23" t="n">
        <v>516.1662532070134</v>
      </c>
      <c r="FP23" t="n">
        <v>239.0093658185995</v>
      </c>
      <c r="FQ23" t="n">
        <v>3246.590850544327</v>
      </c>
      <c r="FR23" t="n">
        <v>1920.724725887567</v>
      </c>
      <c r="FS23" t="n">
        <v>3507.417519611647</v>
      </c>
      <c r="FT23" t="n">
        <v>10.55033448759377</v>
      </c>
      <c r="FU23" t="n">
        <v>11.18092469600679</v>
      </c>
      <c r="FV23" t="n">
        <v>5.105968925335726</v>
      </c>
      <c r="FW23" t="n">
        <v>13.35263190345854</v>
      </c>
      <c r="FX23" t="n">
        <v>2.322246845632123</v>
      </c>
      <c r="FY23" t="n">
        <v>3.175134150729551</v>
      </c>
      <c r="FZ23" t="n">
        <v>12.27818836113479</v>
      </c>
      <c r="GA23" t="n">
        <v>0.903230152935296</v>
      </c>
      <c r="GB23" t="n">
        <v>0.07636228025037894</v>
      </c>
      <c r="GC23" t="n">
        <v>11.30898272861312</v>
      </c>
      <c r="GD23" t="n">
        <v>6.6482703966699</v>
      </c>
      <c r="GE23" t="n">
        <v>0.2441603240273325</v>
      </c>
      <c r="GF23" t="n">
        <v>4.445838771228289</v>
      </c>
      <c r="GG23" t="n">
        <v>8.134456350129859</v>
      </c>
      <c r="GH23" t="n">
        <v>7.598597266765057</v>
      </c>
      <c r="GI23" t="n">
        <v>5.104747522947024</v>
      </c>
      <c r="GJ23" t="n">
        <v>1.619953240858397</v>
      </c>
      <c r="GK23" t="n">
        <v>18.21363159960051</v>
      </c>
      <c r="GL23" t="n">
        <v>0.8667312634066029</v>
      </c>
      <c r="GM23" t="n">
        <v>2.81592986289795</v>
      </c>
      <c r="GN23" t="n">
        <v>527.9416976642159</v>
      </c>
      <c r="GO23" t="n">
        <v>2148.335172437106</v>
      </c>
      <c r="GP23" t="n">
        <v>377.591281655336</v>
      </c>
      <c r="GQ23" t="n">
        <v>0</v>
      </c>
      <c r="GR23" t="n">
        <v>826.1911021326487</v>
      </c>
      <c r="GS23" t="n">
        <v>1039.908178888362</v>
      </c>
      <c r="GT23" t="n">
        <v>8787.924299363396</v>
      </c>
      <c r="GU23" t="n">
        <v>1577.475380243174</v>
      </c>
      <c r="GV23" t="n">
        <v>1505.595777805531</v>
      </c>
      <c r="GW23" t="n">
        <v>9448.879269223151</v>
      </c>
      <c r="GX23" t="n">
        <v>6168.252821912502</v>
      </c>
      <c r="GY23" t="n">
        <v>3461.288326199631</v>
      </c>
      <c r="GZ23" t="n">
        <v>235.2368770945783</v>
      </c>
      <c r="HA23" t="n">
        <v>2336.708799613832</v>
      </c>
      <c r="HB23" t="n">
        <v>3902.810916009844</v>
      </c>
      <c r="HC23" t="n">
        <v>14644.64041102878</v>
      </c>
    </row>
    <row r="24">
      <c r="A24" s="1" t="inlineStr">
        <is>
          <t>M_dom*Y_dom</t>
        </is>
      </c>
      <c r="B24" t="n">
        <v>449.7238245889801</v>
      </c>
      <c r="C24" t="n">
        <v>12395.90258786246</v>
      </c>
      <c r="D24" t="n">
        <v>413.0018321095923</v>
      </c>
      <c r="E24" t="n">
        <v>9204.453240037645</v>
      </c>
      <c r="F24" t="n">
        <v>2600.252223654508</v>
      </c>
      <c r="G24" t="n">
        <v>0</v>
      </c>
      <c r="H24" t="n">
        <v>135.0985746246378</v>
      </c>
      <c r="I24" t="n">
        <v>0</v>
      </c>
      <c r="J24" t="n">
        <v>0</v>
      </c>
      <c r="K24" t="n">
        <v>0</v>
      </c>
      <c r="L24" t="n">
        <v>2205.304193042768</v>
      </c>
      <c r="M24" t="n">
        <v>1735.619623113628</v>
      </c>
      <c r="N24" t="n">
        <v>77.34686583218287</v>
      </c>
      <c r="O24" t="n">
        <v>308.7828434070448</v>
      </c>
      <c r="P24" t="n">
        <v>0</v>
      </c>
      <c r="Q24" t="n">
        <v>0</v>
      </c>
      <c r="R24" t="n">
        <v>0</v>
      </c>
      <c r="S24" t="n">
        <v>29.20779788406954</v>
      </c>
      <c r="T24" t="n">
        <v>32.57564581906842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0.3808458252832705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8542.25634597884</v>
      </c>
      <c r="AS24" t="n">
        <v>935.5710920673911</v>
      </c>
      <c r="AT24" t="n">
        <v>2378.400295717104</v>
      </c>
      <c r="AU24" t="n">
        <v>6429.783757169381</v>
      </c>
      <c r="AV24" t="n">
        <v>8.965597573071275</v>
      </c>
      <c r="AW24" t="n">
        <v>6154.312244547824</v>
      </c>
      <c r="AX24" t="n">
        <v>0.882490443727744</v>
      </c>
      <c r="AY24" t="n">
        <v>643.0902709729658</v>
      </c>
      <c r="AZ24" t="n">
        <v>15585.89595041739</v>
      </c>
      <c r="BA24" t="n">
        <v>3338.382040096775</v>
      </c>
      <c r="BB24" t="n">
        <v>2112.670780703209</v>
      </c>
      <c r="BC24" t="n">
        <v>3.741378881866118</v>
      </c>
      <c r="BD24" t="n">
        <v>21.32891071581438</v>
      </c>
      <c r="BE24" t="n">
        <v>16.60637396227141</v>
      </c>
      <c r="BF24" t="n">
        <v>5.595376076696539</v>
      </c>
      <c r="BG24" t="n">
        <v>4.088780516875448</v>
      </c>
      <c r="BH24" t="n">
        <v>1.769637380670237</v>
      </c>
      <c r="BI24" t="n">
        <v>0</v>
      </c>
      <c r="BJ24" t="n">
        <v>0</v>
      </c>
      <c r="BK24" t="n">
        <v>22.41041690688866</v>
      </c>
      <c r="BL24" t="n">
        <v>19.62381273600246</v>
      </c>
      <c r="BM24" t="n">
        <v>4.241496483979303e-05</v>
      </c>
      <c r="BN24" t="n">
        <v>0</v>
      </c>
      <c r="BO24" t="n">
        <v>0</v>
      </c>
      <c r="BP24" t="n">
        <v>16.93909724442636</v>
      </c>
      <c r="BQ24" t="n">
        <v>0</v>
      </c>
      <c r="BR24" t="n">
        <v>0</v>
      </c>
      <c r="BS24" t="n">
        <v>0.040462798471939</v>
      </c>
      <c r="BT24" t="n">
        <v>0</v>
      </c>
      <c r="BU24" t="n">
        <v>12.03630769261931</v>
      </c>
      <c r="BV24" t="n">
        <v>0.001197371609077272</v>
      </c>
      <c r="BW24" t="n">
        <v>0</v>
      </c>
      <c r="BX24" t="n">
        <v>0.2861552076235502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575.3395824885413</v>
      </c>
      <c r="CJ24" t="n">
        <v>31.05107240549114</v>
      </c>
      <c r="CK24" t="n">
        <v>0.0120995983256451</v>
      </c>
      <c r="CL24" t="n">
        <v>0.1029580344926352</v>
      </c>
      <c r="CM24" t="n">
        <v>154.359360771047</v>
      </c>
      <c r="CN24" t="n">
        <v>0</v>
      </c>
      <c r="CO24" t="n">
        <v>0</v>
      </c>
      <c r="CP24" t="n">
        <v>2.420836932701582</v>
      </c>
      <c r="CQ24" t="n">
        <v>2.840614643556486</v>
      </c>
      <c r="CR24" t="n">
        <v>0</v>
      </c>
      <c r="CS24" t="n">
        <v>0</v>
      </c>
      <c r="CT24" t="n">
        <v>0</v>
      </c>
      <c r="CU24" t="n">
        <v>2.660587504131848</v>
      </c>
      <c r="CV24" t="n">
        <v>0.05589707404315047</v>
      </c>
      <c r="CW24" t="n">
        <v>0.1443207975105224</v>
      </c>
      <c r="CX24" t="n">
        <v>0.03135140660230104</v>
      </c>
      <c r="CY24" t="n">
        <v>5.689243477435383</v>
      </c>
      <c r="CZ24" t="n">
        <v>1.711954153958676e-05</v>
      </c>
      <c r="DA24" t="n">
        <v>8.119439225945512e-06</v>
      </c>
      <c r="DB24" t="n">
        <v>0</v>
      </c>
      <c r="DC24" t="n">
        <v>0</v>
      </c>
      <c r="DD24" t="n">
        <v>0.001112801310649783</v>
      </c>
      <c r="DE24" t="n">
        <v>0.0006726063188711967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0.0004108392447272689</v>
      </c>
      <c r="DM24" t="n">
        <v>7.796376725400052</v>
      </c>
      <c r="DN24" t="n">
        <v>0.7578236027713777</v>
      </c>
      <c r="DO24" t="n">
        <v>0</v>
      </c>
      <c r="DP24" t="n">
        <v>4.690999961856673</v>
      </c>
      <c r="DQ24" t="n">
        <v>6.231936375562609</v>
      </c>
      <c r="DR24" t="n">
        <v>7.35299660671137</v>
      </c>
      <c r="DS24" t="n">
        <v>78.48673284824314</v>
      </c>
      <c r="DT24" t="n">
        <v>2.773824138895081</v>
      </c>
      <c r="DU24" t="n">
        <v>27.52185241303086</v>
      </c>
      <c r="DV24" t="n">
        <v>0</v>
      </c>
      <c r="DW24" t="n">
        <v>0</v>
      </c>
      <c r="DX24" t="n">
        <v>1.635074377468245</v>
      </c>
      <c r="DY24" t="n">
        <v>1.957115394153453</v>
      </c>
      <c r="DZ24" t="n">
        <v>23.41117882541283</v>
      </c>
      <c r="EA24" t="n">
        <v>3.131998436835276</v>
      </c>
      <c r="EB24" t="n">
        <v>0.504349085192433</v>
      </c>
      <c r="EC24" t="n">
        <v>0.2349131032163621</v>
      </c>
      <c r="ED24" t="n">
        <v>0.5541576610120579</v>
      </c>
      <c r="EE24" t="n">
        <v>0.03768666568216471</v>
      </c>
      <c r="EF24" t="n">
        <v>0</v>
      </c>
      <c r="EG24" t="n">
        <v>0.04155935396616485</v>
      </c>
      <c r="EH24" t="n">
        <v>0</v>
      </c>
      <c r="EI24" t="n">
        <v>0</v>
      </c>
      <c r="EJ24" t="n">
        <v>1.879814967626419</v>
      </c>
      <c r="EK24" t="n">
        <v>6.820399554217667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18.49486081470643</v>
      </c>
      <c r="ER24" t="n">
        <v>17.49349870373913</v>
      </c>
      <c r="ES24" t="n">
        <v>15.9965406968635</v>
      </c>
      <c r="ET24" t="n">
        <v>25.52701697590489</v>
      </c>
      <c r="EU24" t="n">
        <v>0</v>
      </c>
      <c r="EV24" t="n">
        <v>17.77181367830957</v>
      </c>
      <c r="EW24" t="n">
        <v>7.395156235649924</v>
      </c>
      <c r="EX24" t="n">
        <v>17.62362599171868</v>
      </c>
      <c r="EY24" t="n">
        <v>15.09330178817972</v>
      </c>
      <c r="EZ24" t="n">
        <v>5874.979777186521</v>
      </c>
      <c r="FA24" t="n">
        <v>31.39178206661825</v>
      </c>
      <c r="FB24" t="n">
        <v>50.96149982329677</v>
      </c>
      <c r="FC24" t="n">
        <v>0.8873252996210471</v>
      </c>
      <c r="FD24" t="n">
        <v>3.286227979946021</v>
      </c>
      <c r="FE24" t="n">
        <v>5.76794054188484</v>
      </c>
      <c r="FF24" t="n">
        <v>63.4787359491653</v>
      </c>
      <c r="FG24" t="n">
        <v>33.20142446693756</v>
      </c>
      <c r="FH24" t="n">
        <v>132.1764785709677</v>
      </c>
      <c r="FI24" t="n">
        <v>29.6604319742979</v>
      </c>
      <c r="FJ24" t="n">
        <v>95.21384374769082</v>
      </c>
      <c r="FK24" t="n">
        <v>0</v>
      </c>
      <c r="FL24" t="n">
        <v>532.1838893230615</v>
      </c>
      <c r="FM24" t="n">
        <v>23.78281191734273</v>
      </c>
      <c r="FN24" t="n">
        <v>0.2833180062351428</v>
      </c>
      <c r="FO24" t="n">
        <v>134.7814342628532</v>
      </c>
      <c r="FP24" t="n">
        <v>88.34450960457646</v>
      </c>
      <c r="FQ24" t="n">
        <v>770.8351490560815</v>
      </c>
      <c r="FR24" t="n">
        <v>1460.024816032852</v>
      </c>
      <c r="FS24" t="n">
        <v>1784.067897532419</v>
      </c>
      <c r="FT24" t="n">
        <v>2.267059124705231</v>
      </c>
      <c r="FU24" t="n">
        <v>2.369898718407482</v>
      </c>
      <c r="FV24" t="n">
        <v>0.9725988355180051</v>
      </c>
      <c r="FW24" t="n">
        <v>2.799323396655851</v>
      </c>
      <c r="FX24" t="n">
        <v>0.4832902593918103</v>
      </c>
      <c r="FY24" t="n">
        <v>0.6513291207771071</v>
      </c>
      <c r="FZ24" t="n">
        <v>2.693850309066717</v>
      </c>
      <c r="GA24" t="n">
        <v>0.2004827735401228</v>
      </c>
      <c r="GB24" t="n">
        <v>0.01633324181933339</v>
      </c>
      <c r="GC24" t="n">
        <v>2.150592106753853</v>
      </c>
      <c r="GD24" t="n">
        <v>1.370643584355565</v>
      </c>
      <c r="GE24" t="n">
        <v>0.002333039733847103</v>
      </c>
      <c r="GF24" t="n">
        <v>0.778463325424344</v>
      </c>
      <c r="GG24" t="n">
        <v>1.372357133464321</v>
      </c>
      <c r="GH24" t="n">
        <v>1.318737299817335</v>
      </c>
      <c r="GI24" t="n">
        <v>0.9152312485216021</v>
      </c>
      <c r="GJ24" t="n">
        <v>0.2406447328698388</v>
      </c>
      <c r="GK24" t="n">
        <v>3.884783289846824</v>
      </c>
      <c r="GL24" t="n">
        <v>0.1493562411672058</v>
      </c>
      <c r="GM24" t="n">
        <v>0.551761456719372</v>
      </c>
      <c r="GN24" t="n">
        <v>114.2591165419655</v>
      </c>
      <c r="GO24" t="n">
        <v>1219.840346717156</v>
      </c>
      <c r="GP24" t="n">
        <v>9.817803285110616</v>
      </c>
      <c r="GQ24" t="n">
        <v>0</v>
      </c>
      <c r="GR24" t="n">
        <v>9213.418837610716</v>
      </c>
      <c r="GS24" t="n">
        <v>8542.25634597884</v>
      </c>
      <c r="GT24" t="n">
        <v>13684.67896111027</v>
      </c>
      <c r="GU24" t="n">
        <v>6264.234756199075</v>
      </c>
      <c r="GV24" t="n">
        <v>6463.095087954869</v>
      </c>
      <c r="GW24" t="n">
        <v>24869.73753438405</v>
      </c>
      <c r="GX24" t="n">
        <v>1338.39897798497</v>
      </c>
      <c r="GY24" t="n">
        <v>320.6003145603217</v>
      </c>
      <c r="GZ24" t="n">
        <v>43.53066075478233</v>
      </c>
      <c r="HA24" t="n">
        <v>319.968982002928</v>
      </c>
      <c r="HB24" t="n">
        <v>5874.979777186521</v>
      </c>
      <c r="HC24" t="n">
        <v>5995.358889345765</v>
      </c>
    </row>
    <row r="25">
      <c r="A25" s="1" t="inlineStr">
        <is>
          <t>M_imp*Y_dom+M_dom*Y_dom</t>
        </is>
      </c>
      <c r="B25" t="n">
        <v>452.4129170336296</v>
      </c>
      <c r="C25" t="n">
        <v>12521.91774430936</v>
      </c>
      <c r="D25" t="n">
        <v>418.0251232093503</v>
      </c>
      <c r="E25" t="n">
        <v>10025.23627149554</v>
      </c>
      <c r="F25" t="n">
        <v>2626.314797675291</v>
      </c>
      <c r="G25" t="n">
        <v>0</v>
      </c>
      <c r="H25" t="n">
        <v>141.1671502466683</v>
      </c>
      <c r="I25" t="n">
        <v>0</v>
      </c>
      <c r="J25" t="n">
        <v>0</v>
      </c>
      <c r="K25" t="n">
        <v>0</v>
      </c>
      <c r="L25" t="n">
        <v>2818.958719693074</v>
      </c>
      <c r="M25" t="n">
        <v>2139.477272506828</v>
      </c>
      <c r="N25" t="n">
        <v>121.2008769789722</v>
      </c>
      <c r="O25" t="n">
        <v>356.6992177802509</v>
      </c>
      <c r="P25" t="n">
        <v>0</v>
      </c>
      <c r="Q25" t="n">
        <v>0</v>
      </c>
      <c r="R25" t="n">
        <v>0</v>
      </c>
      <c r="S25" t="n">
        <v>88.94869260637817</v>
      </c>
      <c r="T25" t="n">
        <v>108.5176114831281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7.907941958475574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9582.164524867201</v>
      </c>
      <c r="AS25" t="n">
        <v>1205.845532676106</v>
      </c>
      <c r="AT25" t="n">
        <v>4115.033848692205</v>
      </c>
      <c r="AU25" t="n">
        <v>12193.28788690545</v>
      </c>
      <c r="AV25" t="n">
        <v>14.37366824782564</v>
      </c>
      <c r="AW25" t="n">
        <v>7611.991647980149</v>
      </c>
      <c r="AX25" t="n">
        <v>1.624153324257156</v>
      </c>
      <c r="AY25" t="n">
        <v>692.3267756567078</v>
      </c>
      <c r="AZ25" t="n">
        <v>22743.93581952754</v>
      </c>
      <c r="BA25" t="n">
        <v>4547.491428771825</v>
      </c>
      <c r="BB25" t="n">
        <v>3086.776525373843</v>
      </c>
      <c r="BC25" t="n">
        <v>26.56723599744273</v>
      </c>
      <c r="BD25" t="n">
        <v>145.1639758163765</v>
      </c>
      <c r="BE25" t="n">
        <v>120.4104595076497</v>
      </c>
      <c r="BF25" t="n">
        <v>13.19310252533442</v>
      </c>
      <c r="BG25" t="n">
        <v>22.37755923894752</v>
      </c>
      <c r="BH25" t="n">
        <v>10.62328831145675</v>
      </c>
      <c r="BI25" t="n">
        <v>0</v>
      </c>
      <c r="BJ25" t="n">
        <v>0</v>
      </c>
      <c r="BK25" t="n">
        <v>101.8293099750666</v>
      </c>
      <c r="BL25" t="n">
        <v>120.8476795868229</v>
      </c>
      <c r="BM25" t="n">
        <v>0.001573401089220928</v>
      </c>
      <c r="BN25" t="n">
        <v>0</v>
      </c>
      <c r="BO25" t="n">
        <v>0</v>
      </c>
      <c r="BP25" t="n">
        <v>478.2128364343482</v>
      </c>
      <c r="BQ25" t="n">
        <v>0</v>
      </c>
      <c r="BR25" t="n">
        <v>0</v>
      </c>
      <c r="BS25" t="n">
        <v>1.142319800024528</v>
      </c>
      <c r="BT25" t="n">
        <v>0</v>
      </c>
      <c r="BU25" t="n">
        <v>339.799204082443</v>
      </c>
      <c r="BV25" t="n">
        <v>0.03380339979436707</v>
      </c>
      <c r="BW25" t="n">
        <v>0</v>
      </c>
      <c r="BX25" t="n">
        <v>8.078545750155484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2177.64787881671</v>
      </c>
      <c r="CJ25" t="n">
        <v>99.67532157910192</v>
      </c>
      <c r="CK25" t="n">
        <v>0.1188815628908199</v>
      </c>
      <c r="CL25" t="n">
        <v>0.9945587027131911</v>
      </c>
      <c r="CM25" t="n">
        <v>608.8656064241446</v>
      </c>
      <c r="CN25" t="n">
        <v>0</v>
      </c>
      <c r="CO25" t="n">
        <v>0</v>
      </c>
      <c r="CP25" t="n">
        <v>9.552820433508247</v>
      </c>
      <c r="CQ25" t="n">
        <v>11.20971588047523</v>
      </c>
      <c r="CR25" t="n">
        <v>0</v>
      </c>
      <c r="CS25" t="n">
        <v>0</v>
      </c>
      <c r="CT25" t="n">
        <v>0</v>
      </c>
      <c r="CU25" t="n">
        <v>20.6504272286715</v>
      </c>
      <c r="CV25" t="n">
        <v>0.2283160687451174</v>
      </c>
      <c r="CW25" t="n">
        <v>1.003037064805254</v>
      </c>
      <c r="CX25" t="n">
        <v>0.2009522867690175</v>
      </c>
      <c r="CY25" t="n">
        <v>30.23142050785877</v>
      </c>
      <c r="CZ25" t="n">
        <v>0.0001113557040705642</v>
      </c>
      <c r="DA25" t="n">
        <v>4.29886353877243e-05</v>
      </c>
      <c r="DB25" t="n">
        <v>0</v>
      </c>
      <c r="DC25" t="n">
        <v>0</v>
      </c>
      <c r="DD25" t="n">
        <v>0.01498623515540681</v>
      </c>
      <c r="DE25" t="n">
        <v>0.008361847009274856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0.003715811516819869</v>
      </c>
      <c r="DM25" t="n">
        <v>79.97075091346998</v>
      </c>
      <c r="DN25" t="n">
        <v>7.401532673173919</v>
      </c>
      <c r="DO25" t="n">
        <v>0</v>
      </c>
      <c r="DP25" t="n">
        <v>42.99905621047579</v>
      </c>
      <c r="DQ25" t="n">
        <v>48.63697306488908</v>
      </c>
      <c r="DR25" t="n">
        <v>55.05922487807134</v>
      </c>
      <c r="DS25" t="n">
        <v>762.7126797198591</v>
      </c>
      <c r="DT25" t="n">
        <v>33.33261519801863</v>
      </c>
      <c r="DU25" t="n">
        <v>206.0021366550211</v>
      </c>
      <c r="DV25" t="n">
        <v>0</v>
      </c>
      <c r="DW25" t="n">
        <v>0</v>
      </c>
      <c r="DX25" t="n">
        <v>21.38506702432443</v>
      </c>
      <c r="DY25" t="n">
        <v>12.85971409055466</v>
      </c>
      <c r="DZ25" t="n">
        <v>202.5149221362473</v>
      </c>
      <c r="EA25" t="n">
        <v>30.60273331988117</v>
      </c>
      <c r="EB25" t="n">
        <v>5.013473636060966</v>
      </c>
      <c r="EC25" t="n">
        <v>3.940207797006597</v>
      </c>
      <c r="ED25" t="n">
        <v>4.467088441822711</v>
      </c>
      <c r="EE25" t="n">
        <v>0.3577288244873905</v>
      </c>
      <c r="EF25" t="n">
        <v>0</v>
      </c>
      <c r="EG25" t="n">
        <v>0.3439196301510773</v>
      </c>
      <c r="EH25" t="n">
        <v>0</v>
      </c>
      <c r="EI25" t="n">
        <v>0</v>
      </c>
      <c r="EJ25" t="n">
        <v>26.41835416195859</v>
      </c>
      <c r="EK25" t="n">
        <v>96.53957874738225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200.4613891724082</v>
      </c>
      <c r="ER25" t="n">
        <v>145.7824065977936</v>
      </c>
      <c r="ES25" t="n">
        <v>92.25620872569081</v>
      </c>
      <c r="ET25" t="n">
        <v>183.0065596990258</v>
      </c>
      <c r="EU25" t="n">
        <v>0</v>
      </c>
      <c r="EV25" t="n">
        <v>216.6626807819175</v>
      </c>
      <c r="EW25" t="n">
        <v>24.96253056726524</v>
      </c>
      <c r="EX25" t="n">
        <v>108.787923297371</v>
      </c>
      <c r="EY25" t="n">
        <v>87.43570131476068</v>
      </c>
      <c r="EZ25" t="n">
        <v>9777.790693196364</v>
      </c>
      <c r="FA25" t="n">
        <v>368.0652101824844</v>
      </c>
      <c r="FB25" t="n">
        <v>520.4159712917749</v>
      </c>
      <c r="FC25" t="n">
        <v>23.60443853385854</v>
      </c>
      <c r="FD25" t="n">
        <v>101.5882519933358</v>
      </c>
      <c r="FE25" t="n">
        <v>127.6958329844388</v>
      </c>
      <c r="FF25" t="n">
        <v>569.1755601760142</v>
      </c>
      <c r="FG25" t="n">
        <v>285.4051099924463</v>
      </c>
      <c r="FH25" t="n">
        <v>612.2250133118906</v>
      </c>
      <c r="FI25" t="n">
        <v>235.5604884653369</v>
      </c>
      <c r="FJ25" t="n">
        <v>681.0206196724744</v>
      </c>
      <c r="FK25" t="n">
        <v>0</v>
      </c>
      <c r="FL25" t="n">
        <v>3550.964124879612</v>
      </c>
      <c r="FM25" t="n">
        <v>77.39490824197615</v>
      </c>
      <c r="FN25" t="n">
        <v>1.404785775816569</v>
      </c>
      <c r="FO25" t="n">
        <v>650.9476874698665</v>
      </c>
      <c r="FP25" t="n">
        <v>327.353875423176</v>
      </c>
      <c r="FQ25" t="n">
        <v>4017.425999600408</v>
      </c>
      <c r="FR25" t="n">
        <v>3380.74954192042</v>
      </c>
      <c r="FS25" t="n">
        <v>5291.485417144067</v>
      </c>
      <c r="FT25" t="n">
        <v>12.817393612299</v>
      </c>
      <c r="FU25" t="n">
        <v>13.55082341441427</v>
      </c>
      <c r="FV25" t="n">
        <v>6.078567760853732</v>
      </c>
      <c r="FW25" t="n">
        <v>16.15195530011439</v>
      </c>
      <c r="FX25" t="n">
        <v>2.805537105023933</v>
      </c>
      <c r="FY25" t="n">
        <v>3.826463271506658</v>
      </c>
      <c r="FZ25" t="n">
        <v>14.97203867020151</v>
      </c>
      <c r="GA25" t="n">
        <v>1.103712926475419</v>
      </c>
      <c r="GB25" t="n">
        <v>0.09269552206971234</v>
      </c>
      <c r="GC25" t="n">
        <v>13.45957483536698</v>
      </c>
      <c r="GD25" t="n">
        <v>8.018913981025465</v>
      </c>
      <c r="GE25" t="n">
        <v>0.2464933637611796</v>
      </c>
      <c r="GF25" t="n">
        <v>5.224302096652633</v>
      </c>
      <c r="GG25" t="n">
        <v>9.506813483594181</v>
      </c>
      <c r="GH25" t="n">
        <v>8.917334566582392</v>
      </c>
      <c r="GI25" t="n">
        <v>6.019978771468626</v>
      </c>
      <c r="GJ25" t="n">
        <v>1.860597973728236</v>
      </c>
      <c r="GK25" t="n">
        <v>22.09841488944734</v>
      </c>
      <c r="GL25" t="n">
        <v>1.016087504573809</v>
      </c>
      <c r="GM25" t="n">
        <v>3.367691319617322</v>
      </c>
      <c r="GN25" t="n">
        <v>642.2008142061813</v>
      </c>
      <c r="GO25" t="n">
        <v>3368.175519154262</v>
      </c>
      <c r="GP25" t="n">
        <v>387.4090849404467</v>
      </c>
      <c r="GQ25" t="n">
        <v>0</v>
      </c>
      <c r="GR25" t="n">
        <v>10039.60993974336</v>
      </c>
      <c r="GS25" t="n">
        <v>9582.164524867201</v>
      </c>
      <c r="GT25" t="n">
        <v>22472.60326047367</v>
      </c>
      <c r="GU25" t="n">
        <v>7841.71013644225</v>
      </c>
      <c r="GV25" t="n">
        <v>7968.6908657604</v>
      </c>
      <c r="GW25" t="n">
        <v>34318.6168036072</v>
      </c>
      <c r="GX25" t="n">
        <v>7506.651799897472</v>
      </c>
      <c r="GY25" t="n">
        <v>3781.888640759953</v>
      </c>
      <c r="GZ25" t="n">
        <v>278.7675378493607</v>
      </c>
      <c r="HA25" t="n">
        <v>2656.67778161676</v>
      </c>
      <c r="HB25" t="n">
        <v>9777.790693196364</v>
      </c>
      <c r="HC25" t="n">
        <v>20639.99930037455</v>
      </c>
    </row>
    <row r="26">
      <c r="A26" s="1" t="inlineStr">
        <is>
          <t>M_row*Y_imp</t>
        </is>
      </c>
      <c r="B26" t="n">
        <v>51.00305873441526</v>
      </c>
      <c r="C26" t="n">
        <v>1949.125120105972</v>
      </c>
      <c r="D26" t="n">
        <v>31.60368756921281</v>
      </c>
      <c r="E26" t="n">
        <v>16237.79436711656</v>
      </c>
      <c r="F26" t="n">
        <v>6143.911447952703</v>
      </c>
      <c r="G26" t="n">
        <v>0</v>
      </c>
      <c r="H26" t="n">
        <v>489.5217026923618</v>
      </c>
      <c r="I26" t="n">
        <v>2394.482559320071</v>
      </c>
      <c r="J26" t="n">
        <v>0</v>
      </c>
      <c r="K26" t="n">
        <v>0</v>
      </c>
      <c r="L26" t="n">
        <v>28.83929500247892</v>
      </c>
      <c r="M26" t="n">
        <v>349.3050876813451</v>
      </c>
      <c r="N26" t="n">
        <v>289.6195936350276</v>
      </c>
      <c r="O26" t="n">
        <v>0</v>
      </c>
      <c r="P26" t="n">
        <v>0</v>
      </c>
      <c r="Q26" t="n">
        <v>0</v>
      </c>
      <c r="R26" t="n">
        <v>0</v>
      </c>
      <c r="S26" t="n">
        <v>25.05900256073967</v>
      </c>
      <c r="T26" t="n">
        <v>267.6947869823192</v>
      </c>
      <c r="U26" t="n">
        <v>0.02657983737338935</v>
      </c>
      <c r="V26" t="n">
        <v>0</v>
      </c>
      <c r="W26" t="n">
        <v>0.2555276627263679</v>
      </c>
      <c r="X26" t="n">
        <v>0</v>
      </c>
      <c r="Y26" t="n">
        <v>0.04664142986894868</v>
      </c>
      <c r="Z26" t="n">
        <v>0</v>
      </c>
      <c r="AA26" t="n">
        <v>0</v>
      </c>
      <c r="AB26" t="n">
        <v>0</v>
      </c>
      <c r="AC26" t="n">
        <v>0</v>
      </c>
      <c r="AD26" t="n">
        <v>15.49548506777486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1135.503962794603</v>
      </c>
      <c r="AS26" t="n">
        <v>683.9054568339857</v>
      </c>
      <c r="AT26" t="n">
        <v>658.794737085103</v>
      </c>
      <c r="AU26" t="n">
        <v>612.5857191277516</v>
      </c>
      <c r="AV26" t="n">
        <v>379.1435164775193</v>
      </c>
      <c r="AW26" t="n">
        <v>1177.245037117621</v>
      </c>
      <c r="AX26" t="n">
        <v>105.1161814629027</v>
      </c>
      <c r="AY26" t="n">
        <v>115.9479362049554</v>
      </c>
      <c r="AZ26" t="n">
        <v>17101.83785921449</v>
      </c>
      <c r="BA26" t="n">
        <v>961.0351134515424</v>
      </c>
      <c r="BB26" t="n">
        <v>493.7644200640664</v>
      </c>
      <c r="BC26" t="n">
        <v>977.9098681927221</v>
      </c>
      <c r="BD26" t="n">
        <v>1118.765268541089</v>
      </c>
      <c r="BE26" t="n">
        <v>2545.95629631351</v>
      </c>
      <c r="BF26" t="n">
        <v>2273.070883505853</v>
      </c>
      <c r="BG26" t="n">
        <v>69.0419212080979</v>
      </c>
      <c r="BH26" t="n">
        <v>0</v>
      </c>
      <c r="BI26" t="n">
        <v>0</v>
      </c>
      <c r="BJ26" t="n">
        <v>0</v>
      </c>
      <c r="BK26" t="n">
        <v>93.80289381931013</v>
      </c>
      <c r="BL26" t="n">
        <v>50.40811502195609</v>
      </c>
      <c r="BM26" t="n">
        <v>0.003427129310740447</v>
      </c>
      <c r="BN26" t="n">
        <v>0</v>
      </c>
      <c r="BO26" t="n">
        <v>0</v>
      </c>
      <c r="BP26" t="n">
        <v>386.2023967320088</v>
      </c>
      <c r="BQ26" t="n">
        <v>0.00109916010057457</v>
      </c>
      <c r="BR26" t="n">
        <v>0</v>
      </c>
      <c r="BS26" t="n">
        <v>4.780370139733031</v>
      </c>
      <c r="BT26" t="n">
        <v>3.921509172678249</v>
      </c>
      <c r="BU26" t="n">
        <v>290.4903365215659</v>
      </c>
      <c r="BV26" t="n">
        <v>0.3916250741249869</v>
      </c>
      <c r="BW26" t="n">
        <v>0</v>
      </c>
      <c r="BX26" t="n">
        <v>57.35527148173708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909.6171369579044</v>
      </c>
      <c r="CJ26" t="n">
        <v>0</v>
      </c>
      <c r="CK26" t="n">
        <v>1.849384498261371</v>
      </c>
      <c r="CL26" t="n">
        <v>111.9565293761828</v>
      </c>
      <c r="CM26" t="n">
        <v>841.9155250176929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75.00328685126956</v>
      </c>
      <c r="CV26" t="n">
        <v>0.006068144230045539</v>
      </c>
      <c r="CW26" t="n">
        <v>0.04581646116159826</v>
      </c>
      <c r="CX26" t="n">
        <v>0</v>
      </c>
      <c r="CY26" t="n">
        <v>44.21878994395513</v>
      </c>
      <c r="CZ26" t="n">
        <v>0.0002644928367638333</v>
      </c>
      <c r="DA26" t="n">
        <v>0</v>
      </c>
      <c r="DB26" t="n">
        <v>0.3335456477441104</v>
      </c>
      <c r="DC26" t="n">
        <v>0</v>
      </c>
      <c r="DD26" t="n">
        <v>0.1275347060554006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0.6660737388439368</v>
      </c>
      <c r="DK26" t="n">
        <v>0</v>
      </c>
      <c r="DL26" t="n">
        <v>0</v>
      </c>
      <c r="DM26" t="n">
        <v>75.02271117897797</v>
      </c>
      <c r="DN26" t="n">
        <v>10.06591531287458</v>
      </c>
      <c r="DO26" t="n">
        <v>183.6677665008258</v>
      </c>
      <c r="DP26" t="n">
        <v>62.49142036804201</v>
      </c>
      <c r="DQ26" t="n">
        <v>119.818371526353</v>
      </c>
      <c r="DR26" t="n">
        <v>75.13071893980729</v>
      </c>
      <c r="DS26" t="n">
        <v>1433.023068304359</v>
      </c>
      <c r="DT26" t="n">
        <v>59.83673724660199</v>
      </c>
      <c r="DU26" t="n">
        <v>838.7609818566061</v>
      </c>
      <c r="DV26" t="n">
        <v>0</v>
      </c>
      <c r="DW26" t="n">
        <v>0</v>
      </c>
      <c r="DX26" t="n">
        <v>0.5282737116944713</v>
      </c>
      <c r="DY26" t="n">
        <v>1.743255500313911</v>
      </c>
      <c r="DZ26" t="n">
        <v>2.539372623909724</v>
      </c>
      <c r="EA26" t="n">
        <v>2.953975807171131</v>
      </c>
      <c r="EB26" t="n">
        <v>0.2182540152249322</v>
      </c>
      <c r="EC26" t="n">
        <v>0.1476944696628986</v>
      </c>
      <c r="ED26" t="n">
        <v>0.2004657760791288</v>
      </c>
      <c r="EE26" t="n">
        <v>0.2080306885882815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8.968998012708095</v>
      </c>
      <c r="EY26" t="n">
        <v>0</v>
      </c>
      <c r="EZ26" t="n">
        <v>0</v>
      </c>
      <c r="FA26" t="n">
        <v>108.1020295933492</v>
      </c>
      <c r="FB26" t="n">
        <v>190.6585055725445</v>
      </c>
      <c r="FC26" t="n">
        <v>0.1168320072793651</v>
      </c>
      <c r="FD26" t="n">
        <v>272.7464540728947</v>
      </c>
      <c r="FE26" t="n">
        <v>43.19272455111801</v>
      </c>
      <c r="FF26" t="n">
        <v>620.8956464491429</v>
      </c>
      <c r="FG26" t="n">
        <v>49.95310102228748</v>
      </c>
      <c r="FH26" t="n">
        <v>78.0329696671775</v>
      </c>
      <c r="FI26" t="n">
        <v>24.44576713319591</v>
      </c>
      <c r="FJ26" t="n">
        <v>36.52702824013209</v>
      </c>
      <c r="FK26" t="n">
        <v>0</v>
      </c>
      <c r="FL26" t="n">
        <v>0</v>
      </c>
      <c r="FM26" t="n">
        <v>0</v>
      </c>
      <c r="FN26" t="n">
        <v>0.07657368923406391</v>
      </c>
      <c r="FO26" t="n">
        <v>146.9158743689208</v>
      </c>
      <c r="FP26" t="n">
        <v>21.16119720789207</v>
      </c>
      <c r="FQ26" t="n">
        <v>91.61606322054145</v>
      </c>
      <c r="FR26" t="n">
        <v>61.49710211833378</v>
      </c>
      <c r="FS26" t="n">
        <v>201.452566143528</v>
      </c>
      <c r="FT26" t="n">
        <v>0.3389304210233758</v>
      </c>
      <c r="FU26" t="n">
        <v>0.2848743346194066</v>
      </c>
      <c r="FV26" t="n">
        <v>0.09870911302821705</v>
      </c>
      <c r="FW26" t="n">
        <v>0.6883011401792066</v>
      </c>
      <c r="FX26" t="n">
        <v>0.03638850712100846</v>
      </c>
      <c r="FY26" t="n">
        <v>0.08687360830719122</v>
      </c>
      <c r="FZ26" t="n">
        <v>0.292645893530821</v>
      </c>
      <c r="GA26" t="n">
        <v>0.01132439768993046</v>
      </c>
      <c r="GB26" t="n">
        <v>0.001103025734415788</v>
      </c>
      <c r="GC26" t="n">
        <v>0.2021077176612671</v>
      </c>
      <c r="GD26" t="n">
        <v>0.2699050779158867</v>
      </c>
      <c r="GE26" t="n">
        <v>0</v>
      </c>
      <c r="GF26" t="n">
        <v>0.06341677842443078</v>
      </c>
      <c r="GG26" t="n">
        <v>0.1644531474370435</v>
      </c>
      <c r="GH26" t="n">
        <v>0.182547759953167</v>
      </c>
      <c r="GI26" t="n">
        <v>0.09428567305656677</v>
      </c>
      <c r="GJ26" t="n">
        <v>0.01581486565995751</v>
      </c>
      <c r="GK26" t="n">
        <v>0.4700889499499639</v>
      </c>
      <c r="GL26" t="n">
        <v>0.00957372461345756</v>
      </c>
      <c r="GM26" t="n">
        <v>0.03537698915553086</v>
      </c>
      <c r="GN26" t="n">
        <v>11.56088394523459</v>
      </c>
      <c r="GO26" t="n">
        <v>167.3855878422215</v>
      </c>
      <c r="GP26" t="n">
        <v>36.81825576750915</v>
      </c>
      <c r="GQ26" t="n">
        <v>0</v>
      </c>
      <c r="GR26" t="n">
        <v>16616.93788359408</v>
      </c>
      <c r="GS26" t="n">
        <v>1135.503962794603</v>
      </c>
      <c r="GT26" t="n">
        <v>2333.430295730665</v>
      </c>
      <c r="GU26" t="n">
        <v>1734.559417734968</v>
      </c>
      <c r="GV26" t="n">
        <v>1177.245037117621</v>
      </c>
      <c r="GW26" t="n">
        <v>28834.53014729024</v>
      </c>
      <c r="GX26" t="n">
        <v>1587.105851838737</v>
      </c>
      <c r="GY26" t="n">
        <v>3480.257355801193</v>
      </c>
      <c r="GZ26" t="n">
        <v>5937.792448360452</v>
      </c>
      <c r="HA26" t="n">
        <v>3088.188916577271</v>
      </c>
      <c r="HB26" t="n">
        <v>0</v>
      </c>
      <c r="HC26" t="n">
        <v>939.7586895039773</v>
      </c>
    </row>
    <row r="27">
      <c r="A27" s="1" t="inlineStr">
        <is>
          <t>M_imp*Y_dom+M_dom*Y_dom+M_row*Y_imp</t>
        </is>
      </c>
      <c r="B27" t="n">
        <v>503.4159757680449</v>
      </c>
      <c r="C27" t="n">
        <v>14471.04286441533</v>
      </c>
      <c r="D27" t="n">
        <v>449.6288107785631</v>
      </c>
      <c r="E27" t="n">
        <v>26263.0306386121</v>
      </c>
      <c r="F27" t="n">
        <v>8770.226245627995</v>
      </c>
      <c r="G27" t="n">
        <v>0</v>
      </c>
      <c r="H27" t="n">
        <v>630.6888529390301</v>
      </c>
      <c r="I27" t="n">
        <v>2394.482559320071</v>
      </c>
      <c r="J27" t="n">
        <v>0</v>
      </c>
      <c r="K27" t="n">
        <v>0</v>
      </c>
      <c r="L27" t="n">
        <v>2847.798014695553</v>
      </c>
      <c r="M27" t="n">
        <v>2488.782360188173</v>
      </c>
      <c r="N27" t="n">
        <v>410.8204706139998</v>
      </c>
      <c r="O27" t="n">
        <v>356.6992177802509</v>
      </c>
      <c r="P27" t="n">
        <v>0</v>
      </c>
      <c r="Q27" t="n">
        <v>0</v>
      </c>
      <c r="R27" t="n">
        <v>0</v>
      </c>
      <c r="S27" t="n">
        <v>114.0076951671178</v>
      </c>
      <c r="T27" t="n">
        <v>376.2123984654472</v>
      </c>
      <c r="U27" t="n">
        <v>0.02657983737338935</v>
      </c>
      <c r="V27" t="n">
        <v>0</v>
      </c>
      <c r="W27" t="n">
        <v>0.2555276627263679</v>
      </c>
      <c r="X27" t="n">
        <v>0</v>
      </c>
      <c r="Y27" t="n">
        <v>0.04664142986894868</v>
      </c>
      <c r="Z27" t="n">
        <v>0</v>
      </c>
      <c r="AA27" t="n">
        <v>0</v>
      </c>
      <c r="AB27" t="n">
        <v>0</v>
      </c>
      <c r="AC27" t="n">
        <v>0</v>
      </c>
      <c r="AD27" t="n">
        <v>23.40342702625044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10717.66848766181</v>
      </c>
      <c r="AS27" t="n">
        <v>1889.750989510092</v>
      </c>
      <c r="AT27" t="n">
        <v>4773.828585777308</v>
      </c>
      <c r="AU27" t="n">
        <v>12805.87360603321</v>
      </c>
      <c r="AV27" t="n">
        <v>393.517184725345</v>
      </c>
      <c r="AW27" t="n">
        <v>8789.236685097771</v>
      </c>
      <c r="AX27" t="n">
        <v>106.7403347871598</v>
      </c>
      <c r="AY27" t="n">
        <v>808.2747118616633</v>
      </c>
      <c r="AZ27" t="n">
        <v>39845.77367874204</v>
      </c>
      <c r="BA27" t="n">
        <v>5508.526542223367</v>
      </c>
      <c r="BB27" t="n">
        <v>3580.54094543791</v>
      </c>
      <c r="BC27" t="n">
        <v>1004.477104190165</v>
      </c>
      <c r="BD27" t="n">
        <v>1263.929244357466</v>
      </c>
      <c r="BE27" t="n">
        <v>2666.36675582116</v>
      </c>
      <c r="BF27" t="n">
        <v>2286.263986031187</v>
      </c>
      <c r="BG27" t="n">
        <v>91.41948044704543</v>
      </c>
      <c r="BH27" t="n">
        <v>10.62328831145675</v>
      </c>
      <c r="BI27" t="n">
        <v>0</v>
      </c>
      <c r="BJ27" t="n">
        <v>0</v>
      </c>
      <c r="BK27" t="n">
        <v>195.6322037943767</v>
      </c>
      <c r="BL27" t="n">
        <v>171.255794608779</v>
      </c>
      <c r="BM27" t="n">
        <v>0.005000530399961374</v>
      </c>
      <c r="BN27" t="n">
        <v>0</v>
      </c>
      <c r="BO27" t="n">
        <v>0</v>
      </c>
      <c r="BP27" t="n">
        <v>864.415233166357</v>
      </c>
      <c r="BQ27" t="n">
        <v>0.00109916010057457</v>
      </c>
      <c r="BR27" t="n">
        <v>0</v>
      </c>
      <c r="BS27" t="n">
        <v>5.922689939757559</v>
      </c>
      <c r="BT27" t="n">
        <v>3.921509172678249</v>
      </c>
      <c r="BU27" t="n">
        <v>630.2895406040088</v>
      </c>
      <c r="BV27" t="n">
        <v>0.425428473919354</v>
      </c>
      <c r="BW27" t="n">
        <v>0</v>
      </c>
      <c r="BX27" t="n">
        <v>65.43381723189256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3087.265015774614</v>
      </c>
      <c r="CJ27" t="n">
        <v>99.67532157910192</v>
      </c>
      <c r="CK27" t="n">
        <v>1.968266061152191</v>
      </c>
      <c r="CL27" t="n">
        <v>112.951088078896</v>
      </c>
      <c r="CM27" t="n">
        <v>1450.781131441837</v>
      </c>
      <c r="CN27" t="n">
        <v>0</v>
      </c>
      <c r="CO27" t="n">
        <v>0</v>
      </c>
      <c r="CP27" t="n">
        <v>9.552820433508247</v>
      </c>
      <c r="CQ27" t="n">
        <v>11.20971588047523</v>
      </c>
      <c r="CR27" t="n">
        <v>0</v>
      </c>
      <c r="CS27" t="n">
        <v>0</v>
      </c>
      <c r="CT27" t="n">
        <v>0</v>
      </c>
      <c r="CU27" t="n">
        <v>95.65371407994107</v>
      </c>
      <c r="CV27" t="n">
        <v>0.2343842129751629</v>
      </c>
      <c r="CW27" t="n">
        <v>1.048853525966852</v>
      </c>
      <c r="CX27" t="n">
        <v>0.2009522867690175</v>
      </c>
      <c r="CY27" t="n">
        <v>74.4502104518139</v>
      </c>
      <c r="CZ27" t="n">
        <v>0.0003758485408343975</v>
      </c>
      <c r="DA27" t="n">
        <v>4.29886353877243e-05</v>
      </c>
      <c r="DB27" t="n">
        <v>0.3335456477441104</v>
      </c>
      <c r="DC27" t="n">
        <v>0</v>
      </c>
      <c r="DD27" t="n">
        <v>0.1425209412108074</v>
      </c>
      <c r="DE27" t="n">
        <v>0.008361847009274856</v>
      </c>
      <c r="DF27" t="n">
        <v>0</v>
      </c>
      <c r="DG27" t="n">
        <v>0</v>
      </c>
      <c r="DH27" t="n">
        <v>0</v>
      </c>
      <c r="DI27" t="n">
        <v>0</v>
      </c>
      <c r="DJ27" t="n">
        <v>0.6660737388439368</v>
      </c>
      <c r="DK27" t="n">
        <v>0</v>
      </c>
      <c r="DL27" t="n">
        <v>0.003715811516819869</v>
      </c>
      <c r="DM27" t="n">
        <v>154.9934620924479</v>
      </c>
      <c r="DN27" t="n">
        <v>17.4674479860485</v>
      </c>
      <c r="DO27" t="n">
        <v>183.6677665008258</v>
      </c>
      <c r="DP27" t="n">
        <v>105.4904765785178</v>
      </c>
      <c r="DQ27" t="n">
        <v>168.4553445912421</v>
      </c>
      <c r="DR27" t="n">
        <v>130.1899438178786</v>
      </c>
      <c r="DS27" t="n">
        <v>2195.735748024218</v>
      </c>
      <c r="DT27" t="n">
        <v>93.16935244462061</v>
      </c>
      <c r="DU27" t="n">
        <v>1044.763118511627</v>
      </c>
      <c r="DV27" t="n">
        <v>0</v>
      </c>
      <c r="DW27" t="n">
        <v>0</v>
      </c>
      <c r="DX27" t="n">
        <v>21.9133407360189</v>
      </c>
      <c r="DY27" t="n">
        <v>14.60296959086858</v>
      </c>
      <c r="DZ27" t="n">
        <v>205.054294760157</v>
      </c>
      <c r="EA27" t="n">
        <v>33.5567091270523</v>
      </c>
      <c r="EB27" t="n">
        <v>5.231727651285898</v>
      </c>
      <c r="EC27" t="n">
        <v>4.087902266669495</v>
      </c>
      <c r="ED27" t="n">
        <v>4.66755421790184</v>
      </c>
      <c r="EE27" t="n">
        <v>0.565759513075672</v>
      </c>
      <c r="EF27" t="n">
        <v>0</v>
      </c>
      <c r="EG27" t="n">
        <v>0.3439196301510773</v>
      </c>
      <c r="EH27" t="n">
        <v>0</v>
      </c>
      <c r="EI27" t="n">
        <v>0</v>
      </c>
      <c r="EJ27" t="n">
        <v>26.41835416195859</v>
      </c>
      <c r="EK27" t="n">
        <v>96.53957874738225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200.4613891724082</v>
      </c>
      <c r="ER27" t="n">
        <v>145.7824065977936</v>
      </c>
      <c r="ES27" t="n">
        <v>92.25620872569081</v>
      </c>
      <c r="ET27" t="n">
        <v>183.0065596990258</v>
      </c>
      <c r="EU27" t="n">
        <v>0</v>
      </c>
      <c r="EV27" t="n">
        <v>216.6626807819175</v>
      </c>
      <c r="EW27" t="n">
        <v>24.96253056726524</v>
      </c>
      <c r="EX27" t="n">
        <v>117.7569213100791</v>
      </c>
      <c r="EY27" t="n">
        <v>87.43570131476068</v>
      </c>
      <c r="EZ27" t="n">
        <v>9777.790693196364</v>
      </c>
      <c r="FA27" t="n">
        <v>476.1672397758337</v>
      </c>
      <c r="FB27" t="n">
        <v>711.0744768643194</v>
      </c>
      <c r="FC27" t="n">
        <v>23.72127054113791</v>
      </c>
      <c r="FD27" t="n">
        <v>374.3347060662305</v>
      </c>
      <c r="FE27" t="n">
        <v>170.8885575355568</v>
      </c>
      <c r="FF27" t="n">
        <v>1190.071206625157</v>
      </c>
      <c r="FG27" t="n">
        <v>335.3582110147338</v>
      </c>
      <c r="FH27" t="n">
        <v>690.2579829790682</v>
      </c>
      <c r="FI27" t="n">
        <v>260.0062555985328</v>
      </c>
      <c r="FJ27" t="n">
        <v>717.5476479126064</v>
      </c>
      <c r="FK27" t="n">
        <v>0</v>
      </c>
      <c r="FL27" t="n">
        <v>3550.964124879612</v>
      </c>
      <c r="FM27" t="n">
        <v>77.39490824197615</v>
      </c>
      <c r="FN27" t="n">
        <v>1.481359465050633</v>
      </c>
      <c r="FO27" t="n">
        <v>797.8635618387873</v>
      </c>
      <c r="FP27" t="n">
        <v>348.5150726310681</v>
      </c>
      <c r="FQ27" t="n">
        <v>4109.042062820949</v>
      </c>
      <c r="FR27" t="n">
        <v>3442.246644038753</v>
      </c>
      <c r="FS27" t="n">
        <v>5492.937983287595</v>
      </c>
      <c r="FT27" t="n">
        <v>13.15632403332238</v>
      </c>
      <c r="FU27" t="n">
        <v>13.83569774903368</v>
      </c>
      <c r="FV27" t="n">
        <v>6.177276873881949</v>
      </c>
      <c r="FW27" t="n">
        <v>16.84025644029359</v>
      </c>
      <c r="FX27" t="n">
        <v>2.841925612144941</v>
      </c>
      <c r="FY27" t="n">
        <v>3.913336879813849</v>
      </c>
      <c r="FZ27" t="n">
        <v>15.26468456373233</v>
      </c>
      <c r="GA27" t="n">
        <v>1.115037324165349</v>
      </c>
      <c r="GB27" t="n">
        <v>0.09379854780412812</v>
      </c>
      <c r="GC27" t="n">
        <v>13.66168255302824</v>
      </c>
      <c r="GD27" t="n">
        <v>8.288819058941352</v>
      </c>
      <c r="GE27" t="n">
        <v>0.2464933637611796</v>
      </c>
      <c r="GF27" t="n">
        <v>5.287718875077064</v>
      </c>
      <c r="GG27" t="n">
        <v>9.671266631031225</v>
      </c>
      <c r="GH27" t="n">
        <v>9.099882326535559</v>
      </c>
      <c r="GI27" t="n">
        <v>6.114264444525193</v>
      </c>
      <c r="GJ27" t="n">
        <v>1.876412839388193</v>
      </c>
      <c r="GK27" t="n">
        <v>22.56850383939731</v>
      </c>
      <c r="GL27" t="n">
        <v>1.025661229187266</v>
      </c>
      <c r="GM27" t="n">
        <v>3.403068308772853</v>
      </c>
      <c r="GN27" t="n">
        <v>653.7616981514159</v>
      </c>
      <c r="GO27" t="n">
        <v>3535.561106996484</v>
      </c>
      <c r="GP27" t="n">
        <v>424.2273407079558</v>
      </c>
      <c r="GQ27" t="n">
        <v>0</v>
      </c>
      <c r="GR27" t="n">
        <v>26656.54782333744</v>
      </c>
      <c r="GS27" t="n">
        <v>10717.66848766181</v>
      </c>
      <c r="GT27" t="n">
        <v>24806.03355620433</v>
      </c>
      <c r="GU27" t="n">
        <v>9576.269554177217</v>
      </c>
      <c r="GV27" t="n">
        <v>9145.935902878022</v>
      </c>
      <c r="GW27" t="n">
        <v>63153.14695089744</v>
      </c>
      <c r="GX27" t="n">
        <v>9093.757651736209</v>
      </c>
      <c r="GY27" t="n">
        <v>7262.145996561146</v>
      </c>
      <c r="GZ27" t="n">
        <v>6216.559986209812</v>
      </c>
      <c r="HA27" t="n">
        <v>5744.866698194031</v>
      </c>
      <c r="HB27" t="n">
        <v>9777.790693196364</v>
      </c>
      <c r="HC27" t="n">
        <v>21579.75798987853</v>
      </c>
    </row>
    <row r="28">
      <c r="A28" s="1" t="inlineStr">
        <is>
          <t>Clé de tri</t>
        </is>
      </c>
      <c r="B28">
        <f>INDEX(B$18:B$27,MATCH($B$1,$A$18:$A$27,0))</f>
        <v/>
      </c>
      <c r="C28">
        <f>INDEX(C$18:C$27,MATCH($B$1,$A$18:$A$27,0))</f>
        <v/>
      </c>
      <c r="D28">
        <f>INDEX(D$18:D$27,MATCH($B$1,$A$18:$A$27,0))</f>
        <v/>
      </c>
      <c r="E28">
        <f>INDEX(E$18:E$27,MATCH($B$1,$A$18:$A$27,0))</f>
        <v/>
      </c>
      <c r="F28">
        <f>INDEX(F$18:F$27,MATCH($B$1,$A$18:$A$27,0))</f>
        <v/>
      </c>
      <c r="G28">
        <f>INDEX(G$18:G$27,MATCH($B$1,$A$18:$A$27,0))</f>
        <v/>
      </c>
      <c r="H28">
        <f>INDEX(H$18:H$27,MATCH($B$1,$A$18:$A$27,0))</f>
        <v/>
      </c>
      <c r="I28">
        <f>INDEX(I$18:I$27,MATCH($B$1,$A$18:$A$27,0))</f>
        <v/>
      </c>
      <c r="J28">
        <f>INDEX(J$18:J$27,MATCH($B$1,$A$18:$A$27,0))</f>
        <v/>
      </c>
      <c r="K28">
        <f>INDEX(K$18:K$27,MATCH($B$1,$A$18:$A$27,0))</f>
        <v/>
      </c>
      <c r="L28">
        <f>INDEX(L$18:L$27,MATCH($B$1,$A$18:$A$27,0))</f>
        <v/>
      </c>
      <c r="M28">
        <f>INDEX(M$18:M$27,MATCH($B$1,$A$18:$A$27,0))</f>
        <v/>
      </c>
      <c r="N28">
        <f>INDEX(N$18:N$27,MATCH($B$1,$A$18:$A$27,0))</f>
        <v/>
      </c>
      <c r="O28">
        <f>INDEX(O$18:O$27,MATCH($B$1,$A$18:$A$27,0))</f>
        <v/>
      </c>
      <c r="P28">
        <f>INDEX(P$18:P$27,MATCH($B$1,$A$18:$A$27,0))</f>
        <v/>
      </c>
      <c r="Q28">
        <f>INDEX(Q$18:Q$27,MATCH($B$1,$A$18:$A$27,0))</f>
        <v/>
      </c>
      <c r="R28">
        <f>INDEX(R$18:R$27,MATCH($B$1,$A$18:$A$27,0))</f>
        <v/>
      </c>
      <c r="S28">
        <f>INDEX(S$18:S$27,MATCH($B$1,$A$18:$A$27,0))</f>
        <v/>
      </c>
      <c r="T28">
        <f>INDEX(T$18:T$27,MATCH($B$1,$A$18:$A$27,0))</f>
        <v/>
      </c>
      <c r="U28">
        <f>INDEX(U$18:U$27,MATCH($B$1,$A$18:$A$27,0))</f>
        <v/>
      </c>
      <c r="V28">
        <f>INDEX(V$18:V$27,MATCH($B$1,$A$18:$A$27,0))</f>
        <v/>
      </c>
      <c r="W28">
        <f>INDEX(W$18:W$27,MATCH($B$1,$A$18:$A$27,0))</f>
        <v/>
      </c>
      <c r="X28">
        <f>INDEX(X$18:X$27,MATCH($B$1,$A$18:$A$27,0))</f>
        <v/>
      </c>
      <c r="Y28">
        <f>INDEX(Y$18:Y$27,MATCH($B$1,$A$18:$A$27,0))</f>
        <v/>
      </c>
      <c r="Z28">
        <f>INDEX(Z$18:Z$27,MATCH($B$1,$A$18:$A$27,0))</f>
        <v/>
      </c>
      <c r="AA28">
        <f>INDEX(AA$18:AA$27,MATCH($B$1,$A$18:$A$27,0))</f>
        <v/>
      </c>
      <c r="AB28">
        <f>INDEX(AB$18:AB$27,MATCH($B$1,$A$18:$A$27,0))</f>
        <v/>
      </c>
      <c r="AC28">
        <f>INDEX(AC$18:AC$27,MATCH($B$1,$A$18:$A$27,0))</f>
        <v/>
      </c>
      <c r="AD28">
        <f>INDEX(AD$18:AD$27,MATCH($B$1,$A$18:$A$27,0))</f>
        <v/>
      </c>
      <c r="AE28">
        <f>INDEX(AE$18:AE$27,MATCH($B$1,$A$18:$A$27,0))</f>
        <v/>
      </c>
      <c r="AF28">
        <f>INDEX(AF$18:AF$27,MATCH($B$1,$A$18:$A$27,0))</f>
        <v/>
      </c>
      <c r="AG28">
        <f>INDEX(AG$18:AG$27,MATCH($B$1,$A$18:$A$27,0))</f>
        <v/>
      </c>
      <c r="AH28">
        <f>INDEX(AH$18:AH$27,MATCH($B$1,$A$18:$A$27,0))</f>
        <v/>
      </c>
      <c r="AI28">
        <f>INDEX(AI$18:AI$27,MATCH($B$1,$A$18:$A$27,0))</f>
        <v/>
      </c>
      <c r="AJ28">
        <f>INDEX(AJ$18:AJ$27,MATCH($B$1,$A$18:$A$27,0))</f>
        <v/>
      </c>
      <c r="AK28">
        <f>INDEX(AK$18:AK$27,MATCH($B$1,$A$18:$A$27,0))</f>
        <v/>
      </c>
      <c r="AL28">
        <f>INDEX(AL$18:AL$27,MATCH($B$1,$A$18:$A$27,0))</f>
        <v/>
      </c>
      <c r="AM28">
        <f>INDEX(AM$18:AM$27,MATCH($B$1,$A$18:$A$27,0))</f>
        <v/>
      </c>
      <c r="AN28">
        <f>INDEX(AN$18:AN$27,MATCH($B$1,$A$18:$A$27,0))</f>
        <v/>
      </c>
      <c r="AO28">
        <f>INDEX(AO$18:AO$27,MATCH($B$1,$A$18:$A$27,0))</f>
        <v/>
      </c>
      <c r="AP28">
        <f>INDEX(AP$18:AP$27,MATCH($B$1,$A$18:$A$27,0))</f>
        <v/>
      </c>
      <c r="AQ28">
        <f>INDEX(AQ$18:AQ$27,MATCH($B$1,$A$18:$A$27,0))</f>
        <v/>
      </c>
      <c r="AR28">
        <f>INDEX(AR$18:AR$27,MATCH($B$1,$A$18:$A$27,0))</f>
        <v/>
      </c>
      <c r="AS28">
        <f>INDEX(AS$18:AS$27,MATCH($B$1,$A$18:$A$27,0))</f>
        <v/>
      </c>
      <c r="AT28">
        <f>INDEX(AT$18:AT$27,MATCH($B$1,$A$18:$A$27,0))</f>
        <v/>
      </c>
      <c r="AU28">
        <f>INDEX(AU$18:AU$27,MATCH($B$1,$A$18:$A$27,0))</f>
        <v/>
      </c>
      <c r="AV28">
        <f>INDEX(AV$18:AV$27,MATCH($B$1,$A$18:$A$27,0))</f>
        <v/>
      </c>
      <c r="AW28">
        <f>INDEX(AW$18:AW$27,MATCH($B$1,$A$18:$A$27,0))</f>
        <v/>
      </c>
      <c r="AX28">
        <f>INDEX(AX$18:AX$27,MATCH($B$1,$A$18:$A$27,0))</f>
        <v/>
      </c>
      <c r="AY28">
        <f>INDEX(AY$18:AY$27,MATCH($B$1,$A$18:$A$27,0))</f>
        <v/>
      </c>
      <c r="AZ28">
        <f>INDEX(AZ$18:AZ$27,MATCH($B$1,$A$18:$A$27,0))</f>
        <v/>
      </c>
      <c r="BA28">
        <f>INDEX(BA$18:BA$27,MATCH($B$1,$A$18:$A$27,0))</f>
        <v/>
      </c>
      <c r="BB28">
        <f>INDEX(BB$18:BB$27,MATCH($B$1,$A$18:$A$27,0))</f>
        <v/>
      </c>
      <c r="BC28">
        <f>INDEX(BC$18:BC$27,MATCH($B$1,$A$18:$A$27,0))</f>
        <v/>
      </c>
      <c r="BD28">
        <f>INDEX(BD$18:BD$27,MATCH($B$1,$A$18:$A$27,0))</f>
        <v/>
      </c>
      <c r="BE28">
        <f>INDEX(BE$18:BE$27,MATCH($B$1,$A$18:$A$27,0))</f>
        <v/>
      </c>
      <c r="BF28">
        <f>INDEX(BF$18:BF$27,MATCH($B$1,$A$18:$A$27,0))</f>
        <v/>
      </c>
      <c r="BG28">
        <f>INDEX(BG$18:BG$27,MATCH($B$1,$A$18:$A$27,0))</f>
        <v/>
      </c>
      <c r="BH28">
        <f>INDEX(BH$18:BH$27,MATCH($B$1,$A$18:$A$27,0))</f>
        <v/>
      </c>
      <c r="BI28">
        <f>INDEX(BI$18:BI$27,MATCH($B$1,$A$18:$A$27,0))</f>
        <v/>
      </c>
      <c r="BJ28">
        <f>INDEX(BJ$18:BJ$27,MATCH($B$1,$A$18:$A$27,0))</f>
        <v/>
      </c>
      <c r="BK28">
        <f>INDEX(BK$18:BK$27,MATCH($B$1,$A$18:$A$27,0))</f>
        <v/>
      </c>
      <c r="BL28">
        <f>INDEX(BL$18:BL$27,MATCH($B$1,$A$18:$A$27,0))</f>
        <v/>
      </c>
      <c r="BM28">
        <f>INDEX(BM$18:BM$27,MATCH($B$1,$A$18:$A$27,0))</f>
        <v/>
      </c>
      <c r="BN28">
        <f>INDEX(BN$18:BN$27,MATCH($B$1,$A$18:$A$27,0))</f>
        <v/>
      </c>
      <c r="BO28">
        <f>INDEX(BO$18:BO$27,MATCH($B$1,$A$18:$A$27,0))</f>
        <v/>
      </c>
      <c r="BP28">
        <f>INDEX(BP$18:BP$27,MATCH($B$1,$A$18:$A$27,0))</f>
        <v/>
      </c>
      <c r="BQ28">
        <f>INDEX(BQ$18:BQ$27,MATCH($B$1,$A$18:$A$27,0))</f>
        <v/>
      </c>
      <c r="BR28">
        <f>INDEX(BR$18:BR$27,MATCH($B$1,$A$18:$A$27,0))</f>
        <v/>
      </c>
      <c r="BS28">
        <f>INDEX(BS$18:BS$27,MATCH($B$1,$A$18:$A$27,0))</f>
        <v/>
      </c>
      <c r="BT28">
        <f>INDEX(BT$18:BT$27,MATCH($B$1,$A$18:$A$27,0))</f>
        <v/>
      </c>
      <c r="BU28">
        <f>INDEX(BU$18:BU$27,MATCH($B$1,$A$18:$A$27,0))</f>
        <v/>
      </c>
      <c r="BV28">
        <f>INDEX(BV$18:BV$27,MATCH($B$1,$A$18:$A$27,0))</f>
        <v/>
      </c>
      <c r="BW28">
        <f>INDEX(BW$18:BW$27,MATCH($B$1,$A$18:$A$27,0))</f>
        <v/>
      </c>
      <c r="BX28">
        <f>INDEX(BX$18:BX$27,MATCH($B$1,$A$18:$A$27,0))</f>
        <v/>
      </c>
      <c r="BY28">
        <f>INDEX(BY$18:BY$27,MATCH($B$1,$A$18:$A$27,0))</f>
        <v/>
      </c>
      <c r="BZ28">
        <f>INDEX(BZ$18:BZ$27,MATCH($B$1,$A$18:$A$27,0))</f>
        <v/>
      </c>
      <c r="CA28">
        <f>INDEX(CA$18:CA$27,MATCH($B$1,$A$18:$A$27,0))</f>
        <v/>
      </c>
      <c r="CB28">
        <f>INDEX(CB$18:CB$27,MATCH($B$1,$A$18:$A$27,0))</f>
        <v/>
      </c>
      <c r="CC28">
        <f>INDEX(CC$18:CC$27,MATCH($B$1,$A$18:$A$27,0))</f>
        <v/>
      </c>
      <c r="CD28">
        <f>INDEX(CD$18:CD$27,MATCH($B$1,$A$18:$A$27,0))</f>
        <v/>
      </c>
      <c r="CE28">
        <f>INDEX(CE$18:CE$27,MATCH($B$1,$A$18:$A$27,0))</f>
        <v/>
      </c>
      <c r="CF28">
        <f>INDEX(CF$18:CF$27,MATCH($B$1,$A$18:$A$27,0))</f>
        <v/>
      </c>
      <c r="CG28">
        <f>INDEX(CG$18:CG$27,MATCH($B$1,$A$18:$A$27,0))</f>
        <v/>
      </c>
      <c r="CH28">
        <f>INDEX(CH$18:CH$27,MATCH($B$1,$A$18:$A$27,0))</f>
        <v/>
      </c>
      <c r="CI28">
        <f>INDEX(CI$18:CI$27,MATCH($B$1,$A$18:$A$27,0))</f>
        <v/>
      </c>
      <c r="CJ28">
        <f>INDEX(CJ$18:CJ$27,MATCH($B$1,$A$18:$A$27,0))</f>
        <v/>
      </c>
      <c r="CK28">
        <f>INDEX(CK$18:CK$27,MATCH($B$1,$A$18:$A$27,0))</f>
        <v/>
      </c>
      <c r="CL28">
        <f>INDEX(CL$18:CL$27,MATCH($B$1,$A$18:$A$27,0))</f>
        <v/>
      </c>
      <c r="CM28">
        <f>INDEX(CM$18:CM$27,MATCH($B$1,$A$18:$A$27,0))</f>
        <v/>
      </c>
      <c r="CN28">
        <f>INDEX(CN$18:CN$27,MATCH($B$1,$A$18:$A$27,0))</f>
        <v/>
      </c>
      <c r="CO28">
        <f>INDEX(CO$18:CO$27,MATCH($B$1,$A$18:$A$27,0))</f>
        <v/>
      </c>
      <c r="CP28">
        <f>INDEX(CP$18:CP$27,MATCH($B$1,$A$18:$A$27,0))</f>
        <v/>
      </c>
      <c r="CQ28">
        <f>INDEX(CQ$18:CQ$27,MATCH($B$1,$A$18:$A$27,0))</f>
        <v/>
      </c>
      <c r="CR28">
        <f>INDEX(CR$18:CR$27,MATCH($B$1,$A$18:$A$27,0))</f>
        <v/>
      </c>
      <c r="CS28">
        <f>INDEX(CS$18:CS$27,MATCH($B$1,$A$18:$A$27,0))</f>
        <v/>
      </c>
      <c r="CT28">
        <f>INDEX(CT$18:CT$27,MATCH($B$1,$A$18:$A$27,0))</f>
        <v/>
      </c>
      <c r="CU28">
        <f>INDEX(CU$18:CU$27,MATCH($B$1,$A$18:$A$27,0))</f>
        <v/>
      </c>
      <c r="CV28">
        <f>INDEX(CV$18:CV$27,MATCH($B$1,$A$18:$A$27,0))</f>
        <v/>
      </c>
      <c r="CW28">
        <f>INDEX(CW$18:CW$27,MATCH($B$1,$A$18:$A$27,0))</f>
        <v/>
      </c>
      <c r="CX28">
        <f>INDEX(CX$18:CX$27,MATCH($B$1,$A$18:$A$27,0))</f>
        <v/>
      </c>
      <c r="CY28">
        <f>INDEX(CY$18:CY$27,MATCH($B$1,$A$18:$A$27,0))</f>
        <v/>
      </c>
      <c r="CZ28">
        <f>INDEX(CZ$18:CZ$27,MATCH($B$1,$A$18:$A$27,0))</f>
        <v/>
      </c>
      <c r="DA28">
        <f>INDEX(DA$18:DA$27,MATCH($B$1,$A$18:$A$27,0))</f>
        <v/>
      </c>
      <c r="DB28">
        <f>INDEX(DB$18:DB$27,MATCH($B$1,$A$18:$A$27,0))</f>
        <v/>
      </c>
      <c r="DC28">
        <f>INDEX(DC$18:DC$27,MATCH($B$1,$A$18:$A$27,0))</f>
        <v/>
      </c>
      <c r="DD28">
        <f>INDEX(DD$18:DD$27,MATCH($B$1,$A$18:$A$27,0))</f>
        <v/>
      </c>
      <c r="DE28">
        <f>INDEX(DE$18:DE$27,MATCH($B$1,$A$18:$A$27,0))</f>
        <v/>
      </c>
      <c r="DF28">
        <f>INDEX(DF$18:DF$27,MATCH($B$1,$A$18:$A$27,0))</f>
        <v/>
      </c>
      <c r="DG28">
        <f>INDEX(DG$18:DG$27,MATCH($B$1,$A$18:$A$27,0))</f>
        <v/>
      </c>
      <c r="DH28">
        <f>INDEX(DH$18:DH$27,MATCH($B$1,$A$18:$A$27,0))</f>
        <v/>
      </c>
      <c r="DI28">
        <f>INDEX(DI$18:DI$27,MATCH($B$1,$A$18:$A$27,0))</f>
        <v/>
      </c>
      <c r="DJ28">
        <f>INDEX(DJ$18:DJ$27,MATCH($B$1,$A$18:$A$27,0))</f>
        <v/>
      </c>
      <c r="DK28">
        <f>INDEX(DK$18:DK$27,MATCH($B$1,$A$18:$A$27,0))</f>
        <v/>
      </c>
      <c r="DL28">
        <f>INDEX(DL$18:DL$27,MATCH($B$1,$A$18:$A$27,0))</f>
        <v/>
      </c>
      <c r="DM28">
        <f>INDEX(DM$18:DM$27,MATCH($B$1,$A$18:$A$27,0))</f>
        <v/>
      </c>
      <c r="DN28">
        <f>INDEX(DN$18:DN$27,MATCH($B$1,$A$18:$A$27,0))</f>
        <v/>
      </c>
      <c r="DO28">
        <f>INDEX(DO$18:DO$27,MATCH($B$1,$A$18:$A$27,0))</f>
        <v/>
      </c>
      <c r="DP28">
        <f>INDEX(DP$18:DP$27,MATCH($B$1,$A$18:$A$27,0))</f>
        <v/>
      </c>
      <c r="DQ28">
        <f>INDEX(DQ$18:DQ$27,MATCH($B$1,$A$18:$A$27,0))</f>
        <v/>
      </c>
      <c r="DR28">
        <f>INDEX(DR$18:DR$27,MATCH($B$1,$A$18:$A$27,0))</f>
        <v/>
      </c>
      <c r="DS28">
        <f>INDEX(DS$18:DS$27,MATCH($B$1,$A$18:$A$27,0))</f>
        <v/>
      </c>
      <c r="DT28">
        <f>INDEX(DT$18:DT$27,MATCH($B$1,$A$18:$A$27,0))</f>
        <v/>
      </c>
      <c r="DU28">
        <f>INDEX(DU$18:DU$27,MATCH($B$1,$A$18:$A$27,0))</f>
        <v/>
      </c>
      <c r="DV28">
        <f>INDEX(DV$18:DV$27,MATCH($B$1,$A$18:$A$27,0))</f>
        <v/>
      </c>
      <c r="DW28">
        <f>INDEX(DW$18:DW$27,MATCH($B$1,$A$18:$A$27,0))</f>
        <v/>
      </c>
      <c r="DX28">
        <f>INDEX(DX$18:DX$27,MATCH($B$1,$A$18:$A$27,0))</f>
        <v/>
      </c>
      <c r="DY28">
        <f>INDEX(DY$18:DY$27,MATCH($B$1,$A$18:$A$27,0))</f>
        <v/>
      </c>
      <c r="DZ28">
        <f>INDEX(DZ$18:DZ$27,MATCH($B$1,$A$18:$A$27,0))</f>
        <v/>
      </c>
      <c r="EA28">
        <f>INDEX(EA$18:EA$27,MATCH($B$1,$A$18:$A$27,0))</f>
        <v/>
      </c>
      <c r="EB28">
        <f>INDEX(EB$18:EB$27,MATCH($B$1,$A$18:$A$27,0))</f>
        <v/>
      </c>
      <c r="EC28">
        <f>INDEX(EC$18:EC$27,MATCH($B$1,$A$18:$A$27,0))</f>
        <v/>
      </c>
      <c r="ED28">
        <f>INDEX(ED$18:ED$27,MATCH($B$1,$A$18:$A$27,0))</f>
        <v/>
      </c>
      <c r="EE28">
        <f>INDEX(EE$18:EE$27,MATCH($B$1,$A$18:$A$27,0))</f>
        <v/>
      </c>
      <c r="EF28">
        <f>INDEX(EF$18:EF$27,MATCH($B$1,$A$18:$A$27,0))</f>
        <v/>
      </c>
      <c r="EG28">
        <f>INDEX(EG$18:EG$27,MATCH($B$1,$A$18:$A$27,0))</f>
        <v/>
      </c>
      <c r="EH28">
        <f>INDEX(EH$18:EH$27,MATCH($B$1,$A$18:$A$27,0))</f>
        <v/>
      </c>
      <c r="EI28">
        <f>INDEX(EI$18:EI$27,MATCH($B$1,$A$18:$A$27,0))</f>
        <v/>
      </c>
      <c r="EJ28">
        <f>INDEX(EJ$18:EJ$27,MATCH($B$1,$A$18:$A$27,0))</f>
        <v/>
      </c>
      <c r="EK28">
        <f>INDEX(EK$18:EK$27,MATCH($B$1,$A$18:$A$27,0))</f>
        <v/>
      </c>
      <c r="EL28">
        <f>INDEX(EL$18:EL$27,MATCH($B$1,$A$18:$A$27,0))</f>
        <v/>
      </c>
      <c r="EM28">
        <f>INDEX(EM$18:EM$27,MATCH($B$1,$A$18:$A$27,0))</f>
        <v/>
      </c>
      <c r="EN28">
        <f>INDEX(EN$18:EN$27,MATCH($B$1,$A$18:$A$27,0))</f>
        <v/>
      </c>
      <c r="EO28">
        <f>INDEX(EO$18:EO$27,MATCH($B$1,$A$18:$A$27,0))</f>
        <v/>
      </c>
      <c r="EP28">
        <f>INDEX(EP$18:EP$27,MATCH($B$1,$A$18:$A$27,0))</f>
        <v/>
      </c>
      <c r="EQ28">
        <f>INDEX(EQ$18:EQ$27,MATCH($B$1,$A$18:$A$27,0))</f>
        <v/>
      </c>
      <c r="ER28">
        <f>INDEX(ER$18:ER$27,MATCH($B$1,$A$18:$A$27,0))</f>
        <v/>
      </c>
      <c r="ES28">
        <f>INDEX(ES$18:ES$27,MATCH($B$1,$A$18:$A$27,0))</f>
        <v/>
      </c>
      <c r="ET28">
        <f>INDEX(ET$18:ET$27,MATCH($B$1,$A$18:$A$27,0))</f>
        <v/>
      </c>
      <c r="EU28">
        <f>INDEX(EU$18:EU$27,MATCH($B$1,$A$18:$A$27,0))</f>
        <v/>
      </c>
      <c r="EV28">
        <f>INDEX(EV$18:EV$27,MATCH($B$1,$A$18:$A$27,0))</f>
        <v/>
      </c>
      <c r="EW28">
        <f>INDEX(EW$18:EW$27,MATCH($B$1,$A$18:$A$27,0))</f>
        <v/>
      </c>
      <c r="EX28">
        <f>INDEX(EX$18:EX$27,MATCH($B$1,$A$18:$A$27,0))</f>
        <v/>
      </c>
      <c r="EY28">
        <f>INDEX(EY$18:EY$27,MATCH($B$1,$A$18:$A$27,0))</f>
        <v/>
      </c>
      <c r="EZ28">
        <f>INDEX(EZ$18:EZ$27,MATCH($B$1,$A$18:$A$27,0))</f>
        <v/>
      </c>
      <c r="FA28">
        <f>INDEX(FA$18:FA$27,MATCH($B$1,$A$18:$A$27,0))</f>
        <v/>
      </c>
      <c r="FB28">
        <f>INDEX(FB$18:FB$27,MATCH($B$1,$A$18:$A$27,0))</f>
        <v/>
      </c>
      <c r="FC28">
        <f>INDEX(FC$18:FC$27,MATCH($B$1,$A$18:$A$27,0))</f>
        <v/>
      </c>
      <c r="FD28">
        <f>INDEX(FD$18:FD$27,MATCH($B$1,$A$18:$A$27,0))</f>
        <v/>
      </c>
      <c r="FE28">
        <f>INDEX(FE$18:FE$27,MATCH($B$1,$A$18:$A$27,0))</f>
        <v/>
      </c>
      <c r="FF28">
        <f>INDEX(FF$18:FF$27,MATCH($B$1,$A$18:$A$27,0))</f>
        <v/>
      </c>
      <c r="FG28">
        <f>INDEX(FG$18:FG$27,MATCH($B$1,$A$18:$A$27,0))</f>
        <v/>
      </c>
      <c r="FH28">
        <f>INDEX(FH$18:FH$27,MATCH($B$1,$A$18:$A$27,0))</f>
        <v/>
      </c>
      <c r="FI28">
        <f>INDEX(FI$18:FI$27,MATCH($B$1,$A$18:$A$27,0))</f>
        <v/>
      </c>
      <c r="FJ28">
        <f>INDEX(FJ$18:FJ$27,MATCH($B$1,$A$18:$A$27,0))</f>
        <v/>
      </c>
      <c r="FK28">
        <f>INDEX(FK$18:FK$27,MATCH($B$1,$A$18:$A$27,0))</f>
        <v/>
      </c>
      <c r="FL28">
        <f>INDEX(FL$18:FL$27,MATCH($B$1,$A$18:$A$27,0))</f>
        <v/>
      </c>
      <c r="FM28">
        <f>INDEX(FM$18:FM$27,MATCH($B$1,$A$18:$A$27,0))</f>
        <v/>
      </c>
      <c r="FN28">
        <f>INDEX(FN$18:FN$27,MATCH($B$1,$A$18:$A$27,0))</f>
        <v/>
      </c>
      <c r="FO28">
        <f>INDEX(FO$18:FO$27,MATCH($B$1,$A$18:$A$27,0))</f>
        <v/>
      </c>
      <c r="FP28">
        <f>INDEX(FP$18:FP$27,MATCH($B$1,$A$18:$A$27,0))</f>
        <v/>
      </c>
      <c r="FQ28">
        <f>INDEX(FQ$18:FQ$27,MATCH($B$1,$A$18:$A$27,0))</f>
        <v/>
      </c>
      <c r="FR28">
        <f>INDEX(FR$18:FR$27,MATCH($B$1,$A$18:$A$27,0))</f>
        <v/>
      </c>
      <c r="FS28">
        <f>INDEX(FS$18:FS$27,MATCH($B$1,$A$18:$A$27,0))</f>
        <v/>
      </c>
      <c r="FT28">
        <f>INDEX(FT$18:FT$27,MATCH($B$1,$A$18:$A$27,0))</f>
        <v/>
      </c>
      <c r="FU28">
        <f>INDEX(FU$18:FU$27,MATCH($B$1,$A$18:$A$27,0))</f>
        <v/>
      </c>
      <c r="FV28">
        <f>INDEX(FV$18:FV$27,MATCH($B$1,$A$18:$A$27,0))</f>
        <v/>
      </c>
      <c r="FW28">
        <f>INDEX(FW$18:FW$27,MATCH($B$1,$A$18:$A$27,0))</f>
        <v/>
      </c>
      <c r="FX28">
        <f>INDEX(FX$18:FX$27,MATCH($B$1,$A$18:$A$27,0))</f>
        <v/>
      </c>
      <c r="FY28">
        <f>INDEX(FY$18:FY$27,MATCH($B$1,$A$18:$A$27,0))</f>
        <v/>
      </c>
      <c r="FZ28">
        <f>INDEX(FZ$18:FZ$27,MATCH($B$1,$A$18:$A$27,0))</f>
        <v/>
      </c>
      <c r="GA28">
        <f>INDEX(GA$18:GA$27,MATCH($B$1,$A$18:$A$27,0))</f>
        <v/>
      </c>
      <c r="GB28">
        <f>INDEX(GB$18:GB$27,MATCH($B$1,$A$18:$A$27,0))</f>
        <v/>
      </c>
      <c r="GC28">
        <f>INDEX(GC$18:GC$27,MATCH($B$1,$A$18:$A$27,0))</f>
        <v/>
      </c>
      <c r="GD28">
        <f>INDEX(GD$18:GD$27,MATCH($B$1,$A$18:$A$27,0))</f>
        <v/>
      </c>
      <c r="GE28">
        <f>INDEX(GE$18:GE$27,MATCH($B$1,$A$18:$A$27,0))</f>
        <v/>
      </c>
      <c r="GF28">
        <f>INDEX(GF$18:GF$27,MATCH($B$1,$A$18:$A$27,0))</f>
        <v/>
      </c>
      <c r="GG28">
        <f>INDEX(GG$18:GG$27,MATCH($B$1,$A$18:$A$27,0))</f>
        <v/>
      </c>
      <c r="GH28">
        <f>INDEX(GH$18:GH$27,MATCH($B$1,$A$18:$A$27,0))</f>
        <v/>
      </c>
      <c r="GI28">
        <f>INDEX(GI$18:GI$27,MATCH($B$1,$A$18:$A$27,0))</f>
        <v/>
      </c>
      <c r="GJ28">
        <f>INDEX(GJ$18:GJ$27,MATCH($B$1,$A$18:$A$27,0))</f>
        <v/>
      </c>
      <c r="GK28">
        <f>INDEX(GK$18:GK$27,MATCH($B$1,$A$18:$A$27,0))</f>
        <v/>
      </c>
      <c r="GL28">
        <f>INDEX(GL$18:GL$27,MATCH($B$1,$A$18:$A$27,0))</f>
        <v/>
      </c>
      <c r="GM28">
        <f>INDEX(GM$18:GM$27,MATCH($B$1,$A$18:$A$27,0))</f>
        <v/>
      </c>
      <c r="GN28">
        <f>INDEX(GN$18:GN$27,MATCH($B$1,$A$18:$A$27,0))</f>
        <v/>
      </c>
      <c r="GO28">
        <f>INDEX(GO$18:GO$27,MATCH($B$1,$A$18:$A$27,0))</f>
        <v/>
      </c>
      <c r="GP28">
        <f>INDEX(GP$18:GP$27,MATCH($B$1,$A$18:$A$27,0))</f>
        <v/>
      </c>
      <c r="GQ28">
        <f>INDEX(GQ$18:GQ$27,MATCH($B$1,$A$18:$A$27,0))</f>
        <v/>
      </c>
      <c r="GR28">
        <f>INDEX(GR$18:GR$27,MATCH($B$1,$A$18:$A$27,0))</f>
        <v/>
      </c>
      <c r="GS28">
        <f>INDEX(GS$18:GS$27,MATCH($B$1,$A$18:$A$27,0))</f>
        <v/>
      </c>
      <c r="GT28">
        <f>INDEX(GT$18:GT$27,MATCH($B$1,$A$18:$A$27,0))</f>
        <v/>
      </c>
      <c r="GU28">
        <f>INDEX(GU$18:GU$27,MATCH($B$1,$A$18:$A$27,0))</f>
        <v/>
      </c>
      <c r="GV28">
        <f>INDEX(GV$18:GV$27,MATCH($B$1,$A$18:$A$27,0))</f>
        <v/>
      </c>
      <c r="GW28">
        <f>INDEX(GW$18:GW$27,MATCH($B$1,$A$18:$A$27,0))</f>
        <v/>
      </c>
      <c r="GX28">
        <f>INDEX(GX$18:GX$27,MATCH($B$1,$A$18:$A$27,0))</f>
        <v/>
      </c>
      <c r="GY28">
        <f>INDEX(GY$18:GY$27,MATCH($B$1,$A$18:$A$27,0))</f>
        <v/>
      </c>
      <c r="GZ28">
        <f>INDEX(GZ$18:GZ$27,MATCH($B$1,$A$18:$A$27,0))</f>
        <v/>
      </c>
      <c r="HA28">
        <f>INDEX(HA$18:HA$27,MATCH($B$1,$A$18:$A$27,0))</f>
        <v/>
      </c>
      <c r="HB28">
        <f>INDEX(HB$18:HB$27,MATCH($B$1,$A$18:$A$27,0))</f>
        <v/>
      </c>
      <c r="HC28">
        <f>INDEX(HC$18:HC$27,MATCH($B$1,$A$18:$A$27,0))</f>
        <v/>
      </c>
    </row>
    <row r="29">
      <c r="A29" s="1" t="inlineStr">
        <is>
          <t>Rang</t>
        </is>
      </c>
      <c r="B29">
        <f>RANK(B28,$B$28:$GQ$28,0)+COUNTIF($B$28:B28,B28)-1</f>
        <v/>
      </c>
      <c r="C29">
        <f>RANK(C28,$B$28:$GQ$28,0)+COUNTIF($B$28:C28,C28)-1</f>
        <v/>
      </c>
      <c r="D29">
        <f>RANK(D28,$B$28:$GQ$28,0)+COUNTIF($B$28:D28,D28)-1</f>
        <v/>
      </c>
      <c r="E29">
        <f>RANK(E28,$B$28:$GQ$28,0)+COUNTIF($B$28:E28,E28)-1</f>
        <v/>
      </c>
      <c r="F29">
        <f>RANK(F28,$B$28:$GQ$28,0)+COUNTIF($B$28:F28,F28)-1</f>
        <v/>
      </c>
      <c r="G29">
        <f>RANK(G28,$B$28:$GQ$28,0)+COUNTIF($B$28:G28,G28)-1</f>
        <v/>
      </c>
      <c r="H29">
        <f>RANK(H28,$B$28:$GQ$28,0)+COUNTIF($B$28:H28,H28)-1</f>
        <v/>
      </c>
      <c r="I29">
        <f>RANK(I28,$B$28:$GQ$28,0)+COUNTIF($B$28:I28,I28)-1</f>
        <v/>
      </c>
      <c r="J29">
        <f>RANK(J28,$B$28:$GQ$28,0)+COUNTIF($B$28:J28,J28)-1</f>
        <v/>
      </c>
      <c r="K29">
        <f>RANK(K28,$B$28:$GQ$28,0)+COUNTIF($B$28:K28,K28)-1</f>
        <v/>
      </c>
      <c r="L29">
        <f>RANK(L28,$B$28:$GQ$28,0)+COUNTIF($B$28:L28,L28)-1</f>
        <v/>
      </c>
      <c r="M29">
        <f>RANK(M28,$B$28:$GQ$28,0)+COUNTIF($B$28:M28,M28)-1</f>
        <v/>
      </c>
      <c r="N29">
        <f>RANK(N28,$B$28:$GQ$28,0)+COUNTIF($B$28:N28,N28)-1</f>
        <v/>
      </c>
      <c r="O29">
        <f>RANK(O28,$B$28:$GQ$28,0)+COUNTIF($B$28:O28,O28)-1</f>
        <v/>
      </c>
      <c r="P29">
        <f>RANK(P28,$B$28:$GQ$28,0)+COUNTIF($B$28:P28,P28)-1</f>
        <v/>
      </c>
      <c r="Q29">
        <f>RANK(Q28,$B$28:$GQ$28,0)+COUNTIF($B$28:Q28,Q28)-1</f>
        <v/>
      </c>
      <c r="R29">
        <f>RANK(R28,$B$28:$GQ$28,0)+COUNTIF($B$28:R28,R28)-1</f>
        <v/>
      </c>
      <c r="S29">
        <f>RANK(S28,$B$28:$GQ$28,0)+COUNTIF($B$28:S28,S28)-1</f>
        <v/>
      </c>
      <c r="T29">
        <f>RANK(T28,$B$28:$GQ$28,0)+COUNTIF($B$28:T28,T28)-1</f>
        <v/>
      </c>
      <c r="U29">
        <f>RANK(U28,$B$28:$GQ$28,0)+COUNTIF($B$28:U28,U28)-1</f>
        <v/>
      </c>
      <c r="V29">
        <f>RANK(V28,$B$28:$GQ$28,0)+COUNTIF($B$28:V28,V28)-1</f>
        <v/>
      </c>
      <c r="W29">
        <f>RANK(W28,$B$28:$GQ$28,0)+COUNTIF($B$28:W28,W28)-1</f>
        <v/>
      </c>
      <c r="X29">
        <f>RANK(X28,$B$28:$GQ$28,0)+COUNTIF($B$28:X28,X28)-1</f>
        <v/>
      </c>
      <c r="Y29">
        <f>RANK(Y28,$B$28:$GQ$28,0)+COUNTIF($B$28:Y28,Y28)-1</f>
        <v/>
      </c>
      <c r="Z29">
        <f>RANK(Z28,$B$28:$GQ$28,0)+COUNTIF($B$28:Z28,Z28)-1</f>
        <v/>
      </c>
      <c r="AA29">
        <f>RANK(AA28,$B$28:$GQ$28,0)+COUNTIF($B$28:AA28,AA28)-1</f>
        <v/>
      </c>
      <c r="AB29">
        <f>RANK(AB28,$B$28:$GQ$28,0)+COUNTIF($B$28:AB28,AB28)-1</f>
        <v/>
      </c>
      <c r="AC29">
        <f>RANK(AC28,$B$28:$GQ$28,0)+COUNTIF($B$28:AC28,AC28)-1</f>
        <v/>
      </c>
      <c r="AD29">
        <f>RANK(AD28,$B$28:$GQ$28,0)+COUNTIF($B$28:AD28,AD28)-1</f>
        <v/>
      </c>
      <c r="AE29">
        <f>RANK(AE28,$B$28:$GQ$28,0)+COUNTIF($B$28:AE28,AE28)-1</f>
        <v/>
      </c>
      <c r="AF29">
        <f>RANK(AF28,$B$28:$GQ$28,0)+COUNTIF($B$28:AF28,AF28)-1</f>
        <v/>
      </c>
      <c r="AG29">
        <f>RANK(AG28,$B$28:$GQ$28,0)+COUNTIF($B$28:AG28,AG28)-1</f>
        <v/>
      </c>
      <c r="AH29">
        <f>RANK(AH28,$B$28:$GQ$28,0)+COUNTIF($B$28:AH28,AH28)-1</f>
        <v/>
      </c>
      <c r="AI29">
        <f>RANK(AI28,$B$28:$GQ$28,0)+COUNTIF($B$28:AI28,AI28)-1</f>
        <v/>
      </c>
      <c r="AJ29">
        <f>RANK(AJ28,$B$28:$GQ$28,0)+COUNTIF($B$28:AJ28,AJ28)-1</f>
        <v/>
      </c>
      <c r="AK29">
        <f>RANK(AK28,$B$28:$GQ$28,0)+COUNTIF($B$28:AK28,AK28)-1</f>
        <v/>
      </c>
      <c r="AL29">
        <f>RANK(AL28,$B$28:$GQ$28,0)+COUNTIF($B$28:AL28,AL28)-1</f>
        <v/>
      </c>
      <c r="AM29">
        <f>RANK(AM28,$B$28:$GQ$28,0)+COUNTIF($B$28:AM28,AM28)-1</f>
        <v/>
      </c>
      <c r="AN29">
        <f>RANK(AN28,$B$28:$GQ$28,0)+COUNTIF($B$28:AN28,AN28)-1</f>
        <v/>
      </c>
      <c r="AO29">
        <f>RANK(AO28,$B$28:$GQ$28,0)+COUNTIF($B$28:AO28,AO28)-1</f>
        <v/>
      </c>
      <c r="AP29">
        <f>RANK(AP28,$B$28:$GQ$28,0)+COUNTIF($B$28:AP28,AP28)-1</f>
        <v/>
      </c>
      <c r="AQ29">
        <f>RANK(AQ28,$B$28:$GQ$28,0)+COUNTIF($B$28:AQ28,AQ28)-1</f>
        <v/>
      </c>
      <c r="AR29">
        <f>RANK(AR28,$B$28:$GQ$28,0)+COUNTIF($B$28:AR28,AR28)-1</f>
        <v/>
      </c>
      <c r="AS29">
        <f>RANK(AS28,$B$28:$GQ$28,0)+COUNTIF($B$28:AS28,AS28)-1</f>
        <v/>
      </c>
      <c r="AT29">
        <f>RANK(AT28,$B$28:$GQ$28,0)+COUNTIF($B$28:AT28,AT28)-1</f>
        <v/>
      </c>
      <c r="AU29">
        <f>RANK(AU28,$B$28:$GQ$28,0)+COUNTIF($B$28:AU28,AU28)-1</f>
        <v/>
      </c>
      <c r="AV29">
        <f>RANK(AV28,$B$28:$GQ$28,0)+COUNTIF($B$28:AV28,AV28)-1</f>
        <v/>
      </c>
      <c r="AW29">
        <f>RANK(AW28,$B$28:$GQ$28,0)+COUNTIF($B$28:AW28,AW28)-1</f>
        <v/>
      </c>
      <c r="AX29">
        <f>RANK(AX28,$B$28:$GQ$28,0)+COUNTIF($B$28:AX28,AX28)-1</f>
        <v/>
      </c>
      <c r="AY29">
        <f>RANK(AY28,$B$28:$GQ$28,0)+COUNTIF($B$28:AY28,AY28)-1</f>
        <v/>
      </c>
      <c r="AZ29">
        <f>RANK(AZ28,$B$28:$GQ$28,0)+COUNTIF($B$28:AZ28,AZ28)-1</f>
        <v/>
      </c>
      <c r="BA29">
        <f>RANK(BA28,$B$28:$GQ$28,0)+COUNTIF($B$28:BA28,BA28)-1</f>
        <v/>
      </c>
      <c r="BB29">
        <f>RANK(BB28,$B$28:$GQ$28,0)+COUNTIF($B$28:BB28,BB28)-1</f>
        <v/>
      </c>
      <c r="BC29">
        <f>RANK(BC28,$B$28:$GQ$28,0)+COUNTIF($B$28:BC28,BC28)-1</f>
        <v/>
      </c>
      <c r="BD29">
        <f>RANK(BD28,$B$28:$GQ$28,0)+COUNTIF($B$28:BD28,BD28)-1</f>
        <v/>
      </c>
      <c r="BE29">
        <f>RANK(BE28,$B$28:$GQ$28,0)+COUNTIF($B$28:BE28,BE28)-1</f>
        <v/>
      </c>
      <c r="BF29">
        <f>RANK(BF28,$B$28:$GQ$28,0)+COUNTIF($B$28:BF28,BF28)-1</f>
        <v/>
      </c>
      <c r="BG29">
        <f>RANK(BG28,$B$28:$GQ$28,0)+COUNTIF($B$28:BG28,BG28)-1</f>
        <v/>
      </c>
      <c r="BH29">
        <f>RANK(BH28,$B$28:$GQ$28,0)+COUNTIF($B$28:BH28,BH28)-1</f>
        <v/>
      </c>
      <c r="BI29">
        <f>RANK(BI28,$B$28:$GQ$28,0)+COUNTIF($B$28:BI28,BI28)-1</f>
        <v/>
      </c>
      <c r="BJ29">
        <f>RANK(BJ28,$B$28:$GQ$28,0)+COUNTIF($B$28:BJ28,BJ28)-1</f>
        <v/>
      </c>
      <c r="BK29">
        <f>RANK(BK28,$B$28:$GQ$28,0)+COUNTIF($B$28:BK28,BK28)-1</f>
        <v/>
      </c>
      <c r="BL29">
        <f>RANK(BL28,$B$28:$GQ$28,0)+COUNTIF($B$28:BL28,BL28)-1</f>
        <v/>
      </c>
      <c r="BM29">
        <f>RANK(BM28,$B$28:$GQ$28,0)+COUNTIF($B$28:BM28,BM28)-1</f>
        <v/>
      </c>
      <c r="BN29">
        <f>RANK(BN28,$B$28:$GQ$28,0)+COUNTIF($B$28:BN28,BN28)-1</f>
        <v/>
      </c>
      <c r="BO29">
        <f>RANK(BO28,$B$28:$GQ$28,0)+COUNTIF($B$28:BO28,BO28)-1</f>
        <v/>
      </c>
      <c r="BP29">
        <f>RANK(BP28,$B$28:$GQ$28,0)+COUNTIF($B$28:BP28,BP28)-1</f>
        <v/>
      </c>
      <c r="BQ29">
        <f>RANK(BQ28,$B$28:$GQ$28,0)+COUNTIF($B$28:BQ28,BQ28)-1</f>
        <v/>
      </c>
      <c r="BR29">
        <f>RANK(BR28,$B$28:$GQ$28,0)+COUNTIF($B$28:BR28,BR28)-1</f>
        <v/>
      </c>
      <c r="BS29">
        <f>RANK(BS28,$B$28:$GQ$28,0)+COUNTIF($B$28:BS28,BS28)-1</f>
        <v/>
      </c>
      <c r="BT29">
        <f>RANK(BT28,$B$28:$GQ$28,0)+COUNTIF($B$28:BT28,BT28)-1</f>
        <v/>
      </c>
      <c r="BU29">
        <f>RANK(BU28,$B$28:$GQ$28,0)+COUNTIF($B$28:BU28,BU28)-1</f>
        <v/>
      </c>
      <c r="BV29">
        <f>RANK(BV28,$B$28:$GQ$28,0)+COUNTIF($B$28:BV28,BV28)-1</f>
        <v/>
      </c>
      <c r="BW29">
        <f>RANK(BW28,$B$28:$GQ$28,0)+COUNTIF($B$28:BW28,BW28)-1</f>
        <v/>
      </c>
      <c r="BX29">
        <f>RANK(BX28,$B$28:$GQ$28,0)+COUNTIF($B$28:BX28,BX28)-1</f>
        <v/>
      </c>
      <c r="BY29">
        <f>RANK(BY28,$B$28:$GQ$28,0)+COUNTIF($B$28:BY28,BY28)-1</f>
        <v/>
      </c>
      <c r="BZ29">
        <f>RANK(BZ28,$B$28:$GQ$28,0)+COUNTIF($B$28:BZ28,BZ28)-1</f>
        <v/>
      </c>
      <c r="CA29">
        <f>RANK(CA28,$B$28:$GQ$28,0)+COUNTIF($B$28:CA28,CA28)-1</f>
        <v/>
      </c>
      <c r="CB29">
        <f>RANK(CB28,$B$28:$GQ$28,0)+COUNTIF($B$28:CB28,CB28)-1</f>
        <v/>
      </c>
      <c r="CC29">
        <f>RANK(CC28,$B$28:$GQ$28,0)+COUNTIF($B$28:CC28,CC28)-1</f>
        <v/>
      </c>
      <c r="CD29">
        <f>RANK(CD28,$B$28:$GQ$28,0)+COUNTIF($B$28:CD28,CD28)-1</f>
        <v/>
      </c>
      <c r="CE29">
        <f>RANK(CE28,$B$28:$GQ$28,0)+COUNTIF($B$28:CE28,CE28)-1</f>
        <v/>
      </c>
      <c r="CF29">
        <f>RANK(CF28,$B$28:$GQ$28,0)+COUNTIF($B$28:CF28,CF28)-1</f>
        <v/>
      </c>
      <c r="CG29">
        <f>RANK(CG28,$B$28:$GQ$28,0)+COUNTIF($B$28:CG28,CG28)-1</f>
        <v/>
      </c>
      <c r="CH29">
        <f>RANK(CH28,$B$28:$GQ$28,0)+COUNTIF($B$28:CH28,CH28)-1</f>
        <v/>
      </c>
      <c r="CI29">
        <f>RANK(CI28,$B$28:$GQ$28,0)+COUNTIF($B$28:CI28,CI28)-1</f>
        <v/>
      </c>
      <c r="CJ29">
        <f>RANK(CJ28,$B$28:$GQ$28,0)+COUNTIF($B$28:CJ28,CJ28)-1</f>
        <v/>
      </c>
      <c r="CK29">
        <f>RANK(CK28,$B$28:$GQ$28,0)+COUNTIF($B$28:CK28,CK28)-1</f>
        <v/>
      </c>
      <c r="CL29">
        <f>RANK(CL28,$B$28:$GQ$28,0)+COUNTIF($B$28:CL28,CL28)-1</f>
        <v/>
      </c>
      <c r="CM29">
        <f>RANK(CM28,$B$28:$GQ$28,0)+COUNTIF($B$28:CM28,CM28)-1</f>
        <v/>
      </c>
      <c r="CN29">
        <f>RANK(CN28,$B$28:$GQ$28,0)+COUNTIF($B$28:CN28,CN28)-1</f>
        <v/>
      </c>
      <c r="CO29">
        <f>RANK(CO28,$B$28:$GQ$28,0)+COUNTIF($B$28:CO28,CO28)-1</f>
        <v/>
      </c>
      <c r="CP29">
        <f>RANK(CP28,$B$28:$GQ$28,0)+COUNTIF($B$28:CP28,CP28)-1</f>
        <v/>
      </c>
      <c r="CQ29">
        <f>RANK(CQ28,$B$28:$GQ$28,0)+COUNTIF($B$28:CQ28,CQ28)-1</f>
        <v/>
      </c>
      <c r="CR29">
        <f>RANK(CR28,$B$28:$GQ$28,0)+COUNTIF($B$28:CR28,CR28)-1</f>
        <v/>
      </c>
      <c r="CS29">
        <f>RANK(CS28,$B$28:$GQ$28,0)+COUNTIF($B$28:CS28,CS28)-1</f>
        <v/>
      </c>
      <c r="CT29">
        <f>RANK(CT28,$B$28:$GQ$28,0)+COUNTIF($B$28:CT28,CT28)-1</f>
        <v/>
      </c>
      <c r="CU29">
        <f>RANK(CU28,$B$28:$GQ$28,0)+COUNTIF($B$28:CU28,CU28)-1</f>
        <v/>
      </c>
      <c r="CV29">
        <f>RANK(CV28,$B$28:$GQ$28,0)+COUNTIF($B$28:CV28,CV28)-1</f>
        <v/>
      </c>
      <c r="CW29">
        <f>RANK(CW28,$B$28:$GQ$28,0)+COUNTIF($B$28:CW28,CW28)-1</f>
        <v/>
      </c>
      <c r="CX29">
        <f>RANK(CX28,$B$28:$GQ$28,0)+COUNTIF($B$28:CX28,CX28)-1</f>
        <v/>
      </c>
      <c r="CY29">
        <f>RANK(CY28,$B$28:$GQ$28,0)+COUNTIF($B$28:CY28,CY28)-1</f>
        <v/>
      </c>
      <c r="CZ29">
        <f>RANK(CZ28,$B$28:$GQ$28,0)+COUNTIF($B$28:CZ28,CZ28)-1</f>
        <v/>
      </c>
      <c r="DA29">
        <f>RANK(DA28,$B$28:$GQ$28,0)+COUNTIF($B$28:DA28,DA28)-1</f>
        <v/>
      </c>
      <c r="DB29">
        <f>RANK(DB28,$B$28:$GQ$28,0)+COUNTIF($B$28:DB28,DB28)-1</f>
        <v/>
      </c>
      <c r="DC29">
        <f>RANK(DC28,$B$28:$GQ$28,0)+COUNTIF($B$28:DC28,DC28)-1</f>
        <v/>
      </c>
      <c r="DD29">
        <f>RANK(DD28,$B$28:$GQ$28,0)+COUNTIF($B$28:DD28,DD28)-1</f>
        <v/>
      </c>
      <c r="DE29">
        <f>RANK(DE28,$B$28:$GQ$28,0)+COUNTIF($B$28:DE28,DE28)-1</f>
        <v/>
      </c>
      <c r="DF29">
        <f>RANK(DF28,$B$28:$GQ$28,0)+COUNTIF($B$28:DF28,DF28)-1</f>
        <v/>
      </c>
      <c r="DG29">
        <f>RANK(DG28,$B$28:$GQ$28,0)+COUNTIF($B$28:DG28,DG28)-1</f>
        <v/>
      </c>
      <c r="DH29">
        <f>RANK(DH28,$B$28:$GQ$28,0)+COUNTIF($B$28:DH28,DH28)-1</f>
        <v/>
      </c>
      <c r="DI29">
        <f>RANK(DI28,$B$28:$GQ$28,0)+COUNTIF($B$28:DI28,DI28)-1</f>
        <v/>
      </c>
      <c r="DJ29">
        <f>RANK(DJ28,$B$28:$GQ$28,0)+COUNTIF($B$28:DJ28,DJ28)-1</f>
        <v/>
      </c>
      <c r="DK29">
        <f>RANK(DK28,$B$28:$GQ$28,0)+COUNTIF($B$28:DK28,DK28)-1</f>
        <v/>
      </c>
      <c r="DL29">
        <f>RANK(DL28,$B$28:$GQ$28,0)+COUNTIF($B$28:DL28,DL28)-1</f>
        <v/>
      </c>
      <c r="DM29">
        <f>RANK(DM28,$B$28:$GQ$28,0)+COUNTIF($B$28:DM28,DM28)-1</f>
        <v/>
      </c>
      <c r="DN29">
        <f>RANK(DN28,$B$28:$GQ$28,0)+COUNTIF($B$28:DN28,DN28)-1</f>
        <v/>
      </c>
      <c r="DO29">
        <f>RANK(DO28,$B$28:$GQ$28,0)+COUNTIF($B$28:DO28,DO28)-1</f>
        <v/>
      </c>
      <c r="DP29">
        <f>RANK(DP28,$B$28:$GQ$28,0)+COUNTIF($B$28:DP28,DP28)-1</f>
        <v/>
      </c>
      <c r="DQ29">
        <f>RANK(DQ28,$B$28:$GQ$28,0)+COUNTIF($B$28:DQ28,DQ28)-1</f>
        <v/>
      </c>
      <c r="DR29">
        <f>RANK(DR28,$B$28:$GQ$28,0)+COUNTIF($B$28:DR28,DR28)-1</f>
        <v/>
      </c>
      <c r="DS29">
        <f>RANK(DS28,$B$28:$GQ$28,0)+COUNTIF($B$28:DS28,DS28)-1</f>
        <v/>
      </c>
      <c r="DT29">
        <f>RANK(DT28,$B$28:$GQ$28,0)+COUNTIF($B$28:DT28,DT28)-1</f>
        <v/>
      </c>
      <c r="DU29">
        <f>RANK(DU28,$B$28:$GQ$28,0)+COUNTIF($B$28:DU28,DU28)-1</f>
        <v/>
      </c>
      <c r="DV29">
        <f>RANK(DV28,$B$28:$GQ$28,0)+COUNTIF($B$28:DV28,DV28)-1</f>
        <v/>
      </c>
      <c r="DW29">
        <f>RANK(DW28,$B$28:$GQ$28,0)+COUNTIF($B$28:DW28,DW28)-1</f>
        <v/>
      </c>
      <c r="DX29">
        <f>RANK(DX28,$B$28:$GQ$28,0)+COUNTIF($B$28:DX28,DX28)-1</f>
        <v/>
      </c>
      <c r="DY29">
        <f>RANK(DY28,$B$28:$GQ$28,0)+COUNTIF($B$28:DY28,DY28)-1</f>
        <v/>
      </c>
      <c r="DZ29">
        <f>RANK(DZ28,$B$28:$GQ$28,0)+COUNTIF($B$28:DZ28,DZ28)-1</f>
        <v/>
      </c>
      <c r="EA29">
        <f>RANK(EA28,$B$28:$GQ$28,0)+COUNTIF($B$28:EA28,EA28)-1</f>
        <v/>
      </c>
      <c r="EB29">
        <f>RANK(EB28,$B$28:$GQ$28,0)+COUNTIF($B$28:EB28,EB28)-1</f>
        <v/>
      </c>
      <c r="EC29">
        <f>RANK(EC28,$B$28:$GQ$28,0)+COUNTIF($B$28:EC28,EC28)-1</f>
        <v/>
      </c>
      <c r="ED29">
        <f>RANK(ED28,$B$28:$GQ$28,0)+COUNTIF($B$28:ED28,ED28)-1</f>
        <v/>
      </c>
      <c r="EE29">
        <f>RANK(EE28,$B$28:$GQ$28,0)+COUNTIF($B$28:EE28,EE28)-1</f>
        <v/>
      </c>
      <c r="EF29">
        <f>RANK(EF28,$B$28:$GQ$28,0)+COUNTIF($B$28:EF28,EF28)-1</f>
        <v/>
      </c>
      <c r="EG29">
        <f>RANK(EG28,$B$28:$GQ$28,0)+COUNTIF($B$28:EG28,EG28)-1</f>
        <v/>
      </c>
      <c r="EH29">
        <f>RANK(EH28,$B$28:$GQ$28,0)+COUNTIF($B$28:EH28,EH28)-1</f>
        <v/>
      </c>
      <c r="EI29">
        <f>RANK(EI28,$B$28:$GQ$28,0)+COUNTIF($B$28:EI28,EI28)-1</f>
        <v/>
      </c>
      <c r="EJ29">
        <f>RANK(EJ28,$B$28:$GQ$28,0)+COUNTIF($B$28:EJ28,EJ28)-1</f>
        <v/>
      </c>
      <c r="EK29">
        <f>RANK(EK28,$B$28:$GQ$28,0)+COUNTIF($B$28:EK28,EK28)-1</f>
        <v/>
      </c>
      <c r="EL29">
        <f>RANK(EL28,$B$28:$GQ$28,0)+COUNTIF($B$28:EL28,EL28)-1</f>
        <v/>
      </c>
      <c r="EM29">
        <f>RANK(EM28,$B$28:$GQ$28,0)+COUNTIF($B$28:EM28,EM28)-1</f>
        <v/>
      </c>
      <c r="EN29">
        <f>RANK(EN28,$B$28:$GQ$28,0)+COUNTIF($B$28:EN28,EN28)-1</f>
        <v/>
      </c>
      <c r="EO29">
        <f>RANK(EO28,$B$28:$GQ$28,0)+COUNTIF($B$28:EO28,EO28)-1</f>
        <v/>
      </c>
      <c r="EP29">
        <f>RANK(EP28,$B$28:$GQ$28,0)+COUNTIF($B$28:EP28,EP28)-1</f>
        <v/>
      </c>
      <c r="EQ29">
        <f>RANK(EQ28,$B$28:$GQ$28,0)+COUNTIF($B$28:EQ28,EQ28)-1</f>
        <v/>
      </c>
      <c r="ER29">
        <f>RANK(ER28,$B$28:$GQ$28,0)+COUNTIF($B$28:ER28,ER28)-1</f>
        <v/>
      </c>
      <c r="ES29">
        <f>RANK(ES28,$B$28:$GQ$28,0)+COUNTIF($B$28:ES28,ES28)-1</f>
        <v/>
      </c>
      <c r="ET29">
        <f>RANK(ET28,$B$28:$GQ$28,0)+COUNTIF($B$28:ET28,ET28)-1</f>
        <v/>
      </c>
      <c r="EU29">
        <f>RANK(EU28,$B$28:$GQ$28,0)+COUNTIF($B$28:EU28,EU28)-1</f>
        <v/>
      </c>
      <c r="EV29">
        <f>RANK(EV28,$B$28:$GQ$28,0)+COUNTIF($B$28:EV28,EV28)-1</f>
        <v/>
      </c>
      <c r="EW29">
        <f>RANK(EW28,$B$28:$GQ$28,0)+COUNTIF($B$28:EW28,EW28)-1</f>
        <v/>
      </c>
      <c r="EX29">
        <f>RANK(EX28,$B$28:$GQ$28,0)+COUNTIF($B$28:EX28,EX28)-1</f>
        <v/>
      </c>
      <c r="EY29">
        <f>RANK(EY28,$B$28:$GQ$28,0)+COUNTIF($B$28:EY28,EY28)-1</f>
        <v/>
      </c>
      <c r="EZ29">
        <f>RANK(EZ28,$B$28:$GQ$28,0)+COUNTIF($B$28:EZ28,EZ28)-1</f>
        <v/>
      </c>
      <c r="FA29">
        <f>RANK(FA28,$B$28:$GQ$28,0)+COUNTIF($B$28:FA28,FA28)-1</f>
        <v/>
      </c>
      <c r="FB29">
        <f>RANK(FB28,$B$28:$GQ$28,0)+COUNTIF($B$28:FB28,FB28)-1</f>
        <v/>
      </c>
      <c r="FC29">
        <f>RANK(FC28,$B$28:$GQ$28,0)+COUNTIF($B$28:FC28,FC28)-1</f>
        <v/>
      </c>
      <c r="FD29">
        <f>RANK(FD28,$B$28:$GQ$28,0)+COUNTIF($B$28:FD28,FD28)-1</f>
        <v/>
      </c>
      <c r="FE29">
        <f>RANK(FE28,$B$28:$GQ$28,0)+COUNTIF($B$28:FE28,FE28)-1</f>
        <v/>
      </c>
      <c r="FF29">
        <f>RANK(FF28,$B$28:$GQ$28,0)+COUNTIF($B$28:FF28,FF28)-1</f>
        <v/>
      </c>
      <c r="FG29">
        <f>RANK(FG28,$B$28:$GQ$28,0)+COUNTIF($B$28:FG28,FG28)-1</f>
        <v/>
      </c>
      <c r="FH29">
        <f>RANK(FH28,$B$28:$GQ$28,0)+COUNTIF($B$28:FH28,FH28)-1</f>
        <v/>
      </c>
      <c r="FI29">
        <f>RANK(FI28,$B$28:$GQ$28,0)+COUNTIF($B$28:FI28,FI28)-1</f>
        <v/>
      </c>
      <c r="FJ29">
        <f>RANK(FJ28,$B$28:$GQ$28,0)+COUNTIF($B$28:FJ28,FJ28)-1</f>
        <v/>
      </c>
      <c r="FK29">
        <f>RANK(FK28,$B$28:$GQ$28,0)+COUNTIF($B$28:FK28,FK28)-1</f>
        <v/>
      </c>
      <c r="FL29">
        <f>RANK(FL28,$B$28:$GQ$28,0)+COUNTIF($B$28:FL28,FL28)-1</f>
        <v/>
      </c>
      <c r="FM29">
        <f>RANK(FM28,$B$28:$GQ$28,0)+COUNTIF($B$28:FM28,FM28)-1</f>
        <v/>
      </c>
      <c r="FN29">
        <f>RANK(FN28,$B$28:$GQ$28,0)+COUNTIF($B$28:FN28,FN28)-1</f>
        <v/>
      </c>
      <c r="FO29">
        <f>RANK(FO28,$B$28:$GQ$28,0)+COUNTIF($B$28:FO28,FO28)-1</f>
        <v/>
      </c>
      <c r="FP29">
        <f>RANK(FP28,$B$28:$GQ$28,0)+COUNTIF($B$28:FP28,FP28)-1</f>
        <v/>
      </c>
      <c r="FQ29">
        <f>RANK(FQ28,$B$28:$GQ$28,0)+COUNTIF($B$28:FQ28,FQ28)-1</f>
        <v/>
      </c>
      <c r="FR29">
        <f>RANK(FR28,$B$28:$GQ$28,0)+COUNTIF($B$28:FR28,FR28)-1</f>
        <v/>
      </c>
      <c r="FS29">
        <f>RANK(FS28,$B$28:$GQ$28,0)+COUNTIF($B$28:FS28,FS28)-1</f>
        <v/>
      </c>
      <c r="FT29">
        <f>RANK(FT28,$B$28:$GQ$28,0)+COUNTIF($B$28:FT28,FT28)-1</f>
        <v/>
      </c>
      <c r="FU29">
        <f>RANK(FU28,$B$28:$GQ$28,0)+COUNTIF($B$28:FU28,FU28)-1</f>
        <v/>
      </c>
      <c r="FV29">
        <f>RANK(FV28,$B$28:$GQ$28,0)+COUNTIF($B$28:FV28,FV28)-1</f>
        <v/>
      </c>
      <c r="FW29">
        <f>RANK(FW28,$B$28:$GQ$28,0)+COUNTIF($B$28:FW28,FW28)-1</f>
        <v/>
      </c>
      <c r="FX29">
        <f>RANK(FX28,$B$28:$GQ$28,0)+COUNTIF($B$28:FX28,FX28)-1</f>
        <v/>
      </c>
      <c r="FY29">
        <f>RANK(FY28,$B$28:$GQ$28,0)+COUNTIF($B$28:FY28,FY28)-1</f>
        <v/>
      </c>
      <c r="FZ29">
        <f>RANK(FZ28,$B$28:$GQ$28,0)+COUNTIF($B$28:FZ28,FZ28)-1</f>
        <v/>
      </c>
      <c r="GA29">
        <f>RANK(GA28,$B$28:$GQ$28,0)+COUNTIF($B$28:GA28,GA28)-1</f>
        <v/>
      </c>
      <c r="GB29">
        <f>RANK(GB28,$B$28:$GQ$28,0)+COUNTIF($B$28:GB28,GB28)-1</f>
        <v/>
      </c>
      <c r="GC29">
        <f>RANK(GC28,$B$28:$GQ$28,0)+COUNTIF($B$28:GC28,GC28)-1</f>
        <v/>
      </c>
      <c r="GD29">
        <f>RANK(GD28,$B$28:$GQ$28,0)+COUNTIF($B$28:GD28,GD28)-1</f>
        <v/>
      </c>
      <c r="GE29">
        <f>RANK(GE28,$B$28:$GQ$28,0)+COUNTIF($B$28:GE28,GE28)-1</f>
        <v/>
      </c>
      <c r="GF29">
        <f>RANK(GF28,$B$28:$GQ$28,0)+COUNTIF($B$28:GF28,GF28)-1</f>
        <v/>
      </c>
      <c r="GG29">
        <f>RANK(GG28,$B$28:$GQ$28,0)+COUNTIF($B$28:GG28,GG28)-1</f>
        <v/>
      </c>
      <c r="GH29">
        <f>RANK(GH28,$B$28:$GQ$28,0)+COUNTIF($B$28:GH28,GH28)-1</f>
        <v/>
      </c>
      <c r="GI29">
        <f>RANK(GI28,$B$28:$GQ$28,0)+COUNTIF($B$28:GI28,GI28)-1</f>
        <v/>
      </c>
      <c r="GJ29">
        <f>RANK(GJ28,$B$28:$GQ$28,0)+COUNTIF($B$28:GJ28,GJ28)-1</f>
        <v/>
      </c>
      <c r="GK29">
        <f>RANK(GK28,$B$28:$GQ$28,0)+COUNTIF($B$28:GK28,GK28)-1</f>
        <v/>
      </c>
      <c r="GL29">
        <f>RANK(GL28,$B$28:$GQ$28,0)+COUNTIF($B$28:GL28,GL28)-1</f>
        <v/>
      </c>
      <c r="GM29">
        <f>RANK(GM28,$B$28:$GQ$28,0)+COUNTIF($B$28:GM28,GM28)-1</f>
        <v/>
      </c>
      <c r="GN29">
        <f>RANK(GN28,$B$28:$GQ$28,0)+COUNTIF($B$28:GN28,GN28)-1</f>
        <v/>
      </c>
      <c r="GO29">
        <f>RANK(GO28,$B$28:$GQ$28,0)+COUNTIF($B$28:GO28,GO28)-1</f>
        <v/>
      </c>
      <c r="GP29">
        <f>RANK(GP28,$B$28:$GQ$28,0)+COUNTIF($B$28:GP28,GP28)-1</f>
        <v/>
      </c>
      <c r="GQ29">
        <f>RANK(GQ28,$B$28:$GQ$28,0)+COUNTIF($B$28:GQ28,GQ28)-1</f>
        <v/>
      </c>
    </row>
    <row r="30">
      <c r="A30" s="1" t="inlineStr">
        <is>
          <t>Rang (catégories)</t>
        </is>
      </c>
      <c r="GR30">
        <f>RANK(GR28,$GR$28:$HC$28,0)+COUNTIF($GR$28:GR28,GR28)-1</f>
        <v/>
      </c>
      <c r="GS30">
        <f>RANK(GS28,$GR$28:$HC$28,0)+COUNTIF($GR$28:GS28,GS28)-1</f>
        <v/>
      </c>
      <c r="GT30">
        <f>RANK(GT28,$GR$28:$HC$28,0)+COUNTIF($GR$28:GT28,GT28)-1</f>
        <v/>
      </c>
      <c r="GU30">
        <f>RANK(GU28,$GR$28:$HC$28,0)+COUNTIF($GR$28:GU28,GU28)-1</f>
        <v/>
      </c>
      <c r="GV30">
        <f>RANK(GV28,$GR$28:$HC$28,0)+COUNTIF($GR$28:GV28,GV28)-1</f>
        <v/>
      </c>
      <c r="GW30">
        <f>RANK(GW28,$GR$28:$HC$28,0)+COUNTIF($GR$28:GW28,GW28)-1</f>
        <v/>
      </c>
      <c r="GX30">
        <f>RANK(GX28,$GR$28:$HC$28,0)+COUNTIF($GR$28:GX28,GX28)-1</f>
        <v/>
      </c>
      <c r="GY30">
        <f>RANK(GY28,$GR$28:$HC$28,0)+COUNTIF($GR$28:GY28,GY28)-1</f>
        <v/>
      </c>
      <c r="GZ30">
        <f>RANK(GZ28,$GR$28:$HC$28,0)+COUNTIF($GR$28:GZ28,GZ28)-1</f>
        <v/>
      </c>
      <c r="HA30">
        <f>RANK(HA28,$GR$28:$HC$28,0)+COUNTIF($GR$28:HA28,HA28)-1</f>
        <v/>
      </c>
      <c r="HB30">
        <f>RANK(HB28,$GR$28:$HC$28,0)+COUNTIF($GR$28:HB28,HB28)-1</f>
        <v/>
      </c>
      <c r="HC30">
        <f>RANK(HC28,$GR$28:$HC$28,0)+COUNTIF($GR$28:HC28,HC28)-1</f>
        <v/>
      </c>
    </row>
  </sheetData>
  <dataValidations count="1">
    <dataValidation sqref="B1" showDropDown="0" showInputMessage="0" showErrorMessage="0" allowBlank="0" type="list">
      <formula1>=$A$18:$A$27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Trier secteurs et catégories par (ordre décroissant) :</t>
        </is>
      </c>
      <c r="B1" s="2" t="inlineStr">
        <is>
          <t>M_imp*Y_dom+M_dom*Y_dom+M_row*Y_imp</t>
        </is>
      </c>
    </row>
    <row r="3">
      <c r="A3" s="1" t="inlineStr">
        <is>
          <t>GHG emissions</t>
        </is>
      </c>
      <c r="B3" s="1">
        <f>INDEX($B$17:$GQ$17,MATCH(1,$B$29:$GQ$29,0))</f>
        <v/>
      </c>
      <c r="C3" s="1">
        <f>INDEX($B$17:$GQ$17,MATCH(2,$B$29:$GQ$29,0))</f>
        <v/>
      </c>
      <c r="D3" s="1">
        <f>INDEX($B$17:$GQ$17,MATCH(3,$B$29:$GQ$29,0))</f>
        <v/>
      </c>
      <c r="E3" s="1">
        <f>INDEX($B$17:$GQ$17,MATCH(4,$B$29:$GQ$29,0))</f>
        <v/>
      </c>
      <c r="F3" s="1">
        <f>INDEX($B$17:$GQ$17,MATCH(5,$B$29:$GQ$29,0))</f>
        <v/>
      </c>
      <c r="G3" s="1">
        <f>INDEX($B$17:$GQ$17,MATCH(6,$B$29:$GQ$29,0))</f>
        <v/>
      </c>
      <c r="H3" s="1">
        <f>INDEX($B$17:$GQ$17,MATCH(7,$B$29:$GQ$29,0))</f>
        <v/>
      </c>
      <c r="I3" s="1">
        <f>INDEX($B$17:$GQ$17,MATCH(8,$B$29:$GQ$29,0))</f>
        <v/>
      </c>
      <c r="J3" s="1">
        <f>INDEX($B$17:$GQ$17,MATCH(9,$B$29:$GQ$29,0))</f>
        <v/>
      </c>
      <c r="K3" s="1">
        <f>INDEX($B$17:$GQ$17,MATCH(10,$B$29:$GQ$29,0))</f>
        <v/>
      </c>
      <c r="L3" s="1">
        <f>INDEX($B$17:$GQ$17,MATCH(11,$B$29:$GQ$29,0))</f>
        <v/>
      </c>
      <c r="M3" s="1">
        <f>INDEX($B$17:$GQ$17,MATCH(12,$B$29:$GQ$29,0))</f>
        <v/>
      </c>
      <c r="N3" s="1">
        <f>INDEX($B$17:$GQ$17,MATCH(13,$B$29:$GQ$29,0))</f>
        <v/>
      </c>
      <c r="O3" s="1">
        <f>INDEX($B$17:$GQ$17,MATCH(14,$B$29:$GQ$29,0))</f>
        <v/>
      </c>
      <c r="P3" s="1">
        <f>INDEX($B$17:$GQ$17,MATCH(15,$B$29:$GQ$29,0))</f>
        <v/>
      </c>
      <c r="Q3" s="1">
        <f>INDEX($B$17:$GQ$17,MATCH(16,$B$29:$GQ$29,0))</f>
        <v/>
      </c>
      <c r="R3" s="1">
        <f>INDEX($B$17:$GQ$17,MATCH(17,$B$29:$GQ$29,0))</f>
        <v/>
      </c>
      <c r="S3" s="1">
        <f>INDEX($B$17:$GQ$17,MATCH(18,$B$29:$GQ$29,0))</f>
        <v/>
      </c>
      <c r="T3" s="1">
        <f>INDEX($B$17:$GQ$17,MATCH(19,$B$29:$GQ$29,0))</f>
        <v/>
      </c>
      <c r="U3" s="1">
        <f>INDEX($B$17:$GQ$17,MATCH(20,$B$29:$GQ$29,0))</f>
        <v/>
      </c>
      <c r="V3" s="1">
        <f>INDEX($B$17:$GQ$17,MATCH(21,$B$29:$GQ$29,0))</f>
        <v/>
      </c>
      <c r="W3" s="1">
        <f>INDEX($B$17:$GQ$17,MATCH(22,$B$29:$GQ$29,0))</f>
        <v/>
      </c>
      <c r="X3" s="1">
        <f>INDEX($B$17:$GQ$17,MATCH(23,$B$29:$GQ$29,0))</f>
        <v/>
      </c>
      <c r="Y3" s="1">
        <f>INDEX($B$17:$GQ$17,MATCH(24,$B$29:$GQ$29,0))</f>
        <v/>
      </c>
      <c r="Z3" s="1">
        <f>INDEX($B$17:$GQ$17,MATCH(25,$B$29:$GQ$29,0))</f>
        <v/>
      </c>
      <c r="AA3" s="1">
        <f>INDEX($B$17:$GQ$17,MATCH(26,$B$29:$GQ$29,0))</f>
        <v/>
      </c>
      <c r="AB3" s="1">
        <f>INDEX($B$17:$GQ$17,MATCH(27,$B$29:$GQ$29,0))</f>
        <v/>
      </c>
      <c r="AC3" s="1">
        <f>INDEX($B$17:$GQ$17,MATCH(28,$B$29:$GQ$29,0))</f>
        <v/>
      </c>
      <c r="AD3" s="1">
        <f>INDEX($B$17:$GQ$17,MATCH(29,$B$29:$GQ$29,0))</f>
        <v/>
      </c>
      <c r="AE3" s="1">
        <f>INDEX($B$17:$GQ$17,MATCH(30,$B$29:$GQ$29,0))</f>
        <v/>
      </c>
      <c r="AF3" s="1">
        <f>INDEX($B$17:$GQ$17,MATCH(31,$B$29:$GQ$29,0))</f>
        <v/>
      </c>
      <c r="AG3" s="1">
        <f>INDEX($B$17:$GQ$17,MATCH(32,$B$29:$GQ$29,0))</f>
        <v/>
      </c>
      <c r="AH3" s="1">
        <f>INDEX($B$17:$GQ$17,MATCH(33,$B$29:$GQ$29,0))</f>
        <v/>
      </c>
      <c r="AI3" s="1">
        <f>INDEX($B$17:$GQ$17,MATCH(34,$B$29:$GQ$29,0))</f>
        <v/>
      </c>
      <c r="AJ3" s="1">
        <f>INDEX($B$17:$GQ$17,MATCH(35,$B$29:$GQ$29,0))</f>
        <v/>
      </c>
      <c r="AK3" s="1">
        <f>INDEX($B$17:$GQ$17,MATCH(36,$B$29:$GQ$29,0))</f>
        <v/>
      </c>
      <c r="AL3" s="1">
        <f>INDEX($B$17:$GQ$17,MATCH(37,$B$29:$GQ$29,0))</f>
        <v/>
      </c>
      <c r="AM3" s="1">
        <f>INDEX($B$17:$GQ$17,MATCH(38,$B$29:$GQ$29,0))</f>
        <v/>
      </c>
      <c r="AN3" s="1">
        <f>INDEX($B$17:$GQ$17,MATCH(39,$B$29:$GQ$29,0))</f>
        <v/>
      </c>
      <c r="AO3" s="1">
        <f>INDEX($B$17:$GQ$17,MATCH(40,$B$29:$GQ$29,0))</f>
        <v/>
      </c>
      <c r="AP3" s="1">
        <f>INDEX($B$17:$GQ$17,MATCH(41,$B$29:$GQ$29,0))</f>
        <v/>
      </c>
      <c r="AQ3" s="1">
        <f>INDEX($B$17:$GQ$17,MATCH(42,$B$29:$GQ$29,0))</f>
        <v/>
      </c>
      <c r="AR3" s="1">
        <f>INDEX($B$17:$GQ$17,MATCH(43,$B$29:$GQ$29,0))</f>
        <v/>
      </c>
      <c r="AS3" s="1">
        <f>INDEX($B$17:$GQ$17,MATCH(44,$B$29:$GQ$29,0))</f>
        <v/>
      </c>
      <c r="AT3" s="1">
        <f>INDEX($B$17:$GQ$17,MATCH(45,$B$29:$GQ$29,0))</f>
        <v/>
      </c>
      <c r="AU3" s="1">
        <f>INDEX($B$17:$GQ$17,MATCH(46,$B$29:$GQ$29,0))</f>
        <v/>
      </c>
      <c r="AV3" s="1">
        <f>INDEX($B$17:$GQ$17,MATCH(47,$B$29:$GQ$29,0))</f>
        <v/>
      </c>
      <c r="AW3" s="1">
        <f>INDEX($B$17:$GQ$17,MATCH(48,$B$29:$GQ$29,0))</f>
        <v/>
      </c>
      <c r="AX3" s="1">
        <f>INDEX($B$17:$GQ$17,MATCH(49,$B$29:$GQ$29,0))</f>
        <v/>
      </c>
      <c r="AY3" s="1">
        <f>INDEX($B$17:$GQ$17,MATCH(50,$B$29:$GQ$29,0))</f>
        <v/>
      </c>
      <c r="AZ3" s="1">
        <f>INDEX($B$17:$GQ$17,MATCH(51,$B$29:$GQ$29,0))</f>
        <v/>
      </c>
      <c r="BA3" s="1">
        <f>INDEX($B$17:$GQ$17,MATCH(52,$B$29:$GQ$29,0))</f>
        <v/>
      </c>
      <c r="BB3" s="1">
        <f>INDEX($B$17:$GQ$17,MATCH(53,$B$29:$GQ$29,0))</f>
        <v/>
      </c>
      <c r="BC3" s="1">
        <f>INDEX($B$17:$GQ$17,MATCH(54,$B$29:$GQ$29,0))</f>
        <v/>
      </c>
      <c r="BD3" s="1">
        <f>INDEX($B$17:$GQ$17,MATCH(55,$B$29:$GQ$29,0))</f>
        <v/>
      </c>
      <c r="BE3" s="1">
        <f>INDEX($B$17:$GQ$17,MATCH(56,$B$29:$GQ$29,0))</f>
        <v/>
      </c>
      <c r="BF3" s="1">
        <f>INDEX($B$17:$GQ$17,MATCH(57,$B$29:$GQ$29,0))</f>
        <v/>
      </c>
      <c r="BG3" s="1">
        <f>INDEX($B$17:$GQ$17,MATCH(58,$B$29:$GQ$29,0))</f>
        <v/>
      </c>
      <c r="BH3" s="1">
        <f>INDEX($B$17:$GQ$17,MATCH(59,$B$29:$GQ$29,0))</f>
        <v/>
      </c>
      <c r="BI3" s="1">
        <f>INDEX($B$17:$GQ$17,MATCH(60,$B$29:$GQ$29,0))</f>
        <v/>
      </c>
      <c r="BJ3" s="1">
        <f>INDEX($B$17:$GQ$17,MATCH(61,$B$29:$GQ$29,0))</f>
        <v/>
      </c>
      <c r="BK3" s="1">
        <f>INDEX($B$17:$GQ$17,MATCH(62,$B$29:$GQ$29,0))</f>
        <v/>
      </c>
      <c r="BL3" s="1">
        <f>INDEX($B$17:$GQ$17,MATCH(63,$B$29:$GQ$29,0))</f>
        <v/>
      </c>
      <c r="BM3" s="1">
        <f>INDEX($B$17:$GQ$17,MATCH(64,$B$29:$GQ$29,0))</f>
        <v/>
      </c>
      <c r="BN3" s="1">
        <f>INDEX($B$17:$GQ$17,MATCH(65,$B$29:$GQ$29,0))</f>
        <v/>
      </c>
      <c r="BO3" s="1">
        <f>INDEX($B$17:$GQ$17,MATCH(66,$B$29:$GQ$29,0))</f>
        <v/>
      </c>
      <c r="BP3" s="1">
        <f>INDEX($B$17:$GQ$17,MATCH(67,$B$29:$GQ$29,0))</f>
        <v/>
      </c>
      <c r="BQ3" s="1">
        <f>INDEX($B$17:$GQ$17,MATCH(68,$B$29:$GQ$29,0))</f>
        <v/>
      </c>
      <c r="BR3" s="1">
        <f>INDEX($B$17:$GQ$17,MATCH(69,$B$29:$GQ$29,0))</f>
        <v/>
      </c>
      <c r="BS3" s="1">
        <f>INDEX($B$17:$GQ$17,MATCH(70,$B$29:$GQ$29,0))</f>
        <v/>
      </c>
      <c r="BT3" s="1">
        <f>INDEX($B$17:$GQ$17,MATCH(71,$B$29:$GQ$29,0))</f>
        <v/>
      </c>
      <c r="BU3" s="1">
        <f>INDEX($B$17:$GQ$17,MATCH(72,$B$29:$GQ$29,0))</f>
        <v/>
      </c>
      <c r="BV3" s="1">
        <f>INDEX($B$17:$GQ$17,MATCH(73,$B$29:$GQ$29,0))</f>
        <v/>
      </c>
      <c r="BW3" s="1">
        <f>INDEX($B$17:$GQ$17,MATCH(74,$B$29:$GQ$29,0))</f>
        <v/>
      </c>
      <c r="BX3" s="1">
        <f>INDEX($B$17:$GQ$17,MATCH(75,$B$29:$GQ$29,0))</f>
        <v/>
      </c>
      <c r="BY3" s="1">
        <f>INDEX($B$17:$GQ$17,MATCH(76,$B$29:$GQ$29,0))</f>
        <v/>
      </c>
      <c r="BZ3" s="1">
        <f>INDEX($B$17:$GQ$17,MATCH(77,$B$29:$GQ$29,0))</f>
        <v/>
      </c>
      <c r="CA3" s="1">
        <f>INDEX($B$17:$GQ$17,MATCH(78,$B$29:$GQ$29,0))</f>
        <v/>
      </c>
      <c r="CB3" s="1">
        <f>INDEX($B$17:$GQ$17,MATCH(79,$B$29:$GQ$29,0))</f>
        <v/>
      </c>
      <c r="CC3" s="1">
        <f>INDEX($B$17:$GQ$17,MATCH(80,$B$29:$GQ$29,0))</f>
        <v/>
      </c>
      <c r="CD3" s="1">
        <f>INDEX($B$17:$GQ$17,MATCH(81,$B$29:$GQ$29,0))</f>
        <v/>
      </c>
      <c r="CE3" s="1">
        <f>INDEX($B$17:$GQ$17,MATCH(82,$B$29:$GQ$29,0))</f>
        <v/>
      </c>
      <c r="CF3" s="1">
        <f>INDEX($B$17:$GQ$17,MATCH(83,$B$29:$GQ$29,0))</f>
        <v/>
      </c>
      <c r="CG3" s="1">
        <f>INDEX($B$17:$GQ$17,MATCH(84,$B$29:$GQ$29,0))</f>
        <v/>
      </c>
      <c r="CH3" s="1">
        <f>INDEX($B$17:$GQ$17,MATCH(85,$B$29:$GQ$29,0))</f>
        <v/>
      </c>
      <c r="CI3" s="1">
        <f>INDEX($B$17:$GQ$17,MATCH(86,$B$29:$GQ$29,0))</f>
        <v/>
      </c>
      <c r="CJ3" s="1">
        <f>INDEX($B$17:$GQ$17,MATCH(87,$B$29:$GQ$29,0))</f>
        <v/>
      </c>
      <c r="CK3" s="1">
        <f>INDEX($B$17:$GQ$17,MATCH(88,$B$29:$GQ$29,0))</f>
        <v/>
      </c>
      <c r="CL3" s="1">
        <f>INDEX($B$17:$GQ$17,MATCH(89,$B$29:$GQ$29,0))</f>
        <v/>
      </c>
      <c r="CM3" s="1">
        <f>INDEX($B$17:$GQ$17,MATCH(90,$B$29:$GQ$29,0))</f>
        <v/>
      </c>
      <c r="CN3" s="1">
        <f>INDEX($B$17:$GQ$17,MATCH(91,$B$29:$GQ$29,0))</f>
        <v/>
      </c>
      <c r="CO3" s="1">
        <f>INDEX($B$17:$GQ$17,MATCH(92,$B$29:$GQ$29,0))</f>
        <v/>
      </c>
      <c r="CP3" s="1">
        <f>INDEX($B$17:$GQ$17,MATCH(93,$B$29:$GQ$29,0))</f>
        <v/>
      </c>
      <c r="CQ3" s="1">
        <f>INDEX($B$17:$GQ$17,MATCH(94,$B$29:$GQ$29,0))</f>
        <v/>
      </c>
      <c r="CR3" s="1">
        <f>INDEX($B$17:$GQ$17,MATCH(95,$B$29:$GQ$29,0))</f>
        <v/>
      </c>
      <c r="CS3" s="1">
        <f>INDEX($B$17:$GQ$17,MATCH(96,$B$29:$GQ$29,0))</f>
        <v/>
      </c>
      <c r="CT3" s="1">
        <f>INDEX($B$17:$GQ$17,MATCH(97,$B$29:$GQ$29,0))</f>
        <v/>
      </c>
      <c r="CU3" s="1">
        <f>INDEX($B$17:$GQ$17,MATCH(98,$B$29:$GQ$29,0))</f>
        <v/>
      </c>
      <c r="CV3" s="1">
        <f>INDEX($B$17:$GQ$17,MATCH(99,$B$29:$GQ$29,0))</f>
        <v/>
      </c>
      <c r="CW3" s="1">
        <f>INDEX($B$17:$GQ$17,MATCH(100,$B$29:$GQ$29,0))</f>
        <v/>
      </c>
      <c r="CX3" s="1">
        <f>INDEX($B$17:$GQ$17,MATCH(101,$B$29:$GQ$29,0))</f>
        <v/>
      </c>
      <c r="CY3" s="1">
        <f>INDEX($B$17:$GQ$17,MATCH(102,$B$29:$GQ$29,0))</f>
        <v/>
      </c>
      <c r="CZ3" s="1">
        <f>INDEX($B$17:$GQ$17,MATCH(103,$B$29:$GQ$29,0))</f>
        <v/>
      </c>
      <c r="DA3" s="1">
        <f>INDEX($B$17:$GQ$17,MATCH(104,$B$29:$GQ$29,0))</f>
        <v/>
      </c>
      <c r="DB3" s="1">
        <f>INDEX($B$17:$GQ$17,MATCH(105,$B$29:$GQ$29,0))</f>
        <v/>
      </c>
      <c r="DC3" s="1">
        <f>INDEX($B$17:$GQ$17,MATCH(106,$B$29:$GQ$29,0))</f>
        <v/>
      </c>
      <c r="DD3" s="1">
        <f>INDEX($B$17:$GQ$17,MATCH(107,$B$29:$GQ$29,0))</f>
        <v/>
      </c>
      <c r="DE3" s="1">
        <f>INDEX($B$17:$GQ$17,MATCH(108,$B$29:$GQ$29,0))</f>
        <v/>
      </c>
      <c r="DF3" s="1">
        <f>INDEX($B$17:$GQ$17,MATCH(109,$B$29:$GQ$29,0))</f>
        <v/>
      </c>
      <c r="DG3" s="1">
        <f>INDEX($B$17:$GQ$17,MATCH(110,$B$29:$GQ$29,0))</f>
        <v/>
      </c>
      <c r="DH3" s="1">
        <f>INDEX($B$17:$GQ$17,MATCH(111,$B$29:$GQ$29,0))</f>
        <v/>
      </c>
      <c r="DI3" s="1">
        <f>INDEX($B$17:$GQ$17,MATCH(112,$B$29:$GQ$29,0))</f>
        <v/>
      </c>
      <c r="DJ3" s="1">
        <f>INDEX($B$17:$GQ$17,MATCH(113,$B$29:$GQ$29,0))</f>
        <v/>
      </c>
      <c r="DK3" s="1">
        <f>INDEX($B$17:$GQ$17,MATCH(114,$B$29:$GQ$29,0))</f>
        <v/>
      </c>
      <c r="DL3" s="1">
        <f>INDEX($B$17:$GQ$17,MATCH(115,$B$29:$GQ$29,0))</f>
        <v/>
      </c>
      <c r="DM3" s="1">
        <f>INDEX($B$17:$GQ$17,MATCH(116,$B$29:$GQ$29,0))</f>
        <v/>
      </c>
      <c r="DN3" s="1">
        <f>INDEX($B$17:$GQ$17,MATCH(117,$B$29:$GQ$29,0))</f>
        <v/>
      </c>
      <c r="DO3" s="1">
        <f>INDEX($B$17:$GQ$17,MATCH(118,$B$29:$GQ$29,0))</f>
        <v/>
      </c>
      <c r="DP3" s="1">
        <f>INDEX($B$17:$GQ$17,MATCH(119,$B$29:$GQ$29,0))</f>
        <v/>
      </c>
      <c r="DQ3" s="1">
        <f>INDEX($B$17:$GQ$17,MATCH(120,$B$29:$GQ$29,0))</f>
        <v/>
      </c>
      <c r="DR3" s="1">
        <f>INDEX($B$17:$GQ$17,MATCH(121,$B$29:$GQ$29,0))</f>
        <v/>
      </c>
      <c r="DS3" s="1">
        <f>INDEX($B$17:$GQ$17,MATCH(122,$B$29:$GQ$29,0))</f>
        <v/>
      </c>
      <c r="DT3" s="1">
        <f>INDEX($B$17:$GQ$17,MATCH(123,$B$29:$GQ$29,0))</f>
        <v/>
      </c>
      <c r="DU3" s="1">
        <f>INDEX($B$17:$GQ$17,MATCH(124,$B$29:$GQ$29,0))</f>
        <v/>
      </c>
      <c r="DV3" s="1">
        <f>INDEX($B$17:$GQ$17,MATCH(125,$B$29:$GQ$29,0))</f>
        <v/>
      </c>
      <c r="DW3" s="1">
        <f>INDEX($B$17:$GQ$17,MATCH(126,$B$29:$GQ$29,0))</f>
        <v/>
      </c>
      <c r="DX3" s="1">
        <f>INDEX($B$17:$GQ$17,MATCH(127,$B$29:$GQ$29,0))</f>
        <v/>
      </c>
      <c r="DY3" s="1">
        <f>INDEX($B$17:$GQ$17,MATCH(128,$B$29:$GQ$29,0))</f>
        <v/>
      </c>
      <c r="DZ3" s="1">
        <f>INDEX($B$17:$GQ$17,MATCH(129,$B$29:$GQ$29,0))</f>
        <v/>
      </c>
      <c r="EA3" s="1">
        <f>INDEX($B$17:$GQ$17,MATCH(130,$B$29:$GQ$29,0))</f>
        <v/>
      </c>
      <c r="EB3" s="1">
        <f>INDEX($B$17:$GQ$17,MATCH(131,$B$29:$GQ$29,0))</f>
        <v/>
      </c>
      <c r="EC3" s="1">
        <f>INDEX($B$17:$GQ$17,MATCH(132,$B$29:$GQ$29,0))</f>
        <v/>
      </c>
      <c r="ED3" s="1">
        <f>INDEX($B$17:$GQ$17,MATCH(133,$B$29:$GQ$29,0))</f>
        <v/>
      </c>
      <c r="EE3" s="1">
        <f>INDEX($B$17:$GQ$17,MATCH(134,$B$29:$GQ$29,0))</f>
        <v/>
      </c>
      <c r="EF3" s="1">
        <f>INDEX($B$17:$GQ$17,MATCH(135,$B$29:$GQ$29,0))</f>
        <v/>
      </c>
      <c r="EG3" s="1">
        <f>INDEX($B$17:$GQ$17,MATCH(136,$B$29:$GQ$29,0))</f>
        <v/>
      </c>
      <c r="EH3" s="1">
        <f>INDEX($B$17:$GQ$17,MATCH(137,$B$29:$GQ$29,0))</f>
        <v/>
      </c>
      <c r="EI3" s="1">
        <f>INDEX($B$17:$GQ$17,MATCH(138,$B$29:$GQ$29,0))</f>
        <v/>
      </c>
      <c r="EJ3" s="1">
        <f>INDEX($B$17:$GQ$17,MATCH(139,$B$29:$GQ$29,0))</f>
        <v/>
      </c>
      <c r="EK3" s="1">
        <f>INDEX($B$17:$GQ$17,MATCH(140,$B$29:$GQ$29,0))</f>
        <v/>
      </c>
      <c r="EL3" s="1">
        <f>INDEX($B$17:$GQ$17,MATCH(141,$B$29:$GQ$29,0))</f>
        <v/>
      </c>
      <c r="EM3" s="1">
        <f>INDEX($B$17:$GQ$17,MATCH(142,$B$29:$GQ$29,0))</f>
        <v/>
      </c>
      <c r="EN3" s="1">
        <f>INDEX($B$17:$GQ$17,MATCH(143,$B$29:$GQ$29,0))</f>
        <v/>
      </c>
      <c r="EO3" s="1">
        <f>INDEX($B$17:$GQ$17,MATCH(144,$B$29:$GQ$29,0))</f>
        <v/>
      </c>
      <c r="EP3" s="1">
        <f>INDEX($B$17:$GQ$17,MATCH(145,$B$29:$GQ$29,0))</f>
        <v/>
      </c>
      <c r="EQ3" s="1">
        <f>INDEX($B$17:$GQ$17,MATCH(146,$B$29:$GQ$29,0))</f>
        <v/>
      </c>
      <c r="ER3" s="1">
        <f>INDEX($B$17:$GQ$17,MATCH(147,$B$29:$GQ$29,0))</f>
        <v/>
      </c>
      <c r="ES3" s="1">
        <f>INDEX($B$17:$GQ$17,MATCH(148,$B$29:$GQ$29,0))</f>
        <v/>
      </c>
      <c r="ET3" s="1">
        <f>INDEX($B$17:$GQ$17,MATCH(149,$B$29:$GQ$29,0))</f>
        <v/>
      </c>
      <c r="EU3" s="1">
        <f>INDEX($B$17:$GQ$17,MATCH(150,$B$29:$GQ$29,0))</f>
        <v/>
      </c>
      <c r="EV3" s="1">
        <f>INDEX($B$17:$GQ$17,MATCH(151,$B$29:$GQ$29,0))</f>
        <v/>
      </c>
      <c r="EW3" s="1">
        <f>INDEX($B$17:$GQ$17,MATCH(152,$B$29:$GQ$29,0))</f>
        <v/>
      </c>
      <c r="EX3" s="1">
        <f>INDEX($B$17:$GQ$17,MATCH(153,$B$29:$GQ$29,0))</f>
        <v/>
      </c>
      <c r="EY3" s="1">
        <f>INDEX($B$17:$GQ$17,MATCH(154,$B$29:$GQ$29,0))</f>
        <v/>
      </c>
      <c r="EZ3" s="1">
        <f>INDEX($B$17:$GQ$17,MATCH(155,$B$29:$GQ$29,0))</f>
        <v/>
      </c>
      <c r="FA3" s="1">
        <f>INDEX($B$17:$GQ$17,MATCH(156,$B$29:$GQ$29,0))</f>
        <v/>
      </c>
      <c r="FB3" s="1">
        <f>INDEX($B$17:$GQ$17,MATCH(157,$B$29:$GQ$29,0))</f>
        <v/>
      </c>
      <c r="FC3" s="1">
        <f>INDEX($B$17:$GQ$17,MATCH(158,$B$29:$GQ$29,0))</f>
        <v/>
      </c>
      <c r="FD3" s="1">
        <f>INDEX($B$17:$GQ$17,MATCH(159,$B$29:$GQ$29,0))</f>
        <v/>
      </c>
      <c r="FE3" s="1">
        <f>INDEX($B$17:$GQ$17,MATCH(160,$B$29:$GQ$29,0))</f>
        <v/>
      </c>
      <c r="FF3" s="1">
        <f>INDEX($B$17:$GQ$17,MATCH(161,$B$29:$GQ$29,0))</f>
        <v/>
      </c>
      <c r="FG3" s="1">
        <f>INDEX($B$17:$GQ$17,MATCH(162,$B$29:$GQ$29,0))</f>
        <v/>
      </c>
      <c r="FH3" s="1">
        <f>INDEX($B$17:$GQ$17,MATCH(163,$B$29:$GQ$29,0))</f>
        <v/>
      </c>
      <c r="FI3" s="1">
        <f>INDEX($B$17:$GQ$17,MATCH(164,$B$29:$GQ$29,0))</f>
        <v/>
      </c>
      <c r="FJ3" s="1">
        <f>INDEX($B$17:$GQ$17,MATCH(165,$B$29:$GQ$29,0))</f>
        <v/>
      </c>
      <c r="FK3" s="1">
        <f>INDEX($B$17:$GQ$17,MATCH(166,$B$29:$GQ$29,0))</f>
        <v/>
      </c>
      <c r="FL3" s="1">
        <f>INDEX($B$17:$GQ$17,MATCH(167,$B$29:$GQ$29,0))</f>
        <v/>
      </c>
      <c r="FM3" s="1">
        <f>INDEX($B$17:$GQ$17,MATCH(168,$B$29:$GQ$29,0))</f>
        <v/>
      </c>
      <c r="FN3" s="1">
        <f>INDEX($B$17:$GQ$17,MATCH(169,$B$29:$GQ$29,0))</f>
        <v/>
      </c>
      <c r="FO3" s="1">
        <f>INDEX($B$17:$GQ$17,MATCH(170,$B$29:$GQ$29,0))</f>
        <v/>
      </c>
      <c r="FP3" s="1">
        <f>INDEX($B$17:$GQ$17,MATCH(171,$B$29:$GQ$29,0))</f>
        <v/>
      </c>
      <c r="FQ3" s="1">
        <f>INDEX($B$17:$GQ$17,MATCH(172,$B$29:$GQ$29,0))</f>
        <v/>
      </c>
      <c r="FR3" s="1">
        <f>INDEX($B$17:$GQ$17,MATCH(173,$B$29:$GQ$29,0))</f>
        <v/>
      </c>
      <c r="FS3" s="1">
        <f>INDEX($B$17:$GQ$17,MATCH(174,$B$29:$GQ$29,0))</f>
        <v/>
      </c>
      <c r="FT3" s="1">
        <f>INDEX($B$17:$GQ$17,MATCH(175,$B$29:$GQ$29,0))</f>
        <v/>
      </c>
      <c r="FU3" s="1">
        <f>INDEX($B$17:$GQ$17,MATCH(176,$B$29:$GQ$29,0))</f>
        <v/>
      </c>
      <c r="FV3" s="1">
        <f>INDEX($B$17:$GQ$17,MATCH(177,$B$29:$GQ$29,0))</f>
        <v/>
      </c>
      <c r="FW3" s="1">
        <f>INDEX($B$17:$GQ$17,MATCH(178,$B$29:$GQ$29,0))</f>
        <v/>
      </c>
      <c r="FX3" s="1">
        <f>INDEX($B$17:$GQ$17,MATCH(179,$B$29:$GQ$29,0))</f>
        <v/>
      </c>
      <c r="FY3" s="1">
        <f>INDEX($B$17:$GQ$17,MATCH(180,$B$29:$GQ$29,0))</f>
        <v/>
      </c>
      <c r="FZ3" s="1">
        <f>INDEX($B$17:$GQ$17,MATCH(181,$B$29:$GQ$29,0))</f>
        <v/>
      </c>
      <c r="GA3" s="1">
        <f>INDEX($B$17:$GQ$17,MATCH(182,$B$29:$GQ$29,0))</f>
        <v/>
      </c>
      <c r="GB3" s="1">
        <f>INDEX($B$17:$GQ$17,MATCH(183,$B$29:$GQ$29,0))</f>
        <v/>
      </c>
      <c r="GC3" s="1">
        <f>INDEX($B$17:$GQ$17,MATCH(184,$B$29:$GQ$29,0))</f>
        <v/>
      </c>
      <c r="GD3" s="1">
        <f>INDEX($B$17:$GQ$17,MATCH(185,$B$29:$GQ$29,0))</f>
        <v/>
      </c>
      <c r="GE3" s="1">
        <f>INDEX($B$17:$GQ$17,MATCH(186,$B$29:$GQ$29,0))</f>
        <v/>
      </c>
      <c r="GF3" s="1">
        <f>INDEX($B$17:$GQ$17,MATCH(187,$B$29:$GQ$29,0))</f>
        <v/>
      </c>
      <c r="GG3" s="1">
        <f>INDEX($B$17:$GQ$17,MATCH(188,$B$29:$GQ$29,0))</f>
        <v/>
      </c>
      <c r="GH3" s="1">
        <f>INDEX($B$17:$GQ$17,MATCH(189,$B$29:$GQ$29,0))</f>
        <v/>
      </c>
      <c r="GI3" s="1">
        <f>INDEX($B$17:$GQ$17,MATCH(190,$B$29:$GQ$29,0))</f>
        <v/>
      </c>
      <c r="GJ3" s="1">
        <f>INDEX($B$17:$GQ$17,MATCH(191,$B$29:$GQ$29,0))</f>
        <v/>
      </c>
      <c r="GK3" s="1">
        <f>INDEX($B$17:$GQ$17,MATCH(192,$B$29:$GQ$29,0))</f>
        <v/>
      </c>
      <c r="GL3" s="1">
        <f>INDEX($B$17:$GQ$17,MATCH(193,$B$29:$GQ$29,0))</f>
        <v/>
      </c>
      <c r="GM3" s="1">
        <f>INDEX($B$17:$GQ$17,MATCH(194,$B$29:$GQ$29,0))</f>
        <v/>
      </c>
      <c r="GN3" s="1">
        <f>INDEX($B$17:$GQ$17,MATCH(195,$B$29:$GQ$29,0))</f>
        <v/>
      </c>
      <c r="GO3" s="1">
        <f>INDEX($B$17:$GQ$17,MATCH(196,$B$29:$GQ$29,0))</f>
        <v/>
      </c>
      <c r="GP3" s="1">
        <f>INDEX($B$17:$GQ$17,MATCH(197,$B$29:$GQ$29,0))</f>
        <v/>
      </c>
      <c r="GQ3" s="1">
        <f>INDEX($B$17:$GQ$17,MATCH(198,$B$29:$GQ$29,0))</f>
        <v/>
      </c>
      <c r="GR3" s="1">
        <f>INDEX($GR$17:$HC$17,MATCH(1,$GR$30:$HC$30,0))</f>
        <v/>
      </c>
      <c r="GS3" s="1">
        <f>INDEX($GR$17:$HC$17,MATCH(2,$GR$30:$HC$30,0))</f>
        <v/>
      </c>
      <c r="GT3" s="1">
        <f>INDEX($GR$17:$HC$17,MATCH(3,$GR$30:$HC$30,0))</f>
        <v/>
      </c>
      <c r="GU3" s="1">
        <f>INDEX($GR$17:$HC$17,MATCH(4,$GR$30:$HC$30,0))</f>
        <v/>
      </c>
      <c r="GV3" s="1">
        <f>INDEX($GR$17:$HC$17,MATCH(5,$GR$30:$HC$30,0))</f>
        <v/>
      </c>
      <c r="GW3" s="1">
        <f>INDEX($GR$17:$HC$17,MATCH(6,$GR$30:$HC$30,0))</f>
        <v/>
      </c>
      <c r="GX3" s="1">
        <f>INDEX($GR$17:$HC$17,MATCH(7,$GR$30:$HC$30,0))</f>
        <v/>
      </c>
      <c r="GY3" s="1">
        <f>INDEX($GR$17:$HC$17,MATCH(8,$GR$30:$HC$30,0))</f>
        <v/>
      </c>
      <c r="GZ3" s="1">
        <f>INDEX($GR$17:$HC$17,MATCH(9,$GR$30:$HC$30,0))</f>
        <v/>
      </c>
      <c r="HA3" s="1">
        <f>INDEX($GR$17:$HC$17,MATCH(10,$GR$30:$HC$30,0))</f>
        <v/>
      </c>
      <c r="HB3" s="1">
        <f>INDEX($GR$17:$HC$17,MATCH(11,$GR$30:$HC$30,0))</f>
        <v/>
      </c>
      <c r="HC3" s="1">
        <f>INDEX($GR$17:$HC$17,MATCH(12,$GR$30:$HC$30,0))</f>
        <v/>
      </c>
    </row>
    <row r="4">
      <c r="A4" s="1" t="inlineStr">
        <is>
          <t>M_imp</t>
        </is>
      </c>
      <c r="B4">
        <f>INDEX($B$18:$GQ$18,MATCH(1,$B$29:$GQ$29,0))</f>
        <v/>
      </c>
      <c r="C4">
        <f>INDEX($B$18:$GQ$18,MATCH(2,$B$29:$GQ$29,0))</f>
        <v/>
      </c>
      <c r="D4">
        <f>INDEX($B$18:$GQ$18,MATCH(3,$B$29:$GQ$29,0))</f>
        <v/>
      </c>
      <c r="E4">
        <f>INDEX($B$18:$GQ$18,MATCH(4,$B$29:$GQ$29,0))</f>
        <v/>
      </c>
      <c r="F4">
        <f>INDEX($B$18:$GQ$18,MATCH(5,$B$29:$GQ$29,0))</f>
        <v/>
      </c>
      <c r="G4">
        <f>INDEX($B$18:$GQ$18,MATCH(6,$B$29:$GQ$29,0))</f>
        <v/>
      </c>
      <c r="H4">
        <f>INDEX($B$18:$GQ$18,MATCH(7,$B$29:$GQ$29,0))</f>
        <v/>
      </c>
      <c r="I4">
        <f>INDEX($B$18:$GQ$18,MATCH(8,$B$29:$GQ$29,0))</f>
        <v/>
      </c>
      <c r="J4">
        <f>INDEX($B$18:$GQ$18,MATCH(9,$B$29:$GQ$29,0))</f>
        <v/>
      </c>
      <c r="K4">
        <f>INDEX($B$18:$GQ$18,MATCH(10,$B$29:$GQ$29,0))</f>
        <v/>
      </c>
      <c r="L4">
        <f>INDEX($B$18:$GQ$18,MATCH(11,$B$29:$GQ$29,0))</f>
        <v/>
      </c>
      <c r="M4">
        <f>INDEX($B$18:$GQ$18,MATCH(12,$B$29:$GQ$29,0))</f>
        <v/>
      </c>
      <c r="N4">
        <f>INDEX($B$18:$GQ$18,MATCH(13,$B$29:$GQ$29,0))</f>
        <v/>
      </c>
      <c r="O4">
        <f>INDEX($B$18:$GQ$18,MATCH(14,$B$29:$GQ$29,0))</f>
        <v/>
      </c>
      <c r="P4">
        <f>INDEX($B$18:$GQ$18,MATCH(15,$B$29:$GQ$29,0))</f>
        <v/>
      </c>
      <c r="Q4">
        <f>INDEX($B$18:$GQ$18,MATCH(16,$B$29:$GQ$29,0))</f>
        <v/>
      </c>
      <c r="R4">
        <f>INDEX($B$18:$GQ$18,MATCH(17,$B$29:$GQ$29,0))</f>
        <v/>
      </c>
      <c r="S4">
        <f>INDEX($B$18:$GQ$18,MATCH(18,$B$29:$GQ$29,0))</f>
        <v/>
      </c>
      <c r="T4">
        <f>INDEX($B$18:$GQ$18,MATCH(19,$B$29:$GQ$29,0))</f>
        <v/>
      </c>
      <c r="U4">
        <f>INDEX($B$18:$GQ$18,MATCH(20,$B$29:$GQ$29,0))</f>
        <v/>
      </c>
      <c r="V4">
        <f>INDEX($B$18:$GQ$18,MATCH(21,$B$29:$GQ$29,0))</f>
        <v/>
      </c>
      <c r="W4">
        <f>INDEX($B$18:$GQ$18,MATCH(22,$B$29:$GQ$29,0))</f>
        <v/>
      </c>
      <c r="X4">
        <f>INDEX($B$18:$GQ$18,MATCH(23,$B$29:$GQ$29,0))</f>
        <v/>
      </c>
      <c r="Y4">
        <f>INDEX($B$18:$GQ$18,MATCH(24,$B$29:$GQ$29,0))</f>
        <v/>
      </c>
      <c r="Z4">
        <f>INDEX($B$18:$GQ$18,MATCH(25,$B$29:$GQ$29,0))</f>
        <v/>
      </c>
      <c r="AA4">
        <f>INDEX($B$18:$GQ$18,MATCH(26,$B$29:$GQ$29,0))</f>
        <v/>
      </c>
      <c r="AB4">
        <f>INDEX($B$18:$GQ$18,MATCH(27,$B$29:$GQ$29,0))</f>
        <v/>
      </c>
      <c r="AC4">
        <f>INDEX($B$18:$GQ$18,MATCH(28,$B$29:$GQ$29,0))</f>
        <v/>
      </c>
      <c r="AD4">
        <f>INDEX($B$18:$GQ$18,MATCH(29,$B$29:$GQ$29,0))</f>
        <v/>
      </c>
      <c r="AE4">
        <f>INDEX($B$18:$GQ$18,MATCH(30,$B$29:$GQ$29,0))</f>
        <v/>
      </c>
      <c r="AF4">
        <f>INDEX($B$18:$GQ$18,MATCH(31,$B$29:$GQ$29,0))</f>
        <v/>
      </c>
      <c r="AG4">
        <f>INDEX($B$18:$GQ$18,MATCH(32,$B$29:$GQ$29,0))</f>
        <v/>
      </c>
      <c r="AH4">
        <f>INDEX($B$18:$GQ$18,MATCH(33,$B$29:$GQ$29,0))</f>
        <v/>
      </c>
      <c r="AI4">
        <f>INDEX($B$18:$GQ$18,MATCH(34,$B$29:$GQ$29,0))</f>
        <v/>
      </c>
      <c r="AJ4">
        <f>INDEX($B$18:$GQ$18,MATCH(35,$B$29:$GQ$29,0))</f>
        <v/>
      </c>
      <c r="AK4">
        <f>INDEX($B$18:$GQ$18,MATCH(36,$B$29:$GQ$29,0))</f>
        <v/>
      </c>
      <c r="AL4">
        <f>INDEX($B$18:$GQ$18,MATCH(37,$B$29:$GQ$29,0))</f>
        <v/>
      </c>
      <c r="AM4">
        <f>INDEX($B$18:$GQ$18,MATCH(38,$B$29:$GQ$29,0))</f>
        <v/>
      </c>
      <c r="AN4">
        <f>INDEX($B$18:$GQ$18,MATCH(39,$B$29:$GQ$29,0))</f>
        <v/>
      </c>
      <c r="AO4">
        <f>INDEX($B$18:$GQ$18,MATCH(40,$B$29:$GQ$29,0))</f>
        <v/>
      </c>
      <c r="AP4">
        <f>INDEX($B$18:$GQ$18,MATCH(41,$B$29:$GQ$29,0))</f>
        <v/>
      </c>
      <c r="AQ4">
        <f>INDEX($B$18:$GQ$18,MATCH(42,$B$29:$GQ$29,0))</f>
        <v/>
      </c>
      <c r="AR4">
        <f>INDEX($B$18:$GQ$18,MATCH(43,$B$29:$GQ$29,0))</f>
        <v/>
      </c>
      <c r="AS4">
        <f>INDEX($B$18:$GQ$18,MATCH(44,$B$29:$GQ$29,0))</f>
        <v/>
      </c>
      <c r="AT4">
        <f>INDEX($B$18:$GQ$18,MATCH(45,$B$29:$GQ$29,0))</f>
        <v/>
      </c>
      <c r="AU4">
        <f>INDEX($B$18:$GQ$18,MATCH(46,$B$29:$GQ$29,0))</f>
        <v/>
      </c>
      <c r="AV4">
        <f>INDEX($B$18:$GQ$18,MATCH(47,$B$29:$GQ$29,0))</f>
        <v/>
      </c>
      <c r="AW4">
        <f>INDEX($B$18:$GQ$18,MATCH(48,$B$29:$GQ$29,0))</f>
        <v/>
      </c>
      <c r="AX4">
        <f>INDEX($B$18:$GQ$18,MATCH(49,$B$29:$GQ$29,0))</f>
        <v/>
      </c>
      <c r="AY4">
        <f>INDEX($B$18:$GQ$18,MATCH(50,$B$29:$GQ$29,0))</f>
        <v/>
      </c>
      <c r="AZ4">
        <f>INDEX($B$18:$GQ$18,MATCH(51,$B$29:$GQ$29,0))</f>
        <v/>
      </c>
      <c r="BA4">
        <f>INDEX($B$18:$GQ$18,MATCH(52,$B$29:$GQ$29,0))</f>
        <v/>
      </c>
      <c r="BB4">
        <f>INDEX($B$18:$GQ$18,MATCH(53,$B$29:$GQ$29,0))</f>
        <v/>
      </c>
      <c r="BC4">
        <f>INDEX($B$18:$GQ$18,MATCH(54,$B$29:$GQ$29,0))</f>
        <v/>
      </c>
      <c r="BD4">
        <f>INDEX($B$18:$GQ$18,MATCH(55,$B$29:$GQ$29,0))</f>
        <v/>
      </c>
      <c r="BE4">
        <f>INDEX($B$18:$GQ$18,MATCH(56,$B$29:$GQ$29,0))</f>
        <v/>
      </c>
      <c r="BF4">
        <f>INDEX($B$18:$GQ$18,MATCH(57,$B$29:$GQ$29,0))</f>
        <v/>
      </c>
      <c r="BG4">
        <f>INDEX($B$18:$GQ$18,MATCH(58,$B$29:$GQ$29,0))</f>
        <v/>
      </c>
      <c r="BH4">
        <f>INDEX($B$18:$GQ$18,MATCH(59,$B$29:$GQ$29,0))</f>
        <v/>
      </c>
      <c r="BI4">
        <f>INDEX($B$18:$GQ$18,MATCH(60,$B$29:$GQ$29,0))</f>
        <v/>
      </c>
      <c r="BJ4">
        <f>INDEX($B$18:$GQ$18,MATCH(61,$B$29:$GQ$29,0))</f>
        <v/>
      </c>
      <c r="BK4">
        <f>INDEX($B$18:$GQ$18,MATCH(62,$B$29:$GQ$29,0))</f>
        <v/>
      </c>
      <c r="BL4">
        <f>INDEX($B$18:$GQ$18,MATCH(63,$B$29:$GQ$29,0))</f>
        <v/>
      </c>
      <c r="BM4">
        <f>INDEX($B$18:$GQ$18,MATCH(64,$B$29:$GQ$29,0))</f>
        <v/>
      </c>
      <c r="BN4">
        <f>INDEX($B$18:$GQ$18,MATCH(65,$B$29:$GQ$29,0))</f>
        <v/>
      </c>
      <c r="BO4">
        <f>INDEX($B$18:$GQ$18,MATCH(66,$B$29:$GQ$29,0))</f>
        <v/>
      </c>
      <c r="BP4">
        <f>INDEX($B$18:$GQ$18,MATCH(67,$B$29:$GQ$29,0))</f>
        <v/>
      </c>
      <c r="BQ4">
        <f>INDEX($B$18:$GQ$18,MATCH(68,$B$29:$GQ$29,0))</f>
        <v/>
      </c>
      <c r="BR4">
        <f>INDEX($B$18:$GQ$18,MATCH(69,$B$29:$GQ$29,0))</f>
        <v/>
      </c>
      <c r="BS4">
        <f>INDEX($B$18:$GQ$18,MATCH(70,$B$29:$GQ$29,0))</f>
        <v/>
      </c>
      <c r="BT4">
        <f>INDEX($B$18:$GQ$18,MATCH(71,$B$29:$GQ$29,0))</f>
        <v/>
      </c>
      <c r="BU4">
        <f>INDEX($B$18:$GQ$18,MATCH(72,$B$29:$GQ$29,0))</f>
        <v/>
      </c>
      <c r="BV4">
        <f>INDEX($B$18:$GQ$18,MATCH(73,$B$29:$GQ$29,0))</f>
        <v/>
      </c>
      <c r="BW4">
        <f>INDEX($B$18:$GQ$18,MATCH(74,$B$29:$GQ$29,0))</f>
        <v/>
      </c>
      <c r="BX4">
        <f>INDEX($B$18:$GQ$18,MATCH(75,$B$29:$GQ$29,0))</f>
        <v/>
      </c>
      <c r="BY4">
        <f>INDEX($B$18:$GQ$18,MATCH(76,$B$29:$GQ$29,0))</f>
        <v/>
      </c>
      <c r="BZ4">
        <f>INDEX($B$18:$GQ$18,MATCH(77,$B$29:$GQ$29,0))</f>
        <v/>
      </c>
      <c r="CA4">
        <f>INDEX($B$18:$GQ$18,MATCH(78,$B$29:$GQ$29,0))</f>
        <v/>
      </c>
      <c r="CB4">
        <f>INDEX($B$18:$GQ$18,MATCH(79,$B$29:$GQ$29,0))</f>
        <v/>
      </c>
      <c r="CC4">
        <f>INDEX($B$18:$GQ$18,MATCH(80,$B$29:$GQ$29,0))</f>
        <v/>
      </c>
      <c r="CD4">
        <f>INDEX($B$18:$GQ$18,MATCH(81,$B$29:$GQ$29,0))</f>
        <v/>
      </c>
      <c r="CE4">
        <f>INDEX($B$18:$GQ$18,MATCH(82,$B$29:$GQ$29,0))</f>
        <v/>
      </c>
      <c r="CF4">
        <f>INDEX($B$18:$GQ$18,MATCH(83,$B$29:$GQ$29,0))</f>
        <v/>
      </c>
      <c r="CG4">
        <f>INDEX($B$18:$GQ$18,MATCH(84,$B$29:$GQ$29,0))</f>
        <v/>
      </c>
      <c r="CH4">
        <f>INDEX($B$18:$GQ$18,MATCH(85,$B$29:$GQ$29,0))</f>
        <v/>
      </c>
      <c r="CI4">
        <f>INDEX($B$18:$GQ$18,MATCH(86,$B$29:$GQ$29,0))</f>
        <v/>
      </c>
      <c r="CJ4">
        <f>INDEX($B$18:$GQ$18,MATCH(87,$B$29:$GQ$29,0))</f>
        <v/>
      </c>
      <c r="CK4">
        <f>INDEX($B$18:$GQ$18,MATCH(88,$B$29:$GQ$29,0))</f>
        <v/>
      </c>
      <c r="CL4">
        <f>INDEX($B$18:$GQ$18,MATCH(89,$B$29:$GQ$29,0))</f>
        <v/>
      </c>
      <c r="CM4">
        <f>INDEX($B$18:$GQ$18,MATCH(90,$B$29:$GQ$29,0))</f>
        <v/>
      </c>
      <c r="CN4">
        <f>INDEX($B$18:$GQ$18,MATCH(91,$B$29:$GQ$29,0))</f>
        <v/>
      </c>
      <c r="CO4">
        <f>INDEX($B$18:$GQ$18,MATCH(92,$B$29:$GQ$29,0))</f>
        <v/>
      </c>
      <c r="CP4">
        <f>INDEX($B$18:$GQ$18,MATCH(93,$B$29:$GQ$29,0))</f>
        <v/>
      </c>
      <c r="CQ4">
        <f>INDEX($B$18:$GQ$18,MATCH(94,$B$29:$GQ$29,0))</f>
        <v/>
      </c>
      <c r="CR4">
        <f>INDEX($B$18:$GQ$18,MATCH(95,$B$29:$GQ$29,0))</f>
        <v/>
      </c>
      <c r="CS4">
        <f>INDEX($B$18:$GQ$18,MATCH(96,$B$29:$GQ$29,0))</f>
        <v/>
      </c>
      <c r="CT4">
        <f>INDEX($B$18:$GQ$18,MATCH(97,$B$29:$GQ$29,0))</f>
        <v/>
      </c>
      <c r="CU4">
        <f>INDEX($B$18:$GQ$18,MATCH(98,$B$29:$GQ$29,0))</f>
        <v/>
      </c>
      <c r="CV4">
        <f>INDEX($B$18:$GQ$18,MATCH(99,$B$29:$GQ$29,0))</f>
        <v/>
      </c>
      <c r="CW4">
        <f>INDEX($B$18:$GQ$18,MATCH(100,$B$29:$GQ$29,0))</f>
        <v/>
      </c>
      <c r="CX4">
        <f>INDEX($B$18:$GQ$18,MATCH(101,$B$29:$GQ$29,0))</f>
        <v/>
      </c>
      <c r="CY4">
        <f>INDEX($B$18:$GQ$18,MATCH(102,$B$29:$GQ$29,0))</f>
        <v/>
      </c>
      <c r="CZ4">
        <f>INDEX($B$18:$GQ$18,MATCH(103,$B$29:$GQ$29,0))</f>
        <v/>
      </c>
      <c r="DA4">
        <f>INDEX($B$18:$GQ$18,MATCH(104,$B$29:$GQ$29,0))</f>
        <v/>
      </c>
      <c r="DB4">
        <f>INDEX($B$18:$GQ$18,MATCH(105,$B$29:$GQ$29,0))</f>
        <v/>
      </c>
      <c r="DC4">
        <f>INDEX($B$18:$GQ$18,MATCH(106,$B$29:$GQ$29,0))</f>
        <v/>
      </c>
      <c r="DD4">
        <f>INDEX($B$18:$GQ$18,MATCH(107,$B$29:$GQ$29,0))</f>
        <v/>
      </c>
      <c r="DE4">
        <f>INDEX($B$18:$GQ$18,MATCH(108,$B$29:$GQ$29,0))</f>
        <v/>
      </c>
      <c r="DF4">
        <f>INDEX($B$18:$GQ$18,MATCH(109,$B$29:$GQ$29,0))</f>
        <v/>
      </c>
      <c r="DG4">
        <f>INDEX($B$18:$GQ$18,MATCH(110,$B$29:$GQ$29,0))</f>
        <v/>
      </c>
      <c r="DH4">
        <f>INDEX($B$18:$GQ$18,MATCH(111,$B$29:$GQ$29,0))</f>
        <v/>
      </c>
      <c r="DI4">
        <f>INDEX($B$18:$GQ$18,MATCH(112,$B$29:$GQ$29,0))</f>
        <v/>
      </c>
      <c r="DJ4">
        <f>INDEX($B$18:$GQ$18,MATCH(113,$B$29:$GQ$29,0))</f>
        <v/>
      </c>
      <c r="DK4">
        <f>INDEX($B$18:$GQ$18,MATCH(114,$B$29:$GQ$29,0))</f>
        <v/>
      </c>
      <c r="DL4">
        <f>INDEX($B$18:$GQ$18,MATCH(115,$B$29:$GQ$29,0))</f>
        <v/>
      </c>
      <c r="DM4">
        <f>INDEX($B$18:$GQ$18,MATCH(116,$B$29:$GQ$29,0))</f>
        <v/>
      </c>
      <c r="DN4">
        <f>INDEX($B$18:$GQ$18,MATCH(117,$B$29:$GQ$29,0))</f>
        <v/>
      </c>
      <c r="DO4">
        <f>INDEX($B$18:$GQ$18,MATCH(118,$B$29:$GQ$29,0))</f>
        <v/>
      </c>
      <c r="DP4">
        <f>INDEX($B$18:$GQ$18,MATCH(119,$B$29:$GQ$29,0))</f>
        <v/>
      </c>
      <c r="DQ4">
        <f>INDEX($B$18:$GQ$18,MATCH(120,$B$29:$GQ$29,0))</f>
        <v/>
      </c>
      <c r="DR4">
        <f>INDEX($B$18:$GQ$18,MATCH(121,$B$29:$GQ$29,0))</f>
        <v/>
      </c>
      <c r="DS4">
        <f>INDEX($B$18:$GQ$18,MATCH(122,$B$29:$GQ$29,0))</f>
        <v/>
      </c>
      <c r="DT4">
        <f>INDEX($B$18:$GQ$18,MATCH(123,$B$29:$GQ$29,0))</f>
        <v/>
      </c>
      <c r="DU4">
        <f>INDEX($B$18:$GQ$18,MATCH(124,$B$29:$GQ$29,0))</f>
        <v/>
      </c>
      <c r="DV4">
        <f>INDEX($B$18:$GQ$18,MATCH(125,$B$29:$GQ$29,0))</f>
        <v/>
      </c>
      <c r="DW4">
        <f>INDEX($B$18:$GQ$18,MATCH(126,$B$29:$GQ$29,0))</f>
        <v/>
      </c>
      <c r="DX4">
        <f>INDEX($B$18:$GQ$18,MATCH(127,$B$29:$GQ$29,0))</f>
        <v/>
      </c>
      <c r="DY4">
        <f>INDEX($B$18:$GQ$18,MATCH(128,$B$29:$GQ$29,0))</f>
        <v/>
      </c>
      <c r="DZ4">
        <f>INDEX($B$18:$GQ$18,MATCH(129,$B$29:$GQ$29,0))</f>
        <v/>
      </c>
      <c r="EA4">
        <f>INDEX($B$18:$GQ$18,MATCH(130,$B$29:$GQ$29,0))</f>
        <v/>
      </c>
      <c r="EB4">
        <f>INDEX($B$18:$GQ$18,MATCH(131,$B$29:$GQ$29,0))</f>
        <v/>
      </c>
      <c r="EC4">
        <f>INDEX($B$18:$GQ$18,MATCH(132,$B$29:$GQ$29,0))</f>
        <v/>
      </c>
      <c r="ED4">
        <f>INDEX($B$18:$GQ$18,MATCH(133,$B$29:$GQ$29,0))</f>
        <v/>
      </c>
      <c r="EE4">
        <f>INDEX($B$18:$GQ$18,MATCH(134,$B$29:$GQ$29,0))</f>
        <v/>
      </c>
      <c r="EF4">
        <f>INDEX($B$18:$GQ$18,MATCH(135,$B$29:$GQ$29,0))</f>
        <v/>
      </c>
      <c r="EG4">
        <f>INDEX($B$18:$GQ$18,MATCH(136,$B$29:$GQ$29,0))</f>
        <v/>
      </c>
      <c r="EH4">
        <f>INDEX($B$18:$GQ$18,MATCH(137,$B$29:$GQ$29,0))</f>
        <v/>
      </c>
      <c r="EI4">
        <f>INDEX($B$18:$GQ$18,MATCH(138,$B$29:$GQ$29,0))</f>
        <v/>
      </c>
      <c r="EJ4">
        <f>INDEX($B$18:$GQ$18,MATCH(139,$B$29:$GQ$29,0))</f>
        <v/>
      </c>
      <c r="EK4">
        <f>INDEX($B$18:$GQ$18,MATCH(140,$B$29:$GQ$29,0))</f>
        <v/>
      </c>
      <c r="EL4">
        <f>INDEX($B$18:$GQ$18,MATCH(141,$B$29:$GQ$29,0))</f>
        <v/>
      </c>
      <c r="EM4">
        <f>INDEX($B$18:$GQ$18,MATCH(142,$B$29:$GQ$29,0))</f>
        <v/>
      </c>
      <c r="EN4">
        <f>INDEX($B$18:$GQ$18,MATCH(143,$B$29:$GQ$29,0))</f>
        <v/>
      </c>
      <c r="EO4">
        <f>INDEX($B$18:$GQ$18,MATCH(144,$B$29:$GQ$29,0))</f>
        <v/>
      </c>
      <c r="EP4">
        <f>INDEX($B$18:$GQ$18,MATCH(145,$B$29:$GQ$29,0))</f>
        <v/>
      </c>
      <c r="EQ4">
        <f>INDEX($B$18:$GQ$18,MATCH(146,$B$29:$GQ$29,0))</f>
        <v/>
      </c>
      <c r="ER4">
        <f>INDEX($B$18:$GQ$18,MATCH(147,$B$29:$GQ$29,0))</f>
        <v/>
      </c>
      <c r="ES4">
        <f>INDEX($B$18:$GQ$18,MATCH(148,$B$29:$GQ$29,0))</f>
        <v/>
      </c>
      <c r="ET4">
        <f>INDEX($B$18:$GQ$18,MATCH(149,$B$29:$GQ$29,0))</f>
        <v/>
      </c>
      <c r="EU4">
        <f>INDEX($B$18:$GQ$18,MATCH(150,$B$29:$GQ$29,0))</f>
        <v/>
      </c>
      <c r="EV4">
        <f>INDEX($B$18:$GQ$18,MATCH(151,$B$29:$GQ$29,0))</f>
        <v/>
      </c>
      <c r="EW4">
        <f>INDEX($B$18:$GQ$18,MATCH(152,$B$29:$GQ$29,0))</f>
        <v/>
      </c>
      <c r="EX4">
        <f>INDEX($B$18:$GQ$18,MATCH(153,$B$29:$GQ$29,0))</f>
        <v/>
      </c>
      <c r="EY4">
        <f>INDEX($B$18:$GQ$18,MATCH(154,$B$29:$GQ$29,0))</f>
        <v/>
      </c>
      <c r="EZ4">
        <f>INDEX($B$18:$GQ$18,MATCH(155,$B$29:$GQ$29,0))</f>
        <v/>
      </c>
      <c r="FA4">
        <f>INDEX($B$18:$GQ$18,MATCH(156,$B$29:$GQ$29,0))</f>
        <v/>
      </c>
      <c r="FB4">
        <f>INDEX($B$18:$GQ$18,MATCH(157,$B$29:$GQ$29,0))</f>
        <v/>
      </c>
      <c r="FC4">
        <f>INDEX($B$18:$GQ$18,MATCH(158,$B$29:$GQ$29,0))</f>
        <v/>
      </c>
      <c r="FD4">
        <f>INDEX($B$18:$GQ$18,MATCH(159,$B$29:$GQ$29,0))</f>
        <v/>
      </c>
      <c r="FE4">
        <f>INDEX($B$18:$GQ$18,MATCH(160,$B$29:$GQ$29,0))</f>
        <v/>
      </c>
      <c r="FF4">
        <f>INDEX($B$18:$GQ$18,MATCH(161,$B$29:$GQ$29,0))</f>
        <v/>
      </c>
      <c r="FG4">
        <f>INDEX($B$18:$GQ$18,MATCH(162,$B$29:$GQ$29,0))</f>
        <v/>
      </c>
      <c r="FH4">
        <f>INDEX($B$18:$GQ$18,MATCH(163,$B$29:$GQ$29,0))</f>
        <v/>
      </c>
      <c r="FI4">
        <f>INDEX($B$18:$GQ$18,MATCH(164,$B$29:$GQ$29,0))</f>
        <v/>
      </c>
      <c r="FJ4">
        <f>INDEX($B$18:$GQ$18,MATCH(165,$B$29:$GQ$29,0))</f>
        <v/>
      </c>
      <c r="FK4">
        <f>INDEX($B$18:$GQ$18,MATCH(166,$B$29:$GQ$29,0))</f>
        <v/>
      </c>
      <c r="FL4">
        <f>INDEX($B$18:$GQ$18,MATCH(167,$B$29:$GQ$29,0))</f>
        <v/>
      </c>
      <c r="FM4">
        <f>INDEX($B$18:$GQ$18,MATCH(168,$B$29:$GQ$29,0))</f>
        <v/>
      </c>
      <c r="FN4">
        <f>INDEX($B$18:$GQ$18,MATCH(169,$B$29:$GQ$29,0))</f>
        <v/>
      </c>
      <c r="FO4">
        <f>INDEX($B$18:$GQ$18,MATCH(170,$B$29:$GQ$29,0))</f>
        <v/>
      </c>
      <c r="FP4">
        <f>INDEX($B$18:$GQ$18,MATCH(171,$B$29:$GQ$29,0))</f>
        <v/>
      </c>
      <c r="FQ4">
        <f>INDEX($B$18:$GQ$18,MATCH(172,$B$29:$GQ$29,0))</f>
        <v/>
      </c>
      <c r="FR4">
        <f>INDEX($B$18:$GQ$18,MATCH(173,$B$29:$GQ$29,0))</f>
        <v/>
      </c>
      <c r="FS4">
        <f>INDEX($B$18:$GQ$18,MATCH(174,$B$29:$GQ$29,0))</f>
        <v/>
      </c>
      <c r="FT4">
        <f>INDEX($B$18:$GQ$18,MATCH(175,$B$29:$GQ$29,0))</f>
        <v/>
      </c>
      <c r="FU4">
        <f>INDEX($B$18:$GQ$18,MATCH(176,$B$29:$GQ$29,0))</f>
        <v/>
      </c>
      <c r="FV4">
        <f>INDEX($B$18:$GQ$18,MATCH(177,$B$29:$GQ$29,0))</f>
        <v/>
      </c>
      <c r="FW4">
        <f>INDEX($B$18:$GQ$18,MATCH(178,$B$29:$GQ$29,0))</f>
        <v/>
      </c>
      <c r="FX4">
        <f>INDEX($B$18:$GQ$18,MATCH(179,$B$29:$GQ$29,0))</f>
        <v/>
      </c>
      <c r="FY4">
        <f>INDEX($B$18:$GQ$18,MATCH(180,$B$29:$GQ$29,0))</f>
        <v/>
      </c>
      <c r="FZ4">
        <f>INDEX($B$18:$GQ$18,MATCH(181,$B$29:$GQ$29,0))</f>
        <v/>
      </c>
      <c r="GA4">
        <f>INDEX($B$18:$GQ$18,MATCH(182,$B$29:$GQ$29,0))</f>
        <v/>
      </c>
      <c r="GB4">
        <f>INDEX($B$18:$GQ$18,MATCH(183,$B$29:$GQ$29,0))</f>
        <v/>
      </c>
      <c r="GC4">
        <f>INDEX($B$18:$GQ$18,MATCH(184,$B$29:$GQ$29,0))</f>
        <v/>
      </c>
      <c r="GD4">
        <f>INDEX($B$18:$GQ$18,MATCH(185,$B$29:$GQ$29,0))</f>
        <v/>
      </c>
      <c r="GE4">
        <f>INDEX($B$18:$GQ$18,MATCH(186,$B$29:$GQ$29,0))</f>
        <v/>
      </c>
      <c r="GF4">
        <f>INDEX($B$18:$GQ$18,MATCH(187,$B$29:$GQ$29,0))</f>
        <v/>
      </c>
      <c r="GG4">
        <f>INDEX($B$18:$GQ$18,MATCH(188,$B$29:$GQ$29,0))</f>
        <v/>
      </c>
      <c r="GH4">
        <f>INDEX($B$18:$GQ$18,MATCH(189,$B$29:$GQ$29,0))</f>
        <v/>
      </c>
      <c r="GI4">
        <f>INDEX($B$18:$GQ$18,MATCH(190,$B$29:$GQ$29,0))</f>
        <v/>
      </c>
      <c r="GJ4">
        <f>INDEX($B$18:$GQ$18,MATCH(191,$B$29:$GQ$29,0))</f>
        <v/>
      </c>
      <c r="GK4">
        <f>INDEX($B$18:$GQ$18,MATCH(192,$B$29:$GQ$29,0))</f>
        <v/>
      </c>
      <c r="GL4">
        <f>INDEX($B$18:$GQ$18,MATCH(193,$B$29:$GQ$29,0))</f>
        <v/>
      </c>
      <c r="GM4">
        <f>INDEX($B$18:$GQ$18,MATCH(194,$B$29:$GQ$29,0))</f>
        <v/>
      </c>
      <c r="GN4">
        <f>INDEX($B$18:$GQ$18,MATCH(195,$B$29:$GQ$29,0))</f>
        <v/>
      </c>
      <c r="GO4">
        <f>INDEX($B$18:$GQ$18,MATCH(196,$B$29:$GQ$29,0))</f>
        <v/>
      </c>
      <c r="GP4">
        <f>INDEX($B$18:$GQ$18,MATCH(197,$B$29:$GQ$29,0))</f>
        <v/>
      </c>
      <c r="GQ4">
        <f>INDEX($B$18:$GQ$18,MATCH(198,$B$29:$GQ$29,0))</f>
        <v/>
      </c>
      <c r="GR4">
        <f>INDEX($GR$18:$HC$18,MATCH(1,$GR$30:$HC$30,0))</f>
        <v/>
      </c>
      <c r="GS4">
        <f>INDEX($GR$18:$HC$18,MATCH(2,$GR$30:$HC$30,0))</f>
        <v/>
      </c>
      <c r="GT4">
        <f>INDEX($GR$18:$HC$18,MATCH(3,$GR$30:$HC$30,0))</f>
        <v/>
      </c>
      <c r="GU4">
        <f>INDEX($GR$18:$HC$18,MATCH(4,$GR$30:$HC$30,0))</f>
        <v/>
      </c>
      <c r="GV4">
        <f>INDEX($GR$18:$HC$18,MATCH(5,$GR$30:$HC$30,0))</f>
        <v/>
      </c>
      <c r="GW4">
        <f>INDEX($GR$18:$HC$18,MATCH(6,$GR$30:$HC$30,0))</f>
        <v/>
      </c>
      <c r="GX4">
        <f>INDEX($GR$18:$HC$18,MATCH(7,$GR$30:$HC$30,0))</f>
        <v/>
      </c>
      <c r="GY4">
        <f>INDEX($GR$18:$HC$18,MATCH(8,$GR$30:$HC$30,0))</f>
        <v/>
      </c>
      <c r="GZ4">
        <f>INDEX($GR$18:$HC$18,MATCH(9,$GR$30:$HC$30,0))</f>
        <v/>
      </c>
      <c r="HA4">
        <f>INDEX($GR$18:$HC$18,MATCH(10,$GR$30:$HC$30,0))</f>
        <v/>
      </c>
      <c r="HB4">
        <f>INDEX($GR$18:$HC$18,MATCH(11,$GR$30:$HC$30,0))</f>
        <v/>
      </c>
      <c r="HC4">
        <f>INDEX($GR$18:$HC$18,MATCH(12,$GR$30:$HC$30,0))</f>
        <v/>
      </c>
    </row>
    <row r="5">
      <c r="A5" s="1" t="inlineStr">
        <is>
          <t>M_dom</t>
        </is>
      </c>
      <c r="B5">
        <f>INDEX($B$19:$GQ$19,MATCH(1,$B$29:$GQ$29,0))</f>
        <v/>
      </c>
      <c r="C5">
        <f>INDEX($B$19:$GQ$19,MATCH(2,$B$29:$GQ$29,0))</f>
        <v/>
      </c>
      <c r="D5">
        <f>INDEX($B$19:$GQ$19,MATCH(3,$B$29:$GQ$29,0))</f>
        <v/>
      </c>
      <c r="E5">
        <f>INDEX($B$19:$GQ$19,MATCH(4,$B$29:$GQ$29,0))</f>
        <v/>
      </c>
      <c r="F5">
        <f>INDEX($B$19:$GQ$19,MATCH(5,$B$29:$GQ$29,0))</f>
        <v/>
      </c>
      <c r="G5">
        <f>INDEX($B$19:$GQ$19,MATCH(6,$B$29:$GQ$29,0))</f>
        <v/>
      </c>
      <c r="H5">
        <f>INDEX($B$19:$GQ$19,MATCH(7,$B$29:$GQ$29,0))</f>
        <v/>
      </c>
      <c r="I5">
        <f>INDEX($B$19:$GQ$19,MATCH(8,$B$29:$GQ$29,0))</f>
        <v/>
      </c>
      <c r="J5">
        <f>INDEX($B$19:$GQ$19,MATCH(9,$B$29:$GQ$29,0))</f>
        <v/>
      </c>
      <c r="K5">
        <f>INDEX($B$19:$GQ$19,MATCH(10,$B$29:$GQ$29,0))</f>
        <v/>
      </c>
      <c r="L5">
        <f>INDEX($B$19:$GQ$19,MATCH(11,$B$29:$GQ$29,0))</f>
        <v/>
      </c>
      <c r="M5">
        <f>INDEX($B$19:$GQ$19,MATCH(12,$B$29:$GQ$29,0))</f>
        <v/>
      </c>
      <c r="N5">
        <f>INDEX($B$19:$GQ$19,MATCH(13,$B$29:$GQ$29,0))</f>
        <v/>
      </c>
      <c r="O5">
        <f>INDEX($B$19:$GQ$19,MATCH(14,$B$29:$GQ$29,0))</f>
        <v/>
      </c>
      <c r="P5">
        <f>INDEX($B$19:$GQ$19,MATCH(15,$B$29:$GQ$29,0))</f>
        <v/>
      </c>
      <c r="Q5">
        <f>INDEX($B$19:$GQ$19,MATCH(16,$B$29:$GQ$29,0))</f>
        <v/>
      </c>
      <c r="R5">
        <f>INDEX($B$19:$GQ$19,MATCH(17,$B$29:$GQ$29,0))</f>
        <v/>
      </c>
      <c r="S5">
        <f>INDEX($B$19:$GQ$19,MATCH(18,$B$29:$GQ$29,0))</f>
        <v/>
      </c>
      <c r="T5">
        <f>INDEX($B$19:$GQ$19,MATCH(19,$B$29:$GQ$29,0))</f>
        <v/>
      </c>
      <c r="U5">
        <f>INDEX($B$19:$GQ$19,MATCH(20,$B$29:$GQ$29,0))</f>
        <v/>
      </c>
      <c r="V5">
        <f>INDEX($B$19:$GQ$19,MATCH(21,$B$29:$GQ$29,0))</f>
        <v/>
      </c>
      <c r="W5">
        <f>INDEX($B$19:$GQ$19,MATCH(22,$B$29:$GQ$29,0))</f>
        <v/>
      </c>
      <c r="X5">
        <f>INDEX($B$19:$GQ$19,MATCH(23,$B$29:$GQ$29,0))</f>
        <v/>
      </c>
      <c r="Y5">
        <f>INDEX($B$19:$GQ$19,MATCH(24,$B$29:$GQ$29,0))</f>
        <v/>
      </c>
      <c r="Z5">
        <f>INDEX($B$19:$GQ$19,MATCH(25,$B$29:$GQ$29,0))</f>
        <v/>
      </c>
      <c r="AA5">
        <f>INDEX($B$19:$GQ$19,MATCH(26,$B$29:$GQ$29,0))</f>
        <v/>
      </c>
      <c r="AB5">
        <f>INDEX($B$19:$GQ$19,MATCH(27,$B$29:$GQ$29,0))</f>
        <v/>
      </c>
      <c r="AC5">
        <f>INDEX($B$19:$GQ$19,MATCH(28,$B$29:$GQ$29,0))</f>
        <v/>
      </c>
      <c r="AD5">
        <f>INDEX($B$19:$GQ$19,MATCH(29,$B$29:$GQ$29,0))</f>
        <v/>
      </c>
      <c r="AE5">
        <f>INDEX($B$19:$GQ$19,MATCH(30,$B$29:$GQ$29,0))</f>
        <v/>
      </c>
      <c r="AF5">
        <f>INDEX($B$19:$GQ$19,MATCH(31,$B$29:$GQ$29,0))</f>
        <v/>
      </c>
      <c r="AG5">
        <f>INDEX($B$19:$GQ$19,MATCH(32,$B$29:$GQ$29,0))</f>
        <v/>
      </c>
      <c r="AH5">
        <f>INDEX($B$19:$GQ$19,MATCH(33,$B$29:$GQ$29,0))</f>
        <v/>
      </c>
      <c r="AI5">
        <f>INDEX($B$19:$GQ$19,MATCH(34,$B$29:$GQ$29,0))</f>
        <v/>
      </c>
      <c r="AJ5">
        <f>INDEX($B$19:$GQ$19,MATCH(35,$B$29:$GQ$29,0))</f>
        <v/>
      </c>
      <c r="AK5">
        <f>INDEX($B$19:$GQ$19,MATCH(36,$B$29:$GQ$29,0))</f>
        <v/>
      </c>
      <c r="AL5">
        <f>INDEX($B$19:$GQ$19,MATCH(37,$B$29:$GQ$29,0))</f>
        <v/>
      </c>
      <c r="AM5">
        <f>INDEX($B$19:$GQ$19,MATCH(38,$B$29:$GQ$29,0))</f>
        <v/>
      </c>
      <c r="AN5">
        <f>INDEX($B$19:$GQ$19,MATCH(39,$B$29:$GQ$29,0))</f>
        <v/>
      </c>
      <c r="AO5">
        <f>INDEX($B$19:$GQ$19,MATCH(40,$B$29:$GQ$29,0))</f>
        <v/>
      </c>
      <c r="AP5">
        <f>INDEX($B$19:$GQ$19,MATCH(41,$B$29:$GQ$29,0))</f>
        <v/>
      </c>
      <c r="AQ5">
        <f>INDEX($B$19:$GQ$19,MATCH(42,$B$29:$GQ$29,0))</f>
        <v/>
      </c>
      <c r="AR5">
        <f>INDEX($B$19:$GQ$19,MATCH(43,$B$29:$GQ$29,0))</f>
        <v/>
      </c>
      <c r="AS5">
        <f>INDEX($B$19:$GQ$19,MATCH(44,$B$29:$GQ$29,0))</f>
        <v/>
      </c>
      <c r="AT5">
        <f>INDEX($B$19:$GQ$19,MATCH(45,$B$29:$GQ$29,0))</f>
        <v/>
      </c>
      <c r="AU5">
        <f>INDEX($B$19:$GQ$19,MATCH(46,$B$29:$GQ$29,0))</f>
        <v/>
      </c>
      <c r="AV5">
        <f>INDEX($B$19:$GQ$19,MATCH(47,$B$29:$GQ$29,0))</f>
        <v/>
      </c>
      <c r="AW5">
        <f>INDEX($B$19:$GQ$19,MATCH(48,$B$29:$GQ$29,0))</f>
        <v/>
      </c>
      <c r="AX5">
        <f>INDEX($B$19:$GQ$19,MATCH(49,$B$29:$GQ$29,0))</f>
        <v/>
      </c>
      <c r="AY5">
        <f>INDEX($B$19:$GQ$19,MATCH(50,$B$29:$GQ$29,0))</f>
        <v/>
      </c>
      <c r="AZ5">
        <f>INDEX($B$19:$GQ$19,MATCH(51,$B$29:$GQ$29,0))</f>
        <v/>
      </c>
      <c r="BA5">
        <f>INDEX($B$19:$GQ$19,MATCH(52,$B$29:$GQ$29,0))</f>
        <v/>
      </c>
      <c r="BB5">
        <f>INDEX($B$19:$GQ$19,MATCH(53,$B$29:$GQ$29,0))</f>
        <v/>
      </c>
      <c r="BC5">
        <f>INDEX($B$19:$GQ$19,MATCH(54,$B$29:$GQ$29,0))</f>
        <v/>
      </c>
      <c r="BD5">
        <f>INDEX($B$19:$GQ$19,MATCH(55,$B$29:$GQ$29,0))</f>
        <v/>
      </c>
      <c r="BE5">
        <f>INDEX($B$19:$GQ$19,MATCH(56,$B$29:$GQ$29,0))</f>
        <v/>
      </c>
      <c r="BF5">
        <f>INDEX($B$19:$GQ$19,MATCH(57,$B$29:$GQ$29,0))</f>
        <v/>
      </c>
      <c r="BG5">
        <f>INDEX($B$19:$GQ$19,MATCH(58,$B$29:$GQ$29,0))</f>
        <v/>
      </c>
      <c r="BH5">
        <f>INDEX($B$19:$GQ$19,MATCH(59,$B$29:$GQ$29,0))</f>
        <v/>
      </c>
      <c r="BI5">
        <f>INDEX($B$19:$GQ$19,MATCH(60,$B$29:$GQ$29,0))</f>
        <v/>
      </c>
      <c r="BJ5">
        <f>INDEX($B$19:$GQ$19,MATCH(61,$B$29:$GQ$29,0))</f>
        <v/>
      </c>
      <c r="BK5">
        <f>INDEX($B$19:$GQ$19,MATCH(62,$B$29:$GQ$29,0))</f>
        <v/>
      </c>
      <c r="BL5">
        <f>INDEX($B$19:$GQ$19,MATCH(63,$B$29:$GQ$29,0))</f>
        <v/>
      </c>
      <c r="BM5">
        <f>INDEX($B$19:$GQ$19,MATCH(64,$B$29:$GQ$29,0))</f>
        <v/>
      </c>
      <c r="BN5">
        <f>INDEX($B$19:$GQ$19,MATCH(65,$B$29:$GQ$29,0))</f>
        <v/>
      </c>
      <c r="BO5">
        <f>INDEX($B$19:$GQ$19,MATCH(66,$B$29:$GQ$29,0))</f>
        <v/>
      </c>
      <c r="BP5">
        <f>INDEX($B$19:$GQ$19,MATCH(67,$B$29:$GQ$29,0))</f>
        <v/>
      </c>
      <c r="BQ5">
        <f>INDEX($B$19:$GQ$19,MATCH(68,$B$29:$GQ$29,0))</f>
        <v/>
      </c>
      <c r="BR5">
        <f>INDEX($B$19:$GQ$19,MATCH(69,$B$29:$GQ$29,0))</f>
        <v/>
      </c>
      <c r="BS5">
        <f>INDEX($B$19:$GQ$19,MATCH(70,$B$29:$GQ$29,0))</f>
        <v/>
      </c>
      <c r="BT5">
        <f>INDEX($B$19:$GQ$19,MATCH(71,$B$29:$GQ$29,0))</f>
        <v/>
      </c>
      <c r="BU5">
        <f>INDEX($B$19:$GQ$19,MATCH(72,$B$29:$GQ$29,0))</f>
        <v/>
      </c>
      <c r="BV5">
        <f>INDEX($B$19:$GQ$19,MATCH(73,$B$29:$GQ$29,0))</f>
        <v/>
      </c>
      <c r="BW5">
        <f>INDEX($B$19:$GQ$19,MATCH(74,$B$29:$GQ$29,0))</f>
        <v/>
      </c>
      <c r="BX5">
        <f>INDEX($B$19:$GQ$19,MATCH(75,$B$29:$GQ$29,0))</f>
        <v/>
      </c>
      <c r="BY5">
        <f>INDEX($B$19:$GQ$19,MATCH(76,$B$29:$GQ$29,0))</f>
        <v/>
      </c>
      <c r="BZ5">
        <f>INDEX($B$19:$GQ$19,MATCH(77,$B$29:$GQ$29,0))</f>
        <v/>
      </c>
      <c r="CA5">
        <f>INDEX($B$19:$GQ$19,MATCH(78,$B$29:$GQ$29,0))</f>
        <v/>
      </c>
      <c r="CB5">
        <f>INDEX($B$19:$GQ$19,MATCH(79,$B$29:$GQ$29,0))</f>
        <v/>
      </c>
      <c r="CC5">
        <f>INDEX($B$19:$GQ$19,MATCH(80,$B$29:$GQ$29,0))</f>
        <v/>
      </c>
      <c r="CD5">
        <f>INDEX($B$19:$GQ$19,MATCH(81,$B$29:$GQ$29,0))</f>
        <v/>
      </c>
      <c r="CE5">
        <f>INDEX($B$19:$GQ$19,MATCH(82,$B$29:$GQ$29,0))</f>
        <v/>
      </c>
      <c r="CF5">
        <f>INDEX($B$19:$GQ$19,MATCH(83,$B$29:$GQ$29,0))</f>
        <v/>
      </c>
      <c r="CG5">
        <f>INDEX($B$19:$GQ$19,MATCH(84,$B$29:$GQ$29,0))</f>
        <v/>
      </c>
      <c r="CH5">
        <f>INDEX($B$19:$GQ$19,MATCH(85,$B$29:$GQ$29,0))</f>
        <v/>
      </c>
      <c r="CI5">
        <f>INDEX($B$19:$GQ$19,MATCH(86,$B$29:$GQ$29,0))</f>
        <v/>
      </c>
      <c r="CJ5">
        <f>INDEX($B$19:$GQ$19,MATCH(87,$B$29:$GQ$29,0))</f>
        <v/>
      </c>
      <c r="CK5">
        <f>INDEX($B$19:$GQ$19,MATCH(88,$B$29:$GQ$29,0))</f>
        <v/>
      </c>
      <c r="CL5">
        <f>INDEX($B$19:$GQ$19,MATCH(89,$B$29:$GQ$29,0))</f>
        <v/>
      </c>
      <c r="CM5">
        <f>INDEX($B$19:$GQ$19,MATCH(90,$B$29:$GQ$29,0))</f>
        <v/>
      </c>
      <c r="CN5">
        <f>INDEX($B$19:$GQ$19,MATCH(91,$B$29:$GQ$29,0))</f>
        <v/>
      </c>
      <c r="CO5">
        <f>INDEX($B$19:$GQ$19,MATCH(92,$B$29:$GQ$29,0))</f>
        <v/>
      </c>
      <c r="CP5">
        <f>INDEX($B$19:$GQ$19,MATCH(93,$B$29:$GQ$29,0))</f>
        <v/>
      </c>
      <c r="CQ5">
        <f>INDEX($B$19:$GQ$19,MATCH(94,$B$29:$GQ$29,0))</f>
        <v/>
      </c>
      <c r="CR5">
        <f>INDEX($B$19:$GQ$19,MATCH(95,$B$29:$GQ$29,0))</f>
        <v/>
      </c>
      <c r="CS5">
        <f>INDEX($B$19:$GQ$19,MATCH(96,$B$29:$GQ$29,0))</f>
        <v/>
      </c>
      <c r="CT5">
        <f>INDEX($B$19:$GQ$19,MATCH(97,$B$29:$GQ$29,0))</f>
        <v/>
      </c>
      <c r="CU5">
        <f>INDEX($B$19:$GQ$19,MATCH(98,$B$29:$GQ$29,0))</f>
        <v/>
      </c>
      <c r="CV5">
        <f>INDEX($B$19:$GQ$19,MATCH(99,$B$29:$GQ$29,0))</f>
        <v/>
      </c>
      <c r="CW5">
        <f>INDEX($B$19:$GQ$19,MATCH(100,$B$29:$GQ$29,0))</f>
        <v/>
      </c>
      <c r="CX5">
        <f>INDEX($B$19:$GQ$19,MATCH(101,$B$29:$GQ$29,0))</f>
        <v/>
      </c>
      <c r="CY5">
        <f>INDEX($B$19:$GQ$19,MATCH(102,$B$29:$GQ$29,0))</f>
        <v/>
      </c>
      <c r="CZ5">
        <f>INDEX($B$19:$GQ$19,MATCH(103,$B$29:$GQ$29,0))</f>
        <v/>
      </c>
      <c r="DA5">
        <f>INDEX($B$19:$GQ$19,MATCH(104,$B$29:$GQ$29,0))</f>
        <v/>
      </c>
      <c r="DB5">
        <f>INDEX($B$19:$GQ$19,MATCH(105,$B$29:$GQ$29,0))</f>
        <v/>
      </c>
      <c r="DC5">
        <f>INDEX($B$19:$GQ$19,MATCH(106,$B$29:$GQ$29,0))</f>
        <v/>
      </c>
      <c r="DD5">
        <f>INDEX($B$19:$GQ$19,MATCH(107,$B$29:$GQ$29,0))</f>
        <v/>
      </c>
      <c r="DE5">
        <f>INDEX($B$19:$GQ$19,MATCH(108,$B$29:$GQ$29,0))</f>
        <v/>
      </c>
      <c r="DF5">
        <f>INDEX($B$19:$GQ$19,MATCH(109,$B$29:$GQ$29,0))</f>
        <v/>
      </c>
      <c r="DG5">
        <f>INDEX($B$19:$GQ$19,MATCH(110,$B$29:$GQ$29,0))</f>
        <v/>
      </c>
      <c r="DH5">
        <f>INDEX($B$19:$GQ$19,MATCH(111,$B$29:$GQ$29,0))</f>
        <v/>
      </c>
      <c r="DI5">
        <f>INDEX($B$19:$GQ$19,MATCH(112,$B$29:$GQ$29,0))</f>
        <v/>
      </c>
      <c r="DJ5">
        <f>INDEX($B$19:$GQ$19,MATCH(113,$B$29:$GQ$29,0))</f>
        <v/>
      </c>
      <c r="DK5">
        <f>INDEX($B$19:$GQ$19,MATCH(114,$B$29:$GQ$29,0))</f>
        <v/>
      </c>
      <c r="DL5">
        <f>INDEX($B$19:$GQ$19,MATCH(115,$B$29:$GQ$29,0))</f>
        <v/>
      </c>
      <c r="DM5">
        <f>INDEX($B$19:$GQ$19,MATCH(116,$B$29:$GQ$29,0))</f>
        <v/>
      </c>
      <c r="DN5">
        <f>INDEX($B$19:$GQ$19,MATCH(117,$B$29:$GQ$29,0))</f>
        <v/>
      </c>
      <c r="DO5">
        <f>INDEX($B$19:$GQ$19,MATCH(118,$B$29:$GQ$29,0))</f>
        <v/>
      </c>
      <c r="DP5">
        <f>INDEX($B$19:$GQ$19,MATCH(119,$B$29:$GQ$29,0))</f>
        <v/>
      </c>
      <c r="DQ5">
        <f>INDEX($B$19:$GQ$19,MATCH(120,$B$29:$GQ$29,0))</f>
        <v/>
      </c>
      <c r="DR5">
        <f>INDEX($B$19:$GQ$19,MATCH(121,$B$29:$GQ$29,0))</f>
        <v/>
      </c>
      <c r="DS5">
        <f>INDEX($B$19:$GQ$19,MATCH(122,$B$29:$GQ$29,0))</f>
        <v/>
      </c>
      <c r="DT5">
        <f>INDEX($B$19:$GQ$19,MATCH(123,$B$29:$GQ$29,0))</f>
        <v/>
      </c>
      <c r="DU5">
        <f>INDEX($B$19:$GQ$19,MATCH(124,$B$29:$GQ$29,0))</f>
        <v/>
      </c>
      <c r="DV5">
        <f>INDEX($B$19:$GQ$19,MATCH(125,$B$29:$GQ$29,0))</f>
        <v/>
      </c>
      <c r="DW5">
        <f>INDEX($B$19:$GQ$19,MATCH(126,$B$29:$GQ$29,0))</f>
        <v/>
      </c>
      <c r="DX5">
        <f>INDEX($B$19:$GQ$19,MATCH(127,$B$29:$GQ$29,0))</f>
        <v/>
      </c>
      <c r="DY5">
        <f>INDEX($B$19:$GQ$19,MATCH(128,$B$29:$GQ$29,0))</f>
        <v/>
      </c>
      <c r="DZ5">
        <f>INDEX($B$19:$GQ$19,MATCH(129,$B$29:$GQ$29,0))</f>
        <v/>
      </c>
      <c r="EA5">
        <f>INDEX($B$19:$GQ$19,MATCH(130,$B$29:$GQ$29,0))</f>
        <v/>
      </c>
      <c r="EB5">
        <f>INDEX($B$19:$GQ$19,MATCH(131,$B$29:$GQ$29,0))</f>
        <v/>
      </c>
      <c r="EC5">
        <f>INDEX($B$19:$GQ$19,MATCH(132,$B$29:$GQ$29,0))</f>
        <v/>
      </c>
      <c r="ED5">
        <f>INDEX($B$19:$GQ$19,MATCH(133,$B$29:$GQ$29,0))</f>
        <v/>
      </c>
      <c r="EE5">
        <f>INDEX($B$19:$GQ$19,MATCH(134,$B$29:$GQ$29,0))</f>
        <v/>
      </c>
      <c r="EF5">
        <f>INDEX($B$19:$GQ$19,MATCH(135,$B$29:$GQ$29,0))</f>
        <v/>
      </c>
      <c r="EG5">
        <f>INDEX($B$19:$GQ$19,MATCH(136,$B$29:$GQ$29,0))</f>
        <v/>
      </c>
      <c r="EH5">
        <f>INDEX($B$19:$GQ$19,MATCH(137,$B$29:$GQ$29,0))</f>
        <v/>
      </c>
      <c r="EI5">
        <f>INDEX($B$19:$GQ$19,MATCH(138,$B$29:$GQ$29,0))</f>
        <v/>
      </c>
      <c r="EJ5">
        <f>INDEX($B$19:$GQ$19,MATCH(139,$B$29:$GQ$29,0))</f>
        <v/>
      </c>
      <c r="EK5">
        <f>INDEX($B$19:$GQ$19,MATCH(140,$B$29:$GQ$29,0))</f>
        <v/>
      </c>
      <c r="EL5">
        <f>INDEX($B$19:$GQ$19,MATCH(141,$B$29:$GQ$29,0))</f>
        <v/>
      </c>
      <c r="EM5">
        <f>INDEX($B$19:$GQ$19,MATCH(142,$B$29:$GQ$29,0))</f>
        <v/>
      </c>
      <c r="EN5">
        <f>INDEX($B$19:$GQ$19,MATCH(143,$B$29:$GQ$29,0))</f>
        <v/>
      </c>
      <c r="EO5">
        <f>INDEX($B$19:$GQ$19,MATCH(144,$B$29:$GQ$29,0))</f>
        <v/>
      </c>
      <c r="EP5">
        <f>INDEX($B$19:$GQ$19,MATCH(145,$B$29:$GQ$29,0))</f>
        <v/>
      </c>
      <c r="EQ5">
        <f>INDEX($B$19:$GQ$19,MATCH(146,$B$29:$GQ$29,0))</f>
        <v/>
      </c>
      <c r="ER5">
        <f>INDEX($B$19:$GQ$19,MATCH(147,$B$29:$GQ$29,0))</f>
        <v/>
      </c>
      <c r="ES5">
        <f>INDEX($B$19:$GQ$19,MATCH(148,$B$29:$GQ$29,0))</f>
        <v/>
      </c>
      <c r="ET5">
        <f>INDEX($B$19:$GQ$19,MATCH(149,$B$29:$GQ$29,0))</f>
        <v/>
      </c>
      <c r="EU5">
        <f>INDEX($B$19:$GQ$19,MATCH(150,$B$29:$GQ$29,0))</f>
        <v/>
      </c>
      <c r="EV5">
        <f>INDEX($B$19:$GQ$19,MATCH(151,$B$29:$GQ$29,0))</f>
        <v/>
      </c>
      <c r="EW5">
        <f>INDEX($B$19:$GQ$19,MATCH(152,$B$29:$GQ$29,0))</f>
        <v/>
      </c>
      <c r="EX5">
        <f>INDEX($B$19:$GQ$19,MATCH(153,$B$29:$GQ$29,0))</f>
        <v/>
      </c>
      <c r="EY5">
        <f>INDEX($B$19:$GQ$19,MATCH(154,$B$29:$GQ$29,0))</f>
        <v/>
      </c>
      <c r="EZ5">
        <f>INDEX($B$19:$GQ$19,MATCH(155,$B$29:$GQ$29,0))</f>
        <v/>
      </c>
      <c r="FA5">
        <f>INDEX($B$19:$GQ$19,MATCH(156,$B$29:$GQ$29,0))</f>
        <v/>
      </c>
      <c r="FB5">
        <f>INDEX($B$19:$GQ$19,MATCH(157,$B$29:$GQ$29,0))</f>
        <v/>
      </c>
      <c r="FC5">
        <f>INDEX($B$19:$GQ$19,MATCH(158,$B$29:$GQ$29,0))</f>
        <v/>
      </c>
      <c r="FD5">
        <f>INDEX($B$19:$GQ$19,MATCH(159,$B$29:$GQ$29,0))</f>
        <v/>
      </c>
      <c r="FE5">
        <f>INDEX($B$19:$GQ$19,MATCH(160,$B$29:$GQ$29,0))</f>
        <v/>
      </c>
      <c r="FF5">
        <f>INDEX($B$19:$GQ$19,MATCH(161,$B$29:$GQ$29,0))</f>
        <v/>
      </c>
      <c r="FG5">
        <f>INDEX($B$19:$GQ$19,MATCH(162,$B$29:$GQ$29,0))</f>
        <v/>
      </c>
      <c r="FH5">
        <f>INDEX($B$19:$GQ$19,MATCH(163,$B$29:$GQ$29,0))</f>
        <v/>
      </c>
      <c r="FI5">
        <f>INDEX($B$19:$GQ$19,MATCH(164,$B$29:$GQ$29,0))</f>
        <v/>
      </c>
      <c r="FJ5">
        <f>INDEX($B$19:$GQ$19,MATCH(165,$B$29:$GQ$29,0))</f>
        <v/>
      </c>
      <c r="FK5">
        <f>INDEX($B$19:$GQ$19,MATCH(166,$B$29:$GQ$29,0))</f>
        <v/>
      </c>
      <c r="FL5">
        <f>INDEX($B$19:$GQ$19,MATCH(167,$B$29:$GQ$29,0))</f>
        <v/>
      </c>
      <c r="FM5">
        <f>INDEX($B$19:$GQ$19,MATCH(168,$B$29:$GQ$29,0))</f>
        <v/>
      </c>
      <c r="FN5">
        <f>INDEX($B$19:$GQ$19,MATCH(169,$B$29:$GQ$29,0))</f>
        <v/>
      </c>
      <c r="FO5">
        <f>INDEX($B$19:$GQ$19,MATCH(170,$B$29:$GQ$29,0))</f>
        <v/>
      </c>
      <c r="FP5">
        <f>INDEX($B$19:$GQ$19,MATCH(171,$B$29:$GQ$29,0))</f>
        <v/>
      </c>
      <c r="FQ5">
        <f>INDEX($B$19:$GQ$19,MATCH(172,$B$29:$GQ$29,0))</f>
        <v/>
      </c>
      <c r="FR5">
        <f>INDEX($B$19:$GQ$19,MATCH(173,$B$29:$GQ$29,0))</f>
        <v/>
      </c>
      <c r="FS5">
        <f>INDEX($B$19:$GQ$19,MATCH(174,$B$29:$GQ$29,0))</f>
        <v/>
      </c>
      <c r="FT5">
        <f>INDEX($B$19:$GQ$19,MATCH(175,$B$29:$GQ$29,0))</f>
        <v/>
      </c>
      <c r="FU5">
        <f>INDEX($B$19:$GQ$19,MATCH(176,$B$29:$GQ$29,0))</f>
        <v/>
      </c>
      <c r="FV5">
        <f>INDEX($B$19:$GQ$19,MATCH(177,$B$29:$GQ$29,0))</f>
        <v/>
      </c>
      <c r="FW5">
        <f>INDEX($B$19:$GQ$19,MATCH(178,$B$29:$GQ$29,0))</f>
        <v/>
      </c>
      <c r="FX5">
        <f>INDEX($B$19:$GQ$19,MATCH(179,$B$29:$GQ$29,0))</f>
        <v/>
      </c>
      <c r="FY5">
        <f>INDEX($B$19:$GQ$19,MATCH(180,$B$29:$GQ$29,0))</f>
        <v/>
      </c>
      <c r="FZ5">
        <f>INDEX($B$19:$GQ$19,MATCH(181,$B$29:$GQ$29,0))</f>
        <v/>
      </c>
      <c r="GA5">
        <f>INDEX($B$19:$GQ$19,MATCH(182,$B$29:$GQ$29,0))</f>
        <v/>
      </c>
      <c r="GB5">
        <f>INDEX($B$19:$GQ$19,MATCH(183,$B$29:$GQ$29,0))</f>
        <v/>
      </c>
      <c r="GC5">
        <f>INDEX($B$19:$GQ$19,MATCH(184,$B$29:$GQ$29,0))</f>
        <v/>
      </c>
      <c r="GD5">
        <f>INDEX($B$19:$GQ$19,MATCH(185,$B$29:$GQ$29,0))</f>
        <v/>
      </c>
      <c r="GE5">
        <f>INDEX($B$19:$GQ$19,MATCH(186,$B$29:$GQ$29,0))</f>
        <v/>
      </c>
      <c r="GF5">
        <f>INDEX($B$19:$GQ$19,MATCH(187,$B$29:$GQ$29,0))</f>
        <v/>
      </c>
      <c r="GG5">
        <f>INDEX($B$19:$GQ$19,MATCH(188,$B$29:$GQ$29,0))</f>
        <v/>
      </c>
      <c r="GH5">
        <f>INDEX($B$19:$GQ$19,MATCH(189,$B$29:$GQ$29,0))</f>
        <v/>
      </c>
      <c r="GI5">
        <f>INDEX($B$19:$GQ$19,MATCH(190,$B$29:$GQ$29,0))</f>
        <v/>
      </c>
      <c r="GJ5">
        <f>INDEX($B$19:$GQ$19,MATCH(191,$B$29:$GQ$29,0))</f>
        <v/>
      </c>
      <c r="GK5">
        <f>INDEX($B$19:$GQ$19,MATCH(192,$B$29:$GQ$29,0))</f>
        <v/>
      </c>
      <c r="GL5">
        <f>INDEX($B$19:$GQ$19,MATCH(193,$B$29:$GQ$29,0))</f>
        <v/>
      </c>
      <c r="GM5">
        <f>INDEX($B$19:$GQ$19,MATCH(194,$B$29:$GQ$29,0))</f>
        <v/>
      </c>
      <c r="GN5">
        <f>INDEX($B$19:$GQ$19,MATCH(195,$B$29:$GQ$29,0))</f>
        <v/>
      </c>
      <c r="GO5">
        <f>INDEX($B$19:$GQ$19,MATCH(196,$B$29:$GQ$29,0))</f>
        <v/>
      </c>
      <c r="GP5">
        <f>INDEX($B$19:$GQ$19,MATCH(197,$B$29:$GQ$29,0))</f>
        <v/>
      </c>
      <c r="GQ5">
        <f>INDEX($B$19:$GQ$19,MATCH(198,$B$29:$GQ$29,0))</f>
        <v/>
      </c>
      <c r="GR5">
        <f>INDEX($GR$19:$HC$19,MATCH(1,$GR$30:$HC$30,0))</f>
        <v/>
      </c>
      <c r="GS5">
        <f>INDEX($GR$19:$HC$19,MATCH(2,$GR$30:$HC$30,0))</f>
        <v/>
      </c>
      <c r="GT5">
        <f>INDEX($GR$19:$HC$19,MATCH(3,$GR$30:$HC$30,0))</f>
        <v/>
      </c>
      <c r="GU5">
        <f>INDEX($GR$19:$HC$19,MATCH(4,$GR$30:$HC$30,0))</f>
        <v/>
      </c>
      <c r="GV5">
        <f>INDEX($GR$19:$HC$19,MATCH(5,$GR$30:$HC$30,0))</f>
        <v/>
      </c>
      <c r="GW5">
        <f>INDEX($GR$19:$HC$19,MATCH(6,$GR$30:$HC$30,0))</f>
        <v/>
      </c>
      <c r="GX5">
        <f>INDEX($GR$19:$HC$19,MATCH(7,$GR$30:$HC$30,0))</f>
        <v/>
      </c>
      <c r="GY5">
        <f>INDEX($GR$19:$HC$19,MATCH(8,$GR$30:$HC$30,0))</f>
        <v/>
      </c>
      <c r="GZ5">
        <f>INDEX($GR$19:$HC$19,MATCH(9,$GR$30:$HC$30,0))</f>
        <v/>
      </c>
      <c r="HA5">
        <f>INDEX($GR$19:$HC$19,MATCH(10,$GR$30:$HC$30,0))</f>
        <v/>
      </c>
      <c r="HB5">
        <f>INDEX($GR$19:$HC$19,MATCH(11,$GR$30:$HC$30,0))</f>
        <v/>
      </c>
      <c r="HC5">
        <f>INDEX($GR$19:$HC$19,MATCH(12,$GR$30:$HC$30,0))</f>
        <v/>
      </c>
    </row>
    <row r="6">
      <c r="A6" s="1" t="inlineStr">
        <is>
          <t>M_row</t>
        </is>
      </c>
      <c r="B6">
        <f>INDEX($B$20:$GQ$20,MATCH(1,$B$29:$GQ$29,0))</f>
        <v/>
      </c>
      <c r="C6">
        <f>INDEX($B$20:$GQ$20,MATCH(2,$B$29:$GQ$29,0))</f>
        <v/>
      </c>
      <c r="D6">
        <f>INDEX($B$20:$GQ$20,MATCH(3,$B$29:$GQ$29,0))</f>
        <v/>
      </c>
      <c r="E6">
        <f>INDEX($B$20:$GQ$20,MATCH(4,$B$29:$GQ$29,0))</f>
        <v/>
      </c>
      <c r="F6">
        <f>INDEX($B$20:$GQ$20,MATCH(5,$B$29:$GQ$29,0))</f>
        <v/>
      </c>
      <c r="G6">
        <f>INDEX($B$20:$GQ$20,MATCH(6,$B$29:$GQ$29,0))</f>
        <v/>
      </c>
      <c r="H6">
        <f>INDEX($B$20:$GQ$20,MATCH(7,$B$29:$GQ$29,0))</f>
        <v/>
      </c>
      <c r="I6">
        <f>INDEX($B$20:$GQ$20,MATCH(8,$B$29:$GQ$29,0))</f>
        <v/>
      </c>
      <c r="J6">
        <f>INDEX($B$20:$GQ$20,MATCH(9,$B$29:$GQ$29,0))</f>
        <v/>
      </c>
      <c r="K6">
        <f>INDEX($B$20:$GQ$20,MATCH(10,$B$29:$GQ$29,0))</f>
        <v/>
      </c>
      <c r="L6">
        <f>INDEX($B$20:$GQ$20,MATCH(11,$B$29:$GQ$29,0))</f>
        <v/>
      </c>
      <c r="M6">
        <f>INDEX($B$20:$GQ$20,MATCH(12,$B$29:$GQ$29,0))</f>
        <v/>
      </c>
      <c r="N6">
        <f>INDEX($B$20:$GQ$20,MATCH(13,$B$29:$GQ$29,0))</f>
        <v/>
      </c>
      <c r="O6">
        <f>INDEX($B$20:$GQ$20,MATCH(14,$B$29:$GQ$29,0))</f>
        <v/>
      </c>
      <c r="P6">
        <f>INDEX($B$20:$GQ$20,MATCH(15,$B$29:$GQ$29,0))</f>
        <v/>
      </c>
      <c r="Q6">
        <f>INDEX($B$20:$GQ$20,MATCH(16,$B$29:$GQ$29,0))</f>
        <v/>
      </c>
      <c r="R6">
        <f>INDEX($B$20:$GQ$20,MATCH(17,$B$29:$GQ$29,0))</f>
        <v/>
      </c>
      <c r="S6">
        <f>INDEX($B$20:$GQ$20,MATCH(18,$B$29:$GQ$29,0))</f>
        <v/>
      </c>
      <c r="T6">
        <f>INDEX($B$20:$GQ$20,MATCH(19,$B$29:$GQ$29,0))</f>
        <v/>
      </c>
      <c r="U6">
        <f>INDEX($B$20:$GQ$20,MATCH(20,$B$29:$GQ$29,0))</f>
        <v/>
      </c>
      <c r="V6">
        <f>INDEX($B$20:$GQ$20,MATCH(21,$B$29:$GQ$29,0))</f>
        <v/>
      </c>
      <c r="W6">
        <f>INDEX($B$20:$GQ$20,MATCH(22,$B$29:$GQ$29,0))</f>
        <v/>
      </c>
      <c r="X6">
        <f>INDEX($B$20:$GQ$20,MATCH(23,$B$29:$GQ$29,0))</f>
        <v/>
      </c>
      <c r="Y6">
        <f>INDEX($B$20:$GQ$20,MATCH(24,$B$29:$GQ$29,0))</f>
        <v/>
      </c>
      <c r="Z6">
        <f>INDEX($B$20:$GQ$20,MATCH(25,$B$29:$GQ$29,0))</f>
        <v/>
      </c>
      <c r="AA6">
        <f>INDEX($B$20:$GQ$20,MATCH(26,$B$29:$GQ$29,0))</f>
        <v/>
      </c>
      <c r="AB6">
        <f>INDEX($B$20:$GQ$20,MATCH(27,$B$29:$GQ$29,0))</f>
        <v/>
      </c>
      <c r="AC6">
        <f>INDEX($B$20:$GQ$20,MATCH(28,$B$29:$GQ$29,0))</f>
        <v/>
      </c>
      <c r="AD6">
        <f>INDEX($B$20:$GQ$20,MATCH(29,$B$29:$GQ$29,0))</f>
        <v/>
      </c>
      <c r="AE6">
        <f>INDEX($B$20:$GQ$20,MATCH(30,$B$29:$GQ$29,0))</f>
        <v/>
      </c>
      <c r="AF6">
        <f>INDEX($B$20:$GQ$20,MATCH(31,$B$29:$GQ$29,0))</f>
        <v/>
      </c>
      <c r="AG6">
        <f>INDEX($B$20:$GQ$20,MATCH(32,$B$29:$GQ$29,0))</f>
        <v/>
      </c>
      <c r="AH6">
        <f>INDEX($B$20:$GQ$20,MATCH(33,$B$29:$GQ$29,0))</f>
        <v/>
      </c>
      <c r="AI6">
        <f>INDEX($B$20:$GQ$20,MATCH(34,$B$29:$GQ$29,0))</f>
        <v/>
      </c>
      <c r="AJ6">
        <f>INDEX($B$20:$GQ$20,MATCH(35,$B$29:$GQ$29,0))</f>
        <v/>
      </c>
      <c r="AK6">
        <f>INDEX($B$20:$GQ$20,MATCH(36,$B$29:$GQ$29,0))</f>
        <v/>
      </c>
      <c r="AL6">
        <f>INDEX($B$20:$GQ$20,MATCH(37,$B$29:$GQ$29,0))</f>
        <v/>
      </c>
      <c r="AM6">
        <f>INDEX($B$20:$GQ$20,MATCH(38,$B$29:$GQ$29,0))</f>
        <v/>
      </c>
      <c r="AN6">
        <f>INDEX($B$20:$GQ$20,MATCH(39,$B$29:$GQ$29,0))</f>
        <v/>
      </c>
      <c r="AO6">
        <f>INDEX($B$20:$GQ$20,MATCH(40,$B$29:$GQ$29,0))</f>
        <v/>
      </c>
      <c r="AP6">
        <f>INDEX($B$20:$GQ$20,MATCH(41,$B$29:$GQ$29,0))</f>
        <v/>
      </c>
      <c r="AQ6">
        <f>INDEX($B$20:$GQ$20,MATCH(42,$B$29:$GQ$29,0))</f>
        <v/>
      </c>
      <c r="AR6">
        <f>INDEX($B$20:$GQ$20,MATCH(43,$B$29:$GQ$29,0))</f>
        <v/>
      </c>
      <c r="AS6">
        <f>INDEX($B$20:$GQ$20,MATCH(44,$B$29:$GQ$29,0))</f>
        <v/>
      </c>
      <c r="AT6">
        <f>INDEX($B$20:$GQ$20,MATCH(45,$B$29:$GQ$29,0))</f>
        <v/>
      </c>
      <c r="AU6">
        <f>INDEX($B$20:$GQ$20,MATCH(46,$B$29:$GQ$29,0))</f>
        <v/>
      </c>
      <c r="AV6">
        <f>INDEX($B$20:$GQ$20,MATCH(47,$B$29:$GQ$29,0))</f>
        <v/>
      </c>
      <c r="AW6">
        <f>INDEX($B$20:$GQ$20,MATCH(48,$B$29:$GQ$29,0))</f>
        <v/>
      </c>
      <c r="AX6">
        <f>INDEX($B$20:$GQ$20,MATCH(49,$B$29:$GQ$29,0))</f>
        <v/>
      </c>
      <c r="AY6">
        <f>INDEX($B$20:$GQ$20,MATCH(50,$B$29:$GQ$29,0))</f>
        <v/>
      </c>
      <c r="AZ6">
        <f>INDEX($B$20:$GQ$20,MATCH(51,$B$29:$GQ$29,0))</f>
        <v/>
      </c>
      <c r="BA6">
        <f>INDEX($B$20:$GQ$20,MATCH(52,$B$29:$GQ$29,0))</f>
        <v/>
      </c>
      <c r="BB6">
        <f>INDEX($B$20:$GQ$20,MATCH(53,$B$29:$GQ$29,0))</f>
        <v/>
      </c>
      <c r="BC6">
        <f>INDEX($B$20:$GQ$20,MATCH(54,$B$29:$GQ$29,0))</f>
        <v/>
      </c>
      <c r="BD6">
        <f>INDEX($B$20:$GQ$20,MATCH(55,$B$29:$GQ$29,0))</f>
        <v/>
      </c>
      <c r="BE6">
        <f>INDEX($B$20:$GQ$20,MATCH(56,$B$29:$GQ$29,0))</f>
        <v/>
      </c>
      <c r="BF6">
        <f>INDEX($B$20:$GQ$20,MATCH(57,$B$29:$GQ$29,0))</f>
        <v/>
      </c>
      <c r="BG6">
        <f>INDEX($B$20:$GQ$20,MATCH(58,$B$29:$GQ$29,0))</f>
        <v/>
      </c>
      <c r="BH6">
        <f>INDEX($B$20:$GQ$20,MATCH(59,$B$29:$GQ$29,0))</f>
        <v/>
      </c>
      <c r="BI6">
        <f>INDEX($B$20:$GQ$20,MATCH(60,$B$29:$GQ$29,0))</f>
        <v/>
      </c>
      <c r="BJ6">
        <f>INDEX($B$20:$GQ$20,MATCH(61,$B$29:$GQ$29,0))</f>
        <v/>
      </c>
      <c r="BK6">
        <f>INDEX($B$20:$GQ$20,MATCH(62,$B$29:$GQ$29,0))</f>
        <v/>
      </c>
      <c r="BL6">
        <f>INDEX($B$20:$GQ$20,MATCH(63,$B$29:$GQ$29,0))</f>
        <v/>
      </c>
      <c r="BM6">
        <f>INDEX($B$20:$GQ$20,MATCH(64,$B$29:$GQ$29,0))</f>
        <v/>
      </c>
      <c r="BN6">
        <f>INDEX($B$20:$GQ$20,MATCH(65,$B$29:$GQ$29,0))</f>
        <v/>
      </c>
      <c r="BO6">
        <f>INDEX($B$20:$GQ$20,MATCH(66,$B$29:$GQ$29,0))</f>
        <v/>
      </c>
      <c r="BP6">
        <f>INDEX($B$20:$GQ$20,MATCH(67,$B$29:$GQ$29,0))</f>
        <v/>
      </c>
      <c r="BQ6">
        <f>INDEX($B$20:$GQ$20,MATCH(68,$B$29:$GQ$29,0))</f>
        <v/>
      </c>
      <c r="BR6">
        <f>INDEX($B$20:$GQ$20,MATCH(69,$B$29:$GQ$29,0))</f>
        <v/>
      </c>
      <c r="BS6">
        <f>INDEX($B$20:$GQ$20,MATCH(70,$B$29:$GQ$29,0))</f>
        <v/>
      </c>
      <c r="BT6">
        <f>INDEX($B$20:$GQ$20,MATCH(71,$B$29:$GQ$29,0))</f>
        <v/>
      </c>
      <c r="BU6">
        <f>INDEX($B$20:$GQ$20,MATCH(72,$B$29:$GQ$29,0))</f>
        <v/>
      </c>
      <c r="BV6">
        <f>INDEX($B$20:$GQ$20,MATCH(73,$B$29:$GQ$29,0))</f>
        <v/>
      </c>
      <c r="BW6">
        <f>INDEX($B$20:$GQ$20,MATCH(74,$B$29:$GQ$29,0))</f>
        <v/>
      </c>
      <c r="BX6">
        <f>INDEX($B$20:$GQ$20,MATCH(75,$B$29:$GQ$29,0))</f>
        <v/>
      </c>
      <c r="BY6">
        <f>INDEX($B$20:$GQ$20,MATCH(76,$B$29:$GQ$29,0))</f>
        <v/>
      </c>
      <c r="BZ6">
        <f>INDEX($B$20:$GQ$20,MATCH(77,$B$29:$GQ$29,0))</f>
        <v/>
      </c>
      <c r="CA6">
        <f>INDEX($B$20:$GQ$20,MATCH(78,$B$29:$GQ$29,0))</f>
        <v/>
      </c>
      <c r="CB6">
        <f>INDEX($B$20:$GQ$20,MATCH(79,$B$29:$GQ$29,0))</f>
        <v/>
      </c>
      <c r="CC6">
        <f>INDEX($B$20:$GQ$20,MATCH(80,$B$29:$GQ$29,0))</f>
        <v/>
      </c>
      <c r="CD6">
        <f>INDEX($B$20:$GQ$20,MATCH(81,$B$29:$GQ$29,0))</f>
        <v/>
      </c>
      <c r="CE6">
        <f>INDEX($B$20:$GQ$20,MATCH(82,$B$29:$GQ$29,0))</f>
        <v/>
      </c>
      <c r="CF6">
        <f>INDEX($B$20:$GQ$20,MATCH(83,$B$29:$GQ$29,0))</f>
        <v/>
      </c>
      <c r="CG6">
        <f>INDEX($B$20:$GQ$20,MATCH(84,$B$29:$GQ$29,0))</f>
        <v/>
      </c>
      <c r="CH6">
        <f>INDEX($B$20:$GQ$20,MATCH(85,$B$29:$GQ$29,0))</f>
        <v/>
      </c>
      <c r="CI6">
        <f>INDEX($B$20:$GQ$20,MATCH(86,$B$29:$GQ$29,0))</f>
        <v/>
      </c>
      <c r="CJ6">
        <f>INDEX($B$20:$GQ$20,MATCH(87,$B$29:$GQ$29,0))</f>
        <v/>
      </c>
      <c r="CK6">
        <f>INDEX($B$20:$GQ$20,MATCH(88,$B$29:$GQ$29,0))</f>
        <v/>
      </c>
      <c r="CL6">
        <f>INDEX($B$20:$GQ$20,MATCH(89,$B$29:$GQ$29,0))</f>
        <v/>
      </c>
      <c r="CM6">
        <f>INDEX($B$20:$GQ$20,MATCH(90,$B$29:$GQ$29,0))</f>
        <v/>
      </c>
      <c r="CN6">
        <f>INDEX($B$20:$GQ$20,MATCH(91,$B$29:$GQ$29,0))</f>
        <v/>
      </c>
      <c r="CO6">
        <f>INDEX($B$20:$GQ$20,MATCH(92,$B$29:$GQ$29,0))</f>
        <v/>
      </c>
      <c r="CP6">
        <f>INDEX($B$20:$GQ$20,MATCH(93,$B$29:$GQ$29,0))</f>
        <v/>
      </c>
      <c r="CQ6">
        <f>INDEX($B$20:$GQ$20,MATCH(94,$B$29:$GQ$29,0))</f>
        <v/>
      </c>
      <c r="CR6">
        <f>INDEX($B$20:$GQ$20,MATCH(95,$B$29:$GQ$29,0))</f>
        <v/>
      </c>
      <c r="CS6">
        <f>INDEX($B$20:$GQ$20,MATCH(96,$B$29:$GQ$29,0))</f>
        <v/>
      </c>
      <c r="CT6">
        <f>INDEX($B$20:$GQ$20,MATCH(97,$B$29:$GQ$29,0))</f>
        <v/>
      </c>
      <c r="CU6">
        <f>INDEX($B$20:$GQ$20,MATCH(98,$B$29:$GQ$29,0))</f>
        <v/>
      </c>
      <c r="CV6">
        <f>INDEX($B$20:$GQ$20,MATCH(99,$B$29:$GQ$29,0))</f>
        <v/>
      </c>
      <c r="CW6">
        <f>INDEX($B$20:$GQ$20,MATCH(100,$B$29:$GQ$29,0))</f>
        <v/>
      </c>
      <c r="CX6">
        <f>INDEX($B$20:$GQ$20,MATCH(101,$B$29:$GQ$29,0))</f>
        <v/>
      </c>
      <c r="CY6">
        <f>INDEX($B$20:$GQ$20,MATCH(102,$B$29:$GQ$29,0))</f>
        <v/>
      </c>
      <c r="CZ6">
        <f>INDEX($B$20:$GQ$20,MATCH(103,$B$29:$GQ$29,0))</f>
        <v/>
      </c>
      <c r="DA6">
        <f>INDEX($B$20:$GQ$20,MATCH(104,$B$29:$GQ$29,0))</f>
        <v/>
      </c>
      <c r="DB6">
        <f>INDEX($B$20:$GQ$20,MATCH(105,$B$29:$GQ$29,0))</f>
        <v/>
      </c>
      <c r="DC6">
        <f>INDEX($B$20:$GQ$20,MATCH(106,$B$29:$GQ$29,0))</f>
        <v/>
      </c>
      <c r="DD6">
        <f>INDEX($B$20:$GQ$20,MATCH(107,$B$29:$GQ$29,0))</f>
        <v/>
      </c>
      <c r="DE6">
        <f>INDEX($B$20:$GQ$20,MATCH(108,$B$29:$GQ$29,0))</f>
        <v/>
      </c>
      <c r="DF6">
        <f>INDEX($B$20:$GQ$20,MATCH(109,$B$29:$GQ$29,0))</f>
        <v/>
      </c>
      <c r="DG6">
        <f>INDEX($B$20:$GQ$20,MATCH(110,$B$29:$GQ$29,0))</f>
        <v/>
      </c>
      <c r="DH6">
        <f>INDEX($B$20:$GQ$20,MATCH(111,$B$29:$GQ$29,0))</f>
        <v/>
      </c>
      <c r="DI6">
        <f>INDEX($B$20:$GQ$20,MATCH(112,$B$29:$GQ$29,0))</f>
        <v/>
      </c>
      <c r="DJ6">
        <f>INDEX($B$20:$GQ$20,MATCH(113,$B$29:$GQ$29,0))</f>
        <v/>
      </c>
      <c r="DK6">
        <f>INDEX($B$20:$GQ$20,MATCH(114,$B$29:$GQ$29,0))</f>
        <v/>
      </c>
      <c r="DL6">
        <f>INDEX($B$20:$GQ$20,MATCH(115,$B$29:$GQ$29,0))</f>
        <v/>
      </c>
      <c r="DM6">
        <f>INDEX($B$20:$GQ$20,MATCH(116,$B$29:$GQ$29,0))</f>
        <v/>
      </c>
      <c r="DN6">
        <f>INDEX($B$20:$GQ$20,MATCH(117,$B$29:$GQ$29,0))</f>
        <v/>
      </c>
      <c r="DO6">
        <f>INDEX($B$20:$GQ$20,MATCH(118,$B$29:$GQ$29,0))</f>
        <v/>
      </c>
      <c r="DP6">
        <f>INDEX($B$20:$GQ$20,MATCH(119,$B$29:$GQ$29,0))</f>
        <v/>
      </c>
      <c r="DQ6">
        <f>INDEX($B$20:$GQ$20,MATCH(120,$B$29:$GQ$29,0))</f>
        <v/>
      </c>
      <c r="DR6">
        <f>INDEX($B$20:$GQ$20,MATCH(121,$B$29:$GQ$29,0))</f>
        <v/>
      </c>
      <c r="DS6">
        <f>INDEX($B$20:$GQ$20,MATCH(122,$B$29:$GQ$29,0))</f>
        <v/>
      </c>
      <c r="DT6">
        <f>INDEX($B$20:$GQ$20,MATCH(123,$B$29:$GQ$29,0))</f>
        <v/>
      </c>
      <c r="DU6">
        <f>INDEX($B$20:$GQ$20,MATCH(124,$B$29:$GQ$29,0))</f>
        <v/>
      </c>
      <c r="DV6">
        <f>INDEX($B$20:$GQ$20,MATCH(125,$B$29:$GQ$29,0))</f>
        <v/>
      </c>
      <c r="DW6">
        <f>INDEX($B$20:$GQ$20,MATCH(126,$B$29:$GQ$29,0))</f>
        <v/>
      </c>
      <c r="DX6">
        <f>INDEX($B$20:$GQ$20,MATCH(127,$B$29:$GQ$29,0))</f>
        <v/>
      </c>
      <c r="DY6">
        <f>INDEX($B$20:$GQ$20,MATCH(128,$B$29:$GQ$29,0))</f>
        <v/>
      </c>
      <c r="DZ6">
        <f>INDEX($B$20:$GQ$20,MATCH(129,$B$29:$GQ$29,0))</f>
        <v/>
      </c>
      <c r="EA6">
        <f>INDEX($B$20:$GQ$20,MATCH(130,$B$29:$GQ$29,0))</f>
        <v/>
      </c>
      <c r="EB6">
        <f>INDEX($B$20:$GQ$20,MATCH(131,$B$29:$GQ$29,0))</f>
        <v/>
      </c>
      <c r="EC6">
        <f>INDEX($B$20:$GQ$20,MATCH(132,$B$29:$GQ$29,0))</f>
        <v/>
      </c>
      <c r="ED6">
        <f>INDEX($B$20:$GQ$20,MATCH(133,$B$29:$GQ$29,0))</f>
        <v/>
      </c>
      <c r="EE6">
        <f>INDEX($B$20:$GQ$20,MATCH(134,$B$29:$GQ$29,0))</f>
        <v/>
      </c>
      <c r="EF6">
        <f>INDEX($B$20:$GQ$20,MATCH(135,$B$29:$GQ$29,0))</f>
        <v/>
      </c>
      <c r="EG6">
        <f>INDEX($B$20:$GQ$20,MATCH(136,$B$29:$GQ$29,0))</f>
        <v/>
      </c>
      <c r="EH6">
        <f>INDEX($B$20:$GQ$20,MATCH(137,$B$29:$GQ$29,0))</f>
        <v/>
      </c>
      <c r="EI6">
        <f>INDEX($B$20:$GQ$20,MATCH(138,$B$29:$GQ$29,0))</f>
        <v/>
      </c>
      <c r="EJ6">
        <f>INDEX($B$20:$GQ$20,MATCH(139,$B$29:$GQ$29,0))</f>
        <v/>
      </c>
      <c r="EK6">
        <f>INDEX($B$20:$GQ$20,MATCH(140,$B$29:$GQ$29,0))</f>
        <v/>
      </c>
      <c r="EL6">
        <f>INDEX($B$20:$GQ$20,MATCH(141,$B$29:$GQ$29,0))</f>
        <v/>
      </c>
      <c r="EM6">
        <f>INDEX($B$20:$GQ$20,MATCH(142,$B$29:$GQ$29,0))</f>
        <v/>
      </c>
      <c r="EN6">
        <f>INDEX($B$20:$GQ$20,MATCH(143,$B$29:$GQ$29,0))</f>
        <v/>
      </c>
      <c r="EO6">
        <f>INDEX($B$20:$GQ$20,MATCH(144,$B$29:$GQ$29,0))</f>
        <v/>
      </c>
      <c r="EP6">
        <f>INDEX($B$20:$GQ$20,MATCH(145,$B$29:$GQ$29,0))</f>
        <v/>
      </c>
      <c r="EQ6">
        <f>INDEX($B$20:$GQ$20,MATCH(146,$B$29:$GQ$29,0))</f>
        <v/>
      </c>
      <c r="ER6">
        <f>INDEX($B$20:$GQ$20,MATCH(147,$B$29:$GQ$29,0))</f>
        <v/>
      </c>
      <c r="ES6">
        <f>INDEX($B$20:$GQ$20,MATCH(148,$B$29:$GQ$29,0))</f>
        <v/>
      </c>
      <c r="ET6">
        <f>INDEX($B$20:$GQ$20,MATCH(149,$B$29:$GQ$29,0))</f>
        <v/>
      </c>
      <c r="EU6">
        <f>INDEX($B$20:$GQ$20,MATCH(150,$B$29:$GQ$29,0))</f>
        <v/>
      </c>
      <c r="EV6">
        <f>INDEX($B$20:$GQ$20,MATCH(151,$B$29:$GQ$29,0))</f>
        <v/>
      </c>
      <c r="EW6">
        <f>INDEX($B$20:$GQ$20,MATCH(152,$B$29:$GQ$29,0))</f>
        <v/>
      </c>
      <c r="EX6">
        <f>INDEX($B$20:$GQ$20,MATCH(153,$B$29:$GQ$29,0))</f>
        <v/>
      </c>
      <c r="EY6">
        <f>INDEX($B$20:$GQ$20,MATCH(154,$B$29:$GQ$29,0))</f>
        <v/>
      </c>
      <c r="EZ6">
        <f>INDEX($B$20:$GQ$20,MATCH(155,$B$29:$GQ$29,0))</f>
        <v/>
      </c>
      <c r="FA6">
        <f>INDEX($B$20:$GQ$20,MATCH(156,$B$29:$GQ$29,0))</f>
        <v/>
      </c>
      <c r="FB6">
        <f>INDEX($B$20:$GQ$20,MATCH(157,$B$29:$GQ$29,0))</f>
        <v/>
      </c>
      <c r="FC6">
        <f>INDEX($B$20:$GQ$20,MATCH(158,$B$29:$GQ$29,0))</f>
        <v/>
      </c>
      <c r="FD6">
        <f>INDEX($B$20:$GQ$20,MATCH(159,$B$29:$GQ$29,0))</f>
        <v/>
      </c>
      <c r="FE6">
        <f>INDEX($B$20:$GQ$20,MATCH(160,$B$29:$GQ$29,0))</f>
        <v/>
      </c>
      <c r="FF6">
        <f>INDEX($B$20:$GQ$20,MATCH(161,$B$29:$GQ$29,0))</f>
        <v/>
      </c>
      <c r="FG6">
        <f>INDEX($B$20:$GQ$20,MATCH(162,$B$29:$GQ$29,0))</f>
        <v/>
      </c>
      <c r="FH6">
        <f>INDEX($B$20:$GQ$20,MATCH(163,$B$29:$GQ$29,0))</f>
        <v/>
      </c>
      <c r="FI6">
        <f>INDEX($B$20:$GQ$20,MATCH(164,$B$29:$GQ$29,0))</f>
        <v/>
      </c>
      <c r="FJ6">
        <f>INDEX($B$20:$GQ$20,MATCH(165,$B$29:$GQ$29,0))</f>
        <v/>
      </c>
      <c r="FK6">
        <f>INDEX($B$20:$GQ$20,MATCH(166,$B$29:$GQ$29,0))</f>
        <v/>
      </c>
      <c r="FL6">
        <f>INDEX($B$20:$GQ$20,MATCH(167,$B$29:$GQ$29,0))</f>
        <v/>
      </c>
      <c r="FM6">
        <f>INDEX($B$20:$GQ$20,MATCH(168,$B$29:$GQ$29,0))</f>
        <v/>
      </c>
      <c r="FN6">
        <f>INDEX($B$20:$GQ$20,MATCH(169,$B$29:$GQ$29,0))</f>
        <v/>
      </c>
      <c r="FO6">
        <f>INDEX($B$20:$GQ$20,MATCH(170,$B$29:$GQ$29,0))</f>
        <v/>
      </c>
      <c r="FP6">
        <f>INDEX($B$20:$GQ$20,MATCH(171,$B$29:$GQ$29,0))</f>
        <v/>
      </c>
      <c r="FQ6">
        <f>INDEX($B$20:$GQ$20,MATCH(172,$B$29:$GQ$29,0))</f>
        <v/>
      </c>
      <c r="FR6">
        <f>INDEX($B$20:$GQ$20,MATCH(173,$B$29:$GQ$29,0))</f>
        <v/>
      </c>
      <c r="FS6">
        <f>INDEX($B$20:$GQ$20,MATCH(174,$B$29:$GQ$29,0))</f>
        <v/>
      </c>
      <c r="FT6">
        <f>INDEX($B$20:$GQ$20,MATCH(175,$B$29:$GQ$29,0))</f>
        <v/>
      </c>
      <c r="FU6">
        <f>INDEX($B$20:$GQ$20,MATCH(176,$B$29:$GQ$29,0))</f>
        <v/>
      </c>
      <c r="FV6">
        <f>INDEX($B$20:$GQ$20,MATCH(177,$B$29:$GQ$29,0))</f>
        <v/>
      </c>
      <c r="FW6">
        <f>INDEX($B$20:$GQ$20,MATCH(178,$B$29:$GQ$29,0))</f>
        <v/>
      </c>
      <c r="FX6">
        <f>INDEX($B$20:$GQ$20,MATCH(179,$B$29:$GQ$29,0))</f>
        <v/>
      </c>
      <c r="FY6">
        <f>INDEX($B$20:$GQ$20,MATCH(180,$B$29:$GQ$29,0))</f>
        <v/>
      </c>
      <c r="FZ6">
        <f>INDEX($B$20:$GQ$20,MATCH(181,$B$29:$GQ$29,0))</f>
        <v/>
      </c>
      <c r="GA6">
        <f>INDEX($B$20:$GQ$20,MATCH(182,$B$29:$GQ$29,0))</f>
        <v/>
      </c>
      <c r="GB6">
        <f>INDEX($B$20:$GQ$20,MATCH(183,$B$29:$GQ$29,0))</f>
        <v/>
      </c>
      <c r="GC6">
        <f>INDEX($B$20:$GQ$20,MATCH(184,$B$29:$GQ$29,0))</f>
        <v/>
      </c>
      <c r="GD6">
        <f>INDEX($B$20:$GQ$20,MATCH(185,$B$29:$GQ$29,0))</f>
        <v/>
      </c>
      <c r="GE6">
        <f>INDEX($B$20:$GQ$20,MATCH(186,$B$29:$GQ$29,0))</f>
        <v/>
      </c>
      <c r="GF6">
        <f>INDEX($B$20:$GQ$20,MATCH(187,$B$29:$GQ$29,0))</f>
        <v/>
      </c>
      <c r="GG6">
        <f>INDEX($B$20:$GQ$20,MATCH(188,$B$29:$GQ$29,0))</f>
        <v/>
      </c>
      <c r="GH6">
        <f>INDEX($B$20:$GQ$20,MATCH(189,$B$29:$GQ$29,0))</f>
        <v/>
      </c>
      <c r="GI6">
        <f>INDEX($B$20:$GQ$20,MATCH(190,$B$29:$GQ$29,0))</f>
        <v/>
      </c>
      <c r="GJ6">
        <f>INDEX($B$20:$GQ$20,MATCH(191,$B$29:$GQ$29,0))</f>
        <v/>
      </c>
      <c r="GK6">
        <f>INDEX($B$20:$GQ$20,MATCH(192,$B$29:$GQ$29,0))</f>
        <v/>
      </c>
      <c r="GL6">
        <f>INDEX($B$20:$GQ$20,MATCH(193,$B$29:$GQ$29,0))</f>
        <v/>
      </c>
      <c r="GM6">
        <f>INDEX($B$20:$GQ$20,MATCH(194,$B$29:$GQ$29,0))</f>
        <v/>
      </c>
      <c r="GN6">
        <f>INDEX($B$20:$GQ$20,MATCH(195,$B$29:$GQ$29,0))</f>
        <v/>
      </c>
      <c r="GO6">
        <f>INDEX($B$20:$GQ$20,MATCH(196,$B$29:$GQ$29,0))</f>
        <v/>
      </c>
      <c r="GP6">
        <f>INDEX($B$20:$GQ$20,MATCH(197,$B$29:$GQ$29,0))</f>
        <v/>
      </c>
      <c r="GQ6">
        <f>INDEX($B$20:$GQ$20,MATCH(198,$B$29:$GQ$29,0))</f>
        <v/>
      </c>
      <c r="GR6">
        <f>INDEX($GR$20:$HC$20,MATCH(1,$GR$30:$HC$30,0))</f>
        <v/>
      </c>
      <c r="GS6">
        <f>INDEX($GR$20:$HC$20,MATCH(2,$GR$30:$HC$30,0))</f>
        <v/>
      </c>
      <c r="GT6">
        <f>INDEX($GR$20:$HC$20,MATCH(3,$GR$30:$HC$30,0))</f>
        <v/>
      </c>
      <c r="GU6">
        <f>INDEX($GR$20:$HC$20,MATCH(4,$GR$30:$HC$30,0))</f>
        <v/>
      </c>
      <c r="GV6">
        <f>INDEX($GR$20:$HC$20,MATCH(5,$GR$30:$HC$30,0))</f>
        <v/>
      </c>
      <c r="GW6">
        <f>INDEX($GR$20:$HC$20,MATCH(6,$GR$30:$HC$30,0))</f>
        <v/>
      </c>
      <c r="GX6">
        <f>INDEX($GR$20:$HC$20,MATCH(7,$GR$30:$HC$30,0))</f>
        <v/>
      </c>
      <c r="GY6">
        <f>INDEX($GR$20:$HC$20,MATCH(8,$GR$30:$HC$30,0))</f>
        <v/>
      </c>
      <c r="GZ6">
        <f>INDEX($GR$20:$HC$20,MATCH(9,$GR$30:$HC$30,0))</f>
        <v/>
      </c>
      <c r="HA6">
        <f>INDEX($GR$20:$HC$20,MATCH(10,$GR$30:$HC$30,0))</f>
        <v/>
      </c>
      <c r="HB6">
        <f>INDEX($GR$20:$HC$20,MATCH(11,$GR$30:$HC$30,0))</f>
        <v/>
      </c>
      <c r="HC6">
        <f>INDEX($GR$20:$HC$20,MATCH(12,$GR$30:$HC$30,0))</f>
        <v/>
      </c>
    </row>
    <row r="7">
      <c r="A7" s="1" t="inlineStr">
        <is>
          <t>Y_imp</t>
        </is>
      </c>
      <c r="B7">
        <f>INDEX($B$21:$GQ$21,MATCH(1,$B$29:$GQ$29,0))</f>
        <v/>
      </c>
      <c r="C7">
        <f>INDEX($B$21:$GQ$21,MATCH(2,$B$29:$GQ$29,0))</f>
        <v/>
      </c>
      <c r="D7">
        <f>INDEX($B$21:$GQ$21,MATCH(3,$B$29:$GQ$29,0))</f>
        <v/>
      </c>
      <c r="E7">
        <f>INDEX($B$21:$GQ$21,MATCH(4,$B$29:$GQ$29,0))</f>
        <v/>
      </c>
      <c r="F7">
        <f>INDEX($B$21:$GQ$21,MATCH(5,$B$29:$GQ$29,0))</f>
        <v/>
      </c>
      <c r="G7">
        <f>INDEX($B$21:$GQ$21,MATCH(6,$B$29:$GQ$29,0))</f>
        <v/>
      </c>
      <c r="H7">
        <f>INDEX($B$21:$GQ$21,MATCH(7,$B$29:$GQ$29,0))</f>
        <v/>
      </c>
      <c r="I7">
        <f>INDEX($B$21:$GQ$21,MATCH(8,$B$29:$GQ$29,0))</f>
        <v/>
      </c>
      <c r="J7">
        <f>INDEX($B$21:$GQ$21,MATCH(9,$B$29:$GQ$29,0))</f>
        <v/>
      </c>
      <c r="K7">
        <f>INDEX($B$21:$GQ$21,MATCH(10,$B$29:$GQ$29,0))</f>
        <v/>
      </c>
      <c r="L7">
        <f>INDEX($B$21:$GQ$21,MATCH(11,$B$29:$GQ$29,0))</f>
        <v/>
      </c>
      <c r="M7">
        <f>INDEX($B$21:$GQ$21,MATCH(12,$B$29:$GQ$29,0))</f>
        <v/>
      </c>
      <c r="N7">
        <f>INDEX($B$21:$GQ$21,MATCH(13,$B$29:$GQ$29,0))</f>
        <v/>
      </c>
      <c r="O7">
        <f>INDEX($B$21:$GQ$21,MATCH(14,$B$29:$GQ$29,0))</f>
        <v/>
      </c>
      <c r="P7">
        <f>INDEX($B$21:$GQ$21,MATCH(15,$B$29:$GQ$29,0))</f>
        <v/>
      </c>
      <c r="Q7">
        <f>INDEX($B$21:$GQ$21,MATCH(16,$B$29:$GQ$29,0))</f>
        <v/>
      </c>
      <c r="R7">
        <f>INDEX($B$21:$GQ$21,MATCH(17,$B$29:$GQ$29,0))</f>
        <v/>
      </c>
      <c r="S7">
        <f>INDEX($B$21:$GQ$21,MATCH(18,$B$29:$GQ$29,0))</f>
        <v/>
      </c>
      <c r="T7">
        <f>INDEX($B$21:$GQ$21,MATCH(19,$B$29:$GQ$29,0))</f>
        <v/>
      </c>
      <c r="U7">
        <f>INDEX($B$21:$GQ$21,MATCH(20,$B$29:$GQ$29,0))</f>
        <v/>
      </c>
      <c r="V7">
        <f>INDEX($B$21:$GQ$21,MATCH(21,$B$29:$GQ$29,0))</f>
        <v/>
      </c>
      <c r="W7">
        <f>INDEX($B$21:$GQ$21,MATCH(22,$B$29:$GQ$29,0))</f>
        <v/>
      </c>
      <c r="X7">
        <f>INDEX($B$21:$GQ$21,MATCH(23,$B$29:$GQ$29,0))</f>
        <v/>
      </c>
      <c r="Y7">
        <f>INDEX($B$21:$GQ$21,MATCH(24,$B$29:$GQ$29,0))</f>
        <v/>
      </c>
      <c r="Z7">
        <f>INDEX($B$21:$GQ$21,MATCH(25,$B$29:$GQ$29,0))</f>
        <v/>
      </c>
      <c r="AA7">
        <f>INDEX($B$21:$GQ$21,MATCH(26,$B$29:$GQ$29,0))</f>
        <v/>
      </c>
      <c r="AB7">
        <f>INDEX($B$21:$GQ$21,MATCH(27,$B$29:$GQ$29,0))</f>
        <v/>
      </c>
      <c r="AC7">
        <f>INDEX($B$21:$GQ$21,MATCH(28,$B$29:$GQ$29,0))</f>
        <v/>
      </c>
      <c r="AD7">
        <f>INDEX($B$21:$GQ$21,MATCH(29,$B$29:$GQ$29,0))</f>
        <v/>
      </c>
      <c r="AE7">
        <f>INDEX($B$21:$GQ$21,MATCH(30,$B$29:$GQ$29,0))</f>
        <v/>
      </c>
      <c r="AF7">
        <f>INDEX($B$21:$GQ$21,MATCH(31,$B$29:$GQ$29,0))</f>
        <v/>
      </c>
      <c r="AG7">
        <f>INDEX($B$21:$GQ$21,MATCH(32,$B$29:$GQ$29,0))</f>
        <v/>
      </c>
      <c r="AH7">
        <f>INDEX($B$21:$GQ$21,MATCH(33,$B$29:$GQ$29,0))</f>
        <v/>
      </c>
      <c r="AI7">
        <f>INDEX($B$21:$GQ$21,MATCH(34,$B$29:$GQ$29,0))</f>
        <v/>
      </c>
      <c r="AJ7">
        <f>INDEX($B$21:$GQ$21,MATCH(35,$B$29:$GQ$29,0))</f>
        <v/>
      </c>
      <c r="AK7">
        <f>INDEX($B$21:$GQ$21,MATCH(36,$B$29:$GQ$29,0))</f>
        <v/>
      </c>
      <c r="AL7">
        <f>INDEX($B$21:$GQ$21,MATCH(37,$B$29:$GQ$29,0))</f>
        <v/>
      </c>
      <c r="AM7">
        <f>INDEX($B$21:$GQ$21,MATCH(38,$B$29:$GQ$29,0))</f>
        <v/>
      </c>
      <c r="AN7">
        <f>INDEX($B$21:$GQ$21,MATCH(39,$B$29:$GQ$29,0))</f>
        <v/>
      </c>
      <c r="AO7">
        <f>INDEX($B$21:$GQ$21,MATCH(40,$B$29:$GQ$29,0))</f>
        <v/>
      </c>
      <c r="AP7">
        <f>INDEX($B$21:$GQ$21,MATCH(41,$B$29:$GQ$29,0))</f>
        <v/>
      </c>
      <c r="AQ7">
        <f>INDEX($B$21:$GQ$21,MATCH(42,$B$29:$GQ$29,0))</f>
        <v/>
      </c>
      <c r="AR7">
        <f>INDEX($B$21:$GQ$21,MATCH(43,$B$29:$GQ$29,0))</f>
        <v/>
      </c>
      <c r="AS7">
        <f>INDEX($B$21:$GQ$21,MATCH(44,$B$29:$GQ$29,0))</f>
        <v/>
      </c>
      <c r="AT7">
        <f>INDEX($B$21:$GQ$21,MATCH(45,$B$29:$GQ$29,0))</f>
        <v/>
      </c>
      <c r="AU7">
        <f>INDEX($B$21:$GQ$21,MATCH(46,$B$29:$GQ$29,0))</f>
        <v/>
      </c>
      <c r="AV7">
        <f>INDEX($B$21:$GQ$21,MATCH(47,$B$29:$GQ$29,0))</f>
        <v/>
      </c>
      <c r="AW7">
        <f>INDEX($B$21:$GQ$21,MATCH(48,$B$29:$GQ$29,0))</f>
        <v/>
      </c>
      <c r="AX7">
        <f>INDEX($B$21:$GQ$21,MATCH(49,$B$29:$GQ$29,0))</f>
        <v/>
      </c>
      <c r="AY7">
        <f>INDEX($B$21:$GQ$21,MATCH(50,$B$29:$GQ$29,0))</f>
        <v/>
      </c>
      <c r="AZ7">
        <f>INDEX($B$21:$GQ$21,MATCH(51,$B$29:$GQ$29,0))</f>
        <v/>
      </c>
      <c r="BA7">
        <f>INDEX($B$21:$GQ$21,MATCH(52,$B$29:$GQ$29,0))</f>
        <v/>
      </c>
      <c r="BB7">
        <f>INDEX($B$21:$GQ$21,MATCH(53,$B$29:$GQ$29,0))</f>
        <v/>
      </c>
      <c r="BC7">
        <f>INDEX($B$21:$GQ$21,MATCH(54,$B$29:$GQ$29,0))</f>
        <v/>
      </c>
      <c r="BD7">
        <f>INDEX($B$21:$GQ$21,MATCH(55,$B$29:$GQ$29,0))</f>
        <v/>
      </c>
      <c r="BE7">
        <f>INDEX($B$21:$GQ$21,MATCH(56,$B$29:$GQ$29,0))</f>
        <v/>
      </c>
      <c r="BF7">
        <f>INDEX($B$21:$GQ$21,MATCH(57,$B$29:$GQ$29,0))</f>
        <v/>
      </c>
      <c r="BG7">
        <f>INDEX($B$21:$GQ$21,MATCH(58,$B$29:$GQ$29,0))</f>
        <v/>
      </c>
      <c r="BH7">
        <f>INDEX($B$21:$GQ$21,MATCH(59,$B$29:$GQ$29,0))</f>
        <v/>
      </c>
      <c r="BI7">
        <f>INDEX($B$21:$GQ$21,MATCH(60,$B$29:$GQ$29,0))</f>
        <v/>
      </c>
      <c r="BJ7">
        <f>INDEX($B$21:$GQ$21,MATCH(61,$B$29:$GQ$29,0))</f>
        <v/>
      </c>
      <c r="BK7">
        <f>INDEX($B$21:$GQ$21,MATCH(62,$B$29:$GQ$29,0))</f>
        <v/>
      </c>
      <c r="BL7">
        <f>INDEX($B$21:$GQ$21,MATCH(63,$B$29:$GQ$29,0))</f>
        <v/>
      </c>
      <c r="BM7">
        <f>INDEX($B$21:$GQ$21,MATCH(64,$B$29:$GQ$29,0))</f>
        <v/>
      </c>
      <c r="BN7">
        <f>INDEX($B$21:$GQ$21,MATCH(65,$B$29:$GQ$29,0))</f>
        <v/>
      </c>
      <c r="BO7">
        <f>INDEX($B$21:$GQ$21,MATCH(66,$B$29:$GQ$29,0))</f>
        <v/>
      </c>
      <c r="BP7">
        <f>INDEX($B$21:$GQ$21,MATCH(67,$B$29:$GQ$29,0))</f>
        <v/>
      </c>
      <c r="BQ7">
        <f>INDEX($B$21:$GQ$21,MATCH(68,$B$29:$GQ$29,0))</f>
        <v/>
      </c>
      <c r="BR7">
        <f>INDEX($B$21:$GQ$21,MATCH(69,$B$29:$GQ$29,0))</f>
        <v/>
      </c>
      <c r="BS7">
        <f>INDEX($B$21:$GQ$21,MATCH(70,$B$29:$GQ$29,0))</f>
        <v/>
      </c>
      <c r="BT7">
        <f>INDEX($B$21:$GQ$21,MATCH(71,$B$29:$GQ$29,0))</f>
        <v/>
      </c>
      <c r="BU7">
        <f>INDEX($B$21:$GQ$21,MATCH(72,$B$29:$GQ$29,0))</f>
        <v/>
      </c>
      <c r="BV7">
        <f>INDEX($B$21:$GQ$21,MATCH(73,$B$29:$GQ$29,0))</f>
        <v/>
      </c>
      <c r="BW7">
        <f>INDEX($B$21:$GQ$21,MATCH(74,$B$29:$GQ$29,0))</f>
        <v/>
      </c>
      <c r="BX7">
        <f>INDEX($B$21:$GQ$21,MATCH(75,$B$29:$GQ$29,0))</f>
        <v/>
      </c>
      <c r="BY7">
        <f>INDEX($B$21:$GQ$21,MATCH(76,$B$29:$GQ$29,0))</f>
        <v/>
      </c>
      <c r="BZ7">
        <f>INDEX($B$21:$GQ$21,MATCH(77,$B$29:$GQ$29,0))</f>
        <v/>
      </c>
      <c r="CA7">
        <f>INDEX($B$21:$GQ$21,MATCH(78,$B$29:$GQ$29,0))</f>
        <v/>
      </c>
      <c r="CB7">
        <f>INDEX($B$21:$GQ$21,MATCH(79,$B$29:$GQ$29,0))</f>
        <v/>
      </c>
      <c r="CC7">
        <f>INDEX($B$21:$GQ$21,MATCH(80,$B$29:$GQ$29,0))</f>
        <v/>
      </c>
      <c r="CD7">
        <f>INDEX($B$21:$GQ$21,MATCH(81,$B$29:$GQ$29,0))</f>
        <v/>
      </c>
      <c r="CE7">
        <f>INDEX($B$21:$GQ$21,MATCH(82,$B$29:$GQ$29,0))</f>
        <v/>
      </c>
      <c r="CF7">
        <f>INDEX($B$21:$GQ$21,MATCH(83,$B$29:$GQ$29,0))</f>
        <v/>
      </c>
      <c r="CG7">
        <f>INDEX($B$21:$GQ$21,MATCH(84,$B$29:$GQ$29,0))</f>
        <v/>
      </c>
      <c r="CH7">
        <f>INDEX($B$21:$GQ$21,MATCH(85,$B$29:$GQ$29,0))</f>
        <v/>
      </c>
      <c r="CI7">
        <f>INDEX($B$21:$GQ$21,MATCH(86,$B$29:$GQ$29,0))</f>
        <v/>
      </c>
      <c r="CJ7">
        <f>INDEX($B$21:$GQ$21,MATCH(87,$B$29:$GQ$29,0))</f>
        <v/>
      </c>
      <c r="CK7">
        <f>INDEX($B$21:$GQ$21,MATCH(88,$B$29:$GQ$29,0))</f>
        <v/>
      </c>
      <c r="CL7">
        <f>INDEX($B$21:$GQ$21,MATCH(89,$B$29:$GQ$29,0))</f>
        <v/>
      </c>
      <c r="CM7">
        <f>INDEX($B$21:$GQ$21,MATCH(90,$B$29:$GQ$29,0))</f>
        <v/>
      </c>
      <c r="CN7">
        <f>INDEX($B$21:$GQ$21,MATCH(91,$B$29:$GQ$29,0))</f>
        <v/>
      </c>
      <c r="CO7">
        <f>INDEX($B$21:$GQ$21,MATCH(92,$B$29:$GQ$29,0))</f>
        <v/>
      </c>
      <c r="CP7">
        <f>INDEX($B$21:$GQ$21,MATCH(93,$B$29:$GQ$29,0))</f>
        <v/>
      </c>
      <c r="CQ7">
        <f>INDEX($B$21:$GQ$21,MATCH(94,$B$29:$GQ$29,0))</f>
        <v/>
      </c>
      <c r="CR7">
        <f>INDEX($B$21:$GQ$21,MATCH(95,$B$29:$GQ$29,0))</f>
        <v/>
      </c>
      <c r="CS7">
        <f>INDEX($B$21:$GQ$21,MATCH(96,$B$29:$GQ$29,0))</f>
        <v/>
      </c>
      <c r="CT7">
        <f>INDEX($B$21:$GQ$21,MATCH(97,$B$29:$GQ$29,0))</f>
        <v/>
      </c>
      <c r="CU7">
        <f>INDEX($B$21:$GQ$21,MATCH(98,$B$29:$GQ$29,0))</f>
        <v/>
      </c>
      <c r="CV7">
        <f>INDEX($B$21:$GQ$21,MATCH(99,$B$29:$GQ$29,0))</f>
        <v/>
      </c>
      <c r="CW7">
        <f>INDEX($B$21:$GQ$21,MATCH(100,$B$29:$GQ$29,0))</f>
        <v/>
      </c>
      <c r="CX7">
        <f>INDEX($B$21:$GQ$21,MATCH(101,$B$29:$GQ$29,0))</f>
        <v/>
      </c>
      <c r="CY7">
        <f>INDEX($B$21:$GQ$21,MATCH(102,$B$29:$GQ$29,0))</f>
        <v/>
      </c>
      <c r="CZ7">
        <f>INDEX($B$21:$GQ$21,MATCH(103,$B$29:$GQ$29,0))</f>
        <v/>
      </c>
      <c r="DA7">
        <f>INDEX($B$21:$GQ$21,MATCH(104,$B$29:$GQ$29,0))</f>
        <v/>
      </c>
      <c r="DB7">
        <f>INDEX($B$21:$GQ$21,MATCH(105,$B$29:$GQ$29,0))</f>
        <v/>
      </c>
      <c r="DC7">
        <f>INDEX($B$21:$GQ$21,MATCH(106,$B$29:$GQ$29,0))</f>
        <v/>
      </c>
      <c r="DD7">
        <f>INDEX($B$21:$GQ$21,MATCH(107,$B$29:$GQ$29,0))</f>
        <v/>
      </c>
      <c r="DE7">
        <f>INDEX($B$21:$GQ$21,MATCH(108,$B$29:$GQ$29,0))</f>
        <v/>
      </c>
      <c r="DF7">
        <f>INDEX($B$21:$GQ$21,MATCH(109,$B$29:$GQ$29,0))</f>
        <v/>
      </c>
      <c r="DG7">
        <f>INDEX($B$21:$GQ$21,MATCH(110,$B$29:$GQ$29,0))</f>
        <v/>
      </c>
      <c r="DH7">
        <f>INDEX($B$21:$GQ$21,MATCH(111,$B$29:$GQ$29,0))</f>
        <v/>
      </c>
      <c r="DI7">
        <f>INDEX($B$21:$GQ$21,MATCH(112,$B$29:$GQ$29,0))</f>
        <v/>
      </c>
      <c r="DJ7">
        <f>INDEX($B$21:$GQ$21,MATCH(113,$B$29:$GQ$29,0))</f>
        <v/>
      </c>
      <c r="DK7">
        <f>INDEX($B$21:$GQ$21,MATCH(114,$B$29:$GQ$29,0))</f>
        <v/>
      </c>
      <c r="DL7">
        <f>INDEX($B$21:$GQ$21,MATCH(115,$B$29:$GQ$29,0))</f>
        <v/>
      </c>
      <c r="DM7">
        <f>INDEX($B$21:$GQ$21,MATCH(116,$B$29:$GQ$29,0))</f>
        <v/>
      </c>
      <c r="DN7">
        <f>INDEX($B$21:$GQ$21,MATCH(117,$B$29:$GQ$29,0))</f>
        <v/>
      </c>
      <c r="DO7">
        <f>INDEX($B$21:$GQ$21,MATCH(118,$B$29:$GQ$29,0))</f>
        <v/>
      </c>
      <c r="DP7">
        <f>INDEX($B$21:$GQ$21,MATCH(119,$B$29:$GQ$29,0))</f>
        <v/>
      </c>
      <c r="DQ7">
        <f>INDEX($B$21:$GQ$21,MATCH(120,$B$29:$GQ$29,0))</f>
        <v/>
      </c>
      <c r="DR7">
        <f>INDEX($B$21:$GQ$21,MATCH(121,$B$29:$GQ$29,0))</f>
        <v/>
      </c>
      <c r="DS7">
        <f>INDEX($B$21:$GQ$21,MATCH(122,$B$29:$GQ$29,0))</f>
        <v/>
      </c>
      <c r="DT7">
        <f>INDEX($B$21:$GQ$21,MATCH(123,$B$29:$GQ$29,0))</f>
        <v/>
      </c>
      <c r="DU7">
        <f>INDEX($B$21:$GQ$21,MATCH(124,$B$29:$GQ$29,0))</f>
        <v/>
      </c>
      <c r="DV7">
        <f>INDEX($B$21:$GQ$21,MATCH(125,$B$29:$GQ$29,0))</f>
        <v/>
      </c>
      <c r="DW7">
        <f>INDEX($B$21:$GQ$21,MATCH(126,$B$29:$GQ$29,0))</f>
        <v/>
      </c>
      <c r="DX7">
        <f>INDEX($B$21:$GQ$21,MATCH(127,$B$29:$GQ$29,0))</f>
        <v/>
      </c>
      <c r="DY7">
        <f>INDEX($B$21:$GQ$21,MATCH(128,$B$29:$GQ$29,0))</f>
        <v/>
      </c>
      <c r="DZ7">
        <f>INDEX($B$21:$GQ$21,MATCH(129,$B$29:$GQ$29,0))</f>
        <v/>
      </c>
      <c r="EA7">
        <f>INDEX($B$21:$GQ$21,MATCH(130,$B$29:$GQ$29,0))</f>
        <v/>
      </c>
      <c r="EB7">
        <f>INDEX($B$21:$GQ$21,MATCH(131,$B$29:$GQ$29,0))</f>
        <v/>
      </c>
      <c r="EC7">
        <f>INDEX($B$21:$GQ$21,MATCH(132,$B$29:$GQ$29,0))</f>
        <v/>
      </c>
      <c r="ED7">
        <f>INDEX($B$21:$GQ$21,MATCH(133,$B$29:$GQ$29,0))</f>
        <v/>
      </c>
      <c r="EE7">
        <f>INDEX($B$21:$GQ$21,MATCH(134,$B$29:$GQ$29,0))</f>
        <v/>
      </c>
      <c r="EF7">
        <f>INDEX($B$21:$GQ$21,MATCH(135,$B$29:$GQ$29,0))</f>
        <v/>
      </c>
      <c r="EG7">
        <f>INDEX($B$21:$GQ$21,MATCH(136,$B$29:$GQ$29,0))</f>
        <v/>
      </c>
      <c r="EH7">
        <f>INDEX($B$21:$GQ$21,MATCH(137,$B$29:$GQ$29,0))</f>
        <v/>
      </c>
      <c r="EI7">
        <f>INDEX($B$21:$GQ$21,MATCH(138,$B$29:$GQ$29,0))</f>
        <v/>
      </c>
      <c r="EJ7">
        <f>INDEX($B$21:$GQ$21,MATCH(139,$B$29:$GQ$29,0))</f>
        <v/>
      </c>
      <c r="EK7">
        <f>INDEX($B$21:$GQ$21,MATCH(140,$B$29:$GQ$29,0))</f>
        <v/>
      </c>
      <c r="EL7">
        <f>INDEX($B$21:$GQ$21,MATCH(141,$B$29:$GQ$29,0))</f>
        <v/>
      </c>
      <c r="EM7">
        <f>INDEX($B$21:$GQ$21,MATCH(142,$B$29:$GQ$29,0))</f>
        <v/>
      </c>
      <c r="EN7">
        <f>INDEX($B$21:$GQ$21,MATCH(143,$B$29:$GQ$29,0))</f>
        <v/>
      </c>
      <c r="EO7">
        <f>INDEX($B$21:$GQ$21,MATCH(144,$B$29:$GQ$29,0))</f>
        <v/>
      </c>
      <c r="EP7">
        <f>INDEX($B$21:$GQ$21,MATCH(145,$B$29:$GQ$29,0))</f>
        <v/>
      </c>
      <c r="EQ7">
        <f>INDEX($B$21:$GQ$21,MATCH(146,$B$29:$GQ$29,0))</f>
        <v/>
      </c>
      <c r="ER7">
        <f>INDEX($B$21:$GQ$21,MATCH(147,$B$29:$GQ$29,0))</f>
        <v/>
      </c>
      <c r="ES7">
        <f>INDEX($B$21:$GQ$21,MATCH(148,$B$29:$GQ$29,0))</f>
        <v/>
      </c>
      <c r="ET7">
        <f>INDEX($B$21:$GQ$21,MATCH(149,$B$29:$GQ$29,0))</f>
        <v/>
      </c>
      <c r="EU7">
        <f>INDEX($B$21:$GQ$21,MATCH(150,$B$29:$GQ$29,0))</f>
        <v/>
      </c>
      <c r="EV7">
        <f>INDEX($B$21:$GQ$21,MATCH(151,$B$29:$GQ$29,0))</f>
        <v/>
      </c>
      <c r="EW7">
        <f>INDEX($B$21:$GQ$21,MATCH(152,$B$29:$GQ$29,0))</f>
        <v/>
      </c>
      <c r="EX7">
        <f>INDEX($B$21:$GQ$21,MATCH(153,$B$29:$GQ$29,0))</f>
        <v/>
      </c>
      <c r="EY7">
        <f>INDEX($B$21:$GQ$21,MATCH(154,$B$29:$GQ$29,0))</f>
        <v/>
      </c>
      <c r="EZ7">
        <f>INDEX($B$21:$GQ$21,MATCH(155,$B$29:$GQ$29,0))</f>
        <v/>
      </c>
      <c r="FA7">
        <f>INDEX($B$21:$GQ$21,MATCH(156,$B$29:$GQ$29,0))</f>
        <v/>
      </c>
      <c r="FB7">
        <f>INDEX($B$21:$GQ$21,MATCH(157,$B$29:$GQ$29,0))</f>
        <v/>
      </c>
      <c r="FC7">
        <f>INDEX($B$21:$GQ$21,MATCH(158,$B$29:$GQ$29,0))</f>
        <v/>
      </c>
      <c r="FD7">
        <f>INDEX($B$21:$GQ$21,MATCH(159,$B$29:$GQ$29,0))</f>
        <v/>
      </c>
      <c r="FE7">
        <f>INDEX($B$21:$GQ$21,MATCH(160,$B$29:$GQ$29,0))</f>
        <v/>
      </c>
      <c r="FF7">
        <f>INDEX($B$21:$GQ$21,MATCH(161,$B$29:$GQ$29,0))</f>
        <v/>
      </c>
      <c r="FG7">
        <f>INDEX($B$21:$GQ$21,MATCH(162,$B$29:$GQ$29,0))</f>
        <v/>
      </c>
      <c r="FH7">
        <f>INDEX($B$21:$GQ$21,MATCH(163,$B$29:$GQ$29,0))</f>
        <v/>
      </c>
      <c r="FI7">
        <f>INDEX($B$21:$GQ$21,MATCH(164,$B$29:$GQ$29,0))</f>
        <v/>
      </c>
      <c r="FJ7">
        <f>INDEX($B$21:$GQ$21,MATCH(165,$B$29:$GQ$29,0))</f>
        <v/>
      </c>
      <c r="FK7">
        <f>INDEX($B$21:$GQ$21,MATCH(166,$B$29:$GQ$29,0))</f>
        <v/>
      </c>
      <c r="FL7">
        <f>INDEX($B$21:$GQ$21,MATCH(167,$B$29:$GQ$29,0))</f>
        <v/>
      </c>
      <c r="FM7">
        <f>INDEX($B$21:$GQ$21,MATCH(168,$B$29:$GQ$29,0))</f>
        <v/>
      </c>
      <c r="FN7">
        <f>INDEX($B$21:$GQ$21,MATCH(169,$B$29:$GQ$29,0))</f>
        <v/>
      </c>
      <c r="FO7">
        <f>INDEX($B$21:$GQ$21,MATCH(170,$B$29:$GQ$29,0))</f>
        <v/>
      </c>
      <c r="FP7">
        <f>INDEX($B$21:$GQ$21,MATCH(171,$B$29:$GQ$29,0))</f>
        <v/>
      </c>
      <c r="FQ7">
        <f>INDEX($B$21:$GQ$21,MATCH(172,$B$29:$GQ$29,0))</f>
        <v/>
      </c>
      <c r="FR7">
        <f>INDEX($B$21:$GQ$21,MATCH(173,$B$29:$GQ$29,0))</f>
        <v/>
      </c>
      <c r="FS7">
        <f>INDEX($B$21:$GQ$21,MATCH(174,$B$29:$GQ$29,0))</f>
        <v/>
      </c>
      <c r="FT7">
        <f>INDEX($B$21:$GQ$21,MATCH(175,$B$29:$GQ$29,0))</f>
        <v/>
      </c>
      <c r="FU7">
        <f>INDEX($B$21:$GQ$21,MATCH(176,$B$29:$GQ$29,0))</f>
        <v/>
      </c>
      <c r="FV7">
        <f>INDEX($B$21:$GQ$21,MATCH(177,$B$29:$GQ$29,0))</f>
        <v/>
      </c>
      <c r="FW7">
        <f>INDEX($B$21:$GQ$21,MATCH(178,$B$29:$GQ$29,0))</f>
        <v/>
      </c>
      <c r="FX7">
        <f>INDEX($B$21:$GQ$21,MATCH(179,$B$29:$GQ$29,0))</f>
        <v/>
      </c>
      <c r="FY7">
        <f>INDEX($B$21:$GQ$21,MATCH(180,$B$29:$GQ$29,0))</f>
        <v/>
      </c>
      <c r="FZ7">
        <f>INDEX($B$21:$GQ$21,MATCH(181,$B$29:$GQ$29,0))</f>
        <v/>
      </c>
      <c r="GA7">
        <f>INDEX($B$21:$GQ$21,MATCH(182,$B$29:$GQ$29,0))</f>
        <v/>
      </c>
      <c r="GB7">
        <f>INDEX($B$21:$GQ$21,MATCH(183,$B$29:$GQ$29,0))</f>
        <v/>
      </c>
      <c r="GC7">
        <f>INDEX($B$21:$GQ$21,MATCH(184,$B$29:$GQ$29,0))</f>
        <v/>
      </c>
      <c r="GD7">
        <f>INDEX($B$21:$GQ$21,MATCH(185,$B$29:$GQ$29,0))</f>
        <v/>
      </c>
      <c r="GE7">
        <f>INDEX($B$21:$GQ$21,MATCH(186,$B$29:$GQ$29,0))</f>
        <v/>
      </c>
      <c r="GF7">
        <f>INDEX($B$21:$GQ$21,MATCH(187,$B$29:$GQ$29,0))</f>
        <v/>
      </c>
      <c r="GG7">
        <f>INDEX($B$21:$GQ$21,MATCH(188,$B$29:$GQ$29,0))</f>
        <v/>
      </c>
      <c r="GH7">
        <f>INDEX($B$21:$GQ$21,MATCH(189,$B$29:$GQ$29,0))</f>
        <v/>
      </c>
      <c r="GI7">
        <f>INDEX($B$21:$GQ$21,MATCH(190,$B$29:$GQ$29,0))</f>
        <v/>
      </c>
      <c r="GJ7">
        <f>INDEX($B$21:$GQ$21,MATCH(191,$B$29:$GQ$29,0))</f>
        <v/>
      </c>
      <c r="GK7">
        <f>INDEX($B$21:$GQ$21,MATCH(192,$B$29:$GQ$29,0))</f>
        <v/>
      </c>
      <c r="GL7">
        <f>INDEX($B$21:$GQ$21,MATCH(193,$B$29:$GQ$29,0))</f>
        <v/>
      </c>
      <c r="GM7">
        <f>INDEX($B$21:$GQ$21,MATCH(194,$B$29:$GQ$29,0))</f>
        <v/>
      </c>
      <c r="GN7">
        <f>INDEX($B$21:$GQ$21,MATCH(195,$B$29:$GQ$29,0))</f>
        <v/>
      </c>
      <c r="GO7">
        <f>INDEX($B$21:$GQ$21,MATCH(196,$B$29:$GQ$29,0))</f>
        <v/>
      </c>
      <c r="GP7">
        <f>INDEX($B$21:$GQ$21,MATCH(197,$B$29:$GQ$29,0))</f>
        <v/>
      </c>
      <c r="GQ7">
        <f>INDEX($B$21:$GQ$21,MATCH(198,$B$29:$GQ$29,0))</f>
        <v/>
      </c>
      <c r="GR7">
        <f>INDEX($GR$21:$HC$21,MATCH(1,$GR$30:$HC$30,0))</f>
        <v/>
      </c>
      <c r="GS7">
        <f>INDEX($GR$21:$HC$21,MATCH(2,$GR$30:$HC$30,0))</f>
        <v/>
      </c>
      <c r="GT7">
        <f>INDEX($GR$21:$HC$21,MATCH(3,$GR$30:$HC$30,0))</f>
        <v/>
      </c>
      <c r="GU7">
        <f>INDEX($GR$21:$HC$21,MATCH(4,$GR$30:$HC$30,0))</f>
        <v/>
      </c>
      <c r="GV7">
        <f>INDEX($GR$21:$HC$21,MATCH(5,$GR$30:$HC$30,0))</f>
        <v/>
      </c>
      <c r="GW7">
        <f>INDEX($GR$21:$HC$21,MATCH(6,$GR$30:$HC$30,0))</f>
        <v/>
      </c>
      <c r="GX7">
        <f>INDEX($GR$21:$HC$21,MATCH(7,$GR$30:$HC$30,0))</f>
        <v/>
      </c>
      <c r="GY7">
        <f>INDEX($GR$21:$HC$21,MATCH(8,$GR$30:$HC$30,0))</f>
        <v/>
      </c>
      <c r="GZ7">
        <f>INDEX($GR$21:$HC$21,MATCH(9,$GR$30:$HC$30,0))</f>
        <v/>
      </c>
      <c r="HA7">
        <f>INDEX($GR$21:$HC$21,MATCH(10,$GR$30:$HC$30,0))</f>
        <v/>
      </c>
      <c r="HB7">
        <f>INDEX($GR$21:$HC$21,MATCH(11,$GR$30:$HC$30,0))</f>
        <v/>
      </c>
      <c r="HC7">
        <f>INDEX($GR$21:$HC$21,MATCH(12,$GR$30:$HC$30,0))</f>
        <v/>
      </c>
    </row>
    <row r="8">
      <c r="A8" s="1" t="inlineStr">
        <is>
          <t>Y_dom</t>
        </is>
      </c>
      <c r="B8">
        <f>INDEX($B$22:$GQ$22,MATCH(1,$B$29:$GQ$29,0))</f>
        <v/>
      </c>
      <c r="C8">
        <f>INDEX($B$22:$GQ$22,MATCH(2,$B$29:$GQ$29,0))</f>
        <v/>
      </c>
      <c r="D8">
        <f>INDEX($B$22:$GQ$22,MATCH(3,$B$29:$GQ$29,0))</f>
        <v/>
      </c>
      <c r="E8">
        <f>INDEX($B$22:$GQ$22,MATCH(4,$B$29:$GQ$29,0))</f>
        <v/>
      </c>
      <c r="F8">
        <f>INDEX($B$22:$GQ$22,MATCH(5,$B$29:$GQ$29,0))</f>
        <v/>
      </c>
      <c r="G8">
        <f>INDEX($B$22:$GQ$22,MATCH(6,$B$29:$GQ$29,0))</f>
        <v/>
      </c>
      <c r="H8">
        <f>INDEX($B$22:$GQ$22,MATCH(7,$B$29:$GQ$29,0))</f>
        <v/>
      </c>
      <c r="I8">
        <f>INDEX($B$22:$GQ$22,MATCH(8,$B$29:$GQ$29,0))</f>
        <v/>
      </c>
      <c r="J8">
        <f>INDEX($B$22:$GQ$22,MATCH(9,$B$29:$GQ$29,0))</f>
        <v/>
      </c>
      <c r="K8">
        <f>INDEX($B$22:$GQ$22,MATCH(10,$B$29:$GQ$29,0))</f>
        <v/>
      </c>
      <c r="L8">
        <f>INDEX($B$22:$GQ$22,MATCH(11,$B$29:$GQ$29,0))</f>
        <v/>
      </c>
      <c r="M8">
        <f>INDEX($B$22:$GQ$22,MATCH(12,$B$29:$GQ$29,0))</f>
        <v/>
      </c>
      <c r="N8">
        <f>INDEX($B$22:$GQ$22,MATCH(13,$B$29:$GQ$29,0))</f>
        <v/>
      </c>
      <c r="O8">
        <f>INDEX($B$22:$GQ$22,MATCH(14,$B$29:$GQ$29,0))</f>
        <v/>
      </c>
      <c r="P8">
        <f>INDEX($B$22:$GQ$22,MATCH(15,$B$29:$GQ$29,0))</f>
        <v/>
      </c>
      <c r="Q8">
        <f>INDEX($B$22:$GQ$22,MATCH(16,$B$29:$GQ$29,0))</f>
        <v/>
      </c>
      <c r="R8">
        <f>INDEX($B$22:$GQ$22,MATCH(17,$B$29:$GQ$29,0))</f>
        <v/>
      </c>
      <c r="S8">
        <f>INDEX($B$22:$GQ$22,MATCH(18,$B$29:$GQ$29,0))</f>
        <v/>
      </c>
      <c r="T8">
        <f>INDEX($B$22:$GQ$22,MATCH(19,$B$29:$GQ$29,0))</f>
        <v/>
      </c>
      <c r="U8">
        <f>INDEX($B$22:$GQ$22,MATCH(20,$B$29:$GQ$29,0))</f>
        <v/>
      </c>
      <c r="V8">
        <f>INDEX($B$22:$GQ$22,MATCH(21,$B$29:$GQ$29,0))</f>
        <v/>
      </c>
      <c r="W8">
        <f>INDEX($B$22:$GQ$22,MATCH(22,$B$29:$GQ$29,0))</f>
        <v/>
      </c>
      <c r="X8">
        <f>INDEX($B$22:$GQ$22,MATCH(23,$B$29:$GQ$29,0))</f>
        <v/>
      </c>
      <c r="Y8">
        <f>INDEX($B$22:$GQ$22,MATCH(24,$B$29:$GQ$29,0))</f>
        <v/>
      </c>
      <c r="Z8">
        <f>INDEX($B$22:$GQ$22,MATCH(25,$B$29:$GQ$29,0))</f>
        <v/>
      </c>
      <c r="AA8">
        <f>INDEX($B$22:$GQ$22,MATCH(26,$B$29:$GQ$29,0))</f>
        <v/>
      </c>
      <c r="AB8">
        <f>INDEX($B$22:$GQ$22,MATCH(27,$B$29:$GQ$29,0))</f>
        <v/>
      </c>
      <c r="AC8">
        <f>INDEX($B$22:$GQ$22,MATCH(28,$B$29:$GQ$29,0))</f>
        <v/>
      </c>
      <c r="AD8">
        <f>INDEX($B$22:$GQ$22,MATCH(29,$B$29:$GQ$29,0))</f>
        <v/>
      </c>
      <c r="AE8">
        <f>INDEX($B$22:$GQ$22,MATCH(30,$B$29:$GQ$29,0))</f>
        <v/>
      </c>
      <c r="AF8">
        <f>INDEX($B$22:$GQ$22,MATCH(31,$B$29:$GQ$29,0))</f>
        <v/>
      </c>
      <c r="AG8">
        <f>INDEX($B$22:$GQ$22,MATCH(32,$B$29:$GQ$29,0))</f>
        <v/>
      </c>
      <c r="AH8">
        <f>INDEX($B$22:$GQ$22,MATCH(33,$B$29:$GQ$29,0))</f>
        <v/>
      </c>
      <c r="AI8">
        <f>INDEX($B$22:$GQ$22,MATCH(34,$B$29:$GQ$29,0))</f>
        <v/>
      </c>
      <c r="AJ8">
        <f>INDEX($B$22:$GQ$22,MATCH(35,$B$29:$GQ$29,0))</f>
        <v/>
      </c>
      <c r="AK8">
        <f>INDEX($B$22:$GQ$22,MATCH(36,$B$29:$GQ$29,0))</f>
        <v/>
      </c>
      <c r="AL8">
        <f>INDEX($B$22:$GQ$22,MATCH(37,$B$29:$GQ$29,0))</f>
        <v/>
      </c>
      <c r="AM8">
        <f>INDEX($B$22:$GQ$22,MATCH(38,$B$29:$GQ$29,0))</f>
        <v/>
      </c>
      <c r="AN8">
        <f>INDEX($B$22:$GQ$22,MATCH(39,$B$29:$GQ$29,0))</f>
        <v/>
      </c>
      <c r="AO8">
        <f>INDEX($B$22:$GQ$22,MATCH(40,$B$29:$GQ$29,0))</f>
        <v/>
      </c>
      <c r="AP8">
        <f>INDEX($B$22:$GQ$22,MATCH(41,$B$29:$GQ$29,0))</f>
        <v/>
      </c>
      <c r="AQ8">
        <f>INDEX($B$22:$GQ$22,MATCH(42,$B$29:$GQ$29,0))</f>
        <v/>
      </c>
      <c r="AR8">
        <f>INDEX($B$22:$GQ$22,MATCH(43,$B$29:$GQ$29,0))</f>
        <v/>
      </c>
      <c r="AS8">
        <f>INDEX($B$22:$GQ$22,MATCH(44,$B$29:$GQ$29,0))</f>
        <v/>
      </c>
      <c r="AT8">
        <f>INDEX($B$22:$GQ$22,MATCH(45,$B$29:$GQ$29,0))</f>
        <v/>
      </c>
      <c r="AU8">
        <f>INDEX($B$22:$GQ$22,MATCH(46,$B$29:$GQ$29,0))</f>
        <v/>
      </c>
      <c r="AV8">
        <f>INDEX($B$22:$GQ$22,MATCH(47,$B$29:$GQ$29,0))</f>
        <v/>
      </c>
      <c r="AW8">
        <f>INDEX($B$22:$GQ$22,MATCH(48,$B$29:$GQ$29,0))</f>
        <v/>
      </c>
      <c r="AX8">
        <f>INDEX($B$22:$GQ$22,MATCH(49,$B$29:$GQ$29,0))</f>
        <v/>
      </c>
      <c r="AY8">
        <f>INDEX($B$22:$GQ$22,MATCH(50,$B$29:$GQ$29,0))</f>
        <v/>
      </c>
      <c r="AZ8">
        <f>INDEX($B$22:$GQ$22,MATCH(51,$B$29:$GQ$29,0))</f>
        <v/>
      </c>
      <c r="BA8">
        <f>INDEX($B$22:$GQ$22,MATCH(52,$B$29:$GQ$29,0))</f>
        <v/>
      </c>
      <c r="BB8">
        <f>INDEX($B$22:$GQ$22,MATCH(53,$B$29:$GQ$29,0))</f>
        <v/>
      </c>
      <c r="BC8">
        <f>INDEX($B$22:$GQ$22,MATCH(54,$B$29:$GQ$29,0))</f>
        <v/>
      </c>
      <c r="BD8">
        <f>INDEX($B$22:$GQ$22,MATCH(55,$B$29:$GQ$29,0))</f>
        <v/>
      </c>
      <c r="BE8">
        <f>INDEX($B$22:$GQ$22,MATCH(56,$B$29:$GQ$29,0))</f>
        <v/>
      </c>
      <c r="BF8">
        <f>INDEX($B$22:$GQ$22,MATCH(57,$B$29:$GQ$29,0))</f>
        <v/>
      </c>
      <c r="BG8">
        <f>INDEX($B$22:$GQ$22,MATCH(58,$B$29:$GQ$29,0))</f>
        <v/>
      </c>
      <c r="BH8">
        <f>INDEX($B$22:$GQ$22,MATCH(59,$B$29:$GQ$29,0))</f>
        <v/>
      </c>
      <c r="BI8">
        <f>INDEX($B$22:$GQ$22,MATCH(60,$B$29:$GQ$29,0))</f>
        <v/>
      </c>
      <c r="BJ8">
        <f>INDEX($B$22:$GQ$22,MATCH(61,$B$29:$GQ$29,0))</f>
        <v/>
      </c>
      <c r="BK8">
        <f>INDEX($B$22:$GQ$22,MATCH(62,$B$29:$GQ$29,0))</f>
        <v/>
      </c>
      <c r="BL8">
        <f>INDEX($B$22:$GQ$22,MATCH(63,$B$29:$GQ$29,0))</f>
        <v/>
      </c>
      <c r="BM8">
        <f>INDEX($B$22:$GQ$22,MATCH(64,$B$29:$GQ$29,0))</f>
        <v/>
      </c>
      <c r="BN8">
        <f>INDEX($B$22:$GQ$22,MATCH(65,$B$29:$GQ$29,0))</f>
        <v/>
      </c>
      <c r="BO8">
        <f>INDEX($B$22:$GQ$22,MATCH(66,$B$29:$GQ$29,0))</f>
        <v/>
      </c>
      <c r="BP8">
        <f>INDEX($B$22:$GQ$22,MATCH(67,$B$29:$GQ$29,0))</f>
        <v/>
      </c>
      <c r="BQ8">
        <f>INDEX($B$22:$GQ$22,MATCH(68,$B$29:$GQ$29,0))</f>
        <v/>
      </c>
      <c r="BR8">
        <f>INDEX($B$22:$GQ$22,MATCH(69,$B$29:$GQ$29,0))</f>
        <v/>
      </c>
      <c r="BS8">
        <f>INDEX($B$22:$GQ$22,MATCH(70,$B$29:$GQ$29,0))</f>
        <v/>
      </c>
      <c r="BT8">
        <f>INDEX($B$22:$GQ$22,MATCH(71,$B$29:$GQ$29,0))</f>
        <v/>
      </c>
      <c r="BU8">
        <f>INDEX($B$22:$GQ$22,MATCH(72,$B$29:$GQ$29,0))</f>
        <v/>
      </c>
      <c r="BV8">
        <f>INDEX($B$22:$GQ$22,MATCH(73,$B$29:$GQ$29,0))</f>
        <v/>
      </c>
      <c r="BW8">
        <f>INDEX($B$22:$GQ$22,MATCH(74,$B$29:$GQ$29,0))</f>
        <v/>
      </c>
      <c r="BX8">
        <f>INDEX($B$22:$GQ$22,MATCH(75,$B$29:$GQ$29,0))</f>
        <v/>
      </c>
      <c r="BY8">
        <f>INDEX($B$22:$GQ$22,MATCH(76,$B$29:$GQ$29,0))</f>
        <v/>
      </c>
      <c r="BZ8">
        <f>INDEX($B$22:$GQ$22,MATCH(77,$B$29:$GQ$29,0))</f>
        <v/>
      </c>
      <c r="CA8">
        <f>INDEX($B$22:$GQ$22,MATCH(78,$B$29:$GQ$29,0))</f>
        <v/>
      </c>
      <c r="CB8">
        <f>INDEX($B$22:$GQ$22,MATCH(79,$B$29:$GQ$29,0))</f>
        <v/>
      </c>
      <c r="CC8">
        <f>INDEX($B$22:$GQ$22,MATCH(80,$B$29:$GQ$29,0))</f>
        <v/>
      </c>
      <c r="CD8">
        <f>INDEX($B$22:$GQ$22,MATCH(81,$B$29:$GQ$29,0))</f>
        <v/>
      </c>
      <c r="CE8">
        <f>INDEX($B$22:$GQ$22,MATCH(82,$B$29:$GQ$29,0))</f>
        <v/>
      </c>
      <c r="CF8">
        <f>INDEX($B$22:$GQ$22,MATCH(83,$B$29:$GQ$29,0))</f>
        <v/>
      </c>
      <c r="CG8">
        <f>INDEX($B$22:$GQ$22,MATCH(84,$B$29:$GQ$29,0))</f>
        <v/>
      </c>
      <c r="CH8">
        <f>INDEX($B$22:$GQ$22,MATCH(85,$B$29:$GQ$29,0))</f>
        <v/>
      </c>
      <c r="CI8">
        <f>INDEX($B$22:$GQ$22,MATCH(86,$B$29:$GQ$29,0))</f>
        <v/>
      </c>
      <c r="CJ8">
        <f>INDEX($B$22:$GQ$22,MATCH(87,$B$29:$GQ$29,0))</f>
        <v/>
      </c>
      <c r="CK8">
        <f>INDEX($B$22:$GQ$22,MATCH(88,$B$29:$GQ$29,0))</f>
        <v/>
      </c>
      <c r="CL8">
        <f>INDEX($B$22:$GQ$22,MATCH(89,$B$29:$GQ$29,0))</f>
        <v/>
      </c>
      <c r="CM8">
        <f>INDEX($B$22:$GQ$22,MATCH(90,$B$29:$GQ$29,0))</f>
        <v/>
      </c>
      <c r="CN8">
        <f>INDEX($B$22:$GQ$22,MATCH(91,$B$29:$GQ$29,0))</f>
        <v/>
      </c>
      <c r="CO8">
        <f>INDEX($B$22:$GQ$22,MATCH(92,$B$29:$GQ$29,0))</f>
        <v/>
      </c>
      <c r="CP8">
        <f>INDEX($B$22:$GQ$22,MATCH(93,$B$29:$GQ$29,0))</f>
        <v/>
      </c>
      <c r="CQ8">
        <f>INDEX($B$22:$GQ$22,MATCH(94,$B$29:$GQ$29,0))</f>
        <v/>
      </c>
      <c r="CR8">
        <f>INDEX($B$22:$GQ$22,MATCH(95,$B$29:$GQ$29,0))</f>
        <v/>
      </c>
      <c r="CS8">
        <f>INDEX($B$22:$GQ$22,MATCH(96,$B$29:$GQ$29,0))</f>
        <v/>
      </c>
      <c r="CT8">
        <f>INDEX($B$22:$GQ$22,MATCH(97,$B$29:$GQ$29,0))</f>
        <v/>
      </c>
      <c r="CU8">
        <f>INDEX($B$22:$GQ$22,MATCH(98,$B$29:$GQ$29,0))</f>
        <v/>
      </c>
      <c r="CV8">
        <f>INDEX($B$22:$GQ$22,MATCH(99,$B$29:$GQ$29,0))</f>
        <v/>
      </c>
      <c r="CW8">
        <f>INDEX($B$22:$GQ$22,MATCH(100,$B$29:$GQ$29,0))</f>
        <v/>
      </c>
      <c r="CX8">
        <f>INDEX($B$22:$GQ$22,MATCH(101,$B$29:$GQ$29,0))</f>
        <v/>
      </c>
      <c r="CY8">
        <f>INDEX($B$22:$GQ$22,MATCH(102,$B$29:$GQ$29,0))</f>
        <v/>
      </c>
      <c r="CZ8">
        <f>INDEX($B$22:$GQ$22,MATCH(103,$B$29:$GQ$29,0))</f>
        <v/>
      </c>
      <c r="DA8">
        <f>INDEX($B$22:$GQ$22,MATCH(104,$B$29:$GQ$29,0))</f>
        <v/>
      </c>
      <c r="DB8">
        <f>INDEX($B$22:$GQ$22,MATCH(105,$B$29:$GQ$29,0))</f>
        <v/>
      </c>
      <c r="DC8">
        <f>INDEX($B$22:$GQ$22,MATCH(106,$B$29:$GQ$29,0))</f>
        <v/>
      </c>
      <c r="DD8">
        <f>INDEX($B$22:$GQ$22,MATCH(107,$B$29:$GQ$29,0))</f>
        <v/>
      </c>
      <c r="DE8">
        <f>INDEX($B$22:$GQ$22,MATCH(108,$B$29:$GQ$29,0))</f>
        <v/>
      </c>
      <c r="DF8">
        <f>INDEX($B$22:$GQ$22,MATCH(109,$B$29:$GQ$29,0))</f>
        <v/>
      </c>
      <c r="DG8">
        <f>INDEX($B$22:$GQ$22,MATCH(110,$B$29:$GQ$29,0))</f>
        <v/>
      </c>
      <c r="DH8">
        <f>INDEX($B$22:$GQ$22,MATCH(111,$B$29:$GQ$29,0))</f>
        <v/>
      </c>
      <c r="DI8">
        <f>INDEX($B$22:$GQ$22,MATCH(112,$B$29:$GQ$29,0))</f>
        <v/>
      </c>
      <c r="DJ8">
        <f>INDEX($B$22:$GQ$22,MATCH(113,$B$29:$GQ$29,0))</f>
        <v/>
      </c>
      <c r="DK8">
        <f>INDEX($B$22:$GQ$22,MATCH(114,$B$29:$GQ$29,0))</f>
        <v/>
      </c>
      <c r="DL8">
        <f>INDEX($B$22:$GQ$22,MATCH(115,$B$29:$GQ$29,0))</f>
        <v/>
      </c>
      <c r="DM8">
        <f>INDEX($B$22:$GQ$22,MATCH(116,$B$29:$GQ$29,0))</f>
        <v/>
      </c>
      <c r="DN8">
        <f>INDEX($B$22:$GQ$22,MATCH(117,$B$29:$GQ$29,0))</f>
        <v/>
      </c>
      <c r="DO8">
        <f>INDEX($B$22:$GQ$22,MATCH(118,$B$29:$GQ$29,0))</f>
        <v/>
      </c>
      <c r="DP8">
        <f>INDEX($B$22:$GQ$22,MATCH(119,$B$29:$GQ$29,0))</f>
        <v/>
      </c>
      <c r="DQ8">
        <f>INDEX($B$22:$GQ$22,MATCH(120,$B$29:$GQ$29,0))</f>
        <v/>
      </c>
      <c r="DR8">
        <f>INDEX($B$22:$GQ$22,MATCH(121,$B$29:$GQ$29,0))</f>
        <v/>
      </c>
      <c r="DS8">
        <f>INDEX($B$22:$GQ$22,MATCH(122,$B$29:$GQ$29,0))</f>
        <v/>
      </c>
      <c r="DT8">
        <f>INDEX($B$22:$GQ$22,MATCH(123,$B$29:$GQ$29,0))</f>
        <v/>
      </c>
      <c r="DU8">
        <f>INDEX($B$22:$GQ$22,MATCH(124,$B$29:$GQ$29,0))</f>
        <v/>
      </c>
      <c r="DV8">
        <f>INDEX($B$22:$GQ$22,MATCH(125,$B$29:$GQ$29,0))</f>
        <v/>
      </c>
      <c r="DW8">
        <f>INDEX($B$22:$GQ$22,MATCH(126,$B$29:$GQ$29,0))</f>
        <v/>
      </c>
      <c r="DX8">
        <f>INDEX($B$22:$GQ$22,MATCH(127,$B$29:$GQ$29,0))</f>
        <v/>
      </c>
      <c r="DY8">
        <f>INDEX($B$22:$GQ$22,MATCH(128,$B$29:$GQ$29,0))</f>
        <v/>
      </c>
      <c r="DZ8">
        <f>INDEX($B$22:$GQ$22,MATCH(129,$B$29:$GQ$29,0))</f>
        <v/>
      </c>
      <c r="EA8">
        <f>INDEX($B$22:$GQ$22,MATCH(130,$B$29:$GQ$29,0))</f>
        <v/>
      </c>
      <c r="EB8">
        <f>INDEX($B$22:$GQ$22,MATCH(131,$B$29:$GQ$29,0))</f>
        <v/>
      </c>
      <c r="EC8">
        <f>INDEX($B$22:$GQ$22,MATCH(132,$B$29:$GQ$29,0))</f>
        <v/>
      </c>
      <c r="ED8">
        <f>INDEX($B$22:$GQ$22,MATCH(133,$B$29:$GQ$29,0))</f>
        <v/>
      </c>
      <c r="EE8">
        <f>INDEX($B$22:$GQ$22,MATCH(134,$B$29:$GQ$29,0))</f>
        <v/>
      </c>
      <c r="EF8">
        <f>INDEX($B$22:$GQ$22,MATCH(135,$B$29:$GQ$29,0))</f>
        <v/>
      </c>
      <c r="EG8">
        <f>INDEX($B$22:$GQ$22,MATCH(136,$B$29:$GQ$29,0))</f>
        <v/>
      </c>
      <c r="EH8">
        <f>INDEX($B$22:$GQ$22,MATCH(137,$B$29:$GQ$29,0))</f>
        <v/>
      </c>
      <c r="EI8">
        <f>INDEX($B$22:$GQ$22,MATCH(138,$B$29:$GQ$29,0))</f>
        <v/>
      </c>
      <c r="EJ8">
        <f>INDEX($B$22:$GQ$22,MATCH(139,$B$29:$GQ$29,0))</f>
        <v/>
      </c>
      <c r="EK8">
        <f>INDEX($B$22:$GQ$22,MATCH(140,$B$29:$GQ$29,0))</f>
        <v/>
      </c>
      <c r="EL8">
        <f>INDEX($B$22:$GQ$22,MATCH(141,$B$29:$GQ$29,0))</f>
        <v/>
      </c>
      <c r="EM8">
        <f>INDEX($B$22:$GQ$22,MATCH(142,$B$29:$GQ$29,0))</f>
        <v/>
      </c>
      <c r="EN8">
        <f>INDEX($B$22:$GQ$22,MATCH(143,$B$29:$GQ$29,0))</f>
        <v/>
      </c>
      <c r="EO8">
        <f>INDEX($B$22:$GQ$22,MATCH(144,$B$29:$GQ$29,0))</f>
        <v/>
      </c>
      <c r="EP8">
        <f>INDEX($B$22:$GQ$22,MATCH(145,$B$29:$GQ$29,0))</f>
        <v/>
      </c>
      <c r="EQ8">
        <f>INDEX($B$22:$GQ$22,MATCH(146,$B$29:$GQ$29,0))</f>
        <v/>
      </c>
      <c r="ER8">
        <f>INDEX($B$22:$GQ$22,MATCH(147,$B$29:$GQ$29,0))</f>
        <v/>
      </c>
      <c r="ES8">
        <f>INDEX($B$22:$GQ$22,MATCH(148,$B$29:$GQ$29,0))</f>
        <v/>
      </c>
      <c r="ET8">
        <f>INDEX($B$22:$GQ$22,MATCH(149,$B$29:$GQ$29,0))</f>
        <v/>
      </c>
      <c r="EU8">
        <f>INDEX($B$22:$GQ$22,MATCH(150,$B$29:$GQ$29,0))</f>
        <v/>
      </c>
      <c r="EV8">
        <f>INDEX($B$22:$GQ$22,MATCH(151,$B$29:$GQ$29,0))</f>
        <v/>
      </c>
      <c r="EW8">
        <f>INDEX($B$22:$GQ$22,MATCH(152,$B$29:$GQ$29,0))</f>
        <v/>
      </c>
      <c r="EX8">
        <f>INDEX($B$22:$GQ$22,MATCH(153,$B$29:$GQ$29,0))</f>
        <v/>
      </c>
      <c r="EY8">
        <f>INDEX($B$22:$GQ$22,MATCH(154,$B$29:$GQ$29,0))</f>
        <v/>
      </c>
      <c r="EZ8">
        <f>INDEX($B$22:$GQ$22,MATCH(155,$B$29:$GQ$29,0))</f>
        <v/>
      </c>
      <c r="FA8">
        <f>INDEX($B$22:$GQ$22,MATCH(156,$B$29:$GQ$29,0))</f>
        <v/>
      </c>
      <c r="FB8">
        <f>INDEX($B$22:$GQ$22,MATCH(157,$B$29:$GQ$29,0))</f>
        <v/>
      </c>
      <c r="FC8">
        <f>INDEX($B$22:$GQ$22,MATCH(158,$B$29:$GQ$29,0))</f>
        <v/>
      </c>
      <c r="FD8">
        <f>INDEX($B$22:$GQ$22,MATCH(159,$B$29:$GQ$29,0))</f>
        <v/>
      </c>
      <c r="FE8">
        <f>INDEX($B$22:$GQ$22,MATCH(160,$B$29:$GQ$29,0))</f>
        <v/>
      </c>
      <c r="FF8">
        <f>INDEX($B$22:$GQ$22,MATCH(161,$B$29:$GQ$29,0))</f>
        <v/>
      </c>
      <c r="FG8">
        <f>INDEX($B$22:$GQ$22,MATCH(162,$B$29:$GQ$29,0))</f>
        <v/>
      </c>
      <c r="FH8">
        <f>INDEX($B$22:$GQ$22,MATCH(163,$B$29:$GQ$29,0))</f>
        <v/>
      </c>
      <c r="FI8">
        <f>INDEX($B$22:$GQ$22,MATCH(164,$B$29:$GQ$29,0))</f>
        <v/>
      </c>
      <c r="FJ8">
        <f>INDEX($B$22:$GQ$22,MATCH(165,$B$29:$GQ$29,0))</f>
        <v/>
      </c>
      <c r="FK8">
        <f>INDEX($B$22:$GQ$22,MATCH(166,$B$29:$GQ$29,0))</f>
        <v/>
      </c>
      <c r="FL8">
        <f>INDEX($B$22:$GQ$22,MATCH(167,$B$29:$GQ$29,0))</f>
        <v/>
      </c>
      <c r="FM8">
        <f>INDEX($B$22:$GQ$22,MATCH(168,$B$29:$GQ$29,0))</f>
        <v/>
      </c>
      <c r="FN8">
        <f>INDEX($B$22:$GQ$22,MATCH(169,$B$29:$GQ$29,0))</f>
        <v/>
      </c>
      <c r="FO8">
        <f>INDEX($B$22:$GQ$22,MATCH(170,$B$29:$GQ$29,0))</f>
        <v/>
      </c>
      <c r="FP8">
        <f>INDEX($B$22:$GQ$22,MATCH(171,$B$29:$GQ$29,0))</f>
        <v/>
      </c>
      <c r="FQ8">
        <f>INDEX($B$22:$GQ$22,MATCH(172,$B$29:$GQ$29,0))</f>
        <v/>
      </c>
      <c r="FR8">
        <f>INDEX($B$22:$GQ$22,MATCH(173,$B$29:$GQ$29,0))</f>
        <v/>
      </c>
      <c r="FS8">
        <f>INDEX($B$22:$GQ$22,MATCH(174,$B$29:$GQ$29,0))</f>
        <v/>
      </c>
      <c r="FT8">
        <f>INDEX($B$22:$GQ$22,MATCH(175,$B$29:$GQ$29,0))</f>
        <v/>
      </c>
      <c r="FU8">
        <f>INDEX($B$22:$GQ$22,MATCH(176,$B$29:$GQ$29,0))</f>
        <v/>
      </c>
      <c r="FV8">
        <f>INDEX($B$22:$GQ$22,MATCH(177,$B$29:$GQ$29,0))</f>
        <v/>
      </c>
      <c r="FW8">
        <f>INDEX($B$22:$GQ$22,MATCH(178,$B$29:$GQ$29,0))</f>
        <v/>
      </c>
      <c r="FX8">
        <f>INDEX($B$22:$GQ$22,MATCH(179,$B$29:$GQ$29,0))</f>
        <v/>
      </c>
      <c r="FY8">
        <f>INDEX($B$22:$GQ$22,MATCH(180,$B$29:$GQ$29,0))</f>
        <v/>
      </c>
      <c r="FZ8">
        <f>INDEX($B$22:$GQ$22,MATCH(181,$B$29:$GQ$29,0))</f>
        <v/>
      </c>
      <c r="GA8">
        <f>INDEX($B$22:$GQ$22,MATCH(182,$B$29:$GQ$29,0))</f>
        <v/>
      </c>
      <c r="GB8">
        <f>INDEX($B$22:$GQ$22,MATCH(183,$B$29:$GQ$29,0))</f>
        <v/>
      </c>
      <c r="GC8">
        <f>INDEX($B$22:$GQ$22,MATCH(184,$B$29:$GQ$29,0))</f>
        <v/>
      </c>
      <c r="GD8">
        <f>INDEX($B$22:$GQ$22,MATCH(185,$B$29:$GQ$29,0))</f>
        <v/>
      </c>
      <c r="GE8">
        <f>INDEX($B$22:$GQ$22,MATCH(186,$B$29:$GQ$29,0))</f>
        <v/>
      </c>
      <c r="GF8">
        <f>INDEX($B$22:$GQ$22,MATCH(187,$B$29:$GQ$29,0))</f>
        <v/>
      </c>
      <c r="GG8">
        <f>INDEX($B$22:$GQ$22,MATCH(188,$B$29:$GQ$29,0))</f>
        <v/>
      </c>
      <c r="GH8">
        <f>INDEX($B$22:$GQ$22,MATCH(189,$B$29:$GQ$29,0))</f>
        <v/>
      </c>
      <c r="GI8">
        <f>INDEX($B$22:$GQ$22,MATCH(190,$B$29:$GQ$29,0))</f>
        <v/>
      </c>
      <c r="GJ8">
        <f>INDEX($B$22:$GQ$22,MATCH(191,$B$29:$GQ$29,0))</f>
        <v/>
      </c>
      <c r="GK8">
        <f>INDEX($B$22:$GQ$22,MATCH(192,$B$29:$GQ$29,0))</f>
        <v/>
      </c>
      <c r="GL8">
        <f>INDEX($B$22:$GQ$22,MATCH(193,$B$29:$GQ$29,0))</f>
        <v/>
      </c>
      <c r="GM8">
        <f>INDEX($B$22:$GQ$22,MATCH(194,$B$29:$GQ$29,0))</f>
        <v/>
      </c>
      <c r="GN8">
        <f>INDEX($B$22:$GQ$22,MATCH(195,$B$29:$GQ$29,0))</f>
        <v/>
      </c>
      <c r="GO8">
        <f>INDEX($B$22:$GQ$22,MATCH(196,$B$29:$GQ$29,0))</f>
        <v/>
      </c>
      <c r="GP8">
        <f>INDEX($B$22:$GQ$22,MATCH(197,$B$29:$GQ$29,0))</f>
        <v/>
      </c>
      <c r="GQ8">
        <f>INDEX($B$22:$GQ$22,MATCH(198,$B$29:$GQ$29,0))</f>
        <v/>
      </c>
      <c r="GR8">
        <f>INDEX($GR$22:$HC$22,MATCH(1,$GR$30:$HC$30,0))</f>
        <v/>
      </c>
      <c r="GS8">
        <f>INDEX($GR$22:$HC$22,MATCH(2,$GR$30:$HC$30,0))</f>
        <v/>
      </c>
      <c r="GT8">
        <f>INDEX($GR$22:$HC$22,MATCH(3,$GR$30:$HC$30,0))</f>
        <v/>
      </c>
      <c r="GU8">
        <f>INDEX($GR$22:$HC$22,MATCH(4,$GR$30:$HC$30,0))</f>
        <v/>
      </c>
      <c r="GV8">
        <f>INDEX($GR$22:$HC$22,MATCH(5,$GR$30:$HC$30,0))</f>
        <v/>
      </c>
      <c r="GW8">
        <f>INDEX($GR$22:$HC$22,MATCH(6,$GR$30:$HC$30,0))</f>
        <v/>
      </c>
      <c r="GX8">
        <f>INDEX($GR$22:$HC$22,MATCH(7,$GR$30:$HC$30,0))</f>
        <v/>
      </c>
      <c r="GY8">
        <f>INDEX($GR$22:$HC$22,MATCH(8,$GR$30:$HC$30,0))</f>
        <v/>
      </c>
      <c r="GZ8">
        <f>INDEX($GR$22:$HC$22,MATCH(9,$GR$30:$HC$30,0))</f>
        <v/>
      </c>
      <c r="HA8">
        <f>INDEX($GR$22:$HC$22,MATCH(10,$GR$30:$HC$30,0))</f>
        <v/>
      </c>
      <c r="HB8">
        <f>INDEX($GR$22:$HC$22,MATCH(11,$GR$30:$HC$30,0))</f>
        <v/>
      </c>
      <c r="HC8">
        <f>INDEX($GR$22:$HC$22,MATCH(12,$GR$30:$HC$30,0))</f>
        <v/>
      </c>
    </row>
    <row r="9">
      <c r="A9" s="1" t="inlineStr">
        <is>
          <t>M_imp*Y_dom</t>
        </is>
      </c>
      <c r="B9">
        <f>INDEX($B$23:$GQ$23,MATCH(1,$B$29:$GQ$29,0))</f>
        <v/>
      </c>
      <c r="C9">
        <f>INDEX($B$23:$GQ$23,MATCH(2,$B$29:$GQ$29,0))</f>
        <v/>
      </c>
      <c r="D9">
        <f>INDEX($B$23:$GQ$23,MATCH(3,$B$29:$GQ$29,0))</f>
        <v/>
      </c>
      <c r="E9">
        <f>INDEX($B$23:$GQ$23,MATCH(4,$B$29:$GQ$29,0))</f>
        <v/>
      </c>
      <c r="F9">
        <f>INDEX($B$23:$GQ$23,MATCH(5,$B$29:$GQ$29,0))</f>
        <v/>
      </c>
      <c r="G9">
        <f>INDEX($B$23:$GQ$23,MATCH(6,$B$29:$GQ$29,0))</f>
        <v/>
      </c>
      <c r="H9">
        <f>INDEX($B$23:$GQ$23,MATCH(7,$B$29:$GQ$29,0))</f>
        <v/>
      </c>
      <c r="I9">
        <f>INDEX($B$23:$GQ$23,MATCH(8,$B$29:$GQ$29,0))</f>
        <v/>
      </c>
      <c r="J9">
        <f>INDEX($B$23:$GQ$23,MATCH(9,$B$29:$GQ$29,0))</f>
        <v/>
      </c>
      <c r="K9">
        <f>INDEX($B$23:$GQ$23,MATCH(10,$B$29:$GQ$29,0))</f>
        <v/>
      </c>
      <c r="L9">
        <f>INDEX($B$23:$GQ$23,MATCH(11,$B$29:$GQ$29,0))</f>
        <v/>
      </c>
      <c r="M9">
        <f>INDEX($B$23:$GQ$23,MATCH(12,$B$29:$GQ$29,0))</f>
        <v/>
      </c>
      <c r="N9">
        <f>INDEX($B$23:$GQ$23,MATCH(13,$B$29:$GQ$29,0))</f>
        <v/>
      </c>
      <c r="O9">
        <f>INDEX($B$23:$GQ$23,MATCH(14,$B$29:$GQ$29,0))</f>
        <v/>
      </c>
      <c r="P9">
        <f>INDEX($B$23:$GQ$23,MATCH(15,$B$29:$GQ$29,0))</f>
        <v/>
      </c>
      <c r="Q9">
        <f>INDEX($B$23:$GQ$23,MATCH(16,$B$29:$GQ$29,0))</f>
        <v/>
      </c>
      <c r="R9">
        <f>INDEX($B$23:$GQ$23,MATCH(17,$B$29:$GQ$29,0))</f>
        <v/>
      </c>
      <c r="S9">
        <f>INDEX($B$23:$GQ$23,MATCH(18,$B$29:$GQ$29,0))</f>
        <v/>
      </c>
      <c r="T9">
        <f>INDEX($B$23:$GQ$23,MATCH(19,$B$29:$GQ$29,0))</f>
        <v/>
      </c>
      <c r="U9">
        <f>INDEX($B$23:$GQ$23,MATCH(20,$B$29:$GQ$29,0))</f>
        <v/>
      </c>
      <c r="V9">
        <f>INDEX($B$23:$GQ$23,MATCH(21,$B$29:$GQ$29,0))</f>
        <v/>
      </c>
      <c r="W9">
        <f>INDEX($B$23:$GQ$23,MATCH(22,$B$29:$GQ$29,0))</f>
        <v/>
      </c>
      <c r="X9">
        <f>INDEX($B$23:$GQ$23,MATCH(23,$B$29:$GQ$29,0))</f>
        <v/>
      </c>
      <c r="Y9">
        <f>INDEX($B$23:$GQ$23,MATCH(24,$B$29:$GQ$29,0))</f>
        <v/>
      </c>
      <c r="Z9">
        <f>INDEX($B$23:$GQ$23,MATCH(25,$B$29:$GQ$29,0))</f>
        <v/>
      </c>
      <c r="AA9">
        <f>INDEX($B$23:$GQ$23,MATCH(26,$B$29:$GQ$29,0))</f>
        <v/>
      </c>
      <c r="AB9">
        <f>INDEX($B$23:$GQ$23,MATCH(27,$B$29:$GQ$29,0))</f>
        <v/>
      </c>
      <c r="AC9">
        <f>INDEX($B$23:$GQ$23,MATCH(28,$B$29:$GQ$29,0))</f>
        <v/>
      </c>
      <c r="AD9">
        <f>INDEX($B$23:$GQ$23,MATCH(29,$B$29:$GQ$29,0))</f>
        <v/>
      </c>
      <c r="AE9">
        <f>INDEX($B$23:$GQ$23,MATCH(30,$B$29:$GQ$29,0))</f>
        <v/>
      </c>
      <c r="AF9">
        <f>INDEX($B$23:$GQ$23,MATCH(31,$B$29:$GQ$29,0))</f>
        <v/>
      </c>
      <c r="AG9">
        <f>INDEX($B$23:$GQ$23,MATCH(32,$B$29:$GQ$29,0))</f>
        <v/>
      </c>
      <c r="AH9">
        <f>INDEX($B$23:$GQ$23,MATCH(33,$B$29:$GQ$29,0))</f>
        <v/>
      </c>
      <c r="AI9">
        <f>INDEX($B$23:$GQ$23,MATCH(34,$B$29:$GQ$29,0))</f>
        <v/>
      </c>
      <c r="AJ9">
        <f>INDEX($B$23:$GQ$23,MATCH(35,$B$29:$GQ$29,0))</f>
        <v/>
      </c>
      <c r="AK9">
        <f>INDEX($B$23:$GQ$23,MATCH(36,$B$29:$GQ$29,0))</f>
        <v/>
      </c>
      <c r="AL9">
        <f>INDEX($B$23:$GQ$23,MATCH(37,$B$29:$GQ$29,0))</f>
        <v/>
      </c>
      <c r="AM9">
        <f>INDEX($B$23:$GQ$23,MATCH(38,$B$29:$GQ$29,0))</f>
        <v/>
      </c>
      <c r="AN9">
        <f>INDEX($B$23:$GQ$23,MATCH(39,$B$29:$GQ$29,0))</f>
        <v/>
      </c>
      <c r="AO9">
        <f>INDEX($B$23:$GQ$23,MATCH(40,$B$29:$GQ$29,0))</f>
        <v/>
      </c>
      <c r="AP9">
        <f>INDEX($B$23:$GQ$23,MATCH(41,$B$29:$GQ$29,0))</f>
        <v/>
      </c>
      <c r="AQ9">
        <f>INDEX($B$23:$GQ$23,MATCH(42,$B$29:$GQ$29,0))</f>
        <v/>
      </c>
      <c r="AR9">
        <f>INDEX($B$23:$GQ$23,MATCH(43,$B$29:$GQ$29,0))</f>
        <v/>
      </c>
      <c r="AS9">
        <f>INDEX($B$23:$GQ$23,MATCH(44,$B$29:$GQ$29,0))</f>
        <v/>
      </c>
      <c r="AT9">
        <f>INDEX($B$23:$GQ$23,MATCH(45,$B$29:$GQ$29,0))</f>
        <v/>
      </c>
      <c r="AU9">
        <f>INDEX($B$23:$GQ$23,MATCH(46,$B$29:$GQ$29,0))</f>
        <v/>
      </c>
      <c r="AV9">
        <f>INDEX($B$23:$GQ$23,MATCH(47,$B$29:$GQ$29,0))</f>
        <v/>
      </c>
      <c r="AW9">
        <f>INDEX($B$23:$GQ$23,MATCH(48,$B$29:$GQ$29,0))</f>
        <v/>
      </c>
      <c r="AX9">
        <f>INDEX($B$23:$GQ$23,MATCH(49,$B$29:$GQ$29,0))</f>
        <v/>
      </c>
      <c r="AY9">
        <f>INDEX($B$23:$GQ$23,MATCH(50,$B$29:$GQ$29,0))</f>
        <v/>
      </c>
      <c r="AZ9">
        <f>INDEX($B$23:$GQ$23,MATCH(51,$B$29:$GQ$29,0))</f>
        <v/>
      </c>
      <c r="BA9">
        <f>INDEX($B$23:$GQ$23,MATCH(52,$B$29:$GQ$29,0))</f>
        <v/>
      </c>
      <c r="BB9">
        <f>INDEX($B$23:$GQ$23,MATCH(53,$B$29:$GQ$29,0))</f>
        <v/>
      </c>
      <c r="BC9">
        <f>INDEX($B$23:$GQ$23,MATCH(54,$B$29:$GQ$29,0))</f>
        <v/>
      </c>
      <c r="BD9">
        <f>INDEX($B$23:$GQ$23,MATCH(55,$B$29:$GQ$29,0))</f>
        <v/>
      </c>
      <c r="BE9">
        <f>INDEX($B$23:$GQ$23,MATCH(56,$B$29:$GQ$29,0))</f>
        <v/>
      </c>
      <c r="BF9">
        <f>INDEX($B$23:$GQ$23,MATCH(57,$B$29:$GQ$29,0))</f>
        <v/>
      </c>
      <c r="BG9">
        <f>INDEX($B$23:$GQ$23,MATCH(58,$B$29:$GQ$29,0))</f>
        <v/>
      </c>
      <c r="BH9">
        <f>INDEX($B$23:$GQ$23,MATCH(59,$B$29:$GQ$29,0))</f>
        <v/>
      </c>
      <c r="BI9">
        <f>INDEX($B$23:$GQ$23,MATCH(60,$B$29:$GQ$29,0))</f>
        <v/>
      </c>
      <c r="BJ9">
        <f>INDEX($B$23:$GQ$23,MATCH(61,$B$29:$GQ$29,0))</f>
        <v/>
      </c>
      <c r="BK9">
        <f>INDEX($B$23:$GQ$23,MATCH(62,$B$29:$GQ$29,0))</f>
        <v/>
      </c>
      <c r="BL9">
        <f>INDEX($B$23:$GQ$23,MATCH(63,$B$29:$GQ$29,0))</f>
        <v/>
      </c>
      <c r="BM9">
        <f>INDEX($B$23:$GQ$23,MATCH(64,$B$29:$GQ$29,0))</f>
        <v/>
      </c>
      <c r="BN9">
        <f>INDEX($B$23:$GQ$23,MATCH(65,$B$29:$GQ$29,0))</f>
        <v/>
      </c>
      <c r="BO9">
        <f>INDEX($B$23:$GQ$23,MATCH(66,$B$29:$GQ$29,0))</f>
        <v/>
      </c>
      <c r="BP9">
        <f>INDEX($B$23:$GQ$23,MATCH(67,$B$29:$GQ$29,0))</f>
        <v/>
      </c>
      <c r="BQ9">
        <f>INDEX($B$23:$GQ$23,MATCH(68,$B$29:$GQ$29,0))</f>
        <v/>
      </c>
      <c r="BR9">
        <f>INDEX($B$23:$GQ$23,MATCH(69,$B$29:$GQ$29,0))</f>
        <v/>
      </c>
      <c r="BS9">
        <f>INDEX($B$23:$GQ$23,MATCH(70,$B$29:$GQ$29,0))</f>
        <v/>
      </c>
      <c r="BT9">
        <f>INDEX($B$23:$GQ$23,MATCH(71,$B$29:$GQ$29,0))</f>
        <v/>
      </c>
      <c r="BU9">
        <f>INDEX($B$23:$GQ$23,MATCH(72,$B$29:$GQ$29,0))</f>
        <v/>
      </c>
      <c r="BV9">
        <f>INDEX($B$23:$GQ$23,MATCH(73,$B$29:$GQ$29,0))</f>
        <v/>
      </c>
      <c r="BW9">
        <f>INDEX($B$23:$GQ$23,MATCH(74,$B$29:$GQ$29,0))</f>
        <v/>
      </c>
      <c r="BX9">
        <f>INDEX($B$23:$GQ$23,MATCH(75,$B$29:$GQ$29,0))</f>
        <v/>
      </c>
      <c r="BY9">
        <f>INDEX($B$23:$GQ$23,MATCH(76,$B$29:$GQ$29,0))</f>
        <v/>
      </c>
      <c r="BZ9">
        <f>INDEX($B$23:$GQ$23,MATCH(77,$B$29:$GQ$29,0))</f>
        <v/>
      </c>
      <c r="CA9">
        <f>INDEX($B$23:$GQ$23,MATCH(78,$B$29:$GQ$29,0))</f>
        <v/>
      </c>
      <c r="CB9">
        <f>INDEX($B$23:$GQ$23,MATCH(79,$B$29:$GQ$29,0))</f>
        <v/>
      </c>
      <c r="CC9">
        <f>INDEX($B$23:$GQ$23,MATCH(80,$B$29:$GQ$29,0))</f>
        <v/>
      </c>
      <c r="CD9">
        <f>INDEX($B$23:$GQ$23,MATCH(81,$B$29:$GQ$29,0))</f>
        <v/>
      </c>
      <c r="CE9">
        <f>INDEX($B$23:$GQ$23,MATCH(82,$B$29:$GQ$29,0))</f>
        <v/>
      </c>
      <c r="CF9">
        <f>INDEX($B$23:$GQ$23,MATCH(83,$B$29:$GQ$29,0))</f>
        <v/>
      </c>
      <c r="CG9">
        <f>INDEX($B$23:$GQ$23,MATCH(84,$B$29:$GQ$29,0))</f>
        <v/>
      </c>
      <c r="CH9">
        <f>INDEX($B$23:$GQ$23,MATCH(85,$B$29:$GQ$29,0))</f>
        <v/>
      </c>
      <c r="CI9">
        <f>INDEX($B$23:$GQ$23,MATCH(86,$B$29:$GQ$29,0))</f>
        <v/>
      </c>
      <c r="CJ9">
        <f>INDEX($B$23:$GQ$23,MATCH(87,$B$29:$GQ$29,0))</f>
        <v/>
      </c>
      <c r="CK9">
        <f>INDEX($B$23:$GQ$23,MATCH(88,$B$29:$GQ$29,0))</f>
        <v/>
      </c>
      <c r="CL9">
        <f>INDEX($B$23:$GQ$23,MATCH(89,$B$29:$GQ$29,0))</f>
        <v/>
      </c>
      <c r="CM9">
        <f>INDEX($B$23:$GQ$23,MATCH(90,$B$29:$GQ$29,0))</f>
        <v/>
      </c>
      <c r="CN9">
        <f>INDEX($B$23:$GQ$23,MATCH(91,$B$29:$GQ$29,0))</f>
        <v/>
      </c>
      <c r="CO9">
        <f>INDEX($B$23:$GQ$23,MATCH(92,$B$29:$GQ$29,0))</f>
        <v/>
      </c>
      <c r="CP9">
        <f>INDEX($B$23:$GQ$23,MATCH(93,$B$29:$GQ$29,0))</f>
        <v/>
      </c>
      <c r="CQ9">
        <f>INDEX($B$23:$GQ$23,MATCH(94,$B$29:$GQ$29,0))</f>
        <v/>
      </c>
      <c r="CR9">
        <f>INDEX($B$23:$GQ$23,MATCH(95,$B$29:$GQ$29,0))</f>
        <v/>
      </c>
      <c r="CS9">
        <f>INDEX($B$23:$GQ$23,MATCH(96,$B$29:$GQ$29,0))</f>
        <v/>
      </c>
      <c r="CT9">
        <f>INDEX($B$23:$GQ$23,MATCH(97,$B$29:$GQ$29,0))</f>
        <v/>
      </c>
      <c r="CU9">
        <f>INDEX($B$23:$GQ$23,MATCH(98,$B$29:$GQ$29,0))</f>
        <v/>
      </c>
      <c r="CV9">
        <f>INDEX($B$23:$GQ$23,MATCH(99,$B$29:$GQ$29,0))</f>
        <v/>
      </c>
      <c r="CW9">
        <f>INDEX($B$23:$GQ$23,MATCH(100,$B$29:$GQ$29,0))</f>
        <v/>
      </c>
      <c r="CX9">
        <f>INDEX($B$23:$GQ$23,MATCH(101,$B$29:$GQ$29,0))</f>
        <v/>
      </c>
      <c r="CY9">
        <f>INDEX($B$23:$GQ$23,MATCH(102,$B$29:$GQ$29,0))</f>
        <v/>
      </c>
      <c r="CZ9">
        <f>INDEX($B$23:$GQ$23,MATCH(103,$B$29:$GQ$29,0))</f>
        <v/>
      </c>
      <c r="DA9">
        <f>INDEX($B$23:$GQ$23,MATCH(104,$B$29:$GQ$29,0))</f>
        <v/>
      </c>
      <c r="DB9">
        <f>INDEX($B$23:$GQ$23,MATCH(105,$B$29:$GQ$29,0))</f>
        <v/>
      </c>
      <c r="DC9">
        <f>INDEX($B$23:$GQ$23,MATCH(106,$B$29:$GQ$29,0))</f>
        <v/>
      </c>
      <c r="DD9">
        <f>INDEX($B$23:$GQ$23,MATCH(107,$B$29:$GQ$29,0))</f>
        <v/>
      </c>
      <c r="DE9">
        <f>INDEX($B$23:$GQ$23,MATCH(108,$B$29:$GQ$29,0))</f>
        <v/>
      </c>
      <c r="DF9">
        <f>INDEX($B$23:$GQ$23,MATCH(109,$B$29:$GQ$29,0))</f>
        <v/>
      </c>
      <c r="DG9">
        <f>INDEX($B$23:$GQ$23,MATCH(110,$B$29:$GQ$29,0))</f>
        <v/>
      </c>
      <c r="DH9">
        <f>INDEX($B$23:$GQ$23,MATCH(111,$B$29:$GQ$29,0))</f>
        <v/>
      </c>
      <c r="DI9">
        <f>INDEX($B$23:$GQ$23,MATCH(112,$B$29:$GQ$29,0))</f>
        <v/>
      </c>
      <c r="DJ9">
        <f>INDEX($B$23:$GQ$23,MATCH(113,$B$29:$GQ$29,0))</f>
        <v/>
      </c>
      <c r="DK9">
        <f>INDEX($B$23:$GQ$23,MATCH(114,$B$29:$GQ$29,0))</f>
        <v/>
      </c>
      <c r="DL9">
        <f>INDEX($B$23:$GQ$23,MATCH(115,$B$29:$GQ$29,0))</f>
        <v/>
      </c>
      <c r="DM9">
        <f>INDEX($B$23:$GQ$23,MATCH(116,$B$29:$GQ$29,0))</f>
        <v/>
      </c>
      <c r="DN9">
        <f>INDEX($B$23:$GQ$23,MATCH(117,$B$29:$GQ$29,0))</f>
        <v/>
      </c>
      <c r="DO9">
        <f>INDEX($B$23:$GQ$23,MATCH(118,$B$29:$GQ$29,0))</f>
        <v/>
      </c>
      <c r="DP9">
        <f>INDEX($B$23:$GQ$23,MATCH(119,$B$29:$GQ$29,0))</f>
        <v/>
      </c>
      <c r="DQ9">
        <f>INDEX($B$23:$GQ$23,MATCH(120,$B$29:$GQ$29,0))</f>
        <v/>
      </c>
      <c r="DR9">
        <f>INDEX($B$23:$GQ$23,MATCH(121,$B$29:$GQ$29,0))</f>
        <v/>
      </c>
      <c r="DS9">
        <f>INDEX($B$23:$GQ$23,MATCH(122,$B$29:$GQ$29,0))</f>
        <v/>
      </c>
      <c r="DT9">
        <f>INDEX($B$23:$GQ$23,MATCH(123,$B$29:$GQ$29,0))</f>
        <v/>
      </c>
      <c r="DU9">
        <f>INDEX($B$23:$GQ$23,MATCH(124,$B$29:$GQ$29,0))</f>
        <v/>
      </c>
      <c r="DV9">
        <f>INDEX($B$23:$GQ$23,MATCH(125,$B$29:$GQ$29,0))</f>
        <v/>
      </c>
      <c r="DW9">
        <f>INDEX($B$23:$GQ$23,MATCH(126,$B$29:$GQ$29,0))</f>
        <v/>
      </c>
      <c r="DX9">
        <f>INDEX($B$23:$GQ$23,MATCH(127,$B$29:$GQ$29,0))</f>
        <v/>
      </c>
      <c r="DY9">
        <f>INDEX($B$23:$GQ$23,MATCH(128,$B$29:$GQ$29,0))</f>
        <v/>
      </c>
      <c r="DZ9">
        <f>INDEX($B$23:$GQ$23,MATCH(129,$B$29:$GQ$29,0))</f>
        <v/>
      </c>
      <c r="EA9">
        <f>INDEX($B$23:$GQ$23,MATCH(130,$B$29:$GQ$29,0))</f>
        <v/>
      </c>
      <c r="EB9">
        <f>INDEX($B$23:$GQ$23,MATCH(131,$B$29:$GQ$29,0))</f>
        <v/>
      </c>
      <c r="EC9">
        <f>INDEX($B$23:$GQ$23,MATCH(132,$B$29:$GQ$29,0))</f>
        <v/>
      </c>
      <c r="ED9">
        <f>INDEX($B$23:$GQ$23,MATCH(133,$B$29:$GQ$29,0))</f>
        <v/>
      </c>
      <c r="EE9">
        <f>INDEX($B$23:$GQ$23,MATCH(134,$B$29:$GQ$29,0))</f>
        <v/>
      </c>
      <c r="EF9">
        <f>INDEX($B$23:$GQ$23,MATCH(135,$B$29:$GQ$29,0))</f>
        <v/>
      </c>
      <c r="EG9">
        <f>INDEX($B$23:$GQ$23,MATCH(136,$B$29:$GQ$29,0))</f>
        <v/>
      </c>
      <c r="EH9">
        <f>INDEX($B$23:$GQ$23,MATCH(137,$B$29:$GQ$29,0))</f>
        <v/>
      </c>
      <c r="EI9">
        <f>INDEX($B$23:$GQ$23,MATCH(138,$B$29:$GQ$29,0))</f>
        <v/>
      </c>
      <c r="EJ9">
        <f>INDEX($B$23:$GQ$23,MATCH(139,$B$29:$GQ$29,0))</f>
        <v/>
      </c>
      <c r="EK9">
        <f>INDEX($B$23:$GQ$23,MATCH(140,$B$29:$GQ$29,0))</f>
        <v/>
      </c>
      <c r="EL9">
        <f>INDEX($B$23:$GQ$23,MATCH(141,$B$29:$GQ$29,0))</f>
        <v/>
      </c>
      <c r="EM9">
        <f>INDEX($B$23:$GQ$23,MATCH(142,$B$29:$GQ$29,0))</f>
        <v/>
      </c>
      <c r="EN9">
        <f>INDEX($B$23:$GQ$23,MATCH(143,$B$29:$GQ$29,0))</f>
        <v/>
      </c>
      <c r="EO9">
        <f>INDEX($B$23:$GQ$23,MATCH(144,$B$29:$GQ$29,0))</f>
        <v/>
      </c>
      <c r="EP9">
        <f>INDEX($B$23:$GQ$23,MATCH(145,$B$29:$GQ$29,0))</f>
        <v/>
      </c>
      <c r="EQ9">
        <f>INDEX($B$23:$GQ$23,MATCH(146,$B$29:$GQ$29,0))</f>
        <v/>
      </c>
      <c r="ER9">
        <f>INDEX($B$23:$GQ$23,MATCH(147,$B$29:$GQ$29,0))</f>
        <v/>
      </c>
      <c r="ES9">
        <f>INDEX($B$23:$GQ$23,MATCH(148,$B$29:$GQ$29,0))</f>
        <v/>
      </c>
      <c r="ET9">
        <f>INDEX($B$23:$GQ$23,MATCH(149,$B$29:$GQ$29,0))</f>
        <v/>
      </c>
      <c r="EU9">
        <f>INDEX($B$23:$GQ$23,MATCH(150,$B$29:$GQ$29,0))</f>
        <v/>
      </c>
      <c r="EV9">
        <f>INDEX($B$23:$GQ$23,MATCH(151,$B$29:$GQ$29,0))</f>
        <v/>
      </c>
      <c r="EW9">
        <f>INDEX($B$23:$GQ$23,MATCH(152,$B$29:$GQ$29,0))</f>
        <v/>
      </c>
      <c r="EX9">
        <f>INDEX($B$23:$GQ$23,MATCH(153,$B$29:$GQ$29,0))</f>
        <v/>
      </c>
      <c r="EY9">
        <f>INDEX($B$23:$GQ$23,MATCH(154,$B$29:$GQ$29,0))</f>
        <v/>
      </c>
      <c r="EZ9">
        <f>INDEX($B$23:$GQ$23,MATCH(155,$B$29:$GQ$29,0))</f>
        <v/>
      </c>
      <c r="FA9">
        <f>INDEX($B$23:$GQ$23,MATCH(156,$B$29:$GQ$29,0))</f>
        <v/>
      </c>
      <c r="FB9">
        <f>INDEX($B$23:$GQ$23,MATCH(157,$B$29:$GQ$29,0))</f>
        <v/>
      </c>
      <c r="FC9">
        <f>INDEX($B$23:$GQ$23,MATCH(158,$B$29:$GQ$29,0))</f>
        <v/>
      </c>
      <c r="FD9">
        <f>INDEX($B$23:$GQ$23,MATCH(159,$B$29:$GQ$29,0))</f>
        <v/>
      </c>
      <c r="FE9">
        <f>INDEX($B$23:$GQ$23,MATCH(160,$B$29:$GQ$29,0))</f>
        <v/>
      </c>
      <c r="FF9">
        <f>INDEX($B$23:$GQ$23,MATCH(161,$B$29:$GQ$29,0))</f>
        <v/>
      </c>
      <c r="FG9">
        <f>INDEX($B$23:$GQ$23,MATCH(162,$B$29:$GQ$29,0))</f>
        <v/>
      </c>
      <c r="FH9">
        <f>INDEX($B$23:$GQ$23,MATCH(163,$B$29:$GQ$29,0))</f>
        <v/>
      </c>
      <c r="FI9">
        <f>INDEX($B$23:$GQ$23,MATCH(164,$B$29:$GQ$29,0))</f>
        <v/>
      </c>
      <c r="FJ9">
        <f>INDEX($B$23:$GQ$23,MATCH(165,$B$29:$GQ$29,0))</f>
        <v/>
      </c>
      <c r="FK9">
        <f>INDEX($B$23:$GQ$23,MATCH(166,$B$29:$GQ$29,0))</f>
        <v/>
      </c>
      <c r="FL9">
        <f>INDEX($B$23:$GQ$23,MATCH(167,$B$29:$GQ$29,0))</f>
        <v/>
      </c>
      <c r="FM9">
        <f>INDEX($B$23:$GQ$23,MATCH(168,$B$29:$GQ$29,0))</f>
        <v/>
      </c>
      <c r="FN9">
        <f>INDEX($B$23:$GQ$23,MATCH(169,$B$29:$GQ$29,0))</f>
        <v/>
      </c>
      <c r="FO9">
        <f>INDEX($B$23:$GQ$23,MATCH(170,$B$29:$GQ$29,0))</f>
        <v/>
      </c>
      <c r="FP9">
        <f>INDEX($B$23:$GQ$23,MATCH(171,$B$29:$GQ$29,0))</f>
        <v/>
      </c>
      <c r="FQ9">
        <f>INDEX($B$23:$GQ$23,MATCH(172,$B$29:$GQ$29,0))</f>
        <v/>
      </c>
      <c r="FR9">
        <f>INDEX($B$23:$GQ$23,MATCH(173,$B$29:$GQ$29,0))</f>
        <v/>
      </c>
      <c r="FS9">
        <f>INDEX($B$23:$GQ$23,MATCH(174,$B$29:$GQ$29,0))</f>
        <v/>
      </c>
      <c r="FT9">
        <f>INDEX($B$23:$GQ$23,MATCH(175,$B$29:$GQ$29,0))</f>
        <v/>
      </c>
      <c r="FU9">
        <f>INDEX($B$23:$GQ$23,MATCH(176,$B$29:$GQ$29,0))</f>
        <v/>
      </c>
      <c r="FV9">
        <f>INDEX($B$23:$GQ$23,MATCH(177,$B$29:$GQ$29,0))</f>
        <v/>
      </c>
      <c r="FW9">
        <f>INDEX($B$23:$GQ$23,MATCH(178,$B$29:$GQ$29,0))</f>
        <v/>
      </c>
      <c r="FX9">
        <f>INDEX($B$23:$GQ$23,MATCH(179,$B$29:$GQ$29,0))</f>
        <v/>
      </c>
      <c r="FY9">
        <f>INDEX($B$23:$GQ$23,MATCH(180,$B$29:$GQ$29,0))</f>
        <v/>
      </c>
      <c r="FZ9">
        <f>INDEX($B$23:$GQ$23,MATCH(181,$B$29:$GQ$29,0))</f>
        <v/>
      </c>
      <c r="GA9">
        <f>INDEX($B$23:$GQ$23,MATCH(182,$B$29:$GQ$29,0))</f>
        <v/>
      </c>
      <c r="GB9">
        <f>INDEX($B$23:$GQ$23,MATCH(183,$B$29:$GQ$29,0))</f>
        <v/>
      </c>
      <c r="GC9">
        <f>INDEX($B$23:$GQ$23,MATCH(184,$B$29:$GQ$29,0))</f>
        <v/>
      </c>
      <c r="GD9">
        <f>INDEX($B$23:$GQ$23,MATCH(185,$B$29:$GQ$29,0))</f>
        <v/>
      </c>
      <c r="GE9">
        <f>INDEX($B$23:$GQ$23,MATCH(186,$B$29:$GQ$29,0))</f>
        <v/>
      </c>
      <c r="GF9">
        <f>INDEX($B$23:$GQ$23,MATCH(187,$B$29:$GQ$29,0))</f>
        <v/>
      </c>
      <c r="GG9">
        <f>INDEX($B$23:$GQ$23,MATCH(188,$B$29:$GQ$29,0))</f>
        <v/>
      </c>
      <c r="GH9">
        <f>INDEX($B$23:$GQ$23,MATCH(189,$B$29:$GQ$29,0))</f>
        <v/>
      </c>
      <c r="GI9">
        <f>INDEX($B$23:$GQ$23,MATCH(190,$B$29:$GQ$29,0))</f>
        <v/>
      </c>
      <c r="GJ9">
        <f>INDEX($B$23:$GQ$23,MATCH(191,$B$29:$GQ$29,0))</f>
        <v/>
      </c>
      <c r="GK9">
        <f>INDEX($B$23:$GQ$23,MATCH(192,$B$29:$GQ$29,0))</f>
        <v/>
      </c>
      <c r="GL9">
        <f>INDEX($B$23:$GQ$23,MATCH(193,$B$29:$GQ$29,0))</f>
        <v/>
      </c>
      <c r="GM9">
        <f>INDEX($B$23:$GQ$23,MATCH(194,$B$29:$GQ$29,0))</f>
        <v/>
      </c>
      <c r="GN9">
        <f>INDEX($B$23:$GQ$23,MATCH(195,$B$29:$GQ$29,0))</f>
        <v/>
      </c>
      <c r="GO9">
        <f>INDEX($B$23:$GQ$23,MATCH(196,$B$29:$GQ$29,0))</f>
        <v/>
      </c>
      <c r="GP9">
        <f>INDEX($B$23:$GQ$23,MATCH(197,$B$29:$GQ$29,0))</f>
        <v/>
      </c>
      <c r="GQ9">
        <f>INDEX($B$23:$GQ$23,MATCH(198,$B$29:$GQ$29,0))</f>
        <v/>
      </c>
      <c r="GR9">
        <f>INDEX($GR$23:$HC$23,MATCH(1,$GR$30:$HC$30,0))</f>
        <v/>
      </c>
      <c r="GS9">
        <f>INDEX($GR$23:$HC$23,MATCH(2,$GR$30:$HC$30,0))</f>
        <v/>
      </c>
      <c r="GT9">
        <f>INDEX($GR$23:$HC$23,MATCH(3,$GR$30:$HC$30,0))</f>
        <v/>
      </c>
      <c r="GU9">
        <f>INDEX($GR$23:$HC$23,MATCH(4,$GR$30:$HC$30,0))</f>
        <v/>
      </c>
      <c r="GV9">
        <f>INDEX($GR$23:$HC$23,MATCH(5,$GR$30:$HC$30,0))</f>
        <v/>
      </c>
      <c r="GW9">
        <f>INDEX($GR$23:$HC$23,MATCH(6,$GR$30:$HC$30,0))</f>
        <v/>
      </c>
      <c r="GX9">
        <f>INDEX($GR$23:$HC$23,MATCH(7,$GR$30:$HC$30,0))</f>
        <v/>
      </c>
      <c r="GY9">
        <f>INDEX($GR$23:$HC$23,MATCH(8,$GR$30:$HC$30,0))</f>
        <v/>
      </c>
      <c r="GZ9">
        <f>INDEX($GR$23:$HC$23,MATCH(9,$GR$30:$HC$30,0))</f>
        <v/>
      </c>
      <c r="HA9">
        <f>INDEX($GR$23:$HC$23,MATCH(10,$GR$30:$HC$30,0))</f>
        <v/>
      </c>
      <c r="HB9">
        <f>INDEX($GR$23:$HC$23,MATCH(11,$GR$30:$HC$30,0))</f>
        <v/>
      </c>
      <c r="HC9">
        <f>INDEX($GR$23:$HC$23,MATCH(12,$GR$30:$HC$30,0))</f>
        <v/>
      </c>
    </row>
    <row r="10">
      <c r="A10" s="1" t="inlineStr">
        <is>
          <t>M_dom*Y_dom</t>
        </is>
      </c>
      <c r="B10">
        <f>INDEX($B$24:$GQ$24,MATCH(1,$B$29:$GQ$29,0))</f>
        <v/>
      </c>
      <c r="C10">
        <f>INDEX($B$24:$GQ$24,MATCH(2,$B$29:$GQ$29,0))</f>
        <v/>
      </c>
      <c r="D10">
        <f>INDEX($B$24:$GQ$24,MATCH(3,$B$29:$GQ$29,0))</f>
        <v/>
      </c>
      <c r="E10">
        <f>INDEX($B$24:$GQ$24,MATCH(4,$B$29:$GQ$29,0))</f>
        <v/>
      </c>
      <c r="F10">
        <f>INDEX($B$24:$GQ$24,MATCH(5,$B$29:$GQ$29,0))</f>
        <v/>
      </c>
      <c r="G10">
        <f>INDEX($B$24:$GQ$24,MATCH(6,$B$29:$GQ$29,0))</f>
        <v/>
      </c>
      <c r="H10">
        <f>INDEX($B$24:$GQ$24,MATCH(7,$B$29:$GQ$29,0))</f>
        <v/>
      </c>
      <c r="I10">
        <f>INDEX($B$24:$GQ$24,MATCH(8,$B$29:$GQ$29,0))</f>
        <v/>
      </c>
      <c r="J10">
        <f>INDEX($B$24:$GQ$24,MATCH(9,$B$29:$GQ$29,0))</f>
        <v/>
      </c>
      <c r="K10">
        <f>INDEX($B$24:$GQ$24,MATCH(10,$B$29:$GQ$29,0))</f>
        <v/>
      </c>
      <c r="L10">
        <f>INDEX($B$24:$GQ$24,MATCH(11,$B$29:$GQ$29,0))</f>
        <v/>
      </c>
      <c r="M10">
        <f>INDEX($B$24:$GQ$24,MATCH(12,$B$29:$GQ$29,0))</f>
        <v/>
      </c>
      <c r="N10">
        <f>INDEX($B$24:$GQ$24,MATCH(13,$B$29:$GQ$29,0))</f>
        <v/>
      </c>
      <c r="O10">
        <f>INDEX($B$24:$GQ$24,MATCH(14,$B$29:$GQ$29,0))</f>
        <v/>
      </c>
      <c r="P10">
        <f>INDEX($B$24:$GQ$24,MATCH(15,$B$29:$GQ$29,0))</f>
        <v/>
      </c>
      <c r="Q10">
        <f>INDEX($B$24:$GQ$24,MATCH(16,$B$29:$GQ$29,0))</f>
        <v/>
      </c>
      <c r="R10">
        <f>INDEX($B$24:$GQ$24,MATCH(17,$B$29:$GQ$29,0))</f>
        <v/>
      </c>
      <c r="S10">
        <f>INDEX($B$24:$GQ$24,MATCH(18,$B$29:$GQ$29,0))</f>
        <v/>
      </c>
      <c r="T10">
        <f>INDEX($B$24:$GQ$24,MATCH(19,$B$29:$GQ$29,0))</f>
        <v/>
      </c>
      <c r="U10">
        <f>INDEX($B$24:$GQ$24,MATCH(20,$B$29:$GQ$29,0))</f>
        <v/>
      </c>
      <c r="V10">
        <f>INDEX($B$24:$GQ$24,MATCH(21,$B$29:$GQ$29,0))</f>
        <v/>
      </c>
      <c r="W10">
        <f>INDEX($B$24:$GQ$24,MATCH(22,$B$29:$GQ$29,0))</f>
        <v/>
      </c>
      <c r="X10">
        <f>INDEX($B$24:$GQ$24,MATCH(23,$B$29:$GQ$29,0))</f>
        <v/>
      </c>
      <c r="Y10">
        <f>INDEX($B$24:$GQ$24,MATCH(24,$B$29:$GQ$29,0))</f>
        <v/>
      </c>
      <c r="Z10">
        <f>INDEX($B$24:$GQ$24,MATCH(25,$B$29:$GQ$29,0))</f>
        <v/>
      </c>
      <c r="AA10">
        <f>INDEX($B$24:$GQ$24,MATCH(26,$B$29:$GQ$29,0))</f>
        <v/>
      </c>
      <c r="AB10">
        <f>INDEX($B$24:$GQ$24,MATCH(27,$B$29:$GQ$29,0))</f>
        <v/>
      </c>
      <c r="AC10">
        <f>INDEX($B$24:$GQ$24,MATCH(28,$B$29:$GQ$29,0))</f>
        <v/>
      </c>
      <c r="AD10">
        <f>INDEX($B$24:$GQ$24,MATCH(29,$B$29:$GQ$29,0))</f>
        <v/>
      </c>
      <c r="AE10">
        <f>INDEX($B$24:$GQ$24,MATCH(30,$B$29:$GQ$29,0))</f>
        <v/>
      </c>
      <c r="AF10">
        <f>INDEX($B$24:$GQ$24,MATCH(31,$B$29:$GQ$29,0))</f>
        <v/>
      </c>
      <c r="AG10">
        <f>INDEX($B$24:$GQ$24,MATCH(32,$B$29:$GQ$29,0))</f>
        <v/>
      </c>
      <c r="AH10">
        <f>INDEX($B$24:$GQ$24,MATCH(33,$B$29:$GQ$29,0))</f>
        <v/>
      </c>
      <c r="AI10">
        <f>INDEX($B$24:$GQ$24,MATCH(34,$B$29:$GQ$29,0))</f>
        <v/>
      </c>
      <c r="AJ10">
        <f>INDEX($B$24:$GQ$24,MATCH(35,$B$29:$GQ$29,0))</f>
        <v/>
      </c>
      <c r="AK10">
        <f>INDEX($B$24:$GQ$24,MATCH(36,$B$29:$GQ$29,0))</f>
        <v/>
      </c>
      <c r="AL10">
        <f>INDEX($B$24:$GQ$24,MATCH(37,$B$29:$GQ$29,0))</f>
        <v/>
      </c>
      <c r="AM10">
        <f>INDEX($B$24:$GQ$24,MATCH(38,$B$29:$GQ$29,0))</f>
        <v/>
      </c>
      <c r="AN10">
        <f>INDEX($B$24:$GQ$24,MATCH(39,$B$29:$GQ$29,0))</f>
        <v/>
      </c>
      <c r="AO10">
        <f>INDEX($B$24:$GQ$24,MATCH(40,$B$29:$GQ$29,0))</f>
        <v/>
      </c>
      <c r="AP10">
        <f>INDEX($B$24:$GQ$24,MATCH(41,$B$29:$GQ$29,0))</f>
        <v/>
      </c>
      <c r="AQ10">
        <f>INDEX($B$24:$GQ$24,MATCH(42,$B$29:$GQ$29,0))</f>
        <v/>
      </c>
      <c r="AR10">
        <f>INDEX($B$24:$GQ$24,MATCH(43,$B$29:$GQ$29,0))</f>
        <v/>
      </c>
      <c r="AS10">
        <f>INDEX($B$24:$GQ$24,MATCH(44,$B$29:$GQ$29,0))</f>
        <v/>
      </c>
      <c r="AT10">
        <f>INDEX($B$24:$GQ$24,MATCH(45,$B$29:$GQ$29,0))</f>
        <v/>
      </c>
      <c r="AU10">
        <f>INDEX($B$24:$GQ$24,MATCH(46,$B$29:$GQ$29,0))</f>
        <v/>
      </c>
      <c r="AV10">
        <f>INDEX($B$24:$GQ$24,MATCH(47,$B$29:$GQ$29,0))</f>
        <v/>
      </c>
      <c r="AW10">
        <f>INDEX($B$24:$GQ$24,MATCH(48,$B$29:$GQ$29,0))</f>
        <v/>
      </c>
      <c r="AX10">
        <f>INDEX($B$24:$GQ$24,MATCH(49,$B$29:$GQ$29,0))</f>
        <v/>
      </c>
      <c r="AY10">
        <f>INDEX($B$24:$GQ$24,MATCH(50,$B$29:$GQ$29,0))</f>
        <v/>
      </c>
      <c r="AZ10">
        <f>INDEX($B$24:$GQ$24,MATCH(51,$B$29:$GQ$29,0))</f>
        <v/>
      </c>
      <c r="BA10">
        <f>INDEX($B$24:$GQ$24,MATCH(52,$B$29:$GQ$29,0))</f>
        <v/>
      </c>
      <c r="BB10">
        <f>INDEX($B$24:$GQ$24,MATCH(53,$B$29:$GQ$29,0))</f>
        <v/>
      </c>
      <c r="BC10">
        <f>INDEX($B$24:$GQ$24,MATCH(54,$B$29:$GQ$29,0))</f>
        <v/>
      </c>
      <c r="BD10">
        <f>INDEX($B$24:$GQ$24,MATCH(55,$B$29:$GQ$29,0))</f>
        <v/>
      </c>
      <c r="BE10">
        <f>INDEX($B$24:$GQ$24,MATCH(56,$B$29:$GQ$29,0))</f>
        <v/>
      </c>
      <c r="BF10">
        <f>INDEX($B$24:$GQ$24,MATCH(57,$B$29:$GQ$29,0))</f>
        <v/>
      </c>
      <c r="BG10">
        <f>INDEX($B$24:$GQ$24,MATCH(58,$B$29:$GQ$29,0))</f>
        <v/>
      </c>
      <c r="BH10">
        <f>INDEX($B$24:$GQ$24,MATCH(59,$B$29:$GQ$29,0))</f>
        <v/>
      </c>
      <c r="BI10">
        <f>INDEX($B$24:$GQ$24,MATCH(60,$B$29:$GQ$29,0))</f>
        <v/>
      </c>
      <c r="BJ10">
        <f>INDEX($B$24:$GQ$24,MATCH(61,$B$29:$GQ$29,0))</f>
        <v/>
      </c>
      <c r="BK10">
        <f>INDEX($B$24:$GQ$24,MATCH(62,$B$29:$GQ$29,0))</f>
        <v/>
      </c>
      <c r="BL10">
        <f>INDEX($B$24:$GQ$24,MATCH(63,$B$29:$GQ$29,0))</f>
        <v/>
      </c>
      <c r="BM10">
        <f>INDEX($B$24:$GQ$24,MATCH(64,$B$29:$GQ$29,0))</f>
        <v/>
      </c>
      <c r="BN10">
        <f>INDEX($B$24:$GQ$24,MATCH(65,$B$29:$GQ$29,0))</f>
        <v/>
      </c>
      <c r="BO10">
        <f>INDEX($B$24:$GQ$24,MATCH(66,$B$29:$GQ$29,0))</f>
        <v/>
      </c>
      <c r="BP10">
        <f>INDEX($B$24:$GQ$24,MATCH(67,$B$29:$GQ$29,0))</f>
        <v/>
      </c>
      <c r="BQ10">
        <f>INDEX($B$24:$GQ$24,MATCH(68,$B$29:$GQ$29,0))</f>
        <v/>
      </c>
      <c r="BR10">
        <f>INDEX($B$24:$GQ$24,MATCH(69,$B$29:$GQ$29,0))</f>
        <v/>
      </c>
      <c r="BS10">
        <f>INDEX($B$24:$GQ$24,MATCH(70,$B$29:$GQ$29,0))</f>
        <v/>
      </c>
      <c r="BT10">
        <f>INDEX($B$24:$GQ$24,MATCH(71,$B$29:$GQ$29,0))</f>
        <v/>
      </c>
      <c r="BU10">
        <f>INDEX($B$24:$GQ$24,MATCH(72,$B$29:$GQ$29,0))</f>
        <v/>
      </c>
      <c r="BV10">
        <f>INDEX($B$24:$GQ$24,MATCH(73,$B$29:$GQ$29,0))</f>
        <v/>
      </c>
      <c r="BW10">
        <f>INDEX($B$24:$GQ$24,MATCH(74,$B$29:$GQ$29,0))</f>
        <v/>
      </c>
      <c r="BX10">
        <f>INDEX($B$24:$GQ$24,MATCH(75,$B$29:$GQ$29,0))</f>
        <v/>
      </c>
      <c r="BY10">
        <f>INDEX($B$24:$GQ$24,MATCH(76,$B$29:$GQ$29,0))</f>
        <v/>
      </c>
      <c r="BZ10">
        <f>INDEX($B$24:$GQ$24,MATCH(77,$B$29:$GQ$29,0))</f>
        <v/>
      </c>
      <c r="CA10">
        <f>INDEX($B$24:$GQ$24,MATCH(78,$B$29:$GQ$29,0))</f>
        <v/>
      </c>
      <c r="CB10">
        <f>INDEX($B$24:$GQ$24,MATCH(79,$B$29:$GQ$29,0))</f>
        <v/>
      </c>
      <c r="CC10">
        <f>INDEX($B$24:$GQ$24,MATCH(80,$B$29:$GQ$29,0))</f>
        <v/>
      </c>
      <c r="CD10">
        <f>INDEX($B$24:$GQ$24,MATCH(81,$B$29:$GQ$29,0))</f>
        <v/>
      </c>
      <c r="CE10">
        <f>INDEX($B$24:$GQ$24,MATCH(82,$B$29:$GQ$29,0))</f>
        <v/>
      </c>
      <c r="CF10">
        <f>INDEX($B$24:$GQ$24,MATCH(83,$B$29:$GQ$29,0))</f>
        <v/>
      </c>
      <c r="CG10">
        <f>INDEX($B$24:$GQ$24,MATCH(84,$B$29:$GQ$29,0))</f>
        <v/>
      </c>
      <c r="CH10">
        <f>INDEX($B$24:$GQ$24,MATCH(85,$B$29:$GQ$29,0))</f>
        <v/>
      </c>
      <c r="CI10">
        <f>INDEX($B$24:$GQ$24,MATCH(86,$B$29:$GQ$29,0))</f>
        <v/>
      </c>
      <c r="CJ10">
        <f>INDEX($B$24:$GQ$24,MATCH(87,$B$29:$GQ$29,0))</f>
        <v/>
      </c>
      <c r="CK10">
        <f>INDEX($B$24:$GQ$24,MATCH(88,$B$29:$GQ$29,0))</f>
        <v/>
      </c>
      <c r="CL10">
        <f>INDEX($B$24:$GQ$24,MATCH(89,$B$29:$GQ$29,0))</f>
        <v/>
      </c>
      <c r="CM10">
        <f>INDEX($B$24:$GQ$24,MATCH(90,$B$29:$GQ$29,0))</f>
        <v/>
      </c>
      <c r="CN10">
        <f>INDEX($B$24:$GQ$24,MATCH(91,$B$29:$GQ$29,0))</f>
        <v/>
      </c>
      <c r="CO10">
        <f>INDEX($B$24:$GQ$24,MATCH(92,$B$29:$GQ$29,0))</f>
        <v/>
      </c>
      <c r="CP10">
        <f>INDEX($B$24:$GQ$24,MATCH(93,$B$29:$GQ$29,0))</f>
        <v/>
      </c>
      <c r="CQ10">
        <f>INDEX($B$24:$GQ$24,MATCH(94,$B$29:$GQ$29,0))</f>
        <v/>
      </c>
      <c r="CR10">
        <f>INDEX($B$24:$GQ$24,MATCH(95,$B$29:$GQ$29,0))</f>
        <v/>
      </c>
      <c r="CS10">
        <f>INDEX($B$24:$GQ$24,MATCH(96,$B$29:$GQ$29,0))</f>
        <v/>
      </c>
      <c r="CT10">
        <f>INDEX($B$24:$GQ$24,MATCH(97,$B$29:$GQ$29,0))</f>
        <v/>
      </c>
      <c r="CU10">
        <f>INDEX($B$24:$GQ$24,MATCH(98,$B$29:$GQ$29,0))</f>
        <v/>
      </c>
      <c r="CV10">
        <f>INDEX($B$24:$GQ$24,MATCH(99,$B$29:$GQ$29,0))</f>
        <v/>
      </c>
      <c r="CW10">
        <f>INDEX($B$24:$GQ$24,MATCH(100,$B$29:$GQ$29,0))</f>
        <v/>
      </c>
      <c r="CX10">
        <f>INDEX($B$24:$GQ$24,MATCH(101,$B$29:$GQ$29,0))</f>
        <v/>
      </c>
      <c r="CY10">
        <f>INDEX($B$24:$GQ$24,MATCH(102,$B$29:$GQ$29,0))</f>
        <v/>
      </c>
      <c r="CZ10">
        <f>INDEX($B$24:$GQ$24,MATCH(103,$B$29:$GQ$29,0))</f>
        <v/>
      </c>
      <c r="DA10">
        <f>INDEX($B$24:$GQ$24,MATCH(104,$B$29:$GQ$29,0))</f>
        <v/>
      </c>
      <c r="DB10">
        <f>INDEX($B$24:$GQ$24,MATCH(105,$B$29:$GQ$29,0))</f>
        <v/>
      </c>
      <c r="DC10">
        <f>INDEX($B$24:$GQ$24,MATCH(106,$B$29:$GQ$29,0))</f>
        <v/>
      </c>
      <c r="DD10">
        <f>INDEX($B$24:$GQ$24,MATCH(107,$B$29:$GQ$29,0))</f>
        <v/>
      </c>
      <c r="DE10">
        <f>INDEX($B$24:$GQ$24,MATCH(108,$B$29:$GQ$29,0))</f>
        <v/>
      </c>
      <c r="DF10">
        <f>INDEX($B$24:$GQ$24,MATCH(109,$B$29:$GQ$29,0))</f>
        <v/>
      </c>
      <c r="DG10">
        <f>INDEX($B$24:$GQ$24,MATCH(110,$B$29:$GQ$29,0))</f>
        <v/>
      </c>
      <c r="DH10">
        <f>INDEX($B$24:$GQ$24,MATCH(111,$B$29:$GQ$29,0))</f>
        <v/>
      </c>
      <c r="DI10">
        <f>INDEX($B$24:$GQ$24,MATCH(112,$B$29:$GQ$29,0))</f>
        <v/>
      </c>
      <c r="DJ10">
        <f>INDEX($B$24:$GQ$24,MATCH(113,$B$29:$GQ$29,0))</f>
        <v/>
      </c>
      <c r="DK10">
        <f>INDEX($B$24:$GQ$24,MATCH(114,$B$29:$GQ$29,0))</f>
        <v/>
      </c>
      <c r="DL10">
        <f>INDEX($B$24:$GQ$24,MATCH(115,$B$29:$GQ$29,0))</f>
        <v/>
      </c>
      <c r="DM10">
        <f>INDEX($B$24:$GQ$24,MATCH(116,$B$29:$GQ$29,0))</f>
        <v/>
      </c>
      <c r="DN10">
        <f>INDEX($B$24:$GQ$24,MATCH(117,$B$29:$GQ$29,0))</f>
        <v/>
      </c>
      <c r="DO10">
        <f>INDEX($B$24:$GQ$24,MATCH(118,$B$29:$GQ$29,0))</f>
        <v/>
      </c>
      <c r="DP10">
        <f>INDEX($B$24:$GQ$24,MATCH(119,$B$29:$GQ$29,0))</f>
        <v/>
      </c>
      <c r="DQ10">
        <f>INDEX($B$24:$GQ$24,MATCH(120,$B$29:$GQ$29,0))</f>
        <v/>
      </c>
      <c r="DR10">
        <f>INDEX($B$24:$GQ$24,MATCH(121,$B$29:$GQ$29,0))</f>
        <v/>
      </c>
      <c r="DS10">
        <f>INDEX($B$24:$GQ$24,MATCH(122,$B$29:$GQ$29,0))</f>
        <v/>
      </c>
      <c r="DT10">
        <f>INDEX($B$24:$GQ$24,MATCH(123,$B$29:$GQ$29,0))</f>
        <v/>
      </c>
      <c r="DU10">
        <f>INDEX($B$24:$GQ$24,MATCH(124,$B$29:$GQ$29,0))</f>
        <v/>
      </c>
      <c r="DV10">
        <f>INDEX($B$24:$GQ$24,MATCH(125,$B$29:$GQ$29,0))</f>
        <v/>
      </c>
      <c r="DW10">
        <f>INDEX($B$24:$GQ$24,MATCH(126,$B$29:$GQ$29,0))</f>
        <v/>
      </c>
      <c r="DX10">
        <f>INDEX($B$24:$GQ$24,MATCH(127,$B$29:$GQ$29,0))</f>
        <v/>
      </c>
      <c r="DY10">
        <f>INDEX($B$24:$GQ$24,MATCH(128,$B$29:$GQ$29,0))</f>
        <v/>
      </c>
      <c r="DZ10">
        <f>INDEX($B$24:$GQ$24,MATCH(129,$B$29:$GQ$29,0))</f>
        <v/>
      </c>
      <c r="EA10">
        <f>INDEX($B$24:$GQ$24,MATCH(130,$B$29:$GQ$29,0))</f>
        <v/>
      </c>
      <c r="EB10">
        <f>INDEX($B$24:$GQ$24,MATCH(131,$B$29:$GQ$29,0))</f>
        <v/>
      </c>
      <c r="EC10">
        <f>INDEX($B$24:$GQ$24,MATCH(132,$B$29:$GQ$29,0))</f>
        <v/>
      </c>
      <c r="ED10">
        <f>INDEX($B$24:$GQ$24,MATCH(133,$B$29:$GQ$29,0))</f>
        <v/>
      </c>
      <c r="EE10">
        <f>INDEX($B$24:$GQ$24,MATCH(134,$B$29:$GQ$29,0))</f>
        <v/>
      </c>
      <c r="EF10">
        <f>INDEX($B$24:$GQ$24,MATCH(135,$B$29:$GQ$29,0))</f>
        <v/>
      </c>
      <c r="EG10">
        <f>INDEX($B$24:$GQ$24,MATCH(136,$B$29:$GQ$29,0))</f>
        <v/>
      </c>
      <c r="EH10">
        <f>INDEX($B$24:$GQ$24,MATCH(137,$B$29:$GQ$29,0))</f>
        <v/>
      </c>
      <c r="EI10">
        <f>INDEX($B$24:$GQ$24,MATCH(138,$B$29:$GQ$29,0))</f>
        <v/>
      </c>
      <c r="EJ10">
        <f>INDEX($B$24:$GQ$24,MATCH(139,$B$29:$GQ$29,0))</f>
        <v/>
      </c>
      <c r="EK10">
        <f>INDEX($B$24:$GQ$24,MATCH(140,$B$29:$GQ$29,0))</f>
        <v/>
      </c>
      <c r="EL10">
        <f>INDEX($B$24:$GQ$24,MATCH(141,$B$29:$GQ$29,0))</f>
        <v/>
      </c>
      <c r="EM10">
        <f>INDEX($B$24:$GQ$24,MATCH(142,$B$29:$GQ$29,0))</f>
        <v/>
      </c>
      <c r="EN10">
        <f>INDEX($B$24:$GQ$24,MATCH(143,$B$29:$GQ$29,0))</f>
        <v/>
      </c>
      <c r="EO10">
        <f>INDEX($B$24:$GQ$24,MATCH(144,$B$29:$GQ$29,0))</f>
        <v/>
      </c>
      <c r="EP10">
        <f>INDEX($B$24:$GQ$24,MATCH(145,$B$29:$GQ$29,0))</f>
        <v/>
      </c>
      <c r="EQ10">
        <f>INDEX($B$24:$GQ$24,MATCH(146,$B$29:$GQ$29,0))</f>
        <v/>
      </c>
      <c r="ER10">
        <f>INDEX($B$24:$GQ$24,MATCH(147,$B$29:$GQ$29,0))</f>
        <v/>
      </c>
      <c r="ES10">
        <f>INDEX($B$24:$GQ$24,MATCH(148,$B$29:$GQ$29,0))</f>
        <v/>
      </c>
      <c r="ET10">
        <f>INDEX($B$24:$GQ$24,MATCH(149,$B$29:$GQ$29,0))</f>
        <v/>
      </c>
      <c r="EU10">
        <f>INDEX($B$24:$GQ$24,MATCH(150,$B$29:$GQ$29,0))</f>
        <v/>
      </c>
      <c r="EV10">
        <f>INDEX($B$24:$GQ$24,MATCH(151,$B$29:$GQ$29,0))</f>
        <v/>
      </c>
      <c r="EW10">
        <f>INDEX($B$24:$GQ$24,MATCH(152,$B$29:$GQ$29,0))</f>
        <v/>
      </c>
      <c r="EX10">
        <f>INDEX($B$24:$GQ$24,MATCH(153,$B$29:$GQ$29,0))</f>
        <v/>
      </c>
      <c r="EY10">
        <f>INDEX($B$24:$GQ$24,MATCH(154,$B$29:$GQ$29,0))</f>
        <v/>
      </c>
      <c r="EZ10">
        <f>INDEX($B$24:$GQ$24,MATCH(155,$B$29:$GQ$29,0))</f>
        <v/>
      </c>
      <c r="FA10">
        <f>INDEX($B$24:$GQ$24,MATCH(156,$B$29:$GQ$29,0))</f>
        <v/>
      </c>
      <c r="FB10">
        <f>INDEX($B$24:$GQ$24,MATCH(157,$B$29:$GQ$29,0))</f>
        <v/>
      </c>
      <c r="FC10">
        <f>INDEX($B$24:$GQ$24,MATCH(158,$B$29:$GQ$29,0))</f>
        <v/>
      </c>
      <c r="FD10">
        <f>INDEX($B$24:$GQ$24,MATCH(159,$B$29:$GQ$29,0))</f>
        <v/>
      </c>
      <c r="FE10">
        <f>INDEX($B$24:$GQ$24,MATCH(160,$B$29:$GQ$29,0))</f>
        <v/>
      </c>
      <c r="FF10">
        <f>INDEX($B$24:$GQ$24,MATCH(161,$B$29:$GQ$29,0))</f>
        <v/>
      </c>
      <c r="FG10">
        <f>INDEX($B$24:$GQ$24,MATCH(162,$B$29:$GQ$29,0))</f>
        <v/>
      </c>
      <c r="FH10">
        <f>INDEX($B$24:$GQ$24,MATCH(163,$B$29:$GQ$29,0))</f>
        <v/>
      </c>
      <c r="FI10">
        <f>INDEX($B$24:$GQ$24,MATCH(164,$B$29:$GQ$29,0))</f>
        <v/>
      </c>
      <c r="FJ10">
        <f>INDEX($B$24:$GQ$24,MATCH(165,$B$29:$GQ$29,0))</f>
        <v/>
      </c>
      <c r="FK10">
        <f>INDEX($B$24:$GQ$24,MATCH(166,$B$29:$GQ$29,0))</f>
        <v/>
      </c>
      <c r="FL10">
        <f>INDEX($B$24:$GQ$24,MATCH(167,$B$29:$GQ$29,0))</f>
        <v/>
      </c>
      <c r="FM10">
        <f>INDEX($B$24:$GQ$24,MATCH(168,$B$29:$GQ$29,0))</f>
        <v/>
      </c>
      <c r="FN10">
        <f>INDEX($B$24:$GQ$24,MATCH(169,$B$29:$GQ$29,0))</f>
        <v/>
      </c>
      <c r="FO10">
        <f>INDEX($B$24:$GQ$24,MATCH(170,$B$29:$GQ$29,0))</f>
        <v/>
      </c>
      <c r="FP10">
        <f>INDEX($B$24:$GQ$24,MATCH(171,$B$29:$GQ$29,0))</f>
        <v/>
      </c>
      <c r="FQ10">
        <f>INDEX($B$24:$GQ$24,MATCH(172,$B$29:$GQ$29,0))</f>
        <v/>
      </c>
      <c r="FR10">
        <f>INDEX($B$24:$GQ$24,MATCH(173,$B$29:$GQ$29,0))</f>
        <v/>
      </c>
      <c r="FS10">
        <f>INDEX($B$24:$GQ$24,MATCH(174,$B$29:$GQ$29,0))</f>
        <v/>
      </c>
      <c r="FT10">
        <f>INDEX($B$24:$GQ$24,MATCH(175,$B$29:$GQ$29,0))</f>
        <v/>
      </c>
      <c r="FU10">
        <f>INDEX($B$24:$GQ$24,MATCH(176,$B$29:$GQ$29,0))</f>
        <v/>
      </c>
      <c r="FV10">
        <f>INDEX($B$24:$GQ$24,MATCH(177,$B$29:$GQ$29,0))</f>
        <v/>
      </c>
      <c r="FW10">
        <f>INDEX($B$24:$GQ$24,MATCH(178,$B$29:$GQ$29,0))</f>
        <v/>
      </c>
      <c r="FX10">
        <f>INDEX($B$24:$GQ$24,MATCH(179,$B$29:$GQ$29,0))</f>
        <v/>
      </c>
      <c r="FY10">
        <f>INDEX($B$24:$GQ$24,MATCH(180,$B$29:$GQ$29,0))</f>
        <v/>
      </c>
      <c r="FZ10">
        <f>INDEX($B$24:$GQ$24,MATCH(181,$B$29:$GQ$29,0))</f>
        <v/>
      </c>
      <c r="GA10">
        <f>INDEX($B$24:$GQ$24,MATCH(182,$B$29:$GQ$29,0))</f>
        <v/>
      </c>
      <c r="GB10">
        <f>INDEX($B$24:$GQ$24,MATCH(183,$B$29:$GQ$29,0))</f>
        <v/>
      </c>
      <c r="GC10">
        <f>INDEX($B$24:$GQ$24,MATCH(184,$B$29:$GQ$29,0))</f>
        <v/>
      </c>
      <c r="GD10">
        <f>INDEX($B$24:$GQ$24,MATCH(185,$B$29:$GQ$29,0))</f>
        <v/>
      </c>
      <c r="GE10">
        <f>INDEX($B$24:$GQ$24,MATCH(186,$B$29:$GQ$29,0))</f>
        <v/>
      </c>
      <c r="GF10">
        <f>INDEX($B$24:$GQ$24,MATCH(187,$B$29:$GQ$29,0))</f>
        <v/>
      </c>
      <c r="GG10">
        <f>INDEX($B$24:$GQ$24,MATCH(188,$B$29:$GQ$29,0))</f>
        <v/>
      </c>
      <c r="GH10">
        <f>INDEX($B$24:$GQ$24,MATCH(189,$B$29:$GQ$29,0))</f>
        <v/>
      </c>
      <c r="GI10">
        <f>INDEX($B$24:$GQ$24,MATCH(190,$B$29:$GQ$29,0))</f>
        <v/>
      </c>
      <c r="GJ10">
        <f>INDEX($B$24:$GQ$24,MATCH(191,$B$29:$GQ$29,0))</f>
        <v/>
      </c>
      <c r="GK10">
        <f>INDEX($B$24:$GQ$24,MATCH(192,$B$29:$GQ$29,0))</f>
        <v/>
      </c>
      <c r="GL10">
        <f>INDEX($B$24:$GQ$24,MATCH(193,$B$29:$GQ$29,0))</f>
        <v/>
      </c>
      <c r="GM10">
        <f>INDEX($B$24:$GQ$24,MATCH(194,$B$29:$GQ$29,0))</f>
        <v/>
      </c>
      <c r="GN10">
        <f>INDEX($B$24:$GQ$24,MATCH(195,$B$29:$GQ$29,0))</f>
        <v/>
      </c>
      <c r="GO10">
        <f>INDEX($B$24:$GQ$24,MATCH(196,$B$29:$GQ$29,0))</f>
        <v/>
      </c>
      <c r="GP10">
        <f>INDEX($B$24:$GQ$24,MATCH(197,$B$29:$GQ$29,0))</f>
        <v/>
      </c>
      <c r="GQ10">
        <f>INDEX($B$24:$GQ$24,MATCH(198,$B$29:$GQ$29,0))</f>
        <v/>
      </c>
      <c r="GR10">
        <f>INDEX($GR$24:$HC$24,MATCH(1,$GR$30:$HC$30,0))</f>
        <v/>
      </c>
      <c r="GS10">
        <f>INDEX($GR$24:$HC$24,MATCH(2,$GR$30:$HC$30,0))</f>
        <v/>
      </c>
      <c r="GT10">
        <f>INDEX($GR$24:$HC$24,MATCH(3,$GR$30:$HC$30,0))</f>
        <v/>
      </c>
      <c r="GU10">
        <f>INDEX($GR$24:$HC$24,MATCH(4,$GR$30:$HC$30,0))</f>
        <v/>
      </c>
      <c r="GV10">
        <f>INDEX($GR$24:$HC$24,MATCH(5,$GR$30:$HC$30,0))</f>
        <v/>
      </c>
      <c r="GW10">
        <f>INDEX($GR$24:$HC$24,MATCH(6,$GR$30:$HC$30,0))</f>
        <v/>
      </c>
      <c r="GX10">
        <f>INDEX($GR$24:$HC$24,MATCH(7,$GR$30:$HC$30,0))</f>
        <v/>
      </c>
      <c r="GY10">
        <f>INDEX($GR$24:$HC$24,MATCH(8,$GR$30:$HC$30,0))</f>
        <v/>
      </c>
      <c r="GZ10">
        <f>INDEX($GR$24:$HC$24,MATCH(9,$GR$30:$HC$30,0))</f>
        <v/>
      </c>
      <c r="HA10">
        <f>INDEX($GR$24:$HC$24,MATCH(10,$GR$30:$HC$30,0))</f>
        <v/>
      </c>
      <c r="HB10">
        <f>INDEX($GR$24:$HC$24,MATCH(11,$GR$30:$HC$30,0))</f>
        <v/>
      </c>
      <c r="HC10">
        <f>INDEX($GR$24:$HC$24,MATCH(12,$GR$30:$HC$30,0))</f>
        <v/>
      </c>
    </row>
    <row r="11">
      <c r="A11" s="1" t="inlineStr">
        <is>
          <t>M_imp*Y_dom+M_dom*Y_dom</t>
        </is>
      </c>
      <c r="B11">
        <f>INDEX($B$25:$GQ$25,MATCH(1,$B$29:$GQ$29,0))</f>
        <v/>
      </c>
      <c r="C11">
        <f>INDEX($B$25:$GQ$25,MATCH(2,$B$29:$GQ$29,0))</f>
        <v/>
      </c>
      <c r="D11">
        <f>INDEX($B$25:$GQ$25,MATCH(3,$B$29:$GQ$29,0))</f>
        <v/>
      </c>
      <c r="E11">
        <f>INDEX($B$25:$GQ$25,MATCH(4,$B$29:$GQ$29,0))</f>
        <v/>
      </c>
      <c r="F11">
        <f>INDEX($B$25:$GQ$25,MATCH(5,$B$29:$GQ$29,0))</f>
        <v/>
      </c>
      <c r="G11">
        <f>INDEX($B$25:$GQ$25,MATCH(6,$B$29:$GQ$29,0))</f>
        <v/>
      </c>
      <c r="H11">
        <f>INDEX($B$25:$GQ$25,MATCH(7,$B$29:$GQ$29,0))</f>
        <v/>
      </c>
      <c r="I11">
        <f>INDEX($B$25:$GQ$25,MATCH(8,$B$29:$GQ$29,0))</f>
        <v/>
      </c>
      <c r="J11">
        <f>INDEX($B$25:$GQ$25,MATCH(9,$B$29:$GQ$29,0))</f>
        <v/>
      </c>
      <c r="K11">
        <f>INDEX($B$25:$GQ$25,MATCH(10,$B$29:$GQ$29,0))</f>
        <v/>
      </c>
      <c r="L11">
        <f>INDEX($B$25:$GQ$25,MATCH(11,$B$29:$GQ$29,0))</f>
        <v/>
      </c>
      <c r="M11">
        <f>INDEX($B$25:$GQ$25,MATCH(12,$B$29:$GQ$29,0))</f>
        <v/>
      </c>
      <c r="N11">
        <f>INDEX($B$25:$GQ$25,MATCH(13,$B$29:$GQ$29,0))</f>
        <v/>
      </c>
      <c r="O11">
        <f>INDEX($B$25:$GQ$25,MATCH(14,$B$29:$GQ$29,0))</f>
        <v/>
      </c>
      <c r="P11">
        <f>INDEX($B$25:$GQ$25,MATCH(15,$B$29:$GQ$29,0))</f>
        <v/>
      </c>
      <c r="Q11">
        <f>INDEX($B$25:$GQ$25,MATCH(16,$B$29:$GQ$29,0))</f>
        <v/>
      </c>
      <c r="R11">
        <f>INDEX($B$25:$GQ$25,MATCH(17,$B$29:$GQ$29,0))</f>
        <v/>
      </c>
      <c r="S11">
        <f>INDEX($B$25:$GQ$25,MATCH(18,$B$29:$GQ$29,0))</f>
        <v/>
      </c>
      <c r="T11">
        <f>INDEX($B$25:$GQ$25,MATCH(19,$B$29:$GQ$29,0))</f>
        <v/>
      </c>
      <c r="U11">
        <f>INDEX($B$25:$GQ$25,MATCH(20,$B$29:$GQ$29,0))</f>
        <v/>
      </c>
      <c r="V11">
        <f>INDEX($B$25:$GQ$25,MATCH(21,$B$29:$GQ$29,0))</f>
        <v/>
      </c>
      <c r="W11">
        <f>INDEX($B$25:$GQ$25,MATCH(22,$B$29:$GQ$29,0))</f>
        <v/>
      </c>
      <c r="X11">
        <f>INDEX($B$25:$GQ$25,MATCH(23,$B$29:$GQ$29,0))</f>
        <v/>
      </c>
      <c r="Y11">
        <f>INDEX($B$25:$GQ$25,MATCH(24,$B$29:$GQ$29,0))</f>
        <v/>
      </c>
      <c r="Z11">
        <f>INDEX($B$25:$GQ$25,MATCH(25,$B$29:$GQ$29,0))</f>
        <v/>
      </c>
      <c r="AA11">
        <f>INDEX($B$25:$GQ$25,MATCH(26,$B$29:$GQ$29,0))</f>
        <v/>
      </c>
      <c r="AB11">
        <f>INDEX($B$25:$GQ$25,MATCH(27,$B$29:$GQ$29,0))</f>
        <v/>
      </c>
      <c r="AC11">
        <f>INDEX($B$25:$GQ$25,MATCH(28,$B$29:$GQ$29,0))</f>
        <v/>
      </c>
      <c r="AD11">
        <f>INDEX($B$25:$GQ$25,MATCH(29,$B$29:$GQ$29,0))</f>
        <v/>
      </c>
      <c r="AE11">
        <f>INDEX($B$25:$GQ$25,MATCH(30,$B$29:$GQ$29,0))</f>
        <v/>
      </c>
      <c r="AF11">
        <f>INDEX($B$25:$GQ$25,MATCH(31,$B$29:$GQ$29,0))</f>
        <v/>
      </c>
      <c r="AG11">
        <f>INDEX($B$25:$GQ$25,MATCH(32,$B$29:$GQ$29,0))</f>
        <v/>
      </c>
      <c r="AH11">
        <f>INDEX($B$25:$GQ$25,MATCH(33,$B$29:$GQ$29,0))</f>
        <v/>
      </c>
      <c r="AI11">
        <f>INDEX($B$25:$GQ$25,MATCH(34,$B$29:$GQ$29,0))</f>
        <v/>
      </c>
      <c r="AJ11">
        <f>INDEX($B$25:$GQ$25,MATCH(35,$B$29:$GQ$29,0))</f>
        <v/>
      </c>
      <c r="AK11">
        <f>INDEX($B$25:$GQ$25,MATCH(36,$B$29:$GQ$29,0))</f>
        <v/>
      </c>
      <c r="AL11">
        <f>INDEX($B$25:$GQ$25,MATCH(37,$B$29:$GQ$29,0))</f>
        <v/>
      </c>
      <c r="AM11">
        <f>INDEX($B$25:$GQ$25,MATCH(38,$B$29:$GQ$29,0))</f>
        <v/>
      </c>
      <c r="AN11">
        <f>INDEX($B$25:$GQ$25,MATCH(39,$B$29:$GQ$29,0))</f>
        <v/>
      </c>
      <c r="AO11">
        <f>INDEX($B$25:$GQ$25,MATCH(40,$B$29:$GQ$29,0))</f>
        <v/>
      </c>
      <c r="AP11">
        <f>INDEX($B$25:$GQ$25,MATCH(41,$B$29:$GQ$29,0))</f>
        <v/>
      </c>
      <c r="AQ11">
        <f>INDEX($B$25:$GQ$25,MATCH(42,$B$29:$GQ$29,0))</f>
        <v/>
      </c>
      <c r="AR11">
        <f>INDEX($B$25:$GQ$25,MATCH(43,$B$29:$GQ$29,0))</f>
        <v/>
      </c>
      <c r="AS11">
        <f>INDEX($B$25:$GQ$25,MATCH(44,$B$29:$GQ$29,0))</f>
        <v/>
      </c>
      <c r="AT11">
        <f>INDEX($B$25:$GQ$25,MATCH(45,$B$29:$GQ$29,0))</f>
        <v/>
      </c>
      <c r="AU11">
        <f>INDEX($B$25:$GQ$25,MATCH(46,$B$29:$GQ$29,0))</f>
        <v/>
      </c>
      <c r="AV11">
        <f>INDEX($B$25:$GQ$25,MATCH(47,$B$29:$GQ$29,0))</f>
        <v/>
      </c>
      <c r="AW11">
        <f>INDEX($B$25:$GQ$25,MATCH(48,$B$29:$GQ$29,0))</f>
        <v/>
      </c>
      <c r="AX11">
        <f>INDEX($B$25:$GQ$25,MATCH(49,$B$29:$GQ$29,0))</f>
        <v/>
      </c>
      <c r="AY11">
        <f>INDEX($B$25:$GQ$25,MATCH(50,$B$29:$GQ$29,0))</f>
        <v/>
      </c>
      <c r="AZ11">
        <f>INDEX($B$25:$GQ$25,MATCH(51,$B$29:$GQ$29,0))</f>
        <v/>
      </c>
      <c r="BA11">
        <f>INDEX($B$25:$GQ$25,MATCH(52,$B$29:$GQ$29,0))</f>
        <v/>
      </c>
      <c r="BB11">
        <f>INDEX($B$25:$GQ$25,MATCH(53,$B$29:$GQ$29,0))</f>
        <v/>
      </c>
      <c r="BC11">
        <f>INDEX($B$25:$GQ$25,MATCH(54,$B$29:$GQ$29,0))</f>
        <v/>
      </c>
      <c r="BD11">
        <f>INDEX($B$25:$GQ$25,MATCH(55,$B$29:$GQ$29,0))</f>
        <v/>
      </c>
      <c r="BE11">
        <f>INDEX($B$25:$GQ$25,MATCH(56,$B$29:$GQ$29,0))</f>
        <v/>
      </c>
      <c r="BF11">
        <f>INDEX($B$25:$GQ$25,MATCH(57,$B$29:$GQ$29,0))</f>
        <v/>
      </c>
      <c r="BG11">
        <f>INDEX($B$25:$GQ$25,MATCH(58,$B$29:$GQ$29,0))</f>
        <v/>
      </c>
      <c r="BH11">
        <f>INDEX($B$25:$GQ$25,MATCH(59,$B$29:$GQ$29,0))</f>
        <v/>
      </c>
      <c r="BI11">
        <f>INDEX($B$25:$GQ$25,MATCH(60,$B$29:$GQ$29,0))</f>
        <v/>
      </c>
      <c r="BJ11">
        <f>INDEX($B$25:$GQ$25,MATCH(61,$B$29:$GQ$29,0))</f>
        <v/>
      </c>
      <c r="BK11">
        <f>INDEX($B$25:$GQ$25,MATCH(62,$B$29:$GQ$29,0))</f>
        <v/>
      </c>
      <c r="BL11">
        <f>INDEX($B$25:$GQ$25,MATCH(63,$B$29:$GQ$29,0))</f>
        <v/>
      </c>
      <c r="BM11">
        <f>INDEX($B$25:$GQ$25,MATCH(64,$B$29:$GQ$29,0))</f>
        <v/>
      </c>
      <c r="BN11">
        <f>INDEX($B$25:$GQ$25,MATCH(65,$B$29:$GQ$29,0))</f>
        <v/>
      </c>
      <c r="BO11">
        <f>INDEX($B$25:$GQ$25,MATCH(66,$B$29:$GQ$29,0))</f>
        <v/>
      </c>
      <c r="BP11">
        <f>INDEX($B$25:$GQ$25,MATCH(67,$B$29:$GQ$29,0))</f>
        <v/>
      </c>
      <c r="BQ11">
        <f>INDEX($B$25:$GQ$25,MATCH(68,$B$29:$GQ$29,0))</f>
        <v/>
      </c>
      <c r="BR11">
        <f>INDEX($B$25:$GQ$25,MATCH(69,$B$29:$GQ$29,0))</f>
        <v/>
      </c>
      <c r="BS11">
        <f>INDEX($B$25:$GQ$25,MATCH(70,$B$29:$GQ$29,0))</f>
        <v/>
      </c>
      <c r="BT11">
        <f>INDEX($B$25:$GQ$25,MATCH(71,$B$29:$GQ$29,0))</f>
        <v/>
      </c>
      <c r="BU11">
        <f>INDEX($B$25:$GQ$25,MATCH(72,$B$29:$GQ$29,0))</f>
        <v/>
      </c>
      <c r="BV11">
        <f>INDEX($B$25:$GQ$25,MATCH(73,$B$29:$GQ$29,0))</f>
        <v/>
      </c>
      <c r="BW11">
        <f>INDEX($B$25:$GQ$25,MATCH(74,$B$29:$GQ$29,0))</f>
        <v/>
      </c>
      <c r="BX11">
        <f>INDEX($B$25:$GQ$25,MATCH(75,$B$29:$GQ$29,0))</f>
        <v/>
      </c>
      <c r="BY11">
        <f>INDEX($B$25:$GQ$25,MATCH(76,$B$29:$GQ$29,0))</f>
        <v/>
      </c>
      <c r="BZ11">
        <f>INDEX($B$25:$GQ$25,MATCH(77,$B$29:$GQ$29,0))</f>
        <v/>
      </c>
      <c r="CA11">
        <f>INDEX($B$25:$GQ$25,MATCH(78,$B$29:$GQ$29,0))</f>
        <v/>
      </c>
      <c r="CB11">
        <f>INDEX($B$25:$GQ$25,MATCH(79,$B$29:$GQ$29,0))</f>
        <v/>
      </c>
      <c r="CC11">
        <f>INDEX($B$25:$GQ$25,MATCH(80,$B$29:$GQ$29,0))</f>
        <v/>
      </c>
      <c r="CD11">
        <f>INDEX($B$25:$GQ$25,MATCH(81,$B$29:$GQ$29,0))</f>
        <v/>
      </c>
      <c r="CE11">
        <f>INDEX($B$25:$GQ$25,MATCH(82,$B$29:$GQ$29,0))</f>
        <v/>
      </c>
      <c r="CF11">
        <f>INDEX($B$25:$GQ$25,MATCH(83,$B$29:$GQ$29,0))</f>
        <v/>
      </c>
      <c r="CG11">
        <f>INDEX($B$25:$GQ$25,MATCH(84,$B$29:$GQ$29,0))</f>
        <v/>
      </c>
      <c r="CH11">
        <f>INDEX($B$25:$GQ$25,MATCH(85,$B$29:$GQ$29,0))</f>
        <v/>
      </c>
      <c r="CI11">
        <f>INDEX($B$25:$GQ$25,MATCH(86,$B$29:$GQ$29,0))</f>
        <v/>
      </c>
      <c r="CJ11">
        <f>INDEX($B$25:$GQ$25,MATCH(87,$B$29:$GQ$29,0))</f>
        <v/>
      </c>
      <c r="CK11">
        <f>INDEX($B$25:$GQ$25,MATCH(88,$B$29:$GQ$29,0))</f>
        <v/>
      </c>
      <c r="CL11">
        <f>INDEX($B$25:$GQ$25,MATCH(89,$B$29:$GQ$29,0))</f>
        <v/>
      </c>
      <c r="CM11">
        <f>INDEX($B$25:$GQ$25,MATCH(90,$B$29:$GQ$29,0))</f>
        <v/>
      </c>
      <c r="CN11">
        <f>INDEX($B$25:$GQ$25,MATCH(91,$B$29:$GQ$29,0))</f>
        <v/>
      </c>
      <c r="CO11">
        <f>INDEX($B$25:$GQ$25,MATCH(92,$B$29:$GQ$29,0))</f>
        <v/>
      </c>
      <c r="CP11">
        <f>INDEX($B$25:$GQ$25,MATCH(93,$B$29:$GQ$29,0))</f>
        <v/>
      </c>
      <c r="CQ11">
        <f>INDEX($B$25:$GQ$25,MATCH(94,$B$29:$GQ$29,0))</f>
        <v/>
      </c>
      <c r="CR11">
        <f>INDEX($B$25:$GQ$25,MATCH(95,$B$29:$GQ$29,0))</f>
        <v/>
      </c>
      <c r="CS11">
        <f>INDEX($B$25:$GQ$25,MATCH(96,$B$29:$GQ$29,0))</f>
        <v/>
      </c>
      <c r="CT11">
        <f>INDEX($B$25:$GQ$25,MATCH(97,$B$29:$GQ$29,0))</f>
        <v/>
      </c>
      <c r="CU11">
        <f>INDEX($B$25:$GQ$25,MATCH(98,$B$29:$GQ$29,0))</f>
        <v/>
      </c>
      <c r="CV11">
        <f>INDEX($B$25:$GQ$25,MATCH(99,$B$29:$GQ$29,0))</f>
        <v/>
      </c>
      <c r="CW11">
        <f>INDEX($B$25:$GQ$25,MATCH(100,$B$29:$GQ$29,0))</f>
        <v/>
      </c>
      <c r="CX11">
        <f>INDEX($B$25:$GQ$25,MATCH(101,$B$29:$GQ$29,0))</f>
        <v/>
      </c>
      <c r="CY11">
        <f>INDEX($B$25:$GQ$25,MATCH(102,$B$29:$GQ$29,0))</f>
        <v/>
      </c>
      <c r="CZ11">
        <f>INDEX($B$25:$GQ$25,MATCH(103,$B$29:$GQ$29,0))</f>
        <v/>
      </c>
      <c r="DA11">
        <f>INDEX($B$25:$GQ$25,MATCH(104,$B$29:$GQ$29,0))</f>
        <v/>
      </c>
      <c r="DB11">
        <f>INDEX($B$25:$GQ$25,MATCH(105,$B$29:$GQ$29,0))</f>
        <v/>
      </c>
      <c r="DC11">
        <f>INDEX($B$25:$GQ$25,MATCH(106,$B$29:$GQ$29,0))</f>
        <v/>
      </c>
      <c r="DD11">
        <f>INDEX($B$25:$GQ$25,MATCH(107,$B$29:$GQ$29,0))</f>
        <v/>
      </c>
      <c r="DE11">
        <f>INDEX($B$25:$GQ$25,MATCH(108,$B$29:$GQ$29,0))</f>
        <v/>
      </c>
      <c r="DF11">
        <f>INDEX($B$25:$GQ$25,MATCH(109,$B$29:$GQ$29,0))</f>
        <v/>
      </c>
      <c r="DG11">
        <f>INDEX($B$25:$GQ$25,MATCH(110,$B$29:$GQ$29,0))</f>
        <v/>
      </c>
      <c r="DH11">
        <f>INDEX($B$25:$GQ$25,MATCH(111,$B$29:$GQ$29,0))</f>
        <v/>
      </c>
      <c r="DI11">
        <f>INDEX($B$25:$GQ$25,MATCH(112,$B$29:$GQ$29,0))</f>
        <v/>
      </c>
      <c r="DJ11">
        <f>INDEX($B$25:$GQ$25,MATCH(113,$B$29:$GQ$29,0))</f>
        <v/>
      </c>
      <c r="DK11">
        <f>INDEX($B$25:$GQ$25,MATCH(114,$B$29:$GQ$29,0))</f>
        <v/>
      </c>
      <c r="DL11">
        <f>INDEX($B$25:$GQ$25,MATCH(115,$B$29:$GQ$29,0))</f>
        <v/>
      </c>
      <c r="DM11">
        <f>INDEX($B$25:$GQ$25,MATCH(116,$B$29:$GQ$29,0))</f>
        <v/>
      </c>
      <c r="DN11">
        <f>INDEX($B$25:$GQ$25,MATCH(117,$B$29:$GQ$29,0))</f>
        <v/>
      </c>
      <c r="DO11">
        <f>INDEX($B$25:$GQ$25,MATCH(118,$B$29:$GQ$29,0))</f>
        <v/>
      </c>
      <c r="DP11">
        <f>INDEX($B$25:$GQ$25,MATCH(119,$B$29:$GQ$29,0))</f>
        <v/>
      </c>
      <c r="DQ11">
        <f>INDEX($B$25:$GQ$25,MATCH(120,$B$29:$GQ$29,0))</f>
        <v/>
      </c>
      <c r="DR11">
        <f>INDEX($B$25:$GQ$25,MATCH(121,$B$29:$GQ$29,0))</f>
        <v/>
      </c>
      <c r="DS11">
        <f>INDEX($B$25:$GQ$25,MATCH(122,$B$29:$GQ$29,0))</f>
        <v/>
      </c>
      <c r="DT11">
        <f>INDEX($B$25:$GQ$25,MATCH(123,$B$29:$GQ$29,0))</f>
        <v/>
      </c>
      <c r="DU11">
        <f>INDEX($B$25:$GQ$25,MATCH(124,$B$29:$GQ$29,0))</f>
        <v/>
      </c>
      <c r="DV11">
        <f>INDEX($B$25:$GQ$25,MATCH(125,$B$29:$GQ$29,0))</f>
        <v/>
      </c>
      <c r="DW11">
        <f>INDEX($B$25:$GQ$25,MATCH(126,$B$29:$GQ$29,0))</f>
        <v/>
      </c>
      <c r="DX11">
        <f>INDEX($B$25:$GQ$25,MATCH(127,$B$29:$GQ$29,0))</f>
        <v/>
      </c>
      <c r="DY11">
        <f>INDEX($B$25:$GQ$25,MATCH(128,$B$29:$GQ$29,0))</f>
        <v/>
      </c>
      <c r="DZ11">
        <f>INDEX($B$25:$GQ$25,MATCH(129,$B$29:$GQ$29,0))</f>
        <v/>
      </c>
      <c r="EA11">
        <f>INDEX($B$25:$GQ$25,MATCH(130,$B$29:$GQ$29,0))</f>
        <v/>
      </c>
      <c r="EB11">
        <f>INDEX($B$25:$GQ$25,MATCH(131,$B$29:$GQ$29,0))</f>
        <v/>
      </c>
      <c r="EC11">
        <f>INDEX($B$25:$GQ$25,MATCH(132,$B$29:$GQ$29,0))</f>
        <v/>
      </c>
      <c r="ED11">
        <f>INDEX($B$25:$GQ$25,MATCH(133,$B$29:$GQ$29,0))</f>
        <v/>
      </c>
      <c r="EE11">
        <f>INDEX($B$25:$GQ$25,MATCH(134,$B$29:$GQ$29,0))</f>
        <v/>
      </c>
      <c r="EF11">
        <f>INDEX($B$25:$GQ$25,MATCH(135,$B$29:$GQ$29,0))</f>
        <v/>
      </c>
      <c r="EG11">
        <f>INDEX($B$25:$GQ$25,MATCH(136,$B$29:$GQ$29,0))</f>
        <v/>
      </c>
      <c r="EH11">
        <f>INDEX($B$25:$GQ$25,MATCH(137,$B$29:$GQ$29,0))</f>
        <v/>
      </c>
      <c r="EI11">
        <f>INDEX($B$25:$GQ$25,MATCH(138,$B$29:$GQ$29,0))</f>
        <v/>
      </c>
      <c r="EJ11">
        <f>INDEX($B$25:$GQ$25,MATCH(139,$B$29:$GQ$29,0))</f>
        <v/>
      </c>
      <c r="EK11">
        <f>INDEX($B$25:$GQ$25,MATCH(140,$B$29:$GQ$29,0))</f>
        <v/>
      </c>
      <c r="EL11">
        <f>INDEX($B$25:$GQ$25,MATCH(141,$B$29:$GQ$29,0))</f>
        <v/>
      </c>
      <c r="EM11">
        <f>INDEX($B$25:$GQ$25,MATCH(142,$B$29:$GQ$29,0))</f>
        <v/>
      </c>
      <c r="EN11">
        <f>INDEX($B$25:$GQ$25,MATCH(143,$B$29:$GQ$29,0))</f>
        <v/>
      </c>
      <c r="EO11">
        <f>INDEX($B$25:$GQ$25,MATCH(144,$B$29:$GQ$29,0))</f>
        <v/>
      </c>
      <c r="EP11">
        <f>INDEX($B$25:$GQ$25,MATCH(145,$B$29:$GQ$29,0))</f>
        <v/>
      </c>
      <c r="EQ11">
        <f>INDEX($B$25:$GQ$25,MATCH(146,$B$29:$GQ$29,0))</f>
        <v/>
      </c>
      <c r="ER11">
        <f>INDEX($B$25:$GQ$25,MATCH(147,$B$29:$GQ$29,0))</f>
        <v/>
      </c>
      <c r="ES11">
        <f>INDEX($B$25:$GQ$25,MATCH(148,$B$29:$GQ$29,0))</f>
        <v/>
      </c>
      <c r="ET11">
        <f>INDEX($B$25:$GQ$25,MATCH(149,$B$29:$GQ$29,0))</f>
        <v/>
      </c>
      <c r="EU11">
        <f>INDEX($B$25:$GQ$25,MATCH(150,$B$29:$GQ$29,0))</f>
        <v/>
      </c>
      <c r="EV11">
        <f>INDEX($B$25:$GQ$25,MATCH(151,$B$29:$GQ$29,0))</f>
        <v/>
      </c>
      <c r="EW11">
        <f>INDEX($B$25:$GQ$25,MATCH(152,$B$29:$GQ$29,0))</f>
        <v/>
      </c>
      <c r="EX11">
        <f>INDEX($B$25:$GQ$25,MATCH(153,$B$29:$GQ$29,0))</f>
        <v/>
      </c>
      <c r="EY11">
        <f>INDEX($B$25:$GQ$25,MATCH(154,$B$29:$GQ$29,0))</f>
        <v/>
      </c>
      <c r="EZ11">
        <f>INDEX($B$25:$GQ$25,MATCH(155,$B$29:$GQ$29,0))</f>
        <v/>
      </c>
      <c r="FA11">
        <f>INDEX($B$25:$GQ$25,MATCH(156,$B$29:$GQ$29,0))</f>
        <v/>
      </c>
      <c r="FB11">
        <f>INDEX($B$25:$GQ$25,MATCH(157,$B$29:$GQ$29,0))</f>
        <v/>
      </c>
      <c r="FC11">
        <f>INDEX($B$25:$GQ$25,MATCH(158,$B$29:$GQ$29,0))</f>
        <v/>
      </c>
      <c r="FD11">
        <f>INDEX($B$25:$GQ$25,MATCH(159,$B$29:$GQ$29,0))</f>
        <v/>
      </c>
      <c r="FE11">
        <f>INDEX($B$25:$GQ$25,MATCH(160,$B$29:$GQ$29,0))</f>
        <v/>
      </c>
      <c r="FF11">
        <f>INDEX($B$25:$GQ$25,MATCH(161,$B$29:$GQ$29,0))</f>
        <v/>
      </c>
      <c r="FG11">
        <f>INDEX($B$25:$GQ$25,MATCH(162,$B$29:$GQ$29,0))</f>
        <v/>
      </c>
      <c r="FH11">
        <f>INDEX($B$25:$GQ$25,MATCH(163,$B$29:$GQ$29,0))</f>
        <v/>
      </c>
      <c r="FI11">
        <f>INDEX($B$25:$GQ$25,MATCH(164,$B$29:$GQ$29,0))</f>
        <v/>
      </c>
      <c r="FJ11">
        <f>INDEX($B$25:$GQ$25,MATCH(165,$B$29:$GQ$29,0))</f>
        <v/>
      </c>
      <c r="FK11">
        <f>INDEX($B$25:$GQ$25,MATCH(166,$B$29:$GQ$29,0))</f>
        <v/>
      </c>
      <c r="FL11">
        <f>INDEX($B$25:$GQ$25,MATCH(167,$B$29:$GQ$29,0))</f>
        <v/>
      </c>
      <c r="FM11">
        <f>INDEX($B$25:$GQ$25,MATCH(168,$B$29:$GQ$29,0))</f>
        <v/>
      </c>
      <c r="FN11">
        <f>INDEX($B$25:$GQ$25,MATCH(169,$B$29:$GQ$29,0))</f>
        <v/>
      </c>
      <c r="FO11">
        <f>INDEX($B$25:$GQ$25,MATCH(170,$B$29:$GQ$29,0))</f>
        <v/>
      </c>
      <c r="FP11">
        <f>INDEX($B$25:$GQ$25,MATCH(171,$B$29:$GQ$29,0))</f>
        <v/>
      </c>
      <c r="FQ11">
        <f>INDEX($B$25:$GQ$25,MATCH(172,$B$29:$GQ$29,0))</f>
        <v/>
      </c>
      <c r="FR11">
        <f>INDEX($B$25:$GQ$25,MATCH(173,$B$29:$GQ$29,0))</f>
        <v/>
      </c>
      <c r="FS11">
        <f>INDEX($B$25:$GQ$25,MATCH(174,$B$29:$GQ$29,0))</f>
        <v/>
      </c>
      <c r="FT11">
        <f>INDEX($B$25:$GQ$25,MATCH(175,$B$29:$GQ$29,0))</f>
        <v/>
      </c>
      <c r="FU11">
        <f>INDEX($B$25:$GQ$25,MATCH(176,$B$29:$GQ$29,0))</f>
        <v/>
      </c>
      <c r="FV11">
        <f>INDEX($B$25:$GQ$25,MATCH(177,$B$29:$GQ$29,0))</f>
        <v/>
      </c>
      <c r="FW11">
        <f>INDEX($B$25:$GQ$25,MATCH(178,$B$29:$GQ$29,0))</f>
        <v/>
      </c>
      <c r="FX11">
        <f>INDEX($B$25:$GQ$25,MATCH(179,$B$29:$GQ$29,0))</f>
        <v/>
      </c>
      <c r="FY11">
        <f>INDEX($B$25:$GQ$25,MATCH(180,$B$29:$GQ$29,0))</f>
        <v/>
      </c>
      <c r="FZ11">
        <f>INDEX($B$25:$GQ$25,MATCH(181,$B$29:$GQ$29,0))</f>
        <v/>
      </c>
      <c r="GA11">
        <f>INDEX($B$25:$GQ$25,MATCH(182,$B$29:$GQ$29,0))</f>
        <v/>
      </c>
      <c r="GB11">
        <f>INDEX($B$25:$GQ$25,MATCH(183,$B$29:$GQ$29,0))</f>
        <v/>
      </c>
      <c r="GC11">
        <f>INDEX($B$25:$GQ$25,MATCH(184,$B$29:$GQ$29,0))</f>
        <v/>
      </c>
      <c r="GD11">
        <f>INDEX($B$25:$GQ$25,MATCH(185,$B$29:$GQ$29,0))</f>
        <v/>
      </c>
      <c r="GE11">
        <f>INDEX($B$25:$GQ$25,MATCH(186,$B$29:$GQ$29,0))</f>
        <v/>
      </c>
      <c r="GF11">
        <f>INDEX($B$25:$GQ$25,MATCH(187,$B$29:$GQ$29,0))</f>
        <v/>
      </c>
      <c r="GG11">
        <f>INDEX($B$25:$GQ$25,MATCH(188,$B$29:$GQ$29,0))</f>
        <v/>
      </c>
      <c r="GH11">
        <f>INDEX($B$25:$GQ$25,MATCH(189,$B$29:$GQ$29,0))</f>
        <v/>
      </c>
      <c r="GI11">
        <f>INDEX($B$25:$GQ$25,MATCH(190,$B$29:$GQ$29,0))</f>
        <v/>
      </c>
      <c r="GJ11">
        <f>INDEX($B$25:$GQ$25,MATCH(191,$B$29:$GQ$29,0))</f>
        <v/>
      </c>
      <c r="GK11">
        <f>INDEX($B$25:$GQ$25,MATCH(192,$B$29:$GQ$29,0))</f>
        <v/>
      </c>
      <c r="GL11">
        <f>INDEX($B$25:$GQ$25,MATCH(193,$B$29:$GQ$29,0))</f>
        <v/>
      </c>
      <c r="GM11">
        <f>INDEX($B$25:$GQ$25,MATCH(194,$B$29:$GQ$29,0))</f>
        <v/>
      </c>
      <c r="GN11">
        <f>INDEX($B$25:$GQ$25,MATCH(195,$B$29:$GQ$29,0))</f>
        <v/>
      </c>
      <c r="GO11">
        <f>INDEX($B$25:$GQ$25,MATCH(196,$B$29:$GQ$29,0))</f>
        <v/>
      </c>
      <c r="GP11">
        <f>INDEX($B$25:$GQ$25,MATCH(197,$B$29:$GQ$29,0))</f>
        <v/>
      </c>
      <c r="GQ11">
        <f>INDEX($B$25:$GQ$25,MATCH(198,$B$29:$GQ$29,0))</f>
        <v/>
      </c>
      <c r="GR11">
        <f>INDEX($GR$25:$HC$25,MATCH(1,$GR$30:$HC$30,0))</f>
        <v/>
      </c>
      <c r="GS11">
        <f>INDEX($GR$25:$HC$25,MATCH(2,$GR$30:$HC$30,0))</f>
        <v/>
      </c>
      <c r="GT11">
        <f>INDEX($GR$25:$HC$25,MATCH(3,$GR$30:$HC$30,0))</f>
        <v/>
      </c>
      <c r="GU11">
        <f>INDEX($GR$25:$HC$25,MATCH(4,$GR$30:$HC$30,0))</f>
        <v/>
      </c>
      <c r="GV11">
        <f>INDEX($GR$25:$HC$25,MATCH(5,$GR$30:$HC$30,0))</f>
        <v/>
      </c>
      <c r="GW11">
        <f>INDEX($GR$25:$HC$25,MATCH(6,$GR$30:$HC$30,0))</f>
        <v/>
      </c>
      <c r="GX11">
        <f>INDEX($GR$25:$HC$25,MATCH(7,$GR$30:$HC$30,0))</f>
        <v/>
      </c>
      <c r="GY11">
        <f>INDEX($GR$25:$HC$25,MATCH(8,$GR$30:$HC$30,0))</f>
        <v/>
      </c>
      <c r="GZ11">
        <f>INDEX($GR$25:$HC$25,MATCH(9,$GR$30:$HC$30,0))</f>
        <v/>
      </c>
      <c r="HA11">
        <f>INDEX($GR$25:$HC$25,MATCH(10,$GR$30:$HC$30,0))</f>
        <v/>
      </c>
      <c r="HB11">
        <f>INDEX($GR$25:$HC$25,MATCH(11,$GR$30:$HC$30,0))</f>
        <v/>
      </c>
      <c r="HC11">
        <f>INDEX($GR$25:$HC$25,MATCH(12,$GR$30:$HC$30,0))</f>
        <v/>
      </c>
    </row>
    <row r="12">
      <c r="A12" s="1" t="inlineStr">
        <is>
          <t>M_row*Y_imp</t>
        </is>
      </c>
      <c r="B12">
        <f>INDEX($B$26:$GQ$26,MATCH(1,$B$29:$GQ$29,0))</f>
        <v/>
      </c>
      <c r="C12">
        <f>INDEX($B$26:$GQ$26,MATCH(2,$B$29:$GQ$29,0))</f>
        <v/>
      </c>
      <c r="D12">
        <f>INDEX($B$26:$GQ$26,MATCH(3,$B$29:$GQ$29,0))</f>
        <v/>
      </c>
      <c r="E12">
        <f>INDEX($B$26:$GQ$26,MATCH(4,$B$29:$GQ$29,0))</f>
        <v/>
      </c>
      <c r="F12">
        <f>INDEX($B$26:$GQ$26,MATCH(5,$B$29:$GQ$29,0))</f>
        <v/>
      </c>
      <c r="G12">
        <f>INDEX($B$26:$GQ$26,MATCH(6,$B$29:$GQ$29,0))</f>
        <v/>
      </c>
      <c r="H12">
        <f>INDEX($B$26:$GQ$26,MATCH(7,$B$29:$GQ$29,0))</f>
        <v/>
      </c>
      <c r="I12">
        <f>INDEX($B$26:$GQ$26,MATCH(8,$B$29:$GQ$29,0))</f>
        <v/>
      </c>
      <c r="J12">
        <f>INDEX($B$26:$GQ$26,MATCH(9,$B$29:$GQ$29,0))</f>
        <v/>
      </c>
      <c r="K12">
        <f>INDEX($B$26:$GQ$26,MATCH(10,$B$29:$GQ$29,0))</f>
        <v/>
      </c>
      <c r="L12">
        <f>INDEX($B$26:$GQ$26,MATCH(11,$B$29:$GQ$29,0))</f>
        <v/>
      </c>
      <c r="M12">
        <f>INDEX($B$26:$GQ$26,MATCH(12,$B$29:$GQ$29,0))</f>
        <v/>
      </c>
      <c r="N12">
        <f>INDEX($B$26:$GQ$26,MATCH(13,$B$29:$GQ$29,0))</f>
        <v/>
      </c>
      <c r="O12">
        <f>INDEX($B$26:$GQ$26,MATCH(14,$B$29:$GQ$29,0))</f>
        <v/>
      </c>
      <c r="P12">
        <f>INDEX($B$26:$GQ$26,MATCH(15,$B$29:$GQ$29,0))</f>
        <v/>
      </c>
      <c r="Q12">
        <f>INDEX($B$26:$GQ$26,MATCH(16,$B$29:$GQ$29,0))</f>
        <v/>
      </c>
      <c r="R12">
        <f>INDEX($B$26:$GQ$26,MATCH(17,$B$29:$GQ$29,0))</f>
        <v/>
      </c>
      <c r="S12">
        <f>INDEX($B$26:$GQ$26,MATCH(18,$B$29:$GQ$29,0))</f>
        <v/>
      </c>
      <c r="T12">
        <f>INDEX($B$26:$GQ$26,MATCH(19,$B$29:$GQ$29,0))</f>
        <v/>
      </c>
      <c r="U12">
        <f>INDEX($B$26:$GQ$26,MATCH(20,$B$29:$GQ$29,0))</f>
        <v/>
      </c>
      <c r="V12">
        <f>INDEX($B$26:$GQ$26,MATCH(21,$B$29:$GQ$29,0))</f>
        <v/>
      </c>
      <c r="W12">
        <f>INDEX($B$26:$GQ$26,MATCH(22,$B$29:$GQ$29,0))</f>
        <v/>
      </c>
      <c r="X12">
        <f>INDEX($B$26:$GQ$26,MATCH(23,$B$29:$GQ$29,0))</f>
        <v/>
      </c>
      <c r="Y12">
        <f>INDEX($B$26:$GQ$26,MATCH(24,$B$29:$GQ$29,0))</f>
        <v/>
      </c>
      <c r="Z12">
        <f>INDEX($B$26:$GQ$26,MATCH(25,$B$29:$GQ$29,0))</f>
        <v/>
      </c>
      <c r="AA12">
        <f>INDEX($B$26:$GQ$26,MATCH(26,$B$29:$GQ$29,0))</f>
        <v/>
      </c>
      <c r="AB12">
        <f>INDEX($B$26:$GQ$26,MATCH(27,$B$29:$GQ$29,0))</f>
        <v/>
      </c>
      <c r="AC12">
        <f>INDEX($B$26:$GQ$26,MATCH(28,$B$29:$GQ$29,0))</f>
        <v/>
      </c>
      <c r="AD12">
        <f>INDEX($B$26:$GQ$26,MATCH(29,$B$29:$GQ$29,0))</f>
        <v/>
      </c>
      <c r="AE12">
        <f>INDEX($B$26:$GQ$26,MATCH(30,$B$29:$GQ$29,0))</f>
        <v/>
      </c>
      <c r="AF12">
        <f>INDEX($B$26:$GQ$26,MATCH(31,$B$29:$GQ$29,0))</f>
        <v/>
      </c>
      <c r="AG12">
        <f>INDEX($B$26:$GQ$26,MATCH(32,$B$29:$GQ$29,0))</f>
        <v/>
      </c>
      <c r="AH12">
        <f>INDEX($B$26:$GQ$26,MATCH(33,$B$29:$GQ$29,0))</f>
        <v/>
      </c>
      <c r="AI12">
        <f>INDEX($B$26:$GQ$26,MATCH(34,$B$29:$GQ$29,0))</f>
        <v/>
      </c>
      <c r="AJ12">
        <f>INDEX($B$26:$GQ$26,MATCH(35,$B$29:$GQ$29,0))</f>
        <v/>
      </c>
      <c r="AK12">
        <f>INDEX($B$26:$GQ$26,MATCH(36,$B$29:$GQ$29,0))</f>
        <v/>
      </c>
      <c r="AL12">
        <f>INDEX($B$26:$GQ$26,MATCH(37,$B$29:$GQ$29,0))</f>
        <v/>
      </c>
      <c r="AM12">
        <f>INDEX($B$26:$GQ$26,MATCH(38,$B$29:$GQ$29,0))</f>
        <v/>
      </c>
      <c r="AN12">
        <f>INDEX($B$26:$GQ$26,MATCH(39,$B$29:$GQ$29,0))</f>
        <v/>
      </c>
      <c r="AO12">
        <f>INDEX($B$26:$GQ$26,MATCH(40,$B$29:$GQ$29,0))</f>
        <v/>
      </c>
      <c r="AP12">
        <f>INDEX($B$26:$GQ$26,MATCH(41,$B$29:$GQ$29,0))</f>
        <v/>
      </c>
      <c r="AQ12">
        <f>INDEX($B$26:$GQ$26,MATCH(42,$B$29:$GQ$29,0))</f>
        <v/>
      </c>
      <c r="AR12">
        <f>INDEX($B$26:$GQ$26,MATCH(43,$B$29:$GQ$29,0))</f>
        <v/>
      </c>
      <c r="AS12">
        <f>INDEX($B$26:$GQ$26,MATCH(44,$B$29:$GQ$29,0))</f>
        <v/>
      </c>
      <c r="AT12">
        <f>INDEX($B$26:$GQ$26,MATCH(45,$B$29:$GQ$29,0))</f>
        <v/>
      </c>
      <c r="AU12">
        <f>INDEX($B$26:$GQ$26,MATCH(46,$B$29:$GQ$29,0))</f>
        <v/>
      </c>
      <c r="AV12">
        <f>INDEX($B$26:$GQ$26,MATCH(47,$B$29:$GQ$29,0))</f>
        <v/>
      </c>
      <c r="AW12">
        <f>INDEX($B$26:$GQ$26,MATCH(48,$B$29:$GQ$29,0))</f>
        <v/>
      </c>
      <c r="AX12">
        <f>INDEX($B$26:$GQ$26,MATCH(49,$B$29:$GQ$29,0))</f>
        <v/>
      </c>
      <c r="AY12">
        <f>INDEX($B$26:$GQ$26,MATCH(50,$B$29:$GQ$29,0))</f>
        <v/>
      </c>
      <c r="AZ12">
        <f>INDEX($B$26:$GQ$26,MATCH(51,$B$29:$GQ$29,0))</f>
        <v/>
      </c>
      <c r="BA12">
        <f>INDEX($B$26:$GQ$26,MATCH(52,$B$29:$GQ$29,0))</f>
        <v/>
      </c>
      <c r="BB12">
        <f>INDEX($B$26:$GQ$26,MATCH(53,$B$29:$GQ$29,0))</f>
        <v/>
      </c>
      <c r="BC12">
        <f>INDEX($B$26:$GQ$26,MATCH(54,$B$29:$GQ$29,0))</f>
        <v/>
      </c>
      <c r="BD12">
        <f>INDEX($B$26:$GQ$26,MATCH(55,$B$29:$GQ$29,0))</f>
        <v/>
      </c>
      <c r="BE12">
        <f>INDEX($B$26:$GQ$26,MATCH(56,$B$29:$GQ$29,0))</f>
        <v/>
      </c>
      <c r="BF12">
        <f>INDEX($B$26:$GQ$26,MATCH(57,$B$29:$GQ$29,0))</f>
        <v/>
      </c>
      <c r="BG12">
        <f>INDEX($B$26:$GQ$26,MATCH(58,$B$29:$GQ$29,0))</f>
        <v/>
      </c>
      <c r="BH12">
        <f>INDEX($B$26:$GQ$26,MATCH(59,$B$29:$GQ$29,0))</f>
        <v/>
      </c>
      <c r="BI12">
        <f>INDEX($B$26:$GQ$26,MATCH(60,$B$29:$GQ$29,0))</f>
        <v/>
      </c>
      <c r="BJ12">
        <f>INDEX($B$26:$GQ$26,MATCH(61,$B$29:$GQ$29,0))</f>
        <v/>
      </c>
      <c r="BK12">
        <f>INDEX($B$26:$GQ$26,MATCH(62,$B$29:$GQ$29,0))</f>
        <v/>
      </c>
      <c r="BL12">
        <f>INDEX($B$26:$GQ$26,MATCH(63,$B$29:$GQ$29,0))</f>
        <v/>
      </c>
      <c r="BM12">
        <f>INDEX($B$26:$GQ$26,MATCH(64,$B$29:$GQ$29,0))</f>
        <v/>
      </c>
      <c r="BN12">
        <f>INDEX($B$26:$GQ$26,MATCH(65,$B$29:$GQ$29,0))</f>
        <v/>
      </c>
      <c r="BO12">
        <f>INDEX($B$26:$GQ$26,MATCH(66,$B$29:$GQ$29,0))</f>
        <v/>
      </c>
      <c r="BP12">
        <f>INDEX($B$26:$GQ$26,MATCH(67,$B$29:$GQ$29,0))</f>
        <v/>
      </c>
      <c r="BQ12">
        <f>INDEX($B$26:$GQ$26,MATCH(68,$B$29:$GQ$29,0))</f>
        <v/>
      </c>
      <c r="BR12">
        <f>INDEX($B$26:$GQ$26,MATCH(69,$B$29:$GQ$29,0))</f>
        <v/>
      </c>
      <c r="BS12">
        <f>INDEX($B$26:$GQ$26,MATCH(70,$B$29:$GQ$29,0))</f>
        <v/>
      </c>
      <c r="BT12">
        <f>INDEX($B$26:$GQ$26,MATCH(71,$B$29:$GQ$29,0))</f>
        <v/>
      </c>
      <c r="BU12">
        <f>INDEX($B$26:$GQ$26,MATCH(72,$B$29:$GQ$29,0))</f>
        <v/>
      </c>
      <c r="BV12">
        <f>INDEX($B$26:$GQ$26,MATCH(73,$B$29:$GQ$29,0))</f>
        <v/>
      </c>
      <c r="BW12">
        <f>INDEX($B$26:$GQ$26,MATCH(74,$B$29:$GQ$29,0))</f>
        <v/>
      </c>
      <c r="BX12">
        <f>INDEX($B$26:$GQ$26,MATCH(75,$B$29:$GQ$29,0))</f>
        <v/>
      </c>
      <c r="BY12">
        <f>INDEX($B$26:$GQ$26,MATCH(76,$B$29:$GQ$29,0))</f>
        <v/>
      </c>
      <c r="BZ12">
        <f>INDEX($B$26:$GQ$26,MATCH(77,$B$29:$GQ$29,0))</f>
        <v/>
      </c>
      <c r="CA12">
        <f>INDEX($B$26:$GQ$26,MATCH(78,$B$29:$GQ$29,0))</f>
        <v/>
      </c>
      <c r="CB12">
        <f>INDEX($B$26:$GQ$26,MATCH(79,$B$29:$GQ$29,0))</f>
        <v/>
      </c>
      <c r="CC12">
        <f>INDEX($B$26:$GQ$26,MATCH(80,$B$29:$GQ$29,0))</f>
        <v/>
      </c>
      <c r="CD12">
        <f>INDEX($B$26:$GQ$26,MATCH(81,$B$29:$GQ$29,0))</f>
        <v/>
      </c>
      <c r="CE12">
        <f>INDEX($B$26:$GQ$26,MATCH(82,$B$29:$GQ$29,0))</f>
        <v/>
      </c>
      <c r="CF12">
        <f>INDEX($B$26:$GQ$26,MATCH(83,$B$29:$GQ$29,0))</f>
        <v/>
      </c>
      <c r="CG12">
        <f>INDEX($B$26:$GQ$26,MATCH(84,$B$29:$GQ$29,0))</f>
        <v/>
      </c>
      <c r="CH12">
        <f>INDEX($B$26:$GQ$26,MATCH(85,$B$29:$GQ$29,0))</f>
        <v/>
      </c>
      <c r="CI12">
        <f>INDEX($B$26:$GQ$26,MATCH(86,$B$29:$GQ$29,0))</f>
        <v/>
      </c>
      <c r="CJ12">
        <f>INDEX($B$26:$GQ$26,MATCH(87,$B$29:$GQ$29,0))</f>
        <v/>
      </c>
      <c r="CK12">
        <f>INDEX($B$26:$GQ$26,MATCH(88,$B$29:$GQ$29,0))</f>
        <v/>
      </c>
      <c r="CL12">
        <f>INDEX($B$26:$GQ$26,MATCH(89,$B$29:$GQ$29,0))</f>
        <v/>
      </c>
      <c r="CM12">
        <f>INDEX($B$26:$GQ$26,MATCH(90,$B$29:$GQ$29,0))</f>
        <v/>
      </c>
      <c r="CN12">
        <f>INDEX($B$26:$GQ$26,MATCH(91,$B$29:$GQ$29,0))</f>
        <v/>
      </c>
      <c r="CO12">
        <f>INDEX($B$26:$GQ$26,MATCH(92,$B$29:$GQ$29,0))</f>
        <v/>
      </c>
      <c r="CP12">
        <f>INDEX($B$26:$GQ$26,MATCH(93,$B$29:$GQ$29,0))</f>
        <v/>
      </c>
      <c r="CQ12">
        <f>INDEX($B$26:$GQ$26,MATCH(94,$B$29:$GQ$29,0))</f>
        <v/>
      </c>
      <c r="CR12">
        <f>INDEX($B$26:$GQ$26,MATCH(95,$B$29:$GQ$29,0))</f>
        <v/>
      </c>
      <c r="CS12">
        <f>INDEX($B$26:$GQ$26,MATCH(96,$B$29:$GQ$29,0))</f>
        <v/>
      </c>
      <c r="CT12">
        <f>INDEX($B$26:$GQ$26,MATCH(97,$B$29:$GQ$29,0))</f>
        <v/>
      </c>
      <c r="CU12">
        <f>INDEX($B$26:$GQ$26,MATCH(98,$B$29:$GQ$29,0))</f>
        <v/>
      </c>
      <c r="CV12">
        <f>INDEX($B$26:$GQ$26,MATCH(99,$B$29:$GQ$29,0))</f>
        <v/>
      </c>
      <c r="CW12">
        <f>INDEX($B$26:$GQ$26,MATCH(100,$B$29:$GQ$29,0))</f>
        <v/>
      </c>
      <c r="CX12">
        <f>INDEX($B$26:$GQ$26,MATCH(101,$B$29:$GQ$29,0))</f>
        <v/>
      </c>
      <c r="CY12">
        <f>INDEX($B$26:$GQ$26,MATCH(102,$B$29:$GQ$29,0))</f>
        <v/>
      </c>
      <c r="CZ12">
        <f>INDEX($B$26:$GQ$26,MATCH(103,$B$29:$GQ$29,0))</f>
        <v/>
      </c>
      <c r="DA12">
        <f>INDEX($B$26:$GQ$26,MATCH(104,$B$29:$GQ$29,0))</f>
        <v/>
      </c>
      <c r="DB12">
        <f>INDEX($B$26:$GQ$26,MATCH(105,$B$29:$GQ$29,0))</f>
        <v/>
      </c>
      <c r="DC12">
        <f>INDEX($B$26:$GQ$26,MATCH(106,$B$29:$GQ$29,0))</f>
        <v/>
      </c>
      <c r="DD12">
        <f>INDEX($B$26:$GQ$26,MATCH(107,$B$29:$GQ$29,0))</f>
        <v/>
      </c>
      <c r="DE12">
        <f>INDEX($B$26:$GQ$26,MATCH(108,$B$29:$GQ$29,0))</f>
        <v/>
      </c>
      <c r="DF12">
        <f>INDEX($B$26:$GQ$26,MATCH(109,$B$29:$GQ$29,0))</f>
        <v/>
      </c>
      <c r="DG12">
        <f>INDEX($B$26:$GQ$26,MATCH(110,$B$29:$GQ$29,0))</f>
        <v/>
      </c>
      <c r="DH12">
        <f>INDEX($B$26:$GQ$26,MATCH(111,$B$29:$GQ$29,0))</f>
        <v/>
      </c>
      <c r="DI12">
        <f>INDEX($B$26:$GQ$26,MATCH(112,$B$29:$GQ$29,0))</f>
        <v/>
      </c>
      <c r="DJ12">
        <f>INDEX($B$26:$GQ$26,MATCH(113,$B$29:$GQ$29,0))</f>
        <v/>
      </c>
      <c r="DK12">
        <f>INDEX($B$26:$GQ$26,MATCH(114,$B$29:$GQ$29,0))</f>
        <v/>
      </c>
      <c r="DL12">
        <f>INDEX($B$26:$GQ$26,MATCH(115,$B$29:$GQ$29,0))</f>
        <v/>
      </c>
      <c r="DM12">
        <f>INDEX($B$26:$GQ$26,MATCH(116,$B$29:$GQ$29,0))</f>
        <v/>
      </c>
      <c r="DN12">
        <f>INDEX($B$26:$GQ$26,MATCH(117,$B$29:$GQ$29,0))</f>
        <v/>
      </c>
      <c r="DO12">
        <f>INDEX($B$26:$GQ$26,MATCH(118,$B$29:$GQ$29,0))</f>
        <v/>
      </c>
      <c r="DP12">
        <f>INDEX($B$26:$GQ$26,MATCH(119,$B$29:$GQ$29,0))</f>
        <v/>
      </c>
      <c r="DQ12">
        <f>INDEX($B$26:$GQ$26,MATCH(120,$B$29:$GQ$29,0))</f>
        <v/>
      </c>
      <c r="DR12">
        <f>INDEX($B$26:$GQ$26,MATCH(121,$B$29:$GQ$29,0))</f>
        <v/>
      </c>
      <c r="DS12">
        <f>INDEX($B$26:$GQ$26,MATCH(122,$B$29:$GQ$29,0))</f>
        <v/>
      </c>
      <c r="DT12">
        <f>INDEX($B$26:$GQ$26,MATCH(123,$B$29:$GQ$29,0))</f>
        <v/>
      </c>
      <c r="DU12">
        <f>INDEX($B$26:$GQ$26,MATCH(124,$B$29:$GQ$29,0))</f>
        <v/>
      </c>
      <c r="DV12">
        <f>INDEX($B$26:$GQ$26,MATCH(125,$B$29:$GQ$29,0))</f>
        <v/>
      </c>
      <c r="DW12">
        <f>INDEX($B$26:$GQ$26,MATCH(126,$B$29:$GQ$29,0))</f>
        <v/>
      </c>
      <c r="DX12">
        <f>INDEX($B$26:$GQ$26,MATCH(127,$B$29:$GQ$29,0))</f>
        <v/>
      </c>
      <c r="DY12">
        <f>INDEX($B$26:$GQ$26,MATCH(128,$B$29:$GQ$29,0))</f>
        <v/>
      </c>
      <c r="DZ12">
        <f>INDEX($B$26:$GQ$26,MATCH(129,$B$29:$GQ$29,0))</f>
        <v/>
      </c>
      <c r="EA12">
        <f>INDEX($B$26:$GQ$26,MATCH(130,$B$29:$GQ$29,0))</f>
        <v/>
      </c>
      <c r="EB12">
        <f>INDEX($B$26:$GQ$26,MATCH(131,$B$29:$GQ$29,0))</f>
        <v/>
      </c>
      <c r="EC12">
        <f>INDEX($B$26:$GQ$26,MATCH(132,$B$29:$GQ$29,0))</f>
        <v/>
      </c>
      <c r="ED12">
        <f>INDEX($B$26:$GQ$26,MATCH(133,$B$29:$GQ$29,0))</f>
        <v/>
      </c>
      <c r="EE12">
        <f>INDEX($B$26:$GQ$26,MATCH(134,$B$29:$GQ$29,0))</f>
        <v/>
      </c>
      <c r="EF12">
        <f>INDEX($B$26:$GQ$26,MATCH(135,$B$29:$GQ$29,0))</f>
        <v/>
      </c>
      <c r="EG12">
        <f>INDEX($B$26:$GQ$26,MATCH(136,$B$29:$GQ$29,0))</f>
        <v/>
      </c>
      <c r="EH12">
        <f>INDEX($B$26:$GQ$26,MATCH(137,$B$29:$GQ$29,0))</f>
        <v/>
      </c>
      <c r="EI12">
        <f>INDEX($B$26:$GQ$26,MATCH(138,$B$29:$GQ$29,0))</f>
        <v/>
      </c>
      <c r="EJ12">
        <f>INDEX($B$26:$GQ$26,MATCH(139,$B$29:$GQ$29,0))</f>
        <v/>
      </c>
      <c r="EK12">
        <f>INDEX($B$26:$GQ$26,MATCH(140,$B$29:$GQ$29,0))</f>
        <v/>
      </c>
      <c r="EL12">
        <f>INDEX($B$26:$GQ$26,MATCH(141,$B$29:$GQ$29,0))</f>
        <v/>
      </c>
      <c r="EM12">
        <f>INDEX($B$26:$GQ$26,MATCH(142,$B$29:$GQ$29,0))</f>
        <v/>
      </c>
      <c r="EN12">
        <f>INDEX($B$26:$GQ$26,MATCH(143,$B$29:$GQ$29,0))</f>
        <v/>
      </c>
      <c r="EO12">
        <f>INDEX($B$26:$GQ$26,MATCH(144,$B$29:$GQ$29,0))</f>
        <v/>
      </c>
      <c r="EP12">
        <f>INDEX($B$26:$GQ$26,MATCH(145,$B$29:$GQ$29,0))</f>
        <v/>
      </c>
      <c r="EQ12">
        <f>INDEX($B$26:$GQ$26,MATCH(146,$B$29:$GQ$29,0))</f>
        <v/>
      </c>
      <c r="ER12">
        <f>INDEX($B$26:$GQ$26,MATCH(147,$B$29:$GQ$29,0))</f>
        <v/>
      </c>
      <c r="ES12">
        <f>INDEX($B$26:$GQ$26,MATCH(148,$B$29:$GQ$29,0))</f>
        <v/>
      </c>
      <c r="ET12">
        <f>INDEX($B$26:$GQ$26,MATCH(149,$B$29:$GQ$29,0))</f>
        <v/>
      </c>
      <c r="EU12">
        <f>INDEX($B$26:$GQ$26,MATCH(150,$B$29:$GQ$29,0))</f>
        <v/>
      </c>
      <c r="EV12">
        <f>INDEX($B$26:$GQ$26,MATCH(151,$B$29:$GQ$29,0))</f>
        <v/>
      </c>
      <c r="EW12">
        <f>INDEX($B$26:$GQ$26,MATCH(152,$B$29:$GQ$29,0))</f>
        <v/>
      </c>
      <c r="EX12">
        <f>INDEX($B$26:$GQ$26,MATCH(153,$B$29:$GQ$29,0))</f>
        <v/>
      </c>
      <c r="EY12">
        <f>INDEX($B$26:$GQ$26,MATCH(154,$B$29:$GQ$29,0))</f>
        <v/>
      </c>
      <c r="EZ12">
        <f>INDEX($B$26:$GQ$26,MATCH(155,$B$29:$GQ$29,0))</f>
        <v/>
      </c>
      <c r="FA12">
        <f>INDEX($B$26:$GQ$26,MATCH(156,$B$29:$GQ$29,0))</f>
        <v/>
      </c>
      <c r="FB12">
        <f>INDEX($B$26:$GQ$26,MATCH(157,$B$29:$GQ$29,0))</f>
        <v/>
      </c>
      <c r="FC12">
        <f>INDEX($B$26:$GQ$26,MATCH(158,$B$29:$GQ$29,0))</f>
        <v/>
      </c>
      <c r="FD12">
        <f>INDEX($B$26:$GQ$26,MATCH(159,$B$29:$GQ$29,0))</f>
        <v/>
      </c>
      <c r="FE12">
        <f>INDEX($B$26:$GQ$26,MATCH(160,$B$29:$GQ$29,0))</f>
        <v/>
      </c>
      <c r="FF12">
        <f>INDEX($B$26:$GQ$26,MATCH(161,$B$29:$GQ$29,0))</f>
        <v/>
      </c>
      <c r="FG12">
        <f>INDEX($B$26:$GQ$26,MATCH(162,$B$29:$GQ$29,0))</f>
        <v/>
      </c>
      <c r="FH12">
        <f>INDEX($B$26:$GQ$26,MATCH(163,$B$29:$GQ$29,0))</f>
        <v/>
      </c>
      <c r="FI12">
        <f>INDEX($B$26:$GQ$26,MATCH(164,$B$29:$GQ$29,0))</f>
        <v/>
      </c>
      <c r="FJ12">
        <f>INDEX($B$26:$GQ$26,MATCH(165,$B$29:$GQ$29,0))</f>
        <v/>
      </c>
      <c r="FK12">
        <f>INDEX($B$26:$GQ$26,MATCH(166,$B$29:$GQ$29,0))</f>
        <v/>
      </c>
      <c r="FL12">
        <f>INDEX($B$26:$GQ$26,MATCH(167,$B$29:$GQ$29,0))</f>
        <v/>
      </c>
      <c r="FM12">
        <f>INDEX($B$26:$GQ$26,MATCH(168,$B$29:$GQ$29,0))</f>
        <v/>
      </c>
      <c r="FN12">
        <f>INDEX($B$26:$GQ$26,MATCH(169,$B$29:$GQ$29,0))</f>
        <v/>
      </c>
      <c r="FO12">
        <f>INDEX($B$26:$GQ$26,MATCH(170,$B$29:$GQ$29,0))</f>
        <v/>
      </c>
      <c r="FP12">
        <f>INDEX($B$26:$GQ$26,MATCH(171,$B$29:$GQ$29,0))</f>
        <v/>
      </c>
      <c r="FQ12">
        <f>INDEX($B$26:$GQ$26,MATCH(172,$B$29:$GQ$29,0))</f>
        <v/>
      </c>
      <c r="FR12">
        <f>INDEX($B$26:$GQ$26,MATCH(173,$B$29:$GQ$29,0))</f>
        <v/>
      </c>
      <c r="FS12">
        <f>INDEX($B$26:$GQ$26,MATCH(174,$B$29:$GQ$29,0))</f>
        <v/>
      </c>
      <c r="FT12">
        <f>INDEX($B$26:$GQ$26,MATCH(175,$B$29:$GQ$29,0))</f>
        <v/>
      </c>
      <c r="FU12">
        <f>INDEX($B$26:$GQ$26,MATCH(176,$B$29:$GQ$29,0))</f>
        <v/>
      </c>
      <c r="FV12">
        <f>INDEX($B$26:$GQ$26,MATCH(177,$B$29:$GQ$29,0))</f>
        <v/>
      </c>
      <c r="FW12">
        <f>INDEX($B$26:$GQ$26,MATCH(178,$B$29:$GQ$29,0))</f>
        <v/>
      </c>
      <c r="FX12">
        <f>INDEX($B$26:$GQ$26,MATCH(179,$B$29:$GQ$29,0))</f>
        <v/>
      </c>
      <c r="FY12">
        <f>INDEX($B$26:$GQ$26,MATCH(180,$B$29:$GQ$29,0))</f>
        <v/>
      </c>
      <c r="FZ12">
        <f>INDEX($B$26:$GQ$26,MATCH(181,$B$29:$GQ$29,0))</f>
        <v/>
      </c>
      <c r="GA12">
        <f>INDEX($B$26:$GQ$26,MATCH(182,$B$29:$GQ$29,0))</f>
        <v/>
      </c>
      <c r="GB12">
        <f>INDEX($B$26:$GQ$26,MATCH(183,$B$29:$GQ$29,0))</f>
        <v/>
      </c>
      <c r="GC12">
        <f>INDEX($B$26:$GQ$26,MATCH(184,$B$29:$GQ$29,0))</f>
        <v/>
      </c>
      <c r="GD12">
        <f>INDEX($B$26:$GQ$26,MATCH(185,$B$29:$GQ$29,0))</f>
        <v/>
      </c>
      <c r="GE12">
        <f>INDEX($B$26:$GQ$26,MATCH(186,$B$29:$GQ$29,0))</f>
        <v/>
      </c>
      <c r="GF12">
        <f>INDEX($B$26:$GQ$26,MATCH(187,$B$29:$GQ$29,0))</f>
        <v/>
      </c>
      <c r="GG12">
        <f>INDEX($B$26:$GQ$26,MATCH(188,$B$29:$GQ$29,0))</f>
        <v/>
      </c>
      <c r="GH12">
        <f>INDEX($B$26:$GQ$26,MATCH(189,$B$29:$GQ$29,0))</f>
        <v/>
      </c>
      <c r="GI12">
        <f>INDEX($B$26:$GQ$26,MATCH(190,$B$29:$GQ$29,0))</f>
        <v/>
      </c>
      <c r="GJ12">
        <f>INDEX($B$26:$GQ$26,MATCH(191,$B$29:$GQ$29,0))</f>
        <v/>
      </c>
      <c r="GK12">
        <f>INDEX($B$26:$GQ$26,MATCH(192,$B$29:$GQ$29,0))</f>
        <v/>
      </c>
      <c r="GL12">
        <f>INDEX($B$26:$GQ$26,MATCH(193,$B$29:$GQ$29,0))</f>
        <v/>
      </c>
      <c r="GM12">
        <f>INDEX($B$26:$GQ$26,MATCH(194,$B$29:$GQ$29,0))</f>
        <v/>
      </c>
      <c r="GN12">
        <f>INDEX($B$26:$GQ$26,MATCH(195,$B$29:$GQ$29,0))</f>
        <v/>
      </c>
      <c r="GO12">
        <f>INDEX($B$26:$GQ$26,MATCH(196,$B$29:$GQ$29,0))</f>
        <v/>
      </c>
      <c r="GP12">
        <f>INDEX($B$26:$GQ$26,MATCH(197,$B$29:$GQ$29,0))</f>
        <v/>
      </c>
      <c r="GQ12">
        <f>INDEX($B$26:$GQ$26,MATCH(198,$B$29:$GQ$29,0))</f>
        <v/>
      </c>
      <c r="GR12">
        <f>INDEX($GR$26:$HC$26,MATCH(1,$GR$30:$HC$30,0))</f>
        <v/>
      </c>
      <c r="GS12">
        <f>INDEX($GR$26:$HC$26,MATCH(2,$GR$30:$HC$30,0))</f>
        <v/>
      </c>
      <c r="GT12">
        <f>INDEX($GR$26:$HC$26,MATCH(3,$GR$30:$HC$30,0))</f>
        <v/>
      </c>
      <c r="GU12">
        <f>INDEX($GR$26:$HC$26,MATCH(4,$GR$30:$HC$30,0))</f>
        <v/>
      </c>
      <c r="GV12">
        <f>INDEX($GR$26:$HC$26,MATCH(5,$GR$30:$HC$30,0))</f>
        <v/>
      </c>
      <c r="GW12">
        <f>INDEX($GR$26:$HC$26,MATCH(6,$GR$30:$HC$30,0))</f>
        <v/>
      </c>
      <c r="GX12">
        <f>INDEX($GR$26:$HC$26,MATCH(7,$GR$30:$HC$30,0))</f>
        <v/>
      </c>
      <c r="GY12">
        <f>INDEX($GR$26:$HC$26,MATCH(8,$GR$30:$HC$30,0))</f>
        <v/>
      </c>
      <c r="GZ12">
        <f>INDEX($GR$26:$HC$26,MATCH(9,$GR$30:$HC$30,0))</f>
        <v/>
      </c>
      <c r="HA12">
        <f>INDEX($GR$26:$HC$26,MATCH(10,$GR$30:$HC$30,0))</f>
        <v/>
      </c>
      <c r="HB12">
        <f>INDEX($GR$26:$HC$26,MATCH(11,$GR$30:$HC$30,0))</f>
        <v/>
      </c>
      <c r="HC12">
        <f>INDEX($GR$26:$HC$26,MATCH(12,$GR$30:$HC$30,0))</f>
        <v/>
      </c>
    </row>
    <row r="13">
      <c r="A13" s="1" t="inlineStr">
        <is>
          <t>M_imp*Y_dom+M_dom*Y_dom+M_row*Y_imp</t>
        </is>
      </c>
      <c r="B13">
        <f>INDEX($B$27:$GQ$27,MATCH(1,$B$29:$GQ$29,0))</f>
        <v/>
      </c>
      <c r="C13">
        <f>INDEX($B$27:$GQ$27,MATCH(2,$B$29:$GQ$29,0))</f>
        <v/>
      </c>
      <c r="D13">
        <f>INDEX($B$27:$GQ$27,MATCH(3,$B$29:$GQ$29,0))</f>
        <v/>
      </c>
      <c r="E13">
        <f>INDEX($B$27:$GQ$27,MATCH(4,$B$29:$GQ$29,0))</f>
        <v/>
      </c>
      <c r="F13">
        <f>INDEX($B$27:$GQ$27,MATCH(5,$B$29:$GQ$29,0))</f>
        <v/>
      </c>
      <c r="G13">
        <f>INDEX($B$27:$GQ$27,MATCH(6,$B$29:$GQ$29,0))</f>
        <v/>
      </c>
      <c r="H13">
        <f>INDEX($B$27:$GQ$27,MATCH(7,$B$29:$GQ$29,0))</f>
        <v/>
      </c>
      <c r="I13">
        <f>INDEX($B$27:$GQ$27,MATCH(8,$B$29:$GQ$29,0))</f>
        <v/>
      </c>
      <c r="J13">
        <f>INDEX($B$27:$GQ$27,MATCH(9,$B$29:$GQ$29,0))</f>
        <v/>
      </c>
      <c r="K13">
        <f>INDEX($B$27:$GQ$27,MATCH(10,$B$29:$GQ$29,0))</f>
        <v/>
      </c>
      <c r="L13">
        <f>INDEX($B$27:$GQ$27,MATCH(11,$B$29:$GQ$29,0))</f>
        <v/>
      </c>
      <c r="M13">
        <f>INDEX($B$27:$GQ$27,MATCH(12,$B$29:$GQ$29,0))</f>
        <v/>
      </c>
      <c r="N13">
        <f>INDEX($B$27:$GQ$27,MATCH(13,$B$29:$GQ$29,0))</f>
        <v/>
      </c>
      <c r="O13">
        <f>INDEX($B$27:$GQ$27,MATCH(14,$B$29:$GQ$29,0))</f>
        <v/>
      </c>
      <c r="P13">
        <f>INDEX($B$27:$GQ$27,MATCH(15,$B$29:$GQ$29,0))</f>
        <v/>
      </c>
      <c r="Q13">
        <f>INDEX($B$27:$GQ$27,MATCH(16,$B$29:$GQ$29,0))</f>
        <v/>
      </c>
      <c r="R13">
        <f>INDEX($B$27:$GQ$27,MATCH(17,$B$29:$GQ$29,0))</f>
        <v/>
      </c>
      <c r="S13">
        <f>INDEX($B$27:$GQ$27,MATCH(18,$B$29:$GQ$29,0))</f>
        <v/>
      </c>
      <c r="T13">
        <f>INDEX($B$27:$GQ$27,MATCH(19,$B$29:$GQ$29,0))</f>
        <v/>
      </c>
      <c r="U13">
        <f>INDEX($B$27:$GQ$27,MATCH(20,$B$29:$GQ$29,0))</f>
        <v/>
      </c>
      <c r="V13">
        <f>INDEX($B$27:$GQ$27,MATCH(21,$B$29:$GQ$29,0))</f>
        <v/>
      </c>
      <c r="W13">
        <f>INDEX($B$27:$GQ$27,MATCH(22,$B$29:$GQ$29,0))</f>
        <v/>
      </c>
      <c r="X13">
        <f>INDEX($B$27:$GQ$27,MATCH(23,$B$29:$GQ$29,0))</f>
        <v/>
      </c>
      <c r="Y13">
        <f>INDEX($B$27:$GQ$27,MATCH(24,$B$29:$GQ$29,0))</f>
        <v/>
      </c>
      <c r="Z13">
        <f>INDEX($B$27:$GQ$27,MATCH(25,$B$29:$GQ$29,0))</f>
        <v/>
      </c>
      <c r="AA13">
        <f>INDEX($B$27:$GQ$27,MATCH(26,$B$29:$GQ$29,0))</f>
        <v/>
      </c>
      <c r="AB13">
        <f>INDEX($B$27:$GQ$27,MATCH(27,$B$29:$GQ$29,0))</f>
        <v/>
      </c>
      <c r="AC13">
        <f>INDEX($B$27:$GQ$27,MATCH(28,$B$29:$GQ$29,0))</f>
        <v/>
      </c>
      <c r="AD13">
        <f>INDEX($B$27:$GQ$27,MATCH(29,$B$29:$GQ$29,0))</f>
        <v/>
      </c>
      <c r="AE13">
        <f>INDEX($B$27:$GQ$27,MATCH(30,$B$29:$GQ$29,0))</f>
        <v/>
      </c>
      <c r="AF13">
        <f>INDEX($B$27:$GQ$27,MATCH(31,$B$29:$GQ$29,0))</f>
        <v/>
      </c>
      <c r="AG13">
        <f>INDEX($B$27:$GQ$27,MATCH(32,$B$29:$GQ$29,0))</f>
        <v/>
      </c>
      <c r="AH13">
        <f>INDEX($B$27:$GQ$27,MATCH(33,$B$29:$GQ$29,0))</f>
        <v/>
      </c>
      <c r="AI13">
        <f>INDEX($B$27:$GQ$27,MATCH(34,$B$29:$GQ$29,0))</f>
        <v/>
      </c>
      <c r="AJ13">
        <f>INDEX($B$27:$GQ$27,MATCH(35,$B$29:$GQ$29,0))</f>
        <v/>
      </c>
      <c r="AK13">
        <f>INDEX($B$27:$GQ$27,MATCH(36,$B$29:$GQ$29,0))</f>
        <v/>
      </c>
      <c r="AL13">
        <f>INDEX($B$27:$GQ$27,MATCH(37,$B$29:$GQ$29,0))</f>
        <v/>
      </c>
      <c r="AM13">
        <f>INDEX($B$27:$GQ$27,MATCH(38,$B$29:$GQ$29,0))</f>
        <v/>
      </c>
      <c r="AN13">
        <f>INDEX($B$27:$GQ$27,MATCH(39,$B$29:$GQ$29,0))</f>
        <v/>
      </c>
      <c r="AO13">
        <f>INDEX($B$27:$GQ$27,MATCH(40,$B$29:$GQ$29,0))</f>
        <v/>
      </c>
      <c r="AP13">
        <f>INDEX($B$27:$GQ$27,MATCH(41,$B$29:$GQ$29,0))</f>
        <v/>
      </c>
      <c r="AQ13">
        <f>INDEX($B$27:$GQ$27,MATCH(42,$B$29:$GQ$29,0))</f>
        <v/>
      </c>
      <c r="AR13">
        <f>INDEX($B$27:$GQ$27,MATCH(43,$B$29:$GQ$29,0))</f>
        <v/>
      </c>
      <c r="AS13">
        <f>INDEX($B$27:$GQ$27,MATCH(44,$B$29:$GQ$29,0))</f>
        <v/>
      </c>
      <c r="AT13">
        <f>INDEX($B$27:$GQ$27,MATCH(45,$B$29:$GQ$29,0))</f>
        <v/>
      </c>
      <c r="AU13">
        <f>INDEX($B$27:$GQ$27,MATCH(46,$B$29:$GQ$29,0))</f>
        <v/>
      </c>
      <c r="AV13">
        <f>INDEX($B$27:$GQ$27,MATCH(47,$B$29:$GQ$29,0))</f>
        <v/>
      </c>
      <c r="AW13">
        <f>INDEX($B$27:$GQ$27,MATCH(48,$B$29:$GQ$29,0))</f>
        <v/>
      </c>
      <c r="AX13">
        <f>INDEX($B$27:$GQ$27,MATCH(49,$B$29:$GQ$29,0))</f>
        <v/>
      </c>
      <c r="AY13">
        <f>INDEX($B$27:$GQ$27,MATCH(50,$B$29:$GQ$29,0))</f>
        <v/>
      </c>
      <c r="AZ13">
        <f>INDEX($B$27:$GQ$27,MATCH(51,$B$29:$GQ$29,0))</f>
        <v/>
      </c>
      <c r="BA13">
        <f>INDEX($B$27:$GQ$27,MATCH(52,$B$29:$GQ$29,0))</f>
        <v/>
      </c>
      <c r="BB13">
        <f>INDEX($B$27:$GQ$27,MATCH(53,$B$29:$GQ$29,0))</f>
        <v/>
      </c>
      <c r="BC13">
        <f>INDEX($B$27:$GQ$27,MATCH(54,$B$29:$GQ$29,0))</f>
        <v/>
      </c>
      <c r="BD13">
        <f>INDEX($B$27:$GQ$27,MATCH(55,$B$29:$GQ$29,0))</f>
        <v/>
      </c>
      <c r="BE13">
        <f>INDEX($B$27:$GQ$27,MATCH(56,$B$29:$GQ$29,0))</f>
        <v/>
      </c>
      <c r="BF13">
        <f>INDEX($B$27:$GQ$27,MATCH(57,$B$29:$GQ$29,0))</f>
        <v/>
      </c>
      <c r="BG13">
        <f>INDEX($B$27:$GQ$27,MATCH(58,$B$29:$GQ$29,0))</f>
        <v/>
      </c>
      <c r="BH13">
        <f>INDEX($B$27:$GQ$27,MATCH(59,$B$29:$GQ$29,0))</f>
        <v/>
      </c>
      <c r="BI13">
        <f>INDEX($B$27:$GQ$27,MATCH(60,$B$29:$GQ$29,0))</f>
        <v/>
      </c>
      <c r="BJ13">
        <f>INDEX($B$27:$GQ$27,MATCH(61,$B$29:$GQ$29,0))</f>
        <v/>
      </c>
      <c r="BK13">
        <f>INDEX($B$27:$GQ$27,MATCH(62,$B$29:$GQ$29,0))</f>
        <v/>
      </c>
      <c r="BL13">
        <f>INDEX($B$27:$GQ$27,MATCH(63,$B$29:$GQ$29,0))</f>
        <v/>
      </c>
      <c r="BM13">
        <f>INDEX($B$27:$GQ$27,MATCH(64,$B$29:$GQ$29,0))</f>
        <v/>
      </c>
      <c r="BN13">
        <f>INDEX($B$27:$GQ$27,MATCH(65,$B$29:$GQ$29,0))</f>
        <v/>
      </c>
      <c r="BO13">
        <f>INDEX($B$27:$GQ$27,MATCH(66,$B$29:$GQ$29,0))</f>
        <v/>
      </c>
      <c r="BP13">
        <f>INDEX($B$27:$GQ$27,MATCH(67,$B$29:$GQ$29,0))</f>
        <v/>
      </c>
      <c r="BQ13">
        <f>INDEX($B$27:$GQ$27,MATCH(68,$B$29:$GQ$29,0))</f>
        <v/>
      </c>
      <c r="BR13">
        <f>INDEX($B$27:$GQ$27,MATCH(69,$B$29:$GQ$29,0))</f>
        <v/>
      </c>
      <c r="BS13">
        <f>INDEX($B$27:$GQ$27,MATCH(70,$B$29:$GQ$29,0))</f>
        <v/>
      </c>
      <c r="BT13">
        <f>INDEX($B$27:$GQ$27,MATCH(71,$B$29:$GQ$29,0))</f>
        <v/>
      </c>
      <c r="BU13">
        <f>INDEX($B$27:$GQ$27,MATCH(72,$B$29:$GQ$29,0))</f>
        <v/>
      </c>
      <c r="BV13">
        <f>INDEX($B$27:$GQ$27,MATCH(73,$B$29:$GQ$29,0))</f>
        <v/>
      </c>
      <c r="BW13">
        <f>INDEX($B$27:$GQ$27,MATCH(74,$B$29:$GQ$29,0))</f>
        <v/>
      </c>
      <c r="BX13">
        <f>INDEX($B$27:$GQ$27,MATCH(75,$B$29:$GQ$29,0))</f>
        <v/>
      </c>
      <c r="BY13">
        <f>INDEX($B$27:$GQ$27,MATCH(76,$B$29:$GQ$29,0))</f>
        <v/>
      </c>
      <c r="BZ13">
        <f>INDEX($B$27:$GQ$27,MATCH(77,$B$29:$GQ$29,0))</f>
        <v/>
      </c>
      <c r="CA13">
        <f>INDEX($B$27:$GQ$27,MATCH(78,$B$29:$GQ$29,0))</f>
        <v/>
      </c>
      <c r="CB13">
        <f>INDEX($B$27:$GQ$27,MATCH(79,$B$29:$GQ$29,0))</f>
        <v/>
      </c>
      <c r="CC13">
        <f>INDEX($B$27:$GQ$27,MATCH(80,$B$29:$GQ$29,0))</f>
        <v/>
      </c>
      <c r="CD13">
        <f>INDEX($B$27:$GQ$27,MATCH(81,$B$29:$GQ$29,0))</f>
        <v/>
      </c>
      <c r="CE13">
        <f>INDEX($B$27:$GQ$27,MATCH(82,$B$29:$GQ$29,0))</f>
        <v/>
      </c>
      <c r="CF13">
        <f>INDEX($B$27:$GQ$27,MATCH(83,$B$29:$GQ$29,0))</f>
        <v/>
      </c>
      <c r="CG13">
        <f>INDEX($B$27:$GQ$27,MATCH(84,$B$29:$GQ$29,0))</f>
        <v/>
      </c>
      <c r="CH13">
        <f>INDEX($B$27:$GQ$27,MATCH(85,$B$29:$GQ$29,0))</f>
        <v/>
      </c>
      <c r="CI13">
        <f>INDEX($B$27:$GQ$27,MATCH(86,$B$29:$GQ$29,0))</f>
        <v/>
      </c>
      <c r="CJ13">
        <f>INDEX($B$27:$GQ$27,MATCH(87,$B$29:$GQ$29,0))</f>
        <v/>
      </c>
      <c r="CK13">
        <f>INDEX($B$27:$GQ$27,MATCH(88,$B$29:$GQ$29,0))</f>
        <v/>
      </c>
      <c r="CL13">
        <f>INDEX($B$27:$GQ$27,MATCH(89,$B$29:$GQ$29,0))</f>
        <v/>
      </c>
      <c r="CM13">
        <f>INDEX($B$27:$GQ$27,MATCH(90,$B$29:$GQ$29,0))</f>
        <v/>
      </c>
      <c r="CN13">
        <f>INDEX($B$27:$GQ$27,MATCH(91,$B$29:$GQ$29,0))</f>
        <v/>
      </c>
      <c r="CO13">
        <f>INDEX($B$27:$GQ$27,MATCH(92,$B$29:$GQ$29,0))</f>
        <v/>
      </c>
      <c r="CP13">
        <f>INDEX($B$27:$GQ$27,MATCH(93,$B$29:$GQ$29,0))</f>
        <v/>
      </c>
      <c r="CQ13">
        <f>INDEX($B$27:$GQ$27,MATCH(94,$B$29:$GQ$29,0))</f>
        <v/>
      </c>
      <c r="CR13">
        <f>INDEX($B$27:$GQ$27,MATCH(95,$B$29:$GQ$29,0))</f>
        <v/>
      </c>
      <c r="CS13">
        <f>INDEX($B$27:$GQ$27,MATCH(96,$B$29:$GQ$29,0))</f>
        <v/>
      </c>
      <c r="CT13">
        <f>INDEX($B$27:$GQ$27,MATCH(97,$B$29:$GQ$29,0))</f>
        <v/>
      </c>
      <c r="CU13">
        <f>INDEX($B$27:$GQ$27,MATCH(98,$B$29:$GQ$29,0))</f>
        <v/>
      </c>
      <c r="CV13">
        <f>INDEX($B$27:$GQ$27,MATCH(99,$B$29:$GQ$29,0))</f>
        <v/>
      </c>
      <c r="CW13">
        <f>INDEX($B$27:$GQ$27,MATCH(100,$B$29:$GQ$29,0))</f>
        <v/>
      </c>
      <c r="CX13">
        <f>INDEX($B$27:$GQ$27,MATCH(101,$B$29:$GQ$29,0))</f>
        <v/>
      </c>
      <c r="CY13">
        <f>INDEX($B$27:$GQ$27,MATCH(102,$B$29:$GQ$29,0))</f>
        <v/>
      </c>
      <c r="CZ13">
        <f>INDEX($B$27:$GQ$27,MATCH(103,$B$29:$GQ$29,0))</f>
        <v/>
      </c>
      <c r="DA13">
        <f>INDEX($B$27:$GQ$27,MATCH(104,$B$29:$GQ$29,0))</f>
        <v/>
      </c>
      <c r="DB13">
        <f>INDEX($B$27:$GQ$27,MATCH(105,$B$29:$GQ$29,0))</f>
        <v/>
      </c>
      <c r="DC13">
        <f>INDEX($B$27:$GQ$27,MATCH(106,$B$29:$GQ$29,0))</f>
        <v/>
      </c>
      <c r="DD13">
        <f>INDEX($B$27:$GQ$27,MATCH(107,$B$29:$GQ$29,0))</f>
        <v/>
      </c>
      <c r="DE13">
        <f>INDEX($B$27:$GQ$27,MATCH(108,$B$29:$GQ$29,0))</f>
        <v/>
      </c>
      <c r="DF13">
        <f>INDEX($B$27:$GQ$27,MATCH(109,$B$29:$GQ$29,0))</f>
        <v/>
      </c>
      <c r="DG13">
        <f>INDEX($B$27:$GQ$27,MATCH(110,$B$29:$GQ$29,0))</f>
        <v/>
      </c>
      <c r="DH13">
        <f>INDEX($B$27:$GQ$27,MATCH(111,$B$29:$GQ$29,0))</f>
        <v/>
      </c>
      <c r="DI13">
        <f>INDEX($B$27:$GQ$27,MATCH(112,$B$29:$GQ$29,0))</f>
        <v/>
      </c>
      <c r="DJ13">
        <f>INDEX($B$27:$GQ$27,MATCH(113,$B$29:$GQ$29,0))</f>
        <v/>
      </c>
      <c r="DK13">
        <f>INDEX($B$27:$GQ$27,MATCH(114,$B$29:$GQ$29,0))</f>
        <v/>
      </c>
      <c r="DL13">
        <f>INDEX($B$27:$GQ$27,MATCH(115,$B$29:$GQ$29,0))</f>
        <v/>
      </c>
      <c r="DM13">
        <f>INDEX($B$27:$GQ$27,MATCH(116,$B$29:$GQ$29,0))</f>
        <v/>
      </c>
      <c r="DN13">
        <f>INDEX($B$27:$GQ$27,MATCH(117,$B$29:$GQ$29,0))</f>
        <v/>
      </c>
      <c r="DO13">
        <f>INDEX($B$27:$GQ$27,MATCH(118,$B$29:$GQ$29,0))</f>
        <v/>
      </c>
      <c r="DP13">
        <f>INDEX($B$27:$GQ$27,MATCH(119,$B$29:$GQ$29,0))</f>
        <v/>
      </c>
      <c r="DQ13">
        <f>INDEX($B$27:$GQ$27,MATCH(120,$B$29:$GQ$29,0))</f>
        <v/>
      </c>
      <c r="DR13">
        <f>INDEX($B$27:$GQ$27,MATCH(121,$B$29:$GQ$29,0))</f>
        <v/>
      </c>
      <c r="DS13">
        <f>INDEX($B$27:$GQ$27,MATCH(122,$B$29:$GQ$29,0))</f>
        <v/>
      </c>
      <c r="DT13">
        <f>INDEX($B$27:$GQ$27,MATCH(123,$B$29:$GQ$29,0))</f>
        <v/>
      </c>
      <c r="DU13">
        <f>INDEX($B$27:$GQ$27,MATCH(124,$B$29:$GQ$29,0))</f>
        <v/>
      </c>
      <c r="DV13">
        <f>INDEX($B$27:$GQ$27,MATCH(125,$B$29:$GQ$29,0))</f>
        <v/>
      </c>
      <c r="DW13">
        <f>INDEX($B$27:$GQ$27,MATCH(126,$B$29:$GQ$29,0))</f>
        <v/>
      </c>
      <c r="DX13">
        <f>INDEX($B$27:$GQ$27,MATCH(127,$B$29:$GQ$29,0))</f>
        <v/>
      </c>
      <c r="DY13">
        <f>INDEX($B$27:$GQ$27,MATCH(128,$B$29:$GQ$29,0))</f>
        <v/>
      </c>
      <c r="DZ13">
        <f>INDEX($B$27:$GQ$27,MATCH(129,$B$29:$GQ$29,0))</f>
        <v/>
      </c>
      <c r="EA13">
        <f>INDEX($B$27:$GQ$27,MATCH(130,$B$29:$GQ$29,0))</f>
        <v/>
      </c>
      <c r="EB13">
        <f>INDEX($B$27:$GQ$27,MATCH(131,$B$29:$GQ$29,0))</f>
        <v/>
      </c>
      <c r="EC13">
        <f>INDEX($B$27:$GQ$27,MATCH(132,$B$29:$GQ$29,0))</f>
        <v/>
      </c>
      <c r="ED13">
        <f>INDEX($B$27:$GQ$27,MATCH(133,$B$29:$GQ$29,0))</f>
        <v/>
      </c>
      <c r="EE13">
        <f>INDEX($B$27:$GQ$27,MATCH(134,$B$29:$GQ$29,0))</f>
        <v/>
      </c>
      <c r="EF13">
        <f>INDEX($B$27:$GQ$27,MATCH(135,$B$29:$GQ$29,0))</f>
        <v/>
      </c>
      <c r="EG13">
        <f>INDEX($B$27:$GQ$27,MATCH(136,$B$29:$GQ$29,0))</f>
        <v/>
      </c>
      <c r="EH13">
        <f>INDEX($B$27:$GQ$27,MATCH(137,$B$29:$GQ$29,0))</f>
        <v/>
      </c>
      <c r="EI13">
        <f>INDEX($B$27:$GQ$27,MATCH(138,$B$29:$GQ$29,0))</f>
        <v/>
      </c>
      <c r="EJ13">
        <f>INDEX($B$27:$GQ$27,MATCH(139,$B$29:$GQ$29,0))</f>
        <v/>
      </c>
      <c r="EK13">
        <f>INDEX($B$27:$GQ$27,MATCH(140,$B$29:$GQ$29,0))</f>
        <v/>
      </c>
      <c r="EL13">
        <f>INDEX($B$27:$GQ$27,MATCH(141,$B$29:$GQ$29,0))</f>
        <v/>
      </c>
      <c r="EM13">
        <f>INDEX($B$27:$GQ$27,MATCH(142,$B$29:$GQ$29,0))</f>
        <v/>
      </c>
      <c r="EN13">
        <f>INDEX($B$27:$GQ$27,MATCH(143,$B$29:$GQ$29,0))</f>
        <v/>
      </c>
      <c r="EO13">
        <f>INDEX($B$27:$GQ$27,MATCH(144,$B$29:$GQ$29,0))</f>
        <v/>
      </c>
      <c r="EP13">
        <f>INDEX($B$27:$GQ$27,MATCH(145,$B$29:$GQ$29,0))</f>
        <v/>
      </c>
      <c r="EQ13">
        <f>INDEX($B$27:$GQ$27,MATCH(146,$B$29:$GQ$29,0))</f>
        <v/>
      </c>
      <c r="ER13">
        <f>INDEX($B$27:$GQ$27,MATCH(147,$B$29:$GQ$29,0))</f>
        <v/>
      </c>
      <c r="ES13">
        <f>INDEX($B$27:$GQ$27,MATCH(148,$B$29:$GQ$29,0))</f>
        <v/>
      </c>
      <c r="ET13">
        <f>INDEX($B$27:$GQ$27,MATCH(149,$B$29:$GQ$29,0))</f>
        <v/>
      </c>
      <c r="EU13">
        <f>INDEX($B$27:$GQ$27,MATCH(150,$B$29:$GQ$29,0))</f>
        <v/>
      </c>
      <c r="EV13">
        <f>INDEX($B$27:$GQ$27,MATCH(151,$B$29:$GQ$29,0))</f>
        <v/>
      </c>
      <c r="EW13">
        <f>INDEX($B$27:$GQ$27,MATCH(152,$B$29:$GQ$29,0))</f>
        <v/>
      </c>
      <c r="EX13">
        <f>INDEX($B$27:$GQ$27,MATCH(153,$B$29:$GQ$29,0))</f>
        <v/>
      </c>
      <c r="EY13">
        <f>INDEX($B$27:$GQ$27,MATCH(154,$B$29:$GQ$29,0))</f>
        <v/>
      </c>
      <c r="EZ13">
        <f>INDEX($B$27:$GQ$27,MATCH(155,$B$29:$GQ$29,0))</f>
        <v/>
      </c>
      <c r="FA13">
        <f>INDEX($B$27:$GQ$27,MATCH(156,$B$29:$GQ$29,0))</f>
        <v/>
      </c>
      <c r="FB13">
        <f>INDEX($B$27:$GQ$27,MATCH(157,$B$29:$GQ$29,0))</f>
        <v/>
      </c>
      <c r="FC13">
        <f>INDEX($B$27:$GQ$27,MATCH(158,$B$29:$GQ$29,0))</f>
        <v/>
      </c>
      <c r="FD13">
        <f>INDEX($B$27:$GQ$27,MATCH(159,$B$29:$GQ$29,0))</f>
        <v/>
      </c>
      <c r="FE13">
        <f>INDEX($B$27:$GQ$27,MATCH(160,$B$29:$GQ$29,0))</f>
        <v/>
      </c>
      <c r="FF13">
        <f>INDEX($B$27:$GQ$27,MATCH(161,$B$29:$GQ$29,0))</f>
        <v/>
      </c>
      <c r="FG13">
        <f>INDEX($B$27:$GQ$27,MATCH(162,$B$29:$GQ$29,0))</f>
        <v/>
      </c>
      <c r="FH13">
        <f>INDEX($B$27:$GQ$27,MATCH(163,$B$29:$GQ$29,0))</f>
        <v/>
      </c>
      <c r="FI13">
        <f>INDEX($B$27:$GQ$27,MATCH(164,$B$29:$GQ$29,0))</f>
        <v/>
      </c>
      <c r="FJ13">
        <f>INDEX($B$27:$GQ$27,MATCH(165,$B$29:$GQ$29,0))</f>
        <v/>
      </c>
      <c r="FK13">
        <f>INDEX($B$27:$GQ$27,MATCH(166,$B$29:$GQ$29,0))</f>
        <v/>
      </c>
      <c r="FL13">
        <f>INDEX($B$27:$GQ$27,MATCH(167,$B$29:$GQ$29,0))</f>
        <v/>
      </c>
      <c r="FM13">
        <f>INDEX($B$27:$GQ$27,MATCH(168,$B$29:$GQ$29,0))</f>
        <v/>
      </c>
      <c r="FN13">
        <f>INDEX($B$27:$GQ$27,MATCH(169,$B$29:$GQ$29,0))</f>
        <v/>
      </c>
      <c r="FO13">
        <f>INDEX($B$27:$GQ$27,MATCH(170,$B$29:$GQ$29,0))</f>
        <v/>
      </c>
      <c r="FP13">
        <f>INDEX($B$27:$GQ$27,MATCH(171,$B$29:$GQ$29,0))</f>
        <v/>
      </c>
      <c r="FQ13">
        <f>INDEX($B$27:$GQ$27,MATCH(172,$B$29:$GQ$29,0))</f>
        <v/>
      </c>
      <c r="FR13">
        <f>INDEX($B$27:$GQ$27,MATCH(173,$B$29:$GQ$29,0))</f>
        <v/>
      </c>
      <c r="FS13">
        <f>INDEX($B$27:$GQ$27,MATCH(174,$B$29:$GQ$29,0))</f>
        <v/>
      </c>
      <c r="FT13">
        <f>INDEX($B$27:$GQ$27,MATCH(175,$B$29:$GQ$29,0))</f>
        <v/>
      </c>
      <c r="FU13">
        <f>INDEX($B$27:$GQ$27,MATCH(176,$B$29:$GQ$29,0))</f>
        <v/>
      </c>
      <c r="FV13">
        <f>INDEX($B$27:$GQ$27,MATCH(177,$B$29:$GQ$29,0))</f>
        <v/>
      </c>
      <c r="FW13">
        <f>INDEX($B$27:$GQ$27,MATCH(178,$B$29:$GQ$29,0))</f>
        <v/>
      </c>
      <c r="FX13">
        <f>INDEX($B$27:$GQ$27,MATCH(179,$B$29:$GQ$29,0))</f>
        <v/>
      </c>
      <c r="FY13">
        <f>INDEX($B$27:$GQ$27,MATCH(180,$B$29:$GQ$29,0))</f>
        <v/>
      </c>
      <c r="FZ13">
        <f>INDEX($B$27:$GQ$27,MATCH(181,$B$29:$GQ$29,0))</f>
        <v/>
      </c>
      <c r="GA13">
        <f>INDEX($B$27:$GQ$27,MATCH(182,$B$29:$GQ$29,0))</f>
        <v/>
      </c>
      <c r="GB13">
        <f>INDEX($B$27:$GQ$27,MATCH(183,$B$29:$GQ$29,0))</f>
        <v/>
      </c>
      <c r="GC13">
        <f>INDEX($B$27:$GQ$27,MATCH(184,$B$29:$GQ$29,0))</f>
        <v/>
      </c>
      <c r="GD13">
        <f>INDEX($B$27:$GQ$27,MATCH(185,$B$29:$GQ$29,0))</f>
        <v/>
      </c>
      <c r="GE13">
        <f>INDEX($B$27:$GQ$27,MATCH(186,$B$29:$GQ$29,0))</f>
        <v/>
      </c>
      <c r="GF13">
        <f>INDEX($B$27:$GQ$27,MATCH(187,$B$29:$GQ$29,0))</f>
        <v/>
      </c>
      <c r="GG13">
        <f>INDEX($B$27:$GQ$27,MATCH(188,$B$29:$GQ$29,0))</f>
        <v/>
      </c>
      <c r="GH13">
        <f>INDEX($B$27:$GQ$27,MATCH(189,$B$29:$GQ$29,0))</f>
        <v/>
      </c>
      <c r="GI13">
        <f>INDEX($B$27:$GQ$27,MATCH(190,$B$29:$GQ$29,0))</f>
        <v/>
      </c>
      <c r="GJ13">
        <f>INDEX($B$27:$GQ$27,MATCH(191,$B$29:$GQ$29,0))</f>
        <v/>
      </c>
      <c r="GK13">
        <f>INDEX($B$27:$GQ$27,MATCH(192,$B$29:$GQ$29,0))</f>
        <v/>
      </c>
      <c r="GL13">
        <f>INDEX($B$27:$GQ$27,MATCH(193,$B$29:$GQ$29,0))</f>
        <v/>
      </c>
      <c r="GM13">
        <f>INDEX($B$27:$GQ$27,MATCH(194,$B$29:$GQ$29,0))</f>
        <v/>
      </c>
      <c r="GN13">
        <f>INDEX($B$27:$GQ$27,MATCH(195,$B$29:$GQ$29,0))</f>
        <v/>
      </c>
      <c r="GO13">
        <f>INDEX($B$27:$GQ$27,MATCH(196,$B$29:$GQ$29,0))</f>
        <v/>
      </c>
      <c r="GP13">
        <f>INDEX($B$27:$GQ$27,MATCH(197,$B$29:$GQ$29,0))</f>
        <v/>
      </c>
      <c r="GQ13">
        <f>INDEX($B$27:$GQ$27,MATCH(198,$B$29:$GQ$29,0))</f>
        <v/>
      </c>
      <c r="GR13">
        <f>INDEX($GR$27:$HC$27,MATCH(1,$GR$30:$HC$30,0))</f>
        <v/>
      </c>
      <c r="GS13">
        <f>INDEX($GR$27:$HC$27,MATCH(2,$GR$30:$HC$30,0))</f>
        <v/>
      </c>
      <c r="GT13">
        <f>INDEX($GR$27:$HC$27,MATCH(3,$GR$30:$HC$30,0))</f>
        <v/>
      </c>
      <c r="GU13">
        <f>INDEX($GR$27:$HC$27,MATCH(4,$GR$30:$HC$30,0))</f>
        <v/>
      </c>
      <c r="GV13">
        <f>INDEX($GR$27:$HC$27,MATCH(5,$GR$30:$HC$30,0))</f>
        <v/>
      </c>
      <c r="GW13">
        <f>INDEX($GR$27:$HC$27,MATCH(6,$GR$30:$HC$30,0))</f>
        <v/>
      </c>
      <c r="GX13">
        <f>INDEX($GR$27:$HC$27,MATCH(7,$GR$30:$HC$30,0))</f>
        <v/>
      </c>
      <c r="GY13">
        <f>INDEX($GR$27:$HC$27,MATCH(8,$GR$30:$HC$30,0))</f>
        <v/>
      </c>
      <c r="GZ13">
        <f>INDEX($GR$27:$HC$27,MATCH(9,$GR$30:$HC$30,0))</f>
        <v/>
      </c>
      <c r="HA13">
        <f>INDEX($GR$27:$HC$27,MATCH(10,$GR$30:$HC$30,0))</f>
        <v/>
      </c>
      <c r="HB13">
        <f>INDEX($GR$27:$HC$27,MATCH(11,$GR$30:$HC$30,0))</f>
        <v/>
      </c>
      <c r="HC13">
        <f>INDEX($GR$27:$HC$27,MATCH(12,$GR$30:$HC$30,0))</f>
        <v/>
      </c>
    </row>
    <row r="14">
      <c r="A14" s="2">
        <f>"Part de "&amp;$B$1&amp;" (%)"</f>
        <v/>
      </c>
      <c r="B14" s="3">
        <f>IFERROR(INDEX($B$28:$GQ$28,MATCH(1,$B$29:$GQ$29,0))/SUM($B$28:$GQ$28)*100,0)</f>
        <v/>
      </c>
      <c r="C14" s="3">
        <f>IFERROR(INDEX($B$28:$GQ$28,MATCH(2,$B$29:$GQ$29,0))/SUM($B$28:$GQ$28)*100,0)</f>
        <v/>
      </c>
      <c r="D14" s="3">
        <f>IFERROR(INDEX($B$28:$GQ$28,MATCH(3,$B$29:$GQ$29,0))/SUM($B$28:$GQ$28)*100,0)</f>
        <v/>
      </c>
      <c r="E14" s="3">
        <f>IFERROR(INDEX($B$28:$GQ$28,MATCH(4,$B$29:$GQ$29,0))/SUM($B$28:$GQ$28)*100,0)</f>
        <v/>
      </c>
      <c r="F14" s="3">
        <f>IFERROR(INDEX($B$28:$GQ$28,MATCH(5,$B$29:$GQ$29,0))/SUM($B$28:$GQ$28)*100,0)</f>
        <v/>
      </c>
      <c r="G14" s="3">
        <f>IFERROR(INDEX($B$28:$GQ$28,MATCH(6,$B$29:$GQ$29,0))/SUM($B$28:$GQ$28)*100,0)</f>
        <v/>
      </c>
      <c r="H14" s="3">
        <f>IFERROR(INDEX($B$28:$GQ$28,MATCH(7,$B$29:$GQ$29,0))/SUM($B$28:$GQ$28)*100,0)</f>
        <v/>
      </c>
      <c r="I14" s="3">
        <f>IFERROR(INDEX($B$28:$GQ$28,MATCH(8,$B$29:$GQ$29,0))/SUM($B$28:$GQ$28)*100,0)</f>
        <v/>
      </c>
      <c r="J14" s="3">
        <f>IFERROR(INDEX($B$28:$GQ$28,MATCH(9,$B$29:$GQ$29,0))/SUM($B$28:$GQ$28)*100,0)</f>
        <v/>
      </c>
      <c r="K14" s="3">
        <f>IFERROR(INDEX($B$28:$GQ$28,MATCH(10,$B$29:$GQ$29,0))/SUM($B$28:$GQ$28)*100,0)</f>
        <v/>
      </c>
      <c r="L14" s="3">
        <f>IFERROR(INDEX($B$28:$GQ$28,MATCH(11,$B$29:$GQ$29,0))/SUM($B$28:$GQ$28)*100,0)</f>
        <v/>
      </c>
      <c r="M14" s="3">
        <f>IFERROR(INDEX($B$28:$GQ$28,MATCH(12,$B$29:$GQ$29,0))/SUM($B$28:$GQ$28)*100,0)</f>
        <v/>
      </c>
      <c r="N14" s="3">
        <f>IFERROR(INDEX($B$28:$GQ$28,MATCH(13,$B$29:$GQ$29,0))/SUM($B$28:$GQ$28)*100,0)</f>
        <v/>
      </c>
      <c r="O14" s="3">
        <f>IFERROR(INDEX($B$28:$GQ$28,MATCH(14,$B$29:$GQ$29,0))/SUM($B$28:$GQ$28)*100,0)</f>
        <v/>
      </c>
      <c r="P14" s="3">
        <f>IFERROR(INDEX($B$28:$GQ$28,MATCH(15,$B$29:$GQ$29,0))/SUM($B$28:$GQ$28)*100,0)</f>
        <v/>
      </c>
      <c r="Q14" s="3">
        <f>IFERROR(INDEX($B$28:$GQ$28,MATCH(16,$B$29:$GQ$29,0))/SUM($B$28:$GQ$28)*100,0)</f>
        <v/>
      </c>
      <c r="R14" s="3">
        <f>IFERROR(INDEX($B$28:$GQ$28,MATCH(17,$B$29:$GQ$29,0))/SUM($B$28:$GQ$28)*100,0)</f>
        <v/>
      </c>
      <c r="S14" s="3">
        <f>IFERROR(INDEX($B$28:$GQ$28,MATCH(18,$B$29:$GQ$29,0))/SUM($B$28:$GQ$28)*100,0)</f>
        <v/>
      </c>
      <c r="T14" s="3">
        <f>IFERROR(INDEX($B$28:$GQ$28,MATCH(19,$B$29:$GQ$29,0))/SUM($B$28:$GQ$28)*100,0)</f>
        <v/>
      </c>
      <c r="U14" s="3">
        <f>IFERROR(INDEX($B$28:$GQ$28,MATCH(20,$B$29:$GQ$29,0))/SUM($B$28:$GQ$28)*100,0)</f>
        <v/>
      </c>
      <c r="V14" s="3">
        <f>IFERROR(INDEX($B$28:$GQ$28,MATCH(21,$B$29:$GQ$29,0))/SUM($B$28:$GQ$28)*100,0)</f>
        <v/>
      </c>
      <c r="W14" s="3">
        <f>IFERROR(INDEX($B$28:$GQ$28,MATCH(22,$B$29:$GQ$29,0))/SUM($B$28:$GQ$28)*100,0)</f>
        <v/>
      </c>
      <c r="X14" s="3">
        <f>IFERROR(INDEX($B$28:$GQ$28,MATCH(23,$B$29:$GQ$29,0))/SUM($B$28:$GQ$28)*100,0)</f>
        <v/>
      </c>
      <c r="Y14" s="3">
        <f>IFERROR(INDEX($B$28:$GQ$28,MATCH(24,$B$29:$GQ$29,0))/SUM($B$28:$GQ$28)*100,0)</f>
        <v/>
      </c>
      <c r="Z14" s="3">
        <f>IFERROR(INDEX($B$28:$GQ$28,MATCH(25,$B$29:$GQ$29,0))/SUM($B$28:$GQ$28)*100,0)</f>
        <v/>
      </c>
      <c r="AA14" s="3">
        <f>IFERROR(INDEX($B$28:$GQ$28,MATCH(26,$B$29:$GQ$29,0))/SUM($B$28:$GQ$28)*100,0)</f>
        <v/>
      </c>
      <c r="AB14" s="3">
        <f>IFERROR(INDEX($B$28:$GQ$28,MATCH(27,$B$29:$GQ$29,0))/SUM($B$28:$GQ$28)*100,0)</f>
        <v/>
      </c>
      <c r="AC14" s="3">
        <f>IFERROR(INDEX($B$28:$GQ$28,MATCH(28,$B$29:$GQ$29,0))/SUM($B$28:$GQ$28)*100,0)</f>
        <v/>
      </c>
      <c r="AD14" s="3">
        <f>IFERROR(INDEX($B$28:$GQ$28,MATCH(29,$B$29:$GQ$29,0))/SUM($B$28:$GQ$28)*100,0)</f>
        <v/>
      </c>
      <c r="AE14" s="3">
        <f>IFERROR(INDEX($B$28:$GQ$28,MATCH(30,$B$29:$GQ$29,0))/SUM($B$28:$GQ$28)*100,0)</f>
        <v/>
      </c>
      <c r="AF14" s="3">
        <f>IFERROR(INDEX($B$28:$GQ$28,MATCH(31,$B$29:$GQ$29,0))/SUM($B$28:$GQ$28)*100,0)</f>
        <v/>
      </c>
      <c r="AG14" s="3">
        <f>IFERROR(INDEX($B$28:$GQ$28,MATCH(32,$B$29:$GQ$29,0))/SUM($B$28:$GQ$28)*100,0)</f>
        <v/>
      </c>
      <c r="AH14" s="3">
        <f>IFERROR(INDEX($B$28:$GQ$28,MATCH(33,$B$29:$GQ$29,0))/SUM($B$28:$GQ$28)*100,0)</f>
        <v/>
      </c>
      <c r="AI14" s="3">
        <f>IFERROR(INDEX($B$28:$GQ$28,MATCH(34,$B$29:$GQ$29,0))/SUM($B$28:$GQ$28)*100,0)</f>
        <v/>
      </c>
      <c r="AJ14" s="3">
        <f>IFERROR(INDEX($B$28:$GQ$28,MATCH(35,$B$29:$GQ$29,0))/SUM($B$28:$GQ$28)*100,0)</f>
        <v/>
      </c>
      <c r="AK14" s="3">
        <f>IFERROR(INDEX($B$28:$GQ$28,MATCH(36,$B$29:$GQ$29,0))/SUM($B$28:$GQ$28)*100,0)</f>
        <v/>
      </c>
      <c r="AL14" s="3">
        <f>IFERROR(INDEX($B$28:$GQ$28,MATCH(37,$B$29:$GQ$29,0))/SUM($B$28:$GQ$28)*100,0)</f>
        <v/>
      </c>
      <c r="AM14" s="3">
        <f>IFERROR(INDEX($B$28:$GQ$28,MATCH(38,$B$29:$GQ$29,0))/SUM($B$28:$GQ$28)*100,0)</f>
        <v/>
      </c>
      <c r="AN14" s="3">
        <f>IFERROR(INDEX($B$28:$GQ$28,MATCH(39,$B$29:$GQ$29,0))/SUM($B$28:$GQ$28)*100,0)</f>
        <v/>
      </c>
      <c r="AO14" s="3">
        <f>IFERROR(INDEX($B$28:$GQ$28,MATCH(40,$B$29:$GQ$29,0))/SUM($B$28:$GQ$28)*100,0)</f>
        <v/>
      </c>
      <c r="AP14" s="3">
        <f>IFERROR(INDEX($B$28:$GQ$28,MATCH(41,$B$29:$GQ$29,0))/SUM($B$28:$GQ$28)*100,0)</f>
        <v/>
      </c>
      <c r="AQ14" s="3">
        <f>IFERROR(INDEX($B$28:$GQ$28,MATCH(42,$B$29:$GQ$29,0))/SUM($B$28:$GQ$28)*100,0)</f>
        <v/>
      </c>
      <c r="AR14" s="3">
        <f>IFERROR(INDEX($B$28:$GQ$28,MATCH(43,$B$29:$GQ$29,0))/SUM($B$28:$GQ$28)*100,0)</f>
        <v/>
      </c>
      <c r="AS14" s="3">
        <f>IFERROR(INDEX($B$28:$GQ$28,MATCH(44,$B$29:$GQ$29,0))/SUM($B$28:$GQ$28)*100,0)</f>
        <v/>
      </c>
      <c r="AT14" s="3">
        <f>IFERROR(INDEX($B$28:$GQ$28,MATCH(45,$B$29:$GQ$29,0))/SUM($B$28:$GQ$28)*100,0)</f>
        <v/>
      </c>
      <c r="AU14" s="3">
        <f>IFERROR(INDEX($B$28:$GQ$28,MATCH(46,$B$29:$GQ$29,0))/SUM($B$28:$GQ$28)*100,0)</f>
        <v/>
      </c>
      <c r="AV14" s="3">
        <f>IFERROR(INDEX($B$28:$GQ$28,MATCH(47,$B$29:$GQ$29,0))/SUM($B$28:$GQ$28)*100,0)</f>
        <v/>
      </c>
      <c r="AW14" s="3">
        <f>IFERROR(INDEX($B$28:$GQ$28,MATCH(48,$B$29:$GQ$29,0))/SUM($B$28:$GQ$28)*100,0)</f>
        <v/>
      </c>
      <c r="AX14" s="3">
        <f>IFERROR(INDEX($B$28:$GQ$28,MATCH(49,$B$29:$GQ$29,0))/SUM($B$28:$GQ$28)*100,0)</f>
        <v/>
      </c>
      <c r="AY14" s="3">
        <f>IFERROR(INDEX($B$28:$GQ$28,MATCH(50,$B$29:$GQ$29,0))/SUM($B$28:$GQ$28)*100,0)</f>
        <v/>
      </c>
      <c r="AZ14" s="3">
        <f>IFERROR(INDEX($B$28:$GQ$28,MATCH(51,$B$29:$GQ$29,0))/SUM($B$28:$GQ$28)*100,0)</f>
        <v/>
      </c>
      <c r="BA14" s="3">
        <f>IFERROR(INDEX($B$28:$GQ$28,MATCH(52,$B$29:$GQ$29,0))/SUM($B$28:$GQ$28)*100,0)</f>
        <v/>
      </c>
      <c r="BB14" s="3">
        <f>IFERROR(INDEX($B$28:$GQ$28,MATCH(53,$B$29:$GQ$29,0))/SUM($B$28:$GQ$28)*100,0)</f>
        <v/>
      </c>
      <c r="BC14" s="3">
        <f>IFERROR(INDEX($B$28:$GQ$28,MATCH(54,$B$29:$GQ$29,0))/SUM($B$28:$GQ$28)*100,0)</f>
        <v/>
      </c>
      <c r="BD14" s="3">
        <f>IFERROR(INDEX($B$28:$GQ$28,MATCH(55,$B$29:$GQ$29,0))/SUM($B$28:$GQ$28)*100,0)</f>
        <v/>
      </c>
      <c r="BE14" s="3">
        <f>IFERROR(INDEX($B$28:$GQ$28,MATCH(56,$B$29:$GQ$29,0))/SUM($B$28:$GQ$28)*100,0)</f>
        <v/>
      </c>
      <c r="BF14" s="3">
        <f>IFERROR(INDEX($B$28:$GQ$28,MATCH(57,$B$29:$GQ$29,0))/SUM($B$28:$GQ$28)*100,0)</f>
        <v/>
      </c>
      <c r="BG14" s="3">
        <f>IFERROR(INDEX($B$28:$GQ$28,MATCH(58,$B$29:$GQ$29,0))/SUM($B$28:$GQ$28)*100,0)</f>
        <v/>
      </c>
      <c r="BH14" s="3">
        <f>IFERROR(INDEX($B$28:$GQ$28,MATCH(59,$B$29:$GQ$29,0))/SUM($B$28:$GQ$28)*100,0)</f>
        <v/>
      </c>
      <c r="BI14" s="3">
        <f>IFERROR(INDEX($B$28:$GQ$28,MATCH(60,$B$29:$GQ$29,0))/SUM($B$28:$GQ$28)*100,0)</f>
        <v/>
      </c>
      <c r="BJ14" s="3">
        <f>IFERROR(INDEX($B$28:$GQ$28,MATCH(61,$B$29:$GQ$29,0))/SUM($B$28:$GQ$28)*100,0)</f>
        <v/>
      </c>
      <c r="BK14" s="3">
        <f>IFERROR(INDEX($B$28:$GQ$28,MATCH(62,$B$29:$GQ$29,0))/SUM($B$28:$GQ$28)*100,0)</f>
        <v/>
      </c>
      <c r="BL14" s="3">
        <f>IFERROR(INDEX($B$28:$GQ$28,MATCH(63,$B$29:$GQ$29,0))/SUM($B$28:$GQ$28)*100,0)</f>
        <v/>
      </c>
      <c r="BM14" s="3">
        <f>IFERROR(INDEX($B$28:$GQ$28,MATCH(64,$B$29:$GQ$29,0))/SUM($B$28:$GQ$28)*100,0)</f>
        <v/>
      </c>
      <c r="BN14" s="3">
        <f>IFERROR(INDEX($B$28:$GQ$28,MATCH(65,$B$29:$GQ$29,0))/SUM($B$28:$GQ$28)*100,0)</f>
        <v/>
      </c>
      <c r="BO14" s="3">
        <f>IFERROR(INDEX($B$28:$GQ$28,MATCH(66,$B$29:$GQ$29,0))/SUM($B$28:$GQ$28)*100,0)</f>
        <v/>
      </c>
      <c r="BP14" s="3">
        <f>IFERROR(INDEX($B$28:$GQ$28,MATCH(67,$B$29:$GQ$29,0))/SUM($B$28:$GQ$28)*100,0)</f>
        <v/>
      </c>
      <c r="BQ14" s="3">
        <f>IFERROR(INDEX($B$28:$GQ$28,MATCH(68,$B$29:$GQ$29,0))/SUM($B$28:$GQ$28)*100,0)</f>
        <v/>
      </c>
      <c r="BR14" s="3">
        <f>IFERROR(INDEX($B$28:$GQ$28,MATCH(69,$B$29:$GQ$29,0))/SUM($B$28:$GQ$28)*100,0)</f>
        <v/>
      </c>
      <c r="BS14" s="3">
        <f>IFERROR(INDEX($B$28:$GQ$28,MATCH(70,$B$29:$GQ$29,0))/SUM($B$28:$GQ$28)*100,0)</f>
        <v/>
      </c>
      <c r="BT14" s="3">
        <f>IFERROR(INDEX($B$28:$GQ$28,MATCH(71,$B$29:$GQ$29,0))/SUM($B$28:$GQ$28)*100,0)</f>
        <v/>
      </c>
      <c r="BU14" s="3">
        <f>IFERROR(INDEX($B$28:$GQ$28,MATCH(72,$B$29:$GQ$29,0))/SUM($B$28:$GQ$28)*100,0)</f>
        <v/>
      </c>
      <c r="BV14" s="3">
        <f>IFERROR(INDEX($B$28:$GQ$28,MATCH(73,$B$29:$GQ$29,0))/SUM($B$28:$GQ$28)*100,0)</f>
        <v/>
      </c>
      <c r="BW14" s="3">
        <f>IFERROR(INDEX($B$28:$GQ$28,MATCH(74,$B$29:$GQ$29,0))/SUM($B$28:$GQ$28)*100,0)</f>
        <v/>
      </c>
      <c r="BX14" s="3">
        <f>IFERROR(INDEX($B$28:$GQ$28,MATCH(75,$B$29:$GQ$29,0))/SUM($B$28:$GQ$28)*100,0)</f>
        <v/>
      </c>
      <c r="BY14" s="3">
        <f>IFERROR(INDEX($B$28:$GQ$28,MATCH(76,$B$29:$GQ$29,0))/SUM($B$28:$GQ$28)*100,0)</f>
        <v/>
      </c>
      <c r="BZ14" s="3">
        <f>IFERROR(INDEX($B$28:$GQ$28,MATCH(77,$B$29:$GQ$29,0))/SUM($B$28:$GQ$28)*100,0)</f>
        <v/>
      </c>
      <c r="CA14" s="3">
        <f>IFERROR(INDEX($B$28:$GQ$28,MATCH(78,$B$29:$GQ$29,0))/SUM($B$28:$GQ$28)*100,0)</f>
        <v/>
      </c>
      <c r="CB14" s="3">
        <f>IFERROR(INDEX($B$28:$GQ$28,MATCH(79,$B$29:$GQ$29,0))/SUM($B$28:$GQ$28)*100,0)</f>
        <v/>
      </c>
      <c r="CC14" s="3">
        <f>IFERROR(INDEX($B$28:$GQ$28,MATCH(80,$B$29:$GQ$29,0))/SUM($B$28:$GQ$28)*100,0)</f>
        <v/>
      </c>
      <c r="CD14" s="3">
        <f>IFERROR(INDEX($B$28:$GQ$28,MATCH(81,$B$29:$GQ$29,0))/SUM($B$28:$GQ$28)*100,0)</f>
        <v/>
      </c>
      <c r="CE14" s="3">
        <f>IFERROR(INDEX($B$28:$GQ$28,MATCH(82,$B$29:$GQ$29,0))/SUM($B$28:$GQ$28)*100,0)</f>
        <v/>
      </c>
      <c r="CF14" s="3">
        <f>IFERROR(INDEX($B$28:$GQ$28,MATCH(83,$B$29:$GQ$29,0))/SUM($B$28:$GQ$28)*100,0)</f>
        <v/>
      </c>
      <c r="CG14" s="3">
        <f>IFERROR(INDEX($B$28:$GQ$28,MATCH(84,$B$29:$GQ$29,0))/SUM($B$28:$GQ$28)*100,0)</f>
        <v/>
      </c>
      <c r="CH14" s="3">
        <f>IFERROR(INDEX($B$28:$GQ$28,MATCH(85,$B$29:$GQ$29,0))/SUM($B$28:$GQ$28)*100,0)</f>
        <v/>
      </c>
      <c r="CI14" s="3">
        <f>IFERROR(INDEX($B$28:$GQ$28,MATCH(86,$B$29:$GQ$29,0))/SUM($B$28:$GQ$28)*100,0)</f>
        <v/>
      </c>
      <c r="CJ14" s="3">
        <f>IFERROR(INDEX($B$28:$GQ$28,MATCH(87,$B$29:$GQ$29,0))/SUM($B$28:$GQ$28)*100,0)</f>
        <v/>
      </c>
      <c r="CK14" s="3">
        <f>IFERROR(INDEX($B$28:$GQ$28,MATCH(88,$B$29:$GQ$29,0))/SUM($B$28:$GQ$28)*100,0)</f>
        <v/>
      </c>
      <c r="CL14" s="3">
        <f>IFERROR(INDEX($B$28:$GQ$28,MATCH(89,$B$29:$GQ$29,0))/SUM($B$28:$GQ$28)*100,0)</f>
        <v/>
      </c>
      <c r="CM14" s="3">
        <f>IFERROR(INDEX($B$28:$GQ$28,MATCH(90,$B$29:$GQ$29,0))/SUM($B$28:$GQ$28)*100,0)</f>
        <v/>
      </c>
      <c r="CN14" s="3">
        <f>IFERROR(INDEX($B$28:$GQ$28,MATCH(91,$B$29:$GQ$29,0))/SUM($B$28:$GQ$28)*100,0)</f>
        <v/>
      </c>
      <c r="CO14" s="3">
        <f>IFERROR(INDEX($B$28:$GQ$28,MATCH(92,$B$29:$GQ$29,0))/SUM($B$28:$GQ$28)*100,0)</f>
        <v/>
      </c>
      <c r="CP14" s="3">
        <f>IFERROR(INDEX($B$28:$GQ$28,MATCH(93,$B$29:$GQ$29,0))/SUM($B$28:$GQ$28)*100,0)</f>
        <v/>
      </c>
      <c r="CQ14" s="3">
        <f>IFERROR(INDEX($B$28:$GQ$28,MATCH(94,$B$29:$GQ$29,0))/SUM($B$28:$GQ$28)*100,0)</f>
        <v/>
      </c>
      <c r="CR14" s="3">
        <f>IFERROR(INDEX($B$28:$GQ$28,MATCH(95,$B$29:$GQ$29,0))/SUM($B$28:$GQ$28)*100,0)</f>
        <v/>
      </c>
      <c r="CS14" s="3">
        <f>IFERROR(INDEX($B$28:$GQ$28,MATCH(96,$B$29:$GQ$29,0))/SUM($B$28:$GQ$28)*100,0)</f>
        <v/>
      </c>
      <c r="CT14" s="3">
        <f>IFERROR(INDEX($B$28:$GQ$28,MATCH(97,$B$29:$GQ$29,0))/SUM($B$28:$GQ$28)*100,0)</f>
        <v/>
      </c>
      <c r="CU14" s="3">
        <f>IFERROR(INDEX($B$28:$GQ$28,MATCH(98,$B$29:$GQ$29,0))/SUM($B$28:$GQ$28)*100,0)</f>
        <v/>
      </c>
      <c r="CV14" s="3">
        <f>IFERROR(INDEX($B$28:$GQ$28,MATCH(99,$B$29:$GQ$29,0))/SUM($B$28:$GQ$28)*100,0)</f>
        <v/>
      </c>
      <c r="CW14" s="3">
        <f>IFERROR(INDEX($B$28:$GQ$28,MATCH(100,$B$29:$GQ$29,0))/SUM($B$28:$GQ$28)*100,0)</f>
        <v/>
      </c>
      <c r="CX14" s="3">
        <f>IFERROR(INDEX($B$28:$GQ$28,MATCH(101,$B$29:$GQ$29,0))/SUM($B$28:$GQ$28)*100,0)</f>
        <v/>
      </c>
      <c r="CY14" s="3">
        <f>IFERROR(INDEX($B$28:$GQ$28,MATCH(102,$B$29:$GQ$29,0))/SUM($B$28:$GQ$28)*100,0)</f>
        <v/>
      </c>
      <c r="CZ14" s="3">
        <f>IFERROR(INDEX($B$28:$GQ$28,MATCH(103,$B$29:$GQ$29,0))/SUM($B$28:$GQ$28)*100,0)</f>
        <v/>
      </c>
      <c r="DA14" s="3">
        <f>IFERROR(INDEX($B$28:$GQ$28,MATCH(104,$B$29:$GQ$29,0))/SUM($B$28:$GQ$28)*100,0)</f>
        <v/>
      </c>
      <c r="DB14" s="3">
        <f>IFERROR(INDEX($B$28:$GQ$28,MATCH(105,$B$29:$GQ$29,0))/SUM($B$28:$GQ$28)*100,0)</f>
        <v/>
      </c>
      <c r="DC14" s="3">
        <f>IFERROR(INDEX($B$28:$GQ$28,MATCH(106,$B$29:$GQ$29,0))/SUM($B$28:$GQ$28)*100,0)</f>
        <v/>
      </c>
      <c r="DD14" s="3">
        <f>IFERROR(INDEX($B$28:$GQ$28,MATCH(107,$B$29:$GQ$29,0))/SUM($B$28:$GQ$28)*100,0)</f>
        <v/>
      </c>
      <c r="DE14" s="3">
        <f>IFERROR(INDEX($B$28:$GQ$28,MATCH(108,$B$29:$GQ$29,0))/SUM($B$28:$GQ$28)*100,0)</f>
        <v/>
      </c>
      <c r="DF14" s="3">
        <f>IFERROR(INDEX($B$28:$GQ$28,MATCH(109,$B$29:$GQ$29,0))/SUM($B$28:$GQ$28)*100,0)</f>
        <v/>
      </c>
      <c r="DG14" s="3">
        <f>IFERROR(INDEX($B$28:$GQ$28,MATCH(110,$B$29:$GQ$29,0))/SUM($B$28:$GQ$28)*100,0)</f>
        <v/>
      </c>
      <c r="DH14" s="3">
        <f>IFERROR(INDEX($B$28:$GQ$28,MATCH(111,$B$29:$GQ$29,0))/SUM($B$28:$GQ$28)*100,0)</f>
        <v/>
      </c>
      <c r="DI14" s="3">
        <f>IFERROR(INDEX($B$28:$GQ$28,MATCH(112,$B$29:$GQ$29,0))/SUM($B$28:$GQ$28)*100,0)</f>
        <v/>
      </c>
      <c r="DJ14" s="3">
        <f>IFERROR(INDEX($B$28:$GQ$28,MATCH(113,$B$29:$GQ$29,0))/SUM($B$28:$GQ$28)*100,0)</f>
        <v/>
      </c>
      <c r="DK14" s="3">
        <f>IFERROR(INDEX($B$28:$GQ$28,MATCH(114,$B$29:$GQ$29,0))/SUM($B$28:$GQ$28)*100,0)</f>
        <v/>
      </c>
      <c r="DL14" s="3">
        <f>IFERROR(INDEX($B$28:$GQ$28,MATCH(115,$B$29:$GQ$29,0))/SUM($B$28:$GQ$28)*100,0)</f>
        <v/>
      </c>
      <c r="DM14" s="3">
        <f>IFERROR(INDEX($B$28:$GQ$28,MATCH(116,$B$29:$GQ$29,0))/SUM($B$28:$GQ$28)*100,0)</f>
        <v/>
      </c>
      <c r="DN14" s="3">
        <f>IFERROR(INDEX($B$28:$GQ$28,MATCH(117,$B$29:$GQ$29,0))/SUM($B$28:$GQ$28)*100,0)</f>
        <v/>
      </c>
      <c r="DO14" s="3">
        <f>IFERROR(INDEX($B$28:$GQ$28,MATCH(118,$B$29:$GQ$29,0))/SUM($B$28:$GQ$28)*100,0)</f>
        <v/>
      </c>
      <c r="DP14" s="3">
        <f>IFERROR(INDEX($B$28:$GQ$28,MATCH(119,$B$29:$GQ$29,0))/SUM($B$28:$GQ$28)*100,0)</f>
        <v/>
      </c>
      <c r="DQ14" s="3">
        <f>IFERROR(INDEX($B$28:$GQ$28,MATCH(120,$B$29:$GQ$29,0))/SUM($B$28:$GQ$28)*100,0)</f>
        <v/>
      </c>
      <c r="DR14" s="3">
        <f>IFERROR(INDEX($B$28:$GQ$28,MATCH(121,$B$29:$GQ$29,0))/SUM($B$28:$GQ$28)*100,0)</f>
        <v/>
      </c>
      <c r="DS14" s="3">
        <f>IFERROR(INDEX($B$28:$GQ$28,MATCH(122,$B$29:$GQ$29,0))/SUM($B$28:$GQ$28)*100,0)</f>
        <v/>
      </c>
      <c r="DT14" s="3">
        <f>IFERROR(INDEX($B$28:$GQ$28,MATCH(123,$B$29:$GQ$29,0))/SUM($B$28:$GQ$28)*100,0)</f>
        <v/>
      </c>
      <c r="DU14" s="3">
        <f>IFERROR(INDEX($B$28:$GQ$28,MATCH(124,$B$29:$GQ$29,0))/SUM($B$28:$GQ$28)*100,0)</f>
        <v/>
      </c>
      <c r="DV14" s="3">
        <f>IFERROR(INDEX($B$28:$GQ$28,MATCH(125,$B$29:$GQ$29,0))/SUM($B$28:$GQ$28)*100,0)</f>
        <v/>
      </c>
      <c r="DW14" s="3">
        <f>IFERROR(INDEX($B$28:$GQ$28,MATCH(126,$B$29:$GQ$29,0))/SUM($B$28:$GQ$28)*100,0)</f>
        <v/>
      </c>
      <c r="DX14" s="3">
        <f>IFERROR(INDEX($B$28:$GQ$28,MATCH(127,$B$29:$GQ$29,0))/SUM($B$28:$GQ$28)*100,0)</f>
        <v/>
      </c>
      <c r="DY14" s="3">
        <f>IFERROR(INDEX($B$28:$GQ$28,MATCH(128,$B$29:$GQ$29,0))/SUM($B$28:$GQ$28)*100,0)</f>
        <v/>
      </c>
      <c r="DZ14" s="3">
        <f>IFERROR(INDEX($B$28:$GQ$28,MATCH(129,$B$29:$GQ$29,0))/SUM($B$28:$GQ$28)*100,0)</f>
        <v/>
      </c>
      <c r="EA14" s="3">
        <f>IFERROR(INDEX($B$28:$GQ$28,MATCH(130,$B$29:$GQ$29,0))/SUM($B$28:$GQ$28)*100,0)</f>
        <v/>
      </c>
      <c r="EB14" s="3">
        <f>IFERROR(INDEX($B$28:$GQ$28,MATCH(131,$B$29:$GQ$29,0))/SUM($B$28:$GQ$28)*100,0)</f>
        <v/>
      </c>
      <c r="EC14" s="3">
        <f>IFERROR(INDEX($B$28:$GQ$28,MATCH(132,$B$29:$GQ$29,0))/SUM($B$28:$GQ$28)*100,0)</f>
        <v/>
      </c>
      <c r="ED14" s="3">
        <f>IFERROR(INDEX($B$28:$GQ$28,MATCH(133,$B$29:$GQ$29,0))/SUM($B$28:$GQ$28)*100,0)</f>
        <v/>
      </c>
      <c r="EE14" s="3">
        <f>IFERROR(INDEX($B$28:$GQ$28,MATCH(134,$B$29:$GQ$29,0))/SUM($B$28:$GQ$28)*100,0)</f>
        <v/>
      </c>
      <c r="EF14" s="3">
        <f>IFERROR(INDEX($B$28:$GQ$28,MATCH(135,$B$29:$GQ$29,0))/SUM($B$28:$GQ$28)*100,0)</f>
        <v/>
      </c>
      <c r="EG14" s="3">
        <f>IFERROR(INDEX($B$28:$GQ$28,MATCH(136,$B$29:$GQ$29,0))/SUM($B$28:$GQ$28)*100,0)</f>
        <v/>
      </c>
      <c r="EH14" s="3">
        <f>IFERROR(INDEX($B$28:$GQ$28,MATCH(137,$B$29:$GQ$29,0))/SUM($B$28:$GQ$28)*100,0)</f>
        <v/>
      </c>
      <c r="EI14" s="3">
        <f>IFERROR(INDEX($B$28:$GQ$28,MATCH(138,$B$29:$GQ$29,0))/SUM($B$28:$GQ$28)*100,0)</f>
        <v/>
      </c>
      <c r="EJ14" s="3">
        <f>IFERROR(INDEX($B$28:$GQ$28,MATCH(139,$B$29:$GQ$29,0))/SUM($B$28:$GQ$28)*100,0)</f>
        <v/>
      </c>
      <c r="EK14" s="3">
        <f>IFERROR(INDEX($B$28:$GQ$28,MATCH(140,$B$29:$GQ$29,0))/SUM($B$28:$GQ$28)*100,0)</f>
        <v/>
      </c>
      <c r="EL14" s="3">
        <f>IFERROR(INDEX($B$28:$GQ$28,MATCH(141,$B$29:$GQ$29,0))/SUM($B$28:$GQ$28)*100,0)</f>
        <v/>
      </c>
      <c r="EM14" s="3">
        <f>IFERROR(INDEX($B$28:$GQ$28,MATCH(142,$B$29:$GQ$29,0))/SUM($B$28:$GQ$28)*100,0)</f>
        <v/>
      </c>
      <c r="EN14" s="3">
        <f>IFERROR(INDEX($B$28:$GQ$28,MATCH(143,$B$29:$GQ$29,0))/SUM($B$28:$GQ$28)*100,0)</f>
        <v/>
      </c>
      <c r="EO14" s="3">
        <f>IFERROR(INDEX($B$28:$GQ$28,MATCH(144,$B$29:$GQ$29,0))/SUM($B$28:$GQ$28)*100,0)</f>
        <v/>
      </c>
      <c r="EP14" s="3">
        <f>IFERROR(INDEX($B$28:$GQ$28,MATCH(145,$B$29:$GQ$29,0))/SUM($B$28:$GQ$28)*100,0)</f>
        <v/>
      </c>
      <c r="EQ14" s="3">
        <f>IFERROR(INDEX($B$28:$GQ$28,MATCH(146,$B$29:$GQ$29,0))/SUM($B$28:$GQ$28)*100,0)</f>
        <v/>
      </c>
      <c r="ER14" s="3">
        <f>IFERROR(INDEX($B$28:$GQ$28,MATCH(147,$B$29:$GQ$29,0))/SUM($B$28:$GQ$28)*100,0)</f>
        <v/>
      </c>
      <c r="ES14" s="3">
        <f>IFERROR(INDEX($B$28:$GQ$28,MATCH(148,$B$29:$GQ$29,0))/SUM($B$28:$GQ$28)*100,0)</f>
        <v/>
      </c>
      <c r="ET14" s="3">
        <f>IFERROR(INDEX($B$28:$GQ$28,MATCH(149,$B$29:$GQ$29,0))/SUM($B$28:$GQ$28)*100,0)</f>
        <v/>
      </c>
      <c r="EU14" s="3">
        <f>IFERROR(INDEX($B$28:$GQ$28,MATCH(150,$B$29:$GQ$29,0))/SUM($B$28:$GQ$28)*100,0)</f>
        <v/>
      </c>
      <c r="EV14" s="3">
        <f>IFERROR(INDEX($B$28:$GQ$28,MATCH(151,$B$29:$GQ$29,0))/SUM($B$28:$GQ$28)*100,0)</f>
        <v/>
      </c>
      <c r="EW14" s="3">
        <f>IFERROR(INDEX($B$28:$GQ$28,MATCH(152,$B$29:$GQ$29,0))/SUM($B$28:$GQ$28)*100,0)</f>
        <v/>
      </c>
      <c r="EX14" s="3">
        <f>IFERROR(INDEX($B$28:$GQ$28,MATCH(153,$B$29:$GQ$29,0))/SUM($B$28:$GQ$28)*100,0)</f>
        <v/>
      </c>
      <c r="EY14" s="3">
        <f>IFERROR(INDEX($B$28:$GQ$28,MATCH(154,$B$29:$GQ$29,0))/SUM($B$28:$GQ$28)*100,0)</f>
        <v/>
      </c>
      <c r="EZ14" s="3">
        <f>IFERROR(INDEX($B$28:$GQ$28,MATCH(155,$B$29:$GQ$29,0))/SUM($B$28:$GQ$28)*100,0)</f>
        <v/>
      </c>
      <c r="FA14" s="3">
        <f>IFERROR(INDEX($B$28:$GQ$28,MATCH(156,$B$29:$GQ$29,0))/SUM($B$28:$GQ$28)*100,0)</f>
        <v/>
      </c>
      <c r="FB14" s="3">
        <f>IFERROR(INDEX($B$28:$GQ$28,MATCH(157,$B$29:$GQ$29,0))/SUM($B$28:$GQ$28)*100,0)</f>
        <v/>
      </c>
      <c r="FC14" s="3">
        <f>IFERROR(INDEX($B$28:$GQ$28,MATCH(158,$B$29:$GQ$29,0))/SUM($B$28:$GQ$28)*100,0)</f>
        <v/>
      </c>
      <c r="FD14" s="3">
        <f>IFERROR(INDEX($B$28:$GQ$28,MATCH(159,$B$29:$GQ$29,0))/SUM($B$28:$GQ$28)*100,0)</f>
        <v/>
      </c>
      <c r="FE14" s="3">
        <f>IFERROR(INDEX($B$28:$GQ$28,MATCH(160,$B$29:$GQ$29,0))/SUM($B$28:$GQ$28)*100,0)</f>
        <v/>
      </c>
      <c r="FF14" s="3">
        <f>IFERROR(INDEX($B$28:$GQ$28,MATCH(161,$B$29:$GQ$29,0))/SUM($B$28:$GQ$28)*100,0)</f>
        <v/>
      </c>
      <c r="FG14" s="3">
        <f>IFERROR(INDEX($B$28:$GQ$28,MATCH(162,$B$29:$GQ$29,0))/SUM($B$28:$GQ$28)*100,0)</f>
        <v/>
      </c>
      <c r="FH14" s="3">
        <f>IFERROR(INDEX($B$28:$GQ$28,MATCH(163,$B$29:$GQ$29,0))/SUM($B$28:$GQ$28)*100,0)</f>
        <v/>
      </c>
      <c r="FI14" s="3">
        <f>IFERROR(INDEX($B$28:$GQ$28,MATCH(164,$B$29:$GQ$29,0))/SUM($B$28:$GQ$28)*100,0)</f>
        <v/>
      </c>
      <c r="FJ14" s="3">
        <f>IFERROR(INDEX($B$28:$GQ$28,MATCH(165,$B$29:$GQ$29,0))/SUM($B$28:$GQ$28)*100,0)</f>
        <v/>
      </c>
      <c r="FK14" s="3">
        <f>IFERROR(INDEX($B$28:$GQ$28,MATCH(166,$B$29:$GQ$29,0))/SUM($B$28:$GQ$28)*100,0)</f>
        <v/>
      </c>
      <c r="FL14" s="3">
        <f>IFERROR(INDEX($B$28:$GQ$28,MATCH(167,$B$29:$GQ$29,0))/SUM($B$28:$GQ$28)*100,0)</f>
        <v/>
      </c>
      <c r="FM14" s="3">
        <f>IFERROR(INDEX($B$28:$GQ$28,MATCH(168,$B$29:$GQ$29,0))/SUM($B$28:$GQ$28)*100,0)</f>
        <v/>
      </c>
      <c r="FN14" s="3">
        <f>IFERROR(INDEX($B$28:$GQ$28,MATCH(169,$B$29:$GQ$29,0))/SUM($B$28:$GQ$28)*100,0)</f>
        <v/>
      </c>
      <c r="FO14" s="3">
        <f>IFERROR(INDEX($B$28:$GQ$28,MATCH(170,$B$29:$GQ$29,0))/SUM($B$28:$GQ$28)*100,0)</f>
        <v/>
      </c>
      <c r="FP14" s="3">
        <f>IFERROR(INDEX($B$28:$GQ$28,MATCH(171,$B$29:$GQ$29,0))/SUM($B$28:$GQ$28)*100,0)</f>
        <v/>
      </c>
      <c r="FQ14" s="3">
        <f>IFERROR(INDEX($B$28:$GQ$28,MATCH(172,$B$29:$GQ$29,0))/SUM($B$28:$GQ$28)*100,0)</f>
        <v/>
      </c>
      <c r="FR14" s="3">
        <f>IFERROR(INDEX($B$28:$GQ$28,MATCH(173,$B$29:$GQ$29,0))/SUM($B$28:$GQ$28)*100,0)</f>
        <v/>
      </c>
      <c r="FS14" s="3">
        <f>IFERROR(INDEX($B$28:$GQ$28,MATCH(174,$B$29:$GQ$29,0))/SUM($B$28:$GQ$28)*100,0)</f>
        <v/>
      </c>
      <c r="FT14" s="3">
        <f>IFERROR(INDEX($B$28:$GQ$28,MATCH(175,$B$29:$GQ$29,0))/SUM($B$28:$GQ$28)*100,0)</f>
        <v/>
      </c>
      <c r="FU14" s="3">
        <f>IFERROR(INDEX($B$28:$GQ$28,MATCH(176,$B$29:$GQ$29,0))/SUM($B$28:$GQ$28)*100,0)</f>
        <v/>
      </c>
      <c r="FV14" s="3">
        <f>IFERROR(INDEX($B$28:$GQ$28,MATCH(177,$B$29:$GQ$29,0))/SUM($B$28:$GQ$28)*100,0)</f>
        <v/>
      </c>
      <c r="FW14" s="3">
        <f>IFERROR(INDEX($B$28:$GQ$28,MATCH(178,$B$29:$GQ$29,0))/SUM($B$28:$GQ$28)*100,0)</f>
        <v/>
      </c>
      <c r="FX14" s="3">
        <f>IFERROR(INDEX($B$28:$GQ$28,MATCH(179,$B$29:$GQ$29,0))/SUM($B$28:$GQ$28)*100,0)</f>
        <v/>
      </c>
      <c r="FY14" s="3">
        <f>IFERROR(INDEX($B$28:$GQ$28,MATCH(180,$B$29:$GQ$29,0))/SUM($B$28:$GQ$28)*100,0)</f>
        <v/>
      </c>
      <c r="FZ14" s="3">
        <f>IFERROR(INDEX($B$28:$GQ$28,MATCH(181,$B$29:$GQ$29,0))/SUM($B$28:$GQ$28)*100,0)</f>
        <v/>
      </c>
      <c r="GA14" s="3">
        <f>IFERROR(INDEX($B$28:$GQ$28,MATCH(182,$B$29:$GQ$29,0))/SUM($B$28:$GQ$28)*100,0)</f>
        <v/>
      </c>
      <c r="GB14" s="3">
        <f>IFERROR(INDEX($B$28:$GQ$28,MATCH(183,$B$29:$GQ$29,0))/SUM($B$28:$GQ$28)*100,0)</f>
        <v/>
      </c>
      <c r="GC14" s="3">
        <f>IFERROR(INDEX($B$28:$GQ$28,MATCH(184,$B$29:$GQ$29,0))/SUM($B$28:$GQ$28)*100,0)</f>
        <v/>
      </c>
      <c r="GD14" s="3">
        <f>IFERROR(INDEX($B$28:$GQ$28,MATCH(185,$B$29:$GQ$29,0))/SUM($B$28:$GQ$28)*100,0)</f>
        <v/>
      </c>
      <c r="GE14" s="3">
        <f>IFERROR(INDEX($B$28:$GQ$28,MATCH(186,$B$29:$GQ$29,0))/SUM($B$28:$GQ$28)*100,0)</f>
        <v/>
      </c>
      <c r="GF14" s="3">
        <f>IFERROR(INDEX($B$28:$GQ$28,MATCH(187,$B$29:$GQ$29,0))/SUM($B$28:$GQ$28)*100,0)</f>
        <v/>
      </c>
      <c r="GG14" s="3">
        <f>IFERROR(INDEX($B$28:$GQ$28,MATCH(188,$B$29:$GQ$29,0))/SUM($B$28:$GQ$28)*100,0)</f>
        <v/>
      </c>
      <c r="GH14" s="3">
        <f>IFERROR(INDEX($B$28:$GQ$28,MATCH(189,$B$29:$GQ$29,0))/SUM($B$28:$GQ$28)*100,0)</f>
        <v/>
      </c>
      <c r="GI14" s="3">
        <f>IFERROR(INDEX($B$28:$GQ$28,MATCH(190,$B$29:$GQ$29,0))/SUM($B$28:$GQ$28)*100,0)</f>
        <v/>
      </c>
      <c r="GJ14" s="3">
        <f>IFERROR(INDEX($B$28:$GQ$28,MATCH(191,$B$29:$GQ$29,0))/SUM($B$28:$GQ$28)*100,0)</f>
        <v/>
      </c>
      <c r="GK14" s="3">
        <f>IFERROR(INDEX($B$28:$GQ$28,MATCH(192,$B$29:$GQ$29,0))/SUM($B$28:$GQ$28)*100,0)</f>
        <v/>
      </c>
      <c r="GL14" s="3">
        <f>IFERROR(INDEX($B$28:$GQ$28,MATCH(193,$B$29:$GQ$29,0))/SUM($B$28:$GQ$28)*100,0)</f>
        <v/>
      </c>
      <c r="GM14" s="3">
        <f>IFERROR(INDEX($B$28:$GQ$28,MATCH(194,$B$29:$GQ$29,0))/SUM($B$28:$GQ$28)*100,0)</f>
        <v/>
      </c>
      <c r="GN14" s="3">
        <f>IFERROR(INDEX($B$28:$GQ$28,MATCH(195,$B$29:$GQ$29,0))/SUM($B$28:$GQ$28)*100,0)</f>
        <v/>
      </c>
      <c r="GO14" s="3">
        <f>IFERROR(INDEX($B$28:$GQ$28,MATCH(196,$B$29:$GQ$29,0))/SUM($B$28:$GQ$28)*100,0)</f>
        <v/>
      </c>
      <c r="GP14" s="3">
        <f>IFERROR(INDEX($B$28:$GQ$28,MATCH(197,$B$29:$GQ$29,0))/SUM($B$28:$GQ$28)*100,0)</f>
        <v/>
      </c>
      <c r="GQ14" s="3">
        <f>IFERROR(INDEX($B$28:$GQ$28,MATCH(198,$B$29:$GQ$29,0))/SUM($B$28:$GQ$28)*100,0)</f>
        <v/>
      </c>
      <c r="GR14" s="3">
        <f>IFERROR(INDEX($GR$28:$HC$28,MATCH(1,$GR$30:$HC$30,0))/SUM($GR$28:$HC$28)*100,0)</f>
        <v/>
      </c>
      <c r="GS14" s="3">
        <f>IFERROR(INDEX($GR$28:$HC$28,MATCH(2,$GR$30:$HC$30,0))/SUM($GR$28:$HC$28)*100,0)</f>
        <v/>
      </c>
      <c r="GT14" s="3">
        <f>IFERROR(INDEX($GR$28:$HC$28,MATCH(3,$GR$30:$HC$30,0))/SUM($GR$28:$HC$28)*100,0)</f>
        <v/>
      </c>
      <c r="GU14" s="3">
        <f>IFERROR(INDEX($GR$28:$HC$28,MATCH(4,$GR$30:$HC$30,0))/SUM($GR$28:$HC$28)*100,0)</f>
        <v/>
      </c>
      <c r="GV14" s="3">
        <f>IFERROR(INDEX($GR$28:$HC$28,MATCH(5,$GR$30:$HC$30,0))/SUM($GR$28:$HC$28)*100,0)</f>
        <v/>
      </c>
      <c r="GW14" s="3">
        <f>IFERROR(INDEX($GR$28:$HC$28,MATCH(6,$GR$30:$HC$30,0))/SUM($GR$28:$HC$28)*100,0)</f>
        <v/>
      </c>
      <c r="GX14" s="3">
        <f>IFERROR(INDEX($GR$28:$HC$28,MATCH(7,$GR$30:$HC$30,0))/SUM($GR$28:$HC$28)*100,0)</f>
        <v/>
      </c>
      <c r="GY14" s="3">
        <f>IFERROR(INDEX($GR$28:$HC$28,MATCH(8,$GR$30:$HC$30,0))/SUM($GR$28:$HC$28)*100,0)</f>
        <v/>
      </c>
      <c r="GZ14" s="3">
        <f>IFERROR(INDEX($GR$28:$HC$28,MATCH(9,$GR$30:$HC$30,0))/SUM($GR$28:$HC$28)*100,0)</f>
        <v/>
      </c>
      <c r="HA14" s="3">
        <f>IFERROR(INDEX($GR$28:$HC$28,MATCH(10,$GR$30:$HC$30,0))/SUM($GR$28:$HC$28)*100,0)</f>
        <v/>
      </c>
      <c r="HB14" s="3">
        <f>IFERROR(INDEX($GR$28:$HC$28,MATCH(11,$GR$30:$HC$30,0))/SUM($GR$28:$HC$28)*100,0)</f>
        <v/>
      </c>
      <c r="HC14" s="3">
        <f>IFERROR(INDEX($GR$28:$HC$28,MATCH(12,$GR$30:$HC$30,0))/SUM($GR$28:$HC$28)*100,0)</f>
        <v/>
      </c>
    </row>
    <row r="16">
      <c r="A16" s="1" t="inlineStr">
        <is>
          <t>Données sources (ordre du bridge, non triées)</t>
        </is>
      </c>
    </row>
    <row r="17">
      <c r="A17" s="1" t="inlineStr">
        <is>
          <t>GHG emissions</t>
        </is>
      </c>
      <c r="B17" s="1" t="inlineStr">
        <is>
          <t>Paddy rice</t>
        </is>
      </c>
      <c r="C17" s="1" t="inlineStr">
        <is>
          <t>Wheat</t>
        </is>
      </c>
      <c r="D17" s="1" t="inlineStr">
        <is>
          <t>Cereal grains nec</t>
        </is>
      </c>
      <c r="E17" s="1" t="inlineStr">
        <is>
          <t>Vegetables, fruit, nuts</t>
        </is>
      </c>
      <c r="F17" s="1" t="inlineStr">
        <is>
          <t>Oil seeds</t>
        </is>
      </c>
      <c r="G17" s="1" t="inlineStr">
        <is>
          <t>Sugar cane, sugar beet</t>
        </is>
      </c>
      <c r="H17" s="1" t="inlineStr">
        <is>
          <t>Plant-based fibers</t>
        </is>
      </c>
      <c r="I17" s="1" t="inlineStr">
        <is>
          <t>Crops nec</t>
        </is>
      </c>
      <c r="J17" s="1" t="inlineStr">
        <is>
          <t>Cattle</t>
        </is>
      </c>
      <c r="K17" s="1" t="inlineStr">
        <is>
          <t>Pigs</t>
        </is>
      </c>
      <c r="L17" s="1" t="inlineStr">
        <is>
          <t>Poultry</t>
        </is>
      </c>
      <c r="M17" s="1" t="inlineStr">
        <is>
          <t>Meat animals nec</t>
        </is>
      </c>
      <c r="N17" s="1" t="inlineStr">
        <is>
          <t>Animal products nec</t>
        </is>
      </c>
      <c r="O17" s="1" t="inlineStr">
        <is>
          <t>Raw milk</t>
        </is>
      </c>
      <c r="P17" s="1" t="inlineStr">
        <is>
          <t>Wool, silk-worm cocoons</t>
        </is>
      </c>
      <c r="Q17" s="1" t="inlineStr">
        <is>
          <t>Manure (conventional treatment)</t>
        </is>
      </c>
      <c r="R17" s="1" t="inlineStr">
        <is>
          <t>Manure (biogas treatment)</t>
        </is>
      </c>
      <c r="S17" s="1" t="inlineStr">
        <is>
          <t>Products of forestry, logging and related services (02)</t>
        </is>
      </c>
      <c r="T17" s="1" t="inlineStr">
        <is>
          <t>Fish and other fishing products; services incidental of fishing (05)</t>
        </is>
      </c>
      <c r="U17" s="1" t="inlineStr">
        <is>
          <t>Anthracite</t>
        </is>
      </c>
      <c r="V17" s="1" t="inlineStr">
        <is>
          <t>Coking Coal</t>
        </is>
      </c>
      <c r="W17" s="1" t="inlineStr">
        <is>
          <t>Other Bituminous Coal</t>
        </is>
      </c>
      <c r="X17" s="1" t="inlineStr">
        <is>
          <t>Sub-Bituminous Coal</t>
        </is>
      </c>
      <c r="Y17" s="1" t="inlineStr">
        <is>
          <t>Patent Fuel</t>
        </is>
      </c>
      <c r="Z17" s="1" t="inlineStr">
        <is>
          <t>Lignite/Brown Coal</t>
        </is>
      </c>
      <c r="AA17" s="1" t="inlineStr">
        <is>
          <t>BKB/Peat Briquettes</t>
        </is>
      </c>
      <c r="AB17" s="1" t="inlineStr">
        <is>
          <t>Peat</t>
        </is>
      </c>
      <c r="AC17" s="1" t="inlineStr">
        <is>
          <t>Crude petroleum and services related to crude oil extraction, excluding surveying</t>
        </is>
      </c>
      <c r="AD17" s="1" t="inlineStr">
        <is>
          <t>Natural gas and services related to natural gas extraction, excluding surveying</t>
        </is>
      </c>
      <c r="AE17" s="1" t="inlineStr">
        <is>
          <t>Natural Gas Liquids</t>
        </is>
      </c>
      <c r="AF17" s="1" t="inlineStr">
        <is>
          <t>Other Hydrocarbons</t>
        </is>
      </c>
      <c r="AG17" s="1" t="inlineStr">
        <is>
          <t>Uranium and thorium ores (12)</t>
        </is>
      </c>
      <c r="AH17" s="1" t="inlineStr">
        <is>
          <t>Iron ores</t>
        </is>
      </c>
      <c r="AI17" s="1" t="inlineStr">
        <is>
          <t>Copper ores and concentrates</t>
        </is>
      </c>
      <c r="AJ17" s="1" t="inlineStr">
        <is>
          <t>Nickel ores and concentrates</t>
        </is>
      </c>
      <c r="AK17" s="1" t="inlineStr">
        <is>
          <t>Aluminium ores and concentrates</t>
        </is>
      </c>
      <c r="AL17" s="1" t="inlineStr">
        <is>
          <t>Precious metal ores and concentrates</t>
        </is>
      </c>
      <c r="AM17" s="1" t="inlineStr">
        <is>
          <t>Lead, zinc and tin ores and concentrates</t>
        </is>
      </c>
      <c r="AN17" s="1" t="inlineStr">
        <is>
          <t>Other non-ferrous metal ores and concentrates</t>
        </is>
      </c>
      <c r="AO17" s="1" t="inlineStr">
        <is>
          <t>Stone</t>
        </is>
      </c>
      <c r="AP17" s="1" t="inlineStr">
        <is>
          <t>Sand and clay</t>
        </is>
      </c>
      <c r="AQ17" s="1" t="inlineStr">
        <is>
          <t>Chemical and fertilizer minerals, salt and other mining and quarrying products n.e.c.</t>
        </is>
      </c>
      <c r="AR17" s="1" t="inlineStr">
        <is>
          <t>Products of meat cattle</t>
        </is>
      </c>
      <c r="AS17" s="1" t="inlineStr">
        <is>
          <t>Products of meat pigs</t>
        </is>
      </c>
      <c r="AT17" s="1" t="inlineStr">
        <is>
          <t>Products of meat poultry</t>
        </is>
      </c>
      <c r="AU17" s="1" t="inlineStr">
        <is>
          <t>Meat products nec</t>
        </is>
      </c>
      <c r="AV17" s="1" t="inlineStr">
        <is>
          <t>products of Vegetable oils and fats</t>
        </is>
      </c>
      <c r="AW17" s="1" t="inlineStr">
        <is>
          <t>Dairy products</t>
        </is>
      </c>
      <c r="AX17" s="1" t="inlineStr">
        <is>
          <t>Processed rice</t>
        </is>
      </c>
      <c r="AY17" s="1" t="inlineStr">
        <is>
          <t>Sugar</t>
        </is>
      </c>
      <c r="AZ17" s="1" t="inlineStr">
        <is>
          <t>Food products nec</t>
        </is>
      </c>
      <c r="BA17" s="1" t="inlineStr">
        <is>
          <t>Beverages</t>
        </is>
      </c>
      <c r="BB17" s="1" t="inlineStr">
        <is>
          <t>Fish products</t>
        </is>
      </c>
      <c r="BC17" s="1" t="inlineStr">
        <is>
          <t>Tobacco products (16)</t>
        </is>
      </c>
      <c r="BD17" s="1" t="inlineStr">
        <is>
          <t>Textiles (17)</t>
        </is>
      </c>
      <c r="BE17" s="1" t="inlineStr">
        <is>
          <t>Wearing apparel; furs (18)</t>
        </is>
      </c>
      <c r="BF17" s="1" t="inlineStr">
        <is>
          <t>Leather and leather products (19)</t>
        </is>
      </c>
      <c r="BG17" s="1" t="inlineStr">
        <is>
          <t>Wood and products of wood and cork (except furniture); articles of straw and plaiting materials (20)</t>
        </is>
      </c>
      <c r="BH17" s="1" t="inlineStr">
        <is>
          <t>Wood material for treatment, Re-processing of secondary wood material into new wood material</t>
        </is>
      </c>
      <c r="BI17" s="1" t="inlineStr">
        <is>
          <t>Pulp</t>
        </is>
      </c>
      <c r="BJ17" s="1" t="inlineStr">
        <is>
          <t>Secondary paper for treatment, Re-processing of secondary paper into new pulp</t>
        </is>
      </c>
      <c r="BK17" s="1" t="inlineStr">
        <is>
          <t>Paper and paper products</t>
        </is>
      </c>
      <c r="BL17" s="1" t="inlineStr">
        <is>
          <t>Printed matter and recorded media (22)</t>
        </is>
      </c>
      <c r="BM17" s="1" t="inlineStr">
        <is>
          <t>Coke Oven Coke</t>
        </is>
      </c>
      <c r="BN17" s="1" t="inlineStr">
        <is>
          <t>Gas Coke</t>
        </is>
      </c>
      <c r="BO17" s="1" t="inlineStr">
        <is>
          <t>Coal Tar</t>
        </is>
      </c>
      <c r="BP17" s="1" t="inlineStr">
        <is>
          <t>Motor Gasoline</t>
        </is>
      </c>
      <c r="BQ17" s="1" t="inlineStr">
        <is>
          <t>Aviation Gasoline</t>
        </is>
      </c>
      <c r="BR17" s="1" t="inlineStr">
        <is>
          <t>Gasoline Type Jet Fuel</t>
        </is>
      </c>
      <c r="BS17" s="1" t="inlineStr">
        <is>
          <t>Kerosene Type Jet Fuel</t>
        </is>
      </c>
      <c r="BT17" s="1" t="inlineStr">
        <is>
          <t>Kerosene</t>
        </is>
      </c>
      <c r="BU17" s="1" t="inlineStr">
        <is>
          <t>Gas/Diesel Oil</t>
        </is>
      </c>
      <c r="BV17" s="1" t="inlineStr">
        <is>
          <t>Heavy Fuel Oil</t>
        </is>
      </c>
      <c r="BW17" s="1" t="inlineStr">
        <is>
          <t>Refinery Gas</t>
        </is>
      </c>
      <c r="BX17" s="1" t="inlineStr">
        <is>
          <t>Liquefied Petroleum Gases (LPG)</t>
        </is>
      </c>
      <c r="BY17" s="1" t="inlineStr">
        <is>
          <t>Refinery Feedstocks</t>
        </is>
      </c>
      <c r="BZ17" s="1" t="inlineStr">
        <is>
          <t>Ethane</t>
        </is>
      </c>
      <c r="CA17" s="1" t="inlineStr">
        <is>
          <t>Naphtha</t>
        </is>
      </c>
      <c r="CB17" s="1" t="inlineStr">
        <is>
          <t>White Spirit &amp; SBP</t>
        </is>
      </c>
      <c r="CC17" s="1" t="inlineStr">
        <is>
          <t>Lubricants</t>
        </is>
      </c>
      <c r="CD17" s="1" t="inlineStr">
        <is>
          <t>Bitumen</t>
        </is>
      </c>
      <c r="CE17" s="1" t="inlineStr">
        <is>
          <t>Paraffin Waxes</t>
        </is>
      </c>
      <c r="CF17" s="1" t="inlineStr">
        <is>
          <t>Petroleum Coke</t>
        </is>
      </c>
      <c r="CG17" s="1" t="inlineStr">
        <is>
          <t>Non-specified Petroleum Products</t>
        </is>
      </c>
      <c r="CH17" s="1" t="inlineStr">
        <is>
          <t>Nuclear fuel</t>
        </is>
      </c>
      <c r="CI17" s="1" t="inlineStr">
        <is>
          <t>Plastics, basic</t>
        </is>
      </c>
      <c r="CJ17" s="1" t="inlineStr">
        <is>
          <t>Secondary plastic for treatment, Re-processing of secondary plastic into new plastic</t>
        </is>
      </c>
      <c r="CK17" s="1" t="inlineStr">
        <is>
          <t>N-fertiliser</t>
        </is>
      </c>
      <c r="CL17" s="1" t="inlineStr">
        <is>
          <t>P- and other fertiliser</t>
        </is>
      </c>
      <c r="CM17" s="1" t="inlineStr">
        <is>
          <t>Chemicals nec</t>
        </is>
      </c>
      <c r="CN17" s="1" t="inlineStr">
        <is>
          <t>Charcoal</t>
        </is>
      </c>
      <c r="CO17" s="1" t="inlineStr">
        <is>
          <t>Additives/Blending Components</t>
        </is>
      </c>
      <c r="CP17" s="1" t="inlineStr">
        <is>
          <t>Biogasoline</t>
        </is>
      </c>
      <c r="CQ17" s="1" t="inlineStr">
        <is>
          <t>Biodiesels</t>
        </is>
      </c>
      <c r="CR17" s="1" t="inlineStr">
        <is>
          <t>Other Liquid Biofuels</t>
        </is>
      </c>
      <c r="CS17" s="1" t="inlineStr">
        <is>
          <t>Glass and glass products</t>
        </is>
      </c>
      <c r="CT17" s="1" t="inlineStr">
        <is>
          <t>Secondary glass for treatment, Re-processing of secondary glass into new glass</t>
        </is>
      </c>
      <c r="CU17" s="1" t="inlineStr">
        <is>
          <t>Ceramic goods</t>
        </is>
      </c>
      <c r="CV17" s="1" t="inlineStr">
        <is>
          <t>Bricks, tiles and construction products, in baked clay</t>
        </is>
      </c>
      <c r="CW17" s="1" t="inlineStr">
        <is>
          <t>Cement, lime and plaster</t>
        </is>
      </c>
      <c r="CX17" s="1" t="inlineStr">
        <is>
          <t>Ash for treatment, Re-processing of ash into clinker</t>
        </is>
      </c>
      <c r="CY17" s="1" t="inlineStr">
        <is>
          <t>Other non-metallic mineral products</t>
        </is>
      </c>
      <c r="CZ17" s="1" t="inlineStr">
        <is>
          <t>Basic iron and steel and of ferro-alloys and first products thereof</t>
        </is>
      </c>
      <c r="DA17" s="1" t="inlineStr">
        <is>
          <t>Secondary steel for treatment, Re-processing of secondary steel into new steel</t>
        </is>
      </c>
      <c r="DB17" s="1" t="inlineStr">
        <is>
          <t>Precious metals</t>
        </is>
      </c>
      <c r="DC17" s="1" t="inlineStr">
        <is>
          <t>Secondary preciuos metals for treatment, Re-processing of secondary preciuos metals into new preciuos metals</t>
        </is>
      </c>
      <c r="DD17" s="1" t="inlineStr">
        <is>
          <t>Aluminium and aluminium products</t>
        </is>
      </c>
      <c r="DE17" s="1" t="inlineStr">
        <is>
          <t>Secondary aluminium for treatment, Re-processing of secondary aluminium into new aluminium</t>
        </is>
      </c>
      <c r="DF17" s="1" t="inlineStr">
        <is>
          <t>Lead, zinc and tin and products thereof</t>
        </is>
      </c>
      <c r="DG17" s="1" t="inlineStr">
        <is>
          <t>Secondary lead for treatment, Re-processing of secondary lead into new lead</t>
        </is>
      </c>
      <c r="DH17" s="1" t="inlineStr">
        <is>
          <t>Copper products</t>
        </is>
      </c>
      <c r="DI17" s="1" t="inlineStr">
        <is>
          <t>Secondary copper for treatment, Re-processing of secondary copper into new copper</t>
        </is>
      </c>
      <c r="DJ17" s="1" t="inlineStr">
        <is>
          <t>Other non-ferrous metal products</t>
        </is>
      </c>
      <c r="DK17" s="1" t="inlineStr">
        <is>
          <t>Secondary other non-ferrous metals for treatment, Re-processing of secondary other non-ferrous metals into new other non-ferrous metals</t>
        </is>
      </c>
      <c r="DL17" s="1" t="inlineStr">
        <is>
          <t>Foundry work services</t>
        </is>
      </c>
      <c r="DM17" s="1" t="inlineStr">
        <is>
          <t>Fabricated metal products, except machinery and equipment (28)</t>
        </is>
      </c>
      <c r="DN17" s="1" t="inlineStr">
        <is>
          <t>Machinery and equipment n.e.c. (29)</t>
        </is>
      </c>
      <c r="DO17" s="1" t="inlineStr">
        <is>
          <t>Office machinery and computers (30)</t>
        </is>
      </c>
      <c r="DP17" s="1" t="inlineStr">
        <is>
          <t>Electrical machinery and apparatus n.e.c. (31)</t>
        </is>
      </c>
      <c r="DQ17" s="1" t="inlineStr">
        <is>
          <t>Radio, television and communication equipment and apparatus (32)</t>
        </is>
      </c>
      <c r="DR17" s="1" t="inlineStr">
        <is>
          <t>Medical, precision and optical instruments, watches and clocks (33)</t>
        </is>
      </c>
      <c r="DS17" s="1" t="inlineStr">
        <is>
          <t>Motor vehicles, trailers and semi-trailers (34)</t>
        </is>
      </c>
      <c r="DT17" s="1" t="inlineStr">
        <is>
          <t>Other transport equipment (35)</t>
        </is>
      </c>
      <c r="DU17" s="1" t="inlineStr">
        <is>
          <t>Furniture; other manufactured goods n.e.c. (36)</t>
        </is>
      </c>
      <c r="DV17" s="1" t="inlineStr">
        <is>
          <t>Secondary raw materials</t>
        </is>
      </c>
      <c r="DW17" s="1" t="inlineStr">
        <is>
          <t>Bottles for treatment, Recycling of bottles by direct reuse</t>
        </is>
      </c>
      <c r="DX17" s="1" t="inlineStr">
        <is>
          <t>Electricity by coal</t>
        </is>
      </c>
      <c r="DY17" s="1" t="inlineStr">
        <is>
          <t>Electricity by gas</t>
        </is>
      </c>
      <c r="DZ17" s="1" t="inlineStr">
        <is>
          <t>Electricity by nuclear</t>
        </is>
      </c>
      <c r="EA17" s="1" t="inlineStr">
        <is>
          <t>Electricity by hydro</t>
        </is>
      </c>
      <c r="EB17" s="1" t="inlineStr">
        <is>
          <t>Electricity by wind</t>
        </is>
      </c>
      <c r="EC17" s="1" t="inlineStr">
        <is>
          <t>Electricity by petroleum and other oil derivatives</t>
        </is>
      </c>
      <c r="ED17" s="1" t="inlineStr">
        <is>
          <t>Electricity by biomass and waste</t>
        </is>
      </c>
      <c r="EE17" s="1" t="inlineStr">
        <is>
          <t>Electricity by solar photovoltaic</t>
        </is>
      </c>
      <c r="EF17" s="1" t="inlineStr">
        <is>
          <t>Electricity by solar thermal</t>
        </is>
      </c>
      <c r="EG17" s="1" t="inlineStr">
        <is>
          <t>Electricity by tide, wave, ocean</t>
        </is>
      </c>
      <c r="EH17" s="1" t="inlineStr">
        <is>
          <t>Electricity by Geothermal</t>
        </is>
      </c>
      <c r="EI17" s="1" t="inlineStr">
        <is>
          <t>Electricity nec</t>
        </is>
      </c>
      <c r="EJ17" s="1" t="inlineStr">
        <is>
          <t>Transmission services of electricity</t>
        </is>
      </c>
      <c r="EK17" s="1" t="inlineStr">
        <is>
          <t>Distribution and trade services of electricity</t>
        </is>
      </c>
      <c r="EL17" s="1" t="inlineStr">
        <is>
          <t>Coke oven gas</t>
        </is>
      </c>
      <c r="EM17" s="1" t="inlineStr">
        <is>
          <t>Blast Furnace Gas</t>
        </is>
      </c>
      <c r="EN17" s="1" t="inlineStr">
        <is>
          <t>Oxygen Steel Furnace Gas</t>
        </is>
      </c>
      <c r="EO17" s="1" t="inlineStr">
        <is>
          <t>Gas Works Gas</t>
        </is>
      </c>
      <c r="EP17" s="1" t="inlineStr">
        <is>
          <t>Biogas</t>
        </is>
      </c>
      <c r="EQ17" s="1" t="inlineStr">
        <is>
          <t>Distribution services of gaseous fuels through mains</t>
        </is>
      </c>
      <c r="ER17" s="1" t="inlineStr">
        <is>
          <t>Steam and hot water supply services</t>
        </is>
      </c>
      <c r="ES17" s="1" t="inlineStr">
        <is>
          <t>Collected and purified water, distribution services of water (41)</t>
        </is>
      </c>
      <c r="ET17" s="1" t="inlineStr">
        <is>
          <t>Construction work (45)</t>
        </is>
      </c>
      <c r="EU17" s="1" t="inlineStr">
        <is>
          <t>Secondary construction material for treatment, Re-processing of secondary construction material into aggregates</t>
        </is>
      </c>
      <c r="EV17" s="1" t="inlineStr">
        <is>
          <t>Sale, maintenance, repair of motor vehicles, motor vehicles parts, motorcycles, motor cycles parts and accessoiries</t>
        </is>
      </c>
      <c r="EW17" s="1" t="inlineStr">
        <is>
          <t>Retail trade services of motor fuel</t>
        </is>
      </c>
      <c r="EX17" s="1" t="inlineStr">
        <is>
          <t>Wholesale trade and commission trade services, except of motor vehicles and motorcycles (51)</t>
        </is>
      </c>
      <c r="EY17" s="1" t="inlineStr">
        <is>
          <t>Retail  trade services, except of motor vehicles and motorcycles; repair services of personal and household goods (52)</t>
        </is>
      </c>
      <c r="EZ17" s="1" t="inlineStr">
        <is>
          <t>Hotel and restaurant services (55)</t>
        </is>
      </c>
      <c r="FA17" s="1" t="inlineStr">
        <is>
          <t>Railway transportation services</t>
        </is>
      </c>
      <c r="FB17" s="1" t="inlineStr">
        <is>
          <t>Other land transportation services</t>
        </is>
      </c>
      <c r="FC17" s="1" t="inlineStr">
        <is>
          <t>Transportation services via pipelines</t>
        </is>
      </c>
      <c r="FD17" s="1" t="inlineStr">
        <is>
          <t>Sea and coastal water transportation services</t>
        </is>
      </c>
      <c r="FE17" s="1" t="inlineStr">
        <is>
          <t>Inland water transportation services</t>
        </is>
      </c>
      <c r="FF17" s="1" t="inlineStr">
        <is>
          <t>Air transport services (62)</t>
        </is>
      </c>
      <c r="FG17" s="1" t="inlineStr">
        <is>
          <t>Supporting and auxiliary transport services; travel agency services (63)</t>
        </is>
      </c>
      <c r="FH17" s="1" t="inlineStr">
        <is>
          <t>Post and telecommunication services (64)</t>
        </is>
      </c>
      <c r="FI17" s="1" t="inlineStr">
        <is>
          <t>Financial intermediation services, except insurance and pension funding services (65)</t>
        </is>
      </c>
      <c r="FJ17" s="1" t="inlineStr">
        <is>
          <t>Insurance and pension funding services, except compulsory social security services (66)</t>
        </is>
      </c>
      <c r="FK17" s="1" t="inlineStr">
        <is>
          <t>Services auxiliary to financial intermediation (67)</t>
        </is>
      </c>
      <c r="FL17" s="1" t="inlineStr">
        <is>
          <t>Real estate services (70)</t>
        </is>
      </c>
      <c r="FM17" s="1" t="inlineStr">
        <is>
          <t>Renting services of machinery and equipment without operator and of personal and household goods (71)</t>
        </is>
      </c>
      <c r="FN17" s="1" t="inlineStr">
        <is>
          <t>Computer and related services (72)</t>
        </is>
      </c>
      <c r="FO17" s="1" t="inlineStr">
        <is>
          <t>Research and development services (73)</t>
        </is>
      </c>
      <c r="FP17" s="1" t="inlineStr">
        <is>
          <t>Other business services (74)</t>
        </is>
      </c>
      <c r="FQ17" s="1" t="inlineStr">
        <is>
          <t>Public administration and defence services; compulsory social security services (75)</t>
        </is>
      </c>
      <c r="FR17" s="1" t="inlineStr">
        <is>
          <t>Education services (80)</t>
        </is>
      </c>
      <c r="FS17" s="1" t="inlineStr">
        <is>
          <t>Health and social work services (85)</t>
        </is>
      </c>
      <c r="FT17" s="1" t="inlineStr">
        <is>
          <t>Food waste for treatment: incineration</t>
        </is>
      </c>
      <c r="FU17" s="1" t="inlineStr">
        <is>
          <t>Paper waste for treatment: incineration</t>
        </is>
      </c>
      <c r="FV17" s="1" t="inlineStr">
        <is>
          <t>Plastic waste for treatment: incineration</t>
        </is>
      </c>
      <c r="FW17" s="1" t="inlineStr">
        <is>
          <t>Intert/metal waste for treatment: incineration</t>
        </is>
      </c>
      <c r="FX17" s="1" t="inlineStr">
        <is>
          <t>Textiles waste for treatment: incineration</t>
        </is>
      </c>
      <c r="FY17" s="1" t="inlineStr">
        <is>
          <t>Wood waste for treatment: incineration</t>
        </is>
      </c>
      <c r="FZ17" s="1" t="inlineStr">
        <is>
          <t>Oil/hazardous waste for treatment: incineration</t>
        </is>
      </c>
      <c r="GA17" s="1" t="inlineStr">
        <is>
          <t>Food waste for treatment: biogasification and land application</t>
        </is>
      </c>
      <c r="GB17" s="1" t="inlineStr">
        <is>
          <t>Paper waste for treatment: biogasification and land application</t>
        </is>
      </c>
      <c r="GC17" s="1" t="inlineStr">
        <is>
          <t>Sewage sludge for treatment: biogasification and land application</t>
        </is>
      </c>
      <c r="GD17" s="1" t="inlineStr">
        <is>
          <t>Food waste for treatment: composting and land application</t>
        </is>
      </c>
      <c r="GE17" s="1" t="inlineStr">
        <is>
          <t>Paper and wood waste for treatment: composting and land application</t>
        </is>
      </c>
      <c r="GF17" s="1" t="inlineStr">
        <is>
          <t>Food waste for treatment: waste water treatment</t>
        </is>
      </c>
      <c r="GG17" s="1" t="inlineStr">
        <is>
          <t>Other waste for treatment: waste water treatment</t>
        </is>
      </c>
      <c r="GH17" s="1" t="inlineStr">
        <is>
          <t>Food waste for treatment: landfill</t>
        </is>
      </c>
      <c r="GI17" s="1" t="inlineStr">
        <is>
          <t>Paper for treatment: landfill</t>
        </is>
      </c>
      <c r="GJ17" s="1" t="inlineStr">
        <is>
          <t>Plastic waste for treatment: landfill</t>
        </is>
      </c>
      <c r="GK17" s="1" t="inlineStr">
        <is>
          <t>Inert/metal/hazardous waste for treatment: landfill</t>
        </is>
      </c>
      <c r="GL17" s="1" t="inlineStr">
        <is>
          <t>Textiles waste for treatment: landfill</t>
        </is>
      </c>
      <c r="GM17" s="1" t="inlineStr">
        <is>
          <t>Wood waste for treatment: landfill</t>
        </is>
      </c>
      <c r="GN17" s="1" t="inlineStr">
        <is>
          <t>Membership organisation services n.e.c. (91)</t>
        </is>
      </c>
      <c r="GO17" s="1" t="inlineStr">
        <is>
          <t>Recreational, cultural and sporting services (92)</t>
        </is>
      </c>
      <c r="GP17" s="1" t="inlineStr">
        <is>
          <t>Other services (93)</t>
        </is>
      </c>
      <c r="GQ17" s="1" t="inlineStr">
        <is>
          <t>Extra-territorial organizations and bodies</t>
        </is>
      </c>
      <c r="GR17" s="1" t="inlineStr">
        <is>
          <t>Vegetables, fruits, nuts</t>
        </is>
      </c>
      <c r="GS17" s="1" t="inlineStr">
        <is>
          <t>Cattle</t>
        </is>
      </c>
      <c r="GT17" s="1" t="inlineStr">
        <is>
          <t>Meat nec</t>
        </is>
      </c>
      <c r="GU17" s="1" t="inlineStr">
        <is>
          <t>Animal nec</t>
        </is>
      </c>
      <c r="GV17" s="1" t="inlineStr">
        <is>
          <t>Dairy products</t>
        </is>
      </c>
      <c r="GW17" s="1" t="inlineStr">
        <is>
          <t>Food nec</t>
        </is>
      </c>
      <c r="GX17" s="1" t="inlineStr">
        <is>
          <t>Housing</t>
        </is>
      </c>
      <c r="GY17" s="1" t="inlineStr">
        <is>
          <t>Mobility</t>
        </is>
      </c>
      <c r="GZ17" s="1" t="inlineStr">
        <is>
          <t>Textiles</t>
        </is>
      </c>
      <c r="HA17" s="1" t="inlineStr">
        <is>
          <t>Final goods nec</t>
        </is>
      </c>
      <c r="HB17" s="1" t="inlineStr">
        <is>
          <t>Hotel &amp; restaurant</t>
        </is>
      </c>
      <c r="HC17" s="1" t="inlineStr">
        <is>
          <t>Final services</t>
        </is>
      </c>
    </row>
    <row r="18">
      <c r="A18" s="1" t="inlineStr">
        <is>
          <t>M_imp</t>
        </is>
      </c>
      <c r="B18" t="n">
        <v>8.419687927571312e-05</v>
      </c>
      <c r="C18" t="n">
        <v>6.860318939279207e-05</v>
      </c>
      <c r="D18" t="n">
        <v>4.032816971742764e-05</v>
      </c>
      <c r="E18" t="n">
        <v>0.0001301952403134604</v>
      </c>
      <c r="F18" t="n">
        <v>0.0001114008559473893</v>
      </c>
      <c r="G18" t="n">
        <v>5.419387390803658e-06</v>
      </c>
      <c r="H18" t="n">
        <v>4.207169054581818e-05</v>
      </c>
      <c r="I18" t="n">
        <v>7.708280727381446e-06</v>
      </c>
      <c r="J18" t="n">
        <v>0.0002243562887686054</v>
      </c>
      <c r="K18" t="n">
        <v>0.0001995960645564521</v>
      </c>
      <c r="L18" t="n">
        <v>0.0001867354662153728</v>
      </c>
      <c r="M18" t="n">
        <v>0.0001663104093002127</v>
      </c>
      <c r="N18" t="n">
        <v>0.0002136387368599757</v>
      </c>
      <c r="O18" t="n">
        <v>0.0002423089147034794</v>
      </c>
      <c r="P18" t="n">
        <v>0.002777974486238043</v>
      </c>
      <c r="Q18" t="n">
        <v>0</v>
      </c>
      <c r="R18" t="n">
        <v>0</v>
      </c>
      <c r="S18" t="n">
        <v>3.26473865249765e-05</v>
      </c>
      <c r="T18" t="n">
        <v>0.001025437769055104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0.0002757796214610011</v>
      </c>
      <c r="AD18" t="n">
        <v>0.009782113134514285</v>
      </c>
      <c r="AE18" t="n">
        <v>4.827197376669035e-05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3.740920990077879e-05</v>
      </c>
      <c r="AO18" t="n">
        <v>3.338512601056211e-05</v>
      </c>
      <c r="AP18" t="n">
        <v>9.161067088975594e-07</v>
      </c>
      <c r="AQ18" t="n">
        <v>1.772600638783153e-05</v>
      </c>
      <c r="AR18" t="n">
        <v>0.0001981032020985263</v>
      </c>
      <c r="AS18" t="n">
        <v>0.0001162851788018796</v>
      </c>
      <c r="AT18" t="n">
        <v>0.000152034850569214</v>
      </c>
      <c r="AU18" t="n">
        <v>0.000199922893828677</v>
      </c>
      <c r="AV18" t="n">
        <v>9.063160826547948e-05</v>
      </c>
      <c r="AW18" t="n">
        <v>0.0001889138580246378</v>
      </c>
      <c r="AX18" t="n">
        <v>3.960835955257798e-05</v>
      </c>
      <c r="AY18" t="n">
        <v>7.731663080535209e-05</v>
      </c>
      <c r="AZ18" t="n">
        <v>0.000156634545090633</v>
      </c>
      <c r="BA18" t="n">
        <v>0.0001580062736551012</v>
      </c>
      <c r="BB18" t="n">
        <v>0.0001771100391107936</v>
      </c>
      <c r="BC18" t="n">
        <v>0.0001213451594553805</v>
      </c>
      <c r="BD18" t="n">
        <v>0.0001639180145719041</v>
      </c>
      <c r="BE18" t="n">
        <v>0.0001185318123348231</v>
      </c>
      <c r="BF18" t="n">
        <v>0.0001532460026965968</v>
      </c>
      <c r="BG18" t="n">
        <v>0.0001279374637468459</v>
      </c>
      <c r="BH18" t="n">
        <v>0.0001235124778783384</v>
      </c>
      <c r="BI18" t="n">
        <v>0.0001310401006544814</v>
      </c>
      <c r="BJ18" t="n">
        <v>0.0001217198410116829</v>
      </c>
      <c r="BK18" t="n">
        <v>0.0001977937216730431</v>
      </c>
      <c r="BL18" t="n">
        <v>9.161582051142855e-05</v>
      </c>
      <c r="BM18" t="n">
        <v>2.875075691132875e-05</v>
      </c>
      <c r="BN18" t="n">
        <v>0</v>
      </c>
      <c r="BO18" t="n">
        <v>0.0006446077064356536</v>
      </c>
      <c r="BP18" t="n">
        <v>0.001328352770171248</v>
      </c>
      <c r="BQ18" t="n">
        <v>0</v>
      </c>
      <c r="BR18" t="n">
        <v>0</v>
      </c>
      <c r="BS18" t="n">
        <v>0.0003423754803736123</v>
      </c>
      <c r="BT18" t="n">
        <v>0</v>
      </c>
      <c r="BU18" t="n">
        <v>0.0005923336341544157</v>
      </c>
      <c r="BV18" t="n">
        <v>0.000204397266869125</v>
      </c>
      <c r="BW18" t="n">
        <v>1.743475061276918e-06</v>
      </c>
      <c r="BX18" t="n">
        <v>0.0003470490300828341</v>
      </c>
      <c r="BY18" t="n">
        <v>0.0003327830299726755</v>
      </c>
      <c r="BZ18" t="n">
        <v>0</v>
      </c>
      <c r="CA18" t="n">
        <v>0.0001828049863271993</v>
      </c>
      <c r="CB18" t="n">
        <v>0.0003741123334199332</v>
      </c>
      <c r="CC18" t="n">
        <v>0.0006323552859199262</v>
      </c>
      <c r="CD18" t="n">
        <v>6.916846383060814e-05</v>
      </c>
      <c r="CE18" t="n">
        <v>7.706460134050133e-05</v>
      </c>
      <c r="CF18" t="n">
        <v>0.0001159363395308736</v>
      </c>
      <c r="CG18" t="n">
        <v>7.378336369064357e-05</v>
      </c>
      <c r="CH18" t="n">
        <v>7.683908750928742e-07</v>
      </c>
      <c r="CI18" t="n">
        <v>0.0002110841676060225</v>
      </c>
      <c r="CJ18" t="n">
        <v>0.0001565097038866687</v>
      </c>
      <c r="CK18" t="n">
        <v>0.0001712737606847269</v>
      </c>
      <c r="CL18" t="n">
        <v>0.000133414740564198</v>
      </c>
      <c r="CM18" t="n">
        <v>0.0001987192427032488</v>
      </c>
      <c r="CN18" t="n">
        <v>0</v>
      </c>
      <c r="CO18" t="n">
        <v>4.29783144949626e-05</v>
      </c>
      <c r="CP18" t="n">
        <v>8.130183578071024e-05</v>
      </c>
      <c r="CQ18" t="n">
        <v>3.372566265373268e-05</v>
      </c>
      <c r="CR18" t="n">
        <v>0</v>
      </c>
      <c r="CS18" t="n">
        <v>0.0001419452177395696</v>
      </c>
      <c r="CT18" t="n">
        <v>0.0001177747845586118</v>
      </c>
      <c r="CU18" t="n">
        <v>0.000164707064202098</v>
      </c>
      <c r="CV18" t="n">
        <v>0.0001523973829324593</v>
      </c>
      <c r="CW18" t="n">
        <v>0.0001698433972263166</v>
      </c>
      <c r="CX18" t="n">
        <v>0.0001375402156115161</v>
      </c>
      <c r="CY18" t="n">
        <v>0.0001498725551070431</v>
      </c>
      <c r="CZ18" t="n">
        <v>0.0002309094266264623</v>
      </c>
      <c r="DA18" t="n">
        <v>0.0001644678887399236</v>
      </c>
      <c r="DB18" t="n">
        <v>0.0002406725672996929</v>
      </c>
      <c r="DC18" t="n">
        <v>0</v>
      </c>
      <c r="DD18" t="n">
        <v>0.0002339465933313989</v>
      </c>
      <c r="DE18" t="n">
        <v>0.0002462325840996607</v>
      </c>
      <c r="DF18" t="n">
        <v>0.0002908820111230962</v>
      </c>
      <c r="DG18" t="n">
        <v>0.0003525515178049285</v>
      </c>
      <c r="DH18" t="n">
        <v>0.000363741257435211</v>
      </c>
      <c r="DI18" t="n">
        <v>0</v>
      </c>
      <c r="DJ18" t="n">
        <v>0.0001905180048193996</v>
      </c>
      <c r="DK18" t="n">
        <v>0</v>
      </c>
      <c r="DL18" t="n">
        <v>0.0002065243906637767</v>
      </c>
      <c r="DM18" t="n">
        <v>0.0001966957330558599</v>
      </c>
      <c r="DN18" t="n">
        <v>0.0001588667163528872</v>
      </c>
      <c r="DO18" t="n">
        <v>0.000130298902380103</v>
      </c>
      <c r="DP18" t="n">
        <v>0.0001468577597604323</v>
      </c>
      <c r="DQ18" t="n">
        <v>0.0001314296397396612</v>
      </c>
      <c r="DR18" t="n">
        <v>0.0001135860549834162</v>
      </c>
      <c r="DS18" t="n">
        <v>0.0001834493934716355</v>
      </c>
      <c r="DT18" t="n">
        <v>0.0001594900899665951</v>
      </c>
      <c r="DU18" t="n">
        <v>0.0001421491131765828</v>
      </c>
      <c r="DV18" t="n">
        <v>0</v>
      </c>
      <c r="DW18" t="n">
        <v>0</v>
      </c>
      <c r="DX18" t="n">
        <v>0.002603043426278711</v>
      </c>
      <c r="DY18" t="n">
        <v>0.00017628702537578</v>
      </c>
      <c r="DZ18" t="n">
        <v>0.0001277229058195802</v>
      </c>
      <c r="EA18" t="n">
        <v>0.0001516169678971679</v>
      </c>
      <c r="EB18" t="n">
        <v>7.664811352790286e-05</v>
      </c>
      <c r="EC18" t="n">
        <v>0.0008416496191288025</v>
      </c>
      <c r="ED18" t="n">
        <v>0.0001218284928526998</v>
      </c>
      <c r="EE18" t="n">
        <v>1.832188569925897e-05</v>
      </c>
      <c r="EF18" t="n">
        <v>0</v>
      </c>
      <c r="EG18" t="n">
        <v>0.0001946819135970664</v>
      </c>
      <c r="EH18" t="n">
        <v>0</v>
      </c>
      <c r="EI18" t="n">
        <v>0</v>
      </c>
      <c r="EJ18" t="n">
        <v>5.16568759904326e-05</v>
      </c>
      <c r="EK18" t="n">
        <v>4.805170702704747e-05</v>
      </c>
      <c r="EL18" t="n">
        <v>1.574468661827052e-05</v>
      </c>
      <c r="EM18" t="n">
        <v>3.229258705837818e-05</v>
      </c>
      <c r="EN18" t="n">
        <v>2.732492249819892e-12</v>
      </c>
      <c r="EO18" t="n">
        <v>0</v>
      </c>
      <c r="EP18" t="n">
        <v>6.697738119346868e-05</v>
      </c>
      <c r="EQ18" t="n">
        <v>0.000144440867703932</v>
      </c>
      <c r="ER18" t="n">
        <v>0.0008821596793497779</v>
      </c>
      <c r="ES18" t="n">
        <v>8.868355312694903e-05</v>
      </c>
      <c r="ET18" t="n">
        <v>0.0001318582511513741</v>
      </c>
      <c r="EU18" t="n">
        <v>0</v>
      </c>
      <c r="EV18" t="n">
        <v>4.259263891317903e-05</v>
      </c>
      <c r="EW18" t="n">
        <v>0.0001581907635509267</v>
      </c>
      <c r="EX18" t="n">
        <v>5.589929165840462e-05</v>
      </c>
      <c r="EY18" t="n">
        <v>5.706434587629817e-05</v>
      </c>
      <c r="EZ18" t="n">
        <v>5.558560592545916e-05</v>
      </c>
      <c r="FA18" t="n">
        <v>0.0001831900965280913</v>
      </c>
      <c r="FB18" t="n">
        <v>0.0001400634163798512</v>
      </c>
      <c r="FC18" t="n">
        <v>0.003156898983750697</v>
      </c>
      <c r="FD18" t="n">
        <v>0.001925738517821866</v>
      </c>
      <c r="FE18" t="n">
        <v>0.001924338528124994</v>
      </c>
      <c r="FF18" t="n">
        <v>0.0004351360457733726</v>
      </c>
      <c r="FG18" t="n">
        <v>0.0001144733215891669</v>
      </c>
      <c r="FH18" t="n">
        <v>5.599097805158904e-05</v>
      </c>
      <c r="FI18" t="n">
        <v>8.376849513713296e-05</v>
      </c>
      <c r="FJ18" t="n">
        <v>9.077805277256598e-05</v>
      </c>
      <c r="FK18" t="n">
        <v>0.0001174646500944615</v>
      </c>
      <c r="FL18" t="n">
        <v>8.300636891038206e-05</v>
      </c>
      <c r="FM18" t="n">
        <v>6.990461021891904e-05</v>
      </c>
      <c r="FN18" t="n">
        <v>6.544466682751206e-05</v>
      </c>
      <c r="FO18" t="n">
        <v>0.0002776987225720616</v>
      </c>
      <c r="FP18" t="n">
        <v>5.876904439496309e-05</v>
      </c>
      <c r="FQ18" t="n">
        <v>8.859304065798979e-05</v>
      </c>
      <c r="FR18" t="n">
        <v>4.561422179472902e-05</v>
      </c>
      <c r="FS18" t="n">
        <v>4.685024591027492e-05</v>
      </c>
      <c r="FT18" t="n">
        <v>7.960955761737463e-05</v>
      </c>
      <c r="FU18" t="n">
        <v>8.021356912011247e-05</v>
      </c>
      <c r="FV18" t="n">
        <v>8.416654784630645e-05</v>
      </c>
      <c r="FW18" t="n">
        <v>8.038402526332852e-05</v>
      </c>
      <c r="FX18" t="n">
        <v>8.005937069994787e-05</v>
      </c>
      <c r="FY18" t="n">
        <v>8.177784953359942e-05</v>
      </c>
      <c r="FZ18" t="n">
        <v>7.778590871806029e-05</v>
      </c>
      <c r="GA18" t="n">
        <v>7.235030721981543e-05</v>
      </c>
      <c r="GB18" t="n">
        <v>7.391544117688428e-05</v>
      </c>
      <c r="GC18" t="n">
        <v>7.846326390063959e-05</v>
      </c>
      <c r="GD18" t="n">
        <v>8.196337208687721e-05</v>
      </c>
      <c r="GE18" t="n">
        <v>0.0002395279886092502</v>
      </c>
      <c r="GF18" t="n">
        <v>8.810202724251328e-05</v>
      </c>
      <c r="GG18" t="n">
        <v>8.880473931625986e-05</v>
      </c>
      <c r="GH18" t="n">
        <v>8.44656601163117e-05</v>
      </c>
      <c r="GI18" t="n">
        <v>8.205151542363009e-05</v>
      </c>
      <c r="GJ18" t="n">
        <v>8.829957784218238e-05</v>
      </c>
      <c r="GK18" t="n">
        <v>7.609938976001314e-05</v>
      </c>
      <c r="GL18" t="n">
        <v>8.230860226657119e-05</v>
      </c>
      <c r="GM18" t="n">
        <v>7.847199322239979e-05</v>
      </c>
      <c r="GN18" t="n">
        <v>7.181454435918865e-05</v>
      </c>
      <c r="GO18" t="n">
        <v>9.743998630680161e-05</v>
      </c>
      <c r="GP18" t="n">
        <v>6.322799782179886e-05</v>
      </c>
      <c r="GQ18" t="n">
        <v>0</v>
      </c>
      <c r="GR18" t="n">
        <v>0.0001300917520756156</v>
      </c>
      <c r="GS18" t="n">
        <v>0.0001981032020985263</v>
      </c>
      <c r="GT18" t="n">
        <v>0.0001785316692739321</v>
      </c>
      <c r="GU18" t="n">
        <v>0.0002115307390032484</v>
      </c>
      <c r="GV18" t="n">
        <v>0.0001897647722538978</v>
      </c>
      <c r="GW18" t="n">
        <v>0.0001531063441364694</v>
      </c>
      <c r="GX18" t="n">
        <v>0.0001164741042657035</v>
      </c>
      <c r="GY18" t="n">
        <v>0.0003100889318130461</v>
      </c>
      <c r="GZ18" t="n">
        <v>0.0001372239448691658</v>
      </c>
      <c r="HA18" t="n">
        <v>0.0002690945624339079</v>
      </c>
      <c r="HB18" t="n">
        <v>5.558560592545916e-05</v>
      </c>
      <c r="HC18" t="n">
        <v>6.836204144706409e-05</v>
      </c>
    </row>
    <row r="19">
      <c r="A19" s="1" t="inlineStr">
        <is>
          <t>M_dom</t>
        </is>
      </c>
      <c r="B19" t="n">
        <v>0.0003761836796359891</v>
      </c>
      <c r="C19" t="n">
        <v>0.0002912461347384761</v>
      </c>
      <c r="D19" t="n">
        <v>0.0002099165735554438</v>
      </c>
      <c r="E19" t="n">
        <v>0.0001672577620980011</v>
      </c>
      <c r="F19" t="n">
        <v>0.0007608282526760201</v>
      </c>
      <c r="G19" t="n">
        <v>3.976298639894975e-05</v>
      </c>
      <c r="H19" t="n">
        <v>0.000179751276644558</v>
      </c>
      <c r="I19" t="n">
        <v>9.419247615577506e-06</v>
      </c>
      <c r="J19" t="n">
        <v>0.005938161830422392</v>
      </c>
      <c r="K19" t="n">
        <v>0.0008614638396385596</v>
      </c>
      <c r="L19" t="n">
        <v>0.0006440159799126649</v>
      </c>
      <c r="M19" t="n">
        <v>0.001195691160408811</v>
      </c>
      <c r="N19" t="n">
        <v>0.00133475021510432</v>
      </c>
      <c r="O19" t="n">
        <v>0.003230309980667101</v>
      </c>
      <c r="P19" t="n">
        <v>0.04767205212014463</v>
      </c>
      <c r="Q19" t="n">
        <v>0</v>
      </c>
      <c r="R19" t="n">
        <v>0</v>
      </c>
      <c r="S19" t="n">
        <v>9.085488020988758e-05</v>
      </c>
      <c r="T19" t="n">
        <v>0.001153563111806979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0.002963846438285271</v>
      </c>
      <c r="AD19" t="n">
        <v>0.08767777837103893</v>
      </c>
      <c r="AE19" t="n">
        <v>0.0003739218425052471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5.633119765111157e-05</v>
      </c>
      <c r="AO19" t="n">
        <v>0.0001769117204228694</v>
      </c>
      <c r="AP19" t="n">
        <v>4.732693162204707e-06</v>
      </c>
      <c r="AQ19" t="n">
        <v>2.480673974056357e-05</v>
      </c>
      <c r="AR19" t="n">
        <v>0.002430075586565042</v>
      </c>
      <c r="AS19" t="n">
        <v>0.0003445505392096467</v>
      </c>
      <c r="AT19" t="n">
        <v>0.0002674592642281173</v>
      </c>
      <c r="AU19" t="n">
        <v>0.0003018351963671008</v>
      </c>
      <c r="AV19" t="n">
        <v>0.0001948532361828697</v>
      </c>
      <c r="AW19" t="n">
        <v>0.001104413344759175</v>
      </c>
      <c r="AX19" t="n">
        <v>8.87047962391504e-05</v>
      </c>
      <c r="AY19" t="n">
        <v>0.0004118954843065339</v>
      </c>
      <c r="AZ19" t="n">
        <v>0.00044940425572179</v>
      </c>
      <c r="BA19" t="n">
        <v>0.0002953068400352492</v>
      </c>
      <c r="BB19" t="n">
        <v>0.0004826137124630735</v>
      </c>
      <c r="BC19" t="n">
        <v>0.0001108667995328262</v>
      </c>
      <c r="BD19" t="n">
        <v>8.247919016068289e-05</v>
      </c>
      <c r="BE19" t="n">
        <v>7.021737353810119e-05</v>
      </c>
      <c r="BF19" t="n">
        <v>9.703580789269226e-05</v>
      </c>
      <c r="BG19" t="n">
        <v>0.0001234504269517179</v>
      </c>
      <c r="BH19" t="n">
        <v>0.0001053173967849582</v>
      </c>
      <c r="BI19" t="n">
        <v>0.000213623833540413</v>
      </c>
      <c r="BJ19" t="n">
        <v>0.0001609001476265644</v>
      </c>
      <c r="BK19" t="n">
        <v>0.0001444241535753611</v>
      </c>
      <c r="BL19" t="n">
        <v>9.923205945806713e-05</v>
      </c>
      <c r="BM19" t="n">
        <v>0.0002719152274627215</v>
      </c>
      <c r="BN19" t="n">
        <v>0</v>
      </c>
      <c r="BO19" t="n">
        <v>0.005889416299299791</v>
      </c>
      <c r="BP19" t="n">
        <v>0.0005455897624198161</v>
      </c>
      <c r="BQ19" t="n">
        <v>0</v>
      </c>
      <c r="BR19" t="n">
        <v>0</v>
      </c>
      <c r="BS19" t="n">
        <v>0.0001534139686980431</v>
      </c>
      <c r="BT19" t="n">
        <v>0</v>
      </c>
      <c r="BU19" t="n">
        <v>0.0002495171939895379</v>
      </c>
      <c r="BV19" t="n">
        <v>8.445606374684345e-05</v>
      </c>
      <c r="BW19" t="n">
        <v>9.331955227326647e-07</v>
      </c>
      <c r="BX19" t="n">
        <v>0.0001509210916430043</v>
      </c>
      <c r="BY19" t="n">
        <v>0.0001339032399004739</v>
      </c>
      <c r="BZ19" t="n">
        <v>2.060653765243349e-06</v>
      </c>
      <c r="CA19" t="n">
        <v>7.643210880850312e-05</v>
      </c>
      <c r="CB19" t="n">
        <v>0.0001667530509366649</v>
      </c>
      <c r="CC19" t="n">
        <v>0.0002595449366175186</v>
      </c>
      <c r="CD19" t="n">
        <v>3.206130493594577e-05</v>
      </c>
      <c r="CE19" t="n">
        <v>4.011489986533509e-05</v>
      </c>
      <c r="CF19" t="n">
        <v>4.779288202026965e-05</v>
      </c>
      <c r="CG19" t="n">
        <v>3.055587420709324e-05</v>
      </c>
      <c r="CH19" t="n">
        <v>6.307381769152315e-07</v>
      </c>
      <c r="CI19" t="n">
        <v>0.0001630922458593514</v>
      </c>
      <c r="CJ19" t="n">
        <v>0.0002202473662118097</v>
      </c>
      <c r="CK19" t="n">
        <v>0.0004421045598415893</v>
      </c>
      <c r="CL19" t="n">
        <v>0.0006008474869059889</v>
      </c>
      <c r="CM19" t="n">
        <v>0.000256434164160902</v>
      </c>
      <c r="CN19" t="n">
        <v>0</v>
      </c>
      <c r="CO19" t="n">
        <v>5.002032227799112e-05</v>
      </c>
      <c r="CP19" t="n">
        <v>0.0001496165959467602</v>
      </c>
      <c r="CQ19" t="n">
        <v>9.93026526253543e-05</v>
      </c>
      <c r="CR19" t="n">
        <v>0</v>
      </c>
      <c r="CS19" t="n">
        <v>0.0003503661887255748</v>
      </c>
      <c r="CT19" t="n">
        <v>0.0002591305904912525</v>
      </c>
      <c r="CU19" t="n">
        <v>0.0004229003169456536</v>
      </c>
      <c r="CV19" t="n">
        <v>0.0004924324458007258</v>
      </c>
      <c r="CW19" t="n">
        <v>0.0009417966731713196</v>
      </c>
      <c r="CX19" t="n">
        <v>0.0004410603749608854</v>
      </c>
      <c r="CY19" t="n">
        <v>0.000461096302620248</v>
      </c>
      <c r="CZ19" t="n">
        <v>0.0006937202885518854</v>
      </c>
      <c r="DA19" t="n">
        <v>0.0002857472374258911</v>
      </c>
      <c r="DB19" t="n">
        <v>0.0005698063963913021</v>
      </c>
      <c r="DC19" t="n">
        <v>0</v>
      </c>
      <c r="DD19" t="n">
        <v>0.0001846857260471666</v>
      </c>
      <c r="DE19" t="n">
        <v>0.00011945374795236</v>
      </c>
      <c r="DF19" t="n">
        <v>0.0002007762831830088</v>
      </c>
      <c r="DG19" t="n">
        <v>0.0001626470027020414</v>
      </c>
      <c r="DH19" t="n">
        <v>0.0004556113969513547</v>
      </c>
      <c r="DI19" t="n">
        <v>0</v>
      </c>
      <c r="DJ19" t="n">
        <v>0.0001949689736002928</v>
      </c>
      <c r="DK19" t="n">
        <v>0</v>
      </c>
      <c r="DL19" t="n">
        <v>0.0003754009331439714</v>
      </c>
      <c r="DM19" t="n">
        <v>8.840441055541875e-05</v>
      </c>
      <c r="DN19" t="n">
        <v>7.186804814981001e-05</v>
      </c>
      <c r="DO19" t="n">
        <v>0.0001077091933715944</v>
      </c>
      <c r="DP19" t="n">
        <v>8.185986425378211e-05</v>
      </c>
      <c r="DQ19" t="n">
        <v>8.633521551498274e-05</v>
      </c>
      <c r="DR19" t="n">
        <v>0.000106147102057236</v>
      </c>
      <c r="DS19" t="n">
        <v>7.907430913441708e-05</v>
      </c>
      <c r="DT19" t="n">
        <v>5.242126764510416e-05</v>
      </c>
      <c r="DU19" t="n">
        <v>0.0001166936055818112</v>
      </c>
      <c r="DV19" t="n">
        <v>0</v>
      </c>
      <c r="DW19" t="n">
        <v>0</v>
      </c>
      <c r="DX19" t="n">
        <v>0.01103666389270782</v>
      </c>
      <c r="DY19" t="n">
        <v>0.00191531095434677</v>
      </c>
      <c r="DZ19" t="n">
        <v>0.0001617283951256144</v>
      </c>
      <c r="EA19" t="n">
        <v>0.0001573186441178164</v>
      </c>
      <c r="EB19" t="n">
        <v>0.0001696217871831835</v>
      </c>
      <c r="EC19" t="n">
        <v>0.002260910916721475</v>
      </c>
      <c r="ED19" t="n">
        <v>0.0002565318254144326</v>
      </c>
      <c r="EE19" t="n">
        <v>3.556860563754642e-05</v>
      </c>
      <c r="EF19" t="n">
        <v>0</v>
      </c>
      <c r="EG19" t="n">
        <v>0.0001875847761395074</v>
      </c>
      <c r="EH19" t="n">
        <v>0</v>
      </c>
      <c r="EI19" t="n">
        <v>0</v>
      </c>
      <c r="EJ19" t="n">
        <v>5.026038293717249e-05</v>
      </c>
      <c r="EK19" t="n">
        <v>4.873073958988266e-05</v>
      </c>
      <c r="EL19" t="n">
        <v>3.547840163873888e-05</v>
      </c>
      <c r="EM19" t="n">
        <v>7.277041599104278e-05</v>
      </c>
      <c r="EN19" t="n">
        <v>1.306855692147191e-12</v>
      </c>
      <c r="EO19" t="n">
        <v>0</v>
      </c>
      <c r="EP19" t="n">
        <v>0.0001509229480540215</v>
      </c>
      <c r="EQ19" t="n">
        <v>0.0003258395228249803</v>
      </c>
      <c r="ER19" t="n">
        <v>0.00496755236219265</v>
      </c>
      <c r="ES19" t="n">
        <v>9.81666620021453e-05</v>
      </c>
      <c r="ET19" t="n">
        <v>0.0001083944430988738</v>
      </c>
      <c r="EU19" t="n">
        <v>0</v>
      </c>
      <c r="EV19" t="n">
        <v>3.163478154252237e-05</v>
      </c>
      <c r="EW19" t="n">
        <v>4.687371654824864e-05</v>
      </c>
      <c r="EX19" t="n">
        <v>5.638106335011744e-05</v>
      </c>
      <c r="EY19" t="n">
        <v>4.132556085443544e-05</v>
      </c>
      <c r="EZ19" t="n">
        <v>8.291420035924607e-05</v>
      </c>
      <c r="FA19" t="n">
        <v>9.901316925458307e-05</v>
      </c>
      <c r="FB19" t="n">
        <v>0.0004552546126899759</v>
      </c>
      <c r="FC19" t="n">
        <v>0.0001032540181094837</v>
      </c>
      <c r="FD19" t="n">
        <v>0.0007530420683560444</v>
      </c>
      <c r="FE19" t="n">
        <v>0.006644109082364044</v>
      </c>
      <c r="FF19" t="n">
        <v>0.001122979185813224</v>
      </c>
      <c r="FG19" t="n">
        <v>0.0002195420674484998</v>
      </c>
      <c r="FH19" t="n">
        <v>4.417492044628029e-05</v>
      </c>
      <c r="FI19" t="n">
        <v>7.707727031321289e-05</v>
      </c>
      <c r="FJ19" t="n">
        <v>6.488936728987111e-05</v>
      </c>
      <c r="FK19" t="n">
        <v>7.321434406727895e-05</v>
      </c>
      <c r="FL19" t="n">
        <v>7.397880825937939e-05</v>
      </c>
      <c r="FM19" t="n">
        <v>6.939893344129445e-05</v>
      </c>
      <c r="FN19" t="n">
        <v>5.44939190462238e-05</v>
      </c>
      <c r="FO19" t="n">
        <v>0.0001400074537632972</v>
      </c>
      <c r="FP19" t="n">
        <v>5.530500238586609e-05</v>
      </c>
      <c r="FQ19" t="n">
        <v>7.904517491885784e-05</v>
      </c>
      <c r="FR19" t="n">
        <v>5.192166756371896e-05</v>
      </c>
      <c r="FS19" t="n">
        <v>3.764642472284535e-05</v>
      </c>
      <c r="FT19" t="n">
        <v>0.0001660910408342259</v>
      </c>
      <c r="FU19" t="n">
        <v>0.0001655515976985483</v>
      </c>
      <c r="FV19" t="n">
        <v>0.0001602701547733915</v>
      </c>
      <c r="FW19" t="n">
        <v>0.0001721352919650665</v>
      </c>
      <c r="FX19" t="n">
        <v>0.0001803092246054526</v>
      </c>
      <c r="FY19" t="n">
        <v>0.0001649775608717577</v>
      </c>
      <c r="FZ19" t="n">
        <v>0.0001639517646194734</v>
      </c>
      <c r="GA19" t="n">
        <v>0.0001500861663504467</v>
      </c>
      <c r="GB19" t="n">
        <v>0.0001199352073945267</v>
      </c>
      <c r="GC19" t="n">
        <v>0.0001555522506375185</v>
      </c>
      <c r="GD19" t="n">
        <v>0.00104312963962102</v>
      </c>
      <c r="GE19" t="n">
        <v>7.588174764215664e-05</v>
      </c>
      <c r="GF19" t="n">
        <v>0.001335006437652846</v>
      </c>
      <c r="GG19" t="n">
        <v>0.00144207888351545</v>
      </c>
      <c r="GH19" t="n">
        <v>0.007679014778150372</v>
      </c>
      <c r="GI19" t="n">
        <v>0.003914657836830386</v>
      </c>
      <c r="GJ19" t="n">
        <v>0.0008797072135368154</v>
      </c>
      <c r="GK19" t="n">
        <v>0.0001635751391372999</v>
      </c>
      <c r="GL19" t="n">
        <v>0.001351198802846693</v>
      </c>
      <c r="GM19" t="n">
        <v>0.001132371235110123</v>
      </c>
      <c r="GN19" t="n">
        <v>6.921787467272686e-05</v>
      </c>
      <c r="GO19" t="n">
        <v>0.0001039805508917634</v>
      </c>
      <c r="GP19" t="n">
        <v>1.891306294335037e-05</v>
      </c>
      <c r="GQ19" t="n">
        <v>0</v>
      </c>
      <c r="GR19" t="n">
        <v>0.0001673299447272924</v>
      </c>
      <c r="GS19" t="n">
        <v>0.002430075586565042</v>
      </c>
      <c r="GT19" t="n">
        <v>0.0003845304135392493</v>
      </c>
      <c r="GU19" t="n">
        <v>0.001109338172871871</v>
      </c>
      <c r="GV19" t="n">
        <v>0.001138292055822458</v>
      </c>
      <c r="GW19" t="n">
        <v>0.0004144566477982396</v>
      </c>
      <c r="GX19" t="n">
        <v>0.0001297075009927408</v>
      </c>
      <c r="GY19" t="n">
        <v>0.0004531793220925833</v>
      </c>
      <c r="GZ19" t="n">
        <v>7.566517546639963e-05</v>
      </c>
      <c r="HA19" t="n">
        <v>0.0003213378266018628</v>
      </c>
      <c r="HB19" t="n">
        <v>8.291420035924607e-05</v>
      </c>
      <c r="HC19" t="n">
        <v>7.049449749055471e-05</v>
      </c>
    </row>
    <row r="20">
      <c r="A20" s="1" t="inlineStr">
        <is>
          <t>M_row</t>
        </is>
      </c>
      <c r="B20" t="n">
        <v>0.003751647552564467</v>
      </c>
      <c r="C20" t="n">
        <v>0.001811228763339297</v>
      </c>
      <c r="D20" t="n">
        <v>0.001189483448114157</v>
      </c>
      <c r="E20" t="n">
        <v>9.676690699242023e-06</v>
      </c>
      <c r="F20" t="n">
        <v>0.001401099669234383</v>
      </c>
      <c r="G20" t="n">
        <v>0.0001378573745762833</v>
      </c>
      <c r="H20" t="n">
        <v>0</v>
      </c>
      <c r="I20" t="n">
        <v>4.166105769489641e-05</v>
      </c>
      <c r="J20" t="n">
        <v>0.00239933125744912</v>
      </c>
      <c r="K20" t="n">
        <v>0.001408321467964069</v>
      </c>
      <c r="L20" t="n">
        <v>0.0004938392376410811</v>
      </c>
      <c r="M20" t="n">
        <v>0</v>
      </c>
      <c r="N20" t="n">
        <v>0</v>
      </c>
      <c r="O20" t="n">
        <v>0</v>
      </c>
      <c r="P20" t="n">
        <v>0.0002630549953111807</v>
      </c>
      <c r="Q20" t="n">
        <v>0</v>
      </c>
      <c r="R20" t="n">
        <v>0</v>
      </c>
      <c r="S20" t="n">
        <v>0.001542759483116949</v>
      </c>
      <c r="T20" t="n">
        <v>0.01212900757386895</v>
      </c>
      <c r="U20" t="n">
        <v>0.002780515014532634</v>
      </c>
      <c r="V20" t="n">
        <v>0.001360684944526832</v>
      </c>
      <c r="W20" t="n">
        <v>0.0007020759197542127</v>
      </c>
      <c r="X20" t="n">
        <v>0</v>
      </c>
      <c r="Y20" t="n">
        <v>2.597477311626481e-05</v>
      </c>
      <c r="Z20" t="n">
        <v>0.0005754306942110367</v>
      </c>
      <c r="AA20" t="n">
        <v>0</v>
      </c>
      <c r="AB20" t="n">
        <v>0.002601270611533708</v>
      </c>
      <c r="AC20" t="n">
        <v>0</v>
      </c>
      <c r="AD20" t="n">
        <v>2.654272145546149e-05</v>
      </c>
      <c r="AE20" t="n">
        <v>0</v>
      </c>
      <c r="AF20" t="n">
        <v>0.0002402456980809757</v>
      </c>
      <c r="AG20" t="n">
        <v>0.0009271475898619477</v>
      </c>
      <c r="AH20" t="n">
        <v>0.7315384146934171</v>
      </c>
      <c r="AI20" t="n">
        <v>0.0009109826784853459</v>
      </c>
      <c r="AJ20" t="n">
        <v>0.0008933220530877684</v>
      </c>
      <c r="AK20" t="n">
        <v>0.0005122538877856979</v>
      </c>
      <c r="AL20" t="n">
        <v>0.00116702739709522</v>
      </c>
      <c r="AM20" t="n">
        <v>0</v>
      </c>
      <c r="AN20" t="n">
        <v>0</v>
      </c>
      <c r="AO20" t="n">
        <v>0.0003294227975854864</v>
      </c>
      <c r="AP20" t="n">
        <v>0.0002458529672088956</v>
      </c>
      <c r="AQ20" t="n">
        <v>0</v>
      </c>
      <c r="AR20" t="n">
        <v>0.001785547636205252</v>
      </c>
      <c r="AS20" t="n">
        <v>0.002911260169293594</v>
      </c>
      <c r="AT20" t="n">
        <v>0.001971523162560487</v>
      </c>
      <c r="AU20" t="n">
        <v>0.0006384848438784661</v>
      </c>
      <c r="AV20" t="n">
        <v>0.0009838143944034879</v>
      </c>
      <c r="AW20" t="n">
        <v>0.001421024074694796</v>
      </c>
      <c r="AX20" t="n">
        <v>0.0006323656348094925</v>
      </c>
      <c r="AY20" t="n">
        <v>0</v>
      </c>
      <c r="AZ20" t="n">
        <v>0</v>
      </c>
      <c r="BA20" t="n">
        <v>0.0002715119445445736</v>
      </c>
      <c r="BB20" t="n">
        <v>0</v>
      </c>
      <c r="BC20" t="n">
        <v>0</v>
      </c>
      <c r="BD20" t="n">
        <v>0</v>
      </c>
      <c r="BE20" t="n">
        <v>0.0005768373372048561</v>
      </c>
      <c r="BF20" t="n">
        <v>0.0002065822880652787</v>
      </c>
      <c r="BG20" t="n">
        <v>0.0038412271842819</v>
      </c>
      <c r="BH20" t="n">
        <v>0.0006393817375977949</v>
      </c>
      <c r="BI20" t="n">
        <v>0.0006612938910954437</v>
      </c>
      <c r="BJ20" t="n">
        <v>0.0001935521323321292</v>
      </c>
      <c r="BK20" t="n">
        <v>0.00039906959541152</v>
      </c>
      <c r="BL20" t="n">
        <v>0.0002504791722725136</v>
      </c>
      <c r="BM20" t="n">
        <v>0.003726356916550895</v>
      </c>
      <c r="BN20" t="n">
        <v>0.0007050427997564239</v>
      </c>
      <c r="BO20" t="n">
        <v>0</v>
      </c>
      <c r="BP20" t="n">
        <v>0.0008059360187955513</v>
      </c>
      <c r="BQ20" t="n">
        <v>0</v>
      </c>
      <c r="BR20" t="n">
        <v>0</v>
      </c>
      <c r="BS20" t="n">
        <v>0.0005718858668796111</v>
      </c>
      <c r="BT20" t="n">
        <v>0</v>
      </c>
      <c r="BU20" t="n">
        <v>0.000804733283949561</v>
      </c>
      <c r="BV20" t="n">
        <v>0.000362868735004757</v>
      </c>
      <c r="BW20" t="n">
        <v>0.003462134841064642</v>
      </c>
      <c r="BX20" t="n">
        <v>0.0003727412329007237</v>
      </c>
      <c r="BY20" t="n">
        <v>0.0002880393516601869</v>
      </c>
      <c r="BZ20" t="n">
        <v>0.001381979741349861</v>
      </c>
      <c r="CA20" t="n">
        <v>0.000181719568648288</v>
      </c>
      <c r="CB20" t="n">
        <v>0.0002910274996400839</v>
      </c>
      <c r="CC20" t="n">
        <v>9.946140390820923e-08</v>
      </c>
      <c r="CD20" t="n">
        <v>0.0002056335868596498</v>
      </c>
      <c r="CE20" t="n">
        <v>0.001127490623131869</v>
      </c>
      <c r="CF20" t="n">
        <v>0.001333244434720412</v>
      </c>
      <c r="CG20" t="n">
        <v>7.207408608522788e-05</v>
      </c>
      <c r="CH20" t="n">
        <v>0.0008634814816461825</v>
      </c>
      <c r="CI20" t="n">
        <v>0.0006707166113793542</v>
      </c>
      <c r="CJ20" t="n">
        <v>0.000693173855463153</v>
      </c>
      <c r="CK20" t="n">
        <v>0</v>
      </c>
      <c r="CL20" t="n">
        <v>0.0002410585679989485</v>
      </c>
      <c r="CM20" t="n">
        <v>0</v>
      </c>
      <c r="CN20" t="n">
        <v>0</v>
      </c>
      <c r="CO20" t="n">
        <v>0.003900988684497599</v>
      </c>
      <c r="CP20" t="n">
        <v>0.0003846239829208992</v>
      </c>
      <c r="CQ20" t="n">
        <v>9.707881494663244e-05</v>
      </c>
      <c r="CR20" t="n">
        <v>0.0007264292472241992</v>
      </c>
      <c r="CS20" t="n">
        <v>0.0004046491590085433</v>
      </c>
      <c r="CT20" t="n">
        <v>0.001991975391557915</v>
      </c>
      <c r="CU20" t="n">
        <v>0.0005057298403200165</v>
      </c>
      <c r="CV20" t="n">
        <v>0.004454175688568989</v>
      </c>
      <c r="CW20" t="n">
        <v>0.000107352659045294</v>
      </c>
      <c r="CX20" t="n">
        <v>0.0007051897866758374</v>
      </c>
      <c r="CY20" t="n">
        <v>0.0001805177969786232</v>
      </c>
      <c r="CZ20" t="n">
        <v>0</v>
      </c>
      <c r="DA20" t="n">
        <v>0.0008405674227896651</v>
      </c>
      <c r="DB20" t="n">
        <v>0.0008606823950697611</v>
      </c>
      <c r="DC20" t="n">
        <v>0.0003551495875671732</v>
      </c>
      <c r="DD20" t="n">
        <v>0.0008380507761552538</v>
      </c>
      <c r="DE20" t="n">
        <v>0</v>
      </c>
      <c r="DF20" t="n">
        <v>0</v>
      </c>
      <c r="DG20" t="n">
        <v>0.0002108842577528822</v>
      </c>
      <c r="DH20" t="n">
        <v>0.0004891299881989305</v>
      </c>
      <c r="DI20" t="n">
        <v>1.53098214984551e-05</v>
      </c>
      <c r="DJ20" t="n">
        <v>0.0009528847548238719</v>
      </c>
      <c r="DK20" t="n">
        <v>0.001136091949839424</v>
      </c>
      <c r="DL20" t="n">
        <v>0.0009528405882022424</v>
      </c>
      <c r="DM20" t="n">
        <v>0.0002556229307910098</v>
      </c>
      <c r="DN20" t="n">
        <v>0.000615808068609862</v>
      </c>
      <c r="DO20" t="n">
        <v>0</v>
      </c>
      <c r="DP20" t="n">
        <v>0.004464861014301573</v>
      </c>
      <c r="DQ20" t="n">
        <v>0.002912065583821271</v>
      </c>
      <c r="DR20" t="n">
        <v>0.0004838474431509028</v>
      </c>
      <c r="DS20" t="n">
        <v>0.0003402563467687709</v>
      </c>
      <c r="DT20" t="n">
        <v>0.00280211930256243</v>
      </c>
      <c r="DU20" t="n">
        <v>0.0002318144045771276</v>
      </c>
      <c r="DV20" t="n">
        <v>0.0002534086284681084</v>
      </c>
      <c r="DW20" t="n">
        <v>0</v>
      </c>
      <c r="DX20" t="n">
        <v>0.0001327109637513439</v>
      </c>
      <c r="DY20" t="n">
        <v>0</v>
      </c>
      <c r="DZ20" t="n">
        <v>0.0002623457410939752</v>
      </c>
      <c r="EA20" t="n">
        <v>0.001788803301532077</v>
      </c>
      <c r="EB20" t="n">
        <v>0.005187575230516706</v>
      </c>
      <c r="EC20" t="n">
        <v>0.0003046786588974746</v>
      </c>
      <c r="ED20" t="n">
        <v>0.001227542252100078</v>
      </c>
      <c r="EE20" t="n">
        <v>0.001792045436206101</v>
      </c>
      <c r="EF20" t="n">
        <v>0.00024533880443514</v>
      </c>
      <c r="EG20" t="n">
        <v>0.001056899870741027</v>
      </c>
      <c r="EH20" t="n">
        <v>0.007656207355966111</v>
      </c>
      <c r="EI20" t="n">
        <v>0.0004797130541044313</v>
      </c>
      <c r="EJ20" t="n">
        <v>0.0002200508930113836</v>
      </c>
      <c r="EK20" t="n">
        <v>0.0001582035720503121</v>
      </c>
      <c r="EL20" t="n">
        <v>0.0008774828724661722</v>
      </c>
      <c r="EM20" t="n">
        <v>0.0002496046298341285</v>
      </c>
      <c r="EN20" t="n">
        <v>0.001599037261111446</v>
      </c>
      <c r="EO20" t="n">
        <v>0.0007877573227498309</v>
      </c>
      <c r="EP20" t="n">
        <v>0.0006995930191580425</v>
      </c>
      <c r="EQ20" t="n">
        <v>0.0005726798498149959</v>
      </c>
      <c r="ER20" t="n">
        <v>0.001676608556465958</v>
      </c>
      <c r="ES20" t="n">
        <v>0.0001199837800882966</v>
      </c>
      <c r="ET20" t="n">
        <v>0.0008290730730945268</v>
      </c>
      <c r="EU20" t="n">
        <v>0</v>
      </c>
      <c r="EV20" t="n">
        <v>0.0001985469729680503</v>
      </c>
      <c r="EW20" t="n">
        <v>0.0003353092248728509</v>
      </c>
      <c r="EX20" t="n">
        <v>0.0003186559637394322</v>
      </c>
      <c r="EY20" t="n">
        <v>0</v>
      </c>
      <c r="EZ20" t="n">
        <v>0.0002086806838016158</v>
      </c>
      <c r="FA20" t="n">
        <v>0.0006141982597115601</v>
      </c>
      <c r="FB20" t="n">
        <v>0.0003084380141167732</v>
      </c>
      <c r="FC20" t="n">
        <v>0.0006151747756279481</v>
      </c>
      <c r="FD20" t="n">
        <v>0.000628712386662904</v>
      </c>
      <c r="FE20" t="n">
        <v>0.0003606574960045334</v>
      </c>
      <c r="FF20" t="n">
        <v>1.964191518150716e-05</v>
      </c>
      <c r="FG20" t="n">
        <v>0.002880823254430151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0.0001754764601042225</v>
      </c>
      <c r="FT20" t="n">
        <v>0.000401144591812212</v>
      </c>
      <c r="FU20" t="n">
        <v>0</v>
      </c>
      <c r="FV20" t="n">
        <v>8.222349812941778e-05</v>
      </c>
      <c r="FW20" t="n">
        <v>0</v>
      </c>
      <c r="FX20" t="n">
        <v>0.0009717462037091189</v>
      </c>
      <c r="FY20" t="n">
        <v>0.0003269635793374142</v>
      </c>
      <c r="FZ20" t="n">
        <v>0.0003908256013748028</v>
      </c>
      <c r="GA20" t="n">
        <v>0.0005779458030374831</v>
      </c>
      <c r="GB20" t="n">
        <v>0.0002593872793581598</v>
      </c>
      <c r="GC20" t="n">
        <v>0.001041783322823361</v>
      </c>
      <c r="GD20" t="n">
        <v>0.0003284174092960995</v>
      </c>
      <c r="GE20" t="n">
        <v>0</v>
      </c>
      <c r="GF20" t="n">
        <v>0.009322254579552198</v>
      </c>
      <c r="GG20" t="n">
        <v>0.004723160687050343</v>
      </c>
      <c r="GH20" t="n">
        <v>0.0004951481105793649</v>
      </c>
      <c r="GI20" t="n">
        <v>0.0006631617262726333</v>
      </c>
      <c r="GJ20" t="n">
        <v>0.0009000644624313286</v>
      </c>
      <c r="GK20" t="n">
        <v>0</v>
      </c>
      <c r="GL20" t="n">
        <v>0.0004237410934004771</v>
      </c>
      <c r="GM20" t="n">
        <v>0.0008191868578239824</v>
      </c>
      <c r="GN20" t="n">
        <v>0</v>
      </c>
      <c r="GO20" t="n">
        <v>0.0002924576555448396</v>
      </c>
      <c r="GP20" t="n">
        <v>0.001359972470969132</v>
      </c>
      <c r="GQ20" t="n">
        <v>0.000437789456335963</v>
      </c>
      <c r="GR20" t="n">
        <v>3.146597321360098e-05</v>
      </c>
      <c r="GS20" t="n">
        <v>0.001785547636205252</v>
      </c>
      <c r="GT20" t="n">
        <v>0.001279521185210367</v>
      </c>
      <c r="GU20" t="n">
        <v>0.00207486939804626</v>
      </c>
      <c r="GV20" t="n">
        <v>0.001421024074694796</v>
      </c>
      <c r="GW20" t="n">
        <v>9.009195801306885e-05</v>
      </c>
      <c r="GX20" t="n">
        <v>0.0004787463125483556</v>
      </c>
      <c r="GY20" t="n">
        <v>0.0004941825579116743</v>
      </c>
      <c r="GZ20" t="n">
        <v>0.0003364444625734799</v>
      </c>
      <c r="HA20" t="n">
        <v>0.0007146187632143259</v>
      </c>
      <c r="HB20" t="n">
        <v>0</v>
      </c>
      <c r="HC20" t="n">
        <v>0.0002728763421695475</v>
      </c>
    </row>
    <row r="21">
      <c r="A21" s="1" t="inlineStr">
        <is>
          <t>Y_imp</t>
        </is>
      </c>
      <c r="B21" t="n">
        <v>12.58953104607659</v>
      </c>
      <c r="C21" t="n">
        <v>393.4168379264765</v>
      </c>
      <c r="D21" t="n">
        <v>6.170733505199777</v>
      </c>
      <c r="E21" t="n">
        <v>6666.413095894283</v>
      </c>
      <c r="F21" t="n">
        <v>709.1867968887566</v>
      </c>
      <c r="G21" t="n">
        <v>0</v>
      </c>
      <c r="H21" t="n">
        <v>18.17377665812187</v>
      </c>
      <c r="I21" t="n">
        <v>418.3549082338893</v>
      </c>
      <c r="J21" t="n">
        <v>0</v>
      </c>
      <c r="K21" t="n">
        <v>0</v>
      </c>
      <c r="L21" t="n">
        <v>37.6718724459</v>
      </c>
      <c r="M21" t="n">
        <v>134.968553567</v>
      </c>
      <c r="N21" t="n">
        <v>358.935505393</v>
      </c>
      <c r="O21" t="n">
        <v>0</v>
      </c>
      <c r="P21" t="n">
        <v>0</v>
      </c>
      <c r="Q21" t="n">
        <v>0</v>
      </c>
      <c r="R21" t="n">
        <v>0</v>
      </c>
      <c r="S21" t="n">
        <v>324.7181188907604</v>
      </c>
      <c r="T21" t="n">
        <v>191.524540960959</v>
      </c>
      <c r="U21" t="n">
        <v>6.3533008602</v>
      </c>
      <c r="V21" t="n">
        <v>0</v>
      </c>
      <c r="W21" t="n">
        <v>14.9039839728</v>
      </c>
      <c r="X21" t="n">
        <v>0</v>
      </c>
      <c r="Y21" t="n">
        <v>14.5218305376</v>
      </c>
      <c r="Z21" t="n">
        <v>0</v>
      </c>
      <c r="AA21" t="n">
        <v>0</v>
      </c>
      <c r="AB21" t="n">
        <v>0</v>
      </c>
      <c r="AC21" t="n">
        <v>0</v>
      </c>
      <c r="AD21" t="n">
        <v>10172.62054431125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1038.49431455</v>
      </c>
      <c r="AS21" t="n">
        <v>596.450475476</v>
      </c>
      <c r="AT21" t="n">
        <v>892.77666271</v>
      </c>
      <c r="AU21" t="n">
        <v>2166.43173804</v>
      </c>
      <c r="AV21" t="n">
        <v>152.524386109</v>
      </c>
      <c r="AW21" t="n">
        <v>1806.03861601</v>
      </c>
      <c r="AX21" t="n">
        <v>130.972569754</v>
      </c>
      <c r="AY21" t="n">
        <v>92.7266572539</v>
      </c>
      <c r="AZ21" t="n">
        <v>11484.8366485</v>
      </c>
      <c r="BA21" t="n">
        <v>1737.93637934</v>
      </c>
      <c r="BB21" t="n">
        <v>1549.8190821</v>
      </c>
      <c r="BC21" t="n">
        <v>1749.27710897</v>
      </c>
      <c r="BD21" t="n">
        <v>5191.81852316</v>
      </c>
      <c r="BE21" t="n">
        <v>10896.3904117</v>
      </c>
      <c r="BF21" t="n">
        <v>6719.86299841</v>
      </c>
      <c r="BG21" t="n">
        <v>627.2895343705732</v>
      </c>
      <c r="BH21" t="n">
        <v>64.05277614142688</v>
      </c>
      <c r="BI21" t="n">
        <v>0</v>
      </c>
      <c r="BJ21" t="n">
        <v>0</v>
      </c>
      <c r="BK21" t="n">
        <v>1766.04037623</v>
      </c>
      <c r="BL21" t="n">
        <v>1559.83702366</v>
      </c>
      <c r="BM21" t="n">
        <v>0.1066507278430744</v>
      </c>
      <c r="BN21" t="n">
        <v>0</v>
      </c>
      <c r="BO21" t="n">
        <v>0</v>
      </c>
      <c r="BP21" t="n">
        <v>262.4815319927819</v>
      </c>
      <c r="BQ21" t="n">
        <v>0.2627304867</v>
      </c>
      <c r="BR21" t="n">
        <v>0</v>
      </c>
      <c r="BS21" t="n">
        <v>52.29044704524056</v>
      </c>
      <c r="BT21" t="n">
        <v>157.136715636</v>
      </c>
      <c r="BU21" t="n">
        <v>7198.155178050654</v>
      </c>
      <c r="BV21" t="n">
        <v>1.056828588528105</v>
      </c>
      <c r="BW21" t="n">
        <v>0</v>
      </c>
      <c r="BX21" t="n">
        <v>612.4260780905207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2378.036229680418</v>
      </c>
      <c r="CJ21" t="n">
        <v>286.2161694295821</v>
      </c>
      <c r="CK21" t="n">
        <v>1.678914217057</v>
      </c>
      <c r="CL21" t="n">
        <v>44.52294982682</v>
      </c>
      <c r="CM21" t="n">
        <v>6643.333391030001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895.250211626</v>
      </c>
      <c r="CV21" t="n">
        <v>0.112600342789</v>
      </c>
      <c r="CW21" t="n">
        <v>0.9188687922269055</v>
      </c>
      <c r="CX21" t="n">
        <v>0.0555902005850945</v>
      </c>
      <c r="CY21" t="n">
        <v>791.2557892889999</v>
      </c>
      <c r="CZ21" t="n">
        <v>0.00617002623215275</v>
      </c>
      <c r="DA21" t="n">
        <v>0.0003962561419472482</v>
      </c>
      <c r="DB21" t="n">
        <v>5.425036059269236</v>
      </c>
      <c r="DC21" t="n">
        <v>0.00030458495076355</v>
      </c>
      <c r="DD21" t="n">
        <v>1.326188745780254</v>
      </c>
      <c r="DE21" t="n">
        <v>0.102340521859746</v>
      </c>
      <c r="DF21" t="n">
        <v>0</v>
      </c>
      <c r="DG21" t="n">
        <v>0</v>
      </c>
      <c r="DH21" t="n">
        <v>0</v>
      </c>
      <c r="DI21" t="n">
        <v>0</v>
      </c>
      <c r="DJ21" t="n">
        <v>7.493593020374871</v>
      </c>
      <c r="DK21" t="n">
        <v>0.06099700859512885</v>
      </c>
      <c r="DL21" t="n">
        <v>0</v>
      </c>
      <c r="DM21" t="n">
        <v>2010.42848448</v>
      </c>
      <c r="DN21" t="n">
        <v>520.4741344620001</v>
      </c>
      <c r="DO21" t="n">
        <v>1803.7615755</v>
      </c>
      <c r="DP21" t="n">
        <v>2577.26127398</v>
      </c>
      <c r="DQ21" t="n">
        <v>4696.77493081</v>
      </c>
      <c r="DR21" t="n">
        <v>4669.90644814</v>
      </c>
      <c r="DS21" t="n">
        <v>29014.0209561</v>
      </c>
      <c r="DT21" t="n">
        <v>2813.826555028</v>
      </c>
      <c r="DU21" t="n">
        <v>10799.400247</v>
      </c>
      <c r="DV21" t="n">
        <v>0</v>
      </c>
      <c r="DW21" t="n">
        <v>0</v>
      </c>
      <c r="DX21" t="n">
        <v>63.36121108093538</v>
      </c>
      <c r="DY21" t="n">
        <v>50.54035836745297</v>
      </c>
      <c r="DZ21" t="n">
        <v>20.42194883294816</v>
      </c>
      <c r="EA21" t="n">
        <v>34.97312082171879</v>
      </c>
      <c r="EB21" t="n">
        <v>7.774574842925006</v>
      </c>
      <c r="EC21" t="n">
        <v>7.784159298468468</v>
      </c>
      <c r="ED21" t="n">
        <v>4.48699372323996</v>
      </c>
      <c r="EE21" t="n">
        <v>2.286287747679654</v>
      </c>
      <c r="EF21" t="n">
        <v>0</v>
      </c>
      <c r="EG21" t="n">
        <v>0.004994755577657015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107.8362040536</v>
      </c>
      <c r="EY21" t="n">
        <v>0</v>
      </c>
      <c r="EZ21" t="n">
        <v>0</v>
      </c>
      <c r="FA21" t="n">
        <v>1317.51410816752</v>
      </c>
      <c r="FB21" t="n">
        <v>5070.06724283</v>
      </c>
      <c r="FC21" t="n">
        <v>0.665434672022</v>
      </c>
      <c r="FD21" t="n">
        <v>3107.382957970209</v>
      </c>
      <c r="FE21" t="n">
        <v>243.823954249855</v>
      </c>
      <c r="FF21" t="n">
        <v>8077.98179555482</v>
      </c>
      <c r="FG21" t="n">
        <v>854.2088896967999</v>
      </c>
      <c r="FH21" t="n">
        <v>2604.55483714</v>
      </c>
      <c r="FI21" t="n">
        <v>1220.23761793</v>
      </c>
      <c r="FJ21" t="n">
        <v>1145.74717822</v>
      </c>
      <c r="FK21" t="n">
        <v>0</v>
      </c>
      <c r="FL21" t="n">
        <v>0</v>
      </c>
      <c r="FM21" t="n">
        <v>0</v>
      </c>
      <c r="FN21" t="n">
        <v>1.81215275413</v>
      </c>
      <c r="FO21" t="n">
        <v>1038.66680669</v>
      </c>
      <c r="FP21" t="n">
        <v>652.781205856</v>
      </c>
      <c r="FQ21" t="n">
        <v>1267.51855990752</v>
      </c>
      <c r="FR21" t="n">
        <v>1024.3292228668</v>
      </c>
      <c r="FS21" t="n">
        <v>1545.727142509</v>
      </c>
      <c r="FT21" t="n">
        <v>7.17729398812</v>
      </c>
      <c r="FU21" t="n">
        <v>7.47894238651</v>
      </c>
      <c r="FV21" t="n">
        <v>3.45613363925</v>
      </c>
      <c r="FW21" t="n">
        <v>12.4528250492</v>
      </c>
      <c r="FX21" t="n">
        <v>1.43287113325</v>
      </c>
      <c r="FY21" t="n">
        <v>2.51968033716</v>
      </c>
      <c r="FZ21" t="n">
        <v>7.26812830262</v>
      </c>
      <c r="GA21" t="n">
        <v>0.635575731595</v>
      </c>
      <c r="GB21" t="n">
        <v>0.0431870936057</v>
      </c>
      <c r="GC21" t="n">
        <v>6.216701355879999</v>
      </c>
      <c r="GD21" t="n">
        <v>8.337650195269999</v>
      </c>
      <c r="GE21" t="n">
        <v>0</v>
      </c>
      <c r="GF21" t="n">
        <v>2.85792305986</v>
      </c>
      <c r="GG21" t="n">
        <v>5.47808633417</v>
      </c>
      <c r="GH21" t="n">
        <v>6.61878061193</v>
      </c>
      <c r="GI21" t="n">
        <v>4.28667166764</v>
      </c>
      <c r="GJ21" t="n">
        <v>0.910953415573</v>
      </c>
      <c r="GK21" t="n">
        <v>10.7985323575</v>
      </c>
      <c r="GL21" t="n">
        <v>0.479886330691</v>
      </c>
      <c r="GM21" t="n">
        <v>1.59815003337</v>
      </c>
      <c r="GN21" t="n">
        <v>95.8633370956</v>
      </c>
      <c r="GO21" t="n">
        <v>2481.46822075</v>
      </c>
      <c r="GP21" t="n">
        <v>262.19233730575</v>
      </c>
      <c r="GQ21" t="n">
        <v>0</v>
      </c>
      <c r="GR21" t="n">
        <v>6818.937482003284</v>
      </c>
      <c r="GS21" t="n">
        <v>1038.49431455</v>
      </c>
      <c r="GT21" t="n">
        <v>3828.2993022389</v>
      </c>
      <c r="GU21" t="n">
        <v>2356.498662363959</v>
      </c>
      <c r="GV21" t="n">
        <v>1806.03861601</v>
      </c>
      <c r="GW21" t="n">
        <v>17903.87345874475</v>
      </c>
      <c r="GX21" t="n">
        <v>26463.52351771602</v>
      </c>
      <c r="GY21" t="n">
        <v>58120.83281466164</v>
      </c>
      <c r="GZ21" t="n">
        <v>22808.07193327</v>
      </c>
      <c r="HA21" t="n">
        <v>52451.49181921694</v>
      </c>
      <c r="HB21" t="n">
        <v>0</v>
      </c>
      <c r="HC21" t="n">
        <v>14392.9916857984</v>
      </c>
    </row>
    <row r="22">
      <c r="A22" s="1" t="inlineStr">
        <is>
          <t>Y_dom</t>
        </is>
      </c>
      <c r="B22" t="n">
        <v>111.1237859411297</v>
      </c>
      <c r="C22" t="n">
        <v>6143.007796311505</v>
      </c>
      <c r="D22" t="n">
        <v>370.6834656242983</v>
      </c>
      <c r="E22" t="n">
        <v>10280.1076048156</v>
      </c>
      <c r="F22" t="n">
        <v>726.0784872377837</v>
      </c>
      <c r="G22" t="n">
        <v>0</v>
      </c>
      <c r="H22" t="n">
        <v>514.0743081434518</v>
      </c>
      <c r="I22" t="n">
        <v>0</v>
      </c>
      <c r="J22" t="n">
        <v>0</v>
      </c>
      <c r="K22" t="n">
        <v>0</v>
      </c>
      <c r="L22" t="n">
        <v>3117.91278957</v>
      </c>
      <c r="M22" t="n">
        <v>1889.75665498</v>
      </c>
      <c r="N22" t="n">
        <v>139.245465367</v>
      </c>
      <c r="O22" t="n">
        <v>137.460607966</v>
      </c>
      <c r="P22" t="n">
        <v>0</v>
      </c>
      <c r="Q22" t="n">
        <v>0</v>
      </c>
      <c r="R22" t="n">
        <v>0</v>
      </c>
      <c r="S22" t="n">
        <v>4983.726911349618</v>
      </c>
      <c r="T22" t="n">
        <v>235.5104379290872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7.51704678874619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5050.44137163263</v>
      </c>
      <c r="AS22" t="n">
        <v>2108.07915814567</v>
      </c>
      <c r="AT22" t="n">
        <v>8018.044447814699</v>
      </c>
      <c r="AU22" t="n">
        <v>15949.9837150327</v>
      </c>
      <c r="AV22" t="n">
        <v>26.9606270569</v>
      </c>
      <c r="AW22" t="n">
        <v>8488.22304035583</v>
      </c>
      <c r="AX22" t="n">
        <v>26.83840954758</v>
      </c>
      <c r="AY22" t="n">
        <v>662.143368282305</v>
      </c>
      <c r="AZ22" t="n">
        <v>23360.725289119</v>
      </c>
      <c r="BA22" t="n">
        <v>7010.44186901366</v>
      </c>
      <c r="BB22" t="n">
        <v>2468.4934124624</v>
      </c>
      <c r="BC22" t="n">
        <v>874.533016486</v>
      </c>
      <c r="BD22" t="n">
        <v>2215.3406393403</v>
      </c>
      <c r="BE22" t="n">
        <v>3273.5352910359</v>
      </c>
      <c r="BF22" t="n">
        <v>128.1294884929</v>
      </c>
      <c r="BG22" t="n">
        <v>710.2622544142647</v>
      </c>
      <c r="BH22" t="n">
        <v>438.2363337857354</v>
      </c>
      <c r="BI22" t="n">
        <v>0</v>
      </c>
      <c r="BJ22" t="n">
        <v>0</v>
      </c>
      <c r="BK22" t="n">
        <v>1585.48345099</v>
      </c>
      <c r="BL22" t="n">
        <v>5484.64885857</v>
      </c>
      <c r="BM22" t="n">
        <v>0.7293099116569257</v>
      </c>
      <c r="BN22" t="n">
        <v>0</v>
      </c>
      <c r="BO22" t="n">
        <v>0</v>
      </c>
      <c r="BP22" t="n">
        <v>4666.461821447218</v>
      </c>
      <c r="BQ22" t="n">
        <v>0</v>
      </c>
      <c r="BR22" t="n">
        <v>0</v>
      </c>
      <c r="BS22" t="n">
        <v>43.24791175475945</v>
      </c>
      <c r="BT22" t="n">
        <v>0</v>
      </c>
      <c r="BU22" t="n">
        <v>7435.932931149347</v>
      </c>
      <c r="BV22" t="n">
        <v>2.143706431271896</v>
      </c>
      <c r="BW22" t="n">
        <v>0</v>
      </c>
      <c r="BX22" t="n">
        <v>301.7327080874792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37588.16532331418</v>
      </c>
      <c r="CJ22" t="n">
        <v>1908.19843728582</v>
      </c>
      <c r="CK22" t="n">
        <v>8.09257081484</v>
      </c>
      <c r="CL22" t="n">
        <v>43.7871681139</v>
      </c>
      <c r="CM22" t="n">
        <v>9071.78079087</v>
      </c>
      <c r="CN22" t="n">
        <v>0</v>
      </c>
      <c r="CO22" t="n">
        <v>0</v>
      </c>
      <c r="CP22" t="n">
        <v>347.92681816</v>
      </c>
      <c r="CQ22" t="n">
        <v>984.283941537</v>
      </c>
      <c r="CR22" t="n">
        <v>0</v>
      </c>
      <c r="CS22" t="n">
        <v>0</v>
      </c>
      <c r="CT22" t="n">
        <v>0</v>
      </c>
      <c r="CU22" t="n">
        <v>689.762294742</v>
      </c>
      <c r="CV22" t="n">
        <v>7.73099013119</v>
      </c>
      <c r="CW22" t="n">
        <v>50.51563095007756</v>
      </c>
      <c r="CX22" t="n">
        <v>11.09450161082244</v>
      </c>
      <c r="CY22" t="n">
        <v>967.1063444620002</v>
      </c>
      <c r="CZ22" t="n">
        <v>0.00406246458415987</v>
      </c>
      <c r="DA22" t="n">
        <v>0.00182100319917013</v>
      </c>
      <c r="DB22" t="n">
        <v>0</v>
      </c>
      <c r="DC22" t="n">
        <v>0</v>
      </c>
      <c r="DD22" t="n">
        <v>0.4672341779052208</v>
      </c>
      <c r="DE22" t="n">
        <v>0.2665403071037792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0.145615571681</v>
      </c>
      <c r="DM22" t="n">
        <v>3671.05667554</v>
      </c>
      <c r="DN22" t="n">
        <v>310.999624913</v>
      </c>
      <c r="DO22" t="n">
        <v>0</v>
      </c>
      <c r="DP22" t="n">
        <v>1938.44845799</v>
      </c>
      <c r="DQ22" t="n">
        <v>1956.93538405</v>
      </c>
      <c r="DR22" t="n">
        <v>2869.15447629</v>
      </c>
      <c r="DS22" t="n">
        <v>26547.7846919</v>
      </c>
      <c r="DT22" t="n">
        <v>1501.0289734745</v>
      </c>
      <c r="DU22" t="n">
        <v>7391.270739749999</v>
      </c>
      <c r="DV22" t="n">
        <v>0</v>
      </c>
      <c r="DW22" t="n">
        <v>0</v>
      </c>
      <c r="DX22" t="n">
        <v>160.5329327670646</v>
      </c>
      <c r="DY22" t="n">
        <v>458.081979294547</v>
      </c>
      <c r="DZ22" t="n">
        <v>10186.75299786705</v>
      </c>
      <c r="EA22" t="n">
        <v>1235.352666958281</v>
      </c>
      <c r="EB22" t="n">
        <v>488.069507329075</v>
      </c>
      <c r="EC22" t="n">
        <v>36.95167720963154</v>
      </c>
      <c r="ED22" t="n">
        <v>213.02996467476</v>
      </c>
      <c r="EE22" t="n">
        <v>167.1032224043203</v>
      </c>
      <c r="EF22" t="n">
        <v>0</v>
      </c>
      <c r="EG22" t="n">
        <v>11.36406994162234</v>
      </c>
      <c r="EH22" t="n">
        <v>0</v>
      </c>
      <c r="EI22" t="n">
        <v>0</v>
      </c>
      <c r="EJ22" t="n">
        <v>2459.82274317</v>
      </c>
      <c r="EK22" t="n">
        <v>9539.403568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8925.814611510001</v>
      </c>
      <c r="ER22" t="n">
        <v>1377.80644143</v>
      </c>
      <c r="ES22" t="n">
        <v>5628.20353823</v>
      </c>
      <c r="ET22" t="n">
        <v>8796.46644765</v>
      </c>
      <c r="EU22" t="n">
        <v>0</v>
      </c>
      <c r="EV22" t="n">
        <v>30296.038247431</v>
      </c>
      <c r="EW22" t="n">
        <v>769.0573023287</v>
      </c>
      <c r="EX22" t="n">
        <v>9886.43859541</v>
      </c>
      <c r="EY22" t="n">
        <v>7198.74526698</v>
      </c>
      <c r="EZ22" t="n">
        <v>83954.16485263</v>
      </c>
      <c r="FA22" t="n">
        <v>15294.563008583</v>
      </c>
      <c r="FB22" t="n">
        <v>30950.3724516</v>
      </c>
      <c r="FC22" t="n">
        <v>308.121759012</v>
      </c>
      <c r="FD22" t="n">
        <v>1190.086000744</v>
      </c>
      <c r="FE22" t="n">
        <v>749.5853719010657</v>
      </c>
      <c r="FF22" t="n">
        <v>11302.3998226312</v>
      </c>
      <c r="FG22" t="n">
        <v>16771.579081532</v>
      </c>
      <c r="FH22" t="n">
        <v>42904.6385463</v>
      </c>
      <c r="FI22" t="n">
        <v>13529.354277</v>
      </c>
      <c r="FJ22" t="n">
        <v>31909.8454513</v>
      </c>
      <c r="FK22" t="n">
        <v>0</v>
      </c>
      <c r="FL22" t="n">
        <v>242143.1325731</v>
      </c>
      <c r="FM22" t="n">
        <v>3328.271032657</v>
      </c>
      <c r="FN22" t="n">
        <v>70.8903087324</v>
      </c>
      <c r="FO22" t="n">
        <v>11126.0696009</v>
      </c>
      <c r="FP22" t="n">
        <v>15846.2651147</v>
      </c>
      <c r="FQ22" t="n">
        <v>186753.738044755</v>
      </c>
      <c r="FR22" t="n">
        <v>130808.66813279</v>
      </c>
      <c r="FS22" t="n">
        <v>258670.8658642</v>
      </c>
      <c r="FT22" t="n">
        <v>767.062811341</v>
      </c>
      <c r="FU22" t="n">
        <v>804.795130685</v>
      </c>
      <c r="FV22" t="n">
        <v>332.707084072</v>
      </c>
      <c r="FW22" t="n">
        <v>949.25281436</v>
      </c>
      <c r="FX22" t="n">
        <v>167.741871249</v>
      </c>
      <c r="FY22" t="n">
        <v>222.57871309</v>
      </c>
      <c r="FZ22" t="n">
        <v>919.981640762</v>
      </c>
      <c r="GA22" t="n">
        <v>70.53742816650001</v>
      </c>
      <c r="GB22" t="n">
        <v>6.1009405067</v>
      </c>
      <c r="GC22" t="n">
        <v>773.519846848</v>
      </c>
      <c r="GD22" t="n">
        <v>479.801236121</v>
      </c>
      <c r="GE22" t="n">
        <v>1.88906969237</v>
      </c>
      <c r="GF22" t="n">
        <v>266.243214735</v>
      </c>
      <c r="GG22" t="n">
        <v>472.339913116</v>
      </c>
      <c r="GH22" t="n">
        <v>460.334042583</v>
      </c>
      <c r="GI22" t="n">
        <v>317.565150196</v>
      </c>
      <c r="GJ22" t="n">
        <v>84.5779130124</v>
      </c>
      <c r="GK22" t="n">
        <v>1333.35580079</v>
      </c>
      <c r="GL22" t="n">
        <v>52.3022720474</v>
      </c>
      <c r="GM22" t="n">
        <v>192.223716855</v>
      </c>
      <c r="GN22" t="n">
        <v>22590.5100676</v>
      </c>
      <c r="GO22" t="n">
        <v>71885.0849681</v>
      </c>
      <c r="GP22" t="n">
        <v>11238.476071223</v>
      </c>
      <c r="GQ22" t="n">
        <v>0</v>
      </c>
      <c r="GR22" t="n">
        <v>10307.0682318725</v>
      </c>
      <c r="GS22" t="n">
        <v>5050.44137163263</v>
      </c>
      <c r="GT22" t="n">
        <v>31083.77676554307</v>
      </c>
      <c r="GU22" t="n">
        <v>8862.978943651917</v>
      </c>
      <c r="GV22" t="n">
        <v>8625.68364832183</v>
      </c>
      <c r="GW22" t="n">
        <v>35754.45194623331</v>
      </c>
      <c r="GX22" t="n">
        <v>348068.806370803</v>
      </c>
      <c r="GY22" t="n">
        <v>115961.4466882009</v>
      </c>
      <c r="GZ22" t="n">
        <v>5617.0054188691</v>
      </c>
      <c r="HA22" t="n">
        <v>76311.73408172725</v>
      </c>
      <c r="HB22" t="n">
        <v>83954.16485263</v>
      </c>
      <c r="HC22" t="n">
        <v>879887.6501223976</v>
      </c>
    </row>
    <row r="23">
      <c r="A23" s="1" t="inlineStr">
        <is>
          <t>M_imp*Y_dom</t>
        </is>
      </c>
      <c r="B23" t="n">
        <v>0.009356275989545483</v>
      </c>
      <c r="C23" t="n">
        <v>0.4214299272917564</v>
      </c>
      <c r="D23" t="n">
        <v>0.01494898571314095</v>
      </c>
      <c r="E23" t="n">
        <v>1.338421080057199</v>
      </c>
      <c r="F23" t="n">
        <v>0.08088576496327471</v>
      </c>
      <c r="G23" t="n">
        <v>0</v>
      </c>
      <c r="H23" t="n">
        <v>0.02162797520976688</v>
      </c>
      <c r="I23" t="n">
        <v>0</v>
      </c>
      <c r="J23" t="n">
        <v>0</v>
      </c>
      <c r="K23" t="n">
        <v>0</v>
      </c>
      <c r="L23" t="n">
        <v>0.5822248983792275</v>
      </c>
      <c r="M23" t="n">
        <v>0.3142862027675247</v>
      </c>
      <c r="N23" t="n">
        <v>0.02974822533448538</v>
      </c>
      <c r="O23" t="n">
        <v>0.03330793073072191</v>
      </c>
      <c r="P23" t="n">
        <v>0</v>
      </c>
      <c r="Q23" t="n">
        <v>0</v>
      </c>
      <c r="R23" t="n">
        <v>0</v>
      </c>
      <c r="S23" t="n">
        <v>0.1627056588097582</v>
      </c>
      <c r="T23" t="n">
        <v>0.2415012980591937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0.07353260212495254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1.000508607731297</v>
      </c>
      <c r="AS23" t="n">
        <v>0.245138361833485</v>
      </c>
      <c r="AT23" t="n">
        <v>1.219022189480824</v>
      </c>
      <c r="AU23" t="n">
        <v>3.188766900829611</v>
      </c>
      <c r="AV23" t="n">
        <v>0.002443484990012648</v>
      </c>
      <c r="AW23" t="n">
        <v>1.603542962327241</v>
      </c>
      <c r="AX23" t="n">
        <v>0.00106302537517989</v>
      </c>
      <c r="AY23" t="n">
        <v>0.05119469434569526</v>
      </c>
      <c r="AZ23" t="n">
        <v>3.659096578648402</v>
      </c>
      <c r="BA23" t="n">
        <v>1.107693796398551</v>
      </c>
      <c r="BB23" t="n">
        <v>0.4371949648259522</v>
      </c>
      <c r="BC23" t="n">
        <v>0.1061203483344886</v>
      </c>
      <c r="BD23" t="n">
        <v>0.3631342392011148</v>
      </c>
      <c r="BE23" t="n">
        <v>0.3880180707884878</v>
      </c>
      <c r="BF23" t="n">
        <v>0.01963533193909653</v>
      </c>
      <c r="BG23" t="n">
        <v>0.09086915142487802</v>
      </c>
      <c r="BH23" t="n">
        <v>0.05412765548219477</v>
      </c>
      <c r="BI23" t="n">
        <v>0</v>
      </c>
      <c r="BJ23" t="n">
        <v>0</v>
      </c>
      <c r="BK23" t="n">
        <v>0.3135986724223319</v>
      </c>
      <c r="BL23" t="n">
        <v>0.5024806053949605</v>
      </c>
      <c r="BM23" t="n">
        <v>2.096821198307091e-05</v>
      </c>
      <c r="BN23" t="n">
        <v>0</v>
      </c>
      <c r="BO23" t="n">
        <v>0</v>
      </c>
      <c r="BP23" t="n">
        <v>6.198707487417782</v>
      </c>
      <c r="BQ23" t="n">
        <v>0</v>
      </c>
      <c r="BR23" t="n">
        <v>0</v>
      </c>
      <c r="BS23" t="n">
        <v>0.01480702456219136</v>
      </c>
      <c r="BT23" t="n">
        <v>0</v>
      </c>
      <c r="BU23" t="n">
        <v>4.40455317643619</v>
      </c>
      <c r="BV23" t="n">
        <v>0.0004381677355217412</v>
      </c>
      <c r="BW23" t="n">
        <v>0</v>
      </c>
      <c r="BX23" t="n">
        <v>0.1047160436860266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7.934266589109332</v>
      </c>
      <c r="CJ23" t="n">
        <v>0.2986515723766077</v>
      </c>
      <c r="CK23" t="n">
        <v>0.001386045037065112</v>
      </c>
      <c r="CL23" t="n">
        <v>0.005841853673956892</v>
      </c>
      <c r="CM23" t="n">
        <v>1.802737408731566</v>
      </c>
      <c r="CN23" t="n">
        <v>0</v>
      </c>
      <c r="CO23" t="n">
        <v>0</v>
      </c>
      <c r="CP23" t="n">
        <v>0.02828708903374935</v>
      </c>
      <c r="CQ23" t="n">
        <v>0.0331956281677632</v>
      </c>
      <c r="CR23" t="n">
        <v>0</v>
      </c>
      <c r="CS23" t="n">
        <v>0</v>
      </c>
      <c r="CT23" t="n">
        <v>0</v>
      </c>
      <c r="CU23" t="n">
        <v>0.113608722564257</v>
      </c>
      <c r="CV23" t="n">
        <v>0.001178182663470026</v>
      </c>
      <c r="CW23" t="n">
        <v>0.008579746373592035</v>
      </c>
      <c r="CX23" t="n">
        <v>0.001525940143654831</v>
      </c>
      <c r="CY23" t="n">
        <v>0.1449426989047521</v>
      </c>
      <c r="CZ23" t="n">
        <v>9.380613678186653e-07</v>
      </c>
      <c r="DA23" t="n">
        <v>2.994965515561578e-07</v>
      </c>
      <c r="DB23" t="n">
        <v>0</v>
      </c>
      <c r="DC23" t="n">
        <v>0</v>
      </c>
      <c r="DD23" t="n">
        <v>0.0001093078442089232</v>
      </c>
      <c r="DE23" t="n">
        <v>6.563090858488071e-05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3.007316721257603e-05</v>
      </c>
      <c r="DM23" t="n">
        <v>0.7220811838849482</v>
      </c>
      <c r="DN23" t="n">
        <v>0.04940748919690788</v>
      </c>
      <c r="DO23" t="n">
        <v>0</v>
      </c>
      <c r="DP23" t="n">
        <v>0.284676197951476</v>
      </c>
      <c r="DQ23" t="n">
        <v>0.2571993125194871</v>
      </c>
      <c r="DR23" t="n">
        <v>0.3258959380997907</v>
      </c>
      <c r="DS23" t="n">
        <v>4.870174999744625</v>
      </c>
      <c r="DT23" t="n">
        <v>0.2393992460219138</v>
      </c>
      <c r="DU23" t="n">
        <v>1.050662580903487</v>
      </c>
      <c r="DV23" t="n">
        <v>0</v>
      </c>
      <c r="DW23" t="n">
        <v>0</v>
      </c>
      <c r="DX23" t="n">
        <v>0.4178741953405498</v>
      </c>
      <c r="DY23" t="n">
        <v>0.08075390950808534</v>
      </c>
      <c r="DZ23" t="n">
        <v>1.3010816937539</v>
      </c>
      <c r="EA23" t="n">
        <v>0.1873004256478945</v>
      </c>
      <c r="EB23" t="n">
        <v>0.03740960700726656</v>
      </c>
      <c r="EC23" t="n">
        <v>0.03110036504965684</v>
      </c>
      <c r="ED23" t="n">
        <v>0.0259531195287899</v>
      </c>
      <c r="EE23" t="n">
        <v>0.003061646140869809</v>
      </c>
      <c r="EF23" t="n">
        <v>0</v>
      </c>
      <c r="EG23" t="n">
        <v>0.00221237888248594</v>
      </c>
      <c r="EH23" t="n">
        <v>0</v>
      </c>
      <c r="EI23" t="n">
        <v>0</v>
      </c>
      <c r="EJ23" t="n">
        <v>0.1270667584023784</v>
      </c>
      <c r="EK23" t="n">
        <v>0.4583846254623073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1.289252407450939</v>
      </c>
      <c r="ER23" t="n">
        <v>1.215445288577947</v>
      </c>
      <c r="ES23" t="n">
        <v>0.4991290874919027</v>
      </c>
      <c r="ET23" t="n">
        <v>1.159886682098869</v>
      </c>
      <c r="EU23" t="n">
        <v>0</v>
      </c>
      <c r="EV23" t="n">
        <v>1.29038821757269</v>
      </c>
      <c r="EW23" t="n">
        <v>0.1216577618697929</v>
      </c>
      <c r="EX23" t="n">
        <v>0.5526449145077317</v>
      </c>
      <c r="EY23" t="n">
        <v>0.4107916897903112</v>
      </c>
      <c r="EZ23" t="n">
        <v>4.666643123299325</v>
      </c>
      <c r="FA23" t="n">
        <v>2.801812473897294</v>
      </c>
      <c r="FB23" t="n">
        <v>4.335014903799926</v>
      </c>
      <c r="FC23" t="n">
        <v>0.9727092678964598</v>
      </c>
      <c r="FD23" t="n">
        <v>2.291794451153302</v>
      </c>
      <c r="FE23" t="n">
        <v>1.442456011268123</v>
      </c>
      <c r="FF23" t="n">
        <v>4.918081566569409</v>
      </c>
      <c r="FG23" t="n">
        <v>1.919898365758357</v>
      </c>
      <c r="FH23" t="n">
        <v>2.402272675157244</v>
      </c>
      <c r="FI23" t="n">
        <v>1.133333647961424</v>
      </c>
      <c r="FJ23" t="n">
        <v>2.896713634342536</v>
      </c>
      <c r="FK23" t="n">
        <v>0</v>
      </c>
      <c r="FL23" t="n">
        <v>20.09942219147829</v>
      </c>
      <c r="FM23" t="n">
        <v>0.2326614892408068</v>
      </c>
      <c r="FN23" t="n">
        <v>0.004639392636291387</v>
      </c>
      <c r="FO23" t="n">
        <v>3.089695315417777</v>
      </c>
      <c r="FP23" t="n">
        <v>0.9312698580201592</v>
      </c>
      <c r="FQ23" t="n">
        <v>16.54508150763056</v>
      </c>
      <c r="FR23" t="n">
        <v>5.966735600882185</v>
      </c>
      <c r="FS23" t="n">
        <v>12.11879367556151</v>
      </c>
      <c r="FT23" t="n">
        <v>0.06106553107559671</v>
      </c>
      <c r="FU23" t="n">
        <v>0.0645554898427312</v>
      </c>
      <c r="FV23" t="n">
        <v>0.02800280671035109</v>
      </c>
      <c r="FW23" t="n">
        <v>0.07630476221079993</v>
      </c>
      <c r="FX23" t="n">
        <v>0.01342930865222662</v>
      </c>
      <c r="FY23" t="n">
        <v>0.01820200850845622</v>
      </c>
      <c r="FZ23" t="n">
        <v>0.07156160793060426</v>
      </c>
      <c r="GA23" t="n">
        <v>0.005103404598341938</v>
      </c>
      <c r="GB23" t="n">
        <v>0.0004509537091466544</v>
      </c>
      <c r="GC23" t="n">
        <v>0.06069289187561695</v>
      </c>
      <c r="GD23" t="n">
        <v>0.03932612724392915</v>
      </c>
      <c r="GE23" t="n">
        <v>0.0004524850637560813</v>
      </c>
      <c r="GF23" t="n">
        <v>0.02345656695771728</v>
      </c>
      <c r="GG23" t="n">
        <v>0.04194602285293121</v>
      </c>
      <c r="GH23" t="n">
        <v>0.03888241878078343</v>
      </c>
      <c r="GI23" t="n">
        <v>0.0260567018193145</v>
      </c>
      <c r="GJ23" t="n">
        <v>0.007468194013767744</v>
      </c>
      <c r="GK23" t="n">
        <v>0.1014675627730927</v>
      </c>
      <c r="GL23" t="n">
        <v>0.004304926907587451</v>
      </c>
      <c r="GM23" t="n">
        <v>0.01508417820623006</v>
      </c>
      <c r="GN23" t="n">
        <v>1.622327187346358</v>
      </c>
      <c r="GO23" t="n">
        <v>7.004481694954934</v>
      </c>
      <c r="GP23" t="n">
        <v>0.7105863405516264</v>
      </c>
      <c r="GQ23" t="n">
        <v>0</v>
      </c>
      <c r="GR23" t="n">
        <v>1.340864565047211</v>
      </c>
      <c r="GS23" t="n">
        <v>1.000508607731297</v>
      </c>
      <c r="GT23" t="n">
        <v>5.549438553290672</v>
      </c>
      <c r="GU23" t="n">
        <v>1.87479248572092</v>
      </c>
      <c r="GV23" t="n">
        <v>1.636850893057963</v>
      </c>
      <c r="GW23" t="n">
        <v>5.474233424090856</v>
      </c>
      <c r="GX23" t="n">
        <v>40.54100244487188</v>
      </c>
      <c r="GY23" t="n">
        <v>35.9583611350397</v>
      </c>
      <c r="GZ23" t="n">
        <v>0.7707876419286991</v>
      </c>
      <c r="HA23" t="n">
        <v>20.53507269129513</v>
      </c>
      <c r="HB23" t="n">
        <v>4.666643123299325</v>
      </c>
      <c r="HC23" t="n">
        <v>60.15091600642717</v>
      </c>
    </row>
    <row r="24">
      <c r="A24" s="1" t="inlineStr">
        <is>
          <t>M_dom*Y_dom</t>
        </is>
      </c>
      <c r="B24" t="n">
        <v>0.04180295469041617</v>
      </c>
      <c r="C24" t="n">
        <v>1.78912727634405</v>
      </c>
      <c r="D24" t="n">
        <v>0.07781260297750985</v>
      </c>
      <c r="E24" t="n">
        <v>1.7194277921081</v>
      </c>
      <c r="F24" t="n">
        <v>0.552421026750771</v>
      </c>
      <c r="G24" t="n">
        <v>0</v>
      </c>
      <c r="H24" t="n">
        <v>0.09240551317895337</v>
      </c>
      <c r="I24" t="n">
        <v>0</v>
      </c>
      <c r="J24" t="n">
        <v>0</v>
      </c>
      <c r="K24" t="n">
        <v>0</v>
      </c>
      <c r="L24" t="n">
        <v>2.007985660457154</v>
      </c>
      <c r="M24" t="n">
        <v>2.259565327683309</v>
      </c>
      <c r="N24" t="n">
        <v>0.1858579148509045</v>
      </c>
      <c r="O24" t="n">
        <v>0.4440403738611374</v>
      </c>
      <c r="P24" t="n">
        <v>0</v>
      </c>
      <c r="Q24" t="n">
        <v>0</v>
      </c>
      <c r="R24" t="n">
        <v>0</v>
      </c>
      <c r="S24" t="n">
        <v>0.4527959115294625</v>
      </c>
      <c r="T24" t="n">
        <v>0.2716761536405022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0.6590779623484183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12.27295427858252</v>
      </c>
      <c r="AS24" t="n">
        <v>0.7263398106357086</v>
      </c>
      <c r="AT24" t="n">
        <v>2.144500268560861</v>
      </c>
      <c r="AU24" t="n">
        <v>4.814266466678955</v>
      </c>
      <c r="AV24" t="n">
        <v>0.005253365431556404</v>
      </c>
      <c r="AW24" t="n">
        <v>9.374506799061274</v>
      </c>
      <c r="AX24" t="n">
        <v>0.002380695650300952</v>
      </c>
      <c r="AY24" t="n">
        <v>0.2727338633589997</v>
      </c>
      <c r="AZ24" t="n">
        <v>10.49840936167772</v>
      </c>
      <c r="BA24" t="n">
        <v>2.070231435589231</v>
      </c>
      <c r="BB24" t="n">
        <v>1.19132876997912</v>
      </c>
      <c r="BC24" t="n">
        <v>0.09695667662359118</v>
      </c>
      <c r="BD24" t="n">
        <v>0.1827195018628374</v>
      </c>
      <c r="BE24" t="n">
        <v>0.2298590503208246</v>
      </c>
      <c r="BF24" t="n">
        <v>0.01243314843078597</v>
      </c>
      <c r="BG24" t="n">
        <v>0.08768217855513064</v>
      </c>
      <c r="BH24" t="n">
        <v>0.04615390985089767</v>
      </c>
      <c r="BI24" t="n">
        <v>0</v>
      </c>
      <c r="BJ24" t="n">
        <v>0</v>
      </c>
      <c r="BK24" t="n">
        <v>0.2289821054169733</v>
      </c>
      <c r="BL24" t="n">
        <v>0.5442530016402383</v>
      </c>
      <c r="BM24" t="n">
        <v>0.0001983104705190103</v>
      </c>
      <c r="BN24" t="n">
        <v>0</v>
      </c>
      <c r="BO24" t="n">
        <v>0</v>
      </c>
      <c r="BP24" t="n">
        <v>2.54597379650453</v>
      </c>
      <c r="BQ24" t="n">
        <v>0</v>
      </c>
      <c r="BR24" t="n">
        <v>0</v>
      </c>
      <c r="BS24" t="n">
        <v>0.006634833780200396</v>
      </c>
      <c r="BT24" t="n">
        <v>0</v>
      </c>
      <c r="BU24" t="n">
        <v>1.855393119674785</v>
      </c>
      <c r="BV24" t="n">
        <v>0.0001810490070140175</v>
      </c>
      <c r="BW24" t="n">
        <v>0</v>
      </c>
      <c r="BX24" t="n">
        <v>0.04553782968896233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6.130338300311903</v>
      </c>
      <c r="CJ24" t="n">
        <v>0.420275680021693</v>
      </c>
      <c r="CK24" t="n">
        <v>0.00357776245808173</v>
      </c>
      <c r="CL24" t="n">
        <v>0.02630940991996687</v>
      </c>
      <c r="CM24" t="n">
        <v>2.326314524557675</v>
      </c>
      <c r="CN24" t="n">
        <v>0</v>
      </c>
      <c r="CO24" t="n">
        <v>0</v>
      </c>
      <c r="CP24" t="n">
        <v>0.05205562617168662</v>
      </c>
      <c r="CQ24" t="n">
        <v>0.09774200633116326</v>
      </c>
      <c r="CR24" t="n">
        <v>0</v>
      </c>
      <c r="CS24" t="n">
        <v>0</v>
      </c>
      <c r="CT24" t="n">
        <v>0</v>
      </c>
      <c r="CU24" t="n">
        <v>0.2917006930635531</v>
      </c>
      <c r="CV24" t="n">
        <v>0.003806990378763165</v>
      </c>
      <c r="CW24" t="n">
        <v>0.04757545317193319</v>
      </c>
      <c r="CX24" t="n">
        <v>0.004893345040473492</v>
      </c>
      <c r="CY24" t="n">
        <v>0.4459291596720122</v>
      </c>
      <c r="CZ24" t="n">
        <v>2.8182141035552e-06</v>
      </c>
      <c r="DA24" t="n">
        <v>5.203466335065743e-07</v>
      </c>
      <c r="DB24" t="n">
        <v>0</v>
      </c>
      <c r="DC24" t="n">
        <v>0</v>
      </c>
      <c r="DD24" t="n">
        <v>8.629148338047671e-05</v>
      </c>
      <c r="DE24" t="n">
        <v>3.183923866391946e-05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5.466422148934026e-05</v>
      </c>
      <c r="DM24" t="n">
        <v>0.3245376015166488</v>
      </c>
      <c r="DN24" t="n">
        <v>0.02235093601782034</v>
      </c>
      <c r="DO24" t="n">
        <v>0</v>
      </c>
      <c r="DP24" t="n">
        <v>0.1586811276340147</v>
      </c>
      <c r="DQ24" t="n">
        <v>0.1689524381308523</v>
      </c>
      <c r="DR24" t="n">
        <v>0.3045524330127302</v>
      </c>
      <c r="DS24" t="n">
        <v>2.099247733561246</v>
      </c>
      <c r="DT24" t="n">
        <v>0.07868584156156271</v>
      </c>
      <c r="DU24" t="n">
        <v>0.8625140324527681</v>
      </c>
      <c r="DV24" t="n">
        <v>0</v>
      </c>
      <c r="DW24" t="n">
        <v>0</v>
      </c>
      <c r="DX24" t="n">
        <v>1.771748022660754</v>
      </c>
      <c r="DY24" t="n">
        <v>0.8773694329316959</v>
      </c>
      <c r="DZ24" t="n">
        <v>1.647487213886079</v>
      </c>
      <c r="EA24" t="n">
        <v>0.1943440065732052</v>
      </c>
      <c r="EB24" t="n">
        <v>0.08278722210277357</v>
      </c>
      <c r="EC24" t="n">
        <v>0.08354445039442408</v>
      </c>
      <c r="ED24" t="n">
        <v>0.05464896570598829</v>
      </c>
      <c r="EE24" t="n">
        <v>0.005943628618462481</v>
      </c>
      <c r="EF24" t="n">
        <v>0</v>
      </c>
      <c r="EG24" t="n">
        <v>0.002131726516032933</v>
      </c>
      <c r="EH24" t="n">
        <v>0</v>
      </c>
      <c r="EI24" t="n">
        <v>0</v>
      </c>
      <c r="EJ24" t="n">
        <v>0.1236316330292903</v>
      </c>
      <c r="EK24" t="n">
        <v>0.4648621911150055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2.908383173838656</v>
      </c>
      <c r="ER24" t="n">
        <v>6.844325642769846</v>
      </c>
      <c r="ES24" t="n">
        <v>0.5525019544167027</v>
      </c>
      <c r="ET24" t="n">
        <v>0.9534880818309502</v>
      </c>
      <c r="EU24" t="n">
        <v>0</v>
      </c>
      <c r="EV24" t="n">
        <v>0.9584085515613818</v>
      </c>
      <c r="EW24" t="n">
        <v>0.03604857399871624</v>
      </c>
      <c r="EX24" t="n">
        <v>0.5574079207548572</v>
      </c>
      <c r="EY24" t="n">
        <v>0.2974921856061611</v>
      </c>
      <c r="EZ24" t="n">
        <v>6.960992445584138</v>
      </c>
      <c r="FA24" t="n">
        <v>1.514363155843714</v>
      </c>
      <c r="FB24" t="n">
        <v>14.09029982306366</v>
      </c>
      <c r="FC24" t="n">
        <v>0.03181480968495101</v>
      </c>
      <c r="FD24" t="n">
        <v>0.8961848235218347</v>
      </c>
      <c r="FE24" t="n">
        <v>4.980326977455101</v>
      </c>
      <c r="FF24" t="n">
        <v>12.69235975055392</v>
      </c>
      <c r="FG24" t="n">
        <v>3.682067145935547</v>
      </c>
      <c r="FH24" t="n">
        <v>1.895308994559213</v>
      </c>
      <c r="FI24" t="n">
        <v>1.042805696771552</v>
      </c>
      <c r="FJ24" t="n">
        <v>2.070609681652428</v>
      </c>
      <c r="FK24" t="n">
        <v>0</v>
      </c>
      <c r="FL24" t="n">
        <v>17.91346037595085</v>
      </c>
      <c r="FM24" t="n">
        <v>0.2309784598699515</v>
      </c>
      <c r="FN24" t="n">
        <v>0.003863090745225217</v>
      </c>
      <c r="FO24" t="n">
        <v>1.557732675215234</v>
      </c>
      <c r="FP24" t="n">
        <v>0.8763777299755502</v>
      </c>
      <c r="FQ24" t="n">
        <v>14.76198189049822</v>
      </c>
      <c r="FR24" t="n">
        <v>6.791804181243561</v>
      </c>
      <c r="FS24" t="n">
        <v>9.738033279749832</v>
      </c>
      <c r="FT24" t="n">
        <v>0.1274022607208542</v>
      </c>
      <c r="FU24" t="n">
        <v>0.1332351197049137</v>
      </c>
      <c r="FV24" t="n">
        <v>0.0533230158584232</v>
      </c>
      <c r="FW24" t="n">
        <v>0.1633999103485196</v>
      </c>
      <c r="FX24" t="n">
        <v>0.03024540673877485</v>
      </c>
      <c r="FY24" t="n">
        <v>0.03672049318756297</v>
      </c>
      <c r="FZ24" t="n">
        <v>0.1508326134204484</v>
      </c>
      <c r="GA24" t="n">
        <v>0.01058669217773</v>
      </c>
      <c r="GB24" t="n">
        <v>0.0007317175649727332</v>
      </c>
      <c r="GC24" t="n">
        <v>0.120322753089995</v>
      </c>
      <c r="GD24" t="n">
        <v>0.5004948905246189</v>
      </c>
      <c r="GE24" t="n">
        <v>0.0001433459096748668</v>
      </c>
      <c r="GF24" t="n">
        <v>0.355436405652614</v>
      </c>
      <c r="GG24" t="n">
        <v>0.6811514145461057</v>
      </c>
      <c r="GH24" t="n">
        <v>3.53491191588056</v>
      </c>
      <c r="GI24" t="n">
        <v>1.24315890391899</v>
      </c>
      <c r="GJ24" t="n">
        <v>0.07440380018289756</v>
      </c>
      <c r="GK24" t="n">
        <v>0.2181038606337502</v>
      </c>
      <c r="GL24" t="n">
        <v>0.07067076737660895</v>
      </c>
      <c r="GM24" t="n">
        <v>0.2176686076725549</v>
      </c>
      <c r="GN24" t="n">
        <v>1.563667094652111</v>
      </c>
      <c r="GO24" t="n">
        <v>7.474650735884255</v>
      </c>
      <c r="GP24" t="n">
        <v>0.2125540053223776</v>
      </c>
      <c r="GQ24" t="n">
        <v>0</v>
      </c>
      <c r="GR24" t="n">
        <v>1.724681157539656</v>
      </c>
      <c r="GS24" t="n">
        <v>12.27295427858252</v>
      </c>
      <c r="GT24" t="n">
        <v>11.95265753401599</v>
      </c>
      <c r="GU24" t="n">
        <v>9.832040867552681</v>
      </c>
      <c r="GV24" t="n">
        <v>9.818547172922411</v>
      </c>
      <c r="GW24" t="n">
        <v>14.8186702974991</v>
      </c>
      <c r="GX24" t="n">
        <v>45.14713504788303</v>
      </c>
      <c r="GY24" t="n">
        <v>52.55132979903411</v>
      </c>
      <c r="GZ24" t="n">
        <v>0.425011700614448</v>
      </c>
      <c r="HA24" t="n">
        <v>24.52184677404154</v>
      </c>
      <c r="HB24" t="n">
        <v>6.960992445584138</v>
      </c>
      <c r="HC24" t="n">
        <v>62.02723774352344</v>
      </c>
    </row>
    <row r="25">
      <c r="A25" s="1" t="inlineStr">
        <is>
          <t>M_imp*Y_dom+M_dom*Y_dom</t>
        </is>
      </c>
      <c r="B25" t="n">
        <v>0.05115923067996165</v>
      </c>
      <c r="C25" t="n">
        <v>2.210557203635807</v>
      </c>
      <c r="D25" t="n">
        <v>0.09276158869065079</v>
      </c>
      <c r="E25" t="n">
        <v>3.057848872165299</v>
      </c>
      <c r="F25" t="n">
        <v>0.6333067917140457</v>
      </c>
      <c r="G25" t="n">
        <v>0</v>
      </c>
      <c r="H25" t="n">
        <v>0.1140334883887203</v>
      </c>
      <c r="I25" t="n">
        <v>0</v>
      </c>
      <c r="J25" t="n">
        <v>0</v>
      </c>
      <c r="K25" t="n">
        <v>0</v>
      </c>
      <c r="L25" t="n">
        <v>2.590210558836382</v>
      </c>
      <c r="M25" t="n">
        <v>2.573851530450834</v>
      </c>
      <c r="N25" t="n">
        <v>0.2156061401853898</v>
      </c>
      <c r="O25" t="n">
        <v>0.4773483045918593</v>
      </c>
      <c r="P25" t="n">
        <v>0</v>
      </c>
      <c r="Q25" t="n">
        <v>0</v>
      </c>
      <c r="R25" t="n">
        <v>0</v>
      </c>
      <c r="S25" t="n">
        <v>0.6155015703392208</v>
      </c>
      <c r="T25" t="n">
        <v>0.5131774516996959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0.7326105644733708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13.27346288631382</v>
      </c>
      <c r="AS25" t="n">
        <v>0.9714781724691937</v>
      </c>
      <c r="AT25" t="n">
        <v>3.363522458041685</v>
      </c>
      <c r="AU25" t="n">
        <v>8.003033367508566</v>
      </c>
      <c r="AV25" t="n">
        <v>0.007696850421569052</v>
      </c>
      <c r="AW25" t="n">
        <v>10.97804976138852</v>
      </c>
      <c r="AX25" t="n">
        <v>0.003443721025480843</v>
      </c>
      <c r="AY25" t="n">
        <v>0.3239285577046949</v>
      </c>
      <c r="AZ25" t="n">
        <v>14.15750594032612</v>
      </c>
      <c r="BA25" t="n">
        <v>3.177925231987782</v>
      </c>
      <c r="BB25" t="n">
        <v>1.628523734805072</v>
      </c>
      <c r="BC25" t="n">
        <v>0.2030770249580797</v>
      </c>
      <c r="BD25" t="n">
        <v>0.5458537410639521</v>
      </c>
      <c r="BE25" t="n">
        <v>0.6178771211093124</v>
      </c>
      <c r="BF25" t="n">
        <v>0.0320684803698825</v>
      </c>
      <c r="BG25" t="n">
        <v>0.1785513299800087</v>
      </c>
      <c r="BH25" t="n">
        <v>0.1002815653330924</v>
      </c>
      <c r="BI25" t="n">
        <v>0</v>
      </c>
      <c r="BJ25" t="n">
        <v>0</v>
      </c>
      <c r="BK25" t="n">
        <v>0.5425807778393051</v>
      </c>
      <c r="BL25" t="n">
        <v>1.046733607035199</v>
      </c>
      <c r="BM25" t="n">
        <v>0.0002192786825020812</v>
      </c>
      <c r="BN25" t="n">
        <v>0</v>
      </c>
      <c r="BO25" t="n">
        <v>0</v>
      </c>
      <c r="BP25" t="n">
        <v>8.744681283922311</v>
      </c>
      <c r="BQ25" t="n">
        <v>0</v>
      </c>
      <c r="BR25" t="n">
        <v>0</v>
      </c>
      <c r="BS25" t="n">
        <v>0.02144185834239175</v>
      </c>
      <c r="BT25" t="n">
        <v>0</v>
      </c>
      <c r="BU25" t="n">
        <v>6.259946296110975</v>
      </c>
      <c r="BV25" t="n">
        <v>0.0006192167425357587</v>
      </c>
      <c r="BW25" t="n">
        <v>0</v>
      </c>
      <c r="BX25" t="n">
        <v>0.1502538733749889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14.06460488942123</v>
      </c>
      <c r="CJ25" t="n">
        <v>0.7189272523983007</v>
      </c>
      <c r="CK25" t="n">
        <v>0.004963807495146843</v>
      </c>
      <c r="CL25" t="n">
        <v>0.03215126359392376</v>
      </c>
      <c r="CM25" t="n">
        <v>4.129051933289241</v>
      </c>
      <c r="CN25" t="n">
        <v>0</v>
      </c>
      <c r="CO25" t="n">
        <v>0</v>
      </c>
      <c r="CP25" t="n">
        <v>0.08034271520543598</v>
      </c>
      <c r="CQ25" t="n">
        <v>0.1309376344989265</v>
      </c>
      <c r="CR25" t="n">
        <v>0</v>
      </c>
      <c r="CS25" t="n">
        <v>0</v>
      </c>
      <c r="CT25" t="n">
        <v>0</v>
      </c>
      <c r="CU25" t="n">
        <v>0.4053094156278101</v>
      </c>
      <c r="CV25" t="n">
        <v>0.004985173042233191</v>
      </c>
      <c r="CW25" t="n">
        <v>0.05615519954552523</v>
      </c>
      <c r="CX25" t="n">
        <v>0.006419285184128323</v>
      </c>
      <c r="CY25" t="n">
        <v>0.5908718585767643</v>
      </c>
      <c r="CZ25" t="n">
        <v>3.756275471373866e-06</v>
      </c>
      <c r="DA25" t="n">
        <v>8.198431850627321e-07</v>
      </c>
      <c r="DB25" t="n">
        <v>0</v>
      </c>
      <c r="DC25" t="n">
        <v>0</v>
      </c>
      <c r="DD25" t="n">
        <v>0.0001955993275893999</v>
      </c>
      <c r="DE25" t="n">
        <v>9.747014724880018e-05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8.473738870191629e-05</v>
      </c>
      <c r="DM25" t="n">
        <v>1.046618785401597</v>
      </c>
      <c r="DN25" t="n">
        <v>0.07175842521472822</v>
      </c>
      <c r="DO25" t="n">
        <v>0</v>
      </c>
      <c r="DP25" t="n">
        <v>0.4433573255854906</v>
      </c>
      <c r="DQ25" t="n">
        <v>0.4261517506503394</v>
      </c>
      <c r="DR25" t="n">
        <v>0.6304483711125208</v>
      </c>
      <c r="DS25" t="n">
        <v>6.969422733305871</v>
      </c>
      <c r="DT25" t="n">
        <v>0.3180850875834765</v>
      </c>
      <c r="DU25" t="n">
        <v>1.913176613356256</v>
      </c>
      <c r="DV25" t="n">
        <v>0</v>
      </c>
      <c r="DW25" t="n">
        <v>0</v>
      </c>
      <c r="DX25" t="n">
        <v>2.189622218001304</v>
      </c>
      <c r="DY25" t="n">
        <v>0.9581233424397813</v>
      </c>
      <c r="DZ25" t="n">
        <v>2.948568907639979</v>
      </c>
      <c r="EA25" t="n">
        <v>0.3816444322210997</v>
      </c>
      <c r="EB25" t="n">
        <v>0.1201968291100401</v>
      </c>
      <c r="EC25" t="n">
        <v>0.1146448154440809</v>
      </c>
      <c r="ED25" t="n">
        <v>0.08060208523477819</v>
      </c>
      <c r="EE25" t="n">
        <v>0.00900527475933229</v>
      </c>
      <c r="EF25" t="n">
        <v>0</v>
      </c>
      <c r="EG25" t="n">
        <v>0.004344105398518873</v>
      </c>
      <c r="EH25" t="n">
        <v>0</v>
      </c>
      <c r="EI25" t="n">
        <v>0</v>
      </c>
      <c r="EJ25" t="n">
        <v>0.2506983914316687</v>
      </c>
      <c r="EK25" t="n">
        <v>0.9232468165773128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4.197635581289595</v>
      </c>
      <c r="ER25" t="n">
        <v>8.059770931347794</v>
      </c>
      <c r="ES25" t="n">
        <v>1.051631041908605</v>
      </c>
      <c r="ET25" t="n">
        <v>2.11337476392982</v>
      </c>
      <c r="EU25" t="n">
        <v>0</v>
      </c>
      <c r="EV25" t="n">
        <v>2.248796769134072</v>
      </c>
      <c r="EW25" t="n">
        <v>0.1577063358685092</v>
      </c>
      <c r="EX25" t="n">
        <v>1.110052835262589</v>
      </c>
      <c r="EY25" t="n">
        <v>0.7082838753964722</v>
      </c>
      <c r="EZ25" t="n">
        <v>11.62763556888346</v>
      </c>
      <c r="FA25" t="n">
        <v>4.316175629741008</v>
      </c>
      <c r="FB25" t="n">
        <v>18.42531472686358</v>
      </c>
      <c r="FC25" t="n">
        <v>1.004524077581411</v>
      </c>
      <c r="FD25" t="n">
        <v>3.187979274675137</v>
      </c>
      <c r="FE25" t="n">
        <v>6.422782988723224</v>
      </c>
      <c r="FF25" t="n">
        <v>17.61044131712332</v>
      </c>
      <c r="FG25" t="n">
        <v>5.601965511693904</v>
      </c>
      <c r="FH25" t="n">
        <v>4.297581669716457</v>
      </c>
      <c r="FI25" t="n">
        <v>2.176139344732976</v>
      </c>
      <c r="FJ25" t="n">
        <v>4.967323315994964</v>
      </c>
      <c r="FK25" t="n">
        <v>0</v>
      </c>
      <c r="FL25" t="n">
        <v>38.01288256742914</v>
      </c>
      <c r="FM25" t="n">
        <v>0.4636399491107583</v>
      </c>
      <c r="FN25" t="n">
        <v>0.008502483381516605</v>
      </c>
      <c r="FO25" t="n">
        <v>4.647427990633011</v>
      </c>
      <c r="FP25" t="n">
        <v>1.807647587995709</v>
      </c>
      <c r="FQ25" t="n">
        <v>31.30706339812877</v>
      </c>
      <c r="FR25" t="n">
        <v>12.75853978212575</v>
      </c>
      <c r="FS25" t="n">
        <v>21.85682695531134</v>
      </c>
      <c r="FT25" t="n">
        <v>0.1884677917964509</v>
      </c>
      <c r="FU25" t="n">
        <v>0.1977906095476449</v>
      </c>
      <c r="FV25" t="n">
        <v>0.0813258225687743</v>
      </c>
      <c r="FW25" t="n">
        <v>0.2397046725593196</v>
      </c>
      <c r="FX25" t="n">
        <v>0.04367471539100147</v>
      </c>
      <c r="FY25" t="n">
        <v>0.05492250169601919</v>
      </c>
      <c r="FZ25" t="n">
        <v>0.2223942213510526</v>
      </c>
      <c r="GA25" t="n">
        <v>0.01569009677607194</v>
      </c>
      <c r="GB25" t="n">
        <v>0.001182671274119388</v>
      </c>
      <c r="GC25" t="n">
        <v>0.181015644965612</v>
      </c>
      <c r="GD25" t="n">
        <v>0.5398210177685481</v>
      </c>
      <c r="GE25" t="n">
        <v>0.0005958309734309481</v>
      </c>
      <c r="GF25" t="n">
        <v>0.3788929726103313</v>
      </c>
      <c r="GG25" t="n">
        <v>0.723097437399037</v>
      </c>
      <c r="GH25" t="n">
        <v>3.573794334661343</v>
      </c>
      <c r="GI25" t="n">
        <v>1.269215605738304</v>
      </c>
      <c r="GJ25" t="n">
        <v>0.08187199419666531</v>
      </c>
      <c r="GK25" t="n">
        <v>0.3195714234068429</v>
      </c>
      <c r="GL25" t="n">
        <v>0.0749756942841964</v>
      </c>
      <c r="GM25" t="n">
        <v>0.232752785878785</v>
      </c>
      <c r="GN25" t="n">
        <v>3.185994281998469</v>
      </c>
      <c r="GO25" t="n">
        <v>14.47913243083919</v>
      </c>
      <c r="GP25" t="n">
        <v>0.923140345874004</v>
      </c>
      <c r="GQ25" t="n">
        <v>0</v>
      </c>
      <c r="GR25" t="n">
        <v>3.065545722586867</v>
      </c>
      <c r="GS25" t="n">
        <v>13.27346288631382</v>
      </c>
      <c r="GT25" t="n">
        <v>17.50209608730666</v>
      </c>
      <c r="GU25" t="n">
        <v>11.7068333532736</v>
      </c>
      <c r="GV25" t="n">
        <v>11.45539806598037</v>
      </c>
      <c r="GW25" t="n">
        <v>20.29290372158996</v>
      </c>
      <c r="GX25" t="n">
        <v>85.68813749275492</v>
      </c>
      <c r="GY25" t="n">
        <v>88.5096909340738</v>
      </c>
      <c r="GZ25" t="n">
        <v>1.195799342543147</v>
      </c>
      <c r="HA25" t="n">
        <v>45.05691946533666</v>
      </c>
      <c r="HB25" t="n">
        <v>11.62763556888346</v>
      </c>
      <c r="HC25" t="n">
        <v>122.1781537499506</v>
      </c>
    </row>
    <row r="26">
      <c r="A26" s="1" t="inlineStr">
        <is>
          <t>M_row*Y_imp</t>
        </is>
      </c>
      <c r="B26" t="n">
        <v>0.04723148333694759</v>
      </c>
      <c r="C26" t="n">
        <v>0.7125678928344287</v>
      </c>
      <c r="D26" t="n">
        <v>0.007339985367158589</v>
      </c>
      <c r="E26" t="n">
        <v>0.06450881760234543</v>
      </c>
      <c r="F26" t="n">
        <v>0.9936413865462287</v>
      </c>
      <c r="G26" t="n">
        <v>0</v>
      </c>
      <c r="H26" t="n">
        <v>0</v>
      </c>
      <c r="I26" t="n">
        <v>0.01742910796887515</v>
      </c>
      <c r="J26" t="n">
        <v>0</v>
      </c>
      <c r="K26" t="n">
        <v>0</v>
      </c>
      <c r="L26" t="n">
        <v>0.01860384876919531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0.5009619572586175</v>
      </c>
      <c r="T26" t="n">
        <v>2.323002607897246</v>
      </c>
      <c r="U26" t="n">
        <v>0.0176654484336292</v>
      </c>
      <c r="V26" t="n">
        <v>0</v>
      </c>
      <c r="W26" t="n">
        <v>0.01046372825570561</v>
      </c>
      <c r="X26" t="n">
        <v>0</v>
      </c>
      <c r="Y26" t="n">
        <v>0.0003772012534470059</v>
      </c>
      <c r="Z26" t="n">
        <v>0</v>
      </c>
      <c r="AA26" t="n">
        <v>0</v>
      </c>
      <c r="AB26" t="n">
        <v>0</v>
      </c>
      <c r="AC26" t="n">
        <v>0</v>
      </c>
      <c r="AD26" t="n">
        <v>0.2700090335797586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1.854281068557346</v>
      </c>
      <c r="AS26" t="n">
        <v>1.736422512209504</v>
      </c>
      <c r="AT26" t="n">
        <v>1.760129869526217</v>
      </c>
      <c r="AU26" t="n">
        <v>1.383233830035823</v>
      </c>
      <c r="AV26" t="n">
        <v>0.1500556865515896</v>
      </c>
      <c r="AW26" t="n">
        <v>2.566424353178681</v>
      </c>
      <c r="AX26" t="n">
        <v>0.08282255221511875</v>
      </c>
      <c r="AY26" t="n">
        <v>0</v>
      </c>
      <c r="AZ26" t="n">
        <v>0</v>
      </c>
      <c r="BA26" t="n">
        <v>0.4718704858493591</v>
      </c>
      <c r="BB26" t="n">
        <v>0</v>
      </c>
      <c r="BC26" t="n">
        <v>0</v>
      </c>
      <c r="BD26" t="n">
        <v>0</v>
      </c>
      <c r="BE26" t="n">
        <v>6.285444830229554</v>
      </c>
      <c r="BF26" t="n">
        <v>1.388204673696742</v>
      </c>
      <c r="BG26" t="n">
        <v>2.409561611839781</v>
      </c>
      <c r="BH26" t="n">
        <v>0.0409541753072681</v>
      </c>
      <c r="BI26" t="n">
        <v>0</v>
      </c>
      <c r="BJ26" t="n">
        <v>0</v>
      </c>
      <c r="BK26" t="n">
        <v>0.7047730184225146</v>
      </c>
      <c r="BL26" t="n">
        <v>0.3907066865663781</v>
      </c>
      <c r="BM26" t="n">
        <v>0.0003974186773532272</v>
      </c>
      <c r="BN26" t="n">
        <v>0</v>
      </c>
      <c r="BO26" t="n">
        <v>0</v>
      </c>
      <c r="BP26" t="n">
        <v>0.2115433209016198</v>
      </c>
      <c r="BQ26" t="n">
        <v>0</v>
      </c>
      <c r="BR26" t="n">
        <v>0</v>
      </c>
      <c r="BS26" t="n">
        <v>0.0299041676379898</v>
      </c>
      <c r="BT26" t="n">
        <v>0</v>
      </c>
      <c r="BU26" t="n">
        <v>5.792595054811239</v>
      </c>
      <c r="BV26" t="n">
        <v>0.0003834900530360562</v>
      </c>
      <c r="BW26" t="n">
        <v>0</v>
      </c>
      <c r="BX26" t="n">
        <v>0.2282764514080156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1.594988401708585</v>
      </c>
      <c r="CJ26" t="n">
        <v>0.1983975656593984</v>
      </c>
      <c r="CK26" t="n">
        <v>0</v>
      </c>
      <c r="CL26" t="n">
        <v>0.01073263852834226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0.4527547465720779</v>
      </c>
      <c r="CV26" t="n">
        <v>0.0005015417093752983</v>
      </c>
      <c r="CW26" t="n">
        <v>9.864300815929608e-05</v>
      </c>
      <c r="CX26" t="n">
        <v>3.92016416918698e-05</v>
      </c>
      <c r="CY26" t="n">
        <v>0.142835751929032</v>
      </c>
      <c r="CZ26" t="n">
        <v>0</v>
      </c>
      <c r="DA26" t="n">
        <v>3.330800040011741e-07</v>
      </c>
      <c r="DB26" t="n">
        <v>0.004669233028831665</v>
      </c>
      <c r="DC26" t="n">
        <v>1.081732196428425e-07</v>
      </c>
      <c r="DD26" t="n">
        <v>0.001111413507729505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0.007140530547969787</v>
      </c>
      <c r="DK26" t="n">
        <v>6.929821042921205e-05</v>
      </c>
      <c r="DL26" t="n">
        <v>0</v>
      </c>
      <c r="DM26" t="n">
        <v>0.5139116213485058</v>
      </c>
      <c r="DN26" t="n">
        <v>0.3205121715044338</v>
      </c>
      <c r="DO26" t="n">
        <v>0</v>
      </c>
      <c r="DP26" t="n">
        <v>11.50711338586251</v>
      </c>
      <c r="DQ26" t="n">
        <v>13.67731663096633</v>
      </c>
      <c r="DR26" t="n">
        <v>2.259522294686453</v>
      </c>
      <c r="DS26" t="n">
        <v>9.872204775595149</v>
      </c>
      <c r="DT26" t="n">
        <v>7.884677703906704</v>
      </c>
      <c r="DU26" t="n">
        <v>2.50345653804839</v>
      </c>
      <c r="DV26" t="n">
        <v>0</v>
      </c>
      <c r="DW26" t="n">
        <v>0</v>
      </c>
      <c r="DX26" t="n">
        <v>0.008408727387003266</v>
      </c>
      <c r="DY26" t="n">
        <v>0</v>
      </c>
      <c r="DZ26" t="n">
        <v>0.005357611301163027</v>
      </c>
      <c r="EA26" t="n">
        <v>0.0625600339907708</v>
      </c>
      <c r="EB26" t="n">
        <v>0.04033119188295607</v>
      </c>
      <c r="EC26" t="n">
        <v>0.00237166721570168</v>
      </c>
      <c r="ED26" t="n">
        <v>0.005507974380184896</v>
      </c>
      <c r="EE26" t="n">
        <v>0.004097131524083251</v>
      </c>
      <c r="EF26" t="n">
        <v>0</v>
      </c>
      <c r="EG26" t="n">
        <v>5.278956524408723e-06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0.03436264952870197</v>
      </c>
      <c r="EY26" t="n">
        <v>0</v>
      </c>
      <c r="EZ26" t="n">
        <v>0</v>
      </c>
      <c r="FA26" t="n">
        <v>0.8092148723819189</v>
      </c>
      <c r="FB26" t="n">
        <v>1.563801471816989</v>
      </c>
      <c r="FC26" t="n">
        <v>0.0004093586250561911</v>
      </c>
      <c r="FD26" t="n">
        <v>1.953650155781084</v>
      </c>
      <c r="FE26" t="n">
        <v>0.08793693680567662</v>
      </c>
      <c r="FF26" t="n">
        <v>0.1586670332660467</v>
      </c>
      <c r="FG26" t="n">
        <v>2.460824833579501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0.2712387272544944</v>
      </c>
      <c r="FT26" t="n">
        <v>0.002879132667180641</v>
      </c>
      <c r="FU26" t="n">
        <v>0</v>
      </c>
      <c r="FV26" t="n">
        <v>0.0002841753978218902</v>
      </c>
      <c r="FW26" t="n">
        <v>0</v>
      </c>
      <c r="FX26" t="n">
        <v>0.00139238708414007</v>
      </c>
      <c r="FY26" t="n">
        <v>0.0008238437018239362</v>
      </c>
      <c r="FZ26" t="n">
        <v>0.002840570614740686</v>
      </c>
      <c r="GA26" t="n">
        <v>0.0003673283265878082</v>
      </c>
      <c r="GB26" t="n">
        <v>1.12021827137687e-05</v>
      </c>
      <c r="GC26" t="n">
        <v>0.006476455795529161</v>
      </c>
      <c r="GD26" t="n">
        <v>0.002738229476747691</v>
      </c>
      <c r="GE26" t="n">
        <v>0</v>
      </c>
      <c r="GF26" t="n">
        <v>0.02664228633278772</v>
      </c>
      <c r="GG26" t="n">
        <v>0.02587388201381947</v>
      </c>
      <c r="GH26" t="n">
        <v>0.003277276714336472</v>
      </c>
      <c r="GI26" t="n">
        <v>0.00284275658307613</v>
      </c>
      <c r="GJ26" t="n">
        <v>0.0008199167962876949</v>
      </c>
      <c r="GK26" t="n">
        <v>0</v>
      </c>
      <c r="GL26" t="n">
        <v>0.0002033475584749473</v>
      </c>
      <c r="GM26" t="n">
        <v>0.001309183504167663</v>
      </c>
      <c r="GN26" t="n">
        <v>0</v>
      </c>
      <c r="GO26" t="n">
        <v>0.7257243781495696</v>
      </c>
      <c r="GP26" t="n">
        <v>0.356574360834873</v>
      </c>
      <c r="GQ26" t="n">
        <v>0</v>
      </c>
      <c r="GR26" t="n">
        <v>0.214564504153935</v>
      </c>
      <c r="GS26" t="n">
        <v>1.854281068557346</v>
      </c>
      <c r="GT26" t="n">
        <v>4.89839006054074</v>
      </c>
      <c r="GU26" t="n">
        <v>4.889426961075926</v>
      </c>
      <c r="GV26" t="n">
        <v>2.566424353178681</v>
      </c>
      <c r="GW26" t="n">
        <v>1.612995015916529</v>
      </c>
      <c r="GX26" t="n">
        <v>12.66931430114323</v>
      </c>
      <c r="GY26" t="n">
        <v>28.72230182830627</v>
      </c>
      <c r="GZ26" t="n">
        <v>7.673649503926296</v>
      </c>
      <c r="HA26" t="n">
        <v>37.48282021259514</v>
      </c>
      <c r="HB26" t="n">
        <v>0</v>
      </c>
      <c r="HC26" t="n">
        <v>3.927506924097375</v>
      </c>
    </row>
    <row r="27">
      <c r="A27" s="1" t="inlineStr">
        <is>
          <t>M_imp*Y_dom+M_dom*Y_dom+M_row*Y_imp</t>
        </is>
      </c>
      <c r="B27" t="n">
        <v>0.09839071401690924</v>
      </c>
      <c r="C27" t="n">
        <v>2.923125096470235</v>
      </c>
      <c r="D27" t="n">
        <v>0.1001015740578094</v>
      </c>
      <c r="E27" t="n">
        <v>3.122357689767644</v>
      </c>
      <c r="F27" t="n">
        <v>1.626948178260274</v>
      </c>
      <c r="G27" t="n">
        <v>0</v>
      </c>
      <c r="H27" t="n">
        <v>0.1140334883887203</v>
      </c>
      <c r="I27" t="n">
        <v>0.01742910796887515</v>
      </c>
      <c r="J27" t="n">
        <v>0</v>
      </c>
      <c r="K27" t="n">
        <v>0</v>
      </c>
      <c r="L27" t="n">
        <v>2.608814407605577</v>
      </c>
      <c r="M27" t="n">
        <v>2.573851530450834</v>
      </c>
      <c r="N27" t="n">
        <v>0.2156061401853898</v>
      </c>
      <c r="O27" t="n">
        <v>0.4773483045918593</v>
      </c>
      <c r="P27" t="n">
        <v>0</v>
      </c>
      <c r="Q27" t="n">
        <v>0</v>
      </c>
      <c r="R27" t="n">
        <v>0</v>
      </c>
      <c r="S27" t="n">
        <v>1.116463527597838</v>
      </c>
      <c r="T27" t="n">
        <v>2.836180059596941</v>
      </c>
      <c r="U27" t="n">
        <v>0.0176654484336292</v>
      </c>
      <c r="V27" t="n">
        <v>0</v>
      </c>
      <c r="W27" t="n">
        <v>0.01046372825570561</v>
      </c>
      <c r="X27" t="n">
        <v>0</v>
      </c>
      <c r="Y27" t="n">
        <v>0.0003772012534470059</v>
      </c>
      <c r="Z27" t="n">
        <v>0</v>
      </c>
      <c r="AA27" t="n">
        <v>0</v>
      </c>
      <c r="AB27" t="n">
        <v>0</v>
      </c>
      <c r="AC27" t="n">
        <v>0</v>
      </c>
      <c r="AD27" t="n">
        <v>1.002619598053129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15.12774395487116</v>
      </c>
      <c r="AS27" t="n">
        <v>2.707900684678698</v>
      </c>
      <c r="AT27" t="n">
        <v>5.123652327567902</v>
      </c>
      <c r="AU27" t="n">
        <v>9.38626719754439</v>
      </c>
      <c r="AV27" t="n">
        <v>0.1577525369731587</v>
      </c>
      <c r="AW27" t="n">
        <v>13.5444741145672</v>
      </c>
      <c r="AX27" t="n">
        <v>0.08626627324059959</v>
      </c>
      <c r="AY27" t="n">
        <v>0.3239285577046949</v>
      </c>
      <c r="AZ27" t="n">
        <v>14.15750594032612</v>
      </c>
      <c r="BA27" t="n">
        <v>3.649795717837141</v>
      </c>
      <c r="BB27" t="n">
        <v>1.628523734805072</v>
      </c>
      <c r="BC27" t="n">
        <v>0.2030770249580797</v>
      </c>
      <c r="BD27" t="n">
        <v>0.5458537410639521</v>
      </c>
      <c r="BE27" t="n">
        <v>6.903321951338867</v>
      </c>
      <c r="BF27" t="n">
        <v>1.420273154066625</v>
      </c>
      <c r="BG27" t="n">
        <v>2.588112941819789</v>
      </c>
      <c r="BH27" t="n">
        <v>0.1412357406403605</v>
      </c>
      <c r="BI27" t="n">
        <v>0</v>
      </c>
      <c r="BJ27" t="n">
        <v>0</v>
      </c>
      <c r="BK27" t="n">
        <v>1.24735379626182</v>
      </c>
      <c r="BL27" t="n">
        <v>1.437440293601577</v>
      </c>
      <c r="BM27" t="n">
        <v>0.0006166973598553085</v>
      </c>
      <c r="BN27" t="n">
        <v>0</v>
      </c>
      <c r="BO27" t="n">
        <v>0</v>
      </c>
      <c r="BP27" t="n">
        <v>8.95622460482393</v>
      </c>
      <c r="BQ27" t="n">
        <v>0</v>
      </c>
      <c r="BR27" t="n">
        <v>0</v>
      </c>
      <c r="BS27" t="n">
        <v>0.05134602598038156</v>
      </c>
      <c r="BT27" t="n">
        <v>0</v>
      </c>
      <c r="BU27" t="n">
        <v>12.05254135092222</v>
      </c>
      <c r="BV27" t="n">
        <v>0.001002706795571815</v>
      </c>
      <c r="BW27" t="n">
        <v>0</v>
      </c>
      <c r="BX27" t="n">
        <v>0.3785303247830045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15.65959329112982</v>
      </c>
      <c r="CJ27" t="n">
        <v>0.9173248180576992</v>
      </c>
      <c r="CK27" t="n">
        <v>0.004963807495146843</v>
      </c>
      <c r="CL27" t="n">
        <v>0.04288390212226602</v>
      </c>
      <c r="CM27" t="n">
        <v>4.129051933289241</v>
      </c>
      <c r="CN27" t="n">
        <v>0</v>
      </c>
      <c r="CO27" t="n">
        <v>0</v>
      </c>
      <c r="CP27" t="n">
        <v>0.08034271520543598</v>
      </c>
      <c r="CQ27" t="n">
        <v>0.1309376344989265</v>
      </c>
      <c r="CR27" t="n">
        <v>0</v>
      </c>
      <c r="CS27" t="n">
        <v>0</v>
      </c>
      <c r="CT27" t="n">
        <v>0</v>
      </c>
      <c r="CU27" t="n">
        <v>0.8580641621998881</v>
      </c>
      <c r="CV27" t="n">
        <v>0.005486714751608489</v>
      </c>
      <c r="CW27" t="n">
        <v>0.05625384255368452</v>
      </c>
      <c r="CX27" t="n">
        <v>0.006458486825820193</v>
      </c>
      <c r="CY27" t="n">
        <v>0.7337076105057962</v>
      </c>
      <c r="CZ27" t="n">
        <v>3.756275471373866e-06</v>
      </c>
      <c r="DA27" t="n">
        <v>1.152923189063906e-06</v>
      </c>
      <c r="DB27" t="n">
        <v>0.004669233028831665</v>
      </c>
      <c r="DC27" t="n">
        <v>1.081732196428425e-07</v>
      </c>
      <c r="DD27" t="n">
        <v>0.001307012835318905</v>
      </c>
      <c r="DE27" t="n">
        <v>9.747014724880018e-05</v>
      </c>
      <c r="DF27" t="n">
        <v>0</v>
      </c>
      <c r="DG27" t="n">
        <v>0</v>
      </c>
      <c r="DH27" t="n">
        <v>0</v>
      </c>
      <c r="DI27" t="n">
        <v>0</v>
      </c>
      <c r="DJ27" t="n">
        <v>0.007140530547969787</v>
      </c>
      <c r="DK27" t="n">
        <v>6.929821042921205e-05</v>
      </c>
      <c r="DL27" t="n">
        <v>8.473738870191629e-05</v>
      </c>
      <c r="DM27" t="n">
        <v>1.560530406750103</v>
      </c>
      <c r="DN27" t="n">
        <v>0.3922705967191621</v>
      </c>
      <c r="DO27" t="n">
        <v>0</v>
      </c>
      <c r="DP27" t="n">
        <v>11.950470711448</v>
      </c>
      <c r="DQ27" t="n">
        <v>14.10346838161667</v>
      </c>
      <c r="DR27" t="n">
        <v>2.889970665798974</v>
      </c>
      <c r="DS27" t="n">
        <v>16.84162750890102</v>
      </c>
      <c r="DT27" t="n">
        <v>8.20276279149018</v>
      </c>
      <c r="DU27" t="n">
        <v>4.416633151404645</v>
      </c>
      <c r="DV27" t="n">
        <v>0</v>
      </c>
      <c r="DW27" t="n">
        <v>0</v>
      </c>
      <c r="DX27" t="n">
        <v>2.198030945388307</v>
      </c>
      <c r="DY27" t="n">
        <v>0.9581233424397813</v>
      </c>
      <c r="DZ27" t="n">
        <v>2.953926518941142</v>
      </c>
      <c r="EA27" t="n">
        <v>0.4442044662118705</v>
      </c>
      <c r="EB27" t="n">
        <v>0.1605280209929962</v>
      </c>
      <c r="EC27" t="n">
        <v>0.1170164826597826</v>
      </c>
      <c r="ED27" t="n">
        <v>0.08611005961496308</v>
      </c>
      <c r="EE27" t="n">
        <v>0.01310240628341554</v>
      </c>
      <c r="EF27" t="n">
        <v>0</v>
      </c>
      <c r="EG27" t="n">
        <v>0.004349384355043282</v>
      </c>
      <c r="EH27" t="n">
        <v>0</v>
      </c>
      <c r="EI27" t="n">
        <v>0</v>
      </c>
      <c r="EJ27" t="n">
        <v>0.2506983914316687</v>
      </c>
      <c r="EK27" t="n">
        <v>0.9232468165773128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4.197635581289595</v>
      </c>
      <c r="ER27" t="n">
        <v>8.059770931347794</v>
      </c>
      <c r="ES27" t="n">
        <v>1.051631041908605</v>
      </c>
      <c r="ET27" t="n">
        <v>2.11337476392982</v>
      </c>
      <c r="EU27" t="n">
        <v>0</v>
      </c>
      <c r="EV27" t="n">
        <v>2.248796769134072</v>
      </c>
      <c r="EW27" t="n">
        <v>0.1577063358685092</v>
      </c>
      <c r="EX27" t="n">
        <v>1.144415484791291</v>
      </c>
      <c r="EY27" t="n">
        <v>0.7082838753964722</v>
      </c>
      <c r="EZ27" t="n">
        <v>11.62763556888346</v>
      </c>
      <c r="FA27" t="n">
        <v>5.125390502122927</v>
      </c>
      <c r="FB27" t="n">
        <v>19.98911619868057</v>
      </c>
      <c r="FC27" t="n">
        <v>1.004933436206467</v>
      </c>
      <c r="FD27" t="n">
        <v>5.141629430456221</v>
      </c>
      <c r="FE27" t="n">
        <v>6.510719925528901</v>
      </c>
      <c r="FF27" t="n">
        <v>17.76910835038937</v>
      </c>
      <c r="FG27" t="n">
        <v>8.062790345273404</v>
      </c>
      <c r="FH27" t="n">
        <v>4.297581669716457</v>
      </c>
      <c r="FI27" t="n">
        <v>2.176139344732976</v>
      </c>
      <c r="FJ27" t="n">
        <v>4.967323315994964</v>
      </c>
      <c r="FK27" t="n">
        <v>0</v>
      </c>
      <c r="FL27" t="n">
        <v>38.01288256742914</v>
      </c>
      <c r="FM27" t="n">
        <v>0.4636399491107583</v>
      </c>
      <c r="FN27" t="n">
        <v>0.008502483381516605</v>
      </c>
      <c r="FO27" t="n">
        <v>4.647427990633011</v>
      </c>
      <c r="FP27" t="n">
        <v>1.807647587995709</v>
      </c>
      <c r="FQ27" t="n">
        <v>31.30706339812877</v>
      </c>
      <c r="FR27" t="n">
        <v>12.75853978212575</v>
      </c>
      <c r="FS27" t="n">
        <v>22.12806568256584</v>
      </c>
      <c r="FT27" t="n">
        <v>0.1913469244636315</v>
      </c>
      <c r="FU27" t="n">
        <v>0.1977906095476449</v>
      </c>
      <c r="FV27" t="n">
        <v>0.08160999796659618</v>
      </c>
      <c r="FW27" t="n">
        <v>0.2397046725593196</v>
      </c>
      <c r="FX27" t="n">
        <v>0.04506710247514154</v>
      </c>
      <c r="FY27" t="n">
        <v>0.05574634539784312</v>
      </c>
      <c r="FZ27" t="n">
        <v>0.2252347919657933</v>
      </c>
      <c r="GA27" t="n">
        <v>0.01605742510265975</v>
      </c>
      <c r="GB27" t="n">
        <v>0.001193873456833156</v>
      </c>
      <c r="GC27" t="n">
        <v>0.1874921007611411</v>
      </c>
      <c r="GD27" t="n">
        <v>0.5425592472452958</v>
      </c>
      <c r="GE27" t="n">
        <v>0.0005958309734309481</v>
      </c>
      <c r="GF27" t="n">
        <v>0.405535258943119</v>
      </c>
      <c r="GG27" t="n">
        <v>0.7489713194128564</v>
      </c>
      <c r="GH27" t="n">
        <v>3.57707161137568</v>
      </c>
      <c r="GI27" t="n">
        <v>1.272058362321381</v>
      </c>
      <c r="GJ27" t="n">
        <v>0.082691910992953</v>
      </c>
      <c r="GK27" t="n">
        <v>0.3195714234068429</v>
      </c>
      <c r="GL27" t="n">
        <v>0.07517904184267135</v>
      </c>
      <c r="GM27" t="n">
        <v>0.2340619693829526</v>
      </c>
      <c r="GN27" t="n">
        <v>3.185994281998469</v>
      </c>
      <c r="GO27" t="n">
        <v>15.20485680898876</v>
      </c>
      <c r="GP27" t="n">
        <v>1.279714706708877</v>
      </c>
      <c r="GQ27" t="n">
        <v>0</v>
      </c>
      <c r="GR27" t="n">
        <v>3.280110226740803</v>
      </c>
      <c r="GS27" t="n">
        <v>15.12774395487116</v>
      </c>
      <c r="GT27" t="n">
        <v>22.4004861478474</v>
      </c>
      <c r="GU27" t="n">
        <v>16.59626031434953</v>
      </c>
      <c r="GV27" t="n">
        <v>14.02182241915905</v>
      </c>
      <c r="GW27" t="n">
        <v>21.90589873750649</v>
      </c>
      <c r="GX27" t="n">
        <v>98.35745179389815</v>
      </c>
      <c r="GY27" t="n">
        <v>117.2319927623801</v>
      </c>
      <c r="GZ27" t="n">
        <v>8.869448846469444</v>
      </c>
      <c r="HA27" t="n">
        <v>82.53973967793181</v>
      </c>
      <c r="HB27" t="n">
        <v>11.62763556888346</v>
      </c>
      <c r="HC27" t="n">
        <v>126.105660674048</v>
      </c>
    </row>
    <row r="28">
      <c r="A28" s="1" t="inlineStr">
        <is>
          <t>Clé de tri</t>
        </is>
      </c>
      <c r="B28">
        <f>INDEX(B$18:B$27,MATCH($B$1,$A$18:$A$27,0))</f>
        <v/>
      </c>
      <c r="C28">
        <f>INDEX(C$18:C$27,MATCH($B$1,$A$18:$A$27,0))</f>
        <v/>
      </c>
      <c r="D28">
        <f>INDEX(D$18:D$27,MATCH($B$1,$A$18:$A$27,0))</f>
        <v/>
      </c>
      <c r="E28">
        <f>INDEX(E$18:E$27,MATCH($B$1,$A$18:$A$27,0))</f>
        <v/>
      </c>
      <c r="F28">
        <f>INDEX(F$18:F$27,MATCH($B$1,$A$18:$A$27,0))</f>
        <v/>
      </c>
      <c r="G28">
        <f>INDEX(G$18:G$27,MATCH($B$1,$A$18:$A$27,0))</f>
        <v/>
      </c>
      <c r="H28">
        <f>INDEX(H$18:H$27,MATCH($B$1,$A$18:$A$27,0))</f>
        <v/>
      </c>
      <c r="I28">
        <f>INDEX(I$18:I$27,MATCH($B$1,$A$18:$A$27,0))</f>
        <v/>
      </c>
      <c r="J28">
        <f>INDEX(J$18:J$27,MATCH($B$1,$A$18:$A$27,0))</f>
        <v/>
      </c>
      <c r="K28">
        <f>INDEX(K$18:K$27,MATCH($B$1,$A$18:$A$27,0))</f>
        <v/>
      </c>
      <c r="L28">
        <f>INDEX(L$18:L$27,MATCH($B$1,$A$18:$A$27,0))</f>
        <v/>
      </c>
      <c r="M28">
        <f>INDEX(M$18:M$27,MATCH($B$1,$A$18:$A$27,0))</f>
        <v/>
      </c>
      <c r="N28">
        <f>INDEX(N$18:N$27,MATCH($B$1,$A$18:$A$27,0))</f>
        <v/>
      </c>
      <c r="O28">
        <f>INDEX(O$18:O$27,MATCH($B$1,$A$18:$A$27,0))</f>
        <v/>
      </c>
      <c r="P28">
        <f>INDEX(P$18:P$27,MATCH($B$1,$A$18:$A$27,0))</f>
        <v/>
      </c>
      <c r="Q28">
        <f>INDEX(Q$18:Q$27,MATCH($B$1,$A$18:$A$27,0))</f>
        <v/>
      </c>
      <c r="R28">
        <f>INDEX(R$18:R$27,MATCH($B$1,$A$18:$A$27,0))</f>
        <v/>
      </c>
      <c r="S28">
        <f>INDEX(S$18:S$27,MATCH($B$1,$A$18:$A$27,0))</f>
        <v/>
      </c>
      <c r="T28">
        <f>INDEX(T$18:T$27,MATCH($B$1,$A$18:$A$27,0))</f>
        <v/>
      </c>
      <c r="U28">
        <f>INDEX(U$18:U$27,MATCH($B$1,$A$18:$A$27,0))</f>
        <v/>
      </c>
      <c r="V28">
        <f>INDEX(V$18:V$27,MATCH($B$1,$A$18:$A$27,0))</f>
        <v/>
      </c>
      <c r="W28">
        <f>INDEX(W$18:W$27,MATCH($B$1,$A$18:$A$27,0))</f>
        <v/>
      </c>
      <c r="X28">
        <f>INDEX(X$18:X$27,MATCH($B$1,$A$18:$A$27,0))</f>
        <v/>
      </c>
      <c r="Y28">
        <f>INDEX(Y$18:Y$27,MATCH($B$1,$A$18:$A$27,0))</f>
        <v/>
      </c>
      <c r="Z28">
        <f>INDEX(Z$18:Z$27,MATCH($B$1,$A$18:$A$27,0))</f>
        <v/>
      </c>
      <c r="AA28">
        <f>INDEX(AA$18:AA$27,MATCH($B$1,$A$18:$A$27,0))</f>
        <v/>
      </c>
      <c r="AB28">
        <f>INDEX(AB$18:AB$27,MATCH($B$1,$A$18:$A$27,0))</f>
        <v/>
      </c>
      <c r="AC28">
        <f>INDEX(AC$18:AC$27,MATCH($B$1,$A$18:$A$27,0))</f>
        <v/>
      </c>
      <c r="AD28">
        <f>INDEX(AD$18:AD$27,MATCH($B$1,$A$18:$A$27,0))</f>
        <v/>
      </c>
      <c r="AE28">
        <f>INDEX(AE$18:AE$27,MATCH($B$1,$A$18:$A$27,0))</f>
        <v/>
      </c>
      <c r="AF28">
        <f>INDEX(AF$18:AF$27,MATCH($B$1,$A$18:$A$27,0))</f>
        <v/>
      </c>
      <c r="AG28">
        <f>INDEX(AG$18:AG$27,MATCH($B$1,$A$18:$A$27,0))</f>
        <v/>
      </c>
      <c r="AH28">
        <f>INDEX(AH$18:AH$27,MATCH($B$1,$A$18:$A$27,0))</f>
        <v/>
      </c>
      <c r="AI28">
        <f>INDEX(AI$18:AI$27,MATCH($B$1,$A$18:$A$27,0))</f>
        <v/>
      </c>
      <c r="AJ28">
        <f>INDEX(AJ$18:AJ$27,MATCH($B$1,$A$18:$A$27,0))</f>
        <v/>
      </c>
      <c r="AK28">
        <f>INDEX(AK$18:AK$27,MATCH($B$1,$A$18:$A$27,0))</f>
        <v/>
      </c>
      <c r="AL28">
        <f>INDEX(AL$18:AL$27,MATCH($B$1,$A$18:$A$27,0))</f>
        <v/>
      </c>
      <c r="AM28">
        <f>INDEX(AM$18:AM$27,MATCH($B$1,$A$18:$A$27,0))</f>
        <v/>
      </c>
      <c r="AN28">
        <f>INDEX(AN$18:AN$27,MATCH($B$1,$A$18:$A$27,0))</f>
        <v/>
      </c>
      <c r="AO28">
        <f>INDEX(AO$18:AO$27,MATCH($B$1,$A$18:$A$27,0))</f>
        <v/>
      </c>
      <c r="AP28">
        <f>INDEX(AP$18:AP$27,MATCH($B$1,$A$18:$A$27,0))</f>
        <v/>
      </c>
      <c r="AQ28">
        <f>INDEX(AQ$18:AQ$27,MATCH($B$1,$A$18:$A$27,0))</f>
        <v/>
      </c>
      <c r="AR28">
        <f>INDEX(AR$18:AR$27,MATCH($B$1,$A$18:$A$27,0))</f>
        <v/>
      </c>
      <c r="AS28">
        <f>INDEX(AS$18:AS$27,MATCH($B$1,$A$18:$A$27,0))</f>
        <v/>
      </c>
      <c r="AT28">
        <f>INDEX(AT$18:AT$27,MATCH($B$1,$A$18:$A$27,0))</f>
        <v/>
      </c>
      <c r="AU28">
        <f>INDEX(AU$18:AU$27,MATCH($B$1,$A$18:$A$27,0))</f>
        <v/>
      </c>
      <c r="AV28">
        <f>INDEX(AV$18:AV$27,MATCH($B$1,$A$18:$A$27,0))</f>
        <v/>
      </c>
      <c r="AW28">
        <f>INDEX(AW$18:AW$27,MATCH($B$1,$A$18:$A$27,0))</f>
        <v/>
      </c>
      <c r="AX28">
        <f>INDEX(AX$18:AX$27,MATCH($B$1,$A$18:$A$27,0))</f>
        <v/>
      </c>
      <c r="AY28">
        <f>INDEX(AY$18:AY$27,MATCH($B$1,$A$18:$A$27,0))</f>
        <v/>
      </c>
      <c r="AZ28">
        <f>INDEX(AZ$18:AZ$27,MATCH($B$1,$A$18:$A$27,0))</f>
        <v/>
      </c>
      <c r="BA28">
        <f>INDEX(BA$18:BA$27,MATCH($B$1,$A$18:$A$27,0))</f>
        <v/>
      </c>
      <c r="BB28">
        <f>INDEX(BB$18:BB$27,MATCH($B$1,$A$18:$A$27,0))</f>
        <v/>
      </c>
      <c r="BC28">
        <f>INDEX(BC$18:BC$27,MATCH($B$1,$A$18:$A$27,0))</f>
        <v/>
      </c>
      <c r="BD28">
        <f>INDEX(BD$18:BD$27,MATCH($B$1,$A$18:$A$27,0))</f>
        <v/>
      </c>
      <c r="BE28">
        <f>INDEX(BE$18:BE$27,MATCH($B$1,$A$18:$A$27,0))</f>
        <v/>
      </c>
      <c r="BF28">
        <f>INDEX(BF$18:BF$27,MATCH($B$1,$A$18:$A$27,0))</f>
        <v/>
      </c>
      <c r="BG28">
        <f>INDEX(BG$18:BG$27,MATCH($B$1,$A$18:$A$27,0))</f>
        <v/>
      </c>
      <c r="BH28">
        <f>INDEX(BH$18:BH$27,MATCH($B$1,$A$18:$A$27,0))</f>
        <v/>
      </c>
      <c r="BI28">
        <f>INDEX(BI$18:BI$27,MATCH($B$1,$A$18:$A$27,0))</f>
        <v/>
      </c>
      <c r="BJ28">
        <f>INDEX(BJ$18:BJ$27,MATCH($B$1,$A$18:$A$27,0))</f>
        <v/>
      </c>
      <c r="BK28">
        <f>INDEX(BK$18:BK$27,MATCH($B$1,$A$18:$A$27,0))</f>
        <v/>
      </c>
      <c r="BL28">
        <f>INDEX(BL$18:BL$27,MATCH($B$1,$A$18:$A$27,0))</f>
        <v/>
      </c>
      <c r="BM28">
        <f>INDEX(BM$18:BM$27,MATCH($B$1,$A$18:$A$27,0))</f>
        <v/>
      </c>
      <c r="BN28">
        <f>INDEX(BN$18:BN$27,MATCH($B$1,$A$18:$A$27,0))</f>
        <v/>
      </c>
      <c r="BO28">
        <f>INDEX(BO$18:BO$27,MATCH($B$1,$A$18:$A$27,0))</f>
        <v/>
      </c>
      <c r="BP28">
        <f>INDEX(BP$18:BP$27,MATCH($B$1,$A$18:$A$27,0))</f>
        <v/>
      </c>
      <c r="BQ28">
        <f>INDEX(BQ$18:BQ$27,MATCH($B$1,$A$18:$A$27,0))</f>
        <v/>
      </c>
      <c r="BR28">
        <f>INDEX(BR$18:BR$27,MATCH($B$1,$A$18:$A$27,0))</f>
        <v/>
      </c>
      <c r="BS28">
        <f>INDEX(BS$18:BS$27,MATCH($B$1,$A$18:$A$27,0))</f>
        <v/>
      </c>
      <c r="BT28">
        <f>INDEX(BT$18:BT$27,MATCH($B$1,$A$18:$A$27,0))</f>
        <v/>
      </c>
      <c r="BU28">
        <f>INDEX(BU$18:BU$27,MATCH($B$1,$A$18:$A$27,0))</f>
        <v/>
      </c>
      <c r="BV28">
        <f>INDEX(BV$18:BV$27,MATCH($B$1,$A$18:$A$27,0))</f>
        <v/>
      </c>
      <c r="BW28">
        <f>INDEX(BW$18:BW$27,MATCH($B$1,$A$18:$A$27,0))</f>
        <v/>
      </c>
      <c r="BX28">
        <f>INDEX(BX$18:BX$27,MATCH($B$1,$A$18:$A$27,0))</f>
        <v/>
      </c>
      <c r="BY28">
        <f>INDEX(BY$18:BY$27,MATCH($B$1,$A$18:$A$27,0))</f>
        <v/>
      </c>
      <c r="BZ28">
        <f>INDEX(BZ$18:BZ$27,MATCH($B$1,$A$18:$A$27,0))</f>
        <v/>
      </c>
      <c r="CA28">
        <f>INDEX(CA$18:CA$27,MATCH($B$1,$A$18:$A$27,0))</f>
        <v/>
      </c>
      <c r="CB28">
        <f>INDEX(CB$18:CB$27,MATCH($B$1,$A$18:$A$27,0))</f>
        <v/>
      </c>
      <c r="CC28">
        <f>INDEX(CC$18:CC$27,MATCH($B$1,$A$18:$A$27,0))</f>
        <v/>
      </c>
      <c r="CD28">
        <f>INDEX(CD$18:CD$27,MATCH($B$1,$A$18:$A$27,0))</f>
        <v/>
      </c>
      <c r="CE28">
        <f>INDEX(CE$18:CE$27,MATCH($B$1,$A$18:$A$27,0))</f>
        <v/>
      </c>
      <c r="CF28">
        <f>INDEX(CF$18:CF$27,MATCH($B$1,$A$18:$A$27,0))</f>
        <v/>
      </c>
      <c r="CG28">
        <f>INDEX(CG$18:CG$27,MATCH($B$1,$A$18:$A$27,0))</f>
        <v/>
      </c>
      <c r="CH28">
        <f>INDEX(CH$18:CH$27,MATCH($B$1,$A$18:$A$27,0))</f>
        <v/>
      </c>
      <c r="CI28">
        <f>INDEX(CI$18:CI$27,MATCH($B$1,$A$18:$A$27,0))</f>
        <v/>
      </c>
      <c r="CJ28">
        <f>INDEX(CJ$18:CJ$27,MATCH($B$1,$A$18:$A$27,0))</f>
        <v/>
      </c>
      <c r="CK28">
        <f>INDEX(CK$18:CK$27,MATCH($B$1,$A$18:$A$27,0))</f>
        <v/>
      </c>
      <c r="CL28">
        <f>INDEX(CL$18:CL$27,MATCH($B$1,$A$18:$A$27,0))</f>
        <v/>
      </c>
      <c r="CM28">
        <f>INDEX(CM$18:CM$27,MATCH($B$1,$A$18:$A$27,0))</f>
        <v/>
      </c>
      <c r="CN28">
        <f>INDEX(CN$18:CN$27,MATCH($B$1,$A$18:$A$27,0))</f>
        <v/>
      </c>
      <c r="CO28">
        <f>INDEX(CO$18:CO$27,MATCH($B$1,$A$18:$A$27,0))</f>
        <v/>
      </c>
      <c r="CP28">
        <f>INDEX(CP$18:CP$27,MATCH($B$1,$A$18:$A$27,0))</f>
        <v/>
      </c>
      <c r="CQ28">
        <f>INDEX(CQ$18:CQ$27,MATCH($B$1,$A$18:$A$27,0))</f>
        <v/>
      </c>
      <c r="CR28">
        <f>INDEX(CR$18:CR$27,MATCH($B$1,$A$18:$A$27,0))</f>
        <v/>
      </c>
      <c r="CS28">
        <f>INDEX(CS$18:CS$27,MATCH($B$1,$A$18:$A$27,0))</f>
        <v/>
      </c>
      <c r="CT28">
        <f>INDEX(CT$18:CT$27,MATCH($B$1,$A$18:$A$27,0))</f>
        <v/>
      </c>
      <c r="CU28">
        <f>INDEX(CU$18:CU$27,MATCH($B$1,$A$18:$A$27,0))</f>
        <v/>
      </c>
      <c r="CV28">
        <f>INDEX(CV$18:CV$27,MATCH($B$1,$A$18:$A$27,0))</f>
        <v/>
      </c>
      <c r="CW28">
        <f>INDEX(CW$18:CW$27,MATCH($B$1,$A$18:$A$27,0))</f>
        <v/>
      </c>
      <c r="CX28">
        <f>INDEX(CX$18:CX$27,MATCH($B$1,$A$18:$A$27,0))</f>
        <v/>
      </c>
      <c r="CY28">
        <f>INDEX(CY$18:CY$27,MATCH($B$1,$A$18:$A$27,0))</f>
        <v/>
      </c>
      <c r="CZ28">
        <f>INDEX(CZ$18:CZ$27,MATCH($B$1,$A$18:$A$27,0))</f>
        <v/>
      </c>
      <c r="DA28">
        <f>INDEX(DA$18:DA$27,MATCH($B$1,$A$18:$A$27,0))</f>
        <v/>
      </c>
      <c r="DB28">
        <f>INDEX(DB$18:DB$27,MATCH($B$1,$A$18:$A$27,0))</f>
        <v/>
      </c>
      <c r="DC28">
        <f>INDEX(DC$18:DC$27,MATCH($B$1,$A$18:$A$27,0))</f>
        <v/>
      </c>
      <c r="DD28">
        <f>INDEX(DD$18:DD$27,MATCH($B$1,$A$18:$A$27,0))</f>
        <v/>
      </c>
      <c r="DE28">
        <f>INDEX(DE$18:DE$27,MATCH($B$1,$A$18:$A$27,0))</f>
        <v/>
      </c>
      <c r="DF28">
        <f>INDEX(DF$18:DF$27,MATCH($B$1,$A$18:$A$27,0))</f>
        <v/>
      </c>
      <c r="DG28">
        <f>INDEX(DG$18:DG$27,MATCH($B$1,$A$18:$A$27,0))</f>
        <v/>
      </c>
      <c r="DH28">
        <f>INDEX(DH$18:DH$27,MATCH($B$1,$A$18:$A$27,0))</f>
        <v/>
      </c>
      <c r="DI28">
        <f>INDEX(DI$18:DI$27,MATCH($B$1,$A$18:$A$27,0))</f>
        <v/>
      </c>
      <c r="DJ28">
        <f>INDEX(DJ$18:DJ$27,MATCH($B$1,$A$18:$A$27,0))</f>
        <v/>
      </c>
      <c r="DK28">
        <f>INDEX(DK$18:DK$27,MATCH($B$1,$A$18:$A$27,0))</f>
        <v/>
      </c>
      <c r="DL28">
        <f>INDEX(DL$18:DL$27,MATCH($B$1,$A$18:$A$27,0))</f>
        <v/>
      </c>
      <c r="DM28">
        <f>INDEX(DM$18:DM$27,MATCH($B$1,$A$18:$A$27,0))</f>
        <v/>
      </c>
      <c r="DN28">
        <f>INDEX(DN$18:DN$27,MATCH($B$1,$A$18:$A$27,0))</f>
        <v/>
      </c>
      <c r="DO28">
        <f>INDEX(DO$18:DO$27,MATCH($B$1,$A$18:$A$27,0))</f>
        <v/>
      </c>
      <c r="DP28">
        <f>INDEX(DP$18:DP$27,MATCH($B$1,$A$18:$A$27,0))</f>
        <v/>
      </c>
      <c r="DQ28">
        <f>INDEX(DQ$18:DQ$27,MATCH($B$1,$A$18:$A$27,0))</f>
        <v/>
      </c>
      <c r="DR28">
        <f>INDEX(DR$18:DR$27,MATCH($B$1,$A$18:$A$27,0))</f>
        <v/>
      </c>
      <c r="DS28">
        <f>INDEX(DS$18:DS$27,MATCH($B$1,$A$18:$A$27,0))</f>
        <v/>
      </c>
      <c r="DT28">
        <f>INDEX(DT$18:DT$27,MATCH($B$1,$A$18:$A$27,0))</f>
        <v/>
      </c>
      <c r="DU28">
        <f>INDEX(DU$18:DU$27,MATCH($B$1,$A$18:$A$27,0))</f>
        <v/>
      </c>
      <c r="DV28">
        <f>INDEX(DV$18:DV$27,MATCH($B$1,$A$18:$A$27,0))</f>
        <v/>
      </c>
      <c r="DW28">
        <f>INDEX(DW$18:DW$27,MATCH($B$1,$A$18:$A$27,0))</f>
        <v/>
      </c>
      <c r="DX28">
        <f>INDEX(DX$18:DX$27,MATCH($B$1,$A$18:$A$27,0))</f>
        <v/>
      </c>
      <c r="DY28">
        <f>INDEX(DY$18:DY$27,MATCH($B$1,$A$18:$A$27,0))</f>
        <v/>
      </c>
      <c r="DZ28">
        <f>INDEX(DZ$18:DZ$27,MATCH($B$1,$A$18:$A$27,0))</f>
        <v/>
      </c>
      <c r="EA28">
        <f>INDEX(EA$18:EA$27,MATCH($B$1,$A$18:$A$27,0))</f>
        <v/>
      </c>
      <c r="EB28">
        <f>INDEX(EB$18:EB$27,MATCH($B$1,$A$18:$A$27,0))</f>
        <v/>
      </c>
      <c r="EC28">
        <f>INDEX(EC$18:EC$27,MATCH($B$1,$A$18:$A$27,0))</f>
        <v/>
      </c>
      <c r="ED28">
        <f>INDEX(ED$18:ED$27,MATCH($B$1,$A$18:$A$27,0))</f>
        <v/>
      </c>
      <c r="EE28">
        <f>INDEX(EE$18:EE$27,MATCH($B$1,$A$18:$A$27,0))</f>
        <v/>
      </c>
      <c r="EF28">
        <f>INDEX(EF$18:EF$27,MATCH($B$1,$A$18:$A$27,0))</f>
        <v/>
      </c>
      <c r="EG28">
        <f>INDEX(EG$18:EG$27,MATCH($B$1,$A$18:$A$27,0))</f>
        <v/>
      </c>
      <c r="EH28">
        <f>INDEX(EH$18:EH$27,MATCH($B$1,$A$18:$A$27,0))</f>
        <v/>
      </c>
      <c r="EI28">
        <f>INDEX(EI$18:EI$27,MATCH($B$1,$A$18:$A$27,0))</f>
        <v/>
      </c>
      <c r="EJ28">
        <f>INDEX(EJ$18:EJ$27,MATCH($B$1,$A$18:$A$27,0))</f>
        <v/>
      </c>
      <c r="EK28">
        <f>INDEX(EK$18:EK$27,MATCH($B$1,$A$18:$A$27,0))</f>
        <v/>
      </c>
      <c r="EL28">
        <f>INDEX(EL$18:EL$27,MATCH($B$1,$A$18:$A$27,0))</f>
        <v/>
      </c>
      <c r="EM28">
        <f>INDEX(EM$18:EM$27,MATCH($B$1,$A$18:$A$27,0))</f>
        <v/>
      </c>
      <c r="EN28">
        <f>INDEX(EN$18:EN$27,MATCH($B$1,$A$18:$A$27,0))</f>
        <v/>
      </c>
      <c r="EO28">
        <f>INDEX(EO$18:EO$27,MATCH($B$1,$A$18:$A$27,0))</f>
        <v/>
      </c>
      <c r="EP28">
        <f>INDEX(EP$18:EP$27,MATCH($B$1,$A$18:$A$27,0))</f>
        <v/>
      </c>
      <c r="EQ28">
        <f>INDEX(EQ$18:EQ$27,MATCH($B$1,$A$18:$A$27,0))</f>
        <v/>
      </c>
      <c r="ER28">
        <f>INDEX(ER$18:ER$27,MATCH($B$1,$A$18:$A$27,0))</f>
        <v/>
      </c>
      <c r="ES28">
        <f>INDEX(ES$18:ES$27,MATCH($B$1,$A$18:$A$27,0))</f>
        <v/>
      </c>
      <c r="ET28">
        <f>INDEX(ET$18:ET$27,MATCH($B$1,$A$18:$A$27,0))</f>
        <v/>
      </c>
      <c r="EU28">
        <f>INDEX(EU$18:EU$27,MATCH($B$1,$A$18:$A$27,0))</f>
        <v/>
      </c>
      <c r="EV28">
        <f>INDEX(EV$18:EV$27,MATCH($B$1,$A$18:$A$27,0))</f>
        <v/>
      </c>
      <c r="EW28">
        <f>INDEX(EW$18:EW$27,MATCH($B$1,$A$18:$A$27,0))</f>
        <v/>
      </c>
      <c r="EX28">
        <f>INDEX(EX$18:EX$27,MATCH($B$1,$A$18:$A$27,0))</f>
        <v/>
      </c>
      <c r="EY28">
        <f>INDEX(EY$18:EY$27,MATCH($B$1,$A$18:$A$27,0))</f>
        <v/>
      </c>
      <c r="EZ28">
        <f>INDEX(EZ$18:EZ$27,MATCH($B$1,$A$18:$A$27,0))</f>
        <v/>
      </c>
      <c r="FA28">
        <f>INDEX(FA$18:FA$27,MATCH($B$1,$A$18:$A$27,0))</f>
        <v/>
      </c>
      <c r="FB28">
        <f>INDEX(FB$18:FB$27,MATCH($B$1,$A$18:$A$27,0))</f>
        <v/>
      </c>
      <c r="FC28">
        <f>INDEX(FC$18:FC$27,MATCH($B$1,$A$18:$A$27,0))</f>
        <v/>
      </c>
      <c r="FD28">
        <f>INDEX(FD$18:FD$27,MATCH($B$1,$A$18:$A$27,0))</f>
        <v/>
      </c>
      <c r="FE28">
        <f>INDEX(FE$18:FE$27,MATCH($B$1,$A$18:$A$27,0))</f>
        <v/>
      </c>
      <c r="FF28">
        <f>INDEX(FF$18:FF$27,MATCH($B$1,$A$18:$A$27,0))</f>
        <v/>
      </c>
      <c r="FG28">
        <f>INDEX(FG$18:FG$27,MATCH($B$1,$A$18:$A$27,0))</f>
        <v/>
      </c>
      <c r="FH28">
        <f>INDEX(FH$18:FH$27,MATCH($B$1,$A$18:$A$27,0))</f>
        <v/>
      </c>
      <c r="FI28">
        <f>INDEX(FI$18:FI$27,MATCH($B$1,$A$18:$A$27,0))</f>
        <v/>
      </c>
      <c r="FJ28">
        <f>INDEX(FJ$18:FJ$27,MATCH($B$1,$A$18:$A$27,0))</f>
        <v/>
      </c>
      <c r="FK28">
        <f>INDEX(FK$18:FK$27,MATCH($B$1,$A$18:$A$27,0))</f>
        <v/>
      </c>
      <c r="FL28">
        <f>INDEX(FL$18:FL$27,MATCH($B$1,$A$18:$A$27,0))</f>
        <v/>
      </c>
      <c r="FM28">
        <f>INDEX(FM$18:FM$27,MATCH($B$1,$A$18:$A$27,0))</f>
        <v/>
      </c>
      <c r="FN28">
        <f>INDEX(FN$18:FN$27,MATCH($B$1,$A$18:$A$27,0))</f>
        <v/>
      </c>
      <c r="FO28">
        <f>INDEX(FO$18:FO$27,MATCH($B$1,$A$18:$A$27,0))</f>
        <v/>
      </c>
      <c r="FP28">
        <f>INDEX(FP$18:FP$27,MATCH($B$1,$A$18:$A$27,0))</f>
        <v/>
      </c>
      <c r="FQ28">
        <f>INDEX(FQ$18:FQ$27,MATCH($B$1,$A$18:$A$27,0))</f>
        <v/>
      </c>
      <c r="FR28">
        <f>INDEX(FR$18:FR$27,MATCH($B$1,$A$18:$A$27,0))</f>
        <v/>
      </c>
      <c r="FS28">
        <f>INDEX(FS$18:FS$27,MATCH($B$1,$A$18:$A$27,0))</f>
        <v/>
      </c>
      <c r="FT28">
        <f>INDEX(FT$18:FT$27,MATCH($B$1,$A$18:$A$27,0))</f>
        <v/>
      </c>
      <c r="FU28">
        <f>INDEX(FU$18:FU$27,MATCH($B$1,$A$18:$A$27,0))</f>
        <v/>
      </c>
      <c r="FV28">
        <f>INDEX(FV$18:FV$27,MATCH($B$1,$A$18:$A$27,0))</f>
        <v/>
      </c>
      <c r="FW28">
        <f>INDEX(FW$18:FW$27,MATCH($B$1,$A$18:$A$27,0))</f>
        <v/>
      </c>
      <c r="FX28">
        <f>INDEX(FX$18:FX$27,MATCH($B$1,$A$18:$A$27,0))</f>
        <v/>
      </c>
      <c r="FY28">
        <f>INDEX(FY$18:FY$27,MATCH($B$1,$A$18:$A$27,0))</f>
        <v/>
      </c>
      <c r="FZ28">
        <f>INDEX(FZ$18:FZ$27,MATCH($B$1,$A$18:$A$27,0))</f>
        <v/>
      </c>
      <c r="GA28">
        <f>INDEX(GA$18:GA$27,MATCH($B$1,$A$18:$A$27,0))</f>
        <v/>
      </c>
      <c r="GB28">
        <f>INDEX(GB$18:GB$27,MATCH($B$1,$A$18:$A$27,0))</f>
        <v/>
      </c>
      <c r="GC28">
        <f>INDEX(GC$18:GC$27,MATCH($B$1,$A$18:$A$27,0))</f>
        <v/>
      </c>
      <c r="GD28">
        <f>INDEX(GD$18:GD$27,MATCH($B$1,$A$18:$A$27,0))</f>
        <v/>
      </c>
      <c r="GE28">
        <f>INDEX(GE$18:GE$27,MATCH($B$1,$A$18:$A$27,0))</f>
        <v/>
      </c>
      <c r="GF28">
        <f>INDEX(GF$18:GF$27,MATCH($B$1,$A$18:$A$27,0))</f>
        <v/>
      </c>
      <c r="GG28">
        <f>INDEX(GG$18:GG$27,MATCH($B$1,$A$18:$A$27,0))</f>
        <v/>
      </c>
      <c r="GH28">
        <f>INDEX(GH$18:GH$27,MATCH($B$1,$A$18:$A$27,0))</f>
        <v/>
      </c>
      <c r="GI28">
        <f>INDEX(GI$18:GI$27,MATCH($B$1,$A$18:$A$27,0))</f>
        <v/>
      </c>
      <c r="GJ28">
        <f>INDEX(GJ$18:GJ$27,MATCH($B$1,$A$18:$A$27,0))</f>
        <v/>
      </c>
      <c r="GK28">
        <f>INDEX(GK$18:GK$27,MATCH($B$1,$A$18:$A$27,0))</f>
        <v/>
      </c>
      <c r="GL28">
        <f>INDEX(GL$18:GL$27,MATCH($B$1,$A$18:$A$27,0))</f>
        <v/>
      </c>
      <c r="GM28">
        <f>INDEX(GM$18:GM$27,MATCH($B$1,$A$18:$A$27,0))</f>
        <v/>
      </c>
      <c r="GN28">
        <f>INDEX(GN$18:GN$27,MATCH($B$1,$A$18:$A$27,0))</f>
        <v/>
      </c>
      <c r="GO28">
        <f>INDEX(GO$18:GO$27,MATCH($B$1,$A$18:$A$27,0))</f>
        <v/>
      </c>
      <c r="GP28">
        <f>INDEX(GP$18:GP$27,MATCH($B$1,$A$18:$A$27,0))</f>
        <v/>
      </c>
      <c r="GQ28">
        <f>INDEX(GQ$18:GQ$27,MATCH($B$1,$A$18:$A$27,0))</f>
        <v/>
      </c>
      <c r="GR28">
        <f>INDEX(GR$18:GR$27,MATCH($B$1,$A$18:$A$27,0))</f>
        <v/>
      </c>
      <c r="GS28">
        <f>INDEX(GS$18:GS$27,MATCH($B$1,$A$18:$A$27,0))</f>
        <v/>
      </c>
      <c r="GT28">
        <f>INDEX(GT$18:GT$27,MATCH($B$1,$A$18:$A$27,0))</f>
        <v/>
      </c>
      <c r="GU28">
        <f>INDEX(GU$18:GU$27,MATCH($B$1,$A$18:$A$27,0))</f>
        <v/>
      </c>
      <c r="GV28">
        <f>INDEX(GV$18:GV$27,MATCH($B$1,$A$18:$A$27,0))</f>
        <v/>
      </c>
      <c r="GW28">
        <f>INDEX(GW$18:GW$27,MATCH($B$1,$A$18:$A$27,0))</f>
        <v/>
      </c>
      <c r="GX28">
        <f>INDEX(GX$18:GX$27,MATCH($B$1,$A$18:$A$27,0))</f>
        <v/>
      </c>
      <c r="GY28">
        <f>INDEX(GY$18:GY$27,MATCH($B$1,$A$18:$A$27,0))</f>
        <v/>
      </c>
      <c r="GZ28">
        <f>INDEX(GZ$18:GZ$27,MATCH($B$1,$A$18:$A$27,0))</f>
        <v/>
      </c>
      <c r="HA28">
        <f>INDEX(HA$18:HA$27,MATCH($B$1,$A$18:$A$27,0))</f>
        <v/>
      </c>
      <c r="HB28">
        <f>INDEX(HB$18:HB$27,MATCH($B$1,$A$18:$A$27,0))</f>
        <v/>
      </c>
      <c r="HC28">
        <f>INDEX(HC$18:HC$27,MATCH($B$1,$A$18:$A$27,0))</f>
        <v/>
      </c>
    </row>
    <row r="29">
      <c r="A29" s="1" t="inlineStr">
        <is>
          <t>Rang</t>
        </is>
      </c>
      <c r="B29">
        <f>RANK(B28,$B$28:$GQ$28,0)+COUNTIF($B$28:B28,B28)-1</f>
        <v/>
      </c>
      <c r="C29">
        <f>RANK(C28,$B$28:$GQ$28,0)+COUNTIF($B$28:C28,C28)-1</f>
        <v/>
      </c>
      <c r="D29">
        <f>RANK(D28,$B$28:$GQ$28,0)+COUNTIF($B$28:D28,D28)-1</f>
        <v/>
      </c>
      <c r="E29">
        <f>RANK(E28,$B$28:$GQ$28,0)+COUNTIF($B$28:E28,E28)-1</f>
        <v/>
      </c>
      <c r="F29">
        <f>RANK(F28,$B$28:$GQ$28,0)+COUNTIF($B$28:F28,F28)-1</f>
        <v/>
      </c>
      <c r="G29">
        <f>RANK(G28,$B$28:$GQ$28,0)+COUNTIF($B$28:G28,G28)-1</f>
        <v/>
      </c>
      <c r="H29">
        <f>RANK(H28,$B$28:$GQ$28,0)+COUNTIF($B$28:H28,H28)-1</f>
        <v/>
      </c>
      <c r="I29">
        <f>RANK(I28,$B$28:$GQ$28,0)+COUNTIF($B$28:I28,I28)-1</f>
        <v/>
      </c>
      <c r="J29">
        <f>RANK(J28,$B$28:$GQ$28,0)+COUNTIF($B$28:J28,J28)-1</f>
        <v/>
      </c>
      <c r="K29">
        <f>RANK(K28,$B$28:$GQ$28,0)+COUNTIF($B$28:K28,K28)-1</f>
        <v/>
      </c>
      <c r="L29">
        <f>RANK(L28,$B$28:$GQ$28,0)+COUNTIF($B$28:L28,L28)-1</f>
        <v/>
      </c>
      <c r="M29">
        <f>RANK(M28,$B$28:$GQ$28,0)+COUNTIF($B$28:M28,M28)-1</f>
        <v/>
      </c>
      <c r="N29">
        <f>RANK(N28,$B$28:$GQ$28,0)+COUNTIF($B$28:N28,N28)-1</f>
        <v/>
      </c>
      <c r="O29">
        <f>RANK(O28,$B$28:$GQ$28,0)+COUNTIF($B$28:O28,O28)-1</f>
        <v/>
      </c>
      <c r="P29">
        <f>RANK(P28,$B$28:$GQ$28,0)+COUNTIF($B$28:P28,P28)-1</f>
        <v/>
      </c>
      <c r="Q29">
        <f>RANK(Q28,$B$28:$GQ$28,0)+COUNTIF($B$28:Q28,Q28)-1</f>
        <v/>
      </c>
      <c r="R29">
        <f>RANK(R28,$B$28:$GQ$28,0)+COUNTIF($B$28:R28,R28)-1</f>
        <v/>
      </c>
      <c r="S29">
        <f>RANK(S28,$B$28:$GQ$28,0)+COUNTIF($B$28:S28,S28)-1</f>
        <v/>
      </c>
      <c r="T29">
        <f>RANK(T28,$B$28:$GQ$28,0)+COUNTIF($B$28:T28,T28)-1</f>
        <v/>
      </c>
      <c r="U29">
        <f>RANK(U28,$B$28:$GQ$28,0)+COUNTIF($B$28:U28,U28)-1</f>
        <v/>
      </c>
      <c r="V29">
        <f>RANK(V28,$B$28:$GQ$28,0)+COUNTIF($B$28:V28,V28)-1</f>
        <v/>
      </c>
      <c r="W29">
        <f>RANK(W28,$B$28:$GQ$28,0)+COUNTIF($B$28:W28,W28)-1</f>
        <v/>
      </c>
      <c r="X29">
        <f>RANK(X28,$B$28:$GQ$28,0)+COUNTIF($B$28:X28,X28)-1</f>
        <v/>
      </c>
      <c r="Y29">
        <f>RANK(Y28,$B$28:$GQ$28,0)+COUNTIF($B$28:Y28,Y28)-1</f>
        <v/>
      </c>
      <c r="Z29">
        <f>RANK(Z28,$B$28:$GQ$28,0)+COUNTIF($B$28:Z28,Z28)-1</f>
        <v/>
      </c>
      <c r="AA29">
        <f>RANK(AA28,$B$28:$GQ$28,0)+COUNTIF($B$28:AA28,AA28)-1</f>
        <v/>
      </c>
      <c r="AB29">
        <f>RANK(AB28,$B$28:$GQ$28,0)+COUNTIF($B$28:AB28,AB28)-1</f>
        <v/>
      </c>
      <c r="AC29">
        <f>RANK(AC28,$B$28:$GQ$28,0)+COUNTIF($B$28:AC28,AC28)-1</f>
        <v/>
      </c>
      <c r="AD29">
        <f>RANK(AD28,$B$28:$GQ$28,0)+COUNTIF($B$28:AD28,AD28)-1</f>
        <v/>
      </c>
      <c r="AE29">
        <f>RANK(AE28,$B$28:$GQ$28,0)+COUNTIF($B$28:AE28,AE28)-1</f>
        <v/>
      </c>
      <c r="AF29">
        <f>RANK(AF28,$B$28:$GQ$28,0)+COUNTIF($B$28:AF28,AF28)-1</f>
        <v/>
      </c>
      <c r="AG29">
        <f>RANK(AG28,$B$28:$GQ$28,0)+COUNTIF($B$28:AG28,AG28)-1</f>
        <v/>
      </c>
      <c r="AH29">
        <f>RANK(AH28,$B$28:$GQ$28,0)+COUNTIF($B$28:AH28,AH28)-1</f>
        <v/>
      </c>
      <c r="AI29">
        <f>RANK(AI28,$B$28:$GQ$28,0)+COUNTIF($B$28:AI28,AI28)-1</f>
        <v/>
      </c>
      <c r="AJ29">
        <f>RANK(AJ28,$B$28:$GQ$28,0)+COUNTIF($B$28:AJ28,AJ28)-1</f>
        <v/>
      </c>
      <c r="AK29">
        <f>RANK(AK28,$B$28:$GQ$28,0)+COUNTIF($B$28:AK28,AK28)-1</f>
        <v/>
      </c>
      <c r="AL29">
        <f>RANK(AL28,$B$28:$GQ$28,0)+COUNTIF($B$28:AL28,AL28)-1</f>
        <v/>
      </c>
      <c r="AM29">
        <f>RANK(AM28,$B$28:$GQ$28,0)+COUNTIF($B$28:AM28,AM28)-1</f>
        <v/>
      </c>
      <c r="AN29">
        <f>RANK(AN28,$B$28:$GQ$28,0)+COUNTIF($B$28:AN28,AN28)-1</f>
        <v/>
      </c>
      <c r="AO29">
        <f>RANK(AO28,$B$28:$GQ$28,0)+COUNTIF($B$28:AO28,AO28)-1</f>
        <v/>
      </c>
      <c r="AP29">
        <f>RANK(AP28,$B$28:$GQ$28,0)+COUNTIF($B$28:AP28,AP28)-1</f>
        <v/>
      </c>
      <c r="AQ29">
        <f>RANK(AQ28,$B$28:$GQ$28,0)+COUNTIF($B$28:AQ28,AQ28)-1</f>
        <v/>
      </c>
      <c r="AR29">
        <f>RANK(AR28,$B$28:$GQ$28,0)+COUNTIF($B$28:AR28,AR28)-1</f>
        <v/>
      </c>
      <c r="AS29">
        <f>RANK(AS28,$B$28:$GQ$28,0)+COUNTIF($B$28:AS28,AS28)-1</f>
        <v/>
      </c>
      <c r="AT29">
        <f>RANK(AT28,$B$28:$GQ$28,0)+COUNTIF($B$28:AT28,AT28)-1</f>
        <v/>
      </c>
      <c r="AU29">
        <f>RANK(AU28,$B$28:$GQ$28,0)+COUNTIF($B$28:AU28,AU28)-1</f>
        <v/>
      </c>
      <c r="AV29">
        <f>RANK(AV28,$B$28:$GQ$28,0)+COUNTIF($B$28:AV28,AV28)-1</f>
        <v/>
      </c>
      <c r="AW29">
        <f>RANK(AW28,$B$28:$GQ$28,0)+COUNTIF($B$28:AW28,AW28)-1</f>
        <v/>
      </c>
      <c r="AX29">
        <f>RANK(AX28,$B$28:$GQ$28,0)+COUNTIF($B$28:AX28,AX28)-1</f>
        <v/>
      </c>
      <c r="AY29">
        <f>RANK(AY28,$B$28:$GQ$28,0)+COUNTIF($B$28:AY28,AY28)-1</f>
        <v/>
      </c>
      <c r="AZ29">
        <f>RANK(AZ28,$B$28:$GQ$28,0)+COUNTIF($B$28:AZ28,AZ28)-1</f>
        <v/>
      </c>
      <c r="BA29">
        <f>RANK(BA28,$B$28:$GQ$28,0)+COUNTIF($B$28:BA28,BA28)-1</f>
        <v/>
      </c>
      <c r="BB29">
        <f>RANK(BB28,$B$28:$GQ$28,0)+COUNTIF($B$28:BB28,BB28)-1</f>
        <v/>
      </c>
      <c r="BC29">
        <f>RANK(BC28,$B$28:$GQ$28,0)+COUNTIF($B$28:BC28,BC28)-1</f>
        <v/>
      </c>
      <c r="BD29">
        <f>RANK(BD28,$B$28:$GQ$28,0)+COUNTIF($B$28:BD28,BD28)-1</f>
        <v/>
      </c>
      <c r="BE29">
        <f>RANK(BE28,$B$28:$GQ$28,0)+COUNTIF($B$28:BE28,BE28)-1</f>
        <v/>
      </c>
      <c r="BF29">
        <f>RANK(BF28,$B$28:$GQ$28,0)+COUNTIF($B$28:BF28,BF28)-1</f>
        <v/>
      </c>
      <c r="BG29">
        <f>RANK(BG28,$B$28:$GQ$28,0)+COUNTIF($B$28:BG28,BG28)-1</f>
        <v/>
      </c>
      <c r="BH29">
        <f>RANK(BH28,$B$28:$GQ$28,0)+COUNTIF($B$28:BH28,BH28)-1</f>
        <v/>
      </c>
      <c r="BI29">
        <f>RANK(BI28,$B$28:$GQ$28,0)+COUNTIF($B$28:BI28,BI28)-1</f>
        <v/>
      </c>
      <c r="BJ29">
        <f>RANK(BJ28,$B$28:$GQ$28,0)+COUNTIF($B$28:BJ28,BJ28)-1</f>
        <v/>
      </c>
      <c r="BK29">
        <f>RANK(BK28,$B$28:$GQ$28,0)+COUNTIF($B$28:BK28,BK28)-1</f>
        <v/>
      </c>
      <c r="BL29">
        <f>RANK(BL28,$B$28:$GQ$28,0)+COUNTIF($B$28:BL28,BL28)-1</f>
        <v/>
      </c>
      <c r="BM29">
        <f>RANK(BM28,$B$28:$GQ$28,0)+COUNTIF($B$28:BM28,BM28)-1</f>
        <v/>
      </c>
      <c r="BN29">
        <f>RANK(BN28,$B$28:$GQ$28,0)+COUNTIF($B$28:BN28,BN28)-1</f>
        <v/>
      </c>
      <c r="BO29">
        <f>RANK(BO28,$B$28:$GQ$28,0)+COUNTIF($B$28:BO28,BO28)-1</f>
        <v/>
      </c>
      <c r="BP29">
        <f>RANK(BP28,$B$28:$GQ$28,0)+COUNTIF($B$28:BP28,BP28)-1</f>
        <v/>
      </c>
      <c r="BQ29">
        <f>RANK(BQ28,$B$28:$GQ$28,0)+COUNTIF($B$28:BQ28,BQ28)-1</f>
        <v/>
      </c>
      <c r="BR29">
        <f>RANK(BR28,$B$28:$GQ$28,0)+COUNTIF($B$28:BR28,BR28)-1</f>
        <v/>
      </c>
      <c r="BS29">
        <f>RANK(BS28,$B$28:$GQ$28,0)+COUNTIF($B$28:BS28,BS28)-1</f>
        <v/>
      </c>
      <c r="BT29">
        <f>RANK(BT28,$B$28:$GQ$28,0)+COUNTIF($B$28:BT28,BT28)-1</f>
        <v/>
      </c>
      <c r="BU29">
        <f>RANK(BU28,$B$28:$GQ$28,0)+COUNTIF($B$28:BU28,BU28)-1</f>
        <v/>
      </c>
      <c r="BV29">
        <f>RANK(BV28,$B$28:$GQ$28,0)+COUNTIF($B$28:BV28,BV28)-1</f>
        <v/>
      </c>
      <c r="BW29">
        <f>RANK(BW28,$B$28:$GQ$28,0)+COUNTIF($B$28:BW28,BW28)-1</f>
        <v/>
      </c>
      <c r="BX29">
        <f>RANK(BX28,$B$28:$GQ$28,0)+COUNTIF($B$28:BX28,BX28)-1</f>
        <v/>
      </c>
      <c r="BY29">
        <f>RANK(BY28,$B$28:$GQ$28,0)+COUNTIF($B$28:BY28,BY28)-1</f>
        <v/>
      </c>
      <c r="BZ29">
        <f>RANK(BZ28,$B$28:$GQ$28,0)+COUNTIF($B$28:BZ28,BZ28)-1</f>
        <v/>
      </c>
      <c r="CA29">
        <f>RANK(CA28,$B$28:$GQ$28,0)+COUNTIF($B$28:CA28,CA28)-1</f>
        <v/>
      </c>
      <c r="CB29">
        <f>RANK(CB28,$B$28:$GQ$28,0)+COUNTIF($B$28:CB28,CB28)-1</f>
        <v/>
      </c>
      <c r="CC29">
        <f>RANK(CC28,$B$28:$GQ$28,0)+COUNTIF($B$28:CC28,CC28)-1</f>
        <v/>
      </c>
      <c r="CD29">
        <f>RANK(CD28,$B$28:$GQ$28,0)+COUNTIF($B$28:CD28,CD28)-1</f>
        <v/>
      </c>
      <c r="CE29">
        <f>RANK(CE28,$B$28:$GQ$28,0)+COUNTIF($B$28:CE28,CE28)-1</f>
        <v/>
      </c>
      <c r="CF29">
        <f>RANK(CF28,$B$28:$GQ$28,0)+COUNTIF($B$28:CF28,CF28)-1</f>
        <v/>
      </c>
      <c r="CG29">
        <f>RANK(CG28,$B$28:$GQ$28,0)+COUNTIF($B$28:CG28,CG28)-1</f>
        <v/>
      </c>
      <c r="CH29">
        <f>RANK(CH28,$B$28:$GQ$28,0)+COUNTIF($B$28:CH28,CH28)-1</f>
        <v/>
      </c>
      <c r="CI29">
        <f>RANK(CI28,$B$28:$GQ$28,0)+COUNTIF($B$28:CI28,CI28)-1</f>
        <v/>
      </c>
      <c r="CJ29">
        <f>RANK(CJ28,$B$28:$GQ$28,0)+COUNTIF($B$28:CJ28,CJ28)-1</f>
        <v/>
      </c>
      <c r="CK29">
        <f>RANK(CK28,$B$28:$GQ$28,0)+COUNTIF($B$28:CK28,CK28)-1</f>
        <v/>
      </c>
      <c r="CL29">
        <f>RANK(CL28,$B$28:$GQ$28,0)+COUNTIF($B$28:CL28,CL28)-1</f>
        <v/>
      </c>
      <c r="CM29">
        <f>RANK(CM28,$B$28:$GQ$28,0)+COUNTIF($B$28:CM28,CM28)-1</f>
        <v/>
      </c>
      <c r="CN29">
        <f>RANK(CN28,$B$28:$GQ$28,0)+COUNTIF($B$28:CN28,CN28)-1</f>
        <v/>
      </c>
      <c r="CO29">
        <f>RANK(CO28,$B$28:$GQ$28,0)+COUNTIF($B$28:CO28,CO28)-1</f>
        <v/>
      </c>
      <c r="CP29">
        <f>RANK(CP28,$B$28:$GQ$28,0)+COUNTIF($B$28:CP28,CP28)-1</f>
        <v/>
      </c>
      <c r="CQ29">
        <f>RANK(CQ28,$B$28:$GQ$28,0)+COUNTIF($B$28:CQ28,CQ28)-1</f>
        <v/>
      </c>
      <c r="CR29">
        <f>RANK(CR28,$B$28:$GQ$28,0)+COUNTIF($B$28:CR28,CR28)-1</f>
        <v/>
      </c>
      <c r="CS29">
        <f>RANK(CS28,$B$28:$GQ$28,0)+COUNTIF($B$28:CS28,CS28)-1</f>
        <v/>
      </c>
      <c r="CT29">
        <f>RANK(CT28,$B$28:$GQ$28,0)+COUNTIF($B$28:CT28,CT28)-1</f>
        <v/>
      </c>
      <c r="CU29">
        <f>RANK(CU28,$B$28:$GQ$28,0)+COUNTIF($B$28:CU28,CU28)-1</f>
        <v/>
      </c>
      <c r="CV29">
        <f>RANK(CV28,$B$28:$GQ$28,0)+COUNTIF($B$28:CV28,CV28)-1</f>
        <v/>
      </c>
      <c r="CW29">
        <f>RANK(CW28,$B$28:$GQ$28,0)+COUNTIF($B$28:CW28,CW28)-1</f>
        <v/>
      </c>
      <c r="CX29">
        <f>RANK(CX28,$B$28:$GQ$28,0)+COUNTIF($B$28:CX28,CX28)-1</f>
        <v/>
      </c>
      <c r="CY29">
        <f>RANK(CY28,$B$28:$GQ$28,0)+COUNTIF($B$28:CY28,CY28)-1</f>
        <v/>
      </c>
      <c r="CZ29">
        <f>RANK(CZ28,$B$28:$GQ$28,0)+COUNTIF($B$28:CZ28,CZ28)-1</f>
        <v/>
      </c>
      <c r="DA29">
        <f>RANK(DA28,$B$28:$GQ$28,0)+COUNTIF($B$28:DA28,DA28)-1</f>
        <v/>
      </c>
      <c r="DB29">
        <f>RANK(DB28,$B$28:$GQ$28,0)+COUNTIF($B$28:DB28,DB28)-1</f>
        <v/>
      </c>
      <c r="DC29">
        <f>RANK(DC28,$B$28:$GQ$28,0)+COUNTIF($B$28:DC28,DC28)-1</f>
        <v/>
      </c>
      <c r="DD29">
        <f>RANK(DD28,$B$28:$GQ$28,0)+COUNTIF($B$28:DD28,DD28)-1</f>
        <v/>
      </c>
      <c r="DE29">
        <f>RANK(DE28,$B$28:$GQ$28,0)+COUNTIF($B$28:DE28,DE28)-1</f>
        <v/>
      </c>
      <c r="DF29">
        <f>RANK(DF28,$B$28:$GQ$28,0)+COUNTIF($B$28:DF28,DF28)-1</f>
        <v/>
      </c>
      <c r="DG29">
        <f>RANK(DG28,$B$28:$GQ$28,0)+COUNTIF($B$28:DG28,DG28)-1</f>
        <v/>
      </c>
      <c r="DH29">
        <f>RANK(DH28,$B$28:$GQ$28,0)+COUNTIF($B$28:DH28,DH28)-1</f>
        <v/>
      </c>
      <c r="DI29">
        <f>RANK(DI28,$B$28:$GQ$28,0)+COUNTIF($B$28:DI28,DI28)-1</f>
        <v/>
      </c>
      <c r="DJ29">
        <f>RANK(DJ28,$B$28:$GQ$28,0)+COUNTIF($B$28:DJ28,DJ28)-1</f>
        <v/>
      </c>
      <c r="DK29">
        <f>RANK(DK28,$B$28:$GQ$28,0)+COUNTIF($B$28:DK28,DK28)-1</f>
        <v/>
      </c>
      <c r="DL29">
        <f>RANK(DL28,$B$28:$GQ$28,0)+COUNTIF($B$28:DL28,DL28)-1</f>
        <v/>
      </c>
      <c r="DM29">
        <f>RANK(DM28,$B$28:$GQ$28,0)+COUNTIF($B$28:DM28,DM28)-1</f>
        <v/>
      </c>
      <c r="DN29">
        <f>RANK(DN28,$B$28:$GQ$28,0)+COUNTIF($B$28:DN28,DN28)-1</f>
        <v/>
      </c>
      <c r="DO29">
        <f>RANK(DO28,$B$28:$GQ$28,0)+COUNTIF($B$28:DO28,DO28)-1</f>
        <v/>
      </c>
      <c r="DP29">
        <f>RANK(DP28,$B$28:$GQ$28,0)+COUNTIF($B$28:DP28,DP28)-1</f>
        <v/>
      </c>
      <c r="DQ29">
        <f>RANK(DQ28,$B$28:$GQ$28,0)+COUNTIF($B$28:DQ28,DQ28)-1</f>
        <v/>
      </c>
      <c r="DR29">
        <f>RANK(DR28,$B$28:$GQ$28,0)+COUNTIF($B$28:DR28,DR28)-1</f>
        <v/>
      </c>
      <c r="DS29">
        <f>RANK(DS28,$B$28:$GQ$28,0)+COUNTIF($B$28:DS28,DS28)-1</f>
        <v/>
      </c>
      <c r="DT29">
        <f>RANK(DT28,$B$28:$GQ$28,0)+COUNTIF($B$28:DT28,DT28)-1</f>
        <v/>
      </c>
      <c r="DU29">
        <f>RANK(DU28,$B$28:$GQ$28,0)+COUNTIF($B$28:DU28,DU28)-1</f>
        <v/>
      </c>
      <c r="DV29">
        <f>RANK(DV28,$B$28:$GQ$28,0)+COUNTIF($B$28:DV28,DV28)-1</f>
        <v/>
      </c>
      <c r="DW29">
        <f>RANK(DW28,$B$28:$GQ$28,0)+COUNTIF($B$28:DW28,DW28)-1</f>
        <v/>
      </c>
      <c r="DX29">
        <f>RANK(DX28,$B$28:$GQ$28,0)+COUNTIF($B$28:DX28,DX28)-1</f>
        <v/>
      </c>
      <c r="DY29">
        <f>RANK(DY28,$B$28:$GQ$28,0)+COUNTIF($B$28:DY28,DY28)-1</f>
        <v/>
      </c>
      <c r="DZ29">
        <f>RANK(DZ28,$B$28:$GQ$28,0)+COUNTIF($B$28:DZ28,DZ28)-1</f>
        <v/>
      </c>
      <c r="EA29">
        <f>RANK(EA28,$B$28:$GQ$28,0)+COUNTIF($B$28:EA28,EA28)-1</f>
        <v/>
      </c>
      <c r="EB29">
        <f>RANK(EB28,$B$28:$GQ$28,0)+COUNTIF($B$28:EB28,EB28)-1</f>
        <v/>
      </c>
      <c r="EC29">
        <f>RANK(EC28,$B$28:$GQ$28,0)+COUNTIF($B$28:EC28,EC28)-1</f>
        <v/>
      </c>
      <c r="ED29">
        <f>RANK(ED28,$B$28:$GQ$28,0)+COUNTIF($B$28:ED28,ED28)-1</f>
        <v/>
      </c>
      <c r="EE29">
        <f>RANK(EE28,$B$28:$GQ$28,0)+COUNTIF($B$28:EE28,EE28)-1</f>
        <v/>
      </c>
      <c r="EF29">
        <f>RANK(EF28,$B$28:$GQ$28,0)+COUNTIF($B$28:EF28,EF28)-1</f>
        <v/>
      </c>
      <c r="EG29">
        <f>RANK(EG28,$B$28:$GQ$28,0)+COUNTIF($B$28:EG28,EG28)-1</f>
        <v/>
      </c>
      <c r="EH29">
        <f>RANK(EH28,$B$28:$GQ$28,0)+COUNTIF($B$28:EH28,EH28)-1</f>
        <v/>
      </c>
      <c r="EI29">
        <f>RANK(EI28,$B$28:$GQ$28,0)+COUNTIF($B$28:EI28,EI28)-1</f>
        <v/>
      </c>
      <c r="EJ29">
        <f>RANK(EJ28,$B$28:$GQ$28,0)+COUNTIF($B$28:EJ28,EJ28)-1</f>
        <v/>
      </c>
      <c r="EK29">
        <f>RANK(EK28,$B$28:$GQ$28,0)+COUNTIF($B$28:EK28,EK28)-1</f>
        <v/>
      </c>
      <c r="EL29">
        <f>RANK(EL28,$B$28:$GQ$28,0)+COUNTIF($B$28:EL28,EL28)-1</f>
        <v/>
      </c>
      <c r="EM29">
        <f>RANK(EM28,$B$28:$GQ$28,0)+COUNTIF($B$28:EM28,EM28)-1</f>
        <v/>
      </c>
      <c r="EN29">
        <f>RANK(EN28,$B$28:$GQ$28,0)+COUNTIF($B$28:EN28,EN28)-1</f>
        <v/>
      </c>
      <c r="EO29">
        <f>RANK(EO28,$B$28:$GQ$28,0)+COUNTIF($B$28:EO28,EO28)-1</f>
        <v/>
      </c>
      <c r="EP29">
        <f>RANK(EP28,$B$28:$GQ$28,0)+COUNTIF($B$28:EP28,EP28)-1</f>
        <v/>
      </c>
      <c r="EQ29">
        <f>RANK(EQ28,$B$28:$GQ$28,0)+COUNTIF($B$28:EQ28,EQ28)-1</f>
        <v/>
      </c>
      <c r="ER29">
        <f>RANK(ER28,$B$28:$GQ$28,0)+COUNTIF($B$28:ER28,ER28)-1</f>
        <v/>
      </c>
      <c r="ES29">
        <f>RANK(ES28,$B$28:$GQ$28,0)+COUNTIF($B$28:ES28,ES28)-1</f>
        <v/>
      </c>
      <c r="ET29">
        <f>RANK(ET28,$B$28:$GQ$28,0)+COUNTIF($B$28:ET28,ET28)-1</f>
        <v/>
      </c>
      <c r="EU29">
        <f>RANK(EU28,$B$28:$GQ$28,0)+COUNTIF($B$28:EU28,EU28)-1</f>
        <v/>
      </c>
      <c r="EV29">
        <f>RANK(EV28,$B$28:$GQ$28,0)+COUNTIF($B$28:EV28,EV28)-1</f>
        <v/>
      </c>
      <c r="EW29">
        <f>RANK(EW28,$B$28:$GQ$28,0)+COUNTIF($B$28:EW28,EW28)-1</f>
        <v/>
      </c>
      <c r="EX29">
        <f>RANK(EX28,$B$28:$GQ$28,0)+COUNTIF($B$28:EX28,EX28)-1</f>
        <v/>
      </c>
      <c r="EY29">
        <f>RANK(EY28,$B$28:$GQ$28,0)+COUNTIF($B$28:EY28,EY28)-1</f>
        <v/>
      </c>
      <c r="EZ29">
        <f>RANK(EZ28,$B$28:$GQ$28,0)+COUNTIF($B$28:EZ28,EZ28)-1</f>
        <v/>
      </c>
      <c r="FA29">
        <f>RANK(FA28,$B$28:$GQ$28,0)+COUNTIF($B$28:FA28,FA28)-1</f>
        <v/>
      </c>
      <c r="FB29">
        <f>RANK(FB28,$B$28:$GQ$28,0)+COUNTIF($B$28:FB28,FB28)-1</f>
        <v/>
      </c>
      <c r="FC29">
        <f>RANK(FC28,$B$28:$GQ$28,0)+COUNTIF($B$28:FC28,FC28)-1</f>
        <v/>
      </c>
      <c r="FD29">
        <f>RANK(FD28,$B$28:$GQ$28,0)+COUNTIF($B$28:FD28,FD28)-1</f>
        <v/>
      </c>
      <c r="FE29">
        <f>RANK(FE28,$B$28:$GQ$28,0)+COUNTIF($B$28:FE28,FE28)-1</f>
        <v/>
      </c>
      <c r="FF29">
        <f>RANK(FF28,$B$28:$GQ$28,0)+COUNTIF($B$28:FF28,FF28)-1</f>
        <v/>
      </c>
      <c r="FG29">
        <f>RANK(FG28,$B$28:$GQ$28,0)+COUNTIF($B$28:FG28,FG28)-1</f>
        <v/>
      </c>
      <c r="FH29">
        <f>RANK(FH28,$B$28:$GQ$28,0)+COUNTIF($B$28:FH28,FH28)-1</f>
        <v/>
      </c>
      <c r="FI29">
        <f>RANK(FI28,$B$28:$GQ$28,0)+COUNTIF($B$28:FI28,FI28)-1</f>
        <v/>
      </c>
      <c r="FJ29">
        <f>RANK(FJ28,$B$28:$GQ$28,0)+COUNTIF($B$28:FJ28,FJ28)-1</f>
        <v/>
      </c>
      <c r="FK29">
        <f>RANK(FK28,$B$28:$GQ$28,0)+COUNTIF($B$28:FK28,FK28)-1</f>
        <v/>
      </c>
      <c r="FL29">
        <f>RANK(FL28,$B$28:$GQ$28,0)+COUNTIF($B$28:FL28,FL28)-1</f>
        <v/>
      </c>
      <c r="FM29">
        <f>RANK(FM28,$B$28:$GQ$28,0)+COUNTIF($B$28:FM28,FM28)-1</f>
        <v/>
      </c>
      <c r="FN29">
        <f>RANK(FN28,$B$28:$GQ$28,0)+COUNTIF($B$28:FN28,FN28)-1</f>
        <v/>
      </c>
      <c r="FO29">
        <f>RANK(FO28,$B$28:$GQ$28,0)+COUNTIF($B$28:FO28,FO28)-1</f>
        <v/>
      </c>
      <c r="FP29">
        <f>RANK(FP28,$B$28:$GQ$28,0)+COUNTIF($B$28:FP28,FP28)-1</f>
        <v/>
      </c>
      <c r="FQ29">
        <f>RANK(FQ28,$B$28:$GQ$28,0)+COUNTIF($B$28:FQ28,FQ28)-1</f>
        <v/>
      </c>
      <c r="FR29">
        <f>RANK(FR28,$B$28:$GQ$28,0)+COUNTIF($B$28:FR28,FR28)-1</f>
        <v/>
      </c>
      <c r="FS29">
        <f>RANK(FS28,$B$28:$GQ$28,0)+COUNTIF($B$28:FS28,FS28)-1</f>
        <v/>
      </c>
      <c r="FT29">
        <f>RANK(FT28,$B$28:$GQ$28,0)+COUNTIF($B$28:FT28,FT28)-1</f>
        <v/>
      </c>
      <c r="FU29">
        <f>RANK(FU28,$B$28:$GQ$28,0)+COUNTIF($B$28:FU28,FU28)-1</f>
        <v/>
      </c>
      <c r="FV29">
        <f>RANK(FV28,$B$28:$GQ$28,0)+COUNTIF($B$28:FV28,FV28)-1</f>
        <v/>
      </c>
      <c r="FW29">
        <f>RANK(FW28,$B$28:$GQ$28,0)+COUNTIF($B$28:FW28,FW28)-1</f>
        <v/>
      </c>
      <c r="FX29">
        <f>RANK(FX28,$B$28:$GQ$28,0)+COUNTIF($B$28:FX28,FX28)-1</f>
        <v/>
      </c>
      <c r="FY29">
        <f>RANK(FY28,$B$28:$GQ$28,0)+COUNTIF($B$28:FY28,FY28)-1</f>
        <v/>
      </c>
      <c r="FZ29">
        <f>RANK(FZ28,$B$28:$GQ$28,0)+COUNTIF($B$28:FZ28,FZ28)-1</f>
        <v/>
      </c>
      <c r="GA29">
        <f>RANK(GA28,$B$28:$GQ$28,0)+COUNTIF($B$28:GA28,GA28)-1</f>
        <v/>
      </c>
      <c r="GB29">
        <f>RANK(GB28,$B$28:$GQ$28,0)+COUNTIF($B$28:GB28,GB28)-1</f>
        <v/>
      </c>
      <c r="GC29">
        <f>RANK(GC28,$B$28:$GQ$28,0)+COUNTIF($B$28:GC28,GC28)-1</f>
        <v/>
      </c>
      <c r="GD29">
        <f>RANK(GD28,$B$28:$GQ$28,0)+COUNTIF($B$28:GD28,GD28)-1</f>
        <v/>
      </c>
      <c r="GE29">
        <f>RANK(GE28,$B$28:$GQ$28,0)+COUNTIF($B$28:GE28,GE28)-1</f>
        <v/>
      </c>
      <c r="GF29">
        <f>RANK(GF28,$B$28:$GQ$28,0)+COUNTIF($B$28:GF28,GF28)-1</f>
        <v/>
      </c>
      <c r="GG29">
        <f>RANK(GG28,$B$28:$GQ$28,0)+COUNTIF($B$28:GG28,GG28)-1</f>
        <v/>
      </c>
      <c r="GH29">
        <f>RANK(GH28,$B$28:$GQ$28,0)+COUNTIF($B$28:GH28,GH28)-1</f>
        <v/>
      </c>
      <c r="GI29">
        <f>RANK(GI28,$B$28:$GQ$28,0)+COUNTIF($B$28:GI28,GI28)-1</f>
        <v/>
      </c>
      <c r="GJ29">
        <f>RANK(GJ28,$B$28:$GQ$28,0)+COUNTIF($B$28:GJ28,GJ28)-1</f>
        <v/>
      </c>
      <c r="GK29">
        <f>RANK(GK28,$B$28:$GQ$28,0)+COUNTIF($B$28:GK28,GK28)-1</f>
        <v/>
      </c>
      <c r="GL29">
        <f>RANK(GL28,$B$28:$GQ$28,0)+COUNTIF($B$28:GL28,GL28)-1</f>
        <v/>
      </c>
      <c r="GM29">
        <f>RANK(GM28,$B$28:$GQ$28,0)+COUNTIF($B$28:GM28,GM28)-1</f>
        <v/>
      </c>
      <c r="GN29">
        <f>RANK(GN28,$B$28:$GQ$28,0)+COUNTIF($B$28:GN28,GN28)-1</f>
        <v/>
      </c>
      <c r="GO29">
        <f>RANK(GO28,$B$28:$GQ$28,0)+COUNTIF($B$28:GO28,GO28)-1</f>
        <v/>
      </c>
      <c r="GP29">
        <f>RANK(GP28,$B$28:$GQ$28,0)+COUNTIF($B$28:GP28,GP28)-1</f>
        <v/>
      </c>
      <c r="GQ29">
        <f>RANK(GQ28,$B$28:$GQ$28,0)+COUNTIF($B$28:GQ28,GQ28)-1</f>
        <v/>
      </c>
    </row>
    <row r="30">
      <c r="A30" s="1" t="inlineStr">
        <is>
          <t>Rang (catégories)</t>
        </is>
      </c>
      <c r="GR30">
        <f>RANK(GR28,$GR$28:$HC$28,0)+COUNTIF($GR$28:GR28,GR28)-1</f>
        <v/>
      </c>
      <c r="GS30">
        <f>RANK(GS28,$GR$28:$HC$28,0)+COUNTIF($GR$28:GS28,GS28)-1</f>
        <v/>
      </c>
      <c r="GT30">
        <f>RANK(GT28,$GR$28:$HC$28,0)+COUNTIF($GR$28:GT28,GT28)-1</f>
        <v/>
      </c>
      <c r="GU30">
        <f>RANK(GU28,$GR$28:$HC$28,0)+COUNTIF($GR$28:GU28,GU28)-1</f>
        <v/>
      </c>
      <c r="GV30">
        <f>RANK(GV28,$GR$28:$HC$28,0)+COUNTIF($GR$28:GV28,GV28)-1</f>
        <v/>
      </c>
      <c r="GW30">
        <f>RANK(GW28,$GR$28:$HC$28,0)+COUNTIF($GR$28:GW28,GW28)-1</f>
        <v/>
      </c>
      <c r="GX30">
        <f>RANK(GX28,$GR$28:$HC$28,0)+COUNTIF($GR$28:GX28,GX28)-1</f>
        <v/>
      </c>
      <c r="GY30">
        <f>RANK(GY28,$GR$28:$HC$28,0)+COUNTIF($GR$28:GY28,GY28)-1</f>
        <v/>
      </c>
      <c r="GZ30">
        <f>RANK(GZ28,$GR$28:$HC$28,0)+COUNTIF($GR$28:GZ28,GZ28)-1</f>
        <v/>
      </c>
      <c r="HA30">
        <f>RANK(HA28,$GR$28:$HC$28,0)+COUNTIF($GR$28:HA28,HA28)-1</f>
        <v/>
      </c>
      <c r="HB30">
        <f>RANK(HB28,$GR$28:$HC$28,0)+COUNTIF($GR$28:HB28,HB28)-1</f>
        <v/>
      </c>
      <c r="HC30">
        <f>RANK(HC28,$GR$28:$HC$28,0)+COUNTIF($GR$28:HC28,HC28)-1</f>
        <v/>
      </c>
    </row>
  </sheetData>
  <dataValidations count="1">
    <dataValidation sqref="B1" showDropDown="0" showInputMessage="0" showErrorMessage="0" allowBlank="0" type="list">
      <formula1>=$A$18:$A$27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Trier secteurs et catégories par (ordre décroissant) :</t>
        </is>
      </c>
      <c r="B1" s="2" t="inlineStr">
        <is>
          <t>M_imp*Y_dom+M_dom*Y_dom+M_row*Y_imp</t>
        </is>
      </c>
    </row>
    <row r="3">
      <c r="A3" s="1" t="inlineStr">
        <is>
          <t>Biodiversity loss - PDF</t>
        </is>
      </c>
      <c r="B3" s="1">
        <f>INDEX($B$17:$GQ$17,MATCH(1,$B$29:$GQ$29,0))</f>
        <v/>
      </c>
      <c r="C3" s="1">
        <f>INDEX($B$17:$GQ$17,MATCH(2,$B$29:$GQ$29,0))</f>
        <v/>
      </c>
      <c r="D3" s="1">
        <f>INDEX($B$17:$GQ$17,MATCH(3,$B$29:$GQ$29,0))</f>
        <v/>
      </c>
      <c r="E3" s="1">
        <f>INDEX($B$17:$GQ$17,MATCH(4,$B$29:$GQ$29,0))</f>
        <v/>
      </c>
      <c r="F3" s="1">
        <f>INDEX($B$17:$GQ$17,MATCH(5,$B$29:$GQ$29,0))</f>
        <v/>
      </c>
      <c r="G3" s="1">
        <f>INDEX($B$17:$GQ$17,MATCH(6,$B$29:$GQ$29,0))</f>
        <v/>
      </c>
      <c r="H3" s="1">
        <f>INDEX($B$17:$GQ$17,MATCH(7,$B$29:$GQ$29,0))</f>
        <v/>
      </c>
      <c r="I3" s="1">
        <f>INDEX($B$17:$GQ$17,MATCH(8,$B$29:$GQ$29,0))</f>
        <v/>
      </c>
      <c r="J3" s="1">
        <f>INDEX($B$17:$GQ$17,MATCH(9,$B$29:$GQ$29,0))</f>
        <v/>
      </c>
      <c r="K3" s="1">
        <f>INDEX($B$17:$GQ$17,MATCH(10,$B$29:$GQ$29,0))</f>
        <v/>
      </c>
      <c r="L3" s="1">
        <f>INDEX($B$17:$GQ$17,MATCH(11,$B$29:$GQ$29,0))</f>
        <v/>
      </c>
      <c r="M3" s="1">
        <f>INDEX($B$17:$GQ$17,MATCH(12,$B$29:$GQ$29,0))</f>
        <v/>
      </c>
      <c r="N3" s="1">
        <f>INDEX($B$17:$GQ$17,MATCH(13,$B$29:$GQ$29,0))</f>
        <v/>
      </c>
      <c r="O3" s="1">
        <f>INDEX($B$17:$GQ$17,MATCH(14,$B$29:$GQ$29,0))</f>
        <v/>
      </c>
      <c r="P3" s="1">
        <f>INDEX($B$17:$GQ$17,MATCH(15,$B$29:$GQ$29,0))</f>
        <v/>
      </c>
      <c r="Q3" s="1">
        <f>INDEX($B$17:$GQ$17,MATCH(16,$B$29:$GQ$29,0))</f>
        <v/>
      </c>
      <c r="R3" s="1">
        <f>INDEX($B$17:$GQ$17,MATCH(17,$B$29:$GQ$29,0))</f>
        <v/>
      </c>
      <c r="S3" s="1">
        <f>INDEX($B$17:$GQ$17,MATCH(18,$B$29:$GQ$29,0))</f>
        <v/>
      </c>
      <c r="T3" s="1">
        <f>INDEX($B$17:$GQ$17,MATCH(19,$B$29:$GQ$29,0))</f>
        <v/>
      </c>
      <c r="U3" s="1">
        <f>INDEX($B$17:$GQ$17,MATCH(20,$B$29:$GQ$29,0))</f>
        <v/>
      </c>
      <c r="V3" s="1">
        <f>INDEX($B$17:$GQ$17,MATCH(21,$B$29:$GQ$29,0))</f>
        <v/>
      </c>
      <c r="W3" s="1">
        <f>INDEX($B$17:$GQ$17,MATCH(22,$B$29:$GQ$29,0))</f>
        <v/>
      </c>
      <c r="X3" s="1">
        <f>INDEX($B$17:$GQ$17,MATCH(23,$B$29:$GQ$29,0))</f>
        <v/>
      </c>
      <c r="Y3" s="1">
        <f>INDEX($B$17:$GQ$17,MATCH(24,$B$29:$GQ$29,0))</f>
        <v/>
      </c>
      <c r="Z3" s="1">
        <f>INDEX($B$17:$GQ$17,MATCH(25,$B$29:$GQ$29,0))</f>
        <v/>
      </c>
      <c r="AA3" s="1">
        <f>INDEX($B$17:$GQ$17,MATCH(26,$B$29:$GQ$29,0))</f>
        <v/>
      </c>
      <c r="AB3" s="1">
        <f>INDEX($B$17:$GQ$17,MATCH(27,$B$29:$GQ$29,0))</f>
        <v/>
      </c>
      <c r="AC3" s="1">
        <f>INDEX($B$17:$GQ$17,MATCH(28,$B$29:$GQ$29,0))</f>
        <v/>
      </c>
      <c r="AD3" s="1">
        <f>INDEX($B$17:$GQ$17,MATCH(29,$B$29:$GQ$29,0))</f>
        <v/>
      </c>
      <c r="AE3" s="1">
        <f>INDEX($B$17:$GQ$17,MATCH(30,$B$29:$GQ$29,0))</f>
        <v/>
      </c>
      <c r="AF3" s="1">
        <f>INDEX($B$17:$GQ$17,MATCH(31,$B$29:$GQ$29,0))</f>
        <v/>
      </c>
      <c r="AG3" s="1">
        <f>INDEX($B$17:$GQ$17,MATCH(32,$B$29:$GQ$29,0))</f>
        <v/>
      </c>
      <c r="AH3" s="1">
        <f>INDEX($B$17:$GQ$17,MATCH(33,$B$29:$GQ$29,0))</f>
        <v/>
      </c>
      <c r="AI3" s="1">
        <f>INDEX($B$17:$GQ$17,MATCH(34,$B$29:$GQ$29,0))</f>
        <v/>
      </c>
      <c r="AJ3" s="1">
        <f>INDEX($B$17:$GQ$17,MATCH(35,$B$29:$GQ$29,0))</f>
        <v/>
      </c>
      <c r="AK3" s="1">
        <f>INDEX($B$17:$GQ$17,MATCH(36,$B$29:$GQ$29,0))</f>
        <v/>
      </c>
      <c r="AL3" s="1">
        <f>INDEX($B$17:$GQ$17,MATCH(37,$B$29:$GQ$29,0))</f>
        <v/>
      </c>
      <c r="AM3" s="1">
        <f>INDEX($B$17:$GQ$17,MATCH(38,$B$29:$GQ$29,0))</f>
        <v/>
      </c>
      <c r="AN3" s="1">
        <f>INDEX($B$17:$GQ$17,MATCH(39,$B$29:$GQ$29,0))</f>
        <v/>
      </c>
      <c r="AO3" s="1">
        <f>INDEX($B$17:$GQ$17,MATCH(40,$B$29:$GQ$29,0))</f>
        <v/>
      </c>
      <c r="AP3" s="1">
        <f>INDEX($B$17:$GQ$17,MATCH(41,$B$29:$GQ$29,0))</f>
        <v/>
      </c>
      <c r="AQ3" s="1">
        <f>INDEX($B$17:$GQ$17,MATCH(42,$B$29:$GQ$29,0))</f>
        <v/>
      </c>
      <c r="AR3" s="1">
        <f>INDEX($B$17:$GQ$17,MATCH(43,$B$29:$GQ$29,0))</f>
        <v/>
      </c>
      <c r="AS3" s="1">
        <f>INDEX($B$17:$GQ$17,MATCH(44,$B$29:$GQ$29,0))</f>
        <v/>
      </c>
      <c r="AT3" s="1">
        <f>INDEX($B$17:$GQ$17,MATCH(45,$B$29:$GQ$29,0))</f>
        <v/>
      </c>
      <c r="AU3" s="1">
        <f>INDEX($B$17:$GQ$17,MATCH(46,$B$29:$GQ$29,0))</f>
        <v/>
      </c>
      <c r="AV3" s="1">
        <f>INDEX($B$17:$GQ$17,MATCH(47,$B$29:$GQ$29,0))</f>
        <v/>
      </c>
      <c r="AW3" s="1">
        <f>INDEX($B$17:$GQ$17,MATCH(48,$B$29:$GQ$29,0))</f>
        <v/>
      </c>
      <c r="AX3" s="1">
        <f>INDEX($B$17:$GQ$17,MATCH(49,$B$29:$GQ$29,0))</f>
        <v/>
      </c>
      <c r="AY3" s="1">
        <f>INDEX($B$17:$GQ$17,MATCH(50,$B$29:$GQ$29,0))</f>
        <v/>
      </c>
      <c r="AZ3" s="1">
        <f>INDEX($B$17:$GQ$17,MATCH(51,$B$29:$GQ$29,0))</f>
        <v/>
      </c>
      <c r="BA3" s="1">
        <f>INDEX($B$17:$GQ$17,MATCH(52,$B$29:$GQ$29,0))</f>
        <v/>
      </c>
      <c r="BB3" s="1">
        <f>INDEX($B$17:$GQ$17,MATCH(53,$B$29:$GQ$29,0))</f>
        <v/>
      </c>
      <c r="BC3" s="1">
        <f>INDEX($B$17:$GQ$17,MATCH(54,$B$29:$GQ$29,0))</f>
        <v/>
      </c>
      <c r="BD3" s="1">
        <f>INDEX($B$17:$GQ$17,MATCH(55,$B$29:$GQ$29,0))</f>
        <v/>
      </c>
      <c r="BE3" s="1">
        <f>INDEX($B$17:$GQ$17,MATCH(56,$B$29:$GQ$29,0))</f>
        <v/>
      </c>
      <c r="BF3" s="1">
        <f>INDEX($B$17:$GQ$17,MATCH(57,$B$29:$GQ$29,0))</f>
        <v/>
      </c>
      <c r="BG3" s="1">
        <f>INDEX($B$17:$GQ$17,MATCH(58,$B$29:$GQ$29,0))</f>
        <v/>
      </c>
      <c r="BH3" s="1">
        <f>INDEX($B$17:$GQ$17,MATCH(59,$B$29:$GQ$29,0))</f>
        <v/>
      </c>
      <c r="BI3" s="1">
        <f>INDEX($B$17:$GQ$17,MATCH(60,$B$29:$GQ$29,0))</f>
        <v/>
      </c>
      <c r="BJ3" s="1">
        <f>INDEX($B$17:$GQ$17,MATCH(61,$B$29:$GQ$29,0))</f>
        <v/>
      </c>
      <c r="BK3" s="1">
        <f>INDEX($B$17:$GQ$17,MATCH(62,$B$29:$GQ$29,0))</f>
        <v/>
      </c>
      <c r="BL3" s="1">
        <f>INDEX($B$17:$GQ$17,MATCH(63,$B$29:$GQ$29,0))</f>
        <v/>
      </c>
      <c r="BM3" s="1">
        <f>INDEX($B$17:$GQ$17,MATCH(64,$B$29:$GQ$29,0))</f>
        <v/>
      </c>
      <c r="BN3" s="1">
        <f>INDEX($B$17:$GQ$17,MATCH(65,$B$29:$GQ$29,0))</f>
        <v/>
      </c>
      <c r="BO3" s="1">
        <f>INDEX($B$17:$GQ$17,MATCH(66,$B$29:$GQ$29,0))</f>
        <v/>
      </c>
      <c r="BP3" s="1">
        <f>INDEX($B$17:$GQ$17,MATCH(67,$B$29:$GQ$29,0))</f>
        <v/>
      </c>
      <c r="BQ3" s="1">
        <f>INDEX($B$17:$GQ$17,MATCH(68,$B$29:$GQ$29,0))</f>
        <v/>
      </c>
      <c r="BR3" s="1">
        <f>INDEX($B$17:$GQ$17,MATCH(69,$B$29:$GQ$29,0))</f>
        <v/>
      </c>
      <c r="BS3" s="1">
        <f>INDEX($B$17:$GQ$17,MATCH(70,$B$29:$GQ$29,0))</f>
        <v/>
      </c>
      <c r="BT3" s="1">
        <f>INDEX($B$17:$GQ$17,MATCH(71,$B$29:$GQ$29,0))</f>
        <v/>
      </c>
      <c r="BU3" s="1">
        <f>INDEX($B$17:$GQ$17,MATCH(72,$B$29:$GQ$29,0))</f>
        <v/>
      </c>
      <c r="BV3" s="1">
        <f>INDEX($B$17:$GQ$17,MATCH(73,$B$29:$GQ$29,0))</f>
        <v/>
      </c>
      <c r="BW3" s="1">
        <f>INDEX($B$17:$GQ$17,MATCH(74,$B$29:$GQ$29,0))</f>
        <v/>
      </c>
      <c r="BX3" s="1">
        <f>INDEX($B$17:$GQ$17,MATCH(75,$B$29:$GQ$29,0))</f>
        <v/>
      </c>
      <c r="BY3" s="1">
        <f>INDEX($B$17:$GQ$17,MATCH(76,$B$29:$GQ$29,0))</f>
        <v/>
      </c>
      <c r="BZ3" s="1">
        <f>INDEX($B$17:$GQ$17,MATCH(77,$B$29:$GQ$29,0))</f>
        <v/>
      </c>
      <c r="CA3" s="1">
        <f>INDEX($B$17:$GQ$17,MATCH(78,$B$29:$GQ$29,0))</f>
        <v/>
      </c>
      <c r="CB3" s="1">
        <f>INDEX($B$17:$GQ$17,MATCH(79,$B$29:$GQ$29,0))</f>
        <v/>
      </c>
      <c r="CC3" s="1">
        <f>INDEX($B$17:$GQ$17,MATCH(80,$B$29:$GQ$29,0))</f>
        <v/>
      </c>
      <c r="CD3" s="1">
        <f>INDEX($B$17:$GQ$17,MATCH(81,$B$29:$GQ$29,0))</f>
        <v/>
      </c>
      <c r="CE3" s="1">
        <f>INDEX($B$17:$GQ$17,MATCH(82,$B$29:$GQ$29,0))</f>
        <v/>
      </c>
      <c r="CF3" s="1">
        <f>INDEX($B$17:$GQ$17,MATCH(83,$B$29:$GQ$29,0))</f>
        <v/>
      </c>
      <c r="CG3" s="1">
        <f>INDEX($B$17:$GQ$17,MATCH(84,$B$29:$GQ$29,0))</f>
        <v/>
      </c>
      <c r="CH3" s="1">
        <f>INDEX($B$17:$GQ$17,MATCH(85,$B$29:$GQ$29,0))</f>
        <v/>
      </c>
      <c r="CI3" s="1">
        <f>INDEX($B$17:$GQ$17,MATCH(86,$B$29:$GQ$29,0))</f>
        <v/>
      </c>
      <c r="CJ3" s="1">
        <f>INDEX($B$17:$GQ$17,MATCH(87,$B$29:$GQ$29,0))</f>
        <v/>
      </c>
      <c r="CK3" s="1">
        <f>INDEX($B$17:$GQ$17,MATCH(88,$B$29:$GQ$29,0))</f>
        <v/>
      </c>
      <c r="CL3" s="1">
        <f>INDEX($B$17:$GQ$17,MATCH(89,$B$29:$GQ$29,0))</f>
        <v/>
      </c>
      <c r="CM3" s="1">
        <f>INDEX($B$17:$GQ$17,MATCH(90,$B$29:$GQ$29,0))</f>
        <v/>
      </c>
      <c r="CN3" s="1">
        <f>INDEX($B$17:$GQ$17,MATCH(91,$B$29:$GQ$29,0))</f>
        <v/>
      </c>
      <c r="CO3" s="1">
        <f>INDEX($B$17:$GQ$17,MATCH(92,$B$29:$GQ$29,0))</f>
        <v/>
      </c>
      <c r="CP3" s="1">
        <f>INDEX($B$17:$GQ$17,MATCH(93,$B$29:$GQ$29,0))</f>
        <v/>
      </c>
      <c r="CQ3" s="1">
        <f>INDEX($B$17:$GQ$17,MATCH(94,$B$29:$GQ$29,0))</f>
        <v/>
      </c>
      <c r="CR3" s="1">
        <f>INDEX($B$17:$GQ$17,MATCH(95,$B$29:$GQ$29,0))</f>
        <v/>
      </c>
      <c r="CS3" s="1">
        <f>INDEX($B$17:$GQ$17,MATCH(96,$B$29:$GQ$29,0))</f>
        <v/>
      </c>
      <c r="CT3" s="1">
        <f>INDEX($B$17:$GQ$17,MATCH(97,$B$29:$GQ$29,0))</f>
        <v/>
      </c>
      <c r="CU3" s="1">
        <f>INDEX($B$17:$GQ$17,MATCH(98,$B$29:$GQ$29,0))</f>
        <v/>
      </c>
      <c r="CV3" s="1">
        <f>INDEX($B$17:$GQ$17,MATCH(99,$B$29:$GQ$29,0))</f>
        <v/>
      </c>
      <c r="CW3" s="1">
        <f>INDEX($B$17:$GQ$17,MATCH(100,$B$29:$GQ$29,0))</f>
        <v/>
      </c>
      <c r="CX3" s="1">
        <f>INDEX($B$17:$GQ$17,MATCH(101,$B$29:$GQ$29,0))</f>
        <v/>
      </c>
      <c r="CY3" s="1">
        <f>INDEX($B$17:$GQ$17,MATCH(102,$B$29:$GQ$29,0))</f>
        <v/>
      </c>
      <c r="CZ3" s="1">
        <f>INDEX($B$17:$GQ$17,MATCH(103,$B$29:$GQ$29,0))</f>
        <v/>
      </c>
      <c r="DA3" s="1">
        <f>INDEX($B$17:$GQ$17,MATCH(104,$B$29:$GQ$29,0))</f>
        <v/>
      </c>
      <c r="DB3" s="1">
        <f>INDEX($B$17:$GQ$17,MATCH(105,$B$29:$GQ$29,0))</f>
        <v/>
      </c>
      <c r="DC3" s="1">
        <f>INDEX($B$17:$GQ$17,MATCH(106,$B$29:$GQ$29,0))</f>
        <v/>
      </c>
      <c r="DD3" s="1">
        <f>INDEX($B$17:$GQ$17,MATCH(107,$B$29:$GQ$29,0))</f>
        <v/>
      </c>
      <c r="DE3" s="1">
        <f>INDEX($B$17:$GQ$17,MATCH(108,$B$29:$GQ$29,0))</f>
        <v/>
      </c>
      <c r="DF3" s="1">
        <f>INDEX($B$17:$GQ$17,MATCH(109,$B$29:$GQ$29,0))</f>
        <v/>
      </c>
      <c r="DG3" s="1">
        <f>INDEX($B$17:$GQ$17,MATCH(110,$B$29:$GQ$29,0))</f>
        <v/>
      </c>
      <c r="DH3" s="1">
        <f>INDEX($B$17:$GQ$17,MATCH(111,$B$29:$GQ$29,0))</f>
        <v/>
      </c>
      <c r="DI3" s="1">
        <f>INDEX($B$17:$GQ$17,MATCH(112,$B$29:$GQ$29,0))</f>
        <v/>
      </c>
      <c r="DJ3" s="1">
        <f>INDEX($B$17:$GQ$17,MATCH(113,$B$29:$GQ$29,0))</f>
        <v/>
      </c>
      <c r="DK3" s="1">
        <f>INDEX($B$17:$GQ$17,MATCH(114,$B$29:$GQ$29,0))</f>
        <v/>
      </c>
      <c r="DL3" s="1">
        <f>INDEX($B$17:$GQ$17,MATCH(115,$B$29:$GQ$29,0))</f>
        <v/>
      </c>
      <c r="DM3" s="1">
        <f>INDEX($B$17:$GQ$17,MATCH(116,$B$29:$GQ$29,0))</f>
        <v/>
      </c>
      <c r="DN3" s="1">
        <f>INDEX($B$17:$GQ$17,MATCH(117,$B$29:$GQ$29,0))</f>
        <v/>
      </c>
      <c r="DO3" s="1">
        <f>INDEX($B$17:$GQ$17,MATCH(118,$B$29:$GQ$29,0))</f>
        <v/>
      </c>
      <c r="DP3" s="1">
        <f>INDEX($B$17:$GQ$17,MATCH(119,$B$29:$GQ$29,0))</f>
        <v/>
      </c>
      <c r="DQ3" s="1">
        <f>INDEX($B$17:$GQ$17,MATCH(120,$B$29:$GQ$29,0))</f>
        <v/>
      </c>
      <c r="DR3" s="1">
        <f>INDEX($B$17:$GQ$17,MATCH(121,$B$29:$GQ$29,0))</f>
        <v/>
      </c>
      <c r="DS3" s="1">
        <f>INDEX($B$17:$GQ$17,MATCH(122,$B$29:$GQ$29,0))</f>
        <v/>
      </c>
      <c r="DT3" s="1">
        <f>INDEX($B$17:$GQ$17,MATCH(123,$B$29:$GQ$29,0))</f>
        <v/>
      </c>
      <c r="DU3" s="1">
        <f>INDEX($B$17:$GQ$17,MATCH(124,$B$29:$GQ$29,0))</f>
        <v/>
      </c>
      <c r="DV3" s="1">
        <f>INDEX($B$17:$GQ$17,MATCH(125,$B$29:$GQ$29,0))</f>
        <v/>
      </c>
      <c r="DW3" s="1">
        <f>INDEX($B$17:$GQ$17,MATCH(126,$B$29:$GQ$29,0))</f>
        <v/>
      </c>
      <c r="DX3" s="1">
        <f>INDEX($B$17:$GQ$17,MATCH(127,$B$29:$GQ$29,0))</f>
        <v/>
      </c>
      <c r="DY3" s="1">
        <f>INDEX($B$17:$GQ$17,MATCH(128,$B$29:$GQ$29,0))</f>
        <v/>
      </c>
      <c r="DZ3" s="1">
        <f>INDEX($B$17:$GQ$17,MATCH(129,$B$29:$GQ$29,0))</f>
        <v/>
      </c>
      <c r="EA3" s="1">
        <f>INDEX($B$17:$GQ$17,MATCH(130,$B$29:$GQ$29,0))</f>
        <v/>
      </c>
      <c r="EB3" s="1">
        <f>INDEX($B$17:$GQ$17,MATCH(131,$B$29:$GQ$29,0))</f>
        <v/>
      </c>
      <c r="EC3" s="1">
        <f>INDEX($B$17:$GQ$17,MATCH(132,$B$29:$GQ$29,0))</f>
        <v/>
      </c>
      <c r="ED3" s="1">
        <f>INDEX($B$17:$GQ$17,MATCH(133,$B$29:$GQ$29,0))</f>
        <v/>
      </c>
      <c r="EE3" s="1">
        <f>INDEX($B$17:$GQ$17,MATCH(134,$B$29:$GQ$29,0))</f>
        <v/>
      </c>
      <c r="EF3" s="1">
        <f>INDEX($B$17:$GQ$17,MATCH(135,$B$29:$GQ$29,0))</f>
        <v/>
      </c>
      <c r="EG3" s="1">
        <f>INDEX($B$17:$GQ$17,MATCH(136,$B$29:$GQ$29,0))</f>
        <v/>
      </c>
      <c r="EH3" s="1">
        <f>INDEX($B$17:$GQ$17,MATCH(137,$B$29:$GQ$29,0))</f>
        <v/>
      </c>
      <c r="EI3" s="1">
        <f>INDEX($B$17:$GQ$17,MATCH(138,$B$29:$GQ$29,0))</f>
        <v/>
      </c>
      <c r="EJ3" s="1">
        <f>INDEX($B$17:$GQ$17,MATCH(139,$B$29:$GQ$29,0))</f>
        <v/>
      </c>
      <c r="EK3" s="1">
        <f>INDEX($B$17:$GQ$17,MATCH(140,$B$29:$GQ$29,0))</f>
        <v/>
      </c>
      <c r="EL3" s="1">
        <f>INDEX($B$17:$GQ$17,MATCH(141,$B$29:$GQ$29,0))</f>
        <v/>
      </c>
      <c r="EM3" s="1">
        <f>INDEX($B$17:$GQ$17,MATCH(142,$B$29:$GQ$29,0))</f>
        <v/>
      </c>
      <c r="EN3" s="1">
        <f>INDEX($B$17:$GQ$17,MATCH(143,$B$29:$GQ$29,0))</f>
        <v/>
      </c>
      <c r="EO3" s="1">
        <f>INDEX($B$17:$GQ$17,MATCH(144,$B$29:$GQ$29,0))</f>
        <v/>
      </c>
      <c r="EP3" s="1">
        <f>INDEX($B$17:$GQ$17,MATCH(145,$B$29:$GQ$29,0))</f>
        <v/>
      </c>
      <c r="EQ3" s="1">
        <f>INDEX($B$17:$GQ$17,MATCH(146,$B$29:$GQ$29,0))</f>
        <v/>
      </c>
      <c r="ER3" s="1">
        <f>INDEX($B$17:$GQ$17,MATCH(147,$B$29:$GQ$29,0))</f>
        <v/>
      </c>
      <c r="ES3" s="1">
        <f>INDEX($B$17:$GQ$17,MATCH(148,$B$29:$GQ$29,0))</f>
        <v/>
      </c>
      <c r="ET3" s="1">
        <f>INDEX($B$17:$GQ$17,MATCH(149,$B$29:$GQ$29,0))</f>
        <v/>
      </c>
      <c r="EU3" s="1">
        <f>INDEX($B$17:$GQ$17,MATCH(150,$B$29:$GQ$29,0))</f>
        <v/>
      </c>
      <c r="EV3" s="1">
        <f>INDEX($B$17:$GQ$17,MATCH(151,$B$29:$GQ$29,0))</f>
        <v/>
      </c>
      <c r="EW3" s="1">
        <f>INDEX($B$17:$GQ$17,MATCH(152,$B$29:$GQ$29,0))</f>
        <v/>
      </c>
      <c r="EX3" s="1">
        <f>INDEX($B$17:$GQ$17,MATCH(153,$B$29:$GQ$29,0))</f>
        <v/>
      </c>
      <c r="EY3" s="1">
        <f>INDEX($B$17:$GQ$17,MATCH(154,$B$29:$GQ$29,0))</f>
        <v/>
      </c>
      <c r="EZ3" s="1">
        <f>INDEX($B$17:$GQ$17,MATCH(155,$B$29:$GQ$29,0))</f>
        <v/>
      </c>
      <c r="FA3" s="1">
        <f>INDEX($B$17:$GQ$17,MATCH(156,$B$29:$GQ$29,0))</f>
        <v/>
      </c>
      <c r="FB3" s="1">
        <f>INDEX($B$17:$GQ$17,MATCH(157,$B$29:$GQ$29,0))</f>
        <v/>
      </c>
      <c r="FC3" s="1">
        <f>INDEX($B$17:$GQ$17,MATCH(158,$B$29:$GQ$29,0))</f>
        <v/>
      </c>
      <c r="FD3" s="1">
        <f>INDEX($B$17:$GQ$17,MATCH(159,$B$29:$GQ$29,0))</f>
        <v/>
      </c>
      <c r="FE3" s="1">
        <f>INDEX($B$17:$GQ$17,MATCH(160,$B$29:$GQ$29,0))</f>
        <v/>
      </c>
      <c r="FF3" s="1">
        <f>INDEX($B$17:$GQ$17,MATCH(161,$B$29:$GQ$29,0))</f>
        <v/>
      </c>
      <c r="FG3" s="1">
        <f>INDEX($B$17:$GQ$17,MATCH(162,$B$29:$GQ$29,0))</f>
        <v/>
      </c>
      <c r="FH3" s="1">
        <f>INDEX($B$17:$GQ$17,MATCH(163,$B$29:$GQ$29,0))</f>
        <v/>
      </c>
      <c r="FI3" s="1">
        <f>INDEX($B$17:$GQ$17,MATCH(164,$B$29:$GQ$29,0))</f>
        <v/>
      </c>
      <c r="FJ3" s="1">
        <f>INDEX($B$17:$GQ$17,MATCH(165,$B$29:$GQ$29,0))</f>
        <v/>
      </c>
      <c r="FK3" s="1">
        <f>INDEX($B$17:$GQ$17,MATCH(166,$B$29:$GQ$29,0))</f>
        <v/>
      </c>
      <c r="FL3" s="1">
        <f>INDEX($B$17:$GQ$17,MATCH(167,$B$29:$GQ$29,0))</f>
        <v/>
      </c>
      <c r="FM3" s="1">
        <f>INDEX($B$17:$GQ$17,MATCH(168,$B$29:$GQ$29,0))</f>
        <v/>
      </c>
      <c r="FN3" s="1">
        <f>INDEX($B$17:$GQ$17,MATCH(169,$B$29:$GQ$29,0))</f>
        <v/>
      </c>
      <c r="FO3" s="1">
        <f>INDEX($B$17:$GQ$17,MATCH(170,$B$29:$GQ$29,0))</f>
        <v/>
      </c>
      <c r="FP3" s="1">
        <f>INDEX($B$17:$GQ$17,MATCH(171,$B$29:$GQ$29,0))</f>
        <v/>
      </c>
      <c r="FQ3" s="1">
        <f>INDEX($B$17:$GQ$17,MATCH(172,$B$29:$GQ$29,0))</f>
        <v/>
      </c>
      <c r="FR3" s="1">
        <f>INDEX($B$17:$GQ$17,MATCH(173,$B$29:$GQ$29,0))</f>
        <v/>
      </c>
      <c r="FS3" s="1">
        <f>INDEX($B$17:$GQ$17,MATCH(174,$B$29:$GQ$29,0))</f>
        <v/>
      </c>
      <c r="FT3" s="1">
        <f>INDEX($B$17:$GQ$17,MATCH(175,$B$29:$GQ$29,0))</f>
        <v/>
      </c>
      <c r="FU3" s="1">
        <f>INDEX($B$17:$GQ$17,MATCH(176,$B$29:$GQ$29,0))</f>
        <v/>
      </c>
      <c r="FV3" s="1">
        <f>INDEX($B$17:$GQ$17,MATCH(177,$B$29:$GQ$29,0))</f>
        <v/>
      </c>
      <c r="FW3" s="1">
        <f>INDEX($B$17:$GQ$17,MATCH(178,$B$29:$GQ$29,0))</f>
        <v/>
      </c>
      <c r="FX3" s="1">
        <f>INDEX($B$17:$GQ$17,MATCH(179,$B$29:$GQ$29,0))</f>
        <v/>
      </c>
      <c r="FY3" s="1">
        <f>INDEX($B$17:$GQ$17,MATCH(180,$B$29:$GQ$29,0))</f>
        <v/>
      </c>
      <c r="FZ3" s="1">
        <f>INDEX($B$17:$GQ$17,MATCH(181,$B$29:$GQ$29,0))</f>
        <v/>
      </c>
      <c r="GA3" s="1">
        <f>INDEX($B$17:$GQ$17,MATCH(182,$B$29:$GQ$29,0))</f>
        <v/>
      </c>
      <c r="GB3" s="1">
        <f>INDEX($B$17:$GQ$17,MATCH(183,$B$29:$GQ$29,0))</f>
        <v/>
      </c>
      <c r="GC3" s="1">
        <f>INDEX($B$17:$GQ$17,MATCH(184,$B$29:$GQ$29,0))</f>
        <v/>
      </c>
      <c r="GD3" s="1">
        <f>INDEX($B$17:$GQ$17,MATCH(185,$B$29:$GQ$29,0))</f>
        <v/>
      </c>
      <c r="GE3" s="1">
        <f>INDEX($B$17:$GQ$17,MATCH(186,$B$29:$GQ$29,0))</f>
        <v/>
      </c>
      <c r="GF3" s="1">
        <f>INDEX($B$17:$GQ$17,MATCH(187,$B$29:$GQ$29,0))</f>
        <v/>
      </c>
      <c r="GG3" s="1">
        <f>INDEX($B$17:$GQ$17,MATCH(188,$B$29:$GQ$29,0))</f>
        <v/>
      </c>
      <c r="GH3" s="1">
        <f>INDEX($B$17:$GQ$17,MATCH(189,$B$29:$GQ$29,0))</f>
        <v/>
      </c>
      <c r="GI3" s="1">
        <f>INDEX($B$17:$GQ$17,MATCH(190,$B$29:$GQ$29,0))</f>
        <v/>
      </c>
      <c r="GJ3" s="1">
        <f>INDEX($B$17:$GQ$17,MATCH(191,$B$29:$GQ$29,0))</f>
        <v/>
      </c>
      <c r="GK3" s="1">
        <f>INDEX($B$17:$GQ$17,MATCH(192,$B$29:$GQ$29,0))</f>
        <v/>
      </c>
      <c r="GL3" s="1">
        <f>INDEX($B$17:$GQ$17,MATCH(193,$B$29:$GQ$29,0))</f>
        <v/>
      </c>
      <c r="GM3" s="1">
        <f>INDEX($B$17:$GQ$17,MATCH(194,$B$29:$GQ$29,0))</f>
        <v/>
      </c>
      <c r="GN3" s="1">
        <f>INDEX($B$17:$GQ$17,MATCH(195,$B$29:$GQ$29,0))</f>
        <v/>
      </c>
      <c r="GO3" s="1">
        <f>INDEX($B$17:$GQ$17,MATCH(196,$B$29:$GQ$29,0))</f>
        <v/>
      </c>
      <c r="GP3" s="1">
        <f>INDEX($B$17:$GQ$17,MATCH(197,$B$29:$GQ$29,0))</f>
        <v/>
      </c>
      <c r="GQ3" s="1">
        <f>INDEX($B$17:$GQ$17,MATCH(198,$B$29:$GQ$29,0))</f>
        <v/>
      </c>
      <c r="GR3" s="1">
        <f>INDEX($GR$17:$HC$17,MATCH(1,$GR$30:$HC$30,0))</f>
        <v/>
      </c>
      <c r="GS3" s="1">
        <f>INDEX($GR$17:$HC$17,MATCH(2,$GR$30:$HC$30,0))</f>
        <v/>
      </c>
      <c r="GT3" s="1">
        <f>INDEX($GR$17:$HC$17,MATCH(3,$GR$30:$HC$30,0))</f>
        <v/>
      </c>
      <c r="GU3" s="1">
        <f>INDEX($GR$17:$HC$17,MATCH(4,$GR$30:$HC$30,0))</f>
        <v/>
      </c>
      <c r="GV3" s="1">
        <f>INDEX($GR$17:$HC$17,MATCH(5,$GR$30:$HC$30,0))</f>
        <v/>
      </c>
      <c r="GW3" s="1">
        <f>INDEX($GR$17:$HC$17,MATCH(6,$GR$30:$HC$30,0))</f>
        <v/>
      </c>
      <c r="GX3" s="1">
        <f>INDEX($GR$17:$HC$17,MATCH(7,$GR$30:$HC$30,0))</f>
        <v/>
      </c>
      <c r="GY3" s="1">
        <f>INDEX($GR$17:$HC$17,MATCH(8,$GR$30:$HC$30,0))</f>
        <v/>
      </c>
      <c r="GZ3" s="1">
        <f>INDEX($GR$17:$HC$17,MATCH(9,$GR$30:$HC$30,0))</f>
        <v/>
      </c>
      <c r="HA3" s="1">
        <f>INDEX($GR$17:$HC$17,MATCH(10,$GR$30:$HC$30,0))</f>
        <v/>
      </c>
      <c r="HB3" s="1">
        <f>INDEX($GR$17:$HC$17,MATCH(11,$GR$30:$HC$30,0))</f>
        <v/>
      </c>
      <c r="HC3" s="1">
        <f>INDEX($GR$17:$HC$17,MATCH(12,$GR$30:$HC$30,0))</f>
        <v/>
      </c>
    </row>
    <row r="4">
      <c r="A4" s="1" t="inlineStr">
        <is>
          <t>M_imp</t>
        </is>
      </c>
      <c r="B4">
        <f>INDEX($B$18:$GQ$18,MATCH(1,$B$29:$GQ$29,0))</f>
        <v/>
      </c>
      <c r="C4">
        <f>INDEX($B$18:$GQ$18,MATCH(2,$B$29:$GQ$29,0))</f>
        <v/>
      </c>
      <c r="D4">
        <f>INDEX($B$18:$GQ$18,MATCH(3,$B$29:$GQ$29,0))</f>
        <v/>
      </c>
      <c r="E4">
        <f>INDEX($B$18:$GQ$18,MATCH(4,$B$29:$GQ$29,0))</f>
        <v/>
      </c>
      <c r="F4">
        <f>INDEX($B$18:$GQ$18,MATCH(5,$B$29:$GQ$29,0))</f>
        <v/>
      </c>
      <c r="G4">
        <f>INDEX($B$18:$GQ$18,MATCH(6,$B$29:$GQ$29,0))</f>
        <v/>
      </c>
      <c r="H4">
        <f>INDEX($B$18:$GQ$18,MATCH(7,$B$29:$GQ$29,0))</f>
        <v/>
      </c>
      <c r="I4">
        <f>INDEX($B$18:$GQ$18,MATCH(8,$B$29:$GQ$29,0))</f>
        <v/>
      </c>
      <c r="J4">
        <f>INDEX($B$18:$GQ$18,MATCH(9,$B$29:$GQ$29,0))</f>
        <v/>
      </c>
      <c r="K4">
        <f>INDEX($B$18:$GQ$18,MATCH(10,$B$29:$GQ$29,0))</f>
        <v/>
      </c>
      <c r="L4">
        <f>INDEX($B$18:$GQ$18,MATCH(11,$B$29:$GQ$29,0))</f>
        <v/>
      </c>
      <c r="M4">
        <f>INDEX($B$18:$GQ$18,MATCH(12,$B$29:$GQ$29,0))</f>
        <v/>
      </c>
      <c r="N4">
        <f>INDEX($B$18:$GQ$18,MATCH(13,$B$29:$GQ$29,0))</f>
        <v/>
      </c>
      <c r="O4">
        <f>INDEX($B$18:$GQ$18,MATCH(14,$B$29:$GQ$29,0))</f>
        <v/>
      </c>
      <c r="P4">
        <f>INDEX($B$18:$GQ$18,MATCH(15,$B$29:$GQ$29,0))</f>
        <v/>
      </c>
      <c r="Q4">
        <f>INDEX($B$18:$GQ$18,MATCH(16,$B$29:$GQ$29,0))</f>
        <v/>
      </c>
      <c r="R4">
        <f>INDEX($B$18:$GQ$18,MATCH(17,$B$29:$GQ$29,0))</f>
        <v/>
      </c>
      <c r="S4">
        <f>INDEX($B$18:$GQ$18,MATCH(18,$B$29:$GQ$29,0))</f>
        <v/>
      </c>
      <c r="T4">
        <f>INDEX($B$18:$GQ$18,MATCH(19,$B$29:$GQ$29,0))</f>
        <v/>
      </c>
      <c r="U4">
        <f>INDEX($B$18:$GQ$18,MATCH(20,$B$29:$GQ$29,0))</f>
        <v/>
      </c>
      <c r="V4">
        <f>INDEX($B$18:$GQ$18,MATCH(21,$B$29:$GQ$29,0))</f>
        <v/>
      </c>
      <c r="W4">
        <f>INDEX($B$18:$GQ$18,MATCH(22,$B$29:$GQ$29,0))</f>
        <v/>
      </c>
      <c r="X4">
        <f>INDEX($B$18:$GQ$18,MATCH(23,$B$29:$GQ$29,0))</f>
        <v/>
      </c>
      <c r="Y4">
        <f>INDEX($B$18:$GQ$18,MATCH(24,$B$29:$GQ$29,0))</f>
        <v/>
      </c>
      <c r="Z4">
        <f>INDEX($B$18:$GQ$18,MATCH(25,$B$29:$GQ$29,0))</f>
        <v/>
      </c>
      <c r="AA4">
        <f>INDEX($B$18:$GQ$18,MATCH(26,$B$29:$GQ$29,0))</f>
        <v/>
      </c>
      <c r="AB4">
        <f>INDEX($B$18:$GQ$18,MATCH(27,$B$29:$GQ$29,0))</f>
        <v/>
      </c>
      <c r="AC4">
        <f>INDEX($B$18:$GQ$18,MATCH(28,$B$29:$GQ$29,0))</f>
        <v/>
      </c>
      <c r="AD4">
        <f>INDEX($B$18:$GQ$18,MATCH(29,$B$29:$GQ$29,0))</f>
        <v/>
      </c>
      <c r="AE4">
        <f>INDEX($B$18:$GQ$18,MATCH(30,$B$29:$GQ$29,0))</f>
        <v/>
      </c>
      <c r="AF4">
        <f>INDEX($B$18:$GQ$18,MATCH(31,$B$29:$GQ$29,0))</f>
        <v/>
      </c>
      <c r="AG4">
        <f>INDEX($B$18:$GQ$18,MATCH(32,$B$29:$GQ$29,0))</f>
        <v/>
      </c>
      <c r="AH4">
        <f>INDEX($B$18:$GQ$18,MATCH(33,$B$29:$GQ$29,0))</f>
        <v/>
      </c>
      <c r="AI4">
        <f>INDEX($B$18:$GQ$18,MATCH(34,$B$29:$GQ$29,0))</f>
        <v/>
      </c>
      <c r="AJ4">
        <f>INDEX($B$18:$GQ$18,MATCH(35,$B$29:$GQ$29,0))</f>
        <v/>
      </c>
      <c r="AK4">
        <f>INDEX($B$18:$GQ$18,MATCH(36,$B$29:$GQ$29,0))</f>
        <v/>
      </c>
      <c r="AL4">
        <f>INDEX($B$18:$GQ$18,MATCH(37,$B$29:$GQ$29,0))</f>
        <v/>
      </c>
      <c r="AM4">
        <f>INDEX($B$18:$GQ$18,MATCH(38,$B$29:$GQ$29,0))</f>
        <v/>
      </c>
      <c r="AN4">
        <f>INDEX($B$18:$GQ$18,MATCH(39,$B$29:$GQ$29,0))</f>
        <v/>
      </c>
      <c r="AO4">
        <f>INDEX($B$18:$GQ$18,MATCH(40,$B$29:$GQ$29,0))</f>
        <v/>
      </c>
      <c r="AP4">
        <f>INDEX($B$18:$GQ$18,MATCH(41,$B$29:$GQ$29,0))</f>
        <v/>
      </c>
      <c r="AQ4">
        <f>INDEX($B$18:$GQ$18,MATCH(42,$B$29:$GQ$29,0))</f>
        <v/>
      </c>
      <c r="AR4">
        <f>INDEX($B$18:$GQ$18,MATCH(43,$B$29:$GQ$29,0))</f>
        <v/>
      </c>
      <c r="AS4">
        <f>INDEX($B$18:$GQ$18,MATCH(44,$B$29:$GQ$29,0))</f>
        <v/>
      </c>
      <c r="AT4">
        <f>INDEX($B$18:$GQ$18,MATCH(45,$B$29:$GQ$29,0))</f>
        <v/>
      </c>
      <c r="AU4">
        <f>INDEX($B$18:$GQ$18,MATCH(46,$B$29:$GQ$29,0))</f>
        <v/>
      </c>
      <c r="AV4">
        <f>INDEX($B$18:$GQ$18,MATCH(47,$B$29:$GQ$29,0))</f>
        <v/>
      </c>
      <c r="AW4">
        <f>INDEX($B$18:$GQ$18,MATCH(48,$B$29:$GQ$29,0))</f>
        <v/>
      </c>
      <c r="AX4">
        <f>INDEX($B$18:$GQ$18,MATCH(49,$B$29:$GQ$29,0))</f>
        <v/>
      </c>
      <c r="AY4">
        <f>INDEX($B$18:$GQ$18,MATCH(50,$B$29:$GQ$29,0))</f>
        <v/>
      </c>
      <c r="AZ4">
        <f>INDEX($B$18:$GQ$18,MATCH(51,$B$29:$GQ$29,0))</f>
        <v/>
      </c>
      <c r="BA4">
        <f>INDEX($B$18:$GQ$18,MATCH(52,$B$29:$GQ$29,0))</f>
        <v/>
      </c>
      <c r="BB4">
        <f>INDEX($B$18:$GQ$18,MATCH(53,$B$29:$GQ$29,0))</f>
        <v/>
      </c>
      <c r="BC4">
        <f>INDEX($B$18:$GQ$18,MATCH(54,$B$29:$GQ$29,0))</f>
        <v/>
      </c>
      <c r="BD4">
        <f>INDEX($B$18:$GQ$18,MATCH(55,$B$29:$GQ$29,0))</f>
        <v/>
      </c>
      <c r="BE4">
        <f>INDEX($B$18:$GQ$18,MATCH(56,$B$29:$GQ$29,0))</f>
        <v/>
      </c>
      <c r="BF4">
        <f>INDEX($B$18:$GQ$18,MATCH(57,$B$29:$GQ$29,0))</f>
        <v/>
      </c>
      <c r="BG4">
        <f>INDEX($B$18:$GQ$18,MATCH(58,$B$29:$GQ$29,0))</f>
        <v/>
      </c>
      <c r="BH4">
        <f>INDEX($B$18:$GQ$18,MATCH(59,$B$29:$GQ$29,0))</f>
        <v/>
      </c>
      <c r="BI4">
        <f>INDEX($B$18:$GQ$18,MATCH(60,$B$29:$GQ$29,0))</f>
        <v/>
      </c>
      <c r="BJ4">
        <f>INDEX($B$18:$GQ$18,MATCH(61,$B$29:$GQ$29,0))</f>
        <v/>
      </c>
      <c r="BK4">
        <f>INDEX($B$18:$GQ$18,MATCH(62,$B$29:$GQ$29,0))</f>
        <v/>
      </c>
      <c r="BL4">
        <f>INDEX($B$18:$GQ$18,MATCH(63,$B$29:$GQ$29,0))</f>
        <v/>
      </c>
      <c r="BM4">
        <f>INDEX($B$18:$GQ$18,MATCH(64,$B$29:$GQ$29,0))</f>
        <v/>
      </c>
      <c r="BN4">
        <f>INDEX($B$18:$GQ$18,MATCH(65,$B$29:$GQ$29,0))</f>
        <v/>
      </c>
      <c r="BO4">
        <f>INDEX($B$18:$GQ$18,MATCH(66,$B$29:$GQ$29,0))</f>
        <v/>
      </c>
      <c r="BP4">
        <f>INDEX($B$18:$GQ$18,MATCH(67,$B$29:$GQ$29,0))</f>
        <v/>
      </c>
      <c r="BQ4">
        <f>INDEX($B$18:$GQ$18,MATCH(68,$B$29:$GQ$29,0))</f>
        <v/>
      </c>
      <c r="BR4">
        <f>INDEX($B$18:$GQ$18,MATCH(69,$B$29:$GQ$29,0))</f>
        <v/>
      </c>
      <c r="BS4">
        <f>INDEX($B$18:$GQ$18,MATCH(70,$B$29:$GQ$29,0))</f>
        <v/>
      </c>
      <c r="BT4">
        <f>INDEX($B$18:$GQ$18,MATCH(71,$B$29:$GQ$29,0))</f>
        <v/>
      </c>
      <c r="BU4">
        <f>INDEX($B$18:$GQ$18,MATCH(72,$B$29:$GQ$29,0))</f>
        <v/>
      </c>
      <c r="BV4">
        <f>INDEX($B$18:$GQ$18,MATCH(73,$B$29:$GQ$29,0))</f>
        <v/>
      </c>
      <c r="BW4">
        <f>INDEX($B$18:$GQ$18,MATCH(74,$B$29:$GQ$29,0))</f>
        <v/>
      </c>
      <c r="BX4">
        <f>INDEX($B$18:$GQ$18,MATCH(75,$B$29:$GQ$29,0))</f>
        <v/>
      </c>
      <c r="BY4">
        <f>INDEX($B$18:$GQ$18,MATCH(76,$B$29:$GQ$29,0))</f>
        <v/>
      </c>
      <c r="BZ4">
        <f>INDEX($B$18:$GQ$18,MATCH(77,$B$29:$GQ$29,0))</f>
        <v/>
      </c>
      <c r="CA4">
        <f>INDEX($B$18:$GQ$18,MATCH(78,$B$29:$GQ$29,0))</f>
        <v/>
      </c>
      <c r="CB4">
        <f>INDEX($B$18:$GQ$18,MATCH(79,$B$29:$GQ$29,0))</f>
        <v/>
      </c>
      <c r="CC4">
        <f>INDEX($B$18:$GQ$18,MATCH(80,$B$29:$GQ$29,0))</f>
        <v/>
      </c>
      <c r="CD4">
        <f>INDEX($B$18:$GQ$18,MATCH(81,$B$29:$GQ$29,0))</f>
        <v/>
      </c>
      <c r="CE4">
        <f>INDEX($B$18:$GQ$18,MATCH(82,$B$29:$GQ$29,0))</f>
        <v/>
      </c>
      <c r="CF4">
        <f>INDEX($B$18:$GQ$18,MATCH(83,$B$29:$GQ$29,0))</f>
        <v/>
      </c>
      <c r="CG4">
        <f>INDEX($B$18:$GQ$18,MATCH(84,$B$29:$GQ$29,0))</f>
        <v/>
      </c>
      <c r="CH4">
        <f>INDEX($B$18:$GQ$18,MATCH(85,$B$29:$GQ$29,0))</f>
        <v/>
      </c>
      <c r="CI4">
        <f>INDEX($B$18:$GQ$18,MATCH(86,$B$29:$GQ$29,0))</f>
        <v/>
      </c>
      <c r="CJ4">
        <f>INDEX($B$18:$GQ$18,MATCH(87,$B$29:$GQ$29,0))</f>
        <v/>
      </c>
      <c r="CK4">
        <f>INDEX($B$18:$GQ$18,MATCH(88,$B$29:$GQ$29,0))</f>
        <v/>
      </c>
      <c r="CL4">
        <f>INDEX($B$18:$GQ$18,MATCH(89,$B$29:$GQ$29,0))</f>
        <v/>
      </c>
      <c r="CM4">
        <f>INDEX($B$18:$GQ$18,MATCH(90,$B$29:$GQ$29,0))</f>
        <v/>
      </c>
      <c r="CN4">
        <f>INDEX($B$18:$GQ$18,MATCH(91,$B$29:$GQ$29,0))</f>
        <v/>
      </c>
      <c r="CO4">
        <f>INDEX($B$18:$GQ$18,MATCH(92,$B$29:$GQ$29,0))</f>
        <v/>
      </c>
      <c r="CP4">
        <f>INDEX($B$18:$GQ$18,MATCH(93,$B$29:$GQ$29,0))</f>
        <v/>
      </c>
      <c r="CQ4">
        <f>INDEX($B$18:$GQ$18,MATCH(94,$B$29:$GQ$29,0))</f>
        <v/>
      </c>
      <c r="CR4">
        <f>INDEX($B$18:$GQ$18,MATCH(95,$B$29:$GQ$29,0))</f>
        <v/>
      </c>
      <c r="CS4">
        <f>INDEX($B$18:$GQ$18,MATCH(96,$B$29:$GQ$29,0))</f>
        <v/>
      </c>
      <c r="CT4">
        <f>INDEX($B$18:$GQ$18,MATCH(97,$B$29:$GQ$29,0))</f>
        <v/>
      </c>
      <c r="CU4">
        <f>INDEX($B$18:$GQ$18,MATCH(98,$B$29:$GQ$29,0))</f>
        <v/>
      </c>
      <c r="CV4">
        <f>INDEX($B$18:$GQ$18,MATCH(99,$B$29:$GQ$29,0))</f>
        <v/>
      </c>
      <c r="CW4">
        <f>INDEX($B$18:$GQ$18,MATCH(100,$B$29:$GQ$29,0))</f>
        <v/>
      </c>
      <c r="CX4">
        <f>INDEX($B$18:$GQ$18,MATCH(101,$B$29:$GQ$29,0))</f>
        <v/>
      </c>
      <c r="CY4">
        <f>INDEX($B$18:$GQ$18,MATCH(102,$B$29:$GQ$29,0))</f>
        <v/>
      </c>
      <c r="CZ4">
        <f>INDEX($B$18:$GQ$18,MATCH(103,$B$29:$GQ$29,0))</f>
        <v/>
      </c>
      <c r="DA4">
        <f>INDEX($B$18:$GQ$18,MATCH(104,$B$29:$GQ$29,0))</f>
        <v/>
      </c>
      <c r="DB4">
        <f>INDEX($B$18:$GQ$18,MATCH(105,$B$29:$GQ$29,0))</f>
        <v/>
      </c>
      <c r="DC4">
        <f>INDEX($B$18:$GQ$18,MATCH(106,$B$29:$GQ$29,0))</f>
        <v/>
      </c>
      <c r="DD4">
        <f>INDEX($B$18:$GQ$18,MATCH(107,$B$29:$GQ$29,0))</f>
        <v/>
      </c>
      <c r="DE4">
        <f>INDEX($B$18:$GQ$18,MATCH(108,$B$29:$GQ$29,0))</f>
        <v/>
      </c>
      <c r="DF4">
        <f>INDEX($B$18:$GQ$18,MATCH(109,$B$29:$GQ$29,0))</f>
        <v/>
      </c>
      <c r="DG4">
        <f>INDEX($B$18:$GQ$18,MATCH(110,$B$29:$GQ$29,0))</f>
        <v/>
      </c>
      <c r="DH4">
        <f>INDEX($B$18:$GQ$18,MATCH(111,$B$29:$GQ$29,0))</f>
        <v/>
      </c>
      <c r="DI4">
        <f>INDEX($B$18:$GQ$18,MATCH(112,$B$29:$GQ$29,0))</f>
        <v/>
      </c>
      <c r="DJ4">
        <f>INDEX($B$18:$GQ$18,MATCH(113,$B$29:$GQ$29,0))</f>
        <v/>
      </c>
      <c r="DK4">
        <f>INDEX($B$18:$GQ$18,MATCH(114,$B$29:$GQ$29,0))</f>
        <v/>
      </c>
      <c r="DL4">
        <f>INDEX($B$18:$GQ$18,MATCH(115,$B$29:$GQ$29,0))</f>
        <v/>
      </c>
      <c r="DM4">
        <f>INDEX($B$18:$GQ$18,MATCH(116,$B$29:$GQ$29,0))</f>
        <v/>
      </c>
      <c r="DN4">
        <f>INDEX($B$18:$GQ$18,MATCH(117,$B$29:$GQ$29,0))</f>
        <v/>
      </c>
      <c r="DO4">
        <f>INDEX($B$18:$GQ$18,MATCH(118,$B$29:$GQ$29,0))</f>
        <v/>
      </c>
      <c r="DP4">
        <f>INDEX($B$18:$GQ$18,MATCH(119,$B$29:$GQ$29,0))</f>
        <v/>
      </c>
      <c r="DQ4">
        <f>INDEX($B$18:$GQ$18,MATCH(120,$B$29:$GQ$29,0))</f>
        <v/>
      </c>
      <c r="DR4">
        <f>INDEX($B$18:$GQ$18,MATCH(121,$B$29:$GQ$29,0))</f>
        <v/>
      </c>
      <c r="DS4">
        <f>INDEX($B$18:$GQ$18,MATCH(122,$B$29:$GQ$29,0))</f>
        <v/>
      </c>
      <c r="DT4">
        <f>INDEX($B$18:$GQ$18,MATCH(123,$B$29:$GQ$29,0))</f>
        <v/>
      </c>
      <c r="DU4">
        <f>INDEX($B$18:$GQ$18,MATCH(124,$B$29:$GQ$29,0))</f>
        <v/>
      </c>
      <c r="DV4">
        <f>INDEX($B$18:$GQ$18,MATCH(125,$B$29:$GQ$29,0))</f>
        <v/>
      </c>
      <c r="DW4">
        <f>INDEX($B$18:$GQ$18,MATCH(126,$B$29:$GQ$29,0))</f>
        <v/>
      </c>
      <c r="DX4">
        <f>INDEX($B$18:$GQ$18,MATCH(127,$B$29:$GQ$29,0))</f>
        <v/>
      </c>
      <c r="DY4">
        <f>INDEX($B$18:$GQ$18,MATCH(128,$B$29:$GQ$29,0))</f>
        <v/>
      </c>
      <c r="DZ4">
        <f>INDEX($B$18:$GQ$18,MATCH(129,$B$29:$GQ$29,0))</f>
        <v/>
      </c>
      <c r="EA4">
        <f>INDEX($B$18:$GQ$18,MATCH(130,$B$29:$GQ$29,0))</f>
        <v/>
      </c>
      <c r="EB4">
        <f>INDEX($B$18:$GQ$18,MATCH(131,$B$29:$GQ$29,0))</f>
        <v/>
      </c>
      <c r="EC4">
        <f>INDEX($B$18:$GQ$18,MATCH(132,$B$29:$GQ$29,0))</f>
        <v/>
      </c>
      <c r="ED4">
        <f>INDEX($B$18:$GQ$18,MATCH(133,$B$29:$GQ$29,0))</f>
        <v/>
      </c>
      <c r="EE4">
        <f>INDEX($B$18:$GQ$18,MATCH(134,$B$29:$GQ$29,0))</f>
        <v/>
      </c>
      <c r="EF4">
        <f>INDEX($B$18:$GQ$18,MATCH(135,$B$29:$GQ$29,0))</f>
        <v/>
      </c>
      <c r="EG4">
        <f>INDEX($B$18:$GQ$18,MATCH(136,$B$29:$GQ$29,0))</f>
        <v/>
      </c>
      <c r="EH4">
        <f>INDEX($B$18:$GQ$18,MATCH(137,$B$29:$GQ$29,0))</f>
        <v/>
      </c>
      <c r="EI4">
        <f>INDEX($B$18:$GQ$18,MATCH(138,$B$29:$GQ$29,0))</f>
        <v/>
      </c>
      <c r="EJ4">
        <f>INDEX($B$18:$GQ$18,MATCH(139,$B$29:$GQ$29,0))</f>
        <v/>
      </c>
      <c r="EK4">
        <f>INDEX($B$18:$GQ$18,MATCH(140,$B$29:$GQ$29,0))</f>
        <v/>
      </c>
      <c r="EL4">
        <f>INDEX($B$18:$GQ$18,MATCH(141,$B$29:$GQ$29,0))</f>
        <v/>
      </c>
      <c r="EM4">
        <f>INDEX($B$18:$GQ$18,MATCH(142,$B$29:$GQ$29,0))</f>
        <v/>
      </c>
      <c r="EN4">
        <f>INDEX($B$18:$GQ$18,MATCH(143,$B$29:$GQ$29,0))</f>
        <v/>
      </c>
      <c r="EO4">
        <f>INDEX($B$18:$GQ$18,MATCH(144,$B$29:$GQ$29,0))</f>
        <v/>
      </c>
      <c r="EP4">
        <f>INDEX($B$18:$GQ$18,MATCH(145,$B$29:$GQ$29,0))</f>
        <v/>
      </c>
      <c r="EQ4">
        <f>INDEX($B$18:$GQ$18,MATCH(146,$B$29:$GQ$29,0))</f>
        <v/>
      </c>
      <c r="ER4">
        <f>INDEX($B$18:$GQ$18,MATCH(147,$B$29:$GQ$29,0))</f>
        <v/>
      </c>
      <c r="ES4">
        <f>INDEX($B$18:$GQ$18,MATCH(148,$B$29:$GQ$29,0))</f>
        <v/>
      </c>
      <c r="ET4">
        <f>INDEX($B$18:$GQ$18,MATCH(149,$B$29:$GQ$29,0))</f>
        <v/>
      </c>
      <c r="EU4">
        <f>INDEX($B$18:$GQ$18,MATCH(150,$B$29:$GQ$29,0))</f>
        <v/>
      </c>
      <c r="EV4">
        <f>INDEX($B$18:$GQ$18,MATCH(151,$B$29:$GQ$29,0))</f>
        <v/>
      </c>
      <c r="EW4">
        <f>INDEX($B$18:$GQ$18,MATCH(152,$B$29:$GQ$29,0))</f>
        <v/>
      </c>
      <c r="EX4">
        <f>INDEX($B$18:$GQ$18,MATCH(153,$B$29:$GQ$29,0))</f>
        <v/>
      </c>
      <c r="EY4">
        <f>INDEX($B$18:$GQ$18,MATCH(154,$B$29:$GQ$29,0))</f>
        <v/>
      </c>
      <c r="EZ4">
        <f>INDEX($B$18:$GQ$18,MATCH(155,$B$29:$GQ$29,0))</f>
        <v/>
      </c>
      <c r="FA4">
        <f>INDEX($B$18:$GQ$18,MATCH(156,$B$29:$GQ$29,0))</f>
        <v/>
      </c>
      <c r="FB4">
        <f>INDEX($B$18:$GQ$18,MATCH(157,$B$29:$GQ$29,0))</f>
        <v/>
      </c>
      <c r="FC4">
        <f>INDEX($B$18:$GQ$18,MATCH(158,$B$29:$GQ$29,0))</f>
        <v/>
      </c>
      <c r="FD4">
        <f>INDEX($B$18:$GQ$18,MATCH(159,$B$29:$GQ$29,0))</f>
        <v/>
      </c>
      <c r="FE4">
        <f>INDEX($B$18:$GQ$18,MATCH(160,$B$29:$GQ$29,0))</f>
        <v/>
      </c>
      <c r="FF4">
        <f>INDEX($B$18:$GQ$18,MATCH(161,$B$29:$GQ$29,0))</f>
        <v/>
      </c>
      <c r="FG4">
        <f>INDEX($B$18:$GQ$18,MATCH(162,$B$29:$GQ$29,0))</f>
        <v/>
      </c>
      <c r="FH4">
        <f>INDEX($B$18:$GQ$18,MATCH(163,$B$29:$GQ$29,0))</f>
        <v/>
      </c>
      <c r="FI4">
        <f>INDEX($B$18:$GQ$18,MATCH(164,$B$29:$GQ$29,0))</f>
        <v/>
      </c>
      <c r="FJ4">
        <f>INDEX($B$18:$GQ$18,MATCH(165,$B$29:$GQ$29,0))</f>
        <v/>
      </c>
      <c r="FK4">
        <f>INDEX($B$18:$GQ$18,MATCH(166,$B$29:$GQ$29,0))</f>
        <v/>
      </c>
      <c r="FL4">
        <f>INDEX($B$18:$GQ$18,MATCH(167,$B$29:$GQ$29,0))</f>
        <v/>
      </c>
      <c r="FM4">
        <f>INDEX($B$18:$GQ$18,MATCH(168,$B$29:$GQ$29,0))</f>
        <v/>
      </c>
      <c r="FN4">
        <f>INDEX($B$18:$GQ$18,MATCH(169,$B$29:$GQ$29,0))</f>
        <v/>
      </c>
      <c r="FO4">
        <f>INDEX($B$18:$GQ$18,MATCH(170,$B$29:$GQ$29,0))</f>
        <v/>
      </c>
      <c r="FP4">
        <f>INDEX($B$18:$GQ$18,MATCH(171,$B$29:$GQ$29,0))</f>
        <v/>
      </c>
      <c r="FQ4">
        <f>INDEX($B$18:$GQ$18,MATCH(172,$B$29:$GQ$29,0))</f>
        <v/>
      </c>
      <c r="FR4">
        <f>INDEX($B$18:$GQ$18,MATCH(173,$B$29:$GQ$29,0))</f>
        <v/>
      </c>
      <c r="FS4">
        <f>INDEX($B$18:$GQ$18,MATCH(174,$B$29:$GQ$29,0))</f>
        <v/>
      </c>
      <c r="FT4">
        <f>INDEX($B$18:$GQ$18,MATCH(175,$B$29:$GQ$29,0))</f>
        <v/>
      </c>
      <c r="FU4">
        <f>INDEX($B$18:$GQ$18,MATCH(176,$B$29:$GQ$29,0))</f>
        <v/>
      </c>
      <c r="FV4">
        <f>INDEX($B$18:$GQ$18,MATCH(177,$B$29:$GQ$29,0))</f>
        <v/>
      </c>
      <c r="FW4">
        <f>INDEX($B$18:$GQ$18,MATCH(178,$B$29:$GQ$29,0))</f>
        <v/>
      </c>
      <c r="FX4">
        <f>INDEX($B$18:$GQ$18,MATCH(179,$B$29:$GQ$29,0))</f>
        <v/>
      </c>
      <c r="FY4">
        <f>INDEX($B$18:$GQ$18,MATCH(180,$B$29:$GQ$29,0))</f>
        <v/>
      </c>
      <c r="FZ4">
        <f>INDEX($B$18:$GQ$18,MATCH(181,$B$29:$GQ$29,0))</f>
        <v/>
      </c>
      <c r="GA4">
        <f>INDEX($B$18:$GQ$18,MATCH(182,$B$29:$GQ$29,0))</f>
        <v/>
      </c>
      <c r="GB4">
        <f>INDEX($B$18:$GQ$18,MATCH(183,$B$29:$GQ$29,0))</f>
        <v/>
      </c>
      <c r="GC4">
        <f>INDEX($B$18:$GQ$18,MATCH(184,$B$29:$GQ$29,0))</f>
        <v/>
      </c>
      <c r="GD4">
        <f>INDEX($B$18:$GQ$18,MATCH(185,$B$29:$GQ$29,0))</f>
        <v/>
      </c>
      <c r="GE4">
        <f>INDEX($B$18:$GQ$18,MATCH(186,$B$29:$GQ$29,0))</f>
        <v/>
      </c>
      <c r="GF4">
        <f>INDEX($B$18:$GQ$18,MATCH(187,$B$29:$GQ$29,0))</f>
        <v/>
      </c>
      <c r="GG4">
        <f>INDEX($B$18:$GQ$18,MATCH(188,$B$29:$GQ$29,0))</f>
        <v/>
      </c>
      <c r="GH4">
        <f>INDEX($B$18:$GQ$18,MATCH(189,$B$29:$GQ$29,0))</f>
        <v/>
      </c>
      <c r="GI4">
        <f>INDEX($B$18:$GQ$18,MATCH(190,$B$29:$GQ$29,0))</f>
        <v/>
      </c>
      <c r="GJ4">
        <f>INDEX($B$18:$GQ$18,MATCH(191,$B$29:$GQ$29,0))</f>
        <v/>
      </c>
      <c r="GK4">
        <f>INDEX($B$18:$GQ$18,MATCH(192,$B$29:$GQ$29,0))</f>
        <v/>
      </c>
      <c r="GL4">
        <f>INDEX($B$18:$GQ$18,MATCH(193,$B$29:$GQ$29,0))</f>
        <v/>
      </c>
      <c r="GM4">
        <f>INDEX($B$18:$GQ$18,MATCH(194,$B$29:$GQ$29,0))</f>
        <v/>
      </c>
      <c r="GN4">
        <f>INDEX($B$18:$GQ$18,MATCH(195,$B$29:$GQ$29,0))</f>
        <v/>
      </c>
      <c r="GO4">
        <f>INDEX($B$18:$GQ$18,MATCH(196,$B$29:$GQ$29,0))</f>
        <v/>
      </c>
      <c r="GP4">
        <f>INDEX($B$18:$GQ$18,MATCH(197,$B$29:$GQ$29,0))</f>
        <v/>
      </c>
      <c r="GQ4">
        <f>INDEX($B$18:$GQ$18,MATCH(198,$B$29:$GQ$29,0))</f>
        <v/>
      </c>
      <c r="GR4">
        <f>INDEX($GR$18:$HC$18,MATCH(1,$GR$30:$HC$30,0))</f>
        <v/>
      </c>
      <c r="GS4">
        <f>INDEX($GR$18:$HC$18,MATCH(2,$GR$30:$HC$30,0))</f>
        <v/>
      </c>
      <c r="GT4">
        <f>INDEX($GR$18:$HC$18,MATCH(3,$GR$30:$HC$30,0))</f>
        <v/>
      </c>
      <c r="GU4">
        <f>INDEX($GR$18:$HC$18,MATCH(4,$GR$30:$HC$30,0))</f>
        <v/>
      </c>
      <c r="GV4">
        <f>INDEX($GR$18:$HC$18,MATCH(5,$GR$30:$HC$30,0))</f>
        <v/>
      </c>
      <c r="GW4">
        <f>INDEX($GR$18:$HC$18,MATCH(6,$GR$30:$HC$30,0))</f>
        <v/>
      </c>
      <c r="GX4">
        <f>INDEX($GR$18:$HC$18,MATCH(7,$GR$30:$HC$30,0))</f>
        <v/>
      </c>
      <c r="GY4">
        <f>INDEX($GR$18:$HC$18,MATCH(8,$GR$30:$HC$30,0))</f>
        <v/>
      </c>
      <c r="GZ4">
        <f>INDEX($GR$18:$HC$18,MATCH(9,$GR$30:$HC$30,0))</f>
        <v/>
      </c>
      <c r="HA4">
        <f>INDEX($GR$18:$HC$18,MATCH(10,$GR$30:$HC$30,0))</f>
        <v/>
      </c>
      <c r="HB4">
        <f>INDEX($GR$18:$HC$18,MATCH(11,$GR$30:$HC$30,0))</f>
        <v/>
      </c>
      <c r="HC4">
        <f>INDEX($GR$18:$HC$18,MATCH(12,$GR$30:$HC$30,0))</f>
        <v/>
      </c>
    </row>
    <row r="5">
      <c r="A5" s="1" t="inlineStr">
        <is>
          <t>M_dom</t>
        </is>
      </c>
      <c r="B5">
        <f>INDEX($B$19:$GQ$19,MATCH(1,$B$29:$GQ$29,0))</f>
        <v/>
      </c>
      <c r="C5">
        <f>INDEX($B$19:$GQ$19,MATCH(2,$B$29:$GQ$29,0))</f>
        <v/>
      </c>
      <c r="D5">
        <f>INDEX($B$19:$GQ$19,MATCH(3,$B$29:$GQ$29,0))</f>
        <v/>
      </c>
      <c r="E5">
        <f>INDEX($B$19:$GQ$19,MATCH(4,$B$29:$GQ$29,0))</f>
        <v/>
      </c>
      <c r="F5">
        <f>INDEX($B$19:$GQ$19,MATCH(5,$B$29:$GQ$29,0))</f>
        <v/>
      </c>
      <c r="G5">
        <f>INDEX($B$19:$GQ$19,MATCH(6,$B$29:$GQ$29,0))</f>
        <v/>
      </c>
      <c r="H5">
        <f>INDEX($B$19:$GQ$19,MATCH(7,$B$29:$GQ$29,0))</f>
        <v/>
      </c>
      <c r="I5">
        <f>INDEX($B$19:$GQ$19,MATCH(8,$B$29:$GQ$29,0))</f>
        <v/>
      </c>
      <c r="J5">
        <f>INDEX($B$19:$GQ$19,MATCH(9,$B$29:$GQ$29,0))</f>
        <v/>
      </c>
      <c r="K5">
        <f>INDEX($B$19:$GQ$19,MATCH(10,$B$29:$GQ$29,0))</f>
        <v/>
      </c>
      <c r="L5">
        <f>INDEX($B$19:$GQ$19,MATCH(11,$B$29:$GQ$29,0))</f>
        <v/>
      </c>
      <c r="M5">
        <f>INDEX($B$19:$GQ$19,MATCH(12,$B$29:$GQ$29,0))</f>
        <v/>
      </c>
      <c r="N5">
        <f>INDEX($B$19:$GQ$19,MATCH(13,$B$29:$GQ$29,0))</f>
        <v/>
      </c>
      <c r="O5">
        <f>INDEX($B$19:$GQ$19,MATCH(14,$B$29:$GQ$29,0))</f>
        <v/>
      </c>
      <c r="P5">
        <f>INDEX($B$19:$GQ$19,MATCH(15,$B$29:$GQ$29,0))</f>
        <v/>
      </c>
      <c r="Q5">
        <f>INDEX($B$19:$GQ$19,MATCH(16,$B$29:$GQ$29,0))</f>
        <v/>
      </c>
      <c r="R5">
        <f>INDEX($B$19:$GQ$19,MATCH(17,$B$29:$GQ$29,0))</f>
        <v/>
      </c>
      <c r="S5">
        <f>INDEX($B$19:$GQ$19,MATCH(18,$B$29:$GQ$29,0))</f>
        <v/>
      </c>
      <c r="T5">
        <f>INDEX($B$19:$GQ$19,MATCH(19,$B$29:$GQ$29,0))</f>
        <v/>
      </c>
      <c r="U5">
        <f>INDEX($B$19:$GQ$19,MATCH(20,$B$29:$GQ$29,0))</f>
        <v/>
      </c>
      <c r="V5">
        <f>INDEX($B$19:$GQ$19,MATCH(21,$B$29:$GQ$29,0))</f>
        <v/>
      </c>
      <c r="W5">
        <f>INDEX($B$19:$GQ$19,MATCH(22,$B$29:$GQ$29,0))</f>
        <v/>
      </c>
      <c r="X5">
        <f>INDEX($B$19:$GQ$19,MATCH(23,$B$29:$GQ$29,0))</f>
        <v/>
      </c>
      <c r="Y5">
        <f>INDEX($B$19:$GQ$19,MATCH(24,$B$29:$GQ$29,0))</f>
        <v/>
      </c>
      <c r="Z5">
        <f>INDEX($B$19:$GQ$19,MATCH(25,$B$29:$GQ$29,0))</f>
        <v/>
      </c>
      <c r="AA5">
        <f>INDEX($B$19:$GQ$19,MATCH(26,$B$29:$GQ$29,0))</f>
        <v/>
      </c>
      <c r="AB5">
        <f>INDEX($B$19:$GQ$19,MATCH(27,$B$29:$GQ$29,0))</f>
        <v/>
      </c>
      <c r="AC5">
        <f>INDEX($B$19:$GQ$19,MATCH(28,$B$29:$GQ$29,0))</f>
        <v/>
      </c>
      <c r="AD5">
        <f>INDEX($B$19:$GQ$19,MATCH(29,$B$29:$GQ$29,0))</f>
        <v/>
      </c>
      <c r="AE5">
        <f>INDEX($B$19:$GQ$19,MATCH(30,$B$29:$GQ$29,0))</f>
        <v/>
      </c>
      <c r="AF5">
        <f>INDEX($B$19:$GQ$19,MATCH(31,$B$29:$GQ$29,0))</f>
        <v/>
      </c>
      <c r="AG5">
        <f>INDEX($B$19:$GQ$19,MATCH(32,$B$29:$GQ$29,0))</f>
        <v/>
      </c>
      <c r="AH5">
        <f>INDEX($B$19:$GQ$19,MATCH(33,$B$29:$GQ$29,0))</f>
        <v/>
      </c>
      <c r="AI5">
        <f>INDEX($B$19:$GQ$19,MATCH(34,$B$29:$GQ$29,0))</f>
        <v/>
      </c>
      <c r="AJ5">
        <f>INDEX($B$19:$GQ$19,MATCH(35,$B$29:$GQ$29,0))</f>
        <v/>
      </c>
      <c r="AK5">
        <f>INDEX($B$19:$GQ$19,MATCH(36,$B$29:$GQ$29,0))</f>
        <v/>
      </c>
      <c r="AL5">
        <f>INDEX($B$19:$GQ$19,MATCH(37,$B$29:$GQ$29,0))</f>
        <v/>
      </c>
      <c r="AM5">
        <f>INDEX($B$19:$GQ$19,MATCH(38,$B$29:$GQ$29,0))</f>
        <v/>
      </c>
      <c r="AN5">
        <f>INDEX($B$19:$GQ$19,MATCH(39,$B$29:$GQ$29,0))</f>
        <v/>
      </c>
      <c r="AO5">
        <f>INDEX($B$19:$GQ$19,MATCH(40,$B$29:$GQ$29,0))</f>
        <v/>
      </c>
      <c r="AP5">
        <f>INDEX($B$19:$GQ$19,MATCH(41,$B$29:$GQ$29,0))</f>
        <v/>
      </c>
      <c r="AQ5">
        <f>INDEX($B$19:$GQ$19,MATCH(42,$B$29:$GQ$29,0))</f>
        <v/>
      </c>
      <c r="AR5">
        <f>INDEX($B$19:$GQ$19,MATCH(43,$B$29:$GQ$29,0))</f>
        <v/>
      </c>
      <c r="AS5">
        <f>INDEX($B$19:$GQ$19,MATCH(44,$B$29:$GQ$29,0))</f>
        <v/>
      </c>
      <c r="AT5">
        <f>INDEX($B$19:$GQ$19,MATCH(45,$B$29:$GQ$29,0))</f>
        <v/>
      </c>
      <c r="AU5">
        <f>INDEX($B$19:$GQ$19,MATCH(46,$B$29:$GQ$29,0))</f>
        <v/>
      </c>
      <c r="AV5">
        <f>INDEX($B$19:$GQ$19,MATCH(47,$B$29:$GQ$29,0))</f>
        <v/>
      </c>
      <c r="AW5">
        <f>INDEX($B$19:$GQ$19,MATCH(48,$B$29:$GQ$29,0))</f>
        <v/>
      </c>
      <c r="AX5">
        <f>INDEX($B$19:$GQ$19,MATCH(49,$B$29:$GQ$29,0))</f>
        <v/>
      </c>
      <c r="AY5">
        <f>INDEX($B$19:$GQ$19,MATCH(50,$B$29:$GQ$29,0))</f>
        <v/>
      </c>
      <c r="AZ5">
        <f>INDEX($B$19:$GQ$19,MATCH(51,$B$29:$GQ$29,0))</f>
        <v/>
      </c>
      <c r="BA5">
        <f>INDEX($B$19:$GQ$19,MATCH(52,$B$29:$GQ$29,0))</f>
        <v/>
      </c>
      <c r="BB5">
        <f>INDEX($B$19:$GQ$19,MATCH(53,$B$29:$GQ$29,0))</f>
        <v/>
      </c>
      <c r="BC5">
        <f>INDEX($B$19:$GQ$19,MATCH(54,$B$29:$GQ$29,0))</f>
        <v/>
      </c>
      <c r="BD5">
        <f>INDEX($B$19:$GQ$19,MATCH(55,$B$29:$GQ$29,0))</f>
        <v/>
      </c>
      <c r="BE5">
        <f>INDEX($B$19:$GQ$19,MATCH(56,$B$29:$GQ$29,0))</f>
        <v/>
      </c>
      <c r="BF5">
        <f>INDEX($B$19:$GQ$19,MATCH(57,$B$29:$GQ$29,0))</f>
        <v/>
      </c>
      <c r="BG5">
        <f>INDEX($B$19:$GQ$19,MATCH(58,$B$29:$GQ$29,0))</f>
        <v/>
      </c>
      <c r="BH5">
        <f>INDEX($B$19:$GQ$19,MATCH(59,$B$29:$GQ$29,0))</f>
        <v/>
      </c>
      <c r="BI5">
        <f>INDEX($B$19:$GQ$19,MATCH(60,$B$29:$GQ$29,0))</f>
        <v/>
      </c>
      <c r="BJ5">
        <f>INDEX($B$19:$GQ$19,MATCH(61,$B$29:$GQ$29,0))</f>
        <v/>
      </c>
      <c r="BK5">
        <f>INDEX($B$19:$GQ$19,MATCH(62,$B$29:$GQ$29,0))</f>
        <v/>
      </c>
      <c r="BL5">
        <f>INDEX($B$19:$GQ$19,MATCH(63,$B$29:$GQ$29,0))</f>
        <v/>
      </c>
      <c r="BM5">
        <f>INDEX($B$19:$GQ$19,MATCH(64,$B$29:$GQ$29,0))</f>
        <v/>
      </c>
      <c r="BN5">
        <f>INDEX($B$19:$GQ$19,MATCH(65,$B$29:$GQ$29,0))</f>
        <v/>
      </c>
      <c r="BO5">
        <f>INDEX($B$19:$GQ$19,MATCH(66,$B$29:$GQ$29,0))</f>
        <v/>
      </c>
      <c r="BP5">
        <f>INDEX($B$19:$GQ$19,MATCH(67,$B$29:$GQ$29,0))</f>
        <v/>
      </c>
      <c r="BQ5">
        <f>INDEX($B$19:$GQ$19,MATCH(68,$B$29:$GQ$29,0))</f>
        <v/>
      </c>
      <c r="BR5">
        <f>INDEX($B$19:$GQ$19,MATCH(69,$B$29:$GQ$29,0))</f>
        <v/>
      </c>
      <c r="BS5">
        <f>INDEX($B$19:$GQ$19,MATCH(70,$B$29:$GQ$29,0))</f>
        <v/>
      </c>
      <c r="BT5">
        <f>INDEX($B$19:$GQ$19,MATCH(71,$B$29:$GQ$29,0))</f>
        <v/>
      </c>
      <c r="BU5">
        <f>INDEX($B$19:$GQ$19,MATCH(72,$B$29:$GQ$29,0))</f>
        <v/>
      </c>
      <c r="BV5">
        <f>INDEX($B$19:$GQ$19,MATCH(73,$B$29:$GQ$29,0))</f>
        <v/>
      </c>
      <c r="BW5">
        <f>INDEX($B$19:$GQ$19,MATCH(74,$B$29:$GQ$29,0))</f>
        <v/>
      </c>
      <c r="BX5">
        <f>INDEX($B$19:$GQ$19,MATCH(75,$B$29:$GQ$29,0))</f>
        <v/>
      </c>
      <c r="BY5">
        <f>INDEX($B$19:$GQ$19,MATCH(76,$B$29:$GQ$29,0))</f>
        <v/>
      </c>
      <c r="BZ5">
        <f>INDEX($B$19:$GQ$19,MATCH(77,$B$29:$GQ$29,0))</f>
        <v/>
      </c>
      <c r="CA5">
        <f>INDEX($B$19:$GQ$19,MATCH(78,$B$29:$GQ$29,0))</f>
        <v/>
      </c>
      <c r="CB5">
        <f>INDEX($B$19:$GQ$19,MATCH(79,$B$29:$GQ$29,0))</f>
        <v/>
      </c>
      <c r="CC5">
        <f>INDEX($B$19:$GQ$19,MATCH(80,$B$29:$GQ$29,0))</f>
        <v/>
      </c>
      <c r="CD5">
        <f>INDEX($B$19:$GQ$19,MATCH(81,$B$29:$GQ$29,0))</f>
        <v/>
      </c>
      <c r="CE5">
        <f>INDEX($B$19:$GQ$19,MATCH(82,$B$29:$GQ$29,0))</f>
        <v/>
      </c>
      <c r="CF5">
        <f>INDEX($B$19:$GQ$19,MATCH(83,$B$29:$GQ$29,0))</f>
        <v/>
      </c>
      <c r="CG5">
        <f>INDEX($B$19:$GQ$19,MATCH(84,$B$29:$GQ$29,0))</f>
        <v/>
      </c>
      <c r="CH5">
        <f>INDEX($B$19:$GQ$19,MATCH(85,$B$29:$GQ$29,0))</f>
        <v/>
      </c>
      <c r="CI5">
        <f>INDEX($B$19:$GQ$19,MATCH(86,$B$29:$GQ$29,0))</f>
        <v/>
      </c>
      <c r="CJ5">
        <f>INDEX($B$19:$GQ$19,MATCH(87,$B$29:$GQ$29,0))</f>
        <v/>
      </c>
      <c r="CK5">
        <f>INDEX($B$19:$GQ$19,MATCH(88,$B$29:$GQ$29,0))</f>
        <v/>
      </c>
      <c r="CL5">
        <f>INDEX($B$19:$GQ$19,MATCH(89,$B$29:$GQ$29,0))</f>
        <v/>
      </c>
      <c r="CM5">
        <f>INDEX($B$19:$GQ$19,MATCH(90,$B$29:$GQ$29,0))</f>
        <v/>
      </c>
      <c r="CN5">
        <f>INDEX($B$19:$GQ$19,MATCH(91,$B$29:$GQ$29,0))</f>
        <v/>
      </c>
      <c r="CO5">
        <f>INDEX($B$19:$GQ$19,MATCH(92,$B$29:$GQ$29,0))</f>
        <v/>
      </c>
      <c r="CP5">
        <f>INDEX($B$19:$GQ$19,MATCH(93,$B$29:$GQ$29,0))</f>
        <v/>
      </c>
      <c r="CQ5">
        <f>INDEX($B$19:$GQ$19,MATCH(94,$B$29:$GQ$29,0))</f>
        <v/>
      </c>
      <c r="CR5">
        <f>INDEX($B$19:$GQ$19,MATCH(95,$B$29:$GQ$29,0))</f>
        <v/>
      </c>
      <c r="CS5">
        <f>INDEX($B$19:$GQ$19,MATCH(96,$B$29:$GQ$29,0))</f>
        <v/>
      </c>
      <c r="CT5">
        <f>INDEX($B$19:$GQ$19,MATCH(97,$B$29:$GQ$29,0))</f>
        <v/>
      </c>
      <c r="CU5">
        <f>INDEX($B$19:$GQ$19,MATCH(98,$B$29:$GQ$29,0))</f>
        <v/>
      </c>
      <c r="CV5">
        <f>INDEX($B$19:$GQ$19,MATCH(99,$B$29:$GQ$29,0))</f>
        <v/>
      </c>
      <c r="CW5">
        <f>INDEX($B$19:$GQ$19,MATCH(100,$B$29:$GQ$29,0))</f>
        <v/>
      </c>
      <c r="CX5">
        <f>INDEX($B$19:$GQ$19,MATCH(101,$B$29:$GQ$29,0))</f>
        <v/>
      </c>
      <c r="CY5">
        <f>INDEX($B$19:$GQ$19,MATCH(102,$B$29:$GQ$29,0))</f>
        <v/>
      </c>
      <c r="CZ5">
        <f>INDEX($B$19:$GQ$19,MATCH(103,$B$29:$GQ$29,0))</f>
        <v/>
      </c>
      <c r="DA5">
        <f>INDEX($B$19:$GQ$19,MATCH(104,$B$29:$GQ$29,0))</f>
        <v/>
      </c>
      <c r="DB5">
        <f>INDEX($B$19:$GQ$19,MATCH(105,$B$29:$GQ$29,0))</f>
        <v/>
      </c>
      <c r="DC5">
        <f>INDEX($B$19:$GQ$19,MATCH(106,$B$29:$GQ$29,0))</f>
        <v/>
      </c>
      <c r="DD5">
        <f>INDEX($B$19:$GQ$19,MATCH(107,$B$29:$GQ$29,0))</f>
        <v/>
      </c>
      <c r="DE5">
        <f>INDEX($B$19:$GQ$19,MATCH(108,$B$29:$GQ$29,0))</f>
        <v/>
      </c>
      <c r="DF5">
        <f>INDEX($B$19:$GQ$19,MATCH(109,$B$29:$GQ$29,0))</f>
        <v/>
      </c>
      <c r="DG5">
        <f>INDEX($B$19:$GQ$19,MATCH(110,$B$29:$GQ$29,0))</f>
        <v/>
      </c>
      <c r="DH5">
        <f>INDEX($B$19:$GQ$19,MATCH(111,$B$29:$GQ$29,0))</f>
        <v/>
      </c>
      <c r="DI5">
        <f>INDEX($B$19:$GQ$19,MATCH(112,$B$29:$GQ$29,0))</f>
        <v/>
      </c>
      <c r="DJ5">
        <f>INDEX($B$19:$GQ$19,MATCH(113,$B$29:$GQ$29,0))</f>
        <v/>
      </c>
      <c r="DK5">
        <f>INDEX($B$19:$GQ$19,MATCH(114,$B$29:$GQ$29,0))</f>
        <v/>
      </c>
      <c r="DL5">
        <f>INDEX($B$19:$GQ$19,MATCH(115,$B$29:$GQ$29,0))</f>
        <v/>
      </c>
      <c r="DM5">
        <f>INDEX($B$19:$GQ$19,MATCH(116,$B$29:$GQ$29,0))</f>
        <v/>
      </c>
      <c r="DN5">
        <f>INDEX($B$19:$GQ$19,MATCH(117,$B$29:$GQ$29,0))</f>
        <v/>
      </c>
      <c r="DO5">
        <f>INDEX($B$19:$GQ$19,MATCH(118,$B$29:$GQ$29,0))</f>
        <v/>
      </c>
      <c r="DP5">
        <f>INDEX($B$19:$GQ$19,MATCH(119,$B$29:$GQ$29,0))</f>
        <v/>
      </c>
      <c r="DQ5">
        <f>INDEX($B$19:$GQ$19,MATCH(120,$B$29:$GQ$29,0))</f>
        <v/>
      </c>
      <c r="DR5">
        <f>INDEX($B$19:$GQ$19,MATCH(121,$B$29:$GQ$29,0))</f>
        <v/>
      </c>
      <c r="DS5">
        <f>INDEX($B$19:$GQ$19,MATCH(122,$B$29:$GQ$29,0))</f>
        <v/>
      </c>
      <c r="DT5">
        <f>INDEX($B$19:$GQ$19,MATCH(123,$B$29:$GQ$29,0))</f>
        <v/>
      </c>
      <c r="DU5">
        <f>INDEX($B$19:$GQ$19,MATCH(124,$B$29:$GQ$29,0))</f>
        <v/>
      </c>
      <c r="DV5">
        <f>INDEX($B$19:$GQ$19,MATCH(125,$B$29:$GQ$29,0))</f>
        <v/>
      </c>
      <c r="DW5">
        <f>INDEX($B$19:$GQ$19,MATCH(126,$B$29:$GQ$29,0))</f>
        <v/>
      </c>
      <c r="DX5">
        <f>INDEX($B$19:$GQ$19,MATCH(127,$B$29:$GQ$29,0))</f>
        <v/>
      </c>
      <c r="DY5">
        <f>INDEX($B$19:$GQ$19,MATCH(128,$B$29:$GQ$29,0))</f>
        <v/>
      </c>
      <c r="DZ5">
        <f>INDEX($B$19:$GQ$19,MATCH(129,$B$29:$GQ$29,0))</f>
        <v/>
      </c>
      <c r="EA5">
        <f>INDEX($B$19:$GQ$19,MATCH(130,$B$29:$GQ$29,0))</f>
        <v/>
      </c>
      <c r="EB5">
        <f>INDEX($B$19:$GQ$19,MATCH(131,$B$29:$GQ$29,0))</f>
        <v/>
      </c>
      <c r="EC5">
        <f>INDEX($B$19:$GQ$19,MATCH(132,$B$29:$GQ$29,0))</f>
        <v/>
      </c>
      <c r="ED5">
        <f>INDEX($B$19:$GQ$19,MATCH(133,$B$29:$GQ$29,0))</f>
        <v/>
      </c>
      <c r="EE5">
        <f>INDEX($B$19:$GQ$19,MATCH(134,$B$29:$GQ$29,0))</f>
        <v/>
      </c>
      <c r="EF5">
        <f>INDEX($B$19:$GQ$19,MATCH(135,$B$29:$GQ$29,0))</f>
        <v/>
      </c>
      <c r="EG5">
        <f>INDEX($B$19:$GQ$19,MATCH(136,$B$29:$GQ$29,0))</f>
        <v/>
      </c>
      <c r="EH5">
        <f>INDEX($B$19:$GQ$19,MATCH(137,$B$29:$GQ$29,0))</f>
        <v/>
      </c>
      <c r="EI5">
        <f>INDEX($B$19:$GQ$19,MATCH(138,$B$29:$GQ$29,0))</f>
        <v/>
      </c>
      <c r="EJ5">
        <f>INDEX($B$19:$GQ$19,MATCH(139,$B$29:$GQ$29,0))</f>
        <v/>
      </c>
      <c r="EK5">
        <f>INDEX($B$19:$GQ$19,MATCH(140,$B$29:$GQ$29,0))</f>
        <v/>
      </c>
      <c r="EL5">
        <f>INDEX($B$19:$GQ$19,MATCH(141,$B$29:$GQ$29,0))</f>
        <v/>
      </c>
      <c r="EM5">
        <f>INDEX($B$19:$GQ$19,MATCH(142,$B$29:$GQ$29,0))</f>
        <v/>
      </c>
      <c r="EN5">
        <f>INDEX($B$19:$GQ$19,MATCH(143,$B$29:$GQ$29,0))</f>
        <v/>
      </c>
      <c r="EO5">
        <f>INDEX($B$19:$GQ$19,MATCH(144,$B$29:$GQ$29,0))</f>
        <v/>
      </c>
      <c r="EP5">
        <f>INDEX($B$19:$GQ$19,MATCH(145,$B$29:$GQ$29,0))</f>
        <v/>
      </c>
      <c r="EQ5">
        <f>INDEX($B$19:$GQ$19,MATCH(146,$B$29:$GQ$29,0))</f>
        <v/>
      </c>
      <c r="ER5">
        <f>INDEX($B$19:$GQ$19,MATCH(147,$B$29:$GQ$29,0))</f>
        <v/>
      </c>
      <c r="ES5">
        <f>INDEX($B$19:$GQ$19,MATCH(148,$B$29:$GQ$29,0))</f>
        <v/>
      </c>
      <c r="ET5">
        <f>INDEX($B$19:$GQ$19,MATCH(149,$B$29:$GQ$29,0))</f>
        <v/>
      </c>
      <c r="EU5">
        <f>INDEX($B$19:$GQ$19,MATCH(150,$B$29:$GQ$29,0))</f>
        <v/>
      </c>
      <c r="EV5">
        <f>INDEX($B$19:$GQ$19,MATCH(151,$B$29:$GQ$29,0))</f>
        <v/>
      </c>
      <c r="EW5">
        <f>INDEX($B$19:$GQ$19,MATCH(152,$B$29:$GQ$29,0))</f>
        <v/>
      </c>
      <c r="EX5">
        <f>INDEX($B$19:$GQ$19,MATCH(153,$B$29:$GQ$29,0))</f>
        <v/>
      </c>
      <c r="EY5">
        <f>INDEX($B$19:$GQ$19,MATCH(154,$B$29:$GQ$29,0))</f>
        <v/>
      </c>
      <c r="EZ5">
        <f>INDEX($B$19:$GQ$19,MATCH(155,$B$29:$GQ$29,0))</f>
        <v/>
      </c>
      <c r="FA5">
        <f>INDEX($B$19:$GQ$19,MATCH(156,$B$29:$GQ$29,0))</f>
        <v/>
      </c>
      <c r="FB5">
        <f>INDEX($B$19:$GQ$19,MATCH(157,$B$29:$GQ$29,0))</f>
        <v/>
      </c>
      <c r="FC5">
        <f>INDEX($B$19:$GQ$19,MATCH(158,$B$29:$GQ$29,0))</f>
        <v/>
      </c>
      <c r="FD5">
        <f>INDEX($B$19:$GQ$19,MATCH(159,$B$29:$GQ$29,0))</f>
        <v/>
      </c>
      <c r="FE5">
        <f>INDEX($B$19:$GQ$19,MATCH(160,$B$29:$GQ$29,0))</f>
        <v/>
      </c>
      <c r="FF5">
        <f>INDEX($B$19:$GQ$19,MATCH(161,$B$29:$GQ$29,0))</f>
        <v/>
      </c>
      <c r="FG5">
        <f>INDEX($B$19:$GQ$19,MATCH(162,$B$29:$GQ$29,0))</f>
        <v/>
      </c>
      <c r="FH5">
        <f>INDEX($B$19:$GQ$19,MATCH(163,$B$29:$GQ$29,0))</f>
        <v/>
      </c>
      <c r="FI5">
        <f>INDEX($B$19:$GQ$19,MATCH(164,$B$29:$GQ$29,0))</f>
        <v/>
      </c>
      <c r="FJ5">
        <f>INDEX($B$19:$GQ$19,MATCH(165,$B$29:$GQ$29,0))</f>
        <v/>
      </c>
      <c r="FK5">
        <f>INDEX($B$19:$GQ$19,MATCH(166,$B$29:$GQ$29,0))</f>
        <v/>
      </c>
      <c r="FL5">
        <f>INDEX($B$19:$GQ$19,MATCH(167,$B$29:$GQ$29,0))</f>
        <v/>
      </c>
      <c r="FM5">
        <f>INDEX($B$19:$GQ$19,MATCH(168,$B$29:$GQ$29,0))</f>
        <v/>
      </c>
      <c r="FN5">
        <f>INDEX($B$19:$GQ$19,MATCH(169,$B$29:$GQ$29,0))</f>
        <v/>
      </c>
      <c r="FO5">
        <f>INDEX($B$19:$GQ$19,MATCH(170,$B$29:$GQ$29,0))</f>
        <v/>
      </c>
      <c r="FP5">
        <f>INDEX($B$19:$GQ$19,MATCH(171,$B$29:$GQ$29,0))</f>
        <v/>
      </c>
      <c r="FQ5">
        <f>INDEX($B$19:$GQ$19,MATCH(172,$B$29:$GQ$29,0))</f>
        <v/>
      </c>
      <c r="FR5">
        <f>INDEX($B$19:$GQ$19,MATCH(173,$B$29:$GQ$29,0))</f>
        <v/>
      </c>
      <c r="FS5">
        <f>INDEX($B$19:$GQ$19,MATCH(174,$B$29:$GQ$29,0))</f>
        <v/>
      </c>
      <c r="FT5">
        <f>INDEX($B$19:$GQ$19,MATCH(175,$B$29:$GQ$29,0))</f>
        <v/>
      </c>
      <c r="FU5">
        <f>INDEX($B$19:$GQ$19,MATCH(176,$B$29:$GQ$29,0))</f>
        <v/>
      </c>
      <c r="FV5">
        <f>INDEX($B$19:$GQ$19,MATCH(177,$B$29:$GQ$29,0))</f>
        <v/>
      </c>
      <c r="FW5">
        <f>INDEX($B$19:$GQ$19,MATCH(178,$B$29:$GQ$29,0))</f>
        <v/>
      </c>
      <c r="FX5">
        <f>INDEX($B$19:$GQ$19,MATCH(179,$B$29:$GQ$29,0))</f>
        <v/>
      </c>
      <c r="FY5">
        <f>INDEX($B$19:$GQ$19,MATCH(180,$B$29:$GQ$29,0))</f>
        <v/>
      </c>
      <c r="FZ5">
        <f>INDEX($B$19:$GQ$19,MATCH(181,$B$29:$GQ$29,0))</f>
        <v/>
      </c>
      <c r="GA5">
        <f>INDEX($B$19:$GQ$19,MATCH(182,$B$29:$GQ$29,0))</f>
        <v/>
      </c>
      <c r="GB5">
        <f>INDEX($B$19:$GQ$19,MATCH(183,$B$29:$GQ$29,0))</f>
        <v/>
      </c>
      <c r="GC5">
        <f>INDEX($B$19:$GQ$19,MATCH(184,$B$29:$GQ$29,0))</f>
        <v/>
      </c>
      <c r="GD5">
        <f>INDEX($B$19:$GQ$19,MATCH(185,$B$29:$GQ$29,0))</f>
        <v/>
      </c>
      <c r="GE5">
        <f>INDEX($B$19:$GQ$19,MATCH(186,$B$29:$GQ$29,0))</f>
        <v/>
      </c>
      <c r="GF5">
        <f>INDEX($B$19:$GQ$19,MATCH(187,$B$29:$GQ$29,0))</f>
        <v/>
      </c>
      <c r="GG5">
        <f>INDEX($B$19:$GQ$19,MATCH(188,$B$29:$GQ$29,0))</f>
        <v/>
      </c>
      <c r="GH5">
        <f>INDEX($B$19:$GQ$19,MATCH(189,$B$29:$GQ$29,0))</f>
        <v/>
      </c>
      <c r="GI5">
        <f>INDEX($B$19:$GQ$19,MATCH(190,$B$29:$GQ$29,0))</f>
        <v/>
      </c>
      <c r="GJ5">
        <f>INDEX($B$19:$GQ$19,MATCH(191,$B$29:$GQ$29,0))</f>
        <v/>
      </c>
      <c r="GK5">
        <f>INDEX($B$19:$GQ$19,MATCH(192,$B$29:$GQ$29,0))</f>
        <v/>
      </c>
      <c r="GL5">
        <f>INDEX($B$19:$GQ$19,MATCH(193,$B$29:$GQ$29,0))</f>
        <v/>
      </c>
      <c r="GM5">
        <f>INDEX($B$19:$GQ$19,MATCH(194,$B$29:$GQ$29,0))</f>
        <v/>
      </c>
      <c r="GN5">
        <f>INDEX($B$19:$GQ$19,MATCH(195,$B$29:$GQ$29,0))</f>
        <v/>
      </c>
      <c r="GO5">
        <f>INDEX($B$19:$GQ$19,MATCH(196,$B$29:$GQ$29,0))</f>
        <v/>
      </c>
      <c r="GP5">
        <f>INDEX($B$19:$GQ$19,MATCH(197,$B$29:$GQ$29,0))</f>
        <v/>
      </c>
      <c r="GQ5">
        <f>INDEX($B$19:$GQ$19,MATCH(198,$B$29:$GQ$29,0))</f>
        <v/>
      </c>
      <c r="GR5">
        <f>INDEX($GR$19:$HC$19,MATCH(1,$GR$30:$HC$30,0))</f>
        <v/>
      </c>
      <c r="GS5">
        <f>INDEX($GR$19:$HC$19,MATCH(2,$GR$30:$HC$30,0))</f>
        <v/>
      </c>
      <c r="GT5">
        <f>INDEX($GR$19:$HC$19,MATCH(3,$GR$30:$HC$30,0))</f>
        <v/>
      </c>
      <c r="GU5">
        <f>INDEX($GR$19:$HC$19,MATCH(4,$GR$30:$HC$30,0))</f>
        <v/>
      </c>
      <c r="GV5">
        <f>INDEX($GR$19:$HC$19,MATCH(5,$GR$30:$HC$30,0))</f>
        <v/>
      </c>
      <c r="GW5">
        <f>INDEX($GR$19:$HC$19,MATCH(6,$GR$30:$HC$30,0))</f>
        <v/>
      </c>
      <c r="GX5">
        <f>INDEX($GR$19:$HC$19,MATCH(7,$GR$30:$HC$30,0))</f>
        <v/>
      </c>
      <c r="GY5">
        <f>INDEX($GR$19:$HC$19,MATCH(8,$GR$30:$HC$30,0))</f>
        <v/>
      </c>
      <c r="GZ5">
        <f>INDEX($GR$19:$HC$19,MATCH(9,$GR$30:$HC$30,0))</f>
        <v/>
      </c>
      <c r="HA5">
        <f>INDEX($GR$19:$HC$19,MATCH(10,$GR$30:$HC$30,0))</f>
        <v/>
      </c>
      <c r="HB5">
        <f>INDEX($GR$19:$HC$19,MATCH(11,$GR$30:$HC$30,0))</f>
        <v/>
      </c>
      <c r="HC5">
        <f>INDEX($GR$19:$HC$19,MATCH(12,$GR$30:$HC$30,0))</f>
        <v/>
      </c>
    </row>
    <row r="6">
      <c r="A6" s="1" t="inlineStr">
        <is>
          <t>M_row</t>
        </is>
      </c>
      <c r="B6">
        <f>INDEX($B$20:$GQ$20,MATCH(1,$B$29:$GQ$29,0))</f>
        <v/>
      </c>
      <c r="C6">
        <f>INDEX($B$20:$GQ$20,MATCH(2,$B$29:$GQ$29,0))</f>
        <v/>
      </c>
      <c r="D6">
        <f>INDEX($B$20:$GQ$20,MATCH(3,$B$29:$GQ$29,0))</f>
        <v/>
      </c>
      <c r="E6">
        <f>INDEX($B$20:$GQ$20,MATCH(4,$B$29:$GQ$29,0))</f>
        <v/>
      </c>
      <c r="F6">
        <f>INDEX($B$20:$GQ$20,MATCH(5,$B$29:$GQ$29,0))</f>
        <v/>
      </c>
      <c r="G6">
        <f>INDEX($B$20:$GQ$20,MATCH(6,$B$29:$GQ$29,0))</f>
        <v/>
      </c>
      <c r="H6">
        <f>INDEX($B$20:$GQ$20,MATCH(7,$B$29:$GQ$29,0))</f>
        <v/>
      </c>
      <c r="I6">
        <f>INDEX($B$20:$GQ$20,MATCH(8,$B$29:$GQ$29,0))</f>
        <v/>
      </c>
      <c r="J6">
        <f>INDEX($B$20:$GQ$20,MATCH(9,$B$29:$GQ$29,0))</f>
        <v/>
      </c>
      <c r="K6">
        <f>INDEX($B$20:$GQ$20,MATCH(10,$B$29:$GQ$29,0))</f>
        <v/>
      </c>
      <c r="L6">
        <f>INDEX($B$20:$GQ$20,MATCH(11,$B$29:$GQ$29,0))</f>
        <v/>
      </c>
      <c r="M6">
        <f>INDEX($B$20:$GQ$20,MATCH(12,$B$29:$GQ$29,0))</f>
        <v/>
      </c>
      <c r="N6">
        <f>INDEX($B$20:$GQ$20,MATCH(13,$B$29:$GQ$29,0))</f>
        <v/>
      </c>
      <c r="O6">
        <f>INDEX($B$20:$GQ$20,MATCH(14,$B$29:$GQ$29,0))</f>
        <v/>
      </c>
      <c r="P6">
        <f>INDEX($B$20:$GQ$20,MATCH(15,$B$29:$GQ$29,0))</f>
        <v/>
      </c>
      <c r="Q6">
        <f>INDEX($B$20:$GQ$20,MATCH(16,$B$29:$GQ$29,0))</f>
        <v/>
      </c>
      <c r="R6">
        <f>INDEX($B$20:$GQ$20,MATCH(17,$B$29:$GQ$29,0))</f>
        <v/>
      </c>
      <c r="S6">
        <f>INDEX($B$20:$GQ$20,MATCH(18,$B$29:$GQ$29,0))</f>
        <v/>
      </c>
      <c r="T6">
        <f>INDEX($B$20:$GQ$20,MATCH(19,$B$29:$GQ$29,0))</f>
        <v/>
      </c>
      <c r="U6">
        <f>INDEX($B$20:$GQ$20,MATCH(20,$B$29:$GQ$29,0))</f>
        <v/>
      </c>
      <c r="V6">
        <f>INDEX($B$20:$GQ$20,MATCH(21,$B$29:$GQ$29,0))</f>
        <v/>
      </c>
      <c r="W6">
        <f>INDEX($B$20:$GQ$20,MATCH(22,$B$29:$GQ$29,0))</f>
        <v/>
      </c>
      <c r="X6">
        <f>INDEX($B$20:$GQ$20,MATCH(23,$B$29:$GQ$29,0))</f>
        <v/>
      </c>
      <c r="Y6">
        <f>INDEX($B$20:$GQ$20,MATCH(24,$B$29:$GQ$29,0))</f>
        <v/>
      </c>
      <c r="Z6">
        <f>INDEX($B$20:$GQ$20,MATCH(25,$B$29:$GQ$29,0))</f>
        <v/>
      </c>
      <c r="AA6">
        <f>INDEX($B$20:$GQ$20,MATCH(26,$B$29:$GQ$29,0))</f>
        <v/>
      </c>
      <c r="AB6">
        <f>INDEX($B$20:$GQ$20,MATCH(27,$B$29:$GQ$29,0))</f>
        <v/>
      </c>
      <c r="AC6">
        <f>INDEX($B$20:$GQ$20,MATCH(28,$B$29:$GQ$29,0))</f>
        <v/>
      </c>
      <c r="AD6">
        <f>INDEX($B$20:$GQ$20,MATCH(29,$B$29:$GQ$29,0))</f>
        <v/>
      </c>
      <c r="AE6">
        <f>INDEX($B$20:$GQ$20,MATCH(30,$B$29:$GQ$29,0))</f>
        <v/>
      </c>
      <c r="AF6">
        <f>INDEX($B$20:$GQ$20,MATCH(31,$B$29:$GQ$29,0))</f>
        <v/>
      </c>
      <c r="AG6">
        <f>INDEX($B$20:$GQ$20,MATCH(32,$B$29:$GQ$29,0))</f>
        <v/>
      </c>
      <c r="AH6">
        <f>INDEX($B$20:$GQ$20,MATCH(33,$B$29:$GQ$29,0))</f>
        <v/>
      </c>
      <c r="AI6">
        <f>INDEX($B$20:$GQ$20,MATCH(34,$B$29:$GQ$29,0))</f>
        <v/>
      </c>
      <c r="AJ6">
        <f>INDEX($B$20:$GQ$20,MATCH(35,$B$29:$GQ$29,0))</f>
        <v/>
      </c>
      <c r="AK6">
        <f>INDEX($B$20:$GQ$20,MATCH(36,$B$29:$GQ$29,0))</f>
        <v/>
      </c>
      <c r="AL6">
        <f>INDEX($B$20:$GQ$20,MATCH(37,$B$29:$GQ$29,0))</f>
        <v/>
      </c>
      <c r="AM6">
        <f>INDEX($B$20:$GQ$20,MATCH(38,$B$29:$GQ$29,0))</f>
        <v/>
      </c>
      <c r="AN6">
        <f>INDEX($B$20:$GQ$20,MATCH(39,$B$29:$GQ$29,0))</f>
        <v/>
      </c>
      <c r="AO6">
        <f>INDEX($B$20:$GQ$20,MATCH(40,$B$29:$GQ$29,0))</f>
        <v/>
      </c>
      <c r="AP6">
        <f>INDEX($B$20:$GQ$20,MATCH(41,$B$29:$GQ$29,0))</f>
        <v/>
      </c>
      <c r="AQ6">
        <f>INDEX($B$20:$GQ$20,MATCH(42,$B$29:$GQ$29,0))</f>
        <v/>
      </c>
      <c r="AR6">
        <f>INDEX($B$20:$GQ$20,MATCH(43,$B$29:$GQ$29,0))</f>
        <v/>
      </c>
      <c r="AS6">
        <f>INDEX($B$20:$GQ$20,MATCH(44,$B$29:$GQ$29,0))</f>
        <v/>
      </c>
      <c r="AT6">
        <f>INDEX($B$20:$GQ$20,MATCH(45,$B$29:$GQ$29,0))</f>
        <v/>
      </c>
      <c r="AU6">
        <f>INDEX($B$20:$GQ$20,MATCH(46,$B$29:$GQ$29,0))</f>
        <v/>
      </c>
      <c r="AV6">
        <f>INDEX($B$20:$GQ$20,MATCH(47,$B$29:$GQ$29,0))</f>
        <v/>
      </c>
      <c r="AW6">
        <f>INDEX($B$20:$GQ$20,MATCH(48,$B$29:$GQ$29,0))</f>
        <v/>
      </c>
      <c r="AX6">
        <f>INDEX($B$20:$GQ$20,MATCH(49,$B$29:$GQ$29,0))</f>
        <v/>
      </c>
      <c r="AY6">
        <f>INDEX($B$20:$GQ$20,MATCH(50,$B$29:$GQ$29,0))</f>
        <v/>
      </c>
      <c r="AZ6">
        <f>INDEX($B$20:$GQ$20,MATCH(51,$B$29:$GQ$29,0))</f>
        <v/>
      </c>
      <c r="BA6">
        <f>INDEX($B$20:$GQ$20,MATCH(52,$B$29:$GQ$29,0))</f>
        <v/>
      </c>
      <c r="BB6">
        <f>INDEX($B$20:$GQ$20,MATCH(53,$B$29:$GQ$29,0))</f>
        <v/>
      </c>
      <c r="BC6">
        <f>INDEX($B$20:$GQ$20,MATCH(54,$B$29:$GQ$29,0))</f>
        <v/>
      </c>
      <c r="BD6">
        <f>INDEX($B$20:$GQ$20,MATCH(55,$B$29:$GQ$29,0))</f>
        <v/>
      </c>
      <c r="BE6">
        <f>INDEX($B$20:$GQ$20,MATCH(56,$B$29:$GQ$29,0))</f>
        <v/>
      </c>
      <c r="BF6">
        <f>INDEX($B$20:$GQ$20,MATCH(57,$B$29:$GQ$29,0))</f>
        <v/>
      </c>
      <c r="BG6">
        <f>INDEX($B$20:$GQ$20,MATCH(58,$B$29:$GQ$29,0))</f>
        <v/>
      </c>
      <c r="BH6">
        <f>INDEX($B$20:$GQ$20,MATCH(59,$B$29:$GQ$29,0))</f>
        <v/>
      </c>
      <c r="BI6">
        <f>INDEX($B$20:$GQ$20,MATCH(60,$B$29:$GQ$29,0))</f>
        <v/>
      </c>
      <c r="BJ6">
        <f>INDEX($B$20:$GQ$20,MATCH(61,$B$29:$GQ$29,0))</f>
        <v/>
      </c>
      <c r="BK6">
        <f>INDEX($B$20:$GQ$20,MATCH(62,$B$29:$GQ$29,0))</f>
        <v/>
      </c>
      <c r="BL6">
        <f>INDEX($B$20:$GQ$20,MATCH(63,$B$29:$GQ$29,0))</f>
        <v/>
      </c>
      <c r="BM6">
        <f>INDEX($B$20:$GQ$20,MATCH(64,$B$29:$GQ$29,0))</f>
        <v/>
      </c>
      <c r="BN6">
        <f>INDEX($B$20:$GQ$20,MATCH(65,$B$29:$GQ$29,0))</f>
        <v/>
      </c>
      <c r="BO6">
        <f>INDEX($B$20:$GQ$20,MATCH(66,$B$29:$GQ$29,0))</f>
        <v/>
      </c>
      <c r="BP6">
        <f>INDEX($B$20:$GQ$20,MATCH(67,$B$29:$GQ$29,0))</f>
        <v/>
      </c>
      <c r="BQ6">
        <f>INDEX($B$20:$GQ$20,MATCH(68,$B$29:$GQ$29,0))</f>
        <v/>
      </c>
      <c r="BR6">
        <f>INDEX($B$20:$GQ$20,MATCH(69,$B$29:$GQ$29,0))</f>
        <v/>
      </c>
      <c r="BS6">
        <f>INDEX($B$20:$GQ$20,MATCH(70,$B$29:$GQ$29,0))</f>
        <v/>
      </c>
      <c r="BT6">
        <f>INDEX($B$20:$GQ$20,MATCH(71,$B$29:$GQ$29,0))</f>
        <v/>
      </c>
      <c r="BU6">
        <f>INDEX($B$20:$GQ$20,MATCH(72,$B$29:$GQ$29,0))</f>
        <v/>
      </c>
      <c r="BV6">
        <f>INDEX($B$20:$GQ$20,MATCH(73,$B$29:$GQ$29,0))</f>
        <v/>
      </c>
      <c r="BW6">
        <f>INDEX($B$20:$GQ$20,MATCH(74,$B$29:$GQ$29,0))</f>
        <v/>
      </c>
      <c r="BX6">
        <f>INDEX($B$20:$GQ$20,MATCH(75,$B$29:$GQ$29,0))</f>
        <v/>
      </c>
      <c r="BY6">
        <f>INDEX($B$20:$GQ$20,MATCH(76,$B$29:$GQ$29,0))</f>
        <v/>
      </c>
      <c r="BZ6">
        <f>INDEX($B$20:$GQ$20,MATCH(77,$B$29:$GQ$29,0))</f>
        <v/>
      </c>
      <c r="CA6">
        <f>INDEX($B$20:$GQ$20,MATCH(78,$B$29:$GQ$29,0))</f>
        <v/>
      </c>
      <c r="CB6">
        <f>INDEX($B$20:$GQ$20,MATCH(79,$B$29:$GQ$29,0))</f>
        <v/>
      </c>
      <c r="CC6">
        <f>INDEX($B$20:$GQ$20,MATCH(80,$B$29:$GQ$29,0))</f>
        <v/>
      </c>
      <c r="CD6">
        <f>INDEX($B$20:$GQ$20,MATCH(81,$B$29:$GQ$29,0))</f>
        <v/>
      </c>
      <c r="CE6">
        <f>INDEX($B$20:$GQ$20,MATCH(82,$B$29:$GQ$29,0))</f>
        <v/>
      </c>
      <c r="CF6">
        <f>INDEX($B$20:$GQ$20,MATCH(83,$B$29:$GQ$29,0))</f>
        <v/>
      </c>
      <c r="CG6">
        <f>INDEX($B$20:$GQ$20,MATCH(84,$B$29:$GQ$29,0))</f>
        <v/>
      </c>
      <c r="CH6">
        <f>INDEX($B$20:$GQ$20,MATCH(85,$B$29:$GQ$29,0))</f>
        <v/>
      </c>
      <c r="CI6">
        <f>INDEX($B$20:$GQ$20,MATCH(86,$B$29:$GQ$29,0))</f>
        <v/>
      </c>
      <c r="CJ6">
        <f>INDEX($B$20:$GQ$20,MATCH(87,$B$29:$GQ$29,0))</f>
        <v/>
      </c>
      <c r="CK6">
        <f>INDEX($B$20:$GQ$20,MATCH(88,$B$29:$GQ$29,0))</f>
        <v/>
      </c>
      <c r="CL6">
        <f>INDEX($B$20:$GQ$20,MATCH(89,$B$29:$GQ$29,0))</f>
        <v/>
      </c>
      <c r="CM6">
        <f>INDEX($B$20:$GQ$20,MATCH(90,$B$29:$GQ$29,0))</f>
        <v/>
      </c>
      <c r="CN6">
        <f>INDEX($B$20:$GQ$20,MATCH(91,$B$29:$GQ$29,0))</f>
        <v/>
      </c>
      <c r="CO6">
        <f>INDEX($B$20:$GQ$20,MATCH(92,$B$29:$GQ$29,0))</f>
        <v/>
      </c>
      <c r="CP6">
        <f>INDEX($B$20:$GQ$20,MATCH(93,$B$29:$GQ$29,0))</f>
        <v/>
      </c>
      <c r="CQ6">
        <f>INDEX($B$20:$GQ$20,MATCH(94,$B$29:$GQ$29,0))</f>
        <v/>
      </c>
      <c r="CR6">
        <f>INDEX($B$20:$GQ$20,MATCH(95,$B$29:$GQ$29,0))</f>
        <v/>
      </c>
      <c r="CS6">
        <f>INDEX($B$20:$GQ$20,MATCH(96,$B$29:$GQ$29,0))</f>
        <v/>
      </c>
      <c r="CT6">
        <f>INDEX($B$20:$GQ$20,MATCH(97,$B$29:$GQ$29,0))</f>
        <v/>
      </c>
      <c r="CU6">
        <f>INDEX($B$20:$GQ$20,MATCH(98,$B$29:$GQ$29,0))</f>
        <v/>
      </c>
      <c r="CV6">
        <f>INDEX($B$20:$GQ$20,MATCH(99,$B$29:$GQ$29,0))</f>
        <v/>
      </c>
      <c r="CW6">
        <f>INDEX($B$20:$GQ$20,MATCH(100,$B$29:$GQ$29,0))</f>
        <v/>
      </c>
      <c r="CX6">
        <f>INDEX($B$20:$GQ$20,MATCH(101,$B$29:$GQ$29,0))</f>
        <v/>
      </c>
      <c r="CY6">
        <f>INDEX($B$20:$GQ$20,MATCH(102,$B$29:$GQ$29,0))</f>
        <v/>
      </c>
      <c r="CZ6">
        <f>INDEX($B$20:$GQ$20,MATCH(103,$B$29:$GQ$29,0))</f>
        <v/>
      </c>
      <c r="DA6">
        <f>INDEX($B$20:$GQ$20,MATCH(104,$B$29:$GQ$29,0))</f>
        <v/>
      </c>
      <c r="DB6">
        <f>INDEX($B$20:$GQ$20,MATCH(105,$B$29:$GQ$29,0))</f>
        <v/>
      </c>
      <c r="DC6">
        <f>INDEX($B$20:$GQ$20,MATCH(106,$B$29:$GQ$29,0))</f>
        <v/>
      </c>
      <c r="DD6">
        <f>INDEX($B$20:$GQ$20,MATCH(107,$B$29:$GQ$29,0))</f>
        <v/>
      </c>
      <c r="DE6">
        <f>INDEX($B$20:$GQ$20,MATCH(108,$B$29:$GQ$29,0))</f>
        <v/>
      </c>
      <c r="DF6">
        <f>INDEX($B$20:$GQ$20,MATCH(109,$B$29:$GQ$29,0))</f>
        <v/>
      </c>
      <c r="DG6">
        <f>INDEX($B$20:$GQ$20,MATCH(110,$B$29:$GQ$29,0))</f>
        <v/>
      </c>
      <c r="DH6">
        <f>INDEX($B$20:$GQ$20,MATCH(111,$B$29:$GQ$29,0))</f>
        <v/>
      </c>
      <c r="DI6">
        <f>INDEX($B$20:$GQ$20,MATCH(112,$B$29:$GQ$29,0))</f>
        <v/>
      </c>
      <c r="DJ6">
        <f>INDEX($B$20:$GQ$20,MATCH(113,$B$29:$GQ$29,0))</f>
        <v/>
      </c>
      <c r="DK6">
        <f>INDEX($B$20:$GQ$20,MATCH(114,$B$29:$GQ$29,0))</f>
        <v/>
      </c>
      <c r="DL6">
        <f>INDEX($B$20:$GQ$20,MATCH(115,$B$29:$GQ$29,0))</f>
        <v/>
      </c>
      <c r="DM6">
        <f>INDEX($B$20:$GQ$20,MATCH(116,$B$29:$GQ$29,0))</f>
        <v/>
      </c>
      <c r="DN6">
        <f>INDEX($B$20:$GQ$20,MATCH(117,$B$29:$GQ$29,0))</f>
        <v/>
      </c>
      <c r="DO6">
        <f>INDEX($B$20:$GQ$20,MATCH(118,$B$29:$GQ$29,0))</f>
        <v/>
      </c>
      <c r="DP6">
        <f>INDEX($B$20:$GQ$20,MATCH(119,$B$29:$GQ$29,0))</f>
        <v/>
      </c>
      <c r="DQ6">
        <f>INDEX($B$20:$GQ$20,MATCH(120,$B$29:$GQ$29,0))</f>
        <v/>
      </c>
      <c r="DR6">
        <f>INDEX($B$20:$GQ$20,MATCH(121,$B$29:$GQ$29,0))</f>
        <v/>
      </c>
      <c r="DS6">
        <f>INDEX($B$20:$GQ$20,MATCH(122,$B$29:$GQ$29,0))</f>
        <v/>
      </c>
      <c r="DT6">
        <f>INDEX($B$20:$GQ$20,MATCH(123,$B$29:$GQ$29,0))</f>
        <v/>
      </c>
      <c r="DU6">
        <f>INDEX($B$20:$GQ$20,MATCH(124,$B$29:$GQ$29,0))</f>
        <v/>
      </c>
      <c r="DV6">
        <f>INDEX($B$20:$GQ$20,MATCH(125,$B$29:$GQ$29,0))</f>
        <v/>
      </c>
      <c r="DW6">
        <f>INDEX($B$20:$GQ$20,MATCH(126,$B$29:$GQ$29,0))</f>
        <v/>
      </c>
      <c r="DX6">
        <f>INDEX($B$20:$GQ$20,MATCH(127,$B$29:$GQ$29,0))</f>
        <v/>
      </c>
      <c r="DY6">
        <f>INDEX($B$20:$GQ$20,MATCH(128,$B$29:$GQ$29,0))</f>
        <v/>
      </c>
      <c r="DZ6">
        <f>INDEX($B$20:$GQ$20,MATCH(129,$B$29:$GQ$29,0))</f>
        <v/>
      </c>
      <c r="EA6">
        <f>INDEX($B$20:$GQ$20,MATCH(130,$B$29:$GQ$29,0))</f>
        <v/>
      </c>
      <c r="EB6">
        <f>INDEX($B$20:$GQ$20,MATCH(131,$B$29:$GQ$29,0))</f>
        <v/>
      </c>
      <c r="EC6">
        <f>INDEX($B$20:$GQ$20,MATCH(132,$B$29:$GQ$29,0))</f>
        <v/>
      </c>
      <c r="ED6">
        <f>INDEX($B$20:$GQ$20,MATCH(133,$B$29:$GQ$29,0))</f>
        <v/>
      </c>
      <c r="EE6">
        <f>INDEX($B$20:$GQ$20,MATCH(134,$B$29:$GQ$29,0))</f>
        <v/>
      </c>
      <c r="EF6">
        <f>INDEX($B$20:$GQ$20,MATCH(135,$B$29:$GQ$29,0))</f>
        <v/>
      </c>
      <c r="EG6">
        <f>INDEX($B$20:$GQ$20,MATCH(136,$B$29:$GQ$29,0))</f>
        <v/>
      </c>
      <c r="EH6">
        <f>INDEX($B$20:$GQ$20,MATCH(137,$B$29:$GQ$29,0))</f>
        <v/>
      </c>
      <c r="EI6">
        <f>INDEX($B$20:$GQ$20,MATCH(138,$B$29:$GQ$29,0))</f>
        <v/>
      </c>
      <c r="EJ6">
        <f>INDEX($B$20:$GQ$20,MATCH(139,$B$29:$GQ$29,0))</f>
        <v/>
      </c>
      <c r="EK6">
        <f>INDEX($B$20:$GQ$20,MATCH(140,$B$29:$GQ$29,0))</f>
        <v/>
      </c>
      <c r="EL6">
        <f>INDEX($B$20:$GQ$20,MATCH(141,$B$29:$GQ$29,0))</f>
        <v/>
      </c>
      <c r="EM6">
        <f>INDEX($B$20:$GQ$20,MATCH(142,$B$29:$GQ$29,0))</f>
        <v/>
      </c>
      <c r="EN6">
        <f>INDEX($B$20:$GQ$20,MATCH(143,$B$29:$GQ$29,0))</f>
        <v/>
      </c>
      <c r="EO6">
        <f>INDEX($B$20:$GQ$20,MATCH(144,$B$29:$GQ$29,0))</f>
        <v/>
      </c>
      <c r="EP6">
        <f>INDEX($B$20:$GQ$20,MATCH(145,$B$29:$GQ$29,0))</f>
        <v/>
      </c>
      <c r="EQ6">
        <f>INDEX($B$20:$GQ$20,MATCH(146,$B$29:$GQ$29,0))</f>
        <v/>
      </c>
      <c r="ER6">
        <f>INDEX($B$20:$GQ$20,MATCH(147,$B$29:$GQ$29,0))</f>
        <v/>
      </c>
      <c r="ES6">
        <f>INDEX($B$20:$GQ$20,MATCH(148,$B$29:$GQ$29,0))</f>
        <v/>
      </c>
      <c r="ET6">
        <f>INDEX($B$20:$GQ$20,MATCH(149,$B$29:$GQ$29,0))</f>
        <v/>
      </c>
      <c r="EU6">
        <f>INDEX($B$20:$GQ$20,MATCH(150,$B$29:$GQ$29,0))</f>
        <v/>
      </c>
      <c r="EV6">
        <f>INDEX($B$20:$GQ$20,MATCH(151,$B$29:$GQ$29,0))</f>
        <v/>
      </c>
      <c r="EW6">
        <f>INDEX($B$20:$GQ$20,MATCH(152,$B$29:$GQ$29,0))</f>
        <v/>
      </c>
      <c r="EX6">
        <f>INDEX($B$20:$GQ$20,MATCH(153,$B$29:$GQ$29,0))</f>
        <v/>
      </c>
      <c r="EY6">
        <f>INDEX($B$20:$GQ$20,MATCH(154,$B$29:$GQ$29,0))</f>
        <v/>
      </c>
      <c r="EZ6">
        <f>INDEX($B$20:$GQ$20,MATCH(155,$B$29:$GQ$29,0))</f>
        <v/>
      </c>
      <c r="FA6">
        <f>INDEX($B$20:$GQ$20,MATCH(156,$B$29:$GQ$29,0))</f>
        <v/>
      </c>
      <c r="FB6">
        <f>INDEX($B$20:$GQ$20,MATCH(157,$B$29:$GQ$29,0))</f>
        <v/>
      </c>
      <c r="FC6">
        <f>INDEX($B$20:$GQ$20,MATCH(158,$B$29:$GQ$29,0))</f>
        <v/>
      </c>
      <c r="FD6">
        <f>INDEX($B$20:$GQ$20,MATCH(159,$B$29:$GQ$29,0))</f>
        <v/>
      </c>
      <c r="FE6">
        <f>INDEX($B$20:$GQ$20,MATCH(160,$B$29:$GQ$29,0))</f>
        <v/>
      </c>
      <c r="FF6">
        <f>INDEX($B$20:$GQ$20,MATCH(161,$B$29:$GQ$29,0))</f>
        <v/>
      </c>
      <c r="FG6">
        <f>INDEX($B$20:$GQ$20,MATCH(162,$B$29:$GQ$29,0))</f>
        <v/>
      </c>
      <c r="FH6">
        <f>INDEX($B$20:$GQ$20,MATCH(163,$B$29:$GQ$29,0))</f>
        <v/>
      </c>
      <c r="FI6">
        <f>INDEX($B$20:$GQ$20,MATCH(164,$B$29:$GQ$29,0))</f>
        <v/>
      </c>
      <c r="FJ6">
        <f>INDEX($B$20:$GQ$20,MATCH(165,$B$29:$GQ$29,0))</f>
        <v/>
      </c>
      <c r="FK6">
        <f>INDEX($B$20:$GQ$20,MATCH(166,$B$29:$GQ$29,0))</f>
        <v/>
      </c>
      <c r="FL6">
        <f>INDEX($B$20:$GQ$20,MATCH(167,$B$29:$GQ$29,0))</f>
        <v/>
      </c>
      <c r="FM6">
        <f>INDEX($B$20:$GQ$20,MATCH(168,$B$29:$GQ$29,0))</f>
        <v/>
      </c>
      <c r="FN6">
        <f>INDEX($B$20:$GQ$20,MATCH(169,$B$29:$GQ$29,0))</f>
        <v/>
      </c>
      <c r="FO6">
        <f>INDEX($B$20:$GQ$20,MATCH(170,$B$29:$GQ$29,0))</f>
        <v/>
      </c>
      <c r="FP6">
        <f>INDEX($B$20:$GQ$20,MATCH(171,$B$29:$GQ$29,0))</f>
        <v/>
      </c>
      <c r="FQ6">
        <f>INDEX($B$20:$GQ$20,MATCH(172,$B$29:$GQ$29,0))</f>
        <v/>
      </c>
      <c r="FR6">
        <f>INDEX($B$20:$GQ$20,MATCH(173,$B$29:$GQ$29,0))</f>
        <v/>
      </c>
      <c r="FS6">
        <f>INDEX($B$20:$GQ$20,MATCH(174,$B$29:$GQ$29,0))</f>
        <v/>
      </c>
      <c r="FT6">
        <f>INDEX($B$20:$GQ$20,MATCH(175,$B$29:$GQ$29,0))</f>
        <v/>
      </c>
      <c r="FU6">
        <f>INDEX($B$20:$GQ$20,MATCH(176,$B$29:$GQ$29,0))</f>
        <v/>
      </c>
      <c r="FV6">
        <f>INDEX($B$20:$GQ$20,MATCH(177,$B$29:$GQ$29,0))</f>
        <v/>
      </c>
      <c r="FW6">
        <f>INDEX($B$20:$GQ$20,MATCH(178,$B$29:$GQ$29,0))</f>
        <v/>
      </c>
      <c r="FX6">
        <f>INDEX($B$20:$GQ$20,MATCH(179,$B$29:$GQ$29,0))</f>
        <v/>
      </c>
      <c r="FY6">
        <f>INDEX($B$20:$GQ$20,MATCH(180,$B$29:$GQ$29,0))</f>
        <v/>
      </c>
      <c r="FZ6">
        <f>INDEX($B$20:$GQ$20,MATCH(181,$B$29:$GQ$29,0))</f>
        <v/>
      </c>
      <c r="GA6">
        <f>INDEX($B$20:$GQ$20,MATCH(182,$B$29:$GQ$29,0))</f>
        <v/>
      </c>
      <c r="GB6">
        <f>INDEX($B$20:$GQ$20,MATCH(183,$B$29:$GQ$29,0))</f>
        <v/>
      </c>
      <c r="GC6">
        <f>INDEX($B$20:$GQ$20,MATCH(184,$B$29:$GQ$29,0))</f>
        <v/>
      </c>
      <c r="GD6">
        <f>INDEX($B$20:$GQ$20,MATCH(185,$B$29:$GQ$29,0))</f>
        <v/>
      </c>
      <c r="GE6">
        <f>INDEX($B$20:$GQ$20,MATCH(186,$B$29:$GQ$29,0))</f>
        <v/>
      </c>
      <c r="GF6">
        <f>INDEX($B$20:$GQ$20,MATCH(187,$B$29:$GQ$29,0))</f>
        <v/>
      </c>
      <c r="GG6">
        <f>INDEX($B$20:$GQ$20,MATCH(188,$B$29:$GQ$29,0))</f>
        <v/>
      </c>
      <c r="GH6">
        <f>INDEX($B$20:$GQ$20,MATCH(189,$B$29:$GQ$29,0))</f>
        <v/>
      </c>
      <c r="GI6">
        <f>INDEX($B$20:$GQ$20,MATCH(190,$B$29:$GQ$29,0))</f>
        <v/>
      </c>
      <c r="GJ6">
        <f>INDEX($B$20:$GQ$20,MATCH(191,$B$29:$GQ$29,0))</f>
        <v/>
      </c>
      <c r="GK6">
        <f>INDEX($B$20:$GQ$20,MATCH(192,$B$29:$GQ$29,0))</f>
        <v/>
      </c>
      <c r="GL6">
        <f>INDEX($B$20:$GQ$20,MATCH(193,$B$29:$GQ$29,0))</f>
        <v/>
      </c>
      <c r="GM6">
        <f>INDEX($B$20:$GQ$20,MATCH(194,$B$29:$GQ$29,0))</f>
        <v/>
      </c>
      <c r="GN6">
        <f>INDEX($B$20:$GQ$20,MATCH(195,$B$29:$GQ$29,0))</f>
        <v/>
      </c>
      <c r="GO6">
        <f>INDEX($B$20:$GQ$20,MATCH(196,$B$29:$GQ$29,0))</f>
        <v/>
      </c>
      <c r="GP6">
        <f>INDEX($B$20:$GQ$20,MATCH(197,$B$29:$GQ$29,0))</f>
        <v/>
      </c>
      <c r="GQ6">
        <f>INDEX($B$20:$GQ$20,MATCH(198,$B$29:$GQ$29,0))</f>
        <v/>
      </c>
      <c r="GR6">
        <f>INDEX($GR$20:$HC$20,MATCH(1,$GR$30:$HC$30,0))</f>
        <v/>
      </c>
      <c r="GS6">
        <f>INDEX($GR$20:$HC$20,MATCH(2,$GR$30:$HC$30,0))</f>
        <v/>
      </c>
      <c r="GT6">
        <f>INDEX($GR$20:$HC$20,MATCH(3,$GR$30:$HC$30,0))</f>
        <v/>
      </c>
      <c r="GU6">
        <f>INDEX($GR$20:$HC$20,MATCH(4,$GR$30:$HC$30,0))</f>
        <v/>
      </c>
      <c r="GV6">
        <f>INDEX($GR$20:$HC$20,MATCH(5,$GR$30:$HC$30,0))</f>
        <v/>
      </c>
      <c r="GW6">
        <f>INDEX($GR$20:$HC$20,MATCH(6,$GR$30:$HC$30,0))</f>
        <v/>
      </c>
      <c r="GX6">
        <f>INDEX($GR$20:$HC$20,MATCH(7,$GR$30:$HC$30,0))</f>
        <v/>
      </c>
      <c r="GY6">
        <f>INDEX($GR$20:$HC$20,MATCH(8,$GR$30:$HC$30,0))</f>
        <v/>
      </c>
      <c r="GZ6">
        <f>INDEX($GR$20:$HC$20,MATCH(9,$GR$30:$HC$30,0))</f>
        <v/>
      </c>
      <c r="HA6">
        <f>INDEX($GR$20:$HC$20,MATCH(10,$GR$30:$HC$30,0))</f>
        <v/>
      </c>
      <c r="HB6">
        <f>INDEX($GR$20:$HC$20,MATCH(11,$GR$30:$HC$30,0))</f>
        <v/>
      </c>
      <c r="HC6">
        <f>INDEX($GR$20:$HC$20,MATCH(12,$GR$30:$HC$30,0))</f>
        <v/>
      </c>
    </row>
    <row r="7">
      <c r="A7" s="1" t="inlineStr">
        <is>
          <t>Y_imp</t>
        </is>
      </c>
      <c r="B7">
        <f>INDEX($B$21:$GQ$21,MATCH(1,$B$29:$GQ$29,0))</f>
        <v/>
      </c>
      <c r="C7">
        <f>INDEX($B$21:$GQ$21,MATCH(2,$B$29:$GQ$29,0))</f>
        <v/>
      </c>
      <c r="D7">
        <f>INDEX($B$21:$GQ$21,MATCH(3,$B$29:$GQ$29,0))</f>
        <v/>
      </c>
      <c r="E7">
        <f>INDEX($B$21:$GQ$21,MATCH(4,$B$29:$GQ$29,0))</f>
        <v/>
      </c>
      <c r="F7">
        <f>INDEX($B$21:$GQ$21,MATCH(5,$B$29:$GQ$29,0))</f>
        <v/>
      </c>
      <c r="G7">
        <f>INDEX($B$21:$GQ$21,MATCH(6,$B$29:$GQ$29,0))</f>
        <v/>
      </c>
      <c r="H7">
        <f>INDEX($B$21:$GQ$21,MATCH(7,$B$29:$GQ$29,0))</f>
        <v/>
      </c>
      <c r="I7">
        <f>INDEX($B$21:$GQ$21,MATCH(8,$B$29:$GQ$29,0))</f>
        <v/>
      </c>
      <c r="J7">
        <f>INDEX($B$21:$GQ$21,MATCH(9,$B$29:$GQ$29,0))</f>
        <v/>
      </c>
      <c r="K7">
        <f>INDEX($B$21:$GQ$21,MATCH(10,$B$29:$GQ$29,0))</f>
        <v/>
      </c>
      <c r="L7">
        <f>INDEX($B$21:$GQ$21,MATCH(11,$B$29:$GQ$29,0))</f>
        <v/>
      </c>
      <c r="M7">
        <f>INDEX($B$21:$GQ$21,MATCH(12,$B$29:$GQ$29,0))</f>
        <v/>
      </c>
      <c r="N7">
        <f>INDEX($B$21:$GQ$21,MATCH(13,$B$29:$GQ$29,0))</f>
        <v/>
      </c>
      <c r="O7">
        <f>INDEX($B$21:$GQ$21,MATCH(14,$B$29:$GQ$29,0))</f>
        <v/>
      </c>
      <c r="P7">
        <f>INDEX($B$21:$GQ$21,MATCH(15,$B$29:$GQ$29,0))</f>
        <v/>
      </c>
      <c r="Q7">
        <f>INDEX($B$21:$GQ$21,MATCH(16,$B$29:$GQ$29,0))</f>
        <v/>
      </c>
      <c r="R7">
        <f>INDEX($B$21:$GQ$21,MATCH(17,$B$29:$GQ$29,0))</f>
        <v/>
      </c>
      <c r="S7">
        <f>INDEX($B$21:$GQ$21,MATCH(18,$B$29:$GQ$29,0))</f>
        <v/>
      </c>
      <c r="T7">
        <f>INDEX($B$21:$GQ$21,MATCH(19,$B$29:$GQ$29,0))</f>
        <v/>
      </c>
      <c r="U7">
        <f>INDEX($B$21:$GQ$21,MATCH(20,$B$29:$GQ$29,0))</f>
        <v/>
      </c>
      <c r="V7">
        <f>INDEX($B$21:$GQ$21,MATCH(21,$B$29:$GQ$29,0))</f>
        <v/>
      </c>
      <c r="W7">
        <f>INDEX($B$21:$GQ$21,MATCH(22,$B$29:$GQ$29,0))</f>
        <v/>
      </c>
      <c r="X7">
        <f>INDEX($B$21:$GQ$21,MATCH(23,$B$29:$GQ$29,0))</f>
        <v/>
      </c>
      <c r="Y7">
        <f>INDEX($B$21:$GQ$21,MATCH(24,$B$29:$GQ$29,0))</f>
        <v/>
      </c>
      <c r="Z7">
        <f>INDEX($B$21:$GQ$21,MATCH(25,$B$29:$GQ$29,0))</f>
        <v/>
      </c>
      <c r="AA7">
        <f>INDEX($B$21:$GQ$21,MATCH(26,$B$29:$GQ$29,0))</f>
        <v/>
      </c>
      <c r="AB7">
        <f>INDEX($B$21:$GQ$21,MATCH(27,$B$29:$GQ$29,0))</f>
        <v/>
      </c>
      <c r="AC7">
        <f>INDEX($B$21:$GQ$21,MATCH(28,$B$29:$GQ$29,0))</f>
        <v/>
      </c>
      <c r="AD7">
        <f>INDEX($B$21:$GQ$21,MATCH(29,$B$29:$GQ$29,0))</f>
        <v/>
      </c>
      <c r="AE7">
        <f>INDEX($B$21:$GQ$21,MATCH(30,$B$29:$GQ$29,0))</f>
        <v/>
      </c>
      <c r="AF7">
        <f>INDEX($B$21:$GQ$21,MATCH(31,$B$29:$GQ$29,0))</f>
        <v/>
      </c>
      <c r="AG7">
        <f>INDEX($B$21:$GQ$21,MATCH(32,$B$29:$GQ$29,0))</f>
        <v/>
      </c>
      <c r="AH7">
        <f>INDEX($B$21:$GQ$21,MATCH(33,$B$29:$GQ$29,0))</f>
        <v/>
      </c>
      <c r="AI7">
        <f>INDEX($B$21:$GQ$21,MATCH(34,$B$29:$GQ$29,0))</f>
        <v/>
      </c>
      <c r="AJ7">
        <f>INDEX($B$21:$GQ$21,MATCH(35,$B$29:$GQ$29,0))</f>
        <v/>
      </c>
      <c r="AK7">
        <f>INDEX($B$21:$GQ$21,MATCH(36,$B$29:$GQ$29,0))</f>
        <v/>
      </c>
      <c r="AL7">
        <f>INDEX($B$21:$GQ$21,MATCH(37,$B$29:$GQ$29,0))</f>
        <v/>
      </c>
      <c r="AM7">
        <f>INDEX($B$21:$GQ$21,MATCH(38,$B$29:$GQ$29,0))</f>
        <v/>
      </c>
      <c r="AN7">
        <f>INDEX($B$21:$GQ$21,MATCH(39,$B$29:$GQ$29,0))</f>
        <v/>
      </c>
      <c r="AO7">
        <f>INDEX($B$21:$GQ$21,MATCH(40,$B$29:$GQ$29,0))</f>
        <v/>
      </c>
      <c r="AP7">
        <f>INDEX($B$21:$GQ$21,MATCH(41,$B$29:$GQ$29,0))</f>
        <v/>
      </c>
      <c r="AQ7">
        <f>INDEX($B$21:$GQ$21,MATCH(42,$B$29:$GQ$29,0))</f>
        <v/>
      </c>
      <c r="AR7">
        <f>INDEX($B$21:$GQ$21,MATCH(43,$B$29:$GQ$29,0))</f>
        <v/>
      </c>
      <c r="AS7">
        <f>INDEX($B$21:$GQ$21,MATCH(44,$B$29:$GQ$29,0))</f>
        <v/>
      </c>
      <c r="AT7">
        <f>INDEX($B$21:$GQ$21,MATCH(45,$B$29:$GQ$29,0))</f>
        <v/>
      </c>
      <c r="AU7">
        <f>INDEX($B$21:$GQ$21,MATCH(46,$B$29:$GQ$29,0))</f>
        <v/>
      </c>
      <c r="AV7">
        <f>INDEX($B$21:$GQ$21,MATCH(47,$B$29:$GQ$29,0))</f>
        <v/>
      </c>
      <c r="AW7">
        <f>INDEX($B$21:$GQ$21,MATCH(48,$B$29:$GQ$29,0))</f>
        <v/>
      </c>
      <c r="AX7">
        <f>INDEX($B$21:$GQ$21,MATCH(49,$B$29:$GQ$29,0))</f>
        <v/>
      </c>
      <c r="AY7">
        <f>INDEX($B$21:$GQ$21,MATCH(50,$B$29:$GQ$29,0))</f>
        <v/>
      </c>
      <c r="AZ7">
        <f>INDEX($B$21:$GQ$21,MATCH(51,$B$29:$GQ$29,0))</f>
        <v/>
      </c>
      <c r="BA7">
        <f>INDEX($B$21:$GQ$21,MATCH(52,$B$29:$GQ$29,0))</f>
        <v/>
      </c>
      <c r="BB7">
        <f>INDEX($B$21:$GQ$21,MATCH(53,$B$29:$GQ$29,0))</f>
        <v/>
      </c>
      <c r="BC7">
        <f>INDEX($B$21:$GQ$21,MATCH(54,$B$29:$GQ$29,0))</f>
        <v/>
      </c>
      <c r="BD7">
        <f>INDEX($B$21:$GQ$21,MATCH(55,$B$29:$GQ$29,0))</f>
        <v/>
      </c>
      <c r="BE7">
        <f>INDEX($B$21:$GQ$21,MATCH(56,$B$29:$GQ$29,0))</f>
        <v/>
      </c>
      <c r="BF7">
        <f>INDEX($B$21:$GQ$21,MATCH(57,$B$29:$GQ$29,0))</f>
        <v/>
      </c>
      <c r="BG7">
        <f>INDEX($B$21:$GQ$21,MATCH(58,$B$29:$GQ$29,0))</f>
        <v/>
      </c>
      <c r="BH7">
        <f>INDEX($B$21:$GQ$21,MATCH(59,$B$29:$GQ$29,0))</f>
        <v/>
      </c>
      <c r="BI7">
        <f>INDEX($B$21:$GQ$21,MATCH(60,$B$29:$GQ$29,0))</f>
        <v/>
      </c>
      <c r="BJ7">
        <f>INDEX($B$21:$GQ$21,MATCH(61,$B$29:$GQ$29,0))</f>
        <v/>
      </c>
      <c r="BK7">
        <f>INDEX($B$21:$GQ$21,MATCH(62,$B$29:$GQ$29,0))</f>
        <v/>
      </c>
      <c r="BL7">
        <f>INDEX($B$21:$GQ$21,MATCH(63,$B$29:$GQ$29,0))</f>
        <v/>
      </c>
      <c r="BM7">
        <f>INDEX($B$21:$GQ$21,MATCH(64,$B$29:$GQ$29,0))</f>
        <v/>
      </c>
      <c r="BN7">
        <f>INDEX($B$21:$GQ$21,MATCH(65,$B$29:$GQ$29,0))</f>
        <v/>
      </c>
      <c r="BO7">
        <f>INDEX($B$21:$GQ$21,MATCH(66,$B$29:$GQ$29,0))</f>
        <v/>
      </c>
      <c r="BP7">
        <f>INDEX($B$21:$GQ$21,MATCH(67,$B$29:$GQ$29,0))</f>
        <v/>
      </c>
      <c r="BQ7">
        <f>INDEX($B$21:$GQ$21,MATCH(68,$B$29:$GQ$29,0))</f>
        <v/>
      </c>
      <c r="BR7">
        <f>INDEX($B$21:$GQ$21,MATCH(69,$B$29:$GQ$29,0))</f>
        <v/>
      </c>
      <c r="BS7">
        <f>INDEX($B$21:$GQ$21,MATCH(70,$B$29:$GQ$29,0))</f>
        <v/>
      </c>
      <c r="BT7">
        <f>INDEX($B$21:$GQ$21,MATCH(71,$B$29:$GQ$29,0))</f>
        <v/>
      </c>
      <c r="BU7">
        <f>INDEX($B$21:$GQ$21,MATCH(72,$B$29:$GQ$29,0))</f>
        <v/>
      </c>
      <c r="BV7">
        <f>INDEX($B$21:$GQ$21,MATCH(73,$B$29:$GQ$29,0))</f>
        <v/>
      </c>
      <c r="BW7">
        <f>INDEX($B$21:$GQ$21,MATCH(74,$B$29:$GQ$29,0))</f>
        <v/>
      </c>
      <c r="BX7">
        <f>INDEX($B$21:$GQ$21,MATCH(75,$B$29:$GQ$29,0))</f>
        <v/>
      </c>
      <c r="BY7">
        <f>INDEX($B$21:$GQ$21,MATCH(76,$B$29:$GQ$29,0))</f>
        <v/>
      </c>
      <c r="BZ7">
        <f>INDEX($B$21:$GQ$21,MATCH(77,$B$29:$GQ$29,0))</f>
        <v/>
      </c>
      <c r="CA7">
        <f>INDEX($B$21:$GQ$21,MATCH(78,$B$29:$GQ$29,0))</f>
        <v/>
      </c>
      <c r="CB7">
        <f>INDEX($B$21:$GQ$21,MATCH(79,$B$29:$GQ$29,0))</f>
        <v/>
      </c>
      <c r="CC7">
        <f>INDEX($B$21:$GQ$21,MATCH(80,$B$29:$GQ$29,0))</f>
        <v/>
      </c>
      <c r="CD7">
        <f>INDEX($B$21:$GQ$21,MATCH(81,$B$29:$GQ$29,0))</f>
        <v/>
      </c>
      <c r="CE7">
        <f>INDEX($B$21:$GQ$21,MATCH(82,$B$29:$GQ$29,0))</f>
        <v/>
      </c>
      <c r="CF7">
        <f>INDEX($B$21:$GQ$21,MATCH(83,$B$29:$GQ$29,0))</f>
        <v/>
      </c>
      <c r="CG7">
        <f>INDEX($B$21:$GQ$21,MATCH(84,$B$29:$GQ$29,0))</f>
        <v/>
      </c>
      <c r="CH7">
        <f>INDEX($B$21:$GQ$21,MATCH(85,$B$29:$GQ$29,0))</f>
        <v/>
      </c>
      <c r="CI7">
        <f>INDEX($B$21:$GQ$21,MATCH(86,$B$29:$GQ$29,0))</f>
        <v/>
      </c>
      <c r="CJ7">
        <f>INDEX($B$21:$GQ$21,MATCH(87,$B$29:$GQ$29,0))</f>
        <v/>
      </c>
      <c r="CK7">
        <f>INDEX($B$21:$GQ$21,MATCH(88,$B$29:$GQ$29,0))</f>
        <v/>
      </c>
      <c r="CL7">
        <f>INDEX($B$21:$GQ$21,MATCH(89,$B$29:$GQ$29,0))</f>
        <v/>
      </c>
      <c r="CM7">
        <f>INDEX($B$21:$GQ$21,MATCH(90,$B$29:$GQ$29,0))</f>
        <v/>
      </c>
      <c r="CN7">
        <f>INDEX($B$21:$GQ$21,MATCH(91,$B$29:$GQ$29,0))</f>
        <v/>
      </c>
      <c r="CO7">
        <f>INDEX($B$21:$GQ$21,MATCH(92,$B$29:$GQ$29,0))</f>
        <v/>
      </c>
      <c r="CP7">
        <f>INDEX($B$21:$GQ$21,MATCH(93,$B$29:$GQ$29,0))</f>
        <v/>
      </c>
      <c r="CQ7">
        <f>INDEX($B$21:$GQ$21,MATCH(94,$B$29:$GQ$29,0))</f>
        <v/>
      </c>
      <c r="CR7">
        <f>INDEX($B$21:$GQ$21,MATCH(95,$B$29:$GQ$29,0))</f>
        <v/>
      </c>
      <c r="CS7">
        <f>INDEX($B$21:$GQ$21,MATCH(96,$B$29:$GQ$29,0))</f>
        <v/>
      </c>
      <c r="CT7">
        <f>INDEX($B$21:$GQ$21,MATCH(97,$B$29:$GQ$29,0))</f>
        <v/>
      </c>
      <c r="CU7">
        <f>INDEX($B$21:$GQ$21,MATCH(98,$B$29:$GQ$29,0))</f>
        <v/>
      </c>
      <c r="CV7">
        <f>INDEX($B$21:$GQ$21,MATCH(99,$B$29:$GQ$29,0))</f>
        <v/>
      </c>
      <c r="CW7">
        <f>INDEX($B$21:$GQ$21,MATCH(100,$B$29:$GQ$29,0))</f>
        <v/>
      </c>
      <c r="CX7">
        <f>INDEX($B$21:$GQ$21,MATCH(101,$B$29:$GQ$29,0))</f>
        <v/>
      </c>
      <c r="CY7">
        <f>INDEX($B$21:$GQ$21,MATCH(102,$B$29:$GQ$29,0))</f>
        <v/>
      </c>
      <c r="CZ7">
        <f>INDEX($B$21:$GQ$21,MATCH(103,$B$29:$GQ$29,0))</f>
        <v/>
      </c>
      <c r="DA7">
        <f>INDEX($B$21:$GQ$21,MATCH(104,$B$29:$GQ$29,0))</f>
        <v/>
      </c>
      <c r="DB7">
        <f>INDEX($B$21:$GQ$21,MATCH(105,$B$29:$GQ$29,0))</f>
        <v/>
      </c>
      <c r="DC7">
        <f>INDEX($B$21:$GQ$21,MATCH(106,$B$29:$GQ$29,0))</f>
        <v/>
      </c>
      <c r="DD7">
        <f>INDEX($B$21:$GQ$21,MATCH(107,$B$29:$GQ$29,0))</f>
        <v/>
      </c>
      <c r="DE7">
        <f>INDEX($B$21:$GQ$21,MATCH(108,$B$29:$GQ$29,0))</f>
        <v/>
      </c>
      <c r="DF7">
        <f>INDEX($B$21:$GQ$21,MATCH(109,$B$29:$GQ$29,0))</f>
        <v/>
      </c>
      <c r="DG7">
        <f>INDEX($B$21:$GQ$21,MATCH(110,$B$29:$GQ$29,0))</f>
        <v/>
      </c>
      <c r="DH7">
        <f>INDEX($B$21:$GQ$21,MATCH(111,$B$29:$GQ$29,0))</f>
        <v/>
      </c>
      <c r="DI7">
        <f>INDEX($B$21:$GQ$21,MATCH(112,$B$29:$GQ$29,0))</f>
        <v/>
      </c>
      <c r="DJ7">
        <f>INDEX($B$21:$GQ$21,MATCH(113,$B$29:$GQ$29,0))</f>
        <v/>
      </c>
      <c r="DK7">
        <f>INDEX($B$21:$GQ$21,MATCH(114,$B$29:$GQ$29,0))</f>
        <v/>
      </c>
      <c r="DL7">
        <f>INDEX($B$21:$GQ$21,MATCH(115,$B$29:$GQ$29,0))</f>
        <v/>
      </c>
      <c r="DM7">
        <f>INDEX($B$21:$GQ$21,MATCH(116,$B$29:$GQ$29,0))</f>
        <v/>
      </c>
      <c r="DN7">
        <f>INDEX($B$21:$GQ$21,MATCH(117,$B$29:$GQ$29,0))</f>
        <v/>
      </c>
      <c r="DO7">
        <f>INDEX($B$21:$GQ$21,MATCH(118,$B$29:$GQ$29,0))</f>
        <v/>
      </c>
      <c r="DP7">
        <f>INDEX($B$21:$GQ$21,MATCH(119,$B$29:$GQ$29,0))</f>
        <v/>
      </c>
      <c r="DQ7">
        <f>INDEX($B$21:$GQ$21,MATCH(120,$B$29:$GQ$29,0))</f>
        <v/>
      </c>
      <c r="DR7">
        <f>INDEX($B$21:$GQ$21,MATCH(121,$B$29:$GQ$29,0))</f>
        <v/>
      </c>
      <c r="DS7">
        <f>INDEX($B$21:$GQ$21,MATCH(122,$B$29:$GQ$29,0))</f>
        <v/>
      </c>
      <c r="DT7">
        <f>INDEX($B$21:$GQ$21,MATCH(123,$B$29:$GQ$29,0))</f>
        <v/>
      </c>
      <c r="DU7">
        <f>INDEX($B$21:$GQ$21,MATCH(124,$B$29:$GQ$29,0))</f>
        <v/>
      </c>
      <c r="DV7">
        <f>INDEX($B$21:$GQ$21,MATCH(125,$B$29:$GQ$29,0))</f>
        <v/>
      </c>
      <c r="DW7">
        <f>INDEX($B$21:$GQ$21,MATCH(126,$B$29:$GQ$29,0))</f>
        <v/>
      </c>
      <c r="DX7">
        <f>INDEX($B$21:$GQ$21,MATCH(127,$B$29:$GQ$29,0))</f>
        <v/>
      </c>
      <c r="DY7">
        <f>INDEX($B$21:$GQ$21,MATCH(128,$B$29:$GQ$29,0))</f>
        <v/>
      </c>
      <c r="DZ7">
        <f>INDEX($B$21:$GQ$21,MATCH(129,$B$29:$GQ$29,0))</f>
        <v/>
      </c>
      <c r="EA7">
        <f>INDEX($B$21:$GQ$21,MATCH(130,$B$29:$GQ$29,0))</f>
        <v/>
      </c>
      <c r="EB7">
        <f>INDEX($B$21:$GQ$21,MATCH(131,$B$29:$GQ$29,0))</f>
        <v/>
      </c>
      <c r="EC7">
        <f>INDEX($B$21:$GQ$21,MATCH(132,$B$29:$GQ$29,0))</f>
        <v/>
      </c>
      <c r="ED7">
        <f>INDEX($B$21:$GQ$21,MATCH(133,$B$29:$GQ$29,0))</f>
        <v/>
      </c>
      <c r="EE7">
        <f>INDEX($B$21:$GQ$21,MATCH(134,$B$29:$GQ$29,0))</f>
        <v/>
      </c>
      <c r="EF7">
        <f>INDEX($B$21:$GQ$21,MATCH(135,$B$29:$GQ$29,0))</f>
        <v/>
      </c>
      <c r="EG7">
        <f>INDEX($B$21:$GQ$21,MATCH(136,$B$29:$GQ$29,0))</f>
        <v/>
      </c>
      <c r="EH7">
        <f>INDEX($B$21:$GQ$21,MATCH(137,$B$29:$GQ$29,0))</f>
        <v/>
      </c>
      <c r="EI7">
        <f>INDEX($B$21:$GQ$21,MATCH(138,$B$29:$GQ$29,0))</f>
        <v/>
      </c>
      <c r="EJ7">
        <f>INDEX($B$21:$GQ$21,MATCH(139,$B$29:$GQ$29,0))</f>
        <v/>
      </c>
      <c r="EK7">
        <f>INDEX($B$21:$GQ$21,MATCH(140,$B$29:$GQ$29,0))</f>
        <v/>
      </c>
      <c r="EL7">
        <f>INDEX($B$21:$GQ$21,MATCH(141,$B$29:$GQ$29,0))</f>
        <v/>
      </c>
      <c r="EM7">
        <f>INDEX($B$21:$GQ$21,MATCH(142,$B$29:$GQ$29,0))</f>
        <v/>
      </c>
      <c r="EN7">
        <f>INDEX($B$21:$GQ$21,MATCH(143,$B$29:$GQ$29,0))</f>
        <v/>
      </c>
      <c r="EO7">
        <f>INDEX($B$21:$GQ$21,MATCH(144,$B$29:$GQ$29,0))</f>
        <v/>
      </c>
      <c r="EP7">
        <f>INDEX($B$21:$GQ$21,MATCH(145,$B$29:$GQ$29,0))</f>
        <v/>
      </c>
      <c r="EQ7">
        <f>INDEX($B$21:$GQ$21,MATCH(146,$B$29:$GQ$29,0))</f>
        <v/>
      </c>
      <c r="ER7">
        <f>INDEX($B$21:$GQ$21,MATCH(147,$B$29:$GQ$29,0))</f>
        <v/>
      </c>
      <c r="ES7">
        <f>INDEX($B$21:$GQ$21,MATCH(148,$B$29:$GQ$29,0))</f>
        <v/>
      </c>
      <c r="ET7">
        <f>INDEX($B$21:$GQ$21,MATCH(149,$B$29:$GQ$29,0))</f>
        <v/>
      </c>
      <c r="EU7">
        <f>INDEX($B$21:$GQ$21,MATCH(150,$B$29:$GQ$29,0))</f>
        <v/>
      </c>
      <c r="EV7">
        <f>INDEX($B$21:$GQ$21,MATCH(151,$B$29:$GQ$29,0))</f>
        <v/>
      </c>
      <c r="EW7">
        <f>INDEX($B$21:$GQ$21,MATCH(152,$B$29:$GQ$29,0))</f>
        <v/>
      </c>
      <c r="EX7">
        <f>INDEX($B$21:$GQ$21,MATCH(153,$B$29:$GQ$29,0))</f>
        <v/>
      </c>
      <c r="EY7">
        <f>INDEX($B$21:$GQ$21,MATCH(154,$B$29:$GQ$29,0))</f>
        <v/>
      </c>
      <c r="EZ7">
        <f>INDEX($B$21:$GQ$21,MATCH(155,$B$29:$GQ$29,0))</f>
        <v/>
      </c>
      <c r="FA7">
        <f>INDEX($B$21:$GQ$21,MATCH(156,$B$29:$GQ$29,0))</f>
        <v/>
      </c>
      <c r="FB7">
        <f>INDEX($B$21:$GQ$21,MATCH(157,$B$29:$GQ$29,0))</f>
        <v/>
      </c>
      <c r="FC7">
        <f>INDEX($B$21:$GQ$21,MATCH(158,$B$29:$GQ$29,0))</f>
        <v/>
      </c>
      <c r="FD7">
        <f>INDEX($B$21:$GQ$21,MATCH(159,$B$29:$GQ$29,0))</f>
        <v/>
      </c>
      <c r="FE7">
        <f>INDEX($B$21:$GQ$21,MATCH(160,$B$29:$GQ$29,0))</f>
        <v/>
      </c>
      <c r="FF7">
        <f>INDEX($B$21:$GQ$21,MATCH(161,$B$29:$GQ$29,0))</f>
        <v/>
      </c>
      <c r="FG7">
        <f>INDEX($B$21:$GQ$21,MATCH(162,$B$29:$GQ$29,0))</f>
        <v/>
      </c>
      <c r="FH7">
        <f>INDEX($B$21:$GQ$21,MATCH(163,$B$29:$GQ$29,0))</f>
        <v/>
      </c>
      <c r="FI7">
        <f>INDEX($B$21:$GQ$21,MATCH(164,$B$29:$GQ$29,0))</f>
        <v/>
      </c>
      <c r="FJ7">
        <f>INDEX($B$21:$GQ$21,MATCH(165,$B$29:$GQ$29,0))</f>
        <v/>
      </c>
      <c r="FK7">
        <f>INDEX($B$21:$GQ$21,MATCH(166,$B$29:$GQ$29,0))</f>
        <v/>
      </c>
      <c r="FL7">
        <f>INDEX($B$21:$GQ$21,MATCH(167,$B$29:$GQ$29,0))</f>
        <v/>
      </c>
      <c r="FM7">
        <f>INDEX($B$21:$GQ$21,MATCH(168,$B$29:$GQ$29,0))</f>
        <v/>
      </c>
      <c r="FN7">
        <f>INDEX($B$21:$GQ$21,MATCH(169,$B$29:$GQ$29,0))</f>
        <v/>
      </c>
      <c r="FO7">
        <f>INDEX($B$21:$GQ$21,MATCH(170,$B$29:$GQ$29,0))</f>
        <v/>
      </c>
      <c r="FP7">
        <f>INDEX($B$21:$GQ$21,MATCH(171,$B$29:$GQ$29,0))</f>
        <v/>
      </c>
      <c r="FQ7">
        <f>INDEX($B$21:$GQ$21,MATCH(172,$B$29:$GQ$29,0))</f>
        <v/>
      </c>
      <c r="FR7">
        <f>INDEX($B$21:$GQ$21,MATCH(173,$B$29:$GQ$29,0))</f>
        <v/>
      </c>
      <c r="FS7">
        <f>INDEX($B$21:$GQ$21,MATCH(174,$B$29:$GQ$29,0))</f>
        <v/>
      </c>
      <c r="FT7">
        <f>INDEX($B$21:$GQ$21,MATCH(175,$B$29:$GQ$29,0))</f>
        <v/>
      </c>
      <c r="FU7">
        <f>INDEX($B$21:$GQ$21,MATCH(176,$B$29:$GQ$29,0))</f>
        <v/>
      </c>
      <c r="FV7">
        <f>INDEX($B$21:$GQ$21,MATCH(177,$B$29:$GQ$29,0))</f>
        <v/>
      </c>
      <c r="FW7">
        <f>INDEX($B$21:$GQ$21,MATCH(178,$B$29:$GQ$29,0))</f>
        <v/>
      </c>
      <c r="FX7">
        <f>INDEX($B$21:$GQ$21,MATCH(179,$B$29:$GQ$29,0))</f>
        <v/>
      </c>
      <c r="FY7">
        <f>INDEX($B$21:$GQ$21,MATCH(180,$B$29:$GQ$29,0))</f>
        <v/>
      </c>
      <c r="FZ7">
        <f>INDEX($B$21:$GQ$21,MATCH(181,$B$29:$GQ$29,0))</f>
        <v/>
      </c>
      <c r="GA7">
        <f>INDEX($B$21:$GQ$21,MATCH(182,$B$29:$GQ$29,0))</f>
        <v/>
      </c>
      <c r="GB7">
        <f>INDEX($B$21:$GQ$21,MATCH(183,$B$29:$GQ$29,0))</f>
        <v/>
      </c>
      <c r="GC7">
        <f>INDEX($B$21:$GQ$21,MATCH(184,$B$29:$GQ$29,0))</f>
        <v/>
      </c>
      <c r="GD7">
        <f>INDEX($B$21:$GQ$21,MATCH(185,$B$29:$GQ$29,0))</f>
        <v/>
      </c>
      <c r="GE7">
        <f>INDEX($B$21:$GQ$21,MATCH(186,$B$29:$GQ$29,0))</f>
        <v/>
      </c>
      <c r="GF7">
        <f>INDEX($B$21:$GQ$21,MATCH(187,$B$29:$GQ$29,0))</f>
        <v/>
      </c>
      <c r="GG7">
        <f>INDEX($B$21:$GQ$21,MATCH(188,$B$29:$GQ$29,0))</f>
        <v/>
      </c>
      <c r="GH7">
        <f>INDEX($B$21:$GQ$21,MATCH(189,$B$29:$GQ$29,0))</f>
        <v/>
      </c>
      <c r="GI7">
        <f>INDEX($B$21:$GQ$21,MATCH(190,$B$29:$GQ$29,0))</f>
        <v/>
      </c>
      <c r="GJ7">
        <f>INDEX($B$21:$GQ$21,MATCH(191,$B$29:$GQ$29,0))</f>
        <v/>
      </c>
      <c r="GK7">
        <f>INDEX($B$21:$GQ$21,MATCH(192,$B$29:$GQ$29,0))</f>
        <v/>
      </c>
      <c r="GL7">
        <f>INDEX($B$21:$GQ$21,MATCH(193,$B$29:$GQ$29,0))</f>
        <v/>
      </c>
      <c r="GM7">
        <f>INDEX($B$21:$GQ$21,MATCH(194,$B$29:$GQ$29,0))</f>
        <v/>
      </c>
      <c r="GN7">
        <f>INDEX($B$21:$GQ$21,MATCH(195,$B$29:$GQ$29,0))</f>
        <v/>
      </c>
      <c r="GO7">
        <f>INDEX($B$21:$GQ$21,MATCH(196,$B$29:$GQ$29,0))</f>
        <v/>
      </c>
      <c r="GP7">
        <f>INDEX($B$21:$GQ$21,MATCH(197,$B$29:$GQ$29,0))</f>
        <v/>
      </c>
      <c r="GQ7">
        <f>INDEX($B$21:$GQ$21,MATCH(198,$B$29:$GQ$29,0))</f>
        <v/>
      </c>
      <c r="GR7">
        <f>INDEX($GR$21:$HC$21,MATCH(1,$GR$30:$HC$30,0))</f>
        <v/>
      </c>
      <c r="GS7">
        <f>INDEX($GR$21:$HC$21,MATCH(2,$GR$30:$HC$30,0))</f>
        <v/>
      </c>
      <c r="GT7">
        <f>INDEX($GR$21:$HC$21,MATCH(3,$GR$30:$HC$30,0))</f>
        <v/>
      </c>
      <c r="GU7">
        <f>INDEX($GR$21:$HC$21,MATCH(4,$GR$30:$HC$30,0))</f>
        <v/>
      </c>
      <c r="GV7">
        <f>INDEX($GR$21:$HC$21,MATCH(5,$GR$30:$HC$30,0))</f>
        <v/>
      </c>
      <c r="GW7">
        <f>INDEX($GR$21:$HC$21,MATCH(6,$GR$30:$HC$30,0))</f>
        <v/>
      </c>
      <c r="GX7">
        <f>INDEX($GR$21:$HC$21,MATCH(7,$GR$30:$HC$30,0))</f>
        <v/>
      </c>
      <c r="GY7">
        <f>INDEX($GR$21:$HC$21,MATCH(8,$GR$30:$HC$30,0))</f>
        <v/>
      </c>
      <c r="GZ7">
        <f>INDEX($GR$21:$HC$21,MATCH(9,$GR$30:$HC$30,0))</f>
        <v/>
      </c>
      <c r="HA7">
        <f>INDEX($GR$21:$HC$21,MATCH(10,$GR$30:$HC$30,0))</f>
        <v/>
      </c>
      <c r="HB7">
        <f>INDEX($GR$21:$HC$21,MATCH(11,$GR$30:$HC$30,0))</f>
        <v/>
      </c>
      <c r="HC7">
        <f>INDEX($GR$21:$HC$21,MATCH(12,$GR$30:$HC$30,0))</f>
        <v/>
      </c>
    </row>
    <row r="8">
      <c r="A8" s="1" t="inlineStr">
        <is>
          <t>Y_dom</t>
        </is>
      </c>
      <c r="B8">
        <f>INDEX($B$22:$GQ$22,MATCH(1,$B$29:$GQ$29,0))</f>
        <v/>
      </c>
      <c r="C8">
        <f>INDEX($B$22:$GQ$22,MATCH(2,$B$29:$GQ$29,0))</f>
        <v/>
      </c>
      <c r="D8">
        <f>INDEX($B$22:$GQ$22,MATCH(3,$B$29:$GQ$29,0))</f>
        <v/>
      </c>
      <c r="E8">
        <f>INDEX($B$22:$GQ$22,MATCH(4,$B$29:$GQ$29,0))</f>
        <v/>
      </c>
      <c r="F8">
        <f>INDEX($B$22:$GQ$22,MATCH(5,$B$29:$GQ$29,0))</f>
        <v/>
      </c>
      <c r="G8">
        <f>INDEX($B$22:$GQ$22,MATCH(6,$B$29:$GQ$29,0))</f>
        <v/>
      </c>
      <c r="H8">
        <f>INDEX($B$22:$GQ$22,MATCH(7,$B$29:$GQ$29,0))</f>
        <v/>
      </c>
      <c r="I8">
        <f>INDEX($B$22:$GQ$22,MATCH(8,$B$29:$GQ$29,0))</f>
        <v/>
      </c>
      <c r="J8">
        <f>INDEX($B$22:$GQ$22,MATCH(9,$B$29:$GQ$29,0))</f>
        <v/>
      </c>
      <c r="K8">
        <f>INDEX($B$22:$GQ$22,MATCH(10,$B$29:$GQ$29,0))</f>
        <v/>
      </c>
      <c r="L8">
        <f>INDEX($B$22:$GQ$22,MATCH(11,$B$29:$GQ$29,0))</f>
        <v/>
      </c>
      <c r="M8">
        <f>INDEX($B$22:$GQ$22,MATCH(12,$B$29:$GQ$29,0))</f>
        <v/>
      </c>
      <c r="N8">
        <f>INDEX($B$22:$GQ$22,MATCH(13,$B$29:$GQ$29,0))</f>
        <v/>
      </c>
      <c r="O8">
        <f>INDEX($B$22:$GQ$22,MATCH(14,$B$29:$GQ$29,0))</f>
        <v/>
      </c>
      <c r="P8">
        <f>INDEX($B$22:$GQ$22,MATCH(15,$B$29:$GQ$29,0))</f>
        <v/>
      </c>
      <c r="Q8">
        <f>INDEX($B$22:$GQ$22,MATCH(16,$B$29:$GQ$29,0))</f>
        <v/>
      </c>
      <c r="R8">
        <f>INDEX($B$22:$GQ$22,MATCH(17,$B$29:$GQ$29,0))</f>
        <v/>
      </c>
      <c r="S8">
        <f>INDEX($B$22:$GQ$22,MATCH(18,$B$29:$GQ$29,0))</f>
        <v/>
      </c>
      <c r="T8">
        <f>INDEX($B$22:$GQ$22,MATCH(19,$B$29:$GQ$29,0))</f>
        <v/>
      </c>
      <c r="U8">
        <f>INDEX($B$22:$GQ$22,MATCH(20,$B$29:$GQ$29,0))</f>
        <v/>
      </c>
      <c r="V8">
        <f>INDEX($B$22:$GQ$22,MATCH(21,$B$29:$GQ$29,0))</f>
        <v/>
      </c>
      <c r="W8">
        <f>INDEX($B$22:$GQ$22,MATCH(22,$B$29:$GQ$29,0))</f>
        <v/>
      </c>
      <c r="X8">
        <f>INDEX($B$22:$GQ$22,MATCH(23,$B$29:$GQ$29,0))</f>
        <v/>
      </c>
      <c r="Y8">
        <f>INDEX($B$22:$GQ$22,MATCH(24,$B$29:$GQ$29,0))</f>
        <v/>
      </c>
      <c r="Z8">
        <f>INDEX($B$22:$GQ$22,MATCH(25,$B$29:$GQ$29,0))</f>
        <v/>
      </c>
      <c r="AA8">
        <f>INDEX($B$22:$GQ$22,MATCH(26,$B$29:$GQ$29,0))</f>
        <v/>
      </c>
      <c r="AB8">
        <f>INDEX($B$22:$GQ$22,MATCH(27,$B$29:$GQ$29,0))</f>
        <v/>
      </c>
      <c r="AC8">
        <f>INDEX($B$22:$GQ$22,MATCH(28,$B$29:$GQ$29,0))</f>
        <v/>
      </c>
      <c r="AD8">
        <f>INDEX($B$22:$GQ$22,MATCH(29,$B$29:$GQ$29,0))</f>
        <v/>
      </c>
      <c r="AE8">
        <f>INDEX($B$22:$GQ$22,MATCH(30,$B$29:$GQ$29,0))</f>
        <v/>
      </c>
      <c r="AF8">
        <f>INDEX($B$22:$GQ$22,MATCH(31,$B$29:$GQ$29,0))</f>
        <v/>
      </c>
      <c r="AG8">
        <f>INDEX($B$22:$GQ$22,MATCH(32,$B$29:$GQ$29,0))</f>
        <v/>
      </c>
      <c r="AH8">
        <f>INDEX($B$22:$GQ$22,MATCH(33,$B$29:$GQ$29,0))</f>
        <v/>
      </c>
      <c r="AI8">
        <f>INDEX($B$22:$GQ$22,MATCH(34,$B$29:$GQ$29,0))</f>
        <v/>
      </c>
      <c r="AJ8">
        <f>INDEX($B$22:$GQ$22,MATCH(35,$B$29:$GQ$29,0))</f>
        <v/>
      </c>
      <c r="AK8">
        <f>INDEX($B$22:$GQ$22,MATCH(36,$B$29:$GQ$29,0))</f>
        <v/>
      </c>
      <c r="AL8">
        <f>INDEX($B$22:$GQ$22,MATCH(37,$B$29:$GQ$29,0))</f>
        <v/>
      </c>
      <c r="AM8">
        <f>INDEX($B$22:$GQ$22,MATCH(38,$B$29:$GQ$29,0))</f>
        <v/>
      </c>
      <c r="AN8">
        <f>INDEX($B$22:$GQ$22,MATCH(39,$B$29:$GQ$29,0))</f>
        <v/>
      </c>
      <c r="AO8">
        <f>INDEX($B$22:$GQ$22,MATCH(40,$B$29:$GQ$29,0))</f>
        <v/>
      </c>
      <c r="AP8">
        <f>INDEX($B$22:$GQ$22,MATCH(41,$B$29:$GQ$29,0))</f>
        <v/>
      </c>
      <c r="AQ8">
        <f>INDEX($B$22:$GQ$22,MATCH(42,$B$29:$GQ$29,0))</f>
        <v/>
      </c>
      <c r="AR8">
        <f>INDEX($B$22:$GQ$22,MATCH(43,$B$29:$GQ$29,0))</f>
        <v/>
      </c>
      <c r="AS8">
        <f>INDEX($B$22:$GQ$22,MATCH(44,$B$29:$GQ$29,0))</f>
        <v/>
      </c>
      <c r="AT8">
        <f>INDEX($B$22:$GQ$22,MATCH(45,$B$29:$GQ$29,0))</f>
        <v/>
      </c>
      <c r="AU8">
        <f>INDEX($B$22:$GQ$22,MATCH(46,$B$29:$GQ$29,0))</f>
        <v/>
      </c>
      <c r="AV8">
        <f>INDEX($B$22:$GQ$22,MATCH(47,$B$29:$GQ$29,0))</f>
        <v/>
      </c>
      <c r="AW8">
        <f>INDEX($B$22:$GQ$22,MATCH(48,$B$29:$GQ$29,0))</f>
        <v/>
      </c>
      <c r="AX8">
        <f>INDEX($B$22:$GQ$22,MATCH(49,$B$29:$GQ$29,0))</f>
        <v/>
      </c>
      <c r="AY8">
        <f>INDEX($B$22:$GQ$22,MATCH(50,$B$29:$GQ$29,0))</f>
        <v/>
      </c>
      <c r="AZ8">
        <f>INDEX($B$22:$GQ$22,MATCH(51,$B$29:$GQ$29,0))</f>
        <v/>
      </c>
      <c r="BA8">
        <f>INDEX($B$22:$GQ$22,MATCH(52,$B$29:$GQ$29,0))</f>
        <v/>
      </c>
      <c r="BB8">
        <f>INDEX($B$22:$GQ$22,MATCH(53,$B$29:$GQ$29,0))</f>
        <v/>
      </c>
      <c r="BC8">
        <f>INDEX($B$22:$GQ$22,MATCH(54,$B$29:$GQ$29,0))</f>
        <v/>
      </c>
      <c r="BD8">
        <f>INDEX($B$22:$GQ$22,MATCH(55,$B$29:$GQ$29,0))</f>
        <v/>
      </c>
      <c r="BE8">
        <f>INDEX($B$22:$GQ$22,MATCH(56,$B$29:$GQ$29,0))</f>
        <v/>
      </c>
      <c r="BF8">
        <f>INDEX($B$22:$GQ$22,MATCH(57,$B$29:$GQ$29,0))</f>
        <v/>
      </c>
      <c r="BG8">
        <f>INDEX($B$22:$GQ$22,MATCH(58,$B$29:$GQ$29,0))</f>
        <v/>
      </c>
      <c r="BH8">
        <f>INDEX($B$22:$GQ$22,MATCH(59,$B$29:$GQ$29,0))</f>
        <v/>
      </c>
      <c r="BI8">
        <f>INDEX($B$22:$GQ$22,MATCH(60,$B$29:$GQ$29,0))</f>
        <v/>
      </c>
      <c r="BJ8">
        <f>INDEX($B$22:$GQ$22,MATCH(61,$B$29:$GQ$29,0))</f>
        <v/>
      </c>
      <c r="BK8">
        <f>INDEX($B$22:$GQ$22,MATCH(62,$B$29:$GQ$29,0))</f>
        <v/>
      </c>
      <c r="BL8">
        <f>INDEX($B$22:$GQ$22,MATCH(63,$B$29:$GQ$29,0))</f>
        <v/>
      </c>
      <c r="BM8">
        <f>INDEX($B$22:$GQ$22,MATCH(64,$B$29:$GQ$29,0))</f>
        <v/>
      </c>
      <c r="BN8">
        <f>INDEX($B$22:$GQ$22,MATCH(65,$B$29:$GQ$29,0))</f>
        <v/>
      </c>
      <c r="BO8">
        <f>INDEX($B$22:$GQ$22,MATCH(66,$B$29:$GQ$29,0))</f>
        <v/>
      </c>
      <c r="BP8">
        <f>INDEX($B$22:$GQ$22,MATCH(67,$B$29:$GQ$29,0))</f>
        <v/>
      </c>
      <c r="BQ8">
        <f>INDEX($B$22:$GQ$22,MATCH(68,$B$29:$GQ$29,0))</f>
        <v/>
      </c>
      <c r="BR8">
        <f>INDEX($B$22:$GQ$22,MATCH(69,$B$29:$GQ$29,0))</f>
        <v/>
      </c>
      <c r="BS8">
        <f>INDEX($B$22:$GQ$22,MATCH(70,$B$29:$GQ$29,0))</f>
        <v/>
      </c>
      <c r="BT8">
        <f>INDEX($B$22:$GQ$22,MATCH(71,$B$29:$GQ$29,0))</f>
        <v/>
      </c>
      <c r="BU8">
        <f>INDEX($B$22:$GQ$22,MATCH(72,$B$29:$GQ$29,0))</f>
        <v/>
      </c>
      <c r="BV8">
        <f>INDEX($B$22:$GQ$22,MATCH(73,$B$29:$GQ$29,0))</f>
        <v/>
      </c>
      <c r="BW8">
        <f>INDEX($B$22:$GQ$22,MATCH(74,$B$29:$GQ$29,0))</f>
        <v/>
      </c>
      <c r="BX8">
        <f>INDEX($B$22:$GQ$22,MATCH(75,$B$29:$GQ$29,0))</f>
        <v/>
      </c>
      <c r="BY8">
        <f>INDEX($B$22:$GQ$22,MATCH(76,$B$29:$GQ$29,0))</f>
        <v/>
      </c>
      <c r="BZ8">
        <f>INDEX($B$22:$GQ$22,MATCH(77,$B$29:$GQ$29,0))</f>
        <v/>
      </c>
      <c r="CA8">
        <f>INDEX($B$22:$GQ$22,MATCH(78,$B$29:$GQ$29,0))</f>
        <v/>
      </c>
      <c r="CB8">
        <f>INDEX($B$22:$GQ$22,MATCH(79,$B$29:$GQ$29,0))</f>
        <v/>
      </c>
      <c r="CC8">
        <f>INDEX($B$22:$GQ$22,MATCH(80,$B$29:$GQ$29,0))</f>
        <v/>
      </c>
      <c r="CD8">
        <f>INDEX($B$22:$GQ$22,MATCH(81,$B$29:$GQ$29,0))</f>
        <v/>
      </c>
      <c r="CE8">
        <f>INDEX($B$22:$GQ$22,MATCH(82,$B$29:$GQ$29,0))</f>
        <v/>
      </c>
      <c r="CF8">
        <f>INDEX($B$22:$GQ$22,MATCH(83,$B$29:$GQ$29,0))</f>
        <v/>
      </c>
      <c r="CG8">
        <f>INDEX($B$22:$GQ$22,MATCH(84,$B$29:$GQ$29,0))</f>
        <v/>
      </c>
      <c r="CH8">
        <f>INDEX($B$22:$GQ$22,MATCH(85,$B$29:$GQ$29,0))</f>
        <v/>
      </c>
      <c r="CI8">
        <f>INDEX($B$22:$GQ$22,MATCH(86,$B$29:$GQ$29,0))</f>
        <v/>
      </c>
      <c r="CJ8">
        <f>INDEX($B$22:$GQ$22,MATCH(87,$B$29:$GQ$29,0))</f>
        <v/>
      </c>
      <c r="CK8">
        <f>INDEX($B$22:$GQ$22,MATCH(88,$B$29:$GQ$29,0))</f>
        <v/>
      </c>
      <c r="CL8">
        <f>INDEX($B$22:$GQ$22,MATCH(89,$B$29:$GQ$29,0))</f>
        <v/>
      </c>
      <c r="CM8">
        <f>INDEX($B$22:$GQ$22,MATCH(90,$B$29:$GQ$29,0))</f>
        <v/>
      </c>
      <c r="CN8">
        <f>INDEX($B$22:$GQ$22,MATCH(91,$B$29:$GQ$29,0))</f>
        <v/>
      </c>
      <c r="CO8">
        <f>INDEX($B$22:$GQ$22,MATCH(92,$B$29:$GQ$29,0))</f>
        <v/>
      </c>
      <c r="CP8">
        <f>INDEX($B$22:$GQ$22,MATCH(93,$B$29:$GQ$29,0))</f>
        <v/>
      </c>
      <c r="CQ8">
        <f>INDEX($B$22:$GQ$22,MATCH(94,$B$29:$GQ$29,0))</f>
        <v/>
      </c>
      <c r="CR8">
        <f>INDEX($B$22:$GQ$22,MATCH(95,$B$29:$GQ$29,0))</f>
        <v/>
      </c>
      <c r="CS8">
        <f>INDEX($B$22:$GQ$22,MATCH(96,$B$29:$GQ$29,0))</f>
        <v/>
      </c>
      <c r="CT8">
        <f>INDEX($B$22:$GQ$22,MATCH(97,$B$29:$GQ$29,0))</f>
        <v/>
      </c>
      <c r="CU8">
        <f>INDEX($B$22:$GQ$22,MATCH(98,$B$29:$GQ$29,0))</f>
        <v/>
      </c>
      <c r="CV8">
        <f>INDEX($B$22:$GQ$22,MATCH(99,$B$29:$GQ$29,0))</f>
        <v/>
      </c>
      <c r="CW8">
        <f>INDEX($B$22:$GQ$22,MATCH(100,$B$29:$GQ$29,0))</f>
        <v/>
      </c>
      <c r="CX8">
        <f>INDEX($B$22:$GQ$22,MATCH(101,$B$29:$GQ$29,0))</f>
        <v/>
      </c>
      <c r="CY8">
        <f>INDEX($B$22:$GQ$22,MATCH(102,$B$29:$GQ$29,0))</f>
        <v/>
      </c>
      <c r="CZ8">
        <f>INDEX($B$22:$GQ$22,MATCH(103,$B$29:$GQ$29,0))</f>
        <v/>
      </c>
      <c r="DA8">
        <f>INDEX($B$22:$GQ$22,MATCH(104,$B$29:$GQ$29,0))</f>
        <v/>
      </c>
      <c r="DB8">
        <f>INDEX($B$22:$GQ$22,MATCH(105,$B$29:$GQ$29,0))</f>
        <v/>
      </c>
      <c r="DC8">
        <f>INDEX($B$22:$GQ$22,MATCH(106,$B$29:$GQ$29,0))</f>
        <v/>
      </c>
      <c r="DD8">
        <f>INDEX($B$22:$GQ$22,MATCH(107,$B$29:$GQ$29,0))</f>
        <v/>
      </c>
      <c r="DE8">
        <f>INDEX($B$22:$GQ$22,MATCH(108,$B$29:$GQ$29,0))</f>
        <v/>
      </c>
      <c r="DF8">
        <f>INDEX($B$22:$GQ$22,MATCH(109,$B$29:$GQ$29,0))</f>
        <v/>
      </c>
      <c r="DG8">
        <f>INDEX($B$22:$GQ$22,MATCH(110,$B$29:$GQ$29,0))</f>
        <v/>
      </c>
      <c r="DH8">
        <f>INDEX($B$22:$GQ$22,MATCH(111,$B$29:$GQ$29,0))</f>
        <v/>
      </c>
      <c r="DI8">
        <f>INDEX($B$22:$GQ$22,MATCH(112,$B$29:$GQ$29,0))</f>
        <v/>
      </c>
      <c r="DJ8">
        <f>INDEX($B$22:$GQ$22,MATCH(113,$B$29:$GQ$29,0))</f>
        <v/>
      </c>
      <c r="DK8">
        <f>INDEX($B$22:$GQ$22,MATCH(114,$B$29:$GQ$29,0))</f>
        <v/>
      </c>
      <c r="DL8">
        <f>INDEX($B$22:$GQ$22,MATCH(115,$B$29:$GQ$29,0))</f>
        <v/>
      </c>
      <c r="DM8">
        <f>INDEX($B$22:$GQ$22,MATCH(116,$B$29:$GQ$29,0))</f>
        <v/>
      </c>
      <c r="DN8">
        <f>INDEX($B$22:$GQ$22,MATCH(117,$B$29:$GQ$29,0))</f>
        <v/>
      </c>
      <c r="DO8">
        <f>INDEX($B$22:$GQ$22,MATCH(118,$B$29:$GQ$29,0))</f>
        <v/>
      </c>
      <c r="DP8">
        <f>INDEX($B$22:$GQ$22,MATCH(119,$B$29:$GQ$29,0))</f>
        <v/>
      </c>
      <c r="DQ8">
        <f>INDEX($B$22:$GQ$22,MATCH(120,$B$29:$GQ$29,0))</f>
        <v/>
      </c>
      <c r="DR8">
        <f>INDEX($B$22:$GQ$22,MATCH(121,$B$29:$GQ$29,0))</f>
        <v/>
      </c>
      <c r="DS8">
        <f>INDEX($B$22:$GQ$22,MATCH(122,$B$29:$GQ$29,0))</f>
        <v/>
      </c>
      <c r="DT8">
        <f>INDEX($B$22:$GQ$22,MATCH(123,$B$29:$GQ$29,0))</f>
        <v/>
      </c>
      <c r="DU8">
        <f>INDEX($B$22:$GQ$22,MATCH(124,$B$29:$GQ$29,0))</f>
        <v/>
      </c>
      <c r="DV8">
        <f>INDEX($B$22:$GQ$22,MATCH(125,$B$29:$GQ$29,0))</f>
        <v/>
      </c>
      <c r="DW8">
        <f>INDEX($B$22:$GQ$22,MATCH(126,$B$29:$GQ$29,0))</f>
        <v/>
      </c>
      <c r="DX8">
        <f>INDEX($B$22:$GQ$22,MATCH(127,$B$29:$GQ$29,0))</f>
        <v/>
      </c>
      <c r="DY8">
        <f>INDEX($B$22:$GQ$22,MATCH(128,$B$29:$GQ$29,0))</f>
        <v/>
      </c>
      <c r="DZ8">
        <f>INDEX($B$22:$GQ$22,MATCH(129,$B$29:$GQ$29,0))</f>
        <v/>
      </c>
      <c r="EA8">
        <f>INDEX($B$22:$GQ$22,MATCH(130,$B$29:$GQ$29,0))</f>
        <v/>
      </c>
      <c r="EB8">
        <f>INDEX($B$22:$GQ$22,MATCH(131,$B$29:$GQ$29,0))</f>
        <v/>
      </c>
      <c r="EC8">
        <f>INDEX($B$22:$GQ$22,MATCH(132,$B$29:$GQ$29,0))</f>
        <v/>
      </c>
      <c r="ED8">
        <f>INDEX($B$22:$GQ$22,MATCH(133,$B$29:$GQ$29,0))</f>
        <v/>
      </c>
      <c r="EE8">
        <f>INDEX($B$22:$GQ$22,MATCH(134,$B$29:$GQ$29,0))</f>
        <v/>
      </c>
      <c r="EF8">
        <f>INDEX($B$22:$GQ$22,MATCH(135,$B$29:$GQ$29,0))</f>
        <v/>
      </c>
      <c r="EG8">
        <f>INDEX($B$22:$GQ$22,MATCH(136,$B$29:$GQ$29,0))</f>
        <v/>
      </c>
      <c r="EH8">
        <f>INDEX($B$22:$GQ$22,MATCH(137,$B$29:$GQ$29,0))</f>
        <v/>
      </c>
      <c r="EI8">
        <f>INDEX($B$22:$GQ$22,MATCH(138,$B$29:$GQ$29,0))</f>
        <v/>
      </c>
      <c r="EJ8">
        <f>INDEX($B$22:$GQ$22,MATCH(139,$B$29:$GQ$29,0))</f>
        <v/>
      </c>
      <c r="EK8">
        <f>INDEX($B$22:$GQ$22,MATCH(140,$B$29:$GQ$29,0))</f>
        <v/>
      </c>
      <c r="EL8">
        <f>INDEX($B$22:$GQ$22,MATCH(141,$B$29:$GQ$29,0))</f>
        <v/>
      </c>
      <c r="EM8">
        <f>INDEX($B$22:$GQ$22,MATCH(142,$B$29:$GQ$29,0))</f>
        <v/>
      </c>
      <c r="EN8">
        <f>INDEX($B$22:$GQ$22,MATCH(143,$B$29:$GQ$29,0))</f>
        <v/>
      </c>
      <c r="EO8">
        <f>INDEX($B$22:$GQ$22,MATCH(144,$B$29:$GQ$29,0))</f>
        <v/>
      </c>
      <c r="EP8">
        <f>INDEX($B$22:$GQ$22,MATCH(145,$B$29:$GQ$29,0))</f>
        <v/>
      </c>
      <c r="EQ8">
        <f>INDEX($B$22:$GQ$22,MATCH(146,$B$29:$GQ$29,0))</f>
        <v/>
      </c>
      <c r="ER8">
        <f>INDEX($B$22:$GQ$22,MATCH(147,$B$29:$GQ$29,0))</f>
        <v/>
      </c>
      <c r="ES8">
        <f>INDEX($B$22:$GQ$22,MATCH(148,$B$29:$GQ$29,0))</f>
        <v/>
      </c>
      <c r="ET8">
        <f>INDEX($B$22:$GQ$22,MATCH(149,$B$29:$GQ$29,0))</f>
        <v/>
      </c>
      <c r="EU8">
        <f>INDEX($B$22:$GQ$22,MATCH(150,$B$29:$GQ$29,0))</f>
        <v/>
      </c>
      <c r="EV8">
        <f>INDEX($B$22:$GQ$22,MATCH(151,$B$29:$GQ$29,0))</f>
        <v/>
      </c>
      <c r="EW8">
        <f>INDEX($B$22:$GQ$22,MATCH(152,$B$29:$GQ$29,0))</f>
        <v/>
      </c>
      <c r="EX8">
        <f>INDEX($B$22:$GQ$22,MATCH(153,$B$29:$GQ$29,0))</f>
        <v/>
      </c>
      <c r="EY8">
        <f>INDEX($B$22:$GQ$22,MATCH(154,$B$29:$GQ$29,0))</f>
        <v/>
      </c>
      <c r="EZ8">
        <f>INDEX($B$22:$GQ$22,MATCH(155,$B$29:$GQ$29,0))</f>
        <v/>
      </c>
      <c r="FA8">
        <f>INDEX($B$22:$GQ$22,MATCH(156,$B$29:$GQ$29,0))</f>
        <v/>
      </c>
      <c r="FB8">
        <f>INDEX($B$22:$GQ$22,MATCH(157,$B$29:$GQ$29,0))</f>
        <v/>
      </c>
      <c r="FC8">
        <f>INDEX($B$22:$GQ$22,MATCH(158,$B$29:$GQ$29,0))</f>
        <v/>
      </c>
      <c r="FD8">
        <f>INDEX($B$22:$GQ$22,MATCH(159,$B$29:$GQ$29,0))</f>
        <v/>
      </c>
      <c r="FE8">
        <f>INDEX($B$22:$GQ$22,MATCH(160,$B$29:$GQ$29,0))</f>
        <v/>
      </c>
      <c r="FF8">
        <f>INDEX($B$22:$GQ$22,MATCH(161,$B$29:$GQ$29,0))</f>
        <v/>
      </c>
      <c r="FG8">
        <f>INDEX($B$22:$GQ$22,MATCH(162,$B$29:$GQ$29,0))</f>
        <v/>
      </c>
      <c r="FH8">
        <f>INDEX($B$22:$GQ$22,MATCH(163,$B$29:$GQ$29,0))</f>
        <v/>
      </c>
      <c r="FI8">
        <f>INDEX($B$22:$GQ$22,MATCH(164,$B$29:$GQ$29,0))</f>
        <v/>
      </c>
      <c r="FJ8">
        <f>INDEX($B$22:$GQ$22,MATCH(165,$B$29:$GQ$29,0))</f>
        <v/>
      </c>
      <c r="FK8">
        <f>INDEX($B$22:$GQ$22,MATCH(166,$B$29:$GQ$29,0))</f>
        <v/>
      </c>
      <c r="FL8">
        <f>INDEX($B$22:$GQ$22,MATCH(167,$B$29:$GQ$29,0))</f>
        <v/>
      </c>
      <c r="FM8">
        <f>INDEX($B$22:$GQ$22,MATCH(168,$B$29:$GQ$29,0))</f>
        <v/>
      </c>
      <c r="FN8">
        <f>INDEX($B$22:$GQ$22,MATCH(169,$B$29:$GQ$29,0))</f>
        <v/>
      </c>
      <c r="FO8">
        <f>INDEX($B$22:$GQ$22,MATCH(170,$B$29:$GQ$29,0))</f>
        <v/>
      </c>
      <c r="FP8">
        <f>INDEX($B$22:$GQ$22,MATCH(171,$B$29:$GQ$29,0))</f>
        <v/>
      </c>
      <c r="FQ8">
        <f>INDEX($B$22:$GQ$22,MATCH(172,$B$29:$GQ$29,0))</f>
        <v/>
      </c>
      <c r="FR8">
        <f>INDEX($B$22:$GQ$22,MATCH(173,$B$29:$GQ$29,0))</f>
        <v/>
      </c>
      <c r="FS8">
        <f>INDEX($B$22:$GQ$22,MATCH(174,$B$29:$GQ$29,0))</f>
        <v/>
      </c>
      <c r="FT8">
        <f>INDEX($B$22:$GQ$22,MATCH(175,$B$29:$GQ$29,0))</f>
        <v/>
      </c>
      <c r="FU8">
        <f>INDEX($B$22:$GQ$22,MATCH(176,$B$29:$GQ$29,0))</f>
        <v/>
      </c>
      <c r="FV8">
        <f>INDEX($B$22:$GQ$22,MATCH(177,$B$29:$GQ$29,0))</f>
        <v/>
      </c>
      <c r="FW8">
        <f>INDEX($B$22:$GQ$22,MATCH(178,$B$29:$GQ$29,0))</f>
        <v/>
      </c>
      <c r="FX8">
        <f>INDEX($B$22:$GQ$22,MATCH(179,$B$29:$GQ$29,0))</f>
        <v/>
      </c>
      <c r="FY8">
        <f>INDEX($B$22:$GQ$22,MATCH(180,$B$29:$GQ$29,0))</f>
        <v/>
      </c>
      <c r="FZ8">
        <f>INDEX($B$22:$GQ$22,MATCH(181,$B$29:$GQ$29,0))</f>
        <v/>
      </c>
      <c r="GA8">
        <f>INDEX($B$22:$GQ$22,MATCH(182,$B$29:$GQ$29,0))</f>
        <v/>
      </c>
      <c r="GB8">
        <f>INDEX($B$22:$GQ$22,MATCH(183,$B$29:$GQ$29,0))</f>
        <v/>
      </c>
      <c r="GC8">
        <f>INDEX($B$22:$GQ$22,MATCH(184,$B$29:$GQ$29,0))</f>
        <v/>
      </c>
      <c r="GD8">
        <f>INDEX($B$22:$GQ$22,MATCH(185,$B$29:$GQ$29,0))</f>
        <v/>
      </c>
      <c r="GE8">
        <f>INDEX($B$22:$GQ$22,MATCH(186,$B$29:$GQ$29,0))</f>
        <v/>
      </c>
      <c r="GF8">
        <f>INDEX($B$22:$GQ$22,MATCH(187,$B$29:$GQ$29,0))</f>
        <v/>
      </c>
      <c r="GG8">
        <f>INDEX($B$22:$GQ$22,MATCH(188,$B$29:$GQ$29,0))</f>
        <v/>
      </c>
      <c r="GH8">
        <f>INDEX($B$22:$GQ$22,MATCH(189,$B$29:$GQ$29,0))</f>
        <v/>
      </c>
      <c r="GI8">
        <f>INDEX($B$22:$GQ$22,MATCH(190,$B$29:$GQ$29,0))</f>
        <v/>
      </c>
      <c r="GJ8">
        <f>INDEX($B$22:$GQ$22,MATCH(191,$B$29:$GQ$29,0))</f>
        <v/>
      </c>
      <c r="GK8">
        <f>INDEX($B$22:$GQ$22,MATCH(192,$B$29:$GQ$29,0))</f>
        <v/>
      </c>
      <c r="GL8">
        <f>INDEX($B$22:$GQ$22,MATCH(193,$B$29:$GQ$29,0))</f>
        <v/>
      </c>
      <c r="GM8">
        <f>INDEX($B$22:$GQ$22,MATCH(194,$B$29:$GQ$29,0))</f>
        <v/>
      </c>
      <c r="GN8">
        <f>INDEX($B$22:$GQ$22,MATCH(195,$B$29:$GQ$29,0))</f>
        <v/>
      </c>
      <c r="GO8">
        <f>INDEX($B$22:$GQ$22,MATCH(196,$B$29:$GQ$29,0))</f>
        <v/>
      </c>
      <c r="GP8">
        <f>INDEX($B$22:$GQ$22,MATCH(197,$B$29:$GQ$29,0))</f>
        <v/>
      </c>
      <c r="GQ8">
        <f>INDEX($B$22:$GQ$22,MATCH(198,$B$29:$GQ$29,0))</f>
        <v/>
      </c>
      <c r="GR8">
        <f>INDEX($GR$22:$HC$22,MATCH(1,$GR$30:$HC$30,0))</f>
        <v/>
      </c>
      <c r="GS8">
        <f>INDEX($GR$22:$HC$22,MATCH(2,$GR$30:$HC$30,0))</f>
        <v/>
      </c>
      <c r="GT8">
        <f>INDEX($GR$22:$HC$22,MATCH(3,$GR$30:$HC$30,0))</f>
        <v/>
      </c>
      <c r="GU8">
        <f>INDEX($GR$22:$HC$22,MATCH(4,$GR$30:$HC$30,0))</f>
        <v/>
      </c>
      <c r="GV8">
        <f>INDEX($GR$22:$HC$22,MATCH(5,$GR$30:$HC$30,0))</f>
        <v/>
      </c>
      <c r="GW8">
        <f>INDEX($GR$22:$HC$22,MATCH(6,$GR$30:$HC$30,0))</f>
        <v/>
      </c>
      <c r="GX8">
        <f>INDEX($GR$22:$HC$22,MATCH(7,$GR$30:$HC$30,0))</f>
        <v/>
      </c>
      <c r="GY8">
        <f>INDEX($GR$22:$HC$22,MATCH(8,$GR$30:$HC$30,0))</f>
        <v/>
      </c>
      <c r="GZ8">
        <f>INDEX($GR$22:$HC$22,MATCH(9,$GR$30:$HC$30,0))</f>
        <v/>
      </c>
      <c r="HA8">
        <f>INDEX($GR$22:$HC$22,MATCH(10,$GR$30:$HC$30,0))</f>
        <v/>
      </c>
      <c r="HB8">
        <f>INDEX($GR$22:$HC$22,MATCH(11,$GR$30:$HC$30,0))</f>
        <v/>
      </c>
      <c r="HC8">
        <f>INDEX($GR$22:$HC$22,MATCH(12,$GR$30:$HC$30,0))</f>
        <v/>
      </c>
    </row>
    <row r="9">
      <c r="A9" s="1" t="inlineStr">
        <is>
          <t>M_imp*Y_dom</t>
        </is>
      </c>
      <c r="B9">
        <f>INDEX($B$23:$GQ$23,MATCH(1,$B$29:$GQ$29,0))</f>
        <v/>
      </c>
      <c r="C9">
        <f>INDEX($B$23:$GQ$23,MATCH(2,$B$29:$GQ$29,0))</f>
        <v/>
      </c>
      <c r="D9">
        <f>INDEX($B$23:$GQ$23,MATCH(3,$B$29:$GQ$29,0))</f>
        <v/>
      </c>
      <c r="E9">
        <f>INDEX($B$23:$GQ$23,MATCH(4,$B$29:$GQ$29,0))</f>
        <v/>
      </c>
      <c r="F9">
        <f>INDEX($B$23:$GQ$23,MATCH(5,$B$29:$GQ$29,0))</f>
        <v/>
      </c>
      <c r="G9">
        <f>INDEX($B$23:$GQ$23,MATCH(6,$B$29:$GQ$29,0))</f>
        <v/>
      </c>
      <c r="H9">
        <f>INDEX($B$23:$GQ$23,MATCH(7,$B$29:$GQ$29,0))</f>
        <v/>
      </c>
      <c r="I9">
        <f>INDEX($B$23:$GQ$23,MATCH(8,$B$29:$GQ$29,0))</f>
        <v/>
      </c>
      <c r="J9">
        <f>INDEX($B$23:$GQ$23,MATCH(9,$B$29:$GQ$29,0))</f>
        <v/>
      </c>
      <c r="K9">
        <f>INDEX($B$23:$GQ$23,MATCH(10,$B$29:$GQ$29,0))</f>
        <v/>
      </c>
      <c r="L9">
        <f>INDEX($B$23:$GQ$23,MATCH(11,$B$29:$GQ$29,0))</f>
        <v/>
      </c>
      <c r="M9">
        <f>INDEX($B$23:$GQ$23,MATCH(12,$B$29:$GQ$29,0))</f>
        <v/>
      </c>
      <c r="N9">
        <f>INDEX($B$23:$GQ$23,MATCH(13,$B$29:$GQ$29,0))</f>
        <v/>
      </c>
      <c r="O9">
        <f>INDEX($B$23:$GQ$23,MATCH(14,$B$29:$GQ$29,0))</f>
        <v/>
      </c>
      <c r="P9">
        <f>INDEX($B$23:$GQ$23,MATCH(15,$B$29:$GQ$29,0))</f>
        <v/>
      </c>
      <c r="Q9">
        <f>INDEX($B$23:$GQ$23,MATCH(16,$B$29:$GQ$29,0))</f>
        <v/>
      </c>
      <c r="R9">
        <f>INDEX($B$23:$GQ$23,MATCH(17,$B$29:$GQ$29,0))</f>
        <v/>
      </c>
      <c r="S9">
        <f>INDEX($B$23:$GQ$23,MATCH(18,$B$29:$GQ$29,0))</f>
        <v/>
      </c>
      <c r="T9">
        <f>INDEX($B$23:$GQ$23,MATCH(19,$B$29:$GQ$29,0))</f>
        <v/>
      </c>
      <c r="U9">
        <f>INDEX($B$23:$GQ$23,MATCH(20,$B$29:$GQ$29,0))</f>
        <v/>
      </c>
      <c r="V9">
        <f>INDEX($B$23:$GQ$23,MATCH(21,$B$29:$GQ$29,0))</f>
        <v/>
      </c>
      <c r="W9">
        <f>INDEX($B$23:$GQ$23,MATCH(22,$B$29:$GQ$29,0))</f>
        <v/>
      </c>
      <c r="X9">
        <f>INDEX($B$23:$GQ$23,MATCH(23,$B$29:$GQ$29,0))</f>
        <v/>
      </c>
      <c r="Y9">
        <f>INDEX($B$23:$GQ$23,MATCH(24,$B$29:$GQ$29,0))</f>
        <v/>
      </c>
      <c r="Z9">
        <f>INDEX($B$23:$GQ$23,MATCH(25,$B$29:$GQ$29,0))</f>
        <v/>
      </c>
      <c r="AA9">
        <f>INDEX($B$23:$GQ$23,MATCH(26,$B$29:$GQ$29,0))</f>
        <v/>
      </c>
      <c r="AB9">
        <f>INDEX($B$23:$GQ$23,MATCH(27,$B$29:$GQ$29,0))</f>
        <v/>
      </c>
      <c r="AC9">
        <f>INDEX($B$23:$GQ$23,MATCH(28,$B$29:$GQ$29,0))</f>
        <v/>
      </c>
      <c r="AD9">
        <f>INDEX($B$23:$GQ$23,MATCH(29,$B$29:$GQ$29,0))</f>
        <v/>
      </c>
      <c r="AE9">
        <f>INDEX($B$23:$GQ$23,MATCH(30,$B$29:$GQ$29,0))</f>
        <v/>
      </c>
      <c r="AF9">
        <f>INDEX($B$23:$GQ$23,MATCH(31,$B$29:$GQ$29,0))</f>
        <v/>
      </c>
      <c r="AG9">
        <f>INDEX($B$23:$GQ$23,MATCH(32,$B$29:$GQ$29,0))</f>
        <v/>
      </c>
      <c r="AH9">
        <f>INDEX($B$23:$GQ$23,MATCH(33,$B$29:$GQ$29,0))</f>
        <v/>
      </c>
      <c r="AI9">
        <f>INDEX($B$23:$GQ$23,MATCH(34,$B$29:$GQ$29,0))</f>
        <v/>
      </c>
      <c r="AJ9">
        <f>INDEX($B$23:$GQ$23,MATCH(35,$B$29:$GQ$29,0))</f>
        <v/>
      </c>
      <c r="AK9">
        <f>INDEX($B$23:$GQ$23,MATCH(36,$B$29:$GQ$29,0))</f>
        <v/>
      </c>
      <c r="AL9">
        <f>INDEX($B$23:$GQ$23,MATCH(37,$B$29:$GQ$29,0))</f>
        <v/>
      </c>
      <c r="AM9">
        <f>INDEX($B$23:$GQ$23,MATCH(38,$B$29:$GQ$29,0))</f>
        <v/>
      </c>
      <c r="AN9">
        <f>INDEX($B$23:$GQ$23,MATCH(39,$B$29:$GQ$29,0))</f>
        <v/>
      </c>
      <c r="AO9">
        <f>INDEX($B$23:$GQ$23,MATCH(40,$B$29:$GQ$29,0))</f>
        <v/>
      </c>
      <c r="AP9">
        <f>INDEX($B$23:$GQ$23,MATCH(41,$B$29:$GQ$29,0))</f>
        <v/>
      </c>
      <c r="AQ9">
        <f>INDEX($B$23:$GQ$23,MATCH(42,$B$29:$GQ$29,0))</f>
        <v/>
      </c>
      <c r="AR9">
        <f>INDEX($B$23:$GQ$23,MATCH(43,$B$29:$GQ$29,0))</f>
        <v/>
      </c>
      <c r="AS9">
        <f>INDEX($B$23:$GQ$23,MATCH(44,$B$29:$GQ$29,0))</f>
        <v/>
      </c>
      <c r="AT9">
        <f>INDEX($B$23:$GQ$23,MATCH(45,$B$29:$GQ$29,0))</f>
        <v/>
      </c>
      <c r="AU9">
        <f>INDEX($B$23:$GQ$23,MATCH(46,$B$29:$GQ$29,0))</f>
        <v/>
      </c>
      <c r="AV9">
        <f>INDEX($B$23:$GQ$23,MATCH(47,$B$29:$GQ$29,0))</f>
        <v/>
      </c>
      <c r="AW9">
        <f>INDEX($B$23:$GQ$23,MATCH(48,$B$29:$GQ$29,0))</f>
        <v/>
      </c>
      <c r="AX9">
        <f>INDEX($B$23:$GQ$23,MATCH(49,$B$29:$GQ$29,0))</f>
        <v/>
      </c>
      <c r="AY9">
        <f>INDEX($B$23:$GQ$23,MATCH(50,$B$29:$GQ$29,0))</f>
        <v/>
      </c>
      <c r="AZ9">
        <f>INDEX($B$23:$GQ$23,MATCH(51,$B$29:$GQ$29,0))</f>
        <v/>
      </c>
      <c r="BA9">
        <f>INDEX($B$23:$GQ$23,MATCH(52,$B$29:$GQ$29,0))</f>
        <v/>
      </c>
      <c r="BB9">
        <f>INDEX($B$23:$GQ$23,MATCH(53,$B$29:$GQ$29,0))</f>
        <v/>
      </c>
      <c r="BC9">
        <f>INDEX($B$23:$GQ$23,MATCH(54,$B$29:$GQ$29,0))</f>
        <v/>
      </c>
      <c r="BD9">
        <f>INDEX($B$23:$GQ$23,MATCH(55,$B$29:$GQ$29,0))</f>
        <v/>
      </c>
      <c r="BE9">
        <f>INDEX($B$23:$GQ$23,MATCH(56,$B$29:$GQ$29,0))</f>
        <v/>
      </c>
      <c r="BF9">
        <f>INDEX($B$23:$GQ$23,MATCH(57,$B$29:$GQ$29,0))</f>
        <v/>
      </c>
      <c r="BG9">
        <f>INDEX($B$23:$GQ$23,MATCH(58,$B$29:$GQ$29,0))</f>
        <v/>
      </c>
      <c r="BH9">
        <f>INDEX($B$23:$GQ$23,MATCH(59,$B$29:$GQ$29,0))</f>
        <v/>
      </c>
      <c r="BI9">
        <f>INDEX($B$23:$GQ$23,MATCH(60,$B$29:$GQ$29,0))</f>
        <v/>
      </c>
      <c r="BJ9">
        <f>INDEX($B$23:$GQ$23,MATCH(61,$B$29:$GQ$29,0))</f>
        <v/>
      </c>
      <c r="BK9">
        <f>INDEX($B$23:$GQ$23,MATCH(62,$B$29:$GQ$29,0))</f>
        <v/>
      </c>
      <c r="BL9">
        <f>INDEX($B$23:$GQ$23,MATCH(63,$B$29:$GQ$29,0))</f>
        <v/>
      </c>
      <c r="BM9">
        <f>INDEX($B$23:$GQ$23,MATCH(64,$B$29:$GQ$29,0))</f>
        <v/>
      </c>
      <c r="BN9">
        <f>INDEX($B$23:$GQ$23,MATCH(65,$B$29:$GQ$29,0))</f>
        <v/>
      </c>
      <c r="BO9">
        <f>INDEX($B$23:$GQ$23,MATCH(66,$B$29:$GQ$29,0))</f>
        <v/>
      </c>
      <c r="BP9">
        <f>INDEX($B$23:$GQ$23,MATCH(67,$B$29:$GQ$29,0))</f>
        <v/>
      </c>
      <c r="BQ9">
        <f>INDEX($B$23:$GQ$23,MATCH(68,$B$29:$GQ$29,0))</f>
        <v/>
      </c>
      <c r="BR9">
        <f>INDEX($B$23:$GQ$23,MATCH(69,$B$29:$GQ$29,0))</f>
        <v/>
      </c>
      <c r="BS9">
        <f>INDEX($B$23:$GQ$23,MATCH(70,$B$29:$GQ$29,0))</f>
        <v/>
      </c>
      <c r="BT9">
        <f>INDEX($B$23:$GQ$23,MATCH(71,$B$29:$GQ$29,0))</f>
        <v/>
      </c>
      <c r="BU9">
        <f>INDEX($B$23:$GQ$23,MATCH(72,$B$29:$GQ$29,0))</f>
        <v/>
      </c>
      <c r="BV9">
        <f>INDEX($B$23:$GQ$23,MATCH(73,$B$29:$GQ$29,0))</f>
        <v/>
      </c>
      <c r="BW9">
        <f>INDEX($B$23:$GQ$23,MATCH(74,$B$29:$GQ$29,0))</f>
        <v/>
      </c>
      <c r="BX9">
        <f>INDEX($B$23:$GQ$23,MATCH(75,$B$29:$GQ$29,0))</f>
        <v/>
      </c>
      <c r="BY9">
        <f>INDEX($B$23:$GQ$23,MATCH(76,$B$29:$GQ$29,0))</f>
        <v/>
      </c>
      <c r="BZ9">
        <f>INDEX($B$23:$GQ$23,MATCH(77,$B$29:$GQ$29,0))</f>
        <v/>
      </c>
      <c r="CA9">
        <f>INDEX($B$23:$GQ$23,MATCH(78,$B$29:$GQ$29,0))</f>
        <v/>
      </c>
      <c r="CB9">
        <f>INDEX($B$23:$GQ$23,MATCH(79,$B$29:$GQ$29,0))</f>
        <v/>
      </c>
      <c r="CC9">
        <f>INDEX($B$23:$GQ$23,MATCH(80,$B$29:$GQ$29,0))</f>
        <v/>
      </c>
      <c r="CD9">
        <f>INDEX($B$23:$GQ$23,MATCH(81,$B$29:$GQ$29,0))</f>
        <v/>
      </c>
      <c r="CE9">
        <f>INDEX($B$23:$GQ$23,MATCH(82,$B$29:$GQ$29,0))</f>
        <v/>
      </c>
      <c r="CF9">
        <f>INDEX($B$23:$GQ$23,MATCH(83,$B$29:$GQ$29,0))</f>
        <v/>
      </c>
      <c r="CG9">
        <f>INDEX($B$23:$GQ$23,MATCH(84,$B$29:$GQ$29,0))</f>
        <v/>
      </c>
      <c r="CH9">
        <f>INDEX($B$23:$GQ$23,MATCH(85,$B$29:$GQ$29,0))</f>
        <v/>
      </c>
      <c r="CI9">
        <f>INDEX($B$23:$GQ$23,MATCH(86,$B$29:$GQ$29,0))</f>
        <v/>
      </c>
      <c r="CJ9">
        <f>INDEX($B$23:$GQ$23,MATCH(87,$B$29:$GQ$29,0))</f>
        <v/>
      </c>
      <c r="CK9">
        <f>INDEX($B$23:$GQ$23,MATCH(88,$B$29:$GQ$29,0))</f>
        <v/>
      </c>
      <c r="CL9">
        <f>INDEX($B$23:$GQ$23,MATCH(89,$B$29:$GQ$29,0))</f>
        <v/>
      </c>
      <c r="CM9">
        <f>INDEX($B$23:$GQ$23,MATCH(90,$B$29:$GQ$29,0))</f>
        <v/>
      </c>
      <c r="CN9">
        <f>INDEX($B$23:$GQ$23,MATCH(91,$B$29:$GQ$29,0))</f>
        <v/>
      </c>
      <c r="CO9">
        <f>INDEX($B$23:$GQ$23,MATCH(92,$B$29:$GQ$29,0))</f>
        <v/>
      </c>
      <c r="CP9">
        <f>INDEX($B$23:$GQ$23,MATCH(93,$B$29:$GQ$29,0))</f>
        <v/>
      </c>
      <c r="CQ9">
        <f>INDEX($B$23:$GQ$23,MATCH(94,$B$29:$GQ$29,0))</f>
        <v/>
      </c>
      <c r="CR9">
        <f>INDEX($B$23:$GQ$23,MATCH(95,$B$29:$GQ$29,0))</f>
        <v/>
      </c>
      <c r="CS9">
        <f>INDEX($B$23:$GQ$23,MATCH(96,$B$29:$GQ$29,0))</f>
        <v/>
      </c>
      <c r="CT9">
        <f>INDEX($B$23:$GQ$23,MATCH(97,$B$29:$GQ$29,0))</f>
        <v/>
      </c>
      <c r="CU9">
        <f>INDEX($B$23:$GQ$23,MATCH(98,$B$29:$GQ$29,0))</f>
        <v/>
      </c>
      <c r="CV9">
        <f>INDEX($B$23:$GQ$23,MATCH(99,$B$29:$GQ$29,0))</f>
        <v/>
      </c>
      <c r="CW9">
        <f>INDEX($B$23:$GQ$23,MATCH(100,$B$29:$GQ$29,0))</f>
        <v/>
      </c>
      <c r="CX9">
        <f>INDEX($B$23:$GQ$23,MATCH(101,$B$29:$GQ$29,0))</f>
        <v/>
      </c>
      <c r="CY9">
        <f>INDEX($B$23:$GQ$23,MATCH(102,$B$29:$GQ$29,0))</f>
        <v/>
      </c>
      <c r="CZ9">
        <f>INDEX($B$23:$GQ$23,MATCH(103,$B$29:$GQ$29,0))</f>
        <v/>
      </c>
      <c r="DA9">
        <f>INDEX($B$23:$GQ$23,MATCH(104,$B$29:$GQ$29,0))</f>
        <v/>
      </c>
      <c r="DB9">
        <f>INDEX($B$23:$GQ$23,MATCH(105,$B$29:$GQ$29,0))</f>
        <v/>
      </c>
      <c r="DC9">
        <f>INDEX($B$23:$GQ$23,MATCH(106,$B$29:$GQ$29,0))</f>
        <v/>
      </c>
      <c r="DD9">
        <f>INDEX($B$23:$GQ$23,MATCH(107,$B$29:$GQ$29,0))</f>
        <v/>
      </c>
      <c r="DE9">
        <f>INDEX($B$23:$GQ$23,MATCH(108,$B$29:$GQ$29,0))</f>
        <v/>
      </c>
      <c r="DF9">
        <f>INDEX($B$23:$GQ$23,MATCH(109,$B$29:$GQ$29,0))</f>
        <v/>
      </c>
      <c r="DG9">
        <f>INDEX($B$23:$GQ$23,MATCH(110,$B$29:$GQ$29,0))</f>
        <v/>
      </c>
      <c r="DH9">
        <f>INDEX($B$23:$GQ$23,MATCH(111,$B$29:$GQ$29,0))</f>
        <v/>
      </c>
      <c r="DI9">
        <f>INDEX($B$23:$GQ$23,MATCH(112,$B$29:$GQ$29,0))</f>
        <v/>
      </c>
      <c r="DJ9">
        <f>INDEX($B$23:$GQ$23,MATCH(113,$B$29:$GQ$29,0))</f>
        <v/>
      </c>
      <c r="DK9">
        <f>INDEX($B$23:$GQ$23,MATCH(114,$B$29:$GQ$29,0))</f>
        <v/>
      </c>
      <c r="DL9">
        <f>INDEX($B$23:$GQ$23,MATCH(115,$B$29:$GQ$29,0))</f>
        <v/>
      </c>
      <c r="DM9">
        <f>INDEX($B$23:$GQ$23,MATCH(116,$B$29:$GQ$29,0))</f>
        <v/>
      </c>
      <c r="DN9">
        <f>INDEX($B$23:$GQ$23,MATCH(117,$B$29:$GQ$29,0))</f>
        <v/>
      </c>
      <c r="DO9">
        <f>INDEX($B$23:$GQ$23,MATCH(118,$B$29:$GQ$29,0))</f>
        <v/>
      </c>
      <c r="DP9">
        <f>INDEX($B$23:$GQ$23,MATCH(119,$B$29:$GQ$29,0))</f>
        <v/>
      </c>
      <c r="DQ9">
        <f>INDEX($B$23:$GQ$23,MATCH(120,$B$29:$GQ$29,0))</f>
        <v/>
      </c>
      <c r="DR9">
        <f>INDEX($B$23:$GQ$23,MATCH(121,$B$29:$GQ$29,0))</f>
        <v/>
      </c>
      <c r="DS9">
        <f>INDEX($B$23:$GQ$23,MATCH(122,$B$29:$GQ$29,0))</f>
        <v/>
      </c>
      <c r="DT9">
        <f>INDEX($B$23:$GQ$23,MATCH(123,$B$29:$GQ$29,0))</f>
        <v/>
      </c>
      <c r="DU9">
        <f>INDEX($B$23:$GQ$23,MATCH(124,$B$29:$GQ$29,0))</f>
        <v/>
      </c>
      <c r="DV9">
        <f>INDEX($B$23:$GQ$23,MATCH(125,$B$29:$GQ$29,0))</f>
        <v/>
      </c>
      <c r="DW9">
        <f>INDEX($B$23:$GQ$23,MATCH(126,$B$29:$GQ$29,0))</f>
        <v/>
      </c>
      <c r="DX9">
        <f>INDEX($B$23:$GQ$23,MATCH(127,$B$29:$GQ$29,0))</f>
        <v/>
      </c>
      <c r="DY9">
        <f>INDEX($B$23:$GQ$23,MATCH(128,$B$29:$GQ$29,0))</f>
        <v/>
      </c>
      <c r="DZ9">
        <f>INDEX($B$23:$GQ$23,MATCH(129,$B$29:$GQ$29,0))</f>
        <v/>
      </c>
      <c r="EA9">
        <f>INDEX($B$23:$GQ$23,MATCH(130,$B$29:$GQ$29,0))</f>
        <v/>
      </c>
      <c r="EB9">
        <f>INDEX($B$23:$GQ$23,MATCH(131,$B$29:$GQ$29,0))</f>
        <v/>
      </c>
      <c r="EC9">
        <f>INDEX($B$23:$GQ$23,MATCH(132,$B$29:$GQ$29,0))</f>
        <v/>
      </c>
      <c r="ED9">
        <f>INDEX($B$23:$GQ$23,MATCH(133,$B$29:$GQ$29,0))</f>
        <v/>
      </c>
      <c r="EE9">
        <f>INDEX($B$23:$GQ$23,MATCH(134,$B$29:$GQ$29,0))</f>
        <v/>
      </c>
      <c r="EF9">
        <f>INDEX($B$23:$GQ$23,MATCH(135,$B$29:$GQ$29,0))</f>
        <v/>
      </c>
      <c r="EG9">
        <f>INDEX($B$23:$GQ$23,MATCH(136,$B$29:$GQ$29,0))</f>
        <v/>
      </c>
      <c r="EH9">
        <f>INDEX($B$23:$GQ$23,MATCH(137,$B$29:$GQ$29,0))</f>
        <v/>
      </c>
      <c r="EI9">
        <f>INDEX($B$23:$GQ$23,MATCH(138,$B$29:$GQ$29,0))</f>
        <v/>
      </c>
      <c r="EJ9">
        <f>INDEX($B$23:$GQ$23,MATCH(139,$B$29:$GQ$29,0))</f>
        <v/>
      </c>
      <c r="EK9">
        <f>INDEX($B$23:$GQ$23,MATCH(140,$B$29:$GQ$29,0))</f>
        <v/>
      </c>
      <c r="EL9">
        <f>INDEX($B$23:$GQ$23,MATCH(141,$B$29:$GQ$29,0))</f>
        <v/>
      </c>
      <c r="EM9">
        <f>INDEX($B$23:$GQ$23,MATCH(142,$B$29:$GQ$29,0))</f>
        <v/>
      </c>
      <c r="EN9">
        <f>INDEX($B$23:$GQ$23,MATCH(143,$B$29:$GQ$29,0))</f>
        <v/>
      </c>
      <c r="EO9">
        <f>INDEX($B$23:$GQ$23,MATCH(144,$B$29:$GQ$29,0))</f>
        <v/>
      </c>
      <c r="EP9">
        <f>INDEX($B$23:$GQ$23,MATCH(145,$B$29:$GQ$29,0))</f>
        <v/>
      </c>
      <c r="EQ9">
        <f>INDEX($B$23:$GQ$23,MATCH(146,$B$29:$GQ$29,0))</f>
        <v/>
      </c>
      <c r="ER9">
        <f>INDEX($B$23:$GQ$23,MATCH(147,$B$29:$GQ$29,0))</f>
        <v/>
      </c>
      <c r="ES9">
        <f>INDEX($B$23:$GQ$23,MATCH(148,$B$29:$GQ$29,0))</f>
        <v/>
      </c>
      <c r="ET9">
        <f>INDEX($B$23:$GQ$23,MATCH(149,$B$29:$GQ$29,0))</f>
        <v/>
      </c>
      <c r="EU9">
        <f>INDEX($B$23:$GQ$23,MATCH(150,$B$29:$GQ$29,0))</f>
        <v/>
      </c>
      <c r="EV9">
        <f>INDEX($B$23:$GQ$23,MATCH(151,$B$29:$GQ$29,0))</f>
        <v/>
      </c>
      <c r="EW9">
        <f>INDEX($B$23:$GQ$23,MATCH(152,$B$29:$GQ$29,0))</f>
        <v/>
      </c>
      <c r="EX9">
        <f>INDEX($B$23:$GQ$23,MATCH(153,$B$29:$GQ$29,0))</f>
        <v/>
      </c>
      <c r="EY9">
        <f>INDEX($B$23:$GQ$23,MATCH(154,$B$29:$GQ$29,0))</f>
        <v/>
      </c>
      <c r="EZ9">
        <f>INDEX($B$23:$GQ$23,MATCH(155,$B$29:$GQ$29,0))</f>
        <v/>
      </c>
      <c r="FA9">
        <f>INDEX($B$23:$GQ$23,MATCH(156,$B$29:$GQ$29,0))</f>
        <v/>
      </c>
      <c r="FB9">
        <f>INDEX($B$23:$GQ$23,MATCH(157,$B$29:$GQ$29,0))</f>
        <v/>
      </c>
      <c r="FC9">
        <f>INDEX($B$23:$GQ$23,MATCH(158,$B$29:$GQ$29,0))</f>
        <v/>
      </c>
      <c r="FD9">
        <f>INDEX($B$23:$GQ$23,MATCH(159,$B$29:$GQ$29,0))</f>
        <v/>
      </c>
      <c r="FE9">
        <f>INDEX($B$23:$GQ$23,MATCH(160,$B$29:$GQ$29,0))</f>
        <v/>
      </c>
      <c r="FF9">
        <f>INDEX($B$23:$GQ$23,MATCH(161,$B$29:$GQ$29,0))</f>
        <v/>
      </c>
      <c r="FG9">
        <f>INDEX($B$23:$GQ$23,MATCH(162,$B$29:$GQ$29,0))</f>
        <v/>
      </c>
      <c r="FH9">
        <f>INDEX($B$23:$GQ$23,MATCH(163,$B$29:$GQ$29,0))</f>
        <v/>
      </c>
      <c r="FI9">
        <f>INDEX($B$23:$GQ$23,MATCH(164,$B$29:$GQ$29,0))</f>
        <v/>
      </c>
      <c r="FJ9">
        <f>INDEX($B$23:$GQ$23,MATCH(165,$B$29:$GQ$29,0))</f>
        <v/>
      </c>
      <c r="FK9">
        <f>INDEX($B$23:$GQ$23,MATCH(166,$B$29:$GQ$29,0))</f>
        <v/>
      </c>
      <c r="FL9">
        <f>INDEX($B$23:$GQ$23,MATCH(167,$B$29:$GQ$29,0))</f>
        <v/>
      </c>
      <c r="FM9">
        <f>INDEX($B$23:$GQ$23,MATCH(168,$B$29:$GQ$29,0))</f>
        <v/>
      </c>
      <c r="FN9">
        <f>INDEX($B$23:$GQ$23,MATCH(169,$B$29:$GQ$29,0))</f>
        <v/>
      </c>
      <c r="FO9">
        <f>INDEX($B$23:$GQ$23,MATCH(170,$B$29:$GQ$29,0))</f>
        <v/>
      </c>
      <c r="FP9">
        <f>INDEX($B$23:$GQ$23,MATCH(171,$B$29:$GQ$29,0))</f>
        <v/>
      </c>
      <c r="FQ9">
        <f>INDEX($B$23:$GQ$23,MATCH(172,$B$29:$GQ$29,0))</f>
        <v/>
      </c>
      <c r="FR9">
        <f>INDEX($B$23:$GQ$23,MATCH(173,$B$29:$GQ$29,0))</f>
        <v/>
      </c>
      <c r="FS9">
        <f>INDEX($B$23:$GQ$23,MATCH(174,$B$29:$GQ$29,0))</f>
        <v/>
      </c>
      <c r="FT9">
        <f>INDEX($B$23:$GQ$23,MATCH(175,$B$29:$GQ$29,0))</f>
        <v/>
      </c>
      <c r="FU9">
        <f>INDEX($B$23:$GQ$23,MATCH(176,$B$29:$GQ$29,0))</f>
        <v/>
      </c>
      <c r="FV9">
        <f>INDEX($B$23:$GQ$23,MATCH(177,$B$29:$GQ$29,0))</f>
        <v/>
      </c>
      <c r="FW9">
        <f>INDEX($B$23:$GQ$23,MATCH(178,$B$29:$GQ$29,0))</f>
        <v/>
      </c>
      <c r="FX9">
        <f>INDEX($B$23:$GQ$23,MATCH(179,$B$29:$GQ$29,0))</f>
        <v/>
      </c>
      <c r="FY9">
        <f>INDEX($B$23:$GQ$23,MATCH(180,$B$29:$GQ$29,0))</f>
        <v/>
      </c>
      <c r="FZ9">
        <f>INDEX($B$23:$GQ$23,MATCH(181,$B$29:$GQ$29,0))</f>
        <v/>
      </c>
      <c r="GA9">
        <f>INDEX($B$23:$GQ$23,MATCH(182,$B$29:$GQ$29,0))</f>
        <v/>
      </c>
      <c r="GB9">
        <f>INDEX($B$23:$GQ$23,MATCH(183,$B$29:$GQ$29,0))</f>
        <v/>
      </c>
      <c r="GC9">
        <f>INDEX($B$23:$GQ$23,MATCH(184,$B$29:$GQ$29,0))</f>
        <v/>
      </c>
      <c r="GD9">
        <f>INDEX($B$23:$GQ$23,MATCH(185,$B$29:$GQ$29,0))</f>
        <v/>
      </c>
      <c r="GE9">
        <f>INDEX($B$23:$GQ$23,MATCH(186,$B$29:$GQ$29,0))</f>
        <v/>
      </c>
      <c r="GF9">
        <f>INDEX($B$23:$GQ$23,MATCH(187,$B$29:$GQ$29,0))</f>
        <v/>
      </c>
      <c r="GG9">
        <f>INDEX($B$23:$GQ$23,MATCH(188,$B$29:$GQ$29,0))</f>
        <v/>
      </c>
      <c r="GH9">
        <f>INDEX($B$23:$GQ$23,MATCH(189,$B$29:$GQ$29,0))</f>
        <v/>
      </c>
      <c r="GI9">
        <f>INDEX($B$23:$GQ$23,MATCH(190,$B$29:$GQ$29,0))</f>
        <v/>
      </c>
      <c r="GJ9">
        <f>INDEX($B$23:$GQ$23,MATCH(191,$B$29:$GQ$29,0))</f>
        <v/>
      </c>
      <c r="GK9">
        <f>INDEX($B$23:$GQ$23,MATCH(192,$B$29:$GQ$29,0))</f>
        <v/>
      </c>
      <c r="GL9">
        <f>INDEX($B$23:$GQ$23,MATCH(193,$B$29:$GQ$29,0))</f>
        <v/>
      </c>
      <c r="GM9">
        <f>INDEX($B$23:$GQ$23,MATCH(194,$B$29:$GQ$29,0))</f>
        <v/>
      </c>
      <c r="GN9">
        <f>INDEX($B$23:$GQ$23,MATCH(195,$B$29:$GQ$29,0))</f>
        <v/>
      </c>
      <c r="GO9">
        <f>INDEX($B$23:$GQ$23,MATCH(196,$B$29:$GQ$29,0))</f>
        <v/>
      </c>
      <c r="GP9">
        <f>INDEX($B$23:$GQ$23,MATCH(197,$B$29:$GQ$29,0))</f>
        <v/>
      </c>
      <c r="GQ9">
        <f>INDEX($B$23:$GQ$23,MATCH(198,$B$29:$GQ$29,0))</f>
        <v/>
      </c>
      <c r="GR9">
        <f>INDEX($GR$23:$HC$23,MATCH(1,$GR$30:$HC$30,0))</f>
        <v/>
      </c>
      <c r="GS9">
        <f>INDEX($GR$23:$HC$23,MATCH(2,$GR$30:$HC$30,0))</f>
        <v/>
      </c>
      <c r="GT9">
        <f>INDEX($GR$23:$HC$23,MATCH(3,$GR$30:$HC$30,0))</f>
        <v/>
      </c>
      <c r="GU9">
        <f>INDEX($GR$23:$HC$23,MATCH(4,$GR$30:$HC$30,0))</f>
        <v/>
      </c>
      <c r="GV9">
        <f>INDEX($GR$23:$HC$23,MATCH(5,$GR$30:$HC$30,0))</f>
        <v/>
      </c>
      <c r="GW9">
        <f>INDEX($GR$23:$HC$23,MATCH(6,$GR$30:$HC$30,0))</f>
        <v/>
      </c>
      <c r="GX9">
        <f>INDEX($GR$23:$HC$23,MATCH(7,$GR$30:$HC$30,0))</f>
        <v/>
      </c>
      <c r="GY9">
        <f>INDEX($GR$23:$HC$23,MATCH(8,$GR$30:$HC$30,0))</f>
        <v/>
      </c>
      <c r="GZ9">
        <f>INDEX($GR$23:$HC$23,MATCH(9,$GR$30:$HC$30,0))</f>
        <v/>
      </c>
      <c r="HA9">
        <f>INDEX($GR$23:$HC$23,MATCH(10,$GR$30:$HC$30,0))</f>
        <v/>
      </c>
      <c r="HB9">
        <f>INDEX($GR$23:$HC$23,MATCH(11,$GR$30:$HC$30,0))</f>
        <v/>
      </c>
      <c r="HC9">
        <f>INDEX($GR$23:$HC$23,MATCH(12,$GR$30:$HC$30,0))</f>
        <v/>
      </c>
    </row>
    <row r="10">
      <c r="A10" s="1" t="inlineStr">
        <is>
          <t>M_dom*Y_dom</t>
        </is>
      </c>
      <c r="B10">
        <f>INDEX($B$24:$GQ$24,MATCH(1,$B$29:$GQ$29,0))</f>
        <v/>
      </c>
      <c r="C10">
        <f>INDEX($B$24:$GQ$24,MATCH(2,$B$29:$GQ$29,0))</f>
        <v/>
      </c>
      <c r="D10">
        <f>INDEX($B$24:$GQ$24,MATCH(3,$B$29:$GQ$29,0))</f>
        <v/>
      </c>
      <c r="E10">
        <f>INDEX($B$24:$GQ$24,MATCH(4,$B$29:$GQ$29,0))</f>
        <v/>
      </c>
      <c r="F10">
        <f>INDEX($B$24:$GQ$24,MATCH(5,$B$29:$GQ$29,0))</f>
        <v/>
      </c>
      <c r="G10">
        <f>INDEX($B$24:$GQ$24,MATCH(6,$B$29:$GQ$29,0))</f>
        <v/>
      </c>
      <c r="H10">
        <f>INDEX($B$24:$GQ$24,MATCH(7,$B$29:$GQ$29,0))</f>
        <v/>
      </c>
      <c r="I10">
        <f>INDEX($B$24:$GQ$24,MATCH(8,$B$29:$GQ$29,0))</f>
        <v/>
      </c>
      <c r="J10">
        <f>INDEX($B$24:$GQ$24,MATCH(9,$B$29:$GQ$29,0))</f>
        <v/>
      </c>
      <c r="K10">
        <f>INDEX($B$24:$GQ$24,MATCH(10,$B$29:$GQ$29,0))</f>
        <v/>
      </c>
      <c r="L10">
        <f>INDEX($B$24:$GQ$24,MATCH(11,$B$29:$GQ$29,0))</f>
        <v/>
      </c>
      <c r="M10">
        <f>INDEX($B$24:$GQ$24,MATCH(12,$B$29:$GQ$29,0))</f>
        <v/>
      </c>
      <c r="N10">
        <f>INDEX($B$24:$GQ$24,MATCH(13,$B$29:$GQ$29,0))</f>
        <v/>
      </c>
      <c r="O10">
        <f>INDEX($B$24:$GQ$24,MATCH(14,$B$29:$GQ$29,0))</f>
        <v/>
      </c>
      <c r="P10">
        <f>INDEX($B$24:$GQ$24,MATCH(15,$B$29:$GQ$29,0))</f>
        <v/>
      </c>
      <c r="Q10">
        <f>INDEX($B$24:$GQ$24,MATCH(16,$B$29:$GQ$29,0))</f>
        <v/>
      </c>
      <c r="R10">
        <f>INDEX($B$24:$GQ$24,MATCH(17,$B$29:$GQ$29,0))</f>
        <v/>
      </c>
      <c r="S10">
        <f>INDEX($B$24:$GQ$24,MATCH(18,$B$29:$GQ$29,0))</f>
        <v/>
      </c>
      <c r="T10">
        <f>INDEX($B$24:$GQ$24,MATCH(19,$B$29:$GQ$29,0))</f>
        <v/>
      </c>
      <c r="U10">
        <f>INDEX($B$24:$GQ$24,MATCH(20,$B$29:$GQ$29,0))</f>
        <v/>
      </c>
      <c r="V10">
        <f>INDEX($B$24:$GQ$24,MATCH(21,$B$29:$GQ$29,0))</f>
        <v/>
      </c>
      <c r="W10">
        <f>INDEX($B$24:$GQ$24,MATCH(22,$B$29:$GQ$29,0))</f>
        <v/>
      </c>
      <c r="X10">
        <f>INDEX($B$24:$GQ$24,MATCH(23,$B$29:$GQ$29,0))</f>
        <v/>
      </c>
      <c r="Y10">
        <f>INDEX($B$24:$GQ$24,MATCH(24,$B$29:$GQ$29,0))</f>
        <v/>
      </c>
      <c r="Z10">
        <f>INDEX($B$24:$GQ$24,MATCH(25,$B$29:$GQ$29,0))</f>
        <v/>
      </c>
      <c r="AA10">
        <f>INDEX($B$24:$GQ$24,MATCH(26,$B$29:$GQ$29,0))</f>
        <v/>
      </c>
      <c r="AB10">
        <f>INDEX($B$24:$GQ$24,MATCH(27,$B$29:$GQ$29,0))</f>
        <v/>
      </c>
      <c r="AC10">
        <f>INDEX($B$24:$GQ$24,MATCH(28,$B$29:$GQ$29,0))</f>
        <v/>
      </c>
      <c r="AD10">
        <f>INDEX($B$24:$GQ$24,MATCH(29,$B$29:$GQ$29,0))</f>
        <v/>
      </c>
      <c r="AE10">
        <f>INDEX($B$24:$GQ$24,MATCH(30,$B$29:$GQ$29,0))</f>
        <v/>
      </c>
      <c r="AF10">
        <f>INDEX($B$24:$GQ$24,MATCH(31,$B$29:$GQ$29,0))</f>
        <v/>
      </c>
      <c r="AG10">
        <f>INDEX($B$24:$GQ$24,MATCH(32,$B$29:$GQ$29,0))</f>
        <v/>
      </c>
      <c r="AH10">
        <f>INDEX($B$24:$GQ$24,MATCH(33,$B$29:$GQ$29,0))</f>
        <v/>
      </c>
      <c r="AI10">
        <f>INDEX($B$24:$GQ$24,MATCH(34,$B$29:$GQ$29,0))</f>
        <v/>
      </c>
      <c r="AJ10">
        <f>INDEX($B$24:$GQ$24,MATCH(35,$B$29:$GQ$29,0))</f>
        <v/>
      </c>
      <c r="AK10">
        <f>INDEX($B$24:$GQ$24,MATCH(36,$B$29:$GQ$29,0))</f>
        <v/>
      </c>
      <c r="AL10">
        <f>INDEX($B$24:$GQ$24,MATCH(37,$B$29:$GQ$29,0))</f>
        <v/>
      </c>
      <c r="AM10">
        <f>INDEX($B$24:$GQ$24,MATCH(38,$B$29:$GQ$29,0))</f>
        <v/>
      </c>
      <c r="AN10">
        <f>INDEX($B$24:$GQ$24,MATCH(39,$B$29:$GQ$29,0))</f>
        <v/>
      </c>
      <c r="AO10">
        <f>INDEX($B$24:$GQ$24,MATCH(40,$B$29:$GQ$29,0))</f>
        <v/>
      </c>
      <c r="AP10">
        <f>INDEX($B$24:$GQ$24,MATCH(41,$B$29:$GQ$29,0))</f>
        <v/>
      </c>
      <c r="AQ10">
        <f>INDEX($B$24:$GQ$24,MATCH(42,$B$29:$GQ$29,0))</f>
        <v/>
      </c>
      <c r="AR10">
        <f>INDEX($B$24:$GQ$24,MATCH(43,$B$29:$GQ$29,0))</f>
        <v/>
      </c>
      <c r="AS10">
        <f>INDEX($B$24:$GQ$24,MATCH(44,$B$29:$GQ$29,0))</f>
        <v/>
      </c>
      <c r="AT10">
        <f>INDEX($B$24:$GQ$24,MATCH(45,$B$29:$GQ$29,0))</f>
        <v/>
      </c>
      <c r="AU10">
        <f>INDEX($B$24:$GQ$24,MATCH(46,$B$29:$GQ$29,0))</f>
        <v/>
      </c>
      <c r="AV10">
        <f>INDEX($B$24:$GQ$24,MATCH(47,$B$29:$GQ$29,0))</f>
        <v/>
      </c>
      <c r="AW10">
        <f>INDEX($B$24:$GQ$24,MATCH(48,$B$29:$GQ$29,0))</f>
        <v/>
      </c>
      <c r="AX10">
        <f>INDEX($B$24:$GQ$24,MATCH(49,$B$29:$GQ$29,0))</f>
        <v/>
      </c>
      <c r="AY10">
        <f>INDEX($B$24:$GQ$24,MATCH(50,$B$29:$GQ$29,0))</f>
        <v/>
      </c>
      <c r="AZ10">
        <f>INDEX($B$24:$GQ$24,MATCH(51,$B$29:$GQ$29,0))</f>
        <v/>
      </c>
      <c r="BA10">
        <f>INDEX($B$24:$GQ$24,MATCH(52,$B$29:$GQ$29,0))</f>
        <v/>
      </c>
      <c r="BB10">
        <f>INDEX($B$24:$GQ$24,MATCH(53,$B$29:$GQ$29,0))</f>
        <v/>
      </c>
      <c r="BC10">
        <f>INDEX($B$24:$GQ$24,MATCH(54,$B$29:$GQ$29,0))</f>
        <v/>
      </c>
      <c r="BD10">
        <f>INDEX($B$24:$GQ$24,MATCH(55,$B$29:$GQ$29,0))</f>
        <v/>
      </c>
      <c r="BE10">
        <f>INDEX($B$24:$GQ$24,MATCH(56,$B$29:$GQ$29,0))</f>
        <v/>
      </c>
      <c r="BF10">
        <f>INDEX($B$24:$GQ$24,MATCH(57,$B$29:$GQ$29,0))</f>
        <v/>
      </c>
      <c r="BG10">
        <f>INDEX($B$24:$GQ$24,MATCH(58,$B$29:$GQ$29,0))</f>
        <v/>
      </c>
      <c r="BH10">
        <f>INDEX($B$24:$GQ$24,MATCH(59,$B$29:$GQ$29,0))</f>
        <v/>
      </c>
      <c r="BI10">
        <f>INDEX($B$24:$GQ$24,MATCH(60,$B$29:$GQ$29,0))</f>
        <v/>
      </c>
      <c r="BJ10">
        <f>INDEX($B$24:$GQ$24,MATCH(61,$B$29:$GQ$29,0))</f>
        <v/>
      </c>
      <c r="BK10">
        <f>INDEX($B$24:$GQ$24,MATCH(62,$B$29:$GQ$29,0))</f>
        <v/>
      </c>
      <c r="BL10">
        <f>INDEX($B$24:$GQ$24,MATCH(63,$B$29:$GQ$29,0))</f>
        <v/>
      </c>
      <c r="BM10">
        <f>INDEX($B$24:$GQ$24,MATCH(64,$B$29:$GQ$29,0))</f>
        <v/>
      </c>
      <c r="BN10">
        <f>INDEX($B$24:$GQ$24,MATCH(65,$B$29:$GQ$29,0))</f>
        <v/>
      </c>
      <c r="BO10">
        <f>INDEX($B$24:$GQ$24,MATCH(66,$B$29:$GQ$29,0))</f>
        <v/>
      </c>
      <c r="BP10">
        <f>INDEX($B$24:$GQ$24,MATCH(67,$B$29:$GQ$29,0))</f>
        <v/>
      </c>
      <c r="BQ10">
        <f>INDEX($B$24:$GQ$24,MATCH(68,$B$29:$GQ$29,0))</f>
        <v/>
      </c>
      <c r="BR10">
        <f>INDEX($B$24:$GQ$24,MATCH(69,$B$29:$GQ$29,0))</f>
        <v/>
      </c>
      <c r="BS10">
        <f>INDEX($B$24:$GQ$24,MATCH(70,$B$29:$GQ$29,0))</f>
        <v/>
      </c>
      <c r="BT10">
        <f>INDEX($B$24:$GQ$24,MATCH(71,$B$29:$GQ$29,0))</f>
        <v/>
      </c>
      <c r="BU10">
        <f>INDEX($B$24:$GQ$24,MATCH(72,$B$29:$GQ$29,0))</f>
        <v/>
      </c>
      <c r="BV10">
        <f>INDEX($B$24:$GQ$24,MATCH(73,$B$29:$GQ$29,0))</f>
        <v/>
      </c>
      <c r="BW10">
        <f>INDEX($B$24:$GQ$24,MATCH(74,$B$29:$GQ$29,0))</f>
        <v/>
      </c>
      <c r="BX10">
        <f>INDEX($B$24:$GQ$24,MATCH(75,$B$29:$GQ$29,0))</f>
        <v/>
      </c>
      <c r="BY10">
        <f>INDEX($B$24:$GQ$24,MATCH(76,$B$29:$GQ$29,0))</f>
        <v/>
      </c>
      <c r="BZ10">
        <f>INDEX($B$24:$GQ$24,MATCH(77,$B$29:$GQ$29,0))</f>
        <v/>
      </c>
      <c r="CA10">
        <f>INDEX($B$24:$GQ$24,MATCH(78,$B$29:$GQ$29,0))</f>
        <v/>
      </c>
      <c r="CB10">
        <f>INDEX($B$24:$GQ$24,MATCH(79,$B$29:$GQ$29,0))</f>
        <v/>
      </c>
      <c r="CC10">
        <f>INDEX($B$24:$GQ$24,MATCH(80,$B$29:$GQ$29,0))</f>
        <v/>
      </c>
      <c r="CD10">
        <f>INDEX($B$24:$GQ$24,MATCH(81,$B$29:$GQ$29,0))</f>
        <v/>
      </c>
      <c r="CE10">
        <f>INDEX($B$24:$GQ$24,MATCH(82,$B$29:$GQ$29,0))</f>
        <v/>
      </c>
      <c r="CF10">
        <f>INDEX($B$24:$GQ$24,MATCH(83,$B$29:$GQ$29,0))</f>
        <v/>
      </c>
      <c r="CG10">
        <f>INDEX($B$24:$GQ$24,MATCH(84,$B$29:$GQ$29,0))</f>
        <v/>
      </c>
      <c r="CH10">
        <f>INDEX($B$24:$GQ$24,MATCH(85,$B$29:$GQ$29,0))</f>
        <v/>
      </c>
      <c r="CI10">
        <f>INDEX($B$24:$GQ$24,MATCH(86,$B$29:$GQ$29,0))</f>
        <v/>
      </c>
      <c r="CJ10">
        <f>INDEX($B$24:$GQ$24,MATCH(87,$B$29:$GQ$29,0))</f>
        <v/>
      </c>
      <c r="CK10">
        <f>INDEX($B$24:$GQ$24,MATCH(88,$B$29:$GQ$29,0))</f>
        <v/>
      </c>
      <c r="CL10">
        <f>INDEX($B$24:$GQ$24,MATCH(89,$B$29:$GQ$29,0))</f>
        <v/>
      </c>
      <c r="CM10">
        <f>INDEX($B$24:$GQ$24,MATCH(90,$B$29:$GQ$29,0))</f>
        <v/>
      </c>
      <c r="CN10">
        <f>INDEX($B$24:$GQ$24,MATCH(91,$B$29:$GQ$29,0))</f>
        <v/>
      </c>
      <c r="CO10">
        <f>INDEX($B$24:$GQ$24,MATCH(92,$B$29:$GQ$29,0))</f>
        <v/>
      </c>
      <c r="CP10">
        <f>INDEX($B$24:$GQ$24,MATCH(93,$B$29:$GQ$29,0))</f>
        <v/>
      </c>
      <c r="CQ10">
        <f>INDEX($B$24:$GQ$24,MATCH(94,$B$29:$GQ$29,0))</f>
        <v/>
      </c>
      <c r="CR10">
        <f>INDEX($B$24:$GQ$24,MATCH(95,$B$29:$GQ$29,0))</f>
        <v/>
      </c>
      <c r="CS10">
        <f>INDEX($B$24:$GQ$24,MATCH(96,$B$29:$GQ$29,0))</f>
        <v/>
      </c>
      <c r="CT10">
        <f>INDEX($B$24:$GQ$24,MATCH(97,$B$29:$GQ$29,0))</f>
        <v/>
      </c>
      <c r="CU10">
        <f>INDEX($B$24:$GQ$24,MATCH(98,$B$29:$GQ$29,0))</f>
        <v/>
      </c>
      <c r="CV10">
        <f>INDEX($B$24:$GQ$24,MATCH(99,$B$29:$GQ$29,0))</f>
        <v/>
      </c>
      <c r="CW10">
        <f>INDEX($B$24:$GQ$24,MATCH(100,$B$29:$GQ$29,0))</f>
        <v/>
      </c>
      <c r="CX10">
        <f>INDEX($B$24:$GQ$24,MATCH(101,$B$29:$GQ$29,0))</f>
        <v/>
      </c>
      <c r="CY10">
        <f>INDEX($B$24:$GQ$24,MATCH(102,$B$29:$GQ$29,0))</f>
        <v/>
      </c>
      <c r="CZ10">
        <f>INDEX($B$24:$GQ$24,MATCH(103,$B$29:$GQ$29,0))</f>
        <v/>
      </c>
      <c r="DA10">
        <f>INDEX($B$24:$GQ$24,MATCH(104,$B$29:$GQ$29,0))</f>
        <v/>
      </c>
      <c r="DB10">
        <f>INDEX($B$24:$GQ$24,MATCH(105,$B$29:$GQ$29,0))</f>
        <v/>
      </c>
      <c r="DC10">
        <f>INDEX($B$24:$GQ$24,MATCH(106,$B$29:$GQ$29,0))</f>
        <v/>
      </c>
      <c r="DD10">
        <f>INDEX($B$24:$GQ$24,MATCH(107,$B$29:$GQ$29,0))</f>
        <v/>
      </c>
      <c r="DE10">
        <f>INDEX($B$24:$GQ$24,MATCH(108,$B$29:$GQ$29,0))</f>
        <v/>
      </c>
      <c r="DF10">
        <f>INDEX($B$24:$GQ$24,MATCH(109,$B$29:$GQ$29,0))</f>
        <v/>
      </c>
      <c r="DG10">
        <f>INDEX($B$24:$GQ$24,MATCH(110,$B$29:$GQ$29,0))</f>
        <v/>
      </c>
      <c r="DH10">
        <f>INDEX($B$24:$GQ$24,MATCH(111,$B$29:$GQ$29,0))</f>
        <v/>
      </c>
      <c r="DI10">
        <f>INDEX($B$24:$GQ$24,MATCH(112,$B$29:$GQ$29,0))</f>
        <v/>
      </c>
      <c r="DJ10">
        <f>INDEX($B$24:$GQ$24,MATCH(113,$B$29:$GQ$29,0))</f>
        <v/>
      </c>
      <c r="DK10">
        <f>INDEX($B$24:$GQ$24,MATCH(114,$B$29:$GQ$29,0))</f>
        <v/>
      </c>
      <c r="DL10">
        <f>INDEX($B$24:$GQ$24,MATCH(115,$B$29:$GQ$29,0))</f>
        <v/>
      </c>
      <c r="DM10">
        <f>INDEX($B$24:$GQ$24,MATCH(116,$B$29:$GQ$29,0))</f>
        <v/>
      </c>
      <c r="DN10">
        <f>INDEX($B$24:$GQ$24,MATCH(117,$B$29:$GQ$29,0))</f>
        <v/>
      </c>
      <c r="DO10">
        <f>INDEX($B$24:$GQ$24,MATCH(118,$B$29:$GQ$29,0))</f>
        <v/>
      </c>
      <c r="DP10">
        <f>INDEX($B$24:$GQ$24,MATCH(119,$B$29:$GQ$29,0))</f>
        <v/>
      </c>
      <c r="DQ10">
        <f>INDEX($B$24:$GQ$24,MATCH(120,$B$29:$GQ$29,0))</f>
        <v/>
      </c>
      <c r="DR10">
        <f>INDEX($B$24:$GQ$24,MATCH(121,$B$29:$GQ$29,0))</f>
        <v/>
      </c>
      <c r="DS10">
        <f>INDEX($B$24:$GQ$24,MATCH(122,$B$29:$GQ$29,0))</f>
        <v/>
      </c>
      <c r="DT10">
        <f>INDEX($B$24:$GQ$24,MATCH(123,$B$29:$GQ$29,0))</f>
        <v/>
      </c>
      <c r="DU10">
        <f>INDEX($B$24:$GQ$24,MATCH(124,$B$29:$GQ$29,0))</f>
        <v/>
      </c>
      <c r="DV10">
        <f>INDEX($B$24:$GQ$24,MATCH(125,$B$29:$GQ$29,0))</f>
        <v/>
      </c>
      <c r="DW10">
        <f>INDEX($B$24:$GQ$24,MATCH(126,$B$29:$GQ$29,0))</f>
        <v/>
      </c>
      <c r="DX10">
        <f>INDEX($B$24:$GQ$24,MATCH(127,$B$29:$GQ$29,0))</f>
        <v/>
      </c>
      <c r="DY10">
        <f>INDEX($B$24:$GQ$24,MATCH(128,$B$29:$GQ$29,0))</f>
        <v/>
      </c>
      <c r="DZ10">
        <f>INDEX($B$24:$GQ$24,MATCH(129,$B$29:$GQ$29,0))</f>
        <v/>
      </c>
      <c r="EA10">
        <f>INDEX($B$24:$GQ$24,MATCH(130,$B$29:$GQ$29,0))</f>
        <v/>
      </c>
      <c r="EB10">
        <f>INDEX($B$24:$GQ$24,MATCH(131,$B$29:$GQ$29,0))</f>
        <v/>
      </c>
      <c r="EC10">
        <f>INDEX($B$24:$GQ$24,MATCH(132,$B$29:$GQ$29,0))</f>
        <v/>
      </c>
      <c r="ED10">
        <f>INDEX($B$24:$GQ$24,MATCH(133,$B$29:$GQ$29,0))</f>
        <v/>
      </c>
      <c r="EE10">
        <f>INDEX($B$24:$GQ$24,MATCH(134,$B$29:$GQ$29,0))</f>
        <v/>
      </c>
      <c r="EF10">
        <f>INDEX($B$24:$GQ$24,MATCH(135,$B$29:$GQ$29,0))</f>
        <v/>
      </c>
      <c r="EG10">
        <f>INDEX($B$24:$GQ$24,MATCH(136,$B$29:$GQ$29,0))</f>
        <v/>
      </c>
      <c r="EH10">
        <f>INDEX($B$24:$GQ$24,MATCH(137,$B$29:$GQ$29,0))</f>
        <v/>
      </c>
      <c r="EI10">
        <f>INDEX($B$24:$GQ$24,MATCH(138,$B$29:$GQ$29,0))</f>
        <v/>
      </c>
      <c r="EJ10">
        <f>INDEX($B$24:$GQ$24,MATCH(139,$B$29:$GQ$29,0))</f>
        <v/>
      </c>
      <c r="EK10">
        <f>INDEX($B$24:$GQ$24,MATCH(140,$B$29:$GQ$29,0))</f>
        <v/>
      </c>
      <c r="EL10">
        <f>INDEX($B$24:$GQ$24,MATCH(141,$B$29:$GQ$29,0))</f>
        <v/>
      </c>
      <c r="EM10">
        <f>INDEX($B$24:$GQ$24,MATCH(142,$B$29:$GQ$29,0))</f>
        <v/>
      </c>
      <c r="EN10">
        <f>INDEX($B$24:$GQ$24,MATCH(143,$B$29:$GQ$29,0))</f>
        <v/>
      </c>
      <c r="EO10">
        <f>INDEX($B$24:$GQ$24,MATCH(144,$B$29:$GQ$29,0))</f>
        <v/>
      </c>
      <c r="EP10">
        <f>INDEX($B$24:$GQ$24,MATCH(145,$B$29:$GQ$29,0))</f>
        <v/>
      </c>
      <c r="EQ10">
        <f>INDEX($B$24:$GQ$24,MATCH(146,$B$29:$GQ$29,0))</f>
        <v/>
      </c>
      <c r="ER10">
        <f>INDEX($B$24:$GQ$24,MATCH(147,$B$29:$GQ$29,0))</f>
        <v/>
      </c>
      <c r="ES10">
        <f>INDEX($B$24:$GQ$24,MATCH(148,$B$29:$GQ$29,0))</f>
        <v/>
      </c>
      <c r="ET10">
        <f>INDEX($B$24:$GQ$24,MATCH(149,$B$29:$GQ$29,0))</f>
        <v/>
      </c>
      <c r="EU10">
        <f>INDEX($B$24:$GQ$24,MATCH(150,$B$29:$GQ$29,0))</f>
        <v/>
      </c>
      <c r="EV10">
        <f>INDEX($B$24:$GQ$24,MATCH(151,$B$29:$GQ$29,0))</f>
        <v/>
      </c>
      <c r="EW10">
        <f>INDEX($B$24:$GQ$24,MATCH(152,$B$29:$GQ$29,0))</f>
        <v/>
      </c>
      <c r="EX10">
        <f>INDEX($B$24:$GQ$24,MATCH(153,$B$29:$GQ$29,0))</f>
        <v/>
      </c>
      <c r="EY10">
        <f>INDEX($B$24:$GQ$24,MATCH(154,$B$29:$GQ$29,0))</f>
        <v/>
      </c>
      <c r="EZ10">
        <f>INDEX($B$24:$GQ$24,MATCH(155,$B$29:$GQ$29,0))</f>
        <v/>
      </c>
      <c r="FA10">
        <f>INDEX($B$24:$GQ$24,MATCH(156,$B$29:$GQ$29,0))</f>
        <v/>
      </c>
      <c r="FB10">
        <f>INDEX($B$24:$GQ$24,MATCH(157,$B$29:$GQ$29,0))</f>
        <v/>
      </c>
      <c r="FC10">
        <f>INDEX($B$24:$GQ$24,MATCH(158,$B$29:$GQ$29,0))</f>
        <v/>
      </c>
      <c r="FD10">
        <f>INDEX($B$24:$GQ$24,MATCH(159,$B$29:$GQ$29,0))</f>
        <v/>
      </c>
      <c r="FE10">
        <f>INDEX($B$24:$GQ$24,MATCH(160,$B$29:$GQ$29,0))</f>
        <v/>
      </c>
      <c r="FF10">
        <f>INDEX($B$24:$GQ$24,MATCH(161,$B$29:$GQ$29,0))</f>
        <v/>
      </c>
      <c r="FG10">
        <f>INDEX($B$24:$GQ$24,MATCH(162,$B$29:$GQ$29,0))</f>
        <v/>
      </c>
      <c r="FH10">
        <f>INDEX($B$24:$GQ$24,MATCH(163,$B$29:$GQ$29,0))</f>
        <v/>
      </c>
      <c r="FI10">
        <f>INDEX($B$24:$GQ$24,MATCH(164,$B$29:$GQ$29,0))</f>
        <v/>
      </c>
      <c r="FJ10">
        <f>INDEX($B$24:$GQ$24,MATCH(165,$B$29:$GQ$29,0))</f>
        <v/>
      </c>
      <c r="FK10">
        <f>INDEX($B$24:$GQ$24,MATCH(166,$B$29:$GQ$29,0))</f>
        <v/>
      </c>
      <c r="FL10">
        <f>INDEX($B$24:$GQ$24,MATCH(167,$B$29:$GQ$29,0))</f>
        <v/>
      </c>
      <c r="FM10">
        <f>INDEX($B$24:$GQ$24,MATCH(168,$B$29:$GQ$29,0))</f>
        <v/>
      </c>
      <c r="FN10">
        <f>INDEX($B$24:$GQ$24,MATCH(169,$B$29:$GQ$29,0))</f>
        <v/>
      </c>
      <c r="FO10">
        <f>INDEX($B$24:$GQ$24,MATCH(170,$B$29:$GQ$29,0))</f>
        <v/>
      </c>
      <c r="FP10">
        <f>INDEX($B$24:$GQ$24,MATCH(171,$B$29:$GQ$29,0))</f>
        <v/>
      </c>
      <c r="FQ10">
        <f>INDEX($B$24:$GQ$24,MATCH(172,$B$29:$GQ$29,0))</f>
        <v/>
      </c>
      <c r="FR10">
        <f>INDEX($B$24:$GQ$24,MATCH(173,$B$29:$GQ$29,0))</f>
        <v/>
      </c>
      <c r="FS10">
        <f>INDEX($B$24:$GQ$24,MATCH(174,$B$29:$GQ$29,0))</f>
        <v/>
      </c>
      <c r="FT10">
        <f>INDEX($B$24:$GQ$24,MATCH(175,$B$29:$GQ$29,0))</f>
        <v/>
      </c>
      <c r="FU10">
        <f>INDEX($B$24:$GQ$24,MATCH(176,$B$29:$GQ$29,0))</f>
        <v/>
      </c>
      <c r="FV10">
        <f>INDEX($B$24:$GQ$24,MATCH(177,$B$29:$GQ$29,0))</f>
        <v/>
      </c>
      <c r="FW10">
        <f>INDEX($B$24:$GQ$24,MATCH(178,$B$29:$GQ$29,0))</f>
        <v/>
      </c>
      <c r="FX10">
        <f>INDEX($B$24:$GQ$24,MATCH(179,$B$29:$GQ$29,0))</f>
        <v/>
      </c>
      <c r="FY10">
        <f>INDEX($B$24:$GQ$24,MATCH(180,$B$29:$GQ$29,0))</f>
        <v/>
      </c>
      <c r="FZ10">
        <f>INDEX($B$24:$GQ$24,MATCH(181,$B$29:$GQ$29,0))</f>
        <v/>
      </c>
      <c r="GA10">
        <f>INDEX($B$24:$GQ$24,MATCH(182,$B$29:$GQ$29,0))</f>
        <v/>
      </c>
      <c r="GB10">
        <f>INDEX($B$24:$GQ$24,MATCH(183,$B$29:$GQ$29,0))</f>
        <v/>
      </c>
      <c r="GC10">
        <f>INDEX($B$24:$GQ$24,MATCH(184,$B$29:$GQ$29,0))</f>
        <v/>
      </c>
      <c r="GD10">
        <f>INDEX($B$24:$GQ$24,MATCH(185,$B$29:$GQ$29,0))</f>
        <v/>
      </c>
      <c r="GE10">
        <f>INDEX($B$24:$GQ$24,MATCH(186,$B$29:$GQ$29,0))</f>
        <v/>
      </c>
      <c r="GF10">
        <f>INDEX($B$24:$GQ$24,MATCH(187,$B$29:$GQ$29,0))</f>
        <v/>
      </c>
      <c r="GG10">
        <f>INDEX($B$24:$GQ$24,MATCH(188,$B$29:$GQ$29,0))</f>
        <v/>
      </c>
      <c r="GH10">
        <f>INDEX($B$24:$GQ$24,MATCH(189,$B$29:$GQ$29,0))</f>
        <v/>
      </c>
      <c r="GI10">
        <f>INDEX($B$24:$GQ$24,MATCH(190,$B$29:$GQ$29,0))</f>
        <v/>
      </c>
      <c r="GJ10">
        <f>INDEX($B$24:$GQ$24,MATCH(191,$B$29:$GQ$29,0))</f>
        <v/>
      </c>
      <c r="GK10">
        <f>INDEX($B$24:$GQ$24,MATCH(192,$B$29:$GQ$29,0))</f>
        <v/>
      </c>
      <c r="GL10">
        <f>INDEX($B$24:$GQ$24,MATCH(193,$B$29:$GQ$29,0))</f>
        <v/>
      </c>
      <c r="GM10">
        <f>INDEX($B$24:$GQ$24,MATCH(194,$B$29:$GQ$29,0))</f>
        <v/>
      </c>
      <c r="GN10">
        <f>INDEX($B$24:$GQ$24,MATCH(195,$B$29:$GQ$29,0))</f>
        <v/>
      </c>
      <c r="GO10">
        <f>INDEX($B$24:$GQ$24,MATCH(196,$B$29:$GQ$29,0))</f>
        <v/>
      </c>
      <c r="GP10">
        <f>INDEX($B$24:$GQ$24,MATCH(197,$B$29:$GQ$29,0))</f>
        <v/>
      </c>
      <c r="GQ10">
        <f>INDEX($B$24:$GQ$24,MATCH(198,$B$29:$GQ$29,0))</f>
        <v/>
      </c>
      <c r="GR10">
        <f>INDEX($GR$24:$HC$24,MATCH(1,$GR$30:$HC$30,0))</f>
        <v/>
      </c>
      <c r="GS10">
        <f>INDEX($GR$24:$HC$24,MATCH(2,$GR$30:$HC$30,0))</f>
        <v/>
      </c>
      <c r="GT10">
        <f>INDEX($GR$24:$HC$24,MATCH(3,$GR$30:$HC$30,0))</f>
        <v/>
      </c>
      <c r="GU10">
        <f>INDEX($GR$24:$HC$24,MATCH(4,$GR$30:$HC$30,0))</f>
        <v/>
      </c>
      <c r="GV10">
        <f>INDEX($GR$24:$HC$24,MATCH(5,$GR$30:$HC$30,0))</f>
        <v/>
      </c>
      <c r="GW10">
        <f>INDEX($GR$24:$HC$24,MATCH(6,$GR$30:$HC$30,0))</f>
        <v/>
      </c>
      <c r="GX10">
        <f>INDEX($GR$24:$HC$24,MATCH(7,$GR$30:$HC$30,0))</f>
        <v/>
      </c>
      <c r="GY10">
        <f>INDEX($GR$24:$HC$24,MATCH(8,$GR$30:$HC$30,0))</f>
        <v/>
      </c>
      <c r="GZ10">
        <f>INDEX($GR$24:$HC$24,MATCH(9,$GR$30:$HC$30,0))</f>
        <v/>
      </c>
      <c r="HA10">
        <f>INDEX($GR$24:$HC$24,MATCH(10,$GR$30:$HC$30,0))</f>
        <v/>
      </c>
      <c r="HB10">
        <f>INDEX($GR$24:$HC$24,MATCH(11,$GR$30:$HC$30,0))</f>
        <v/>
      </c>
      <c r="HC10">
        <f>INDEX($GR$24:$HC$24,MATCH(12,$GR$30:$HC$30,0))</f>
        <v/>
      </c>
    </row>
    <row r="11">
      <c r="A11" s="1" t="inlineStr">
        <is>
          <t>M_imp*Y_dom+M_dom*Y_dom</t>
        </is>
      </c>
      <c r="B11">
        <f>INDEX($B$25:$GQ$25,MATCH(1,$B$29:$GQ$29,0))</f>
        <v/>
      </c>
      <c r="C11">
        <f>INDEX($B$25:$GQ$25,MATCH(2,$B$29:$GQ$29,0))</f>
        <v/>
      </c>
      <c r="D11">
        <f>INDEX($B$25:$GQ$25,MATCH(3,$B$29:$GQ$29,0))</f>
        <v/>
      </c>
      <c r="E11">
        <f>INDEX($B$25:$GQ$25,MATCH(4,$B$29:$GQ$29,0))</f>
        <v/>
      </c>
      <c r="F11">
        <f>INDEX($B$25:$GQ$25,MATCH(5,$B$29:$GQ$29,0))</f>
        <v/>
      </c>
      <c r="G11">
        <f>INDEX($B$25:$GQ$25,MATCH(6,$B$29:$GQ$29,0))</f>
        <v/>
      </c>
      <c r="H11">
        <f>INDEX($B$25:$GQ$25,MATCH(7,$B$29:$GQ$29,0))</f>
        <v/>
      </c>
      <c r="I11">
        <f>INDEX($B$25:$GQ$25,MATCH(8,$B$29:$GQ$29,0))</f>
        <v/>
      </c>
      <c r="J11">
        <f>INDEX($B$25:$GQ$25,MATCH(9,$B$29:$GQ$29,0))</f>
        <v/>
      </c>
      <c r="K11">
        <f>INDEX($B$25:$GQ$25,MATCH(10,$B$29:$GQ$29,0))</f>
        <v/>
      </c>
      <c r="L11">
        <f>INDEX($B$25:$GQ$25,MATCH(11,$B$29:$GQ$29,0))</f>
        <v/>
      </c>
      <c r="M11">
        <f>INDEX($B$25:$GQ$25,MATCH(12,$B$29:$GQ$29,0))</f>
        <v/>
      </c>
      <c r="N11">
        <f>INDEX($B$25:$GQ$25,MATCH(13,$B$29:$GQ$29,0))</f>
        <v/>
      </c>
      <c r="O11">
        <f>INDEX($B$25:$GQ$25,MATCH(14,$B$29:$GQ$29,0))</f>
        <v/>
      </c>
      <c r="P11">
        <f>INDEX($B$25:$GQ$25,MATCH(15,$B$29:$GQ$29,0))</f>
        <v/>
      </c>
      <c r="Q11">
        <f>INDEX($B$25:$GQ$25,MATCH(16,$B$29:$GQ$29,0))</f>
        <v/>
      </c>
      <c r="R11">
        <f>INDEX($B$25:$GQ$25,MATCH(17,$B$29:$GQ$29,0))</f>
        <v/>
      </c>
      <c r="S11">
        <f>INDEX($B$25:$GQ$25,MATCH(18,$B$29:$GQ$29,0))</f>
        <v/>
      </c>
      <c r="T11">
        <f>INDEX($B$25:$GQ$25,MATCH(19,$B$29:$GQ$29,0))</f>
        <v/>
      </c>
      <c r="U11">
        <f>INDEX($B$25:$GQ$25,MATCH(20,$B$29:$GQ$29,0))</f>
        <v/>
      </c>
      <c r="V11">
        <f>INDEX($B$25:$GQ$25,MATCH(21,$B$29:$GQ$29,0))</f>
        <v/>
      </c>
      <c r="W11">
        <f>INDEX($B$25:$GQ$25,MATCH(22,$B$29:$GQ$29,0))</f>
        <v/>
      </c>
      <c r="X11">
        <f>INDEX($B$25:$GQ$25,MATCH(23,$B$29:$GQ$29,0))</f>
        <v/>
      </c>
      <c r="Y11">
        <f>INDEX($B$25:$GQ$25,MATCH(24,$B$29:$GQ$29,0))</f>
        <v/>
      </c>
      <c r="Z11">
        <f>INDEX($B$25:$GQ$25,MATCH(25,$B$29:$GQ$29,0))</f>
        <v/>
      </c>
      <c r="AA11">
        <f>INDEX($B$25:$GQ$25,MATCH(26,$B$29:$GQ$29,0))</f>
        <v/>
      </c>
      <c r="AB11">
        <f>INDEX($B$25:$GQ$25,MATCH(27,$B$29:$GQ$29,0))</f>
        <v/>
      </c>
      <c r="AC11">
        <f>INDEX($B$25:$GQ$25,MATCH(28,$B$29:$GQ$29,0))</f>
        <v/>
      </c>
      <c r="AD11">
        <f>INDEX($B$25:$GQ$25,MATCH(29,$B$29:$GQ$29,0))</f>
        <v/>
      </c>
      <c r="AE11">
        <f>INDEX($B$25:$GQ$25,MATCH(30,$B$29:$GQ$29,0))</f>
        <v/>
      </c>
      <c r="AF11">
        <f>INDEX($B$25:$GQ$25,MATCH(31,$B$29:$GQ$29,0))</f>
        <v/>
      </c>
      <c r="AG11">
        <f>INDEX($B$25:$GQ$25,MATCH(32,$B$29:$GQ$29,0))</f>
        <v/>
      </c>
      <c r="AH11">
        <f>INDEX($B$25:$GQ$25,MATCH(33,$B$29:$GQ$29,0))</f>
        <v/>
      </c>
      <c r="AI11">
        <f>INDEX($B$25:$GQ$25,MATCH(34,$B$29:$GQ$29,0))</f>
        <v/>
      </c>
      <c r="AJ11">
        <f>INDEX($B$25:$GQ$25,MATCH(35,$B$29:$GQ$29,0))</f>
        <v/>
      </c>
      <c r="AK11">
        <f>INDEX($B$25:$GQ$25,MATCH(36,$B$29:$GQ$29,0))</f>
        <v/>
      </c>
      <c r="AL11">
        <f>INDEX($B$25:$GQ$25,MATCH(37,$B$29:$GQ$29,0))</f>
        <v/>
      </c>
      <c r="AM11">
        <f>INDEX($B$25:$GQ$25,MATCH(38,$B$29:$GQ$29,0))</f>
        <v/>
      </c>
      <c r="AN11">
        <f>INDEX($B$25:$GQ$25,MATCH(39,$B$29:$GQ$29,0))</f>
        <v/>
      </c>
      <c r="AO11">
        <f>INDEX($B$25:$GQ$25,MATCH(40,$B$29:$GQ$29,0))</f>
        <v/>
      </c>
      <c r="AP11">
        <f>INDEX($B$25:$GQ$25,MATCH(41,$B$29:$GQ$29,0))</f>
        <v/>
      </c>
      <c r="AQ11">
        <f>INDEX($B$25:$GQ$25,MATCH(42,$B$29:$GQ$29,0))</f>
        <v/>
      </c>
      <c r="AR11">
        <f>INDEX($B$25:$GQ$25,MATCH(43,$B$29:$GQ$29,0))</f>
        <v/>
      </c>
      <c r="AS11">
        <f>INDEX($B$25:$GQ$25,MATCH(44,$B$29:$GQ$29,0))</f>
        <v/>
      </c>
      <c r="AT11">
        <f>INDEX($B$25:$GQ$25,MATCH(45,$B$29:$GQ$29,0))</f>
        <v/>
      </c>
      <c r="AU11">
        <f>INDEX($B$25:$GQ$25,MATCH(46,$B$29:$GQ$29,0))</f>
        <v/>
      </c>
      <c r="AV11">
        <f>INDEX($B$25:$GQ$25,MATCH(47,$B$29:$GQ$29,0))</f>
        <v/>
      </c>
      <c r="AW11">
        <f>INDEX($B$25:$GQ$25,MATCH(48,$B$29:$GQ$29,0))</f>
        <v/>
      </c>
      <c r="AX11">
        <f>INDEX($B$25:$GQ$25,MATCH(49,$B$29:$GQ$29,0))</f>
        <v/>
      </c>
      <c r="AY11">
        <f>INDEX($B$25:$GQ$25,MATCH(50,$B$29:$GQ$29,0))</f>
        <v/>
      </c>
      <c r="AZ11">
        <f>INDEX($B$25:$GQ$25,MATCH(51,$B$29:$GQ$29,0))</f>
        <v/>
      </c>
      <c r="BA11">
        <f>INDEX($B$25:$GQ$25,MATCH(52,$B$29:$GQ$29,0))</f>
        <v/>
      </c>
      <c r="BB11">
        <f>INDEX($B$25:$GQ$25,MATCH(53,$B$29:$GQ$29,0))</f>
        <v/>
      </c>
      <c r="BC11">
        <f>INDEX($B$25:$GQ$25,MATCH(54,$B$29:$GQ$29,0))</f>
        <v/>
      </c>
      <c r="BD11">
        <f>INDEX($B$25:$GQ$25,MATCH(55,$B$29:$GQ$29,0))</f>
        <v/>
      </c>
      <c r="BE11">
        <f>INDEX($B$25:$GQ$25,MATCH(56,$B$29:$GQ$29,0))</f>
        <v/>
      </c>
      <c r="BF11">
        <f>INDEX($B$25:$GQ$25,MATCH(57,$B$29:$GQ$29,0))</f>
        <v/>
      </c>
      <c r="BG11">
        <f>INDEX($B$25:$GQ$25,MATCH(58,$B$29:$GQ$29,0))</f>
        <v/>
      </c>
      <c r="BH11">
        <f>INDEX($B$25:$GQ$25,MATCH(59,$B$29:$GQ$29,0))</f>
        <v/>
      </c>
      <c r="BI11">
        <f>INDEX($B$25:$GQ$25,MATCH(60,$B$29:$GQ$29,0))</f>
        <v/>
      </c>
      <c r="BJ11">
        <f>INDEX($B$25:$GQ$25,MATCH(61,$B$29:$GQ$29,0))</f>
        <v/>
      </c>
      <c r="BK11">
        <f>INDEX($B$25:$GQ$25,MATCH(62,$B$29:$GQ$29,0))</f>
        <v/>
      </c>
      <c r="BL11">
        <f>INDEX($B$25:$GQ$25,MATCH(63,$B$29:$GQ$29,0))</f>
        <v/>
      </c>
      <c r="BM11">
        <f>INDEX($B$25:$GQ$25,MATCH(64,$B$29:$GQ$29,0))</f>
        <v/>
      </c>
      <c r="BN11">
        <f>INDEX($B$25:$GQ$25,MATCH(65,$B$29:$GQ$29,0))</f>
        <v/>
      </c>
      <c r="BO11">
        <f>INDEX($B$25:$GQ$25,MATCH(66,$B$29:$GQ$29,0))</f>
        <v/>
      </c>
      <c r="BP11">
        <f>INDEX($B$25:$GQ$25,MATCH(67,$B$29:$GQ$29,0))</f>
        <v/>
      </c>
      <c r="BQ11">
        <f>INDEX($B$25:$GQ$25,MATCH(68,$B$29:$GQ$29,0))</f>
        <v/>
      </c>
      <c r="BR11">
        <f>INDEX($B$25:$GQ$25,MATCH(69,$B$29:$GQ$29,0))</f>
        <v/>
      </c>
      <c r="BS11">
        <f>INDEX($B$25:$GQ$25,MATCH(70,$B$29:$GQ$29,0))</f>
        <v/>
      </c>
      <c r="BT11">
        <f>INDEX($B$25:$GQ$25,MATCH(71,$B$29:$GQ$29,0))</f>
        <v/>
      </c>
      <c r="BU11">
        <f>INDEX($B$25:$GQ$25,MATCH(72,$B$29:$GQ$29,0))</f>
        <v/>
      </c>
      <c r="BV11">
        <f>INDEX($B$25:$GQ$25,MATCH(73,$B$29:$GQ$29,0))</f>
        <v/>
      </c>
      <c r="BW11">
        <f>INDEX($B$25:$GQ$25,MATCH(74,$B$29:$GQ$29,0))</f>
        <v/>
      </c>
      <c r="BX11">
        <f>INDEX($B$25:$GQ$25,MATCH(75,$B$29:$GQ$29,0))</f>
        <v/>
      </c>
      <c r="BY11">
        <f>INDEX($B$25:$GQ$25,MATCH(76,$B$29:$GQ$29,0))</f>
        <v/>
      </c>
      <c r="BZ11">
        <f>INDEX($B$25:$GQ$25,MATCH(77,$B$29:$GQ$29,0))</f>
        <v/>
      </c>
      <c r="CA11">
        <f>INDEX($B$25:$GQ$25,MATCH(78,$B$29:$GQ$29,0))</f>
        <v/>
      </c>
      <c r="CB11">
        <f>INDEX($B$25:$GQ$25,MATCH(79,$B$29:$GQ$29,0))</f>
        <v/>
      </c>
      <c r="CC11">
        <f>INDEX($B$25:$GQ$25,MATCH(80,$B$29:$GQ$29,0))</f>
        <v/>
      </c>
      <c r="CD11">
        <f>INDEX($B$25:$GQ$25,MATCH(81,$B$29:$GQ$29,0))</f>
        <v/>
      </c>
      <c r="CE11">
        <f>INDEX($B$25:$GQ$25,MATCH(82,$B$29:$GQ$29,0))</f>
        <v/>
      </c>
      <c r="CF11">
        <f>INDEX($B$25:$GQ$25,MATCH(83,$B$29:$GQ$29,0))</f>
        <v/>
      </c>
      <c r="CG11">
        <f>INDEX($B$25:$GQ$25,MATCH(84,$B$29:$GQ$29,0))</f>
        <v/>
      </c>
      <c r="CH11">
        <f>INDEX($B$25:$GQ$25,MATCH(85,$B$29:$GQ$29,0))</f>
        <v/>
      </c>
      <c r="CI11">
        <f>INDEX($B$25:$GQ$25,MATCH(86,$B$29:$GQ$29,0))</f>
        <v/>
      </c>
      <c r="CJ11">
        <f>INDEX($B$25:$GQ$25,MATCH(87,$B$29:$GQ$29,0))</f>
        <v/>
      </c>
      <c r="CK11">
        <f>INDEX($B$25:$GQ$25,MATCH(88,$B$29:$GQ$29,0))</f>
        <v/>
      </c>
      <c r="CL11">
        <f>INDEX($B$25:$GQ$25,MATCH(89,$B$29:$GQ$29,0))</f>
        <v/>
      </c>
      <c r="CM11">
        <f>INDEX($B$25:$GQ$25,MATCH(90,$B$29:$GQ$29,0))</f>
        <v/>
      </c>
      <c r="CN11">
        <f>INDEX($B$25:$GQ$25,MATCH(91,$B$29:$GQ$29,0))</f>
        <v/>
      </c>
      <c r="CO11">
        <f>INDEX($B$25:$GQ$25,MATCH(92,$B$29:$GQ$29,0))</f>
        <v/>
      </c>
      <c r="CP11">
        <f>INDEX($B$25:$GQ$25,MATCH(93,$B$29:$GQ$29,0))</f>
        <v/>
      </c>
      <c r="CQ11">
        <f>INDEX($B$25:$GQ$25,MATCH(94,$B$29:$GQ$29,0))</f>
        <v/>
      </c>
      <c r="CR11">
        <f>INDEX($B$25:$GQ$25,MATCH(95,$B$29:$GQ$29,0))</f>
        <v/>
      </c>
      <c r="CS11">
        <f>INDEX($B$25:$GQ$25,MATCH(96,$B$29:$GQ$29,0))</f>
        <v/>
      </c>
      <c r="CT11">
        <f>INDEX($B$25:$GQ$25,MATCH(97,$B$29:$GQ$29,0))</f>
        <v/>
      </c>
      <c r="CU11">
        <f>INDEX($B$25:$GQ$25,MATCH(98,$B$29:$GQ$29,0))</f>
        <v/>
      </c>
      <c r="CV11">
        <f>INDEX($B$25:$GQ$25,MATCH(99,$B$29:$GQ$29,0))</f>
        <v/>
      </c>
      <c r="CW11">
        <f>INDEX($B$25:$GQ$25,MATCH(100,$B$29:$GQ$29,0))</f>
        <v/>
      </c>
      <c r="CX11">
        <f>INDEX($B$25:$GQ$25,MATCH(101,$B$29:$GQ$29,0))</f>
        <v/>
      </c>
      <c r="CY11">
        <f>INDEX($B$25:$GQ$25,MATCH(102,$B$29:$GQ$29,0))</f>
        <v/>
      </c>
      <c r="CZ11">
        <f>INDEX($B$25:$GQ$25,MATCH(103,$B$29:$GQ$29,0))</f>
        <v/>
      </c>
      <c r="DA11">
        <f>INDEX($B$25:$GQ$25,MATCH(104,$B$29:$GQ$29,0))</f>
        <v/>
      </c>
      <c r="DB11">
        <f>INDEX($B$25:$GQ$25,MATCH(105,$B$29:$GQ$29,0))</f>
        <v/>
      </c>
      <c r="DC11">
        <f>INDEX($B$25:$GQ$25,MATCH(106,$B$29:$GQ$29,0))</f>
        <v/>
      </c>
      <c r="DD11">
        <f>INDEX($B$25:$GQ$25,MATCH(107,$B$29:$GQ$29,0))</f>
        <v/>
      </c>
      <c r="DE11">
        <f>INDEX($B$25:$GQ$25,MATCH(108,$B$29:$GQ$29,0))</f>
        <v/>
      </c>
      <c r="DF11">
        <f>INDEX($B$25:$GQ$25,MATCH(109,$B$29:$GQ$29,0))</f>
        <v/>
      </c>
      <c r="DG11">
        <f>INDEX($B$25:$GQ$25,MATCH(110,$B$29:$GQ$29,0))</f>
        <v/>
      </c>
      <c r="DH11">
        <f>INDEX($B$25:$GQ$25,MATCH(111,$B$29:$GQ$29,0))</f>
        <v/>
      </c>
      <c r="DI11">
        <f>INDEX($B$25:$GQ$25,MATCH(112,$B$29:$GQ$29,0))</f>
        <v/>
      </c>
      <c r="DJ11">
        <f>INDEX($B$25:$GQ$25,MATCH(113,$B$29:$GQ$29,0))</f>
        <v/>
      </c>
      <c r="DK11">
        <f>INDEX($B$25:$GQ$25,MATCH(114,$B$29:$GQ$29,0))</f>
        <v/>
      </c>
      <c r="DL11">
        <f>INDEX($B$25:$GQ$25,MATCH(115,$B$29:$GQ$29,0))</f>
        <v/>
      </c>
      <c r="DM11">
        <f>INDEX($B$25:$GQ$25,MATCH(116,$B$29:$GQ$29,0))</f>
        <v/>
      </c>
      <c r="DN11">
        <f>INDEX($B$25:$GQ$25,MATCH(117,$B$29:$GQ$29,0))</f>
        <v/>
      </c>
      <c r="DO11">
        <f>INDEX($B$25:$GQ$25,MATCH(118,$B$29:$GQ$29,0))</f>
        <v/>
      </c>
      <c r="DP11">
        <f>INDEX($B$25:$GQ$25,MATCH(119,$B$29:$GQ$29,0))</f>
        <v/>
      </c>
      <c r="DQ11">
        <f>INDEX($B$25:$GQ$25,MATCH(120,$B$29:$GQ$29,0))</f>
        <v/>
      </c>
      <c r="DR11">
        <f>INDEX($B$25:$GQ$25,MATCH(121,$B$29:$GQ$29,0))</f>
        <v/>
      </c>
      <c r="DS11">
        <f>INDEX($B$25:$GQ$25,MATCH(122,$B$29:$GQ$29,0))</f>
        <v/>
      </c>
      <c r="DT11">
        <f>INDEX($B$25:$GQ$25,MATCH(123,$B$29:$GQ$29,0))</f>
        <v/>
      </c>
      <c r="DU11">
        <f>INDEX($B$25:$GQ$25,MATCH(124,$B$29:$GQ$29,0))</f>
        <v/>
      </c>
      <c r="DV11">
        <f>INDEX($B$25:$GQ$25,MATCH(125,$B$29:$GQ$29,0))</f>
        <v/>
      </c>
      <c r="DW11">
        <f>INDEX($B$25:$GQ$25,MATCH(126,$B$29:$GQ$29,0))</f>
        <v/>
      </c>
      <c r="DX11">
        <f>INDEX($B$25:$GQ$25,MATCH(127,$B$29:$GQ$29,0))</f>
        <v/>
      </c>
      <c r="DY11">
        <f>INDEX($B$25:$GQ$25,MATCH(128,$B$29:$GQ$29,0))</f>
        <v/>
      </c>
      <c r="DZ11">
        <f>INDEX($B$25:$GQ$25,MATCH(129,$B$29:$GQ$29,0))</f>
        <v/>
      </c>
      <c r="EA11">
        <f>INDEX($B$25:$GQ$25,MATCH(130,$B$29:$GQ$29,0))</f>
        <v/>
      </c>
      <c r="EB11">
        <f>INDEX($B$25:$GQ$25,MATCH(131,$B$29:$GQ$29,0))</f>
        <v/>
      </c>
      <c r="EC11">
        <f>INDEX($B$25:$GQ$25,MATCH(132,$B$29:$GQ$29,0))</f>
        <v/>
      </c>
      <c r="ED11">
        <f>INDEX($B$25:$GQ$25,MATCH(133,$B$29:$GQ$29,0))</f>
        <v/>
      </c>
      <c r="EE11">
        <f>INDEX($B$25:$GQ$25,MATCH(134,$B$29:$GQ$29,0))</f>
        <v/>
      </c>
      <c r="EF11">
        <f>INDEX($B$25:$GQ$25,MATCH(135,$B$29:$GQ$29,0))</f>
        <v/>
      </c>
      <c r="EG11">
        <f>INDEX($B$25:$GQ$25,MATCH(136,$B$29:$GQ$29,0))</f>
        <v/>
      </c>
      <c r="EH11">
        <f>INDEX($B$25:$GQ$25,MATCH(137,$B$29:$GQ$29,0))</f>
        <v/>
      </c>
      <c r="EI11">
        <f>INDEX($B$25:$GQ$25,MATCH(138,$B$29:$GQ$29,0))</f>
        <v/>
      </c>
      <c r="EJ11">
        <f>INDEX($B$25:$GQ$25,MATCH(139,$B$29:$GQ$29,0))</f>
        <v/>
      </c>
      <c r="EK11">
        <f>INDEX($B$25:$GQ$25,MATCH(140,$B$29:$GQ$29,0))</f>
        <v/>
      </c>
      <c r="EL11">
        <f>INDEX($B$25:$GQ$25,MATCH(141,$B$29:$GQ$29,0))</f>
        <v/>
      </c>
      <c r="EM11">
        <f>INDEX($B$25:$GQ$25,MATCH(142,$B$29:$GQ$29,0))</f>
        <v/>
      </c>
      <c r="EN11">
        <f>INDEX($B$25:$GQ$25,MATCH(143,$B$29:$GQ$29,0))</f>
        <v/>
      </c>
      <c r="EO11">
        <f>INDEX($B$25:$GQ$25,MATCH(144,$B$29:$GQ$29,0))</f>
        <v/>
      </c>
      <c r="EP11">
        <f>INDEX($B$25:$GQ$25,MATCH(145,$B$29:$GQ$29,0))</f>
        <v/>
      </c>
      <c r="EQ11">
        <f>INDEX($B$25:$GQ$25,MATCH(146,$B$29:$GQ$29,0))</f>
        <v/>
      </c>
      <c r="ER11">
        <f>INDEX($B$25:$GQ$25,MATCH(147,$B$29:$GQ$29,0))</f>
        <v/>
      </c>
      <c r="ES11">
        <f>INDEX($B$25:$GQ$25,MATCH(148,$B$29:$GQ$29,0))</f>
        <v/>
      </c>
      <c r="ET11">
        <f>INDEX($B$25:$GQ$25,MATCH(149,$B$29:$GQ$29,0))</f>
        <v/>
      </c>
      <c r="EU11">
        <f>INDEX($B$25:$GQ$25,MATCH(150,$B$29:$GQ$29,0))</f>
        <v/>
      </c>
      <c r="EV11">
        <f>INDEX($B$25:$GQ$25,MATCH(151,$B$29:$GQ$29,0))</f>
        <v/>
      </c>
      <c r="EW11">
        <f>INDEX($B$25:$GQ$25,MATCH(152,$B$29:$GQ$29,0))</f>
        <v/>
      </c>
      <c r="EX11">
        <f>INDEX($B$25:$GQ$25,MATCH(153,$B$29:$GQ$29,0))</f>
        <v/>
      </c>
      <c r="EY11">
        <f>INDEX($B$25:$GQ$25,MATCH(154,$B$29:$GQ$29,0))</f>
        <v/>
      </c>
      <c r="EZ11">
        <f>INDEX($B$25:$GQ$25,MATCH(155,$B$29:$GQ$29,0))</f>
        <v/>
      </c>
      <c r="FA11">
        <f>INDEX($B$25:$GQ$25,MATCH(156,$B$29:$GQ$29,0))</f>
        <v/>
      </c>
      <c r="FB11">
        <f>INDEX($B$25:$GQ$25,MATCH(157,$B$29:$GQ$29,0))</f>
        <v/>
      </c>
      <c r="FC11">
        <f>INDEX($B$25:$GQ$25,MATCH(158,$B$29:$GQ$29,0))</f>
        <v/>
      </c>
      <c r="FD11">
        <f>INDEX($B$25:$GQ$25,MATCH(159,$B$29:$GQ$29,0))</f>
        <v/>
      </c>
      <c r="FE11">
        <f>INDEX($B$25:$GQ$25,MATCH(160,$B$29:$GQ$29,0))</f>
        <v/>
      </c>
      <c r="FF11">
        <f>INDEX($B$25:$GQ$25,MATCH(161,$B$29:$GQ$29,0))</f>
        <v/>
      </c>
      <c r="FG11">
        <f>INDEX($B$25:$GQ$25,MATCH(162,$B$29:$GQ$29,0))</f>
        <v/>
      </c>
      <c r="FH11">
        <f>INDEX($B$25:$GQ$25,MATCH(163,$B$29:$GQ$29,0))</f>
        <v/>
      </c>
      <c r="FI11">
        <f>INDEX($B$25:$GQ$25,MATCH(164,$B$29:$GQ$29,0))</f>
        <v/>
      </c>
      <c r="FJ11">
        <f>INDEX($B$25:$GQ$25,MATCH(165,$B$29:$GQ$29,0))</f>
        <v/>
      </c>
      <c r="FK11">
        <f>INDEX($B$25:$GQ$25,MATCH(166,$B$29:$GQ$29,0))</f>
        <v/>
      </c>
      <c r="FL11">
        <f>INDEX($B$25:$GQ$25,MATCH(167,$B$29:$GQ$29,0))</f>
        <v/>
      </c>
      <c r="FM11">
        <f>INDEX($B$25:$GQ$25,MATCH(168,$B$29:$GQ$29,0))</f>
        <v/>
      </c>
      <c r="FN11">
        <f>INDEX($B$25:$GQ$25,MATCH(169,$B$29:$GQ$29,0))</f>
        <v/>
      </c>
      <c r="FO11">
        <f>INDEX($B$25:$GQ$25,MATCH(170,$B$29:$GQ$29,0))</f>
        <v/>
      </c>
      <c r="FP11">
        <f>INDEX($B$25:$GQ$25,MATCH(171,$B$29:$GQ$29,0))</f>
        <v/>
      </c>
      <c r="FQ11">
        <f>INDEX($B$25:$GQ$25,MATCH(172,$B$29:$GQ$29,0))</f>
        <v/>
      </c>
      <c r="FR11">
        <f>INDEX($B$25:$GQ$25,MATCH(173,$B$29:$GQ$29,0))</f>
        <v/>
      </c>
      <c r="FS11">
        <f>INDEX($B$25:$GQ$25,MATCH(174,$B$29:$GQ$29,0))</f>
        <v/>
      </c>
      <c r="FT11">
        <f>INDEX($B$25:$GQ$25,MATCH(175,$B$29:$GQ$29,0))</f>
        <v/>
      </c>
      <c r="FU11">
        <f>INDEX($B$25:$GQ$25,MATCH(176,$B$29:$GQ$29,0))</f>
        <v/>
      </c>
      <c r="FV11">
        <f>INDEX($B$25:$GQ$25,MATCH(177,$B$29:$GQ$29,0))</f>
        <v/>
      </c>
      <c r="FW11">
        <f>INDEX($B$25:$GQ$25,MATCH(178,$B$29:$GQ$29,0))</f>
        <v/>
      </c>
      <c r="FX11">
        <f>INDEX($B$25:$GQ$25,MATCH(179,$B$29:$GQ$29,0))</f>
        <v/>
      </c>
      <c r="FY11">
        <f>INDEX($B$25:$GQ$25,MATCH(180,$B$29:$GQ$29,0))</f>
        <v/>
      </c>
      <c r="FZ11">
        <f>INDEX($B$25:$GQ$25,MATCH(181,$B$29:$GQ$29,0))</f>
        <v/>
      </c>
      <c r="GA11">
        <f>INDEX($B$25:$GQ$25,MATCH(182,$B$29:$GQ$29,0))</f>
        <v/>
      </c>
      <c r="GB11">
        <f>INDEX($B$25:$GQ$25,MATCH(183,$B$29:$GQ$29,0))</f>
        <v/>
      </c>
      <c r="GC11">
        <f>INDEX($B$25:$GQ$25,MATCH(184,$B$29:$GQ$29,0))</f>
        <v/>
      </c>
      <c r="GD11">
        <f>INDEX($B$25:$GQ$25,MATCH(185,$B$29:$GQ$29,0))</f>
        <v/>
      </c>
      <c r="GE11">
        <f>INDEX($B$25:$GQ$25,MATCH(186,$B$29:$GQ$29,0))</f>
        <v/>
      </c>
      <c r="GF11">
        <f>INDEX($B$25:$GQ$25,MATCH(187,$B$29:$GQ$29,0))</f>
        <v/>
      </c>
      <c r="GG11">
        <f>INDEX($B$25:$GQ$25,MATCH(188,$B$29:$GQ$29,0))</f>
        <v/>
      </c>
      <c r="GH11">
        <f>INDEX($B$25:$GQ$25,MATCH(189,$B$29:$GQ$29,0))</f>
        <v/>
      </c>
      <c r="GI11">
        <f>INDEX($B$25:$GQ$25,MATCH(190,$B$29:$GQ$29,0))</f>
        <v/>
      </c>
      <c r="GJ11">
        <f>INDEX($B$25:$GQ$25,MATCH(191,$B$29:$GQ$29,0))</f>
        <v/>
      </c>
      <c r="GK11">
        <f>INDEX($B$25:$GQ$25,MATCH(192,$B$29:$GQ$29,0))</f>
        <v/>
      </c>
      <c r="GL11">
        <f>INDEX($B$25:$GQ$25,MATCH(193,$B$29:$GQ$29,0))</f>
        <v/>
      </c>
      <c r="GM11">
        <f>INDEX($B$25:$GQ$25,MATCH(194,$B$29:$GQ$29,0))</f>
        <v/>
      </c>
      <c r="GN11">
        <f>INDEX($B$25:$GQ$25,MATCH(195,$B$29:$GQ$29,0))</f>
        <v/>
      </c>
      <c r="GO11">
        <f>INDEX($B$25:$GQ$25,MATCH(196,$B$29:$GQ$29,0))</f>
        <v/>
      </c>
      <c r="GP11">
        <f>INDEX($B$25:$GQ$25,MATCH(197,$B$29:$GQ$29,0))</f>
        <v/>
      </c>
      <c r="GQ11">
        <f>INDEX($B$25:$GQ$25,MATCH(198,$B$29:$GQ$29,0))</f>
        <v/>
      </c>
      <c r="GR11">
        <f>INDEX($GR$25:$HC$25,MATCH(1,$GR$30:$HC$30,0))</f>
        <v/>
      </c>
      <c r="GS11">
        <f>INDEX($GR$25:$HC$25,MATCH(2,$GR$30:$HC$30,0))</f>
        <v/>
      </c>
      <c r="GT11">
        <f>INDEX($GR$25:$HC$25,MATCH(3,$GR$30:$HC$30,0))</f>
        <v/>
      </c>
      <c r="GU11">
        <f>INDEX($GR$25:$HC$25,MATCH(4,$GR$30:$HC$30,0))</f>
        <v/>
      </c>
      <c r="GV11">
        <f>INDEX($GR$25:$HC$25,MATCH(5,$GR$30:$HC$30,0))</f>
        <v/>
      </c>
      <c r="GW11">
        <f>INDEX($GR$25:$HC$25,MATCH(6,$GR$30:$HC$30,0))</f>
        <v/>
      </c>
      <c r="GX11">
        <f>INDEX($GR$25:$HC$25,MATCH(7,$GR$30:$HC$30,0))</f>
        <v/>
      </c>
      <c r="GY11">
        <f>INDEX($GR$25:$HC$25,MATCH(8,$GR$30:$HC$30,0))</f>
        <v/>
      </c>
      <c r="GZ11">
        <f>INDEX($GR$25:$HC$25,MATCH(9,$GR$30:$HC$30,0))</f>
        <v/>
      </c>
      <c r="HA11">
        <f>INDEX($GR$25:$HC$25,MATCH(10,$GR$30:$HC$30,0))</f>
        <v/>
      </c>
      <c r="HB11">
        <f>INDEX($GR$25:$HC$25,MATCH(11,$GR$30:$HC$30,0))</f>
        <v/>
      </c>
      <c r="HC11">
        <f>INDEX($GR$25:$HC$25,MATCH(12,$GR$30:$HC$30,0))</f>
        <v/>
      </c>
    </row>
    <row r="12">
      <c r="A12" s="1" t="inlineStr">
        <is>
          <t>M_row*Y_imp</t>
        </is>
      </c>
      <c r="B12">
        <f>INDEX($B$26:$GQ$26,MATCH(1,$B$29:$GQ$29,0))</f>
        <v/>
      </c>
      <c r="C12">
        <f>INDEX($B$26:$GQ$26,MATCH(2,$B$29:$GQ$29,0))</f>
        <v/>
      </c>
      <c r="D12">
        <f>INDEX($B$26:$GQ$26,MATCH(3,$B$29:$GQ$29,0))</f>
        <v/>
      </c>
      <c r="E12">
        <f>INDEX($B$26:$GQ$26,MATCH(4,$B$29:$GQ$29,0))</f>
        <v/>
      </c>
      <c r="F12">
        <f>INDEX($B$26:$GQ$26,MATCH(5,$B$29:$GQ$29,0))</f>
        <v/>
      </c>
      <c r="G12">
        <f>INDEX($B$26:$GQ$26,MATCH(6,$B$29:$GQ$29,0))</f>
        <v/>
      </c>
      <c r="H12">
        <f>INDEX($B$26:$GQ$26,MATCH(7,$B$29:$GQ$29,0))</f>
        <v/>
      </c>
      <c r="I12">
        <f>INDEX($B$26:$GQ$26,MATCH(8,$B$29:$GQ$29,0))</f>
        <v/>
      </c>
      <c r="J12">
        <f>INDEX($B$26:$GQ$26,MATCH(9,$B$29:$GQ$29,0))</f>
        <v/>
      </c>
      <c r="K12">
        <f>INDEX($B$26:$GQ$26,MATCH(10,$B$29:$GQ$29,0))</f>
        <v/>
      </c>
      <c r="L12">
        <f>INDEX($B$26:$GQ$26,MATCH(11,$B$29:$GQ$29,0))</f>
        <v/>
      </c>
      <c r="M12">
        <f>INDEX($B$26:$GQ$26,MATCH(12,$B$29:$GQ$29,0))</f>
        <v/>
      </c>
      <c r="N12">
        <f>INDEX($B$26:$GQ$26,MATCH(13,$B$29:$GQ$29,0))</f>
        <v/>
      </c>
      <c r="O12">
        <f>INDEX($B$26:$GQ$26,MATCH(14,$B$29:$GQ$29,0))</f>
        <v/>
      </c>
      <c r="P12">
        <f>INDEX($B$26:$GQ$26,MATCH(15,$B$29:$GQ$29,0))</f>
        <v/>
      </c>
      <c r="Q12">
        <f>INDEX($B$26:$GQ$26,MATCH(16,$B$29:$GQ$29,0))</f>
        <v/>
      </c>
      <c r="R12">
        <f>INDEX($B$26:$GQ$26,MATCH(17,$B$29:$GQ$29,0))</f>
        <v/>
      </c>
      <c r="S12">
        <f>INDEX($B$26:$GQ$26,MATCH(18,$B$29:$GQ$29,0))</f>
        <v/>
      </c>
      <c r="T12">
        <f>INDEX($B$26:$GQ$26,MATCH(19,$B$29:$GQ$29,0))</f>
        <v/>
      </c>
      <c r="U12">
        <f>INDEX($B$26:$GQ$26,MATCH(20,$B$29:$GQ$29,0))</f>
        <v/>
      </c>
      <c r="V12">
        <f>INDEX($B$26:$GQ$26,MATCH(21,$B$29:$GQ$29,0))</f>
        <v/>
      </c>
      <c r="W12">
        <f>INDEX($B$26:$GQ$26,MATCH(22,$B$29:$GQ$29,0))</f>
        <v/>
      </c>
      <c r="X12">
        <f>INDEX($B$26:$GQ$26,MATCH(23,$B$29:$GQ$29,0))</f>
        <v/>
      </c>
      <c r="Y12">
        <f>INDEX($B$26:$GQ$26,MATCH(24,$B$29:$GQ$29,0))</f>
        <v/>
      </c>
      <c r="Z12">
        <f>INDEX($B$26:$GQ$26,MATCH(25,$B$29:$GQ$29,0))</f>
        <v/>
      </c>
      <c r="AA12">
        <f>INDEX($B$26:$GQ$26,MATCH(26,$B$29:$GQ$29,0))</f>
        <v/>
      </c>
      <c r="AB12">
        <f>INDEX($B$26:$GQ$26,MATCH(27,$B$29:$GQ$29,0))</f>
        <v/>
      </c>
      <c r="AC12">
        <f>INDEX($B$26:$GQ$26,MATCH(28,$B$29:$GQ$29,0))</f>
        <v/>
      </c>
      <c r="AD12">
        <f>INDEX($B$26:$GQ$26,MATCH(29,$B$29:$GQ$29,0))</f>
        <v/>
      </c>
      <c r="AE12">
        <f>INDEX($B$26:$GQ$26,MATCH(30,$B$29:$GQ$29,0))</f>
        <v/>
      </c>
      <c r="AF12">
        <f>INDEX($B$26:$GQ$26,MATCH(31,$B$29:$GQ$29,0))</f>
        <v/>
      </c>
      <c r="AG12">
        <f>INDEX($B$26:$GQ$26,MATCH(32,$B$29:$GQ$29,0))</f>
        <v/>
      </c>
      <c r="AH12">
        <f>INDEX($B$26:$GQ$26,MATCH(33,$B$29:$GQ$29,0))</f>
        <v/>
      </c>
      <c r="AI12">
        <f>INDEX($B$26:$GQ$26,MATCH(34,$B$29:$GQ$29,0))</f>
        <v/>
      </c>
      <c r="AJ12">
        <f>INDEX($B$26:$GQ$26,MATCH(35,$B$29:$GQ$29,0))</f>
        <v/>
      </c>
      <c r="AK12">
        <f>INDEX($B$26:$GQ$26,MATCH(36,$B$29:$GQ$29,0))</f>
        <v/>
      </c>
      <c r="AL12">
        <f>INDEX($B$26:$GQ$26,MATCH(37,$B$29:$GQ$29,0))</f>
        <v/>
      </c>
      <c r="AM12">
        <f>INDEX($B$26:$GQ$26,MATCH(38,$B$29:$GQ$29,0))</f>
        <v/>
      </c>
      <c r="AN12">
        <f>INDEX($B$26:$GQ$26,MATCH(39,$B$29:$GQ$29,0))</f>
        <v/>
      </c>
      <c r="AO12">
        <f>INDEX($B$26:$GQ$26,MATCH(40,$B$29:$GQ$29,0))</f>
        <v/>
      </c>
      <c r="AP12">
        <f>INDEX($B$26:$GQ$26,MATCH(41,$B$29:$GQ$29,0))</f>
        <v/>
      </c>
      <c r="AQ12">
        <f>INDEX($B$26:$GQ$26,MATCH(42,$B$29:$GQ$29,0))</f>
        <v/>
      </c>
      <c r="AR12">
        <f>INDEX($B$26:$GQ$26,MATCH(43,$B$29:$GQ$29,0))</f>
        <v/>
      </c>
      <c r="AS12">
        <f>INDEX($B$26:$GQ$26,MATCH(44,$B$29:$GQ$29,0))</f>
        <v/>
      </c>
      <c r="AT12">
        <f>INDEX($B$26:$GQ$26,MATCH(45,$B$29:$GQ$29,0))</f>
        <v/>
      </c>
      <c r="AU12">
        <f>INDEX($B$26:$GQ$26,MATCH(46,$B$29:$GQ$29,0))</f>
        <v/>
      </c>
      <c r="AV12">
        <f>INDEX($B$26:$GQ$26,MATCH(47,$B$29:$GQ$29,0))</f>
        <v/>
      </c>
      <c r="AW12">
        <f>INDEX($B$26:$GQ$26,MATCH(48,$B$29:$GQ$29,0))</f>
        <v/>
      </c>
      <c r="AX12">
        <f>INDEX($B$26:$GQ$26,MATCH(49,$B$29:$GQ$29,0))</f>
        <v/>
      </c>
      <c r="AY12">
        <f>INDEX($B$26:$GQ$26,MATCH(50,$B$29:$GQ$29,0))</f>
        <v/>
      </c>
      <c r="AZ12">
        <f>INDEX($B$26:$GQ$26,MATCH(51,$B$29:$GQ$29,0))</f>
        <v/>
      </c>
      <c r="BA12">
        <f>INDEX($B$26:$GQ$26,MATCH(52,$B$29:$GQ$29,0))</f>
        <v/>
      </c>
      <c r="BB12">
        <f>INDEX($B$26:$GQ$26,MATCH(53,$B$29:$GQ$29,0))</f>
        <v/>
      </c>
      <c r="BC12">
        <f>INDEX($B$26:$GQ$26,MATCH(54,$B$29:$GQ$29,0))</f>
        <v/>
      </c>
      <c r="BD12">
        <f>INDEX($B$26:$GQ$26,MATCH(55,$B$29:$GQ$29,0))</f>
        <v/>
      </c>
      <c r="BE12">
        <f>INDEX($B$26:$GQ$26,MATCH(56,$B$29:$GQ$29,0))</f>
        <v/>
      </c>
      <c r="BF12">
        <f>INDEX($B$26:$GQ$26,MATCH(57,$B$29:$GQ$29,0))</f>
        <v/>
      </c>
      <c r="BG12">
        <f>INDEX($B$26:$GQ$26,MATCH(58,$B$29:$GQ$29,0))</f>
        <v/>
      </c>
      <c r="BH12">
        <f>INDEX($B$26:$GQ$26,MATCH(59,$B$29:$GQ$29,0))</f>
        <v/>
      </c>
      <c r="BI12">
        <f>INDEX($B$26:$GQ$26,MATCH(60,$B$29:$GQ$29,0))</f>
        <v/>
      </c>
      <c r="BJ12">
        <f>INDEX($B$26:$GQ$26,MATCH(61,$B$29:$GQ$29,0))</f>
        <v/>
      </c>
      <c r="BK12">
        <f>INDEX($B$26:$GQ$26,MATCH(62,$B$29:$GQ$29,0))</f>
        <v/>
      </c>
      <c r="BL12">
        <f>INDEX($B$26:$GQ$26,MATCH(63,$B$29:$GQ$29,0))</f>
        <v/>
      </c>
      <c r="BM12">
        <f>INDEX($B$26:$GQ$26,MATCH(64,$B$29:$GQ$29,0))</f>
        <v/>
      </c>
      <c r="BN12">
        <f>INDEX($B$26:$GQ$26,MATCH(65,$B$29:$GQ$29,0))</f>
        <v/>
      </c>
      <c r="BO12">
        <f>INDEX($B$26:$GQ$26,MATCH(66,$B$29:$GQ$29,0))</f>
        <v/>
      </c>
      <c r="BP12">
        <f>INDEX($B$26:$GQ$26,MATCH(67,$B$29:$GQ$29,0))</f>
        <v/>
      </c>
      <c r="BQ12">
        <f>INDEX($B$26:$GQ$26,MATCH(68,$B$29:$GQ$29,0))</f>
        <v/>
      </c>
      <c r="BR12">
        <f>INDEX($B$26:$GQ$26,MATCH(69,$B$29:$GQ$29,0))</f>
        <v/>
      </c>
      <c r="BS12">
        <f>INDEX($B$26:$GQ$26,MATCH(70,$B$29:$GQ$29,0))</f>
        <v/>
      </c>
      <c r="BT12">
        <f>INDEX($B$26:$GQ$26,MATCH(71,$B$29:$GQ$29,0))</f>
        <v/>
      </c>
      <c r="BU12">
        <f>INDEX($B$26:$GQ$26,MATCH(72,$B$29:$GQ$29,0))</f>
        <v/>
      </c>
      <c r="BV12">
        <f>INDEX($B$26:$GQ$26,MATCH(73,$B$29:$GQ$29,0))</f>
        <v/>
      </c>
      <c r="BW12">
        <f>INDEX($B$26:$GQ$26,MATCH(74,$B$29:$GQ$29,0))</f>
        <v/>
      </c>
      <c r="BX12">
        <f>INDEX($B$26:$GQ$26,MATCH(75,$B$29:$GQ$29,0))</f>
        <v/>
      </c>
      <c r="BY12">
        <f>INDEX($B$26:$GQ$26,MATCH(76,$B$29:$GQ$29,0))</f>
        <v/>
      </c>
      <c r="BZ12">
        <f>INDEX($B$26:$GQ$26,MATCH(77,$B$29:$GQ$29,0))</f>
        <v/>
      </c>
      <c r="CA12">
        <f>INDEX($B$26:$GQ$26,MATCH(78,$B$29:$GQ$29,0))</f>
        <v/>
      </c>
      <c r="CB12">
        <f>INDEX($B$26:$GQ$26,MATCH(79,$B$29:$GQ$29,0))</f>
        <v/>
      </c>
      <c r="CC12">
        <f>INDEX($B$26:$GQ$26,MATCH(80,$B$29:$GQ$29,0))</f>
        <v/>
      </c>
      <c r="CD12">
        <f>INDEX($B$26:$GQ$26,MATCH(81,$B$29:$GQ$29,0))</f>
        <v/>
      </c>
      <c r="CE12">
        <f>INDEX($B$26:$GQ$26,MATCH(82,$B$29:$GQ$29,0))</f>
        <v/>
      </c>
      <c r="CF12">
        <f>INDEX($B$26:$GQ$26,MATCH(83,$B$29:$GQ$29,0))</f>
        <v/>
      </c>
      <c r="CG12">
        <f>INDEX($B$26:$GQ$26,MATCH(84,$B$29:$GQ$29,0))</f>
        <v/>
      </c>
      <c r="CH12">
        <f>INDEX($B$26:$GQ$26,MATCH(85,$B$29:$GQ$29,0))</f>
        <v/>
      </c>
      <c r="CI12">
        <f>INDEX($B$26:$GQ$26,MATCH(86,$B$29:$GQ$29,0))</f>
        <v/>
      </c>
      <c r="CJ12">
        <f>INDEX($B$26:$GQ$26,MATCH(87,$B$29:$GQ$29,0))</f>
        <v/>
      </c>
      <c r="CK12">
        <f>INDEX($B$26:$GQ$26,MATCH(88,$B$29:$GQ$29,0))</f>
        <v/>
      </c>
      <c r="CL12">
        <f>INDEX($B$26:$GQ$26,MATCH(89,$B$29:$GQ$29,0))</f>
        <v/>
      </c>
      <c r="CM12">
        <f>INDEX($B$26:$GQ$26,MATCH(90,$B$29:$GQ$29,0))</f>
        <v/>
      </c>
      <c r="CN12">
        <f>INDEX($B$26:$GQ$26,MATCH(91,$B$29:$GQ$29,0))</f>
        <v/>
      </c>
      <c r="CO12">
        <f>INDEX($B$26:$GQ$26,MATCH(92,$B$29:$GQ$29,0))</f>
        <v/>
      </c>
      <c r="CP12">
        <f>INDEX($B$26:$GQ$26,MATCH(93,$B$29:$GQ$29,0))</f>
        <v/>
      </c>
      <c r="CQ12">
        <f>INDEX($B$26:$GQ$26,MATCH(94,$B$29:$GQ$29,0))</f>
        <v/>
      </c>
      <c r="CR12">
        <f>INDEX($B$26:$GQ$26,MATCH(95,$B$29:$GQ$29,0))</f>
        <v/>
      </c>
      <c r="CS12">
        <f>INDEX($B$26:$GQ$26,MATCH(96,$B$29:$GQ$29,0))</f>
        <v/>
      </c>
      <c r="CT12">
        <f>INDEX($B$26:$GQ$26,MATCH(97,$B$29:$GQ$29,0))</f>
        <v/>
      </c>
      <c r="CU12">
        <f>INDEX($B$26:$GQ$26,MATCH(98,$B$29:$GQ$29,0))</f>
        <v/>
      </c>
      <c r="CV12">
        <f>INDEX($B$26:$GQ$26,MATCH(99,$B$29:$GQ$29,0))</f>
        <v/>
      </c>
      <c r="CW12">
        <f>INDEX($B$26:$GQ$26,MATCH(100,$B$29:$GQ$29,0))</f>
        <v/>
      </c>
      <c r="CX12">
        <f>INDEX($B$26:$GQ$26,MATCH(101,$B$29:$GQ$29,0))</f>
        <v/>
      </c>
      <c r="CY12">
        <f>INDEX($B$26:$GQ$26,MATCH(102,$B$29:$GQ$29,0))</f>
        <v/>
      </c>
      <c r="CZ12">
        <f>INDEX($B$26:$GQ$26,MATCH(103,$B$29:$GQ$29,0))</f>
        <v/>
      </c>
      <c r="DA12">
        <f>INDEX($B$26:$GQ$26,MATCH(104,$B$29:$GQ$29,0))</f>
        <v/>
      </c>
      <c r="DB12">
        <f>INDEX($B$26:$GQ$26,MATCH(105,$B$29:$GQ$29,0))</f>
        <v/>
      </c>
      <c r="DC12">
        <f>INDEX($B$26:$GQ$26,MATCH(106,$B$29:$GQ$29,0))</f>
        <v/>
      </c>
      <c r="DD12">
        <f>INDEX($B$26:$GQ$26,MATCH(107,$B$29:$GQ$29,0))</f>
        <v/>
      </c>
      <c r="DE12">
        <f>INDEX($B$26:$GQ$26,MATCH(108,$B$29:$GQ$29,0))</f>
        <v/>
      </c>
      <c r="DF12">
        <f>INDEX($B$26:$GQ$26,MATCH(109,$B$29:$GQ$29,0))</f>
        <v/>
      </c>
      <c r="DG12">
        <f>INDEX($B$26:$GQ$26,MATCH(110,$B$29:$GQ$29,0))</f>
        <v/>
      </c>
      <c r="DH12">
        <f>INDEX($B$26:$GQ$26,MATCH(111,$B$29:$GQ$29,0))</f>
        <v/>
      </c>
      <c r="DI12">
        <f>INDEX($B$26:$GQ$26,MATCH(112,$B$29:$GQ$29,0))</f>
        <v/>
      </c>
      <c r="DJ12">
        <f>INDEX($B$26:$GQ$26,MATCH(113,$B$29:$GQ$29,0))</f>
        <v/>
      </c>
      <c r="DK12">
        <f>INDEX($B$26:$GQ$26,MATCH(114,$B$29:$GQ$29,0))</f>
        <v/>
      </c>
      <c r="DL12">
        <f>INDEX($B$26:$GQ$26,MATCH(115,$B$29:$GQ$29,0))</f>
        <v/>
      </c>
      <c r="DM12">
        <f>INDEX($B$26:$GQ$26,MATCH(116,$B$29:$GQ$29,0))</f>
        <v/>
      </c>
      <c r="DN12">
        <f>INDEX($B$26:$GQ$26,MATCH(117,$B$29:$GQ$29,0))</f>
        <v/>
      </c>
      <c r="DO12">
        <f>INDEX($B$26:$GQ$26,MATCH(118,$B$29:$GQ$29,0))</f>
        <v/>
      </c>
      <c r="DP12">
        <f>INDEX($B$26:$GQ$26,MATCH(119,$B$29:$GQ$29,0))</f>
        <v/>
      </c>
      <c r="DQ12">
        <f>INDEX($B$26:$GQ$26,MATCH(120,$B$29:$GQ$29,0))</f>
        <v/>
      </c>
      <c r="DR12">
        <f>INDEX($B$26:$GQ$26,MATCH(121,$B$29:$GQ$29,0))</f>
        <v/>
      </c>
      <c r="DS12">
        <f>INDEX($B$26:$GQ$26,MATCH(122,$B$29:$GQ$29,0))</f>
        <v/>
      </c>
      <c r="DT12">
        <f>INDEX($B$26:$GQ$26,MATCH(123,$B$29:$GQ$29,0))</f>
        <v/>
      </c>
      <c r="DU12">
        <f>INDEX($B$26:$GQ$26,MATCH(124,$B$29:$GQ$29,0))</f>
        <v/>
      </c>
      <c r="DV12">
        <f>INDEX($B$26:$GQ$26,MATCH(125,$B$29:$GQ$29,0))</f>
        <v/>
      </c>
      <c r="DW12">
        <f>INDEX($B$26:$GQ$26,MATCH(126,$B$29:$GQ$29,0))</f>
        <v/>
      </c>
      <c r="DX12">
        <f>INDEX($B$26:$GQ$26,MATCH(127,$B$29:$GQ$29,0))</f>
        <v/>
      </c>
      <c r="DY12">
        <f>INDEX($B$26:$GQ$26,MATCH(128,$B$29:$GQ$29,0))</f>
        <v/>
      </c>
      <c r="DZ12">
        <f>INDEX($B$26:$GQ$26,MATCH(129,$B$29:$GQ$29,0))</f>
        <v/>
      </c>
      <c r="EA12">
        <f>INDEX($B$26:$GQ$26,MATCH(130,$B$29:$GQ$29,0))</f>
        <v/>
      </c>
      <c r="EB12">
        <f>INDEX($B$26:$GQ$26,MATCH(131,$B$29:$GQ$29,0))</f>
        <v/>
      </c>
      <c r="EC12">
        <f>INDEX($B$26:$GQ$26,MATCH(132,$B$29:$GQ$29,0))</f>
        <v/>
      </c>
      <c r="ED12">
        <f>INDEX($B$26:$GQ$26,MATCH(133,$B$29:$GQ$29,0))</f>
        <v/>
      </c>
      <c r="EE12">
        <f>INDEX($B$26:$GQ$26,MATCH(134,$B$29:$GQ$29,0))</f>
        <v/>
      </c>
      <c r="EF12">
        <f>INDEX($B$26:$GQ$26,MATCH(135,$B$29:$GQ$29,0))</f>
        <v/>
      </c>
      <c r="EG12">
        <f>INDEX($B$26:$GQ$26,MATCH(136,$B$29:$GQ$29,0))</f>
        <v/>
      </c>
      <c r="EH12">
        <f>INDEX($B$26:$GQ$26,MATCH(137,$B$29:$GQ$29,0))</f>
        <v/>
      </c>
      <c r="EI12">
        <f>INDEX($B$26:$GQ$26,MATCH(138,$B$29:$GQ$29,0))</f>
        <v/>
      </c>
      <c r="EJ12">
        <f>INDEX($B$26:$GQ$26,MATCH(139,$B$29:$GQ$29,0))</f>
        <v/>
      </c>
      <c r="EK12">
        <f>INDEX($B$26:$GQ$26,MATCH(140,$B$29:$GQ$29,0))</f>
        <v/>
      </c>
      <c r="EL12">
        <f>INDEX($B$26:$GQ$26,MATCH(141,$B$29:$GQ$29,0))</f>
        <v/>
      </c>
      <c r="EM12">
        <f>INDEX($B$26:$GQ$26,MATCH(142,$B$29:$GQ$29,0))</f>
        <v/>
      </c>
      <c r="EN12">
        <f>INDEX($B$26:$GQ$26,MATCH(143,$B$29:$GQ$29,0))</f>
        <v/>
      </c>
      <c r="EO12">
        <f>INDEX($B$26:$GQ$26,MATCH(144,$B$29:$GQ$29,0))</f>
        <v/>
      </c>
      <c r="EP12">
        <f>INDEX($B$26:$GQ$26,MATCH(145,$B$29:$GQ$29,0))</f>
        <v/>
      </c>
      <c r="EQ12">
        <f>INDEX($B$26:$GQ$26,MATCH(146,$B$29:$GQ$29,0))</f>
        <v/>
      </c>
      <c r="ER12">
        <f>INDEX($B$26:$GQ$26,MATCH(147,$B$29:$GQ$29,0))</f>
        <v/>
      </c>
      <c r="ES12">
        <f>INDEX($B$26:$GQ$26,MATCH(148,$B$29:$GQ$29,0))</f>
        <v/>
      </c>
      <c r="ET12">
        <f>INDEX($B$26:$GQ$26,MATCH(149,$B$29:$GQ$29,0))</f>
        <v/>
      </c>
      <c r="EU12">
        <f>INDEX($B$26:$GQ$26,MATCH(150,$B$29:$GQ$29,0))</f>
        <v/>
      </c>
      <c r="EV12">
        <f>INDEX($B$26:$GQ$26,MATCH(151,$B$29:$GQ$29,0))</f>
        <v/>
      </c>
      <c r="EW12">
        <f>INDEX($B$26:$GQ$26,MATCH(152,$B$29:$GQ$29,0))</f>
        <v/>
      </c>
      <c r="EX12">
        <f>INDEX($B$26:$GQ$26,MATCH(153,$B$29:$GQ$29,0))</f>
        <v/>
      </c>
      <c r="EY12">
        <f>INDEX($B$26:$GQ$26,MATCH(154,$B$29:$GQ$29,0))</f>
        <v/>
      </c>
      <c r="EZ12">
        <f>INDEX($B$26:$GQ$26,MATCH(155,$B$29:$GQ$29,0))</f>
        <v/>
      </c>
      <c r="FA12">
        <f>INDEX($B$26:$GQ$26,MATCH(156,$B$29:$GQ$29,0))</f>
        <v/>
      </c>
      <c r="FB12">
        <f>INDEX($B$26:$GQ$26,MATCH(157,$B$29:$GQ$29,0))</f>
        <v/>
      </c>
      <c r="FC12">
        <f>INDEX($B$26:$GQ$26,MATCH(158,$B$29:$GQ$29,0))</f>
        <v/>
      </c>
      <c r="FD12">
        <f>INDEX($B$26:$GQ$26,MATCH(159,$B$29:$GQ$29,0))</f>
        <v/>
      </c>
      <c r="FE12">
        <f>INDEX($B$26:$GQ$26,MATCH(160,$B$29:$GQ$29,0))</f>
        <v/>
      </c>
      <c r="FF12">
        <f>INDEX($B$26:$GQ$26,MATCH(161,$B$29:$GQ$29,0))</f>
        <v/>
      </c>
      <c r="FG12">
        <f>INDEX($B$26:$GQ$26,MATCH(162,$B$29:$GQ$29,0))</f>
        <v/>
      </c>
      <c r="FH12">
        <f>INDEX($B$26:$GQ$26,MATCH(163,$B$29:$GQ$29,0))</f>
        <v/>
      </c>
      <c r="FI12">
        <f>INDEX($B$26:$GQ$26,MATCH(164,$B$29:$GQ$29,0))</f>
        <v/>
      </c>
      <c r="FJ12">
        <f>INDEX($B$26:$GQ$26,MATCH(165,$B$29:$GQ$29,0))</f>
        <v/>
      </c>
      <c r="FK12">
        <f>INDEX($B$26:$GQ$26,MATCH(166,$B$29:$GQ$29,0))</f>
        <v/>
      </c>
      <c r="FL12">
        <f>INDEX($B$26:$GQ$26,MATCH(167,$B$29:$GQ$29,0))</f>
        <v/>
      </c>
      <c r="FM12">
        <f>INDEX($B$26:$GQ$26,MATCH(168,$B$29:$GQ$29,0))</f>
        <v/>
      </c>
      <c r="FN12">
        <f>INDEX($B$26:$GQ$26,MATCH(169,$B$29:$GQ$29,0))</f>
        <v/>
      </c>
      <c r="FO12">
        <f>INDEX($B$26:$GQ$26,MATCH(170,$B$29:$GQ$29,0))</f>
        <v/>
      </c>
      <c r="FP12">
        <f>INDEX($B$26:$GQ$26,MATCH(171,$B$29:$GQ$29,0))</f>
        <v/>
      </c>
      <c r="FQ12">
        <f>INDEX($B$26:$GQ$26,MATCH(172,$B$29:$GQ$29,0))</f>
        <v/>
      </c>
      <c r="FR12">
        <f>INDEX($B$26:$GQ$26,MATCH(173,$B$29:$GQ$29,0))</f>
        <v/>
      </c>
      <c r="FS12">
        <f>INDEX($B$26:$GQ$26,MATCH(174,$B$29:$GQ$29,0))</f>
        <v/>
      </c>
      <c r="FT12">
        <f>INDEX($B$26:$GQ$26,MATCH(175,$B$29:$GQ$29,0))</f>
        <v/>
      </c>
      <c r="FU12">
        <f>INDEX($B$26:$GQ$26,MATCH(176,$B$29:$GQ$29,0))</f>
        <v/>
      </c>
      <c r="FV12">
        <f>INDEX($B$26:$GQ$26,MATCH(177,$B$29:$GQ$29,0))</f>
        <v/>
      </c>
      <c r="FW12">
        <f>INDEX($B$26:$GQ$26,MATCH(178,$B$29:$GQ$29,0))</f>
        <v/>
      </c>
      <c r="FX12">
        <f>INDEX($B$26:$GQ$26,MATCH(179,$B$29:$GQ$29,0))</f>
        <v/>
      </c>
      <c r="FY12">
        <f>INDEX($B$26:$GQ$26,MATCH(180,$B$29:$GQ$29,0))</f>
        <v/>
      </c>
      <c r="FZ12">
        <f>INDEX($B$26:$GQ$26,MATCH(181,$B$29:$GQ$29,0))</f>
        <v/>
      </c>
      <c r="GA12">
        <f>INDEX($B$26:$GQ$26,MATCH(182,$B$29:$GQ$29,0))</f>
        <v/>
      </c>
      <c r="GB12">
        <f>INDEX($B$26:$GQ$26,MATCH(183,$B$29:$GQ$29,0))</f>
        <v/>
      </c>
      <c r="GC12">
        <f>INDEX($B$26:$GQ$26,MATCH(184,$B$29:$GQ$29,0))</f>
        <v/>
      </c>
      <c r="GD12">
        <f>INDEX($B$26:$GQ$26,MATCH(185,$B$29:$GQ$29,0))</f>
        <v/>
      </c>
      <c r="GE12">
        <f>INDEX($B$26:$GQ$26,MATCH(186,$B$29:$GQ$29,0))</f>
        <v/>
      </c>
      <c r="GF12">
        <f>INDEX($B$26:$GQ$26,MATCH(187,$B$29:$GQ$29,0))</f>
        <v/>
      </c>
      <c r="GG12">
        <f>INDEX($B$26:$GQ$26,MATCH(188,$B$29:$GQ$29,0))</f>
        <v/>
      </c>
      <c r="GH12">
        <f>INDEX($B$26:$GQ$26,MATCH(189,$B$29:$GQ$29,0))</f>
        <v/>
      </c>
      <c r="GI12">
        <f>INDEX($B$26:$GQ$26,MATCH(190,$B$29:$GQ$29,0))</f>
        <v/>
      </c>
      <c r="GJ12">
        <f>INDEX($B$26:$GQ$26,MATCH(191,$B$29:$GQ$29,0))</f>
        <v/>
      </c>
      <c r="GK12">
        <f>INDEX($B$26:$GQ$26,MATCH(192,$B$29:$GQ$29,0))</f>
        <v/>
      </c>
      <c r="GL12">
        <f>INDEX($B$26:$GQ$26,MATCH(193,$B$29:$GQ$29,0))</f>
        <v/>
      </c>
      <c r="GM12">
        <f>INDEX($B$26:$GQ$26,MATCH(194,$B$29:$GQ$29,0))</f>
        <v/>
      </c>
      <c r="GN12">
        <f>INDEX($B$26:$GQ$26,MATCH(195,$B$29:$GQ$29,0))</f>
        <v/>
      </c>
      <c r="GO12">
        <f>INDEX($B$26:$GQ$26,MATCH(196,$B$29:$GQ$29,0))</f>
        <v/>
      </c>
      <c r="GP12">
        <f>INDEX($B$26:$GQ$26,MATCH(197,$B$29:$GQ$29,0))</f>
        <v/>
      </c>
      <c r="GQ12">
        <f>INDEX($B$26:$GQ$26,MATCH(198,$B$29:$GQ$29,0))</f>
        <v/>
      </c>
      <c r="GR12">
        <f>INDEX($GR$26:$HC$26,MATCH(1,$GR$30:$HC$30,0))</f>
        <v/>
      </c>
      <c r="GS12">
        <f>INDEX($GR$26:$HC$26,MATCH(2,$GR$30:$HC$30,0))</f>
        <v/>
      </c>
      <c r="GT12">
        <f>INDEX($GR$26:$HC$26,MATCH(3,$GR$30:$HC$30,0))</f>
        <v/>
      </c>
      <c r="GU12">
        <f>INDEX($GR$26:$HC$26,MATCH(4,$GR$30:$HC$30,0))</f>
        <v/>
      </c>
      <c r="GV12">
        <f>INDEX($GR$26:$HC$26,MATCH(5,$GR$30:$HC$30,0))</f>
        <v/>
      </c>
      <c r="GW12">
        <f>INDEX($GR$26:$HC$26,MATCH(6,$GR$30:$HC$30,0))</f>
        <v/>
      </c>
      <c r="GX12">
        <f>INDEX($GR$26:$HC$26,MATCH(7,$GR$30:$HC$30,0))</f>
        <v/>
      </c>
      <c r="GY12">
        <f>INDEX($GR$26:$HC$26,MATCH(8,$GR$30:$HC$30,0))</f>
        <v/>
      </c>
      <c r="GZ12">
        <f>INDEX($GR$26:$HC$26,MATCH(9,$GR$30:$HC$30,0))</f>
        <v/>
      </c>
      <c r="HA12">
        <f>INDEX($GR$26:$HC$26,MATCH(10,$GR$30:$HC$30,0))</f>
        <v/>
      </c>
      <c r="HB12">
        <f>INDEX($GR$26:$HC$26,MATCH(11,$GR$30:$HC$30,0))</f>
        <v/>
      </c>
      <c r="HC12">
        <f>INDEX($GR$26:$HC$26,MATCH(12,$GR$30:$HC$30,0))</f>
        <v/>
      </c>
    </row>
    <row r="13">
      <c r="A13" s="1" t="inlineStr">
        <is>
          <t>M_imp*Y_dom+M_dom*Y_dom+M_row*Y_imp</t>
        </is>
      </c>
      <c r="B13">
        <f>INDEX($B$27:$GQ$27,MATCH(1,$B$29:$GQ$29,0))</f>
        <v/>
      </c>
      <c r="C13">
        <f>INDEX($B$27:$GQ$27,MATCH(2,$B$29:$GQ$29,0))</f>
        <v/>
      </c>
      <c r="D13">
        <f>INDEX($B$27:$GQ$27,MATCH(3,$B$29:$GQ$29,0))</f>
        <v/>
      </c>
      <c r="E13">
        <f>INDEX($B$27:$GQ$27,MATCH(4,$B$29:$GQ$29,0))</f>
        <v/>
      </c>
      <c r="F13">
        <f>INDEX($B$27:$GQ$27,MATCH(5,$B$29:$GQ$29,0))</f>
        <v/>
      </c>
      <c r="G13">
        <f>INDEX($B$27:$GQ$27,MATCH(6,$B$29:$GQ$29,0))</f>
        <v/>
      </c>
      <c r="H13">
        <f>INDEX($B$27:$GQ$27,MATCH(7,$B$29:$GQ$29,0))</f>
        <v/>
      </c>
      <c r="I13">
        <f>INDEX($B$27:$GQ$27,MATCH(8,$B$29:$GQ$29,0))</f>
        <v/>
      </c>
      <c r="J13">
        <f>INDEX($B$27:$GQ$27,MATCH(9,$B$29:$GQ$29,0))</f>
        <v/>
      </c>
      <c r="K13">
        <f>INDEX($B$27:$GQ$27,MATCH(10,$B$29:$GQ$29,0))</f>
        <v/>
      </c>
      <c r="L13">
        <f>INDEX($B$27:$GQ$27,MATCH(11,$B$29:$GQ$29,0))</f>
        <v/>
      </c>
      <c r="M13">
        <f>INDEX($B$27:$GQ$27,MATCH(12,$B$29:$GQ$29,0))</f>
        <v/>
      </c>
      <c r="N13">
        <f>INDEX($B$27:$GQ$27,MATCH(13,$B$29:$GQ$29,0))</f>
        <v/>
      </c>
      <c r="O13">
        <f>INDEX($B$27:$GQ$27,MATCH(14,$B$29:$GQ$29,0))</f>
        <v/>
      </c>
      <c r="P13">
        <f>INDEX($B$27:$GQ$27,MATCH(15,$B$29:$GQ$29,0))</f>
        <v/>
      </c>
      <c r="Q13">
        <f>INDEX($B$27:$GQ$27,MATCH(16,$B$29:$GQ$29,0))</f>
        <v/>
      </c>
      <c r="R13">
        <f>INDEX($B$27:$GQ$27,MATCH(17,$B$29:$GQ$29,0))</f>
        <v/>
      </c>
      <c r="S13">
        <f>INDEX($B$27:$GQ$27,MATCH(18,$B$29:$GQ$29,0))</f>
        <v/>
      </c>
      <c r="T13">
        <f>INDEX($B$27:$GQ$27,MATCH(19,$B$29:$GQ$29,0))</f>
        <v/>
      </c>
      <c r="U13">
        <f>INDEX($B$27:$GQ$27,MATCH(20,$B$29:$GQ$29,0))</f>
        <v/>
      </c>
      <c r="V13">
        <f>INDEX($B$27:$GQ$27,MATCH(21,$B$29:$GQ$29,0))</f>
        <v/>
      </c>
      <c r="W13">
        <f>INDEX($B$27:$GQ$27,MATCH(22,$B$29:$GQ$29,0))</f>
        <v/>
      </c>
      <c r="X13">
        <f>INDEX($B$27:$GQ$27,MATCH(23,$B$29:$GQ$29,0))</f>
        <v/>
      </c>
      <c r="Y13">
        <f>INDEX($B$27:$GQ$27,MATCH(24,$B$29:$GQ$29,0))</f>
        <v/>
      </c>
      <c r="Z13">
        <f>INDEX($B$27:$GQ$27,MATCH(25,$B$29:$GQ$29,0))</f>
        <v/>
      </c>
      <c r="AA13">
        <f>INDEX($B$27:$GQ$27,MATCH(26,$B$29:$GQ$29,0))</f>
        <v/>
      </c>
      <c r="AB13">
        <f>INDEX($B$27:$GQ$27,MATCH(27,$B$29:$GQ$29,0))</f>
        <v/>
      </c>
      <c r="AC13">
        <f>INDEX($B$27:$GQ$27,MATCH(28,$B$29:$GQ$29,0))</f>
        <v/>
      </c>
      <c r="AD13">
        <f>INDEX($B$27:$GQ$27,MATCH(29,$B$29:$GQ$29,0))</f>
        <v/>
      </c>
      <c r="AE13">
        <f>INDEX($B$27:$GQ$27,MATCH(30,$B$29:$GQ$29,0))</f>
        <v/>
      </c>
      <c r="AF13">
        <f>INDEX($B$27:$GQ$27,MATCH(31,$B$29:$GQ$29,0))</f>
        <v/>
      </c>
      <c r="AG13">
        <f>INDEX($B$27:$GQ$27,MATCH(32,$B$29:$GQ$29,0))</f>
        <v/>
      </c>
      <c r="AH13">
        <f>INDEX($B$27:$GQ$27,MATCH(33,$B$29:$GQ$29,0))</f>
        <v/>
      </c>
      <c r="AI13">
        <f>INDEX($B$27:$GQ$27,MATCH(34,$B$29:$GQ$29,0))</f>
        <v/>
      </c>
      <c r="AJ13">
        <f>INDEX($B$27:$GQ$27,MATCH(35,$B$29:$GQ$29,0))</f>
        <v/>
      </c>
      <c r="AK13">
        <f>INDEX($B$27:$GQ$27,MATCH(36,$B$29:$GQ$29,0))</f>
        <v/>
      </c>
      <c r="AL13">
        <f>INDEX($B$27:$GQ$27,MATCH(37,$B$29:$GQ$29,0))</f>
        <v/>
      </c>
      <c r="AM13">
        <f>INDEX($B$27:$GQ$27,MATCH(38,$B$29:$GQ$29,0))</f>
        <v/>
      </c>
      <c r="AN13">
        <f>INDEX($B$27:$GQ$27,MATCH(39,$B$29:$GQ$29,0))</f>
        <v/>
      </c>
      <c r="AO13">
        <f>INDEX($B$27:$GQ$27,MATCH(40,$B$29:$GQ$29,0))</f>
        <v/>
      </c>
      <c r="AP13">
        <f>INDEX($B$27:$GQ$27,MATCH(41,$B$29:$GQ$29,0))</f>
        <v/>
      </c>
      <c r="AQ13">
        <f>INDEX($B$27:$GQ$27,MATCH(42,$B$29:$GQ$29,0))</f>
        <v/>
      </c>
      <c r="AR13">
        <f>INDEX($B$27:$GQ$27,MATCH(43,$B$29:$GQ$29,0))</f>
        <v/>
      </c>
      <c r="AS13">
        <f>INDEX($B$27:$GQ$27,MATCH(44,$B$29:$GQ$29,0))</f>
        <v/>
      </c>
      <c r="AT13">
        <f>INDEX($B$27:$GQ$27,MATCH(45,$B$29:$GQ$29,0))</f>
        <v/>
      </c>
      <c r="AU13">
        <f>INDEX($B$27:$GQ$27,MATCH(46,$B$29:$GQ$29,0))</f>
        <v/>
      </c>
      <c r="AV13">
        <f>INDEX($B$27:$GQ$27,MATCH(47,$B$29:$GQ$29,0))</f>
        <v/>
      </c>
      <c r="AW13">
        <f>INDEX($B$27:$GQ$27,MATCH(48,$B$29:$GQ$29,0))</f>
        <v/>
      </c>
      <c r="AX13">
        <f>INDEX($B$27:$GQ$27,MATCH(49,$B$29:$GQ$29,0))</f>
        <v/>
      </c>
      <c r="AY13">
        <f>INDEX($B$27:$GQ$27,MATCH(50,$B$29:$GQ$29,0))</f>
        <v/>
      </c>
      <c r="AZ13">
        <f>INDEX($B$27:$GQ$27,MATCH(51,$B$29:$GQ$29,0))</f>
        <v/>
      </c>
      <c r="BA13">
        <f>INDEX($B$27:$GQ$27,MATCH(52,$B$29:$GQ$29,0))</f>
        <v/>
      </c>
      <c r="BB13">
        <f>INDEX($B$27:$GQ$27,MATCH(53,$B$29:$GQ$29,0))</f>
        <v/>
      </c>
      <c r="BC13">
        <f>INDEX($B$27:$GQ$27,MATCH(54,$B$29:$GQ$29,0))</f>
        <v/>
      </c>
      <c r="BD13">
        <f>INDEX($B$27:$GQ$27,MATCH(55,$B$29:$GQ$29,0))</f>
        <v/>
      </c>
      <c r="BE13">
        <f>INDEX($B$27:$GQ$27,MATCH(56,$B$29:$GQ$29,0))</f>
        <v/>
      </c>
      <c r="BF13">
        <f>INDEX($B$27:$GQ$27,MATCH(57,$B$29:$GQ$29,0))</f>
        <v/>
      </c>
      <c r="BG13">
        <f>INDEX($B$27:$GQ$27,MATCH(58,$B$29:$GQ$29,0))</f>
        <v/>
      </c>
      <c r="BH13">
        <f>INDEX($B$27:$GQ$27,MATCH(59,$B$29:$GQ$29,0))</f>
        <v/>
      </c>
      <c r="BI13">
        <f>INDEX($B$27:$GQ$27,MATCH(60,$B$29:$GQ$29,0))</f>
        <v/>
      </c>
      <c r="BJ13">
        <f>INDEX($B$27:$GQ$27,MATCH(61,$B$29:$GQ$29,0))</f>
        <v/>
      </c>
      <c r="BK13">
        <f>INDEX($B$27:$GQ$27,MATCH(62,$B$29:$GQ$29,0))</f>
        <v/>
      </c>
      <c r="BL13">
        <f>INDEX($B$27:$GQ$27,MATCH(63,$B$29:$GQ$29,0))</f>
        <v/>
      </c>
      <c r="BM13">
        <f>INDEX($B$27:$GQ$27,MATCH(64,$B$29:$GQ$29,0))</f>
        <v/>
      </c>
      <c r="BN13">
        <f>INDEX($B$27:$GQ$27,MATCH(65,$B$29:$GQ$29,0))</f>
        <v/>
      </c>
      <c r="BO13">
        <f>INDEX($B$27:$GQ$27,MATCH(66,$B$29:$GQ$29,0))</f>
        <v/>
      </c>
      <c r="BP13">
        <f>INDEX($B$27:$GQ$27,MATCH(67,$B$29:$GQ$29,0))</f>
        <v/>
      </c>
      <c r="BQ13">
        <f>INDEX($B$27:$GQ$27,MATCH(68,$B$29:$GQ$29,0))</f>
        <v/>
      </c>
      <c r="BR13">
        <f>INDEX($B$27:$GQ$27,MATCH(69,$B$29:$GQ$29,0))</f>
        <v/>
      </c>
      <c r="BS13">
        <f>INDEX($B$27:$GQ$27,MATCH(70,$B$29:$GQ$29,0))</f>
        <v/>
      </c>
      <c r="BT13">
        <f>INDEX($B$27:$GQ$27,MATCH(71,$B$29:$GQ$29,0))</f>
        <v/>
      </c>
      <c r="BU13">
        <f>INDEX($B$27:$GQ$27,MATCH(72,$B$29:$GQ$29,0))</f>
        <v/>
      </c>
      <c r="BV13">
        <f>INDEX($B$27:$GQ$27,MATCH(73,$B$29:$GQ$29,0))</f>
        <v/>
      </c>
      <c r="BW13">
        <f>INDEX($B$27:$GQ$27,MATCH(74,$B$29:$GQ$29,0))</f>
        <v/>
      </c>
      <c r="BX13">
        <f>INDEX($B$27:$GQ$27,MATCH(75,$B$29:$GQ$29,0))</f>
        <v/>
      </c>
      <c r="BY13">
        <f>INDEX($B$27:$GQ$27,MATCH(76,$B$29:$GQ$29,0))</f>
        <v/>
      </c>
      <c r="BZ13">
        <f>INDEX($B$27:$GQ$27,MATCH(77,$B$29:$GQ$29,0))</f>
        <v/>
      </c>
      <c r="CA13">
        <f>INDEX($B$27:$GQ$27,MATCH(78,$B$29:$GQ$29,0))</f>
        <v/>
      </c>
      <c r="CB13">
        <f>INDEX($B$27:$GQ$27,MATCH(79,$B$29:$GQ$29,0))</f>
        <v/>
      </c>
      <c r="CC13">
        <f>INDEX($B$27:$GQ$27,MATCH(80,$B$29:$GQ$29,0))</f>
        <v/>
      </c>
      <c r="CD13">
        <f>INDEX($B$27:$GQ$27,MATCH(81,$B$29:$GQ$29,0))</f>
        <v/>
      </c>
      <c r="CE13">
        <f>INDEX($B$27:$GQ$27,MATCH(82,$B$29:$GQ$29,0))</f>
        <v/>
      </c>
      <c r="CF13">
        <f>INDEX($B$27:$GQ$27,MATCH(83,$B$29:$GQ$29,0))</f>
        <v/>
      </c>
      <c r="CG13">
        <f>INDEX($B$27:$GQ$27,MATCH(84,$B$29:$GQ$29,0))</f>
        <v/>
      </c>
      <c r="CH13">
        <f>INDEX($B$27:$GQ$27,MATCH(85,$B$29:$GQ$29,0))</f>
        <v/>
      </c>
      <c r="CI13">
        <f>INDEX($B$27:$GQ$27,MATCH(86,$B$29:$GQ$29,0))</f>
        <v/>
      </c>
      <c r="CJ13">
        <f>INDEX($B$27:$GQ$27,MATCH(87,$B$29:$GQ$29,0))</f>
        <v/>
      </c>
      <c r="CK13">
        <f>INDEX($B$27:$GQ$27,MATCH(88,$B$29:$GQ$29,0))</f>
        <v/>
      </c>
      <c r="CL13">
        <f>INDEX($B$27:$GQ$27,MATCH(89,$B$29:$GQ$29,0))</f>
        <v/>
      </c>
      <c r="CM13">
        <f>INDEX($B$27:$GQ$27,MATCH(90,$B$29:$GQ$29,0))</f>
        <v/>
      </c>
      <c r="CN13">
        <f>INDEX($B$27:$GQ$27,MATCH(91,$B$29:$GQ$29,0))</f>
        <v/>
      </c>
      <c r="CO13">
        <f>INDEX($B$27:$GQ$27,MATCH(92,$B$29:$GQ$29,0))</f>
        <v/>
      </c>
      <c r="CP13">
        <f>INDEX($B$27:$GQ$27,MATCH(93,$B$29:$GQ$29,0))</f>
        <v/>
      </c>
      <c r="CQ13">
        <f>INDEX($B$27:$GQ$27,MATCH(94,$B$29:$GQ$29,0))</f>
        <v/>
      </c>
      <c r="CR13">
        <f>INDEX($B$27:$GQ$27,MATCH(95,$B$29:$GQ$29,0))</f>
        <v/>
      </c>
      <c r="CS13">
        <f>INDEX($B$27:$GQ$27,MATCH(96,$B$29:$GQ$29,0))</f>
        <v/>
      </c>
      <c r="CT13">
        <f>INDEX($B$27:$GQ$27,MATCH(97,$B$29:$GQ$29,0))</f>
        <v/>
      </c>
      <c r="CU13">
        <f>INDEX($B$27:$GQ$27,MATCH(98,$B$29:$GQ$29,0))</f>
        <v/>
      </c>
      <c r="CV13">
        <f>INDEX($B$27:$GQ$27,MATCH(99,$B$29:$GQ$29,0))</f>
        <v/>
      </c>
      <c r="CW13">
        <f>INDEX($B$27:$GQ$27,MATCH(100,$B$29:$GQ$29,0))</f>
        <v/>
      </c>
      <c r="CX13">
        <f>INDEX($B$27:$GQ$27,MATCH(101,$B$29:$GQ$29,0))</f>
        <v/>
      </c>
      <c r="CY13">
        <f>INDEX($B$27:$GQ$27,MATCH(102,$B$29:$GQ$29,0))</f>
        <v/>
      </c>
      <c r="CZ13">
        <f>INDEX($B$27:$GQ$27,MATCH(103,$B$29:$GQ$29,0))</f>
        <v/>
      </c>
      <c r="DA13">
        <f>INDEX($B$27:$GQ$27,MATCH(104,$B$29:$GQ$29,0))</f>
        <v/>
      </c>
      <c r="DB13">
        <f>INDEX($B$27:$GQ$27,MATCH(105,$B$29:$GQ$29,0))</f>
        <v/>
      </c>
      <c r="DC13">
        <f>INDEX($B$27:$GQ$27,MATCH(106,$B$29:$GQ$29,0))</f>
        <v/>
      </c>
      <c r="DD13">
        <f>INDEX($B$27:$GQ$27,MATCH(107,$B$29:$GQ$29,0))</f>
        <v/>
      </c>
      <c r="DE13">
        <f>INDEX($B$27:$GQ$27,MATCH(108,$B$29:$GQ$29,0))</f>
        <v/>
      </c>
      <c r="DF13">
        <f>INDEX($B$27:$GQ$27,MATCH(109,$B$29:$GQ$29,0))</f>
        <v/>
      </c>
      <c r="DG13">
        <f>INDEX($B$27:$GQ$27,MATCH(110,$B$29:$GQ$29,0))</f>
        <v/>
      </c>
      <c r="DH13">
        <f>INDEX($B$27:$GQ$27,MATCH(111,$B$29:$GQ$29,0))</f>
        <v/>
      </c>
      <c r="DI13">
        <f>INDEX($B$27:$GQ$27,MATCH(112,$B$29:$GQ$29,0))</f>
        <v/>
      </c>
      <c r="DJ13">
        <f>INDEX($B$27:$GQ$27,MATCH(113,$B$29:$GQ$29,0))</f>
        <v/>
      </c>
      <c r="DK13">
        <f>INDEX($B$27:$GQ$27,MATCH(114,$B$29:$GQ$29,0))</f>
        <v/>
      </c>
      <c r="DL13">
        <f>INDEX($B$27:$GQ$27,MATCH(115,$B$29:$GQ$29,0))</f>
        <v/>
      </c>
      <c r="DM13">
        <f>INDEX($B$27:$GQ$27,MATCH(116,$B$29:$GQ$29,0))</f>
        <v/>
      </c>
      <c r="DN13">
        <f>INDEX($B$27:$GQ$27,MATCH(117,$B$29:$GQ$29,0))</f>
        <v/>
      </c>
      <c r="DO13">
        <f>INDEX($B$27:$GQ$27,MATCH(118,$B$29:$GQ$29,0))</f>
        <v/>
      </c>
      <c r="DP13">
        <f>INDEX($B$27:$GQ$27,MATCH(119,$B$29:$GQ$29,0))</f>
        <v/>
      </c>
      <c r="DQ13">
        <f>INDEX($B$27:$GQ$27,MATCH(120,$B$29:$GQ$29,0))</f>
        <v/>
      </c>
      <c r="DR13">
        <f>INDEX($B$27:$GQ$27,MATCH(121,$B$29:$GQ$29,0))</f>
        <v/>
      </c>
      <c r="DS13">
        <f>INDEX($B$27:$GQ$27,MATCH(122,$B$29:$GQ$29,0))</f>
        <v/>
      </c>
      <c r="DT13">
        <f>INDEX($B$27:$GQ$27,MATCH(123,$B$29:$GQ$29,0))</f>
        <v/>
      </c>
      <c r="DU13">
        <f>INDEX($B$27:$GQ$27,MATCH(124,$B$29:$GQ$29,0))</f>
        <v/>
      </c>
      <c r="DV13">
        <f>INDEX($B$27:$GQ$27,MATCH(125,$B$29:$GQ$29,0))</f>
        <v/>
      </c>
      <c r="DW13">
        <f>INDEX($B$27:$GQ$27,MATCH(126,$B$29:$GQ$29,0))</f>
        <v/>
      </c>
      <c r="DX13">
        <f>INDEX($B$27:$GQ$27,MATCH(127,$B$29:$GQ$29,0))</f>
        <v/>
      </c>
      <c r="DY13">
        <f>INDEX($B$27:$GQ$27,MATCH(128,$B$29:$GQ$29,0))</f>
        <v/>
      </c>
      <c r="DZ13">
        <f>INDEX($B$27:$GQ$27,MATCH(129,$B$29:$GQ$29,0))</f>
        <v/>
      </c>
      <c r="EA13">
        <f>INDEX($B$27:$GQ$27,MATCH(130,$B$29:$GQ$29,0))</f>
        <v/>
      </c>
      <c r="EB13">
        <f>INDEX($B$27:$GQ$27,MATCH(131,$B$29:$GQ$29,0))</f>
        <v/>
      </c>
      <c r="EC13">
        <f>INDEX($B$27:$GQ$27,MATCH(132,$B$29:$GQ$29,0))</f>
        <v/>
      </c>
      <c r="ED13">
        <f>INDEX($B$27:$GQ$27,MATCH(133,$B$29:$GQ$29,0))</f>
        <v/>
      </c>
      <c r="EE13">
        <f>INDEX($B$27:$GQ$27,MATCH(134,$B$29:$GQ$29,0))</f>
        <v/>
      </c>
      <c r="EF13">
        <f>INDEX($B$27:$GQ$27,MATCH(135,$B$29:$GQ$29,0))</f>
        <v/>
      </c>
      <c r="EG13">
        <f>INDEX($B$27:$GQ$27,MATCH(136,$B$29:$GQ$29,0))</f>
        <v/>
      </c>
      <c r="EH13">
        <f>INDEX($B$27:$GQ$27,MATCH(137,$B$29:$GQ$29,0))</f>
        <v/>
      </c>
      <c r="EI13">
        <f>INDEX($B$27:$GQ$27,MATCH(138,$B$29:$GQ$29,0))</f>
        <v/>
      </c>
      <c r="EJ13">
        <f>INDEX($B$27:$GQ$27,MATCH(139,$B$29:$GQ$29,0))</f>
        <v/>
      </c>
      <c r="EK13">
        <f>INDEX($B$27:$GQ$27,MATCH(140,$B$29:$GQ$29,0))</f>
        <v/>
      </c>
      <c r="EL13">
        <f>INDEX($B$27:$GQ$27,MATCH(141,$B$29:$GQ$29,0))</f>
        <v/>
      </c>
      <c r="EM13">
        <f>INDEX($B$27:$GQ$27,MATCH(142,$B$29:$GQ$29,0))</f>
        <v/>
      </c>
      <c r="EN13">
        <f>INDEX($B$27:$GQ$27,MATCH(143,$B$29:$GQ$29,0))</f>
        <v/>
      </c>
      <c r="EO13">
        <f>INDEX($B$27:$GQ$27,MATCH(144,$B$29:$GQ$29,0))</f>
        <v/>
      </c>
      <c r="EP13">
        <f>INDEX($B$27:$GQ$27,MATCH(145,$B$29:$GQ$29,0))</f>
        <v/>
      </c>
      <c r="EQ13">
        <f>INDEX($B$27:$GQ$27,MATCH(146,$B$29:$GQ$29,0))</f>
        <v/>
      </c>
      <c r="ER13">
        <f>INDEX($B$27:$GQ$27,MATCH(147,$B$29:$GQ$29,0))</f>
        <v/>
      </c>
      <c r="ES13">
        <f>INDEX($B$27:$GQ$27,MATCH(148,$B$29:$GQ$29,0))</f>
        <v/>
      </c>
      <c r="ET13">
        <f>INDEX($B$27:$GQ$27,MATCH(149,$B$29:$GQ$29,0))</f>
        <v/>
      </c>
      <c r="EU13">
        <f>INDEX($B$27:$GQ$27,MATCH(150,$B$29:$GQ$29,0))</f>
        <v/>
      </c>
      <c r="EV13">
        <f>INDEX($B$27:$GQ$27,MATCH(151,$B$29:$GQ$29,0))</f>
        <v/>
      </c>
      <c r="EW13">
        <f>INDEX($B$27:$GQ$27,MATCH(152,$B$29:$GQ$29,0))</f>
        <v/>
      </c>
      <c r="EX13">
        <f>INDEX($B$27:$GQ$27,MATCH(153,$B$29:$GQ$29,0))</f>
        <v/>
      </c>
      <c r="EY13">
        <f>INDEX($B$27:$GQ$27,MATCH(154,$B$29:$GQ$29,0))</f>
        <v/>
      </c>
      <c r="EZ13">
        <f>INDEX($B$27:$GQ$27,MATCH(155,$B$29:$GQ$29,0))</f>
        <v/>
      </c>
      <c r="FA13">
        <f>INDEX($B$27:$GQ$27,MATCH(156,$B$29:$GQ$29,0))</f>
        <v/>
      </c>
      <c r="FB13">
        <f>INDEX($B$27:$GQ$27,MATCH(157,$B$29:$GQ$29,0))</f>
        <v/>
      </c>
      <c r="FC13">
        <f>INDEX($B$27:$GQ$27,MATCH(158,$B$29:$GQ$29,0))</f>
        <v/>
      </c>
      <c r="FD13">
        <f>INDEX($B$27:$GQ$27,MATCH(159,$B$29:$GQ$29,0))</f>
        <v/>
      </c>
      <c r="FE13">
        <f>INDEX($B$27:$GQ$27,MATCH(160,$B$29:$GQ$29,0))</f>
        <v/>
      </c>
      <c r="FF13">
        <f>INDEX($B$27:$GQ$27,MATCH(161,$B$29:$GQ$29,0))</f>
        <v/>
      </c>
      <c r="FG13">
        <f>INDEX($B$27:$GQ$27,MATCH(162,$B$29:$GQ$29,0))</f>
        <v/>
      </c>
      <c r="FH13">
        <f>INDEX($B$27:$GQ$27,MATCH(163,$B$29:$GQ$29,0))</f>
        <v/>
      </c>
      <c r="FI13">
        <f>INDEX($B$27:$GQ$27,MATCH(164,$B$29:$GQ$29,0))</f>
        <v/>
      </c>
      <c r="FJ13">
        <f>INDEX($B$27:$GQ$27,MATCH(165,$B$29:$GQ$29,0))</f>
        <v/>
      </c>
      <c r="FK13">
        <f>INDEX($B$27:$GQ$27,MATCH(166,$B$29:$GQ$29,0))</f>
        <v/>
      </c>
      <c r="FL13">
        <f>INDEX($B$27:$GQ$27,MATCH(167,$B$29:$GQ$29,0))</f>
        <v/>
      </c>
      <c r="FM13">
        <f>INDEX($B$27:$GQ$27,MATCH(168,$B$29:$GQ$29,0))</f>
        <v/>
      </c>
      <c r="FN13">
        <f>INDEX($B$27:$GQ$27,MATCH(169,$B$29:$GQ$29,0))</f>
        <v/>
      </c>
      <c r="FO13">
        <f>INDEX($B$27:$GQ$27,MATCH(170,$B$29:$GQ$29,0))</f>
        <v/>
      </c>
      <c r="FP13">
        <f>INDEX($B$27:$GQ$27,MATCH(171,$B$29:$GQ$29,0))</f>
        <v/>
      </c>
      <c r="FQ13">
        <f>INDEX($B$27:$GQ$27,MATCH(172,$B$29:$GQ$29,0))</f>
        <v/>
      </c>
      <c r="FR13">
        <f>INDEX($B$27:$GQ$27,MATCH(173,$B$29:$GQ$29,0))</f>
        <v/>
      </c>
      <c r="FS13">
        <f>INDEX($B$27:$GQ$27,MATCH(174,$B$29:$GQ$29,0))</f>
        <v/>
      </c>
      <c r="FT13">
        <f>INDEX($B$27:$GQ$27,MATCH(175,$B$29:$GQ$29,0))</f>
        <v/>
      </c>
      <c r="FU13">
        <f>INDEX($B$27:$GQ$27,MATCH(176,$B$29:$GQ$29,0))</f>
        <v/>
      </c>
      <c r="FV13">
        <f>INDEX($B$27:$GQ$27,MATCH(177,$B$29:$GQ$29,0))</f>
        <v/>
      </c>
      <c r="FW13">
        <f>INDEX($B$27:$GQ$27,MATCH(178,$B$29:$GQ$29,0))</f>
        <v/>
      </c>
      <c r="FX13">
        <f>INDEX($B$27:$GQ$27,MATCH(179,$B$29:$GQ$29,0))</f>
        <v/>
      </c>
      <c r="FY13">
        <f>INDEX($B$27:$GQ$27,MATCH(180,$B$29:$GQ$29,0))</f>
        <v/>
      </c>
      <c r="FZ13">
        <f>INDEX($B$27:$GQ$27,MATCH(181,$B$29:$GQ$29,0))</f>
        <v/>
      </c>
      <c r="GA13">
        <f>INDEX($B$27:$GQ$27,MATCH(182,$B$29:$GQ$29,0))</f>
        <v/>
      </c>
      <c r="GB13">
        <f>INDEX($B$27:$GQ$27,MATCH(183,$B$29:$GQ$29,0))</f>
        <v/>
      </c>
      <c r="GC13">
        <f>INDEX($B$27:$GQ$27,MATCH(184,$B$29:$GQ$29,0))</f>
        <v/>
      </c>
      <c r="GD13">
        <f>INDEX($B$27:$GQ$27,MATCH(185,$B$29:$GQ$29,0))</f>
        <v/>
      </c>
      <c r="GE13">
        <f>INDEX($B$27:$GQ$27,MATCH(186,$B$29:$GQ$29,0))</f>
        <v/>
      </c>
      <c r="GF13">
        <f>INDEX($B$27:$GQ$27,MATCH(187,$B$29:$GQ$29,0))</f>
        <v/>
      </c>
      <c r="GG13">
        <f>INDEX($B$27:$GQ$27,MATCH(188,$B$29:$GQ$29,0))</f>
        <v/>
      </c>
      <c r="GH13">
        <f>INDEX($B$27:$GQ$27,MATCH(189,$B$29:$GQ$29,0))</f>
        <v/>
      </c>
      <c r="GI13">
        <f>INDEX($B$27:$GQ$27,MATCH(190,$B$29:$GQ$29,0))</f>
        <v/>
      </c>
      <c r="GJ13">
        <f>INDEX($B$27:$GQ$27,MATCH(191,$B$29:$GQ$29,0))</f>
        <v/>
      </c>
      <c r="GK13">
        <f>INDEX($B$27:$GQ$27,MATCH(192,$B$29:$GQ$29,0))</f>
        <v/>
      </c>
      <c r="GL13">
        <f>INDEX($B$27:$GQ$27,MATCH(193,$B$29:$GQ$29,0))</f>
        <v/>
      </c>
      <c r="GM13">
        <f>INDEX($B$27:$GQ$27,MATCH(194,$B$29:$GQ$29,0))</f>
        <v/>
      </c>
      <c r="GN13">
        <f>INDEX($B$27:$GQ$27,MATCH(195,$B$29:$GQ$29,0))</f>
        <v/>
      </c>
      <c r="GO13">
        <f>INDEX($B$27:$GQ$27,MATCH(196,$B$29:$GQ$29,0))</f>
        <v/>
      </c>
      <c r="GP13">
        <f>INDEX($B$27:$GQ$27,MATCH(197,$B$29:$GQ$29,0))</f>
        <v/>
      </c>
      <c r="GQ13">
        <f>INDEX($B$27:$GQ$27,MATCH(198,$B$29:$GQ$29,0))</f>
        <v/>
      </c>
      <c r="GR13">
        <f>INDEX($GR$27:$HC$27,MATCH(1,$GR$30:$HC$30,0))</f>
        <v/>
      </c>
      <c r="GS13">
        <f>INDEX($GR$27:$HC$27,MATCH(2,$GR$30:$HC$30,0))</f>
        <v/>
      </c>
      <c r="GT13">
        <f>INDEX($GR$27:$HC$27,MATCH(3,$GR$30:$HC$30,0))</f>
        <v/>
      </c>
      <c r="GU13">
        <f>INDEX($GR$27:$HC$27,MATCH(4,$GR$30:$HC$30,0))</f>
        <v/>
      </c>
      <c r="GV13">
        <f>INDEX($GR$27:$HC$27,MATCH(5,$GR$30:$HC$30,0))</f>
        <v/>
      </c>
      <c r="GW13">
        <f>INDEX($GR$27:$HC$27,MATCH(6,$GR$30:$HC$30,0))</f>
        <v/>
      </c>
      <c r="GX13">
        <f>INDEX($GR$27:$HC$27,MATCH(7,$GR$30:$HC$30,0))</f>
        <v/>
      </c>
      <c r="GY13">
        <f>INDEX($GR$27:$HC$27,MATCH(8,$GR$30:$HC$30,0))</f>
        <v/>
      </c>
      <c r="GZ13">
        <f>INDEX($GR$27:$HC$27,MATCH(9,$GR$30:$HC$30,0))</f>
        <v/>
      </c>
      <c r="HA13">
        <f>INDEX($GR$27:$HC$27,MATCH(10,$GR$30:$HC$30,0))</f>
        <v/>
      </c>
      <c r="HB13">
        <f>INDEX($GR$27:$HC$27,MATCH(11,$GR$30:$HC$30,0))</f>
        <v/>
      </c>
      <c r="HC13">
        <f>INDEX($GR$27:$HC$27,MATCH(12,$GR$30:$HC$30,0))</f>
        <v/>
      </c>
    </row>
    <row r="14">
      <c r="A14" s="2">
        <f>"Part de "&amp;$B$1&amp;" (%)"</f>
        <v/>
      </c>
      <c r="B14" s="3">
        <f>IFERROR(INDEX($B$28:$GQ$28,MATCH(1,$B$29:$GQ$29,0))/SUM($B$28:$GQ$28)*100,0)</f>
        <v/>
      </c>
      <c r="C14" s="3">
        <f>IFERROR(INDEX($B$28:$GQ$28,MATCH(2,$B$29:$GQ$29,0))/SUM($B$28:$GQ$28)*100,0)</f>
        <v/>
      </c>
      <c r="D14" s="3">
        <f>IFERROR(INDEX($B$28:$GQ$28,MATCH(3,$B$29:$GQ$29,0))/SUM($B$28:$GQ$28)*100,0)</f>
        <v/>
      </c>
      <c r="E14" s="3">
        <f>IFERROR(INDEX($B$28:$GQ$28,MATCH(4,$B$29:$GQ$29,0))/SUM($B$28:$GQ$28)*100,0)</f>
        <v/>
      </c>
      <c r="F14" s="3">
        <f>IFERROR(INDEX($B$28:$GQ$28,MATCH(5,$B$29:$GQ$29,0))/SUM($B$28:$GQ$28)*100,0)</f>
        <v/>
      </c>
      <c r="G14" s="3">
        <f>IFERROR(INDEX($B$28:$GQ$28,MATCH(6,$B$29:$GQ$29,0))/SUM($B$28:$GQ$28)*100,0)</f>
        <v/>
      </c>
      <c r="H14" s="3">
        <f>IFERROR(INDEX($B$28:$GQ$28,MATCH(7,$B$29:$GQ$29,0))/SUM($B$28:$GQ$28)*100,0)</f>
        <v/>
      </c>
      <c r="I14" s="3">
        <f>IFERROR(INDEX($B$28:$GQ$28,MATCH(8,$B$29:$GQ$29,0))/SUM($B$28:$GQ$28)*100,0)</f>
        <v/>
      </c>
      <c r="J14" s="3">
        <f>IFERROR(INDEX($B$28:$GQ$28,MATCH(9,$B$29:$GQ$29,0))/SUM($B$28:$GQ$28)*100,0)</f>
        <v/>
      </c>
      <c r="K14" s="3">
        <f>IFERROR(INDEX($B$28:$GQ$28,MATCH(10,$B$29:$GQ$29,0))/SUM($B$28:$GQ$28)*100,0)</f>
        <v/>
      </c>
      <c r="L14" s="3">
        <f>IFERROR(INDEX($B$28:$GQ$28,MATCH(11,$B$29:$GQ$29,0))/SUM($B$28:$GQ$28)*100,0)</f>
        <v/>
      </c>
      <c r="M14" s="3">
        <f>IFERROR(INDEX($B$28:$GQ$28,MATCH(12,$B$29:$GQ$29,0))/SUM($B$28:$GQ$28)*100,0)</f>
        <v/>
      </c>
      <c r="N14" s="3">
        <f>IFERROR(INDEX($B$28:$GQ$28,MATCH(13,$B$29:$GQ$29,0))/SUM($B$28:$GQ$28)*100,0)</f>
        <v/>
      </c>
      <c r="O14" s="3">
        <f>IFERROR(INDEX($B$28:$GQ$28,MATCH(14,$B$29:$GQ$29,0))/SUM($B$28:$GQ$28)*100,0)</f>
        <v/>
      </c>
      <c r="P14" s="3">
        <f>IFERROR(INDEX($B$28:$GQ$28,MATCH(15,$B$29:$GQ$29,0))/SUM($B$28:$GQ$28)*100,0)</f>
        <v/>
      </c>
      <c r="Q14" s="3">
        <f>IFERROR(INDEX($B$28:$GQ$28,MATCH(16,$B$29:$GQ$29,0))/SUM($B$28:$GQ$28)*100,0)</f>
        <v/>
      </c>
      <c r="R14" s="3">
        <f>IFERROR(INDEX($B$28:$GQ$28,MATCH(17,$B$29:$GQ$29,0))/SUM($B$28:$GQ$28)*100,0)</f>
        <v/>
      </c>
      <c r="S14" s="3">
        <f>IFERROR(INDEX($B$28:$GQ$28,MATCH(18,$B$29:$GQ$29,0))/SUM($B$28:$GQ$28)*100,0)</f>
        <v/>
      </c>
      <c r="T14" s="3">
        <f>IFERROR(INDEX($B$28:$GQ$28,MATCH(19,$B$29:$GQ$29,0))/SUM($B$28:$GQ$28)*100,0)</f>
        <v/>
      </c>
      <c r="U14" s="3">
        <f>IFERROR(INDEX($B$28:$GQ$28,MATCH(20,$B$29:$GQ$29,0))/SUM($B$28:$GQ$28)*100,0)</f>
        <v/>
      </c>
      <c r="V14" s="3">
        <f>IFERROR(INDEX($B$28:$GQ$28,MATCH(21,$B$29:$GQ$29,0))/SUM($B$28:$GQ$28)*100,0)</f>
        <v/>
      </c>
      <c r="W14" s="3">
        <f>IFERROR(INDEX($B$28:$GQ$28,MATCH(22,$B$29:$GQ$29,0))/SUM($B$28:$GQ$28)*100,0)</f>
        <v/>
      </c>
      <c r="X14" s="3">
        <f>IFERROR(INDEX($B$28:$GQ$28,MATCH(23,$B$29:$GQ$29,0))/SUM($B$28:$GQ$28)*100,0)</f>
        <v/>
      </c>
      <c r="Y14" s="3">
        <f>IFERROR(INDEX($B$28:$GQ$28,MATCH(24,$B$29:$GQ$29,0))/SUM($B$28:$GQ$28)*100,0)</f>
        <v/>
      </c>
      <c r="Z14" s="3">
        <f>IFERROR(INDEX($B$28:$GQ$28,MATCH(25,$B$29:$GQ$29,0))/SUM($B$28:$GQ$28)*100,0)</f>
        <v/>
      </c>
      <c r="AA14" s="3">
        <f>IFERROR(INDEX($B$28:$GQ$28,MATCH(26,$B$29:$GQ$29,0))/SUM($B$28:$GQ$28)*100,0)</f>
        <v/>
      </c>
      <c r="AB14" s="3">
        <f>IFERROR(INDEX($B$28:$GQ$28,MATCH(27,$B$29:$GQ$29,0))/SUM($B$28:$GQ$28)*100,0)</f>
        <v/>
      </c>
      <c r="AC14" s="3">
        <f>IFERROR(INDEX($B$28:$GQ$28,MATCH(28,$B$29:$GQ$29,0))/SUM($B$28:$GQ$28)*100,0)</f>
        <v/>
      </c>
      <c r="AD14" s="3">
        <f>IFERROR(INDEX($B$28:$GQ$28,MATCH(29,$B$29:$GQ$29,0))/SUM($B$28:$GQ$28)*100,0)</f>
        <v/>
      </c>
      <c r="AE14" s="3">
        <f>IFERROR(INDEX($B$28:$GQ$28,MATCH(30,$B$29:$GQ$29,0))/SUM($B$28:$GQ$28)*100,0)</f>
        <v/>
      </c>
      <c r="AF14" s="3">
        <f>IFERROR(INDEX($B$28:$GQ$28,MATCH(31,$B$29:$GQ$29,0))/SUM($B$28:$GQ$28)*100,0)</f>
        <v/>
      </c>
      <c r="AG14" s="3">
        <f>IFERROR(INDEX($B$28:$GQ$28,MATCH(32,$B$29:$GQ$29,0))/SUM($B$28:$GQ$28)*100,0)</f>
        <v/>
      </c>
      <c r="AH14" s="3">
        <f>IFERROR(INDEX($B$28:$GQ$28,MATCH(33,$B$29:$GQ$29,0))/SUM($B$28:$GQ$28)*100,0)</f>
        <v/>
      </c>
      <c r="AI14" s="3">
        <f>IFERROR(INDEX($B$28:$GQ$28,MATCH(34,$B$29:$GQ$29,0))/SUM($B$28:$GQ$28)*100,0)</f>
        <v/>
      </c>
      <c r="AJ14" s="3">
        <f>IFERROR(INDEX($B$28:$GQ$28,MATCH(35,$B$29:$GQ$29,0))/SUM($B$28:$GQ$28)*100,0)</f>
        <v/>
      </c>
      <c r="AK14" s="3">
        <f>IFERROR(INDEX($B$28:$GQ$28,MATCH(36,$B$29:$GQ$29,0))/SUM($B$28:$GQ$28)*100,0)</f>
        <v/>
      </c>
      <c r="AL14" s="3">
        <f>IFERROR(INDEX($B$28:$GQ$28,MATCH(37,$B$29:$GQ$29,0))/SUM($B$28:$GQ$28)*100,0)</f>
        <v/>
      </c>
      <c r="AM14" s="3">
        <f>IFERROR(INDEX($B$28:$GQ$28,MATCH(38,$B$29:$GQ$29,0))/SUM($B$28:$GQ$28)*100,0)</f>
        <v/>
      </c>
      <c r="AN14" s="3">
        <f>IFERROR(INDEX($B$28:$GQ$28,MATCH(39,$B$29:$GQ$29,0))/SUM($B$28:$GQ$28)*100,0)</f>
        <v/>
      </c>
      <c r="AO14" s="3">
        <f>IFERROR(INDEX($B$28:$GQ$28,MATCH(40,$B$29:$GQ$29,0))/SUM($B$28:$GQ$28)*100,0)</f>
        <v/>
      </c>
      <c r="AP14" s="3">
        <f>IFERROR(INDEX($B$28:$GQ$28,MATCH(41,$B$29:$GQ$29,0))/SUM($B$28:$GQ$28)*100,0)</f>
        <v/>
      </c>
      <c r="AQ14" s="3">
        <f>IFERROR(INDEX($B$28:$GQ$28,MATCH(42,$B$29:$GQ$29,0))/SUM($B$28:$GQ$28)*100,0)</f>
        <v/>
      </c>
      <c r="AR14" s="3">
        <f>IFERROR(INDEX($B$28:$GQ$28,MATCH(43,$B$29:$GQ$29,0))/SUM($B$28:$GQ$28)*100,0)</f>
        <v/>
      </c>
      <c r="AS14" s="3">
        <f>IFERROR(INDEX($B$28:$GQ$28,MATCH(44,$B$29:$GQ$29,0))/SUM($B$28:$GQ$28)*100,0)</f>
        <v/>
      </c>
      <c r="AT14" s="3">
        <f>IFERROR(INDEX($B$28:$GQ$28,MATCH(45,$B$29:$GQ$29,0))/SUM($B$28:$GQ$28)*100,0)</f>
        <v/>
      </c>
      <c r="AU14" s="3">
        <f>IFERROR(INDEX($B$28:$GQ$28,MATCH(46,$B$29:$GQ$29,0))/SUM($B$28:$GQ$28)*100,0)</f>
        <v/>
      </c>
      <c r="AV14" s="3">
        <f>IFERROR(INDEX($B$28:$GQ$28,MATCH(47,$B$29:$GQ$29,0))/SUM($B$28:$GQ$28)*100,0)</f>
        <v/>
      </c>
      <c r="AW14" s="3">
        <f>IFERROR(INDEX($B$28:$GQ$28,MATCH(48,$B$29:$GQ$29,0))/SUM($B$28:$GQ$28)*100,0)</f>
        <v/>
      </c>
      <c r="AX14" s="3">
        <f>IFERROR(INDEX($B$28:$GQ$28,MATCH(49,$B$29:$GQ$29,0))/SUM($B$28:$GQ$28)*100,0)</f>
        <v/>
      </c>
      <c r="AY14" s="3">
        <f>IFERROR(INDEX($B$28:$GQ$28,MATCH(50,$B$29:$GQ$29,0))/SUM($B$28:$GQ$28)*100,0)</f>
        <v/>
      </c>
      <c r="AZ14" s="3">
        <f>IFERROR(INDEX($B$28:$GQ$28,MATCH(51,$B$29:$GQ$29,0))/SUM($B$28:$GQ$28)*100,0)</f>
        <v/>
      </c>
      <c r="BA14" s="3">
        <f>IFERROR(INDEX($B$28:$GQ$28,MATCH(52,$B$29:$GQ$29,0))/SUM($B$28:$GQ$28)*100,0)</f>
        <v/>
      </c>
      <c r="BB14" s="3">
        <f>IFERROR(INDEX($B$28:$GQ$28,MATCH(53,$B$29:$GQ$29,0))/SUM($B$28:$GQ$28)*100,0)</f>
        <v/>
      </c>
      <c r="BC14" s="3">
        <f>IFERROR(INDEX($B$28:$GQ$28,MATCH(54,$B$29:$GQ$29,0))/SUM($B$28:$GQ$28)*100,0)</f>
        <v/>
      </c>
      <c r="BD14" s="3">
        <f>IFERROR(INDEX($B$28:$GQ$28,MATCH(55,$B$29:$GQ$29,0))/SUM($B$28:$GQ$28)*100,0)</f>
        <v/>
      </c>
      <c r="BE14" s="3">
        <f>IFERROR(INDEX($B$28:$GQ$28,MATCH(56,$B$29:$GQ$29,0))/SUM($B$28:$GQ$28)*100,0)</f>
        <v/>
      </c>
      <c r="BF14" s="3">
        <f>IFERROR(INDEX($B$28:$GQ$28,MATCH(57,$B$29:$GQ$29,0))/SUM($B$28:$GQ$28)*100,0)</f>
        <v/>
      </c>
      <c r="BG14" s="3">
        <f>IFERROR(INDEX($B$28:$GQ$28,MATCH(58,$B$29:$GQ$29,0))/SUM($B$28:$GQ$28)*100,0)</f>
        <v/>
      </c>
      <c r="BH14" s="3">
        <f>IFERROR(INDEX($B$28:$GQ$28,MATCH(59,$B$29:$GQ$29,0))/SUM($B$28:$GQ$28)*100,0)</f>
        <v/>
      </c>
      <c r="BI14" s="3">
        <f>IFERROR(INDEX($B$28:$GQ$28,MATCH(60,$B$29:$GQ$29,0))/SUM($B$28:$GQ$28)*100,0)</f>
        <v/>
      </c>
      <c r="BJ14" s="3">
        <f>IFERROR(INDEX($B$28:$GQ$28,MATCH(61,$B$29:$GQ$29,0))/SUM($B$28:$GQ$28)*100,0)</f>
        <v/>
      </c>
      <c r="BK14" s="3">
        <f>IFERROR(INDEX($B$28:$GQ$28,MATCH(62,$B$29:$GQ$29,0))/SUM($B$28:$GQ$28)*100,0)</f>
        <v/>
      </c>
      <c r="BL14" s="3">
        <f>IFERROR(INDEX($B$28:$GQ$28,MATCH(63,$B$29:$GQ$29,0))/SUM($B$28:$GQ$28)*100,0)</f>
        <v/>
      </c>
      <c r="BM14" s="3">
        <f>IFERROR(INDEX($B$28:$GQ$28,MATCH(64,$B$29:$GQ$29,0))/SUM($B$28:$GQ$28)*100,0)</f>
        <v/>
      </c>
      <c r="BN14" s="3">
        <f>IFERROR(INDEX($B$28:$GQ$28,MATCH(65,$B$29:$GQ$29,0))/SUM($B$28:$GQ$28)*100,0)</f>
        <v/>
      </c>
      <c r="BO14" s="3">
        <f>IFERROR(INDEX($B$28:$GQ$28,MATCH(66,$B$29:$GQ$29,0))/SUM($B$28:$GQ$28)*100,0)</f>
        <v/>
      </c>
      <c r="BP14" s="3">
        <f>IFERROR(INDEX($B$28:$GQ$28,MATCH(67,$B$29:$GQ$29,0))/SUM($B$28:$GQ$28)*100,0)</f>
        <v/>
      </c>
      <c r="BQ14" s="3">
        <f>IFERROR(INDEX($B$28:$GQ$28,MATCH(68,$B$29:$GQ$29,0))/SUM($B$28:$GQ$28)*100,0)</f>
        <v/>
      </c>
      <c r="BR14" s="3">
        <f>IFERROR(INDEX($B$28:$GQ$28,MATCH(69,$B$29:$GQ$29,0))/SUM($B$28:$GQ$28)*100,0)</f>
        <v/>
      </c>
      <c r="BS14" s="3">
        <f>IFERROR(INDEX($B$28:$GQ$28,MATCH(70,$B$29:$GQ$29,0))/SUM($B$28:$GQ$28)*100,0)</f>
        <v/>
      </c>
      <c r="BT14" s="3">
        <f>IFERROR(INDEX($B$28:$GQ$28,MATCH(71,$B$29:$GQ$29,0))/SUM($B$28:$GQ$28)*100,0)</f>
        <v/>
      </c>
      <c r="BU14" s="3">
        <f>IFERROR(INDEX($B$28:$GQ$28,MATCH(72,$B$29:$GQ$29,0))/SUM($B$28:$GQ$28)*100,0)</f>
        <v/>
      </c>
      <c r="BV14" s="3">
        <f>IFERROR(INDEX($B$28:$GQ$28,MATCH(73,$B$29:$GQ$29,0))/SUM($B$28:$GQ$28)*100,0)</f>
        <v/>
      </c>
      <c r="BW14" s="3">
        <f>IFERROR(INDEX($B$28:$GQ$28,MATCH(74,$B$29:$GQ$29,0))/SUM($B$28:$GQ$28)*100,0)</f>
        <v/>
      </c>
      <c r="BX14" s="3">
        <f>IFERROR(INDEX($B$28:$GQ$28,MATCH(75,$B$29:$GQ$29,0))/SUM($B$28:$GQ$28)*100,0)</f>
        <v/>
      </c>
      <c r="BY14" s="3">
        <f>IFERROR(INDEX($B$28:$GQ$28,MATCH(76,$B$29:$GQ$29,0))/SUM($B$28:$GQ$28)*100,0)</f>
        <v/>
      </c>
      <c r="BZ14" s="3">
        <f>IFERROR(INDEX($B$28:$GQ$28,MATCH(77,$B$29:$GQ$29,0))/SUM($B$28:$GQ$28)*100,0)</f>
        <v/>
      </c>
      <c r="CA14" s="3">
        <f>IFERROR(INDEX($B$28:$GQ$28,MATCH(78,$B$29:$GQ$29,0))/SUM($B$28:$GQ$28)*100,0)</f>
        <v/>
      </c>
      <c r="CB14" s="3">
        <f>IFERROR(INDEX($B$28:$GQ$28,MATCH(79,$B$29:$GQ$29,0))/SUM($B$28:$GQ$28)*100,0)</f>
        <v/>
      </c>
      <c r="CC14" s="3">
        <f>IFERROR(INDEX($B$28:$GQ$28,MATCH(80,$B$29:$GQ$29,0))/SUM($B$28:$GQ$28)*100,0)</f>
        <v/>
      </c>
      <c r="CD14" s="3">
        <f>IFERROR(INDEX($B$28:$GQ$28,MATCH(81,$B$29:$GQ$29,0))/SUM($B$28:$GQ$28)*100,0)</f>
        <v/>
      </c>
      <c r="CE14" s="3">
        <f>IFERROR(INDEX($B$28:$GQ$28,MATCH(82,$B$29:$GQ$29,0))/SUM($B$28:$GQ$28)*100,0)</f>
        <v/>
      </c>
      <c r="CF14" s="3">
        <f>IFERROR(INDEX($B$28:$GQ$28,MATCH(83,$B$29:$GQ$29,0))/SUM($B$28:$GQ$28)*100,0)</f>
        <v/>
      </c>
      <c r="CG14" s="3">
        <f>IFERROR(INDEX($B$28:$GQ$28,MATCH(84,$B$29:$GQ$29,0))/SUM($B$28:$GQ$28)*100,0)</f>
        <v/>
      </c>
      <c r="CH14" s="3">
        <f>IFERROR(INDEX($B$28:$GQ$28,MATCH(85,$B$29:$GQ$29,0))/SUM($B$28:$GQ$28)*100,0)</f>
        <v/>
      </c>
      <c r="CI14" s="3">
        <f>IFERROR(INDEX($B$28:$GQ$28,MATCH(86,$B$29:$GQ$29,0))/SUM($B$28:$GQ$28)*100,0)</f>
        <v/>
      </c>
      <c r="CJ14" s="3">
        <f>IFERROR(INDEX($B$28:$GQ$28,MATCH(87,$B$29:$GQ$29,0))/SUM($B$28:$GQ$28)*100,0)</f>
        <v/>
      </c>
      <c r="CK14" s="3">
        <f>IFERROR(INDEX($B$28:$GQ$28,MATCH(88,$B$29:$GQ$29,0))/SUM($B$28:$GQ$28)*100,0)</f>
        <v/>
      </c>
      <c r="CL14" s="3">
        <f>IFERROR(INDEX($B$28:$GQ$28,MATCH(89,$B$29:$GQ$29,0))/SUM($B$28:$GQ$28)*100,0)</f>
        <v/>
      </c>
      <c r="CM14" s="3">
        <f>IFERROR(INDEX($B$28:$GQ$28,MATCH(90,$B$29:$GQ$29,0))/SUM($B$28:$GQ$28)*100,0)</f>
        <v/>
      </c>
      <c r="CN14" s="3">
        <f>IFERROR(INDEX($B$28:$GQ$28,MATCH(91,$B$29:$GQ$29,0))/SUM($B$28:$GQ$28)*100,0)</f>
        <v/>
      </c>
      <c r="CO14" s="3">
        <f>IFERROR(INDEX($B$28:$GQ$28,MATCH(92,$B$29:$GQ$29,0))/SUM($B$28:$GQ$28)*100,0)</f>
        <v/>
      </c>
      <c r="CP14" s="3">
        <f>IFERROR(INDEX($B$28:$GQ$28,MATCH(93,$B$29:$GQ$29,0))/SUM($B$28:$GQ$28)*100,0)</f>
        <v/>
      </c>
      <c r="CQ14" s="3">
        <f>IFERROR(INDEX($B$28:$GQ$28,MATCH(94,$B$29:$GQ$29,0))/SUM($B$28:$GQ$28)*100,0)</f>
        <v/>
      </c>
      <c r="CR14" s="3">
        <f>IFERROR(INDEX($B$28:$GQ$28,MATCH(95,$B$29:$GQ$29,0))/SUM($B$28:$GQ$28)*100,0)</f>
        <v/>
      </c>
      <c r="CS14" s="3">
        <f>IFERROR(INDEX($B$28:$GQ$28,MATCH(96,$B$29:$GQ$29,0))/SUM($B$28:$GQ$28)*100,0)</f>
        <v/>
      </c>
      <c r="CT14" s="3">
        <f>IFERROR(INDEX($B$28:$GQ$28,MATCH(97,$B$29:$GQ$29,0))/SUM($B$28:$GQ$28)*100,0)</f>
        <v/>
      </c>
      <c r="CU14" s="3">
        <f>IFERROR(INDEX($B$28:$GQ$28,MATCH(98,$B$29:$GQ$29,0))/SUM($B$28:$GQ$28)*100,0)</f>
        <v/>
      </c>
      <c r="CV14" s="3">
        <f>IFERROR(INDEX($B$28:$GQ$28,MATCH(99,$B$29:$GQ$29,0))/SUM($B$28:$GQ$28)*100,0)</f>
        <v/>
      </c>
      <c r="CW14" s="3">
        <f>IFERROR(INDEX($B$28:$GQ$28,MATCH(100,$B$29:$GQ$29,0))/SUM($B$28:$GQ$28)*100,0)</f>
        <v/>
      </c>
      <c r="CX14" s="3">
        <f>IFERROR(INDEX($B$28:$GQ$28,MATCH(101,$B$29:$GQ$29,0))/SUM($B$28:$GQ$28)*100,0)</f>
        <v/>
      </c>
      <c r="CY14" s="3">
        <f>IFERROR(INDEX($B$28:$GQ$28,MATCH(102,$B$29:$GQ$29,0))/SUM($B$28:$GQ$28)*100,0)</f>
        <v/>
      </c>
      <c r="CZ14" s="3">
        <f>IFERROR(INDEX($B$28:$GQ$28,MATCH(103,$B$29:$GQ$29,0))/SUM($B$28:$GQ$28)*100,0)</f>
        <v/>
      </c>
      <c r="DA14" s="3">
        <f>IFERROR(INDEX($B$28:$GQ$28,MATCH(104,$B$29:$GQ$29,0))/SUM($B$28:$GQ$28)*100,0)</f>
        <v/>
      </c>
      <c r="DB14" s="3">
        <f>IFERROR(INDEX($B$28:$GQ$28,MATCH(105,$B$29:$GQ$29,0))/SUM($B$28:$GQ$28)*100,0)</f>
        <v/>
      </c>
      <c r="DC14" s="3">
        <f>IFERROR(INDEX($B$28:$GQ$28,MATCH(106,$B$29:$GQ$29,0))/SUM($B$28:$GQ$28)*100,0)</f>
        <v/>
      </c>
      <c r="DD14" s="3">
        <f>IFERROR(INDEX($B$28:$GQ$28,MATCH(107,$B$29:$GQ$29,0))/SUM($B$28:$GQ$28)*100,0)</f>
        <v/>
      </c>
      <c r="DE14" s="3">
        <f>IFERROR(INDEX($B$28:$GQ$28,MATCH(108,$B$29:$GQ$29,0))/SUM($B$28:$GQ$28)*100,0)</f>
        <v/>
      </c>
      <c r="DF14" s="3">
        <f>IFERROR(INDEX($B$28:$GQ$28,MATCH(109,$B$29:$GQ$29,0))/SUM($B$28:$GQ$28)*100,0)</f>
        <v/>
      </c>
      <c r="DG14" s="3">
        <f>IFERROR(INDEX($B$28:$GQ$28,MATCH(110,$B$29:$GQ$29,0))/SUM($B$28:$GQ$28)*100,0)</f>
        <v/>
      </c>
      <c r="DH14" s="3">
        <f>IFERROR(INDEX($B$28:$GQ$28,MATCH(111,$B$29:$GQ$29,0))/SUM($B$28:$GQ$28)*100,0)</f>
        <v/>
      </c>
      <c r="DI14" s="3">
        <f>IFERROR(INDEX($B$28:$GQ$28,MATCH(112,$B$29:$GQ$29,0))/SUM($B$28:$GQ$28)*100,0)</f>
        <v/>
      </c>
      <c r="DJ14" s="3">
        <f>IFERROR(INDEX($B$28:$GQ$28,MATCH(113,$B$29:$GQ$29,0))/SUM($B$28:$GQ$28)*100,0)</f>
        <v/>
      </c>
      <c r="DK14" s="3">
        <f>IFERROR(INDEX($B$28:$GQ$28,MATCH(114,$B$29:$GQ$29,0))/SUM($B$28:$GQ$28)*100,0)</f>
        <v/>
      </c>
      <c r="DL14" s="3">
        <f>IFERROR(INDEX($B$28:$GQ$28,MATCH(115,$B$29:$GQ$29,0))/SUM($B$28:$GQ$28)*100,0)</f>
        <v/>
      </c>
      <c r="DM14" s="3">
        <f>IFERROR(INDEX($B$28:$GQ$28,MATCH(116,$B$29:$GQ$29,0))/SUM($B$28:$GQ$28)*100,0)</f>
        <v/>
      </c>
      <c r="DN14" s="3">
        <f>IFERROR(INDEX($B$28:$GQ$28,MATCH(117,$B$29:$GQ$29,0))/SUM($B$28:$GQ$28)*100,0)</f>
        <v/>
      </c>
      <c r="DO14" s="3">
        <f>IFERROR(INDEX($B$28:$GQ$28,MATCH(118,$B$29:$GQ$29,0))/SUM($B$28:$GQ$28)*100,0)</f>
        <v/>
      </c>
      <c r="DP14" s="3">
        <f>IFERROR(INDEX($B$28:$GQ$28,MATCH(119,$B$29:$GQ$29,0))/SUM($B$28:$GQ$28)*100,0)</f>
        <v/>
      </c>
      <c r="DQ14" s="3">
        <f>IFERROR(INDEX($B$28:$GQ$28,MATCH(120,$B$29:$GQ$29,0))/SUM($B$28:$GQ$28)*100,0)</f>
        <v/>
      </c>
      <c r="DR14" s="3">
        <f>IFERROR(INDEX($B$28:$GQ$28,MATCH(121,$B$29:$GQ$29,0))/SUM($B$28:$GQ$28)*100,0)</f>
        <v/>
      </c>
      <c r="DS14" s="3">
        <f>IFERROR(INDEX($B$28:$GQ$28,MATCH(122,$B$29:$GQ$29,0))/SUM($B$28:$GQ$28)*100,0)</f>
        <v/>
      </c>
      <c r="DT14" s="3">
        <f>IFERROR(INDEX($B$28:$GQ$28,MATCH(123,$B$29:$GQ$29,0))/SUM($B$28:$GQ$28)*100,0)</f>
        <v/>
      </c>
      <c r="DU14" s="3">
        <f>IFERROR(INDEX($B$28:$GQ$28,MATCH(124,$B$29:$GQ$29,0))/SUM($B$28:$GQ$28)*100,0)</f>
        <v/>
      </c>
      <c r="DV14" s="3">
        <f>IFERROR(INDEX($B$28:$GQ$28,MATCH(125,$B$29:$GQ$29,0))/SUM($B$28:$GQ$28)*100,0)</f>
        <v/>
      </c>
      <c r="DW14" s="3">
        <f>IFERROR(INDEX($B$28:$GQ$28,MATCH(126,$B$29:$GQ$29,0))/SUM($B$28:$GQ$28)*100,0)</f>
        <v/>
      </c>
      <c r="DX14" s="3">
        <f>IFERROR(INDEX($B$28:$GQ$28,MATCH(127,$B$29:$GQ$29,0))/SUM($B$28:$GQ$28)*100,0)</f>
        <v/>
      </c>
      <c r="DY14" s="3">
        <f>IFERROR(INDEX($B$28:$GQ$28,MATCH(128,$B$29:$GQ$29,0))/SUM($B$28:$GQ$28)*100,0)</f>
        <v/>
      </c>
      <c r="DZ14" s="3">
        <f>IFERROR(INDEX($B$28:$GQ$28,MATCH(129,$B$29:$GQ$29,0))/SUM($B$28:$GQ$28)*100,0)</f>
        <v/>
      </c>
      <c r="EA14" s="3">
        <f>IFERROR(INDEX($B$28:$GQ$28,MATCH(130,$B$29:$GQ$29,0))/SUM($B$28:$GQ$28)*100,0)</f>
        <v/>
      </c>
      <c r="EB14" s="3">
        <f>IFERROR(INDEX($B$28:$GQ$28,MATCH(131,$B$29:$GQ$29,0))/SUM($B$28:$GQ$28)*100,0)</f>
        <v/>
      </c>
      <c r="EC14" s="3">
        <f>IFERROR(INDEX($B$28:$GQ$28,MATCH(132,$B$29:$GQ$29,0))/SUM($B$28:$GQ$28)*100,0)</f>
        <v/>
      </c>
      <c r="ED14" s="3">
        <f>IFERROR(INDEX($B$28:$GQ$28,MATCH(133,$B$29:$GQ$29,0))/SUM($B$28:$GQ$28)*100,0)</f>
        <v/>
      </c>
      <c r="EE14" s="3">
        <f>IFERROR(INDEX($B$28:$GQ$28,MATCH(134,$B$29:$GQ$29,0))/SUM($B$28:$GQ$28)*100,0)</f>
        <v/>
      </c>
      <c r="EF14" s="3">
        <f>IFERROR(INDEX($B$28:$GQ$28,MATCH(135,$B$29:$GQ$29,0))/SUM($B$28:$GQ$28)*100,0)</f>
        <v/>
      </c>
      <c r="EG14" s="3">
        <f>IFERROR(INDEX($B$28:$GQ$28,MATCH(136,$B$29:$GQ$29,0))/SUM($B$28:$GQ$28)*100,0)</f>
        <v/>
      </c>
      <c r="EH14" s="3">
        <f>IFERROR(INDEX($B$28:$GQ$28,MATCH(137,$B$29:$GQ$29,0))/SUM($B$28:$GQ$28)*100,0)</f>
        <v/>
      </c>
      <c r="EI14" s="3">
        <f>IFERROR(INDEX($B$28:$GQ$28,MATCH(138,$B$29:$GQ$29,0))/SUM($B$28:$GQ$28)*100,0)</f>
        <v/>
      </c>
      <c r="EJ14" s="3">
        <f>IFERROR(INDEX($B$28:$GQ$28,MATCH(139,$B$29:$GQ$29,0))/SUM($B$28:$GQ$28)*100,0)</f>
        <v/>
      </c>
      <c r="EK14" s="3">
        <f>IFERROR(INDEX($B$28:$GQ$28,MATCH(140,$B$29:$GQ$29,0))/SUM($B$28:$GQ$28)*100,0)</f>
        <v/>
      </c>
      <c r="EL14" s="3">
        <f>IFERROR(INDEX($B$28:$GQ$28,MATCH(141,$B$29:$GQ$29,0))/SUM($B$28:$GQ$28)*100,0)</f>
        <v/>
      </c>
      <c r="EM14" s="3">
        <f>IFERROR(INDEX($B$28:$GQ$28,MATCH(142,$B$29:$GQ$29,0))/SUM($B$28:$GQ$28)*100,0)</f>
        <v/>
      </c>
      <c r="EN14" s="3">
        <f>IFERROR(INDEX($B$28:$GQ$28,MATCH(143,$B$29:$GQ$29,0))/SUM($B$28:$GQ$28)*100,0)</f>
        <v/>
      </c>
      <c r="EO14" s="3">
        <f>IFERROR(INDEX($B$28:$GQ$28,MATCH(144,$B$29:$GQ$29,0))/SUM($B$28:$GQ$28)*100,0)</f>
        <v/>
      </c>
      <c r="EP14" s="3">
        <f>IFERROR(INDEX($B$28:$GQ$28,MATCH(145,$B$29:$GQ$29,0))/SUM($B$28:$GQ$28)*100,0)</f>
        <v/>
      </c>
      <c r="EQ14" s="3">
        <f>IFERROR(INDEX($B$28:$GQ$28,MATCH(146,$B$29:$GQ$29,0))/SUM($B$28:$GQ$28)*100,0)</f>
        <v/>
      </c>
      <c r="ER14" s="3">
        <f>IFERROR(INDEX($B$28:$GQ$28,MATCH(147,$B$29:$GQ$29,0))/SUM($B$28:$GQ$28)*100,0)</f>
        <v/>
      </c>
      <c r="ES14" s="3">
        <f>IFERROR(INDEX($B$28:$GQ$28,MATCH(148,$B$29:$GQ$29,0))/SUM($B$28:$GQ$28)*100,0)</f>
        <v/>
      </c>
      <c r="ET14" s="3">
        <f>IFERROR(INDEX($B$28:$GQ$28,MATCH(149,$B$29:$GQ$29,0))/SUM($B$28:$GQ$28)*100,0)</f>
        <v/>
      </c>
      <c r="EU14" s="3">
        <f>IFERROR(INDEX($B$28:$GQ$28,MATCH(150,$B$29:$GQ$29,0))/SUM($B$28:$GQ$28)*100,0)</f>
        <v/>
      </c>
      <c r="EV14" s="3">
        <f>IFERROR(INDEX($B$28:$GQ$28,MATCH(151,$B$29:$GQ$29,0))/SUM($B$28:$GQ$28)*100,0)</f>
        <v/>
      </c>
      <c r="EW14" s="3">
        <f>IFERROR(INDEX($B$28:$GQ$28,MATCH(152,$B$29:$GQ$29,0))/SUM($B$28:$GQ$28)*100,0)</f>
        <v/>
      </c>
      <c r="EX14" s="3">
        <f>IFERROR(INDEX($B$28:$GQ$28,MATCH(153,$B$29:$GQ$29,0))/SUM($B$28:$GQ$28)*100,0)</f>
        <v/>
      </c>
      <c r="EY14" s="3">
        <f>IFERROR(INDEX($B$28:$GQ$28,MATCH(154,$B$29:$GQ$29,0))/SUM($B$28:$GQ$28)*100,0)</f>
        <v/>
      </c>
      <c r="EZ14" s="3">
        <f>IFERROR(INDEX($B$28:$GQ$28,MATCH(155,$B$29:$GQ$29,0))/SUM($B$28:$GQ$28)*100,0)</f>
        <v/>
      </c>
      <c r="FA14" s="3">
        <f>IFERROR(INDEX($B$28:$GQ$28,MATCH(156,$B$29:$GQ$29,0))/SUM($B$28:$GQ$28)*100,0)</f>
        <v/>
      </c>
      <c r="FB14" s="3">
        <f>IFERROR(INDEX($B$28:$GQ$28,MATCH(157,$B$29:$GQ$29,0))/SUM($B$28:$GQ$28)*100,0)</f>
        <v/>
      </c>
      <c r="FC14" s="3">
        <f>IFERROR(INDEX($B$28:$GQ$28,MATCH(158,$B$29:$GQ$29,0))/SUM($B$28:$GQ$28)*100,0)</f>
        <v/>
      </c>
      <c r="FD14" s="3">
        <f>IFERROR(INDEX($B$28:$GQ$28,MATCH(159,$B$29:$GQ$29,0))/SUM($B$28:$GQ$28)*100,0)</f>
        <v/>
      </c>
      <c r="FE14" s="3">
        <f>IFERROR(INDEX($B$28:$GQ$28,MATCH(160,$B$29:$GQ$29,0))/SUM($B$28:$GQ$28)*100,0)</f>
        <v/>
      </c>
      <c r="FF14" s="3">
        <f>IFERROR(INDEX($B$28:$GQ$28,MATCH(161,$B$29:$GQ$29,0))/SUM($B$28:$GQ$28)*100,0)</f>
        <v/>
      </c>
      <c r="FG14" s="3">
        <f>IFERROR(INDEX($B$28:$GQ$28,MATCH(162,$B$29:$GQ$29,0))/SUM($B$28:$GQ$28)*100,0)</f>
        <v/>
      </c>
      <c r="FH14" s="3">
        <f>IFERROR(INDEX($B$28:$GQ$28,MATCH(163,$B$29:$GQ$29,0))/SUM($B$28:$GQ$28)*100,0)</f>
        <v/>
      </c>
      <c r="FI14" s="3">
        <f>IFERROR(INDEX($B$28:$GQ$28,MATCH(164,$B$29:$GQ$29,0))/SUM($B$28:$GQ$28)*100,0)</f>
        <v/>
      </c>
      <c r="FJ14" s="3">
        <f>IFERROR(INDEX($B$28:$GQ$28,MATCH(165,$B$29:$GQ$29,0))/SUM($B$28:$GQ$28)*100,0)</f>
        <v/>
      </c>
      <c r="FK14" s="3">
        <f>IFERROR(INDEX($B$28:$GQ$28,MATCH(166,$B$29:$GQ$29,0))/SUM($B$28:$GQ$28)*100,0)</f>
        <v/>
      </c>
      <c r="FL14" s="3">
        <f>IFERROR(INDEX($B$28:$GQ$28,MATCH(167,$B$29:$GQ$29,0))/SUM($B$28:$GQ$28)*100,0)</f>
        <v/>
      </c>
      <c r="FM14" s="3">
        <f>IFERROR(INDEX($B$28:$GQ$28,MATCH(168,$B$29:$GQ$29,0))/SUM($B$28:$GQ$28)*100,0)</f>
        <v/>
      </c>
      <c r="FN14" s="3">
        <f>IFERROR(INDEX($B$28:$GQ$28,MATCH(169,$B$29:$GQ$29,0))/SUM($B$28:$GQ$28)*100,0)</f>
        <v/>
      </c>
      <c r="FO14" s="3">
        <f>IFERROR(INDEX($B$28:$GQ$28,MATCH(170,$B$29:$GQ$29,0))/SUM($B$28:$GQ$28)*100,0)</f>
        <v/>
      </c>
      <c r="FP14" s="3">
        <f>IFERROR(INDEX($B$28:$GQ$28,MATCH(171,$B$29:$GQ$29,0))/SUM($B$28:$GQ$28)*100,0)</f>
        <v/>
      </c>
      <c r="FQ14" s="3">
        <f>IFERROR(INDEX($B$28:$GQ$28,MATCH(172,$B$29:$GQ$29,0))/SUM($B$28:$GQ$28)*100,0)</f>
        <v/>
      </c>
      <c r="FR14" s="3">
        <f>IFERROR(INDEX($B$28:$GQ$28,MATCH(173,$B$29:$GQ$29,0))/SUM($B$28:$GQ$28)*100,0)</f>
        <v/>
      </c>
      <c r="FS14" s="3">
        <f>IFERROR(INDEX($B$28:$GQ$28,MATCH(174,$B$29:$GQ$29,0))/SUM($B$28:$GQ$28)*100,0)</f>
        <v/>
      </c>
      <c r="FT14" s="3">
        <f>IFERROR(INDEX($B$28:$GQ$28,MATCH(175,$B$29:$GQ$29,0))/SUM($B$28:$GQ$28)*100,0)</f>
        <v/>
      </c>
      <c r="FU14" s="3">
        <f>IFERROR(INDEX($B$28:$GQ$28,MATCH(176,$B$29:$GQ$29,0))/SUM($B$28:$GQ$28)*100,0)</f>
        <v/>
      </c>
      <c r="FV14" s="3">
        <f>IFERROR(INDEX($B$28:$GQ$28,MATCH(177,$B$29:$GQ$29,0))/SUM($B$28:$GQ$28)*100,0)</f>
        <v/>
      </c>
      <c r="FW14" s="3">
        <f>IFERROR(INDEX($B$28:$GQ$28,MATCH(178,$B$29:$GQ$29,0))/SUM($B$28:$GQ$28)*100,0)</f>
        <v/>
      </c>
      <c r="FX14" s="3">
        <f>IFERROR(INDEX($B$28:$GQ$28,MATCH(179,$B$29:$GQ$29,0))/SUM($B$28:$GQ$28)*100,0)</f>
        <v/>
      </c>
      <c r="FY14" s="3">
        <f>IFERROR(INDEX($B$28:$GQ$28,MATCH(180,$B$29:$GQ$29,0))/SUM($B$28:$GQ$28)*100,0)</f>
        <v/>
      </c>
      <c r="FZ14" s="3">
        <f>IFERROR(INDEX($B$28:$GQ$28,MATCH(181,$B$29:$GQ$29,0))/SUM($B$28:$GQ$28)*100,0)</f>
        <v/>
      </c>
      <c r="GA14" s="3">
        <f>IFERROR(INDEX($B$28:$GQ$28,MATCH(182,$B$29:$GQ$29,0))/SUM($B$28:$GQ$28)*100,0)</f>
        <v/>
      </c>
      <c r="GB14" s="3">
        <f>IFERROR(INDEX($B$28:$GQ$28,MATCH(183,$B$29:$GQ$29,0))/SUM($B$28:$GQ$28)*100,0)</f>
        <v/>
      </c>
      <c r="GC14" s="3">
        <f>IFERROR(INDEX($B$28:$GQ$28,MATCH(184,$B$29:$GQ$29,0))/SUM($B$28:$GQ$28)*100,0)</f>
        <v/>
      </c>
      <c r="GD14" s="3">
        <f>IFERROR(INDEX($B$28:$GQ$28,MATCH(185,$B$29:$GQ$29,0))/SUM($B$28:$GQ$28)*100,0)</f>
        <v/>
      </c>
      <c r="GE14" s="3">
        <f>IFERROR(INDEX($B$28:$GQ$28,MATCH(186,$B$29:$GQ$29,0))/SUM($B$28:$GQ$28)*100,0)</f>
        <v/>
      </c>
      <c r="GF14" s="3">
        <f>IFERROR(INDEX($B$28:$GQ$28,MATCH(187,$B$29:$GQ$29,0))/SUM($B$28:$GQ$28)*100,0)</f>
        <v/>
      </c>
      <c r="GG14" s="3">
        <f>IFERROR(INDEX($B$28:$GQ$28,MATCH(188,$B$29:$GQ$29,0))/SUM($B$28:$GQ$28)*100,0)</f>
        <v/>
      </c>
      <c r="GH14" s="3">
        <f>IFERROR(INDEX($B$28:$GQ$28,MATCH(189,$B$29:$GQ$29,0))/SUM($B$28:$GQ$28)*100,0)</f>
        <v/>
      </c>
      <c r="GI14" s="3">
        <f>IFERROR(INDEX($B$28:$GQ$28,MATCH(190,$B$29:$GQ$29,0))/SUM($B$28:$GQ$28)*100,0)</f>
        <v/>
      </c>
      <c r="GJ14" s="3">
        <f>IFERROR(INDEX($B$28:$GQ$28,MATCH(191,$B$29:$GQ$29,0))/SUM($B$28:$GQ$28)*100,0)</f>
        <v/>
      </c>
      <c r="GK14" s="3">
        <f>IFERROR(INDEX($B$28:$GQ$28,MATCH(192,$B$29:$GQ$29,0))/SUM($B$28:$GQ$28)*100,0)</f>
        <v/>
      </c>
      <c r="GL14" s="3">
        <f>IFERROR(INDEX($B$28:$GQ$28,MATCH(193,$B$29:$GQ$29,0))/SUM($B$28:$GQ$28)*100,0)</f>
        <v/>
      </c>
      <c r="GM14" s="3">
        <f>IFERROR(INDEX($B$28:$GQ$28,MATCH(194,$B$29:$GQ$29,0))/SUM($B$28:$GQ$28)*100,0)</f>
        <v/>
      </c>
      <c r="GN14" s="3">
        <f>IFERROR(INDEX($B$28:$GQ$28,MATCH(195,$B$29:$GQ$29,0))/SUM($B$28:$GQ$28)*100,0)</f>
        <v/>
      </c>
      <c r="GO14" s="3">
        <f>IFERROR(INDEX($B$28:$GQ$28,MATCH(196,$B$29:$GQ$29,0))/SUM($B$28:$GQ$28)*100,0)</f>
        <v/>
      </c>
      <c r="GP14" s="3">
        <f>IFERROR(INDEX($B$28:$GQ$28,MATCH(197,$B$29:$GQ$29,0))/SUM($B$28:$GQ$28)*100,0)</f>
        <v/>
      </c>
      <c r="GQ14" s="3">
        <f>IFERROR(INDEX($B$28:$GQ$28,MATCH(198,$B$29:$GQ$29,0))/SUM($B$28:$GQ$28)*100,0)</f>
        <v/>
      </c>
      <c r="GR14" s="3">
        <f>IFERROR(INDEX($GR$28:$HC$28,MATCH(1,$GR$30:$HC$30,0))/SUM($GR$28:$HC$28)*100,0)</f>
        <v/>
      </c>
      <c r="GS14" s="3">
        <f>IFERROR(INDEX($GR$28:$HC$28,MATCH(2,$GR$30:$HC$30,0))/SUM($GR$28:$HC$28)*100,0)</f>
        <v/>
      </c>
      <c r="GT14" s="3">
        <f>IFERROR(INDEX($GR$28:$HC$28,MATCH(3,$GR$30:$HC$30,0))/SUM($GR$28:$HC$28)*100,0)</f>
        <v/>
      </c>
      <c r="GU14" s="3">
        <f>IFERROR(INDEX($GR$28:$HC$28,MATCH(4,$GR$30:$HC$30,0))/SUM($GR$28:$HC$28)*100,0)</f>
        <v/>
      </c>
      <c r="GV14" s="3">
        <f>IFERROR(INDEX($GR$28:$HC$28,MATCH(5,$GR$30:$HC$30,0))/SUM($GR$28:$HC$28)*100,0)</f>
        <v/>
      </c>
      <c r="GW14" s="3">
        <f>IFERROR(INDEX($GR$28:$HC$28,MATCH(6,$GR$30:$HC$30,0))/SUM($GR$28:$HC$28)*100,0)</f>
        <v/>
      </c>
      <c r="GX14" s="3">
        <f>IFERROR(INDEX($GR$28:$HC$28,MATCH(7,$GR$30:$HC$30,0))/SUM($GR$28:$HC$28)*100,0)</f>
        <v/>
      </c>
      <c r="GY14" s="3">
        <f>IFERROR(INDEX($GR$28:$HC$28,MATCH(8,$GR$30:$HC$30,0))/SUM($GR$28:$HC$28)*100,0)</f>
        <v/>
      </c>
      <c r="GZ14" s="3">
        <f>IFERROR(INDEX($GR$28:$HC$28,MATCH(9,$GR$30:$HC$30,0))/SUM($GR$28:$HC$28)*100,0)</f>
        <v/>
      </c>
      <c r="HA14" s="3">
        <f>IFERROR(INDEX($GR$28:$HC$28,MATCH(10,$GR$30:$HC$30,0))/SUM($GR$28:$HC$28)*100,0)</f>
        <v/>
      </c>
      <c r="HB14" s="3">
        <f>IFERROR(INDEX($GR$28:$HC$28,MATCH(11,$GR$30:$HC$30,0))/SUM($GR$28:$HC$28)*100,0)</f>
        <v/>
      </c>
      <c r="HC14" s="3">
        <f>IFERROR(INDEX($GR$28:$HC$28,MATCH(12,$GR$30:$HC$30,0))/SUM($GR$28:$HC$28)*100,0)</f>
        <v/>
      </c>
    </row>
    <row r="16">
      <c r="A16" s="1" t="inlineStr">
        <is>
          <t>Données sources (ordre du bridge, non triées)</t>
        </is>
      </c>
    </row>
    <row r="17">
      <c r="A17" s="1" t="inlineStr">
        <is>
          <t>Biodiversity loss - PDF</t>
        </is>
      </c>
      <c r="B17" s="1" t="inlineStr">
        <is>
          <t>Paddy rice</t>
        </is>
      </c>
      <c r="C17" s="1" t="inlineStr">
        <is>
          <t>Wheat</t>
        </is>
      </c>
      <c r="D17" s="1" t="inlineStr">
        <is>
          <t>Cereal grains nec</t>
        </is>
      </c>
      <c r="E17" s="1" t="inlineStr">
        <is>
          <t>Vegetables, fruit, nuts</t>
        </is>
      </c>
      <c r="F17" s="1" t="inlineStr">
        <is>
          <t>Oil seeds</t>
        </is>
      </c>
      <c r="G17" s="1" t="inlineStr">
        <is>
          <t>Sugar cane, sugar beet</t>
        </is>
      </c>
      <c r="H17" s="1" t="inlineStr">
        <is>
          <t>Plant-based fibers</t>
        </is>
      </c>
      <c r="I17" s="1" t="inlineStr">
        <is>
          <t>Crops nec</t>
        </is>
      </c>
      <c r="J17" s="1" t="inlineStr">
        <is>
          <t>Cattle</t>
        </is>
      </c>
      <c r="K17" s="1" t="inlineStr">
        <is>
          <t>Pigs</t>
        </is>
      </c>
      <c r="L17" s="1" t="inlineStr">
        <is>
          <t>Poultry</t>
        </is>
      </c>
      <c r="M17" s="1" t="inlineStr">
        <is>
          <t>Meat animals nec</t>
        </is>
      </c>
      <c r="N17" s="1" t="inlineStr">
        <is>
          <t>Animal products nec</t>
        </is>
      </c>
      <c r="O17" s="1" t="inlineStr">
        <is>
          <t>Raw milk</t>
        </is>
      </c>
      <c r="P17" s="1" t="inlineStr">
        <is>
          <t>Wool, silk-worm cocoons</t>
        </is>
      </c>
      <c r="Q17" s="1" t="inlineStr">
        <is>
          <t>Manure (conventional treatment)</t>
        </is>
      </c>
      <c r="R17" s="1" t="inlineStr">
        <is>
          <t>Manure (biogas treatment)</t>
        </is>
      </c>
      <c r="S17" s="1" t="inlineStr">
        <is>
          <t>Products of forestry, logging and related services (02)</t>
        </is>
      </c>
      <c r="T17" s="1" t="inlineStr">
        <is>
          <t>Fish and other fishing products; services incidental of fishing (05)</t>
        </is>
      </c>
      <c r="U17" s="1" t="inlineStr">
        <is>
          <t>Anthracite</t>
        </is>
      </c>
      <c r="V17" s="1" t="inlineStr">
        <is>
          <t>Coking Coal</t>
        </is>
      </c>
      <c r="W17" s="1" t="inlineStr">
        <is>
          <t>Other Bituminous Coal</t>
        </is>
      </c>
      <c r="X17" s="1" t="inlineStr">
        <is>
          <t>Sub-Bituminous Coal</t>
        </is>
      </c>
      <c r="Y17" s="1" t="inlineStr">
        <is>
          <t>Patent Fuel</t>
        </is>
      </c>
      <c r="Z17" s="1" t="inlineStr">
        <is>
          <t>Lignite/Brown Coal</t>
        </is>
      </c>
      <c r="AA17" s="1" t="inlineStr">
        <is>
          <t>BKB/Peat Briquettes</t>
        </is>
      </c>
      <c r="AB17" s="1" t="inlineStr">
        <is>
          <t>Peat</t>
        </is>
      </c>
      <c r="AC17" s="1" t="inlineStr">
        <is>
          <t>Crude petroleum and services related to crude oil extraction, excluding surveying</t>
        </is>
      </c>
      <c r="AD17" s="1" t="inlineStr">
        <is>
          <t>Natural gas and services related to natural gas extraction, excluding surveying</t>
        </is>
      </c>
      <c r="AE17" s="1" t="inlineStr">
        <is>
          <t>Natural Gas Liquids</t>
        </is>
      </c>
      <c r="AF17" s="1" t="inlineStr">
        <is>
          <t>Other Hydrocarbons</t>
        </is>
      </c>
      <c r="AG17" s="1" t="inlineStr">
        <is>
          <t>Uranium and thorium ores (12)</t>
        </is>
      </c>
      <c r="AH17" s="1" t="inlineStr">
        <is>
          <t>Iron ores</t>
        </is>
      </c>
      <c r="AI17" s="1" t="inlineStr">
        <is>
          <t>Copper ores and concentrates</t>
        </is>
      </c>
      <c r="AJ17" s="1" t="inlineStr">
        <is>
          <t>Nickel ores and concentrates</t>
        </is>
      </c>
      <c r="AK17" s="1" t="inlineStr">
        <is>
          <t>Aluminium ores and concentrates</t>
        </is>
      </c>
      <c r="AL17" s="1" t="inlineStr">
        <is>
          <t>Precious metal ores and concentrates</t>
        </is>
      </c>
      <c r="AM17" s="1" t="inlineStr">
        <is>
          <t>Lead, zinc and tin ores and concentrates</t>
        </is>
      </c>
      <c r="AN17" s="1" t="inlineStr">
        <is>
          <t>Other non-ferrous metal ores and concentrates</t>
        </is>
      </c>
      <c r="AO17" s="1" t="inlineStr">
        <is>
          <t>Stone</t>
        </is>
      </c>
      <c r="AP17" s="1" t="inlineStr">
        <is>
          <t>Sand and clay</t>
        </is>
      </c>
      <c r="AQ17" s="1" t="inlineStr">
        <is>
          <t>Chemical and fertilizer minerals, salt and other mining and quarrying products n.e.c.</t>
        </is>
      </c>
      <c r="AR17" s="1" t="inlineStr">
        <is>
          <t>Products of meat cattle</t>
        </is>
      </c>
      <c r="AS17" s="1" t="inlineStr">
        <is>
          <t>Products of meat pigs</t>
        </is>
      </c>
      <c r="AT17" s="1" t="inlineStr">
        <is>
          <t>Products of meat poultry</t>
        </is>
      </c>
      <c r="AU17" s="1" t="inlineStr">
        <is>
          <t>Meat products nec</t>
        </is>
      </c>
      <c r="AV17" s="1" t="inlineStr">
        <is>
          <t>products of Vegetable oils and fats</t>
        </is>
      </c>
      <c r="AW17" s="1" t="inlineStr">
        <is>
          <t>Dairy products</t>
        </is>
      </c>
      <c r="AX17" s="1" t="inlineStr">
        <is>
          <t>Processed rice</t>
        </is>
      </c>
      <c r="AY17" s="1" t="inlineStr">
        <is>
          <t>Sugar</t>
        </is>
      </c>
      <c r="AZ17" s="1" t="inlineStr">
        <is>
          <t>Food products nec</t>
        </is>
      </c>
      <c r="BA17" s="1" t="inlineStr">
        <is>
          <t>Beverages</t>
        </is>
      </c>
      <c r="BB17" s="1" t="inlineStr">
        <is>
          <t>Fish products</t>
        </is>
      </c>
      <c r="BC17" s="1" t="inlineStr">
        <is>
          <t>Tobacco products (16)</t>
        </is>
      </c>
      <c r="BD17" s="1" t="inlineStr">
        <is>
          <t>Textiles (17)</t>
        </is>
      </c>
      <c r="BE17" s="1" t="inlineStr">
        <is>
          <t>Wearing apparel; furs (18)</t>
        </is>
      </c>
      <c r="BF17" s="1" t="inlineStr">
        <is>
          <t>Leather and leather products (19)</t>
        </is>
      </c>
      <c r="BG17" s="1" t="inlineStr">
        <is>
          <t>Wood and products of wood and cork (except furniture); articles of straw and plaiting materials (20)</t>
        </is>
      </c>
      <c r="BH17" s="1" t="inlineStr">
        <is>
          <t>Wood material for treatment, Re-processing of secondary wood material into new wood material</t>
        </is>
      </c>
      <c r="BI17" s="1" t="inlineStr">
        <is>
          <t>Pulp</t>
        </is>
      </c>
      <c r="BJ17" s="1" t="inlineStr">
        <is>
          <t>Secondary paper for treatment, Re-processing of secondary paper into new pulp</t>
        </is>
      </c>
      <c r="BK17" s="1" t="inlineStr">
        <is>
          <t>Paper and paper products</t>
        </is>
      </c>
      <c r="BL17" s="1" t="inlineStr">
        <is>
          <t>Printed matter and recorded media (22)</t>
        </is>
      </c>
      <c r="BM17" s="1" t="inlineStr">
        <is>
          <t>Coke Oven Coke</t>
        </is>
      </c>
      <c r="BN17" s="1" t="inlineStr">
        <is>
          <t>Gas Coke</t>
        </is>
      </c>
      <c r="BO17" s="1" t="inlineStr">
        <is>
          <t>Coal Tar</t>
        </is>
      </c>
      <c r="BP17" s="1" t="inlineStr">
        <is>
          <t>Motor Gasoline</t>
        </is>
      </c>
      <c r="BQ17" s="1" t="inlineStr">
        <is>
          <t>Aviation Gasoline</t>
        </is>
      </c>
      <c r="BR17" s="1" t="inlineStr">
        <is>
          <t>Gasoline Type Jet Fuel</t>
        </is>
      </c>
      <c r="BS17" s="1" t="inlineStr">
        <is>
          <t>Kerosene Type Jet Fuel</t>
        </is>
      </c>
      <c r="BT17" s="1" t="inlineStr">
        <is>
          <t>Kerosene</t>
        </is>
      </c>
      <c r="BU17" s="1" t="inlineStr">
        <is>
          <t>Gas/Diesel Oil</t>
        </is>
      </c>
      <c r="BV17" s="1" t="inlineStr">
        <is>
          <t>Heavy Fuel Oil</t>
        </is>
      </c>
      <c r="BW17" s="1" t="inlineStr">
        <is>
          <t>Refinery Gas</t>
        </is>
      </c>
      <c r="BX17" s="1" t="inlineStr">
        <is>
          <t>Liquefied Petroleum Gases (LPG)</t>
        </is>
      </c>
      <c r="BY17" s="1" t="inlineStr">
        <is>
          <t>Refinery Feedstocks</t>
        </is>
      </c>
      <c r="BZ17" s="1" t="inlineStr">
        <is>
          <t>Ethane</t>
        </is>
      </c>
      <c r="CA17" s="1" t="inlineStr">
        <is>
          <t>Naphtha</t>
        </is>
      </c>
      <c r="CB17" s="1" t="inlineStr">
        <is>
          <t>White Spirit &amp; SBP</t>
        </is>
      </c>
      <c r="CC17" s="1" t="inlineStr">
        <is>
          <t>Lubricants</t>
        </is>
      </c>
      <c r="CD17" s="1" t="inlineStr">
        <is>
          <t>Bitumen</t>
        </is>
      </c>
      <c r="CE17" s="1" t="inlineStr">
        <is>
          <t>Paraffin Waxes</t>
        </is>
      </c>
      <c r="CF17" s="1" t="inlineStr">
        <is>
          <t>Petroleum Coke</t>
        </is>
      </c>
      <c r="CG17" s="1" t="inlineStr">
        <is>
          <t>Non-specified Petroleum Products</t>
        </is>
      </c>
      <c r="CH17" s="1" t="inlineStr">
        <is>
          <t>Nuclear fuel</t>
        </is>
      </c>
      <c r="CI17" s="1" t="inlineStr">
        <is>
          <t>Plastics, basic</t>
        </is>
      </c>
      <c r="CJ17" s="1" t="inlineStr">
        <is>
          <t>Secondary plastic for treatment, Re-processing of secondary plastic into new plastic</t>
        </is>
      </c>
      <c r="CK17" s="1" t="inlineStr">
        <is>
          <t>N-fertiliser</t>
        </is>
      </c>
      <c r="CL17" s="1" t="inlineStr">
        <is>
          <t>P- and other fertiliser</t>
        </is>
      </c>
      <c r="CM17" s="1" t="inlineStr">
        <is>
          <t>Chemicals nec</t>
        </is>
      </c>
      <c r="CN17" s="1" t="inlineStr">
        <is>
          <t>Charcoal</t>
        </is>
      </c>
      <c r="CO17" s="1" t="inlineStr">
        <is>
          <t>Additives/Blending Components</t>
        </is>
      </c>
      <c r="CP17" s="1" t="inlineStr">
        <is>
          <t>Biogasoline</t>
        </is>
      </c>
      <c r="CQ17" s="1" t="inlineStr">
        <is>
          <t>Biodiesels</t>
        </is>
      </c>
      <c r="CR17" s="1" t="inlineStr">
        <is>
          <t>Other Liquid Biofuels</t>
        </is>
      </c>
      <c r="CS17" s="1" t="inlineStr">
        <is>
          <t>Glass and glass products</t>
        </is>
      </c>
      <c r="CT17" s="1" t="inlineStr">
        <is>
          <t>Secondary glass for treatment, Re-processing of secondary glass into new glass</t>
        </is>
      </c>
      <c r="CU17" s="1" t="inlineStr">
        <is>
          <t>Ceramic goods</t>
        </is>
      </c>
      <c r="CV17" s="1" t="inlineStr">
        <is>
          <t>Bricks, tiles and construction products, in baked clay</t>
        </is>
      </c>
      <c r="CW17" s="1" t="inlineStr">
        <is>
          <t>Cement, lime and plaster</t>
        </is>
      </c>
      <c r="CX17" s="1" t="inlineStr">
        <is>
          <t>Ash for treatment, Re-processing of ash into clinker</t>
        </is>
      </c>
      <c r="CY17" s="1" t="inlineStr">
        <is>
          <t>Other non-metallic mineral products</t>
        </is>
      </c>
      <c r="CZ17" s="1" t="inlineStr">
        <is>
          <t>Basic iron and steel and of ferro-alloys and first products thereof</t>
        </is>
      </c>
      <c r="DA17" s="1" t="inlineStr">
        <is>
          <t>Secondary steel for treatment, Re-processing of secondary steel into new steel</t>
        </is>
      </c>
      <c r="DB17" s="1" t="inlineStr">
        <is>
          <t>Precious metals</t>
        </is>
      </c>
      <c r="DC17" s="1" t="inlineStr">
        <is>
          <t>Secondary preciuos metals for treatment, Re-processing of secondary preciuos metals into new preciuos metals</t>
        </is>
      </c>
      <c r="DD17" s="1" t="inlineStr">
        <is>
          <t>Aluminium and aluminium products</t>
        </is>
      </c>
      <c r="DE17" s="1" t="inlineStr">
        <is>
          <t>Secondary aluminium for treatment, Re-processing of secondary aluminium into new aluminium</t>
        </is>
      </c>
      <c r="DF17" s="1" t="inlineStr">
        <is>
          <t>Lead, zinc and tin and products thereof</t>
        </is>
      </c>
      <c r="DG17" s="1" t="inlineStr">
        <is>
          <t>Secondary lead for treatment, Re-processing of secondary lead into new lead</t>
        </is>
      </c>
      <c r="DH17" s="1" t="inlineStr">
        <is>
          <t>Copper products</t>
        </is>
      </c>
      <c r="DI17" s="1" t="inlineStr">
        <is>
          <t>Secondary copper for treatment, Re-processing of secondary copper into new copper</t>
        </is>
      </c>
      <c r="DJ17" s="1" t="inlineStr">
        <is>
          <t>Other non-ferrous metal products</t>
        </is>
      </c>
      <c r="DK17" s="1" t="inlineStr">
        <is>
          <t>Secondary other non-ferrous metals for treatment, Re-processing of secondary other non-ferrous metals into new other non-ferrous metals</t>
        </is>
      </c>
      <c r="DL17" s="1" t="inlineStr">
        <is>
          <t>Foundry work services</t>
        </is>
      </c>
      <c r="DM17" s="1" t="inlineStr">
        <is>
          <t>Fabricated metal products, except machinery and equipment (28)</t>
        </is>
      </c>
      <c r="DN17" s="1" t="inlineStr">
        <is>
          <t>Machinery and equipment n.e.c. (29)</t>
        </is>
      </c>
      <c r="DO17" s="1" t="inlineStr">
        <is>
          <t>Office machinery and computers (30)</t>
        </is>
      </c>
      <c r="DP17" s="1" t="inlineStr">
        <is>
          <t>Electrical machinery and apparatus n.e.c. (31)</t>
        </is>
      </c>
      <c r="DQ17" s="1" t="inlineStr">
        <is>
          <t>Radio, television and communication equipment and apparatus (32)</t>
        </is>
      </c>
      <c r="DR17" s="1" t="inlineStr">
        <is>
          <t>Medical, precision and optical instruments, watches and clocks (33)</t>
        </is>
      </c>
      <c r="DS17" s="1" t="inlineStr">
        <is>
          <t>Motor vehicles, trailers and semi-trailers (34)</t>
        </is>
      </c>
      <c r="DT17" s="1" t="inlineStr">
        <is>
          <t>Other transport equipment (35)</t>
        </is>
      </c>
      <c r="DU17" s="1" t="inlineStr">
        <is>
          <t>Furniture; other manufactured goods n.e.c. (36)</t>
        </is>
      </c>
      <c r="DV17" s="1" t="inlineStr">
        <is>
          <t>Secondary raw materials</t>
        </is>
      </c>
      <c r="DW17" s="1" t="inlineStr">
        <is>
          <t>Bottles for treatment, Recycling of bottles by direct reuse</t>
        </is>
      </c>
      <c r="DX17" s="1" t="inlineStr">
        <is>
          <t>Electricity by coal</t>
        </is>
      </c>
      <c r="DY17" s="1" t="inlineStr">
        <is>
          <t>Electricity by gas</t>
        </is>
      </c>
      <c r="DZ17" s="1" t="inlineStr">
        <is>
          <t>Electricity by nuclear</t>
        </is>
      </c>
      <c r="EA17" s="1" t="inlineStr">
        <is>
          <t>Electricity by hydro</t>
        </is>
      </c>
      <c r="EB17" s="1" t="inlineStr">
        <is>
          <t>Electricity by wind</t>
        </is>
      </c>
      <c r="EC17" s="1" t="inlineStr">
        <is>
          <t>Electricity by petroleum and other oil derivatives</t>
        </is>
      </c>
      <c r="ED17" s="1" t="inlineStr">
        <is>
          <t>Electricity by biomass and waste</t>
        </is>
      </c>
      <c r="EE17" s="1" t="inlineStr">
        <is>
          <t>Electricity by solar photovoltaic</t>
        </is>
      </c>
      <c r="EF17" s="1" t="inlineStr">
        <is>
          <t>Electricity by solar thermal</t>
        </is>
      </c>
      <c r="EG17" s="1" t="inlineStr">
        <is>
          <t>Electricity by tide, wave, ocean</t>
        </is>
      </c>
      <c r="EH17" s="1" t="inlineStr">
        <is>
          <t>Electricity by Geothermal</t>
        </is>
      </c>
      <c r="EI17" s="1" t="inlineStr">
        <is>
          <t>Electricity nec</t>
        </is>
      </c>
      <c r="EJ17" s="1" t="inlineStr">
        <is>
          <t>Transmission services of electricity</t>
        </is>
      </c>
      <c r="EK17" s="1" t="inlineStr">
        <is>
          <t>Distribution and trade services of electricity</t>
        </is>
      </c>
      <c r="EL17" s="1" t="inlineStr">
        <is>
          <t>Coke oven gas</t>
        </is>
      </c>
      <c r="EM17" s="1" t="inlineStr">
        <is>
          <t>Blast Furnace Gas</t>
        </is>
      </c>
      <c r="EN17" s="1" t="inlineStr">
        <is>
          <t>Oxygen Steel Furnace Gas</t>
        </is>
      </c>
      <c r="EO17" s="1" t="inlineStr">
        <is>
          <t>Gas Works Gas</t>
        </is>
      </c>
      <c r="EP17" s="1" t="inlineStr">
        <is>
          <t>Biogas</t>
        </is>
      </c>
      <c r="EQ17" s="1" t="inlineStr">
        <is>
          <t>Distribution services of gaseous fuels through mains</t>
        </is>
      </c>
      <c r="ER17" s="1" t="inlineStr">
        <is>
          <t>Steam and hot water supply services</t>
        </is>
      </c>
      <c r="ES17" s="1" t="inlineStr">
        <is>
          <t>Collected and purified water, distribution services of water (41)</t>
        </is>
      </c>
      <c r="ET17" s="1" t="inlineStr">
        <is>
          <t>Construction work (45)</t>
        </is>
      </c>
      <c r="EU17" s="1" t="inlineStr">
        <is>
          <t>Secondary construction material for treatment, Re-processing of secondary construction material into aggregates</t>
        </is>
      </c>
      <c r="EV17" s="1" t="inlineStr">
        <is>
          <t>Sale, maintenance, repair of motor vehicles, motor vehicles parts, motorcycles, motor cycles parts and accessoiries</t>
        </is>
      </c>
      <c r="EW17" s="1" t="inlineStr">
        <is>
          <t>Retail trade services of motor fuel</t>
        </is>
      </c>
      <c r="EX17" s="1" t="inlineStr">
        <is>
          <t>Wholesale trade and commission trade services, except of motor vehicles and motorcycles (51)</t>
        </is>
      </c>
      <c r="EY17" s="1" t="inlineStr">
        <is>
          <t>Retail  trade services, except of motor vehicles and motorcycles; repair services of personal and household goods (52)</t>
        </is>
      </c>
      <c r="EZ17" s="1" t="inlineStr">
        <is>
          <t>Hotel and restaurant services (55)</t>
        </is>
      </c>
      <c r="FA17" s="1" t="inlineStr">
        <is>
          <t>Railway transportation services</t>
        </is>
      </c>
      <c r="FB17" s="1" t="inlineStr">
        <is>
          <t>Other land transportation services</t>
        </is>
      </c>
      <c r="FC17" s="1" t="inlineStr">
        <is>
          <t>Transportation services via pipelines</t>
        </is>
      </c>
      <c r="FD17" s="1" t="inlineStr">
        <is>
          <t>Sea and coastal water transportation services</t>
        </is>
      </c>
      <c r="FE17" s="1" t="inlineStr">
        <is>
          <t>Inland water transportation services</t>
        </is>
      </c>
      <c r="FF17" s="1" t="inlineStr">
        <is>
          <t>Air transport services (62)</t>
        </is>
      </c>
      <c r="FG17" s="1" t="inlineStr">
        <is>
          <t>Supporting and auxiliary transport services; travel agency services (63)</t>
        </is>
      </c>
      <c r="FH17" s="1" t="inlineStr">
        <is>
          <t>Post and telecommunication services (64)</t>
        </is>
      </c>
      <c r="FI17" s="1" t="inlineStr">
        <is>
          <t>Financial intermediation services, except insurance and pension funding services (65)</t>
        </is>
      </c>
      <c r="FJ17" s="1" t="inlineStr">
        <is>
          <t>Insurance and pension funding services, except compulsory social security services (66)</t>
        </is>
      </c>
      <c r="FK17" s="1" t="inlineStr">
        <is>
          <t>Services auxiliary to financial intermediation (67)</t>
        </is>
      </c>
      <c r="FL17" s="1" t="inlineStr">
        <is>
          <t>Real estate services (70)</t>
        </is>
      </c>
      <c r="FM17" s="1" t="inlineStr">
        <is>
          <t>Renting services of machinery and equipment without operator and of personal and household goods (71)</t>
        </is>
      </c>
      <c r="FN17" s="1" t="inlineStr">
        <is>
          <t>Computer and related services (72)</t>
        </is>
      </c>
      <c r="FO17" s="1" t="inlineStr">
        <is>
          <t>Research and development services (73)</t>
        </is>
      </c>
      <c r="FP17" s="1" t="inlineStr">
        <is>
          <t>Other business services (74)</t>
        </is>
      </c>
      <c r="FQ17" s="1" t="inlineStr">
        <is>
          <t>Public administration and defence services; compulsory social security services (75)</t>
        </is>
      </c>
      <c r="FR17" s="1" t="inlineStr">
        <is>
          <t>Education services (80)</t>
        </is>
      </c>
      <c r="FS17" s="1" t="inlineStr">
        <is>
          <t>Health and social work services (85)</t>
        </is>
      </c>
      <c r="FT17" s="1" t="inlineStr">
        <is>
          <t>Food waste for treatment: incineration</t>
        </is>
      </c>
      <c r="FU17" s="1" t="inlineStr">
        <is>
          <t>Paper waste for treatment: incineration</t>
        </is>
      </c>
      <c r="FV17" s="1" t="inlineStr">
        <is>
          <t>Plastic waste for treatment: incineration</t>
        </is>
      </c>
      <c r="FW17" s="1" t="inlineStr">
        <is>
          <t>Intert/metal waste for treatment: incineration</t>
        </is>
      </c>
      <c r="FX17" s="1" t="inlineStr">
        <is>
          <t>Textiles waste for treatment: incineration</t>
        </is>
      </c>
      <c r="FY17" s="1" t="inlineStr">
        <is>
          <t>Wood waste for treatment: incineration</t>
        </is>
      </c>
      <c r="FZ17" s="1" t="inlineStr">
        <is>
          <t>Oil/hazardous waste for treatment: incineration</t>
        </is>
      </c>
      <c r="GA17" s="1" t="inlineStr">
        <is>
          <t>Food waste for treatment: biogasification and land application</t>
        </is>
      </c>
      <c r="GB17" s="1" t="inlineStr">
        <is>
          <t>Paper waste for treatment: biogasification and land application</t>
        </is>
      </c>
      <c r="GC17" s="1" t="inlineStr">
        <is>
          <t>Sewage sludge for treatment: biogasification and land application</t>
        </is>
      </c>
      <c r="GD17" s="1" t="inlineStr">
        <is>
          <t>Food waste for treatment: composting and land application</t>
        </is>
      </c>
      <c r="GE17" s="1" t="inlineStr">
        <is>
          <t>Paper and wood waste for treatment: composting and land application</t>
        </is>
      </c>
      <c r="GF17" s="1" t="inlineStr">
        <is>
          <t>Food waste for treatment: waste water treatment</t>
        </is>
      </c>
      <c r="GG17" s="1" t="inlineStr">
        <is>
          <t>Other waste for treatment: waste water treatment</t>
        </is>
      </c>
      <c r="GH17" s="1" t="inlineStr">
        <is>
          <t>Food waste for treatment: landfill</t>
        </is>
      </c>
      <c r="GI17" s="1" t="inlineStr">
        <is>
          <t>Paper for treatment: landfill</t>
        </is>
      </c>
      <c r="GJ17" s="1" t="inlineStr">
        <is>
          <t>Plastic waste for treatment: landfill</t>
        </is>
      </c>
      <c r="GK17" s="1" t="inlineStr">
        <is>
          <t>Inert/metal/hazardous waste for treatment: landfill</t>
        </is>
      </c>
      <c r="GL17" s="1" t="inlineStr">
        <is>
          <t>Textiles waste for treatment: landfill</t>
        </is>
      </c>
      <c r="GM17" s="1" t="inlineStr">
        <is>
          <t>Wood waste for treatment: landfill</t>
        </is>
      </c>
      <c r="GN17" s="1" t="inlineStr">
        <is>
          <t>Membership organisation services n.e.c. (91)</t>
        </is>
      </c>
      <c r="GO17" s="1" t="inlineStr">
        <is>
          <t>Recreational, cultural and sporting services (92)</t>
        </is>
      </c>
      <c r="GP17" s="1" t="inlineStr">
        <is>
          <t>Other services (93)</t>
        </is>
      </c>
      <c r="GQ17" s="1" t="inlineStr">
        <is>
          <t>Extra-territorial organizations and bodies</t>
        </is>
      </c>
      <c r="GR17" s="1" t="inlineStr">
        <is>
          <t>Vegetables, fruits, nuts</t>
        </is>
      </c>
      <c r="GS17" s="1" t="inlineStr">
        <is>
          <t>Cattle</t>
        </is>
      </c>
      <c r="GT17" s="1" t="inlineStr">
        <is>
          <t>Meat nec</t>
        </is>
      </c>
      <c r="GU17" s="1" t="inlineStr">
        <is>
          <t>Animal nec</t>
        </is>
      </c>
      <c r="GV17" s="1" t="inlineStr">
        <is>
          <t>Dairy products</t>
        </is>
      </c>
      <c r="GW17" s="1" t="inlineStr">
        <is>
          <t>Food nec</t>
        </is>
      </c>
      <c r="GX17" s="1" t="inlineStr">
        <is>
          <t>Housing</t>
        </is>
      </c>
      <c r="GY17" s="1" t="inlineStr">
        <is>
          <t>Mobility</t>
        </is>
      </c>
      <c r="GZ17" s="1" t="inlineStr">
        <is>
          <t>Textiles</t>
        </is>
      </c>
      <c r="HA17" s="1" t="inlineStr">
        <is>
          <t>Final goods nec</t>
        </is>
      </c>
      <c r="HB17" s="1" t="inlineStr">
        <is>
          <t>Hotel &amp; restaurant</t>
        </is>
      </c>
      <c r="HC17" s="1" t="inlineStr">
        <is>
          <t>Final services</t>
        </is>
      </c>
    </row>
    <row r="18">
      <c r="A18" s="1" t="inlineStr">
        <is>
          <t>M_imp</t>
        </is>
      </c>
      <c r="B18" t="n">
        <v>208211.9499705399</v>
      </c>
      <c r="C18" t="n">
        <v>83641.23732096732</v>
      </c>
      <c r="D18" t="n">
        <v>54887.04892889173</v>
      </c>
      <c r="E18" t="n">
        <v>174976.2719209069</v>
      </c>
      <c r="F18" t="n">
        <v>125964.8273384061</v>
      </c>
      <c r="G18" t="n">
        <v>6948.814498303472</v>
      </c>
      <c r="H18" t="n">
        <v>95920.26674857124</v>
      </c>
      <c r="I18" t="n">
        <v>13566.57373723955</v>
      </c>
      <c r="J18" t="n">
        <v>429117.8512440054</v>
      </c>
      <c r="K18" t="n">
        <v>315382.7254514964</v>
      </c>
      <c r="L18" t="n">
        <v>281222.0104016378</v>
      </c>
      <c r="M18" t="n">
        <v>321763.7694426871</v>
      </c>
      <c r="N18" t="n">
        <v>405195.0163611979</v>
      </c>
      <c r="O18" t="n">
        <v>492821.7130988171</v>
      </c>
      <c r="P18" t="n">
        <v>954966.1272704424</v>
      </c>
      <c r="Q18" t="n">
        <v>0</v>
      </c>
      <c r="R18" t="n">
        <v>0</v>
      </c>
      <c r="S18" t="n">
        <v>435635.1656285927</v>
      </c>
      <c r="T18" t="n">
        <v>917181.5135634753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204496.387933879</v>
      </c>
      <c r="AD18" t="n">
        <v>4330205.108986254</v>
      </c>
      <c r="AE18" t="n">
        <v>21368.68547113004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25368.53844364889</v>
      </c>
      <c r="AO18" t="n">
        <v>24993.35057586811</v>
      </c>
      <c r="AP18" t="n">
        <v>691.0364520097719</v>
      </c>
      <c r="AQ18" t="n">
        <v>15611.60357832805</v>
      </c>
      <c r="AR18" t="n">
        <v>311805.9780973112</v>
      </c>
      <c r="AS18" t="n">
        <v>167919.4200009838</v>
      </c>
      <c r="AT18" t="n">
        <v>239387.2679456638</v>
      </c>
      <c r="AU18" t="n">
        <v>377252.1338578511</v>
      </c>
      <c r="AV18" t="n">
        <v>188008.1681430972</v>
      </c>
      <c r="AW18" t="n">
        <v>267632.2837390095</v>
      </c>
      <c r="AX18" t="n">
        <v>42348.06286297797</v>
      </c>
      <c r="AY18" t="n">
        <v>114658.4979888991</v>
      </c>
      <c r="AZ18" t="n">
        <v>301880.7131235557</v>
      </c>
      <c r="BA18" t="n">
        <v>216880.0650978696</v>
      </c>
      <c r="BB18" t="n">
        <v>376403.6258389637</v>
      </c>
      <c r="BC18" t="n">
        <v>91044.87121048619</v>
      </c>
      <c r="BD18" t="n">
        <v>140164.2567626749</v>
      </c>
      <c r="BE18" t="n">
        <v>96539.0902213595</v>
      </c>
      <c r="BF18" t="n">
        <v>138297.4943660513</v>
      </c>
      <c r="BG18" t="n">
        <v>748139.4062262967</v>
      </c>
      <c r="BH18" t="n">
        <v>219142.6128253887</v>
      </c>
      <c r="BI18" t="n">
        <v>154597.7064772361</v>
      </c>
      <c r="BJ18" t="n">
        <v>81790.43178256231</v>
      </c>
      <c r="BK18" t="n">
        <v>289605.3863890982</v>
      </c>
      <c r="BL18" t="n">
        <v>90138.95813216567</v>
      </c>
      <c r="BM18" t="n">
        <v>16980.21514697489</v>
      </c>
      <c r="BN18" t="n">
        <v>0</v>
      </c>
      <c r="BO18" t="n">
        <v>380705.5345587693</v>
      </c>
      <c r="BP18" t="n">
        <v>505375.9380625554</v>
      </c>
      <c r="BQ18" t="n">
        <v>0</v>
      </c>
      <c r="BR18" t="n">
        <v>0</v>
      </c>
      <c r="BS18" t="n">
        <v>130257.7783540286</v>
      </c>
      <c r="BT18" t="n">
        <v>0</v>
      </c>
      <c r="BU18" t="n">
        <v>225355.3181229718</v>
      </c>
      <c r="BV18" t="n">
        <v>77763.56287343055</v>
      </c>
      <c r="BW18" t="n">
        <v>663.3114154752575</v>
      </c>
      <c r="BX18" t="n">
        <v>132035.855919529</v>
      </c>
      <c r="BY18" t="n">
        <v>126608.5586406072</v>
      </c>
      <c r="BZ18" t="n">
        <v>0</v>
      </c>
      <c r="CA18" t="n">
        <v>69548.70344790042</v>
      </c>
      <c r="CB18" t="n">
        <v>142332.45485754</v>
      </c>
      <c r="CC18" t="n">
        <v>240581.9508910765</v>
      </c>
      <c r="CD18" t="n">
        <v>26315.40664033451</v>
      </c>
      <c r="CE18" t="n">
        <v>29319.49768655029</v>
      </c>
      <c r="CF18" t="n">
        <v>44108.36817988929</v>
      </c>
      <c r="CG18" t="n">
        <v>28071.10363749847</v>
      </c>
      <c r="CH18" t="n">
        <v>548.8503797230662</v>
      </c>
      <c r="CI18" t="n">
        <v>171299.3859606454</v>
      </c>
      <c r="CJ18" t="n">
        <v>120843.7305791597</v>
      </c>
      <c r="CK18" t="n">
        <v>115847.163614315</v>
      </c>
      <c r="CL18" t="n">
        <v>86375.46949020503</v>
      </c>
      <c r="CM18" t="n">
        <v>148078.8666872236</v>
      </c>
      <c r="CN18" t="n">
        <v>0</v>
      </c>
      <c r="CO18" t="n">
        <v>32023.40221956262</v>
      </c>
      <c r="CP18" t="n">
        <v>60578.38523713217</v>
      </c>
      <c r="CQ18" t="n">
        <v>25128.86364407752</v>
      </c>
      <c r="CR18" t="n">
        <v>0</v>
      </c>
      <c r="CS18" t="n">
        <v>111311.709413418</v>
      </c>
      <c r="CT18" t="n">
        <v>95152.42100757718</v>
      </c>
      <c r="CU18" t="n">
        <v>156925.1228721172</v>
      </c>
      <c r="CV18" t="n">
        <v>112510.1526386859</v>
      </c>
      <c r="CW18" t="n">
        <v>97865.97730455195</v>
      </c>
      <c r="CX18" t="n">
        <v>84770.49353074931</v>
      </c>
      <c r="CY18" t="n">
        <v>106547.8256750866</v>
      </c>
      <c r="CZ18" t="n">
        <v>138888.4483255566</v>
      </c>
      <c r="DA18" t="n">
        <v>108886.0279227411</v>
      </c>
      <c r="DB18" t="n">
        <v>165672.9937970985</v>
      </c>
      <c r="DC18" t="n">
        <v>0</v>
      </c>
      <c r="DD18" t="n">
        <v>138416.2233944454</v>
      </c>
      <c r="DE18" t="n">
        <v>144038.5856805451</v>
      </c>
      <c r="DF18" t="n">
        <v>358299.2996138593</v>
      </c>
      <c r="DG18" t="n">
        <v>484766.8334701729</v>
      </c>
      <c r="DH18" t="n">
        <v>412663.392739194</v>
      </c>
      <c r="DI18" t="n">
        <v>0</v>
      </c>
      <c r="DJ18" t="n">
        <v>141680.5287794592</v>
      </c>
      <c r="DK18" t="n">
        <v>0</v>
      </c>
      <c r="DL18" t="n">
        <v>132230.5807641629</v>
      </c>
      <c r="DM18" t="n">
        <v>128541.7453080393</v>
      </c>
      <c r="DN18" t="n">
        <v>107667.4602055992</v>
      </c>
      <c r="DO18" t="n">
        <v>91342.73444056889</v>
      </c>
      <c r="DP18" t="n">
        <v>98959.54500517492</v>
      </c>
      <c r="DQ18" t="n">
        <v>91063.94469865912</v>
      </c>
      <c r="DR18" t="n">
        <v>80504.04978501383</v>
      </c>
      <c r="DS18" t="n">
        <v>128209.2125939376</v>
      </c>
      <c r="DT18" t="n">
        <v>103095.217090887</v>
      </c>
      <c r="DU18" t="n">
        <v>127822.1277685766</v>
      </c>
      <c r="DV18" t="n">
        <v>0</v>
      </c>
      <c r="DW18" t="n">
        <v>0</v>
      </c>
      <c r="DX18" t="n">
        <v>886969.6238396093</v>
      </c>
      <c r="DY18" t="n">
        <v>91939.5077654425</v>
      </c>
      <c r="DZ18" t="n">
        <v>80178.03521354224</v>
      </c>
      <c r="EA18" t="n">
        <v>97328.20757428686</v>
      </c>
      <c r="EB18" t="n">
        <v>45948.29388396555</v>
      </c>
      <c r="EC18" t="n">
        <v>695652.5144950312</v>
      </c>
      <c r="ED18" t="n">
        <v>71451.43353751735</v>
      </c>
      <c r="EE18" t="n">
        <v>10185.92023694963</v>
      </c>
      <c r="EF18" t="n">
        <v>0</v>
      </c>
      <c r="EG18" t="n">
        <v>126895.2557917042</v>
      </c>
      <c r="EH18" t="n">
        <v>0</v>
      </c>
      <c r="EI18" t="n">
        <v>0</v>
      </c>
      <c r="EJ18" t="n">
        <v>35658.76838742729</v>
      </c>
      <c r="EK18" t="n">
        <v>33309.37853998416</v>
      </c>
      <c r="EL18" t="n">
        <v>8880.856867803994</v>
      </c>
      <c r="EM18" t="n">
        <v>18209.41348260963</v>
      </c>
      <c r="EN18" t="n">
        <v>0.001915841237934323</v>
      </c>
      <c r="EO18" t="n">
        <v>0</v>
      </c>
      <c r="EP18" t="n">
        <v>37765.94389225915</v>
      </c>
      <c r="EQ18" t="n">
        <v>81444.26673249209</v>
      </c>
      <c r="ER18" t="n">
        <v>464350.0828930409</v>
      </c>
      <c r="ES18" t="n">
        <v>62801.72083066055</v>
      </c>
      <c r="ET18" t="n">
        <v>109894.6571702663</v>
      </c>
      <c r="EU18" t="n">
        <v>0</v>
      </c>
      <c r="EV18" t="n">
        <v>30287.69677555096</v>
      </c>
      <c r="EW18" t="n">
        <v>77996.46986565483</v>
      </c>
      <c r="EX18" t="n">
        <v>43457.12734636943</v>
      </c>
      <c r="EY18" t="n">
        <v>43878.21543903201</v>
      </c>
      <c r="EZ18" t="n">
        <v>69130.12009183457</v>
      </c>
      <c r="FA18" t="n">
        <v>170504.4435200106</v>
      </c>
      <c r="FB18" t="n">
        <v>85396.68127542597</v>
      </c>
      <c r="FC18" t="n">
        <v>893434.3572873927</v>
      </c>
      <c r="FD18" t="n">
        <v>1873355.627172532</v>
      </c>
      <c r="FE18" t="n">
        <v>978411.263714893</v>
      </c>
      <c r="FF18" t="n">
        <v>247984.5891526476</v>
      </c>
      <c r="FG18" t="n">
        <v>83742.73341799891</v>
      </c>
      <c r="FH18" t="n">
        <v>43243.75302359948</v>
      </c>
      <c r="FI18" t="n">
        <v>60466.89571310306</v>
      </c>
      <c r="FJ18" t="n">
        <v>68764.92269694945</v>
      </c>
      <c r="FK18" t="n">
        <v>90444.92534840187</v>
      </c>
      <c r="FL18" t="n">
        <v>67166.2366802473</v>
      </c>
      <c r="FM18" t="n">
        <v>55220.52534530785</v>
      </c>
      <c r="FN18" t="n">
        <v>51193.97716644115</v>
      </c>
      <c r="FO18" t="n">
        <v>193613.7131852114</v>
      </c>
      <c r="FP18" t="n">
        <v>47841.01015018599</v>
      </c>
      <c r="FQ18" t="n">
        <v>69667.93649547773</v>
      </c>
      <c r="FR18" t="n">
        <v>40825.99642385095</v>
      </c>
      <c r="FS18" t="n">
        <v>37851.97078348739</v>
      </c>
      <c r="FT18" t="n">
        <v>57113.3488442955</v>
      </c>
      <c r="FU18" t="n">
        <v>57554.96264253686</v>
      </c>
      <c r="FV18" t="n">
        <v>61366.50186461354</v>
      </c>
      <c r="FW18" t="n">
        <v>57604.29108708187</v>
      </c>
      <c r="FX18" t="n">
        <v>57500.5766213741</v>
      </c>
      <c r="FY18" t="n">
        <v>59013.99999734557</v>
      </c>
      <c r="FZ18" t="n">
        <v>55645.42691150762</v>
      </c>
      <c r="GA18" t="n">
        <v>53177.19918808871</v>
      </c>
      <c r="GB18" t="n">
        <v>54635.99060336829</v>
      </c>
      <c r="GC18" t="n">
        <v>57748.91063360294</v>
      </c>
      <c r="GD18" t="n">
        <v>57610.6817454578</v>
      </c>
      <c r="GE18" t="n">
        <v>265701.0068124162</v>
      </c>
      <c r="GF18" t="n">
        <v>64496.88031535968</v>
      </c>
      <c r="GG18" t="n">
        <v>65042.37871488977</v>
      </c>
      <c r="GH18" t="n">
        <v>62849.68853852166</v>
      </c>
      <c r="GI18" t="n">
        <v>61409.65771217219</v>
      </c>
      <c r="GJ18" t="n">
        <v>68199.18643425415</v>
      </c>
      <c r="GK18" t="n">
        <v>55493.79940326568</v>
      </c>
      <c r="GL18" t="n">
        <v>62566.17929312661</v>
      </c>
      <c r="GM18" t="n">
        <v>58383.44995296411</v>
      </c>
      <c r="GN18" t="n">
        <v>64324.57709422227</v>
      </c>
      <c r="GO18" t="n">
        <v>92773.85156502863</v>
      </c>
      <c r="GP18" t="n">
        <v>69330.4337926267</v>
      </c>
      <c r="GQ18" t="n">
        <v>0</v>
      </c>
      <c r="GR18" t="n">
        <v>175010.3599938668</v>
      </c>
      <c r="GS18" t="n">
        <v>311805.9780973112</v>
      </c>
      <c r="GT18" t="n">
        <v>314487.2509214257</v>
      </c>
      <c r="GU18" t="n">
        <v>287053.5879515036</v>
      </c>
      <c r="GV18" t="n">
        <v>271220.9472153634</v>
      </c>
      <c r="GW18" t="n">
        <v>274715.8268468052</v>
      </c>
      <c r="GX18" t="n">
        <v>93483.26824149529</v>
      </c>
      <c r="GY18" t="n">
        <v>179400.272303785</v>
      </c>
      <c r="GZ18" t="n">
        <v>114697.3577846547</v>
      </c>
      <c r="HA18" t="n">
        <v>137822.5898395393</v>
      </c>
      <c r="HB18" t="n">
        <v>69130.12009183457</v>
      </c>
      <c r="HC18" t="n">
        <v>55687.57837814448</v>
      </c>
    </row>
    <row r="19">
      <c r="A19" s="1" t="inlineStr">
        <is>
          <t>M_dom</t>
        </is>
      </c>
      <c r="B19" t="n">
        <v>3030549.884400482</v>
      </c>
      <c r="C19" t="n">
        <v>1463949.768796447</v>
      </c>
      <c r="D19" t="n">
        <v>883289.3465804151</v>
      </c>
      <c r="E19" t="n">
        <v>663380.7919371303</v>
      </c>
      <c r="F19" t="n">
        <v>2985879.313099064</v>
      </c>
      <c r="G19" t="n">
        <v>107257.5176206057</v>
      </c>
      <c r="H19" t="n">
        <v>395112.3680021549</v>
      </c>
      <c r="I19" t="n">
        <v>14107.30445641849</v>
      </c>
      <c r="J19" t="n">
        <v>8328986.484115537</v>
      </c>
      <c r="K19" t="n">
        <v>2396215.383541277</v>
      </c>
      <c r="L19" t="n">
        <v>1391475.963096085</v>
      </c>
      <c r="M19" t="n">
        <v>1804268.928953017</v>
      </c>
      <c r="N19" t="n">
        <v>1953003.68621666</v>
      </c>
      <c r="O19" t="n">
        <v>4090817.539764256</v>
      </c>
      <c r="P19" t="n">
        <v>6266562.21705717</v>
      </c>
      <c r="Q19" t="n">
        <v>0</v>
      </c>
      <c r="R19" t="n">
        <v>0</v>
      </c>
      <c r="S19" t="n">
        <v>1160226.887969707</v>
      </c>
      <c r="T19" t="n">
        <v>912885.7425762555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446385.1118829619</v>
      </c>
      <c r="AD19" t="n">
        <v>11337795.87078153</v>
      </c>
      <c r="AE19" t="n">
        <v>48381.19609979985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48144.75033855729</v>
      </c>
      <c r="AO19" t="n">
        <v>30189.27395182397</v>
      </c>
      <c r="AP19" t="n">
        <v>935.1918799219189</v>
      </c>
      <c r="AQ19" t="n">
        <v>7392.047110809114</v>
      </c>
      <c r="AR19" t="n">
        <v>3311556.353353377</v>
      </c>
      <c r="AS19" t="n">
        <v>679115.8553041961</v>
      </c>
      <c r="AT19" t="n">
        <v>395904.7349111763</v>
      </c>
      <c r="AU19" t="n">
        <v>480006.1878827788</v>
      </c>
      <c r="AV19" t="n">
        <v>355094.7674800532</v>
      </c>
      <c r="AW19" t="n">
        <v>1301275.530062277</v>
      </c>
      <c r="AX19" t="n">
        <v>45804.92660954439</v>
      </c>
      <c r="AY19" t="n">
        <v>920853.1215255867</v>
      </c>
      <c r="AZ19" t="n">
        <v>749477.2970220356</v>
      </c>
      <c r="BA19" t="n">
        <v>457295.3337194145</v>
      </c>
      <c r="BB19" t="n">
        <v>927017.9773788091</v>
      </c>
      <c r="BC19" t="n">
        <v>107703.0308783976</v>
      </c>
      <c r="BD19" t="n">
        <v>27486.90962158003</v>
      </c>
      <c r="BE19" t="n">
        <v>19809.29710806286</v>
      </c>
      <c r="BF19" t="n">
        <v>87774.66248504003</v>
      </c>
      <c r="BG19" t="n">
        <v>551190.7377688786</v>
      </c>
      <c r="BH19" t="n">
        <v>63287.829224698</v>
      </c>
      <c r="BI19" t="n">
        <v>148092.1533293983</v>
      </c>
      <c r="BJ19" t="n">
        <v>31463.87995579148</v>
      </c>
      <c r="BK19" t="n">
        <v>58707.69564088669</v>
      </c>
      <c r="BL19" t="n">
        <v>29555.0011320277</v>
      </c>
      <c r="BM19" t="n">
        <v>50033.70267841105</v>
      </c>
      <c r="BN19" t="n">
        <v>0</v>
      </c>
      <c r="BO19" t="n">
        <v>770315.4401955729</v>
      </c>
      <c r="BP19" t="n">
        <v>92047.45301798852</v>
      </c>
      <c r="BQ19" t="n">
        <v>0</v>
      </c>
      <c r="BR19" t="n">
        <v>0</v>
      </c>
      <c r="BS19" t="n">
        <v>33771.6488655025</v>
      </c>
      <c r="BT19" t="n">
        <v>0</v>
      </c>
      <c r="BU19" t="n">
        <v>43681.36652162195</v>
      </c>
      <c r="BV19" t="n">
        <v>15553.7071966196</v>
      </c>
      <c r="BW19" t="n">
        <v>324.5233838726106</v>
      </c>
      <c r="BX19" t="n">
        <v>26793.86618989571</v>
      </c>
      <c r="BY19" t="n">
        <v>20832.66386918234</v>
      </c>
      <c r="BZ19" t="n">
        <v>1166.363689793635</v>
      </c>
      <c r="CA19" t="n">
        <v>12923.33862427737</v>
      </c>
      <c r="CB19" t="n">
        <v>29437.9915566141</v>
      </c>
      <c r="CC19" t="n">
        <v>41771.16767312241</v>
      </c>
      <c r="CD19" t="n">
        <v>6062.516058790479</v>
      </c>
      <c r="CE19" t="n">
        <v>9648.411169472522</v>
      </c>
      <c r="CF19" t="n">
        <v>7556.027319339653</v>
      </c>
      <c r="CG19" t="n">
        <v>4955.608895049674</v>
      </c>
      <c r="CH19" t="n">
        <v>174.5821948896075</v>
      </c>
      <c r="CI19" t="n">
        <v>51147.98600705263</v>
      </c>
      <c r="CJ19" t="n">
        <v>51994.4499484995</v>
      </c>
      <c r="CK19" t="n">
        <v>78398.80831067204</v>
      </c>
      <c r="CL19" t="n">
        <v>96863.59107051749</v>
      </c>
      <c r="CM19" t="n">
        <v>67155.09945049339</v>
      </c>
      <c r="CN19" t="n">
        <v>0</v>
      </c>
      <c r="CO19" t="n">
        <v>18212.30022484567</v>
      </c>
      <c r="CP19" t="n">
        <v>42412.22637248819</v>
      </c>
      <c r="CQ19" t="n">
        <v>33425.90164019327</v>
      </c>
      <c r="CR19" t="n">
        <v>0</v>
      </c>
      <c r="CS19" t="n">
        <v>71888.14306102086</v>
      </c>
      <c r="CT19" t="n">
        <v>47378.29045475311</v>
      </c>
      <c r="CU19" t="n">
        <v>97725.08619904984</v>
      </c>
      <c r="CV19" t="n">
        <v>170294.971145249</v>
      </c>
      <c r="CW19" t="n">
        <v>208811.6784121851</v>
      </c>
      <c r="CX19" t="n">
        <v>78816.99112448172</v>
      </c>
      <c r="CY19" t="n">
        <v>87816.95885731719</v>
      </c>
      <c r="CZ19" t="n">
        <v>377138.3804408428</v>
      </c>
      <c r="DA19" t="n">
        <v>58577.20005373131</v>
      </c>
      <c r="DB19" t="n">
        <v>98162.00976142423</v>
      </c>
      <c r="DC19" t="n">
        <v>0</v>
      </c>
      <c r="DD19" t="n">
        <v>44417.13163041528</v>
      </c>
      <c r="DE19" t="n">
        <v>26323.60635167276</v>
      </c>
      <c r="DF19" t="n">
        <v>705442.5159743907</v>
      </c>
      <c r="DG19" t="n">
        <v>32488.43691059299</v>
      </c>
      <c r="DH19" t="n">
        <v>70259.86834404389</v>
      </c>
      <c r="DI19" t="n">
        <v>0</v>
      </c>
      <c r="DJ19" t="n">
        <v>47746.25185133026</v>
      </c>
      <c r="DK19" t="n">
        <v>0</v>
      </c>
      <c r="DL19" t="n">
        <v>73015.61910340071</v>
      </c>
      <c r="DM19" t="n">
        <v>28910.36646472795</v>
      </c>
      <c r="DN19" t="n">
        <v>23016.35284607808</v>
      </c>
      <c r="DO19" t="n">
        <v>50416.92579504974</v>
      </c>
      <c r="DP19" t="n">
        <v>21237.78511160653</v>
      </c>
      <c r="DQ19" t="n">
        <v>20351.18513835628</v>
      </c>
      <c r="DR19" t="n">
        <v>20807.62906175859</v>
      </c>
      <c r="DS19" t="n">
        <v>27959.47369007881</v>
      </c>
      <c r="DT19" t="n">
        <v>15759.925411859</v>
      </c>
      <c r="DU19" t="n">
        <v>36267.56543483297</v>
      </c>
      <c r="DV19" t="n">
        <v>0</v>
      </c>
      <c r="DW19" t="n">
        <v>0</v>
      </c>
      <c r="DX19" t="n">
        <v>2252087.012494574</v>
      </c>
      <c r="DY19" t="n">
        <v>359632.5184893493</v>
      </c>
      <c r="DZ19" t="n">
        <v>33838.23461743689</v>
      </c>
      <c r="EA19" t="n">
        <v>35447.9132717009</v>
      </c>
      <c r="EB19" t="n">
        <v>28898.53687142741</v>
      </c>
      <c r="EC19" t="n">
        <v>2700283.916862816</v>
      </c>
      <c r="ED19" t="n">
        <v>61120.38475017555</v>
      </c>
      <c r="EE19" t="n">
        <v>7885.927117505005</v>
      </c>
      <c r="EF19" t="n">
        <v>0</v>
      </c>
      <c r="EG19" t="n">
        <v>43283.16317651634</v>
      </c>
      <c r="EH19" t="n">
        <v>0</v>
      </c>
      <c r="EI19" t="n">
        <v>0</v>
      </c>
      <c r="EJ19" t="n">
        <v>10930.78600322649</v>
      </c>
      <c r="EK19" t="n">
        <v>10272.12760770524</v>
      </c>
      <c r="EL19" t="n">
        <v>5630.707201864345</v>
      </c>
      <c r="EM19" t="n">
        <v>11299.73641077616</v>
      </c>
      <c r="EN19" t="n">
        <v>0.0004518705184897986</v>
      </c>
      <c r="EO19" t="n">
        <v>0</v>
      </c>
      <c r="EP19" t="n">
        <v>23584.77297262426</v>
      </c>
      <c r="EQ19" t="n">
        <v>52459.69263712801</v>
      </c>
      <c r="ER19" t="n">
        <v>814661.6131232193</v>
      </c>
      <c r="ES19" t="n">
        <v>25779.3161752891</v>
      </c>
      <c r="ET19" t="n">
        <v>46162.54527642713</v>
      </c>
      <c r="EU19" t="n">
        <v>0</v>
      </c>
      <c r="EV19" t="n">
        <v>8662.121841088949</v>
      </c>
      <c r="EW19" t="n">
        <v>20489.94474861478</v>
      </c>
      <c r="EX19" t="n">
        <v>20040.5311877172</v>
      </c>
      <c r="EY19" t="n">
        <v>18644.62352966696</v>
      </c>
      <c r="EZ19" t="n">
        <v>93652.7942800055</v>
      </c>
      <c r="FA19" t="n">
        <v>42216.75395503965</v>
      </c>
      <c r="FB19" t="n">
        <v>73469.93393193361</v>
      </c>
      <c r="FC19" t="n">
        <v>25832.9862652853</v>
      </c>
      <c r="FD19" t="n">
        <v>1366476.092336396</v>
      </c>
      <c r="FE19" t="n">
        <v>912532.2411353103</v>
      </c>
      <c r="FF19" t="n">
        <v>221074.957180683</v>
      </c>
      <c r="FG19" t="n">
        <v>39023.11116719669</v>
      </c>
      <c r="FH19" t="n">
        <v>13804.8725207949</v>
      </c>
      <c r="FI19" t="n">
        <v>18878.62350978357</v>
      </c>
      <c r="FJ19" t="n">
        <v>18606.89695331666</v>
      </c>
      <c r="FK19" t="n">
        <v>21867.3334150542</v>
      </c>
      <c r="FL19" t="n">
        <v>27366.27228244262</v>
      </c>
      <c r="FM19" t="n">
        <v>26784.89578556287</v>
      </c>
      <c r="FN19" t="n">
        <v>17132.38257022232</v>
      </c>
      <c r="FO19" t="n">
        <v>51101.58758665312</v>
      </c>
      <c r="FP19" t="n">
        <v>19427.02993164173</v>
      </c>
      <c r="FQ19" t="n">
        <v>24974.97070702894</v>
      </c>
      <c r="FR19" t="n">
        <v>25815.18638759261</v>
      </c>
      <c r="FS19" t="n">
        <v>16868.15327831505</v>
      </c>
      <c r="FT19" t="n">
        <v>36876.01021055879</v>
      </c>
      <c r="FU19" t="n">
        <v>36734.78050335516</v>
      </c>
      <c r="FV19" t="n">
        <v>35779.64331341667</v>
      </c>
      <c r="FW19" t="n">
        <v>37028.25120522678</v>
      </c>
      <c r="FX19" t="n">
        <v>38409.10664129778</v>
      </c>
      <c r="FY19" t="n">
        <v>36596.64745206537</v>
      </c>
      <c r="FZ19" t="n">
        <v>35990.9938862831</v>
      </c>
      <c r="GA19" t="n">
        <v>32739.77784236419</v>
      </c>
      <c r="GB19" t="n">
        <v>28581.37567652011</v>
      </c>
      <c r="GC19" t="n">
        <v>33522.36750929577</v>
      </c>
      <c r="GD19" t="n">
        <v>154678.0825533912</v>
      </c>
      <c r="GE19" t="n">
        <v>19170.46722503243</v>
      </c>
      <c r="GF19" t="n">
        <v>190613.4437300617</v>
      </c>
      <c r="GG19" t="n">
        <v>204687.70601401</v>
      </c>
      <c r="GH19" t="n">
        <v>1040983.129486699</v>
      </c>
      <c r="GI19" t="n">
        <v>538013.2984405382</v>
      </c>
      <c r="GJ19" t="n">
        <v>259489.5780314943</v>
      </c>
      <c r="GK19" t="n">
        <v>50447.17177100546</v>
      </c>
      <c r="GL19" t="n">
        <v>446633.957379881</v>
      </c>
      <c r="GM19" t="n">
        <v>181767.2319157874</v>
      </c>
      <c r="GN19" t="n">
        <v>20039.63760732931</v>
      </c>
      <c r="GO19" t="n">
        <v>46119.36957355066</v>
      </c>
      <c r="GP19" t="n">
        <v>5911.681417829186</v>
      </c>
      <c r="GQ19" t="n">
        <v>0</v>
      </c>
      <c r="GR19" t="n">
        <v>662574.3953609884</v>
      </c>
      <c r="GS19" t="n">
        <v>3311556.353353377</v>
      </c>
      <c r="GT19" t="n">
        <v>643751.6486657189</v>
      </c>
      <c r="GU19" t="n">
        <v>1301194.331794054</v>
      </c>
      <c r="GV19" t="n">
        <v>1345730.225624284</v>
      </c>
      <c r="GW19" t="n">
        <v>738804.0911469458</v>
      </c>
      <c r="GX19" t="n">
        <v>54142.30894685913</v>
      </c>
      <c r="GY19" t="n">
        <v>98998.04800205474</v>
      </c>
      <c r="GZ19" t="n">
        <v>24387.69655715313</v>
      </c>
      <c r="HA19" t="n">
        <v>62795.69501410797</v>
      </c>
      <c r="HB19" t="n">
        <v>93652.7942800055</v>
      </c>
      <c r="HC19" t="n">
        <v>24159.1593484852</v>
      </c>
    </row>
    <row r="20">
      <c r="A20" s="1" t="inlineStr">
        <is>
          <t>M_row</t>
        </is>
      </c>
      <c r="B20" t="n">
        <v>3158752.435851607</v>
      </c>
      <c r="C20" t="n">
        <v>770121.7593416865</v>
      </c>
      <c r="D20" t="n">
        <v>597470.8813779682</v>
      </c>
      <c r="E20" t="n">
        <v>8502.178297137169</v>
      </c>
      <c r="F20" t="n">
        <v>1765615.927174852</v>
      </c>
      <c r="G20" t="n">
        <v>113078.2497347539</v>
      </c>
      <c r="H20" t="n">
        <v>0</v>
      </c>
      <c r="I20" t="n">
        <v>27874.05832936472</v>
      </c>
      <c r="J20" t="n">
        <v>775549.0273394678</v>
      </c>
      <c r="K20" t="n">
        <v>824523.1695754007</v>
      </c>
      <c r="L20" t="n">
        <v>643527.1117547067</v>
      </c>
      <c r="M20" t="n">
        <v>0</v>
      </c>
      <c r="N20" t="n">
        <v>0</v>
      </c>
      <c r="O20" t="n">
        <v>0</v>
      </c>
      <c r="P20" t="n">
        <v>108925.3813605578</v>
      </c>
      <c r="Q20" t="n">
        <v>0</v>
      </c>
      <c r="R20" t="n">
        <v>0</v>
      </c>
      <c r="S20" t="n">
        <v>489199.084350138</v>
      </c>
      <c r="T20" t="n">
        <v>18837451.60770231</v>
      </c>
      <c r="U20" t="n">
        <v>914188.3203438541</v>
      </c>
      <c r="V20" t="n">
        <v>519674.903043288</v>
      </c>
      <c r="W20" t="n">
        <v>3506679.65933052</v>
      </c>
      <c r="X20" t="n">
        <v>0</v>
      </c>
      <c r="Y20" t="n">
        <v>19619.61681013289</v>
      </c>
      <c r="Z20" t="n">
        <v>365316.8876528509</v>
      </c>
      <c r="AA20" t="n">
        <v>0</v>
      </c>
      <c r="AB20" t="n">
        <v>599061.9548045875</v>
      </c>
      <c r="AC20" t="n">
        <v>0</v>
      </c>
      <c r="AD20" t="n">
        <v>15376.41328469543</v>
      </c>
      <c r="AE20" t="n">
        <v>0</v>
      </c>
      <c r="AF20" t="n">
        <v>158359.6037998422</v>
      </c>
      <c r="AG20" t="n">
        <v>484800.6984272148</v>
      </c>
      <c r="AH20" t="n">
        <v>278756690.0609246</v>
      </c>
      <c r="AI20" t="n">
        <v>1342530.628579881</v>
      </c>
      <c r="AJ20" t="n">
        <v>4011209.259397765</v>
      </c>
      <c r="AK20" t="n">
        <v>166997.1546048964</v>
      </c>
      <c r="AL20" t="n">
        <v>1245413.077671517</v>
      </c>
      <c r="AM20" t="n">
        <v>0</v>
      </c>
      <c r="AN20" t="n">
        <v>0</v>
      </c>
      <c r="AO20" t="n">
        <v>210097.7466879747</v>
      </c>
      <c r="AP20" t="n">
        <v>136960.7968690677</v>
      </c>
      <c r="AQ20" t="n">
        <v>0</v>
      </c>
      <c r="AR20" t="n">
        <v>661463.6362266102</v>
      </c>
      <c r="AS20" t="n">
        <v>489150.7082164582</v>
      </c>
      <c r="AT20" t="n">
        <v>381000.9813202514</v>
      </c>
      <c r="AU20" t="n">
        <v>419487.6380184272</v>
      </c>
      <c r="AV20" t="n">
        <v>608399.616719745</v>
      </c>
      <c r="AW20" t="n">
        <v>350667.0944896601</v>
      </c>
      <c r="AX20" t="n">
        <v>426458.4132210653</v>
      </c>
      <c r="AY20" t="n">
        <v>0</v>
      </c>
      <c r="AZ20" t="n">
        <v>0</v>
      </c>
      <c r="BA20" t="n">
        <v>157984.3490882185</v>
      </c>
      <c r="BB20" t="n">
        <v>0</v>
      </c>
      <c r="BC20" t="n">
        <v>0</v>
      </c>
      <c r="BD20" t="n">
        <v>0</v>
      </c>
      <c r="BE20" t="n">
        <v>332702.8212338024</v>
      </c>
      <c r="BF20" t="n">
        <v>109140.6431748726</v>
      </c>
      <c r="BG20" t="n">
        <v>2897174.681021781</v>
      </c>
      <c r="BH20" t="n">
        <v>708001.3451688448</v>
      </c>
      <c r="BI20" t="n">
        <v>1383095.638791877</v>
      </c>
      <c r="BJ20" t="n">
        <v>78822.1470915762</v>
      </c>
      <c r="BK20" t="n">
        <v>155314.7114364519</v>
      </c>
      <c r="BL20" t="n">
        <v>149345.8866176124</v>
      </c>
      <c r="BM20" t="n">
        <v>595102.653495724</v>
      </c>
      <c r="BN20" t="n">
        <v>180303.9705559503</v>
      </c>
      <c r="BO20" t="n">
        <v>0</v>
      </c>
      <c r="BP20" t="n">
        <v>511065.4750332226</v>
      </c>
      <c r="BQ20" t="n">
        <v>0</v>
      </c>
      <c r="BR20" t="n">
        <v>0</v>
      </c>
      <c r="BS20" t="n">
        <v>394819.6173977593</v>
      </c>
      <c r="BT20" t="n">
        <v>0</v>
      </c>
      <c r="BU20" t="n">
        <v>336069.0101212006</v>
      </c>
      <c r="BV20" t="n">
        <v>291743.6833577263</v>
      </c>
      <c r="BW20" t="n">
        <v>3653927.845904598</v>
      </c>
      <c r="BX20" t="n">
        <v>468347.46895894</v>
      </c>
      <c r="BY20" t="n">
        <v>157799.7499372829</v>
      </c>
      <c r="BZ20" t="n">
        <v>1053672.1490335</v>
      </c>
      <c r="CA20" t="n">
        <v>117454.4635218809</v>
      </c>
      <c r="CB20" t="n">
        <v>177566.344663961</v>
      </c>
      <c r="CC20" t="n">
        <v>56.83373259103048</v>
      </c>
      <c r="CD20" t="n">
        <v>117497.4986593568</v>
      </c>
      <c r="CE20" t="n">
        <v>671385.0813617462</v>
      </c>
      <c r="CF20" t="n">
        <v>2676897.495952198</v>
      </c>
      <c r="CG20" t="n">
        <v>36285.1696492171</v>
      </c>
      <c r="CH20" t="n">
        <v>738843.4182169117</v>
      </c>
      <c r="CI20" t="n">
        <v>224056.1144131325</v>
      </c>
      <c r="CJ20" t="n">
        <v>360143.6046953195</v>
      </c>
      <c r="CK20" t="n">
        <v>0</v>
      </c>
      <c r="CL20" t="n">
        <v>124414.7241613869</v>
      </c>
      <c r="CM20" t="n">
        <v>0</v>
      </c>
      <c r="CN20" t="n">
        <v>0</v>
      </c>
      <c r="CO20" t="n">
        <v>10624451.65384545</v>
      </c>
      <c r="CP20" t="n">
        <v>448710.9991868877</v>
      </c>
      <c r="CQ20" t="n">
        <v>58207.7932900989</v>
      </c>
      <c r="CR20" t="n">
        <v>453952.5047855077</v>
      </c>
      <c r="CS20" t="n">
        <v>244796.2622493641</v>
      </c>
      <c r="CT20" t="n">
        <v>1954415.377388098</v>
      </c>
      <c r="CU20" t="n">
        <v>1089862.282254817</v>
      </c>
      <c r="CV20" t="n">
        <v>1782071.37064629</v>
      </c>
      <c r="CW20" t="n">
        <v>22905.20537997041</v>
      </c>
      <c r="CX20" t="n">
        <v>490977.0527653564</v>
      </c>
      <c r="CY20" t="n">
        <v>83268.85119303477</v>
      </c>
      <c r="CZ20" t="n">
        <v>0</v>
      </c>
      <c r="DA20" t="n">
        <v>474731.4975111979</v>
      </c>
      <c r="DB20" t="n">
        <v>5736522.360132329</v>
      </c>
      <c r="DC20" t="n">
        <v>176460.178389075</v>
      </c>
      <c r="DD20" t="n">
        <v>239559.9812899882</v>
      </c>
      <c r="DE20" t="n">
        <v>0</v>
      </c>
      <c r="DF20" t="n">
        <v>0</v>
      </c>
      <c r="DG20" t="n">
        <v>125429.1624751803</v>
      </c>
      <c r="DH20" t="n">
        <v>408718.5725937815</v>
      </c>
      <c r="DI20" t="n">
        <v>8586.274687881491</v>
      </c>
      <c r="DJ20" t="n">
        <v>536114.8222756545</v>
      </c>
      <c r="DK20" t="n">
        <v>415958.3613738612</v>
      </c>
      <c r="DL20" t="n">
        <v>744209.0353993748</v>
      </c>
      <c r="DM20" t="n">
        <v>143107.1447243198</v>
      </c>
      <c r="DN20" t="n">
        <v>176585.7285788808</v>
      </c>
      <c r="DO20" t="n">
        <v>0</v>
      </c>
      <c r="DP20" t="n">
        <v>4457440.438871056</v>
      </c>
      <c r="DQ20" t="n">
        <v>2928712.982033856</v>
      </c>
      <c r="DR20" t="n">
        <v>776835.3277135452</v>
      </c>
      <c r="DS20" t="n">
        <v>109243.6448056403</v>
      </c>
      <c r="DT20" t="n">
        <v>448111.5654167429</v>
      </c>
      <c r="DU20" t="n">
        <v>103901.4170180453</v>
      </c>
      <c r="DV20" t="n">
        <v>124907.7458183268</v>
      </c>
      <c r="DW20" t="n">
        <v>0</v>
      </c>
      <c r="DX20" t="n">
        <v>68086.17634136166</v>
      </c>
      <c r="DY20" t="n">
        <v>0</v>
      </c>
      <c r="DZ20" t="n">
        <v>132319.5029879439</v>
      </c>
      <c r="EA20" t="n">
        <v>3110811.410966965</v>
      </c>
      <c r="EB20" t="n">
        <v>20486614.57911196</v>
      </c>
      <c r="EC20" t="n">
        <v>171326.7244147621</v>
      </c>
      <c r="ED20" t="n">
        <v>302995.9926989253</v>
      </c>
      <c r="EE20" t="n">
        <v>1028260.410344463</v>
      </c>
      <c r="EF20" t="n">
        <v>286936.7105140644</v>
      </c>
      <c r="EG20" t="n">
        <v>2332872.800475982</v>
      </c>
      <c r="EH20" t="n">
        <v>6125815.500411157</v>
      </c>
      <c r="EI20" t="n">
        <v>314591.8886875883</v>
      </c>
      <c r="EJ20" t="n">
        <v>182218.295882135</v>
      </c>
      <c r="EK20" t="n">
        <v>175996.0932684999</v>
      </c>
      <c r="EL20" t="n">
        <v>783163.4664544188</v>
      </c>
      <c r="EM20" t="n">
        <v>20875027.3198944</v>
      </c>
      <c r="EN20" t="n">
        <v>2438827.037392547</v>
      </c>
      <c r="EO20" t="n">
        <v>1650337.779724055</v>
      </c>
      <c r="EP20" t="n">
        <v>1056001.649958995</v>
      </c>
      <c r="EQ20" t="n">
        <v>332800.595714123</v>
      </c>
      <c r="ER20" t="n">
        <v>6793475.142026681</v>
      </c>
      <c r="ES20" t="n">
        <v>87994.40352000846</v>
      </c>
      <c r="ET20" t="n">
        <v>1045980.877857696</v>
      </c>
      <c r="EU20" t="n">
        <v>0</v>
      </c>
      <c r="EV20" t="n">
        <v>102893.5205341012</v>
      </c>
      <c r="EW20" t="n">
        <v>212350.8954517859</v>
      </c>
      <c r="EX20" t="n">
        <v>221235.854561696</v>
      </c>
      <c r="EY20" t="n">
        <v>0</v>
      </c>
      <c r="EZ20" t="n">
        <v>140460.3016539105</v>
      </c>
      <c r="FA20" t="n">
        <v>403226.9713703502</v>
      </c>
      <c r="FB20" t="n">
        <v>240926.1281966373</v>
      </c>
      <c r="FC20" t="n">
        <v>776516.5494238758</v>
      </c>
      <c r="FD20" t="n">
        <v>407981.8680611607</v>
      </c>
      <c r="FE20" t="n">
        <v>241140.5114766603</v>
      </c>
      <c r="FF20" t="n">
        <v>9159.814124292367</v>
      </c>
      <c r="FG20" t="n">
        <v>2852266.437647422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123028.8760259203</v>
      </c>
      <c r="FT20" t="n">
        <v>176089.5877823058</v>
      </c>
      <c r="FU20" t="n">
        <v>0</v>
      </c>
      <c r="FV20" t="n">
        <v>33003.34870317802</v>
      </c>
      <c r="FW20" t="n">
        <v>0</v>
      </c>
      <c r="FX20" t="n">
        <v>1299547.044865896</v>
      </c>
      <c r="FY20" t="n">
        <v>705779.0479899786</v>
      </c>
      <c r="FZ20" t="n">
        <v>403819.7709194943</v>
      </c>
      <c r="GA20" t="n">
        <v>458743.0338416101</v>
      </c>
      <c r="GB20" t="n">
        <v>121267.8063417055</v>
      </c>
      <c r="GC20" t="n">
        <v>386231.5345560655</v>
      </c>
      <c r="GD20" t="n">
        <v>565015.8147984229</v>
      </c>
      <c r="GE20" t="n">
        <v>0</v>
      </c>
      <c r="GF20" t="n">
        <v>2490698.299175162</v>
      </c>
      <c r="GG20" t="n">
        <v>1000877.653305392</v>
      </c>
      <c r="GH20" t="n">
        <v>1702345.251394251</v>
      </c>
      <c r="GI20" t="n">
        <v>592923.6966451765</v>
      </c>
      <c r="GJ20" t="n">
        <v>3685800.365101524</v>
      </c>
      <c r="GK20" t="n">
        <v>0</v>
      </c>
      <c r="GL20" t="n">
        <v>315494.6577168469</v>
      </c>
      <c r="GM20" t="n">
        <v>2700078.946433879</v>
      </c>
      <c r="GN20" t="n">
        <v>0</v>
      </c>
      <c r="GO20" t="n">
        <v>141168.0109896759</v>
      </c>
      <c r="GP20" t="n">
        <v>271033.8347288757</v>
      </c>
      <c r="GQ20" t="n">
        <v>1705298.858066126</v>
      </c>
      <c r="GR20" t="n">
        <v>21920.54278064452</v>
      </c>
      <c r="GS20" t="n">
        <v>661463.6362266102</v>
      </c>
      <c r="GT20" t="n">
        <v>408781.2988290373</v>
      </c>
      <c r="GU20" t="n">
        <v>1799768.722040027</v>
      </c>
      <c r="GV20" t="n">
        <v>350667.0944896601</v>
      </c>
      <c r="GW20" t="n">
        <v>91265.22652129598</v>
      </c>
      <c r="GX20" t="n">
        <v>270410.6529735517</v>
      </c>
      <c r="GY20" t="n">
        <v>184538.7301450596</v>
      </c>
      <c r="GZ20" t="n">
        <v>191102.0806003805</v>
      </c>
      <c r="HA20" t="n">
        <v>643155.2772877304</v>
      </c>
      <c r="HB20" t="n">
        <v>0</v>
      </c>
      <c r="HC20" t="n">
        <v>216870.9016187289</v>
      </c>
    </row>
    <row r="21">
      <c r="A21" s="1" t="inlineStr">
        <is>
          <t>Y_imp</t>
        </is>
      </c>
      <c r="B21" t="n">
        <v>12.58953104607659</v>
      </c>
      <c r="C21" t="n">
        <v>393.4168379264765</v>
      </c>
      <c r="D21" t="n">
        <v>6.170733505199777</v>
      </c>
      <c r="E21" t="n">
        <v>6666.413095894283</v>
      </c>
      <c r="F21" t="n">
        <v>709.1867968887566</v>
      </c>
      <c r="G21" t="n">
        <v>0</v>
      </c>
      <c r="H21" t="n">
        <v>18.17377665812187</v>
      </c>
      <c r="I21" t="n">
        <v>418.3549082338893</v>
      </c>
      <c r="J21" t="n">
        <v>0</v>
      </c>
      <c r="K21" t="n">
        <v>0</v>
      </c>
      <c r="L21" t="n">
        <v>37.6718724459</v>
      </c>
      <c r="M21" t="n">
        <v>134.968553567</v>
      </c>
      <c r="N21" t="n">
        <v>358.935505393</v>
      </c>
      <c r="O21" t="n">
        <v>0</v>
      </c>
      <c r="P21" t="n">
        <v>0</v>
      </c>
      <c r="Q21" t="n">
        <v>0</v>
      </c>
      <c r="R21" t="n">
        <v>0</v>
      </c>
      <c r="S21" t="n">
        <v>324.7181188907604</v>
      </c>
      <c r="T21" t="n">
        <v>191.524540960959</v>
      </c>
      <c r="U21" t="n">
        <v>6.3533008602</v>
      </c>
      <c r="V21" t="n">
        <v>0</v>
      </c>
      <c r="W21" t="n">
        <v>14.9039839728</v>
      </c>
      <c r="X21" t="n">
        <v>0</v>
      </c>
      <c r="Y21" t="n">
        <v>14.5218305376</v>
      </c>
      <c r="Z21" t="n">
        <v>0</v>
      </c>
      <c r="AA21" t="n">
        <v>0</v>
      </c>
      <c r="AB21" t="n">
        <v>0</v>
      </c>
      <c r="AC21" t="n">
        <v>0</v>
      </c>
      <c r="AD21" t="n">
        <v>10172.62054431125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1038.49431455</v>
      </c>
      <c r="AS21" t="n">
        <v>596.450475476</v>
      </c>
      <c r="AT21" t="n">
        <v>892.77666271</v>
      </c>
      <c r="AU21" t="n">
        <v>2166.43173804</v>
      </c>
      <c r="AV21" t="n">
        <v>152.524386109</v>
      </c>
      <c r="AW21" t="n">
        <v>1806.03861601</v>
      </c>
      <c r="AX21" t="n">
        <v>130.972569754</v>
      </c>
      <c r="AY21" t="n">
        <v>92.7266572539</v>
      </c>
      <c r="AZ21" t="n">
        <v>11484.8366485</v>
      </c>
      <c r="BA21" t="n">
        <v>1737.93637934</v>
      </c>
      <c r="BB21" t="n">
        <v>1549.8190821</v>
      </c>
      <c r="BC21" t="n">
        <v>1749.27710897</v>
      </c>
      <c r="BD21" t="n">
        <v>5191.81852316</v>
      </c>
      <c r="BE21" t="n">
        <v>10896.3904117</v>
      </c>
      <c r="BF21" t="n">
        <v>6719.86299841</v>
      </c>
      <c r="BG21" t="n">
        <v>627.2895343705732</v>
      </c>
      <c r="BH21" t="n">
        <v>64.05277614142688</v>
      </c>
      <c r="BI21" t="n">
        <v>0</v>
      </c>
      <c r="BJ21" t="n">
        <v>0</v>
      </c>
      <c r="BK21" t="n">
        <v>1766.04037623</v>
      </c>
      <c r="BL21" t="n">
        <v>1559.83702366</v>
      </c>
      <c r="BM21" t="n">
        <v>0.1066507278430744</v>
      </c>
      <c r="BN21" t="n">
        <v>0</v>
      </c>
      <c r="BO21" t="n">
        <v>0</v>
      </c>
      <c r="BP21" t="n">
        <v>262.4815319927819</v>
      </c>
      <c r="BQ21" t="n">
        <v>0.2627304867</v>
      </c>
      <c r="BR21" t="n">
        <v>0</v>
      </c>
      <c r="BS21" t="n">
        <v>52.29044704524056</v>
      </c>
      <c r="BT21" t="n">
        <v>157.136715636</v>
      </c>
      <c r="BU21" t="n">
        <v>7198.155178050654</v>
      </c>
      <c r="BV21" t="n">
        <v>1.056828588528105</v>
      </c>
      <c r="BW21" t="n">
        <v>0</v>
      </c>
      <c r="BX21" t="n">
        <v>612.4260780905207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2378.036229680418</v>
      </c>
      <c r="CJ21" t="n">
        <v>286.2161694295821</v>
      </c>
      <c r="CK21" t="n">
        <v>1.678914217057</v>
      </c>
      <c r="CL21" t="n">
        <v>44.52294982682</v>
      </c>
      <c r="CM21" t="n">
        <v>6643.333391030001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895.250211626</v>
      </c>
      <c r="CV21" t="n">
        <v>0.112600342789</v>
      </c>
      <c r="CW21" t="n">
        <v>0.9188687922269055</v>
      </c>
      <c r="CX21" t="n">
        <v>0.0555902005850945</v>
      </c>
      <c r="CY21" t="n">
        <v>791.2557892889999</v>
      </c>
      <c r="CZ21" t="n">
        <v>0.00617002623215275</v>
      </c>
      <c r="DA21" t="n">
        <v>0.0003962561419472482</v>
      </c>
      <c r="DB21" t="n">
        <v>5.425036059269236</v>
      </c>
      <c r="DC21" t="n">
        <v>0.00030458495076355</v>
      </c>
      <c r="DD21" t="n">
        <v>1.326188745780254</v>
      </c>
      <c r="DE21" t="n">
        <v>0.102340521859746</v>
      </c>
      <c r="DF21" t="n">
        <v>0</v>
      </c>
      <c r="DG21" t="n">
        <v>0</v>
      </c>
      <c r="DH21" t="n">
        <v>0</v>
      </c>
      <c r="DI21" t="n">
        <v>0</v>
      </c>
      <c r="DJ21" t="n">
        <v>7.493593020374871</v>
      </c>
      <c r="DK21" t="n">
        <v>0.06099700859512885</v>
      </c>
      <c r="DL21" t="n">
        <v>0</v>
      </c>
      <c r="DM21" t="n">
        <v>2010.42848448</v>
      </c>
      <c r="DN21" t="n">
        <v>520.4741344620001</v>
      </c>
      <c r="DO21" t="n">
        <v>1803.7615755</v>
      </c>
      <c r="DP21" t="n">
        <v>2577.26127398</v>
      </c>
      <c r="DQ21" t="n">
        <v>4696.77493081</v>
      </c>
      <c r="DR21" t="n">
        <v>4669.90644814</v>
      </c>
      <c r="DS21" t="n">
        <v>29014.0209561</v>
      </c>
      <c r="DT21" t="n">
        <v>2813.826555028</v>
      </c>
      <c r="DU21" t="n">
        <v>10799.400247</v>
      </c>
      <c r="DV21" t="n">
        <v>0</v>
      </c>
      <c r="DW21" t="n">
        <v>0</v>
      </c>
      <c r="DX21" t="n">
        <v>63.36121108093538</v>
      </c>
      <c r="DY21" t="n">
        <v>50.54035836745297</v>
      </c>
      <c r="DZ21" t="n">
        <v>20.42194883294816</v>
      </c>
      <c r="EA21" t="n">
        <v>34.97312082171879</v>
      </c>
      <c r="EB21" t="n">
        <v>7.774574842925006</v>
      </c>
      <c r="EC21" t="n">
        <v>7.784159298468468</v>
      </c>
      <c r="ED21" t="n">
        <v>4.48699372323996</v>
      </c>
      <c r="EE21" t="n">
        <v>2.286287747679654</v>
      </c>
      <c r="EF21" t="n">
        <v>0</v>
      </c>
      <c r="EG21" t="n">
        <v>0.004994755577657015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107.8362040536</v>
      </c>
      <c r="EY21" t="n">
        <v>0</v>
      </c>
      <c r="EZ21" t="n">
        <v>0</v>
      </c>
      <c r="FA21" t="n">
        <v>1317.51410816752</v>
      </c>
      <c r="FB21" t="n">
        <v>5070.06724283</v>
      </c>
      <c r="FC21" t="n">
        <v>0.665434672022</v>
      </c>
      <c r="FD21" t="n">
        <v>3107.382957970209</v>
      </c>
      <c r="FE21" t="n">
        <v>243.823954249855</v>
      </c>
      <c r="FF21" t="n">
        <v>8077.98179555482</v>
      </c>
      <c r="FG21" t="n">
        <v>854.2088896967999</v>
      </c>
      <c r="FH21" t="n">
        <v>2604.55483714</v>
      </c>
      <c r="FI21" t="n">
        <v>1220.23761793</v>
      </c>
      <c r="FJ21" t="n">
        <v>1145.74717822</v>
      </c>
      <c r="FK21" t="n">
        <v>0</v>
      </c>
      <c r="FL21" t="n">
        <v>0</v>
      </c>
      <c r="FM21" t="n">
        <v>0</v>
      </c>
      <c r="FN21" t="n">
        <v>1.81215275413</v>
      </c>
      <c r="FO21" t="n">
        <v>1038.66680669</v>
      </c>
      <c r="FP21" t="n">
        <v>652.781205856</v>
      </c>
      <c r="FQ21" t="n">
        <v>1267.51855990752</v>
      </c>
      <c r="FR21" t="n">
        <v>1024.3292228668</v>
      </c>
      <c r="FS21" t="n">
        <v>1545.727142509</v>
      </c>
      <c r="FT21" t="n">
        <v>7.17729398812</v>
      </c>
      <c r="FU21" t="n">
        <v>7.47894238651</v>
      </c>
      <c r="FV21" t="n">
        <v>3.45613363925</v>
      </c>
      <c r="FW21" t="n">
        <v>12.4528250492</v>
      </c>
      <c r="FX21" t="n">
        <v>1.43287113325</v>
      </c>
      <c r="FY21" t="n">
        <v>2.51968033716</v>
      </c>
      <c r="FZ21" t="n">
        <v>7.26812830262</v>
      </c>
      <c r="GA21" t="n">
        <v>0.635575731595</v>
      </c>
      <c r="GB21" t="n">
        <v>0.0431870936057</v>
      </c>
      <c r="GC21" t="n">
        <v>6.216701355879999</v>
      </c>
      <c r="GD21" t="n">
        <v>8.337650195269999</v>
      </c>
      <c r="GE21" t="n">
        <v>0</v>
      </c>
      <c r="GF21" t="n">
        <v>2.85792305986</v>
      </c>
      <c r="GG21" t="n">
        <v>5.47808633417</v>
      </c>
      <c r="GH21" t="n">
        <v>6.61878061193</v>
      </c>
      <c r="GI21" t="n">
        <v>4.28667166764</v>
      </c>
      <c r="GJ21" t="n">
        <v>0.910953415573</v>
      </c>
      <c r="GK21" t="n">
        <v>10.7985323575</v>
      </c>
      <c r="GL21" t="n">
        <v>0.479886330691</v>
      </c>
      <c r="GM21" t="n">
        <v>1.59815003337</v>
      </c>
      <c r="GN21" t="n">
        <v>95.8633370956</v>
      </c>
      <c r="GO21" t="n">
        <v>2481.46822075</v>
      </c>
      <c r="GP21" t="n">
        <v>262.19233730575</v>
      </c>
      <c r="GQ21" t="n">
        <v>0</v>
      </c>
      <c r="GR21" t="n">
        <v>6818.937482003284</v>
      </c>
      <c r="GS21" t="n">
        <v>1038.49431455</v>
      </c>
      <c r="GT21" t="n">
        <v>3828.2993022389</v>
      </c>
      <c r="GU21" t="n">
        <v>2356.498662363959</v>
      </c>
      <c r="GV21" t="n">
        <v>1806.03861601</v>
      </c>
      <c r="GW21" t="n">
        <v>17903.87345874475</v>
      </c>
      <c r="GX21" t="n">
        <v>26463.52351771602</v>
      </c>
      <c r="GY21" t="n">
        <v>58120.83281466164</v>
      </c>
      <c r="GZ21" t="n">
        <v>22808.07193327</v>
      </c>
      <c r="HA21" t="n">
        <v>52451.49181921694</v>
      </c>
      <c r="HB21" t="n">
        <v>0</v>
      </c>
      <c r="HC21" t="n">
        <v>14392.9916857984</v>
      </c>
    </row>
    <row r="22">
      <c r="A22" s="1" t="inlineStr">
        <is>
          <t>Y_dom</t>
        </is>
      </c>
      <c r="B22" t="n">
        <v>111.1237859411297</v>
      </c>
      <c r="C22" t="n">
        <v>6143.007796311505</v>
      </c>
      <c r="D22" t="n">
        <v>370.6834656242983</v>
      </c>
      <c r="E22" t="n">
        <v>10280.1076048156</v>
      </c>
      <c r="F22" t="n">
        <v>726.0784872377837</v>
      </c>
      <c r="G22" t="n">
        <v>0</v>
      </c>
      <c r="H22" t="n">
        <v>514.0743081434518</v>
      </c>
      <c r="I22" t="n">
        <v>0</v>
      </c>
      <c r="J22" t="n">
        <v>0</v>
      </c>
      <c r="K22" t="n">
        <v>0</v>
      </c>
      <c r="L22" t="n">
        <v>3117.91278957</v>
      </c>
      <c r="M22" t="n">
        <v>1889.75665498</v>
      </c>
      <c r="N22" t="n">
        <v>139.245465367</v>
      </c>
      <c r="O22" t="n">
        <v>137.460607966</v>
      </c>
      <c r="P22" t="n">
        <v>0</v>
      </c>
      <c r="Q22" t="n">
        <v>0</v>
      </c>
      <c r="R22" t="n">
        <v>0</v>
      </c>
      <c r="S22" t="n">
        <v>4983.726911349618</v>
      </c>
      <c r="T22" t="n">
        <v>235.5104379290872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7.51704678874619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5050.44137163263</v>
      </c>
      <c r="AS22" t="n">
        <v>2108.07915814567</v>
      </c>
      <c r="AT22" t="n">
        <v>8018.044447814699</v>
      </c>
      <c r="AU22" t="n">
        <v>15949.9837150327</v>
      </c>
      <c r="AV22" t="n">
        <v>26.9606270569</v>
      </c>
      <c r="AW22" t="n">
        <v>8488.22304035583</v>
      </c>
      <c r="AX22" t="n">
        <v>26.83840954758</v>
      </c>
      <c r="AY22" t="n">
        <v>662.143368282305</v>
      </c>
      <c r="AZ22" t="n">
        <v>23360.725289119</v>
      </c>
      <c r="BA22" t="n">
        <v>7010.44186901366</v>
      </c>
      <c r="BB22" t="n">
        <v>2468.4934124624</v>
      </c>
      <c r="BC22" t="n">
        <v>874.533016486</v>
      </c>
      <c r="BD22" t="n">
        <v>2215.3406393403</v>
      </c>
      <c r="BE22" t="n">
        <v>3273.5352910359</v>
      </c>
      <c r="BF22" t="n">
        <v>128.1294884929</v>
      </c>
      <c r="BG22" t="n">
        <v>710.2622544142647</v>
      </c>
      <c r="BH22" t="n">
        <v>438.2363337857354</v>
      </c>
      <c r="BI22" t="n">
        <v>0</v>
      </c>
      <c r="BJ22" t="n">
        <v>0</v>
      </c>
      <c r="BK22" t="n">
        <v>1585.48345099</v>
      </c>
      <c r="BL22" t="n">
        <v>5484.64885857</v>
      </c>
      <c r="BM22" t="n">
        <v>0.7293099116569257</v>
      </c>
      <c r="BN22" t="n">
        <v>0</v>
      </c>
      <c r="BO22" t="n">
        <v>0</v>
      </c>
      <c r="BP22" t="n">
        <v>4666.461821447218</v>
      </c>
      <c r="BQ22" t="n">
        <v>0</v>
      </c>
      <c r="BR22" t="n">
        <v>0</v>
      </c>
      <c r="BS22" t="n">
        <v>43.24791175475945</v>
      </c>
      <c r="BT22" t="n">
        <v>0</v>
      </c>
      <c r="BU22" t="n">
        <v>7435.932931149347</v>
      </c>
      <c r="BV22" t="n">
        <v>2.143706431271896</v>
      </c>
      <c r="BW22" t="n">
        <v>0</v>
      </c>
      <c r="BX22" t="n">
        <v>301.7327080874792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37588.16532331418</v>
      </c>
      <c r="CJ22" t="n">
        <v>1908.19843728582</v>
      </c>
      <c r="CK22" t="n">
        <v>8.09257081484</v>
      </c>
      <c r="CL22" t="n">
        <v>43.7871681139</v>
      </c>
      <c r="CM22" t="n">
        <v>9071.78079087</v>
      </c>
      <c r="CN22" t="n">
        <v>0</v>
      </c>
      <c r="CO22" t="n">
        <v>0</v>
      </c>
      <c r="CP22" t="n">
        <v>347.92681816</v>
      </c>
      <c r="CQ22" t="n">
        <v>984.283941537</v>
      </c>
      <c r="CR22" t="n">
        <v>0</v>
      </c>
      <c r="CS22" t="n">
        <v>0</v>
      </c>
      <c r="CT22" t="n">
        <v>0</v>
      </c>
      <c r="CU22" t="n">
        <v>689.762294742</v>
      </c>
      <c r="CV22" t="n">
        <v>7.73099013119</v>
      </c>
      <c r="CW22" t="n">
        <v>50.51563095007756</v>
      </c>
      <c r="CX22" t="n">
        <v>11.09450161082244</v>
      </c>
      <c r="CY22" t="n">
        <v>967.1063444620002</v>
      </c>
      <c r="CZ22" t="n">
        <v>0.00406246458415987</v>
      </c>
      <c r="DA22" t="n">
        <v>0.00182100319917013</v>
      </c>
      <c r="DB22" t="n">
        <v>0</v>
      </c>
      <c r="DC22" t="n">
        <v>0</v>
      </c>
      <c r="DD22" t="n">
        <v>0.4672341779052208</v>
      </c>
      <c r="DE22" t="n">
        <v>0.2665403071037792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0.145615571681</v>
      </c>
      <c r="DM22" t="n">
        <v>3671.05667554</v>
      </c>
      <c r="DN22" t="n">
        <v>310.999624913</v>
      </c>
      <c r="DO22" t="n">
        <v>0</v>
      </c>
      <c r="DP22" t="n">
        <v>1938.44845799</v>
      </c>
      <c r="DQ22" t="n">
        <v>1956.93538405</v>
      </c>
      <c r="DR22" t="n">
        <v>2869.15447629</v>
      </c>
      <c r="DS22" t="n">
        <v>26547.7846919</v>
      </c>
      <c r="DT22" t="n">
        <v>1501.0289734745</v>
      </c>
      <c r="DU22" t="n">
        <v>7391.270739749999</v>
      </c>
      <c r="DV22" t="n">
        <v>0</v>
      </c>
      <c r="DW22" t="n">
        <v>0</v>
      </c>
      <c r="DX22" t="n">
        <v>160.5329327670646</v>
      </c>
      <c r="DY22" t="n">
        <v>458.081979294547</v>
      </c>
      <c r="DZ22" t="n">
        <v>10186.75299786705</v>
      </c>
      <c r="EA22" t="n">
        <v>1235.352666958281</v>
      </c>
      <c r="EB22" t="n">
        <v>488.069507329075</v>
      </c>
      <c r="EC22" t="n">
        <v>36.95167720963154</v>
      </c>
      <c r="ED22" t="n">
        <v>213.02996467476</v>
      </c>
      <c r="EE22" t="n">
        <v>167.1032224043203</v>
      </c>
      <c r="EF22" t="n">
        <v>0</v>
      </c>
      <c r="EG22" t="n">
        <v>11.36406994162234</v>
      </c>
      <c r="EH22" t="n">
        <v>0</v>
      </c>
      <c r="EI22" t="n">
        <v>0</v>
      </c>
      <c r="EJ22" t="n">
        <v>2459.82274317</v>
      </c>
      <c r="EK22" t="n">
        <v>9539.403568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8925.814611510001</v>
      </c>
      <c r="ER22" t="n">
        <v>1377.80644143</v>
      </c>
      <c r="ES22" t="n">
        <v>5628.20353823</v>
      </c>
      <c r="ET22" t="n">
        <v>8796.46644765</v>
      </c>
      <c r="EU22" t="n">
        <v>0</v>
      </c>
      <c r="EV22" t="n">
        <v>30296.038247431</v>
      </c>
      <c r="EW22" t="n">
        <v>769.0573023287</v>
      </c>
      <c r="EX22" t="n">
        <v>9886.43859541</v>
      </c>
      <c r="EY22" t="n">
        <v>7198.74526698</v>
      </c>
      <c r="EZ22" t="n">
        <v>83954.16485263</v>
      </c>
      <c r="FA22" t="n">
        <v>15294.563008583</v>
      </c>
      <c r="FB22" t="n">
        <v>30950.3724516</v>
      </c>
      <c r="FC22" t="n">
        <v>308.121759012</v>
      </c>
      <c r="FD22" t="n">
        <v>1190.086000744</v>
      </c>
      <c r="FE22" t="n">
        <v>749.5853719010657</v>
      </c>
      <c r="FF22" t="n">
        <v>11302.3998226312</v>
      </c>
      <c r="FG22" t="n">
        <v>16771.579081532</v>
      </c>
      <c r="FH22" t="n">
        <v>42904.6385463</v>
      </c>
      <c r="FI22" t="n">
        <v>13529.354277</v>
      </c>
      <c r="FJ22" t="n">
        <v>31909.8454513</v>
      </c>
      <c r="FK22" t="n">
        <v>0</v>
      </c>
      <c r="FL22" t="n">
        <v>242143.1325731</v>
      </c>
      <c r="FM22" t="n">
        <v>3328.271032657</v>
      </c>
      <c r="FN22" t="n">
        <v>70.8903087324</v>
      </c>
      <c r="FO22" t="n">
        <v>11126.0696009</v>
      </c>
      <c r="FP22" t="n">
        <v>15846.2651147</v>
      </c>
      <c r="FQ22" t="n">
        <v>186753.738044755</v>
      </c>
      <c r="FR22" t="n">
        <v>130808.66813279</v>
      </c>
      <c r="FS22" t="n">
        <v>258670.8658642</v>
      </c>
      <c r="FT22" t="n">
        <v>767.062811341</v>
      </c>
      <c r="FU22" t="n">
        <v>804.795130685</v>
      </c>
      <c r="FV22" t="n">
        <v>332.707084072</v>
      </c>
      <c r="FW22" t="n">
        <v>949.25281436</v>
      </c>
      <c r="FX22" t="n">
        <v>167.741871249</v>
      </c>
      <c r="FY22" t="n">
        <v>222.57871309</v>
      </c>
      <c r="FZ22" t="n">
        <v>919.981640762</v>
      </c>
      <c r="GA22" t="n">
        <v>70.53742816650001</v>
      </c>
      <c r="GB22" t="n">
        <v>6.1009405067</v>
      </c>
      <c r="GC22" t="n">
        <v>773.519846848</v>
      </c>
      <c r="GD22" t="n">
        <v>479.801236121</v>
      </c>
      <c r="GE22" t="n">
        <v>1.88906969237</v>
      </c>
      <c r="GF22" t="n">
        <v>266.243214735</v>
      </c>
      <c r="GG22" t="n">
        <v>472.339913116</v>
      </c>
      <c r="GH22" t="n">
        <v>460.334042583</v>
      </c>
      <c r="GI22" t="n">
        <v>317.565150196</v>
      </c>
      <c r="GJ22" t="n">
        <v>84.5779130124</v>
      </c>
      <c r="GK22" t="n">
        <v>1333.35580079</v>
      </c>
      <c r="GL22" t="n">
        <v>52.3022720474</v>
      </c>
      <c r="GM22" t="n">
        <v>192.223716855</v>
      </c>
      <c r="GN22" t="n">
        <v>22590.5100676</v>
      </c>
      <c r="GO22" t="n">
        <v>71885.0849681</v>
      </c>
      <c r="GP22" t="n">
        <v>11238.476071223</v>
      </c>
      <c r="GQ22" t="n">
        <v>0</v>
      </c>
      <c r="GR22" t="n">
        <v>10307.0682318725</v>
      </c>
      <c r="GS22" t="n">
        <v>5050.44137163263</v>
      </c>
      <c r="GT22" t="n">
        <v>31083.77676554307</v>
      </c>
      <c r="GU22" t="n">
        <v>8862.978943651917</v>
      </c>
      <c r="GV22" t="n">
        <v>8625.68364832183</v>
      </c>
      <c r="GW22" t="n">
        <v>35754.45194623331</v>
      </c>
      <c r="GX22" t="n">
        <v>348068.806370803</v>
      </c>
      <c r="GY22" t="n">
        <v>115961.4466882009</v>
      </c>
      <c r="GZ22" t="n">
        <v>5617.0054188691</v>
      </c>
      <c r="HA22" t="n">
        <v>76311.73408172725</v>
      </c>
      <c r="HB22" t="n">
        <v>83954.16485263</v>
      </c>
      <c r="HC22" t="n">
        <v>879887.6501223976</v>
      </c>
    </row>
    <row r="23">
      <c r="A23" s="1" t="inlineStr">
        <is>
          <t>M_imp*Y_dom</t>
        </is>
      </c>
      <c r="B23" t="n">
        <v>23137300.15891148</v>
      </c>
      <c r="C23" t="n">
        <v>513808772.9558432</v>
      </c>
      <c r="D23" t="n">
        <v>20345721.51485201</v>
      </c>
      <c r="E23" t="n">
        <v>1798774903.636397</v>
      </c>
      <c r="F23" t="n">
        <v>91460351.27903852</v>
      </c>
      <c r="G23" t="n">
        <v>0</v>
      </c>
      <c r="H23" t="n">
        <v>49310144.76570711</v>
      </c>
      <c r="I23" t="n">
        <v>0</v>
      </c>
      <c r="J23" t="n">
        <v>0</v>
      </c>
      <c r="K23" t="n">
        <v>0</v>
      </c>
      <c r="L23" t="n">
        <v>876825702.939854</v>
      </c>
      <c r="M23" t="n">
        <v>608055224.6357683</v>
      </c>
      <c r="N23" t="n">
        <v>56421568.61760419</v>
      </c>
      <c r="O23" t="n">
        <v>67743572.30140902</v>
      </c>
      <c r="P23" t="n">
        <v>0</v>
      </c>
      <c r="Q23" t="n">
        <v>0</v>
      </c>
      <c r="R23" t="n">
        <v>0</v>
      </c>
      <c r="S23" t="n">
        <v>2171086698.473465</v>
      </c>
      <c r="T23" t="n">
        <v>216005819.9197972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32550354.40911746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1574757811.705038</v>
      </c>
      <c r="AS23" t="n">
        <v>353987429.5519831</v>
      </c>
      <c r="AT23" t="n">
        <v>1919417754.629259</v>
      </c>
      <c r="AU23" t="n">
        <v>6017165391.494062</v>
      </c>
      <c r="AV23" t="n">
        <v>5068818.104956992</v>
      </c>
      <c r="AW23" t="n">
        <v>2271722517.176509</v>
      </c>
      <c r="AX23" t="n">
        <v>1136554.654663266</v>
      </c>
      <c r="AY23" t="n">
        <v>75920364.06055954</v>
      </c>
      <c r="AZ23" t="n">
        <v>7052152409.362725</v>
      </c>
      <c r="BA23" t="n">
        <v>1520425088.916513</v>
      </c>
      <c r="BB23" t="n">
        <v>929149870.8104439</v>
      </c>
      <c r="BC23" t="n">
        <v>79621745.85528587</v>
      </c>
      <c r="BD23" t="n">
        <v>310511574.1892822</v>
      </c>
      <c r="BE23" t="n">
        <v>316024118.8041191</v>
      </c>
      <c r="BF23" t="n">
        <v>17719987.21297187</v>
      </c>
      <c r="BG23" t="n">
        <v>531375181.2824389</v>
      </c>
      <c r="BH23" t="n">
        <v>96036255.22082521</v>
      </c>
      <c r="BI23" t="n">
        <v>0</v>
      </c>
      <c r="BJ23" t="n">
        <v>0</v>
      </c>
      <c r="BK23" t="n">
        <v>459164547.4374797</v>
      </c>
      <c r="BL23" t="n">
        <v>494380533.8322715</v>
      </c>
      <c r="BM23" t="n">
        <v>12383.83920875585</v>
      </c>
      <c r="BN23" t="n">
        <v>0</v>
      </c>
      <c r="BO23" t="n">
        <v>0</v>
      </c>
      <c r="BP23" t="n">
        <v>2358317520.446989</v>
      </c>
      <c r="BQ23" t="n">
        <v>0</v>
      </c>
      <c r="BR23" t="n">
        <v>0</v>
      </c>
      <c r="BS23" t="n">
        <v>5633376.903626045</v>
      </c>
      <c r="BT23" t="n">
        <v>0</v>
      </c>
      <c r="BU23" t="n">
        <v>1675727031.240243</v>
      </c>
      <c r="BV23" t="n">
        <v>166702.2498503895</v>
      </c>
      <c r="BW23" t="n">
        <v>0</v>
      </c>
      <c r="BX23" t="n">
        <v>39839536.37124772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6438829639.270943</v>
      </c>
      <c r="CJ23" t="n">
        <v>230593817.8469412</v>
      </c>
      <c r="CK23" t="n">
        <v>937501.3752472</v>
      </c>
      <c r="CL23" t="n">
        <v>3782137.203484648</v>
      </c>
      <c r="CM23" t="n">
        <v>1343339018.346955</v>
      </c>
      <c r="CN23" t="n">
        <v>0</v>
      </c>
      <c r="CO23" t="n">
        <v>0</v>
      </c>
      <c r="CP23" t="n">
        <v>21076844.82482611</v>
      </c>
      <c r="CQ23" t="n">
        <v>24733936.95393844</v>
      </c>
      <c r="CR23" t="n">
        <v>0</v>
      </c>
      <c r="CS23" t="n">
        <v>0</v>
      </c>
      <c r="CT23" t="n">
        <v>0</v>
      </c>
      <c r="CU23" t="n">
        <v>108241032.8549419</v>
      </c>
      <c r="CV23" t="n">
        <v>869814.8797083611</v>
      </c>
      <c r="CW23" t="n">
        <v>4943761.592085413</v>
      </c>
      <c r="CX23" t="n">
        <v>940486.3770271114</v>
      </c>
      <c r="CY23" t="n">
        <v>103043078.1990074</v>
      </c>
      <c r="CZ23" t="n">
        <v>564.2294024714918</v>
      </c>
      <c r="DA23" t="n">
        <v>198.2818051922395</v>
      </c>
      <c r="DB23" t="n">
        <v>0</v>
      </c>
      <c r="DC23" t="n">
        <v>0</v>
      </c>
      <c r="DD23" t="n">
        <v>64672.79034644908</v>
      </c>
      <c r="DE23" t="n">
        <v>38392.08886208649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19254.83161168423</v>
      </c>
      <c r="DM23" t="n">
        <v>471884032.1986403</v>
      </c>
      <c r="DN23" t="n">
        <v>33484539.73927669</v>
      </c>
      <c r="DO23" t="n">
        <v>0</v>
      </c>
      <c r="DP23" t="n">
        <v>191827977.4186733</v>
      </c>
      <c r="DQ23" t="n">
        <v>178206255.5919785</v>
      </c>
      <c r="DR23" t="n">
        <v>230978554.8001455</v>
      </c>
      <c r="DS23" t="n">
        <v>3403670571.461888</v>
      </c>
      <c r="DT23" t="n">
        <v>154748907.8800649</v>
      </c>
      <c r="DU23" t="n">
        <v>944767952.868466</v>
      </c>
      <c r="DV23" t="n">
        <v>0</v>
      </c>
      <c r="DW23" t="n">
        <v>0</v>
      </c>
      <c r="DX23" t="n">
        <v>142387834.9902726</v>
      </c>
      <c r="DY23" t="n">
        <v>42115831.69256027</v>
      </c>
      <c r="DZ23" t="n">
        <v>816753840.5746415</v>
      </c>
      <c r="EA23" t="n">
        <v>120234660.7971645</v>
      </c>
      <c r="EB23" t="n">
        <v>22425961.15855862</v>
      </c>
      <c r="EC23" t="n">
        <v>25705527.16568892</v>
      </c>
      <c r="ED23" t="n">
        <v>15221296.36245829</v>
      </c>
      <c r="EE23" t="n">
        <v>1702100.094747662</v>
      </c>
      <c r="EF23" t="n">
        <v>0</v>
      </c>
      <c r="EG23" t="n">
        <v>1442046.562076985</v>
      </c>
      <c r="EH23" t="n">
        <v>0</v>
      </c>
      <c r="EI23" t="n">
        <v>0</v>
      </c>
      <c r="EJ23" t="n">
        <v>87714249.47282508</v>
      </c>
      <c r="EK23" t="n">
        <v>317751604.4921875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726956426.0245957</v>
      </c>
      <c r="ER23" t="n">
        <v>639784535.2885861</v>
      </c>
      <c r="ES23" t="n">
        <v>353460867.3860564</v>
      </c>
      <c r="ET23" t="n">
        <v>966684664.5742472</v>
      </c>
      <c r="EU23" t="n">
        <v>0</v>
      </c>
      <c r="EV23" t="n">
        <v>917597219.9386845</v>
      </c>
      <c r="EW23" t="n">
        <v>59983754.70604224</v>
      </c>
      <c r="EX23" t="n">
        <v>429636221.0427941</v>
      </c>
      <c r="EY23" t="n">
        <v>315868095.7152604</v>
      </c>
      <c r="EZ23" t="n">
        <v>5803761498.471989</v>
      </c>
      <c r="FA23" t="n">
        <v>2607790954.660183</v>
      </c>
      <c r="FB23" t="n">
        <v>2643059091.60501</v>
      </c>
      <c r="FC23" t="n">
        <v>275286565.7291471</v>
      </c>
      <c r="FD23" t="n">
        <v>2229454306.313027</v>
      </c>
      <c r="FE23" t="n">
        <v>733402770.9839197</v>
      </c>
      <c r="FF23" t="n">
        <v>2802820976.454155</v>
      </c>
      <c r="FG23" t="n">
        <v>1404497876.023621</v>
      </c>
      <c r="FH23" t="n">
        <v>1855357592.863003</v>
      </c>
      <c r="FI23" t="n">
        <v>818078054.1329839</v>
      </c>
      <c r="FJ23" t="n">
        <v>2194278055.730248</v>
      </c>
      <c r="FK23" t="n">
        <v>0</v>
      </c>
      <c r="FL23" t="n">
        <v>16263842952.90133</v>
      </c>
      <c r="FM23" t="n">
        <v>183788874.9148898</v>
      </c>
      <c r="FN23" t="n">
        <v>3629156.846568449</v>
      </c>
      <c r="FO23" t="n">
        <v>2154159648.587352</v>
      </c>
      <c r="FP23" t="n">
        <v>758101330.1949009</v>
      </c>
      <c r="FQ23" t="n">
        <v>13010747562.39507</v>
      </c>
      <c r="FR23" t="n">
        <v>5340394217.39799</v>
      </c>
      <c r="FS23" t="n">
        <v>9791202057.231085</v>
      </c>
      <c r="FT23" t="n">
        <v>43809525.92960456</v>
      </c>
      <c r="FU23" t="n">
        <v>46319953.68147074</v>
      </c>
      <c r="FV23" t="n">
        <v>20417069.89507452</v>
      </c>
      <c r="FW23" t="n">
        <v>54681035.43362512</v>
      </c>
      <c r="FX23" t="n">
        <v>9645254.320365794</v>
      </c>
      <c r="FY23" t="n">
        <v>13135260.17370244</v>
      </c>
      <c r="FZ23" t="n">
        <v>51192771.15095073</v>
      </c>
      <c r="GA23" t="n">
        <v>3750982.867825469</v>
      </c>
      <c r="GB23" t="n">
        <v>333330.9281957702</v>
      </c>
      <c r="GC23" t="n">
        <v>44669928.50894339</v>
      </c>
      <c r="GD23" t="n">
        <v>27641676.31524418</v>
      </c>
      <c r="GE23" t="n">
        <v>501927.7192015303</v>
      </c>
      <c r="GF23" t="n">
        <v>17171856.7555399</v>
      </c>
      <c r="GG23" t="n">
        <v>30722111.511049</v>
      </c>
      <c r="GH23" t="n">
        <v>28931851.20002012</v>
      </c>
      <c r="GI23" t="n">
        <v>19501567.17485091</v>
      </c>
      <c r="GJ23" t="n">
        <v>5768144.857752798</v>
      </c>
      <c r="GK23" t="n">
        <v>73992979.34222093</v>
      </c>
      <c r="GL23" t="n">
        <v>3272353.330355513</v>
      </c>
      <c r="GM23" t="n">
        <v>11222683.75277664</v>
      </c>
      <c r="GN23" t="n">
        <v>1453125006.441141</v>
      </c>
      <c r="GO23" t="n">
        <v>6669056202.56998</v>
      </c>
      <c r="GP23" t="n">
        <v>779168421.1859456</v>
      </c>
      <c r="GQ23" t="n">
        <v>0</v>
      </c>
      <c r="GR23" t="n">
        <v>1803843721.741354</v>
      </c>
      <c r="GS23" t="n">
        <v>1574757811.705038</v>
      </c>
      <c r="GT23" t="n">
        <v>9775451503.250927</v>
      </c>
      <c r="GU23" t="n">
        <v>2544149905.71391</v>
      </c>
      <c r="GV23" t="n">
        <v>2339466089.477918</v>
      </c>
      <c r="GW23" t="n">
        <v>9822313829.863848</v>
      </c>
      <c r="GX23" t="n">
        <v>32538609592.45886</v>
      </c>
      <c r="GY23" t="n">
        <v>20803515112.60408</v>
      </c>
      <c r="GZ23" t="n">
        <v>644255680.2063732</v>
      </c>
      <c r="HA23" t="n">
        <v>10517480826.28989</v>
      </c>
      <c r="HB23" t="n">
        <v>5803761498.471989</v>
      </c>
      <c r="HC23" t="n">
        <v>48998812480.15239</v>
      </c>
    </row>
    <row r="24">
      <c r="A24" s="1" t="inlineStr">
        <is>
          <t>M_dom*Y_dom</t>
        </is>
      </c>
      <c r="B24" t="n">
        <v>336766176.6380345</v>
      </c>
      <c r="C24" t="n">
        <v>8993054843.124998</v>
      </c>
      <c r="D24" t="n">
        <v>327420756.1394502</v>
      </c>
      <c r="E24" t="n">
        <v>6819625924.081488</v>
      </c>
      <c r="F24" t="n">
        <v>2167982734.729561</v>
      </c>
      <c r="G24" t="n">
        <v>0</v>
      </c>
      <c r="H24" t="n">
        <v>203117117.2196287</v>
      </c>
      <c r="I24" t="n">
        <v>0</v>
      </c>
      <c r="J24" t="n">
        <v>0</v>
      </c>
      <c r="K24" t="n">
        <v>0</v>
      </c>
      <c r="L24" t="n">
        <v>4338500701.716516</v>
      </c>
      <c r="M24" t="n">
        <v>3409629215.862601</v>
      </c>
      <c r="N24" t="n">
        <v>271946907.1507053</v>
      </c>
      <c r="O24" t="n">
        <v>562326266.093971</v>
      </c>
      <c r="P24" t="n">
        <v>0</v>
      </c>
      <c r="Q24" t="n">
        <v>0</v>
      </c>
      <c r="R24" t="n">
        <v>0</v>
      </c>
      <c r="S24" t="n">
        <v>5782253964.846046</v>
      </c>
      <c r="T24" t="n">
        <v>214994121.0133539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85226742.04191813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16724821211.46878</v>
      </c>
      <c r="AS24" t="n">
        <v>1431629980.533046</v>
      </c>
      <c r="AT24" t="n">
        <v>3174381761.618108</v>
      </c>
      <c r="AU24" t="n">
        <v>7656090879.845249</v>
      </c>
      <c r="AV24" t="n">
        <v>9573577.595886339</v>
      </c>
      <c r="AW24" t="n">
        <v>11045516936.12586</v>
      </c>
      <c r="AX24" t="n">
        <v>1229331.379643797</v>
      </c>
      <c r="AY24" t="n">
        <v>609736787.5802268</v>
      </c>
      <c r="AZ24" t="n">
        <v>17508333246.16322</v>
      </c>
      <c r="BA24" t="n">
        <v>3205842354.011158</v>
      </c>
      <c r="BB24" t="n">
        <v>2288337770.393808</v>
      </c>
      <c r="BC24" t="n">
        <v>94189856.47876982</v>
      </c>
      <c r="BD24" t="n">
        <v>60892867.93456016</v>
      </c>
      <c r="BE24" t="n">
        <v>64846433.17385916</v>
      </c>
      <c r="BF24" t="n">
        <v>11246522.60684512</v>
      </c>
      <c r="BG24" t="n">
        <v>391489976.0199855</v>
      </c>
      <c r="BH24" t="n">
        <v>27735026.25268937</v>
      </c>
      <c r="BI24" t="n">
        <v>0</v>
      </c>
      <c r="BJ24" t="n">
        <v>0</v>
      </c>
      <c r="BK24" t="n">
        <v>93080079.8843836</v>
      </c>
      <c r="BL24" t="n">
        <v>162098803.2238108</v>
      </c>
      <c r="BM24" t="n">
        <v>36490.07528026085</v>
      </c>
      <c r="BN24" t="n">
        <v>0</v>
      </c>
      <c r="BO24" t="n">
        <v>0</v>
      </c>
      <c r="BP24" t="n">
        <v>429535925.2699</v>
      </c>
      <c r="BQ24" t="n">
        <v>0</v>
      </c>
      <c r="BR24" t="n">
        <v>0</v>
      </c>
      <c r="BS24" t="n">
        <v>1460553.289947974</v>
      </c>
      <c r="BT24" t="n">
        <v>0</v>
      </c>
      <c r="BU24" t="n">
        <v>324811711.7957333</v>
      </c>
      <c r="BV24" t="n">
        <v>33342.5821475134</v>
      </c>
      <c r="BW24" t="n">
        <v>0</v>
      </c>
      <c r="BX24" t="n">
        <v>8084585.805610783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1922558953.987654</v>
      </c>
      <c r="CJ24" t="n">
        <v>99215728.13926254</v>
      </c>
      <c r="CK24" t="n">
        <v>634447.9080531802</v>
      </c>
      <c r="CL24" t="n">
        <v>4241382.346320813</v>
      </c>
      <c r="CM24" t="n">
        <v>609216341.2039504</v>
      </c>
      <c r="CN24" t="n">
        <v>0</v>
      </c>
      <c r="CO24" t="n">
        <v>0</v>
      </c>
      <c r="CP24" t="n">
        <v>14756350.97286146</v>
      </c>
      <c r="CQ24" t="n">
        <v>32900578.2158375</v>
      </c>
      <c r="CR24" t="n">
        <v>0</v>
      </c>
      <c r="CS24" t="n">
        <v>0</v>
      </c>
      <c r="CT24" t="n">
        <v>0</v>
      </c>
      <c r="CU24" t="n">
        <v>67407079.71051636</v>
      </c>
      <c r="CV24" t="n">
        <v>1316548.741315206</v>
      </c>
      <c r="CW24" t="n">
        <v>10548253.68473622</v>
      </c>
      <c r="CX24" t="n">
        <v>874435.2349907403</v>
      </c>
      <c r="CY24" t="n">
        <v>84928338.0622699</v>
      </c>
      <c r="CZ24" t="n">
        <v>1532.111313868335</v>
      </c>
      <c r="DA24" t="n">
        <v>106.6692686962734</v>
      </c>
      <c r="DB24" t="n">
        <v>0</v>
      </c>
      <c r="DC24" t="n">
        <v>0</v>
      </c>
      <c r="DD24" t="n">
        <v>20753.20198224506</v>
      </c>
      <c r="DE24" t="n">
        <v>7016.30212105385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10632.21111738384</v>
      </c>
      <c r="DM24" t="n">
        <v>106131593.8026473</v>
      </c>
      <c r="DN24" t="n">
        <v>7158077.101995543</v>
      </c>
      <c r="DO24" t="n">
        <v>0</v>
      </c>
      <c r="DP24" t="n">
        <v>41168351.80071666</v>
      </c>
      <c r="DQ24" t="n">
        <v>39825954.30460191</v>
      </c>
      <c r="DR24" t="n">
        <v>59700302.06352657</v>
      </c>
      <c r="DS24" t="n">
        <v>742262087.6230551</v>
      </c>
      <c r="DT24" t="n">
        <v>23656104.66299741</v>
      </c>
      <c r="DU24" t="n">
        <v>268063395.2004494</v>
      </c>
      <c r="DV24" t="n">
        <v>0</v>
      </c>
      <c r="DW24" t="n">
        <v>0</v>
      </c>
      <c r="DX24" t="n">
        <v>361534132.9623708</v>
      </c>
      <c r="DY24" t="n">
        <v>164741175.8882839</v>
      </c>
      <c r="DZ24" t="n">
        <v>344701737.9317039</v>
      </c>
      <c r="EA24" t="n">
        <v>43790674.19830155</v>
      </c>
      <c r="EB24" t="n">
        <v>14104494.65336869</v>
      </c>
      <c r="EC24" t="n">
        <v>99780019.67027432</v>
      </c>
      <c r="ED24" t="n">
        <v>13020473.40423764</v>
      </c>
      <c r="EE24" t="n">
        <v>1317763.8329807</v>
      </c>
      <c r="EF24" t="n">
        <v>0</v>
      </c>
      <c r="EG24" t="n">
        <v>491872.8936325844</v>
      </c>
      <c r="EH24" t="n">
        <v>0</v>
      </c>
      <c r="EI24" t="n">
        <v>0</v>
      </c>
      <c r="EJ24" t="n">
        <v>26887796.01146081</v>
      </c>
      <c r="EK24" t="n">
        <v>97989970.75189465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468245491.0558008</v>
      </c>
      <c r="ER24" t="n">
        <v>1122446018.146926</v>
      </c>
      <c r="ES24" t="n">
        <v>145091238.510912</v>
      </c>
      <c r="ET24" t="n">
        <v>406067280.6622153</v>
      </c>
      <c r="EU24" t="n">
        <v>0</v>
      </c>
      <c r="EV24" t="n">
        <v>262427974.6015382</v>
      </c>
      <c r="EW24" t="n">
        <v>15757941.63323379</v>
      </c>
      <c r="EX24" t="n">
        <v>198129481.0067651</v>
      </c>
      <c r="EY24" t="n">
        <v>134217895.388814</v>
      </c>
      <c r="EZ24" t="n">
        <v>7862542129.893025</v>
      </c>
      <c r="FA24" t="n">
        <v>645686803.3831995</v>
      </c>
      <c r="FB24" t="n">
        <v>2273921819.18779</v>
      </c>
      <c r="FC24" t="n">
        <v>7959705.168592541</v>
      </c>
      <c r="FD24" t="n">
        <v>1626224067.84091</v>
      </c>
      <c r="FE24" t="n">
        <v>684020819.3431245</v>
      </c>
      <c r="FF24" t="n">
        <v>2498677556.827152</v>
      </c>
      <c r="FG24" t="n">
        <v>654479194.9480537</v>
      </c>
      <c r="FH24" t="n">
        <v>592293065.6824542</v>
      </c>
      <c r="FI24" t="n">
        <v>255415585.7259631</v>
      </c>
      <c r="FJ24" t="n">
        <v>593743206.1085993</v>
      </c>
      <c r="FK24" t="n">
        <v>0</v>
      </c>
      <c r="FL24" t="n">
        <v>6626554897.319055</v>
      </c>
      <c r="FM24" t="n">
        <v>89147392.75582547</v>
      </c>
      <c r="FN24" t="n">
        <v>1214519.889724649</v>
      </c>
      <c r="FO24" t="n">
        <v>568559820.2055901</v>
      </c>
      <c r="FP24" t="n">
        <v>307845866.6880071</v>
      </c>
      <c r="FQ24" t="n">
        <v>4664169137.095913</v>
      </c>
      <c r="FR24" t="n">
        <v>3376850148.96072</v>
      </c>
      <c r="FS24" t="n">
        <v>4363299814.031797</v>
      </c>
      <c r="FT24" t="n">
        <v>28286216.06315064</v>
      </c>
      <c r="FU24" t="n">
        <v>29563972.4758825</v>
      </c>
      <c r="FV24" t="n">
        <v>11904140.79594309</v>
      </c>
      <c r="FW24" t="n">
        <v>35149171.66739058</v>
      </c>
      <c r="FX24" t="n">
        <v>6442815.421013684</v>
      </c>
      <c r="FY24" t="n">
        <v>8145634.693289138</v>
      </c>
      <c r="FZ24" t="n">
        <v>33111053.60815784</v>
      </c>
      <c r="GA24" t="n">
        <v>2309379.727742933</v>
      </c>
      <c r="GB24" t="n">
        <v>174373.2726020917</v>
      </c>
      <c r="GC24" t="n">
        <v>25930216.58177284</v>
      </c>
      <c r="GD24" t="n">
        <v>74214735.20994316</v>
      </c>
      <c r="GE24" t="n">
        <v>36214.34862338119</v>
      </c>
      <c r="GF24" t="n">
        <v>50749536.03040064</v>
      </c>
      <c r="GG24" t="n">
        <v>96682173.27457084</v>
      </c>
      <c r="GH24" t="n">
        <v>479199972.2573149</v>
      </c>
      <c r="GI24" t="n">
        <v>170854273.9267149</v>
      </c>
      <c r="GJ24" t="n">
        <v>21947086.95837211</v>
      </c>
      <c r="GK24" t="n">
        <v>67264029.11431967</v>
      </c>
      <c r="GL24" t="n">
        <v>23359970.74448939</v>
      </c>
      <c r="GM24" t="n">
        <v>34939972.92129743</v>
      </c>
      <c r="GN24" t="n">
        <v>452705635.1194285</v>
      </c>
      <c r="GO24" t="n">
        <v>3315294800.469895</v>
      </c>
      <c r="GP24" t="n">
        <v>66438290.15496697</v>
      </c>
      <c r="GQ24" t="n">
        <v>0</v>
      </c>
      <c r="GR24" t="n">
        <v>6829199501.677374</v>
      </c>
      <c r="GS24" t="n">
        <v>16724821211.46878</v>
      </c>
      <c r="GT24" t="n">
        <v>20010232539.57552</v>
      </c>
      <c r="GU24" t="n">
        <v>11532457964.28992</v>
      </c>
      <c r="GV24" t="n">
        <v>11607843202.21984</v>
      </c>
      <c r="GW24" t="n">
        <v>26415535374.59405</v>
      </c>
      <c r="GX24" t="n">
        <v>18845248849.2925</v>
      </c>
      <c r="GY24" t="n">
        <v>11479956865.62622</v>
      </c>
      <c r="GZ24" t="n">
        <v>136985823.7152644</v>
      </c>
      <c r="HA24" t="n">
        <v>4792048379.393853</v>
      </c>
      <c r="HB24" t="n">
        <v>7862542129.893025</v>
      </c>
      <c r="HC24" t="n">
        <v>21257345948.07119</v>
      </c>
    </row>
    <row r="25">
      <c r="A25" s="1" t="inlineStr">
        <is>
          <t>M_imp*Y_dom+M_dom*Y_dom</t>
        </is>
      </c>
      <c r="B25" t="n">
        <v>359903476.7969459</v>
      </c>
      <c r="C25" t="n">
        <v>9506863616.080841</v>
      </c>
      <c r="D25" t="n">
        <v>347766477.6543022</v>
      </c>
      <c r="E25" t="n">
        <v>8618400827.717884</v>
      </c>
      <c r="F25" t="n">
        <v>2259443086.0086</v>
      </c>
      <c r="G25" t="n">
        <v>0</v>
      </c>
      <c r="H25" t="n">
        <v>252427261.9853358</v>
      </c>
      <c r="I25" t="n">
        <v>0</v>
      </c>
      <c r="J25" t="n">
        <v>0</v>
      </c>
      <c r="K25" t="n">
        <v>0</v>
      </c>
      <c r="L25" t="n">
        <v>5215326404.65637</v>
      </c>
      <c r="M25" t="n">
        <v>4017684440.49837</v>
      </c>
      <c r="N25" t="n">
        <v>328368475.7683095</v>
      </c>
      <c r="O25" t="n">
        <v>630069838.39538</v>
      </c>
      <c r="P25" t="n">
        <v>0</v>
      </c>
      <c r="Q25" t="n">
        <v>0</v>
      </c>
      <c r="R25" t="n">
        <v>0</v>
      </c>
      <c r="S25" t="n">
        <v>7953340663.319511</v>
      </c>
      <c r="T25" t="n">
        <v>430999940.9331511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117777096.4510356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18299579023.17382</v>
      </c>
      <c r="AS25" t="n">
        <v>1785617410.08503</v>
      </c>
      <c r="AT25" t="n">
        <v>5093799516.247367</v>
      </c>
      <c r="AU25" t="n">
        <v>13673256271.33931</v>
      </c>
      <c r="AV25" t="n">
        <v>14642395.70084333</v>
      </c>
      <c r="AW25" t="n">
        <v>13317239453.30237</v>
      </c>
      <c r="AX25" t="n">
        <v>2365886.034307063</v>
      </c>
      <c r="AY25" t="n">
        <v>685657151.6407863</v>
      </c>
      <c r="AZ25" t="n">
        <v>24560485655.52594</v>
      </c>
      <c r="BA25" t="n">
        <v>4726267442.92767</v>
      </c>
      <c r="BB25" t="n">
        <v>3217487641.204252</v>
      </c>
      <c r="BC25" t="n">
        <v>173811602.3340557</v>
      </c>
      <c r="BD25" t="n">
        <v>371404442.1238424</v>
      </c>
      <c r="BE25" t="n">
        <v>380870551.9779783</v>
      </c>
      <c r="BF25" t="n">
        <v>28966509.81981698</v>
      </c>
      <c r="BG25" t="n">
        <v>922865157.3024244</v>
      </c>
      <c r="BH25" t="n">
        <v>123771281.4735146</v>
      </c>
      <c r="BI25" t="n">
        <v>0</v>
      </c>
      <c r="BJ25" t="n">
        <v>0</v>
      </c>
      <c r="BK25" t="n">
        <v>552244627.3218633</v>
      </c>
      <c r="BL25" t="n">
        <v>656479337.0560822</v>
      </c>
      <c r="BM25" t="n">
        <v>48873.91448901669</v>
      </c>
      <c r="BN25" t="n">
        <v>0</v>
      </c>
      <c r="BO25" t="n">
        <v>0</v>
      </c>
      <c r="BP25" t="n">
        <v>2787853445.716889</v>
      </c>
      <c r="BQ25" t="n">
        <v>0</v>
      </c>
      <c r="BR25" t="n">
        <v>0</v>
      </c>
      <c r="BS25" t="n">
        <v>7093930.19357402</v>
      </c>
      <c r="BT25" t="n">
        <v>0</v>
      </c>
      <c r="BU25" t="n">
        <v>2000538743.035977</v>
      </c>
      <c r="BV25" t="n">
        <v>200044.8319979029</v>
      </c>
      <c r="BW25" t="n">
        <v>0</v>
      </c>
      <c r="BX25" t="n">
        <v>47924122.17685851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8361388593.258596</v>
      </c>
      <c r="CJ25" t="n">
        <v>329809545.9862037</v>
      </c>
      <c r="CK25" t="n">
        <v>1571949.28330038</v>
      </c>
      <c r="CL25" t="n">
        <v>8023519.54980546</v>
      </c>
      <c r="CM25" t="n">
        <v>1952555359.550905</v>
      </c>
      <c r="CN25" t="n">
        <v>0</v>
      </c>
      <c r="CO25" t="n">
        <v>0</v>
      </c>
      <c r="CP25" t="n">
        <v>35833195.79768757</v>
      </c>
      <c r="CQ25" t="n">
        <v>57634515.16977595</v>
      </c>
      <c r="CR25" t="n">
        <v>0</v>
      </c>
      <c r="CS25" t="n">
        <v>0</v>
      </c>
      <c r="CT25" t="n">
        <v>0</v>
      </c>
      <c r="CU25" t="n">
        <v>175648112.5654582</v>
      </c>
      <c r="CV25" t="n">
        <v>2186363.621023567</v>
      </c>
      <c r="CW25" t="n">
        <v>15492015.27682163</v>
      </c>
      <c r="CX25" t="n">
        <v>1814921.612017852</v>
      </c>
      <c r="CY25" t="n">
        <v>187971416.2612773</v>
      </c>
      <c r="CZ25" t="n">
        <v>2096.340716339827</v>
      </c>
      <c r="DA25" t="n">
        <v>304.951073888513</v>
      </c>
      <c r="DB25" t="n">
        <v>0</v>
      </c>
      <c r="DC25" t="n">
        <v>0</v>
      </c>
      <c r="DD25" t="n">
        <v>85425.99232869415</v>
      </c>
      <c r="DE25" t="n">
        <v>45408.39098314034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29887.04272906807</v>
      </c>
      <c r="DM25" t="n">
        <v>578015626.0012877</v>
      </c>
      <c r="DN25" t="n">
        <v>40642616.84127223</v>
      </c>
      <c r="DO25" t="n">
        <v>0</v>
      </c>
      <c r="DP25" t="n">
        <v>232996329.21939</v>
      </c>
      <c r="DQ25" t="n">
        <v>218032209.8965804</v>
      </c>
      <c r="DR25" t="n">
        <v>290678856.863672</v>
      </c>
      <c r="DS25" t="n">
        <v>4145932659.084943</v>
      </c>
      <c r="DT25" t="n">
        <v>178405012.5430623</v>
      </c>
      <c r="DU25" t="n">
        <v>1212831348.068915</v>
      </c>
      <c r="DV25" t="n">
        <v>0</v>
      </c>
      <c r="DW25" t="n">
        <v>0</v>
      </c>
      <c r="DX25" t="n">
        <v>503921967.9526434</v>
      </c>
      <c r="DY25" t="n">
        <v>206857007.5808442</v>
      </c>
      <c r="DZ25" t="n">
        <v>1161455578.506345</v>
      </c>
      <c r="EA25" t="n">
        <v>164025334.995466</v>
      </c>
      <c r="EB25" t="n">
        <v>36530455.8119273</v>
      </c>
      <c r="EC25" t="n">
        <v>125485546.8359632</v>
      </c>
      <c r="ED25" t="n">
        <v>28241769.76669592</v>
      </c>
      <c r="EE25" t="n">
        <v>3019863.927728362</v>
      </c>
      <c r="EF25" t="n">
        <v>0</v>
      </c>
      <c r="EG25" t="n">
        <v>1933919.455709569</v>
      </c>
      <c r="EH25" t="n">
        <v>0</v>
      </c>
      <c r="EI25" t="n">
        <v>0</v>
      </c>
      <c r="EJ25" t="n">
        <v>114602045.4842859</v>
      </c>
      <c r="EK25" t="n">
        <v>415741575.2440822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1195201917.080397</v>
      </c>
      <c r="ER25" t="n">
        <v>1762230553.435512</v>
      </c>
      <c r="ES25" t="n">
        <v>498552105.8969684</v>
      </c>
      <c r="ET25" t="n">
        <v>1372751945.236463</v>
      </c>
      <c r="EU25" t="n">
        <v>0</v>
      </c>
      <c r="EV25" t="n">
        <v>1180025194.540223</v>
      </c>
      <c r="EW25" t="n">
        <v>75741696.33927603</v>
      </c>
      <c r="EX25" t="n">
        <v>627765702.0495592</v>
      </c>
      <c r="EY25" t="n">
        <v>450085991.1040745</v>
      </c>
      <c r="EZ25" t="n">
        <v>13666303628.36501</v>
      </c>
      <c r="FA25" t="n">
        <v>3253477758.043383</v>
      </c>
      <c r="FB25" t="n">
        <v>4916980910.7928</v>
      </c>
      <c r="FC25" t="n">
        <v>283246270.8977396</v>
      </c>
      <c r="FD25" t="n">
        <v>3855678374.153937</v>
      </c>
      <c r="FE25" t="n">
        <v>1417423590.327044</v>
      </c>
      <c r="FF25" t="n">
        <v>5301498533.281307</v>
      </c>
      <c r="FG25" t="n">
        <v>2058977070.971675</v>
      </c>
      <c r="FH25" t="n">
        <v>2447650658.545457</v>
      </c>
      <c r="FI25" t="n">
        <v>1073493639.858947</v>
      </c>
      <c r="FJ25" t="n">
        <v>2788021261.838848</v>
      </c>
      <c r="FK25" t="n">
        <v>0</v>
      </c>
      <c r="FL25" t="n">
        <v>22890397850.22039</v>
      </c>
      <c r="FM25" t="n">
        <v>272936267.6707153</v>
      </c>
      <c r="FN25" t="n">
        <v>4843676.736293098</v>
      </c>
      <c r="FO25" t="n">
        <v>2722719468.792943</v>
      </c>
      <c r="FP25" t="n">
        <v>1065947196.882908</v>
      </c>
      <c r="FQ25" t="n">
        <v>17674916699.49099</v>
      </c>
      <c r="FR25" t="n">
        <v>8717244366.358711</v>
      </c>
      <c r="FS25" t="n">
        <v>14154501871.26288</v>
      </c>
      <c r="FT25" t="n">
        <v>72095741.9927552</v>
      </c>
      <c r="FU25" t="n">
        <v>75883926.15735325</v>
      </c>
      <c r="FV25" t="n">
        <v>32321210.69101761</v>
      </c>
      <c r="FW25" t="n">
        <v>89830207.10101572</v>
      </c>
      <c r="FX25" t="n">
        <v>16088069.74137948</v>
      </c>
      <c r="FY25" t="n">
        <v>21280894.86699158</v>
      </c>
      <c r="FZ25" t="n">
        <v>84303824.75910857</v>
      </c>
      <c r="GA25" t="n">
        <v>6060362.595568402</v>
      </c>
      <c r="GB25" t="n">
        <v>507704.2007978618</v>
      </c>
      <c r="GC25" t="n">
        <v>70600145.09071623</v>
      </c>
      <c r="GD25" t="n">
        <v>101856411.5251873</v>
      </c>
      <c r="GE25" t="n">
        <v>538142.0678249116</v>
      </c>
      <c r="GF25" t="n">
        <v>67921392.78594054</v>
      </c>
      <c r="GG25" t="n">
        <v>127404284.7856198</v>
      </c>
      <c r="GH25" t="n">
        <v>508131823.457335</v>
      </c>
      <c r="GI25" t="n">
        <v>190355841.1015658</v>
      </c>
      <c r="GJ25" t="n">
        <v>27715231.81612491</v>
      </c>
      <c r="GK25" t="n">
        <v>141257008.4565406</v>
      </c>
      <c r="GL25" t="n">
        <v>26632324.07484491</v>
      </c>
      <c r="GM25" t="n">
        <v>46162656.67407407</v>
      </c>
      <c r="GN25" t="n">
        <v>1905830641.560569</v>
      </c>
      <c r="GO25" t="n">
        <v>9984351003.039875</v>
      </c>
      <c r="GP25" t="n">
        <v>845606711.3409126</v>
      </c>
      <c r="GQ25" t="n">
        <v>0</v>
      </c>
      <c r="GR25" t="n">
        <v>8633043223.418728</v>
      </c>
      <c r="GS25" t="n">
        <v>18299579023.17382</v>
      </c>
      <c r="GT25" t="n">
        <v>29785684042.82645</v>
      </c>
      <c r="GU25" t="n">
        <v>14076607870.00383</v>
      </c>
      <c r="GV25" t="n">
        <v>13947309291.69775</v>
      </c>
      <c r="GW25" t="n">
        <v>36237849204.4579</v>
      </c>
      <c r="GX25" t="n">
        <v>51383858441.75136</v>
      </c>
      <c r="GY25" t="n">
        <v>32283471978.2303</v>
      </c>
      <c r="GZ25" t="n">
        <v>781241503.9216377</v>
      </c>
      <c r="HA25" t="n">
        <v>15309529205.68374</v>
      </c>
      <c r="HB25" t="n">
        <v>13666303628.36501</v>
      </c>
      <c r="HC25" t="n">
        <v>70256158428.22359</v>
      </c>
    </row>
    <row r="26">
      <c r="A26" s="1" t="inlineStr">
        <is>
          <t>M_row*Y_imp</t>
        </is>
      </c>
      <c r="B26" t="n">
        <v>39767211.85802385</v>
      </c>
      <c r="C26" t="n">
        <v>302978867.3785812</v>
      </c>
      <c r="D26" t="n">
        <v>3686833.586100271</v>
      </c>
      <c r="E26" t="n">
        <v>56679032.74366338</v>
      </c>
      <c r="F26" t="n">
        <v>1252151503.928905</v>
      </c>
      <c r="G26" t="n">
        <v>0</v>
      </c>
      <c r="H26" t="n">
        <v>0</v>
      </c>
      <c r="I26" t="n">
        <v>11661249.11448746</v>
      </c>
      <c r="J26" t="n">
        <v>0</v>
      </c>
      <c r="K26" t="n">
        <v>0</v>
      </c>
      <c r="L26" t="n">
        <v>24242871.26950175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158851806.4332592</v>
      </c>
      <c r="T26" t="n">
        <v>3607834272.039464</v>
      </c>
      <c r="U26" t="n">
        <v>5808113.442025402</v>
      </c>
      <c r="V26" t="n">
        <v>0</v>
      </c>
      <c r="W26" t="n">
        <v>52263497.44040583</v>
      </c>
      <c r="X26" t="n">
        <v>0</v>
      </c>
      <c r="Y26" t="n">
        <v>284912.7505293982</v>
      </c>
      <c r="Z26" t="n">
        <v>0</v>
      </c>
      <c r="AA26" t="n">
        <v>0</v>
      </c>
      <c r="AB26" t="n">
        <v>0</v>
      </c>
      <c r="AC26" t="n">
        <v>0</v>
      </c>
      <c r="AD26" t="n">
        <v>156418417.6777132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686926225.5029041</v>
      </c>
      <c r="AS26" t="n">
        <v>291754172.4951286</v>
      </c>
      <c r="AT26" t="n">
        <v>340148784.592329</v>
      </c>
      <c r="AU26" t="n">
        <v>908791332.7185555</v>
      </c>
      <c r="AV26" t="n">
        <v>92795778.04912999</v>
      </c>
      <c r="AW26" t="n">
        <v>633318314.0123537</v>
      </c>
      <c r="AX26" t="n">
        <v>55854354.27277613</v>
      </c>
      <c r="AY26" t="n">
        <v>0</v>
      </c>
      <c r="AZ26" t="n">
        <v>0</v>
      </c>
      <c r="BA26" t="n">
        <v>274566747.6467651</v>
      </c>
      <c r="BB26" t="n">
        <v>0</v>
      </c>
      <c r="BC26" t="n">
        <v>0</v>
      </c>
      <c r="BD26" t="n">
        <v>0</v>
      </c>
      <c r="BE26" t="n">
        <v>3625259831.237544</v>
      </c>
      <c r="BF26" t="n">
        <v>733410169.693495</v>
      </c>
      <c r="BG26" t="n">
        <v>1817367356.648367</v>
      </c>
      <c r="BH26" t="n">
        <v>45349451.66992912</v>
      </c>
      <c r="BI26" t="n">
        <v>0</v>
      </c>
      <c r="BJ26" t="n">
        <v>0</v>
      </c>
      <c r="BK26" t="n">
        <v>274292051.4192853</v>
      </c>
      <c r="BL26" t="n">
        <v>232955243.2774803</v>
      </c>
      <c r="BM26" t="n">
        <v>63468.13113666384</v>
      </c>
      <c r="BN26" t="n">
        <v>0</v>
      </c>
      <c r="BO26" t="n">
        <v>0</v>
      </c>
      <c r="BP26" t="n">
        <v>134145248.8353391</v>
      </c>
      <c r="BQ26" t="n">
        <v>0</v>
      </c>
      <c r="BR26" t="n">
        <v>0</v>
      </c>
      <c r="BS26" t="n">
        <v>20645294.29595967</v>
      </c>
      <c r="BT26" t="n">
        <v>0</v>
      </c>
      <c r="BU26" t="n">
        <v>2419076885.386278</v>
      </c>
      <c r="BV26" t="n">
        <v>308323.0650949362</v>
      </c>
      <c r="BW26" t="n">
        <v>0</v>
      </c>
      <c r="BX26" t="n">
        <v>286828203.5981455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532813557.5558499</v>
      </c>
      <c r="CJ26" t="n">
        <v>103078922.980456</v>
      </c>
      <c r="CK26" t="n">
        <v>0</v>
      </c>
      <c r="CL26" t="n">
        <v>5539310.521555079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975699438.8318202</v>
      </c>
      <c r="CV26" t="n">
        <v>200661.8472092353</v>
      </c>
      <c r="CW26" t="n">
        <v>21046.87840320263</v>
      </c>
      <c r="CX26" t="n">
        <v>27293.51284590469</v>
      </c>
      <c r="CY26" t="n">
        <v>65886960.57393301</v>
      </c>
      <c r="CZ26" t="n">
        <v>0</v>
      </c>
      <c r="DA26" t="n">
        <v>188.115271664627</v>
      </c>
      <c r="DB26" t="n">
        <v>31120840.65852215</v>
      </c>
      <c r="DC26" t="n">
        <v>53.74711474636364</v>
      </c>
      <c r="DD26" t="n">
        <v>317701.7511261106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4017426.290324359</v>
      </c>
      <c r="DK26" t="n">
        <v>25372.21574393713</v>
      </c>
      <c r="DL26" t="n">
        <v>0</v>
      </c>
      <c r="DM26" t="n">
        <v>287706680.0863742</v>
      </c>
      <c r="DN26" t="n">
        <v>91908304.24043468</v>
      </c>
      <c r="DO26" t="n">
        <v>0</v>
      </c>
      <c r="DP26" t="n">
        <v>11487988624.17479</v>
      </c>
      <c r="DQ26" t="n">
        <v>13755505713.55441</v>
      </c>
      <c r="DR26" t="n">
        <v>3627748306.032435</v>
      </c>
      <c r="DS26" t="n">
        <v>3169597399.711593</v>
      </c>
      <c r="DT26" t="n">
        <v>1260908222.384798</v>
      </c>
      <c r="DU26" t="n">
        <v>1122072988.608329</v>
      </c>
      <c r="DV26" t="n">
        <v>0</v>
      </c>
      <c r="DW26" t="n">
        <v>0</v>
      </c>
      <c r="DX26" t="n">
        <v>4314022.590858805</v>
      </c>
      <c r="DY26" t="n">
        <v>0</v>
      </c>
      <c r="DZ26" t="n">
        <v>2702222.11962092</v>
      </c>
      <c r="EA26" t="n">
        <v>108794783.3293292</v>
      </c>
      <c r="EB26" t="n">
        <v>159274718.3234645</v>
      </c>
      <c r="EC26" t="n">
        <v>1333634.514929315</v>
      </c>
      <c r="ED26" t="n">
        <v>1359541.117406939</v>
      </c>
      <c r="EE26" t="n">
        <v>2350899.177594599</v>
      </c>
      <c r="EF26" t="n">
        <v>0</v>
      </c>
      <c r="EG26" t="n">
        <v>11652.12943214175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23857234.75648762</v>
      </c>
      <c r="EY26" t="n">
        <v>0</v>
      </c>
      <c r="EZ26" t="n">
        <v>0</v>
      </c>
      <c r="FA26" t="n">
        <v>531257223.574097</v>
      </c>
      <c r="FB26" t="n">
        <v>1221511670.511632</v>
      </c>
      <c r="FC26" t="n">
        <v>516721.035385532</v>
      </c>
      <c r="FD26" t="n">
        <v>1267755903.974101</v>
      </c>
      <c r="FE26" t="n">
        <v>58795833.03807186</v>
      </c>
      <c r="FF26" t="n">
        <v>73992811.74669965</v>
      </c>
      <c r="FG26" t="n">
        <v>2436431346.822251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190169072.9856398</v>
      </c>
      <c r="FT26" t="n">
        <v>1263846.739760472</v>
      </c>
      <c r="FU26" t="n">
        <v>0</v>
      </c>
      <c r="FV26" t="n">
        <v>114063.9836609514</v>
      </c>
      <c r="FW26" t="n">
        <v>0</v>
      </c>
      <c r="FX26" t="n">
        <v>1862083.446888685</v>
      </c>
      <c r="FY26" t="n">
        <v>1778337.589599853</v>
      </c>
      <c r="FZ26" t="n">
        <v>2935013.906177501</v>
      </c>
      <c r="GA26" t="n">
        <v>291565.9393479912</v>
      </c>
      <c r="GB26" t="n">
        <v>5237.204103837134</v>
      </c>
      <c r="GC26" t="n">
        <v>2401086.104558305</v>
      </c>
      <c r="GD26" t="n">
        <v>4710904.218584708</v>
      </c>
      <c r="GE26" t="n">
        <v>0</v>
      </c>
      <c r="GF26" t="n">
        <v>7118224.104366777</v>
      </c>
      <c r="GG26" t="n">
        <v>5482894.194748405</v>
      </c>
      <c r="GH26" t="n">
        <v>11267449.74473937</v>
      </c>
      <c r="GI26" t="n">
        <v>2541669.211481252</v>
      </c>
      <c r="GJ26" t="n">
        <v>3357592.431709444</v>
      </c>
      <c r="GK26" t="n">
        <v>0</v>
      </c>
      <c r="GL26" t="n">
        <v>151401.5736443507</v>
      </c>
      <c r="GM26" t="n">
        <v>4315131.258344938</v>
      </c>
      <c r="GN26" t="n">
        <v>0</v>
      </c>
      <c r="GO26" t="n">
        <v>350303933.0573676</v>
      </c>
      <c r="GP26" t="n">
        <v>71062994.61650427</v>
      </c>
      <c r="GQ26" t="n">
        <v>0</v>
      </c>
      <c r="GR26" t="n">
        <v>149474810.7927934</v>
      </c>
      <c r="GS26" t="n">
        <v>686926225.5029041</v>
      </c>
      <c r="GT26" t="n">
        <v>1564937161.075515</v>
      </c>
      <c r="GU26" t="n">
        <v>4241152586.051817</v>
      </c>
      <c r="GV26" t="n">
        <v>633318314.0123537</v>
      </c>
      <c r="GW26" t="n">
        <v>1634001066.820958</v>
      </c>
      <c r="GX26" t="n">
        <v>7156018674.40653</v>
      </c>
      <c r="GY26" t="n">
        <v>10725544682.59097</v>
      </c>
      <c r="GZ26" t="n">
        <v>4358670000.931039</v>
      </c>
      <c r="HA26" t="n">
        <v>33734453765.14359</v>
      </c>
      <c r="HB26" t="n">
        <v>0</v>
      </c>
      <c r="HC26" t="n">
        <v>3121421083.889967</v>
      </c>
    </row>
    <row r="27">
      <c r="A27" s="1" t="inlineStr">
        <is>
          <t>M_imp*Y_dom+M_dom*Y_dom+M_row*Y_imp</t>
        </is>
      </c>
      <c r="B27" t="n">
        <v>399670688.6549698</v>
      </c>
      <c r="C27" t="n">
        <v>9809842483.459423</v>
      </c>
      <c r="D27" t="n">
        <v>351453311.2404025</v>
      </c>
      <c r="E27" t="n">
        <v>8675079860.461548</v>
      </c>
      <c r="F27" t="n">
        <v>3511594589.937505</v>
      </c>
      <c r="G27" t="n">
        <v>0</v>
      </c>
      <c r="H27" t="n">
        <v>252427261.9853358</v>
      </c>
      <c r="I27" t="n">
        <v>11661249.11448746</v>
      </c>
      <c r="J27" t="n">
        <v>0</v>
      </c>
      <c r="K27" t="n">
        <v>0</v>
      </c>
      <c r="L27" t="n">
        <v>5239569275.925872</v>
      </c>
      <c r="M27" t="n">
        <v>4017684440.49837</v>
      </c>
      <c r="N27" t="n">
        <v>328368475.7683095</v>
      </c>
      <c r="O27" t="n">
        <v>630069838.39538</v>
      </c>
      <c r="P27" t="n">
        <v>0</v>
      </c>
      <c r="Q27" t="n">
        <v>0</v>
      </c>
      <c r="R27" t="n">
        <v>0</v>
      </c>
      <c r="S27" t="n">
        <v>8112192469.75277</v>
      </c>
      <c r="T27" t="n">
        <v>4038834212.972615</v>
      </c>
      <c r="U27" t="n">
        <v>5808113.442025402</v>
      </c>
      <c r="V27" t="n">
        <v>0</v>
      </c>
      <c r="W27" t="n">
        <v>52263497.44040583</v>
      </c>
      <c r="X27" t="n">
        <v>0</v>
      </c>
      <c r="Y27" t="n">
        <v>284912.7505293982</v>
      </c>
      <c r="Z27" t="n">
        <v>0</v>
      </c>
      <c r="AA27" t="n">
        <v>0</v>
      </c>
      <c r="AB27" t="n">
        <v>0</v>
      </c>
      <c r="AC27" t="n">
        <v>0</v>
      </c>
      <c r="AD27" t="n">
        <v>274195514.1287488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18986505248.67672</v>
      </c>
      <c r="AS27" t="n">
        <v>2077371582.580158</v>
      </c>
      <c r="AT27" t="n">
        <v>5433948300.839696</v>
      </c>
      <c r="AU27" t="n">
        <v>14582047604.05787</v>
      </c>
      <c r="AV27" t="n">
        <v>107438173.7499733</v>
      </c>
      <c r="AW27" t="n">
        <v>13950557767.31473</v>
      </c>
      <c r="AX27" t="n">
        <v>58220240.3070832</v>
      </c>
      <c r="AY27" t="n">
        <v>685657151.6407863</v>
      </c>
      <c r="AZ27" t="n">
        <v>24560485655.52594</v>
      </c>
      <c r="BA27" t="n">
        <v>5000834190.574435</v>
      </c>
      <c r="BB27" t="n">
        <v>3217487641.204252</v>
      </c>
      <c r="BC27" t="n">
        <v>173811602.3340557</v>
      </c>
      <c r="BD27" t="n">
        <v>371404442.1238424</v>
      </c>
      <c r="BE27" t="n">
        <v>4006130383.215522</v>
      </c>
      <c r="BF27" t="n">
        <v>762376679.513312</v>
      </c>
      <c r="BG27" t="n">
        <v>2740232513.950791</v>
      </c>
      <c r="BH27" t="n">
        <v>169120733.1434437</v>
      </c>
      <c r="BI27" t="n">
        <v>0</v>
      </c>
      <c r="BJ27" t="n">
        <v>0</v>
      </c>
      <c r="BK27" t="n">
        <v>826536678.7411486</v>
      </c>
      <c r="BL27" t="n">
        <v>889434580.3335626</v>
      </c>
      <c r="BM27" t="n">
        <v>112342.0456256805</v>
      </c>
      <c r="BN27" t="n">
        <v>0</v>
      </c>
      <c r="BO27" t="n">
        <v>0</v>
      </c>
      <c r="BP27" t="n">
        <v>2921998694.552228</v>
      </c>
      <c r="BQ27" t="n">
        <v>0</v>
      </c>
      <c r="BR27" t="n">
        <v>0</v>
      </c>
      <c r="BS27" t="n">
        <v>27739224.48953369</v>
      </c>
      <c r="BT27" t="n">
        <v>0</v>
      </c>
      <c r="BU27" t="n">
        <v>4419615628.422255</v>
      </c>
      <c r="BV27" t="n">
        <v>508367.8970928391</v>
      </c>
      <c r="BW27" t="n">
        <v>0</v>
      </c>
      <c r="BX27" t="n">
        <v>334752325.775004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8894202150.814445</v>
      </c>
      <c r="CJ27" t="n">
        <v>432888468.9666597</v>
      </c>
      <c r="CK27" t="n">
        <v>1571949.28330038</v>
      </c>
      <c r="CL27" t="n">
        <v>13562830.07136054</v>
      </c>
      <c r="CM27" t="n">
        <v>1952555359.550905</v>
      </c>
      <c r="CN27" t="n">
        <v>0</v>
      </c>
      <c r="CO27" t="n">
        <v>0</v>
      </c>
      <c r="CP27" t="n">
        <v>35833195.79768757</v>
      </c>
      <c r="CQ27" t="n">
        <v>57634515.16977595</v>
      </c>
      <c r="CR27" t="n">
        <v>0</v>
      </c>
      <c r="CS27" t="n">
        <v>0</v>
      </c>
      <c r="CT27" t="n">
        <v>0</v>
      </c>
      <c r="CU27" t="n">
        <v>1151347551.397279</v>
      </c>
      <c r="CV27" t="n">
        <v>2387025.468232803</v>
      </c>
      <c r="CW27" t="n">
        <v>15513062.15522483</v>
      </c>
      <c r="CX27" t="n">
        <v>1842215.124863757</v>
      </c>
      <c r="CY27" t="n">
        <v>253858376.8352103</v>
      </c>
      <c r="CZ27" t="n">
        <v>2096.340716339827</v>
      </c>
      <c r="DA27" t="n">
        <v>493.0663455531399</v>
      </c>
      <c r="DB27" t="n">
        <v>31120840.65852215</v>
      </c>
      <c r="DC27" t="n">
        <v>53.74711474636364</v>
      </c>
      <c r="DD27" t="n">
        <v>403127.7434548047</v>
      </c>
      <c r="DE27" t="n">
        <v>45408.39098314034</v>
      </c>
      <c r="DF27" t="n">
        <v>0</v>
      </c>
      <c r="DG27" t="n">
        <v>0</v>
      </c>
      <c r="DH27" t="n">
        <v>0</v>
      </c>
      <c r="DI27" t="n">
        <v>0</v>
      </c>
      <c r="DJ27" t="n">
        <v>4017426.290324359</v>
      </c>
      <c r="DK27" t="n">
        <v>25372.21574393713</v>
      </c>
      <c r="DL27" t="n">
        <v>29887.04272906807</v>
      </c>
      <c r="DM27" t="n">
        <v>865722306.087662</v>
      </c>
      <c r="DN27" t="n">
        <v>132550921.0817069</v>
      </c>
      <c r="DO27" t="n">
        <v>0</v>
      </c>
      <c r="DP27" t="n">
        <v>11720984953.39418</v>
      </c>
      <c r="DQ27" t="n">
        <v>13973537923.45099</v>
      </c>
      <c r="DR27" t="n">
        <v>3918427162.896107</v>
      </c>
      <c r="DS27" t="n">
        <v>7315530058.796535</v>
      </c>
      <c r="DT27" t="n">
        <v>1439313234.92786</v>
      </c>
      <c r="DU27" t="n">
        <v>2334904336.677244</v>
      </c>
      <c r="DV27" t="n">
        <v>0</v>
      </c>
      <c r="DW27" t="n">
        <v>0</v>
      </c>
      <c r="DX27" t="n">
        <v>508235990.5435022</v>
      </c>
      <c r="DY27" t="n">
        <v>206857007.5808442</v>
      </c>
      <c r="DZ27" t="n">
        <v>1164157800.625966</v>
      </c>
      <c r="EA27" t="n">
        <v>272820118.3247952</v>
      </c>
      <c r="EB27" t="n">
        <v>195805174.1353918</v>
      </c>
      <c r="EC27" t="n">
        <v>126819181.3508925</v>
      </c>
      <c r="ED27" t="n">
        <v>29601310.88410286</v>
      </c>
      <c r="EE27" t="n">
        <v>5370763.105322961</v>
      </c>
      <c r="EF27" t="n">
        <v>0</v>
      </c>
      <c r="EG27" t="n">
        <v>1945571.585141711</v>
      </c>
      <c r="EH27" t="n">
        <v>0</v>
      </c>
      <c r="EI27" t="n">
        <v>0</v>
      </c>
      <c r="EJ27" t="n">
        <v>114602045.4842859</v>
      </c>
      <c r="EK27" t="n">
        <v>415741575.2440822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1195201917.080397</v>
      </c>
      <c r="ER27" t="n">
        <v>1762230553.435512</v>
      </c>
      <c r="ES27" t="n">
        <v>498552105.8969684</v>
      </c>
      <c r="ET27" t="n">
        <v>1372751945.236463</v>
      </c>
      <c r="EU27" t="n">
        <v>0</v>
      </c>
      <c r="EV27" t="n">
        <v>1180025194.540223</v>
      </c>
      <c r="EW27" t="n">
        <v>75741696.33927603</v>
      </c>
      <c r="EX27" t="n">
        <v>651622936.8060468</v>
      </c>
      <c r="EY27" t="n">
        <v>450085991.1040745</v>
      </c>
      <c r="EZ27" t="n">
        <v>13666303628.36501</v>
      </c>
      <c r="FA27" t="n">
        <v>3784734981.61748</v>
      </c>
      <c r="FB27" t="n">
        <v>6138492581.304432</v>
      </c>
      <c r="FC27" t="n">
        <v>283762991.9331252</v>
      </c>
      <c r="FD27" t="n">
        <v>5123434278.128038</v>
      </c>
      <c r="FE27" t="n">
        <v>1476219423.365116</v>
      </c>
      <c r="FF27" t="n">
        <v>5375491345.028007</v>
      </c>
      <c r="FG27" t="n">
        <v>4495408417.793926</v>
      </c>
      <c r="FH27" t="n">
        <v>2447650658.545457</v>
      </c>
      <c r="FI27" t="n">
        <v>1073493639.858947</v>
      </c>
      <c r="FJ27" t="n">
        <v>2788021261.838848</v>
      </c>
      <c r="FK27" t="n">
        <v>0</v>
      </c>
      <c r="FL27" t="n">
        <v>22890397850.22039</v>
      </c>
      <c r="FM27" t="n">
        <v>272936267.6707153</v>
      </c>
      <c r="FN27" t="n">
        <v>4843676.736293098</v>
      </c>
      <c r="FO27" t="n">
        <v>2722719468.792943</v>
      </c>
      <c r="FP27" t="n">
        <v>1065947196.882908</v>
      </c>
      <c r="FQ27" t="n">
        <v>17674916699.49099</v>
      </c>
      <c r="FR27" t="n">
        <v>8717244366.358711</v>
      </c>
      <c r="FS27" t="n">
        <v>14344670944.24852</v>
      </c>
      <c r="FT27" t="n">
        <v>73359588.73251568</v>
      </c>
      <c r="FU27" t="n">
        <v>75883926.15735325</v>
      </c>
      <c r="FV27" t="n">
        <v>32435274.67467856</v>
      </c>
      <c r="FW27" t="n">
        <v>89830207.10101572</v>
      </c>
      <c r="FX27" t="n">
        <v>17950153.18826816</v>
      </c>
      <c r="FY27" t="n">
        <v>23059232.45659143</v>
      </c>
      <c r="FZ27" t="n">
        <v>87238838.66528608</v>
      </c>
      <c r="GA27" t="n">
        <v>6351928.534916393</v>
      </c>
      <c r="GB27" t="n">
        <v>512941.404901699</v>
      </c>
      <c r="GC27" t="n">
        <v>73001231.19527453</v>
      </c>
      <c r="GD27" t="n">
        <v>106567315.743772</v>
      </c>
      <c r="GE27" t="n">
        <v>538142.0678249116</v>
      </c>
      <c r="GF27" t="n">
        <v>75039616.89030732</v>
      </c>
      <c r="GG27" t="n">
        <v>132887178.9803682</v>
      </c>
      <c r="GH27" t="n">
        <v>519399273.2020743</v>
      </c>
      <c r="GI27" t="n">
        <v>192897510.3130471</v>
      </c>
      <c r="GJ27" t="n">
        <v>31072824.24783435</v>
      </c>
      <c r="GK27" t="n">
        <v>141257008.4565406</v>
      </c>
      <c r="GL27" t="n">
        <v>26783725.64848926</v>
      </c>
      <c r="GM27" t="n">
        <v>50477787.93241901</v>
      </c>
      <c r="GN27" t="n">
        <v>1905830641.560569</v>
      </c>
      <c r="GO27" t="n">
        <v>10334654936.09724</v>
      </c>
      <c r="GP27" t="n">
        <v>916669705.9574169</v>
      </c>
      <c r="GQ27" t="n">
        <v>0</v>
      </c>
      <c r="GR27" t="n">
        <v>8782518034.211521</v>
      </c>
      <c r="GS27" t="n">
        <v>18986505248.67672</v>
      </c>
      <c r="GT27" t="n">
        <v>31350621203.90196</v>
      </c>
      <c r="GU27" t="n">
        <v>18317760456.05565</v>
      </c>
      <c r="GV27" t="n">
        <v>14580627605.71011</v>
      </c>
      <c r="GW27" t="n">
        <v>37871850271.27886</v>
      </c>
      <c r="GX27" t="n">
        <v>58539877116.15789</v>
      </c>
      <c r="GY27" t="n">
        <v>43009016660.82127</v>
      </c>
      <c r="GZ27" t="n">
        <v>5139911504.852676</v>
      </c>
      <c r="HA27" t="n">
        <v>49043982970.82733</v>
      </c>
      <c r="HB27" t="n">
        <v>13666303628.36501</v>
      </c>
      <c r="HC27" t="n">
        <v>73377579512.11356</v>
      </c>
    </row>
    <row r="28">
      <c r="A28" s="1" t="inlineStr">
        <is>
          <t>Clé de tri</t>
        </is>
      </c>
      <c r="B28">
        <f>INDEX(B$18:B$27,MATCH($B$1,$A$18:$A$27,0))</f>
        <v/>
      </c>
      <c r="C28">
        <f>INDEX(C$18:C$27,MATCH($B$1,$A$18:$A$27,0))</f>
        <v/>
      </c>
      <c r="D28">
        <f>INDEX(D$18:D$27,MATCH($B$1,$A$18:$A$27,0))</f>
        <v/>
      </c>
      <c r="E28">
        <f>INDEX(E$18:E$27,MATCH($B$1,$A$18:$A$27,0))</f>
        <v/>
      </c>
      <c r="F28">
        <f>INDEX(F$18:F$27,MATCH($B$1,$A$18:$A$27,0))</f>
        <v/>
      </c>
      <c r="G28">
        <f>INDEX(G$18:G$27,MATCH($B$1,$A$18:$A$27,0))</f>
        <v/>
      </c>
      <c r="H28">
        <f>INDEX(H$18:H$27,MATCH($B$1,$A$18:$A$27,0))</f>
        <v/>
      </c>
      <c r="I28">
        <f>INDEX(I$18:I$27,MATCH($B$1,$A$18:$A$27,0))</f>
        <v/>
      </c>
      <c r="J28">
        <f>INDEX(J$18:J$27,MATCH($B$1,$A$18:$A$27,0))</f>
        <v/>
      </c>
      <c r="K28">
        <f>INDEX(K$18:K$27,MATCH($B$1,$A$18:$A$27,0))</f>
        <v/>
      </c>
      <c r="L28">
        <f>INDEX(L$18:L$27,MATCH($B$1,$A$18:$A$27,0))</f>
        <v/>
      </c>
      <c r="M28">
        <f>INDEX(M$18:M$27,MATCH($B$1,$A$18:$A$27,0))</f>
        <v/>
      </c>
      <c r="N28">
        <f>INDEX(N$18:N$27,MATCH($B$1,$A$18:$A$27,0))</f>
        <v/>
      </c>
      <c r="O28">
        <f>INDEX(O$18:O$27,MATCH($B$1,$A$18:$A$27,0))</f>
        <v/>
      </c>
      <c r="P28">
        <f>INDEX(P$18:P$27,MATCH($B$1,$A$18:$A$27,0))</f>
        <v/>
      </c>
      <c r="Q28">
        <f>INDEX(Q$18:Q$27,MATCH($B$1,$A$18:$A$27,0))</f>
        <v/>
      </c>
      <c r="R28">
        <f>INDEX(R$18:R$27,MATCH($B$1,$A$18:$A$27,0))</f>
        <v/>
      </c>
      <c r="S28">
        <f>INDEX(S$18:S$27,MATCH($B$1,$A$18:$A$27,0))</f>
        <v/>
      </c>
      <c r="T28">
        <f>INDEX(T$18:T$27,MATCH($B$1,$A$18:$A$27,0))</f>
        <v/>
      </c>
      <c r="U28">
        <f>INDEX(U$18:U$27,MATCH($B$1,$A$18:$A$27,0))</f>
        <v/>
      </c>
      <c r="V28">
        <f>INDEX(V$18:V$27,MATCH($B$1,$A$18:$A$27,0))</f>
        <v/>
      </c>
      <c r="W28">
        <f>INDEX(W$18:W$27,MATCH($B$1,$A$18:$A$27,0))</f>
        <v/>
      </c>
      <c r="X28">
        <f>INDEX(X$18:X$27,MATCH($B$1,$A$18:$A$27,0))</f>
        <v/>
      </c>
      <c r="Y28">
        <f>INDEX(Y$18:Y$27,MATCH($B$1,$A$18:$A$27,0))</f>
        <v/>
      </c>
      <c r="Z28">
        <f>INDEX(Z$18:Z$27,MATCH($B$1,$A$18:$A$27,0))</f>
        <v/>
      </c>
      <c r="AA28">
        <f>INDEX(AA$18:AA$27,MATCH($B$1,$A$18:$A$27,0))</f>
        <v/>
      </c>
      <c r="AB28">
        <f>INDEX(AB$18:AB$27,MATCH($B$1,$A$18:$A$27,0))</f>
        <v/>
      </c>
      <c r="AC28">
        <f>INDEX(AC$18:AC$27,MATCH($B$1,$A$18:$A$27,0))</f>
        <v/>
      </c>
      <c r="AD28">
        <f>INDEX(AD$18:AD$27,MATCH($B$1,$A$18:$A$27,0))</f>
        <v/>
      </c>
      <c r="AE28">
        <f>INDEX(AE$18:AE$27,MATCH($B$1,$A$18:$A$27,0))</f>
        <v/>
      </c>
      <c r="AF28">
        <f>INDEX(AF$18:AF$27,MATCH($B$1,$A$18:$A$27,0))</f>
        <v/>
      </c>
      <c r="AG28">
        <f>INDEX(AG$18:AG$27,MATCH($B$1,$A$18:$A$27,0))</f>
        <v/>
      </c>
      <c r="AH28">
        <f>INDEX(AH$18:AH$27,MATCH($B$1,$A$18:$A$27,0))</f>
        <v/>
      </c>
      <c r="AI28">
        <f>INDEX(AI$18:AI$27,MATCH($B$1,$A$18:$A$27,0))</f>
        <v/>
      </c>
      <c r="AJ28">
        <f>INDEX(AJ$18:AJ$27,MATCH($B$1,$A$18:$A$27,0))</f>
        <v/>
      </c>
      <c r="AK28">
        <f>INDEX(AK$18:AK$27,MATCH($B$1,$A$18:$A$27,0))</f>
        <v/>
      </c>
      <c r="AL28">
        <f>INDEX(AL$18:AL$27,MATCH($B$1,$A$18:$A$27,0))</f>
        <v/>
      </c>
      <c r="AM28">
        <f>INDEX(AM$18:AM$27,MATCH($B$1,$A$18:$A$27,0))</f>
        <v/>
      </c>
      <c r="AN28">
        <f>INDEX(AN$18:AN$27,MATCH($B$1,$A$18:$A$27,0))</f>
        <v/>
      </c>
      <c r="AO28">
        <f>INDEX(AO$18:AO$27,MATCH($B$1,$A$18:$A$27,0))</f>
        <v/>
      </c>
      <c r="AP28">
        <f>INDEX(AP$18:AP$27,MATCH($B$1,$A$18:$A$27,0))</f>
        <v/>
      </c>
      <c r="AQ28">
        <f>INDEX(AQ$18:AQ$27,MATCH($B$1,$A$18:$A$27,0))</f>
        <v/>
      </c>
      <c r="AR28">
        <f>INDEX(AR$18:AR$27,MATCH($B$1,$A$18:$A$27,0))</f>
        <v/>
      </c>
      <c r="AS28">
        <f>INDEX(AS$18:AS$27,MATCH($B$1,$A$18:$A$27,0))</f>
        <v/>
      </c>
      <c r="AT28">
        <f>INDEX(AT$18:AT$27,MATCH($B$1,$A$18:$A$27,0))</f>
        <v/>
      </c>
      <c r="AU28">
        <f>INDEX(AU$18:AU$27,MATCH($B$1,$A$18:$A$27,0))</f>
        <v/>
      </c>
      <c r="AV28">
        <f>INDEX(AV$18:AV$27,MATCH($B$1,$A$18:$A$27,0))</f>
        <v/>
      </c>
      <c r="AW28">
        <f>INDEX(AW$18:AW$27,MATCH($B$1,$A$18:$A$27,0))</f>
        <v/>
      </c>
      <c r="AX28">
        <f>INDEX(AX$18:AX$27,MATCH($B$1,$A$18:$A$27,0))</f>
        <v/>
      </c>
      <c r="AY28">
        <f>INDEX(AY$18:AY$27,MATCH($B$1,$A$18:$A$27,0))</f>
        <v/>
      </c>
      <c r="AZ28">
        <f>INDEX(AZ$18:AZ$27,MATCH($B$1,$A$18:$A$27,0))</f>
        <v/>
      </c>
      <c r="BA28">
        <f>INDEX(BA$18:BA$27,MATCH($B$1,$A$18:$A$27,0))</f>
        <v/>
      </c>
      <c r="BB28">
        <f>INDEX(BB$18:BB$27,MATCH($B$1,$A$18:$A$27,0))</f>
        <v/>
      </c>
      <c r="BC28">
        <f>INDEX(BC$18:BC$27,MATCH($B$1,$A$18:$A$27,0))</f>
        <v/>
      </c>
      <c r="BD28">
        <f>INDEX(BD$18:BD$27,MATCH($B$1,$A$18:$A$27,0))</f>
        <v/>
      </c>
      <c r="BE28">
        <f>INDEX(BE$18:BE$27,MATCH($B$1,$A$18:$A$27,0))</f>
        <v/>
      </c>
      <c r="BF28">
        <f>INDEX(BF$18:BF$27,MATCH($B$1,$A$18:$A$27,0))</f>
        <v/>
      </c>
      <c r="BG28">
        <f>INDEX(BG$18:BG$27,MATCH($B$1,$A$18:$A$27,0))</f>
        <v/>
      </c>
      <c r="BH28">
        <f>INDEX(BH$18:BH$27,MATCH($B$1,$A$18:$A$27,0))</f>
        <v/>
      </c>
      <c r="BI28">
        <f>INDEX(BI$18:BI$27,MATCH($B$1,$A$18:$A$27,0))</f>
        <v/>
      </c>
      <c r="BJ28">
        <f>INDEX(BJ$18:BJ$27,MATCH($B$1,$A$18:$A$27,0))</f>
        <v/>
      </c>
      <c r="BK28">
        <f>INDEX(BK$18:BK$27,MATCH($B$1,$A$18:$A$27,0))</f>
        <v/>
      </c>
      <c r="BL28">
        <f>INDEX(BL$18:BL$27,MATCH($B$1,$A$18:$A$27,0))</f>
        <v/>
      </c>
      <c r="BM28">
        <f>INDEX(BM$18:BM$27,MATCH($B$1,$A$18:$A$27,0))</f>
        <v/>
      </c>
      <c r="BN28">
        <f>INDEX(BN$18:BN$27,MATCH($B$1,$A$18:$A$27,0))</f>
        <v/>
      </c>
      <c r="BO28">
        <f>INDEX(BO$18:BO$27,MATCH($B$1,$A$18:$A$27,0))</f>
        <v/>
      </c>
      <c r="BP28">
        <f>INDEX(BP$18:BP$27,MATCH($B$1,$A$18:$A$27,0))</f>
        <v/>
      </c>
      <c r="BQ28">
        <f>INDEX(BQ$18:BQ$27,MATCH($B$1,$A$18:$A$27,0))</f>
        <v/>
      </c>
      <c r="BR28">
        <f>INDEX(BR$18:BR$27,MATCH($B$1,$A$18:$A$27,0))</f>
        <v/>
      </c>
      <c r="BS28">
        <f>INDEX(BS$18:BS$27,MATCH($B$1,$A$18:$A$27,0))</f>
        <v/>
      </c>
      <c r="BT28">
        <f>INDEX(BT$18:BT$27,MATCH($B$1,$A$18:$A$27,0))</f>
        <v/>
      </c>
      <c r="BU28">
        <f>INDEX(BU$18:BU$27,MATCH($B$1,$A$18:$A$27,0))</f>
        <v/>
      </c>
      <c r="BV28">
        <f>INDEX(BV$18:BV$27,MATCH($B$1,$A$18:$A$27,0))</f>
        <v/>
      </c>
      <c r="BW28">
        <f>INDEX(BW$18:BW$27,MATCH($B$1,$A$18:$A$27,0))</f>
        <v/>
      </c>
      <c r="BX28">
        <f>INDEX(BX$18:BX$27,MATCH($B$1,$A$18:$A$27,0))</f>
        <v/>
      </c>
      <c r="BY28">
        <f>INDEX(BY$18:BY$27,MATCH($B$1,$A$18:$A$27,0))</f>
        <v/>
      </c>
      <c r="BZ28">
        <f>INDEX(BZ$18:BZ$27,MATCH($B$1,$A$18:$A$27,0))</f>
        <v/>
      </c>
      <c r="CA28">
        <f>INDEX(CA$18:CA$27,MATCH($B$1,$A$18:$A$27,0))</f>
        <v/>
      </c>
      <c r="CB28">
        <f>INDEX(CB$18:CB$27,MATCH($B$1,$A$18:$A$27,0))</f>
        <v/>
      </c>
      <c r="CC28">
        <f>INDEX(CC$18:CC$27,MATCH($B$1,$A$18:$A$27,0))</f>
        <v/>
      </c>
      <c r="CD28">
        <f>INDEX(CD$18:CD$27,MATCH($B$1,$A$18:$A$27,0))</f>
        <v/>
      </c>
      <c r="CE28">
        <f>INDEX(CE$18:CE$27,MATCH($B$1,$A$18:$A$27,0))</f>
        <v/>
      </c>
      <c r="CF28">
        <f>INDEX(CF$18:CF$27,MATCH($B$1,$A$18:$A$27,0))</f>
        <v/>
      </c>
      <c r="CG28">
        <f>INDEX(CG$18:CG$27,MATCH($B$1,$A$18:$A$27,0))</f>
        <v/>
      </c>
      <c r="CH28">
        <f>INDEX(CH$18:CH$27,MATCH($B$1,$A$18:$A$27,0))</f>
        <v/>
      </c>
      <c r="CI28">
        <f>INDEX(CI$18:CI$27,MATCH($B$1,$A$18:$A$27,0))</f>
        <v/>
      </c>
      <c r="CJ28">
        <f>INDEX(CJ$18:CJ$27,MATCH($B$1,$A$18:$A$27,0))</f>
        <v/>
      </c>
      <c r="CK28">
        <f>INDEX(CK$18:CK$27,MATCH($B$1,$A$18:$A$27,0))</f>
        <v/>
      </c>
      <c r="CL28">
        <f>INDEX(CL$18:CL$27,MATCH($B$1,$A$18:$A$27,0))</f>
        <v/>
      </c>
      <c r="CM28">
        <f>INDEX(CM$18:CM$27,MATCH($B$1,$A$18:$A$27,0))</f>
        <v/>
      </c>
      <c r="CN28">
        <f>INDEX(CN$18:CN$27,MATCH($B$1,$A$18:$A$27,0))</f>
        <v/>
      </c>
      <c r="CO28">
        <f>INDEX(CO$18:CO$27,MATCH($B$1,$A$18:$A$27,0))</f>
        <v/>
      </c>
      <c r="CP28">
        <f>INDEX(CP$18:CP$27,MATCH($B$1,$A$18:$A$27,0))</f>
        <v/>
      </c>
      <c r="CQ28">
        <f>INDEX(CQ$18:CQ$27,MATCH($B$1,$A$18:$A$27,0))</f>
        <v/>
      </c>
      <c r="CR28">
        <f>INDEX(CR$18:CR$27,MATCH($B$1,$A$18:$A$27,0))</f>
        <v/>
      </c>
      <c r="CS28">
        <f>INDEX(CS$18:CS$27,MATCH($B$1,$A$18:$A$27,0))</f>
        <v/>
      </c>
      <c r="CT28">
        <f>INDEX(CT$18:CT$27,MATCH($B$1,$A$18:$A$27,0))</f>
        <v/>
      </c>
      <c r="CU28">
        <f>INDEX(CU$18:CU$27,MATCH($B$1,$A$18:$A$27,0))</f>
        <v/>
      </c>
      <c r="CV28">
        <f>INDEX(CV$18:CV$27,MATCH($B$1,$A$18:$A$27,0))</f>
        <v/>
      </c>
      <c r="CW28">
        <f>INDEX(CW$18:CW$27,MATCH($B$1,$A$18:$A$27,0))</f>
        <v/>
      </c>
      <c r="CX28">
        <f>INDEX(CX$18:CX$27,MATCH($B$1,$A$18:$A$27,0))</f>
        <v/>
      </c>
      <c r="CY28">
        <f>INDEX(CY$18:CY$27,MATCH($B$1,$A$18:$A$27,0))</f>
        <v/>
      </c>
      <c r="CZ28">
        <f>INDEX(CZ$18:CZ$27,MATCH($B$1,$A$18:$A$27,0))</f>
        <v/>
      </c>
      <c r="DA28">
        <f>INDEX(DA$18:DA$27,MATCH($B$1,$A$18:$A$27,0))</f>
        <v/>
      </c>
      <c r="DB28">
        <f>INDEX(DB$18:DB$27,MATCH($B$1,$A$18:$A$27,0))</f>
        <v/>
      </c>
      <c r="DC28">
        <f>INDEX(DC$18:DC$27,MATCH($B$1,$A$18:$A$27,0))</f>
        <v/>
      </c>
      <c r="DD28">
        <f>INDEX(DD$18:DD$27,MATCH($B$1,$A$18:$A$27,0))</f>
        <v/>
      </c>
      <c r="DE28">
        <f>INDEX(DE$18:DE$27,MATCH($B$1,$A$18:$A$27,0))</f>
        <v/>
      </c>
      <c r="DF28">
        <f>INDEX(DF$18:DF$27,MATCH($B$1,$A$18:$A$27,0))</f>
        <v/>
      </c>
      <c r="DG28">
        <f>INDEX(DG$18:DG$27,MATCH($B$1,$A$18:$A$27,0))</f>
        <v/>
      </c>
      <c r="DH28">
        <f>INDEX(DH$18:DH$27,MATCH($B$1,$A$18:$A$27,0))</f>
        <v/>
      </c>
      <c r="DI28">
        <f>INDEX(DI$18:DI$27,MATCH($B$1,$A$18:$A$27,0))</f>
        <v/>
      </c>
      <c r="DJ28">
        <f>INDEX(DJ$18:DJ$27,MATCH($B$1,$A$18:$A$27,0))</f>
        <v/>
      </c>
      <c r="DK28">
        <f>INDEX(DK$18:DK$27,MATCH($B$1,$A$18:$A$27,0))</f>
        <v/>
      </c>
      <c r="DL28">
        <f>INDEX(DL$18:DL$27,MATCH($B$1,$A$18:$A$27,0))</f>
        <v/>
      </c>
      <c r="DM28">
        <f>INDEX(DM$18:DM$27,MATCH($B$1,$A$18:$A$27,0))</f>
        <v/>
      </c>
      <c r="DN28">
        <f>INDEX(DN$18:DN$27,MATCH($B$1,$A$18:$A$27,0))</f>
        <v/>
      </c>
      <c r="DO28">
        <f>INDEX(DO$18:DO$27,MATCH($B$1,$A$18:$A$27,0))</f>
        <v/>
      </c>
      <c r="DP28">
        <f>INDEX(DP$18:DP$27,MATCH($B$1,$A$18:$A$27,0))</f>
        <v/>
      </c>
      <c r="DQ28">
        <f>INDEX(DQ$18:DQ$27,MATCH($B$1,$A$18:$A$27,0))</f>
        <v/>
      </c>
      <c r="DR28">
        <f>INDEX(DR$18:DR$27,MATCH($B$1,$A$18:$A$27,0))</f>
        <v/>
      </c>
      <c r="DS28">
        <f>INDEX(DS$18:DS$27,MATCH($B$1,$A$18:$A$27,0))</f>
        <v/>
      </c>
      <c r="DT28">
        <f>INDEX(DT$18:DT$27,MATCH($B$1,$A$18:$A$27,0))</f>
        <v/>
      </c>
      <c r="DU28">
        <f>INDEX(DU$18:DU$27,MATCH($B$1,$A$18:$A$27,0))</f>
        <v/>
      </c>
      <c r="DV28">
        <f>INDEX(DV$18:DV$27,MATCH($B$1,$A$18:$A$27,0))</f>
        <v/>
      </c>
      <c r="DW28">
        <f>INDEX(DW$18:DW$27,MATCH($B$1,$A$18:$A$27,0))</f>
        <v/>
      </c>
      <c r="DX28">
        <f>INDEX(DX$18:DX$27,MATCH($B$1,$A$18:$A$27,0))</f>
        <v/>
      </c>
      <c r="DY28">
        <f>INDEX(DY$18:DY$27,MATCH($B$1,$A$18:$A$27,0))</f>
        <v/>
      </c>
      <c r="DZ28">
        <f>INDEX(DZ$18:DZ$27,MATCH($B$1,$A$18:$A$27,0))</f>
        <v/>
      </c>
      <c r="EA28">
        <f>INDEX(EA$18:EA$27,MATCH($B$1,$A$18:$A$27,0))</f>
        <v/>
      </c>
      <c r="EB28">
        <f>INDEX(EB$18:EB$27,MATCH($B$1,$A$18:$A$27,0))</f>
        <v/>
      </c>
      <c r="EC28">
        <f>INDEX(EC$18:EC$27,MATCH($B$1,$A$18:$A$27,0))</f>
        <v/>
      </c>
      <c r="ED28">
        <f>INDEX(ED$18:ED$27,MATCH($B$1,$A$18:$A$27,0))</f>
        <v/>
      </c>
      <c r="EE28">
        <f>INDEX(EE$18:EE$27,MATCH($B$1,$A$18:$A$27,0))</f>
        <v/>
      </c>
      <c r="EF28">
        <f>INDEX(EF$18:EF$27,MATCH($B$1,$A$18:$A$27,0))</f>
        <v/>
      </c>
      <c r="EG28">
        <f>INDEX(EG$18:EG$27,MATCH($B$1,$A$18:$A$27,0))</f>
        <v/>
      </c>
      <c r="EH28">
        <f>INDEX(EH$18:EH$27,MATCH($B$1,$A$18:$A$27,0))</f>
        <v/>
      </c>
      <c r="EI28">
        <f>INDEX(EI$18:EI$27,MATCH($B$1,$A$18:$A$27,0))</f>
        <v/>
      </c>
      <c r="EJ28">
        <f>INDEX(EJ$18:EJ$27,MATCH($B$1,$A$18:$A$27,0))</f>
        <v/>
      </c>
      <c r="EK28">
        <f>INDEX(EK$18:EK$27,MATCH($B$1,$A$18:$A$27,0))</f>
        <v/>
      </c>
      <c r="EL28">
        <f>INDEX(EL$18:EL$27,MATCH($B$1,$A$18:$A$27,0))</f>
        <v/>
      </c>
      <c r="EM28">
        <f>INDEX(EM$18:EM$27,MATCH($B$1,$A$18:$A$27,0))</f>
        <v/>
      </c>
      <c r="EN28">
        <f>INDEX(EN$18:EN$27,MATCH($B$1,$A$18:$A$27,0))</f>
        <v/>
      </c>
      <c r="EO28">
        <f>INDEX(EO$18:EO$27,MATCH($B$1,$A$18:$A$27,0))</f>
        <v/>
      </c>
      <c r="EP28">
        <f>INDEX(EP$18:EP$27,MATCH($B$1,$A$18:$A$27,0))</f>
        <v/>
      </c>
      <c r="EQ28">
        <f>INDEX(EQ$18:EQ$27,MATCH($B$1,$A$18:$A$27,0))</f>
        <v/>
      </c>
      <c r="ER28">
        <f>INDEX(ER$18:ER$27,MATCH($B$1,$A$18:$A$27,0))</f>
        <v/>
      </c>
      <c r="ES28">
        <f>INDEX(ES$18:ES$27,MATCH($B$1,$A$18:$A$27,0))</f>
        <v/>
      </c>
      <c r="ET28">
        <f>INDEX(ET$18:ET$27,MATCH($B$1,$A$18:$A$27,0))</f>
        <v/>
      </c>
      <c r="EU28">
        <f>INDEX(EU$18:EU$27,MATCH($B$1,$A$18:$A$27,0))</f>
        <v/>
      </c>
      <c r="EV28">
        <f>INDEX(EV$18:EV$27,MATCH($B$1,$A$18:$A$27,0))</f>
        <v/>
      </c>
      <c r="EW28">
        <f>INDEX(EW$18:EW$27,MATCH($B$1,$A$18:$A$27,0))</f>
        <v/>
      </c>
      <c r="EX28">
        <f>INDEX(EX$18:EX$27,MATCH($B$1,$A$18:$A$27,0))</f>
        <v/>
      </c>
      <c r="EY28">
        <f>INDEX(EY$18:EY$27,MATCH($B$1,$A$18:$A$27,0))</f>
        <v/>
      </c>
      <c r="EZ28">
        <f>INDEX(EZ$18:EZ$27,MATCH($B$1,$A$18:$A$27,0))</f>
        <v/>
      </c>
      <c r="FA28">
        <f>INDEX(FA$18:FA$27,MATCH($B$1,$A$18:$A$27,0))</f>
        <v/>
      </c>
      <c r="FB28">
        <f>INDEX(FB$18:FB$27,MATCH($B$1,$A$18:$A$27,0))</f>
        <v/>
      </c>
      <c r="FC28">
        <f>INDEX(FC$18:FC$27,MATCH($B$1,$A$18:$A$27,0))</f>
        <v/>
      </c>
      <c r="FD28">
        <f>INDEX(FD$18:FD$27,MATCH($B$1,$A$18:$A$27,0))</f>
        <v/>
      </c>
      <c r="FE28">
        <f>INDEX(FE$18:FE$27,MATCH($B$1,$A$18:$A$27,0))</f>
        <v/>
      </c>
      <c r="FF28">
        <f>INDEX(FF$18:FF$27,MATCH($B$1,$A$18:$A$27,0))</f>
        <v/>
      </c>
      <c r="FG28">
        <f>INDEX(FG$18:FG$27,MATCH($B$1,$A$18:$A$27,0))</f>
        <v/>
      </c>
      <c r="FH28">
        <f>INDEX(FH$18:FH$27,MATCH($B$1,$A$18:$A$27,0))</f>
        <v/>
      </c>
      <c r="FI28">
        <f>INDEX(FI$18:FI$27,MATCH($B$1,$A$18:$A$27,0))</f>
        <v/>
      </c>
      <c r="FJ28">
        <f>INDEX(FJ$18:FJ$27,MATCH($B$1,$A$18:$A$27,0))</f>
        <v/>
      </c>
      <c r="FK28">
        <f>INDEX(FK$18:FK$27,MATCH($B$1,$A$18:$A$27,0))</f>
        <v/>
      </c>
      <c r="FL28">
        <f>INDEX(FL$18:FL$27,MATCH($B$1,$A$18:$A$27,0))</f>
        <v/>
      </c>
      <c r="FM28">
        <f>INDEX(FM$18:FM$27,MATCH($B$1,$A$18:$A$27,0))</f>
        <v/>
      </c>
      <c r="FN28">
        <f>INDEX(FN$18:FN$27,MATCH($B$1,$A$18:$A$27,0))</f>
        <v/>
      </c>
      <c r="FO28">
        <f>INDEX(FO$18:FO$27,MATCH($B$1,$A$18:$A$27,0))</f>
        <v/>
      </c>
      <c r="FP28">
        <f>INDEX(FP$18:FP$27,MATCH($B$1,$A$18:$A$27,0))</f>
        <v/>
      </c>
      <c r="FQ28">
        <f>INDEX(FQ$18:FQ$27,MATCH($B$1,$A$18:$A$27,0))</f>
        <v/>
      </c>
      <c r="FR28">
        <f>INDEX(FR$18:FR$27,MATCH($B$1,$A$18:$A$27,0))</f>
        <v/>
      </c>
      <c r="FS28">
        <f>INDEX(FS$18:FS$27,MATCH($B$1,$A$18:$A$27,0))</f>
        <v/>
      </c>
      <c r="FT28">
        <f>INDEX(FT$18:FT$27,MATCH($B$1,$A$18:$A$27,0))</f>
        <v/>
      </c>
      <c r="FU28">
        <f>INDEX(FU$18:FU$27,MATCH($B$1,$A$18:$A$27,0))</f>
        <v/>
      </c>
      <c r="FV28">
        <f>INDEX(FV$18:FV$27,MATCH($B$1,$A$18:$A$27,0))</f>
        <v/>
      </c>
      <c r="FW28">
        <f>INDEX(FW$18:FW$27,MATCH($B$1,$A$18:$A$27,0))</f>
        <v/>
      </c>
      <c r="FX28">
        <f>INDEX(FX$18:FX$27,MATCH($B$1,$A$18:$A$27,0))</f>
        <v/>
      </c>
      <c r="FY28">
        <f>INDEX(FY$18:FY$27,MATCH($B$1,$A$18:$A$27,0))</f>
        <v/>
      </c>
      <c r="FZ28">
        <f>INDEX(FZ$18:FZ$27,MATCH($B$1,$A$18:$A$27,0))</f>
        <v/>
      </c>
      <c r="GA28">
        <f>INDEX(GA$18:GA$27,MATCH($B$1,$A$18:$A$27,0))</f>
        <v/>
      </c>
      <c r="GB28">
        <f>INDEX(GB$18:GB$27,MATCH($B$1,$A$18:$A$27,0))</f>
        <v/>
      </c>
      <c r="GC28">
        <f>INDEX(GC$18:GC$27,MATCH($B$1,$A$18:$A$27,0))</f>
        <v/>
      </c>
      <c r="GD28">
        <f>INDEX(GD$18:GD$27,MATCH($B$1,$A$18:$A$27,0))</f>
        <v/>
      </c>
      <c r="GE28">
        <f>INDEX(GE$18:GE$27,MATCH($B$1,$A$18:$A$27,0))</f>
        <v/>
      </c>
      <c r="GF28">
        <f>INDEX(GF$18:GF$27,MATCH($B$1,$A$18:$A$27,0))</f>
        <v/>
      </c>
      <c r="GG28">
        <f>INDEX(GG$18:GG$27,MATCH($B$1,$A$18:$A$27,0))</f>
        <v/>
      </c>
      <c r="GH28">
        <f>INDEX(GH$18:GH$27,MATCH($B$1,$A$18:$A$27,0))</f>
        <v/>
      </c>
      <c r="GI28">
        <f>INDEX(GI$18:GI$27,MATCH($B$1,$A$18:$A$27,0))</f>
        <v/>
      </c>
      <c r="GJ28">
        <f>INDEX(GJ$18:GJ$27,MATCH($B$1,$A$18:$A$27,0))</f>
        <v/>
      </c>
      <c r="GK28">
        <f>INDEX(GK$18:GK$27,MATCH($B$1,$A$18:$A$27,0))</f>
        <v/>
      </c>
      <c r="GL28">
        <f>INDEX(GL$18:GL$27,MATCH($B$1,$A$18:$A$27,0))</f>
        <v/>
      </c>
      <c r="GM28">
        <f>INDEX(GM$18:GM$27,MATCH($B$1,$A$18:$A$27,0))</f>
        <v/>
      </c>
      <c r="GN28">
        <f>INDEX(GN$18:GN$27,MATCH($B$1,$A$18:$A$27,0))</f>
        <v/>
      </c>
      <c r="GO28">
        <f>INDEX(GO$18:GO$27,MATCH($B$1,$A$18:$A$27,0))</f>
        <v/>
      </c>
      <c r="GP28">
        <f>INDEX(GP$18:GP$27,MATCH($B$1,$A$18:$A$27,0))</f>
        <v/>
      </c>
      <c r="GQ28">
        <f>INDEX(GQ$18:GQ$27,MATCH($B$1,$A$18:$A$27,0))</f>
        <v/>
      </c>
      <c r="GR28">
        <f>INDEX(GR$18:GR$27,MATCH($B$1,$A$18:$A$27,0))</f>
        <v/>
      </c>
      <c r="GS28">
        <f>INDEX(GS$18:GS$27,MATCH($B$1,$A$18:$A$27,0))</f>
        <v/>
      </c>
      <c r="GT28">
        <f>INDEX(GT$18:GT$27,MATCH($B$1,$A$18:$A$27,0))</f>
        <v/>
      </c>
      <c r="GU28">
        <f>INDEX(GU$18:GU$27,MATCH($B$1,$A$18:$A$27,0))</f>
        <v/>
      </c>
      <c r="GV28">
        <f>INDEX(GV$18:GV$27,MATCH($B$1,$A$18:$A$27,0))</f>
        <v/>
      </c>
      <c r="GW28">
        <f>INDEX(GW$18:GW$27,MATCH($B$1,$A$18:$A$27,0))</f>
        <v/>
      </c>
      <c r="GX28">
        <f>INDEX(GX$18:GX$27,MATCH($B$1,$A$18:$A$27,0))</f>
        <v/>
      </c>
      <c r="GY28">
        <f>INDEX(GY$18:GY$27,MATCH($B$1,$A$18:$A$27,0))</f>
        <v/>
      </c>
      <c r="GZ28">
        <f>INDEX(GZ$18:GZ$27,MATCH($B$1,$A$18:$A$27,0))</f>
        <v/>
      </c>
      <c r="HA28">
        <f>INDEX(HA$18:HA$27,MATCH($B$1,$A$18:$A$27,0))</f>
        <v/>
      </c>
      <c r="HB28">
        <f>INDEX(HB$18:HB$27,MATCH($B$1,$A$18:$A$27,0))</f>
        <v/>
      </c>
      <c r="HC28">
        <f>INDEX(HC$18:HC$27,MATCH($B$1,$A$18:$A$27,0))</f>
        <v/>
      </c>
    </row>
    <row r="29">
      <c r="A29" s="1" t="inlineStr">
        <is>
          <t>Rang</t>
        </is>
      </c>
      <c r="B29">
        <f>RANK(B28,$B$28:$GQ$28,0)+COUNTIF($B$28:B28,B28)-1</f>
        <v/>
      </c>
      <c r="C29">
        <f>RANK(C28,$B$28:$GQ$28,0)+COUNTIF($B$28:C28,C28)-1</f>
        <v/>
      </c>
      <c r="D29">
        <f>RANK(D28,$B$28:$GQ$28,0)+COUNTIF($B$28:D28,D28)-1</f>
        <v/>
      </c>
      <c r="E29">
        <f>RANK(E28,$B$28:$GQ$28,0)+COUNTIF($B$28:E28,E28)-1</f>
        <v/>
      </c>
      <c r="F29">
        <f>RANK(F28,$B$28:$GQ$28,0)+COUNTIF($B$28:F28,F28)-1</f>
        <v/>
      </c>
      <c r="G29">
        <f>RANK(G28,$B$28:$GQ$28,0)+COUNTIF($B$28:G28,G28)-1</f>
        <v/>
      </c>
      <c r="H29">
        <f>RANK(H28,$B$28:$GQ$28,0)+COUNTIF($B$28:H28,H28)-1</f>
        <v/>
      </c>
      <c r="I29">
        <f>RANK(I28,$B$28:$GQ$28,0)+COUNTIF($B$28:I28,I28)-1</f>
        <v/>
      </c>
      <c r="J29">
        <f>RANK(J28,$B$28:$GQ$28,0)+COUNTIF($B$28:J28,J28)-1</f>
        <v/>
      </c>
      <c r="K29">
        <f>RANK(K28,$B$28:$GQ$28,0)+COUNTIF($B$28:K28,K28)-1</f>
        <v/>
      </c>
      <c r="L29">
        <f>RANK(L28,$B$28:$GQ$28,0)+COUNTIF($B$28:L28,L28)-1</f>
        <v/>
      </c>
      <c r="M29">
        <f>RANK(M28,$B$28:$GQ$28,0)+COUNTIF($B$28:M28,M28)-1</f>
        <v/>
      </c>
      <c r="N29">
        <f>RANK(N28,$B$28:$GQ$28,0)+COUNTIF($B$28:N28,N28)-1</f>
        <v/>
      </c>
      <c r="O29">
        <f>RANK(O28,$B$28:$GQ$28,0)+COUNTIF($B$28:O28,O28)-1</f>
        <v/>
      </c>
      <c r="P29">
        <f>RANK(P28,$B$28:$GQ$28,0)+COUNTIF($B$28:P28,P28)-1</f>
        <v/>
      </c>
      <c r="Q29">
        <f>RANK(Q28,$B$28:$GQ$28,0)+COUNTIF($B$28:Q28,Q28)-1</f>
        <v/>
      </c>
      <c r="R29">
        <f>RANK(R28,$B$28:$GQ$28,0)+COUNTIF($B$28:R28,R28)-1</f>
        <v/>
      </c>
      <c r="S29">
        <f>RANK(S28,$B$28:$GQ$28,0)+COUNTIF($B$28:S28,S28)-1</f>
        <v/>
      </c>
      <c r="T29">
        <f>RANK(T28,$B$28:$GQ$28,0)+COUNTIF($B$28:T28,T28)-1</f>
        <v/>
      </c>
      <c r="U29">
        <f>RANK(U28,$B$28:$GQ$28,0)+COUNTIF($B$28:U28,U28)-1</f>
        <v/>
      </c>
      <c r="V29">
        <f>RANK(V28,$B$28:$GQ$28,0)+COUNTIF($B$28:V28,V28)-1</f>
        <v/>
      </c>
      <c r="W29">
        <f>RANK(W28,$B$28:$GQ$28,0)+COUNTIF($B$28:W28,W28)-1</f>
        <v/>
      </c>
      <c r="X29">
        <f>RANK(X28,$B$28:$GQ$28,0)+COUNTIF($B$28:X28,X28)-1</f>
        <v/>
      </c>
      <c r="Y29">
        <f>RANK(Y28,$B$28:$GQ$28,0)+COUNTIF($B$28:Y28,Y28)-1</f>
        <v/>
      </c>
      <c r="Z29">
        <f>RANK(Z28,$B$28:$GQ$28,0)+COUNTIF($B$28:Z28,Z28)-1</f>
        <v/>
      </c>
      <c r="AA29">
        <f>RANK(AA28,$B$28:$GQ$28,0)+COUNTIF($B$28:AA28,AA28)-1</f>
        <v/>
      </c>
      <c r="AB29">
        <f>RANK(AB28,$B$28:$GQ$28,0)+COUNTIF($B$28:AB28,AB28)-1</f>
        <v/>
      </c>
      <c r="AC29">
        <f>RANK(AC28,$B$28:$GQ$28,0)+COUNTIF($B$28:AC28,AC28)-1</f>
        <v/>
      </c>
      <c r="AD29">
        <f>RANK(AD28,$B$28:$GQ$28,0)+COUNTIF($B$28:AD28,AD28)-1</f>
        <v/>
      </c>
      <c r="AE29">
        <f>RANK(AE28,$B$28:$GQ$28,0)+COUNTIF($B$28:AE28,AE28)-1</f>
        <v/>
      </c>
      <c r="AF29">
        <f>RANK(AF28,$B$28:$GQ$28,0)+COUNTIF($B$28:AF28,AF28)-1</f>
        <v/>
      </c>
      <c r="AG29">
        <f>RANK(AG28,$B$28:$GQ$28,0)+COUNTIF($B$28:AG28,AG28)-1</f>
        <v/>
      </c>
      <c r="AH29">
        <f>RANK(AH28,$B$28:$GQ$28,0)+COUNTIF($B$28:AH28,AH28)-1</f>
        <v/>
      </c>
      <c r="AI29">
        <f>RANK(AI28,$B$28:$GQ$28,0)+COUNTIF($B$28:AI28,AI28)-1</f>
        <v/>
      </c>
      <c r="AJ29">
        <f>RANK(AJ28,$B$28:$GQ$28,0)+COUNTIF($B$28:AJ28,AJ28)-1</f>
        <v/>
      </c>
      <c r="AK29">
        <f>RANK(AK28,$B$28:$GQ$28,0)+COUNTIF($B$28:AK28,AK28)-1</f>
        <v/>
      </c>
      <c r="AL29">
        <f>RANK(AL28,$B$28:$GQ$28,0)+COUNTIF($B$28:AL28,AL28)-1</f>
        <v/>
      </c>
      <c r="AM29">
        <f>RANK(AM28,$B$28:$GQ$28,0)+COUNTIF($B$28:AM28,AM28)-1</f>
        <v/>
      </c>
      <c r="AN29">
        <f>RANK(AN28,$B$28:$GQ$28,0)+COUNTIF($B$28:AN28,AN28)-1</f>
        <v/>
      </c>
      <c r="AO29">
        <f>RANK(AO28,$B$28:$GQ$28,0)+COUNTIF($B$28:AO28,AO28)-1</f>
        <v/>
      </c>
      <c r="AP29">
        <f>RANK(AP28,$B$28:$GQ$28,0)+COUNTIF($B$28:AP28,AP28)-1</f>
        <v/>
      </c>
      <c r="AQ29">
        <f>RANK(AQ28,$B$28:$GQ$28,0)+COUNTIF($B$28:AQ28,AQ28)-1</f>
        <v/>
      </c>
      <c r="AR29">
        <f>RANK(AR28,$B$28:$GQ$28,0)+COUNTIF($B$28:AR28,AR28)-1</f>
        <v/>
      </c>
      <c r="AS29">
        <f>RANK(AS28,$B$28:$GQ$28,0)+COUNTIF($B$28:AS28,AS28)-1</f>
        <v/>
      </c>
      <c r="AT29">
        <f>RANK(AT28,$B$28:$GQ$28,0)+COUNTIF($B$28:AT28,AT28)-1</f>
        <v/>
      </c>
      <c r="AU29">
        <f>RANK(AU28,$B$28:$GQ$28,0)+COUNTIF($B$28:AU28,AU28)-1</f>
        <v/>
      </c>
      <c r="AV29">
        <f>RANK(AV28,$B$28:$GQ$28,0)+COUNTIF($B$28:AV28,AV28)-1</f>
        <v/>
      </c>
      <c r="AW29">
        <f>RANK(AW28,$B$28:$GQ$28,0)+COUNTIF($B$28:AW28,AW28)-1</f>
        <v/>
      </c>
      <c r="AX29">
        <f>RANK(AX28,$B$28:$GQ$28,0)+COUNTIF($B$28:AX28,AX28)-1</f>
        <v/>
      </c>
      <c r="AY29">
        <f>RANK(AY28,$B$28:$GQ$28,0)+COUNTIF($B$28:AY28,AY28)-1</f>
        <v/>
      </c>
      <c r="AZ29">
        <f>RANK(AZ28,$B$28:$GQ$28,0)+COUNTIF($B$28:AZ28,AZ28)-1</f>
        <v/>
      </c>
      <c r="BA29">
        <f>RANK(BA28,$B$28:$GQ$28,0)+COUNTIF($B$28:BA28,BA28)-1</f>
        <v/>
      </c>
      <c r="BB29">
        <f>RANK(BB28,$B$28:$GQ$28,0)+COUNTIF($B$28:BB28,BB28)-1</f>
        <v/>
      </c>
      <c r="BC29">
        <f>RANK(BC28,$B$28:$GQ$28,0)+COUNTIF($B$28:BC28,BC28)-1</f>
        <v/>
      </c>
      <c r="BD29">
        <f>RANK(BD28,$B$28:$GQ$28,0)+COUNTIF($B$28:BD28,BD28)-1</f>
        <v/>
      </c>
      <c r="BE29">
        <f>RANK(BE28,$B$28:$GQ$28,0)+COUNTIF($B$28:BE28,BE28)-1</f>
        <v/>
      </c>
      <c r="BF29">
        <f>RANK(BF28,$B$28:$GQ$28,0)+COUNTIF($B$28:BF28,BF28)-1</f>
        <v/>
      </c>
      <c r="BG29">
        <f>RANK(BG28,$B$28:$GQ$28,0)+COUNTIF($B$28:BG28,BG28)-1</f>
        <v/>
      </c>
      <c r="BH29">
        <f>RANK(BH28,$B$28:$GQ$28,0)+COUNTIF($B$28:BH28,BH28)-1</f>
        <v/>
      </c>
      <c r="BI29">
        <f>RANK(BI28,$B$28:$GQ$28,0)+COUNTIF($B$28:BI28,BI28)-1</f>
        <v/>
      </c>
      <c r="BJ29">
        <f>RANK(BJ28,$B$28:$GQ$28,0)+COUNTIF($B$28:BJ28,BJ28)-1</f>
        <v/>
      </c>
      <c r="BK29">
        <f>RANK(BK28,$B$28:$GQ$28,0)+COUNTIF($B$28:BK28,BK28)-1</f>
        <v/>
      </c>
      <c r="BL29">
        <f>RANK(BL28,$B$28:$GQ$28,0)+COUNTIF($B$28:BL28,BL28)-1</f>
        <v/>
      </c>
      <c r="BM29">
        <f>RANK(BM28,$B$28:$GQ$28,0)+COUNTIF($B$28:BM28,BM28)-1</f>
        <v/>
      </c>
      <c r="BN29">
        <f>RANK(BN28,$B$28:$GQ$28,0)+COUNTIF($B$28:BN28,BN28)-1</f>
        <v/>
      </c>
      <c r="BO29">
        <f>RANK(BO28,$B$28:$GQ$28,0)+COUNTIF($B$28:BO28,BO28)-1</f>
        <v/>
      </c>
      <c r="BP29">
        <f>RANK(BP28,$B$28:$GQ$28,0)+COUNTIF($B$28:BP28,BP28)-1</f>
        <v/>
      </c>
      <c r="BQ29">
        <f>RANK(BQ28,$B$28:$GQ$28,0)+COUNTIF($B$28:BQ28,BQ28)-1</f>
        <v/>
      </c>
      <c r="BR29">
        <f>RANK(BR28,$B$28:$GQ$28,0)+COUNTIF($B$28:BR28,BR28)-1</f>
        <v/>
      </c>
      <c r="BS29">
        <f>RANK(BS28,$B$28:$GQ$28,0)+COUNTIF($B$28:BS28,BS28)-1</f>
        <v/>
      </c>
      <c r="BT29">
        <f>RANK(BT28,$B$28:$GQ$28,0)+COUNTIF($B$28:BT28,BT28)-1</f>
        <v/>
      </c>
      <c r="BU29">
        <f>RANK(BU28,$B$28:$GQ$28,0)+COUNTIF($B$28:BU28,BU28)-1</f>
        <v/>
      </c>
      <c r="BV29">
        <f>RANK(BV28,$B$28:$GQ$28,0)+COUNTIF($B$28:BV28,BV28)-1</f>
        <v/>
      </c>
      <c r="BW29">
        <f>RANK(BW28,$B$28:$GQ$28,0)+COUNTIF($B$28:BW28,BW28)-1</f>
        <v/>
      </c>
      <c r="BX29">
        <f>RANK(BX28,$B$28:$GQ$28,0)+COUNTIF($B$28:BX28,BX28)-1</f>
        <v/>
      </c>
      <c r="BY29">
        <f>RANK(BY28,$B$28:$GQ$28,0)+COUNTIF($B$28:BY28,BY28)-1</f>
        <v/>
      </c>
      <c r="BZ29">
        <f>RANK(BZ28,$B$28:$GQ$28,0)+COUNTIF($B$28:BZ28,BZ28)-1</f>
        <v/>
      </c>
      <c r="CA29">
        <f>RANK(CA28,$B$28:$GQ$28,0)+COUNTIF($B$28:CA28,CA28)-1</f>
        <v/>
      </c>
      <c r="CB29">
        <f>RANK(CB28,$B$28:$GQ$28,0)+COUNTIF($B$28:CB28,CB28)-1</f>
        <v/>
      </c>
      <c r="CC29">
        <f>RANK(CC28,$B$28:$GQ$28,0)+COUNTIF($B$28:CC28,CC28)-1</f>
        <v/>
      </c>
      <c r="CD29">
        <f>RANK(CD28,$B$28:$GQ$28,0)+COUNTIF($B$28:CD28,CD28)-1</f>
        <v/>
      </c>
      <c r="CE29">
        <f>RANK(CE28,$B$28:$GQ$28,0)+COUNTIF($B$28:CE28,CE28)-1</f>
        <v/>
      </c>
      <c r="CF29">
        <f>RANK(CF28,$B$28:$GQ$28,0)+COUNTIF($B$28:CF28,CF28)-1</f>
        <v/>
      </c>
      <c r="CG29">
        <f>RANK(CG28,$B$28:$GQ$28,0)+COUNTIF($B$28:CG28,CG28)-1</f>
        <v/>
      </c>
      <c r="CH29">
        <f>RANK(CH28,$B$28:$GQ$28,0)+COUNTIF($B$28:CH28,CH28)-1</f>
        <v/>
      </c>
      <c r="CI29">
        <f>RANK(CI28,$B$28:$GQ$28,0)+COUNTIF($B$28:CI28,CI28)-1</f>
        <v/>
      </c>
      <c r="CJ29">
        <f>RANK(CJ28,$B$28:$GQ$28,0)+COUNTIF($B$28:CJ28,CJ28)-1</f>
        <v/>
      </c>
      <c r="CK29">
        <f>RANK(CK28,$B$28:$GQ$28,0)+COUNTIF($B$28:CK28,CK28)-1</f>
        <v/>
      </c>
      <c r="CL29">
        <f>RANK(CL28,$B$28:$GQ$28,0)+COUNTIF($B$28:CL28,CL28)-1</f>
        <v/>
      </c>
      <c r="CM29">
        <f>RANK(CM28,$B$28:$GQ$28,0)+COUNTIF($B$28:CM28,CM28)-1</f>
        <v/>
      </c>
      <c r="CN29">
        <f>RANK(CN28,$B$28:$GQ$28,0)+COUNTIF($B$28:CN28,CN28)-1</f>
        <v/>
      </c>
      <c r="CO29">
        <f>RANK(CO28,$B$28:$GQ$28,0)+COUNTIF($B$28:CO28,CO28)-1</f>
        <v/>
      </c>
      <c r="CP29">
        <f>RANK(CP28,$B$28:$GQ$28,0)+COUNTIF($B$28:CP28,CP28)-1</f>
        <v/>
      </c>
      <c r="CQ29">
        <f>RANK(CQ28,$B$28:$GQ$28,0)+COUNTIF($B$28:CQ28,CQ28)-1</f>
        <v/>
      </c>
      <c r="CR29">
        <f>RANK(CR28,$B$28:$GQ$28,0)+COUNTIF($B$28:CR28,CR28)-1</f>
        <v/>
      </c>
      <c r="CS29">
        <f>RANK(CS28,$B$28:$GQ$28,0)+COUNTIF($B$28:CS28,CS28)-1</f>
        <v/>
      </c>
      <c r="CT29">
        <f>RANK(CT28,$B$28:$GQ$28,0)+COUNTIF($B$28:CT28,CT28)-1</f>
        <v/>
      </c>
      <c r="CU29">
        <f>RANK(CU28,$B$28:$GQ$28,0)+COUNTIF($B$28:CU28,CU28)-1</f>
        <v/>
      </c>
      <c r="CV29">
        <f>RANK(CV28,$B$28:$GQ$28,0)+COUNTIF($B$28:CV28,CV28)-1</f>
        <v/>
      </c>
      <c r="CW29">
        <f>RANK(CW28,$B$28:$GQ$28,0)+COUNTIF($B$28:CW28,CW28)-1</f>
        <v/>
      </c>
      <c r="CX29">
        <f>RANK(CX28,$B$28:$GQ$28,0)+COUNTIF($B$28:CX28,CX28)-1</f>
        <v/>
      </c>
      <c r="CY29">
        <f>RANK(CY28,$B$28:$GQ$28,0)+COUNTIF($B$28:CY28,CY28)-1</f>
        <v/>
      </c>
      <c r="CZ29">
        <f>RANK(CZ28,$B$28:$GQ$28,0)+COUNTIF($B$28:CZ28,CZ28)-1</f>
        <v/>
      </c>
      <c r="DA29">
        <f>RANK(DA28,$B$28:$GQ$28,0)+COUNTIF($B$28:DA28,DA28)-1</f>
        <v/>
      </c>
      <c r="DB29">
        <f>RANK(DB28,$B$28:$GQ$28,0)+COUNTIF($B$28:DB28,DB28)-1</f>
        <v/>
      </c>
      <c r="DC29">
        <f>RANK(DC28,$B$28:$GQ$28,0)+COUNTIF($B$28:DC28,DC28)-1</f>
        <v/>
      </c>
      <c r="DD29">
        <f>RANK(DD28,$B$28:$GQ$28,0)+COUNTIF($B$28:DD28,DD28)-1</f>
        <v/>
      </c>
      <c r="DE29">
        <f>RANK(DE28,$B$28:$GQ$28,0)+COUNTIF($B$28:DE28,DE28)-1</f>
        <v/>
      </c>
      <c r="DF29">
        <f>RANK(DF28,$B$28:$GQ$28,0)+COUNTIF($B$28:DF28,DF28)-1</f>
        <v/>
      </c>
      <c r="DG29">
        <f>RANK(DG28,$B$28:$GQ$28,0)+COUNTIF($B$28:DG28,DG28)-1</f>
        <v/>
      </c>
      <c r="DH29">
        <f>RANK(DH28,$B$28:$GQ$28,0)+COUNTIF($B$28:DH28,DH28)-1</f>
        <v/>
      </c>
      <c r="DI29">
        <f>RANK(DI28,$B$28:$GQ$28,0)+COUNTIF($B$28:DI28,DI28)-1</f>
        <v/>
      </c>
      <c r="DJ29">
        <f>RANK(DJ28,$B$28:$GQ$28,0)+COUNTIF($B$28:DJ28,DJ28)-1</f>
        <v/>
      </c>
      <c r="DK29">
        <f>RANK(DK28,$B$28:$GQ$28,0)+COUNTIF($B$28:DK28,DK28)-1</f>
        <v/>
      </c>
      <c r="DL29">
        <f>RANK(DL28,$B$28:$GQ$28,0)+COUNTIF($B$28:DL28,DL28)-1</f>
        <v/>
      </c>
      <c r="DM29">
        <f>RANK(DM28,$B$28:$GQ$28,0)+COUNTIF($B$28:DM28,DM28)-1</f>
        <v/>
      </c>
      <c r="DN29">
        <f>RANK(DN28,$B$28:$GQ$28,0)+COUNTIF($B$28:DN28,DN28)-1</f>
        <v/>
      </c>
      <c r="DO29">
        <f>RANK(DO28,$B$28:$GQ$28,0)+COUNTIF($B$28:DO28,DO28)-1</f>
        <v/>
      </c>
      <c r="DP29">
        <f>RANK(DP28,$B$28:$GQ$28,0)+COUNTIF($B$28:DP28,DP28)-1</f>
        <v/>
      </c>
      <c r="DQ29">
        <f>RANK(DQ28,$B$28:$GQ$28,0)+COUNTIF($B$28:DQ28,DQ28)-1</f>
        <v/>
      </c>
      <c r="DR29">
        <f>RANK(DR28,$B$28:$GQ$28,0)+COUNTIF($B$28:DR28,DR28)-1</f>
        <v/>
      </c>
      <c r="DS29">
        <f>RANK(DS28,$B$28:$GQ$28,0)+COUNTIF($B$28:DS28,DS28)-1</f>
        <v/>
      </c>
      <c r="DT29">
        <f>RANK(DT28,$B$28:$GQ$28,0)+COUNTIF($B$28:DT28,DT28)-1</f>
        <v/>
      </c>
      <c r="DU29">
        <f>RANK(DU28,$B$28:$GQ$28,0)+COUNTIF($B$28:DU28,DU28)-1</f>
        <v/>
      </c>
      <c r="DV29">
        <f>RANK(DV28,$B$28:$GQ$28,0)+COUNTIF($B$28:DV28,DV28)-1</f>
        <v/>
      </c>
      <c r="DW29">
        <f>RANK(DW28,$B$28:$GQ$28,0)+COUNTIF($B$28:DW28,DW28)-1</f>
        <v/>
      </c>
      <c r="DX29">
        <f>RANK(DX28,$B$28:$GQ$28,0)+COUNTIF($B$28:DX28,DX28)-1</f>
        <v/>
      </c>
      <c r="DY29">
        <f>RANK(DY28,$B$28:$GQ$28,0)+COUNTIF($B$28:DY28,DY28)-1</f>
        <v/>
      </c>
      <c r="DZ29">
        <f>RANK(DZ28,$B$28:$GQ$28,0)+COUNTIF($B$28:DZ28,DZ28)-1</f>
        <v/>
      </c>
      <c r="EA29">
        <f>RANK(EA28,$B$28:$GQ$28,0)+COUNTIF($B$28:EA28,EA28)-1</f>
        <v/>
      </c>
      <c r="EB29">
        <f>RANK(EB28,$B$28:$GQ$28,0)+COUNTIF($B$28:EB28,EB28)-1</f>
        <v/>
      </c>
      <c r="EC29">
        <f>RANK(EC28,$B$28:$GQ$28,0)+COUNTIF($B$28:EC28,EC28)-1</f>
        <v/>
      </c>
      <c r="ED29">
        <f>RANK(ED28,$B$28:$GQ$28,0)+COUNTIF($B$28:ED28,ED28)-1</f>
        <v/>
      </c>
      <c r="EE29">
        <f>RANK(EE28,$B$28:$GQ$28,0)+COUNTIF($B$28:EE28,EE28)-1</f>
        <v/>
      </c>
      <c r="EF29">
        <f>RANK(EF28,$B$28:$GQ$28,0)+COUNTIF($B$28:EF28,EF28)-1</f>
        <v/>
      </c>
      <c r="EG29">
        <f>RANK(EG28,$B$28:$GQ$28,0)+COUNTIF($B$28:EG28,EG28)-1</f>
        <v/>
      </c>
      <c r="EH29">
        <f>RANK(EH28,$B$28:$GQ$28,0)+COUNTIF($B$28:EH28,EH28)-1</f>
        <v/>
      </c>
      <c r="EI29">
        <f>RANK(EI28,$B$28:$GQ$28,0)+COUNTIF($B$28:EI28,EI28)-1</f>
        <v/>
      </c>
      <c r="EJ29">
        <f>RANK(EJ28,$B$28:$GQ$28,0)+COUNTIF($B$28:EJ28,EJ28)-1</f>
        <v/>
      </c>
      <c r="EK29">
        <f>RANK(EK28,$B$28:$GQ$28,0)+COUNTIF($B$28:EK28,EK28)-1</f>
        <v/>
      </c>
      <c r="EL29">
        <f>RANK(EL28,$B$28:$GQ$28,0)+COUNTIF($B$28:EL28,EL28)-1</f>
        <v/>
      </c>
      <c r="EM29">
        <f>RANK(EM28,$B$28:$GQ$28,0)+COUNTIF($B$28:EM28,EM28)-1</f>
        <v/>
      </c>
      <c r="EN29">
        <f>RANK(EN28,$B$28:$GQ$28,0)+COUNTIF($B$28:EN28,EN28)-1</f>
        <v/>
      </c>
      <c r="EO29">
        <f>RANK(EO28,$B$28:$GQ$28,0)+COUNTIF($B$28:EO28,EO28)-1</f>
        <v/>
      </c>
      <c r="EP29">
        <f>RANK(EP28,$B$28:$GQ$28,0)+COUNTIF($B$28:EP28,EP28)-1</f>
        <v/>
      </c>
      <c r="EQ29">
        <f>RANK(EQ28,$B$28:$GQ$28,0)+COUNTIF($B$28:EQ28,EQ28)-1</f>
        <v/>
      </c>
      <c r="ER29">
        <f>RANK(ER28,$B$28:$GQ$28,0)+COUNTIF($B$28:ER28,ER28)-1</f>
        <v/>
      </c>
      <c r="ES29">
        <f>RANK(ES28,$B$28:$GQ$28,0)+COUNTIF($B$28:ES28,ES28)-1</f>
        <v/>
      </c>
      <c r="ET29">
        <f>RANK(ET28,$B$28:$GQ$28,0)+COUNTIF($B$28:ET28,ET28)-1</f>
        <v/>
      </c>
      <c r="EU29">
        <f>RANK(EU28,$B$28:$GQ$28,0)+COUNTIF($B$28:EU28,EU28)-1</f>
        <v/>
      </c>
      <c r="EV29">
        <f>RANK(EV28,$B$28:$GQ$28,0)+COUNTIF($B$28:EV28,EV28)-1</f>
        <v/>
      </c>
      <c r="EW29">
        <f>RANK(EW28,$B$28:$GQ$28,0)+COUNTIF($B$28:EW28,EW28)-1</f>
        <v/>
      </c>
      <c r="EX29">
        <f>RANK(EX28,$B$28:$GQ$28,0)+COUNTIF($B$28:EX28,EX28)-1</f>
        <v/>
      </c>
      <c r="EY29">
        <f>RANK(EY28,$B$28:$GQ$28,0)+COUNTIF($B$28:EY28,EY28)-1</f>
        <v/>
      </c>
      <c r="EZ29">
        <f>RANK(EZ28,$B$28:$GQ$28,0)+COUNTIF($B$28:EZ28,EZ28)-1</f>
        <v/>
      </c>
      <c r="FA29">
        <f>RANK(FA28,$B$28:$GQ$28,0)+COUNTIF($B$28:FA28,FA28)-1</f>
        <v/>
      </c>
      <c r="FB29">
        <f>RANK(FB28,$B$28:$GQ$28,0)+COUNTIF($B$28:FB28,FB28)-1</f>
        <v/>
      </c>
      <c r="FC29">
        <f>RANK(FC28,$B$28:$GQ$28,0)+COUNTIF($B$28:FC28,FC28)-1</f>
        <v/>
      </c>
      <c r="FD29">
        <f>RANK(FD28,$B$28:$GQ$28,0)+COUNTIF($B$28:FD28,FD28)-1</f>
        <v/>
      </c>
      <c r="FE29">
        <f>RANK(FE28,$B$28:$GQ$28,0)+COUNTIF($B$28:FE28,FE28)-1</f>
        <v/>
      </c>
      <c r="FF29">
        <f>RANK(FF28,$B$28:$GQ$28,0)+COUNTIF($B$28:FF28,FF28)-1</f>
        <v/>
      </c>
      <c r="FG29">
        <f>RANK(FG28,$B$28:$GQ$28,0)+COUNTIF($B$28:FG28,FG28)-1</f>
        <v/>
      </c>
      <c r="FH29">
        <f>RANK(FH28,$B$28:$GQ$28,0)+COUNTIF($B$28:FH28,FH28)-1</f>
        <v/>
      </c>
      <c r="FI29">
        <f>RANK(FI28,$B$28:$GQ$28,0)+COUNTIF($B$28:FI28,FI28)-1</f>
        <v/>
      </c>
      <c r="FJ29">
        <f>RANK(FJ28,$B$28:$GQ$28,0)+COUNTIF($B$28:FJ28,FJ28)-1</f>
        <v/>
      </c>
      <c r="FK29">
        <f>RANK(FK28,$B$28:$GQ$28,0)+COUNTIF($B$28:FK28,FK28)-1</f>
        <v/>
      </c>
      <c r="FL29">
        <f>RANK(FL28,$B$28:$GQ$28,0)+COUNTIF($B$28:FL28,FL28)-1</f>
        <v/>
      </c>
      <c r="FM29">
        <f>RANK(FM28,$B$28:$GQ$28,0)+COUNTIF($B$28:FM28,FM28)-1</f>
        <v/>
      </c>
      <c r="FN29">
        <f>RANK(FN28,$B$28:$GQ$28,0)+COUNTIF($B$28:FN28,FN28)-1</f>
        <v/>
      </c>
      <c r="FO29">
        <f>RANK(FO28,$B$28:$GQ$28,0)+COUNTIF($B$28:FO28,FO28)-1</f>
        <v/>
      </c>
      <c r="FP29">
        <f>RANK(FP28,$B$28:$GQ$28,0)+COUNTIF($B$28:FP28,FP28)-1</f>
        <v/>
      </c>
      <c r="FQ29">
        <f>RANK(FQ28,$B$28:$GQ$28,0)+COUNTIF($B$28:FQ28,FQ28)-1</f>
        <v/>
      </c>
      <c r="FR29">
        <f>RANK(FR28,$B$28:$GQ$28,0)+COUNTIF($B$28:FR28,FR28)-1</f>
        <v/>
      </c>
      <c r="FS29">
        <f>RANK(FS28,$B$28:$GQ$28,0)+COUNTIF($B$28:FS28,FS28)-1</f>
        <v/>
      </c>
      <c r="FT29">
        <f>RANK(FT28,$B$28:$GQ$28,0)+COUNTIF($B$28:FT28,FT28)-1</f>
        <v/>
      </c>
      <c r="FU29">
        <f>RANK(FU28,$B$28:$GQ$28,0)+COUNTIF($B$28:FU28,FU28)-1</f>
        <v/>
      </c>
      <c r="FV29">
        <f>RANK(FV28,$B$28:$GQ$28,0)+COUNTIF($B$28:FV28,FV28)-1</f>
        <v/>
      </c>
      <c r="FW29">
        <f>RANK(FW28,$B$28:$GQ$28,0)+COUNTIF($B$28:FW28,FW28)-1</f>
        <v/>
      </c>
      <c r="FX29">
        <f>RANK(FX28,$B$28:$GQ$28,0)+COUNTIF($B$28:FX28,FX28)-1</f>
        <v/>
      </c>
      <c r="FY29">
        <f>RANK(FY28,$B$28:$GQ$28,0)+COUNTIF($B$28:FY28,FY28)-1</f>
        <v/>
      </c>
      <c r="FZ29">
        <f>RANK(FZ28,$B$28:$GQ$28,0)+COUNTIF($B$28:FZ28,FZ28)-1</f>
        <v/>
      </c>
      <c r="GA29">
        <f>RANK(GA28,$B$28:$GQ$28,0)+COUNTIF($B$28:GA28,GA28)-1</f>
        <v/>
      </c>
      <c r="GB29">
        <f>RANK(GB28,$B$28:$GQ$28,0)+COUNTIF($B$28:GB28,GB28)-1</f>
        <v/>
      </c>
      <c r="GC29">
        <f>RANK(GC28,$B$28:$GQ$28,0)+COUNTIF($B$28:GC28,GC28)-1</f>
        <v/>
      </c>
      <c r="GD29">
        <f>RANK(GD28,$B$28:$GQ$28,0)+COUNTIF($B$28:GD28,GD28)-1</f>
        <v/>
      </c>
      <c r="GE29">
        <f>RANK(GE28,$B$28:$GQ$28,0)+COUNTIF($B$28:GE28,GE28)-1</f>
        <v/>
      </c>
      <c r="GF29">
        <f>RANK(GF28,$B$28:$GQ$28,0)+COUNTIF($B$28:GF28,GF28)-1</f>
        <v/>
      </c>
      <c r="GG29">
        <f>RANK(GG28,$B$28:$GQ$28,0)+COUNTIF($B$28:GG28,GG28)-1</f>
        <v/>
      </c>
      <c r="GH29">
        <f>RANK(GH28,$B$28:$GQ$28,0)+COUNTIF($B$28:GH28,GH28)-1</f>
        <v/>
      </c>
      <c r="GI29">
        <f>RANK(GI28,$B$28:$GQ$28,0)+COUNTIF($B$28:GI28,GI28)-1</f>
        <v/>
      </c>
      <c r="GJ29">
        <f>RANK(GJ28,$B$28:$GQ$28,0)+COUNTIF($B$28:GJ28,GJ28)-1</f>
        <v/>
      </c>
      <c r="GK29">
        <f>RANK(GK28,$B$28:$GQ$28,0)+COUNTIF($B$28:GK28,GK28)-1</f>
        <v/>
      </c>
      <c r="GL29">
        <f>RANK(GL28,$B$28:$GQ$28,0)+COUNTIF($B$28:GL28,GL28)-1</f>
        <v/>
      </c>
      <c r="GM29">
        <f>RANK(GM28,$B$28:$GQ$28,0)+COUNTIF($B$28:GM28,GM28)-1</f>
        <v/>
      </c>
      <c r="GN29">
        <f>RANK(GN28,$B$28:$GQ$28,0)+COUNTIF($B$28:GN28,GN28)-1</f>
        <v/>
      </c>
      <c r="GO29">
        <f>RANK(GO28,$B$28:$GQ$28,0)+COUNTIF($B$28:GO28,GO28)-1</f>
        <v/>
      </c>
      <c r="GP29">
        <f>RANK(GP28,$B$28:$GQ$28,0)+COUNTIF($B$28:GP28,GP28)-1</f>
        <v/>
      </c>
      <c r="GQ29">
        <f>RANK(GQ28,$B$28:$GQ$28,0)+COUNTIF($B$28:GQ28,GQ28)-1</f>
        <v/>
      </c>
    </row>
    <row r="30">
      <c r="A30" s="1" t="inlineStr">
        <is>
          <t>Rang (catégories)</t>
        </is>
      </c>
      <c r="GR30">
        <f>RANK(GR28,$GR$28:$HC$28,0)+COUNTIF($GR$28:GR28,GR28)-1</f>
        <v/>
      </c>
      <c r="GS30">
        <f>RANK(GS28,$GR$28:$HC$28,0)+COUNTIF($GR$28:GS28,GS28)-1</f>
        <v/>
      </c>
      <c r="GT30">
        <f>RANK(GT28,$GR$28:$HC$28,0)+COUNTIF($GR$28:GT28,GT28)-1</f>
        <v/>
      </c>
      <c r="GU30">
        <f>RANK(GU28,$GR$28:$HC$28,0)+COUNTIF($GR$28:GU28,GU28)-1</f>
        <v/>
      </c>
      <c r="GV30">
        <f>RANK(GV28,$GR$28:$HC$28,0)+COUNTIF($GR$28:GV28,GV28)-1</f>
        <v/>
      </c>
      <c r="GW30">
        <f>RANK(GW28,$GR$28:$HC$28,0)+COUNTIF($GR$28:GW28,GW28)-1</f>
        <v/>
      </c>
      <c r="GX30">
        <f>RANK(GX28,$GR$28:$HC$28,0)+COUNTIF($GR$28:GX28,GX28)-1</f>
        <v/>
      </c>
      <c r="GY30">
        <f>RANK(GY28,$GR$28:$HC$28,0)+COUNTIF($GR$28:GY28,GY28)-1</f>
        <v/>
      </c>
      <c r="GZ30">
        <f>RANK(GZ28,$GR$28:$HC$28,0)+COUNTIF($GR$28:GZ28,GZ28)-1</f>
        <v/>
      </c>
      <c r="HA30">
        <f>RANK(HA28,$GR$28:$HC$28,0)+COUNTIF($GR$28:HA28,HA28)-1</f>
        <v/>
      </c>
      <c r="HB30">
        <f>RANK(HB28,$GR$28:$HC$28,0)+COUNTIF($GR$28:HB28,HB28)-1</f>
        <v/>
      </c>
      <c r="HC30">
        <f>RANK(HC28,$GR$28:$HC$28,0)+COUNTIF($GR$28:HC28,HC28)-1</f>
        <v/>
      </c>
    </row>
  </sheetData>
  <dataValidations count="1">
    <dataValidation sqref="B1" showDropDown="0" showInputMessage="0" showErrorMessage="0" allowBlank="0" type="list">
      <formula1>=$A$18:$A$27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Trier secteurs et catégories par (ordre décroissant) :</t>
        </is>
      </c>
      <c r="B1" s="2" t="inlineStr">
        <is>
          <t>M_imp*Y_dom+M_dom*Y_dom+M_row*Y_imp</t>
        </is>
      </c>
    </row>
    <row r="3">
      <c r="A3" s="1" t="inlineStr">
        <is>
          <t>Biodiversity loss - HANPP</t>
        </is>
      </c>
      <c r="B3" s="1">
        <f>INDEX($B$17:$GQ$17,MATCH(1,$B$29:$GQ$29,0))</f>
        <v/>
      </c>
      <c r="C3" s="1">
        <f>INDEX($B$17:$GQ$17,MATCH(2,$B$29:$GQ$29,0))</f>
        <v/>
      </c>
      <c r="D3" s="1">
        <f>INDEX($B$17:$GQ$17,MATCH(3,$B$29:$GQ$29,0))</f>
        <v/>
      </c>
      <c r="E3" s="1">
        <f>INDEX($B$17:$GQ$17,MATCH(4,$B$29:$GQ$29,0))</f>
        <v/>
      </c>
      <c r="F3" s="1">
        <f>INDEX($B$17:$GQ$17,MATCH(5,$B$29:$GQ$29,0))</f>
        <v/>
      </c>
      <c r="G3" s="1">
        <f>INDEX($B$17:$GQ$17,MATCH(6,$B$29:$GQ$29,0))</f>
        <v/>
      </c>
      <c r="H3" s="1">
        <f>INDEX($B$17:$GQ$17,MATCH(7,$B$29:$GQ$29,0))</f>
        <v/>
      </c>
      <c r="I3" s="1">
        <f>INDEX($B$17:$GQ$17,MATCH(8,$B$29:$GQ$29,0))</f>
        <v/>
      </c>
      <c r="J3" s="1">
        <f>INDEX($B$17:$GQ$17,MATCH(9,$B$29:$GQ$29,0))</f>
        <v/>
      </c>
      <c r="K3" s="1">
        <f>INDEX($B$17:$GQ$17,MATCH(10,$B$29:$GQ$29,0))</f>
        <v/>
      </c>
      <c r="L3" s="1">
        <f>INDEX($B$17:$GQ$17,MATCH(11,$B$29:$GQ$29,0))</f>
        <v/>
      </c>
      <c r="M3" s="1">
        <f>INDEX($B$17:$GQ$17,MATCH(12,$B$29:$GQ$29,0))</f>
        <v/>
      </c>
      <c r="N3" s="1">
        <f>INDEX($B$17:$GQ$17,MATCH(13,$B$29:$GQ$29,0))</f>
        <v/>
      </c>
      <c r="O3" s="1">
        <f>INDEX($B$17:$GQ$17,MATCH(14,$B$29:$GQ$29,0))</f>
        <v/>
      </c>
      <c r="P3" s="1">
        <f>INDEX($B$17:$GQ$17,MATCH(15,$B$29:$GQ$29,0))</f>
        <v/>
      </c>
      <c r="Q3" s="1">
        <f>INDEX($B$17:$GQ$17,MATCH(16,$B$29:$GQ$29,0))</f>
        <v/>
      </c>
      <c r="R3" s="1">
        <f>INDEX($B$17:$GQ$17,MATCH(17,$B$29:$GQ$29,0))</f>
        <v/>
      </c>
      <c r="S3" s="1">
        <f>INDEX($B$17:$GQ$17,MATCH(18,$B$29:$GQ$29,0))</f>
        <v/>
      </c>
      <c r="T3" s="1">
        <f>INDEX($B$17:$GQ$17,MATCH(19,$B$29:$GQ$29,0))</f>
        <v/>
      </c>
      <c r="U3" s="1">
        <f>INDEX($B$17:$GQ$17,MATCH(20,$B$29:$GQ$29,0))</f>
        <v/>
      </c>
      <c r="V3" s="1">
        <f>INDEX($B$17:$GQ$17,MATCH(21,$B$29:$GQ$29,0))</f>
        <v/>
      </c>
      <c r="W3" s="1">
        <f>INDEX($B$17:$GQ$17,MATCH(22,$B$29:$GQ$29,0))</f>
        <v/>
      </c>
      <c r="X3" s="1">
        <f>INDEX($B$17:$GQ$17,MATCH(23,$B$29:$GQ$29,0))</f>
        <v/>
      </c>
      <c r="Y3" s="1">
        <f>INDEX($B$17:$GQ$17,MATCH(24,$B$29:$GQ$29,0))</f>
        <v/>
      </c>
      <c r="Z3" s="1">
        <f>INDEX($B$17:$GQ$17,MATCH(25,$B$29:$GQ$29,0))</f>
        <v/>
      </c>
      <c r="AA3" s="1">
        <f>INDEX($B$17:$GQ$17,MATCH(26,$B$29:$GQ$29,0))</f>
        <v/>
      </c>
      <c r="AB3" s="1">
        <f>INDEX($B$17:$GQ$17,MATCH(27,$B$29:$GQ$29,0))</f>
        <v/>
      </c>
      <c r="AC3" s="1">
        <f>INDEX($B$17:$GQ$17,MATCH(28,$B$29:$GQ$29,0))</f>
        <v/>
      </c>
      <c r="AD3" s="1">
        <f>INDEX($B$17:$GQ$17,MATCH(29,$B$29:$GQ$29,0))</f>
        <v/>
      </c>
      <c r="AE3" s="1">
        <f>INDEX($B$17:$GQ$17,MATCH(30,$B$29:$GQ$29,0))</f>
        <v/>
      </c>
      <c r="AF3" s="1">
        <f>INDEX($B$17:$GQ$17,MATCH(31,$B$29:$GQ$29,0))</f>
        <v/>
      </c>
      <c r="AG3" s="1">
        <f>INDEX($B$17:$GQ$17,MATCH(32,$B$29:$GQ$29,0))</f>
        <v/>
      </c>
      <c r="AH3" s="1">
        <f>INDEX($B$17:$GQ$17,MATCH(33,$B$29:$GQ$29,0))</f>
        <v/>
      </c>
      <c r="AI3" s="1">
        <f>INDEX($B$17:$GQ$17,MATCH(34,$B$29:$GQ$29,0))</f>
        <v/>
      </c>
      <c r="AJ3" s="1">
        <f>INDEX($B$17:$GQ$17,MATCH(35,$B$29:$GQ$29,0))</f>
        <v/>
      </c>
      <c r="AK3" s="1">
        <f>INDEX($B$17:$GQ$17,MATCH(36,$B$29:$GQ$29,0))</f>
        <v/>
      </c>
      <c r="AL3" s="1">
        <f>INDEX($B$17:$GQ$17,MATCH(37,$B$29:$GQ$29,0))</f>
        <v/>
      </c>
      <c r="AM3" s="1">
        <f>INDEX($B$17:$GQ$17,MATCH(38,$B$29:$GQ$29,0))</f>
        <v/>
      </c>
      <c r="AN3" s="1">
        <f>INDEX($B$17:$GQ$17,MATCH(39,$B$29:$GQ$29,0))</f>
        <v/>
      </c>
      <c r="AO3" s="1">
        <f>INDEX($B$17:$GQ$17,MATCH(40,$B$29:$GQ$29,0))</f>
        <v/>
      </c>
      <c r="AP3" s="1">
        <f>INDEX($B$17:$GQ$17,MATCH(41,$B$29:$GQ$29,0))</f>
        <v/>
      </c>
      <c r="AQ3" s="1">
        <f>INDEX($B$17:$GQ$17,MATCH(42,$B$29:$GQ$29,0))</f>
        <v/>
      </c>
      <c r="AR3" s="1">
        <f>INDEX($B$17:$GQ$17,MATCH(43,$B$29:$GQ$29,0))</f>
        <v/>
      </c>
      <c r="AS3" s="1">
        <f>INDEX($B$17:$GQ$17,MATCH(44,$B$29:$GQ$29,0))</f>
        <v/>
      </c>
      <c r="AT3" s="1">
        <f>INDEX($B$17:$GQ$17,MATCH(45,$B$29:$GQ$29,0))</f>
        <v/>
      </c>
      <c r="AU3" s="1">
        <f>INDEX($B$17:$GQ$17,MATCH(46,$B$29:$GQ$29,0))</f>
        <v/>
      </c>
      <c r="AV3" s="1">
        <f>INDEX($B$17:$GQ$17,MATCH(47,$B$29:$GQ$29,0))</f>
        <v/>
      </c>
      <c r="AW3" s="1">
        <f>INDEX($B$17:$GQ$17,MATCH(48,$B$29:$GQ$29,0))</f>
        <v/>
      </c>
      <c r="AX3" s="1">
        <f>INDEX($B$17:$GQ$17,MATCH(49,$B$29:$GQ$29,0))</f>
        <v/>
      </c>
      <c r="AY3" s="1">
        <f>INDEX($B$17:$GQ$17,MATCH(50,$B$29:$GQ$29,0))</f>
        <v/>
      </c>
      <c r="AZ3" s="1">
        <f>INDEX($B$17:$GQ$17,MATCH(51,$B$29:$GQ$29,0))</f>
        <v/>
      </c>
      <c r="BA3" s="1">
        <f>INDEX($B$17:$GQ$17,MATCH(52,$B$29:$GQ$29,0))</f>
        <v/>
      </c>
      <c r="BB3" s="1">
        <f>INDEX($B$17:$GQ$17,MATCH(53,$B$29:$GQ$29,0))</f>
        <v/>
      </c>
      <c r="BC3" s="1">
        <f>INDEX($B$17:$GQ$17,MATCH(54,$B$29:$GQ$29,0))</f>
        <v/>
      </c>
      <c r="BD3" s="1">
        <f>INDEX($B$17:$GQ$17,MATCH(55,$B$29:$GQ$29,0))</f>
        <v/>
      </c>
      <c r="BE3" s="1">
        <f>INDEX($B$17:$GQ$17,MATCH(56,$B$29:$GQ$29,0))</f>
        <v/>
      </c>
      <c r="BF3" s="1">
        <f>INDEX($B$17:$GQ$17,MATCH(57,$B$29:$GQ$29,0))</f>
        <v/>
      </c>
      <c r="BG3" s="1">
        <f>INDEX($B$17:$GQ$17,MATCH(58,$B$29:$GQ$29,0))</f>
        <v/>
      </c>
      <c r="BH3" s="1">
        <f>INDEX($B$17:$GQ$17,MATCH(59,$B$29:$GQ$29,0))</f>
        <v/>
      </c>
      <c r="BI3" s="1">
        <f>INDEX($B$17:$GQ$17,MATCH(60,$B$29:$GQ$29,0))</f>
        <v/>
      </c>
      <c r="BJ3" s="1">
        <f>INDEX($B$17:$GQ$17,MATCH(61,$B$29:$GQ$29,0))</f>
        <v/>
      </c>
      <c r="BK3" s="1">
        <f>INDEX($B$17:$GQ$17,MATCH(62,$B$29:$GQ$29,0))</f>
        <v/>
      </c>
      <c r="BL3" s="1">
        <f>INDEX($B$17:$GQ$17,MATCH(63,$B$29:$GQ$29,0))</f>
        <v/>
      </c>
      <c r="BM3" s="1">
        <f>INDEX($B$17:$GQ$17,MATCH(64,$B$29:$GQ$29,0))</f>
        <v/>
      </c>
      <c r="BN3" s="1">
        <f>INDEX($B$17:$GQ$17,MATCH(65,$B$29:$GQ$29,0))</f>
        <v/>
      </c>
      <c r="BO3" s="1">
        <f>INDEX($B$17:$GQ$17,MATCH(66,$B$29:$GQ$29,0))</f>
        <v/>
      </c>
      <c r="BP3" s="1">
        <f>INDEX($B$17:$GQ$17,MATCH(67,$B$29:$GQ$29,0))</f>
        <v/>
      </c>
      <c r="BQ3" s="1">
        <f>INDEX($B$17:$GQ$17,MATCH(68,$B$29:$GQ$29,0))</f>
        <v/>
      </c>
      <c r="BR3" s="1">
        <f>INDEX($B$17:$GQ$17,MATCH(69,$B$29:$GQ$29,0))</f>
        <v/>
      </c>
      <c r="BS3" s="1">
        <f>INDEX($B$17:$GQ$17,MATCH(70,$B$29:$GQ$29,0))</f>
        <v/>
      </c>
      <c r="BT3" s="1">
        <f>INDEX($B$17:$GQ$17,MATCH(71,$B$29:$GQ$29,0))</f>
        <v/>
      </c>
      <c r="BU3" s="1">
        <f>INDEX($B$17:$GQ$17,MATCH(72,$B$29:$GQ$29,0))</f>
        <v/>
      </c>
      <c r="BV3" s="1">
        <f>INDEX($B$17:$GQ$17,MATCH(73,$B$29:$GQ$29,0))</f>
        <v/>
      </c>
      <c r="BW3" s="1">
        <f>INDEX($B$17:$GQ$17,MATCH(74,$B$29:$GQ$29,0))</f>
        <v/>
      </c>
      <c r="BX3" s="1">
        <f>INDEX($B$17:$GQ$17,MATCH(75,$B$29:$GQ$29,0))</f>
        <v/>
      </c>
      <c r="BY3" s="1">
        <f>INDEX($B$17:$GQ$17,MATCH(76,$B$29:$GQ$29,0))</f>
        <v/>
      </c>
      <c r="BZ3" s="1">
        <f>INDEX($B$17:$GQ$17,MATCH(77,$B$29:$GQ$29,0))</f>
        <v/>
      </c>
      <c r="CA3" s="1">
        <f>INDEX($B$17:$GQ$17,MATCH(78,$B$29:$GQ$29,0))</f>
        <v/>
      </c>
      <c r="CB3" s="1">
        <f>INDEX($B$17:$GQ$17,MATCH(79,$B$29:$GQ$29,0))</f>
        <v/>
      </c>
      <c r="CC3" s="1">
        <f>INDEX($B$17:$GQ$17,MATCH(80,$B$29:$GQ$29,0))</f>
        <v/>
      </c>
      <c r="CD3" s="1">
        <f>INDEX($B$17:$GQ$17,MATCH(81,$B$29:$GQ$29,0))</f>
        <v/>
      </c>
      <c r="CE3" s="1">
        <f>INDEX($B$17:$GQ$17,MATCH(82,$B$29:$GQ$29,0))</f>
        <v/>
      </c>
      <c r="CF3" s="1">
        <f>INDEX($B$17:$GQ$17,MATCH(83,$B$29:$GQ$29,0))</f>
        <v/>
      </c>
      <c r="CG3" s="1">
        <f>INDEX($B$17:$GQ$17,MATCH(84,$B$29:$GQ$29,0))</f>
        <v/>
      </c>
      <c r="CH3" s="1">
        <f>INDEX($B$17:$GQ$17,MATCH(85,$B$29:$GQ$29,0))</f>
        <v/>
      </c>
      <c r="CI3" s="1">
        <f>INDEX($B$17:$GQ$17,MATCH(86,$B$29:$GQ$29,0))</f>
        <v/>
      </c>
      <c r="CJ3" s="1">
        <f>INDEX($B$17:$GQ$17,MATCH(87,$B$29:$GQ$29,0))</f>
        <v/>
      </c>
      <c r="CK3" s="1">
        <f>INDEX($B$17:$GQ$17,MATCH(88,$B$29:$GQ$29,0))</f>
        <v/>
      </c>
      <c r="CL3" s="1">
        <f>INDEX($B$17:$GQ$17,MATCH(89,$B$29:$GQ$29,0))</f>
        <v/>
      </c>
      <c r="CM3" s="1">
        <f>INDEX($B$17:$GQ$17,MATCH(90,$B$29:$GQ$29,0))</f>
        <v/>
      </c>
      <c r="CN3" s="1">
        <f>INDEX($B$17:$GQ$17,MATCH(91,$B$29:$GQ$29,0))</f>
        <v/>
      </c>
      <c r="CO3" s="1">
        <f>INDEX($B$17:$GQ$17,MATCH(92,$B$29:$GQ$29,0))</f>
        <v/>
      </c>
      <c r="CP3" s="1">
        <f>INDEX($B$17:$GQ$17,MATCH(93,$B$29:$GQ$29,0))</f>
        <v/>
      </c>
      <c r="CQ3" s="1">
        <f>INDEX($B$17:$GQ$17,MATCH(94,$B$29:$GQ$29,0))</f>
        <v/>
      </c>
      <c r="CR3" s="1">
        <f>INDEX($B$17:$GQ$17,MATCH(95,$B$29:$GQ$29,0))</f>
        <v/>
      </c>
      <c r="CS3" s="1">
        <f>INDEX($B$17:$GQ$17,MATCH(96,$B$29:$GQ$29,0))</f>
        <v/>
      </c>
      <c r="CT3" s="1">
        <f>INDEX($B$17:$GQ$17,MATCH(97,$B$29:$GQ$29,0))</f>
        <v/>
      </c>
      <c r="CU3" s="1">
        <f>INDEX($B$17:$GQ$17,MATCH(98,$B$29:$GQ$29,0))</f>
        <v/>
      </c>
      <c r="CV3" s="1">
        <f>INDEX($B$17:$GQ$17,MATCH(99,$B$29:$GQ$29,0))</f>
        <v/>
      </c>
      <c r="CW3" s="1">
        <f>INDEX($B$17:$GQ$17,MATCH(100,$B$29:$GQ$29,0))</f>
        <v/>
      </c>
      <c r="CX3" s="1">
        <f>INDEX($B$17:$GQ$17,MATCH(101,$B$29:$GQ$29,0))</f>
        <v/>
      </c>
      <c r="CY3" s="1">
        <f>INDEX($B$17:$GQ$17,MATCH(102,$B$29:$GQ$29,0))</f>
        <v/>
      </c>
      <c r="CZ3" s="1">
        <f>INDEX($B$17:$GQ$17,MATCH(103,$B$29:$GQ$29,0))</f>
        <v/>
      </c>
      <c r="DA3" s="1">
        <f>INDEX($B$17:$GQ$17,MATCH(104,$B$29:$GQ$29,0))</f>
        <v/>
      </c>
      <c r="DB3" s="1">
        <f>INDEX($B$17:$GQ$17,MATCH(105,$B$29:$GQ$29,0))</f>
        <v/>
      </c>
      <c r="DC3" s="1">
        <f>INDEX($B$17:$GQ$17,MATCH(106,$B$29:$GQ$29,0))</f>
        <v/>
      </c>
      <c r="DD3" s="1">
        <f>INDEX($B$17:$GQ$17,MATCH(107,$B$29:$GQ$29,0))</f>
        <v/>
      </c>
      <c r="DE3" s="1">
        <f>INDEX($B$17:$GQ$17,MATCH(108,$B$29:$GQ$29,0))</f>
        <v/>
      </c>
      <c r="DF3" s="1">
        <f>INDEX($B$17:$GQ$17,MATCH(109,$B$29:$GQ$29,0))</f>
        <v/>
      </c>
      <c r="DG3" s="1">
        <f>INDEX($B$17:$GQ$17,MATCH(110,$B$29:$GQ$29,0))</f>
        <v/>
      </c>
      <c r="DH3" s="1">
        <f>INDEX($B$17:$GQ$17,MATCH(111,$B$29:$GQ$29,0))</f>
        <v/>
      </c>
      <c r="DI3" s="1">
        <f>INDEX($B$17:$GQ$17,MATCH(112,$B$29:$GQ$29,0))</f>
        <v/>
      </c>
      <c r="DJ3" s="1">
        <f>INDEX($B$17:$GQ$17,MATCH(113,$B$29:$GQ$29,0))</f>
        <v/>
      </c>
      <c r="DK3" s="1">
        <f>INDEX($B$17:$GQ$17,MATCH(114,$B$29:$GQ$29,0))</f>
        <v/>
      </c>
      <c r="DL3" s="1">
        <f>INDEX($B$17:$GQ$17,MATCH(115,$B$29:$GQ$29,0))</f>
        <v/>
      </c>
      <c r="DM3" s="1">
        <f>INDEX($B$17:$GQ$17,MATCH(116,$B$29:$GQ$29,0))</f>
        <v/>
      </c>
      <c r="DN3" s="1">
        <f>INDEX($B$17:$GQ$17,MATCH(117,$B$29:$GQ$29,0))</f>
        <v/>
      </c>
      <c r="DO3" s="1">
        <f>INDEX($B$17:$GQ$17,MATCH(118,$B$29:$GQ$29,0))</f>
        <v/>
      </c>
      <c r="DP3" s="1">
        <f>INDEX($B$17:$GQ$17,MATCH(119,$B$29:$GQ$29,0))</f>
        <v/>
      </c>
      <c r="DQ3" s="1">
        <f>INDEX($B$17:$GQ$17,MATCH(120,$B$29:$GQ$29,0))</f>
        <v/>
      </c>
      <c r="DR3" s="1">
        <f>INDEX($B$17:$GQ$17,MATCH(121,$B$29:$GQ$29,0))</f>
        <v/>
      </c>
      <c r="DS3" s="1">
        <f>INDEX($B$17:$GQ$17,MATCH(122,$B$29:$GQ$29,0))</f>
        <v/>
      </c>
      <c r="DT3" s="1">
        <f>INDEX($B$17:$GQ$17,MATCH(123,$B$29:$GQ$29,0))</f>
        <v/>
      </c>
      <c r="DU3" s="1">
        <f>INDEX($B$17:$GQ$17,MATCH(124,$B$29:$GQ$29,0))</f>
        <v/>
      </c>
      <c r="DV3" s="1">
        <f>INDEX($B$17:$GQ$17,MATCH(125,$B$29:$GQ$29,0))</f>
        <v/>
      </c>
      <c r="DW3" s="1">
        <f>INDEX($B$17:$GQ$17,MATCH(126,$B$29:$GQ$29,0))</f>
        <v/>
      </c>
      <c r="DX3" s="1">
        <f>INDEX($B$17:$GQ$17,MATCH(127,$B$29:$GQ$29,0))</f>
        <v/>
      </c>
      <c r="DY3" s="1">
        <f>INDEX($B$17:$GQ$17,MATCH(128,$B$29:$GQ$29,0))</f>
        <v/>
      </c>
      <c r="DZ3" s="1">
        <f>INDEX($B$17:$GQ$17,MATCH(129,$B$29:$GQ$29,0))</f>
        <v/>
      </c>
      <c r="EA3" s="1">
        <f>INDEX($B$17:$GQ$17,MATCH(130,$B$29:$GQ$29,0))</f>
        <v/>
      </c>
      <c r="EB3" s="1">
        <f>INDEX($B$17:$GQ$17,MATCH(131,$B$29:$GQ$29,0))</f>
        <v/>
      </c>
      <c r="EC3" s="1">
        <f>INDEX($B$17:$GQ$17,MATCH(132,$B$29:$GQ$29,0))</f>
        <v/>
      </c>
      <c r="ED3" s="1">
        <f>INDEX($B$17:$GQ$17,MATCH(133,$B$29:$GQ$29,0))</f>
        <v/>
      </c>
      <c r="EE3" s="1">
        <f>INDEX($B$17:$GQ$17,MATCH(134,$B$29:$GQ$29,0))</f>
        <v/>
      </c>
      <c r="EF3" s="1">
        <f>INDEX($B$17:$GQ$17,MATCH(135,$B$29:$GQ$29,0))</f>
        <v/>
      </c>
      <c r="EG3" s="1">
        <f>INDEX($B$17:$GQ$17,MATCH(136,$B$29:$GQ$29,0))</f>
        <v/>
      </c>
      <c r="EH3" s="1">
        <f>INDEX($B$17:$GQ$17,MATCH(137,$B$29:$GQ$29,0))</f>
        <v/>
      </c>
      <c r="EI3" s="1">
        <f>INDEX($B$17:$GQ$17,MATCH(138,$B$29:$GQ$29,0))</f>
        <v/>
      </c>
      <c r="EJ3" s="1">
        <f>INDEX($B$17:$GQ$17,MATCH(139,$B$29:$GQ$29,0))</f>
        <v/>
      </c>
      <c r="EK3" s="1">
        <f>INDEX($B$17:$GQ$17,MATCH(140,$B$29:$GQ$29,0))</f>
        <v/>
      </c>
      <c r="EL3" s="1">
        <f>INDEX($B$17:$GQ$17,MATCH(141,$B$29:$GQ$29,0))</f>
        <v/>
      </c>
      <c r="EM3" s="1">
        <f>INDEX($B$17:$GQ$17,MATCH(142,$B$29:$GQ$29,0))</f>
        <v/>
      </c>
      <c r="EN3" s="1">
        <f>INDEX($B$17:$GQ$17,MATCH(143,$B$29:$GQ$29,0))</f>
        <v/>
      </c>
      <c r="EO3" s="1">
        <f>INDEX($B$17:$GQ$17,MATCH(144,$B$29:$GQ$29,0))</f>
        <v/>
      </c>
      <c r="EP3" s="1">
        <f>INDEX($B$17:$GQ$17,MATCH(145,$B$29:$GQ$29,0))</f>
        <v/>
      </c>
      <c r="EQ3" s="1">
        <f>INDEX($B$17:$GQ$17,MATCH(146,$B$29:$GQ$29,0))</f>
        <v/>
      </c>
      <c r="ER3" s="1">
        <f>INDEX($B$17:$GQ$17,MATCH(147,$B$29:$GQ$29,0))</f>
        <v/>
      </c>
      <c r="ES3" s="1">
        <f>INDEX($B$17:$GQ$17,MATCH(148,$B$29:$GQ$29,0))</f>
        <v/>
      </c>
      <c r="ET3" s="1">
        <f>INDEX($B$17:$GQ$17,MATCH(149,$B$29:$GQ$29,0))</f>
        <v/>
      </c>
      <c r="EU3" s="1">
        <f>INDEX($B$17:$GQ$17,MATCH(150,$B$29:$GQ$29,0))</f>
        <v/>
      </c>
      <c r="EV3" s="1">
        <f>INDEX($B$17:$GQ$17,MATCH(151,$B$29:$GQ$29,0))</f>
        <v/>
      </c>
      <c r="EW3" s="1">
        <f>INDEX($B$17:$GQ$17,MATCH(152,$B$29:$GQ$29,0))</f>
        <v/>
      </c>
      <c r="EX3" s="1">
        <f>INDEX($B$17:$GQ$17,MATCH(153,$B$29:$GQ$29,0))</f>
        <v/>
      </c>
      <c r="EY3" s="1">
        <f>INDEX($B$17:$GQ$17,MATCH(154,$B$29:$GQ$29,0))</f>
        <v/>
      </c>
      <c r="EZ3" s="1">
        <f>INDEX($B$17:$GQ$17,MATCH(155,$B$29:$GQ$29,0))</f>
        <v/>
      </c>
      <c r="FA3" s="1">
        <f>INDEX($B$17:$GQ$17,MATCH(156,$B$29:$GQ$29,0))</f>
        <v/>
      </c>
      <c r="FB3" s="1">
        <f>INDEX($B$17:$GQ$17,MATCH(157,$B$29:$GQ$29,0))</f>
        <v/>
      </c>
      <c r="FC3" s="1">
        <f>INDEX($B$17:$GQ$17,MATCH(158,$B$29:$GQ$29,0))</f>
        <v/>
      </c>
      <c r="FD3" s="1">
        <f>INDEX($B$17:$GQ$17,MATCH(159,$B$29:$GQ$29,0))</f>
        <v/>
      </c>
      <c r="FE3" s="1">
        <f>INDEX($B$17:$GQ$17,MATCH(160,$B$29:$GQ$29,0))</f>
        <v/>
      </c>
      <c r="FF3" s="1">
        <f>INDEX($B$17:$GQ$17,MATCH(161,$B$29:$GQ$29,0))</f>
        <v/>
      </c>
      <c r="FG3" s="1">
        <f>INDEX($B$17:$GQ$17,MATCH(162,$B$29:$GQ$29,0))</f>
        <v/>
      </c>
      <c r="FH3" s="1">
        <f>INDEX($B$17:$GQ$17,MATCH(163,$B$29:$GQ$29,0))</f>
        <v/>
      </c>
      <c r="FI3" s="1">
        <f>INDEX($B$17:$GQ$17,MATCH(164,$B$29:$GQ$29,0))</f>
        <v/>
      </c>
      <c r="FJ3" s="1">
        <f>INDEX($B$17:$GQ$17,MATCH(165,$B$29:$GQ$29,0))</f>
        <v/>
      </c>
      <c r="FK3" s="1">
        <f>INDEX($B$17:$GQ$17,MATCH(166,$B$29:$GQ$29,0))</f>
        <v/>
      </c>
      <c r="FL3" s="1">
        <f>INDEX($B$17:$GQ$17,MATCH(167,$B$29:$GQ$29,0))</f>
        <v/>
      </c>
      <c r="FM3" s="1">
        <f>INDEX($B$17:$GQ$17,MATCH(168,$B$29:$GQ$29,0))</f>
        <v/>
      </c>
      <c r="FN3" s="1">
        <f>INDEX($B$17:$GQ$17,MATCH(169,$B$29:$GQ$29,0))</f>
        <v/>
      </c>
      <c r="FO3" s="1">
        <f>INDEX($B$17:$GQ$17,MATCH(170,$B$29:$GQ$29,0))</f>
        <v/>
      </c>
      <c r="FP3" s="1">
        <f>INDEX($B$17:$GQ$17,MATCH(171,$B$29:$GQ$29,0))</f>
        <v/>
      </c>
      <c r="FQ3" s="1">
        <f>INDEX($B$17:$GQ$17,MATCH(172,$B$29:$GQ$29,0))</f>
        <v/>
      </c>
      <c r="FR3" s="1">
        <f>INDEX($B$17:$GQ$17,MATCH(173,$B$29:$GQ$29,0))</f>
        <v/>
      </c>
      <c r="FS3" s="1">
        <f>INDEX($B$17:$GQ$17,MATCH(174,$B$29:$GQ$29,0))</f>
        <v/>
      </c>
      <c r="FT3" s="1">
        <f>INDEX($B$17:$GQ$17,MATCH(175,$B$29:$GQ$29,0))</f>
        <v/>
      </c>
      <c r="FU3" s="1">
        <f>INDEX($B$17:$GQ$17,MATCH(176,$B$29:$GQ$29,0))</f>
        <v/>
      </c>
      <c r="FV3" s="1">
        <f>INDEX($B$17:$GQ$17,MATCH(177,$B$29:$GQ$29,0))</f>
        <v/>
      </c>
      <c r="FW3" s="1">
        <f>INDEX($B$17:$GQ$17,MATCH(178,$B$29:$GQ$29,0))</f>
        <v/>
      </c>
      <c r="FX3" s="1">
        <f>INDEX($B$17:$GQ$17,MATCH(179,$B$29:$GQ$29,0))</f>
        <v/>
      </c>
      <c r="FY3" s="1">
        <f>INDEX($B$17:$GQ$17,MATCH(180,$B$29:$GQ$29,0))</f>
        <v/>
      </c>
      <c r="FZ3" s="1">
        <f>INDEX($B$17:$GQ$17,MATCH(181,$B$29:$GQ$29,0))</f>
        <v/>
      </c>
      <c r="GA3" s="1">
        <f>INDEX($B$17:$GQ$17,MATCH(182,$B$29:$GQ$29,0))</f>
        <v/>
      </c>
      <c r="GB3" s="1">
        <f>INDEX($B$17:$GQ$17,MATCH(183,$B$29:$GQ$29,0))</f>
        <v/>
      </c>
      <c r="GC3" s="1">
        <f>INDEX($B$17:$GQ$17,MATCH(184,$B$29:$GQ$29,0))</f>
        <v/>
      </c>
      <c r="GD3" s="1">
        <f>INDEX($B$17:$GQ$17,MATCH(185,$B$29:$GQ$29,0))</f>
        <v/>
      </c>
      <c r="GE3" s="1">
        <f>INDEX($B$17:$GQ$17,MATCH(186,$B$29:$GQ$29,0))</f>
        <v/>
      </c>
      <c r="GF3" s="1">
        <f>INDEX($B$17:$GQ$17,MATCH(187,$B$29:$GQ$29,0))</f>
        <v/>
      </c>
      <c r="GG3" s="1">
        <f>INDEX($B$17:$GQ$17,MATCH(188,$B$29:$GQ$29,0))</f>
        <v/>
      </c>
      <c r="GH3" s="1">
        <f>INDEX($B$17:$GQ$17,MATCH(189,$B$29:$GQ$29,0))</f>
        <v/>
      </c>
      <c r="GI3" s="1">
        <f>INDEX($B$17:$GQ$17,MATCH(190,$B$29:$GQ$29,0))</f>
        <v/>
      </c>
      <c r="GJ3" s="1">
        <f>INDEX($B$17:$GQ$17,MATCH(191,$B$29:$GQ$29,0))</f>
        <v/>
      </c>
      <c r="GK3" s="1">
        <f>INDEX($B$17:$GQ$17,MATCH(192,$B$29:$GQ$29,0))</f>
        <v/>
      </c>
      <c r="GL3" s="1">
        <f>INDEX($B$17:$GQ$17,MATCH(193,$B$29:$GQ$29,0))</f>
        <v/>
      </c>
      <c r="GM3" s="1">
        <f>INDEX($B$17:$GQ$17,MATCH(194,$B$29:$GQ$29,0))</f>
        <v/>
      </c>
      <c r="GN3" s="1">
        <f>INDEX($B$17:$GQ$17,MATCH(195,$B$29:$GQ$29,0))</f>
        <v/>
      </c>
      <c r="GO3" s="1">
        <f>INDEX($B$17:$GQ$17,MATCH(196,$B$29:$GQ$29,0))</f>
        <v/>
      </c>
      <c r="GP3" s="1">
        <f>INDEX($B$17:$GQ$17,MATCH(197,$B$29:$GQ$29,0))</f>
        <v/>
      </c>
      <c r="GQ3" s="1">
        <f>INDEX($B$17:$GQ$17,MATCH(198,$B$29:$GQ$29,0))</f>
        <v/>
      </c>
      <c r="GR3" s="1">
        <f>INDEX($GR$17:$HC$17,MATCH(1,$GR$30:$HC$30,0))</f>
        <v/>
      </c>
      <c r="GS3" s="1">
        <f>INDEX($GR$17:$HC$17,MATCH(2,$GR$30:$HC$30,0))</f>
        <v/>
      </c>
      <c r="GT3" s="1">
        <f>INDEX($GR$17:$HC$17,MATCH(3,$GR$30:$HC$30,0))</f>
        <v/>
      </c>
      <c r="GU3" s="1">
        <f>INDEX($GR$17:$HC$17,MATCH(4,$GR$30:$HC$30,0))</f>
        <v/>
      </c>
      <c r="GV3" s="1">
        <f>INDEX($GR$17:$HC$17,MATCH(5,$GR$30:$HC$30,0))</f>
        <v/>
      </c>
      <c r="GW3" s="1">
        <f>INDEX($GR$17:$HC$17,MATCH(6,$GR$30:$HC$30,0))</f>
        <v/>
      </c>
      <c r="GX3" s="1">
        <f>INDEX($GR$17:$HC$17,MATCH(7,$GR$30:$HC$30,0))</f>
        <v/>
      </c>
      <c r="GY3" s="1">
        <f>INDEX($GR$17:$HC$17,MATCH(8,$GR$30:$HC$30,0))</f>
        <v/>
      </c>
      <c r="GZ3" s="1">
        <f>INDEX($GR$17:$HC$17,MATCH(9,$GR$30:$HC$30,0))</f>
        <v/>
      </c>
      <c r="HA3" s="1">
        <f>INDEX($GR$17:$HC$17,MATCH(10,$GR$30:$HC$30,0))</f>
        <v/>
      </c>
      <c r="HB3" s="1">
        <f>INDEX($GR$17:$HC$17,MATCH(11,$GR$30:$HC$30,0))</f>
        <v/>
      </c>
      <c r="HC3" s="1">
        <f>INDEX($GR$17:$HC$17,MATCH(12,$GR$30:$HC$30,0))</f>
        <v/>
      </c>
    </row>
    <row r="4">
      <c r="A4" s="1" t="inlineStr">
        <is>
          <t>M_imp</t>
        </is>
      </c>
      <c r="B4">
        <f>INDEX($B$18:$GQ$18,MATCH(1,$B$29:$GQ$29,0))</f>
        <v/>
      </c>
      <c r="C4">
        <f>INDEX($B$18:$GQ$18,MATCH(2,$B$29:$GQ$29,0))</f>
        <v/>
      </c>
      <c r="D4">
        <f>INDEX($B$18:$GQ$18,MATCH(3,$B$29:$GQ$29,0))</f>
        <v/>
      </c>
      <c r="E4">
        <f>INDEX($B$18:$GQ$18,MATCH(4,$B$29:$GQ$29,0))</f>
        <v/>
      </c>
      <c r="F4">
        <f>INDEX($B$18:$GQ$18,MATCH(5,$B$29:$GQ$29,0))</f>
        <v/>
      </c>
      <c r="G4">
        <f>INDEX($B$18:$GQ$18,MATCH(6,$B$29:$GQ$29,0))</f>
        <v/>
      </c>
      <c r="H4">
        <f>INDEX($B$18:$GQ$18,MATCH(7,$B$29:$GQ$29,0))</f>
        <v/>
      </c>
      <c r="I4">
        <f>INDEX($B$18:$GQ$18,MATCH(8,$B$29:$GQ$29,0))</f>
        <v/>
      </c>
      <c r="J4">
        <f>INDEX($B$18:$GQ$18,MATCH(9,$B$29:$GQ$29,0))</f>
        <v/>
      </c>
      <c r="K4">
        <f>INDEX($B$18:$GQ$18,MATCH(10,$B$29:$GQ$29,0))</f>
        <v/>
      </c>
      <c r="L4">
        <f>INDEX($B$18:$GQ$18,MATCH(11,$B$29:$GQ$29,0))</f>
        <v/>
      </c>
      <c r="M4">
        <f>INDEX($B$18:$GQ$18,MATCH(12,$B$29:$GQ$29,0))</f>
        <v/>
      </c>
      <c r="N4">
        <f>INDEX($B$18:$GQ$18,MATCH(13,$B$29:$GQ$29,0))</f>
        <v/>
      </c>
      <c r="O4">
        <f>INDEX($B$18:$GQ$18,MATCH(14,$B$29:$GQ$29,0))</f>
        <v/>
      </c>
      <c r="P4">
        <f>INDEX($B$18:$GQ$18,MATCH(15,$B$29:$GQ$29,0))</f>
        <v/>
      </c>
      <c r="Q4">
        <f>INDEX($B$18:$GQ$18,MATCH(16,$B$29:$GQ$29,0))</f>
        <v/>
      </c>
      <c r="R4">
        <f>INDEX($B$18:$GQ$18,MATCH(17,$B$29:$GQ$29,0))</f>
        <v/>
      </c>
      <c r="S4">
        <f>INDEX($B$18:$GQ$18,MATCH(18,$B$29:$GQ$29,0))</f>
        <v/>
      </c>
      <c r="T4">
        <f>INDEX($B$18:$GQ$18,MATCH(19,$B$29:$GQ$29,0))</f>
        <v/>
      </c>
      <c r="U4">
        <f>INDEX($B$18:$GQ$18,MATCH(20,$B$29:$GQ$29,0))</f>
        <v/>
      </c>
      <c r="V4">
        <f>INDEX($B$18:$GQ$18,MATCH(21,$B$29:$GQ$29,0))</f>
        <v/>
      </c>
      <c r="W4">
        <f>INDEX($B$18:$GQ$18,MATCH(22,$B$29:$GQ$29,0))</f>
        <v/>
      </c>
      <c r="X4">
        <f>INDEX($B$18:$GQ$18,MATCH(23,$B$29:$GQ$29,0))</f>
        <v/>
      </c>
      <c r="Y4">
        <f>INDEX($B$18:$GQ$18,MATCH(24,$B$29:$GQ$29,0))</f>
        <v/>
      </c>
      <c r="Z4">
        <f>INDEX($B$18:$GQ$18,MATCH(25,$B$29:$GQ$29,0))</f>
        <v/>
      </c>
      <c r="AA4">
        <f>INDEX($B$18:$GQ$18,MATCH(26,$B$29:$GQ$29,0))</f>
        <v/>
      </c>
      <c r="AB4">
        <f>INDEX($B$18:$GQ$18,MATCH(27,$B$29:$GQ$29,0))</f>
        <v/>
      </c>
      <c r="AC4">
        <f>INDEX($B$18:$GQ$18,MATCH(28,$B$29:$GQ$29,0))</f>
        <v/>
      </c>
      <c r="AD4">
        <f>INDEX($B$18:$GQ$18,MATCH(29,$B$29:$GQ$29,0))</f>
        <v/>
      </c>
      <c r="AE4">
        <f>INDEX($B$18:$GQ$18,MATCH(30,$B$29:$GQ$29,0))</f>
        <v/>
      </c>
      <c r="AF4">
        <f>INDEX($B$18:$GQ$18,MATCH(31,$B$29:$GQ$29,0))</f>
        <v/>
      </c>
      <c r="AG4">
        <f>INDEX($B$18:$GQ$18,MATCH(32,$B$29:$GQ$29,0))</f>
        <v/>
      </c>
      <c r="AH4">
        <f>INDEX($B$18:$GQ$18,MATCH(33,$B$29:$GQ$29,0))</f>
        <v/>
      </c>
      <c r="AI4">
        <f>INDEX($B$18:$GQ$18,MATCH(34,$B$29:$GQ$29,0))</f>
        <v/>
      </c>
      <c r="AJ4">
        <f>INDEX($B$18:$GQ$18,MATCH(35,$B$29:$GQ$29,0))</f>
        <v/>
      </c>
      <c r="AK4">
        <f>INDEX($B$18:$GQ$18,MATCH(36,$B$29:$GQ$29,0))</f>
        <v/>
      </c>
      <c r="AL4">
        <f>INDEX($B$18:$GQ$18,MATCH(37,$B$29:$GQ$29,0))</f>
        <v/>
      </c>
      <c r="AM4">
        <f>INDEX($B$18:$GQ$18,MATCH(38,$B$29:$GQ$29,0))</f>
        <v/>
      </c>
      <c r="AN4">
        <f>INDEX($B$18:$GQ$18,MATCH(39,$B$29:$GQ$29,0))</f>
        <v/>
      </c>
      <c r="AO4">
        <f>INDEX($B$18:$GQ$18,MATCH(40,$B$29:$GQ$29,0))</f>
        <v/>
      </c>
      <c r="AP4">
        <f>INDEX($B$18:$GQ$18,MATCH(41,$B$29:$GQ$29,0))</f>
        <v/>
      </c>
      <c r="AQ4">
        <f>INDEX($B$18:$GQ$18,MATCH(42,$B$29:$GQ$29,0))</f>
        <v/>
      </c>
      <c r="AR4">
        <f>INDEX($B$18:$GQ$18,MATCH(43,$B$29:$GQ$29,0))</f>
        <v/>
      </c>
      <c r="AS4">
        <f>INDEX($B$18:$GQ$18,MATCH(44,$B$29:$GQ$29,0))</f>
        <v/>
      </c>
      <c r="AT4">
        <f>INDEX($B$18:$GQ$18,MATCH(45,$B$29:$GQ$29,0))</f>
        <v/>
      </c>
      <c r="AU4">
        <f>INDEX($B$18:$GQ$18,MATCH(46,$B$29:$GQ$29,0))</f>
        <v/>
      </c>
      <c r="AV4">
        <f>INDEX($B$18:$GQ$18,MATCH(47,$B$29:$GQ$29,0))</f>
        <v/>
      </c>
      <c r="AW4">
        <f>INDEX($B$18:$GQ$18,MATCH(48,$B$29:$GQ$29,0))</f>
        <v/>
      </c>
      <c r="AX4">
        <f>INDEX($B$18:$GQ$18,MATCH(49,$B$29:$GQ$29,0))</f>
        <v/>
      </c>
      <c r="AY4">
        <f>INDEX($B$18:$GQ$18,MATCH(50,$B$29:$GQ$29,0))</f>
        <v/>
      </c>
      <c r="AZ4">
        <f>INDEX($B$18:$GQ$18,MATCH(51,$B$29:$GQ$29,0))</f>
        <v/>
      </c>
      <c r="BA4">
        <f>INDEX($B$18:$GQ$18,MATCH(52,$B$29:$GQ$29,0))</f>
        <v/>
      </c>
      <c r="BB4">
        <f>INDEX($B$18:$GQ$18,MATCH(53,$B$29:$GQ$29,0))</f>
        <v/>
      </c>
      <c r="BC4">
        <f>INDEX($B$18:$GQ$18,MATCH(54,$B$29:$GQ$29,0))</f>
        <v/>
      </c>
      <c r="BD4">
        <f>INDEX($B$18:$GQ$18,MATCH(55,$B$29:$GQ$29,0))</f>
        <v/>
      </c>
      <c r="BE4">
        <f>INDEX($B$18:$GQ$18,MATCH(56,$B$29:$GQ$29,0))</f>
        <v/>
      </c>
      <c r="BF4">
        <f>INDEX($B$18:$GQ$18,MATCH(57,$B$29:$GQ$29,0))</f>
        <v/>
      </c>
      <c r="BG4">
        <f>INDEX($B$18:$GQ$18,MATCH(58,$B$29:$GQ$29,0))</f>
        <v/>
      </c>
      <c r="BH4">
        <f>INDEX($B$18:$GQ$18,MATCH(59,$B$29:$GQ$29,0))</f>
        <v/>
      </c>
      <c r="BI4">
        <f>INDEX($B$18:$GQ$18,MATCH(60,$B$29:$GQ$29,0))</f>
        <v/>
      </c>
      <c r="BJ4">
        <f>INDEX($B$18:$GQ$18,MATCH(61,$B$29:$GQ$29,0))</f>
        <v/>
      </c>
      <c r="BK4">
        <f>INDEX($B$18:$GQ$18,MATCH(62,$B$29:$GQ$29,0))</f>
        <v/>
      </c>
      <c r="BL4">
        <f>INDEX($B$18:$GQ$18,MATCH(63,$B$29:$GQ$29,0))</f>
        <v/>
      </c>
      <c r="BM4">
        <f>INDEX($B$18:$GQ$18,MATCH(64,$B$29:$GQ$29,0))</f>
        <v/>
      </c>
      <c r="BN4">
        <f>INDEX($B$18:$GQ$18,MATCH(65,$B$29:$GQ$29,0))</f>
        <v/>
      </c>
      <c r="BO4">
        <f>INDEX($B$18:$GQ$18,MATCH(66,$B$29:$GQ$29,0))</f>
        <v/>
      </c>
      <c r="BP4">
        <f>INDEX($B$18:$GQ$18,MATCH(67,$B$29:$GQ$29,0))</f>
        <v/>
      </c>
      <c r="BQ4">
        <f>INDEX($B$18:$GQ$18,MATCH(68,$B$29:$GQ$29,0))</f>
        <v/>
      </c>
      <c r="BR4">
        <f>INDEX($B$18:$GQ$18,MATCH(69,$B$29:$GQ$29,0))</f>
        <v/>
      </c>
      <c r="BS4">
        <f>INDEX($B$18:$GQ$18,MATCH(70,$B$29:$GQ$29,0))</f>
        <v/>
      </c>
      <c r="BT4">
        <f>INDEX($B$18:$GQ$18,MATCH(71,$B$29:$GQ$29,0))</f>
        <v/>
      </c>
      <c r="BU4">
        <f>INDEX($B$18:$GQ$18,MATCH(72,$B$29:$GQ$29,0))</f>
        <v/>
      </c>
      <c r="BV4">
        <f>INDEX($B$18:$GQ$18,MATCH(73,$B$29:$GQ$29,0))</f>
        <v/>
      </c>
      <c r="BW4">
        <f>INDEX($B$18:$GQ$18,MATCH(74,$B$29:$GQ$29,0))</f>
        <v/>
      </c>
      <c r="BX4">
        <f>INDEX($B$18:$GQ$18,MATCH(75,$B$29:$GQ$29,0))</f>
        <v/>
      </c>
      <c r="BY4">
        <f>INDEX($B$18:$GQ$18,MATCH(76,$B$29:$GQ$29,0))</f>
        <v/>
      </c>
      <c r="BZ4">
        <f>INDEX($B$18:$GQ$18,MATCH(77,$B$29:$GQ$29,0))</f>
        <v/>
      </c>
      <c r="CA4">
        <f>INDEX($B$18:$GQ$18,MATCH(78,$B$29:$GQ$29,0))</f>
        <v/>
      </c>
      <c r="CB4">
        <f>INDEX($B$18:$GQ$18,MATCH(79,$B$29:$GQ$29,0))</f>
        <v/>
      </c>
      <c r="CC4">
        <f>INDEX($B$18:$GQ$18,MATCH(80,$B$29:$GQ$29,0))</f>
        <v/>
      </c>
      <c r="CD4">
        <f>INDEX($B$18:$GQ$18,MATCH(81,$B$29:$GQ$29,0))</f>
        <v/>
      </c>
      <c r="CE4">
        <f>INDEX($B$18:$GQ$18,MATCH(82,$B$29:$GQ$29,0))</f>
        <v/>
      </c>
      <c r="CF4">
        <f>INDEX($B$18:$GQ$18,MATCH(83,$B$29:$GQ$29,0))</f>
        <v/>
      </c>
      <c r="CG4">
        <f>INDEX($B$18:$GQ$18,MATCH(84,$B$29:$GQ$29,0))</f>
        <v/>
      </c>
      <c r="CH4">
        <f>INDEX($B$18:$GQ$18,MATCH(85,$B$29:$GQ$29,0))</f>
        <v/>
      </c>
      <c r="CI4">
        <f>INDEX($B$18:$GQ$18,MATCH(86,$B$29:$GQ$29,0))</f>
        <v/>
      </c>
      <c r="CJ4">
        <f>INDEX($B$18:$GQ$18,MATCH(87,$B$29:$GQ$29,0))</f>
        <v/>
      </c>
      <c r="CK4">
        <f>INDEX($B$18:$GQ$18,MATCH(88,$B$29:$GQ$29,0))</f>
        <v/>
      </c>
      <c r="CL4">
        <f>INDEX($B$18:$GQ$18,MATCH(89,$B$29:$GQ$29,0))</f>
        <v/>
      </c>
      <c r="CM4">
        <f>INDEX($B$18:$GQ$18,MATCH(90,$B$29:$GQ$29,0))</f>
        <v/>
      </c>
      <c r="CN4">
        <f>INDEX($B$18:$GQ$18,MATCH(91,$B$29:$GQ$29,0))</f>
        <v/>
      </c>
      <c r="CO4">
        <f>INDEX($B$18:$GQ$18,MATCH(92,$B$29:$GQ$29,0))</f>
        <v/>
      </c>
      <c r="CP4">
        <f>INDEX($B$18:$GQ$18,MATCH(93,$B$29:$GQ$29,0))</f>
        <v/>
      </c>
      <c r="CQ4">
        <f>INDEX($B$18:$GQ$18,MATCH(94,$B$29:$GQ$29,0))</f>
        <v/>
      </c>
      <c r="CR4">
        <f>INDEX($B$18:$GQ$18,MATCH(95,$B$29:$GQ$29,0))</f>
        <v/>
      </c>
      <c r="CS4">
        <f>INDEX($B$18:$GQ$18,MATCH(96,$B$29:$GQ$29,0))</f>
        <v/>
      </c>
      <c r="CT4">
        <f>INDEX($B$18:$GQ$18,MATCH(97,$B$29:$GQ$29,0))</f>
        <v/>
      </c>
      <c r="CU4">
        <f>INDEX($B$18:$GQ$18,MATCH(98,$B$29:$GQ$29,0))</f>
        <v/>
      </c>
      <c r="CV4">
        <f>INDEX($B$18:$GQ$18,MATCH(99,$B$29:$GQ$29,0))</f>
        <v/>
      </c>
      <c r="CW4">
        <f>INDEX($B$18:$GQ$18,MATCH(100,$B$29:$GQ$29,0))</f>
        <v/>
      </c>
      <c r="CX4">
        <f>INDEX($B$18:$GQ$18,MATCH(101,$B$29:$GQ$29,0))</f>
        <v/>
      </c>
      <c r="CY4">
        <f>INDEX($B$18:$GQ$18,MATCH(102,$B$29:$GQ$29,0))</f>
        <v/>
      </c>
      <c r="CZ4">
        <f>INDEX($B$18:$GQ$18,MATCH(103,$B$29:$GQ$29,0))</f>
        <v/>
      </c>
      <c r="DA4">
        <f>INDEX($B$18:$GQ$18,MATCH(104,$B$29:$GQ$29,0))</f>
        <v/>
      </c>
      <c r="DB4">
        <f>INDEX($B$18:$GQ$18,MATCH(105,$B$29:$GQ$29,0))</f>
        <v/>
      </c>
      <c r="DC4">
        <f>INDEX($B$18:$GQ$18,MATCH(106,$B$29:$GQ$29,0))</f>
        <v/>
      </c>
      <c r="DD4">
        <f>INDEX($B$18:$GQ$18,MATCH(107,$B$29:$GQ$29,0))</f>
        <v/>
      </c>
      <c r="DE4">
        <f>INDEX($B$18:$GQ$18,MATCH(108,$B$29:$GQ$29,0))</f>
        <v/>
      </c>
      <c r="DF4">
        <f>INDEX($B$18:$GQ$18,MATCH(109,$B$29:$GQ$29,0))</f>
        <v/>
      </c>
      <c r="DG4">
        <f>INDEX($B$18:$GQ$18,MATCH(110,$B$29:$GQ$29,0))</f>
        <v/>
      </c>
      <c r="DH4">
        <f>INDEX($B$18:$GQ$18,MATCH(111,$B$29:$GQ$29,0))</f>
        <v/>
      </c>
      <c r="DI4">
        <f>INDEX($B$18:$GQ$18,MATCH(112,$B$29:$GQ$29,0))</f>
        <v/>
      </c>
      <c r="DJ4">
        <f>INDEX($B$18:$GQ$18,MATCH(113,$B$29:$GQ$29,0))</f>
        <v/>
      </c>
      <c r="DK4">
        <f>INDEX($B$18:$GQ$18,MATCH(114,$B$29:$GQ$29,0))</f>
        <v/>
      </c>
      <c r="DL4">
        <f>INDEX($B$18:$GQ$18,MATCH(115,$B$29:$GQ$29,0))</f>
        <v/>
      </c>
      <c r="DM4">
        <f>INDEX($B$18:$GQ$18,MATCH(116,$B$29:$GQ$29,0))</f>
        <v/>
      </c>
      <c r="DN4">
        <f>INDEX($B$18:$GQ$18,MATCH(117,$B$29:$GQ$29,0))</f>
        <v/>
      </c>
      <c r="DO4">
        <f>INDEX($B$18:$GQ$18,MATCH(118,$B$29:$GQ$29,0))</f>
        <v/>
      </c>
      <c r="DP4">
        <f>INDEX($B$18:$GQ$18,MATCH(119,$B$29:$GQ$29,0))</f>
        <v/>
      </c>
      <c r="DQ4">
        <f>INDEX($B$18:$GQ$18,MATCH(120,$B$29:$GQ$29,0))</f>
        <v/>
      </c>
      <c r="DR4">
        <f>INDEX($B$18:$GQ$18,MATCH(121,$B$29:$GQ$29,0))</f>
        <v/>
      </c>
      <c r="DS4">
        <f>INDEX($B$18:$GQ$18,MATCH(122,$B$29:$GQ$29,0))</f>
        <v/>
      </c>
      <c r="DT4">
        <f>INDEX($B$18:$GQ$18,MATCH(123,$B$29:$GQ$29,0))</f>
        <v/>
      </c>
      <c r="DU4">
        <f>INDEX($B$18:$GQ$18,MATCH(124,$B$29:$GQ$29,0))</f>
        <v/>
      </c>
      <c r="DV4">
        <f>INDEX($B$18:$GQ$18,MATCH(125,$B$29:$GQ$29,0))</f>
        <v/>
      </c>
      <c r="DW4">
        <f>INDEX($B$18:$GQ$18,MATCH(126,$B$29:$GQ$29,0))</f>
        <v/>
      </c>
      <c r="DX4">
        <f>INDEX($B$18:$GQ$18,MATCH(127,$B$29:$GQ$29,0))</f>
        <v/>
      </c>
      <c r="DY4">
        <f>INDEX($B$18:$GQ$18,MATCH(128,$B$29:$GQ$29,0))</f>
        <v/>
      </c>
      <c r="DZ4">
        <f>INDEX($B$18:$GQ$18,MATCH(129,$B$29:$GQ$29,0))</f>
        <v/>
      </c>
      <c r="EA4">
        <f>INDEX($B$18:$GQ$18,MATCH(130,$B$29:$GQ$29,0))</f>
        <v/>
      </c>
      <c r="EB4">
        <f>INDEX($B$18:$GQ$18,MATCH(131,$B$29:$GQ$29,0))</f>
        <v/>
      </c>
      <c r="EC4">
        <f>INDEX($B$18:$GQ$18,MATCH(132,$B$29:$GQ$29,0))</f>
        <v/>
      </c>
      <c r="ED4">
        <f>INDEX($B$18:$GQ$18,MATCH(133,$B$29:$GQ$29,0))</f>
        <v/>
      </c>
      <c r="EE4">
        <f>INDEX($B$18:$GQ$18,MATCH(134,$B$29:$GQ$29,0))</f>
        <v/>
      </c>
      <c r="EF4">
        <f>INDEX($B$18:$GQ$18,MATCH(135,$B$29:$GQ$29,0))</f>
        <v/>
      </c>
      <c r="EG4">
        <f>INDEX($B$18:$GQ$18,MATCH(136,$B$29:$GQ$29,0))</f>
        <v/>
      </c>
      <c r="EH4">
        <f>INDEX($B$18:$GQ$18,MATCH(137,$B$29:$GQ$29,0))</f>
        <v/>
      </c>
      <c r="EI4">
        <f>INDEX($B$18:$GQ$18,MATCH(138,$B$29:$GQ$29,0))</f>
        <v/>
      </c>
      <c r="EJ4">
        <f>INDEX($B$18:$GQ$18,MATCH(139,$B$29:$GQ$29,0))</f>
        <v/>
      </c>
      <c r="EK4">
        <f>INDEX($B$18:$GQ$18,MATCH(140,$B$29:$GQ$29,0))</f>
        <v/>
      </c>
      <c r="EL4">
        <f>INDEX($B$18:$GQ$18,MATCH(141,$B$29:$GQ$29,0))</f>
        <v/>
      </c>
      <c r="EM4">
        <f>INDEX($B$18:$GQ$18,MATCH(142,$B$29:$GQ$29,0))</f>
        <v/>
      </c>
      <c r="EN4">
        <f>INDEX($B$18:$GQ$18,MATCH(143,$B$29:$GQ$29,0))</f>
        <v/>
      </c>
      <c r="EO4">
        <f>INDEX($B$18:$GQ$18,MATCH(144,$B$29:$GQ$29,0))</f>
        <v/>
      </c>
      <c r="EP4">
        <f>INDEX($B$18:$GQ$18,MATCH(145,$B$29:$GQ$29,0))</f>
        <v/>
      </c>
      <c r="EQ4">
        <f>INDEX($B$18:$GQ$18,MATCH(146,$B$29:$GQ$29,0))</f>
        <v/>
      </c>
      <c r="ER4">
        <f>INDEX($B$18:$GQ$18,MATCH(147,$B$29:$GQ$29,0))</f>
        <v/>
      </c>
      <c r="ES4">
        <f>INDEX($B$18:$GQ$18,MATCH(148,$B$29:$GQ$29,0))</f>
        <v/>
      </c>
      <c r="ET4">
        <f>INDEX($B$18:$GQ$18,MATCH(149,$B$29:$GQ$29,0))</f>
        <v/>
      </c>
      <c r="EU4">
        <f>INDEX($B$18:$GQ$18,MATCH(150,$B$29:$GQ$29,0))</f>
        <v/>
      </c>
      <c r="EV4">
        <f>INDEX($B$18:$GQ$18,MATCH(151,$B$29:$GQ$29,0))</f>
        <v/>
      </c>
      <c r="EW4">
        <f>INDEX($B$18:$GQ$18,MATCH(152,$B$29:$GQ$29,0))</f>
        <v/>
      </c>
      <c r="EX4">
        <f>INDEX($B$18:$GQ$18,MATCH(153,$B$29:$GQ$29,0))</f>
        <v/>
      </c>
      <c r="EY4">
        <f>INDEX($B$18:$GQ$18,MATCH(154,$B$29:$GQ$29,0))</f>
        <v/>
      </c>
      <c r="EZ4">
        <f>INDEX($B$18:$GQ$18,MATCH(155,$B$29:$GQ$29,0))</f>
        <v/>
      </c>
      <c r="FA4">
        <f>INDEX($B$18:$GQ$18,MATCH(156,$B$29:$GQ$29,0))</f>
        <v/>
      </c>
      <c r="FB4">
        <f>INDEX($B$18:$GQ$18,MATCH(157,$B$29:$GQ$29,0))</f>
        <v/>
      </c>
      <c r="FC4">
        <f>INDEX($B$18:$GQ$18,MATCH(158,$B$29:$GQ$29,0))</f>
        <v/>
      </c>
      <c r="FD4">
        <f>INDEX($B$18:$GQ$18,MATCH(159,$B$29:$GQ$29,0))</f>
        <v/>
      </c>
      <c r="FE4">
        <f>INDEX($B$18:$GQ$18,MATCH(160,$B$29:$GQ$29,0))</f>
        <v/>
      </c>
      <c r="FF4">
        <f>INDEX($B$18:$GQ$18,MATCH(161,$B$29:$GQ$29,0))</f>
        <v/>
      </c>
      <c r="FG4">
        <f>INDEX($B$18:$GQ$18,MATCH(162,$B$29:$GQ$29,0))</f>
        <v/>
      </c>
      <c r="FH4">
        <f>INDEX($B$18:$GQ$18,MATCH(163,$B$29:$GQ$29,0))</f>
        <v/>
      </c>
      <c r="FI4">
        <f>INDEX($B$18:$GQ$18,MATCH(164,$B$29:$GQ$29,0))</f>
        <v/>
      </c>
      <c r="FJ4">
        <f>INDEX($B$18:$GQ$18,MATCH(165,$B$29:$GQ$29,0))</f>
        <v/>
      </c>
      <c r="FK4">
        <f>INDEX($B$18:$GQ$18,MATCH(166,$B$29:$GQ$29,0))</f>
        <v/>
      </c>
      <c r="FL4">
        <f>INDEX($B$18:$GQ$18,MATCH(167,$B$29:$GQ$29,0))</f>
        <v/>
      </c>
      <c r="FM4">
        <f>INDEX($B$18:$GQ$18,MATCH(168,$B$29:$GQ$29,0))</f>
        <v/>
      </c>
      <c r="FN4">
        <f>INDEX($B$18:$GQ$18,MATCH(169,$B$29:$GQ$29,0))</f>
        <v/>
      </c>
      <c r="FO4">
        <f>INDEX($B$18:$GQ$18,MATCH(170,$B$29:$GQ$29,0))</f>
        <v/>
      </c>
      <c r="FP4">
        <f>INDEX($B$18:$GQ$18,MATCH(171,$B$29:$GQ$29,0))</f>
        <v/>
      </c>
      <c r="FQ4">
        <f>INDEX($B$18:$GQ$18,MATCH(172,$B$29:$GQ$29,0))</f>
        <v/>
      </c>
      <c r="FR4">
        <f>INDEX($B$18:$GQ$18,MATCH(173,$B$29:$GQ$29,0))</f>
        <v/>
      </c>
      <c r="FS4">
        <f>INDEX($B$18:$GQ$18,MATCH(174,$B$29:$GQ$29,0))</f>
        <v/>
      </c>
      <c r="FT4">
        <f>INDEX($B$18:$GQ$18,MATCH(175,$B$29:$GQ$29,0))</f>
        <v/>
      </c>
      <c r="FU4">
        <f>INDEX($B$18:$GQ$18,MATCH(176,$B$29:$GQ$29,0))</f>
        <v/>
      </c>
      <c r="FV4">
        <f>INDEX($B$18:$GQ$18,MATCH(177,$B$29:$GQ$29,0))</f>
        <v/>
      </c>
      <c r="FW4">
        <f>INDEX($B$18:$GQ$18,MATCH(178,$B$29:$GQ$29,0))</f>
        <v/>
      </c>
      <c r="FX4">
        <f>INDEX($B$18:$GQ$18,MATCH(179,$B$29:$GQ$29,0))</f>
        <v/>
      </c>
      <c r="FY4">
        <f>INDEX($B$18:$GQ$18,MATCH(180,$B$29:$GQ$29,0))</f>
        <v/>
      </c>
      <c r="FZ4">
        <f>INDEX($B$18:$GQ$18,MATCH(181,$B$29:$GQ$29,0))</f>
        <v/>
      </c>
      <c r="GA4">
        <f>INDEX($B$18:$GQ$18,MATCH(182,$B$29:$GQ$29,0))</f>
        <v/>
      </c>
      <c r="GB4">
        <f>INDEX($B$18:$GQ$18,MATCH(183,$B$29:$GQ$29,0))</f>
        <v/>
      </c>
      <c r="GC4">
        <f>INDEX($B$18:$GQ$18,MATCH(184,$B$29:$GQ$29,0))</f>
        <v/>
      </c>
      <c r="GD4">
        <f>INDEX($B$18:$GQ$18,MATCH(185,$B$29:$GQ$29,0))</f>
        <v/>
      </c>
      <c r="GE4">
        <f>INDEX($B$18:$GQ$18,MATCH(186,$B$29:$GQ$29,0))</f>
        <v/>
      </c>
      <c r="GF4">
        <f>INDEX($B$18:$GQ$18,MATCH(187,$B$29:$GQ$29,0))</f>
        <v/>
      </c>
      <c r="GG4">
        <f>INDEX($B$18:$GQ$18,MATCH(188,$B$29:$GQ$29,0))</f>
        <v/>
      </c>
      <c r="GH4">
        <f>INDEX($B$18:$GQ$18,MATCH(189,$B$29:$GQ$29,0))</f>
        <v/>
      </c>
      <c r="GI4">
        <f>INDEX($B$18:$GQ$18,MATCH(190,$B$29:$GQ$29,0))</f>
        <v/>
      </c>
      <c r="GJ4">
        <f>INDEX($B$18:$GQ$18,MATCH(191,$B$29:$GQ$29,0))</f>
        <v/>
      </c>
      <c r="GK4">
        <f>INDEX($B$18:$GQ$18,MATCH(192,$B$29:$GQ$29,0))</f>
        <v/>
      </c>
      <c r="GL4">
        <f>INDEX($B$18:$GQ$18,MATCH(193,$B$29:$GQ$29,0))</f>
        <v/>
      </c>
      <c r="GM4">
        <f>INDEX($B$18:$GQ$18,MATCH(194,$B$29:$GQ$29,0))</f>
        <v/>
      </c>
      <c r="GN4">
        <f>INDEX($B$18:$GQ$18,MATCH(195,$B$29:$GQ$29,0))</f>
        <v/>
      </c>
      <c r="GO4">
        <f>INDEX($B$18:$GQ$18,MATCH(196,$B$29:$GQ$29,0))</f>
        <v/>
      </c>
      <c r="GP4">
        <f>INDEX($B$18:$GQ$18,MATCH(197,$B$29:$GQ$29,0))</f>
        <v/>
      </c>
      <c r="GQ4">
        <f>INDEX($B$18:$GQ$18,MATCH(198,$B$29:$GQ$29,0))</f>
        <v/>
      </c>
      <c r="GR4">
        <f>INDEX($GR$18:$HC$18,MATCH(1,$GR$30:$HC$30,0))</f>
        <v/>
      </c>
      <c r="GS4">
        <f>INDEX($GR$18:$HC$18,MATCH(2,$GR$30:$HC$30,0))</f>
        <v/>
      </c>
      <c r="GT4">
        <f>INDEX($GR$18:$HC$18,MATCH(3,$GR$30:$HC$30,0))</f>
        <v/>
      </c>
      <c r="GU4">
        <f>INDEX($GR$18:$HC$18,MATCH(4,$GR$30:$HC$30,0))</f>
        <v/>
      </c>
      <c r="GV4">
        <f>INDEX($GR$18:$HC$18,MATCH(5,$GR$30:$HC$30,0))</f>
        <v/>
      </c>
      <c r="GW4">
        <f>INDEX($GR$18:$HC$18,MATCH(6,$GR$30:$HC$30,0))</f>
        <v/>
      </c>
      <c r="GX4">
        <f>INDEX($GR$18:$HC$18,MATCH(7,$GR$30:$HC$30,0))</f>
        <v/>
      </c>
      <c r="GY4">
        <f>INDEX($GR$18:$HC$18,MATCH(8,$GR$30:$HC$30,0))</f>
        <v/>
      </c>
      <c r="GZ4">
        <f>INDEX($GR$18:$HC$18,MATCH(9,$GR$30:$HC$30,0))</f>
        <v/>
      </c>
      <c r="HA4">
        <f>INDEX($GR$18:$HC$18,MATCH(10,$GR$30:$HC$30,0))</f>
        <v/>
      </c>
      <c r="HB4">
        <f>INDEX($GR$18:$HC$18,MATCH(11,$GR$30:$HC$30,0))</f>
        <v/>
      </c>
      <c r="HC4">
        <f>INDEX($GR$18:$HC$18,MATCH(12,$GR$30:$HC$30,0))</f>
        <v/>
      </c>
    </row>
    <row r="5">
      <c r="A5" s="1" t="inlineStr">
        <is>
          <t>M_dom</t>
        </is>
      </c>
      <c r="B5">
        <f>INDEX($B$19:$GQ$19,MATCH(1,$B$29:$GQ$29,0))</f>
        <v/>
      </c>
      <c r="C5">
        <f>INDEX($B$19:$GQ$19,MATCH(2,$B$29:$GQ$29,0))</f>
        <v/>
      </c>
      <c r="D5">
        <f>INDEX($B$19:$GQ$19,MATCH(3,$B$29:$GQ$29,0))</f>
        <v/>
      </c>
      <c r="E5">
        <f>INDEX($B$19:$GQ$19,MATCH(4,$B$29:$GQ$29,0))</f>
        <v/>
      </c>
      <c r="F5">
        <f>INDEX($B$19:$GQ$19,MATCH(5,$B$29:$GQ$29,0))</f>
        <v/>
      </c>
      <c r="G5">
        <f>INDEX($B$19:$GQ$19,MATCH(6,$B$29:$GQ$29,0))</f>
        <v/>
      </c>
      <c r="H5">
        <f>INDEX($B$19:$GQ$19,MATCH(7,$B$29:$GQ$29,0))</f>
        <v/>
      </c>
      <c r="I5">
        <f>INDEX($B$19:$GQ$19,MATCH(8,$B$29:$GQ$29,0))</f>
        <v/>
      </c>
      <c r="J5">
        <f>INDEX($B$19:$GQ$19,MATCH(9,$B$29:$GQ$29,0))</f>
        <v/>
      </c>
      <c r="K5">
        <f>INDEX($B$19:$GQ$19,MATCH(10,$B$29:$GQ$29,0))</f>
        <v/>
      </c>
      <c r="L5">
        <f>INDEX($B$19:$GQ$19,MATCH(11,$B$29:$GQ$29,0))</f>
        <v/>
      </c>
      <c r="M5">
        <f>INDEX($B$19:$GQ$19,MATCH(12,$B$29:$GQ$29,0))</f>
        <v/>
      </c>
      <c r="N5">
        <f>INDEX($B$19:$GQ$19,MATCH(13,$B$29:$GQ$29,0))</f>
        <v/>
      </c>
      <c r="O5">
        <f>INDEX($B$19:$GQ$19,MATCH(14,$B$29:$GQ$29,0))</f>
        <v/>
      </c>
      <c r="P5">
        <f>INDEX($B$19:$GQ$19,MATCH(15,$B$29:$GQ$29,0))</f>
        <v/>
      </c>
      <c r="Q5">
        <f>INDEX($B$19:$GQ$19,MATCH(16,$B$29:$GQ$29,0))</f>
        <v/>
      </c>
      <c r="R5">
        <f>INDEX($B$19:$GQ$19,MATCH(17,$B$29:$GQ$29,0))</f>
        <v/>
      </c>
      <c r="S5">
        <f>INDEX($B$19:$GQ$19,MATCH(18,$B$29:$GQ$29,0))</f>
        <v/>
      </c>
      <c r="T5">
        <f>INDEX($B$19:$GQ$19,MATCH(19,$B$29:$GQ$29,0))</f>
        <v/>
      </c>
      <c r="U5">
        <f>INDEX($B$19:$GQ$19,MATCH(20,$B$29:$GQ$29,0))</f>
        <v/>
      </c>
      <c r="V5">
        <f>INDEX($B$19:$GQ$19,MATCH(21,$B$29:$GQ$29,0))</f>
        <v/>
      </c>
      <c r="W5">
        <f>INDEX($B$19:$GQ$19,MATCH(22,$B$29:$GQ$29,0))</f>
        <v/>
      </c>
      <c r="X5">
        <f>INDEX($B$19:$GQ$19,MATCH(23,$B$29:$GQ$29,0))</f>
        <v/>
      </c>
      <c r="Y5">
        <f>INDEX($B$19:$GQ$19,MATCH(24,$B$29:$GQ$29,0))</f>
        <v/>
      </c>
      <c r="Z5">
        <f>INDEX($B$19:$GQ$19,MATCH(25,$B$29:$GQ$29,0))</f>
        <v/>
      </c>
      <c r="AA5">
        <f>INDEX($B$19:$GQ$19,MATCH(26,$B$29:$GQ$29,0))</f>
        <v/>
      </c>
      <c r="AB5">
        <f>INDEX($B$19:$GQ$19,MATCH(27,$B$29:$GQ$29,0))</f>
        <v/>
      </c>
      <c r="AC5">
        <f>INDEX($B$19:$GQ$19,MATCH(28,$B$29:$GQ$29,0))</f>
        <v/>
      </c>
      <c r="AD5">
        <f>INDEX($B$19:$GQ$19,MATCH(29,$B$29:$GQ$29,0))</f>
        <v/>
      </c>
      <c r="AE5">
        <f>INDEX($B$19:$GQ$19,MATCH(30,$B$29:$GQ$29,0))</f>
        <v/>
      </c>
      <c r="AF5">
        <f>INDEX($B$19:$GQ$19,MATCH(31,$B$29:$GQ$29,0))</f>
        <v/>
      </c>
      <c r="AG5">
        <f>INDEX($B$19:$GQ$19,MATCH(32,$B$29:$GQ$29,0))</f>
        <v/>
      </c>
      <c r="AH5">
        <f>INDEX($B$19:$GQ$19,MATCH(33,$B$29:$GQ$29,0))</f>
        <v/>
      </c>
      <c r="AI5">
        <f>INDEX($B$19:$GQ$19,MATCH(34,$B$29:$GQ$29,0))</f>
        <v/>
      </c>
      <c r="AJ5">
        <f>INDEX($B$19:$GQ$19,MATCH(35,$B$29:$GQ$29,0))</f>
        <v/>
      </c>
      <c r="AK5">
        <f>INDEX($B$19:$GQ$19,MATCH(36,$B$29:$GQ$29,0))</f>
        <v/>
      </c>
      <c r="AL5">
        <f>INDEX($B$19:$GQ$19,MATCH(37,$B$29:$GQ$29,0))</f>
        <v/>
      </c>
      <c r="AM5">
        <f>INDEX($B$19:$GQ$19,MATCH(38,$B$29:$GQ$29,0))</f>
        <v/>
      </c>
      <c r="AN5">
        <f>INDEX($B$19:$GQ$19,MATCH(39,$B$29:$GQ$29,0))</f>
        <v/>
      </c>
      <c r="AO5">
        <f>INDEX($B$19:$GQ$19,MATCH(40,$B$29:$GQ$29,0))</f>
        <v/>
      </c>
      <c r="AP5">
        <f>INDEX($B$19:$GQ$19,MATCH(41,$B$29:$GQ$29,0))</f>
        <v/>
      </c>
      <c r="AQ5">
        <f>INDEX($B$19:$GQ$19,MATCH(42,$B$29:$GQ$29,0))</f>
        <v/>
      </c>
      <c r="AR5">
        <f>INDEX($B$19:$GQ$19,MATCH(43,$B$29:$GQ$29,0))</f>
        <v/>
      </c>
      <c r="AS5">
        <f>INDEX($B$19:$GQ$19,MATCH(44,$B$29:$GQ$29,0))</f>
        <v/>
      </c>
      <c r="AT5">
        <f>INDEX($B$19:$GQ$19,MATCH(45,$B$29:$GQ$29,0))</f>
        <v/>
      </c>
      <c r="AU5">
        <f>INDEX($B$19:$GQ$19,MATCH(46,$B$29:$GQ$29,0))</f>
        <v/>
      </c>
      <c r="AV5">
        <f>INDEX($B$19:$GQ$19,MATCH(47,$B$29:$GQ$29,0))</f>
        <v/>
      </c>
      <c r="AW5">
        <f>INDEX($B$19:$GQ$19,MATCH(48,$B$29:$GQ$29,0))</f>
        <v/>
      </c>
      <c r="AX5">
        <f>INDEX($B$19:$GQ$19,MATCH(49,$B$29:$GQ$29,0))</f>
        <v/>
      </c>
      <c r="AY5">
        <f>INDEX($B$19:$GQ$19,MATCH(50,$B$29:$GQ$29,0))</f>
        <v/>
      </c>
      <c r="AZ5">
        <f>INDEX($B$19:$GQ$19,MATCH(51,$B$29:$GQ$29,0))</f>
        <v/>
      </c>
      <c r="BA5">
        <f>INDEX($B$19:$GQ$19,MATCH(52,$B$29:$GQ$29,0))</f>
        <v/>
      </c>
      <c r="BB5">
        <f>INDEX($B$19:$GQ$19,MATCH(53,$B$29:$GQ$29,0))</f>
        <v/>
      </c>
      <c r="BC5">
        <f>INDEX($B$19:$GQ$19,MATCH(54,$B$29:$GQ$29,0))</f>
        <v/>
      </c>
      <c r="BD5">
        <f>INDEX($B$19:$GQ$19,MATCH(55,$B$29:$GQ$29,0))</f>
        <v/>
      </c>
      <c r="BE5">
        <f>INDEX($B$19:$GQ$19,MATCH(56,$B$29:$GQ$29,0))</f>
        <v/>
      </c>
      <c r="BF5">
        <f>INDEX($B$19:$GQ$19,MATCH(57,$B$29:$GQ$29,0))</f>
        <v/>
      </c>
      <c r="BG5">
        <f>INDEX($B$19:$GQ$19,MATCH(58,$B$29:$GQ$29,0))</f>
        <v/>
      </c>
      <c r="BH5">
        <f>INDEX($B$19:$GQ$19,MATCH(59,$B$29:$GQ$29,0))</f>
        <v/>
      </c>
      <c r="BI5">
        <f>INDEX($B$19:$GQ$19,MATCH(60,$B$29:$GQ$29,0))</f>
        <v/>
      </c>
      <c r="BJ5">
        <f>INDEX($B$19:$GQ$19,MATCH(61,$B$29:$GQ$29,0))</f>
        <v/>
      </c>
      <c r="BK5">
        <f>INDEX($B$19:$GQ$19,MATCH(62,$B$29:$GQ$29,0))</f>
        <v/>
      </c>
      <c r="BL5">
        <f>INDEX($B$19:$GQ$19,MATCH(63,$B$29:$GQ$29,0))</f>
        <v/>
      </c>
      <c r="BM5">
        <f>INDEX($B$19:$GQ$19,MATCH(64,$B$29:$GQ$29,0))</f>
        <v/>
      </c>
      <c r="BN5">
        <f>INDEX($B$19:$GQ$19,MATCH(65,$B$29:$GQ$29,0))</f>
        <v/>
      </c>
      <c r="BO5">
        <f>INDEX($B$19:$GQ$19,MATCH(66,$B$29:$GQ$29,0))</f>
        <v/>
      </c>
      <c r="BP5">
        <f>INDEX($B$19:$GQ$19,MATCH(67,$B$29:$GQ$29,0))</f>
        <v/>
      </c>
      <c r="BQ5">
        <f>INDEX($B$19:$GQ$19,MATCH(68,$B$29:$GQ$29,0))</f>
        <v/>
      </c>
      <c r="BR5">
        <f>INDEX($B$19:$GQ$19,MATCH(69,$B$29:$GQ$29,0))</f>
        <v/>
      </c>
      <c r="BS5">
        <f>INDEX($B$19:$GQ$19,MATCH(70,$B$29:$GQ$29,0))</f>
        <v/>
      </c>
      <c r="BT5">
        <f>INDEX($B$19:$GQ$19,MATCH(71,$B$29:$GQ$29,0))</f>
        <v/>
      </c>
      <c r="BU5">
        <f>INDEX($B$19:$GQ$19,MATCH(72,$B$29:$GQ$29,0))</f>
        <v/>
      </c>
      <c r="BV5">
        <f>INDEX($B$19:$GQ$19,MATCH(73,$B$29:$GQ$29,0))</f>
        <v/>
      </c>
      <c r="BW5">
        <f>INDEX($B$19:$GQ$19,MATCH(74,$B$29:$GQ$29,0))</f>
        <v/>
      </c>
      <c r="BX5">
        <f>INDEX($B$19:$GQ$19,MATCH(75,$B$29:$GQ$29,0))</f>
        <v/>
      </c>
      <c r="BY5">
        <f>INDEX($B$19:$GQ$19,MATCH(76,$B$29:$GQ$29,0))</f>
        <v/>
      </c>
      <c r="BZ5">
        <f>INDEX($B$19:$GQ$19,MATCH(77,$B$29:$GQ$29,0))</f>
        <v/>
      </c>
      <c r="CA5">
        <f>INDEX($B$19:$GQ$19,MATCH(78,$B$29:$GQ$29,0))</f>
        <v/>
      </c>
      <c r="CB5">
        <f>INDEX($B$19:$GQ$19,MATCH(79,$B$29:$GQ$29,0))</f>
        <v/>
      </c>
      <c r="CC5">
        <f>INDEX($B$19:$GQ$19,MATCH(80,$B$29:$GQ$29,0))</f>
        <v/>
      </c>
      <c r="CD5">
        <f>INDEX($B$19:$GQ$19,MATCH(81,$B$29:$GQ$29,0))</f>
        <v/>
      </c>
      <c r="CE5">
        <f>INDEX($B$19:$GQ$19,MATCH(82,$B$29:$GQ$29,0))</f>
        <v/>
      </c>
      <c r="CF5">
        <f>INDEX($B$19:$GQ$19,MATCH(83,$B$29:$GQ$29,0))</f>
        <v/>
      </c>
      <c r="CG5">
        <f>INDEX($B$19:$GQ$19,MATCH(84,$B$29:$GQ$29,0))</f>
        <v/>
      </c>
      <c r="CH5">
        <f>INDEX($B$19:$GQ$19,MATCH(85,$B$29:$GQ$29,0))</f>
        <v/>
      </c>
      <c r="CI5">
        <f>INDEX($B$19:$GQ$19,MATCH(86,$B$29:$GQ$29,0))</f>
        <v/>
      </c>
      <c r="CJ5">
        <f>INDEX($B$19:$GQ$19,MATCH(87,$B$29:$GQ$29,0))</f>
        <v/>
      </c>
      <c r="CK5">
        <f>INDEX($B$19:$GQ$19,MATCH(88,$B$29:$GQ$29,0))</f>
        <v/>
      </c>
      <c r="CL5">
        <f>INDEX($B$19:$GQ$19,MATCH(89,$B$29:$GQ$29,0))</f>
        <v/>
      </c>
      <c r="CM5">
        <f>INDEX($B$19:$GQ$19,MATCH(90,$B$29:$GQ$29,0))</f>
        <v/>
      </c>
      <c r="CN5">
        <f>INDEX($B$19:$GQ$19,MATCH(91,$B$29:$GQ$29,0))</f>
        <v/>
      </c>
      <c r="CO5">
        <f>INDEX($B$19:$GQ$19,MATCH(92,$B$29:$GQ$29,0))</f>
        <v/>
      </c>
      <c r="CP5">
        <f>INDEX($B$19:$GQ$19,MATCH(93,$B$29:$GQ$29,0))</f>
        <v/>
      </c>
      <c r="CQ5">
        <f>INDEX($B$19:$GQ$19,MATCH(94,$B$29:$GQ$29,0))</f>
        <v/>
      </c>
      <c r="CR5">
        <f>INDEX($B$19:$GQ$19,MATCH(95,$B$29:$GQ$29,0))</f>
        <v/>
      </c>
      <c r="CS5">
        <f>INDEX($B$19:$GQ$19,MATCH(96,$B$29:$GQ$29,0))</f>
        <v/>
      </c>
      <c r="CT5">
        <f>INDEX($B$19:$GQ$19,MATCH(97,$B$29:$GQ$29,0))</f>
        <v/>
      </c>
      <c r="CU5">
        <f>INDEX($B$19:$GQ$19,MATCH(98,$B$29:$GQ$29,0))</f>
        <v/>
      </c>
      <c r="CV5">
        <f>INDEX($B$19:$GQ$19,MATCH(99,$B$29:$GQ$29,0))</f>
        <v/>
      </c>
      <c r="CW5">
        <f>INDEX($B$19:$GQ$19,MATCH(100,$B$29:$GQ$29,0))</f>
        <v/>
      </c>
      <c r="CX5">
        <f>INDEX($B$19:$GQ$19,MATCH(101,$B$29:$GQ$29,0))</f>
        <v/>
      </c>
      <c r="CY5">
        <f>INDEX($B$19:$GQ$19,MATCH(102,$B$29:$GQ$29,0))</f>
        <v/>
      </c>
      <c r="CZ5">
        <f>INDEX($B$19:$GQ$19,MATCH(103,$B$29:$GQ$29,0))</f>
        <v/>
      </c>
      <c r="DA5">
        <f>INDEX($B$19:$GQ$19,MATCH(104,$B$29:$GQ$29,0))</f>
        <v/>
      </c>
      <c r="DB5">
        <f>INDEX($B$19:$GQ$19,MATCH(105,$B$29:$GQ$29,0))</f>
        <v/>
      </c>
      <c r="DC5">
        <f>INDEX($B$19:$GQ$19,MATCH(106,$B$29:$GQ$29,0))</f>
        <v/>
      </c>
      <c r="DD5">
        <f>INDEX($B$19:$GQ$19,MATCH(107,$B$29:$GQ$29,0))</f>
        <v/>
      </c>
      <c r="DE5">
        <f>INDEX($B$19:$GQ$19,MATCH(108,$B$29:$GQ$29,0))</f>
        <v/>
      </c>
      <c r="DF5">
        <f>INDEX($B$19:$GQ$19,MATCH(109,$B$29:$GQ$29,0))</f>
        <v/>
      </c>
      <c r="DG5">
        <f>INDEX($B$19:$GQ$19,MATCH(110,$B$29:$GQ$29,0))</f>
        <v/>
      </c>
      <c r="DH5">
        <f>INDEX($B$19:$GQ$19,MATCH(111,$B$29:$GQ$29,0))</f>
        <v/>
      </c>
      <c r="DI5">
        <f>INDEX($B$19:$GQ$19,MATCH(112,$B$29:$GQ$29,0))</f>
        <v/>
      </c>
      <c r="DJ5">
        <f>INDEX($B$19:$GQ$19,MATCH(113,$B$29:$GQ$29,0))</f>
        <v/>
      </c>
      <c r="DK5">
        <f>INDEX($B$19:$GQ$19,MATCH(114,$B$29:$GQ$29,0))</f>
        <v/>
      </c>
      <c r="DL5">
        <f>INDEX($B$19:$GQ$19,MATCH(115,$B$29:$GQ$29,0))</f>
        <v/>
      </c>
      <c r="DM5">
        <f>INDEX($B$19:$GQ$19,MATCH(116,$B$29:$GQ$29,0))</f>
        <v/>
      </c>
      <c r="DN5">
        <f>INDEX($B$19:$GQ$19,MATCH(117,$B$29:$GQ$29,0))</f>
        <v/>
      </c>
      <c r="DO5">
        <f>INDEX($B$19:$GQ$19,MATCH(118,$B$29:$GQ$29,0))</f>
        <v/>
      </c>
      <c r="DP5">
        <f>INDEX($B$19:$GQ$19,MATCH(119,$B$29:$GQ$29,0))</f>
        <v/>
      </c>
      <c r="DQ5">
        <f>INDEX($B$19:$GQ$19,MATCH(120,$B$29:$GQ$29,0))</f>
        <v/>
      </c>
      <c r="DR5">
        <f>INDEX($B$19:$GQ$19,MATCH(121,$B$29:$GQ$29,0))</f>
        <v/>
      </c>
      <c r="DS5">
        <f>INDEX($B$19:$GQ$19,MATCH(122,$B$29:$GQ$29,0))</f>
        <v/>
      </c>
      <c r="DT5">
        <f>INDEX($B$19:$GQ$19,MATCH(123,$B$29:$GQ$29,0))</f>
        <v/>
      </c>
      <c r="DU5">
        <f>INDEX($B$19:$GQ$19,MATCH(124,$B$29:$GQ$29,0))</f>
        <v/>
      </c>
      <c r="DV5">
        <f>INDEX($B$19:$GQ$19,MATCH(125,$B$29:$GQ$29,0))</f>
        <v/>
      </c>
      <c r="DW5">
        <f>INDEX($B$19:$GQ$19,MATCH(126,$B$29:$GQ$29,0))</f>
        <v/>
      </c>
      <c r="DX5">
        <f>INDEX($B$19:$GQ$19,MATCH(127,$B$29:$GQ$29,0))</f>
        <v/>
      </c>
      <c r="DY5">
        <f>INDEX($B$19:$GQ$19,MATCH(128,$B$29:$GQ$29,0))</f>
        <v/>
      </c>
      <c r="DZ5">
        <f>INDEX($B$19:$GQ$19,MATCH(129,$B$29:$GQ$29,0))</f>
        <v/>
      </c>
      <c r="EA5">
        <f>INDEX($B$19:$GQ$19,MATCH(130,$B$29:$GQ$29,0))</f>
        <v/>
      </c>
      <c r="EB5">
        <f>INDEX($B$19:$GQ$19,MATCH(131,$B$29:$GQ$29,0))</f>
        <v/>
      </c>
      <c r="EC5">
        <f>INDEX($B$19:$GQ$19,MATCH(132,$B$29:$GQ$29,0))</f>
        <v/>
      </c>
      <c r="ED5">
        <f>INDEX($B$19:$GQ$19,MATCH(133,$B$29:$GQ$29,0))</f>
        <v/>
      </c>
      <c r="EE5">
        <f>INDEX($B$19:$GQ$19,MATCH(134,$B$29:$GQ$29,0))</f>
        <v/>
      </c>
      <c r="EF5">
        <f>INDEX($B$19:$GQ$19,MATCH(135,$B$29:$GQ$29,0))</f>
        <v/>
      </c>
      <c r="EG5">
        <f>INDEX($B$19:$GQ$19,MATCH(136,$B$29:$GQ$29,0))</f>
        <v/>
      </c>
      <c r="EH5">
        <f>INDEX($B$19:$GQ$19,MATCH(137,$B$29:$GQ$29,0))</f>
        <v/>
      </c>
      <c r="EI5">
        <f>INDEX($B$19:$GQ$19,MATCH(138,$B$29:$GQ$29,0))</f>
        <v/>
      </c>
      <c r="EJ5">
        <f>INDEX($B$19:$GQ$19,MATCH(139,$B$29:$GQ$29,0))</f>
        <v/>
      </c>
      <c r="EK5">
        <f>INDEX($B$19:$GQ$19,MATCH(140,$B$29:$GQ$29,0))</f>
        <v/>
      </c>
      <c r="EL5">
        <f>INDEX($B$19:$GQ$19,MATCH(141,$B$29:$GQ$29,0))</f>
        <v/>
      </c>
      <c r="EM5">
        <f>INDEX($B$19:$GQ$19,MATCH(142,$B$29:$GQ$29,0))</f>
        <v/>
      </c>
      <c r="EN5">
        <f>INDEX($B$19:$GQ$19,MATCH(143,$B$29:$GQ$29,0))</f>
        <v/>
      </c>
      <c r="EO5">
        <f>INDEX($B$19:$GQ$19,MATCH(144,$B$29:$GQ$29,0))</f>
        <v/>
      </c>
      <c r="EP5">
        <f>INDEX($B$19:$GQ$19,MATCH(145,$B$29:$GQ$29,0))</f>
        <v/>
      </c>
      <c r="EQ5">
        <f>INDEX($B$19:$GQ$19,MATCH(146,$B$29:$GQ$29,0))</f>
        <v/>
      </c>
      <c r="ER5">
        <f>INDEX($B$19:$GQ$19,MATCH(147,$B$29:$GQ$29,0))</f>
        <v/>
      </c>
      <c r="ES5">
        <f>INDEX($B$19:$GQ$19,MATCH(148,$B$29:$GQ$29,0))</f>
        <v/>
      </c>
      <c r="ET5">
        <f>INDEX($B$19:$GQ$19,MATCH(149,$B$29:$GQ$29,0))</f>
        <v/>
      </c>
      <c r="EU5">
        <f>INDEX($B$19:$GQ$19,MATCH(150,$B$29:$GQ$29,0))</f>
        <v/>
      </c>
      <c r="EV5">
        <f>INDEX($B$19:$GQ$19,MATCH(151,$B$29:$GQ$29,0))</f>
        <v/>
      </c>
      <c r="EW5">
        <f>INDEX($B$19:$GQ$19,MATCH(152,$B$29:$GQ$29,0))</f>
        <v/>
      </c>
      <c r="EX5">
        <f>INDEX($B$19:$GQ$19,MATCH(153,$B$29:$GQ$29,0))</f>
        <v/>
      </c>
      <c r="EY5">
        <f>INDEX($B$19:$GQ$19,MATCH(154,$B$29:$GQ$29,0))</f>
        <v/>
      </c>
      <c r="EZ5">
        <f>INDEX($B$19:$GQ$19,MATCH(155,$B$29:$GQ$29,0))</f>
        <v/>
      </c>
      <c r="FA5">
        <f>INDEX($B$19:$GQ$19,MATCH(156,$B$29:$GQ$29,0))</f>
        <v/>
      </c>
      <c r="FB5">
        <f>INDEX($B$19:$GQ$19,MATCH(157,$B$29:$GQ$29,0))</f>
        <v/>
      </c>
      <c r="FC5">
        <f>INDEX($B$19:$GQ$19,MATCH(158,$B$29:$GQ$29,0))</f>
        <v/>
      </c>
      <c r="FD5">
        <f>INDEX($B$19:$GQ$19,MATCH(159,$B$29:$GQ$29,0))</f>
        <v/>
      </c>
      <c r="FE5">
        <f>INDEX($B$19:$GQ$19,MATCH(160,$B$29:$GQ$29,0))</f>
        <v/>
      </c>
      <c r="FF5">
        <f>INDEX($B$19:$GQ$19,MATCH(161,$B$29:$GQ$29,0))</f>
        <v/>
      </c>
      <c r="FG5">
        <f>INDEX($B$19:$GQ$19,MATCH(162,$B$29:$GQ$29,0))</f>
        <v/>
      </c>
      <c r="FH5">
        <f>INDEX($B$19:$GQ$19,MATCH(163,$B$29:$GQ$29,0))</f>
        <v/>
      </c>
      <c r="FI5">
        <f>INDEX($B$19:$GQ$19,MATCH(164,$B$29:$GQ$29,0))</f>
        <v/>
      </c>
      <c r="FJ5">
        <f>INDEX($B$19:$GQ$19,MATCH(165,$B$29:$GQ$29,0))</f>
        <v/>
      </c>
      <c r="FK5">
        <f>INDEX($B$19:$GQ$19,MATCH(166,$B$29:$GQ$29,0))</f>
        <v/>
      </c>
      <c r="FL5">
        <f>INDEX($B$19:$GQ$19,MATCH(167,$B$29:$GQ$29,0))</f>
        <v/>
      </c>
      <c r="FM5">
        <f>INDEX($B$19:$GQ$19,MATCH(168,$B$29:$GQ$29,0))</f>
        <v/>
      </c>
      <c r="FN5">
        <f>INDEX($B$19:$GQ$19,MATCH(169,$B$29:$GQ$29,0))</f>
        <v/>
      </c>
      <c r="FO5">
        <f>INDEX($B$19:$GQ$19,MATCH(170,$B$29:$GQ$29,0))</f>
        <v/>
      </c>
      <c r="FP5">
        <f>INDEX($B$19:$GQ$19,MATCH(171,$B$29:$GQ$29,0))</f>
        <v/>
      </c>
      <c r="FQ5">
        <f>INDEX($B$19:$GQ$19,MATCH(172,$B$29:$GQ$29,0))</f>
        <v/>
      </c>
      <c r="FR5">
        <f>INDEX($B$19:$GQ$19,MATCH(173,$B$29:$GQ$29,0))</f>
        <v/>
      </c>
      <c r="FS5">
        <f>INDEX($B$19:$GQ$19,MATCH(174,$B$29:$GQ$29,0))</f>
        <v/>
      </c>
      <c r="FT5">
        <f>INDEX($B$19:$GQ$19,MATCH(175,$B$29:$GQ$29,0))</f>
        <v/>
      </c>
      <c r="FU5">
        <f>INDEX($B$19:$GQ$19,MATCH(176,$B$29:$GQ$29,0))</f>
        <v/>
      </c>
      <c r="FV5">
        <f>INDEX($B$19:$GQ$19,MATCH(177,$B$29:$GQ$29,0))</f>
        <v/>
      </c>
      <c r="FW5">
        <f>INDEX($B$19:$GQ$19,MATCH(178,$B$29:$GQ$29,0))</f>
        <v/>
      </c>
      <c r="FX5">
        <f>INDEX($B$19:$GQ$19,MATCH(179,$B$29:$GQ$29,0))</f>
        <v/>
      </c>
      <c r="FY5">
        <f>INDEX($B$19:$GQ$19,MATCH(180,$B$29:$GQ$29,0))</f>
        <v/>
      </c>
      <c r="FZ5">
        <f>INDEX($B$19:$GQ$19,MATCH(181,$B$29:$GQ$29,0))</f>
        <v/>
      </c>
      <c r="GA5">
        <f>INDEX($B$19:$GQ$19,MATCH(182,$B$29:$GQ$29,0))</f>
        <v/>
      </c>
      <c r="GB5">
        <f>INDEX($B$19:$GQ$19,MATCH(183,$B$29:$GQ$29,0))</f>
        <v/>
      </c>
      <c r="GC5">
        <f>INDEX($B$19:$GQ$19,MATCH(184,$B$29:$GQ$29,0))</f>
        <v/>
      </c>
      <c r="GD5">
        <f>INDEX($B$19:$GQ$19,MATCH(185,$B$29:$GQ$29,0))</f>
        <v/>
      </c>
      <c r="GE5">
        <f>INDEX($B$19:$GQ$19,MATCH(186,$B$29:$GQ$29,0))</f>
        <v/>
      </c>
      <c r="GF5">
        <f>INDEX($B$19:$GQ$19,MATCH(187,$B$29:$GQ$29,0))</f>
        <v/>
      </c>
      <c r="GG5">
        <f>INDEX($B$19:$GQ$19,MATCH(188,$B$29:$GQ$29,0))</f>
        <v/>
      </c>
      <c r="GH5">
        <f>INDEX($B$19:$GQ$19,MATCH(189,$B$29:$GQ$29,0))</f>
        <v/>
      </c>
      <c r="GI5">
        <f>INDEX($B$19:$GQ$19,MATCH(190,$B$29:$GQ$29,0))</f>
        <v/>
      </c>
      <c r="GJ5">
        <f>INDEX($B$19:$GQ$19,MATCH(191,$B$29:$GQ$29,0))</f>
        <v/>
      </c>
      <c r="GK5">
        <f>INDEX($B$19:$GQ$19,MATCH(192,$B$29:$GQ$29,0))</f>
        <v/>
      </c>
      <c r="GL5">
        <f>INDEX($B$19:$GQ$19,MATCH(193,$B$29:$GQ$29,0))</f>
        <v/>
      </c>
      <c r="GM5">
        <f>INDEX($B$19:$GQ$19,MATCH(194,$B$29:$GQ$29,0))</f>
        <v/>
      </c>
      <c r="GN5">
        <f>INDEX($B$19:$GQ$19,MATCH(195,$B$29:$GQ$29,0))</f>
        <v/>
      </c>
      <c r="GO5">
        <f>INDEX($B$19:$GQ$19,MATCH(196,$B$29:$GQ$29,0))</f>
        <v/>
      </c>
      <c r="GP5">
        <f>INDEX($B$19:$GQ$19,MATCH(197,$B$29:$GQ$29,0))</f>
        <v/>
      </c>
      <c r="GQ5">
        <f>INDEX($B$19:$GQ$19,MATCH(198,$B$29:$GQ$29,0))</f>
        <v/>
      </c>
      <c r="GR5">
        <f>INDEX($GR$19:$HC$19,MATCH(1,$GR$30:$HC$30,0))</f>
        <v/>
      </c>
      <c r="GS5">
        <f>INDEX($GR$19:$HC$19,MATCH(2,$GR$30:$HC$30,0))</f>
        <v/>
      </c>
      <c r="GT5">
        <f>INDEX($GR$19:$HC$19,MATCH(3,$GR$30:$HC$30,0))</f>
        <v/>
      </c>
      <c r="GU5">
        <f>INDEX($GR$19:$HC$19,MATCH(4,$GR$30:$HC$30,0))</f>
        <v/>
      </c>
      <c r="GV5">
        <f>INDEX($GR$19:$HC$19,MATCH(5,$GR$30:$HC$30,0))</f>
        <v/>
      </c>
      <c r="GW5">
        <f>INDEX($GR$19:$HC$19,MATCH(6,$GR$30:$HC$30,0))</f>
        <v/>
      </c>
      <c r="GX5">
        <f>INDEX($GR$19:$HC$19,MATCH(7,$GR$30:$HC$30,0))</f>
        <v/>
      </c>
      <c r="GY5">
        <f>INDEX($GR$19:$HC$19,MATCH(8,$GR$30:$HC$30,0))</f>
        <v/>
      </c>
      <c r="GZ5">
        <f>INDEX($GR$19:$HC$19,MATCH(9,$GR$30:$HC$30,0))</f>
        <v/>
      </c>
      <c r="HA5">
        <f>INDEX($GR$19:$HC$19,MATCH(10,$GR$30:$HC$30,0))</f>
        <v/>
      </c>
      <c r="HB5">
        <f>INDEX($GR$19:$HC$19,MATCH(11,$GR$30:$HC$30,0))</f>
        <v/>
      </c>
      <c r="HC5">
        <f>INDEX($GR$19:$HC$19,MATCH(12,$GR$30:$HC$30,0))</f>
        <v/>
      </c>
    </row>
    <row r="6">
      <c r="A6" s="1" t="inlineStr">
        <is>
          <t>M_row</t>
        </is>
      </c>
      <c r="B6">
        <f>INDEX($B$20:$GQ$20,MATCH(1,$B$29:$GQ$29,0))</f>
        <v/>
      </c>
      <c r="C6">
        <f>INDEX($B$20:$GQ$20,MATCH(2,$B$29:$GQ$29,0))</f>
        <v/>
      </c>
      <c r="D6">
        <f>INDEX($B$20:$GQ$20,MATCH(3,$B$29:$GQ$29,0))</f>
        <v/>
      </c>
      <c r="E6">
        <f>INDEX($B$20:$GQ$20,MATCH(4,$B$29:$GQ$29,0))</f>
        <v/>
      </c>
      <c r="F6">
        <f>INDEX($B$20:$GQ$20,MATCH(5,$B$29:$GQ$29,0))</f>
        <v/>
      </c>
      <c r="G6">
        <f>INDEX($B$20:$GQ$20,MATCH(6,$B$29:$GQ$29,0))</f>
        <v/>
      </c>
      <c r="H6">
        <f>INDEX($B$20:$GQ$20,MATCH(7,$B$29:$GQ$29,0))</f>
        <v/>
      </c>
      <c r="I6">
        <f>INDEX($B$20:$GQ$20,MATCH(8,$B$29:$GQ$29,0))</f>
        <v/>
      </c>
      <c r="J6">
        <f>INDEX($B$20:$GQ$20,MATCH(9,$B$29:$GQ$29,0))</f>
        <v/>
      </c>
      <c r="K6">
        <f>INDEX($B$20:$GQ$20,MATCH(10,$B$29:$GQ$29,0))</f>
        <v/>
      </c>
      <c r="L6">
        <f>INDEX($B$20:$GQ$20,MATCH(11,$B$29:$GQ$29,0))</f>
        <v/>
      </c>
      <c r="M6">
        <f>INDEX($B$20:$GQ$20,MATCH(12,$B$29:$GQ$29,0))</f>
        <v/>
      </c>
      <c r="N6">
        <f>INDEX($B$20:$GQ$20,MATCH(13,$B$29:$GQ$29,0))</f>
        <v/>
      </c>
      <c r="O6">
        <f>INDEX($B$20:$GQ$20,MATCH(14,$B$29:$GQ$29,0))</f>
        <v/>
      </c>
      <c r="P6">
        <f>INDEX($B$20:$GQ$20,MATCH(15,$B$29:$GQ$29,0))</f>
        <v/>
      </c>
      <c r="Q6">
        <f>INDEX($B$20:$GQ$20,MATCH(16,$B$29:$GQ$29,0))</f>
        <v/>
      </c>
      <c r="R6">
        <f>INDEX($B$20:$GQ$20,MATCH(17,$B$29:$GQ$29,0))</f>
        <v/>
      </c>
      <c r="S6">
        <f>INDEX($B$20:$GQ$20,MATCH(18,$B$29:$GQ$29,0))</f>
        <v/>
      </c>
      <c r="T6">
        <f>INDEX($B$20:$GQ$20,MATCH(19,$B$29:$GQ$29,0))</f>
        <v/>
      </c>
      <c r="U6">
        <f>INDEX($B$20:$GQ$20,MATCH(20,$B$29:$GQ$29,0))</f>
        <v/>
      </c>
      <c r="V6">
        <f>INDEX($B$20:$GQ$20,MATCH(21,$B$29:$GQ$29,0))</f>
        <v/>
      </c>
      <c r="W6">
        <f>INDEX($B$20:$GQ$20,MATCH(22,$B$29:$GQ$29,0))</f>
        <v/>
      </c>
      <c r="X6">
        <f>INDEX($B$20:$GQ$20,MATCH(23,$B$29:$GQ$29,0))</f>
        <v/>
      </c>
      <c r="Y6">
        <f>INDEX($B$20:$GQ$20,MATCH(24,$B$29:$GQ$29,0))</f>
        <v/>
      </c>
      <c r="Z6">
        <f>INDEX($B$20:$GQ$20,MATCH(25,$B$29:$GQ$29,0))</f>
        <v/>
      </c>
      <c r="AA6">
        <f>INDEX($B$20:$GQ$20,MATCH(26,$B$29:$GQ$29,0))</f>
        <v/>
      </c>
      <c r="AB6">
        <f>INDEX($B$20:$GQ$20,MATCH(27,$B$29:$GQ$29,0))</f>
        <v/>
      </c>
      <c r="AC6">
        <f>INDEX($B$20:$GQ$20,MATCH(28,$B$29:$GQ$29,0))</f>
        <v/>
      </c>
      <c r="AD6">
        <f>INDEX($B$20:$GQ$20,MATCH(29,$B$29:$GQ$29,0))</f>
        <v/>
      </c>
      <c r="AE6">
        <f>INDEX($B$20:$GQ$20,MATCH(30,$B$29:$GQ$29,0))</f>
        <v/>
      </c>
      <c r="AF6">
        <f>INDEX($B$20:$GQ$20,MATCH(31,$B$29:$GQ$29,0))</f>
        <v/>
      </c>
      <c r="AG6">
        <f>INDEX($B$20:$GQ$20,MATCH(32,$B$29:$GQ$29,0))</f>
        <v/>
      </c>
      <c r="AH6">
        <f>INDEX($B$20:$GQ$20,MATCH(33,$B$29:$GQ$29,0))</f>
        <v/>
      </c>
      <c r="AI6">
        <f>INDEX($B$20:$GQ$20,MATCH(34,$B$29:$GQ$29,0))</f>
        <v/>
      </c>
      <c r="AJ6">
        <f>INDEX($B$20:$GQ$20,MATCH(35,$B$29:$GQ$29,0))</f>
        <v/>
      </c>
      <c r="AK6">
        <f>INDEX($B$20:$GQ$20,MATCH(36,$B$29:$GQ$29,0))</f>
        <v/>
      </c>
      <c r="AL6">
        <f>INDEX($B$20:$GQ$20,MATCH(37,$B$29:$GQ$29,0))</f>
        <v/>
      </c>
      <c r="AM6">
        <f>INDEX($B$20:$GQ$20,MATCH(38,$B$29:$GQ$29,0))</f>
        <v/>
      </c>
      <c r="AN6">
        <f>INDEX($B$20:$GQ$20,MATCH(39,$B$29:$GQ$29,0))</f>
        <v/>
      </c>
      <c r="AO6">
        <f>INDEX($B$20:$GQ$20,MATCH(40,$B$29:$GQ$29,0))</f>
        <v/>
      </c>
      <c r="AP6">
        <f>INDEX($B$20:$GQ$20,MATCH(41,$B$29:$GQ$29,0))</f>
        <v/>
      </c>
      <c r="AQ6">
        <f>INDEX($B$20:$GQ$20,MATCH(42,$B$29:$GQ$29,0))</f>
        <v/>
      </c>
      <c r="AR6">
        <f>INDEX($B$20:$GQ$20,MATCH(43,$B$29:$GQ$29,0))</f>
        <v/>
      </c>
      <c r="AS6">
        <f>INDEX($B$20:$GQ$20,MATCH(44,$B$29:$GQ$29,0))</f>
        <v/>
      </c>
      <c r="AT6">
        <f>INDEX($B$20:$GQ$20,MATCH(45,$B$29:$GQ$29,0))</f>
        <v/>
      </c>
      <c r="AU6">
        <f>INDEX($B$20:$GQ$20,MATCH(46,$B$29:$GQ$29,0))</f>
        <v/>
      </c>
      <c r="AV6">
        <f>INDEX($B$20:$GQ$20,MATCH(47,$B$29:$GQ$29,0))</f>
        <v/>
      </c>
      <c r="AW6">
        <f>INDEX($B$20:$GQ$20,MATCH(48,$B$29:$GQ$29,0))</f>
        <v/>
      </c>
      <c r="AX6">
        <f>INDEX($B$20:$GQ$20,MATCH(49,$B$29:$GQ$29,0))</f>
        <v/>
      </c>
      <c r="AY6">
        <f>INDEX($B$20:$GQ$20,MATCH(50,$B$29:$GQ$29,0))</f>
        <v/>
      </c>
      <c r="AZ6">
        <f>INDEX($B$20:$GQ$20,MATCH(51,$B$29:$GQ$29,0))</f>
        <v/>
      </c>
      <c r="BA6">
        <f>INDEX($B$20:$GQ$20,MATCH(52,$B$29:$GQ$29,0))</f>
        <v/>
      </c>
      <c r="BB6">
        <f>INDEX($B$20:$GQ$20,MATCH(53,$B$29:$GQ$29,0))</f>
        <v/>
      </c>
      <c r="BC6">
        <f>INDEX($B$20:$GQ$20,MATCH(54,$B$29:$GQ$29,0))</f>
        <v/>
      </c>
      <c r="BD6">
        <f>INDEX($B$20:$GQ$20,MATCH(55,$B$29:$GQ$29,0))</f>
        <v/>
      </c>
      <c r="BE6">
        <f>INDEX($B$20:$GQ$20,MATCH(56,$B$29:$GQ$29,0))</f>
        <v/>
      </c>
      <c r="BF6">
        <f>INDEX($B$20:$GQ$20,MATCH(57,$B$29:$GQ$29,0))</f>
        <v/>
      </c>
      <c r="BG6">
        <f>INDEX($B$20:$GQ$20,MATCH(58,$B$29:$GQ$29,0))</f>
        <v/>
      </c>
      <c r="BH6">
        <f>INDEX($B$20:$GQ$20,MATCH(59,$B$29:$GQ$29,0))</f>
        <v/>
      </c>
      <c r="BI6">
        <f>INDEX($B$20:$GQ$20,MATCH(60,$B$29:$GQ$29,0))</f>
        <v/>
      </c>
      <c r="BJ6">
        <f>INDEX($B$20:$GQ$20,MATCH(61,$B$29:$GQ$29,0))</f>
        <v/>
      </c>
      <c r="BK6">
        <f>INDEX($B$20:$GQ$20,MATCH(62,$B$29:$GQ$29,0))</f>
        <v/>
      </c>
      <c r="BL6">
        <f>INDEX($B$20:$GQ$20,MATCH(63,$B$29:$GQ$29,0))</f>
        <v/>
      </c>
      <c r="BM6">
        <f>INDEX($B$20:$GQ$20,MATCH(64,$B$29:$GQ$29,0))</f>
        <v/>
      </c>
      <c r="BN6">
        <f>INDEX($B$20:$GQ$20,MATCH(65,$B$29:$GQ$29,0))</f>
        <v/>
      </c>
      <c r="BO6">
        <f>INDEX($B$20:$GQ$20,MATCH(66,$B$29:$GQ$29,0))</f>
        <v/>
      </c>
      <c r="BP6">
        <f>INDEX($B$20:$GQ$20,MATCH(67,$B$29:$GQ$29,0))</f>
        <v/>
      </c>
      <c r="BQ6">
        <f>INDEX($B$20:$GQ$20,MATCH(68,$B$29:$GQ$29,0))</f>
        <v/>
      </c>
      <c r="BR6">
        <f>INDEX($B$20:$GQ$20,MATCH(69,$B$29:$GQ$29,0))</f>
        <v/>
      </c>
      <c r="BS6">
        <f>INDEX($B$20:$GQ$20,MATCH(70,$B$29:$GQ$29,0))</f>
        <v/>
      </c>
      <c r="BT6">
        <f>INDEX($B$20:$GQ$20,MATCH(71,$B$29:$GQ$29,0))</f>
        <v/>
      </c>
      <c r="BU6">
        <f>INDEX($B$20:$GQ$20,MATCH(72,$B$29:$GQ$29,0))</f>
        <v/>
      </c>
      <c r="BV6">
        <f>INDEX($B$20:$GQ$20,MATCH(73,$B$29:$GQ$29,0))</f>
        <v/>
      </c>
      <c r="BW6">
        <f>INDEX($B$20:$GQ$20,MATCH(74,$B$29:$GQ$29,0))</f>
        <v/>
      </c>
      <c r="BX6">
        <f>INDEX($B$20:$GQ$20,MATCH(75,$B$29:$GQ$29,0))</f>
        <v/>
      </c>
      <c r="BY6">
        <f>INDEX($B$20:$GQ$20,MATCH(76,$B$29:$GQ$29,0))</f>
        <v/>
      </c>
      <c r="BZ6">
        <f>INDEX($B$20:$GQ$20,MATCH(77,$B$29:$GQ$29,0))</f>
        <v/>
      </c>
      <c r="CA6">
        <f>INDEX($B$20:$GQ$20,MATCH(78,$B$29:$GQ$29,0))</f>
        <v/>
      </c>
      <c r="CB6">
        <f>INDEX($B$20:$GQ$20,MATCH(79,$B$29:$GQ$29,0))</f>
        <v/>
      </c>
      <c r="CC6">
        <f>INDEX($B$20:$GQ$20,MATCH(80,$B$29:$GQ$29,0))</f>
        <v/>
      </c>
      <c r="CD6">
        <f>INDEX($B$20:$GQ$20,MATCH(81,$B$29:$GQ$29,0))</f>
        <v/>
      </c>
      <c r="CE6">
        <f>INDEX($B$20:$GQ$20,MATCH(82,$B$29:$GQ$29,0))</f>
        <v/>
      </c>
      <c r="CF6">
        <f>INDEX($B$20:$GQ$20,MATCH(83,$B$29:$GQ$29,0))</f>
        <v/>
      </c>
      <c r="CG6">
        <f>INDEX($B$20:$GQ$20,MATCH(84,$B$29:$GQ$29,0))</f>
        <v/>
      </c>
      <c r="CH6">
        <f>INDEX($B$20:$GQ$20,MATCH(85,$B$29:$GQ$29,0))</f>
        <v/>
      </c>
      <c r="CI6">
        <f>INDEX($B$20:$GQ$20,MATCH(86,$B$29:$GQ$29,0))</f>
        <v/>
      </c>
      <c r="CJ6">
        <f>INDEX($B$20:$GQ$20,MATCH(87,$B$29:$GQ$29,0))</f>
        <v/>
      </c>
      <c r="CK6">
        <f>INDEX($B$20:$GQ$20,MATCH(88,$B$29:$GQ$29,0))</f>
        <v/>
      </c>
      <c r="CL6">
        <f>INDEX($B$20:$GQ$20,MATCH(89,$B$29:$GQ$29,0))</f>
        <v/>
      </c>
      <c r="CM6">
        <f>INDEX($B$20:$GQ$20,MATCH(90,$B$29:$GQ$29,0))</f>
        <v/>
      </c>
      <c r="CN6">
        <f>INDEX($B$20:$GQ$20,MATCH(91,$B$29:$GQ$29,0))</f>
        <v/>
      </c>
      <c r="CO6">
        <f>INDEX($B$20:$GQ$20,MATCH(92,$B$29:$GQ$29,0))</f>
        <v/>
      </c>
      <c r="CP6">
        <f>INDEX($B$20:$GQ$20,MATCH(93,$B$29:$GQ$29,0))</f>
        <v/>
      </c>
      <c r="CQ6">
        <f>INDEX($B$20:$GQ$20,MATCH(94,$B$29:$GQ$29,0))</f>
        <v/>
      </c>
      <c r="CR6">
        <f>INDEX($B$20:$GQ$20,MATCH(95,$B$29:$GQ$29,0))</f>
        <v/>
      </c>
      <c r="CS6">
        <f>INDEX($B$20:$GQ$20,MATCH(96,$B$29:$GQ$29,0))</f>
        <v/>
      </c>
      <c r="CT6">
        <f>INDEX($B$20:$GQ$20,MATCH(97,$B$29:$GQ$29,0))</f>
        <v/>
      </c>
      <c r="CU6">
        <f>INDEX($B$20:$GQ$20,MATCH(98,$B$29:$GQ$29,0))</f>
        <v/>
      </c>
      <c r="CV6">
        <f>INDEX($B$20:$GQ$20,MATCH(99,$B$29:$GQ$29,0))</f>
        <v/>
      </c>
      <c r="CW6">
        <f>INDEX($B$20:$GQ$20,MATCH(100,$B$29:$GQ$29,0))</f>
        <v/>
      </c>
      <c r="CX6">
        <f>INDEX($B$20:$GQ$20,MATCH(101,$B$29:$GQ$29,0))</f>
        <v/>
      </c>
      <c r="CY6">
        <f>INDEX($B$20:$GQ$20,MATCH(102,$B$29:$GQ$29,0))</f>
        <v/>
      </c>
      <c r="CZ6">
        <f>INDEX($B$20:$GQ$20,MATCH(103,$B$29:$GQ$29,0))</f>
        <v/>
      </c>
      <c r="DA6">
        <f>INDEX($B$20:$GQ$20,MATCH(104,$B$29:$GQ$29,0))</f>
        <v/>
      </c>
      <c r="DB6">
        <f>INDEX($B$20:$GQ$20,MATCH(105,$B$29:$GQ$29,0))</f>
        <v/>
      </c>
      <c r="DC6">
        <f>INDEX($B$20:$GQ$20,MATCH(106,$B$29:$GQ$29,0))</f>
        <v/>
      </c>
      <c r="DD6">
        <f>INDEX($B$20:$GQ$20,MATCH(107,$B$29:$GQ$29,0))</f>
        <v/>
      </c>
      <c r="DE6">
        <f>INDEX($B$20:$GQ$20,MATCH(108,$B$29:$GQ$29,0))</f>
        <v/>
      </c>
      <c r="DF6">
        <f>INDEX($B$20:$GQ$20,MATCH(109,$B$29:$GQ$29,0))</f>
        <v/>
      </c>
      <c r="DG6">
        <f>INDEX($B$20:$GQ$20,MATCH(110,$B$29:$GQ$29,0))</f>
        <v/>
      </c>
      <c r="DH6">
        <f>INDEX($B$20:$GQ$20,MATCH(111,$B$29:$GQ$29,0))</f>
        <v/>
      </c>
      <c r="DI6">
        <f>INDEX($B$20:$GQ$20,MATCH(112,$B$29:$GQ$29,0))</f>
        <v/>
      </c>
      <c r="DJ6">
        <f>INDEX($B$20:$GQ$20,MATCH(113,$B$29:$GQ$29,0))</f>
        <v/>
      </c>
      <c r="DK6">
        <f>INDEX($B$20:$GQ$20,MATCH(114,$B$29:$GQ$29,0))</f>
        <v/>
      </c>
      <c r="DL6">
        <f>INDEX($B$20:$GQ$20,MATCH(115,$B$29:$GQ$29,0))</f>
        <v/>
      </c>
      <c r="DM6">
        <f>INDEX($B$20:$GQ$20,MATCH(116,$B$29:$GQ$29,0))</f>
        <v/>
      </c>
      <c r="DN6">
        <f>INDEX($B$20:$GQ$20,MATCH(117,$B$29:$GQ$29,0))</f>
        <v/>
      </c>
      <c r="DO6">
        <f>INDEX($B$20:$GQ$20,MATCH(118,$B$29:$GQ$29,0))</f>
        <v/>
      </c>
      <c r="DP6">
        <f>INDEX($B$20:$GQ$20,MATCH(119,$B$29:$GQ$29,0))</f>
        <v/>
      </c>
      <c r="DQ6">
        <f>INDEX($B$20:$GQ$20,MATCH(120,$B$29:$GQ$29,0))</f>
        <v/>
      </c>
      <c r="DR6">
        <f>INDEX($B$20:$GQ$20,MATCH(121,$B$29:$GQ$29,0))</f>
        <v/>
      </c>
      <c r="DS6">
        <f>INDEX($B$20:$GQ$20,MATCH(122,$B$29:$GQ$29,0))</f>
        <v/>
      </c>
      <c r="DT6">
        <f>INDEX($B$20:$GQ$20,MATCH(123,$B$29:$GQ$29,0))</f>
        <v/>
      </c>
      <c r="DU6">
        <f>INDEX($B$20:$GQ$20,MATCH(124,$B$29:$GQ$29,0))</f>
        <v/>
      </c>
      <c r="DV6">
        <f>INDEX($B$20:$GQ$20,MATCH(125,$B$29:$GQ$29,0))</f>
        <v/>
      </c>
      <c r="DW6">
        <f>INDEX($B$20:$GQ$20,MATCH(126,$B$29:$GQ$29,0))</f>
        <v/>
      </c>
      <c r="DX6">
        <f>INDEX($B$20:$GQ$20,MATCH(127,$B$29:$GQ$29,0))</f>
        <v/>
      </c>
      <c r="DY6">
        <f>INDEX($B$20:$GQ$20,MATCH(128,$B$29:$GQ$29,0))</f>
        <v/>
      </c>
      <c r="DZ6">
        <f>INDEX($B$20:$GQ$20,MATCH(129,$B$29:$GQ$29,0))</f>
        <v/>
      </c>
      <c r="EA6">
        <f>INDEX($B$20:$GQ$20,MATCH(130,$B$29:$GQ$29,0))</f>
        <v/>
      </c>
      <c r="EB6">
        <f>INDEX($B$20:$GQ$20,MATCH(131,$B$29:$GQ$29,0))</f>
        <v/>
      </c>
      <c r="EC6">
        <f>INDEX($B$20:$GQ$20,MATCH(132,$B$29:$GQ$29,0))</f>
        <v/>
      </c>
      <c r="ED6">
        <f>INDEX($B$20:$GQ$20,MATCH(133,$B$29:$GQ$29,0))</f>
        <v/>
      </c>
      <c r="EE6">
        <f>INDEX($B$20:$GQ$20,MATCH(134,$B$29:$GQ$29,0))</f>
        <v/>
      </c>
      <c r="EF6">
        <f>INDEX($B$20:$GQ$20,MATCH(135,$B$29:$GQ$29,0))</f>
        <v/>
      </c>
      <c r="EG6">
        <f>INDEX($B$20:$GQ$20,MATCH(136,$B$29:$GQ$29,0))</f>
        <v/>
      </c>
      <c r="EH6">
        <f>INDEX($B$20:$GQ$20,MATCH(137,$B$29:$GQ$29,0))</f>
        <v/>
      </c>
      <c r="EI6">
        <f>INDEX($B$20:$GQ$20,MATCH(138,$B$29:$GQ$29,0))</f>
        <v/>
      </c>
      <c r="EJ6">
        <f>INDEX($B$20:$GQ$20,MATCH(139,$B$29:$GQ$29,0))</f>
        <v/>
      </c>
      <c r="EK6">
        <f>INDEX($B$20:$GQ$20,MATCH(140,$B$29:$GQ$29,0))</f>
        <v/>
      </c>
      <c r="EL6">
        <f>INDEX($B$20:$GQ$20,MATCH(141,$B$29:$GQ$29,0))</f>
        <v/>
      </c>
      <c r="EM6">
        <f>INDEX($B$20:$GQ$20,MATCH(142,$B$29:$GQ$29,0))</f>
        <v/>
      </c>
      <c r="EN6">
        <f>INDEX($B$20:$GQ$20,MATCH(143,$B$29:$GQ$29,0))</f>
        <v/>
      </c>
      <c r="EO6">
        <f>INDEX($B$20:$GQ$20,MATCH(144,$B$29:$GQ$29,0))</f>
        <v/>
      </c>
      <c r="EP6">
        <f>INDEX($B$20:$GQ$20,MATCH(145,$B$29:$GQ$29,0))</f>
        <v/>
      </c>
      <c r="EQ6">
        <f>INDEX($B$20:$GQ$20,MATCH(146,$B$29:$GQ$29,0))</f>
        <v/>
      </c>
      <c r="ER6">
        <f>INDEX($B$20:$GQ$20,MATCH(147,$B$29:$GQ$29,0))</f>
        <v/>
      </c>
      <c r="ES6">
        <f>INDEX($B$20:$GQ$20,MATCH(148,$B$29:$GQ$29,0))</f>
        <v/>
      </c>
      <c r="ET6">
        <f>INDEX($B$20:$GQ$20,MATCH(149,$B$29:$GQ$29,0))</f>
        <v/>
      </c>
      <c r="EU6">
        <f>INDEX($B$20:$GQ$20,MATCH(150,$B$29:$GQ$29,0))</f>
        <v/>
      </c>
      <c r="EV6">
        <f>INDEX($B$20:$GQ$20,MATCH(151,$B$29:$GQ$29,0))</f>
        <v/>
      </c>
      <c r="EW6">
        <f>INDEX($B$20:$GQ$20,MATCH(152,$B$29:$GQ$29,0))</f>
        <v/>
      </c>
      <c r="EX6">
        <f>INDEX($B$20:$GQ$20,MATCH(153,$B$29:$GQ$29,0))</f>
        <v/>
      </c>
      <c r="EY6">
        <f>INDEX($B$20:$GQ$20,MATCH(154,$B$29:$GQ$29,0))</f>
        <v/>
      </c>
      <c r="EZ6">
        <f>INDEX($B$20:$GQ$20,MATCH(155,$B$29:$GQ$29,0))</f>
        <v/>
      </c>
      <c r="FA6">
        <f>INDEX($B$20:$GQ$20,MATCH(156,$B$29:$GQ$29,0))</f>
        <v/>
      </c>
      <c r="FB6">
        <f>INDEX($B$20:$GQ$20,MATCH(157,$B$29:$GQ$29,0))</f>
        <v/>
      </c>
      <c r="FC6">
        <f>INDEX($B$20:$GQ$20,MATCH(158,$B$29:$GQ$29,0))</f>
        <v/>
      </c>
      <c r="FD6">
        <f>INDEX($B$20:$GQ$20,MATCH(159,$B$29:$GQ$29,0))</f>
        <v/>
      </c>
      <c r="FE6">
        <f>INDEX($B$20:$GQ$20,MATCH(160,$B$29:$GQ$29,0))</f>
        <v/>
      </c>
      <c r="FF6">
        <f>INDEX($B$20:$GQ$20,MATCH(161,$B$29:$GQ$29,0))</f>
        <v/>
      </c>
      <c r="FG6">
        <f>INDEX($B$20:$GQ$20,MATCH(162,$B$29:$GQ$29,0))</f>
        <v/>
      </c>
      <c r="FH6">
        <f>INDEX($B$20:$GQ$20,MATCH(163,$B$29:$GQ$29,0))</f>
        <v/>
      </c>
      <c r="FI6">
        <f>INDEX($B$20:$GQ$20,MATCH(164,$B$29:$GQ$29,0))</f>
        <v/>
      </c>
      <c r="FJ6">
        <f>INDEX($B$20:$GQ$20,MATCH(165,$B$29:$GQ$29,0))</f>
        <v/>
      </c>
      <c r="FK6">
        <f>INDEX($B$20:$GQ$20,MATCH(166,$B$29:$GQ$29,0))</f>
        <v/>
      </c>
      <c r="FL6">
        <f>INDEX($B$20:$GQ$20,MATCH(167,$B$29:$GQ$29,0))</f>
        <v/>
      </c>
      <c r="FM6">
        <f>INDEX($B$20:$GQ$20,MATCH(168,$B$29:$GQ$29,0))</f>
        <v/>
      </c>
      <c r="FN6">
        <f>INDEX($B$20:$GQ$20,MATCH(169,$B$29:$GQ$29,0))</f>
        <v/>
      </c>
      <c r="FO6">
        <f>INDEX($B$20:$GQ$20,MATCH(170,$B$29:$GQ$29,0))</f>
        <v/>
      </c>
      <c r="FP6">
        <f>INDEX($B$20:$GQ$20,MATCH(171,$B$29:$GQ$29,0))</f>
        <v/>
      </c>
      <c r="FQ6">
        <f>INDEX($B$20:$GQ$20,MATCH(172,$B$29:$GQ$29,0))</f>
        <v/>
      </c>
      <c r="FR6">
        <f>INDEX($B$20:$GQ$20,MATCH(173,$B$29:$GQ$29,0))</f>
        <v/>
      </c>
      <c r="FS6">
        <f>INDEX($B$20:$GQ$20,MATCH(174,$B$29:$GQ$29,0))</f>
        <v/>
      </c>
      <c r="FT6">
        <f>INDEX($B$20:$GQ$20,MATCH(175,$B$29:$GQ$29,0))</f>
        <v/>
      </c>
      <c r="FU6">
        <f>INDEX($B$20:$GQ$20,MATCH(176,$B$29:$GQ$29,0))</f>
        <v/>
      </c>
      <c r="FV6">
        <f>INDEX($B$20:$GQ$20,MATCH(177,$B$29:$GQ$29,0))</f>
        <v/>
      </c>
      <c r="FW6">
        <f>INDEX($B$20:$GQ$20,MATCH(178,$B$29:$GQ$29,0))</f>
        <v/>
      </c>
      <c r="FX6">
        <f>INDEX($B$20:$GQ$20,MATCH(179,$B$29:$GQ$29,0))</f>
        <v/>
      </c>
      <c r="FY6">
        <f>INDEX($B$20:$GQ$20,MATCH(180,$B$29:$GQ$29,0))</f>
        <v/>
      </c>
      <c r="FZ6">
        <f>INDEX($B$20:$GQ$20,MATCH(181,$B$29:$GQ$29,0))</f>
        <v/>
      </c>
      <c r="GA6">
        <f>INDEX($B$20:$GQ$20,MATCH(182,$B$29:$GQ$29,0))</f>
        <v/>
      </c>
      <c r="GB6">
        <f>INDEX($B$20:$GQ$20,MATCH(183,$B$29:$GQ$29,0))</f>
        <v/>
      </c>
      <c r="GC6">
        <f>INDEX($B$20:$GQ$20,MATCH(184,$B$29:$GQ$29,0))</f>
        <v/>
      </c>
      <c r="GD6">
        <f>INDEX($B$20:$GQ$20,MATCH(185,$B$29:$GQ$29,0))</f>
        <v/>
      </c>
      <c r="GE6">
        <f>INDEX($B$20:$GQ$20,MATCH(186,$B$29:$GQ$29,0))</f>
        <v/>
      </c>
      <c r="GF6">
        <f>INDEX($B$20:$GQ$20,MATCH(187,$B$29:$GQ$29,0))</f>
        <v/>
      </c>
      <c r="GG6">
        <f>INDEX($B$20:$GQ$20,MATCH(188,$B$29:$GQ$29,0))</f>
        <v/>
      </c>
      <c r="GH6">
        <f>INDEX($B$20:$GQ$20,MATCH(189,$B$29:$GQ$29,0))</f>
        <v/>
      </c>
      <c r="GI6">
        <f>INDEX($B$20:$GQ$20,MATCH(190,$B$29:$GQ$29,0))</f>
        <v/>
      </c>
      <c r="GJ6">
        <f>INDEX($B$20:$GQ$20,MATCH(191,$B$29:$GQ$29,0))</f>
        <v/>
      </c>
      <c r="GK6">
        <f>INDEX($B$20:$GQ$20,MATCH(192,$B$29:$GQ$29,0))</f>
        <v/>
      </c>
      <c r="GL6">
        <f>INDEX($B$20:$GQ$20,MATCH(193,$B$29:$GQ$29,0))</f>
        <v/>
      </c>
      <c r="GM6">
        <f>INDEX($B$20:$GQ$20,MATCH(194,$B$29:$GQ$29,0))</f>
        <v/>
      </c>
      <c r="GN6">
        <f>INDEX($B$20:$GQ$20,MATCH(195,$B$29:$GQ$29,0))</f>
        <v/>
      </c>
      <c r="GO6">
        <f>INDEX($B$20:$GQ$20,MATCH(196,$B$29:$GQ$29,0))</f>
        <v/>
      </c>
      <c r="GP6">
        <f>INDEX($B$20:$GQ$20,MATCH(197,$B$29:$GQ$29,0))</f>
        <v/>
      </c>
      <c r="GQ6">
        <f>INDEX($B$20:$GQ$20,MATCH(198,$B$29:$GQ$29,0))</f>
        <v/>
      </c>
      <c r="GR6">
        <f>INDEX($GR$20:$HC$20,MATCH(1,$GR$30:$HC$30,0))</f>
        <v/>
      </c>
      <c r="GS6">
        <f>INDEX($GR$20:$HC$20,MATCH(2,$GR$30:$HC$30,0))</f>
        <v/>
      </c>
      <c r="GT6">
        <f>INDEX($GR$20:$HC$20,MATCH(3,$GR$30:$HC$30,0))</f>
        <v/>
      </c>
      <c r="GU6">
        <f>INDEX($GR$20:$HC$20,MATCH(4,$GR$30:$HC$30,0))</f>
        <v/>
      </c>
      <c r="GV6">
        <f>INDEX($GR$20:$HC$20,MATCH(5,$GR$30:$HC$30,0))</f>
        <v/>
      </c>
      <c r="GW6">
        <f>INDEX($GR$20:$HC$20,MATCH(6,$GR$30:$HC$30,0))</f>
        <v/>
      </c>
      <c r="GX6">
        <f>INDEX($GR$20:$HC$20,MATCH(7,$GR$30:$HC$30,0))</f>
        <v/>
      </c>
      <c r="GY6">
        <f>INDEX($GR$20:$HC$20,MATCH(8,$GR$30:$HC$30,0))</f>
        <v/>
      </c>
      <c r="GZ6">
        <f>INDEX($GR$20:$HC$20,MATCH(9,$GR$30:$HC$30,0))</f>
        <v/>
      </c>
      <c r="HA6">
        <f>INDEX($GR$20:$HC$20,MATCH(10,$GR$30:$HC$30,0))</f>
        <v/>
      </c>
      <c r="HB6">
        <f>INDEX($GR$20:$HC$20,MATCH(11,$GR$30:$HC$30,0))</f>
        <v/>
      </c>
      <c r="HC6">
        <f>INDEX($GR$20:$HC$20,MATCH(12,$GR$30:$HC$30,0))</f>
        <v/>
      </c>
    </row>
    <row r="7">
      <c r="A7" s="1" t="inlineStr">
        <is>
          <t>Y_imp</t>
        </is>
      </c>
      <c r="B7">
        <f>INDEX($B$21:$GQ$21,MATCH(1,$B$29:$GQ$29,0))</f>
        <v/>
      </c>
      <c r="C7">
        <f>INDEX($B$21:$GQ$21,MATCH(2,$B$29:$GQ$29,0))</f>
        <v/>
      </c>
      <c r="D7">
        <f>INDEX($B$21:$GQ$21,MATCH(3,$B$29:$GQ$29,0))</f>
        <v/>
      </c>
      <c r="E7">
        <f>INDEX($B$21:$GQ$21,MATCH(4,$B$29:$GQ$29,0))</f>
        <v/>
      </c>
      <c r="F7">
        <f>INDEX($B$21:$GQ$21,MATCH(5,$B$29:$GQ$29,0))</f>
        <v/>
      </c>
      <c r="G7">
        <f>INDEX($B$21:$GQ$21,MATCH(6,$B$29:$GQ$29,0))</f>
        <v/>
      </c>
      <c r="H7">
        <f>INDEX($B$21:$GQ$21,MATCH(7,$B$29:$GQ$29,0))</f>
        <v/>
      </c>
      <c r="I7">
        <f>INDEX($B$21:$GQ$21,MATCH(8,$B$29:$GQ$29,0))</f>
        <v/>
      </c>
      <c r="J7">
        <f>INDEX($B$21:$GQ$21,MATCH(9,$B$29:$GQ$29,0))</f>
        <v/>
      </c>
      <c r="K7">
        <f>INDEX($B$21:$GQ$21,MATCH(10,$B$29:$GQ$29,0))</f>
        <v/>
      </c>
      <c r="L7">
        <f>INDEX($B$21:$GQ$21,MATCH(11,$B$29:$GQ$29,0))</f>
        <v/>
      </c>
      <c r="M7">
        <f>INDEX($B$21:$GQ$21,MATCH(12,$B$29:$GQ$29,0))</f>
        <v/>
      </c>
      <c r="N7">
        <f>INDEX($B$21:$GQ$21,MATCH(13,$B$29:$GQ$29,0))</f>
        <v/>
      </c>
      <c r="O7">
        <f>INDEX($B$21:$GQ$21,MATCH(14,$B$29:$GQ$29,0))</f>
        <v/>
      </c>
      <c r="P7">
        <f>INDEX($B$21:$GQ$21,MATCH(15,$B$29:$GQ$29,0))</f>
        <v/>
      </c>
      <c r="Q7">
        <f>INDEX($B$21:$GQ$21,MATCH(16,$B$29:$GQ$29,0))</f>
        <v/>
      </c>
      <c r="R7">
        <f>INDEX($B$21:$GQ$21,MATCH(17,$B$29:$GQ$29,0))</f>
        <v/>
      </c>
      <c r="S7">
        <f>INDEX($B$21:$GQ$21,MATCH(18,$B$29:$GQ$29,0))</f>
        <v/>
      </c>
      <c r="T7">
        <f>INDEX($B$21:$GQ$21,MATCH(19,$B$29:$GQ$29,0))</f>
        <v/>
      </c>
      <c r="U7">
        <f>INDEX($B$21:$GQ$21,MATCH(20,$B$29:$GQ$29,0))</f>
        <v/>
      </c>
      <c r="V7">
        <f>INDEX($B$21:$GQ$21,MATCH(21,$B$29:$GQ$29,0))</f>
        <v/>
      </c>
      <c r="W7">
        <f>INDEX($B$21:$GQ$21,MATCH(22,$B$29:$GQ$29,0))</f>
        <v/>
      </c>
      <c r="X7">
        <f>INDEX($B$21:$GQ$21,MATCH(23,$B$29:$GQ$29,0))</f>
        <v/>
      </c>
      <c r="Y7">
        <f>INDEX($B$21:$GQ$21,MATCH(24,$B$29:$GQ$29,0))</f>
        <v/>
      </c>
      <c r="Z7">
        <f>INDEX($B$21:$GQ$21,MATCH(25,$B$29:$GQ$29,0))</f>
        <v/>
      </c>
      <c r="AA7">
        <f>INDEX($B$21:$GQ$21,MATCH(26,$B$29:$GQ$29,0))</f>
        <v/>
      </c>
      <c r="AB7">
        <f>INDEX($B$21:$GQ$21,MATCH(27,$B$29:$GQ$29,0))</f>
        <v/>
      </c>
      <c r="AC7">
        <f>INDEX($B$21:$GQ$21,MATCH(28,$B$29:$GQ$29,0))</f>
        <v/>
      </c>
      <c r="AD7">
        <f>INDEX($B$21:$GQ$21,MATCH(29,$B$29:$GQ$29,0))</f>
        <v/>
      </c>
      <c r="AE7">
        <f>INDEX($B$21:$GQ$21,MATCH(30,$B$29:$GQ$29,0))</f>
        <v/>
      </c>
      <c r="AF7">
        <f>INDEX($B$21:$GQ$21,MATCH(31,$B$29:$GQ$29,0))</f>
        <v/>
      </c>
      <c r="AG7">
        <f>INDEX($B$21:$GQ$21,MATCH(32,$B$29:$GQ$29,0))</f>
        <v/>
      </c>
      <c r="AH7">
        <f>INDEX($B$21:$GQ$21,MATCH(33,$B$29:$GQ$29,0))</f>
        <v/>
      </c>
      <c r="AI7">
        <f>INDEX($B$21:$GQ$21,MATCH(34,$B$29:$GQ$29,0))</f>
        <v/>
      </c>
      <c r="AJ7">
        <f>INDEX($B$21:$GQ$21,MATCH(35,$B$29:$GQ$29,0))</f>
        <v/>
      </c>
      <c r="AK7">
        <f>INDEX($B$21:$GQ$21,MATCH(36,$B$29:$GQ$29,0))</f>
        <v/>
      </c>
      <c r="AL7">
        <f>INDEX($B$21:$GQ$21,MATCH(37,$B$29:$GQ$29,0))</f>
        <v/>
      </c>
      <c r="AM7">
        <f>INDEX($B$21:$GQ$21,MATCH(38,$B$29:$GQ$29,0))</f>
        <v/>
      </c>
      <c r="AN7">
        <f>INDEX($B$21:$GQ$21,MATCH(39,$B$29:$GQ$29,0))</f>
        <v/>
      </c>
      <c r="AO7">
        <f>INDEX($B$21:$GQ$21,MATCH(40,$B$29:$GQ$29,0))</f>
        <v/>
      </c>
      <c r="AP7">
        <f>INDEX($B$21:$GQ$21,MATCH(41,$B$29:$GQ$29,0))</f>
        <v/>
      </c>
      <c r="AQ7">
        <f>INDEX($B$21:$GQ$21,MATCH(42,$B$29:$GQ$29,0))</f>
        <v/>
      </c>
      <c r="AR7">
        <f>INDEX($B$21:$GQ$21,MATCH(43,$B$29:$GQ$29,0))</f>
        <v/>
      </c>
      <c r="AS7">
        <f>INDEX($B$21:$GQ$21,MATCH(44,$B$29:$GQ$29,0))</f>
        <v/>
      </c>
      <c r="AT7">
        <f>INDEX($B$21:$GQ$21,MATCH(45,$B$29:$GQ$29,0))</f>
        <v/>
      </c>
      <c r="AU7">
        <f>INDEX($B$21:$GQ$21,MATCH(46,$B$29:$GQ$29,0))</f>
        <v/>
      </c>
      <c r="AV7">
        <f>INDEX($B$21:$GQ$21,MATCH(47,$B$29:$GQ$29,0))</f>
        <v/>
      </c>
      <c r="AW7">
        <f>INDEX($B$21:$GQ$21,MATCH(48,$B$29:$GQ$29,0))</f>
        <v/>
      </c>
      <c r="AX7">
        <f>INDEX($B$21:$GQ$21,MATCH(49,$B$29:$GQ$29,0))</f>
        <v/>
      </c>
      <c r="AY7">
        <f>INDEX($B$21:$GQ$21,MATCH(50,$B$29:$GQ$29,0))</f>
        <v/>
      </c>
      <c r="AZ7">
        <f>INDEX($B$21:$GQ$21,MATCH(51,$B$29:$GQ$29,0))</f>
        <v/>
      </c>
      <c r="BA7">
        <f>INDEX($B$21:$GQ$21,MATCH(52,$B$29:$GQ$29,0))</f>
        <v/>
      </c>
      <c r="BB7">
        <f>INDEX($B$21:$GQ$21,MATCH(53,$B$29:$GQ$29,0))</f>
        <v/>
      </c>
      <c r="BC7">
        <f>INDEX($B$21:$GQ$21,MATCH(54,$B$29:$GQ$29,0))</f>
        <v/>
      </c>
      <c r="BD7">
        <f>INDEX($B$21:$GQ$21,MATCH(55,$B$29:$GQ$29,0))</f>
        <v/>
      </c>
      <c r="BE7">
        <f>INDEX($B$21:$GQ$21,MATCH(56,$B$29:$GQ$29,0))</f>
        <v/>
      </c>
      <c r="BF7">
        <f>INDEX($B$21:$GQ$21,MATCH(57,$B$29:$GQ$29,0))</f>
        <v/>
      </c>
      <c r="BG7">
        <f>INDEX($B$21:$GQ$21,MATCH(58,$B$29:$GQ$29,0))</f>
        <v/>
      </c>
      <c r="BH7">
        <f>INDEX($B$21:$GQ$21,MATCH(59,$B$29:$GQ$29,0))</f>
        <v/>
      </c>
      <c r="BI7">
        <f>INDEX($B$21:$GQ$21,MATCH(60,$B$29:$GQ$29,0))</f>
        <v/>
      </c>
      <c r="BJ7">
        <f>INDEX($B$21:$GQ$21,MATCH(61,$B$29:$GQ$29,0))</f>
        <v/>
      </c>
      <c r="BK7">
        <f>INDEX($B$21:$GQ$21,MATCH(62,$B$29:$GQ$29,0))</f>
        <v/>
      </c>
      <c r="BL7">
        <f>INDEX($B$21:$GQ$21,MATCH(63,$B$29:$GQ$29,0))</f>
        <v/>
      </c>
      <c r="BM7">
        <f>INDEX($B$21:$GQ$21,MATCH(64,$B$29:$GQ$29,0))</f>
        <v/>
      </c>
      <c r="BN7">
        <f>INDEX($B$21:$GQ$21,MATCH(65,$B$29:$GQ$29,0))</f>
        <v/>
      </c>
      <c r="BO7">
        <f>INDEX($B$21:$GQ$21,MATCH(66,$B$29:$GQ$29,0))</f>
        <v/>
      </c>
      <c r="BP7">
        <f>INDEX($B$21:$GQ$21,MATCH(67,$B$29:$GQ$29,0))</f>
        <v/>
      </c>
      <c r="BQ7">
        <f>INDEX($B$21:$GQ$21,MATCH(68,$B$29:$GQ$29,0))</f>
        <v/>
      </c>
      <c r="BR7">
        <f>INDEX($B$21:$GQ$21,MATCH(69,$B$29:$GQ$29,0))</f>
        <v/>
      </c>
      <c r="BS7">
        <f>INDEX($B$21:$GQ$21,MATCH(70,$B$29:$GQ$29,0))</f>
        <v/>
      </c>
      <c r="BT7">
        <f>INDEX($B$21:$GQ$21,MATCH(71,$B$29:$GQ$29,0))</f>
        <v/>
      </c>
      <c r="BU7">
        <f>INDEX($B$21:$GQ$21,MATCH(72,$B$29:$GQ$29,0))</f>
        <v/>
      </c>
      <c r="BV7">
        <f>INDEX($B$21:$GQ$21,MATCH(73,$B$29:$GQ$29,0))</f>
        <v/>
      </c>
      <c r="BW7">
        <f>INDEX($B$21:$GQ$21,MATCH(74,$B$29:$GQ$29,0))</f>
        <v/>
      </c>
      <c r="BX7">
        <f>INDEX($B$21:$GQ$21,MATCH(75,$B$29:$GQ$29,0))</f>
        <v/>
      </c>
      <c r="BY7">
        <f>INDEX($B$21:$GQ$21,MATCH(76,$B$29:$GQ$29,0))</f>
        <v/>
      </c>
      <c r="BZ7">
        <f>INDEX($B$21:$GQ$21,MATCH(77,$B$29:$GQ$29,0))</f>
        <v/>
      </c>
      <c r="CA7">
        <f>INDEX($B$21:$GQ$21,MATCH(78,$B$29:$GQ$29,0))</f>
        <v/>
      </c>
      <c r="CB7">
        <f>INDEX($B$21:$GQ$21,MATCH(79,$B$29:$GQ$29,0))</f>
        <v/>
      </c>
      <c r="CC7">
        <f>INDEX($B$21:$GQ$21,MATCH(80,$B$29:$GQ$29,0))</f>
        <v/>
      </c>
      <c r="CD7">
        <f>INDEX($B$21:$GQ$21,MATCH(81,$B$29:$GQ$29,0))</f>
        <v/>
      </c>
      <c r="CE7">
        <f>INDEX($B$21:$GQ$21,MATCH(82,$B$29:$GQ$29,0))</f>
        <v/>
      </c>
      <c r="CF7">
        <f>INDEX($B$21:$GQ$21,MATCH(83,$B$29:$GQ$29,0))</f>
        <v/>
      </c>
      <c r="CG7">
        <f>INDEX($B$21:$GQ$21,MATCH(84,$B$29:$GQ$29,0))</f>
        <v/>
      </c>
      <c r="CH7">
        <f>INDEX($B$21:$GQ$21,MATCH(85,$B$29:$GQ$29,0))</f>
        <v/>
      </c>
      <c r="CI7">
        <f>INDEX($B$21:$GQ$21,MATCH(86,$B$29:$GQ$29,0))</f>
        <v/>
      </c>
      <c r="CJ7">
        <f>INDEX($B$21:$GQ$21,MATCH(87,$B$29:$GQ$29,0))</f>
        <v/>
      </c>
      <c r="CK7">
        <f>INDEX($B$21:$GQ$21,MATCH(88,$B$29:$GQ$29,0))</f>
        <v/>
      </c>
      <c r="CL7">
        <f>INDEX($B$21:$GQ$21,MATCH(89,$B$29:$GQ$29,0))</f>
        <v/>
      </c>
      <c r="CM7">
        <f>INDEX($B$21:$GQ$21,MATCH(90,$B$29:$GQ$29,0))</f>
        <v/>
      </c>
      <c r="CN7">
        <f>INDEX($B$21:$GQ$21,MATCH(91,$B$29:$GQ$29,0))</f>
        <v/>
      </c>
      <c r="CO7">
        <f>INDEX($B$21:$GQ$21,MATCH(92,$B$29:$GQ$29,0))</f>
        <v/>
      </c>
      <c r="CP7">
        <f>INDEX($B$21:$GQ$21,MATCH(93,$B$29:$GQ$29,0))</f>
        <v/>
      </c>
      <c r="CQ7">
        <f>INDEX($B$21:$GQ$21,MATCH(94,$B$29:$GQ$29,0))</f>
        <v/>
      </c>
      <c r="CR7">
        <f>INDEX($B$21:$GQ$21,MATCH(95,$B$29:$GQ$29,0))</f>
        <v/>
      </c>
      <c r="CS7">
        <f>INDEX($B$21:$GQ$21,MATCH(96,$B$29:$GQ$29,0))</f>
        <v/>
      </c>
      <c r="CT7">
        <f>INDEX($B$21:$GQ$21,MATCH(97,$B$29:$GQ$29,0))</f>
        <v/>
      </c>
      <c r="CU7">
        <f>INDEX($B$21:$GQ$21,MATCH(98,$B$29:$GQ$29,0))</f>
        <v/>
      </c>
      <c r="CV7">
        <f>INDEX($B$21:$GQ$21,MATCH(99,$B$29:$GQ$29,0))</f>
        <v/>
      </c>
      <c r="CW7">
        <f>INDEX($B$21:$GQ$21,MATCH(100,$B$29:$GQ$29,0))</f>
        <v/>
      </c>
      <c r="CX7">
        <f>INDEX($B$21:$GQ$21,MATCH(101,$B$29:$GQ$29,0))</f>
        <v/>
      </c>
      <c r="CY7">
        <f>INDEX($B$21:$GQ$21,MATCH(102,$B$29:$GQ$29,0))</f>
        <v/>
      </c>
      <c r="CZ7">
        <f>INDEX($B$21:$GQ$21,MATCH(103,$B$29:$GQ$29,0))</f>
        <v/>
      </c>
      <c r="DA7">
        <f>INDEX($B$21:$GQ$21,MATCH(104,$B$29:$GQ$29,0))</f>
        <v/>
      </c>
      <c r="DB7">
        <f>INDEX($B$21:$GQ$21,MATCH(105,$B$29:$GQ$29,0))</f>
        <v/>
      </c>
      <c r="DC7">
        <f>INDEX($B$21:$GQ$21,MATCH(106,$B$29:$GQ$29,0))</f>
        <v/>
      </c>
      <c r="DD7">
        <f>INDEX($B$21:$GQ$21,MATCH(107,$B$29:$GQ$29,0))</f>
        <v/>
      </c>
      <c r="DE7">
        <f>INDEX($B$21:$GQ$21,MATCH(108,$B$29:$GQ$29,0))</f>
        <v/>
      </c>
      <c r="DF7">
        <f>INDEX($B$21:$GQ$21,MATCH(109,$B$29:$GQ$29,0))</f>
        <v/>
      </c>
      <c r="DG7">
        <f>INDEX($B$21:$GQ$21,MATCH(110,$B$29:$GQ$29,0))</f>
        <v/>
      </c>
      <c r="DH7">
        <f>INDEX($B$21:$GQ$21,MATCH(111,$B$29:$GQ$29,0))</f>
        <v/>
      </c>
      <c r="DI7">
        <f>INDEX($B$21:$GQ$21,MATCH(112,$B$29:$GQ$29,0))</f>
        <v/>
      </c>
      <c r="DJ7">
        <f>INDEX($B$21:$GQ$21,MATCH(113,$B$29:$GQ$29,0))</f>
        <v/>
      </c>
      <c r="DK7">
        <f>INDEX($B$21:$GQ$21,MATCH(114,$B$29:$GQ$29,0))</f>
        <v/>
      </c>
      <c r="DL7">
        <f>INDEX($B$21:$GQ$21,MATCH(115,$B$29:$GQ$29,0))</f>
        <v/>
      </c>
      <c r="DM7">
        <f>INDEX($B$21:$GQ$21,MATCH(116,$B$29:$GQ$29,0))</f>
        <v/>
      </c>
      <c r="DN7">
        <f>INDEX($B$21:$GQ$21,MATCH(117,$B$29:$GQ$29,0))</f>
        <v/>
      </c>
      <c r="DO7">
        <f>INDEX($B$21:$GQ$21,MATCH(118,$B$29:$GQ$29,0))</f>
        <v/>
      </c>
      <c r="DP7">
        <f>INDEX($B$21:$GQ$21,MATCH(119,$B$29:$GQ$29,0))</f>
        <v/>
      </c>
      <c r="DQ7">
        <f>INDEX($B$21:$GQ$21,MATCH(120,$B$29:$GQ$29,0))</f>
        <v/>
      </c>
      <c r="DR7">
        <f>INDEX($B$21:$GQ$21,MATCH(121,$B$29:$GQ$29,0))</f>
        <v/>
      </c>
      <c r="DS7">
        <f>INDEX($B$21:$GQ$21,MATCH(122,$B$29:$GQ$29,0))</f>
        <v/>
      </c>
      <c r="DT7">
        <f>INDEX($B$21:$GQ$21,MATCH(123,$B$29:$GQ$29,0))</f>
        <v/>
      </c>
      <c r="DU7">
        <f>INDEX($B$21:$GQ$21,MATCH(124,$B$29:$GQ$29,0))</f>
        <v/>
      </c>
      <c r="DV7">
        <f>INDEX($B$21:$GQ$21,MATCH(125,$B$29:$GQ$29,0))</f>
        <v/>
      </c>
      <c r="DW7">
        <f>INDEX($B$21:$GQ$21,MATCH(126,$B$29:$GQ$29,0))</f>
        <v/>
      </c>
      <c r="DX7">
        <f>INDEX($B$21:$GQ$21,MATCH(127,$B$29:$GQ$29,0))</f>
        <v/>
      </c>
      <c r="DY7">
        <f>INDEX($B$21:$GQ$21,MATCH(128,$B$29:$GQ$29,0))</f>
        <v/>
      </c>
      <c r="DZ7">
        <f>INDEX($B$21:$GQ$21,MATCH(129,$B$29:$GQ$29,0))</f>
        <v/>
      </c>
      <c r="EA7">
        <f>INDEX($B$21:$GQ$21,MATCH(130,$B$29:$GQ$29,0))</f>
        <v/>
      </c>
      <c r="EB7">
        <f>INDEX($B$21:$GQ$21,MATCH(131,$B$29:$GQ$29,0))</f>
        <v/>
      </c>
      <c r="EC7">
        <f>INDEX($B$21:$GQ$21,MATCH(132,$B$29:$GQ$29,0))</f>
        <v/>
      </c>
      <c r="ED7">
        <f>INDEX($B$21:$GQ$21,MATCH(133,$B$29:$GQ$29,0))</f>
        <v/>
      </c>
      <c r="EE7">
        <f>INDEX($B$21:$GQ$21,MATCH(134,$B$29:$GQ$29,0))</f>
        <v/>
      </c>
      <c r="EF7">
        <f>INDEX($B$21:$GQ$21,MATCH(135,$B$29:$GQ$29,0))</f>
        <v/>
      </c>
      <c r="EG7">
        <f>INDEX($B$21:$GQ$21,MATCH(136,$B$29:$GQ$29,0))</f>
        <v/>
      </c>
      <c r="EH7">
        <f>INDEX($B$21:$GQ$21,MATCH(137,$B$29:$GQ$29,0))</f>
        <v/>
      </c>
      <c r="EI7">
        <f>INDEX($B$21:$GQ$21,MATCH(138,$B$29:$GQ$29,0))</f>
        <v/>
      </c>
      <c r="EJ7">
        <f>INDEX($B$21:$GQ$21,MATCH(139,$B$29:$GQ$29,0))</f>
        <v/>
      </c>
      <c r="EK7">
        <f>INDEX($B$21:$GQ$21,MATCH(140,$B$29:$GQ$29,0))</f>
        <v/>
      </c>
      <c r="EL7">
        <f>INDEX($B$21:$GQ$21,MATCH(141,$B$29:$GQ$29,0))</f>
        <v/>
      </c>
      <c r="EM7">
        <f>INDEX($B$21:$GQ$21,MATCH(142,$B$29:$GQ$29,0))</f>
        <v/>
      </c>
      <c r="EN7">
        <f>INDEX($B$21:$GQ$21,MATCH(143,$B$29:$GQ$29,0))</f>
        <v/>
      </c>
      <c r="EO7">
        <f>INDEX($B$21:$GQ$21,MATCH(144,$B$29:$GQ$29,0))</f>
        <v/>
      </c>
      <c r="EP7">
        <f>INDEX($B$21:$GQ$21,MATCH(145,$B$29:$GQ$29,0))</f>
        <v/>
      </c>
      <c r="EQ7">
        <f>INDEX($B$21:$GQ$21,MATCH(146,$B$29:$GQ$29,0))</f>
        <v/>
      </c>
      <c r="ER7">
        <f>INDEX($B$21:$GQ$21,MATCH(147,$B$29:$GQ$29,0))</f>
        <v/>
      </c>
      <c r="ES7">
        <f>INDEX($B$21:$GQ$21,MATCH(148,$B$29:$GQ$29,0))</f>
        <v/>
      </c>
      <c r="ET7">
        <f>INDEX($B$21:$GQ$21,MATCH(149,$B$29:$GQ$29,0))</f>
        <v/>
      </c>
      <c r="EU7">
        <f>INDEX($B$21:$GQ$21,MATCH(150,$B$29:$GQ$29,0))</f>
        <v/>
      </c>
      <c r="EV7">
        <f>INDEX($B$21:$GQ$21,MATCH(151,$B$29:$GQ$29,0))</f>
        <v/>
      </c>
      <c r="EW7">
        <f>INDEX($B$21:$GQ$21,MATCH(152,$B$29:$GQ$29,0))</f>
        <v/>
      </c>
      <c r="EX7">
        <f>INDEX($B$21:$GQ$21,MATCH(153,$B$29:$GQ$29,0))</f>
        <v/>
      </c>
      <c r="EY7">
        <f>INDEX($B$21:$GQ$21,MATCH(154,$B$29:$GQ$29,0))</f>
        <v/>
      </c>
      <c r="EZ7">
        <f>INDEX($B$21:$GQ$21,MATCH(155,$B$29:$GQ$29,0))</f>
        <v/>
      </c>
      <c r="FA7">
        <f>INDEX($B$21:$GQ$21,MATCH(156,$B$29:$GQ$29,0))</f>
        <v/>
      </c>
      <c r="FB7">
        <f>INDEX($B$21:$GQ$21,MATCH(157,$B$29:$GQ$29,0))</f>
        <v/>
      </c>
      <c r="FC7">
        <f>INDEX($B$21:$GQ$21,MATCH(158,$B$29:$GQ$29,0))</f>
        <v/>
      </c>
      <c r="FD7">
        <f>INDEX($B$21:$GQ$21,MATCH(159,$B$29:$GQ$29,0))</f>
        <v/>
      </c>
      <c r="FE7">
        <f>INDEX($B$21:$GQ$21,MATCH(160,$B$29:$GQ$29,0))</f>
        <v/>
      </c>
      <c r="FF7">
        <f>INDEX($B$21:$GQ$21,MATCH(161,$B$29:$GQ$29,0))</f>
        <v/>
      </c>
      <c r="FG7">
        <f>INDEX($B$21:$GQ$21,MATCH(162,$B$29:$GQ$29,0))</f>
        <v/>
      </c>
      <c r="FH7">
        <f>INDEX($B$21:$GQ$21,MATCH(163,$B$29:$GQ$29,0))</f>
        <v/>
      </c>
      <c r="FI7">
        <f>INDEX($B$21:$GQ$21,MATCH(164,$B$29:$GQ$29,0))</f>
        <v/>
      </c>
      <c r="FJ7">
        <f>INDEX($B$21:$GQ$21,MATCH(165,$B$29:$GQ$29,0))</f>
        <v/>
      </c>
      <c r="FK7">
        <f>INDEX($B$21:$GQ$21,MATCH(166,$B$29:$GQ$29,0))</f>
        <v/>
      </c>
      <c r="FL7">
        <f>INDEX($B$21:$GQ$21,MATCH(167,$B$29:$GQ$29,0))</f>
        <v/>
      </c>
      <c r="FM7">
        <f>INDEX($B$21:$GQ$21,MATCH(168,$B$29:$GQ$29,0))</f>
        <v/>
      </c>
      <c r="FN7">
        <f>INDEX($B$21:$GQ$21,MATCH(169,$B$29:$GQ$29,0))</f>
        <v/>
      </c>
      <c r="FO7">
        <f>INDEX($B$21:$GQ$21,MATCH(170,$B$29:$GQ$29,0))</f>
        <v/>
      </c>
      <c r="FP7">
        <f>INDEX($B$21:$GQ$21,MATCH(171,$B$29:$GQ$29,0))</f>
        <v/>
      </c>
      <c r="FQ7">
        <f>INDEX($B$21:$GQ$21,MATCH(172,$B$29:$GQ$29,0))</f>
        <v/>
      </c>
      <c r="FR7">
        <f>INDEX($B$21:$GQ$21,MATCH(173,$B$29:$GQ$29,0))</f>
        <v/>
      </c>
      <c r="FS7">
        <f>INDEX($B$21:$GQ$21,MATCH(174,$B$29:$GQ$29,0))</f>
        <v/>
      </c>
      <c r="FT7">
        <f>INDEX($B$21:$GQ$21,MATCH(175,$B$29:$GQ$29,0))</f>
        <v/>
      </c>
      <c r="FU7">
        <f>INDEX($B$21:$GQ$21,MATCH(176,$B$29:$GQ$29,0))</f>
        <v/>
      </c>
      <c r="FV7">
        <f>INDEX($B$21:$GQ$21,MATCH(177,$B$29:$GQ$29,0))</f>
        <v/>
      </c>
      <c r="FW7">
        <f>INDEX($B$21:$GQ$21,MATCH(178,$B$29:$GQ$29,0))</f>
        <v/>
      </c>
      <c r="FX7">
        <f>INDEX($B$21:$GQ$21,MATCH(179,$B$29:$GQ$29,0))</f>
        <v/>
      </c>
      <c r="FY7">
        <f>INDEX($B$21:$GQ$21,MATCH(180,$B$29:$GQ$29,0))</f>
        <v/>
      </c>
      <c r="FZ7">
        <f>INDEX($B$21:$GQ$21,MATCH(181,$B$29:$GQ$29,0))</f>
        <v/>
      </c>
      <c r="GA7">
        <f>INDEX($B$21:$GQ$21,MATCH(182,$B$29:$GQ$29,0))</f>
        <v/>
      </c>
      <c r="GB7">
        <f>INDEX($B$21:$GQ$21,MATCH(183,$B$29:$GQ$29,0))</f>
        <v/>
      </c>
      <c r="GC7">
        <f>INDEX($B$21:$GQ$21,MATCH(184,$B$29:$GQ$29,0))</f>
        <v/>
      </c>
      <c r="GD7">
        <f>INDEX($B$21:$GQ$21,MATCH(185,$B$29:$GQ$29,0))</f>
        <v/>
      </c>
      <c r="GE7">
        <f>INDEX($B$21:$GQ$21,MATCH(186,$B$29:$GQ$29,0))</f>
        <v/>
      </c>
      <c r="GF7">
        <f>INDEX($B$21:$GQ$21,MATCH(187,$B$29:$GQ$29,0))</f>
        <v/>
      </c>
      <c r="GG7">
        <f>INDEX($B$21:$GQ$21,MATCH(188,$B$29:$GQ$29,0))</f>
        <v/>
      </c>
      <c r="GH7">
        <f>INDEX($B$21:$GQ$21,MATCH(189,$B$29:$GQ$29,0))</f>
        <v/>
      </c>
      <c r="GI7">
        <f>INDEX($B$21:$GQ$21,MATCH(190,$B$29:$GQ$29,0))</f>
        <v/>
      </c>
      <c r="GJ7">
        <f>INDEX($B$21:$GQ$21,MATCH(191,$B$29:$GQ$29,0))</f>
        <v/>
      </c>
      <c r="GK7">
        <f>INDEX($B$21:$GQ$21,MATCH(192,$B$29:$GQ$29,0))</f>
        <v/>
      </c>
      <c r="GL7">
        <f>INDEX($B$21:$GQ$21,MATCH(193,$B$29:$GQ$29,0))</f>
        <v/>
      </c>
      <c r="GM7">
        <f>INDEX($B$21:$GQ$21,MATCH(194,$B$29:$GQ$29,0))</f>
        <v/>
      </c>
      <c r="GN7">
        <f>INDEX($B$21:$GQ$21,MATCH(195,$B$29:$GQ$29,0))</f>
        <v/>
      </c>
      <c r="GO7">
        <f>INDEX($B$21:$GQ$21,MATCH(196,$B$29:$GQ$29,0))</f>
        <v/>
      </c>
      <c r="GP7">
        <f>INDEX($B$21:$GQ$21,MATCH(197,$B$29:$GQ$29,0))</f>
        <v/>
      </c>
      <c r="GQ7">
        <f>INDEX($B$21:$GQ$21,MATCH(198,$B$29:$GQ$29,0))</f>
        <v/>
      </c>
      <c r="GR7">
        <f>INDEX($GR$21:$HC$21,MATCH(1,$GR$30:$HC$30,0))</f>
        <v/>
      </c>
      <c r="GS7">
        <f>INDEX($GR$21:$HC$21,MATCH(2,$GR$30:$HC$30,0))</f>
        <v/>
      </c>
      <c r="GT7">
        <f>INDEX($GR$21:$HC$21,MATCH(3,$GR$30:$HC$30,0))</f>
        <v/>
      </c>
      <c r="GU7">
        <f>INDEX($GR$21:$HC$21,MATCH(4,$GR$30:$HC$30,0))</f>
        <v/>
      </c>
      <c r="GV7">
        <f>INDEX($GR$21:$HC$21,MATCH(5,$GR$30:$HC$30,0))</f>
        <v/>
      </c>
      <c r="GW7">
        <f>INDEX($GR$21:$HC$21,MATCH(6,$GR$30:$HC$30,0))</f>
        <v/>
      </c>
      <c r="GX7">
        <f>INDEX($GR$21:$HC$21,MATCH(7,$GR$30:$HC$30,0))</f>
        <v/>
      </c>
      <c r="GY7">
        <f>INDEX($GR$21:$HC$21,MATCH(8,$GR$30:$HC$30,0))</f>
        <v/>
      </c>
      <c r="GZ7">
        <f>INDEX($GR$21:$HC$21,MATCH(9,$GR$30:$HC$30,0))</f>
        <v/>
      </c>
      <c r="HA7">
        <f>INDEX($GR$21:$HC$21,MATCH(10,$GR$30:$HC$30,0))</f>
        <v/>
      </c>
      <c r="HB7">
        <f>INDEX($GR$21:$HC$21,MATCH(11,$GR$30:$HC$30,0))</f>
        <v/>
      </c>
      <c r="HC7">
        <f>INDEX($GR$21:$HC$21,MATCH(12,$GR$30:$HC$30,0))</f>
        <v/>
      </c>
    </row>
    <row r="8">
      <c r="A8" s="1" t="inlineStr">
        <is>
          <t>Y_dom</t>
        </is>
      </c>
      <c r="B8">
        <f>INDEX($B$22:$GQ$22,MATCH(1,$B$29:$GQ$29,0))</f>
        <v/>
      </c>
      <c r="C8">
        <f>INDEX($B$22:$GQ$22,MATCH(2,$B$29:$GQ$29,0))</f>
        <v/>
      </c>
      <c r="D8">
        <f>INDEX($B$22:$GQ$22,MATCH(3,$B$29:$GQ$29,0))</f>
        <v/>
      </c>
      <c r="E8">
        <f>INDEX($B$22:$GQ$22,MATCH(4,$B$29:$GQ$29,0))</f>
        <v/>
      </c>
      <c r="F8">
        <f>INDEX($B$22:$GQ$22,MATCH(5,$B$29:$GQ$29,0))</f>
        <v/>
      </c>
      <c r="G8">
        <f>INDEX($B$22:$GQ$22,MATCH(6,$B$29:$GQ$29,0))</f>
        <v/>
      </c>
      <c r="H8">
        <f>INDEX($B$22:$GQ$22,MATCH(7,$B$29:$GQ$29,0))</f>
        <v/>
      </c>
      <c r="I8">
        <f>INDEX($B$22:$GQ$22,MATCH(8,$B$29:$GQ$29,0))</f>
        <v/>
      </c>
      <c r="J8">
        <f>INDEX($B$22:$GQ$22,MATCH(9,$B$29:$GQ$29,0))</f>
        <v/>
      </c>
      <c r="K8">
        <f>INDEX($B$22:$GQ$22,MATCH(10,$B$29:$GQ$29,0))</f>
        <v/>
      </c>
      <c r="L8">
        <f>INDEX($B$22:$GQ$22,MATCH(11,$B$29:$GQ$29,0))</f>
        <v/>
      </c>
      <c r="M8">
        <f>INDEX($B$22:$GQ$22,MATCH(12,$B$29:$GQ$29,0))</f>
        <v/>
      </c>
      <c r="N8">
        <f>INDEX($B$22:$GQ$22,MATCH(13,$B$29:$GQ$29,0))</f>
        <v/>
      </c>
      <c r="O8">
        <f>INDEX($B$22:$GQ$22,MATCH(14,$B$29:$GQ$29,0))</f>
        <v/>
      </c>
      <c r="P8">
        <f>INDEX($B$22:$GQ$22,MATCH(15,$B$29:$GQ$29,0))</f>
        <v/>
      </c>
      <c r="Q8">
        <f>INDEX($B$22:$GQ$22,MATCH(16,$B$29:$GQ$29,0))</f>
        <v/>
      </c>
      <c r="R8">
        <f>INDEX($B$22:$GQ$22,MATCH(17,$B$29:$GQ$29,0))</f>
        <v/>
      </c>
      <c r="S8">
        <f>INDEX($B$22:$GQ$22,MATCH(18,$B$29:$GQ$29,0))</f>
        <v/>
      </c>
      <c r="T8">
        <f>INDEX($B$22:$GQ$22,MATCH(19,$B$29:$GQ$29,0))</f>
        <v/>
      </c>
      <c r="U8">
        <f>INDEX($B$22:$GQ$22,MATCH(20,$B$29:$GQ$29,0))</f>
        <v/>
      </c>
      <c r="V8">
        <f>INDEX($B$22:$GQ$22,MATCH(21,$B$29:$GQ$29,0))</f>
        <v/>
      </c>
      <c r="W8">
        <f>INDEX($B$22:$GQ$22,MATCH(22,$B$29:$GQ$29,0))</f>
        <v/>
      </c>
      <c r="X8">
        <f>INDEX($B$22:$GQ$22,MATCH(23,$B$29:$GQ$29,0))</f>
        <v/>
      </c>
      <c r="Y8">
        <f>INDEX($B$22:$GQ$22,MATCH(24,$B$29:$GQ$29,0))</f>
        <v/>
      </c>
      <c r="Z8">
        <f>INDEX($B$22:$GQ$22,MATCH(25,$B$29:$GQ$29,0))</f>
        <v/>
      </c>
      <c r="AA8">
        <f>INDEX($B$22:$GQ$22,MATCH(26,$B$29:$GQ$29,0))</f>
        <v/>
      </c>
      <c r="AB8">
        <f>INDEX($B$22:$GQ$22,MATCH(27,$B$29:$GQ$29,0))</f>
        <v/>
      </c>
      <c r="AC8">
        <f>INDEX($B$22:$GQ$22,MATCH(28,$B$29:$GQ$29,0))</f>
        <v/>
      </c>
      <c r="AD8">
        <f>INDEX($B$22:$GQ$22,MATCH(29,$B$29:$GQ$29,0))</f>
        <v/>
      </c>
      <c r="AE8">
        <f>INDEX($B$22:$GQ$22,MATCH(30,$B$29:$GQ$29,0))</f>
        <v/>
      </c>
      <c r="AF8">
        <f>INDEX($B$22:$GQ$22,MATCH(31,$B$29:$GQ$29,0))</f>
        <v/>
      </c>
      <c r="AG8">
        <f>INDEX($B$22:$GQ$22,MATCH(32,$B$29:$GQ$29,0))</f>
        <v/>
      </c>
      <c r="AH8">
        <f>INDEX($B$22:$GQ$22,MATCH(33,$B$29:$GQ$29,0))</f>
        <v/>
      </c>
      <c r="AI8">
        <f>INDEX($B$22:$GQ$22,MATCH(34,$B$29:$GQ$29,0))</f>
        <v/>
      </c>
      <c r="AJ8">
        <f>INDEX($B$22:$GQ$22,MATCH(35,$B$29:$GQ$29,0))</f>
        <v/>
      </c>
      <c r="AK8">
        <f>INDEX($B$22:$GQ$22,MATCH(36,$B$29:$GQ$29,0))</f>
        <v/>
      </c>
      <c r="AL8">
        <f>INDEX($B$22:$GQ$22,MATCH(37,$B$29:$GQ$29,0))</f>
        <v/>
      </c>
      <c r="AM8">
        <f>INDEX($B$22:$GQ$22,MATCH(38,$B$29:$GQ$29,0))</f>
        <v/>
      </c>
      <c r="AN8">
        <f>INDEX($B$22:$GQ$22,MATCH(39,$B$29:$GQ$29,0))</f>
        <v/>
      </c>
      <c r="AO8">
        <f>INDEX($B$22:$GQ$22,MATCH(40,$B$29:$GQ$29,0))</f>
        <v/>
      </c>
      <c r="AP8">
        <f>INDEX($B$22:$GQ$22,MATCH(41,$B$29:$GQ$29,0))</f>
        <v/>
      </c>
      <c r="AQ8">
        <f>INDEX($B$22:$GQ$22,MATCH(42,$B$29:$GQ$29,0))</f>
        <v/>
      </c>
      <c r="AR8">
        <f>INDEX($B$22:$GQ$22,MATCH(43,$B$29:$GQ$29,0))</f>
        <v/>
      </c>
      <c r="AS8">
        <f>INDEX($B$22:$GQ$22,MATCH(44,$B$29:$GQ$29,0))</f>
        <v/>
      </c>
      <c r="AT8">
        <f>INDEX($B$22:$GQ$22,MATCH(45,$B$29:$GQ$29,0))</f>
        <v/>
      </c>
      <c r="AU8">
        <f>INDEX($B$22:$GQ$22,MATCH(46,$B$29:$GQ$29,0))</f>
        <v/>
      </c>
      <c r="AV8">
        <f>INDEX($B$22:$GQ$22,MATCH(47,$B$29:$GQ$29,0))</f>
        <v/>
      </c>
      <c r="AW8">
        <f>INDEX($B$22:$GQ$22,MATCH(48,$B$29:$GQ$29,0))</f>
        <v/>
      </c>
      <c r="AX8">
        <f>INDEX($B$22:$GQ$22,MATCH(49,$B$29:$GQ$29,0))</f>
        <v/>
      </c>
      <c r="AY8">
        <f>INDEX($B$22:$GQ$22,MATCH(50,$B$29:$GQ$29,0))</f>
        <v/>
      </c>
      <c r="AZ8">
        <f>INDEX($B$22:$GQ$22,MATCH(51,$B$29:$GQ$29,0))</f>
        <v/>
      </c>
      <c r="BA8">
        <f>INDEX($B$22:$GQ$22,MATCH(52,$B$29:$GQ$29,0))</f>
        <v/>
      </c>
      <c r="BB8">
        <f>INDEX($B$22:$GQ$22,MATCH(53,$B$29:$GQ$29,0))</f>
        <v/>
      </c>
      <c r="BC8">
        <f>INDEX($B$22:$GQ$22,MATCH(54,$B$29:$GQ$29,0))</f>
        <v/>
      </c>
      <c r="BD8">
        <f>INDEX($B$22:$GQ$22,MATCH(55,$B$29:$GQ$29,0))</f>
        <v/>
      </c>
      <c r="BE8">
        <f>INDEX($B$22:$GQ$22,MATCH(56,$B$29:$GQ$29,0))</f>
        <v/>
      </c>
      <c r="BF8">
        <f>INDEX($B$22:$GQ$22,MATCH(57,$B$29:$GQ$29,0))</f>
        <v/>
      </c>
      <c r="BG8">
        <f>INDEX($B$22:$GQ$22,MATCH(58,$B$29:$GQ$29,0))</f>
        <v/>
      </c>
      <c r="BH8">
        <f>INDEX($B$22:$GQ$22,MATCH(59,$B$29:$GQ$29,0))</f>
        <v/>
      </c>
      <c r="BI8">
        <f>INDEX($B$22:$GQ$22,MATCH(60,$B$29:$GQ$29,0))</f>
        <v/>
      </c>
      <c r="BJ8">
        <f>INDEX($B$22:$GQ$22,MATCH(61,$B$29:$GQ$29,0))</f>
        <v/>
      </c>
      <c r="BK8">
        <f>INDEX($B$22:$GQ$22,MATCH(62,$B$29:$GQ$29,0))</f>
        <v/>
      </c>
      <c r="BL8">
        <f>INDEX($B$22:$GQ$22,MATCH(63,$B$29:$GQ$29,0))</f>
        <v/>
      </c>
      <c r="BM8">
        <f>INDEX($B$22:$GQ$22,MATCH(64,$B$29:$GQ$29,0))</f>
        <v/>
      </c>
      <c r="BN8">
        <f>INDEX($B$22:$GQ$22,MATCH(65,$B$29:$GQ$29,0))</f>
        <v/>
      </c>
      <c r="BO8">
        <f>INDEX($B$22:$GQ$22,MATCH(66,$B$29:$GQ$29,0))</f>
        <v/>
      </c>
      <c r="BP8">
        <f>INDEX($B$22:$GQ$22,MATCH(67,$B$29:$GQ$29,0))</f>
        <v/>
      </c>
      <c r="BQ8">
        <f>INDEX($B$22:$GQ$22,MATCH(68,$B$29:$GQ$29,0))</f>
        <v/>
      </c>
      <c r="BR8">
        <f>INDEX($B$22:$GQ$22,MATCH(69,$B$29:$GQ$29,0))</f>
        <v/>
      </c>
      <c r="BS8">
        <f>INDEX($B$22:$GQ$22,MATCH(70,$B$29:$GQ$29,0))</f>
        <v/>
      </c>
      <c r="BT8">
        <f>INDEX($B$22:$GQ$22,MATCH(71,$B$29:$GQ$29,0))</f>
        <v/>
      </c>
      <c r="BU8">
        <f>INDEX($B$22:$GQ$22,MATCH(72,$B$29:$GQ$29,0))</f>
        <v/>
      </c>
      <c r="BV8">
        <f>INDEX($B$22:$GQ$22,MATCH(73,$B$29:$GQ$29,0))</f>
        <v/>
      </c>
      <c r="BW8">
        <f>INDEX($B$22:$GQ$22,MATCH(74,$B$29:$GQ$29,0))</f>
        <v/>
      </c>
      <c r="BX8">
        <f>INDEX($B$22:$GQ$22,MATCH(75,$B$29:$GQ$29,0))</f>
        <v/>
      </c>
      <c r="BY8">
        <f>INDEX($B$22:$GQ$22,MATCH(76,$B$29:$GQ$29,0))</f>
        <v/>
      </c>
      <c r="BZ8">
        <f>INDEX($B$22:$GQ$22,MATCH(77,$B$29:$GQ$29,0))</f>
        <v/>
      </c>
      <c r="CA8">
        <f>INDEX($B$22:$GQ$22,MATCH(78,$B$29:$GQ$29,0))</f>
        <v/>
      </c>
      <c r="CB8">
        <f>INDEX($B$22:$GQ$22,MATCH(79,$B$29:$GQ$29,0))</f>
        <v/>
      </c>
      <c r="CC8">
        <f>INDEX($B$22:$GQ$22,MATCH(80,$B$29:$GQ$29,0))</f>
        <v/>
      </c>
      <c r="CD8">
        <f>INDEX($B$22:$GQ$22,MATCH(81,$B$29:$GQ$29,0))</f>
        <v/>
      </c>
      <c r="CE8">
        <f>INDEX($B$22:$GQ$22,MATCH(82,$B$29:$GQ$29,0))</f>
        <v/>
      </c>
      <c r="CF8">
        <f>INDEX($B$22:$GQ$22,MATCH(83,$B$29:$GQ$29,0))</f>
        <v/>
      </c>
      <c r="CG8">
        <f>INDEX($B$22:$GQ$22,MATCH(84,$B$29:$GQ$29,0))</f>
        <v/>
      </c>
      <c r="CH8">
        <f>INDEX($B$22:$GQ$22,MATCH(85,$B$29:$GQ$29,0))</f>
        <v/>
      </c>
      <c r="CI8">
        <f>INDEX($B$22:$GQ$22,MATCH(86,$B$29:$GQ$29,0))</f>
        <v/>
      </c>
      <c r="CJ8">
        <f>INDEX($B$22:$GQ$22,MATCH(87,$B$29:$GQ$29,0))</f>
        <v/>
      </c>
      <c r="CK8">
        <f>INDEX($B$22:$GQ$22,MATCH(88,$B$29:$GQ$29,0))</f>
        <v/>
      </c>
      <c r="CL8">
        <f>INDEX($B$22:$GQ$22,MATCH(89,$B$29:$GQ$29,0))</f>
        <v/>
      </c>
      <c r="CM8">
        <f>INDEX($B$22:$GQ$22,MATCH(90,$B$29:$GQ$29,0))</f>
        <v/>
      </c>
      <c r="CN8">
        <f>INDEX($B$22:$GQ$22,MATCH(91,$B$29:$GQ$29,0))</f>
        <v/>
      </c>
      <c r="CO8">
        <f>INDEX($B$22:$GQ$22,MATCH(92,$B$29:$GQ$29,0))</f>
        <v/>
      </c>
      <c r="CP8">
        <f>INDEX($B$22:$GQ$22,MATCH(93,$B$29:$GQ$29,0))</f>
        <v/>
      </c>
      <c r="CQ8">
        <f>INDEX($B$22:$GQ$22,MATCH(94,$B$29:$GQ$29,0))</f>
        <v/>
      </c>
      <c r="CR8">
        <f>INDEX($B$22:$GQ$22,MATCH(95,$B$29:$GQ$29,0))</f>
        <v/>
      </c>
      <c r="CS8">
        <f>INDEX($B$22:$GQ$22,MATCH(96,$B$29:$GQ$29,0))</f>
        <v/>
      </c>
      <c r="CT8">
        <f>INDEX($B$22:$GQ$22,MATCH(97,$B$29:$GQ$29,0))</f>
        <v/>
      </c>
      <c r="CU8">
        <f>INDEX($B$22:$GQ$22,MATCH(98,$B$29:$GQ$29,0))</f>
        <v/>
      </c>
      <c r="CV8">
        <f>INDEX($B$22:$GQ$22,MATCH(99,$B$29:$GQ$29,0))</f>
        <v/>
      </c>
      <c r="CW8">
        <f>INDEX($B$22:$GQ$22,MATCH(100,$B$29:$GQ$29,0))</f>
        <v/>
      </c>
      <c r="CX8">
        <f>INDEX($B$22:$GQ$22,MATCH(101,$B$29:$GQ$29,0))</f>
        <v/>
      </c>
      <c r="CY8">
        <f>INDEX($B$22:$GQ$22,MATCH(102,$B$29:$GQ$29,0))</f>
        <v/>
      </c>
      <c r="CZ8">
        <f>INDEX($B$22:$GQ$22,MATCH(103,$B$29:$GQ$29,0))</f>
        <v/>
      </c>
      <c r="DA8">
        <f>INDEX($B$22:$GQ$22,MATCH(104,$B$29:$GQ$29,0))</f>
        <v/>
      </c>
      <c r="DB8">
        <f>INDEX($B$22:$GQ$22,MATCH(105,$B$29:$GQ$29,0))</f>
        <v/>
      </c>
      <c r="DC8">
        <f>INDEX($B$22:$GQ$22,MATCH(106,$B$29:$GQ$29,0))</f>
        <v/>
      </c>
      <c r="DD8">
        <f>INDEX($B$22:$GQ$22,MATCH(107,$B$29:$GQ$29,0))</f>
        <v/>
      </c>
      <c r="DE8">
        <f>INDEX($B$22:$GQ$22,MATCH(108,$B$29:$GQ$29,0))</f>
        <v/>
      </c>
      <c r="DF8">
        <f>INDEX($B$22:$GQ$22,MATCH(109,$B$29:$GQ$29,0))</f>
        <v/>
      </c>
      <c r="DG8">
        <f>INDEX($B$22:$GQ$22,MATCH(110,$B$29:$GQ$29,0))</f>
        <v/>
      </c>
      <c r="DH8">
        <f>INDEX($B$22:$GQ$22,MATCH(111,$B$29:$GQ$29,0))</f>
        <v/>
      </c>
      <c r="DI8">
        <f>INDEX($B$22:$GQ$22,MATCH(112,$B$29:$GQ$29,0))</f>
        <v/>
      </c>
      <c r="DJ8">
        <f>INDEX($B$22:$GQ$22,MATCH(113,$B$29:$GQ$29,0))</f>
        <v/>
      </c>
      <c r="DK8">
        <f>INDEX($B$22:$GQ$22,MATCH(114,$B$29:$GQ$29,0))</f>
        <v/>
      </c>
      <c r="DL8">
        <f>INDEX($B$22:$GQ$22,MATCH(115,$B$29:$GQ$29,0))</f>
        <v/>
      </c>
      <c r="DM8">
        <f>INDEX($B$22:$GQ$22,MATCH(116,$B$29:$GQ$29,0))</f>
        <v/>
      </c>
      <c r="DN8">
        <f>INDEX($B$22:$GQ$22,MATCH(117,$B$29:$GQ$29,0))</f>
        <v/>
      </c>
      <c r="DO8">
        <f>INDEX($B$22:$GQ$22,MATCH(118,$B$29:$GQ$29,0))</f>
        <v/>
      </c>
      <c r="DP8">
        <f>INDEX($B$22:$GQ$22,MATCH(119,$B$29:$GQ$29,0))</f>
        <v/>
      </c>
      <c r="DQ8">
        <f>INDEX($B$22:$GQ$22,MATCH(120,$B$29:$GQ$29,0))</f>
        <v/>
      </c>
      <c r="DR8">
        <f>INDEX($B$22:$GQ$22,MATCH(121,$B$29:$GQ$29,0))</f>
        <v/>
      </c>
      <c r="DS8">
        <f>INDEX($B$22:$GQ$22,MATCH(122,$B$29:$GQ$29,0))</f>
        <v/>
      </c>
      <c r="DT8">
        <f>INDEX($B$22:$GQ$22,MATCH(123,$B$29:$GQ$29,0))</f>
        <v/>
      </c>
      <c r="DU8">
        <f>INDEX($B$22:$GQ$22,MATCH(124,$B$29:$GQ$29,0))</f>
        <v/>
      </c>
      <c r="DV8">
        <f>INDEX($B$22:$GQ$22,MATCH(125,$B$29:$GQ$29,0))</f>
        <v/>
      </c>
      <c r="DW8">
        <f>INDEX($B$22:$GQ$22,MATCH(126,$B$29:$GQ$29,0))</f>
        <v/>
      </c>
      <c r="DX8">
        <f>INDEX($B$22:$GQ$22,MATCH(127,$B$29:$GQ$29,0))</f>
        <v/>
      </c>
      <c r="DY8">
        <f>INDEX($B$22:$GQ$22,MATCH(128,$B$29:$GQ$29,0))</f>
        <v/>
      </c>
      <c r="DZ8">
        <f>INDEX($B$22:$GQ$22,MATCH(129,$B$29:$GQ$29,0))</f>
        <v/>
      </c>
      <c r="EA8">
        <f>INDEX($B$22:$GQ$22,MATCH(130,$B$29:$GQ$29,0))</f>
        <v/>
      </c>
      <c r="EB8">
        <f>INDEX($B$22:$GQ$22,MATCH(131,$B$29:$GQ$29,0))</f>
        <v/>
      </c>
      <c r="EC8">
        <f>INDEX($B$22:$GQ$22,MATCH(132,$B$29:$GQ$29,0))</f>
        <v/>
      </c>
      <c r="ED8">
        <f>INDEX($B$22:$GQ$22,MATCH(133,$B$29:$GQ$29,0))</f>
        <v/>
      </c>
      <c r="EE8">
        <f>INDEX($B$22:$GQ$22,MATCH(134,$B$29:$GQ$29,0))</f>
        <v/>
      </c>
      <c r="EF8">
        <f>INDEX($B$22:$GQ$22,MATCH(135,$B$29:$GQ$29,0))</f>
        <v/>
      </c>
      <c r="EG8">
        <f>INDEX($B$22:$GQ$22,MATCH(136,$B$29:$GQ$29,0))</f>
        <v/>
      </c>
      <c r="EH8">
        <f>INDEX($B$22:$GQ$22,MATCH(137,$B$29:$GQ$29,0))</f>
        <v/>
      </c>
      <c r="EI8">
        <f>INDEX($B$22:$GQ$22,MATCH(138,$B$29:$GQ$29,0))</f>
        <v/>
      </c>
      <c r="EJ8">
        <f>INDEX($B$22:$GQ$22,MATCH(139,$B$29:$GQ$29,0))</f>
        <v/>
      </c>
      <c r="EK8">
        <f>INDEX($B$22:$GQ$22,MATCH(140,$B$29:$GQ$29,0))</f>
        <v/>
      </c>
      <c r="EL8">
        <f>INDEX($B$22:$GQ$22,MATCH(141,$B$29:$GQ$29,0))</f>
        <v/>
      </c>
      <c r="EM8">
        <f>INDEX($B$22:$GQ$22,MATCH(142,$B$29:$GQ$29,0))</f>
        <v/>
      </c>
      <c r="EN8">
        <f>INDEX($B$22:$GQ$22,MATCH(143,$B$29:$GQ$29,0))</f>
        <v/>
      </c>
      <c r="EO8">
        <f>INDEX($B$22:$GQ$22,MATCH(144,$B$29:$GQ$29,0))</f>
        <v/>
      </c>
      <c r="EP8">
        <f>INDEX($B$22:$GQ$22,MATCH(145,$B$29:$GQ$29,0))</f>
        <v/>
      </c>
      <c r="EQ8">
        <f>INDEX($B$22:$GQ$22,MATCH(146,$B$29:$GQ$29,0))</f>
        <v/>
      </c>
      <c r="ER8">
        <f>INDEX($B$22:$GQ$22,MATCH(147,$B$29:$GQ$29,0))</f>
        <v/>
      </c>
      <c r="ES8">
        <f>INDEX($B$22:$GQ$22,MATCH(148,$B$29:$GQ$29,0))</f>
        <v/>
      </c>
      <c r="ET8">
        <f>INDEX($B$22:$GQ$22,MATCH(149,$B$29:$GQ$29,0))</f>
        <v/>
      </c>
      <c r="EU8">
        <f>INDEX($B$22:$GQ$22,MATCH(150,$B$29:$GQ$29,0))</f>
        <v/>
      </c>
      <c r="EV8">
        <f>INDEX($B$22:$GQ$22,MATCH(151,$B$29:$GQ$29,0))</f>
        <v/>
      </c>
      <c r="EW8">
        <f>INDEX($B$22:$GQ$22,MATCH(152,$B$29:$GQ$29,0))</f>
        <v/>
      </c>
      <c r="EX8">
        <f>INDEX($B$22:$GQ$22,MATCH(153,$B$29:$GQ$29,0))</f>
        <v/>
      </c>
      <c r="EY8">
        <f>INDEX($B$22:$GQ$22,MATCH(154,$B$29:$GQ$29,0))</f>
        <v/>
      </c>
      <c r="EZ8">
        <f>INDEX($B$22:$GQ$22,MATCH(155,$B$29:$GQ$29,0))</f>
        <v/>
      </c>
      <c r="FA8">
        <f>INDEX($B$22:$GQ$22,MATCH(156,$B$29:$GQ$29,0))</f>
        <v/>
      </c>
      <c r="FB8">
        <f>INDEX($B$22:$GQ$22,MATCH(157,$B$29:$GQ$29,0))</f>
        <v/>
      </c>
      <c r="FC8">
        <f>INDEX($B$22:$GQ$22,MATCH(158,$B$29:$GQ$29,0))</f>
        <v/>
      </c>
      <c r="FD8">
        <f>INDEX($B$22:$GQ$22,MATCH(159,$B$29:$GQ$29,0))</f>
        <v/>
      </c>
      <c r="FE8">
        <f>INDEX($B$22:$GQ$22,MATCH(160,$B$29:$GQ$29,0))</f>
        <v/>
      </c>
      <c r="FF8">
        <f>INDEX($B$22:$GQ$22,MATCH(161,$B$29:$GQ$29,0))</f>
        <v/>
      </c>
      <c r="FG8">
        <f>INDEX($B$22:$GQ$22,MATCH(162,$B$29:$GQ$29,0))</f>
        <v/>
      </c>
      <c r="FH8">
        <f>INDEX($B$22:$GQ$22,MATCH(163,$B$29:$GQ$29,0))</f>
        <v/>
      </c>
      <c r="FI8">
        <f>INDEX($B$22:$GQ$22,MATCH(164,$B$29:$GQ$29,0))</f>
        <v/>
      </c>
      <c r="FJ8">
        <f>INDEX($B$22:$GQ$22,MATCH(165,$B$29:$GQ$29,0))</f>
        <v/>
      </c>
      <c r="FK8">
        <f>INDEX($B$22:$GQ$22,MATCH(166,$B$29:$GQ$29,0))</f>
        <v/>
      </c>
      <c r="FL8">
        <f>INDEX($B$22:$GQ$22,MATCH(167,$B$29:$GQ$29,0))</f>
        <v/>
      </c>
      <c r="FM8">
        <f>INDEX($B$22:$GQ$22,MATCH(168,$B$29:$GQ$29,0))</f>
        <v/>
      </c>
      <c r="FN8">
        <f>INDEX($B$22:$GQ$22,MATCH(169,$B$29:$GQ$29,0))</f>
        <v/>
      </c>
      <c r="FO8">
        <f>INDEX($B$22:$GQ$22,MATCH(170,$B$29:$GQ$29,0))</f>
        <v/>
      </c>
      <c r="FP8">
        <f>INDEX($B$22:$GQ$22,MATCH(171,$B$29:$GQ$29,0))</f>
        <v/>
      </c>
      <c r="FQ8">
        <f>INDEX($B$22:$GQ$22,MATCH(172,$B$29:$GQ$29,0))</f>
        <v/>
      </c>
      <c r="FR8">
        <f>INDEX($B$22:$GQ$22,MATCH(173,$B$29:$GQ$29,0))</f>
        <v/>
      </c>
      <c r="FS8">
        <f>INDEX($B$22:$GQ$22,MATCH(174,$B$29:$GQ$29,0))</f>
        <v/>
      </c>
      <c r="FT8">
        <f>INDEX($B$22:$GQ$22,MATCH(175,$B$29:$GQ$29,0))</f>
        <v/>
      </c>
      <c r="FU8">
        <f>INDEX($B$22:$GQ$22,MATCH(176,$B$29:$GQ$29,0))</f>
        <v/>
      </c>
      <c r="FV8">
        <f>INDEX($B$22:$GQ$22,MATCH(177,$B$29:$GQ$29,0))</f>
        <v/>
      </c>
      <c r="FW8">
        <f>INDEX($B$22:$GQ$22,MATCH(178,$B$29:$GQ$29,0))</f>
        <v/>
      </c>
      <c r="FX8">
        <f>INDEX($B$22:$GQ$22,MATCH(179,$B$29:$GQ$29,0))</f>
        <v/>
      </c>
      <c r="FY8">
        <f>INDEX($B$22:$GQ$22,MATCH(180,$B$29:$GQ$29,0))</f>
        <v/>
      </c>
      <c r="FZ8">
        <f>INDEX($B$22:$GQ$22,MATCH(181,$B$29:$GQ$29,0))</f>
        <v/>
      </c>
      <c r="GA8">
        <f>INDEX($B$22:$GQ$22,MATCH(182,$B$29:$GQ$29,0))</f>
        <v/>
      </c>
      <c r="GB8">
        <f>INDEX($B$22:$GQ$22,MATCH(183,$B$29:$GQ$29,0))</f>
        <v/>
      </c>
      <c r="GC8">
        <f>INDEX($B$22:$GQ$22,MATCH(184,$B$29:$GQ$29,0))</f>
        <v/>
      </c>
      <c r="GD8">
        <f>INDEX($B$22:$GQ$22,MATCH(185,$B$29:$GQ$29,0))</f>
        <v/>
      </c>
      <c r="GE8">
        <f>INDEX($B$22:$GQ$22,MATCH(186,$B$29:$GQ$29,0))</f>
        <v/>
      </c>
      <c r="GF8">
        <f>INDEX($B$22:$GQ$22,MATCH(187,$B$29:$GQ$29,0))</f>
        <v/>
      </c>
      <c r="GG8">
        <f>INDEX($B$22:$GQ$22,MATCH(188,$B$29:$GQ$29,0))</f>
        <v/>
      </c>
      <c r="GH8">
        <f>INDEX($B$22:$GQ$22,MATCH(189,$B$29:$GQ$29,0))</f>
        <v/>
      </c>
      <c r="GI8">
        <f>INDEX($B$22:$GQ$22,MATCH(190,$B$29:$GQ$29,0))</f>
        <v/>
      </c>
      <c r="GJ8">
        <f>INDEX($B$22:$GQ$22,MATCH(191,$B$29:$GQ$29,0))</f>
        <v/>
      </c>
      <c r="GK8">
        <f>INDEX($B$22:$GQ$22,MATCH(192,$B$29:$GQ$29,0))</f>
        <v/>
      </c>
      <c r="GL8">
        <f>INDEX($B$22:$GQ$22,MATCH(193,$B$29:$GQ$29,0))</f>
        <v/>
      </c>
      <c r="GM8">
        <f>INDEX($B$22:$GQ$22,MATCH(194,$B$29:$GQ$29,0))</f>
        <v/>
      </c>
      <c r="GN8">
        <f>INDEX($B$22:$GQ$22,MATCH(195,$B$29:$GQ$29,0))</f>
        <v/>
      </c>
      <c r="GO8">
        <f>INDEX($B$22:$GQ$22,MATCH(196,$B$29:$GQ$29,0))</f>
        <v/>
      </c>
      <c r="GP8">
        <f>INDEX($B$22:$GQ$22,MATCH(197,$B$29:$GQ$29,0))</f>
        <v/>
      </c>
      <c r="GQ8">
        <f>INDEX($B$22:$GQ$22,MATCH(198,$B$29:$GQ$29,0))</f>
        <v/>
      </c>
      <c r="GR8">
        <f>INDEX($GR$22:$HC$22,MATCH(1,$GR$30:$HC$30,0))</f>
        <v/>
      </c>
      <c r="GS8">
        <f>INDEX($GR$22:$HC$22,MATCH(2,$GR$30:$HC$30,0))</f>
        <v/>
      </c>
      <c r="GT8">
        <f>INDEX($GR$22:$HC$22,MATCH(3,$GR$30:$HC$30,0))</f>
        <v/>
      </c>
      <c r="GU8">
        <f>INDEX($GR$22:$HC$22,MATCH(4,$GR$30:$HC$30,0))</f>
        <v/>
      </c>
      <c r="GV8">
        <f>INDEX($GR$22:$HC$22,MATCH(5,$GR$30:$HC$30,0))</f>
        <v/>
      </c>
      <c r="GW8">
        <f>INDEX($GR$22:$HC$22,MATCH(6,$GR$30:$HC$30,0))</f>
        <v/>
      </c>
      <c r="GX8">
        <f>INDEX($GR$22:$HC$22,MATCH(7,$GR$30:$HC$30,0))</f>
        <v/>
      </c>
      <c r="GY8">
        <f>INDEX($GR$22:$HC$22,MATCH(8,$GR$30:$HC$30,0))</f>
        <v/>
      </c>
      <c r="GZ8">
        <f>INDEX($GR$22:$HC$22,MATCH(9,$GR$30:$HC$30,0))</f>
        <v/>
      </c>
      <c r="HA8">
        <f>INDEX($GR$22:$HC$22,MATCH(10,$GR$30:$HC$30,0))</f>
        <v/>
      </c>
      <c r="HB8">
        <f>INDEX($GR$22:$HC$22,MATCH(11,$GR$30:$HC$30,0))</f>
        <v/>
      </c>
      <c r="HC8">
        <f>INDEX($GR$22:$HC$22,MATCH(12,$GR$30:$HC$30,0))</f>
        <v/>
      </c>
    </row>
    <row r="9">
      <c r="A9" s="1" t="inlineStr">
        <is>
          <t>M_imp*Y_dom</t>
        </is>
      </c>
      <c r="B9">
        <f>INDEX($B$23:$GQ$23,MATCH(1,$B$29:$GQ$29,0))</f>
        <v/>
      </c>
      <c r="C9">
        <f>INDEX($B$23:$GQ$23,MATCH(2,$B$29:$GQ$29,0))</f>
        <v/>
      </c>
      <c r="D9">
        <f>INDEX($B$23:$GQ$23,MATCH(3,$B$29:$GQ$29,0))</f>
        <v/>
      </c>
      <c r="E9">
        <f>INDEX($B$23:$GQ$23,MATCH(4,$B$29:$GQ$29,0))</f>
        <v/>
      </c>
      <c r="F9">
        <f>INDEX($B$23:$GQ$23,MATCH(5,$B$29:$GQ$29,0))</f>
        <v/>
      </c>
      <c r="G9">
        <f>INDEX($B$23:$GQ$23,MATCH(6,$B$29:$GQ$29,0))</f>
        <v/>
      </c>
      <c r="H9">
        <f>INDEX($B$23:$GQ$23,MATCH(7,$B$29:$GQ$29,0))</f>
        <v/>
      </c>
      <c r="I9">
        <f>INDEX($B$23:$GQ$23,MATCH(8,$B$29:$GQ$29,0))</f>
        <v/>
      </c>
      <c r="J9">
        <f>INDEX($B$23:$GQ$23,MATCH(9,$B$29:$GQ$29,0))</f>
        <v/>
      </c>
      <c r="K9">
        <f>INDEX($B$23:$GQ$23,MATCH(10,$B$29:$GQ$29,0))</f>
        <v/>
      </c>
      <c r="L9">
        <f>INDEX($B$23:$GQ$23,MATCH(11,$B$29:$GQ$29,0))</f>
        <v/>
      </c>
      <c r="M9">
        <f>INDEX($B$23:$GQ$23,MATCH(12,$B$29:$GQ$29,0))</f>
        <v/>
      </c>
      <c r="N9">
        <f>INDEX($B$23:$GQ$23,MATCH(13,$B$29:$GQ$29,0))</f>
        <v/>
      </c>
      <c r="O9">
        <f>INDEX($B$23:$GQ$23,MATCH(14,$B$29:$GQ$29,0))</f>
        <v/>
      </c>
      <c r="P9">
        <f>INDEX($B$23:$GQ$23,MATCH(15,$B$29:$GQ$29,0))</f>
        <v/>
      </c>
      <c r="Q9">
        <f>INDEX($B$23:$GQ$23,MATCH(16,$B$29:$GQ$29,0))</f>
        <v/>
      </c>
      <c r="R9">
        <f>INDEX($B$23:$GQ$23,MATCH(17,$B$29:$GQ$29,0))</f>
        <v/>
      </c>
      <c r="S9">
        <f>INDEX($B$23:$GQ$23,MATCH(18,$B$29:$GQ$29,0))</f>
        <v/>
      </c>
      <c r="T9">
        <f>INDEX($B$23:$GQ$23,MATCH(19,$B$29:$GQ$29,0))</f>
        <v/>
      </c>
      <c r="U9">
        <f>INDEX($B$23:$GQ$23,MATCH(20,$B$29:$GQ$29,0))</f>
        <v/>
      </c>
      <c r="V9">
        <f>INDEX($B$23:$GQ$23,MATCH(21,$B$29:$GQ$29,0))</f>
        <v/>
      </c>
      <c r="W9">
        <f>INDEX($B$23:$GQ$23,MATCH(22,$B$29:$GQ$29,0))</f>
        <v/>
      </c>
      <c r="X9">
        <f>INDEX($B$23:$GQ$23,MATCH(23,$B$29:$GQ$29,0))</f>
        <v/>
      </c>
      <c r="Y9">
        <f>INDEX($B$23:$GQ$23,MATCH(24,$B$29:$GQ$29,0))</f>
        <v/>
      </c>
      <c r="Z9">
        <f>INDEX($B$23:$GQ$23,MATCH(25,$B$29:$GQ$29,0))</f>
        <v/>
      </c>
      <c r="AA9">
        <f>INDEX($B$23:$GQ$23,MATCH(26,$B$29:$GQ$29,0))</f>
        <v/>
      </c>
      <c r="AB9">
        <f>INDEX($B$23:$GQ$23,MATCH(27,$B$29:$GQ$29,0))</f>
        <v/>
      </c>
      <c r="AC9">
        <f>INDEX($B$23:$GQ$23,MATCH(28,$B$29:$GQ$29,0))</f>
        <v/>
      </c>
      <c r="AD9">
        <f>INDEX($B$23:$GQ$23,MATCH(29,$B$29:$GQ$29,0))</f>
        <v/>
      </c>
      <c r="AE9">
        <f>INDEX($B$23:$GQ$23,MATCH(30,$B$29:$GQ$29,0))</f>
        <v/>
      </c>
      <c r="AF9">
        <f>INDEX($B$23:$GQ$23,MATCH(31,$B$29:$GQ$29,0))</f>
        <v/>
      </c>
      <c r="AG9">
        <f>INDEX($B$23:$GQ$23,MATCH(32,$B$29:$GQ$29,0))</f>
        <v/>
      </c>
      <c r="AH9">
        <f>INDEX($B$23:$GQ$23,MATCH(33,$B$29:$GQ$29,0))</f>
        <v/>
      </c>
      <c r="AI9">
        <f>INDEX($B$23:$GQ$23,MATCH(34,$B$29:$GQ$29,0))</f>
        <v/>
      </c>
      <c r="AJ9">
        <f>INDEX($B$23:$GQ$23,MATCH(35,$B$29:$GQ$29,0))</f>
        <v/>
      </c>
      <c r="AK9">
        <f>INDEX($B$23:$GQ$23,MATCH(36,$B$29:$GQ$29,0))</f>
        <v/>
      </c>
      <c r="AL9">
        <f>INDEX($B$23:$GQ$23,MATCH(37,$B$29:$GQ$29,0))</f>
        <v/>
      </c>
      <c r="AM9">
        <f>INDEX($B$23:$GQ$23,MATCH(38,$B$29:$GQ$29,0))</f>
        <v/>
      </c>
      <c r="AN9">
        <f>INDEX($B$23:$GQ$23,MATCH(39,$B$29:$GQ$29,0))</f>
        <v/>
      </c>
      <c r="AO9">
        <f>INDEX($B$23:$GQ$23,MATCH(40,$B$29:$GQ$29,0))</f>
        <v/>
      </c>
      <c r="AP9">
        <f>INDEX($B$23:$GQ$23,MATCH(41,$B$29:$GQ$29,0))</f>
        <v/>
      </c>
      <c r="AQ9">
        <f>INDEX($B$23:$GQ$23,MATCH(42,$B$29:$GQ$29,0))</f>
        <v/>
      </c>
      <c r="AR9">
        <f>INDEX($B$23:$GQ$23,MATCH(43,$B$29:$GQ$29,0))</f>
        <v/>
      </c>
      <c r="AS9">
        <f>INDEX($B$23:$GQ$23,MATCH(44,$B$29:$GQ$29,0))</f>
        <v/>
      </c>
      <c r="AT9">
        <f>INDEX($B$23:$GQ$23,MATCH(45,$B$29:$GQ$29,0))</f>
        <v/>
      </c>
      <c r="AU9">
        <f>INDEX($B$23:$GQ$23,MATCH(46,$B$29:$GQ$29,0))</f>
        <v/>
      </c>
      <c r="AV9">
        <f>INDEX($B$23:$GQ$23,MATCH(47,$B$29:$GQ$29,0))</f>
        <v/>
      </c>
      <c r="AW9">
        <f>INDEX($B$23:$GQ$23,MATCH(48,$B$29:$GQ$29,0))</f>
        <v/>
      </c>
      <c r="AX9">
        <f>INDEX($B$23:$GQ$23,MATCH(49,$B$29:$GQ$29,0))</f>
        <v/>
      </c>
      <c r="AY9">
        <f>INDEX($B$23:$GQ$23,MATCH(50,$B$29:$GQ$29,0))</f>
        <v/>
      </c>
      <c r="AZ9">
        <f>INDEX($B$23:$GQ$23,MATCH(51,$B$29:$GQ$29,0))</f>
        <v/>
      </c>
      <c r="BA9">
        <f>INDEX($B$23:$GQ$23,MATCH(52,$B$29:$GQ$29,0))</f>
        <v/>
      </c>
      <c r="BB9">
        <f>INDEX($B$23:$GQ$23,MATCH(53,$B$29:$GQ$29,0))</f>
        <v/>
      </c>
      <c r="BC9">
        <f>INDEX($B$23:$GQ$23,MATCH(54,$B$29:$GQ$29,0))</f>
        <v/>
      </c>
      <c r="BD9">
        <f>INDEX($B$23:$GQ$23,MATCH(55,$B$29:$GQ$29,0))</f>
        <v/>
      </c>
      <c r="BE9">
        <f>INDEX($B$23:$GQ$23,MATCH(56,$B$29:$GQ$29,0))</f>
        <v/>
      </c>
      <c r="BF9">
        <f>INDEX($B$23:$GQ$23,MATCH(57,$B$29:$GQ$29,0))</f>
        <v/>
      </c>
      <c r="BG9">
        <f>INDEX($B$23:$GQ$23,MATCH(58,$B$29:$GQ$29,0))</f>
        <v/>
      </c>
      <c r="BH9">
        <f>INDEX($B$23:$GQ$23,MATCH(59,$B$29:$GQ$29,0))</f>
        <v/>
      </c>
      <c r="BI9">
        <f>INDEX($B$23:$GQ$23,MATCH(60,$B$29:$GQ$29,0))</f>
        <v/>
      </c>
      <c r="BJ9">
        <f>INDEX($B$23:$GQ$23,MATCH(61,$B$29:$GQ$29,0))</f>
        <v/>
      </c>
      <c r="BK9">
        <f>INDEX($B$23:$GQ$23,MATCH(62,$B$29:$GQ$29,0))</f>
        <v/>
      </c>
      <c r="BL9">
        <f>INDEX($B$23:$GQ$23,MATCH(63,$B$29:$GQ$29,0))</f>
        <v/>
      </c>
      <c r="BM9">
        <f>INDEX($B$23:$GQ$23,MATCH(64,$B$29:$GQ$29,0))</f>
        <v/>
      </c>
      <c r="BN9">
        <f>INDEX($B$23:$GQ$23,MATCH(65,$B$29:$GQ$29,0))</f>
        <v/>
      </c>
      <c r="BO9">
        <f>INDEX($B$23:$GQ$23,MATCH(66,$B$29:$GQ$29,0))</f>
        <v/>
      </c>
      <c r="BP9">
        <f>INDEX($B$23:$GQ$23,MATCH(67,$B$29:$GQ$29,0))</f>
        <v/>
      </c>
      <c r="BQ9">
        <f>INDEX($B$23:$GQ$23,MATCH(68,$B$29:$GQ$29,0))</f>
        <v/>
      </c>
      <c r="BR9">
        <f>INDEX($B$23:$GQ$23,MATCH(69,$B$29:$GQ$29,0))</f>
        <v/>
      </c>
      <c r="BS9">
        <f>INDEX($B$23:$GQ$23,MATCH(70,$B$29:$GQ$29,0))</f>
        <v/>
      </c>
      <c r="BT9">
        <f>INDEX($B$23:$GQ$23,MATCH(71,$B$29:$GQ$29,0))</f>
        <v/>
      </c>
      <c r="BU9">
        <f>INDEX($B$23:$GQ$23,MATCH(72,$B$29:$GQ$29,0))</f>
        <v/>
      </c>
      <c r="BV9">
        <f>INDEX($B$23:$GQ$23,MATCH(73,$B$29:$GQ$29,0))</f>
        <v/>
      </c>
      <c r="BW9">
        <f>INDEX($B$23:$GQ$23,MATCH(74,$B$29:$GQ$29,0))</f>
        <v/>
      </c>
      <c r="BX9">
        <f>INDEX($B$23:$GQ$23,MATCH(75,$B$29:$GQ$29,0))</f>
        <v/>
      </c>
      <c r="BY9">
        <f>INDEX($B$23:$GQ$23,MATCH(76,$B$29:$GQ$29,0))</f>
        <v/>
      </c>
      <c r="BZ9">
        <f>INDEX($B$23:$GQ$23,MATCH(77,$B$29:$GQ$29,0))</f>
        <v/>
      </c>
      <c r="CA9">
        <f>INDEX($B$23:$GQ$23,MATCH(78,$B$29:$GQ$29,0))</f>
        <v/>
      </c>
      <c r="CB9">
        <f>INDEX($B$23:$GQ$23,MATCH(79,$B$29:$GQ$29,0))</f>
        <v/>
      </c>
      <c r="CC9">
        <f>INDEX($B$23:$GQ$23,MATCH(80,$B$29:$GQ$29,0))</f>
        <v/>
      </c>
      <c r="CD9">
        <f>INDEX($B$23:$GQ$23,MATCH(81,$B$29:$GQ$29,0))</f>
        <v/>
      </c>
      <c r="CE9">
        <f>INDEX($B$23:$GQ$23,MATCH(82,$B$29:$GQ$29,0))</f>
        <v/>
      </c>
      <c r="CF9">
        <f>INDEX($B$23:$GQ$23,MATCH(83,$B$29:$GQ$29,0))</f>
        <v/>
      </c>
      <c r="CG9">
        <f>INDEX($B$23:$GQ$23,MATCH(84,$B$29:$GQ$29,0))</f>
        <v/>
      </c>
      <c r="CH9">
        <f>INDEX($B$23:$GQ$23,MATCH(85,$B$29:$GQ$29,0))</f>
        <v/>
      </c>
      <c r="CI9">
        <f>INDEX($B$23:$GQ$23,MATCH(86,$B$29:$GQ$29,0))</f>
        <v/>
      </c>
      <c r="CJ9">
        <f>INDEX($B$23:$GQ$23,MATCH(87,$B$29:$GQ$29,0))</f>
        <v/>
      </c>
      <c r="CK9">
        <f>INDEX($B$23:$GQ$23,MATCH(88,$B$29:$GQ$29,0))</f>
        <v/>
      </c>
      <c r="CL9">
        <f>INDEX($B$23:$GQ$23,MATCH(89,$B$29:$GQ$29,0))</f>
        <v/>
      </c>
      <c r="CM9">
        <f>INDEX($B$23:$GQ$23,MATCH(90,$B$29:$GQ$29,0))</f>
        <v/>
      </c>
      <c r="CN9">
        <f>INDEX($B$23:$GQ$23,MATCH(91,$B$29:$GQ$29,0))</f>
        <v/>
      </c>
      <c r="CO9">
        <f>INDEX($B$23:$GQ$23,MATCH(92,$B$29:$GQ$29,0))</f>
        <v/>
      </c>
      <c r="CP9">
        <f>INDEX($B$23:$GQ$23,MATCH(93,$B$29:$GQ$29,0))</f>
        <v/>
      </c>
      <c r="CQ9">
        <f>INDEX($B$23:$GQ$23,MATCH(94,$B$29:$GQ$29,0))</f>
        <v/>
      </c>
      <c r="CR9">
        <f>INDEX($B$23:$GQ$23,MATCH(95,$B$29:$GQ$29,0))</f>
        <v/>
      </c>
      <c r="CS9">
        <f>INDEX($B$23:$GQ$23,MATCH(96,$B$29:$GQ$29,0))</f>
        <v/>
      </c>
      <c r="CT9">
        <f>INDEX($B$23:$GQ$23,MATCH(97,$B$29:$GQ$29,0))</f>
        <v/>
      </c>
      <c r="CU9">
        <f>INDEX($B$23:$GQ$23,MATCH(98,$B$29:$GQ$29,0))</f>
        <v/>
      </c>
      <c r="CV9">
        <f>INDEX($B$23:$GQ$23,MATCH(99,$B$29:$GQ$29,0))</f>
        <v/>
      </c>
      <c r="CW9">
        <f>INDEX($B$23:$GQ$23,MATCH(100,$B$29:$GQ$29,0))</f>
        <v/>
      </c>
      <c r="CX9">
        <f>INDEX($B$23:$GQ$23,MATCH(101,$B$29:$GQ$29,0))</f>
        <v/>
      </c>
      <c r="CY9">
        <f>INDEX($B$23:$GQ$23,MATCH(102,$B$29:$GQ$29,0))</f>
        <v/>
      </c>
      <c r="CZ9">
        <f>INDEX($B$23:$GQ$23,MATCH(103,$B$29:$GQ$29,0))</f>
        <v/>
      </c>
      <c r="DA9">
        <f>INDEX($B$23:$GQ$23,MATCH(104,$B$29:$GQ$29,0))</f>
        <v/>
      </c>
      <c r="DB9">
        <f>INDEX($B$23:$GQ$23,MATCH(105,$B$29:$GQ$29,0))</f>
        <v/>
      </c>
      <c r="DC9">
        <f>INDEX($B$23:$GQ$23,MATCH(106,$B$29:$GQ$29,0))</f>
        <v/>
      </c>
      <c r="DD9">
        <f>INDEX($B$23:$GQ$23,MATCH(107,$B$29:$GQ$29,0))</f>
        <v/>
      </c>
      <c r="DE9">
        <f>INDEX($B$23:$GQ$23,MATCH(108,$B$29:$GQ$29,0))</f>
        <v/>
      </c>
      <c r="DF9">
        <f>INDEX($B$23:$GQ$23,MATCH(109,$B$29:$GQ$29,0))</f>
        <v/>
      </c>
      <c r="DG9">
        <f>INDEX($B$23:$GQ$23,MATCH(110,$B$29:$GQ$29,0))</f>
        <v/>
      </c>
      <c r="DH9">
        <f>INDEX($B$23:$GQ$23,MATCH(111,$B$29:$GQ$29,0))</f>
        <v/>
      </c>
      <c r="DI9">
        <f>INDEX($B$23:$GQ$23,MATCH(112,$B$29:$GQ$29,0))</f>
        <v/>
      </c>
      <c r="DJ9">
        <f>INDEX($B$23:$GQ$23,MATCH(113,$B$29:$GQ$29,0))</f>
        <v/>
      </c>
      <c r="DK9">
        <f>INDEX($B$23:$GQ$23,MATCH(114,$B$29:$GQ$29,0))</f>
        <v/>
      </c>
      <c r="DL9">
        <f>INDEX($B$23:$GQ$23,MATCH(115,$B$29:$GQ$29,0))</f>
        <v/>
      </c>
      <c r="DM9">
        <f>INDEX($B$23:$GQ$23,MATCH(116,$B$29:$GQ$29,0))</f>
        <v/>
      </c>
      <c r="DN9">
        <f>INDEX($B$23:$GQ$23,MATCH(117,$B$29:$GQ$29,0))</f>
        <v/>
      </c>
      <c r="DO9">
        <f>INDEX($B$23:$GQ$23,MATCH(118,$B$29:$GQ$29,0))</f>
        <v/>
      </c>
      <c r="DP9">
        <f>INDEX($B$23:$GQ$23,MATCH(119,$B$29:$GQ$29,0))</f>
        <v/>
      </c>
      <c r="DQ9">
        <f>INDEX($B$23:$GQ$23,MATCH(120,$B$29:$GQ$29,0))</f>
        <v/>
      </c>
      <c r="DR9">
        <f>INDEX($B$23:$GQ$23,MATCH(121,$B$29:$GQ$29,0))</f>
        <v/>
      </c>
      <c r="DS9">
        <f>INDEX($B$23:$GQ$23,MATCH(122,$B$29:$GQ$29,0))</f>
        <v/>
      </c>
      <c r="DT9">
        <f>INDEX($B$23:$GQ$23,MATCH(123,$B$29:$GQ$29,0))</f>
        <v/>
      </c>
      <c r="DU9">
        <f>INDEX($B$23:$GQ$23,MATCH(124,$B$29:$GQ$29,0))</f>
        <v/>
      </c>
      <c r="DV9">
        <f>INDEX($B$23:$GQ$23,MATCH(125,$B$29:$GQ$29,0))</f>
        <v/>
      </c>
      <c r="DW9">
        <f>INDEX($B$23:$GQ$23,MATCH(126,$B$29:$GQ$29,0))</f>
        <v/>
      </c>
      <c r="DX9">
        <f>INDEX($B$23:$GQ$23,MATCH(127,$B$29:$GQ$29,0))</f>
        <v/>
      </c>
      <c r="DY9">
        <f>INDEX($B$23:$GQ$23,MATCH(128,$B$29:$GQ$29,0))</f>
        <v/>
      </c>
      <c r="DZ9">
        <f>INDEX($B$23:$GQ$23,MATCH(129,$B$29:$GQ$29,0))</f>
        <v/>
      </c>
      <c r="EA9">
        <f>INDEX($B$23:$GQ$23,MATCH(130,$B$29:$GQ$29,0))</f>
        <v/>
      </c>
      <c r="EB9">
        <f>INDEX($B$23:$GQ$23,MATCH(131,$B$29:$GQ$29,0))</f>
        <v/>
      </c>
      <c r="EC9">
        <f>INDEX($B$23:$GQ$23,MATCH(132,$B$29:$GQ$29,0))</f>
        <v/>
      </c>
      <c r="ED9">
        <f>INDEX($B$23:$GQ$23,MATCH(133,$B$29:$GQ$29,0))</f>
        <v/>
      </c>
      <c r="EE9">
        <f>INDEX($B$23:$GQ$23,MATCH(134,$B$29:$GQ$29,0))</f>
        <v/>
      </c>
      <c r="EF9">
        <f>INDEX($B$23:$GQ$23,MATCH(135,$B$29:$GQ$29,0))</f>
        <v/>
      </c>
      <c r="EG9">
        <f>INDEX($B$23:$GQ$23,MATCH(136,$B$29:$GQ$29,0))</f>
        <v/>
      </c>
      <c r="EH9">
        <f>INDEX($B$23:$GQ$23,MATCH(137,$B$29:$GQ$29,0))</f>
        <v/>
      </c>
      <c r="EI9">
        <f>INDEX($B$23:$GQ$23,MATCH(138,$B$29:$GQ$29,0))</f>
        <v/>
      </c>
      <c r="EJ9">
        <f>INDEX($B$23:$GQ$23,MATCH(139,$B$29:$GQ$29,0))</f>
        <v/>
      </c>
      <c r="EK9">
        <f>INDEX($B$23:$GQ$23,MATCH(140,$B$29:$GQ$29,0))</f>
        <v/>
      </c>
      <c r="EL9">
        <f>INDEX($B$23:$GQ$23,MATCH(141,$B$29:$GQ$29,0))</f>
        <v/>
      </c>
      <c r="EM9">
        <f>INDEX($B$23:$GQ$23,MATCH(142,$B$29:$GQ$29,0))</f>
        <v/>
      </c>
      <c r="EN9">
        <f>INDEX($B$23:$GQ$23,MATCH(143,$B$29:$GQ$29,0))</f>
        <v/>
      </c>
      <c r="EO9">
        <f>INDEX($B$23:$GQ$23,MATCH(144,$B$29:$GQ$29,0))</f>
        <v/>
      </c>
      <c r="EP9">
        <f>INDEX($B$23:$GQ$23,MATCH(145,$B$29:$GQ$29,0))</f>
        <v/>
      </c>
      <c r="EQ9">
        <f>INDEX($B$23:$GQ$23,MATCH(146,$B$29:$GQ$29,0))</f>
        <v/>
      </c>
      <c r="ER9">
        <f>INDEX($B$23:$GQ$23,MATCH(147,$B$29:$GQ$29,0))</f>
        <v/>
      </c>
      <c r="ES9">
        <f>INDEX($B$23:$GQ$23,MATCH(148,$B$29:$GQ$29,0))</f>
        <v/>
      </c>
      <c r="ET9">
        <f>INDEX($B$23:$GQ$23,MATCH(149,$B$29:$GQ$29,0))</f>
        <v/>
      </c>
      <c r="EU9">
        <f>INDEX($B$23:$GQ$23,MATCH(150,$B$29:$GQ$29,0))</f>
        <v/>
      </c>
      <c r="EV9">
        <f>INDEX($B$23:$GQ$23,MATCH(151,$B$29:$GQ$29,0))</f>
        <v/>
      </c>
      <c r="EW9">
        <f>INDEX($B$23:$GQ$23,MATCH(152,$B$29:$GQ$29,0))</f>
        <v/>
      </c>
      <c r="EX9">
        <f>INDEX($B$23:$GQ$23,MATCH(153,$B$29:$GQ$29,0))</f>
        <v/>
      </c>
      <c r="EY9">
        <f>INDEX($B$23:$GQ$23,MATCH(154,$B$29:$GQ$29,0))</f>
        <v/>
      </c>
      <c r="EZ9">
        <f>INDEX($B$23:$GQ$23,MATCH(155,$B$29:$GQ$29,0))</f>
        <v/>
      </c>
      <c r="FA9">
        <f>INDEX($B$23:$GQ$23,MATCH(156,$B$29:$GQ$29,0))</f>
        <v/>
      </c>
      <c r="FB9">
        <f>INDEX($B$23:$GQ$23,MATCH(157,$B$29:$GQ$29,0))</f>
        <v/>
      </c>
      <c r="FC9">
        <f>INDEX($B$23:$GQ$23,MATCH(158,$B$29:$GQ$29,0))</f>
        <v/>
      </c>
      <c r="FD9">
        <f>INDEX($B$23:$GQ$23,MATCH(159,$B$29:$GQ$29,0))</f>
        <v/>
      </c>
      <c r="FE9">
        <f>INDEX($B$23:$GQ$23,MATCH(160,$B$29:$GQ$29,0))</f>
        <v/>
      </c>
      <c r="FF9">
        <f>INDEX($B$23:$GQ$23,MATCH(161,$B$29:$GQ$29,0))</f>
        <v/>
      </c>
      <c r="FG9">
        <f>INDEX($B$23:$GQ$23,MATCH(162,$B$29:$GQ$29,0))</f>
        <v/>
      </c>
      <c r="FH9">
        <f>INDEX($B$23:$GQ$23,MATCH(163,$B$29:$GQ$29,0))</f>
        <v/>
      </c>
      <c r="FI9">
        <f>INDEX($B$23:$GQ$23,MATCH(164,$B$29:$GQ$29,0))</f>
        <v/>
      </c>
      <c r="FJ9">
        <f>INDEX($B$23:$GQ$23,MATCH(165,$B$29:$GQ$29,0))</f>
        <v/>
      </c>
      <c r="FK9">
        <f>INDEX($B$23:$GQ$23,MATCH(166,$B$29:$GQ$29,0))</f>
        <v/>
      </c>
      <c r="FL9">
        <f>INDEX($B$23:$GQ$23,MATCH(167,$B$29:$GQ$29,0))</f>
        <v/>
      </c>
      <c r="FM9">
        <f>INDEX($B$23:$GQ$23,MATCH(168,$B$29:$GQ$29,0))</f>
        <v/>
      </c>
      <c r="FN9">
        <f>INDEX($B$23:$GQ$23,MATCH(169,$B$29:$GQ$29,0))</f>
        <v/>
      </c>
      <c r="FO9">
        <f>INDEX($B$23:$GQ$23,MATCH(170,$B$29:$GQ$29,0))</f>
        <v/>
      </c>
      <c r="FP9">
        <f>INDEX($B$23:$GQ$23,MATCH(171,$B$29:$GQ$29,0))</f>
        <v/>
      </c>
      <c r="FQ9">
        <f>INDEX($B$23:$GQ$23,MATCH(172,$B$29:$GQ$29,0))</f>
        <v/>
      </c>
      <c r="FR9">
        <f>INDEX($B$23:$GQ$23,MATCH(173,$B$29:$GQ$29,0))</f>
        <v/>
      </c>
      <c r="FS9">
        <f>INDEX($B$23:$GQ$23,MATCH(174,$B$29:$GQ$29,0))</f>
        <v/>
      </c>
      <c r="FT9">
        <f>INDEX($B$23:$GQ$23,MATCH(175,$B$29:$GQ$29,0))</f>
        <v/>
      </c>
      <c r="FU9">
        <f>INDEX($B$23:$GQ$23,MATCH(176,$B$29:$GQ$29,0))</f>
        <v/>
      </c>
      <c r="FV9">
        <f>INDEX($B$23:$GQ$23,MATCH(177,$B$29:$GQ$29,0))</f>
        <v/>
      </c>
      <c r="FW9">
        <f>INDEX($B$23:$GQ$23,MATCH(178,$B$29:$GQ$29,0))</f>
        <v/>
      </c>
      <c r="FX9">
        <f>INDEX($B$23:$GQ$23,MATCH(179,$B$29:$GQ$29,0))</f>
        <v/>
      </c>
      <c r="FY9">
        <f>INDEX($B$23:$GQ$23,MATCH(180,$B$29:$GQ$29,0))</f>
        <v/>
      </c>
      <c r="FZ9">
        <f>INDEX($B$23:$GQ$23,MATCH(181,$B$29:$GQ$29,0))</f>
        <v/>
      </c>
      <c r="GA9">
        <f>INDEX($B$23:$GQ$23,MATCH(182,$B$29:$GQ$29,0))</f>
        <v/>
      </c>
      <c r="GB9">
        <f>INDEX($B$23:$GQ$23,MATCH(183,$B$29:$GQ$29,0))</f>
        <v/>
      </c>
      <c r="GC9">
        <f>INDEX($B$23:$GQ$23,MATCH(184,$B$29:$GQ$29,0))</f>
        <v/>
      </c>
      <c r="GD9">
        <f>INDEX($B$23:$GQ$23,MATCH(185,$B$29:$GQ$29,0))</f>
        <v/>
      </c>
      <c r="GE9">
        <f>INDEX($B$23:$GQ$23,MATCH(186,$B$29:$GQ$29,0))</f>
        <v/>
      </c>
      <c r="GF9">
        <f>INDEX($B$23:$GQ$23,MATCH(187,$B$29:$GQ$29,0))</f>
        <v/>
      </c>
      <c r="GG9">
        <f>INDEX($B$23:$GQ$23,MATCH(188,$B$29:$GQ$29,0))</f>
        <v/>
      </c>
      <c r="GH9">
        <f>INDEX($B$23:$GQ$23,MATCH(189,$B$29:$GQ$29,0))</f>
        <v/>
      </c>
      <c r="GI9">
        <f>INDEX($B$23:$GQ$23,MATCH(190,$B$29:$GQ$29,0))</f>
        <v/>
      </c>
      <c r="GJ9">
        <f>INDEX($B$23:$GQ$23,MATCH(191,$B$29:$GQ$29,0))</f>
        <v/>
      </c>
      <c r="GK9">
        <f>INDEX($B$23:$GQ$23,MATCH(192,$B$29:$GQ$29,0))</f>
        <v/>
      </c>
      <c r="GL9">
        <f>INDEX($B$23:$GQ$23,MATCH(193,$B$29:$GQ$29,0))</f>
        <v/>
      </c>
      <c r="GM9">
        <f>INDEX($B$23:$GQ$23,MATCH(194,$B$29:$GQ$29,0))</f>
        <v/>
      </c>
      <c r="GN9">
        <f>INDEX($B$23:$GQ$23,MATCH(195,$B$29:$GQ$29,0))</f>
        <v/>
      </c>
      <c r="GO9">
        <f>INDEX($B$23:$GQ$23,MATCH(196,$B$29:$GQ$29,0))</f>
        <v/>
      </c>
      <c r="GP9">
        <f>INDEX($B$23:$GQ$23,MATCH(197,$B$29:$GQ$29,0))</f>
        <v/>
      </c>
      <c r="GQ9">
        <f>INDEX($B$23:$GQ$23,MATCH(198,$B$29:$GQ$29,0))</f>
        <v/>
      </c>
      <c r="GR9">
        <f>INDEX($GR$23:$HC$23,MATCH(1,$GR$30:$HC$30,0))</f>
        <v/>
      </c>
      <c r="GS9">
        <f>INDEX($GR$23:$HC$23,MATCH(2,$GR$30:$HC$30,0))</f>
        <v/>
      </c>
      <c r="GT9">
        <f>INDEX($GR$23:$HC$23,MATCH(3,$GR$30:$HC$30,0))</f>
        <v/>
      </c>
      <c r="GU9">
        <f>INDEX($GR$23:$HC$23,MATCH(4,$GR$30:$HC$30,0))</f>
        <v/>
      </c>
      <c r="GV9">
        <f>INDEX($GR$23:$HC$23,MATCH(5,$GR$30:$HC$30,0))</f>
        <v/>
      </c>
      <c r="GW9">
        <f>INDEX($GR$23:$HC$23,MATCH(6,$GR$30:$HC$30,0))</f>
        <v/>
      </c>
      <c r="GX9">
        <f>INDEX($GR$23:$HC$23,MATCH(7,$GR$30:$HC$30,0))</f>
        <v/>
      </c>
      <c r="GY9">
        <f>INDEX($GR$23:$HC$23,MATCH(8,$GR$30:$HC$30,0))</f>
        <v/>
      </c>
      <c r="GZ9">
        <f>INDEX($GR$23:$HC$23,MATCH(9,$GR$30:$HC$30,0))</f>
        <v/>
      </c>
      <c r="HA9">
        <f>INDEX($GR$23:$HC$23,MATCH(10,$GR$30:$HC$30,0))</f>
        <v/>
      </c>
      <c r="HB9">
        <f>INDEX($GR$23:$HC$23,MATCH(11,$GR$30:$HC$30,0))</f>
        <v/>
      </c>
      <c r="HC9">
        <f>INDEX($GR$23:$HC$23,MATCH(12,$GR$30:$HC$30,0))</f>
        <v/>
      </c>
    </row>
    <row r="10">
      <c r="A10" s="1" t="inlineStr">
        <is>
          <t>M_dom*Y_dom</t>
        </is>
      </c>
      <c r="B10">
        <f>INDEX($B$24:$GQ$24,MATCH(1,$B$29:$GQ$29,0))</f>
        <v/>
      </c>
      <c r="C10">
        <f>INDEX($B$24:$GQ$24,MATCH(2,$B$29:$GQ$29,0))</f>
        <v/>
      </c>
      <c r="D10">
        <f>INDEX($B$24:$GQ$24,MATCH(3,$B$29:$GQ$29,0))</f>
        <v/>
      </c>
      <c r="E10">
        <f>INDEX($B$24:$GQ$24,MATCH(4,$B$29:$GQ$29,0))</f>
        <v/>
      </c>
      <c r="F10">
        <f>INDEX($B$24:$GQ$24,MATCH(5,$B$29:$GQ$29,0))</f>
        <v/>
      </c>
      <c r="G10">
        <f>INDEX($B$24:$GQ$24,MATCH(6,$B$29:$GQ$29,0))</f>
        <v/>
      </c>
      <c r="H10">
        <f>INDEX($B$24:$GQ$24,MATCH(7,$B$29:$GQ$29,0))</f>
        <v/>
      </c>
      <c r="I10">
        <f>INDEX($B$24:$GQ$24,MATCH(8,$B$29:$GQ$29,0))</f>
        <v/>
      </c>
      <c r="J10">
        <f>INDEX($B$24:$GQ$24,MATCH(9,$B$29:$GQ$29,0))</f>
        <v/>
      </c>
      <c r="K10">
        <f>INDEX($B$24:$GQ$24,MATCH(10,$B$29:$GQ$29,0))</f>
        <v/>
      </c>
      <c r="L10">
        <f>INDEX($B$24:$GQ$24,MATCH(11,$B$29:$GQ$29,0))</f>
        <v/>
      </c>
      <c r="M10">
        <f>INDEX($B$24:$GQ$24,MATCH(12,$B$29:$GQ$29,0))</f>
        <v/>
      </c>
      <c r="N10">
        <f>INDEX($B$24:$GQ$24,MATCH(13,$B$29:$GQ$29,0))</f>
        <v/>
      </c>
      <c r="O10">
        <f>INDEX($B$24:$GQ$24,MATCH(14,$B$29:$GQ$29,0))</f>
        <v/>
      </c>
      <c r="P10">
        <f>INDEX($B$24:$GQ$24,MATCH(15,$B$29:$GQ$29,0))</f>
        <v/>
      </c>
      <c r="Q10">
        <f>INDEX($B$24:$GQ$24,MATCH(16,$B$29:$GQ$29,0))</f>
        <v/>
      </c>
      <c r="R10">
        <f>INDEX($B$24:$GQ$24,MATCH(17,$B$29:$GQ$29,0))</f>
        <v/>
      </c>
      <c r="S10">
        <f>INDEX($B$24:$GQ$24,MATCH(18,$B$29:$GQ$29,0))</f>
        <v/>
      </c>
      <c r="T10">
        <f>INDEX($B$24:$GQ$24,MATCH(19,$B$29:$GQ$29,0))</f>
        <v/>
      </c>
      <c r="U10">
        <f>INDEX($B$24:$GQ$24,MATCH(20,$B$29:$GQ$29,0))</f>
        <v/>
      </c>
      <c r="V10">
        <f>INDEX($B$24:$GQ$24,MATCH(21,$B$29:$GQ$29,0))</f>
        <v/>
      </c>
      <c r="W10">
        <f>INDEX($B$24:$GQ$24,MATCH(22,$B$29:$GQ$29,0))</f>
        <v/>
      </c>
      <c r="X10">
        <f>INDEX($B$24:$GQ$24,MATCH(23,$B$29:$GQ$29,0))</f>
        <v/>
      </c>
      <c r="Y10">
        <f>INDEX($B$24:$GQ$24,MATCH(24,$B$29:$GQ$29,0))</f>
        <v/>
      </c>
      <c r="Z10">
        <f>INDEX($B$24:$GQ$24,MATCH(25,$B$29:$GQ$29,0))</f>
        <v/>
      </c>
      <c r="AA10">
        <f>INDEX($B$24:$GQ$24,MATCH(26,$B$29:$GQ$29,0))</f>
        <v/>
      </c>
      <c r="AB10">
        <f>INDEX($B$24:$GQ$24,MATCH(27,$B$29:$GQ$29,0))</f>
        <v/>
      </c>
      <c r="AC10">
        <f>INDEX($B$24:$GQ$24,MATCH(28,$B$29:$GQ$29,0))</f>
        <v/>
      </c>
      <c r="AD10">
        <f>INDEX($B$24:$GQ$24,MATCH(29,$B$29:$GQ$29,0))</f>
        <v/>
      </c>
      <c r="AE10">
        <f>INDEX($B$24:$GQ$24,MATCH(30,$B$29:$GQ$29,0))</f>
        <v/>
      </c>
      <c r="AF10">
        <f>INDEX($B$24:$GQ$24,MATCH(31,$B$29:$GQ$29,0))</f>
        <v/>
      </c>
      <c r="AG10">
        <f>INDEX($B$24:$GQ$24,MATCH(32,$B$29:$GQ$29,0))</f>
        <v/>
      </c>
      <c r="AH10">
        <f>INDEX($B$24:$GQ$24,MATCH(33,$B$29:$GQ$29,0))</f>
        <v/>
      </c>
      <c r="AI10">
        <f>INDEX($B$24:$GQ$24,MATCH(34,$B$29:$GQ$29,0))</f>
        <v/>
      </c>
      <c r="AJ10">
        <f>INDEX($B$24:$GQ$24,MATCH(35,$B$29:$GQ$29,0))</f>
        <v/>
      </c>
      <c r="AK10">
        <f>INDEX($B$24:$GQ$24,MATCH(36,$B$29:$GQ$29,0))</f>
        <v/>
      </c>
      <c r="AL10">
        <f>INDEX($B$24:$GQ$24,MATCH(37,$B$29:$GQ$29,0))</f>
        <v/>
      </c>
      <c r="AM10">
        <f>INDEX($B$24:$GQ$24,MATCH(38,$B$29:$GQ$29,0))</f>
        <v/>
      </c>
      <c r="AN10">
        <f>INDEX($B$24:$GQ$24,MATCH(39,$B$29:$GQ$29,0))</f>
        <v/>
      </c>
      <c r="AO10">
        <f>INDEX($B$24:$GQ$24,MATCH(40,$B$29:$GQ$29,0))</f>
        <v/>
      </c>
      <c r="AP10">
        <f>INDEX($B$24:$GQ$24,MATCH(41,$B$29:$GQ$29,0))</f>
        <v/>
      </c>
      <c r="AQ10">
        <f>INDEX($B$24:$GQ$24,MATCH(42,$B$29:$GQ$29,0))</f>
        <v/>
      </c>
      <c r="AR10">
        <f>INDEX($B$24:$GQ$24,MATCH(43,$B$29:$GQ$29,0))</f>
        <v/>
      </c>
      <c r="AS10">
        <f>INDEX($B$24:$GQ$24,MATCH(44,$B$29:$GQ$29,0))</f>
        <v/>
      </c>
      <c r="AT10">
        <f>INDEX($B$24:$GQ$24,MATCH(45,$B$29:$GQ$29,0))</f>
        <v/>
      </c>
      <c r="AU10">
        <f>INDEX($B$24:$GQ$24,MATCH(46,$B$29:$GQ$29,0))</f>
        <v/>
      </c>
      <c r="AV10">
        <f>INDEX($B$24:$GQ$24,MATCH(47,$B$29:$GQ$29,0))</f>
        <v/>
      </c>
      <c r="AW10">
        <f>INDEX($B$24:$GQ$24,MATCH(48,$B$29:$GQ$29,0))</f>
        <v/>
      </c>
      <c r="AX10">
        <f>INDEX($B$24:$GQ$24,MATCH(49,$B$29:$GQ$29,0))</f>
        <v/>
      </c>
      <c r="AY10">
        <f>INDEX($B$24:$GQ$24,MATCH(50,$B$29:$GQ$29,0))</f>
        <v/>
      </c>
      <c r="AZ10">
        <f>INDEX($B$24:$GQ$24,MATCH(51,$B$29:$GQ$29,0))</f>
        <v/>
      </c>
      <c r="BA10">
        <f>INDEX($B$24:$GQ$24,MATCH(52,$B$29:$GQ$29,0))</f>
        <v/>
      </c>
      <c r="BB10">
        <f>INDEX($B$24:$GQ$24,MATCH(53,$B$29:$GQ$29,0))</f>
        <v/>
      </c>
      <c r="BC10">
        <f>INDEX($B$24:$GQ$24,MATCH(54,$B$29:$GQ$29,0))</f>
        <v/>
      </c>
      <c r="BD10">
        <f>INDEX($B$24:$GQ$24,MATCH(55,$B$29:$GQ$29,0))</f>
        <v/>
      </c>
      <c r="BE10">
        <f>INDEX($B$24:$GQ$24,MATCH(56,$B$29:$GQ$29,0))</f>
        <v/>
      </c>
      <c r="BF10">
        <f>INDEX($B$24:$GQ$24,MATCH(57,$B$29:$GQ$29,0))</f>
        <v/>
      </c>
      <c r="BG10">
        <f>INDEX($B$24:$GQ$24,MATCH(58,$B$29:$GQ$29,0))</f>
        <v/>
      </c>
      <c r="BH10">
        <f>INDEX($B$24:$GQ$24,MATCH(59,$B$29:$GQ$29,0))</f>
        <v/>
      </c>
      <c r="BI10">
        <f>INDEX($B$24:$GQ$24,MATCH(60,$B$29:$GQ$29,0))</f>
        <v/>
      </c>
      <c r="BJ10">
        <f>INDEX($B$24:$GQ$24,MATCH(61,$B$29:$GQ$29,0))</f>
        <v/>
      </c>
      <c r="BK10">
        <f>INDEX($B$24:$GQ$24,MATCH(62,$B$29:$GQ$29,0))</f>
        <v/>
      </c>
      <c r="BL10">
        <f>INDEX($B$24:$GQ$24,MATCH(63,$B$29:$GQ$29,0))</f>
        <v/>
      </c>
      <c r="BM10">
        <f>INDEX($B$24:$GQ$24,MATCH(64,$B$29:$GQ$29,0))</f>
        <v/>
      </c>
      <c r="BN10">
        <f>INDEX($B$24:$GQ$24,MATCH(65,$B$29:$GQ$29,0))</f>
        <v/>
      </c>
      <c r="BO10">
        <f>INDEX($B$24:$GQ$24,MATCH(66,$B$29:$GQ$29,0))</f>
        <v/>
      </c>
      <c r="BP10">
        <f>INDEX($B$24:$GQ$24,MATCH(67,$B$29:$GQ$29,0))</f>
        <v/>
      </c>
      <c r="BQ10">
        <f>INDEX($B$24:$GQ$24,MATCH(68,$B$29:$GQ$29,0))</f>
        <v/>
      </c>
      <c r="BR10">
        <f>INDEX($B$24:$GQ$24,MATCH(69,$B$29:$GQ$29,0))</f>
        <v/>
      </c>
      <c r="BS10">
        <f>INDEX($B$24:$GQ$24,MATCH(70,$B$29:$GQ$29,0))</f>
        <v/>
      </c>
      <c r="BT10">
        <f>INDEX($B$24:$GQ$24,MATCH(71,$B$29:$GQ$29,0))</f>
        <v/>
      </c>
      <c r="BU10">
        <f>INDEX($B$24:$GQ$24,MATCH(72,$B$29:$GQ$29,0))</f>
        <v/>
      </c>
      <c r="BV10">
        <f>INDEX($B$24:$GQ$24,MATCH(73,$B$29:$GQ$29,0))</f>
        <v/>
      </c>
      <c r="BW10">
        <f>INDEX($B$24:$GQ$24,MATCH(74,$B$29:$GQ$29,0))</f>
        <v/>
      </c>
      <c r="BX10">
        <f>INDEX($B$24:$GQ$24,MATCH(75,$B$29:$GQ$29,0))</f>
        <v/>
      </c>
      <c r="BY10">
        <f>INDEX($B$24:$GQ$24,MATCH(76,$B$29:$GQ$29,0))</f>
        <v/>
      </c>
      <c r="BZ10">
        <f>INDEX($B$24:$GQ$24,MATCH(77,$B$29:$GQ$29,0))</f>
        <v/>
      </c>
      <c r="CA10">
        <f>INDEX($B$24:$GQ$24,MATCH(78,$B$29:$GQ$29,0))</f>
        <v/>
      </c>
      <c r="CB10">
        <f>INDEX($B$24:$GQ$24,MATCH(79,$B$29:$GQ$29,0))</f>
        <v/>
      </c>
      <c r="CC10">
        <f>INDEX($B$24:$GQ$24,MATCH(80,$B$29:$GQ$29,0))</f>
        <v/>
      </c>
      <c r="CD10">
        <f>INDEX($B$24:$GQ$24,MATCH(81,$B$29:$GQ$29,0))</f>
        <v/>
      </c>
      <c r="CE10">
        <f>INDEX($B$24:$GQ$24,MATCH(82,$B$29:$GQ$29,0))</f>
        <v/>
      </c>
      <c r="CF10">
        <f>INDEX($B$24:$GQ$24,MATCH(83,$B$29:$GQ$29,0))</f>
        <v/>
      </c>
      <c r="CG10">
        <f>INDEX($B$24:$GQ$24,MATCH(84,$B$29:$GQ$29,0))</f>
        <v/>
      </c>
      <c r="CH10">
        <f>INDEX($B$24:$GQ$24,MATCH(85,$B$29:$GQ$29,0))</f>
        <v/>
      </c>
      <c r="CI10">
        <f>INDEX($B$24:$GQ$24,MATCH(86,$B$29:$GQ$29,0))</f>
        <v/>
      </c>
      <c r="CJ10">
        <f>INDEX($B$24:$GQ$24,MATCH(87,$B$29:$GQ$29,0))</f>
        <v/>
      </c>
      <c r="CK10">
        <f>INDEX($B$24:$GQ$24,MATCH(88,$B$29:$GQ$29,0))</f>
        <v/>
      </c>
      <c r="CL10">
        <f>INDEX($B$24:$GQ$24,MATCH(89,$B$29:$GQ$29,0))</f>
        <v/>
      </c>
      <c r="CM10">
        <f>INDEX($B$24:$GQ$24,MATCH(90,$B$29:$GQ$29,0))</f>
        <v/>
      </c>
      <c r="CN10">
        <f>INDEX($B$24:$GQ$24,MATCH(91,$B$29:$GQ$29,0))</f>
        <v/>
      </c>
      <c r="CO10">
        <f>INDEX($B$24:$GQ$24,MATCH(92,$B$29:$GQ$29,0))</f>
        <v/>
      </c>
      <c r="CP10">
        <f>INDEX($B$24:$GQ$24,MATCH(93,$B$29:$GQ$29,0))</f>
        <v/>
      </c>
      <c r="CQ10">
        <f>INDEX($B$24:$GQ$24,MATCH(94,$B$29:$GQ$29,0))</f>
        <v/>
      </c>
      <c r="CR10">
        <f>INDEX($B$24:$GQ$24,MATCH(95,$B$29:$GQ$29,0))</f>
        <v/>
      </c>
      <c r="CS10">
        <f>INDEX($B$24:$GQ$24,MATCH(96,$B$29:$GQ$29,0))</f>
        <v/>
      </c>
      <c r="CT10">
        <f>INDEX($B$24:$GQ$24,MATCH(97,$B$29:$GQ$29,0))</f>
        <v/>
      </c>
      <c r="CU10">
        <f>INDEX($B$24:$GQ$24,MATCH(98,$B$29:$GQ$29,0))</f>
        <v/>
      </c>
      <c r="CV10">
        <f>INDEX($B$24:$GQ$24,MATCH(99,$B$29:$GQ$29,0))</f>
        <v/>
      </c>
      <c r="CW10">
        <f>INDEX($B$24:$GQ$24,MATCH(100,$B$29:$GQ$29,0))</f>
        <v/>
      </c>
      <c r="CX10">
        <f>INDEX($B$24:$GQ$24,MATCH(101,$B$29:$GQ$29,0))</f>
        <v/>
      </c>
      <c r="CY10">
        <f>INDEX($B$24:$GQ$24,MATCH(102,$B$29:$GQ$29,0))</f>
        <v/>
      </c>
      <c r="CZ10">
        <f>INDEX($B$24:$GQ$24,MATCH(103,$B$29:$GQ$29,0))</f>
        <v/>
      </c>
      <c r="DA10">
        <f>INDEX($B$24:$GQ$24,MATCH(104,$B$29:$GQ$29,0))</f>
        <v/>
      </c>
      <c r="DB10">
        <f>INDEX($B$24:$GQ$24,MATCH(105,$B$29:$GQ$29,0))</f>
        <v/>
      </c>
      <c r="DC10">
        <f>INDEX($B$24:$GQ$24,MATCH(106,$B$29:$GQ$29,0))</f>
        <v/>
      </c>
      <c r="DD10">
        <f>INDEX($B$24:$GQ$24,MATCH(107,$B$29:$GQ$29,0))</f>
        <v/>
      </c>
      <c r="DE10">
        <f>INDEX($B$24:$GQ$24,MATCH(108,$B$29:$GQ$29,0))</f>
        <v/>
      </c>
      <c r="DF10">
        <f>INDEX($B$24:$GQ$24,MATCH(109,$B$29:$GQ$29,0))</f>
        <v/>
      </c>
      <c r="DG10">
        <f>INDEX($B$24:$GQ$24,MATCH(110,$B$29:$GQ$29,0))</f>
        <v/>
      </c>
      <c r="DH10">
        <f>INDEX($B$24:$GQ$24,MATCH(111,$B$29:$GQ$29,0))</f>
        <v/>
      </c>
      <c r="DI10">
        <f>INDEX($B$24:$GQ$24,MATCH(112,$B$29:$GQ$29,0))</f>
        <v/>
      </c>
      <c r="DJ10">
        <f>INDEX($B$24:$GQ$24,MATCH(113,$B$29:$GQ$29,0))</f>
        <v/>
      </c>
      <c r="DK10">
        <f>INDEX($B$24:$GQ$24,MATCH(114,$B$29:$GQ$29,0))</f>
        <v/>
      </c>
      <c r="DL10">
        <f>INDEX($B$24:$GQ$24,MATCH(115,$B$29:$GQ$29,0))</f>
        <v/>
      </c>
      <c r="DM10">
        <f>INDEX($B$24:$GQ$24,MATCH(116,$B$29:$GQ$29,0))</f>
        <v/>
      </c>
      <c r="DN10">
        <f>INDEX($B$24:$GQ$24,MATCH(117,$B$29:$GQ$29,0))</f>
        <v/>
      </c>
      <c r="DO10">
        <f>INDEX($B$24:$GQ$24,MATCH(118,$B$29:$GQ$29,0))</f>
        <v/>
      </c>
      <c r="DP10">
        <f>INDEX($B$24:$GQ$24,MATCH(119,$B$29:$GQ$29,0))</f>
        <v/>
      </c>
      <c r="DQ10">
        <f>INDEX($B$24:$GQ$24,MATCH(120,$B$29:$GQ$29,0))</f>
        <v/>
      </c>
      <c r="DR10">
        <f>INDEX($B$24:$GQ$24,MATCH(121,$B$29:$GQ$29,0))</f>
        <v/>
      </c>
      <c r="DS10">
        <f>INDEX($B$24:$GQ$24,MATCH(122,$B$29:$GQ$29,0))</f>
        <v/>
      </c>
      <c r="DT10">
        <f>INDEX($B$24:$GQ$24,MATCH(123,$B$29:$GQ$29,0))</f>
        <v/>
      </c>
      <c r="DU10">
        <f>INDEX($B$24:$GQ$24,MATCH(124,$B$29:$GQ$29,0))</f>
        <v/>
      </c>
      <c r="DV10">
        <f>INDEX($B$24:$GQ$24,MATCH(125,$B$29:$GQ$29,0))</f>
        <v/>
      </c>
      <c r="DW10">
        <f>INDEX($B$24:$GQ$24,MATCH(126,$B$29:$GQ$29,0))</f>
        <v/>
      </c>
      <c r="DX10">
        <f>INDEX($B$24:$GQ$24,MATCH(127,$B$29:$GQ$29,0))</f>
        <v/>
      </c>
      <c r="DY10">
        <f>INDEX($B$24:$GQ$24,MATCH(128,$B$29:$GQ$29,0))</f>
        <v/>
      </c>
      <c r="DZ10">
        <f>INDEX($B$24:$GQ$24,MATCH(129,$B$29:$GQ$29,0))</f>
        <v/>
      </c>
      <c r="EA10">
        <f>INDEX($B$24:$GQ$24,MATCH(130,$B$29:$GQ$29,0))</f>
        <v/>
      </c>
      <c r="EB10">
        <f>INDEX($B$24:$GQ$24,MATCH(131,$B$29:$GQ$29,0))</f>
        <v/>
      </c>
      <c r="EC10">
        <f>INDEX($B$24:$GQ$24,MATCH(132,$B$29:$GQ$29,0))</f>
        <v/>
      </c>
      <c r="ED10">
        <f>INDEX($B$24:$GQ$24,MATCH(133,$B$29:$GQ$29,0))</f>
        <v/>
      </c>
      <c r="EE10">
        <f>INDEX($B$24:$GQ$24,MATCH(134,$B$29:$GQ$29,0))</f>
        <v/>
      </c>
      <c r="EF10">
        <f>INDEX($B$24:$GQ$24,MATCH(135,$B$29:$GQ$29,0))</f>
        <v/>
      </c>
      <c r="EG10">
        <f>INDEX($B$24:$GQ$24,MATCH(136,$B$29:$GQ$29,0))</f>
        <v/>
      </c>
      <c r="EH10">
        <f>INDEX($B$24:$GQ$24,MATCH(137,$B$29:$GQ$29,0))</f>
        <v/>
      </c>
      <c r="EI10">
        <f>INDEX($B$24:$GQ$24,MATCH(138,$B$29:$GQ$29,0))</f>
        <v/>
      </c>
      <c r="EJ10">
        <f>INDEX($B$24:$GQ$24,MATCH(139,$B$29:$GQ$29,0))</f>
        <v/>
      </c>
      <c r="EK10">
        <f>INDEX($B$24:$GQ$24,MATCH(140,$B$29:$GQ$29,0))</f>
        <v/>
      </c>
      <c r="EL10">
        <f>INDEX($B$24:$GQ$24,MATCH(141,$B$29:$GQ$29,0))</f>
        <v/>
      </c>
      <c r="EM10">
        <f>INDEX($B$24:$GQ$24,MATCH(142,$B$29:$GQ$29,0))</f>
        <v/>
      </c>
      <c r="EN10">
        <f>INDEX($B$24:$GQ$24,MATCH(143,$B$29:$GQ$29,0))</f>
        <v/>
      </c>
      <c r="EO10">
        <f>INDEX($B$24:$GQ$24,MATCH(144,$B$29:$GQ$29,0))</f>
        <v/>
      </c>
      <c r="EP10">
        <f>INDEX($B$24:$GQ$24,MATCH(145,$B$29:$GQ$29,0))</f>
        <v/>
      </c>
      <c r="EQ10">
        <f>INDEX($B$24:$GQ$24,MATCH(146,$B$29:$GQ$29,0))</f>
        <v/>
      </c>
      <c r="ER10">
        <f>INDEX($B$24:$GQ$24,MATCH(147,$B$29:$GQ$29,0))</f>
        <v/>
      </c>
      <c r="ES10">
        <f>INDEX($B$24:$GQ$24,MATCH(148,$B$29:$GQ$29,0))</f>
        <v/>
      </c>
      <c r="ET10">
        <f>INDEX($B$24:$GQ$24,MATCH(149,$B$29:$GQ$29,0))</f>
        <v/>
      </c>
      <c r="EU10">
        <f>INDEX($B$24:$GQ$24,MATCH(150,$B$29:$GQ$29,0))</f>
        <v/>
      </c>
      <c r="EV10">
        <f>INDEX($B$24:$GQ$24,MATCH(151,$B$29:$GQ$29,0))</f>
        <v/>
      </c>
      <c r="EW10">
        <f>INDEX($B$24:$GQ$24,MATCH(152,$B$29:$GQ$29,0))</f>
        <v/>
      </c>
      <c r="EX10">
        <f>INDEX($B$24:$GQ$24,MATCH(153,$B$29:$GQ$29,0))</f>
        <v/>
      </c>
      <c r="EY10">
        <f>INDEX($B$24:$GQ$24,MATCH(154,$B$29:$GQ$29,0))</f>
        <v/>
      </c>
      <c r="EZ10">
        <f>INDEX($B$24:$GQ$24,MATCH(155,$B$29:$GQ$29,0))</f>
        <v/>
      </c>
      <c r="FA10">
        <f>INDEX($B$24:$GQ$24,MATCH(156,$B$29:$GQ$29,0))</f>
        <v/>
      </c>
      <c r="FB10">
        <f>INDEX($B$24:$GQ$24,MATCH(157,$B$29:$GQ$29,0))</f>
        <v/>
      </c>
      <c r="FC10">
        <f>INDEX($B$24:$GQ$24,MATCH(158,$B$29:$GQ$29,0))</f>
        <v/>
      </c>
      <c r="FD10">
        <f>INDEX($B$24:$GQ$24,MATCH(159,$B$29:$GQ$29,0))</f>
        <v/>
      </c>
      <c r="FE10">
        <f>INDEX($B$24:$GQ$24,MATCH(160,$B$29:$GQ$29,0))</f>
        <v/>
      </c>
      <c r="FF10">
        <f>INDEX($B$24:$GQ$24,MATCH(161,$B$29:$GQ$29,0))</f>
        <v/>
      </c>
      <c r="FG10">
        <f>INDEX($B$24:$GQ$24,MATCH(162,$B$29:$GQ$29,0))</f>
        <v/>
      </c>
      <c r="FH10">
        <f>INDEX($B$24:$GQ$24,MATCH(163,$B$29:$GQ$29,0))</f>
        <v/>
      </c>
      <c r="FI10">
        <f>INDEX($B$24:$GQ$24,MATCH(164,$B$29:$GQ$29,0))</f>
        <v/>
      </c>
      <c r="FJ10">
        <f>INDEX($B$24:$GQ$24,MATCH(165,$B$29:$GQ$29,0))</f>
        <v/>
      </c>
      <c r="FK10">
        <f>INDEX($B$24:$GQ$24,MATCH(166,$B$29:$GQ$29,0))</f>
        <v/>
      </c>
      <c r="FL10">
        <f>INDEX($B$24:$GQ$24,MATCH(167,$B$29:$GQ$29,0))</f>
        <v/>
      </c>
      <c r="FM10">
        <f>INDEX($B$24:$GQ$24,MATCH(168,$B$29:$GQ$29,0))</f>
        <v/>
      </c>
      <c r="FN10">
        <f>INDEX($B$24:$GQ$24,MATCH(169,$B$29:$GQ$29,0))</f>
        <v/>
      </c>
      <c r="FO10">
        <f>INDEX($B$24:$GQ$24,MATCH(170,$B$29:$GQ$29,0))</f>
        <v/>
      </c>
      <c r="FP10">
        <f>INDEX($B$24:$GQ$24,MATCH(171,$B$29:$GQ$29,0))</f>
        <v/>
      </c>
      <c r="FQ10">
        <f>INDEX($B$24:$GQ$24,MATCH(172,$B$29:$GQ$29,0))</f>
        <v/>
      </c>
      <c r="FR10">
        <f>INDEX($B$24:$GQ$24,MATCH(173,$B$29:$GQ$29,0))</f>
        <v/>
      </c>
      <c r="FS10">
        <f>INDEX($B$24:$GQ$24,MATCH(174,$B$29:$GQ$29,0))</f>
        <v/>
      </c>
      <c r="FT10">
        <f>INDEX($B$24:$GQ$24,MATCH(175,$B$29:$GQ$29,0))</f>
        <v/>
      </c>
      <c r="FU10">
        <f>INDEX($B$24:$GQ$24,MATCH(176,$B$29:$GQ$29,0))</f>
        <v/>
      </c>
      <c r="FV10">
        <f>INDEX($B$24:$GQ$24,MATCH(177,$B$29:$GQ$29,0))</f>
        <v/>
      </c>
      <c r="FW10">
        <f>INDEX($B$24:$GQ$24,MATCH(178,$B$29:$GQ$29,0))</f>
        <v/>
      </c>
      <c r="FX10">
        <f>INDEX($B$24:$GQ$24,MATCH(179,$B$29:$GQ$29,0))</f>
        <v/>
      </c>
      <c r="FY10">
        <f>INDEX($B$24:$GQ$24,MATCH(180,$B$29:$GQ$29,0))</f>
        <v/>
      </c>
      <c r="FZ10">
        <f>INDEX($B$24:$GQ$24,MATCH(181,$B$29:$GQ$29,0))</f>
        <v/>
      </c>
      <c r="GA10">
        <f>INDEX($B$24:$GQ$24,MATCH(182,$B$29:$GQ$29,0))</f>
        <v/>
      </c>
      <c r="GB10">
        <f>INDEX($B$24:$GQ$24,MATCH(183,$B$29:$GQ$29,0))</f>
        <v/>
      </c>
      <c r="GC10">
        <f>INDEX($B$24:$GQ$24,MATCH(184,$B$29:$GQ$29,0))</f>
        <v/>
      </c>
      <c r="GD10">
        <f>INDEX($B$24:$GQ$24,MATCH(185,$B$29:$GQ$29,0))</f>
        <v/>
      </c>
      <c r="GE10">
        <f>INDEX($B$24:$GQ$24,MATCH(186,$B$29:$GQ$29,0))</f>
        <v/>
      </c>
      <c r="GF10">
        <f>INDEX($B$24:$GQ$24,MATCH(187,$B$29:$GQ$29,0))</f>
        <v/>
      </c>
      <c r="GG10">
        <f>INDEX($B$24:$GQ$24,MATCH(188,$B$29:$GQ$29,0))</f>
        <v/>
      </c>
      <c r="GH10">
        <f>INDEX($B$24:$GQ$24,MATCH(189,$B$29:$GQ$29,0))</f>
        <v/>
      </c>
      <c r="GI10">
        <f>INDEX($B$24:$GQ$24,MATCH(190,$B$29:$GQ$29,0))</f>
        <v/>
      </c>
      <c r="GJ10">
        <f>INDEX($B$24:$GQ$24,MATCH(191,$B$29:$GQ$29,0))</f>
        <v/>
      </c>
      <c r="GK10">
        <f>INDEX($B$24:$GQ$24,MATCH(192,$B$29:$GQ$29,0))</f>
        <v/>
      </c>
      <c r="GL10">
        <f>INDEX($B$24:$GQ$24,MATCH(193,$B$29:$GQ$29,0))</f>
        <v/>
      </c>
      <c r="GM10">
        <f>INDEX($B$24:$GQ$24,MATCH(194,$B$29:$GQ$29,0))</f>
        <v/>
      </c>
      <c r="GN10">
        <f>INDEX($B$24:$GQ$24,MATCH(195,$B$29:$GQ$29,0))</f>
        <v/>
      </c>
      <c r="GO10">
        <f>INDEX($B$24:$GQ$24,MATCH(196,$B$29:$GQ$29,0))</f>
        <v/>
      </c>
      <c r="GP10">
        <f>INDEX($B$24:$GQ$24,MATCH(197,$B$29:$GQ$29,0))</f>
        <v/>
      </c>
      <c r="GQ10">
        <f>INDEX($B$24:$GQ$24,MATCH(198,$B$29:$GQ$29,0))</f>
        <v/>
      </c>
      <c r="GR10">
        <f>INDEX($GR$24:$HC$24,MATCH(1,$GR$30:$HC$30,0))</f>
        <v/>
      </c>
      <c r="GS10">
        <f>INDEX($GR$24:$HC$24,MATCH(2,$GR$30:$HC$30,0))</f>
        <v/>
      </c>
      <c r="GT10">
        <f>INDEX($GR$24:$HC$24,MATCH(3,$GR$30:$HC$30,0))</f>
        <v/>
      </c>
      <c r="GU10">
        <f>INDEX($GR$24:$HC$24,MATCH(4,$GR$30:$HC$30,0))</f>
        <v/>
      </c>
      <c r="GV10">
        <f>INDEX($GR$24:$HC$24,MATCH(5,$GR$30:$HC$30,0))</f>
        <v/>
      </c>
      <c r="GW10">
        <f>INDEX($GR$24:$HC$24,MATCH(6,$GR$30:$HC$30,0))</f>
        <v/>
      </c>
      <c r="GX10">
        <f>INDEX($GR$24:$HC$24,MATCH(7,$GR$30:$HC$30,0))</f>
        <v/>
      </c>
      <c r="GY10">
        <f>INDEX($GR$24:$HC$24,MATCH(8,$GR$30:$HC$30,0))</f>
        <v/>
      </c>
      <c r="GZ10">
        <f>INDEX($GR$24:$HC$24,MATCH(9,$GR$30:$HC$30,0))</f>
        <v/>
      </c>
      <c r="HA10">
        <f>INDEX($GR$24:$HC$24,MATCH(10,$GR$30:$HC$30,0))</f>
        <v/>
      </c>
      <c r="HB10">
        <f>INDEX($GR$24:$HC$24,MATCH(11,$GR$30:$HC$30,0))</f>
        <v/>
      </c>
      <c r="HC10">
        <f>INDEX($GR$24:$HC$24,MATCH(12,$GR$30:$HC$30,0))</f>
        <v/>
      </c>
    </row>
    <row r="11">
      <c r="A11" s="1" t="inlineStr">
        <is>
          <t>M_imp*Y_dom+M_dom*Y_dom</t>
        </is>
      </c>
      <c r="B11">
        <f>INDEX($B$25:$GQ$25,MATCH(1,$B$29:$GQ$29,0))</f>
        <v/>
      </c>
      <c r="C11">
        <f>INDEX($B$25:$GQ$25,MATCH(2,$B$29:$GQ$29,0))</f>
        <v/>
      </c>
      <c r="D11">
        <f>INDEX($B$25:$GQ$25,MATCH(3,$B$29:$GQ$29,0))</f>
        <v/>
      </c>
      <c r="E11">
        <f>INDEX($B$25:$GQ$25,MATCH(4,$B$29:$GQ$29,0))</f>
        <v/>
      </c>
      <c r="F11">
        <f>INDEX($B$25:$GQ$25,MATCH(5,$B$29:$GQ$29,0))</f>
        <v/>
      </c>
      <c r="G11">
        <f>INDEX($B$25:$GQ$25,MATCH(6,$B$29:$GQ$29,0))</f>
        <v/>
      </c>
      <c r="H11">
        <f>INDEX($B$25:$GQ$25,MATCH(7,$B$29:$GQ$29,0))</f>
        <v/>
      </c>
      <c r="I11">
        <f>INDEX($B$25:$GQ$25,MATCH(8,$B$29:$GQ$29,0))</f>
        <v/>
      </c>
      <c r="J11">
        <f>INDEX($B$25:$GQ$25,MATCH(9,$B$29:$GQ$29,0))</f>
        <v/>
      </c>
      <c r="K11">
        <f>INDEX($B$25:$GQ$25,MATCH(10,$B$29:$GQ$29,0))</f>
        <v/>
      </c>
      <c r="L11">
        <f>INDEX($B$25:$GQ$25,MATCH(11,$B$29:$GQ$29,0))</f>
        <v/>
      </c>
      <c r="M11">
        <f>INDEX($B$25:$GQ$25,MATCH(12,$B$29:$GQ$29,0))</f>
        <v/>
      </c>
      <c r="N11">
        <f>INDEX($B$25:$GQ$25,MATCH(13,$B$29:$GQ$29,0))</f>
        <v/>
      </c>
      <c r="O11">
        <f>INDEX($B$25:$GQ$25,MATCH(14,$B$29:$GQ$29,0))</f>
        <v/>
      </c>
      <c r="P11">
        <f>INDEX($B$25:$GQ$25,MATCH(15,$B$29:$GQ$29,0))</f>
        <v/>
      </c>
      <c r="Q11">
        <f>INDEX($B$25:$GQ$25,MATCH(16,$B$29:$GQ$29,0))</f>
        <v/>
      </c>
      <c r="R11">
        <f>INDEX($B$25:$GQ$25,MATCH(17,$B$29:$GQ$29,0))</f>
        <v/>
      </c>
      <c r="S11">
        <f>INDEX($B$25:$GQ$25,MATCH(18,$B$29:$GQ$29,0))</f>
        <v/>
      </c>
      <c r="T11">
        <f>INDEX($B$25:$GQ$25,MATCH(19,$B$29:$GQ$29,0))</f>
        <v/>
      </c>
      <c r="U11">
        <f>INDEX($B$25:$GQ$25,MATCH(20,$B$29:$GQ$29,0))</f>
        <v/>
      </c>
      <c r="V11">
        <f>INDEX($B$25:$GQ$25,MATCH(21,$B$29:$GQ$29,0))</f>
        <v/>
      </c>
      <c r="W11">
        <f>INDEX($B$25:$GQ$25,MATCH(22,$B$29:$GQ$29,0))</f>
        <v/>
      </c>
      <c r="X11">
        <f>INDEX($B$25:$GQ$25,MATCH(23,$B$29:$GQ$29,0))</f>
        <v/>
      </c>
      <c r="Y11">
        <f>INDEX($B$25:$GQ$25,MATCH(24,$B$29:$GQ$29,0))</f>
        <v/>
      </c>
      <c r="Z11">
        <f>INDEX($B$25:$GQ$25,MATCH(25,$B$29:$GQ$29,0))</f>
        <v/>
      </c>
      <c r="AA11">
        <f>INDEX($B$25:$GQ$25,MATCH(26,$B$29:$GQ$29,0))</f>
        <v/>
      </c>
      <c r="AB11">
        <f>INDEX($B$25:$GQ$25,MATCH(27,$B$29:$GQ$29,0))</f>
        <v/>
      </c>
      <c r="AC11">
        <f>INDEX($B$25:$GQ$25,MATCH(28,$B$29:$GQ$29,0))</f>
        <v/>
      </c>
      <c r="AD11">
        <f>INDEX($B$25:$GQ$25,MATCH(29,$B$29:$GQ$29,0))</f>
        <v/>
      </c>
      <c r="AE11">
        <f>INDEX($B$25:$GQ$25,MATCH(30,$B$29:$GQ$29,0))</f>
        <v/>
      </c>
      <c r="AF11">
        <f>INDEX($B$25:$GQ$25,MATCH(31,$B$29:$GQ$29,0))</f>
        <v/>
      </c>
      <c r="AG11">
        <f>INDEX($B$25:$GQ$25,MATCH(32,$B$29:$GQ$29,0))</f>
        <v/>
      </c>
      <c r="AH11">
        <f>INDEX($B$25:$GQ$25,MATCH(33,$B$29:$GQ$29,0))</f>
        <v/>
      </c>
      <c r="AI11">
        <f>INDEX($B$25:$GQ$25,MATCH(34,$B$29:$GQ$29,0))</f>
        <v/>
      </c>
      <c r="AJ11">
        <f>INDEX($B$25:$GQ$25,MATCH(35,$B$29:$GQ$29,0))</f>
        <v/>
      </c>
      <c r="AK11">
        <f>INDEX($B$25:$GQ$25,MATCH(36,$B$29:$GQ$29,0))</f>
        <v/>
      </c>
      <c r="AL11">
        <f>INDEX($B$25:$GQ$25,MATCH(37,$B$29:$GQ$29,0))</f>
        <v/>
      </c>
      <c r="AM11">
        <f>INDEX($B$25:$GQ$25,MATCH(38,$B$29:$GQ$29,0))</f>
        <v/>
      </c>
      <c r="AN11">
        <f>INDEX($B$25:$GQ$25,MATCH(39,$B$29:$GQ$29,0))</f>
        <v/>
      </c>
      <c r="AO11">
        <f>INDEX($B$25:$GQ$25,MATCH(40,$B$29:$GQ$29,0))</f>
        <v/>
      </c>
      <c r="AP11">
        <f>INDEX($B$25:$GQ$25,MATCH(41,$B$29:$GQ$29,0))</f>
        <v/>
      </c>
      <c r="AQ11">
        <f>INDEX($B$25:$GQ$25,MATCH(42,$B$29:$GQ$29,0))</f>
        <v/>
      </c>
      <c r="AR11">
        <f>INDEX($B$25:$GQ$25,MATCH(43,$B$29:$GQ$29,0))</f>
        <v/>
      </c>
      <c r="AS11">
        <f>INDEX($B$25:$GQ$25,MATCH(44,$B$29:$GQ$29,0))</f>
        <v/>
      </c>
      <c r="AT11">
        <f>INDEX($B$25:$GQ$25,MATCH(45,$B$29:$GQ$29,0))</f>
        <v/>
      </c>
      <c r="AU11">
        <f>INDEX($B$25:$GQ$25,MATCH(46,$B$29:$GQ$29,0))</f>
        <v/>
      </c>
      <c r="AV11">
        <f>INDEX($B$25:$GQ$25,MATCH(47,$B$29:$GQ$29,0))</f>
        <v/>
      </c>
      <c r="AW11">
        <f>INDEX($B$25:$GQ$25,MATCH(48,$B$29:$GQ$29,0))</f>
        <v/>
      </c>
      <c r="AX11">
        <f>INDEX($B$25:$GQ$25,MATCH(49,$B$29:$GQ$29,0))</f>
        <v/>
      </c>
      <c r="AY11">
        <f>INDEX($B$25:$GQ$25,MATCH(50,$B$29:$GQ$29,0))</f>
        <v/>
      </c>
      <c r="AZ11">
        <f>INDEX($B$25:$GQ$25,MATCH(51,$B$29:$GQ$29,0))</f>
        <v/>
      </c>
      <c r="BA11">
        <f>INDEX($B$25:$GQ$25,MATCH(52,$B$29:$GQ$29,0))</f>
        <v/>
      </c>
      <c r="BB11">
        <f>INDEX($B$25:$GQ$25,MATCH(53,$B$29:$GQ$29,0))</f>
        <v/>
      </c>
      <c r="BC11">
        <f>INDEX($B$25:$GQ$25,MATCH(54,$B$29:$GQ$29,0))</f>
        <v/>
      </c>
      <c r="BD11">
        <f>INDEX($B$25:$GQ$25,MATCH(55,$B$29:$GQ$29,0))</f>
        <v/>
      </c>
      <c r="BE11">
        <f>INDEX($B$25:$GQ$25,MATCH(56,$B$29:$GQ$29,0))</f>
        <v/>
      </c>
      <c r="BF11">
        <f>INDEX($B$25:$GQ$25,MATCH(57,$B$29:$GQ$29,0))</f>
        <v/>
      </c>
      <c r="BG11">
        <f>INDEX($B$25:$GQ$25,MATCH(58,$B$29:$GQ$29,0))</f>
        <v/>
      </c>
      <c r="BH11">
        <f>INDEX($B$25:$GQ$25,MATCH(59,$B$29:$GQ$29,0))</f>
        <v/>
      </c>
      <c r="BI11">
        <f>INDEX($B$25:$GQ$25,MATCH(60,$B$29:$GQ$29,0))</f>
        <v/>
      </c>
      <c r="BJ11">
        <f>INDEX($B$25:$GQ$25,MATCH(61,$B$29:$GQ$29,0))</f>
        <v/>
      </c>
      <c r="BK11">
        <f>INDEX($B$25:$GQ$25,MATCH(62,$B$29:$GQ$29,0))</f>
        <v/>
      </c>
      <c r="BL11">
        <f>INDEX($B$25:$GQ$25,MATCH(63,$B$29:$GQ$29,0))</f>
        <v/>
      </c>
      <c r="BM11">
        <f>INDEX($B$25:$GQ$25,MATCH(64,$B$29:$GQ$29,0))</f>
        <v/>
      </c>
      <c r="BN11">
        <f>INDEX($B$25:$GQ$25,MATCH(65,$B$29:$GQ$29,0))</f>
        <v/>
      </c>
      <c r="BO11">
        <f>INDEX($B$25:$GQ$25,MATCH(66,$B$29:$GQ$29,0))</f>
        <v/>
      </c>
      <c r="BP11">
        <f>INDEX($B$25:$GQ$25,MATCH(67,$B$29:$GQ$29,0))</f>
        <v/>
      </c>
      <c r="BQ11">
        <f>INDEX($B$25:$GQ$25,MATCH(68,$B$29:$GQ$29,0))</f>
        <v/>
      </c>
      <c r="BR11">
        <f>INDEX($B$25:$GQ$25,MATCH(69,$B$29:$GQ$29,0))</f>
        <v/>
      </c>
      <c r="BS11">
        <f>INDEX($B$25:$GQ$25,MATCH(70,$B$29:$GQ$29,0))</f>
        <v/>
      </c>
      <c r="BT11">
        <f>INDEX($B$25:$GQ$25,MATCH(71,$B$29:$GQ$29,0))</f>
        <v/>
      </c>
      <c r="BU11">
        <f>INDEX($B$25:$GQ$25,MATCH(72,$B$29:$GQ$29,0))</f>
        <v/>
      </c>
      <c r="BV11">
        <f>INDEX($B$25:$GQ$25,MATCH(73,$B$29:$GQ$29,0))</f>
        <v/>
      </c>
      <c r="BW11">
        <f>INDEX($B$25:$GQ$25,MATCH(74,$B$29:$GQ$29,0))</f>
        <v/>
      </c>
      <c r="BX11">
        <f>INDEX($B$25:$GQ$25,MATCH(75,$B$29:$GQ$29,0))</f>
        <v/>
      </c>
      <c r="BY11">
        <f>INDEX($B$25:$GQ$25,MATCH(76,$B$29:$GQ$29,0))</f>
        <v/>
      </c>
      <c r="BZ11">
        <f>INDEX($B$25:$GQ$25,MATCH(77,$B$29:$GQ$29,0))</f>
        <v/>
      </c>
      <c r="CA11">
        <f>INDEX($B$25:$GQ$25,MATCH(78,$B$29:$GQ$29,0))</f>
        <v/>
      </c>
      <c r="CB11">
        <f>INDEX($B$25:$GQ$25,MATCH(79,$B$29:$GQ$29,0))</f>
        <v/>
      </c>
      <c r="CC11">
        <f>INDEX($B$25:$GQ$25,MATCH(80,$B$29:$GQ$29,0))</f>
        <v/>
      </c>
      <c r="CD11">
        <f>INDEX($B$25:$GQ$25,MATCH(81,$B$29:$GQ$29,0))</f>
        <v/>
      </c>
      <c r="CE11">
        <f>INDEX($B$25:$GQ$25,MATCH(82,$B$29:$GQ$29,0))</f>
        <v/>
      </c>
      <c r="CF11">
        <f>INDEX($B$25:$GQ$25,MATCH(83,$B$29:$GQ$29,0))</f>
        <v/>
      </c>
      <c r="CG11">
        <f>INDEX($B$25:$GQ$25,MATCH(84,$B$29:$GQ$29,0))</f>
        <v/>
      </c>
      <c r="CH11">
        <f>INDEX($B$25:$GQ$25,MATCH(85,$B$29:$GQ$29,0))</f>
        <v/>
      </c>
      <c r="CI11">
        <f>INDEX($B$25:$GQ$25,MATCH(86,$B$29:$GQ$29,0))</f>
        <v/>
      </c>
      <c r="CJ11">
        <f>INDEX($B$25:$GQ$25,MATCH(87,$B$29:$GQ$29,0))</f>
        <v/>
      </c>
      <c r="CK11">
        <f>INDEX($B$25:$GQ$25,MATCH(88,$B$29:$GQ$29,0))</f>
        <v/>
      </c>
      <c r="CL11">
        <f>INDEX($B$25:$GQ$25,MATCH(89,$B$29:$GQ$29,0))</f>
        <v/>
      </c>
      <c r="CM11">
        <f>INDEX($B$25:$GQ$25,MATCH(90,$B$29:$GQ$29,0))</f>
        <v/>
      </c>
      <c r="CN11">
        <f>INDEX($B$25:$GQ$25,MATCH(91,$B$29:$GQ$29,0))</f>
        <v/>
      </c>
      <c r="CO11">
        <f>INDEX($B$25:$GQ$25,MATCH(92,$B$29:$GQ$29,0))</f>
        <v/>
      </c>
      <c r="CP11">
        <f>INDEX($B$25:$GQ$25,MATCH(93,$B$29:$GQ$29,0))</f>
        <v/>
      </c>
      <c r="CQ11">
        <f>INDEX($B$25:$GQ$25,MATCH(94,$B$29:$GQ$29,0))</f>
        <v/>
      </c>
      <c r="CR11">
        <f>INDEX($B$25:$GQ$25,MATCH(95,$B$29:$GQ$29,0))</f>
        <v/>
      </c>
      <c r="CS11">
        <f>INDEX($B$25:$GQ$25,MATCH(96,$B$29:$GQ$29,0))</f>
        <v/>
      </c>
      <c r="CT11">
        <f>INDEX($B$25:$GQ$25,MATCH(97,$B$29:$GQ$29,0))</f>
        <v/>
      </c>
      <c r="CU11">
        <f>INDEX($B$25:$GQ$25,MATCH(98,$B$29:$GQ$29,0))</f>
        <v/>
      </c>
      <c r="CV11">
        <f>INDEX($B$25:$GQ$25,MATCH(99,$B$29:$GQ$29,0))</f>
        <v/>
      </c>
      <c r="CW11">
        <f>INDEX($B$25:$GQ$25,MATCH(100,$B$29:$GQ$29,0))</f>
        <v/>
      </c>
      <c r="CX11">
        <f>INDEX($B$25:$GQ$25,MATCH(101,$B$29:$GQ$29,0))</f>
        <v/>
      </c>
      <c r="CY11">
        <f>INDEX($B$25:$GQ$25,MATCH(102,$B$29:$GQ$29,0))</f>
        <v/>
      </c>
      <c r="CZ11">
        <f>INDEX($B$25:$GQ$25,MATCH(103,$B$29:$GQ$29,0))</f>
        <v/>
      </c>
      <c r="DA11">
        <f>INDEX($B$25:$GQ$25,MATCH(104,$B$29:$GQ$29,0))</f>
        <v/>
      </c>
      <c r="DB11">
        <f>INDEX($B$25:$GQ$25,MATCH(105,$B$29:$GQ$29,0))</f>
        <v/>
      </c>
      <c r="DC11">
        <f>INDEX($B$25:$GQ$25,MATCH(106,$B$29:$GQ$29,0))</f>
        <v/>
      </c>
      <c r="DD11">
        <f>INDEX($B$25:$GQ$25,MATCH(107,$B$29:$GQ$29,0))</f>
        <v/>
      </c>
      <c r="DE11">
        <f>INDEX($B$25:$GQ$25,MATCH(108,$B$29:$GQ$29,0))</f>
        <v/>
      </c>
      <c r="DF11">
        <f>INDEX($B$25:$GQ$25,MATCH(109,$B$29:$GQ$29,0))</f>
        <v/>
      </c>
      <c r="DG11">
        <f>INDEX($B$25:$GQ$25,MATCH(110,$B$29:$GQ$29,0))</f>
        <v/>
      </c>
      <c r="DH11">
        <f>INDEX($B$25:$GQ$25,MATCH(111,$B$29:$GQ$29,0))</f>
        <v/>
      </c>
      <c r="DI11">
        <f>INDEX($B$25:$GQ$25,MATCH(112,$B$29:$GQ$29,0))</f>
        <v/>
      </c>
      <c r="DJ11">
        <f>INDEX($B$25:$GQ$25,MATCH(113,$B$29:$GQ$29,0))</f>
        <v/>
      </c>
      <c r="DK11">
        <f>INDEX($B$25:$GQ$25,MATCH(114,$B$29:$GQ$29,0))</f>
        <v/>
      </c>
      <c r="DL11">
        <f>INDEX($B$25:$GQ$25,MATCH(115,$B$29:$GQ$29,0))</f>
        <v/>
      </c>
      <c r="DM11">
        <f>INDEX($B$25:$GQ$25,MATCH(116,$B$29:$GQ$29,0))</f>
        <v/>
      </c>
      <c r="DN11">
        <f>INDEX($B$25:$GQ$25,MATCH(117,$B$29:$GQ$29,0))</f>
        <v/>
      </c>
      <c r="DO11">
        <f>INDEX($B$25:$GQ$25,MATCH(118,$B$29:$GQ$29,0))</f>
        <v/>
      </c>
      <c r="DP11">
        <f>INDEX($B$25:$GQ$25,MATCH(119,$B$29:$GQ$29,0))</f>
        <v/>
      </c>
      <c r="DQ11">
        <f>INDEX($B$25:$GQ$25,MATCH(120,$B$29:$GQ$29,0))</f>
        <v/>
      </c>
      <c r="DR11">
        <f>INDEX($B$25:$GQ$25,MATCH(121,$B$29:$GQ$29,0))</f>
        <v/>
      </c>
      <c r="DS11">
        <f>INDEX($B$25:$GQ$25,MATCH(122,$B$29:$GQ$29,0))</f>
        <v/>
      </c>
      <c r="DT11">
        <f>INDEX($B$25:$GQ$25,MATCH(123,$B$29:$GQ$29,0))</f>
        <v/>
      </c>
      <c r="DU11">
        <f>INDEX($B$25:$GQ$25,MATCH(124,$B$29:$GQ$29,0))</f>
        <v/>
      </c>
      <c r="DV11">
        <f>INDEX($B$25:$GQ$25,MATCH(125,$B$29:$GQ$29,0))</f>
        <v/>
      </c>
      <c r="DW11">
        <f>INDEX($B$25:$GQ$25,MATCH(126,$B$29:$GQ$29,0))</f>
        <v/>
      </c>
      <c r="DX11">
        <f>INDEX($B$25:$GQ$25,MATCH(127,$B$29:$GQ$29,0))</f>
        <v/>
      </c>
      <c r="DY11">
        <f>INDEX($B$25:$GQ$25,MATCH(128,$B$29:$GQ$29,0))</f>
        <v/>
      </c>
      <c r="DZ11">
        <f>INDEX($B$25:$GQ$25,MATCH(129,$B$29:$GQ$29,0))</f>
        <v/>
      </c>
      <c r="EA11">
        <f>INDEX($B$25:$GQ$25,MATCH(130,$B$29:$GQ$29,0))</f>
        <v/>
      </c>
      <c r="EB11">
        <f>INDEX($B$25:$GQ$25,MATCH(131,$B$29:$GQ$29,0))</f>
        <v/>
      </c>
      <c r="EC11">
        <f>INDEX($B$25:$GQ$25,MATCH(132,$B$29:$GQ$29,0))</f>
        <v/>
      </c>
      <c r="ED11">
        <f>INDEX($B$25:$GQ$25,MATCH(133,$B$29:$GQ$29,0))</f>
        <v/>
      </c>
      <c r="EE11">
        <f>INDEX($B$25:$GQ$25,MATCH(134,$B$29:$GQ$29,0))</f>
        <v/>
      </c>
      <c r="EF11">
        <f>INDEX($B$25:$GQ$25,MATCH(135,$B$29:$GQ$29,0))</f>
        <v/>
      </c>
      <c r="EG11">
        <f>INDEX($B$25:$GQ$25,MATCH(136,$B$29:$GQ$29,0))</f>
        <v/>
      </c>
      <c r="EH11">
        <f>INDEX($B$25:$GQ$25,MATCH(137,$B$29:$GQ$29,0))</f>
        <v/>
      </c>
      <c r="EI11">
        <f>INDEX($B$25:$GQ$25,MATCH(138,$B$29:$GQ$29,0))</f>
        <v/>
      </c>
      <c r="EJ11">
        <f>INDEX($B$25:$GQ$25,MATCH(139,$B$29:$GQ$29,0))</f>
        <v/>
      </c>
      <c r="EK11">
        <f>INDEX($B$25:$GQ$25,MATCH(140,$B$29:$GQ$29,0))</f>
        <v/>
      </c>
      <c r="EL11">
        <f>INDEX($B$25:$GQ$25,MATCH(141,$B$29:$GQ$29,0))</f>
        <v/>
      </c>
      <c r="EM11">
        <f>INDEX($B$25:$GQ$25,MATCH(142,$B$29:$GQ$29,0))</f>
        <v/>
      </c>
      <c r="EN11">
        <f>INDEX($B$25:$GQ$25,MATCH(143,$B$29:$GQ$29,0))</f>
        <v/>
      </c>
      <c r="EO11">
        <f>INDEX($B$25:$GQ$25,MATCH(144,$B$29:$GQ$29,0))</f>
        <v/>
      </c>
      <c r="EP11">
        <f>INDEX($B$25:$GQ$25,MATCH(145,$B$29:$GQ$29,0))</f>
        <v/>
      </c>
      <c r="EQ11">
        <f>INDEX($B$25:$GQ$25,MATCH(146,$B$29:$GQ$29,0))</f>
        <v/>
      </c>
      <c r="ER11">
        <f>INDEX($B$25:$GQ$25,MATCH(147,$B$29:$GQ$29,0))</f>
        <v/>
      </c>
      <c r="ES11">
        <f>INDEX($B$25:$GQ$25,MATCH(148,$B$29:$GQ$29,0))</f>
        <v/>
      </c>
      <c r="ET11">
        <f>INDEX($B$25:$GQ$25,MATCH(149,$B$29:$GQ$29,0))</f>
        <v/>
      </c>
      <c r="EU11">
        <f>INDEX($B$25:$GQ$25,MATCH(150,$B$29:$GQ$29,0))</f>
        <v/>
      </c>
      <c r="EV11">
        <f>INDEX($B$25:$GQ$25,MATCH(151,$B$29:$GQ$29,0))</f>
        <v/>
      </c>
      <c r="EW11">
        <f>INDEX($B$25:$GQ$25,MATCH(152,$B$29:$GQ$29,0))</f>
        <v/>
      </c>
      <c r="EX11">
        <f>INDEX($B$25:$GQ$25,MATCH(153,$B$29:$GQ$29,0))</f>
        <v/>
      </c>
      <c r="EY11">
        <f>INDEX($B$25:$GQ$25,MATCH(154,$B$29:$GQ$29,0))</f>
        <v/>
      </c>
      <c r="EZ11">
        <f>INDEX($B$25:$GQ$25,MATCH(155,$B$29:$GQ$29,0))</f>
        <v/>
      </c>
      <c r="FA11">
        <f>INDEX($B$25:$GQ$25,MATCH(156,$B$29:$GQ$29,0))</f>
        <v/>
      </c>
      <c r="FB11">
        <f>INDEX($B$25:$GQ$25,MATCH(157,$B$29:$GQ$29,0))</f>
        <v/>
      </c>
      <c r="FC11">
        <f>INDEX($B$25:$GQ$25,MATCH(158,$B$29:$GQ$29,0))</f>
        <v/>
      </c>
      <c r="FD11">
        <f>INDEX($B$25:$GQ$25,MATCH(159,$B$29:$GQ$29,0))</f>
        <v/>
      </c>
      <c r="FE11">
        <f>INDEX($B$25:$GQ$25,MATCH(160,$B$29:$GQ$29,0))</f>
        <v/>
      </c>
      <c r="FF11">
        <f>INDEX($B$25:$GQ$25,MATCH(161,$B$29:$GQ$29,0))</f>
        <v/>
      </c>
      <c r="FG11">
        <f>INDEX($B$25:$GQ$25,MATCH(162,$B$29:$GQ$29,0))</f>
        <v/>
      </c>
      <c r="FH11">
        <f>INDEX($B$25:$GQ$25,MATCH(163,$B$29:$GQ$29,0))</f>
        <v/>
      </c>
      <c r="FI11">
        <f>INDEX($B$25:$GQ$25,MATCH(164,$B$29:$GQ$29,0))</f>
        <v/>
      </c>
      <c r="FJ11">
        <f>INDEX($B$25:$GQ$25,MATCH(165,$B$29:$GQ$29,0))</f>
        <v/>
      </c>
      <c r="FK11">
        <f>INDEX($B$25:$GQ$25,MATCH(166,$B$29:$GQ$29,0))</f>
        <v/>
      </c>
      <c r="FL11">
        <f>INDEX($B$25:$GQ$25,MATCH(167,$B$29:$GQ$29,0))</f>
        <v/>
      </c>
      <c r="FM11">
        <f>INDEX($B$25:$GQ$25,MATCH(168,$B$29:$GQ$29,0))</f>
        <v/>
      </c>
      <c r="FN11">
        <f>INDEX($B$25:$GQ$25,MATCH(169,$B$29:$GQ$29,0))</f>
        <v/>
      </c>
      <c r="FO11">
        <f>INDEX($B$25:$GQ$25,MATCH(170,$B$29:$GQ$29,0))</f>
        <v/>
      </c>
      <c r="FP11">
        <f>INDEX($B$25:$GQ$25,MATCH(171,$B$29:$GQ$29,0))</f>
        <v/>
      </c>
      <c r="FQ11">
        <f>INDEX($B$25:$GQ$25,MATCH(172,$B$29:$GQ$29,0))</f>
        <v/>
      </c>
      <c r="FR11">
        <f>INDEX($B$25:$GQ$25,MATCH(173,$B$29:$GQ$29,0))</f>
        <v/>
      </c>
      <c r="FS11">
        <f>INDEX($B$25:$GQ$25,MATCH(174,$B$29:$GQ$29,0))</f>
        <v/>
      </c>
      <c r="FT11">
        <f>INDEX($B$25:$GQ$25,MATCH(175,$B$29:$GQ$29,0))</f>
        <v/>
      </c>
      <c r="FU11">
        <f>INDEX($B$25:$GQ$25,MATCH(176,$B$29:$GQ$29,0))</f>
        <v/>
      </c>
      <c r="FV11">
        <f>INDEX($B$25:$GQ$25,MATCH(177,$B$29:$GQ$29,0))</f>
        <v/>
      </c>
      <c r="FW11">
        <f>INDEX($B$25:$GQ$25,MATCH(178,$B$29:$GQ$29,0))</f>
        <v/>
      </c>
      <c r="FX11">
        <f>INDEX($B$25:$GQ$25,MATCH(179,$B$29:$GQ$29,0))</f>
        <v/>
      </c>
      <c r="FY11">
        <f>INDEX($B$25:$GQ$25,MATCH(180,$B$29:$GQ$29,0))</f>
        <v/>
      </c>
      <c r="FZ11">
        <f>INDEX($B$25:$GQ$25,MATCH(181,$B$29:$GQ$29,0))</f>
        <v/>
      </c>
      <c r="GA11">
        <f>INDEX($B$25:$GQ$25,MATCH(182,$B$29:$GQ$29,0))</f>
        <v/>
      </c>
      <c r="GB11">
        <f>INDEX($B$25:$GQ$25,MATCH(183,$B$29:$GQ$29,0))</f>
        <v/>
      </c>
      <c r="GC11">
        <f>INDEX($B$25:$GQ$25,MATCH(184,$B$29:$GQ$29,0))</f>
        <v/>
      </c>
      <c r="GD11">
        <f>INDEX($B$25:$GQ$25,MATCH(185,$B$29:$GQ$29,0))</f>
        <v/>
      </c>
      <c r="GE11">
        <f>INDEX($B$25:$GQ$25,MATCH(186,$B$29:$GQ$29,0))</f>
        <v/>
      </c>
      <c r="GF11">
        <f>INDEX($B$25:$GQ$25,MATCH(187,$B$29:$GQ$29,0))</f>
        <v/>
      </c>
      <c r="GG11">
        <f>INDEX($B$25:$GQ$25,MATCH(188,$B$29:$GQ$29,0))</f>
        <v/>
      </c>
      <c r="GH11">
        <f>INDEX($B$25:$GQ$25,MATCH(189,$B$29:$GQ$29,0))</f>
        <v/>
      </c>
      <c r="GI11">
        <f>INDEX($B$25:$GQ$25,MATCH(190,$B$29:$GQ$29,0))</f>
        <v/>
      </c>
      <c r="GJ11">
        <f>INDEX($B$25:$GQ$25,MATCH(191,$B$29:$GQ$29,0))</f>
        <v/>
      </c>
      <c r="GK11">
        <f>INDEX($B$25:$GQ$25,MATCH(192,$B$29:$GQ$29,0))</f>
        <v/>
      </c>
      <c r="GL11">
        <f>INDEX($B$25:$GQ$25,MATCH(193,$B$29:$GQ$29,0))</f>
        <v/>
      </c>
      <c r="GM11">
        <f>INDEX($B$25:$GQ$25,MATCH(194,$B$29:$GQ$29,0))</f>
        <v/>
      </c>
      <c r="GN11">
        <f>INDEX($B$25:$GQ$25,MATCH(195,$B$29:$GQ$29,0))</f>
        <v/>
      </c>
      <c r="GO11">
        <f>INDEX($B$25:$GQ$25,MATCH(196,$B$29:$GQ$29,0))</f>
        <v/>
      </c>
      <c r="GP11">
        <f>INDEX($B$25:$GQ$25,MATCH(197,$B$29:$GQ$29,0))</f>
        <v/>
      </c>
      <c r="GQ11">
        <f>INDEX($B$25:$GQ$25,MATCH(198,$B$29:$GQ$29,0))</f>
        <v/>
      </c>
      <c r="GR11">
        <f>INDEX($GR$25:$HC$25,MATCH(1,$GR$30:$HC$30,0))</f>
        <v/>
      </c>
      <c r="GS11">
        <f>INDEX($GR$25:$HC$25,MATCH(2,$GR$30:$HC$30,0))</f>
        <v/>
      </c>
      <c r="GT11">
        <f>INDEX($GR$25:$HC$25,MATCH(3,$GR$30:$HC$30,0))</f>
        <v/>
      </c>
      <c r="GU11">
        <f>INDEX($GR$25:$HC$25,MATCH(4,$GR$30:$HC$30,0))</f>
        <v/>
      </c>
      <c r="GV11">
        <f>INDEX($GR$25:$HC$25,MATCH(5,$GR$30:$HC$30,0))</f>
        <v/>
      </c>
      <c r="GW11">
        <f>INDEX($GR$25:$HC$25,MATCH(6,$GR$30:$HC$30,0))</f>
        <v/>
      </c>
      <c r="GX11">
        <f>INDEX($GR$25:$HC$25,MATCH(7,$GR$30:$HC$30,0))</f>
        <v/>
      </c>
      <c r="GY11">
        <f>INDEX($GR$25:$HC$25,MATCH(8,$GR$30:$HC$30,0))</f>
        <v/>
      </c>
      <c r="GZ11">
        <f>INDEX($GR$25:$HC$25,MATCH(9,$GR$30:$HC$30,0))</f>
        <v/>
      </c>
      <c r="HA11">
        <f>INDEX($GR$25:$HC$25,MATCH(10,$GR$30:$HC$30,0))</f>
        <v/>
      </c>
      <c r="HB11">
        <f>INDEX($GR$25:$HC$25,MATCH(11,$GR$30:$HC$30,0))</f>
        <v/>
      </c>
      <c r="HC11">
        <f>INDEX($GR$25:$HC$25,MATCH(12,$GR$30:$HC$30,0))</f>
        <v/>
      </c>
    </row>
    <row r="12">
      <c r="A12" s="1" t="inlineStr">
        <is>
          <t>M_row*Y_imp</t>
        </is>
      </c>
      <c r="B12">
        <f>INDEX($B$26:$GQ$26,MATCH(1,$B$29:$GQ$29,0))</f>
        <v/>
      </c>
      <c r="C12">
        <f>INDEX($B$26:$GQ$26,MATCH(2,$B$29:$GQ$29,0))</f>
        <v/>
      </c>
      <c r="D12">
        <f>INDEX($B$26:$GQ$26,MATCH(3,$B$29:$GQ$29,0))</f>
        <v/>
      </c>
      <c r="E12">
        <f>INDEX($B$26:$GQ$26,MATCH(4,$B$29:$GQ$29,0))</f>
        <v/>
      </c>
      <c r="F12">
        <f>INDEX($B$26:$GQ$26,MATCH(5,$B$29:$GQ$29,0))</f>
        <v/>
      </c>
      <c r="G12">
        <f>INDEX($B$26:$GQ$26,MATCH(6,$B$29:$GQ$29,0))</f>
        <v/>
      </c>
      <c r="H12">
        <f>INDEX($B$26:$GQ$26,MATCH(7,$B$29:$GQ$29,0))</f>
        <v/>
      </c>
      <c r="I12">
        <f>INDEX($B$26:$GQ$26,MATCH(8,$B$29:$GQ$29,0))</f>
        <v/>
      </c>
      <c r="J12">
        <f>INDEX($B$26:$GQ$26,MATCH(9,$B$29:$GQ$29,0))</f>
        <v/>
      </c>
      <c r="K12">
        <f>INDEX($B$26:$GQ$26,MATCH(10,$B$29:$GQ$29,0))</f>
        <v/>
      </c>
      <c r="L12">
        <f>INDEX($B$26:$GQ$26,MATCH(11,$B$29:$GQ$29,0))</f>
        <v/>
      </c>
      <c r="M12">
        <f>INDEX($B$26:$GQ$26,MATCH(12,$B$29:$GQ$29,0))</f>
        <v/>
      </c>
      <c r="N12">
        <f>INDEX($B$26:$GQ$26,MATCH(13,$B$29:$GQ$29,0))</f>
        <v/>
      </c>
      <c r="O12">
        <f>INDEX($B$26:$GQ$26,MATCH(14,$B$29:$GQ$29,0))</f>
        <v/>
      </c>
      <c r="P12">
        <f>INDEX($B$26:$GQ$26,MATCH(15,$B$29:$GQ$29,0))</f>
        <v/>
      </c>
      <c r="Q12">
        <f>INDEX($B$26:$GQ$26,MATCH(16,$B$29:$GQ$29,0))</f>
        <v/>
      </c>
      <c r="R12">
        <f>INDEX($B$26:$GQ$26,MATCH(17,$B$29:$GQ$29,0))</f>
        <v/>
      </c>
      <c r="S12">
        <f>INDEX($B$26:$GQ$26,MATCH(18,$B$29:$GQ$29,0))</f>
        <v/>
      </c>
      <c r="T12">
        <f>INDEX($B$26:$GQ$26,MATCH(19,$B$29:$GQ$29,0))</f>
        <v/>
      </c>
      <c r="U12">
        <f>INDEX($B$26:$GQ$26,MATCH(20,$B$29:$GQ$29,0))</f>
        <v/>
      </c>
      <c r="V12">
        <f>INDEX($B$26:$GQ$26,MATCH(21,$B$29:$GQ$29,0))</f>
        <v/>
      </c>
      <c r="W12">
        <f>INDEX($B$26:$GQ$26,MATCH(22,$B$29:$GQ$29,0))</f>
        <v/>
      </c>
      <c r="X12">
        <f>INDEX($B$26:$GQ$26,MATCH(23,$B$29:$GQ$29,0))</f>
        <v/>
      </c>
      <c r="Y12">
        <f>INDEX($B$26:$GQ$26,MATCH(24,$B$29:$GQ$29,0))</f>
        <v/>
      </c>
      <c r="Z12">
        <f>INDEX($B$26:$GQ$26,MATCH(25,$B$29:$GQ$29,0))</f>
        <v/>
      </c>
      <c r="AA12">
        <f>INDEX($B$26:$GQ$26,MATCH(26,$B$29:$GQ$29,0))</f>
        <v/>
      </c>
      <c r="AB12">
        <f>INDEX($B$26:$GQ$26,MATCH(27,$B$29:$GQ$29,0))</f>
        <v/>
      </c>
      <c r="AC12">
        <f>INDEX($B$26:$GQ$26,MATCH(28,$B$29:$GQ$29,0))</f>
        <v/>
      </c>
      <c r="AD12">
        <f>INDEX($B$26:$GQ$26,MATCH(29,$B$29:$GQ$29,0))</f>
        <v/>
      </c>
      <c r="AE12">
        <f>INDEX($B$26:$GQ$26,MATCH(30,$B$29:$GQ$29,0))</f>
        <v/>
      </c>
      <c r="AF12">
        <f>INDEX($B$26:$GQ$26,MATCH(31,$B$29:$GQ$29,0))</f>
        <v/>
      </c>
      <c r="AG12">
        <f>INDEX($B$26:$GQ$26,MATCH(32,$B$29:$GQ$29,0))</f>
        <v/>
      </c>
      <c r="AH12">
        <f>INDEX($B$26:$GQ$26,MATCH(33,$B$29:$GQ$29,0))</f>
        <v/>
      </c>
      <c r="AI12">
        <f>INDEX($B$26:$GQ$26,MATCH(34,$B$29:$GQ$29,0))</f>
        <v/>
      </c>
      <c r="AJ12">
        <f>INDEX($B$26:$GQ$26,MATCH(35,$B$29:$GQ$29,0))</f>
        <v/>
      </c>
      <c r="AK12">
        <f>INDEX($B$26:$GQ$26,MATCH(36,$B$29:$GQ$29,0))</f>
        <v/>
      </c>
      <c r="AL12">
        <f>INDEX($B$26:$GQ$26,MATCH(37,$B$29:$GQ$29,0))</f>
        <v/>
      </c>
      <c r="AM12">
        <f>INDEX($B$26:$GQ$26,MATCH(38,$B$29:$GQ$29,0))</f>
        <v/>
      </c>
      <c r="AN12">
        <f>INDEX($B$26:$GQ$26,MATCH(39,$B$29:$GQ$29,0))</f>
        <v/>
      </c>
      <c r="AO12">
        <f>INDEX($B$26:$GQ$26,MATCH(40,$B$29:$GQ$29,0))</f>
        <v/>
      </c>
      <c r="AP12">
        <f>INDEX($B$26:$GQ$26,MATCH(41,$B$29:$GQ$29,0))</f>
        <v/>
      </c>
      <c r="AQ12">
        <f>INDEX($B$26:$GQ$26,MATCH(42,$B$29:$GQ$29,0))</f>
        <v/>
      </c>
      <c r="AR12">
        <f>INDEX($B$26:$GQ$26,MATCH(43,$B$29:$GQ$29,0))</f>
        <v/>
      </c>
      <c r="AS12">
        <f>INDEX($B$26:$GQ$26,MATCH(44,$B$29:$GQ$29,0))</f>
        <v/>
      </c>
      <c r="AT12">
        <f>INDEX($B$26:$GQ$26,MATCH(45,$B$29:$GQ$29,0))</f>
        <v/>
      </c>
      <c r="AU12">
        <f>INDEX($B$26:$GQ$26,MATCH(46,$B$29:$GQ$29,0))</f>
        <v/>
      </c>
      <c r="AV12">
        <f>INDEX($B$26:$GQ$26,MATCH(47,$B$29:$GQ$29,0))</f>
        <v/>
      </c>
      <c r="AW12">
        <f>INDEX($B$26:$GQ$26,MATCH(48,$B$29:$GQ$29,0))</f>
        <v/>
      </c>
      <c r="AX12">
        <f>INDEX($B$26:$GQ$26,MATCH(49,$B$29:$GQ$29,0))</f>
        <v/>
      </c>
      <c r="AY12">
        <f>INDEX($B$26:$GQ$26,MATCH(50,$B$29:$GQ$29,0))</f>
        <v/>
      </c>
      <c r="AZ12">
        <f>INDEX($B$26:$GQ$26,MATCH(51,$B$29:$GQ$29,0))</f>
        <v/>
      </c>
      <c r="BA12">
        <f>INDEX($B$26:$GQ$26,MATCH(52,$B$29:$GQ$29,0))</f>
        <v/>
      </c>
      <c r="BB12">
        <f>INDEX($B$26:$GQ$26,MATCH(53,$B$29:$GQ$29,0))</f>
        <v/>
      </c>
      <c r="BC12">
        <f>INDEX($B$26:$GQ$26,MATCH(54,$B$29:$GQ$29,0))</f>
        <v/>
      </c>
      <c r="BD12">
        <f>INDEX($B$26:$GQ$26,MATCH(55,$B$29:$GQ$29,0))</f>
        <v/>
      </c>
      <c r="BE12">
        <f>INDEX($B$26:$GQ$26,MATCH(56,$B$29:$GQ$29,0))</f>
        <v/>
      </c>
      <c r="BF12">
        <f>INDEX($B$26:$GQ$26,MATCH(57,$B$29:$GQ$29,0))</f>
        <v/>
      </c>
      <c r="BG12">
        <f>INDEX($B$26:$GQ$26,MATCH(58,$B$29:$GQ$29,0))</f>
        <v/>
      </c>
      <c r="BH12">
        <f>INDEX($B$26:$GQ$26,MATCH(59,$B$29:$GQ$29,0))</f>
        <v/>
      </c>
      <c r="BI12">
        <f>INDEX($B$26:$GQ$26,MATCH(60,$B$29:$GQ$29,0))</f>
        <v/>
      </c>
      <c r="BJ12">
        <f>INDEX($B$26:$GQ$26,MATCH(61,$B$29:$GQ$29,0))</f>
        <v/>
      </c>
      <c r="BK12">
        <f>INDEX($B$26:$GQ$26,MATCH(62,$B$29:$GQ$29,0))</f>
        <v/>
      </c>
      <c r="BL12">
        <f>INDEX($B$26:$GQ$26,MATCH(63,$B$29:$GQ$29,0))</f>
        <v/>
      </c>
      <c r="BM12">
        <f>INDEX($B$26:$GQ$26,MATCH(64,$B$29:$GQ$29,0))</f>
        <v/>
      </c>
      <c r="BN12">
        <f>INDEX($B$26:$GQ$26,MATCH(65,$B$29:$GQ$29,0))</f>
        <v/>
      </c>
      <c r="BO12">
        <f>INDEX($B$26:$GQ$26,MATCH(66,$B$29:$GQ$29,0))</f>
        <v/>
      </c>
      <c r="BP12">
        <f>INDEX($B$26:$GQ$26,MATCH(67,$B$29:$GQ$29,0))</f>
        <v/>
      </c>
      <c r="BQ12">
        <f>INDEX($B$26:$GQ$26,MATCH(68,$B$29:$GQ$29,0))</f>
        <v/>
      </c>
      <c r="BR12">
        <f>INDEX($B$26:$GQ$26,MATCH(69,$B$29:$GQ$29,0))</f>
        <v/>
      </c>
      <c r="BS12">
        <f>INDEX($B$26:$GQ$26,MATCH(70,$B$29:$GQ$29,0))</f>
        <v/>
      </c>
      <c r="BT12">
        <f>INDEX($B$26:$GQ$26,MATCH(71,$B$29:$GQ$29,0))</f>
        <v/>
      </c>
      <c r="BU12">
        <f>INDEX($B$26:$GQ$26,MATCH(72,$B$29:$GQ$29,0))</f>
        <v/>
      </c>
      <c r="BV12">
        <f>INDEX($B$26:$GQ$26,MATCH(73,$B$29:$GQ$29,0))</f>
        <v/>
      </c>
      <c r="BW12">
        <f>INDEX($B$26:$GQ$26,MATCH(74,$B$29:$GQ$29,0))</f>
        <v/>
      </c>
      <c r="BX12">
        <f>INDEX($B$26:$GQ$26,MATCH(75,$B$29:$GQ$29,0))</f>
        <v/>
      </c>
      <c r="BY12">
        <f>INDEX($B$26:$GQ$26,MATCH(76,$B$29:$GQ$29,0))</f>
        <v/>
      </c>
      <c r="BZ12">
        <f>INDEX($B$26:$GQ$26,MATCH(77,$B$29:$GQ$29,0))</f>
        <v/>
      </c>
      <c r="CA12">
        <f>INDEX($B$26:$GQ$26,MATCH(78,$B$29:$GQ$29,0))</f>
        <v/>
      </c>
      <c r="CB12">
        <f>INDEX($B$26:$GQ$26,MATCH(79,$B$29:$GQ$29,0))</f>
        <v/>
      </c>
      <c r="CC12">
        <f>INDEX($B$26:$GQ$26,MATCH(80,$B$29:$GQ$29,0))</f>
        <v/>
      </c>
      <c r="CD12">
        <f>INDEX($B$26:$GQ$26,MATCH(81,$B$29:$GQ$29,0))</f>
        <v/>
      </c>
      <c r="CE12">
        <f>INDEX($B$26:$GQ$26,MATCH(82,$B$29:$GQ$29,0))</f>
        <v/>
      </c>
      <c r="CF12">
        <f>INDEX($B$26:$GQ$26,MATCH(83,$B$29:$GQ$29,0))</f>
        <v/>
      </c>
      <c r="CG12">
        <f>INDEX($B$26:$GQ$26,MATCH(84,$B$29:$GQ$29,0))</f>
        <v/>
      </c>
      <c r="CH12">
        <f>INDEX($B$26:$GQ$26,MATCH(85,$B$29:$GQ$29,0))</f>
        <v/>
      </c>
      <c r="CI12">
        <f>INDEX($B$26:$GQ$26,MATCH(86,$B$29:$GQ$29,0))</f>
        <v/>
      </c>
      <c r="CJ12">
        <f>INDEX($B$26:$GQ$26,MATCH(87,$B$29:$GQ$29,0))</f>
        <v/>
      </c>
      <c r="CK12">
        <f>INDEX($B$26:$GQ$26,MATCH(88,$B$29:$GQ$29,0))</f>
        <v/>
      </c>
      <c r="CL12">
        <f>INDEX($B$26:$GQ$26,MATCH(89,$B$29:$GQ$29,0))</f>
        <v/>
      </c>
      <c r="CM12">
        <f>INDEX($B$26:$GQ$26,MATCH(90,$B$29:$GQ$29,0))</f>
        <v/>
      </c>
      <c r="CN12">
        <f>INDEX($B$26:$GQ$26,MATCH(91,$B$29:$GQ$29,0))</f>
        <v/>
      </c>
      <c r="CO12">
        <f>INDEX($B$26:$GQ$26,MATCH(92,$B$29:$GQ$29,0))</f>
        <v/>
      </c>
      <c r="CP12">
        <f>INDEX($B$26:$GQ$26,MATCH(93,$B$29:$GQ$29,0))</f>
        <v/>
      </c>
      <c r="CQ12">
        <f>INDEX($B$26:$GQ$26,MATCH(94,$B$29:$GQ$29,0))</f>
        <v/>
      </c>
      <c r="CR12">
        <f>INDEX($B$26:$GQ$26,MATCH(95,$B$29:$GQ$29,0))</f>
        <v/>
      </c>
      <c r="CS12">
        <f>INDEX($B$26:$GQ$26,MATCH(96,$B$29:$GQ$29,0))</f>
        <v/>
      </c>
      <c r="CT12">
        <f>INDEX($B$26:$GQ$26,MATCH(97,$B$29:$GQ$29,0))</f>
        <v/>
      </c>
      <c r="CU12">
        <f>INDEX($B$26:$GQ$26,MATCH(98,$B$29:$GQ$29,0))</f>
        <v/>
      </c>
      <c r="CV12">
        <f>INDEX($B$26:$GQ$26,MATCH(99,$B$29:$GQ$29,0))</f>
        <v/>
      </c>
      <c r="CW12">
        <f>INDEX($B$26:$GQ$26,MATCH(100,$B$29:$GQ$29,0))</f>
        <v/>
      </c>
      <c r="CX12">
        <f>INDEX($B$26:$GQ$26,MATCH(101,$B$29:$GQ$29,0))</f>
        <v/>
      </c>
      <c r="CY12">
        <f>INDEX($B$26:$GQ$26,MATCH(102,$B$29:$GQ$29,0))</f>
        <v/>
      </c>
      <c r="CZ12">
        <f>INDEX($B$26:$GQ$26,MATCH(103,$B$29:$GQ$29,0))</f>
        <v/>
      </c>
      <c r="DA12">
        <f>INDEX($B$26:$GQ$26,MATCH(104,$B$29:$GQ$29,0))</f>
        <v/>
      </c>
      <c r="DB12">
        <f>INDEX($B$26:$GQ$26,MATCH(105,$B$29:$GQ$29,0))</f>
        <v/>
      </c>
      <c r="DC12">
        <f>INDEX($B$26:$GQ$26,MATCH(106,$B$29:$GQ$29,0))</f>
        <v/>
      </c>
      <c r="DD12">
        <f>INDEX($B$26:$GQ$26,MATCH(107,$B$29:$GQ$29,0))</f>
        <v/>
      </c>
      <c r="DE12">
        <f>INDEX($B$26:$GQ$26,MATCH(108,$B$29:$GQ$29,0))</f>
        <v/>
      </c>
      <c r="DF12">
        <f>INDEX($B$26:$GQ$26,MATCH(109,$B$29:$GQ$29,0))</f>
        <v/>
      </c>
      <c r="DG12">
        <f>INDEX($B$26:$GQ$26,MATCH(110,$B$29:$GQ$29,0))</f>
        <v/>
      </c>
      <c r="DH12">
        <f>INDEX($B$26:$GQ$26,MATCH(111,$B$29:$GQ$29,0))</f>
        <v/>
      </c>
      <c r="DI12">
        <f>INDEX($B$26:$GQ$26,MATCH(112,$B$29:$GQ$29,0))</f>
        <v/>
      </c>
      <c r="DJ12">
        <f>INDEX($B$26:$GQ$26,MATCH(113,$B$29:$GQ$29,0))</f>
        <v/>
      </c>
      <c r="DK12">
        <f>INDEX($B$26:$GQ$26,MATCH(114,$B$29:$GQ$29,0))</f>
        <v/>
      </c>
      <c r="DL12">
        <f>INDEX($B$26:$GQ$26,MATCH(115,$B$29:$GQ$29,0))</f>
        <v/>
      </c>
      <c r="DM12">
        <f>INDEX($B$26:$GQ$26,MATCH(116,$B$29:$GQ$29,0))</f>
        <v/>
      </c>
      <c r="DN12">
        <f>INDEX($B$26:$GQ$26,MATCH(117,$B$29:$GQ$29,0))</f>
        <v/>
      </c>
      <c r="DO12">
        <f>INDEX($B$26:$GQ$26,MATCH(118,$B$29:$GQ$29,0))</f>
        <v/>
      </c>
      <c r="DP12">
        <f>INDEX($B$26:$GQ$26,MATCH(119,$B$29:$GQ$29,0))</f>
        <v/>
      </c>
      <c r="DQ12">
        <f>INDEX($B$26:$GQ$26,MATCH(120,$B$29:$GQ$29,0))</f>
        <v/>
      </c>
      <c r="DR12">
        <f>INDEX($B$26:$GQ$26,MATCH(121,$B$29:$GQ$29,0))</f>
        <v/>
      </c>
      <c r="DS12">
        <f>INDEX($B$26:$GQ$26,MATCH(122,$B$29:$GQ$29,0))</f>
        <v/>
      </c>
      <c r="DT12">
        <f>INDEX($B$26:$GQ$26,MATCH(123,$B$29:$GQ$29,0))</f>
        <v/>
      </c>
      <c r="DU12">
        <f>INDEX($B$26:$GQ$26,MATCH(124,$B$29:$GQ$29,0))</f>
        <v/>
      </c>
      <c r="DV12">
        <f>INDEX($B$26:$GQ$26,MATCH(125,$B$29:$GQ$29,0))</f>
        <v/>
      </c>
      <c r="DW12">
        <f>INDEX($B$26:$GQ$26,MATCH(126,$B$29:$GQ$29,0))</f>
        <v/>
      </c>
      <c r="DX12">
        <f>INDEX($B$26:$GQ$26,MATCH(127,$B$29:$GQ$29,0))</f>
        <v/>
      </c>
      <c r="DY12">
        <f>INDEX($B$26:$GQ$26,MATCH(128,$B$29:$GQ$29,0))</f>
        <v/>
      </c>
      <c r="DZ12">
        <f>INDEX($B$26:$GQ$26,MATCH(129,$B$29:$GQ$29,0))</f>
        <v/>
      </c>
      <c r="EA12">
        <f>INDEX($B$26:$GQ$26,MATCH(130,$B$29:$GQ$29,0))</f>
        <v/>
      </c>
      <c r="EB12">
        <f>INDEX($B$26:$GQ$26,MATCH(131,$B$29:$GQ$29,0))</f>
        <v/>
      </c>
      <c r="EC12">
        <f>INDEX($B$26:$GQ$26,MATCH(132,$B$29:$GQ$29,0))</f>
        <v/>
      </c>
      <c r="ED12">
        <f>INDEX($B$26:$GQ$26,MATCH(133,$B$29:$GQ$29,0))</f>
        <v/>
      </c>
      <c r="EE12">
        <f>INDEX($B$26:$GQ$26,MATCH(134,$B$29:$GQ$29,0))</f>
        <v/>
      </c>
      <c r="EF12">
        <f>INDEX($B$26:$GQ$26,MATCH(135,$B$29:$GQ$29,0))</f>
        <v/>
      </c>
      <c r="EG12">
        <f>INDEX($B$26:$GQ$26,MATCH(136,$B$29:$GQ$29,0))</f>
        <v/>
      </c>
      <c r="EH12">
        <f>INDEX($B$26:$GQ$26,MATCH(137,$B$29:$GQ$29,0))</f>
        <v/>
      </c>
      <c r="EI12">
        <f>INDEX($B$26:$GQ$26,MATCH(138,$B$29:$GQ$29,0))</f>
        <v/>
      </c>
      <c r="EJ12">
        <f>INDEX($B$26:$GQ$26,MATCH(139,$B$29:$GQ$29,0))</f>
        <v/>
      </c>
      <c r="EK12">
        <f>INDEX($B$26:$GQ$26,MATCH(140,$B$29:$GQ$29,0))</f>
        <v/>
      </c>
      <c r="EL12">
        <f>INDEX($B$26:$GQ$26,MATCH(141,$B$29:$GQ$29,0))</f>
        <v/>
      </c>
      <c r="EM12">
        <f>INDEX($B$26:$GQ$26,MATCH(142,$B$29:$GQ$29,0))</f>
        <v/>
      </c>
      <c r="EN12">
        <f>INDEX($B$26:$GQ$26,MATCH(143,$B$29:$GQ$29,0))</f>
        <v/>
      </c>
      <c r="EO12">
        <f>INDEX($B$26:$GQ$26,MATCH(144,$B$29:$GQ$29,0))</f>
        <v/>
      </c>
      <c r="EP12">
        <f>INDEX($B$26:$GQ$26,MATCH(145,$B$29:$GQ$29,0))</f>
        <v/>
      </c>
      <c r="EQ12">
        <f>INDEX($B$26:$GQ$26,MATCH(146,$B$29:$GQ$29,0))</f>
        <v/>
      </c>
      <c r="ER12">
        <f>INDEX($B$26:$GQ$26,MATCH(147,$B$29:$GQ$29,0))</f>
        <v/>
      </c>
      <c r="ES12">
        <f>INDEX($B$26:$GQ$26,MATCH(148,$B$29:$GQ$29,0))</f>
        <v/>
      </c>
      <c r="ET12">
        <f>INDEX($B$26:$GQ$26,MATCH(149,$B$29:$GQ$29,0))</f>
        <v/>
      </c>
      <c r="EU12">
        <f>INDEX($B$26:$GQ$26,MATCH(150,$B$29:$GQ$29,0))</f>
        <v/>
      </c>
      <c r="EV12">
        <f>INDEX($B$26:$GQ$26,MATCH(151,$B$29:$GQ$29,0))</f>
        <v/>
      </c>
      <c r="EW12">
        <f>INDEX($B$26:$GQ$26,MATCH(152,$B$29:$GQ$29,0))</f>
        <v/>
      </c>
      <c r="EX12">
        <f>INDEX($B$26:$GQ$26,MATCH(153,$B$29:$GQ$29,0))</f>
        <v/>
      </c>
      <c r="EY12">
        <f>INDEX($B$26:$GQ$26,MATCH(154,$B$29:$GQ$29,0))</f>
        <v/>
      </c>
      <c r="EZ12">
        <f>INDEX($B$26:$GQ$26,MATCH(155,$B$29:$GQ$29,0))</f>
        <v/>
      </c>
      <c r="FA12">
        <f>INDEX($B$26:$GQ$26,MATCH(156,$B$29:$GQ$29,0))</f>
        <v/>
      </c>
      <c r="FB12">
        <f>INDEX($B$26:$GQ$26,MATCH(157,$B$29:$GQ$29,0))</f>
        <v/>
      </c>
      <c r="FC12">
        <f>INDEX($B$26:$GQ$26,MATCH(158,$B$29:$GQ$29,0))</f>
        <v/>
      </c>
      <c r="FD12">
        <f>INDEX($B$26:$GQ$26,MATCH(159,$B$29:$GQ$29,0))</f>
        <v/>
      </c>
      <c r="FE12">
        <f>INDEX($B$26:$GQ$26,MATCH(160,$B$29:$GQ$29,0))</f>
        <v/>
      </c>
      <c r="FF12">
        <f>INDEX($B$26:$GQ$26,MATCH(161,$B$29:$GQ$29,0))</f>
        <v/>
      </c>
      <c r="FG12">
        <f>INDEX($B$26:$GQ$26,MATCH(162,$B$29:$GQ$29,0))</f>
        <v/>
      </c>
      <c r="FH12">
        <f>INDEX($B$26:$GQ$26,MATCH(163,$B$29:$GQ$29,0))</f>
        <v/>
      </c>
      <c r="FI12">
        <f>INDEX($B$26:$GQ$26,MATCH(164,$B$29:$GQ$29,0))</f>
        <v/>
      </c>
      <c r="FJ12">
        <f>INDEX($B$26:$GQ$26,MATCH(165,$B$29:$GQ$29,0))</f>
        <v/>
      </c>
      <c r="FK12">
        <f>INDEX($B$26:$GQ$26,MATCH(166,$B$29:$GQ$29,0))</f>
        <v/>
      </c>
      <c r="FL12">
        <f>INDEX($B$26:$GQ$26,MATCH(167,$B$29:$GQ$29,0))</f>
        <v/>
      </c>
      <c r="FM12">
        <f>INDEX($B$26:$GQ$26,MATCH(168,$B$29:$GQ$29,0))</f>
        <v/>
      </c>
      <c r="FN12">
        <f>INDEX($B$26:$GQ$26,MATCH(169,$B$29:$GQ$29,0))</f>
        <v/>
      </c>
      <c r="FO12">
        <f>INDEX($B$26:$GQ$26,MATCH(170,$B$29:$GQ$29,0))</f>
        <v/>
      </c>
      <c r="FP12">
        <f>INDEX($B$26:$GQ$26,MATCH(171,$B$29:$GQ$29,0))</f>
        <v/>
      </c>
      <c r="FQ12">
        <f>INDEX($B$26:$GQ$26,MATCH(172,$B$29:$GQ$29,0))</f>
        <v/>
      </c>
      <c r="FR12">
        <f>INDEX($B$26:$GQ$26,MATCH(173,$B$29:$GQ$29,0))</f>
        <v/>
      </c>
      <c r="FS12">
        <f>INDEX($B$26:$GQ$26,MATCH(174,$B$29:$GQ$29,0))</f>
        <v/>
      </c>
      <c r="FT12">
        <f>INDEX($B$26:$GQ$26,MATCH(175,$B$29:$GQ$29,0))</f>
        <v/>
      </c>
      <c r="FU12">
        <f>INDEX($B$26:$GQ$26,MATCH(176,$B$29:$GQ$29,0))</f>
        <v/>
      </c>
      <c r="FV12">
        <f>INDEX($B$26:$GQ$26,MATCH(177,$B$29:$GQ$29,0))</f>
        <v/>
      </c>
      <c r="FW12">
        <f>INDEX($B$26:$GQ$26,MATCH(178,$B$29:$GQ$29,0))</f>
        <v/>
      </c>
      <c r="FX12">
        <f>INDEX($B$26:$GQ$26,MATCH(179,$B$29:$GQ$29,0))</f>
        <v/>
      </c>
      <c r="FY12">
        <f>INDEX($B$26:$GQ$26,MATCH(180,$B$29:$GQ$29,0))</f>
        <v/>
      </c>
      <c r="FZ12">
        <f>INDEX($B$26:$GQ$26,MATCH(181,$B$29:$GQ$29,0))</f>
        <v/>
      </c>
      <c r="GA12">
        <f>INDEX($B$26:$GQ$26,MATCH(182,$B$29:$GQ$29,0))</f>
        <v/>
      </c>
      <c r="GB12">
        <f>INDEX($B$26:$GQ$26,MATCH(183,$B$29:$GQ$29,0))</f>
        <v/>
      </c>
      <c r="GC12">
        <f>INDEX($B$26:$GQ$26,MATCH(184,$B$29:$GQ$29,0))</f>
        <v/>
      </c>
      <c r="GD12">
        <f>INDEX($B$26:$GQ$26,MATCH(185,$B$29:$GQ$29,0))</f>
        <v/>
      </c>
      <c r="GE12">
        <f>INDEX($B$26:$GQ$26,MATCH(186,$B$29:$GQ$29,0))</f>
        <v/>
      </c>
      <c r="GF12">
        <f>INDEX($B$26:$GQ$26,MATCH(187,$B$29:$GQ$29,0))</f>
        <v/>
      </c>
      <c r="GG12">
        <f>INDEX($B$26:$GQ$26,MATCH(188,$B$29:$GQ$29,0))</f>
        <v/>
      </c>
      <c r="GH12">
        <f>INDEX($B$26:$GQ$26,MATCH(189,$B$29:$GQ$29,0))</f>
        <v/>
      </c>
      <c r="GI12">
        <f>INDEX($B$26:$GQ$26,MATCH(190,$B$29:$GQ$29,0))</f>
        <v/>
      </c>
      <c r="GJ12">
        <f>INDEX($B$26:$GQ$26,MATCH(191,$B$29:$GQ$29,0))</f>
        <v/>
      </c>
      <c r="GK12">
        <f>INDEX($B$26:$GQ$26,MATCH(192,$B$29:$GQ$29,0))</f>
        <v/>
      </c>
      <c r="GL12">
        <f>INDEX($B$26:$GQ$26,MATCH(193,$B$29:$GQ$29,0))</f>
        <v/>
      </c>
      <c r="GM12">
        <f>INDEX($B$26:$GQ$26,MATCH(194,$B$29:$GQ$29,0))</f>
        <v/>
      </c>
      <c r="GN12">
        <f>INDEX($B$26:$GQ$26,MATCH(195,$B$29:$GQ$29,0))</f>
        <v/>
      </c>
      <c r="GO12">
        <f>INDEX($B$26:$GQ$26,MATCH(196,$B$29:$GQ$29,0))</f>
        <v/>
      </c>
      <c r="GP12">
        <f>INDEX($B$26:$GQ$26,MATCH(197,$B$29:$GQ$29,0))</f>
        <v/>
      </c>
      <c r="GQ12">
        <f>INDEX($B$26:$GQ$26,MATCH(198,$B$29:$GQ$29,0))</f>
        <v/>
      </c>
      <c r="GR12">
        <f>INDEX($GR$26:$HC$26,MATCH(1,$GR$30:$HC$30,0))</f>
        <v/>
      </c>
      <c r="GS12">
        <f>INDEX($GR$26:$HC$26,MATCH(2,$GR$30:$HC$30,0))</f>
        <v/>
      </c>
      <c r="GT12">
        <f>INDEX($GR$26:$HC$26,MATCH(3,$GR$30:$HC$30,0))</f>
        <v/>
      </c>
      <c r="GU12">
        <f>INDEX($GR$26:$HC$26,MATCH(4,$GR$30:$HC$30,0))</f>
        <v/>
      </c>
      <c r="GV12">
        <f>INDEX($GR$26:$HC$26,MATCH(5,$GR$30:$HC$30,0))</f>
        <v/>
      </c>
      <c r="GW12">
        <f>INDEX($GR$26:$HC$26,MATCH(6,$GR$30:$HC$30,0))</f>
        <v/>
      </c>
      <c r="GX12">
        <f>INDEX($GR$26:$HC$26,MATCH(7,$GR$30:$HC$30,0))</f>
        <v/>
      </c>
      <c r="GY12">
        <f>INDEX($GR$26:$HC$26,MATCH(8,$GR$30:$HC$30,0))</f>
        <v/>
      </c>
      <c r="GZ12">
        <f>INDEX($GR$26:$HC$26,MATCH(9,$GR$30:$HC$30,0))</f>
        <v/>
      </c>
      <c r="HA12">
        <f>INDEX($GR$26:$HC$26,MATCH(10,$GR$30:$HC$30,0))</f>
        <v/>
      </c>
      <c r="HB12">
        <f>INDEX($GR$26:$HC$26,MATCH(11,$GR$30:$HC$30,0))</f>
        <v/>
      </c>
      <c r="HC12">
        <f>INDEX($GR$26:$HC$26,MATCH(12,$GR$30:$HC$30,0))</f>
        <v/>
      </c>
    </row>
    <row r="13">
      <c r="A13" s="1" t="inlineStr">
        <is>
          <t>M_imp*Y_dom+M_dom*Y_dom+M_row*Y_imp</t>
        </is>
      </c>
      <c r="B13">
        <f>INDEX($B$27:$GQ$27,MATCH(1,$B$29:$GQ$29,0))</f>
        <v/>
      </c>
      <c r="C13">
        <f>INDEX($B$27:$GQ$27,MATCH(2,$B$29:$GQ$29,0))</f>
        <v/>
      </c>
      <c r="D13">
        <f>INDEX($B$27:$GQ$27,MATCH(3,$B$29:$GQ$29,0))</f>
        <v/>
      </c>
      <c r="E13">
        <f>INDEX($B$27:$GQ$27,MATCH(4,$B$29:$GQ$29,0))</f>
        <v/>
      </c>
      <c r="F13">
        <f>INDEX($B$27:$GQ$27,MATCH(5,$B$29:$GQ$29,0))</f>
        <v/>
      </c>
      <c r="G13">
        <f>INDEX($B$27:$GQ$27,MATCH(6,$B$29:$GQ$29,0))</f>
        <v/>
      </c>
      <c r="H13">
        <f>INDEX($B$27:$GQ$27,MATCH(7,$B$29:$GQ$29,0))</f>
        <v/>
      </c>
      <c r="I13">
        <f>INDEX($B$27:$GQ$27,MATCH(8,$B$29:$GQ$29,0))</f>
        <v/>
      </c>
      <c r="J13">
        <f>INDEX($B$27:$GQ$27,MATCH(9,$B$29:$GQ$29,0))</f>
        <v/>
      </c>
      <c r="K13">
        <f>INDEX($B$27:$GQ$27,MATCH(10,$B$29:$GQ$29,0))</f>
        <v/>
      </c>
      <c r="L13">
        <f>INDEX($B$27:$GQ$27,MATCH(11,$B$29:$GQ$29,0))</f>
        <v/>
      </c>
      <c r="M13">
        <f>INDEX($B$27:$GQ$27,MATCH(12,$B$29:$GQ$29,0))</f>
        <v/>
      </c>
      <c r="N13">
        <f>INDEX($B$27:$GQ$27,MATCH(13,$B$29:$GQ$29,0))</f>
        <v/>
      </c>
      <c r="O13">
        <f>INDEX($B$27:$GQ$27,MATCH(14,$B$29:$GQ$29,0))</f>
        <v/>
      </c>
      <c r="P13">
        <f>INDEX($B$27:$GQ$27,MATCH(15,$B$29:$GQ$29,0))</f>
        <v/>
      </c>
      <c r="Q13">
        <f>INDEX($B$27:$GQ$27,MATCH(16,$B$29:$GQ$29,0))</f>
        <v/>
      </c>
      <c r="R13">
        <f>INDEX($B$27:$GQ$27,MATCH(17,$B$29:$GQ$29,0))</f>
        <v/>
      </c>
      <c r="S13">
        <f>INDEX($B$27:$GQ$27,MATCH(18,$B$29:$GQ$29,0))</f>
        <v/>
      </c>
      <c r="T13">
        <f>INDEX($B$27:$GQ$27,MATCH(19,$B$29:$GQ$29,0))</f>
        <v/>
      </c>
      <c r="U13">
        <f>INDEX($B$27:$GQ$27,MATCH(20,$B$29:$GQ$29,0))</f>
        <v/>
      </c>
      <c r="V13">
        <f>INDEX($B$27:$GQ$27,MATCH(21,$B$29:$GQ$29,0))</f>
        <v/>
      </c>
      <c r="W13">
        <f>INDEX($B$27:$GQ$27,MATCH(22,$B$29:$GQ$29,0))</f>
        <v/>
      </c>
      <c r="X13">
        <f>INDEX($B$27:$GQ$27,MATCH(23,$B$29:$GQ$29,0))</f>
        <v/>
      </c>
      <c r="Y13">
        <f>INDEX($B$27:$GQ$27,MATCH(24,$B$29:$GQ$29,0))</f>
        <v/>
      </c>
      <c r="Z13">
        <f>INDEX($B$27:$GQ$27,MATCH(25,$B$29:$GQ$29,0))</f>
        <v/>
      </c>
      <c r="AA13">
        <f>INDEX($B$27:$GQ$27,MATCH(26,$B$29:$GQ$29,0))</f>
        <v/>
      </c>
      <c r="AB13">
        <f>INDEX($B$27:$GQ$27,MATCH(27,$B$29:$GQ$29,0))</f>
        <v/>
      </c>
      <c r="AC13">
        <f>INDEX($B$27:$GQ$27,MATCH(28,$B$29:$GQ$29,0))</f>
        <v/>
      </c>
      <c r="AD13">
        <f>INDEX($B$27:$GQ$27,MATCH(29,$B$29:$GQ$29,0))</f>
        <v/>
      </c>
      <c r="AE13">
        <f>INDEX($B$27:$GQ$27,MATCH(30,$B$29:$GQ$29,0))</f>
        <v/>
      </c>
      <c r="AF13">
        <f>INDEX($B$27:$GQ$27,MATCH(31,$B$29:$GQ$29,0))</f>
        <v/>
      </c>
      <c r="AG13">
        <f>INDEX($B$27:$GQ$27,MATCH(32,$B$29:$GQ$29,0))</f>
        <v/>
      </c>
      <c r="AH13">
        <f>INDEX($B$27:$GQ$27,MATCH(33,$B$29:$GQ$29,0))</f>
        <v/>
      </c>
      <c r="AI13">
        <f>INDEX($B$27:$GQ$27,MATCH(34,$B$29:$GQ$29,0))</f>
        <v/>
      </c>
      <c r="AJ13">
        <f>INDEX($B$27:$GQ$27,MATCH(35,$B$29:$GQ$29,0))</f>
        <v/>
      </c>
      <c r="AK13">
        <f>INDEX($B$27:$GQ$27,MATCH(36,$B$29:$GQ$29,0))</f>
        <v/>
      </c>
      <c r="AL13">
        <f>INDEX($B$27:$GQ$27,MATCH(37,$B$29:$GQ$29,0))</f>
        <v/>
      </c>
      <c r="AM13">
        <f>INDEX($B$27:$GQ$27,MATCH(38,$B$29:$GQ$29,0))</f>
        <v/>
      </c>
      <c r="AN13">
        <f>INDEX($B$27:$GQ$27,MATCH(39,$B$29:$GQ$29,0))</f>
        <v/>
      </c>
      <c r="AO13">
        <f>INDEX($B$27:$GQ$27,MATCH(40,$B$29:$GQ$29,0))</f>
        <v/>
      </c>
      <c r="AP13">
        <f>INDEX($B$27:$GQ$27,MATCH(41,$B$29:$GQ$29,0))</f>
        <v/>
      </c>
      <c r="AQ13">
        <f>INDEX($B$27:$GQ$27,MATCH(42,$B$29:$GQ$29,0))</f>
        <v/>
      </c>
      <c r="AR13">
        <f>INDEX($B$27:$GQ$27,MATCH(43,$B$29:$GQ$29,0))</f>
        <v/>
      </c>
      <c r="AS13">
        <f>INDEX($B$27:$GQ$27,MATCH(44,$B$29:$GQ$29,0))</f>
        <v/>
      </c>
      <c r="AT13">
        <f>INDEX($B$27:$GQ$27,MATCH(45,$B$29:$GQ$29,0))</f>
        <v/>
      </c>
      <c r="AU13">
        <f>INDEX($B$27:$GQ$27,MATCH(46,$B$29:$GQ$29,0))</f>
        <v/>
      </c>
      <c r="AV13">
        <f>INDEX($B$27:$GQ$27,MATCH(47,$B$29:$GQ$29,0))</f>
        <v/>
      </c>
      <c r="AW13">
        <f>INDEX($B$27:$GQ$27,MATCH(48,$B$29:$GQ$29,0))</f>
        <v/>
      </c>
      <c r="AX13">
        <f>INDEX($B$27:$GQ$27,MATCH(49,$B$29:$GQ$29,0))</f>
        <v/>
      </c>
      <c r="AY13">
        <f>INDEX($B$27:$GQ$27,MATCH(50,$B$29:$GQ$29,0))</f>
        <v/>
      </c>
      <c r="AZ13">
        <f>INDEX($B$27:$GQ$27,MATCH(51,$B$29:$GQ$29,0))</f>
        <v/>
      </c>
      <c r="BA13">
        <f>INDEX($B$27:$GQ$27,MATCH(52,$B$29:$GQ$29,0))</f>
        <v/>
      </c>
      <c r="BB13">
        <f>INDEX($B$27:$GQ$27,MATCH(53,$B$29:$GQ$29,0))</f>
        <v/>
      </c>
      <c r="BC13">
        <f>INDEX($B$27:$GQ$27,MATCH(54,$B$29:$GQ$29,0))</f>
        <v/>
      </c>
      <c r="BD13">
        <f>INDEX($B$27:$GQ$27,MATCH(55,$B$29:$GQ$29,0))</f>
        <v/>
      </c>
      <c r="BE13">
        <f>INDEX($B$27:$GQ$27,MATCH(56,$B$29:$GQ$29,0))</f>
        <v/>
      </c>
      <c r="BF13">
        <f>INDEX($B$27:$GQ$27,MATCH(57,$B$29:$GQ$29,0))</f>
        <v/>
      </c>
      <c r="BG13">
        <f>INDEX($B$27:$GQ$27,MATCH(58,$B$29:$GQ$29,0))</f>
        <v/>
      </c>
      <c r="BH13">
        <f>INDEX($B$27:$GQ$27,MATCH(59,$B$29:$GQ$29,0))</f>
        <v/>
      </c>
      <c r="BI13">
        <f>INDEX($B$27:$GQ$27,MATCH(60,$B$29:$GQ$29,0))</f>
        <v/>
      </c>
      <c r="BJ13">
        <f>INDEX($B$27:$GQ$27,MATCH(61,$B$29:$GQ$29,0))</f>
        <v/>
      </c>
      <c r="BK13">
        <f>INDEX($B$27:$GQ$27,MATCH(62,$B$29:$GQ$29,0))</f>
        <v/>
      </c>
      <c r="BL13">
        <f>INDEX($B$27:$GQ$27,MATCH(63,$B$29:$GQ$29,0))</f>
        <v/>
      </c>
      <c r="BM13">
        <f>INDEX($B$27:$GQ$27,MATCH(64,$B$29:$GQ$29,0))</f>
        <v/>
      </c>
      <c r="BN13">
        <f>INDEX($B$27:$GQ$27,MATCH(65,$B$29:$GQ$29,0))</f>
        <v/>
      </c>
      <c r="BO13">
        <f>INDEX($B$27:$GQ$27,MATCH(66,$B$29:$GQ$29,0))</f>
        <v/>
      </c>
      <c r="BP13">
        <f>INDEX($B$27:$GQ$27,MATCH(67,$B$29:$GQ$29,0))</f>
        <v/>
      </c>
      <c r="BQ13">
        <f>INDEX($B$27:$GQ$27,MATCH(68,$B$29:$GQ$29,0))</f>
        <v/>
      </c>
      <c r="BR13">
        <f>INDEX($B$27:$GQ$27,MATCH(69,$B$29:$GQ$29,0))</f>
        <v/>
      </c>
      <c r="BS13">
        <f>INDEX($B$27:$GQ$27,MATCH(70,$B$29:$GQ$29,0))</f>
        <v/>
      </c>
      <c r="BT13">
        <f>INDEX($B$27:$GQ$27,MATCH(71,$B$29:$GQ$29,0))</f>
        <v/>
      </c>
      <c r="BU13">
        <f>INDEX($B$27:$GQ$27,MATCH(72,$B$29:$GQ$29,0))</f>
        <v/>
      </c>
      <c r="BV13">
        <f>INDEX($B$27:$GQ$27,MATCH(73,$B$29:$GQ$29,0))</f>
        <v/>
      </c>
      <c r="BW13">
        <f>INDEX($B$27:$GQ$27,MATCH(74,$B$29:$GQ$29,0))</f>
        <v/>
      </c>
      <c r="BX13">
        <f>INDEX($B$27:$GQ$27,MATCH(75,$B$29:$GQ$29,0))</f>
        <v/>
      </c>
      <c r="BY13">
        <f>INDEX($B$27:$GQ$27,MATCH(76,$B$29:$GQ$29,0))</f>
        <v/>
      </c>
      <c r="BZ13">
        <f>INDEX($B$27:$GQ$27,MATCH(77,$B$29:$GQ$29,0))</f>
        <v/>
      </c>
      <c r="CA13">
        <f>INDEX($B$27:$GQ$27,MATCH(78,$B$29:$GQ$29,0))</f>
        <v/>
      </c>
      <c r="CB13">
        <f>INDEX($B$27:$GQ$27,MATCH(79,$B$29:$GQ$29,0))</f>
        <v/>
      </c>
      <c r="CC13">
        <f>INDEX($B$27:$GQ$27,MATCH(80,$B$29:$GQ$29,0))</f>
        <v/>
      </c>
      <c r="CD13">
        <f>INDEX($B$27:$GQ$27,MATCH(81,$B$29:$GQ$29,0))</f>
        <v/>
      </c>
      <c r="CE13">
        <f>INDEX($B$27:$GQ$27,MATCH(82,$B$29:$GQ$29,0))</f>
        <v/>
      </c>
      <c r="CF13">
        <f>INDEX($B$27:$GQ$27,MATCH(83,$B$29:$GQ$29,0))</f>
        <v/>
      </c>
      <c r="CG13">
        <f>INDEX($B$27:$GQ$27,MATCH(84,$B$29:$GQ$29,0))</f>
        <v/>
      </c>
      <c r="CH13">
        <f>INDEX($B$27:$GQ$27,MATCH(85,$B$29:$GQ$29,0))</f>
        <v/>
      </c>
      <c r="CI13">
        <f>INDEX($B$27:$GQ$27,MATCH(86,$B$29:$GQ$29,0))</f>
        <v/>
      </c>
      <c r="CJ13">
        <f>INDEX($B$27:$GQ$27,MATCH(87,$B$29:$GQ$29,0))</f>
        <v/>
      </c>
      <c r="CK13">
        <f>INDEX($B$27:$GQ$27,MATCH(88,$B$29:$GQ$29,0))</f>
        <v/>
      </c>
      <c r="CL13">
        <f>INDEX($B$27:$GQ$27,MATCH(89,$B$29:$GQ$29,0))</f>
        <v/>
      </c>
      <c r="CM13">
        <f>INDEX($B$27:$GQ$27,MATCH(90,$B$29:$GQ$29,0))</f>
        <v/>
      </c>
      <c r="CN13">
        <f>INDEX($B$27:$GQ$27,MATCH(91,$B$29:$GQ$29,0))</f>
        <v/>
      </c>
      <c r="CO13">
        <f>INDEX($B$27:$GQ$27,MATCH(92,$B$29:$GQ$29,0))</f>
        <v/>
      </c>
      <c r="CP13">
        <f>INDEX($B$27:$GQ$27,MATCH(93,$B$29:$GQ$29,0))</f>
        <v/>
      </c>
      <c r="CQ13">
        <f>INDEX($B$27:$GQ$27,MATCH(94,$B$29:$GQ$29,0))</f>
        <v/>
      </c>
      <c r="CR13">
        <f>INDEX($B$27:$GQ$27,MATCH(95,$B$29:$GQ$29,0))</f>
        <v/>
      </c>
      <c r="CS13">
        <f>INDEX($B$27:$GQ$27,MATCH(96,$B$29:$GQ$29,0))</f>
        <v/>
      </c>
      <c r="CT13">
        <f>INDEX($B$27:$GQ$27,MATCH(97,$B$29:$GQ$29,0))</f>
        <v/>
      </c>
      <c r="CU13">
        <f>INDEX($B$27:$GQ$27,MATCH(98,$B$29:$GQ$29,0))</f>
        <v/>
      </c>
      <c r="CV13">
        <f>INDEX($B$27:$GQ$27,MATCH(99,$B$29:$GQ$29,0))</f>
        <v/>
      </c>
      <c r="CW13">
        <f>INDEX($B$27:$GQ$27,MATCH(100,$B$29:$GQ$29,0))</f>
        <v/>
      </c>
      <c r="CX13">
        <f>INDEX($B$27:$GQ$27,MATCH(101,$B$29:$GQ$29,0))</f>
        <v/>
      </c>
      <c r="CY13">
        <f>INDEX($B$27:$GQ$27,MATCH(102,$B$29:$GQ$29,0))</f>
        <v/>
      </c>
      <c r="CZ13">
        <f>INDEX($B$27:$GQ$27,MATCH(103,$B$29:$GQ$29,0))</f>
        <v/>
      </c>
      <c r="DA13">
        <f>INDEX($B$27:$GQ$27,MATCH(104,$B$29:$GQ$29,0))</f>
        <v/>
      </c>
      <c r="DB13">
        <f>INDEX($B$27:$GQ$27,MATCH(105,$B$29:$GQ$29,0))</f>
        <v/>
      </c>
      <c r="DC13">
        <f>INDEX($B$27:$GQ$27,MATCH(106,$B$29:$GQ$29,0))</f>
        <v/>
      </c>
      <c r="DD13">
        <f>INDEX($B$27:$GQ$27,MATCH(107,$B$29:$GQ$29,0))</f>
        <v/>
      </c>
      <c r="DE13">
        <f>INDEX($B$27:$GQ$27,MATCH(108,$B$29:$GQ$29,0))</f>
        <v/>
      </c>
      <c r="DF13">
        <f>INDEX($B$27:$GQ$27,MATCH(109,$B$29:$GQ$29,0))</f>
        <v/>
      </c>
      <c r="DG13">
        <f>INDEX($B$27:$GQ$27,MATCH(110,$B$29:$GQ$29,0))</f>
        <v/>
      </c>
      <c r="DH13">
        <f>INDEX($B$27:$GQ$27,MATCH(111,$B$29:$GQ$29,0))</f>
        <v/>
      </c>
      <c r="DI13">
        <f>INDEX($B$27:$GQ$27,MATCH(112,$B$29:$GQ$29,0))</f>
        <v/>
      </c>
      <c r="DJ13">
        <f>INDEX($B$27:$GQ$27,MATCH(113,$B$29:$GQ$29,0))</f>
        <v/>
      </c>
      <c r="DK13">
        <f>INDEX($B$27:$GQ$27,MATCH(114,$B$29:$GQ$29,0))</f>
        <v/>
      </c>
      <c r="DL13">
        <f>INDEX($B$27:$GQ$27,MATCH(115,$B$29:$GQ$29,0))</f>
        <v/>
      </c>
      <c r="DM13">
        <f>INDEX($B$27:$GQ$27,MATCH(116,$B$29:$GQ$29,0))</f>
        <v/>
      </c>
      <c r="DN13">
        <f>INDEX($B$27:$GQ$27,MATCH(117,$B$29:$GQ$29,0))</f>
        <v/>
      </c>
      <c r="DO13">
        <f>INDEX($B$27:$GQ$27,MATCH(118,$B$29:$GQ$29,0))</f>
        <v/>
      </c>
      <c r="DP13">
        <f>INDEX($B$27:$GQ$27,MATCH(119,$B$29:$GQ$29,0))</f>
        <v/>
      </c>
      <c r="DQ13">
        <f>INDEX($B$27:$GQ$27,MATCH(120,$B$29:$GQ$29,0))</f>
        <v/>
      </c>
      <c r="DR13">
        <f>INDEX($B$27:$GQ$27,MATCH(121,$B$29:$GQ$29,0))</f>
        <v/>
      </c>
      <c r="DS13">
        <f>INDEX($B$27:$GQ$27,MATCH(122,$B$29:$GQ$29,0))</f>
        <v/>
      </c>
      <c r="DT13">
        <f>INDEX($B$27:$GQ$27,MATCH(123,$B$29:$GQ$29,0))</f>
        <v/>
      </c>
      <c r="DU13">
        <f>INDEX($B$27:$GQ$27,MATCH(124,$B$29:$GQ$29,0))</f>
        <v/>
      </c>
      <c r="DV13">
        <f>INDEX($B$27:$GQ$27,MATCH(125,$B$29:$GQ$29,0))</f>
        <v/>
      </c>
      <c r="DW13">
        <f>INDEX($B$27:$GQ$27,MATCH(126,$B$29:$GQ$29,0))</f>
        <v/>
      </c>
      <c r="DX13">
        <f>INDEX($B$27:$GQ$27,MATCH(127,$B$29:$GQ$29,0))</f>
        <v/>
      </c>
      <c r="DY13">
        <f>INDEX($B$27:$GQ$27,MATCH(128,$B$29:$GQ$29,0))</f>
        <v/>
      </c>
      <c r="DZ13">
        <f>INDEX($B$27:$GQ$27,MATCH(129,$B$29:$GQ$29,0))</f>
        <v/>
      </c>
      <c r="EA13">
        <f>INDEX($B$27:$GQ$27,MATCH(130,$B$29:$GQ$29,0))</f>
        <v/>
      </c>
      <c r="EB13">
        <f>INDEX($B$27:$GQ$27,MATCH(131,$B$29:$GQ$29,0))</f>
        <v/>
      </c>
      <c r="EC13">
        <f>INDEX($B$27:$GQ$27,MATCH(132,$B$29:$GQ$29,0))</f>
        <v/>
      </c>
      <c r="ED13">
        <f>INDEX($B$27:$GQ$27,MATCH(133,$B$29:$GQ$29,0))</f>
        <v/>
      </c>
      <c r="EE13">
        <f>INDEX($B$27:$GQ$27,MATCH(134,$B$29:$GQ$29,0))</f>
        <v/>
      </c>
      <c r="EF13">
        <f>INDEX($B$27:$GQ$27,MATCH(135,$B$29:$GQ$29,0))</f>
        <v/>
      </c>
      <c r="EG13">
        <f>INDEX($B$27:$GQ$27,MATCH(136,$B$29:$GQ$29,0))</f>
        <v/>
      </c>
      <c r="EH13">
        <f>INDEX($B$27:$GQ$27,MATCH(137,$B$29:$GQ$29,0))</f>
        <v/>
      </c>
      <c r="EI13">
        <f>INDEX($B$27:$GQ$27,MATCH(138,$B$29:$GQ$29,0))</f>
        <v/>
      </c>
      <c r="EJ13">
        <f>INDEX($B$27:$GQ$27,MATCH(139,$B$29:$GQ$29,0))</f>
        <v/>
      </c>
      <c r="EK13">
        <f>INDEX($B$27:$GQ$27,MATCH(140,$B$29:$GQ$29,0))</f>
        <v/>
      </c>
      <c r="EL13">
        <f>INDEX($B$27:$GQ$27,MATCH(141,$B$29:$GQ$29,0))</f>
        <v/>
      </c>
      <c r="EM13">
        <f>INDEX($B$27:$GQ$27,MATCH(142,$B$29:$GQ$29,0))</f>
        <v/>
      </c>
      <c r="EN13">
        <f>INDEX($B$27:$GQ$27,MATCH(143,$B$29:$GQ$29,0))</f>
        <v/>
      </c>
      <c r="EO13">
        <f>INDEX($B$27:$GQ$27,MATCH(144,$B$29:$GQ$29,0))</f>
        <v/>
      </c>
      <c r="EP13">
        <f>INDEX($B$27:$GQ$27,MATCH(145,$B$29:$GQ$29,0))</f>
        <v/>
      </c>
      <c r="EQ13">
        <f>INDEX($B$27:$GQ$27,MATCH(146,$B$29:$GQ$29,0))</f>
        <v/>
      </c>
      <c r="ER13">
        <f>INDEX($B$27:$GQ$27,MATCH(147,$B$29:$GQ$29,0))</f>
        <v/>
      </c>
      <c r="ES13">
        <f>INDEX($B$27:$GQ$27,MATCH(148,$B$29:$GQ$29,0))</f>
        <v/>
      </c>
      <c r="ET13">
        <f>INDEX($B$27:$GQ$27,MATCH(149,$B$29:$GQ$29,0))</f>
        <v/>
      </c>
      <c r="EU13">
        <f>INDEX($B$27:$GQ$27,MATCH(150,$B$29:$GQ$29,0))</f>
        <v/>
      </c>
      <c r="EV13">
        <f>INDEX($B$27:$GQ$27,MATCH(151,$B$29:$GQ$29,0))</f>
        <v/>
      </c>
      <c r="EW13">
        <f>INDEX($B$27:$GQ$27,MATCH(152,$B$29:$GQ$29,0))</f>
        <v/>
      </c>
      <c r="EX13">
        <f>INDEX($B$27:$GQ$27,MATCH(153,$B$29:$GQ$29,0))</f>
        <v/>
      </c>
      <c r="EY13">
        <f>INDEX($B$27:$GQ$27,MATCH(154,$B$29:$GQ$29,0))</f>
        <v/>
      </c>
      <c r="EZ13">
        <f>INDEX($B$27:$GQ$27,MATCH(155,$B$29:$GQ$29,0))</f>
        <v/>
      </c>
      <c r="FA13">
        <f>INDEX($B$27:$GQ$27,MATCH(156,$B$29:$GQ$29,0))</f>
        <v/>
      </c>
      <c r="FB13">
        <f>INDEX($B$27:$GQ$27,MATCH(157,$B$29:$GQ$29,0))</f>
        <v/>
      </c>
      <c r="FC13">
        <f>INDEX($B$27:$GQ$27,MATCH(158,$B$29:$GQ$29,0))</f>
        <v/>
      </c>
      <c r="FD13">
        <f>INDEX($B$27:$GQ$27,MATCH(159,$B$29:$GQ$29,0))</f>
        <v/>
      </c>
      <c r="FE13">
        <f>INDEX($B$27:$GQ$27,MATCH(160,$B$29:$GQ$29,0))</f>
        <v/>
      </c>
      <c r="FF13">
        <f>INDEX($B$27:$GQ$27,MATCH(161,$B$29:$GQ$29,0))</f>
        <v/>
      </c>
      <c r="FG13">
        <f>INDEX($B$27:$GQ$27,MATCH(162,$B$29:$GQ$29,0))</f>
        <v/>
      </c>
      <c r="FH13">
        <f>INDEX($B$27:$GQ$27,MATCH(163,$B$29:$GQ$29,0))</f>
        <v/>
      </c>
      <c r="FI13">
        <f>INDEX($B$27:$GQ$27,MATCH(164,$B$29:$GQ$29,0))</f>
        <v/>
      </c>
      <c r="FJ13">
        <f>INDEX($B$27:$GQ$27,MATCH(165,$B$29:$GQ$29,0))</f>
        <v/>
      </c>
      <c r="FK13">
        <f>INDEX($B$27:$GQ$27,MATCH(166,$B$29:$GQ$29,0))</f>
        <v/>
      </c>
      <c r="FL13">
        <f>INDEX($B$27:$GQ$27,MATCH(167,$B$29:$GQ$29,0))</f>
        <v/>
      </c>
      <c r="FM13">
        <f>INDEX($B$27:$GQ$27,MATCH(168,$B$29:$GQ$29,0))</f>
        <v/>
      </c>
      <c r="FN13">
        <f>INDEX($B$27:$GQ$27,MATCH(169,$B$29:$GQ$29,0))</f>
        <v/>
      </c>
      <c r="FO13">
        <f>INDEX($B$27:$GQ$27,MATCH(170,$B$29:$GQ$29,0))</f>
        <v/>
      </c>
      <c r="FP13">
        <f>INDEX($B$27:$GQ$27,MATCH(171,$B$29:$GQ$29,0))</f>
        <v/>
      </c>
      <c r="FQ13">
        <f>INDEX($B$27:$GQ$27,MATCH(172,$B$29:$GQ$29,0))</f>
        <v/>
      </c>
      <c r="FR13">
        <f>INDEX($B$27:$GQ$27,MATCH(173,$B$29:$GQ$29,0))</f>
        <v/>
      </c>
      <c r="FS13">
        <f>INDEX($B$27:$GQ$27,MATCH(174,$B$29:$GQ$29,0))</f>
        <v/>
      </c>
      <c r="FT13">
        <f>INDEX($B$27:$GQ$27,MATCH(175,$B$29:$GQ$29,0))</f>
        <v/>
      </c>
      <c r="FU13">
        <f>INDEX($B$27:$GQ$27,MATCH(176,$B$29:$GQ$29,0))</f>
        <v/>
      </c>
      <c r="FV13">
        <f>INDEX($B$27:$GQ$27,MATCH(177,$B$29:$GQ$29,0))</f>
        <v/>
      </c>
      <c r="FW13">
        <f>INDEX($B$27:$GQ$27,MATCH(178,$B$29:$GQ$29,0))</f>
        <v/>
      </c>
      <c r="FX13">
        <f>INDEX($B$27:$GQ$27,MATCH(179,$B$29:$GQ$29,0))</f>
        <v/>
      </c>
      <c r="FY13">
        <f>INDEX($B$27:$GQ$27,MATCH(180,$B$29:$GQ$29,0))</f>
        <v/>
      </c>
      <c r="FZ13">
        <f>INDEX($B$27:$GQ$27,MATCH(181,$B$29:$GQ$29,0))</f>
        <v/>
      </c>
      <c r="GA13">
        <f>INDEX($B$27:$GQ$27,MATCH(182,$B$29:$GQ$29,0))</f>
        <v/>
      </c>
      <c r="GB13">
        <f>INDEX($B$27:$GQ$27,MATCH(183,$B$29:$GQ$29,0))</f>
        <v/>
      </c>
      <c r="GC13">
        <f>INDEX($B$27:$GQ$27,MATCH(184,$B$29:$GQ$29,0))</f>
        <v/>
      </c>
      <c r="GD13">
        <f>INDEX($B$27:$GQ$27,MATCH(185,$B$29:$GQ$29,0))</f>
        <v/>
      </c>
      <c r="GE13">
        <f>INDEX($B$27:$GQ$27,MATCH(186,$B$29:$GQ$29,0))</f>
        <v/>
      </c>
      <c r="GF13">
        <f>INDEX($B$27:$GQ$27,MATCH(187,$B$29:$GQ$29,0))</f>
        <v/>
      </c>
      <c r="GG13">
        <f>INDEX($B$27:$GQ$27,MATCH(188,$B$29:$GQ$29,0))</f>
        <v/>
      </c>
      <c r="GH13">
        <f>INDEX($B$27:$GQ$27,MATCH(189,$B$29:$GQ$29,0))</f>
        <v/>
      </c>
      <c r="GI13">
        <f>INDEX($B$27:$GQ$27,MATCH(190,$B$29:$GQ$29,0))</f>
        <v/>
      </c>
      <c r="GJ13">
        <f>INDEX($B$27:$GQ$27,MATCH(191,$B$29:$GQ$29,0))</f>
        <v/>
      </c>
      <c r="GK13">
        <f>INDEX($B$27:$GQ$27,MATCH(192,$B$29:$GQ$29,0))</f>
        <v/>
      </c>
      <c r="GL13">
        <f>INDEX($B$27:$GQ$27,MATCH(193,$B$29:$GQ$29,0))</f>
        <v/>
      </c>
      <c r="GM13">
        <f>INDEX($B$27:$GQ$27,MATCH(194,$B$29:$GQ$29,0))</f>
        <v/>
      </c>
      <c r="GN13">
        <f>INDEX($B$27:$GQ$27,MATCH(195,$B$29:$GQ$29,0))</f>
        <v/>
      </c>
      <c r="GO13">
        <f>INDEX($B$27:$GQ$27,MATCH(196,$B$29:$GQ$29,0))</f>
        <v/>
      </c>
      <c r="GP13">
        <f>INDEX($B$27:$GQ$27,MATCH(197,$B$29:$GQ$29,0))</f>
        <v/>
      </c>
      <c r="GQ13">
        <f>INDEX($B$27:$GQ$27,MATCH(198,$B$29:$GQ$29,0))</f>
        <v/>
      </c>
      <c r="GR13">
        <f>INDEX($GR$27:$HC$27,MATCH(1,$GR$30:$HC$30,0))</f>
        <v/>
      </c>
      <c r="GS13">
        <f>INDEX($GR$27:$HC$27,MATCH(2,$GR$30:$HC$30,0))</f>
        <v/>
      </c>
      <c r="GT13">
        <f>INDEX($GR$27:$HC$27,MATCH(3,$GR$30:$HC$30,0))</f>
        <v/>
      </c>
      <c r="GU13">
        <f>INDEX($GR$27:$HC$27,MATCH(4,$GR$30:$HC$30,0))</f>
        <v/>
      </c>
      <c r="GV13">
        <f>INDEX($GR$27:$HC$27,MATCH(5,$GR$30:$HC$30,0))</f>
        <v/>
      </c>
      <c r="GW13">
        <f>INDEX($GR$27:$HC$27,MATCH(6,$GR$30:$HC$30,0))</f>
        <v/>
      </c>
      <c r="GX13">
        <f>INDEX($GR$27:$HC$27,MATCH(7,$GR$30:$HC$30,0))</f>
        <v/>
      </c>
      <c r="GY13">
        <f>INDEX($GR$27:$HC$27,MATCH(8,$GR$30:$HC$30,0))</f>
        <v/>
      </c>
      <c r="GZ13">
        <f>INDEX($GR$27:$HC$27,MATCH(9,$GR$30:$HC$30,0))</f>
        <v/>
      </c>
      <c r="HA13">
        <f>INDEX($GR$27:$HC$27,MATCH(10,$GR$30:$HC$30,0))</f>
        <v/>
      </c>
      <c r="HB13">
        <f>INDEX($GR$27:$HC$27,MATCH(11,$GR$30:$HC$30,0))</f>
        <v/>
      </c>
      <c r="HC13">
        <f>INDEX($GR$27:$HC$27,MATCH(12,$GR$30:$HC$30,0))</f>
        <v/>
      </c>
    </row>
    <row r="14">
      <c r="A14" s="2">
        <f>"Part de "&amp;$B$1&amp;" (%)"</f>
        <v/>
      </c>
      <c r="B14" s="3">
        <f>IFERROR(INDEX($B$28:$GQ$28,MATCH(1,$B$29:$GQ$29,0))/SUM($B$28:$GQ$28)*100,0)</f>
        <v/>
      </c>
      <c r="C14" s="3">
        <f>IFERROR(INDEX($B$28:$GQ$28,MATCH(2,$B$29:$GQ$29,0))/SUM($B$28:$GQ$28)*100,0)</f>
        <v/>
      </c>
      <c r="D14" s="3">
        <f>IFERROR(INDEX($B$28:$GQ$28,MATCH(3,$B$29:$GQ$29,0))/SUM($B$28:$GQ$28)*100,0)</f>
        <v/>
      </c>
      <c r="E14" s="3">
        <f>IFERROR(INDEX($B$28:$GQ$28,MATCH(4,$B$29:$GQ$29,0))/SUM($B$28:$GQ$28)*100,0)</f>
        <v/>
      </c>
      <c r="F14" s="3">
        <f>IFERROR(INDEX($B$28:$GQ$28,MATCH(5,$B$29:$GQ$29,0))/SUM($B$28:$GQ$28)*100,0)</f>
        <v/>
      </c>
      <c r="G14" s="3">
        <f>IFERROR(INDEX($B$28:$GQ$28,MATCH(6,$B$29:$GQ$29,0))/SUM($B$28:$GQ$28)*100,0)</f>
        <v/>
      </c>
      <c r="H14" s="3">
        <f>IFERROR(INDEX($B$28:$GQ$28,MATCH(7,$B$29:$GQ$29,0))/SUM($B$28:$GQ$28)*100,0)</f>
        <v/>
      </c>
      <c r="I14" s="3">
        <f>IFERROR(INDEX($B$28:$GQ$28,MATCH(8,$B$29:$GQ$29,0))/SUM($B$28:$GQ$28)*100,0)</f>
        <v/>
      </c>
      <c r="J14" s="3">
        <f>IFERROR(INDEX($B$28:$GQ$28,MATCH(9,$B$29:$GQ$29,0))/SUM($B$28:$GQ$28)*100,0)</f>
        <v/>
      </c>
      <c r="K14" s="3">
        <f>IFERROR(INDEX($B$28:$GQ$28,MATCH(10,$B$29:$GQ$29,0))/SUM($B$28:$GQ$28)*100,0)</f>
        <v/>
      </c>
      <c r="L14" s="3">
        <f>IFERROR(INDEX($B$28:$GQ$28,MATCH(11,$B$29:$GQ$29,0))/SUM($B$28:$GQ$28)*100,0)</f>
        <v/>
      </c>
      <c r="M14" s="3">
        <f>IFERROR(INDEX($B$28:$GQ$28,MATCH(12,$B$29:$GQ$29,0))/SUM($B$28:$GQ$28)*100,0)</f>
        <v/>
      </c>
      <c r="N14" s="3">
        <f>IFERROR(INDEX($B$28:$GQ$28,MATCH(13,$B$29:$GQ$29,0))/SUM($B$28:$GQ$28)*100,0)</f>
        <v/>
      </c>
      <c r="O14" s="3">
        <f>IFERROR(INDEX($B$28:$GQ$28,MATCH(14,$B$29:$GQ$29,0))/SUM($B$28:$GQ$28)*100,0)</f>
        <v/>
      </c>
      <c r="P14" s="3">
        <f>IFERROR(INDEX($B$28:$GQ$28,MATCH(15,$B$29:$GQ$29,0))/SUM($B$28:$GQ$28)*100,0)</f>
        <v/>
      </c>
      <c r="Q14" s="3">
        <f>IFERROR(INDEX($B$28:$GQ$28,MATCH(16,$B$29:$GQ$29,0))/SUM($B$28:$GQ$28)*100,0)</f>
        <v/>
      </c>
      <c r="R14" s="3">
        <f>IFERROR(INDEX($B$28:$GQ$28,MATCH(17,$B$29:$GQ$29,0))/SUM($B$28:$GQ$28)*100,0)</f>
        <v/>
      </c>
      <c r="S14" s="3">
        <f>IFERROR(INDEX($B$28:$GQ$28,MATCH(18,$B$29:$GQ$29,0))/SUM($B$28:$GQ$28)*100,0)</f>
        <v/>
      </c>
      <c r="T14" s="3">
        <f>IFERROR(INDEX($B$28:$GQ$28,MATCH(19,$B$29:$GQ$29,0))/SUM($B$28:$GQ$28)*100,0)</f>
        <v/>
      </c>
      <c r="U14" s="3">
        <f>IFERROR(INDEX($B$28:$GQ$28,MATCH(20,$B$29:$GQ$29,0))/SUM($B$28:$GQ$28)*100,0)</f>
        <v/>
      </c>
      <c r="V14" s="3">
        <f>IFERROR(INDEX($B$28:$GQ$28,MATCH(21,$B$29:$GQ$29,0))/SUM($B$28:$GQ$28)*100,0)</f>
        <v/>
      </c>
      <c r="W14" s="3">
        <f>IFERROR(INDEX($B$28:$GQ$28,MATCH(22,$B$29:$GQ$29,0))/SUM($B$28:$GQ$28)*100,0)</f>
        <v/>
      </c>
      <c r="X14" s="3">
        <f>IFERROR(INDEX($B$28:$GQ$28,MATCH(23,$B$29:$GQ$29,0))/SUM($B$28:$GQ$28)*100,0)</f>
        <v/>
      </c>
      <c r="Y14" s="3">
        <f>IFERROR(INDEX($B$28:$GQ$28,MATCH(24,$B$29:$GQ$29,0))/SUM($B$28:$GQ$28)*100,0)</f>
        <v/>
      </c>
      <c r="Z14" s="3">
        <f>IFERROR(INDEX($B$28:$GQ$28,MATCH(25,$B$29:$GQ$29,0))/SUM($B$28:$GQ$28)*100,0)</f>
        <v/>
      </c>
      <c r="AA14" s="3">
        <f>IFERROR(INDEX($B$28:$GQ$28,MATCH(26,$B$29:$GQ$29,0))/SUM($B$28:$GQ$28)*100,0)</f>
        <v/>
      </c>
      <c r="AB14" s="3">
        <f>IFERROR(INDEX($B$28:$GQ$28,MATCH(27,$B$29:$GQ$29,0))/SUM($B$28:$GQ$28)*100,0)</f>
        <v/>
      </c>
      <c r="AC14" s="3">
        <f>IFERROR(INDEX($B$28:$GQ$28,MATCH(28,$B$29:$GQ$29,0))/SUM($B$28:$GQ$28)*100,0)</f>
        <v/>
      </c>
      <c r="AD14" s="3">
        <f>IFERROR(INDEX($B$28:$GQ$28,MATCH(29,$B$29:$GQ$29,0))/SUM($B$28:$GQ$28)*100,0)</f>
        <v/>
      </c>
      <c r="AE14" s="3">
        <f>IFERROR(INDEX($B$28:$GQ$28,MATCH(30,$B$29:$GQ$29,0))/SUM($B$28:$GQ$28)*100,0)</f>
        <v/>
      </c>
      <c r="AF14" s="3">
        <f>IFERROR(INDEX($B$28:$GQ$28,MATCH(31,$B$29:$GQ$29,0))/SUM($B$28:$GQ$28)*100,0)</f>
        <v/>
      </c>
      <c r="AG14" s="3">
        <f>IFERROR(INDEX($B$28:$GQ$28,MATCH(32,$B$29:$GQ$29,0))/SUM($B$28:$GQ$28)*100,0)</f>
        <v/>
      </c>
      <c r="AH14" s="3">
        <f>IFERROR(INDEX($B$28:$GQ$28,MATCH(33,$B$29:$GQ$29,0))/SUM($B$28:$GQ$28)*100,0)</f>
        <v/>
      </c>
      <c r="AI14" s="3">
        <f>IFERROR(INDEX($B$28:$GQ$28,MATCH(34,$B$29:$GQ$29,0))/SUM($B$28:$GQ$28)*100,0)</f>
        <v/>
      </c>
      <c r="AJ14" s="3">
        <f>IFERROR(INDEX($B$28:$GQ$28,MATCH(35,$B$29:$GQ$29,0))/SUM($B$28:$GQ$28)*100,0)</f>
        <v/>
      </c>
      <c r="AK14" s="3">
        <f>IFERROR(INDEX($B$28:$GQ$28,MATCH(36,$B$29:$GQ$29,0))/SUM($B$28:$GQ$28)*100,0)</f>
        <v/>
      </c>
      <c r="AL14" s="3">
        <f>IFERROR(INDEX($B$28:$GQ$28,MATCH(37,$B$29:$GQ$29,0))/SUM($B$28:$GQ$28)*100,0)</f>
        <v/>
      </c>
      <c r="AM14" s="3">
        <f>IFERROR(INDEX($B$28:$GQ$28,MATCH(38,$B$29:$GQ$29,0))/SUM($B$28:$GQ$28)*100,0)</f>
        <v/>
      </c>
      <c r="AN14" s="3">
        <f>IFERROR(INDEX($B$28:$GQ$28,MATCH(39,$B$29:$GQ$29,0))/SUM($B$28:$GQ$28)*100,0)</f>
        <v/>
      </c>
      <c r="AO14" s="3">
        <f>IFERROR(INDEX($B$28:$GQ$28,MATCH(40,$B$29:$GQ$29,0))/SUM($B$28:$GQ$28)*100,0)</f>
        <v/>
      </c>
      <c r="AP14" s="3">
        <f>IFERROR(INDEX($B$28:$GQ$28,MATCH(41,$B$29:$GQ$29,0))/SUM($B$28:$GQ$28)*100,0)</f>
        <v/>
      </c>
      <c r="AQ14" s="3">
        <f>IFERROR(INDEX($B$28:$GQ$28,MATCH(42,$B$29:$GQ$29,0))/SUM($B$28:$GQ$28)*100,0)</f>
        <v/>
      </c>
      <c r="AR14" s="3">
        <f>IFERROR(INDEX($B$28:$GQ$28,MATCH(43,$B$29:$GQ$29,0))/SUM($B$28:$GQ$28)*100,0)</f>
        <v/>
      </c>
      <c r="AS14" s="3">
        <f>IFERROR(INDEX($B$28:$GQ$28,MATCH(44,$B$29:$GQ$29,0))/SUM($B$28:$GQ$28)*100,0)</f>
        <v/>
      </c>
      <c r="AT14" s="3">
        <f>IFERROR(INDEX($B$28:$GQ$28,MATCH(45,$B$29:$GQ$29,0))/SUM($B$28:$GQ$28)*100,0)</f>
        <v/>
      </c>
      <c r="AU14" s="3">
        <f>IFERROR(INDEX($B$28:$GQ$28,MATCH(46,$B$29:$GQ$29,0))/SUM($B$28:$GQ$28)*100,0)</f>
        <v/>
      </c>
      <c r="AV14" s="3">
        <f>IFERROR(INDEX($B$28:$GQ$28,MATCH(47,$B$29:$GQ$29,0))/SUM($B$28:$GQ$28)*100,0)</f>
        <v/>
      </c>
      <c r="AW14" s="3">
        <f>IFERROR(INDEX($B$28:$GQ$28,MATCH(48,$B$29:$GQ$29,0))/SUM($B$28:$GQ$28)*100,0)</f>
        <v/>
      </c>
      <c r="AX14" s="3">
        <f>IFERROR(INDEX($B$28:$GQ$28,MATCH(49,$B$29:$GQ$29,0))/SUM($B$28:$GQ$28)*100,0)</f>
        <v/>
      </c>
      <c r="AY14" s="3">
        <f>IFERROR(INDEX($B$28:$GQ$28,MATCH(50,$B$29:$GQ$29,0))/SUM($B$28:$GQ$28)*100,0)</f>
        <v/>
      </c>
      <c r="AZ14" s="3">
        <f>IFERROR(INDEX($B$28:$GQ$28,MATCH(51,$B$29:$GQ$29,0))/SUM($B$28:$GQ$28)*100,0)</f>
        <v/>
      </c>
      <c r="BA14" s="3">
        <f>IFERROR(INDEX($B$28:$GQ$28,MATCH(52,$B$29:$GQ$29,0))/SUM($B$28:$GQ$28)*100,0)</f>
        <v/>
      </c>
      <c r="BB14" s="3">
        <f>IFERROR(INDEX($B$28:$GQ$28,MATCH(53,$B$29:$GQ$29,0))/SUM($B$28:$GQ$28)*100,0)</f>
        <v/>
      </c>
      <c r="BC14" s="3">
        <f>IFERROR(INDEX($B$28:$GQ$28,MATCH(54,$B$29:$GQ$29,0))/SUM($B$28:$GQ$28)*100,0)</f>
        <v/>
      </c>
      <c r="BD14" s="3">
        <f>IFERROR(INDEX($B$28:$GQ$28,MATCH(55,$B$29:$GQ$29,0))/SUM($B$28:$GQ$28)*100,0)</f>
        <v/>
      </c>
      <c r="BE14" s="3">
        <f>IFERROR(INDEX($B$28:$GQ$28,MATCH(56,$B$29:$GQ$29,0))/SUM($B$28:$GQ$28)*100,0)</f>
        <v/>
      </c>
      <c r="BF14" s="3">
        <f>IFERROR(INDEX($B$28:$GQ$28,MATCH(57,$B$29:$GQ$29,0))/SUM($B$28:$GQ$28)*100,0)</f>
        <v/>
      </c>
      <c r="BG14" s="3">
        <f>IFERROR(INDEX($B$28:$GQ$28,MATCH(58,$B$29:$GQ$29,0))/SUM($B$28:$GQ$28)*100,0)</f>
        <v/>
      </c>
      <c r="BH14" s="3">
        <f>IFERROR(INDEX($B$28:$GQ$28,MATCH(59,$B$29:$GQ$29,0))/SUM($B$28:$GQ$28)*100,0)</f>
        <v/>
      </c>
      <c r="BI14" s="3">
        <f>IFERROR(INDEX($B$28:$GQ$28,MATCH(60,$B$29:$GQ$29,0))/SUM($B$28:$GQ$28)*100,0)</f>
        <v/>
      </c>
      <c r="BJ14" s="3">
        <f>IFERROR(INDEX($B$28:$GQ$28,MATCH(61,$B$29:$GQ$29,0))/SUM($B$28:$GQ$28)*100,0)</f>
        <v/>
      </c>
      <c r="BK14" s="3">
        <f>IFERROR(INDEX($B$28:$GQ$28,MATCH(62,$B$29:$GQ$29,0))/SUM($B$28:$GQ$28)*100,0)</f>
        <v/>
      </c>
      <c r="BL14" s="3">
        <f>IFERROR(INDEX($B$28:$GQ$28,MATCH(63,$B$29:$GQ$29,0))/SUM($B$28:$GQ$28)*100,0)</f>
        <v/>
      </c>
      <c r="BM14" s="3">
        <f>IFERROR(INDEX($B$28:$GQ$28,MATCH(64,$B$29:$GQ$29,0))/SUM($B$28:$GQ$28)*100,0)</f>
        <v/>
      </c>
      <c r="BN14" s="3">
        <f>IFERROR(INDEX($B$28:$GQ$28,MATCH(65,$B$29:$GQ$29,0))/SUM($B$28:$GQ$28)*100,0)</f>
        <v/>
      </c>
      <c r="BO14" s="3">
        <f>IFERROR(INDEX($B$28:$GQ$28,MATCH(66,$B$29:$GQ$29,0))/SUM($B$28:$GQ$28)*100,0)</f>
        <v/>
      </c>
      <c r="BP14" s="3">
        <f>IFERROR(INDEX($B$28:$GQ$28,MATCH(67,$B$29:$GQ$29,0))/SUM($B$28:$GQ$28)*100,0)</f>
        <v/>
      </c>
      <c r="BQ14" s="3">
        <f>IFERROR(INDEX($B$28:$GQ$28,MATCH(68,$B$29:$GQ$29,0))/SUM($B$28:$GQ$28)*100,0)</f>
        <v/>
      </c>
      <c r="BR14" s="3">
        <f>IFERROR(INDEX($B$28:$GQ$28,MATCH(69,$B$29:$GQ$29,0))/SUM($B$28:$GQ$28)*100,0)</f>
        <v/>
      </c>
      <c r="BS14" s="3">
        <f>IFERROR(INDEX($B$28:$GQ$28,MATCH(70,$B$29:$GQ$29,0))/SUM($B$28:$GQ$28)*100,0)</f>
        <v/>
      </c>
      <c r="BT14" s="3">
        <f>IFERROR(INDEX($B$28:$GQ$28,MATCH(71,$B$29:$GQ$29,0))/SUM($B$28:$GQ$28)*100,0)</f>
        <v/>
      </c>
      <c r="BU14" s="3">
        <f>IFERROR(INDEX($B$28:$GQ$28,MATCH(72,$B$29:$GQ$29,0))/SUM($B$28:$GQ$28)*100,0)</f>
        <v/>
      </c>
      <c r="BV14" s="3">
        <f>IFERROR(INDEX($B$28:$GQ$28,MATCH(73,$B$29:$GQ$29,0))/SUM($B$28:$GQ$28)*100,0)</f>
        <v/>
      </c>
      <c r="BW14" s="3">
        <f>IFERROR(INDEX($B$28:$GQ$28,MATCH(74,$B$29:$GQ$29,0))/SUM($B$28:$GQ$28)*100,0)</f>
        <v/>
      </c>
      <c r="BX14" s="3">
        <f>IFERROR(INDEX($B$28:$GQ$28,MATCH(75,$B$29:$GQ$29,0))/SUM($B$28:$GQ$28)*100,0)</f>
        <v/>
      </c>
      <c r="BY14" s="3">
        <f>IFERROR(INDEX($B$28:$GQ$28,MATCH(76,$B$29:$GQ$29,0))/SUM($B$28:$GQ$28)*100,0)</f>
        <v/>
      </c>
      <c r="BZ14" s="3">
        <f>IFERROR(INDEX($B$28:$GQ$28,MATCH(77,$B$29:$GQ$29,0))/SUM($B$28:$GQ$28)*100,0)</f>
        <v/>
      </c>
      <c r="CA14" s="3">
        <f>IFERROR(INDEX($B$28:$GQ$28,MATCH(78,$B$29:$GQ$29,0))/SUM($B$28:$GQ$28)*100,0)</f>
        <v/>
      </c>
      <c r="CB14" s="3">
        <f>IFERROR(INDEX($B$28:$GQ$28,MATCH(79,$B$29:$GQ$29,0))/SUM($B$28:$GQ$28)*100,0)</f>
        <v/>
      </c>
      <c r="CC14" s="3">
        <f>IFERROR(INDEX($B$28:$GQ$28,MATCH(80,$B$29:$GQ$29,0))/SUM($B$28:$GQ$28)*100,0)</f>
        <v/>
      </c>
      <c r="CD14" s="3">
        <f>IFERROR(INDEX($B$28:$GQ$28,MATCH(81,$B$29:$GQ$29,0))/SUM($B$28:$GQ$28)*100,0)</f>
        <v/>
      </c>
      <c r="CE14" s="3">
        <f>IFERROR(INDEX($B$28:$GQ$28,MATCH(82,$B$29:$GQ$29,0))/SUM($B$28:$GQ$28)*100,0)</f>
        <v/>
      </c>
      <c r="CF14" s="3">
        <f>IFERROR(INDEX($B$28:$GQ$28,MATCH(83,$B$29:$GQ$29,0))/SUM($B$28:$GQ$28)*100,0)</f>
        <v/>
      </c>
      <c r="CG14" s="3">
        <f>IFERROR(INDEX($B$28:$GQ$28,MATCH(84,$B$29:$GQ$29,0))/SUM($B$28:$GQ$28)*100,0)</f>
        <v/>
      </c>
      <c r="CH14" s="3">
        <f>IFERROR(INDEX($B$28:$GQ$28,MATCH(85,$B$29:$GQ$29,0))/SUM($B$28:$GQ$28)*100,0)</f>
        <v/>
      </c>
      <c r="CI14" s="3">
        <f>IFERROR(INDEX($B$28:$GQ$28,MATCH(86,$B$29:$GQ$29,0))/SUM($B$28:$GQ$28)*100,0)</f>
        <v/>
      </c>
      <c r="CJ14" s="3">
        <f>IFERROR(INDEX($B$28:$GQ$28,MATCH(87,$B$29:$GQ$29,0))/SUM($B$28:$GQ$28)*100,0)</f>
        <v/>
      </c>
      <c r="CK14" s="3">
        <f>IFERROR(INDEX($B$28:$GQ$28,MATCH(88,$B$29:$GQ$29,0))/SUM($B$28:$GQ$28)*100,0)</f>
        <v/>
      </c>
      <c r="CL14" s="3">
        <f>IFERROR(INDEX($B$28:$GQ$28,MATCH(89,$B$29:$GQ$29,0))/SUM($B$28:$GQ$28)*100,0)</f>
        <v/>
      </c>
      <c r="CM14" s="3">
        <f>IFERROR(INDEX($B$28:$GQ$28,MATCH(90,$B$29:$GQ$29,0))/SUM($B$28:$GQ$28)*100,0)</f>
        <v/>
      </c>
      <c r="CN14" s="3">
        <f>IFERROR(INDEX($B$28:$GQ$28,MATCH(91,$B$29:$GQ$29,0))/SUM($B$28:$GQ$28)*100,0)</f>
        <v/>
      </c>
      <c r="CO14" s="3">
        <f>IFERROR(INDEX($B$28:$GQ$28,MATCH(92,$B$29:$GQ$29,0))/SUM($B$28:$GQ$28)*100,0)</f>
        <v/>
      </c>
      <c r="CP14" s="3">
        <f>IFERROR(INDEX($B$28:$GQ$28,MATCH(93,$B$29:$GQ$29,0))/SUM($B$28:$GQ$28)*100,0)</f>
        <v/>
      </c>
      <c r="CQ14" s="3">
        <f>IFERROR(INDEX($B$28:$GQ$28,MATCH(94,$B$29:$GQ$29,0))/SUM($B$28:$GQ$28)*100,0)</f>
        <v/>
      </c>
      <c r="CR14" s="3">
        <f>IFERROR(INDEX($B$28:$GQ$28,MATCH(95,$B$29:$GQ$29,0))/SUM($B$28:$GQ$28)*100,0)</f>
        <v/>
      </c>
      <c r="CS14" s="3">
        <f>IFERROR(INDEX($B$28:$GQ$28,MATCH(96,$B$29:$GQ$29,0))/SUM($B$28:$GQ$28)*100,0)</f>
        <v/>
      </c>
      <c r="CT14" s="3">
        <f>IFERROR(INDEX($B$28:$GQ$28,MATCH(97,$B$29:$GQ$29,0))/SUM($B$28:$GQ$28)*100,0)</f>
        <v/>
      </c>
      <c r="CU14" s="3">
        <f>IFERROR(INDEX($B$28:$GQ$28,MATCH(98,$B$29:$GQ$29,0))/SUM($B$28:$GQ$28)*100,0)</f>
        <v/>
      </c>
      <c r="CV14" s="3">
        <f>IFERROR(INDEX($B$28:$GQ$28,MATCH(99,$B$29:$GQ$29,0))/SUM($B$28:$GQ$28)*100,0)</f>
        <v/>
      </c>
      <c r="CW14" s="3">
        <f>IFERROR(INDEX($B$28:$GQ$28,MATCH(100,$B$29:$GQ$29,0))/SUM($B$28:$GQ$28)*100,0)</f>
        <v/>
      </c>
      <c r="CX14" s="3">
        <f>IFERROR(INDEX($B$28:$GQ$28,MATCH(101,$B$29:$GQ$29,0))/SUM($B$28:$GQ$28)*100,0)</f>
        <v/>
      </c>
      <c r="CY14" s="3">
        <f>IFERROR(INDEX($B$28:$GQ$28,MATCH(102,$B$29:$GQ$29,0))/SUM($B$28:$GQ$28)*100,0)</f>
        <v/>
      </c>
      <c r="CZ14" s="3">
        <f>IFERROR(INDEX($B$28:$GQ$28,MATCH(103,$B$29:$GQ$29,0))/SUM($B$28:$GQ$28)*100,0)</f>
        <v/>
      </c>
      <c r="DA14" s="3">
        <f>IFERROR(INDEX($B$28:$GQ$28,MATCH(104,$B$29:$GQ$29,0))/SUM($B$28:$GQ$28)*100,0)</f>
        <v/>
      </c>
      <c r="DB14" s="3">
        <f>IFERROR(INDEX($B$28:$GQ$28,MATCH(105,$B$29:$GQ$29,0))/SUM($B$28:$GQ$28)*100,0)</f>
        <v/>
      </c>
      <c r="DC14" s="3">
        <f>IFERROR(INDEX($B$28:$GQ$28,MATCH(106,$B$29:$GQ$29,0))/SUM($B$28:$GQ$28)*100,0)</f>
        <v/>
      </c>
      <c r="DD14" s="3">
        <f>IFERROR(INDEX($B$28:$GQ$28,MATCH(107,$B$29:$GQ$29,0))/SUM($B$28:$GQ$28)*100,0)</f>
        <v/>
      </c>
      <c r="DE14" s="3">
        <f>IFERROR(INDEX($B$28:$GQ$28,MATCH(108,$B$29:$GQ$29,0))/SUM($B$28:$GQ$28)*100,0)</f>
        <v/>
      </c>
      <c r="DF14" s="3">
        <f>IFERROR(INDEX($B$28:$GQ$28,MATCH(109,$B$29:$GQ$29,0))/SUM($B$28:$GQ$28)*100,0)</f>
        <v/>
      </c>
      <c r="DG14" s="3">
        <f>IFERROR(INDEX($B$28:$GQ$28,MATCH(110,$B$29:$GQ$29,0))/SUM($B$28:$GQ$28)*100,0)</f>
        <v/>
      </c>
      <c r="DH14" s="3">
        <f>IFERROR(INDEX($B$28:$GQ$28,MATCH(111,$B$29:$GQ$29,0))/SUM($B$28:$GQ$28)*100,0)</f>
        <v/>
      </c>
      <c r="DI14" s="3">
        <f>IFERROR(INDEX($B$28:$GQ$28,MATCH(112,$B$29:$GQ$29,0))/SUM($B$28:$GQ$28)*100,0)</f>
        <v/>
      </c>
      <c r="DJ14" s="3">
        <f>IFERROR(INDEX($B$28:$GQ$28,MATCH(113,$B$29:$GQ$29,0))/SUM($B$28:$GQ$28)*100,0)</f>
        <v/>
      </c>
      <c r="DK14" s="3">
        <f>IFERROR(INDEX($B$28:$GQ$28,MATCH(114,$B$29:$GQ$29,0))/SUM($B$28:$GQ$28)*100,0)</f>
        <v/>
      </c>
      <c r="DL14" s="3">
        <f>IFERROR(INDEX($B$28:$GQ$28,MATCH(115,$B$29:$GQ$29,0))/SUM($B$28:$GQ$28)*100,0)</f>
        <v/>
      </c>
      <c r="DM14" s="3">
        <f>IFERROR(INDEX($B$28:$GQ$28,MATCH(116,$B$29:$GQ$29,0))/SUM($B$28:$GQ$28)*100,0)</f>
        <v/>
      </c>
      <c r="DN14" s="3">
        <f>IFERROR(INDEX($B$28:$GQ$28,MATCH(117,$B$29:$GQ$29,0))/SUM($B$28:$GQ$28)*100,0)</f>
        <v/>
      </c>
      <c r="DO14" s="3">
        <f>IFERROR(INDEX($B$28:$GQ$28,MATCH(118,$B$29:$GQ$29,0))/SUM($B$28:$GQ$28)*100,0)</f>
        <v/>
      </c>
      <c r="DP14" s="3">
        <f>IFERROR(INDEX($B$28:$GQ$28,MATCH(119,$B$29:$GQ$29,0))/SUM($B$28:$GQ$28)*100,0)</f>
        <v/>
      </c>
      <c r="DQ14" s="3">
        <f>IFERROR(INDEX($B$28:$GQ$28,MATCH(120,$B$29:$GQ$29,0))/SUM($B$28:$GQ$28)*100,0)</f>
        <v/>
      </c>
      <c r="DR14" s="3">
        <f>IFERROR(INDEX($B$28:$GQ$28,MATCH(121,$B$29:$GQ$29,0))/SUM($B$28:$GQ$28)*100,0)</f>
        <v/>
      </c>
      <c r="DS14" s="3">
        <f>IFERROR(INDEX($B$28:$GQ$28,MATCH(122,$B$29:$GQ$29,0))/SUM($B$28:$GQ$28)*100,0)</f>
        <v/>
      </c>
      <c r="DT14" s="3">
        <f>IFERROR(INDEX($B$28:$GQ$28,MATCH(123,$B$29:$GQ$29,0))/SUM($B$28:$GQ$28)*100,0)</f>
        <v/>
      </c>
      <c r="DU14" s="3">
        <f>IFERROR(INDEX($B$28:$GQ$28,MATCH(124,$B$29:$GQ$29,0))/SUM($B$28:$GQ$28)*100,0)</f>
        <v/>
      </c>
      <c r="DV14" s="3">
        <f>IFERROR(INDEX($B$28:$GQ$28,MATCH(125,$B$29:$GQ$29,0))/SUM($B$28:$GQ$28)*100,0)</f>
        <v/>
      </c>
      <c r="DW14" s="3">
        <f>IFERROR(INDEX($B$28:$GQ$28,MATCH(126,$B$29:$GQ$29,0))/SUM($B$28:$GQ$28)*100,0)</f>
        <v/>
      </c>
      <c r="DX14" s="3">
        <f>IFERROR(INDEX($B$28:$GQ$28,MATCH(127,$B$29:$GQ$29,0))/SUM($B$28:$GQ$28)*100,0)</f>
        <v/>
      </c>
      <c r="DY14" s="3">
        <f>IFERROR(INDEX($B$28:$GQ$28,MATCH(128,$B$29:$GQ$29,0))/SUM($B$28:$GQ$28)*100,0)</f>
        <v/>
      </c>
      <c r="DZ14" s="3">
        <f>IFERROR(INDEX($B$28:$GQ$28,MATCH(129,$B$29:$GQ$29,0))/SUM($B$28:$GQ$28)*100,0)</f>
        <v/>
      </c>
      <c r="EA14" s="3">
        <f>IFERROR(INDEX($B$28:$GQ$28,MATCH(130,$B$29:$GQ$29,0))/SUM($B$28:$GQ$28)*100,0)</f>
        <v/>
      </c>
      <c r="EB14" s="3">
        <f>IFERROR(INDEX($B$28:$GQ$28,MATCH(131,$B$29:$GQ$29,0))/SUM($B$28:$GQ$28)*100,0)</f>
        <v/>
      </c>
      <c r="EC14" s="3">
        <f>IFERROR(INDEX($B$28:$GQ$28,MATCH(132,$B$29:$GQ$29,0))/SUM($B$28:$GQ$28)*100,0)</f>
        <v/>
      </c>
      <c r="ED14" s="3">
        <f>IFERROR(INDEX($B$28:$GQ$28,MATCH(133,$B$29:$GQ$29,0))/SUM($B$28:$GQ$28)*100,0)</f>
        <v/>
      </c>
      <c r="EE14" s="3">
        <f>IFERROR(INDEX($B$28:$GQ$28,MATCH(134,$B$29:$GQ$29,0))/SUM($B$28:$GQ$28)*100,0)</f>
        <v/>
      </c>
      <c r="EF14" s="3">
        <f>IFERROR(INDEX($B$28:$GQ$28,MATCH(135,$B$29:$GQ$29,0))/SUM($B$28:$GQ$28)*100,0)</f>
        <v/>
      </c>
      <c r="EG14" s="3">
        <f>IFERROR(INDEX($B$28:$GQ$28,MATCH(136,$B$29:$GQ$29,0))/SUM($B$28:$GQ$28)*100,0)</f>
        <v/>
      </c>
      <c r="EH14" s="3">
        <f>IFERROR(INDEX($B$28:$GQ$28,MATCH(137,$B$29:$GQ$29,0))/SUM($B$28:$GQ$28)*100,0)</f>
        <v/>
      </c>
      <c r="EI14" s="3">
        <f>IFERROR(INDEX($B$28:$GQ$28,MATCH(138,$B$29:$GQ$29,0))/SUM($B$28:$GQ$28)*100,0)</f>
        <v/>
      </c>
      <c r="EJ14" s="3">
        <f>IFERROR(INDEX($B$28:$GQ$28,MATCH(139,$B$29:$GQ$29,0))/SUM($B$28:$GQ$28)*100,0)</f>
        <v/>
      </c>
      <c r="EK14" s="3">
        <f>IFERROR(INDEX($B$28:$GQ$28,MATCH(140,$B$29:$GQ$29,0))/SUM($B$28:$GQ$28)*100,0)</f>
        <v/>
      </c>
      <c r="EL14" s="3">
        <f>IFERROR(INDEX($B$28:$GQ$28,MATCH(141,$B$29:$GQ$29,0))/SUM($B$28:$GQ$28)*100,0)</f>
        <v/>
      </c>
      <c r="EM14" s="3">
        <f>IFERROR(INDEX($B$28:$GQ$28,MATCH(142,$B$29:$GQ$29,0))/SUM($B$28:$GQ$28)*100,0)</f>
        <v/>
      </c>
      <c r="EN14" s="3">
        <f>IFERROR(INDEX($B$28:$GQ$28,MATCH(143,$B$29:$GQ$29,0))/SUM($B$28:$GQ$28)*100,0)</f>
        <v/>
      </c>
      <c r="EO14" s="3">
        <f>IFERROR(INDEX($B$28:$GQ$28,MATCH(144,$B$29:$GQ$29,0))/SUM($B$28:$GQ$28)*100,0)</f>
        <v/>
      </c>
      <c r="EP14" s="3">
        <f>IFERROR(INDEX($B$28:$GQ$28,MATCH(145,$B$29:$GQ$29,0))/SUM($B$28:$GQ$28)*100,0)</f>
        <v/>
      </c>
      <c r="EQ14" s="3">
        <f>IFERROR(INDEX($B$28:$GQ$28,MATCH(146,$B$29:$GQ$29,0))/SUM($B$28:$GQ$28)*100,0)</f>
        <v/>
      </c>
      <c r="ER14" s="3">
        <f>IFERROR(INDEX($B$28:$GQ$28,MATCH(147,$B$29:$GQ$29,0))/SUM($B$28:$GQ$28)*100,0)</f>
        <v/>
      </c>
      <c r="ES14" s="3">
        <f>IFERROR(INDEX($B$28:$GQ$28,MATCH(148,$B$29:$GQ$29,0))/SUM($B$28:$GQ$28)*100,0)</f>
        <v/>
      </c>
      <c r="ET14" s="3">
        <f>IFERROR(INDEX($B$28:$GQ$28,MATCH(149,$B$29:$GQ$29,0))/SUM($B$28:$GQ$28)*100,0)</f>
        <v/>
      </c>
      <c r="EU14" s="3">
        <f>IFERROR(INDEX($B$28:$GQ$28,MATCH(150,$B$29:$GQ$29,0))/SUM($B$28:$GQ$28)*100,0)</f>
        <v/>
      </c>
      <c r="EV14" s="3">
        <f>IFERROR(INDEX($B$28:$GQ$28,MATCH(151,$B$29:$GQ$29,0))/SUM($B$28:$GQ$28)*100,0)</f>
        <v/>
      </c>
      <c r="EW14" s="3">
        <f>IFERROR(INDEX($B$28:$GQ$28,MATCH(152,$B$29:$GQ$29,0))/SUM($B$28:$GQ$28)*100,0)</f>
        <v/>
      </c>
      <c r="EX14" s="3">
        <f>IFERROR(INDEX($B$28:$GQ$28,MATCH(153,$B$29:$GQ$29,0))/SUM($B$28:$GQ$28)*100,0)</f>
        <v/>
      </c>
      <c r="EY14" s="3">
        <f>IFERROR(INDEX($B$28:$GQ$28,MATCH(154,$B$29:$GQ$29,0))/SUM($B$28:$GQ$28)*100,0)</f>
        <v/>
      </c>
      <c r="EZ14" s="3">
        <f>IFERROR(INDEX($B$28:$GQ$28,MATCH(155,$B$29:$GQ$29,0))/SUM($B$28:$GQ$28)*100,0)</f>
        <v/>
      </c>
      <c r="FA14" s="3">
        <f>IFERROR(INDEX($B$28:$GQ$28,MATCH(156,$B$29:$GQ$29,0))/SUM($B$28:$GQ$28)*100,0)</f>
        <v/>
      </c>
      <c r="FB14" s="3">
        <f>IFERROR(INDEX($B$28:$GQ$28,MATCH(157,$B$29:$GQ$29,0))/SUM($B$28:$GQ$28)*100,0)</f>
        <v/>
      </c>
      <c r="FC14" s="3">
        <f>IFERROR(INDEX($B$28:$GQ$28,MATCH(158,$B$29:$GQ$29,0))/SUM($B$28:$GQ$28)*100,0)</f>
        <v/>
      </c>
      <c r="FD14" s="3">
        <f>IFERROR(INDEX($B$28:$GQ$28,MATCH(159,$B$29:$GQ$29,0))/SUM($B$28:$GQ$28)*100,0)</f>
        <v/>
      </c>
      <c r="FE14" s="3">
        <f>IFERROR(INDEX($B$28:$GQ$28,MATCH(160,$B$29:$GQ$29,0))/SUM($B$28:$GQ$28)*100,0)</f>
        <v/>
      </c>
      <c r="FF14" s="3">
        <f>IFERROR(INDEX($B$28:$GQ$28,MATCH(161,$B$29:$GQ$29,0))/SUM($B$28:$GQ$28)*100,0)</f>
        <v/>
      </c>
      <c r="FG14" s="3">
        <f>IFERROR(INDEX($B$28:$GQ$28,MATCH(162,$B$29:$GQ$29,0))/SUM($B$28:$GQ$28)*100,0)</f>
        <v/>
      </c>
      <c r="FH14" s="3">
        <f>IFERROR(INDEX($B$28:$GQ$28,MATCH(163,$B$29:$GQ$29,0))/SUM($B$28:$GQ$28)*100,0)</f>
        <v/>
      </c>
      <c r="FI14" s="3">
        <f>IFERROR(INDEX($B$28:$GQ$28,MATCH(164,$B$29:$GQ$29,0))/SUM($B$28:$GQ$28)*100,0)</f>
        <v/>
      </c>
      <c r="FJ14" s="3">
        <f>IFERROR(INDEX($B$28:$GQ$28,MATCH(165,$B$29:$GQ$29,0))/SUM($B$28:$GQ$28)*100,0)</f>
        <v/>
      </c>
      <c r="FK14" s="3">
        <f>IFERROR(INDEX($B$28:$GQ$28,MATCH(166,$B$29:$GQ$29,0))/SUM($B$28:$GQ$28)*100,0)</f>
        <v/>
      </c>
      <c r="FL14" s="3">
        <f>IFERROR(INDEX($B$28:$GQ$28,MATCH(167,$B$29:$GQ$29,0))/SUM($B$28:$GQ$28)*100,0)</f>
        <v/>
      </c>
      <c r="FM14" s="3">
        <f>IFERROR(INDEX($B$28:$GQ$28,MATCH(168,$B$29:$GQ$29,0))/SUM($B$28:$GQ$28)*100,0)</f>
        <v/>
      </c>
      <c r="FN14" s="3">
        <f>IFERROR(INDEX($B$28:$GQ$28,MATCH(169,$B$29:$GQ$29,0))/SUM($B$28:$GQ$28)*100,0)</f>
        <v/>
      </c>
      <c r="FO14" s="3">
        <f>IFERROR(INDEX($B$28:$GQ$28,MATCH(170,$B$29:$GQ$29,0))/SUM($B$28:$GQ$28)*100,0)</f>
        <v/>
      </c>
      <c r="FP14" s="3">
        <f>IFERROR(INDEX($B$28:$GQ$28,MATCH(171,$B$29:$GQ$29,0))/SUM($B$28:$GQ$28)*100,0)</f>
        <v/>
      </c>
      <c r="FQ14" s="3">
        <f>IFERROR(INDEX($B$28:$GQ$28,MATCH(172,$B$29:$GQ$29,0))/SUM($B$28:$GQ$28)*100,0)</f>
        <v/>
      </c>
      <c r="FR14" s="3">
        <f>IFERROR(INDEX($B$28:$GQ$28,MATCH(173,$B$29:$GQ$29,0))/SUM($B$28:$GQ$28)*100,0)</f>
        <v/>
      </c>
      <c r="FS14" s="3">
        <f>IFERROR(INDEX($B$28:$GQ$28,MATCH(174,$B$29:$GQ$29,0))/SUM($B$28:$GQ$28)*100,0)</f>
        <v/>
      </c>
      <c r="FT14" s="3">
        <f>IFERROR(INDEX($B$28:$GQ$28,MATCH(175,$B$29:$GQ$29,0))/SUM($B$28:$GQ$28)*100,0)</f>
        <v/>
      </c>
      <c r="FU14" s="3">
        <f>IFERROR(INDEX($B$28:$GQ$28,MATCH(176,$B$29:$GQ$29,0))/SUM($B$28:$GQ$28)*100,0)</f>
        <v/>
      </c>
      <c r="FV14" s="3">
        <f>IFERROR(INDEX($B$28:$GQ$28,MATCH(177,$B$29:$GQ$29,0))/SUM($B$28:$GQ$28)*100,0)</f>
        <v/>
      </c>
      <c r="FW14" s="3">
        <f>IFERROR(INDEX($B$28:$GQ$28,MATCH(178,$B$29:$GQ$29,0))/SUM($B$28:$GQ$28)*100,0)</f>
        <v/>
      </c>
      <c r="FX14" s="3">
        <f>IFERROR(INDEX($B$28:$GQ$28,MATCH(179,$B$29:$GQ$29,0))/SUM($B$28:$GQ$28)*100,0)</f>
        <v/>
      </c>
      <c r="FY14" s="3">
        <f>IFERROR(INDEX($B$28:$GQ$28,MATCH(180,$B$29:$GQ$29,0))/SUM($B$28:$GQ$28)*100,0)</f>
        <v/>
      </c>
      <c r="FZ14" s="3">
        <f>IFERROR(INDEX($B$28:$GQ$28,MATCH(181,$B$29:$GQ$29,0))/SUM($B$28:$GQ$28)*100,0)</f>
        <v/>
      </c>
      <c r="GA14" s="3">
        <f>IFERROR(INDEX($B$28:$GQ$28,MATCH(182,$B$29:$GQ$29,0))/SUM($B$28:$GQ$28)*100,0)</f>
        <v/>
      </c>
      <c r="GB14" s="3">
        <f>IFERROR(INDEX($B$28:$GQ$28,MATCH(183,$B$29:$GQ$29,0))/SUM($B$28:$GQ$28)*100,0)</f>
        <v/>
      </c>
      <c r="GC14" s="3">
        <f>IFERROR(INDEX($B$28:$GQ$28,MATCH(184,$B$29:$GQ$29,0))/SUM($B$28:$GQ$28)*100,0)</f>
        <v/>
      </c>
      <c r="GD14" s="3">
        <f>IFERROR(INDEX($B$28:$GQ$28,MATCH(185,$B$29:$GQ$29,0))/SUM($B$28:$GQ$28)*100,0)</f>
        <v/>
      </c>
      <c r="GE14" s="3">
        <f>IFERROR(INDEX($B$28:$GQ$28,MATCH(186,$B$29:$GQ$29,0))/SUM($B$28:$GQ$28)*100,0)</f>
        <v/>
      </c>
      <c r="GF14" s="3">
        <f>IFERROR(INDEX($B$28:$GQ$28,MATCH(187,$B$29:$GQ$29,0))/SUM($B$28:$GQ$28)*100,0)</f>
        <v/>
      </c>
      <c r="GG14" s="3">
        <f>IFERROR(INDEX($B$28:$GQ$28,MATCH(188,$B$29:$GQ$29,0))/SUM($B$28:$GQ$28)*100,0)</f>
        <v/>
      </c>
      <c r="GH14" s="3">
        <f>IFERROR(INDEX($B$28:$GQ$28,MATCH(189,$B$29:$GQ$29,0))/SUM($B$28:$GQ$28)*100,0)</f>
        <v/>
      </c>
      <c r="GI14" s="3">
        <f>IFERROR(INDEX($B$28:$GQ$28,MATCH(190,$B$29:$GQ$29,0))/SUM($B$28:$GQ$28)*100,0)</f>
        <v/>
      </c>
      <c r="GJ14" s="3">
        <f>IFERROR(INDEX($B$28:$GQ$28,MATCH(191,$B$29:$GQ$29,0))/SUM($B$28:$GQ$28)*100,0)</f>
        <v/>
      </c>
      <c r="GK14" s="3">
        <f>IFERROR(INDEX($B$28:$GQ$28,MATCH(192,$B$29:$GQ$29,0))/SUM($B$28:$GQ$28)*100,0)</f>
        <v/>
      </c>
      <c r="GL14" s="3">
        <f>IFERROR(INDEX($B$28:$GQ$28,MATCH(193,$B$29:$GQ$29,0))/SUM($B$28:$GQ$28)*100,0)</f>
        <v/>
      </c>
      <c r="GM14" s="3">
        <f>IFERROR(INDEX($B$28:$GQ$28,MATCH(194,$B$29:$GQ$29,0))/SUM($B$28:$GQ$28)*100,0)</f>
        <v/>
      </c>
      <c r="GN14" s="3">
        <f>IFERROR(INDEX($B$28:$GQ$28,MATCH(195,$B$29:$GQ$29,0))/SUM($B$28:$GQ$28)*100,0)</f>
        <v/>
      </c>
      <c r="GO14" s="3">
        <f>IFERROR(INDEX($B$28:$GQ$28,MATCH(196,$B$29:$GQ$29,0))/SUM($B$28:$GQ$28)*100,0)</f>
        <v/>
      </c>
      <c r="GP14" s="3">
        <f>IFERROR(INDEX($B$28:$GQ$28,MATCH(197,$B$29:$GQ$29,0))/SUM($B$28:$GQ$28)*100,0)</f>
        <v/>
      </c>
      <c r="GQ14" s="3">
        <f>IFERROR(INDEX($B$28:$GQ$28,MATCH(198,$B$29:$GQ$29,0))/SUM($B$28:$GQ$28)*100,0)</f>
        <v/>
      </c>
      <c r="GR14" s="3">
        <f>IFERROR(INDEX($GR$28:$HC$28,MATCH(1,$GR$30:$HC$30,0))/SUM($GR$28:$HC$28)*100,0)</f>
        <v/>
      </c>
      <c r="GS14" s="3">
        <f>IFERROR(INDEX($GR$28:$HC$28,MATCH(2,$GR$30:$HC$30,0))/SUM($GR$28:$HC$28)*100,0)</f>
        <v/>
      </c>
      <c r="GT14" s="3">
        <f>IFERROR(INDEX($GR$28:$HC$28,MATCH(3,$GR$30:$HC$30,0))/SUM($GR$28:$HC$28)*100,0)</f>
        <v/>
      </c>
      <c r="GU14" s="3">
        <f>IFERROR(INDEX($GR$28:$HC$28,MATCH(4,$GR$30:$HC$30,0))/SUM($GR$28:$HC$28)*100,0)</f>
        <v/>
      </c>
      <c r="GV14" s="3">
        <f>IFERROR(INDEX($GR$28:$HC$28,MATCH(5,$GR$30:$HC$30,0))/SUM($GR$28:$HC$28)*100,0)</f>
        <v/>
      </c>
      <c r="GW14" s="3">
        <f>IFERROR(INDEX($GR$28:$HC$28,MATCH(6,$GR$30:$HC$30,0))/SUM($GR$28:$HC$28)*100,0)</f>
        <v/>
      </c>
      <c r="GX14" s="3">
        <f>IFERROR(INDEX($GR$28:$HC$28,MATCH(7,$GR$30:$HC$30,0))/SUM($GR$28:$HC$28)*100,0)</f>
        <v/>
      </c>
      <c r="GY14" s="3">
        <f>IFERROR(INDEX($GR$28:$HC$28,MATCH(8,$GR$30:$HC$30,0))/SUM($GR$28:$HC$28)*100,0)</f>
        <v/>
      </c>
      <c r="GZ14" s="3">
        <f>IFERROR(INDEX($GR$28:$HC$28,MATCH(9,$GR$30:$HC$30,0))/SUM($GR$28:$HC$28)*100,0)</f>
        <v/>
      </c>
      <c r="HA14" s="3">
        <f>IFERROR(INDEX($GR$28:$HC$28,MATCH(10,$GR$30:$HC$30,0))/SUM($GR$28:$HC$28)*100,0)</f>
        <v/>
      </c>
      <c r="HB14" s="3">
        <f>IFERROR(INDEX($GR$28:$HC$28,MATCH(11,$GR$30:$HC$30,0))/SUM($GR$28:$HC$28)*100,0)</f>
        <v/>
      </c>
      <c r="HC14" s="3">
        <f>IFERROR(INDEX($GR$28:$HC$28,MATCH(12,$GR$30:$HC$30,0))/SUM($GR$28:$HC$28)*100,0)</f>
        <v/>
      </c>
    </row>
    <row r="16">
      <c r="A16" s="1" t="inlineStr">
        <is>
          <t>Données sources (ordre du bridge, non triées)</t>
        </is>
      </c>
    </row>
    <row r="17">
      <c r="A17" s="1" t="inlineStr">
        <is>
          <t>Biodiversity loss - HANPP</t>
        </is>
      </c>
      <c r="B17" s="1" t="inlineStr">
        <is>
          <t>Paddy rice</t>
        </is>
      </c>
      <c r="C17" s="1" t="inlineStr">
        <is>
          <t>Wheat</t>
        </is>
      </c>
      <c r="D17" s="1" t="inlineStr">
        <is>
          <t>Cereal grains nec</t>
        </is>
      </c>
      <c r="E17" s="1" t="inlineStr">
        <is>
          <t>Vegetables, fruit, nuts</t>
        </is>
      </c>
      <c r="F17" s="1" t="inlineStr">
        <is>
          <t>Oil seeds</t>
        </is>
      </c>
      <c r="G17" s="1" t="inlineStr">
        <is>
          <t>Sugar cane, sugar beet</t>
        </is>
      </c>
      <c r="H17" s="1" t="inlineStr">
        <is>
          <t>Plant-based fibers</t>
        </is>
      </c>
      <c r="I17" s="1" t="inlineStr">
        <is>
          <t>Crops nec</t>
        </is>
      </c>
      <c r="J17" s="1" t="inlineStr">
        <is>
          <t>Cattle</t>
        </is>
      </c>
      <c r="K17" s="1" t="inlineStr">
        <is>
          <t>Pigs</t>
        </is>
      </c>
      <c r="L17" s="1" t="inlineStr">
        <is>
          <t>Poultry</t>
        </is>
      </c>
      <c r="M17" s="1" t="inlineStr">
        <is>
          <t>Meat animals nec</t>
        </is>
      </c>
      <c r="N17" s="1" t="inlineStr">
        <is>
          <t>Animal products nec</t>
        </is>
      </c>
      <c r="O17" s="1" t="inlineStr">
        <is>
          <t>Raw milk</t>
        </is>
      </c>
      <c r="P17" s="1" t="inlineStr">
        <is>
          <t>Wool, silk-worm cocoons</t>
        </is>
      </c>
      <c r="Q17" s="1" t="inlineStr">
        <is>
          <t>Manure (conventional treatment)</t>
        </is>
      </c>
      <c r="R17" s="1" t="inlineStr">
        <is>
          <t>Manure (biogas treatment)</t>
        </is>
      </c>
      <c r="S17" s="1" t="inlineStr">
        <is>
          <t>Products of forestry, logging and related services (02)</t>
        </is>
      </c>
      <c r="T17" s="1" t="inlineStr">
        <is>
          <t>Fish and other fishing products; services incidental of fishing (05)</t>
        </is>
      </c>
      <c r="U17" s="1" t="inlineStr">
        <is>
          <t>Anthracite</t>
        </is>
      </c>
      <c r="V17" s="1" t="inlineStr">
        <is>
          <t>Coking Coal</t>
        </is>
      </c>
      <c r="W17" s="1" t="inlineStr">
        <is>
          <t>Other Bituminous Coal</t>
        </is>
      </c>
      <c r="X17" s="1" t="inlineStr">
        <is>
          <t>Sub-Bituminous Coal</t>
        </is>
      </c>
      <c r="Y17" s="1" t="inlineStr">
        <is>
          <t>Patent Fuel</t>
        </is>
      </c>
      <c r="Z17" s="1" t="inlineStr">
        <is>
          <t>Lignite/Brown Coal</t>
        </is>
      </c>
      <c r="AA17" s="1" t="inlineStr">
        <is>
          <t>BKB/Peat Briquettes</t>
        </is>
      </c>
      <c r="AB17" s="1" t="inlineStr">
        <is>
          <t>Peat</t>
        </is>
      </c>
      <c r="AC17" s="1" t="inlineStr">
        <is>
          <t>Crude petroleum and services related to crude oil extraction, excluding surveying</t>
        </is>
      </c>
      <c r="AD17" s="1" t="inlineStr">
        <is>
          <t>Natural gas and services related to natural gas extraction, excluding surveying</t>
        </is>
      </c>
      <c r="AE17" s="1" t="inlineStr">
        <is>
          <t>Natural Gas Liquids</t>
        </is>
      </c>
      <c r="AF17" s="1" t="inlineStr">
        <is>
          <t>Other Hydrocarbons</t>
        </is>
      </c>
      <c r="AG17" s="1" t="inlineStr">
        <is>
          <t>Uranium and thorium ores (12)</t>
        </is>
      </c>
      <c r="AH17" s="1" t="inlineStr">
        <is>
          <t>Iron ores</t>
        </is>
      </c>
      <c r="AI17" s="1" t="inlineStr">
        <is>
          <t>Copper ores and concentrates</t>
        </is>
      </c>
      <c r="AJ17" s="1" t="inlineStr">
        <is>
          <t>Nickel ores and concentrates</t>
        </is>
      </c>
      <c r="AK17" s="1" t="inlineStr">
        <is>
          <t>Aluminium ores and concentrates</t>
        </is>
      </c>
      <c r="AL17" s="1" t="inlineStr">
        <is>
          <t>Precious metal ores and concentrates</t>
        </is>
      </c>
      <c r="AM17" s="1" t="inlineStr">
        <is>
          <t>Lead, zinc and tin ores and concentrates</t>
        </is>
      </c>
      <c r="AN17" s="1" t="inlineStr">
        <is>
          <t>Other non-ferrous metal ores and concentrates</t>
        </is>
      </c>
      <c r="AO17" s="1" t="inlineStr">
        <is>
          <t>Stone</t>
        </is>
      </c>
      <c r="AP17" s="1" t="inlineStr">
        <is>
          <t>Sand and clay</t>
        </is>
      </c>
      <c r="AQ17" s="1" t="inlineStr">
        <is>
          <t>Chemical and fertilizer minerals, salt and other mining and quarrying products n.e.c.</t>
        </is>
      </c>
      <c r="AR17" s="1" t="inlineStr">
        <is>
          <t>Products of meat cattle</t>
        </is>
      </c>
      <c r="AS17" s="1" t="inlineStr">
        <is>
          <t>Products of meat pigs</t>
        </is>
      </c>
      <c r="AT17" s="1" t="inlineStr">
        <is>
          <t>Products of meat poultry</t>
        </is>
      </c>
      <c r="AU17" s="1" t="inlineStr">
        <is>
          <t>Meat products nec</t>
        </is>
      </c>
      <c r="AV17" s="1" t="inlineStr">
        <is>
          <t>products of Vegetable oils and fats</t>
        </is>
      </c>
      <c r="AW17" s="1" t="inlineStr">
        <is>
          <t>Dairy products</t>
        </is>
      </c>
      <c r="AX17" s="1" t="inlineStr">
        <is>
          <t>Processed rice</t>
        </is>
      </c>
      <c r="AY17" s="1" t="inlineStr">
        <is>
          <t>Sugar</t>
        </is>
      </c>
      <c r="AZ17" s="1" t="inlineStr">
        <is>
          <t>Food products nec</t>
        </is>
      </c>
      <c r="BA17" s="1" t="inlineStr">
        <is>
          <t>Beverages</t>
        </is>
      </c>
      <c r="BB17" s="1" t="inlineStr">
        <is>
          <t>Fish products</t>
        </is>
      </c>
      <c r="BC17" s="1" t="inlineStr">
        <is>
          <t>Tobacco products (16)</t>
        </is>
      </c>
      <c r="BD17" s="1" t="inlineStr">
        <is>
          <t>Textiles (17)</t>
        </is>
      </c>
      <c r="BE17" s="1" t="inlineStr">
        <is>
          <t>Wearing apparel; furs (18)</t>
        </is>
      </c>
      <c r="BF17" s="1" t="inlineStr">
        <is>
          <t>Leather and leather products (19)</t>
        </is>
      </c>
      <c r="BG17" s="1" t="inlineStr">
        <is>
          <t>Wood and products of wood and cork (except furniture); articles of straw and plaiting materials (20)</t>
        </is>
      </c>
      <c r="BH17" s="1" t="inlineStr">
        <is>
          <t>Wood material for treatment, Re-processing of secondary wood material into new wood material</t>
        </is>
      </c>
      <c r="BI17" s="1" t="inlineStr">
        <is>
          <t>Pulp</t>
        </is>
      </c>
      <c r="BJ17" s="1" t="inlineStr">
        <is>
          <t>Secondary paper for treatment, Re-processing of secondary paper into new pulp</t>
        </is>
      </c>
      <c r="BK17" s="1" t="inlineStr">
        <is>
          <t>Paper and paper products</t>
        </is>
      </c>
      <c r="BL17" s="1" t="inlineStr">
        <is>
          <t>Printed matter and recorded media (22)</t>
        </is>
      </c>
      <c r="BM17" s="1" t="inlineStr">
        <is>
          <t>Coke Oven Coke</t>
        </is>
      </c>
      <c r="BN17" s="1" t="inlineStr">
        <is>
          <t>Gas Coke</t>
        </is>
      </c>
      <c r="BO17" s="1" t="inlineStr">
        <is>
          <t>Coal Tar</t>
        </is>
      </c>
      <c r="BP17" s="1" t="inlineStr">
        <is>
          <t>Motor Gasoline</t>
        </is>
      </c>
      <c r="BQ17" s="1" t="inlineStr">
        <is>
          <t>Aviation Gasoline</t>
        </is>
      </c>
      <c r="BR17" s="1" t="inlineStr">
        <is>
          <t>Gasoline Type Jet Fuel</t>
        </is>
      </c>
      <c r="BS17" s="1" t="inlineStr">
        <is>
          <t>Kerosene Type Jet Fuel</t>
        </is>
      </c>
      <c r="BT17" s="1" t="inlineStr">
        <is>
          <t>Kerosene</t>
        </is>
      </c>
      <c r="BU17" s="1" t="inlineStr">
        <is>
          <t>Gas/Diesel Oil</t>
        </is>
      </c>
      <c r="BV17" s="1" t="inlineStr">
        <is>
          <t>Heavy Fuel Oil</t>
        </is>
      </c>
      <c r="BW17" s="1" t="inlineStr">
        <is>
          <t>Refinery Gas</t>
        </is>
      </c>
      <c r="BX17" s="1" t="inlineStr">
        <is>
          <t>Liquefied Petroleum Gases (LPG)</t>
        </is>
      </c>
      <c r="BY17" s="1" t="inlineStr">
        <is>
          <t>Refinery Feedstocks</t>
        </is>
      </c>
      <c r="BZ17" s="1" t="inlineStr">
        <is>
          <t>Ethane</t>
        </is>
      </c>
      <c r="CA17" s="1" t="inlineStr">
        <is>
          <t>Naphtha</t>
        </is>
      </c>
      <c r="CB17" s="1" t="inlineStr">
        <is>
          <t>White Spirit &amp; SBP</t>
        </is>
      </c>
      <c r="CC17" s="1" t="inlineStr">
        <is>
          <t>Lubricants</t>
        </is>
      </c>
      <c r="CD17" s="1" t="inlineStr">
        <is>
          <t>Bitumen</t>
        </is>
      </c>
      <c r="CE17" s="1" t="inlineStr">
        <is>
          <t>Paraffin Waxes</t>
        </is>
      </c>
      <c r="CF17" s="1" t="inlineStr">
        <is>
          <t>Petroleum Coke</t>
        </is>
      </c>
      <c r="CG17" s="1" t="inlineStr">
        <is>
          <t>Non-specified Petroleum Products</t>
        </is>
      </c>
      <c r="CH17" s="1" t="inlineStr">
        <is>
          <t>Nuclear fuel</t>
        </is>
      </c>
      <c r="CI17" s="1" t="inlineStr">
        <is>
          <t>Plastics, basic</t>
        </is>
      </c>
      <c r="CJ17" s="1" t="inlineStr">
        <is>
          <t>Secondary plastic for treatment, Re-processing of secondary plastic into new plastic</t>
        </is>
      </c>
      <c r="CK17" s="1" t="inlineStr">
        <is>
          <t>N-fertiliser</t>
        </is>
      </c>
      <c r="CL17" s="1" t="inlineStr">
        <is>
          <t>P- and other fertiliser</t>
        </is>
      </c>
      <c r="CM17" s="1" t="inlineStr">
        <is>
          <t>Chemicals nec</t>
        </is>
      </c>
      <c r="CN17" s="1" t="inlineStr">
        <is>
          <t>Charcoal</t>
        </is>
      </c>
      <c r="CO17" s="1" t="inlineStr">
        <is>
          <t>Additives/Blending Components</t>
        </is>
      </c>
      <c r="CP17" s="1" t="inlineStr">
        <is>
          <t>Biogasoline</t>
        </is>
      </c>
      <c r="CQ17" s="1" t="inlineStr">
        <is>
          <t>Biodiesels</t>
        </is>
      </c>
      <c r="CR17" s="1" t="inlineStr">
        <is>
          <t>Other Liquid Biofuels</t>
        </is>
      </c>
      <c r="CS17" s="1" t="inlineStr">
        <is>
          <t>Glass and glass products</t>
        </is>
      </c>
      <c r="CT17" s="1" t="inlineStr">
        <is>
          <t>Secondary glass for treatment, Re-processing of secondary glass into new glass</t>
        </is>
      </c>
      <c r="CU17" s="1" t="inlineStr">
        <is>
          <t>Ceramic goods</t>
        </is>
      </c>
      <c r="CV17" s="1" t="inlineStr">
        <is>
          <t>Bricks, tiles and construction products, in baked clay</t>
        </is>
      </c>
      <c r="CW17" s="1" t="inlineStr">
        <is>
          <t>Cement, lime and plaster</t>
        </is>
      </c>
      <c r="CX17" s="1" t="inlineStr">
        <is>
          <t>Ash for treatment, Re-processing of ash into clinker</t>
        </is>
      </c>
      <c r="CY17" s="1" t="inlineStr">
        <is>
          <t>Other non-metallic mineral products</t>
        </is>
      </c>
      <c r="CZ17" s="1" t="inlineStr">
        <is>
          <t>Basic iron and steel and of ferro-alloys and first products thereof</t>
        </is>
      </c>
      <c r="DA17" s="1" t="inlineStr">
        <is>
          <t>Secondary steel for treatment, Re-processing of secondary steel into new steel</t>
        </is>
      </c>
      <c r="DB17" s="1" t="inlineStr">
        <is>
          <t>Precious metals</t>
        </is>
      </c>
      <c r="DC17" s="1" t="inlineStr">
        <is>
          <t>Secondary preciuos metals for treatment, Re-processing of secondary preciuos metals into new preciuos metals</t>
        </is>
      </c>
      <c r="DD17" s="1" t="inlineStr">
        <is>
          <t>Aluminium and aluminium products</t>
        </is>
      </c>
      <c r="DE17" s="1" t="inlineStr">
        <is>
          <t>Secondary aluminium for treatment, Re-processing of secondary aluminium into new aluminium</t>
        </is>
      </c>
      <c r="DF17" s="1" t="inlineStr">
        <is>
          <t>Lead, zinc and tin and products thereof</t>
        </is>
      </c>
      <c r="DG17" s="1" t="inlineStr">
        <is>
          <t>Secondary lead for treatment, Re-processing of secondary lead into new lead</t>
        </is>
      </c>
      <c r="DH17" s="1" t="inlineStr">
        <is>
          <t>Copper products</t>
        </is>
      </c>
      <c r="DI17" s="1" t="inlineStr">
        <is>
          <t>Secondary copper for treatment, Re-processing of secondary copper into new copper</t>
        </is>
      </c>
      <c r="DJ17" s="1" t="inlineStr">
        <is>
          <t>Other non-ferrous metal products</t>
        </is>
      </c>
      <c r="DK17" s="1" t="inlineStr">
        <is>
          <t>Secondary other non-ferrous metals for treatment, Re-processing of secondary other non-ferrous metals into new other non-ferrous metals</t>
        </is>
      </c>
      <c r="DL17" s="1" t="inlineStr">
        <is>
          <t>Foundry work services</t>
        </is>
      </c>
      <c r="DM17" s="1" t="inlineStr">
        <is>
          <t>Fabricated metal products, except machinery and equipment (28)</t>
        </is>
      </c>
      <c r="DN17" s="1" t="inlineStr">
        <is>
          <t>Machinery and equipment n.e.c. (29)</t>
        </is>
      </c>
      <c r="DO17" s="1" t="inlineStr">
        <is>
          <t>Office machinery and computers (30)</t>
        </is>
      </c>
      <c r="DP17" s="1" t="inlineStr">
        <is>
          <t>Electrical machinery and apparatus n.e.c. (31)</t>
        </is>
      </c>
      <c r="DQ17" s="1" t="inlineStr">
        <is>
          <t>Radio, television and communication equipment and apparatus (32)</t>
        </is>
      </c>
      <c r="DR17" s="1" t="inlineStr">
        <is>
          <t>Medical, precision and optical instruments, watches and clocks (33)</t>
        </is>
      </c>
      <c r="DS17" s="1" t="inlineStr">
        <is>
          <t>Motor vehicles, trailers and semi-trailers (34)</t>
        </is>
      </c>
      <c r="DT17" s="1" t="inlineStr">
        <is>
          <t>Other transport equipment (35)</t>
        </is>
      </c>
      <c r="DU17" s="1" t="inlineStr">
        <is>
          <t>Furniture; other manufactured goods n.e.c. (36)</t>
        </is>
      </c>
      <c r="DV17" s="1" t="inlineStr">
        <is>
          <t>Secondary raw materials</t>
        </is>
      </c>
      <c r="DW17" s="1" t="inlineStr">
        <is>
          <t>Bottles for treatment, Recycling of bottles by direct reuse</t>
        </is>
      </c>
      <c r="DX17" s="1" t="inlineStr">
        <is>
          <t>Electricity by coal</t>
        </is>
      </c>
      <c r="DY17" s="1" t="inlineStr">
        <is>
          <t>Electricity by gas</t>
        </is>
      </c>
      <c r="DZ17" s="1" t="inlineStr">
        <is>
          <t>Electricity by nuclear</t>
        </is>
      </c>
      <c r="EA17" s="1" t="inlineStr">
        <is>
          <t>Electricity by hydro</t>
        </is>
      </c>
      <c r="EB17" s="1" t="inlineStr">
        <is>
          <t>Electricity by wind</t>
        </is>
      </c>
      <c r="EC17" s="1" t="inlineStr">
        <is>
          <t>Electricity by petroleum and other oil derivatives</t>
        </is>
      </c>
      <c r="ED17" s="1" t="inlineStr">
        <is>
          <t>Electricity by biomass and waste</t>
        </is>
      </c>
      <c r="EE17" s="1" t="inlineStr">
        <is>
          <t>Electricity by solar photovoltaic</t>
        </is>
      </c>
      <c r="EF17" s="1" t="inlineStr">
        <is>
          <t>Electricity by solar thermal</t>
        </is>
      </c>
      <c r="EG17" s="1" t="inlineStr">
        <is>
          <t>Electricity by tide, wave, ocean</t>
        </is>
      </c>
      <c r="EH17" s="1" t="inlineStr">
        <is>
          <t>Electricity by Geothermal</t>
        </is>
      </c>
      <c r="EI17" s="1" t="inlineStr">
        <is>
          <t>Electricity nec</t>
        </is>
      </c>
      <c r="EJ17" s="1" t="inlineStr">
        <is>
          <t>Transmission services of electricity</t>
        </is>
      </c>
      <c r="EK17" s="1" t="inlineStr">
        <is>
          <t>Distribution and trade services of electricity</t>
        </is>
      </c>
      <c r="EL17" s="1" t="inlineStr">
        <is>
          <t>Coke oven gas</t>
        </is>
      </c>
      <c r="EM17" s="1" t="inlineStr">
        <is>
          <t>Blast Furnace Gas</t>
        </is>
      </c>
      <c r="EN17" s="1" t="inlineStr">
        <is>
          <t>Oxygen Steel Furnace Gas</t>
        </is>
      </c>
      <c r="EO17" s="1" t="inlineStr">
        <is>
          <t>Gas Works Gas</t>
        </is>
      </c>
      <c r="EP17" s="1" t="inlineStr">
        <is>
          <t>Biogas</t>
        </is>
      </c>
      <c r="EQ17" s="1" t="inlineStr">
        <is>
          <t>Distribution services of gaseous fuels through mains</t>
        </is>
      </c>
      <c r="ER17" s="1" t="inlineStr">
        <is>
          <t>Steam and hot water supply services</t>
        </is>
      </c>
      <c r="ES17" s="1" t="inlineStr">
        <is>
          <t>Collected and purified water, distribution services of water (41)</t>
        </is>
      </c>
      <c r="ET17" s="1" t="inlineStr">
        <is>
          <t>Construction work (45)</t>
        </is>
      </c>
      <c r="EU17" s="1" t="inlineStr">
        <is>
          <t>Secondary construction material for treatment, Re-processing of secondary construction material into aggregates</t>
        </is>
      </c>
      <c r="EV17" s="1" t="inlineStr">
        <is>
          <t>Sale, maintenance, repair of motor vehicles, motor vehicles parts, motorcycles, motor cycles parts and accessoiries</t>
        </is>
      </c>
      <c r="EW17" s="1" t="inlineStr">
        <is>
          <t>Retail trade services of motor fuel</t>
        </is>
      </c>
      <c r="EX17" s="1" t="inlineStr">
        <is>
          <t>Wholesale trade and commission trade services, except of motor vehicles and motorcycles (51)</t>
        </is>
      </c>
      <c r="EY17" s="1" t="inlineStr">
        <is>
          <t>Retail  trade services, except of motor vehicles and motorcycles; repair services of personal and household goods (52)</t>
        </is>
      </c>
      <c r="EZ17" s="1" t="inlineStr">
        <is>
          <t>Hotel and restaurant services (55)</t>
        </is>
      </c>
      <c r="FA17" s="1" t="inlineStr">
        <is>
          <t>Railway transportation services</t>
        </is>
      </c>
      <c r="FB17" s="1" t="inlineStr">
        <is>
          <t>Other land transportation services</t>
        </is>
      </c>
      <c r="FC17" s="1" t="inlineStr">
        <is>
          <t>Transportation services via pipelines</t>
        </is>
      </c>
      <c r="FD17" s="1" t="inlineStr">
        <is>
          <t>Sea and coastal water transportation services</t>
        </is>
      </c>
      <c r="FE17" s="1" t="inlineStr">
        <is>
          <t>Inland water transportation services</t>
        </is>
      </c>
      <c r="FF17" s="1" t="inlineStr">
        <is>
          <t>Air transport services (62)</t>
        </is>
      </c>
      <c r="FG17" s="1" t="inlineStr">
        <is>
          <t>Supporting and auxiliary transport services; travel agency services (63)</t>
        </is>
      </c>
      <c r="FH17" s="1" t="inlineStr">
        <is>
          <t>Post and telecommunication services (64)</t>
        </is>
      </c>
      <c r="FI17" s="1" t="inlineStr">
        <is>
          <t>Financial intermediation services, except insurance and pension funding services (65)</t>
        </is>
      </c>
      <c r="FJ17" s="1" t="inlineStr">
        <is>
          <t>Insurance and pension funding services, except compulsory social security services (66)</t>
        </is>
      </c>
      <c r="FK17" s="1" t="inlineStr">
        <is>
          <t>Services auxiliary to financial intermediation (67)</t>
        </is>
      </c>
      <c r="FL17" s="1" t="inlineStr">
        <is>
          <t>Real estate services (70)</t>
        </is>
      </c>
      <c r="FM17" s="1" t="inlineStr">
        <is>
          <t>Renting services of machinery and equipment without operator and of personal and household goods (71)</t>
        </is>
      </c>
      <c r="FN17" s="1" t="inlineStr">
        <is>
          <t>Computer and related services (72)</t>
        </is>
      </c>
      <c r="FO17" s="1" t="inlineStr">
        <is>
          <t>Research and development services (73)</t>
        </is>
      </c>
      <c r="FP17" s="1" t="inlineStr">
        <is>
          <t>Other business services (74)</t>
        </is>
      </c>
      <c r="FQ17" s="1" t="inlineStr">
        <is>
          <t>Public administration and defence services; compulsory social security services (75)</t>
        </is>
      </c>
      <c r="FR17" s="1" t="inlineStr">
        <is>
          <t>Education services (80)</t>
        </is>
      </c>
      <c r="FS17" s="1" t="inlineStr">
        <is>
          <t>Health and social work services (85)</t>
        </is>
      </c>
      <c r="FT17" s="1" t="inlineStr">
        <is>
          <t>Food waste for treatment: incineration</t>
        </is>
      </c>
      <c r="FU17" s="1" t="inlineStr">
        <is>
          <t>Paper waste for treatment: incineration</t>
        </is>
      </c>
      <c r="FV17" s="1" t="inlineStr">
        <is>
          <t>Plastic waste for treatment: incineration</t>
        </is>
      </c>
      <c r="FW17" s="1" t="inlineStr">
        <is>
          <t>Intert/metal waste for treatment: incineration</t>
        </is>
      </c>
      <c r="FX17" s="1" t="inlineStr">
        <is>
          <t>Textiles waste for treatment: incineration</t>
        </is>
      </c>
      <c r="FY17" s="1" t="inlineStr">
        <is>
          <t>Wood waste for treatment: incineration</t>
        </is>
      </c>
      <c r="FZ17" s="1" t="inlineStr">
        <is>
          <t>Oil/hazardous waste for treatment: incineration</t>
        </is>
      </c>
      <c r="GA17" s="1" t="inlineStr">
        <is>
          <t>Food waste for treatment: biogasification and land application</t>
        </is>
      </c>
      <c r="GB17" s="1" t="inlineStr">
        <is>
          <t>Paper waste for treatment: biogasification and land application</t>
        </is>
      </c>
      <c r="GC17" s="1" t="inlineStr">
        <is>
          <t>Sewage sludge for treatment: biogasification and land application</t>
        </is>
      </c>
      <c r="GD17" s="1" t="inlineStr">
        <is>
          <t>Food waste for treatment: composting and land application</t>
        </is>
      </c>
      <c r="GE17" s="1" t="inlineStr">
        <is>
          <t>Paper and wood waste for treatment: composting and land application</t>
        </is>
      </c>
      <c r="GF17" s="1" t="inlineStr">
        <is>
          <t>Food waste for treatment: waste water treatment</t>
        </is>
      </c>
      <c r="GG17" s="1" t="inlineStr">
        <is>
          <t>Other waste for treatment: waste water treatment</t>
        </is>
      </c>
      <c r="GH17" s="1" t="inlineStr">
        <is>
          <t>Food waste for treatment: landfill</t>
        </is>
      </c>
      <c r="GI17" s="1" t="inlineStr">
        <is>
          <t>Paper for treatment: landfill</t>
        </is>
      </c>
      <c r="GJ17" s="1" t="inlineStr">
        <is>
          <t>Plastic waste for treatment: landfill</t>
        </is>
      </c>
      <c r="GK17" s="1" t="inlineStr">
        <is>
          <t>Inert/metal/hazardous waste for treatment: landfill</t>
        </is>
      </c>
      <c r="GL17" s="1" t="inlineStr">
        <is>
          <t>Textiles waste for treatment: landfill</t>
        </is>
      </c>
      <c r="GM17" s="1" t="inlineStr">
        <is>
          <t>Wood waste for treatment: landfill</t>
        </is>
      </c>
      <c r="GN17" s="1" t="inlineStr">
        <is>
          <t>Membership organisation services n.e.c. (91)</t>
        </is>
      </c>
      <c r="GO17" s="1" t="inlineStr">
        <is>
          <t>Recreational, cultural and sporting services (92)</t>
        </is>
      </c>
      <c r="GP17" s="1" t="inlineStr">
        <is>
          <t>Other services (93)</t>
        </is>
      </c>
      <c r="GQ17" s="1" t="inlineStr">
        <is>
          <t>Extra-territorial organizations and bodies</t>
        </is>
      </c>
      <c r="GR17" s="1" t="inlineStr">
        <is>
          <t>Vegetables, fruits, nuts</t>
        </is>
      </c>
      <c r="GS17" s="1" t="inlineStr">
        <is>
          <t>Cattle</t>
        </is>
      </c>
      <c r="GT17" s="1" t="inlineStr">
        <is>
          <t>Meat nec</t>
        </is>
      </c>
      <c r="GU17" s="1" t="inlineStr">
        <is>
          <t>Animal nec</t>
        </is>
      </c>
      <c r="GV17" s="1" t="inlineStr">
        <is>
          <t>Dairy products</t>
        </is>
      </c>
      <c r="GW17" s="1" t="inlineStr">
        <is>
          <t>Food nec</t>
        </is>
      </c>
      <c r="GX17" s="1" t="inlineStr">
        <is>
          <t>Housing</t>
        </is>
      </c>
      <c r="GY17" s="1" t="inlineStr">
        <is>
          <t>Mobility</t>
        </is>
      </c>
      <c r="GZ17" s="1" t="inlineStr">
        <is>
          <t>Textiles</t>
        </is>
      </c>
      <c r="HA17" s="1" t="inlineStr">
        <is>
          <t>Final goods nec</t>
        </is>
      </c>
      <c r="HB17" s="1" t="inlineStr">
        <is>
          <t>Hotel &amp; restaurant</t>
        </is>
      </c>
      <c r="HC17" s="1" t="inlineStr">
        <is>
          <t>Final services</t>
        </is>
      </c>
    </row>
    <row r="18">
      <c r="A18" s="1" t="inlineStr">
        <is>
          <t>M_imp</t>
        </is>
      </c>
      <c r="B18" t="n">
        <v>5.78866272784579e-08</v>
      </c>
      <c r="C18" t="n">
        <v>2.412295199858621e-08</v>
      </c>
      <c r="D18" t="n">
        <v>1.646432254743283e-08</v>
      </c>
      <c r="E18" t="n">
        <v>5.629151361439228e-08</v>
      </c>
      <c r="F18" t="n">
        <v>3.717975733457996e-08</v>
      </c>
      <c r="G18" t="n">
        <v>2.071295652205506e-09</v>
      </c>
      <c r="H18" t="n">
        <v>2.664212948603481e-08</v>
      </c>
      <c r="I18" t="n">
        <v>3.972969742220735e-09</v>
      </c>
      <c r="J18" t="n">
        <v>1.64294518632955e-07</v>
      </c>
      <c r="K18" t="n">
        <v>1.115902464460594e-07</v>
      </c>
      <c r="L18" t="n">
        <v>1.004513317889441e-07</v>
      </c>
      <c r="M18" t="n">
        <v>1.164980724093978e-07</v>
      </c>
      <c r="N18" t="n">
        <v>1.537723673122618e-07</v>
      </c>
      <c r="O18" t="n">
        <v>1.926143155655143e-07</v>
      </c>
      <c r="P18" t="n">
        <v>1.366390113499456e-07</v>
      </c>
      <c r="Q18" t="n">
        <v>0</v>
      </c>
      <c r="R18" t="n">
        <v>0</v>
      </c>
      <c r="S18" t="n">
        <v>1.192724366617115e-07</v>
      </c>
      <c r="T18" t="n">
        <v>2.628292350231385e-07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6.103870829037015e-08</v>
      </c>
      <c r="AD18" t="n">
        <v>8.864053720079686e-07</v>
      </c>
      <c r="AE18" t="n">
        <v>4.374220244943456e-09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6.49557583068154e-09</v>
      </c>
      <c r="AO18" t="n">
        <v>5.549896842189916e-09</v>
      </c>
      <c r="AP18" t="n">
        <v>1.585747142674415e-10</v>
      </c>
      <c r="AQ18" t="n">
        <v>3.715276733592534e-09</v>
      </c>
      <c r="AR18" t="n">
        <v>1.71024968487344e-07</v>
      </c>
      <c r="AS18" t="n">
        <v>5.831250055841028e-08</v>
      </c>
      <c r="AT18" t="n">
        <v>9.203402382201156e-08</v>
      </c>
      <c r="AU18" t="n">
        <v>1.59279922584021e-07</v>
      </c>
      <c r="AV18" t="n">
        <v>7.262832330250809e-08</v>
      </c>
      <c r="AW18" t="n">
        <v>9.388751993581389e-08</v>
      </c>
      <c r="AX18" t="n">
        <v>1.490206442068087e-08</v>
      </c>
      <c r="AY18" t="n">
        <v>3.848267162887227e-08</v>
      </c>
      <c r="AZ18" t="n">
        <v>1.163669371987602e-07</v>
      </c>
      <c r="BA18" t="n">
        <v>8.052598566363645e-08</v>
      </c>
      <c r="BB18" t="n">
        <v>1.383136501440458e-07</v>
      </c>
      <c r="BC18" t="n">
        <v>2.203084345506927e-08</v>
      </c>
      <c r="BD18" t="n">
        <v>3.975717260688852e-08</v>
      </c>
      <c r="BE18" t="n">
        <v>2.655221406304207e-08</v>
      </c>
      <c r="BF18" t="n">
        <v>5.670652246641969e-08</v>
      </c>
      <c r="BG18" t="n">
        <v>1.981604834156448e-07</v>
      </c>
      <c r="BH18" t="n">
        <v>5.036596573159573e-08</v>
      </c>
      <c r="BI18" t="n">
        <v>3.567949722374765e-08</v>
      </c>
      <c r="BJ18" t="n">
        <v>1.666088824575441e-08</v>
      </c>
      <c r="BK18" t="n">
        <v>6.2805399625453e-08</v>
      </c>
      <c r="BL18" t="n">
        <v>2.229111479192821e-08</v>
      </c>
      <c r="BM18" t="n">
        <v>2.570332330114833e-09</v>
      </c>
      <c r="BN18" t="n">
        <v>0</v>
      </c>
      <c r="BO18" t="n">
        <v>5.762816566361221e-08</v>
      </c>
      <c r="BP18" t="n">
        <v>7.314756138034065e-08</v>
      </c>
      <c r="BQ18" t="n">
        <v>0</v>
      </c>
      <c r="BR18" t="n">
        <v>0</v>
      </c>
      <c r="BS18" t="n">
        <v>1.885336427525008e-08</v>
      </c>
      <c r="BT18" t="n">
        <v>0</v>
      </c>
      <c r="BU18" t="n">
        <v>3.261769987801071e-08</v>
      </c>
      <c r="BV18" t="n">
        <v>1.125541172927024e-08</v>
      </c>
      <c r="BW18" t="n">
        <v>9.600706681136767e-11</v>
      </c>
      <c r="BX18" t="n">
        <v>1.911072257655546e-08</v>
      </c>
      <c r="BY18" t="n">
        <v>1.832521045311667e-08</v>
      </c>
      <c r="BZ18" t="n">
        <v>0</v>
      </c>
      <c r="CA18" t="n">
        <v>1.006640086250159e-08</v>
      </c>
      <c r="CB18" t="n">
        <v>2.060107180082813e-08</v>
      </c>
      <c r="CC18" t="n">
        <v>3.482161787213097e-08</v>
      </c>
      <c r="CD18" t="n">
        <v>3.80886903596997e-09</v>
      </c>
      <c r="CE18" t="n">
        <v>4.24367420579937e-09</v>
      </c>
      <c r="CF18" t="n">
        <v>6.384199597566994e-09</v>
      </c>
      <c r="CG18" t="n">
        <v>4.062980132124313e-09</v>
      </c>
      <c r="CH18" t="n">
        <v>1.079530673236009e-10</v>
      </c>
      <c r="CI18" t="n">
        <v>3.198877910971071e-08</v>
      </c>
      <c r="CJ18" t="n">
        <v>2.739313201401587e-08</v>
      </c>
      <c r="CK18" t="n">
        <v>1.179701415490299e-08</v>
      </c>
      <c r="CL18" t="n">
        <v>1.776556872246184e-08</v>
      </c>
      <c r="CM18" t="n">
        <v>3.630970427191529e-08</v>
      </c>
      <c r="CN18" t="n">
        <v>0</v>
      </c>
      <c r="CO18" t="n">
        <v>7.8521851794041e-09</v>
      </c>
      <c r="CP18" t="n">
        <v>1.485386162139974e-08</v>
      </c>
      <c r="CQ18" t="n">
        <v>6.161460967648004e-09</v>
      </c>
      <c r="CR18" t="n">
        <v>0</v>
      </c>
      <c r="CS18" t="n">
        <v>2.399423965925004e-08</v>
      </c>
      <c r="CT18" t="n">
        <v>1.934094283475013e-08</v>
      </c>
      <c r="CU18" t="n">
        <v>3.281262457831952e-08</v>
      </c>
      <c r="CV18" t="n">
        <v>2.128519752199671e-08</v>
      </c>
      <c r="CW18" t="n">
        <v>1.508718662145095e-08</v>
      </c>
      <c r="CX18" t="n">
        <v>1.354855091959363e-08</v>
      </c>
      <c r="CY18" t="n">
        <v>2.203484431446385e-08</v>
      </c>
      <c r="CZ18" t="n">
        <v>1.989287760779221e-08</v>
      </c>
      <c r="DA18" t="n">
        <v>1.631892499745247e-08</v>
      </c>
      <c r="DB18" t="n">
        <v>3.740117876580615e-08</v>
      </c>
      <c r="DC18" t="n">
        <v>0</v>
      </c>
      <c r="DD18" t="n">
        <v>2.568811639278431e-08</v>
      </c>
      <c r="DE18" t="n">
        <v>2.514121682735103e-08</v>
      </c>
      <c r="DF18" t="n">
        <v>3.929403121320502e-08</v>
      </c>
      <c r="DG18" t="n">
        <v>4.885429598263848e-08</v>
      </c>
      <c r="DH18" t="n">
        <v>3.879504712406825e-08</v>
      </c>
      <c r="DI18" t="n">
        <v>0</v>
      </c>
      <c r="DJ18" t="n">
        <v>3.592473344085189e-08</v>
      </c>
      <c r="DK18" t="n">
        <v>0</v>
      </c>
      <c r="DL18" t="n">
        <v>2.106706164465531e-08</v>
      </c>
      <c r="DM18" t="n">
        <v>1.745454103454164e-08</v>
      </c>
      <c r="DN18" t="n">
        <v>1.861574922574052e-08</v>
      </c>
      <c r="DO18" t="n">
        <v>2.257977719925517e-08</v>
      </c>
      <c r="DP18" t="n">
        <v>1.685232121749928e-08</v>
      </c>
      <c r="DQ18" t="n">
        <v>1.808699109979685e-08</v>
      </c>
      <c r="DR18" t="n">
        <v>1.438320517522758e-08</v>
      </c>
      <c r="DS18" t="n">
        <v>2.362988328280691e-08</v>
      </c>
      <c r="DT18" t="n">
        <v>1.845603356842123e-08</v>
      </c>
      <c r="DU18" t="n">
        <v>2.857058685549029e-08</v>
      </c>
      <c r="DV18" t="n">
        <v>0</v>
      </c>
      <c r="DW18" t="n">
        <v>0</v>
      </c>
      <c r="DX18" t="n">
        <v>1.382137695716425e-07</v>
      </c>
      <c r="DY18" t="n">
        <v>1.900932276185845e-08</v>
      </c>
      <c r="DZ18" t="n">
        <v>1.579694269223444e-08</v>
      </c>
      <c r="EA18" t="n">
        <v>1.988621709670982e-08</v>
      </c>
      <c r="EB18" t="n">
        <v>8.048257331373304e-09</v>
      </c>
      <c r="EC18" t="n">
        <v>7.309623709970767e-08</v>
      </c>
      <c r="ED18" t="n">
        <v>1.52313243278512e-08</v>
      </c>
      <c r="EE18" t="n">
        <v>1.707605994886819e-09</v>
      </c>
      <c r="EF18" t="n">
        <v>0</v>
      </c>
      <c r="EG18" t="n">
        <v>2.415611435093338e-08</v>
      </c>
      <c r="EH18" t="n">
        <v>0</v>
      </c>
      <c r="EI18" t="n">
        <v>0</v>
      </c>
      <c r="EJ18" t="n">
        <v>8.668595508800637e-09</v>
      </c>
      <c r="EK18" t="n">
        <v>8.352477098989347e-09</v>
      </c>
      <c r="EL18" t="n">
        <v>1.848456667166281e-09</v>
      </c>
      <c r="EM18" t="n">
        <v>3.789552251187595e-09</v>
      </c>
      <c r="EN18" t="n">
        <v>3.888861961550445e-16</v>
      </c>
      <c r="EO18" t="n">
        <v>0</v>
      </c>
      <c r="EP18" t="n">
        <v>7.859362397439491e-09</v>
      </c>
      <c r="EQ18" t="n">
        <v>1.694819381332922e-08</v>
      </c>
      <c r="ER18" t="n">
        <v>7.626763180438851e-08</v>
      </c>
      <c r="ES18" t="n">
        <v>1.234123919022402e-08</v>
      </c>
      <c r="ET18" t="n">
        <v>2.057974042351811e-08</v>
      </c>
      <c r="EU18" t="n">
        <v>0</v>
      </c>
      <c r="EV18" t="n">
        <v>5.956115065294996e-09</v>
      </c>
      <c r="EW18" t="n">
        <v>1.538800707785446e-08</v>
      </c>
      <c r="EX18" t="n">
        <v>8.399472317615439e-09</v>
      </c>
      <c r="EY18" t="n">
        <v>9.199201739297917e-09</v>
      </c>
      <c r="EZ18" t="n">
        <v>2.855667946949112e-08</v>
      </c>
      <c r="FA18" t="n">
        <v>1.861914679160125e-08</v>
      </c>
      <c r="FB18" t="n">
        <v>1.20436269354818e-08</v>
      </c>
      <c r="FC18" t="n">
        <v>7.931445483555636e-08</v>
      </c>
      <c r="FD18" t="n">
        <v>6.76097843294133e-08</v>
      </c>
      <c r="FE18" t="n">
        <v>1.144554741973108e-07</v>
      </c>
      <c r="FF18" t="n">
        <v>3.394567479900378e-08</v>
      </c>
      <c r="FG18" t="n">
        <v>1.308908719467785e-08</v>
      </c>
      <c r="FH18" t="n">
        <v>9.704654911467202e-09</v>
      </c>
      <c r="FI18" t="n">
        <v>1.392669229072611e-08</v>
      </c>
      <c r="FJ18" t="n">
        <v>1.700137265445585e-08</v>
      </c>
      <c r="FK18" t="n">
        <v>2.139425196976138e-08</v>
      </c>
      <c r="FL18" t="n">
        <v>1.335049847502083e-08</v>
      </c>
      <c r="FM18" t="n">
        <v>1.35042187221489e-08</v>
      </c>
      <c r="FN18" t="n">
        <v>1.366055636071354e-08</v>
      </c>
      <c r="FO18" t="n">
        <v>4.023601319502928e-08</v>
      </c>
      <c r="FP18" t="n">
        <v>1.291093992537107e-08</v>
      </c>
      <c r="FQ18" t="n">
        <v>1.630885077580662e-08</v>
      </c>
      <c r="FR18" t="n">
        <v>1.104257007466576e-08</v>
      </c>
      <c r="FS18" t="n">
        <v>1.064501083724432e-08</v>
      </c>
      <c r="FT18" t="n">
        <v>1.247871074231484e-08</v>
      </c>
      <c r="FU18" t="n">
        <v>1.263143721082459e-08</v>
      </c>
      <c r="FV18" t="n">
        <v>1.402575642864883e-08</v>
      </c>
      <c r="FW18" t="n">
        <v>1.272266253503169e-08</v>
      </c>
      <c r="FX18" t="n">
        <v>1.257296131408968e-08</v>
      </c>
      <c r="FY18" t="n">
        <v>1.296438619729072e-08</v>
      </c>
      <c r="FZ18" t="n">
        <v>1.210096664181337e-08</v>
      </c>
      <c r="GA18" t="n">
        <v>1.164670191861548e-08</v>
      </c>
      <c r="GB18" t="n">
        <v>1.137326907278101e-08</v>
      </c>
      <c r="GC18" t="n">
        <v>1.334757442290257e-08</v>
      </c>
      <c r="GD18" t="n">
        <v>1.25106875895741e-08</v>
      </c>
      <c r="GE18" t="n">
        <v>1.213546231412936e-07</v>
      </c>
      <c r="GF18" t="n">
        <v>1.516139654129487e-08</v>
      </c>
      <c r="GG18" t="n">
        <v>1.558271486194557e-08</v>
      </c>
      <c r="GH18" t="n">
        <v>1.502926105302566e-08</v>
      </c>
      <c r="GI18" t="n">
        <v>1.466727049544392e-08</v>
      </c>
      <c r="GJ18" t="n">
        <v>1.760507425275854e-08</v>
      </c>
      <c r="GK18" t="n">
        <v>1.239588434214935e-08</v>
      </c>
      <c r="GL18" t="n">
        <v>1.518117719295482e-08</v>
      </c>
      <c r="GM18" t="n">
        <v>1.337030453917738e-08</v>
      </c>
      <c r="GN18" t="n">
        <v>2.085303034987236e-08</v>
      </c>
      <c r="GO18" t="n">
        <v>2.581643609696462e-08</v>
      </c>
      <c r="GP18" t="n">
        <v>3.132042003782835e-08</v>
      </c>
      <c r="GQ18" t="n">
        <v>0</v>
      </c>
      <c r="GR18" t="n">
        <v>5.633424648696015e-08</v>
      </c>
      <c r="GS18" t="n">
        <v>1.71024968487344e-07</v>
      </c>
      <c r="GT18" t="n">
        <v>1.265844868714047e-07</v>
      </c>
      <c r="GU18" t="n">
        <v>9.931754871643537e-08</v>
      </c>
      <c r="GV18" t="n">
        <v>9.546084976137896e-08</v>
      </c>
      <c r="GW18" t="n">
        <v>1.039489254324417e-07</v>
      </c>
      <c r="GX18" t="n">
        <v>1.874895539645802e-08</v>
      </c>
      <c r="GY18" t="n">
        <v>2.432302755421128e-08</v>
      </c>
      <c r="GZ18" t="n">
        <v>3.244808471741587e-08</v>
      </c>
      <c r="HA18" t="n">
        <v>2.507086105250792e-08</v>
      </c>
      <c r="HB18" t="n">
        <v>2.855667946949112e-08</v>
      </c>
      <c r="HC18" t="n">
        <v>1.422120712301514e-08</v>
      </c>
    </row>
    <row r="19">
      <c r="A19" s="1" t="inlineStr">
        <is>
          <t>M_dom</t>
        </is>
      </c>
      <c r="B19" t="n">
        <v>9.870755977316164e-07</v>
      </c>
      <c r="C19" t="n">
        <v>4.748018779278202e-07</v>
      </c>
      <c r="D19" t="n">
        <v>4.0221573956495e-07</v>
      </c>
      <c r="E19" t="n">
        <v>2.400345052636061e-07</v>
      </c>
      <c r="F19" t="n">
        <v>8.1148353938401e-07</v>
      </c>
      <c r="G19" t="n">
        <v>2.726674266997676e-08</v>
      </c>
      <c r="H19" t="n">
        <v>1.033001975210745e-07</v>
      </c>
      <c r="I19" t="n">
        <v>9.239498765064137e-09</v>
      </c>
      <c r="J19" t="n">
        <v>3.600603748990907e-06</v>
      </c>
      <c r="K19" t="n">
        <v>1.032515782650891e-06</v>
      </c>
      <c r="L19" t="n">
        <v>8.110886651004815e-07</v>
      </c>
      <c r="M19" t="n">
        <v>1.54877060069967e-06</v>
      </c>
      <c r="N19" t="n">
        <v>2.161316990211624e-06</v>
      </c>
      <c r="O19" t="n">
        <v>2.459448853558884e-06</v>
      </c>
      <c r="P19" t="n">
        <v>2.695549742361976e-07</v>
      </c>
      <c r="Q19" t="n">
        <v>0</v>
      </c>
      <c r="R19" t="n">
        <v>0</v>
      </c>
      <c r="S19" t="n">
        <v>2.440956271589831e-07</v>
      </c>
      <c r="T19" t="n">
        <v>1.429782932593584e-07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3.648556989965826e-09</v>
      </c>
      <c r="AD19" t="n">
        <v>5.692761735856081e-08</v>
      </c>
      <c r="AE19" t="n">
        <v>2.809572651745342e-10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1.972330237538819e-11</v>
      </c>
      <c r="AO19" t="n">
        <v>3.473369187793041e-09</v>
      </c>
      <c r="AP19" t="n">
        <v>1.069729323679275e-10</v>
      </c>
      <c r="AQ19" t="n">
        <v>2.037487472870493e-09</v>
      </c>
      <c r="AR19" t="n">
        <v>1.43840683746477e-06</v>
      </c>
      <c r="AS19" t="n">
        <v>3.196031049700642e-07</v>
      </c>
      <c r="AT19" t="n">
        <v>2.521799145638909e-07</v>
      </c>
      <c r="AU19" t="n">
        <v>3.446282945896671e-07</v>
      </c>
      <c r="AV19" t="n">
        <v>2.370943217256508e-07</v>
      </c>
      <c r="AW19" t="n">
        <v>7.767715253419235e-07</v>
      </c>
      <c r="AX19" t="n">
        <v>2.361636616633871e-08</v>
      </c>
      <c r="AY19" t="n">
        <v>1.30616315173583e-06</v>
      </c>
      <c r="AZ19" t="n">
        <v>5.353999473301297e-07</v>
      </c>
      <c r="BA19" t="n">
        <v>3.627392877777047e-07</v>
      </c>
      <c r="BB19" t="n">
        <v>6.478915404277027e-07</v>
      </c>
      <c r="BC19" t="n">
        <v>1.122479022362143e-08</v>
      </c>
      <c r="BD19" t="n">
        <v>1.938886855279719e-08</v>
      </c>
      <c r="BE19" t="n">
        <v>5.249802519216824e-09</v>
      </c>
      <c r="BF19" t="n">
        <v>4.484838007512004e-08</v>
      </c>
      <c r="BG19" t="n">
        <v>2.616698859105812e-07</v>
      </c>
      <c r="BH19" t="n">
        <v>2.311572773333654e-08</v>
      </c>
      <c r="BI19" t="n">
        <v>2.16748960056782e-08</v>
      </c>
      <c r="BJ19" t="n">
        <v>2.767243771539969e-09</v>
      </c>
      <c r="BK19" t="n">
        <v>1.734933644931785e-08</v>
      </c>
      <c r="BL19" t="n">
        <v>7.446284372767212e-09</v>
      </c>
      <c r="BM19" t="n">
        <v>6.416112124467013e-11</v>
      </c>
      <c r="BN19" t="n">
        <v>0</v>
      </c>
      <c r="BO19" t="n">
        <v>1.438477087474084e-09</v>
      </c>
      <c r="BP19" t="n">
        <v>3.507308798840601e-09</v>
      </c>
      <c r="BQ19" t="n">
        <v>0</v>
      </c>
      <c r="BR19" t="n">
        <v>0</v>
      </c>
      <c r="BS19" t="n">
        <v>9.039862959985511e-10</v>
      </c>
      <c r="BT19" t="n">
        <v>0</v>
      </c>
      <c r="BU19" t="n">
        <v>1.563976318832051e-09</v>
      </c>
      <c r="BV19" t="n">
        <v>5.39678216413356e-10</v>
      </c>
      <c r="BW19" t="n">
        <v>4.603448188761769e-12</v>
      </c>
      <c r="BX19" t="n">
        <v>9.163269436821692e-10</v>
      </c>
      <c r="BY19" t="n">
        <v>8.786791572274148e-10</v>
      </c>
      <c r="BZ19" t="n">
        <v>0</v>
      </c>
      <c r="CA19" t="n">
        <v>4.826664339733627e-10</v>
      </c>
      <c r="CB19" t="n">
        <v>9.878051784504262e-10</v>
      </c>
      <c r="CC19" t="n">
        <v>1.669668527694371e-09</v>
      </c>
      <c r="CD19" t="n">
        <v>1.826324760130432e-10</v>
      </c>
      <c r="CE19" t="n">
        <v>2.034796075010176e-10</v>
      </c>
      <c r="CF19" t="n">
        <v>3.061139573334171e-10</v>
      </c>
      <c r="CG19" t="n">
        <v>1.948130083947872e-10</v>
      </c>
      <c r="CH19" t="n">
        <v>2.973387107599864e-11</v>
      </c>
      <c r="CI19" t="n">
        <v>1.285356469303759e-08</v>
      </c>
      <c r="CJ19" t="n">
        <v>1.356000465354182e-08</v>
      </c>
      <c r="CK19" t="n">
        <v>1.836880835384791e-09</v>
      </c>
      <c r="CL19" t="n">
        <v>2.649064472950373e-09</v>
      </c>
      <c r="CM19" t="n">
        <v>1.504878737863955e-08</v>
      </c>
      <c r="CN19" t="n">
        <v>0</v>
      </c>
      <c r="CO19" t="n">
        <v>3.252600262099723e-09</v>
      </c>
      <c r="CP19" t="n">
        <v>6.15291281911756e-09</v>
      </c>
      <c r="CQ19" t="n">
        <v>2.552244743662158e-09</v>
      </c>
      <c r="CR19" t="n">
        <v>0</v>
      </c>
      <c r="CS19" t="n">
        <v>5.52479128014495e-09</v>
      </c>
      <c r="CT19" t="n">
        <v>4.953280937912913e-09</v>
      </c>
      <c r="CU19" t="n">
        <v>9.212142828389323e-09</v>
      </c>
      <c r="CV19" t="n">
        <v>8.17905254413557e-09</v>
      </c>
      <c r="CW19" t="n">
        <v>3.316646050056348e-09</v>
      </c>
      <c r="CX19" t="n">
        <v>3.310419901926094e-09</v>
      </c>
      <c r="CY19" t="n">
        <v>6.390334195332425e-09</v>
      </c>
      <c r="CZ19" t="n">
        <v>4.553129243689589e-09</v>
      </c>
      <c r="DA19" t="n">
        <v>4.698354797702229e-09</v>
      </c>
      <c r="DB19" t="n">
        <v>4.535923244412127e-09</v>
      </c>
      <c r="DC19" t="n">
        <v>0</v>
      </c>
      <c r="DD19" t="n">
        <v>2.996944554361331e-09</v>
      </c>
      <c r="DE19" t="n">
        <v>3.135266842842822e-09</v>
      </c>
      <c r="DF19" t="n">
        <v>1.734216387621732e-09</v>
      </c>
      <c r="DG19" t="n">
        <v>2.009566847562156e-09</v>
      </c>
      <c r="DH19" t="n">
        <v>2.529201754262614e-09</v>
      </c>
      <c r="DI19" t="n">
        <v>0</v>
      </c>
      <c r="DJ19" t="n">
        <v>3.207897019205962e-09</v>
      </c>
      <c r="DK19" t="n">
        <v>0</v>
      </c>
      <c r="DL19" t="n">
        <v>3.684919701763193e-09</v>
      </c>
      <c r="DM19" t="n">
        <v>2.574133818043389e-09</v>
      </c>
      <c r="DN19" t="n">
        <v>3.00232889477648e-09</v>
      </c>
      <c r="DO19" t="n">
        <v>3.664361623038566e-09</v>
      </c>
      <c r="DP19" t="n">
        <v>2.519624632867586e-09</v>
      </c>
      <c r="DQ19" t="n">
        <v>3.264911821919973e-09</v>
      </c>
      <c r="DR19" t="n">
        <v>2.60469314064728e-09</v>
      </c>
      <c r="DS19" t="n">
        <v>4.454076257540159e-09</v>
      </c>
      <c r="DT19" t="n">
        <v>2.470441756034296e-09</v>
      </c>
      <c r="DU19" t="n">
        <v>8.23251786485777e-09</v>
      </c>
      <c r="DV19" t="n">
        <v>0</v>
      </c>
      <c r="DW19" t="n">
        <v>0</v>
      </c>
      <c r="DX19" t="n">
        <v>9.799707915251407e-09</v>
      </c>
      <c r="DY19" t="n">
        <v>4.038032560248262e-09</v>
      </c>
      <c r="DZ19" t="n">
        <v>3.203270310183106e-09</v>
      </c>
      <c r="EA19" t="n">
        <v>3.630532279894533e-09</v>
      </c>
      <c r="EB19" t="n">
        <v>1.454311322159047e-09</v>
      </c>
      <c r="EC19" t="n">
        <v>6.253224231647178e-09</v>
      </c>
      <c r="ED19" t="n">
        <v>2.694167128281913e-09</v>
      </c>
      <c r="EE19" t="n">
        <v>2.905898683496155e-10</v>
      </c>
      <c r="EF19" t="n">
        <v>0</v>
      </c>
      <c r="EG19" t="n">
        <v>5.204138681026573e-09</v>
      </c>
      <c r="EH19" t="n">
        <v>0</v>
      </c>
      <c r="EI19" t="n">
        <v>0</v>
      </c>
      <c r="EJ19" t="n">
        <v>1.07136175705933e-09</v>
      </c>
      <c r="EK19" t="n">
        <v>1.014298386223212e-09</v>
      </c>
      <c r="EL19" t="n">
        <v>2.515364790036702e-10</v>
      </c>
      <c r="EM19" t="n">
        <v>5.147410190826834e-10</v>
      </c>
      <c r="EN19" t="n">
        <v>1.069085897411092e-16</v>
      </c>
      <c r="EO19" t="n">
        <v>0</v>
      </c>
      <c r="EP19" t="n">
        <v>1.06775754800326e-09</v>
      </c>
      <c r="EQ19" t="n">
        <v>2.301396792766471e-09</v>
      </c>
      <c r="ER19" t="n">
        <v>1.244973185652441e-08</v>
      </c>
      <c r="ES19" t="n">
        <v>3.81294670434064e-09</v>
      </c>
      <c r="ET19" t="n">
        <v>1.136437454510387e-08</v>
      </c>
      <c r="EU19" t="n">
        <v>0</v>
      </c>
      <c r="EV19" t="n">
        <v>8.59270091216384e-10</v>
      </c>
      <c r="EW19" t="n">
        <v>8.358743202776746e-09</v>
      </c>
      <c r="EX19" t="n">
        <v>2.19292691092691e-09</v>
      </c>
      <c r="EY19" t="n">
        <v>2.756870686731901e-09</v>
      </c>
      <c r="EZ19" t="n">
        <v>5.911107621386844e-08</v>
      </c>
      <c r="FA19" t="n">
        <v>2.897125076835783e-09</v>
      </c>
      <c r="FB19" t="n">
        <v>1.874575723536111e-09</v>
      </c>
      <c r="FC19" t="n">
        <v>3.41766123059249e-09</v>
      </c>
      <c r="FD19" t="n">
        <v>2.921818707988605e-09</v>
      </c>
      <c r="FE19" t="n">
        <v>7.831410550771776e-09</v>
      </c>
      <c r="FF19" t="n">
        <v>5.474030956514147e-09</v>
      </c>
      <c r="FG19" t="n">
        <v>2.641464451917094e-09</v>
      </c>
      <c r="FH19" t="n">
        <v>3.424254187270341e-09</v>
      </c>
      <c r="FI19" t="n">
        <v>3.218364947968509e-09</v>
      </c>
      <c r="FJ19" t="n">
        <v>3.668863428930368e-09</v>
      </c>
      <c r="FK19" t="n">
        <v>4.323409781690642e-09</v>
      </c>
      <c r="FL19" t="n">
        <v>6.35184471356705e-09</v>
      </c>
      <c r="FM19" t="n">
        <v>6.978802273840052e-09</v>
      </c>
      <c r="FN19" t="n">
        <v>4.103855648007606e-09</v>
      </c>
      <c r="FO19" t="n">
        <v>1.373055434251424e-08</v>
      </c>
      <c r="FP19" t="n">
        <v>5.660136508654605e-09</v>
      </c>
      <c r="FQ19" t="n">
        <v>5.799150732361452e-09</v>
      </c>
      <c r="FR19" t="n">
        <v>1.058037379453374e-08</v>
      </c>
      <c r="FS19" t="n">
        <v>6.600043813648992e-09</v>
      </c>
      <c r="FT19" t="n">
        <v>3.733471538354477e-09</v>
      </c>
      <c r="FU19" t="n">
        <v>3.738352002887313e-09</v>
      </c>
      <c r="FV19" t="n">
        <v>3.799228089722436e-09</v>
      </c>
      <c r="FW19" t="n">
        <v>3.717383919098793e-09</v>
      </c>
      <c r="FX19" t="n">
        <v>3.683177875981861e-09</v>
      </c>
      <c r="FY19" t="n">
        <v>3.766061418473521e-09</v>
      </c>
      <c r="FZ19" t="n">
        <v>3.68465093959037e-09</v>
      </c>
      <c r="GA19" t="n">
        <v>3.598547214483237e-09</v>
      </c>
      <c r="GB19" t="n">
        <v>3.397906769592914e-09</v>
      </c>
      <c r="GC19" t="n">
        <v>3.5757572689092e-09</v>
      </c>
      <c r="GD19" t="n">
        <v>3.592146195532206e-09</v>
      </c>
      <c r="GE19" t="n">
        <v>1.593576736224137e-09</v>
      </c>
      <c r="GF19" t="n">
        <v>3.733306969375974e-09</v>
      </c>
      <c r="GG19" t="n">
        <v>3.67667879516911e-09</v>
      </c>
      <c r="GH19" t="n">
        <v>3.665518939125039e-09</v>
      </c>
      <c r="GI19" t="n">
        <v>3.687643157218223e-09</v>
      </c>
      <c r="GJ19" t="n">
        <v>3.664185195587191e-09</v>
      </c>
      <c r="GK19" t="n">
        <v>3.663964656385855e-09</v>
      </c>
      <c r="GL19" t="n">
        <v>3.658508594773812e-09</v>
      </c>
      <c r="GM19" t="n">
        <v>3.686913588976965e-09</v>
      </c>
      <c r="GN19" t="n">
        <v>5.063904792970575e-09</v>
      </c>
      <c r="GO19" t="n">
        <v>1.736989379419785e-08</v>
      </c>
      <c r="GP19" t="n">
        <v>9.158101402062444e-10</v>
      </c>
      <c r="GQ19" t="n">
        <v>0</v>
      </c>
      <c r="GR19" t="n">
        <v>2.400268145032402e-07</v>
      </c>
      <c r="GS19" t="n">
        <v>1.43840683746477e-06</v>
      </c>
      <c r="GT19" t="n">
        <v>4.390797640124951e-07</v>
      </c>
      <c r="GU19" t="n">
        <v>7.816826005244354e-07</v>
      </c>
      <c r="GV19" t="n">
        <v>8.035870054798148e-07</v>
      </c>
      <c r="GW19" t="n">
        <v>5.111788497514884e-07</v>
      </c>
      <c r="GX19" t="n">
        <v>1.075909685212967e-08</v>
      </c>
      <c r="GY19" t="n">
        <v>3.353132572652006e-09</v>
      </c>
      <c r="GZ19" t="n">
        <v>1.172951730665936e-08</v>
      </c>
      <c r="HA19" t="n">
        <v>4.61516514622435e-09</v>
      </c>
      <c r="HB19" t="n">
        <v>5.911107621386843e-08</v>
      </c>
      <c r="HC19" t="n">
        <v>7.151824063072462e-09</v>
      </c>
    </row>
    <row r="20">
      <c r="A20" s="1" t="inlineStr">
        <is>
          <t>M_row</t>
        </is>
      </c>
      <c r="B20" t="n">
        <v>2.006229009429698e-06</v>
      </c>
      <c r="C20" t="n">
        <v>2.330956864783919e-06</v>
      </c>
      <c r="D20" t="n">
        <v>2.754212221375211e-06</v>
      </c>
      <c r="E20" t="n">
        <v>7.26899715954226e-07</v>
      </c>
      <c r="F20" t="n">
        <v>2.095764800178147e-06</v>
      </c>
      <c r="G20" t="n">
        <v>7.948075492345477e-07</v>
      </c>
      <c r="H20" t="n">
        <v>1.109490700730354e-05</v>
      </c>
      <c r="I20" t="n">
        <v>1.625171934242447e-06</v>
      </c>
      <c r="J20" t="n">
        <v>2.239826258934101e-05</v>
      </c>
      <c r="K20" t="n">
        <v>9.922529144135436e-07</v>
      </c>
      <c r="L20" t="n">
        <v>1.410126891845582e-06</v>
      </c>
      <c r="M20" t="n">
        <v>4.714302757504774e-06</v>
      </c>
      <c r="N20" t="n">
        <v>7.978057644300265e-07</v>
      </c>
      <c r="O20" t="n">
        <v>0</v>
      </c>
      <c r="P20" t="n">
        <v>1.266524442893996e-05</v>
      </c>
      <c r="Q20" t="n">
        <v>0</v>
      </c>
      <c r="R20" t="n">
        <v>0</v>
      </c>
      <c r="S20" t="n">
        <v>5.75729938424226e-06</v>
      </c>
      <c r="T20" t="n">
        <v>8.39038322934779e-07</v>
      </c>
      <c r="U20" t="n">
        <v>3.725616758460335e-09</v>
      </c>
      <c r="V20" t="n">
        <v>2.501085472913484e-09</v>
      </c>
      <c r="W20" t="n">
        <v>2.755065571103099e-08</v>
      </c>
      <c r="X20" t="n">
        <v>0</v>
      </c>
      <c r="Y20" t="n">
        <v>1.897430442698702e-08</v>
      </c>
      <c r="Z20" t="n">
        <v>1.995124066842676e-08</v>
      </c>
      <c r="AA20" t="n">
        <v>6.37312085142108e-08</v>
      </c>
      <c r="AB20" t="n">
        <v>0</v>
      </c>
      <c r="AC20" t="n">
        <v>2.196907252469691e-08</v>
      </c>
      <c r="AD20" t="n">
        <v>1.3570517799291e-09</v>
      </c>
      <c r="AE20" t="n">
        <v>3.451086779272983e-07</v>
      </c>
      <c r="AF20" t="n">
        <v>0</v>
      </c>
      <c r="AG20" t="n">
        <v>9.500670414976463e-09</v>
      </c>
      <c r="AH20" t="n">
        <v>1.628324517599943e-11</v>
      </c>
      <c r="AI20" t="n">
        <v>4.870067177031918e-05</v>
      </c>
      <c r="AJ20" t="n">
        <v>1.882463046878597e-07</v>
      </c>
      <c r="AK20" t="n">
        <v>1.468577782381178e-09</v>
      </c>
      <c r="AL20" t="n">
        <v>2.657140844812088e-07</v>
      </c>
      <c r="AM20" t="n">
        <v>5.707699771731172e-09</v>
      </c>
      <c r="AN20" t="n">
        <v>8.638957872861582e-10</v>
      </c>
      <c r="AO20" t="n">
        <v>4.319900610790512e-09</v>
      </c>
      <c r="AP20" t="n">
        <v>1.099438272099808e-09</v>
      </c>
      <c r="AQ20" t="n">
        <v>6.141094513534328e-09</v>
      </c>
      <c r="AR20" t="n">
        <v>2.881875976842324e-06</v>
      </c>
      <c r="AS20" t="n">
        <v>5.793884212544088e-07</v>
      </c>
      <c r="AT20" t="n">
        <v>7.663565710377764e-07</v>
      </c>
      <c r="AU20" t="n">
        <v>2.157247643030125e-07</v>
      </c>
      <c r="AV20" t="n">
        <v>6.984433658090109e-07</v>
      </c>
      <c r="AW20" t="n">
        <v>4.17983955888134e-07</v>
      </c>
      <c r="AX20" t="n">
        <v>3.998363393581834e-07</v>
      </c>
      <c r="AY20" t="n">
        <v>9.035997588299998e-07</v>
      </c>
      <c r="AZ20" t="n">
        <v>7.287580295917919e-07</v>
      </c>
      <c r="BA20" t="n">
        <v>2.625502272075584e-07</v>
      </c>
      <c r="BB20" t="n">
        <v>2.397430384517339e-07</v>
      </c>
      <c r="BC20" t="n">
        <v>2.110081433128931e-07</v>
      </c>
      <c r="BD20" t="n">
        <v>1.437800954414768e-07</v>
      </c>
      <c r="BE20" t="n">
        <v>1.792431746380949e-07</v>
      </c>
      <c r="BF20" t="n">
        <v>4.886058110275287e-07</v>
      </c>
      <c r="BG20" t="n">
        <v>6.166493086487743e-07</v>
      </c>
      <c r="BH20" t="n">
        <v>0</v>
      </c>
      <c r="BI20" t="n">
        <v>1.107256389107885e-06</v>
      </c>
      <c r="BJ20" t="n">
        <v>0</v>
      </c>
      <c r="BK20" t="n">
        <v>2.031052485121676e-07</v>
      </c>
      <c r="BL20" t="n">
        <v>3.89504176136852e-08</v>
      </c>
      <c r="BM20" t="n">
        <v>2.917584422270132e-08</v>
      </c>
      <c r="BN20" t="n">
        <v>0</v>
      </c>
      <c r="BO20" t="n">
        <v>0</v>
      </c>
      <c r="BP20" t="n">
        <v>9.014911949132252e-07</v>
      </c>
      <c r="BQ20" t="n">
        <v>4.250649544673287e-09</v>
      </c>
      <c r="BR20" t="n">
        <v>0</v>
      </c>
      <c r="BS20" t="n">
        <v>6.077184894221723e-08</v>
      </c>
      <c r="BT20" t="n">
        <v>1.988526335493834e-08</v>
      </c>
      <c r="BU20" t="n">
        <v>2.422803013401086e-08</v>
      </c>
      <c r="BV20" t="n">
        <v>2.435031688028928e-07</v>
      </c>
      <c r="BW20" t="n">
        <v>0</v>
      </c>
      <c r="BX20" t="n">
        <v>5.780526425087655e-08</v>
      </c>
      <c r="BY20" t="n">
        <v>1.683382316009765e-08</v>
      </c>
      <c r="BZ20" t="n">
        <v>0</v>
      </c>
      <c r="CA20" t="n">
        <v>2.902078783193425e-08</v>
      </c>
      <c r="CB20" t="n">
        <v>0</v>
      </c>
      <c r="CC20" t="n">
        <v>0</v>
      </c>
      <c r="CD20" t="n">
        <v>9.592360606249674e-09</v>
      </c>
      <c r="CE20" t="n">
        <v>0</v>
      </c>
      <c r="CF20" t="n">
        <v>1.241835157112791e-08</v>
      </c>
      <c r="CG20" t="n">
        <v>7.646942503741783e-09</v>
      </c>
      <c r="CH20" t="n">
        <v>0</v>
      </c>
      <c r="CI20" t="n">
        <v>2.129184840612618e-07</v>
      </c>
      <c r="CJ20" t="n">
        <v>0</v>
      </c>
      <c r="CK20" t="n">
        <v>9.469081694305054e-07</v>
      </c>
      <c r="CL20" t="n">
        <v>1.900323563403102e-06</v>
      </c>
      <c r="CM20" t="n">
        <v>9.638189779757293e-08</v>
      </c>
      <c r="CN20" t="n">
        <v>0</v>
      </c>
      <c r="CO20" t="n">
        <v>1.380565282262726e-06</v>
      </c>
      <c r="CP20" t="n">
        <v>0</v>
      </c>
      <c r="CQ20" t="n">
        <v>0</v>
      </c>
      <c r="CR20" t="n">
        <v>0</v>
      </c>
      <c r="CS20" t="n">
        <v>6.285231206113876e-08</v>
      </c>
      <c r="CT20" t="n">
        <v>0</v>
      </c>
      <c r="CU20" t="n">
        <v>7.133008447253195e-08</v>
      </c>
      <c r="CV20" t="n">
        <v>5.856469867378254e-08</v>
      </c>
      <c r="CW20" t="n">
        <v>4.344035544998132e-08</v>
      </c>
      <c r="CX20" t="n">
        <v>0</v>
      </c>
      <c r="CY20" t="n">
        <v>4.802738781294195e-08</v>
      </c>
      <c r="CZ20" t="n">
        <v>3.67927048050723e-08</v>
      </c>
      <c r="DA20" t="n">
        <v>0</v>
      </c>
      <c r="DB20" t="n">
        <v>6.543887518955043e-08</v>
      </c>
      <c r="DC20" t="n">
        <v>0</v>
      </c>
      <c r="DD20" t="n">
        <v>8.057987227487263e-08</v>
      </c>
      <c r="DE20" t="n">
        <v>0</v>
      </c>
      <c r="DF20" t="n">
        <v>2.101795317742242e-07</v>
      </c>
      <c r="DG20" t="n">
        <v>0</v>
      </c>
      <c r="DH20" t="n">
        <v>9.58677579565126e-08</v>
      </c>
      <c r="DI20" t="n">
        <v>0</v>
      </c>
      <c r="DJ20" t="n">
        <v>8.580536915333452e-08</v>
      </c>
      <c r="DK20" t="n">
        <v>0</v>
      </c>
      <c r="DL20" t="n">
        <v>0</v>
      </c>
      <c r="DM20" t="n">
        <v>3.400737102308128e-08</v>
      </c>
      <c r="DN20" t="n">
        <v>1.683170841306682e-08</v>
      </c>
      <c r="DO20" t="n">
        <v>7.766503402227005e-08</v>
      </c>
      <c r="DP20" t="n">
        <v>1.930954354091791e-08</v>
      </c>
      <c r="DQ20" t="n">
        <v>2.063254947009899e-08</v>
      </c>
      <c r="DR20" t="n">
        <v>1.51974372770372e-08</v>
      </c>
      <c r="DS20" t="n">
        <v>4.208195947964809e-08</v>
      </c>
      <c r="DT20" t="n">
        <v>2.05698430659055e-08</v>
      </c>
      <c r="DU20" t="n">
        <v>9.866843666534265e-08</v>
      </c>
      <c r="DV20" t="n">
        <v>0</v>
      </c>
      <c r="DW20" t="n">
        <v>0</v>
      </c>
      <c r="DX20" t="n">
        <v>6.985077415427753e-09</v>
      </c>
      <c r="DY20" t="n">
        <v>2.286352427955471e-08</v>
      </c>
      <c r="DZ20" t="n">
        <v>1.207400842374974e-07</v>
      </c>
      <c r="EA20" t="n">
        <v>8.137882738361274e-08</v>
      </c>
      <c r="EB20" t="n">
        <v>2.468133744527088e-08</v>
      </c>
      <c r="EC20" t="n">
        <v>1.363266612047383e-08</v>
      </c>
      <c r="ED20" t="n">
        <v>7.047802385332632e-08</v>
      </c>
      <c r="EE20" t="n">
        <v>7.456158137522718e-08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6.206930537251223e-08</v>
      </c>
      <c r="EU20" t="n">
        <v>0</v>
      </c>
      <c r="EV20" t="n">
        <v>3.873051456161765e-08</v>
      </c>
      <c r="EW20" t="n">
        <v>3.450842093974413e-07</v>
      </c>
      <c r="EX20" t="n">
        <v>6.871940685661113e-08</v>
      </c>
      <c r="EY20" t="n">
        <v>5.49405469278318e-08</v>
      </c>
      <c r="EZ20" t="n">
        <v>2.38737973293552e-07</v>
      </c>
      <c r="FA20" t="n">
        <v>6.146603835352066e-08</v>
      </c>
      <c r="FB20" t="n">
        <v>3.561231077556948e-08</v>
      </c>
      <c r="FC20" t="n">
        <v>1.985773695432793e-07</v>
      </c>
      <c r="FD20" t="n">
        <v>7.748095778784821e-08</v>
      </c>
      <c r="FE20" t="n">
        <v>1.84814122024386e-07</v>
      </c>
      <c r="FF20" t="n">
        <v>5.915328095726222e-08</v>
      </c>
      <c r="FG20" t="n">
        <v>4.96232958882907e-08</v>
      </c>
      <c r="FH20" t="n">
        <v>2.461505730888973e-08</v>
      </c>
      <c r="FI20" t="n">
        <v>1.599700493654731e-08</v>
      </c>
      <c r="FJ20" t="n">
        <v>2.504240877127351e-08</v>
      </c>
      <c r="FK20" t="n">
        <v>2.344236552226418e-08</v>
      </c>
      <c r="FL20" t="n">
        <v>2.132317033293101e-08</v>
      </c>
      <c r="FM20" t="n">
        <v>2.903357547168581e-08</v>
      </c>
      <c r="FN20" t="n">
        <v>3.530246216161263e-08</v>
      </c>
      <c r="FO20" t="n">
        <v>1.079403418762214e-07</v>
      </c>
      <c r="FP20" t="n">
        <v>2.753849254791899e-08</v>
      </c>
      <c r="FQ20" t="n">
        <v>6.448448465583595e-08</v>
      </c>
      <c r="FR20" t="n">
        <v>4.58225276854006e-08</v>
      </c>
      <c r="FS20" t="n">
        <v>9.909245975631585e-08</v>
      </c>
      <c r="FT20" t="n">
        <v>4.026925244631069e-08</v>
      </c>
      <c r="FU20" t="n">
        <v>2.681837230752152e-08</v>
      </c>
      <c r="FV20" t="n">
        <v>3.164068745556665e-08</v>
      </c>
      <c r="FW20" t="n">
        <v>3.864058074430603e-08</v>
      </c>
      <c r="FX20" t="n">
        <v>2.225780062103958e-08</v>
      </c>
      <c r="FY20" t="n">
        <v>2.634085538109678e-08</v>
      </c>
      <c r="FZ20" t="n">
        <v>3.038799985729487e-08</v>
      </c>
      <c r="GA20" t="n">
        <v>1.550234274739227e-08</v>
      </c>
      <c r="GB20" t="n">
        <v>2.093840012376355e-08</v>
      </c>
      <c r="GC20" t="n">
        <v>3.667808908348167e-08</v>
      </c>
      <c r="GD20" t="n">
        <v>2.879216417108989e-08</v>
      </c>
      <c r="GE20" t="n">
        <v>1.249784527100086e-08</v>
      </c>
      <c r="GF20" t="n">
        <v>2.046538087865038e-08</v>
      </c>
      <c r="GG20" t="n">
        <v>2.768446683057254e-08</v>
      </c>
      <c r="GH20" t="n">
        <v>2.451776538392535e-08</v>
      </c>
      <c r="GI20" t="n">
        <v>2.098262023429471e-08</v>
      </c>
      <c r="GJ20" t="n">
        <v>2.073992362033565e-08</v>
      </c>
      <c r="GK20" t="n">
        <v>3.465227388409324e-08</v>
      </c>
      <c r="GL20" t="n">
        <v>1.871661181074079e-08</v>
      </c>
      <c r="GM20" t="n">
        <v>2.004900372091799e-08</v>
      </c>
      <c r="GN20" t="n">
        <v>9.836824854318513e-08</v>
      </c>
      <c r="GO20" t="n">
        <v>5.068841478098004e-08</v>
      </c>
      <c r="GP20" t="n">
        <v>1.075222944446832e-07</v>
      </c>
      <c r="GQ20" t="n">
        <v>0</v>
      </c>
      <c r="GR20" t="n">
        <v>7.26263211022445e-07</v>
      </c>
      <c r="GS20" t="n">
        <v>2.881875976842324e-06</v>
      </c>
      <c r="GT20" t="n">
        <v>5.711464306689527e-07</v>
      </c>
      <c r="GU20" t="n">
        <v>5.100586006319688e-07</v>
      </c>
      <c r="GV20" t="n">
        <v>4.17983955888134e-07</v>
      </c>
      <c r="GW20" t="n">
        <v>6.756006849265126e-07</v>
      </c>
      <c r="GX20" t="n">
        <v>1.31684513306949e-07</v>
      </c>
      <c r="GY20" t="n">
        <v>4.757097110761615e-08</v>
      </c>
      <c r="GZ20" t="n">
        <v>2.623171261516711e-07</v>
      </c>
      <c r="HA20" t="n">
        <v>5.151642458973661e-08</v>
      </c>
      <c r="HB20" t="n">
        <v>0</v>
      </c>
      <c r="HC20" t="n">
        <v>5.143459191769306e-08</v>
      </c>
    </row>
    <row r="21">
      <c r="A21" s="1" t="inlineStr">
        <is>
          <t>Y_imp</t>
        </is>
      </c>
      <c r="B21" t="n">
        <v>12.58953104607659</v>
      </c>
      <c r="C21" t="n">
        <v>393.4168379264765</v>
      </c>
      <c r="D21" t="n">
        <v>6.170733505199777</v>
      </c>
      <c r="E21" t="n">
        <v>6666.413095894283</v>
      </c>
      <c r="F21" t="n">
        <v>709.1867968887566</v>
      </c>
      <c r="G21" t="n">
        <v>0</v>
      </c>
      <c r="H21" t="n">
        <v>18.17377665812187</v>
      </c>
      <c r="I21" t="n">
        <v>418.3549082338893</v>
      </c>
      <c r="J21" t="n">
        <v>0</v>
      </c>
      <c r="K21" t="n">
        <v>0</v>
      </c>
      <c r="L21" t="n">
        <v>37.6718724459</v>
      </c>
      <c r="M21" t="n">
        <v>134.968553567</v>
      </c>
      <c r="N21" t="n">
        <v>358.935505393</v>
      </c>
      <c r="O21" t="n">
        <v>0</v>
      </c>
      <c r="P21" t="n">
        <v>0</v>
      </c>
      <c r="Q21" t="n">
        <v>0</v>
      </c>
      <c r="R21" t="n">
        <v>0</v>
      </c>
      <c r="S21" t="n">
        <v>324.7181188907604</v>
      </c>
      <c r="T21" t="n">
        <v>191.524540960959</v>
      </c>
      <c r="U21" t="n">
        <v>6.3533008602</v>
      </c>
      <c r="V21" t="n">
        <v>0</v>
      </c>
      <c r="W21" t="n">
        <v>14.9039839728</v>
      </c>
      <c r="X21" t="n">
        <v>0</v>
      </c>
      <c r="Y21" t="n">
        <v>14.5218305376</v>
      </c>
      <c r="Z21" t="n">
        <v>0</v>
      </c>
      <c r="AA21" t="n">
        <v>0</v>
      </c>
      <c r="AB21" t="n">
        <v>0</v>
      </c>
      <c r="AC21" t="n">
        <v>0</v>
      </c>
      <c r="AD21" t="n">
        <v>10172.62054431125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1038.49431455</v>
      </c>
      <c r="AS21" t="n">
        <v>596.450475476</v>
      </c>
      <c r="AT21" t="n">
        <v>892.77666271</v>
      </c>
      <c r="AU21" t="n">
        <v>2166.43173804</v>
      </c>
      <c r="AV21" t="n">
        <v>152.524386109</v>
      </c>
      <c r="AW21" t="n">
        <v>1806.03861601</v>
      </c>
      <c r="AX21" t="n">
        <v>130.972569754</v>
      </c>
      <c r="AY21" t="n">
        <v>92.7266572539</v>
      </c>
      <c r="AZ21" t="n">
        <v>11484.8366485</v>
      </c>
      <c r="BA21" t="n">
        <v>1737.93637934</v>
      </c>
      <c r="BB21" t="n">
        <v>1549.8190821</v>
      </c>
      <c r="BC21" t="n">
        <v>1749.27710897</v>
      </c>
      <c r="BD21" t="n">
        <v>5191.81852316</v>
      </c>
      <c r="BE21" t="n">
        <v>10896.3904117</v>
      </c>
      <c r="BF21" t="n">
        <v>6719.86299841</v>
      </c>
      <c r="BG21" t="n">
        <v>627.2895343705732</v>
      </c>
      <c r="BH21" t="n">
        <v>64.05277614142688</v>
      </c>
      <c r="BI21" t="n">
        <v>0</v>
      </c>
      <c r="BJ21" t="n">
        <v>0</v>
      </c>
      <c r="BK21" t="n">
        <v>1766.04037623</v>
      </c>
      <c r="BL21" t="n">
        <v>1559.83702366</v>
      </c>
      <c r="BM21" t="n">
        <v>0.1066507278430744</v>
      </c>
      <c r="BN21" t="n">
        <v>0</v>
      </c>
      <c r="BO21" t="n">
        <v>0</v>
      </c>
      <c r="BP21" t="n">
        <v>262.4815319927819</v>
      </c>
      <c r="BQ21" t="n">
        <v>0.2627304867</v>
      </c>
      <c r="BR21" t="n">
        <v>0</v>
      </c>
      <c r="BS21" t="n">
        <v>52.29044704524056</v>
      </c>
      <c r="BT21" t="n">
        <v>157.136715636</v>
      </c>
      <c r="BU21" t="n">
        <v>7198.155178050654</v>
      </c>
      <c r="BV21" t="n">
        <v>1.056828588528105</v>
      </c>
      <c r="BW21" t="n">
        <v>0</v>
      </c>
      <c r="BX21" t="n">
        <v>612.4260780905207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2378.036229680418</v>
      </c>
      <c r="CJ21" t="n">
        <v>286.2161694295821</v>
      </c>
      <c r="CK21" t="n">
        <v>1.678914217057</v>
      </c>
      <c r="CL21" t="n">
        <v>44.52294982682</v>
      </c>
      <c r="CM21" t="n">
        <v>6643.333391030001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895.250211626</v>
      </c>
      <c r="CV21" t="n">
        <v>0.112600342789</v>
      </c>
      <c r="CW21" t="n">
        <v>0.9188687922269055</v>
      </c>
      <c r="CX21" t="n">
        <v>0.0555902005850945</v>
      </c>
      <c r="CY21" t="n">
        <v>791.2557892889999</v>
      </c>
      <c r="CZ21" t="n">
        <v>0.00617002623215275</v>
      </c>
      <c r="DA21" t="n">
        <v>0.0003962561419472482</v>
      </c>
      <c r="DB21" t="n">
        <v>5.425036059269236</v>
      </c>
      <c r="DC21" t="n">
        <v>0.00030458495076355</v>
      </c>
      <c r="DD21" t="n">
        <v>1.326188745780254</v>
      </c>
      <c r="DE21" t="n">
        <v>0.102340521859746</v>
      </c>
      <c r="DF21" t="n">
        <v>0</v>
      </c>
      <c r="DG21" t="n">
        <v>0</v>
      </c>
      <c r="DH21" t="n">
        <v>0</v>
      </c>
      <c r="DI21" t="n">
        <v>0</v>
      </c>
      <c r="DJ21" t="n">
        <v>7.493593020374871</v>
      </c>
      <c r="DK21" t="n">
        <v>0.06099700859512885</v>
      </c>
      <c r="DL21" t="n">
        <v>0</v>
      </c>
      <c r="DM21" t="n">
        <v>2010.42848448</v>
      </c>
      <c r="DN21" t="n">
        <v>520.4741344620001</v>
      </c>
      <c r="DO21" t="n">
        <v>1803.7615755</v>
      </c>
      <c r="DP21" t="n">
        <v>2577.26127398</v>
      </c>
      <c r="DQ21" t="n">
        <v>4696.77493081</v>
      </c>
      <c r="DR21" t="n">
        <v>4669.90644814</v>
      </c>
      <c r="DS21" t="n">
        <v>29014.0209561</v>
      </c>
      <c r="DT21" t="n">
        <v>2813.826555028</v>
      </c>
      <c r="DU21" t="n">
        <v>10799.400247</v>
      </c>
      <c r="DV21" t="n">
        <v>0</v>
      </c>
      <c r="DW21" t="n">
        <v>0</v>
      </c>
      <c r="DX21" t="n">
        <v>63.36121108093538</v>
      </c>
      <c r="DY21" t="n">
        <v>50.54035836745297</v>
      </c>
      <c r="DZ21" t="n">
        <v>20.42194883294816</v>
      </c>
      <c r="EA21" t="n">
        <v>34.97312082171879</v>
      </c>
      <c r="EB21" t="n">
        <v>7.774574842925006</v>
      </c>
      <c r="EC21" t="n">
        <v>7.784159298468468</v>
      </c>
      <c r="ED21" t="n">
        <v>4.48699372323996</v>
      </c>
      <c r="EE21" t="n">
        <v>2.286287747679654</v>
      </c>
      <c r="EF21" t="n">
        <v>0</v>
      </c>
      <c r="EG21" t="n">
        <v>0.004994755577657015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107.8362040536</v>
      </c>
      <c r="EY21" t="n">
        <v>0</v>
      </c>
      <c r="EZ21" t="n">
        <v>0</v>
      </c>
      <c r="FA21" t="n">
        <v>1317.51410816752</v>
      </c>
      <c r="FB21" t="n">
        <v>5070.06724283</v>
      </c>
      <c r="FC21" t="n">
        <v>0.665434672022</v>
      </c>
      <c r="FD21" t="n">
        <v>3107.382957970209</v>
      </c>
      <c r="FE21" t="n">
        <v>243.823954249855</v>
      </c>
      <c r="FF21" t="n">
        <v>8077.98179555482</v>
      </c>
      <c r="FG21" t="n">
        <v>854.2088896967999</v>
      </c>
      <c r="FH21" t="n">
        <v>2604.55483714</v>
      </c>
      <c r="FI21" t="n">
        <v>1220.23761793</v>
      </c>
      <c r="FJ21" t="n">
        <v>1145.74717822</v>
      </c>
      <c r="FK21" t="n">
        <v>0</v>
      </c>
      <c r="FL21" t="n">
        <v>0</v>
      </c>
      <c r="FM21" t="n">
        <v>0</v>
      </c>
      <c r="FN21" t="n">
        <v>1.81215275413</v>
      </c>
      <c r="FO21" t="n">
        <v>1038.66680669</v>
      </c>
      <c r="FP21" t="n">
        <v>652.781205856</v>
      </c>
      <c r="FQ21" t="n">
        <v>1267.51855990752</v>
      </c>
      <c r="FR21" t="n">
        <v>1024.3292228668</v>
      </c>
      <c r="FS21" t="n">
        <v>1545.727142509</v>
      </c>
      <c r="FT21" t="n">
        <v>7.17729398812</v>
      </c>
      <c r="FU21" t="n">
        <v>7.47894238651</v>
      </c>
      <c r="FV21" t="n">
        <v>3.45613363925</v>
      </c>
      <c r="FW21" t="n">
        <v>12.4528250492</v>
      </c>
      <c r="FX21" t="n">
        <v>1.43287113325</v>
      </c>
      <c r="FY21" t="n">
        <v>2.51968033716</v>
      </c>
      <c r="FZ21" t="n">
        <v>7.26812830262</v>
      </c>
      <c r="GA21" t="n">
        <v>0.635575731595</v>
      </c>
      <c r="GB21" t="n">
        <v>0.0431870936057</v>
      </c>
      <c r="GC21" t="n">
        <v>6.216701355879999</v>
      </c>
      <c r="GD21" t="n">
        <v>8.337650195269999</v>
      </c>
      <c r="GE21" t="n">
        <v>0</v>
      </c>
      <c r="GF21" t="n">
        <v>2.85792305986</v>
      </c>
      <c r="GG21" t="n">
        <v>5.47808633417</v>
      </c>
      <c r="GH21" t="n">
        <v>6.61878061193</v>
      </c>
      <c r="GI21" t="n">
        <v>4.28667166764</v>
      </c>
      <c r="GJ21" t="n">
        <v>0.910953415573</v>
      </c>
      <c r="GK21" t="n">
        <v>10.7985323575</v>
      </c>
      <c r="GL21" t="n">
        <v>0.479886330691</v>
      </c>
      <c r="GM21" t="n">
        <v>1.59815003337</v>
      </c>
      <c r="GN21" t="n">
        <v>95.8633370956</v>
      </c>
      <c r="GO21" t="n">
        <v>2481.46822075</v>
      </c>
      <c r="GP21" t="n">
        <v>262.19233730575</v>
      </c>
      <c r="GQ21" t="n">
        <v>0</v>
      </c>
      <c r="GR21" t="n">
        <v>6818.937482003284</v>
      </c>
      <c r="GS21" t="n">
        <v>1038.49431455</v>
      </c>
      <c r="GT21" t="n">
        <v>3828.2993022389</v>
      </c>
      <c r="GU21" t="n">
        <v>2356.498662363959</v>
      </c>
      <c r="GV21" t="n">
        <v>1806.03861601</v>
      </c>
      <c r="GW21" t="n">
        <v>17903.87345874475</v>
      </c>
      <c r="GX21" t="n">
        <v>26463.52351771602</v>
      </c>
      <c r="GY21" t="n">
        <v>58120.83281466164</v>
      </c>
      <c r="GZ21" t="n">
        <v>22808.07193327</v>
      </c>
      <c r="HA21" t="n">
        <v>52451.49181921694</v>
      </c>
      <c r="HB21" t="n">
        <v>0</v>
      </c>
      <c r="HC21" t="n">
        <v>14392.9916857984</v>
      </c>
    </row>
    <row r="22">
      <c r="A22" s="1" t="inlineStr">
        <is>
          <t>Y_dom</t>
        </is>
      </c>
      <c r="B22" t="n">
        <v>111.1237859411297</v>
      </c>
      <c r="C22" t="n">
        <v>6143.007796311505</v>
      </c>
      <c r="D22" t="n">
        <v>370.6834656242983</v>
      </c>
      <c r="E22" t="n">
        <v>10280.1076048156</v>
      </c>
      <c r="F22" t="n">
        <v>726.0784872377837</v>
      </c>
      <c r="G22" t="n">
        <v>0</v>
      </c>
      <c r="H22" t="n">
        <v>514.0743081434518</v>
      </c>
      <c r="I22" t="n">
        <v>0</v>
      </c>
      <c r="J22" t="n">
        <v>0</v>
      </c>
      <c r="K22" t="n">
        <v>0</v>
      </c>
      <c r="L22" t="n">
        <v>3117.91278957</v>
      </c>
      <c r="M22" t="n">
        <v>1889.75665498</v>
      </c>
      <c r="N22" t="n">
        <v>139.245465367</v>
      </c>
      <c r="O22" t="n">
        <v>137.460607966</v>
      </c>
      <c r="P22" t="n">
        <v>0</v>
      </c>
      <c r="Q22" t="n">
        <v>0</v>
      </c>
      <c r="R22" t="n">
        <v>0</v>
      </c>
      <c r="S22" t="n">
        <v>4983.726911349618</v>
      </c>
      <c r="T22" t="n">
        <v>235.5104379290872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7.51704678874619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5050.44137163263</v>
      </c>
      <c r="AS22" t="n">
        <v>2108.07915814567</v>
      </c>
      <c r="AT22" t="n">
        <v>8018.044447814699</v>
      </c>
      <c r="AU22" t="n">
        <v>15949.9837150327</v>
      </c>
      <c r="AV22" t="n">
        <v>26.9606270569</v>
      </c>
      <c r="AW22" t="n">
        <v>8488.22304035583</v>
      </c>
      <c r="AX22" t="n">
        <v>26.83840954758</v>
      </c>
      <c r="AY22" t="n">
        <v>662.143368282305</v>
      </c>
      <c r="AZ22" t="n">
        <v>23360.725289119</v>
      </c>
      <c r="BA22" t="n">
        <v>7010.44186901366</v>
      </c>
      <c r="BB22" t="n">
        <v>2468.4934124624</v>
      </c>
      <c r="BC22" t="n">
        <v>874.533016486</v>
      </c>
      <c r="BD22" t="n">
        <v>2215.3406393403</v>
      </c>
      <c r="BE22" t="n">
        <v>3273.5352910359</v>
      </c>
      <c r="BF22" t="n">
        <v>128.1294884929</v>
      </c>
      <c r="BG22" t="n">
        <v>710.2622544142647</v>
      </c>
      <c r="BH22" t="n">
        <v>438.2363337857354</v>
      </c>
      <c r="BI22" t="n">
        <v>0</v>
      </c>
      <c r="BJ22" t="n">
        <v>0</v>
      </c>
      <c r="BK22" t="n">
        <v>1585.48345099</v>
      </c>
      <c r="BL22" t="n">
        <v>5484.64885857</v>
      </c>
      <c r="BM22" t="n">
        <v>0.7293099116569257</v>
      </c>
      <c r="BN22" t="n">
        <v>0</v>
      </c>
      <c r="BO22" t="n">
        <v>0</v>
      </c>
      <c r="BP22" t="n">
        <v>4666.461821447218</v>
      </c>
      <c r="BQ22" t="n">
        <v>0</v>
      </c>
      <c r="BR22" t="n">
        <v>0</v>
      </c>
      <c r="BS22" t="n">
        <v>43.24791175475945</v>
      </c>
      <c r="BT22" t="n">
        <v>0</v>
      </c>
      <c r="BU22" t="n">
        <v>7435.932931149347</v>
      </c>
      <c r="BV22" t="n">
        <v>2.143706431271896</v>
      </c>
      <c r="BW22" t="n">
        <v>0</v>
      </c>
      <c r="BX22" t="n">
        <v>301.7327080874792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37588.16532331418</v>
      </c>
      <c r="CJ22" t="n">
        <v>1908.19843728582</v>
      </c>
      <c r="CK22" t="n">
        <v>8.09257081484</v>
      </c>
      <c r="CL22" t="n">
        <v>43.7871681139</v>
      </c>
      <c r="CM22" t="n">
        <v>9071.78079087</v>
      </c>
      <c r="CN22" t="n">
        <v>0</v>
      </c>
      <c r="CO22" t="n">
        <v>0</v>
      </c>
      <c r="CP22" t="n">
        <v>347.92681816</v>
      </c>
      <c r="CQ22" t="n">
        <v>984.283941537</v>
      </c>
      <c r="CR22" t="n">
        <v>0</v>
      </c>
      <c r="CS22" t="n">
        <v>0</v>
      </c>
      <c r="CT22" t="n">
        <v>0</v>
      </c>
      <c r="CU22" t="n">
        <v>689.762294742</v>
      </c>
      <c r="CV22" t="n">
        <v>7.73099013119</v>
      </c>
      <c r="CW22" t="n">
        <v>50.51563095007756</v>
      </c>
      <c r="CX22" t="n">
        <v>11.09450161082244</v>
      </c>
      <c r="CY22" t="n">
        <v>967.1063444620002</v>
      </c>
      <c r="CZ22" t="n">
        <v>0.00406246458415987</v>
      </c>
      <c r="DA22" t="n">
        <v>0.00182100319917013</v>
      </c>
      <c r="DB22" t="n">
        <v>0</v>
      </c>
      <c r="DC22" t="n">
        <v>0</v>
      </c>
      <c r="DD22" t="n">
        <v>0.4672341779052208</v>
      </c>
      <c r="DE22" t="n">
        <v>0.2665403071037792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0.145615571681</v>
      </c>
      <c r="DM22" t="n">
        <v>3671.05667554</v>
      </c>
      <c r="DN22" t="n">
        <v>310.999624913</v>
      </c>
      <c r="DO22" t="n">
        <v>0</v>
      </c>
      <c r="DP22" t="n">
        <v>1938.44845799</v>
      </c>
      <c r="DQ22" t="n">
        <v>1956.93538405</v>
      </c>
      <c r="DR22" t="n">
        <v>2869.15447629</v>
      </c>
      <c r="DS22" t="n">
        <v>26547.7846919</v>
      </c>
      <c r="DT22" t="n">
        <v>1501.0289734745</v>
      </c>
      <c r="DU22" t="n">
        <v>7391.270739749999</v>
      </c>
      <c r="DV22" t="n">
        <v>0</v>
      </c>
      <c r="DW22" t="n">
        <v>0</v>
      </c>
      <c r="DX22" t="n">
        <v>160.5329327670646</v>
      </c>
      <c r="DY22" t="n">
        <v>458.081979294547</v>
      </c>
      <c r="DZ22" t="n">
        <v>10186.75299786705</v>
      </c>
      <c r="EA22" t="n">
        <v>1235.352666958281</v>
      </c>
      <c r="EB22" t="n">
        <v>488.069507329075</v>
      </c>
      <c r="EC22" t="n">
        <v>36.95167720963154</v>
      </c>
      <c r="ED22" t="n">
        <v>213.02996467476</v>
      </c>
      <c r="EE22" t="n">
        <v>167.1032224043203</v>
      </c>
      <c r="EF22" t="n">
        <v>0</v>
      </c>
      <c r="EG22" t="n">
        <v>11.36406994162234</v>
      </c>
      <c r="EH22" t="n">
        <v>0</v>
      </c>
      <c r="EI22" t="n">
        <v>0</v>
      </c>
      <c r="EJ22" t="n">
        <v>2459.82274317</v>
      </c>
      <c r="EK22" t="n">
        <v>9539.403568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8925.814611510001</v>
      </c>
      <c r="ER22" t="n">
        <v>1377.80644143</v>
      </c>
      <c r="ES22" t="n">
        <v>5628.20353823</v>
      </c>
      <c r="ET22" t="n">
        <v>8796.46644765</v>
      </c>
      <c r="EU22" t="n">
        <v>0</v>
      </c>
      <c r="EV22" t="n">
        <v>30296.038247431</v>
      </c>
      <c r="EW22" t="n">
        <v>769.0573023287</v>
      </c>
      <c r="EX22" t="n">
        <v>9886.43859541</v>
      </c>
      <c r="EY22" t="n">
        <v>7198.74526698</v>
      </c>
      <c r="EZ22" t="n">
        <v>83954.16485263</v>
      </c>
      <c r="FA22" t="n">
        <v>15294.563008583</v>
      </c>
      <c r="FB22" t="n">
        <v>30950.3724516</v>
      </c>
      <c r="FC22" t="n">
        <v>308.121759012</v>
      </c>
      <c r="FD22" t="n">
        <v>1190.086000744</v>
      </c>
      <c r="FE22" t="n">
        <v>749.5853719010657</v>
      </c>
      <c r="FF22" t="n">
        <v>11302.3998226312</v>
      </c>
      <c r="FG22" t="n">
        <v>16771.579081532</v>
      </c>
      <c r="FH22" t="n">
        <v>42904.6385463</v>
      </c>
      <c r="FI22" t="n">
        <v>13529.354277</v>
      </c>
      <c r="FJ22" t="n">
        <v>31909.8454513</v>
      </c>
      <c r="FK22" t="n">
        <v>0</v>
      </c>
      <c r="FL22" t="n">
        <v>242143.1325731</v>
      </c>
      <c r="FM22" t="n">
        <v>3328.271032657</v>
      </c>
      <c r="FN22" t="n">
        <v>70.8903087324</v>
      </c>
      <c r="FO22" t="n">
        <v>11126.0696009</v>
      </c>
      <c r="FP22" t="n">
        <v>15846.2651147</v>
      </c>
      <c r="FQ22" t="n">
        <v>186753.738044755</v>
      </c>
      <c r="FR22" t="n">
        <v>130808.66813279</v>
      </c>
      <c r="FS22" t="n">
        <v>258670.8658642</v>
      </c>
      <c r="FT22" t="n">
        <v>767.062811341</v>
      </c>
      <c r="FU22" t="n">
        <v>804.795130685</v>
      </c>
      <c r="FV22" t="n">
        <v>332.707084072</v>
      </c>
      <c r="FW22" t="n">
        <v>949.25281436</v>
      </c>
      <c r="FX22" t="n">
        <v>167.741871249</v>
      </c>
      <c r="FY22" t="n">
        <v>222.57871309</v>
      </c>
      <c r="FZ22" t="n">
        <v>919.981640762</v>
      </c>
      <c r="GA22" t="n">
        <v>70.53742816650001</v>
      </c>
      <c r="GB22" t="n">
        <v>6.1009405067</v>
      </c>
      <c r="GC22" t="n">
        <v>773.519846848</v>
      </c>
      <c r="GD22" t="n">
        <v>479.801236121</v>
      </c>
      <c r="GE22" t="n">
        <v>1.88906969237</v>
      </c>
      <c r="GF22" t="n">
        <v>266.243214735</v>
      </c>
      <c r="GG22" t="n">
        <v>472.339913116</v>
      </c>
      <c r="GH22" t="n">
        <v>460.334042583</v>
      </c>
      <c r="GI22" t="n">
        <v>317.565150196</v>
      </c>
      <c r="GJ22" t="n">
        <v>84.5779130124</v>
      </c>
      <c r="GK22" t="n">
        <v>1333.35580079</v>
      </c>
      <c r="GL22" t="n">
        <v>52.3022720474</v>
      </c>
      <c r="GM22" t="n">
        <v>192.223716855</v>
      </c>
      <c r="GN22" t="n">
        <v>22590.5100676</v>
      </c>
      <c r="GO22" t="n">
        <v>71885.0849681</v>
      </c>
      <c r="GP22" t="n">
        <v>11238.476071223</v>
      </c>
      <c r="GQ22" t="n">
        <v>0</v>
      </c>
      <c r="GR22" t="n">
        <v>10307.0682318725</v>
      </c>
      <c r="GS22" t="n">
        <v>5050.44137163263</v>
      </c>
      <c r="GT22" t="n">
        <v>31083.77676554307</v>
      </c>
      <c r="GU22" t="n">
        <v>8862.978943651917</v>
      </c>
      <c r="GV22" t="n">
        <v>8625.68364832183</v>
      </c>
      <c r="GW22" t="n">
        <v>35754.45194623331</v>
      </c>
      <c r="GX22" t="n">
        <v>348068.806370803</v>
      </c>
      <c r="GY22" t="n">
        <v>115961.4466882009</v>
      </c>
      <c r="GZ22" t="n">
        <v>5617.0054188691</v>
      </c>
      <c r="HA22" t="n">
        <v>76311.73408172725</v>
      </c>
      <c r="HB22" t="n">
        <v>83954.16485263</v>
      </c>
      <c r="HC22" t="n">
        <v>879887.6501223976</v>
      </c>
    </row>
    <row r="23">
      <c r="A23" s="1" t="inlineStr">
        <is>
          <t>M_imp*Y_dom</t>
        </is>
      </c>
      <c r="B23" t="n">
        <v>6.432581178545315e-06</v>
      </c>
      <c r="C23" t="n">
        <v>0.0001481874821973633</v>
      </c>
      <c r="D23" t="n">
        <v>6.103052141038675e-06</v>
      </c>
      <c r="E23" t="n">
        <v>0.000578682817193895</v>
      </c>
      <c r="F23" t="n">
        <v>2.699542196135971e-05</v>
      </c>
      <c r="G23" t="n">
        <v>0</v>
      </c>
      <c r="H23" t="n">
        <v>1.36960342830016e-05</v>
      </c>
      <c r="I23" t="n">
        <v>0</v>
      </c>
      <c r="J23" t="n">
        <v>0</v>
      </c>
      <c r="K23" t="n">
        <v>0</v>
      </c>
      <c r="L23" t="n">
        <v>0.0003131984921140884</v>
      </c>
      <c r="M23" t="n">
        <v>0.0002201530076280013</v>
      </c>
      <c r="N23" t="n">
        <v>2.141210484698115e-05</v>
      </c>
      <c r="O23" t="n">
        <v>2.647688092059057e-05</v>
      </c>
      <c r="P23" t="n">
        <v>0</v>
      </c>
      <c r="Q23" t="n">
        <v>0</v>
      </c>
      <c r="R23" t="n">
        <v>0</v>
      </c>
      <c r="S23" t="n">
        <v>0.0005944212523732144</v>
      </c>
      <c r="T23" t="n">
        <v>6.189902824086635e-05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6.663150655179872e-06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0.0008637515764306487</v>
      </c>
      <c r="AS23" t="n">
        <v>0.0001229273670865425</v>
      </c>
      <c r="AT23" t="n">
        <v>0.0007379328937161256</v>
      </c>
      <c r="AU23" t="n">
        <v>0.002540512171346805</v>
      </c>
      <c r="AV23" t="n">
        <v>1.95810513832688e-06</v>
      </c>
      <c r="AW23" t="n">
        <v>0.0007969382099210428</v>
      </c>
      <c r="AX23" t="n">
        <v>3.999477080266536e-07</v>
      </c>
      <c r="AY23" t="n">
        <v>2.548104581284338e-05</v>
      </c>
      <c r="AZ23" t="n">
        <v>0.0027184160526364</v>
      </c>
      <c r="BA23" t="n">
        <v>0.0005645227414399507</v>
      </c>
      <c r="BB23" t="n">
        <v>0.0003414263342342063</v>
      </c>
      <c r="BC23" t="n">
        <v>1.926669998249258e-05</v>
      </c>
      <c r="BD23" t="n">
        <v>8.80756801813071e-05</v>
      </c>
      <c r="BE23" t="n">
        <v>8.691960979050795e-05</v>
      </c>
      <c r="BF23" t="n">
        <v>7.265777717833498e-06</v>
      </c>
      <c r="BG23" t="n">
        <v>0.0001407459116866164</v>
      </c>
      <c r="BH23" t="n">
        <v>2.20721961697925e-05</v>
      </c>
      <c r="BI23" t="n">
        <v>0</v>
      </c>
      <c r="BJ23" t="n">
        <v>0</v>
      </c>
      <c r="BK23" t="n">
        <v>9.957692173896927e-05</v>
      </c>
      <c r="BL23" t="n">
        <v>0.0001222589372998019</v>
      </c>
      <c r="BM23" t="n">
        <v>1.874568844604989e-09</v>
      </c>
      <c r="BN23" t="n">
        <v>0</v>
      </c>
      <c r="BO23" t="n">
        <v>0</v>
      </c>
      <c r="BP23" t="n">
        <v>0.0003413403025133266</v>
      </c>
      <c r="BQ23" t="n">
        <v>0</v>
      </c>
      <c r="BR23" t="n">
        <v>0</v>
      </c>
      <c r="BS23" t="n">
        <v>8.153686344563498e-07</v>
      </c>
      <c r="BT23" t="n">
        <v>0</v>
      </c>
      <c r="BU23" t="n">
        <v>0.0002425430286612459</v>
      </c>
      <c r="BV23" t="n">
        <v>2.412829851064975e-08</v>
      </c>
      <c r="BW23" t="n">
        <v>0</v>
      </c>
      <c r="BX23" t="n">
        <v>5.766330076532607e-06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0.001202399517666785</v>
      </c>
      <c r="CJ23" t="n">
        <v>5.227153170150925e-05</v>
      </c>
      <c r="CK23" t="n">
        <v>9.546817245222228e-08</v>
      </c>
      <c r="CL23" t="n">
        <v>7.779039442894803e-07</v>
      </c>
      <c r="CM23" t="n">
        <v>0.0003293936777361315</v>
      </c>
      <c r="CN23" t="n">
        <v>0</v>
      </c>
      <c r="CO23" t="n">
        <v>0</v>
      </c>
      <c r="CP23" t="n">
        <v>5.168056811322548e-06</v>
      </c>
      <c r="CQ23" t="n">
        <v>6.064627086862956e-06</v>
      </c>
      <c r="CR23" t="n">
        <v>0</v>
      </c>
      <c r="CS23" t="n">
        <v>0</v>
      </c>
      <c r="CT23" t="n">
        <v>0</v>
      </c>
      <c r="CU23" t="n">
        <v>2.263291122564942e-05</v>
      </c>
      <c r="CV23" t="n">
        <v>1.645556519829864e-07</v>
      </c>
      <c r="CW23" t="n">
        <v>7.621387514441638e-07</v>
      </c>
      <c r="CX23" t="n">
        <v>1.503144200017414e-07</v>
      </c>
      <c r="CY23" t="n">
        <v>2.131003773575042e-05</v>
      </c>
      <c r="CZ23" t="n">
        <v>8.081411075868275e-11</v>
      </c>
      <c r="DA23" t="n">
        <v>2.971681462737835e-11</v>
      </c>
      <c r="DB23" t="n">
        <v>0</v>
      </c>
      <c r="DC23" t="n">
        <v>0</v>
      </c>
      <c r="DD23" t="n">
        <v>1.20023659447162e-08</v>
      </c>
      <c r="DE23" t="n">
        <v>6.701147654124846e-09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3.067692225025352e-09</v>
      </c>
      <c r="DM23" t="n">
        <v>6.407660938334092e-05</v>
      </c>
      <c r="DN23" t="n">
        <v>5.789491026679772e-06</v>
      </c>
      <c r="DO23" t="n">
        <v>0</v>
      </c>
      <c r="DP23" t="n">
        <v>3.266735607761363e-05</v>
      </c>
      <c r="DQ23" t="n">
        <v>3.539507287418988e-05</v>
      </c>
      <c r="DR23" t="n">
        <v>4.126763751190172e-05</v>
      </c>
      <c r="DS23" t="n">
        <v>0.0006273210536866849</v>
      </c>
      <c r="DT23" t="n">
        <v>2.770304112161824e-05</v>
      </c>
      <c r="DU23" t="n">
        <v>0.0002111729426424713</v>
      </c>
      <c r="DV23" t="n">
        <v>0</v>
      </c>
      <c r="DW23" t="n">
        <v>0</v>
      </c>
      <c r="DX23" t="n">
        <v>2.218786177812705e-05</v>
      </c>
      <c r="DY23" t="n">
        <v>8.707828195801002e-06</v>
      </c>
      <c r="DZ23" t="n">
        <v>0.0001609195533272532</v>
      </c>
      <c r="EA23" t="n">
        <v>2.456649132613185e-05</v>
      </c>
      <c r="EB23" t="n">
        <v>3.928108990580984e-06</v>
      </c>
      <c r="EC23" t="n">
        <v>2.701028558547091e-06</v>
      </c>
      <c r="ED23" t="n">
        <v>3.244728483511954e-06</v>
      </c>
      <c r="EE23" t="n">
        <v>2.853464643425228e-07</v>
      </c>
      <c r="EF23" t="n">
        <v>0</v>
      </c>
      <c r="EG23" t="n">
        <v>2.745117730018342e-07</v>
      </c>
      <c r="EH23" t="n">
        <v>0</v>
      </c>
      <c r="EI23" t="n">
        <v>0</v>
      </c>
      <c r="EJ23" t="n">
        <v>2.132320838388913e-05</v>
      </c>
      <c r="EK23" t="n">
        <v>7.967764983973725e-05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0.0001512764359777174</v>
      </c>
      <c r="ER23" t="n">
        <v>0.000105082034372698</v>
      </c>
      <c r="ES23" t="n">
        <v>6.945900607656158e-05</v>
      </c>
      <c r="ET23" t="n">
        <v>0.0001810289961368235</v>
      </c>
      <c r="EU23" t="n">
        <v>0</v>
      </c>
      <c r="EV23" t="n">
        <v>0.0001804466898242772</v>
      </c>
      <c r="EW23" t="n">
        <v>1.183425921150969e-05</v>
      </c>
      <c r="EX23" t="n">
        <v>8.304086730195115e-05</v>
      </c>
      <c r="EY23" t="n">
        <v>6.622270998076506e-05</v>
      </c>
      <c r="EZ23" t="n">
        <v>0.002397452175825372</v>
      </c>
      <c r="FA23" t="n">
        <v>0.0002847717137702013</v>
      </c>
      <c r="FB23" t="n">
        <v>0.0003727547393212835</v>
      </c>
      <c r="FC23" t="n">
        <v>2.443850933900945e-05</v>
      </c>
      <c r="FD23" t="n">
        <v>8.046145784375583e-05</v>
      </c>
      <c r="FE23" t="n">
        <v>8.579414919230403e-05</v>
      </c>
      <c r="FF23" t="n">
        <v>0.0003836675888273568</v>
      </c>
      <c r="FG23" t="n">
        <v>0.0002195246609906074</v>
      </c>
      <c r="FH23" t="n">
        <v>0.0004163747111930753</v>
      </c>
      <c r="FI23" t="n">
        <v>0.0001884191539079982</v>
      </c>
      <c r="FJ23" t="n">
        <v>0.0005425111738636444</v>
      </c>
      <c r="FK23" t="n">
        <v>0</v>
      </c>
      <c r="FL23" t="n">
        <v>0.003232731522153939</v>
      </c>
      <c r="FM23" t="n">
        <v>4.494569999159251e-05</v>
      </c>
      <c r="FN23" t="n">
        <v>9.684010578673336e-07</v>
      </c>
      <c r="FO23" t="n">
        <v>0.0004476686832706266</v>
      </c>
      <c r="FP23" t="n">
        <v>0.000204590176937395</v>
      </c>
      <c r="FQ23" t="n">
        <v>0.003045738845595989</v>
      </c>
      <c r="FR23" t="n">
        <v>0.001444463884230031</v>
      </c>
      <c r="FS23" t="n">
        <v>0.00275355417040378</v>
      </c>
      <c r="FT23" t="n">
        <v>9.571954943911158e-06</v>
      </c>
      <c r="FU23" t="n">
        <v>1.016571916082495e-05</v>
      </c>
      <c r="FV23" t="n">
        <v>4.666468523279859e-06</v>
      </c>
      <c r="FW23" t="n">
        <v>1.207702321753136e-05</v>
      </c>
      <c r="FX23" t="n">
        <v>2.10901205796669e-06</v>
      </c>
      <c r="FY23" t="n">
        <v>2.885596395794728e-06</v>
      </c>
      <c r="FZ23" t="n">
        <v>1.113266714594169e-05</v>
      </c>
      <c r="GA23" t="n">
        <v>8.215283999609774e-07</v>
      </c>
      <c r="GB23" t="n">
        <v>6.938763797972801e-08</v>
      </c>
      <c r="GC23" t="n">
        <v>1.032461372339588e-05</v>
      </c>
      <c r="GD23" t="n">
        <v>6.002643370201308e-06</v>
      </c>
      <c r="GE23" t="n">
        <v>2.292473406052007e-07</v>
      </c>
      <c r="GF23" t="n">
        <v>4.036618955026456e-06</v>
      </c>
      <c r="GG23" t="n">
        <v>7.360338184002774e-06</v>
      </c>
      <c r="GH23" t="n">
        <v>6.918480497574538e-06</v>
      </c>
      <c r="GI23" t="n">
        <v>4.657813957851007e-06</v>
      </c>
      <c r="GJ23" t="n">
        <v>1.489000438726654e-06</v>
      </c>
      <c r="GK23" t="n">
        <v>1.652812429352677e-05</v>
      </c>
      <c r="GL23" t="n">
        <v>7.940100595457074e-07</v>
      </c>
      <c r="GM23" t="n">
        <v>2.570089634003954e-06</v>
      </c>
      <c r="GN23" t="n">
        <v>0.00047108059205876</v>
      </c>
      <c r="GO23" t="n">
        <v>0.001855816702403825</v>
      </c>
      <c r="GP23" t="n">
        <v>0.0003519937911357873</v>
      </c>
      <c r="GQ23" t="n">
        <v>0</v>
      </c>
      <c r="GR23" t="n">
        <v>0.0005806409223322219</v>
      </c>
      <c r="GS23" t="n">
        <v>0.0008637515764306487</v>
      </c>
      <c r="GT23" t="n">
        <v>0.003934723931891562</v>
      </c>
      <c r="GU23" t="n">
        <v>0.0008802493430088902</v>
      </c>
      <c r="GV23" t="n">
        <v>0.0008234150908416333</v>
      </c>
      <c r="GW23" t="n">
        <v>0.003716636859236826</v>
      </c>
      <c r="GX23" t="n">
        <v>0.006525926525544569</v>
      </c>
      <c r="GY23" t="n">
        <v>0.002820533463023312</v>
      </c>
      <c r="GZ23" t="n">
        <v>0.0001822610676896486</v>
      </c>
      <c r="HA23" t="n">
        <v>0.001913200881838917</v>
      </c>
      <c r="HB23" t="n">
        <v>0.002397452175825372</v>
      </c>
      <c r="HC23" t="n">
        <v>0.0125130645173737</v>
      </c>
    </row>
    <row r="24">
      <c r="A24" s="1" t="inlineStr">
        <is>
          <t>M_dom*Y_dom</t>
        </is>
      </c>
      <c r="B24" t="n">
        <v>0.0001096875774300408</v>
      </c>
      <c r="C24" t="n">
        <v>0.002916711637813943</v>
      </c>
      <c r="D24" t="n">
        <v>0.0001490947242705758</v>
      </c>
      <c r="E24" t="n">
        <v>0.002467580542978547</v>
      </c>
      <c r="F24" t="n">
        <v>0.0005892007406943045</v>
      </c>
      <c r="G24" t="n">
        <v>0</v>
      </c>
      <c r="H24" t="n">
        <v>5.310397757172827e-05</v>
      </c>
      <c r="I24" t="n">
        <v>0</v>
      </c>
      <c r="J24" t="n">
        <v>0</v>
      </c>
      <c r="K24" t="n">
        <v>0</v>
      </c>
      <c r="L24" t="n">
        <v>0.00252890372239205</v>
      </c>
      <c r="M24" t="n">
        <v>0.002926799549709572</v>
      </c>
      <c r="N24" t="n">
        <v>0.0003009535901076214</v>
      </c>
      <c r="O24" t="n">
        <v>0.0003380773346714858</v>
      </c>
      <c r="P24" t="n">
        <v>0</v>
      </c>
      <c r="Q24" t="n">
        <v>0</v>
      </c>
      <c r="R24" t="n">
        <v>0</v>
      </c>
      <c r="S24" t="n">
        <v>0.001216505946014987</v>
      </c>
      <c r="T24" t="n">
        <v>3.367288045986497e-05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4.279275632561414e-07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0.007264589401171326</v>
      </c>
      <c r="AS24" t="n">
        <v>0.0006737486444660353</v>
      </c>
      <c r="AT24" t="n">
        <v>0.002021989763819391</v>
      </c>
      <c r="AU24" t="n">
        <v>0.005496815686444683</v>
      </c>
      <c r="AV24" t="n">
        <v>6.392211585353936e-06</v>
      </c>
      <c r="AW24" t="n">
        <v>0.006593409958499658</v>
      </c>
      <c r="AX24" t="n">
        <v>6.338257071978101e-07</v>
      </c>
      <c r="AY24" t="n">
        <v>0.0008648672688165942</v>
      </c>
      <c r="AZ24" t="n">
        <v>0.01250733108938794</v>
      </c>
      <c r="BA24" t="n">
        <v>0.002542962690573016</v>
      </c>
      <c r="BB24" t="n">
        <v>0.001599315999535901</v>
      </c>
      <c r="BC24" t="n">
        <v>9.81644965368621e-06</v>
      </c>
      <c r="BD24" t="n">
        <v>4.295294845583877e-05</v>
      </c>
      <c r="BE24" t="n">
        <v>1.718541381762545e-05</v>
      </c>
      <c r="BF24" t="n">
        <v>5.746399998760299e-06</v>
      </c>
      <c r="BG24" t="n">
        <v>0.0001858542430791728</v>
      </c>
      <c r="BH24" t="n">
        <v>1.013015177464666e-05</v>
      </c>
      <c r="BI24" t="n">
        <v>0</v>
      </c>
      <c r="BJ24" t="n">
        <v>0</v>
      </c>
      <c r="BK24" t="n">
        <v>2.750708582605106e-05</v>
      </c>
      <c r="BL24" t="n">
        <v>4.084025508568532e-05</v>
      </c>
      <c r="BM24" t="n">
        <v>4.679334166675968e-11</v>
      </c>
      <c r="BN24" t="n">
        <v>0</v>
      </c>
      <c r="BO24" t="n">
        <v>0</v>
      </c>
      <c r="BP24" t="n">
        <v>1.636672260581557e-05</v>
      </c>
      <c r="BQ24" t="n">
        <v>0</v>
      </c>
      <c r="BR24" t="n">
        <v>0</v>
      </c>
      <c r="BS24" t="n">
        <v>3.909551955685719e-08</v>
      </c>
      <c r="BT24" t="n">
        <v>0</v>
      </c>
      <c r="BU24" t="n">
        <v>1.162962301274098e-05</v>
      </c>
      <c r="BV24" t="n">
        <v>1.156911663342657e-09</v>
      </c>
      <c r="BW24" t="n">
        <v>0</v>
      </c>
      <c r="BX24" t="n">
        <v>2.76485810210744e-07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0.0004831419146758109</v>
      </c>
      <c r="CJ24" t="n">
        <v>2.587517968947695e-05</v>
      </c>
      <c r="CK24" t="n">
        <v>1.486508823877388e-08</v>
      </c>
      <c r="CL24" t="n">
        <v>1.159950314216379e-07</v>
      </c>
      <c r="CM24" t="n">
        <v>0.0001365193002674292</v>
      </c>
      <c r="CN24" t="n">
        <v>0</v>
      </c>
      <c r="CO24" t="n">
        <v>0</v>
      </c>
      <c r="CP24" t="n">
        <v>2.140763379571448e-06</v>
      </c>
      <c r="CQ24" t="n">
        <v>2.512133516058879e-06</v>
      </c>
      <c r="CR24" t="n">
        <v>0</v>
      </c>
      <c r="CS24" t="n">
        <v>0</v>
      </c>
      <c r="CT24" t="n">
        <v>0</v>
      </c>
      <c r="CU24" t="n">
        <v>6.354188776800877e-06</v>
      </c>
      <c r="CV24" t="n">
        <v>6.323217450119654e-08</v>
      </c>
      <c r="CW24" t="n">
        <v>1.67542467856679e-07</v>
      </c>
      <c r="CX24" t="n">
        <v>3.672745893441771e-08</v>
      </c>
      <c r="CY24" t="n">
        <v>6.180132743538459e-06</v>
      </c>
      <c r="CZ24" t="n">
        <v>1.849692629959157e-11</v>
      </c>
      <c r="DA24" t="n">
        <v>8.555719117452087e-12</v>
      </c>
      <c r="DB24" t="n">
        <v>0</v>
      </c>
      <c r="DC24" t="n">
        <v>0</v>
      </c>
      <c r="DD24" t="n">
        <v>1.400274925084545e-09</v>
      </c>
      <c r="DE24" t="n">
        <v>8.35674987143622e-10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5.365816889708275e-10</v>
      </c>
      <c r="DM24" t="n">
        <v>9.449791136461451e-06</v>
      </c>
      <c r="DN24" t="n">
        <v>9.33723160140947e-07</v>
      </c>
      <c r="DO24" t="n">
        <v>0</v>
      </c>
      <c r="DP24" t="n">
        <v>4.884162484295793e-06</v>
      </c>
      <c r="DQ24" t="n">
        <v>6.389221470118347e-06</v>
      </c>
      <c r="DR24" t="n">
        <v>7.473266983850004e-06</v>
      </c>
      <c r="DS24" t="n">
        <v>0.0001182458574864799</v>
      </c>
      <c r="DT24" t="n">
        <v>3.7082046530887e-06</v>
      </c>
      <c r="DU24" t="n">
        <v>6.084876840899237e-05</v>
      </c>
      <c r="DV24" t="n">
        <v>0</v>
      </c>
      <c r="DW24" t="n">
        <v>0</v>
      </c>
      <c r="DX24" t="n">
        <v>1.573175851895925e-06</v>
      </c>
      <c r="DY24" t="n">
        <v>1.849749947654351e-06</v>
      </c>
      <c r="DZ24" t="n">
        <v>3.263092343523627e-05</v>
      </c>
      <c r="EA24" t="n">
        <v>4.484987734445841e-06</v>
      </c>
      <c r="EB24" t="n">
        <v>7.098050105092618e-07</v>
      </c>
      <c r="EC24" t="n">
        <v>2.310671233272727e-07</v>
      </c>
      <c r="ED24" t="n">
        <v>5.739383281657955e-07</v>
      </c>
      <c r="EE24" t="n">
        <v>4.855850339926797e-08</v>
      </c>
      <c r="EF24" t="n">
        <v>0</v>
      </c>
      <c r="EG24" t="n">
        <v>5.914019595708823e-08</v>
      </c>
      <c r="EH24" t="n">
        <v>0</v>
      </c>
      <c r="EI24" t="n">
        <v>0</v>
      </c>
      <c r="EJ24" t="n">
        <v>2.635360016177112e-06</v>
      </c>
      <c r="EK24" t="n">
        <v>9.675801644554354e-06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2.054184111975722e-05</v>
      </c>
      <c r="ER24" t="n">
        <v>1.71533207459956e-05</v>
      </c>
      <c r="ES24" t="n">
        <v>2.146004013245241e-05</v>
      </c>
      <c r="ET24" t="n">
        <v>9.996633938453394e-05</v>
      </c>
      <c r="EU24" t="n">
        <v>0</v>
      </c>
      <c r="EV24" t="n">
        <v>2.60324795483651e-05</v>
      </c>
      <c r="EW24" t="n">
        <v>6.428352498385842e-06</v>
      </c>
      <c r="EX24" t="n">
        <v>2.168023724910103e-05</v>
      </c>
      <c r="EY24" t="n">
        <v>1.984600980778718e-05</v>
      </c>
      <c r="EZ24" t="n">
        <v>0.004962621037075486</v>
      </c>
      <c r="FA24" t="n">
        <v>4.431026203141076e-05</v>
      </c>
      <c r="FB24" t="n">
        <v>5.801881683217019e-05</v>
      </c>
      <c r="FC24" t="n">
        <v>1.053055790077274e-06</v>
      </c>
      <c r="FD24" t="n">
        <v>3.477215541089159e-06</v>
      </c>
      <c r="FE24" t="n">
        <v>5.870310790210192e-06</v>
      </c>
      <c r="FF24" t="n">
        <v>6.186968651198321e-05</v>
      </c>
      <c r="FG24" t="n">
        <v>4.430152994638312e-05</v>
      </c>
      <c r="FH24" t="n">
        <v>0.0001469163881954882</v>
      </c>
      <c r="FI24" t="n">
        <v>4.354239957374463e-05</v>
      </c>
      <c r="FJ24" t="n">
        <v>0.0001170728649990946</v>
      </c>
      <c r="FK24" t="n">
        <v>0</v>
      </c>
      <c r="FL24" t="n">
        <v>0.001538055576561011</v>
      </c>
      <c r="FM24" t="n">
        <v>2.322734545066265e-05</v>
      </c>
      <c r="FN24" t="n">
        <v>2.909235938804627e-07</v>
      </c>
      <c r="FO24" t="n">
        <v>0.0001527671032737532</v>
      </c>
      <c r="FP24" t="n">
        <v>8.969202370153332e-05</v>
      </c>
      <c r="FQ24" t="n">
        <v>0.00108301307675348</v>
      </c>
      <c r="FR24" t="n">
        <v>0.001384004604410032</v>
      </c>
      <c r="FS24" t="n">
        <v>0.001707239048018241</v>
      </c>
      <c r="FT24" t="n">
        <v>2.863807174271793e-06</v>
      </c>
      <c r="FU24" t="n">
        <v>3.008607488710226e-06</v>
      </c>
      <c r="FV24" t="n">
        <v>1.264030099455987e-06</v>
      </c>
      <c r="FW24" t="n">
        <v>3.528737147261136e-06</v>
      </c>
      <c r="FX24" t="n">
        <v>6.178231490601146e-07</v>
      </c>
      <c r="FY24" t="n">
        <v>8.382451039417362e-07</v>
      </c>
      <c r="FZ24" t="n">
        <v>3.389811217039593e-06</v>
      </c>
      <c r="GA24" t="n">
        <v>2.538322656453701e-07</v>
      </c>
      <c r="GB24" t="n">
        <v>2.073042704859955e-08</v>
      </c>
      <c r="GC24" t="n">
        <v>2.765919215012268e-06</v>
      </c>
      <c r="GD24" t="n">
        <v>1.7235161849437e-06</v>
      </c>
      <c r="GE24" t="n">
        <v>3.010377514866919e-09</v>
      </c>
      <c r="GF24" t="n">
        <v>9.939676491192396e-07</v>
      </c>
      <c r="GG24" t="n">
        <v>1.736642142665617e-06</v>
      </c>
      <c r="GH24" t="n">
        <v>1.687363151411979e-06</v>
      </c>
      <c r="GI24" t="n">
        <v>1.171066953091257e-06</v>
      </c>
      <c r="GJ24" t="n">
        <v>3.099091367336973e-07</v>
      </c>
      <c r="GK24" t="n">
        <v>4.885368528481619e-06</v>
      </c>
      <c r="GL24" t="n">
        <v>1.91348311811611e-07</v>
      </c>
      <c r="GM24" t="n">
        <v>7.087122337963599e-07</v>
      </c>
      <c r="GN24" t="n">
        <v>0.0001143961922069697</v>
      </c>
      <c r="GO24" t="n">
        <v>0.001248636291282785</v>
      </c>
      <c r="GP24" t="n">
        <v>1.029231034649126e-05</v>
      </c>
      <c r="GQ24" t="n">
        <v>0</v>
      </c>
      <c r="GR24" t="n">
        <v>0.002473972754563901</v>
      </c>
      <c r="GS24" t="n">
        <v>0.007264589401171326</v>
      </c>
      <c r="GT24" t="n">
        <v>0.01364825736683173</v>
      </c>
      <c r="GU24" t="n">
        <v>0.006928036429067144</v>
      </c>
      <c r="GV24" t="n">
        <v>0.006931487293171144</v>
      </c>
      <c r="GW24" t="n">
        <v>0.01827691961937041</v>
      </c>
      <c r="GX24" t="n">
        <v>0.003744905998948636</v>
      </c>
      <c r="GY24" t="n">
        <v>0.0003888341040620555</v>
      </c>
      <c r="GZ24" t="n">
        <v>6.588476227222453e-05</v>
      </c>
      <c r="HA24" t="n">
        <v>0.0003521912553819285</v>
      </c>
      <c r="HB24" t="n">
        <v>0.004962621037075486</v>
      </c>
      <c r="HC24" t="n">
        <v>0.006292801668945647</v>
      </c>
    </row>
    <row r="25">
      <c r="A25" s="1" t="inlineStr">
        <is>
          <t>M_imp*Y_dom+M_dom*Y_dom</t>
        </is>
      </c>
      <c r="B25" t="n">
        <v>0.0001161201586085861</v>
      </c>
      <c r="C25" t="n">
        <v>0.003064899120011307</v>
      </c>
      <c r="D25" t="n">
        <v>0.0001551977764116145</v>
      </c>
      <c r="E25" t="n">
        <v>0.003046263360172442</v>
      </c>
      <c r="F25" t="n">
        <v>0.0006161961626556642</v>
      </c>
      <c r="G25" t="n">
        <v>0</v>
      </c>
      <c r="H25" t="n">
        <v>6.680001185472987e-05</v>
      </c>
      <c r="I25" t="n">
        <v>0</v>
      </c>
      <c r="J25" t="n">
        <v>0</v>
      </c>
      <c r="K25" t="n">
        <v>0</v>
      </c>
      <c r="L25" t="n">
        <v>0.002842102214506138</v>
      </c>
      <c r="M25" t="n">
        <v>0.003146952557337574</v>
      </c>
      <c r="N25" t="n">
        <v>0.0003223656949546025</v>
      </c>
      <c r="O25" t="n">
        <v>0.0003645542155920764</v>
      </c>
      <c r="P25" t="n">
        <v>0</v>
      </c>
      <c r="Q25" t="n">
        <v>0</v>
      </c>
      <c r="R25" t="n">
        <v>0</v>
      </c>
      <c r="S25" t="n">
        <v>0.001810927198388201</v>
      </c>
      <c r="T25" t="n">
        <v>9.557190870073132e-05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7.091078218436013e-06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0.008128340977601975</v>
      </c>
      <c r="AS25" t="n">
        <v>0.0007966760115525778</v>
      </c>
      <c r="AT25" t="n">
        <v>0.002759922657535517</v>
      </c>
      <c r="AU25" t="n">
        <v>0.008037327857791488</v>
      </c>
      <c r="AV25" t="n">
        <v>8.350316723680816e-06</v>
      </c>
      <c r="AW25" t="n">
        <v>0.007390348168420701</v>
      </c>
      <c r="AX25" t="n">
        <v>1.033773415224464e-06</v>
      </c>
      <c r="AY25" t="n">
        <v>0.0008903483146294375</v>
      </c>
      <c r="AZ25" t="n">
        <v>0.01522574714202434</v>
      </c>
      <c r="BA25" t="n">
        <v>0.003107485432012966</v>
      </c>
      <c r="BB25" t="n">
        <v>0.001940742333770107</v>
      </c>
      <c r="BC25" t="n">
        <v>2.908314963617879e-05</v>
      </c>
      <c r="BD25" t="n">
        <v>0.0001310286286371459</v>
      </c>
      <c r="BE25" t="n">
        <v>0.0001041050236081334</v>
      </c>
      <c r="BF25" t="n">
        <v>1.30121777165938e-05</v>
      </c>
      <c r="BG25" t="n">
        <v>0.0003266001547657892</v>
      </c>
      <c r="BH25" t="n">
        <v>3.220234794443916e-05</v>
      </c>
      <c r="BI25" t="n">
        <v>0</v>
      </c>
      <c r="BJ25" t="n">
        <v>0</v>
      </c>
      <c r="BK25" t="n">
        <v>0.0001270840075650203</v>
      </c>
      <c r="BL25" t="n">
        <v>0.0001630991923854872</v>
      </c>
      <c r="BM25" t="n">
        <v>1.921362186271749e-09</v>
      </c>
      <c r="BN25" t="n">
        <v>0</v>
      </c>
      <c r="BO25" t="n">
        <v>0</v>
      </c>
      <c r="BP25" t="n">
        <v>0.0003577070251191421</v>
      </c>
      <c r="BQ25" t="n">
        <v>0</v>
      </c>
      <c r="BR25" t="n">
        <v>0</v>
      </c>
      <c r="BS25" t="n">
        <v>8.54464154013207e-07</v>
      </c>
      <c r="BT25" t="n">
        <v>0</v>
      </c>
      <c r="BU25" t="n">
        <v>0.0002541726516739868</v>
      </c>
      <c r="BV25" t="n">
        <v>2.52852101739924e-08</v>
      </c>
      <c r="BW25" t="n">
        <v>0</v>
      </c>
      <c r="BX25" t="n">
        <v>6.042815886743351e-06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0.001685541432342596</v>
      </c>
      <c r="CJ25" t="n">
        <v>7.814671139098621e-05</v>
      </c>
      <c r="CK25" t="n">
        <v>1.103332606909962e-07</v>
      </c>
      <c r="CL25" t="n">
        <v>8.938989757111182e-07</v>
      </c>
      <c r="CM25" t="n">
        <v>0.0004659129780035607</v>
      </c>
      <c r="CN25" t="n">
        <v>0</v>
      </c>
      <c r="CO25" t="n">
        <v>0</v>
      </c>
      <c r="CP25" t="n">
        <v>7.308820190893997e-06</v>
      </c>
      <c r="CQ25" t="n">
        <v>8.576760602921834e-06</v>
      </c>
      <c r="CR25" t="n">
        <v>0</v>
      </c>
      <c r="CS25" t="n">
        <v>0</v>
      </c>
      <c r="CT25" t="n">
        <v>0</v>
      </c>
      <c r="CU25" t="n">
        <v>2.89871000024503e-05</v>
      </c>
      <c r="CV25" t="n">
        <v>2.277878264841829e-07</v>
      </c>
      <c r="CW25" t="n">
        <v>9.296812193008427e-07</v>
      </c>
      <c r="CX25" t="n">
        <v>1.870418789361591e-07</v>
      </c>
      <c r="CY25" t="n">
        <v>2.749017047928888e-05</v>
      </c>
      <c r="CZ25" t="n">
        <v>9.931103705827432e-11</v>
      </c>
      <c r="DA25" t="n">
        <v>3.827253374483044e-11</v>
      </c>
      <c r="DB25" t="n">
        <v>0</v>
      </c>
      <c r="DC25" t="n">
        <v>0</v>
      </c>
      <c r="DD25" t="n">
        <v>1.340264086980075e-08</v>
      </c>
      <c r="DE25" t="n">
        <v>7.536822641268467e-09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3.604273913996179e-09</v>
      </c>
      <c r="DM25" t="n">
        <v>7.352640051980237e-05</v>
      </c>
      <c r="DN25" t="n">
        <v>6.72321418682072e-06</v>
      </c>
      <c r="DO25" t="n">
        <v>0</v>
      </c>
      <c r="DP25" t="n">
        <v>3.755151856190943e-05</v>
      </c>
      <c r="DQ25" t="n">
        <v>4.178429434430823e-05</v>
      </c>
      <c r="DR25" t="n">
        <v>4.874090449575173e-05</v>
      </c>
      <c r="DS25" t="n">
        <v>0.0007455669111731647</v>
      </c>
      <c r="DT25" t="n">
        <v>3.141124577470694e-05</v>
      </c>
      <c r="DU25" t="n">
        <v>0.0002720217110514637</v>
      </c>
      <c r="DV25" t="n">
        <v>0</v>
      </c>
      <c r="DW25" t="n">
        <v>0</v>
      </c>
      <c r="DX25" t="n">
        <v>2.376103763002297e-05</v>
      </c>
      <c r="DY25" t="n">
        <v>1.055757814345535e-05</v>
      </c>
      <c r="DZ25" t="n">
        <v>0.0001935504767624895</v>
      </c>
      <c r="EA25" t="n">
        <v>2.905147906057769e-05</v>
      </c>
      <c r="EB25" t="n">
        <v>4.637914001090247e-06</v>
      </c>
      <c r="EC25" t="n">
        <v>2.932095681874364e-06</v>
      </c>
      <c r="ED25" t="n">
        <v>3.81866681167775e-06</v>
      </c>
      <c r="EE25" t="n">
        <v>3.339049677417908e-07</v>
      </c>
      <c r="EF25" t="n">
        <v>0</v>
      </c>
      <c r="EG25" t="n">
        <v>3.336519689589224e-07</v>
      </c>
      <c r="EH25" t="n">
        <v>0</v>
      </c>
      <c r="EI25" t="n">
        <v>0</v>
      </c>
      <c r="EJ25" t="n">
        <v>2.395856840006624e-05</v>
      </c>
      <c r="EK25" t="n">
        <v>8.935345148429161e-05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0.0001718182770974746</v>
      </c>
      <c r="ER25" t="n">
        <v>0.0001222353551186936</v>
      </c>
      <c r="ES25" t="n">
        <v>9.091904620901398e-05</v>
      </c>
      <c r="ET25" t="n">
        <v>0.0002809953355213574</v>
      </c>
      <c r="EU25" t="n">
        <v>0</v>
      </c>
      <c r="EV25" t="n">
        <v>0.0002064791693726423</v>
      </c>
      <c r="EW25" t="n">
        <v>1.826261170989554e-05</v>
      </c>
      <c r="EX25" t="n">
        <v>0.0001047211045510522</v>
      </c>
      <c r="EY25" t="n">
        <v>8.606871978855224e-05</v>
      </c>
      <c r="EZ25" t="n">
        <v>0.007360073212900858</v>
      </c>
      <c r="FA25" t="n">
        <v>0.000329081975801612</v>
      </c>
      <c r="FB25" t="n">
        <v>0.0004307735561534537</v>
      </c>
      <c r="FC25" t="n">
        <v>2.549156512908673e-05</v>
      </c>
      <c r="FD25" t="n">
        <v>8.393867338484499e-05</v>
      </c>
      <c r="FE25" t="n">
        <v>9.166445998251422e-05</v>
      </c>
      <c r="FF25" t="n">
        <v>0.00044553727533934</v>
      </c>
      <c r="FG25" t="n">
        <v>0.0002638261909369905</v>
      </c>
      <c r="FH25" t="n">
        <v>0.0005632910993885635</v>
      </c>
      <c r="FI25" t="n">
        <v>0.0002319615534817428</v>
      </c>
      <c r="FJ25" t="n">
        <v>0.0006595840388627389</v>
      </c>
      <c r="FK25" t="n">
        <v>0</v>
      </c>
      <c r="FL25" t="n">
        <v>0.00477078709871495</v>
      </c>
      <c r="FM25" t="n">
        <v>6.817304544225517e-05</v>
      </c>
      <c r="FN25" t="n">
        <v>1.259324651747796e-06</v>
      </c>
      <c r="FO25" t="n">
        <v>0.0006004357865443798</v>
      </c>
      <c r="FP25" t="n">
        <v>0.0002942822006389283</v>
      </c>
      <c r="FQ25" t="n">
        <v>0.004128751922349468</v>
      </c>
      <c r="FR25" t="n">
        <v>0.002828468488640063</v>
      </c>
      <c r="FS25" t="n">
        <v>0.004460793218422021</v>
      </c>
      <c r="FT25" t="n">
        <v>1.243576211818295e-05</v>
      </c>
      <c r="FU25" t="n">
        <v>1.317432664953518e-05</v>
      </c>
      <c r="FV25" t="n">
        <v>5.930498622735846e-06</v>
      </c>
      <c r="FW25" t="n">
        <v>1.56057603647925e-05</v>
      </c>
      <c r="FX25" t="n">
        <v>2.726835207026804e-06</v>
      </c>
      <c r="FY25" t="n">
        <v>3.723841499736464e-06</v>
      </c>
      <c r="FZ25" t="n">
        <v>1.452247836298129e-05</v>
      </c>
      <c r="GA25" t="n">
        <v>1.075360665606348e-06</v>
      </c>
      <c r="GB25" t="n">
        <v>9.011806502832756e-08</v>
      </c>
      <c r="GC25" t="n">
        <v>1.309053293840814e-05</v>
      </c>
      <c r="GD25" t="n">
        <v>7.726159555145008e-06</v>
      </c>
      <c r="GE25" t="n">
        <v>2.322577181200677e-07</v>
      </c>
      <c r="GF25" t="n">
        <v>5.030586604145695e-06</v>
      </c>
      <c r="GG25" t="n">
        <v>9.096980326668391e-06</v>
      </c>
      <c r="GH25" t="n">
        <v>8.605843648986516e-06</v>
      </c>
      <c r="GI25" t="n">
        <v>5.828880910942264e-06</v>
      </c>
      <c r="GJ25" t="n">
        <v>1.798909575460352e-06</v>
      </c>
      <c r="GK25" t="n">
        <v>2.141349282200839e-05</v>
      </c>
      <c r="GL25" t="n">
        <v>9.853583713573185e-07</v>
      </c>
      <c r="GM25" t="n">
        <v>3.278801867800314e-06</v>
      </c>
      <c r="GN25" t="n">
        <v>0.0005854767842657296</v>
      </c>
      <c r="GO25" t="n">
        <v>0.003104452993686611</v>
      </c>
      <c r="GP25" t="n">
        <v>0.0003622861014822785</v>
      </c>
      <c r="GQ25" t="n">
        <v>0</v>
      </c>
      <c r="GR25" t="n">
        <v>0.003054613676896122</v>
      </c>
      <c r="GS25" t="n">
        <v>0.008128340977601975</v>
      </c>
      <c r="GT25" t="n">
        <v>0.01758298129872329</v>
      </c>
      <c r="GU25" t="n">
        <v>0.007808285772076034</v>
      </c>
      <c r="GV25" t="n">
        <v>0.007754902384012777</v>
      </c>
      <c r="GW25" t="n">
        <v>0.02199355647860723</v>
      </c>
      <c r="GX25" t="n">
        <v>0.01027083252449321</v>
      </c>
      <c r="GY25" t="n">
        <v>0.003209367567085368</v>
      </c>
      <c r="GZ25" t="n">
        <v>0.0002481458299618731</v>
      </c>
      <c r="HA25" t="n">
        <v>0.002265392137220846</v>
      </c>
      <c r="HB25" t="n">
        <v>0.007360073212900858</v>
      </c>
      <c r="HC25" t="n">
        <v>0.01880586618631934</v>
      </c>
    </row>
    <row r="26">
      <c r="A26" s="1" t="inlineStr">
        <is>
          <t>M_row*Y_imp</t>
        </is>
      </c>
      <c r="B26" t="n">
        <v>2.525748239975465e-05</v>
      </c>
      <c r="C26" t="n">
        <v>0.0009170376790863029</v>
      </c>
      <c r="D26" t="n">
        <v>1.699550963487072e-05</v>
      </c>
      <c r="E26" t="n">
        <v>0.004845813785839087</v>
      </c>
      <c r="F26" t="n">
        <v>0.001486288725670545</v>
      </c>
      <c r="G26" t="n">
        <v>0</v>
      </c>
      <c r="H26" t="n">
        <v>0.0002016363619933658</v>
      </c>
      <c r="I26" t="n">
        <v>0.0006798986554142913</v>
      </c>
      <c r="J26" t="n">
        <v>0</v>
      </c>
      <c r="K26" t="n">
        <v>0</v>
      </c>
      <c r="L26" t="n">
        <v>5.312212040214019e-05</v>
      </c>
      <c r="M26" t="n">
        <v>0.0006362826242573388</v>
      </c>
      <c r="N26" t="n">
        <v>0.0002863608152611403</v>
      </c>
      <c r="O26" t="n">
        <v>0</v>
      </c>
      <c r="P26" t="n">
        <v>0</v>
      </c>
      <c r="Q26" t="n">
        <v>0</v>
      </c>
      <c r="R26" t="n">
        <v>0</v>
      </c>
      <c r="S26" t="n">
        <v>0.00186949942594208</v>
      </c>
      <c r="T26" t="n">
        <v>0.0001606964296487364</v>
      </c>
      <c r="U26" t="n">
        <v>2.366996415630158e-08</v>
      </c>
      <c r="V26" t="n">
        <v>0</v>
      </c>
      <c r="W26" t="n">
        <v>4.106145311573367e-07</v>
      </c>
      <c r="X26" t="n">
        <v>0</v>
      </c>
      <c r="Y26" t="n">
        <v>2.75541633457539e-07</v>
      </c>
      <c r="Z26" t="n">
        <v>0</v>
      </c>
      <c r="AA26" t="n">
        <v>0</v>
      </c>
      <c r="AB26" t="n">
        <v>0</v>
      </c>
      <c r="AC26" t="n">
        <v>0</v>
      </c>
      <c r="AD26" t="n">
        <v>1.380477281620092e-05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0.00299281181718898</v>
      </c>
      <c r="AS26" t="n">
        <v>0.0003455764993424811</v>
      </c>
      <c r="AT26" t="n">
        <v>0.000684185261936985</v>
      </c>
      <c r="AU26" t="n">
        <v>0.0004673529760672447</v>
      </c>
      <c r="AV26" t="n">
        <v>0.0001065296456019231</v>
      </c>
      <c r="AW26" t="n">
        <v>0.0007548951652065905</v>
      </c>
      <c r="AX26" t="n">
        <v>5.236759284677369e-05</v>
      </c>
      <c r="AY26" t="n">
        <v>8.378778513173609e-05</v>
      </c>
      <c r="AZ26" t="n">
        <v>0.008369666926144459</v>
      </c>
      <c r="BA26" t="n">
        <v>0.0004562955912679985</v>
      </c>
      <c r="BB26" t="n">
        <v>0.0003715583357931313</v>
      </c>
      <c r="BC26" t="n">
        <v>0.0003691117149035051</v>
      </c>
      <c r="BD26" t="n">
        <v>0.0007464801627747722</v>
      </c>
      <c r="BE26" t="n">
        <v>0.001953103609489206</v>
      </c>
      <c r="BF26" t="n">
        <v>0.003283364110331998</v>
      </c>
      <c r="BG26" t="n">
        <v>0.0003868176576922255</v>
      </c>
      <c r="BH26" t="n">
        <v>0</v>
      </c>
      <c r="BI26" t="n">
        <v>0</v>
      </c>
      <c r="BJ26" t="n">
        <v>0</v>
      </c>
      <c r="BK26" t="n">
        <v>0.0003586920694967161</v>
      </c>
      <c r="BL26" t="n">
        <v>6.075630348084476e-05</v>
      </c>
      <c r="BM26" t="n">
        <v>3.111625021787252e-09</v>
      </c>
      <c r="BN26" t="n">
        <v>0</v>
      </c>
      <c r="BO26" t="n">
        <v>0</v>
      </c>
      <c r="BP26" t="n">
        <v>0.0002366247899188269</v>
      </c>
      <c r="BQ26" t="n">
        <v>1.116775223663146e-09</v>
      </c>
      <c r="BR26" t="n">
        <v>0</v>
      </c>
      <c r="BS26" t="n">
        <v>3.177787148954369e-06</v>
      </c>
      <c r="BT26" t="n">
        <v>3.124704973151917e-06</v>
      </c>
      <c r="BU26" t="n">
        <v>0.0001743971205630976</v>
      </c>
      <c r="BV26" t="n">
        <v>2.57341110188082e-07</v>
      </c>
      <c r="BW26" t="n">
        <v>0</v>
      </c>
      <c r="BX26" t="n">
        <v>3.540145127815051e-05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0.0005063278690663132</v>
      </c>
      <c r="CJ26" t="n">
        <v>0</v>
      </c>
      <c r="CK26" t="n">
        <v>1.589777587904294e-06</v>
      </c>
      <c r="CL26" t="n">
        <v>8.46080106681201e-05</v>
      </c>
      <c r="CM26" t="n">
        <v>0.0006402970799294571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6.385827321933469e-05</v>
      </c>
      <c r="CV26" t="n">
        <v>6.594405146002408e-09</v>
      </c>
      <c r="CW26" t="n">
        <v>3.991598694623181e-08</v>
      </c>
      <c r="CX26" t="n">
        <v>0</v>
      </c>
      <c r="CY26" t="n">
        <v>3.800194865141827e-05</v>
      </c>
      <c r="CZ26" t="n">
        <v>2.270119537991486e-10</v>
      </c>
      <c r="DA26" t="n">
        <v>0</v>
      </c>
      <c r="DB26" t="n">
        <v>3.5500825758133e-07</v>
      </c>
      <c r="DC26" t="n">
        <v>0</v>
      </c>
      <c r="DD26" t="n">
        <v>1.068641197473464e-07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6.429905153981168e-07</v>
      </c>
      <c r="DK26" t="n">
        <v>0</v>
      </c>
      <c r="DL26" t="n">
        <v>0</v>
      </c>
      <c r="DM26" t="n">
        <v>6.836938738708237e-05</v>
      </c>
      <c r="DN26" t="n">
        <v>8.760468867807719e-06</v>
      </c>
      <c r="DO26" t="n">
        <v>0.0001400892041292709</v>
      </c>
      <c r="DP26" t="n">
        <v>4.976573878623837e-05</v>
      </c>
      <c r="DQ26" t="n">
        <v>9.690644110985807e-05</v>
      </c>
      <c r="DR26" t="n">
        <v>7.097061033523924e-05</v>
      </c>
      <c r="DS26" t="n">
        <v>0.001220966854216261</v>
      </c>
      <c r="DT26" t="n">
        <v>5.787997065160347e-05</v>
      </c>
      <c r="DU26" t="n">
        <v>0.001065559939294805</v>
      </c>
      <c r="DV26" t="n">
        <v>0</v>
      </c>
      <c r="DW26" t="n">
        <v>0</v>
      </c>
      <c r="DX26" t="n">
        <v>4.425829645355924e-07</v>
      </c>
      <c r="DY26" t="n">
        <v>1.155530710631657e-06</v>
      </c>
      <c r="DZ26" t="n">
        <v>2.465747822384023e-06</v>
      </c>
      <c r="EA26" t="n">
        <v>2.846071562416886e-06</v>
      </c>
      <c r="EB26" t="n">
        <v>1.918869051917459e-07</v>
      </c>
      <c r="EC26" t="n">
        <v>1.061188447446024e-07</v>
      </c>
      <c r="ED26" t="n">
        <v>3.162344506562314e-07</v>
      </c>
      <c r="EE26" t="n">
        <v>1.704692299458014e-07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7.410439980231877e-06</v>
      </c>
      <c r="EY26" t="n">
        <v>0</v>
      </c>
      <c r="EZ26" t="n">
        <v>0</v>
      </c>
      <c r="FA26" t="n">
        <v>8.098237270392934e-05</v>
      </c>
      <c r="FB26" t="n">
        <v>0.0001805568103046967</v>
      </c>
      <c r="FC26" t="n">
        <v>1.321402667730236e-07</v>
      </c>
      <c r="FD26" t="n">
        <v>0.0002407630077971687</v>
      </c>
      <c r="FE26" t="n">
        <v>4.506211003320102e-05</v>
      </c>
      <c r="FF26" t="n">
        <v>0.0004778391267201038</v>
      </c>
      <c r="FG26" t="n">
        <v>4.238866048383257e-05</v>
      </c>
      <c r="FH26" t="n">
        <v>6.411126658034705e-05</v>
      </c>
      <c r="FI26" t="n">
        <v>1.952014719778694e-05</v>
      </c>
      <c r="FJ26" t="n">
        <v>2.86922691855184e-05</v>
      </c>
      <c r="FK26" t="n">
        <v>0</v>
      </c>
      <c r="FL26" t="n">
        <v>0</v>
      </c>
      <c r="FM26" t="n">
        <v>0</v>
      </c>
      <c r="FN26" t="n">
        <v>6.397345403373644e-08</v>
      </c>
      <c r="FO26" t="n">
        <v>0.0001121140502096017</v>
      </c>
      <c r="FP26" t="n">
        <v>1.797661037288703e-05</v>
      </c>
      <c r="FQ26" t="n">
        <v>8.173528112734376e-05</v>
      </c>
      <c r="FR26" t="n">
        <v>4.693735417377882e-05</v>
      </c>
      <c r="FS26" t="n">
        <v>0.0001531699046633182</v>
      </c>
      <c r="FT26" t="n">
        <v>2.890242634889923e-07</v>
      </c>
      <c r="FU26" t="n">
        <v>2.005730613879287e-07</v>
      </c>
      <c r="FV26" t="n">
        <v>1.093544442841794e-07</v>
      </c>
      <c r="FW26" t="n">
        <v>4.811843918083292e-07</v>
      </c>
      <c r="FX26" t="n">
        <v>3.189255999952153e-08</v>
      </c>
      <c r="FY26" t="n">
        <v>6.637053536772474e-08</v>
      </c>
      <c r="FZ26" t="n">
        <v>2.208638818228174e-07</v>
      </c>
      <c r="GA26" t="n">
        <v>9.852912833110287e-09</v>
      </c>
      <c r="GB26" t="n">
        <v>9.042686460985769e-10</v>
      </c>
      <c r="GC26" t="n">
        <v>2.280167261363679e-07</v>
      </c>
      <c r="GD26" t="n">
        <v>2.400589932233335e-07</v>
      </c>
      <c r="GE26" t="n">
        <v>0</v>
      </c>
      <c r="GF26" t="n">
        <v>5.848848394191283e-08</v>
      </c>
      <c r="GG26" t="n">
        <v>1.516578994133421e-07</v>
      </c>
      <c r="GH26" t="n">
        <v>1.622777101709736e-07</v>
      </c>
      <c r="GI26" t="n">
        <v>8.994560367120093e-08</v>
      </c>
      <c r="GJ26" t="n">
        <v>1.88931042606679e-08</v>
      </c>
      <c r="GK26" t="n">
        <v>3.74193700798333e-07</v>
      </c>
      <c r="GL26" t="n">
        <v>8.981846164824233e-09</v>
      </c>
      <c r="GM26" t="n">
        <v>3.204131596562035e-08</v>
      </c>
      <c r="GN26" t="n">
        <v>9.429908569599119e-06</v>
      </c>
      <c r="GO26" t="n">
        <v>0.0001257816904391965</v>
      </c>
      <c r="GP26" t="n">
        <v>2.819152169292855e-05</v>
      </c>
      <c r="GQ26" t="n">
        <v>0</v>
      </c>
      <c r="GR26" t="n">
        <v>0.00495234343144101</v>
      </c>
      <c r="GS26" t="n">
        <v>0.00299281181718898</v>
      </c>
      <c r="GT26" t="n">
        <v>0.00218651948200619</v>
      </c>
      <c r="GU26" t="n">
        <v>0.001201952410116467</v>
      </c>
      <c r="GV26" t="n">
        <v>0.0007548951652065905</v>
      </c>
      <c r="GW26" t="n">
        <v>0.01209586917156556</v>
      </c>
      <c r="GX26" t="n">
        <v>0.003484836214817434</v>
      </c>
      <c r="GY26" t="n">
        <v>0.002764864458576858</v>
      </c>
      <c r="GZ26" t="n">
        <v>0.005982947882595976</v>
      </c>
      <c r="HA26" t="n">
        <v>0.002702113322923876</v>
      </c>
      <c r="HB26" t="n">
        <v>0</v>
      </c>
      <c r="HC26" t="n">
        <v>0.0007402976538337895</v>
      </c>
    </row>
    <row r="27">
      <c r="A27" s="1" t="inlineStr">
        <is>
          <t>M_imp*Y_dom+M_dom*Y_dom+M_row*Y_imp</t>
        </is>
      </c>
      <c r="B27" t="n">
        <v>0.0001413776410083408</v>
      </c>
      <c r="C27" t="n">
        <v>0.003981936799097609</v>
      </c>
      <c r="D27" t="n">
        <v>0.0001721932860464852</v>
      </c>
      <c r="E27" t="n">
        <v>0.00789207714601153</v>
      </c>
      <c r="F27" t="n">
        <v>0.002102484888326209</v>
      </c>
      <c r="G27" t="n">
        <v>0</v>
      </c>
      <c r="H27" t="n">
        <v>0.0002684363738480957</v>
      </c>
      <c r="I27" t="n">
        <v>0.0006798986554142913</v>
      </c>
      <c r="J27" t="n">
        <v>0</v>
      </c>
      <c r="K27" t="n">
        <v>0</v>
      </c>
      <c r="L27" t="n">
        <v>0.002895224334908278</v>
      </c>
      <c r="M27" t="n">
        <v>0.003783235181594913</v>
      </c>
      <c r="N27" t="n">
        <v>0.0006087265102157428</v>
      </c>
      <c r="O27" t="n">
        <v>0.0003645542155920764</v>
      </c>
      <c r="P27" t="n">
        <v>0</v>
      </c>
      <c r="Q27" t="n">
        <v>0</v>
      </c>
      <c r="R27" t="n">
        <v>0</v>
      </c>
      <c r="S27" t="n">
        <v>0.003680426624330281</v>
      </c>
      <c r="T27" t="n">
        <v>0.0002562683383494677</v>
      </c>
      <c r="U27" t="n">
        <v>2.366996415630158e-08</v>
      </c>
      <c r="V27" t="n">
        <v>0</v>
      </c>
      <c r="W27" t="n">
        <v>4.106145311573367e-07</v>
      </c>
      <c r="X27" t="n">
        <v>0</v>
      </c>
      <c r="Y27" t="n">
        <v>2.75541633457539e-07</v>
      </c>
      <c r="Z27" t="n">
        <v>0</v>
      </c>
      <c r="AA27" t="n">
        <v>0</v>
      </c>
      <c r="AB27" t="n">
        <v>0</v>
      </c>
      <c r="AC27" t="n">
        <v>0</v>
      </c>
      <c r="AD27" t="n">
        <v>2.089585103463693e-05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0.01112115279479095</v>
      </c>
      <c r="AS27" t="n">
        <v>0.001142252510895059</v>
      </c>
      <c r="AT27" t="n">
        <v>0.003444107919472502</v>
      </c>
      <c r="AU27" t="n">
        <v>0.008504680833858733</v>
      </c>
      <c r="AV27" t="n">
        <v>0.0001148799623256039</v>
      </c>
      <c r="AW27" t="n">
        <v>0.008145243333627291</v>
      </c>
      <c r="AX27" t="n">
        <v>5.340136626199815e-05</v>
      </c>
      <c r="AY27" t="n">
        <v>0.0009741360997611736</v>
      </c>
      <c r="AZ27" t="n">
        <v>0.0235954140681688</v>
      </c>
      <c r="BA27" t="n">
        <v>0.003563781023280965</v>
      </c>
      <c r="BB27" t="n">
        <v>0.002312300669563238</v>
      </c>
      <c r="BC27" t="n">
        <v>0.0003981948645396839</v>
      </c>
      <c r="BD27" t="n">
        <v>0.000877508791411918</v>
      </c>
      <c r="BE27" t="n">
        <v>0.002057208633097339</v>
      </c>
      <c r="BF27" t="n">
        <v>0.003296376288048592</v>
      </c>
      <c r="BG27" t="n">
        <v>0.0007134178124580146</v>
      </c>
      <c r="BH27" t="n">
        <v>3.220234794443916e-05</v>
      </c>
      <c r="BI27" t="n">
        <v>0</v>
      </c>
      <c r="BJ27" t="n">
        <v>0</v>
      </c>
      <c r="BK27" t="n">
        <v>0.0004857760770617364</v>
      </c>
      <c r="BL27" t="n">
        <v>0.000223855495866332</v>
      </c>
      <c r="BM27" t="n">
        <v>5.032987208059001e-09</v>
      </c>
      <c r="BN27" t="n">
        <v>0</v>
      </c>
      <c r="BO27" t="n">
        <v>0</v>
      </c>
      <c r="BP27" t="n">
        <v>0.000594331815037969</v>
      </c>
      <c r="BQ27" t="n">
        <v>1.116775223663146e-09</v>
      </c>
      <c r="BR27" t="n">
        <v>0</v>
      </c>
      <c r="BS27" t="n">
        <v>4.032251302967576e-06</v>
      </c>
      <c r="BT27" t="n">
        <v>3.124704973151917e-06</v>
      </c>
      <c r="BU27" t="n">
        <v>0.0004285697722370845</v>
      </c>
      <c r="BV27" t="n">
        <v>2.826263203620744e-07</v>
      </c>
      <c r="BW27" t="n">
        <v>0</v>
      </c>
      <c r="BX27" t="n">
        <v>4.144426716489386e-05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0.002191869301408909</v>
      </c>
      <c r="CJ27" t="n">
        <v>7.814671139098621e-05</v>
      </c>
      <c r="CK27" t="n">
        <v>1.70011084859529e-06</v>
      </c>
      <c r="CL27" t="n">
        <v>8.550190964383121e-05</v>
      </c>
      <c r="CM27" t="n">
        <v>0.001106210057933018</v>
      </c>
      <c r="CN27" t="n">
        <v>0</v>
      </c>
      <c r="CO27" t="n">
        <v>0</v>
      </c>
      <c r="CP27" t="n">
        <v>7.308820190893997e-06</v>
      </c>
      <c r="CQ27" t="n">
        <v>8.576760602921834e-06</v>
      </c>
      <c r="CR27" t="n">
        <v>0</v>
      </c>
      <c r="CS27" t="n">
        <v>0</v>
      </c>
      <c r="CT27" t="n">
        <v>0</v>
      </c>
      <c r="CU27" t="n">
        <v>9.284537322178498e-05</v>
      </c>
      <c r="CV27" t="n">
        <v>2.343822316301853e-07</v>
      </c>
      <c r="CW27" t="n">
        <v>9.695972062470745e-07</v>
      </c>
      <c r="CX27" t="n">
        <v>1.870418789361591e-07</v>
      </c>
      <c r="CY27" t="n">
        <v>6.549211913070716e-05</v>
      </c>
      <c r="CZ27" t="n">
        <v>3.26322990857423e-10</v>
      </c>
      <c r="DA27" t="n">
        <v>3.827253374483044e-11</v>
      </c>
      <c r="DB27" t="n">
        <v>3.5500825758133e-07</v>
      </c>
      <c r="DC27" t="n">
        <v>0</v>
      </c>
      <c r="DD27" t="n">
        <v>1.202667606171472e-07</v>
      </c>
      <c r="DE27" t="n">
        <v>7.536822641268467e-09</v>
      </c>
      <c r="DF27" t="n">
        <v>0</v>
      </c>
      <c r="DG27" t="n">
        <v>0</v>
      </c>
      <c r="DH27" t="n">
        <v>0</v>
      </c>
      <c r="DI27" t="n">
        <v>0</v>
      </c>
      <c r="DJ27" t="n">
        <v>6.429905153981168e-07</v>
      </c>
      <c r="DK27" t="n">
        <v>0</v>
      </c>
      <c r="DL27" t="n">
        <v>3.604273913996179e-09</v>
      </c>
      <c r="DM27" t="n">
        <v>0.0001418957879068847</v>
      </c>
      <c r="DN27" t="n">
        <v>1.548368305462844e-05</v>
      </c>
      <c r="DO27" t="n">
        <v>0.0001400892041292709</v>
      </c>
      <c r="DP27" t="n">
        <v>8.73172573481478e-05</v>
      </c>
      <c r="DQ27" t="n">
        <v>0.0001386907354541663</v>
      </c>
      <c r="DR27" t="n">
        <v>0.000119711514830991</v>
      </c>
      <c r="DS27" t="n">
        <v>0.001966533765389425</v>
      </c>
      <c r="DT27" t="n">
        <v>8.929121642631041e-05</v>
      </c>
      <c r="DU27" t="n">
        <v>0.001337581650346269</v>
      </c>
      <c r="DV27" t="n">
        <v>0</v>
      </c>
      <c r="DW27" t="n">
        <v>0</v>
      </c>
      <c r="DX27" t="n">
        <v>2.420362059455857e-05</v>
      </c>
      <c r="DY27" t="n">
        <v>1.171310885408701e-05</v>
      </c>
      <c r="DZ27" t="n">
        <v>0.0001960162245848735</v>
      </c>
      <c r="EA27" t="n">
        <v>3.189755062299458e-05</v>
      </c>
      <c r="EB27" t="n">
        <v>4.829800906281993e-06</v>
      </c>
      <c r="EC27" t="n">
        <v>3.038214526618967e-06</v>
      </c>
      <c r="ED27" t="n">
        <v>4.134901262333981e-06</v>
      </c>
      <c r="EE27" t="n">
        <v>5.043741976875922e-07</v>
      </c>
      <c r="EF27" t="n">
        <v>0</v>
      </c>
      <c r="EG27" t="n">
        <v>3.336519689589224e-07</v>
      </c>
      <c r="EH27" t="n">
        <v>0</v>
      </c>
      <c r="EI27" t="n">
        <v>0</v>
      </c>
      <c r="EJ27" t="n">
        <v>2.395856840006624e-05</v>
      </c>
      <c r="EK27" t="n">
        <v>8.935345148429161e-05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0.0001718182770974746</v>
      </c>
      <c r="ER27" t="n">
        <v>0.0001222353551186936</v>
      </c>
      <c r="ES27" t="n">
        <v>9.091904620901398e-05</v>
      </c>
      <c r="ET27" t="n">
        <v>0.0002809953355213574</v>
      </c>
      <c r="EU27" t="n">
        <v>0</v>
      </c>
      <c r="EV27" t="n">
        <v>0.0002064791693726423</v>
      </c>
      <c r="EW27" t="n">
        <v>1.826261170989554e-05</v>
      </c>
      <c r="EX27" t="n">
        <v>0.0001121315445312841</v>
      </c>
      <c r="EY27" t="n">
        <v>8.606871978855224e-05</v>
      </c>
      <c r="EZ27" t="n">
        <v>0.007360073212900858</v>
      </c>
      <c r="FA27" t="n">
        <v>0.0004100643485055414</v>
      </c>
      <c r="FB27" t="n">
        <v>0.0006113303664581504</v>
      </c>
      <c r="FC27" t="n">
        <v>2.562370539585975e-05</v>
      </c>
      <c r="FD27" t="n">
        <v>0.0003247016811820136</v>
      </c>
      <c r="FE27" t="n">
        <v>0.0001367265700157152</v>
      </c>
      <c r="FF27" t="n">
        <v>0.0009233764020594437</v>
      </c>
      <c r="FG27" t="n">
        <v>0.0003062148514208231</v>
      </c>
      <c r="FH27" t="n">
        <v>0.0006274023659689106</v>
      </c>
      <c r="FI27" t="n">
        <v>0.0002514817006795297</v>
      </c>
      <c r="FJ27" t="n">
        <v>0.0006882763080482573</v>
      </c>
      <c r="FK27" t="n">
        <v>0</v>
      </c>
      <c r="FL27" t="n">
        <v>0.00477078709871495</v>
      </c>
      <c r="FM27" t="n">
        <v>6.817304544225517e-05</v>
      </c>
      <c r="FN27" t="n">
        <v>1.323298105781533e-06</v>
      </c>
      <c r="FO27" t="n">
        <v>0.0007125498367539816</v>
      </c>
      <c r="FP27" t="n">
        <v>0.0003122588110118153</v>
      </c>
      <c r="FQ27" t="n">
        <v>0.004210487203476812</v>
      </c>
      <c r="FR27" t="n">
        <v>0.002875405842813842</v>
      </c>
      <c r="FS27" t="n">
        <v>0.004613963123085339</v>
      </c>
      <c r="FT27" t="n">
        <v>1.272478638167194e-05</v>
      </c>
      <c r="FU27" t="n">
        <v>1.33748997109231e-05</v>
      </c>
      <c r="FV27" t="n">
        <v>6.039853067020025e-06</v>
      </c>
      <c r="FW27" t="n">
        <v>1.608694475660082e-05</v>
      </c>
      <c r="FX27" t="n">
        <v>2.758727767026326e-06</v>
      </c>
      <c r="FY27" t="n">
        <v>3.790212035104189e-06</v>
      </c>
      <c r="FZ27" t="n">
        <v>1.47433422448041e-05</v>
      </c>
      <c r="GA27" t="n">
        <v>1.085213578439458e-06</v>
      </c>
      <c r="GB27" t="n">
        <v>9.102233367442613e-08</v>
      </c>
      <c r="GC27" t="n">
        <v>1.331854966454451e-05</v>
      </c>
      <c r="GD27" t="n">
        <v>7.966218548368342e-06</v>
      </c>
      <c r="GE27" t="n">
        <v>2.322577181200677e-07</v>
      </c>
      <c r="GF27" t="n">
        <v>5.089075088087608e-06</v>
      </c>
      <c r="GG27" t="n">
        <v>9.248638226081734e-06</v>
      </c>
      <c r="GH27" t="n">
        <v>8.76812135915749e-06</v>
      </c>
      <c r="GI27" t="n">
        <v>5.918826514613465e-06</v>
      </c>
      <c r="GJ27" t="n">
        <v>1.81780267972102e-06</v>
      </c>
      <c r="GK27" t="n">
        <v>2.178768652280672e-05</v>
      </c>
      <c r="GL27" t="n">
        <v>9.943402175221427e-07</v>
      </c>
      <c r="GM27" t="n">
        <v>3.310843183765934e-06</v>
      </c>
      <c r="GN27" t="n">
        <v>0.0005949066928353288</v>
      </c>
      <c r="GO27" t="n">
        <v>0.003230234684125807</v>
      </c>
      <c r="GP27" t="n">
        <v>0.0003904776231752071</v>
      </c>
      <c r="GQ27" t="n">
        <v>0</v>
      </c>
      <c r="GR27" t="n">
        <v>0.008006957108337133</v>
      </c>
      <c r="GS27" t="n">
        <v>0.01112115279479095</v>
      </c>
      <c r="GT27" t="n">
        <v>0.01976950078072948</v>
      </c>
      <c r="GU27" t="n">
        <v>0.009010238182192501</v>
      </c>
      <c r="GV27" t="n">
        <v>0.008509797549219367</v>
      </c>
      <c r="GW27" t="n">
        <v>0.0340894256501728</v>
      </c>
      <c r="GX27" t="n">
        <v>0.01375566873931064</v>
      </c>
      <c r="GY27" t="n">
        <v>0.005974232025662225</v>
      </c>
      <c r="GZ27" t="n">
        <v>0.00623109371255785</v>
      </c>
      <c r="HA27" t="n">
        <v>0.004967505460144721</v>
      </c>
      <c r="HB27" t="n">
        <v>0.007360073212900858</v>
      </c>
      <c r="HC27" t="n">
        <v>0.01954616384015313</v>
      </c>
    </row>
    <row r="28">
      <c r="A28" s="1" t="inlineStr">
        <is>
          <t>Clé de tri</t>
        </is>
      </c>
      <c r="B28">
        <f>INDEX(B$18:B$27,MATCH($B$1,$A$18:$A$27,0))</f>
        <v/>
      </c>
      <c r="C28">
        <f>INDEX(C$18:C$27,MATCH($B$1,$A$18:$A$27,0))</f>
        <v/>
      </c>
      <c r="D28">
        <f>INDEX(D$18:D$27,MATCH($B$1,$A$18:$A$27,0))</f>
        <v/>
      </c>
      <c r="E28">
        <f>INDEX(E$18:E$27,MATCH($B$1,$A$18:$A$27,0))</f>
        <v/>
      </c>
      <c r="F28">
        <f>INDEX(F$18:F$27,MATCH($B$1,$A$18:$A$27,0))</f>
        <v/>
      </c>
      <c r="G28">
        <f>INDEX(G$18:G$27,MATCH($B$1,$A$18:$A$27,0))</f>
        <v/>
      </c>
      <c r="H28">
        <f>INDEX(H$18:H$27,MATCH($B$1,$A$18:$A$27,0))</f>
        <v/>
      </c>
      <c r="I28">
        <f>INDEX(I$18:I$27,MATCH($B$1,$A$18:$A$27,0))</f>
        <v/>
      </c>
      <c r="J28">
        <f>INDEX(J$18:J$27,MATCH($B$1,$A$18:$A$27,0))</f>
        <v/>
      </c>
      <c r="K28">
        <f>INDEX(K$18:K$27,MATCH($B$1,$A$18:$A$27,0))</f>
        <v/>
      </c>
      <c r="L28">
        <f>INDEX(L$18:L$27,MATCH($B$1,$A$18:$A$27,0))</f>
        <v/>
      </c>
      <c r="M28">
        <f>INDEX(M$18:M$27,MATCH($B$1,$A$18:$A$27,0))</f>
        <v/>
      </c>
      <c r="N28">
        <f>INDEX(N$18:N$27,MATCH($B$1,$A$18:$A$27,0))</f>
        <v/>
      </c>
      <c r="O28">
        <f>INDEX(O$18:O$27,MATCH($B$1,$A$18:$A$27,0))</f>
        <v/>
      </c>
      <c r="P28">
        <f>INDEX(P$18:P$27,MATCH($B$1,$A$18:$A$27,0))</f>
        <v/>
      </c>
      <c r="Q28">
        <f>INDEX(Q$18:Q$27,MATCH($B$1,$A$18:$A$27,0))</f>
        <v/>
      </c>
      <c r="R28">
        <f>INDEX(R$18:R$27,MATCH($B$1,$A$18:$A$27,0))</f>
        <v/>
      </c>
      <c r="S28">
        <f>INDEX(S$18:S$27,MATCH($B$1,$A$18:$A$27,0))</f>
        <v/>
      </c>
      <c r="T28">
        <f>INDEX(T$18:T$27,MATCH($B$1,$A$18:$A$27,0))</f>
        <v/>
      </c>
      <c r="U28">
        <f>INDEX(U$18:U$27,MATCH($B$1,$A$18:$A$27,0))</f>
        <v/>
      </c>
      <c r="V28">
        <f>INDEX(V$18:V$27,MATCH($B$1,$A$18:$A$27,0))</f>
        <v/>
      </c>
      <c r="W28">
        <f>INDEX(W$18:W$27,MATCH($B$1,$A$18:$A$27,0))</f>
        <v/>
      </c>
      <c r="X28">
        <f>INDEX(X$18:X$27,MATCH($B$1,$A$18:$A$27,0))</f>
        <v/>
      </c>
      <c r="Y28">
        <f>INDEX(Y$18:Y$27,MATCH($B$1,$A$18:$A$27,0))</f>
        <v/>
      </c>
      <c r="Z28">
        <f>INDEX(Z$18:Z$27,MATCH($B$1,$A$18:$A$27,0))</f>
        <v/>
      </c>
      <c r="AA28">
        <f>INDEX(AA$18:AA$27,MATCH($B$1,$A$18:$A$27,0))</f>
        <v/>
      </c>
      <c r="AB28">
        <f>INDEX(AB$18:AB$27,MATCH($B$1,$A$18:$A$27,0))</f>
        <v/>
      </c>
      <c r="AC28">
        <f>INDEX(AC$18:AC$27,MATCH($B$1,$A$18:$A$27,0))</f>
        <v/>
      </c>
      <c r="AD28">
        <f>INDEX(AD$18:AD$27,MATCH($B$1,$A$18:$A$27,0))</f>
        <v/>
      </c>
      <c r="AE28">
        <f>INDEX(AE$18:AE$27,MATCH($B$1,$A$18:$A$27,0))</f>
        <v/>
      </c>
      <c r="AF28">
        <f>INDEX(AF$18:AF$27,MATCH($B$1,$A$18:$A$27,0))</f>
        <v/>
      </c>
      <c r="AG28">
        <f>INDEX(AG$18:AG$27,MATCH($B$1,$A$18:$A$27,0))</f>
        <v/>
      </c>
      <c r="AH28">
        <f>INDEX(AH$18:AH$27,MATCH($B$1,$A$18:$A$27,0))</f>
        <v/>
      </c>
      <c r="AI28">
        <f>INDEX(AI$18:AI$27,MATCH($B$1,$A$18:$A$27,0))</f>
        <v/>
      </c>
      <c r="AJ28">
        <f>INDEX(AJ$18:AJ$27,MATCH($B$1,$A$18:$A$27,0))</f>
        <v/>
      </c>
      <c r="AK28">
        <f>INDEX(AK$18:AK$27,MATCH($B$1,$A$18:$A$27,0))</f>
        <v/>
      </c>
      <c r="AL28">
        <f>INDEX(AL$18:AL$27,MATCH($B$1,$A$18:$A$27,0))</f>
        <v/>
      </c>
      <c r="AM28">
        <f>INDEX(AM$18:AM$27,MATCH($B$1,$A$18:$A$27,0))</f>
        <v/>
      </c>
      <c r="AN28">
        <f>INDEX(AN$18:AN$27,MATCH($B$1,$A$18:$A$27,0))</f>
        <v/>
      </c>
      <c r="AO28">
        <f>INDEX(AO$18:AO$27,MATCH($B$1,$A$18:$A$27,0))</f>
        <v/>
      </c>
      <c r="AP28">
        <f>INDEX(AP$18:AP$27,MATCH($B$1,$A$18:$A$27,0))</f>
        <v/>
      </c>
      <c r="AQ28">
        <f>INDEX(AQ$18:AQ$27,MATCH($B$1,$A$18:$A$27,0))</f>
        <v/>
      </c>
      <c r="AR28">
        <f>INDEX(AR$18:AR$27,MATCH($B$1,$A$18:$A$27,0))</f>
        <v/>
      </c>
      <c r="AS28">
        <f>INDEX(AS$18:AS$27,MATCH($B$1,$A$18:$A$27,0))</f>
        <v/>
      </c>
      <c r="AT28">
        <f>INDEX(AT$18:AT$27,MATCH($B$1,$A$18:$A$27,0))</f>
        <v/>
      </c>
      <c r="AU28">
        <f>INDEX(AU$18:AU$27,MATCH($B$1,$A$18:$A$27,0))</f>
        <v/>
      </c>
      <c r="AV28">
        <f>INDEX(AV$18:AV$27,MATCH($B$1,$A$18:$A$27,0))</f>
        <v/>
      </c>
      <c r="AW28">
        <f>INDEX(AW$18:AW$27,MATCH($B$1,$A$18:$A$27,0))</f>
        <v/>
      </c>
      <c r="AX28">
        <f>INDEX(AX$18:AX$27,MATCH($B$1,$A$18:$A$27,0))</f>
        <v/>
      </c>
      <c r="AY28">
        <f>INDEX(AY$18:AY$27,MATCH($B$1,$A$18:$A$27,0))</f>
        <v/>
      </c>
      <c r="AZ28">
        <f>INDEX(AZ$18:AZ$27,MATCH($B$1,$A$18:$A$27,0))</f>
        <v/>
      </c>
      <c r="BA28">
        <f>INDEX(BA$18:BA$27,MATCH($B$1,$A$18:$A$27,0))</f>
        <v/>
      </c>
      <c r="BB28">
        <f>INDEX(BB$18:BB$27,MATCH($B$1,$A$18:$A$27,0))</f>
        <v/>
      </c>
      <c r="BC28">
        <f>INDEX(BC$18:BC$27,MATCH($B$1,$A$18:$A$27,0))</f>
        <v/>
      </c>
      <c r="BD28">
        <f>INDEX(BD$18:BD$27,MATCH($B$1,$A$18:$A$27,0))</f>
        <v/>
      </c>
      <c r="BE28">
        <f>INDEX(BE$18:BE$27,MATCH($B$1,$A$18:$A$27,0))</f>
        <v/>
      </c>
      <c r="BF28">
        <f>INDEX(BF$18:BF$27,MATCH($B$1,$A$18:$A$27,0))</f>
        <v/>
      </c>
      <c r="BG28">
        <f>INDEX(BG$18:BG$27,MATCH($B$1,$A$18:$A$27,0))</f>
        <v/>
      </c>
      <c r="BH28">
        <f>INDEX(BH$18:BH$27,MATCH($B$1,$A$18:$A$27,0))</f>
        <v/>
      </c>
      <c r="BI28">
        <f>INDEX(BI$18:BI$27,MATCH($B$1,$A$18:$A$27,0))</f>
        <v/>
      </c>
      <c r="BJ28">
        <f>INDEX(BJ$18:BJ$27,MATCH($B$1,$A$18:$A$27,0))</f>
        <v/>
      </c>
      <c r="BK28">
        <f>INDEX(BK$18:BK$27,MATCH($B$1,$A$18:$A$27,0))</f>
        <v/>
      </c>
      <c r="BL28">
        <f>INDEX(BL$18:BL$27,MATCH($B$1,$A$18:$A$27,0))</f>
        <v/>
      </c>
      <c r="BM28">
        <f>INDEX(BM$18:BM$27,MATCH($B$1,$A$18:$A$27,0))</f>
        <v/>
      </c>
      <c r="BN28">
        <f>INDEX(BN$18:BN$27,MATCH($B$1,$A$18:$A$27,0))</f>
        <v/>
      </c>
      <c r="BO28">
        <f>INDEX(BO$18:BO$27,MATCH($B$1,$A$18:$A$27,0))</f>
        <v/>
      </c>
      <c r="BP28">
        <f>INDEX(BP$18:BP$27,MATCH($B$1,$A$18:$A$27,0))</f>
        <v/>
      </c>
      <c r="BQ28">
        <f>INDEX(BQ$18:BQ$27,MATCH($B$1,$A$18:$A$27,0))</f>
        <v/>
      </c>
      <c r="BR28">
        <f>INDEX(BR$18:BR$27,MATCH($B$1,$A$18:$A$27,0))</f>
        <v/>
      </c>
      <c r="BS28">
        <f>INDEX(BS$18:BS$27,MATCH($B$1,$A$18:$A$27,0))</f>
        <v/>
      </c>
      <c r="BT28">
        <f>INDEX(BT$18:BT$27,MATCH($B$1,$A$18:$A$27,0))</f>
        <v/>
      </c>
      <c r="BU28">
        <f>INDEX(BU$18:BU$27,MATCH($B$1,$A$18:$A$27,0))</f>
        <v/>
      </c>
      <c r="BV28">
        <f>INDEX(BV$18:BV$27,MATCH($B$1,$A$18:$A$27,0))</f>
        <v/>
      </c>
      <c r="BW28">
        <f>INDEX(BW$18:BW$27,MATCH($B$1,$A$18:$A$27,0))</f>
        <v/>
      </c>
      <c r="BX28">
        <f>INDEX(BX$18:BX$27,MATCH($B$1,$A$18:$A$27,0))</f>
        <v/>
      </c>
      <c r="BY28">
        <f>INDEX(BY$18:BY$27,MATCH($B$1,$A$18:$A$27,0))</f>
        <v/>
      </c>
      <c r="BZ28">
        <f>INDEX(BZ$18:BZ$27,MATCH($B$1,$A$18:$A$27,0))</f>
        <v/>
      </c>
      <c r="CA28">
        <f>INDEX(CA$18:CA$27,MATCH($B$1,$A$18:$A$27,0))</f>
        <v/>
      </c>
      <c r="CB28">
        <f>INDEX(CB$18:CB$27,MATCH($B$1,$A$18:$A$27,0))</f>
        <v/>
      </c>
      <c r="CC28">
        <f>INDEX(CC$18:CC$27,MATCH($B$1,$A$18:$A$27,0))</f>
        <v/>
      </c>
      <c r="CD28">
        <f>INDEX(CD$18:CD$27,MATCH($B$1,$A$18:$A$27,0))</f>
        <v/>
      </c>
      <c r="CE28">
        <f>INDEX(CE$18:CE$27,MATCH($B$1,$A$18:$A$27,0))</f>
        <v/>
      </c>
      <c r="CF28">
        <f>INDEX(CF$18:CF$27,MATCH($B$1,$A$18:$A$27,0))</f>
        <v/>
      </c>
      <c r="CG28">
        <f>INDEX(CG$18:CG$27,MATCH($B$1,$A$18:$A$27,0))</f>
        <v/>
      </c>
      <c r="CH28">
        <f>INDEX(CH$18:CH$27,MATCH($B$1,$A$18:$A$27,0))</f>
        <v/>
      </c>
      <c r="CI28">
        <f>INDEX(CI$18:CI$27,MATCH($B$1,$A$18:$A$27,0))</f>
        <v/>
      </c>
      <c r="CJ28">
        <f>INDEX(CJ$18:CJ$27,MATCH($B$1,$A$18:$A$27,0))</f>
        <v/>
      </c>
      <c r="CK28">
        <f>INDEX(CK$18:CK$27,MATCH($B$1,$A$18:$A$27,0))</f>
        <v/>
      </c>
      <c r="CL28">
        <f>INDEX(CL$18:CL$27,MATCH($B$1,$A$18:$A$27,0))</f>
        <v/>
      </c>
      <c r="CM28">
        <f>INDEX(CM$18:CM$27,MATCH($B$1,$A$18:$A$27,0))</f>
        <v/>
      </c>
      <c r="CN28">
        <f>INDEX(CN$18:CN$27,MATCH($B$1,$A$18:$A$27,0))</f>
        <v/>
      </c>
      <c r="CO28">
        <f>INDEX(CO$18:CO$27,MATCH($B$1,$A$18:$A$27,0))</f>
        <v/>
      </c>
      <c r="CP28">
        <f>INDEX(CP$18:CP$27,MATCH($B$1,$A$18:$A$27,0))</f>
        <v/>
      </c>
      <c r="CQ28">
        <f>INDEX(CQ$18:CQ$27,MATCH($B$1,$A$18:$A$27,0))</f>
        <v/>
      </c>
      <c r="CR28">
        <f>INDEX(CR$18:CR$27,MATCH($B$1,$A$18:$A$27,0))</f>
        <v/>
      </c>
      <c r="CS28">
        <f>INDEX(CS$18:CS$27,MATCH($B$1,$A$18:$A$27,0))</f>
        <v/>
      </c>
      <c r="CT28">
        <f>INDEX(CT$18:CT$27,MATCH($B$1,$A$18:$A$27,0))</f>
        <v/>
      </c>
      <c r="CU28">
        <f>INDEX(CU$18:CU$27,MATCH($B$1,$A$18:$A$27,0))</f>
        <v/>
      </c>
      <c r="CV28">
        <f>INDEX(CV$18:CV$27,MATCH($B$1,$A$18:$A$27,0))</f>
        <v/>
      </c>
      <c r="CW28">
        <f>INDEX(CW$18:CW$27,MATCH($B$1,$A$18:$A$27,0))</f>
        <v/>
      </c>
      <c r="CX28">
        <f>INDEX(CX$18:CX$27,MATCH($B$1,$A$18:$A$27,0))</f>
        <v/>
      </c>
      <c r="CY28">
        <f>INDEX(CY$18:CY$27,MATCH($B$1,$A$18:$A$27,0))</f>
        <v/>
      </c>
      <c r="CZ28">
        <f>INDEX(CZ$18:CZ$27,MATCH($B$1,$A$18:$A$27,0))</f>
        <v/>
      </c>
      <c r="DA28">
        <f>INDEX(DA$18:DA$27,MATCH($B$1,$A$18:$A$27,0))</f>
        <v/>
      </c>
      <c r="DB28">
        <f>INDEX(DB$18:DB$27,MATCH($B$1,$A$18:$A$27,0))</f>
        <v/>
      </c>
      <c r="DC28">
        <f>INDEX(DC$18:DC$27,MATCH($B$1,$A$18:$A$27,0))</f>
        <v/>
      </c>
      <c r="DD28">
        <f>INDEX(DD$18:DD$27,MATCH($B$1,$A$18:$A$27,0))</f>
        <v/>
      </c>
      <c r="DE28">
        <f>INDEX(DE$18:DE$27,MATCH($B$1,$A$18:$A$27,0))</f>
        <v/>
      </c>
      <c r="DF28">
        <f>INDEX(DF$18:DF$27,MATCH($B$1,$A$18:$A$27,0))</f>
        <v/>
      </c>
      <c r="DG28">
        <f>INDEX(DG$18:DG$27,MATCH($B$1,$A$18:$A$27,0))</f>
        <v/>
      </c>
      <c r="DH28">
        <f>INDEX(DH$18:DH$27,MATCH($B$1,$A$18:$A$27,0))</f>
        <v/>
      </c>
      <c r="DI28">
        <f>INDEX(DI$18:DI$27,MATCH($B$1,$A$18:$A$27,0))</f>
        <v/>
      </c>
      <c r="DJ28">
        <f>INDEX(DJ$18:DJ$27,MATCH($B$1,$A$18:$A$27,0))</f>
        <v/>
      </c>
      <c r="DK28">
        <f>INDEX(DK$18:DK$27,MATCH($B$1,$A$18:$A$27,0))</f>
        <v/>
      </c>
      <c r="DL28">
        <f>INDEX(DL$18:DL$27,MATCH($B$1,$A$18:$A$27,0))</f>
        <v/>
      </c>
      <c r="DM28">
        <f>INDEX(DM$18:DM$27,MATCH($B$1,$A$18:$A$27,0))</f>
        <v/>
      </c>
      <c r="DN28">
        <f>INDEX(DN$18:DN$27,MATCH($B$1,$A$18:$A$27,0))</f>
        <v/>
      </c>
      <c r="DO28">
        <f>INDEX(DO$18:DO$27,MATCH($B$1,$A$18:$A$27,0))</f>
        <v/>
      </c>
      <c r="DP28">
        <f>INDEX(DP$18:DP$27,MATCH($B$1,$A$18:$A$27,0))</f>
        <v/>
      </c>
      <c r="DQ28">
        <f>INDEX(DQ$18:DQ$27,MATCH($B$1,$A$18:$A$27,0))</f>
        <v/>
      </c>
      <c r="DR28">
        <f>INDEX(DR$18:DR$27,MATCH($B$1,$A$18:$A$27,0))</f>
        <v/>
      </c>
      <c r="DS28">
        <f>INDEX(DS$18:DS$27,MATCH($B$1,$A$18:$A$27,0))</f>
        <v/>
      </c>
      <c r="DT28">
        <f>INDEX(DT$18:DT$27,MATCH($B$1,$A$18:$A$27,0))</f>
        <v/>
      </c>
      <c r="DU28">
        <f>INDEX(DU$18:DU$27,MATCH($B$1,$A$18:$A$27,0))</f>
        <v/>
      </c>
      <c r="DV28">
        <f>INDEX(DV$18:DV$27,MATCH($B$1,$A$18:$A$27,0))</f>
        <v/>
      </c>
      <c r="DW28">
        <f>INDEX(DW$18:DW$27,MATCH($B$1,$A$18:$A$27,0))</f>
        <v/>
      </c>
      <c r="DX28">
        <f>INDEX(DX$18:DX$27,MATCH($B$1,$A$18:$A$27,0))</f>
        <v/>
      </c>
      <c r="DY28">
        <f>INDEX(DY$18:DY$27,MATCH($B$1,$A$18:$A$27,0))</f>
        <v/>
      </c>
      <c r="DZ28">
        <f>INDEX(DZ$18:DZ$27,MATCH($B$1,$A$18:$A$27,0))</f>
        <v/>
      </c>
      <c r="EA28">
        <f>INDEX(EA$18:EA$27,MATCH($B$1,$A$18:$A$27,0))</f>
        <v/>
      </c>
      <c r="EB28">
        <f>INDEX(EB$18:EB$27,MATCH($B$1,$A$18:$A$27,0))</f>
        <v/>
      </c>
      <c r="EC28">
        <f>INDEX(EC$18:EC$27,MATCH($B$1,$A$18:$A$27,0))</f>
        <v/>
      </c>
      <c r="ED28">
        <f>INDEX(ED$18:ED$27,MATCH($B$1,$A$18:$A$27,0))</f>
        <v/>
      </c>
      <c r="EE28">
        <f>INDEX(EE$18:EE$27,MATCH($B$1,$A$18:$A$27,0))</f>
        <v/>
      </c>
      <c r="EF28">
        <f>INDEX(EF$18:EF$27,MATCH($B$1,$A$18:$A$27,0))</f>
        <v/>
      </c>
      <c r="EG28">
        <f>INDEX(EG$18:EG$27,MATCH($B$1,$A$18:$A$27,0))</f>
        <v/>
      </c>
      <c r="EH28">
        <f>INDEX(EH$18:EH$27,MATCH($B$1,$A$18:$A$27,0))</f>
        <v/>
      </c>
      <c r="EI28">
        <f>INDEX(EI$18:EI$27,MATCH($B$1,$A$18:$A$27,0))</f>
        <v/>
      </c>
      <c r="EJ28">
        <f>INDEX(EJ$18:EJ$27,MATCH($B$1,$A$18:$A$27,0))</f>
        <v/>
      </c>
      <c r="EK28">
        <f>INDEX(EK$18:EK$27,MATCH($B$1,$A$18:$A$27,0))</f>
        <v/>
      </c>
      <c r="EL28">
        <f>INDEX(EL$18:EL$27,MATCH($B$1,$A$18:$A$27,0))</f>
        <v/>
      </c>
      <c r="EM28">
        <f>INDEX(EM$18:EM$27,MATCH($B$1,$A$18:$A$27,0))</f>
        <v/>
      </c>
      <c r="EN28">
        <f>INDEX(EN$18:EN$27,MATCH($B$1,$A$18:$A$27,0))</f>
        <v/>
      </c>
      <c r="EO28">
        <f>INDEX(EO$18:EO$27,MATCH($B$1,$A$18:$A$27,0))</f>
        <v/>
      </c>
      <c r="EP28">
        <f>INDEX(EP$18:EP$27,MATCH($B$1,$A$18:$A$27,0))</f>
        <v/>
      </c>
      <c r="EQ28">
        <f>INDEX(EQ$18:EQ$27,MATCH($B$1,$A$18:$A$27,0))</f>
        <v/>
      </c>
      <c r="ER28">
        <f>INDEX(ER$18:ER$27,MATCH($B$1,$A$18:$A$27,0))</f>
        <v/>
      </c>
      <c r="ES28">
        <f>INDEX(ES$18:ES$27,MATCH($B$1,$A$18:$A$27,0))</f>
        <v/>
      </c>
      <c r="ET28">
        <f>INDEX(ET$18:ET$27,MATCH($B$1,$A$18:$A$27,0))</f>
        <v/>
      </c>
      <c r="EU28">
        <f>INDEX(EU$18:EU$27,MATCH($B$1,$A$18:$A$27,0))</f>
        <v/>
      </c>
      <c r="EV28">
        <f>INDEX(EV$18:EV$27,MATCH($B$1,$A$18:$A$27,0))</f>
        <v/>
      </c>
      <c r="EW28">
        <f>INDEX(EW$18:EW$27,MATCH($B$1,$A$18:$A$27,0))</f>
        <v/>
      </c>
      <c r="EX28">
        <f>INDEX(EX$18:EX$27,MATCH($B$1,$A$18:$A$27,0))</f>
        <v/>
      </c>
      <c r="EY28">
        <f>INDEX(EY$18:EY$27,MATCH($B$1,$A$18:$A$27,0))</f>
        <v/>
      </c>
      <c r="EZ28">
        <f>INDEX(EZ$18:EZ$27,MATCH($B$1,$A$18:$A$27,0))</f>
        <v/>
      </c>
      <c r="FA28">
        <f>INDEX(FA$18:FA$27,MATCH($B$1,$A$18:$A$27,0))</f>
        <v/>
      </c>
      <c r="FB28">
        <f>INDEX(FB$18:FB$27,MATCH($B$1,$A$18:$A$27,0))</f>
        <v/>
      </c>
      <c r="FC28">
        <f>INDEX(FC$18:FC$27,MATCH($B$1,$A$18:$A$27,0))</f>
        <v/>
      </c>
      <c r="FD28">
        <f>INDEX(FD$18:FD$27,MATCH($B$1,$A$18:$A$27,0))</f>
        <v/>
      </c>
      <c r="FE28">
        <f>INDEX(FE$18:FE$27,MATCH($B$1,$A$18:$A$27,0))</f>
        <v/>
      </c>
      <c r="FF28">
        <f>INDEX(FF$18:FF$27,MATCH($B$1,$A$18:$A$27,0))</f>
        <v/>
      </c>
      <c r="FG28">
        <f>INDEX(FG$18:FG$27,MATCH($B$1,$A$18:$A$27,0))</f>
        <v/>
      </c>
      <c r="FH28">
        <f>INDEX(FH$18:FH$27,MATCH($B$1,$A$18:$A$27,0))</f>
        <v/>
      </c>
      <c r="FI28">
        <f>INDEX(FI$18:FI$27,MATCH($B$1,$A$18:$A$27,0))</f>
        <v/>
      </c>
      <c r="FJ28">
        <f>INDEX(FJ$18:FJ$27,MATCH($B$1,$A$18:$A$27,0))</f>
        <v/>
      </c>
      <c r="FK28">
        <f>INDEX(FK$18:FK$27,MATCH($B$1,$A$18:$A$27,0))</f>
        <v/>
      </c>
      <c r="FL28">
        <f>INDEX(FL$18:FL$27,MATCH($B$1,$A$18:$A$27,0))</f>
        <v/>
      </c>
      <c r="FM28">
        <f>INDEX(FM$18:FM$27,MATCH($B$1,$A$18:$A$27,0))</f>
        <v/>
      </c>
      <c r="FN28">
        <f>INDEX(FN$18:FN$27,MATCH($B$1,$A$18:$A$27,0))</f>
        <v/>
      </c>
      <c r="FO28">
        <f>INDEX(FO$18:FO$27,MATCH($B$1,$A$18:$A$27,0))</f>
        <v/>
      </c>
      <c r="FP28">
        <f>INDEX(FP$18:FP$27,MATCH($B$1,$A$18:$A$27,0))</f>
        <v/>
      </c>
      <c r="FQ28">
        <f>INDEX(FQ$18:FQ$27,MATCH($B$1,$A$18:$A$27,0))</f>
        <v/>
      </c>
      <c r="FR28">
        <f>INDEX(FR$18:FR$27,MATCH($B$1,$A$18:$A$27,0))</f>
        <v/>
      </c>
      <c r="FS28">
        <f>INDEX(FS$18:FS$27,MATCH($B$1,$A$18:$A$27,0))</f>
        <v/>
      </c>
      <c r="FT28">
        <f>INDEX(FT$18:FT$27,MATCH($B$1,$A$18:$A$27,0))</f>
        <v/>
      </c>
      <c r="FU28">
        <f>INDEX(FU$18:FU$27,MATCH($B$1,$A$18:$A$27,0))</f>
        <v/>
      </c>
      <c r="FV28">
        <f>INDEX(FV$18:FV$27,MATCH($B$1,$A$18:$A$27,0))</f>
        <v/>
      </c>
      <c r="FW28">
        <f>INDEX(FW$18:FW$27,MATCH($B$1,$A$18:$A$27,0))</f>
        <v/>
      </c>
      <c r="FX28">
        <f>INDEX(FX$18:FX$27,MATCH($B$1,$A$18:$A$27,0))</f>
        <v/>
      </c>
      <c r="FY28">
        <f>INDEX(FY$18:FY$27,MATCH($B$1,$A$18:$A$27,0))</f>
        <v/>
      </c>
      <c r="FZ28">
        <f>INDEX(FZ$18:FZ$27,MATCH($B$1,$A$18:$A$27,0))</f>
        <v/>
      </c>
      <c r="GA28">
        <f>INDEX(GA$18:GA$27,MATCH($B$1,$A$18:$A$27,0))</f>
        <v/>
      </c>
      <c r="GB28">
        <f>INDEX(GB$18:GB$27,MATCH($B$1,$A$18:$A$27,0))</f>
        <v/>
      </c>
      <c r="GC28">
        <f>INDEX(GC$18:GC$27,MATCH($B$1,$A$18:$A$27,0))</f>
        <v/>
      </c>
      <c r="GD28">
        <f>INDEX(GD$18:GD$27,MATCH($B$1,$A$18:$A$27,0))</f>
        <v/>
      </c>
      <c r="GE28">
        <f>INDEX(GE$18:GE$27,MATCH($B$1,$A$18:$A$27,0))</f>
        <v/>
      </c>
      <c r="GF28">
        <f>INDEX(GF$18:GF$27,MATCH($B$1,$A$18:$A$27,0))</f>
        <v/>
      </c>
      <c r="GG28">
        <f>INDEX(GG$18:GG$27,MATCH($B$1,$A$18:$A$27,0))</f>
        <v/>
      </c>
      <c r="GH28">
        <f>INDEX(GH$18:GH$27,MATCH($B$1,$A$18:$A$27,0))</f>
        <v/>
      </c>
      <c r="GI28">
        <f>INDEX(GI$18:GI$27,MATCH($B$1,$A$18:$A$27,0))</f>
        <v/>
      </c>
      <c r="GJ28">
        <f>INDEX(GJ$18:GJ$27,MATCH($B$1,$A$18:$A$27,0))</f>
        <v/>
      </c>
      <c r="GK28">
        <f>INDEX(GK$18:GK$27,MATCH($B$1,$A$18:$A$27,0))</f>
        <v/>
      </c>
      <c r="GL28">
        <f>INDEX(GL$18:GL$27,MATCH($B$1,$A$18:$A$27,0))</f>
        <v/>
      </c>
      <c r="GM28">
        <f>INDEX(GM$18:GM$27,MATCH($B$1,$A$18:$A$27,0))</f>
        <v/>
      </c>
      <c r="GN28">
        <f>INDEX(GN$18:GN$27,MATCH($B$1,$A$18:$A$27,0))</f>
        <v/>
      </c>
      <c r="GO28">
        <f>INDEX(GO$18:GO$27,MATCH($B$1,$A$18:$A$27,0))</f>
        <v/>
      </c>
      <c r="GP28">
        <f>INDEX(GP$18:GP$27,MATCH($B$1,$A$18:$A$27,0))</f>
        <v/>
      </c>
      <c r="GQ28">
        <f>INDEX(GQ$18:GQ$27,MATCH($B$1,$A$18:$A$27,0))</f>
        <v/>
      </c>
      <c r="GR28">
        <f>INDEX(GR$18:GR$27,MATCH($B$1,$A$18:$A$27,0))</f>
        <v/>
      </c>
      <c r="GS28">
        <f>INDEX(GS$18:GS$27,MATCH($B$1,$A$18:$A$27,0))</f>
        <v/>
      </c>
      <c r="GT28">
        <f>INDEX(GT$18:GT$27,MATCH($B$1,$A$18:$A$27,0))</f>
        <v/>
      </c>
      <c r="GU28">
        <f>INDEX(GU$18:GU$27,MATCH($B$1,$A$18:$A$27,0))</f>
        <v/>
      </c>
      <c r="GV28">
        <f>INDEX(GV$18:GV$27,MATCH($B$1,$A$18:$A$27,0))</f>
        <v/>
      </c>
      <c r="GW28">
        <f>INDEX(GW$18:GW$27,MATCH($B$1,$A$18:$A$27,0))</f>
        <v/>
      </c>
      <c r="GX28">
        <f>INDEX(GX$18:GX$27,MATCH($B$1,$A$18:$A$27,0))</f>
        <v/>
      </c>
      <c r="GY28">
        <f>INDEX(GY$18:GY$27,MATCH($B$1,$A$18:$A$27,0))</f>
        <v/>
      </c>
      <c r="GZ28">
        <f>INDEX(GZ$18:GZ$27,MATCH($B$1,$A$18:$A$27,0))</f>
        <v/>
      </c>
      <c r="HA28">
        <f>INDEX(HA$18:HA$27,MATCH($B$1,$A$18:$A$27,0))</f>
        <v/>
      </c>
      <c r="HB28">
        <f>INDEX(HB$18:HB$27,MATCH($B$1,$A$18:$A$27,0))</f>
        <v/>
      </c>
      <c r="HC28">
        <f>INDEX(HC$18:HC$27,MATCH($B$1,$A$18:$A$27,0))</f>
        <v/>
      </c>
    </row>
    <row r="29">
      <c r="A29" s="1" t="inlineStr">
        <is>
          <t>Rang</t>
        </is>
      </c>
      <c r="B29">
        <f>RANK(B28,$B$28:$GQ$28,0)+COUNTIF($B$28:B28,B28)-1</f>
        <v/>
      </c>
      <c r="C29">
        <f>RANK(C28,$B$28:$GQ$28,0)+COUNTIF($B$28:C28,C28)-1</f>
        <v/>
      </c>
      <c r="D29">
        <f>RANK(D28,$B$28:$GQ$28,0)+COUNTIF($B$28:D28,D28)-1</f>
        <v/>
      </c>
      <c r="E29">
        <f>RANK(E28,$B$28:$GQ$28,0)+COUNTIF($B$28:E28,E28)-1</f>
        <v/>
      </c>
      <c r="F29">
        <f>RANK(F28,$B$28:$GQ$28,0)+COUNTIF($B$28:F28,F28)-1</f>
        <v/>
      </c>
      <c r="G29">
        <f>RANK(G28,$B$28:$GQ$28,0)+COUNTIF($B$28:G28,G28)-1</f>
        <v/>
      </c>
      <c r="H29">
        <f>RANK(H28,$B$28:$GQ$28,0)+COUNTIF($B$28:H28,H28)-1</f>
        <v/>
      </c>
      <c r="I29">
        <f>RANK(I28,$B$28:$GQ$28,0)+COUNTIF($B$28:I28,I28)-1</f>
        <v/>
      </c>
      <c r="J29">
        <f>RANK(J28,$B$28:$GQ$28,0)+COUNTIF($B$28:J28,J28)-1</f>
        <v/>
      </c>
      <c r="K29">
        <f>RANK(K28,$B$28:$GQ$28,0)+COUNTIF($B$28:K28,K28)-1</f>
        <v/>
      </c>
      <c r="L29">
        <f>RANK(L28,$B$28:$GQ$28,0)+COUNTIF($B$28:L28,L28)-1</f>
        <v/>
      </c>
      <c r="M29">
        <f>RANK(M28,$B$28:$GQ$28,0)+COUNTIF($B$28:M28,M28)-1</f>
        <v/>
      </c>
      <c r="N29">
        <f>RANK(N28,$B$28:$GQ$28,0)+COUNTIF($B$28:N28,N28)-1</f>
        <v/>
      </c>
      <c r="O29">
        <f>RANK(O28,$B$28:$GQ$28,0)+COUNTIF($B$28:O28,O28)-1</f>
        <v/>
      </c>
      <c r="P29">
        <f>RANK(P28,$B$28:$GQ$28,0)+COUNTIF($B$28:P28,P28)-1</f>
        <v/>
      </c>
      <c r="Q29">
        <f>RANK(Q28,$B$28:$GQ$28,0)+COUNTIF($B$28:Q28,Q28)-1</f>
        <v/>
      </c>
      <c r="R29">
        <f>RANK(R28,$B$28:$GQ$28,0)+COUNTIF($B$28:R28,R28)-1</f>
        <v/>
      </c>
      <c r="S29">
        <f>RANK(S28,$B$28:$GQ$28,0)+COUNTIF($B$28:S28,S28)-1</f>
        <v/>
      </c>
      <c r="T29">
        <f>RANK(T28,$B$28:$GQ$28,0)+COUNTIF($B$28:T28,T28)-1</f>
        <v/>
      </c>
      <c r="U29">
        <f>RANK(U28,$B$28:$GQ$28,0)+COUNTIF($B$28:U28,U28)-1</f>
        <v/>
      </c>
      <c r="V29">
        <f>RANK(V28,$B$28:$GQ$28,0)+COUNTIF($B$28:V28,V28)-1</f>
        <v/>
      </c>
      <c r="W29">
        <f>RANK(W28,$B$28:$GQ$28,0)+COUNTIF($B$28:W28,W28)-1</f>
        <v/>
      </c>
      <c r="X29">
        <f>RANK(X28,$B$28:$GQ$28,0)+COUNTIF($B$28:X28,X28)-1</f>
        <v/>
      </c>
      <c r="Y29">
        <f>RANK(Y28,$B$28:$GQ$28,0)+COUNTIF($B$28:Y28,Y28)-1</f>
        <v/>
      </c>
      <c r="Z29">
        <f>RANK(Z28,$B$28:$GQ$28,0)+COUNTIF($B$28:Z28,Z28)-1</f>
        <v/>
      </c>
      <c r="AA29">
        <f>RANK(AA28,$B$28:$GQ$28,0)+COUNTIF($B$28:AA28,AA28)-1</f>
        <v/>
      </c>
      <c r="AB29">
        <f>RANK(AB28,$B$28:$GQ$28,0)+COUNTIF($B$28:AB28,AB28)-1</f>
        <v/>
      </c>
      <c r="AC29">
        <f>RANK(AC28,$B$28:$GQ$28,0)+COUNTIF($B$28:AC28,AC28)-1</f>
        <v/>
      </c>
      <c r="AD29">
        <f>RANK(AD28,$B$28:$GQ$28,0)+COUNTIF($B$28:AD28,AD28)-1</f>
        <v/>
      </c>
      <c r="AE29">
        <f>RANK(AE28,$B$28:$GQ$28,0)+COUNTIF($B$28:AE28,AE28)-1</f>
        <v/>
      </c>
      <c r="AF29">
        <f>RANK(AF28,$B$28:$GQ$28,0)+COUNTIF($B$28:AF28,AF28)-1</f>
        <v/>
      </c>
      <c r="AG29">
        <f>RANK(AG28,$B$28:$GQ$28,0)+COUNTIF($B$28:AG28,AG28)-1</f>
        <v/>
      </c>
      <c r="AH29">
        <f>RANK(AH28,$B$28:$GQ$28,0)+COUNTIF($B$28:AH28,AH28)-1</f>
        <v/>
      </c>
      <c r="AI29">
        <f>RANK(AI28,$B$28:$GQ$28,0)+COUNTIF($B$28:AI28,AI28)-1</f>
        <v/>
      </c>
      <c r="AJ29">
        <f>RANK(AJ28,$B$28:$GQ$28,0)+COUNTIF($B$28:AJ28,AJ28)-1</f>
        <v/>
      </c>
      <c r="AK29">
        <f>RANK(AK28,$B$28:$GQ$28,0)+COUNTIF($B$28:AK28,AK28)-1</f>
        <v/>
      </c>
      <c r="AL29">
        <f>RANK(AL28,$B$28:$GQ$28,0)+COUNTIF($B$28:AL28,AL28)-1</f>
        <v/>
      </c>
      <c r="AM29">
        <f>RANK(AM28,$B$28:$GQ$28,0)+COUNTIF($B$28:AM28,AM28)-1</f>
        <v/>
      </c>
      <c r="AN29">
        <f>RANK(AN28,$B$28:$GQ$28,0)+COUNTIF($B$28:AN28,AN28)-1</f>
        <v/>
      </c>
      <c r="AO29">
        <f>RANK(AO28,$B$28:$GQ$28,0)+COUNTIF($B$28:AO28,AO28)-1</f>
        <v/>
      </c>
      <c r="AP29">
        <f>RANK(AP28,$B$28:$GQ$28,0)+COUNTIF($B$28:AP28,AP28)-1</f>
        <v/>
      </c>
      <c r="AQ29">
        <f>RANK(AQ28,$B$28:$GQ$28,0)+COUNTIF($B$28:AQ28,AQ28)-1</f>
        <v/>
      </c>
      <c r="AR29">
        <f>RANK(AR28,$B$28:$GQ$28,0)+COUNTIF($B$28:AR28,AR28)-1</f>
        <v/>
      </c>
      <c r="AS29">
        <f>RANK(AS28,$B$28:$GQ$28,0)+COUNTIF($B$28:AS28,AS28)-1</f>
        <v/>
      </c>
      <c r="AT29">
        <f>RANK(AT28,$B$28:$GQ$28,0)+COUNTIF($B$28:AT28,AT28)-1</f>
        <v/>
      </c>
      <c r="AU29">
        <f>RANK(AU28,$B$28:$GQ$28,0)+COUNTIF($B$28:AU28,AU28)-1</f>
        <v/>
      </c>
      <c r="AV29">
        <f>RANK(AV28,$B$28:$GQ$28,0)+COUNTIF($B$28:AV28,AV28)-1</f>
        <v/>
      </c>
      <c r="AW29">
        <f>RANK(AW28,$B$28:$GQ$28,0)+COUNTIF($B$28:AW28,AW28)-1</f>
        <v/>
      </c>
      <c r="AX29">
        <f>RANK(AX28,$B$28:$GQ$28,0)+COUNTIF($B$28:AX28,AX28)-1</f>
        <v/>
      </c>
      <c r="AY29">
        <f>RANK(AY28,$B$28:$GQ$28,0)+COUNTIF($B$28:AY28,AY28)-1</f>
        <v/>
      </c>
      <c r="AZ29">
        <f>RANK(AZ28,$B$28:$GQ$28,0)+COUNTIF($B$28:AZ28,AZ28)-1</f>
        <v/>
      </c>
      <c r="BA29">
        <f>RANK(BA28,$B$28:$GQ$28,0)+COUNTIF($B$28:BA28,BA28)-1</f>
        <v/>
      </c>
      <c r="BB29">
        <f>RANK(BB28,$B$28:$GQ$28,0)+COUNTIF($B$28:BB28,BB28)-1</f>
        <v/>
      </c>
      <c r="BC29">
        <f>RANK(BC28,$B$28:$GQ$28,0)+COUNTIF($B$28:BC28,BC28)-1</f>
        <v/>
      </c>
      <c r="BD29">
        <f>RANK(BD28,$B$28:$GQ$28,0)+COUNTIF($B$28:BD28,BD28)-1</f>
        <v/>
      </c>
      <c r="BE29">
        <f>RANK(BE28,$B$28:$GQ$28,0)+COUNTIF($B$28:BE28,BE28)-1</f>
        <v/>
      </c>
      <c r="BF29">
        <f>RANK(BF28,$B$28:$GQ$28,0)+COUNTIF($B$28:BF28,BF28)-1</f>
        <v/>
      </c>
      <c r="BG29">
        <f>RANK(BG28,$B$28:$GQ$28,0)+COUNTIF($B$28:BG28,BG28)-1</f>
        <v/>
      </c>
      <c r="BH29">
        <f>RANK(BH28,$B$28:$GQ$28,0)+COUNTIF($B$28:BH28,BH28)-1</f>
        <v/>
      </c>
      <c r="BI29">
        <f>RANK(BI28,$B$28:$GQ$28,0)+COUNTIF($B$28:BI28,BI28)-1</f>
        <v/>
      </c>
      <c r="BJ29">
        <f>RANK(BJ28,$B$28:$GQ$28,0)+COUNTIF($B$28:BJ28,BJ28)-1</f>
        <v/>
      </c>
      <c r="BK29">
        <f>RANK(BK28,$B$28:$GQ$28,0)+COUNTIF($B$28:BK28,BK28)-1</f>
        <v/>
      </c>
      <c r="BL29">
        <f>RANK(BL28,$B$28:$GQ$28,0)+COUNTIF($B$28:BL28,BL28)-1</f>
        <v/>
      </c>
      <c r="BM29">
        <f>RANK(BM28,$B$28:$GQ$28,0)+COUNTIF($B$28:BM28,BM28)-1</f>
        <v/>
      </c>
      <c r="BN29">
        <f>RANK(BN28,$B$28:$GQ$28,0)+COUNTIF($B$28:BN28,BN28)-1</f>
        <v/>
      </c>
      <c r="BO29">
        <f>RANK(BO28,$B$28:$GQ$28,0)+COUNTIF($B$28:BO28,BO28)-1</f>
        <v/>
      </c>
      <c r="BP29">
        <f>RANK(BP28,$B$28:$GQ$28,0)+COUNTIF($B$28:BP28,BP28)-1</f>
        <v/>
      </c>
      <c r="BQ29">
        <f>RANK(BQ28,$B$28:$GQ$28,0)+COUNTIF($B$28:BQ28,BQ28)-1</f>
        <v/>
      </c>
      <c r="BR29">
        <f>RANK(BR28,$B$28:$GQ$28,0)+COUNTIF($B$28:BR28,BR28)-1</f>
        <v/>
      </c>
      <c r="BS29">
        <f>RANK(BS28,$B$28:$GQ$28,0)+COUNTIF($B$28:BS28,BS28)-1</f>
        <v/>
      </c>
      <c r="BT29">
        <f>RANK(BT28,$B$28:$GQ$28,0)+COUNTIF($B$28:BT28,BT28)-1</f>
        <v/>
      </c>
      <c r="BU29">
        <f>RANK(BU28,$B$28:$GQ$28,0)+COUNTIF($B$28:BU28,BU28)-1</f>
        <v/>
      </c>
      <c r="BV29">
        <f>RANK(BV28,$B$28:$GQ$28,0)+COUNTIF($B$28:BV28,BV28)-1</f>
        <v/>
      </c>
      <c r="BW29">
        <f>RANK(BW28,$B$28:$GQ$28,0)+COUNTIF($B$28:BW28,BW28)-1</f>
        <v/>
      </c>
      <c r="BX29">
        <f>RANK(BX28,$B$28:$GQ$28,0)+COUNTIF($B$28:BX28,BX28)-1</f>
        <v/>
      </c>
      <c r="BY29">
        <f>RANK(BY28,$B$28:$GQ$28,0)+COUNTIF($B$28:BY28,BY28)-1</f>
        <v/>
      </c>
      <c r="BZ29">
        <f>RANK(BZ28,$B$28:$GQ$28,0)+COUNTIF($B$28:BZ28,BZ28)-1</f>
        <v/>
      </c>
      <c r="CA29">
        <f>RANK(CA28,$B$28:$GQ$28,0)+COUNTIF($B$28:CA28,CA28)-1</f>
        <v/>
      </c>
      <c r="CB29">
        <f>RANK(CB28,$B$28:$GQ$28,0)+COUNTIF($B$28:CB28,CB28)-1</f>
        <v/>
      </c>
      <c r="CC29">
        <f>RANK(CC28,$B$28:$GQ$28,0)+COUNTIF($B$28:CC28,CC28)-1</f>
        <v/>
      </c>
      <c r="CD29">
        <f>RANK(CD28,$B$28:$GQ$28,0)+COUNTIF($B$28:CD28,CD28)-1</f>
        <v/>
      </c>
      <c r="CE29">
        <f>RANK(CE28,$B$28:$GQ$28,0)+COUNTIF($B$28:CE28,CE28)-1</f>
        <v/>
      </c>
      <c r="CF29">
        <f>RANK(CF28,$B$28:$GQ$28,0)+COUNTIF($B$28:CF28,CF28)-1</f>
        <v/>
      </c>
      <c r="CG29">
        <f>RANK(CG28,$B$28:$GQ$28,0)+COUNTIF($B$28:CG28,CG28)-1</f>
        <v/>
      </c>
      <c r="CH29">
        <f>RANK(CH28,$B$28:$GQ$28,0)+COUNTIF($B$28:CH28,CH28)-1</f>
        <v/>
      </c>
      <c r="CI29">
        <f>RANK(CI28,$B$28:$GQ$28,0)+COUNTIF($B$28:CI28,CI28)-1</f>
        <v/>
      </c>
      <c r="CJ29">
        <f>RANK(CJ28,$B$28:$GQ$28,0)+COUNTIF($B$28:CJ28,CJ28)-1</f>
        <v/>
      </c>
      <c r="CK29">
        <f>RANK(CK28,$B$28:$GQ$28,0)+COUNTIF($B$28:CK28,CK28)-1</f>
        <v/>
      </c>
      <c r="CL29">
        <f>RANK(CL28,$B$28:$GQ$28,0)+COUNTIF($B$28:CL28,CL28)-1</f>
        <v/>
      </c>
      <c r="CM29">
        <f>RANK(CM28,$B$28:$GQ$28,0)+COUNTIF($B$28:CM28,CM28)-1</f>
        <v/>
      </c>
      <c r="CN29">
        <f>RANK(CN28,$B$28:$GQ$28,0)+COUNTIF($B$28:CN28,CN28)-1</f>
        <v/>
      </c>
      <c r="CO29">
        <f>RANK(CO28,$B$28:$GQ$28,0)+COUNTIF($B$28:CO28,CO28)-1</f>
        <v/>
      </c>
      <c r="CP29">
        <f>RANK(CP28,$B$28:$GQ$28,0)+COUNTIF($B$28:CP28,CP28)-1</f>
        <v/>
      </c>
      <c r="CQ29">
        <f>RANK(CQ28,$B$28:$GQ$28,0)+COUNTIF($B$28:CQ28,CQ28)-1</f>
        <v/>
      </c>
      <c r="CR29">
        <f>RANK(CR28,$B$28:$GQ$28,0)+COUNTIF($B$28:CR28,CR28)-1</f>
        <v/>
      </c>
      <c r="CS29">
        <f>RANK(CS28,$B$28:$GQ$28,0)+COUNTIF($B$28:CS28,CS28)-1</f>
        <v/>
      </c>
      <c r="CT29">
        <f>RANK(CT28,$B$28:$GQ$28,0)+COUNTIF($B$28:CT28,CT28)-1</f>
        <v/>
      </c>
      <c r="CU29">
        <f>RANK(CU28,$B$28:$GQ$28,0)+COUNTIF($B$28:CU28,CU28)-1</f>
        <v/>
      </c>
      <c r="CV29">
        <f>RANK(CV28,$B$28:$GQ$28,0)+COUNTIF($B$28:CV28,CV28)-1</f>
        <v/>
      </c>
      <c r="CW29">
        <f>RANK(CW28,$B$28:$GQ$28,0)+COUNTIF($B$28:CW28,CW28)-1</f>
        <v/>
      </c>
      <c r="CX29">
        <f>RANK(CX28,$B$28:$GQ$28,0)+COUNTIF($B$28:CX28,CX28)-1</f>
        <v/>
      </c>
      <c r="CY29">
        <f>RANK(CY28,$B$28:$GQ$28,0)+COUNTIF($B$28:CY28,CY28)-1</f>
        <v/>
      </c>
      <c r="CZ29">
        <f>RANK(CZ28,$B$28:$GQ$28,0)+COUNTIF($B$28:CZ28,CZ28)-1</f>
        <v/>
      </c>
      <c r="DA29">
        <f>RANK(DA28,$B$28:$GQ$28,0)+COUNTIF($B$28:DA28,DA28)-1</f>
        <v/>
      </c>
      <c r="DB29">
        <f>RANK(DB28,$B$28:$GQ$28,0)+COUNTIF($B$28:DB28,DB28)-1</f>
        <v/>
      </c>
      <c r="DC29">
        <f>RANK(DC28,$B$28:$GQ$28,0)+COUNTIF($B$28:DC28,DC28)-1</f>
        <v/>
      </c>
      <c r="DD29">
        <f>RANK(DD28,$B$28:$GQ$28,0)+COUNTIF($B$28:DD28,DD28)-1</f>
        <v/>
      </c>
      <c r="DE29">
        <f>RANK(DE28,$B$28:$GQ$28,0)+COUNTIF($B$28:DE28,DE28)-1</f>
        <v/>
      </c>
      <c r="DF29">
        <f>RANK(DF28,$B$28:$GQ$28,0)+COUNTIF($B$28:DF28,DF28)-1</f>
        <v/>
      </c>
      <c r="DG29">
        <f>RANK(DG28,$B$28:$GQ$28,0)+COUNTIF($B$28:DG28,DG28)-1</f>
        <v/>
      </c>
      <c r="DH29">
        <f>RANK(DH28,$B$28:$GQ$28,0)+COUNTIF($B$28:DH28,DH28)-1</f>
        <v/>
      </c>
      <c r="DI29">
        <f>RANK(DI28,$B$28:$GQ$28,0)+COUNTIF($B$28:DI28,DI28)-1</f>
        <v/>
      </c>
      <c r="DJ29">
        <f>RANK(DJ28,$B$28:$GQ$28,0)+COUNTIF($B$28:DJ28,DJ28)-1</f>
        <v/>
      </c>
      <c r="DK29">
        <f>RANK(DK28,$B$28:$GQ$28,0)+COUNTIF($B$28:DK28,DK28)-1</f>
        <v/>
      </c>
      <c r="DL29">
        <f>RANK(DL28,$B$28:$GQ$28,0)+COUNTIF($B$28:DL28,DL28)-1</f>
        <v/>
      </c>
      <c r="DM29">
        <f>RANK(DM28,$B$28:$GQ$28,0)+COUNTIF($B$28:DM28,DM28)-1</f>
        <v/>
      </c>
      <c r="DN29">
        <f>RANK(DN28,$B$28:$GQ$28,0)+COUNTIF($B$28:DN28,DN28)-1</f>
        <v/>
      </c>
      <c r="DO29">
        <f>RANK(DO28,$B$28:$GQ$28,0)+COUNTIF($B$28:DO28,DO28)-1</f>
        <v/>
      </c>
      <c r="DP29">
        <f>RANK(DP28,$B$28:$GQ$28,0)+COUNTIF($B$28:DP28,DP28)-1</f>
        <v/>
      </c>
      <c r="DQ29">
        <f>RANK(DQ28,$B$28:$GQ$28,0)+COUNTIF($B$28:DQ28,DQ28)-1</f>
        <v/>
      </c>
      <c r="DR29">
        <f>RANK(DR28,$B$28:$GQ$28,0)+COUNTIF($B$28:DR28,DR28)-1</f>
        <v/>
      </c>
      <c r="DS29">
        <f>RANK(DS28,$B$28:$GQ$28,0)+COUNTIF($B$28:DS28,DS28)-1</f>
        <v/>
      </c>
      <c r="DT29">
        <f>RANK(DT28,$B$28:$GQ$28,0)+COUNTIF($B$28:DT28,DT28)-1</f>
        <v/>
      </c>
      <c r="DU29">
        <f>RANK(DU28,$B$28:$GQ$28,0)+COUNTIF($B$28:DU28,DU28)-1</f>
        <v/>
      </c>
      <c r="DV29">
        <f>RANK(DV28,$B$28:$GQ$28,0)+COUNTIF($B$28:DV28,DV28)-1</f>
        <v/>
      </c>
      <c r="DW29">
        <f>RANK(DW28,$B$28:$GQ$28,0)+COUNTIF($B$28:DW28,DW28)-1</f>
        <v/>
      </c>
      <c r="DX29">
        <f>RANK(DX28,$B$28:$GQ$28,0)+COUNTIF($B$28:DX28,DX28)-1</f>
        <v/>
      </c>
      <c r="DY29">
        <f>RANK(DY28,$B$28:$GQ$28,0)+COUNTIF($B$28:DY28,DY28)-1</f>
        <v/>
      </c>
      <c r="DZ29">
        <f>RANK(DZ28,$B$28:$GQ$28,0)+COUNTIF($B$28:DZ28,DZ28)-1</f>
        <v/>
      </c>
      <c r="EA29">
        <f>RANK(EA28,$B$28:$GQ$28,0)+COUNTIF($B$28:EA28,EA28)-1</f>
        <v/>
      </c>
      <c r="EB29">
        <f>RANK(EB28,$B$28:$GQ$28,0)+COUNTIF($B$28:EB28,EB28)-1</f>
        <v/>
      </c>
      <c r="EC29">
        <f>RANK(EC28,$B$28:$GQ$28,0)+COUNTIF($B$28:EC28,EC28)-1</f>
        <v/>
      </c>
      <c r="ED29">
        <f>RANK(ED28,$B$28:$GQ$28,0)+COUNTIF($B$28:ED28,ED28)-1</f>
        <v/>
      </c>
      <c r="EE29">
        <f>RANK(EE28,$B$28:$GQ$28,0)+COUNTIF($B$28:EE28,EE28)-1</f>
        <v/>
      </c>
      <c r="EF29">
        <f>RANK(EF28,$B$28:$GQ$28,0)+COUNTIF($B$28:EF28,EF28)-1</f>
        <v/>
      </c>
      <c r="EG29">
        <f>RANK(EG28,$B$28:$GQ$28,0)+COUNTIF($B$28:EG28,EG28)-1</f>
        <v/>
      </c>
      <c r="EH29">
        <f>RANK(EH28,$B$28:$GQ$28,0)+COUNTIF($B$28:EH28,EH28)-1</f>
        <v/>
      </c>
      <c r="EI29">
        <f>RANK(EI28,$B$28:$GQ$28,0)+COUNTIF($B$28:EI28,EI28)-1</f>
        <v/>
      </c>
      <c r="EJ29">
        <f>RANK(EJ28,$B$28:$GQ$28,0)+COUNTIF($B$28:EJ28,EJ28)-1</f>
        <v/>
      </c>
      <c r="EK29">
        <f>RANK(EK28,$B$28:$GQ$28,0)+COUNTIF($B$28:EK28,EK28)-1</f>
        <v/>
      </c>
      <c r="EL29">
        <f>RANK(EL28,$B$28:$GQ$28,0)+COUNTIF($B$28:EL28,EL28)-1</f>
        <v/>
      </c>
      <c r="EM29">
        <f>RANK(EM28,$B$28:$GQ$28,0)+COUNTIF($B$28:EM28,EM28)-1</f>
        <v/>
      </c>
      <c r="EN29">
        <f>RANK(EN28,$B$28:$GQ$28,0)+COUNTIF($B$28:EN28,EN28)-1</f>
        <v/>
      </c>
      <c r="EO29">
        <f>RANK(EO28,$B$28:$GQ$28,0)+COUNTIF($B$28:EO28,EO28)-1</f>
        <v/>
      </c>
      <c r="EP29">
        <f>RANK(EP28,$B$28:$GQ$28,0)+COUNTIF($B$28:EP28,EP28)-1</f>
        <v/>
      </c>
      <c r="EQ29">
        <f>RANK(EQ28,$B$28:$GQ$28,0)+COUNTIF($B$28:EQ28,EQ28)-1</f>
        <v/>
      </c>
      <c r="ER29">
        <f>RANK(ER28,$B$28:$GQ$28,0)+COUNTIF($B$28:ER28,ER28)-1</f>
        <v/>
      </c>
      <c r="ES29">
        <f>RANK(ES28,$B$28:$GQ$28,0)+COUNTIF($B$28:ES28,ES28)-1</f>
        <v/>
      </c>
      <c r="ET29">
        <f>RANK(ET28,$B$28:$GQ$28,0)+COUNTIF($B$28:ET28,ET28)-1</f>
        <v/>
      </c>
      <c r="EU29">
        <f>RANK(EU28,$B$28:$GQ$28,0)+COUNTIF($B$28:EU28,EU28)-1</f>
        <v/>
      </c>
      <c r="EV29">
        <f>RANK(EV28,$B$28:$GQ$28,0)+COUNTIF($B$28:EV28,EV28)-1</f>
        <v/>
      </c>
      <c r="EW29">
        <f>RANK(EW28,$B$28:$GQ$28,0)+COUNTIF($B$28:EW28,EW28)-1</f>
        <v/>
      </c>
      <c r="EX29">
        <f>RANK(EX28,$B$28:$GQ$28,0)+COUNTIF($B$28:EX28,EX28)-1</f>
        <v/>
      </c>
      <c r="EY29">
        <f>RANK(EY28,$B$28:$GQ$28,0)+COUNTIF($B$28:EY28,EY28)-1</f>
        <v/>
      </c>
      <c r="EZ29">
        <f>RANK(EZ28,$B$28:$GQ$28,0)+COUNTIF($B$28:EZ28,EZ28)-1</f>
        <v/>
      </c>
      <c r="FA29">
        <f>RANK(FA28,$B$28:$GQ$28,0)+COUNTIF($B$28:FA28,FA28)-1</f>
        <v/>
      </c>
      <c r="FB29">
        <f>RANK(FB28,$B$28:$GQ$28,0)+COUNTIF($B$28:FB28,FB28)-1</f>
        <v/>
      </c>
      <c r="FC29">
        <f>RANK(FC28,$B$28:$GQ$28,0)+COUNTIF($B$28:FC28,FC28)-1</f>
        <v/>
      </c>
      <c r="FD29">
        <f>RANK(FD28,$B$28:$GQ$28,0)+COUNTIF($B$28:FD28,FD28)-1</f>
        <v/>
      </c>
      <c r="FE29">
        <f>RANK(FE28,$B$28:$GQ$28,0)+COUNTIF($B$28:FE28,FE28)-1</f>
        <v/>
      </c>
      <c r="FF29">
        <f>RANK(FF28,$B$28:$GQ$28,0)+COUNTIF($B$28:FF28,FF28)-1</f>
        <v/>
      </c>
      <c r="FG29">
        <f>RANK(FG28,$B$28:$GQ$28,0)+COUNTIF($B$28:FG28,FG28)-1</f>
        <v/>
      </c>
      <c r="FH29">
        <f>RANK(FH28,$B$28:$GQ$28,0)+COUNTIF($B$28:FH28,FH28)-1</f>
        <v/>
      </c>
      <c r="FI29">
        <f>RANK(FI28,$B$28:$GQ$28,0)+COUNTIF($B$28:FI28,FI28)-1</f>
        <v/>
      </c>
      <c r="FJ29">
        <f>RANK(FJ28,$B$28:$GQ$28,0)+COUNTIF($B$28:FJ28,FJ28)-1</f>
        <v/>
      </c>
      <c r="FK29">
        <f>RANK(FK28,$B$28:$GQ$28,0)+COUNTIF($B$28:FK28,FK28)-1</f>
        <v/>
      </c>
      <c r="FL29">
        <f>RANK(FL28,$B$28:$GQ$28,0)+COUNTIF($B$28:FL28,FL28)-1</f>
        <v/>
      </c>
      <c r="FM29">
        <f>RANK(FM28,$B$28:$GQ$28,0)+COUNTIF($B$28:FM28,FM28)-1</f>
        <v/>
      </c>
      <c r="FN29">
        <f>RANK(FN28,$B$28:$GQ$28,0)+COUNTIF($B$28:FN28,FN28)-1</f>
        <v/>
      </c>
      <c r="FO29">
        <f>RANK(FO28,$B$28:$GQ$28,0)+COUNTIF($B$28:FO28,FO28)-1</f>
        <v/>
      </c>
      <c r="FP29">
        <f>RANK(FP28,$B$28:$GQ$28,0)+COUNTIF($B$28:FP28,FP28)-1</f>
        <v/>
      </c>
      <c r="FQ29">
        <f>RANK(FQ28,$B$28:$GQ$28,0)+COUNTIF($B$28:FQ28,FQ28)-1</f>
        <v/>
      </c>
      <c r="FR29">
        <f>RANK(FR28,$B$28:$GQ$28,0)+COUNTIF($B$28:FR28,FR28)-1</f>
        <v/>
      </c>
      <c r="FS29">
        <f>RANK(FS28,$B$28:$GQ$28,0)+COUNTIF($B$28:FS28,FS28)-1</f>
        <v/>
      </c>
      <c r="FT29">
        <f>RANK(FT28,$B$28:$GQ$28,0)+COUNTIF($B$28:FT28,FT28)-1</f>
        <v/>
      </c>
      <c r="FU29">
        <f>RANK(FU28,$B$28:$GQ$28,0)+COUNTIF($B$28:FU28,FU28)-1</f>
        <v/>
      </c>
      <c r="FV29">
        <f>RANK(FV28,$B$28:$GQ$28,0)+COUNTIF($B$28:FV28,FV28)-1</f>
        <v/>
      </c>
      <c r="FW29">
        <f>RANK(FW28,$B$28:$GQ$28,0)+COUNTIF($B$28:FW28,FW28)-1</f>
        <v/>
      </c>
      <c r="FX29">
        <f>RANK(FX28,$B$28:$GQ$28,0)+COUNTIF($B$28:FX28,FX28)-1</f>
        <v/>
      </c>
      <c r="FY29">
        <f>RANK(FY28,$B$28:$GQ$28,0)+COUNTIF($B$28:FY28,FY28)-1</f>
        <v/>
      </c>
      <c r="FZ29">
        <f>RANK(FZ28,$B$28:$GQ$28,0)+COUNTIF($B$28:FZ28,FZ28)-1</f>
        <v/>
      </c>
      <c r="GA29">
        <f>RANK(GA28,$B$28:$GQ$28,0)+COUNTIF($B$28:GA28,GA28)-1</f>
        <v/>
      </c>
      <c r="GB29">
        <f>RANK(GB28,$B$28:$GQ$28,0)+COUNTIF($B$28:GB28,GB28)-1</f>
        <v/>
      </c>
      <c r="GC29">
        <f>RANK(GC28,$B$28:$GQ$28,0)+COUNTIF($B$28:GC28,GC28)-1</f>
        <v/>
      </c>
      <c r="GD29">
        <f>RANK(GD28,$B$28:$GQ$28,0)+COUNTIF($B$28:GD28,GD28)-1</f>
        <v/>
      </c>
      <c r="GE29">
        <f>RANK(GE28,$B$28:$GQ$28,0)+COUNTIF($B$28:GE28,GE28)-1</f>
        <v/>
      </c>
      <c r="GF29">
        <f>RANK(GF28,$B$28:$GQ$28,0)+COUNTIF($B$28:GF28,GF28)-1</f>
        <v/>
      </c>
      <c r="GG29">
        <f>RANK(GG28,$B$28:$GQ$28,0)+COUNTIF($B$28:GG28,GG28)-1</f>
        <v/>
      </c>
      <c r="GH29">
        <f>RANK(GH28,$B$28:$GQ$28,0)+COUNTIF($B$28:GH28,GH28)-1</f>
        <v/>
      </c>
      <c r="GI29">
        <f>RANK(GI28,$B$28:$GQ$28,0)+COUNTIF($B$28:GI28,GI28)-1</f>
        <v/>
      </c>
      <c r="GJ29">
        <f>RANK(GJ28,$B$28:$GQ$28,0)+COUNTIF($B$28:GJ28,GJ28)-1</f>
        <v/>
      </c>
      <c r="GK29">
        <f>RANK(GK28,$B$28:$GQ$28,0)+COUNTIF($B$28:GK28,GK28)-1</f>
        <v/>
      </c>
      <c r="GL29">
        <f>RANK(GL28,$B$28:$GQ$28,0)+COUNTIF($B$28:GL28,GL28)-1</f>
        <v/>
      </c>
      <c r="GM29">
        <f>RANK(GM28,$B$28:$GQ$28,0)+COUNTIF($B$28:GM28,GM28)-1</f>
        <v/>
      </c>
      <c r="GN29">
        <f>RANK(GN28,$B$28:$GQ$28,0)+COUNTIF($B$28:GN28,GN28)-1</f>
        <v/>
      </c>
      <c r="GO29">
        <f>RANK(GO28,$B$28:$GQ$28,0)+COUNTIF($B$28:GO28,GO28)-1</f>
        <v/>
      </c>
      <c r="GP29">
        <f>RANK(GP28,$B$28:$GQ$28,0)+COUNTIF($B$28:GP28,GP28)-1</f>
        <v/>
      </c>
      <c r="GQ29">
        <f>RANK(GQ28,$B$28:$GQ$28,0)+COUNTIF($B$28:GQ28,GQ28)-1</f>
        <v/>
      </c>
    </row>
    <row r="30">
      <c r="A30" s="1" t="inlineStr">
        <is>
          <t>Rang (catégories)</t>
        </is>
      </c>
      <c r="GR30">
        <f>RANK(GR28,$GR$28:$HC$28,0)+COUNTIF($GR$28:GR28,GR28)-1</f>
        <v/>
      </c>
      <c r="GS30">
        <f>RANK(GS28,$GR$28:$HC$28,0)+COUNTIF($GR$28:GS28,GS28)-1</f>
        <v/>
      </c>
      <c r="GT30">
        <f>RANK(GT28,$GR$28:$HC$28,0)+COUNTIF($GR$28:GT28,GT28)-1</f>
        <v/>
      </c>
      <c r="GU30">
        <f>RANK(GU28,$GR$28:$HC$28,0)+COUNTIF($GR$28:GU28,GU28)-1</f>
        <v/>
      </c>
      <c r="GV30">
        <f>RANK(GV28,$GR$28:$HC$28,0)+COUNTIF($GR$28:GV28,GV28)-1</f>
        <v/>
      </c>
      <c r="GW30">
        <f>RANK(GW28,$GR$28:$HC$28,0)+COUNTIF($GR$28:GW28,GW28)-1</f>
        <v/>
      </c>
      <c r="GX30">
        <f>RANK(GX28,$GR$28:$HC$28,0)+COUNTIF($GR$28:GX28,GX28)-1</f>
        <v/>
      </c>
      <c r="GY30">
        <f>RANK(GY28,$GR$28:$HC$28,0)+COUNTIF($GR$28:GY28,GY28)-1</f>
        <v/>
      </c>
      <c r="GZ30">
        <f>RANK(GZ28,$GR$28:$HC$28,0)+COUNTIF($GR$28:GZ28,GZ28)-1</f>
        <v/>
      </c>
      <c r="HA30">
        <f>RANK(HA28,$GR$28:$HC$28,0)+COUNTIF($GR$28:HA28,HA28)-1</f>
        <v/>
      </c>
      <c r="HB30">
        <f>RANK(HB28,$GR$28:$HC$28,0)+COUNTIF($GR$28:HB28,HB28)-1</f>
        <v/>
      </c>
      <c r="HC30">
        <f>RANK(HC28,$GR$28:$HC$28,0)+COUNTIF($GR$28:HC28,HC28)-1</f>
        <v/>
      </c>
    </row>
  </sheetData>
  <dataValidations count="1">
    <dataValidation sqref="B1" showDropDown="0" showInputMessage="0" showErrorMessage="0" allowBlank="0" type="list">
      <formula1>=$A$18:$A$27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C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Trier secteurs et catégories par (ordre décroissant) :</t>
        </is>
      </c>
      <c r="B1" s="2" t="inlineStr">
        <is>
          <t>M_imp*Y_dom+M_dom*Y_dom+M_row*Y_imp</t>
        </is>
      </c>
    </row>
    <row r="3">
      <c r="A3" s="1" t="inlineStr">
        <is>
          <t>Raw material consumption</t>
        </is>
      </c>
      <c r="B3" s="1">
        <f>INDEX($B$17:$GQ$17,MATCH(1,$B$29:$GQ$29,0))</f>
        <v/>
      </c>
      <c r="C3" s="1">
        <f>INDEX($B$17:$GQ$17,MATCH(2,$B$29:$GQ$29,0))</f>
        <v/>
      </c>
      <c r="D3" s="1">
        <f>INDEX($B$17:$GQ$17,MATCH(3,$B$29:$GQ$29,0))</f>
        <v/>
      </c>
      <c r="E3" s="1">
        <f>INDEX($B$17:$GQ$17,MATCH(4,$B$29:$GQ$29,0))</f>
        <v/>
      </c>
      <c r="F3" s="1">
        <f>INDEX($B$17:$GQ$17,MATCH(5,$B$29:$GQ$29,0))</f>
        <v/>
      </c>
      <c r="G3" s="1">
        <f>INDEX($B$17:$GQ$17,MATCH(6,$B$29:$GQ$29,0))</f>
        <v/>
      </c>
      <c r="H3" s="1">
        <f>INDEX($B$17:$GQ$17,MATCH(7,$B$29:$GQ$29,0))</f>
        <v/>
      </c>
      <c r="I3" s="1">
        <f>INDEX($B$17:$GQ$17,MATCH(8,$B$29:$GQ$29,0))</f>
        <v/>
      </c>
      <c r="J3" s="1">
        <f>INDEX($B$17:$GQ$17,MATCH(9,$B$29:$GQ$29,0))</f>
        <v/>
      </c>
      <c r="K3" s="1">
        <f>INDEX($B$17:$GQ$17,MATCH(10,$B$29:$GQ$29,0))</f>
        <v/>
      </c>
      <c r="L3" s="1">
        <f>INDEX($B$17:$GQ$17,MATCH(11,$B$29:$GQ$29,0))</f>
        <v/>
      </c>
      <c r="M3" s="1">
        <f>INDEX($B$17:$GQ$17,MATCH(12,$B$29:$GQ$29,0))</f>
        <v/>
      </c>
      <c r="N3" s="1">
        <f>INDEX($B$17:$GQ$17,MATCH(13,$B$29:$GQ$29,0))</f>
        <v/>
      </c>
      <c r="O3" s="1">
        <f>INDEX($B$17:$GQ$17,MATCH(14,$B$29:$GQ$29,0))</f>
        <v/>
      </c>
      <c r="P3" s="1">
        <f>INDEX($B$17:$GQ$17,MATCH(15,$B$29:$GQ$29,0))</f>
        <v/>
      </c>
      <c r="Q3" s="1">
        <f>INDEX($B$17:$GQ$17,MATCH(16,$B$29:$GQ$29,0))</f>
        <v/>
      </c>
      <c r="R3" s="1">
        <f>INDEX($B$17:$GQ$17,MATCH(17,$B$29:$GQ$29,0))</f>
        <v/>
      </c>
      <c r="S3" s="1">
        <f>INDEX($B$17:$GQ$17,MATCH(18,$B$29:$GQ$29,0))</f>
        <v/>
      </c>
      <c r="T3" s="1">
        <f>INDEX($B$17:$GQ$17,MATCH(19,$B$29:$GQ$29,0))</f>
        <v/>
      </c>
      <c r="U3" s="1">
        <f>INDEX($B$17:$GQ$17,MATCH(20,$B$29:$GQ$29,0))</f>
        <v/>
      </c>
      <c r="V3" s="1">
        <f>INDEX($B$17:$GQ$17,MATCH(21,$B$29:$GQ$29,0))</f>
        <v/>
      </c>
      <c r="W3" s="1">
        <f>INDEX($B$17:$GQ$17,MATCH(22,$B$29:$GQ$29,0))</f>
        <v/>
      </c>
      <c r="X3" s="1">
        <f>INDEX($B$17:$GQ$17,MATCH(23,$B$29:$GQ$29,0))</f>
        <v/>
      </c>
      <c r="Y3" s="1">
        <f>INDEX($B$17:$GQ$17,MATCH(24,$B$29:$GQ$29,0))</f>
        <v/>
      </c>
      <c r="Z3" s="1">
        <f>INDEX($B$17:$GQ$17,MATCH(25,$B$29:$GQ$29,0))</f>
        <v/>
      </c>
      <c r="AA3" s="1">
        <f>INDEX($B$17:$GQ$17,MATCH(26,$B$29:$GQ$29,0))</f>
        <v/>
      </c>
      <c r="AB3" s="1">
        <f>INDEX($B$17:$GQ$17,MATCH(27,$B$29:$GQ$29,0))</f>
        <v/>
      </c>
      <c r="AC3" s="1">
        <f>INDEX($B$17:$GQ$17,MATCH(28,$B$29:$GQ$29,0))</f>
        <v/>
      </c>
      <c r="AD3" s="1">
        <f>INDEX($B$17:$GQ$17,MATCH(29,$B$29:$GQ$29,0))</f>
        <v/>
      </c>
      <c r="AE3" s="1">
        <f>INDEX($B$17:$GQ$17,MATCH(30,$B$29:$GQ$29,0))</f>
        <v/>
      </c>
      <c r="AF3" s="1">
        <f>INDEX($B$17:$GQ$17,MATCH(31,$B$29:$GQ$29,0))</f>
        <v/>
      </c>
      <c r="AG3" s="1">
        <f>INDEX($B$17:$GQ$17,MATCH(32,$B$29:$GQ$29,0))</f>
        <v/>
      </c>
      <c r="AH3" s="1">
        <f>INDEX($B$17:$GQ$17,MATCH(33,$B$29:$GQ$29,0))</f>
        <v/>
      </c>
      <c r="AI3" s="1">
        <f>INDEX($B$17:$GQ$17,MATCH(34,$B$29:$GQ$29,0))</f>
        <v/>
      </c>
      <c r="AJ3" s="1">
        <f>INDEX($B$17:$GQ$17,MATCH(35,$B$29:$GQ$29,0))</f>
        <v/>
      </c>
      <c r="AK3" s="1">
        <f>INDEX($B$17:$GQ$17,MATCH(36,$B$29:$GQ$29,0))</f>
        <v/>
      </c>
      <c r="AL3" s="1">
        <f>INDEX($B$17:$GQ$17,MATCH(37,$B$29:$GQ$29,0))</f>
        <v/>
      </c>
      <c r="AM3" s="1">
        <f>INDEX($B$17:$GQ$17,MATCH(38,$B$29:$GQ$29,0))</f>
        <v/>
      </c>
      <c r="AN3" s="1">
        <f>INDEX($B$17:$GQ$17,MATCH(39,$B$29:$GQ$29,0))</f>
        <v/>
      </c>
      <c r="AO3" s="1">
        <f>INDEX($B$17:$GQ$17,MATCH(40,$B$29:$GQ$29,0))</f>
        <v/>
      </c>
      <c r="AP3" s="1">
        <f>INDEX($B$17:$GQ$17,MATCH(41,$B$29:$GQ$29,0))</f>
        <v/>
      </c>
      <c r="AQ3" s="1">
        <f>INDEX($B$17:$GQ$17,MATCH(42,$B$29:$GQ$29,0))</f>
        <v/>
      </c>
      <c r="AR3" s="1">
        <f>INDEX($B$17:$GQ$17,MATCH(43,$B$29:$GQ$29,0))</f>
        <v/>
      </c>
      <c r="AS3" s="1">
        <f>INDEX($B$17:$GQ$17,MATCH(44,$B$29:$GQ$29,0))</f>
        <v/>
      </c>
      <c r="AT3" s="1">
        <f>INDEX($B$17:$GQ$17,MATCH(45,$B$29:$GQ$29,0))</f>
        <v/>
      </c>
      <c r="AU3" s="1">
        <f>INDEX($B$17:$GQ$17,MATCH(46,$B$29:$GQ$29,0))</f>
        <v/>
      </c>
      <c r="AV3" s="1">
        <f>INDEX($B$17:$GQ$17,MATCH(47,$B$29:$GQ$29,0))</f>
        <v/>
      </c>
      <c r="AW3" s="1">
        <f>INDEX($B$17:$GQ$17,MATCH(48,$B$29:$GQ$29,0))</f>
        <v/>
      </c>
      <c r="AX3" s="1">
        <f>INDEX($B$17:$GQ$17,MATCH(49,$B$29:$GQ$29,0))</f>
        <v/>
      </c>
      <c r="AY3" s="1">
        <f>INDEX($B$17:$GQ$17,MATCH(50,$B$29:$GQ$29,0))</f>
        <v/>
      </c>
      <c r="AZ3" s="1">
        <f>INDEX($B$17:$GQ$17,MATCH(51,$B$29:$GQ$29,0))</f>
        <v/>
      </c>
      <c r="BA3" s="1">
        <f>INDEX($B$17:$GQ$17,MATCH(52,$B$29:$GQ$29,0))</f>
        <v/>
      </c>
      <c r="BB3" s="1">
        <f>INDEX($B$17:$GQ$17,MATCH(53,$B$29:$GQ$29,0))</f>
        <v/>
      </c>
      <c r="BC3" s="1">
        <f>INDEX($B$17:$GQ$17,MATCH(54,$B$29:$GQ$29,0))</f>
        <v/>
      </c>
      <c r="BD3" s="1">
        <f>INDEX($B$17:$GQ$17,MATCH(55,$B$29:$GQ$29,0))</f>
        <v/>
      </c>
      <c r="BE3" s="1">
        <f>INDEX($B$17:$GQ$17,MATCH(56,$B$29:$GQ$29,0))</f>
        <v/>
      </c>
      <c r="BF3" s="1">
        <f>INDEX($B$17:$GQ$17,MATCH(57,$B$29:$GQ$29,0))</f>
        <v/>
      </c>
      <c r="BG3" s="1">
        <f>INDEX($B$17:$GQ$17,MATCH(58,$B$29:$GQ$29,0))</f>
        <v/>
      </c>
      <c r="BH3" s="1">
        <f>INDEX($B$17:$GQ$17,MATCH(59,$B$29:$GQ$29,0))</f>
        <v/>
      </c>
      <c r="BI3" s="1">
        <f>INDEX($B$17:$GQ$17,MATCH(60,$B$29:$GQ$29,0))</f>
        <v/>
      </c>
      <c r="BJ3" s="1">
        <f>INDEX($B$17:$GQ$17,MATCH(61,$B$29:$GQ$29,0))</f>
        <v/>
      </c>
      <c r="BK3" s="1">
        <f>INDEX($B$17:$GQ$17,MATCH(62,$B$29:$GQ$29,0))</f>
        <v/>
      </c>
      <c r="BL3" s="1">
        <f>INDEX($B$17:$GQ$17,MATCH(63,$B$29:$GQ$29,0))</f>
        <v/>
      </c>
      <c r="BM3" s="1">
        <f>INDEX($B$17:$GQ$17,MATCH(64,$B$29:$GQ$29,0))</f>
        <v/>
      </c>
      <c r="BN3" s="1">
        <f>INDEX($B$17:$GQ$17,MATCH(65,$B$29:$GQ$29,0))</f>
        <v/>
      </c>
      <c r="BO3" s="1">
        <f>INDEX($B$17:$GQ$17,MATCH(66,$B$29:$GQ$29,0))</f>
        <v/>
      </c>
      <c r="BP3" s="1">
        <f>INDEX($B$17:$GQ$17,MATCH(67,$B$29:$GQ$29,0))</f>
        <v/>
      </c>
      <c r="BQ3" s="1">
        <f>INDEX($B$17:$GQ$17,MATCH(68,$B$29:$GQ$29,0))</f>
        <v/>
      </c>
      <c r="BR3" s="1">
        <f>INDEX($B$17:$GQ$17,MATCH(69,$B$29:$GQ$29,0))</f>
        <v/>
      </c>
      <c r="BS3" s="1">
        <f>INDEX($B$17:$GQ$17,MATCH(70,$B$29:$GQ$29,0))</f>
        <v/>
      </c>
      <c r="BT3" s="1">
        <f>INDEX($B$17:$GQ$17,MATCH(71,$B$29:$GQ$29,0))</f>
        <v/>
      </c>
      <c r="BU3" s="1">
        <f>INDEX($B$17:$GQ$17,MATCH(72,$B$29:$GQ$29,0))</f>
        <v/>
      </c>
      <c r="BV3" s="1">
        <f>INDEX($B$17:$GQ$17,MATCH(73,$B$29:$GQ$29,0))</f>
        <v/>
      </c>
      <c r="BW3" s="1">
        <f>INDEX($B$17:$GQ$17,MATCH(74,$B$29:$GQ$29,0))</f>
        <v/>
      </c>
      <c r="BX3" s="1">
        <f>INDEX($B$17:$GQ$17,MATCH(75,$B$29:$GQ$29,0))</f>
        <v/>
      </c>
      <c r="BY3" s="1">
        <f>INDEX($B$17:$GQ$17,MATCH(76,$B$29:$GQ$29,0))</f>
        <v/>
      </c>
      <c r="BZ3" s="1">
        <f>INDEX($B$17:$GQ$17,MATCH(77,$B$29:$GQ$29,0))</f>
        <v/>
      </c>
      <c r="CA3" s="1">
        <f>INDEX($B$17:$GQ$17,MATCH(78,$B$29:$GQ$29,0))</f>
        <v/>
      </c>
      <c r="CB3" s="1">
        <f>INDEX($B$17:$GQ$17,MATCH(79,$B$29:$GQ$29,0))</f>
        <v/>
      </c>
      <c r="CC3" s="1">
        <f>INDEX($B$17:$GQ$17,MATCH(80,$B$29:$GQ$29,0))</f>
        <v/>
      </c>
      <c r="CD3" s="1">
        <f>INDEX($B$17:$GQ$17,MATCH(81,$B$29:$GQ$29,0))</f>
        <v/>
      </c>
      <c r="CE3" s="1">
        <f>INDEX($B$17:$GQ$17,MATCH(82,$B$29:$GQ$29,0))</f>
        <v/>
      </c>
      <c r="CF3" s="1">
        <f>INDEX($B$17:$GQ$17,MATCH(83,$B$29:$GQ$29,0))</f>
        <v/>
      </c>
      <c r="CG3" s="1">
        <f>INDEX($B$17:$GQ$17,MATCH(84,$B$29:$GQ$29,0))</f>
        <v/>
      </c>
      <c r="CH3" s="1">
        <f>INDEX($B$17:$GQ$17,MATCH(85,$B$29:$GQ$29,0))</f>
        <v/>
      </c>
      <c r="CI3" s="1">
        <f>INDEX($B$17:$GQ$17,MATCH(86,$B$29:$GQ$29,0))</f>
        <v/>
      </c>
      <c r="CJ3" s="1">
        <f>INDEX($B$17:$GQ$17,MATCH(87,$B$29:$GQ$29,0))</f>
        <v/>
      </c>
      <c r="CK3" s="1">
        <f>INDEX($B$17:$GQ$17,MATCH(88,$B$29:$GQ$29,0))</f>
        <v/>
      </c>
      <c r="CL3" s="1">
        <f>INDEX($B$17:$GQ$17,MATCH(89,$B$29:$GQ$29,0))</f>
        <v/>
      </c>
      <c r="CM3" s="1">
        <f>INDEX($B$17:$GQ$17,MATCH(90,$B$29:$GQ$29,0))</f>
        <v/>
      </c>
      <c r="CN3" s="1">
        <f>INDEX($B$17:$GQ$17,MATCH(91,$B$29:$GQ$29,0))</f>
        <v/>
      </c>
      <c r="CO3" s="1">
        <f>INDEX($B$17:$GQ$17,MATCH(92,$B$29:$GQ$29,0))</f>
        <v/>
      </c>
      <c r="CP3" s="1">
        <f>INDEX($B$17:$GQ$17,MATCH(93,$B$29:$GQ$29,0))</f>
        <v/>
      </c>
      <c r="CQ3" s="1">
        <f>INDEX($B$17:$GQ$17,MATCH(94,$B$29:$GQ$29,0))</f>
        <v/>
      </c>
      <c r="CR3" s="1">
        <f>INDEX($B$17:$GQ$17,MATCH(95,$B$29:$GQ$29,0))</f>
        <v/>
      </c>
      <c r="CS3" s="1">
        <f>INDEX($B$17:$GQ$17,MATCH(96,$B$29:$GQ$29,0))</f>
        <v/>
      </c>
      <c r="CT3" s="1">
        <f>INDEX($B$17:$GQ$17,MATCH(97,$B$29:$GQ$29,0))</f>
        <v/>
      </c>
      <c r="CU3" s="1">
        <f>INDEX($B$17:$GQ$17,MATCH(98,$B$29:$GQ$29,0))</f>
        <v/>
      </c>
      <c r="CV3" s="1">
        <f>INDEX($B$17:$GQ$17,MATCH(99,$B$29:$GQ$29,0))</f>
        <v/>
      </c>
      <c r="CW3" s="1">
        <f>INDEX($B$17:$GQ$17,MATCH(100,$B$29:$GQ$29,0))</f>
        <v/>
      </c>
      <c r="CX3" s="1">
        <f>INDEX($B$17:$GQ$17,MATCH(101,$B$29:$GQ$29,0))</f>
        <v/>
      </c>
      <c r="CY3" s="1">
        <f>INDEX($B$17:$GQ$17,MATCH(102,$B$29:$GQ$29,0))</f>
        <v/>
      </c>
      <c r="CZ3" s="1">
        <f>INDEX($B$17:$GQ$17,MATCH(103,$B$29:$GQ$29,0))</f>
        <v/>
      </c>
      <c r="DA3" s="1">
        <f>INDEX($B$17:$GQ$17,MATCH(104,$B$29:$GQ$29,0))</f>
        <v/>
      </c>
      <c r="DB3" s="1">
        <f>INDEX($B$17:$GQ$17,MATCH(105,$B$29:$GQ$29,0))</f>
        <v/>
      </c>
      <c r="DC3" s="1">
        <f>INDEX($B$17:$GQ$17,MATCH(106,$B$29:$GQ$29,0))</f>
        <v/>
      </c>
      <c r="DD3" s="1">
        <f>INDEX($B$17:$GQ$17,MATCH(107,$B$29:$GQ$29,0))</f>
        <v/>
      </c>
      <c r="DE3" s="1">
        <f>INDEX($B$17:$GQ$17,MATCH(108,$B$29:$GQ$29,0))</f>
        <v/>
      </c>
      <c r="DF3" s="1">
        <f>INDEX($B$17:$GQ$17,MATCH(109,$B$29:$GQ$29,0))</f>
        <v/>
      </c>
      <c r="DG3" s="1">
        <f>INDEX($B$17:$GQ$17,MATCH(110,$B$29:$GQ$29,0))</f>
        <v/>
      </c>
      <c r="DH3" s="1">
        <f>INDEX($B$17:$GQ$17,MATCH(111,$B$29:$GQ$29,0))</f>
        <v/>
      </c>
      <c r="DI3" s="1">
        <f>INDEX($B$17:$GQ$17,MATCH(112,$B$29:$GQ$29,0))</f>
        <v/>
      </c>
      <c r="DJ3" s="1">
        <f>INDEX($B$17:$GQ$17,MATCH(113,$B$29:$GQ$29,0))</f>
        <v/>
      </c>
      <c r="DK3" s="1">
        <f>INDEX($B$17:$GQ$17,MATCH(114,$B$29:$GQ$29,0))</f>
        <v/>
      </c>
      <c r="DL3" s="1">
        <f>INDEX($B$17:$GQ$17,MATCH(115,$B$29:$GQ$29,0))</f>
        <v/>
      </c>
      <c r="DM3" s="1">
        <f>INDEX($B$17:$GQ$17,MATCH(116,$B$29:$GQ$29,0))</f>
        <v/>
      </c>
      <c r="DN3" s="1">
        <f>INDEX($B$17:$GQ$17,MATCH(117,$B$29:$GQ$29,0))</f>
        <v/>
      </c>
      <c r="DO3" s="1">
        <f>INDEX($B$17:$GQ$17,MATCH(118,$B$29:$GQ$29,0))</f>
        <v/>
      </c>
      <c r="DP3" s="1">
        <f>INDEX($B$17:$GQ$17,MATCH(119,$B$29:$GQ$29,0))</f>
        <v/>
      </c>
      <c r="DQ3" s="1">
        <f>INDEX($B$17:$GQ$17,MATCH(120,$B$29:$GQ$29,0))</f>
        <v/>
      </c>
      <c r="DR3" s="1">
        <f>INDEX($B$17:$GQ$17,MATCH(121,$B$29:$GQ$29,0))</f>
        <v/>
      </c>
      <c r="DS3" s="1">
        <f>INDEX($B$17:$GQ$17,MATCH(122,$B$29:$GQ$29,0))</f>
        <v/>
      </c>
      <c r="DT3" s="1">
        <f>INDEX($B$17:$GQ$17,MATCH(123,$B$29:$GQ$29,0))</f>
        <v/>
      </c>
      <c r="DU3" s="1">
        <f>INDEX($B$17:$GQ$17,MATCH(124,$B$29:$GQ$29,0))</f>
        <v/>
      </c>
      <c r="DV3" s="1">
        <f>INDEX($B$17:$GQ$17,MATCH(125,$B$29:$GQ$29,0))</f>
        <v/>
      </c>
      <c r="DW3" s="1">
        <f>INDEX($B$17:$GQ$17,MATCH(126,$B$29:$GQ$29,0))</f>
        <v/>
      </c>
      <c r="DX3" s="1">
        <f>INDEX($B$17:$GQ$17,MATCH(127,$B$29:$GQ$29,0))</f>
        <v/>
      </c>
      <c r="DY3" s="1">
        <f>INDEX($B$17:$GQ$17,MATCH(128,$B$29:$GQ$29,0))</f>
        <v/>
      </c>
      <c r="DZ3" s="1">
        <f>INDEX($B$17:$GQ$17,MATCH(129,$B$29:$GQ$29,0))</f>
        <v/>
      </c>
      <c r="EA3" s="1">
        <f>INDEX($B$17:$GQ$17,MATCH(130,$B$29:$GQ$29,0))</f>
        <v/>
      </c>
      <c r="EB3" s="1">
        <f>INDEX($B$17:$GQ$17,MATCH(131,$B$29:$GQ$29,0))</f>
        <v/>
      </c>
      <c r="EC3" s="1">
        <f>INDEX($B$17:$GQ$17,MATCH(132,$B$29:$GQ$29,0))</f>
        <v/>
      </c>
      <c r="ED3" s="1">
        <f>INDEX($B$17:$GQ$17,MATCH(133,$B$29:$GQ$29,0))</f>
        <v/>
      </c>
      <c r="EE3" s="1">
        <f>INDEX($B$17:$GQ$17,MATCH(134,$B$29:$GQ$29,0))</f>
        <v/>
      </c>
      <c r="EF3" s="1">
        <f>INDEX($B$17:$GQ$17,MATCH(135,$B$29:$GQ$29,0))</f>
        <v/>
      </c>
      <c r="EG3" s="1">
        <f>INDEX($B$17:$GQ$17,MATCH(136,$B$29:$GQ$29,0))</f>
        <v/>
      </c>
      <c r="EH3" s="1">
        <f>INDEX($B$17:$GQ$17,MATCH(137,$B$29:$GQ$29,0))</f>
        <v/>
      </c>
      <c r="EI3" s="1">
        <f>INDEX($B$17:$GQ$17,MATCH(138,$B$29:$GQ$29,0))</f>
        <v/>
      </c>
      <c r="EJ3" s="1">
        <f>INDEX($B$17:$GQ$17,MATCH(139,$B$29:$GQ$29,0))</f>
        <v/>
      </c>
      <c r="EK3" s="1">
        <f>INDEX($B$17:$GQ$17,MATCH(140,$B$29:$GQ$29,0))</f>
        <v/>
      </c>
      <c r="EL3" s="1">
        <f>INDEX($B$17:$GQ$17,MATCH(141,$B$29:$GQ$29,0))</f>
        <v/>
      </c>
      <c r="EM3" s="1">
        <f>INDEX($B$17:$GQ$17,MATCH(142,$B$29:$GQ$29,0))</f>
        <v/>
      </c>
      <c r="EN3" s="1">
        <f>INDEX($B$17:$GQ$17,MATCH(143,$B$29:$GQ$29,0))</f>
        <v/>
      </c>
      <c r="EO3" s="1">
        <f>INDEX($B$17:$GQ$17,MATCH(144,$B$29:$GQ$29,0))</f>
        <v/>
      </c>
      <c r="EP3" s="1">
        <f>INDEX($B$17:$GQ$17,MATCH(145,$B$29:$GQ$29,0))</f>
        <v/>
      </c>
      <c r="EQ3" s="1">
        <f>INDEX($B$17:$GQ$17,MATCH(146,$B$29:$GQ$29,0))</f>
        <v/>
      </c>
      <c r="ER3" s="1">
        <f>INDEX($B$17:$GQ$17,MATCH(147,$B$29:$GQ$29,0))</f>
        <v/>
      </c>
      <c r="ES3" s="1">
        <f>INDEX($B$17:$GQ$17,MATCH(148,$B$29:$GQ$29,0))</f>
        <v/>
      </c>
      <c r="ET3" s="1">
        <f>INDEX($B$17:$GQ$17,MATCH(149,$B$29:$GQ$29,0))</f>
        <v/>
      </c>
      <c r="EU3" s="1">
        <f>INDEX($B$17:$GQ$17,MATCH(150,$B$29:$GQ$29,0))</f>
        <v/>
      </c>
      <c r="EV3" s="1">
        <f>INDEX($B$17:$GQ$17,MATCH(151,$B$29:$GQ$29,0))</f>
        <v/>
      </c>
      <c r="EW3" s="1">
        <f>INDEX($B$17:$GQ$17,MATCH(152,$B$29:$GQ$29,0))</f>
        <v/>
      </c>
      <c r="EX3" s="1">
        <f>INDEX($B$17:$GQ$17,MATCH(153,$B$29:$GQ$29,0))</f>
        <v/>
      </c>
      <c r="EY3" s="1">
        <f>INDEX($B$17:$GQ$17,MATCH(154,$B$29:$GQ$29,0))</f>
        <v/>
      </c>
      <c r="EZ3" s="1">
        <f>INDEX($B$17:$GQ$17,MATCH(155,$B$29:$GQ$29,0))</f>
        <v/>
      </c>
      <c r="FA3" s="1">
        <f>INDEX($B$17:$GQ$17,MATCH(156,$B$29:$GQ$29,0))</f>
        <v/>
      </c>
      <c r="FB3" s="1">
        <f>INDEX($B$17:$GQ$17,MATCH(157,$B$29:$GQ$29,0))</f>
        <v/>
      </c>
      <c r="FC3" s="1">
        <f>INDEX($B$17:$GQ$17,MATCH(158,$B$29:$GQ$29,0))</f>
        <v/>
      </c>
      <c r="FD3" s="1">
        <f>INDEX($B$17:$GQ$17,MATCH(159,$B$29:$GQ$29,0))</f>
        <v/>
      </c>
      <c r="FE3" s="1">
        <f>INDEX($B$17:$GQ$17,MATCH(160,$B$29:$GQ$29,0))</f>
        <v/>
      </c>
      <c r="FF3" s="1">
        <f>INDEX($B$17:$GQ$17,MATCH(161,$B$29:$GQ$29,0))</f>
        <v/>
      </c>
      <c r="FG3" s="1">
        <f>INDEX($B$17:$GQ$17,MATCH(162,$B$29:$GQ$29,0))</f>
        <v/>
      </c>
      <c r="FH3" s="1">
        <f>INDEX($B$17:$GQ$17,MATCH(163,$B$29:$GQ$29,0))</f>
        <v/>
      </c>
      <c r="FI3" s="1">
        <f>INDEX($B$17:$GQ$17,MATCH(164,$B$29:$GQ$29,0))</f>
        <v/>
      </c>
      <c r="FJ3" s="1">
        <f>INDEX($B$17:$GQ$17,MATCH(165,$B$29:$GQ$29,0))</f>
        <v/>
      </c>
      <c r="FK3" s="1">
        <f>INDEX($B$17:$GQ$17,MATCH(166,$B$29:$GQ$29,0))</f>
        <v/>
      </c>
      <c r="FL3" s="1">
        <f>INDEX($B$17:$GQ$17,MATCH(167,$B$29:$GQ$29,0))</f>
        <v/>
      </c>
      <c r="FM3" s="1">
        <f>INDEX($B$17:$GQ$17,MATCH(168,$B$29:$GQ$29,0))</f>
        <v/>
      </c>
      <c r="FN3" s="1">
        <f>INDEX($B$17:$GQ$17,MATCH(169,$B$29:$GQ$29,0))</f>
        <v/>
      </c>
      <c r="FO3" s="1">
        <f>INDEX($B$17:$GQ$17,MATCH(170,$B$29:$GQ$29,0))</f>
        <v/>
      </c>
      <c r="FP3" s="1">
        <f>INDEX($B$17:$GQ$17,MATCH(171,$B$29:$GQ$29,0))</f>
        <v/>
      </c>
      <c r="FQ3" s="1">
        <f>INDEX($B$17:$GQ$17,MATCH(172,$B$29:$GQ$29,0))</f>
        <v/>
      </c>
      <c r="FR3" s="1">
        <f>INDEX($B$17:$GQ$17,MATCH(173,$B$29:$GQ$29,0))</f>
        <v/>
      </c>
      <c r="FS3" s="1">
        <f>INDEX($B$17:$GQ$17,MATCH(174,$B$29:$GQ$29,0))</f>
        <v/>
      </c>
      <c r="FT3" s="1">
        <f>INDEX($B$17:$GQ$17,MATCH(175,$B$29:$GQ$29,0))</f>
        <v/>
      </c>
      <c r="FU3" s="1">
        <f>INDEX($B$17:$GQ$17,MATCH(176,$B$29:$GQ$29,0))</f>
        <v/>
      </c>
      <c r="FV3" s="1">
        <f>INDEX($B$17:$GQ$17,MATCH(177,$B$29:$GQ$29,0))</f>
        <v/>
      </c>
      <c r="FW3" s="1">
        <f>INDEX($B$17:$GQ$17,MATCH(178,$B$29:$GQ$29,0))</f>
        <v/>
      </c>
      <c r="FX3" s="1">
        <f>INDEX($B$17:$GQ$17,MATCH(179,$B$29:$GQ$29,0))</f>
        <v/>
      </c>
      <c r="FY3" s="1">
        <f>INDEX($B$17:$GQ$17,MATCH(180,$B$29:$GQ$29,0))</f>
        <v/>
      </c>
      <c r="FZ3" s="1">
        <f>INDEX($B$17:$GQ$17,MATCH(181,$B$29:$GQ$29,0))</f>
        <v/>
      </c>
      <c r="GA3" s="1">
        <f>INDEX($B$17:$GQ$17,MATCH(182,$B$29:$GQ$29,0))</f>
        <v/>
      </c>
      <c r="GB3" s="1">
        <f>INDEX($B$17:$GQ$17,MATCH(183,$B$29:$GQ$29,0))</f>
        <v/>
      </c>
      <c r="GC3" s="1">
        <f>INDEX($B$17:$GQ$17,MATCH(184,$B$29:$GQ$29,0))</f>
        <v/>
      </c>
      <c r="GD3" s="1">
        <f>INDEX($B$17:$GQ$17,MATCH(185,$B$29:$GQ$29,0))</f>
        <v/>
      </c>
      <c r="GE3" s="1">
        <f>INDEX($B$17:$GQ$17,MATCH(186,$B$29:$GQ$29,0))</f>
        <v/>
      </c>
      <c r="GF3" s="1">
        <f>INDEX($B$17:$GQ$17,MATCH(187,$B$29:$GQ$29,0))</f>
        <v/>
      </c>
      <c r="GG3" s="1">
        <f>INDEX($B$17:$GQ$17,MATCH(188,$B$29:$GQ$29,0))</f>
        <v/>
      </c>
      <c r="GH3" s="1">
        <f>INDEX($B$17:$GQ$17,MATCH(189,$B$29:$GQ$29,0))</f>
        <v/>
      </c>
      <c r="GI3" s="1">
        <f>INDEX($B$17:$GQ$17,MATCH(190,$B$29:$GQ$29,0))</f>
        <v/>
      </c>
      <c r="GJ3" s="1">
        <f>INDEX($B$17:$GQ$17,MATCH(191,$B$29:$GQ$29,0))</f>
        <v/>
      </c>
      <c r="GK3" s="1">
        <f>INDEX($B$17:$GQ$17,MATCH(192,$B$29:$GQ$29,0))</f>
        <v/>
      </c>
      <c r="GL3" s="1">
        <f>INDEX($B$17:$GQ$17,MATCH(193,$B$29:$GQ$29,0))</f>
        <v/>
      </c>
      <c r="GM3" s="1">
        <f>INDEX($B$17:$GQ$17,MATCH(194,$B$29:$GQ$29,0))</f>
        <v/>
      </c>
      <c r="GN3" s="1">
        <f>INDEX($B$17:$GQ$17,MATCH(195,$B$29:$GQ$29,0))</f>
        <v/>
      </c>
      <c r="GO3" s="1">
        <f>INDEX($B$17:$GQ$17,MATCH(196,$B$29:$GQ$29,0))</f>
        <v/>
      </c>
      <c r="GP3" s="1">
        <f>INDEX($B$17:$GQ$17,MATCH(197,$B$29:$GQ$29,0))</f>
        <v/>
      </c>
      <c r="GQ3" s="1">
        <f>INDEX($B$17:$GQ$17,MATCH(198,$B$29:$GQ$29,0))</f>
        <v/>
      </c>
      <c r="GR3" s="1">
        <f>INDEX($GR$17:$HC$17,MATCH(1,$GR$30:$HC$30,0))</f>
        <v/>
      </c>
      <c r="GS3" s="1">
        <f>INDEX($GR$17:$HC$17,MATCH(2,$GR$30:$HC$30,0))</f>
        <v/>
      </c>
      <c r="GT3" s="1">
        <f>INDEX($GR$17:$HC$17,MATCH(3,$GR$30:$HC$30,0))</f>
        <v/>
      </c>
      <c r="GU3" s="1">
        <f>INDEX($GR$17:$HC$17,MATCH(4,$GR$30:$HC$30,0))</f>
        <v/>
      </c>
      <c r="GV3" s="1">
        <f>INDEX($GR$17:$HC$17,MATCH(5,$GR$30:$HC$30,0))</f>
        <v/>
      </c>
      <c r="GW3" s="1">
        <f>INDEX($GR$17:$HC$17,MATCH(6,$GR$30:$HC$30,0))</f>
        <v/>
      </c>
      <c r="GX3" s="1">
        <f>INDEX($GR$17:$HC$17,MATCH(7,$GR$30:$HC$30,0))</f>
        <v/>
      </c>
      <c r="GY3" s="1">
        <f>INDEX($GR$17:$HC$17,MATCH(8,$GR$30:$HC$30,0))</f>
        <v/>
      </c>
      <c r="GZ3" s="1">
        <f>INDEX($GR$17:$HC$17,MATCH(9,$GR$30:$HC$30,0))</f>
        <v/>
      </c>
      <c r="HA3" s="1">
        <f>INDEX($GR$17:$HC$17,MATCH(10,$GR$30:$HC$30,0))</f>
        <v/>
      </c>
      <c r="HB3" s="1">
        <f>INDEX($GR$17:$HC$17,MATCH(11,$GR$30:$HC$30,0))</f>
        <v/>
      </c>
      <c r="HC3" s="1">
        <f>INDEX($GR$17:$HC$17,MATCH(12,$GR$30:$HC$30,0))</f>
        <v/>
      </c>
    </row>
    <row r="4">
      <c r="A4" s="1" t="inlineStr">
        <is>
          <t>M_imp</t>
        </is>
      </c>
      <c r="B4">
        <f>INDEX($B$18:$GQ$18,MATCH(1,$B$29:$GQ$29,0))</f>
        <v/>
      </c>
      <c r="C4">
        <f>INDEX($B$18:$GQ$18,MATCH(2,$B$29:$GQ$29,0))</f>
        <v/>
      </c>
      <c r="D4">
        <f>INDEX($B$18:$GQ$18,MATCH(3,$B$29:$GQ$29,0))</f>
        <v/>
      </c>
      <c r="E4">
        <f>INDEX($B$18:$GQ$18,MATCH(4,$B$29:$GQ$29,0))</f>
        <v/>
      </c>
      <c r="F4">
        <f>INDEX($B$18:$GQ$18,MATCH(5,$B$29:$GQ$29,0))</f>
        <v/>
      </c>
      <c r="G4">
        <f>INDEX($B$18:$GQ$18,MATCH(6,$B$29:$GQ$29,0))</f>
        <v/>
      </c>
      <c r="H4">
        <f>INDEX($B$18:$GQ$18,MATCH(7,$B$29:$GQ$29,0))</f>
        <v/>
      </c>
      <c r="I4">
        <f>INDEX($B$18:$GQ$18,MATCH(8,$B$29:$GQ$29,0))</f>
        <v/>
      </c>
      <c r="J4">
        <f>INDEX($B$18:$GQ$18,MATCH(9,$B$29:$GQ$29,0))</f>
        <v/>
      </c>
      <c r="K4">
        <f>INDEX($B$18:$GQ$18,MATCH(10,$B$29:$GQ$29,0))</f>
        <v/>
      </c>
      <c r="L4">
        <f>INDEX($B$18:$GQ$18,MATCH(11,$B$29:$GQ$29,0))</f>
        <v/>
      </c>
      <c r="M4">
        <f>INDEX($B$18:$GQ$18,MATCH(12,$B$29:$GQ$29,0))</f>
        <v/>
      </c>
      <c r="N4">
        <f>INDEX($B$18:$GQ$18,MATCH(13,$B$29:$GQ$29,0))</f>
        <v/>
      </c>
      <c r="O4">
        <f>INDEX($B$18:$GQ$18,MATCH(14,$B$29:$GQ$29,0))</f>
        <v/>
      </c>
      <c r="P4">
        <f>INDEX($B$18:$GQ$18,MATCH(15,$B$29:$GQ$29,0))</f>
        <v/>
      </c>
      <c r="Q4">
        <f>INDEX($B$18:$GQ$18,MATCH(16,$B$29:$GQ$29,0))</f>
        <v/>
      </c>
      <c r="R4">
        <f>INDEX($B$18:$GQ$18,MATCH(17,$B$29:$GQ$29,0))</f>
        <v/>
      </c>
      <c r="S4">
        <f>INDEX($B$18:$GQ$18,MATCH(18,$B$29:$GQ$29,0))</f>
        <v/>
      </c>
      <c r="T4">
        <f>INDEX($B$18:$GQ$18,MATCH(19,$B$29:$GQ$29,0))</f>
        <v/>
      </c>
      <c r="U4">
        <f>INDEX($B$18:$GQ$18,MATCH(20,$B$29:$GQ$29,0))</f>
        <v/>
      </c>
      <c r="V4">
        <f>INDEX($B$18:$GQ$18,MATCH(21,$B$29:$GQ$29,0))</f>
        <v/>
      </c>
      <c r="W4">
        <f>INDEX($B$18:$GQ$18,MATCH(22,$B$29:$GQ$29,0))</f>
        <v/>
      </c>
      <c r="X4">
        <f>INDEX($B$18:$GQ$18,MATCH(23,$B$29:$GQ$29,0))</f>
        <v/>
      </c>
      <c r="Y4">
        <f>INDEX($B$18:$GQ$18,MATCH(24,$B$29:$GQ$29,0))</f>
        <v/>
      </c>
      <c r="Z4">
        <f>INDEX($B$18:$GQ$18,MATCH(25,$B$29:$GQ$29,0))</f>
        <v/>
      </c>
      <c r="AA4">
        <f>INDEX($B$18:$GQ$18,MATCH(26,$B$29:$GQ$29,0))</f>
        <v/>
      </c>
      <c r="AB4">
        <f>INDEX($B$18:$GQ$18,MATCH(27,$B$29:$GQ$29,0))</f>
        <v/>
      </c>
      <c r="AC4">
        <f>INDEX($B$18:$GQ$18,MATCH(28,$B$29:$GQ$29,0))</f>
        <v/>
      </c>
      <c r="AD4">
        <f>INDEX($B$18:$GQ$18,MATCH(29,$B$29:$GQ$29,0))</f>
        <v/>
      </c>
      <c r="AE4">
        <f>INDEX($B$18:$GQ$18,MATCH(30,$B$29:$GQ$29,0))</f>
        <v/>
      </c>
      <c r="AF4">
        <f>INDEX($B$18:$GQ$18,MATCH(31,$B$29:$GQ$29,0))</f>
        <v/>
      </c>
      <c r="AG4">
        <f>INDEX($B$18:$GQ$18,MATCH(32,$B$29:$GQ$29,0))</f>
        <v/>
      </c>
      <c r="AH4">
        <f>INDEX($B$18:$GQ$18,MATCH(33,$B$29:$GQ$29,0))</f>
        <v/>
      </c>
      <c r="AI4">
        <f>INDEX($B$18:$GQ$18,MATCH(34,$B$29:$GQ$29,0))</f>
        <v/>
      </c>
      <c r="AJ4">
        <f>INDEX($B$18:$GQ$18,MATCH(35,$B$29:$GQ$29,0))</f>
        <v/>
      </c>
      <c r="AK4">
        <f>INDEX($B$18:$GQ$18,MATCH(36,$B$29:$GQ$29,0))</f>
        <v/>
      </c>
      <c r="AL4">
        <f>INDEX($B$18:$GQ$18,MATCH(37,$B$29:$GQ$29,0))</f>
        <v/>
      </c>
      <c r="AM4">
        <f>INDEX($B$18:$GQ$18,MATCH(38,$B$29:$GQ$29,0))</f>
        <v/>
      </c>
      <c r="AN4">
        <f>INDEX($B$18:$GQ$18,MATCH(39,$B$29:$GQ$29,0))</f>
        <v/>
      </c>
      <c r="AO4">
        <f>INDEX($B$18:$GQ$18,MATCH(40,$B$29:$GQ$29,0))</f>
        <v/>
      </c>
      <c r="AP4">
        <f>INDEX($B$18:$GQ$18,MATCH(41,$B$29:$GQ$29,0))</f>
        <v/>
      </c>
      <c r="AQ4">
        <f>INDEX($B$18:$GQ$18,MATCH(42,$B$29:$GQ$29,0))</f>
        <v/>
      </c>
      <c r="AR4">
        <f>INDEX($B$18:$GQ$18,MATCH(43,$B$29:$GQ$29,0))</f>
        <v/>
      </c>
      <c r="AS4">
        <f>INDEX($B$18:$GQ$18,MATCH(44,$B$29:$GQ$29,0))</f>
        <v/>
      </c>
      <c r="AT4">
        <f>INDEX($B$18:$GQ$18,MATCH(45,$B$29:$GQ$29,0))</f>
        <v/>
      </c>
      <c r="AU4">
        <f>INDEX($B$18:$GQ$18,MATCH(46,$B$29:$GQ$29,0))</f>
        <v/>
      </c>
      <c r="AV4">
        <f>INDEX($B$18:$GQ$18,MATCH(47,$B$29:$GQ$29,0))</f>
        <v/>
      </c>
      <c r="AW4">
        <f>INDEX($B$18:$GQ$18,MATCH(48,$B$29:$GQ$29,0))</f>
        <v/>
      </c>
      <c r="AX4">
        <f>INDEX($B$18:$GQ$18,MATCH(49,$B$29:$GQ$29,0))</f>
        <v/>
      </c>
      <c r="AY4">
        <f>INDEX($B$18:$GQ$18,MATCH(50,$B$29:$GQ$29,0))</f>
        <v/>
      </c>
      <c r="AZ4">
        <f>INDEX($B$18:$GQ$18,MATCH(51,$B$29:$GQ$29,0))</f>
        <v/>
      </c>
      <c r="BA4">
        <f>INDEX($B$18:$GQ$18,MATCH(52,$B$29:$GQ$29,0))</f>
        <v/>
      </c>
      <c r="BB4">
        <f>INDEX($B$18:$GQ$18,MATCH(53,$B$29:$GQ$29,0))</f>
        <v/>
      </c>
      <c r="BC4">
        <f>INDEX($B$18:$GQ$18,MATCH(54,$B$29:$GQ$29,0))</f>
        <v/>
      </c>
      <c r="BD4">
        <f>INDEX($B$18:$GQ$18,MATCH(55,$B$29:$GQ$29,0))</f>
        <v/>
      </c>
      <c r="BE4">
        <f>INDEX($B$18:$GQ$18,MATCH(56,$B$29:$GQ$29,0))</f>
        <v/>
      </c>
      <c r="BF4">
        <f>INDEX($B$18:$GQ$18,MATCH(57,$B$29:$GQ$29,0))</f>
        <v/>
      </c>
      <c r="BG4">
        <f>INDEX($B$18:$GQ$18,MATCH(58,$B$29:$GQ$29,0))</f>
        <v/>
      </c>
      <c r="BH4">
        <f>INDEX($B$18:$GQ$18,MATCH(59,$B$29:$GQ$29,0))</f>
        <v/>
      </c>
      <c r="BI4">
        <f>INDEX($B$18:$GQ$18,MATCH(60,$B$29:$GQ$29,0))</f>
        <v/>
      </c>
      <c r="BJ4">
        <f>INDEX($B$18:$GQ$18,MATCH(61,$B$29:$GQ$29,0))</f>
        <v/>
      </c>
      <c r="BK4">
        <f>INDEX($B$18:$GQ$18,MATCH(62,$B$29:$GQ$29,0))</f>
        <v/>
      </c>
      <c r="BL4">
        <f>INDEX($B$18:$GQ$18,MATCH(63,$B$29:$GQ$29,0))</f>
        <v/>
      </c>
      <c r="BM4">
        <f>INDEX($B$18:$GQ$18,MATCH(64,$B$29:$GQ$29,0))</f>
        <v/>
      </c>
      <c r="BN4">
        <f>INDEX($B$18:$GQ$18,MATCH(65,$B$29:$GQ$29,0))</f>
        <v/>
      </c>
      <c r="BO4">
        <f>INDEX($B$18:$GQ$18,MATCH(66,$B$29:$GQ$29,0))</f>
        <v/>
      </c>
      <c r="BP4">
        <f>INDEX($B$18:$GQ$18,MATCH(67,$B$29:$GQ$29,0))</f>
        <v/>
      </c>
      <c r="BQ4">
        <f>INDEX($B$18:$GQ$18,MATCH(68,$B$29:$GQ$29,0))</f>
        <v/>
      </c>
      <c r="BR4">
        <f>INDEX($B$18:$GQ$18,MATCH(69,$B$29:$GQ$29,0))</f>
        <v/>
      </c>
      <c r="BS4">
        <f>INDEX($B$18:$GQ$18,MATCH(70,$B$29:$GQ$29,0))</f>
        <v/>
      </c>
      <c r="BT4">
        <f>INDEX($B$18:$GQ$18,MATCH(71,$B$29:$GQ$29,0))</f>
        <v/>
      </c>
      <c r="BU4">
        <f>INDEX($B$18:$GQ$18,MATCH(72,$B$29:$GQ$29,0))</f>
        <v/>
      </c>
      <c r="BV4">
        <f>INDEX($B$18:$GQ$18,MATCH(73,$B$29:$GQ$29,0))</f>
        <v/>
      </c>
      <c r="BW4">
        <f>INDEX($B$18:$GQ$18,MATCH(74,$B$29:$GQ$29,0))</f>
        <v/>
      </c>
      <c r="BX4">
        <f>INDEX($B$18:$GQ$18,MATCH(75,$B$29:$GQ$29,0))</f>
        <v/>
      </c>
      <c r="BY4">
        <f>INDEX($B$18:$GQ$18,MATCH(76,$B$29:$GQ$29,0))</f>
        <v/>
      </c>
      <c r="BZ4">
        <f>INDEX($B$18:$GQ$18,MATCH(77,$B$29:$GQ$29,0))</f>
        <v/>
      </c>
      <c r="CA4">
        <f>INDEX($B$18:$GQ$18,MATCH(78,$B$29:$GQ$29,0))</f>
        <v/>
      </c>
      <c r="CB4">
        <f>INDEX($B$18:$GQ$18,MATCH(79,$B$29:$GQ$29,0))</f>
        <v/>
      </c>
      <c r="CC4">
        <f>INDEX($B$18:$GQ$18,MATCH(80,$B$29:$GQ$29,0))</f>
        <v/>
      </c>
      <c r="CD4">
        <f>INDEX($B$18:$GQ$18,MATCH(81,$B$29:$GQ$29,0))</f>
        <v/>
      </c>
      <c r="CE4">
        <f>INDEX($B$18:$GQ$18,MATCH(82,$B$29:$GQ$29,0))</f>
        <v/>
      </c>
      <c r="CF4">
        <f>INDEX($B$18:$GQ$18,MATCH(83,$B$29:$GQ$29,0))</f>
        <v/>
      </c>
      <c r="CG4">
        <f>INDEX($B$18:$GQ$18,MATCH(84,$B$29:$GQ$29,0))</f>
        <v/>
      </c>
      <c r="CH4">
        <f>INDEX($B$18:$GQ$18,MATCH(85,$B$29:$GQ$29,0))</f>
        <v/>
      </c>
      <c r="CI4">
        <f>INDEX($B$18:$GQ$18,MATCH(86,$B$29:$GQ$29,0))</f>
        <v/>
      </c>
      <c r="CJ4">
        <f>INDEX($B$18:$GQ$18,MATCH(87,$B$29:$GQ$29,0))</f>
        <v/>
      </c>
      <c r="CK4">
        <f>INDEX($B$18:$GQ$18,MATCH(88,$B$29:$GQ$29,0))</f>
        <v/>
      </c>
      <c r="CL4">
        <f>INDEX($B$18:$GQ$18,MATCH(89,$B$29:$GQ$29,0))</f>
        <v/>
      </c>
      <c r="CM4">
        <f>INDEX($B$18:$GQ$18,MATCH(90,$B$29:$GQ$29,0))</f>
        <v/>
      </c>
      <c r="CN4">
        <f>INDEX($B$18:$GQ$18,MATCH(91,$B$29:$GQ$29,0))</f>
        <v/>
      </c>
      <c r="CO4">
        <f>INDEX($B$18:$GQ$18,MATCH(92,$B$29:$GQ$29,0))</f>
        <v/>
      </c>
      <c r="CP4">
        <f>INDEX($B$18:$GQ$18,MATCH(93,$B$29:$GQ$29,0))</f>
        <v/>
      </c>
      <c r="CQ4">
        <f>INDEX($B$18:$GQ$18,MATCH(94,$B$29:$GQ$29,0))</f>
        <v/>
      </c>
      <c r="CR4">
        <f>INDEX($B$18:$GQ$18,MATCH(95,$B$29:$GQ$29,0))</f>
        <v/>
      </c>
      <c r="CS4">
        <f>INDEX($B$18:$GQ$18,MATCH(96,$B$29:$GQ$29,0))</f>
        <v/>
      </c>
      <c r="CT4">
        <f>INDEX($B$18:$GQ$18,MATCH(97,$B$29:$GQ$29,0))</f>
        <v/>
      </c>
      <c r="CU4">
        <f>INDEX($B$18:$GQ$18,MATCH(98,$B$29:$GQ$29,0))</f>
        <v/>
      </c>
      <c r="CV4">
        <f>INDEX($B$18:$GQ$18,MATCH(99,$B$29:$GQ$29,0))</f>
        <v/>
      </c>
      <c r="CW4">
        <f>INDEX($B$18:$GQ$18,MATCH(100,$B$29:$GQ$29,0))</f>
        <v/>
      </c>
      <c r="CX4">
        <f>INDEX($B$18:$GQ$18,MATCH(101,$B$29:$GQ$29,0))</f>
        <v/>
      </c>
      <c r="CY4">
        <f>INDEX($B$18:$GQ$18,MATCH(102,$B$29:$GQ$29,0))</f>
        <v/>
      </c>
      <c r="CZ4">
        <f>INDEX($B$18:$GQ$18,MATCH(103,$B$29:$GQ$29,0))</f>
        <v/>
      </c>
      <c r="DA4">
        <f>INDEX($B$18:$GQ$18,MATCH(104,$B$29:$GQ$29,0))</f>
        <v/>
      </c>
      <c r="DB4">
        <f>INDEX($B$18:$GQ$18,MATCH(105,$B$29:$GQ$29,0))</f>
        <v/>
      </c>
      <c r="DC4">
        <f>INDEX($B$18:$GQ$18,MATCH(106,$B$29:$GQ$29,0))</f>
        <v/>
      </c>
      <c r="DD4">
        <f>INDEX($B$18:$GQ$18,MATCH(107,$B$29:$GQ$29,0))</f>
        <v/>
      </c>
      <c r="DE4">
        <f>INDEX($B$18:$GQ$18,MATCH(108,$B$29:$GQ$29,0))</f>
        <v/>
      </c>
      <c r="DF4">
        <f>INDEX($B$18:$GQ$18,MATCH(109,$B$29:$GQ$29,0))</f>
        <v/>
      </c>
      <c r="DG4">
        <f>INDEX($B$18:$GQ$18,MATCH(110,$B$29:$GQ$29,0))</f>
        <v/>
      </c>
      <c r="DH4">
        <f>INDEX($B$18:$GQ$18,MATCH(111,$B$29:$GQ$29,0))</f>
        <v/>
      </c>
      <c r="DI4">
        <f>INDEX($B$18:$GQ$18,MATCH(112,$B$29:$GQ$29,0))</f>
        <v/>
      </c>
      <c r="DJ4">
        <f>INDEX($B$18:$GQ$18,MATCH(113,$B$29:$GQ$29,0))</f>
        <v/>
      </c>
      <c r="DK4">
        <f>INDEX($B$18:$GQ$18,MATCH(114,$B$29:$GQ$29,0))</f>
        <v/>
      </c>
      <c r="DL4">
        <f>INDEX($B$18:$GQ$18,MATCH(115,$B$29:$GQ$29,0))</f>
        <v/>
      </c>
      <c r="DM4">
        <f>INDEX($B$18:$GQ$18,MATCH(116,$B$29:$GQ$29,0))</f>
        <v/>
      </c>
      <c r="DN4">
        <f>INDEX($B$18:$GQ$18,MATCH(117,$B$29:$GQ$29,0))</f>
        <v/>
      </c>
      <c r="DO4">
        <f>INDEX($B$18:$GQ$18,MATCH(118,$B$29:$GQ$29,0))</f>
        <v/>
      </c>
      <c r="DP4">
        <f>INDEX($B$18:$GQ$18,MATCH(119,$B$29:$GQ$29,0))</f>
        <v/>
      </c>
      <c r="DQ4">
        <f>INDEX($B$18:$GQ$18,MATCH(120,$B$29:$GQ$29,0))</f>
        <v/>
      </c>
      <c r="DR4">
        <f>INDEX($B$18:$GQ$18,MATCH(121,$B$29:$GQ$29,0))</f>
        <v/>
      </c>
      <c r="DS4">
        <f>INDEX($B$18:$GQ$18,MATCH(122,$B$29:$GQ$29,0))</f>
        <v/>
      </c>
      <c r="DT4">
        <f>INDEX($B$18:$GQ$18,MATCH(123,$B$29:$GQ$29,0))</f>
        <v/>
      </c>
      <c r="DU4">
        <f>INDEX($B$18:$GQ$18,MATCH(124,$B$29:$GQ$29,0))</f>
        <v/>
      </c>
      <c r="DV4">
        <f>INDEX($B$18:$GQ$18,MATCH(125,$B$29:$GQ$29,0))</f>
        <v/>
      </c>
      <c r="DW4">
        <f>INDEX($B$18:$GQ$18,MATCH(126,$B$29:$GQ$29,0))</f>
        <v/>
      </c>
      <c r="DX4">
        <f>INDEX($B$18:$GQ$18,MATCH(127,$B$29:$GQ$29,0))</f>
        <v/>
      </c>
      <c r="DY4">
        <f>INDEX($B$18:$GQ$18,MATCH(128,$B$29:$GQ$29,0))</f>
        <v/>
      </c>
      <c r="DZ4">
        <f>INDEX($B$18:$GQ$18,MATCH(129,$B$29:$GQ$29,0))</f>
        <v/>
      </c>
      <c r="EA4">
        <f>INDEX($B$18:$GQ$18,MATCH(130,$B$29:$GQ$29,0))</f>
        <v/>
      </c>
      <c r="EB4">
        <f>INDEX($B$18:$GQ$18,MATCH(131,$B$29:$GQ$29,0))</f>
        <v/>
      </c>
      <c r="EC4">
        <f>INDEX($B$18:$GQ$18,MATCH(132,$B$29:$GQ$29,0))</f>
        <v/>
      </c>
      <c r="ED4">
        <f>INDEX($B$18:$GQ$18,MATCH(133,$B$29:$GQ$29,0))</f>
        <v/>
      </c>
      <c r="EE4">
        <f>INDEX($B$18:$GQ$18,MATCH(134,$B$29:$GQ$29,0))</f>
        <v/>
      </c>
      <c r="EF4">
        <f>INDEX($B$18:$GQ$18,MATCH(135,$B$29:$GQ$29,0))</f>
        <v/>
      </c>
      <c r="EG4">
        <f>INDEX($B$18:$GQ$18,MATCH(136,$B$29:$GQ$29,0))</f>
        <v/>
      </c>
      <c r="EH4">
        <f>INDEX($B$18:$GQ$18,MATCH(137,$B$29:$GQ$29,0))</f>
        <v/>
      </c>
      <c r="EI4">
        <f>INDEX($B$18:$GQ$18,MATCH(138,$B$29:$GQ$29,0))</f>
        <v/>
      </c>
      <c r="EJ4">
        <f>INDEX($B$18:$GQ$18,MATCH(139,$B$29:$GQ$29,0))</f>
        <v/>
      </c>
      <c r="EK4">
        <f>INDEX($B$18:$GQ$18,MATCH(140,$B$29:$GQ$29,0))</f>
        <v/>
      </c>
      <c r="EL4">
        <f>INDEX($B$18:$GQ$18,MATCH(141,$B$29:$GQ$29,0))</f>
        <v/>
      </c>
      <c r="EM4">
        <f>INDEX($B$18:$GQ$18,MATCH(142,$B$29:$GQ$29,0))</f>
        <v/>
      </c>
      <c r="EN4">
        <f>INDEX($B$18:$GQ$18,MATCH(143,$B$29:$GQ$29,0))</f>
        <v/>
      </c>
      <c r="EO4">
        <f>INDEX($B$18:$GQ$18,MATCH(144,$B$29:$GQ$29,0))</f>
        <v/>
      </c>
      <c r="EP4">
        <f>INDEX($B$18:$GQ$18,MATCH(145,$B$29:$GQ$29,0))</f>
        <v/>
      </c>
      <c r="EQ4">
        <f>INDEX($B$18:$GQ$18,MATCH(146,$B$29:$GQ$29,0))</f>
        <v/>
      </c>
      <c r="ER4">
        <f>INDEX($B$18:$GQ$18,MATCH(147,$B$29:$GQ$29,0))</f>
        <v/>
      </c>
      <c r="ES4">
        <f>INDEX($B$18:$GQ$18,MATCH(148,$B$29:$GQ$29,0))</f>
        <v/>
      </c>
      <c r="ET4">
        <f>INDEX($B$18:$GQ$18,MATCH(149,$B$29:$GQ$29,0))</f>
        <v/>
      </c>
      <c r="EU4">
        <f>INDEX($B$18:$GQ$18,MATCH(150,$B$29:$GQ$29,0))</f>
        <v/>
      </c>
      <c r="EV4">
        <f>INDEX($B$18:$GQ$18,MATCH(151,$B$29:$GQ$29,0))</f>
        <v/>
      </c>
      <c r="EW4">
        <f>INDEX($B$18:$GQ$18,MATCH(152,$B$29:$GQ$29,0))</f>
        <v/>
      </c>
      <c r="EX4">
        <f>INDEX($B$18:$GQ$18,MATCH(153,$B$29:$GQ$29,0))</f>
        <v/>
      </c>
      <c r="EY4">
        <f>INDEX($B$18:$GQ$18,MATCH(154,$B$29:$GQ$29,0))</f>
        <v/>
      </c>
      <c r="EZ4">
        <f>INDEX($B$18:$GQ$18,MATCH(155,$B$29:$GQ$29,0))</f>
        <v/>
      </c>
      <c r="FA4">
        <f>INDEX($B$18:$GQ$18,MATCH(156,$B$29:$GQ$29,0))</f>
        <v/>
      </c>
      <c r="FB4">
        <f>INDEX($B$18:$GQ$18,MATCH(157,$B$29:$GQ$29,0))</f>
        <v/>
      </c>
      <c r="FC4">
        <f>INDEX($B$18:$GQ$18,MATCH(158,$B$29:$GQ$29,0))</f>
        <v/>
      </c>
      <c r="FD4">
        <f>INDEX($B$18:$GQ$18,MATCH(159,$B$29:$GQ$29,0))</f>
        <v/>
      </c>
      <c r="FE4">
        <f>INDEX($B$18:$GQ$18,MATCH(160,$B$29:$GQ$29,0))</f>
        <v/>
      </c>
      <c r="FF4">
        <f>INDEX($B$18:$GQ$18,MATCH(161,$B$29:$GQ$29,0))</f>
        <v/>
      </c>
      <c r="FG4">
        <f>INDEX($B$18:$GQ$18,MATCH(162,$B$29:$GQ$29,0))</f>
        <v/>
      </c>
      <c r="FH4">
        <f>INDEX($B$18:$GQ$18,MATCH(163,$B$29:$GQ$29,0))</f>
        <v/>
      </c>
      <c r="FI4">
        <f>INDEX($B$18:$GQ$18,MATCH(164,$B$29:$GQ$29,0))</f>
        <v/>
      </c>
      <c r="FJ4">
        <f>INDEX($B$18:$GQ$18,MATCH(165,$B$29:$GQ$29,0))</f>
        <v/>
      </c>
      <c r="FK4">
        <f>INDEX($B$18:$GQ$18,MATCH(166,$B$29:$GQ$29,0))</f>
        <v/>
      </c>
      <c r="FL4">
        <f>INDEX($B$18:$GQ$18,MATCH(167,$B$29:$GQ$29,0))</f>
        <v/>
      </c>
      <c r="FM4">
        <f>INDEX($B$18:$GQ$18,MATCH(168,$B$29:$GQ$29,0))</f>
        <v/>
      </c>
      <c r="FN4">
        <f>INDEX($B$18:$GQ$18,MATCH(169,$B$29:$GQ$29,0))</f>
        <v/>
      </c>
      <c r="FO4">
        <f>INDEX($B$18:$GQ$18,MATCH(170,$B$29:$GQ$29,0))</f>
        <v/>
      </c>
      <c r="FP4">
        <f>INDEX($B$18:$GQ$18,MATCH(171,$B$29:$GQ$29,0))</f>
        <v/>
      </c>
      <c r="FQ4">
        <f>INDEX($B$18:$GQ$18,MATCH(172,$B$29:$GQ$29,0))</f>
        <v/>
      </c>
      <c r="FR4">
        <f>INDEX($B$18:$GQ$18,MATCH(173,$B$29:$GQ$29,0))</f>
        <v/>
      </c>
      <c r="FS4">
        <f>INDEX($B$18:$GQ$18,MATCH(174,$B$29:$GQ$29,0))</f>
        <v/>
      </c>
      <c r="FT4">
        <f>INDEX($B$18:$GQ$18,MATCH(175,$B$29:$GQ$29,0))</f>
        <v/>
      </c>
      <c r="FU4">
        <f>INDEX($B$18:$GQ$18,MATCH(176,$B$29:$GQ$29,0))</f>
        <v/>
      </c>
      <c r="FV4">
        <f>INDEX($B$18:$GQ$18,MATCH(177,$B$29:$GQ$29,0))</f>
        <v/>
      </c>
      <c r="FW4">
        <f>INDEX($B$18:$GQ$18,MATCH(178,$B$29:$GQ$29,0))</f>
        <v/>
      </c>
      <c r="FX4">
        <f>INDEX($B$18:$GQ$18,MATCH(179,$B$29:$GQ$29,0))</f>
        <v/>
      </c>
      <c r="FY4">
        <f>INDEX($B$18:$GQ$18,MATCH(180,$B$29:$GQ$29,0))</f>
        <v/>
      </c>
      <c r="FZ4">
        <f>INDEX($B$18:$GQ$18,MATCH(181,$B$29:$GQ$29,0))</f>
        <v/>
      </c>
      <c r="GA4">
        <f>INDEX($B$18:$GQ$18,MATCH(182,$B$29:$GQ$29,0))</f>
        <v/>
      </c>
      <c r="GB4">
        <f>INDEX($B$18:$GQ$18,MATCH(183,$B$29:$GQ$29,0))</f>
        <v/>
      </c>
      <c r="GC4">
        <f>INDEX($B$18:$GQ$18,MATCH(184,$B$29:$GQ$29,0))</f>
        <v/>
      </c>
      <c r="GD4">
        <f>INDEX($B$18:$GQ$18,MATCH(185,$B$29:$GQ$29,0))</f>
        <v/>
      </c>
      <c r="GE4">
        <f>INDEX($B$18:$GQ$18,MATCH(186,$B$29:$GQ$29,0))</f>
        <v/>
      </c>
      <c r="GF4">
        <f>INDEX($B$18:$GQ$18,MATCH(187,$B$29:$GQ$29,0))</f>
        <v/>
      </c>
      <c r="GG4">
        <f>INDEX($B$18:$GQ$18,MATCH(188,$B$29:$GQ$29,0))</f>
        <v/>
      </c>
      <c r="GH4">
        <f>INDEX($B$18:$GQ$18,MATCH(189,$B$29:$GQ$29,0))</f>
        <v/>
      </c>
      <c r="GI4">
        <f>INDEX($B$18:$GQ$18,MATCH(190,$B$29:$GQ$29,0))</f>
        <v/>
      </c>
      <c r="GJ4">
        <f>INDEX($B$18:$GQ$18,MATCH(191,$B$29:$GQ$29,0))</f>
        <v/>
      </c>
      <c r="GK4">
        <f>INDEX($B$18:$GQ$18,MATCH(192,$B$29:$GQ$29,0))</f>
        <v/>
      </c>
      <c r="GL4">
        <f>INDEX($B$18:$GQ$18,MATCH(193,$B$29:$GQ$29,0))</f>
        <v/>
      </c>
      <c r="GM4">
        <f>INDEX($B$18:$GQ$18,MATCH(194,$B$29:$GQ$29,0))</f>
        <v/>
      </c>
      <c r="GN4">
        <f>INDEX($B$18:$GQ$18,MATCH(195,$B$29:$GQ$29,0))</f>
        <v/>
      </c>
      <c r="GO4">
        <f>INDEX($B$18:$GQ$18,MATCH(196,$B$29:$GQ$29,0))</f>
        <v/>
      </c>
      <c r="GP4">
        <f>INDEX($B$18:$GQ$18,MATCH(197,$B$29:$GQ$29,0))</f>
        <v/>
      </c>
      <c r="GQ4">
        <f>INDEX($B$18:$GQ$18,MATCH(198,$B$29:$GQ$29,0))</f>
        <v/>
      </c>
      <c r="GR4">
        <f>INDEX($GR$18:$HC$18,MATCH(1,$GR$30:$HC$30,0))</f>
        <v/>
      </c>
      <c r="GS4">
        <f>INDEX($GR$18:$HC$18,MATCH(2,$GR$30:$HC$30,0))</f>
        <v/>
      </c>
      <c r="GT4">
        <f>INDEX($GR$18:$HC$18,MATCH(3,$GR$30:$HC$30,0))</f>
        <v/>
      </c>
      <c r="GU4">
        <f>INDEX($GR$18:$HC$18,MATCH(4,$GR$30:$HC$30,0))</f>
        <v/>
      </c>
      <c r="GV4">
        <f>INDEX($GR$18:$HC$18,MATCH(5,$GR$30:$HC$30,0))</f>
        <v/>
      </c>
      <c r="GW4">
        <f>INDEX($GR$18:$HC$18,MATCH(6,$GR$30:$HC$30,0))</f>
        <v/>
      </c>
      <c r="GX4">
        <f>INDEX($GR$18:$HC$18,MATCH(7,$GR$30:$HC$30,0))</f>
        <v/>
      </c>
      <c r="GY4">
        <f>INDEX($GR$18:$HC$18,MATCH(8,$GR$30:$HC$30,0))</f>
        <v/>
      </c>
      <c r="GZ4">
        <f>INDEX($GR$18:$HC$18,MATCH(9,$GR$30:$HC$30,0))</f>
        <v/>
      </c>
      <c r="HA4">
        <f>INDEX($GR$18:$HC$18,MATCH(10,$GR$30:$HC$30,0))</f>
        <v/>
      </c>
      <c r="HB4">
        <f>INDEX($GR$18:$HC$18,MATCH(11,$GR$30:$HC$30,0))</f>
        <v/>
      </c>
      <c r="HC4">
        <f>INDEX($GR$18:$HC$18,MATCH(12,$GR$30:$HC$30,0))</f>
        <v/>
      </c>
    </row>
    <row r="5">
      <c r="A5" s="1" t="inlineStr">
        <is>
          <t>M_dom</t>
        </is>
      </c>
      <c r="B5">
        <f>INDEX($B$19:$GQ$19,MATCH(1,$B$29:$GQ$29,0))</f>
        <v/>
      </c>
      <c r="C5">
        <f>INDEX($B$19:$GQ$19,MATCH(2,$B$29:$GQ$29,0))</f>
        <v/>
      </c>
      <c r="D5">
        <f>INDEX($B$19:$GQ$19,MATCH(3,$B$29:$GQ$29,0))</f>
        <v/>
      </c>
      <c r="E5">
        <f>INDEX($B$19:$GQ$19,MATCH(4,$B$29:$GQ$29,0))</f>
        <v/>
      </c>
      <c r="F5">
        <f>INDEX($B$19:$GQ$19,MATCH(5,$B$29:$GQ$29,0))</f>
        <v/>
      </c>
      <c r="G5">
        <f>INDEX($B$19:$GQ$19,MATCH(6,$B$29:$GQ$29,0))</f>
        <v/>
      </c>
      <c r="H5">
        <f>INDEX($B$19:$GQ$19,MATCH(7,$B$29:$GQ$29,0))</f>
        <v/>
      </c>
      <c r="I5">
        <f>INDEX($B$19:$GQ$19,MATCH(8,$B$29:$GQ$29,0))</f>
        <v/>
      </c>
      <c r="J5">
        <f>INDEX($B$19:$GQ$19,MATCH(9,$B$29:$GQ$29,0))</f>
        <v/>
      </c>
      <c r="K5">
        <f>INDEX($B$19:$GQ$19,MATCH(10,$B$29:$GQ$29,0))</f>
        <v/>
      </c>
      <c r="L5">
        <f>INDEX($B$19:$GQ$19,MATCH(11,$B$29:$GQ$29,0))</f>
        <v/>
      </c>
      <c r="M5">
        <f>INDEX($B$19:$GQ$19,MATCH(12,$B$29:$GQ$29,0))</f>
        <v/>
      </c>
      <c r="N5">
        <f>INDEX($B$19:$GQ$19,MATCH(13,$B$29:$GQ$29,0))</f>
        <v/>
      </c>
      <c r="O5">
        <f>INDEX($B$19:$GQ$19,MATCH(14,$B$29:$GQ$29,0))</f>
        <v/>
      </c>
      <c r="P5">
        <f>INDEX($B$19:$GQ$19,MATCH(15,$B$29:$GQ$29,0))</f>
        <v/>
      </c>
      <c r="Q5">
        <f>INDEX($B$19:$GQ$19,MATCH(16,$B$29:$GQ$29,0))</f>
        <v/>
      </c>
      <c r="R5">
        <f>INDEX($B$19:$GQ$19,MATCH(17,$B$29:$GQ$29,0))</f>
        <v/>
      </c>
      <c r="S5">
        <f>INDEX($B$19:$GQ$19,MATCH(18,$B$29:$GQ$29,0))</f>
        <v/>
      </c>
      <c r="T5">
        <f>INDEX($B$19:$GQ$19,MATCH(19,$B$29:$GQ$29,0))</f>
        <v/>
      </c>
      <c r="U5">
        <f>INDEX($B$19:$GQ$19,MATCH(20,$B$29:$GQ$29,0))</f>
        <v/>
      </c>
      <c r="V5">
        <f>INDEX($B$19:$GQ$19,MATCH(21,$B$29:$GQ$29,0))</f>
        <v/>
      </c>
      <c r="W5">
        <f>INDEX($B$19:$GQ$19,MATCH(22,$B$29:$GQ$29,0))</f>
        <v/>
      </c>
      <c r="X5">
        <f>INDEX($B$19:$GQ$19,MATCH(23,$B$29:$GQ$29,0))</f>
        <v/>
      </c>
      <c r="Y5">
        <f>INDEX($B$19:$GQ$19,MATCH(24,$B$29:$GQ$29,0))</f>
        <v/>
      </c>
      <c r="Z5">
        <f>INDEX($B$19:$GQ$19,MATCH(25,$B$29:$GQ$29,0))</f>
        <v/>
      </c>
      <c r="AA5">
        <f>INDEX($B$19:$GQ$19,MATCH(26,$B$29:$GQ$29,0))</f>
        <v/>
      </c>
      <c r="AB5">
        <f>INDEX($B$19:$GQ$19,MATCH(27,$B$29:$GQ$29,0))</f>
        <v/>
      </c>
      <c r="AC5">
        <f>INDEX($B$19:$GQ$19,MATCH(28,$B$29:$GQ$29,0))</f>
        <v/>
      </c>
      <c r="AD5">
        <f>INDEX($B$19:$GQ$19,MATCH(29,$B$29:$GQ$29,0))</f>
        <v/>
      </c>
      <c r="AE5">
        <f>INDEX($B$19:$GQ$19,MATCH(30,$B$29:$GQ$29,0))</f>
        <v/>
      </c>
      <c r="AF5">
        <f>INDEX($B$19:$GQ$19,MATCH(31,$B$29:$GQ$29,0))</f>
        <v/>
      </c>
      <c r="AG5">
        <f>INDEX($B$19:$GQ$19,MATCH(32,$B$29:$GQ$29,0))</f>
        <v/>
      </c>
      <c r="AH5">
        <f>INDEX($B$19:$GQ$19,MATCH(33,$B$29:$GQ$29,0))</f>
        <v/>
      </c>
      <c r="AI5">
        <f>INDEX($B$19:$GQ$19,MATCH(34,$B$29:$GQ$29,0))</f>
        <v/>
      </c>
      <c r="AJ5">
        <f>INDEX($B$19:$GQ$19,MATCH(35,$B$29:$GQ$29,0))</f>
        <v/>
      </c>
      <c r="AK5">
        <f>INDEX($B$19:$GQ$19,MATCH(36,$B$29:$GQ$29,0))</f>
        <v/>
      </c>
      <c r="AL5">
        <f>INDEX($B$19:$GQ$19,MATCH(37,$B$29:$GQ$29,0))</f>
        <v/>
      </c>
      <c r="AM5">
        <f>INDEX($B$19:$GQ$19,MATCH(38,$B$29:$GQ$29,0))</f>
        <v/>
      </c>
      <c r="AN5">
        <f>INDEX($B$19:$GQ$19,MATCH(39,$B$29:$GQ$29,0))</f>
        <v/>
      </c>
      <c r="AO5">
        <f>INDEX($B$19:$GQ$19,MATCH(40,$B$29:$GQ$29,0))</f>
        <v/>
      </c>
      <c r="AP5">
        <f>INDEX($B$19:$GQ$19,MATCH(41,$B$29:$GQ$29,0))</f>
        <v/>
      </c>
      <c r="AQ5">
        <f>INDEX($B$19:$GQ$19,MATCH(42,$B$29:$GQ$29,0))</f>
        <v/>
      </c>
      <c r="AR5">
        <f>INDEX($B$19:$GQ$19,MATCH(43,$B$29:$GQ$29,0))</f>
        <v/>
      </c>
      <c r="AS5">
        <f>INDEX($B$19:$GQ$19,MATCH(44,$B$29:$GQ$29,0))</f>
        <v/>
      </c>
      <c r="AT5">
        <f>INDEX($B$19:$GQ$19,MATCH(45,$B$29:$GQ$29,0))</f>
        <v/>
      </c>
      <c r="AU5">
        <f>INDEX($B$19:$GQ$19,MATCH(46,$B$29:$GQ$29,0))</f>
        <v/>
      </c>
      <c r="AV5">
        <f>INDEX($B$19:$GQ$19,MATCH(47,$B$29:$GQ$29,0))</f>
        <v/>
      </c>
      <c r="AW5">
        <f>INDEX($B$19:$GQ$19,MATCH(48,$B$29:$GQ$29,0))</f>
        <v/>
      </c>
      <c r="AX5">
        <f>INDEX($B$19:$GQ$19,MATCH(49,$B$29:$GQ$29,0))</f>
        <v/>
      </c>
      <c r="AY5">
        <f>INDEX($B$19:$GQ$19,MATCH(50,$B$29:$GQ$29,0))</f>
        <v/>
      </c>
      <c r="AZ5">
        <f>INDEX($B$19:$GQ$19,MATCH(51,$B$29:$GQ$29,0))</f>
        <v/>
      </c>
      <c r="BA5">
        <f>INDEX($B$19:$GQ$19,MATCH(52,$B$29:$GQ$29,0))</f>
        <v/>
      </c>
      <c r="BB5">
        <f>INDEX($B$19:$GQ$19,MATCH(53,$B$29:$GQ$29,0))</f>
        <v/>
      </c>
      <c r="BC5">
        <f>INDEX($B$19:$GQ$19,MATCH(54,$B$29:$GQ$29,0))</f>
        <v/>
      </c>
      <c r="BD5">
        <f>INDEX($B$19:$GQ$19,MATCH(55,$B$29:$GQ$29,0))</f>
        <v/>
      </c>
      <c r="BE5">
        <f>INDEX($B$19:$GQ$19,MATCH(56,$B$29:$GQ$29,0))</f>
        <v/>
      </c>
      <c r="BF5">
        <f>INDEX($B$19:$GQ$19,MATCH(57,$B$29:$GQ$29,0))</f>
        <v/>
      </c>
      <c r="BG5">
        <f>INDEX($B$19:$GQ$19,MATCH(58,$B$29:$GQ$29,0))</f>
        <v/>
      </c>
      <c r="BH5">
        <f>INDEX($B$19:$GQ$19,MATCH(59,$B$29:$GQ$29,0))</f>
        <v/>
      </c>
      <c r="BI5">
        <f>INDEX($B$19:$GQ$19,MATCH(60,$B$29:$GQ$29,0))</f>
        <v/>
      </c>
      <c r="BJ5">
        <f>INDEX($B$19:$GQ$19,MATCH(61,$B$29:$GQ$29,0))</f>
        <v/>
      </c>
      <c r="BK5">
        <f>INDEX($B$19:$GQ$19,MATCH(62,$B$29:$GQ$29,0))</f>
        <v/>
      </c>
      <c r="BL5">
        <f>INDEX($B$19:$GQ$19,MATCH(63,$B$29:$GQ$29,0))</f>
        <v/>
      </c>
      <c r="BM5">
        <f>INDEX($B$19:$GQ$19,MATCH(64,$B$29:$GQ$29,0))</f>
        <v/>
      </c>
      <c r="BN5">
        <f>INDEX($B$19:$GQ$19,MATCH(65,$B$29:$GQ$29,0))</f>
        <v/>
      </c>
      <c r="BO5">
        <f>INDEX($B$19:$GQ$19,MATCH(66,$B$29:$GQ$29,0))</f>
        <v/>
      </c>
      <c r="BP5">
        <f>INDEX($B$19:$GQ$19,MATCH(67,$B$29:$GQ$29,0))</f>
        <v/>
      </c>
      <c r="BQ5">
        <f>INDEX($B$19:$GQ$19,MATCH(68,$B$29:$GQ$29,0))</f>
        <v/>
      </c>
      <c r="BR5">
        <f>INDEX($B$19:$GQ$19,MATCH(69,$B$29:$GQ$29,0))</f>
        <v/>
      </c>
      <c r="BS5">
        <f>INDEX($B$19:$GQ$19,MATCH(70,$B$29:$GQ$29,0))</f>
        <v/>
      </c>
      <c r="BT5">
        <f>INDEX($B$19:$GQ$19,MATCH(71,$B$29:$GQ$29,0))</f>
        <v/>
      </c>
      <c r="BU5">
        <f>INDEX($B$19:$GQ$19,MATCH(72,$B$29:$GQ$29,0))</f>
        <v/>
      </c>
      <c r="BV5">
        <f>INDEX($B$19:$GQ$19,MATCH(73,$B$29:$GQ$29,0))</f>
        <v/>
      </c>
      <c r="BW5">
        <f>INDEX($B$19:$GQ$19,MATCH(74,$B$29:$GQ$29,0))</f>
        <v/>
      </c>
      <c r="BX5">
        <f>INDEX($B$19:$GQ$19,MATCH(75,$B$29:$GQ$29,0))</f>
        <v/>
      </c>
      <c r="BY5">
        <f>INDEX($B$19:$GQ$19,MATCH(76,$B$29:$GQ$29,0))</f>
        <v/>
      </c>
      <c r="BZ5">
        <f>INDEX($B$19:$GQ$19,MATCH(77,$B$29:$GQ$29,0))</f>
        <v/>
      </c>
      <c r="CA5">
        <f>INDEX($B$19:$GQ$19,MATCH(78,$B$29:$GQ$29,0))</f>
        <v/>
      </c>
      <c r="CB5">
        <f>INDEX($B$19:$GQ$19,MATCH(79,$B$29:$GQ$29,0))</f>
        <v/>
      </c>
      <c r="CC5">
        <f>INDEX($B$19:$GQ$19,MATCH(80,$B$29:$GQ$29,0))</f>
        <v/>
      </c>
      <c r="CD5">
        <f>INDEX($B$19:$GQ$19,MATCH(81,$B$29:$GQ$29,0))</f>
        <v/>
      </c>
      <c r="CE5">
        <f>INDEX($B$19:$GQ$19,MATCH(82,$B$29:$GQ$29,0))</f>
        <v/>
      </c>
      <c r="CF5">
        <f>INDEX($B$19:$GQ$19,MATCH(83,$B$29:$GQ$29,0))</f>
        <v/>
      </c>
      <c r="CG5">
        <f>INDEX($B$19:$GQ$19,MATCH(84,$B$29:$GQ$29,0))</f>
        <v/>
      </c>
      <c r="CH5">
        <f>INDEX($B$19:$GQ$19,MATCH(85,$B$29:$GQ$29,0))</f>
        <v/>
      </c>
      <c r="CI5">
        <f>INDEX($B$19:$GQ$19,MATCH(86,$B$29:$GQ$29,0))</f>
        <v/>
      </c>
      <c r="CJ5">
        <f>INDEX($B$19:$GQ$19,MATCH(87,$B$29:$GQ$29,0))</f>
        <v/>
      </c>
      <c r="CK5">
        <f>INDEX($B$19:$GQ$19,MATCH(88,$B$29:$GQ$29,0))</f>
        <v/>
      </c>
      <c r="CL5">
        <f>INDEX($B$19:$GQ$19,MATCH(89,$B$29:$GQ$29,0))</f>
        <v/>
      </c>
      <c r="CM5">
        <f>INDEX($B$19:$GQ$19,MATCH(90,$B$29:$GQ$29,0))</f>
        <v/>
      </c>
      <c r="CN5">
        <f>INDEX($B$19:$GQ$19,MATCH(91,$B$29:$GQ$29,0))</f>
        <v/>
      </c>
      <c r="CO5">
        <f>INDEX($B$19:$GQ$19,MATCH(92,$B$29:$GQ$29,0))</f>
        <v/>
      </c>
      <c r="CP5">
        <f>INDEX($B$19:$GQ$19,MATCH(93,$B$29:$GQ$29,0))</f>
        <v/>
      </c>
      <c r="CQ5">
        <f>INDEX($B$19:$GQ$19,MATCH(94,$B$29:$GQ$29,0))</f>
        <v/>
      </c>
      <c r="CR5">
        <f>INDEX($B$19:$GQ$19,MATCH(95,$B$29:$GQ$29,0))</f>
        <v/>
      </c>
      <c r="CS5">
        <f>INDEX($B$19:$GQ$19,MATCH(96,$B$29:$GQ$29,0))</f>
        <v/>
      </c>
      <c r="CT5">
        <f>INDEX($B$19:$GQ$19,MATCH(97,$B$29:$GQ$29,0))</f>
        <v/>
      </c>
      <c r="CU5">
        <f>INDEX($B$19:$GQ$19,MATCH(98,$B$29:$GQ$29,0))</f>
        <v/>
      </c>
      <c r="CV5">
        <f>INDEX($B$19:$GQ$19,MATCH(99,$B$29:$GQ$29,0))</f>
        <v/>
      </c>
      <c r="CW5">
        <f>INDEX($B$19:$GQ$19,MATCH(100,$B$29:$GQ$29,0))</f>
        <v/>
      </c>
      <c r="CX5">
        <f>INDEX($B$19:$GQ$19,MATCH(101,$B$29:$GQ$29,0))</f>
        <v/>
      </c>
      <c r="CY5">
        <f>INDEX($B$19:$GQ$19,MATCH(102,$B$29:$GQ$29,0))</f>
        <v/>
      </c>
      <c r="CZ5">
        <f>INDEX($B$19:$GQ$19,MATCH(103,$B$29:$GQ$29,0))</f>
        <v/>
      </c>
      <c r="DA5">
        <f>INDEX($B$19:$GQ$19,MATCH(104,$B$29:$GQ$29,0))</f>
        <v/>
      </c>
      <c r="DB5">
        <f>INDEX($B$19:$GQ$19,MATCH(105,$B$29:$GQ$29,0))</f>
        <v/>
      </c>
      <c r="DC5">
        <f>INDEX($B$19:$GQ$19,MATCH(106,$B$29:$GQ$29,0))</f>
        <v/>
      </c>
      <c r="DD5">
        <f>INDEX($B$19:$GQ$19,MATCH(107,$B$29:$GQ$29,0))</f>
        <v/>
      </c>
      <c r="DE5">
        <f>INDEX($B$19:$GQ$19,MATCH(108,$B$29:$GQ$29,0))</f>
        <v/>
      </c>
      <c r="DF5">
        <f>INDEX($B$19:$GQ$19,MATCH(109,$B$29:$GQ$29,0))</f>
        <v/>
      </c>
      <c r="DG5">
        <f>INDEX($B$19:$GQ$19,MATCH(110,$B$29:$GQ$29,0))</f>
        <v/>
      </c>
      <c r="DH5">
        <f>INDEX($B$19:$GQ$19,MATCH(111,$B$29:$GQ$29,0))</f>
        <v/>
      </c>
      <c r="DI5">
        <f>INDEX($B$19:$GQ$19,MATCH(112,$B$29:$GQ$29,0))</f>
        <v/>
      </c>
      <c r="DJ5">
        <f>INDEX($B$19:$GQ$19,MATCH(113,$B$29:$GQ$29,0))</f>
        <v/>
      </c>
      <c r="DK5">
        <f>INDEX($B$19:$GQ$19,MATCH(114,$B$29:$GQ$29,0))</f>
        <v/>
      </c>
      <c r="DL5">
        <f>INDEX($B$19:$GQ$19,MATCH(115,$B$29:$GQ$29,0))</f>
        <v/>
      </c>
      <c r="DM5">
        <f>INDEX($B$19:$GQ$19,MATCH(116,$B$29:$GQ$29,0))</f>
        <v/>
      </c>
      <c r="DN5">
        <f>INDEX($B$19:$GQ$19,MATCH(117,$B$29:$GQ$29,0))</f>
        <v/>
      </c>
      <c r="DO5">
        <f>INDEX($B$19:$GQ$19,MATCH(118,$B$29:$GQ$29,0))</f>
        <v/>
      </c>
      <c r="DP5">
        <f>INDEX($B$19:$GQ$19,MATCH(119,$B$29:$GQ$29,0))</f>
        <v/>
      </c>
      <c r="DQ5">
        <f>INDEX($B$19:$GQ$19,MATCH(120,$B$29:$GQ$29,0))</f>
        <v/>
      </c>
      <c r="DR5">
        <f>INDEX($B$19:$GQ$19,MATCH(121,$B$29:$GQ$29,0))</f>
        <v/>
      </c>
      <c r="DS5">
        <f>INDEX($B$19:$GQ$19,MATCH(122,$B$29:$GQ$29,0))</f>
        <v/>
      </c>
      <c r="DT5">
        <f>INDEX($B$19:$GQ$19,MATCH(123,$B$29:$GQ$29,0))</f>
        <v/>
      </c>
      <c r="DU5">
        <f>INDEX($B$19:$GQ$19,MATCH(124,$B$29:$GQ$29,0))</f>
        <v/>
      </c>
      <c r="DV5">
        <f>INDEX($B$19:$GQ$19,MATCH(125,$B$29:$GQ$29,0))</f>
        <v/>
      </c>
      <c r="DW5">
        <f>INDEX($B$19:$GQ$19,MATCH(126,$B$29:$GQ$29,0))</f>
        <v/>
      </c>
      <c r="DX5">
        <f>INDEX($B$19:$GQ$19,MATCH(127,$B$29:$GQ$29,0))</f>
        <v/>
      </c>
      <c r="DY5">
        <f>INDEX($B$19:$GQ$19,MATCH(128,$B$29:$GQ$29,0))</f>
        <v/>
      </c>
      <c r="DZ5">
        <f>INDEX($B$19:$GQ$19,MATCH(129,$B$29:$GQ$29,0))</f>
        <v/>
      </c>
      <c r="EA5">
        <f>INDEX($B$19:$GQ$19,MATCH(130,$B$29:$GQ$29,0))</f>
        <v/>
      </c>
      <c r="EB5">
        <f>INDEX($B$19:$GQ$19,MATCH(131,$B$29:$GQ$29,0))</f>
        <v/>
      </c>
      <c r="EC5">
        <f>INDEX($B$19:$GQ$19,MATCH(132,$B$29:$GQ$29,0))</f>
        <v/>
      </c>
      <c r="ED5">
        <f>INDEX($B$19:$GQ$19,MATCH(133,$B$29:$GQ$29,0))</f>
        <v/>
      </c>
      <c r="EE5">
        <f>INDEX($B$19:$GQ$19,MATCH(134,$B$29:$GQ$29,0))</f>
        <v/>
      </c>
      <c r="EF5">
        <f>INDEX($B$19:$GQ$19,MATCH(135,$B$29:$GQ$29,0))</f>
        <v/>
      </c>
      <c r="EG5">
        <f>INDEX($B$19:$GQ$19,MATCH(136,$B$29:$GQ$29,0))</f>
        <v/>
      </c>
      <c r="EH5">
        <f>INDEX($B$19:$GQ$19,MATCH(137,$B$29:$GQ$29,0))</f>
        <v/>
      </c>
      <c r="EI5">
        <f>INDEX($B$19:$GQ$19,MATCH(138,$B$29:$GQ$29,0))</f>
        <v/>
      </c>
      <c r="EJ5">
        <f>INDEX($B$19:$GQ$19,MATCH(139,$B$29:$GQ$29,0))</f>
        <v/>
      </c>
      <c r="EK5">
        <f>INDEX($B$19:$GQ$19,MATCH(140,$B$29:$GQ$29,0))</f>
        <v/>
      </c>
      <c r="EL5">
        <f>INDEX($B$19:$GQ$19,MATCH(141,$B$29:$GQ$29,0))</f>
        <v/>
      </c>
      <c r="EM5">
        <f>INDEX($B$19:$GQ$19,MATCH(142,$B$29:$GQ$29,0))</f>
        <v/>
      </c>
      <c r="EN5">
        <f>INDEX($B$19:$GQ$19,MATCH(143,$B$29:$GQ$29,0))</f>
        <v/>
      </c>
      <c r="EO5">
        <f>INDEX($B$19:$GQ$19,MATCH(144,$B$29:$GQ$29,0))</f>
        <v/>
      </c>
      <c r="EP5">
        <f>INDEX($B$19:$GQ$19,MATCH(145,$B$29:$GQ$29,0))</f>
        <v/>
      </c>
      <c r="EQ5">
        <f>INDEX($B$19:$GQ$19,MATCH(146,$B$29:$GQ$29,0))</f>
        <v/>
      </c>
      <c r="ER5">
        <f>INDEX($B$19:$GQ$19,MATCH(147,$B$29:$GQ$29,0))</f>
        <v/>
      </c>
      <c r="ES5">
        <f>INDEX($B$19:$GQ$19,MATCH(148,$B$29:$GQ$29,0))</f>
        <v/>
      </c>
      <c r="ET5">
        <f>INDEX($B$19:$GQ$19,MATCH(149,$B$29:$GQ$29,0))</f>
        <v/>
      </c>
      <c r="EU5">
        <f>INDEX($B$19:$GQ$19,MATCH(150,$B$29:$GQ$29,0))</f>
        <v/>
      </c>
      <c r="EV5">
        <f>INDEX($B$19:$GQ$19,MATCH(151,$B$29:$GQ$29,0))</f>
        <v/>
      </c>
      <c r="EW5">
        <f>INDEX($B$19:$GQ$19,MATCH(152,$B$29:$GQ$29,0))</f>
        <v/>
      </c>
      <c r="EX5">
        <f>INDEX($B$19:$GQ$19,MATCH(153,$B$29:$GQ$29,0))</f>
        <v/>
      </c>
      <c r="EY5">
        <f>INDEX($B$19:$GQ$19,MATCH(154,$B$29:$GQ$29,0))</f>
        <v/>
      </c>
      <c r="EZ5">
        <f>INDEX($B$19:$GQ$19,MATCH(155,$B$29:$GQ$29,0))</f>
        <v/>
      </c>
      <c r="FA5">
        <f>INDEX($B$19:$GQ$19,MATCH(156,$B$29:$GQ$29,0))</f>
        <v/>
      </c>
      <c r="FB5">
        <f>INDEX($B$19:$GQ$19,MATCH(157,$B$29:$GQ$29,0))</f>
        <v/>
      </c>
      <c r="FC5">
        <f>INDEX($B$19:$GQ$19,MATCH(158,$B$29:$GQ$29,0))</f>
        <v/>
      </c>
      <c r="FD5">
        <f>INDEX($B$19:$GQ$19,MATCH(159,$B$29:$GQ$29,0))</f>
        <v/>
      </c>
      <c r="FE5">
        <f>INDEX($B$19:$GQ$19,MATCH(160,$B$29:$GQ$29,0))</f>
        <v/>
      </c>
      <c r="FF5">
        <f>INDEX($B$19:$GQ$19,MATCH(161,$B$29:$GQ$29,0))</f>
        <v/>
      </c>
      <c r="FG5">
        <f>INDEX($B$19:$GQ$19,MATCH(162,$B$29:$GQ$29,0))</f>
        <v/>
      </c>
      <c r="FH5">
        <f>INDEX($B$19:$GQ$19,MATCH(163,$B$29:$GQ$29,0))</f>
        <v/>
      </c>
      <c r="FI5">
        <f>INDEX($B$19:$GQ$19,MATCH(164,$B$29:$GQ$29,0))</f>
        <v/>
      </c>
      <c r="FJ5">
        <f>INDEX($B$19:$GQ$19,MATCH(165,$B$29:$GQ$29,0))</f>
        <v/>
      </c>
      <c r="FK5">
        <f>INDEX($B$19:$GQ$19,MATCH(166,$B$29:$GQ$29,0))</f>
        <v/>
      </c>
      <c r="FL5">
        <f>INDEX($B$19:$GQ$19,MATCH(167,$B$29:$GQ$29,0))</f>
        <v/>
      </c>
      <c r="FM5">
        <f>INDEX($B$19:$GQ$19,MATCH(168,$B$29:$GQ$29,0))</f>
        <v/>
      </c>
      <c r="FN5">
        <f>INDEX($B$19:$GQ$19,MATCH(169,$B$29:$GQ$29,0))</f>
        <v/>
      </c>
      <c r="FO5">
        <f>INDEX($B$19:$GQ$19,MATCH(170,$B$29:$GQ$29,0))</f>
        <v/>
      </c>
      <c r="FP5">
        <f>INDEX($B$19:$GQ$19,MATCH(171,$B$29:$GQ$29,0))</f>
        <v/>
      </c>
      <c r="FQ5">
        <f>INDEX($B$19:$GQ$19,MATCH(172,$B$29:$GQ$29,0))</f>
        <v/>
      </c>
      <c r="FR5">
        <f>INDEX($B$19:$GQ$19,MATCH(173,$B$29:$GQ$29,0))</f>
        <v/>
      </c>
      <c r="FS5">
        <f>INDEX($B$19:$GQ$19,MATCH(174,$B$29:$GQ$29,0))</f>
        <v/>
      </c>
      <c r="FT5">
        <f>INDEX($B$19:$GQ$19,MATCH(175,$B$29:$GQ$29,0))</f>
        <v/>
      </c>
      <c r="FU5">
        <f>INDEX($B$19:$GQ$19,MATCH(176,$B$29:$GQ$29,0))</f>
        <v/>
      </c>
      <c r="FV5">
        <f>INDEX($B$19:$GQ$19,MATCH(177,$B$29:$GQ$29,0))</f>
        <v/>
      </c>
      <c r="FW5">
        <f>INDEX($B$19:$GQ$19,MATCH(178,$B$29:$GQ$29,0))</f>
        <v/>
      </c>
      <c r="FX5">
        <f>INDEX($B$19:$GQ$19,MATCH(179,$B$29:$GQ$29,0))</f>
        <v/>
      </c>
      <c r="FY5">
        <f>INDEX($B$19:$GQ$19,MATCH(180,$B$29:$GQ$29,0))</f>
        <v/>
      </c>
      <c r="FZ5">
        <f>INDEX($B$19:$GQ$19,MATCH(181,$B$29:$GQ$29,0))</f>
        <v/>
      </c>
      <c r="GA5">
        <f>INDEX($B$19:$GQ$19,MATCH(182,$B$29:$GQ$29,0))</f>
        <v/>
      </c>
      <c r="GB5">
        <f>INDEX($B$19:$GQ$19,MATCH(183,$B$29:$GQ$29,0))</f>
        <v/>
      </c>
      <c r="GC5">
        <f>INDEX($B$19:$GQ$19,MATCH(184,$B$29:$GQ$29,0))</f>
        <v/>
      </c>
      <c r="GD5">
        <f>INDEX($B$19:$GQ$19,MATCH(185,$B$29:$GQ$29,0))</f>
        <v/>
      </c>
      <c r="GE5">
        <f>INDEX($B$19:$GQ$19,MATCH(186,$B$29:$GQ$29,0))</f>
        <v/>
      </c>
      <c r="GF5">
        <f>INDEX($B$19:$GQ$19,MATCH(187,$B$29:$GQ$29,0))</f>
        <v/>
      </c>
      <c r="GG5">
        <f>INDEX($B$19:$GQ$19,MATCH(188,$B$29:$GQ$29,0))</f>
        <v/>
      </c>
      <c r="GH5">
        <f>INDEX($B$19:$GQ$19,MATCH(189,$B$29:$GQ$29,0))</f>
        <v/>
      </c>
      <c r="GI5">
        <f>INDEX($B$19:$GQ$19,MATCH(190,$B$29:$GQ$29,0))</f>
        <v/>
      </c>
      <c r="GJ5">
        <f>INDEX($B$19:$GQ$19,MATCH(191,$B$29:$GQ$29,0))</f>
        <v/>
      </c>
      <c r="GK5">
        <f>INDEX($B$19:$GQ$19,MATCH(192,$B$29:$GQ$29,0))</f>
        <v/>
      </c>
      <c r="GL5">
        <f>INDEX($B$19:$GQ$19,MATCH(193,$B$29:$GQ$29,0))</f>
        <v/>
      </c>
      <c r="GM5">
        <f>INDEX($B$19:$GQ$19,MATCH(194,$B$29:$GQ$29,0))</f>
        <v/>
      </c>
      <c r="GN5">
        <f>INDEX($B$19:$GQ$19,MATCH(195,$B$29:$GQ$29,0))</f>
        <v/>
      </c>
      <c r="GO5">
        <f>INDEX($B$19:$GQ$19,MATCH(196,$B$29:$GQ$29,0))</f>
        <v/>
      </c>
      <c r="GP5">
        <f>INDEX($B$19:$GQ$19,MATCH(197,$B$29:$GQ$29,0))</f>
        <v/>
      </c>
      <c r="GQ5">
        <f>INDEX($B$19:$GQ$19,MATCH(198,$B$29:$GQ$29,0))</f>
        <v/>
      </c>
      <c r="GR5">
        <f>INDEX($GR$19:$HC$19,MATCH(1,$GR$30:$HC$30,0))</f>
        <v/>
      </c>
      <c r="GS5">
        <f>INDEX($GR$19:$HC$19,MATCH(2,$GR$30:$HC$30,0))</f>
        <v/>
      </c>
      <c r="GT5">
        <f>INDEX($GR$19:$HC$19,MATCH(3,$GR$30:$HC$30,0))</f>
        <v/>
      </c>
      <c r="GU5">
        <f>INDEX($GR$19:$HC$19,MATCH(4,$GR$30:$HC$30,0))</f>
        <v/>
      </c>
      <c r="GV5">
        <f>INDEX($GR$19:$HC$19,MATCH(5,$GR$30:$HC$30,0))</f>
        <v/>
      </c>
      <c r="GW5">
        <f>INDEX($GR$19:$HC$19,MATCH(6,$GR$30:$HC$30,0))</f>
        <v/>
      </c>
      <c r="GX5">
        <f>INDEX($GR$19:$HC$19,MATCH(7,$GR$30:$HC$30,0))</f>
        <v/>
      </c>
      <c r="GY5">
        <f>INDEX($GR$19:$HC$19,MATCH(8,$GR$30:$HC$30,0))</f>
        <v/>
      </c>
      <c r="GZ5">
        <f>INDEX($GR$19:$HC$19,MATCH(9,$GR$30:$HC$30,0))</f>
        <v/>
      </c>
      <c r="HA5">
        <f>INDEX($GR$19:$HC$19,MATCH(10,$GR$30:$HC$30,0))</f>
        <v/>
      </c>
      <c r="HB5">
        <f>INDEX($GR$19:$HC$19,MATCH(11,$GR$30:$HC$30,0))</f>
        <v/>
      </c>
      <c r="HC5">
        <f>INDEX($GR$19:$HC$19,MATCH(12,$GR$30:$HC$30,0))</f>
        <v/>
      </c>
    </row>
    <row r="6">
      <c r="A6" s="1" t="inlineStr">
        <is>
          <t>M_row</t>
        </is>
      </c>
      <c r="B6">
        <f>INDEX($B$20:$GQ$20,MATCH(1,$B$29:$GQ$29,0))</f>
        <v/>
      </c>
      <c r="C6">
        <f>INDEX($B$20:$GQ$20,MATCH(2,$B$29:$GQ$29,0))</f>
        <v/>
      </c>
      <c r="D6">
        <f>INDEX($B$20:$GQ$20,MATCH(3,$B$29:$GQ$29,0))</f>
        <v/>
      </c>
      <c r="E6">
        <f>INDEX($B$20:$GQ$20,MATCH(4,$B$29:$GQ$29,0))</f>
        <v/>
      </c>
      <c r="F6">
        <f>INDEX($B$20:$GQ$20,MATCH(5,$B$29:$GQ$29,0))</f>
        <v/>
      </c>
      <c r="G6">
        <f>INDEX($B$20:$GQ$20,MATCH(6,$B$29:$GQ$29,0))</f>
        <v/>
      </c>
      <c r="H6">
        <f>INDEX($B$20:$GQ$20,MATCH(7,$B$29:$GQ$29,0))</f>
        <v/>
      </c>
      <c r="I6">
        <f>INDEX($B$20:$GQ$20,MATCH(8,$B$29:$GQ$29,0))</f>
        <v/>
      </c>
      <c r="J6">
        <f>INDEX($B$20:$GQ$20,MATCH(9,$B$29:$GQ$29,0))</f>
        <v/>
      </c>
      <c r="K6">
        <f>INDEX($B$20:$GQ$20,MATCH(10,$B$29:$GQ$29,0))</f>
        <v/>
      </c>
      <c r="L6">
        <f>INDEX($B$20:$GQ$20,MATCH(11,$B$29:$GQ$29,0))</f>
        <v/>
      </c>
      <c r="M6">
        <f>INDEX($B$20:$GQ$20,MATCH(12,$B$29:$GQ$29,0))</f>
        <v/>
      </c>
      <c r="N6">
        <f>INDEX($B$20:$GQ$20,MATCH(13,$B$29:$GQ$29,0))</f>
        <v/>
      </c>
      <c r="O6">
        <f>INDEX($B$20:$GQ$20,MATCH(14,$B$29:$GQ$29,0))</f>
        <v/>
      </c>
      <c r="P6">
        <f>INDEX($B$20:$GQ$20,MATCH(15,$B$29:$GQ$29,0))</f>
        <v/>
      </c>
      <c r="Q6">
        <f>INDEX($B$20:$GQ$20,MATCH(16,$B$29:$GQ$29,0))</f>
        <v/>
      </c>
      <c r="R6">
        <f>INDEX($B$20:$GQ$20,MATCH(17,$B$29:$GQ$29,0))</f>
        <v/>
      </c>
      <c r="S6">
        <f>INDEX($B$20:$GQ$20,MATCH(18,$B$29:$GQ$29,0))</f>
        <v/>
      </c>
      <c r="T6">
        <f>INDEX($B$20:$GQ$20,MATCH(19,$B$29:$GQ$29,0))</f>
        <v/>
      </c>
      <c r="U6">
        <f>INDEX($B$20:$GQ$20,MATCH(20,$B$29:$GQ$29,0))</f>
        <v/>
      </c>
      <c r="V6">
        <f>INDEX($B$20:$GQ$20,MATCH(21,$B$29:$GQ$29,0))</f>
        <v/>
      </c>
      <c r="W6">
        <f>INDEX($B$20:$GQ$20,MATCH(22,$B$29:$GQ$29,0))</f>
        <v/>
      </c>
      <c r="X6">
        <f>INDEX($B$20:$GQ$20,MATCH(23,$B$29:$GQ$29,0))</f>
        <v/>
      </c>
      <c r="Y6">
        <f>INDEX($B$20:$GQ$20,MATCH(24,$B$29:$GQ$29,0))</f>
        <v/>
      </c>
      <c r="Z6">
        <f>INDEX($B$20:$GQ$20,MATCH(25,$B$29:$GQ$29,0))</f>
        <v/>
      </c>
      <c r="AA6">
        <f>INDEX($B$20:$GQ$20,MATCH(26,$B$29:$GQ$29,0))</f>
        <v/>
      </c>
      <c r="AB6">
        <f>INDEX($B$20:$GQ$20,MATCH(27,$B$29:$GQ$29,0))</f>
        <v/>
      </c>
      <c r="AC6">
        <f>INDEX($B$20:$GQ$20,MATCH(28,$B$29:$GQ$29,0))</f>
        <v/>
      </c>
      <c r="AD6">
        <f>INDEX($B$20:$GQ$20,MATCH(29,$B$29:$GQ$29,0))</f>
        <v/>
      </c>
      <c r="AE6">
        <f>INDEX($B$20:$GQ$20,MATCH(30,$B$29:$GQ$29,0))</f>
        <v/>
      </c>
      <c r="AF6">
        <f>INDEX($B$20:$GQ$20,MATCH(31,$B$29:$GQ$29,0))</f>
        <v/>
      </c>
      <c r="AG6">
        <f>INDEX($B$20:$GQ$20,MATCH(32,$B$29:$GQ$29,0))</f>
        <v/>
      </c>
      <c r="AH6">
        <f>INDEX($B$20:$GQ$20,MATCH(33,$B$29:$GQ$29,0))</f>
        <v/>
      </c>
      <c r="AI6">
        <f>INDEX($B$20:$GQ$20,MATCH(34,$B$29:$GQ$29,0))</f>
        <v/>
      </c>
      <c r="AJ6">
        <f>INDEX($B$20:$GQ$20,MATCH(35,$B$29:$GQ$29,0))</f>
        <v/>
      </c>
      <c r="AK6">
        <f>INDEX($B$20:$GQ$20,MATCH(36,$B$29:$GQ$29,0))</f>
        <v/>
      </c>
      <c r="AL6">
        <f>INDEX($B$20:$GQ$20,MATCH(37,$B$29:$GQ$29,0))</f>
        <v/>
      </c>
      <c r="AM6">
        <f>INDEX($B$20:$GQ$20,MATCH(38,$B$29:$GQ$29,0))</f>
        <v/>
      </c>
      <c r="AN6">
        <f>INDEX($B$20:$GQ$20,MATCH(39,$B$29:$GQ$29,0))</f>
        <v/>
      </c>
      <c r="AO6">
        <f>INDEX($B$20:$GQ$20,MATCH(40,$B$29:$GQ$29,0))</f>
        <v/>
      </c>
      <c r="AP6">
        <f>INDEX($B$20:$GQ$20,MATCH(41,$B$29:$GQ$29,0))</f>
        <v/>
      </c>
      <c r="AQ6">
        <f>INDEX($B$20:$GQ$20,MATCH(42,$B$29:$GQ$29,0))</f>
        <v/>
      </c>
      <c r="AR6">
        <f>INDEX($B$20:$GQ$20,MATCH(43,$B$29:$GQ$29,0))</f>
        <v/>
      </c>
      <c r="AS6">
        <f>INDEX($B$20:$GQ$20,MATCH(44,$B$29:$GQ$29,0))</f>
        <v/>
      </c>
      <c r="AT6">
        <f>INDEX($B$20:$GQ$20,MATCH(45,$B$29:$GQ$29,0))</f>
        <v/>
      </c>
      <c r="AU6">
        <f>INDEX($B$20:$GQ$20,MATCH(46,$B$29:$GQ$29,0))</f>
        <v/>
      </c>
      <c r="AV6">
        <f>INDEX($B$20:$GQ$20,MATCH(47,$B$29:$GQ$29,0))</f>
        <v/>
      </c>
      <c r="AW6">
        <f>INDEX($B$20:$GQ$20,MATCH(48,$B$29:$GQ$29,0))</f>
        <v/>
      </c>
      <c r="AX6">
        <f>INDEX($B$20:$GQ$20,MATCH(49,$B$29:$GQ$29,0))</f>
        <v/>
      </c>
      <c r="AY6">
        <f>INDEX($B$20:$GQ$20,MATCH(50,$B$29:$GQ$29,0))</f>
        <v/>
      </c>
      <c r="AZ6">
        <f>INDEX($B$20:$GQ$20,MATCH(51,$B$29:$GQ$29,0))</f>
        <v/>
      </c>
      <c r="BA6">
        <f>INDEX($B$20:$GQ$20,MATCH(52,$B$29:$GQ$29,0))</f>
        <v/>
      </c>
      <c r="BB6">
        <f>INDEX($B$20:$GQ$20,MATCH(53,$B$29:$GQ$29,0))</f>
        <v/>
      </c>
      <c r="BC6">
        <f>INDEX($B$20:$GQ$20,MATCH(54,$B$29:$GQ$29,0))</f>
        <v/>
      </c>
      <c r="BD6">
        <f>INDEX($B$20:$GQ$20,MATCH(55,$B$29:$GQ$29,0))</f>
        <v/>
      </c>
      <c r="BE6">
        <f>INDEX($B$20:$GQ$20,MATCH(56,$B$29:$GQ$29,0))</f>
        <v/>
      </c>
      <c r="BF6">
        <f>INDEX($B$20:$GQ$20,MATCH(57,$B$29:$GQ$29,0))</f>
        <v/>
      </c>
      <c r="BG6">
        <f>INDEX($B$20:$GQ$20,MATCH(58,$B$29:$GQ$29,0))</f>
        <v/>
      </c>
      <c r="BH6">
        <f>INDEX($B$20:$GQ$20,MATCH(59,$B$29:$GQ$29,0))</f>
        <v/>
      </c>
      <c r="BI6">
        <f>INDEX($B$20:$GQ$20,MATCH(60,$B$29:$GQ$29,0))</f>
        <v/>
      </c>
      <c r="BJ6">
        <f>INDEX($B$20:$GQ$20,MATCH(61,$B$29:$GQ$29,0))</f>
        <v/>
      </c>
      <c r="BK6">
        <f>INDEX($B$20:$GQ$20,MATCH(62,$B$29:$GQ$29,0))</f>
        <v/>
      </c>
      <c r="BL6">
        <f>INDEX($B$20:$GQ$20,MATCH(63,$B$29:$GQ$29,0))</f>
        <v/>
      </c>
      <c r="BM6">
        <f>INDEX($B$20:$GQ$20,MATCH(64,$B$29:$GQ$29,0))</f>
        <v/>
      </c>
      <c r="BN6">
        <f>INDEX($B$20:$GQ$20,MATCH(65,$B$29:$GQ$29,0))</f>
        <v/>
      </c>
      <c r="BO6">
        <f>INDEX($B$20:$GQ$20,MATCH(66,$B$29:$GQ$29,0))</f>
        <v/>
      </c>
      <c r="BP6">
        <f>INDEX($B$20:$GQ$20,MATCH(67,$B$29:$GQ$29,0))</f>
        <v/>
      </c>
      <c r="BQ6">
        <f>INDEX($B$20:$GQ$20,MATCH(68,$B$29:$GQ$29,0))</f>
        <v/>
      </c>
      <c r="BR6">
        <f>INDEX($B$20:$GQ$20,MATCH(69,$B$29:$GQ$29,0))</f>
        <v/>
      </c>
      <c r="BS6">
        <f>INDEX($B$20:$GQ$20,MATCH(70,$B$29:$GQ$29,0))</f>
        <v/>
      </c>
      <c r="BT6">
        <f>INDEX($B$20:$GQ$20,MATCH(71,$B$29:$GQ$29,0))</f>
        <v/>
      </c>
      <c r="BU6">
        <f>INDEX($B$20:$GQ$20,MATCH(72,$B$29:$GQ$29,0))</f>
        <v/>
      </c>
      <c r="BV6">
        <f>INDEX($B$20:$GQ$20,MATCH(73,$B$29:$GQ$29,0))</f>
        <v/>
      </c>
      <c r="BW6">
        <f>INDEX($B$20:$GQ$20,MATCH(74,$B$29:$GQ$29,0))</f>
        <v/>
      </c>
      <c r="BX6">
        <f>INDEX($B$20:$GQ$20,MATCH(75,$B$29:$GQ$29,0))</f>
        <v/>
      </c>
      <c r="BY6">
        <f>INDEX($B$20:$GQ$20,MATCH(76,$B$29:$GQ$29,0))</f>
        <v/>
      </c>
      <c r="BZ6">
        <f>INDEX($B$20:$GQ$20,MATCH(77,$B$29:$GQ$29,0))</f>
        <v/>
      </c>
      <c r="CA6">
        <f>INDEX($B$20:$GQ$20,MATCH(78,$B$29:$GQ$29,0))</f>
        <v/>
      </c>
      <c r="CB6">
        <f>INDEX($B$20:$GQ$20,MATCH(79,$B$29:$GQ$29,0))</f>
        <v/>
      </c>
      <c r="CC6">
        <f>INDEX($B$20:$GQ$20,MATCH(80,$B$29:$GQ$29,0))</f>
        <v/>
      </c>
      <c r="CD6">
        <f>INDEX($B$20:$GQ$20,MATCH(81,$B$29:$GQ$29,0))</f>
        <v/>
      </c>
      <c r="CE6">
        <f>INDEX($B$20:$GQ$20,MATCH(82,$B$29:$GQ$29,0))</f>
        <v/>
      </c>
      <c r="CF6">
        <f>INDEX($B$20:$GQ$20,MATCH(83,$B$29:$GQ$29,0))</f>
        <v/>
      </c>
      <c r="CG6">
        <f>INDEX($B$20:$GQ$20,MATCH(84,$B$29:$GQ$29,0))</f>
        <v/>
      </c>
      <c r="CH6">
        <f>INDEX($B$20:$GQ$20,MATCH(85,$B$29:$GQ$29,0))</f>
        <v/>
      </c>
      <c r="CI6">
        <f>INDEX($B$20:$GQ$20,MATCH(86,$B$29:$GQ$29,0))</f>
        <v/>
      </c>
      <c r="CJ6">
        <f>INDEX($B$20:$GQ$20,MATCH(87,$B$29:$GQ$29,0))</f>
        <v/>
      </c>
      <c r="CK6">
        <f>INDEX($B$20:$GQ$20,MATCH(88,$B$29:$GQ$29,0))</f>
        <v/>
      </c>
      <c r="CL6">
        <f>INDEX($B$20:$GQ$20,MATCH(89,$B$29:$GQ$29,0))</f>
        <v/>
      </c>
      <c r="CM6">
        <f>INDEX($B$20:$GQ$20,MATCH(90,$B$29:$GQ$29,0))</f>
        <v/>
      </c>
      <c r="CN6">
        <f>INDEX($B$20:$GQ$20,MATCH(91,$B$29:$GQ$29,0))</f>
        <v/>
      </c>
      <c r="CO6">
        <f>INDEX($B$20:$GQ$20,MATCH(92,$B$29:$GQ$29,0))</f>
        <v/>
      </c>
      <c r="CP6">
        <f>INDEX($B$20:$GQ$20,MATCH(93,$B$29:$GQ$29,0))</f>
        <v/>
      </c>
      <c r="CQ6">
        <f>INDEX($B$20:$GQ$20,MATCH(94,$B$29:$GQ$29,0))</f>
        <v/>
      </c>
      <c r="CR6">
        <f>INDEX($B$20:$GQ$20,MATCH(95,$B$29:$GQ$29,0))</f>
        <v/>
      </c>
      <c r="CS6">
        <f>INDEX($B$20:$GQ$20,MATCH(96,$B$29:$GQ$29,0))</f>
        <v/>
      </c>
      <c r="CT6">
        <f>INDEX($B$20:$GQ$20,MATCH(97,$B$29:$GQ$29,0))</f>
        <v/>
      </c>
      <c r="CU6">
        <f>INDEX($B$20:$GQ$20,MATCH(98,$B$29:$GQ$29,0))</f>
        <v/>
      </c>
      <c r="CV6">
        <f>INDEX($B$20:$GQ$20,MATCH(99,$B$29:$GQ$29,0))</f>
        <v/>
      </c>
      <c r="CW6">
        <f>INDEX($B$20:$GQ$20,MATCH(100,$B$29:$GQ$29,0))</f>
        <v/>
      </c>
      <c r="CX6">
        <f>INDEX($B$20:$GQ$20,MATCH(101,$B$29:$GQ$29,0))</f>
        <v/>
      </c>
      <c r="CY6">
        <f>INDEX($B$20:$GQ$20,MATCH(102,$B$29:$GQ$29,0))</f>
        <v/>
      </c>
      <c r="CZ6">
        <f>INDEX($B$20:$GQ$20,MATCH(103,$B$29:$GQ$29,0))</f>
        <v/>
      </c>
      <c r="DA6">
        <f>INDEX($B$20:$GQ$20,MATCH(104,$B$29:$GQ$29,0))</f>
        <v/>
      </c>
      <c r="DB6">
        <f>INDEX($B$20:$GQ$20,MATCH(105,$B$29:$GQ$29,0))</f>
        <v/>
      </c>
      <c r="DC6">
        <f>INDEX($B$20:$GQ$20,MATCH(106,$B$29:$GQ$29,0))</f>
        <v/>
      </c>
      <c r="DD6">
        <f>INDEX($B$20:$GQ$20,MATCH(107,$B$29:$GQ$29,0))</f>
        <v/>
      </c>
      <c r="DE6">
        <f>INDEX($B$20:$GQ$20,MATCH(108,$B$29:$GQ$29,0))</f>
        <v/>
      </c>
      <c r="DF6">
        <f>INDEX($B$20:$GQ$20,MATCH(109,$B$29:$GQ$29,0))</f>
        <v/>
      </c>
      <c r="DG6">
        <f>INDEX($B$20:$GQ$20,MATCH(110,$B$29:$GQ$29,0))</f>
        <v/>
      </c>
      <c r="DH6">
        <f>INDEX($B$20:$GQ$20,MATCH(111,$B$29:$GQ$29,0))</f>
        <v/>
      </c>
      <c r="DI6">
        <f>INDEX($B$20:$GQ$20,MATCH(112,$B$29:$GQ$29,0))</f>
        <v/>
      </c>
      <c r="DJ6">
        <f>INDEX($B$20:$GQ$20,MATCH(113,$B$29:$GQ$29,0))</f>
        <v/>
      </c>
      <c r="DK6">
        <f>INDEX($B$20:$GQ$20,MATCH(114,$B$29:$GQ$29,0))</f>
        <v/>
      </c>
      <c r="DL6">
        <f>INDEX($B$20:$GQ$20,MATCH(115,$B$29:$GQ$29,0))</f>
        <v/>
      </c>
      <c r="DM6">
        <f>INDEX($B$20:$GQ$20,MATCH(116,$B$29:$GQ$29,0))</f>
        <v/>
      </c>
      <c r="DN6">
        <f>INDEX($B$20:$GQ$20,MATCH(117,$B$29:$GQ$29,0))</f>
        <v/>
      </c>
      <c r="DO6">
        <f>INDEX($B$20:$GQ$20,MATCH(118,$B$29:$GQ$29,0))</f>
        <v/>
      </c>
      <c r="DP6">
        <f>INDEX($B$20:$GQ$20,MATCH(119,$B$29:$GQ$29,0))</f>
        <v/>
      </c>
      <c r="DQ6">
        <f>INDEX($B$20:$GQ$20,MATCH(120,$B$29:$GQ$29,0))</f>
        <v/>
      </c>
      <c r="DR6">
        <f>INDEX($B$20:$GQ$20,MATCH(121,$B$29:$GQ$29,0))</f>
        <v/>
      </c>
      <c r="DS6">
        <f>INDEX($B$20:$GQ$20,MATCH(122,$B$29:$GQ$29,0))</f>
        <v/>
      </c>
      <c r="DT6">
        <f>INDEX($B$20:$GQ$20,MATCH(123,$B$29:$GQ$29,0))</f>
        <v/>
      </c>
      <c r="DU6">
        <f>INDEX($B$20:$GQ$20,MATCH(124,$B$29:$GQ$29,0))</f>
        <v/>
      </c>
      <c r="DV6">
        <f>INDEX($B$20:$GQ$20,MATCH(125,$B$29:$GQ$29,0))</f>
        <v/>
      </c>
      <c r="DW6">
        <f>INDEX($B$20:$GQ$20,MATCH(126,$B$29:$GQ$29,0))</f>
        <v/>
      </c>
      <c r="DX6">
        <f>INDEX($B$20:$GQ$20,MATCH(127,$B$29:$GQ$29,0))</f>
        <v/>
      </c>
      <c r="DY6">
        <f>INDEX($B$20:$GQ$20,MATCH(128,$B$29:$GQ$29,0))</f>
        <v/>
      </c>
      <c r="DZ6">
        <f>INDEX($B$20:$GQ$20,MATCH(129,$B$29:$GQ$29,0))</f>
        <v/>
      </c>
      <c r="EA6">
        <f>INDEX($B$20:$GQ$20,MATCH(130,$B$29:$GQ$29,0))</f>
        <v/>
      </c>
      <c r="EB6">
        <f>INDEX($B$20:$GQ$20,MATCH(131,$B$29:$GQ$29,0))</f>
        <v/>
      </c>
      <c r="EC6">
        <f>INDEX($B$20:$GQ$20,MATCH(132,$B$29:$GQ$29,0))</f>
        <v/>
      </c>
      <c r="ED6">
        <f>INDEX($B$20:$GQ$20,MATCH(133,$B$29:$GQ$29,0))</f>
        <v/>
      </c>
      <c r="EE6">
        <f>INDEX($B$20:$GQ$20,MATCH(134,$B$29:$GQ$29,0))</f>
        <v/>
      </c>
      <c r="EF6">
        <f>INDEX($B$20:$GQ$20,MATCH(135,$B$29:$GQ$29,0))</f>
        <v/>
      </c>
      <c r="EG6">
        <f>INDEX($B$20:$GQ$20,MATCH(136,$B$29:$GQ$29,0))</f>
        <v/>
      </c>
      <c r="EH6">
        <f>INDEX($B$20:$GQ$20,MATCH(137,$B$29:$GQ$29,0))</f>
        <v/>
      </c>
      <c r="EI6">
        <f>INDEX($B$20:$GQ$20,MATCH(138,$B$29:$GQ$29,0))</f>
        <v/>
      </c>
      <c r="EJ6">
        <f>INDEX($B$20:$GQ$20,MATCH(139,$B$29:$GQ$29,0))</f>
        <v/>
      </c>
      <c r="EK6">
        <f>INDEX($B$20:$GQ$20,MATCH(140,$B$29:$GQ$29,0))</f>
        <v/>
      </c>
      <c r="EL6">
        <f>INDEX($B$20:$GQ$20,MATCH(141,$B$29:$GQ$29,0))</f>
        <v/>
      </c>
      <c r="EM6">
        <f>INDEX($B$20:$GQ$20,MATCH(142,$B$29:$GQ$29,0))</f>
        <v/>
      </c>
      <c r="EN6">
        <f>INDEX($B$20:$GQ$20,MATCH(143,$B$29:$GQ$29,0))</f>
        <v/>
      </c>
      <c r="EO6">
        <f>INDEX($B$20:$GQ$20,MATCH(144,$B$29:$GQ$29,0))</f>
        <v/>
      </c>
      <c r="EP6">
        <f>INDEX($B$20:$GQ$20,MATCH(145,$B$29:$GQ$29,0))</f>
        <v/>
      </c>
      <c r="EQ6">
        <f>INDEX($B$20:$GQ$20,MATCH(146,$B$29:$GQ$29,0))</f>
        <v/>
      </c>
      <c r="ER6">
        <f>INDEX($B$20:$GQ$20,MATCH(147,$B$29:$GQ$29,0))</f>
        <v/>
      </c>
      <c r="ES6">
        <f>INDEX($B$20:$GQ$20,MATCH(148,$B$29:$GQ$29,0))</f>
        <v/>
      </c>
      <c r="ET6">
        <f>INDEX($B$20:$GQ$20,MATCH(149,$B$29:$GQ$29,0))</f>
        <v/>
      </c>
      <c r="EU6">
        <f>INDEX($B$20:$GQ$20,MATCH(150,$B$29:$GQ$29,0))</f>
        <v/>
      </c>
      <c r="EV6">
        <f>INDEX($B$20:$GQ$20,MATCH(151,$B$29:$GQ$29,0))</f>
        <v/>
      </c>
      <c r="EW6">
        <f>INDEX($B$20:$GQ$20,MATCH(152,$B$29:$GQ$29,0))</f>
        <v/>
      </c>
      <c r="EX6">
        <f>INDEX($B$20:$GQ$20,MATCH(153,$B$29:$GQ$29,0))</f>
        <v/>
      </c>
      <c r="EY6">
        <f>INDEX($B$20:$GQ$20,MATCH(154,$B$29:$GQ$29,0))</f>
        <v/>
      </c>
      <c r="EZ6">
        <f>INDEX($B$20:$GQ$20,MATCH(155,$B$29:$GQ$29,0))</f>
        <v/>
      </c>
      <c r="FA6">
        <f>INDEX($B$20:$GQ$20,MATCH(156,$B$29:$GQ$29,0))</f>
        <v/>
      </c>
      <c r="FB6">
        <f>INDEX($B$20:$GQ$20,MATCH(157,$B$29:$GQ$29,0))</f>
        <v/>
      </c>
      <c r="FC6">
        <f>INDEX($B$20:$GQ$20,MATCH(158,$B$29:$GQ$29,0))</f>
        <v/>
      </c>
      <c r="FD6">
        <f>INDEX($B$20:$GQ$20,MATCH(159,$B$29:$GQ$29,0))</f>
        <v/>
      </c>
      <c r="FE6">
        <f>INDEX($B$20:$GQ$20,MATCH(160,$B$29:$GQ$29,0))</f>
        <v/>
      </c>
      <c r="FF6">
        <f>INDEX($B$20:$GQ$20,MATCH(161,$B$29:$GQ$29,0))</f>
        <v/>
      </c>
      <c r="FG6">
        <f>INDEX($B$20:$GQ$20,MATCH(162,$B$29:$GQ$29,0))</f>
        <v/>
      </c>
      <c r="FH6">
        <f>INDEX($B$20:$GQ$20,MATCH(163,$B$29:$GQ$29,0))</f>
        <v/>
      </c>
      <c r="FI6">
        <f>INDEX($B$20:$GQ$20,MATCH(164,$B$29:$GQ$29,0))</f>
        <v/>
      </c>
      <c r="FJ6">
        <f>INDEX($B$20:$GQ$20,MATCH(165,$B$29:$GQ$29,0))</f>
        <v/>
      </c>
      <c r="FK6">
        <f>INDEX($B$20:$GQ$20,MATCH(166,$B$29:$GQ$29,0))</f>
        <v/>
      </c>
      <c r="FL6">
        <f>INDEX($B$20:$GQ$20,MATCH(167,$B$29:$GQ$29,0))</f>
        <v/>
      </c>
      <c r="FM6">
        <f>INDEX($B$20:$GQ$20,MATCH(168,$B$29:$GQ$29,0))</f>
        <v/>
      </c>
      <c r="FN6">
        <f>INDEX($B$20:$GQ$20,MATCH(169,$B$29:$GQ$29,0))</f>
        <v/>
      </c>
      <c r="FO6">
        <f>INDEX($B$20:$GQ$20,MATCH(170,$B$29:$GQ$29,0))</f>
        <v/>
      </c>
      <c r="FP6">
        <f>INDEX($B$20:$GQ$20,MATCH(171,$B$29:$GQ$29,0))</f>
        <v/>
      </c>
      <c r="FQ6">
        <f>INDEX($B$20:$GQ$20,MATCH(172,$B$29:$GQ$29,0))</f>
        <v/>
      </c>
      <c r="FR6">
        <f>INDEX($B$20:$GQ$20,MATCH(173,$B$29:$GQ$29,0))</f>
        <v/>
      </c>
      <c r="FS6">
        <f>INDEX($B$20:$GQ$20,MATCH(174,$B$29:$GQ$29,0))</f>
        <v/>
      </c>
      <c r="FT6">
        <f>INDEX($B$20:$GQ$20,MATCH(175,$B$29:$GQ$29,0))</f>
        <v/>
      </c>
      <c r="FU6">
        <f>INDEX($B$20:$GQ$20,MATCH(176,$B$29:$GQ$29,0))</f>
        <v/>
      </c>
      <c r="FV6">
        <f>INDEX($B$20:$GQ$20,MATCH(177,$B$29:$GQ$29,0))</f>
        <v/>
      </c>
      <c r="FW6">
        <f>INDEX($B$20:$GQ$20,MATCH(178,$B$29:$GQ$29,0))</f>
        <v/>
      </c>
      <c r="FX6">
        <f>INDEX($B$20:$GQ$20,MATCH(179,$B$29:$GQ$29,0))</f>
        <v/>
      </c>
      <c r="FY6">
        <f>INDEX($B$20:$GQ$20,MATCH(180,$B$29:$GQ$29,0))</f>
        <v/>
      </c>
      <c r="FZ6">
        <f>INDEX($B$20:$GQ$20,MATCH(181,$B$29:$GQ$29,0))</f>
        <v/>
      </c>
      <c r="GA6">
        <f>INDEX($B$20:$GQ$20,MATCH(182,$B$29:$GQ$29,0))</f>
        <v/>
      </c>
      <c r="GB6">
        <f>INDEX($B$20:$GQ$20,MATCH(183,$B$29:$GQ$29,0))</f>
        <v/>
      </c>
      <c r="GC6">
        <f>INDEX($B$20:$GQ$20,MATCH(184,$B$29:$GQ$29,0))</f>
        <v/>
      </c>
      <c r="GD6">
        <f>INDEX($B$20:$GQ$20,MATCH(185,$B$29:$GQ$29,0))</f>
        <v/>
      </c>
      <c r="GE6">
        <f>INDEX($B$20:$GQ$20,MATCH(186,$B$29:$GQ$29,0))</f>
        <v/>
      </c>
      <c r="GF6">
        <f>INDEX($B$20:$GQ$20,MATCH(187,$B$29:$GQ$29,0))</f>
        <v/>
      </c>
      <c r="GG6">
        <f>INDEX($B$20:$GQ$20,MATCH(188,$B$29:$GQ$29,0))</f>
        <v/>
      </c>
      <c r="GH6">
        <f>INDEX($B$20:$GQ$20,MATCH(189,$B$29:$GQ$29,0))</f>
        <v/>
      </c>
      <c r="GI6">
        <f>INDEX($B$20:$GQ$20,MATCH(190,$B$29:$GQ$29,0))</f>
        <v/>
      </c>
      <c r="GJ6">
        <f>INDEX($B$20:$GQ$20,MATCH(191,$B$29:$GQ$29,0))</f>
        <v/>
      </c>
      <c r="GK6">
        <f>INDEX($B$20:$GQ$20,MATCH(192,$B$29:$GQ$29,0))</f>
        <v/>
      </c>
      <c r="GL6">
        <f>INDEX($B$20:$GQ$20,MATCH(193,$B$29:$GQ$29,0))</f>
        <v/>
      </c>
      <c r="GM6">
        <f>INDEX($B$20:$GQ$20,MATCH(194,$B$29:$GQ$29,0))</f>
        <v/>
      </c>
      <c r="GN6">
        <f>INDEX($B$20:$GQ$20,MATCH(195,$B$29:$GQ$29,0))</f>
        <v/>
      </c>
      <c r="GO6">
        <f>INDEX($B$20:$GQ$20,MATCH(196,$B$29:$GQ$29,0))</f>
        <v/>
      </c>
      <c r="GP6">
        <f>INDEX($B$20:$GQ$20,MATCH(197,$B$29:$GQ$29,0))</f>
        <v/>
      </c>
      <c r="GQ6">
        <f>INDEX($B$20:$GQ$20,MATCH(198,$B$29:$GQ$29,0))</f>
        <v/>
      </c>
      <c r="GR6">
        <f>INDEX($GR$20:$HC$20,MATCH(1,$GR$30:$HC$30,0))</f>
        <v/>
      </c>
      <c r="GS6">
        <f>INDEX($GR$20:$HC$20,MATCH(2,$GR$30:$HC$30,0))</f>
        <v/>
      </c>
      <c r="GT6">
        <f>INDEX($GR$20:$HC$20,MATCH(3,$GR$30:$HC$30,0))</f>
        <v/>
      </c>
      <c r="GU6">
        <f>INDEX($GR$20:$HC$20,MATCH(4,$GR$30:$HC$30,0))</f>
        <v/>
      </c>
      <c r="GV6">
        <f>INDEX($GR$20:$HC$20,MATCH(5,$GR$30:$HC$30,0))</f>
        <v/>
      </c>
      <c r="GW6">
        <f>INDEX($GR$20:$HC$20,MATCH(6,$GR$30:$HC$30,0))</f>
        <v/>
      </c>
      <c r="GX6">
        <f>INDEX($GR$20:$HC$20,MATCH(7,$GR$30:$HC$30,0))</f>
        <v/>
      </c>
      <c r="GY6">
        <f>INDEX($GR$20:$HC$20,MATCH(8,$GR$30:$HC$30,0))</f>
        <v/>
      </c>
      <c r="GZ6">
        <f>INDEX($GR$20:$HC$20,MATCH(9,$GR$30:$HC$30,0))</f>
        <v/>
      </c>
      <c r="HA6">
        <f>INDEX($GR$20:$HC$20,MATCH(10,$GR$30:$HC$30,0))</f>
        <v/>
      </c>
      <c r="HB6">
        <f>INDEX($GR$20:$HC$20,MATCH(11,$GR$30:$HC$30,0))</f>
        <v/>
      </c>
      <c r="HC6">
        <f>INDEX($GR$20:$HC$20,MATCH(12,$GR$30:$HC$30,0))</f>
        <v/>
      </c>
    </row>
    <row r="7">
      <c r="A7" s="1" t="inlineStr">
        <is>
          <t>Y_imp</t>
        </is>
      </c>
      <c r="B7">
        <f>INDEX($B$21:$GQ$21,MATCH(1,$B$29:$GQ$29,0))</f>
        <v/>
      </c>
      <c r="C7">
        <f>INDEX($B$21:$GQ$21,MATCH(2,$B$29:$GQ$29,0))</f>
        <v/>
      </c>
      <c r="D7">
        <f>INDEX($B$21:$GQ$21,MATCH(3,$B$29:$GQ$29,0))</f>
        <v/>
      </c>
      <c r="E7">
        <f>INDEX($B$21:$GQ$21,MATCH(4,$B$29:$GQ$29,0))</f>
        <v/>
      </c>
      <c r="F7">
        <f>INDEX($B$21:$GQ$21,MATCH(5,$B$29:$GQ$29,0))</f>
        <v/>
      </c>
      <c r="G7">
        <f>INDEX($B$21:$GQ$21,MATCH(6,$B$29:$GQ$29,0))</f>
        <v/>
      </c>
      <c r="H7">
        <f>INDEX($B$21:$GQ$21,MATCH(7,$B$29:$GQ$29,0))</f>
        <v/>
      </c>
      <c r="I7">
        <f>INDEX($B$21:$GQ$21,MATCH(8,$B$29:$GQ$29,0))</f>
        <v/>
      </c>
      <c r="J7">
        <f>INDEX($B$21:$GQ$21,MATCH(9,$B$29:$GQ$29,0))</f>
        <v/>
      </c>
      <c r="K7">
        <f>INDEX($B$21:$GQ$21,MATCH(10,$B$29:$GQ$29,0))</f>
        <v/>
      </c>
      <c r="L7">
        <f>INDEX($B$21:$GQ$21,MATCH(11,$B$29:$GQ$29,0))</f>
        <v/>
      </c>
      <c r="M7">
        <f>INDEX($B$21:$GQ$21,MATCH(12,$B$29:$GQ$29,0))</f>
        <v/>
      </c>
      <c r="N7">
        <f>INDEX($B$21:$GQ$21,MATCH(13,$B$29:$GQ$29,0))</f>
        <v/>
      </c>
      <c r="O7">
        <f>INDEX($B$21:$GQ$21,MATCH(14,$B$29:$GQ$29,0))</f>
        <v/>
      </c>
      <c r="P7">
        <f>INDEX($B$21:$GQ$21,MATCH(15,$B$29:$GQ$29,0))</f>
        <v/>
      </c>
      <c r="Q7">
        <f>INDEX($B$21:$GQ$21,MATCH(16,$B$29:$GQ$29,0))</f>
        <v/>
      </c>
      <c r="R7">
        <f>INDEX($B$21:$GQ$21,MATCH(17,$B$29:$GQ$29,0))</f>
        <v/>
      </c>
      <c r="S7">
        <f>INDEX($B$21:$GQ$21,MATCH(18,$B$29:$GQ$29,0))</f>
        <v/>
      </c>
      <c r="T7">
        <f>INDEX($B$21:$GQ$21,MATCH(19,$B$29:$GQ$29,0))</f>
        <v/>
      </c>
      <c r="U7">
        <f>INDEX($B$21:$GQ$21,MATCH(20,$B$29:$GQ$29,0))</f>
        <v/>
      </c>
      <c r="V7">
        <f>INDEX($B$21:$GQ$21,MATCH(21,$B$29:$GQ$29,0))</f>
        <v/>
      </c>
      <c r="W7">
        <f>INDEX($B$21:$GQ$21,MATCH(22,$B$29:$GQ$29,0))</f>
        <v/>
      </c>
      <c r="X7">
        <f>INDEX($B$21:$GQ$21,MATCH(23,$B$29:$GQ$29,0))</f>
        <v/>
      </c>
      <c r="Y7">
        <f>INDEX($B$21:$GQ$21,MATCH(24,$B$29:$GQ$29,0))</f>
        <v/>
      </c>
      <c r="Z7">
        <f>INDEX($B$21:$GQ$21,MATCH(25,$B$29:$GQ$29,0))</f>
        <v/>
      </c>
      <c r="AA7">
        <f>INDEX($B$21:$GQ$21,MATCH(26,$B$29:$GQ$29,0))</f>
        <v/>
      </c>
      <c r="AB7">
        <f>INDEX($B$21:$GQ$21,MATCH(27,$B$29:$GQ$29,0))</f>
        <v/>
      </c>
      <c r="AC7">
        <f>INDEX($B$21:$GQ$21,MATCH(28,$B$29:$GQ$29,0))</f>
        <v/>
      </c>
      <c r="AD7">
        <f>INDEX($B$21:$GQ$21,MATCH(29,$B$29:$GQ$29,0))</f>
        <v/>
      </c>
      <c r="AE7">
        <f>INDEX($B$21:$GQ$21,MATCH(30,$B$29:$GQ$29,0))</f>
        <v/>
      </c>
      <c r="AF7">
        <f>INDEX($B$21:$GQ$21,MATCH(31,$B$29:$GQ$29,0))</f>
        <v/>
      </c>
      <c r="AG7">
        <f>INDEX($B$21:$GQ$21,MATCH(32,$B$29:$GQ$29,0))</f>
        <v/>
      </c>
      <c r="AH7">
        <f>INDEX($B$21:$GQ$21,MATCH(33,$B$29:$GQ$29,0))</f>
        <v/>
      </c>
      <c r="AI7">
        <f>INDEX($B$21:$GQ$21,MATCH(34,$B$29:$GQ$29,0))</f>
        <v/>
      </c>
      <c r="AJ7">
        <f>INDEX($B$21:$GQ$21,MATCH(35,$B$29:$GQ$29,0))</f>
        <v/>
      </c>
      <c r="AK7">
        <f>INDEX($B$21:$GQ$21,MATCH(36,$B$29:$GQ$29,0))</f>
        <v/>
      </c>
      <c r="AL7">
        <f>INDEX($B$21:$GQ$21,MATCH(37,$B$29:$GQ$29,0))</f>
        <v/>
      </c>
      <c r="AM7">
        <f>INDEX($B$21:$GQ$21,MATCH(38,$B$29:$GQ$29,0))</f>
        <v/>
      </c>
      <c r="AN7">
        <f>INDEX($B$21:$GQ$21,MATCH(39,$B$29:$GQ$29,0))</f>
        <v/>
      </c>
      <c r="AO7">
        <f>INDEX($B$21:$GQ$21,MATCH(40,$B$29:$GQ$29,0))</f>
        <v/>
      </c>
      <c r="AP7">
        <f>INDEX($B$21:$GQ$21,MATCH(41,$B$29:$GQ$29,0))</f>
        <v/>
      </c>
      <c r="AQ7">
        <f>INDEX($B$21:$GQ$21,MATCH(42,$B$29:$GQ$29,0))</f>
        <v/>
      </c>
      <c r="AR7">
        <f>INDEX($B$21:$GQ$21,MATCH(43,$B$29:$GQ$29,0))</f>
        <v/>
      </c>
      <c r="AS7">
        <f>INDEX($B$21:$GQ$21,MATCH(44,$B$29:$GQ$29,0))</f>
        <v/>
      </c>
      <c r="AT7">
        <f>INDEX($B$21:$GQ$21,MATCH(45,$B$29:$GQ$29,0))</f>
        <v/>
      </c>
      <c r="AU7">
        <f>INDEX($B$21:$GQ$21,MATCH(46,$B$29:$GQ$29,0))</f>
        <v/>
      </c>
      <c r="AV7">
        <f>INDEX($B$21:$GQ$21,MATCH(47,$B$29:$GQ$29,0))</f>
        <v/>
      </c>
      <c r="AW7">
        <f>INDEX($B$21:$GQ$21,MATCH(48,$B$29:$GQ$29,0))</f>
        <v/>
      </c>
      <c r="AX7">
        <f>INDEX($B$21:$GQ$21,MATCH(49,$B$29:$GQ$29,0))</f>
        <v/>
      </c>
      <c r="AY7">
        <f>INDEX($B$21:$GQ$21,MATCH(50,$B$29:$GQ$29,0))</f>
        <v/>
      </c>
      <c r="AZ7">
        <f>INDEX($B$21:$GQ$21,MATCH(51,$B$29:$GQ$29,0))</f>
        <v/>
      </c>
      <c r="BA7">
        <f>INDEX($B$21:$GQ$21,MATCH(52,$B$29:$GQ$29,0))</f>
        <v/>
      </c>
      <c r="BB7">
        <f>INDEX($B$21:$GQ$21,MATCH(53,$B$29:$GQ$29,0))</f>
        <v/>
      </c>
      <c r="BC7">
        <f>INDEX($B$21:$GQ$21,MATCH(54,$B$29:$GQ$29,0))</f>
        <v/>
      </c>
      <c r="BD7">
        <f>INDEX($B$21:$GQ$21,MATCH(55,$B$29:$GQ$29,0))</f>
        <v/>
      </c>
      <c r="BE7">
        <f>INDEX($B$21:$GQ$21,MATCH(56,$B$29:$GQ$29,0))</f>
        <v/>
      </c>
      <c r="BF7">
        <f>INDEX($B$21:$GQ$21,MATCH(57,$B$29:$GQ$29,0))</f>
        <v/>
      </c>
      <c r="BG7">
        <f>INDEX($B$21:$GQ$21,MATCH(58,$B$29:$GQ$29,0))</f>
        <v/>
      </c>
      <c r="BH7">
        <f>INDEX($B$21:$GQ$21,MATCH(59,$B$29:$GQ$29,0))</f>
        <v/>
      </c>
      <c r="BI7">
        <f>INDEX($B$21:$GQ$21,MATCH(60,$B$29:$GQ$29,0))</f>
        <v/>
      </c>
      <c r="BJ7">
        <f>INDEX($B$21:$GQ$21,MATCH(61,$B$29:$GQ$29,0))</f>
        <v/>
      </c>
      <c r="BK7">
        <f>INDEX($B$21:$GQ$21,MATCH(62,$B$29:$GQ$29,0))</f>
        <v/>
      </c>
      <c r="BL7">
        <f>INDEX($B$21:$GQ$21,MATCH(63,$B$29:$GQ$29,0))</f>
        <v/>
      </c>
      <c r="BM7">
        <f>INDEX($B$21:$GQ$21,MATCH(64,$B$29:$GQ$29,0))</f>
        <v/>
      </c>
      <c r="BN7">
        <f>INDEX($B$21:$GQ$21,MATCH(65,$B$29:$GQ$29,0))</f>
        <v/>
      </c>
      <c r="BO7">
        <f>INDEX($B$21:$GQ$21,MATCH(66,$B$29:$GQ$29,0))</f>
        <v/>
      </c>
      <c r="BP7">
        <f>INDEX($B$21:$GQ$21,MATCH(67,$B$29:$GQ$29,0))</f>
        <v/>
      </c>
      <c r="BQ7">
        <f>INDEX($B$21:$GQ$21,MATCH(68,$B$29:$GQ$29,0))</f>
        <v/>
      </c>
      <c r="BR7">
        <f>INDEX($B$21:$GQ$21,MATCH(69,$B$29:$GQ$29,0))</f>
        <v/>
      </c>
      <c r="BS7">
        <f>INDEX($B$21:$GQ$21,MATCH(70,$B$29:$GQ$29,0))</f>
        <v/>
      </c>
      <c r="BT7">
        <f>INDEX($B$21:$GQ$21,MATCH(71,$B$29:$GQ$29,0))</f>
        <v/>
      </c>
      <c r="BU7">
        <f>INDEX($B$21:$GQ$21,MATCH(72,$B$29:$GQ$29,0))</f>
        <v/>
      </c>
      <c r="BV7">
        <f>INDEX($B$21:$GQ$21,MATCH(73,$B$29:$GQ$29,0))</f>
        <v/>
      </c>
      <c r="BW7">
        <f>INDEX($B$21:$GQ$21,MATCH(74,$B$29:$GQ$29,0))</f>
        <v/>
      </c>
      <c r="BX7">
        <f>INDEX($B$21:$GQ$21,MATCH(75,$B$29:$GQ$29,0))</f>
        <v/>
      </c>
      <c r="BY7">
        <f>INDEX($B$21:$GQ$21,MATCH(76,$B$29:$GQ$29,0))</f>
        <v/>
      </c>
      <c r="BZ7">
        <f>INDEX($B$21:$GQ$21,MATCH(77,$B$29:$GQ$29,0))</f>
        <v/>
      </c>
      <c r="CA7">
        <f>INDEX($B$21:$GQ$21,MATCH(78,$B$29:$GQ$29,0))</f>
        <v/>
      </c>
      <c r="CB7">
        <f>INDEX($B$21:$GQ$21,MATCH(79,$B$29:$GQ$29,0))</f>
        <v/>
      </c>
      <c r="CC7">
        <f>INDEX($B$21:$GQ$21,MATCH(80,$B$29:$GQ$29,0))</f>
        <v/>
      </c>
      <c r="CD7">
        <f>INDEX($B$21:$GQ$21,MATCH(81,$B$29:$GQ$29,0))</f>
        <v/>
      </c>
      <c r="CE7">
        <f>INDEX($B$21:$GQ$21,MATCH(82,$B$29:$GQ$29,0))</f>
        <v/>
      </c>
      <c r="CF7">
        <f>INDEX($B$21:$GQ$21,MATCH(83,$B$29:$GQ$29,0))</f>
        <v/>
      </c>
      <c r="CG7">
        <f>INDEX($B$21:$GQ$21,MATCH(84,$B$29:$GQ$29,0))</f>
        <v/>
      </c>
      <c r="CH7">
        <f>INDEX($B$21:$GQ$21,MATCH(85,$B$29:$GQ$29,0))</f>
        <v/>
      </c>
      <c r="CI7">
        <f>INDEX($B$21:$GQ$21,MATCH(86,$B$29:$GQ$29,0))</f>
        <v/>
      </c>
      <c r="CJ7">
        <f>INDEX($B$21:$GQ$21,MATCH(87,$B$29:$GQ$29,0))</f>
        <v/>
      </c>
      <c r="CK7">
        <f>INDEX($B$21:$GQ$21,MATCH(88,$B$29:$GQ$29,0))</f>
        <v/>
      </c>
      <c r="CL7">
        <f>INDEX($B$21:$GQ$21,MATCH(89,$B$29:$GQ$29,0))</f>
        <v/>
      </c>
      <c r="CM7">
        <f>INDEX($B$21:$GQ$21,MATCH(90,$B$29:$GQ$29,0))</f>
        <v/>
      </c>
      <c r="CN7">
        <f>INDEX($B$21:$GQ$21,MATCH(91,$B$29:$GQ$29,0))</f>
        <v/>
      </c>
      <c r="CO7">
        <f>INDEX($B$21:$GQ$21,MATCH(92,$B$29:$GQ$29,0))</f>
        <v/>
      </c>
      <c r="CP7">
        <f>INDEX($B$21:$GQ$21,MATCH(93,$B$29:$GQ$29,0))</f>
        <v/>
      </c>
      <c r="CQ7">
        <f>INDEX($B$21:$GQ$21,MATCH(94,$B$29:$GQ$29,0))</f>
        <v/>
      </c>
      <c r="CR7">
        <f>INDEX($B$21:$GQ$21,MATCH(95,$B$29:$GQ$29,0))</f>
        <v/>
      </c>
      <c r="CS7">
        <f>INDEX($B$21:$GQ$21,MATCH(96,$B$29:$GQ$29,0))</f>
        <v/>
      </c>
      <c r="CT7">
        <f>INDEX($B$21:$GQ$21,MATCH(97,$B$29:$GQ$29,0))</f>
        <v/>
      </c>
      <c r="CU7">
        <f>INDEX($B$21:$GQ$21,MATCH(98,$B$29:$GQ$29,0))</f>
        <v/>
      </c>
      <c r="CV7">
        <f>INDEX($B$21:$GQ$21,MATCH(99,$B$29:$GQ$29,0))</f>
        <v/>
      </c>
      <c r="CW7">
        <f>INDEX($B$21:$GQ$21,MATCH(100,$B$29:$GQ$29,0))</f>
        <v/>
      </c>
      <c r="CX7">
        <f>INDEX($B$21:$GQ$21,MATCH(101,$B$29:$GQ$29,0))</f>
        <v/>
      </c>
      <c r="CY7">
        <f>INDEX($B$21:$GQ$21,MATCH(102,$B$29:$GQ$29,0))</f>
        <v/>
      </c>
      <c r="CZ7">
        <f>INDEX($B$21:$GQ$21,MATCH(103,$B$29:$GQ$29,0))</f>
        <v/>
      </c>
      <c r="DA7">
        <f>INDEX($B$21:$GQ$21,MATCH(104,$B$29:$GQ$29,0))</f>
        <v/>
      </c>
      <c r="DB7">
        <f>INDEX($B$21:$GQ$21,MATCH(105,$B$29:$GQ$29,0))</f>
        <v/>
      </c>
      <c r="DC7">
        <f>INDEX($B$21:$GQ$21,MATCH(106,$B$29:$GQ$29,0))</f>
        <v/>
      </c>
      <c r="DD7">
        <f>INDEX($B$21:$GQ$21,MATCH(107,$B$29:$GQ$29,0))</f>
        <v/>
      </c>
      <c r="DE7">
        <f>INDEX($B$21:$GQ$21,MATCH(108,$B$29:$GQ$29,0))</f>
        <v/>
      </c>
      <c r="DF7">
        <f>INDEX($B$21:$GQ$21,MATCH(109,$B$29:$GQ$29,0))</f>
        <v/>
      </c>
      <c r="DG7">
        <f>INDEX($B$21:$GQ$21,MATCH(110,$B$29:$GQ$29,0))</f>
        <v/>
      </c>
      <c r="DH7">
        <f>INDEX($B$21:$GQ$21,MATCH(111,$B$29:$GQ$29,0))</f>
        <v/>
      </c>
      <c r="DI7">
        <f>INDEX($B$21:$GQ$21,MATCH(112,$B$29:$GQ$29,0))</f>
        <v/>
      </c>
      <c r="DJ7">
        <f>INDEX($B$21:$GQ$21,MATCH(113,$B$29:$GQ$29,0))</f>
        <v/>
      </c>
      <c r="DK7">
        <f>INDEX($B$21:$GQ$21,MATCH(114,$B$29:$GQ$29,0))</f>
        <v/>
      </c>
      <c r="DL7">
        <f>INDEX($B$21:$GQ$21,MATCH(115,$B$29:$GQ$29,0))</f>
        <v/>
      </c>
      <c r="DM7">
        <f>INDEX($B$21:$GQ$21,MATCH(116,$B$29:$GQ$29,0))</f>
        <v/>
      </c>
      <c r="DN7">
        <f>INDEX($B$21:$GQ$21,MATCH(117,$B$29:$GQ$29,0))</f>
        <v/>
      </c>
      <c r="DO7">
        <f>INDEX($B$21:$GQ$21,MATCH(118,$B$29:$GQ$29,0))</f>
        <v/>
      </c>
      <c r="DP7">
        <f>INDEX($B$21:$GQ$21,MATCH(119,$B$29:$GQ$29,0))</f>
        <v/>
      </c>
      <c r="DQ7">
        <f>INDEX($B$21:$GQ$21,MATCH(120,$B$29:$GQ$29,0))</f>
        <v/>
      </c>
      <c r="DR7">
        <f>INDEX($B$21:$GQ$21,MATCH(121,$B$29:$GQ$29,0))</f>
        <v/>
      </c>
      <c r="DS7">
        <f>INDEX($B$21:$GQ$21,MATCH(122,$B$29:$GQ$29,0))</f>
        <v/>
      </c>
      <c r="DT7">
        <f>INDEX($B$21:$GQ$21,MATCH(123,$B$29:$GQ$29,0))</f>
        <v/>
      </c>
      <c r="DU7">
        <f>INDEX($B$21:$GQ$21,MATCH(124,$B$29:$GQ$29,0))</f>
        <v/>
      </c>
      <c r="DV7">
        <f>INDEX($B$21:$GQ$21,MATCH(125,$B$29:$GQ$29,0))</f>
        <v/>
      </c>
      <c r="DW7">
        <f>INDEX($B$21:$GQ$21,MATCH(126,$B$29:$GQ$29,0))</f>
        <v/>
      </c>
      <c r="DX7">
        <f>INDEX($B$21:$GQ$21,MATCH(127,$B$29:$GQ$29,0))</f>
        <v/>
      </c>
      <c r="DY7">
        <f>INDEX($B$21:$GQ$21,MATCH(128,$B$29:$GQ$29,0))</f>
        <v/>
      </c>
      <c r="DZ7">
        <f>INDEX($B$21:$GQ$21,MATCH(129,$B$29:$GQ$29,0))</f>
        <v/>
      </c>
      <c r="EA7">
        <f>INDEX($B$21:$GQ$21,MATCH(130,$B$29:$GQ$29,0))</f>
        <v/>
      </c>
      <c r="EB7">
        <f>INDEX($B$21:$GQ$21,MATCH(131,$B$29:$GQ$29,0))</f>
        <v/>
      </c>
      <c r="EC7">
        <f>INDEX($B$21:$GQ$21,MATCH(132,$B$29:$GQ$29,0))</f>
        <v/>
      </c>
      <c r="ED7">
        <f>INDEX($B$21:$GQ$21,MATCH(133,$B$29:$GQ$29,0))</f>
        <v/>
      </c>
      <c r="EE7">
        <f>INDEX($B$21:$GQ$21,MATCH(134,$B$29:$GQ$29,0))</f>
        <v/>
      </c>
      <c r="EF7">
        <f>INDEX($B$21:$GQ$21,MATCH(135,$B$29:$GQ$29,0))</f>
        <v/>
      </c>
      <c r="EG7">
        <f>INDEX($B$21:$GQ$21,MATCH(136,$B$29:$GQ$29,0))</f>
        <v/>
      </c>
      <c r="EH7">
        <f>INDEX($B$21:$GQ$21,MATCH(137,$B$29:$GQ$29,0))</f>
        <v/>
      </c>
      <c r="EI7">
        <f>INDEX($B$21:$GQ$21,MATCH(138,$B$29:$GQ$29,0))</f>
        <v/>
      </c>
      <c r="EJ7">
        <f>INDEX($B$21:$GQ$21,MATCH(139,$B$29:$GQ$29,0))</f>
        <v/>
      </c>
      <c r="EK7">
        <f>INDEX($B$21:$GQ$21,MATCH(140,$B$29:$GQ$29,0))</f>
        <v/>
      </c>
      <c r="EL7">
        <f>INDEX($B$21:$GQ$21,MATCH(141,$B$29:$GQ$29,0))</f>
        <v/>
      </c>
      <c r="EM7">
        <f>INDEX($B$21:$GQ$21,MATCH(142,$B$29:$GQ$29,0))</f>
        <v/>
      </c>
      <c r="EN7">
        <f>INDEX($B$21:$GQ$21,MATCH(143,$B$29:$GQ$29,0))</f>
        <v/>
      </c>
      <c r="EO7">
        <f>INDEX($B$21:$GQ$21,MATCH(144,$B$29:$GQ$29,0))</f>
        <v/>
      </c>
      <c r="EP7">
        <f>INDEX($B$21:$GQ$21,MATCH(145,$B$29:$GQ$29,0))</f>
        <v/>
      </c>
      <c r="EQ7">
        <f>INDEX($B$21:$GQ$21,MATCH(146,$B$29:$GQ$29,0))</f>
        <v/>
      </c>
      <c r="ER7">
        <f>INDEX($B$21:$GQ$21,MATCH(147,$B$29:$GQ$29,0))</f>
        <v/>
      </c>
      <c r="ES7">
        <f>INDEX($B$21:$GQ$21,MATCH(148,$B$29:$GQ$29,0))</f>
        <v/>
      </c>
      <c r="ET7">
        <f>INDEX($B$21:$GQ$21,MATCH(149,$B$29:$GQ$29,0))</f>
        <v/>
      </c>
      <c r="EU7">
        <f>INDEX($B$21:$GQ$21,MATCH(150,$B$29:$GQ$29,0))</f>
        <v/>
      </c>
      <c r="EV7">
        <f>INDEX($B$21:$GQ$21,MATCH(151,$B$29:$GQ$29,0))</f>
        <v/>
      </c>
      <c r="EW7">
        <f>INDEX($B$21:$GQ$21,MATCH(152,$B$29:$GQ$29,0))</f>
        <v/>
      </c>
      <c r="EX7">
        <f>INDEX($B$21:$GQ$21,MATCH(153,$B$29:$GQ$29,0))</f>
        <v/>
      </c>
      <c r="EY7">
        <f>INDEX($B$21:$GQ$21,MATCH(154,$B$29:$GQ$29,0))</f>
        <v/>
      </c>
      <c r="EZ7">
        <f>INDEX($B$21:$GQ$21,MATCH(155,$B$29:$GQ$29,0))</f>
        <v/>
      </c>
      <c r="FA7">
        <f>INDEX($B$21:$GQ$21,MATCH(156,$B$29:$GQ$29,0))</f>
        <v/>
      </c>
      <c r="FB7">
        <f>INDEX($B$21:$GQ$21,MATCH(157,$B$29:$GQ$29,0))</f>
        <v/>
      </c>
      <c r="FC7">
        <f>INDEX($B$21:$GQ$21,MATCH(158,$B$29:$GQ$29,0))</f>
        <v/>
      </c>
      <c r="FD7">
        <f>INDEX($B$21:$GQ$21,MATCH(159,$B$29:$GQ$29,0))</f>
        <v/>
      </c>
      <c r="FE7">
        <f>INDEX($B$21:$GQ$21,MATCH(160,$B$29:$GQ$29,0))</f>
        <v/>
      </c>
      <c r="FF7">
        <f>INDEX($B$21:$GQ$21,MATCH(161,$B$29:$GQ$29,0))</f>
        <v/>
      </c>
      <c r="FG7">
        <f>INDEX($B$21:$GQ$21,MATCH(162,$B$29:$GQ$29,0))</f>
        <v/>
      </c>
      <c r="FH7">
        <f>INDEX($B$21:$GQ$21,MATCH(163,$B$29:$GQ$29,0))</f>
        <v/>
      </c>
      <c r="FI7">
        <f>INDEX($B$21:$GQ$21,MATCH(164,$B$29:$GQ$29,0))</f>
        <v/>
      </c>
      <c r="FJ7">
        <f>INDEX($B$21:$GQ$21,MATCH(165,$B$29:$GQ$29,0))</f>
        <v/>
      </c>
      <c r="FK7">
        <f>INDEX($B$21:$GQ$21,MATCH(166,$B$29:$GQ$29,0))</f>
        <v/>
      </c>
      <c r="FL7">
        <f>INDEX($B$21:$GQ$21,MATCH(167,$B$29:$GQ$29,0))</f>
        <v/>
      </c>
      <c r="FM7">
        <f>INDEX($B$21:$GQ$21,MATCH(168,$B$29:$GQ$29,0))</f>
        <v/>
      </c>
      <c r="FN7">
        <f>INDEX($B$21:$GQ$21,MATCH(169,$B$29:$GQ$29,0))</f>
        <v/>
      </c>
      <c r="FO7">
        <f>INDEX($B$21:$GQ$21,MATCH(170,$B$29:$GQ$29,0))</f>
        <v/>
      </c>
      <c r="FP7">
        <f>INDEX($B$21:$GQ$21,MATCH(171,$B$29:$GQ$29,0))</f>
        <v/>
      </c>
      <c r="FQ7">
        <f>INDEX($B$21:$GQ$21,MATCH(172,$B$29:$GQ$29,0))</f>
        <v/>
      </c>
      <c r="FR7">
        <f>INDEX($B$21:$GQ$21,MATCH(173,$B$29:$GQ$29,0))</f>
        <v/>
      </c>
      <c r="FS7">
        <f>INDEX($B$21:$GQ$21,MATCH(174,$B$29:$GQ$29,0))</f>
        <v/>
      </c>
      <c r="FT7">
        <f>INDEX($B$21:$GQ$21,MATCH(175,$B$29:$GQ$29,0))</f>
        <v/>
      </c>
      <c r="FU7">
        <f>INDEX($B$21:$GQ$21,MATCH(176,$B$29:$GQ$29,0))</f>
        <v/>
      </c>
      <c r="FV7">
        <f>INDEX($B$21:$GQ$21,MATCH(177,$B$29:$GQ$29,0))</f>
        <v/>
      </c>
      <c r="FW7">
        <f>INDEX($B$21:$GQ$21,MATCH(178,$B$29:$GQ$29,0))</f>
        <v/>
      </c>
      <c r="FX7">
        <f>INDEX($B$21:$GQ$21,MATCH(179,$B$29:$GQ$29,0))</f>
        <v/>
      </c>
      <c r="FY7">
        <f>INDEX($B$21:$GQ$21,MATCH(180,$B$29:$GQ$29,0))</f>
        <v/>
      </c>
      <c r="FZ7">
        <f>INDEX($B$21:$GQ$21,MATCH(181,$B$29:$GQ$29,0))</f>
        <v/>
      </c>
      <c r="GA7">
        <f>INDEX($B$21:$GQ$21,MATCH(182,$B$29:$GQ$29,0))</f>
        <v/>
      </c>
      <c r="GB7">
        <f>INDEX($B$21:$GQ$21,MATCH(183,$B$29:$GQ$29,0))</f>
        <v/>
      </c>
      <c r="GC7">
        <f>INDEX($B$21:$GQ$21,MATCH(184,$B$29:$GQ$29,0))</f>
        <v/>
      </c>
      <c r="GD7">
        <f>INDEX($B$21:$GQ$21,MATCH(185,$B$29:$GQ$29,0))</f>
        <v/>
      </c>
      <c r="GE7">
        <f>INDEX($B$21:$GQ$21,MATCH(186,$B$29:$GQ$29,0))</f>
        <v/>
      </c>
      <c r="GF7">
        <f>INDEX($B$21:$GQ$21,MATCH(187,$B$29:$GQ$29,0))</f>
        <v/>
      </c>
      <c r="GG7">
        <f>INDEX($B$21:$GQ$21,MATCH(188,$B$29:$GQ$29,0))</f>
        <v/>
      </c>
      <c r="GH7">
        <f>INDEX($B$21:$GQ$21,MATCH(189,$B$29:$GQ$29,0))</f>
        <v/>
      </c>
      <c r="GI7">
        <f>INDEX($B$21:$GQ$21,MATCH(190,$B$29:$GQ$29,0))</f>
        <v/>
      </c>
      <c r="GJ7">
        <f>INDEX($B$21:$GQ$21,MATCH(191,$B$29:$GQ$29,0))</f>
        <v/>
      </c>
      <c r="GK7">
        <f>INDEX($B$21:$GQ$21,MATCH(192,$B$29:$GQ$29,0))</f>
        <v/>
      </c>
      <c r="GL7">
        <f>INDEX($B$21:$GQ$21,MATCH(193,$B$29:$GQ$29,0))</f>
        <v/>
      </c>
      <c r="GM7">
        <f>INDEX($B$21:$GQ$21,MATCH(194,$B$29:$GQ$29,0))</f>
        <v/>
      </c>
      <c r="GN7">
        <f>INDEX($B$21:$GQ$21,MATCH(195,$B$29:$GQ$29,0))</f>
        <v/>
      </c>
      <c r="GO7">
        <f>INDEX($B$21:$GQ$21,MATCH(196,$B$29:$GQ$29,0))</f>
        <v/>
      </c>
      <c r="GP7">
        <f>INDEX($B$21:$GQ$21,MATCH(197,$B$29:$GQ$29,0))</f>
        <v/>
      </c>
      <c r="GQ7">
        <f>INDEX($B$21:$GQ$21,MATCH(198,$B$29:$GQ$29,0))</f>
        <v/>
      </c>
      <c r="GR7">
        <f>INDEX($GR$21:$HC$21,MATCH(1,$GR$30:$HC$30,0))</f>
        <v/>
      </c>
      <c r="GS7">
        <f>INDEX($GR$21:$HC$21,MATCH(2,$GR$30:$HC$30,0))</f>
        <v/>
      </c>
      <c r="GT7">
        <f>INDEX($GR$21:$HC$21,MATCH(3,$GR$30:$HC$30,0))</f>
        <v/>
      </c>
      <c r="GU7">
        <f>INDEX($GR$21:$HC$21,MATCH(4,$GR$30:$HC$30,0))</f>
        <v/>
      </c>
      <c r="GV7">
        <f>INDEX($GR$21:$HC$21,MATCH(5,$GR$30:$HC$30,0))</f>
        <v/>
      </c>
      <c r="GW7">
        <f>INDEX($GR$21:$HC$21,MATCH(6,$GR$30:$HC$30,0))</f>
        <v/>
      </c>
      <c r="GX7">
        <f>INDEX($GR$21:$HC$21,MATCH(7,$GR$30:$HC$30,0))</f>
        <v/>
      </c>
      <c r="GY7">
        <f>INDEX($GR$21:$HC$21,MATCH(8,$GR$30:$HC$30,0))</f>
        <v/>
      </c>
      <c r="GZ7">
        <f>INDEX($GR$21:$HC$21,MATCH(9,$GR$30:$HC$30,0))</f>
        <v/>
      </c>
      <c r="HA7">
        <f>INDEX($GR$21:$HC$21,MATCH(10,$GR$30:$HC$30,0))</f>
        <v/>
      </c>
      <c r="HB7">
        <f>INDEX($GR$21:$HC$21,MATCH(11,$GR$30:$HC$30,0))</f>
        <v/>
      </c>
      <c r="HC7">
        <f>INDEX($GR$21:$HC$21,MATCH(12,$GR$30:$HC$30,0))</f>
        <v/>
      </c>
    </row>
    <row r="8">
      <c r="A8" s="1" t="inlineStr">
        <is>
          <t>Y_dom</t>
        </is>
      </c>
      <c r="B8">
        <f>INDEX($B$22:$GQ$22,MATCH(1,$B$29:$GQ$29,0))</f>
        <v/>
      </c>
      <c r="C8">
        <f>INDEX($B$22:$GQ$22,MATCH(2,$B$29:$GQ$29,0))</f>
        <v/>
      </c>
      <c r="D8">
        <f>INDEX($B$22:$GQ$22,MATCH(3,$B$29:$GQ$29,0))</f>
        <v/>
      </c>
      <c r="E8">
        <f>INDEX($B$22:$GQ$22,MATCH(4,$B$29:$GQ$29,0))</f>
        <v/>
      </c>
      <c r="F8">
        <f>INDEX($B$22:$GQ$22,MATCH(5,$B$29:$GQ$29,0))</f>
        <v/>
      </c>
      <c r="G8">
        <f>INDEX($B$22:$GQ$22,MATCH(6,$B$29:$GQ$29,0))</f>
        <v/>
      </c>
      <c r="H8">
        <f>INDEX($B$22:$GQ$22,MATCH(7,$B$29:$GQ$29,0))</f>
        <v/>
      </c>
      <c r="I8">
        <f>INDEX($B$22:$GQ$22,MATCH(8,$B$29:$GQ$29,0))</f>
        <v/>
      </c>
      <c r="J8">
        <f>INDEX($B$22:$GQ$22,MATCH(9,$B$29:$GQ$29,0))</f>
        <v/>
      </c>
      <c r="K8">
        <f>INDEX($B$22:$GQ$22,MATCH(10,$B$29:$GQ$29,0))</f>
        <v/>
      </c>
      <c r="L8">
        <f>INDEX($B$22:$GQ$22,MATCH(11,$B$29:$GQ$29,0))</f>
        <v/>
      </c>
      <c r="M8">
        <f>INDEX($B$22:$GQ$22,MATCH(12,$B$29:$GQ$29,0))</f>
        <v/>
      </c>
      <c r="N8">
        <f>INDEX($B$22:$GQ$22,MATCH(13,$B$29:$GQ$29,0))</f>
        <v/>
      </c>
      <c r="O8">
        <f>INDEX($B$22:$GQ$22,MATCH(14,$B$29:$GQ$29,0))</f>
        <v/>
      </c>
      <c r="P8">
        <f>INDEX($B$22:$GQ$22,MATCH(15,$B$29:$GQ$29,0))</f>
        <v/>
      </c>
      <c r="Q8">
        <f>INDEX($B$22:$GQ$22,MATCH(16,$B$29:$GQ$29,0))</f>
        <v/>
      </c>
      <c r="R8">
        <f>INDEX($B$22:$GQ$22,MATCH(17,$B$29:$GQ$29,0))</f>
        <v/>
      </c>
      <c r="S8">
        <f>INDEX($B$22:$GQ$22,MATCH(18,$B$29:$GQ$29,0))</f>
        <v/>
      </c>
      <c r="T8">
        <f>INDEX($B$22:$GQ$22,MATCH(19,$B$29:$GQ$29,0))</f>
        <v/>
      </c>
      <c r="U8">
        <f>INDEX($B$22:$GQ$22,MATCH(20,$B$29:$GQ$29,0))</f>
        <v/>
      </c>
      <c r="V8">
        <f>INDEX($B$22:$GQ$22,MATCH(21,$B$29:$GQ$29,0))</f>
        <v/>
      </c>
      <c r="W8">
        <f>INDEX($B$22:$GQ$22,MATCH(22,$B$29:$GQ$29,0))</f>
        <v/>
      </c>
      <c r="X8">
        <f>INDEX($B$22:$GQ$22,MATCH(23,$B$29:$GQ$29,0))</f>
        <v/>
      </c>
      <c r="Y8">
        <f>INDEX($B$22:$GQ$22,MATCH(24,$B$29:$GQ$29,0))</f>
        <v/>
      </c>
      <c r="Z8">
        <f>INDEX($B$22:$GQ$22,MATCH(25,$B$29:$GQ$29,0))</f>
        <v/>
      </c>
      <c r="AA8">
        <f>INDEX($B$22:$GQ$22,MATCH(26,$B$29:$GQ$29,0))</f>
        <v/>
      </c>
      <c r="AB8">
        <f>INDEX($B$22:$GQ$22,MATCH(27,$B$29:$GQ$29,0))</f>
        <v/>
      </c>
      <c r="AC8">
        <f>INDEX($B$22:$GQ$22,MATCH(28,$B$29:$GQ$29,0))</f>
        <v/>
      </c>
      <c r="AD8">
        <f>INDEX($B$22:$GQ$22,MATCH(29,$B$29:$GQ$29,0))</f>
        <v/>
      </c>
      <c r="AE8">
        <f>INDEX($B$22:$GQ$22,MATCH(30,$B$29:$GQ$29,0))</f>
        <v/>
      </c>
      <c r="AF8">
        <f>INDEX($B$22:$GQ$22,MATCH(31,$B$29:$GQ$29,0))</f>
        <v/>
      </c>
      <c r="AG8">
        <f>INDEX($B$22:$GQ$22,MATCH(32,$B$29:$GQ$29,0))</f>
        <v/>
      </c>
      <c r="AH8">
        <f>INDEX($B$22:$GQ$22,MATCH(33,$B$29:$GQ$29,0))</f>
        <v/>
      </c>
      <c r="AI8">
        <f>INDEX($B$22:$GQ$22,MATCH(34,$B$29:$GQ$29,0))</f>
        <v/>
      </c>
      <c r="AJ8">
        <f>INDEX($B$22:$GQ$22,MATCH(35,$B$29:$GQ$29,0))</f>
        <v/>
      </c>
      <c r="AK8">
        <f>INDEX($B$22:$GQ$22,MATCH(36,$B$29:$GQ$29,0))</f>
        <v/>
      </c>
      <c r="AL8">
        <f>INDEX($B$22:$GQ$22,MATCH(37,$B$29:$GQ$29,0))</f>
        <v/>
      </c>
      <c r="AM8">
        <f>INDEX($B$22:$GQ$22,MATCH(38,$B$29:$GQ$29,0))</f>
        <v/>
      </c>
      <c r="AN8">
        <f>INDEX($B$22:$GQ$22,MATCH(39,$B$29:$GQ$29,0))</f>
        <v/>
      </c>
      <c r="AO8">
        <f>INDEX($B$22:$GQ$22,MATCH(40,$B$29:$GQ$29,0))</f>
        <v/>
      </c>
      <c r="AP8">
        <f>INDEX($B$22:$GQ$22,MATCH(41,$B$29:$GQ$29,0))</f>
        <v/>
      </c>
      <c r="AQ8">
        <f>INDEX($B$22:$GQ$22,MATCH(42,$B$29:$GQ$29,0))</f>
        <v/>
      </c>
      <c r="AR8">
        <f>INDEX($B$22:$GQ$22,MATCH(43,$B$29:$GQ$29,0))</f>
        <v/>
      </c>
      <c r="AS8">
        <f>INDEX($B$22:$GQ$22,MATCH(44,$B$29:$GQ$29,0))</f>
        <v/>
      </c>
      <c r="AT8">
        <f>INDEX($B$22:$GQ$22,MATCH(45,$B$29:$GQ$29,0))</f>
        <v/>
      </c>
      <c r="AU8">
        <f>INDEX($B$22:$GQ$22,MATCH(46,$B$29:$GQ$29,0))</f>
        <v/>
      </c>
      <c r="AV8">
        <f>INDEX($B$22:$GQ$22,MATCH(47,$B$29:$GQ$29,0))</f>
        <v/>
      </c>
      <c r="AW8">
        <f>INDEX($B$22:$GQ$22,MATCH(48,$B$29:$GQ$29,0))</f>
        <v/>
      </c>
      <c r="AX8">
        <f>INDEX($B$22:$GQ$22,MATCH(49,$B$29:$GQ$29,0))</f>
        <v/>
      </c>
      <c r="AY8">
        <f>INDEX($B$22:$GQ$22,MATCH(50,$B$29:$GQ$29,0))</f>
        <v/>
      </c>
      <c r="AZ8">
        <f>INDEX($B$22:$GQ$22,MATCH(51,$B$29:$GQ$29,0))</f>
        <v/>
      </c>
      <c r="BA8">
        <f>INDEX($B$22:$GQ$22,MATCH(52,$B$29:$GQ$29,0))</f>
        <v/>
      </c>
      <c r="BB8">
        <f>INDEX($B$22:$GQ$22,MATCH(53,$B$29:$GQ$29,0))</f>
        <v/>
      </c>
      <c r="BC8">
        <f>INDEX($B$22:$GQ$22,MATCH(54,$B$29:$GQ$29,0))</f>
        <v/>
      </c>
      <c r="BD8">
        <f>INDEX($B$22:$GQ$22,MATCH(55,$B$29:$GQ$29,0))</f>
        <v/>
      </c>
      <c r="BE8">
        <f>INDEX($B$22:$GQ$22,MATCH(56,$B$29:$GQ$29,0))</f>
        <v/>
      </c>
      <c r="BF8">
        <f>INDEX($B$22:$GQ$22,MATCH(57,$B$29:$GQ$29,0))</f>
        <v/>
      </c>
      <c r="BG8">
        <f>INDEX($B$22:$GQ$22,MATCH(58,$B$29:$GQ$29,0))</f>
        <v/>
      </c>
      <c r="BH8">
        <f>INDEX($B$22:$GQ$22,MATCH(59,$B$29:$GQ$29,0))</f>
        <v/>
      </c>
      <c r="BI8">
        <f>INDEX($B$22:$GQ$22,MATCH(60,$B$29:$GQ$29,0))</f>
        <v/>
      </c>
      <c r="BJ8">
        <f>INDEX($B$22:$GQ$22,MATCH(61,$B$29:$GQ$29,0))</f>
        <v/>
      </c>
      <c r="BK8">
        <f>INDEX($B$22:$GQ$22,MATCH(62,$B$29:$GQ$29,0))</f>
        <v/>
      </c>
      <c r="BL8">
        <f>INDEX($B$22:$GQ$22,MATCH(63,$B$29:$GQ$29,0))</f>
        <v/>
      </c>
      <c r="BM8">
        <f>INDEX($B$22:$GQ$22,MATCH(64,$B$29:$GQ$29,0))</f>
        <v/>
      </c>
      <c r="BN8">
        <f>INDEX($B$22:$GQ$22,MATCH(65,$B$29:$GQ$29,0))</f>
        <v/>
      </c>
      <c r="BO8">
        <f>INDEX($B$22:$GQ$22,MATCH(66,$B$29:$GQ$29,0))</f>
        <v/>
      </c>
      <c r="BP8">
        <f>INDEX($B$22:$GQ$22,MATCH(67,$B$29:$GQ$29,0))</f>
        <v/>
      </c>
      <c r="BQ8">
        <f>INDEX($B$22:$GQ$22,MATCH(68,$B$29:$GQ$29,0))</f>
        <v/>
      </c>
      <c r="BR8">
        <f>INDEX($B$22:$GQ$22,MATCH(69,$B$29:$GQ$29,0))</f>
        <v/>
      </c>
      <c r="BS8">
        <f>INDEX($B$22:$GQ$22,MATCH(70,$B$29:$GQ$29,0))</f>
        <v/>
      </c>
      <c r="BT8">
        <f>INDEX($B$22:$GQ$22,MATCH(71,$B$29:$GQ$29,0))</f>
        <v/>
      </c>
      <c r="BU8">
        <f>INDEX($B$22:$GQ$22,MATCH(72,$B$29:$GQ$29,0))</f>
        <v/>
      </c>
      <c r="BV8">
        <f>INDEX($B$22:$GQ$22,MATCH(73,$B$29:$GQ$29,0))</f>
        <v/>
      </c>
      <c r="BW8">
        <f>INDEX($B$22:$GQ$22,MATCH(74,$B$29:$GQ$29,0))</f>
        <v/>
      </c>
      <c r="BX8">
        <f>INDEX($B$22:$GQ$22,MATCH(75,$B$29:$GQ$29,0))</f>
        <v/>
      </c>
      <c r="BY8">
        <f>INDEX($B$22:$GQ$22,MATCH(76,$B$29:$GQ$29,0))</f>
        <v/>
      </c>
      <c r="BZ8">
        <f>INDEX($B$22:$GQ$22,MATCH(77,$B$29:$GQ$29,0))</f>
        <v/>
      </c>
      <c r="CA8">
        <f>INDEX($B$22:$GQ$22,MATCH(78,$B$29:$GQ$29,0))</f>
        <v/>
      </c>
      <c r="CB8">
        <f>INDEX($B$22:$GQ$22,MATCH(79,$B$29:$GQ$29,0))</f>
        <v/>
      </c>
      <c r="CC8">
        <f>INDEX($B$22:$GQ$22,MATCH(80,$B$29:$GQ$29,0))</f>
        <v/>
      </c>
      <c r="CD8">
        <f>INDEX($B$22:$GQ$22,MATCH(81,$B$29:$GQ$29,0))</f>
        <v/>
      </c>
      <c r="CE8">
        <f>INDEX($B$22:$GQ$22,MATCH(82,$B$29:$GQ$29,0))</f>
        <v/>
      </c>
      <c r="CF8">
        <f>INDEX($B$22:$GQ$22,MATCH(83,$B$29:$GQ$29,0))</f>
        <v/>
      </c>
      <c r="CG8">
        <f>INDEX($B$22:$GQ$22,MATCH(84,$B$29:$GQ$29,0))</f>
        <v/>
      </c>
      <c r="CH8">
        <f>INDEX($B$22:$GQ$22,MATCH(85,$B$29:$GQ$29,0))</f>
        <v/>
      </c>
      <c r="CI8">
        <f>INDEX($B$22:$GQ$22,MATCH(86,$B$29:$GQ$29,0))</f>
        <v/>
      </c>
      <c r="CJ8">
        <f>INDEX($B$22:$GQ$22,MATCH(87,$B$29:$GQ$29,0))</f>
        <v/>
      </c>
      <c r="CK8">
        <f>INDEX($B$22:$GQ$22,MATCH(88,$B$29:$GQ$29,0))</f>
        <v/>
      </c>
      <c r="CL8">
        <f>INDEX($B$22:$GQ$22,MATCH(89,$B$29:$GQ$29,0))</f>
        <v/>
      </c>
      <c r="CM8">
        <f>INDEX($B$22:$GQ$22,MATCH(90,$B$29:$GQ$29,0))</f>
        <v/>
      </c>
      <c r="CN8">
        <f>INDEX($B$22:$GQ$22,MATCH(91,$B$29:$GQ$29,0))</f>
        <v/>
      </c>
      <c r="CO8">
        <f>INDEX($B$22:$GQ$22,MATCH(92,$B$29:$GQ$29,0))</f>
        <v/>
      </c>
      <c r="CP8">
        <f>INDEX($B$22:$GQ$22,MATCH(93,$B$29:$GQ$29,0))</f>
        <v/>
      </c>
      <c r="CQ8">
        <f>INDEX($B$22:$GQ$22,MATCH(94,$B$29:$GQ$29,0))</f>
        <v/>
      </c>
      <c r="CR8">
        <f>INDEX($B$22:$GQ$22,MATCH(95,$B$29:$GQ$29,0))</f>
        <v/>
      </c>
      <c r="CS8">
        <f>INDEX($B$22:$GQ$22,MATCH(96,$B$29:$GQ$29,0))</f>
        <v/>
      </c>
      <c r="CT8">
        <f>INDEX($B$22:$GQ$22,MATCH(97,$B$29:$GQ$29,0))</f>
        <v/>
      </c>
      <c r="CU8">
        <f>INDEX($B$22:$GQ$22,MATCH(98,$B$29:$GQ$29,0))</f>
        <v/>
      </c>
      <c r="CV8">
        <f>INDEX($B$22:$GQ$22,MATCH(99,$B$29:$GQ$29,0))</f>
        <v/>
      </c>
      <c r="CW8">
        <f>INDEX($B$22:$GQ$22,MATCH(100,$B$29:$GQ$29,0))</f>
        <v/>
      </c>
      <c r="CX8">
        <f>INDEX($B$22:$GQ$22,MATCH(101,$B$29:$GQ$29,0))</f>
        <v/>
      </c>
      <c r="CY8">
        <f>INDEX($B$22:$GQ$22,MATCH(102,$B$29:$GQ$29,0))</f>
        <v/>
      </c>
      <c r="CZ8">
        <f>INDEX($B$22:$GQ$22,MATCH(103,$B$29:$GQ$29,0))</f>
        <v/>
      </c>
      <c r="DA8">
        <f>INDEX($B$22:$GQ$22,MATCH(104,$B$29:$GQ$29,0))</f>
        <v/>
      </c>
      <c r="DB8">
        <f>INDEX($B$22:$GQ$22,MATCH(105,$B$29:$GQ$29,0))</f>
        <v/>
      </c>
      <c r="DC8">
        <f>INDEX($B$22:$GQ$22,MATCH(106,$B$29:$GQ$29,0))</f>
        <v/>
      </c>
      <c r="DD8">
        <f>INDEX($B$22:$GQ$22,MATCH(107,$B$29:$GQ$29,0))</f>
        <v/>
      </c>
      <c r="DE8">
        <f>INDEX($B$22:$GQ$22,MATCH(108,$B$29:$GQ$29,0))</f>
        <v/>
      </c>
      <c r="DF8">
        <f>INDEX($B$22:$GQ$22,MATCH(109,$B$29:$GQ$29,0))</f>
        <v/>
      </c>
      <c r="DG8">
        <f>INDEX($B$22:$GQ$22,MATCH(110,$B$29:$GQ$29,0))</f>
        <v/>
      </c>
      <c r="DH8">
        <f>INDEX($B$22:$GQ$22,MATCH(111,$B$29:$GQ$29,0))</f>
        <v/>
      </c>
      <c r="DI8">
        <f>INDEX($B$22:$GQ$22,MATCH(112,$B$29:$GQ$29,0))</f>
        <v/>
      </c>
      <c r="DJ8">
        <f>INDEX($B$22:$GQ$22,MATCH(113,$B$29:$GQ$29,0))</f>
        <v/>
      </c>
      <c r="DK8">
        <f>INDEX($B$22:$GQ$22,MATCH(114,$B$29:$GQ$29,0))</f>
        <v/>
      </c>
      <c r="DL8">
        <f>INDEX($B$22:$GQ$22,MATCH(115,$B$29:$GQ$29,0))</f>
        <v/>
      </c>
      <c r="DM8">
        <f>INDEX($B$22:$GQ$22,MATCH(116,$B$29:$GQ$29,0))</f>
        <v/>
      </c>
      <c r="DN8">
        <f>INDEX($B$22:$GQ$22,MATCH(117,$B$29:$GQ$29,0))</f>
        <v/>
      </c>
      <c r="DO8">
        <f>INDEX($B$22:$GQ$22,MATCH(118,$B$29:$GQ$29,0))</f>
        <v/>
      </c>
      <c r="DP8">
        <f>INDEX($B$22:$GQ$22,MATCH(119,$B$29:$GQ$29,0))</f>
        <v/>
      </c>
      <c r="DQ8">
        <f>INDEX($B$22:$GQ$22,MATCH(120,$B$29:$GQ$29,0))</f>
        <v/>
      </c>
      <c r="DR8">
        <f>INDEX($B$22:$GQ$22,MATCH(121,$B$29:$GQ$29,0))</f>
        <v/>
      </c>
      <c r="DS8">
        <f>INDEX($B$22:$GQ$22,MATCH(122,$B$29:$GQ$29,0))</f>
        <v/>
      </c>
      <c r="DT8">
        <f>INDEX($B$22:$GQ$22,MATCH(123,$B$29:$GQ$29,0))</f>
        <v/>
      </c>
      <c r="DU8">
        <f>INDEX($B$22:$GQ$22,MATCH(124,$B$29:$GQ$29,0))</f>
        <v/>
      </c>
      <c r="DV8">
        <f>INDEX($B$22:$GQ$22,MATCH(125,$B$29:$GQ$29,0))</f>
        <v/>
      </c>
      <c r="DW8">
        <f>INDEX($B$22:$GQ$22,MATCH(126,$B$29:$GQ$29,0))</f>
        <v/>
      </c>
      <c r="DX8">
        <f>INDEX($B$22:$GQ$22,MATCH(127,$B$29:$GQ$29,0))</f>
        <v/>
      </c>
      <c r="DY8">
        <f>INDEX($B$22:$GQ$22,MATCH(128,$B$29:$GQ$29,0))</f>
        <v/>
      </c>
      <c r="DZ8">
        <f>INDEX($B$22:$GQ$22,MATCH(129,$B$29:$GQ$29,0))</f>
        <v/>
      </c>
      <c r="EA8">
        <f>INDEX($B$22:$GQ$22,MATCH(130,$B$29:$GQ$29,0))</f>
        <v/>
      </c>
      <c r="EB8">
        <f>INDEX($B$22:$GQ$22,MATCH(131,$B$29:$GQ$29,0))</f>
        <v/>
      </c>
      <c r="EC8">
        <f>INDEX($B$22:$GQ$22,MATCH(132,$B$29:$GQ$29,0))</f>
        <v/>
      </c>
      <c r="ED8">
        <f>INDEX($B$22:$GQ$22,MATCH(133,$B$29:$GQ$29,0))</f>
        <v/>
      </c>
      <c r="EE8">
        <f>INDEX($B$22:$GQ$22,MATCH(134,$B$29:$GQ$29,0))</f>
        <v/>
      </c>
      <c r="EF8">
        <f>INDEX($B$22:$GQ$22,MATCH(135,$B$29:$GQ$29,0))</f>
        <v/>
      </c>
      <c r="EG8">
        <f>INDEX($B$22:$GQ$22,MATCH(136,$B$29:$GQ$29,0))</f>
        <v/>
      </c>
      <c r="EH8">
        <f>INDEX($B$22:$GQ$22,MATCH(137,$B$29:$GQ$29,0))</f>
        <v/>
      </c>
      <c r="EI8">
        <f>INDEX($B$22:$GQ$22,MATCH(138,$B$29:$GQ$29,0))</f>
        <v/>
      </c>
      <c r="EJ8">
        <f>INDEX($B$22:$GQ$22,MATCH(139,$B$29:$GQ$29,0))</f>
        <v/>
      </c>
      <c r="EK8">
        <f>INDEX($B$22:$GQ$22,MATCH(140,$B$29:$GQ$29,0))</f>
        <v/>
      </c>
      <c r="EL8">
        <f>INDEX($B$22:$GQ$22,MATCH(141,$B$29:$GQ$29,0))</f>
        <v/>
      </c>
      <c r="EM8">
        <f>INDEX($B$22:$GQ$22,MATCH(142,$B$29:$GQ$29,0))</f>
        <v/>
      </c>
      <c r="EN8">
        <f>INDEX($B$22:$GQ$22,MATCH(143,$B$29:$GQ$29,0))</f>
        <v/>
      </c>
      <c r="EO8">
        <f>INDEX($B$22:$GQ$22,MATCH(144,$B$29:$GQ$29,0))</f>
        <v/>
      </c>
      <c r="EP8">
        <f>INDEX($B$22:$GQ$22,MATCH(145,$B$29:$GQ$29,0))</f>
        <v/>
      </c>
      <c r="EQ8">
        <f>INDEX($B$22:$GQ$22,MATCH(146,$B$29:$GQ$29,0))</f>
        <v/>
      </c>
      <c r="ER8">
        <f>INDEX($B$22:$GQ$22,MATCH(147,$B$29:$GQ$29,0))</f>
        <v/>
      </c>
      <c r="ES8">
        <f>INDEX($B$22:$GQ$22,MATCH(148,$B$29:$GQ$29,0))</f>
        <v/>
      </c>
      <c r="ET8">
        <f>INDEX($B$22:$GQ$22,MATCH(149,$B$29:$GQ$29,0))</f>
        <v/>
      </c>
      <c r="EU8">
        <f>INDEX($B$22:$GQ$22,MATCH(150,$B$29:$GQ$29,0))</f>
        <v/>
      </c>
      <c r="EV8">
        <f>INDEX($B$22:$GQ$22,MATCH(151,$B$29:$GQ$29,0))</f>
        <v/>
      </c>
      <c r="EW8">
        <f>INDEX($B$22:$GQ$22,MATCH(152,$B$29:$GQ$29,0))</f>
        <v/>
      </c>
      <c r="EX8">
        <f>INDEX($B$22:$GQ$22,MATCH(153,$B$29:$GQ$29,0))</f>
        <v/>
      </c>
      <c r="EY8">
        <f>INDEX($B$22:$GQ$22,MATCH(154,$B$29:$GQ$29,0))</f>
        <v/>
      </c>
      <c r="EZ8">
        <f>INDEX($B$22:$GQ$22,MATCH(155,$B$29:$GQ$29,0))</f>
        <v/>
      </c>
      <c r="FA8">
        <f>INDEX($B$22:$GQ$22,MATCH(156,$B$29:$GQ$29,0))</f>
        <v/>
      </c>
      <c r="FB8">
        <f>INDEX($B$22:$GQ$22,MATCH(157,$B$29:$GQ$29,0))</f>
        <v/>
      </c>
      <c r="FC8">
        <f>INDEX($B$22:$GQ$22,MATCH(158,$B$29:$GQ$29,0))</f>
        <v/>
      </c>
      <c r="FD8">
        <f>INDEX($B$22:$GQ$22,MATCH(159,$B$29:$GQ$29,0))</f>
        <v/>
      </c>
      <c r="FE8">
        <f>INDEX($B$22:$GQ$22,MATCH(160,$B$29:$GQ$29,0))</f>
        <v/>
      </c>
      <c r="FF8">
        <f>INDEX($B$22:$GQ$22,MATCH(161,$B$29:$GQ$29,0))</f>
        <v/>
      </c>
      <c r="FG8">
        <f>INDEX($B$22:$GQ$22,MATCH(162,$B$29:$GQ$29,0))</f>
        <v/>
      </c>
      <c r="FH8">
        <f>INDEX($B$22:$GQ$22,MATCH(163,$B$29:$GQ$29,0))</f>
        <v/>
      </c>
      <c r="FI8">
        <f>INDEX($B$22:$GQ$22,MATCH(164,$B$29:$GQ$29,0))</f>
        <v/>
      </c>
      <c r="FJ8">
        <f>INDEX($B$22:$GQ$22,MATCH(165,$B$29:$GQ$29,0))</f>
        <v/>
      </c>
      <c r="FK8">
        <f>INDEX($B$22:$GQ$22,MATCH(166,$B$29:$GQ$29,0))</f>
        <v/>
      </c>
      <c r="FL8">
        <f>INDEX($B$22:$GQ$22,MATCH(167,$B$29:$GQ$29,0))</f>
        <v/>
      </c>
      <c r="FM8">
        <f>INDEX($B$22:$GQ$22,MATCH(168,$B$29:$GQ$29,0))</f>
        <v/>
      </c>
      <c r="FN8">
        <f>INDEX($B$22:$GQ$22,MATCH(169,$B$29:$GQ$29,0))</f>
        <v/>
      </c>
      <c r="FO8">
        <f>INDEX($B$22:$GQ$22,MATCH(170,$B$29:$GQ$29,0))</f>
        <v/>
      </c>
      <c r="FP8">
        <f>INDEX($B$22:$GQ$22,MATCH(171,$B$29:$GQ$29,0))</f>
        <v/>
      </c>
      <c r="FQ8">
        <f>INDEX($B$22:$GQ$22,MATCH(172,$B$29:$GQ$29,0))</f>
        <v/>
      </c>
      <c r="FR8">
        <f>INDEX($B$22:$GQ$22,MATCH(173,$B$29:$GQ$29,0))</f>
        <v/>
      </c>
      <c r="FS8">
        <f>INDEX($B$22:$GQ$22,MATCH(174,$B$29:$GQ$29,0))</f>
        <v/>
      </c>
      <c r="FT8">
        <f>INDEX($B$22:$GQ$22,MATCH(175,$B$29:$GQ$29,0))</f>
        <v/>
      </c>
      <c r="FU8">
        <f>INDEX($B$22:$GQ$22,MATCH(176,$B$29:$GQ$29,0))</f>
        <v/>
      </c>
      <c r="FV8">
        <f>INDEX($B$22:$GQ$22,MATCH(177,$B$29:$GQ$29,0))</f>
        <v/>
      </c>
      <c r="FW8">
        <f>INDEX($B$22:$GQ$22,MATCH(178,$B$29:$GQ$29,0))</f>
        <v/>
      </c>
      <c r="FX8">
        <f>INDEX($B$22:$GQ$22,MATCH(179,$B$29:$GQ$29,0))</f>
        <v/>
      </c>
      <c r="FY8">
        <f>INDEX($B$22:$GQ$22,MATCH(180,$B$29:$GQ$29,0))</f>
        <v/>
      </c>
      <c r="FZ8">
        <f>INDEX($B$22:$GQ$22,MATCH(181,$B$29:$GQ$29,0))</f>
        <v/>
      </c>
      <c r="GA8">
        <f>INDEX($B$22:$GQ$22,MATCH(182,$B$29:$GQ$29,0))</f>
        <v/>
      </c>
      <c r="GB8">
        <f>INDEX($B$22:$GQ$22,MATCH(183,$B$29:$GQ$29,0))</f>
        <v/>
      </c>
      <c r="GC8">
        <f>INDEX($B$22:$GQ$22,MATCH(184,$B$29:$GQ$29,0))</f>
        <v/>
      </c>
      <c r="GD8">
        <f>INDEX($B$22:$GQ$22,MATCH(185,$B$29:$GQ$29,0))</f>
        <v/>
      </c>
      <c r="GE8">
        <f>INDEX($B$22:$GQ$22,MATCH(186,$B$29:$GQ$29,0))</f>
        <v/>
      </c>
      <c r="GF8">
        <f>INDEX($B$22:$GQ$22,MATCH(187,$B$29:$GQ$29,0))</f>
        <v/>
      </c>
      <c r="GG8">
        <f>INDEX($B$22:$GQ$22,MATCH(188,$B$29:$GQ$29,0))</f>
        <v/>
      </c>
      <c r="GH8">
        <f>INDEX($B$22:$GQ$22,MATCH(189,$B$29:$GQ$29,0))</f>
        <v/>
      </c>
      <c r="GI8">
        <f>INDEX($B$22:$GQ$22,MATCH(190,$B$29:$GQ$29,0))</f>
        <v/>
      </c>
      <c r="GJ8">
        <f>INDEX($B$22:$GQ$22,MATCH(191,$B$29:$GQ$29,0))</f>
        <v/>
      </c>
      <c r="GK8">
        <f>INDEX($B$22:$GQ$22,MATCH(192,$B$29:$GQ$29,0))</f>
        <v/>
      </c>
      <c r="GL8">
        <f>INDEX($B$22:$GQ$22,MATCH(193,$B$29:$GQ$29,0))</f>
        <v/>
      </c>
      <c r="GM8">
        <f>INDEX($B$22:$GQ$22,MATCH(194,$B$29:$GQ$29,0))</f>
        <v/>
      </c>
      <c r="GN8">
        <f>INDEX($B$22:$GQ$22,MATCH(195,$B$29:$GQ$29,0))</f>
        <v/>
      </c>
      <c r="GO8">
        <f>INDEX($B$22:$GQ$22,MATCH(196,$B$29:$GQ$29,0))</f>
        <v/>
      </c>
      <c r="GP8">
        <f>INDEX($B$22:$GQ$22,MATCH(197,$B$29:$GQ$29,0))</f>
        <v/>
      </c>
      <c r="GQ8">
        <f>INDEX($B$22:$GQ$22,MATCH(198,$B$29:$GQ$29,0))</f>
        <v/>
      </c>
      <c r="GR8">
        <f>INDEX($GR$22:$HC$22,MATCH(1,$GR$30:$HC$30,0))</f>
        <v/>
      </c>
      <c r="GS8">
        <f>INDEX($GR$22:$HC$22,MATCH(2,$GR$30:$HC$30,0))</f>
        <v/>
      </c>
      <c r="GT8">
        <f>INDEX($GR$22:$HC$22,MATCH(3,$GR$30:$HC$30,0))</f>
        <v/>
      </c>
      <c r="GU8">
        <f>INDEX($GR$22:$HC$22,MATCH(4,$GR$30:$HC$30,0))</f>
        <v/>
      </c>
      <c r="GV8">
        <f>INDEX($GR$22:$HC$22,MATCH(5,$GR$30:$HC$30,0))</f>
        <v/>
      </c>
      <c r="GW8">
        <f>INDEX($GR$22:$HC$22,MATCH(6,$GR$30:$HC$30,0))</f>
        <v/>
      </c>
      <c r="GX8">
        <f>INDEX($GR$22:$HC$22,MATCH(7,$GR$30:$HC$30,0))</f>
        <v/>
      </c>
      <c r="GY8">
        <f>INDEX($GR$22:$HC$22,MATCH(8,$GR$30:$HC$30,0))</f>
        <v/>
      </c>
      <c r="GZ8">
        <f>INDEX($GR$22:$HC$22,MATCH(9,$GR$30:$HC$30,0))</f>
        <v/>
      </c>
      <c r="HA8">
        <f>INDEX($GR$22:$HC$22,MATCH(10,$GR$30:$HC$30,0))</f>
        <v/>
      </c>
      <c r="HB8">
        <f>INDEX($GR$22:$HC$22,MATCH(11,$GR$30:$HC$30,0))</f>
        <v/>
      </c>
      <c r="HC8">
        <f>INDEX($GR$22:$HC$22,MATCH(12,$GR$30:$HC$30,0))</f>
        <v/>
      </c>
    </row>
    <row r="9">
      <c r="A9" s="1" t="inlineStr">
        <is>
          <t>M_imp*Y_dom</t>
        </is>
      </c>
      <c r="B9">
        <f>INDEX($B$23:$GQ$23,MATCH(1,$B$29:$GQ$29,0))</f>
        <v/>
      </c>
      <c r="C9">
        <f>INDEX($B$23:$GQ$23,MATCH(2,$B$29:$GQ$29,0))</f>
        <v/>
      </c>
      <c r="D9">
        <f>INDEX($B$23:$GQ$23,MATCH(3,$B$29:$GQ$29,0))</f>
        <v/>
      </c>
      <c r="E9">
        <f>INDEX($B$23:$GQ$23,MATCH(4,$B$29:$GQ$29,0))</f>
        <v/>
      </c>
      <c r="F9">
        <f>INDEX($B$23:$GQ$23,MATCH(5,$B$29:$GQ$29,0))</f>
        <v/>
      </c>
      <c r="G9">
        <f>INDEX($B$23:$GQ$23,MATCH(6,$B$29:$GQ$29,0))</f>
        <v/>
      </c>
      <c r="H9">
        <f>INDEX($B$23:$GQ$23,MATCH(7,$B$29:$GQ$29,0))</f>
        <v/>
      </c>
      <c r="I9">
        <f>INDEX($B$23:$GQ$23,MATCH(8,$B$29:$GQ$29,0))</f>
        <v/>
      </c>
      <c r="J9">
        <f>INDEX($B$23:$GQ$23,MATCH(9,$B$29:$GQ$29,0))</f>
        <v/>
      </c>
      <c r="K9">
        <f>INDEX($B$23:$GQ$23,MATCH(10,$B$29:$GQ$29,0))</f>
        <v/>
      </c>
      <c r="L9">
        <f>INDEX($B$23:$GQ$23,MATCH(11,$B$29:$GQ$29,0))</f>
        <v/>
      </c>
      <c r="M9">
        <f>INDEX($B$23:$GQ$23,MATCH(12,$B$29:$GQ$29,0))</f>
        <v/>
      </c>
      <c r="N9">
        <f>INDEX($B$23:$GQ$23,MATCH(13,$B$29:$GQ$29,0))</f>
        <v/>
      </c>
      <c r="O9">
        <f>INDEX($B$23:$GQ$23,MATCH(14,$B$29:$GQ$29,0))</f>
        <v/>
      </c>
      <c r="P9">
        <f>INDEX($B$23:$GQ$23,MATCH(15,$B$29:$GQ$29,0))</f>
        <v/>
      </c>
      <c r="Q9">
        <f>INDEX($B$23:$GQ$23,MATCH(16,$B$29:$GQ$29,0))</f>
        <v/>
      </c>
      <c r="R9">
        <f>INDEX($B$23:$GQ$23,MATCH(17,$B$29:$GQ$29,0))</f>
        <v/>
      </c>
      <c r="S9">
        <f>INDEX($B$23:$GQ$23,MATCH(18,$B$29:$GQ$29,0))</f>
        <v/>
      </c>
      <c r="T9">
        <f>INDEX($B$23:$GQ$23,MATCH(19,$B$29:$GQ$29,0))</f>
        <v/>
      </c>
      <c r="U9">
        <f>INDEX($B$23:$GQ$23,MATCH(20,$B$29:$GQ$29,0))</f>
        <v/>
      </c>
      <c r="V9">
        <f>INDEX($B$23:$GQ$23,MATCH(21,$B$29:$GQ$29,0))</f>
        <v/>
      </c>
      <c r="W9">
        <f>INDEX($B$23:$GQ$23,MATCH(22,$B$29:$GQ$29,0))</f>
        <v/>
      </c>
      <c r="X9">
        <f>INDEX($B$23:$GQ$23,MATCH(23,$B$29:$GQ$29,0))</f>
        <v/>
      </c>
      <c r="Y9">
        <f>INDEX($B$23:$GQ$23,MATCH(24,$B$29:$GQ$29,0))</f>
        <v/>
      </c>
      <c r="Z9">
        <f>INDEX($B$23:$GQ$23,MATCH(25,$B$29:$GQ$29,0))</f>
        <v/>
      </c>
      <c r="AA9">
        <f>INDEX($B$23:$GQ$23,MATCH(26,$B$29:$GQ$29,0))</f>
        <v/>
      </c>
      <c r="AB9">
        <f>INDEX($B$23:$GQ$23,MATCH(27,$B$29:$GQ$29,0))</f>
        <v/>
      </c>
      <c r="AC9">
        <f>INDEX($B$23:$GQ$23,MATCH(28,$B$29:$GQ$29,0))</f>
        <v/>
      </c>
      <c r="AD9">
        <f>INDEX($B$23:$GQ$23,MATCH(29,$B$29:$GQ$29,0))</f>
        <v/>
      </c>
      <c r="AE9">
        <f>INDEX($B$23:$GQ$23,MATCH(30,$B$29:$GQ$29,0))</f>
        <v/>
      </c>
      <c r="AF9">
        <f>INDEX($B$23:$GQ$23,MATCH(31,$B$29:$GQ$29,0))</f>
        <v/>
      </c>
      <c r="AG9">
        <f>INDEX($B$23:$GQ$23,MATCH(32,$B$29:$GQ$29,0))</f>
        <v/>
      </c>
      <c r="AH9">
        <f>INDEX($B$23:$GQ$23,MATCH(33,$B$29:$GQ$29,0))</f>
        <v/>
      </c>
      <c r="AI9">
        <f>INDEX($B$23:$GQ$23,MATCH(34,$B$29:$GQ$29,0))</f>
        <v/>
      </c>
      <c r="AJ9">
        <f>INDEX($B$23:$GQ$23,MATCH(35,$B$29:$GQ$29,0))</f>
        <v/>
      </c>
      <c r="AK9">
        <f>INDEX($B$23:$GQ$23,MATCH(36,$B$29:$GQ$29,0))</f>
        <v/>
      </c>
      <c r="AL9">
        <f>INDEX($B$23:$GQ$23,MATCH(37,$B$29:$GQ$29,0))</f>
        <v/>
      </c>
      <c r="AM9">
        <f>INDEX($B$23:$GQ$23,MATCH(38,$B$29:$GQ$29,0))</f>
        <v/>
      </c>
      <c r="AN9">
        <f>INDEX($B$23:$GQ$23,MATCH(39,$B$29:$GQ$29,0))</f>
        <v/>
      </c>
      <c r="AO9">
        <f>INDEX($B$23:$GQ$23,MATCH(40,$B$29:$GQ$29,0))</f>
        <v/>
      </c>
      <c r="AP9">
        <f>INDEX($B$23:$GQ$23,MATCH(41,$B$29:$GQ$29,0))</f>
        <v/>
      </c>
      <c r="AQ9">
        <f>INDEX($B$23:$GQ$23,MATCH(42,$B$29:$GQ$29,0))</f>
        <v/>
      </c>
      <c r="AR9">
        <f>INDEX($B$23:$GQ$23,MATCH(43,$B$29:$GQ$29,0))</f>
        <v/>
      </c>
      <c r="AS9">
        <f>INDEX($B$23:$GQ$23,MATCH(44,$B$29:$GQ$29,0))</f>
        <v/>
      </c>
      <c r="AT9">
        <f>INDEX($B$23:$GQ$23,MATCH(45,$B$29:$GQ$29,0))</f>
        <v/>
      </c>
      <c r="AU9">
        <f>INDEX($B$23:$GQ$23,MATCH(46,$B$29:$GQ$29,0))</f>
        <v/>
      </c>
      <c r="AV9">
        <f>INDEX($B$23:$GQ$23,MATCH(47,$B$29:$GQ$29,0))</f>
        <v/>
      </c>
      <c r="AW9">
        <f>INDEX($B$23:$GQ$23,MATCH(48,$B$29:$GQ$29,0))</f>
        <v/>
      </c>
      <c r="AX9">
        <f>INDEX($B$23:$GQ$23,MATCH(49,$B$29:$GQ$29,0))</f>
        <v/>
      </c>
      <c r="AY9">
        <f>INDEX($B$23:$GQ$23,MATCH(50,$B$29:$GQ$29,0))</f>
        <v/>
      </c>
      <c r="AZ9">
        <f>INDEX($B$23:$GQ$23,MATCH(51,$B$29:$GQ$29,0))</f>
        <v/>
      </c>
      <c r="BA9">
        <f>INDEX($B$23:$GQ$23,MATCH(52,$B$29:$GQ$29,0))</f>
        <v/>
      </c>
      <c r="BB9">
        <f>INDEX($B$23:$GQ$23,MATCH(53,$B$29:$GQ$29,0))</f>
        <v/>
      </c>
      <c r="BC9">
        <f>INDEX($B$23:$GQ$23,MATCH(54,$B$29:$GQ$29,0))</f>
        <v/>
      </c>
      <c r="BD9">
        <f>INDEX($B$23:$GQ$23,MATCH(55,$B$29:$GQ$29,0))</f>
        <v/>
      </c>
      <c r="BE9">
        <f>INDEX($B$23:$GQ$23,MATCH(56,$B$29:$GQ$29,0))</f>
        <v/>
      </c>
      <c r="BF9">
        <f>INDEX($B$23:$GQ$23,MATCH(57,$B$29:$GQ$29,0))</f>
        <v/>
      </c>
      <c r="BG9">
        <f>INDEX($B$23:$GQ$23,MATCH(58,$B$29:$GQ$29,0))</f>
        <v/>
      </c>
      <c r="BH9">
        <f>INDEX($B$23:$GQ$23,MATCH(59,$B$29:$GQ$29,0))</f>
        <v/>
      </c>
      <c r="BI9">
        <f>INDEX($B$23:$GQ$23,MATCH(60,$B$29:$GQ$29,0))</f>
        <v/>
      </c>
      <c r="BJ9">
        <f>INDEX($B$23:$GQ$23,MATCH(61,$B$29:$GQ$29,0))</f>
        <v/>
      </c>
      <c r="BK9">
        <f>INDEX($B$23:$GQ$23,MATCH(62,$B$29:$GQ$29,0))</f>
        <v/>
      </c>
      <c r="BL9">
        <f>INDEX($B$23:$GQ$23,MATCH(63,$B$29:$GQ$29,0))</f>
        <v/>
      </c>
      <c r="BM9">
        <f>INDEX($B$23:$GQ$23,MATCH(64,$B$29:$GQ$29,0))</f>
        <v/>
      </c>
      <c r="BN9">
        <f>INDEX($B$23:$GQ$23,MATCH(65,$B$29:$GQ$29,0))</f>
        <v/>
      </c>
      <c r="BO9">
        <f>INDEX($B$23:$GQ$23,MATCH(66,$B$29:$GQ$29,0))</f>
        <v/>
      </c>
      <c r="BP9">
        <f>INDEX($B$23:$GQ$23,MATCH(67,$B$29:$GQ$29,0))</f>
        <v/>
      </c>
      <c r="BQ9">
        <f>INDEX($B$23:$GQ$23,MATCH(68,$B$29:$GQ$29,0))</f>
        <v/>
      </c>
      <c r="BR9">
        <f>INDEX($B$23:$GQ$23,MATCH(69,$B$29:$GQ$29,0))</f>
        <v/>
      </c>
      <c r="BS9">
        <f>INDEX($B$23:$GQ$23,MATCH(70,$B$29:$GQ$29,0))</f>
        <v/>
      </c>
      <c r="BT9">
        <f>INDEX($B$23:$GQ$23,MATCH(71,$B$29:$GQ$29,0))</f>
        <v/>
      </c>
      <c r="BU9">
        <f>INDEX($B$23:$GQ$23,MATCH(72,$B$29:$GQ$29,0))</f>
        <v/>
      </c>
      <c r="BV9">
        <f>INDEX($B$23:$GQ$23,MATCH(73,$B$29:$GQ$29,0))</f>
        <v/>
      </c>
      <c r="BW9">
        <f>INDEX($B$23:$GQ$23,MATCH(74,$B$29:$GQ$29,0))</f>
        <v/>
      </c>
      <c r="BX9">
        <f>INDEX($B$23:$GQ$23,MATCH(75,$B$29:$GQ$29,0))</f>
        <v/>
      </c>
      <c r="BY9">
        <f>INDEX($B$23:$GQ$23,MATCH(76,$B$29:$GQ$29,0))</f>
        <v/>
      </c>
      <c r="BZ9">
        <f>INDEX($B$23:$GQ$23,MATCH(77,$B$29:$GQ$29,0))</f>
        <v/>
      </c>
      <c r="CA9">
        <f>INDEX($B$23:$GQ$23,MATCH(78,$B$29:$GQ$29,0))</f>
        <v/>
      </c>
      <c r="CB9">
        <f>INDEX($B$23:$GQ$23,MATCH(79,$B$29:$GQ$29,0))</f>
        <v/>
      </c>
      <c r="CC9">
        <f>INDEX($B$23:$GQ$23,MATCH(80,$B$29:$GQ$29,0))</f>
        <v/>
      </c>
      <c r="CD9">
        <f>INDEX($B$23:$GQ$23,MATCH(81,$B$29:$GQ$29,0))</f>
        <v/>
      </c>
      <c r="CE9">
        <f>INDEX($B$23:$GQ$23,MATCH(82,$B$29:$GQ$29,0))</f>
        <v/>
      </c>
      <c r="CF9">
        <f>INDEX($B$23:$GQ$23,MATCH(83,$B$29:$GQ$29,0))</f>
        <v/>
      </c>
      <c r="CG9">
        <f>INDEX($B$23:$GQ$23,MATCH(84,$B$29:$GQ$29,0))</f>
        <v/>
      </c>
      <c r="CH9">
        <f>INDEX($B$23:$GQ$23,MATCH(85,$B$29:$GQ$29,0))</f>
        <v/>
      </c>
      <c r="CI9">
        <f>INDEX($B$23:$GQ$23,MATCH(86,$B$29:$GQ$29,0))</f>
        <v/>
      </c>
      <c r="CJ9">
        <f>INDEX($B$23:$GQ$23,MATCH(87,$B$29:$GQ$29,0))</f>
        <v/>
      </c>
      <c r="CK9">
        <f>INDEX($B$23:$GQ$23,MATCH(88,$B$29:$GQ$29,0))</f>
        <v/>
      </c>
      <c r="CL9">
        <f>INDEX($B$23:$GQ$23,MATCH(89,$B$29:$GQ$29,0))</f>
        <v/>
      </c>
      <c r="CM9">
        <f>INDEX($B$23:$GQ$23,MATCH(90,$B$29:$GQ$29,0))</f>
        <v/>
      </c>
      <c r="CN9">
        <f>INDEX($B$23:$GQ$23,MATCH(91,$B$29:$GQ$29,0))</f>
        <v/>
      </c>
      <c r="CO9">
        <f>INDEX($B$23:$GQ$23,MATCH(92,$B$29:$GQ$29,0))</f>
        <v/>
      </c>
      <c r="CP9">
        <f>INDEX($B$23:$GQ$23,MATCH(93,$B$29:$GQ$29,0))</f>
        <v/>
      </c>
      <c r="CQ9">
        <f>INDEX($B$23:$GQ$23,MATCH(94,$B$29:$GQ$29,0))</f>
        <v/>
      </c>
      <c r="CR9">
        <f>INDEX($B$23:$GQ$23,MATCH(95,$B$29:$GQ$29,0))</f>
        <v/>
      </c>
      <c r="CS9">
        <f>INDEX($B$23:$GQ$23,MATCH(96,$B$29:$GQ$29,0))</f>
        <v/>
      </c>
      <c r="CT9">
        <f>INDEX($B$23:$GQ$23,MATCH(97,$B$29:$GQ$29,0))</f>
        <v/>
      </c>
      <c r="CU9">
        <f>INDEX($B$23:$GQ$23,MATCH(98,$B$29:$GQ$29,0))</f>
        <v/>
      </c>
      <c r="CV9">
        <f>INDEX($B$23:$GQ$23,MATCH(99,$B$29:$GQ$29,0))</f>
        <v/>
      </c>
      <c r="CW9">
        <f>INDEX($B$23:$GQ$23,MATCH(100,$B$29:$GQ$29,0))</f>
        <v/>
      </c>
      <c r="CX9">
        <f>INDEX($B$23:$GQ$23,MATCH(101,$B$29:$GQ$29,0))</f>
        <v/>
      </c>
      <c r="CY9">
        <f>INDEX($B$23:$GQ$23,MATCH(102,$B$29:$GQ$29,0))</f>
        <v/>
      </c>
      <c r="CZ9">
        <f>INDEX($B$23:$GQ$23,MATCH(103,$B$29:$GQ$29,0))</f>
        <v/>
      </c>
      <c r="DA9">
        <f>INDEX($B$23:$GQ$23,MATCH(104,$B$29:$GQ$29,0))</f>
        <v/>
      </c>
      <c r="DB9">
        <f>INDEX($B$23:$GQ$23,MATCH(105,$B$29:$GQ$29,0))</f>
        <v/>
      </c>
      <c r="DC9">
        <f>INDEX($B$23:$GQ$23,MATCH(106,$B$29:$GQ$29,0))</f>
        <v/>
      </c>
      <c r="DD9">
        <f>INDEX($B$23:$GQ$23,MATCH(107,$B$29:$GQ$29,0))</f>
        <v/>
      </c>
      <c r="DE9">
        <f>INDEX($B$23:$GQ$23,MATCH(108,$B$29:$GQ$29,0))</f>
        <v/>
      </c>
      <c r="DF9">
        <f>INDEX($B$23:$GQ$23,MATCH(109,$B$29:$GQ$29,0))</f>
        <v/>
      </c>
      <c r="DG9">
        <f>INDEX($B$23:$GQ$23,MATCH(110,$B$29:$GQ$29,0))</f>
        <v/>
      </c>
      <c r="DH9">
        <f>INDEX($B$23:$GQ$23,MATCH(111,$B$29:$GQ$29,0))</f>
        <v/>
      </c>
      <c r="DI9">
        <f>INDEX($B$23:$GQ$23,MATCH(112,$B$29:$GQ$29,0))</f>
        <v/>
      </c>
      <c r="DJ9">
        <f>INDEX($B$23:$GQ$23,MATCH(113,$B$29:$GQ$29,0))</f>
        <v/>
      </c>
      <c r="DK9">
        <f>INDEX($B$23:$GQ$23,MATCH(114,$B$29:$GQ$29,0))</f>
        <v/>
      </c>
      <c r="DL9">
        <f>INDEX($B$23:$GQ$23,MATCH(115,$B$29:$GQ$29,0))</f>
        <v/>
      </c>
      <c r="DM9">
        <f>INDEX($B$23:$GQ$23,MATCH(116,$B$29:$GQ$29,0))</f>
        <v/>
      </c>
      <c r="DN9">
        <f>INDEX($B$23:$GQ$23,MATCH(117,$B$29:$GQ$29,0))</f>
        <v/>
      </c>
      <c r="DO9">
        <f>INDEX($B$23:$GQ$23,MATCH(118,$B$29:$GQ$29,0))</f>
        <v/>
      </c>
      <c r="DP9">
        <f>INDEX($B$23:$GQ$23,MATCH(119,$B$29:$GQ$29,0))</f>
        <v/>
      </c>
      <c r="DQ9">
        <f>INDEX($B$23:$GQ$23,MATCH(120,$B$29:$GQ$29,0))</f>
        <v/>
      </c>
      <c r="DR9">
        <f>INDEX($B$23:$GQ$23,MATCH(121,$B$29:$GQ$29,0))</f>
        <v/>
      </c>
      <c r="DS9">
        <f>INDEX($B$23:$GQ$23,MATCH(122,$B$29:$GQ$29,0))</f>
        <v/>
      </c>
      <c r="DT9">
        <f>INDEX($B$23:$GQ$23,MATCH(123,$B$29:$GQ$29,0))</f>
        <v/>
      </c>
      <c r="DU9">
        <f>INDEX($B$23:$GQ$23,MATCH(124,$B$29:$GQ$29,0))</f>
        <v/>
      </c>
      <c r="DV9">
        <f>INDEX($B$23:$GQ$23,MATCH(125,$B$29:$GQ$29,0))</f>
        <v/>
      </c>
      <c r="DW9">
        <f>INDEX($B$23:$GQ$23,MATCH(126,$B$29:$GQ$29,0))</f>
        <v/>
      </c>
      <c r="DX9">
        <f>INDEX($B$23:$GQ$23,MATCH(127,$B$29:$GQ$29,0))</f>
        <v/>
      </c>
      <c r="DY9">
        <f>INDEX($B$23:$GQ$23,MATCH(128,$B$29:$GQ$29,0))</f>
        <v/>
      </c>
      <c r="DZ9">
        <f>INDEX($B$23:$GQ$23,MATCH(129,$B$29:$GQ$29,0))</f>
        <v/>
      </c>
      <c r="EA9">
        <f>INDEX($B$23:$GQ$23,MATCH(130,$B$29:$GQ$29,0))</f>
        <v/>
      </c>
      <c r="EB9">
        <f>INDEX($B$23:$GQ$23,MATCH(131,$B$29:$GQ$29,0))</f>
        <v/>
      </c>
      <c r="EC9">
        <f>INDEX($B$23:$GQ$23,MATCH(132,$B$29:$GQ$29,0))</f>
        <v/>
      </c>
      <c r="ED9">
        <f>INDEX($B$23:$GQ$23,MATCH(133,$B$29:$GQ$29,0))</f>
        <v/>
      </c>
      <c r="EE9">
        <f>INDEX($B$23:$GQ$23,MATCH(134,$B$29:$GQ$29,0))</f>
        <v/>
      </c>
      <c r="EF9">
        <f>INDEX($B$23:$GQ$23,MATCH(135,$B$29:$GQ$29,0))</f>
        <v/>
      </c>
      <c r="EG9">
        <f>INDEX($B$23:$GQ$23,MATCH(136,$B$29:$GQ$29,0))</f>
        <v/>
      </c>
      <c r="EH9">
        <f>INDEX($B$23:$GQ$23,MATCH(137,$B$29:$GQ$29,0))</f>
        <v/>
      </c>
      <c r="EI9">
        <f>INDEX($B$23:$GQ$23,MATCH(138,$B$29:$GQ$29,0))</f>
        <v/>
      </c>
      <c r="EJ9">
        <f>INDEX($B$23:$GQ$23,MATCH(139,$B$29:$GQ$29,0))</f>
        <v/>
      </c>
      <c r="EK9">
        <f>INDEX($B$23:$GQ$23,MATCH(140,$B$29:$GQ$29,0))</f>
        <v/>
      </c>
      <c r="EL9">
        <f>INDEX($B$23:$GQ$23,MATCH(141,$B$29:$GQ$29,0))</f>
        <v/>
      </c>
      <c r="EM9">
        <f>INDEX($B$23:$GQ$23,MATCH(142,$B$29:$GQ$29,0))</f>
        <v/>
      </c>
      <c r="EN9">
        <f>INDEX($B$23:$GQ$23,MATCH(143,$B$29:$GQ$29,0))</f>
        <v/>
      </c>
      <c r="EO9">
        <f>INDEX($B$23:$GQ$23,MATCH(144,$B$29:$GQ$29,0))</f>
        <v/>
      </c>
      <c r="EP9">
        <f>INDEX($B$23:$GQ$23,MATCH(145,$B$29:$GQ$29,0))</f>
        <v/>
      </c>
      <c r="EQ9">
        <f>INDEX($B$23:$GQ$23,MATCH(146,$B$29:$GQ$29,0))</f>
        <v/>
      </c>
      <c r="ER9">
        <f>INDEX($B$23:$GQ$23,MATCH(147,$B$29:$GQ$29,0))</f>
        <v/>
      </c>
      <c r="ES9">
        <f>INDEX($B$23:$GQ$23,MATCH(148,$B$29:$GQ$29,0))</f>
        <v/>
      </c>
      <c r="ET9">
        <f>INDEX($B$23:$GQ$23,MATCH(149,$B$29:$GQ$29,0))</f>
        <v/>
      </c>
      <c r="EU9">
        <f>INDEX($B$23:$GQ$23,MATCH(150,$B$29:$GQ$29,0))</f>
        <v/>
      </c>
      <c r="EV9">
        <f>INDEX($B$23:$GQ$23,MATCH(151,$B$29:$GQ$29,0))</f>
        <v/>
      </c>
      <c r="EW9">
        <f>INDEX($B$23:$GQ$23,MATCH(152,$B$29:$GQ$29,0))</f>
        <v/>
      </c>
      <c r="EX9">
        <f>INDEX($B$23:$GQ$23,MATCH(153,$B$29:$GQ$29,0))</f>
        <v/>
      </c>
      <c r="EY9">
        <f>INDEX($B$23:$GQ$23,MATCH(154,$B$29:$GQ$29,0))</f>
        <v/>
      </c>
      <c r="EZ9">
        <f>INDEX($B$23:$GQ$23,MATCH(155,$B$29:$GQ$29,0))</f>
        <v/>
      </c>
      <c r="FA9">
        <f>INDEX($B$23:$GQ$23,MATCH(156,$B$29:$GQ$29,0))</f>
        <v/>
      </c>
      <c r="FB9">
        <f>INDEX($B$23:$GQ$23,MATCH(157,$B$29:$GQ$29,0))</f>
        <v/>
      </c>
      <c r="FC9">
        <f>INDEX($B$23:$GQ$23,MATCH(158,$B$29:$GQ$29,0))</f>
        <v/>
      </c>
      <c r="FD9">
        <f>INDEX($B$23:$GQ$23,MATCH(159,$B$29:$GQ$29,0))</f>
        <v/>
      </c>
      <c r="FE9">
        <f>INDEX($B$23:$GQ$23,MATCH(160,$B$29:$GQ$29,0))</f>
        <v/>
      </c>
      <c r="FF9">
        <f>INDEX($B$23:$GQ$23,MATCH(161,$B$29:$GQ$29,0))</f>
        <v/>
      </c>
      <c r="FG9">
        <f>INDEX($B$23:$GQ$23,MATCH(162,$B$29:$GQ$29,0))</f>
        <v/>
      </c>
      <c r="FH9">
        <f>INDEX($B$23:$GQ$23,MATCH(163,$B$29:$GQ$29,0))</f>
        <v/>
      </c>
      <c r="FI9">
        <f>INDEX($B$23:$GQ$23,MATCH(164,$B$29:$GQ$29,0))</f>
        <v/>
      </c>
      <c r="FJ9">
        <f>INDEX($B$23:$GQ$23,MATCH(165,$B$29:$GQ$29,0))</f>
        <v/>
      </c>
      <c r="FK9">
        <f>INDEX($B$23:$GQ$23,MATCH(166,$B$29:$GQ$29,0))</f>
        <v/>
      </c>
      <c r="FL9">
        <f>INDEX($B$23:$GQ$23,MATCH(167,$B$29:$GQ$29,0))</f>
        <v/>
      </c>
      <c r="FM9">
        <f>INDEX($B$23:$GQ$23,MATCH(168,$B$29:$GQ$29,0))</f>
        <v/>
      </c>
      <c r="FN9">
        <f>INDEX($B$23:$GQ$23,MATCH(169,$B$29:$GQ$29,0))</f>
        <v/>
      </c>
      <c r="FO9">
        <f>INDEX($B$23:$GQ$23,MATCH(170,$B$29:$GQ$29,0))</f>
        <v/>
      </c>
      <c r="FP9">
        <f>INDEX($B$23:$GQ$23,MATCH(171,$B$29:$GQ$29,0))</f>
        <v/>
      </c>
      <c r="FQ9">
        <f>INDEX($B$23:$GQ$23,MATCH(172,$B$29:$GQ$29,0))</f>
        <v/>
      </c>
      <c r="FR9">
        <f>INDEX($B$23:$GQ$23,MATCH(173,$B$29:$GQ$29,0))</f>
        <v/>
      </c>
      <c r="FS9">
        <f>INDEX($B$23:$GQ$23,MATCH(174,$B$29:$GQ$29,0))</f>
        <v/>
      </c>
      <c r="FT9">
        <f>INDEX($B$23:$GQ$23,MATCH(175,$B$29:$GQ$29,0))</f>
        <v/>
      </c>
      <c r="FU9">
        <f>INDEX($B$23:$GQ$23,MATCH(176,$B$29:$GQ$29,0))</f>
        <v/>
      </c>
      <c r="FV9">
        <f>INDEX($B$23:$GQ$23,MATCH(177,$B$29:$GQ$29,0))</f>
        <v/>
      </c>
      <c r="FW9">
        <f>INDEX($B$23:$GQ$23,MATCH(178,$B$29:$GQ$29,0))</f>
        <v/>
      </c>
      <c r="FX9">
        <f>INDEX($B$23:$GQ$23,MATCH(179,$B$29:$GQ$29,0))</f>
        <v/>
      </c>
      <c r="FY9">
        <f>INDEX($B$23:$GQ$23,MATCH(180,$B$29:$GQ$29,0))</f>
        <v/>
      </c>
      <c r="FZ9">
        <f>INDEX($B$23:$GQ$23,MATCH(181,$B$29:$GQ$29,0))</f>
        <v/>
      </c>
      <c r="GA9">
        <f>INDEX($B$23:$GQ$23,MATCH(182,$B$29:$GQ$29,0))</f>
        <v/>
      </c>
      <c r="GB9">
        <f>INDEX($B$23:$GQ$23,MATCH(183,$B$29:$GQ$29,0))</f>
        <v/>
      </c>
      <c r="GC9">
        <f>INDEX($B$23:$GQ$23,MATCH(184,$B$29:$GQ$29,0))</f>
        <v/>
      </c>
      <c r="GD9">
        <f>INDEX($B$23:$GQ$23,MATCH(185,$B$29:$GQ$29,0))</f>
        <v/>
      </c>
      <c r="GE9">
        <f>INDEX($B$23:$GQ$23,MATCH(186,$B$29:$GQ$29,0))</f>
        <v/>
      </c>
      <c r="GF9">
        <f>INDEX($B$23:$GQ$23,MATCH(187,$B$29:$GQ$29,0))</f>
        <v/>
      </c>
      <c r="GG9">
        <f>INDEX($B$23:$GQ$23,MATCH(188,$B$29:$GQ$29,0))</f>
        <v/>
      </c>
      <c r="GH9">
        <f>INDEX($B$23:$GQ$23,MATCH(189,$B$29:$GQ$29,0))</f>
        <v/>
      </c>
      <c r="GI9">
        <f>INDEX($B$23:$GQ$23,MATCH(190,$B$29:$GQ$29,0))</f>
        <v/>
      </c>
      <c r="GJ9">
        <f>INDEX($B$23:$GQ$23,MATCH(191,$B$29:$GQ$29,0))</f>
        <v/>
      </c>
      <c r="GK9">
        <f>INDEX($B$23:$GQ$23,MATCH(192,$B$29:$GQ$29,0))</f>
        <v/>
      </c>
      <c r="GL9">
        <f>INDEX($B$23:$GQ$23,MATCH(193,$B$29:$GQ$29,0))</f>
        <v/>
      </c>
      <c r="GM9">
        <f>INDEX($B$23:$GQ$23,MATCH(194,$B$29:$GQ$29,0))</f>
        <v/>
      </c>
      <c r="GN9">
        <f>INDEX($B$23:$GQ$23,MATCH(195,$B$29:$GQ$29,0))</f>
        <v/>
      </c>
      <c r="GO9">
        <f>INDEX($B$23:$GQ$23,MATCH(196,$B$29:$GQ$29,0))</f>
        <v/>
      </c>
      <c r="GP9">
        <f>INDEX($B$23:$GQ$23,MATCH(197,$B$29:$GQ$29,0))</f>
        <v/>
      </c>
      <c r="GQ9">
        <f>INDEX($B$23:$GQ$23,MATCH(198,$B$29:$GQ$29,0))</f>
        <v/>
      </c>
      <c r="GR9">
        <f>INDEX($GR$23:$HC$23,MATCH(1,$GR$30:$HC$30,0))</f>
        <v/>
      </c>
      <c r="GS9">
        <f>INDEX($GR$23:$HC$23,MATCH(2,$GR$30:$HC$30,0))</f>
        <v/>
      </c>
      <c r="GT9">
        <f>INDEX($GR$23:$HC$23,MATCH(3,$GR$30:$HC$30,0))</f>
        <v/>
      </c>
      <c r="GU9">
        <f>INDEX($GR$23:$HC$23,MATCH(4,$GR$30:$HC$30,0))</f>
        <v/>
      </c>
      <c r="GV9">
        <f>INDEX($GR$23:$HC$23,MATCH(5,$GR$30:$HC$30,0))</f>
        <v/>
      </c>
      <c r="GW9">
        <f>INDEX($GR$23:$HC$23,MATCH(6,$GR$30:$HC$30,0))</f>
        <v/>
      </c>
      <c r="GX9">
        <f>INDEX($GR$23:$HC$23,MATCH(7,$GR$30:$HC$30,0))</f>
        <v/>
      </c>
      <c r="GY9">
        <f>INDEX($GR$23:$HC$23,MATCH(8,$GR$30:$HC$30,0))</f>
        <v/>
      </c>
      <c r="GZ9">
        <f>INDEX($GR$23:$HC$23,MATCH(9,$GR$30:$HC$30,0))</f>
        <v/>
      </c>
      <c r="HA9">
        <f>INDEX($GR$23:$HC$23,MATCH(10,$GR$30:$HC$30,0))</f>
        <v/>
      </c>
      <c r="HB9">
        <f>INDEX($GR$23:$HC$23,MATCH(11,$GR$30:$HC$30,0))</f>
        <v/>
      </c>
      <c r="HC9">
        <f>INDEX($GR$23:$HC$23,MATCH(12,$GR$30:$HC$30,0))</f>
        <v/>
      </c>
    </row>
    <row r="10">
      <c r="A10" s="1" t="inlineStr">
        <is>
          <t>M_dom*Y_dom</t>
        </is>
      </c>
      <c r="B10">
        <f>INDEX($B$24:$GQ$24,MATCH(1,$B$29:$GQ$29,0))</f>
        <v/>
      </c>
      <c r="C10">
        <f>INDEX($B$24:$GQ$24,MATCH(2,$B$29:$GQ$29,0))</f>
        <v/>
      </c>
      <c r="D10">
        <f>INDEX($B$24:$GQ$24,MATCH(3,$B$29:$GQ$29,0))</f>
        <v/>
      </c>
      <c r="E10">
        <f>INDEX($B$24:$GQ$24,MATCH(4,$B$29:$GQ$29,0))</f>
        <v/>
      </c>
      <c r="F10">
        <f>INDEX($B$24:$GQ$24,MATCH(5,$B$29:$GQ$29,0))</f>
        <v/>
      </c>
      <c r="G10">
        <f>INDEX($B$24:$GQ$24,MATCH(6,$B$29:$GQ$29,0))</f>
        <v/>
      </c>
      <c r="H10">
        <f>INDEX($B$24:$GQ$24,MATCH(7,$B$29:$GQ$29,0))</f>
        <v/>
      </c>
      <c r="I10">
        <f>INDEX($B$24:$GQ$24,MATCH(8,$B$29:$GQ$29,0))</f>
        <v/>
      </c>
      <c r="J10">
        <f>INDEX($B$24:$GQ$24,MATCH(9,$B$29:$GQ$29,0))</f>
        <v/>
      </c>
      <c r="K10">
        <f>INDEX($B$24:$GQ$24,MATCH(10,$B$29:$GQ$29,0))</f>
        <v/>
      </c>
      <c r="L10">
        <f>INDEX($B$24:$GQ$24,MATCH(11,$B$29:$GQ$29,0))</f>
        <v/>
      </c>
      <c r="M10">
        <f>INDEX($B$24:$GQ$24,MATCH(12,$B$29:$GQ$29,0))</f>
        <v/>
      </c>
      <c r="N10">
        <f>INDEX($B$24:$GQ$24,MATCH(13,$B$29:$GQ$29,0))</f>
        <v/>
      </c>
      <c r="O10">
        <f>INDEX($B$24:$GQ$24,MATCH(14,$B$29:$GQ$29,0))</f>
        <v/>
      </c>
      <c r="P10">
        <f>INDEX($B$24:$GQ$24,MATCH(15,$B$29:$GQ$29,0))</f>
        <v/>
      </c>
      <c r="Q10">
        <f>INDEX($B$24:$GQ$24,MATCH(16,$B$29:$GQ$29,0))</f>
        <v/>
      </c>
      <c r="R10">
        <f>INDEX($B$24:$GQ$24,MATCH(17,$B$29:$GQ$29,0))</f>
        <v/>
      </c>
      <c r="S10">
        <f>INDEX($B$24:$GQ$24,MATCH(18,$B$29:$GQ$29,0))</f>
        <v/>
      </c>
      <c r="T10">
        <f>INDEX($B$24:$GQ$24,MATCH(19,$B$29:$GQ$29,0))</f>
        <v/>
      </c>
      <c r="U10">
        <f>INDEX($B$24:$GQ$24,MATCH(20,$B$29:$GQ$29,0))</f>
        <v/>
      </c>
      <c r="V10">
        <f>INDEX($B$24:$GQ$24,MATCH(21,$B$29:$GQ$29,0))</f>
        <v/>
      </c>
      <c r="W10">
        <f>INDEX($B$24:$GQ$24,MATCH(22,$B$29:$GQ$29,0))</f>
        <v/>
      </c>
      <c r="X10">
        <f>INDEX($B$24:$GQ$24,MATCH(23,$B$29:$GQ$29,0))</f>
        <v/>
      </c>
      <c r="Y10">
        <f>INDEX($B$24:$GQ$24,MATCH(24,$B$29:$GQ$29,0))</f>
        <v/>
      </c>
      <c r="Z10">
        <f>INDEX($B$24:$GQ$24,MATCH(25,$B$29:$GQ$29,0))</f>
        <v/>
      </c>
      <c r="AA10">
        <f>INDEX($B$24:$GQ$24,MATCH(26,$B$29:$GQ$29,0))</f>
        <v/>
      </c>
      <c r="AB10">
        <f>INDEX($B$24:$GQ$24,MATCH(27,$B$29:$GQ$29,0))</f>
        <v/>
      </c>
      <c r="AC10">
        <f>INDEX($B$24:$GQ$24,MATCH(28,$B$29:$GQ$29,0))</f>
        <v/>
      </c>
      <c r="AD10">
        <f>INDEX($B$24:$GQ$24,MATCH(29,$B$29:$GQ$29,0))</f>
        <v/>
      </c>
      <c r="AE10">
        <f>INDEX($B$24:$GQ$24,MATCH(30,$B$29:$GQ$29,0))</f>
        <v/>
      </c>
      <c r="AF10">
        <f>INDEX($B$24:$GQ$24,MATCH(31,$B$29:$GQ$29,0))</f>
        <v/>
      </c>
      <c r="AG10">
        <f>INDEX($B$24:$GQ$24,MATCH(32,$B$29:$GQ$29,0))</f>
        <v/>
      </c>
      <c r="AH10">
        <f>INDEX($B$24:$GQ$24,MATCH(33,$B$29:$GQ$29,0))</f>
        <v/>
      </c>
      <c r="AI10">
        <f>INDEX($B$24:$GQ$24,MATCH(34,$B$29:$GQ$29,0))</f>
        <v/>
      </c>
      <c r="AJ10">
        <f>INDEX($B$24:$GQ$24,MATCH(35,$B$29:$GQ$29,0))</f>
        <v/>
      </c>
      <c r="AK10">
        <f>INDEX($B$24:$GQ$24,MATCH(36,$B$29:$GQ$29,0))</f>
        <v/>
      </c>
      <c r="AL10">
        <f>INDEX($B$24:$GQ$24,MATCH(37,$B$29:$GQ$29,0))</f>
        <v/>
      </c>
      <c r="AM10">
        <f>INDEX($B$24:$GQ$24,MATCH(38,$B$29:$GQ$29,0))</f>
        <v/>
      </c>
      <c r="AN10">
        <f>INDEX($B$24:$GQ$24,MATCH(39,$B$29:$GQ$29,0))</f>
        <v/>
      </c>
      <c r="AO10">
        <f>INDEX($B$24:$GQ$24,MATCH(40,$B$29:$GQ$29,0))</f>
        <v/>
      </c>
      <c r="AP10">
        <f>INDEX($B$24:$GQ$24,MATCH(41,$B$29:$GQ$29,0))</f>
        <v/>
      </c>
      <c r="AQ10">
        <f>INDEX($B$24:$GQ$24,MATCH(42,$B$29:$GQ$29,0))</f>
        <v/>
      </c>
      <c r="AR10">
        <f>INDEX($B$24:$GQ$24,MATCH(43,$B$29:$GQ$29,0))</f>
        <v/>
      </c>
      <c r="AS10">
        <f>INDEX($B$24:$GQ$24,MATCH(44,$B$29:$GQ$29,0))</f>
        <v/>
      </c>
      <c r="AT10">
        <f>INDEX($B$24:$GQ$24,MATCH(45,$B$29:$GQ$29,0))</f>
        <v/>
      </c>
      <c r="AU10">
        <f>INDEX($B$24:$GQ$24,MATCH(46,$B$29:$GQ$29,0))</f>
        <v/>
      </c>
      <c r="AV10">
        <f>INDEX($B$24:$GQ$24,MATCH(47,$B$29:$GQ$29,0))</f>
        <v/>
      </c>
      <c r="AW10">
        <f>INDEX($B$24:$GQ$24,MATCH(48,$B$29:$GQ$29,0))</f>
        <v/>
      </c>
      <c r="AX10">
        <f>INDEX($B$24:$GQ$24,MATCH(49,$B$29:$GQ$29,0))</f>
        <v/>
      </c>
      <c r="AY10">
        <f>INDEX($B$24:$GQ$24,MATCH(50,$B$29:$GQ$29,0))</f>
        <v/>
      </c>
      <c r="AZ10">
        <f>INDEX($B$24:$GQ$24,MATCH(51,$B$29:$GQ$29,0))</f>
        <v/>
      </c>
      <c r="BA10">
        <f>INDEX($B$24:$GQ$24,MATCH(52,$B$29:$GQ$29,0))</f>
        <v/>
      </c>
      <c r="BB10">
        <f>INDEX($B$24:$GQ$24,MATCH(53,$B$29:$GQ$29,0))</f>
        <v/>
      </c>
      <c r="BC10">
        <f>INDEX($B$24:$GQ$24,MATCH(54,$B$29:$GQ$29,0))</f>
        <v/>
      </c>
      <c r="BD10">
        <f>INDEX($B$24:$GQ$24,MATCH(55,$B$29:$GQ$29,0))</f>
        <v/>
      </c>
      <c r="BE10">
        <f>INDEX($B$24:$GQ$24,MATCH(56,$B$29:$GQ$29,0))</f>
        <v/>
      </c>
      <c r="BF10">
        <f>INDEX($B$24:$GQ$24,MATCH(57,$B$29:$GQ$29,0))</f>
        <v/>
      </c>
      <c r="BG10">
        <f>INDEX($B$24:$GQ$24,MATCH(58,$B$29:$GQ$29,0))</f>
        <v/>
      </c>
      <c r="BH10">
        <f>INDEX($B$24:$GQ$24,MATCH(59,$B$29:$GQ$29,0))</f>
        <v/>
      </c>
      <c r="BI10">
        <f>INDEX($B$24:$GQ$24,MATCH(60,$B$29:$GQ$29,0))</f>
        <v/>
      </c>
      <c r="BJ10">
        <f>INDEX($B$24:$GQ$24,MATCH(61,$B$29:$GQ$29,0))</f>
        <v/>
      </c>
      <c r="BK10">
        <f>INDEX($B$24:$GQ$24,MATCH(62,$B$29:$GQ$29,0))</f>
        <v/>
      </c>
      <c r="BL10">
        <f>INDEX($B$24:$GQ$24,MATCH(63,$B$29:$GQ$29,0))</f>
        <v/>
      </c>
      <c r="BM10">
        <f>INDEX($B$24:$GQ$24,MATCH(64,$B$29:$GQ$29,0))</f>
        <v/>
      </c>
      <c r="BN10">
        <f>INDEX($B$24:$GQ$24,MATCH(65,$B$29:$GQ$29,0))</f>
        <v/>
      </c>
      <c r="BO10">
        <f>INDEX($B$24:$GQ$24,MATCH(66,$B$29:$GQ$29,0))</f>
        <v/>
      </c>
      <c r="BP10">
        <f>INDEX($B$24:$GQ$24,MATCH(67,$B$29:$GQ$29,0))</f>
        <v/>
      </c>
      <c r="BQ10">
        <f>INDEX($B$24:$GQ$24,MATCH(68,$B$29:$GQ$29,0))</f>
        <v/>
      </c>
      <c r="BR10">
        <f>INDEX($B$24:$GQ$24,MATCH(69,$B$29:$GQ$29,0))</f>
        <v/>
      </c>
      <c r="BS10">
        <f>INDEX($B$24:$GQ$24,MATCH(70,$B$29:$GQ$29,0))</f>
        <v/>
      </c>
      <c r="BT10">
        <f>INDEX($B$24:$GQ$24,MATCH(71,$B$29:$GQ$29,0))</f>
        <v/>
      </c>
      <c r="BU10">
        <f>INDEX($B$24:$GQ$24,MATCH(72,$B$29:$GQ$29,0))</f>
        <v/>
      </c>
      <c r="BV10">
        <f>INDEX($B$24:$GQ$24,MATCH(73,$B$29:$GQ$29,0))</f>
        <v/>
      </c>
      <c r="BW10">
        <f>INDEX($B$24:$GQ$24,MATCH(74,$B$29:$GQ$29,0))</f>
        <v/>
      </c>
      <c r="BX10">
        <f>INDEX($B$24:$GQ$24,MATCH(75,$B$29:$GQ$29,0))</f>
        <v/>
      </c>
      <c r="BY10">
        <f>INDEX($B$24:$GQ$24,MATCH(76,$B$29:$GQ$29,0))</f>
        <v/>
      </c>
      <c r="BZ10">
        <f>INDEX($B$24:$GQ$24,MATCH(77,$B$29:$GQ$29,0))</f>
        <v/>
      </c>
      <c r="CA10">
        <f>INDEX($B$24:$GQ$24,MATCH(78,$B$29:$GQ$29,0))</f>
        <v/>
      </c>
      <c r="CB10">
        <f>INDEX($B$24:$GQ$24,MATCH(79,$B$29:$GQ$29,0))</f>
        <v/>
      </c>
      <c r="CC10">
        <f>INDEX($B$24:$GQ$24,MATCH(80,$B$29:$GQ$29,0))</f>
        <v/>
      </c>
      <c r="CD10">
        <f>INDEX($B$24:$GQ$24,MATCH(81,$B$29:$GQ$29,0))</f>
        <v/>
      </c>
      <c r="CE10">
        <f>INDEX($B$24:$GQ$24,MATCH(82,$B$29:$GQ$29,0))</f>
        <v/>
      </c>
      <c r="CF10">
        <f>INDEX($B$24:$GQ$24,MATCH(83,$B$29:$GQ$29,0))</f>
        <v/>
      </c>
      <c r="CG10">
        <f>INDEX($B$24:$GQ$24,MATCH(84,$B$29:$GQ$29,0))</f>
        <v/>
      </c>
      <c r="CH10">
        <f>INDEX($B$24:$GQ$24,MATCH(85,$B$29:$GQ$29,0))</f>
        <v/>
      </c>
      <c r="CI10">
        <f>INDEX($B$24:$GQ$24,MATCH(86,$B$29:$GQ$29,0))</f>
        <v/>
      </c>
      <c r="CJ10">
        <f>INDEX($B$24:$GQ$24,MATCH(87,$B$29:$GQ$29,0))</f>
        <v/>
      </c>
      <c r="CK10">
        <f>INDEX($B$24:$GQ$24,MATCH(88,$B$29:$GQ$29,0))</f>
        <v/>
      </c>
      <c r="CL10">
        <f>INDEX($B$24:$GQ$24,MATCH(89,$B$29:$GQ$29,0))</f>
        <v/>
      </c>
      <c r="CM10">
        <f>INDEX($B$24:$GQ$24,MATCH(90,$B$29:$GQ$29,0))</f>
        <v/>
      </c>
      <c r="CN10">
        <f>INDEX($B$24:$GQ$24,MATCH(91,$B$29:$GQ$29,0))</f>
        <v/>
      </c>
      <c r="CO10">
        <f>INDEX($B$24:$GQ$24,MATCH(92,$B$29:$GQ$29,0))</f>
        <v/>
      </c>
      <c r="CP10">
        <f>INDEX($B$24:$GQ$24,MATCH(93,$B$29:$GQ$29,0))</f>
        <v/>
      </c>
      <c r="CQ10">
        <f>INDEX($B$24:$GQ$24,MATCH(94,$B$29:$GQ$29,0))</f>
        <v/>
      </c>
      <c r="CR10">
        <f>INDEX($B$24:$GQ$24,MATCH(95,$B$29:$GQ$29,0))</f>
        <v/>
      </c>
      <c r="CS10">
        <f>INDEX($B$24:$GQ$24,MATCH(96,$B$29:$GQ$29,0))</f>
        <v/>
      </c>
      <c r="CT10">
        <f>INDEX($B$24:$GQ$24,MATCH(97,$B$29:$GQ$29,0))</f>
        <v/>
      </c>
      <c r="CU10">
        <f>INDEX($B$24:$GQ$24,MATCH(98,$B$29:$GQ$29,0))</f>
        <v/>
      </c>
      <c r="CV10">
        <f>INDEX($B$24:$GQ$24,MATCH(99,$B$29:$GQ$29,0))</f>
        <v/>
      </c>
      <c r="CW10">
        <f>INDEX($B$24:$GQ$24,MATCH(100,$B$29:$GQ$29,0))</f>
        <v/>
      </c>
      <c r="CX10">
        <f>INDEX($B$24:$GQ$24,MATCH(101,$B$29:$GQ$29,0))</f>
        <v/>
      </c>
      <c r="CY10">
        <f>INDEX($B$24:$GQ$24,MATCH(102,$B$29:$GQ$29,0))</f>
        <v/>
      </c>
      <c r="CZ10">
        <f>INDEX($B$24:$GQ$24,MATCH(103,$B$29:$GQ$29,0))</f>
        <v/>
      </c>
      <c r="DA10">
        <f>INDEX($B$24:$GQ$24,MATCH(104,$B$29:$GQ$29,0))</f>
        <v/>
      </c>
      <c r="DB10">
        <f>INDEX($B$24:$GQ$24,MATCH(105,$B$29:$GQ$29,0))</f>
        <v/>
      </c>
      <c r="DC10">
        <f>INDEX($B$24:$GQ$24,MATCH(106,$B$29:$GQ$29,0))</f>
        <v/>
      </c>
      <c r="DD10">
        <f>INDEX($B$24:$GQ$24,MATCH(107,$B$29:$GQ$29,0))</f>
        <v/>
      </c>
      <c r="DE10">
        <f>INDEX($B$24:$GQ$24,MATCH(108,$B$29:$GQ$29,0))</f>
        <v/>
      </c>
      <c r="DF10">
        <f>INDEX($B$24:$GQ$24,MATCH(109,$B$29:$GQ$29,0))</f>
        <v/>
      </c>
      <c r="DG10">
        <f>INDEX($B$24:$GQ$24,MATCH(110,$B$29:$GQ$29,0))</f>
        <v/>
      </c>
      <c r="DH10">
        <f>INDEX($B$24:$GQ$24,MATCH(111,$B$29:$GQ$29,0))</f>
        <v/>
      </c>
      <c r="DI10">
        <f>INDEX($B$24:$GQ$24,MATCH(112,$B$29:$GQ$29,0))</f>
        <v/>
      </c>
      <c r="DJ10">
        <f>INDEX($B$24:$GQ$24,MATCH(113,$B$29:$GQ$29,0))</f>
        <v/>
      </c>
      <c r="DK10">
        <f>INDEX($B$24:$GQ$24,MATCH(114,$B$29:$GQ$29,0))</f>
        <v/>
      </c>
      <c r="DL10">
        <f>INDEX($B$24:$GQ$24,MATCH(115,$B$29:$GQ$29,0))</f>
        <v/>
      </c>
      <c r="DM10">
        <f>INDEX($B$24:$GQ$24,MATCH(116,$B$29:$GQ$29,0))</f>
        <v/>
      </c>
      <c r="DN10">
        <f>INDEX($B$24:$GQ$24,MATCH(117,$B$29:$GQ$29,0))</f>
        <v/>
      </c>
      <c r="DO10">
        <f>INDEX($B$24:$GQ$24,MATCH(118,$B$29:$GQ$29,0))</f>
        <v/>
      </c>
      <c r="DP10">
        <f>INDEX($B$24:$GQ$24,MATCH(119,$B$29:$GQ$29,0))</f>
        <v/>
      </c>
      <c r="DQ10">
        <f>INDEX($B$24:$GQ$24,MATCH(120,$B$29:$GQ$29,0))</f>
        <v/>
      </c>
      <c r="DR10">
        <f>INDEX($B$24:$GQ$24,MATCH(121,$B$29:$GQ$29,0))</f>
        <v/>
      </c>
      <c r="DS10">
        <f>INDEX($B$24:$GQ$24,MATCH(122,$B$29:$GQ$29,0))</f>
        <v/>
      </c>
      <c r="DT10">
        <f>INDEX($B$24:$GQ$24,MATCH(123,$B$29:$GQ$29,0))</f>
        <v/>
      </c>
      <c r="DU10">
        <f>INDEX($B$24:$GQ$24,MATCH(124,$B$29:$GQ$29,0))</f>
        <v/>
      </c>
      <c r="DV10">
        <f>INDEX($B$24:$GQ$24,MATCH(125,$B$29:$GQ$29,0))</f>
        <v/>
      </c>
      <c r="DW10">
        <f>INDEX($B$24:$GQ$24,MATCH(126,$B$29:$GQ$29,0))</f>
        <v/>
      </c>
      <c r="DX10">
        <f>INDEX($B$24:$GQ$24,MATCH(127,$B$29:$GQ$29,0))</f>
        <v/>
      </c>
      <c r="DY10">
        <f>INDEX($B$24:$GQ$24,MATCH(128,$B$29:$GQ$29,0))</f>
        <v/>
      </c>
      <c r="DZ10">
        <f>INDEX($B$24:$GQ$24,MATCH(129,$B$29:$GQ$29,0))</f>
        <v/>
      </c>
      <c r="EA10">
        <f>INDEX($B$24:$GQ$24,MATCH(130,$B$29:$GQ$29,0))</f>
        <v/>
      </c>
      <c r="EB10">
        <f>INDEX($B$24:$GQ$24,MATCH(131,$B$29:$GQ$29,0))</f>
        <v/>
      </c>
      <c r="EC10">
        <f>INDEX($B$24:$GQ$24,MATCH(132,$B$29:$GQ$29,0))</f>
        <v/>
      </c>
      <c r="ED10">
        <f>INDEX($B$24:$GQ$24,MATCH(133,$B$29:$GQ$29,0))</f>
        <v/>
      </c>
      <c r="EE10">
        <f>INDEX($B$24:$GQ$24,MATCH(134,$B$29:$GQ$29,0))</f>
        <v/>
      </c>
      <c r="EF10">
        <f>INDEX($B$24:$GQ$24,MATCH(135,$B$29:$GQ$29,0))</f>
        <v/>
      </c>
      <c r="EG10">
        <f>INDEX($B$24:$GQ$24,MATCH(136,$B$29:$GQ$29,0))</f>
        <v/>
      </c>
      <c r="EH10">
        <f>INDEX($B$24:$GQ$24,MATCH(137,$B$29:$GQ$29,0))</f>
        <v/>
      </c>
      <c r="EI10">
        <f>INDEX($B$24:$GQ$24,MATCH(138,$B$29:$GQ$29,0))</f>
        <v/>
      </c>
      <c r="EJ10">
        <f>INDEX($B$24:$GQ$24,MATCH(139,$B$29:$GQ$29,0))</f>
        <v/>
      </c>
      <c r="EK10">
        <f>INDEX($B$24:$GQ$24,MATCH(140,$B$29:$GQ$29,0))</f>
        <v/>
      </c>
      <c r="EL10">
        <f>INDEX($B$24:$GQ$24,MATCH(141,$B$29:$GQ$29,0))</f>
        <v/>
      </c>
      <c r="EM10">
        <f>INDEX($B$24:$GQ$24,MATCH(142,$B$29:$GQ$29,0))</f>
        <v/>
      </c>
      <c r="EN10">
        <f>INDEX($B$24:$GQ$24,MATCH(143,$B$29:$GQ$29,0))</f>
        <v/>
      </c>
      <c r="EO10">
        <f>INDEX($B$24:$GQ$24,MATCH(144,$B$29:$GQ$29,0))</f>
        <v/>
      </c>
      <c r="EP10">
        <f>INDEX($B$24:$GQ$24,MATCH(145,$B$29:$GQ$29,0))</f>
        <v/>
      </c>
      <c r="EQ10">
        <f>INDEX($B$24:$GQ$24,MATCH(146,$B$29:$GQ$29,0))</f>
        <v/>
      </c>
      <c r="ER10">
        <f>INDEX($B$24:$GQ$24,MATCH(147,$B$29:$GQ$29,0))</f>
        <v/>
      </c>
      <c r="ES10">
        <f>INDEX($B$24:$GQ$24,MATCH(148,$B$29:$GQ$29,0))</f>
        <v/>
      </c>
      <c r="ET10">
        <f>INDEX($B$24:$GQ$24,MATCH(149,$B$29:$GQ$29,0))</f>
        <v/>
      </c>
      <c r="EU10">
        <f>INDEX($B$24:$GQ$24,MATCH(150,$B$29:$GQ$29,0))</f>
        <v/>
      </c>
      <c r="EV10">
        <f>INDEX($B$24:$GQ$24,MATCH(151,$B$29:$GQ$29,0))</f>
        <v/>
      </c>
      <c r="EW10">
        <f>INDEX($B$24:$GQ$24,MATCH(152,$B$29:$GQ$29,0))</f>
        <v/>
      </c>
      <c r="EX10">
        <f>INDEX($B$24:$GQ$24,MATCH(153,$B$29:$GQ$29,0))</f>
        <v/>
      </c>
      <c r="EY10">
        <f>INDEX($B$24:$GQ$24,MATCH(154,$B$29:$GQ$29,0))</f>
        <v/>
      </c>
      <c r="EZ10">
        <f>INDEX($B$24:$GQ$24,MATCH(155,$B$29:$GQ$29,0))</f>
        <v/>
      </c>
      <c r="FA10">
        <f>INDEX($B$24:$GQ$24,MATCH(156,$B$29:$GQ$29,0))</f>
        <v/>
      </c>
      <c r="FB10">
        <f>INDEX($B$24:$GQ$24,MATCH(157,$B$29:$GQ$29,0))</f>
        <v/>
      </c>
      <c r="FC10">
        <f>INDEX($B$24:$GQ$24,MATCH(158,$B$29:$GQ$29,0))</f>
        <v/>
      </c>
      <c r="FD10">
        <f>INDEX($B$24:$GQ$24,MATCH(159,$B$29:$GQ$29,0))</f>
        <v/>
      </c>
      <c r="FE10">
        <f>INDEX($B$24:$GQ$24,MATCH(160,$B$29:$GQ$29,0))</f>
        <v/>
      </c>
      <c r="FF10">
        <f>INDEX($B$24:$GQ$24,MATCH(161,$B$29:$GQ$29,0))</f>
        <v/>
      </c>
      <c r="FG10">
        <f>INDEX($B$24:$GQ$24,MATCH(162,$B$29:$GQ$29,0))</f>
        <v/>
      </c>
      <c r="FH10">
        <f>INDEX($B$24:$GQ$24,MATCH(163,$B$29:$GQ$29,0))</f>
        <v/>
      </c>
      <c r="FI10">
        <f>INDEX($B$24:$GQ$24,MATCH(164,$B$29:$GQ$29,0))</f>
        <v/>
      </c>
      <c r="FJ10">
        <f>INDEX($B$24:$GQ$24,MATCH(165,$B$29:$GQ$29,0))</f>
        <v/>
      </c>
      <c r="FK10">
        <f>INDEX($B$24:$GQ$24,MATCH(166,$B$29:$GQ$29,0))</f>
        <v/>
      </c>
      <c r="FL10">
        <f>INDEX($B$24:$GQ$24,MATCH(167,$B$29:$GQ$29,0))</f>
        <v/>
      </c>
      <c r="FM10">
        <f>INDEX($B$24:$GQ$24,MATCH(168,$B$29:$GQ$29,0))</f>
        <v/>
      </c>
      <c r="FN10">
        <f>INDEX($B$24:$GQ$24,MATCH(169,$B$29:$GQ$29,0))</f>
        <v/>
      </c>
      <c r="FO10">
        <f>INDEX($B$24:$GQ$24,MATCH(170,$B$29:$GQ$29,0))</f>
        <v/>
      </c>
      <c r="FP10">
        <f>INDEX($B$24:$GQ$24,MATCH(171,$B$29:$GQ$29,0))</f>
        <v/>
      </c>
      <c r="FQ10">
        <f>INDEX($B$24:$GQ$24,MATCH(172,$B$29:$GQ$29,0))</f>
        <v/>
      </c>
      <c r="FR10">
        <f>INDEX($B$24:$GQ$24,MATCH(173,$B$29:$GQ$29,0))</f>
        <v/>
      </c>
      <c r="FS10">
        <f>INDEX($B$24:$GQ$24,MATCH(174,$B$29:$GQ$29,0))</f>
        <v/>
      </c>
      <c r="FT10">
        <f>INDEX($B$24:$GQ$24,MATCH(175,$B$29:$GQ$29,0))</f>
        <v/>
      </c>
      <c r="FU10">
        <f>INDEX($B$24:$GQ$24,MATCH(176,$B$29:$GQ$29,0))</f>
        <v/>
      </c>
      <c r="FV10">
        <f>INDEX($B$24:$GQ$24,MATCH(177,$B$29:$GQ$29,0))</f>
        <v/>
      </c>
      <c r="FW10">
        <f>INDEX($B$24:$GQ$24,MATCH(178,$B$29:$GQ$29,0))</f>
        <v/>
      </c>
      <c r="FX10">
        <f>INDEX($B$24:$GQ$24,MATCH(179,$B$29:$GQ$29,0))</f>
        <v/>
      </c>
      <c r="FY10">
        <f>INDEX($B$24:$GQ$24,MATCH(180,$B$29:$GQ$29,0))</f>
        <v/>
      </c>
      <c r="FZ10">
        <f>INDEX($B$24:$GQ$24,MATCH(181,$B$29:$GQ$29,0))</f>
        <v/>
      </c>
      <c r="GA10">
        <f>INDEX($B$24:$GQ$24,MATCH(182,$B$29:$GQ$29,0))</f>
        <v/>
      </c>
      <c r="GB10">
        <f>INDEX($B$24:$GQ$24,MATCH(183,$B$29:$GQ$29,0))</f>
        <v/>
      </c>
      <c r="GC10">
        <f>INDEX($B$24:$GQ$24,MATCH(184,$B$29:$GQ$29,0))</f>
        <v/>
      </c>
      <c r="GD10">
        <f>INDEX($B$24:$GQ$24,MATCH(185,$B$29:$GQ$29,0))</f>
        <v/>
      </c>
      <c r="GE10">
        <f>INDEX($B$24:$GQ$24,MATCH(186,$B$29:$GQ$29,0))</f>
        <v/>
      </c>
      <c r="GF10">
        <f>INDEX($B$24:$GQ$24,MATCH(187,$B$29:$GQ$29,0))</f>
        <v/>
      </c>
      <c r="GG10">
        <f>INDEX($B$24:$GQ$24,MATCH(188,$B$29:$GQ$29,0))</f>
        <v/>
      </c>
      <c r="GH10">
        <f>INDEX($B$24:$GQ$24,MATCH(189,$B$29:$GQ$29,0))</f>
        <v/>
      </c>
      <c r="GI10">
        <f>INDEX($B$24:$GQ$24,MATCH(190,$B$29:$GQ$29,0))</f>
        <v/>
      </c>
      <c r="GJ10">
        <f>INDEX($B$24:$GQ$24,MATCH(191,$B$29:$GQ$29,0))</f>
        <v/>
      </c>
      <c r="GK10">
        <f>INDEX($B$24:$GQ$24,MATCH(192,$B$29:$GQ$29,0))</f>
        <v/>
      </c>
      <c r="GL10">
        <f>INDEX($B$24:$GQ$24,MATCH(193,$B$29:$GQ$29,0))</f>
        <v/>
      </c>
      <c r="GM10">
        <f>INDEX($B$24:$GQ$24,MATCH(194,$B$29:$GQ$29,0))</f>
        <v/>
      </c>
      <c r="GN10">
        <f>INDEX($B$24:$GQ$24,MATCH(195,$B$29:$GQ$29,0))</f>
        <v/>
      </c>
      <c r="GO10">
        <f>INDEX($B$24:$GQ$24,MATCH(196,$B$29:$GQ$29,0))</f>
        <v/>
      </c>
      <c r="GP10">
        <f>INDEX($B$24:$GQ$24,MATCH(197,$B$29:$GQ$29,0))</f>
        <v/>
      </c>
      <c r="GQ10">
        <f>INDEX($B$24:$GQ$24,MATCH(198,$B$29:$GQ$29,0))</f>
        <v/>
      </c>
      <c r="GR10">
        <f>INDEX($GR$24:$HC$24,MATCH(1,$GR$30:$HC$30,0))</f>
        <v/>
      </c>
      <c r="GS10">
        <f>INDEX($GR$24:$HC$24,MATCH(2,$GR$30:$HC$30,0))</f>
        <v/>
      </c>
      <c r="GT10">
        <f>INDEX($GR$24:$HC$24,MATCH(3,$GR$30:$HC$30,0))</f>
        <v/>
      </c>
      <c r="GU10">
        <f>INDEX($GR$24:$HC$24,MATCH(4,$GR$30:$HC$30,0))</f>
        <v/>
      </c>
      <c r="GV10">
        <f>INDEX($GR$24:$HC$24,MATCH(5,$GR$30:$HC$30,0))</f>
        <v/>
      </c>
      <c r="GW10">
        <f>INDEX($GR$24:$HC$24,MATCH(6,$GR$30:$HC$30,0))</f>
        <v/>
      </c>
      <c r="GX10">
        <f>INDEX($GR$24:$HC$24,MATCH(7,$GR$30:$HC$30,0))</f>
        <v/>
      </c>
      <c r="GY10">
        <f>INDEX($GR$24:$HC$24,MATCH(8,$GR$30:$HC$30,0))</f>
        <v/>
      </c>
      <c r="GZ10">
        <f>INDEX($GR$24:$HC$24,MATCH(9,$GR$30:$HC$30,0))</f>
        <v/>
      </c>
      <c r="HA10">
        <f>INDEX($GR$24:$HC$24,MATCH(10,$GR$30:$HC$30,0))</f>
        <v/>
      </c>
      <c r="HB10">
        <f>INDEX($GR$24:$HC$24,MATCH(11,$GR$30:$HC$30,0))</f>
        <v/>
      </c>
      <c r="HC10">
        <f>INDEX($GR$24:$HC$24,MATCH(12,$GR$30:$HC$30,0))</f>
        <v/>
      </c>
    </row>
    <row r="11">
      <c r="A11" s="1" t="inlineStr">
        <is>
          <t>M_imp*Y_dom+M_dom*Y_dom</t>
        </is>
      </c>
      <c r="B11">
        <f>INDEX($B$25:$GQ$25,MATCH(1,$B$29:$GQ$29,0))</f>
        <v/>
      </c>
      <c r="C11">
        <f>INDEX($B$25:$GQ$25,MATCH(2,$B$29:$GQ$29,0))</f>
        <v/>
      </c>
      <c r="D11">
        <f>INDEX($B$25:$GQ$25,MATCH(3,$B$29:$GQ$29,0))</f>
        <v/>
      </c>
      <c r="E11">
        <f>INDEX($B$25:$GQ$25,MATCH(4,$B$29:$GQ$29,0))</f>
        <v/>
      </c>
      <c r="F11">
        <f>INDEX($B$25:$GQ$25,MATCH(5,$B$29:$GQ$29,0))</f>
        <v/>
      </c>
      <c r="G11">
        <f>INDEX($B$25:$GQ$25,MATCH(6,$B$29:$GQ$29,0))</f>
        <v/>
      </c>
      <c r="H11">
        <f>INDEX($B$25:$GQ$25,MATCH(7,$B$29:$GQ$29,0))</f>
        <v/>
      </c>
      <c r="I11">
        <f>INDEX($B$25:$GQ$25,MATCH(8,$B$29:$GQ$29,0))</f>
        <v/>
      </c>
      <c r="J11">
        <f>INDEX($B$25:$GQ$25,MATCH(9,$B$29:$GQ$29,0))</f>
        <v/>
      </c>
      <c r="K11">
        <f>INDEX($B$25:$GQ$25,MATCH(10,$B$29:$GQ$29,0))</f>
        <v/>
      </c>
      <c r="L11">
        <f>INDEX($B$25:$GQ$25,MATCH(11,$B$29:$GQ$29,0))</f>
        <v/>
      </c>
      <c r="M11">
        <f>INDEX($B$25:$GQ$25,MATCH(12,$B$29:$GQ$29,0))</f>
        <v/>
      </c>
      <c r="N11">
        <f>INDEX($B$25:$GQ$25,MATCH(13,$B$29:$GQ$29,0))</f>
        <v/>
      </c>
      <c r="O11">
        <f>INDEX($B$25:$GQ$25,MATCH(14,$B$29:$GQ$29,0))</f>
        <v/>
      </c>
      <c r="P11">
        <f>INDEX($B$25:$GQ$25,MATCH(15,$B$29:$GQ$29,0))</f>
        <v/>
      </c>
      <c r="Q11">
        <f>INDEX($B$25:$GQ$25,MATCH(16,$B$29:$GQ$29,0))</f>
        <v/>
      </c>
      <c r="R11">
        <f>INDEX($B$25:$GQ$25,MATCH(17,$B$29:$GQ$29,0))</f>
        <v/>
      </c>
      <c r="S11">
        <f>INDEX($B$25:$GQ$25,MATCH(18,$B$29:$GQ$29,0))</f>
        <v/>
      </c>
      <c r="T11">
        <f>INDEX($B$25:$GQ$25,MATCH(19,$B$29:$GQ$29,0))</f>
        <v/>
      </c>
      <c r="U11">
        <f>INDEX($B$25:$GQ$25,MATCH(20,$B$29:$GQ$29,0))</f>
        <v/>
      </c>
      <c r="V11">
        <f>INDEX($B$25:$GQ$25,MATCH(21,$B$29:$GQ$29,0))</f>
        <v/>
      </c>
      <c r="W11">
        <f>INDEX($B$25:$GQ$25,MATCH(22,$B$29:$GQ$29,0))</f>
        <v/>
      </c>
      <c r="X11">
        <f>INDEX($B$25:$GQ$25,MATCH(23,$B$29:$GQ$29,0))</f>
        <v/>
      </c>
      <c r="Y11">
        <f>INDEX($B$25:$GQ$25,MATCH(24,$B$29:$GQ$29,0))</f>
        <v/>
      </c>
      <c r="Z11">
        <f>INDEX($B$25:$GQ$25,MATCH(25,$B$29:$GQ$29,0))</f>
        <v/>
      </c>
      <c r="AA11">
        <f>INDEX($B$25:$GQ$25,MATCH(26,$B$29:$GQ$29,0))</f>
        <v/>
      </c>
      <c r="AB11">
        <f>INDEX($B$25:$GQ$25,MATCH(27,$B$29:$GQ$29,0))</f>
        <v/>
      </c>
      <c r="AC11">
        <f>INDEX($B$25:$GQ$25,MATCH(28,$B$29:$GQ$29,0))</f>
        <v/>
      </c>
      <c r="AD11">
        <f>INDEX($B$25:$GQ$25,MATCH(29,$B$29:$GQ$29,0))</f>
        <v/>
      </c>
      <c r="AE11">
        <f>INDEX($B$25:$GQ$25,MATCH(30,$B$29:$GQ$29,0))</f>
        <v/>
      </c>
      <c r="AF11">
        <f>INDEX($B$25:$GQ$25,MATCH(31,$B$29:$GQ$29,0))</f>
        <v/>
      </c>
      <c r="AG11">
        <f>INDEX($B$25:$GQ$25,MATCH(32,$B$29:$GQ$29,0))</f>
        <v/>
      </c>
      <c r="AH11">
        <f>INDEX($B$25:$GQ$25,MATCH(33,$B$29:$GQ$29,0))</f>
        <v/>
      </c>
      <c r="AI11">
        <f>INDEX($B$25:$GQ$25,MATCH(34,$B$29:$GQ$29,0))</f>
        <v/>
      </c>
      <c r="AJ11">
        <f>INDEX($B$25:$GQ$25,MATCH(35,$B$29:$GQ$29,0))</f>
        <v/>
      </c>
      <c r="AK11">
        <f>INDEX($B$25:$GQ$25,MATCH(36,$B$29:$GQ$29,0))</f>
        <v/>
      </c>
      <c r="AL11">
        <f>INDEX($B$25:$GQ$25,MATCH(37,$B$29:$GQ$29,0))</f>
        <v/>
      </c>
      <c r="AM11">
        <f>INDEX($B$25:$GQ$25,MATCH(38,$B$29:$GQ$29,0))</f>
        <v/>
      </c>
      <c r="AN11">
        <f>INDEX($B$25:$GQ$25,MATCH(39,$B$29:$GQ$29,0))</f>
        <v/>
      </c>
      <c r="AO11">
        <f>INDEX($B$25:$GQ$25,MATCH(40,$B$29:$GQ$29,0))</f>
        <v/>
      </c>
      <c r="AP11">
        <f>INDEX($B$25:$GQ$25,MATCH(41,$B$29:$GQ$29,0))</f>
        <v/>
      </c>
      <c r="AQ11">
        <f>INDEX($B$25:$GQ$25,MATCH(42,$B$29:$GQ$29,0))</f>
        <v/>
      </c>
      <c r="AR11">
        <f>INDEX($B$25:$GQ$25,MATCH(43,$B$29:$GQ$29,0))</f>
        <v/>
      </c>
      <c r="AS11">
        <f>INDEX($B$25:$GQ$25,MATCH(44,$B$29:$GQ$29,0))</f>
        <v/>
      </c>
      <c r="AT11">
        <f>INDEX($B$25:$GQ$25,MATCH(45,$B$29:$GQ$29,0))</f>
        <v/>
      </c>
      <c r="AU11">
        <f>INDEX($B$25:$GQ$25,MATCH(46,$B$29:$GQ$29,0))</f>
        <v/>
      </c>
      <c r="AV11">
        <f>INDEX($B$25:$GQ$25,MATCH(47,$B$29:$GQ$29,0))</f>
        <v/>
      </c>
      <c r="AW11">
        <f>INDEX($B$25:$GQ$25,MATCH(48,$B$29:$GQ$29,0))</f>
        <v/>
      </c>
      <c r="AX11">
        <f>INDEX($B$25:$GQ$25,MATCH(49,$B$29:$GQ$29,0))</f>
        <v/>
      </c>
      <c r="AY11">
        <f>INDEX($B$25:$GQ$25,MATCH(50,$B$29:$GQ$29,0))</f>
        <v/>
      </c>
      <c r="AZ11">
        <f>INDEX($B$25:$GQ$25,MATCH(51,$B$29:$GQ$29,0))</f>
        <v/>
      </c>
      <c r="BA11">
        <f>INDEX($B$25:$GQ$25,MATCH(52,$B$29:$GQ$29,0))</f>
        <v/>
      </c>
      <c r="BB11">
        <f>INDEX($B$25:$GQ$25,MATCH(53,$B$29:$GQ$29,0))</f>
        <v/>
      </c>
      <c r="BC11">
        <f>INDEX($B$25:$GQ$25,MATCH(54,$B$29:$GQ$29,0))</f>
        <v/>
      </c>
      <c r="BD11">
        <f>INDEX($B$25:$GQ$25,MATCH(55,$B$29:$GQ$29,0))</f>
        <v/>
      </c>
      <c r="BE11">
        <f>INDEX($B$25:$GQ$25,MATCH(56,$B$29:$GQ$29,0))</f>
        <v/>
      </c>
      <c r="BF11">
        <f>INDEX($B$25:$GQ$25,MATCH(57,$B$29:$GQ$29,0))</f>
        <v/>
      </c>
      <c r="BG11">
        <f>INDEX($B$25:$GQ$25,MATCH(58,$B$29:$GQ$29,0))</f>
        <v/>
      </c>
      <c r="BH11">
        <f>INDEX($B$25:$GQ$25,MATCH(59,$B$29:$GQ$29,0))</f>
        <v/>
      </c>
      <c r="BI11">
        <f>INDEX($B$25:$GQ$25,MATCH(60,$B$29:$GQ$29,0))</f>
        <v/>
      </c>
      <c r="BJ11">
        <f>INDEX($B$25:$GQ$25,MATCH(61,$B$29:$GQ$29,0))</f>
        <v/>
      </c>
      <c r="BK11">
        <f>INDEX($B$25:$GQ$25,MATCH(62,$B$29:$GQ$29,0))</f>
        <v/>
      </c>
      <c r="BL11">
        <f>INDEX($B$25:$GQ$25,MATCH(63,$B$29:$GQ$29,0))</f>
        <v/>
      </c>
      <c r="BM11">
        <f>INDEX($B$25:$GQ$25,MATCH(64,$B$29:$GQ$29,0))</f>
        <v/>
      </c>
      <c r="BN11">
        <f>INDEX($B$25:$GQ$25,MATCH(65,$B$29:$GQ$29,0))</f>
        <v/>
      </c>
      <c r="BO11">
        <f>INDEX($B$25:$GQ$25,MATCH(66,$B$29:$GQ$29,0))</f>
        <v/>
      </c>
      <c r="BP11">
        <f>INDEX($B$25:$GQ$25,MATCH(67,$B$29:$GQ$29,0))</f>
        <v/>
      </c>
      <c r="BQ11">
        <f>INDEX($B$25:$GQ$25,MATCH(68,$B$29:$GQ$29,0))</f>
        <v/>
      </c>
      <c r="BR11">
        <f>INDEX($B$25:$GQ$25,MATCH(69,$B$29:$GQ$29,0))</f>
        <v/>
      </c>
      <c r="BS11">
        <f>INDEX($B$25:$GQ$25,MATCH(70,$B$29:$GQ$29,0))</f>
        <v/>
      </c>
      <c r="BT11">
        <f>INDEX($B$25:$GQ$25,MATCH(71,$B$29:$GQ$29,0))</f>
        <v/>
      </c>
      <c r="BU11">
        <f>INDEX($B$25:$GQ$25,MATCH(72,$B$29:$GQ$29,0))</f>
        <v/>
      </c>
      <c r="BV11">
        <f>INDEX($B$25:$GQ$25,MATCH(73,$B$29:$GQ$29,0))</f>
        <v/>
      </c>
      <c r="BW11">
        <f>INDEX($B$25:$GQ$25,MATCH(74,$B$29:$GQ$29,0))</f>
        <v/>
      </c>
      <c r="BX11">
        <f>INDEX($B$25:$GQ$25,MATCH(75,$B$29:$GQ$29,0))</f>
        <v/>
      </c>
      <c r="BY11">
        <f>INDEX($B$25:$GQ$25,MATCH(76,$B$29:$GQ$29,0))</f>
        <v/>
      </c>
      <c r="BZ11">
        <f>INDEX($B$25:$GQ$25,MATCH(77,$B$29:$GQ$29,0))</f>
        <v/>
      </c>
      <c r="CA11">
        <f>INDEX($B$25:$GQ$25,MATCH(78,$B$29:$GQ$29,0))</f>
        <v/>
      </c>
      <c r="CB11">
        <f>INDEX($B$25:$GQ$25,MATCH(79,$B$29:$GQ$29,0))</f>
        <v/>
      </c>
      <c r="CC11">
        <f>INDEX($B$25:$GQ$25,MATCH(80,$B$29:$GQ$29,0))</f>
        <v/>
      </c>
      <c r="CD11">
        <f>INDEX($B$25:$GQ$25,MATCH(81,$B$29:$GQ$29,0))</f>
        <v/>
      </c>
      <c r="CE11">
        <f>INDEX($B$25:$GQ$25,MATCH(82,$B$29:$GQ$29,0))</f>
        <v/>
      </c>
      <c r="CF11">
        <f>INDEX($B$25:$GQ$25,MATCH(83,$B$29:$GQ$29,0))</f>
        <v/>
      </c>
      <c r="CG11">
        <f>INDEX($B$25:$GQ$25,MATCH(84,$B$29:$GQ$29,0))</f>
        <v/>
      </c>
      <c r="CH11">
        <f>INDEX($B$25:$GQ$25,MATCH(85,$B$29:$GQ$29,0))</f>
        <v/>
      </c>
      <c r="CI11">
        <f>INDEX($B$25:$GQ$25,MATCH(86,$B$29:$GQ$29,0))</f>
        <v/>
      </c>
      <c r="CJ11">
        <f>INDEX($B$25:$GQ$25,MATCH(87,$B$29:$GQ$29,0))</f>
        <v/>
      </c>
      <c r="CK11">
        <f>INDEX($B$25:$GQ$25,MATCH(88,$B$29:$GQ$29,0))</f>
        <v/>
      </c>
      <c r="CL11">
        <f>INDEX($B$25:$GQ$25,MATCH(89,$B$29:$GQ$29,0))</f>
        <v/>
      </c>
      <c r="CM11">
        <f>INDEX($B$25:$GQ$25,MATCH(90,$B$29:$GQ$29,0))</f>
        <v/>
      </c>
      <c r="CN11">
        <f>INDEX($B$25:$GQ$25,MATCH(91,$B$29:$GQ$29,0))</f>
        <v/>
      </c>
      <c r="CO11">
        <f>INDEX($B$25:$GQ$25,MATCH(92,$B$29:$GQ$29,0))</f>
        <v/>
      </c>
      <c r="CP11">
        <f>INDEX($B$25:$GQ$25,MATCH(93,$B$29:$GQ$29,0))</f>
        <v/>
      </c>
      <c r="CQ11">
        <f>INDEX($B$25:$GQ$25,MATCH(94,$B$29:$GQ$29,0))</f>
        <v/>
      </c>
      <c r="CR11">
        <f>INDEX($B$25:$GQ$25,MATCH(95,$B$29:$GQ$29,0))</f>
        <v/>
      </c>
      <c r="CS11">
        <f>INDEX($B$25:$GQ$25,MATCH(96,$B$29:$GQ$29,0))</f>
        <v/>
      </c>
      <c r="CT11">
        <f>INDEX($B$25:$GQ$25,MATCH(97,$B$29:$GQ$29,0))</f>
        <v/>
      </c>
      <c r="CU11">
        <f>INDEX($B$25:$GQ$25,MATCH(98,$B$29:$GQ$29,0))</f>
        <v/>
      </c>
      <c r="CV11">
        <f>INDEX($B$25:$GQ$25,MATCH(99,$B$29:$GQ$29,0))</f>
        <v/>
      </c>
      <c r="CW11">
        <f>INDEX($B$25:$GQ$25,MATCH(100,$B$29:$GQ$29,0))</f>
        <v/>
      </c>
      <c r="CX11">
        <f>INDEX($B$25:$GQ$25,MATCH(101,$B$29:$GQ$29,0))</f>
        <v/>
      </c>
      <c r="CY11">
        <f>INDEX($B$25:$GQ$25,MATCH(102,$B$29:$GQ$29,0))</f>
        <v/>
      </c>
      <c r="CZ11">
        <f>INDEX($B$25:$GQ$25,MATCH(103,$B$29:$GQ$29,0))</f>
        <v/>
      </c>
      <c r="DA11">
        <f>INDEX($B$25:$GQ$25,MATCH(104,$B$29:$GQ$29,0))</f>
        <v/>
      </c>
      <c r="DB11">
        <f>INDEX($B$25:$GQ$25,MATCH(105,$B$29:$GQ$29,0))</f>
        <v/>
      </c>
      <c r="DC11">
        <f>INDEX($B$25:$GQ$25,MATCH(106,$B$29:$GQ$29,0))</f>
        <v/>
      </c>
      <c r="DD11">
        <f>INDEX($B$25:$GQ$25,MATCH(107,$B$29:$GQ$29,0))</f>
        <v/>
      </c>
      <c r="DE11">
        <f>INDEX($B$25:$GQ$25,MATCH(108,$B$29:$GQ$29,0))</f>
        <v/>
      </c>
      <c r="DF11">
        <f>INDEX($B$25:$GQ$25,MATCH(109,$B$29:$GQ$29,0))</f>
        <v/>
      </c>
      <c r="DG11">
        <f>INDEX($B$25:$GQ$25,MATCH(110,$B$29:$GQ$29,0))</f>
        <v/>
      </c>
      <c r="DH11">
        <f>INDEX($B$25:$GQ$25,MATCH(111,$B$29:$GQ$29,0))</f>
        <v/>
      </c>
      <c r="DI11">
        <f>INDEX($B$25:$GQ$25,MATCH(112,$B$29:$GQ$29,0))</f>
        <v/>
      </c>
      <c r="DJ11">
        <f>INDEX($B$25:$GQ$25,MATCH(113,$B$29:$GQ$29,0))</f>
        <v/>
      </c>
      <c r="DK11">
        <f>INDEX($B$25:$GQ$25,MATCH(114,$B$29:$GQ$29,0))</f>
        <v/>
      </c>
      <c r="DL11">
        <f>INDEX($B$25:$GQ$25,MATCH(115,$B$29:$GQ$29,0))</f>
        <v/>
      </c>
      <c r="DM11">
        <f>INDEX($B$25:$GQ$25,MATCH(116,$B$29:$GQ$29,0))</f>
        <v/>
      </c>
      <c r="DN11">
        <f>INDEX($B$25:$GQ$25,MATCH(117,$B$29:$GQ$29,0))</f>
        <v/>
      </c>
      <c r="DO11">
        <f>INDEX($B$25:$GQ$25,MATCH(118,$B$29:$GQ$29,0))</f>
        <v/>
      </c>
      <c r="DP11">
        <f>INDEX($B$25:$GQ$25,MATCH(119,$B$29:$GQ$29,0))</f>
        <v/>
      </c>
      <c r="DQ11">
        <f>INDEX($B$25:$GQ$25,MATCH(120,$B$29:$GQ$29,0))</f>
        <v/>
      </c>
      <c r="DR11">
        <f>INDEX($B$25:$GQ$25,MATCH(121,$B$29:$GQ$29,0))</f>
        <v/>
      </c>
      <c r="DS11">
        <f>INDEX($B$25:$GQ$25,MATCH(122,$B$29:$GQ$29,0))</f>
        <v/>
      </c>
      <c r="DT11">
        <f>INDEX($B$25:$GQ$25,MATCH(123,$B$29:$GQ$29,0))</f>
        <v/>
      </c>
      <c r="DU11">
        <f>INDEX($B$25:$GQ$25,MATCH(124,$B$29:$GQ$29,0))</f>
        <v/>
      </c>
      <c r="DV11">
        <f>INDEX($B$25:$GQ$25,MATCH(125,$B$29:$GQ$29,0))</f>
        <v/>
      </c>
      <c r="DW11">
        <f>INDEX($B$25:$GQ$25,MATCH(126,$B$29:$GQ$29,0))</f>
        <v/>
      </c>
      <c r="DX11">
        <f>INDEX($B$25:$GQ$25,MATCH(127,$B$29:$GQ$29,0))</f>
        <v/>
      </c>
      <c r="DY11">
        <f>INDEX($B$25:$GQ$25,MATCH(128,$B$29:$GQ$29,0))</f>
        <v/>
      </c>
      <c r="DZ11">
        <f>INDEX($B$25:$GQ$25,MATCH(129,$B$29:$GQ$29,0))</f>
        <v/>
      </c>
      <c r="EA11">
        <f>INDEX($B$25:$GQ$25,MATCH(130,$B$29:$GQ$29,0))</f>
        <v/>
      </c>
      <c r="EB11">
        <f>INDEX($B$25:$GQ$25,MATCH(131,$B$29:$GQ$29,0))</f>
        <v/>
      </c>
      <c r="EC11">
        <f>INDEX($B$25:$GQ$25,MATCH(132,$B$29:$GQ$29,0))</f>
        <v/>
      </c>
      <c r="ED11">
        <f>INDEX($B$25:$GQ$25,MATCH(133,$B$29:$GQ$29,0))</f>
        <v/>
      </c>
      <c r="EE11">
        <f>INDEX($B$25:$GQ$25,MATCH(134,$B$29:$GQ$29,0))</f>
        <v/>
      </c>
      <c r="EF11">
        <f>INDEX($B$25:$GQ$25,MATCH(135,$B$29:$GQ$29,0))</f>
        <v/>
      </c>
      <c r="EG11">
        <f>INDEX($B$25:$GQ$25,MATCH(136,$B$29:$GQ$29,0))</f>
        <v/>
      </c>
      <c r="EH11">
        <f>INDEX($B$25:$GQ$25,MATCH(137,$B$29:$GQ$29,0))</f>
        <v/>
      </c>
      <c r="EI11">
        <f>INDEX($B$25:$GQ$25,MATCH(138,$B$29:$GQ$29,0))</f>
        <v/>
      </c>
      <c r="EJ11">
        <f>INDEX($B$25:$GQ$25,MATCH(139,$B$29:$GQ$29,0))</f>
        <v/>
      </c>
      <c r="EK11">
        <f>INDEX($B$25:$GQ$25,MATCH(140,$B$29:$GQ$29,0))</f>
        <v/>
      </c>
      <c r="EL11">
        <f>INDEX($B$25:$GQ$25,MATCH(141,$B$29:$GQ$29,0))</f>
        <v/>
      </c>
      <c r="EM11">
        <f>INDEX($B$25:$GQ$25,MATCH(142,$B$29:$GQ$29,0))</f>
        <v/>
      </c>
      <c r="EN11">
        <f>INDEX($B$25:$GQ$25,MATCH(143,$B$29:$GQ$29,0))</f>
        <v/>
      </c>
      <c r="EO11">
        <f>INDEX($B$25:$GQ$25,MATCH(144,$B$29:$GQ$29,0))</f>
        <v/>
      </c>
      <c r="EP11">
        <f>INDEX($B$25:$GQ$25,MATCH(145,$B$29:$GQ$29,0))</f>
        <v/>
      </c>
      <c r="EQ11">
        <f>INDEX($B$25:$GQ$25,MATCH(146,$B$29:$GQ$29,0))</f>
        <v/>
      </c>
      <c r="ER11">
        <f>INDEX($B$25:$GQ$25,MATCH(147,$B$29:$GQ$29,0))</f>
        <v/>
      </c>
      <c r="ES11">
        <f>INDEX($B$25:$GQ$25,MATCH(148,$B$29:$GQ$29,0))</f>
        <v/>
      </c>
      <c r="ET11">
        <f>INDEX($B$25:$GQ$25,MATCH(149,$B$29:$GQ$29,0))</f>
        <v/>
      </c>
      <c r="EU11">
        <f>INDEX($B$25:$GQ$25,MATCH(150,$B$29:$GQ$29,0))</f>
        <v/>
      </c>
      <c r="EV11">
        <f>INDEX($B$25:$GQ$25,MATCH(151,$B$29:$GQ$29,0))</f>
        <v/>
      </c>
      <c r="EW11">
        <f>INDEX($B$25:$GQ$25,MATCH(152,$B$29:$GQ$29,0))</f>
        <v/>
      </c>
      <c r="EX11">
        <f>INDEX($B$25:$GQ$25,MATCH(153,$B$29:$GQ$29,0))</f>
        <v/>
      </c>
      <c r="EY11">
        <f>INDEX($B$25:$GQ$25,MATCH(154,$B$29:$GQ$29,0))</f>
        <v/>
      </c>
      <c r="EZ11">
        <f>INDEX($B$25:$GQ$25,MATCH(155,$B$29:$GQ$29,0))</f>
        <v/>
      </c>
      <c r="FA11">
        <f>INDEX($B$25:$GQ$25,MATCH(156,$B$29:$GQ$29,0))</f>
        <v/>
      </c>
      <c r="FB11">
        <f>INDEX($B$25:$GQ$25,MATCH(157,$B$29:$GQ$29,0))</f>
        <v/>
      </c>
      <c r="FC11">
        <f>INDEX($B$25:$GQ$25,MATCH(158,$B$29:$GQ$29,0))</f>
        <v/>
      </c>
      <c r="FD11">
        <f>INDEX($B$25:$GQ$25,MATCH(159,$B$29:$GQ$29,0))</f>
        <v/>
      </c>
      <c r="FE11">
        <f>INDEX($B$25:$GQ$25,MATCH(160,$B$29:$GQ$29,0))</f>
        <v/>
      </c>
      <c r="FF11">
        <f>INDEX($B$25:$GQ$25,MATCH(161,$B$29:$GQ$29,0))</f>
        <v/>
      </c>
      <c r="FG11">
        <f>INDEX($B$25:$GQ$25,MATCH(162,$B$29:$GQ$29,0))</f>
        <v/>
      </c>
      <c r="FH11">
        <f>INDEX($B$25:$GQ$25,MATCH(163,$B$29:$GQ$29,0))</f>
        <v/>
      </c>
      <c r="FI11">
        <f>INDEX($B$25:$GQ$25,MATCH(164,$B$29:$GQ$29,0))</f>
        <v/>
      </c>
      <c r="FJ11">
        <f>INDEX($B$25:$GQ$25,MATCH(165,$B$29:$GQ$29,0))</f>
        <v/>
      </c>
      <c r="FK11">
        <f>INDEX($B$25:$GQ$25,MATCH(166,$B$29:$GQ$29,0))</f>
        <v/>
      </c>
      <c r="FL11">
        <f>INDEX($B$25:$GQ$25,MATCH(167,$B$29:$GQ$29,0))</f>
        <v/>
      </c>
      <c r="FM11">
        <f>INDEX($B$25:$GQ$25,MATCH(168,$B$29:$GQ$29,0))</f>
        <v/>
      </c>
      <c r="FN11">
        <f>INDEX($B$25:$GQ$25,MATCH(169,$B$29:$GQ$29,0))</f>
        <v/>
      </c>
      <c r="FO11">
        <f>INDEX($B$25:$GQ$25,MATCH(170,$B$29:$GQ$29,0))</f>
        <v/>
      </c>
      <c r="FP11">
        <f>INDEX($B$25:$GQ$25,MATCH(171,$B$29:$GQ$29,0))</f>
        <v/>
      </c>
      <c r="FQ11">
        <f>INDEX($B$25:$GQ$25,MATCH(172,$B$29:$GQ$29,0))</f>
        <v/>
      </c>
      <c r="FR11">
        <f>INDEX($B$25:$GQ$25,MATCH(173,$B$29:$GQ$29,0))</f>
        <v/>
      </c>
      <c r="FS11">
        <f>INDEX($B$25:$GQ$25,MATCH(174,$B$29:$GQ$29,0))</f>
        <v/>
      </c>
      <c r="FT11">
        <f>INDEX($B$25:$GQ$25,MATCH(175,$B$29:$GQ$29,0))</f>
        <v/>
      </c>
      <c r="FU11">
        <f>INDEX($B$25:$GQ$25,MATCH(176,$B$29:$GQ$29,0))</f>
        <v/>
      </c>
      <c r="FV11">
        <f>INDEX($B$25:$GQ$25,MATCH(177,$B$29:$GQ$29,0))</f>
        <v/>
      </c>
      <c r="FW11">
        <f>INDEX($B$25:$GQ$25,MATCH(178,$B$29:$GQ$29,0))</f>
        <v/>
      </c>
      <c r="FX11">
        <f>INDEX($B$25:$GQ$25,MATCH(179,$B$29:$GQ$29,0))</f>
        <v/>
      </c>
      <c r="FY11">
        <f>INDEX($B$25:$GQ$25,MATCH(180,$B$29:$GQ$29,0))</f>
        <v/>
      </c>
      <c r="FZ11">
        <f>INDEX($B$25:$GQ$25,MATCH(181,$B$29:$GQ$29,0))</f>
        <v/>
      </c>
      <c r="GA11">
        <f>INDEX($B$25:$GQ$25,MATCH(182,$B$29:$GQ$29,0))</f>
        <v/>
      </c>
      <c r="GB11">
        <f>INDEX($B$25:$GQ$25,MATCH(183,$B$29:$GQ$29,0))</f>
        <v/>
      </c>
      <c r="GC11">
        <f>INDEX($B$25:$GQ$25,MATCH(184,$B$29:$GQ$29,0))</f>
        <v/>
      </c>
      <c r="GD11">
        <f>INDEX($B$25:$GQ$25,MATCH(185,$B$29:$GQ$29,0))</f>
        <v/>
      </c>
      <c r="GE11">
        <f>INDEX($B$25:$GQ$25,MATCH(186,$B$29:$GQ$29,0))</f>
        <v/>
      </c>
      <c r="GF11">
        <f>INDEX($B$25:$GQ$25,MATCH(187,$B$29:$GQ$29,0))</f>
        <v/>
      </c>
      <c r="GG11">
        <f>INDEX($B$25:$GQ$25,MATCH(188,$B$29:$GQ$29,0))</f>
        <v/>
      </c>
      <c r="GH11">
        <f>INDEX($B$25:$GQ$25,MATCH(189,$B$29:$GQ$29,0))</f>
        <v/>
      </c>
      <c r="GI11">
        <f>INDEX($B$25:$GQ$25,MATCH(190,$B$29:$GQ$29,0))</f>
        <v/>
      </c>
      <c r="GJ11">
        <f>INDEX($B$25:$GQ$25,MATCH(191,$B$29:$GQ$29,0))</f>
        <v/>
      </c>
      <c r="GK11">
        <f>INDEX($B$25:$GQ$25,MATCH(192,$B$29:$GQ$29,0))</f>
        <v/>
      </c>
      <c r="GL11">
        <f>INDEX($B$25:$GQ$25,MATCH(193,$B$29:$GQ$29,0))</f>
        <v/>
      </c>
      <c r="GM11">
        <f>INDEX($B$25:$GQ$25,MATCH(194,$B$29:$GQ$29,0))</f>
        <v/>
      </c>
      <c r="GN11">
        <f>INDEX($B$25:$GQ$25,MATCH(195,$B$29:$GQ$29,0))</f>
        <v/>
      </c>
      <c r="GO11">
        <f>INDEX($B$25:$GQ$25,MATCH(196,$B$29:$GQ$29,0))</f>
        <v/>
      </c>
      <c r="GP11">
        <f>INDEX($B$25:$GQ$25,MATCH(197,$B$29:$GQ$29,0))</f>
        <v/>
      </c>
      <c r="GQ11">
        <f>INDEX($B$25:$GQ$25,MATCH(198,$B$29:$GQ$29,0))</f>
        <v/>
      </c>
      <c r="GR11">
        <f>INDEX($GR$25:$HC$25,MATCH(1,$GR$30:$HC$30,0))</f>
        <v/>
      </c>
      <c r="GS11">
        <f>INDEX($GR$25:$HC$25,MATCH(2,$GR$30:$HC$30,0))</f>
        <v/>
      </c>
      <c r="GT11">
        <f>INDEX($GR$25:$HC$25,MATCH(3,$GR$30:$HC$30,0))</f>
        <v/>
      </c>
      <c r="GU11">
        <f>INDEX($GR$25:$HC$25,MATCH(4,$GR$30:$HC$30,0))</f>
        <v/>
      </c>
      <c r="GV11">
        <f>INDEX($GR$25:$HC$25,MATCH(5,$GR$30:$HC$30,0))</f>
        <v/>
      </c>
      <c r="GW11">
        <f>INDEX($GR$25:$HC$25,MATCH(6,$GR$30:$HC$30,0))</f>
        <v/>
      </c>
      <c r="GX11">
        <f>INDEX($GR$25:$HC$25,MATCH(7,$GR$30:$HC$30,0))</f>
        <v/>
      </c>
      <c r="GY11">
        <f>INDEX($GR$25:$HC$25,MATCH(8,$GR$30:$HC$30,0))</f>
        <v/>
      </c>
      <c r="GZ11">
        <f>INDEX($GR$25:$HC$25,MATCH(9,$GR$30:$HC$30,0))</f>
        <v/>
      </c>
      <c r="HA11">
        <f>INDEX($GR$25:$HC$25,MATCH(10,$GR$30:$HC$30,0))</f>
        <v/>
      </c>
      <c r="HB11">
        <f>INDEX($GR$25:$HC$25,MATCH(11,$GR$30:$HC$30,0))</f>
        <v/>
      </c>
      <c r="HC11">
        <f>INDEX($GR$25:$HC$25,MATCH(12,$GR$30:$HC$30,0))</f>
        <v/>
      </c>
    </row>
    <row r="12">
      <c r="A12" s="1" t="inlineStr">
        <is>
          <t>M_row*Y_imp</t>
        </is>
      </c>
      <c r="B12">
        <f>INDEX($B$26:$GQ$26,MATCH(1,$B$29:$GQ$29,0))</f>
        <v/>
      </c>
      <c r="C12">
        <f>INDEX($B$26:$GQ$26,MATCH(2,$B$29:$GQ$29,0))</f>
        <v/>
      </c>
      <c r="D12">
        <f>INDEX($B$26:$GQ$26,MATCH(3,$B$29:$GQ$29,0))</f>
        <v/>
      </c>
      <c r="E12">
        <f>INDEX($B$26:$GQ$26,MATCH(4,$B$29:$GQ$29,0))</f>
        <v/>
      </c>
      <c r="F12">
        <f>INDEX($B$26:$GQ$26,MATCH(5,$B$29:$GQ$29,0))</f>
        <v/>
      </c>
      <c r="G12">
        <f>INDEX($B$26:$GQ$26,MATCH(6,$B$29:$GQ$29,0))</f>
        <v/>
      </c>
      <c r="H12">
        <f>INDEX($B$26:$GQ$26,MATCH(7,$B$29:$GQ$29,0))</f>
        <v/>
      </c>
      <c r="I12">
        <f>INDEX($B$26:$GQ$26,MATCH(8,$B$29:$GQ$29,0))</f>
        <v/>
      </c>
      <c r="J12">
        <f>INDEX($B$26:$GQ$26,MATCH(9,$B$29:$GQ$29,0))</f>
        <v/>
      </c>
      <c r="K12">
        <f>INDEX($B$26:$GQ$26,MATCH(10,$B$29:$GQ$29,0))</f>
        <v/>
      </c>
      <c r="L12">
        <f>INDEX($B$26:$GQ$26,MATCH(11,$B$29:$GQ$29,0))</f>
        <v/>
      </c>
      <c r="M12">
        <f>INDEX($B$26:$GQ$26,MATCH(12,$B$29:$GQ$29,0))</f>
        <v/>
      </c>
      <c r="N12">
        <f>INDEX($B$26:$GQ$26,MATCH(13,$B$29:$GQ$29,0))</f>
        <v/>
      </c>
      <c r="O12">
        <f>INDEX($B$26:$GQ$26,MATCH(14,$B$29:$GQ$29,0))</f>
        <v/>
      </c>
      <c r="P12">
        <f>INDEX($B$26:$GQ$26,MATCH(15,$B$29:$GQ$29,0))</f>
        <v/>
      </c>
      <c r="Q12">
        <f>INDEX($B$26:$GQ$26,MATCH(16,$B$29:$GQ$29,0))</f>
        <v/>
      </c>
      <c r="R12">
        <f>INDEX($B$26:$GQ$26,MATCH(17,$B$29:$GQ$29,0))</f>
        <v/>
      </c>
      <c r="S12">
        <f>INDEX($B$26:$GQ$26,MATCH(18,$B$29:$GQ$29,0))</f>
        <v/>
      </c>
      <c r="T12">
        <f>INDEX($B$26:$GQ$26,MATCH(19,$B$29:$GQ$29,0))</f>
        <v/>
      </c>
      <c r="U12">
        <f>INDEX($B$26:$GQ$26,MATCH(20,$B$29:$GQ$29,0))</f>
        <v/>
      </c>
      <c r="V12">
        <f>INDEX($B$26:$GQ$26,MATCH(21,$B$29:$GQ$29,0))</f>
        <v/>
      </c>
      <c r="W12">
        <f>INDEX($B$26:$GQ$26,MATCH(22,$B$29:$GQ$29,0))</f>
        <v/>
      </c>
      <c r="X12">
        <f>INDEX($B$26:$GQ$26,MATCH(23,$B$29:$GQ$29,0))</f>
        <v/>
      </c>
      <c r="Y12">
        <f>INDEX($B$26:$GQ$26,MATCH(24,$B$29:$GQ$29,0))</f>
        <v/>
      </c>
      <c r="Z12">
        <f>INDEX($B$26:$GQ$26,MATCH(25,$B$29:$GQ$29,0))</f>
        <v/>
      </c>
      <c r="AA12">
        <f>INDEX($B$26:$GQ$26,MATCH(26,$B$29:$GQ$29,0))</f>
        <v/>
      </c>
      <c r="AB12">
        <f>INDEX($B$26:$GQ$26,MATCH(27,$B$29:$GQ$29,0))</f>
        <v/>
      </c>
      <c r="AC12">
        <f>INDEX($B$26:$GQ$26,MATCH(28,$B$29:$GQ$29,0))</f>
        <v/>
      </c>
      <c r="AD12">
        <f>INDEX($B$26:$GQ$26,MATCH(29,$B$29:$GQ$29,0))</f>
        <v/>
      </c>
      <c r="AE12">
        <f>INDEX($B$26:$GQ$26,MATCH(30,$B$29:$GQ$29,0))</f>
        <v/>
      </c>
      <c r="AF12">
        <f>INDEX($B$26:$GQ$26,MATCH(31,$B$29:$GQ$29,0))</f>
        <v/>
      </c>
      <c r="AG12">
        <f>INDEX($B$26:$GQ$26,MATCH(32,$B$29:$GQ$29,0))</f>
        <v/>
      </c>
      <c r="AH12">
        <f>INDEX($B$26:$GQ$26,MATCH(33,$B$29:$GQ$29,0))</f>
        <v/>
      </c>
      <c r="AI12">
        <f>INDEX($B$26:$GQ$26,MATCH(34,$B$29:$GQ$29,0))</f>
        <v/>
      </c>
      <c r="AJ12">
        <f>INDEX($B$26:$GQ$26,MATCH(35,$B$29:$GQ$29,0))</f>
        <v/>
      </c>
      <c r="AK12">
        <f>INDEX($B$26:$GQ$26,MATCH(36,$B$29:$GQ$29,0))</f>
        <v/>
      </c>
      <c r="AL12">
        <f>INDEX($B$26:$GQ$26,MATCH(37,$B$29:$GQ$29,0))</f>
        <v/>
      </c>
      <c r="AM12">
        <f>INDEX($B$26:$GQ$26,MATCH(38,$B$29:$GQ$29,0))</f>
        <v/>
      </c>
      <c r="AN12">
        <f>INDEX($B$26:$GQ$26,MATCH(39,$B$29:$GQ$29,0))</f>
        <v/>
      </c>
      <c r="AO12">
        <f>INDEX($B$26:$GQ$26,MATCH(40,$B$29:$GQ$29,0))</f>
        <v/>
      </c>
      <c r="AP12">
        <f>INDEX($B$26:$GQ$26,MATCH(41,$B$29:$GQ$29,0))</f>
        <v/>
      </c>
      <c r="AQ12">
        <f>INDEX($B$26:$GQ$26,MATCH(42,$B$29:$GQ$29,0))</f>
        <v/>
      </c>
      <c r="AR12">
        <f>INDEX($B$26:$GQ$26,MATCH(43,$B$29:$GQ$29,0))</f>
        <v/>
      </c>
      <c r="AS12">
        <f>INDEX($B$26:$GQ$26,MATCH(44,$B$29:$GQ$29,0))</f>
        <v/>
      </c>
      <c r="AT12">
        <f>INDEX($B$26:$GQ$26,MATCH(45,$B$29:$GQ$29,0))</f>
        <v/>
      </c>
      <c r="AU12">
        <f>INDEX($B$26:$GQ$26,MATCH(46,$B$29:$GQ$29,0))</f>
        <v/>
      </c>
      <c r="AV12">
        <f>INDEX($B$26:$GQ$26,MATCH(47,$B$29:$GQ$29,0))</f>
        <v/>
      </c>
      <c r="AW12">
        <f>INDEX($B$26:$GQ$26,MATCH(48,$B$29:$GQ$29,0))</f>
        <v/>
      </c>
      <c r="AX12">
        <f>INDEX($B$26:$GQ$26,MATCH(49,$B$29:$GQ$29,0))</f>
        <v/>
      </c>
      <c r="AY12">
        <f>INDEX($B$26:$GQ$26,MATCH(50,$B$29:$GQ$29,0))</f>
        <v/>
      </c>
      <c r="AZ12">
        <f>INDEX($B$26:$GQ$26,MATCH(51,$B$29:$GQ$29,0))</f>
        <v/>
      </c>
      <c r="BA12">
        <f>INDEX($B$26:$GQ$26,MATCH(52,$B$29:$GQ$29,0))</f>
        <v/>
      </c>
      <c r="BB12">
        <f>INDEX($B$26:$GQ$26,MATCH(53,$B$29:$GQ$29,0))</f>
        <v/>
      </c>
      <c r="BC12">
        <f>INDEX($B$26:$GQ$26,MATCH(54,$B$29:$GQ$29,0))</f>
        <v/>
      </c>
      <c r="BD12">
        <f>INDEX($B$26:$GQ$26,MATCH(55,$B$29:$GQ$29,0))</f>
        <v/>
      </c>
      <c r="BE12">
        <f>INDEX($B$26:$GQ$26,MATCH(56,$B$29:$GQ$29,0))</f>
        <v/>
      </c>
      <c r="BF12">
        <f>INDEX($B$26:$GQ$26,MATCH(57,$B$29:$GQ$29,0))</f>
        <v/>
      </c>
      <c r="BG12">
        <f>INDEX($B$26:$GQ$26,MATCH(58,$B$29:$GQ$29,0))</f>
        <v/>
      </c>
      <c r="BH12">
        <f>INDEX($B$26:$GQ$26,MATCH(59,$B$29:$GQ$29,0))</f>
        <v/>
      </c>
      <c r="BI12">
        <f>INDEX($B$26:$GQ$26,MATCH(60,$B$29:$GQ$29,0))</f>
        <v/>
      </c>
      <c r="BJ12">
        <f>INDEX($B$26:$GQ$26,MATCH(61,$B$29:$GQ$29,0))</f>
        <v/>
      </c>
      <c r="BK12">
        <f>INDEX($B$26:$GQ$26,MATCH(62,$B$29:$GQ$29,0))</f>
        <v/>
      </c>
      <c r="BL12">
        <f>INDEX($B$26:$GQ$26,MATCH(63,$B$29:$GQ$29,0))</f>
        <v/>
      </c>
      <c r="BM12">
        <f>INDEX($B$26:$GQ$26,MATCH(64,$B$29:$GQ$29,0))</f>
        <v/>
      </c>
      <c r="BN12">
        <f>INDEX($B$26:$GQ$26,MATCH(65,$B$29:$GQ$29,0))</f>
        <v/>
      </c>
      <c r="BO12">
        <f>INDEX($B$26:$GQ$26,MATCH(66,$B$29:$GQ$29,0))</f>
        <v/>
      </c>
      <c r="BP12">
        <f>INDEX($B$26:$GQ$26,MATCH(67,$B$29:$GQ$29,0))</f>
        <v/>
      </c>
      <c r="BQ12">
        <f>INDEX($B$26:$GQ$26,MATCH(68,$B$29:$GQ$29,0))</f>
        <v/>
      </c>
      <c r="BR12">
        <f>INDEX($B$26:$GQ$26,MATCH(69,$B$29:$GQ$29,0))</f>
        <v/>
      </c>
      <c r="BS12">
        <f>INDEX($B$26:$GQ$26,MATCH(70,$B$29:$GQ$29,0))</f>
        <v/>
      </c>
      <c r="BT12">
        <f>INDEX($B$26:$GQ$26,MATCH(71,$B$29:$GQ$29,0))</f>
        <v/>
      </c>
      <c r="BU12">
        <f>INDEX($B$26:$GQ$26,MATCH(72,$B$29:$GQ$29,0))</f>
        <v/>
      </c>
      <c r="BV12">
        <f>INDEX($B$26:$GQ$26,MATCH(73,$B$29:$GQ$29,0))</f>
        <v/>
      </c>
      <c r="BW12">
        <f>INDEX($B$26:$GQ$26,MATCH(74,$B$29:$GQ$29,0))</f>
        <v/>
      </c>
      <c r="BX12">
        <f>INDEX($B$26:$GQ$26,MATCH(75,$B$29:$GQ$29,0))</f>
        <v/>
      </c>
      <c r="BY12">
        <f>INDEX($B$26:$GQ$26,MATCH(76,$B$29:$GQ$29,0))</f>
        <v/>
      </c>
      <c r="BZ12">
        <f>INDEX($B$26:$GQ$26,MATCH(77,$B$29:$GQ$29,0))</f>
        <v/>
      </c>
      <c r="CA12">
        <f>INDEX($B$26:$GQ$26,MATCH(78,$B$29:$GQ$29,0))</f>
        <v/>
      </c>
      <c r="CB12">
        <f>INDEX($B$26:$GQ$26,MATCH(79,$B$29:$GQ$29,0))</f>
        <v/>
      </c>
      <c r="CC12">
        <f>INDEX($B$26:$GQ$26,MATCH(80,$B$29:$GQ$29,0))</f>
        <v/>
      </c>
      <c r="CD12">
        <f>INDEX($B$26:$GQ$26,MATCH(81,$B$29:$GQ$29,0))</f>
        <v/>
      </c>
      <c r="CE12">
        <f>INDEX($B$26:$GQ$26,MATCH(82,$B$29:$GQ$29,0))</f>
        <v/>
      </c>
      <c r="CF12">
        <f>INDEX($B$26:$GQ$26,MATCH(83,$B$29:$GQ$29,0))</f>
        <v/>
      </c>
      <c r="CG12">
        <f>INDEX($B$26:$GQ$26,MATCH(84,$B$29:$GQ$29,0))</f>
        <v/>
      </c>
      <c r="CH12">
        <f>INDEX($B$26:$GQ$26,MATCH(85,$B$29:$GQ$29,0))</f>
        <v/>
      </c>
      <c r="CI12">
        <f>INDEX($B$26:$GQ$26,MATCH(86,$B$29:$GQ$29,0))</f>
        <v/>
      </c>
      <c r="CJ12">
        <f>INDEX($B$26:$GQ$26,MATCH(87,$B$29:$GQ$29,0))</f>
        <v/>
      </c>
      <c r="CK12">
        <f>INDEX($B$26:$GQ$26,MATCH(88,$B$29:$GQ$29,0))</f>
        <v/>
      </c>
      <c r="CL12">
        <f>INDEX($B$26:$GQ$26,MATCH(89,$B$29:$GQ$29,0))</f>
        <v/>
      </c>
      <c r="CM12">
        <f>INDEX($B$26:$GQ$26,MATCH(90,$B$29:$GQ$29,0))</f>
        <v/>
      </c>
      <c r="CN12">
        <f>INDEX($B$26:$GQ$26,MATCH(91,$B$29:$GQ$29,0))</f>
        <v/>
      </c>
      <c r="CO12">
        <f>INDEX($B$26:$GQ$26,MATCH(92,$B$29:$GQ$29,0))</f>
        <v/>
      </c>
      <c r="CP12">
        <f>INDEX($B$26:$GQ$26,MATCH(93,$B$29:$GQ$29,0))</f>
        <v/>
      </c>
      <c r="CQ12">
        <f>INDEX($B$26:$GQ$26,MATCH(94,$B$29:$GQ$29,0))</f>
        <v/>
      </c>
      <c r="CR12">
        <f>INDEX($B$26:$GQ$26,MATCH(95,$B$29:$GQ$29,0))</f>
        <v/>
      </c>
      <c r="CS12">
        <f>INDEX($B$26:$GQ$26,MATCH(96,$B$29:$GQ$29,0))</f>
        <v/>
      </c>
      <c r="CT12">
        <f>INDEX($B$26:$GQ$26,MATCH(97,$B$29:$GQ$29,0))</f>
        <v/>
      </c>
      <c r="CU12">
        <f>INDEX($B$26:$GQ$26,MATCH(98,$B$29:$GQ$29,0))</f>
        <v/>
      </c>
      <c r="CV12">
        <f>INDEX($B$26:$GQ$26,MATCH(99,$B$29:$GQ$29,0))</f>
        <v/>
      </c>
      <c r="CW12">
        <f>INDEX($B$26:$GQ$26,MATCH(100,$B$29:$GQ$29,0))</f>
        <v/>
      </c>
      <c r="CX12">
        <f>INDEX($B$26:$GQ$26,MATCH(101,$B$29:$GQ$29,0))</f>
        <v/>
      </c>
      <c r="CY12">
        <f>INDEX($B$26:$GQ$26,MATCH(102,$B$29:$GQ$29,0))</f>
        <v/>
      </c>
      <c r="CZ12">
        <f>INDEX($B$26:$GQ$26,MATCH(103,$B$29:$GQ$29,0))</f>
        <v/>
      </c>
      <c r="DA12">
        <f>INDEX($B$26:$GQ$26,MATCH(104,$B$29:$GQ$29,0))</f>
        <v/>
      </c>
      <c r="DB12">
        <f>INDEX($B$26:$GQ$26,MATCH(105,$B$29:$GQ$29,0))</f>
        <v/>
      </c>
      <c r="DC12">
        <f>INDEX($B$26:$GQ$26,MATCH(106,$B$29:$GQ$29,0))</f>
        <v/>
      </c>
      <c r="DD12">
        <f>INDEX($B$26:$GQ$26,MATCH(107,$B$29:$GQ$29,0))</f>
        <v/>
      </c>
      <c r="DE12">
        <f>INDEX($B$26:$GQ$26,MATCH(108,$B$29:$GQ$29,0))</f>
        <v/>
      </c>
      <c r="DF12">
        <f>INDEX($B$26:$GQ$26,MATCH(109,$B$29:$GQ$29,0))</f>
        <v/>
      </c>
      <c r="DG12">
        <f>INDEX($B$26:$GQ$26,MATCH(110,$B$29:$GQ$29,0))</f>
        <v/>
      </c>
      <c r="DH12">
        <f>INDEX($B$26:$GQ$26,MATCH(111,$B$29:$GQ$29,0))</f>
        <v/>
      </c>
      <c r="DI12">
        <f>INDEX($B$26:$GQ$26,MATCH(112,$B$29:$GQ$29,0))</f>
        <v/>
      </c>
      <c r="DJ12">
        <f>INDEX($B$26:$GQ$26,MATCH(113,$B$29:$GQ$29,0))</f>
        <v/>
      </c>
      <c r="DK12">
        <f>INDEX($B$26:$GQ$26,MATCH(114,$B$29:$GQ$29,0))</f>
        <v/>
      </c>
      <c r="DL12">
        <f>INDEX($B$26:$GQ$26,MATCH(115,$B$29:$GQ$29,0))</f>
        <v/>
      </c>
      <c r="DM12">
        <f>INDEX($B$26:$GQ$26,MATCH(116,$B$29:$GQ$29,0))</f>
        <v/>
      </c>
      <c r="DN12">
        <f>INDEX($B$26:$GQ$26,MATCH(117,$B$29:$GQ$29,0))</f>
        <v/>
      </c>
      <c r="DO12">
        <f>INDEX($B$26:$GQ$26,MATCH(118,$B$29:$GQ$29,0))</f>
        <v/>
      </c>
      <c r="DP12">
        <f>INDEX($B$26:$GQ$26,MATCH(119,$B$29:$GQ$29,0))</f>
        <v/>
      </c>
      <c r="DQ12">
        <f>INDEX($B$26:$GQ$26,MATCH(120,$B$29:$GQ$29,0))</f>
        <v/>
      </c>
      <c r="DR12">
        <f>INDEX($B$26:$GQ$26,MATCH(121,$B$29:$GQ$29,0))</f>
        <v/>
      </c>
      <c r="DS12">
        <f>INDEX($B$26:$GQ$26,MATCH(122,$B$29:$GQ$29,0))</f>
        <v/>
      </c>
      <c r="DT12">
        <f>INDEX($B$26:$GQ$26,MATCH(123,$B$29:$GQ$29,0))</f>
        <v/>
      </c>
      <c r="DU12">
        <f>INDEX($B$26:$GQ$26,MATCH(124,$B$29:$GQ$29,0))</f>
        <v/>
      </c>
      <c r="DV12">
        <f>INDEX($B$26:$GQ$26,MATCH(125,$B$29:$GQ$29,0))</f>
        <v/>
      </c>
      <c r="DW12">
        <f>INDEX($B$26:$GQ$26,MATCH(126,$B$29:$GQ$29,0))</f>
        <v/>
      </c>
      <c r="DX12">
        <f>INDEX($B$26:$GQ$26,MATCH(127,$B$29:$GQ$29,0))</f>
        <v/>
      </c>
      <c r="DY12">
        <f>INDEX($B$26:$GQ$26,MATCH(128,$B$29:$GQ$29,0))</f>
        <v/>
      </c>
      <c r="DZ12">
        <f>INDEX($B$26:$GQ$26,MATCH(129,$B$29:$GQ$29,0))</f>
        <v/>
      </c>
      <c r="EA12">
        <f>INDEX($B$26:$GQ$26,MATCH(130,$B$29:$GQ$29,0))</f>
        <v/>
      </c>
      <c r="EB12">
        <f>INDEX($B$26:$GQ$26,MATCH(131,$B$29:$GQ$29,0))</f>
        <v/>
      </c>
      <c r="EC12">
        <f>INDEX($B$26:$GQ$26,MATCH(132,$B$29:$GQ$29,0))</f>
        <v/>
      </c>
      <c r="ED12">
        <f>INDEX($B$26:$GQ$26,MATCH(133,$B$29:$GQ$29,0))</f>
        <v/>
      </c>
      <c r="EE12">
        <f>INDEX($B$26:$GQ$26,MATCH(134,$B$29:$GQ$29,0))</f>
        <v/>
      </c>
      <c r="EF12">
        <f>INDEX($B$26:$GQ$26,MATCH(135,$B$29:$GQ$29,0))</f>
        <v/>
      </c>
      <c r="EG12">
        <f>INDEX($B$26:$GQ$26,MATCH(136,$B$29:$GQ$29,0))</f>
        <v/>
      </c>
      <c r="EH12">
        <f>INDEX($B$26:$GQ$26,MATCH(137,$B$29:$GQ$29,0))</f>
        <v/>
      </c>
      <c r="EI12">
        <f>INDEX($B$26:$GQ$26,MATCH(138,$B$29:$GQ$29,0))</f>
        <v/>
      </c>
      <c r="EJ12">
        <f>INDEX($B$26:$GQ$26,MATCH(139,$B$29:$GQ$29,0))</f>
        <v/>
      </c>
      <c r="EK12">
        <f>INDEX($B$26:$GQ$26,MATCH(140,$B$29:$GQ$29,0))</f>
        <v/>
      </c>
      <c r="EL12">
        <f>INDEX($B$26:$GQ$26,MATCH(141,$B$29:$GQ$29,0))</f>
        <v/>
      </c>
      <c r="EM12">
        <f>INDEX($B$26:$GQ$26,MATCH(142,$B$29:$GQ$29,0))</f>
        <v/>
      </c>
      <c r="EN12">
        <f>INDEX($B$26:$GQ$26,MATCH(143,$B$29:$GQ$29,0))</f>
        <v/>
      </c>
      <c r="EO12">
        <f>INDEX($B$26:$GQ$26,MATCH(144,$B$29:$GQ$29,0))</f>
        <v/>
      </c>
      <c r="EP12">
        <f>INDEX($B$26:$GQ$26,MATCH(145,$B$29:$GQ$29,0))</f>
        <v/>
      </c>
      <c r="EQ12">
        <f>INDEX($B$26:$GQ$26,MATCH(146,$B$29:$GQ$29,0))</f>
        <v/>
      </c>
      <c r="ER12">
        <f>INDEX($B$26:$GQ$26,MATCH(147,$B$29:$GQ$29,0))</f>
        <v/>
      </c>
      <c r="ES12">
        <f>INDEX($B$26:$GQ$26,MATCH(148,$B$29:$GQ$29,0))</f>
        <v/>
      </c>
      <c r="ET12">
        <f>INDEX($B$26:$GQ$26,MATCH(149,$B$29:$GQ$29,0))</f>
        <v/>
      </c>
      <c r="EU12">
        <f>INDEX($B$26:$GQ$26,MATCH(150,$B$29:$GQ$29,0))</f>
        <v/>
      </c>
      <c r="EV12">
        <f>INDEX($B$26:$GQ$26,MATCH(151,$B$29:$GQ$29,0))</f>
        <v/>
      </c>
      <c r="EW12">
        <f>INDEX($B$26:$GQ$26,MATCH(152,$B$29:$GQ$29,0))</f>
        <v/>
      </c>
      <c r="EX12">
        <f>INDEX($B$26:$GQ$26,MATCH(153,$B$29:$GQ$29,0))</f>
        <v/>
      </c>
      <c r="EY12">
        <f>INDEX($B$26:$GQ$26,MATCH(154,$B$29:$GQ$29,0))</f>
        <v/>
      </c>
      <c r="EZ12">
        <f>INDEX($B$26:$GQ$26,MATCH(155,$B$29:$GQ$29,0))</f>
        <v/>
      </c>
      <c r="FA12">
        <f>INDEX($B$26:$GQ$26,MATCH(156,$B$29:$GQ$29,0))</f>
        <v/>
      </c>
      <c r="FB12">
        <f>INDEX($B$26:$GQ$26,MATCH(157,$B$29:$GQ$29,0))</f>
        <v/>
      </c>
      <c r="FC12">
        <f>INDEX($B$26:$GQ$26,MATCH(158,$B$29:$GQ$29,0))</f>
        <v/>
      </c>
      <c r="FD12">
        <f>INDEX($B$26:$GQ$26,MATCH(159,$B$29:$GQ$29,0))</f>
        <v/>
      </c>
      <c r="FE12">
        <f>INDEX($B$26:$GQ$26,MATCH(160,$B$29:$GQ$29,0))</f>
        <v/>
      </c>
      <c r="FF12">
        <f>INDEX($B$26:$GQ$26,MATCH(161,$B$29:$GQ$29,0))</f>
        <v/>
      </c>
      <c r="FG12">
        <f>INDEX($B$26:$GQ$26,MATCH(162,$B$29:$GQ$29,0))</f>
        <v/>
      </c>
      <c r="FH12">
        <f>INDEX($B$26:$GQ$26,MATCH(163,$B$29:$GQ$29,0))</f>
        <v/>
      </c>
      <c r="FI12">
        <f>INDEX($B$26:$GQ$26,MATCH(164,$B$29:$GQ$29,0))</f>
        <v/>
      </c>
      <c r="FJ12">
        <f>INDEX($B$26:$GQ$26,MATCH(165,$B$29:$GQ$29,0))</f>
        <v/>
      </c>
      <c r="FK12">
        <f>INDEX($B$26:$GQ$26,MATCH(166,$B$29:$GQ$29,0))</f>
        <v/>
      </c>
      <c r="FL12">
        <f>INDEX($B$26:$GQ$26,MATCH(167,$B$29:$GQ$29,0))</f>
        <v/>
      </c>
      <c r="FM12">
        <f>INDEX($B$26:$GQ$26,MATCH(168,$B$29:$GQ$29,0))</f>
        <v/>
      </c>
      <c r="FN12">
        <f>INDEX($B$26:$GQ$26,MATCH(169,$B$29:$GQ$29,0))</f>
        <v/>
      </c>
      <c r="FO12">
        <f>INDEX($B$26:$GQ$26,MATCH(170,$B$29:$GQ$29,0))</f>
        <v/>
      </c>
      <c r="FP12">
        <f>INDEX($B$26:$GQ$26,MATCH(171,$B$29:$GQ$29,0))</f>
        <v/>
      </c>
      <c r="FQ12">
        <f>INDEX($B$26:$GQ$26,MATCH(172,$B$29:$GQ$29,0))</f>
        <v/>
      </c>
      <c r="FR12">
        <f>INDEX($B$26:$GQ$26,MATCH(173,$B$29:$GQ$29,0))</f>
        <v/>
      </c>
      <c r="FS12">
        <f>INDEX($B$26:$GQ$26,MATCH(174,$B$29:$GQ$29,0))</f>
        <v/>
      </c>
      <c r="FT12">
        <f>INDEX($B$26:$GQ$26,MATCH(175,$B$29:$GQ$29,0))</f>
        <v/>
      </c>
      <c r="FU12">
        <f>INDEX($B$26:$GQ$26,MATCH(176,$B$29:$GQ$29,0))</f>
        <v/>
      </c>
      <c r="FV12">
        <f>INDEX($B$26:$GQ$26,MATCH(177,$B$29:$GQ$29,0))</f>
        <v/>
      </c>
      <c r="FW12">
        <f>INDEX($B$26:$GQ$26,MATCH(178,$B$29:$GQ$29,0))</f>
        <v/>
      </c>
      <c r="FX12">
        <f>INDEX($B$26:$GQ$26,MATCH(179,$B$29:$GQ$29,0))</f>
        <v/>
      </c>
      <c r="FY12">
        <f>INDEX($B$26:$GQ$26,MATCH(180,$B$29:$GQ$29,0))</f>
        <v/>
      </c>
      <c r="FZ12">
        <f>INDEX($B$26:$GQ$26,MATCH(181,$B$29:$GQ$29,0))</f>
        <v/>
      </c>
      <c r="GA12">
        <f>INDEX($B$26:$GQ$26,MATCH(182,$B$29:$GQ$29,0))</f>
        <v/>
      </c>
      <c r="GB12">
        <f>INDEX($B$26:$GQ$26,MATCH(183,$B$29:$GQ$29,0))</f>
        <v/>
      </c>
      <c r="GC12">
        <f>INDEX($B$26:$GQ$26,MATCH(184,$B$29:$GQ$29,0))</f>
        <v/>
      </c>
      <c r="GD12">
        <f>INDEX($B$26:$GQ$26,MATCH(185,$B$29:$GQ$29,0))</f>
        <v/>
      </c>
      <c r="GE12">
        <f>INDEX($B$26:$GQ$26,MATCH(186,$B$29:$GQ$29,0))</f>
        <v/>
      </c>
      <c r="GF12">
        <f>INDEX($B$26:$GQ$26,MATCH(187,$B$29:$GQ$29,0))</f>
        <v/>
      </c>
      <c r="GG12">
        <f>INDEX($B$26:$GQ$26,MATCH(188,$B$29:$GQ$29,0))</f>
        <v/>
      </c>
      <c r="GH12">
        <f>INDEX($B$26:$GQ$26,MATCH(189,$B$29:$GQ$29,0))</f>
        <v/>
      </c>
      <c r="GI12">
        <f>INDEX($B$26:$GQ$26,MATCH(190,$B$29:$GQ$29,0))</f>
        <v/>
      </c>
      <c r="GJ12">
        <f>INDEX($B$26:$GQ$26,MATCH(191,$B$29:$GQ$29,0))</f>
        <v/>
      </c>
      <c r="GK12">
        <f>INDEX($B$26:$GQ$26,MATCH(192,$B$29:$GQ$29,0))</f>
        <v/>
      </c>
      <c r="GL12">
        <f>INDEX($B$26:$GQ$26,MATCH(193,$B$29:$GQ$29,0))</f>
        <v/>
      </c>
      <c r="GM12">
        <f>INDEX($B$26:$GQ$26,MATCH(194,$B$29:$GQ$29,0))</f>
        <v/>
      </c>
      <c r="GN12">
        <f>INDEX($B$26:$GQ$26,MATCH(195,$B$29:$GQ$29,0))</f>
        <v/>
      </c>
      <c r="GO12">
        <f>INDEX($B$26:$GQ$26,MATCH(196,$B$29:$GQ$29,0))</f>
        <v/>
      </c>
      <c r="GP12">
        <f>INDEX($B$26:$GQ$26,MATCH(197,$B$29:$GQ$29,0))</f>
        <v/>
      </c>
      <c r="GQ12">
        <f>INDEX($B$26:$GQ$26,MATCH(198,$B$29:$GQ$29,0))</f>
        <v/>
      </c>
      <c r="GR12">
        <f>INDEX($GR$26:$HC$26,MATCH(1,$GR$30:$HC$30,0))</f>
        <v/>
      </c>
      <c r="GS12">
        <f>INDEX($GR$26:$HC$26,MATCH(2,$GR$30:$HC$30,0))</f>
        <v/>
      </c>
      <c r="GT12">
        <f>INDEX($GR$26:$HC$26,MATCH(3,$GR$30:$HC$30,0))</f>
        <v/>
      </c>
      <c r="GU12">
        <f>INDEX($GR$26:$HC$26,MATCH(4,$GR$30:$HC$30,0))</f>
        <v/>
      </c>
      <c r="GV12">
        <f>INDEX($GR$26:$HC$26,MATCH(5,$GR$30:$HC$30,0))</f>
        <v/>
      </c>
      <c r="GW12">
        <f>INDEX($GR$26:$HC$26,MATCH(6,$GR$30:$HC$30,0))</f>
        <v/>
      </c>
      <c r="GX12">
        <f>INDEX($GR$26:$HC$26,MATCH(7,$GR$30:$HC$30,0))</f>
        <v/>
      </c>
      <c r="GY12">
        <f>INDEX($GR$26:$HC$26,MATCH(8,$GR$30:$HC$30,0))</f>
        <v/>
      </c>
      <c r="GZ12">
        <f>INDEX($GR$26:$HC$26,MATCH(9,$GR$30:$HC$30,0))</f>
        <v/>
      </c>
      <c r="HA12">
        <f>INDEX($GR$26:$HC$26,MATCH(10,$GR$30:$HC$30,0))</f>
        <v/>
      </c>
      <c r="HB12">
        <f>INDEX($GR$26:$HC$26,MATCH(11,$GR$30:$HC$30,0))</f>
        <v/>
      </c>
      <c r="HC12">
        <f>INDEX($GR$26:$HC$26,MATCH(12,$GR$30:$HC$30,0))</f>
        <v/>
      </c>
    </row>
    <row r="13">
      <c r="A13" s="1" t="inlineStr">
        <is>
          <t>M_imp*Y_dom+M_dom*Y_dom+M_row*Y_imp</t>
        </is>
      </c>
      <c r="B13">
        <f>INDEX($B$27:$GQ$27,MATCH(1,$B$29:$GQ$29,0))</f>
        <v/>
      </c>
      <c r="C13">
        <f>INDEX($B$27:$GQ$27,MATCH(2,$B$29:$GQ$29,0))</f>
        <v/>
      </c>
      <c r="D13">
        <f>INDEX($B$27:$GQ$27,MATCH(3,$B$29:$GQ$29,0))</f>
        <v/>
      </c>
      <c r="E13">
        <f>INDEX($B$27:$GQ$27,MATCH(4,$B$29:$GQ$29,0))</f>
        <v/>
      </c>
      <c r="F13">
        <f>INDEX($B$27:$GQ$27,MATCH(5,$B$29:$GQ$29,0))</f>
        <v/>
      </c>
      <c r="G13">
        <f>INDEX($B$27:$GQ$27,MATCH(6,$B$29:$GQ$29,0))</f>
        <v/>
      </c>
      <c r="H13">
        <f>INDEX($B$27:$GQ$27,MATCH(7,$B$29:$GQ$29,0))</f>
        <v/>
      </c>
      <c r="I13">
        <f>INDEX($B$27:$GQ$27,MATCH(8,$B$29:$GQ$29,0))</f>
        <v/>
      </c>
      <c r="J13">
        <f>INDEX($B$27:$GQ$27,MATCH(9,$B$29:$GQ$29,0))</f>
        <v/>
      </c>
      <c r="K13">
        <f>INDEX($B$27:$GQ$27,MATCH(10,$B$29:$GQ$29,0))</f>
        <v/>
      </c>
      <c r="L13">
        <f>INDEX($B$27:$GQ$27,MATCH(11,$B$29:$GQ$29,0))</f>
        <v/>
      </c>
      <c r="M13">
        <f>INDEX($B$27:$GQ$27,MATCH(12,$B$29:$GQ$29,0))</f>
        <v/>
      </c>
      <c r="N13">
        <f>INDEX($B$27:$GQ$27,MATCH(13,$B$29:$GQ$29,0))</f>
        <v/>
      </c>
      <c r="O13">
        <f>INDEX($B$27:$GQ$27,MATCH(14,$B$29:$GQ$29,0))</f>
        <v/>
      </c>
      <c r="P13">
        <f>INDEX($B$27:$GQ$27,MATCH(15,$B$29:$GQ$29,0))</f>
        <v/>
      </c>
      <c r="Q13">
        <f>INDEX($B$27:$GQ$27,MATCH(16,$B$29:$GQ$29,0))</f>
        <v/>
      </c>
      <c r="R13">
        <f>INDEX($B$27:$GQ$27,MATCH(17,$B$29:$GQ$29,0))</f>
        <v/>
      </c>
      <c r="S13">
        <f>INDEX($B$27:$GQ$27,MATCH(18,$B$29:$GQ$29,0))</f>
        <v/>
      </c>
      <c r="T13">
        <f>INDEX($B$27:$GQ$27,MATCH(19,$B$29:$GQ$29,0))</f>
        <v/>
      </c>
      <c r="U13">
        <f>INDEX($B$27:$GQ$27,MATCH(20,$B$29:$GQ$29,0))</f>
        <v/>
      </c>
      <c r="V13">
        <f>INDEX($B$27:$GQ$27,MATCH(21,$B$29:$GQ$29,0))</f>
        <v/>
      </c>
      <c r="W13">
        <f>INDEX($B$27:$GQ$27,MATCH(22,$B$29:$GQ$29,0))</f>
        <v/>
      </c>
      <c r="X13">
        <f>INDEX($B$27:$GQ$27,MATCH(23,$B$29:$GQ$29,0))</f>
        <v/>
      </c>
      <c r="Y13">
        <f>INDEX($B$27:$GQ$27,MATCH(24,$B$29:$GQ$29,0))</f>
        <v/>
      </c>
      <c r="Z13">
        <f>INDEX($B$27:$GQ$27,MATCH(25,$B$29:$GQ$29,0))</f>
        <v/>
      </c>
      <c r="AA13">
        <f>INDEX($B$27:$GQ$27,MATCH(26,$B$29:$GQ$29,0))</f>
        <v/>
      </c>
      <c r="AB13">
        <f>INDEX($B$27:$GQ$27,MATCH(27,$B$29:$GQ$29,0))</f>
        <v/>
      </c>
      <c r="AC13">
        <f>INDEX($B$27:$GQ$27,MATCH(28,$B$29:$GQ$29,0))</f>
        <v/>
      </c>
      <c r="AD13">
        <f>INDEX($B$27:$GQ$27,MATCH(29,$B$29:$GQ$29,0))</f>
        <v/>
      </c>
      <c r="AE13">
        <f>INDEX($B$27:$GQ$27,MATCH(30,$B$29:$GQ$29,0))</f>
        <v/>
      </c>
      <c r="AF13">
        <f>INDEX($B$27:$GQ$27,MATCH(31,$B$29:$GQ$29,0))</f>
        <v/>
      </c>
      <c r="AG13">
        <f>INDEX($B$27:$GQ$27,MATCH(32,$B$29:$GQ$29,0))</f>
        <v/>
      </c>
      <c r="AH13">
        <f>INDEX($B$27:$GQ$27,MATCH(33,$B$29:$GQ$29,0))</f>
        <v/>
      </c>
      <c r="AI13">
        <f>INDEX($B$27:$GQ$27,MATCH(34,$B$29:$GQ$29,0))</f>
        <v/>
      </c>
      <c r="AJ13">
        <f>INDEX($B$27:$GQ$27,MATCH(35,$B$29:$GQ$29,0))</f>
        <v/>
      </c>
      <c r="AK13">
        <f>INDEX($B$27:$GQ$27,MATCH(36,$B$29:$GQ$29,0))</f>
        <v/>
      </c>
      <c r="AL13">
        <f>INDEX($B$27:$GQ$27,MATCH(37,$B$29:$GQ$29,0))</f>
        <v/>
      </c>
      <c r="AM13">
        <f>INDEX($B$27:$GQ$27,MATCH(38,$B$29:$GQ$29,0))</f>
        <v/>
      </c>
      <c r="AN13">
        <f>INDEX($B$27:$GQ$27,MATCH(39,$B$29:$GQ$29,0))</f>
        <v/>
      </c>
      <c r="AO13">
        <f>INDEX($B$27:$GQ$27,MATCH(40,$B$29:$GQ$29,0))</f>
        <v/>
      </c>
      <c r="AP13">
        <f>INDEX($B$27:$GQ$27,MATCH(41,$B$29:$GQ$29,0))</f>
        <v/>
      </c>
      <c r="AQ13">
        <f>INDEX($B$27:$GQ$27,MATCH(42,$B$29:$GQ$29,0))</f>
        <v/>
      </c>
      <c r="AR13">
        <f>INDEX($B$27:$GQ$27,MATCH(43,$B$29:$GQ$29,0))</f>
        <v/>
      </c>
      <c r="AS13">
        <f>INDEX($B$27:$GQ$27,MATCH(44,$B$29:$GQ$29,0))</f>
        <v/>
      </c>
      <c r="AT13">
        <f>INDEX($B$27:$GQ$27,MATCH(45,$B$29:$GQ$29,0))</f>
        <v/>
      </c>
      <c r="AU13">
        <f>INDEX($B$27:$GQ$27,MATCH(46,$B$29:$GQ$29,0))</f>
        <v/>
      </c>
      <c r="AV13">
        <f>INDEX($B$27:$GQ$27,MATCH(47,$B$29:$GQ$29,0))</f>
        <v/>
      </c>
      <c r="AW13">
        <f>INDEX($B$27:$GQ$27,MATCH(48,$B$29:$GQ$29,0))</f>
        <v/>
      </c>
      <c r="AX13">
        <f>INDEX($B$27:$GQ$27,MATCH(49,$B$29:$GQ$29,0))</f>
        <v/>
      </c>
      <c r="AY13">
        <f>INDEX($B$27:$GQ$27,MATCH(50,$B$29:$GQ$29,0))</f>
        <v/>
      </c>
      <c r="AZ13">
        <f>INDEX($B$27:$GQ$27,MATCH(51,$B$29:$GQ$29,0))</f>
        <v/>
      </c>
      <c r="BA13">
        <f>INDEX($B$27:$GQ$27,MATCH(52,$B$29:$GQ$29,0))</f>
        <v/>
      </c>
      <c r="BB13">
        <f>INDEX($B$27:$GQ$27,MATCH(53,$B$29:$GQ$29,0))</f>
        <v/>
      </c>
      <c r="BC13">
        <f>INDEX($B$27:$GQ$27,MATCH(54,$B$29:$GQ$29,0))</f>
        <v/>
      </c>
      <c r="BD13">
        <f>INDEX($B$27:$GQ$27,MATCH(55,$B$29:$GQ$29,0))</f>
        <v/>
      </c>
      <c r="BE13">
        <f>INDEX($B$27:$GQ$27,MATCH(56,$B$29:$GQ$29,0))</f>
        <v/>
      </c>
      <c r="BF13">
        <f>INDEX($B$27:$GQ$27,MATCH(57,$B$29:$GQ$29,0))</f>
        <v/>
      </c>
      <c r="BG13">
        <f>INDEX($B$27:$GQ$27,MATCH(58,$B$29:$GQ$29,0))</f>
        <v/>
      </c>
      <c r="BH13">
        <f>INDEX($B$27:$GQ$27,MATCH(59,$B$29:$GQ$29,0))</f>
        <v/>
      </c>
      <c r="BI13">
        <f>INDEX($B$27:$GQ$27,MATCH(60,$B$29:$GQ$29,0))</f>
        <v/>
      </c>
      <c r="BJ13">
        <f>INDEX($B$27:$GQ$27,MATCH(61,$B$29:$GQ$29,0))</f>
        <v/>
      </c>
      <c r="BK13">
        <f>INDEX($B$27:$GQ$27,MATCH(62,$B$29:$GQ$29,0))</f>
        <v/>
      </c>
      <c r="BL13">
        <f>INDEX($B$27:$GQ$27,MATCH(63,$B$29:$GQ$29,0))</f>
        <v/>
      </c>
      <c r="BM13">
        <f>INDEX($B$27:$GQ$27,MATCH(64,$B$29:$GQ$29,0))</f>
        <v/>
      </c>
      <c r="BN13">
        <f>INDEX($B$27:$GQ$27,MATCH(65,$B$29:$GQ$29,0))</f>
        <v/>
      </c>
      <c r="BO13">
        <f>INDEX($B$27:$GQ$27,MATCH(66,$B$29:$GQ$29,0))</f>
        <v/>
      </c>
      <c r="BP13">
        <f>INDEX($B$27:$GQ$27,MATCH(67,$B$29:$GQ$29,0))</f>
        <v/>
      </c>
      <c r="BQ13">
        <f>INDEX($B$27:$GQ$27,MATCH(68,$B$29:$GQ$29,0))</f>
        <v/>
      </c>
      <c r="BR13">
        <f>INDEX($B$27:$GQ$27,MATCH(69,$B$29:$GQ$29,0))</f>
        <v/>
      </c>
      <c r="BS13">
        <f>INDEX($B$27:$GQ$27,MATCH(70,$B$29:$GQ$29,0))</f>
        <v/>
      </c>
      <c r="BT13">
        <f>INDEX($B$27:$GQ$27,MATCH(71,$B$29:$GQ$29,0))</f>
        <v/>
      </c>
      <c r="BU13">
        <f>INDEX($B$27:$GQ$27,MATCH(72,$B$29:$GQ$29,0))</f>
        <v/>
      </c>
      <c r="BV13">
        <f>INDEX($B$27:$GQ$27,MATCH(73,$B$29:$GQ$29,0))</f>
        <v/>
      </c>
      <c r="BW13">
        <f>INDEX($B$27:$GQ$27,MATCH(74,$B$29:$GQ$29,0))</f>
        <v/>
      </c>
      <c r="BX13">
        <f>INDEX($B$27:$GQ$27,MATCH(75,$B$29:$GQ$29,0))</f>
        <v/>
      </c>
      <c r="BY13">
        <f>INDEX($B$27:$GQ$27,MATCH(76,$B$29:$GQ$29,0))</f>
        <v/>
      </c>
      <c r="BZ13">
        <f>INDEX($B$27:$GQ$27,MATCH(77,$B$29:$GQ$29,0))</f>
        <v/>
      </c>
      <c r="CA13">
        <f>INDEX($B$27:$GQ$27,MATCH(78,$B$29:$GQ$29,0))</f>
        <v/>
      </c>
      <c r="CB13">
        <f>INDEX($B$27:$GQ$27,MATCH(79,$B$29:$GQ$29,0))</f>
        <v/>
      </c>
      <c r="CC13">
        <f>INDEX($B$27:$GQ$27,MATCH(80,$B$29:$GQ$29,0))</f>
        <v/>
      </c>
      <c r="CD13">
        <f>INDEX($B$27:$GQ$27,MATCH(81,$B$29:$GQ$29,0))</f>
        <v/>
      </c>
      <c r="CE13">
        <f>INDEX($B$27:$GQ$27,MATCH(82,$B$29:$GQ$29,0))</f>
        <v/>
      </c>
      <c r="CF13">
        <f>INDEX($B$27:$GQ$27,MATCH(83,$B$29:$GQ$29,0))</f>
        <v/>
      </c>
      <c r="CG13">
        <f>INDEX($B$27:$GQ$27,MATCH(84,$B$29:$GQ$29,0))</f>
        <v/>
      </c>
      <c r="CH13">
        <f>INDEX($B$27:$GQ$27,MATCH(85,$B$29:$GQ$29,0))</f>
        <v/>
      </c>
      <c r="CI13">
        <f>INDEX($B$27:$GQ$27,MATCH(86,$B$29:$GQ$29,0))</f>
        <v/>
      </c>
      <c r="CJ13">
        <f>INDEX($B$27:$GQ$27,MATCH(87,$B$29:$GQ$29,0))</f>
        <v/>
      </c>
      <c r="CK13">
        <f>INDEX($B$27:$GQ$27,MATCH(88,$B$29:$GQ$29,0))</f>
        <v/>
      </c>
      <c r="CL13">
        <f>INDEX($B$27:$GQ$27,MATCH(89,$B$29:$GQ$29,0))</f>
        <v/>
      </c>
      <c r="CM13">
        <f>INDEX($B$27:$GQ$27,MATCH(90,$B$29:$GQ$29,0))</f>
        <v/>
      </c>
      <c r="CN13">
        <f>INDEX($B$27:$GQ$27,MATCH(91,$B$29:$GQ$29,0))</f>
        <v/>
      </c>
      <c r="CO13">
        <f>INDEX($B$27:$GQ$27,MATCH(92,$B$29:$GQ$29,0))</f>
        <v/>
      </c>
      <c r="CP13">
        <f>INDEX($B$27:$GQ$27,MATCH(93,$B$29:$GQ$29,0))</f>
        <v/>
      </c>
      <c r="CQ13">
        <f>INDEX($B$27:$GQ$27,MATCH(94,$B$29:$GQ$29,0))</f>
        <v/>
      </c>
      <c r="CR13">
        <f>INDEX($B$27:$GQ$27,MATCH(95,$B$29:$GQ$29,0))</f>
        <v/>
      </c>
      <c r="CS13">
        <f>INDEX($B$27:$GQ$27,MATCH(96,$B$29:$GQ$29,0))</f>
        <v/>
      </c>
      <c r="CT13">
        <f>INDEX($B$27:$GQ$27,MATCH(97,$B$29:$GQ$29,0))</f>
        <v/>
      </c>
      <c r="CU13">
        <f>INDEX($B$27:$GQ$27,MATCH(98,$B$29:$GQ$29,0))</f>
        <v/>
      </c>
      <c r="CV13">
        <f>INDEX($B$27:$GQ$27,MATCH(99,$B$29:$GQ$29,0))</f>
        <v/>
      </c>
      <c r="CW13">
        <f>INDEX($B$27:$GQ$27,MATCH(100,$B$29:$GQ$29,0))</f>
        <v/>
      </c>
      <c r="CX13">
        <f>INDEX($B$27:$GQ$27,MATCH(101,$B$29:$GQ$29,0))</f>
        <v/>
      </c>
      <c r="CY13">
        <f>INDEX($B$27:$GQ$27,MATCH(102,$B$29:$GQ$29,0))</f>
        <v/>
      </c>
      <c r="CZ13">
        <f>INDEX($B$27:$GQ$27,MATCH(103,$B$29:$GQ$29,0))</f>
        <v/>
      </c>
      <c r="DA13">
        <f>INDEX($B$27:$GQ$27,MATCH(104,$B$29:$GQ$29,0))</f>
        <v/>
      </c>
      <c r="DB13">
        <f>INDEX($B$27:$GQ$27,MATCH(105,$B$29:$GQ$29,0))</f>
        <v/>
      </c>
      <c r="DC13">
        <f>INDEX($B$27:$GQ$27,MATCH(106,$B$29:$GQ$29,0))</f>
        <v/>
      </c>
      <c r="DD13">
        <f>INDEX($B$27:$GQ$27,MATCH(107,$B$29:$GQ$29,0))</f>
        <v/>
      </c>
      <c r="DE13">
        <f>INDEX($B$27:$GQ$27,MATCH(108,$B$29:$GQ$29,0))</f>
        <v/>
      </c>
      <c r="DF13">
        <f>INDEX($B$27:$GQ$27,MATCH(109,$B$29:$GQ$29,0))</f>
        <v/>
      </c>
      <c r="DG13">
        <f>INDEX($B$27:$GQ$27,MATCH(110,$B$29:$GQ$29,0))</f>
        <v/>
      </c>
      <c r="DH13">
        <f>INDEX($B$27:$GQ$27,MATCH(111,$B$29:$GQ$29,0))</f>
        <v/>
      </c>
      <c r="DI13">
        <f>INDEX($B$27:$GQ$27,MATCH(112,$B$29:$GQ$29,0))</f>
        <v/>
      </c>
      <c r="DJ13">
        <f>INDEX($B$27:$GQ$27,MATCH(113,$B$29:$GQ$29,0))</f>
        <v/>
      </c>
      <c r="DK13">
        <f>INDEX($B$27:$GQ$27,MATCH(114,$B$29:$GQ$29,0))</f>
        <v/>
      </c>
      <c r="DL13">
        <f>INDEX($B$27:$GQ$27,MATCH(115,$B$29:$GQ$29,0))</f>
        <v/>
      </c>
      <c r="DM13">
        <f>INDEX($B$27:$GQ$27,MATCH(116,$B$29:$GQ$29,0))</f>
        <v/>
      </c>
      <c r="DN13">
        <f>INDEX($B$27:$GQ$27,MATCH(117,$B$29:$GQ$29,0))</f>
        <v/>
      </c>
      <c r="DO13">
        <f>INDEX($B$27:$GQ$27,MATCH(118,$B$29:$GQ$29,0))</f>
        <v/>
      </c>
      <c r="DP13">
        <f>INDEX($B$27:$GQ$27,MATCH(119,$B$29:$GQ$29,0))</f>
        <v/>
      </c>
      <c r="DQ13">
        <f>INDEX($B$27:$GQ$27,MATCH(120,$B$29:$GQ$29,0))</f>
        <v/>
      </c>
      <c r="DR13">
        <f>INDEX($B$27:$GQ$27,MATCH(121,$B$29:$GQ$29,0))</f>
        <v/>
      </c>
      <c r="DS13">
        <f>INDEX($B$27:$GQ$27,MATCH(122,$B$29:$GQ$29,0))</f>
        <v/>
      </c>
      <c r="DT13">
        <f>INDEX($B$27:$GQ$27,MATCH(123,$B$29:$GQ$29,0))</f>
        <v/>
      </c>
      <c r="DU13">
        <f>INDEX($B$27:$GQ$27,MATCH(124,$B$29:$GQ$29,0))</f>
        <v/>
      </c>
      <c r="DV13">
        <f>INDEX($B$27:$GQ$27,MATCH(125,$B$29:$GQ$29,0))</f>
        <v/>
      </c>
      <c r="DW13">
        <f>INDEX($B$27:$GQ$27,MATCH(126,$B$29:$GQ$29,0))</f>
        <v/>
      </c>
      <c r="DX13">
        <f>INDEX($B$27:$GQ$27,MATCH(127,$B$29:$GQ$29,0))</f>
        <v/>
      </c>
      <c r="DY13">
        <f>INDEX($B$27:$GQ$27,MATCH(128,$B$29:$GQ$29,0))</f>
        <v/>
      </c>
      <c r="DZ13">
        <f>INDEX($B$27:$GQ$27,MATCH(129,$B$29:$GQ$29,0))</f>
        <v/>
      </c>
      <c r="EA13">
        <f>INDEX($B$27:$GQ$27,MATCH(130,$B$29:$GQ$29,0))</f>
        <v/>
      </c>
      <c r="EB13">
        <f>INDEX($B$27:$GQ$27,MATCH(131,$B$29:$GQ$29,0))</f>
        <v/>
      </c>
      <c r="EC13">
        <f>INDEX($B$27:$GQ$27,MATCH(132,$B$29:$GQ$29,0))</f>
        <v/>
      </c>
      <c r="ED13">
        <f>INDEX($B$27:$GQ$27,MATCH(133,$B$29:$GQ$29,0))</f>
        <v/>
      </c>
      <c r="EE13">
        <f>INDEX($B$27:$GQ$27,MATCH(134,$B$29:$GQ$29,0))</f>
        <v/>
      </c>
      <c r="EF13">
        <f>INDEX($B$27:$GQ$27,MATCH(135,$B$29:$GQ$29,0))</f>
        <v/>
      </c>
      <c r="EG13">
        <f>INDEX($B$27:$GQ$27,MATCH(136,$B$29:$GQ$29,0))</f>
        <v/>
      </c>
      <c r="EH13">
        <f>INDEX($B$27:$GQ$27,MATCH(137,$B$29:$GQ$29,0))</f>
        <v/>
      </c>
      <c r="EI13">
        <f>INDEX($B$27:$GQ$27,MATCH(138,$B$29:$GQ$29,0))</f>
        <v/>
      </c>
      <c r="EJ13">
        <f>INDEX($B$27:$GQ$27,MATCH(139,$B$29:$GQ$29,0))</f>
        <v/>
      </c>
      <c r="EK13">
        <f>INDEX($B$27:$GQ$27,MATCH(140,$B$29:$GQ$29,0))</f>
        <v/>
      </c>
      <c r="EL13">
        <f>INDEX($B$27:$GQ$27,MATCH(141,$B$29:$GQ$29,0))</f>
        <v/>
      </c>
      <c r="EM13">
        <f>INDEX($B$27:$GQ$27,MATCH(142,$B$29:$GQ$29,0))</f>
        <v/>
      </c>
      <c r="EN13">
        <f>INDEX($B$27:$GQ$27,MATCH(143,$B$29:$GQ$29,0))</f>
        <v/>
      </c>
      <c r="EO13">
        <f>INDEX($B$27:$GQ$27,MATCH(144,$B$29:$GQ$29,0))</f>
        <v/>
      </c>
      <c r="EP13">
        <f>INDEX($B$27:$GQ$27,MATCH(145,$B$29:$GQ$29,0))</f>
        <v/>
      </c>
      <c r="EQ13">
        <f>INDEX($B$27:$GQ$27,MATCH(146,$B$29:$GQ$29,0))</f>
        <v/>
      </c>
      <c r="ER13">
        <f>INDEX($B$27:$GQ$27,MATCH(147,$B$29:$GQ$29,0))</f>
        <v/>
      </c>
      <c r="ES13">
        <f>INDEX($B$27:$GQ$27,MATCH(148,$B$29:$GQ$29,0))</f>
        <v/>
      </c>
      <c r="ET13">
        <f>INDEX($B$27:$GQ$27,MATCH(149,$B$29:$GQ$29,0))</f>
        <v/>
      </c>
      <c r="EU13">
        <f>INDEX($B$27:$GQ$27,MATCH(150,$B$29:$GQ$29,0))</f>
        <v/>
      </c>
      <c r="EV13">
        <f>INDEX($B$27:$GQ$27,MATCH(151,$B$29:$GQ$29,0))</f>
        <v/>
      </c>
      <c r="EW13">
        <f>INDEX($B$27:$GQ$27,MATCH(152,$B$29:$GQ$29,0))</f>
        <v/>
      </c>
      <c r="EX13">
        <f>INDEX($B$27:$GQ$27,MATCH(153,$B$29:$GQ$29,0))</f>
        <v/>
      </c>
      <c r="EY13">
        <f>INDEX($B$27:$GQ$27,MATCH(154,$B$29:$GQ$29,0))</f>
        <v/>
      </c>
      <c r="EZ13">
        <f>INDEX($B$27:$GQ$27,MATCH(155,$B$29:$GQ$29,0))</f>
        <v/>
      </c>
      <c r="FA13">
        <f>INDEX($B$27:$GQ$27,MATCH(156,$B$29:$GQ$29,0))</f>
        <v/>
      </c>
      <c r="FB13">
        <f>INDEX($B$27:$GQ$27,MATCH(157,$B$29:$GQ$29,0))</f>
        <v/>
      </c>
      <c r="FC13">
        <f>INDEX($B$27:$GQ$27,MATCH(158,$B$29:$GQ$29,0))</f>
        <v/>
      </c>
      <c r="FD13">
        <f>INDEX($B$27:$GQ$27,MATCH(159,$B$29:$GQ$29,0))</f>
        <v/>
      </c>
      <c r="FE13">
        <f>INDEX($B$27:$GQ$27,MATCH(160,$B$29:$GQ$29,0))</f>
        <v/>
      </c>
      <c r="FF13">
        <f>INDEX($B$27:$GQ$27,MATCH(161,$B$29:$GQ$29,0))</f>
        <v/>
      </c>
      <c r="FG13">
        <f>INDEX($B$27:$GQ$27,MATCH(162,$B$29:$GQ$29,0))</f>
        <v/>
      </c>
      <c r="FH13">
        <f>INDEX($B$27:$GQ$27,MATCH(163,$B$29:$GQ$29,0))</f>
        <v/>
      </c>
      <c r="FI13">
        <f>INDEX($B$27:$GQ$27,MATCH(164,$B$29:$GQ$29,0))</f>
        <v/>
      </c>
      <c r="FJ13">
        <f>INDEX($B$27:$GQ$27,MATCH(165,$B$29:$GQ$29,0))</f>
        <v/>
      </c>
      <c r="FK13">
        <f>INDEX($B$27:$GQ$27,MATCH(166,$B$29:$GQ$29,0))</f>
        <v/>
      </c>
      <c r="FL13">
        <f>INDEX($B$27:$GQ$27,MATCH(167,$B$29:$GQ$29,0))</f>
        <v/>
      </c>
      <c r="FM13">
        <f>INDEX($B$27:$GQ$27,MATCH(168,$B$29:$GQ$29,0))</f>
        <v/>
      </c>
      <c r="FN13">
        <f>INDEX($B$27:$GQ$27,MATCH(169,$B$29:$GQ$29,0))</f>
        <v/>
      </c>
      <c r="FO13">
        <f>INDEX($B$27:$GQ$27,MATCH(170,$B$29:$GQ$29,0))</f>
        <v/>
      </c>
      <c r="FP13">
        <f>INDEX($B$27:$GQ$27,MATCH(171,$B$29:$GQ$29,0))</f>
        <v/>
      </c>
      <c r="FQ13">
        <f>INDEX($B$27:$GQ$27,MATCH(172,$B$29:$GQ$29,0))</f>
        <v/>
      </c>
      <c r="FR13">
        <f>INDEX($B$27:$GQ$27,MATCH(173,$B$29:$GQ$29,0))</f>
        <v/>
      </c>
      <c r="FS13">
        <f>INDEX($B$27:$GQ$27,MATCH(174,$B$29:$GQ$29,0))</f>
        <v/>
      </c>
      <c r="FT13">
        <f>INDEX($B$27:$GQ$27,MATCH(175,$B$29:$GQ$29,0))</f>
        <v/>
      </c>
      <c r="FU13">
        <f>INDEX($B$27:$GQ$27,MATCH(176,$B$29:$GQ$29,0))</f>
        <v/>
      </c>
      <c r="FV13">
        <f>INDEX($B$27:$GQ$27,MATCH(177,$B$29:$GQ$29,0))</f>
        <v/>
      </c>
      <c r="FW13">
        <f>INDEX($B$27:$GQ$27,MATCH(178,$B$29:$GQ$29,0))</f>
        <v/>
      </c>
      <c r="FX13">
        <f>INDEX($B$27:$GQ$27,MATCH(179,$B$29:$GQ$29,0))</f>
        <v/>
      </c>
      <c r="FY13">
        <f>INDEX($B$27:$GQ$27,MATCH(180,$B$29:$GQ$29,0))</f>
        <v/>
      </c>
      <c r="FZ13">
        <f>INDEX($B$27:$GQ$27,MATCH(181,$B$29:$GQ$29,0))</f>
        <v/>
      </c>
      <c r="GA13">
        <f>INDEX($B$27:$GQ$27,MATCH(182,$B$29:$GQ$29,0))</f>
        <v/>
      </c>
      <c r="GB13">
        <f>INDEX($B$27:$GQ$27,MATCH(183,$B$29:$GQ$29,0))</f>
        <v/>
      </c>
      <c r="GC13">
        <f>INDEX($B$27:$GQ$27,MATCH(184,$B$29:$GQ$29,0))</f>
        <v/>
      </c>
      <c r="GD13">
        <f>INDEX($B$27:$GQ$27,MATCH(185,$B$29:$GQ$29,0))</f>
        <v/>
      </c>
      <c r="GE13">
        <f>INDEX($B$27:$GQ$27,MATCH(186,$B$29:$GQ$29,0))</f>
        <v/>
      </c>
      <c r="GF13">
        <f>INDEX($B$27:$GQ$27,MATCH(187,$B$29:$GQ$29,0))</f>
        <v/>
      </c>
      <c r="GG13">
        <f>INDEX($B$27:$GQ$27,MATCH(188,$B$29:$GQ$29,0))</f>
        <v/>
      </c>
      <c r="GH13">
        <f>INDEX($B$27:$GQ$27,MATCH(189,$B$29:$GQ$29,0))</f>
        <v/>
      </c>
      <c r="GI13">
        <f>INDEX($B$27:$GQ$27,MATCH(190,$B$29:$GQ$29,0))</f>
        <v/>
      </c>
      <c r="GJ13">
        <f>INDEX($B$27:$GQ$27,MATCH(191,$B$29:$GQ$29,0))</f>
        <v/>
      </c>
      <c r="GK13">
        <f>INDEX($B$27:$GQ$27,MATCH(192,$B$29:$GQ$29,0))</f>
        <v/>
      </c>
      <c r="GL13">
        <f>INDEX($B$27:$GQ$27,MATCH(193,$B$29:$GQ$29,0))</f>
        <v/>
      </c>
      <c r="GM13">
        <f>INDEX($B$27:$GQ$27,MATCH(194,$B$29:$GQ$29,0))</f>
        <v/>
      </c>
      <c r="GN13">
        <f>INDEX($B$27:$GQ$27,MATCH(195,$B$29:$GQ$29,0))</f>
        <v/>
      </c>
      <c r="GO13">
        <f>INDEX($B$27:$GQ$27,MATCH(196,$B$29:$GQ$29,0))</f>
        <v/>
      </c>
      <c r="GP13">
        <f>INDEX($B$27:$GQ$27,MATCH(197,$B$29:$GQ$29,0))</f>
        <v/>
      </c>
      <c r="GQ13">
        <f>INDEX($B$27:$GQ$27,MATCH(198,$B$29:$GQ$29,0))</f>
        <v/>
      </c>
      <c r="GR13">
        <f>INDEX($GR$27:$HC$27,MATCH(1,$GR$30:$HC$30,0))</f>
        <v/>
      </c>
      <c r="GS13">
        <f>INDEX($GR$27:$HC$27,MATCH(2,$GR$30:$HC$30,0))</f>
        <v/>
      </c>
      <c r="GT13">
        <f>INDEX($GR$27:$HC$27,MATCH(3,$GR$30:$HC$30,0))</f>
        <v/>
      </c>
      <c r="GU13">
        <f>INDEX($GR$27:$HC$27,MATCH(4,$GR$30:$HC$30,0))</f>
        <v/>
      </c>
      <c r="GV13">
        <f>INDEX($GR$27:$HC$27,MATCH(5,$GR$30:$HC$30,0))</f>
        <v/>
      </c>
      <c r="GW13">
        <f>INDEX($GR$27:$HC$27,MATCH(6,$GR$30:$HC$30,0))</f>
        <v/>
      </c>
      <c r="GX13">
        <f>INDEX($GR$27:$HC$27,MATCH(7,$GR$30:$HC$30,0))</f>
        <v/>
      </c>
      <c r="GY13">
        <f>INDEX($GR$27:$HC$27,MATCH(8,$GR$30:$HC$30,0))</f>
        <v/>
      </c>
      <c r="GZ13">
        <f>INDEX($GR$27:$HC$27,MATCH(9,$GR$30:$HC$30,0))</f>
        <v/>
      </c>
      <c r="HA13">
        <f>INDEX($GR$27:$HC$27,MATCH(10,$GR$30:$HC$30,0))</f>
        <v/>
      </c>
      <c r="HB13">
        <f>INDEX($GR$27:$HC$27,MATCH(11,$GR$30:$HC$30,0))</f>
        <v/>
      </c>
      <c r="HC13">
        <f>INDEX($GR$27:$HC$27,MATCH(12,$GR$30:$HC$30,0))</f>
        <v/>
      </c>
    </row>
    <row r="14">
      <c r="A14" s="2">
        <f>"Part de "&amp;$B$1&amp;" (%)"</f>
        <v/>
      </c>
      <c r="B14" s="3">
        <f>IFERROR(INDEX($B$28:$GQ$28,MATCH(1,$B$29:$GQ$29,0))/SUM($B$28:$GQ$28)*100,0)</f>
        <v/>
      </c>
      <c r="C14" s="3">
        <f>IFERROR(INDEX($B$28:$GQ$28,MATCH(2,$B$29:$GQ$29,0))/SUM($B$28:$GQ$28)*100,0)</f>
        <v/>
      </c>
      <c r="D14" s="3">
        <f>IFERROR(INDEX($B$28:$GQ$28,MATCH(3,$B$29:$GQ$29,0))/SUM($B$28:$GQ$28)*100,0)</f>
        <v/>
      </c>
      <c r="E14" s="3">
        <f>IFERROR(INDEX($B$28:$GQ$28,MATCH(4,$B$29:$GQ$29,0))/SUM($B$28:$GQ$28)*100,0)</f>
        <v/>
      </c>
      <c r="F14" s="3">
        <f>IFERROR(INDEX($B$28:$GQ$28,MATCH(5,$B$29:$GQ$29,0))/SUM($B$28:$GQ$28)*100,0)</f>
        <v/>
      </c>
      <c r="G14" s="3">
        <f>IFERROR(INDEX($B$28:$GQ$28,MATCH(6,$B$29:$GQ$29,0))/SUM($B$28:$GQ$28)*100,0)</f>
        <v/>
      </c>
      <c r="H14" s="3">
        <f>IFERROR(INDEX($B$28:$GQ$28,MATCH(7,$B$29:$GQ$29,0))/SUM($B$28:$GQ$28)*100,0)</f>
        <v/>
      </c>
      <c r="I14" s="3">
        <f>IFERROR(INDEX($B$28:$GQ$28,MATCH(8,$B$29:$GQ$29,0))/SUM($B$28:$GQ$28)*100,0)</f>
        <v/>
      </c>
      <c r="J14" s="3">
        <f>IFERROR(INDEX($B$28:$GQ$28,MATCH(9,$B$29:$GQ$29,0))/SUM($B$28:$GQ$28)*100,0)</f>
        <v/>
      </c>
      <c r="K14" s="3">
        <f>IFERROR(INDEX($B$28:$GQ$28,MATCH(10,$B$29:$GQ$29,0))/SUM($B$28:$GQ$28)*100,0)</f>
        <v/>
      </c>
      <c r="L14" s="3">
        <f>IFERROR(INDEX($B$28:$GQ$28,MATCH(11,$B$29:$GQ$29,0))/SUM($B$28:$GQ$28)*100,0)</f>
        <v/>
      </c>
      <c r="M14" s="3">
        <f>IFERROR(INDEX($B$28:$GQ$28,MATCH(12,$B$29:$GQ$29,0))/SUM($B$28:$GQ$28)*100,0)</f>
        <v/>
      </c>
      <c r="N14" s="3">
        <f>IFERROR(INDEX($B$28:$GQ$28,MATCH(13,$B$29:$GQ$29,0))/SUM($B$28:$GQ$28)*100,0)</f>
        <v/>
      </c>
      <c r="O14" s="3">
        <f>IFERROR(INDEX($B$28:$GQ$28,MATCH(14,$B$29:$GQ$29,0))/SUM($B$28:$GQ$28)*100,0)</f>
        <v/>
      </c>
      <c r="P14" s="3">
        <f>IFERROR(INDEX($B$28:$GQ$28,MATCH(15,$B$29:$GQ$29,0))/SUM($B$28:$GQ$28)*100,0)</f>
        <v/>
      </c>
      <c r="Q14" s="3">
        <f>IFERROR(INDEX($B$28:$GQ$28,MATCH(16,$B$29:$GQ$29,0))/SUM($B$28:$GQ$28)*100,0)</f>
        <v/>
      </c>
      <c r="R14" s="3">
        <f>IFERROR(INDEX($B$28:$GQ$28,MATCH(17,$B$29:$GQ$29,0))/SUM($B$28:$GQ$28)*100,0)</f>
        <v/>
      </c>
      <c r="S14" s="3">
        <f>IFERROR(INDEX($B$28:$GQ$28,MATCH(18,$B$29:$GQ$29,0))/SUM($B$28:$GQ$28)*100,0)</f>
        <v/>
      </c>
      <c r="T14" s="3">
        <f>IFERROR(INDEX($B$28:$GQ$28,MATCH(19,$B$29:$GQ$29,0))/SUM($B$28:$GQ$28)*100,0)</f>
        <v/>
      </c>
      <c r="U14" s="3">
        <f>IFERROR(INDEX($B$28:$GQ$28,MATCH(20,$B$29:$GQ$29,0))/SUM($B$28:$GQ$28)*100,0)</f>
        <v/>
      </c>
      <c r="V14" s="3">
        <f>IFERROR(INDEX($B$28:$GQ$28,MATCH(21,$B$29:$GQ$29,0))/SUM($B$28:$GQ$28)*100,0)</f>
        <v/>
      </c>
      <c r="W14" s="3">
        <f>IFERROR(INDEX($B$28:$GQ$28,MATCH(22,$B$29:$GQ$29,0))/SUM($B$28:$GQ$28)*100,0)</f>
        <v/>
      </c>
      <c r="X14" s="3">
        <f>IFERROR(INDEX($B$28:$GQ$28,MATCH(23,$B$29:$GQ$29,0))/SUM($B$28:$GQ$28)*100,0)</f>
        <v/>
      </c>
      <c r="Y14" s="3">
        <f>IFERROR(INDEX($B$28:$GQ$28,MATCH(24,$B$29:$GQ$29,0))/SUM($B$28:$GQ$28)*100,0)</f>
        <v/>
      </c>
      <c r="Z14" s="3">
        <f>IFERROR(INDEX($B$28:$GQ$28,MATCH(25,$B$29:$GQ$29,0))/SUM($B$28:$GQ$28)*100,0)</f>
        <v/>
      </c>
      <c r="AA14" s="3">
        <f>IFERROR(INDEX($B$28:$GQ$28,MATCH(26,$B$29:$GQ$29,0))/SUM($B$28:$GQ$28)*100,0)</f>
        <v/>
      </c>
      <c r="AB14" s="3">
        <f>IFERROR(INDEX($B$28:$GQ$28,MATCH(27,$B$29:$GQ$29,0))/SUM($B$28:$GQ$28)*100,0)</f>
        <v/>
      </c>
      <c r="AC14" s="3">
        <f>IFERROR(INDEX($B$28:$GQ$28,MATCH(28,$B$29:$GQ$29,0))/SUM($B$28:$GQ$28)*100,0)</f>
        <v/>
      </c>
      <c r="AD14" s="3">
        <f>IFERROR(INDEX($B$28:$GQ$28,MATCH(29,$B$29:$GQ$29,0))/SUM($B$28:$GQ$28)*100,0)</f>
        <v/>
      </c>
      <c r="AE14" s="3">
        <f>IFERROR(INDEX($B$28:$GQ$28,MATCH(30,$B$29:$GQ$29,0))/SUM($B$28:$GQ$28)*100,0)</f>
        <v/>
      </c>
      <c r="AF14" s="3">
        <f>IFERROR(INDEX($B$28:$GQ$28,MATCH(31,$B$29:$GQ$29,0))/SUM($B$28:$GQ$28)*100,0)</f>
        <v/>
      </c>
      <c r="AG14" s="3">
        <f>IFERROR(INDEX($B$28:$GQ$28,MATCH(32,$B$29:$GQ$29,0))/SUM($B$28:$GQ$28)*100,0)</f>
        <v/>
      </c>
      <c r="AH14" s="3">
        <f>IFERROR(INDEX($B$28:$GQ$28,MATCH(33,$B$29:$GQ$29,0))/SUM($B$28:$GQ$28)*100,0)</f>
        <v/>
      </c>
      <c r="AI14" s="3">
        <f>IFERROR(INDEX($B$28:$GQ$28,MATCH(34,$B$29:$GQ$29,0))/SUM($B$28:$GQ$28)*100,0)</f>
        <v/>
      </c>
      <c r="AJ14" s="3">
        <f>IFERROR(INDEX($B$28:$GQ$28,MATCH(35,$B$29:$GQ$29,0))/SUM($B$28:$GQ$28)*100,0)</f>
        <v/>
      </c>
      <c r="AK14" s="3">
        <f>IFERROR(INDEX($B$28:$GQ$28,MATCH(36,$B$29:$GQ$29,0))/SUM($B$28:$GQ$28)*100,0)</f>
        <v/>
      </c>
      <c r="AL14" s="3">
        <f>IFERROR(INDEX($B$28:$GQ$28,MATCH(37,$B$29:$GQ$29,0))/SUM($B$28:$GQ$28)*100,0)</f>
        <v/>
      </c>
      <c r="AM14" s="3">
        <f>IFERROR(INDEX($B$28:$GQ$28,MATCH(38,$B$29:$GQ$29,0))/SUM($B$28:$GQ$28)*100,0)</f>
        <v/>
      </c>
      <c r="AN14" s="3">
        <f>IFERROR(INDEX($B$28:$GQ$28,MATCH(39,$B$29:$GQ$29,0))/SUM($B$28:$GQ$28)*100,0)</f>
        <v/>
      </c>
      <c r="AO14" s="3">
        <f>IFERROR(INDEX($B$28:$GQ$28,MATCH(40,$B$29:$GQ$29,0))/SUM($B$28:$GQ$28)*100,0)</f>
        <v/>
      </c>
      <c r="AP14" s="3">
        <f>IFERROR(INDEX($B$28:$GQ$28,MATCH(41,$B$29:$GQ$29,0))/SUM($B$28:$GQ$28)*100,0)</f>
        <v/>
      </c>
      <c r="AQ14" s="3">
        <f>IFERROR(INDEX($B$28:$GQ$28,MATCH(42,$B$29:$GQ$29,0))/SUM($B$28:$GQ$28)*100,0)</f>
        <v/>
      </c>
      <c r="AR14" s="3">
        <f>IFERROR(INDEX($B$28:$GQ$28,MATCH(43,$B$29:$GQ$29,0))/SUM($B$28:$GQ$28)*100,0)</f>
        <v/>
      </c>
      <c r="AS14" s="3">
        <f>IFERROR(INDEX($B$28:$GQ$28,MATCH(44,$B$29:$GQ$29,0))/SUM($B$28:$GQ$28)*100,0)</f>
        <v/>
      </c>
      <c r="AT14" s="3">
        <f>IFERROR(INDEX($B$28:$GQ$28,MATCH(45,$B$29:$GQ$29,0))/SUM($B$28:$GQ$28)*100,0)</f>
        <v/>
      </c>
      <c r="AU14" s="3">
        <f>IFERROR(INDEX($B$28:$GQ$28,MATCH(46,$B$29:$GQ$29,0))/SUM($B$28:$GQ$28)*100,0)</f>
        <v/>
      </c>
      <c r="AV14" s="3">
        <f>IFERROR(INDEX($B$28:$GQ$28,MATCH(47,$B$29:$GQ$29,0))/SUM($B$28:$GQ$28)*100,0)</f>
        <v/>
      </c>
      <c r="AW14" s="3">
        <f>IFERROR(INDEX($B$28:$GQ$28,MATCH(48,$B$29:$GQ$29,0))/SUM($B$28:$GQ$28)*100,0)</f>
        <v/>
      </c>
      <c r="AX14" s="3">
        <f>IFERROR(INDEX($B$28:$GQ$28,MATCH(49,$B$29:$GQ$29,0))/SUM($B$28:$GQ$28)*100,0)</f>
        <v/>
      </c>
      <c r="AY14" s="3">
        <f>IFERROR(INDEX($B$28:$GQ$28,MATCH(50,$B$29:$GQ$29,0))/SUM($B$28:$GQ$28)*100,0)</f>
        <v/>
      </c>
      <c r="AZ14" s="3">
        <f>IFERROR(INDEX($B$28:$GQ$28,MATCH(51,$B$29:$GQ$29,0))/SUM($B$28:$GQ$28)*100,0)</f>
        <v/>
      </c>
      <c r="BA14" s="3">
        <f>IFERROR(INDEX($B$28:$GQ$28,MATCH(52,$B$29:$GQ$29,0))/SUM($B$28:$GQ$28)*100,0)</f>
        <v/>
      </c>
      <c r="BB14" s="3">
        <f>IFERROR(INDEX($B$28:$GQ$28,MATCH(53,$B$29:$GQ$29,0))/SUM($B$28:$GQ$28)*100,0)</f>
        <v/>
      </c>
      <c r="BC14" s="3">
        <f>IFERROR(INDEX($B$28:$GQ$28,MATCH(54,$B$29:$GQ$29,0))/SUM($B$28:$GQ$28)*100,0)</f>
        <v/>
      </c>
      <c r="BD14" s="3">
        <f>IFERROR(INDEX($B$28:$GQ$28,MATCH(55,$B$29:$GQ$29,0))/SUM($B$28:$GQ$28)*100,0)</f>
        <v/>
      </c>
      <c r="BE14" s="3">
        <f>IFERROR(INDEX($B$28:$GQ$28,MATCH(56,$B$29:$GQ$29,0))/SUM($B$28:$GQ$28)*100,0)</f>
        <v/>
      </c>
      <c r="BF14" s="3">
        <f>IFERROR(INDEX($B$28:$GQ$28,MATCH(57,$B$29:$GQ$29,0))/SUM($B$28:$GQ$28)*100,0)</f>
        <v/>
      </c>
      <c r="BG14" s="3">
        <f>IFERROR(INDEX($B$28:$GQ$28,MATCH(58,$B$29:$GQ$29,0))/SUM($B$28:$GQ$28)*100,0)</f>
        <v/>
      </c>
      <c r="BH14" s="3">
        <f>IFERROR(INDEX($B$28:$GQ$28,MATCH(59,$B$29:$GQ$29,0))/SUM($B$28:$GQ$28)*100,0)</f>
        <v/>
      </c>
      <c r="BI14" s="3">
        <f>IFERROR(INDEX($B$28:$GQ$28,MATCH(60,$B$29:$GQ$29,0))/SUM($B$28:$GQ$28)*100,0)</f>
        <v/>
      </c>
      <c r="BJ14" s="3">
        <f>IFERROR(INDEX($B$28:$GQ$28,MATCH(61,$B$29:$GQ$29,0))/SUM($B$28:$GQ$28)*100,0)</f>
        <v/>
      </c>
      <c r="BK14" s="3">
        <f>IFERROR(INDEX($B$28:$GQ$28,MATCH(62,$B$29:$GQ$29,0))/SUM($B$28:$GQ$28)*100,0)</f>
        <v/>
      </c>
      <c r="BL14" s="3">
        <f>IFERROR(INDEX($B$28:$GQ$28,MATCH(63,$B$29:$GQ$29,0))/SUM($B$28:$GQ$28)*100,0)</f>
        <v/>
      </c>
      <c r="BM14" s="3">
        <f>IFERROR(INDEX($B$28:$GQ$28,MATCH(64,$B$29:$GQ$29,0))/SUM($B$28:$GQ$28)*100,0)</f>
        <v/>
      </c>
      <c r="BN14" s="3">
        <f>IFERROR(INDEX($B$28:$GQ$28,MATCH(65,$B$29:$GQ$29,0))/SUM($B$28:$GQ$28)*100,0)</f>
        <v/>
      </c>
      <c r="BO14" s="3">
        <f>IFERROR(INDEX($B$28:$GQ$28,MATCH(66,$B$29:$GQ$29,0))/SUM($B$28:$GQ$28)*100,0)</f>
        <v/>
      </c>
      <c r="BP14" s="3">
        <f>IFERROR(INDEX($B$28:$GQ$28,MATCH(67,$B$29:$GQ$29,0))/SUM($B$28:$GQ$28)*100,0)</f>
        <v/>
      </c>
      <c r="BQ14" s="3">
        <f>IFERROR(INDEX($B$28:$GQ$28,MATCH(68,$B$29:$GQ$29,0))/SUM($B$28:$GQ$28)*100,0)</f>
        <v/>
      </c>
      <c r="BR14" s="3">
        <f>IFERROR(INDEX($B$28:$GQ$28,MATCH(69,$B$29:$GQ$29,0))/SUM($B$28:$GQ$28)*100,0)</f>
        <v/>
      </c>
      <c r="BS14" s="3">
        <f>IFERROR(INDEX($B$28:$GQ$28,MATCH(70,$B$29:$GQ$29,0))/SUM($B$28:$GQ$28)*100,0)</f>
        <v/>
      </c>
      <c r="BT14" s="3">
        <f>IFERROR(INDEX($B$28:$GQ$28,MATCH(71,$B$29:$GQ$29,0))/SUM($B$28:$GQ$28)*100,0)</f>
        <v/>
      </c>
      <c r="BU14" s="3">
        <f>IFERROR(INDEX($B$28:$GQ$28,MATCH(72,$B$29:$GQ$29,0))/SUM($B$28:$GQ$28)*100,0)</f>
        <v/>
      </c>
      <c r="BV14" s="3">
        <f>IFERROR(INDEX($B$28:$GQ$28,MATCH(73,$B$29:$GQ$29,0))/SUM($B$28:$GQ$28)*100,0)</f>
        <v/>
      </c>
      <c r="BW14" s="3">
        <f>IFERROR(INDEX($B$28:$GQ$28,MATCH(74,$B$29:$GQ$29,0))/SUM($B$28:$GQ$28)*100,0)</f>
        <v/>
      </c>
      <c r="BX14" s="3">
        <f>IFERROR(INDEX($B$28:$GQ$28,MATCH(75,$B$29:$GQ$29,0))/SUM($B$28:$GQ$28)*100,0)</f>
        <v/>
      </c>
      <c r="BY14" s="3">
        <f>IFERROR(INDEX($B$28:$GQ$28,MATCH(76,$B$29:$GQ$29,0))/SUM($B$28:$GQ$28)*100,0)</f>
        <v/>
      </c>
      <c r="BZ14" s="3">
        <f>IFERROR(INDEX($B$28:$GQ$28,MATCH(77,$B$29:$GQ$29,0))/SUM($B$28:$GQ$28)*100,0)</f>
        <v/>
      </c>
      <c r="CA14" s="3">
        <f>IFERROR(INDEX($B$28:$GQ$28,MATCH(78,$B$29:$GQ$29,0))/SUM($B$28:$GQ$28)*100,0)</f>
        <v/>
      </c>
      <c r="CB14" s="3">
        <f>IFERROR(INDEX($B$28:$GQ$28,MATCH(79,$B$29:$GQ$29,0))/SUM($B$28:$GQ$28)*100,0)</f>
        <v/>
      </c>
      <c r="CC14" s="3">
        <f>IFERROR(INDEX($B$28:$GQ$28,MATCH(80,$B$29:$GQ$29,0))/SUM($B$28:$GQ$28)*100,0)</f>
        <v/>
      </c>
      <c r="CD14" s="3">
        <f>IFERROR(INDEX($B$28:$GQ$28,MATCH(81,$B$29:$GQ$29,0))/SUM($B$28:$GQ$28)*100,0)</f>
        <v/>
      </c>
      <c r="CE14" s="3">
        <f>IFERROR(INDEX($B$28:$GQ$28,MATCH(82,$B$29:$GQ$29,0))/SUM($B$28:$GQ$28)*100,0)</f>
        <v/>
      </c>
      <c r="CF14" s="3">
        <f>IFERROR(INDEX($B$28:$GQ$28,MATCH(83,$B$29:$GQ$29,0))/SUM($B$28:$GQ$28)*100,0)</f>
        <v/>
      </c>
      <c r="CG14" s="3">
        <f>IFERROR(INDEX($B$28:$GQ$28,MATCH(84,$B$29:$GQ$29,0))/SUM($B$28:$GQ$28)*100,0)</f>
        <v/>
      </c>
      <c r="CH14" s="3">
        <f>IFERROR(INDEX($B$28:$GQ$28,MATCH(85,$B$29:$GQ$29,0))/SUM($B$28:$GQ$28)*100,0)</f>
        <v/>
      </c>
      <c r="CI14" s="3">
        <f>IFERROR(INDEX($B$28:$GQ$28,MATCH(86,$B$29:$GQ$29,0))/SUM($B$28:$GQ$28)*100,0)</f>
        <v/>
      </c>
      <c r="CJ14" s="3">
        <f>IFERROR(INDEX($B$28:$GQ$28,MATCH(87,$B$29:$GQ$29,0))/SUM($B$28:$GQ$28)*100,0)</f>
        <v/>
      </c>
      <c r="CK14" s="3">
        <f>IFERROR(INDEX($B$28:$GQ$28,MATCH(88,$B$29:$GQ$29,0))/SUM($B$28:$GQ$28)*100,0)</f>
        <v/>
      </c>
      <c r="CL14" s="3">
        <f>IFERROR(INDEX($B$28:$GQ$28,MATCH(89,$B$29:$GQ$29,0))/SUM($B$28:$GQ$28)*100,0)</f>
        <v/>
      </c>
      <c r="CM14" s="3">
        <f>IFERROR(INDEX($B$28:$GQ$28,MATCH(90,$B$29:$GQ$29,0))/SUM($B$28:$GQ$28)*100,0)</f>
        <v/>
      </c>
      <c r="CN14" s="3">
        <f>IFERROR(INDEX($B$28:$GQ$28,MATCH(91,$B$29:$GQ$29,0))/SUM($B$28:$GQ$28)*100,0)</f>
        <v/>
      </c>
      <c r="CO14" s="3">
        <f>IFERROR(INDEX($B$28:$GQ$28,MATCH(92,$B$29:$GQ$29,0))/SUM($B$28:$GQ$28)*100,0)</f>
        <v/>
      </c>
      <c r="CP14" s="3">
        <f>IFERROR(INDEX($B$28:$GQ$28,MATCH(93,$B$29:$GQ$29,0))/SUM($B$28:$GQ$28)*100,0)</f>
        <v/>
      </c>
      <c r="CQ14" s="3">
        <f>IFERROR(INDEX($B$28:$GQ$28,MATCH(94,$B$29:$GQ$29,0))/SUM($B$28:$GQ$28)*100,0)</f>
        <v/>
      </c>
      <c r="CR14" s="3">
        <f>IFERROR(INDEX($B$28:$GQ$28,MATCH(95,$B$29:$GQ$29,0))/SUM($B$28:$GQ$28)*100,0)</f>
        <v/>
      </c>
      <c r="CS14" s="3">
        <f>IFERROR(INDEX($B$28:$GQ$28,MATCH(96,$B$29:$GQ$29,0))/SUM($B$28:$GQ$28)*100,0)</f>
        <v/>
      </c>
      <c r="CT14" s="3">
        <f>IFERROR(INDEX($B$28:$GQ$28,MATCH(97,$B$29:$GQ$29,0))/SUM($B$28:$GQ$28)*100,0)</f>
        <v/>
      </c>
      <c r="CU14" s="3">
        <f>IFERROR(INDEX($B$28:$GQ$28,MATCH(98,$B$29:$GQ$29,0))/SUM($B$28:$GQ$28)*100,0)</f>
        <v/>
      </c>
      <c r="CV14" s="3">
        <f>IFERROR(INDEX($B$28:$GQ$28,MATCH(99,$B$29:$GQ$29,0))/SUM($B$28:$GQ$28)*100,0)</f>
        <v/>
      </c>
      <c r="CW14" s="3">
        <f>IFERROR(INDEX($B$28:$GQ$28,MATCH(100,$B$29:$GQ$29,0))/SUM($B$28:$GQ$28)*100,0)</f>
        <v/>
      </c>
      <c r="CX14" s="3">
        <f>IFERROR(INDEX($B$28:$GQ$28,MATCH(101,$B$29:$GQ$29,0))/SUM($B$28:$GQ$28)*100,0)</f>
        <v/>
      </c>
      <c r="CY14" s="3">
        <f>IFERROR(INDEX($B$28:$GQ$28,MATCH(102,$B$29:$GQ$29,0))/SUM($B$28:$GQ$28)*100,0)</f>
        <v/>
      </c>
      <c r="CZ14" s="3">
        <f>IFERROR(INDEX($B$28:$GQ$28,MATCH(103,$B$29:$GQ$29,0))/SUM($B$28:$GQ$28)*100,0)</f>
        <v/>
      </c>
      <c r="DA14" s="3">
        <f>IFERROR(INDEX($B$28:$GQ$28,MATCH(104,$B$29:$GQ$29,0))/SUM($B$28:$GQ$28)*100,0)</f>
        <v/>
      </c>
      <c r="DB14" s="3">
        <f>IFERROR(INDEX($B$28:$GQ$28,MATCH(105,$B$29:$GQ$29,0))/SUM($B$28:$GQ$28)*100,0)</f>
        <v/>
      </c>
      <c r="DC14" s="3">
        <f>IFERROR(INDEX($B$28:$GQ$28,MATCH(106,$B$29:$GQ$29,0))/SUM($B$28:$GQ$28)*100,0)</f>
        <v/>
      </c>
      <c r="DD14" s="3">
        <f>IFERROR(INDEX($B$28:$GQ$28,MATCH(107,$B$29:$GQ$29,0))/SUM($B$28:$GQ$28)*100,0)</f>
        <v/>
      </c>
      <c r="DE14" s="3">
        <f>IFERROR(INDEX($B$28:$GQ$28,MATCH(108,$B$29:$GQ$29,0))/SUM($B$28:$GQ$28)*100,0)</f>
        <v/>
      </c>
      <c r="DF14" s="3">
        <f>IFERROR(INDEX($B$28:$GQ$28,MATCH(109,$B$29:$GQ$29,0))/SUM($B$28:$GQ$28)*100,0)</f>
        <v/>
      </c>
      <c r="DG14" s="3">
        <f>IFERROR(INDEX($B$28:$GQ$28,MATCH(110,$B$29:$GQ$29,0))/SUM($B$28:$GQ$28)*100,0)</f>
        <v/>
      </c>
      <c r="DH14" s="3">
        <f>IFERROR(INDEX($B$28:$GQ$28,MATCH(111,$B$29:$GQ$29,0))/SUM($B$28:$GQ$28)*100,0)</f>
        <v/>
      </c>
      <c r="DI14" s="3">
        <f>IFERROR(INDEX($B$28:$GQ$28,MATCH(112,$B$29:$GQ$29,0))/SUM($B$28:$GQ$28)*100,0)</f>
        <v/>
      </c>
      <c r="DJ14" s="3">
        <f>IFERROR(INDEX($B$28:$GQ$28,MATCH(113,$B$29:$GQ$29,0))/SUM($B$28:$GQ$28)*100,0)</f>
        <v/>
      </c>
      <c r="DK14" s="3">
        <f>IFERROR(INDEX($B$28:$GQ$28,MATCH(114,$B$29:$GQ$29,0))/SUM($B$28:$GQ$28)*100,0)</f>
        <v/>
      </c>
      <c r="DL14" s="3">
        <f>IFERROR(INDEX($B$28:$GQ$28,MATCH(115,$B$29:$GQ$29,0))/SUM($B$28:$GQ$28)*100,0)</f>
        <v/>
      </c>
      <c r="DM14" s="3">
        <f>IFERROR(INDEX($B$28:$GQ$28,MATCH(116,$B$29:$GQ$29,0))/SUM($B$28:$GQ$28)*100,0)</f>
        <v/>
      </c>
      <c r="DN14" s="3">
        <f>IFERROR(INDEX($B$28:$GQ$28,MATCH(117,$B$29:$GQ$29,0))/SUM($B$28:$GQ$28)*100,0)</f>
        <v/>
      </c>
      <c r="DO14" s="3">
        <f>IFERROR(INDEX($B$28:$GQ$28,MATCH(118,$B$29:$GQ$29,0))/SUM($B$28:$GQ$28)*100,0)</f>
        <v/>
      </c>
      <c r="DP14" s="3">
        <f>IFERROR(INDEX($B$28:$GQ$28,MATCH(119,$B$29:$GQ$29,0))/SUM($B$28:$GQ$28)*100,0)</f>
        <v/>
      </c>
      <c r="DQ14" s="3">
        <f>IFERROR(INDEX($B$28:$GQ$28,MATCH(120,$B$29:$GQ$29,0))/SUM($B$28:$GQ$28)*100,0)</f>
        <v/>
      </c>
      <c r="DR14" s="3">
        <f>IFERROR(INDEX($B$28:$GQ$28,MATCH(121,$B$29:$GQ$29,0))/SUM($B$28:$GQ$28)*100,0)</f>
        <v/>
      </c>
      <c r="DS14" s="3">
        <f>IFERROR(INDEX($B$28:$GQ$28,MATCH(122,$B$29:$GQ$29,0))/SUM($B$28:$GQ$28)*100,0)</f>
        <v/>
      </c>
      <c r="DT14" s="3">
        <f>IFERROR(INDEX($B$28:$GQ$28,MATCH(123,$B$29:$GQ$29,0))/SUM($B$28:$GQ$28)*100,0)</f>
        <v/>
      </c>
      <c r="DU14" s="3">
        <f>IFERROR(INDEX($B$28:$GQ$28,MATCH(124,$B$29:$GQ$29,0))/SUM($B$28:$GQ$28)*100,0)</f>
        <v/>
      </c>
      <c r="DV14" s="3">
        <f>IFERROR(INDEX($B$28:$GQ$28,MATCH(125,$B$29:$GQ$29,0))/SUM($B$28:$GQ$28)*100,0)</f>
        <v/>
      </c>
      <c r="DW14" s="3">
        <f>IFERROR(INDEX($B$28:$GQ$28,MATCH(126,$B$29:$GQ$29,0))/SUM($B$28:$GQ$28)*100,0)</f>
        <v/>
      </c>
      <c r="DX14" s="3">
        <f>IFERROR(INDEX($B$28:$GQ$28,MATCH(127,$B$29:$GQ$29,0))/SUM($B$28:$GQ$28)*100,0)</f>
        <v/>
      </c>
      <c r="DY14" s="3">
        <f>IFERROR(INDEX($B$28:$GQ$28,MATCH(128,$B$29:$GQ$29,0))/SUM($B$28:$GQ$28)*100,0)</f>
        <v/>
      </c>
      <c r="DZ14" s="3">
        <f>IFERROR(INDEX($B$28:$GQ$28,MATCH(129,$B$29:$GQ$29,0))/SUM($B$28:$GQ$28)*100,0)</f>
        <v/>
      </c>
      <c r="EA14" s="3">
        <f>IFERROR(INDEX($B$28:$GQ$28,MATCH(130,$B$29:$GQ$29,0))/SUM($B$28:$GQ$28)*100,0)</f>
        <v/>
      </c>
      <c r="EB14" s="3">
        <f>IFERROR(INDEX($B$28:$GQ$28,MATCH(131,$B$29:$GQ$29,0))/SUM($B$28:$GQ$28)*100,0)</f>
        <v/>
      </c>
      <c r="EC14" s="3">
        <f>IFERROR(INDEX($B$28:$GQ$28,MATCH(132,$B$29:$GQ$29,0))/SUM($B$28:$GQ$28)*100,0)</f>
        <v/>
      </c>
      <c r="ED14" s="3">
        <f>IFERROR(INDEX($B$28:$GQ$28,MATCH(133,$B$29:$GQ$29,0))/SUM($B$28:$GQ$28)*100,0)</f>
        <v/>
      </c>
      <c r="EE14" s="3">
        <f>IFERROR(INDEX($B$28:$GQ$28,MATCH(134,$B$29:$GQ$29,0))/SUM($B$28:$GQ$28)*100,0)</f>
        <v/>
      </c>
      <c r="EF14" s="3">
        <f>IFERROR(INDEX($B$28:$GQ$28,MATCH(135,$B$29:$GQ$29,0))/SUM($B$28:$GQ$28)*100,0)</f>
        <v/>
      </c>
      <c r="EG14" s="3">
        <f>IFERROR(INDEX($B$28:$GQ$28,MATCH(136,$B$29:$GQ$29,0))/SUM($B$28:$GQ$28)*100,0)</f>
        <v/>
      </c>
      <c r="EH14" s="3">
        <f>IFERROR(INDEX($B$28:$GQ$28,MATCH(137,$B$29:$GQ$29,0))/SUM($B$28:$GQ$28)*100,0)</f>
        <v/>
      </c>
      <c r="EI14" s="3">
        <f>IFERROR(INDEX($B$28:$GQ$28,MATCH(138,$B$29:$GQ$29,0))/SUM($B$28:$GQ$28)*100,0)</f>
        <v/>
      </c>
      <c r="EJ14" s="3">
        <f>IFERROR(INDEX($B$28:$GQ$28,MATCH(139,$B$29:$GQ$29,0))/SUM($B$28:$GQ$28)*100,0)</f>
        <v/>
      </c>
      <c r="EK14" s="3">
        <f>IFERROR(INDEX($B$28:$GQ$28,MATCH(140,$B$29:$GQ$29,0))/SUM($B$28:$GQ$28)*100,0)</f>
        <v/>
      </c>
      <c r="EL14" s="3">
        <f>IFERROR(INDEX($B$28:$GQ$28,MATCH(141,$B$29:$GQ$29,0))/SUM($B$28:$GQ$28)*100,0)</f>
        <v/>
      </c>
      <c r="EM14" s="3">
        <f>IFERROR(INDEX($B$28:$GQ$28,MATCH(142,$B$29:$GQ$29,0))/SUM($B$28:$GQ$28)*100,0)</f>
        <v/>
      </c>
      <c r="EN14" s="3">
        <f>IFERROR(INDEX($B$28:$GQ$28,MATCH(143,$B$29:$GQ$29,0))/SUM($B$28:$GQ$28)*100,0)</f>
        <v/>
      </c>
      <c r="EO14" s="3">
        <f>IFERROR(INDEX($B$28:$GQ$28,MATCH(144,$B$29:$GQ$29,0))/SUM($B$28:$GQ$28)*100,0)</f>
        <v/>
      </c>
      <c r="EP14" s="3">
        <f>IFERROR(INDEX($B$28:$GQ$28,MATCH(145,$B$29:$GQ$29,0))/SUM($B$28:$GQ$28)*100,0)</f>
        <v/>
      </c>
      <c r="EQ14" s="3">
        <f>IFERROR(INDEX($B$28:$GQ$28,MATCH(146,$B$29:$GQ$29,0))/SUM($B$28:$GQ$28)*100,0)</f>
        <v/>
      </c>
      <c r="ER14" s="3">
        <f>IFERROR(INDEX($B$28:$GQ$28,MATCH(147,$B$29:$GQ$29,0))/SUM($B$28:$GQ$28)*100,0)</f>
        <v/>
      </c>
      <c r="ES14" s="3">
        <f>IFERROR(INDEX($B$28:$GQ$28,MATCH(148,$B$29:$GQ$29,0))/SUM($B$28:$GQ$28)*100,0)</f>
        <v/>
      </c>
      <c r="ET14" s="3">
        <f>IFERROR(INDEX($B$28:$GQ$28,MATCH(149,$B$29:$GQ$29,0))/SUM($B$28:$GQ$28)*100,0)</f>
        <v/>
      </c>
      <c r="EU14" s="3">
        <f>IFERROR(INDEX($B$28:$GQ$28,MATCH(150,$B$29:$GQ$29,0))/SUM($B$28:$GQ$28)*100,0)</f>
        <v/>
      </c>
      <c r="EV14" s="3">
        <f>IFERROR(INDEX($B$28:$GQ$28,MATCH(151,$B$29:$GQ$29,0))/SUM($B$28:$GQ$28)*100,0)</f>
        <v/>
      </c>
      <c r="EW14" s="3">
        <f>IFERROR(INDEX($B$28:$GQ$28,MATCH(152,$B$29:$GQ$29,0))/SUM($B$28:$GQ$28)*100,0)</f>
        <v/>
      </c>
      <c r="EX14" s="3">
        <f>IFERROR(INDEX($B$28:$GQ$28,MATCH(153,$B$29:$GQ$29,0))/SUM($B$28:$GQ$28)*100,0)</f>
        <v/>
      </c>
      <c r="EY14" s="3">
        <f>IFERROR(INDEX($B$28:$GQ$28,MATCH(154,$B$29:$GQ$29,0))/SUM($B$28:$GQ$28)*100,0)</f>
        <v/>
      </c>
      <c r="EZ14" s="3">
        <f>IFERROR(INDEX($B$28:$GQ$28,MATCH(155,$B$29:$GQ$29,0))/SUM($B$28:$GQ$28)*100,0)</f>
        <v/>
      </c>
      <c r="FA14" s="3">
        <f>IFERROR(INDEX($B$28:$GQ$28,MATCH(156,$B$29:$GQ$29,0))/SUM($B$28:$GQ$28)*100,0)</f>
        <v/>
      </c>
      <c r="FB14" s="3">
        <f>IFERROR(INDEX($B$28:$GQ$28,MATCH(157,$B$29:$GQ$29,0))/SUM($B$28:$GQ$28)*100,0)</f>
        <v/>
      </c>
      <c r="FC14" s="3">
        <f>IFERROR(INDEX($B$28:$GQ$28,MATCH(158,$B$29:$GQ$29,0))/SUM($B$28:$GQ$28)*100,0)</f>
        <v/>
      </c>
      <c r="FD14" s="3">
        <f>IFERROR(INDEX($B$28:$GQ$28,MATCH(159,$B$29:$GQ$29,0))/SUM($B$28:$GQ$28)*100,0)</f>
        <v/>
      </c>
      <c r="FE14" s="3">
        <f>IFERROR(INDEX($B$28:$GQ$28,MATCH(160,$B$29:$GQ$29,0))/SUM($B$28:$GQ$28)*100,0)</f>
        <v/>
      </c>
      <c r="FF14" s="3">
        <f>IFERROR(INDEX($B$28:$GQ$28,MATCH(161,$B$29:$GQ$29,0))/SUM($B$28:$GQ$28)*100,0)</f>
        <v/>
      </c>
      <c r="FG14" s="3">
        <f>IFERROR(INDEX($B$28:$GQ$28,MATCH(162,$B$29:$GQ$29,0))/SUM($B$28:$GQ$28)*100,0)</f>
        <v/>
      </c>
      <c r="FH14" s="3">
        <f>IFERROR(INDEX($B$28:$GQ$28,MATCH(163,$B$29:$GQ$29,0))/SUM($B$28:$GQ$28)*100,0)</f>
        <v/>
      </c>
      <c r="FI14" s="3">
        <f>IFERROR(INDEX($B$28:$GQ$28,MATCH(164,$B$29:$GQ$29,0))/SUM($B$28:$GQ$28)*100,0)</f>
        <v/>
      </c>
      <c r="FJ14" s="3">
        <f>IFERROR(INDEX($B$28:$GQ$28,MATCH(165,$B$29:$GQ$29,0))/SUM($B$28:$GQ$28)*100,0)</f>
        <v/>
      </c>
      <c r="FK14" s="3">
        <f>IFERROR(INDEX($B$28:$GQ$28,MATCH(166,$B$29:$GQ$29,0))/SUM($B$28:$GQ$28)*100,0)</f>
        <v/>
      </c>
      <c r="FL14" s="3">
        <f>IFERROR(INDEX($B$28:$GQ$28,MATCH(167,$B$29:$GQ$29,0))/SUM($B$28:$GQ$28)*100,0)</f>
        <v/>
      </c>
      <c r="FM14" s="3">
        <f>IFERROR(INDEX($B$28:$GQ$28,MATCH(168,$B$29:$GQ$29,0))/SUM($B$28:$GQ$28)*100,0)</f>
        <v/>
      </c>
      <c r="FN14" s="3">
        <f>IFERROR(INDEX($B$28:$GQ$28,MATCH(169,$B$29:$GQ$29,0))/SUM($B$28:$GQ$28)*100,0)</f>
        <v/>
      </c>
      <c r="FO14" s="3">
        <f>IFERROR(INDEX($B$28:$GQ$28,MATCH(170,$B$29:$GQ$29,0))/SUM($B$28:$GQ$28)*100,0)</f>
        <v/>
      </c>
      <c r="FP14" s="3">
        <f>IFERROR(INDEX($B$28:$GQ$28,MATCH(171,$B$29:$GQ$29,0))/SUM($B$28:$GQ$28)*100,0)</f>
        <v/>
      </c>
      <c r="FQ14" s="3">
        <f>IFERROR(INDEX($B$28:$GQ$28,MATCH(172,$B$29:$GQ$29,0))/SUM($B$28:$GQ$28)*100,0)</f>
        <v/>
      </c>
      <c r="FR14" s="3">
        <f>IFERROR(INDEX($B$28:$GQ$28,MATCH(173,$B$29:$GQ$29,0))/SUM($B$28:$GQ$28)*100,0)</f>
        <v/>
      </c>
      <c r="FS14" s="3">
        <f>IFERROR(INDEX($B$28:$GQ$28,MATCH(174,$B$29:$GQ$29,0))/SUM($B$28:$GQ$28)*100,0)</f>
        <v/>
      </c>
      <c r="FT14" s="3">
        <f>IFERROR(INDEX($B$28:$GQ$28,MATCH(175,$B$29:$GQ$29,0))/SUM($B$28:$GQ$28)*100,0)</f>
        <v/>
      </c>
      <c r="FU14" s="3">
        <f>IFERROR(INDEX($B$28:$GQ$28,MATCH(176,$B$29:$GQ$29,0))/SUM($B$28:$GQ$28)*100,0)</f>
        <v/>
      </c>
      <c r="FV14" s="3">
        <f>IFERROR(INDEX($B$28:$GQ$28,MATCH(177,$B$29:$GQ$29,0))/SUM($B$28:$GQ$28)*100,0)</f>
        <v/>
      </c>
      <c r="FW14" s="3">
        <f>IFERROR(INDEX($B$28:$GQ$28,MATCH(178,$B$29:$GQ$29,0))/SUM($B$28:$GQ$28)*100,0)</f>
        <v/>
      </c>
      <c r="FX14" s="3">
        <f>IFERROR(INDEX($B$28:$GQ$28,MATCH(179,$B$29:$GQ$29,0))/SUM($B$28:$GQ$28)*100,0)</f>
        <v/>
      </c>
      <c r="FY14" s="3">
        <f>IFERROR(INDEX($B$28:$GQ$28,MATCH(180,$B$29:$GQ$29,0))/SUM($B$28:$GQ$28)*100,0)</f>
        <v/>
      </c>
      <c r="FZ14" s="3">
        <f>IFERROR(INDEX($B$28:$GQ$28,MATCH(181,$B$29:$GQ$29,0))/SUM($B$28:$GQ$28)*100,0)</f>
        <v/>
      </c>
      <c r="GA14" s="3">
        <f>IFERROR(INDEX($B$28:$GQ$28,MATCH(182,$B$29:$GQ$29,0))/SUM($B$28:$GQ$28)*100,0)</f>
        <v/>
      </c>
      <c r="GB14" s="3">
        <f>IFERROR(INDEX($B$28:$GQ$28,MATCH(183,$B$29:$GQ$29,0))/SUM($B$28:$GQ$28)*100,0)</f>
        <v/>
      </c>
      <c r="GC14" s="3">
        <f>IFERROR(INDEX($B$28:$GQ$28,MATCH(184,$B$29:$GQ$29,0))/SUM($B$28:$GQ$28)*100,0)</f>
        <v/>
      </c>
      <c r="GD14" s="3">
        <f>IFERROR(INDEX($B$28:$GQ$28,MATCH(185,$B$29:$GQ$29,0))/SUM($B$28:$GQ$28)*100,0)</f>
        <v/>
      </c>
      <c r="GE14" s="3">
        <f>IFERROR(INDEX($B$28:$GQ$28,MATCH(186,$B$29:$GQ$29,0))/SUM($B$28:$GQ$28)*100,0)</f>
        <v/>
      </c>
      <c r="GF14" s="3">
        <f>IFERROR(INDEX($B$28:$GQ$28,MATCH(187,$B$29:$GQ$29,0))/SUM($B$28:$GQ$28)*100,0)</f>
        <v/>
      </c>
      <c r="GG14" s="3">
        <f>IFERROR(INDEX($B$28:$GQ$28,MATCH(188,$B$29:$GQ$29,0))/SUM($B$28:$GQ$28)*100,0)</f>
        <v/>
      </c>
      <c r="GH14" s="3">
        <f>IFERROR(INDEX($B$28:$GQ$28,MATCH(189,$B$29:$GQ$29,0))/SUM($B$28:$GQ$28)*100,0)</f>
        <v/>
      </c>
      <c r="GI14" s="3">
        <f>IFERROR(INDEX($B$28:$GQ$28,MATCH(190,$B$29:$GQ$29,0))/SUM($B$28:$GQ$28)*100,0)</f>
        <v/>
      </c>
      <c r="GJ14" s="3">
        <f>IFERROR(INDEX($B$28:$GQ$28,MATCH(191,$B$29:$GQ$29,0))/SUM($B$28:$GQ$28)*100,0)</f>
        <v/>
      </c>
      <c r="GK14" s="3">
        <f>IFERROR(INDEX($B$28:$GQ$28,MATCH(192,$B$29:$GQ$29,0))/SUM($B$28:$GQ$28)*100,0)</f>
        <v/>
      </c>
      <c r="GL14" s="3">
        <f>IFERROR(INDEX($B$28:$GQ$28,MATCH(193,$B$29:$GQ$29,0))/SUM($B$28:$GQ$28)*100,0)</f>
        <v/>
      </c>
      <c r="GM14" s="3">
        <f>IFERROR(INDEX($B$28:$GQ$28,MATCH(194,$B$29:$GQ$29,0))/SUM($B$28:$GQ$28)*100,0)</f>
        <v/>
      </c>
      <c r="GN14" s="3">
        <f>IFERROR(INDEX($B$28:$GQ$28,MATCH(195,$B$29:$GQ$29,0))/SUM($B$28:$GQ$28)*100,0)</f>
        <v/>
      </c>
      <c r="GO14" s="3">
        <f>IFERROR(INDEX($B$28:$GQ$28,MATCH(196,$B$29:$GQ$29,0))/SUM($B$28:$GQ$28)*100,0)</f>
        <v/>
      </c>
      <c r="GP14" s="3">
        <f>IFERROR(INDEX($B$28:$GQ$28,MATCH(197,$B$29:$GQ$29,0))/SUM($B$28:$GQ$28)*100,0)</f>
        <v/>
      </c>
      <c r="GQ14" s="3">
        <f>IFERROR(INDEX($B$28:$GQ$28,MATCH(198,$B$29:$GQ$29,0))/SUM($B$28:$GQ$28)*100,0)</f>
        <v/>
      </c>
      <c r="GR14" s="3">
        <f>IFERROR(INDEX($GR$28:$HC$28,MATCH(1,$GR$30:$HC$30,0))/SUM($GR$28:$HC$28)*100,0)</f>
        <v/>
      </c>
      <c r="GS14" s="3">
        <f>IFERROR(INDEX($GR$28:$HC$28,MATCH(2,$GR$30:$HC$30,0))/SUM($GR$28:$HC$28)*100,0)</f>
        <v/>
      </c>
      <c r="GT14" s="3">
        <f>IFERROR(INDEX($GR$28:$HC$28,MATCH(3,$GR$30:$HC$30,0))/SUM($GR$28:$HC$28)*100,0)</f>
        <v/>
      </c>
      <c r="GU14" s="3">
        <f>IFERROR(INDEX($GR$28:$HC$28,MATCH(4,$GR$30:$HC$30,0))/SUM($GR$28:$HC$28)*100,0)</f>
        <v/>
      </c>
      <c r="GV14" s="3">
        <f>IFERROR(INDEX($GR$28:$HC$28,MATCH(5,$GR$30:$HC$30,0))/SUM($GR$28:$HC$28)*100,0)</f>
        <v/>
      </c>
      <c r="GW14" s="3">
        <f>IFERROR(INDEX($GR$28:$HC$28,MATCH(6,$GR$30:$HC$30,0))/SUM($GR$28:$HC$28)*100,0)</f>
        <v/>
      </c>
      <c r="GX14" s="3">
        <f>IFERROR(INDEX($GR$28:$HC$28,MATCH(7,$GR$30:$HC$30,0))/SUM($GR$28:$HC$28)*100,0)</f>
        <v/>
      </c>
      <c r="GY14" s="3">
        <f>IFERROR(INDEX($GR$28:$HC$28,MATCH(8,$GR$30:$HC$30,0))/SUM($GR$28:$HC$28)*100,0)</f>
        <v/>
      </c>
      <c r="GZ14" s="3">
        <f>IFERROR(INDEX($GR$28:$HC$28,MATCH(9,$GR$30:$HC$30,0))/SUM($GR$28:$HC$28)*100,0)</f>
        <v/>
      </c>
      <c r="HA14" s="3">
        <f>IFERROR(INDEX($GR$28:$HC$28,MATCH(10,$GR$30:$HC$30,0))/SUM($GR$28:$HC$28)*100,0)</f>
        <v/>
      </c>
      <c r="HB14" s="3">
        <f>IFERROR(INDEX($GR$28:$HC$28,MATCH(11,$GR$30:$HC$30,0))/SUM($GR$28:$HC$28)*100,0)</f>
        <v/>
      </c>
      <c r="HC14" s="3">
        <f>IFERROR(INDEX($GR$28:$HC$28,MATCH(12,$GR$30:$HC$30,0))/SUM($GR$28:$HC$28)*100,0)</f>
        <v/>
      </c>
    </row>
    <row r="16">
      <c r="A16" s="1" t="inlineStr">
        <is>
          <t>Données sources (ordre du bridge, non triées)</t>
        </is>
      </c>
    </row>
    <row r="17">
      <c r="A17" s="1" t="inlineStr">
        <is>
          <t>Raw material consumption</t>
        </is>
      </c>
      <c r="B17" s="1" t="inlineStr">
        <is>
          <t>Paddy rice</t>
        </is>
      </c>
      <c r="C17" s="1" t="inlineStr">
        <is>
          <t>Wheat</t>
        </is>
      </c>
      <c r="D17" s="1" t="inlineStr">
        <is>
          <t>Cereal grains nec</t>
        </is>
      </c>
      <c r="E17" s="1" t="inlineStr">
        <is>
          <t>Vegetables, fruit, nuts</t>
        </is>
      </c>
      <c r="F17" s="1" t="inlineStr">
        <is>
          <t>Oil seeds</t>
        </is>
      </c>
      <c r="G17" s="1" t="inlineStr">
        <is>
          <t>Sugar cane, sugar beet</t>
        </is>
      </c>
      <c r="H17" s="1" t="inlineStr">
        <is>
          <t>Plant-based fibers</t>
        </is>
      </c>
      <c r="I17" s="1" t="inlineStr">
        <is>
          <t>Crops nec</t>
        </is>
      </c>
      <c r="J17" s="1" t="inlineStr">
        <is>
          <t>Cattle</t>
        </is>
      </c>
      <c r="K17" s="1" t="inlineStr">
        <is>
          <t>Pigs</t>
        </is>
      </c>
      <c r="L17" s="1" t="inlineStr">
        <is>
          <t>Poultry</t>
        </is>
      </c>
      <c r="M17" s="1" t="inlineStr">
        <is>
          <t>Meat animals nec</t>
        </is>
      </c>
      <c r="N17" s="1" t="inlineStr">
        <is>
          <t>Animal products nec</t>
        </is>
      </c>
      <c r="O17" s="1" t="inlineStr">
        <is>
          <t>Raw milk</t>
        </is>
      </c>
      <c r="P17" s="1" t="inlineStr">
        <is>
          <t>Wool, silk-worm cocoons</t>
        </is>
      </c>
      <c r="Q17" s="1" t="inlineStr">
        <is>
          <t>Manure (conventional treatment)</t>
        </is>
      </c>
      <c r="R17" s="1" t="inlineStr">
        <is>
          <t>Manure (biogas treatment)</t>
        </is>
      </c>
      <c r="S17" s="1" t="inlineStr">
        <is>
          <t>Products of forestry, logging and related services (02)</t>
        </is>
      </c>
      <c r="T17" s="1" t="inlineStr">
        <is>
          <t>Fish and other fishing products; services incidental of fishing (05)</t>
        </is>
      </c>
      <c r="U17" s="1" t="inlineStr">
        <is>
          <t>Anthracite</t>
        </is>
      </c>
      <c r="V17" s="1" t="inlineStr">
        <is>
          <t>Coking Coal</t>
        </is>
      </c>
      <c r="W17" s="1" t="inlineStr">
        <is>
          <t>Other Bituminous Coal</t>
        </is>
      </c>
      <c r="X17" s="1" t="inlineStr">
        <is>
          <t>Sub-Bituminous Coal</t>
        </is>
      </c>
      <c r="Y17" s="1" t="inlineStr">
        <is>
          <t>Patent Fuel</t>
        </is>
      </c>
      <c r="Z17" s="1" t="inlineStr">
        <is>
          <t>Lignite/Brown Coal</t>
        </is>
      </c>
      <c r="AA17" s="1" t="inlineStr">
        <is>
          <t>BKB/Peat Briquettes</t>
        </is>
      </c>
      <c r="AB17" s="1" t="inlineStr">
        <is>
          <t>Peat</t>
        </is>
      </c>
      <c r="AC17" s="1" t="inlineStr">
        <is>
          <t>Crude petroleum and services related to crude oil extraction, excluding surveying</t>
        </is>
      </c>
      <c r="AD17" s="1" t="inlineStr">
        <is>
          <t>Natural gas and services related to natural gas extraction, excluding surveying</t>
        </is>
      </c>
      <c r="AE17" s="1" t="inlineStr">
        <is>
          <t>Natural Gas Liquids</t>
        </is>
      </c>
      <c r="AF17" s="1" t="inlineStr">
        <is>
          <t>Other Hydrocarbons</t>
        </is>
      </c>
      <c r="AG17" s="1" t="inlineStr">
        <is>
          <t>Uranium and thorium ores (12)</t>
        </is>
      </c>
      <c r="AH17" s="1" t="inlineStr">
        <is>
          <t>Iron ores</t>
        </is>
      </c>
      <c r="AI17" s="1" t="inlineStr">
        <is>
          <t>Copper ores and concentrates</t>
        </is>
      </c>
      <c r="AJ17" s="1" t="inlineStr">
        <is>
          <t>Nickel ores and concentrates</t>
        </is>
      </c>
      <c r="AK17" s="1" t="inlineStr">
        <is>
          <t>Aluminium ores and concentrates</t>
        </is>
      </c>
      <c r="AL17" s="1" t="inlineStr">
        <is>
          <t>Precious metal ores and concentrates</t>
        </is>
      </c>
      <c r="AM17" s="1" t="inlineStr">
        <is>
          <t>Lead, zinc and tin ores and concentrates</t>
        </is>
      </c>
      <c r="AN17" s="1" t="inlineStr">
        <is>
          <t>Other non-ferrous metal ores and concentrates</t>
        </is>
      </c>
      <c r="AO17" s="1" t="inlineStr">
        <is>
          <t>Stone</t>
        </is>
      </c>
      <c r="AP17" s="1" t="inlineStr">
        <is>
          <t>Sand and clay</t>
        </is>
      </c>
      <c r="AQ17" s="1" t="inlineStr">
        <is>
          <t>Chemical and fertilizer minerals, salt and other mining and quarrying products n.e.c.</t>
        </is>
      </c>
      <c r="AR17" s="1" t="inlineStr">
        <is>
          <t>Products of meat cattle</t>
        </is>
      </c>
      <c r="AS17" s="1" t="inlineStr">
        <is>
          <t>Products of meat pigs</t>
        </is>
      </c>
      <c r="AT17" s="1" t="inlineStr">
        <is>
          <t>Products of meat poultry</t>
        </is>
      </c>
      <c r="AU17" s="1" t="inlineStr">
        <is>
          <t>Meat products nec</t>
        </is>
      </c>
      <c r="AV17" s="1" t="inlineStr">
        <is>
          <t>products of Vegetable oils and fats</t>
        </is>
      </c>
      <c r="AW17" s="1" t="inlineStr">
        <is>
          <t>Dairy products</t>
        </is>
      </c>
      <c r="AX17" s="1" t="inlineStr">
        <is>
          <t>Processed rice</t>
        </is>
      </c>
      <c r="AY17" s="1" t="inlineStr">
        <is>
          <t>Sugar</t>
        </is>
      </c>
      <c r="AZ17" s="1" t="inlineStr">
        <is>
          <t>Food products nec</t>
        </is>
      </c>
      <c r="BA17" s="1" t="inlineStr">
        <is>
          <t>Beverages</t>
        </is>
      </c>
      <c r="BB17" s="1" t="inlineStr">
        <is>
          <t>Fish products</t>
        </is>
      </c>
      <c r="BC17" s="1" t="inlineStr">
        <is>
          <t>Tobacco products (16)</t>
        </is>
      </c>
      <c r="BD17" s="1" t="inlineStr">
        <is>
          <t>Textiles (17)</t>
        </is>
      </c>
      <c r="BE17" s="1" t="inlineStr">
        <is>
          <t>Wearing apparel; furs (18)</t>
        </is>
      </c>
      <c r="BF17" s="1" t="inlineStr">
        <is>
          <t>Leather and leather products (19)</t>
        </is>
      </c>
      <c r="BG17" s="1" t="inlineStr">
        <is>
          <t>Wood and products of wood and cork (except furniture); articles of straw and plaiting materials (20)</t>
        </is>
      </c>
      <c r="BH17" s="1" t="inlineStr">
        <is>
          <t>Wood material for treatment, Re-processing of secondary wood material into new wood material</t>
        </is>
      </c>
      <c r="BI17" s="1" t="inlineStr">
        <is>
          <t>Pulp</t>
        </is>
      </c>
      <c r="BJ17" s="1" t="inlineStr">
        <is>
          <t>Secondary paper for treatment, Re-processing of secondary paper into new pulp</t>
        </is>
      </c>
      <c r="BK17" s="1" t="inlineStr">
        <is>
          <t>Paper and paper products</t>
        </is>
      </c>
      <c r="BL17" s="1" t="inlineStr">
        <is>
          <t>Printed matter and recorded media (22)</t>
        </is>
      </c>
      <c r="BM17" s="1" t="inlineStr">
        <is>
          <t>Coke Oven Coke</t>
        </is>
      </c>
      <c r="BN17" s="1" t="inlineStr">
        <is>
          <t>Gas Coke</t>
        </is>
      </c>
      <c r="BO17" s="1" t="inlineStr">
        <is>
          <t>Coal Tar</t>
        </is>
      </c>
      <c r="BP17" s="1" t="inlineStr">
        <is>
          <t>Motor Gasoline</t>
        </is>
      </c>
      <c r="BQ17" s="1" t="inlineStr">
        <is>
          <t>Aviation Gasoline</t>
        </is>
      </c>
      <c r="BR17" s="1" t="inlineStr">
        <is>
          <t>Gasoline Type Jet Fuel</t>
        </is>
      </c>
      <c r="BS17" s="1" t="inlineStr">
        <is>
          <t>Kerosene Type Jet Fuel</t>
        </is>
      </c>
      <c r="BT17" s="1" t="inlineStr">
        <is>
          <t>Kerosene</t>
        </is>
      </c>
      <c r="BU17" s="1" t="inlineStr">
        <is>
          <t>Gas/Diesel Oil</t>
        </is>
      </c>
      <c r="BV17" s="1" t="inlineStr">
        <is>
          <t>Heavy Fuel Oil</t>
        </is>
      </c>
      <c r="BW17" s="1" t="inlineStr">
        <is>
          <t>Refinery Gas</t>
        </is>
      </c>
      <c r="BX17" s="1" t="inlineStr">
        <is>
          <t>Liquefied Petroleum Gases (LPG)</t>
        </is>
      </c>
      <c r="BY17" s="1" t="inlineStr">
        <is>
          <t>Refinery Feedstocks</t>
        </is>
      </c>
      <c r="BZ17" s="1" t="inlineStr">
        <is>
          <t>Ethane</t>
        </is>
      </c>
      <c r="CA17" s="1" t="inlineStr">
        <is>
          <t>Naphtha</t>
        </is>
      </c>
      <c r="CB17" s="1" t="inlineStr">
        <is>
          <t>White Spirit &amp; SBP</t>
        </is>
      </c>
      <c r="CC17" s="1" t="inlineStr">
        <is>
          <t>Lubricants</t>
        </is>
      </c>
      <c r="CD17" s="1" t="inlineStr">
        <is>
          <t>Bitumen</t>
        </is>
      </c>
      <c r="CE17" s="1" t="inlineStr">
        <is>
          <t>Paraffin Waxes</t>
        </is>
      </c>
      <c r="CF17" s="1" t="inlineStr">
        <is>
          <t>Petroleum Coke</t>
        </is>
      </c>
      <c r="CG17" s="1" t="inlineStr">
        <is>
          <t>Non-specified Petroleum Products</t>
        </is>
      </c>
      <c r="CH17" s="1" t="inlineStr">
        <is>
          <t>Nuclear fuel</t>
        </is>
      </c>
      <c r="CI17" s="1" t="inlineStr">
        <is>
          <t>Plastics, basic</t>
        </is>
      </c>
      <c r="CJ17" s="1" t="inlineStr">
        <is>
          <t>Secondary plastic for treatment, Re-processing of secondary plastic into new plastic</t>
        </is>
      </c>
      <c r="CK17" s="1" t="inlineStr">
        <is>
          <t>N-fertiliser</t>
        </is>
      </c>
      <c r="CL17" s="1" t="inlineStr">
        <is>
          <t>P- and other fertiliser</t>
        </is>
      </c>
      <c r="CM17" s="1" t="inlineStr">
        <is>
          <t>Chemicals nec</t>
        </is>
      </c>
      <c r="CN17" s="1" t="inlineStr">
        <is>
          <t>Charcoal</t>
        </is>
      </c>
      <c r="CO17" s="1" t="inlineStr">
        <is>
          <t>Additives/Blending Components</t>
        </is>
      </c>
      <c r="CP17" s="1" t="inlineStr">
        <is>
          <t>Biogasoline</t>
        </is>
      </c>
      <c r="CQ17" s="1" t="inlineStr">
        <is>
          <t>Biodiesels</t>
        </is>
      </c>
      <c r="CR17" s="1" t="inlineStr">
        <is>
          <t>Other Liquid Biofuels</t>
        </is>
      </c>
      <c r="CS17" s="1" t="inlineStr">
        <is>
          <t>Glass and glass products</t>
        </is>
      </c>
      <c r="CT17" s="1" t="inlineStr">
        <is>
          <t>Secondary glass for treatment, Re-processing of secondary glass into new glass</t>
        </is>
      </c>
      <c r="CU17" s="1" t="inlineStr">
        <is>
          <t>Ceramic goods</t>
        </is>
      </c>
      <c r="CV17" s="1" t="inlineStr">
        <is>
          <t>Bricks, tiles and construction products, in baked clay</t>
        </is>
      </c>
      <c r="CW17" s="1" t="inlineStr">
        <is>
          <t>Cement, lime and plaster</t>
        </is>
      </c>
      <c r="CX17" s="1" t="inlineStr">
        <is>
          <t>Ash for treatment, Re-processing of ash into clinker</t>
        </is>
      </c>
      <c r="CY17" s="1" t="inlineStr">
        <is>
          <t>Other non-metallic mineral products</t>
        </is>
      </c>
      <c r="CZ17" s="1" t="inlineStr">
        <is>
          <t>Basic iron and steel and of ferro-alloys and first products thereof</t>
        </is>
      </c>
      <c r="DA17" s="1" t="inlineStr">
        <is>
          <t>Secondary steel for treatment, Re-processing of secondary steel into new steel</t>
        </is>
      </c>
      <c r="DB17" s="1" t="inlineStr">
        <is>
          <t>Precious metals</t>
        </is>
      </c>
      <c r="DC17" s="1" t="inlineStr">
        <is>
          <t>Secondary preciuos metals for treatment, Re-processing of secondary preciuos metals into new preciuos metals</t>
        </is>
      </c>
      <c r="DD17" s="1" t="inlineStr">
        <is>
          <t>Aluminium and aluminium products</t>
        </is>
      </c>
      <c r="DE17" s="1" t="inlineStr">
        <is>
          <t>Secondary aluminium for treatment, Re-processing of secondary aluminium into new aluminium</t>
        </is>
      </c>
      <c r="DF17" s="1" t="inlineStr">
        <is>
          <t>Lead, zinc and tin and products thereof</t>
        </is>
      </c>
      <c r="DG17" s="1" t="inlineStr">
        <is>
          <t>Secondary lead for treatment, Re-processing of secondary lead into new lead</t>
        </is>
      </c>
      <c r="DH17" s="1" t="inlineStr">
        <is>
          <t>Copper products</t>
        </is>
      </c>
      <c r="DI17" s="1" t="inlineStr">
        <is>
          <t>Secondary copper for treatment, Re-processing of secondary copper into new copper</t>
        </is>
      </c>
      <c r="DJ17" s="1" t="inlineStr">
        <is>
          <t>Other non-ferrous metal products</t>
        </is>
      </c>
      <c r="DK17" s="1" t="inlineStr">
        <is>
          <t>Secondary other non-ferrous metals for treatment, Re-processing of secondary other non-ferrous metals into new other non-ferrous metals</t>
        </is>
      </c>
      <c r="DL17" s="1" t="inlineStr">
        <is>
          <t>Foundry work services</t>
        </is>
      </c>
      <c r="DM17" s="1" t="inlineStr">
        <is>
          <t>Fabricated metal products, except machinery and equipment (28)</t>
        </is>
      </c>
      <c r="DN17" s="1" t="inlineStr">
        <is>
          <t>Machinery and equipment n.e.c. (29)</t>
        </is>
      </c>
      <c r="DO17" s="1" t="inlineStr">
        <is>
          <t>Office machinery and computers (30)</t>
        </is>
      </c>
      <c r="DP17" s="1" t="inlineStr">
        <is>
          <t>Electrical machinery and apparatus n.e.c. (31)</t>
        </is>
      </c>
      <c r="DQ17" s="1" t="inlineStr">
        <is>
          <t>Radio, television and communication equipment and apparatus (32)</t>
        </is>
      </c>
      <c r="DR17" s="1" t="inlineStr">
        <is>
          <t>Medical, precision and optical instruments, watches and clocks (33)</t>
        </is>
      </c>
      <c r="DS17" s="1" t="inlineStr">
        <is>
          <t>Motor vehicles, trailers and semi-trailers (34)</t>
        </is>
      </c>
      <c r="DT17" s="1" t="inlineStr">
        <is>
          <t>Other transport equipment (35)</t>
        </is>
      </c>
      <c r="DU17" s="1" t="inlineStr">
        <is>
          <t>Furniture; other manufactured goods n.e.c. (36)</t>
        </is>
      </c>
      <c r="DV17" s="1" t="inlineStr">
        <is>
          <t>Secondary raw materials</t>
        </is>
      </c>
      <c r="DW17" s="1" t="inlineStr">
        <is>
          <t>Bottles for treatment, Recycling of bottles by direct reuse</t>
        </is>
      </c>
      <c r="DX17" s="1" t="inlineStr">
        <is>
          <t>Electricity by coal</t>
        </is>
      </c>
      <c r="DY17" s="1" t="inlineStr">
        <is>
          <t>Electricity by gas</t>
        </is>
      </c>
      <c r="DZ17" s="1" t="inlineStr">
        <is>
          <t>Electricity by nuclear</t>
        </is>
      </c>
      <c r="EA17" s="1" t="inlineStr">
        <is>
          <t>Electricity by hydro</t>
        </is>
      </c>
      <c r="EB17" s="1" t="inlineStr">
        <is>
          <t>Electricity by wind</t>
        </is>
      </c>
      <c r="EC17" s="1" t="inlineStr">
        <is>
          <t>Electricity by petroleum and other oil derivatives</t>
        </is>
      </c>
      <c r="ED17" s="1" t="inlineStr">
        <is>
          <t>Electricity by biomass and waste</t>
        </is>
      </c>
      <c r="EE17" s="1" t="inlineStr">
        <is>
          <t>Electricity by solar photovoltaic</t>
        </is>
      </c>
      <c r="EF17" s="1" t="inlineStr">
        <is>
          <t>Electricity by solar thermal</t>
        </is>
      </c>
      <c r="EG17" s="1" t="inlineStr">
        <is>
          <t>Electricity by tide, wave, ocean</t>
        </is>
      </c>
      <c r="EH17" s="1" t="inlineStr">
        <is>
          <t>Electricity by Geothermal</t>
        </is>
      </c>
      <c r="EI17" s="1" t="inlineStr">
        <is>
          <t>Electricity nec</t>
        </is>
      </c>
      <c r="EJ17" s="1" t="inlineStr">
        <is>
          <t>Transmission services of electricity</t>
        </is>
      </c>
      <c r="EK17" s="1" t="inlineStr">
        <is>
          <t>Distribution and trade services of electricity</t>
        </is>
      </c>
      <c r="EL17" s="1" t="inlineStr">
        <is>
          <t>Coke oven gas</t>
        </is>
      </c>
      <c r="EM17" s="1" t="inlineStr">
        <is>
          <t>Blast Furnace Gas</t>
        </is>
      </c>
      <c r="EN17" s="1" t="inlineStr">
        <is>
          <t>Oxygen Steel Furnace Gas</t>
        </is>
      </c>
      <c r="EO17" s="1" t="inlineStr">
        <is>
          <t>Gas Works Gas</t>
        </is>
      </c>
      <c r="EP17" s="1" t="inlineStr">
        <is>
          <t>Biogas</t>
        </is>
      </c>
      <c r="EQ17" s="1" t="inlineStr">
        <is>
          <t>Distribution services of gaseous fuels through mains</t>
        </is>
      </c>
      <c r="ER17" s="1" t="inlineStr">
        <is>
          <t>Steam and hot water supply services</t>
        </is>
      </c>
      <c r="ES17" s="1" t="inlineStr">
        <is>
          <t>Collected and purified water, distribution services of water (41)</t>
        </is>
      </c>
      <c r="ET17" s="1" t="inlineStr">
        <is>
          <t>Construction work (45)</t>
        </is>
      </c>
      <c r="EU17" s="1" t="inlineStr">
        <is>
          <t>Secondary construction material for treatment, Re-processing of secondary construction material into aggregates</t>
        </is>
      </c>
      <c r="EV17" s="1" t="inlineStr">
        <is>
          <t>Sale, maintenance, repair of motor vehicles, motor vehicles parts, motorcycles, motor cycles parts and accessoiries</t>
        </is>
      </c>
      <c r="EW17" s="1" t="inlineStr">
        <is>
          <t>Retail trade services of motor fuel</t>
        </is>
      </c>
      <c r="EX17" s="1" t="inlineStr">
        <is>
          <t>Wholesale trade and commission trade services, except of motor vehicles and motorcycles (51)</t>
        </is>
      </c>
      <c r="EY17" s="1" t="inlineStr">
        <is>
          <t>Retail  trade services, except of motor vehicles and motorcycles; repair services of personal and household goods (52)</t>
        </is>
      </c>
      <c r="EZ17" s="1" t="inlineStr">
        <is>
          <t>Hotel and restaurant services (55)</t>
        </is>
      </c>
      <c r="FA17" s="1" t="inlineStr">
        <is>
          <t>Railway transportation services</t>
        </is>
      </c>
      <c r="FB17" s="1" t="inlineStr">
        <is>
          <t>Other land transportation services</t>
        </is>
      </c>
      <c r="FC17" s="1" t="inlineStr">
        <is>
          <t>Transportation services via pipelines</t>
        </is>
      </c>
      <c r="FD17" s="1" t="inlineStr">
        <is>
          <t>Sea and coastal water transportation services</t>
        </is>
      </c>
      <c r="FE17" s="1" t="inlineStr">
        <is>
          <t>Inland water transportation services</t>
        </is>
      </c>
      <c r="FF17" s="1" t="inlineStr">
        <is>
          <t>Air transport services (62)</t>
        </is>
      </c>
      <c r="FG17" s="1" t="inlineStr">
        <is>
          <t>Supporting and auxiliary transport services; travel agency services (63)</t>
        </is>
      </c>
      <c r="FH17" s="1" t="inlineStr">
        <is>
          <t>Post and telecommunication services (64)</t>
        </is>
      </c>
      <c r="FI17" s="1" t="inlineStr">
        <is>
          <t>Financial intermediation services, except insurance and pension funding services (65)</t>
        </is>
      </c>
      <c r="FJ17" s="1" t="inlineStr">
        <is>
          <t>Insurance and pension funding services, except compulsory social security services (66)</t>
        </is>
      </c>
      <c r="FK17" s="1" t="inlineStr">
        <is>
          <t>Services auxiliary to financial intermediation (67)</t>
        </is>
      </c>
      <c r="FL17" s="1" t="inlineStr">
        <is>
          <t>Real estate services (70)</t>
        </is>
      </c>
      <c r="FM17" s="1" t="inlineStr">
        <is>
          <t>Renting services of machinery and equipment without operator and of personal and household goods (71)</t>
        </is>
      </c>
      <c r="FN17" s="1" t="inlineStr">
        <is>
          <t>Computer and related services (72)</t>
        </is>
      </c>
      <c r="FO17" s="1" t="inlineStr">
        <is>
          <t>Research and development services (73)</t>
        </is>
      </c>
      <c r="FP17" s="1" t="inlineStr">
        <is>
          <t>Other business services (74)</t>
        </is>
      </c>
      <c r="FQ17" s="1" t="inlineStr">
        <is>
          <t>Public administration and defence services; compulsory social security services (75)</t>
        </is>
      </c>
      <c r="FR17" s="1" t="inlineStr">
        <is>
          <t>Education services (80)</t>
        </is>
      </c>
      <c r="FS17" s="1" t="inlineStr">
        <is>
          <t>Health and social work services (85)</t>
        </is>
      </c>
      <c r="FT17" s="1" t="inlineStr">
        <is>
          <t>Food waste for treatment: incineration</t>
        </is>
      </c>
      <c r="FU17" s="1" t="inlineStr">
        <is>
          <t>Paper waste for treatment: incineration</t>
        </is>
      </c>
      <c r="FV17" s="1" t="inlineStr">
        <is>
          <t>Plastic waste for treatment: incineration</t>
        </is>
      </c>
      <c r="FW17" s="1" t="inlineStr">
        <is>
          <t>Intert/metal waste for treatment: incineration</t>
        </is>
      </c>
      <c r="FX17" s="1" t="inlineStr">
        <is>
          <t>Textiles waste for treatment: incineration</t>
        </is>
      </c>
      <c r="FY17" s="1" t="inlineStr">
        <is>
          <t>Wood waste for treatment: incineration</t>
        </is>
      </c>
      <c r="FZ17" s="1" t="inlineStr">
        <is>
          <t>Oil/hazardous waste for treatment: incineration</t>
        </is>
      </c>
      <c r="GA17" s="1" t="inlineStr">
        <is>
          <t>Food waste for treatment: biogasification and land application</t>
        </is>
      </c>
      <c r="GB17" s="1" t="inlineStr">
        <is>
          <t>Paper waste for treatment: biogasification and land application</t>
        </is>
      </c>
      <c r="GC17" s="1" t="inlineStr">
        <is>
          <t>Sewage sludge for treatment: biogasification and land application</t>
        </is>
      </c>
      <c r="GD17" s="1" t="inlineStr">
        <is>
          <t>Food waste for treatment: composting and land application</t>
        </is>
      </c>
      <c r="GE17" s="1" t="inlineStr">
        <is>
          <t>Paper and wood waste for treatment: composting and land application</t>
        </is>
      </c>
      <c r="GF17" s="1" t="inlineStr">
        <is>
          <t>Food waste for treatment: waste water treatment</t>
        </is>
      </c>
      <c r="GG17" s="1" t="inlineStr">
        <is>
          <t>Other waste for treatment: waste water treatment</t>
        </is>
      </c>
      <c r="GH17" s="1" t="inlineStr">
        <is>
          <t>Food waste for treatment: landfill</t>
        </is>
      </c>
      <c r="GI17" s="1" t="inlineStr">
        <is>
          <t>Paper for treatment: landfill</t>
        </is>
      </c>
      <c r="GJ17" s="1" t="inlineStr">
        <is>
          <t>Plastic waste for treatment: landfill</t>
        </is>
      </c>
      <c r="GK17" s="1" t="inlineStr">
        <is>
          <t>Inert/metal/hazardous waste for treatment: landfill</t>
        </is>
      </c>
      <c r="GL17" s="1" t="inlineStr">
        <is>
          <t>Textiles waste for treatment: landfill</t>
        </is>
      </c>
      <c r="GM17" s="1" t="inlineStr">
        <is>
          <t>Wood waste for treatment: landfill</t>
        </is>
      </c>
      <c r="GN17" s="1" t="inlineStr">
        <is>
          <t>Membership organisation services n.e.c. (91)</t>
        </is>
      </c>
      <c r="GO17" s="1" t="inlineStr">
        <is>
          <t>Recreational, cultural and sporting services (92)</t>
        </is>
      </c>
      <c r="GP17" s="1" t="inlineStr">
        <is>
          <t>Other services (93)</t>
        </is>
      </c>
      <c r="GQ17" s="1" t="inlineStr">
        <is>
          <t>Extra-territorial organizations and bodies</t>
        </is>
      </c>
      <c r="GR17" s="1" t="inlineStr">
        <is>
          <t>Vegetables, fruits, nuts</t>
        </is>
      </c>
      <c r="GS17" s="1" t="inlineStr">
        <is>
          <t>Cattle</t>
        </is>
      </c>
      <c r="GT17" s="1" t="inlineStr">
        <is>
          <t>Meat nec</t>
        </is>
      </c>
      <c r="GU17" s="1" t="inlineStr">
        <is>
          <t>Animal nec</t>
        </is>
      </c>
      <c r="GV17" s="1" t="inlineStr">
        <is>
          <t>Dairy products</t>
        </is>
      </c>
      <c r="GW17" s="1" t="inlineStr">
        <is>
          <t>Food nec</t>
        </is>
      </c>
      <c r="GX17" s="1" t="inlineStr">
        <is>
          <t>Housing</t>
        </is>
      </c>
      <c r="GY17" s="1" t="inlineStr">
        <is>
          <t>Mobility</t>
        </is>
      </c>
      <c r="GZ17" s="1" t="inlineStr">
        <is>
          <t>Textiles</t>
        </is>
      </c>
      <c r="HA17" s="1" t="inlineStr">
        <is>
          <t>Final goods nec</t>
        </is>
      </c>
      <c r="HB17" s="1" t="inlineStr">
        <is>
          <t>Hotel &amp; restaurant</t>
        </is>
      </c>
      <c r="HC17" s="1" t="inlineStr">
        <is>
          <t>Final services</t>
        </is>
      </c>
    </row>
    <row r="18">
      <c r="A18" s="1" t="inlineStr">
        <is>
          <t>M_imp</t>
        </is>
      </c>
      <c r="B18" t="n">
        <v>0.2973474829707256</v>
      </c>
      <c r="C18" t="n">
        <v>0.2245046773048884</v>
      </c>
      <c r="D18" t="n">
        <v>0.1390453518378175</v>
      </c>
      <c r="E18" t="n">
        <v>0.4486687876113815</v>
      </c>
      <c r="F18" t="n">
        <v>0.3733711426366901</v>
      </c>
      <c r="G18" t="n">
        <v>0.01880975175143735</v>
      </c>
      <c r="H18" t="n">
        <v>0.1426946589830186</v>
      </c>
      <c r="I18" t="n">
        <v>0.02695389741939256</v>
      </c>
      <c r="J18" t="n">
        <v>0.6515107106869376</v>
      </c>
      <c r="K18" t="n">
        <v>0.5806701211420473</v>
      </c>
      <c r="L18" t="n">
        <v>0.5373559835230437</v>
      </c>
      <c r="M18" t="n">
        <v>0.501707311266077</v>
      </c>
      <c r="N18" t="n">
        <v>0.6289142023092109</v>
      </c>
      <c r="O18" t="n">
        <v>0.742428153393154</v>
      </c>
      <c r="P18" t="n">
        <v>11.04027504343863</v>
      </c>
      <c r="Q18" t="n">
        <v>0</v>
      </c>
      <c r="R18" t="n">
        <v>0</v>
      </c>
      <c r="S18" t="n">
        <v>0.3653464300105972</v>
      </c>
      <c r="T18" t="n">
        <v>3.323828486958562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0.6476913123193979</v>
      </c>
      <c r="AD18" t="n">
        <v>33.55257001022461</v>
      </c>
      <c r="AE18" t="n">
        <v>0.1655708801381248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0.08923637438777608</v>
      </c>
      <c r="AO18" t="n">
        <v>0.2662650444578114</v>
      </c>
      <c r="AP18" t="n">
        <v>0.006022255696711242</v>
      </c>
      <c r="AQ18" t="n">
        <v>0.05137542731575912</v>
      </c>
      <c r="AR18" t="n">
        <v>0.601917187042841</v>
      </c>
      <c r="AS18" t="n">
        <v>0.3346933294044746</v>
      </c>
      <c r="AT18" t="n">
        <v>0.4331648098514146</v>
      </c>
      <c r="AU18" t="n">
        <v>0.557757803072905</v>
      </c>
      <c r="AV18" t="n">
        <v>0.2686453887291997</v>
      </c>
      <c r="AW18" t="n">
        <v>0.5309417034771213</v>
      </c>
      <c r="AX18" t="n">
        <v>0.1170329289752488</v>
      </c>
      <c r="AY18" t="n">
        <v>0.2561292638699308</v>
      </c>
      <c r="AZ18" t="n">
        <v>0.483002874492333</v>
      </c>
      <c r="BA18" t="n">
        <v>0.4955266465436621</v>
      </c>
      <c r="BB18" t="n">
        <v>0.5380106625815866</v>
      </c>
      <c r="BC18" t="n">
        <v>0.3130776116281662</v>
      </c>
      <c r="BD18" t="n">
        <v>0.4177410287205721</v>
      </c>
      <c r="BE18" t="n">
        <v>0.3157028317213152</v>
      </c>
      <c r="BF18" t="n">
        <v>0.4030503642273973</v>
      </c>
      <c r="BG18" t="n">
        <v>0.7565647054366283</v>
      </c>
      <c r="BH18" t="n">
        <v>0.3761629641709109</v>
      </c>
      <c r="BI18" t="n">
        <v>0.4027566918400423</v>
      </c>
      <c r="BJ18" t="n">
        <v>0.5800300203225492</v>
      </c>
      <c r="BK18" t="n">
        <v>0.6726528683649378</v>
      </c>
      <c r="BL18" t="n">
        <v>0.2356983598477255</v>
      </c>
      <c r="BM18" t="n">
        <v>0.9114480916228501</v>
      </c>
      <c r="BN18" t="n">
        <v>0</v>
      </c>
      <c r="BO18" t="n">
        <v>20.43522814700318</v>
      </c>
      <c r="BP18" t="n">
        <v>3.927581570863353</v>
      </c>
      <c r="BQ18" t="n">
        <v>0</v>
      </c>
      <c r="BR18" t="n">
        <v>0</v>
      </c>
      <c r="BS18" t="n">
        <v>1.012312229811118</v>
      </c>
      <c r="BT18" t="n">
        <v>0</v>
      </c>
      <c r="BU18" t="n">
        <v>1.751370725936988</v>
      </c>
      <c r="BV18" t="n">
        <v>0.6043477298428542</v>
      </c>
      <c r="BW18" t="n">
        <v>0.005154984508307936</v>
      </c>
      <c r="BX18" t="n">
        <v>1.026130629385106</v>
      </c>
      <c r="BY18" t="n">
        <v>0.9839492621378775</v>
      </c>
      <c r="BZ18" t="n">
        <v>0</v>
      </c>
      <c r="CA18" t="n">
        <v>0.5405051927277054</v>
      </c>
      <c r="CB18" t="n">
        <v>1.106148782217016</v>
      </c>
      <c r="CC18" t="n">
        <v>1.869703268744002</v>
      </c>
      <c r="CD18" t="n">
        <v>0.2045123991049594</v>
      </c>
      <c r="CE18" t="n">
        <v>0.2278591887377099</v>
      </c>
      <c r="CF18" t="n">
        <v>0.3427924706478299</v>
      </c>
      <c r="CG18" t="n">
        <v>0.2181575621018213</v>
      </c>
      <c r="CH18" t="n">
        <v>0.001690361199363819</v>
      </c>
      <c r="CI18" t="n">
        <v>0.659115115815619</v>
      </c>
      <c r="CJ18" t="n">
        <v>0.5102008336239672</v>
      </c>
      <c r="CK18" t="n">
        <v>0.3558887202520635</v>
      </c>
      <c r="CL18" t="n">
        <v>0.4907219959479281</v>
      </c>
      <c r="CM18" t="n">
        <v>1.32245573376398</v>
      </c>
      <c r="CN18" t="n">
        <v>0</v>
      </c>
      <c r="CO18" t="n">
        <v>0.2862169776448209</v>
      </c>
      <c r="CP18" t="n">
        <v>0.5414228277062978</v>
      </c>
      <c r="CQ18" t="n">
        <v>0.2245762764158384</v>
      </c>
      <c r="CR18" t="n">
        <v>0</v>
      </c>
      <c r="CS18" t="n">
        <v>0.5182696830113964</v>
      </c>
      <c r="CT18" t="n">
        <v>0.3365014363939372</v>
      </c>
      <c r="CU18" t="n">
        <v>0.8634284699688317</v>
      </c>
      <c r="CV18" t="n">
        <v>0.9237793857971577</v>
      </c>
      <c r="CW18" t="n">
        <v>1.194519146803022</v>
      </c>
      <c r="CX18" t="n">
        <v>1.046491091590939</v>
      </c>
      <c r="CY18" t="n">
        <v>0.5200072186541382</v>
      </c>
      <c r="CZ18" t="n">
        <v>0.5800105707303742</v>
      </c>
      <c r="DA18" t="n">
        <v>0.3711820103632801</v>
      </c>
      <c r="DB18" t="n">
        <v>0.7361054134449293</v>
      </c>
      <c r="DC18" t="n">
        <v>0</v>
      </c>
      <c r="DD18" t="n">
        <v>0.8059921848310232</v>
      </c>
      <c r="DE18" t="n">
        <v>0.6948536505190174</v>
      </c>
      <c r="DF18" t="n">
        <v>1.394349003468429</v>
      </c>
      <c r="DG18" t="n">
        <v>1.105733471437598</v>
      </c>
      <c r="DH18" t="n">
        <v>1.59483003653092</v>
      </c>
      <c r="DI18" t="n">
        <v>0</v>
      </c>
      <c r="DJ18" t="n">
        <v>0.5959103011371364</v>
      </c>
      <c r="DK18" t="n">
        <v>0</v>
      </c>
      <c r="DL18" t="n">
        <v>0.6512545592509771</v>
      </c>
      <c r="DM18" t="n">
        <v>0.4567340581481928</v>
      </c>
      <c r="DN18" t="n">
        <v>0.3743310211439541</v>
      </c>
      <c r="DO18" t="n">
        <v>0.3018688726036025</v>
      </c>
      <c r="DP18" t="n">
        <v>0.4403163304150514</v>
      </c>
      <c r="DQ18" t="n">
        <v>0.338685102910903</v>
      </c>
      <c r="DR18" t="n">
        <v>0.3452883352169426</v>
      </c>
      <c r="DS18" t="n">
        <v>0.4304354815881609</v>
      </c>
      <c r="DT18" t="n">
        <v>0.3901200440865669</v>
      </c>
      <c r="DU18" t="n">
        <v>0.3584005021394961</v>
      </c>
      <c r="DV18" t="n">
        <v>0</v>
      </c>
      <c r="DW18" t="n">
        <v>0</v>
      </c>
      <c r="DX18" t="n">
        <v>7.438668441267424</v>
      </c>
      <c r="DY18" t="n">
        <v>0.5886083437258718</v>
      </c>
      <c r="DZ18" t="n">
        <v>0.3358392999762375</v>
      </c>
      <c r="EA18" t="n">
        <v>0.3972396880597378</v>
      </c>
      <c r="EB18" t="n">
        <v>0.1949141099437523</v>
      </c>
      <c r="EC18" t="n">
        <v>2.064867806513844</v>
      </c>
      <c r="ED18" t="n">
        <v>0.3577558976119405</v>
      </c>
      <c r="EE18" t="n">
        <v>0.04323134516404045</v>
      </c>
      <c r="EF18" t="n">
        <v>0</v>
      </c>
      <c r="EG18" t="n">
        <v>0.4786654020832131</v>
      </c>
      <c r="EH18" t="n">
        <v>0</v>
      </c>
      <c r="EI18" t="n">
        <v>0</v>
      </c>
      <c r="EJ18" t="n">
        <v>0.1509762181094305</v>
      </c>
      <c r="EK18" t="n">
        <v>0.1385132668316094</v>
      </c>
      <c r="EL18" t="n">
        <v>0.0501972873564876</v>
      </c>
      <c r="EM18" t="n">
        <v>0.1029791046692679</v>
      </c>
      <c r="EN18" t="n">
        <v>6.259883525238097e-09</v>
      </c>
      <c r="EO18" t="n">
        <v>0</v>
      </c>
      <c r="EP18" t="n">
        <v>0.2135972856606255</v>
      </c>
      <c r="EQ18" t="n">
        <v>0.4606218992401191</v>
      </c>
      <c r="ER18" t="n">
        <v>2.730276621011396</v>
      </c>
      <c r="ES18" t="n">
        <v>0.2335540375512026</v>
      </c>
      <c r="ET18" t="n">
        <v>0.4549409092407383</v>
      </c>
      <c r="EU18" t="n">
        <v>0</v>
      </c>
      <c r="EV18" t="n">
        <v>0.09529348188593936</v>
      </c>
      <c r="EW18" t="n">
        <v>0.1635646177000228</v>
      </c>
      <c r="EX18" t="n">
        <v>0.1187892740197261</v>
      </c>
      <c r="EY18" t="n">
        <v>0.133856624266193</v>
      </c>
      <c r="EZ18" t="n">
        <v>0.1456871234834922</v>
      </c>
      <c r="FA18" t="n">
        <v>0.4073024776679174</v>
      </c>
      <c r="FB18" t="n">
        <v>0.3257203707387419</v>
      </c>
      <c r="FC18" t="n">
        <v>1.080505697848998</v>
      </c>
      <c r="FD18" t="n">
        <v>1.263825411991545</v>
      </c>
      <c r="FE18" t="n">
        <v>4.787210673446301</v>
      </c>
      <c r="FF18" t="n">
        <v>0.8146718755141502</v>
      </c>
      <c r="FG18" t="n">
        <v>0.2362502341395064</v>
      </c>
      <c r="FH18" t="n">
        <v>0.1351141003530945</v>
      </c>
      <c r="FI18" t="n">
        <v>0.194407932289228</v>
      </c>
      <c r="FJ18" t="n">
        <v>0.1907350365211893</v>
      </c>
      <c r="FK18" t="n">
        <v>0.2519824289879223</v>
      </c>
      <c r="FL18" t="n">
        <v>0.2622024799046456</v>
      </c>
      <c r="FM18" t="n">
        <v>0.1600622510344699</v>
      </c>
      <c r="FN18" t="n">
        <v>0.1458070183418465</v>
      </c>
      <c r="FO18" t="n">
        <v>0.650773628718859</v>
      </c>
      <c r="FP18" t="n">
        <v>0.1345199078724837</v>
      </c>
      <c r="FQ18" t="n">
        <v>0.2256237933597236</v>
      </c>
      <c r="FR18" t="n">
        <v>0.1174399740413197</v>
      </c>
      <c r="FS18" t="n">
        <v>0.1254768953737079</v>
      </c>
      <c r="FT18" t="n">
        <v>0.2000384681814873</v>
      </c>
      <c r="FU18" t="n">
        <v>0.2010333808241073</v>
      </c>
      <c r="FV18" t="n">
        <v>0.2085875325050806</v>
      </c>
      <c r="FW18" t="n">
        <v>0.2072176614648409</v>
      </c>
      <c r="FX18" t="n">
        <v>0.1987916812407441</v>
      </c>
      <c r="FY18" t="n">
        <v>0.2032042083417627</v>
      </c>
      <c r="FZ18" t="n">
        <v>0.1951982178385985</v>
      </c>
      <c r="GA18" t="n">
        <v>0.1713398183425417</v>
      </c>
      <c r="GB18" t="n">
        <v>0.1671966730459677</v>
      </c>
      <c r="GC18" t="n">
        <v>0.1944034236198449</v>
      </c>
      <c r="GD18" t="n">
        <v>0.2082590334741207</v>
      </c>
      <c r="GE18" t="n">
        <v>0.5005232992486357</v>
      </c>
      <c r="GF18" t="n">
        <v>0.2236872379849007</v>
      </c>
      <c r="GG18" t="n">
        <v>0.2304710287741416</v>
      </c>
      <c r="GH18" t="n">
        <v>0.2147371011995821</v>
      </c>
      <c r="GI18" t="n">
        <v>0.205301060992882</v>
      </c>
      <c r="GJ18" t="n">
        <v>0.2098349011852758</v>
      </c>
      <c r="GK18" t="n">
        <v>0.1947824394582882</v>
      </c>
      <c r="GL18" t="n">
        <v>0.1937838716445308</v>
      </c>
      <c r="GM18" t="n">
        <v>0.1914466884174286</v>
      </c>
      <c r="GN18" t="n">
        <v>0.1600292761289907</v>
      </c>
      <c r="GO18" t="n">
        <v>0.2469208727694955</v>
      </c>
      <c r="GP18" t="n">
        <v>0.1343289069673216</v>
      </c>
      <c r="GQ18" t="n">
        <v>0</v>
      </c>
      <c r="GR18" t="n">
        <v>0.4481978929195456</v>
      </c>
      <c r="GS18" t="n">
        <v>0.601917187042841</v>
      </c>
      <c r="GT18" t="n">
        <v>0.5050369698944926</v>
      </c>
      <c r="GU18" t="n">
        <v>0.6066945874595436</v>
      </c>
      <c r="GV18" t="n">
        <v>0.5343119935511937</v>
      </c>
      <c r="GW18" t="n">
        <v>0.4729274213651824</v>
      </c>
      <c r="GX18" t="n">
        <v>0.3671066270254766</v>
      </c>
      <c r="GY18" t="n">
        <v>0.7284319263321816</v>
      </c>
      <c r="GZ18" t="n">
        <v>0.3579390664312955</v>
      </c>
      <c r="HA18" t="n">
        <v>0.8719561004197096</v>
      </c>
      <c r="HB18" t="n">
        <v>0.1456871234834922</v>
      </c>
      <c r="HC18" t="n">
        <v>0.1698481576266073</v>
      </c>
    </row>
    <row r="19">
      <c r="A19" s="1" t="inlineStr">
        <is>
          <t>M_dom</t>
        </is>
      </c>
      <c r="B19" t="n">
        <v>0.3121692841673408</v>
      </c>
      <c r="C19" t="n">
        <v>0.1278091524357313</v>
      </c>
      <c r="D19" t="n">
        <v>0.0785821708335368</v>
      </c>
      <c r="E19" t="n">
        <v>0.2632836694803595</v>
      </c>
      <c r="F19" t="n">
        <v>0.1501357765715604</v>
      </c>
      <c r="G19" t="n">
        <v>0.008582922174730558</v>
      </c>
      <c r="H19" t="n">
        <v>0.1390213271110048</v>
      </c>
      <c r="I19" t="n">
        <v>0.0236889083775578</v>
      </c>
      <c r="J19" t="n">
        <v>5.333718348232988</v>
      </c>
      <c r="K19" t="n">
        <v>1.864870270269415</v>
      </c>
      <c r="L19" t="n">
        <v>1.563421280314497</v>
      </c>
      <c r="M19" t="n">
        <v>2.838457560997298</v>
      </c>
      <c r="N19" t="n">
        <v>4.304659555344725</v>
      </c>
      <c r="O19" t="n">
        <v>4.028901648630049</v>
      </c>
      <c r="P19" t="n">
        <v>20.44329934662272</v>
      </c>
      <c r="Q19" t="n">
        <v>0</v>
      </c>
      <c r="R19" t="n">
        <v>0</v>
      </c>
      <c r="S19" t="n">
        <v>0.6244962149096178</v>
      </c>
      <c r="T19" t="n">
        <v>1.542071281893493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0.1955404863045994</v>
      </c>
      <c r="AD19" t="n">
        <v>49.12486492873253</v>
      </c>
      <c r="AE19" t="n">
        <v>0.2426514779631653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0.02418100340152896</v>
      </c>
      <c r="AO19" t="n">
        <v>0.8763763229634579</v>
      </c>
      <c r="AP19" t="n">
        <v>0.01478431043241803</v>
      </c>
      <c r="AQ19" t="n">
        <v>0.1909813018400481</v>
      </c>
      <c r="AR19" t="n">
        <v>2.21851723770919</v>
      </c>
      <c r="AS19" t="n">
        <v>0.6357176721600654</v>
      </c>
      <c r="AT19" t="n">
        <v>0.5477211425972744</v>
      </c>
      <c r="AU19" t="n">
        <v>0.7020555181970624</v>
      </c>
      <c r="AV19" t="n">
        <v>0.4473172750668437</v>
      </c>
      <c r="AW19" t="n">
        <v>1.387033863740628</v>
      </c>
      <c r="AX19" t="n">
        <v>0.06749120175727163</v>
      </c>
      <c r="AY19" t="n">
        <v>7.759864099804468</v>
      </c>
      <c r="AZ19" t="n">
        <v>1.193365604713115</v>
      </c>
      <c r="BA19" t="n">
        <v>0.7457811120925502</v>
      </c>
      <c r="BB19" t="n">
        <v>1.224582752596193</v>
      </c>
      <c r="BC19" t="n">
        <v>0.1460267504097919</v>
      </c>
      <c r="BD19" t="n">
        <v>0.1341790885751501</v>
      </c>
      <c r="BE19" t="n">
        <v>0.09962252746347397</v>
      </c>
      <c r="BF19" t="n">
        <v>0.1789784316039486</v>
      </c>
      <c r="BG19" t="n">
        <v>0.774508823192337</v>
      </c>
      <c r="BH19" t="n">
        <v>0.1689844841752451</v>
      </c>
      <c r="BI19" t="n">
        <v>0.9954853721158009</v>
      </c>
      <c r="BJ19" t="n">
        <v>1.208004603437706</v>
      </c>
      <c r="BK19" t="n">
        <v>0.5072162465107907</v>
      </c>
      <c r="BL19" t="n">
        <v>0.1112912690560486</v>
      </c>
      <c r="BM19" t="n">
        <v>0.7653237060401383</v>
      </c>
      <c r="BN19" t="n">
        <v>0</v>
      </c>
      <c r="BO19" t="n">
        <v>17.11446978408557</v>
      </c>
      <c r="BP19" t="n">
        <v>2.346270592080777</v>
      </c>
      <c r="BQ19" t="n">
        <v>0</v>
      </c>
      <c r="BR19" t="n">
        <v>0</v>
      </c>
      <c r="BS19" t="n">
        <v>0.6046342647051908</v>
      </c>
      <c r="BT19" t="n">
        <v>0</v>
      </c>
      <c r="BU19" t="n">
        <v>1.046654239360069</v>
      </c>
      <c r="BV19" t="n">
        <v>0.3609922799886652</v>
      </c>
      <c r="BW19" t="n">
        <v>0.00308246049130944</v>
      </c>
      <c r="BX19" t="n">
        <v>0.612920453870838</v>
      </c>
      <c r="BY19" t="n">
        <v>0.5884193279824527</v>
      </c>
      <c r="BZ19" t="n">
        <v>0</v>
      </c>
      <c r="CA19" t="n">
        <v>0.3228279197584756</v>
      </c>
      <c r="CB19" t="n">
        <v>0.661525911278248</v>
      </c>
      <c r="CC19" t="n">
        <v>1.118110164261254</v>
      </c>
      <c r="CD19" t="n">
        <v>0.1223133147921848</v>
      </c>
      <c r="CE19" t="n">
        <v>0.1362172246617</v>
      </c>
      <c r="CF19" t="n">
        <v>0.2048591467126553</v>
      </c>
      <c r="CG19" t="n">
        <v>0.1303064907449327</v>
      </c>
      <c r="CH19" t="n">
        <v>0.0004980661518242303</v>
      </c>
      <c r="CI19" t="n">
        <v>0.3511247540934904</v>
      </c>
      <c r="CJ19" t="n">
        <v>0.3314894034498759</v>
      </c>
      <c r="CK19" t="n">
        <v>0.2066048768730049</v>
      </c>
      <c r="CL19" t="n">
        <v>0.4880231986266341</v>
      </c>
      <c r="CM19" t="n">
        <v>3.665029632622641</v>
      </c>
      <c r="CN19" t="n">
        <v>0</v>
      </c>
      <c r="CO19" t="n">
        <v>0.7939810070732212</v>
      </c>
      <c r="CP19" t="n">
        <v>1.502715735546398</v>
      </c>
      <c r="CQ19" t="n">
        <v>0.6250222308337056</v>
      </c>
      <c r="CR19" t="n">
        <v>0</v>
      </c>
      <c r="CS19" t="n">
        <v>1.776443496865389</v>
      </c>
      <c r="CT19" t="n">
        <v>0.1616278336492545</v>
      </c>
      <c r="CU19" t="n">
        <v>1.502286187420914</v>
      </c>
      <c r="CV19" t="n">
        <v>1.446043891486929</v>
      </c>
      <c r="CW19" t="n">
        <v>3.925896641487344</v>
      </c>
      <c r="CX19" t="n">
        <v>3.470928870312624</v>
      </c>
      <c r="CY19" t="n">
        <v>0.760462277080699</v>
      </c>
      <c r="CZ19" t="n">
        <v>1.218638033719411</v>
      </c>
      <c r="DA19" t="n">
        <v>0.1919352061784916</v>
      </c>
      <c r="DB19" t="n">
        <v>0.4839693685956393</v>
      </c>
      <c r="DC19" t="n">
        <v>0</v>
      </c>
      <c r="DD19" t="n">
        <v>0.5082377331879042</v>
      </c>
      <c r="DE19" t="n">
        <v>0.1642425875095037</v>
      </c>
      <c r="DF19" t="n">
        <v>0.6543717056351981</v>
      </c>
      <c r="DG19" t="n">
        <v>0.07512515418204616</v>
      </c>
      <c r="DH19" t="n">
        <v>0.1658437623189204</v>
      </c>
      <c r="DI19" t="n">
        <v>0</v>
      </c>
      <c r="DJ19" t="n">
        <v>0.3994024693345801</v>
      </c>
      <c r="DK19" t="n">
        <v>0</v>
      </c>
      <c r="DL19" t="n">
        <v>0.8501137111073774</v>
      </c>
      <c r="DM19" t="n">
        <v>0.1939725486338502</v>
      </c>
      <c r="DN19" t="n">
        <v>0.1247102254107012</v>
      </c>
      <c r="DO19" t="n">
        <v>0.1099724826724588</v>
      </c>
      <c r="DP19" t="n">
        <v>0.5038570844959985</v>
      </c>
      <c r="DQ19" t="n">
        <v>0.1125601930255615</v>
      </c>
      <c r="DR19" t="n">
        <v>0.3417128036557704</v>
      </c>
      <c r="DS19" t="n">
        <v>0.1369209359169347</v>
      </c>
      <c r="DT19" t="n">
        <v>0.09178077347001412</v>
      </c>
      <c r="DU19" t="n">
        <v>0.1280400652249611</v>
      </c>
      <c r="DV19" t="n">
        <v>0</v>
      </c>
      <c r="DW19" t="n">
        <v>0</v>
      </c>
      <c r="DX19" t="n">
        <v>3.108074321585615</v>
      </c>
      <c r="DY19" t="n">
        <v>0.5333931043770487</v>
      </c>
      <c r="DZ19" t="n">
        <v>0.1448398013731867</v>
      </c>
      <c r="EA19" t="n">
        <v>0.1580701523507588</v>
      </c>
      <c r="EB19" t="n">
        <v>0.0864239136196859</v>
      </c>
      <c r="EC19" t="n">
        <v>0.5103446581409005</v>
      </c>
      <c r="ED19" t="n">
        <v>0.1584703305682728</v>
      </c>
      <c r="EE19" t="n">
        <v>0.02141088899011295</v>
      </c>
      <c r="EF19" t="n">
        <v>0</v>
      </c>
      <c r="EG19" t="n">
        <v>0.2005367429414968</v>
      </c>
      <c r="EH19" t="n">
        <v>0</v>
      </c>
      <c r="EI19" t="n">
        <v>0</v>
      </c>
      <c r="EJ19" t="n">
        <v>0.05590652238412766</v>
      </c>
      <c r="EK19" t="n">
        <v>0.05284194923380716</v>
      </c>
      <c r="EL19" t="n">
        <v>0.02236042981235775</v>
      </c>
      <c r="EM19" t="n">
        <v>0.04586970669228076</v>
      </c>
      <c r="EN19" t="n">
        <v>2.593207460345739e-09</v>
      </c>
      <c r="EO19" t="n">
        <v>0</v>
      </c>
      <c r="EP19" t="n">
        <v>0.09514017891973639</v>
      </c>
      <c r="EQ19" t="n">
        <v>0.2052458456241041</v>
      </c>
      <c r="ER19" t="n">
        <v>2.031375032012933</v>
      </c>
      <c r="ES19" t="n">
        <v>0.1679627608874875</v>
      </c>
      <c r="ET19" t="n">
        <v>0.5389291877880169</v>
      </c>
      <c r="EU19" t="n">
        <v>0</v>
      </c>
      <c r="EV19" t="n">
        <v>0.03057639860775352</v>
      </c>
      <c r="EW19" t="n">
        <v>0.08315219900387691</v>
      </c>
      <c r="EX19" t="n">
        <v>0.05199095036873187</v>
      </c>
      <c r="EY19" t="n">
        <v>0.08785944511583155</v>
      </c>
      <c r="EZ19" t="n">
        <v>0.1437389737819472</v>
      </c>
      <c r="FA19" t="n">
        <v>0.09216632937187624</v>
      </c>
      <c r="FB19" t="n">
        <v>0.1188977359431349</v>
      </c>
      <c r="FC19" t="n">
        <v>0.126806115834978</v>
      </c>
      <c r="FD19" t="n">
        <v>0.1130331465402527</v>
      </c>
      <c r="FE19" t="n">
        <v>1.824202711946168</v>
      </c>
      <c r="FF19" t="n">
        <v>0.1662069286585497</v>
      </c>
      <c r="FG19" t="n">
        <v>0.09761655420070667</v>
      </c>
      <c r="FH19" t="n">
        <v>0.06243199929237893</v>
      </c>
      <c r="FI19" t="n">
        <v>0.09779182077518224</v>
      </c>
      <c r="FJ19" t="n">
        <v>0.08482050485958033</v>
      </c>
      <c r="FK19" t="n">
        <v>0.1205159760622161</v>
      </c>
      <c r="FL19" t="n">
        <v>0.2745708142294373</v>
      </c>
      <c r="FM19" t="n">
        <v>0.07527830836748528</v>
      </c>
      <c r="FN19" t="n">
        <v>0.05589903351883386</v>
      </c>
      <c r="FO19" t="n">
        <v>0.2631516994429942</v>
      </c>
      <c r="FP19" t="n">
        <v>0.06020861160563775</v>
      </c>
      <c r="FQ19" t="n">
        <v>0.123069169833648</v>
      </c>
      <c r="FR19" t="n">
        <v>0.07556787336007437</v>
      </c>
      <c r="FS19" t="n">
        <v>0.07160715561142086</v>
      </c>
      <c r="FT19" t="n">
        <v>0.1153418462053276</v>
      </c>
      <c r="FU19" t="n">
        <v>0.113224959643701</v>
      </c>
      <c r="FV19" t="n">
        <v>0.1048113693077035</v>
      </c>
      <c r="FW19" t="n">
        <v>0.1130480546286635</v>
      </c>
      <c r="FX19" t="n">
        <v>0.1083835274313883</v>
      </c>
      <c r="FY19" t="n">
        <v>0.1059661432816321</v>
      </c>
      <c r="FZ19" t="n">
        <v>0.1092935655888688</v>
      </c>
      <c r="GA19" t="n">
        <v>0.08566690189379374</v>
      </c>
      <c r="GB19" t="n">
        <v>0.07850812658605325</v>
      </c>
      <c r="GC19" t="n">
        <v>0.1009549359262306</v>
      </c>
      <c r="GD19" t="n">
        <v>0.1074362125468818</v>
      </c>
      <c r="GE19" t="n">
        <v>0.04265347754943504</v>
      </c>
      <c r="GF19" t="n">
        <v>0.1125354597854089</v>
      </c>
      <c r="GG19" t="n">
        <v>0.1177238127024184</v>
      </c>
      <c r="GH19" t="n">
        <v>0.1082606875445315</v>
      </c>
      <c r="GI19" t="n">
        <v>0.1026794648128523</v>
      </c>
      <c r="GJ19" t="n">
        <v>0.09389556731951101</v>
      </c>
      <c r="GK19" t="n">
        <v>0.1106424477294381</v>
      </c>
      <c r="GL19" t="n">
        <v>0.09012479403941684</v>
      </c>
      <c r="GM19" t="n">
        <v>0.09825246764118485</v>
      </c>
      <c r="GN19" t="n">
        <v>0.06852095183454385</v>
      </c>
      <c r="GO19" t="n">
        <v>0.1384438231535743</v>
      </c>
      <c r="GP19" t="n">
        <v>0.01733061870783918</v>
      </c>
      <c r="GQ19" t="n">
        <v>0</v>
      </c>
      <c r="GR19" t="n">
        <v>0.2637650538366608</v>
      </c>
      <c r="GS19" t="n">
        <v>2.21851723770919</v>
      </c>
      <c r="GT19" t="n">
        <v>0.8740306945280257</v>
      </c>
      <c r="GU19" t="n">
        <v>1.436992131751164</v>
      </c>
      <c r="GV19" t="n">
        <v>1.429135193523032</v>
      </c>
      <c r="GW19" t="n">
        <v>1.163822673640314</v>
      </c>
      <c r="GX19" t="n">
        <v>0.3107633329848073</v>
      </c>
      <c r="GY19" t="n">
        <v>0.3249131455369472</v>
      </c>
      <c r="GZ19" t="n">
        <v>0.1150617836375251</v>
      </c>
      <c r="HA19" t="n">
        <v>0.8568093687692714</v>
      </c>
      <c r="HB19" t="n">
        <v>0.1437389737819472</v>
      </c>
      <c r="HC19" t="n">
        <v>0.09046315491646566</v>
      </c>
    </row>
    <row r="20">
      <c r="A20" s="1" t="inlineStr">
        <is>
          <t>M_row</t>
        </is>
      </c>
      <c r="B20" t="n">
        <v>3.104340098076126</v>
      </c>
      <c r="C20" t="n">
        <v>3.251753220837807</v>
      </c>
      <c r="D20" t="n">
        <v>2.63318252360684</v>
      </c>
      <c r="E20" t="n">
        <v>2.50393534969474</v>
      </c>
      <c r="F20" t="n">
        <v>3.002672096534309</v>
      </c>
      <c r="G20" t="n">
        <v>4.711410195541591</v>
      </c>
      <c r="H20" t="n">
        <v>17.36491439472864</v>
      </c>
      <c r="I20" t="n">
        <v>2.04271568406957</v>
      </c>
      <c r="J20" t="n">
        <v>42.03712521348066</v>
      </c>
      <c r="K20" t="n">
        <v>3.09623941997732</v>
      </c>
      <c r="L20" t="n">
        <v>3.12336675941184</v>
      </c>
      <c r="M20" t="n">
        <v>7.636029453425722</v>
      </c>
      <c r="N20" t="n">
        <v>3.182596675252601</v>
      </c>
      <c r="O20" t="n">
        <v>0</v>
      </c>
      <c r="P20" t="n">
        <v>65.41554702071743</v>
      </c>
      <c r="Q20" t="n">
        <v>0</v>
      </c>
      <c r="R20" t="n">
        <v>0</v>
      </c>
      <c r="S20" t="n">
        <v>15.33685204003272</v>
      </c>
      <c r="T20" t="n">
        <v>6.610105748403926</v>
      </c>
      <c r="U20" t="n">
        <v>0.5542985586375413</v>
      </c>
      <c r="V20" t="n">
        <v>1.184518897635764</v>
      </c>
      <c r="W20" t="n">
        <v>2.393205806679076</v>
      </c>
      <c r="X20" t="n">
        <v>0</v>
      </c>
      <c r="Y20" t="n">
        <v>0.4732781534913832</v>
      </c>
      <c r="Z20" t="n">
        <v>54.84821254077107</v>
      </c>
      <c r="AA20" t="n">
        <v>15.76476134675433</v>
      </c>
      <c r="AB20" t="n">
        <v>0</v>
      </c>
      <c r="AC20" t="n">
        <v>1.538190877467849</v>
      </c>
      <c r="AD20" t="n">
        <v>0.483166269382025</v>
      </c>
      <c r="AE20" t="n">
        <v>20.6378657836379</v>
      </c>
      <c r="AF20" t="n">
        <v>0</v>
      </c>
      <c r="AG20" t="n">
        <v>161.779928849907</v>
      </c>
      <c r="AH20" t="n">
        <v>0.0336525620879299</v>
      </c>
      <c r="AI20" t="n">
        <v>6251.822569722231</v>
      </c>
      <c r="AJ20" t="n">
        <v>16.93879856269723</v>
      </c>
      <c r="AK20" t="n">
        <v>0.4837002926554401</v>
      </c>
      <c r="AL20" t="n">
        <v>79.89757346565526</v>
      </c>
      <c r="AM20" t="n">
        <v>1.161243305853928</v>
      </c>
      <c r="AN20" t="n">
        <v>0.352102196196367</v>
      </c>
      <c r="AO20" t="n">
        <v>9.727257293321495</v>
      </c>
      <c r="AP20" t="n">
        <v>5.7925742024928</v>
      </c>
      <c r="AQ20" t="n">
        <v>1.31003467206591</v>
      </c>
      <c r="AR20" t="n">
        <v>5.917219278625518</v>
      </c>
      <c r="AS20" t="n">
        <v>1.303972570158674</v>
      </c>
      <c r="AT20" t="n">
        <v>2.008230112538401</v>
      </c>
      <c r="AU20" t="n">
        <v>1.288521228134246</v>
      </c>
      <c r="AV20" t="n">
        <v>1.710733694464821</v>
      </c>
      <c r="AW20" t="n">
        <v>2.473337185426746</v>
      </c>
      <c r="AX20" t="n">
        <v>1.34563595706044</v>
      </c>
      <c r="AY20" t="n">
        <v>4.934201160181779</v>
      </c>
      <c r="AZ20" t="n">
        <v>1.688006491006833</v>
      </c>
      <c r="BA20" t="n">
        <v>1.043031693712046</v>
      </c>
      <c r="BB20" t="n">
        <v>1.932307513101941</v>
      </c>
      <c r="BC20" t="n">
        <v>0.7605146857173747</v>
      </c>
      <c r="BD20" t="n">
        <v>1.354112373729319</v>
      </c>
      <c r="BE20" t="n">
        <v>2.012757749793656</v>
      </c>
      <c r="BF20" t="n">
        <v>2.425901634232129</v>
      </c>
      <c r="BG20" t="n">
        <v>2.816867279426606</v>
      </c>
      <c r="BH20" t="n">
        <v>0</v>
      </c>
      <c r="BI20" t="n">
        <v>8.483912937515221</v>
      </c>
      <c r="BJ20" t="n">
        <v>0</v>
      </c>
      <c r="BK20" t="n">
        <v>1.343058453170259</v>
      </c>
      <c r="BL20" t="n">
        <v>0.4419630718644151</v>
      </c>
      <c r="BM20" t="n">
        <v>2.744143226550337</v>
      </c>
      <c r="BN20" t="n">
        <v>0</v>
      </c>
      <c r="BO20" t="n">
        <v>0</v>
      </c>
      <c r="BP20" t="n">
        <v>31.42881539646407</v>
      </c>
      <c r="BQ20" t="n">
        <v>0.1105475404301566</v>
      </c>
      <c r="BR20" t="n">
        <v>0</v>
      </c>
      <c r="BS20" t="n">
        <v>2.147527879616125</v>
      </c>
      <c r="BT20" t="n">
        <v>0.5252322199718358</v>
      </c>
      <c r="BU20" t="n">
        <v>1.084247713233198</v>
      </c>
      <c r="BV20" t="n">
        <v>7.248950287918986</v>
      </c>
      <c r="BW20" t="n">
        <v>0</v>
      </c>
      <c r="BX20" t="n">
        <v>1.220072368650204</v>
      </c>
      <c r="BY20" t="n">
        <v>0.5677608954795891</v>
      </c>
      <c r="BZ20" t="n">
        <v>0</v>
      </c>
      <c r="CA20" t="n">
        <v>1.078456776488456</v>
      </c>
      <c r="CB20" t="n">
        <v>0</v>
      </c>
      <c r="CC20" t="n">
        <v>0</v>
      </c>
      <c r="CD20" t="n">
        <v>0.7031833622905811</v>
      </c>
      <c r="CE20" t="n">
        <v>0</v>
      </c>
      <c r="CF20" t="n">
        <v>0.4593796135345414</v>
      </c>
      <c r="CG20" t="n">
        <v>0.4283151018386704</v>
      </c>
      <c r="CH20" t="n">
        <v>0</v>
      </c>
      <c r="CI20" t="n">
        <v>3.337548868496209</v>
      </c>
      <c r="CJ20" t="n">
        <v>0</v>
      </c>
      <c r="CK20" t="n">
        <v>3.751192067455001</v>
      </c>
      <c r="CL20" t="n">
        <v>17.66135602082698</v>
      </c>
      <c r="CM20" t="n">
        <v>2.352732917937053</v>
      </c>
      <c r="CN20" t="n">
        <v>0</v>
      </c>
      <c r="CO20" t="n">
        <v>18.41364755043449</v>
      </c>
      <c r="CP20" t="n">
        <v>0</v>
      </c>
      <c r="CQ20" t="n">
        <v>0</v>
      </c>
      <c r="CR20" t="n">
        <v>0</v>
      </c>
      <c r="CS20" t="n">
        <v>3.88456446160399</v>
      </c>
      <c r="CT20" t="n">
        <v>0</v>
      </c>
      <c r="CU20" t="n">
        <v>5.287845898683079</v>
      </c>
      <c r="CV20" t="n">
        <v>4.420705891613956</v>
      </c>
      <c r="CW20" t="n">
        <v>5.39484534199042</v>
      </c>
      <c r="CX20" t="n">
        <v>0</v>
      </c>
      <c r="CY20" t="n">
        <v>6.843914689209958</v>
      </c>
      <c r="CZ20" t="n">
        <v>2.038182620051272</v>
      </c>
      <c r="DA20" t="n">
        <v>0</v>
      </c>
      <c r="DB20" t="n">
        <v>1.774172529654354</v>
      </c>
      <c r="DC20" t="n">
        <v>0</v>
      </c>
      <c r="DD20" t="n">
        <v>2.343609638258233</v>
      </c>
      <c r="DE20" t="n">
        <v>0</v>
      </c>
      <c r="DF20" t="n">
        <v>4.622736217731528</v>
      </c>
      <c r="DG20" t="n">
        <v>0</v>
      </c>
      <c r="DH20" t="n">
        <v>5.058039414072258</v>
      </c>
      <c r="DI20" t="n">
        <v>0</v>
      </c>
      <c r="DJ20" t="n">
        <v>3.393799260607613</v>
      </c>
      <c r="DK20" t="n">
        <v>0</v>
      </c>
      <c r="DL20" t="n">
        <v>0</v>
      </c>
      <c r="DM20" t="n">
        <v>1.174887577315928</v>
      </c>
      <c r="DN20" t="n">
        <v>0.4138294292984777</v>
      </c>
      <c r="DO20" t="n">
        <v>1.996514577886723</v>
      </c>
      <c r="DP20" t="n">
        <v>0.7520913880002806</v>
      </c>
      <c r="DQ20" t="n">
        <v>0.2786980407048929</v>
      </c>
      <c r="DR20" t="n">
        <v>0.1800503056357082</v>
      </c>
      <c r="DS20" t="n">
        <v>0.7897341914354491</v>
      </c>
      <c r="DT20" t="n">
        <v>0.6989363764676331</v>
      </c>
      <c r="DU20" t="n">
        <v>1.197771690132075</v>
      </c>
      <c r="DV20" t="n">
        <v>0</v>
      </c>
      <c r="DW20" t="n">
        <v>0</v>
      </c>
      <c r="DX20" t="n">
        <v>1.514071695889565</v>
      </c>
      <c r="DY20" t="n">
        <v>3.022876011165367</v>
      </c>
      <c r="DZ20" t="n">
        <v>3.991439816179985</v>
      </c>
      <c r="EA20" t="n">
        <v>2.137551414750943</v>
      </c>
      <c r="EB20" t="n">
        <v>1.1557025254736</v>
      </c>
      <c r="EC20" t="n">
        <v>0.3093689218809753</v>
      </c>
      <c r="ED20" t="n">
        <v>0.6974729222650971</v>
      </c>
      <c r="EE20" t="n">
        <v>2.711750054678118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2.322206197622529</v>
      </c>
      <c r="EU20" t="n">
        <v>0</v>
      </c>
      <c r="EV20" t="n">
        <v>0.6403677883805765</v>
      </c>
      <c r="EW20" t="n">
        <v>1.494940622101427</v>
      </c>
      <c r="EX20" t="n">
        <v>0.7528290795385819</v>
      </c>
      <c r="EY20" t="n">
        <v>0.7250662663550445</v>
      </c>
      <c r="EZ20" t="n">
        <v>0.783102930096282</v>
      </c>
      <c r="FA20" t="n">
        <v>1.825116496040077</v>
      </c>
      <c r="FB20" t="n">
        <v>0.5409615351471654</v>
      </c>
      <c r="FC20" t="n">
        <v>2.518824820387206</v>
      </c>
      <c r="FD20" t="n">
        <v>1.100581265198801</v>
      </c>
      <c r="FE20" t="n">
        <v>1.818433010282983</v>
      </c>
      <c r="FF20" t="n">
        <v>1.06595029013339</v>
      </c>
      <c r="FG20" t="n">
        <v>0.6724760470338464</v>
      </c>
      <c r="FH20" t="n">
        <v>0.4028491966934369</v>
      </c>
      <c r="FI20" t="n">
        <v>0.2282361539041675</v>
      </c>
      <c r="FJ20" t="n">
        <v>0.3072589351077079</v>
      </c>
      <c r="FK20" t="n">
        <v>0.2620366044550009</v>
      </c>
      <c r="FL20" t="n">
        <v>0.3713464847556314</v>
      </c>
      <c r="FM20" t="n">
        <v>0.393445881184827</v>
      </c>
      <c r="FN20" t="n">
        <v>0.3984904907482527</v>
      </c>
      <c r="FO20" t="n">
        <v>1.474738059295733</v>
      </c>
      <c r="FP20" t="n">
        <v>0.4013543486463706</v>
      </c>
      <c r="FQ20" t="n">
        <v>0.6932163882899374</v>
      </c>
      <c r="FR20" t="n">
        <v>0.527785248266333</v>
      </c>
      <c r="FS20" t="n">
        <v>0.8559278302984938</v>
      </c>
      <c r="FT20" t="n">
        <v>0.6668641673189144</v>
      </c>
      <c r="FU20" t="n">
        <v>0.3536094448440964</v>
      </c>
      <c r="FV20" t="n">
        <v>0.526664468744927</v>
      </c>
      <c r="FW20" t="n">
        <v>0.5171363123837863</v>
      </c>
      <c r="FX20" t="n">
        <v>0.5418590484595495</v>
      </c>
      <c r="FY20" t="n">
        <v>0.4856971182827017</v>
      </c>
      <c r="FZ20" t="n">
        <v>0.6512714856473141</v>
      </c>
      <c r="GA20" t="n">
        <v>1.231316006315006</v>
      </c>
      <c r="GB20" t="n">
        <v>0.410011329408827</v>
      </c>
      <c r="GC20" t="n">
        <v>0.5677016005262078</v>
      </c>
      <c r="GD20" t="n">
        <v>0.6349266814420005</v>
      </c>
      <c r="GE20" t="n">
        <v>0.2379568411967798</v>
      </c>
      <c r="GF20" t="n">
        <v>0.6100313132530798</v>
      </c>
      <c r="GG20" t="n">
        <v>0.9722222306604977</v>
      </c>
      <c r="GH20" t="n">
        <v>0.3729869533811044</v>
      </c>
      <c r="GI20" t="n">
        <v>0.3881777747971675</v>
      </c>
      <c r="GJ20" t="n">
        <v>0.3405640542323219</v>
      </c>
      <c r="GK20" t="n">
        <v>0.4499134451708116</v>
      </c>
      <c r="GL20" t="n">
        <v>0.3404294249526528</v>
      </c>
      <c r="GM20" t="n">
        <v>0.3174504000331237</v>
      </c>
      <c r="GN20" t="n">
        <v>1.112232902065747</v>
      </c>
      <c r="GO20" t="n">
        <v>0.7058100845917608</v>
      </c>
      <c r="GP20" t="n">
        <v>1.554249277672989</v>
      </c>
      <c r="GQ20" t="n">
        <v>0</v>
      </c>
      <c r="GR20" t="n">
        <v>2.486193202059</v>
      </c>
      <c r="GS20" t="n">
        <v>5.917219278625518</v>
      </c>
      <c r="GT20" t="n">
        <v>1.700607954490807</v>
      </c>
      <c r="GU20" t="n">
        <v>2.917585735294867</v>
      </c>
      <c r="GV20" t="n">
        <v>2.473337185426747</v>
      </c>
      <c r="GW20" t="n">
        <v>1.647506991766005</v>
      </c>
      <c r="GX20" t="n">
        <v>1.557315570351864</v>
      </c>
      <c r="GY20" t="n">
        <v>1.031177096163474</v>
      </c>
      <c r="GZ20" t="n">
        <v>1.984552956180713</v>
      </c>
      <c r="HA20" t="n">
        <v>1.182340844076953</v>
      </c>
      <c r="HB20" t="n">
        <v>0</v>
      </c>
      <c r="HC20" t="n">
        <v>0.6382880304253932</v>
      </c>
    </row>
    <row r="21">
      <c r="A21" s="1" t="inlineStr">
        <is>
          <t>Y_imp</t>
        </is>
      </c>
      <c r="B21" t="n">
        <v>12.58953104607659</v>
      </c>
      <c r="C21" t="n">
        <v>393.4168379264765</v>
      </c>
      <c r="D21" t="n">
        <v>6.170733505199777</v>
      </c>
      <c r="E21" t="n">
        <v>6666.413095894283</v>
      </c>
      <c r="F21" t="n">
        <v>709.1867968887566</v>
      </c>
      <c r="G21" t="n">
        <v>0</v>
      </c>
      <c r="H21" t="n">
        <v>18.17377665812187</v>
      </c>
      <c r="I21" t="n">
        <v>418.3549082338893</v>
      </c>
      <c r="J21" t="n">
        <v>0</v>
      </c>
      <c r="K21" t="n">
        <v>0</v>
      </c>
      <c r="L21" t="n">
        <v>37.6718724459</v>
      </c>
      <c r="M21" t="n">
        <v>134.968553567</v>
      </c>
      <c r="N21" t="n">
        <v>358.935505393</v>
      </c>
      <c r="O21" t="n">
        <v>0</v>
      </c>
      <c r="P21" t="n">
        <v>0</v>
      </c>
      <c r="Q21" t="n">
        <v>0</v>
      </c>
      <c r="R21" t="n">
        <v>0</v>
      </c>
      <c r="S21" t="n">
        <v>324.7181188907604</v>
      </c>
      <c r="T21" t="n">
        <v>191.524540960959</v>
      </c>
      <c r="U21" t="n">
        <v>6.3533008602</v>
      </c>
      <c r="V21" t="n">
        <v>0</v>
      </c>
      <c r="W21" t="n">
        <v>14.9039839728</v>
      </c>
      <c r="X21" t="n">
        <v>0</v>
      </c>
      <c r="Y21" t="n">
        <v>14.5218305376</v>
      </c>
      <c r="Z21" t="n">
        <v>0</v>
      </c>
      <c r="AA21" t="n">
        <v>0</v>
      </c>
      <c r="AB21" t="n">
        <v>0</v>
      </c>
      <c r="AC21" t="n">
        <v>0</v>
      </c>
      <c r="AD21" t="n">
        <v>10172.62054431125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1038.49431455</v>
      </c>
      <c r="AS21" t="n">
        <v>596.450475476</v>
      </c>
      <c r="AT21" t="n">
        <v>892.77666271</v>
      </c>
      <c r="AU21" t="n">
        <v>2166.43173804</v>
      </c>
      <c r="AV21" t="n">
        <v>152.524386109</v>
      </c>
      <c r="AW21" t="n">
        <v>1806.03861601</v>
      </c>
      <c r="AX21" t="n">
        <v>130.972569754</v>
      </c>
      <c r="AY21" t="n">
        <v>92.7266572539</v>
      </c>
      <c r="AZ21" t="n">
        <v>11484.8366485</v>
      </c>
      <c r="BA21" t="n">
        <v>1737.93637934</v>
      </c>
      <c r="BB21" t="n">
        <v>1549.8190821</v>
      </c>
      <c r="BC21" t="n">
        <v>1749.27710897</v>
      </c>
      <c r="BD21" t="n">
        <v>5191.81852316</v>
      </c>
      <c r="BE21" t="n">
        <v>10896.3904117</v>
      </c>
      <c r="BF21" t="n">
        <v>6719.86299841</v>
      </c>
      <c r="BG21" t="n">
        <v>627.2895343705732</v>
      </c>
      <c r="BH21" t="n">
        <v>64.05277614142688</v>
      </c>
      <c r="BI21" t="n">
        <v>0</v>
      </c>
      <c r="BJ21" t="n">
        <v>0</v>
      </c>
      <c r="BK21" t="n">
        <v>1766.04037623</v>
      </c>
      <c r="BL21" t="n">
        <v>1559.83702366</v>
      </c>
      <c r="BM21" t="n">
        <v>0.1066507278430744</v>
      </c>
      <c r="BN21" t="n">
        <v>0</v>
      </c>
      <c r="BO21" t="n">
        <v>0</v>
      </c>
      <c r="BP21" t="n">
        <v>262.4815319927819</v>
      </c>
      <c r="BQ21" t="n">
        <v>0.2627304867</v>
      </c>
      <c r="BR21" t="n">
        <v>0</v>
      </c>
      <c r="BS21" t="n">
        <v>52.29044704524056</v>
      </c>
      <c r="BT21" t="n">
        <v>157.136715636</v>
      </c>
      <c r="BU21" t="n">
        <v>7198.155178050654</v>
      </c>
      <c r="BV21" t="n">
        <v>1.056828588528105</v>
      </c>
      <c r="BW21" t="n">
        <v>0</v>
      </c>
      <c r="BX21" t="n">
        <v>612.4260780905207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2378.036229680418</v>
      </c>
      <c r="CJ21" t="n">
        <v>286.2161694295821</v>
      </c>
      <c r="CK21" t="n">
        <v>1.678914217057</v>
      </c>
      <c r="CL21" t="n">
        <v>44.52294982682</v>
      </c>
      <c r="CM21" t="n">
        <v>6643.333391030001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895.250211626</v>
      </c>
      <c r="CV21" t="n">
        <v>0.112600342789</v>
      </c>
      <c r="CW21" t="n">
        <v>0.9188687922269055</v>
      </c>
      <c r="CX21" t="n">
        <v>0.0555902005850945</v>
      </c>
      <c r="CY21" t="n">
        <v>791.2557892889999</v>
      </c>
      <c r="CZ21" t="n">
        <v>0.00617002623215275</v>
      </c>
      <c r="DA21" t="n">
        <v>0.0003962561419472482</v>
      </c>
      <c r="DB21" t="n">
        <v>5.425036059269236</v>
      </c>
      <c r="DC21" t="n">
        <v>0.00030458495076355</v>
      </c>
      <c r="DD21" t="n">
        <v>1.326188745780254</v>
      </c>
      <c r="DE21" t="n">
        <v>0.102340521859746</v>
      </c>
      <c r="DF21" t="n">
        <v>0</v>
      </c>
      <c r="DG21" t="n">
        <v>0</v>
      </c>
      <c r="DH21" t="n">
        <v>0</v>
      </c>
      <c r="DI21" t="n">
        <v>0</v>
      </c>
      <c r="DJ21" t="n">
        <v>7.493593020374871</v>
      </c>
      <c r="DK21" t="n">
        <v>0.06099700859512885</v>
      </c>
      <c r="DL21" t="n">
        <v>0</v>
      </c>
      <c r="DM21" t="n">
        <v>2010.42848448</v>
      </c>
      <c r="DN21" t="n">
        <v>520.4741344620001</v>
      </c>
      <c r="DO21" t="n">
        <v>1803.7615755</v>
      </c>
      <c r="DP21" t="n">
        <v>2577.26127398</v>
      </c>
      <c r="DQ21" t="n">
        <v>4696.77493081</v>
      </c>
      <c r="DR21" t="n">
        <v>4669.90644814</v>
      </c>
      <c r="DS21" t="n">
        <v>29014.0209561</v>
      </c>
      <c r="DT21" t="n">
        <v>2813.826555028</v>
      </c>
      <c r="DU21" t="n">
        <v>10799.400247</v>
      </c>
      <c r="DV21" t="n">
        <v>0</v>
      </c>
      <c r="DW21" t="n">
        <v>0</v>
      </c>
      <c r="DX21" t="n">
        <v>63.36121108093538</v>
      </c>
      <c r="DY21" t="n">
        <v>50.54035836745297</v>
      </c>
      <c r="DZ21" t="n">
        <v>20.42194883294816</v>
      </c>
      <c r="EA21" t="n">
        <v>34.97312082171879</v>
      </c>
      <c r="EB21" t="n">
        <v>7.774574842925006</v>
      </c>
      <c r="EC21" t="n">
        <v>7.784159298468468</v>
      </c>
      <c r="ED21" t="n">
        <v>4.48699372323996</v>
      </c>
      <c r="EE21" t="n">
        <v>2.286287747679654</v>
      </c>
      <c r="EF21" t="n">
        <v>0</v>
      </c>
      <c r="EG21" t="n">
        <v>0.004994755577657015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107.8362040536</v>
      </c>
      <c r="EY21" t="n">
        <v>0</v>
      </c>
      <c r="EZ21" t="n">
        <v>0</v>
      </c>
      <c r="FA21" t="n">
        <v>1317.51410816752</v>
      </c>
      <c r="FB21" t="n">
        <v>5070.06724283</v>
      </c>
      <c r="FC21" t="n">
        <v>0.665434672022</v>
      </c>
      <c r="FD21" t="n">
        <v>3107.382957970209</v>
      </c>
      <c r="FE21" t="n">
        <v>243.823954249855</v>
      </c>
      <c r="FF21" t="n">
        <v>8077.98179555482</v>
      </c>
      <c r="FG21" t="n">
        <v>854.2088896967999</v>
      </c>
      <c r="FH21" t="n">
        <v>2604.55483714</v>
      </c>
      <c r="FI21" t="n">
        <v>1220.23761793</v>
      </c>
      <c r="FJ21" t="n">
        <v>1145.74717822</v>
      </c>
      <c r="FK21" t="n">
        <v>0</v>
      </c>
      <c r="FL21" t="n">
        <v>0</v>
      </c>
      <c r="FM21" t="n">
        <v>0</v>
      </c>
      <c r="FN21" t="n">
        <v>1.81215275413</v>
      </c>
      <c r="FO21" t="n">
        <v>1038.66680669</v>
      </c>
      <c r="FP21" t="n">
        <v>652.781205856</v>
      </c>
      <c r="FQ21" t="n">
        <v>1267.51855990752</v>
      </c>
      <c r="FR21" t="n">
        <v>1024.3292228668</v>
      </c>
      <c r="FS21" t="n">
        <v>1545.727142509</v>
      </c>
      <c r="FT21" t="n">
        <v>7.17729398812</v>
      </c>
      <c r="FU21" t="n">
        <v>7.47894238651</v>
      </c>
      <c r="FV21" t="n">
        <v>3.45613363925</v>
      </c>
      <c r="FW21" t="n">
        <v>12.4528250492</v>
      </c>
      <c r="FX21" t="n">
        <v>1.43287113325</v>
      </c>
      <c r="FY21" t="n">
        <v>2.51968033716</v>
      </c>
      <c r="FZ21" t="n">
        <v>7.26812830262</v>
      </c>
      <c r="GA21" t="n">
        <v>0.635575731595</v>
      </c>
      <c r="GB21" t="n">
        <v>0.0431870936057</v>
      </c>
      <c r="GC21" t="n">
        <v>6.216701355879999</v>
      </c>
      <c r="GD21" t="n">
        <v>8.337650195269999</v>
      </c>
      <c r="GE21" t="n">
        <v>0</v>
      </c>
      <c r="GF21" t="n">
        <v>2.85792305986</v>
      </c>
      <c r="GG21" t="n">
        <v>5.47808633417</v>
      </c>
      <c r="GH21" t="n">
        <v>6.61878061193</v>
      </c>
      <c r="GI21" t="n">
        <v>4.28667166764</v>
      </c>
      <c r="GJ21" t="n">
        <v>0.910953415573</v>
      </c>
      <c r="GK21" t="n">
        <v>10.7985323575</v>
      </c>
      <c r="GL21" t="n">
        <v>0.479886330691</v>
      </c>
      <c r="GM21" t="n">
        <v>1.59815003337</v>
      </c>
      <c r="GN21" t="n">
        <v>95.8633370956</v>
      </c>
      <c r="GO21" t="n">
        <v>2481.46822075</v>
      </c>
      <c r="GP21" t="n">
        <v>262.19233730575</v>
      </c>
      <c r="GQ21" t="n">
        <v>0</v>
      </c>
      <c r="GR21" t="n">
        <v>6818.937482003284</v>
      </c>
      <c r="GS21" t="n">
        <v>1038.49431455</v>
      </c>
      <c r="GT21" t="n">
        <v>3828.2993022389</v>
      </c>
      <c r="GU21" t="n">
        <v>2356.498662363959</v>
      </c>
      <c r="GV21" t="n">
        <v>1806.03861601</v>
      </c>
      <c r="GW21" t="n">
        <v>17903.87345874475</v>
      </c>
      <c r="GX21" t="n">
        <v>26463.52351771602</v>
      </c>
      <c r="GY21" t="n">
        <v>58120.83281466164</v>
      </c>
      <c r="GZ21" t="n">
        <v>22808.07193327</v>
      </c>
      <c r="HA21" t="n">
        <v>52451.49181921694</v>
      </c>
      <c r="HB21" t="n">
        <v>0</v>
      </c>
      <c r="HC21" t="n">
        <v>14392.9916857984</v>
      </c>
    </row>
    <row r="22">
      <c r="A22" s="1" t="inlineStr">
        <is>
          <t>Y_dom</t>
        </is>
      </c>
      <c r="B22" t="n">
        <v>111.1237859411297</v>
      </c>
      <c r="C22" t="n">
        <v>6143.007796311505</v>
      </c>
      <c r="D22" t="n">
        <v>370.6834656242983</v>
      </c>
      <c r="E22" t="n">
        <v>10280.1076048156</v>
      </c>
      <c r="F22" t="n">
        <v>726.0784872377837</v>
      </c>
      <c r="G22" t="n">
        <v>0</v>
      </c>
      <c r="H22" t="n">
        <v>514.0743081434518</v>
      </c>
      <c r="I22" t="n">
        <v>0</v>
      </c>
      <c r="J22" t="n">
        <v>0</v>
      </c>
      <c r="K22" t="n">
        <v>0</v>
      </c>
      <c r="L22" t="n">
        <v>3117.91278957</v>
      </c>
      <c r="M22" t="n">
        <v>1889.75665498</v>
      </c>
      <c r="N22" t="n">
        <v>139.245465367</v>
      </c>
      <c r="O22" t="n">
        <v>137.460607966</v>
      </c>
      <c r="P22" t="n">
        <v>0</v>
      </c>
      <c r="Q22" t="n">
        <v>0</v>
      </c>
      <c r="R22" t="n">
        <v>0</v>
      </c>
      <c r="S22" t="n">
        <v>4983.726911349618</v>
      </c>
      <c r="T22" t="n">
        <v>235.5104379290872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7.51704678874619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5050.44137163263</v>
      </c>
      <c r="AS22" t="n">
        <v>2108.07915814567</v>
      </c>
      <c r="AT22" t="n">
        <v>8018.044447814699</v>
      </c>
      <c r="AU22" t="n">
        <v>15949.9837150327</v>
      </c>
      <c r="AV22" t="n">
        <v>26.9606270569</v>
      </c>
      <c r="AW22" t="n">
        <v>8488.22304035583</v>
      </c>
      <c r="AX22" t="n">
        <v>26.83840954758</v>
      </c>
      <c r="AY22" t="n">
        <v>662.143368282305</v>
      </c>
      <c r="AZ22" t="n">
        <v>23360.725289119</v>
      </c>
      <c r="BA22" t="n">
        <v>7010.44186901366</v>
      </c>
      <c r="BB22" t="n">
        <v>2468.4934124624</v>
      </c>
      <c r="BC22" t="n">
        <v>874.533016486</v>
      </c>
      <c r="BD22" t="n">
        <v>2215.3406393403</v>
      </c>
      <c r="BE22" t="n">
        <v>3273.5352910359</v>
      </c>
      <c r="BF22" t="n">
        <v>128.1294884929</v>
      </c>
      <c r="BG22" t="n">
        <v>710.2622544142647</v>
      </c>
      <c r="BH22" t="n">
        <v>438.2363337857354</v>
      </c>
      <c r="BI22" t="n">
        <v>0</v>
      </c>
      <c r="BJ22" t="n">
        <v>0</v>
      </c>
      <c r="BK22" t="n">
        <v>1585.48345099</v>
      </c>
      <c r="BL22" t="n">
        <v>5484.64885857</v>
      </c>
      <c r="BM22" t="n">
        <v>0.7293099116569257</v>
      </c>
      <c r="BN22" t="n">
        <v>0</v>
      </c>
      <c r="BO22" t="n">
        <v>0</v>
      </c>
      <c r="BP22" t="n">
        <v>4666.461821447218</v>
      </c>
      <c r="BQ22" t="n">
        <v>0</v>
      </c>
      <c r="BR22" t="n">
        <v>0</v>
      </c>
      <c r="BS22" t="n">
        <v>43.24791175475945</v>
      </c>
      <c r="BT22" t="n">
        <v>0</v>
      </c>
      <c r="BU22" t="n">
        <v>7435.932931149347</v>
      </c>
      <c r="BV22" t="n">
        <v>2.143706431271896</v>
      </c>
      <c r="BW22" t="n">
        <v>0</v>
      </c>
      <c r="BX22" t="n">
        <v>301.7327080874792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37588.16532331418</v>
      </c>
      <c r="CJ22" t="n">
        <v>1908.19843728582</v>
      </c>
      <c r="CK22" t="n">
        <v>8.09257081484</v>
      </c>
      <c r="CL22" t="n">
        <v>43.7871681139</v>
      </c>
      <c r="CM22" t="n">
        <v>9071.78079087</v>
      </c>
      <c r="CN22" t="n">
        <v>0</v>
      </c>
      <c r="CO22" t="n">
        <v>0</v>
      </c>
      <c r="CP22" t="n">
        <v>347.92681816</v>
      </c>
      <c r="CQ22" t="n">
        <v>984.283941537</v>
      </c>
      <c r="CR22" t="n">
        <v>0</v>
      </c>
      <c r="CS22" t="n">
        <v>0</v>
      </c>
      <c r="CT22" t="n">
        <v>0</v>
      </c>
      <c r="CU22" t="n">
        <v>689.762294742</v>
      </c>
      <c r="CV22" t="n">
        <v>7.73099013119</v>
      </c>
      <c r="CW22" t="n">
        <v>50.51563095007756</v>
      </c>
      <c r="CX22" t="n">
        <v>11.09450161082244</v>
      </c>
      <c r="CY22" t="n">
        <v>967.1063444620002</v>
      </c>
      <c r="CZ22" t="n">
        <v>0.00406246458415987</v>
      </c>
      <c r="DA22" t="n">
        <v>0.00182100319917013</v>
      </c>
      <c r="DB22" t="n">
        <v>0</v>
      </c>
      <c r="DC22" t="n">
        <v>0</v>
      </c>
      <c r="DD22" t="n">
        <v>0.4672341779052208</v>
      </c>
      <c r="DE22" t="n">
        <v>0.2665403071037792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0.145615571681</v>
      </c>
      <c r="DM22" t="n">
        <v>3671.05667554</v>
      </c>
      <c r="DN22" t="n">
        <v>310.999624913</v>
      </c>
      <c r="DO22" t="n">
        <v>0</v>
      </c>
      <c r="DP22" t="n">
        <v>1938.44845799</v>
      </c>
      <c r="DQ22" t="n">
        <v>1956.93538405</v>
      </c>
      <c r="DR22" t="n">
        <v>2869.15447629</v>
      </c>
      <c r="DS22" t="n">
        <v>26547.7846919</v>
      </c>
      <c r="DT22" t="n">
        <v>1501.0289734745</v>
      </c>
      <c r="DU22" t="n">
        <v>7391.270739749999</v>
      </c>
      <c r="DV22" t="n">
        <v>0</v>
      </c>
      <c r="DW22" t="n">
        <v>0</v>
      </c>
      <c r="DX22" t="n">
        <v>160.5329327670646</v>
      </c>
      <c r="DY22" t="n">
        <v>458.081979294547</v>
      </c>
      <c r="DZ22" t="n">
        <v>10186.75299786705</v>
      </c>
      <c r="EA22" t="n">
        <v>1235.352666958281</v>
      </c>
      <c r="EB22" t="n">
        <v>488.069507329075</v>
      </c>
      <c r="EC22" t="n">
        <v>36.95167720963154</v>
      </c>
      <c r="ED22" t="n">
        <v>213.02996467476</v>
      </c>
      <c r="EE22" t="n">
        <v>167.1032224043203</v>
      </c>
      <c r="EF22" t="n">
        <v>0</v>
      </c>
      <c r="EG22" t="n">
        <v>11.36406994162234</v>
      </c>
      <c r="EH22" t="n">
        <v>0</v>
      </c>
      <c r="EI22" t="n">
        <v>0</v>
      </c>
      <c r="EJ22" t="n">
        <v>2459.82274317</v>
      </c>
      <c r="EK22" t="n">
        <v>9539.403568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8925.814611510001</v>
      </c>
      <c r="ER22" t="n">
        <v>1377.80644143</v>
      </c>
      <c r="ES22" t="n">
        <v>5628.20353823</v>
      </c>
      <c r="ET22" t="n">
        <v>8796.46644765</v>
      </c>
      <c r="EU22" t="n">
        <v>0</v>
      </c>
      <c r="EV22" t="n">
        <v>30296.038247431</v>
      </c>
      <c r="EW22" t="n">
        <v>769.0573023287</v>
      </c>
      <c r="EX22" t="n">
        <v>9886.43859541</v>
      </c>
      <c r="EY22" t="n">
        <v>7198.74526698</v>
      </c>
      <c r="EZ22" t="n">
        <v>83954.16485263</v>
      </c>
      <c r="FA22" t="n">
        <v>15294.563008583</v>
      </c>
      <c r="FB22" t="n">
        <v>30950.3724516</v>
      </c>
      <c r="FC22" t="n">
        <v>308.121759012</v>
      </c>
      <c r="FD22" t="n">
        <v>1190.086000744</v>
      </c>
      <c r="FE22" t="n">
        <v>749.5853719010657</v>
      </c>
      <c r="FF22" t="n">
        <v>11302.3998226312</v>
      </c>
      <c r="FG22" t="n">
        <v>16771.579081532</v>
      </c>
      <c r="FH22" t="n">
        <v>42904.6385463</v>
      </c>
      <c r="FI22" t="n">
        <v>13529.354277</v>
      </c>
      <c r="FJ22" t="n">
        <v>31909.8454513</v>
      </c>
      <c r="FK22" t="n">
        <v>0</v>
      </c>
      <c r="FL22" t="n">
        <v>242143.1325731</v>
      </c>
      <c r="FM22" t="n">
        <v>3328.271032657</v>
      </c>
      <c r="FN22" t="n">
        <v>70.8903087324</v>
      </c>
      <c r="FO22" t="n">
        <v>11126.0696009</v>
      </c>
      <c r="FP22" t="n">
        <v>15846.2651147</v>
      </c>
      <c r="FQ22" t="n">
        <v>186753.738044755</v>
      </c>
      <c r="FR22" t="n">
        <v>130808.66813279</v>
      </c>
      <c r="FS22" t="n">
        <v>258670.8658642</v>
      </c>
      <c r="FT22" t="n">
        <v>767.062811341</v>
      </c>
      <c r="FU22" t="n">
        <v>804.795130685</v>
      </c>
      <c r="FV22" t="n">
        <v>332.707084072</v>
      </c>
      <c r="FW22" t="n">
        <v>949.25281436</v>
      </c>
      <c r="FX22" t="n">
        <v>167.741871249</v>
      </c>
      <c r="FY22" t="n">
        <v>222.57871309</v>
      </c>
      <c r="FZ22" t="n">
        <v>919.981640762</v>
      </c>
      <c r="GA22" t="n">
        <v>70.53742816650001</v>
      </c>
      <c r="GB22" t="n">
        <v>6.1009405067</v>
      </c>
      <c r="GC22" t="n">
        <v>773.519846848</v>
      </c>
      <c r="GD22" t="n">
        <v>479.801236121</v>
      </c>
      <c r="GE22" t="n">
        <v>1.88906969237</v>
      </c>
      <c r="GF22" t="n">
        <v>266.243214735</v>
      </c>
      <c r="GG22" t="n">
        <v>472.339913116</v>
      </c>
      <c r="GH22" t="n">
        <v>460.334042583</v>
      </c>
      <c r="GI22" t="n">
        <v>317.565150196</v>
      </c>
      <c r="GJ22" t="n">
        <v>84.5779130124</v>
      </c>
      <c r="GK22" t="n">
        <v>1333.35580079</v>
      </c>
      <c r="GL22" t="n">
        <v>52.3022720474</v>
      </c>
      <c r="GM22" t="n">
        <v>192.223716855</v>
      </c>
      <c r="GN22" t="n">
        <v>22590.5100676</v>
      </c>
      <c r="GO22" t="n">
        <v>71885.0849681</v>
      </c>
      <c r="GP22" t="n">
        <v>11238.476071223</v>
      </c>
      <c r="GQ22" t="n">
        <v>0</v>
      </c>
      <c r="GR22" t="n">
        <v>10307.0682318725</v>
      </c>
      <c r="GS22" t="n">
        <v>5050.44137163263</v>
      </c>
      <c r="GT22" t="n">
        <v>31083.77676554307</v>
      </c>
      <c r="GU22" t="n">
        <v>8862.978943651917</v>
      </c>
      <c r="GV22" t="n">
        <v>8625.68364832183</v>
      </c>
      <c r="GW22" t="n">
        <v>35754.45194623331</v>
      </c>
      <c r="GX22" t="n">
        <v>348068.806370803</v>
      </c>
      <c r="GY22" t="n">
        <v>115961.4466882009</v>
      </c>
      <c r="GZ22" t="n">
        <v>5617.0054188691</v>
      </c>
      <c r="HA22" t="n">
        <v>76311.73408172725</v>
      </c>
      <c r="HB22" t="n">
        <v>83954.16485263</v>
      </c>
      <c r="HC22" t="n">
        <v>879887.6501223976</v>
      </c>
    </row>
    <row r="23">
      <c r="A23" s="1" t="inlineStr">
        <is>
          <t>M_imp*Y_dom</t>
        </is>
      </c>
      <c r="B23" t="n">
        <v>33.04237804777262</v>
      </c>
      <c r="C23" t="n">
        <v>1379.133982992328</v>
      </c>
      <c r="D23" t="n">
        <v>51.54181289819208</v>
      </c>
      <c r="E23" t="n">
        <v>4612.363415567157</v>
      </c>
      <c r="F23" t="n">
        <v>271.0967544238907</v>
      </c>
      <c r="G23" t="n">
        <v>0</v>
      </c>
      <c r="H23" t="n">
        <v>73.35565809246107</v>
      </c>
      <c r="I23" t="n">
        <v>0</v>
      </c>
      <c r="J23" t="n">
        <v>0</v>
      </c>
      <c r="K23" t="n">
        <v>0</v>
      </c>
      <c r="L23" t="n">
        <v>1675.429093578464</v>
      </c>
      <c r="M23" t="n">
        <v>948.1047303171914</v>
      </c>
      <c r="N23" t="n">
        <v>87.57345077646167</v>
      </c>
      <c r="O23" t="n">
        <v>102.0546253364977</v>
      </c>
      <c r="P23" t="n">
        <v>0</v>
      </c>
      <c r="Q23" t="n">
        <v>0</v>
      </c>
      <c r="R23" t="n">
        <v>0</v>
      </c>
      <c r="S23" t="n">
        <v>1820.786835209323</v>
      </c>
      <c r="T23" t="n">
        <v>782.7963025647864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252.2162386495407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3039.9474637379</v>
      </c>
      <c r="AS23" t="n">
        <v>705.5600320879563</v>
      </c>
      <c r="AT23" t="n">
        <v>3473.134698617845</v>
      </c>
      <c r="AU23" t="n">
        <v>8896.227875945251</v>
      </c>
      <c r="AV23" t="n">
        <v>7.242848136083881</v>
      </c>
      <c r="AW23" t="n">
        <v>4506.751600540274</v>
      </c>
      <c r="AX23" t="n">
        <v>3.140977678390568</v>
      </c>
      <c r="AY23" t="n">
        <v>169.5942934945033</v>
      </c>
      <c r="AZ23" t="n">
        <v>11283.29746487021</v>
      </c>
      <c r="BA23" t="n">
        <v>3473.860750141622</v>
      </c>
      <c r="BB23" t="n">
        <v>1328.075776417178</v>
      </c>
      <c r="BC23" t="n">
        <v>273.7967080914125</v>
      </c>
      <c r="BD23" t="n">
        <v>925.4386776445069</v>
      </c>
      <c r="BE23" t="n">
        <v>1033.464361119693</v>
      </c>
      <c r="BF23" t="n">
        <v>51.64263700533346</v>
      </c>
      <c r="BG23" t="n">
        <v>537.3593532936837</v>
      </c>
      <c r="BH23" t="n">
        <v>164.848278324235</v>
      </c>
      <c r="BI23" t="n">
        <v>0</v>
      </c>
      <c r="BJ23" t="n">
        <v>0</v>
      </c>
      <c r="BK23" t="n">
        <v>1066.479991053564</v>
      </c>
      <c r="BL23" t="n">
        <v>1292.722740305649</v>
      </c>
      <c r="BM23" t="n">
        <v>0.6647281271813343</v>
      </c>
      <c r="BN23" t="n">
        <v>0</v>
      </c>
      <c r="BO23" t="n">
        <v>0</v>
      </c>
      <c r="BP23" t="n">
        <v>18327.90945105353</v>
      </c>
      <c r="BQ23" t="n">
        <v>0</v>
      </c>
      <c r="BR23" t="n">
        <v>0</v>
      </c>
      <c r="BS23" t="n">
        <v>43.78038998313499</v>
      </c>
      <c r="BT23" t="n">
        <v>0</v>
      </c>
      <c r="BU23" t="n">
        <v>13023.07525564579</v>
      </c>
      <c r="BV23" t="n">
        <v>1.295544115188697</v>
      </c>
      <c r="BW23" t="n">
        <v>0</v>
      </c>
      <c r="BX23" t="n">
        <v>309.6171736558777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24774.92794037286</v>
      </c>
      <c r="CJ23" t="n">
        <v>973.564433423177</v>
      </c>
      <c r="CK23" t="n">
        <v>2.880054670842607</v>
      </c>
      <c r="CL23" t="n">
        <v>21.48732653376048</v>
      </c>
      <c r="CM23" t="n">
        <v>11997.02852233597</v>
      </c>
      <c r="CN23" t="n">
        <v>0</v>
      </c>
      <c r="CO23" t="n">
        <v>0</v>
      </c>
      <c r="CP23" t="n">
        <v>188.3755217230421</v>
      </c>
      <c r="CQ23" t="n">
        <v>221.0468225262842</v>
      </c>
      <c r="CR23" t="n">
        <v>0</v>
      </c>
      <c r="CS23" t="n">
        <v>0</v>
      </c>
      <c r="CT23" t="n">
        <v>0</v>
      </c>
      <c r="CU23" t="n">
        <v>595.5604027912754</v>
      </c>
      <c r="CV23" t="n">
        <v>7.141729314994585</v>
      </c>
      <c r="CW23" t="n">
        <v>60.34188838270299</v>
      </c>
      <c r="CX23" t="n">
        <v>11.61029710136701</v>
      </c>
      <c r="CY23" t="n">
        <v>502.9022803264556</v>
      </c>
      <c r="CZ23" t="n">
        <v>0.002356272402030498</v>
      </c>
      <c r="DA23" t="n">
        <v>0.0006759236283459335</v>
      </c>
      <c r="DB23" t="n">
        <v>0</v>
      </c>
      <c r="DC23" t="n">
        <v>0</v>
      </c>
      <c r="DD23" t="n">
        <v>0.3765870958775559</v>
      </c>
      <c r="DE23" t="n">
        <v>0.1852065054015209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0.09483280495518871</v>
      </c>
      <c r="DM23" t="n">
        <v>1676.696613111398</v>
      </c>
      <c r="DN23" t="n">
        <v>116.41680716907</v>
      </c>
      <c r="DO23" t="n">
        <v>0</v>
      </c>
      <c r="DP23" t="n">
        <v>853.5305117208716</v>
      </c>
      <c r="DQ23" t="n">
        <v>662.7848619369618</v>
      </c>
      <c r="DR23" t="n">
        <v>990.6855725984129</v>
      </c>
      <c r="DS23" t="n">
        <v>11427.10848895678</v>
      </c>
      <c r="DT23" t="n">
        <v>585.5814893070861</v>
      </c>
      <c r="DU23" t="n">
        <v>2649.035144575365</v>
      </c>
      <c r="DV23" t="n">
        <v>0</v>
      </c>
      <c r="DW23" t="n">
        <v>0</v>
      </c>
      <c r="DX23" t="n">
        <v>1194.151260758469</v>
      </c>
      <c r="DY23" t="n">
        <v>269.6308751232324</v>
      </c>
      <c r="DZ23" t="n">
        <v>3421.11199583451</v>
      </c>
      <c r="EA23" t="n">
        <v>490.7311080662728</v>
      </c>
      <c r="EB23" t="n">
        <v>95.13163361173235</v>
      </c>
      <c r="EC23" t="n">
        <v>76.30032866685947</v>
      </c>
      <c r="ED23" t="n">
        <v>76.21272623045876</v>
      </c>
      <c r="EE23" t="n">
        <v>7.224097085784591</v>
      </c>
      <c r="EF23" t="n">
        <v>0</v>
      </c>
      <c r="EG23" t="n">
        <v>5.439587107908415</v>
      </c>
      <c r="EH23" t="n">
        <v>0</v>
      </c>
      <c r="EI23" t="n">
        <v>0</v>
      </c>
      <c r="EJ23" t="n">
        <v>371.3747349833716</v>
      </c>
      <c r="EK23" t="n">
        <v>1321.333951828791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4111.425678618943</v>
      </c>
      <c r="ER23" t="n">
        <v>3761.792715315235</v>
      </c>
      <c r="ES23" t="n">
        <v>1314.489660513581</v>
      </c>
      <c r="ET23" t="n">
        <v>4001.872443799538</v>
      </c>
      <c r="EU23" t="n">
        <v>0</v>
      </c>
      <c r="EV23" t="n">
        <v>2887.014971947292</v>
      </c>
      <c r="EW23" t="n">
        <v>125.7905636448047</v>
      </c>
      <c r="EX23" t="n">
        <v>1174.402863389354</v>
      </c>
      <c r="EY23" t="n">
        <v>963.5997403901769</v>
      </c>
      <c r="EZ23" t="n">
        <v>12231.04078183857</v>
      </c>
      <c r="FA23" t="n">
        <v>6229.513408243934</v>
      </c>
      <c r="FB23" t="n">
        <v>10081.1667894373</v>
      </c>
      <c r="FC23" t="n">
        <v>332.9273162437218</v>
      </c>
      <c r="FD23" t="n">
        <v>1504.060930195655</v>
      </c>
      <c r="FE23" t="n">
        <v>3588.423093023997</v>
      </c>
      <c r="FF23" t="n">
        <v>9207.74726131376</v>
      </c>
      <c r="FG23" t="n">
        <v>3962.289484901182</v>
      </c>
      <c r="FH23" t="n">
        <v>5797.021638158024</v>
      </c>
      <c r="FI23" t="n">
        <v>2630.213790199994</v>
      </c>
      <c r="FJ23" t="n">
        <v>6086.325537539213</v>
      </c>
      <c r="FK23" t="n">
        <v>0</v>
      </c>
      <c r="FL23" t="n">
        <v>63490.52985254618</v>
      </c>
      <c r="FM23" t="n">
        <v>532.7305535398992</v>
      </c>
      <c r="FN23" t="n">
        <v>10.33630454560421</v>
      </c>
      <c r="FO23" t="n">
        <v>7240.552687556281</v>
      </c>
      <c r="FP23" t="n">
        <v>2131.638123352396</v>
      </c>
      <c r="FQ23" t="n">
        <v>42136.08680176576</v>
      </c>
      <c r="FR23" t="n">
        <v>15362.16658989446</v>
      </c>
      <c r="FS23" t="n">
        <v>32457.21717226866</v>
      </c>
      <c r="FT23" t="n">
        <v>153.4420697796388</v>
      </c>
      <c r="FU23" t="n">
        <v>161.7906859923848</v>
      </c>
      <c r="FV23" t="n">
        <v>69.39854971353888</v>
      </c>
      <c r="FW23" t="n">
        <v>196.701948330598</v>
      </c>
      <c r="FX23" t="n">
        <v>33.34568860005716</v>
      </c>
      <c r="FY23" t="n">
        <v>45.22893118718179</v>
      </c>
      <c r="FZ23" t="n">
        <v>179.5787767209722</v>
      </c>
      <c r="GA23" t="n">
        <v>12.08587012839819</v>
      </c>
      <c r="GB23" t="n">
        <v>1.020056955171621</v>
      </c>
      <c r="GC23" t="n">
        <v>150.3749064651493</v>
      </c>
      <c r="GD23" t="n">
        <v>99.92294169424781</v>
      </c>
      <c r="GE23" t="n">
        <v>0.9455233949356378</v>
      </c>
      <c r="GF23" t="n">
        <v>59.55520933629295</v>
      </c>
      <c r="GG23" t="n">
        <v>108.8606657069332</v>
      </c>
      <c r="GH23" t="n">
        <v>98.8507978877584</v>
      </c>
      <c r="GI23" t="n">
        <v>65.19646226960272</v>
      </c>
      <c r="GJ23" t="n">
        <v>17.74739801941381</v>
      </c>
      <c r="GK23" t="n">
        <v>259.7142955437356</v>
      </c>
      <c r="GL23" t="n">
        <v>10.1353367731507</v>
      </c>
      <c r="GM23" t="n">
        <v>36.80059402717919</v>
      </c>
      <c r="GN23" t="n">
        <v>3615.142973502705</v>
      </c>
      <c r="GO23" t="n">
        <v>17749.92791943259</v>
      </c>
      <c r="GP23" t="n">
        <v>1509.652206625785</v>
      </c>
      <c r="GQ23" t="n">
        <v>0</v>
      </c>
      <c r="GR23" t="n">
        <v>4619.606263703241</v>
      </c>
      <c r="GS23" t="n">
        <v>3039.9474637379</v>
      </c>
      <c r="GT23" t="n">
        <v>15698.45643054671</v>
      </c>
      <c r="GU23" t="n">
        <v>5377.121353881522</v>
      </c>
      <c r="GV23" t="n">
        <v>4608.806225876771</v>
      </c>
      <c r="GW23" t="n">
        <v>16909.26076125745</v>
      </c>
      <c r="GX23" t="n">
        <v>127778.3654795692</v>
      </c>
      <c r="GY23" t="n">
        <v>84470.01999135273</v>
      </c>
      <c r="GZ23" t="n">
        <v>2010.545675769534</v>
      </c>
      <c r="HA23" t="n">
        <v>66540.48206616874</v>
      </c>
      <c r="HB23" t="n">
        <v>12231.04078183857</v>
      </c>
      <c r="HC23" t="n">
        <v>149447.2962916941</v>
      </c>
    </row>
    <row r="24">
      <c r="A24" s="1" t="inlineStr">
        <is>
          <t>M_dom*Y_dom</t>
        </is>
      </c>
      <c r="B24" t="n">
        <v>34.68943271120727</v>
      </c>
      <c r="C24" t="n">
        <v>785.132619852663</v>
      </c>
      <c r="D24" t="n">
        <v>29.12911142085607</v>
      </c>
      <c r="E24" t="n">
        <v>2706.5844528488</v>
      </c>
      <c r="F24" t="n">
        <v>109.0103575333484</v>
      </c>
      <c r="G24" t="n">
        <v>0</v>
      </c>
      <c r="H24" t="n">
        <v>71.46729255177432</v>
      </c>
      <c r="I24" t="n">
        <v>0</v>
      </c>
      <c r="J24" t="n">
        <v>0</v>
      </c>
      <c r="K24" t="n">
        <v>0</v>
      </c>
      <c r="L24" t="n">
        <v>4874.611205378473</v>
      </c>
      <c r="M24" t="n">
        <v>5363.994065772942</v>
      </c>
      <c r="N24" t="n">
        <v>599.4043230304795</v>
      </c>
      <c r="O24" t="n">
        <v>553.8152700559062</v>
      </c>
      <c r="P24" t="n">
        <v>0</v>
      </c>
      <c r="Q24" t="n">
        <v>0</v>
      </c>
      <c r="R24" t="n">
        <v>0</v>
      </c>
      <c r="S24" t="n">
        <v>3112.318592281037</v>
      </c>
      <c r="T24" t="n">
        <v>363.1738829166055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369.2739081601192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11204.49124100663</v>
      </c>
      <c r="AS24" t="n">
        <v>1340.143175145516</v>
      </c>
      <c r="AT24" t="n">
        <v>4391.6524663528</v>
      </c>
      <c r="AU24" t="n">
        <v>11197.77408229199</v>
      </c>
      <c r="AV24" t="n">
        <v>12.05995422918593</v>
      </c>
      <c r="AW24" t="n">
        <v>11773.45279995697</v>
      </c>
      <c r="AX24" t="n">
        <v>1.811356513620007</v>
      </c>
      <c r="AY24" t="n">
        <v>5138.142552457467</v>
      </c>
      <c r="AZ24" t="n">
        <v>27877.88606118646</v>
      </c>
      <c r="BA24" t="n">
        <v>5228.255133333183</v>
      </c>
      <c r="BB24" t="n">
        <v>3022.874457798776</v>
      </c>
      <c r="BC24" t="n">
        <v>127.7052145235235</v>
      </c>
      <c r="BD24" t="n">
        <v>297.2523878701718</v>
      </c>
      <c r="BE24" t="n">
        <v>326.1178594338752</v>
      </c>
      <c r="BF24" t="n">
        <v>22.93241489267542</v>
      </c>
      <c r="BG24" t="n">
        <v>550.1043828243285</v>
      </c>
      <c r="BH24" t="n">
        <v>74.05514081163305</v>
      </c>
      <c r="BI24" t="n">
        <v>0</v>
      </c>
      <c r="BJ24" t="n">
        <v>0</v>
      </c>
      <c r="BK24" t="n">
        <v>804.182964916123</v>
      </c>
      <c r="BL24" t="n">
        <v>610.3935317970635</v>
      </c>
      <c r="BM24" t="n">
        <v>0.5581581644410842</v>
      </c>
      <c r="BN24" t="n">
        <v>0</v>
      </c>
      <c r="BO24" t="n">
        <v>0</v>
      </c>
      <c r="BP24" t="n">
        <v>10948.78214072931</v>
      </c>
      <c r="BQ24" t="n">
        <v>0</v>
      </c>
      <c r="BR24" t="n">
        <v>0</v>
      </c>
      <c r="BS24" t="n">
        <v>26.14916932387396</v>
      </c>
      <c r="BT24" t="n">
        <v>0</v>
      </c>
      <c r="BU24" t="n">
        <v>7782.850725984609</v>
      </c>
      <c r="BV24" t="n">
        <v>0.7738614722512065</v>
      </c>
      <c r="BW24" t="n">
        <v>0</v>
      </c>
      <c r="BX24" t="n">
        <v>184.9381483886549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13198.13530597415</v>
      </c>
      <c r="CJ24" t="n">
        <v>632.547561639862</v>
      </c>
      <c r="CK24" t="n">
        <v>1.671964596786091</v>
      </c>
      <c r="CL24" t="n">
        <v>21.36915384174764</v>
      </c>
      <c r="CM24" t="n">
        <v>33248.3454191954</v>
      </c>
      <c r="CN24" t="n">
        <v>0</v>
      </c>
      <c r="CO24" t="n">
        <v>0</v>
      </c>
      <c r="CP24" t="n">
        <v>522.835104467622</v>
      </c>
      <c r="CQ24" t="n">
        <v>615.1993449132484</v>
      </c>
      <c r="CR24" t="n">
        <v>0</v>
      </c>
      <c r="CS24" t="n">
        <v>0</v>
      </c>
      <c r="CT24" t="n">
        <v>0</v>
      </c>
      <c r="CU24" t="n">
        <v>1036.22036799466</v>
      </c>
      <c r="CV24" t="n">
        <v>11.17935105435303</v>
      </c>
      <c r="CW24" t="n">
        <v>198.3191458895236</v>
      </c>
      <c r="CX24" t="n">
        <v>38.50822594273352</v>
      </c>
      <c r="CY24" t="n">
        <v>735.4478928887635</v>
      </c>
      <c r="CZ24" t="n">
        <v>0.004950673852895329</v>
      </c>
      <c r="DA24" t="n">
        <v>0.0003495146244844117</v>
      </c>
      <c r="DB24" t="n">
        <v>0</v>
      </c>
      <c r="DC24" t="n">
        <v>0</v>
      </c>
      <c r="DD24" t="n">
        <v>0.2374660394464634</v>
      </c>
      <c r="DE24" t="n">
        <v>0.04377726971430244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0.1237897940367572</v>
      </c>
      <c r="DM24" t="n">
        <v>712.0842195338032</v>
      </c>
      <c r="DN24" t="n">
        <v>38.78483332554377</v>
      </c>
      <c r="DO24" t="n">
        <v>0</v>
      </c>
      <c r="DP24" t="n">
        <v>976.7009884886055</v>
      </c>
      <c r="DQ24" t="n">
        <v>220.2730245672193</v>
      </c>
      <c r="DR24" t="n">
        <v>980.4268202145597</v>
      </c>
      <c r="DS24" t="n">
        <v>3634.94752653622</v>
      </c>
      <c r="DT24" t="n">
        <v>137.7656001863909</v>
      </c>
      <c r="DU24" t="n">
        <v>946.3787876129367</v>
      </c>
      <c r="DV24" t="n">
        <v>0</v>
      </c>
      <c r="DW24" t="n">
        <v>0</v>
      </c>
      <c r="DX24" t="n">
        <v>498.9482861021435</v>
      </c>
      <c r="DY24" t="n">
        <v>244.3377689951013</v>
      </c>
      <c r="DZ24" t="n">
        <v>1475.447280848779</v>
      </c>
      <c r="EA24" t="n">
        <v>195.2723842730117</v>
      </c>
      <c r="EB24" t="n">
        <v>42.18087694181064</v>
      </c>
      <c r="EC24" t="n">
        <v>18.85809107328231</v>
      </c>
      <c r="ED24" t="n">
        <v>33.75892892295671</v>
      </c>
      <c r="EE24" t="n">
        <v>3.577828544789058</v>
      </c>
      <c r="EF24" t="n">
        <v>0</v>
      </c>
      <c r="EG24" t="n">
        <v>2.278913572652311</v>
      </c>
      <c r="EH24" t="n">
        <v>0</v>
      </c>
      <c r="EI24" t="n">
        <v>0</v>
      </c>
      <c r="EJ24" t="n">
        <v>137.5201352520199</v>
      </c>
      <c r="EK24" t="n">
        <v>504.0806790610549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1831.986367823354</v>
      </c>
      <c r="ER24" t="n">
        <v>2798.841604067492</v>
      </c>
      <c r="ES24" t="n">
        <v>945.3286051178367</v>
      </c>
      <c r="ET24" t="n">
        <v>4740.672518036557</v>
      </c>
      <c r="EU24" t="n">
        <v>0</v>
      </c>
      <c r="EV24" t="n">
        <v>926.3437416891967</v>
      </c>
      <c r="EW24" t="n">
        <v>63.94880584862079</v>
      </c>
      <c r="EX24" t="n">
        <v>514.0053383374765</v>
      </c>
      <c r="EY24" t="n">
        <v>632.4777646870815</v>
      </c>
      <c r="EZ24" t="n">
        <v>12067.48550063746</v>
      </c>
      <c r="FA24" t="n">
        <v>1409.643731847975</v>
      </c>
      <c r="FB24" t="n">
        <v>3679.929211092014</v>
      </c>
      <c r="FC24" t="n">
        <v>39.07172346455284</v>
      </c>
      <c r="FD24" t="n">
        <v>134.5191653175998</v>
      </c>
      <c r="FE24" t="n">
        <v>1367.395668257101</v>
      </c>
      <c r="FF24" t="n">
        <v>1878.537160990469</v>
      </c>
      <c r="FG24" t="n">
        <v>1637.183758443807</v>
      </c>
      <c r="FH24" t="n">
        <v>2678.622363362375</v>
      </c>
      <c r="FI24" t="n">
        <v>1323.060188660329</v>
      </c>
      <c r="FJ24" t="n">
        <v>2706.609201170449</v>
      </c>
      <c r="FK24" t="n">
        <v>0</v>
      </c>
      <c r="FL24" t="n">
        <v>66485.43707066265</v>
      </c>
      <c r="FM24" t="n">
        <v>250.5466131269224</v>
      </c>
      <c r="FN24" t="n">
        <v>3.962699743992908</v>
      </c>
      <c r="FO24" t="n">
        <v>2927.844123597871</v>
      </c>
      <c r="FP24" t="n">
        <v>954.0816216909391</v>
      </c>
      <c r="FQ24" t="n">
        <v>22983.62750449856</v>
      </c>
      <c r="FR24" t="n">
        <v>9884.93286785867</v>
      </c>
      <c r="FS24" t="n">
        <v>18522.68494407874</v>
      </c>
      <c r="FT24" t="n">
        <v>88.47444081551981</v>
      </c>
      <c r="FU24" t="n">
        <v>91.12289619325618</v>
      </c>
      <c r="FV24" t="n">
        <v>34.87148505995953</v>
      </c>
      <c r="FW24" t="n">
        <v>107.3111840141818</v>
      </c>
      <c r="FX24" t="n">
        <v>18.1804557039084</v>
      </c>
      <c r="FY24" t="n">
        <v>23.58580780273622</v>
      </c>
      <c r="FZ24" t="n">
        <v>100.5480737951768</v>
      </c>
      <c r="GA24" t="n">
        <v>6.042722938580079</v>
      </c>
      <c r="GB24" t="n">
        <v>0.4789734095939834</v>
      </c>
      <c r="GC24" t="n">
        <v>78.09064657620756</v>
      </c>
      <c r="GD24" t="n">
        <v>51.54802758415238</v>
      </c>
      <c r="GE24" t="n">
        <v>0.08057539171282196</v>
      </c>
      <c r="GF24" t="n">
        <v>29.96180258494857</v>
      </c>
      <c r="GG24" t="n">
        <v>55.60565546354458</v>
      </c>
      <c r="GH24" t="n">
        <v>49.83607995018921</v>
      </c>
      <c r="GI24" t="n">
        <v>32.60741966533833</v>
      </c>
      <c r="GJ24" t="n">
        <v>7.941491124999551</v>
      </c>
      <c r="GK24" t="n">
        <v>147.5257494936506</v>
      </c>
      <c r="GL24" t="n">
        <v>4.713731496065473</v>
      </c>
      <c r="GM24" t="n">
        <v>18.88645452016416</v>
      </c>
      <c r="GN24" t="n">
        <v>1547.923252259797</v>
      </c>
      <c r="GO24" t="n">
        <v>9952.045990703295</v>
      </c>
      <c r="GP24" t="n">
        <v>194.7697436475402</v>
      </c>
      <c r="GQ24" t="n">
        <v>0</v>
      </c>
      <c r="GR24" t="n">
        <v>2718.644407077986</v>
      </c>
      <c r="GS24" t="n">
        <v>11204.49124100663</v>
      </c>
      <c r="GT24" t="n">
        <v>27168.17499494172</v>
      </c>
      <c r="GU24" t="n">
        <v>12736.03100590405</v>
      </c>
      <c r="GV24" t="n">
        <v>12327.26807001287</v>
      </c>
      <c r="GW24" t="n">
        <v>41611.84185860937</v>
      </c>
      <c r="GX24" t="n">
        <v>108167.0223758343</v>
      </c>
      <c r="GY24" t="n">
        <v>37677.39840447835</v>
      </c>
      <c r="GZ24" t="n">
        <v>646.3026621967225</v>
      </c>
      <c r="HA24" t="n">
        <v>65384.60870825322</v>
      </c>
      <c r="HB24" t="n">
        <v>12067.48550063746</v>
      </c>
      <c r="HC24" t="n">
        <v>79597.41280210738</v>
      </c>
    </row>
    <row r="25">
      <c r="A25" s="1" t="inlineStr">
        <is>
          <t>M_imp*Y_dom+M_dom*Y_dom</t>
        </is>
      </c>
      <c r="B25" t="n">
        <v>67.73181075897989</v>
      </c>
      <c r="C25" t="n">
        <v>2164.266602844991</v>
      </c>
      <c r="D25" t="n">
        <v>80.67092431904815</v>
      </c>
      <c r="E25" t="n">
        <v>7318.947868415957</v>
      </c>
      <c r="F25" t="n">
        <v>380.1071119572392</v>
      </c>
      <c r="G25" t="n">
        <v>0</v>
      </c>
      <c r="H25" t="n">
        <v>144.8229506442354</v>
      </c>
      <c r="I25" t="n">
        <v>0</v>
      </c>
      <c r="J25" t="n">
        <v>0</v>
      </c>
      <c r="K25" t="n">
        <v>0</v>
      </c>
      <c r="L25" t="n">
        <v>6550.040298956937</v>
      </c>
      <c r="M25" t="n">
        <v>6312.098796090134</v>
      </c>
      <c r="N25" t="n">
        <v>686.9777738069412</v>
      </c>
      <c r="O25" t="n">
        <v>655.8698953924039</v>
      </c>
      <c r="P25" t="n">
        <v>0</v>
      </c>
      <c r="Q25" t="n">
        <v>0</v>
      </c>
      <c r="R25" t="n">
        <v>0</v>
      </c>
      <c r="S25" t="n">
        <v>4933.10542749036</v>
      </c>
      <c r="T25" t="n">
        <v>1145.970185481392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621.4901468096598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14244.43870474453</v>
      </c>
      <c r="AS25" t="n">
        <v>2045.703207233472</v>
      </c>
      <c r="AT25" t="n">
        <v>7864.787164970645</v>
      </c>
      <c r="AU25" t="n">
        <v>20094.00195823724</v>
      </c>
      <c r="AV25" t="n">
        <v>19.30280236526981</v>
      </c>
      <c r="AW25" t="n">
        <v>16280.20440049724</v>
      </c>
      <c r="AX25" t="n">
        <v>4.952334192010575</v>
      </c>
      <c r="AY25" t="n">
        <v>5307.73684595197</v>
      </c>
      <c r="AZ25" t="n">
        <v>39161.18352605667</v>
      </c>
      <c r="BA25" t="n">
        <v>8702.115883474806</v>
      </c>
      <c r="BB25" t="n">
        <v>4350.950234215954</v>
      </c>
      <c r="BC25" t="n">
        <v>401.501922614936</v>
      </c>
      <c r="BD25" t="n">
        <v>1222.691065514679</v>
      </c>
      <c r="BE25" t="n">
        <v>1359.582220553569</v>
      </c>
      <c r="BF25" t="n">
        <v>74.57505189800888</v>
      </c>
      <c r="BG25" t="n">
        <v>1087.463736118012</v>
      </c>
      <c r="BH25" t="n">
        <v>238.903419135868</v>
      </c>
      <c r="BI25" t="n">
        <v>0</v>
      </c>
      <c r="BJ25" t="n">
        <v>0</v>
      </c>
      <c r="BK25" t="n">
        <v>1870.662955969687</v>
      </c>
      <c r="BL25" t="n">
        <v>1903.116272102712</v>
      </c>
      <c r="BM25" t="n">
        <v>1.222886291622419</v>
      </c>
      <c r="BN25" t="n">
        <v>0</v>
      </c>
      <c r="BO25" t="n">
        <v>0</v>
      </c>
      <c r="BP25" t="n">
        <v>29276.69159178284</v>
      </c>
      <c r="BQ25" t="n">
        <v>0</v>
      </c>
      <c r="BR25" t="n">
        <v>0</v>
      </c>
      <c r="BS25" t="n">
        <v>69.92955930700894</v>
      </c>
      <c r="BT25" t="n">
        <v>0</v>
      </c>
      <c r="BU25" t="n">
        <v>20805.9259816304</v>
      </c>
      <c r="BV25" t="n">
        <v>2.069405587439904</v>
      </c>
      <c r="BW25" t="n">
        <v>0</v>
      </c>
      <c r="BX25" t="n">
        <v>494.5553220445325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37973.06324634701</v>
      </c>
      <c r="CJ25" t="n">
        <v>1606.111995063039</v>
      </c>
      <c r="CK25" t="n">
        <v>4.552019267628698</v>
      </c>
      <c r="CL25" t="n">
        <v>42.85648037550813</v>
      </c>
      <c r="CM25" t="n">
        <v>45245.37394153137</v>
      </c>
      <c r="CN25" t="n">
        <v>0</v>
      </c>
      <c r="CO25" t="n">
        <v>0</v>
      </c>
      <c r="CP25" t="n">
        <v>711.2106261906641</v>
      </c>
      <c r="CQ25" t="n">
        <v>836.2461674395327</v>
      </c>
      <c r="CR25" t="n">
        <v>0</v>
      </c>
      <c r="CS25" t="n">
        <v>0</v>
      </c>
      <c r="CT25" t="n">
        <v>0</v>
      </c>
      <c r="CU25" t="n">
        <v>1631.780770785935</v>
      </c>
      <c r="CV25" t="n">
        <v>18.32108036934762</v>
      </c>
      <c r="CW25" t="n">
        <v>258.6610342722266</v>
      </c>
      <c r="CX25" t="n">
        <v>50.11852304410053</v>
      </c>
      <c r="CY25" t="n">
        <v>1238.350173215219</v>
      </c>
      <c r="CZ25" t="n">
        <v>0.007306946254925827</v>
      </c>
      <c r="DA25" t="n">
        <v>0.001025438252830345</v>
      </c>
      <c r="DB25" t="n">
        <v>0</v>
      </c>
      <c r="DC25" t="n">
        <v>0</v>
      </c>
      <c r="DD25" t="n">
        <v>0.6140531353240193</v>
      </c>
      <c r="DE25" t="n">
        <v>0.2289837751158234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0.218622598991946</v>
      </c>
      <c r="DM25" t="n">
        <v>2388.780832645201</v>
      </c>
      <c r="DN25" t="n">
        <v>155.2016404946138</v>
      </c>
      <c r="DO25" t="n">
        <v>0</v>
      </c>
      <c r="DP25" t="n">
        <v>1830.231500209477</v>
      </c>
      <c r="DQ25" t="n">
        <v>883.0578865041811</v>
      </c>
      <c r="DR25" t="n">
        <v>1971.112392812973</v>
      </c>
      <c r="DS25" t="n">
        <v>15062.056015493</v>
      </c>
      <c r="DT25" t="n">
        <v>723.347089493477</v>
      </c>
      <c r="DU25" t="n">
        <v>3595.413932188302</v>
      </c>
      <c r="DV25" t="n">
        <v>0</v>
      </c>
      <c r="DW25" t="n">
        <v>0</v>
      </c>
      <c r="DX25" t="n">
        <v>1693.099546860612</v>
      </c>
      <c r="DY25" t="n">
        <v>513.9686441183337</v>
      </c>
      <c r="DZ25" t="n">
        <v>4896.559276683289</v>
      </c>
      <c r="EA25" t="n">
        <v>686.0034923392845</v>
      </c>
      <c r="EB25" t="n">
        <v>137.312510553543</v>
      </c>
      <c r="EC25" t="n">
        <v>95.15841974014178</v>
      </c>
      <c r="ED25" t="n">
        <v>109.9716551534155</v>
      </c>
      <c r="EE25" t="n">
        <v>10.80192563057365</v>
      </c>
      <c r="EF25" t="n">
        <v>0</v>
      </c>
      <c r="EG25" t="n">
        <v>7.718500680560726</v>
      </c>
      <c r="EH25" t="n">
        <v>0</v>
      </c>
      <c r="EI25" t="n">
        <v>0</v>
      </c>
      <c r="EJ25" t="n">
        <v>508.8948702353915</v>
      </c>
      <c r="EK25" t="n">
        <v>1825.414630889846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5943.412046442297</v>
      </c>
      <c r="ER25" t="n">
        <v>6560.634319382727</v>
      </c>
      <c r="ES25" t="n">
        <v>2259.818265631417</v>
      </c>
      <c r="ET25" t="n">
        <v>8742.544961836094</v>
      </c>
      <c r="EU25" t="n">
        <v>0</v>
      </c>
      <c r="EV25" t="n">
        <v>3813.358713636489</v>
      </c>
      <c r="EW25" t="n">
        <v>189.7393694934255</v>
      </c>
      <c r="EX25" t="n">
        <v>1688.408201726831</v>
      </c>
      <c r="EY25" t="n">
        <v>1596.077505077258</v>
      </c>
      <c r="EZ25" t="n">
        <v>24298.52628247603</v>
      </c>
      <c r="FA25" t="n">
        <v>7639.157140091909</v>
      </c>
      <c r="FB25" t="n">
        <v>13761.09600052931</v>
      </c>
      <c r="FC25" t="n">
        <v>371.9990397082747</v>
      </c>
      <c r="FD25" t="n">
        <v>1638.580095513255</v>
      </c>
      <c r="FE25" t="n">
        <v>4955.818761281098</v>
      </c>
      <c r="FF25" t="n">
        <v>11086.28442230423</v>
      </c>
      <c r="FG25" t="n">
        <v>5599.473243344988</v>
      </c>
      <c r="FH25" t="n">
        <v>8475.644001520399</v>
      </c>
      <c r="FI25" t="n">
        <v>3953.273978860323</v>
      </c>
      <c r="FJ25" t="n">
        <v>8792.934738709662</v>
      </c>
      <c r="FK25" t="n">
        <v>0</v>
      </c>
      <c r="FL25" t="n">
        <v>129975.9669232088</v>
      </c>
      <c r="FM25" t="n">
        <v>783.2771666668216</v>
      </c>
      <c r="FN25" t="n">
        <v>14.29900428959712</v>
      </c>
      <c r="FO25" t="n">
        <v>10168.39681115415</v>
      </c>
      <c r="FP25" t="n">
        <v>3085.719745043335</v>
      </c>
      <c r="FQ25" t="n">
        <v>65119.71430626432</v>
      </c>
      <c r="FR25" t="n">
        <v>25247.09945775313</v>
      </c>
      <c r="FS25" t="n">
        <v>50979.9021163474</v>
      </c>
      <c r="FT25" t="n">
        <v>241.9165105951587</v>
      </c>
      <c r="FU25" t="n">
        <v>252.913582185641</v>
      </c>
      <c r="FV25" t="n">
        <v>104.2700347734984</v>
      </c>
      <c r="FW25" t="n">
        <v>304.0131323447798</v>
      </c>
      <c r="FX25" t="n">
        <v>51.52614430396555</v>
      </c>
      <c r="FY25" t="n">
        <v>68.81473898991801</v>
      </c>
      <c r="FZ25" t="n">
        <v>280.126850516149</v>
      </c>
      <c r="GA25" t="n">
        <v>18.12859306697827</v>
      </c>
      <c r="GB25" t="n">
        <v>1.499030364765604</v>
      </c>
      <c r="GC25" t="n">
        <v>228.4655530413568</v>
      </c>
      <c r="GD25" t="n">
        <v>151.4709692784002</v>
      </c>
      <c r="GE25" t="n">
        <v>1.02609878664846</v>
      </c>
      <c r="GF25" t="n">
        <v>89.51701192124152</v>
      </c>
      <c r="GG25" t="n">
        <v>164.4663211704778</v>
      </c>
      <c r="GH25" t="n">
        <v>148.6868778379476</v>
      </c>
      <c r="GI25" t="n">
        <v>97.80388193494105</v>
      </c>
      <c r="GJ25" t="n">
        <v>25.68888914441336</v>
      </c>
      <c r="GK25" t="n">
        <v>407.2400450373863</v>
      </c>
      <c r="GL25" t="n">
        <v>14.84906826921617</v>
      </c>
      <c r="GM25" t="n">
        <v>55.68704854734336</v>
      </c>
      <c r="GN25" t="n">
        <v>5163.066225762503</v>
      </c>
      <c r="GO25" t="n">
        <v>27701.97391013589</v>
      </c>
      <c r="GP25" t="n">
        <v>1704.421950273325</v>
      </c>
      <c r="GQ25" t="n">
        <v>0</v>
      </c>
      <c r="GR25" t="n">
        <v>7338.250670781227</v>
      </c>
      <c r="GS25" t="n">
        <v>14244.43870474453</v>
      </c>
      <c r="GT25" t="n">
        <v>42866.63142548843</v>
      </c>
      <c r="GU25" t="n">
        <v>18113.15235978557</v>
      </c>
      <c r="GV25" t="n">
        <v>16936.07429588964</v>
      </c>
      <c r="GW25" t="n">
        <v>58521.10261986681</v>
      </c>
      <c r="GX25" t="n">
        <v>235945.3878554035</v>
      </c>
      <c r="GY25" t="n">
        <v>122147.4183958311</v>
      </c>
      <c r="GZ25" t="n">
        <v>2656.848337966256</v>
      </c>
      <c r="HA25" t="n">
        <v>131925.090774422</v>
      </c>
      <c r="HB25" t="n">
        <v>24298.52628247603</v>
      </c>
      <c r="HC25" t="n">
        <v>229044.7090938015</v>
      </c>
    </row>
    <row r="26">
      <c r="A26" s="1" t="inlineStr">
        <is>
          <t>M_row*Y_imp</t>
        </is>
      </c>
      <c r="B26" t="n">
        <v>39.08218604230982</v>
      </c>
      <c r="C26" t="n">
        <v>1279.294469859246</v>
      </c>
      <c r="D26" t="n">
        <v>16.24866762372723</v>
      </c>
      <c r="E26" t="n">
        <v>16692.26740647765</v>
      </c>
      <c r="F26" t="n">
        <v>2129.455406248414</v>
      </c>
      <c r="G26" t="n">
        <v>0</v>
      </c>
      <c r="H26" t="n">
        <v>315.5860758972039</v>
      </c>
      <c r="I26" t="n">
        <v>854.5801325568515</v>
      </c>
      <c r="J26" t="n">
        <v>0</v>
      </c>
      <c r="K26" t="n">
        <v>0</v>
      </c>
      <c r="L26" t="n">
        <v>117.6630741623269</v>
      </c>
      <c r="M26" t="n">
        <v>1030.623850323879</v>
      </c>
      <c r="N26" t="n">
        <v>1142.346946093874</v>
      </c>
      <c r="O26" t="n">
        <v>0</v>
      </c>
      <c r="P26" t="n">
        <v>0</v>
      </c>
      <c r="Q26" t="n">
        <v>0</v>
      </c>
      <c r="R26" t="n">
        <v>0</v>
      </c>
      <c r="S26" t="n">
        <v>4980.153744145346</v>
      </c>
      <c r="T26" t="n">
        <v>1265.997469166458</v>
      </c>
      <c r="U26" t="n">
        <v>3.521625509399511</v>
      </c>
      <c r="V26" t="n">
        <v>0</v>
      </c>
      <c r="W26" t="n">
        <v>35.66830098635684</v>
      </c>
      <c r="X26" t="n">
        <v>0</v>
      </c>
      <c r="Y26" t="n">
        <v>6.872865142150109</v>
      </c>
      <c r="Z26" t="n">
        <v>0</v>
      </c>
      <c r="AA26" t="n">
        <v>0</v>
      </c>
      <c r="AB26" t="n">
        <v>0</v>
      </c>
      <c r="AC26" t="n">
        <v>0</v>
      </c>
      <c r="AD26" t="n">
        <v>4915.067118233812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6144.998578798252</v>
      </c>
      <c r="AS26" t="n">
        <v>777.7550594788025</v>
      </c>
      <c r="AT26" t="n">
        <v>1792.900977825761</v>
      </c>
      <c r="AU26" t="n">
        <v>2791.493283768309</v>
      </c>
      <c r="AV26" t="n">
        <v>260.9286065442284</v>
      </c>
      <c r="AW26" t="n">
        <v>4466.94246729419</v>
      </c>
      <c r="AX26" t="n">
        <v>176.241399249589</v>
      </c>
      <c r="AY26" t="n">
        <v>457.5319798019715</v>
      </c>
      <c r="AZ26" t="n">
        <v>19386.47881082116</v>
      </c>
      <c r="BA26" t="n">
        <v>1812.722725306782</v>
      </c>
      <c r="BB26" t="n">
        <v>2994.727056290585</v>
      </c>
      <c r="BC26" t="n">
        <v>1330.350930760917</v>
      </c>
      <c r="BD26" t="n">
        <v>7030.305704368036</v>
      </c>
      <c r="BE26" t="n">
        <v>21931.79424592646</v>
      </c>
      <c r="BF26" t="n">
        <v>16301.72662965883</v>
      </c>
      <c r="BG26" t="n">
        <v>1766.991364095219</v>
      </c>
      <c r="BH26" t="n">
        <v>0</v>
      </c>
      <c r="BI26" t="n">
        <v>0</v>
      </c>
      <c r="BJ26" t="n">
        <v>0</v>
      </c>
      <c r="BK26" t="n">
        <v>2371.895455935686</v>
      </c>
      <c r="BL26" t="n">
        <v>689.39036258462</v>
      </c>
      <c r="BM26" t="n">
        <v>0.292664872417236</v>
      </c>
      <c r="BN26" t="n">
        <v>0</v>
      </c>
      <c r="BO26" t="n">
        <v>0</v>
      </c>
      <c r="BP26" t="n">
        <v>8249.48361398222</v>
      </c>
      <c r="BQ26" t="n">
        <v>0.02904420910070297</v>
      </c>
      <c r="BR26" t="n">
        <v>0</v>
      </c>
      <c r="BS26" t="n">
        <v>112.2951928672447</v>
      </c>
      <c r="BT26" t="n">
        <v>82.53326599257936</v>
      </c>
      <c r="BU26" t="n">
        <v>7804.583291299122</v>
      </c>
      <c r="BV26" t="n">
        <v>7.660897901091821</v>
      </c>
      <c r="BW26" t="n">
        <v>0</v>
      </c>
      <c r="BX26" t="n">
        <v>747.2041357190566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7936.812127612869</v>
      </c>
      <c r="CJ26" t="n">
        <v>0</v>
      </c>
      <c r="CK26" t="n">
        <v>6.297929692961642</v>
      </c>
      <c r="CL26" t="n">
        <v>786.3356679888848</v>
      </c>
      <c r="CM26" t="n">
        <v>15629.98915390667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4733.945159841703</v>
      </c>
      <c r="CV26" t="n">
        <v>0.4977729987650833</v>
      </c>
      <c r="CW26" t="n">
        <v>4.957155023645685</v>
      </c>
      <c r="CX26" t="n">
        <v>0</v>
      </c>
      <c r="CY26" t="n">
        <v>5415.287119237406</v>
      </c>
      <c r="CZ26" t="n">
        <v>0.01257564023163417</v>
      </c>
      <c r="DA26" t="n">
        <v>0</v>
      </c>
      <c r="DB26" t="n">
        <v>9.624949948739786</v>
      </c>
      <c r="DC26" t="n">
        <v>0</v>
      </c>
      <c r="DD26" t="n">
        <v>3.108068726760202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25.43175045184261</v>
      </c>
      <c r="DK26" t="n">
        <v>0</v>
      </c>
      <c r="DL26" t="n">
        <v>0</v>
      </c>
      <c r="DM26" t="n">
        <v>2362.027451497641</v>
      </c>
      <c r="DN26" t="n">
        <v>215.3875140290286</v>
      </c>
      <c r="DO26" t="n">
        <v>3601.236280517673</v>
      </c>
      <c r="DP26" t="n">
        <v>1938.33600878699</v>
      </c>
      <c r="DQ26" t="n">
        <v>1308.981970848606</v>
      </c>
      <c r="DR26" t="n">
        <v>840.8180832777716</v>
      </c>
      <c r="DS26" t="n">
        <v>22913.36438005681</v>
      </c>
      <c r="DT26" t="n">
        <v>1966.685736379673</v>
      </c>
      <c r="DU26" t="n">
        <v>12935.21588626194</v>
      </c>
      <c r="DV26" t="n">
        <v>0</v>
      </c>
      <c r="DW26" t="n">
        <v>0</v>
      </c>
      <c r="DX26" t="n">
        <v>95.93341631492851</v>
      </c>
      <c r="DY26" t="n">
        <v>152.7772369046745</v>
      </c>
      <c r="DZ26" t="n">
        <v>81.51297969581964</v>
      </c>
      <c r="EA26" t="n">
        <v>74.75684389072067</v>
      </c>
      <c r="EB26" t="n">
        <v>8.985095780451946</v>
      </c>
      <c r="EC26" t="n">
        <v>2.408176969916959</v>
      </c>
      <c r="ED26" t="n">
        <v>3.129556624333323</v>
      </c>
      <c r="EE26" t="n">
        <v>6.199840924780215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81.18223023860638</v>
      </c>
      <c r="EY26" t="n">
        <v>0</v>
      </c>
      <c r="EZ26" t="n">
        <v>0</v>
      </c>
      <c r="FA26" t="n">
        <v>2404.61673258207</v>
      </c>
      <c r="FB26" t="n">
        <v>2742.711358980673</v>
      </c>
      <c r="FC26" t="n">
        <v>1.676113368235233</v>
      </c>
      <c r="FD26" t="n">
        <v>3419.927467340046</v>
      </c>
      <c r="FE26" t="n">
        <v>443.3775271056641</v>
      </c>
      <c r="FF26" t="n">
        <v>8610.727038663905</v>
      </c>
      <c r="FG26" t="n">
        <v>574.435017484475</v>
      </c>
      <c r="FH26" t="n">
        <v>1049.242823885854</v>
      </c>
      <c r="FI26" t="n">
        <v>278.5023407655262</v>
      </c>
      <c r="FJ26" t="n">
        <v>352.0410578825384</v>
      </c>
      <c r="FK26" t="n">
        <v>0</v>
      </c>
      <c r="FL26" t="n">
        <v>0</v>
      </c>
      <c r="FM26" t="n">
        <v>0</v>
      </c>
      <c r="FN26" t="n">
        <v>0.7221256403040615</v>
      </c>
      <c r="FO26" t="n">
        <v>1531.761470752907</v>
      </c>
      <c r="FP26" t="n">
        <v>261.9965756849273</v>
      </c>
      <c r="FQ26" t="n">
        <v>878.6646381895537</v>
      </c>
      <c r="FR26" t="n">
        <v>540.6258531972139</v>
      </c>
      <c r="FS26" t="n">
        <v>1323.030879321219</v>
      </c>
      <c r="FT26" t="n">
        <v>4.786280178990694</v>
      </c>
      <c r="FU26" t="n">
        <v>2.644624665314783</v>
      </c>
      <c r="FV26" t="n">
        <v>1.820222787027073</v>
      </c>
      <c r="FW26" t="n">
        <v>6.43980802470373</v>
      </c>
      <c r="FX26" t="n">
        <v>0.7764141888280013</v>
      </c>
      <c r="FY26" t="n">
        <v>1.223801478752198</v>
      </c>
      <c r="FZ26" t="n">
        <v>4.733524717522618</v>
      </c>
      <c r="GA26" t="n">
        <v>0.7825945715382937</v>
      </c>
      <c r="GB26" t="n">
        <v>0.01770719766257651</v>
      </c>
      <c r="GC26" t="n">
        <v>3.529231309726521</v>
      </c>
      <c r="GD26" t="n">
        <v>5.293796569507028</v>
      </c>
      <c r="GE26" t="n">
        <v>0</v>
      </c>
      <c r="GF26" t="n">
        <v>1.743422557382656</v>
      </c>
      <c r="GG26" t="n">
        <v>5.325917315557547</v>
      </c>
      <c r="GH26" t="n">
        <v>2.468718815541693</v>
      </c>
      <c r="GI26" t="n">
        <v>1.663990669230559</v>
      </c>
      <c r="GJ26" t="n">
        <v>0.3102379884243221</v>
      </c>
      <c r="GK26" t="n">
        <v>4.858404895751311</v>
      </c>
      <c r="GL26" t="n">
        <v>0.1633674275997757</v>
      </c>
      <c r="GM26" t="n">
        <v>0.5073333674062566</v>
      </c>
      <c r="GN26" t="n">
        <v>106.6223576195461</v>
      </c>
      <c r="GO26" t="n">
        <v>1751.445294799324</v>
      </c>
      <c r="GP26" t="n">
        <v>407.5122508688548</v>
      </c>
      <c r="GQ26" t="n">
        <v>0</v>
      </c>
      <c r="GR26" t="n">
        <v>16953.19601302188</v>
      </c>
      <c r="GS26" t="n">
        <v>6144.998578798252</v>
      </c>
      <c r="GT26" t="n">
        <v>6510.436245559078</v>
      </c>
      <c r="GU26" t="n">
        <v>6875.286882554523</v>
      </c>
      <c r="GV26" t="n">
        <v>4466.94246729419</v>
      </c>
      <c r="GW26" t="n">
        <v>29496.75670297578</v>
      </c>
      <c r="GX26" t="n">
        <v>41212.05722051188</v>
      </c>
      <c r="GY26" t="n">
        <v>59932.87160842554</v>
      </c>
      <c r="GZ26" t="n">
        <v>45263.82657995333</v>
      </c>
      <c r="HA26" t="n">
        <v>62015.54111062834</v>
      </c>
      <c r="HB26" t="n">
        <v>0</v>
      </c>
      <c r="HC26" t="n">
        <v>9186.874315057317</v>
      </c>
    </row>
    <row r="27">
      <c r="A27" s="1" t="inlineStr">
        <is>
          <t>M_imp*Y_dom+M_dom*Y_dom+M_row*Y_imp</t>
        </is>
      </c>
      <c r="B27" t="n">
        <v>106.8139968012897</v>
      </c>
      <c r="C27" t="n">
        <v>3443.561072704237</v>
      </c>
      <c r="D27" t="n">
        <v>96.91959194277538</v>
      </c>
      <c r="E27" t="n">
        <v>24011.21527489361</v>
      </c>
      <c r="F27" t="n">
        <v>2509.562518205653</v>
      </c>
      <c r="G27" t="n">
        <v>0</v>
      </c>
      <c r="H27" t="n">
        <v>460.4090265414393</v>
      </c>
      <c r="I27" t="n">
        <v>854.5801325568515</v>
      </c>
      <c r="J27" t="n">
        <v>0</v>
      </c>
      <c r="K27" t="n">
        <v>0</v>
      </c>
      <c r="L27" t="n">
        <v>6667.703373119263</v>
      </c>
      <c r="M27" t="n">
        <v>7342.722646414013</v>
      </c>
      <c r="N27" t="n">
        <v>1829.324719900815</v>
      </c>
      <c r="O27" t="n">
        <v>655.8698953924039</v>
      </c>
      <c r="P27" t="n">
        <v>0</v>
      </c>
      <c r="Q27" t="n">
        <v>0</v>
      </c>
      <c r="R27" t="n">
        <v>0</v>
      </c>
      <c r="S27" t="n">
        <v>9913.259171635706</v>
      </c>
      <c r="T27" t="n">
        <v>2411.96765464785</v>
      </c>
      <c r="U27" t="n">
        <v>3.521625509399511</v>
      </c>
      <c r="V27" t="n">
        <v>0</v>
      </c>
      <c r="W27" t="n">
        <v>35.66830098635684</v>
      </c>
      <c r="X27" t="n">
        <v>0</v>
      </c>
      <c r="Y27" t="n">
        <v>6.872865142150109</v>
      </c>
      <c r="Z27" t="n">
        <v>0</v>
      </c>
      <c r="AA27" t="n">
        <v>0</v>
      </c>
      <c r="AB27" t="n">
        <v>0</v>
      </c>
      <c r="AC27" t="n">
        <v>0</v>
      </c>
      <c r="AD27" t="n">
        <v>5536.557265043471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20389.43728354279</v>
      </c>
      <c r="AS27" t="n">
        <v>2823.458266712275</v>
      </c>
      <c r="AT27" t="n">
        <v>9657.688142796407</v>
      </c>
      <c r="AU27" t="n">
        <v>22885.49524200555</v>
      </c>
      <c r="AV27" t="n">
        <v>280.2314089094982</v>
      </c>
      <c r="AW27" t="n">
        <v>20747.14686779143</v>
      </c>
      <c r="AX27" t="n">
        <v>181.1937334415996</v>
      </c>
      <c r="AY27" t="n">
        <v>5765.268825753942</v>
      </c>
      <c r="AZ27" t="n">
        <v>58547.66233687783</v>
      </c>
      <c r="BA27" t="n">
        <v>10514.83860878159</v>
      </c>
      <c r="BB27" t="n">
        <v>7345.677290506539</v>
      </c>
      <c r="BC27" t="n">
        <v>1731.852853375853</v>
      </c>
      <c r="BD27" t="n">
        <v>8252.996769882715</v>
      </c>
      <c r="BE27" t="n">
        <v>23291.37646648003</v>
      </c>
      <c r="BF27" t="n">
        <v>16376.30168155684</v>
      </c>
      <c r="BG27" t="n">
        <v>2854.455100213231</v>
      </c>
      <c r="BH27" t="n">
        <v>238.903419135868</v>
      </c>
      <c r="BI27" t="n">
        <v>0</v>
      </c>
      <c r="BJ27" t="n">
        <v>0</v>
      </c>
      <c r="BK27" t="n">
        <v>4242.558411905373</v>
      </c>
      <c r="BL27" t="n">
        <v>2592.506634687332</v>
      </c>
      <c r="BM27" t="n">
        <v>1.515551164039655</v>
      </c>
      <c r="BN27" t="n">
        <v>0</v>
      </c>
      <c r="BO27" t="n">
        <v>0</v>
      </c>
      <c r="BP27" t="n">
        <v>37526.17520576506</v>
      </c>
      <c r="BQ27" t="n">
        <v>0.02904420910070297</v>
      </c>
      <c r="BR27" t="n">
        <v>0</v>
      </c>
      <c r="BS27" t="n">
        <v>182.2247521742536</v>
      </c>
      <c r="BT27" t="n">
        <v>82.53326599257936</v>
      </c>
      <c r="BU27" t="n">
        <v>28610.50927292952</v>
      </c>
      <c r="BV27" t="n">
        <v>9.730303488531725</v>
      </c>
      <c r="BW27" t="n">
        <v>0</v>
      </c>
      <c r="BX27" t="n">
        <v>1241.759457763589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45909.87537395988</v>
      </c>
      <c r="CJ27" t="n">
        <v>1606.111995063039</v>
      </c>
      <c r="CK27" t="n">
        <v>10.84994896059034</v>
      </c>
      <c r="CL27" t="n">
        <v>829.1921483643929</v>
      </c>
      <c r="CM27" t="n">
        <v>60875.36309543804</v>
      </c>
      <c r="CN27" t="n">
        <v>0</v>
      </c>
      <c r="CO27" t="n">
        <v>0</v>
      </c>
      <c r="CP27" t="n">
        <v>711.2106261906641</v>
      </c>
      <c r="CQ27" t="n">
        <v>836.2461674395327</v>
      </c>
      <c r="CR27" t="n">
        <v>0</v>
      </c>
      <c r="CS27" t="n">
        <v>0</v>
      </c>
      <c r="CT27" t="n">
        <v>0</v>
      </c>
      <c r="CU27" t="n">
        <v>6365.725930627637</v>
      </c>
      <c r="CV27" t="n">
        <v>18.8188533681127</v>
      </c>
      <c r="CW27" t="n">
        <v>263.6181892958723</v>
      </c>
      <c r="CX27" t="n">
        <v>50.11852304410053</v>
      </c>
      <c r="CY27" t="n">
        <v>6653.637292452625</v>
      </c>
      <c r="CZ27" t="n">
        <v>0.01988258648655999</v>
      </c>
      <c r="DA27" t="n">
        <v>0.001025438252830345</v>
      </c>
      <c r="DB27" t="n">
        <v>9.624949948739786</v>
      </c>
      <c r="DC27" t="n">
        <v>0</v>
      </c>
      <c r="DD27" t="n">
        <v>3.722121862084221</v>
      </c>
      <c r="DE27" t="n">
        <v>0.2289837751158234</v>
      </c>
      <c r="DF27" t="n">
        <v>0</v>
      </c>
      <c r="DG27" t="n">
        <v>0</v>
      </c>
      <c r="DH27" t="n">
        <v>0</v>
      </c>
      <c r="DI27" t="n">
        <v>0</v>
      </c>
      <c r="DJ27" t="n">
        <v>25.43175045184261</v>
      </c>
      <c r="DK27" t="n">
        <v>0</v>
      </c>
      <c r="DL27" t="n">
        <v>0.218622598991946</v>
      </c>
      <c r="DM27" t="n">
        <v>4750.808284142842</v>
      </c>
      <c r="DN27" t="n">
        <v>370.5891545236424</v>
      </c>
      <c r="DO27" t="n">
        <v>3601.236280517673</v>
      </c>
      <c r="DP27" t="n">
        <v>3768.567508996467</v>
      </c>
      <c r="DQ27" t="n">
        <v>2192.039857352787</v>
      </c>
      <c r="DR27" t="n">
        <v>2811.930476090744</v>
      </c>
      <c r="DS27" t="n">
        <v>37975.42039554981</v>
      </c>
      <c r="DT27" t="n">
        <v>2690.03282587315</v>
      </c>
      <c r="DU27" t="n">
        <v>16530.62981845024</v>
      </c>
      <c r="DV27" t="n">
        <v>0</v>
      </c>
      <c r="DW27" t="n">
        <v>0</v>
      </c>
      <c r="DX27" t="n">
        <v>1789.032963175541</v>
      </c>
      <c r="DY27" t="n">
        <v>666.7458810230082</v>
      </c>
      <c r="DZ27" t="n">
        <v>4978.072256379109</v>
      </c>
      <c r="EA27" t="n">
        <v>760.7603362300052</v>
      </c>
      <c r="EB27" t="n">
        <v>146.297606333995</v>
      </c>
      <c r="EC27" t="n">
        <v>97.56659671005875</v>
      </c>
      <c r="ED27" t="n">
        <v>113.1012117777488</v>
      </c>
      <c r="EE27" t="n">
        <v>17.00176655535386</v>
      </c>
      <c r="EF27" t="n">
        <v>0</v>
      </c>
      <c r="EG27" t="n">
        <v>7.718500680560726</v>
      </c>
      <c r="EH27" t="n">
        <v>0</v>
      </c>
      <c r="EI27" t="n">
        <v>0</v>
      </c>
      <c r="EJ27" t="n">
        <v>508.8948702353915</v>
      </c>
      <c r="EK27" t="n">
        <v>1825.414630889846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5943.412046442297</v>
      </c>
      <c r="ER27" t="n">
        <v>6560.634319382727</v>
      </c>
      <c r="ES27" t="n">
        <v>2259.818265631417</v>
      </c>
      <c r="ET27" t="n">
        <v>8742.544961836094</v>
      </c>
      <c r="EU27" t="n">
        <v>0</v>
      </c>
      <c r="EV27" t="n">
        <v>3813.358713636489</v>
      </c>
      <c r="EW27" t="n">
        <v>189.7393694934255</v>
      </c>
      <c r="EX27" t="n">
        <v>1769.590431965437</v>
      </c>
      <c r="EY27" t="n">
        <v>1596.077505077258</v>
      </c>
      <c r="EZ27" t="n">
        <v>24298.52628247603</v>
      </c>
      <c r="FA27" t="n">
        <v>10043.77387267398</v>
      </c>
      <c r="FB27" t="n">
        <v>16503.80735950998</v>
      </c>
      <c r="FC27" t="n">
        <v>373.6751530765099</v>
      </c>
      <c r="FD27" t="n">
        <v>5058.507562853301</v>
      </c>
      <c r="FE27" t="n">
        <v>5399.196288386762</v>
      </c>
      <c r="FF27" t="n">
        <v>19697.01146096813</v>
      </c>
      <c r="FG27" t="n">
        <v>6173.908260829463</v>
      </c>
      <c r="FH27" t="n">
        <v>9524.886825406253</v>
      </c>
      <c r="FI27" t="n">
        <v>4231.776319625849</v>
      </c>
      <c r="FJ27" t="n">
        <v>9144.9757965922</v>
      </c>
      <c r="FK27" t="n">
        <v>0</v>
      </c>
      <c r="FL27" t="n">
        <v>129975.9669232088</v>
      </c>
      <c r="FM27" t="n">
        <v>783.2771666668216</v>
      </c>
      <c r="FN27" t="n">
        <v>15.02112992990118</v>
      </c>
      <c r="FO27" t="n">
        <v>11700.15828190706</v>
      </c>
      <c r="FP27" t="n">
        <v>3347.716320728262</v>
      </c>
      <c r="FQ27" t="n">
        <v>65998.37894445387</v>
      </c>
      <c r="FR27" t="n">
        <v>25787.72531095034</v>
      </c>
      <c r="FS27" t="n">
        <v>52302.93299566862</v>
      </c>
      <c r="FT27" t="n">
        <v>246.7027907741493</v>
      </c>
      <c r="FU27" t="n">
        <v>255.5582068509557</v>
      </c>
      <c r="FV27" t="n">
        <v>106.0902575605255</v>
      </c>
      <c r="FW27" t="n">
        <v>310.4529403694835</v>
      </c>
      <c r="FX27" t="n">
        <v>52.30255849279355</v>
      </c>
      <c r="FY27" t="n">
        <v>70.03854046867021</v>
      </c>
      <c r="FZ27" t="n">
        <v>284.8603752336716</v>
      </c>
      <c r="GA27" t="n">
        <v>18.91118763851657</v>
      </c>
      <c r="GB27" t="n">
        <v>1.516737562428181</v>
      </c>
      <c r="GC27" t="n">
        <v>231.9947843510834</v>
      </c>
      <c r="GD27" t="n">
        <v>156.7647658479072</v>
      </c>
      <c r="GE27" t="n">
        <v>1.02609878664846</v>
      </c>
      <c r="GF27" t="n">
        <v>91.26043447862418</v>
      </c>
      <c r="GG27" t="n">
        <v>169.7922384860353</v>
      </c>
      <c r="GH27" t="n">
        <v>151.1555966534893</v>
      </c>
      <c r="GI27" t="n">
        <v>99.4678726041716</v>
      </c>
      <c r="GJ27" t="n">
        <v>25.99912713283769</v>
      </c>
      <c r="GK27" t="n">
        <v>412.0984499331376</v>
      </c>
      <c r="GL27" t="n">
        <v>15.01243569681594</v>
      </c>
      <c r="GM27" t="n">
        <v>56.19438191474961</v>
      </c>
      <c r="GN27" t="n">
        <v>5269.688583382049</v>
      </c>
      <c r="GO27" t="n">
        <v>29453.41920493521</v>
      </c>
      <c r="GP27" t="n">
        <v>2111.93420114218</v>
      </c>
      <c r="GQ27" t="n">
        <v>0</v>
      </c>
      <c r="GR27" t="n">
        <v>24291.4466838031</v>
      </c>
      <c r="GS27" t="n">
        <v>20389.43728354279</v>
      </c>
      <c r="GT27" t="n">
        <v>49377.06767104751</v>
      </c>
      <c r="GU27" t="n">
        <v>24988.4392423401</v>
      </c>
      <c r="GV27" t="n">
        <v>21403.01676318383</v>
      </c>
      <c r="GW27" t="n">
        <v>88017.85932284259</v>
      </c>
      <c r="GX27" t="n">
        <v>277157.4450759154</v>
      </c>
      <c r="GY27" t="n">
        <v>182080.2900042566</v>
      </c>
      <c r="GZ27" t="n">
        <v>47920.67491791958</v>
      </c>
      <c r="HA27" t="n">
        <v>193940.6318850503</v>
      </c>
      <c r="HB27" t="n">
        <v>24298.52628247603</v>
      </c>
      <c r="HC27" t="n">
        <v>238231.5834088588</v>
      </c>
    </row>
    <row r="28">
      <c r="A28" s="1" t="inlineStr">
        <is>
          <t>Clé de tri</t>
        </is>
      </c>
      <c r="B28">
        <f>INDEX(B$18:B$27,MATCH($B$1,$A$18:$A$27,0))</f>
        <v/>
      </c>
      <c r="C28">
        <f>INDEX(C$18:C$27,MATCH($B$1,$A$18:$A$27,0))</f>
        <v/>
      </c>
      <c r="D28">
        <f>INDEX(D$18:D$27,MATCH($B$1,$A$18:$A$27,0))</f>
        <v/>
      </c>
      <c r="E28">
        <f>INDEX(E$18:E$27,MATCH($B$1,$A$18:$A$27,0))</f>
        <v/>
      </c>
      <c r="F28">
        <f>INDEX(F$18:F$27,MATCH($B$1,$A$18:$A$27,0))</f>
        <v/>
      </c>
      <c r="G28">
        <f>INDEX(G$18:G$27,MATCH($B$1,$A$18:$A$27,0))</f>
        <v/>
      </c>
      <c r="H28">
        <f>INDEX(H$18:H$27,MATCH($B$1,$A$18:$A$27,0))</f>
        <v/>
      </c>
      <c r="I28">
        <f>INDEX(I$18:I$27,MATCH($B$1,$A$18:$A$27,0))</f>
        <v/>
      </c>
      <c r="J28">
        <f>INDEX(J$18:J$27,MATCH($B$1,$A$18:$A$27,0))</f>
        <v/>
      </c>
      <c r="K28">
        <f>INDEX(K$18:K$27,MATCH($B$1,$A$18:$A$27,0))</f>
        <v/>
      </c>
      <c r="L28">
        <f>INDEX(L$18:L$27,MATCH($B$1,$A$18:$A$27,0))</f>
        <v/>
      </c>
      <c r="M28">
        <f>INDEX(M$18:M$27,MATCH($B$1,$A$18:$A$27,0))</f>
        <v/>
      </c>
      <c r="N28">
        <f>INDEX(N$18:N$27,MATCH($B$1,$A$18:$A$27,0))</f>
        <v/>
      </c>
      <c r="O28">
        <f>INDEX(O$18:O$27,MATCH($B$1,$A$18:$A$27,0))</f>
        <v/>
      </c>
      <c r="P28">
        <f>INDEX(P$18:P$27,MATCH($B$1,$A$18:$A$27,0))</f>
        <v/>
      </c>
      <c r="Q28">
        <f>INDEX(Q$18:Q$27,MATCH($B$1,$A$18:$A$27,0))</f>
        <v/>
      </c>
      <c r="R28">
        <f>INDEX(R$18:R$27,MATCH($B$1,$A$18:$A$27,0))</f>
        <v/>
      </c>
      <c r="S28">
        <f>INDEX(S$18:S$27,MATCH($B$1,$A$18:$A$27,0))</f>
        <v/>
      </c>
      <c r="T28">
        <f>INDEX(T$18:T$27,MATCH($B$1,$A$18:$A$27,0))</f>
        <v/>
      </c>
      <c r="U28">
        <f>INDEX(U$18:U$27,MATCH($B$1,$A$18:$A$27,0))</f>
        <v/>
      </c>
      <c r="V28">
        <f>INDEX(V$18:V$27,MATCH($B$1,$A$18:$A$27,0))</f>
        <v/>
      </c>
      <c r="W28">
        <f>INDEX(W$18:W$27,MATCH($B$1,$A$18:$A$27,0))</f>
        <v/>
      </c>
      <c r="X28">
        <f>INDEX(X$18:X$27,MATCH($B$1,$A$18:$A$27,0))</f>
        <v/>
      </c>
      <c r="Y28">
        <f>INDEX(Y$18:Y$27,MATCH($B$1,$A$18:$A$27,0))</f>
        <v/>
      </c>
      <c r="Z28">
        <f>INDEX(Z$18:Z$27,MATCH($B$1,$A$18:$A$27,0))</f>
        <v/>
      </c>
      <c r="AA28">
        <f>INDEX(AA$18:AA$27,MATCH($B$1,$A$18:$A$27,0))</f>
        <v/>
      </c>
      <c r="AB28">
        <f>INDEX(AB$18:AB$27,MATCH($B$1,$A$18:$A$27,0))</f>
        <v/>
      </c>
      <c r="AC28">
        <f>INDEX(AC$18:AC$27,MATCH($B$1,$A$18:$A$27,0))</f>
        <v/>
      </c>
      <c r="AD28">
        <f>INDEX(AD$18:AD$27,MATCH($B$1,$A$18:$A$27,0))</f>
        <v/>
      </c>
      <c r="AE28">
        <f>INDEX(AE$18:AE$27,MATCH($B$1,$A$18:$A$27,0))</f>
        <v/>
      </c>
      <c r="AF28">
        <f>INDEX(AF$18:AF$27,MATCH($B$1,$A$18:$A$27,0))</f>
        <v/>
      </c>
      <c r="AG28">
        <f>INDEX(AG$18:AG$27,MATCH($B$1,$A$18:$A$27,0))</f>
        <v/>
      </c>
      <c r="AH28">
        <f>INDEX(AH$18:AH$27,MATCH($B$1,$A$18:$A$27,0))</f>
        <v/>
      </c>
      <c r="AI28">
        <f>INDEX(AI$18:AI$27,MATCH($B$1,$A$18:$A$27,0))</f>
        <v/>
      </c>
      <c r="AJ28">
        <f>INDEX(AJ$18:AJ$27,MATCH($B$1,$A$18:$A$27,0))</f>
        <v/>
      </c>
      <c r="AK28">
        <f>INDEX(AK$18:AK$27,MATCH($B$1,$A$18:$A$27,0))</f>
        <v/>
      </c>
      <c r="AL28">
        <f>INDEX(AL$18:AL$27,MATCH($B$1,$A$18:$A$27,0))</f>
        <v/>
      </c>
      <c r="AM28">
        <f>INDEX(AM$18:AM$27,MATCH($B$1,$A$18:$A$27,0))</f>
        <v/>
      </c>
      <c r="AN28">
        <f>INDEX(AN$18:AN$27,MATCH($B$1,$A$18:$A$27,0))</f>
        <v/>
      </c>
      <c r="AO28">
        <f>INDEX(AO$18:AO$27,MATCH($B$1,$A$18:$A$27,0))</f>
        <v/>
      </c>
      <c r="AP28">
        <f>INDEX(AP$18:AP$27,MATCH($B$1,$A$18:$A$27,0))</f>
        <v/>
      </c>
      <c r="AQ28">
        <f>INDEX(AQ$18:AQ$27,MATCH($B$1,$A$18:$A$27,0))</f>
        <v/>
      </c>
      <c r="AR28">
        <f>INDEX(AR$18:AR$27,MATCH($B$1,$A$18:$A$27,0))</f>
        <v/>
      </c>
      <c r="AS28">
        <f>INDEX(AS$18:AS$27,MATCH($B$1,$A$18:$A$27,0))</f>
        <v/>
      </c>
      <c r="AT28">
        <f>INDEX(AT$18:AT$27,MATCH($B$1,$A$18:$A$27,0))</f>
        <v/>
      </c>
      <c r="AU28">
        <f>INDEX(AU$18:AU$27,MATCH($B$1,$A$18:$A$27,0))</f>
        <v/>
      </c>
      <c r="AV28">
        <f>INDEX(AV$18:AV$27,MATCH($B$1,$A$18:$A$27,0))</f>
        <v/>
      </c>
      <c r="AW28">
        <f>INDEX(AW$18:AW$27,MATCH($B$1,$A$18:$A$27,0))</f>
        <v/>
      </c>
      <c r="AX28">
        <f>INDEX(AX$18:AX$27,MATCH($B$1,$A$18:$A$27,0))</f>
        <v/>
      </c>
      <c r="AY28">
        <f>INDEX(AY$18:AY$27,MATCH($B$1,$A$18:$A$27,0))</f>
        <v/>
      </c>
      <c r="AZ28">
        <f>INDEX(AZ$18:AZ$27,MATCH($B$1,$A$18:$A$27,0))</f>
        <v/>
      </c>
      <c r="BA28">
        <f>INDEX(BA$18:BA$27,MATCH($B$1,$A$18:$A$27,0))</f>
        <v/>
      </c>
      <c r="BB28">
        <f>INDEX(BB$18:BB$27,MATCH($B$1,$A$18:$A$27,0))</f>
        <v/>
      </c>
      <c r="BC28">
        <f>INDEX(BC$18:BC$27,MATCH($B$1,$A$18:$A$27,0))</f>
        <v/>
      </c>
      <c r="BD28">
        <f>INDEX(BD$18:BD$27,MATCH($B$1,$A$18:$A$27,0))</f>
        <v/>
      </c>
      <c r="BE28">
        <f>INDEX(BE$18:BE$27,MATCH($B$1,$A$18:$A$27,0))</f>
        <v/>
      </c>
      <c r="BF28">
        <f>INDEX(BF$18:BF$27,MATCH($B$1,$A$18:$A$27,0))</f>
        <v/>
      </c>
      <c r="BG28">
        <f>INDEX(BG$18:BG$27,MATCH($B$1,$A$18:$A$27,0))</f>
        <v/>
      </c>
      <c r="BH28">
        <f>INDEX(BH$18:BH$27,MATCH($B$1,$A$18:$A$27,0))</f>
        <v/>
      </c>
      <c r="BI28">
        <f>INDEX(BI$18:BI$27,MATCH($B$1,$A$18:$A$27,0))</f>
        <v/>
      </c>
      <c r="BJ28">
        <f>INDEX(BJ$18:BJ$27,MATCH($B$1,$A$18:$A$27,0))</f>
        <v/>
      </c>
      <c r="BK28">
        <f>INDEX(BK$18:BK$27,MATCH($B$1,$A$18:$A$27,0))</f>
        <v/>
      </c>
      <c r="BL28">
        <f>INDEX(BL$18:BL$27,MATCH($B$1,$A$18:$A$27,0))</f>
        <v/>
      </c>
      <c r="BM28">
        <f>INDEX(BM$18:BM$27,MATCH($B$1,$A$18:$A$27,0))</f>
        <v/>
      </c>
      <c r="BN28">
        <f>INDEX(BN$18:BN$27,MATCH($B$1,$A$18:$A$27,0))</f>
        <v/>
      </c>
      <c r="BO28">
        <f>INDEX(BO$18:BO$27,MATCH($B$1,$A$18:$A$27,0))</f>
        <v/>
      </c>
      <c r="BP28">
        <f>INDEX(BP$18:BP$27,MATCH($B$1,$A$18:$A$27,0))</f>
        <v/>
      </c>
      <c r="BQ28">
        <f>INDEX(BQ$18:BQ$27,MATCH($B$1,$A$18:$A$27,0))</f>
        <v/>
      </c>
      <c r="BR28">
        <f>INDEX(BR$18:BR$27,MATCH($B$1,$A$18:$A$27,0))</f>
        <v/>
      </c>
      <c r="BS28">
        <f>INDEX(BS$18:BS$27,MATCH($B$1,$A$18:$A$27,0))</f>
        <v/>
      </c>
      <c r="BT28">
        <f>INDEX(BT$18:BT$27,MATCH($B$1,$A$18:$A$27,0))</f>
        <v/>
      </c>
      <c r="BU28">
        <f>INDEX(BU$18:BU$27,MATCH($B$1,$A$18:$A$27,0))</f>
        <v/>
      </c>
      <c r="BV28">
        <f>INDEX(BV$18:BV$27,MATCH($B$1,$A$18:$A$27,0))</f>
        <v/>
      </c>
      <c r="BW28">
        <f>INDEX(BW$18:BW$27,MATCH($B$1,$A$18:$A$27,0))</f>
        <v/>
      </c>
      <c r="BX28">
        <f>INDEX(BX$18:BX$27,MATCH($B$1,$A$18:$A$27,0))</f>
        <v/>
      </c>
      <c r="BY28">
        <f>INDEX(BY$18:BY$27,MATCH($B$1,$A$18:$A$27,0))</f>
        <v/>
      </c>
      <c r="BZ28">
        <f>INDEX(BZ$18:BZ$27,MATCH($B$1,$A$18:$A$27,0))</f>
        <v/>
      </c>
      <c r="CA28">
        <f>INDEX(CA$18:CA$27,MATCH($B$1,$A$18:$A$27,0))</f>
        <v/>
      </c>
      <c r="CB28">
        <f>INDEX(CB$18:CB$27,MATCH($B$1,$A$18:$A$27,0))</f>
        <v/>
      </c>
      <c r="CC28">
        <f>INDEX(CC$18:CC$27,MATCH($B$1,$A$18:$A$27,0))</f>
        <v/>
      </c>
      <c r="CD28">
        <f>INDEX(CD$18:CD$27,MATCH($B$1,$A$18:$A$27,0))</f>
        <v/>
      </c>
      <c r="CE28">
        <f>INDEX(CE$18:CE$27,MATCH($B$1,$A$18:$A$27,0))</f>
        <v/>
      </c>
      <c r="CF28">
        <f>INDEX(CF$18:CF$27,MATCH($B$1,$A$18:$A$27,0))</f>
        <v/>
      </c>
      <c r="CG28">
        <f>INDEX(CG$18:CG$27,MATCH($B$1,$A$18:$A$27,0))</f>
        <v/>
      </c>
      <c r="CH28">
        <f>INDEX(CH$18:CH$27,MATCH($B$1,$A$18:$A$27,0))</f>
        <v/>
      </c>
      <c r="CI28">
        <f>INDEX(CI$18:CI$27,MATCH($B$1,$A$18:$A$27,0))</f>
        <v/>
      </c>
      <c r="CJ28">
        <f>INDEX(CJ$18:CJ$27,MATCH($B$1,$A$18:$A$27,0))</f>
        <v/>
      </c>
      <c r="CK28">
        <f>INDEX(CK$18:CK$27,MATCH($B$1,$A$18:$A$27,0))</f>
        <v/>
      </c>
      <c r="CL28">
        <f>INDEX(CL$18:CL$27,MATCH($B$1,$A$18:$A$27,0))</f>
        <v/>
      </c>
      <c r="CM28">
        <f>INDEX(CM$18:CM$27,MATCH($B$1,$A$18:$A$27,0))</f>
        <v/>
      </c>
      <c r="CN28">
        <f>INDEX(CN$18:CN$27,MATCH($B$1,$A$18:$A$27,0))</f>
        <v/>
      </c>
      <c r="CO28">
        <f>INDEX(CO$18:CO$27,MATCH($B$1,$A$18:$A$27,0))</f>
        <v/>
      </c>
      <c r="CP28">
        <f>INDEX(CP$18:CP$27,MATCH($B$1,$A$18:$A$27,0))</f>
        <v/>
      </c>
      <c r="CQ28">
        <f>INDEX(CQ$18:CQ$27,MATCH($B$1,$A$18:$A$27,0))</f>
        <v/>
      </c>
      <c r="CR28">
        <f>INDEX(CR$18:CR$27,MATCH($B$1,$A$18:$A$27,0))</f>
        <v/>
      </c>
      <c r="CS28">
        <f>INDEX(CS$18:CS$27,MATCH($B$1,$A$18:$A$27,0))</f>
        <v/>
      </c>
      <c r="CT28">
        <f>INDEX(CT$18:CT$27,MATCH($B$1,$A$18:$A$27,0))</f>
        <v/>
      </c>
      <c r="CU28">
        <f>INDEX(CU$18:CU$27,MATCH($B$1,$A$18:$A$27,0))</f>
        <v/>
      </c>
      <c r="CV28">
        <f>INDEX(CV$18:CV$27,MATCH($B$1,$A$18:$A$27,0))</f>
        <v/>
      </c>
      <c r="CW28">
        <f>INDEX(CW$18:CW$27,MATCH($B$1,$A$18:$A$27,0))</f>
        <v/>
      </c>
      <c r="CX28">
        <f>INDEX(CX$18:CX$27,MATCH($B$1,$A$18:$A$27,0))</f>
        <v/>
      </c>
      <c r="CY28">
        <f>INDEX(CY$18:CY$27,MATCH($B$1,$A$18:$A$27,0))</f>
        <v/>
      </c>
      <c r="CZ28">
        <f>INDEX(CZ$18:CZ$27,MATCH($B$1,$A$18:$A$27,0))</f>
        <v/>
      </c>
      <c r="DA28">
        <f>INDEX(DA$18:DA$27,MATCH($B$1,$A$18:$A$27,0))</f>
        <v/>
      </c>
      <c r="DB28">
        <f>INDEX(DB$18:DB$27,MATCH($B$1,$A$18:$A$27,0))</f>
        <v/>
      </c>
      <c r="DC28">
        <f>INDEX(DC$18:DC$27,MATCH($B$1,$A$18:$A$27,0))</f>
        <v/>
      </c>
      <c r="DD28">
        <f>INDEX(DD$18:DD$27,MATCH($B$1,$A$18:$A$27,0))</f>
        <v/>
      </c>
      <c r="DE28">
        <f>INDEX(DE$18:DE$27,MATCH($B$1,$A$18:$A$27,0))</f>
        <v/>
      </c>
      <c r="DF28">
        <f>INDEX(DF$18:DF$27,MATCH($B$1,$A$18:$A$27,0))</f>
        <v/>
      </c>
      <c r="DG28">
        <f>INDEX(DG$18:DG$27,MATCH($B$1,$A$18:$A$27,0))</f>
        <v/>
      </c>
      <c r="DH28">
        <f>INDEX(DH$18:DH$27,MATCH($B$1,$A$18:$A$27,0))</f>
        <v/>
      </c>
      <c r="DI28">
        <f>INDEX(DI$18:DI$27,MATCH($B$1,$A$18:$A$27,0))</f>
        <v/>
      </c>
      <c r="DJ28">
        <f>INDEX(DJ$18:DJ$27,MATCH($B$1,$A$18:$A$27,0))</f>
        <v/>
      </c>
      <c r="DK28">
        <f>INDEX(DK$18:DK$27,MATCH($B$1,$A$18:$A$27,0))</f>
        <v/>
      </c>
      <c r="DL28">
        <f>INDEX(DL$18:DL$27,MATCH($B$1,$A$18:$A$27,0))</f>
        <v/>
      </c>
      <c r="DM28">
        <f>INDEX(DM$18:DM$27,MATCH($B$1,$A$18:$A$27,0))</f>
        <v/>
      </c>
      <c r="DN28">
        <f>INDEX(DN$18:DN$27,MATCH($B$1,$A$18:$A$27,0))</f>
        <v/>
      </c>
      <c r="DO28">
        <f>INDEX(DO$18:DO$27,MATCH($B$1,$A$18:$A$27,0))</f>
        <v/>
      </c>
      <c r="DP28">
        <f>INDEX(DP$18:DP$27,MATCH($B$1,$A$18:$A$27,0))</f>
        <v/>
      </c>
      <c r="DQ28">
        <f>INDEX(DQ$18:DQ$27,MATCH($B$1,$A$18:$A$27,0))</f>
        <v/>
      </c>
      <c r="DR28">
        <f>INDEX(DR$18:DR$27,MATCH($B$1,$A$18:$A$27,0))</f>
        <v/>
      </c>
      <c r="DS28">
        <f>INDEX(DS$18:DS$27,MATCH($B$1,$A$18:$A$27,0))</f>
        <v/>
      </c>
      <c r="DT28">
        <f>INDEX(DT$18:DT$27,MATCH($B$1,$A$18:$A$27,0))</f>
        <v/>
      </c>
      <c r="DU28">
        <f>INDEX(DU$18:DU$27,MATCH($B$1,$A$18:$A$27,0))</f>
        <v/>
      </c>
      <c r="DV28">
        <f>INDEX(DV$18:DV$27,MATCH($B$1,$A$18:$A$27,0))</f>
        <v/>
      </c>
      <c r="DW28">
        <f>INDEX(DW$18:DW$27,MATCH($B$1,$A$18:$A$27,0))</f>
        <v/>
      </c>
      <c r="DX28">
        <f>INDEX(DX$18:DX$27,MATCH($B$1,$A$18:$A$27,0))</f>
        <v/>
      </c>
      <c r="DY28">
        <f>INDEX(DY$18:DY$27,MATCH($B$1,$A$18:$A$27,0))</f>
        <v/>
      </c>
      <c r="DZ28">
        <f>INDEX(DZ$18:DZ$27,MATCH($B$1,$A$18:$A$27,0))</f>
        <v/>
      </c>
      <c r="EA28">
        <f>INDEX(EA$18:EA$27,MATCH($B$1,$A$18:$A$27,0))</f>
        <v/>
      </c>
      <c r="EB28">
        <f>INDEX(EB$18:EB$27,MATCH($B$1,$A$18:$A$27,0))</f>
        <v/>
      </c>
      <c r="EC28">
        <f>INDEX(EC$18:EC$27,MATCH($B$1,$A$18:$A$27,0))</f>
        <v/>
      </c>
      <c r="ED28">
        <f>INDEX(ED$18:ED$27,MATCH($B$1,$A$18:$A$27,0))</f>
        <v/>
      </c>
      <c r="EE28">
        <f>INDEX(EE$18:EE$27,MATCH($B$1,$A$18:$A$27,0))</f>
        <v/>
      </c>
      <c r="EF28">
        <f>INDEX(EF$18:EF$27,MATCH($B$1,$A$18:$A$27,0))</f>
        <v/>
      </c>
      <c r="EG28">
        <f>INDEX(EG$18:EG$27,MATCH($B$1,$A$18:$A$27,0))</f>
        <v/>
      </c>
      <c r="EH28">
        <f>INDEX(EH$18:EH$27,MATCH($B$1,$A$18:$A$27,0))</f>
        <v/>
      </c>
      <c r="EI28">
        <f>INDEX(EI$18:EI$27,MATCH($B$1,$A$18:$A$27,0))</f>
        <v/>
      </c>
      <c r="EJ28">
        <f>INDEX(EJ$18:EJ$27,MATCH($B$1,$A$18:$A$27,0))</f>
        <v/>
      </c>
      <c r="EK28">
        <f>INDEX(EK$18:EK$27,MATCH($B$1,$A$18:$A$27,0))</f>
        <v/>
      </c>
      <c r="EL28">
        <f>INDEX(EL$18:EL$27,MATCH($B$1,$A$18:$A$27,0))</f>
        <v/>
      </c>
      <c r="EM28">
        <f>INDEX(EM$18:EM$27,MATCH($B$1,$A$18:$A$27,0))</f>
        <v/>
      </c>
      <c r="EN28">
        <f>INDEX(EN$18:EN$27,MATCH($B$1,$A$18:$A$27,0))</f>
        <v/>
      </c>
      <c r="EO28">
        <f>INDEX(EO$18:EO$27,MATCH($B$1,$A$18:$A$27,0))</f>
        <v/>
      </c>
      <c r="EP28">
        <f>INDEX(EP$18:EP$27,MATCH($B$1,$A$18:$A$27,0))</f>
        <v/>
      </c>
      <c r="EQ28">
        <f>INDEX(EQ$18:EQ$27,MATCH($B$1,$A$18:$A$27,0))</f>
        <v/>
      </c>
      <c r="ER28">
        <f>INDEX(ER$18:ER$27,MATCH($B$1,$A$18:$A$27,0))</f>
        <v/>
      </c>
      <c r="ES28">
        <f>INDEX(ES$18:ES$27,MATCH($B$1,$A$18:$A$27,0))</f>
        <v/>
      </c>
      <c r="ET28">
        <f>INDEX(ET$18:ET$27,MATCH($B$1,$A$18:$A$27,0))</f>
        <v/>
      </c>
      <c r="EU28">
        <f>INDEX(EU$18:EU$27,MATCH($B$1,$A$18:$A$27,0))</f>
        <v/>
      </c>
      <c r="EV28">
        <f>INDEX(EV$18:EV$27,MATCH($B$1,$A$18:$A$27,0))</f>
        <v/>
      </c>
      <c r="EW28">
        <f>INDEX(EW$18:EW$27,MATCH($B$1,$A$18:$A$27,0))</f>
        <v/>
      </c>
      <c r="EX28">
        <f>INDEX(EX$18:EX$27,MATCH($B$1,$A$18:$A$27,0))</f>
        <v/>
      </c>
      <c r="EY28">
        <f>INDEX(EY$18:EY$27,MATCH($B$1,$A$18:$A$27,0))</f>
        <v/>
      </c>
      <c r="EZ28">
        <f>INDEX(EZ$18:EZ$27,MATCH($B$1,$A$18:$A$27,0))</f>
        <v/>
      </c>
      <c r="FA28">
        <f>INDEX(FA$18:FA$27,MATCH($B$1,$A$18:$A$27,0))</f>
        <v/>
      </c>
      <c r="FB28">
        <f>INDEX(FB$18:FB$27,MATCH($B$1,$A$18:$A$27,0))</f>
        <v/>
      </c>
      <c r="FC28">
        <f>INDEX(FC$18:FC$27,MATCH($B$1,$A$18:$A$27,0))</f>
        <v/>
      </c>
      <c r="FD28">
        <f>INDEX(FD$18:FD$27,MATCH($B$1,$A$18:$A$27,0))</f>
        <v/>
      </c>
      <c r="FE28">
        <f>INDEX(FE$18:FE$27,MATCH($B$1,$A$18:$A$27,0))</f>
        <v/>
      </c>
      <c r="FF28">
        <f>INDEX(FF$18:FF$27,MATCH($B$1,$A$18:$A$27,0))</f>
        <v/>
      </c>
      <c r="FG28">
        <f>INDEX(FG$18:FG$27,MATCH($B$1,$A$18:$A$27,0))</f>
        <v/>
      </c>
      <c r="FH28">
        <f>INDEX(FH$18:FH$27,MATCH($B$1,$A$18:$A$27,0))</f>
        <v/>
      </c>
      <c r="FI28">
        <f>INDEX(FI$18:FI$27,MATCH($B$1,$A$18:$A$27,0))</f>
        <v/>
      </c>
      <c r="FJ28">
        <f>INDEX(FJ$18:FJ$27,MATCH($B$1,$A$18:$A$27,0))</f>
        <v/>
      </c>
      <c r="FK28">
        <f>INDEX(FK$18:FK$27,MATCH($B$1,$A$18:$A$27,0))</f>
        <v/>
      </c>
      <c r="FL28">
        <f>INDEX(FL$18:FL$27,MATCH($B$1,$A$18:$A$27,0))</f>
        <v/>
      </c>
      <c r="FM28">
        <f>INDEX(FM$18:FM$27,MATCH($B$1,$A$18:$A$27,0))</f>
        <v/>
      </c>
      <c r="FN28">
        <f>INDEX(FN$18:FN$27,MATCH($B$1,$A$18:$A$27,0))</f>
        <v/>
      </c>
      <c r="FO28">
        <f>INDEX(FO$18:FO$27,MATCH($B$1,$A$18:$A$27,0))</f>
        <v/>
      </c>
      <c r="FP28">
        <f>INDEX(FP$18:FP$27,MATCH($B$1,$A$18:$A$27,0))</f>
        <v/>
      </c>
      <c r="FQ28">
        <f>INDEX(FQ$18:FQ$27,MATCH($B$1,$A$18:$A$27,0))</f>
        <v/>
      </c>
      <c r="FR28">
        <f>INDEX(FR$18:FR$27,MATCH($B$1,$A$18:$A$27,0))</f>
        <v/>
      </c>
      <c r="FS28">
        <f>INDEX(FS$18:FS$27,MATCH($B$1,$A$18:$A$27,0))</f>
        <v/>
      </c>
      <c r="FT28">
        <f>INDEX(FT$18:FT$27,MATCH($B$1,$A$18:$A$27,0))</f>
        <v/>
      </c>
      <c r="FU28">
        <f>INDEX(FU$18:FU$27,MATCH($B$1,$A$18:$A$27,0))</f>
        <v/>
      </c>
      <c r="FV28">
        <f>INDEX(FV$18:FV$27,MATCH($B$1,$A$18:$A$27,0))</f>
        <v/>
      </c>
      <c r="FW28">
        <f>INDEX(FW$18:FW$27,MATCH($B$1,$A$18:$A$27,0))</f>
        <v/>
      </c>
      <c r="FX28">
        <f>INDEX(FX$18:FX$27,MATCH($B$1,$A$18:$A$27,0))</f>
        <v/>
      </c>
      <c r="FY28">
        <f>INDEX(FY$18:FY$27,MATCH($B$1,$A$18:$A$27,0))</f>
        <v/>
      </c>
      <c r="FZ28">
        <f>INDEX(FZ$18:FZ$27,MATCH($B$1,$A$18:$A$27,0))</f>
        <v/>
      </c>
      <c r="GA28">
        <f>INDEX(GA$18:GA$27,MATCH($B$1,$A$18:$A$27,0))</f>
        <v/>
      </c>
      <c r="GB28">
        <f>INDEX(GB$18:GB$27,MATCH($B$1,$A$18:$A$27,0))</f>
        <v/>
      </c>
      <c r="GC28">
        <f>INDEX(GC$18:GC$27,MATCH($B$1,$A$18:$A$27,0))</f>
        <v/>
      </c>
      <c r="GD28">
        <f>INDEX(GD$18:GD$27,MATCH($B$1,$A$18:$A$27,0))</f>
        <v/>
      </c>
      <c r="GE28">
        <f>INDEX(GE$18:GE$27,MATCH($B$1,$A$18:$A$27,0))</f>
        <v/>
      </c>
      <c r="GF28">
        <f>INDEX(GF$18:GF$27,MATCH($B$1,$A$18:$A$27,0))</f>
        <v/>
      </c>
      <c r="GG28">
        <f>INDEX(GG$18:GG$27,MATCH($B$1,$A$18:$A$27,0))</f>
        <v/>
      </c>
      <c r="GH28">
        <f>INDEX(GH$18:GH$27,MATCH($B$1,$A$18:$A$27,0))</f>
        <v/>
      </c>
      <c r="GI28">
        <f>INDEX(GI$18:GI$27,MATCH($B$1,$A$18:$A$27,0))</f>
        <v/>
      </c>
      <c r="GJ28">
        <f>INDEX(GJ$18:GJ$27,MATCH($B$1,$A$18:$A$27,0))</f>
        <v/>
      </c>
      <c r="GK28">
        <f>INDEX(GK$18:GK$27,MATCH($B$1,$A$18:$A$27,0))</f>
        <v/>
      </c>
      <c r="GL28">
        <f>INDEX(GL$18:GL$27,MATCH($B$1,$A$18:$A$27,0))</f>
        <v/>
      </c>
      <c r="GM28">
        <f>INDEX(GM$18:GM$27,MATCH($B$1,$A$18:$A$27,0))</f>
        <v/>
      </c>
      <c r="GN28">
        <f>INDEX(GN$18:GN$27,MATCH($B$1,$A$18:$A$27,0))</f>
        <v/>
      </c>
      <c r="GO28">
        <f>INDEX(GO$18:GO$27,MATCH($B$1,$A$18:$A$27,0))</f>
        <v/>
      </c>
      <c r="GP28">
        <f>INDEX(GP$18:GP$27,MATCH($B$1,$A$18:$A$27,0))</f>
        <v/>
      </c>
      <c r="GQ28">
        <f>INDEX(GQ$18:GQ$27,MATCH($B$1,$A$18:$A$27,0))</f>
        <v/>
      </c>
      <c r="GR28">
        <f>INDEX(GR$18:GR$27,MATCH($B$1,$A$18:$A$27,0))</f>
        <v/>
      </c>
      <c r="GS28">
        <f>INDEX(GS$18:GS$27,MATCH($B$1,$A$18:$A$27,0))</f>
        <v/>
      </c>
      <c r="GT28">
        <f>INDEX(GT$18:GT$27,MATCH($B$1,$A$18:$A$27,0))</f>
        <v/>
      </c>
      <c r="GU28">
        <f>INDEX(GU$18:GU$27,MATCH($B$1,$A$18:$A$27,0))</f>
        <v/>
      </c>
      <c r="GV28">
        <f>INDEX(GV$18:GV$27,MATCH($B$1,$A$18:$A$27,0))</f>
        <v/>
      </c>
      <c r="GW28">
        <f>INDEX(GW$18:GW$27,MATCH($B$1,$A$18:$A$27,0))</f>
        <v/>
      </c>
      <c r="GX28">
        <f>INDEX(GX$18:GX$27,MATCH($B$1,$A$18:$A$27,0))</f>
        <v/>
      </c>
      <c r="GY28">
        <f>INDEX(GY$18:GY$27,MATCH($B$1,$A$18:$A$27,0))</f>
        <v/>
      </c>
      <c r="GZ28">
        <f>INDEX(GZ$18:GZ$27,MATCH($B$1,$A$18:$A$27,0))</f>
        <v/>
      </c>
      <c r="HA28">
        <f>INDEX(HA$18:HA$27,MATCH($B$1,$A$18:$A$27,0))</f>
        <v/>
      </c>
      <c r="HB28">
        <f>INDEX(HB$18:HB$27,MATCH($B$1,$A$18:$A$27,0))</f>
        <v/>
      </c>
      <c r="HC28">
        <f>INDEX(HC$18:HC$27,MATCH($B$1,$A$18:$A$27,0))</f>
        <v/>
      </c>
    </row>
    <row r="29">
      <c r="A29" s="1" t="inlineStr">
        <is>
          <t>Rang</t>
        </is>
      </c>
      <c r="B29">
        <f>RANK(B28,$B$28:$GQ$28,0)+COUNTIF($B$28:B28,B28)-1</f>
        <v/>
      </c>
      <c r="C29">
        <f>RANK(C28,$B$28:$GQ$28,0)+COUNTIF($B$28:C28,C28)-1</f>
        <v/>
      </c>
      <c r="D29">
        <f>RANK(D28,$B$28:$GQ$28,0)+COUNTIF($B$28:D28,D28)-1</f>
        <v/>
      </c>
      <c r="E29">
        <f>RANK(E28,$B$28:$GQ$28,0)+COUNTIF($B$28:E28,E28)-1</f>
        <v/>
      </c>
      <c r="F29">
        <f>RANK(F28,$B$28:$GQ$28,0)+COUNTIF($B$28:F28,F28)-1</f>
        <v/>
      </c>
      <c r="G29">
        <f>RANK(G28,$B$28:$GQ$28,0)+COUNTIF($B$28:G28,G28)-1</f>
        <v/>
      </c>
      <c r="H29">
        <f>RANK(H28,$B$28:$GQ$28,0)+COUNTIF($B$28:H28,H28)-1</f>
        <v/>
      </c>
      <c r="I29">
        <f>RANK(I28,$B$28:$GQ$28,0)+COUNTIF($B$28:I28,I28)-1</f>
        <v/>
      </c>
      <c r="J29">
        <f>RANK(J28,$B$28:$GQ$28,0)+COUNTIF($B$28:J28,J28)-1</f>
        <v/>
      </c>
      <c r="K29">
        <f>RANK(K28,$B$28:$GQ$28,0)+COUNTIF($B$28:K28,K28)-1</f>
        <v/>
      </c>
      <c r="L29">
        <f>RANK(L28,$B$28:$GQ$28,0)+COUNTIF($B$28:L28,L28)-1</f>
        <v/>
      </c>
      <c r="M29">
        <f>RANK(M28,$B$28:$GQ$28,0)+COUNTIF($B$28:M28,M28)-1</f>
        <v/>
      </c>
      <c r="N29">
        <f>RANK(N28,$B$28:$GQ$28,0)+COUNTIF($B$28:N28,N28)-1</f>
        <v/>
      </c>
      <c r="O29">
        <f>RANK(O28,$B$28:$GQ$28,0)+COUNTIF($B$28:O28,O28)-1</f>
        <v/>
      </c>
      <c r="P29">
        <f>RANK(P28,$B$28:$GQ$28,0)+COUNTIF($B$28:P28,P28)-1</f>
        <v/>
      </c>
      <c r="Q29">
        <f>RANK(Q28,$B$28:$GQ$28,0)+COUNTIF($B$28:Q28,Q28)-1</f>
        <v/>
      </c>
      <c r="R29">
        <f>RANK(R28,$B$28:$GQ$28,0)+COUNTIF($B$28:R28,R28)-1</f>
        <v/>
      </c>
      <c r="S29">
        <f>RANK(S28,$B$28:$GQ$28,0)+COUNTIF($B$28:S28,S28)-1</f>
        <v/>
      </c>
      <c r="T29">
        <f>RANK(T28,$B$28:$GQ$28,0)+COUNTIF($B$28:T28,T28)-1</f>
        <v/>
      </c>
      <c r="U29">
        <f>RANK(U28,$B$28:$GQ$28,0)+COUNTIF($B$28:U28,U28)-1</f>
        <v/>
      </c>
      <c r="V29">
        <f>RANK(V28,$B$28:$GQ$28,0)+COUNTIF($B$28:V28,V28)-1</f>
        <v/>
      </c>
      <c r="W29">
        <f>RANK(W28,$B$28:$GQ$28,0)+COUNTIF($B$28:W28,W28)-1</f>
        <v/>
      </c>
      <c r="X29">
        <f>RANK(X28,$B$28:$GQ$28,0)+COUNTIF($B$28:X28,X28)-1</f>
        <v/>
      </c>
      <c r="Y29">
        <f>RANK(Y28,$B$28:$GQ$28,0)+COUNTIF($B$28:Y28,Y28)-1</f>
        <v/>
      </c>
      <c r="Z29">
        <f>RANK(Z28,$B$28:$GQ$28,0)+COUNTIF($B$28:Z28,Z28)-1</f>
        <v/>
      </c>
      <c r="AA29">
        <f>RANK(AA28,$B$28:$GQ$28,0)+COUNTIF($B$28:AA28,AA28)-1</f>
        <v/>
      </c>
      <c r="AB29">
        <f>RANK(AB28,$B$28:$GQ$28,0)+COUNTIF($B$28:AB28,AB28)-1</f>
        <v/>
      </c>
      <c r="AC29">
        <f>RANK(AC28,$B$28:$GQ$28,0)+COUNTIF($B$28:AC28,AC28)-1</f>
        <v/>
      </c>
      <c r="AD29">
        <f>RANK(AD28,$B$28:$GQ$28,0)+COUNTIF($B$28:AD28,AD28)-1</f>
        <v/>
      </c>
      <c r="AE29">
        <f>RANK(AE28,$B$28:$GQ$28,0)+COUNTIF($B$28:AE28,AE28)-1</f>
        <v/>
      </c>
      <c r="AF29">
        <f>RANK(AF28,$B$28:$GQ$28,0)+COUNTIF($B$28:AF28,AF28)-1</f>
        <v/>
      </c>
      <c r="AG29">
        <f>RANK(AG28,$B$28:$GQ$28,0)+COUNTIF($B$28:AG28,AG28)-1</f>
        <v/>
      </c>
      <c r="AH29">
        <f>RANK(AH28,$B$28:$GQ$28,0)+COUNTIF($B$28:AH28,AH28)-1</f>
        <v/>
      </c>
      <c r="AI29">
        <f>RANK(AI28,$B$28:$GQ$28,0)+COUNTIF($B$28:AI28,AI28)-1</f>
        <v/>
      </c>
      <c r="AJ29">
        <f>RANK(AJ28,$B$28:$GQ$28,0)+COUNTIF($B$28:AJ28,AJ28)-1</f>
        <v/>
      </c>
      <c r="AK29">
        <f>RANK(AK28,$B$28:$GQ$28,0)+COUNTIF($B$28:AK28,AK28)-1</f>
        <v/>
      </c>
      <c r="AL29">
        <f>RANK(AL28,$B$28:$GQ$28,0)+COUNTIF($B$28:AL28,AL28)-1</f>
        <v/>
      </c>
      <c r="AM29">
        <f>RANK(AM28,$B$28:$GQ$28,0)+COUNTIF($B$28:AM28,AM28)-1</f>
        <v/>
      </c>
      <c r="AN29">
        <f>RANK(AN28,$B$28:$GQ$28,0)+COUNTIF($B$28:AN28,AN28)-1</f>
        <v/>
      </c>
      <c r="AO29">
        <f>RANK(AO28,$B$28:$GQ$28,0)+COUNTIF($B$28:AO28,AO28)-1</f>
        <v/>
      </c>
      <c r="AP29">
        <f>RANK(AP28,$B$28:$GQ$28,0)+COUNTIF($B$28:AP28,AP28)-1</f>
        <v/>
      </c>
      <c r="AQ29">
        <f>RANK(AQ28,$B$28:$GQ$28,0)+COUNTIF($B$28:AQ28,AQ28)-1</f>
        <v/>
      </c>
      <c r="AR29">
        <f>RANK(AR28,$B$28:$GQ$28,0)+COUNTIF($B$28:AR28,AR28)-1</f>
        <v/>
      </c>
      <c r="AS29">
        <f>RANK(AS28,$B$28:$GQ$28,0)+COUNTIF($B$28:AS28,AS28)-1</f>
        <v/>
      </c>
      <c r="AT29">
        <f>RANK(AT28,$B$28:$GQ$28,0)+COUNTIF($B$28:AT28,AT28)-1</f>
        <v/>
      </c>
      <c r="AU29">
        <f>RANK(AU28,$B$28:$GQ$28,0)+COUNTIF($B$28:AU28,AU28)-1</f>
        <v/>
      </c>
      <c r="AV29">
        <f>RANK(AV28,$B$28:$GQ$28,0)+COUNTIF($B$28:AV28,AV28)-1</f>
        <v/>
      </c>
      <c r="AW29">
        <f>RANK(AW28,$B$28:$GQ$28,0)+COUNTIF($B$28:AW28,AW28)-1</f>
        <v/>
      </c>
      <c r="AX29">
        <f>RANK(AX28,$B$28:$GQ$28,0)+COUNTIF($B$28:AX28,AX28)-1</f>
        <v/>
      </c>
      <c r="AY29">
        <f>RANK(AY28,$B$28:$GQ$28,0)+COUNTIF($B$28:AY28,AY28)-1</f>
        <v/>
      </c>
      <c r="AZ29">
        <f>RANK(AZ28,$B$28:$GQ$28,0)+COUNTIF($B$28:AZ28,AZ28)-1</f>
        <v/>
      </c>
      <c r="BA29">
        <f>RANK(BA28,$B$28:$GQ$28,0)+COUNTIF($B$28:BA28,BA28)-1</f>
        <v/>
      </c>
      <c r="BB29">
        <f>RANK(BB28,$B$28:$GQ$28,0)+COUNTIF($B$28:BB28,BB28)-1</f>
        <v/>
      </c>
      <c r="BC29">
        <f>RANK(BC28,$B$28:$GQ$28,0)+COUNTIF($B$28:BC28,BC28)-1</f>
        <v/>
      </c>
      <c r="BD29">
        <f>RANK(BD28,$B$28:$GQ$28,0)+COUNTIF($B$28:BD28,BD28)-1</f>
        <v/>
      </c>
      <c r="BE29">
        <f>RANK(BE28,$B$28:$GQ$28,0)+COUNTIF($B$28:BE28,BE28)-1</f>
        <v/>
      </c>
      <c r="BF29">
        <f>RANK(BF28,$B$28:$GQ$28,0)+COUNTIF($B$28:BF28,BF28)-1</f>
        <v/>
      </c>
      <c r="BG29">
        <f>RANK(BG28,$B$28:$GQ$28,0)+COUNTIF($B$28:BG28,BG28)-1</f>
        <v/>
      </c>
      <c r="BH29">
        <f>RANK(BH28,$B$28:$GQ$28,0)+COUNTIF($B$28:BH28,BH28)-1</f>
        <v/>
      </c>
      <c r="BI29">
        <f>RANK(BI28,$B$28:$GQ$28,0)+COUNTIF($B$28:BI28,BI28)-1</f>
        <v/>
      </c>
      <c r="BJ29">
        <f>RANK(BJ28,$B$28:$GQ$28,0)+COUNTIF($B$28:BJ28,BJ28)-1</f>
        <v/>
      </c>
      <c r="BK29">
        <f>RANK(BK28,$B$28:$GQ$28,0)+COUNTIF($B$28:BK28,BK28)-1</f>
        <v/>
      </c>
      <c r="BL29">
        <f>RANK(BL28,$B$28:$GQ$28,0)+COUNTIF($B$28:BL28,BL28)-1</f>
        <v/>
      </c>
      <c r="BM29">
        <f>RANK(BM28,$B$28:$GQ$28,0)+COUNTIF($B$28:BM28,BM28)-1</f>
        <v/>
      </c>
      <c r="BN29">
        <f>RANK(BN28,$B$28:$GQ$28,0)+COUNTIF($B$28:BN28,BN28)-1</f>
        <v/>
      </c>
      <c r="BO29">
        <f>RANK(BO28,$B$28:$GQ$28,0)+COUNTIF($B$28:BO28,BO28)-1</f>
        <v/>
      </c>
      <c r="BP29">
        <f>RANK(BP28,$B$28:$GQ$28,0)+COUNTIF($B$28:BP28,BP28)-1</f>
        <v/>
      </c>
      <c r="BQ29">
        <f>RANK(BQ28,$B$28:$GQ$28,0)+COUNTIF($B$28:BQ28,BQ28)-1</f>
        <v/>
      </c>
      <c r="BR29">
        <f>RANK(BR28,$B$28:$GQ$28,0)+COUNTIF($B$28:BR28,BR28)-1</f>
        <v/>
      </c>
      <c r="BS29">
        <f>RANK(BS28,$B$28:$GQ$28,0)+COUNTIF($B$28:BS28,BS28)-1</f>
        <v/>
      </c>
      <c r="BT29">
        <f>RANK(BT28,$B$28:$GQ$28,0)+COUNTIF($B$28:BT28,BT28)-1</f>
        <v/>
      </c>
      <c r="BU29">
        <f>RANK(BU28,$B$28:$GQ$28,0)+COUNTIF($B$28:BU28,BU28)-1</f>
        <v/>
      </c>
      <c r="BV29">
        <f>RANK(BV28,$B$28:$GQ$28,0)+COUNTIF($B$28:BV28,BV28)-1</f>
        <v/>
      </c>
      <c r="BW29">
        <f>RANK(BW28,$B$28:$GQ$28,0)+COUNTIF($B$28:BW28,BW28)-1</f>
        <v/>
      </c>
      <c r="BX29">
        <f>RANK(BX28,$B$28:$GQ$28,0)+COUNTIF($B$28:BX28,BX28)-1</f>
        <v/>
      </c>
      <c r="BY29">
        <f>RANK(BY28,$B$28:$GQ$28,0)+COUNTIF($B$28:BY28,BY28)-1</f>
        <v/>
      </c>
      <c r="BZ29">
        <f>RANK(BZ28,$B$28:$GQ$28,0)+COUNTIF($B$28:BZ28,BZ28)-1</f>
        <v/>
      </c>
      <c r="CA29">
        <f>RANK(CA28,$B$28:$GQ$28,0)+COUNTIF($B$28:CA28,CA28)-1</f>
        <v/>
      </c>
      <c r="CB29">
        <f>RANK(CB28,$B$28:$GQ$28,0)+COUNTIF($B$28:CB28,CB28)-1</f>
        <v/>
      </c>
      <c r="CC29">
        <f>RANK(CC28,$B$28:$GQ$28,0)+COUNTIF($B$28:CC28,CC28)-1</f>
        <v/>
      </c>
      <c r="CD29">
        <f>RANK(CD28,$B$28:$GQ$28,0)+COUNTIF($B$28:CD28,CD28)-1</f>
        <v/>
      </c>
      <c r="CE29">
        <f>RANK(CE28,$B$28:$GQ$28,0)+COUNTIF($B$28:CE28,CE28)-1</f>
        <v/>
      </c>
      <c r="CF29">
        <f>RANK(CF28,$B$28:$GQ$28,0)+COUNTIF($B$28:CF28,CF28)-1</f>
        <v/>
      </c>
      <c r="CG29">
        <f>RANK(CG28,$B$28:$GQ$28,0)+COUNTIF($B$28:CG28,CG28)-1</f>
        <v/>
      </c>
      <c r="CH29">
        <f>RANK(CH28,$B$28:$GQ$28,0)+COUNTIF($B$28:CH28,CH28)-1</f>
        <v/>
      </c>
      <c r="CI29">
        <f>RANK(CI28,$B$28:$GQ$28,0)+COUNTIF($B$28:CI28,CI28)-1</f>
        <v/>
      </c>
      <c r="CJ29">
        <f>RANK(CJ28,$B$28:$GQ$28,0)+COUNTIF($B$28:CJ28,CJ28)-1</f>
        <v/>
      </c>
      <c r="CK29">
        <f>RANK(CK28,$B$28:$GQ$28,0)+COUNTIF($B$28:CK28,CK28)-1</f>
        <v/>
      </c>
      <c r="CL29">
        <f>RANK(CL28,$B$28:$GQ$28,0)+COUNTIF($B$28:CL28,CL28)-1</f>
        <v/>
      </c>
      <c r="CM29">
        <f>RANK(CM28,$B$28:$GQ$28,0)+COUNTIF($B$28:CM28,CM28)-1</f>
        <v/>
      </c>
      <c r="CN29">
        <f>RANK(CN28,$B$28:$GQ$28,0)+COUNTIF($B$28:CN28,CN28)-1</f>
        <v/>
      </c>
      <c r="CO29">
        <f>RANK(CO28,$B$28:$GQ$28,0)+COUNTIF($B$28:CO28,CO28)-1</f>
        <v/>
      </c>
      <c r="CP29">
        <f>RANK(CP28,$B$28:$GQ$28,0)+COUNTIF($B$28:CP28,CP28)-1</f>
        <v/>
      </c>
      <c r="CQ29">
        <f>RANK(CQ28,$B$28:$GQ$28,0)+COUNTIF($B$28:CQ28,CQ28)-1</f>
        <v/>
      </c>
      <c r="CR29">
        <f>RANK(CR28,$B$28:$GQ$28,0)+COUNTIF($B$28:CR28,CR28)-1</f>
        <v/>
      </c>
      <c r="CS29">
        <f>RANK(CS28,$B$28:$GQ$28,0)+COUNTIF($B$28:CS28,CS28)-1</f>
        <v/>
      </c>
      <c r="CT29">
        <f>RANK(CT28,$B$28:$GQ$28,0)+COUNTIF($B$28:CT28,CT28)-1</f>
        <v/>
      </c>
      <c r="CU29">
        <f>RANK(CU28,$B$28:$GQ$28,0)+COUNTIF($B$28:CU28,CU28)-1</f>
        <v/>
      </c>
      <c r="CV29">
        <f>RANK(CV28,$B$28:$GQ$28,0)+COUNTIF($B$28:CV28,CV28)-1</f>
        <v/>
      </c>
      <c r="CW29">
        <f>RANK(CW28,$B$28:$GQ$28,0)+COUNTIF($B$28:CW28,CW28)-1</f>
        <v/>
      </c>
      <c r="CX29">
        <f>RANK(CX28,$B$28:$GQ$28,0)+COUNTIF($B$28:CX28,CX28)-1</f>
        <v/>
      </c>
      <c r="CY29">
        <f>RANK(CY28,$B$28:$GQ$28,0)+COUNTIF($B$28:CY28,CY28)-1</f>
        <v/>
      </c>
      <c r="CZ29">
        <f>RANK(CZ28,$B$28:$GQ$28,0)+COUNTIF($B$28:CZ28,CZ28)-1</f>
        <v/>
      </c>
      <c r="DA29">
        <f>RANK(DA28,$B$28:$GQ$28,0)+COUNTIF($B$28:DA28,DA28)-1</f>
        <v/>
      </c>
      <c r="DB29">
        <f>RANK(DB28,$B$28:$GQ$28,0)+COUNTIF($B$28:DB28,DB28)-1</f>
        <v/>
      </c>
      <c r="DC29">
        <f>RANK(DC28,$B$28:$GQ$28,0)+COUNTIF($B$28:DC28,DC28)-1</f>
        <v/>
      </c>
      <c r="DD29">
        <f>RANK(DD28,$B$28:$GQ$28,0)+COUNTIF($B$28:DD28,DD28)-1</f>
        <v/>
      </c>
      <c r="DE29">
        <f>RANK(DE28,$B$28:$GQ$28,0)+COUNTIF($B$28:DE28,DE28)-1</f>
        <v/>
      </c>
      <c r="DF29">
        <f>RANK(DF28,$B$28:$GQ$28,0)+COUNTIF($B$28:DF28,DF28)-1</f>
        <v/>
      </c>
      <c r="DG29">
        <f>RANK(DG28,$B$28:$GQ$28,0)+COUNTIF($B$28:DG28,DG28)-1</f>
        <v/>
      </c>
      <c r="DH29">
        <f>RANK(DH28,$B$28:$GQ$28,0)+COUNTIF($B$28:DH28,DH28)-1</f>
        <v/>
      </c>
      <c r="DI29">
        <f>RANK(DI28,$B$28:$GQ$28,0)+COUNTIF($B$28:DI28,DI28)-1</f>
        <v/>
      </c>
      <c r="DJ29">
        <f>RANK(DJ28,$B$28:$GQ$28,0)+COUNTIF($B$28:DJ28,DJ28)-1</f>
        <v/>
      </c>
      <c r="DK29">
        <f>RANK(DK28,$B$28:$GQ$28,0)+COUNTIF($B$28:DK28,DK28)-1</f>
        <v/>
      </c>
      <c r="DL29">
        <f>RANK(DL28,$B$28:$GQ$28,0)+COUNTIF($B$28:DL28,DL28)-1</f>
        <v/>
      </c>
      <c r="DM29">
        <f>RANK(DM28,$B$28:$GQ$28,0)+COUNTIF($B$28:DM28,DM28)-1</f>
        <v/>
      </c>
      <c r="DN29">
        <f>RANK(DN28,$B$28:$GQ$28,0)+COUNTIF($B$28:DN28,DN28)-1</f>
        <v/>
      </c>
      <c r="DO29">
        <f>RANK(DO28,$B$28:$GQ$28,0)+COUNTIF($B$28:DO28,DO28)-1</f>
        <v/>
      </c>
      <c r="DP29">
        <f>RANK(DP28,$B$28:$GQ$28,0)+COUNTIF($B$28:DP28,DP28)-1</f>
        <v/>
      </c>
      <c r="DQ29">
        <f>RANK(DQ28,$B$28:$GQ$28,0)+COUNTIF($B$28:DQ28,DQ28)-1</f>
        <v/>
      </c>
      <c r="DR29">
        <f>RANK(DR28,$B$28:$GQ$28,0)+COUNTIF($B$28:DR28,DR28)-1</f>
        <v/>
      </c>
      <c r="DS29">
        <f>RANK(DS28,$B$28:$GQ$28,0)+COUNTIF($B$28:DS28,DS28)-1</f>
        <v/>
      </c>
      <c r="DT29">
        <f>RANK(DT28,$B$28:$GQ$28,0)+COUNTIF($B$28:DT28,DT28)-1</f>
        <v/>
      </c>
      <c r="DU29">
        <f>RANK(DU28,$B$28:$GQ$28,0)+COUNTIF($B$28:DU28,DU28)-1</f>
        <v/>
      </c>
      <c r="DV29">
        <f>RANK(DV28,$B$28:$GQ$28,0)+COUNTIF($B$28:DV28,DV28)-1</f>
        <v/>
      </c>
      <c r="DW29">
        <f>RANK(DW28,$B$28:$GQ$28,0)+COUNTIF($B$28:DW28,DW28)-1</f>
        <v/>
      </c>
      <c r="DX29">
        <f>RANK(DX28,$B$28:$GQ$28,0)+COUNTIF($B$28:DX28,DX28)-1</f>
        <v/>
      </c>
      <c r="DY29">
        <f>RANK(DY28,$B$28:$GQ$28,0)+COUNTIF($B$28:DY28,DY28)-1</f>
        <v/>
      </c>
      <c r="DZ29">
        <f>RANK(DZ28,$B$28:$GQ$28,0)+COUNTIF($B$28:DZ28,DZ28)-1</f>
        <v/>
      </c>
      <c r="EA29">
        <f>RANK(EA28,$B$28:$GQ$28,0)+COUNTIF($B$28:EA28,EA28)-1</f>
        <v/>
      </c>
      <c r="EB29">
        <f>RANK(EB28,$B$28:$GQ$28,0)+COUNTIF($B$28:EB28,EB28)-1</f>
        <v/>
      </c>
      <c r="EC29">
        <f>RANK(EC28,$B$28:$GQ$28,0)+COUNTIF($B$28:EC28,EC28)-1</f>
        <v/>
      </c>
      <c r="ED29">
        <f>RANK(ED28,$B$28:$GQ$28,0)+COUNTIF($B$28:ED28,ED28)-1</f>
        <v/>
      </c>
      <c r="EE29">
        <f>RANK(EE28,$B$28:$GQ$28,0)+COUNTIF($B$28:EE28,EE28)-1</f>
        <v/>
      </c>
      <c r="EF29">
        <f>RANK(EF28,$B$28:$GQ$28,0)+COUNTIF($B$28:EF28,EF28)-1</f>
        <v/>
      </c>
      <c r="EG29">
        <f>RANK(EG28,$B$28:$GQ$28,0)+COUNTIF($B$28:EG28,EG28)-1</f>
        <v/>
      </c>
      <c r="EH29">
        <f>RANK(EH28,$B$28:$GQ$28,0)+COUNTIF($B$28:EH28,EH28)-1</f>
        <v/>
      </c>
      <c r="EI29">
        <f>RANK(EI28,$B$28:$GQ$28,0)+COUNTIF($B$28:EI28,EI28)-1</f>
        <v/>
      </c>
      <c r="EJ29">
        <f>RANK(EJ28,$B$28:$GQ$28,0)+COUNTIF($B$28:EJ28,EJ28)-1</f>
        <v/>
      </c>
      <c r="EK29">
        <f>RANK(EK28,$B$28:$GQ$28,0)+COUNTIF($B$28:EK28,EK28)-1</f>
        <v/>
      </c>
      <c r="EL29">
        <f>RANK(EL28,$B$28:$GQ$28,0)+COUNTIF($B$28:EL28,EL28)-1</f>
        <v/>
      </c>
      <c r="EM29">
        <f>RANK(EM28,$B$28:$GQ$28,0)+COUNTIF($B$28:EM28,EM28)-1</f>
        <v/>
      </c>
      <c r="EN29">
        <f>RANK(EN28,$B$28:$GQ$28,0)+COUNTIF($B$28:EN28,EN28)-1</f>
        <v/>
      </c>
      <c r="EO29">
        <f>RANK(EO28,$B$28:$GQ$28,0)+COUNTIF($B$28:EO28,EO28)-1</f>
        <v/>
      </c>
      <c r="EP29">
        <f>RANK(EP28,$B$28:$GQ$28,0)+COUNTIF($B$28:EP28,EP28)-1</f>
        <v/>
      </c>
      <c r="EQ29">
        <f>RANK(EQ28,$B$28:$GQ$28,0)+COUNTIF($B$28:EQ28,EQ28)-1</f>
        <v/>
      </c>
      <c r="ER29">
        <f>RANK(ER28,$B$28:$GQ$28,0)+COUNTIF($B$28:ER28,ER28)-1</f>
        <v/>
      </c>
      <c r="ES29">
        <f>RANK(ES28,$B$28:$GQ$28,0)+COUNTIF($B$28:ES28,ES28)-1</f>
        <v/>
      </c>
      <c r="ET29">
        <f>RANK(ET28,$B$28:$GQ$28,0)+COUNTIF($B$28:ET28,ET28)-1</f>
        <v/>
      </c>
      <c r="EU29">
        <f>RANK(EU28,$B$28:$GQ$28,0)+COUNTIF($B$28:EU28,EU28)-1</f>
        <v/>
      </c>
      <c r="EV29">
        <f>RANK(EV28,$B$28:$GQ$28,0)+COUNTIF($B$28:EV28,EV28)-1</f>
        <v/>
      </c>
      <c r="EW29">
        <f>RANK(EW28,$B$28:$GQ$28,0)+COUNTIF($B$28:EW28,EW28)-1</f>
        <v/>
      </c>
      <c r="EX29">
        <f>RANK(EX28,$B$28:$GQ$28,0)+COUNTIF($B$28:EX28,EX28)-1</f>
        <v/>
      </c>
      <c r="EY29">
        <f>RANK(EY28,$B$28:$GQ$28,0)+COUNTIF($B$28:EY28,EY28)-1</f>
        <v/>
      </c>
      <c r="EZ29">
        <f>RANK(EZ28,$B$28:$GQ$28,0)+COUNTIF($B$28:EZ28,EZ28)-1</f>
        <v/>
      </c>
      <c r="FA29">
        <f>RANK(FA28,$B$28:$GQ$28,0)+COUNTIF($B$28:FA28,FA28)-1</f>
        <v/>
      </c>
      <c r="FB29">
        <f>RANK(FB28,$B$28:$GQ$28,0)+COUNTIF($B$28:FB28,FB28)-1</f>
        <v/>
      </c>
      <c r="FC29">
        <f>RANK(FC28,$B$28:$GQ$28,0)+COUNTIF($B$28:FC28,FC28)-1</f>
        <v/>
      </c>
      <c r="FD29">
        <f>RANK(FD28,$B$28:$GQ$28,0)+COUNTIF($B$28:FD28,FD28)-1</f>
        <v/>
      </c>
      <c r="FE29">
        <f>RANK(FE28,$B$28:$GQ$28,0)+COUNTIF($B$28:FE28,FE28)-1</f>
        <v/>
      </c>
      <c r="FF29">
        <f>RANK(FF28,$B$28:$GQ$28,0)+COUNTIF($B$28:FF28,FF28)-1</f>
        <v/>
      </c>
      <c r="FG29">
        <f>RANK(FG28,$B$28:$GQ$28,0)+COUNTIF($B$28:FG28,FG28)-1</f>
        <v/>
      </c>
      <c r="FH29">
        <f>RANK(FH28,$B$28:$GQ$28,0)+COUNTIF($B$28:FH28,FH28)-1</f>
        <v/>
      </c>
      <c r="FI29">
        <f>RANK(FI28,$B$28:$GQ$28,0)+COUNTIF($B$28:FI28,FI28)-1</f>
        <v/>
      </c>
      <c r="FJ29">
        <f>RANK(FJ28,$B$28:$GQ$28,0)+COUNTIF($B$28:FJ28,FJ28)-1</f>
        <v/>
      </c>
      <c r="FK29">
        <f>RANK(FK28,$B$28:$GQ$28,0)+COUNTIF($B$28:FK28,FK28)-1</f>
        <v/>
      </c>
      <c r="FL29">
        <f>RANK(FL28,$B$28:$GQ$28,0)+COUNTIF($B$28:FL28,FL28)-1</f>
        <v/>
      </c>
      <c r="FM29">
        <f>RANK(FM28,$B$28:$GQ$28,0)+COUNTIF($B$28:FM28,FM28)-1</f>
        <v/>
      </c>
      <c r="FN29">
        <f>RANK(FN28,$B$28:$GQ$28,0)+COUNTIF($B$28:FN28,FN28)-1</f>
        <v/>
      </c>
      <c r="FO29">
        <f>RANK(FO28,$B$28:$GQ$28,0)+COUNTIF($B$28:FO28,FO28)-1</f>
        <v/>
      </c>
      <c r="FP29">
        <f>RANK(FP28,$B$28:$GQ$28,0)+COUNTIF($B$28:FP28,FP28)-1</f>
        <v/>
      </c>
      <c r="FQ29">
        <f>RANK(FQ28,$B$28:$GQ$28,0)+COUNTIF($B$28:FQ28,FQ28)-1</f>
        <v/>
      </c>
      <c r="FR29">
        <f>RANK(FR28,$B$28:$GQ$28,0)+COUNTIF($B$28:FR28,FR28)-1</f>
        <v/>
      </c>
      <c r="FS29">
        <f>RANK(FS28,$B$28:$GQ$28,0)+COUNTIF($B$28:FS28,FS28)-1</f>
        <v/>
      </c>
      <c r="FT29">
        <f>RANK(FT28,$B$28:$GQ$28,0)+COUNTIF($B$28:FT28,FT28)-1</f>
        <v/>
      </c>
      <c r="FU29">
        <f>RANK(FU28,$B$28:$GQ$28,0)+COUNTIF($B$28:FU28,FU28)-1</f>
        <v/>
      </c>
      <c r="FV29">
        <f>RANK(FV28,$B$28:$GQ$28,0)+COUNTIF($B$28:FV28,FV28)-1</f>
        <v/>
      </c>
      <c r="FW29">
        <f>RANK(FW28,$B$28:$GQ$28,0)+COUNTIF($B$28:FW28,FW28)-1</f>
        <v/>
      </c>
      <c r="FX29">
        <f>RANK(FX28,$B$28:$GQ$28,0)+COUNTIF($B$28:FX28,FX28)-1</f>
        <v/>
      </c>
      <c r="FY29">
        <f>RANK(FY28,$B$28:$GQ$28,0)+COUNTIF($B$28:FY28,FY28)-1</f>
        <v/>
      </c>
      <c r="FZ29">
        <f>RANK(FZ28,$B$28:$GQ$28,0)+COUNTIF($B$28:FZ28,FZ28)-1</f>
        <v/>
      </c>
      <c r="GA29">
        <f>RANK(GA28,$B$28:$GQ$28,0)+COUNTIF($B$28:GA28,GA28)-1</f>
        <v/>
      </c>
      <c r="GB29">
        <f>RANK(GB28,$B$28:$GQ$28,0)+COUNTIF($B$28:GB28,GB28)-1</f>
        <v/>
      </c>
      <c r="GC29">
        <f>RANK(GC28,$B$28:$GQ$28,0)+COUNTIF($B$28:GC28,GC28)-1</f>
        <v/>
      </c>
      <c r="GD29">
        <f>RANK(GD28,$B$28:$GQ$28,0)+COUNTIF($B$28:GD28,GD28)-1</f>
        <v/>
      </c>
      <c r="GE29">
        <f>RANK(GE28,$B$28:$GQ$28,0)+COUNTIF($B$28:GE28,GE28)-1</f>
        <v/>
      </c>
      <c r="GF29">
        <f>RANK(GF28,$B$28:$GQ$28,0)+COUNTIF($B$28:GF28,GF28)-1</f>
        <v/>
      </c>
      <c r="GG29">
        <f>RANK(GG28,$B$28:$GQ$28,0)+COUNTIF($B$28:GG28,GG28)-1</f>
        <v/>
      </c>
      <c r="GH29">
        <f>RANK(GH28,$B$28:$GQ$28,0)+COUNTIF($B$28:GH28,GH28)-1</f>
        <v/>
      </c>
      <c r="GI29">
        <f>RANK(GI28,$B$28:$GQ$28,0)+COUNTIF($B$28:GI28,GI28)-1</f>
        <v/>
      </c>
      <c r="GJ29">
        <f>RANK(GJ28,$B$28:$GQ$28,0)+COUNTIF($B$28:GJ28,GJ28)-1</f>
        <v/>
      </c>
      <c r="GK29">
        <f>RANK(GK28,$B$28:$GQ$28,0)+COUNTIF($B$28:GK28,GK28)-1</f>
        <v/>
      </c>
      <c r="GL29">
        <f>RANK(GL28,$B$28:$GQ$28,0)+COUNTIF($B$28:GL28,GL28)-1</f>
        <v/>
      </c>
      <c r="GM29">
        <f>RANK(GM28,$B$28:$GQ$28,0)+COUNTIF($B$28:GM28,GM28)-1</f>
        <v/>
      </c>
      <c r="GN29">
        <f>RANK(GN28,$B$28:$GQ$28,0)+COUNTIF($B$28:GN28,GN28)-1</f>
        <v/>
      </c>
      <c r="GO29">
        <f>RANK(GO28,$B$28:$GQ$28,0)+COUNTIF($B$28:GO28,GO28)-1</f>
        <v/>
      </c>
      <c r="GP29">
        <f>RANK(GP28,$B$28:$GQ$28,0)+COUNTIF($B$28:GP28,GP28)-1</f>
        <v/>
      </c>
      <c r="GQ29">
        <f>RANK(GQ28,$B$28:$GQ$28,0)+COUNTIF($B$28:GQ28,GQ28)-1</f>
        <v/>
      </c>
    </row>
    <row r="30">
      <c r="A30" s="1" t="inlineStr">
        <is>
          <t>Rang (catégories)</t>
        </is>
      </c>
      <c r="GR30">
        <f>RANK(GR28,$GR$28:$HC$28,0)+COUNTIF($GR$28:GR28,GR28)-1</f>
        <v/>
      </c>
      <c r="GS30">
        <f>RANK(GS28,$GR$28:$HC$28,0)+COUNTIF($GR$28:GS28,GS28)-1</f>
        <v/>
      </c>
      <c r="GT30">
        <f>RANK(GT28,$GR$28:$HC$28,0)+COUNTIF($GR$28:GT28,GT28)-1</f>
        <v/>
      </c>
      <c r="GU30">
        <f>RANK(GU28,$GR$28:$HC$28,0)+COUNTIF($GR$28:GU28,GU28)-1</f>
        <v/>
      </c>
      <c r="GV30">
        <f>RANK(GV28,$GR$28:$HC$28,0)+COUNTIF($GR$28:GV28,GV28)-1</f>
        <v/>
      </c>
      <c r="GW30">
        <f>RANK(GW28,$GR$28:$HC$28,0)+COUNTIF($GR$28:GW28,GW28)-1</f>
        <v/>
      </c>
      <c r="GX30">
        <f>RANK(GX28,$GR$28:$HC$28,0)+COUNTIF($GR$28:GX28,GX28)-1</f>
        <v/>
      </c>
      <c r="GY30">
        <f>RANK(GY28,$GR$28:$HC$28,0)+COUNTIF($GR$28:GY28,GY28)-1</f>
        <v/>
      </c>
      <c r="GZ30">
        <f>RANK(GZ28,$GR$28:$HC$28,0)+COUNTIF($GR$28:GZ28,GZ28)-1</f>
        <v/>
      </c>
      <c r="HA30">
        <f>RANK(HA28,$GR$28:$HC$28,0)+COUNTIF($GR$28:HA28,HA28)-1</f>
        <v/>
      </c>
      <c r="HB30">
        <f>RANK(HB28,$GR$28:$HC$28,0)+COUNTIF($GR$28:HB28,HB28)-1</f>
        <v/>
      </c>
      <c r="HC30">
        <f>RANK(HC28,$GR$28:$HC$28,0)+COUNTIF($GR$28:HC28,HC28)-1</f>
        <v/>
      </c>
    </row>
  </sheetData>
  <dataValidations count="1">
    <dataValidation sqref="B1" showDropDown="0" showInputMessage="0" showErrorMessage="0" allowBlank="0" type="list">
      <formula1>=$A$18:$A$27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2026-10-04T14:28:44Z</dcterms:created>
  <dcterms:modified xsi:type="dcterms:W3CDTF">2026-10-04T14:28:44Z</dcterms:modified>
</cp:coreProperties>
</file>