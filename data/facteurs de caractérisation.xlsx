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25FBF035-8AC9-4AAC-9F24-C852232A0071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5" r:id="rId1"/>
    <sheet name="synthèse v3" sheetId="4" r:id="rId2"/>
    <sheet name="synthèse v2" sheetId="1" r:id="rId3"/>
    <sheet name="Feuil1" sheetId="2" r:id="rId4"/>
    <sheet name="Feuil2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0" i="5" l="1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64" i="4"/>
  <c r="E194" i="4"/>
  <c r="E195" i="4"/>
  <c r="E196" i="4"/>
  <c r="E197" i="4"/>
  <c r="E198" i="4"/>
  <c r="E199" i="4"/>
  <c r="E200" i="4"/>
  <c r="E201" i="4"/>
  <c r="E202" i="4"/>
  <c r="E181" i="4"/>
  <c r="E204" i="4"/>
  <c r="E206" i="4"/>
  <c r="E205" i="4"/>
  <c r="E203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3" i="4"/>
  <c r="E162" i="4"/>
  <c r="E161" i="4"/>
  <c r="E160" i="4"/>
  <c r="E159" i="4"/>
  <c r="E158" i="4"/>
  <c r="E157" i="4"/>
  <c r="E156" i="4"/>
  <c r="E155" i="4"/>
  <c r="E154" i="4"/>
  <c r="E87" i="1"/>
  <c r="E91" i="1"/>
  <c r="E89" i="1"/>
  <c r="E90" i="1"/>
  <c r="E88" i="1"/>
  <c r="E86" i="1"/>
  <c r="E74" i="1"/>
  <c r="E75" i="1"/>
  <c r="E76" i="1"/>
  <c r="E77" i="1"/>
  <c r="E78" i="1"/>
  <c r="E79" i="1"/>
  <c r="E80" i="1"/>
  <c r="E81" i="1"/>
  <c r="E82" i="1"/>
  <c r="E83" i="1"/>
  <c r="E84" i="1"/>
  <c r="E85" i="1"/>
  <c r="E73" i="1"/>
  <c r="E72" i="1" l="1"/>
  <c r="E71" i="1"/>
  <c r="E70" i="1"/>
  <c r="E69" i="1"/>
  <c r="E68" i="1"/>
  <c r="E58" i="1"/>
  <c r="E59" i="1"/>
  <c r="E60" i="1"/>
  <c r="E61" i="1"/>
  <c r="E62" i="1"/>
  <c r="E63" i="1"/>
  <c r="E64" i="1"/>
  <c r="E65" i="1"/>
  <c r="E66" i="1"/>
  <c r="E67" i="1"/>
  <c r="E57" i="1"/>
  <c r="E48" i="1"/>
  <c r="E49" i="1"/>
  <c r="E50" i="1"/>
  <c r="E51" i="1"/>
  <c r="E52" i="1"/>
  <c r="E53" i="1"/>
  <c r="E54" i="1"/>
  <c r="E55" i="1"/>
  <c r="E56" i="1"/>
  <c r="E47" i="1"/>
</calcChain>
</file>

<file path=xl/sharedStrings.xml><?xml version="1.0" encoding="utf-8"?>
<sst xmlns="http://schemas.openxmlformats.org/spreadsheetml/2006/main" count="1903" uniqueCount="219">
  <si>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</si>
  <si>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</si>
  <si>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</si>
  <si>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</si>
  <si>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</si>
  <si>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</si>
  <si>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</si>
  <si>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</si>
  <si>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</si>
  <si>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</si>
  <si>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</si>
  <si>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</si>
  <si>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</si>
  <si>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</si>
  <si>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</si>
  <si>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</si>
  <si>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</si>
  <si>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</si>
  <si>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</si>
  <si>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</si>
  <si>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</si>
  <si>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</si>
  <si>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</si>
  <si>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</si>
  <si>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</si>
  <si>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</si>
  <si>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</si>
  <si>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</si>
  <si>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</si>
  <si>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</si>
  <si>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</si>
  <si>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</si>
  <si>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</si>
  <si>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</si>
  <si>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</si>
  <si>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</si>
  <si>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</si>
  <si>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</si>
  <si>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</si>
  <si>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</si>
  <si>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</si>
  <si>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</si>
  <si>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</si>
  <si>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</si>
  <si>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</si>
  <si>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</si>
  <si>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</si>
  <si>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</si>
  <si>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</si>
  <si>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</si>
  <si>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</si>
  <si>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</si>
  <si>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</si>
  <si>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</si>
  <si>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</si>
  <si>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</si>
  <si>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</si>
  <si>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</si>
  <si>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</si>
  <si>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</si>
  <si>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</si>
  <si>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</si>
  <si>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</si>
  <si>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</si>
  <si>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</si>
  <si>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</si>
  <si>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</si>
  <si>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</si>
  <si>
    <t>Forest area - Forestry</t>
  </si>
  <si>
    <t>Permanent pastures - Grazing-Cattle</t>
  </si>
  <si>
    <t>Permanent pastures - Grazing-Meat animals nec</t>
  </si>
  <si>
    <t>Permanent pastures - Grazing-Raw milk</t>
  </si>
  <si>
    <t>Forest area - Marginal use</t>
  </si>
  <si>
    <t>Water Consumption Blue - Agriculture - rice</t>
  </si>
  <si>
    <t>Water Consumption Blue - Agriculture - wheat</t>
  </si>
  <si>
    <t>Water Consumption Blue - Agriculture - other cereals</t>
  </si>
  <si>
    <t>Water Consumption Blue - Agriculture - roots and tubers</t>
  </si>
  <si>
    <t>Water Consumption Blue - Agriculture - sugar crops</t>
  </si>
  <si>
    <t>Water Consumption Blue - Agriculture - pulses</t>
  </si>
  <si>
    <t>Water Consumption Blue - Agriculture - nuts</t>
  </si>
  <si>
    <t>Water Consumption Blue - Agriculture - oil crops</t>
  </si>
  <si>
    <t>Water Consumption Blue - Agriculture - vegetables</t>
  </si>
  <si>
    <t>Water Consumption Blue - Agriculture - fruits</t>
  </si>
  <si>
    <t>Water Consumption Blue - Agriculture - fibres</t>
  </si>
  <si>
    <t>Water Consumption Blue - Agriculture - other crops</t>
  </si>
  <si>
    <t>Water Consumption Blue - Agriculture - fodder crops</t>
  </si>
  <si>
    <t>Water Consumption Blue - Livestock - dairy cattle</t>
  </si>
  <si>
    <t>Water Consumption Blue - Livestock - nondairy cattle</t>
  </si>
  <si>
    <t>Water Consumption Blue - Livestock - pigs</t>
  </si>
  <si>
    <t>Water Consumption Blue - Livestock - sheep</t>
  </si>
  <si>
    <t>Water Consumption Blue - Livestock - goats</t>
  </si>
  <si>
    <t>Water Consumption Blue - Livestock - buffaloes</t>
  </si>
  <si>
    <t>Water Consumption Blue - Livestock - camels</t>
  </si>
  <si>
    <t>Water Consumption Blue - Livestock - horses</t>
  </si>
  <si>
    <t>Water Consumption Blue - Livestock - chicken</t>
  </si>
  <si>
    <t>Water Consumption Blue - Livestock - turkeys</t>
  </si>
  <si>
    <t>Water Consumption Blue - Livestock - ducks</t>
  </si>
  <si>
    <t>Water Consumption Blue - Livestock - geese</t>
  </si>
  <si>
    <t>Water Consumption Blue - Manufacturing - Products of meat cattle</t>
  </si>
  <si>
    <t>Water Consumption Blue - Manufacturing - Products of meat pigs</t>
  </si>
  <si>
    <t>Water Consumption Blue - Manufacturing - Products of meat poultry</t>
  </si>
  <si>
    <t>Water Consumption Blue - Manufacturing - Meat products nec</t>
  </si>
  <si>
    <t>Water Consumption Blue - Manufacturing - products of Vegetable oils and fats</t>
  </si>
  <si>
    <t>Water Consumption Blue - Manufacturing - Dairy products</t>
  </si>
  <si>
    <t>Water Consumption Blue - Manufacturing - Processed rice</t>
  </si>
  <si>
    <t>Water Consumption Blue - Manufacturing - Sugar</t>
  </si>
  <si>
    <t>Water Consumption Blue - Manufacturing - Food products nec</t>
  </si>
  <si>
    <t>Water Consumption Blue - Manufacturing - Beverages</t>
  </si>
  <si>
    <t>Water Consumption Blue - Manufacturing - Fish products</t>
  </si>
  <si>
    <t>Water Consumption Blue - Manufacturing - Tobacco products (16)</t>
  </si>
  <si>
    <t>Water Consumption Blue - Manufacturing - Textiles (17)</t>
  </si>
  <si>
    <t>Water Consumption Blue - Manufacturing - Wearing apparel; furs (18)</t>
  </si>
  <si>
    <t>Water Consumption Blue - Manufacturing - Leather and leather products (19)</t>
  </si>
  <si>
    <t>Water Consumption Blue - Manufacturing - Pulp</t>
  </si>
  <si>
    <t>Water Consumption Blue - Manufacturing - Secondary paper for treatment, Re-processing of secondary paper into new pulp</t>
  </si>
  <si>
    <t>Water Consumption Blue - Manufacturing - Paper and paper products</t>
  </si>
  <si>
    <t>Water Consumption Blue - Manufacturing - Printed matter and recorded media (22)</t>
  </si>
  <si>
    <t>Water Consumption Blue - Manufacturing - Plastics, basic</t>
  </si>
  <si>
    <t>Water Consumption Blue - Manufacturing - Secondary plastic for treatment, Re-processing of secondary plastic into new plastic</t>
  </si>
  <si>
    <t>Water Consumption Blue - Manufacturing - N-fertiliser</t>
  </si>
  <si>
    <t>Water Consumption Blue - Manufacturing - P- and other fertiliser</t>
  </si>
  <si>
    <t>Water Consumption Blue - Manufacturing - Chemicals nec</t>
  </si>
  <si>
    <t>Water Consumption Blue - Manufacturing - Rubber and plastic products (25)</t>
  </si>
  <si>
    <t>Water Consumption Blue - Manufacturing - Glass and glass products</t>
  </si>
  <si>
    <t>Water Consumption Blue - Manufacturing - Secondary glass for treatment, Re-processing of secondary glass into new glass</t>
  </si>
  <si>
    <t>Water Consumption Blue - Manufacturing - Ceramic goods</t>
  </si>
  <si>
    <t>Water Consumption Blue - Manufacturing - Bricks, tiles and construction products, in baked clay</t>
  </si>
  <si>
    <t>Water Consumption Blue - Manufacturing - Cement, lime and plaster</t>
  </si>
  <si>
    <t>Water Consumption Blue - Manufacturing - Ash for treatment, Re-processing of ash into clinker</t>
  </si>
  <si>
    <t>Water Consumption Blue - Manufacturing - Other non-metallic mineral products</t>
  </si>
  <si>
    <t>Water Consumption Blue - Manufacturing - Basic iron and steel and of ferro-alloys and first products thereof</t>
  </si>
  <si>
    <t>Water Consumption Blue - Manufacturing - Secondary steel for treatment, Re-processing of secondary steel into new steel</t>
  </si>
  <si>
    <t>Water Consumption Blue - Manufacturing - Precious metals</t>
  </si>
  <si>
    <t>Water Consumption Blue - Manufacturing - Secondary preciuos metals for treatment, Re-processing of secondary preciuos metals into new preciuos metals</t>
  </si>
  <si>
    <t>Water Consumption Blue - Manufacturing - Aluminium and aluminium products</t>
  </si>
  <si>
    <t>Water Consumption Blue - Manufacturing - Secondary aluminium for treatment, Re-processing of secondary aluminium into new aluminium</t>
  </si>
  <si>
    <t>Water Consumption Blue - Manufacturing - Lead, zinc and tin and products thereof</t>
  </si>
  <si>
    <t>Water Consumption Blue - Manufacturing - Secondary lead for treatment, Re-processing of secondary lead into new lead</t>
  </si>
  <si>
    <t>Water Consumption Blue - Manufacturing - Copper products</t>
  </si>
  <si>
    <t>Water Consumption Blue - Manufacturing - Secondary copper for treatment, Re-processing of secondary copper into new copper</t>
  </si>
  <si>
    <t>Water Consumption Blue - Manufacturing - Other non-ferrous metal products</t>
  </si>
  <si>
    <t>Water Consumption Blue - Manufacturing - Secondary other non-ferrous metals for treatment, Re-processing of secondary other non-ferrous metals into new other non-ferrous metals</t>
  </si>
  <si>
    <t>Water Consumption Blue - Manufacturing - Fabricated metal products, except machinery and equipment (28)</t>
  </si>
  <si>
    <t>Water Consumption Blue - Manufacturing - Machinery and equipment n.e.c. (29)</t>
  </si>
  <si>
    <t>Water Consumption Blue - Manufacturing - Office machinery and computers (30)</t>
  </si>
  <si>
    <t>Water Consumption Blue - Manufacturing - Electrical machinery and apparatus n.e.c. (31)</t>
  </si>
  <si>
    <t>Water Consumption Blue - Manufacturing - Radio, television and communication equipment and apparatus (32)</t>
  </si>
  <si>
    <t>Water Consumption Blue - Manufacturing - Medical, precision and optical instruments, watches and clocks (33)</t>
  </si>
  <si>
    <t>Water Consumption Blue - Manufacturing - Motor vehicles, trailers and semi-trailers (34)</t>
  </si>
  <si>
    <t>Water Consumption Blue - Manufacturing - Other transport equipment (35)</t>
  </si>
  <si>
    <t>Water Consumption Blue - Manufacturing - Furniture; other manufactured goods n.e.c. (36)</t>
  </si>
  <si>
    <t>Water Consumption Blue - Electricity - tower - Electricity by coal</t>
  </si>
  <si>
    <t>Water Consumption Blue - Electricity - tower - Electricity by gas</t>
  </si>
  <si>
    <t>Water Consumption Blue - Electricity - tower - Electricity by nuclear</t>
  </si>
  <si>
    <t>Water Consumption Blue - Electricity - tower - Electricity by hydro</t>
  </si>
  <si>
    <t>Water Consumption Blue - Electricity - tower - Electricity by wind</t>
  </si>
  <si>
    <t>Water Consumption Blue - Electricity - tower - Electricity by petroleum and other oil derivatives</t>
  </si>
  <si>
    <t>Water Consumption Blue - Electricity - tower - Electricity by biomass and waste</t>
  </si>
  <si>
    <t>Water Consumption Blue - Electricity - tower - Electricity by solar photovoltaic</t>
  </si>
  <si>
    <t>Water Consumption Blue - Electricity - tower - Electricity by solar thermal</t>
  </si>
  <si>
    <t>Water Consumption Blue - Electricity - tower - Electricity by tide, wave, ocean</t>
  </si>
  <si>
    <t>Water Consumption Blue - Electricity - tower - Electricity by Geothermal</t>
  </si>
  <si>
    <t>Water Consumption Blue - Electricity - tower - Electricity nec</t>
  </si>
  <si>
    <t>Water Consumption Blue - Electricity - once-through - Electricity by coal</t>
  </si>
  <si>
    <t>Water Consumption Blue - Electricity - once-through - Electricity by gas</t>
  </si>
  <si>
    <t>Water Consumption Blue - Electricity - once-through - Electricity by nuclear</t>
  </si>
  <si>
    <t>Water Consumption Blue - Electricity - once-through - Electricity by hydro</t>
  </si>
  <si>
    <t>Water Consumption Blue - Electricity - once-through - Electricity by wind</t>
  </si>
  <si>
    <t>Water Consumption Blue - Electricity - once-through - Electricity by petroleum and other oil derivatives</t>
  </si>
  <si>
    <t>Water Consumption Blue - Electricity - once-through - Electricity by biomass and waste</t>
  </si>
  <si>
    <t>Water Consumption Blue - Electricity - once-through - Electricity by solar photovoltaic</t>
  </si>
  <si>
    <t>Water Consumption Blue - Electricity - once-through - Electricity by solar thermal</t>
  </si>
  <si>
    <t>Water Consumption Blue - Electricity - once-through - Electricity by tide, wave, ocean</t>
  </si>
  <si>
    <t>Water Consumption Blue - Electricity - once-through - Electricity by Geothermal</t>
  </si>
  <si>
    <t>Water Consumption Blue - Electricity - once-through - Electricity nec</t>
  </si>
  <si>
    <t>Water Consumption Blue - Domestic - domestic Water Consumption Blue</t>
  </si>
  <si>
    <t>Artificial Surfaces</t>
  </si>
  <si>
    <t>Cropland - cropped area - Cereal grains nec</t>
  </si>
  <si>
    <t>Cropland - cropped area - Crops nec</t>
  </si>
  <si>
    <t>Cropland - cropped area - Oil seeds</t>
  </si>
  <si>
    <t>Cropland - cropped area - Paddy rice</t>
  </si>
  <si>
    <t>Cropland - cropped area - Plant-based fibers</t>
  </si>
  <si>
    <t>Cropland - cropped area - Sugar cane, sugar beet</t>
  </si>
  <si>
    <t>Cropland - cropped area - Vegetables, fruit, nuts</t>
  </si>
  <si>
    <t>Cropland - cropped area - Wheat</t>
  </si>
  <si>
    <t>Cropland - fallowed area - Cereal grains nec</t>
  </si>
  <si>
    <t>Cropland - fallowed area - Crops nec</t>
  </si>
  <si>
    <t>Cropland - fallowed area - Oil seeds</t>
  </si>
  <si>
    <t>Cropland - fallowed area - Paddy rice</t>
  </si>
  <si>
    <t>Cropland - fallowed area - Plant-based fibers</t>
  </si>
  <si>
    <t>Cropland - fallowed area - Sugar cane, sugar beet</t>
  </si>
  <si>
    <t>Cropland - fallowed area - Vegetables, fruit, nuts</t>
  </si>
  <si>
    <t>Cropland - fallowed area - Wheat</t>
  </si>
  <si>
    <t>Cropland - fallowed area-Cattle</t>
  </si>
  <si>
    <t>Cropland - fallowed area-Meat animals nec</t>
  </si>
  <si>
    <t>Cropland - fallowed area-Pigs</t>
  </si>
  <si>
    <t>Cropland - fallowed area-Poultry</t>
  </si>
  <si>
    <t>Cropland - fallowed area-Raw milk</t>
  </si>
  <si>
    <t>Forest</t>
  </si>
  <si>
    <t>Energy use - Final</t>
  </si>
  <si>
    <t>CO2 - waste - biogenic - air</t>
  </si>
  <si>
    <t xml:space="preserve">CO2 </t>
  </si>
  <si>
    <t>ghg_combustion</t>
  </si>
  <si>
    <t>CH4</t>
  </si>
  <si>
    <t>N2O</t>
  </si>
  <si>
    <t>SF6</t>
  </si>
  <si>
    <t>HFC</t>
  </si>
  <si>
    <t>PFC</t>
  </si>
  <si>
    <t>raw_materials</t>
  </si>
  <si>
    <t>RMC</t>
  </si>
  <si>
    <t>MtCO2eq</t>
  </si>
  <si>
    <t>kt</t>
  </si>
  <si>
    <t>GHG emissions</t>
  </si>
  <si>
    <t>Cropland use</t>
  </si>
  <si>
    <t>P surplus</t>
  </si>
  <si>
    <t>N surplus</t>
  </si>
  <si>
    <t>Biodiversity loss</t>
  </si>
  <si>
    <t>Raw material consumption</t>
  </si>
  <si>
    <t>Blue water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</si>
</sst>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  <xf numFmtId="0" fontId="0" fillId="0" borderId="0" xfId="0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0163B-5317-4028-ABDC-4C843EF1CC69}">
  <dimension ref="A1:F171"/>
  <sheetViews>
    <sheetView tabSelected="1" topLeftCell="A98" workbookViewId="0">
      <selection activeCell="B6" sqref="B6:B108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47.84375" style="10" customWidth="1"/>
    <col min="4" max="4" width="9" style="10" customWidth="1"/>
    <col min="5" max="5" width="13.23046875" style="10" customWidth="1"/>
    <col min="6" max="16384" width="9.23046875" style="10"/>
  </cols>
  <sheetData>
    <row r="1" spans="1:5" ht="37.950000000000003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" customHeight="1" x14ac:dyDescent="0.4">
      <c r="A2" s="9" t="s">
        <v>2</v>
      </c>
      <c r="B2" s="9" t="s">
        <v>215</v>
      </c>
      <c r="C2" s="2" t="s">
        <v>1</v>
      </c>
      <c r="D2" s="12" t="s">
        <v>63</v>
      </c>
      <c r="E2" s="14">
        <v>1.0000000000000001E-9</v>
      </c>
    </row>
    <row r="3" spans="1:5" x14ac:dyDescent="0.4">
      <c r="A3" s="9" t="s">
        <v>2</v>
      </c>
      <c r="B3" s="9" t="s">
        <v>215</v>
      </c>
      <c r="C3" s="1" t="s">
        <v>0</v>
      </c>
      <c r="D3" s="12" t="s">
        <v>63</v>
      </c>
      <c r="E3" s="14">
        <v>8.2400000000000005E-10</v>
      </c>
    </row>
    <row r="4" spans="1:5" x14ac:dyDescent="0.4">
      <c r="A4" s="9" t="s">
        <v>2</v>
      </c>
      <c r="B4" s="9" t="s">
        <v>214</v>
      </c>
      <c r="C4" s="1" t="s">
        <v>8</v>
      </c>
      <c r="D4" s="12" t="s">
        <v>63</v>
      </c>
      <c r="E4" s="14">
        <v>3E-10</v>
      </c>
    </row>
    <row r="5" spans="1:5" x14ac:dyDescent="0.4">
      <c r="A5" s="9" t="s">
        <v>2</v>
      </c>
      <c r="B5" s="9" t="s">
        <v>214</v>
      </c>
      <c r="C5" s="1" t="s">
        <v>7</v>
      </c>
      <c r="D5" s="12" t="s">
        <v>63</v>
      </c>
      <c r="E5" s="14">
        <v>3E-10</v>
      </c>
    </row>
    <row r="6" spans="1:5" x14ac:dyDescent="0.4">
      <c r="A6" s="7" t="s">
        <v>3</v>
      </c>
      <c r="B6" s="7" t="s">
        <v>218</v>
      </c>
      <c r="C6" s="16" t="s">
        <v>73</v>
      </c>
      <c r="D6" s="4" t="s">
        <v>64</v>
      </c>
      <c r="E6" s="10">
        <v>1</v>
      </c>
    </row>
    <row r="7" spans="1:5" x14ac:dyDescent="0.4">
      <c r="A7" s="7" t="s">
        <v>3</v>
      </c>
      <c r="B7" s="7" t="s">
        <v>218</v>
      </c>
      <c r="C7" s="16" t="s">
        <v>74</v>
      </c>
      <c r="D7" s="4" t="s">
        <v>64</v>
      </c>
      <c r="E7" s="10">
        <v>1</v>
      </c>
    </row>
    <row r="8" spans="1:5" x14ac:dyDescent="0.4">
      <c r="A8" s="7" t="s">
        <v>3</v>
      </c>
      <c r="B8" s="7" t="s">
        <v>218</v>
      </c>
      <c r="C8" s="16" t="s">
        <v>75</v>
      </c>
      <c r="D8" s="4" t="s">
        <v>64</v>
      </c>
      <c r="E8" s="10">
        <v>1</v>
      </c>
    </row>
    <row r="9" spans="1:5" x14ac:dyDescent="0.4">
      <c r="A9" s="7" t="s">
        <v>3</v>
      </c>
      <c r="B9" s="7" t="s">
        <v>218</v>
      </c>
      <c r="C9" s="16" t="s">
        <v>76</v>
      </c>
      <c r="D9" s="4" t="s">
        <v>64</v>
      </c>
      <c r="E9" s="10">
        <v>1</v>
      </c>
    </row>
    <row r="10" spans="1:5" x14ac:dyDescent="0.4">
      <c r="A10" s="7" t="s">
        <v>3</v>
      </c>
      <c r="B10" s="7" t="s">
        <v>218</v>
      </c>
      <c r="C10" s="16" t="s">
        <v>77</v>
      </c>
      <c r="D10" s="4" t="s">
        <v>64</v>
      </c>
      <c r="E10" s="10">
        <v>1</v>
      </c>
    </row>
    <row r="11" spans="1:5" x14ac:dyDescent="0.4">
      <c r="A11" s="7" t="s">
        <v>3</v>
      </c>
      <c r="B11" s="7" t="s">
        <v>218</v>
      </c>
      <c r="C11" s="16" t="s">
        <v>78</v>
      </c>
      <c r="D11" s="4" t="s">
        <v>64</v>
      </c>
      <c r="E11" s="10">
        <v>1</v>
      </c>
    </row>
    <row r="12" spans="1:5" x14ac:dyDescent="0.4">
      <c r="A12" s="7" t="s">
        <v>3</v>
      </c>
      <c r="B12" s="7" t="s">
        <v>218</v>
      </c>
      <c r="C12" s="16" t="s">
        <v>79</v>
      </c>
      <c r="D12" s="4" t="s">
        <v>64</v>
      </c>
      <c r="E12" s="10">
        <v>1</v>
      </c>
    </row>
    <row r="13" spans="1:5" x14ac:dyDescent="0.4">
      <c r="A13" s="7" t="s">
        <v>3</v>
      </c>
      <c r="B13" s="7" t="s">
        <v>218</v>
      </c>
      <c r="C13" s="16" t="s">
        <v>80</v>
      </c>
      <c r="D13" s="4" t="s">
        <v>64</v>
      </c>
      <c r="E13" s="10">
        <v>1</v>
      </c>
    </row>
    <row r="14" spans="1:5" x14ac:dyDescent="0.4">
      <c r="A14" s="7" t="s">
        <v>3</v>
      </c>
      <c r="B14" s="7" t="s">
        <v>218</v>
      </c>
      <c r="C14" s="16" t="s">
        <v>81</v>
      </c>
      <c r="D14" s="4" t="s">
        <v>64</v>
      </c>
      <c r="E14" s="10">
        <v>1</v>
      </c>
    </row>
    <row r="15" spans="1:5" x14ac:dyDescent="0.4">
      <c r="A15" s="7" t="s">
        <v>3</v>
      </c>
      <c r="B15" s="7" t="s">
        <v>218</v>
      </c>
      <c r="C15" s="16" t="s">
        <v>82</v>
      </c>
      <c r="D15" s="4" t="s">
        <v>64</v>
      </c>
      <c r="E15" s="10">
        <v>1</v>
      </c>
    </row>
    <row r="16" spans="1:5" x14ac:dyDescent="0.4">
      <c r="A16" s="7" t="s">
        <v>3</v>
      </c>
      <c r="B16" s="7" t="s">
        <v>218</v>
      </c>
      <c r="C16" s="16" t="s">
        <v>83</v>
      </c>
      <c r="D16" s="4" t="s">
        <v>64</v>
      </c>
      <c r="E16" s="10">
        <v>1</v>
      </c>
    </row>
    <row r="17" spans="1:5" x14ac:dyDescent="0.4">
      <c r="A17" s="7" t="s">
        <v>3</v>
      </c>
      <c r="B17" s="7" t="s">
        <v>218</v>
      </c>
      <c r="C17" s="16" t="s">
        <v>84</v>
      </c>
      <c r="D17" s="4" t="s">
        <v>64</v>
      </c>
      <c r="E17" s="10">
        <v>1</v>
      </c>
    </row>
    <row r="18" spans="1:5" x14ac:dyDescent="0.4">
      <c r="A18" s="7" t="s">
        <v>3</v>
      </c>
      <c r="B18" s="7" t="s">
        <v>218</v>
      </c>
      <c r="C18" s="16" t="s">
        <v>85</v>
      </c>
      <c r="D18" s="4" t="s">
        <v>64</v>
      </c>
      <c r="E18" s="10">
        <v>1</v>
      </c>
    </row>
    <row r="19" spans="1:5" x14ac:dyDescent="0.4">
      <c r="A19" s="7" t="s">
        <v>3</v>
      </c>
      <c r="B19" s="7" t="s">
        <v>218</v>
      </c>
      <c r="C19" s="16" t="s">
        <v>86</v>
      </c>
      <c r="D19" s="4" t="s">
        <v>64</v>
      </c>
      <c r="E19" s="10">
        <v>1</v>
      </c>
    </row>
    <row r="20" spans="1:5" x14ac:dyDescent="0.4">
      <c r="A20" s="7" t="s">
        <v>3</v>
      </c>
      <c r="B20" s="7" t="s">
        <v>218</v>
      </c>
      <c r="C20" s="16" t="s">
        <v>87</v>
      </c>
      <c r="D20" s="4" t="s">
        <v>64</v>
      </c>
      <c r="E20" s="10">
        <v>1</v>
      </c>
    </row>
    <row r="21" spans="1:5" x14ac:dyDescent="0.4">
      <c r="A21" s="7" t="s">
        <v>3</v>
      </c>
      <c r="B21" s="7" t="s">
        <v>218</v>
      </c>
      <c r="C21" s="16" t="s">
        <v>88</v>
      </c>
      <c r="D21" s="4" t="s">
        <v>64</v>
      </c>
      <c r="E21" s="10">
        <v>1</v>
      </c>
    </row>
    <row r="22" spans="1:5" x14ac:dyDescent="0.4">
      <c r="A22" s="7" t="s">
        <v>3</v>
      </c>
      <c r="B22" s="7" t="s">
        <v>218</v>
      </c>
      <c r="C22" s="16" t="s">
        <v>89</v>
      </c>
      <c r="D22" s="4" t="s">
        <v>64</v>
      </c>
      <c r="E22" s="10">
        <v>1</v>
      </c>
    </row>
    <row r="23" spans="1:5" x14ac:dyDescent="0.4">
      <c r="A23" s="7" t="s">
        <v>3</v>
      </c>
      <c r="B23" s="7" t="s">
        <v>218</v>
      </c>
      <c r="C23" s="16" t="s">
        <v>90</v>
      </c>
      <c r="D23" s="4" t="s">
        <v>64</v>
      </c>
      <c r="E23" s="10">
        <v>1</v>
      </c>
    </row>
    <row r="24" spans="1:5" x14ac:dyDescent="0.4">
      <c r="A24" s="7" t="s">
        <v>3</v>
      </c>
      <c r="B24" s="7" t="s">
        <v>218</v>
      </c>
      <c r="C24" s="16" t="s">
        <v>91</v>
      </c>
      <c r="D24" s="4" t="s">
        <v>64</v>
      </c>
      <c r="E24" s="10">
        <v>1</v>
      </c>
    </row>
    <row r="25" spans="1:5" x14ac:dyDescent="0.4">
      <c r="A25" s="7" t="s">
        <v>3</v>
      </c>
      <c r="B25" s="7" t="s">
        <v>218</v>
      </c>
      <c r="C25" s="16" t="s">
        <v>92</v>
      </c>
      <c r="D25" s="4" t="s">
        <v>64</v>
      </c>
      <c r="E25" s="10">
        <v>1</v>
      </c>
    </row>
    <row r="26" spans="1:5" x14ac:dyDescent="0.4">
      <c r="A26" s="7" t="s">
        <v>3</v>
      </c>
      <c r="B26" s="7" t="s">
        <v>218</v>
      </c>
      <c r="C26" s="16" t="s">
        <v>93</v>
      </c>
      <c r="D26" s="4" t="s">
        <v>64</v>
      </c>
      <c r="E26" s="10">
        <v>1</v>
      </c>
    </row>
    <row r="27" spans="1:5" x14ac:dyDescent="0.4">
      <c r="A27" s="7" t="s">
        <v>3</v>
      </c>
      <c r="B27" s="7" t="s">
        <v>218</v>
      </c>
      <c r="C27" s="16" t="s">
        <v>94</v>
      </c>
      <c r="D27" s="4" t="s">
        <v>64</v>
      </c>
      <c r="E27" s="10">
        <v>1</v>
      </c>
    </row>
    <row r="28" spans="1:5" x14ac:dyDescent="0.4">
      <c r="A28" s="7" t="s">
        <v>3</v>
      </c>
      <c r="B28" s="7" t="s">
        <v>218</v>
      </c>
      <c r="C28" s="16" t="s">
        <v>95</v>
      </c>
      <c r="D28" s="4" t="s">
        <v>64</v>
      </c>
      <c r="E28" s="10">
        <v>1</v>
      </c>
    </row>
    <row r="29" spans="1:5" x14ac:dyDescent="0.4">
      <c r="A29" s="7" t="s">
        <v>3</v>
      </c>
      <c r="B29" s="7" t="s">
        <v>218</v>
      </c>
      <c r="C29" s="16" t="s">
        <v>96</v>
      </c>
      <c r="D29" s="4" t="s">
        <v>64</v>
      </c>
      <c r="E29" s="10">
        <v>1</v>
      </c>
    </row>
    <row r="30" spans="1:5" x14ac:dyDescent="0.4">
      <c r="A30" s="7" t="s">
        <v>3</v>
      </c>
      <c r="B30" s="7" t="s">
        <v>218</v>
      </c>
      <c r="C30" s="16" t="s">
        <v>97</v>
      </c>
      <c r="D30" s="4" t="s">
        <v>64</v>
      </c>
      <c r="E30" s="10">
        <v>1</v>
      </c>
    </row>
    <row r="31" spans="1:5" x14ac:dyDescent="0.4">
      <c r="A31" s="7" t="s">
        <v>3</v>
      </c>
      <c r="B31" s="7" t="s">
        <v>218</v>
      </c>
      <c r="C31" s="16" t="s">
        <v>98</v>
      </c>
      <c r="D31" s="4" t="s">
        <v>64</v>
      </c>
      <c r="E31" s="10">
        <v>1</v>
      </c>
    </row>
    <row r="32" spans="1:5" x14ac:dyDescent="0.4">
      <c r="A32" s="7" t="s">
        <v>3</v>
      </c>
      <c r="B32" s="7" t="s">
        <v>218</v>
      </c>
      <c r="C32" s="16" t="s">
        <v>99</v>
      </c>
      <c r="D32" s="4" t="s">
        <v>64</v>
      </c>
      <c r="E32" s="10">
        <v>1</v>
      </c>
    </row>
    <row r="33" spans="1:5" x14ac:dyDescent="0.4">
      <c r="A33" s="7" t="s">
        <v>3</v>
      </c>
      <c r="B33" s="7" t="s">
        <v>218</v>
      </c>
      <c r="C33" s="16" t="s">
        <v>100</v>
      </c>
      <c r="D33" s="4" t="s">
        <v>64</v>
      </c>
      <c r="E33" s="10">
        <v>1</v>
      </c>
    </row>
    <row r="34" spans="1:5" x14ac:dyDescent="0.4">
      <c r="A34" s="7" t="s">
        <v>3</v>
      </c>
      <c r="B34" s="7" t="s">
        <v>218</v>
      </c>
      <c r="C34" s="16" t="s">
        <v>101</v>
      </c>
      <c r="D34" s="4" t="s">
        <v>64</v>
      </c>
      <c r="E34" s="10">
        <v>1</v>
      </c>
    </row>
    <row r="35" spans="1:5" x14ac:dyDescent="0.4">
      <c r="A35" s="7" t="s">
        <v>3</v>
      </c>
      <c r="B35" s="7" t="s">
        <v>218</v>
      </c>
      <c r="C35" s="16" t="s">
        <v>102</v>
      </c>
      <c r="D35" s="4" t="s">
        <v>64</v>
      </c>
      <c r="E35" s="10">
        <v>1</v>
      </c>
    </row>
    <row r="36" spans="1:5" x14ac:dyDescent="0.4">
      <c r="A36" s="7" t="s">
        <v>3</v>
      </c>
      <c r="B36" s="7" t="s">
        <v>218</v>
      </c>
      <c r="C36" s="16" t="s">
        <v>103</v>
      </c>
      <c r="D36" s="4" t="s">
        <v>64</v>
      </c>
      <c r="E36" s="10">
        <v>1</v>
      </c>
    </row>
    <row r="37" spans="1:5" x14ac:dyDescent="0.4">
      <c r="A37" s="7" t="s">
        <v>3</v>
      </c>
      <c r="B37" s="7" t="s">
        <v>218</v>
      </c>
      <c r="C37" s="16" t="s">
        <v>104</v>
      </c>
      <c r="D37" s="4" t="s">
        <v>64</v>
      </c>
      <c r="E37" s="10">
        <v>1</v>
      </c>
    </row>
    <row r="38" spans="1:5" x14ac:dyDescent="0.4">
      <c r="A38" s="7" t="s">
        <v>3</v>
      </c>
      <c r="B38" s="7" t="s">
        <v>218</v>
      </c>
      <c r="C38" s="16" t="s">
        <v>105</v>
      </c>
      <c r="D38" s="4" t="s">
        <v>64</v>
      </c>
      <c r="E38" s="10">
        <v>1</v>
      </c>
    </row>
    <row r="39" spans="1:5" x14ac:dyDescent="0.4">
      <c r="A39" s="7" t="s">
        <v>3</v>
      </c>
      <c r="B39" s="7" t="s">
        <v>218</v>
      </c>
      <c r="C39" s="16" t="s">
        <v>106</v>
      </c>
      <c r="D39" s="4" t="s">
        <v>64</v>
      </c>
      <c r="E39" s="10">
        <v>1</v>
      </c>
    </row>
    <row r="40" spans="1:5" x14ac:dyDescent="0.4">
      <c r="A40" s="7" t="s">
        <v>3</v>
      </c>
      <c r="B40" s="7" t="s">
        <v>218</v>
      </c>
      <c r="C40" s="16" t="s">
        <v>107</v>
      </c>
      <c r="D40" s="4" t="s">
        <v>64</v>
      </c>
      <c r="E40" s="10">
        <v>1</v>
      </c>
    </row>
    <row r="41" spans="1:5" x14ac:dyDescent="0.4">
      <c r="A41" s="7" t="s">
        <v>3</v>
      </c>
      <c r="B41" s="7" t="s">
        <v>218</v>
      </c>
      <c r="C41" s="16" t="s">
        <v>108</v>
      </c>
      <c r="D41" s="4" t="s">
        <v>64</v>
      </c>
      <c r="E41" s="10">
        <v>1</v>
      </c>
    </row>
    <row r="42" spans="1:5" x14ac:dyDescent="0.4">
      <c r="A42" s="7" t="s">
        <v>3</v>
      </c>
      <c r="B42" s="7" t="s">
        <v>218</v>
      </c>
      <c r="C42" s="16" t="s">
        <v>109</v>
      </c>
      <c r="D42" s="4" t="s">
        <v>64</v>
      </c>
      <c r="E42" s="10">
        <v>1</v>
      </c>
    </row>
    <row r="43" spans="1:5" x14ac:dyDescent="0.4">
      <c r="A43" s="7" t="s">
        <v>3</v>
      </c>
      <c r="B43" s="7" t="s">
        <v>218</v>
      </c>
      <c r="C43" s="16" t="s">
        <v>110</v>
      </c>
      <c r="D43" s="4" t="s">
        <v>64</v>
      </c>
      <c r="E43" s="10">
        <v>1</v>
      </c>
    </row>
    <row r="44" spans="1:5" x14ac:dyDescent="0.4">
      <c r="A44" s="7" t="s">
        <v>3</v>
      </c>
      <c r="B44" s="7" t="s">
        <v>218</v>
      </c>
      <c r="C44" s="16" t="s">
        <v>111</v>
      </c>
      <c r="D44" s="4" t="s">
        <v>64</v>
      </c>
      <c r="E44" s="10">
        <v>1</v>
      </c>
    </row>
    <row r="45" spans="1:5" x14ac:dyDescent="0.4">
      <c r="A45" s="7" t="s">
        <v>3</v>
      </c>
      <c r="B45" s="7" t="s">
        <v>218</v>
      </c>
      <c r="C45" s="16" t="s">
        <v>112</v>
      </c>
      <c r="D45" s="4" t="s">
        <v>64</v>
      </c>
      <c r="E45" s="10">
        <v>1</v>
      </c>
    </row>
    <row r="46" spans="1:5" x14ac:dyDescent="0.4">
      <c r="A46" s="7" t="s">
        <v>3</v>
      </c>
      <c r="B46" s="7" t="s">
        <v>218</v>
      </c>
      <c r="C46" s="16" t="s">
        <v>113</v>
      </c>
      <c r="D46" s="4" t="s">
        <v>64</v>
      </c>
      <c r="E46" s="10">
        <v>1</v>
      </c>
    </row>
    <row r="47" spans="1:5" x14ac:dyDescent="0.4">
      <c r="A47" s="7" t="s">
        <v>3</v>
      </c>
      <c r="B47" s="7" t="s">
        <v>218</v>
      </c>
      <c r="C47" s="16" t="s">
        <v>114</v>
      </c>
      <c r="D47" s="4" t="s">
        <v>64</v>
      </c>
      <c r="E47" s="10">
        <v>1</v>
      </c>
    </row>
    <row r="48" spans="1:5" x14ac:dyDescent="0.4">
      <c r="A48" s="7" t="s">
        <v>3</v>
      </c>
      <c r="B48" s="7" t="s">
        <v>218</v>
      </c>
      <c r="C48" s="16" t="s">
        <v>115</v>
      </c>
      <c r="D48" s="4" t="s">
        <v>64</v>
      </c>
      <c r="E48" s="10">
        <v>1</v>
      </c>
    </row>
    <row r="49" spans="1:5" x14ac:dyDescent="0.4">
      <c r="A49" s="7" t="s">
        <v>3</v>
      </c>
      <c r="B49" s="7" t="s">
        <v>218</v>
      </c>
      <c r="C49" s="16" t="s">
        <v>116</v>
      </c>
      <c r="D49" s="4" t="s">
        <v>64</v>
      </c>
      <c r="E49" s="10">
        <v>1</v>
      </c>
    </row>
    <row r="50" spans="1:5" x14ac:dyDescent="0.4">
      <c r="A50" s="7" t="s">
        <v>3</v>
      </c>
      <c r="B50" s="7" t="s">
        <v>218</v>
      </c>
      <c r="C50" s="16" t="s">
        <v>117</v>
      </c>
      <c r="D50" s="4" t="s">
        <v>64</v>
      </c>
      <c r="E50" s="10">
        <v>1</v>
      </c>
    </row>
    <row r="51" spans="1:5" x14ac:dyDescent="0.4">
      <c r="A51" s="7" t="s">
        <v>3</v>
      </c>
      <c r="B51" s="7" t="s">
        <v>218</v>
      </c>
      <c r="C51" s="16" t="s">
        <v>118</v>
      </c>
      <c r="D51" s="4" t="s">
        <v>64</v>
      </c>
      <c r="E51" s="10">
        <v>1</v>
      </c>
    </row>
    <row r="52" spans="1:5" x14ac:dyDescent="0.4">
      <c r="A52" s="7" t="s">
        <v>3</v>
      </c>
      <c r="B52" s="7" t="s">
        <v>218</v>
      </c>
      <c r="C52" s="16" t="s">
        <v>119</v>
      </c>
      <c r="D52" s="4" t="s">
        <v>64</v>
      </c>
      <c r="E52" s="10">
        <v>1</v>
      </c>
    </row>
    <row r="53" spans="1:5" x14ac:dyDescent="0.4">
      <c r="A53" s="7" t="s">
        <v>3</v>
      </c>
      <c r="B53" s="7" t="s">
        <v>218</v>
      </c>
      <c r="C53" s="16" t="s">
        <v>120</v>
      </c>
      <c r="D53" s="4" t="s">
        <v>64</v>
      </c>
      <c r="E53" s="10">
        <v>1</v>
      </c>
    </row>
    <row r="54" spans="1:5" x14ac:dyDescent="0.4">
      <c r="A54" s="7" t="s">
        <v>3</v>
      </c>
      <c r="B54" s="7" t="s">
        <v>218</v>
      </c>
      <c r="C54" s="16" t="s">
        <v>121</v>
      </c>
      <c r="D54" s="4" t="s">
        <v>64</v>
      </c>
      <c r="E54" s="10">
        <v>1</v>
      </c>
    </row>
    <row r="55" spans="1:5" x14ac:dyDescent="0.4">
      <c r="A55" s="7" t="s">
        <v>3</v>
      </c>
      <c r="B55" s="7" t="s">
        <v>218</v>
      </c>
      <c r="C55" s="16" t="s">
        <v>122</v>
      </c>
      <c r="D55" s="4" t="s">
        <v>64</v>
      </c>
      <c r="E55" s="10">
        <v>1</v>
      </c>
    </row>
    <row r="56" spans="1:5" x14ac:dyDescent="0.4">
      <c r="A56" s="7" t="s">
        <v>3</v>
      </c>
      <c r="B56" s="7" t="s">
        <v>218</v>
      </c>
      <c r="C56" s="16" t="s">
        <v>123</v>
      </c>
      <c r="D56" s="4" t="s">
        <v>64</v>
      </c>
      <c r="E56" s="10">
        <v>1</v>
      </c>
    </row>
    <row r="57" spans="1:5" x14ac:dyDescent="0.4">
      <c r="A57" s="7" t="s">
        <v>3</v>
      </c>
      <c r="B57" s="7" t="s">
        <v>218</v>
      </c>
      <c r="C57" s="16" t="s">
        <v>124</v>
      </c>
      <c r="D57" s="4" t="s">
        <v>64</v>
      </c>
      <c r="E57" s="10">
        <v>1</v>
      </c>
    </row>
    <row r="58" spans="1:5" x14ac:dyDescent="0.4">
      <c r="A58" s="7" t="s">
        <v>3</v>
      </c>
      <c r="B58" s="7" t="s">
        <v>218</v>
      </c>
      <c r="C58" s="16" t="s">
        <v>125</v>
      </c>
      <c r="D58" s="4" t="s">
        <v>64</v>
      </c>
      <c r="E58" s="10">
        <v>1</v>
      </c>
    </row>
    <row r="59" spans="1:5" x14ac:dyDescent="0.4">
      <c r="A59" s="7" t="s">
        <v>3</v>
      </c>
      <c r="B59" s="7" t="s">
        <v>218</v>
      </c>
      <c r="C59" s="16" t="s">
        <v>126</v>
      </c>
      <c r="D59" s="4" t="s">
        <v>64</v>
      </c>
      <c r="E59" s="10">
        <v>1</v>
      </c>
    </row>
    <row r="60" spans="1:5" x14ac:dyDescent="0.4">
      <c r="A60" s="7" t="s">
        <v>3</v>
      </c>
      <c r="B60" s="7" t="s">
        <v>218</v>
      </c>
      <c r="C60" s="16" t="s">
        <v>127</v>
      </c>
      <c r="D60" s="4" t="s">
        <v>64</v>
      </c>
      <c r="E60" s="10">
        <v>1</v>
      </c>
    </row>
    <row r="61" spans="1:5" x14ac:dyDescent="0.4">
      <c r="A61" s="7" t="s">
        <v>3</v>
      </c>
      <c r="B61" s="7" t="s">
        <v>218</v>
      </c>
      <c r="C61" s="16" t="s">
        <v>128</v>
      </c>
      <c r="D61" s="4" t="s">
        <v>64</v>
      </c>
      <c r="E61" s="10">
        <v>1</v>
      </c>
    </row>
    <row r="62" spans="1:5" x14ac:dyDescent="0.4">
      <c r="A62" s="7" t="s">
        <v>3</v>
      </c>
      <c r="B62" s="7" t="s">
        <v>218</v>
      </c>
      <c r="C62" s="16" t="s">
        <v>129</v>
      </c>
      <c r="D62" s="4" t="s">
        <v>64</v>
      </c>
      <c r="E62" s="10">
        <v>1</v>
      </c>
    </row>
    <row r="63" spans="1:5" x14ac:dyDescent="0.4">
      <c r="A63" s="7" t="s">
        <v>3</v>
      </c>
      <c r="B63" s="7" t="s">
        <v>218</v>
      </c>
      <c r="C63" s="16" t="s">
        <v>130</v>
      </c>
      <c r="D63" s="4" t="s">
        <v>64</v>
      </c>
      <c r="E63" s="10">
        <v>1</v>
      </c>
    </row>
    <row r="64" spans="1:5" x14ac:dyDescent="0.4">
      <c r="A64" s="7" t="s">
        <v>3</v>
      </c>
      <c r="B64" s="7" t="s">
        <v>218</v>
      </c>
      <c r="C64" s="16" t="s">
        <v>131</v>
      </c>
      <c r="D64" s="4" t="s">
        <v>64</v>
      </c>
      <c r="E64" s="10">
        <v>1</v>
      </c>
    </row>
    <row r="65" spans="1:6" x14ac:dyDescent="0.4">
      <c r="A65" s="7" t="s">
        <v>3</v>
      </c>
      <c r="B65" s="7" t="s">
        <v>218</v>
      </c>
      <c r="C65" s="16" t="s">
        <v>132</v>
      </c>
      <c r="D65" s="4" t="s">
        <v>64</v>
      </c>
      <c r="E65" s="10">
        <v>1</v>
      </c>
    </row>
    <row r="66" spans="1:6" x14ac:dyDescent="0.4">
      <c r="A66" s="7" t="s">
        <v>3</v>
      </c>
      <c r="B66" s="7" t="s">
        <v>218</v>
      </c>
      <c r="C66" s="16" t="s">
        <v>133</v>
      </c>
      <c r="D66" s="4" t="s">
        <v>64</v>
      </c>
      <c r="E66" s="10">
        <v>1</v>
      </c>
    </row>
    <row r="67" spans="1:6" x14ac:dyDescent="0.4">
      <c r="A67" s="7" t="s">
        <v>3</v>
      </c>
      <c r="B67" s="7" t="s">
        <v>218</v>
      </c>
      <c r="C67" s="16" t="s">
        <v>134</v>
      </c>
      <c r="D67" s="4" t="s">
        <v>64</v>
      </c>
      <c r="E67" s="10">
        <v>1</v>
      </c>
    </row>
    <row r="68" spans="1:6" x14ac:dyDescent="0.4">
      <c r="A68" s="7" t="s">
        <v>3</v>
      </c>
      <c r="B68" s="7" t="s">
        <v>218</v>
      </c>
      <c r="C68" s="16" t="s">
        <v>135</v>
      </c>
      <c r="D68" s="4" t="s">
        <v>64</v>
      </c>
      <c r="E68" s="10">
        <v>1</v>
      </c>
    </row>
    <row r="69" spans="1:6" x14ac:dyDescent="0.4">
      <c r="A69" s="7" t="s">
        <v>3</v>
      </c>
      <c r="B69" s="7" t="s">
        <v>218</v>
      </c>
      <c r="C69" s="16" t="s">
        <v>136</v>
      </c>
      <c r="D69" s="4" t="s">
        <v>64</v>
      </c>
      <c r="E69" s="10">
        <v>1</v>
      </c>
    </row>
    <row r="70" spans="1:6" x14ac:dyDescent="0.4">
      <c r="A70" s="7" t="s">
        <v>3</v>
      </c>
      <c r="B70" s="7" t="s">
        <v>218</v>
      </c>
      <c r="C70" s="16" t="s">
        <v>137</v>
      </c>
      <c r="D70" s="4" t="s">
        <v>64</v>
      </c>
      <c r="E70" s="10">
        <v>1</v>
      </c>
    </row>
    <row r="71" spans="1:6" x14ac:dyDescent="0.4">
      <c r="A71" s="7" t="s">
        <v>3</v>
      </c>
      <c r="B71" s="7" t="s">
        <v>218</v>
      </c>
      <c r="C71" s="16" t="s">
        <v>138</v>
      </c>
      <c r="D71" s="4" t="s">
        <v>64</v>
      </c>
      <c r="E71" s="10">
        <v>1</v>
      </c>
    </row>
    <row r="72" spans="1:6" x14ac:dyDescent="0.4">
      <c r="A72" s="7" t="s">
        <v>3</v>
      </c>
      <c r="B72" s="7" t="s">
        <v>218</v>
      </c>
      <c r="C72" s="16" t="s">
        <v>139</v>
      </c>
      <c r="D72" s="4" t="s">
        <v>64</v>
      </c>
      <c r="E72" s="10">
        <v>1</v>
      </c>
      <c r="F72" s="14"/>
    </row>
    <row r="73" spans="1:6" x14ac:dyDescent="0.4">
      <c r="A73" s="7" t="s">
        <v>3</v>
      </c>
      <c r="B73" s="7" t="s">
        <v>218</v>
      </c>
      <c r="C73" s="16" t="s">
        <v>140</v>
      </c>
      <c r="D73" s="4" t="s">
        <v>64</v>
      </c>
      <c r="E73" s="10">
        <v>1</v>
      </c>
    </row>
    <row r="74" spans="1:6" x14ac:dyDescent="0.4">
      <c r="A74" s="7" t="s">
        <v>3</v>
      </c>
      <c r="B74" s="7" t="s">
        <v>218</v>
      </c>
      <c r="C74" s="16" t="s">
        <v>141</v>
      </c>
      <c r="D74" s="4" t="s">
        <v>64</v>
      </c>
      <c r="E74" s="10">
        <v>1</v>
      </c>
    </row>
    <row r="75" spans="1:6" x14ac:dyDescent="0.4">
      <c r="A75" s="7" t="s">
        <v>3</v>
      </c>
      <c r="B75" s="7" t="s">
        <v>218</v>
      </c>
      <c r="C75" s="16" t="s">
        <v>142</v>
      </c>
      <c r="D75" s="4" t="s">
        <v>64</v>
      </c>
      <c r="E75" s="10">
        <v>1</v>
      </c>
    </row>
    <row r="76" spans="1:6" x14ac:dyDescent="0.4">
      <c r="A76" s="7" t="s">
        <v>3</v>
      </c>
      <c r="B76" s="7" t="s">
        <v>218</v>
      </c>
      <c r="C76" s="16" t="s">
        <v>143</v>
      </c>
      <c r="D76" s="4" t="s">
        <v>64</v>
      </c>
      <c r="E76" s="10">
        <v>1</v>
      </c>
    </row>
    <row r="77" spans="1:6" x14ac:dyDescent="0.4">
      <c r="A77" s="7" t="s">
        <v>3</v>
      </c>
      <c r="B77" s="7" t="s">
        <v>218</v>
      </c>
      <c r="C77" s="16" t="s">
        <v>144</v>
      </c>
      <c r="D77" s="4" t="s">
        <v>64</v>
      </c>
      <c r="E77" s="10">
        <v>1</v>
      </c>
    </row>
    <row r="78" spans="1:6" x14ac:dyDescent="0.4">
      <c r="A78" s="7" t="s">
        <v>3</v>
      </c>
      <c r="B78" s="7" t="s">
        <v>218</v>
      </c>
      <c r="C78" s="16" t="s">
        <v>145</v>
      </c>
      <c r="D78" s="4" t="s">
        <v>64</v>
      </c>
      <c r="E78" s="10">
        <v>1</v>
      </c>
    </row>
    <row r="79" spans="1:6" x14ac:dyDescent="0.4">
      <c r="A79" s="7" t="s">
        <v>3</v>
      </c>
      <c r="B79" s="7" t="s">
        <v>218</v>
      </c>
      <c r="C79" s="16" t="s">
        <v>146</v>
      </c>
      <c r="D79" s="4" t="s">
        <v>64</v>
      </c>
      <c r="E79" s="10">
        <v>1</v>
      </c>
    </row>
    <row r="80" spans="1:6" x14ac:dyDescent="0.4">
      <c r="A80" s="7" t="s">
        <v>3</v>
      </c>
      <c r="B80" s="7" t="s">
        <v>218</v>
      </c>
      <c r="C80" s="16" t="s">
        <v>147</v>
      </c>
      <c r="D80" s="4" t="s">
        <v>64</v>
      </c>
      <c r="E80" s="10">
        <v>1</v>
      </c>
    </row>
    <row r="81" spans="1:5" x14ac:dyDescent="0.4">
      <c r="A81" s="7" t="s">
        <v>3</v>
      </c>
      <c r="B81" s="7" t="s">
        <v>218</v>
      </c>
      <c r="C81" s="16" t="s">
        <v>148</v>
      </c>
      <c r="D81" s="4" t="s">
        <v>64</v>
      </c>
      <c r="E81" s="10">
        <v>1</v>
      </c>
    </row>
    <row r="82" spans="1:5" x14ac:dyDescent="0.4">
      <c r="A82" s="7" t="s">
        <v>3</v>
      </c>
      <c r="B82" s="7" t="s">
        <v>218</v>
      </c>
      <c r="C82" s="16" t="s">
        <v>149</v>
      </c>
      <c r="D82" s="4" t="s">
        <v>64</v>
      </c>
      <c r="E82" s="10">
        <v>1</v>
      </c>
    </row>
    <row r="83" spans="1:5" x14ac:dyDescent="0.4">
      <c r="A83" s="7" t="s">
        <v>3</v>
      </c>
      <c r="B83" s="7" t="s">
        <v>218</v>
      </c>
      <c r="C83" s="16" t="s">
        <v>150</v>
      </c>
      <c r="D83" s="4" t="s">
        <v>64</v>
      </c>
      <c r="E83" s="10">
        <v>1</v>
      </c>
    </row>
    <row r="84" spans="1:5" x14ac:dyDescent="0.4">
      <c r="A84" s="7" t="s">
        <v>3</v>
      </c>
      <c r="B84" s="7" t="s">
        <v>218</v>
      </c>
      <c r="C84" s="16" t="s">
        <v>151</v>
      </c>
      <c r="D84" s="4" t="s">
        <v>64</v>
      </c>
      <c r="E84" s="10">
        <v>1</v>
      </c>
    </row>
    <row r="85" spans="1:5" x14ac:dyDescent="0.4">
      <c r="A85" s="7" t="s">
        <v>3</v>
      </c>
      <c r="B85" s="7" t="s">
        <v>218</v>
      </c>
      <c r="C85" s="16" t="s">
        <v>152</v>
      </c>
      <c r="D85" s="4" t="s">
        <v>64</v>
      </c>
      <c r="E85" s="10">
        <v>1</v>
      </c>
    </row>
    <row r="86" spans="1:5" x14ac:dyDescent="0.4">
      <c r="A86" s="7" t="s">
        <v>3</v>
      </c>
      <c r="B86" s="7" t="s">
        <v>218</v>
      </c>
      <c r="C86" s="16" t="s">
        <v>153</v>
      </c>
      <c r="D86" s="4" t="s">
        <v>64</v>
      </c>
      <c r="E86" s="10">
        <v>1</v>
      </c>
    </row>
    <row r="87" spans="1:5" x14ac:dyDescent="0.4">
      <c r="A87" s="7" t="s">
        <v>3</v>
      </c>
      <c r="B87" s="7" t="s">
        <v>218</v>
      </c>
      <c r="C87" s="16" t="s">
        <v>154</v>
      </c>
      <c r="D87" s="4" t="s">
        <v>64</v>
      </c>
      <c r="E87" s="10">
        <v>1</v>
      </c>
    </row>
    <row r="88" spans="1:5" x14ac:dyDescent="0.4">
      <c r="A88" s="7" t="s">
        <v>3</v>
      </c>
      <c r="B88" s="7" t="s">
        <v>218</v>
      </c>
      <c r="C88" s="16" t="s">
        <v>155</v>
      </c>
      <c r="D88" s="4" t="s">
        <v>64</v>
      </c>
      <c r="E88" s="10">
        <v>1</v>
      </c>
    </row>
    <row r="89" spans="1:5" x14ac:dyDescent="0.4">
      <c r="A89" s="7" t="s">
        <v>3</v>
      </c>
      <c r="B89" s="7" t="s">
        <v>218</v>
      </c>
      <c r="C89" s="16" t="s">
        <v>156</v>
      </c>
      <c r="D89" s="4" t="s">
        <v>64</v>
      </c>
      <c r="E89" s="10">
        <v>1</v>
      </c>
    </row>
    <row r="90" spans="1:5" x14ac:dyDescent="0.4">
      <c r="A90" s="7" t="s">
        <v>3</v>
      </c>
      <c r="B90" s="7" t="s">
        <v>218</v>
      </c>
      <c r="C90" s="16" t="s">
        <v>157</v>
      </c>
      <c r="D90" s="4" t="s">
        <v>64</v>
      </c>
      <c r="E90" s="10">
        <v>1</v>
      </c>
    </row>
    <row r="91" spans="1:5" x14ac:dyDescent="0.4">
      <c r="A91" s="7" t="s">
        <v>3</v>
      </c>
      <c r="B91" s="7" t="s">
        <v>218</v>
      </c>
      <c r="C91" s="16" t="s">
        <v>158</v>
      </c>
      <c r="D91" s="4" t="s">
        <v>64</v>
      </c>
      <c r="E91" s="10">
        <v>1</v>
      </c>
    </row>
    <row r="92" spans="1:5" x14ac:dyDescent="0.4">
      <c r="A92" s="7" t="s">
        <v>3</v>
      </c>
      <c r="B92" s="7" t="s">
        <v>218</v>
      </c>
      <c r="C92" s="16" t="s">
        <v>159</v>
      </c>
      <c r="D92" s="4" t="s">
        <v>64</v>
      </c>
      <c r="E92" s="10">
        <v>1</v>
      </c>
    </row>
    <row r="93" spans="1:5" x14ac:dyDescent="0.4">
      <c r="A93" s="7" t="s">
        <v>3</v>
      </c>
      <c r="B93" s="7" t="s">
        <v>218</v>
      </c>
      <c r="C93" s="16" t="s">
        <v>160</v>
      </c>
      <c r="D93" s="4" t="s">
        <v>64</v>
      </c>
      <c r="E93" s="10">
        <v>1</v>
      </c>
    </row>
    <row r="94" spans="1:5" x14ac:dyDescent="0.4">
      <c r="A94" s="7" t="s">
        <v>3</v>
      </c>
      <c r="B94" s="7" t="s">
        <v>218</v>
      </c>
      <c r="C94" s="16" t="s">
        <v>161</v>
      </c>
      <c r="D94" s="4" t="s">
        <v>64</v>
      </c>
      <c r="E94" s="10">
        <v>1</v>
      </c>
    </row>
    <row r="95" spans="1:5" x14ac:dyDescent="0.4">
      <c r="A95" s="7" t="s">
        <v>3</v>
      </c>
      <c r="B95" s="7" t="s">
        <v>218</v>
      </c>
      <c r="C95" s="16" t="s">
        <v>162</v>
      </c>
      <c r="D95" s="4" t="s">
        <v>64</v>
      </c>
      <c r="E95" s="10">
        <v>1</v>
      </c>
    </row>
    <row r="96" spans="1:5" x14ac:dyDescent="0.4">
      <c r="A96" s="7" t="s">
        <v>3</v>
      </c>
      <c r="B96" s="7" t="s">
        <v>218</v>
      </c>
      <c r="C96" s="16" t="s">
        <v>163</v>
      </c>
      <c r="D96" s="4" t="s">
        <v>64</v>
      </c>
      <c r="E96" s="10">
        <v>1</v>
      </c>
    </row>
    <row r="97" spans="1:5" x14ac:dyDescent="0.4">
      <c r="A97" s="7" t="s">
        <v>3</v>
      </c>
      <c r="B97" s="7" t="s">
        <v>218</v>
      </c>
      <c r="C97" s="16" t="s">
        <v>164</v>
      </c>
      <c r="D97" s="4" t="s">
        <v>64</v>
      </c>
      <c r="E97" s="10">
        <v>1</v>
      </c>
    </row>
    <row r="98" spans="1:5" x14ac:dyDescent="0.4">
      <c r="A98" s="7" t="s">
        <v>3</v>
      </c>
      <c r="B98" s="7" t="s">
        <v>218</v>
      </c>
      <c r="C98" s="16" t="s">
        <v>165</v>
      </c>
      <c r="D98" s="4" t="s">
        <v>64</v>
      </c>
      <c r="E98" s="10">
        <v>1</v>
      </c>
    </row>
    <row r="99" spans="1:5" x14ac:dyDescent="0.4">
      <c r="A99" s="7" t="s">
        <v>3</v>
      </c>
      <c r="B99" s="7" t="s">
        <v>218</v>
      </c>
      <c r="C99" s="16" t="s">
        <v>166</v>
      </c>
      <c r="D99" s="4" t="s">
        <v>64</v>
      </c>
      <c r="E99" s="10">
        <v>1</v>
      </c>
    </row>
    <row r="100" spans="1:5" x14ac:dyDescent="0.4">
      <c r="A100" s="7" t="s">
        <v>3</v>
      </c>
      <c r="B100" s="7" t="s">
        <v>218</v>
      </c>
      <c r="C100" s="16" t="s">
        <v>167</v>
      </c>
      <c r="D100" s="4" t="s">
        <v>64</v>
      </c>
      <c r="E100" s="10">
        <v>1</v>
      </c>
    </row>
    <row r="101" spans="1:5" x14ac:dyDescent="0.4">
      <c r="A101" s="7" t="s">
        <v>3</v>
      </c>
      <c r="B101" s="7" t="s">
        <v>218</v>
      </c>
      <c r="C101" s="16" t="s">
        <v>168</v>
      </c>
      <c r="D101" s="4" t="s">
        <v>64</v>
      </c>
      <c r="E101" s="10">
        <v>1</v>
      </c>
    </row>
    <row r="102" spans="1:5" x14ac:dyDescent="0.4">
      <c r="A102" s="7" t="s">
        <v>3</v>
      </c>
      <c r="B102" s="7" t="s">
        <v>218</v>
      </c>
      <c r="C102" s="16" t="s">
        <v>169</v>
      </c>
      <c r="D102" s="4" t="s">
        <v>64</v>
      </c>
      <c r="E102" s="10">
        <v>1</v>
      </c>
    </row>
    <row r="103" spans="1:5" x14ac:dyDescent="0.4">
      <c r="A103" s="7" t="s">
        <v>3</v>
      </c>
      <c r="B103" s="7" t="s">
        <v>218</v>
      </c>
      <c r="C103" s="16" t="s">
        <v>170</v>
      </c>
      <c r="D103" s="4" t="s">
        <v>64</v>
      </c>
      <c r="E103" s="10">
        <v>1</v>
      </c>
    </row>
    <row r="104" spans="1:5" x14ac:dyDescent="0.4">
      <c r="A104" s="7" t="s">
        <v>3</v>
      </c>
      <c r="B104" s="7" t="s">
        <v>218</v>
      </c>
      <c r="C104" s="16" t="s">
        <v>171</v>
      </c>
      <c r="D104" s="4" t="s">
        <v>64</v>
      </c>
      <c r="E104" s="10">
        <v>1</v>
      </c>
    </row>
    <row r="105" spans="1:5" x14ac:dyDescent="0.4">
      <c r="A105" s="7" t="s">
        <v>3</v>
      </c>
      <c r="B105" s="7" t="s">
        <v>218</v>
      </c>
      <c r="C105" s="16" t="s">
        <v>172</v>
      </c>
      <c r="D105" s="4" t="s">
        <v>64</v>
      </c>
      <c r="E105" s="10">
        <v>1</v>
      </c>
    </row>
    <row r="106" spans="1:5" x14ac:dyDescent="0.4">
      <c r="A106" s="7" t="s">
        <v>3</v>
      </c>
      <c r="B106" s="7" t="s">
        <v>218</v>
      </c>
      <c r="C106" s="16" t="s">
        <v>173</v>
      </c>
      <c r="D106" s="4" t="s">
        <v>64</v>
      </c>
      <c r="E106" s="10">
        <v>1</v>
      </c>
    </row>
    <row r="107" spans="1:5" x14ac:dyDescent="0.4">
      <c r="A107" s="7" t="s">
        <v>3</v>
      </c>
      <c r="B107" s="7" t="s">
        <v>218</v>
      </c>
      <c r="C107" s="16" t="s">
        <v>174</v>
      </c>
      <c r="D107" s="4" t="s">
        <v>64</v>
      </c>
      <c r="E107" s="10">
        <v>1</v>
      </c>
    </row>
    <row r="108" spans="1:5" x14ac:dyDescent="0.4">
      <c r="A108" s="7" t="s">
        <v>3</v>
      </c>
      <c r="B108" s="7" t="s">
        <v>218</v>
      </c>
      <c r="C108" s="16" t="s">
        <v>175</v>
      </c>
      <c r="D108" s="4" t="s">
        <v>64</v>
      </c>
      <c r="E108" s="10">
        <v>1</v>
      </c>
    </row>
    <row r="109" spans="1:5" x14ac:dyDescent="0.4">
      <c r="A109" s="7" t="s">
        <v>4</v>
      </c>
      <c r="B109" s="7" t="s">
        <v>213</v>
      </c>
      <c r="C109" s="10" t="s">
        <v>176</v>
      </c>
      <c r="D109" s="4" t="s">
        <v>65</v>
      </c>
      <c r="E109" s="10">
        <v>1</v>
      </c>
    </row>
    <row r="110" spans="1:5" x14ac:dyDescent="0.4">
      <c r="A110" s="7" t="s">
        <v>4</v>
      </c>
      <c r="B110" s="7" t="s">
        <v>213</v>
      </c>
      <c r="C110" s="10" t="s">
        <v>177</v>
      </c>
      <c r="D110" s="4" t="s">
        <v>65</v>
      </c>
      <c r="E110" s="10">
        <v>1</v>
      </c>
    </row>
    <row r="111" spans="1:5" x14ac:dyDescent="0.4">
      <c r="A111" s="7" t="s">
        <v>4</v>
      </c>
      <c r="B111" s="7" t="s">
        <v>213</v>
      </c>
      <c r="C111" s="10" t="s">
        <v>178</v>
      </c>
      <c r="D111" s="4" t="s">
        <v>65</v>
      </c>
      <c r="E111" s="10">
        <v>1</v>
      </c>
    </row>
    <row r="112" spans="1:5" x14ac:dyDescent="0.4">
      <c r="A112" s="7" t="s">
        <v>4</v>
      </c>
      <c r="B112" s="7" t="s">
        <v>213</v>
      </c>
      <c r="C112" s="10" t="s">
        <v>179</v>
      </c>
      <c r="D112" s="4" t="s">
        <v>65</v>
      </c>
      <c r="E112" s="10">
        <v>1</v>
      </c>
    </row>
    <row r="113" spans="1:5" x14ac:dyDescent="0.4">
      <c r="A113" s="7" t="s">
        <v>4</v>
      </c>
      <c r="B113" s="7" t="s">
        <v>213</v>
      </c>
      <c r="C113" s="10" t="s">
        <v>180</v>
      </c>
      <c r="D113" s="4" t="s">
        <v>65</v>
      </c>
      <c r="E113" s="10">
        <v>1</v>
      </c>
    </row>
    <row r="114" spans="1:5" x14ac:dyDescent="0.4">
      <c r="A114" s="7" t="s">
        <v>4</v>
      </c>
      <c r="B114" s="7" t="s">
        <v>213</v>
      </c>
      <c r="C114" s="10" t="s">
        <v>181</v>
      </c>
      <c r="D114" s="4" t="s">
        <v>65</v>
      </c>
      <c r="E114" s="10">
        <v>1</v>
      </c>
    </row>
    <row r="115" spans="1:5" x14ac:dyDescent="0.4">
      <c r="A115" s="7" t="s">
        <v>4</v>
      </c>
      <c r="B115" s="7" t="s">
        <v>213</v>
      </c>
      <c r="C115" s="10" t="s">
        <v>182</v>
      </c>
      <c r="D115" s="4" t="s">
        <v>65</v>
      </c>
      <c r="E115" s="10">
        <v>1</v>
      </c>
    </row>
    <row r="116" spans="1:5" x14ac:dyDescent="0.4">
      <c r="A116" s="7" t="s">
        <v>4</v>
      </c>
      <c r="B116" s="7" t="s">
        <v>213</v>
      </c>
      <c r="C116" s="10" t="s">
        <v>183</v>
      </c>
      <c r="D116" s="4" t="s">
        <v>65</v>
      </c>
      <c r="E116" s="10">
        <v>1</v>
      </c>
    </row>
    <row r="117" spans="1:5" x14ac:dyDescent="0.4">
      <c r="A117" s="7" t="s">
        <v>4</v>
      </c>
      <c r="B117" s="7" t="s">
        <v>213</v>
      </c>
      <c r="C117" s="10" t="s">
        <v>184</v>
      </c>
      <c r="D117" s="4" t="s">
        <v>65</v>
      </c>
      <c r="E117" s="10">
        <v>1</v>
      </c>
    </row>
    <row r="118" spans="1:5" x14ac:dyDescent="0.4">
      <c r="A118" s="7" t="s">
        <v>4</v>
      </c>
      <c r="B118" s="7" t="s">
        <v>213</v>
      </c>
      <c r="C118" s="10" t="s">
        <v>185</v>
      </c>
      <c r="D118" s="4" t="s">
        <v>65</v>
      </c>
      <c r="E118" s="10">
        <v>1</v>
      </c>
    </row>
    <row r="119" spans="1:5" x14ac:dyDescent="0.4">
      <c r="A119" s="7" t="s">
        <v>4</v>
      </c>
      <c r="B119" s="7" t="s">
        <v>213</v>
      </c>
      <c r="C119" s="10" t="s">
        <v>186</v>
      </c>
      <c r="D119" s="4" t="s">
        <v>65</v>
      </c>
      <c r="E119" s="10">
        <v>1</v>
      </c>
    </row>
    <row r="120" spans="1:5" x14ac:dyDescent="0.4">
      <c r="A120" s="7" t="s">
        <v>4</v>
      </c>
      <c r="B120" s="7" t="s">
        <v>213</v>
      </c>
      <c r="C120" s="10" t="s">
        <v>187</v>
      </c>
      <c r="D120" s="4" t="s">
        <v>65</v>
      </c>
      <c r="E120" s="10">
        <v>1</v>
      </c>
    </row>
    <row r="121" spans="1:5" x14ac:dyDescent="0.4">
      <c r="A121" s="7" t="s">
        <v>4</v>
      </c>
      <c r="B121" s="7" t="s">
        <v>213</v>
      </c>
      <c r="C121" s="10" t="s">
        <v>188</v>
      </c>
      <c r="D121" s="4" t="s">
        <v>65</v>
      </c>
      <c r="E121" s="10">
        <v>1</v>
      </c>
    </row>
    <row r="122" spans="1:5" x14ac:dyDescent="0.4">
      <c r="A122" s="7" t="s">
        <v>4</v>
      </c>
      <c r="B122" s="7" t="s">
        <v>213</v>
      </c>
      <c r="C122" s="10" t="s">
        <v>189</v>
      </c>
      <c r="D122" s="4" t="s">
        <v>65</v>
      </c>
      <c r="E122" s="10">
        <v>1</v>
      </c>
    </row>
    <row r="123" spans="1:5" x14ac:dyDescent="0.4">
      <c r="A123" s="7" t="s">
        <v>4</v>
      </c>
      <c r="B123" s="7" t="s">
        <v>213</v>
      </c>
      <c r="C123" s="10" t="s">
        <v>190</v>
      </c>
      <c r="D123" s="4" t="s">
        <v>65</v>
      </c>
      <c r="E123" s="10">
        <v>1</v>
      </c>
    </row>
    <row r="124" spans="1:5" x14ac:dyDescent="0.4">
      <c r="A124" s="7" t="s">
        <v>4</v>
      </c>
      <c r="B124" s="7" t="s">
        <v>213</v>
      </c>
      <c r="C124" s="10" t="s">
        <v>191</v>
      </c>
      <c r="D124" s="4" t="s">
        <v>65</v>
      </c>
      <c r="E124" s="10">
        <v>1</v>
      </c>
    </row>
    <row r="125" spans="1:5" x14ac:dyDescent="0.4">
      <c r="A125" s="7" t="s">
        <v>4</v>
      </c>
      <c r="B125" s="7" t="s">
        <v>213</v>
      </c>
      <c r="C125" s="10" t="s">
        <v>192</v>
      </c>
      <c r="D125" s="4" t="s">
        <v>65</v>
      </c>
      <c r="E125" s="10">
        <v>1</v>
      </c>
    </row>
    <row r="126" spans="1:5" x14ac:dyDescent="0.4">
      <c r="A126" s="7" t="s">
        <v>4</v>
      </c>
      <c r="B126" s="7" t="s">
        <v>213</v>
      </c>
      <c r="C126" s="10" t="s">
        <v>193</v>
      </c>
      <c r="D126" s="4" t="s">
        <v>65</v>
      </c>
      <c r="E126" s="10">
        <v>1</v>
      </c>
    </row>
    <row r="127" spans="1:5" x14ac:dyDescent="0.4">
      <c r="A127" s="7" t="s">
        <v>4</v>
      </c>
      <c r="B127" s="7" t="s">
        <v>213</v>
      </c>
      <c r="C127" s="10" t="s">
        <v>194</v>
      </c>
      <c r="D127" s="4" t="s">
        <v>65</v>
      </c>
      <c r="E127" s="10">
        <v>1</v>
      </c>
    </row>
    <row r="128" spans="1:5" x14ac:dyDescent="0.4">
      <c r="A128" s="7" t="s">
        <v>4</v>
      </c>
      <c r="B128" s="7" t="s">
        <v>213</v>
      </c>
      <c r="C128" s="10" t="s">
        <v>195</v>
      </c>
      <c r="D128" s="4" t="s">
        <v>65</v>
      </c>
      <c r="E128" s="10">
        <v>1</v>
      </c>
    </row>
    <row r="129" spans="1:5" x14ac:dyDescent="0.4">
      <c r="A129" s="7" t="s">
        <v>4</v>
      </c>
      <c r="B129" s="7" t="s">
        <v>213</v>
      </c>
      <c r="C129" s="10" t="s">
        <v>196</v>
      </c>
      <c r="D129" s="4" t="s">
        <v>65</v>
      </c>
      <c r="E129" s="10">
        <v>1</v>
      </c>
    </row>
    <row r="130" spans="1:5" x14ac:dyDescent="0.4">
      <c r="A130" s="7" t="s">
        <v>4</v>
      </c>
      <c r="B130" s="7" t="s">
        <v>213</v>
      </c>
      <c r="C130" s="10" t="s">
        <v>197</v>
      </c>
      <c r="D130" s="4" t="s">
        <v>65</v>
      </c>
      <c r="E130" s="10">
        <v>1</v>
      </c>
    </row>
    <row r="131" spans="1:5" x14ac:dyDescent="0.4">
      <c r="A131" s="7" t="s">
        <v>202</v>
      </c>
      <c r="B131" s="7" t="s">
        <v>212</v>
      </c>
      <c r="C131" s="4" t="s">
        <v>55</v>
      </c>
      <c r="D131" s="4" t="s">
        <v>210</v>
      </c>
      <c r="E131" s="10">
        <v>1</v>
      </c>
    </row>
    <row r="132" spans="1:5" x14ac:dyDescent="0.4">
      <c r="A132" s="7" t="s">
        <v>5</v>
      </c>
      <c r="B132" s="7" t="s">
        <v>212</v>
      </c>
      <c r="C132" s="4" t="s">
        <v>55</v>
      </c>
      <c r="D132" s="4" t="s">
        <v>210</v>
      </c>
      <c r="E132" s="10">
        <v>1</v>
      </c>
    </row>
    <row r="133" spans="1:5" x14ac:dyDescent="0.4">
      <c r="A133" s="7" t="s">
        <v>5</v>
      </c>
      <c r="B133" s="7" t="s">
        <v>212</v>
      </c>
      <c r="C133" s="4" t="s">
        <v>203</v>
      </c>
      <c r="D133" s="4" t="s">
        <v>210</v>
      </c>
      <c r="E133" s="10">
        <v>1</v>
      </c>
    </row>
    <row r="134" spans="1:5" x14ac:dyDescent="0.4">
      <c r="A134" s="7" t="s">
        <v>5</v>
      </c>
      <c r="B134" s="7" t="s">
        <v>212</v>
      </c>
      <c r="C134" s="16" t="s">
        <v>204</v>
      </c>
      <c r="D134" s="4" t="s">
        <v>210</v>
      </c>
      <c r="E134" s="10">
        <v>1</v>
      </c>
    </row>
    <row r="135" spans="1:5" x14ac:dyDescent="0.4">
      <c r="A135" s="7" t="s">
        <v>5</v>
      </c>
      <c r="B135" s="7" t="s">
        <v>212</v>
      </c>
      <c r="C135" s="16" t="s">
        <v>205</v>
      </c>
      <c r="D135" s="4" t="s">
        <v>210</v>
      </c>
      <c r="E135" s="10">
        <v>1</v>
      </c>
    </row>
    <row r="136" spans="1:5" x14ac:dyDescent="0.4">
      <c r="A136" s="7" t="s">
        <v>5</v>
      </c>
      <c r="B136" s="7" t="s">
        <v>212</v>
      </c>
      <c r="C136" s="16" t="s">
        <v>206</v>
      </c>
      <c r="D136" s="4" t="s">
        <v>210</v>
      </c>
      <c r="E136" s="10">
        <v>1</v>
      </c>
    </row>
    <row r="137" spans="1:5" x14ac:dyDescent="0.4">
      <c r="A137" s="7" t="s">
        <v>5</v>
      </c>
      <c r="B137" s="7" t="s">
        <v>212</v>
      </c>
      <c r="C137" s="16" t="s">
        <v>207</v>
      </c>
      <c r="D137" s="4" t="s">
        <v>210</v>
      </c>
      <c r="E137" s="10">
        <v>1</v>
      </c>
    </row>
    <row r="138" spans="1:5" x14ac:dyDescent="0.4">
      <c r="A138" s="7" t="s">
        <v>202</v>
      </c>
      <c r="B138" s="11" t="s">
        <v>216</v>
      </c>
      <c r="C138" s="4" t="s">
        <v>201</v>
      </c>
      <c r="D138" s="4" t="s">
        <v>210</v>
      </c>
      <c r="E138" s="14">
        <v>271000000</v>
      </c>
    </row>
    <row r="139" spans="1:5" x14ac:dyDescent="0.4">
      <c r="A139" s="7" t="s">
        <v>5</v>
      </c>
      <c r="B139" s="11" t="s">
        <v>216</v>
      </c>
      <c r="C139" s="4" t="s">
        <v>201</v>
      </c>
      <c r="D139" s="4" t="s">
        <v>210</v>
      </c>
      <c r="E139" s="14">
        <v>271000000</v>
      </c>
    </row>
    <row r="140" spans="1:5" x14ac:dyDescent="0.4">
      <c r="A140" s="7" t="s">
        <v>5</v>
      </c>
      <c r="B140" s="11" t="s">
        <v>216</v>
      </c>
      <c r="C140" s="4" t="s">
        <v>203</v>
      </c>
      <c r="D140" s="4" t="s">
        <v>210</v>
      </c>
      <c r="E140" s="14">
        <v>271000000</v>
      </c>
    </row>
    <row r="141" spans="1:5" x14ac:dyDescent="0.4">
      <c r="A141" s="7" t="s">
        <v>5</v>
      </c>
      <c r="B141" s="11" t="s">
        <v>216</v>
      </c>
      <c r="C141" s="16" t="s">
        <v>204</v>
      </c>
      <c r="D141" s="4" t="s">
        <v>210</v>
      </c>
      <c r="E141" s="14">
        <v>271000000</v>
      </c>
    </row>
    <row r="142" spans="1:5" x14ac:dyDescent="0.4">
      <c r="A142" s="7" t="s">
        <v>5</v>
      </c>
      <c r="B142" s="11" t="s">
        <v>216</v>
      </c>
      <c r="C142" s="16" t="s">
        <v>205</v>
      </c>
      <c r="D142" s="4" t="s">
        <v>210</v>
      </c>
      <c r="E142" s="14">
        <v>271000000</v>
      </c>
    </row>
    <row r="143" spans="1:5" x14ac:dyDescent="0.4">
      <c r="A143" s="7" t="s">
        <v>5</v>
      </c>
      <c r="B143" s="11" t="s">
        <v>216</v>
      </c>
      <c r="C143" s="16" t="s">
        <v>206</v>
      </c>
      <c r="D143" s="4" t="s">
        <v>210</v>
      </c>
      <c r="E143" s="14">
        <v>271000000</v>
      </c>
    </row>
    <row r="144" spans="1:5" x14ac:dyDescent="0.4">
      <c r="A144" s="7" t="s">
        <v>5</v>
      </c>
      <c r="B144" s="11" t="s">
        <v>216</v>
      </c>
      <c r="C144" s="16" t="s">
        <v>207</v>
      </c>
      <c r="D144" s="4" t="s">
        <v>210</v>
      </c>
      <c r="E144" s="14">
        <v>271000000</v>
      </c>
    </row>
    <row r="145" spans="1:5" x14ac:dyDescent="0.4">
      <c r="A145" s="7" t="s">
        <v>4</v>
      </c>
      <c r="B145" s="11" t="s">
        <v>216</v>
      </c>
      <c r="C145" s="10" t="s">
        <v>176</v>
      </c>
      <c r="D145" s="4" t="s">
        <v>65</v>
      </c>
      <c r="E145" s="10">
        <f>(1*0.95)*1000000</f>
        <v>950000</v>
      </c>
    </row>
    <row r="146" spans="1:5" x14ac:dyDescent="0.4">
      <c r="A146" s="7" t="s">
        <v>4</v>
      </c>
      <c r="B146" s="11" t="s">
        <v>216</v>
      </c>
      <c r="C146" s="10" t="s">
        <v>177</v>
      </c>
      <c r="D146" s="4" t="s">
        <v>65</v>
      </c>
      <c r="E146" s="10">
        <f t="shared" ref="E146:E166" si="0">(1*0.88)*1000000</f>
        <v>880000</v>
      </c>
    </row>
    <row r="147" spans="1:5" x14ac:dyDescent="0.4">
      <c r="A147" s="7" t="s">
        <v>4</v>
      </c>
      <c r="B147" s="11" t="s">
        <v>216</v>
      </c>
      <c r="C147" s="10" t="s">
        <v>178</v>
      </c>
      <c r="D147" s="4" t="s">
        <v>65</v>
      </c>
      <c r="E147" s="10">
        <f t="shared" si="0"/>
        <v>880000</v>
      </c>
    </row>
    <row r="148" spans="1:5" x14ac:dyDescent="0.4">
      <c r="A148" s="7" t="s">
        <v>4</v>
      </c>
      <c r="B148" s="11" t="s">
        <v>216</v>
      </c>
      <c r="C148" s="10" t="s">
        <v>179</v>
      </c>
      <c r="D148" s="4" t="s">
        <v>65</v>
      </c>
      <c r="E148" s="10">
        <f t="shared" si="0"/>
        <v>880000</v>
      </c>
    </row>
    <row r="149" spans="1:5" x14ac:dyDescent="0.4">
      <c r="A149" s="7" t="s">
        <v>4</v>
      </c>
      <c r="B149" s="11" t="s">
        <v>216</v>
      </c>
      <c r="C149" s="10" t="s">
        <v>180</v>
      </c>
      <c r="D149" s="4" t="s">
        <v>65</v>
      </c>
      <c r="E149" s="10">
        <f t="shared" si="0"/>
        <v>880000</v>
      </c>
    </row>
    <row r="150" spans="1:5" x14ac:dyDescent="0.4">
      <c r="A150" s="7" t="s">
        <v>4</v>
      </c>
      <c r="B150" s="11" t="s">
        <v>216</v>
      </c>
      <c r="C150" s="10" t="s">
        <v>181</v>
      </c>
      <c r="D150" s="4" t="s">
        <v>65</v>
      </c>
      <c r="E150" s="10">
        <f t="shared" si="0"/>
        <v>880000</v>
      </c>
    </row>
    <row r="151" spans="1:5" x14ac:dyDescent="0.4">
      <c r="A151" s="7" t="s">
        <v>4</v>
      </c>
      <c r="B151" s="11" t="s">
        <v>216</v>
      </c>
      <c r="C151" s="10" t="s">
        <v>182</v>
      </c>
      <c r="D151" s="4" t="s">
        <v>65</v>
      </c>
      <c r="E151" s="10">
        <f t="shared" si="0"/>
        <v>880000</v>
      </c>
    </row>
    <row r="152" spans="1:5" x14ac:dyDescent="0.4">
      <c r="A152" s="7" t="s">
        <v>4</v>
      </c>
      <c r="B152" s="11" t="s">
        <v>216</v>
      </c>
      <c r="C152" s="10" t="s">
        <v>183</v>
      </c>
      <c r="D152" s="4" t="s">
        <v>65</v>
      </c>
      <c r="E152" s="10">
        <f t="shared" si="0"/>
        <v>880000</v>
      </c>
    </row>
    <row r="153" spans="1:5" x14ac:dyDescent="0.4">
      <c r="A153" s="7" t="s">
        <v>4</v>
      </c>
      <c r="B153" s="11" t="s">
        <v>216</v>
      </c>
      <c r="C153" s="10" t="s">
        <v>184</v>
      </c>
      <c r="D153" s="4" t="s">
        <v>65</v>
      </c>
      <c r="E153" s="10">
        <f t="shared" si="0"/>
        <v>880000</v>
      </c>
    </row>
    <row r="154" spans="1:5" x14ac:dyDescent="0.4">
      <c r="A154" s="7" t="s">
        <v>4</v>
      </c>
      <c r="B154" s="11" t="s">
        <v>216</v>
      </c>
      <c r="C154" s="10" t="s">
        <v>185</v>
      </c>
      <c r="D154" s="4" t="s">
        <v>65</v>
      </c>
      <c r="E154" s="10">
        <f t="shared" si="0"/>
        <v>880000</v>
      </c>
    </row>
    <row r="155" spans="1:5" x14ac:dyDescent="0.4">
      <c r="A155" s="7" t="s">
        <v>4</v>
      </c>
      <c r="B155" s="11" t="s">
        <v>216</v>
      </c>
      <c r="C155" s="10" t="s">
        <v>186</v>
      </c>
      <c r="D155" s="4" t="s">
        <v>65</v>
      </c>
      <c r="E155" s="10">
        <f t="shared" si="0"/>
        <v>880000</v>
      </c>
    </row>
    <row r="156" spans="1:5" x14ac:dyDescent="0.4">
      <c r="A156" s="7" t="s">
        <v>4</v>
      </c>
      <c r="B156" s="11" t="s">
        <v>216</v>
      </c>
      <c r="C156" s="10" t="s">
        <v>187</v>
      </c>
      <c r="D156" s="4" t="s">
        <v>65</v>
      </c>
      <c r="E156" s="10">
        <f t="shared" si="0"/>
        <v>880000</v>
      </c>
    </row>
    <row r="157" spans="1:5" x14ac:dyDescent="0.4">
      <c r="A157" s="7" t="s">
        <v>4</v>
      </c>
      <c r="B157" s="11" t="s">
        <v>216</v>
      </c>
      <c r="C157" s="10" t="s">
        <v>188</v>
      </c>
      <c r="D157" s="4" t="s">
        <v>65</v>
      </c>
      <c r="E157" s="10">
        <f t="shared" si="0"/>
        <v>880000</v>
      </c>
    </row>
    <row r="158" spans="1:5" x14ac:dyDescent="0.4">
      <c r="A158" s="7" t="s">
        <v>4</v>
      </c>
      <c r="B158" s="11" t="s">
        <v>216</v>
      </c>
      <c r="C158" s="10" t="s">
        <v>189</v>
      </c>
      <c r="D158" s="4" t="s">
        <v>65</v>
      </c>
      <c r="E158" s="10">
        <f t="shared" si="0"/>
        <v>880000</v>
      </c>
    </row>
    <row r="159" spans="1:5" x14ac:dyDescent="0.4">
      <c r="A159" s="7" t="s">
        <v>4</v>
      </c>
      <c r="B159" s="11" t="s">
        <v>216</v>
      </c>
      <c r="C159" s="10" t="s">
        <v>190</v>
      </c>
      <c r="D159" s="4" t="s">
        <v>65</v>
      </c>
      <c r="E159" s="10">
        <f t="shared" si="0"/>
        <v>880000</v>
      </c>
    </row>
    <row r="160" spans="1:5" x14ac:dyDescent="0.4">
      <c r="A160" s="7" t="s">
        <v>4</v>
      </c>
      <c r="B160" s="11" t="s">
        <v>216</v>
      </c>
      <c r="C160" s="10" t="s">
        <v>191</v>
      </c>
      <c r="D160" s="4" t="s">
        <v>65</v>
      </c>
      <c r="E160" s="10">
        <f t="shared" si="0"/>
        <v>880000</v>
      </c>
    </row>
    <row r="161" spans="1:5" x14ac:dyDescent="0.4">
      <c r="A161" s="7" t="s">
        <v>4</v>
      </c>
      <c r="B161" s="11" t="s">
        <v>216</v>
      </c>
      <c r="C161" s="10" t="s">
        <v>192</v>
      </c>
      <c r="D161" s="4" t="s">
        <v>65</v>
      </c>
      <c r="E161" s="10">
        <f t="shared" si="0"/>
        <v>880000</v>
      </c>
    </row>
    <row r="162" spans="1:5" x14ac:dyDescent="0.4">
      <c r="A162" s="7" t="s">
        <v>4</v>
      </c>
      <c r="B162" s="11" t="s">
        <v>216</v>
      </c>
      <c r="C162" s="10" t="s">
        <v>193</v>
      </c>
      <c r="D162" s="4" t="s">
        <v>65</v>
      </c>
      <c r="E162" s="10">
        <f t="shared" si="0"/>
        <v>880000</v>
      </c>
    </row>
    <row r="163" spans="1:5" x14ac:dyDescent="0.4">
      <c r="A163" s="7" t="s">
        <v>4</v>
      </c>
      <c r="B163" s="11" t="s">
        <v>216</v>
      </c>
      <c r="C163" s="10" t="s">
        <v>194</v>
      </c>
      <c r="D163" s="4" t="s">
        <v>65</v>
      </c>
      <c r="E163" s="10">
        <f t="shared" si="0"/>
        <v>880000</v>
      </c>
    </row>
    <row r="164" spans="1:5" x14ac:dyDescent="0.4">
      <c r="A164" s="7" t="s">
        <v>4</v>
      </c>
      <c r="B164" s="11" t="s">
        <v>216</v>
      </c>
      <c r="C164" s="10" t="s">
        <v>195</v>
      </c>
      <c r="D164" s="4" t="s">
        <v>65</v>
      </c>
      <c r="E164" s="10">
        <f t="shared" si="0"/>
        <v>880000</v>
      </c>
    </row>
    <row r="165" spans="1:5" x14ac:dyDescent="0.4">
      <c r="A165" s="7" t="s">
        <v>4</v>
      </c>
      <c r="B165" s="11" t="s">
        <v>216</v>
      </c>
      <c r="C165" s="10" t="s">
        <v>196</v>
      </c>
      <c r="D165" s="4" t="s">
        <v>65</v>
      </c>
      <c r="E165" s="10">
        <f t="shared" si="0"/>
        <v>880000</v>
      </c>
    </row>
    <row r="166" spans="1:5" x14ac:dyDescent="0.4">
      <c r="A166" s="7" t="s">
        <v>4</v>
      </c>
      <c r="B166" s="11" t="s">
        <v>216</v>
      </c>
      <c r="C166" s="10" t="s">
        <v>197</v>
      </c>
      <c r="D166" s="4" t="s">
        <v>65</v>
      </c>
      <c r="E166" s="10">
        <f t="shared" si="0"/>
        <v>880000</v>
      </c>
    </row>
    <row r="167" spans="1:5" x14ac:dyDescent="0.4">
      <c r="A167" s="7" t="s">
        <v>4</v>
      </c>
      <c r="B167" s="11" t="s">
        <v>216</v>
      </c>
      <c r="C167" s="10" t="s">
        <v>198</v>
      </c>
      <c r="D167" s="4" t="s">
        <v>65</v>
      </c>
      <c r="E167" s="10">
        <f>(1*0.17)*1000000</f>
        <v>170000</v>
      </c>
    </row>
    <row r="168" spans="1:5" x14ac:dyDescent="0.4">
      <c r="A168" s="7" t="s">
        <v>4</v>
      </c>
      <c r="B168" s="11" t="s">
        <v>216</v>
      </c>
      <c r="C168" s="10" t="s">
        <v>69</v>
      </c>
      <c r="D168" s="4" t="s">
        <v>65</v>
      </c>
      <c r="E168" s="10">
        <f t="shared" ref="E168:E170" si="1">(1*0.4)*1000000</f>
        <v>400000</v>
      </c>
    </row>
    <row r="169" spans="1:5" x14ac:dyDescent="0.4">
      <c r="A169" s="7" t="s">
        <v>4</v>
      </c>
      <c r="B169" s="11" t="s">
        <v>216</v>
      </c>
      <c r="C169" s="10" t="s">
        <v>70</v>
      </c>
      <c r="D169" s="4" t="s">
        <v>65</v>
      </c>
      <c r="E169" s="10">
        <f>(1*0.4)*1000000</f>
        <v>400000</v>
      </c>
    </row>
    <row r="170" spans="1:5" x14ac:dyDescent="0.4">
      <c r="A170" s="7" t="s">
        <v>4</v>
      </c>
      <c r="B170" s="11" t="s">
        <v>216</v>
      </c>
      <c r="C170" s="10" t="s">
        <v>71</v>
      </c>
      <c r="D170" s="4" t="s">
        <v>65</v>
      </c>
      <c r="E170" s="10">
        <f t="shared" si="1"/>
        <v>400000</v>
      </c>
    </row>
    <row r="171" spans="1:5" x14ac:dyDescent="0.4">
      <c r="A171" s="11" t="s">
        <v>208</v>
      </c>
      <c r="B171" s="11" t="s">
        <v>217</v>
      </c>
      <c r="C171" s="1" t="s">
        <v>209</v>
      </c>
      <c r="D171" s="1" t="s">
        <v>211</v>
      </c>
      <c r="E171" s="10">
        <v>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2010-B659-4D8C-A3CE-548591F6AB6A}">
  <dimension ref="A1:F207"/>
  <sheetViews>
    <sheetView topLeftCell="A194" workbookViewId="0">
      <selection activeCell="C4" sqref="C4"/>
    </sheetView>
  </sheetViews>
  <sheetFormatPr baseColWidth="10" defaultColWidth="9.23046875" defaultRowHeight="14.6" x14ac:dyDescent="0.4"/>
  <cols>
    <col min="1" max="1" width="24.69140625" style="10" customWidth="1"/>
    <col min="2" max="2" width="17" style="10" customWidth="1"/>
    <col min="3" max="3" width="47.84375" style="10" customWidth="1"/>
    <col min="4" max="4" width="9" style="10" customWidth="1"/>
    <col min="5" max="5" width="13.23046875" style="10" customWidth="1"/>
    <col min="6" max="16384" width="9.23046875" style="10"/>
  </cols>
  <sheetData>
    <row r="1" spans="1:5" ht="37.950000000000003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 s="10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 s="10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 s="10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 s="10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 s="10">
        <v>0.1</v>
      </c>
    </row>
    <row r="7" spans="1:5" x14ac:dyDescent="0.4">
      <c r="A7" s="7" t="s">
        <v>3</v>
      </c>
      <c r="B7" s="7" t="s">
        <v>56</v>
      </c>
      <c r="C7" s="16" t="s">
        <v>73</v>
      </c>
      <c r="D7" s="4" t="s">
        <v>64</v>
      </c>
      <c r="E7" s="10">
        <v>1</v>
      </c>
    </row>
    <row r="8" spans="1:5" x14ac:dyDescent="0.4">
      <c r="A8" s="7" t="s">
        <v>3</v>
      </c>
      <c r="B8" s="7" t="s">
        <v>56</v>
      </c>
      <c r="C8" s="16" t="s">
        <v>74</v>
      </c>
      <c r="D8" s="4" t="s">
        <v>64</v>
      </c>
      <c r="E8" s="10">
        <v>1</v>
      </c>
    </row>
    <row r="9" spans="1:5" x14ac:dyDescent="0.4">
      <c r="A9" s="7" t="s">
        <v>3</v>
      </c>
      <c r="B9" s="7" t="s">
        <v>56</v>
      </c>
      <c r="C9" s="16" t="s">
        <v>75</v>
      </c>
      <c r="D9" s="4" t="s">
        <v>64</v>
      </c>
      <c r="E9" s="10">
        <v>1</v>
      </c>
    </row>
    <row r="10" spans="1:5" x14ac:dyDescent="0.4">
      <c r="A10" s="7" t="s">
        <v>3</v>
      </c>
      <c r="B10" s="7" t="s">
        <v>56</v>
      </c>
      <c r="C10" s="16" t="s">
        <v>76</v>
      </c>
      <c r="D10" s="4" t="s">
        <v>64</v>
      </c>
      <c r="E10" s="10">
        <v>1</v>
      </c>
    </row>
    <row r="11" spans="1:5" x14ac:dyDescent="0.4">
      <c r="A11" s="7" t="s">
        <v>3</v>
      </c>
      <c r="B11" s="7" t="s">
        <v>56</v>
      </c>
      <c r="C11" s="16" t="s">
        <v>77</v>
      </c>
      <c r="D11" s="4" t="s">
        <v>64</v>
      </c>
      <c r="E11" s="10">
        <v>1</v>
      </c>
    </row>
    <row r="12" spans="1:5" x14ac:dyDescent="0.4">
      <c r="A12" s="7" t="s">
        <v>3</v>
      </c>
      <c r="B12" s="7" t="s">
        <v>56</v>
      </c>
      <c r="C12" s="16" t="s">
        <v>78</v>
      </c>
      <c r="D12" s="4" t="s">
        <v>64</v>
      </c>
      <c r="E12" s="10">
        <v>1</v>
      </c>
    </row>
    <row r="13" spans="1:5" x14ac:dyDescent="0.4">
      <c r="A13" s="7" t="s">
        <v>3</v>
      </c>
      <c r="B13" s="7" t="s">
        <v>56</v>
      </c>
      <c r="C13" s="16" t="s">
        <v>79</v>
      </c>
      <c r="D13" s="4" t="s">
        <v>64</v>
      </c>
      <c r="E13" s="10">
        <v>1</v>
      </c>
    </row>
    <row r="14" spans="1:5" x14ac:dyDescent="0.4">
      <c r="A14" s="7" t="s">
        <v>3</v>
      </c>
      <c r="B14" s="7" t="s">
        <v>56</v>
      </c>
      <c r="C14" s="16" t="s">
        <v>80</v>
      </c>
      <c r="D14" s="4" t="s">
        <v>64</v>
      </c>
      <c r="E14" s="10">
        <v>1</v>
      </c>
    </row>
    <row r="15" spans="1:5" x14ac:dyDescent="0.4">
      <c r="A15" s="7" t="s">
        <v>3</v>
      </c>
      <c r="B15" s="7" t="s">
        <v>56</v>
      </c>
      <c r="C15" s="16" t="s">
        <v>81</v>
      </c>
      <c r="D15" s="4" t="s">
        <v>64</v>
      </c>
      <c r="E15" s="10">
        <v>1</v>
      </c>
    </row>
    <row r="16" spans="1:5" x14ac:dyDescent="0.4">
      <c r="A16" s="7" t="s">
        <v>3</v>
      </c>
      <c r="B16" s="7" t="s">
        <v>56</v>
      </c>
      <c r="C16" s="16" t="s">
        <v>82</v>
      </c>
      <c r="D16" s="4" t="s">
        <v>64</v>
      </c>
      <c r="E16" s="10">
        <v>1</v>
      </c>
    </row>
    <row r="17" spans="1:5" x14ac:dyDescent="0.4">
      <c r="A17" s="7" t="s">
        <v>3</v>
      </c>
      <c r="B17" s="7" t="s">
        <v>56</v>
      </c>
      <c r="C17" s="16" t="s">
        <v>83</v>
      </c>
      <c r="D17" s="4" t="s">
        <v>64</v>
      </c>
      <c r="E17" s="10">
        <v>1</v>
      </c>
    </row>
    <row r="18" spans="1:5" x14ac:dyDescent="0.4">
      <c r="A18" s="7" t="s">
        <v>3</v>
      </c>
      <c r="B18" s="7" t="s">
        <v>56</v>
      </c>
      <c r="C18" s="16" t="s">
        <v>84</v>
      </c>
      <c r="D18" s="4" t="s">
        <v>64</v>
      </c>
      <c r="E18" s="10">
        <v>1</v>
      </c>
    </row>
    <row r="19" spans="1:5" x14ac:dyDescent="0.4">
      <c r="A19" s="7" t="s">
        <v>3</v>
      </c>
      <c r="B19" s="7" t="s">
        <v>56</v>
      </c>
      <c r="C19" s="16" t="s">
        <v>85</v>
      </c>
      <c r="D19" s="4" t="s">
        <v>64</v>
      </c>
      <c r="E19" s="10">
        <v>1</v>
      </c>
    </row>
    <row r="20" spans="1:5" x14ac:dyDescent="0.4">
      <c r="A20" s="7" t="s">
        <v>3</v>
      </c>
      <c r="B20" s="7" t="s">
        <v>56</v>
      </c>
      <c r="C20" s="16" t="s">
        <v>86</v>
      </c>
      <c r="D20" s="4" t="s">
        <v>64</v>
      </c>
      <c r="E20" s="10">
        <v>1</v>
      </c>
    </row>
    <row r="21" spans="1:5" x14ac:dyDescent="0.4">
      <c r="A21" s="7" t="s">
        <v>3</v>
      </c>
      <c r="B21" s="7" t="s">
        <v>56</v>
      </c>
      <c r="C21" s="16" t="s">
        <v>87</v>
      </c>
      <c r="D21" s="4" t="s">
        <v>64</v>
      </c>
      <c r="E21" s="10">
        <v>1</v>
      </c>
    </row>
    <row r="22" spans="1:5" x14ac:dyDescent="0.4">
      <c r="A22" s="7" t="s">
        <v>3</v>
      </c>
      <c r="B22" s="7" t="s">
        <v>56</v>
      </c>
      <c r="C22" s="16" t="s">
        <v>88</v>
      </c>
      <c r="D22" s="4" t="s">
        <v>64</v>
      </c>
      <c r="E22" s="10">
        <v>1</v>
      </c>
    </row>
    <row r="23" spans="1:5" x14ac:dyDescent="0.4">
      <c r="A23" s="7" t="s">
        <v>3</v>
      </c>
      <c r="B23" s="7" t="s">
        <v>56</v>
      </c>
      <c r="C23" s="16" t="s">
        <v>89</v>
      </c>
      <c r="D23" s="4" t="s">
        <v>64</v>
      </c>
      <c r="E23" s="10">
        <v>1</v>
      </c>
    </row>
    <row r="24" spans="1:5" x14ac:dyDescent="0.4">
      <c r="A24" s="7" t="s">
        <v>3</v>
      </c>
      <c r="B24" s="7" t="s">
        <v>56</v>
      </c>
      <c r="C24" s="16" t="s">
        <v>90</v>
      </c>
      <c r="D24" s="4" t="s">
        <v>64</v>
      </c>
      <c r="E24" s="10">
        <v>1</v>
      </c>
    </row>
    <row r="25" spans="1:5" x14ac:dyDescent="0.4">
      <c r="A25" s="7" t="s">
        <v>3</v>
      </c>
      <c r="B25" s="7" t="s">
        <v>56</v>
      </c>
      <c r="C25" s="16" t="s">
        <v>91</v>
      </c>
      <c r="D25" s="4" t="s">
        <v>64</v>
      </c>
      <c r="E25" s="10">
        <v>1</v>
      </c>
    </row>
    <row r="26" spans="1:5" x14ac:dyDescent="0.4">
      <c r="A26" s="7" t="s">
        <v>3</v>
      </c>
      <c r="B26" s="7" t="s">
        <v>56</v>
      </c>
      <c r="C26" s="16" t="s">
        <v>92</v>
      </c>
      <c r="D26" s="4" t="s">
        <v>64</v>
      </c>
      <c r="E26" s="10">
        <v>1</v>
      </c>
    </row>
    <row r="27" spans="1:5" x14ac:dyDescent="0.4">
      <c r="A27" s="7" t="s">
        <v>3</v>
      </c>
      <c r="B27" s="7" t="s">
        <v>56</v>
      </c>
      <c r="C27" s="16" t="s">
        <v>93</v>
      </c>
      <c r="D27" s="4" t="s">
        <v>64</v>
      </c>
      <c r="E27" s="10">
        <v>1</v>
      </c>
    </row>
    <row r="28" spans="1:5" x14ac:dyDescent="0.4">
      <c r="A28" s="7" t="s">
        <v>3</v>
      </c>
      <c r="B28" s="7" t="s">
        <v>56</v>
      </c>
      <c r="C28" s="16" t="s">
        <v>94</v>
      </c>
      <c r="D28" s="4" t="s">
        <v>64</v>
      </c>
      <c r="E28" s="10">
        <v>1</v>
      </c>
    </row>
    <row r="29" spans="1:5" x14ac:dyDescent="0.4">
      <c r="A29" s="7" t="s">
        <v>3</v>
      </c>
      <c r="B29" s="7" t="s">
        <v>56</v>
      </c>
      <c r="C29" s="16" t="s">
        <v>95</v>
      </c>
      <c r="D29" s="4" t="s">
        <v>64</v>
      </c>
      <c r="E29" s="10">
        <v>1</v>
      </c>
    </row>
    <row r="30" spans="1:5" x14ac:dyDescent="0.4">
      <c r="A30" s="7" t="s">
        <v>3</v>
      </c>
      <c r="B30" s="7" t="s">
        <v>56</v>
      </c>
      <c r="C30" s="16" t="s">
        <v>96</v>
      </c>
      <c r="D30" s="4" t="s">
        <v>64</v>
      </c>
      <c r="E30" s="10">
        <v>1</v>
      </c>
    </row>
    <row r="31" spans="1:5" x14ac:dyDescent="0.4">
      <c r="A31" s="7" t="s">
        <v>3</v>
      </c>
      <c r="B31" s="7" t="s">
        <v>56</v>
      </c>
      <c r="C31" s="16" t="s">
        <v>97</v>
      </c>
      <c r="D31" s="4" t="s">
        <v>64</v>
      </c>
      <c r="E31" s="10">
        <v>1</v>
      </c>
    </row>
    <row r="32" spans="1:5" x14ac:dyDescent="0.4">
      <c r="A32" s="7" t="s">
        <v>3</v>
      </c>
      <c r="B32" s="7" t="s">
        <v>56</v>
      </c>
      <c r="C32" s="16" t="s">
        <v>98</v>
      </c>
      <c r="D32" s="4" t="s">
        <v>64</v>
      </c>
      <c r="E32" s="10">
        <v>1</v>
      </c>
    </row>
    <row r="33" spans="1:5" x14ac:dyDescent="0.4">
      <c r="A33" s="7" t="s">
        <v>3</v>
      </c>
      <c r="B33" s="7" t="s">
        <v>56</v>
      </c>
      <c r="C33" s="16" t="s">
        <v>99</v>
      </c>
      <c r="D33" s="4" t="s">
        <v>64</v>
      </c>
      <c r="E33" s="10">
        <v>1</v>
      </c>
    </row>
    <row r="34" spans="1:5" x14ac:dyDescent="0.4">
      <c r="A34" s="7" t="s">
        <v>3</v>
      </c>
      <c r="B34" s="7" t="s">
        <v>56</v>
      </c>
      <c r="C34" s="16" t="s">
        <v>100</v>
      </c>
      <c r="D34" s="4" t="s">
        <v>64</v>
      </c>
      <c r="E34" s="10">
        <v>1</v>
      </c>
    </row>
    <row r="35" spans="1:5" x14ac:dyDescent="0.4">
      <c r="A35" s="7" t="s">
        <v>3</v>
      </c>
      <c r="B35" s="7" t="s">
        <v>56</v>
      </c>
      <c r="C35" s="16" t="s">
        <v>101</v>
      </c>
      <c r="D35" s="4" t="s">
        <v>64</v>
      </c>
      <c r="E35" s="10">
        <v>1</v>
      </c>
    </row>
    <row r="36" spans="1:5" x14ac:dyDescent="0.4">
      <c r="A36" s="7" t="s">
        <v>3</v>
      </c>
      <c r="B36" s="7" t="s">
        <v>56</v>
      </c>
      <c r="C36" s="16" t="s">
        <v>102</v>
      </c>
      <c r="D36" s="4" t="s">
        <v>64</v>
      </c>
      <c r="E36" s="10">
        <v>1</v>
      </c>
    </row>
    <row r="37" spans="1:5" x14ac:dyDescent="0.4">
      <c r="A37" s="7" t="s">
        <v>3</v>
      </c>
      <c r="B37" s="7" t="s">
        <v>56</v>
      </c>
      <c r="C37" s="16" t="s">
        <v>103</v>
      </c>
      <c r="D37" s="4" t="s">
        <v>64</v>
      </c>
      <c r="E37" s="10">
        <v>1</v>
      </c>
    </row>
    <row r="38" spans="1:5" x14ac:dyDescent="0.4">
      <c r="A38" s="7" t="s">
        <v>3</v>
      </c>
      <c r="B38" s="7" t="s">
        <v>56</v>
      </c>
      <c r="C38" s="16" t="s">
        <v>104</v>
      </c>
      <c r="D38" s="4" t="s">
        <v>64</v>
      </c>
      <c r="E38" s="10">
        <v>1</v>
      </c>
    </row>
    <row r="39" spans="1:5" x14ac:dyDescent="0.4">
      <c r="A39" s="7" t="s">
        <v>3</v>
      </c>
      <c r="B39" s="7" t="s">
        <v>56</v>
      </c>
      <c r="C39" s="16" t="s">
        <v>105</v>
      </c>
      <c r="D39" s="4" t="s">
        <v>64</v>
      </c>
      <c r="E39" s="10">
        <v>1</v>
      </c>
    </row>
    <row r="40" spans="1:5" x14ac:dyDescent="0.4">
      <c r="A40" s="7" t="s">
        <v>3</v>
      </c>
      <c r="B40" s="7" t="s">
        <v>56</v>
      </c>
      <c r="C40" s="16" t="s">
        <v>106</v>
      </c>
      <c r="D40" s="4" t="s">
        <v>64</v>
      </c>
      <c r="E40" s="10">
        <v>1</v>
      </c>
    </row>
    <row r="41" spans="1:5" x14ac:dyDescent="0.4">
      <c r="A41" s="7" t="s">
        <v>3</v>
      </c>
      <c r="B41" s="7" t="s">
        <v>56</v>
      </c>
      <c r="C41" s="16" t="s">
        <v>107</v>
      </c>
      <c r="D41" s="4" t="s">
        <v>64</v>
      </c>
      <c r="E41" s="10">
        <v>1</v>
      </c>
    </row>
    <row r="42" spans="1:5" x14ac:dyDescent="0.4">
      <c r="A42" s="7" t="s">
        <v>3</v>
      </c>
      <c r="B42" s="7" t="s">
        <v>56</v>
      </c>
      <c r="C42" s="16" t="s">
        <v>108</v>
      </c>
      <c r="D42" s="4" t="s">
        <v>64</v>
      </c>
      <c r="E42" s="10">
        <v>1</v>
      </c>
    </row>
    <row r="43" spans="1:5" x14ac:dyDescent="0.4">
      <c r="A43" s="7" t="s">
        <v>3</v>
      </c>
      <c r="B43" s="7" t="s">
        <v>56</v>
      </c>
      <c r="C43" s="16" t="s">
        <v>109</v>
      </c>
      <c r="D43" s="4" t="s">
        <v>64</v>
      </c>
      <c r="E43" s="10">
        <v>1</v>
      </c>
    </row>
    <row r="44" spans="1:5" x14ac:dyDescent="0.4">
      <c r="A44" s="7" t="s">
        <v>3</v>
      </c>
      <c r="B44" s="7" t="s">
        <v>56</v>
      </c>
      <c r="C44" s="16" t="s">
        <v>110</v>
      </c>
      <c r="D44" s="4" t="s">
        <v>64</v>
      </c>
      <c r="E44" s="10">
        <v>1</v>
      </c>
    </row>
    <row r="45" spans="1:5" x14ac:dyDescent="0.4">
      <c r="A45" s="7" t="s">
        <v>3</v>
      </c>
      <c r="B45" s="7" t="s">
        <v>56</v>
      </c>
      <c r="C45" s="16" t="s">
        <v>111</v>
      </c>
      <c r="D45" s="4" t="s">
        <v>64</v>
      </c>
      <c r="E45" s="10">
        <v>1</v>
      </c>
    </row>
    <row r="46" spans="1:5" x14ac:dyDescent="0.4">
      <c r="A46" s="7" t="s">
        <v>3</v>
      </c>
      <c r="B46" s="7" t="s">
        <v>56</v>
      </c>
      <c r="C46" s="16" t="s">
        <v>112</v>
      </c>
      <c r="D46" s="4" t="s">
        <v>64</v>
      </c>
      <c r="E46" s="10">
        <v>1</v>
      </c>
    </row>
    <row r="47" spans="1:5" x14ac:dyDescent="0.4">
      <c r="A47" s="7" t="s">
        <v>3</v>
      </c>
      <c r="B47" s="7" t="s">
        <v>56</v>
      </c>
      <c r="C47" s="16" t="s">
        <v>113</v>
      </c>
      <c r="D47" s="4" t="s">
        <v>64</v>
      </c>
      <c r="E47" s="10">
        <v>1</v>
      </c>
    </row>
    <row r="48" spans="1:5" x14ac:dyDescent="0.4">
      <c r="A48" s="7" t="s">
        <v>3</v>
      </c>
      <c r="B48" s="7" t="s">
        <v>56</v>
      </c>
      <c r="C48" s="16" t="s">
        <v>114</v>
      </c>
      <c r="D48" s="4" t="s">
        <v>64</v>
      </c>
      <c r="E48" s="10">
        <v>1</v>
      </c>
    </row>
    <row r="49" spans="1:5" x14ac:dyDescent="0.4">
      <c r="A49" s="7" t="s">
        <v>3</v>
      </c>
      <c r="B49" s="7" t="s">
        <v>56</v>
      </c>
      <c r="C49" s="16" t="s">
        <v>115</v>
      </c>
      <c r="D49" s="4" t="s">
        <v>64</v>
      </c>
      <c r="E49" s="10">
        <v>1</v>
      </c>
    </row>
    <row r="50" spans="1:5" x14ac:dyDescent="0.4">
      <c r="A50" s="7" t="s">
        <v>3</v>
      </c>
      <c r="B50" s="7" t="s">
        <v>56</v>
      </c>
      <c r="C50" s="16" t="s">
        <v>116</v>
      </c>
      <c r="D50" s="4" t="s">
        <v>64</v>
      </c>
      <c r="E50" s="10">
        <v>1</v>
      </c>
    </row>
    <row r="51" spans="1:5" x14ac:dyDescent="0.4">
      <c r="A51" s="7" t="s">
        <v>3</v>
      </c>
      <c r="B51" s="7" t="s">
        <v>56</v>
      </c>
      <c r="C51" s="16" t="s">
        <v>117</v>
      </c>
      <c r="D51" s="4" t="s">
        <v>64</v>
      </c>
      <c r="E51" s="10">
        <v>1</v>
      </c>
    </row>
    <row r="52" spans="1:5" x14ac:dyDescent="0.4">
      <c r="A52" s="7" t="s">
        <v>3</v>
      </c>
      <c r="B52" s="7" t="s">
        <v>56</v>
      </c>
      <c r="C52" s="16" t="s">
        <v>118</v>
      </c>
      <c r="D52" s="4" t="s">
        <v>64</v>
      </c>
      <c r="E52" s="10">
        <v>1</v>
      </c>
    </row>
    <row r="53" spans="1:5" x14ac:dyDescent="0.4">
      <c r="A53" s="7" t="s">
        <v>3</v>
      </c>
      <c r="B53" s="7" t="s">
        <v>56</v>
      </c>
      <c r="C53" s="16" t="s">
        <v>119</v>
      </c>
      <c r="D53" s="4" t="s">
        <v>64</v>
      </c>
      <c r="E53" s="10">
        <v>1</v>
      </c>
    </row>
    <row r="54" spans="1:5" x14ac:dyDescent="0.4">
      <c r="A54" s="7" t="s">
        <v>3</v>
      </c>
      <c r="B54" s="7" t="s">
        <v>56</v>
      </c>
      <c r="C54" s="16" t="s">
        <v>120</v>
      </c>
      <c r="D54" s="4" t="s">
        <v>64</v>
      </c>
      <c r="E54" s="10">
        <v>1</v>
      </c>
    </row>
    <row r="55" spans="1:5" x14ac:dyDescent="0.4">
      <c r="A55" s="7" t="s">
        <v>3</v>
      </c>
      <c r="B55" s="7" t="s">
        <v>56</v>
      </c>
      <c r="C55" s="16" t="s">
        <v>121</v>
      </c>
      <c r="D55" s="4" t="s">
        <v>64</v>
      </c>
      <c r="E55" s="10">
        <v>1</v>
      </c>
    </row>
    <row r="56" spans="1:5" x14ac:dyDescent="0.4">
      <c r="A56" s="7" t="s">
        <v>3</v>
      </c>
      <c r="B56" s="7" t="s">
        <v>56</v>
      </c>
      <c r="C56" s="16" t="s">
        <v>122</v>
      </c>
      <c r="D56" s="4" t="s">
        <v>64</v>
      </c>
      <c r="E56" s="10">
        <v>1</v>
      </c>
    </row>
    <row r="57" spans="1:5" x14ac:dyDescent="0.4">
      <c r="A57" s="7" t="s">
        <v>3</v>
      </c>
      <c r="B57" s="7" t="s">
        <v>56</v>
      </c>
      <c r="C57" s="16" t="s">
        <v>123</v>
      </c>
      <c r="D57" s="4" t="s">
        <v>64</v>
      </c>
      <c r="E57" s="10">
        <v>1</v>
      </c>
    </row>
    <row r="58" spans="1:5" x14ac:dyDescent="0.4">
      <c r="A58" s="7" t="s">
        <v>3</v>
      </c>
      <c r="B58" s="7" t="s">
        <v>56</v>
      </c>
      <c r="C58" s="16" t="s">
        <v>124</v>
      </c>
      <c r="D58" s="4" t="s">
        <v>64</v>
      </c>
      <c r="E58" s="10">
        <v>1</v>
      </c>
    </row>
    <row r="59" spans="1:5" x14ac:dyDescent="0.4">
      <c r="A59" s="7" t="s">
        <v>3</v>
      </c>
      <c r="B59" s="7" t="s">
        <v>56</v>
      </c>
      <c r="C59" s="16" t="s">
        <v>125</v>
      </c>
      <c r="D59" s="4" t="s">
        <v>64</v>
      </c>
      <c r="E59" s="10">
        <v>1</v>
      </c>
    </row>
    <row r="60" spans="1:5" x14ac:dyDescent="0.4">
      <c r="A60" s="7" t="s">
        <v>3</v>
      </c>
      <c r="B60" s="7" t="s">
        <v>56</v>
      </c>
      <c r="C60" s="16" t="s">
        <v>126</v>
      </c>
      <c r="D60" s="4" t="s">
        <v>64</v>
      </c>
      <c r="E60" s="10">
        <v>1</v>
      </c>
    </row>
    <row r="61" spans="1:5" x14ac:dyDescent="0.4">
      <c r="A61" s="7" t="s">
        <v>3</v>
      </c>
      <c r="B61" s="7" t="s">
        <v>56</v>
      </c>
      <c r="C61" s="16" t="s">
        <v>127</v>
      </c>
      <c r="D61" s="4" t="s">
        <v>64</v>
      </c>
      <c r="E61" s="10">
        <v>1</v>
      </c>
    </row>
    <row r="62" spans="1:5" x14ac:dyDescent="0.4">
      <c r="A62" s="7" t="s">
        <v>3</v>
      </c>
      <c r="B62" s="7" t="s">
        <v>56</v>
      </c>
      <c r="C62" s="16" t="s">
        <v>128</v>
      </c>
      <c r="D62" s="4" t="s">
        <v>64</v>
      </c>
      <c r="E62" s="10">
        <v>1</v>
      </c>
    </row>
    <row r="63" spans="1:5" x14ac:dyDescent="0.4">
      <c r="A63" s="7" t="s">
        <v>3</v>
      </c>
      <c r="B63" s="7" t="s">
        <v>56</v>
      </c>
      <c r="C63" s="16" t="s">
        <v>129</v>
      </c>
      <c r="D63" s="4" t="s">
        <v>64</v>
      </c>
      <c r="E63" s="10">
        <v>1</v>
      </c>
    </row>
    <row r="64" spans="1:5" x14ac:dyDescent="0.4">
      <c r="A64" s="7" t="s">
        <v>3</v>
      </c>
      <c r="B64" s="7" t="s">
        <v>56</v>
      </c>
      <c r="C64" s="16" t="s">
        <v>130</v>
      </c>
      <c r="D64" s="4" t="s">
        <v>64</v>
      </c>
      <c r="E64" s="10">
        <v>1</v>
      </c>
    </row>
    <row r="65" spans="1:6" x14ac:dyDescent="0.4">
      <c r="A65" s="7" t="s">
        <v>3</v>
      </c>
      <c r="B65" s="7" t="s">
        <v>56</v>
      </c>
      <c r="C65" s="16" t="s">
        <v>131</v>
      </c>
      <c r="D65" s="4" t="s">
        <v>64</v>
      </c>
      <c r="E65" s="10">
        <v>1</v>
      </c>
    </row>
    <row r="66" spans="1:6" x14ac:dyDescent="0.4">
      <c r="A66" s="7" t="s">
        <v>3</v>
      </c>
      <c r="B66" s="7" t="s">
        <v>56</v>
      </c>
      <c r="C66" s="16" t="s">
        <v>132</v>
      </c>
      <c r="D66" s="4" t="s">
        <v>64</v>
      </c>
      <c r="E66" s="10">
        <v>1</v>
      </c>
    </row>
    <row r="67" spans="1:6" x14ac:dyDescent="0.4">
      <c r="A67" s="7" t="s">
        <v>3</v>
      </c>
      <c r="B67" s="7" t="s">
        <v>56</v>
      </c>
      <c r="C67" s="16" t="s">
        <v>133</v>
      </c>
      <c r="D67" s="4" t="s">
        <v>64</v>
      </c>
      <c r="E67" s="10">
        <v>1</v>
      </c>
    </row>
    <row r="68" spans="1:6" x14ac:dyDescent="0.4">
      <c r="A68" s="7" t="s">
        <v>3</v>
      </c>
      <c r="B68" s="7" t="s">
        <v>56</v>
      </c>
      <c r="C68" s="16" t="s">
        <v>134</v>
      </c>
      <c r="D68" s="4" t="s">
        <v>64</v>
      </c>
      <c r="E68" s="10">
        <v>1</v>
      </c>
    </row>
    <row r="69" spans="1:6" x14ac:dyDescent="0.4">
      <c r="A69" s="7" t="s">
        <v>3</v>
      </c>
      <c r="B69" s="7" t="s">
        <v>56</v>
      </c>
      <c r="C69" s="16" t="s">
        <v>135</v>
      </c>
      <c r="D69" s="4" t="s">
        <v>64</v>
      </c>
      <c r="E69" s="10">
        <v>1</v>
      </c>
    </row>
    <row r="70" spans="1:6" x14ac:dyDescent="0.4">
      <c r="A70" s="7" t="s">
        <v>3</v>
      </c>
      <c r="B70" s="7" t="s">
        <v>56</v>
      </c>
      <c r="C70" s="16" t="s">
        <v>136</v>
      </c>
      <c r="D70" s="4" t="s">
        <v>64</v>
      </c>
      <c r="E70" s="10">
        <v>1</v>
      </c>
    </row>
    <row r="71" spans="1:6" x14ac:dyDescent="0.4">
      <c r="A71" s="7" t="s">
        <v>3</v>
      </c>
      <c r="B71" s="7" t="s">
        <v>56</v>
      </c>
      <c r="C71" s="16" t="s">
        <v>137</v>
      </c>
      <c r="D71" s="4" t="s">
        <v>64</v>
      </c>
      <c r="E71" s="10">
        <v>1</v>
      </c>
    </row>
    <row r="72" spans="1:6" x14ac:dyDescent="0.4">
      <c r="A72" s="7" t="s">
        <v>3</v>
      </c>
      <c r="B72" s="7" t="s">
        <v>56</v>
      </c>
      <c r="C72" s="16" t="s">
        <v>138</v>
      </c>
      <c r="D72" s="4" t="s">
        <v>64</v>
      </c>
      <c r="E72" s="10">
        <v>1</v>
      </c>
    </row>
    <row r="73" spans="1:6" x14ac:dyDescent="0.4">
      <c r="A73" s="7" t="s">
        <v>3</v>
      </c>
      <c r="B73" s="7" t="s">
        <v>56</v>
      </c>
      <c r="C73" s="16" t="s">
        <v>139</v>
      </c>
      <c r="D73" s="4" t="s">
        <v>64</v>
      </c>
      <c r="E73" s="10">
        <v>1</v>
      </c>
      <c r="F73" s="14"/>
    </row>
    <row r="74" spans="1:6" x14ac:dyDescent="0.4">
      <c r="A74" s="7" t="s">
        <v>3</v>
      </c>
      <c r="B74" s="7" t="s">
        <v>56</v>
      </c>
      <c r="C74" s="16" t="s">
        <v>140</v>
      </c>
      <c r="D74" s="4" t="s">
        <v>64</v>
      </c>
      <c r="E74" s="10">
        <v>1</v>
      </c>
    </row>
    <row r="75" spans="1:6" x14ac:dyDescent="0.4">
      <c r="A75" s="7" t="s">
        <v>3</v>
      </c>
      <c r="B75" s="7" t="s">
        <v>56</v>
      </c>
      <c r="C75" s="16" t="s">
        <v>141</v>
      </c>
      <c r="D75" s="4" t="s">
        <v>64</v>
      </c>
      <c r="E75" s="10">
        <v>1</v>
      </c>
    </row>
    <row r="76" spans="1:6" x14ac:dyDescent="0.4">
      <c r="A76" s="7" t="s">
        <v>3</v>
      </c>
      <c r="B76" s="7" t="s">
        <v>56</v>
      </c>
      <c r="C76" s="16" t="s">
        <v>142</v>
      </c>
      <c r="D76" s="4" t="s">
        <v>64</v>
      </c>
      <c r="E76" s="10">
        <v>1</v>
      </c>
    </row>
    <row r="77" spans="1:6" x14ac:dyDescent="0.4">
      <c r="A77" s="7" t="s">
        <v>3</v>
      </c>
      <c r="B77" s="7" t="s">
        <v>56</v>
      </c>
      <c r="C77" s="16" t="s">
        <v>143</v>
      </c>
      <c r="D77" s="4" t="s">
        <v>64</v>
      </c>
      <c r="E77" s="10">
        <v>1</v>
      </c>
    </row>
    <row r="78" spans="1:6" x14ac:dyDescent="0.4">
      <c r="A78" s="7" t="s">
        <v>3</v>
      </c>
      <c r="B78" s="7" t="s">
        <v>56</v>
      </c>
      <c r="C78" s="16" t="s">
        <v>144</v>
      </c>
      <c r="D78" s="4" t="s">
        <v>64</v>
      </c>
      <c r="E78" s="10">
        <v>1</v>
      </c>
    </row>
    <row r="79" spans="1:6" x14ac:dyDescent="0.4">
      <c r="A79" s="7" t="s">
        <v>3</v>
      </c>
      <c r="B79" s="7" t="s">
        <v>56</v>
      </c>
      <c r="C79" s="16" t="s">
        <v>145</v>
      </c>
      <c r="D79" s="4" t="s">
        <v>64</v>
      </c>
      <c r="E79" s="10">
        <v>1</v>
      </c>
    </row>
    <row r="80" spans="1:6" x14ac:dyDescent="0.4">
      <c r="A80" s="7" t="s">
        <v>3</v>
      </c>
      <c r="B80" s="7" t="s">
        <v>56</v>
      </c>
      <c r="C80" s="16" t="s">
        <v>146</v>
      </c>
      <c r="D80" s="4" t="s">
        <v>64</v>
      </c>
      <c r="E80" s="10">
        <v>1</v>
      </c>
    </row>
    <row r="81" spans="1:5" x14ac:dyDescent="0.4">
      <c r="A81" s="7" t="s">
        <v>3</v>
      </c>
      <c r="B81" s="7" t="s">
        <v>56</v>
      </c>
      <c r="C81" s="16" t="s">
        <v>147</v>
      </c>
      <c r="D81" s="4" t="s">
        <v>64</v>
      </c>
      <c r="E81" s="10">
        <v>1</v>
      </c>
    </row>
    <row r="82" spans="1:5" x14ac:dyDescent="0.4">
      <c r="A82" s="7" t="s">
        <v>3</v>
      </c>
      <c r="B82" s="7" t="s">
        <v>56</v>
      </c>
      <c r="C82" s="16" t="s">
        <v>148</v>
      </c>
      <c r="D82" s="4" t="s">
        <v>64</v>
      </c>
      <c r="E82" s="10">
        <v>1</v>
      </c>
    </row>
    <row r="83" spans="1:5" x14ac:dyDescent="0.4">
      <c r="A83" s="7" t="s">
        <v>3</v>
      </c>
      <c r="B83" s="7" t="s">
        <v>56</v>
      </c>
      <c r="C83" s="16" t="s">
        <v>149</v>
      </c>
      <c r="D83" s="4" t="s">
        <v>64</v>
      </c>
      <c r="E83" s="10">
        <v>1</v>
      </c>
    </row>
    <row r="84" spans="1:5" x14ac:dyDescent="0.4">
      <c r="A84" s="7" t="s">
        <v>3</v>
      </c>
      <c r="B84" s="7" t="s">
        <v>56</v>
      </c>
      <c r="C84" s="16" t="s">
        <v>150</v>
      </c>
      <c r="D84" s="4" t="s">
        <v>64</v>
      </c>
      <c r="E84" s="10">
        <v>1</v>
      </c>
    </row>
    <row r="85" spans="1:5" x14ac:dyDescent="0.4">
      <c r="A85" s="7" t="s">
        <v>3</v>
      </c>
      <c r="B85" s="7" t="s">
        <v>56</v>
      </c>
      <c r="C85" s="16" t="s">
        <v>151</v>
      </c>
      <c r="D85" s="4" t="s">
        <v>64</v>
      </c>
      <c r="E85" s="10">
        <v>1</v>
      </c>
    </row>
    <row r="86" spans="1:5" x14ac:dyDescent="0.4">
      <c r="A86" s="7" t="s">
        <v>3</v>
      </c>
      <c r="B86" s="7" t="s">
        <v>56</v>
      </c>
      <c r="C86" s="16" t="s">
        <v>152</v>
      </c>
      <c r="D86" s="4" t="s">
        <v>64</v>
      </c>
      <c r="E86" s="10">
        <v>1</v>
      </c>
    </row>
    <row r="87" spans="1:5" x14ac:dyDescent="0.4">
      <c r="A87" s="7" t="s">
        <v>3</v>
      </c>
      <c r="B87" s="7" t="s">
        <v>56</v>
      </c>
      <c r="C87" s="16" t="s">
        <v>153</v>
      </c>
      <c r="D87" s="4" t="s">
        <v>64</v>
      </c>
      <c r="E87" s="10">
        <v>1</v>
      </c>
    </row>
    <row r="88" spans="1:5" x14ac:dyDescent="0.4">
      <c r="A88" s="7" t="s">
        <v>3</v>
      </c>
      <c r="B88" s="7" t="s">
        <v>56</v>
      </c>
      <c r="C88" s="16" t="s">
        <v>154</v>
      </c>
      <c r="D88" s="4" t="s">
        <v>64</v>
      </c>
      <c r="E88" s="10">
        <v>1</v>
      </c>
    </row>
    <row r="89" spans="1:5" x14ac:dyDescent="0.4">
      <c r="A89" s="7" t="s">
        <v>3</v>
      </c>
      <c r="B89" s="7" t="s">
        <v>56</v>
      </c>
      <c r="C89" s="16" t="s">
        <v>155</v>
      </c>
      <c r="D89" s="4" t="s">
        <v>64</v>
      </c>
      <c r="E89" s="10">
        <v>1</v>
      </c>
    </row>
    <row r="90" spans="1:5" x14ac:dyDescent="0.4">
      <c r="A90" s="7" t="s">
        <v>3</v>
      </c>
      <c r="B90" s="7" t="s">
        <v>56</v>
      </c>
      <c r="C90" s="16" t="s">
        <v>156</v>
      </c>
      <c r="D90" s="4" t="s">
        <v>64</v>
      </c>
      <c r="E90" s="10">
        <v>1</v>
      </c>
    </row>
    <row r="91" spans="1:5" x14ac:dyDescent="0.4">
      <c r="A91" s="7" t="s">
        <v>3</v>
      </c>
      <c r="B91" s="7" t="s">
        <v>56</v>
      </c>
      <c r="C91" s="16" t="s">
        <v>157</v>
      </c>
      <c r="D91" s="4" t="s">
        <v>64</v>
      </c>
      <c r="E91" s="10">
        <v>1</v>
      </c>
    </row>
    <row r="92" spans="1:5" x14ac:dyDescent="0.4">
      <c r="A92" s="7" t="s">
        <v>3</v>
      </c>
      <c r="B92" s="7" t="s">
        <v>56</v>
      </c>
      <c r="C92" s="16" t="s">
        <v>158</v>
      </c>
      <c r="D92" s="4" t="s">
        <v>64</v>
      </c>
      <c r="E92" s="10">
        <v>1</v>
      </c>
    </row>
    <row r="93" spans="1:5" x14ac:dyDescent="0.4">
      <c r="A93" s="7" t="s">
        <v>3</v>
      </c>
      <c r="B93" s="7" t="s">
        <v>56</v>
      </c>
      <c r="C93" s="16" t="s">
        <v>159</v>
      </c>
      <c r="D93" s="4" t="s">
        <v>64</v>
      </c>
      <c r="E93" s="10">
        <v>1</v>
      </c>
    </row>
    <row r="94" spans="1:5" x14ac:dyDescent="0.4">
      <c r="A94" s="7" t="s">
        <v>3</v>
      </c>
      <c r="B94" s="7" t="s">
        <v>56</v>
      </c>
      <c r="C94" s="16" t="s">
        <v>160</v>
      </c>
      <c r="D94" s="4" t="s">
        <v>64</v>
      </c>
      <c r="E94" s="10">
        <v>1</v>
      </c>
    </row>
    <row r="95" spans="1:5" x14ac:dyDescent="0.4">
      <c r="A95" s="7" t="s">
        <v>3</v>
      </c>
      <c r="B95" s="7" t="s">
        <v>56</v>
      </c>
      <c r="C95" s="16" t="s">
        <v>161</v>
      </c>
      <c r="D95" s="4" t="s">
        <v>64</v>
      </c>
      <c r="E95" s="10">
        <v>1</v>
      </c>
    </row>
    <row r="96" spans="1:5" x14ac:dyDescent="0.4">
      <c r="A96" s="7" t="s">
        <v>3</v>
      </c>
      <c r="B96" s="7" t="s">
        <v>56</v>
      </c>
      <c r="C96" s="16" t="s">
        <v>162</v>
      </c>
      <c r="D96" s="4" t="s">
        <v>64</v>
      </c>
      <c r="E96" s="10">
        <v>1</v>
      </c>
    </row>
    <row r="97" spans="1:5" x14ac:dyDescent="0.4">
      <c r="A97" s="7" t="s">
        <v>3</v>
      </c>
      <c r="B97" s="7" t="s">
        <v>56</v>
      </c>
      <c r="C97" s="16" t="s">
        <v>163</v>
      </c>
      <c r="D97" s="4" t="s">
        <v>64</v>
      </c>
      <c r="E97" s="10">
        <v>1</v>
      </c>
    </row>
    <row r="98" spans="1:5" x14ac:dyDescent="0.4">
      <c r="A98" s="7" t="s">
        <v>3</v>
      </c>
      <c r="B98" s="7" t="s">
        <v>56</v>
      </c>
      <c r="C98" s="16" t="s">
        <v>164</v>
      </c>
      <c r="D98" s="4" t="s">
        <v>64</v>
      </c>
      <c r="E98" s="10">
        <v>1</v>
      </c>
    </row>
    <row r="99" spans="1:5" x14ac:dyDescent="0.4">
      <c r="A99" s="7" t="s">
        <v>3</v>
      </c>
      <c r="B99" s="7" t="s">
        <v>56</v>
      </c>
      <c r="C99" s="16" t="s">
        <v>165</v>
      </c>
      <c r="D99" s="4" t="s">
        <v>64</v>
      </c>
      <c r="E99" s="10">
        <v>1</v>
      </c>
    </row>
    <row r="100" spans="1:5" x14ac:dyDescent="0.4">
      <c r="A100" s="7" t="s">
        <v>3</v>
      </c>
      <c r="B100" s="7" t="s">
        <v>56</v>
      </c>
      <c r="C100" s="16" t="s">
        <v>166</v>
      </c>
      <c r="D100" s="4" t="s">
        <v>64</v>
      </c>
      <c r="E100" s="10">
        <v>1</v>
      </c>
    </row>
    <row r="101" spans="1:5" x14ac:dyDescent="0.4">
      <c r="A101" s="7" t="s">
        <v>3</v>
      </c>
      <c r="B101" s="7" t="s">
        <v>56</v>
      </c>
      <c r="C101" s="16" t="s">
        <v>167</v>
      </c>
      <c r="D101" s="4" t="s">
        <v>64</v>
      </c>
      <c r="E101" s="10">
        <v>1</v>
      </c>
    </row>
    <row r="102" spans="1:5" x14ac:dyDescent="0.4">
      <c r="A102" s="7" t="s">
        <v>3</v>
      </c>
      <c r="B102" s="7" t="s">
        <v>56</v>
      </c>
      <c r="C102" s="16" t="s">
        <v>168</v>
      </c>
      <c r="D102" s="4" t="s">
        <v>64</v>
      </c>
      <c r="E102" s="10">
        <v>1</v>
      </c>
    </row>
    <row r="103" spans="1:5" x14ac:dyDescent="0.4">
      <c r="A103" s="7" t="s">
        <v>3</v>
      </c>
      <c r="B103" s="7" t="s">
        <v>56</v>
      </c>
      <c r="C103" s="16" t="s">
        <v>169</v>
      </c>
      <c r="D103" s="4" t="s">
        <v>64</v>
      </c>
      <c r="E103" s="10">
        <v>1</v>
      </c>
    </row>
    <row r="104" spans="1:5" x14ac:dyDescent="0.4">
      <c r="A104" s="7" t="s">
        <v>3</v>
      </c>
      <c r="B104" s="7" t="s">
        <v>56</v>
      </c>
      <c r="C104" s="16" t="s">
        <v>170</v>
      </c>
      <c r="D104" s="4" t="s">
        <v>64</v>
      </c>
      <c r="E104" s="10">
        <v>1</v>
      </c>
    </row>
    <row r="105" spans="1:5" x14ac:dyDescent="0.4">
      <c r="A105" s="7" t="s">
        <v>3</v>
      </c>
      <c r="B105" s="7" t="s">
        <v>56</v>
      </c>
      <c r="C105" s="16" t="s">
        <v>171</v>
      </c>
      <c r="D105" s="4" t="s">
        <v>64</v>
      </c>
      <c r="E105" s="10">
        <v>1</v>
      </c>
    </row>
    <row r="106" spans="1:5" x14ac:dyDescent="0.4">
      <c r="A106" s="7" t="s">
        <v>3</v>
      </c>
      <c r="B106" s="7" t="s">
        <v>56</v>
      </c>
      <c r="C106" s="16" t="s">
        <v>172</v>
      </c>
      <c r="D106" s="4" t="s">
        <v>64</v>
      </c>
      <c r="E106" s="10">
        <v>1</v>
      </c>
    </row>
    <row r="107" spans="1:5" x14ac:dyDescent="0.4">
      <c r="A107" s="7" t="s">
        <v>3</v>
      </c>
      <c r="B107" s="7" t="s">
        <v>56</v>
      </c>
      <c r="C107" s="16" t="s">
        <v>173</v>
      </c>
      <c r="D107" s="4" t="s">
        <v>64</v>
      </c>
      <c r="E107" s="10">
        <v>1</v>
      </c>
    </row>
    <row r="108" spans="1:5" x14ac:dyDescent="0.4">
      <c r="A108" s="7" t="s">
        <v>3</v>
      </c>
      <c r="B108" s="7" t="s">
        <v>56</v>
      </c>
      <c r="C108" s="16" t="s">
        <v>174</v>
      </c>
      <c r="D108" s="4" t="s">
        <v>64</v>
      </c>
      <c r="E108" s="10">
        <v>1</v>
      </c>
    </row>
    <row r="109" spans="1:5" x14ac:dyDescent="0.4">
      <c r="A109" s="7" t="s">
        <v>3</v>
      </c>
      <c r="B109" s="7" t="s">
        <v>56</v>
      </c>
      <c r="C109" s="16" t="s">
        <v>175</v>
      </c>
      <c r="D109" s="4" t="s">
        <v>64</v>
      </c>
      <c r="E109" s="10">
        <v>1</v>
      </c>
    </row>
    <row r="110" spans="1:5" x14ac:dyDescent="0.4">
      <c r="A110" s="7" t="s">
        <v>4</v>
      </c>
      <c r="B110" s="7" t="s">
        <v>58</v>
      </c>
      <c r="C110" s="10" t="s">
        <v>176</v>
      </c>
      <c r="D110" s="4" t="s">
        <v>65</v>
      </c>
      <c r="E110" s="10">
        <v>1</v>
      </c>
    </row>
    <row r="111" spans="1:5" x14ac:dyDescent="0.4">
      <c r="A111" s="7" t="s">
        <v>4</v>
      </c>
      <c r="B111" s="7" t="s">
        <v>58</v>
      </c>
      <c r="C111" s="10" t="s">
        <v>177</v>
      </c>
      <c r="D111" s="4" t="s">
        <v>65</v>
      </c>
      <c r="E111" s="10">
        <v>1</v>
      </c>
    </row>
    <row r="112" spans="1:5" x14ac:dyDescent="0.4">
      <c r="A112" s="7" t="s">
        <v>4</v>
      </c>
      <c r="B112" s="7" t="s">
        <v>58</v>
      </c>
      <c r="C112" s="10" t="s">
        <v>178</v>
      </c>
      <c r="D112" s="4" t="s">
        <v>65</v>
      </c>
      <c r="E112" s="10">
        <v>1</v>
      </c>
    </row>
    <row r="113" spans="1:5" x14ac:dyDescent="0.4">
      <c r="A113" s="7" t="s">
        <v>4</v>
      </c>
      <c r="B113" s="7" t="s">
        <v>58</v>
      </c>
      <c r="C113" s="10" t="s">
        <v>179</v>
      </c>
      <c r="D113" s="4" t="s">
        <v>65</v>
      </c>
      <c r="E113" s="10">
        <v>1</v>
      </c>
    </row>
    <row r="114" spans="1:5" x14ac:dyDescent="0.4">
      <c r="A114" s="7" t="s">
        <v>4</v>
      </c>
      <c r="B114" s="7" t="s">
        <v>58</v>
      </c>
      <c r="C114" s="10" t="s">
        <v>180</v>
      </c>
      <c r="D114" s="4" t="s">
        <v>65</v>
      </c>
      <c r="E114" s="10">
        <v>1</v>
      </c>
    </row>
    <row r="115" spans="1:5" x14ac:dyDescent="0.4">
      <c r="A115" s="7" t="s">
        <v>4</v>
      </c>
      <c r="B115" s="7" t="s">
        <v>58</v>
      </c>
      <c r="C115" s="10" t="s">
        <v>181</v>
      </c>
      <c r="D115" s="4" t="s">
        <v>65</v>
      </c>
      <c r="E115" s="10">
        <v>1</v>
      </c>
    </row>
    <row r="116" spans="1:5" x14ac:dyDescent="0.4">
      <c r="A116" s="7" t="s">
        <v>4</v>
      </c>
      <c r="B116" s="7" t="s">
        <v>58</v>
      </c>
      <c r="C116" s="10" t="s">
        <v>182</v>
      </c>
      <c r="D116" s="4" t="s">
        <v>65</v>
      </c>
      <c r="E116" s="10">
        <v>1</v>
      </c>
    </row>
    <row r="117" spans="1:5" x14ac:dyDescent="0.4">
      <c r="A117" s="7" t="s">
        <v>4</v>
      </c>
      <c r="B117" s="7" t="s">
        <v>58</v>
      </c>
      <c r="C117" s="10" t="s">
        <v>183</v>
      </c>
      <c r="D117" s="4" t="s">
        <v>65</v>
      </c>
      <c r="E117" s="10">
        <v>1</v>
      </c>
    </row>
    <row r="118" spans="1:5" x14ac:dyDescent="0.4">
      <c r="A118" s="7" t="s">
        <v>4</v>
      </c>
      <c r="B118" s="7" t="s">
        <v>58</v>
      </c>
      <c r="C118" s="10" t="s">
        <v>184</v>
      </c>
      <c r="D118" s="4" t="s">
        <v>65</v>
      </c>
      <c r="E118" s="10">
        <v>1</v>
      </c>
    </row>
    <row r="119" spans="1:5" x14ac:dyDescent="0.4">
      <c r="A119" s="7" t="s">
        <v>4</v>
      </c>
      <c r="B119" s="7" t="s">
        <v>58</v>
      </c>
      <c r="C119" s="10" t="s">
        <v>185</v>
      </c>
      <c r="D119" s="4" t="s">
        <v>65</v>
      </c>
      <c r="E119" s="10">
        <v>1</v>
      </c>
    </row>
    <row r="120" spans="1:5" x14ac:dyDescent="0.4">
      <c r="A120" s="7" t="s">
        <v>4</v>
      </c>
      <c r="B120" s="7" t="s">
        <v>58</v>
      </c>
      <c r="C120" s="10" t="s">
        <v>186</v>
      </c>
      <c r="D120" s="4" t="s">
        <v>65</v>
      </c>
      <c r="E120" s="10">
        <v>1</v>
      </c>
    </row>
    <row r="121" spans="1:5" x14ac:dyDescent="0.4">
      <c r="A121" s="7" t="s">
        <v>4</v>
      </c>
      <c r="B121" s="7" t="s">
        <v>58</v>
      </c>
      <c r="C121" s="10" t="s">
        <v>187</v>
      </c>
      <c r="D121" s="4" t="s">
        <v>65</v>
      </c>
      <c r="E121" s="10">
        <v>1</v>
      </c>
    </row>
    <row r="122" spans="1:5" x14ac:dyDescent="0.4">
      <c r="A122" s="7" t="s">
        <v>4</v>
      </c>
      <c r="B122" s="7" t="s">
        <v>58</v>
      </c>
      <c r="C122" s="10" t="s">
        <v>188</v>
      </c>
      <c r="D122" s="4" t="s">
        <v>65</v>
      </c>
      <c r="E122" s="10">
        <v>1</v>
      </c>
    </row>
    <row r="123" spans="1:5" x14ac:dyDescent="0.4">
      <c r="A123" s="7" t="s">
        <v>4</v>
      </c>
      <c r="B123" s="7" t="s">
        <v>58</v>
      </c>
      <c r="C123" s="10" t="s">
        <v>189</v>
      </c>
      <c r="D123" s="4" t="s">
        <v>65</v>
      </c>
      <c r="E123" s="10">
        <v>1</v>
      </c>
    </row>
    <row r="124" spans="1:5" x14ac:dyDescent="0.4">
      <c r="A124" s="7" t="s">
        <v>4</v>
      </c>
      <c r="B124" s="7" t="s">
        <v>58</v>
      </c>
      <c r="C124" s="10" t="s">
        <v>190</v>
      </c>
      <c r="D124" s="4" t="s">
        <v>65</v>
      </c>
      <c r="E124" s="10">
        <v>1</v>
      </c>
    </row>
    <row r="125" spans="1:5" x14ac:dyDescent="0.4">
      <c r="A125" s="7" t="s">
        <v>4</v>
      </c>
      <c r="B125" s="7" t="s">
        <v>58</v>
      </c>
      <c r="C125" s="10" t="s">
        <v>191</v>
      </c>
      <c r="D125" s="4" t="s">
        <v>65</v>
      </c>
      <c r="E125" s="10">
        <v>1</v>
      </c>
    </row>
    <row r="126" spans="1:5" x14ac:dyDescent="0.4">
      <c r="A126" s="7" t="s">
        <v>4</v>
      </c>
      <c r="B126" s="7" t="s">
        <v>58</v>
      </c>
      <c r="C126" s="10" t="s">
        <v>192</v>
      </c>
      <c r="D126" s="4" t="s">
        <v>65</v>
      </c>
      <c r="E126" s="10">
        <v>1</v>
      </c>
    </row>
    <row r="127" spans="1:5" x14ac:dyDescent="0.4">
      <c r="A127" s="7" t="s">
        <v>4</v>
      </c>
      <c r="B127" s="7" t="s">
        <v>58</v>
      </c>
      <c r="C127" s="10" t="s">
        <v>193</v>
      </c>
      <c r="D127" s="4" t="s">
        <v>65</v>
      </c>
      <c r="E127" s="10">
        <v>1</v>
      </c>
    </row>
    <row r="128" spans="1:5" x14ac:dyDescent="0.4">
      <c r="A128" s="7" t="s">
        <v>4</v>
      </c>
      <c r="B128" s="7" t="s">
        <v>58</v>
      </c>
      <c r="C128" s="10" t="s">
        <v>194</v>
      </c>
      <c r="D128" s="4" t="s">
        <v>65</v>
      </c>
      <c r="E128" s="10">
        <v>1</v>
      </c>
    </row>
    <row r="129" spans="1:5" x14ac:dyDescent="0.4">
      <c r="A129" s="7" t="s">
        <v>4</v>
      </c>
      <c r="B129" s="7" t="s">
        <v>58</v>
      </c>
      <c r="C129" s="10" t="s">
        <v>195</v>
      </c>
      <c r="D129" s="4" t="s">
        <v>65</v>
      </c>
      <c r="E129" s="10">
        <v>1</v>
      </c>
    </row>
    <row r="130" spans="1:5" x14ac:dyDescent="0.4">
      <c r="A130" s="7" t="s">
        <v>4</v>
      </c>
      <c r="B130" s="7" t="s">
        <v>58</v>
      </c>
      <c r="C130" s="10" t="s">
        <v>196</v>
      </c>
      <c r="D130" s="4" t="s">
        <v>65</v>
      </c>
      <c r="E130" s="10">
        <v>1</v>
      </c>
    </row>
    <row r="131" spans="1:5" x14ac:dyDescent="0.4">
      <c r="A131" s="7" t="s">
        <v>4</v>
      </c>
      <c r="B131" s="7" t="s">
        <v>58</v>
      </c>
      <c r="C131" s="10" t="s">
        <v>197</v>
      </c>
      <c r="D131" s="4" t="s">
        <v>65</v>
      </c>
      <c r="E131" s="10">
        <v>1</v>
      </c>
    </row>
    <row r="132" spans="1:5" x14ac:dyDescent="0.4">
      <c r="A132" s="7" t="s">
        <v>5</v>
      </c>
      <c r="B132" s="7" t="s">
        <v>57</v>
      </c>
      <c r="C132" s="4" t="s">
        <v>16</v>
      </c>
      <c r="D132" s="4" t="s">
        <v>63</v>
      </c>
      <c r="E132" s="10">
        <v>1</v>
      </c>
    </row>
    <row r="133" spans="1:5" x14ac:dyDescent="0.4">
      <c r="A133" s="7" t="s">
        <v>5</v>
      </c>
      <c r="B133" s="7" t="s">
        <v>57</v>
      </c>
      <c r="C133" s="4" t="s">
        <v>36</v>
      </c>
      <c r="D133" s="4" t="s">
        <v>63</v>
      </c>
      <c r="E133" s="10">
        <v>1</v>
      </c>
    </row>
    <row r="134" spans="1:5" x14ac:dyDescent="0.4">
      <c r="A134" s="7" t="s">
        <v>5</v>
      </c>
      <c r="B134" s="7" t="s">
        <v>57</v>
      </c>
      <c r="C134" s="4" t="s">
        <v>27</v>
      </c>
      <c r="D134" s="4" t="s">
        <v>63</v>
      </c>
      <c r="E134" s="10">
        <v>1</v>
      </c>
    </row>
    <row r="135" spans="1:5" x14ac:dyDescent="0.4">
      <c r="A135" s="7" t="s">
        <v>5</v>
      </c>
      <c r="B135" s="7" t="s">
        <v>57</v>
      </c>
      <c r="C135" s="4" t="s">
        <v>28</v>
      </c>
      <c r="D135" s="4" t="s">
        <v>63</v>
      </c>
      <c r="E135" s="10">
        <v>1</v>
      </c>
    </row>
    <row r="136" spans="1:5" x14ac:dyDescent="0.4">
      <c r="A136" s="7" t="s">
        <v>5</v>
      </c>
      <c r="B136" s="7" t="s">
        <v>57</v>
      </c>
      <c r="C136" s="4" t="s">
        <v>33</v>
      </c>
      <c r="D136" s="4" t="s">
        <v>63</v>
      </c>
      <c r="E136" s="10">
        <v>1</v>
      </c>
    </row>
    <row r="137" spans="1:5" x14ac:dyDescent="0.4">
      <c r="A137" s="7" t="s">
        <v>5</v>
      </c>
      <c r="B137" s="7" t="s">
        <v>57</v>
      </c>
      <c r="C137" s="10" t="s">
        <v>200</v>
      </c>
      <c r="D137" s="4" t="s">
        <v>63</v>
      </c>
      <c r="E137" s="10">
        <v>2</v>
      </c>
    </row>
    <row r="138" spans="1:5" x14ac:dyDescent="0.4">
      <c r="A138" s="7" t="s">
        <v>5</v>
      </c>
      <c r="B138" s="7" t="s">
        <v>57</v>
      </c>
      <c r="C138" s="4" t="s">
        <v>17</v>
      </c>
      <c r="D138" s="4" t="s">
        <v>63</v>
      </c>
      <c r="E138" s="10">
        <v>29.8</v>
      </c>
    </row>
    <row r="139" spans="1:5" x14ac:dyDescent="0.4">
      <c r="A139" s="7" t="s">
        <v>5</v>
      </c>
      <c r="B139" s="7" t="s">
        <v>57</v>
      </c>
      <c r="C139" s="4" t="s">
        <v>19</v>
      </c>
      <c r="D139" s="4" t="s">
        <v>63</v>
      </c>
      <c r="E139" s="10">
        <v>29.8</v>
      </c>
    </row>
    <row r="140" spans="1:5" x14ac:dyDescent="0.4">
      <c r="A140" s="7" t="s">
        <v>5</v>
      </c>
      <c r="B140" s="7" t="s">
        <v>57</v>
      </c>
      <c r="C140" s="4" t="s">
        <v>20</v>
      </c>
      <c r="D140" s="4" t="s">
        <v>63</v>
      </c>
      <c r="E140" s="10">
        <v>29.8</v>
      </c>
    </row>
    <row r="141" spans="1:5" x14ac:dyDescent="0.4">
      <c r="A141" s="7" t="s">
        <v>5</v>
      </c>
      <c r="B141" s="7" t="s">
        <v>57</v>
      </c>
      <c r="C141" s="4" t="s">
        <v>21</v>
      </c>
      <c r="D141" s="4" t="s">
        <v>63</v>
      </c>
      <c r="E141" s="10">
        <v>29.8</v>
      </c>
    </row>
    <row r="142" spans="1:5" x14ac:dyDescent="0.4">
      <c r="A142" s="7" t="s">
        <v>5</v>
      </c>
      <c r="B142" s="7" t="s">
        <v>57</v>
      </c>
      <c r="C142" s="4" t="s">
        <v>22</v>
      </c>
      <c r="D142" s="4" t="s">
        <v>63</v>
      </c>
      <c r="E142" s="10">
        <v>29.8</v>
      </c>
    </row>
    <row r="143" spans="1:5" x14ac:dyDescent="0.4">
      <c r="A143" s="7" t="s">
        <v>5</v>
      </c>
      <c r="B143" s="7" t="s">
        <v>57</v>
      </c>
      <c r="C143" s="4" t="s">
        <v>23</v>
      </c>
      <c r="D143" s="4" t="s">
        <v>63</v>
      </c>
      <c r="E143" s="10">
        <v>29.8</v>
      </c>
    </row>
    <row r="144" spans="1:5" x14ac:dyDescent="0.4">
      <c r="A144" s="7" t="s">
        <v>5</v>
      </c>
      <c r="B144" s="7" t="s">
        <v>57</v>
      </c>
      <c r="C144" s="4" t="s">
        <v>24</v>
      </c>
      <c r="D144" s="4" t="s">
        <v>63</v>
      </c>
      <c r="E144" s="10">
        <v>29.8</v>
      </c>
    </row>
    <row r="145" spans="1:5" x14ac:dyDescent="0.4">
      <c r="A145" s="7" t="s">
        <v>5</v>
      </c>
      <c r="B145" s="7" t="s">
        <v>57</v>
      </c>
      <c r="C145" s="4" t="s">
        <v>25</v>
      </c>
      <c r="D145" s="4" t="s">
        <v>63</v>
      </c>
      <c r="E145" s="10">
        <v>29.8</v>
      </c>
    </row>
    <row r="146" spans="1:5" x14ac:dyDescent="0.4">
      <c r="A146" s="7" t="s">
        <v>5</v>
      </c>
      <c r="B146" s="7" t="s">
        <v>57</v>
      </c>
      <c r="C146" s="4" t="s">
        <v>26</v>
      </c>
      <c r="D146" s="4" t="s">
        <v>63</v>
      </c>
      <c r="E146" s="10">
        <v>29.8</v>
      </c>
    </row>
    <row r="147" spans="1:5" x14ac:dyDescent="0.4">
      <c r="A147" s="7" t="s">
        <v>5</v>
      </c>
      <c r="B147" s="7" t="s">
        <v>57</v>
      </c>
      <c r="C147" s="4" t="s">
        <v>32</v>
      </c>
      <c r="D147" s="4" t="s">
        <v>63</v>
      </c>
      <c r="E147" s="10">
        <v>29.8</v>
      </c>
    </row>
    <row r="148" spans="1:5" x14ac:dyDescent="0.4">
      <c r="A148" s="7" t="s">
        <v>5</v>
      </c>
      <c r="B148" s="7" t="s">
        <v>57</v>
      </c>
      <c r="C148" s="4" t="s">
        <v>35</v>
      </c>
      <c r="D148" s="4" t="s">
        <v>63</v>
      </c>
      <c r="E148" s="10">
        <v>29.8</v>
      </c>
    </row>
    <row r="149" spans="1:5" x14ac:dyDescent="0.4">
      <c r="A149" s="7" t="s">
        <v>5</v>
      </c>
      <c r="B149" s="7" t="s">
        <v>57</v>
      </c>
      <c r="C149" s="4" t="s">
        <v>34</v>
      </c>
      <c r="D149" s="4" t="s">
        <v>63</v>
      </c>
      <c r="E149" s="10">
        <v>273</v>
      </c>
    </row>
    <row r="150" spans="1:5" x14ac:dyDescent="0.4">
      <c r="A150" s="7" t="s">
        <v>5</v>
      </c>
      <c r="B150" s="7" t="s">
        <v>57</v>
      </c>
      <c r="C150" s="4" t="s">
        <v>18</v>
      </c>
      <c r="D150" s="4" t="s">
        <v>63</v>
      </c>
      <c r="E150" s="10">
        <v>273</v>
      </c>
    </row>
    <row r="151" spans="1:5" x14ac:dyDescent="0.4">
      <c r="A151" s="7" t="s">
        <v>5</v>
      </c>
      <c r="B151" s="7" t="s">
        <v>57</v>
      </c>
      <c r="C151" s="4" t="s">
        <v>29</v>
      </c>
      <c r="D151" s="4" t="s">
        <v>63</v>
      </c>
      <c r="E151" s="10">
        <v>25200</v>
      </c>
    </row>
    <row r="152" spans="1:5" x14ac:dyDescent="0.4">
      <c r="A152" s="7" t="s">
        <v>5</v>
      </c>
      <c r="B152" s="7" t="s">
        <v>57</v>
      </c>
      <c r="C152" s="4" t="s">
        <v>30</v>
      </c>
      <c r="D152" s="4" t="s">
        <v>63</v>
      </c>
      <c r="E152" s="10">
        <v>1</v>
      </c>
    </row>
    <row r="153" spans="1:5" x14ac:dyDescent="0.4">
      <c r="A153" s="7" t="s">
        <v>5</v>
      </c>
      <c r="B153" s="7" t="s">
        <v>57</v>
      </c>
      <c r="C153" s="4" t="s">
        <v>31</v>
      </c>
      <c r="D153" s="4" t="s">
        <v>63</v>
      </c>
      <c r="E153" s="10">
        <v>1</v>
      </c>
    </row>
    <row r="154" spans="1:5" x14ac:dyDescent="0.4">
      <c r="A154" s="11" t="s">
        <v>5</v>
      </c>
      <c r="B154" s="11" t="s">
        <v>67</v>
      </c>
      <c r="C154" s="4" t="s">
        <v>16</v>
      </c>
      <c r="D154" s="4" t="s">
        <v>63</v>
      </c>
      <c r="E154" s="10">
        <f>1*0.27</f>
        <v>0.27</v>
      </c>
    </row>
    <row r="155" spans="1:5" x14ac:dyDescent="0.4">
      <c r="A155" s="11" t="s">
        <v>5</v>
      </c>
      <c r="B155" s="11" t="s">
        <v>67</v>
      </c>
      <c r="C155" s="4" t="s">
        <v>36</v>
      </c>
      <c r="D155" s="4" t="s">
        <v>63</v>
      </c>
      <c r="E155" s="10">
        <f t="shared" ref="E155:E164" si="0">1*0.27</f>
        <v>0.27</v>
      </c>
    </row>
    <row r="156" spans="1:5" x14ac:dyDescent="0.4">
      <c r="A156" s="11" t="s">
        <v>5</v>
      </c>
      <c r="B156" s="11" t="s">
        <v>67</v>
      </c>
      <c r="C156" s="4" t="s">
        <v>27</v>
      </c>
      <c r="D156" s="4" t="s">
        <v>63</v>
      </c>
      <c r="E156" s="10">
        <f t="shared" si="0"/>
        <v>0.27</v>
      </c>
    </row>
    <row r="157" spans="1:5" x14ac:dyDescent="0.4">
      <c r="A157" s="11" t="s">
        <v>5</v>
      </c>
      <c r="B157" s="11" t="s">
        <v>67</v>
      </c>
      <c r="C157" s="4" t="s">
        <v>28</v>
      </c>
      <c r="D157" s="4" t="s">
        <v>63</v>
      </c>
      <c r="E157" s="10">
        <f t="shared" si="0"/>
        <v>0.27</v>
      </c>
    </row>
    <row r="158" spans="1:5" x14ac:dyDescent="0.4">
      <c r="A158" s="11" t="s">
        <v>5</v>
      </c>
      <c r="B158" s="11" t="s">
        <v>67</v>
      </c>
      <c r="C158" s="4" t="s">
        <v>33</v>
      </c>
      <c r="D158" s="4" t="s">
        <v>63</v>
      </c>
      <c r="E158" s="10">
        <f t="shared" si="0"/>
        <v>0.27</v>
      </c>
    </row>
    <row r="159" spans="1:5" x14ac:dyDescent="0.4">
      <c r="A159" s="11" t="s">
        <v>5</v>
      </c>
      <c r="B159" s="11" t="s">
        <v>67</v>
      </c>
      <c r="C159" s="4" t="s">
        <v>16</v>
      </c>
      <c r="D159" s="4" t="s">
        <v>63</v>
      </c>
      <c r="E159" s="10">
        <f t="shared" si="0"/>
        <v>0.27</v>
      </c>
    </row>
    <row r="160" spans="1:5" x14ac:dyDescent="0.4">
      <c r="A160" s="11" t="s">
        <v>5</v>
      </c>
      <c r="B160" s="11" t="s">
        <v>67</v>
      </c>
      <c r="C160" s="4" t="s">
        <v>36</v>
      </c>
      <c r="D160" s="4" t="s">
        <v>63</v>
      </c>
      <c r="E160" s="10">
        <f t="shared" si="0"/>
        <v>0.27</v>
      </c>
    </row>
    <row r="161" spans="1:5" x14ac:dyDescent="0.4">
      <c r="A161" s="11" t="s">
        <v>5</v>
      </c>
      <c r="B161" s="11" t="s">
        <v>67</v>
      </c>
      <c r="C161" s="4" t="s">
        <v>27</v>
      </c>
      <c r="D161" s="4" t="s">
        <v>63</v>
      </c>
      <c r="E161" s="10">
        <f t="shared" si="0"/>
        <v>0.27</v>
      </c>
    </row>
    <row r="162" spans="1:5" x14ac:dyDescent="0.4">
      <c r="A162" s="11" t="s">
        <v>5</v>
      </c>
      <c r="B162" s="11" t="s">
        <v>67</v>
      </c>
      <c r="C162" s="4" t="s">
        <v>28</v>
      </c>
      <c r="D162" s="4" t="s">
        <v>63</v>
      </c>
      <c r="E162" s="10">
        <f t="shared" si="0"/>
        <v>0.27</v>
      </c>
    </row>
    <row r="163" spans="1:5" x14ac:dyDescent="0.4">
      <c r="A163" s="11" t="s">
        <v>5</v>
      </c>
      <c r="B163" s="11" t="s">
        <v>67</v>
      </c>
      <c r="C163" s="4" t="s">
        <v>33</v>
      </c>
      <c r="D163" s="4" t="s">
        <v>63</v>
      </c>
      <c r="E163" s="10">
        <f t="shared" si="0"/>
        <v>0.27</v>
      </c>
    </row>
    <row r="164" spans="1:5" x14ac:dyDescent="0.4">
      <c r="A164" s="11" t="s">
        <v>5</v>
      </c>
      <c r="B164" s="11" t="s">
        <v>67</v>
      </c>
      <c r="C164" s="10" t="s">
        <v>200</v>
      </c>
      <c r="D164" s="4" t="s">
        <v>63</v>
      </c>
      <c r="E164" s="10">
        <f t="shared" si="0"/>
        <v>0.27</v>
      </c>
    </row>
    <row r="165" spans="1:5" x14ac:dyDescent="0.4">
      <c r="A165" s="11" t="s">
        <v>5</v>
      </c>
      <c r="B165" s="11" t="s">
        <v>67</v>
      </c>
      <c r="C165" s="4" t="s">
        <v>17</v>
      </c>
      <c r="D165" s="4" t="s">
        <v>63</v>
      </c>
      <c r="E165" s="10">
        <f>29.8*0.27</f>
        <v>8.0460000000000012</v>
      </c>
    </row>
    <row r="166" spans="1:5" x14ac:dyDescent="0.4">
      <c r="A166" s="11" t="s">
        <v>5</v>
      </c>
      <c r="B166" s="11" t="s">
        <v>67</v>
      </c>
      <c r="C166" s="4" t="s">
        <v>19</v>
      </c>
      <c r="D166" s="4" t="s">
        <v>63</v>
      </c>
      <c r="E166" s="10">
        <f t="shared" ref="E166:E175" si="1">29.8*0.27</f>
        <v>8.0460000000000012</v>
      </c>
    </row>
    <row r="167" spans="1:5" x14ac:dyDescent="0.4">
      <c r="A167" s="11" t="s">
        <v>5</v>
      </c>
      <c r="B167" s="11" t="s">
        <v>67</v>
      </c>
      <c r="C167" s="4" t="s">
        <v>20</v>
      </c>
      <c r="D167" s="4" t="s">
        <v>63</v>
      </c>
      <c r="E167" s="10">
        <f t="shared" si="1"/>
        <v>8.0460000000000012</v>
      </c>
    </row>
    <row r="168" spans="1:5" x14ac:dyDescent="0.4">
      <c r="A168" s="11" t="s">
        <v>5</v>
      </c>
      <c r="B168" s="11" t="s">
        <v>67</v>
      </c>
      <c r="C168" s="4" t="s">
        <v>21</v>
      </c>
      <c r="D168" s="4" t="s">
        <v>63</v>
      </c>
      <c r="E168" s="10">
        <f t="shared" si="1"/>
        <v>8.0460000000000012</v>
      </c>
    </row>
    <row r="169" spans="1:5" x14ac:dyDescent="0.4">
      <c r="A169" s="11" t="s">
        <v>5</v>
      </c>
      <c r="B169" s="11" t="s">
        <v>67</v>
      </c>
      <c r="C169" s="4" t="s">
        <v>22</v>
      </c>
      <c r="D169" s="4" t="s">
        <v>63</v>
      </c>
      <c r="E169" s="10">
        <f t="shared" si="1"/>
        <v>8.0460000000000012</v>
      </c>
    </row>
    <row r="170" spans="1:5" x14ac:dyDescent="0.4">
      <c r="A170" s="11" t="s">
        <v>5</v>
      </c>
      <c r="B170" s="11" t="s">
        <v>67</v>
      </c>
      <c r="C170" s="4" t="s">
        <v>23</v>
      </c>
      <c r="D170" s="4" t="s">
        <v>63</v>
      </c>
      <c r="E170" s="10">
        <f t="shared" si="1"/>
        <v>8.0460000000000012</v>
      </c>
    </row>
    <row r="171" spans="1:5" x14ac:dyDescent="0.4">
      <c r="A171" s="11" t="s">
        <v>5</v>
      </c>
      <c r="B171" s="11" t="s">
        <v>67</v>
      </c>
      <c r="C171" s="4" t="s">
        <v>24</v>
      </c>
      <c r="D171" s="4" t="s">
        <v>63</v>
      </c>
      <c r="E171" s="10">
        <f t="shared" si="1"/>
        <v>8.0460000000000012</v>
      </c>
    </row>
    <row r="172" spans="1:5" x14ac:dyDescent="0.4">
      <c r="A172" s="11" t="s">
        <v>5</v>
      </c>
      <c r="B172" s="11" t="s">
        <v>67</v>
      </c>
      <c r="C172" s="4" t="s">
        <v>25</v>
      </c>
      <c r="D172" s="4" t="s">
        <v>63</v>
      </c>
      <c r="E172" s="10">
        <f t="shared" si="1"/>
        <v>8.0460000000000012</v>
      </c>
    </row>
    <row r="173" spans="1:5" x14ac:dyDescent="0.4">
      <c r="A173" s="11" t="s">
        <v>5</v>
      </c>
      <c r="B173" s="11" t="s">
        <v>67</v>
      </c>
      <c r="C173" s="4" t="s">
        <v>26</v>
      </c>
      <c r="D173" s="4" t="s">
        <v>63</v>
      </c>
      <c r="E173" s="10">
        <f t="shared" si="1"/>
        <v>8.0460000000000012</v>
      </c>
    </row>
    <row r="174" spans="1:5" x14ac:dyDescent="0.4">
      <c r="A174" s="11" t="s">
        <v>5</v>
      </c>
      <c r="B174" s="11" t="s">
        <v>67</v>
      </c>
      <c r="C174" s="4" t="s">
        <v>32</v>
      </c>
      <c r="D174" s="4" t="s">
        <v>63</v>
      </c>
      <c r="E174" s="10">
        <f t="shared" si="1"/>
        <v>8.0460000000000012</v>
      </c>
    </row>
    <row r="175" spans="1:5" x14ac:dyDescent="0.4">
      <c r="A175" s="11" t="s">
        <v>5</v>
      </c>
      <c r="B175" s="11" t="s">
        <v>67</v>
      </c>
      <c r="C175" s="4" t="s">
        <v>35</v>
      </c>
      <c r="D175" s="4" t="s">
        <v>63</v>
      </c>
      <c r="E175" s="10">
        <f t="shared" si="1"/>
        <v>8.0460000000000012</v>
      </c>
    </row>
    <row r="176" spans="1:5" x14ac:dyDescent="0.4">
      <c r="A176" s="11" t="s">
        <v>5</v>
      </c>
      <c r="B176" s="11" t="s">
        <v>67</v>
      </c>
      <c r="C176" s="4" t="s">
        <v>34</v>
      </c>
      <c r="D176" s="4" t="s">
        <v>63</v>
      </c>
      <c r="E176" s="10">
        <f>273*0.27</f>
        <v>73.710000000000008</v>
      </c>
    </row>
    <row r="177" spans="1:5" x14ac:dyDescent="0.4">
      <c r="A177" s="11" t="s">
        <v>5</v>
      </c>
      <c r="B177" s="11" t="s">
        <v>67</v>
      </c>
      <c r="C177" s="4" t="s">
        <v>18</v>
      </c>
      <c r="D177" s="4" t="s">
        <v>63</v>
      </c>
      <c r="E177" s="10">
        <f>273*0.27</f>
        <v>73.710000000000008</v>
      </c>
    </row>
    <row r="178" spans="1:5" x14ac:dyDescent="0.4">
      <c r="A178" s="11" t="s">
        <v>5</v>
      </c>
      <c r="B178" s="11" t="s">
        <v>67</v>
      </c>
      <c r="C178" s="4" t="s">
        <v>29</v>
      </c>
      <c r="D178" s="4" t="s">
        <v>63</v>
      </c>
      <c r="E178" s="10">
        <f>25200*0.27</f>
        <v>6804</v>
      </c>
    </row>
    <row r="179" spans="1:5" x14ac:dyDescent="0.4">
      <c r="A179" s="11" t="s">
        <v>5</v>
      </c>
      <c r="B179" s="11" t="s">
        <v>67</v>
      </c>
      <c r="C179" s="4" t="s">
        <v>30</v>
      </c>
      <c r="D179" s="4" t="s">
        <v>63</v>
      </c>
      <c r="E179" s="10">
        <f>1*0.27</f>
        <v>0.27</v>
      </c>
    </row>
    <row r="180" spans="1:5" x14ac:dyDescent="0.4">
      <c r="A180" s="11" t="s">
        <v>5</v>
      </c>
      <c r="B180" s="11" t="s">
        <v>67</v>
      </c>
      <c r="C180" s="4" t="s">
        <v>31</v>
      </c>
      <c r="D180" s="4" t="s">
        <v>63</v>
      </c>
      <c r="E180" s="10">
        <f t="shared" ref="E180" si="2">1*0.27</f>
        <v>0.27</v>
      </c>
    </row>
    <row r="181" spans="1:5" x14ac:dyDescent="0.4">
      <c r="A181" s="7" t="s">
        <v>4</v>
      </c>
      <c r="B181" s="11" t="s">
        <v>67</v>
      </c>
      <c r="C181" s="10" t="s">
        <v>176</v>
      </c>
      <c r="D181" s="4" t="s">
        <v>65</v>
      </c>
      <c r="E181" s="10">
        <f>(1*0.95)*1000000</f>
        <v>950000</v>
      </c>
    </row>
    <row r="182" spans="1:5" x14ac:dyDescent="0.4">
      <c r="A182" s="7" t="s">
        <v>4</v>
      </c>
      <c r="B182" s="11" t="s">
        <v>67</v>
      </c>
      <c r="C182" s="10" t="s">
        <v>177</v>
      </c>
      <c r="D182" s="4" t="s">
        <v>65</v>
      </c>
      <c r="E182" s="10">
        <f t="shared" ref="E182:E202" si="3">(1*0.88)*1000000</f>
        <v>880000</v>
      </c>
    </row>
    <row r="183" spans="1:5" x14ac:dyDescent="0.4">
      <c r="A183" s="7" t="s">
        <v>4</v>
      </c>
      <c r="B183" s="11" t="s">
        <v>67</v>
      </c>
      <c r="C183" s="10" t="s">
        <v>178</v>
      </c>
      <c r="D183" s="4" t="s">
        <v>65</v>
      </c>
      <c r="E183" s="10">
        <f t="shared" si="3"/>
        <v>880000</v>
      </c>
    </row>
    <row r="184" spans="1:5" x14ac:dyDescent="0.4">
      <c r="A184" s="7" t="s">
        <v>4</v>
      </c>
      <c r="B184" s="11" t="s">
        <v>67</v>
      </c>
      <c r="C184" s="10" t="s">
        <v>179</v>
      </c>
      <c r="D184" s="4" t="s">
        <v>65</v>
      </c>
      <c r="E184" s="10">
        <f t="shared" si="3"/>
        <v>880000</v>
      </c>
    </row>
    <row r="185" spans="1:5" x14ac:dyDescent="0.4">
      <c r="A185" s="7" t="s">
        <v>4</v>
      </c>
      <c r="B185" s="11" t="s">
        <v>67</v>
      </c>
      <c r="C185" s="10" t="s">
        <v>180</v>
      </c>
      <c r="D185" s="4" t="s">
        <v>65</v>
      </c>
      <c r="E185" s="10">
        <f t="shared" si="3"/>
        <v>880000</v>
      </c>
    </row>
    <row r="186" spans="1:5" x14ac:dyDescent="0.4">
      <c r="A186" s="7" t="s">
        <v>4</v>
      </c>
      <c r="B186" s="11" t="s">
        <v>67</v>
      </c>
      <c r="C186" s="10" t="s">
        <v>181</v>
      </c>
      <c r="D186" s="4" t="s">
        <v>65</v>
      </c>
      <c r="E186" s="10">
        <f t="shared" si="3"/>
        <v>880000</v>
      </c>
    </row>
    <row r="187" spans="1:5" x14ac:dyDescent="0.4">
      <c r="A187" s="7" t="s">
        <v>4</v>
      </c>
      <c r="B187" s="11" t="s">
        <v>67</v>
      </c>
      <c r="C187" s="10" t="s">
        <v>182</v>
      </c>
      <c r="D187" s="4" t="s">
        <v>65</v>
      </c>
      <c r="E187" s="10">
        <f t="shared" si="3"/>
        <v>880000</v>
      </c>
    </row>
    <row r="188" spans="1:5" x14ac:dyDescent="0.4">
      <c r="A188" s="7" t="s">
        <v>4</v>
      </c>
      <c r="B188" s="11" t="s">
        <v>67</v>
      </c>
      <c r="C188" s="10" t="s">
        <v>183</v>
      </c>
      <c r="D188" s="4" t="s">
        <v>65</v>
      </c>
      <c r="E188" s="10">
        <f t="shared" si="3"/>
        <v>880000</v>
      </c>
    </row>
    <row r="189" spans="1:5" x14ac:dyDescent="0.4">
      <c r="A189" s="7" t="s">
        <v>4</v>
      </c>
      <c r="B189" s="11" t="s">
        <v>67</v>
      </c>
      <c r="C189" s="10" t="s">
        <v>184</v>
      </c>
      <c r="D189" s="4" t="s">
        <v>65</v>
      </c>
      <c r="E189" s="10">
        <f t="shared" si="3"/>
        <v>880000</v>
      </c>
    </row>
    <row r="190" spans="1:5" x14ac:dyDescent="0.4">
      <c r="A190" s="7" t="s">
        <v>4</v>
      </c>
      <c r="B190" s="11" t="s">
        <v>67</v>
      </c>
      <c r="C190" s="10" t="s">
        <v>185</v>
      </c>
      <c r="D190" s="4" t="s">
        <v>65</v>
      </c>
      <c r="E190" s="10">
        <f t="shared" si="3"/>
        <v>880000</v>
      </c>
    </row>
    <row r="191" spans="1:5" x14ac:dyDescent="0.4">
      <c r="A191" s="7" t="s">
        <v>4</v>
      </c>
      <c r="B191" s="11" t="s">
        <v>67</v>
      </c>
      <c r="C191" s="10" t="s">
        <v>186</v>
      </c>
      <c r="D191" s="4" t="s">
        <v>65</v>
      </c>
      <c r="E191" s="10">
        <f t="shared" si="3"/>
        <v>880000</v>
      </c>
    </row>
    <row r="192" spans="1:5" x14ac:dyDescent="0.4">
      <c r="A192" s="7" t="s">
        <v>4</v>
      </c>
      <c r="B192" s="11" t="s">
        <v>67</v>
      </c>
      <c r="C192" s="10" t="s">
        <v>187</v>
      </c>
      <c r="D192" s="4" t="s">
        <v>65</v>
      </c>
      <c r="E192" s="10">
        <f t="shared" si="3"/>
        <v>880000</v>
      </c>
    </row>
    <row r="193" spans="1:5" x14ac:dyDescent="0.4">
      <c r="A193" s="7" t="s">
        <v>4</v>
      </c>
      <c r="B193" s="11" t="s">
        <v>67</v>
      </c>
      <c r="C193" s="10" t="s">
        <v>188</v>
      </c>
      <c r="D193" s="4" t="s">
        <v>65</v>
      </c>
      <c r="E193" s="10">
        <f t="shared" si="3"/>
        <v>880000</v>
      </c>
    </row>
    <row r="194" spans="1:5" x14ac:dyDescent="0.4">
      <c r="A194" s="7" t="s">
        <v>4</v>
      </c>
      <c r="B194" s="11" t="s">
        <v>67</v>
      </c>
      <c r="C194" s="10" t="s">
        <v>189</v>
      </c>
      <c r="D194" s="4" t="s">
        <v>65</v>
      </c>
      <c r="E194" s="10">
        <f t="shared" si="3"/>
        <v>880000</v>
      </c>
    </row>
    <row r="195" spans="1:5" x14ac:dyDescent="0.4">
      <c r="A195" s="7" t="s">
        <v>4</v>
      </c>
      <c r="B195" s="11" t="s">
        <v>67</v>
      </c>
      <c r="C195" s="10" t="s">
        <v>190</v>
      </c>
      <c r="D195" s="4" t="s">
        <v>65</v>
      </c>
      <c r="E195" s="10">
        <f t="shared" si="3"/>
        <v>880000</v>
      </c>
    </row>
    <row r="196" spans="1:5" x14ac:dyDescent="0.4">
      <c r="A196" s="7" t="s">
        <v>4</v>
      </c>
      <c r="B196" s="11" t="s">
        <v>67</v>
      </c>
      <c r="C196" s="10" t="s">
        <v>191</v>
      </c>
      <c r="D196" s="4" t="s">
        <v>65</v>
      </c>
      <c r="E196" s="10">
        <f t="shared" si="3"/>
        <v>880000</v>
      </c>
    </row>
    <row r="197" spans="1:5" x14ac:dyDescent="0.4">
      <c r="A197" s="7" t="s">
        <v>4</v>
      </c>
      <c r="B197" s="11" t="s">
        <v>67</v>
      </c>
      <c r="C197" s="10" t="s">
        <v>192</v>
      </c>
      <c r="D197" s="4" t="s">
        <v>65</v>
      </c>
      <c r="E197" s="10">
        <f t="shared" si="3"/>
        <v>880000</v>
      </c>
    </row>
    <row r="198" spans="1:5" x14ac:dyDescent="0.4">
      <c r="A198" s="7" t="s">
        <v>4</v>
      </c>
      <c r="B198" s="11" t="s">
        <v>67</v>
      </c>
      <c r="C198" s="10" t="s">
        <v>193</v>
      </c>
      <c r="D198" s="4" t="s">
        <v>65</v>
      </c>
      <c r="E198" s="10">
        <f t="shared" si="3"/>
        <v>880000</v>
      </c>
    </row>
    <row r="199" spans="1:5" x14ac:dyDescent="0.4">
      <c r="A199" s="7" t="s">
        <v>4</v>
      </c>
      <c r="B199" s="11" t="s">
        <v>67</v>
      </c>
      <c r="C199" s="10" t="s">
        <v>194</v>
      </c>
      <c r="D199" s="4" t="s">
        <v>65</v>
      </c>
      <c r="E199" s="10">
        <f t="shared" si="3"/>
        <v>880000</v>
      </c>
    </row>
    <row r="200" spans="1:5" x14ac:dyDescent="0.4">
      <c r="A200" s="7" t="s">
        <v>4</v>
      </c>
      <c r="B200" s="11" t="s">
        <v>67</v>
      </c>
      <c r="C200" s="10" t="s">
        <v>195</v>
      </c>
      <c r="D200" s="4" t="s">
        <v>65</v>
      </c>
      <c r="E200" s="10">
        <f t="shared" si="3"/>
        <v>880000</v>
      </c>
    </row>
    <row r="201" spans="1:5" x14ac:dyDescent="0.4">
      <c r="A201" s="7" t="s">
        <v>4</v>
      </c>
      <c r="B201" s="11" t="s">
        <v>67</v>
      </c>
      <c r="C201" s="10" t="s">
        <v>196</v>
      </c>
      <c r="D201" s="4" t="s">
        <v>65</v>
      </c>
      <c r="E201" s="10">
        <f t="shared" si="3"/>
        <v>880000</v>
      </c>
    </row>
    <row r="202" spans="1:5" x14ac:dyDescent="0.4">
      <c r="A202" s="7" t="s">
        <v>4</v>
      </c>
      <c r="B202" s="11" t="s">
        <v>67</v>
      </c>
      <c r="C202" s="10" t="s">
        <v>197</v>
      </c>
      <c r="D202" s="4" t="s">
        <v>65</v>
      </c>
      <c r="E202" s="10">
        <f t="shared" si="3"/>
        <v>880000</v>
      </c>
    </row>
    <row r="203" spans="1:5" x14ac:dyDescent="0.4">
      <c r="A203" s="7" t="s">
        <v>4</v>
      </c>
      <c r="B203" s="11" t="s">
        <v>67</v>
      </c>
      <c r="C203" s="10" t="s">
        <v>198</v>
      </c>
      <c r="D203" s="4" t="s">
        <v>65</v>
      </c>
      <c r="E203" s="10">
        <f>(1*0.17)*1000000</f>
        <v>170000</v>
      </c>
    </row>
    <row r="204" spans="1:5" x14ac:dyDescent="0.4">
      <c r="A204" s="7" t="s">
        <v>4</v>
      </c>
      <c r="B204" s="11" t="s">
        <v>67</v>
      </c>
      <c r="C204" s="10" t="s">
        <v>69</v>
      </c>
      <c r="D204" s="4" t="s">
        <v>65</v>
      </c>
      <c r="E204" s="10">
        <f t="shared" ref="E204:E206" si="4">(1*0.4)*1000000</f>
        <v>400000</v>
      </c>
    </row>
    <row r="205" spans="1:5" x14ac:dyDescent="0.4">
      <c r="A205" s="7" t="s">
        <v>4</v>
      </c>
      <c r="B205" s="11" t="s">
        <v>67</v>
      </c>
      <c r="C205" s="10" t="s">
        <v>70</v>
      </c>
      <c r="D205" s="4" t="s">
        <v>65</v>
      </c>
      <c r="E205" s="10">
        <f>(1*0.4)*1000000</f>
        <v>400000</v>
      </c>
    </row>
    <row r="206" spans="1:5" x14ac:dyDescent="0.4">
      <c r="A206" s="7" t="s">
        <v>4</v>
      </c>
      <c r="B206" s="11" t="s">
        <v>67</v>
      </c>
      <c r="C206" s="10" t="s">
        <v>71</v>
      </c>
      <c r="D206" s="4" t="s">
        <v>65</v>
      </c>
      <c r="E206" s="10">
        <f t="shared" si="4"/>
        <v>400000</v>
      </c>
    </row>
    <row r="207" spans="1:5" x14ac:dyDescent="0.4">
      <c r="A207" s="11" t="s">
        <v>6</v>
      </c>
      <c r="B207" s="11" t="s">
        <v>59</v>
      </c>
      <c r="C207" s="1" t="s">
        <v>199</v>
      </c>
      <c r="D207" s="1" t="s">
        <v>66</v>
      </c>
      <c r="E207" s="10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2"/>
  <sheetViews>
    <sheetView topLeftCell="A97" workbookViewId="0">
      <selection activeCell="C14" sqref="C14"/>
    </sheetView>
  </sheetViews>
  <sheetFormatPr baseColWidth="10" defaultColWidth="9.23046875" defaultRowHeight="14.6" x14ac:dyDescent="0.4"/>
  <cols>
    <col min="1" max="1" width="24.69140625" customWidth="1"/>
    <col min="2" max="2" width="17" style="10" customWidth="1"/>
    <col min="3" max="3" width="47.84375" customWidth="1"/>
    <col min="4" max="4" width="9" style="10" customWidth="1"/>
    <col min="5" max="5" width="13.23046875" customWidth="1"/>
  </cols>
  <sheetData>
    <row r="1" spans="1:5" ht="37.950000000000003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8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s="10" customFormat="1" x14ac:dyDescent="0.4">
      <c r="A26" s="7" t="s">
        <v>5</v>
      </c>
      <c r="B26" s="7" t="s">
        <v>57</v>
      </c>
      <c r="C26" s="4" t="s">
        <v>16</v>
      </c>
      <c r="D26" s="4" t="s">
        <v>63</v>
      </c>
      <c r="E26" s="10">
        <v>1</v>
      </c>
    </row>
    <row r="27" spans="1:5" s="10" customFormat="1" x14ac:dyDescent="0.4">
      <c r="A27" s="7" t="s">
        <v>5</v>
      </c>
      <c r="B27" s="7" t="s">
        <v>57</v>
      </c>
      <c r="C27" s="4" t="s">
        <v>36</v>
      </c>
      <c r="D27" s="4" t="s">
        <v>63</v>
      </c>
      <c r="E27" s="10">
        <v>1</v>
      </c>
    </row>
    <row r="28" spans="1:5" s="10" customFormat="1" x14ac:dyDescent="0.4">
      <c r="A28" s="7" t="s">
        <v>5</v>
      </c>
      <c r="B28" s="7" t="s">
        <v>57</v>
      </c>
      <c r="C28" s="4" t="s">
        <v>27</v>
      </c>
      <c r="D28" s="4" t="s">
        <v>63</v>
      </c>
      <c r="E28" s="10">
        <v>1</v>
      </c>
    </row>
    <row r="29" spans="1:5" s="10" customFormat="1" x14ac:dyDescent="0.4">
      <c r="A29" s="7" t="s">
        <v>5</v>
      </c>
      <c r="B29" s="7" t="s">
        <v>57</v>
      </c>
      <c r="C29" s="4" t="s">
        <v>28</v>
      </c>
      <c r="D29" s="4" t="s">
        <v>63</v>
      </c>
      <c r="E29" s="10">
        <v>1</v>
      </c>
    </row>
    <row r="30" spans="1:5" s="10" customFormat="1" x14ac:dyDescent="0.4">
      <c r="A30" s="7" t="s">
        <v>5</v>
      </c>
      <c r="B30" s="7" t="s">
        <v>57</v>
      </c>
      <c r="C30" s="4" t="s">
        <v>33</v>
      </c>
      <c r="D30" s="4" t="s">
        <v>63</v>
      </c>
      <c r="E30" s="10">
        <v>1</v>
      </c>
    </row>
    <row r="31" spans="1:5" x14ac:dyDescent="0.4">
      <c r="A31" s="7" t="s">
        <v>5</v>
      </c>
      <c r="B31" s="7" t="s">
        <v>57</v>
      </c>
      <c r="C31" s="4" t="s">
        <v>17</v>
      </c>
      <c r="D31" s="4" t="s">
        <v>63</v>
      </c>
      <c r="E31">
        <v>29.8</v>
      </c>
    </row>
    <row r="32" spans="1:5" x14ac:dyDescent="0.4">
      <c r="A32" s="7" t="s">
        <v>5</v>
      </c>
      <c r="B32" s="7" t="s">
        <v>57</v>
      </c>
      <c r="C32" s="4" t="s">
        <v>19</v>
      </c>
      <c r="D32" s="4" t="s">
        <v>63</v>
      </c>
      <c r="E32" s="8">
        <v>29.8</v>
      </c>
    </row>
    <row r="33" spans="1:5" x14ac:dyDescent="0.4">
      <c r="A33" s="7" t="s">
        <v>5</v>
      </c>
      <c r="B33" s="7" t="s">
        <v>57</v>
      </c>
      <c r="C33" s="4" t="s">
        <v>20</v>
      </c>
      <c r="D33" s="4" t="s">
        <v>63</v>
      </c>
      <c r="E33" s="8">
        <v>29.8</v>
      </c>
    </row>
    <row r="34" spans="1:5" x14ac:dyDescent="0.4">
      <c r="A34" s="7" t="s">
        <v>5</v>
      </c>
      <c r="B34" s="7" t="s">
        <v>57</v>
      </c>
      <c r="C34" s="4" t="s">
        <v>21</v>
      </c>
      <c r="D34" s="4" t="s">
        <v>63</v>
      </c>
      <c r="E34" s="8">
        <v>29.8</v>
      </c>
    </row>
    <row r="35" spans="1:5" x14ac:dyDescent="0.4">
      <c r="A35" s="7" t="s">
        <v>5</v>
      </c>
      <c r="B35" s="7" t="s">
        <v>57</v>
      </c>
      <c r="C35" s="4" t="s">
        <v>22</v>
      </c>
      <c r="D35" s="4" t="s">
        <v>63</v>
      </c>
      <c r="E35" s="8">
        <v>29.8</v>
      </c>
    </row>
    <row r="36" spans="1:5" x14ac:dyDescent="0.4">
      <c r="A36" s="7" t="s">
        <v>5</v>
      </c>
      <c r="B36" s="7" t="s">
        <v>57</v>
      </c>
      <c r="C36" s="4" t="s">
        <v>23</v>
      </c>
      <c r="D36" s="4" t="s">
        <v>63</v>
      </c>
      <c r="E36" s="8">
        <v>29.8</v>
      </c>
    </row>
    <row r="37" spans="1:5" x14ac:dyDescent="0.4">
      <c r="A37" s="7" t="s">
        <v>5</v>
      </c>
      <c r="B37" s="7" t="s">
        <v>57</v>
      </c>
      <c r="C37" s="4" t="s">
        <v>24</v>
      </c>
      <c r="D37" s="4" t="s">
        <v>63</v>
      </c>
      <c r="E37" s="8">
        <v>29.8</v>
      </c>
    </row>
    <row r="38" spans="1:5" x14ac:dyDescent="0.4">
      <c r="A38" s="7" t="s">
        <v>5</v>
      </c>
      <c r="B38" s="7" t="s">
        <v>57</v>
      </c>
      <c r="C38" s="4" t="s">
        <v>25</v>
      </c>
      <c r="D38" s="4" t="s">
        <v>63</v>
      </c>
      <c r="E38" s="8">
        <v>29.8</v>
      </c>
    </row>
    <row r="39" spans="1:5" x14ac:dyDescent="0.4">
      <c r="A39" s="7" t="s">
        <v>5</v>
      </c>
      <c r="B39" s="7" t="s">
        <v>57</v>
      </c>
      <c r="C39" s="4" t="s">
        <v>26</v>
      </c>
      <c r="D39" s="4" t="s">
        <v>63</v>
      </c>
      <c r="E39" s="8">
        <v>29.8</v>
      </c>
    </row>
    <row r="40" spans="1:5" x14ac:dyDescent="0.4">
      <c r="A40" s="7" t="s">
        <v>5</v>
      </c>
      <c r="B40" s="7" t="s">
        <v>57</v>
      </c>
      <c r="C40" s="4" t="s">
        <v>32</v>
      </c>
      <c r="D40" s="4" t="s">
        <v>63</v>
      </c>
      <c r="E40" s="8">
        <v>29.8</v>
      </c>
    </row>
    <row r="41" spans="1:5" x14ac:dyDescent="0.4">
      <c r="A41" s="7" t="s">
        <v>5</v>
      </c>
      <c r="B41" s="7" t="s">
        <v>57</v>
      </c>
      <c r="C41" s="4" t="s">
        <v>35</v>
      </c>
      <c r="D41" s="4" t="s">
        <v>63</v>
      </c>
      <c r="E41" s="8">
        <v>29.8</v>
      </c>
    </row>
    <row r="42" spans="1:5" x14ac:dyDescent="0.4">
      <c r="A42" s="7" t="s">
        <v>5</v>
      </c>
      <c r="B42" s="7" t="s">
        <v>57</v>
      </c>
      <c r="C42" s="4" t="s">
        <v>34</v>
      </c>
      <c r="D42" s="4" t="s">
        <v>63</v>
      </c>
      <c r="E42">
        <v>273</v>
      </c>
    </row>
    <row r="43" spans="1:5" x14ac:dyDescent="0.4">
      <c r="A43" s="7" t="s">
        <v>5</v>
      </c>
      <c r="B43" s="7" t="s">
        <v>57</v>
      </c>
      <c r="C43" s="4" t="s">
        <v>18</v>
      </c>
      <c r="D43" s="4" t="s">
        <v>63</v>
      </c>
      <c r="E43" s="8">
        <v>273</v>
      </c>
    </row>
    <row r="44" spans="1:5" x14ac:dyDescent="0.4">
      <c r="A44" s="7" t="s">
        <v>5</v>
      </c>
      <c r="B44" s="7" t="s">
        <v>57</v>
      </c>
      <c r="C44" s="4" t="s">
        <v>29</v>
      </c>
      <c r="D44" s="4" t="s">
        <v>63</v>
      </c>
      <c r="E44">
        <v>25200</v>
      </c>
    </row>
    <row r="45" spans="1:5" x14ac:dyDescent="0.4">
      <c r="A45" s="7" t="s">
        <v>5</v>
      </c>
      <c r="B45" s="7" t="s">
        <v>57</v>
      </c>
      <c r="C45" s="4" t="s">
        <v>30</v>
      </c>
      <c r="D45" s="4" t="s">
        <v>63</v>
      </c>
      <c r="E45">
        <v>1</v>
      </c>
    </row>
    <row r="46" spans="1:5" x14ac:dyDescent="0.4">
      <c r="A46" s="7" t="s">
        <v>5</v>
      </c>
      <c r="B46" s="7" t="s">
        <v>57</v>
      </c>
      <c r="C46" s="4" t="s">
        <v>31</v>
      </c>
      <c r="D46" s="4" t="s">
        <v>63</v>
      </c>
      <c r="E46">
        <v>1</v>
      </c>
    </row>
    <row r="47" spans="1:5" x14ac:dyDescent="0.4">
      <c r="A47" s="11" t="s">
        <v>5</v>
      </c>
      <c r="B47" s="11" t="s">
        <v>67</v>
      </c>
      <c r="C47" s="4" t="s">
        <v>16</v>
      </c>
      <c r="D47" s="4" t="s">
        <v>63</v>
      </c>
      <c r="E47" s="10">
        <f>1*0.27</f>
        <v>0.27</v>
      </c>
    </row>
    <row r="48" spans="1:5" x14ac:dyDescent="0.4">
      <c r="A48" s="11" t="s">
        <v>5</v>
      </c>
      <c r="B48" s="11" t="s">
        <v>67</v>
      </c>
      <c r="C48" s="4" t="s">
        <v>36</v>
      </c>
      <c r="D48" s="4" t="s">
        <v>63</v>
      </c>
      <c r="E48" s="10">
        <f t="shared" ref="E48:E56" si="0">1*0.27</f>
        <v>0.27</v>
      </c>
    </row>
    <row r="49" spans="1:5" x14ac:dyDescent="0.4">
      <c r="A49" s="11" t="s">
        <v>5</v>
      </c>
      <c r="B49" s="11" t="s">
        <v>67</v>
      </c>
      <c r="C49" s="4" t="s">
        <v>27</v>
      </c>
      <c r="D49" s="4" t="s">
        <v>63</v>
      </c>
      <c r="E49" s="10">
        <f t="shared" si="0"/>
        <v>0.27</v>
      </c>
    </row>
    <row r="50" spans="1:5" x14ac:dyDescent="0.4">
      <c r="A50" s="11" t="s">
        <v>5</v>
      </c>
      <c r="B50" s="11" t="s">
        <v>67</v>
      </c>
      <c r="C50" s="4" t="s">
        <v>28</v>
      </c>
      <c r="D50" s="4" t="s">
        <v>63</v>
      </c>
      <c r="E50" s="10">
        <f t="shared" si="0"/>
        <v>0.27</v>
      </c>
    </row>
    <row r="51" spans="1:5" x14ac:dyDescent="0.4">
      <c r="A51" s="11" t="s">
        <v>5</v>
      </c>
      <c r="B51" s="11" t="s">
        <v>67</v>
      </c>
      <c r="C51" s="4" t="s">
        <v>33</v>
      </c>
      <c r="D51" s="4" t="s">
        <v>63</v>
      </c>
      <c r="E51" s="10">
        <f t="shared" si="0"/>
        <v>0.27</v>
      </c>
    </row>
    <row r="52" spans="1:5" x14ac:dyDescent="0.4">
      <c r="A52" s="11" t="s">
        <v>5</v>
      </c>
      <c r="B52" s="11" t="s">
        <v>67</v>
      </c>
      <c r="C52" s="4" t="s">
        <v>16</v>
      </c>
      <c r="D52" s="4" t="s">
        <v>63</v>
      </c>
      <c r="E52" s="10">
        <f t="shared" si="0"/>
        <v>0.27</v>
      </c>
    </row>
    <row r="53" spans="1:5" x14ac:dyDescent="0.4">
      <c r="A53" s="11" t="s">
        <v>5</v>
      </c>
      <c r="B53" s="11" t="s">
        <v>67</v>
      </c>
      <c r="C53" s="4" t="s">
        <v>36</v>
      </c>
      <c r="D53" s="4" t="s">
        <v>63</v>
      </c>
      <c r="E53" s="10">
        <f t="shared" si="0"/>
        <v>0.27</v>
      </c>
    </row>
    <row r="54" spans="1:5" x14ac:dyDescent="0.4">
      <c r="A54" s="11" t="s">
        <v>5</v>
      </c>
      <c r="B54" s="11" t="s">
        <v>67</v>
      </c>
      <c r="C54" s="4" t="s">
        <v>27</v>
      </c>
      <c r="D54" s="4" t="s">
        <v>63</v>
      </c>
      <c r="E54" s="10">
        <f t="shared" si="0"/>
        <v>0.27</v>
      </c>
    </row>
    <row r="55" spans="1:5" x14ac:dyDescent="0.4">
      <c r="A55" s="11" t="s">
        <v>5</v>
      </c>
      <c r="B55" s="11" t="s">
        <v>67</v>
      </c>
      <c r="C55" s="4" t="s">
        <v>28</v>
      </c>
      <c r="D55" s="4" t="s">
        <v>63</v>
      </c>
      <c r="E55" s="10">
        <f t="shared" si="0"/>
        <v>0.27</v>
      </c>
    </row>
    <row r="56" spans="1:5" x14ac:dyDescent="0.4">
      <c r="A56" s="11" t="s">
        <v>5</v>
      </c>
      <c r="B56" s="11" t="s">
        <v>67</v>
      </c>
      <c r="C56" s="4" t="s">
        <v>33</v>
      </c>
      <c r="D56" s="4" t="s">
        <v>63</v>
      </c>
      <c r="E56" s="10">
        <f t="shared" si="0"/>
        <v>0.27</v>
      </c>
    </row>
    <row r="57" spans="1:5" x14ac:dyDescent="0.4">
      <c r="A57" s="11" t="s">
        <v>5</v>
      </c>
      <c r="B57" s="11" t="s">
        <v>67</v>
      </c>
      <c r="C57" s="4" t="s">
        <v>17</v>
      </c>
      <c r="D57" s="4" t="s">
        <v>63</v>
      </c>
      <c r="E57" s="10">
        <f>29.8*0.27</f>
        <v>8.0460000000000012</v>
      </c>
    </row>
    <row r="58" spans="1:5" x14ac:dyDescent="0.4">
      <c r="A58" s="11" t="s">
        <v>5</v>
      </c>
      <c r="B58" s="11" t="s">
        <v>67</v>
      </c>
      <c r="C58" s="4" t="s">
        <v>19</v>
      </c>
      <c r="D58" s="4" t="s">
        <v>63</v>
      </c>
      <c r="E58" s="10">
        <f t="shared" ref="E58:E67" si="1">29.8*0.27</f>
        <v>8.0460000000000012</v>
      </c>
    </row>
    <row r="59" spans="1:5" x14ac:dyDescent="0.4">
      <c r="A59" s="11" t="s">
        <v>5</v>
      </c>
      <c r="B59" s="11" t="s">
        <v>67</v>
      </c>
      <c r="C59" s="4" t="s">
        <v>20</v>
      </c>
      <c r="D59" s="4" t="s">
        <v>63</v>
      </c>
      <c r="E59" s="10">
        <f t="shared" si="1"/>
        <v>8.0460000000000012</v>
      </c>
    </row>
    <row r="60" spans="1:5" x14ac:dyDescent="0.4">
      <c r="A60" s="11" t="s">
        <v>5</v>
      </c>
      <c r="B60" s="11" t="s">
        <v>67</v>
      </c>
      <c r="C60" s="4" t="s">
        <v>21</v>
      </c>
      <c r="D60" s="4" t="s">
        <v>63</v>
      </c>
      <c r="E60" s="10">
        <f t="shared" si="1"/>
        <v>8.0460000000000012</v>
      </c>
    </row>
    <row r="61" spans="1:5" x14ac:dyDescent="0.4">
      <c r="A61" s="11" t="s">
        <v>5</v>
      </c>
      <c r="B61" s="11" t="s">
        <v>67</v>
      </c>
      <c r="C61" s="4" t="s">
        <v>22</v>
      </c>
      <c r="D61" s="4" t="s">
        <v>63</v>
      </c>
      <c r="E61" s="10">
        <f t="shared" si="1"/>
        <v>8.0460000000000012</v>
      </c>
    </row>
    <row r="62" spans="1:5" x14ac:dyDescent="0.4">
      <c r="A62" s="11" t="s">
        <v>5</v>
      </c>
      <c r="B62" s="11" t="s">
        <v>67</v>
      </c>
      <c r="C62" s="4" t="s">
        <v>23</v>
      </c>
      <c r="D62" s="4" t="s">
        <v>63</v>
      </c>
      <c r="E62" s="10">
        <f t="shared" si="1"/>
        <v>8.0460000000000012</v>
      </c>
    </row>
    <row r="63" spans="1:5" x14ac:dyDescent="0.4">
      <c r="A63" s="11" t="s">
        <v>5</v>
      </c>
      <c r="B63" s="11" t="s">
        <v>67</v>
      </c>
      <c r="C63" s="4" t="s">
        <v>24</v>
      </c>
      <c r="D63" s="4" t="s">
        <v>63</v>
      </c>
      <c r="E63" s="10">
        <f t="shared" si="1"/>
        <v>8.0460000000000012</v>
      </c>
    </row>
    <row r="64" spans="1:5" x14ac:dyDescent="0.4">
      <c r="A64" s="11" t="s">
        <v>5</v>
      </c>
      <c r="B64" s="11" t="s">
        <v>67</v>
      </c>
      <c r="C64" s="4" t="s">
        <v>25</v>
      </c>
      <c r="D64" s="4" t="s">
        <v>63</v>
      </c>
      <c r="E64" s="10">
        <f t="shared" si="1"/>
        <v>8.0460000000000012</v>
      </c>
    </row>
    <row r="65" spans="1:6" x14ac:dyDescent="0.4">
      <c r="A65" s="11" t="s">
        <v>5</v>
      </c>
      <c r="B65" s="11" t="s">
        <v>67</v>
      </c>
      <c r="C65" s="4" t="s">
        <v>26</v>
      </c>
      <c r="D65" s="4" t="s">
        <v>63</v>
      </c>
      <c r="E65" s="10">
        <f t="shared" si="1"/>
        <v>8.0460000000000012</v>
      </c>
    </row>
    <row r="66" spans="1:6" x14ac:dyDescent="0.4">
      <c r="A66" s="11" t="s">
        <v>5</v>
      </c>
      <c r="B66" s="11" t="s">
        <v>67</v>
      </c>
      <c r="C66" s="4" t="s">
        <v>32</v>
      </c>
      <c r="D66" s="4" t="s">
        <v>63</v>
      </c>
      <c r="E66" s="10">
        <f t="shared" si="1"/>
        <v>8.0460000000000012</v>
      </c>
    </row>
    <row r="67" spans="1:6" x14ac:dyDescent="0.4">
      <c r="A67" s="11" t="s">
        <v>5</v>
      </c>
      <c r="B67" s="11" t="s">
        <v>67</v>
      </c>
      <c r="C67" s="4" t="s">
        <v>35</v>
      </c>
      <c r="D67" s="4" t="s">
        <v>63</v>
      </c>
      <c r="E67" s="10">
        <f t="shared" si="1"/>
        <v>8.0460000000000012</v>
      </c>
    </row>
    <row r="68" spans="1:6" x14ac:dyDescent="0.4">
      <c r="A68" s="11" t="s">
        <v>5</v>
      </c>
      <c r="B68" s="11" t="s">
        <v>67</v>
      </c>
      <c r="C68" s="4" t="s">
        <v>34</v>
      </c>
      <c r="D68" s="4" t="s">
        <v>63</v>
      </c>
      <c r="E68" s="10">
        <f>273*0.27</f>
        <v>73.710000000000008</v>
      </c>
    </row>
    <row r="69" spans="1:6" x14ac:dyDescent="0.4">
      <c r="A69" s="11" t="s">
        <v>5</v>
      </c>
      <c r="B69" s="11" t="s">
        <v>67</v>
      </c>
      <c r="C69" s="4" t="s">
        <v>18</v>
      </c>
      <c r="D69" s="4" t="s">
        <v>63</v>
      </c>
      <c r="E69" s="10">
        <f>273*0.27</f>
        <v>73.710000000000008</v>
      </c>
    </row>
    <row r="70" spans="1:6" x14ac:dyDescent="0.4">
      <c r="A70" s="11" t="s">
        <v>5</v>
      </c>
      <c r="B70" s="11" t="s">
        <v>67</v>
      </c>
      <c r="C70" s="4" t="s">
        <v>29</v>
      </c>
      <c r="D70" s="4" t="s">
        <v>63</v>
      </c>
      <c r="E70" s="10">
        <f>25200*0.27</f>
        <v>6804</v>
      </c>
    </row>
    <row r="71" spans="1:6" x14ac:dyDescent="0.4">
      <c r="A71" s="11" t="s">
        <v>5</v>
      </c>
      <c r="B71" s="11" t="s">
        <v>67</v>
      </c>
      <c r="C71" s="4" t="s">
        <v>30</v>
      </c>
      <c r="D71" s="4" t="s">
        <v>63</v>
      </c>
      <c r="E71" s="10">
        <f>1*0.27</f>
        <v>0.27</v>
      </c>
    </row>
    <row r="72" spans="1:6" x14ac:dyDescent="0.4">
      <c r="A72" s="11" t="s">
        <v>5</v>
      </c>
      <c r="B72" s="11" t="s">
        <v>67</v>
      </c>
      <c r="C72" s="4" t="s">
        <v>31</v>
      </c>
      <c r="D72" s="4" t="s">
        <v>63</v>
      </c>
      <c r="E72" s="10">
        <f t="shared" ref="E72" si="2">1*0.27</f>
        <v>0.27</v>
      </c>
    </row>
    <row r="73" spans="1:6" x14ac:dyDescent="0.4">
      <c r="A73" s="7" t="s">
        <v>4</v>
      </c>
      <c r="B73" s="11" t="s">
        <v>67</v>
      </c>
      <c r="C73" s="4" t="s">
        <v>37</v>
      </c>
      <c r="D73" s="4" t="s">
        <v>65</v>
      </c>
      <c r="E73" s="10">
        <f>(1*0.88)*1000000</f>
        <v>880000</v>
      </c>
      <c r="F73" s="14"/>
    </row>
    <row r="74" spans="1:6" x14ac:dyDescent="0.4">
      <c r="A74" s="7" t="s">
        <v>4</v>
      </c>
      <c r="B74" s="11" t="s">
        <v>67</v>
      </c>
      <c r="C74" s="4" t="s">
        <v>38</v>
      </c>
      <c r="D74" s="4" t="s">
        <v>65</v>
      </c>
      <c r="E74" s="10">
        <f t="shared" ref="E74:E85" si="3">(1*0.88)*1000000</f>
        <v>880000</v>
      </c>
    </row>
    <row r="75" spans="1:6" x14ac:dyDescent="0.4">
      <c r="A75" s="7" t="s">
        <v>4</v>
      </c>
      <c r="B75" s="11" t="s">
        <v>67</v>
      </c>
      <c r="C75" s="4" t="s">
        <v>39</v>
      </c>
      <c r="D75" s="4" t="s">
        <v>65</v>
      </c>
      <c r="E75" s="10">
        <f t="shared" si="3"/>
        <v>880000</v>
      </c>
    </row>
    <row r="76" spans="1:6" x14ac:dyDescent="0.4">
      <c r="A76" s="7" t="s">
        <v>4</v>
      </c>
      <c r="B76" s="11" t="s">
        <v>67</v>
      </c>
      <c r="C76" s="4" t="s">
        <v>40</v>
      </c>
      <c r="D76" s="4" t="s">
        <v>65</v>
      </c>
      <c r="E76" s="10">
        <f t="shared" si="3"/>
        <v>880000</v>
      </c>
    </row>
    <row r="77" spans="1:6" x14ac:dyDescent="0.4">
      <c r="A77" s="7" t="s">
        <v>4</v>
      </c>
      <c r="B77" s="11" t="s">
        <v>67</v>
      </c>
      <c r="C77" s="4" t="s">
        <v>41</v>
      </c>
      <c r="D77" s="4" t="s">
        <v>65</v>
      </c>
      <c r="E77" s="10">
        <f t="shared" si="3"/>
        <v>880000</v>
      </c>
    </row>
    <row r="78" spans="1:6" x14ac:dyDescent="0.4">
      <c r="A78" s="7" t="s">
        <v>4</v>
      </c>
      <c r="B78" s="11" t="s">
        <v>67</v>
      </c>
      <c r="C78" s="4" t="s">
        <v>42</v>
      </c>
      <c r="D78" s="4" t="s">
        <v>65</v>
      </c>
      <c r="E78" s="10">
        <f t="shared" si="3"/>
        <v>880000</v>
      </c>
    </row>
    <row r="79" spans="1:6" x14ac:dyDescent="0.4">
      <c r="A79" s="7" t="s">
        <v>4</v>
      </c>
      <c r="B79" s="11" t="s">
        <v>67</v>
      </c>
      <c r="C79" s="4" t="s">
        <v>43</v>
      </c>
      <c r="D79" s="4" t="s">
        <v>65</v>
      </c>
      <c r="E79" s="10">
        <f t="shared" si="3"/>
        <v>880000</v>
      </c>
    </row>
    <row r="80" spans="1:6" x14ac:dyDescent="0.4">
      <c r="A80" s="7" t="s">
        <v>4</v>
      </c>
      <c r="B80" s="11" t="s">
        <v>67</v>
      </c>
      <c r="C80" s="4" t="s">
        <v>44</v>
      </c>
      <c r="D80" s="4" t="s">
        <v>65</v>
      </c>
      <c r="E80" s="10">
        <f t="shared" si="3"/>
        <v>880000</v>
      </c>
    </row>
    <row r="81" spans="1:5" x14ac:dyDescent="0.4">
      <c r="A81" s="7" t="s">
        <v>4</v>
      </c>
      <c r="B81" s="11" t="s">
        <v>67</v>
      </c>
      <c r="C81" s="4" t="s">
        <v>45</v>
      </c>
      <c r="D81" s="4" t="s">
        <v>65</v>
      </c>
      <c r="E81" s="10">
        <f t="shared" si="3"/>
        <v>880000</v>
      </c>
    </row>
    <row r="82" spans="1:5" x14ac:dyDescent="0.4">
      <c r="A82" s="7" t="s">
        <v>4</v>
      </c>
      <c r="B82" s="11" t="s">
        <v>67</v>
      </c>
      <c r="C82" s="4" t="s">
        <v>46</v>
      </c>
      <c r="D82" s="4" t="s">
        <v>65</v>
      </c>
      <c r="E82" s="10">
        <f t="shared" si="3"/>
        <v>880000</v>
      </c>
    </row>
    <row r="83" spans="1:5" x14ac:dyDescent="0.4">
      <c r="A83" s="7" t="s">
        <v>4</v>
      </c>
      <c r="B83" s="11" t="s">
        <v>67</v>
      </c>
      <c r="C83" s="4" t="s">
        <v>47</v>
      </c>
      <c r="D83" s="4" t="s">
        <v>65</v>
      </c>
      <c r="E83" s="10">
        <f t="shared" si="3"/>
        <v>880000</v>
      </c>
    </row>
    <row r="84" spans="1:5" x14ac:dyDescent="0.4">
      <c r="A84" s="7" t="s">
        <v>4</v>
      </c>
      <c r="B84" s="11" t="s">
        <v>67</v>
      </c>
      <c r="C84" s="4" t="s">
        <v>48</v>
      </c>
      <c r="D84" s="4" t="s">
        <v>65</v>
      </c>
      <c r="E84" s="10">
        <f t="shared" si="3"/>
        <v>880000</v>
      </c>
    </row>
    <row r="85" spans="1:5" x14ac:dyDescent="0.4">
      <c r="A85" s="7" t="s">
        <v>4</v>
      </c>
      <c r="B85" s="11" t="s">
        <v>67</v>
      </c>
      <c r="C85" s="4" t="s">
        <v>49</v>
      </c>
      <c r="D85" s="4" t="s">
        <v>65</v>
      </c>
      <c r="E85" s="10">
        <f t="shared" si="3"/>
        <v>880000</v>
      </c>
    </row>
    <row r="86" spans="1:5" s="10" customFormat="1" x14ac:dyDescent="0.4">
      <c r="A86" s="7" t="s">
        <v>4</v>
      </c>
      <c r="B86" s="11" t="s">
        <v>67</v>
      </c>
      <c r="C86" s="4" t="s">
        <v>68</v>
      </c>
      <c r="D86" s="4" t="s">
        <v>65</v>
      </c>
      <c r="E86" s="10">
        <f>(1*0.17)*1000000</f>
        <v>170000</v>
      </c>
    </row>
    <row r="87" spans="1:5" s="10" customFormat="1" x14ac:dyDescent="0.4">
      <c r="A87" s="7" t="s">
        <v>4</v>
      </c>
      <c r="B87" s="11" t="s">
        <v>67</v>
      </c>
      <c r="C87" s="4" t="s">
        <v>72</v>
      </c>
      <c r="D87" s="4" t="s">
        <v>65</v>
      </c>
      <c r="E87" s="10">
        <f>(1*0.17)*1000000</f>
        <v>170000</v>
      </c>
    </row>
    <row r="88" spans="1:5" x14ac:dyDescent="0.4">
      <c r="A88" s="7" t="s">
        <v>4</v>
      </c>
      <c r="B88" s="11" t="s">
        <v>67</v>
      </c>
      <c r="C88" s="12" t="s">
        <v>69</v>
      </c>
      <c r="D88" s="4" t="s">
        <v>65</v>
      </c>
      <c r="E88" s="10">
        <f>(1*0.4)*1000000</f>
        <v>400000</v>
      </c>
    </row>
    <row r="89" spans="1:5" x14ac:dyDescent="0.4">
      <c r="A89" s="7" t="s">
        <v>4</v>
      </c>
      <c r="B89" s="11" t="s">
        <v>67</v>
      </c>
      <c r="C89" s="12" t="s">
        <v>70</v>
      </c>
      <c r="D89" s="4" t="s">
        <v>65</v>
      </c>
      <c r="E89" s="10">
        <f t="shared" ref="E89:E90" si="4">(1*0.4)*1000000</f>
        <v>400000</v>
      </c>
    </row>
    <row r="90" spans="1:5" x14ac:dyDescent="0.4">
      <c r="A90" s="7" t="s">
        <v>4</v>
      </c>
      <c r="B90" s="11" t="s">
        <v>67</v>
      </c>
      <c r="C90" s="12" t="s">
        <v>71</v>
      </c>
      <c r="D90" s="4" t="s">
        <v>65</v>
      </c>
      <c r="E90" s="10">
        <f t="shared" si="4"/>
        <v>400000</v>
      </c>
    </row>
    <row r="91" spans="1:5" x14ac:dyDescent="0.4">
      <c r="A91" s="7" t="s">
        <v>4</v>
      </c>
      <c r="B91" s="11" t="s">
        <v>67</v>
      </c>
      <c r="C91" s="15" t="s">
        <v>50</v>
      </c>
      <c r="D91" s="4" t="s">
        <v>65</v>
      </c>
      <c r="E91" s="10">
        <f>(1*0.95)*1000000</f>
        <v>950000</v>
      </c>
    </row>
    <row r="92" spans="1:5" x14ac:dyDescent="0.4">
      <c r="A92" s="11" t="s">
        <v>6</v>
      </c>
      <c r="B92" s="11" t="s">
        <v>59</v>
      </c>
      <c r="C92" s="1" t="s">
        <v>51</v>
      </c>
      <c r="D92" s="1" t="s">
        <v>66</v>
      </c>
      <c r="E92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90EF-DE90-47BF-B8CD-C4AE8A165117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7" t="s">
        <v>5</v>
      </c>
      <c r="B1" s="7" t="s">
        <v>55</v>
      </c>
      <c r="C1" s="4" t="s">
        <v>16</v>
      </c>
      <c r="D1" s="4" t="s">
        <v>63</v>
      </c>
      <c r="E1" s="8">
        <v>1</v>
      </c>
    </row>
    <row r="2" spans="1:5" x14ac:dyDescent="0.4">
      <c r="A2" s="7" t="s">
        <v>5</v>
      </c>
      <c r="B2" s="7" t="s">
        <v>55</v>
      </c>
      <c r="C2" s="4" t="s">
        <v>36</v>
      </c>
      <c r="D2" s="4" t="s">
        <v>63</v>
      </c>
      <c r="E2" s="8">
        <v>1</v>
      </c>
    </row>
    <row r="3" spans="1:5" x14ac:dyDescent="0.4">
      <c r="A3" s="7" t="s">
        <v>5</v>
      </c>
      <c r="B3" s="7" t="s">
        <v>55</v>
      </c>
      <c r="C3" s="4" t="s">
        <v>27</v>
      </c>
      <c r="D3" s="4" t="s">
        <v>63</v>
      </c>
      <c r="E3" s="8">
        <v>1</v>
      </c>
    </row>
    <row r="4" spans="1:5" x14ac:dyDescent="0.4">
      <c r="A4" s="7" t="s">
        <v>5</v>
      </c>
      <c r="B4" s="7" t="s">
        <v>55</v>
      </c>
      <c r="C4" s="4" t="s">
        <v>28</v>
      </c>
      <c r="D4" s="4" t="s">
        <v>63</v>
      </c>
      <c r="E4" s="8">
        <v>1</v>
      </c>
    </row>
    <row r="5" spans="1:5" x14ac:dyDescent="0.4">
      <c r="A5" s="7" t="s">
        <v>5</v>
      </c>
      <c r="B5" s="7" t="s">
        <v>55</v>
      </c>
      <c r="C5" s="4" t="s">
        <v>33</v>
      </c>
      <c r="D5" s="4" t="s">
        <v>63</v>
      </c>
      <c r="E5" s="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D093-8CF0-451E-9E06-02EB1F70D6E7}"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synthèse</vt:lpstr>
      <vt:lpstr>synthèse v3</vt:lpstr>
      <vt:lpstr>synthèse v2</vt:lpstr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2026-07-01T13:54:27Z</dcterms:modified>
</cp:coreProperties>
</file>