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7BFD2E5F-A9D8-4DF6-91F2-E7143693A00E}" xr6:coauthVersionLast="47" xr6:coauthVersionMax="47" xr10:uidLastSave="{00000000-0000-0000-0000-000000000000}"/>
  <bookViews>
    <workbookView xWindow="-103" yWindow="-103" windowWidth="16663" windowHeight="9017" activeTab="1" xr2:uid="{00000000-000D-0000-FFFF-FFFF00000000}"/>
  </bookViews>
  <sheets>
    <sheet name="synthèse MSA" sheetId="6" r:id="rId1"/>
    <sheet name="synthèse" sheetId="5" r:id="rId2"/>
    <sheet name="synthèse v3" sheetId="4" r:id="rId3"/>
    <sheet name="synthèse v2" sheetId="1" r:id="rId4"/>
    <sheet name="Feuil1" sheetId="2" r:id="rId5"/>
    <sheet name="Feuil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82" i="5" l="1"/>
  <c r="E330" i="5"/>
  <c r="E329" i="5"/>
  <c r="E328" i="5"/>
  <c r="E327" i="5"/>
  <c r="E322" i="5"/>
  <c r="E323" i="5"/>
  <c r="E324" i="5"/>
  <c r="E325" i="5"/>
  <c r="E326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09" i="5"/>
  <c r="E306" i="5"/>
  <c r="E307" i="5"/>
  <c r="E308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286" i="5"/>
  <c r="E285" i="5"/>
  <c r="E284" i="5"/>
  <c r="E283" i="5"/>
  <c r="E142" i="5"/>
  <c r="E143" i="5"/>
  <c r="E144" i="5"/>
  <c r="E145" i="5"/>
  <c r="E146" i="5"/>
  <c r="E147" i="5"/>
  <c r="E141" i="5"/>
  <c r="E280" i="5"/>
  <c r="E279" i="5"/>
  <c r="E278" i="5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64" i="4" l="1"/>
  <c r="E194" i="4"/>
  <c r="E195" i="4"/>
  <c r="E196" i="4"/>
  <c r="E197" i="4"/>
  <c r="E198" i="4"/>
  <c r="E199" i="4"/>
  <c r="E200" i="4"/>
  <c r="E201" i="4"/>
  <c r="E202" i="4"/>
  <c r="E181" i="4"/>
  <c r="E204" i="4"/>
  <c r="E206" i="4"/>
  <c r="E205" i="4"/>
  <c r="E203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3" i="4"/>
  <c r="E162" i="4"/>
  <c r="E161" i="4"/>
  <c r="E160" i="4"/>
  <c r="E159" i="4"/>
  <c r="E158" i="4"/>
  <c r="E157" i="4"/>
  <c r="E156" i="4"/>
  <c r="E155" i="4"/>
  <c r="E154" i="4"/>
  <c r="E87" i="1"/>
  <c r="E91" i="1"/>
  <c r="E89" i="1"/>
  <c r="E90" i="1"/>
  <c r="E88" i="1"/>
  <c r="E86" i="1"/>
  <c r="E74" i="1"/>
  <c r="E75" i="1"/>
  <c r="E76" i="1"/>
  <c r="E77" i="1"/>
  <c r="E78" i="1"/>
  <c r="E79" i="1"/>
  <c r="E80" i="1"/>
  <c r="E81" i="1"/>
  <c r="E82" i="1"/>
  <c r="E83" i="1"/>
  <c r="E84" i="1"/>
  <c r="E85" i="1"/>
  <c r="E73" i="1"/>
  <c r="E72" i="1" l="1"/>
  <c r="E71" i="1"/>
  <c r="E70" i="1"/>
  <c r="E69" i="1"/>
  <c r="E68" i="1"/>
  <c r="E58" i="1"/>
  <c r="E59" i="1"/>
  <c r="E60" i="1"/>
  <c r="E61" i="1"/>
  <c r="E62" i="1"/>
  <c r="E63" i="1"/>
  <c r="E64" i="1"/>
  <c r="E65" i="1"/>
  <c r="E66" i="1"/>
  <c r="E67" i="1"/>
  <c r="E57" i="1"/>
  <c r="E48" i="1"/>
  <c r="E49" i="1"/>
  <c r="E50" i="1"/>
  <c r="E51" i="1"/>
  <c r="E52" i="1"/>
  <c r="E53" i="1"/>
  <c r="E54" i="1"/>
  <c r="E55" i="1"/>
  <c r="E56" i="1"/>
  <c r="E47" i="1"/>
</calcChain>
</file>

<file path=xl/sharedStrings.xml><?xml version="1.0" encoding="utf-8"?>
<sst xmlns="http://schemas.openxmlformats.org/spreadsheetml/2006/main" count="3220" uniqueCount="270">
  <si>
    <t>NH3 - agriculture - air</t>
  </si>
  <si>
    <t>N - agriculture - water</t>
  </si>
  <si>
    <t>biogeochemical</t>
  </si>
  <si>
    <t>water</t>
  </si>
  <si>
    <t>land_use</t>
  </si>
  <si>
    <t>ghg_emissions</t>
  </si>
  <si>
    <t>energy</t>
  </si>
  <si>
    <t>P - agriculture - soil</t>
  </si>
  <si>
    <t>P - agriculture - water</t>
  </si>
  <si>
    <t>P - waste - water</t>
  </si>
  <si>
    <t>Facteurs de caractérisation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</si>
  <si>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</si>
  <si>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</si>
  <si>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</si>
  <si>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</si>
  <si>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</si>
  <si>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CO2 - combustion - air</t>
  </si>
  <si>
    <t>CH4 - combustion - air</t>
  </si>
  <si>
    <t>N2O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</si>
  <si>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</si>
  <si>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</si>
  <si>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</si>
  <si>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</si>
  <si>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</si>
  <si>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</si>
  <si>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</si>
  <si>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</si>
  <si>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CO2 - non combustion - Cement production - air</t>
  </si>
  <si>
    <t>CO2 - non combustion - Lime production - air</t>
  </si>
  <si>
    <t>SF6 - air</t>
  </si>
  <si>
    <t>HFC - air</t>
  </si>
  <si>
    <t>PFC - air</t>
  </si>
  <si>
    <t>CH4 - agriculture - air</t>
  </si>
  <si>
    <t>CO2 - agriculture - peat decay - air</t>
  </si>
  <si>
    <t>N2O - agriculture - air</t>
  </si>
  <si>
    <t>CH4 - waste - air</t>
  </si>
  <si>
    <t>CO2 - waste - fossil - air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</si>
  <si>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</si>
  <si>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</si>
  <si>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</si>
  <si>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</si>
  <si>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</si>
  <si>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</si>
  <si>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</si>
  <si>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</si>
  <si>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</si>
  <si>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</si>
  <si>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</si>
  <si>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</si>
  <si>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</si>
  <si>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</si>
  <si>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Energy Carrier Use: Total</t>
  </si>
  <si>
    <t>Sous-processus</t>
  </si>
  <si>
    <t>N</t>
  </si>
  <si>
    <t>P</t>
  </si>
  <si>
    <t>CO2</t>
  </si>
  <si>
    <t>Eau</t>
  </si>
  <si>
    <t>GES</t>
  </si>
  <si>
    <t>Sols</t>
  </si>
  <si>
    <t>Energie</t>
  </si>
  <si>
    <t>Processus du système Terre</t>
  </si>
  <si>
    <t>Extensions exiobase</t>
  </si>
  <si>
    <t>Unité</t>
  </si>
  <si>
    <t>kg</t>
  </si>
  <si>
    <t>Mm3</t>
  </si>
  <si>
    <t>km2</t>
  </si>
  <si>
    <t>TJ</t>
  </si>
  <si>
    <t>Biodiv</t>
  </si>
  <si>
    <t>Forest area - Forestry</t>
  </si>
  <si>
    <t>Permanent pastures - Grazing-Cattle</t>
  </si>
  <si>
    <t>Permanent pastures - Grazing-Meat animals nec</t>
  </si>
  <si>
    <t>Permanent pastures - Grazing-Raw milk</t>
  </si>
  <si>
    <t>Forest area - Marginal use</t>
  </si>
  <si>
    <t>Water Consumption Blue - Agriculture - rice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</si>
  <si>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</si>
  <si>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</si>
  <si>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</si>
  <si>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</si>
  <si>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</si>
  <si>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</si>
  <si>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</si>
  <si>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</si>
  <si>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</si>
  <si>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</si>
  <si>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</si>
  <si>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</si>
  <si>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</si>
  <si>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</si>
  <si>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</si>
  <si>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</si>
  <si>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</si>
  <si>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</si>
  <si>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</si>
  <si>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</si>
  <si>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</si>
  <si>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</si>
  <si>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</si>
  <si>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</si>
  <si>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</si>
  <si>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</si>
  <si>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</si>
  <si>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</si>
  <si>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</si>
  <si>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</si>
  <si>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</si>
  <si>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</si>
  <si>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</si>
  <si>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</si>
  <si>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</si>
  <si>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</si>
  <si>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</si>
  <si>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</si>
  <si>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</si>
  <si>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</si>
  <si>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</si>
  <si>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</si>
  <si>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</si>
  <si>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</si>
  <si>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</si>
  <si>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</si>
  <si>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</si>
  <si>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</si>
  <si>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</si>
  <si>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</si>
  <si>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</si>
  <si>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</si>
  <si>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</si>
  <si>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</si>
  <si>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</si>
  <si>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</si>
  <si>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</si>
  <si>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</si>
  <si>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</si>
  <si>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</si>
  <si>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</si>
  <si>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</si>
  <si>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</si>
  <si>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</si>
  <si>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</si>
  <si>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</si>
  <si>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</si>
  <si>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</si>
  <si>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</si>
  <si>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</si>
  <si>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</si>
  <si>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</si>
  <si>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</si>
  <si>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</si>
  <si>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</si>
  <si>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</si>
  <si>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</si>
  <si>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</si>
  <si>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</si>
  <si>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</si>
  <si>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</si>
  <si>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</si>
  <si>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</si>
  <si>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</si>
  <si>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</si>
  <si>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</si>
  <si>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</si>
  <si>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</si>
  <si>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</si>
  <si>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</si>
  <si>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</si>
  <si>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</si>
  <si>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</si>
  <si>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</si>
  <si>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</si>
  <si>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</si>
  <si>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</si>
  <si>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</si>
  <si>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</si>
  <si>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</si>
  <si>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</si>
  <si>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</si>
  <si>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Artificial Surfaces</t>
  </si>
  <si>
    <t>Cropland - cropped area - Cereal grains nec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</si>
  <si>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</si>
  <si>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</si>
  <si>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</si>
  <si>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</si>
  <si>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</si>
  <si>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</si>
  <si>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</si>
  <si>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</si>
  <si>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</si>
  <si>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</si>
  <si>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</si>
  <si>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</si>
  <si>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</si>
  <si>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</si>
  <si>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</si>
  <si>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</si>
  <si>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</si>
  <si>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</si>
  <si>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</si>
  <si>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</si>
  <si>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Forest</t>
  </si>
  <si>
    <t>Energy use - Final</t>
  </si>
  <si>
    <t>CO2 - waste - biogenic - air</t>
  </si>
  <si>
    <t xml:space="preserve">CO2 </t>
  </si>
  <si>
    <t>ghg_combustion</t>
  </si>
  <si>
    <t>CH4</t>
  </si>
  <si>
    <t>N2O</t>
  </si>
  <si>
    <t>SF6</t>
  </si>
  <si>
    <t>HFC</t>
  </si>
  <si>
    <t>PFC</t>
  </si>
  <si>
    <t>raw_materials</t>
  </si>
  <si>
    <t>RMC</t>
  </si>
  <si>
    <t>MtCO2eq</t>
  </si>
  <si>
    <t>kt</t>
  </si>
  <si>
    <t>GHG emissions</t>
  </si>
  <si>
    <t>Cropland use</t>
  </si>
  <si>
    <t>P surplus</t>
  </si>
  <si>
    <t>N surplus</t>
  </si>
  <si>
    <t>Biodiversity loss</t>
  </si>
  <si>
    <t>Raw material consumption</t>
  </si>
  <si>
    <t>Blue water consumption</t>
  </si>
  <si>
    <t>NOX - agriculture - air</t>
  </si>
  <si>
    <t>Final energy use</t>
  </si>
  <si>
    <t>NH3 - combustion - air</t>
  </si>
  <si>
    <t>NH3 - non combustion - N- fertilizer production - air</t>
  </si>
  <si>
    <t>NH3 - waste - air</t>
  </si>
  <si>
    <t>NOX - waste - air</t>
  </si>
  <si>
    <t>NOx - combustion - air</t>
  </si>
  <si>
    <t>NOx - non combustion - Agglomeration plant - pellets - air</t>
  </si>
  <si>
    <t>NOx - non combustion - Agglomeration plant - sinter - air</t>
  </si>
  <si>
    <t>NOx - non combustion - Bricks production - air</t>
  </si>
  <si>
    <t>NOx - non combustion - Cement production - air</t>
  </si>
  <si>
    <t>NOx - non combustion - Chemical wood pulp, dissolving grades - air</t>
  </si>
  <si>
    <t>NOx - non combustion - Chemical wood pulp, soda and sulphate, other than dissolving grades - air</t>
  </si>
  <si>
    <t>NOx - non combustion - Chemical wood pulp, sulphite, other than dissolving grades - air</t>
  </si>
  <si>
    <t>NOx - non combustion - Glass production - air</t>
  </si>
  <si>
    <t>NOx - non combustion - Lime production - air</t>
  </si>
  <si>
    <t>NOx - non combustion - Nickel, unwrought - air</t>
  </si>
  <si>
    <t>NOx - non combustion - Oil refinery - air</t>
  </si>
  <si>
    <t>NOx - non combustion - Pig iron production, blast furnace - air</t>
  </si>
  <si>
    <t>NOx - non combustion - Production of coke oven coke - air</t>
  </si>
  <si>
    <t>NOx - non combustion - Production of gascoke - air</t>
  </si>
  <si>
    <t>NOx - non combustion - Refined copper; unwrought, not alloyed - air</t>
  </si>
  <si>
    <t>NOx - non combustion - Refined lead, unwrought - air</t>
  </si>
  <si>
    <t>NOx - non combustion - Semi-chemical wood pulp, pulp of fibers other than wood - air</t>
  </si>
  <si>
    <t>NOx - non combustion - Steel production: basic oxygen furnace - air</t>
  </si>
  <si>
    <t>NOx - non combustion - Sulphuric acid production - air</t>
  </si>
  <si>
    <t>NOx - non combustion - Unrefined copper; copper anodes for electrolytic refining - air</t>
  </si>
  <si>
    <t>NOx - non combustion - Zinc, unwrought, not alloyed - air</t>
  </si>
  <si>
    <t>SO2 - combustion - air</t>
  </si>
  <si>
    <t>SOx - combustion - air</t>
  </si>
  <si>
    <t>SOx - non combustion - Agglomeration plant - sinter - air</t>
  </si>
  <si>
    <t>SOx - non combustion - Bricks production - air</t>
  </si>
  <si>
    <t>SOx - non combustion - Cement production - air</t>
  </si>
  <si>
    <t>SOx - non combustion - Chemical wood pulp, dissolving grades - air</t>
  </si>
  <si>
    <t>SOx - non combustion - Chemical wood pulp, soda and sulphate, other than dissolving grades - air</t>
  </si>
  <si>
    <t>SOx - non combustion - Chemical wood pulp, sulphite, other than dissolving grades - air</t>
  </si>
  <si>
    <t>SOx - non combustion - Glass production - air</t>
  </si>
  <si>
    <t>SOx - non combustion - Lime production - air</t>
  </si>
  <si>
    <t>SOx - non combustion - Nickel, unwrought - air</t>
  </si>
  <si>
    <t>SOx - non combustion - Oil refinery - air</t>
  </si>
  <si>
    <t>SOx - non combustion - Pig iron production, blast furnace - air</t>
  </si>
  <si>
    <t>SOx - non combustion - Production of coke oven coke - air</t>
  </si>
  <si>
    <t>SOx - non combustion - Production of gascoke - air</t>
  </si>
  <si>
    <t>SOx - non combustion - Refined copper; unwrought, not alloyed - air</t>
  </si>
  <si>
    <t>SOx - non combustion - Refined lead, unwrought - air</t>
  </si>
  <si>
    <t>SOx - non combustion - Semi-chemical wood pulp, pulp of fibers other than wood - air</t>
  </si>
  <si>
    <t>SOx - non combustion - Sulphuric acid production - air</t>
  </si>
  <si>
    <t>SOx - non combustion - Unrefined copper; copper anodes for electrolytic refining - air</t>
  </si>
  <si>
    <t>SOx - non combustion - Zinc, unwrought, not alloyed - air</t>
  </si>
  <si>
    <t>SOx - waste - air</t>
  </si>
  <si>
    <t>N - waste - 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</si>
</sst>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rgb="FFB888D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7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horizontal="left" vertical="center"/>
    </xf>
    <xf numFmtId="0" fontId="2" fillId="0" borderId="0" xfId="0" applyFont="1" applyBorder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/>
    </xf>
    <xf numFmtId="0" fontId="0" fillId="0" borderId="0" xfId="0" applyFont="1" applyBorder="1" applyAlignment="1">
      <alignment horizontal="left" vertic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11" fontId="1" fillId="0" borderId="0" xfId="0" applyNumberFormat="1" applyFont="1" applyAlignment="1">
      <alignment horizontal="center" vertical="center" wrapText="1"/>
    </xf>
    <xf numFmtId="0" fontId="1" fillId="0" borderId="2" xfId="0" applyFont="1" applyBorder="1" applyAlignment="1">
      <alignment horizontal="center" vertical="top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ont="1" applyFill="1" applyBorder="1" applyAlignment="1">
      <alignment horizontal="left" vertical="center"/>
    </xf>
    <xf numFmtId="0" fontId="0" fillId="2" borderId="0" xfId="0" applyFill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0" fontId="2" fillId="2" borderId="0" xfId="0" applyFont="1" applyFill="1" applyBorder="1" applyAlignment="1">
      <alignment horizontal="left" vertical="top"/>
    </xf>
    <xf numFmtId="0" fontId="0" fillId="2" borderId="0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vertical="center" wrapText="1"/>
    </xf>
    <xf numFmtId="0" fontId="2" fillId="2" borderId="0" xfId="0" applyFont="1" applyFill="1" applyBorder="1" applyAlignment="1">
      <alignment horizontal="center" vertical="top"/>
    </xf>
    <xf numFmtId="0" fontId="0" fillId="2" borderId="0" xfId="0" applyFont="1" applyFill="1" applyBorder="1" applyAlignment="1">
      <alignment horizontal="left" vertical="top"/>
    </xf>
    <xf numFmtId="0" fontId="0" fillId="2" borderId="0" xfId="0" applyFont="1" applyFill="1" applyBorder="1" applyAlignment="1">
      <alignment horizontal="center" vertical="top"/>
    </xf>
    <xf numFmtId="11" fontId="0" fillId="2" borderId="0" xfId="0" applyNumberFormat="1" applyFont="1" applyFill="1" applyBorder="1" applyAlignment="1">
      <alignment horizontal="center" vertical="top"/>
    </xf>
    <xf numFmtId="0" fontId="0" fillId="3" borderId="0" xfId="0" applyFill="1" applyAlignment="1">
      <alignment vertical="center"/>
    </xf>
    <xf numFmtId="0" fontId="0" fillId="3" borderId="0" xfId="0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2" fillId="3" borderId="0" xfId="0" applyFont="1" applyFill="1" applyBorder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Border="1" applyAlignment="1">
      <alignment horizontal="left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2" fillId="5" borderId="0" xfId="0" applyFont="1" applyFill="1" applyBorder="1" applyAlignment="1">
      <alignment horizontal="left" vertical="top"/>
    </xf>
    <xf numFmtId="0" fontId="0" fillId="5" borderId="0" xfId="0" applyFill="1" applyAlignment="1">
      <alignment horizontal="center" vertical="center"/>
    </xf>
    <xf numFmtId="11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2" fillId="6" borderId="0" xfId="0" applyFont="1" applyFill="1" applyBorder="1" applyAlignment="1">
      <alignment horizontal="left" vertical="top"/>
    </xf>
    <xf numFmtId="0" fontId="2" fillId="6" borderId="0" xfId="0" applyFont="1" applyFill="1" applyBorder="1" applyAlignment="1">
      <alignment horizontal="center" vertical="top"/>
    </xf>
    <xf numFmtId="11" fontId="0" fillId="6" borderId="0" xfId="0" applyNumberFormat="1" applyFill="1" applyAlignment="1">
      <alignment horizontal="center" vertical="center"/>
    </xf>
    <xf numFmtId="0" fontId="0" fillId="6" borderId="0" xfId="0" applyFill="1" applyBorder="1" applyAlignment="1">
      <alignment horizontal="left"/>
    </xf>
    <xf numFmtId="0" fontId="0" fillId="7" borderId="0" xfId="0" applyFill="1" applyAlignment="1">
      <alignment vertical="center" wrapText="1"/>
    </xf>
    <xf numFmtId="0" fontId="0" fillId="7" borderId="0" xfId="0" applyFill="1" applyBorder="1" applyAlignment="1">
      <alignment horizontal="left"/>
    </xf>
    <xf numFmtId="0" fontId="2" fillId="7" borderId="0" xfId="0" applyFont="1" applyFill="1" applyBorder="1" applyAlignment="1">
      <alignment horizontal="center" vertical="top"/>
    </xf>
    <xf numFmtId="11" fontId="0" fillId="7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2" borderId="3" xfId="0" applyFill="1" applyBorder="1" applyAlignment="1">
      <alignment horizontal="left" vertical="center"/>
    </xf>
    <xf numFmtId="0" fontId="0" fillId="2" borderId="3" xfId="0" applyFill="1" applyBorder="1" applyAlignment="1">
      <alignment horizontal="left"/>
    </xf>
    <xf numFmtId="0" fontId="2" fillId="2" borderId="3" xfId="0" applyFont="1" applyFill="1" applyBorder="1" applyAlignment="1">
      <alignment horizontal="center" vertical="top"/>
    </xf>
    <xf numFmtId="11" fontId="0" fillId="2" borderId="3" xfId="0" applyNumberFormat="1" applyFill="1" applyBorder="1" applyAlignment="1">
      <alignment horizontal="center" vertical="center"/>
    </xf>
  </cellXfs>
  <cellStyles count="3">
    <cellStyle name="Normal" xfId="0" builtinId="0"/>
    <cellStyle name="Normal 2" xfId="2" xr:uid="{BF4AD094-E667-4039-A661-3E4B589FACBD}"/>
    <cellStyle name="Normal 3" xfId="1" xr:uid="{B82B8786-F10B-4C85-A6B3-FD5566113E64}"/>
  </cellStyles>
  <dxfs count="0"/>
  <tableStyles count="0" defaultTableStyle="TableStyleMedium2" defaultPivotStyle="PivotStyleLight16"/>
  <colors>
    <mruColors>
      <color rgb="FFB888DC"/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AAE7E-74C1-43A9-9C27-00583ABC7B71}">
  <dimension ref="A1:F171"/>
  <sheetViews>
    <sheetView topLeftCell="A165" workbookViewId="0">
      <selection activeCell="A274" sqref="A172:XFD274"/>
    </sheetView>
  </sheetViews>
  <sheetFormatPr baseColWidth="10" defaultColWidth="9.23046875" defaultRowHeight="14.6" x14ac:dyDescent="0.4"/>
  <cols>
    <col min="1" max="1" width="24.69140625" style="10" customWidth="1"/>
    <col min="2" max="2" width="17" style="10" customWidth="1"/>
    <col min="3" max="3" width="72.921875" style="21" customWidth="1"/>
    <col min="4" max="4" width="9" style="10" customWidth="1"/>
    <col min="5" max="5" width="13.23046875" style="4" customWidth="1"/>
    <col min="6" max="16384" width="9.23046875" style="10"/>
  </cols>
  <sheetData>
    <row r="1" spans="1:5" ht="38.049999999999997" customHeight="1" x14ac:dyDescent="0.4">
      <c r="A1" s="6" t="s">
        <v>60</v>
      </c>
      <c r="B1" s="13" t="s">
        <v>52</v>
      </c>
      <c r="C1" s="17" t="s">
        <v>61</v>
      </c>
      <c r="D1" s="6" t="s">
        <v>62</v>
      </c>
      <c r="E1" s="13" t="s">
        <v>10</v>
      </c>
    </row>
    <row r="2" spans="1:5" ht="14.9" customHeight="1" x14ac:dyDescent="0.4">
      <c r="A2" s="9" t="s">
        <v>2</v>
      </c>
      <c r="B2" s="9" t="s">
        <v>215</v>
      </c>
      <c r="C2" s="18" t="s">
        <v>1</v>
      </c>
      <c r="D2" s="12" t="s">
        <v>63</v>
      </c>
      <c r="E2" s="22">
        <v>1.0000000000000001E-9</v>
      </c>
    </row>
    <row r="3" spans="1:5" x14ac:dyDescent="0.4">
      <c r="A3" s="9" t="s">
        <v>2</v>
      </c>
      <c r="B3" s="9" t="s">
        <v>215</v>
      </c>
      <c r="C3" s="19" t="s">
        <v>0</v>
      </c>
      <c r="D3" s="12" t="s">
        <v>63</v>
      </c>
      <c r="E3" s="22">
        <v>8.2400000000000005E-10</v>
      </c>
    </row>
    <row r="4" spans="1:5" x14ac:dyDescent="0.4">
      <c r="A4" s="9" t="s">
        <v>2</v>
      </c>
      <c r="B4" s="9" t="s">
        <v>215</v>
      </c>
      <c r="C4" s="19" t="s">
        <v>34</v>
      </c>
      <c r="D4" s="12" t="s">
        <v>63</v>
      </c>
      <c r="E4" s="22">
        <v>6.3599999999999998E-10</v>
      </c>
    </row>
    <row r="5" spans="1:5" x14ac:dyDescent="0.4">
      <c r="A5" s="9" t="s">
        <v>2</v>
      </c>
      <c r="B5" s="9" t="s">
        <v>215</v>
      </c>
      <c r="C5" s="19" t="s">
        <v>219</v>
      </c>
      <c r="D5" s="12" t="s">
        <v>63</v>
      </c>
      <c r="E5" s="22">
        <v>3.0399999999999998E-10</v>
      </c>
    </row>
    <row r="6" spans="1:5" x14ac:dyDescent="0.4">
      <c r="A6" s="9" t="s">
        <v>2</v>
      </c>
      <c r="B6" s="9" t="s">
        <v>214</v>
      </c>
      <c r="C6" s="19" t="s">
        <v>8</v>
      </c>
      <c r="D6" s="12" t="s">
        <v>63</v>
      </c>
      <c r="E6" s="22">
        <v>3E-10</v>
      </c>
    </row>
    <row r="7" spans="1:5" x14ac:dyDescent="0.4">
      <c r="A7" s="9" t="s">
        <v>2</v>
      </c>
      <c r="B7" s="9" t="s">
        <v>214</v>
      </c>
      <c r="C7" s="19" t="s">
        <v>7</v>
      </c>
      <c r="D7" s="12" t="s">
        <v>63</v>
      </c>
      <c r="E7" s="22">
        <v>3E-10</v>
      </c>
    </row>
    <row r="8" spans="1:5" x14ac:dyDescent="0.4">
      <c r="A8" s="7" t="s">
        <v>3</v>
      </c>
      <c r="B8" s="7" t="s">
        <v>218</v>
      </c>
      <c r="C8" s="18" t="s">
        <v>73</v>
      </c>
      <c r="D8" s="4" t="s">
        <v>64</v>
      </c>
      <c r="E8" s="4">
        <v>1</v>
      </c>
    </row>
    <row r="9" spans="1:5" x14ac:dyDescent="0.4">
      <c r="A9" s="7" t="s">
        <v>3</v>
      </c>
      <c r="B9" s="7" t="s">
        <v>218</v>
      </c>
      <c r="C9" s="18" t="s">
        <v>74</v>
      </c>
      <c r="D9" s="4" t="s">
        <v>64</v>
      </c>
      <c r="E9" s="4">
        <v>1</v>
      </c>
    </row>
    <row r="10" spans="1:5" x14ac:dyDescent="0.4">
      <c r="A10" s="7" t="s">
        <v>3</v>
      </c>
      <c r="B10" s="7" t="s">
        <v>218</v>
      </c>
      <c r="C10" s="18" t="s">
        <v>75</v>
      </c>
      <c r="D10" s="4" t="s">
        <v>64</v>
      </c>
      <c r="E10" s="4">
        <v>1</v>
      </c>
    </row>
    <row r="11" spans="1:5" x14ac:dyDescent="0.4">
      <c r="A11" s="7" t="s">
        <v>3</v>
      </c>
      <c r="B11" s="7" t="s">
        <v>218</v>
      </c>
      <c r="C11" s="18" t="s">
        <v>76</v>
      </c>
      <c r="D11" s="4" t="s">
        <v>64</v>
      </c>
      <c r="E11" s="4">
        <v>1</v>
      </c>
    </row>
    <row r="12" spans="1:5" x14ac:dyDescent="0.4">
      <c r="A12" s="7" t="s">
        <v>3</v>
      </c>
      <c r="B12" s="7" t="s">
        <v>218</v>
      </c>
      <c r="C12" s="18" t="s">
        <v>77</v>
      </c>
      <c r="D12" s="4" t="s">
        <v>64</v>
      </c>
      <c r="E12" s="4">
        <v>1</v>
      </c>
    </row>
    <row r="13" spans="1:5" x14ac:dyDescent="0.4">
      <c r="A13" s="7" t="s">
        <v>3</v>
      </c>
      <c r="B13" s="7" t="s">
        <v>218</v>
      </c>
      <c r="C13" s="18" t="s">
        <v>78</v>
      </c>
      <c r="D13" s="4" t="s">
        <v>64</v>
      </c>
      <c r="E13" s="4">
        <v>1</v>
      </c>
    </row>
    <row r="14" spans="1:5" x14ac:dyDescent="0.4">
      <c r="A14" s="7" t="s">
        <v>3</v>
      </c>
      <c r="B14" s="7" t="s">
        <v>218</v>
      </c>
      <c r="C14" s="18" t="s">
        <v>79</v>
      </c>
      <c r="D14" s="4" t="s">
        <v>64</v>
      </c>
      <c r="E14" s="4">
        <v>1</v>
      </c>
    </row>
    <row r="15" spans="1:5" x14ac:dyDescent="0.4">
      <c r="A15" s="7" t="s">
        <v>3</v>
      </c>
      <c r="B15" s="7" t="s">
        <v>218</v>
      </c>
      <c r="C15" s="18" t="s">
        <v>80</v>
      </c>
      <c r="D15" s="4" t="s">
        <v>64</v>
      </c>
      <c r="E15" s="4">
        <v>1</v>
      </c>
    </row>
    <row r="16" spans="1:5" x14ac:dyDescent="0.4">
      <c r="A16" s="7" t="s">
        <v>3</v>
      </c>
      <c r="B16" s="7" t="s">
        <v>218</v>
      </c>
      <c r="C16" s="18" t="s">
        <v>81</v>
      </c>
      <c r="D16" s="4" t="s">
        <v>64</v>
      </c>
      <c r="E16" s="4">
        <v>1</v>
      </c>
    </row>
    <row r="17" spans="1:5" x14ac:dyDescent="0.4">
      <c r="A17" s="7" t="s">
        <v>3</v>
      </c>
      <c r="B17" s="7" t="s">
        <v>218</v>
      </c>
      <c r="C17" s="18" t="s">
        <v>82</v>
      </c>
      <c r="D17" s="4" t="s">
        <v>64</v>
      </c>
      <c r="E17" s="4">
        <v>1</v>
      </c>
    </row>
    <row r="18" spans="1:5" x14ac:dyDescent="0.4">
      <c r="A18" s="7" t="s">
        <v>3</v>
      </c>
      <c r="B18" s="7" t="s">
        <v>218</v>
      </c>
      <c r="C18" s="18" t="s">
        <v>83</v>
      </c>
      <c r="D18" s="4" t="s">
        <v>64</v>
      </c>
      <c r="E18" s="4">
        <v>1</v>
      </c>
    </row>
    <row r="19" spans="1:5" x14ac:dyDescent="0.4">
      <c r="A19" s="7" t="s">
        <v>3</v>
      </c>
      <c r="B19" s="7" t="s">
        <v>218</v>
      </c>
      <c r="C19" s="18" t="s">
        <v>84</v>
      </c>
      <c r="D19" s="4" t="s">
        <v>64</v>
      </c>
      <c r="E19" s="4">
        <v>1</v>
      </c>
    </row>
    <row r="20" spans="1:5" x14ac:dyDescent="0.4">
      <c r="A20" s="7" t="s">
        <v>3</v>
      </c>
      <c r="B20" s="7" t="s">
        <v>218</v>
      </c>
      <c r="C20" s="18" t="s">
        <v>85</v>
      </c>
      <c r="D20" s="4" t="s">
        <v>64</v>
      </c>
      <c r="E20" s="4">
        <v>1</v>
      </c>
    </row>
    <row r="21" spans="1:5" x14ac:dyDescent="0.4">
      <c r="A21" s="7" t="s">
        <v>3</v>
      </c>
      <c r="B21" s="7" t="s">
        <v>218</v>
      </c>
      <c r="C21" s="18" t="s">
        <v>86</v>
      </c>
      <c r="D21" s="4" t="s">
        <v>64</v>
      </c>
      <c r="E21" s="4">
        <v>1</v>
      </c>
    </row>
    <row r="22" spans="1:5" x14ac:dyDescent="0.4">
      <c r="A22" s="7" t="s">
        <v>3</v>
      </c>
      <c r="B22" s="7" t="s">
        <v>218</v>
      </c>
      <c r="C22" s="18" t="s">
        <v>87</v>
      </c>
      <c r="D22" s="4" t="s">
        <v>64</v>
      </c>
      <c r="E22" s="4">
        <v>1</v>
      </c>
    </row>
    <row r="23" spans="1:5" x14ac:dyDescent="0.4">
      <c r="A23" s="7" t="s">
        <v>3</v>
      </c>
      <c r="B23" s="7" t="s">
        <v>218</v>
      </c>
      <c r="C23" s="18" t="s">
        <v>88</v>
      </c>
      <c r="D23" s="4" t="s">
        <v>64</v>
      </c>
      <c r="E23" s="4">
        <v>1</v>
      </c>
    </row>
    <row r="24" spans="1:5" x14ac:dyDescent="0.4">
      <c r="A24" s="7" t="s">
        <v>3</v>
      </c>
      <c r="B24" s="7" t="s">
        <v>218</v>
      </c>
      <c r="C24" s="18" t="s">
        <v>89</v>
      </c>
      <c r="D24" s="4" t="s">
        <v>64</v>
      </c>
      <c r="E24" s="4">
        <v>1</v>
      </c>
    </row>
    <row r="25" spans="1:5" x14ac:dyDescent="0.4">
      <c r="A25" s="7" t="s">
        <v>3</v>
      </c>
      <c r="B25" s="7" t="s">
        <v>218</v>
      </c>
      <c r="C25" s="18" t="s">
        <v>90</v>
      </c>
      <c r="D25" s="4" t="s">
        <v>64</v>
      </c>
      <c r="E25" s="4">
        <v>1</v>
      </c>
    </row>
    <row r="26" spans="1:5" x14ac:dyDescent="0.4">
      <c r="A26" s="7" t="s">
        <v>3</v>
      </c>
      <c r="B26" s="7" t="s">
        <v>218</v>
      </c>
      <c r="C26" s="18" t="s">
        <v>91</v>
      </c>
      <c r="D26" s="4" t="s">
        <v>64</v>
      </c>
      <c r="E26" s="4">
        <v>1</v>
      </c>
    </row>
    <row r="27" spans="1:5" x14ac:dyDescent="0.4">
      <c r="A27" s="7" t="s">
        <v>3</v>
      </c>
      <c r="B27" s="7" t="s">
        <v>218</v>
      </c>
      <c r="C27" s="18" t="s">
        <v>92</v>
      </c>
      <c r="D27" s="4" t="s">
        <v>64</v>
      </c>
      <c r="E27" s="4">
        <v>1</v>
      </c>
    </row>
    <row r="28" spans="1:5" x14ac:dyDescent="0.4">
      <c r="A28" s="7" t="s">
        <v>3</v>
      </c>
      <c r="B28" s="7" t="s">
        <v>218</v>
      </c>
      <c r="C28" s="18" t="s">
        <v>93</v>
      </c>
      <c r="D28" s="4" t="s">
        <v>64</v>
      </c>
      <c r="E28" s="4">
        <v>1</v>
      </c>
    </row>
    <row r="29" spans="1:5" x14ac:dyDescent="0.4">
      <c r="A29" s="7" t="s">
        <v>3</v>
      </c>
      <c r="B29" s="7" t="s">
        <v>218</v>
      </c>
      <c r="C29" s="18" t="s">
        <v>94</v>
      </c>
      <c r="D29" s="4" t="s">
        <v>64</v>
      </c>
      <c r="E29" s="4">
        <v>1</v>
      </c>
    </row>
    <row r="30" spans="1:5" x14ac:dyDescent="0.4">
      <c r="A30" s="7" t="s">
        <v>3</v>
      </c>
      <c r="B30" s="7" t="s">
        <v>218</v>
      </c>
      <c r="C30" s="18" t="s">
        <v>95</v>
      </c>
      <c r="D30" s="4" t="s">
        <v>64</v>
      </c>
      <c r="E30" s="4">
        <v>1</v>
      </c>
    </row>
    <row r="31" spans="1:5" x14ac:dyDescent="0.4">
      <c r="A31" s="7" t="s">
        <v>3</v>
      </c>
      <c r="B31" s="7" t="s">
        <v>218</v>
      </c>
      <c r="C31" s="18" t="s">
        <v>96</v>
      </c>
      <c r="D31" s="4" t="s">
        <v>64</v>
      </c>
      <c r="E31" s="4">
        <v>1</v>
      </c>
    </row>
    <row r="32" spans="1:5" x14ac:dyDescent="0.4">
      <c r="A32" s="7" t="s">
        <v>3</v>
      </c>
      <c r="B32" s="7" t="s">
        <v>218</v>
      </c>
      <c r="C32" s="18" t="s">
        <v>97</v>
      </c>
      <c r="D32" s="4" t="s">
        <v>64</v>
      </c>
      <c r="E32" s="4">
        <v>1</v>
      </c>
    </row>
    <row r="33" spans="1:5" x14ac:dyDescent="0.4">
      <c r="A33" s="7" t="s">
        <v>3</v>
      </c>
      <c r="B33" s="7" t="s">
        <v>218</v>
      </c>
      <c r="C33" s="18" t="s">
        <v>98</v>
      </c>
      <c r="D33" s="4" t="s">
        <v>64</v>
      </c>
      <c r="E33" s="4">
        <v>1</v>
      </c>
    </row>
    <row r="34" spans="1:5" x14ac:dyDescent="0.4">
      <c r="A34" s="7" t="s">
        <v>3</v>
      </c>
      <c r="B34" s="7" t="s">
        <v>218</v>
      </c>
      <c r="C34" s="18" t="s">
        <v>99</v>
      </c>
      <c r="D34" s="4" t="s">
        <v>64</v>
      </c>
      <c r="E34" s="4">
        <v>1</v>
      </c>
    </row>
    <row r="35" spans="1:5" x14ac:dyDescent="0.4">
      <c r="A35" s="7" t="s">
        <v>3</v>
      </c>
      <c r="B35" s="7" t="s">
        <v>218</v>
      </c>
      <c r="C35" s="18" t="s">
        <v>100</v>
      </c>
      <c r="D35" s="4" t="s">
        <v>64</v>
      </c>
      <c r="E35" s="4">
        <v>1</v>
      </c>
    </row>
    <row r="36" spans="1:5" x14ac:dyDescent="0.4">
      <c r="A36" s="7" t="s">
        <v>3</v>
      </c>
      <c r="B36" s="7" t="s">
        <v>218</v>
      </c>
      <c r="C36" s="18" t="s">
        <v>101</v>
      </c>
      <c r="D36" s="4" t="s">
        <v>64</v>
      </c>
      <c r="E36" s="4">
        <v>1</v>
      </c>
    </row>
    <row r="37" spans="1:5" x14ac:dyDescent="0.4">
      <c r="A37" s="7" t="s">
        <v>3</v>
      </c>
      <c r="B37" s="7" t="s">
        <v>218</v>
      </c>
      <c r="C37" s="18" t="s">
        <v>102</v>
      </c>
      <c r="D37" s="4" t="s">
        <v>64</v>
      </c>
      <c r="E37" s="4">
        <v>1</v>
      </c>
    </row>
    <row r="38" spans="1:5" x14ac:dyDescent="0.4">
      <c r="A38" s="7" t="s">
        <v>3</v>
      </c>
      <c r="B38" s="7" t="s">
        <v>218</v>
      </c>
      <c r="C38" s="18" t="s">
        <v>103</v>
      </c>
      <c r="D38" s="4" t="s">
        <v>64</v>
      </c>
      <c r="E38" s="4">
        <v>1</v>
      </c>
    </row>
    <row r="39" spans="1:5" x14ac:dyDescent="0.4">
      <c r="A39" s="7" t="s">
        <v>3</v>
      </c>
      <c r="B39" s="7" t="s">
        <v>218</v>
      </c>
      <c r="C39" s="18" t="s">
        <v>104</v>
      </c>
      <c r="D39" s="4" t="s">
        <v>64</v>
      </c>
      <c r="E39" s="4">
        <v>1</v>
      </c>
    </row>
    <row r="40" spans="1:5" x14ac:dyDescent="0.4">
      <c r="A40" s="7" t="s">
        <v>3</v>
      </c>
      <c r="B40" s="7" t="s">
        <v>218</v>
      </c>
      <c r="C40" s="18" t="s">
        <v>105</v>
      </c>
      <c r="D40" s="4" t="s">
        <v>64</v>
      </c>
      <c r="E40" s="4">
        <v>1</v>
      </c>
    </row>
    <row r="41" spans="1:5" x14ac:dyDescent="0.4">
      <c r="A41" s="7" t="s">
        <v>3</v>
      </c>
      <c r="B41" s="7" t="s">
        <v>218</v>
      </c>
      <c r="C41" s="18" t="s">
        <v>106</v>
      </c>
      <c r="D41" s="4" t="s">
        <v>64</v>
      </c>
      <c r="E41" s="4">
        <v>1</v>
      </c>
    </row>
    <row r="42" spans="1:5" x14ac:dyDescent="0.4">
      <c r="A42" s="7" t="s">
        <v>3</v>
      </c>
      <c r="B42" s="7" t="s">
        <v>218</v>
      </c>
      <c r="C42" s="18" t="s">
        <v>107</v>
      </c>
      <c r="D42" s="4" t="s">
        <v>64</v>
      </c>
      <c r="E42" s="4">
        <v>1</v>
      </c>
    </row>
    <row r="43" spans="1:5" x14ac:dyDescent="0.4">
      <c r="A43" s="7" t="s">
        <v>3</v>
      </c>
      <c r="B43" s="7" t="s">
        <v>218</v>
      </c>
      <c r="C43" s="18" t="s">
        <v>108</v>
      </c>
      <c r="D43" s="4" t="s">
        <v>64</v>
      </c>
      <c r="E43" s="4">
        <v>1</v>
      </c>
    </row>
    <row r="44" spans="1:5" x14ac:dyDescent="0.4">
      <c r="A44" s="7" t="s">
        <v>3</v>
      </c>
      <c r="B44" s="7" t="s">
        <v>218</v>
      </c>
      <c r="C44" s="18" t="s">
        <v>109</v>
      </c>
      <c r="D44" s="4" t="s">
        <v>64</v>
      </c>
      <c r="E44" s="4">
        <v>1</v>
      </c>
    </row>
    <row r="45" spans="1:5" x14ac:dyDescent="0.4">
      <c r="A45" s="7" t="s">
        <v>3</v>
      </c>
      <c r="B45" s="7" t="s">
        <v>218</v>
      </c>
      <c r="C45" s="18" t="s">
        <v>110</v>
      </c>
      <c r="D45" s="4" t="s">
        <v>64</v>
      </c>
      <c r="E45" s="4">
        <v>1</v>
      </c>
    </row>
    <row r="46" spans="1:5" x14ac:dyDescent="0.4">
      <c r="A46" s="7" t="s">
        <v>3</v>
      </c>
      <c r="B46" s="7" t="s">
        <v>218</v>
      </c>
      <c r="C46" s="18" t="s">
        <v>111</v>
      </c>
      <c r="D46" s="4" t="s">
        <v>64</v>
      </c>
      <c r="E46" s="4">
        <v>1</v>
      </c>
    </row>
    <row r="47" spans="1:5" x14ac:dyDescent="0.4">
      <c r="A47" s="7" t="s">
        <v>3</v>
      </c>
      <c r="B47" s="7" t="s">
        <v>218</v>
      </c>
      <c r="C47" s="18" t="s">
        <v>112</v>
      </c>
      <c r="D47" s="4" t="s">
        <v>64</v>
      </c>
      <c r="E47" s="4">
        <v>1</v>
      </c>
    </row>
    <row r="48" spans="1:5" x14ac:dyDescent="0.4">
      <c r="A48" s="7" t="s">
        <v>3</v>
      </c>
      <c r="B48" s="7" t="s">
        <v>218</v>
      </c>
      <c r="C48" s="18" t="s">
        <v>113</v>
      </c>
      <c r="D48" s="4" t="s">
        <v>64</v>
      </c>
      <c r="E48" s="4">
        <v>1</v>
      </c>
    </row>
    <row r="49" spans="1:5" x14ac:dyDescent="0.4">
      <c r="A49" s="7" t="s">
        <v>3</v>
      </c>
      <c r="B49" s="7" t="s">
        <v>218</v>
      </c>
      <c r="C49" s="18" t="s">
        <v>114</v>
      </c>
      <c r="D49" s="4" t="s">
        <v>64</v>
      </c>
      <c r="E49" s="4">
        <v>1</v>
      </c>
    </row>
    <row r="50" spans="1:5" x14ac:dyDescent="0.4">
      <c r="A50" s="7" t="s">
        <v>3</v>
      </c>
      <c r="B50" s="7" t="s">
        <v>218</v>
      </c>
      <c r="C50" s="18" t="s">
        <v>115</v>
      </c>
      <c r="D50" s="4" t="s">
        <v>64</v>
      </c>
      <c r="E50" s="4">
        <v>1</v>
      </c>
    </row>
    <row r="51" spans="1:5" x14ac:dyDescent="0.4">
      <c r="A51" s="7" t="s">
        <v>3</v>
      </c>
      <c r="B51" s="7" t="s">
        <v>218</v>
      </c>
      <c r="C51" s="18" t="s">
        <v>116</v>
      </c>
      <c r="D51" s="4" t="s">
        <v>64</v>
      </c>
      <c r="E51" s="4">
        <v>1</v>
      </c>
    </row>
    <row r="52" spans="1:5" x14ac:dyDescent="0.4">
      <c r="A52" s="7" t="s">
        <v>3</v>
      </c>
      <c r="B52" s="7" t="s">
        <v>218</v>
      </c>
      <c r="C52" s="18" t="s">
        <v>117</v>
      </c>
      <c r="D52" s="4" t="s">
        <v>64</v>
      </c>
      <c r="E52" s="4">
        <v>1</v>
      </c>
    </row>
    <row r="53" spans="1:5" x14ac:dyDescent="0.4">
      <c r="A53" s="7" t="s">
        <v>3</v>
      </c>
      <c r="B53" s="7" t="s">
        <v>218</v>
      </c>
      <c r="C53" s="18" t="s">
        <v>118</v>
      </c>
      <c r="D53" s="4" t="s">
        <v>64</v>
      </c>
      <c r="E53" s="4">
        <v>1</v>
      </c>
    </row>
    <row r="54" spans="1:5" x14ac:dyDescent="0.4">
      <c r="A54" s="7" t="s">
        <v>3</v>
      </c>
      <c r="B54" s="7" t="s">
        <v>218</v>
      </c>
      <c r="C54" s="18" t="s">
        <v>119</v>
      </c>
      <c r="D54" s="4" t="s">
        <v>64</v>
      </c>
      <c r="E54" s="4">
        <v>1</v>
      </c>
    </row>
    <row r="55" spans="1:5" x14ac:dyDescent="0.4">
      <c r="A55" s="7" t="s">
        <v>3</v>
      </c>
      <c r="B55" s="7" t="s">
        <v>218</v>
      </c>
      <c r="C55" s="18" t="s">
        <v>120</v>
      </c>
      <c r="D55" s="4" t="s">
        <v>64</v>
      </c>
      <c r="E55" s="4">
        <v>1</v>
      </c>
    </row>
    <row r="56" spans="1:5" x14ac:dyDescent="0.4">
      <c r="A56" s="7" t="s">
        <v>3</v>
      </c>
      <c r="B56" s="7" t="s">
        <v>218</v>
      </c>
      <c r="C56" s="18" t="s">
        <v>121</v>
      </c>
      <c r="D56" s="4" t="s">
        <v>64</v>
      </c>
      <c r="E56" s="4">
        <v>1</v>
      </c>
    </row>
    <row r="57" spans="1:5" x14ac:dyDescent="0.4">
      <c r="A57" s="7" t="s">
        <v>3</v>
      </c>
      <c r="B57" s="7" t="s">
        <v>218</v>
      </c>
      <c r="C57" s="18" t="s">
        <v>122</v>
      </c>
      <c r="D57" s="4" t="s">
        <v>64</v>
      </c>
      <c r="E57" s="4">
        <v>1</v>
      </c>
    </row>
    <row r="58" spans="1:5" x14ac:dyDescent="0.4">
      <c r="A58" s="7" t="s">
        <v>3</v>
      </c>
      <c r="B58" s="7" t="s">
        <v>218</v>
      </c>
      <c r="C58" s="18" t="s">
        <v>123</v>
      </c>
      <c r="D58" s="4" t="s">
        <v>64</v>
      </c>
      <c r="E58" s="4">
        <v>1</v>
      </c>
    </row>
    <row r="59" spans="1:5" x14ac:dyDescent="0.4">
      <c r="A59" s="7" t="s">
        <v>3</v>
      </c>
      <c r="B59" s="7" t="s">
        <v>218</v>
      </c>
      <c r="C59" s="18" t="s">
        <v>124</v>
      </c>
      <c r="D59" s="4" t="s">
        <v>64</v>
      </c>
      <c r="E59" s="4">
        <v>1</v>
      </c>
    </row>
    <row r="60" spans="1:5" x14ac:dyDescent="0.4">
      <c r="A60" s="7" t="s">
        <v>3</v>
      </c>
      <c r="B60" s="7" t="s">
        <v>218</v>
      </c>
      <c r="C60" s="18" t="s">
        <v>125</v>
      </c>
      <c r="D60" s="4" t="s">
        <v>64</v>
      </c>
      <c r="E60" s="4">
        <v>1</v>
      </c>
    </row>
    <row r="61" spans="1:5" x14ac:dyDescent="0.4">
      <c r="A61" s="7" t="s">
        <v>3</v>
      </c>
      <c r="B61" s="7" t="s">
        <v>218</v>
      </c>
      <c r="C61" s="18" t="s">
        <v>126</v>
      </c>
      <c r="D61" s="4" t="s">
        <v>64</v>
      </c>
      <c r="E61" s="4">
        <v>1</v>
      </c>
    </row>
    <row r="62" spans="1:5" x14ac:dyDescent="0.4">
      <c r="A62" s="7" t="s">
        <v>3</v>
      </c>
      <c r="B62" s="7" t="s">
        <v>218</v>
      </c>
      <c r="C62" s="18" t="s">
        <v>127</v>
      </c>
      <c r="D62" s="4" t="s">
        <v>64</v>
      </c>
      <c r="E62" s="4">
        <v>1</v>
      </c>
    </row>
    <row r="63" spans="1:5" x14ac:dyDescent="0.4">
      <c r="A63" s="7" t="s">
        <v>3</v>
      </c>
      <c r="B63" s="7" t="s">
        <v>218</v>
      </c>
      <c r="C63" s="18" t="s">
        <v>128</v>
      </c>
      <c r="D63" s="4" t="s">
        <v>64</v>
      </c>
      <c r="E63" s="4">
        <v>1</v>
      </c>
    </row>
    <row r="64" spans="1:5" x14ac:dyDescent="0.4">
      <c r="A64" s="7" t="s">
        <v>3</v>
      </c>
      <c r="B64" s="7" t="s">
        <v>218</v>
      </c>
      <c r="C64" s="18" t="s">
        <v>129</v>
      </c>
      <c r="D64" s="4" t="s">
        <v>64</v>
      </c>
      <c r="E64" s="4">
        <v>1</v>
      </c>
    </row>
    <row r="65" spans="1:6" x14ac:dyDescent="0.4">
      <c r="A65" s="7" t="s">
        <v>3</v>
      </c>
      <c r="B65" s="7" t="s">
        <v>218</v>
      </c>
      <c r="C65" s="18" t="s">
        <v>130</v>
      </c>
      <c r="D65" s="4" t="s">
        <v>64</v>
      </c>
      <c r="E65" s="4">
        <v>1</v>
      </c>
    </row>
    <row r="66" spans="1:6" x14ac:dyDescent="0.4">
      <c r="A66" s="7" t="s">
        <v>3</v>
      </c>
      <c r="B66" s="7" t="s">
        <v>218</v>
      </c>
      <c r="C66" s="18" t="s">
        <v>131</v>
      </c>
      <c r="D66" s="4" t="s">
        <v>64</v>
      </c>
      <c r="E66" s="4">
        <v>1</v>
      </c>
    </row>
    <row r="67" spans="1:6" x14ac:dyDescent="0.4">
      <c r="A67" s="7" t="s">
        <v>3</v>
      </c>
      <c r="B67" s="7" t="s">
        <v>218</v>
      </c>
      <c r="C67" s="18" t="s">
        <v>132</v>
      </c>
      <c r="D67" s="4" t="s">
        <v>64</v>
      </c>
      <c r="E67" s="4">
        <v>1</v>
      </c>
    </row>
    <row r="68" spans="1:6" x14ac:dyDescent="0.4">
      <c r="A68" s="7" t="s">
        <v>3</v>
      </c>
      <c r="B68" s="7" t="s">
        <v>218</v>
      </c>
      <c r="C68" s="18" t="s">
        <v>133</v>
      </c>
      <c r="D68" s="4" t="s">
        <v>64</v>
      </c>
      <c r="E68" s="4">
        <v>1</v>
      </c>
    </row>
    <row r="69" spans="1:6" x14ac:dyDescent="0.4">
      <c r="A69" s="7" t="s">
        <v>3</v>
      </c>
      <c r="B69" s="7" t="s">
        <v>218</v>
      </c>
      <c r="C69" s="18" t="s">
        <v>134</v>
      </c>
      <c r="D69" s="4" t="s">
        <v>64</v>
      </c>
      <c r="E69" s="4">
        <v>1</v>
      </c>
    </row>
    <row r="70" spans="1:6" x14ac:dyDescent="0.4">
      <c r="A70" s="7" t="s">
        <v>3</v>
      </c>
      <c r="B70" s="7" t="s">
        <v>218</v>
      </c>
      <c r="C70" s="18" t="s">
        <v>135</v>
      </c>
      <c r="D70" s="4" t="s">
        <v>64</v>
      </c>
      <c r="E70" s="4">
        <v>1</v>
      </c>
    </row>
    <row r="71" spans="1:6" x14ac:dyDescent="0.4">
      <c r="A71" s="7" t="s">
        <v>3</v>
      </c>
      <c r="B71" s="7" t="s">
        <v>218</v>
      </c>
      <c r="C71" s="18" t="s">
        <v>136</v>
      </c>
      <c r="D71" s="4" t="s">
        <v>64</v>
      </c>
      <c r="E71" s="4">
        <v>1</v>
      </c>
    </row>
    <row r="72" spans="1:6" x14ac:dyDescent="0.4">
      <c r="A72" s="7" t="s">
        <v>3</v>
      </c>
      <c r="B72" s="7" t="s">
        <v>218</v>
      </c>
      <c r="C72" s="18" t="s">
        <v>137</v>
      </c>
      <c r="D72" s="4" t="s">
        <v>64</v>
      </c>
      <c r="E72" s="4">
        <v>1</v>
      </c>
    </row>
    <row r="73" spans="1:6" x14ac:dyDescent="0.4">
      <c r="A73" s="7" t="s">
        <v>3</v>
      </c>
      <c r="B73" s="7" t="s">
        <v>218</v>
      </c>
      <c r="C73" s="18" t="s">
        <v>138</v>
      </c>
      <c r="D73" s="4" t="s">
        <v>64</v>
      </c>
      <c r="E73" s="4">
        <v>1</v>
      </c>
    </row>
    <row r="74" spans="1:6" x14ac:dyDescent="0.4">
      <c r="A74" s="7" t="s">
        <v>3</v>
      </c>
      <c r="B74" s="7" t="s">
        <v>218</v>
      </c>
      <c r="C74" s="18" t="s">
        <v>139</v>
      </c>
      <c r="D74" s="4" t="s">
        <v>64</v>
      </c>
      <c r="E74" s="4">
        <v>1</v>
      </c>
      <c r="F74" s="14"/>
    </row>
    <row r="75" spans="1:6" x14ac:dyDescent="0.4">
      <c r="A75" s="7" t="s">
        <v>3</v>
      </c>
      <c r="B75" s="7" t="s">
        <v>218</v>
      </c>
      <c r="C75" s="18" t="s">
        <v>140</v>
      </c>
      <c r="D75" s="4" t="s">
        <v>64</v>
      </c>
      <c r="E75" s="4">
        <v>1</v>
      </c>
    </row>
    <row r="76" spans="1:6" x14ac:dyDescent="0.4">
      <c r="A76" s="7" t="s">
        <v>3</v>
      </c>
      <c r="B76" s="7" t="s">
        <v>218</v>
      </c>
      <c r="C76" s="18" t="s">
        <v>141</v>
      </c>
      <c r="D76" s="4" t="s">
        <v>64</v>
      </c>
      <c r="E76" s="4">
        <v>1</v>
      </c>
    </row>
    <row r="77" spans="1:6" x14ac:dyDescent="0.4">
      <c r="A77" s="7" t="s">
        <v>3</v>
      </c>
      <c r="B77" s="7" t="s">
        <v>218</v>
      </c>
      <c r="C77" s="18" t="s">
        <v>142</v>
      </c>
      <c r="D77" s="4" t="s">
        <v>64</v>
      </c>
      <c r="E77" s="4">
        <v>1</v>
      </c>
    </row>
    <row r="78" spans="1:6" x14ac:dyDescent="0.4">
      <c r="A78" s="7" t="s">
        <v>3</v>
      </c>
      <c r="B78" s="7" t="s">
        <v>218</v>
      </c>
      <c r="C78" s="18" t="s">
        <v>143</v>
      </c>
      <c r="D78" s="4" t="s">
        <v>64</v>
      </c>
      <c r="E78" s="4">
        <v>1</v>
      </c>
    </row>
    <row r="79" spans="1:6" x14ac:dyDescent="0.4">
      <c r="A79" s="7" t="s">
        <v>3</v>
      </c>
      <c r="B79" s="7" t="s">
        <v>218</v>
      </c>
      <c r="C79" s="18" t="s">
        <v>144</v>
      </c>
      <c r="D79" s="4" t="s">
        <v>64</v>
      </c>
      <c r="E79" s="4">
        <v>1</v>
      </c>
    </row>
    <row r="80" spans="1:6" x14ac:dyDescent="0.4">
      <c r="A80" s="7" t="s">
        <v>3</v>
      </c>
      <c r="B80" s="7" t="s">
        <v>218</v>
      </c>
      <c r="C80" s="18" t="s">
        <v>145</v>
      </c>
      <c r="D80" s="4" t="s">
        <v>64</v>
      </c>
      <c r="E80" s="4">
        <v>1</v>
      </c>
    </row>
    <row r="81" spans="1:5" x14ac:dyDescent="0.4">
      <c r="A81" s="7" t="s">
        <v>3</v>
      </c>
      <c r="B81" s="7" t="s">
        <v>218</v>
      </c>
      <c r="C81" s="18" t="s">
        <v>146</v>
      </c>
      <c r="D81" s="4" t="s">
        <v>64</v>
      </c>
      <c r="E81" s="4">
        <v>1</v>
      </c>
    </row>
    <row r="82" spans="1:5" x14ac:dyDescent="0.4">
      <c r="A82" s="7" t="s">
        <v>3</v>
      </c>
      <c r="B82" s="7" t="s">
        <v>218</v>
      </c>
      <c r="C82" s="18" t="s">
        <v>147</v>
      </c>
      <c r="D82" s="4" t="s">
        <v>64</v>
      </c>
      <c r="E82" s="4">
        <v>1</v>
      </c>
    </row>
    <row r="83" spans="1:5" x14ac:dyDescent="0.4">
      <c r="A83" s="7" t="s">
        <v>3</v>
      </c>
      <c r="B83" s="7" t="s">
        <v>218</v>
      </c>
      <c r="C83" s="18" t="s">
        <v>148</v>
      </c>
      <c r="D83" s="4" t="s">
        <v>64</v>
      </c>
      <c r="E83" s="4">
        <v>1</v>
      </c>
    </row>
    <row r="84" spans="1:5" x14ac:dyDescent="0.4">
      <c r="A84" s="7" t="s">
        <v>3</v>
      </c>
      <c r="B84" s="7" t="s">
        <v>218</v>
      </c>
      <c r="C84" s="18" t="s">
        <v>149</v>
      </c>
      <c r="D84" s="4" t="s">
        <v>64</v>
      </c>
      <c r="E84" s="4">
        <v>1</v>
      </c>
    </row>
    <row r="85" spans="1:5" x14ac:dyDescent="0.4">
      <c r="A85" s="7" t="s">
        <v>3</v>
      </c>
      <c r="B85" s="7" t="s">
        <v>218</v>
      </c>
      <c r="C85" s="18" t="s">
        <v>150</v>
      </c>
      <c r="D85" s="4" t="s">
        <v>64</v>
      </c>
      <c r="E85" s="4">
        <v>1</v>
      </c>
    </row>
    <row r="86" spans="1:5" x14ac:dyDescent="0.4">
      <c r="A86" s="7" t="s">
        <v>3</v>
      </c>
      <c r="B86" s="7" t="s">
        <v>218</v>
      </c>
      <c r="C86" s="18" t="s">
        <v>151</v>
      </c>
      <c r="D86" s="4" t="s">
        <v>64</v>
      </c>
      <c r="E86" s="4">
        <v>1</v>
      </c>
    </row>
    <row r="87" spans="1:5" x14ac:dyDescent="0.4">
      <c r="A87" s="7" t="s">
        <v>3</v>
      </c>
      <c r="B87" s="7" t="s">
        <v>218</v>
      </c>
      <c r="C87" s="18" t="s">
        <v>152</v>
      </c>
      <c r="D87" s="4" t="s">
        <v>64</v>
      </c>
      <c r="E87" s="4">
        <v>1</v>
      </c>
    </row>
    <row r="88" spans="1:5" x14ac:dyDescent="0.4">
      <c r="A88" s="7" t="s">
        <v>3</v>
      </c>
      <c r="B88" s="7" t="s">
        <v>218</v>
      </c>
      <c r="C88" s="18" t="s">
        <v>153</v>
      </c>
      <c r="D88" s="4" t="s">
        <v>64</v>
      </c>
      <c r="E88" s="4">
        <v>1</v>
      </c>
    </row>
    <row r="89" spans="1:5" x14ac:dyDescent="0.4">
      <c r="A89" s="7" t="s">
        <v>3</v>
      </c>
      <c r="B89" s="7" t="s">
        <v>218</v>
      </c>
      <c r="C89" s="18" t="s">
        <v>154</v>
      </c>
      <c r="D89" s="4" t="s">
        <v>64</v>
      </c>
      <c r="E89" s="4">
        <v>1</v>
      </c>
    </row>
    <row r="90" spans="1:5" x14ac:dyDescent="0.4">
      <c r="A90" s="7" t="s">
        <v>3</v>
      </c>
      <c r="B90" s="7" t="s">
        <v>218</v>
      </c>
      <c r="C90" s="18" t="s">
        <v>155</v>
      </c>
      <c r="D90" s="4" t="s">
        <v>64</v>
      </c>
      <c r="E90" s="4">
        <v>1</v>
      </c>
    </row>
    <row r="91" spans="1:5" x14ac:dyDescent="0.4">
      <c r="A91" s="7" t="s">
        <v>3</v>
      </c>
      <c r="B91" s="7" t="s">
        <v>218</v>
      </c>
      <c r="C91" s="18" t="s">
        <v>156</v>
      </c>
      <c r="D91" s="4" t="s">
        <v>64</v>
      </c>
      <c r="E91" s="4">
        <v>1</v>
      </c>
    </row>
    <row r="92" spans="1:5" x14ac:dyDescent="0.4">
      <c r="A92" s="7" t="s">
        <v>3</v>
      </c>
      <c r="B92" s="7" t="s">
        <v>218</v>
      </c>
      <c r="C92" s="18" t="s">
        <v>157</v>
      </c>
      <c r="D92" s="4" t="s">
        <v>64</v>
      </c>
      <c r="E92" s="4">
        <v>1</v>
      </c>
    </row>
    <row r="93" spans="1:5" x14ac:dyDescent="0.4">
      <c r="A93" s="7" t="s">
        <v>3</v>
      </c>
      <c r="B93" s="7" t="s">
        <v>218</v>
      </c>
      <c r="C93" s="18" t="s">
        <v>158</v>
      </c>
      <c r="D93" s="4" t="s">
        <v>64</v>
      </c>
      <c r="E93" s="4">
        <v>1</v>
      </c>
    </row>
    <row r="94" spans="1:5" x14ac:dyDescent="0.4">
      <c r="A94" s="7" t="s">
        <v>3</v>
      </c>
      <c r="B94" s="7" t="s">
        <v>218</v>
      </c>
      <c r="C94" s="18" t="s">
        <v>159</v>
      </c>
      <c r="D94" s="4" t="s">
        <v>64</v>
      </c>
      <c r="E94" s="4">
        <v>1</v>
      </c>
    </row>
    <row r="95" spans="1:5" x14ac:dyDescent="0.4">
      <c r="A95" s="7" t="s">
        <v>3</v>
      </c>
      <c r="B95" s="7" t="s">
        <v>218</v>
      </c>
      <c r="C95" s="18" t="s">
        <v>160</v>
      </c>
      <c r="D95" s="4" t="s">
        <v>64</v>
      </c>
      <c r="E95" s="4">
        <v>1</v>
      </c>
    </row>
    <row r="96" spans="1:5" x14ac:dyDescent="0.4">
      <c r="A96" s="7" t="s">
        <v>3</v>
      </c>
      <c r="B96" s="7" t="s">
        <v>218</v>
      </c>
      <c r="C96" s="18" t="s">
        <v>161</v>
      </c>
      <c r="D96" s="4" t="s">
        <v>64</v>
      </c>
      <c r="E96" s="4">
        <v>1</v>
      </c>
    </row>
    <row r="97" spans="1:5" x14ac:dyDescent="0.4">
      <c r="A97" s="7" t="s">
        <v>3</v>
      </c>
      <c r="B97" s="7" t="s">
        <v>218</v>
      </c>
      <c r="C97" s="18" t="s">
        <v>162</v>
      </c>
      <c r="D97" s="4" t="s">
        <v>64</v>
      </c>
      <c r="E97" s="4">
        <v>1</v>
      </c>
    </row>
    <row r="98" spans="1:5" x14ac:dyDescent="0.4">
      <c r="A98" s="7" t="s">
        <v>3</v>
      </c>
      <c r="B98" s="7" t="s">
        <v>218</v>
      </c>
      <c r="C98" s="18" t="s">
        <v>163</v>
      </c>
      <c r="D98" s="4" t="s">
        <v>64</v>
      </c>
      <c r="E98" s="4">
        <v>1</v>
      </c>
    </row>
    <row r="99" spans="1:5" x14ac:dyDescent="0.4">
      <c r="A99" s="7" t="s">
        <v>3</v>
      </c>
      <c r="B99" s="7" t="s">
        <v>218</v>
      </c>
      <c r="C99" s="18" t="s">
        <v>164</v>
      </c>
      <c r="D99" s="4" t="s">
        <v>64</v>
      </c>
      <c r="E99" s="4">
        <v>1</v>
      </c>
    </row>
    <row r="100" spans="1:5" x14ac:dyDescent="0.4">
      <c r="A100" s="7" t="s">
        <v>3</v>
      </c>
      <c r="B100" s="7" t="s">
        <v>218</v>
      </c>
      <c r="C100" s="18" t="s">
        <v>165</v>
      </c>
      <c r="D100" s="4" t="s">
        <v>64</v>
      </c>
      <c r="E100" s="4">
        <v>1</v>
      </c>
    </row>
    <row r="101" spans="1:5" x14ac:dyDescent="0.4">
      <c r="A101" s="7" t="s">
        <v>3</v>
      </c>
      <c r="B101" s="7" t="s">
        <v>218</v>
      </c>
      <c r="C101" s="18" t="s">
        <v>166</v>
      </c>
      <c r="D101" s="4" t="s">
        <v>64</v>
      </c>
      <c r="E101" s="4">
        <v>1</v>
      </c>
    </row>
    <row r="102" spans="1:5" x14ac:dyDescent="0.4">
      <c r="A102" s="7" t="s">
        <v>3</v>
      </c>
      <c r="B102" s="7" t="s">
        <v>218</v>
      </c>
      <c r="C102" s="18" t="s">
        <v>167</v>
      </c>
      <c r="D102" s="4" t="s">
        <v>64</v>
      </c>
      <c r="E102" s="4">
        <v>1</v>
      </c>
    </row>
    <row r="103" spans="1:5" x14ac:dyDescent="0.4">
      <c r="A103" s="7" t="s">
        <v>3</v>
      </c>
      <c r="B103" s="7" t="s">
        <v>218</v>
      </c>
      <c r="C103" s="18" t="s">
        <v>168</v>
      </c>
      <c r="D103" s="4" t="s">
        <v>64</v>
      </c>
      <c r="E103" s="4">
        <v>1</v>
      </c>
    </row>
    <row r="104" spans="1:5" x14ac:dyDescent="0.4">
      <c r="A104" s="7" t="s">
        <v>3</v>
      </c>
      <c r="B104" s="7" t="s">
        <v>218</v>
      </c>
      <c r="C104" s="18" t="s">
        <v>169</v>
      </c>
      <c r="D104" s="4" t="s">
        <v>64</v>
      </c>
      <c r="E104" s="4">
        <v>1</v>
      </c>
    </row>
    <row r="105" spans="1:5" x14ac:dyDescent="0.4">
      <c r="A105" s="7" t="s">
        <v>3</v>
      </c>
      <c r="B105" s="7" t="s">
        <v>218</v>
      </c>
      <c r="C105" s="18" t="s">
        <v>170</v>
      </c>
      <c r="D105" s="4" t="s">
        <v>64</v>
      </c>
      <c r="E105" s="4">
        <v>1</v>
      </c>
    </row>
    <row r="106" spans="1:5" x14ac:dyDescent="0.4">
      <c r="A106" s="7" t="s">
        <v>3</v>
      </c>
      <c r="B106" s="7" t="s">
        <v>218</v>
      </c>
      <c r="C106" s="18" t="s">
        <v>171</v>
      </c>
      <c r="D106" s="4" t="s">
        <v>64</v>
      </c>
      <c r="E106" s="4">
        <v>1</v>
      </c>
    </row>
    <row r="107" spans="1:5" x14ac:dyDescent="0.4">
      <c r="A107" s="7" t="s">
        <v>3</v>
      </c>
      <c r="B107" s="7" t="s">
        <v>218</v>
      </c>
      <c r="C107" s="18" t="s">
        <v>172</v>
      </c>
      <c r="D107" s="4" t="s">
        <v>64</v>
      </c>
      <c r="E107" s="4">
        <v>1</v>
      </c>
    </row>
    <row r="108" spans="1:5" x14ac:dyDescent="0.4">
      <c r="A108" s="7" t="s">
        <v>3</v>
      </c>
      <c r="B108" s="7" t="s">
        <v>218</v>
      </c>
      <c r="C108" s="18" t="s">
        <v>173</v>
      </c>
      <c r="D108" s="4" t="s">
        <v>64</v>
      </c>
      <c r="E108" s="4">
        <v>1</v>
      </c>
    </row>
    <row r="109" spans="1:5" x14ac:dyDescent="0.4">
      <c r="A109" s="7" t="s">
        <v>3</v>
      </c>
      <c r="B109" s="7" t="s">
        <v>218</v>
      </c>
      <c r="C109" s="18" t="s">
        <v>174</v>
      </c>
      <c r="D109" s="4" t="s">
        <v>64</v>
      </c>
      <c r="E109" s="4">
        <v>1</v>
      </c>
    </row>
    <row r="110" spans="1:5" x14ac:dyDescent="0.4">
      <c r="A110" s="7" t="s">
        <v>3</v>
      </c>
      <c r="B110" s="7" t="s">
        <v>218</v>
      </c>
      <c r="C110" s="18" t="s">
        <v>175</v>
      </c>
      <c r="D110" s="4" t="s">
        <v>64</v>
      </c>
      <c r="E110" s="4">
        <v>1</v>
      </c>
    </row>
    <row r="111" spans="1:5" x14ac:dyDescent="0.4">
      <c r="A111" s="7" t="s">
        <v>4</v>
      </c>
      <c r="B111" s="7" t="s">
        <v>213</v>
      </c>
      <c r="C111" s="19" t="s">
        <v>177</v>
      </c>
      <c r="D111" s="4" t="s">
        <v>65</v>
      </c>
      <c r="E111" s="4">
        <v>1</v>
      </c>
    </row>
    <row r="112" spans="1:5" x14ac:dyDescent="0.4">
      <c r="A112" s="7" t="s">
        <v>4</v>
      </c>
      <c r="B112" s="7" t="s">
        <v>213</v>
      </c>
      <c r="C112" s="19" t="s">
        <v>178</v>
      </c>
      <c r="D112" s="4" t="s">
        <v>65</v>
      </c>
      <c r="E112" s="4">
        <v>1</v>
      </c>
    </row>
    <row r="113" spans="1:5" x14ac:dyDescent="0.4">
      <c r="A113" s="7" t="s">
        <v>4</v>
      </c>
      <c r="B113" s="7" t="s">
        <v>213</v>
      </c>
      <c r="C113" s="19" t="s">
        <v>179</v>
      </c>
      <c r="D113" s="4" t="s">
        <v>65</v>
      </c>
      <c r="E113" s="4">
        <v>1</v>
      </c>
    </row>
    <row r="114" spans="1:5" x14ac:dyDescent="0.4">
      <c r="A114" s="7" t="s">
        <v>4</v>
      </c>
      <c r="B114" s="7" t="s">
        <v>213</v>
      </c>
      <c r="C114" s="19" t="s">
        <v>180</v>
      </c>
      <c r="D114" s="4" t="s">
        <v>65</v>
      </c>
      <c r="E114" s="4">
        <v>1</v>
      </c>
    </row>
    <row r="115" spans="1:5" x14ac:dyDescent="0.4">
      <c r="A115" s="7" t="s">
        <v>4</v>
      </c>
      <c r="B115" s="7" t="s">
        <v>213</v>
      </c>
      <c r="C115" s="19" t="s">
        <v>181</v>
      </c>
      <c r="D115" s="4" t="s">
        <v>65</v>
      </c>
      <c r="E115" s="4">
        <v>1</v>
      </c>
    </row>
    <row r="116" spans="1:5" x14ac:dyDescent="0.4">
      <c r="A116" s="7" t="s">
        <v>4</v>
      </c>
      <c r="B116" s="7" t="s">
        <v>213</v>
      </c>
      <c r="C116" s="19" t="s">
        <v>182</v>
      </c>
      <c r="D116" s="4" t="s">
        <v>65</v>
      </c>
      <c r="E116" s="4">
        <v>1</v>
      </c>
    </row>
    <row r="117" spans="1:5" x14ac:dyDescent="0.4">
      <c r="A117" s="7" t="s">
        <v>4</v>
      </c>
      <c r="B117" s="7" t="s">
        <v>213</v>
      </c>
      <c r="C117" s="19" t="s">
        <v>183</v>
      </c>
      <c r="D117" s="4" t="s">
        <v>65</v>
      </c>
      <c r="E117" s="4">
        <v>1</v>
      </c>
    </row>
    <row r="118" spans="1:5" x14ac:dyDescent="0.4">
      <c r="A118" s="7" t="s">
        <v>4</v>
      </c>
      <c r="B118" s="7" t="s">
        <v>213</v>
      </c>
      <c r="C118" s="19" t="s">
        <v>184</v>
      </c>
      <c r="D118" s="4" t="s">
        <v>65</v>
      </c>
      <c r="E118" s="4">
        <v>1</v>
      </c>
    </row>
    <row r="119" spans="1:5" x14ac:dyDescent="0.4">
      <c r="A119" s="7" t="s">
        <v>4</v>
      </c>
      <c r="B119" s="7" t="s">
        <v>213</v>
      </c>
      <c r="C119" s="19" t="s">
        <v>185</v>
      </c>
      <c r="D119" s="4" t="s">
        <v>65</v>
      </c>
      <c r="E119" s="4">
        <v>1</v>
      </c>
    </row>
    <row r="120" spans="1:5" x14ac:dyDescent="0.4">
      <c r="A120" s="7" t="s">
        <v>4</v>
      </c>
      <c r="B120" s="7" t="s">
        <v>213</v>
      </c>
      <c r="C120" s="19" t="s">
        <v>186</v>
      </c>
      <c r="D120" s="4" t="s">
        <v>65</v>
      </c>
      <c r="E120" s="4">
        <v>1</v>
      </c>
    </row>
    <row r="121" spans="1:5" x14ac:dyDescent="0.4">
      <c r="A121" s="7" t="s">
        <v>4</v>
      </c>
      <c r="B121" s="7" t="s">
        <v>213</v>
      </c>
      <c r="C121" s="19" t="s">
        <v>187</v>
      </c>
      <c r="D121" s="4" t="s">
        <v>65</v>
      </c>
      <c r="E121" s="4">
        <v>1</v>
      </c>
    </row>
    <row r="122" spans="1:5" x14ac:dyDescent="0.4">
      <c r="A122" s="7" t="s">
        <v>4</v>
      </c>
      <c r="B122" s="7" t="s">
        <v>213</v>
      </c>
      <c r="C122" s="19" t="s">
        <v>188</v>
      </c>
      <c r="D122" s="4" t="s">
        <v>65</v>
      </c>
      <c r="E122" s="4">
        <v>1</v>
      </c>
    </row>
    <row r="123" spans="1:5" x14ac:dyDescent="0.4">
      <c r="A123" s="7" t="s">
        <v>4</v>
      </c>
      <c r="B123" s="7" t="s">
        <v>213</v>
      </c>
      <c r="C123" s="19" t="s">
        <v>189</v>
      </c>
      <c r="D123" s="4" t="s">
        <v>65</v>
      </c>
      <c r="E123" s="4">
        <v>1</v>
      </c>
    </row>
    <row r="124" spans="1:5" x14ac:dyDescent="0.4">
      <c r="A124" s="7" t="s">
        <v>4</v>
      </c>
      <c r="B124" s="7" t="s">
        <v>213</v>
      </c>
      <c r="C124" s="19" t="s">
        <v>190</v>
      </c>
      <c r="D124" s="4" t="s">
        <v>65</v>
      </c>
      <c r="E124" s="4">
        <v>1</v>
      </c>
    </row>
    <row r="125" spans="1:5" x14ac:dyDescent="0.4">
      <c r="A125" s="7" t="s">
        <v>4</v>
      </c>
      <c r="B125" s="7" t="s">
        <v>213</v>
      </c>
      <c r="C125" s="19" t="s">
        <v>191</v>
      </c>
      <c r="D125" s="4" t="s">
        <v>65</v>
      </c>
      <c r="E125" s="4">
        <v>1</v>
      </c>
    </row>
    <row r="126" spans="1:5" x14ac:dyDescent="0.4">
      <c r="A126" s="7" t="s">
        <v>4</v>
      </c>
      <c r="B126" s="7" t="s">
        <v>213</v>
      </c>
      <c r="C126" s="19" t="s">
        <v>192</v>
      </c>
      <c r="D126" s="4" t="s">
        <v>65</v>
      </c>
      <c r="E126" s="4">
        <v>1</v>
      </c>
    </row>
    <row r="127" spans="1:5" x14ac:dyDescent="0.4">
      <c r="A127" s="7" t="s">
        <v>4</v>
      </c>
      <c r="B127" s="7" t="s">
        <v>213</v>
      </c>
      <c r="C127" s="19" t="s">
        <v>193</v>
      </c>
      <c r="D127" s="4" t="s">
        <v>65</v>
      </c>
      <c r="E127" s="4">
        <v>1</v>
      </c>
    </row>
    <row r="128" spans="1:5" x14ac:dyDescent="0.4">
      <c r="A128" s="7" t="s">
        <v>4</v>
      </c>
      <c r="B128" s="7" t="s">
        <v>213</v>
      </c>
      <c r="C128" s="19" t="s">
        <v>194</v>
      </c>
      <c r="D128" s="4" t="s">
        <v>65</v>
      </c>
      <c r="E128" s="4">
        <v>1</v>
      </c>
    </row>
    <row r="129" spans="1:5" x14ac:dyDescent="0.4">
      <c r="A129" s="7" t="s">
        <v>4</v>
      </c>
      <c r="B129" s="7" t="s">
        <v>213</v>
      </c>
      <c r="C129" s="19" t="s">
        <v>195</v>
      </c>
      <c r="D129" s="4" t="s">
        <v>65</v>
      </c>
      <c r="E129" s="4">
        <v>1</v>
      </c>
    </row>
    <row r="130" spans="1:5" x14ac:dyDescent="0.4">
      <c r="A130" s="7" t="s">
        <v>4</v>
      </c>
      <c r="B130" s="7" t="s">
        <v>213</v>
      </c>
      <c r="C130" s="19" t="s">
        <v>196</v>
      </c>
      <c r="D130" s="4" t="s">
        <v>65</v>
      </c>
      <c r="E130" s="4">
        <v>1</v>
      </c>
    </row>
    <row r="131" spans="1:5" x14ac:dyDescent="0.4">
      <c r="A131" s="7" t="s">
        <v>4</v>
      </c>
      <c r="B131" s="7" t="s">
        <v>213</v>
      </c>
      <c r="C131" s="19" t="s">
        <v>197</v>
      </c>
      <c r="D131" s="4" t="s">
        <v>65</v>
      </c>
      <c r="E131" s="4">
        <v>1</v>
      </c>
    </row>
    <row r="132" spans="1:5" x14ac:dyDescent="0.4">
      <c r="A132" s="7" t="s">
        <v>202</v>
      </c>
      <c r="B132" s="7" t="s">
        <v>212</v>
      </c>
      <c r="C132" s="20" t="s">
        <v>55</v>
      </c>
      <c r="D132" s="4" t="s">
        <v>210</v>
      </c>
      <c r="E132" s="4">
        <v>1</v>
      </c>
    </row>
    <row r="133" spans="1:5" x14ac:dyDescent="0.4">
      <c r="A133" s="7" t="s">
        <v>5</v>
      </c>
      <c r="B133" s="7" t="s">
        <v>212</v>
      </c>
      <c r="C133" s="20" t="s">
        <v>55</v>
      </c>
      <c r="D133" s="4" t="s">
        <v>210</v>
      </c>
      <c r="E133" s="4">
        <v>1</v>
      </c>
    </row>
    <row r="134" spans="1:5" x14ac:dyDescent="0.4">
      <c r="A134" s="7" t="s">
        <v>5</v>
      </c>
      <c r="B134" s="7" t="s">
        <v>212</v>
      </c>
      <c r="C134" s="20" t="s">
        <v>203</v>
      </c>
      <c r="D134" s="4" t="s">
        <v>210</v>
      </c>
      <c r="E134" s="4">
        <v>1</v>
      </c>
    </row>
    <row r="135" spans="1:5" x14ac:dyDescent="0.4">
      <c r="A135" s="7" t="s">
        <v>5</v>
      </c>
      <c r="B135" s="7" t="s">
        <v>212</v>
      </c>
      <c r="C135" s="18" t="s">
        <v>204</v>
      </c>
      <c r="D135" s="4" t="s">
        <v>210</v>
      </c>
      <c r="E135" s="4">
        <v>1</v>
      </c>
    </row>
    <row r="136" spans="1:5" x14ac:dyDescent="0.4">
      <c r="A136" s="7" t="s">
        <v>5</v>
      </c>
      <c r="B136" s="7" t="s">
        <v>212</v>
      </c>
      <c r="C136" s="18" t="s">
        <v>205</v>
      </c>
      <c r="D136" s="4" t="s">
        <v>210</v>
      </c>
      <c r="E136" s="4">
        <v>1</v>
      </c>
    </row>
    <row r="137" spans="1:5" x14ac:dyDescent="0.4">
      <c r="A137" s="7" t="s">
        <v>5</v>
      </c>
      <c r="B137" s="7" t="s">
        <v>212</v>
      </c>
      <c r="C137" s="18" t="s">
        <v>206</v>
      </c>
      <c r="D137" s="4" t="s">
        <v>210</v>
      </c>
      <c r="E137" s="4">
        <v>1</v>
      </c>
    </row>
    <row r="138" spans="1:5" x14ac:dyDescent="0.4">
      <c r="A138" s="7" t="s">
        <v>5</v>
      </c>
      <c r="B138" s="7" t="s">
        <v>212</v>
      </c>
      <c r="C138" s="18" t="s">
        <v>207</v>
      </c>
      <c r="D138" s="4" t="s">
        <v>210</v>
      </c>
      <c r="E138" s="4">
        <v>1</v>
      </c>
    </row>
    <row r="139" spans="1:5" x14ac:dyDescent="0.4">
      <c r="A139" s="7" t="s">
        <v>202</v>
      </c>
      <c r="B139" s="11" t="s">
        <v>216</v>
      </c>
      <c r="C139" s="20" t="s">
        <v>201</v>
      </c>
      <c r="D139" s="4" t="s">
        <v>210</v>
      </c>
      <c r="E139" s="22">
        <f>4.37*0.00001*1000000000</f>
        <v>43700.000000000007</v>
      </c>
    </row>
    <row r="140" spans="1:5" x14ac:dyDescent="0.4">
      <c r="A140" s="7" t="s">
        <v>5</v>
      </c>
      <c r="B140" s="11" t="s">
        <v>216</v>
      </c>
      <c r="C140" s="20" t="s">
        <v>201</v>
      </c>
      <c r="D140" s="4" t="s">
        <v>210</v>
      </c>
      <c r="E140" s="22">
        <f t="shared" ref="E140:E145" si="0">4.37*0.00001*1000000000</f>
        <v>43700.000000000007</v>
      </c>
    </row>
    <row r="141" spans="1:5" x14ac:dyDescent="0.4">
      <c r="A141" s="7" t="s">
        <v>5</v>
      </c>
      <c r="B141" s="11" t="s">
        <v>216</v>
      </c>
      <c r="C141" s="20" t="s">
        <v>203</v>
      </c>
      <c r="D141" s="4" t="s">
        <v>210</v>
      </c>
      <c r="E141" s="22">
        <f t="shared" si="0"/>
        <v>43700.000000000007</v>
      </c>
    </row>
    <row r="142" spans="1:5" x14ac:dyDescent="0.4">
      <c r="A142" s="7" t="s">
        <v>5</v>
      </c>
      <c r="B142" s="11" t="s">
        <v>216</v>
      </c>
      <c r="C142" s="18" t="s">
        <v>204</v>
      </c>
      <c r="D142" s="4" t="s">
        <v>210</v>
      </c>
      <c r="E142" s="22">
        <f t="shared" si="0"/>
        <v>43700.000000000007</v>
      </c>
    </row>
    <row r="143" spans="1:5" x14ac:dyDescent="0.4">
      <c r="A143" s="7" t="s">
        <v>5</v>
      </c>
      <c r="B143" s="11" t="s">
        <v>216</v>
      </c>
      <c r="C143" s="18" t="s">
        <v>205</v>
      </c>
      <c r="D143" s="4" t="s">
        <v>210</v>
      </c>
      <c r="E143" s="22">
        <f t="shared" si="0"/>
        <v>43700.000000000007</v>
      </c>
    </row>
    <row r="144" spans="1:5" x14ac:dyDescent="0.4">
      <c r="A144" s="7" t="s">
        <v>5</v>
      </c>
      <c r="B144" s="11" t="s">
        <v>216</v>
      </c>
      <c r="C144" s="18" t="s">
        <v>206</v>
      </c>
      <c r="D144" s="4" t="s">
        <v>210</v>
      </c>
      <c r="E144" s="22">
        <f t="shared" si="0"/>
        <v>43700.000000000007</v>
      </c>
    </row>
    <row r="145" spans="1:5" x14ac:dyDescent="0.4">
      <c r="A145" s="7" t="s">
        <v>5</v>
      </c>
      <c r="B145" s="11" t="s">
        <v>216</v>
      </c>
      <c r="C145" s="18" t="s">
        <v>207</v>
      </c>
      <c r="D145" s="4" t="s">
        <v>210</v>
      </c>
      <c r="E145" s="22">
        <f t="shared" si="0"/>
        <v>43700.000000000007</v>
      </c>
    </row>
    <row r="146" spans="1:5" x14ac:dyDescent="0.4">
      <c r="A146" s="7" t="s">
        <v>4</v>
      </c>
      <c r="B146" s="11" t="s">
        <v>216</v>
      </c>
      <c r="C146" s="19" t="s">
        <v>176</v>
      </c>
      <c r="D146" s="4" t="s">
        <v>65</v>
      </c>
      <c r="E146" s="4">
        <f>0.95*100</f>
        <v>95</v>
      </c>
    </row>
    <row r="147" spans="1:5" x14ac:dyDescent="0.4">
      <c r="A147" s="7" t="s">
        <v>4</v>
      </c>
      <c r="B147" s="11" t="s">
        <v>216</v>
      </c>
      <c r="C147" s="21" t="s">
        <v>177</v>
      </c>
      <c r="D147" s="4" t="s">
        <v>65</v>
      </c>
      <c r="E147" s="4">
        <f>0.88*100</f>
        <v>88</v>
      </c>
    </row>
    <row r="148" spans="1:5" x14ac:dyDescent="0.4">
      <c r="A148" s="7" t="s">
        <v>4</v>
      </c>
      <c r="B148" s="11" t="s">
        <v>216</v>
      </c>
      <c r="C148" s="21" t="s">
        <v>178</v>
      </c>
      <c r="D148" s="4" t="s">
        <v>65</v>
      </c>
      <c r="E148" s="4">
        <f t="shared" ref="E148:E167" si="1">0.88*100</f>
        <v>88</v>
      </c>
    </row>
    <row r="149" spans="1:5" x14ac:dyDescent="0.4">
      <c r="A149" s="7" t="s">
        <v>4</v>
      </c>
      <c r="B149" s="11" t="s">
        <v>216</v>
      </c>
      <c r="C149" s="21" t="s">
        <v>179</v>
      </c>
      <c r="D149" s="4" t="s">
        <v>65</v>
      </c>
      <c r="E149" s="4">
        <f t="shared" si="1"/>
        <v>88</v>
      </c>
    </row>
    <row r="150" spans="1:5" x14ac:dyDescent="0.4">
      <c r="A150" s="7" t="s">
        <v>4</v>
      </c>
      <c r="B150" s="11" t="s">
        <v>216</v>
      </c>
      <c r="C150" s="21" t="s">
        <v>180</v>
      </c>
      <c r="D150" s="4" t="s">
        <v>65</v>
      </c>
      <c r="E150" s="4">
        <f t="shared" si="1"/>
        <v>88</v>
      </c>
    </row>
    <row r="151" spans="1:5" x14ac:dyDescent="0.4">
      <c r="A151" s="7" t="s">
        <v>4</v>
      </c>
      <c r="B151" s="11" t="s">
        <v>216</v>
      </c>
      <c r="C151" s="21" t="s">
        <v>181</v>
      </c>
      <c r="D151" s="4" t="s">
        <v>65</v>
      </c>
      <c r="E151" s="4">
        <f t="shared" si="1"/>
        <v>88</v>
      </c>
    </row>
    <row r="152" spans="1:5" x14ac:dyDescent="0.4">
      <c r="A152" s="7" t="s">
        <v>4</v>
      </c>
      <c r="B152" s="11" t="s">
        <v>216</v>
      </c>
      <c r="C152" s="21" t="s">
        <v>182</v>
      </c>
      <c r="D152" s="4" t="s">
        <v>65</v>
      </c>
      <c r="E152" s="4">
        <f t="shared" si="1"/>
        <v>88</v>
      </c>
    </row>
    <row r="153" spans="1:5" x14ac:dyDescent="0.4">
      <c r="A153" s="7" t="s">
        <v>4</v>
      </c>
      <c r="B153" s="11" t="s">
        <v>216</v>
      </c>
      <c r="C153" s="21" t="s">
        <v>183</v>
      </c>
      <c r="D153" s="4" t="s">
        <v>65</v>
      </c>
      <c r="E153" s="4">
        <f t="shared" si="1"/>
        <v>88</v>
      </c>
    </row>
    <row r="154" spans="1:5" x14ac:dyDescent="0.4">
      <c r="A154" s="7" t="s">
        <v>4</v>
      </c>
      <c r="B154" s="11" t="s">
        <v>216</v>
      </c>
      <c r="C154" s="21" t="s">
        <v>184</v>
      </c>
      <c r="D154" s="4" t="s">
        <v>65</v>
      </c>
      <c r="E154" s="4">
        <f t="shared" si="1"/>
        <v>88</v>
      </c>
    </row>
    <row r="155" spans="1:5" x14ac:dyDescent="0.4">
      <c r="A155" s="7" t="s">
        <v>4</v>
      </c>
      <c r="B155" s="11" t="s">
        <v>216</v>
      </c>
      <c r="C155" s="21" t="s">
        <v>185</v>
      </c>
      <c r="D155" s="4" t="s">
        <v>65</v>
      </c>
      <c r="E155" s="4">
        <f t="shared" si="1"/>
        <v>88</v>
      </c>
    </row>
    <row r="156" spans="1:5" x14ac:dyDescent="0.4">
      <c r="A156" s="7" t="s">
        <v>4</v>
      </c>
      <c r="B156" s="11" t="s">
        <v>216</v>
      </c>
      <c r="C156" s="21" t="s">
        <v>186</v>
      </c>
      <c r="D156" s="4" t="s">
        <v>65</v>
      </c>
      <c r="E156" s="4">
        <f t="shared" si="1"/>
        <v>88</v>
      </c>
    </row>
    <row r="157" spans="1:5" x14ac:dyDescent="0.4">
      <c r="A157" s="7" t="s">
        <v>4</v>
      </c>
      <c r="B157" s="11" t="s">
        <v>216</v>
      </c>
      <c r="C157" s="21" t="s">
        <v>187</v>
      </c>
      <c r="D157" s="4" t="s">
        <v>65</v>
      </c>
      <c r="E157" s="4">
        <f t="shared" si="1"/>
        <v>88</v>
      </c>
    </row>
    <row r="158" spans="1:5" x14ac:dyDescent="0.4">
      <c r="A158" s="7" t="s">
        <v>4</v>
      </c>
      <c r="B158" s="11" t="s">
        <v>216</v>
      </c>
      <c r="C158" s="21" t="s">
        <v>188</v>
      </c>
      <c r="D158" s="4" t="s">
        <v>65</v>
      </c>
      <c r="E158" s="4">
        <f t="shared" si="1"/>
        <v>88</v>
      </c>
    </row>
    <row r="159" spans="1:5" x14ac:dyDescent="0.4">
      <c r="A159" s="7" t="s">
        <v>4</v>
      </c>
      <c r="B159" s="11" t="s">
        <v>216</v>
      </c>
      <c r="C159" s="21" t="s">
        <v>189</v>
      </c>
      <c r="D159" s="4" t="s">
        <v>65</v>
      </c>
      <c r="E159" s="4">
        <f t="shared" si="1"/>
        <v>88</v>
      </c>
    </row>
    <row r="160" spans="1:5" x14ac:dyDescent="0.4">
      <c r="A160" s="7" t="s">
        <v>4</v>
      </c>
      <c r="B160" s="11" t="s">
        <v>216</v>
      </c>
      <c r="C160" s="21" t="s">
        <v>190</v>
      </c>
      <c r="D160" s="4" t="s">
        <v>65</v>
      </c>
      <c r="E160" s="4">
        <f t="shared" si="1"/>
        <v>88</v>
      </c>
    </row>
    <row r="161" spans="1:5" x14ac:dyDescent="0.4">
      <c r="A161" s="7" t="s">
        <v>4</v>
      </c>
      <c r="B161" s="11" t="s">
        <v>216</v>
      </c>
      <c r="C161" s="21" t="s">
        <v>191</v>
      </c>
      <c r="D161" s="4" t="s">
        <v>65</v>
      </c>
      <c r="E161" s="4">
        <f t="shared" si="1"/>
        <v>88</v>
      </c>
    </row>
    <row r="162" spans="1:5" x14ac:dyDescent="0.4">
      <c r="A162" s="7" t="s">
        <v>4</v>
      </c>
      <c r="B162" s="11" t="s">
        <v>216</v>
      </c>
      <c r="C162" s="21" t="s">
        <v>192</v>
      </c>
      <c r="D162" s="4" t="s">
        <v>65</v>
      </c>
      <c r="E162" s="4">
        <f t="shared" si="1"/>
        <v>88</v>
      </c>
    </row>
    <row r="163" spans="1:5" x14ac:dyDescent="0.4">
      <c r="A163" s="7" t="s">
        <v>4</v>
      </c>
      <c r="B163" s="11" t="s">
        <v>216</v>
      </c>
      <c r="C163" s="21" t="s">
        <v>193</v>
      </c>
      <c r="D163" s="4" t="s">
        <v>65</v>
      </c>
      <c r="E163" s="4">
        <f t="shared" si="1"/>
        <v>88</v>
      </c>
    </row>
    <row r="164" spans="1:5" x14ac:dyDescent="0.4">
      <c r="A164" s="7" t="s">
        <v>4</v>
      </c>
      <c r="B164" s="11" t="s">
        <v>216</v>
      </c>
      <c r="C164" s="21" t="s">
        <v>194</v>
      </c>
      <c r="D164" s="4" t="s">
        <v>65</v>
      </c>
      <c r="E164" s="4">
        <f t="shared" si="1"/>
        <v>88</v>
      </c>
    </row>
    <row r="165" spans="1:5" x14ac:dyDescent="0.4">
      <c r="A165" s="7" t="s">
        <v>4</v>
      </c>
      <c r="B165" s="11" t="s">
        <v>216</v>
      </c>
      <c r="C165" s="21" t="s">
        <v>195</v>
      </c>
      <c r="D165" s="4" t="s">
        <v>65</v>
      </c>
      <c r="E165" s="4">
        <f t="shared" si="1"/>
        <v>88</v>
      </c>
    </row>
    <row r="166" spans="1:5" x14ac:dyDescent="0.4">
      <c r="A166" s="7" t="s">
        <v>4</v>
      </c>
      <c r="B166" s="11" t="s">
        <v>216</v>
      </c>
      <c r="C166" s="21" t="s">
        <v>196</v>
      </c>
      <c r="D166" s="4" t="s">
        <v>65</v>
      </c>
      <c r="E166" s="4">
        <f t="shared" si="1"/>
        <v>88</v>
      </c>
    </row>
    <row r="167" spans="1:5" x14ac:dyDescent="0.4">
      <c r="A167" s="7" t="s">
        <v>4</v>
      </c>
      <c r="B167" s="11" t="s">
        <v>216</v>
      </c>
      <c r="C167" s="21" t="s">
        <v>197</v>
      </c>
      <c r="D167" s="4" t="s">
        <v>65</v>
      </c>
      <c r="E167" s="4">
        <f t="shared" si="1"/>
        <v>88</v>
      </c>
    </row>
    <row r="168" spans="1:5" x14ac:dyDescent="0.4">
      <c r="A168" s="7" t="s">
        <v>4</v>
      </c>
      <c r="B168" s="11" t="s">
        <v>216</v>
      </c>
      <c r="C168" s="21" t="s">
        <v>198</v>
      </c>
      <c r="D168" s="4" t="s">
        <v>65</v>
      </c>
      <c r="E168" s="4">
        <f>0.17*100</f>
        <v>17</v>
      </c>
    </row>
    <row r="169" spans="1:5" x14ac:dyDescent="0.4">
      <c r="A169" s="7" t="s">
        <v>4</v>
      </c>
      <c r="B169" s="11" t="s">
        <v>216</v>
      </c>
      <c r="C169" s="21" t="s">
        <v>69</v>
      </c>
      <c r="D169" s="4" t="s">
        <v>65</v>
      </c>
      <c r="E169" s="4">
        <f>0.4*100</f>
        <v>40</v>
      </c>
    </row>
    <row r="170" spans="1:5" x14ac:dyDescent="0.4">
      <c r="A170" s="7" t="s">
        <v>4</v>
      </c>
      <c r="B170" s="11" t="s">
        <v>216</v>
      </c>
      <c r="C170" s="21" t="s">
        <v>70</v>
      </c>
      <c r="D170" s="4" t="s">
        <v>65</v>
      </c>
      <c r="E170" s="4">
        <f t="shared" ref="E170:E171" si="2">0.4*100</f>
        <v>40</v>
      </c>
    </row>
    <row r="171" spans="1:5" x14ac:dyDescent="0.4">
      <c r="A171" s="7" t="s">
        <v>4</v>
      </c>
      <c r="B171" s="11" t="s">
        <v>216</v>
      </c>
      <c r="C171" s="21" t="s">
        <v>71</v>
      </c>
      <c r="D171" s="4" t="s">
        <v>65</v>
      </c>
      <c r="E171" s="4">
        <f t="shared" si="2"/>
        <v>40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0163B-5317-4028-ABDC-4C843EF1CC69}">
  <dimension ref="A1:T330"/>
  <sheetViews>
    <sheetView tabSelected="1" zoomScale="85" zoomScaleNormal="85" workbookViewId="0">
      <selection activeCell="C5" sqref="C5"/>
    </sheetView>
  </sheetViews>
  <sheetFormatPr baseColWidth="10" defaultColWidth="9.23046875" defaultRowHeight="14.6" x14ac:dyDescent="0.4"/>
  <cols>
    <col min="1" max="1" width="24.69140625" style="10" customWidth="1"/>
    <col min="2" max="2" width="17" style="10" customWidth="1"/>
    <col min="3" max="3" width="72.921875" style="21" customWidth="1"/>
    <col min="4" max="4" width="9" style="10" customWidth="1"/>
    <col min="5" max="5" width="13.23046875" style="22" customWidth="1"/>
    <col min="6" max="16384" width="9.23046875" style="10"/>
  </cols>
  <sheetData>
    <row r="1" spans="1:5" ht="38.049999999999997" customHeight="1" x14ac:dyDescent="0.4">
      <c r="A1" s="6" t="s">
        <v>60</v>
      </c>
      <c r="B1" s="13" t="s">
        <v>52</v>
      </c>
      <c r="C1" s="17" t="s">
        <v>61</v>
      </c>
      <c r="D1" s="6" t="s">
        <v>62</v>
      </c>
      <c r="E1" s="24" t="s">
        <v>10</v>
      </c>
    </row>
    <row r="2" spans="1:5" x14ac:dyDescent="0.4">
      <c r="A2" s="61" t="s">
        <v>208</v>
      </c>
      <c r="B2" s="61" t="s">
        <v>217</v>
      </c>
      <c r="C2" s="62" t="s">
        <v>209</v>
      </c>
      <c r="D2" s="63" t="s">
        <v>211</v>
      </c>
      <c r="E2" s="64">
        <v>1</v>
      </c>
    </row>
    <row r="3" spans="1:5" x14ac:dyDescent="0.4">
      <c r="A3" s="11" t="s">
        <v>6</v>
      </c>
      <c r="B3" s="11" t="s">
        <v>220</v>
      </c>
      <c r="C3" s="21" t="s">
        <v>199</v>
      </c>
      <c r="D3" s="1" t="s">
        <v>66</v>
      </c>
      <c r="E3" s="4">
        <v>1</v>
      </c>
    </row>
    <row r="4" spans="1:5" ht="14.9" customHeight="1" x14ac:dyDescent="0.4">
      <c r="A4" s="52" t="s">
        <v>2</v>
      </c>
      <c r="B4" s="52" t="s">
        <v>215</v>
      </c>
      <c r="C4" s="53" t="s">
        <v>1</v>
      </c>
      <c r="D4" s="54" t="s">
        <v>63</v>
      </c>
      <c r="E4" s="55">
        <v>1.0000000000000001E-9</v>
      </c>
    </row>
    <row r="5" spans="1:5" x14ac:dyDescent="0.4">
      <c r="A5" s="52" t="s">
        <v>2</v>
      </c>
      <c r="B5" s="52" t="s">
        <v>215</v>
      </c>
      <c r="C5" s="56" t="s">
        <v>0</v>
      </c>
      <c r="D5" s="54" t="s">
        <v>63</v>
      </c>
      <c r="E5" s="55">
        <v>8.2400000000000005E-10</v>
      </c>
    </row>
    <row r="6" spans="1:5" x14ac:dyDescent="0.4">
      <c r="A6" s="52" t="s">
        <v>2</v>
      </c>
      <c r="B6" s="52" t="s">
        <v>215</v>
      </c>
      <c r="C6" s="56" t="s">
        <v>34</v>
      </c>
      <c r="D6" s="54" t="s">
        <v>63</v>
      </c>
      <c r="E6" s="55">
        <v>6.3599999999999998E-10</v>
      </c>
    </row>
    <row r="7" spans="1:5" x14ac:dyDescent="0.4">
      <c r="A7" s="52" t="s">
        <v>2</v>
      </c>
      <c r="B7" s="52" t="s">
        <v>215</v>
      </c>
      <c r="C7" s="56" t="s">
        <v>219</v>
      </c>
      <c r="D7" s="54" t="s">
        <v>63</v>
      </c>
      <c r="E7" s="55">
        <v>3.0399999999999998E-10</v>
      </c>
    </row>
    <row r="8" spans="1:5" x14ac:dyDescent="0.4">
      <c r="A8" s="57" t="s">
        <v>2</v>
      </c>
      <c r="B8" s="57" t="s">
        <v>214</v>
      </c>
      <c r="C8" s="58" t="s">
        <v>8</v>
      </c>
      <c r="D8" s="59" t="s">
        <v>63</v>
      </c>
      <c r="E8" s="60">
        <v>3E-10</v>
      </c>
    </row>
    <row r="9" spans="1:5" x14ac:dyDescent="0.4">
      <c r="A9" s="57" t="s">
        <v>2</v>
      </c>
      <c r="B9" s="57" t="s">
        <v>214</v>
      </c>
      <c r="C9" s="58" t="s">
        <v>7</v>
      </c>
      <c r="D9" s="59" t="s">
        <v>63</v>
      </c>
      <c r="E9" s="60">
        <v>3E-10</v>
      </c>
    </row>
    <row r="10" spans="1:5" x14ac:dyDescent="0.4">
      <c r="A10" s="48" t="s">
        <v>3</v>
      </c>
      <c r="B10" s="48" t="s">
        <v>218</v>
      </c>
      <c r="C10" s="49" t="s">
        <v>73</v>
      </c>
      <c r="D10" s="50" t="s">
        <v>64</v>
      </c>
      <c r="E10" s="51">
        <v>1</v>
      </c>
    </row>
    <row r="11" spans="1:5" x14ac:dyDescent="0.4">
      <c r="A11" s="48" t="s">
        <v>3</v>
      </c>
      <c r="B11" s="48" t="s">
        <v>218</v>
      </c>
      <c r="C11" s="49" t="s">
        <v>74</v>
      </c>
      <c r="D11" s="50" t="s">
        <v>64</v>
      </c>
      <c r="E11" s="51">
        <v>1</v>
      </c>
    </row>
    <row r="12" spans="1:5" x14ac:dyDescent="0.4">
      <c r="A12" s="48" t="s">
        <v>3</v>
      </c>
      <c r="B12" s="48" t="s">
        <v>218</v>
      </c>
      <c r="C12" s="49" t="s">
        <v>75</v>
      </c>
      <c r="D12" s="50" t="s">
        <v>64</v>
      </c>
      <c r="E12" s="51">
        <v>1</v>
      </c>
    </row>
    <row r="13" spans="1:5" x14ac:dyDescent="0.4">
      <c r="A13" s="48" t="s">
        <v>3</v>
      </c>
      <c r="B13" s="48" t="s">
        <v>218</v>
      </c>
      <c r="C13" s="49" t="s">
        <v>76</v>
      </c>
      <c r="D13" s="50" t="s">
        <v>64</v>
      </c>
      <c r="E13" s="51">
        <v>1</v>
      </c>
    </row>
    <row r="14" spans="1:5" x14ac:dyDescent="0.4">
      <c r="A14" s="48" t="s">
        <v>3</v>
      </c>
      <c r="B14" s="48" t="s">
        <v>218</v>
      </c>
      <c r="C14" s="49" t="s">
        <v>77</v>
      </c>
      <c r="D14" s="50" t="s">
        <v>64</v>
      </c>
      <c r="E14" s="51">
        <v>1</v>
      </c>
    </row>
    <row r="15" spans="1:5" x14ac:dyDescent="0.4">
      <c r="A15" s="48" t="s">
        <v>3</v>
      </c>
      <c r="B15" s="48" t="s">
        <v>218</v>
      </c>
      <c r="C15" s="49" t="s">
        <v>78</v>
      </c>
      <c r="D15" s="50" t="s">
        <v>64</v>
      </c>
      <c r="E15" s="51">
        <v>1</v>
      </c>
    </row>
    <row r="16" spans="1:5" x14ac:dyDescent="0.4">
      <c r="A16" s="48" t="s">
        <v>3</v>
      </c>
      <c r="B16" s="48" t="s">
        <v>218</v>
      </c>
      <c r="C16" s="49" t="s">
        <v>79</v>
      </c>
      <c r="D16" s="50" t="s">
        <v>64</v>
      </c>
      <c r="E16" s="51">
        <v>1</v>
      </c>
    </row>
    <row r="17" spans="1:5" x14ac:dyDescent="0.4">
      <c r="A17" s="48" t="s">
        <v>3</v>
      </c>
      <c r="B17" s="48" t="s">
        <v>218</v>
      </c>
      <c r="C17" s="49" t="s">
        <v>80</v>
      </c>
      <c r="D17" s="50" t="s">
        <v>64</v>
      </c>
      <c r="E17" s="51">
        <v>1</v>
      </c>
    </row>
    <row r="18" spans="1:5" x14ac:dyDescent="0.4">
      <c r="A18" s="48" t="s">
        <v>3</v>
      </c>
      <c r="B18" s="48" t="s">
        <v>218</v>
      </c>
      <c r="C18" s="49" t="s">
        <v>81</v>
      </c>
      <c r="D18" s="50" t="s">
        <v>64</v>
      </c>
      <c r="E18" s="51">
        <v>1</v>
      </c>
    </row>
    <row r="19" spans="1:5" x14ac:dyDescent="0.4">
      <c r="A19" s="48" t="s">
        <v>3</v>
      </c>
      <c r="B19" s="48" t="s">
        <v>218</v>
      </c>
      <c r="C19" s="49" t="s">
        <v>82</v>
      </c>
      <c r="D19" s="50" t="s">
        <v>64</v>
      </c>
      <c r="E19" s="51">
        <v>1</v>
      </c>
    </row>
    <row r="20" spans="1:5" x14ac:dyDescent="0.4">
      <c r="A20" s="48" t="s">
        <v>3</v>
      </c>
      <c r="B20" s="48" t="s">
        <v>218</v>
      </c>
      <c r="C20" s="49" t="s">
        <v>83</v>
      </c>
      <c r="D20" s="50" t="s">
        <v>64</v>
      </c>
      <c r="E20" s="51">
        <v>1</v>
      </c>
    </row>
    <row r="21" spans="1:5" x14ac:dyDescent="0.4">
      <c r="A21" s="48" t="s">
        <v>3</v>
      </c>
      <c r="B21" s="48" t="s">
        <v>218</v>
      </c>
      <c r="C21" s="49" t="s">
        <v>84</v>
      </c>
      <c r="D21" s="50" t="s">
        <v>64</v>
      </c>
      <c r="E21" s="51">
        <v>1</v>
      </c>
    </row>
    <row r="22" spans="1:5" x14ac:dyDescent="0.4">
      <c r="A22" s="48" t="s">
        <v>3</v>
      </c>
      <c r="B22" s="48" t="s">
        <v>218</v>
      </c>
      <c r="C22" s="49" t="s">
        <v>85</v>
      </c>
      <c r="D22" s="50" t="s">
        <v>64</v>
      </c>
      <c r="E22" s="51">
        <v>1</v>
      </c>
    </row>
    <row r="23" spans="1:5" x14ac:dyDescent="0.4">
      <c r="A23" s="48" t="s">
        <v>3</v>
      </c>
      <c r="B23" s="48" t="s">
        <v>218</v>
      </c>
      <c r="C23" s="49" t="s">
        <v>86</v>
      </c>
      <c r="D23" s="50" t="s">
        <v>64</v>
      </c>
      <c r="E23" s="51">
        <v>1</v>
      </c>
    </row>
    <row r="24" spans="1:5" x14ac:dyDescent="0.4">
      <c r="A24" s="48" t="s">
        <v>3</v>
      </c>
      <c r="B24" s="48" t="s">
        <v>218</v>
      </c>
      <c r="C24" s="49" t="s">
        <v>87</v>
      </c>
      <c r="D24" s="50" t="s">
        <v>64</v>
      </c>
      <c r="E24" s="51">
        <v>1</v>
      </c>
    </row>
    <row r="25" spans="1:5" x14ac:dyDescent="0.4">
      <c r="A25" s="48" t="s">
        <v>3</v>
      </c>
      <c r="B25" s="48" t="s">
        <v>218</v>
      </c>
      <c r="C25" s="49" t="s">
        <v>88</v>
      </c>
      <c r="D25" s="50" t="s">
        <v>64</v>
      </c>
      <c r="E25" s="51">
        <v>1</v>
      </c>
    </row>
    <row r="26" spans="1:5" x14ac:dyDescent="0.4">
      <c r="A26" s="48" t="s">
        <v>3</v>
      </c>
      <c r="B26" s="48" t="s">
        <v>218</v>
      </c>
      <c r="C26" s="49" t="s">
        <v>89</v>
      </c>
      <c r="D26" s="50" t="s">
        <v>64</v>
      </c>
      <c r="E26" s="51">
        <v>1</v>
      </c>
    </row>
    <row r="27" spans="1:5" x14ac:dyDescent="0.4">
      <c r="A27" s="48" t="s">
        <v>3</v>
      </c>
      <c r="B27" s="48" t="s">
        <v>218</v>
      </c>
      <c r="C27" s="49" t="s">
        <v>90</v>
      </c>
      <c r="D27" s="50" t="s">
        <v>64</v>
      </c>
      <c r="E27" s="51">
        <v>1</v>
      </c>
    </row>
    <row r="28" spans="1:5" x14ac:dyDescent="0.4">
      <c r="A28" s="48" t="s">
        <v>3</v>
      </c>
      <c r="B28" s="48" t="s">
        <v>218</v>
      </c>
      <c r="C28" s="49" t="s">
        <v>91</v>
      </c>
      <c r="D28" s="50" t="s">
        <v>64</v>
      </c>
      <c r="E28" s="51">
        <v>1</v>
      </c>
    </row>
    <row r="29" spans="1:5" x14ac:dyDescent="0.4">
      <c r="A29" s="48" t="s">
        <v>3</v>
      </c>
      <c r="B29" s="48" t="s">
        <v>218</v>
      </c>
      <c r="C29" s="49" t="s">
        <v>92</v>
      </c>
      <c r="D29" s="50" t="s">
        <v>64</v>
      </c>
      <c r="E29" s="51">
        <v>1</v>
      </c>
    </row>
    <row r="30" spans="1:5" x14ac:dyDescent="0.4">
      <c r="A30" s="48" t="s">
        <v>3</v>
      </c>
      <c r="B30" s="48" t="s">
        <v>218</v>
      </c>
      <c r="C30" s="49" t="s">
        <v>93</v>
      </c>
      <c r="D30" s="50" t="s">
        <v>64</v>
      </c>
      <c r="E30" s="51">
        <v>1</v>
      </c>
    </row>
    <row r="31" spans="1:5" x14ac:dyDescent="0.4">
      <c r="A31" s="48" t="s">
        <v>3</v>
      </c>
      <c r="B31" s="48" t="s">
        <v>218</v>
      </c>
      <c r="C31" s="49" t="s">
        <v>94</v>
      </c>
      <c r="D31" s="50" t="s">
        <v>64</v>
      </c>
      <c r="E31" s="51">
        <v>1</v>
      </c>
    </row>
    <row r="32" spans="1:5" x14ac:dyDescent="0.4">
      <c r="A32" s="48" t="s">
        <v>3</v>
      </c>
      <c r="B32" s="48" t="s">
        <v>218</v>
      </c>
      <c r="C32" s="49" t="s">
        <v>95</v>
      </c>
      <c r="D32" s="50" t="s">
        <v>64</v>
      </c>
      <c r="E32" s="51">
        <v>1</v>
      </c>
    </row>
    <row r="33" spans="1:5" x14ac:dyDescent="0.4">
      <c r="A33" s="48" t="s">
        <v>3</v>
      </c>
      <c r="B33" s="48" t="s">
        <v>218</v>
      </c>
      <c r="C33" s="49" t="s">
        <v>96</v>
      </c>
      <c r="D33" s="50" t="s">
        <v>64</v>
      </c>
      <c r="E33" s="51">
        <v>1</v>
      </c>
    </row>
    <row r="34" spans="1:5" x14ac:dyDescent="0.4">
      <c r="A34" s="48" t="s">
        <v>3</v>
      </c>
      <c r="B34" s="48" t="s">
        <v>218</v>
      </c>
      <c r="C34" s="49" t="s">
        <v>97</v>
      </c>
      <c r="D34" s="50" t="s">
        <v>64</v>
      </c>
      <c r="E34" s="51">
        <v>1</v>
      </c>
    </row>
    <row r="35" spans="1:5" x14ac:dyDescent="0.4">
      <c r="A35" s="48" t="s">
        <v>3</v>
      </c>
      <c r="B35" s="48" t="s">
        <v>218</v>
      </c>
      <c r="C35" s="49" t="s">
        <v>98</v>
      </c>
      <c r="D35" s="50" t="s">
        <v>64</v>
      </c>
      <c r="E35" s="51">
        <v>1</v>
      </c>
    </row>
    <row r="36" spans="1:5" x14ac:dyDescent="0.4">
      <c r="A36" s="48" t="s">
        <v>3</v>
      </c>
      <c r="B36" s="48" t="s">
        <v>218</v>
      </c>
      <c r="C36" s="49" t="s">
        <v>99</v>
      </c>
      <c r="D36" s="50" t="s">
        <v>64</v>
      </c>
      <c r="E36" s="51">
        <v>1</v>
      </c>
    </row>
    <row r="37" spans="1:5" x14ac:dyDescent="0.4">
      <c r="A37" s="48" t="s">
        <v>3</v>
      </c>
      <c r="B37" s="48" t="s">
        <v>218</v>
      </c>
      <c r="C37" s="49" t="s">
        <v>100</v>
      </c>
      <c r="D37" s="50" t="s">
        <v>64</v>
      </c>
      <c r="E37" s="51">
        <v>1</v>
      </c>
    </row>
    <row r="38" spans="1:5" x14ac:dyDescent="0.4">
      <c r="A38" s="48" t="s">
        <v>3</v>
      </c>
      <c r="B38" s="48" t="s">
        <v>218</v>
      </c>
      <c r="C38" s="49" t="s">
        <v>101</v>
      </c>
      <c r="D38" s="50" t="s">
        <v>64</v>
      </c>
      <c r="E38" s="51">
        <v>1</v>
      </c>
    </row>
    <row r="39" spans="1:5" x14ac:dyDescent="0.4">
      <c r="A39" s="48" t="s">
        <v>3</v>
      </c>
      <c r="B39" s="48" t="s">
        <v>218</v>
      </c>
      <c r="C39" s="49" t="s">
        <v>102</v>
      </c>
      <c r="D39" s="50" t="s">
        <v>64</v>
      </c>
      <c r="E39" s="51">
        <v>1</v>
      </c>
    </row>
    <row r="40" spans="1:5" x14ac:dyDescent="0.4">
      <c r="A40" s="48" t="s">
        <v>3</v>
      </c>
      <c r="B40" s="48" t="s">
        <v>218</v>
      </c>
      <c r="C40" s="49" t="s">
        <v>103</v>
      </c>
      <c r="D40" s="50" t="s">
        <v>64</v>
      </c>
      <c r="E40" s="51">
        <v>1</v>
      </c>
    </row>
    <row r="41" spans="1:5" x14ac:dyDescent="0.4">
      <c r="A41" s="48" t="s">
        <v>3</v>
      </c>
      <c r="B41" s="48" t="s">
        <v>218</v>
      </c>
      <c r="C41" s="49" t="s">
        <v>104</v>
      </c>
      <c r="D41" s="50" t="s">
        <v>64</v>
      </c>
      <c r="E41" s="51">
        <v>1</v>
      </c>
    </row>
    <row r="42" spans="1:5" x14ac:dyDescent="0.4">
      <c r="A42" s="48" t="s">
        <v>3</v>
      </c>
      <c r="B42" s="48" t="s">
        <v>218</v>
      </c>
      <c r="C42" s="49" t="s">
        <v>105</v>
      </c>
      <c r="D42" s="50" t="s">
        <v>64</v>
      </c>
      <c r="E42" s="51">
        <v>1</v>
      </c>
    </row>
    <row r="43" spans="1:5" x14ac:dyDescent="0.4">
      <c r="A43" s="48" t="s">
        <v>3</v>
      </c>
      <c r="B43" s="48" t="s">
        <v>218</v>
      </c>
      <c r="C43" s="49" t="s">
        <v>106</v>
      </c>
      <c r="D43" s="50" t="s">
        <v>64</v>
      </c>
      <c r="E43" s="51">
        <v>1</v>
      </c>
    </row>
    <row r="44" spans="1:5" x14ac:dyDescent="0.4">
      <c r="A44" s="48" t="s">
        <v>3</v>
      </c>
      <c r="B44" s="48" t="s">
        <v>218</v>
      </c>
      <c r="C44" s="49" t="s">
        <v>107</v>
      </c>
      <c r="D44" s="50" t="s">
        <v>64</v>
      </c>
      <c r="E44" s="51">
        <v>1</v>
      </c>
    </row>
    <row r="45" spans="1:5" x14ac:dyDescent="0.4">
      <c r="A45" s="48" t="s">
        <v>3</v>
      </c>
      <c r="B45" s="48" t="s">
        <v>218</v>
      </c>
      <c r="C45" s="49" t="s">
        <v>108</v>
      </c>
      <c r="D45" s="50" t="s">
        <v>64</v>
      </c>
      <c r="E45" s="51">
        <v>1</v>
      </c>
    </row>
    <row r="46" spans="1:5" x14ac:dyDescent="0.4">
      <c r="A46" s="48" t="s">
        <v>3</v>
      </c>
      <c r="B46" s="48" t="s">
        <v>218</v>
      </c>
      <c r="C46" s="49" t="s">
        <v>109</v>
      </c>
      <c r="D46" s="50" t="s">
        <v>64</v>
      </c>
      <c r="E46" s="51">
        <v>1</v>
      </c>
    </row>
    <row r="47" spans="1:5" x14ac:dyDescent="0.4">
      <c r="A47" s="48" t="s">
        <v>3</v>
      </c>
      <c r="B47" s="48" t="s">
        <v>218</v>
      </c>
      <c r="C47" s="49" t="s">
        <v>110</v>
      </c>
      <c r="D47" s="50" t="s">
        <v>64</v>
      </c>
      <c r="E47" s="51">
        <v>1</v>
      </c>
    </row>
    <row r="48" spans="1:5" x14ac:dyDescent="0.4">
      <c r="A48" s="48" t="s">
        <v>3</v>
      </c>
      <c r="B48" s="48" t="s">
        <v>218</v>
      </c>
      <c r="C48" s="49" t="s">
        <v>111</v>
      </c>
      <c r="D48" s="50" t="s">
        <v>64</v>
      </c>
      <c r="E48" s="51">
        <v>1</v>
      </c>
    </row>
    <row r="49" spans="1:5" x14ac:dyDescent="0.4">
      <c r="A49" s="48" t="s">
        <v>3</v>
      </c>
      <c r="B49" s="48" t="s">
        <v>218</v>
      </c>
      <c r="C49" s="49" t="s">
        <v>112</v>
      </c>
      <c r="D49" s="50" t="s">
        <v>64</v>
      </c>
      <c r="E49" s="51">
        <v>1</v>
      </c>
    </row>
    <row r="50" spans="1:5" x14ac:dyDescent="0.4">
      <c r="A50" s="48" t="s">
        <v>3</v>
      </c>
      <c r="B50" s="48" t="s">
        <v>218</v>
      </c>
      <c r="C50" s="49" t="s">
        <v>113</v>
      </c>
      <c r="D50" s="50" t="s">
        <v>64</v>
      </c>
      <c r="E50" s="51">
        <v>1</v>
      </c>
    </row>
    <row r="51" spans="1:5" x14ac:dyDescent="0.4">
      <c r="A51" s="48" t="s">
        <v>3</v>
      </c>
      <c r="B51" s="48" t="s">
        <v>218</v>
      </c>
      <c r="C51" s="49" t="s">
        <v>114</v>
      </c>
      <c r="D51" s="50" t="s">
        <v>64</v>
      </c>
      <c r="E51" s="51">
        <v>1</v>
      </c>
    </row>
    <row r="52" spans="1:5" x14ac:dyDescent="0.4">
      <c r="A52" s="48" t="s">
        <v>3</v>
      </c>
      <c r="B52" s="48" t="s">
        <v>218</v>
      </c>
      <c r="C52" s="49" t="s">
        <v>115</v>
      </c>
      <c r="D52" s="50" t="s">
        <v>64</v>
      </c>
      <c r="E52" s="51">
        <v>1</v>
      </c>
    </row>
    <row r="53" spans="1:5" x14ac:dyDescent="0.4">
      <c r="A53" s="48" t="s">
        <v>3</v>
      </c>
      <c r="B53" s="48" t="s">
        <v>218</v>
      </c>
      <c r="C53" s="49" t="s">
        <v>116</v>
      </c>
      <c r="D53" s="50" t="s">
        <v>64</v>
      </c>
      <c r="E53" s="51">
        <v>1</v>
      </c>
    </row>
    <row r="54" spans="1:5" x14ac:dyDescent="0.4">
      <c r="A54" s="48" t="s">
        <v>3</v>
      </c>
      <c r="B54" s="48" t="s">
        <v>218</v>
      </c>
      <c r="C54" s="49" t="s">
        <v>117</v>
      </c>
      <c r="D54" s="50" t="s">
        <v>64</v>
      </c>
      <c r="E54" s="51">
        <v>1</v>
      </c>
    </row>
    <row r="55" spans="1:5" x14ac:dyDescent="0.4">
      <c r="A55" s="48" t="s">
        <v>3</v>
      </c>
      <c r="B55" s="48" t="s">
        <v>218</v>
      </c>
      <c r="C55" s="49" t="s">
        <v>118</v>
      </c>
      <c r="D55" s="50" t="s">
        <v>64</v>
      </c>
      <c r="E55" s="51">
        <v>1</v>
      </c>
    </row>
    <row r="56" spans="1:5" x14ac:dyDescent="0.4">
      <c r="A56" s="48" t="s">
        <v>3</v>
      </c>
      <c r="B56" s="48" t="s">
        <v>218</v>
      </c>
      <c r="C56" s="49" t="s">
        <v>119</v>
      </c>
      <c r="D56" s="50" t="s">
        <v>64</v>
      </c>
      <c r="E56" s="51">
        <v>1</v>
      </c>
    </row>
    <row r="57" spans="1:5" x14ac:dyDescent="0.4">
      <c r="A57" s="48" t="s">
        <v>3</v>
      </c>
      <c r="B57" s="48" t="s">
        <v>218</v>
      </c>
      <c r="C57" s="49" t="s">
        <v>120</v>
      </c>
      <c r="D57" s="50" t="s">
        <v>64</v>
      </c>
      <c r="E57" s="51">
        <v>1</v>
      </c>
    </row>
    <row r="58" spans="1:5" x14ac:dyDescent="0.4">
      <c r="A58" s="48" t="s">
        <v>3</v>
      </c>
      <c r="B58" s="48" t="s">
        <v>218</v>
      </c>
      <c r="C58" s="49" t="s">
        <v>121</v>
      </c>
      <c r="D58" s="50" t="s">
        <v>64</v>
      </c>
      <c r="E58" s="51">
        <v>1</v>
      </c>
    </row>
    <row r="59" spans="1:5" x14ac:dyDescent="0.4">
      <c r="A59" s="48" t="s">
        <v>3</v>
      </c>
      <c r="B59" s="48" t="s">
        <v>218</v>
      </c>
      <c r="C59" s="49" t="s">
        <v>122</v>
      </c>
      <c r="D59" s="50" t="s">
        <v>64</v>
      </c>
      <c r="E59" s="51">
        <v>1</v>
      </c>
    </row>
    <row r="60" spans="1:5" x14ac:dyDescent="0.4">
      <c r="A60" s="48" t="s">
        <v>3</v>
      </c>
      <c r="B60" s="48" t="s">
        <v>218</v>
      </c>
      <c r="C60" s="49" t="s">
        <v>123</v>
      </c>
      <c r="D60" s="50" t="s">
        <v>64</v>
      </c>
      <c r="E60" s="51">
        <v>1</v>
      </c>
    </row>
    <row r="61" spans="1:5" x14ac:dyDescent="0.4">
      <c r="A61" s="48" t="s">
        <v>3</v>
      </c>
      <c r="B61" s="48" t="s">
        <v>218</v>
      </c>
      <c r="C61" s="49" t="s">
        <v>124</v>
      </c>
      <c r="D61" s="50" t="s">
        <v>64</v>
      </c>
      <c r="E61" s="51">
        <v>1</v>
      </c>
    </row>
    <row r="62" spans="1:5" x14ac:dyDescent="0.4">
      <c r="A62" s="48" t="s">
        <v>3</v>
      </c>
      <c r="B62" s="48" t="s">
        <v>218</v>
      </c>
      <c r="C62" s="49" t="s">
        <v>125</v>
      </c>
      <c r="D62" s="50" t="s">
        <v>64</v>
      </c>
      <c r="E62" s="51">
        <v>1</v>
      </c>
    </row>
    <row r="63" spans="1:5" x14ac:dyDescent="0.4">
      <c r="A63" s="48" t="s">
        <v>3</v>
      </c>
      <c r="B63" s="48" t="s">
        <v>218</v>
      </c>
      <c r="C63" s="49" t="s">
        <v>126</v>
      </c>
      <c r="D63" s="50" t="s">
        <v>64</v>
      </c>
      <c r="E63" s="51">
        <v>1</v>
      </c>
    </row>
    <row r="64" spans="1:5" x14ac:dyDescent="0.4">
      <c r="A64" s="48" t="s">
        <v>3</v>
      </c>
      <c r="B64" s="48" t="s">
        <v>218</v>
      </c>
      <c r="C64" s="49" t="s">
        <v>127</v>
      </c>
      <c r="D64" s="50" t="s">
        <v>64</v>
      </c>
      <c r="E64" s="51">
        <v>1</v>
      </c>
    </row>
    <row r="65" spans="1:6" x14ac:dyDescent="0.4">
      <c r="A65" s="48" t="s">
        <v>3</v>
      </c>
      <c r="B65" s="48" t="s">
        <v>218</v>
      </c>
      <c r="C65" s="49" t="s">
        <v>128</v>
      </c>
      <c r="D65" s="50" t="s">
        <v>64</v>
      </c>
      <c r="E65" s="51">
        <v>1</v>
      </c>
    </row>
    <row r="66" spans="1:6" x14ac:dyDescent="0.4">
      <c r="A66" s="48" t="s">
        <v>3</v>
      </c>
      <c r="B66" s="48" t="s">
        <v>218</v>
      </c>
      <c r="C66" s="49" t="s">
        <v>129</v>
      </c>
      <c r="D66" s="50" t="s">
        <v>64</v>
      </c>
      <c r="E66" s="51">
        <v>1</v>
      </c>
    </row>
    <row r="67" spans="1:6" x14ac:dyDescent="0.4">
      <c r="A67" s="48" t="s">
        <v>3</v>
      </c>
      <c r="B67" s="48" t="s">
        <v>218</v>
      </c>
      <c r="C67" s="49" t="s">
        <v>130</v>
      </c>
      <c r="D67" s="50" t="s">
        <v>64</v>
      </c>
      <c r="E67" s="51">
        <v>1</v>
      </c>
    </row>
    <row r="68" spans="1:6" x14ac:dyDescent="0.4">
      <c r="A68" s="48" t="s">
        <v>3</v>
      </c>
      <c r="B68" s="48" t="s">
        <v>218</v>
      </c>
      <c r="C68" s="49" t="s">
        <v>131</v>
      </c>
      <c r="D68" s="50" t="s">
        <v>64</v>
      </c>
      <c r="E68" s="51">
        <v>1</v>
      </c>
    </row>
    <row r="69" spans="1:6" x14ac:dyDescent="0.4">
      <c r="A69" s="48" t="s">
        <v>3</v>
      </c>
      <c r="B69" s="48" t="s">
        <v>218</v>
      </c>
      <c r="C69" s="49" t="s">
        <v>132</v>
      </c>
      <c r="D69" s="50" t="s">
        <v>64</v>
      </c>
      <c r="E69" s="51">
        <v>1</v>
      </c>
    </row>
    <row r="70" spans="1:6" x14ac:dyDescent="0.4">
      <c r="A70" s="48" t="s">
        <v>3</v>
      </c>
      <c r="B70" s="48" t="s">
        <v>218</v>
      </c>
      <c r="C70" s="49" t="s">
        <v>133</v>
      </c>
      <c r="D70" s="50" t="s">
        <v>64</v>
      </c>
      <c r="E70" s="51">
        <v>1</v>
      </c>
    </row>
    <row r="71" spans="1:6" x14ac:dyDescent="0.4">
      <c r="A71" s="48" t="s">
        <v>3</v>
      </c>
      <c r="B71" s="48" t="s">
        <v>218</v>
      </c>
      <c r="C71" s="49" t="s">
        <v>134</v>
      </c>
      <c r="D71" s="50" t="s">
        <v>64</v>
      </c>
      <c r="E71" s="51">
        <v>1</v>
      </c>
    </row>
    <row r="72" spans="1:6" x14ac:dyDescent="0.4">
      <c r="A72" s="48" t="s">
        <v>3</v>
      </c>
      <c r="B72" s="48" t="s">
        <v>218</v>
      </c>
      <c r="C72" s="49" t="s">
        <v>135</v>
      </c>
      <c r="D72" s="50" t="s">
        <v>64</v>
      </c>
      <c r="E72" s="51">
        <v>1</v>
      </c>
    </row>
    <row r="73" spans="1:6" x14ac:dyDescent="0.4">
      <c r="A73" s="48" t="s">
        <v>3</v>
      </c>
      <c r="B73" s="48" t="s">
        <v>218</v>
      </c>
      <c r="C73" s="49" t="s">
        <v>136</v>
      </c>
      <c r="D73" s="50" t="s">
        <v>64</v>
      </c>
      <c r="E73" s="51">
        <v>1</v>
      </c>
    </row>
    <row r="74" spans="1:6" x14ac:dyDescent="0.4">
      <c r="A74" s="48" t="s">
        <v>3</v>
      </c>
      <c r="B74" s="48" t="s">
        <v>218</v>
      </c>
      <c r="C74" s="49" t="s">
        <v>137</v>
      </c>
      <c r="D74" s="50" t="s">
        <v>64</v>
      </c>
      <c r="E74" s="51">
        <v>1</v>
      </c>
    </row>
    <row r="75" spans="1:6" x14ac:dyDescent="0.4">
      <c r="A75" s="48" t="s">
        <v>3</v>
      </c>
      <c r="B75" s="48" t="s">
        <v>218</v>
      </c>
      <c r="C75" s="49" t="s">
        <v>138</v>
      </c>
      <c r="D75" s="50" t="s">
        <v>64</v>
      </c>
      <c r="E75" s="51">
        <v>1</v>
      </c>
    </row>
    <row r="76" spans="1:6" x14ac:dyDescent="0.4">
      <c r="A76" s="48" t="s">
        <v>3</v>
      </c>
      <c r="B76" s="48" t="s">
        <v>218</v>
      </c>
      <c r="C76" s="49" t="s">
        <v>139</v>
      </c>
      <c r="D76" s="50" t="s">
        <v>64</v>
      </c>
      <c r="E76" s="51">
        <v>1</v>
      </c>
      <c r="F76" s="14"/>
    </row>
    <row r="77" spans="1:6" x14ac:dyDescent="0.4">
      <c r="A77" s="48" t="s">
        <v>3</v>
      </c>
      <c r="B77" s="48" t="s">
        <v>218</v>
      </c>
      <c r="C77" s="49" t="s">
        <v>140</v>
      </c>
      <c r="D77" s="50" t="s">
        <v>64</v>
      </c>
      <c r="E77" s="51">
        <v>1</v>
      </c>
    </row>
    <row r="78" spans="1:6" x14ac:dyDescent="0.4">
      <c r="A78" s="48" t="s">
        <v>3</v>
      </c>
      <c r="B78" s="48" t="s">
        <v>218</v>
      </c>
      <c r="C78" s="49" t="s">
        <v>141</v>
      </c>
      <c r="D78" s="50" t="s">
        <v>64</v>
      </c>
      <c r="E78" s="51">
        <v>1</v>
      </c>
    </row>
    <row r="79" spans="1:6" x14ac:dyDescent="0.4">
      <c r="A79" s="48" t="s">
        <v>3</v>
      </c>
      <c r="B79" s="48" t="s">
        <v>218</v>
      </c>
      <c r="C79" s="49" t="s">
        <v>142</v>
      </c>
      <c r="D79" s="50" t="s">
        <v>64</v>
      </c>
      <c r="E79" s="51">
        <v>1</v>
      </c>
    </row>
    <row r="80" spans="1:6" x14ac:dyDescent="0.4">
      <c r="A80" s="48" t="s">
        <v>3</v>
      </c>
      <c r="B80" s="48" t="s">
        <v>218</v>
      </c>
      <c r="C80" s="49" t="s">
        <v>143</v>
      </c>
      <c r="D80" s="50" t="s">
        <v>64</v>
      </c>
      <c r="E80" s="51">
        <v>1</v>
      </c>
    </row>
    <row r="81" spans="1:5" x14ac:dyDescent="0.4">
      <c r="A81" s="48" t="s">
        <v>3</v>
      </c>
      <c r="B81" s="48" t="s">
        <v>218</v>
      </c>
      <c r="C81" s="49" t="s">
        <v>144</v>
      </c>
      <c r="D81" s="50" t="s">
        <v>64</v>
      </c>
      <c r="E81" s="51">
        <v>1</v>
      </c>
    </row>
    <row r="82" spans="1:5" x14ac:dyDescent="0.4">
      <c r="A82" s="48" t="s">
        <v>3</v>
      </c>
      <c r="B82" s="48" t="s">
        <v>218</v>
      </c>
      <c r="C82" s="49" t="s">
        <v>145</v>
      </c>
      <c r="D82" s="50" t="s">
        <v>64</v>
      </c>
      <c r="E82" s="51">
        <v>1</v>
      </c>
    </row>
    <row r="83" spans="1:5" x14ac:dyDescent="0.4">
      <c r="A83" s="48" t="s">
        <v>3</v>
      </c>
      <c r="B83" s="48" t="s">
        <v>218</v>
      </c>
      <c r="C83" s="49" t="s">
        <v>146</v>
      </c>
      <c r="D83" s="50" t="s">
        <v>64</v>
      </c>
      <c r="E83" s="51">
        <v>1</v>
      </c>
    </row>
    <row r="84" spans="1:5" x14ac:dyDescent="0.4">
      <c r="A84" s="48" t="s">
        <v>3</v>
      </c>
      <c r="B84" s="48" t="s">
        <v>218</v>
      </c>
      <c r="C84" s="49" t="s">
        <v>147</v>
      </c>
      <c r="D84" s="50" t="s">
        <v>64</v>
      </c>
      <c r="E84" s="51">
        <v>1</v>
      </c>
    </row>
    <row r="85" spans="1:5" x14ac:dyDescent="0.4">
      <c r="A85" s="48" t="s">
        <v>3</v>
      </c>
      <c r="B85" s="48" t="s">
        <v>218</v>
      </c>
      <c r="C85" s="49" t="s">
        <v>148</v>
      </c>
      <c r="D85" s="50" t="s">
        <v>64</v>
      </c>
      <c r="E85" s="51">
        <v>1</v>
      </c>
    </row>
    <row r="86" spans="1:5" x14ac:dyDescent="0.4">
      <c r="A86" s="48" t="s">
        <v>3</v>
      </c>
      <c r="B86" s="48" t="s">
        <v>218</v>
      </c>
      <c r="C86" s="49" t="s">
        <v>149</v>
      </c>
      <c r="D86" s="50" t="s">
        <v>64</v>
      </c>
      <c r="E86" s="51">
        <v>1</v>
      </c>
    </row>
    <row r="87" spans="1:5" x14ac:dyDescent="0.4">
      <c r="A87" s="48" t="s">
        <v>3</v>
      </c>
      <c r="B87" s="48" t="s">
        <v>218</v>
      </c>
      <c r="C87" s="49" t="s">
        <v>150</v>
      </c>
      <c r="D87" s="50" t="s">
        <v>64</v>
      </c>
      <c r="E87" s="51">
        <v>1</v>
      </c>
    </row>
    <row r="88" spans="1:5" x14ac:dyDescent="0.4">
      <c r="A88" s="48" t="s">
        <v>3</v>
      </c>
      <c r="B88" s="48" t="s">
        <v>218</v>
      </c>
      <c r="C88" s="49" t="s">
        <v>151</v>
      </c>
      <c r="D88" s="50" t="s">
        <v>64</v>
      </c>
      <c r="E88" s="51">
        <v>1</v>
      </c>
    </row>
    <row r="89" spans="1:5" x14ac:dyDescent="0.4">
      <c r="A89" s="48" t="s">
        <v>3</v>
      </c>
      <c r="B89" s="48" t="s">
        <v>218</v>
      </c>
      <c r="C89" s="49" t="s">
        <v>152</v>
      </c>
      <c r="D89" s="50" t="s">
        <v>64</v>
      </c>
      <c r="E89" s="51">
        <v>1</v>
      </c>
    </row>
    <row r="90" spans="1:5" x14ac:dyDescent="0.4">
      <c r="A90" s="48" t="s">
        <v>3</v>
      </c>
      <c r="B90" s="48" t="s">
        <v>218</v>
      </c>
      <c r="C90" s="49" t="s">
        <v>153</v>
      </c>
      <c r="D90" s="50" t="s">
        <v>64</v>
      </c>
      <c r="E90" s="51">
        <v>1</v>
      </c>
    </row>
    <row r="91" spans="1:5" x14ac:dyDescent="0.4">
      <c r="A91" s="48" t="s">
        <v>3</v>
      </c>
      <c r="B91" s="48" t="s">
        <v>218</v>
      </c>
      <c r="C91" s="49" t="s">
        <v>154</v>
      </c>
      <c r="D91" s="50" t="s">
        <v>64</v>
      </c>
      <c r="E91" s="51">
        <v>1</v>
      </c>
    </row>
    <row r="92" spans="1:5" x14ac:dyDescent="0.4">
      <c r="A92" s="48" t="s">
        <v>3</v>
      </c>
      <c r="B92" s="48" t="s">
        <v>218</v>
      </c>
      <c r="C92" s="49" t="s">
        <v>155</v>
      </c>
      <c r="D92" s="50" t="s">
        <v>64</v>
      </c>
      <c r="E92" s="51">
        <v>1</v>
      </c>
    </row>
    <row r="93" spans="1:5" x14ac:dyDescent="0.4">
      <c r="A93" s="48" t="s">
        <v>3</v>
      </c>
      <c r="B93" s="48" t="s">
        <v>218</v>
      </c>
      <c r="C93" s="49" t="s">
        <v>156</v>
      </c>
      <c r="D93" s="50" t="s">
        <v>64</v>
      </c>
      <c r="E93" s="51">
        <v>1</v>
      </c>
    </row>
    <row r="94" spans="1:5" x14ac:dyDescent="0.4">
      <c r="A94" s="48" t="s">
        <v>3</v>
      </c>
      <c r="B94" s="48" t="s">
        <v>218</v>
      </c>
      <c r="C94" s="49" t="s">
        <v>157</v>
      </c>
      <c r="D94" s="50" t="s">
        <v>64</v>
      </c>
      <c r="E94" s="51">
        <v>1</v>
      </c>
    </row>
    <row r="95" spans="1:5" x14ac:dyDescent="0.4">
      <c r="A95" s="48" t="s">
        <v>3</v>
      </c>
      <c r="B95" s="48" t="s">
        <v>218</v>
      </c>
      <c r="C95" s="49" t="s">
        <v>158</v>
      </c>
      <c r="D95" s="50" t="s">
        <v>64</v>
      </c>
      <c r="E95" s="51">
        <v>1</v>
      </c>
    </row>
    <row r="96" spans="1:5" x14ac:dyDescent="0.4">
      <c r="A96" s="48" t="s">
        <v>3</v>
      </c>
      <c r="B96" s="48" t="s">
        <v>218</v>
      </c>
      <c r="C96" s="49" t="s">
        <v>159</v>
      </c>
      <c r="D96" s="50" t="s">
        <v>64</v>
      </c>
      <c r="E96" s="51">
        <v>1</v>
      </c>
    </row>
    <row r="97" spans="1:5" x14ac:dyDescent="0.4">
      <c r="A97" s="48" t="s">
        <v>3</v>
      </c>
      <c r="B97" s="48" t="s">
        <v>218</v>
      </c>
      <c r="C97" s="49" t="s">
        <v>160</v>
      </c>
      <c r="D97" s="50" t="s">
        <v>64</v>
      </c>
      <c r="E97" s="51">
        <v>1</v>
      </c>
    </row>
    <row r="98" spans="1:5" x14ac:dyDescent="0.4">
      <c r="A98" s="48" t="s">
        <v>3</v>
      </c>
      <c r="B98" s="48" t="s">
        <v>218</v>
      </c>
      <c r="C98" s="49" t="s">
        <v>161</v>
      </c>
      <c r="D98" s="50" t="s">
        <v>64</v>
      </c>
      <c r="E98" s="51">
        <v>1</v>
      </c>
    </row>
    <row r="99" spans="1:5" x14ac:dyDescent="0.4">
      <c r="A99" s="48" t="s">
        <v>3</v>
      </c>
      <c r="B99" s="48" t="s">
        <v>218</v>
      </c>
      <c r="C99" s="49" t="s">
        <v>162</v>
      </c>
      <c r="D99" s="50" t="s">
        <v>64</v>
      </c>
      <c r="E99" s="51">
        <v>1</v>
      </c>
    </row>
    <row r="100" spans="1:5" x14ac:dyDescent="0.4">
      <c r="A100" s="48" t="s">
        <v>3</v>
      </c>
      <c r="B100" s="48" t="s">
        <v>218</v>
      </c>
      <c r="C100" s="49" t="s">
        <v>163</v>
      </c>
      <c r="D100" s="50" t="s">
        <v>64</v>
      </c>
      <c r="E100" s="51">
        <v>1</v>
      </c>
    </row>
    <row r="101" spans="1:5" x14ac:dyDescent="0.4">
      <c r="A101" s="48" t="s">
        <v>3</v>
      </c>
      <c r="B101" s="48" t="s">
        <v>218</v>
      </c>
      <c r="C101" s="49" t="s">
        <v>164</v>
      </c>
      <c r="D101" s="50" t="s">
        <v>64</v>
      </c>
      <c r="E101" s="51">
        <v>1</v>
      </c>
    </row>
    <row r="102" spans="1:5" x14ac:dyDescent="0.4">
      <c r="A102" s="48" t="s">
        <v>3</v>
      </c>
      <c r="B102" s="48" t="s">
        <v>218</v>
      </c>
      <c r="C102" s="49" t="s">
        <v>165</v>
      </c>
      <c r="D102" s="50" t="s">
        <v>64</v>
      </c>
      <c r="E102" s="51">
        <v>1</v>
      </c>
    </row>
    <row r="103" spans="1:5" x14ac:dyDescent="0.4">
      <c r="A103" s="48" t="s">
        <v>3</v>
      </c>
      <c r="B103" s="48" t="s">
        <v>218</v>
      </c>
      <c r="C103" s="49" t="s">
        <v>166</v>
      </c>
      <c r="D103" s="50" t="s">
        <v>64</v>
      </c>
      <c r="E103" s="51">
        <v>1</v>
      </c>
    </row>
    <row r="104" spans="1:5" x14ac:dyDescent="0.4">
      <c r="A104" s="48" t="s">
        <v>3</v>
      </c>
      <c r="B104" s="48" t="s">
        <v>218</v>
      </c>
      <c r="C104" s="49" t="s">
        <v>167</v>
      </c>
      <c r="D104" s="50" t="s">
        <v>64</v>
      </c>
      <c r="E104" s="51">
        <v>1</v>
      </c>
    </row>
    <row r="105" spans="1:5" x14ac:dyDescent="0.4">
      <c r="A105" s="48" t="s">
        <v>3</v>
      </c>
      <c r="B105" s="48" t="s">
        <v>218</v>
      </c>
      <c r="C105" s="49" t="s">
        <v>168</v>
      </c>
      <c r="D105" s="50" t="s">
        <v>64</v>
      </c>
      <c r="E105" s="51">
        <v>1</v>
      </c>
    </row>
    <row r="106" spans="1:5" x14ac:dyDescent="0.4">
      <c r="A106" s="48" t="s">
        <v>3</v>
      </c>
      <c r="B106" s="48" t="s">
        <v>218</v>
      </c>
      <c r="C106" s="49" t="s">
        <v>169</v>
      </c>
      <c r="D106" s="50" t="s">
        <v>64</v>
      </c>
      <c r="E106" s="51">
        <v>1</v>
      </c>
    </row>
    <row r="107" spans="1:5" x14ac:dyDescent="0.4">
      <c r="A107" s="48" t="s">
        <v>3</v>
      </c>
      <c r="B107" s="48" t="s">
        <v>218</v>
      </c>
      <c r="C107" s="49" t="s">
        <v>170</v>
      </c>
      <c r="D107" s="50" t="s">
        <v>64</v>
      </c>
      <c r="E107" s="51">
        <v>1</v>
      </c>
    </row>
    <row r="108" spans="1:5" x14ac:dyDescent="0.4">
      <c r="A108" s="48" t="s">
        <v>3</v>
      </c>
      <c r="B108" s="48" t="s">
        <v>218</v>
      </c>
      <c r="C108" s="49" t="s">
        <v>171</v>
      </c>
      <c r="D108" s="50" t="s">
        <v>64</v>
      </c>
      <c r="E108" s="51">
        <v>1</v>
      </c>
    </row>
    <row r="109" spans="1:5" x14ac:dyDescent="0.4">
      <c r="A109" s="48" t="s">
        <v>3</v>
      </c>
      <c r="B109" s="48" t="s">
        <v>218</v>
      </c>
      <c r="C109" s="49" t="s">
        <v>172</v>
      </c>
      <c r="D109" s="50" t="s">
        <v>64</v>
      </c>
      <c r="E109" s="51">
        <v>1</v>
      </c>
    </row>
    <row r="110" spans="1:5" x14ac:dyDescent="0.4">
      <c r="A110" s="48" t="s">
        <v>3</v>
      </c>
      <c r="B110" s="48" t="s">
        <v>218</v>
      </c>
      <c r="C110" s="49" t="s">
        <v>173</v>
      </c>
      <c r="D110" s="50" t="s">
        <v>64</v>
      </c>
      <c r="E110" s="51">
        <v>1</v>
      </c>
    </row>
    <row r="111" spans="1:5" x14ac:dyDescent="0.4">
      <c r="A111" s="48" t="s">
        <v>3</v>
      </c>
      <c r="B111" s="48" t="s">
        <v>218</v>
      </c>
      <c r="C111" s="49" t="s">
        <v>174</v>
      </c>
      <c r="D111" s="50" t="s">
        <v>64</v>
      </c>
      <c r="E111" s="51">
        <v>1</v>
      </c>
    </row>
    <row r="112" spans="1:5" x14ac:dyDescent="0.4">
      <c r="A112" s="48" t="s">
        <v>3</v>
      </c>
      <c r="B112" s="48" t="s">
        <v>218</v>
      </c>
      <c r="C112" s="49" t="s">
        <v>175</v>
      </c>
      <c r="D112" s="50" t="s">
        <v>64</v>
      </c>
      <c r="E112" s="51">
        <v>1</v>
      </c>
    </row>
    <row r="113" spans="1:5" x14ac:dyDescent="0.4">
      <c r="A113" s="44" t="s">
        <v>4</v>
      </c>
      <c r="B113" s="44" t="s">
        <v>213</v>
      </c>
      <c r="C113" s="45" t="s">
        <v>177</v>
      </c>
      <c r="D113" s="46" t="s">
        <v>65</v>
      </c>
      <c r="E113" s="47">
        <v>1</v>
      </c>
    </row>
    <row r="114" spans="1:5" x14ac:dyDescent="0.4">
      <c r="A114" s="44" t="s">
        <v>4</v>
      </c>
      <c r="B114" s="44" t="s">
        <v>213</v>
      </c>
      <c r="C114" s="45" t="s">
        <v>178</v>
      </c>
      <c r="D114" s="46" t="s">
        <v>65</v>
      </c>
      <c r="E114" s="47">
        <v>1</v>
      </c>
    </row>
    <row r="115" spans="1:5" x14ac:dyDescent="0.4">
      <c r="A115" s="44" t="s">
        <v>4</v>
      </c>
      <c r="B115" s="44" t="s">
        <v>213</v>
      </c>
      <c r="C115" s="45" t="s">
        <v>179</v>
      </c>
      <c r="D115" s="46" t="s">
        <v>65</v>
      </c>
      <c r="E115" s="47">
        <v>1</v>
      </c>
    </row>
    <row r="116" spans="1:5" x14ac:dyDescent="0.4">
      <c r="A116" s="44" t="s">
        <v>4</v>
      </c>
      <c r="B116" s="44" t="s">
        <v>213</v>
      </c>
      <c r="C116" s="45" t="s">
        <v>180</v>
      </c>
      <c r="D116" s="46" t="s">
        <v>65</v>
      </c>
      <c r="E116" s="47">
        <v>1</v>
      </c>
    </row>
    <row r="117" spans="1:5" x14ac:dyDescent="0.4">
      <c r="A117" s="44" t="s">
        <v>4</v>
      </c>
      <c r="B117" s="44" t="s">
        <v>213</v>
      </c>
      <c r="C117" s="45" t="s">
        <v>181</v>
      </c>
      <c r="D117" s="46" t="s">
        <v>65</v>
      </c>
      <c r="E117" s="47">
        <v>1</v>
      </c>
    </row>
    <row r="118" spans="1:5" x14ac:dyDescent="0.4">
      <c r="A118" s="44" t="s">
        <v>4</v>
      </c>
      <c r="B118" s="44" t="s">
        <v>213</v>
      </c>
      <c r="C118" s="45" t="s">
        <v>182</v>
      </c>
      <c r="D118" s="46" t="s">
        <v>65</v>
      </c>
      <c r="E118" s="47">
        <v>1</v>
      </c>
    </row>
    <row r="119" spans="1:5" x14ac:dyDescent="0.4">
      <c r="A119" s="44" t="s">
        <v>4</v>
      </c>
      <c r="B119" s="44" t="s">
        <v>213</v>
      </c>
      <c r="C119" s="45" t="s">
        <v>183</v>
      </c>
      <c r="D119" s="46" t="s">
        <v>65</v>
      </c>
      <c r="E119" s="47">
        <v>1</v>
      </c>
    </row>
    <row r="120" spans="1:5" x14ac:dyDescent="0.4">
      <c r="A120" s="44" t="s">
        <v>4</v>
      </c>
      <c r="B120" s="44" t="s">
        <v>213</v>
      </c>
      <c r="C120" s="45" t="s">
        <v>184</v>
      </c>
      <c r="D120" s="46" t="s">
        <v>65</v>
      </c>
      <c r="E120" s="47">
        <v>1</v>
      </c>
    </row>
    <row r="121" spans="1:5" x14ac:dyDescent="0.4">
      <c r="A121" s="44" t="s">
        <v>4</v>
      </c>
      <c r="B121" s="44" t="s">
        <v>213</v>
      </c>
      <c r="C121" s="45" t="s">
        <v>185</v>
      </c>
      <c r="D121" s="46" t="s">
        <v>65</v>
      </c>
      <c r="E121" s="47">
        <v>1</v>
      </c>
    </row>
    <row r="122" spans="1:5" x14ac:dyDescent="0.4">
      <c r="A122" s="44" t="s">
        <v>4</v>
      </c>
      <c r="B122" s="44" t="s">
        <v>213</v>
      </c>
      <c r="C122" s="45" t="s">
        <v>186</v>
      </c>
      <c r="D122" s="46" t="s">
        <v>65</v>
      </c>
      <c r="E122" s="47">
        <v>1</v>
      </c>
    </row>
    <row r="123" spans="1:5" x14ac:dyDescent="0.4">
      <c r="A123" s="44" t="s">
        <v>4</v>
      </c>
      <c r="B123" s="44" t="s">
        <v>213</v>
      </c>
      <c r="C123" s="45" t="s">
        <v>187</v>
      </c>
      <c r="D123" s="46" t="s">
        <v>65</v>
      </c>
      <c r="E123" s="47">
        <v>1</v>
      </c>
    </row>
    <row r="124" spans="1:5" x14ac:dyDescent="0.4">
      <c r="A124" s="44" t="s">
        <v>4</v>
      </c>
      <c r="B124" s="44" t="s">
        <v>213</v>
      </c>
      <c r="C124" s="45" t="s">
        <v>188</v>
      </c>
      <c r="D124" s="46" t="s">
        <v>65</v>
      </c>
      <c r="E124" s="47">
        <v>1</v>
      </c>
    </row>
    <row r="125" spans="1:5" x14ac:dyDescent="0.4">
      <c r="A125" s="44" t="s">
        <v>4</v>
      </c>
      <c r="B125" s="44" t="s">
        <v>213</v>
      </c>
      <c r="C125" s="45" t="s">
        <v>189</v>
      </c>
      <c r="D125" s="46" t="s">
        <v>65</v>
      </c>
      <c r="E125" s="47">
        <v>1</v>
      </c>
    </row>
    <row r="126" spans="1:5" x14ac:dyDescent="0.4">
      <c r="A126" s="44" t="s">
        <v>4</v>
      </c>
      <c r="B126" s="44" t="s">
        <v>213</v>
      </c>
      <c r="C126" s="45" t="s">
        <v>190</v>
      </c>
      <c r="D126" s="46" t="s">
        <v>65</v>
      </c>
      <c r="E126" s="47">
        <v>1</v>
      </c>
    </row>
    <row r="127" spans="1:5" x14ac:dyDescent="0.4">
      <c r="A127" s="44" t="s">
        <v>4</v>
      </c>
      <c r="B127" s="44" t="s">
        <v>213</v>
      </c>
      <c r="C127" s="45" t="s">
        <v>191</v>
      </c>
      <c r="D127" s="46" t="s">
        <v>65</v>
      </c>
      <c r="E127" s="47">
        <v>1</v>
      </c>
    </row>
    <row r="128" spans="1:5" x14ac:dyDescent="0.4">
      <c r="A128" s="44" t="s">
        <v>4</v>
      </c>
      <c r="B128" s="44" t="s">
        <v>213</v>
      </c>
      <c r="C128" s="45" t="s">
        <v>192</v>
      </c>
      <c r="D128" s="46" t="s">
        <v>65</v>
      </c>
      <c r="E128" s="47">
        <v>1</v>
      </c>
    </row>
    <row r="129" spans="1:5" x14ac:dyDescent="0.4">
      <c r="A129" s="44" t="s">
        <v>4</v>
      </c>
      <c r="B129" s="44" t="s">
        <v>213</v>
      </c>
      <c r="C129" s="45" t="s">
        <v>193</v>
      </c>
      <c r="D129" s="46" t="s">
        <v>65</v>
      </c>
      <c r="E129" s="47">
        <v>1</v>
      </c>
    </row>
    <row r="130" spans="1:5" x14ac:dyDescent="0.4">
      <c r="A130" s="44" t="s">
        <v>4</v>
      </c>
      <c r="B130" s="44" t="s">
        <v>213</v>
      </c>
      <c r="C130" s="45" t="s">
        <v>194</v>
      </c>
      <c r="D130" s="46" t="s">
        <v>65</v>
      </c>
      <c r="E130" s="47">
        <v>1</v>
      </c>
    </row>
    <row r="131" spans="1:5" x14ac:dyDescent="0.4">
      <c r="A131" s="44" t="s">
        <v>4</v>
      </c>
      <c r="B131" s="44" t="s">
        <v>213</v>
      </c>
      <c r="C131" s="45" t="s">
        <v>195</v>
      </c>
      <c r="D131" s="46" t="s">
        <v>65</v>
      </c>
      <c r="E131" s="47">
        <v>1</v>
      </c>
    </row>
    <row r="132" spans="1:5" x14ac:dyDescent="0.4">
      <c r="A132" s="44" t="s">
        <v>4</v>
      </c>
      <c r="B132" s="44" t="s">
        <v>213</v>
      </c>
      <c r="C132" s="45" t="s">
        <v>196</v>
      </c>
      <c r="D132" s="46" t="s">
        <v>65</v>
      </c>
      <c r="E132" s="47">
        <v>1</v>
      </c>
    </row>
    <row r="133" spans="1:5" x14ac:dyDescent="0.4">
      <c r="A133" s="44" t="s">
        <v>4</v>
      </c>
      <c r="B133" s="44" t="s">
        <v>213</v>
      </c>
      <c r="C133" s="45" t="s">
        <v>197</v>
      </c>
      <c r="D133" s="46" t="s">
        <v>65</v>
      </c>
      <c r="E133" s="47">
        <v>1</v>
      </c>
    </row>
    <row r="134" spans="1:5" x14ac:dyDescent="0.4">
      <c r="A134" s="39" t="s">
        <v>202</v>
      </c>
      <c r="B134" s="39" t="s">
        <v>212</v>
      </c>
      <c r="C134" s="40" t="s">
        <v>55</v>
      </c>
      <c r="D134" s="41" t="s">
        <v>210</v>
      </c>
      <c r="E134" s="42">
        <v>1</v>
      </c>
    </row>
    <row r="135" spans="1:5" x14ac:dyDescent="0.4">
      <c r="A135" s="39" t="s">
        <v>5</v>
      </c>
      <c r="B135" s="39" t="s">
        <v>212</v>
      </c>
      <c r="C135" s="40" t="s">
        <v>55</v>
      </c>
      <c r="D135" s="41" t="s">
        <v>210</v>
      </c>
      <c r="E135" s="42">
        <v>1</v>
      </c>
    </row>
    <row r="136" spans="1:5" x14ac:dyDescent="0.4">
      <c r="A136" s="39" t="s">
        <v>5</v>
      </c>
      <c r="B136" s="39" t="s">
        <v>212</v>
      </c>
      <c r="C136" s="40" t="s">
        <v>203</v>
      </c>
      <c r="D136" s="41" t="s">
        <v>210</v>
      </c>
      <c r="E136" s="42">
        <v>1</v>
      </c>
    </row>
    <row r="137" spans="1:5" x14ac:dyDescent="0.4">
      <c r="A137" s="39" t="s">
        <v>5</v>
      </c>
      <c r="B137" s="39" t="s">
        <v>212</v>
      </c>
      <c r="C137" s="43" t="s">
        <v>204</v>
      </c>
      <c r="D137" s="41" t="s">
        <v>210</v>
      </c>
      <c r="E137" s="42">
        <v>1</v>
      </c>
    </row>
    <row r="138" spans="1:5" x14ac:dyDescent="0.4">
      <c r="A138" s="39" t="s">
        <v>5</v>
      </c>
      <c r="B138" s="39" t="s">
        <v>212</v>
      </c>
      <c r="C138" s="43" t="s">
        <v>205</v>
      </c>
      <c r="D138" s="41" t="s">
        <v>210</v>
      </c>
      <c r="E138" s="42">
        <v>1</v>
      </c>
    </row>
    <row r="139" spans="1:5" x14ac:dyDescent="0.4">
      <c r="A139" s="39" t="s">
        <v>5</v>
      </c>
      <c r="B139" s="39" t="s">
        <v>212</v>
      </c>
      <c r="C139" s="43" t="s">
        <v>206</v>
      </c>
      <c r="D139" s="41" t="s">
        <v>210</v>
      </c>
      <c r="E139" s="42">
        <v>1</v>
      </c>
    </row>
    <row r="140" spans="1:5" x14ac:dyDescent="0.4">
      <c r="A140" s="39" t="s">
        <v>5</v>
      </c>
      <c r="B140" s="39" t="s">
        <v>212</v>
      </c>
      <c r="C140" s="43" t="s">
        <v>207</v>
      </c>
      <c r="D140" s="41" t="s">
        <v>210</v>
      </c>
      <c r="E140" s="42">
        <v>1</v>
      </c>
    </row>
    <row r="141" spans="1:5" x14ac:dyDescent="0.4">
      <c r="A141" s="26" t="s">
        <v>202</v>
      </c>
      <c r="B141" s="27" t="s">
        <v>216</v>
      </c>
      <c r="C141" s="28" t="s">
        <v>201</v>
      </c>
      <c r="D141" s="29" t="s">
        <v>210</v>
      </c>
      <c r="E141" s="30">
        <f>(0.772897890121685+0.110407441507011+0.0165)*1000000000</f>
        <v>899805331.62869596</v>
      </c>
    </row>
    <row r="142" spans="1:5" x14ac:dyDescent="0.4">
      <c r="A142" s="26" t="s">
        <v>5</v>
      </c>
      <c r="B142" s="27" t="s">
        <v>216</v>
      </c>
      <c r="C142" s="28" t="s">
        <v>201</v>
      </c>
      <c r="D142" s="29" t="s">
        <v>210</v>
      </c>
      <c r="E142" s="30">
        <f t="shared" ref="E142:E147" si="0">(0.772897890121685+0.110407441507011+0.0165)*1000000000</f>
        <v>899805331.62869596</v>
      </c>
    </row>
    <row r="143" spans="1:5" x14ac:dyDescent="0.4">
      <c r="A143" s="26" t="s">
        <v>5</v>
      </c>
      <c r="B143" s="27" t="s">
        <v>216</v>
      </c>
      <c r="C143" s="28" t="s">
        <v>203</v>
      </c>
      <c r="D143" s="29" t="s">
        <v>210</v>
      </c>
      <c r="E143" s="30">
        <f t="shared" si="0"/>
        <v>899805331.62869596</v>
      </c>
    </row>
    <row r="144" spans="1:5" x14ac:dyDescent="0.4">
      <c r="A144" s="26" t="s">
        <v>5</v>
      </c>
      <c r="B144" s="27" t="s">
        <v>216</v>
      </c>
      <c r="C144" s="31" t="s">
        <v>204</v>
      </c>
      <c r="D144" s="29" t="s">
        <v>210</v>
      </c>
      <c r="E144" s="30">
        <f t="shared" si="0"/>
        <v>899805331.62869596</v>
      </c>
    </row>
    <row r="145" spans="1:5" x14ac:dyDescent="0.4">
      <c r="A145" s="26" t="s">
        <v>5</v>
      </c>
      <c r="B145" s="27" t="s">
        <v>216</v>
      </c>
      <c r="C145" s="31" t="s">
        <v>205</v>
      </c>
      <c r="D145" s="29" t="s">
        <v>210</v>
      </c>
      <c r="E145" s="30">
        <f t="shared" si="0"/>
        <v>899805331.62869596</v>
      </c>
    </row>
    <row r="146" spans="1:5" x14ac:dyDescent="0.4">
      <c r="A146" s="26" t="s">
        <v>5</v>
      </c>
      <c r="B146" s="27" t="s">
        <v>216</v>
      </c>
      <c r="C146" s="31" t="s">
        <v>206</v>
      </c>
      <c r="D146" s="29" t="s">
        <v>210</v>
      </c>
      <c r="E146" s="30">
        <f t="shared" si="0"/>
        <v>899805331.62869596</v>
      </c>
    </row>
    <row r="147" spans="1:5" x14ac:dyDescent="0.4">
      <c r="A147" s="26" t="s">
        <v>5</v>
      </c>
      <c r="B147" s="27" t="s">
        <v>216</v>
      </c>
      <c r="C147" s="31" t="s">
        <v>207</v>
      </c>
      <c r="D147" s="29" t="s">
        <v>210</v>
      </c>
      <c r="E147" s="30">
        <f t="shared" si="0"/>
        <v>899805331.62869596</v>
      </c>
    </row>
    <row r="148" spans="1:5" x14ac:dyDescent="0.4">
      <c r="A148" s="26" t="s">
        <v>4</v>
      </c>
      <c r="B148" s="27" t="s">
        <v>216</v>
      </c>
      <c r="C148" s="32" t="s">
        <v>176</v>
      </c>
      <c r="D148" s="29" t="s">
        <v>65</v>
      </c>
      <c r="E148" s="30">
        <v>485679.81716597301</v>
      </c>
    </row>
    <row r="149" spans="1:5" x14ac:dyDescent="0.4">
      <c r="A149" s="26" t="s">
        <v>4</v>
      </c>
      <c r="B149" s="27" t="s">
        <v>216</v>
      </c>
      <c r="C149" s="33" t="s">
        <v>177</v>
      </c>
      <c r="D149" s="29" t="s">
        <v>65</v>
      </c>
      <c r="E149" s="30">
        <v>608053.19508885196</v>
      </c>
    </row>
    <row r="150" spans="1:5" x14ac:dyDescent="0.4">
      <c r="A150" s="26" t="s">
        <v>4</v>
      </c>
      <c r="B150" s="27" t="s">
        <v>216</v>
      </c>
      <c r="C150" s="33" t="s">
        <v>178</v>
      </c>
      <c r="D150" s="29" t="s">
        <v>65</v>
      </c>
      <c r="E150" s="30">
        <v>608053.19508885196</v>
      </c>
    </row>
    <row r="151" spans="1:5" x14ac:dyDescent="0.4">
      <c r="A151" s="26" t="s">
        <v>4</v>
      </c>
      <c r="B151" s="27" t="s">
        <v>216</v>
      </c>
      <c r="C151" s="33" t="s">
        <v>179</v>
      </c>
      <c r="D151" s="29" t="s">
        <v>65</v>
      </c>
      <c r="E151" s="30">
        <v>608053.19508885196</v>
      </c>
    </row>
    <row r="152" spans="1:5" x14ac:dyDescent="0.4">
      <c r="A152" s="26" t="s">
        <v>4</v>
      </c>
      <c r="B152" s="27" t="s">
        <v>216</v>
      </c>
      <c r="C152" s="33" t="s">
        <v>180</v>
      </c>
      <c r="D152" s="29" t="s">
        <v>65</v>
      </c>
      <c r="E152" s="30">
        <v>608053.19508885196</v>
      </c>
    </row>
    <row r="153" spans="1:5" x14ac:dyDescent="0.4">
      <c r="A153" s="26" t="s">
        <v>4</v>
      </c>
      <c r="B153" s="27" t="s">
        <v>216</v>
      </c>
      <c r="C153" s="33" t="s">
        <v>181</v>
      </c>
      <c r="D153" s="29" t="s">
        <v>65</v>
      </c>
      <c r="E153" s="30">
        <v>608053.19508885196</v>
      </c>
    </row>
    <row r="154" spans="1:5" x14ac:dyDescent="0.4">
      <c r="A154" s="26" t="s">
        <v>4</v>
      </c>
      <c r="B154" s="27" t="s">
        <v>216</v>
      </c>
      <c r="C154" s="33" t="s">
        <v>182</v>
      </c>
      <c r="D154" s="29" t="s">
        <v>65</v>
      </c>
      <c r="E154" s="30">
        <v>608053.19508885196</v>
      </c>
    </row>
    <row r="155" spans="1:5" x14ac:dyDescent="0.4">
      <c r="A155" s="26" t="s">
        <v>4</v>
      </c>
      <c r="B155" s="27" t="s">
        <v>216</v>
      </c>
      <c r="C155" s="33" t="s">
        <v>183</v>
      </c>
      <c r="D155" s="29" t="s">
        <v>65</v>
      </c>
      <c r="E155" s="30">
        <v>608053.19508885196</v>
      </c>
    </row>
    <row r="156" spans="1:5" x14ac:dyDescent="0.4">
      <c r="A156" s="26" t="s">
        <v>4</v>
      </c>
      <c r="B156" s="27" t="s">
        <v>216</v>
      </c>
      <c r="C156" s="33" t="s">
        <v>184</v>
      </c>
      <c r="D156" s="29" t="s">
        <v>65</v>
      </c>
      <c r="E156" s="30">
        <v>608053.19508885196</v>
      </c>
    </row>
    <row r="157" spans="1:5" x14ac:dyDescent="0.4">
      <c r="A157" s="26" t="s">
        <v>4</v>
      </c>
      <c r="B157" s="27" t="s">
        <v>216</v>
      </c>
      <c r="C157" s="33" t="s">
        <v>185</v>
      </c>
      <c r="D157" s="29" t="s">
        <v>65</v>
      </c>
      <c r="E157" s="30">
        <v>229042.93475783701</v>
      </c>
    </row>
    <row r="158" spans="1:5" x14ac:dyDescent="0.4">
      <c r="A158" s="26" t="s">
        <v>4</v>
      </c>
      <c r="B158" s="27" t="s">
        <v>216</v>
      </c>
      <c r="C158" s="33" t="s">
        <v>186</v>
      </c>
      <c r="D158" s="29" t="s">
        <v>65</v>
      </c>
      <c r="E158" s="30">
        <v>229042.93475783701</v>
      </c>
    </row>
    <row r="159" spans="1:5" x14ac:dyDescent="0.4">
      <c r="A159" s="26" t="s">
        <v>4</v>
      </c>
      <c r="B159" s="27" t="s">
        <v>216</v>
      </c>
      <c r="C159" s="33" t="s">
        <v>187</v>
      </c>
      <c r="D159" s="29" t="s">
        <v>65</v>
      </c>
      <c r="E159" s="30">
        <v>229042.93475783701</v>
      </c>
    </row>
    <row r="160" spans="1:5" x14ac:dyDescent="0.4">
      <c r="A160" s="26" t="s">
        <v>4</v>
      </c>
      <c r="B160" s="27" t="s">
        <v>216</v>
      </c>
      <c r="C160" s="33" t="s">
        <v>188</v>
      </c>
      <c r="D160" s="29" t="s">
        <v>65</v>
      </c>
      <c r="E160" s="30">
        <v>229042.93475783701</v>
      </c>
    </row>
    <row r="161" spans="1:5" x14ac:dyDescent="0.4">
      <c r="A161" s="26" t="s">
        <v>4</v>
      </c>
      <c r="B161" s="27" t="s">
        <v>216</v>
      </c>
      <c r="C161" s="33" t="s">
        <v>189</v>
      </c>
      <c r="D161" s="29" t="s">
        <v>65</v>
      </c>
      <c r="E161" s="30">
        <v>229042.93475783701</v>
      </c>
    </row>
    <row r="162" spans="1:5" x14ac:dyDescent="0.4">
      <c r="A162" s="26" t="s">
        <v>4</v>
      </c>
      <c r="B162" s="27" t="s">
        <v>216</v>
      </c>
      <c r="C162" s="33" t="s">
        <v>190</v>
      </c>
      <c r="D162" s="29" t="s">
        <v>65</v>
      </c>
      <c r="E162" s="30">
        <v>229042.93475783701</v>
      </c>
    </row>
    <row r="163" spans="1:5" x14ac:dyDescent="0.4">
      <c r="A163" s="26" t="s">
        <v>4</v>
      </c>
      <c r="B163" s="27" t="s">
        <v>216</v>
      </c>
      <c r="C163" s="33" t="s">
        <v>191</v>
      </c>
      <c r="D163" s="29" t="s">
        <v>65</v>
      </c>
      <c r="E163" s="30">
        <v>229042.93475783701</v>
      </c>
    </row>
    <row r="164" spans="1:5" x14ac:dyDescent="0.4">
      <c r="A164" s="26" t="s">
        <v>4</v>
      </c>
      <c r="B164" s="27" t="s">
        <v>216</v>
      </c>
      <c r="C164" s="33" t="s">
        <v>192</v>
      </c>
      <c r="D164" s="29" t="s">
        <v>65</v>
      </c>
      <c r="E164" s="30">
        <v>229042.93475783701</v>
      </c>
    </row>
    <row r="165" spans="1:5" x14ac:dyDescent="0.4">
      <c r="A165" s="26" t="s">
        <v>4</v>
      </c>
      <c r="B165" s="27" t="s">
        <v>216</v>
      </c>
      <c r="C165" s="33" t="s">
        <v>193</v>
      </c>
      <c r="D165" s="29" t="s">
        <v>65</v>
      </c>
      <c r="E165" s="30">
        <v>229042.93475783701</v>
      </c>
    </row>
    <row r="166" spans="1:5" x14ac:dyDescent="0.4">
      <c r="A166" s="26" t="s">
        <v>4</v>
      </c>
      <c r="B166" s="27" t="s">
        <v>216</v>
      </c>
      <c r="C166" s="33" t="s">
        <v>194</v>
      </c>
      <c r="D166" s="29" t="s">
        <v>65</v>
      </c>
      <c r="E166" s="30">
        <v>229042.93475783701</v>
      </c>
    </row>
    <row r="167" spans="1:5" x14ac:dyDescent="0.4">
      <c r="A167" s="26" t="s">
        <v>4</v>
      </c>
      <c r="B167" s="27" t="s">
        <v>216</v>
      </c>
      <c r="C167" s="33" t="s">
        <v>195</v>
      </c>
      <c r="D167" s="29" t="s">
        <v>65</v>
      </c>
      <c r="E167" s="30">
        <v>229042.93475783701</v>
      </c>
    </row>
    <row r="168" spans="1:5" x14ac:dyDescent="0.4">
      <c r="A168" s="26" t="s">
        <v>4</v>
      </c>
      <c r="B168" s="27" t="s">
        <v>216</v>
      </c>
      <c r="C168" s="33" t="s">
        <v>196</v>
      </c>
      <c r="D168" s="29" t="s">
        <v>65</v>
      </c>
      <c r="E168" s="30">
        <v>229042.93475783701</v>
      </c>
    </row>
    <row r="169" spans="1:5" x14ac:dyDescent="0.4">
      <c r="A169" s="26" t="s">
        <v>4</v>
      </c>
      <c r="B169" s="27" t="s">
        <v>216</v>
      </c>
      <c r="C169" s="33" t="s">
        <v>197</v>
      </c>
      <c r="D169" s="29" t="s">
        <v>65</v>
      </c>
      <c r="E169" s="30">
        <v>229042.93475783701</v>
      </c>
    </row>
    <row r="170" spans="1:5" x14ac:dyDescent="0.4">
      <c r="A170" s="26" t="s">
        <v>4</v>
      </c>
      <c r="B170" s="27" t="s">
        <v>216</v>
      </c>
      <c r="C170" s="33" t="s">
        <v>198</v>
      </c>
      <c r="D170" s="29" t="s">
        <v>65</v>
      </c>
      <c r="E170" s="30">
        <v>109564.693955489</v>
      </c>
    </row>
    <row r="171" spans="1:5" x14ac:dyDescent="0.4">
      <c r="A171" s="26" t="s">
        <v>4</v>
      </c>
      <c r="B171" s="27" t="s">
        <v>216</v>
      </c>
      <c r="C171" s="33" t="s">
        <v>69</v>
      </c>
      <c r="D171" s="29" t="s">
        <v>65</v>
      </c>
      <c r="E171" s="30">
        <v>229042.93475783701</v>
      </c>
    </row>
    <row r="172" spans="1:5" x14ac:dyDescent="0.4">
      <c r="A172" s="26" t="s">
        <v>4</v>
      </c>
      <c r="B172" s="27" t="s">
        <v>216</v>
      </c>
      <c r="C172" s="33" t="s">
        <v>70</v>
      </c>
      <c r="D172" s="29" t="s">
        <v>65</v>
      </c>
      <c r="E172" s="30">
        <v>229042.93475783701</v>
      </c>
    </row>
    <row r="173" spans="1:5" x14ac:dyDescent="0.4">
      <c r="A173" s="26" t="s">
        <v>4</v>
      </c>
      <c r="B173" s="27" t="s">
        <v>216</v>
      </c>
      <c r="C173" s="33" t="s">
        <v>71</v>
      </c>
      <c r="D173" s="29" t="s">
        <v>65</v>
      </c>
      <c r="E173" s="30">
        <v>229042.93475783701</v>
      </c>
    </row>
    <row r="174" spans="1:5" x14ac:dyDescent="0.4">
      <c r="A174" s="26" t="s">
        <v>3</v>
      </c>
      <c r="B174" s="27" t="s">
        <v>216</v>
      </c>
      <c r="C174" s="31" t="s">
        <v>73</v>
      </c>
      <c r="D174" s="29" t="s">
        <v>64</v>
      </c>
      <c r="E174" s="30">
        <v>306.2</v>
      </c>
    </row>
    <row r="175" spans="1:5" x14ac:dyDescent="0.4">
      <c r="A175" s="26" t="s">
        <v>3</v>
      </c>
      <c r="B175" s="27" t="s">
        <v>216</v>
      </c>
      <c r="C175" s="31" t="s">
        <v>74</v>
      </c>
      <c r="D175" s="29" t="s">
        <v>64</v>
      </c>
      <c r="E175" s="30">
        <v>306.2</v>
      </c>
    </row>
    <row r="176" spans="1:5" x14ac:dyDescent="0.4">
      <c r="A176" s="26" t="s">
        <v>3</v>
      </c>
      <c r="B176" s="27" t="s">
        <v>216</v>
      </c>
      <c r="C176" s="31" t="s">
        <v>75</v>
      </c>
      <c r="D176" s="29" t="s">
        <v>64</v>
      </c>
      <c r="E176" s="30">
        <v>306.2</v>
      </c>
    </row>
    <row r="177" spans="1:5" x14ac:dyDescent="0.4">
      <c r="A177" s="26" t="s">
        <v>3</v>
      </c>
      <c r="B177" s="27" t="s">
        <v>216</v>
      </c>
      <c r="C177" s="31" t="s">
        <v>76</v>
      </c>
      <c r="D177" s="29" t="s">
        <v>64</v>
      </c>
      <c r="E177" s="30">
        <v>306.2</v>
      </c>
    </row>
    <row r="178" spans="1:5" x14ac:dyDescent="0.4">
      <c r="A178" s="26" t="s">
        <v>3</v>
      </c>
      <c r="B178" s="27" t="s">
        <v>216</v>
      </c>
      <c r="C178" s="31" t="s">
        <v>77</v>
      </c>
      <c r="D178" s="29" t="s">
        <v>64</v>
      </c>
      <c r="E178" s="30">
        <v>306.2</v>
      </c>
    </row>
    <row r="179" spans="1:5" x14ac:dyDescent="0.4">
      <c r="A179" s="26" t="s">
        <v>3</v>
      </c>
      <c r="B179" s="27" t="s">
        <v>216</v>
      </c>
      <c r="C179" s="31" t="s">
        <v>78</v>
      </c>
      <c r="D179" s="29" t="s">
        <v>64</v>
      </c>
      <c r="E179" s="30">
        <v>306.2</v>
      </c>
    </row>
    <row r="180" spans="1:5" x14ac:dyDescent="0.4">
      <c r="A180" s="26" t="s">
        <v>3</v>
      </c>
      <c r="B180" s="27" t="s">
        <v>216</v>
      </c>
      <c r="C180" s="31" t="s">
        <v>79</v>
      </c>
      <c r="D180" s="29" t="s">
        <v>64</v>
      </c>
      <c r="E180" s="30">
        <v>306.2</v>
      </c>
    </row>
    <row r="181" spans="1:5" x14ac:dyDescent="0.4">
      <c r="A181" s="26" t="s">
        <v>3</v>
      </c>
      <c r="B181" s="27" t="s">
        <v>216</v>
      </c>
      <c r="C181" s="31" t="s">
        <v>80</v>
      </c>
      <c r="D181" s="29" t="s">
        <v>64</v>
      </c>
      <c r="E181" s="30">
        <v>306.2</v>
      </c>
    </row>
    <row r="182" spans="1:5" x14ac:dyDescent="0.4">
      <c r="A182" s="26" t="s">
        <v>3</v>
      </c>
      <c r="B182" s="27" t="s">
        <v>216</v>
      </c>
      <c r="C182" s="31" t="s">
        <v>81</v>
      </c>
      <c r="D182" s="29" t="s">
        <v>64</v>
      </c>
      <c r="E182" s="30">
        <v>306.2</v>
      </c>
    </row>
    <row r="183" spans="1:5" x14ac:dyDescent="0.4">
      <c r="A183" s="26" t="s">
        <v>3</v>
      </c>
      <c r="B183" s="27" t="s">
        <v>216</v>
      </c>
      <c r="C183" s="31" t="s">
        <v>82</v>
      </c>
      <c r="D183" s="29" t="s">
        <v>64</v>
      </c>
      <c r="E183" s="30">
        <v>306.2</v>
      </c>
    </row>
    <row r="184" spans="1:5" x14ac:dyDescent="0.4">
      <c r="A184" s="26" t="s">
        <v>3</v>
      </c>
      <c r="B184" s="27" t="s">
        <v>216</v>
      </c>
      <c r="C184" s="31" t="s">
        <v>83</v>
      </c>
      <c r="D184" s="29" t="s">
        <v>64</v>
      </c>
      <c r="E184" s="30">
        <v>306.2</v>
      </c>
    </row>
    <row r="185" spans="1:5" x14ac:dyDescent="0.4">
      <c r="A185" s="26" t="s">
        <v>3</v>
      </c>
      <c r="B185" s="27" t="s">
        <v>216</v>
      </c>
      <c r="C185" s="31" t="s">
        <v>84</v>
      </c>
      <c r="D185" s="29" t="s">
        <v>64</v>
      </c>
      <c r="E185" s="30">
        <v>306.2</v>
      </c>
    </row>
    <row r="186" spans="1:5" x14ac:dyDescent="0.4">
      <c r="A186" s="26" t="s">
        <v>3</v>
      </c>
      <c r="B186" s="27" t="s">
        <v>216</v>
      </c>
      <c r="C186" s="31" t="s">
        <v>85</v>
      </c>
      <c r="D186" s="29" t="s">
        <v>64</v>
      </c>
      <c r="E186" s="30">
        <v>306.2</v>
      </c>
    </row>
    <row r="187" spans="1:5" x14ac:dyDescent="0.4">
      <c r="A187" s="26" t="s">
        <v>3</v>
      </c>
      <c r="B187" s="27" t="s">
        <v>216</v>
      </c>
      <c r="C187" s="31" t="s">
        <v>86</v>
      </c>
      <c r="D187" s="29" t="s">
        <v>64</v>
      </c>
      <c r="E187" s="30">
        <v>306.2</v>
      </c>
    </row>
    <row r="188" spans="1:5" x14ac:dyDescent="0.4">
      <c r="A188" s="26" t="s">
        <v>3</v>
      </c>
      <c r="B188" s="27" t="s">
        <v>216</v>
      </c>
      <c r="C188" s="31" t="s">
        <v>87</v>
      </c>
      <c r="D188" s="29" t="s">
        <v>64</v>
      </c>
      <c r="E188" s="30">
        <v>306.2</v>
      </c>
    </row>
    <row r="189" spans="1:5" x14ac:dyDescent="0.4">
      <c r="A189" s="26" t="s">
        <v>3</v>
      </c>
      <c r="B189" s="27" t="s">
        <v>216</v>
      </c>
      <c r="C189" s="31" t="s">
        <v>88</v>
      </c>
      <c r="D189" s="29" t="s">
        <v>64</v>
      </c>
      <c r="E189" s="30">
        <v>306.2</v>
      </c>
    </row>
    <row r="190" spans="1:5" x14ac:dyDescent="0.4">
      <c r="A190" s="26" t="s">
        <v>3</v>
      </c>
      <c r="B190" s="27" t="s">
        <v>216</v>
      </c>
      <c r="C190" s="31" t="s">
        <v>89</v>
      </c>
      <c r="D190" s="29" t="s">
        <v>64</v>
      </c>
      <c r="E190" s="30">
        <v>306.2</v>
      </c>
    </row>
    <row r="191" spans="1:5" x14ac:dyDescent="0.4">
      <c r="A191" s="26" t="s">
        <v>3</v>
      </c>
      <c r="B191" s="27" t="s">
        <v>216</v>
      </c>
      <c r="C191" s="31" t="s">
        <v>90</v>
      </c>
      <c r="D191" s="29" t="s">
        <v>64</v>
      </c>
      <c r="E191" s="30">
        <v>306.2</v>
      </c>
    </row>
    <row r="192" spans="1:5" x14ac:dyDescent="0.4">
      <c r="A192" s="26" t="s">
        <v>3</v>
      </c>
      <c r="B192" s="27" t="s">
        <v>216</v>
      </c>
      <c r="C192" s="31" t="s">
        <v>91</v>
      </c>
      <c r="D192" s="29" t="s">
        <v>64</v>
      </c>
      <c r="E192" s="30">
        <v>306.2</v>
      </c>
    </row>
    <row r="193" spans="1:5" x14ac:dyDescent="0.4">
      <c r="A193" s="26" t="s">
        <v>3</v>
      </c>
      <c r="B193" s="27" t="s">
        <v>216</v>
      </c>
      <c r="C193" s="31" t="s">
        <v>92</v>
      </c>
      <c r="D193" s="29" t="s">
        <v>64</v>
      </c>
      <c r="E193" s="30">
        <v>306.2</v>
      </c>
    </row>
    <row r="194" spans="1:5" x14ac:dyDescent="0.4">
      <c r="A194" s="26" t="s">
        <v>3</v>
      </c>
      <c r="B194" s="27" t="s">
        <v>216</v>
      </c>
      <c r="C194" s="31" t="s">
        <v>93</v>
      </c>
      <c r="D194" s="29" t="s">
        <v>64</v>
      </c>
      <c r="E194" s="30">
        <v>306.2</v>
      </c>
    </row>
    <row r="195" spans="1:5" x14ac:dyDescent="0.4">
      <c r="A195" s="26" t="s">
        <v>3</v>
      </c>
      <c r="B195" s="27" t="s">
        <v>216</v>
      </c>
      <c r="C195" s="31" t="s">
        <v>94</v>
      </c>
      <c r="D195" s="29" t="s">
        <v>64</v>
      </c>
      <c r="E195" s="30">
        <v>306.2</v>
      </c>
    </row>
    <row r="196" spans="1:5" x14ac:dyDescent="0.4">
      <c r="A196" s="26" t="s">
        <v>3</v>
      </c>
      <c r="B196" s="27" t="s">
        <v>216</v>
      </c>
      <c r="C196" s="31" t="s">
        <v>95</v>
      </c>
      <c r="D196" s="29" t="s">
        <v>64</v>
      </c>
      <c r="E196" s="30">
        <v>306.2</v>
      </c>
    </row>
    <row r="197" spans="1:5" x14ac:dyDescent="0.4">
      <c r="A197" s="26" t="s">
        <v>3</v>
      </c>
      <c r="B197" s="27" t="s">
        <v>216</v>
      </c>
      <c r="C197" s="31" t="s">
        <v>96</v>
      </c>
      <c r="D197" s="29" t="s">
        <v>64</v>
      </c>
      <c r="E197" s="30">
        <v>306.2</v>
      </c>
    </row>
    <row r="198" spans="1:5" x14ac:dyDescent="0.4">
      <c r="A198" s="26" t="s">
        <v>3</v>
      </c>
      <c r="B198" s="27" t="s">
        <v>216</v>
      </c>
      <c r="C198" s="31" t="s">
        <v>97</v>
      </c>
      <c r="D198" s="29" t="s">
        <v>64</v>
      </c>
      <c r="E198" s="30">
        <v>306.2</v>
      </c>
    </row>
    <row r="199" spans="1:5" x14ac:dyDescent="0.4">
      <c r="A199" s="26" t="s">
        <v>3</v>
      </c>
      <c r="B199" s="27" t="s">
        <v>216</v>
      </c>
      <c r="C199" s="31" t="s">
        <v>98</v>
      </c>
      <c r="D199" s="29" t="s">
        <v>64</v>
      </c>
      <c r="E199" s="30">
        <v>306.2</v>
      </c>
    </row>
    <row r="200" spans="1:5" x14ac:dyDescent="0.4">
      <c r="A200" s="26" t="s">
        <v>3</v>
      </c>
      <c r="B200" s="27" t="s">
        <v>216</v>
      </c>
      <c r="C200" s="31" t="s">
        <v>99</v>
      </c>
      <c r="D200" s="29" t="s">
        <v>64</v>
      </c>
      <c r="E200" s="30">
        <v>306.2</v>
      </c>
    </row>
    <row r="201" spans="1:5" x14ac:dyDescent="0.4">
      <c r="A201" s="26" t="s">
        <v>3</v>
      </c>
      <c r="B201" s="27" t="s">
        <v>216</v>
      </c>
      <c r="C201" s="31" t="s">
        <v>100</v>
      </c>
      <c r="D201" s="29" t="s">
        <v>64</v>
      </c>
      <c r="E201" s="30">
        <v>306.2</v>
      </c>
    </row>
    <row r="202" spans="1:5" x14ac:dyDescent="0.4">
      <c r="A202" s="26" t="s">
        <v>3</v>
      </c>
      <c r="B202" s="27" t="s">
        <v>216</v>
      </c>
      <c r="C202" s="31" t="s">
        <v>101</v>
      </c>
      <c r="D202" s="29" t="s">
        <v>64</v>
      </c>
      <c r="E202" s="30">
        <v>306.2</v>
      </c>
    </row>
    <row r="203" spans="1:5" x14ac:dyDescent="0.4">
      <c r="A203" s="26" t="s">
        <v>3</v>
      </c>
      <c r="B203" s="27" t="s">
        <v>216</v>
      </c>
      <c r="C203" s="31" t="s">
        <v>102</v>
      </c>
      <c r="D203" s="29" t="s">
        <v>64</v>
      </c>
      <c r="E203" s="30">
        <v>306.2</v>
      </c>
    </row>
    <row r="204" spans="1:5" x14ac:dyDescent="0.4">
      <c r="A204" s="26" t="s">
        <v>3</v>
      </c>
      <c r="B204" s="27" t="s">
        <v>216</v>
      </c>
      <c r="C204" s="31" t="s">
        <v>103</v>
      </c>
      <c r="D204" s="29" t="s">
        <v>64</v>
      </c>
      <c r="E204" s="30">
        <v>306.2</v>
      </c>
    </row>
    <row r="205" spans="1:5" x14ac:dyDescent="0.4">
      <c r="A205" s="26" t="s">
        <v>3</v>
      </c>
      <c r="B205" s="27" t="s">
        <v>216</v>
      </c>
      <c r="C205" s="31" t="s">
        <v>104</v>
      </c>
      <c r="D205" s="29" t="s">
        <v>64</v>
      </c>
      <c r="E205" s="30">
        <v>306.2</v>
      </c>
    </row>
    <row r="206" spans="1:5" x14ac:dyDescent="0.4">
      <c r="A206" s="26" t="s">
        <v>3</v>
      </c>
      <c r="B206" s="27" t="s">
        <v>216</v>
      </c>
      <c r="C206" s="31" t="s">
        <v>105</v>
      </c>
      <c r="D206" s="29" t="s">
        <v>64</v>
      </c>
      <c r="E206" s="30">
        <v>306.2</v>
      </c>
    </row>
    <row r="207" spans="1:5" x14ac:dyDescent="0.4">
      <c r="A207" s="26" t="s">
        <v>3</v>
      </c>
      <c r="B207" s="27" t="s">
        <v>216</v>
      </c>
      <c r="C207" s="31" t="s">
        <v>106</v>
      </c>
      <c r="D207" s="29" t="s">
        <v>64</v>
      </c>
      <c r="E207" s="30">
        <v>306.2</v>
      </c>
    </row>
    <row r="208" spans="1:5" x14ac:dyDescent="0.4">
      <c r="A208" s="26" t="s">
        <v>3</v>
      </c>
      <c r="B208" s="27" t="s">
        <v>216</v>
      </c>
      <c r="C208" s="31" t="s">
        <v>107</v>
      </c>
      <c r="D208" s="29" t="s">
        <v>64</v>
      </c>
      <c r="E208" s="30">
        <v>306.2</v>
      </c>
    </row>
    <row r="209" spans="1:5" x14ac:dyDescent="0.4">
      <c r="A209" s="26" t="s">
        <v>3</v>
      </c>
      <c r="B209" s="27" t="s">
        <v>216</v>
      </c>
      <c r="C209" s="31" t="s">
        <v>108</v>
      </c>
      <c r="D209" s="29" t="s">
        <v>64</v>
      </c>
      <c r="E209" s="30">
        <v>306.2</v>
      </c>
    </row>
    <row r="210" spans="1:5" x14ac:dyDescent="0.4">
      <c r="A210" s="26" t="s">
        <v>3</v>
      </c>
      <c r="B210" s="27" t="s">
        <v>216</v>
      </c>
      <c r="C210" s="31" t="s">
        <v>109</v>
      </c>
      <c r="D210" s="29" t="s">
        <v>64</v>
      </c>
      <c r="E210" s="30">
        <v>306.2</v>
      </c>
    </row>
    <row r="211" spans="1:5" x14ac:dyDescent="0.4">
      <c r="A211" s="26" t="s">
        <v>3</v>
      </c>
      <c r="B211" s="27" t="s">
        <v>216</v>
      </c>
      <c r="C211" s="31" t="s">
        <v>110</v>
      </c>
      <c r="D211" s="29" t="s">
        <v>64</v>
      </c>
      <c r="E211" s="30">
        <v>306.2</v>
      </c>
    </row>
    <row r="212" spans="1:5" x14ac:dyDescent="0.4">
      <c r="A212" s="26" t="s">
        <v>3</v>
      </c>
      <c r="B212" s="27" t="s">
        <v>216</v>
      </c>
      <c r="C212" s="31" t="s">
        <v>111</v>
      </c>
      <c r="D212" s="29" t="s">
        <v>64</v>
      </c>
      <c r="E212" s="30">
        <v>306.2</v>
      </c>
    </row>
    <row r="213" spans="1:5" x14ac:dyDescent="0.4">
      <c r="A213" s="26" t="s">
        <v>3</v>
      </c>
      <c r="B213" s="27" t="s">
        <v>216</v>
      </c>
      <c r="C213" s="31" t="s">
        <v>112</v>
      </c>
      <c r="D213" s="29" t="s">
        <v>64</v>
      </c>
      <c r="E213" s="30">
        <v>306.2</v>
      </c>
    </row>
    <row r="214" spans="1:5" x14ac:dyDescent="0.4">
      <c r="A214" s="26" t="s">
        <v>3</v>
      </c>
      <c r="B214" s="27" t="s">
        <v>216</v>
      </c>
      <c r="C214" s="31" t="s">
        <v>113</v>
      </c>
      <c r="D214" s="29" t="s">
        <v>64</v>
      </c>
      <c r="E214" s="30">
        <v>306.2</v>
      </c>
    </row>
    <row r="215" spans="1:5" x14ac:dyDescent="0.4">
      <c r="A215" s="26" t="s">
        <v>3</v>
      </c>
      <c r="B215" s="27" t="s">
        <v>216</v>
      </c>
      <c r="C215" s="31" t="s">
        <v>114</v>
      </c>
      <c r="D215" s="29" t="s">
        <v>64</v>
      </c>
      <c r="E215" s="30">
        <v>306.2</v>
      </c>
    </row>
    <row r="216" spans="1:5" x14ac:dyDescent="0.4">
      <c r="A216" s="26" t="s">
        <v>3</v>
      </c>
      <c r="B216" s="27" t="s">
        <v>216</v>
      </c>
      <c r="C216" s="31" t="s">
        <v>115</v>
      </c>
      <c r="D216" s="29" t="s">
        <v>64</v>
      </c>
      <c r="E216" s="30">
        <v>306.2</v>
      </c>
    </row>
    <row r="217" spans="1:5" x14ac:dyDescent="0.4">
      <c r="A217" s="26" t="s">
        <v>3</v>
      </c>
      <c r="B217" s="27" t="s">
        <v>216</v>
      </c>
      <c r="C217" s="31" t="s">
        <v>116</v>
      </c>
      <c r="D217" s="29" t="s">
        <v>64</v>
      </c>
      <c r="E217" s="30">
        <v>306.2</v>
      </c>
    </row>
    <row r="218" spans="1:5" x14ac:dyDescent="0.4">
      <c r="A218" s="26" t="s">
        <v>3</v>
      </c>
      <c r="B218" s="27" t="s">
        <v>216</v>
      </c>
      <c r="C218" s="31" t="s">
        <v>117</v>
      </c>
      <c r="D218" s="29" t="s">
        <v>64</v>
      </c>
      <c r="E218" s="30">
        <v>306.2</v>
      </c>
    </row>
    <row r="219" spans="1:5" x14ac:dyDescent="0.4">
      <c r="A219" s="26" t="s">
        <v>3</v>
      </c>
      <c r="B219" s="27" t="s">
        <v>216</v>
      </c>
      <c r="C219" s="31" t="s">
        <v>118</v>
      </c>
      <c r="D219" s="29" t="s">
        <v>64</v>
      </c>
      <c r="E219" s="30">
        <v>306.2</v>
      </c>
    </row>
    <row r="220" spans="1:5" x14ac:dyDescent="0.4">
      <c r="A220" s="26" t="s">
        <v>3</v>
      </c>
      <c r="B220" s="27" t="s">
        <v>216</v>
      </c>
      <c r="C220" s="31" t="s">
        <v>119</v>
      </c>
      <c r="D220" s="29" t="s">
        <v>64</v>
      </c>
      <c r="E220" s="30">
        <v>306.2</v>
      </c>
    </row>
    <row r="221" spans="1:5" x14ac:dyDescent="0.4">
      <c r="A221" s="26" t="s">
        <v>3</v>
      </c>
      <c r="B221" s="27" t="s">
        <v>216</v>
      </c>
      <c r="C221" s="31" t="s">
        <v>120</v>
      </c>
      <c r="D221" s="29" t="s">
        <v>64</v>
      </c>
      <c r="E221" s="30">
        <v>306.2</v>
      </c>
    </row>
    <row r="222" spans="1:5" x14ac:dyDescent="0.4">
      <c r="A222" s="26" t="s">
        <v>3</v>
      </c>
      <c r="B222" s="27" t="s">
        <v>216</v>
      </c>
      <c r="C222" s="31" t="s">
        <v>121</v>
      </c>
      <c r="D222" s="29" t="s">
        <v>64</v>
      </c>
      <c r="E222" s="30">
        <v>306.2</v>
      </c>
    </row>
    <row r="223" spans="1:5" x14ac:dyDescent="0.4">
      <c r="A223" s="26" t="s">
        <v>3</v>
      </c>
      <c r="B223" s="27" t="s">
        <v>216</v>
      </c>
      <c r="C223" s="31" t="s">
        <v>122</v>
      </c>
      <c r="D223" s="29" t="s">
        <v>64</v>
      </c>
      <c r="E223" s="30">
        <v>306.2</v>
      </c>
    </row>
    <row r="224" spans="1:5" x14ac:dyDescent="0.4">
      <c r="A224" s="26" t="s">
        <v>3</v>
      </c>
      <c r="B224" s="27" t="s">
        <v>216</v>
      </c>
      <c r="C224" s="31" t="s">
        <v>123</v>
      </c>
      <c r="D224" s="29" t="s">
        <v>64</v>
      </c>
      <c r="E224" s="30">
        <v>306.2</v>
      </c>
    </row>
    <row r="225" spans="1:6" x14ac:dyDescent="0.4">
      <c r="A225" s="26" t="s">
        <v>3</v>
      </c>
      <c r="B225" s="27" t="s">
        <v>216</v>
      </c>
      <c r="C225" s="31" t="s">
        <v>124</v>
      </c>
      <c r="D225" s="29" t="s">
        <v>64</v>
      </c>
      <c r="E225" s="30">
        <v>306.2</v>
      </c>
    </row>
    <row r="226" spans="1:6" x14ac:dyDescent="0.4">
      <c r="A226" s="26" t="s">
        <v>3</v>
      </c>
      <c r="B226" s="27" t="s">
        <v>216</v>
      </c>
      <c r="C226" s="31" t="s">
        <v>125</v>
      </c>
      <c r="D226" s="29" t="s">
        <v>64</v>
      </c>
      <c r="E226" s="30">
        <v>306.2</v>
      </c>
    </row>
    <row r="227" spans="1:6" x14ac:dyDescent="0.4">
      <c r="A227" s="26" t="s">
        <v>3</v>
      </c>
      <c r="B227" s="27" t="s">
        <v>216</v>
      </c>
      <c r="C227" s="31" t="s">
        <v>126</v>
      </c>
      <c r="D227" s="29" t="s">
        <v>64</v>
      </c>
      <c r="E227" s="30">
        <v>306.2</v>
      </c>
    </row>
    <row r="228" spans="1:6" x14ac:dyDescent="0.4">
      <c r="A228" s="26" t="s">
        <v>3</v>
      </c>
      <c r="B228" s="27" t="s">
        <v>216</v>
      </c>
      <c r="C228" s="31" t="s">
        <v>127</v>
      </c>
      <c r="D228" s="29" t="s">
        <v>64</v>
      </c>
      <c r="E228" s="30">
        <v>306.2</v>
      </c>
    </row>
    <row r="229" spans="1:6" x14ac:dyDescent="0.4">
      <c r="A229" s="26" t="s">
        <v>3</v>
      </c>
      <c r="B229" s="27" t="s">
        <v>216</v>
      </c>
      <c r="C229" s="31" t="s">
        <v>128</v>
      </c>
      <c r="D229" s="29" t="s">
        <v>64</v>
      </c>
      <c r="E229" s="30">
        <v>306.2</v>
      </c>
    </row>
    <row r="230" spans="1:6" x14ac:dyDescent="0.4">
      <c r="A230" s="26" t="s">
        <v>3</v>
      </c>
      <c r="B230" s="27" t="s">
        <v>216</v>
      </c>
      <c r="C230" s="31" t="s">
        <v>129</v>
      </c>
      <c r="D230" s="29" t="s">
        <v>64</v>
      </c>
      <c r="E230" s="30">
        <v>306.2</v>
      </c>
    </row>
    <row r="231" spans="1:6" x14ac:dyDescent="0.4">
      <c r="A231" s="26" t="s">
        <v>3</v>
      </c>
      <c r="B231" s="27" t="s">
        <v>216</v>
      </c>
      <c r="C231" s="31" t="s">
        <v>130</v>
      </c>
      <c r="D231" s="29" t="s">
        <v>64</v>
      </c>
      <c r="E231" s="30">
        <v>306.2</v>
      </c>
    </row>
    <row r="232" spans="1:6" x14ac:dyDescent="0.4">
      <c r="A232" s="26" t="s">
        <v>3</v>
      </c>
      <c r="B232" s="27" t="s">
        <v>216</v>
      </c>
      <c r="C232" s="31" t="s">
        <v>131</v>
      </c>
      <c r="D232" s="29" t="s">
        <v>64</v>
      </c>
      <c r="E232" s="30">
        <v>306.2</v>
      </c>
    </row>
    <row r="233" spans="1:6" x14ac:dyDescent="0.4">
      <c r="A233" s="26" t="s">
        <v>3</v>
      </c>
      <c r="B233" s="27" t="s">
        <v>216</v>
      </c>
      <c r="C233" s="31" t="s">
        <v>132</v>
      </c>
      <c r="D233" s="29" t="s">
        <v>64</v>
      </c>
      <c r="E233" s="30">
        <v>306.2</v>
      </c>
    </row>
    <row r="234" spans="1:6" x14ac:dyDescent="0.4">
      <c r="A234" s="26" t="s">
        <v>3</v>
      </c>
      <c r="B234" s="27" t="s">
        <v>216</v>
      </c>
      <c r="C234" s="31" t="s">
        <v>133</v>
      </c>
      <c r="D234" s="29" t="s">
        <v>64</v>
      </c>
      <c r="E234" s="30">
        <v>306.2</v>
      </c>
    </row>
    <row r="235" spans="1:6" x14ac:dyDescent="0.4">
      <c r="A235" s="26" t="s">
        <v>3</v>
      </c>
      <c r="B235" s="27" t="s">
        <v>216</v>
      </c>
      <c r="C235" s="31" t="s">
        <v>134</v>
      </c>
      <c r="D235" s="29" t="s">
        <v>64</v>
      </c>
      <c r="E235" s="30">
        <v>306.2</v>
      </c>
    </row>
    <row r="236" spans="1:6" x14ac:dyDescent="0.4">
      <c r="A236" s="26" t="s">
        <v>3</v>
      </c>
      <c r="B236" s="27" t="s">
        <v>216</v>
      </c>
      <c r="C236" s="31" t="s">
        <v>135</v>
      </c>
      <c r="D236" s="29" t="s">
        <v>64</v>
      </c>
      <c r="E236" s="30">
        <v>306.2</v>
      </c>
    </row>
    <row r="237" spans="1:6" x14ac:dyDescent="0.4">
      <c r="A237" s="26" t="s">
        <v>3</v>
      </c>
      <c r="B237" s="27" t="s">
        <v>216</v>
      </c>
      <c r="C237" s="31" t="s">
        <v>136</v>
      </c>
      <c r="D237" s="29" t="s">
        <v>64</v>
      </c>
      <c r="E237" s="30">
        <v>306.2</v>
      </c>
    </row>
    <row r="238" spans="1:6" x14ac:dyDescent="0.4">
      <c r="A238" s="26" t="s">
        <v>3</v>
      </c>
      <c r="B238" s="27" t="s">
        <v>216</v>
      </c>
      <c r="C238" s="31" t="s">
        <v>137</v>
      </c>
      <c r="D238" s="29" t="s">
        <v>64</v>
      </c>
      <c r="E238" s="30">
        <v>306.2</v>
      </c>
    </row>
    <row r="239" spans="1:6" x14ac:dyDescent="0.4">
      <c r="A239" s="26" t="s">
        <v>3</v>
      </c>
      <c r="B239" s="27" t="s">
        <v>216</v>
      </c>
      <c r="C239" s="31" t="s">
        <v>138</v>
      </c>
      <c r="D239" s="29" t="s">
        <v>64</v>
      </c>
      <c r="E239" s="30">
        <v>306.2</v>
      </c>
    </row>
    <row r="240" spans="1:6" x14ac:dyDescent="0.4">
      <c r="A240" s="26" t="s">
        <v>3</v>
      </c>
      <c r="B240" s="27" t="s">
        <v>216</v>
      </c>
      <c r="C240" s="31" t="s">
        <v>139</v>
      </c>
      <c r="D240" s="29" t="s">
        <v>64</v>
      </c>
      <c r="E240" s="30">
        <v>306.2</v>
      </c>
      <c r="F240" s="14"/>
    </row>
    <row r="241" spans="1:5" x14ac:dyDescent="0.4">
      <c r="A241" s="26" t="s">
        <v>3</v>
      </c>
      <c r="B241" s="27" t="s">
        <v>216</v>
      </c>
      <c r="C241" s="31" t="s">
        <v>140</v>
      </c>
      <c r="D241" s="29" t="s">
        <v>64</v>
      </c>
      <c r="E241" s="30">
        <v>306.2</v>
      </c>
    </row>
    <row r="242" spans="1:5" x14ac:dyDescent="0.4">
      <c r="A242" s="26" t="s">
        <v>3</v>
      </c>
      <c r="B242" s="27" t="s">
        <v>216</v>
      </c>
      <c r="C242" s="31" t="s">
        <v>141</v>
      </c>
      <c r="D242" s="29" t="s">
        <v>64</v>
      </c>
      <c r="E242" s="30">
        <v>306.2</v>
      </c>
    </row>
    <row r="243" spans="1:5" x14ac:dyDescent="0.4">
      <c r="A243" s="26" t="s">
        <v>3</v>
      </c>
      <c r="B243" s="27" t="s">
        <v>216</v>
      </c>
      <c r="C243" s="31" t="s">
        <v>142</v>
      </c>
      <c r="D243" s="29" t="s">
        <v>64</v>
      </c>
      <c r="E243" s="30">
        <v>306.2</v>
      </c>
    </row>
    <row r="244" spans="1:5" x14ac:dyDescent="0.4">
      <c r="A244" s="26" t="s">
        <v>3</v>
      </c>
      <c r="B244" s="27" t="s">
        <v>216</v>
      </c>
      <c r="C244" s="31" t="s">
        <v>143</v>
      </c>
      <c r="D244" s="29" t="s">
        <v>64</v>
      </c>
      <c r="E244" s="30">
        <v>306.2</v>
      </c>
    </row>
    <row r="245" spans="1:5" x14ac:dyDescent="0.4">
      <c r="A245" s="26" t="s">
        <v>3</v>
      </c>
      <c r="B245" s="27" t="s">
        <v>216</v>
      </c>
      <c r="C245" s="31" t="s">
        <v>144</v>
      </c>
      <c r="D245" s="29" t="s">
        <v>64</v>
      </c>
      <c r="E245" s="30">
        <v>306.2</v>
      </c>
    </row>
    <row r="246" spans="1:5" x14ac:dyDescent="0.4">
      <c r="A246" s="26" t="s">
        <v>3</v>
      </c>
      <c r="B246" s="27" t="s">
        <v>216</v>
      </c>
      <c r="C246" s="31" t="s">
        <v>145</v>
      </c>
      <c r="D246" s="29" t="s">
        <v>64</v>
      </c>
      <c r="E246" s="30">
        <v>306.2</v>
      </c>
    </row>
    <row r="247" spans="1:5" x14ac:dyDescent="0.4">
      <c r="A247" s="26" t="s">
        <v>3</v>
      </c>
      <c r="B247" s="27" t="s">
        <v>216</v>
      </c>
      <c r="C247" s="31" t="s">
        <v>146</v>
      </c>
      <c r="D247" s="29" t="s">
        <v>64</v>
      </c>
      <c r="E247" s="30">
        <v>306.2</v>
      </c>
    </row>
    <row r="248" spans="1:5" x14ac:dyDescent="0.4">
      <c r="A248" s="26" t="s">
        <v>3</v>
      </c>
      <c r="B248" s="27" t="s">
        <v>216</v>
      </c>
      <c r="C248" s="31" t="s">
        <v>147</v>
      </c>
      <c r="D248" s="29" t="s">
        <v>64</v>
      </c>
      <c r="E248" s="30">
        <v>306.2</v>
      </c>
    </row>
    <row r="249" spans="1:5" x14ac:dyDescent="0.4">
      <c r="A249" s="26" t="s">
        <v>3</v>
      </c>
      <c r="B249" s="27" t="s">
        <v>216</v>
      </c>
      <c r="C249" s="31" t="s">
        <v>148</v>
      </c>
      <c r="D249" s="29" t="s">
        <v>64</v>
      </c>
      <c r="E249" s="30">
        <v>306.2</v>
      </c>
    </row>
    <row r="250" spans="1:5" x14ac:dyDescent="0.4">
      <c r="A250" s="26" t="s">
        <v>3</v>
      </c>
      <c r="B250" s="27" t="s">
        <v>216</v>
      </c>
      <c r="C250" s="31" t="s">
        <v>149</v>
      </c>
      <c r="D250" s="29" t="s">
        <v>64</v>
      </c>
      <c r="E250" s="30">
        <v>306.2</v>
      </c>
    </row>
    <row r="251" spans="1:5" x14ac:dyDescent="0.4">
      <c r="A251" s="26" t="s">
        <v>3</v>
      </c>
      <c r="B251" s="27" t="s">
        <v>216</v>
      </c>
      <c r="C251" s="31" t="s">
        <v>150</v>
      </c>
      <c r="D251" s="29" t="s">
        <v>64</v>
      </c>
      <c r="E251" s="30">
        <v>306.2</v>
      </c>
    </row>
    <row r="252" spans="1:5" x14ac:dyDescent="0.4">
      <c r="A252" s="26" t="s">
        <v>3</v>
      </c>
      <c r="B252" s="27" t="s">
        <v>216</v>
      </c>
      <c r="C252" s="31" t="s">
        <v>151</v>
      </c>
      <c r="D252" s="29" t="s">
        <v>64</v>
      </c>
      <c r="E252" s="30">
        <v>306.2</v>
      </c>
    </row>
    <row r="253" spans="1:5" x14ac:dyDescent="0.4">
      <c r="A253" s="26" t="s">
        <v>3</v>
      </c>
      <c r="B253" s="27" t="s">
        <v>216</v>
      </c>
      <c r="C253" s="31" t="s">
        <v>152</v>
      </c>
      <c r="D253" s="29" t="s">
        <v>64</v>
      </c>
      <c r="E253" s="30">
        <v>306.2</v>
      </c>
    </row>
    <row r="254" spans="1:5" x14ac:dyDescent="0.4">
      <c r="A254" s="26" t="s">
        <v>3</v>
      </c>
      <c r="B254" s="27" t="s">
        <v>216</v>
      </c>
      <c r="C254" s="31" t="s">
        <v>153</v>
      </c>
      <c r="D254" s="29" t="s">
        <v>64</v>
      </c>
      <c r="E254" s="30">
        <v>306.2</v>
      </c>
    </row>
    <row r="255" spans="1:5" x14ac:dyDescent="0.4">
      <c r="A255" s="26" t="s">
        <v>3</v>
      </c>
      <c r="B255" s="27" t="s">
        <v>216</v>
      </c>
      <c r="C255" s="31" t="s">
        <v>154</v>
      </c>
      <c r="D255" s="29" t="s">
        <v>64</v>
      </c>
      <c r="E255" s="30">
        <v>306.2</v>
      </c>
    </row>
    <row r="256" spans="1:5" x14ac:dyDescent="0.4">
      <c r="A256" s="26" t="s">
        <v>3</v>
      </c>
      <c r="B256" s="27" t="s">
        <v>216</v>
      </c>
      <c r="C256" s="31" t="s">
        <v>155</v>
      </c>
      <c r="D256" s="29" t="s">
        <v>64</v>
      </c>
      <c r="E256" s="30">
        <v>306.2</v>
      </c>
    </row>
    <row r="257" spans="1:5" x14ac:dyDescent="0.4">
      <c r="A257" s="26" t="s">
        <v>3</v>
      </c>
      <c r="B257" s="27" t="s">
        <v>216</v>
      </c>
      <c r="C257" s="31" t="s">
        <v>156</v>
      </c>
      <c r="D257" s="29" t="s">
        <v>64</v>
      </c>
      <c r="E257" s="30">
        <v>306.2</v>
      </c>
    </row>
    <row r="258" spans="1:5" x14ac:dyDescent="0.4">
      <c r="A258" s="26" t="s">
        <v>3</v>
      </c>
      <c r="B258" s="27" t="s">
        <v>216</v>
      </c>
      <c r="C258" s="31" t="s">
        <v>157</v>
      </c>
      <c r="D258" s="29" t="s">
        <v>64</v>
      </c>
      <c r="E258" s="30">
        <v>306.2</v>
      </c>
    </row>
    <row r="259" spans="1:5" x14ac:dyDescent="0.4">
      <c r="A259" s="26" t="s">
        <v>3</v>
      </c>
      <c r="B259" s="27" t="s">
        <v>216</v>
      </c>
      <c r="C259" s="31" t="s">
        <v>158</v>
      </c>
      <c r="D259" s="29" t="s">
        <v>64</v>
      </c>
      <c r="E259" s="30">
        <v>306.2</v>
      </c>
    </row>
    <row r="260" spans="1:5" x14ac:dyDescent="0.4">
      <c r="A260" s="26" t="s">
        <v>3</v>
      </c>
      <c r="B260" s="27" t="s">
        <v>216</v>
      </c>
      <c r="C260" s="31" t="s">
        <v>159</v>
      </c>
      <c r="D260" s="29" t="s">
        <v>64</v>
      </c>
      <c r="E260" s="30">
        <v>306.2</v>
      </c>
    </row>
    <row r="261" spans="1:5" x14ac:dyDescent="0.4">
      <c r="A261" s="26" t="s">
        <v>3</v>
      </c>
      <c r="B261" s="27" t="s">
        <v>216</v>
      </c>
      <c r="C261" s="31" t="s">
        <v>160</v>
      </c>
      <c r="D261" s="29" t="s">
        <v>64</v>
      </c>
      <c r="E261" s="30">
        <v>306.2</v>
      </c>
    </row>
    <row r="262" spans="1:5" x14ac:dyDescent="0.4">
      <c r="A262" s="26" t="s">
        <v>3</v>
      </c>
      <c r="B262" s="27" t="s">
        <v>216</v>
      </c>
      <c r="C262" s="31" t="s">
        <v>161</v>
      </c>
      <c r="D262" s="29" t="s">
        <v>64</v>
      </c>
      <c r="E262" s="30">
        <v>306.2</v>
      </c>
    </row>
    <row r="263" spans="1:5" x14ac:dyDescent="0.4">
      <c r="A263" s="26" t="s">
        <v>3</v>
      </c>
      <c r="B263" s="27" t="s">
        <v>216</v>
      </c>
      <c r="C263" s="31" t="s">
        <v>162</v>
      </c>
      <c r="D263" s="29" t="s">
        <v>64</v>
      </c>
      <c r="E263" s="30">
        <v>306.2</v>
      </c>
    </row>
    <row r="264" spans="1:5" x14ac:dyDescent="0.4">
      <c r="A264" s="26" t="s">
        <v>3</v>
      </c>
      <c r="B264" s="27" t="s">
        <v>216</v>
      </c>
      <c r="C264" s="31" t="s">
        <v>163</v>
      </c>
      <c r="D264" s="29" t="s">
        <v>64</v>
      </c>
      <c r="E264" s="30">
        <v>306.2</v>
      </c>
    </row>
    <row r="265" spans="1:5" x14ac:dyDescent="0.4">
      <c r="A265" s="26" t="s">
        <v>3</v>
      </c>
      <c r="B265" s="27" t="s">
        <v>216</v>
      </c>
      <c r="C265" s="31" t="s">
        <v>164</v>
      </c>
      <c r="D265" s="29" t="s">
        <v>64</v>
      </c>
      <c r="E265" s="30">
        <v>306.2</v>
      </c>
    </row>
    <row r="266" spans="1:5" x14ac:dyDescent="0.4">
      <c r="A266" s="26" t="s">
        <v>3</v>
      </c>
      <c r="B266" s="27" t="s">
        <v>216</v>
      </c>
      <c r="C266" s="31" t="s">
        <v>165</v>
      </c>
      <c r="D266" s="29" t="s">
        <v>64</v>
      </c>
      <c r="E266" s="30">
        <v>306.2</v>
      </c>
    </row>
    <row r="267" spans="1:5" x14ac:dyDescent="0.4">
      <c r="A267" s="26" t="s">
        <v>3</v>
      </c>
      <c r="B267" s="27" t="s">
        <v>216</v>
      </c>
      <c r="C267" s="31" t="s">
        <v>166</v>
      </c>
      <c r="D267" s="29" t="s">
        <v>64</v>
      </c>
      <c r="E267" s="30">
        <v>306.2</v>
      </c>
    </row>
    <row r="268" spans="1:5" x14ac:dyDescent="0.4">
      <c r="A268" s="26" t="s">
        <v>3</v>
      </c>
      <c r="B268" s="27" t="s">
        <v>216</v>
      </c>
      <c r="C268" s="31" t="s">
        <v>167</v>
      </c>
      <c r="D268" s="29" t="s">
        <v>64</v>
      </c>
      <c r="E268" s="30">
        <v>306.2</v>
      </c>
    </row>
    <row r="269" spans="1:5" x14ac:dyDescent="0.4">
      <c r="A269" s="26" t="s">
        <v>3</v>
      </c>
      <c r="B269" s="27" t="s">
        <v>216</v>
      </c>
      <c r="C269" s="31" t="s">
        <v>168</v>
      </c>
      <c r="D269" s="29" t="s">
        <v>64</v>
      </c>
      <c r="E269" s="30">
        <v>306.2</v>
      </c>
    </row>
    <row r="270" spans="1:5" x14ac:dyDescent="0.4">
      <c r="A270" s="26" t="s">
        <v>3</v>
      </c>
      <c r="B270" s="27" t="s">
        <v>216</v>
      </c>
      <c r="C270" s="31" t="s">
        <v>169</v>
      </c>
      <c r="D270" s="29" t="s">
        <v>64</v>
      </c>
      <c r="E270" s="30">
        <v>306.2</v>
      </c>
    </row>
    <row r="271" spans="1:5" x14ac:dyDescent="0.4">
      <c r="A271" s="26" t="s">
        <v>3</v>
      </c>
      <c r="B271" s="27" t="s">
        <v>216</v>
      </c>
      <c r="C271" s="31" t="s">
        <v>170</v>
      </c>
      <c r="D271" s="29" t="s">
        <v>64</v>
      </c>
      <c r="E271" s="30">
        <v>306.2</v>
      </c>
    </row>
    <row r="272" spans="1:5" x14ac:dyDescent="0.4">
      <c r="A272" s="26" t="s">
        <v>3</v>
      </c>
      <c r="B272" s="27" t="s">
        <v>216</v>
      </c>
      <c r="C272" s="31" t="s">
        <v>171</v>
      </c>
      <c r="D272" s="29" t="s">
        <v>64</v>
      </c>
      <c r="E272" s="30">
        <v>306.2</v>
      </c>
    </row>
    <row r="273" spans="1:20" x14ac:dyDescent="0.4">
      <c r="A273" s="26" t="s">
        <v>3</v>
      </c>
      <c r="B273" s="27" t="s">
        <v>216</v>
      </c>
      <c r="C273" s="31" t="s">
        <v>172</v>
      </c>
      <c r="D273" s="29" t="s">
        <v>64</v>
      </c>
      <c r="E273" s="30">
        <v>306.2</v>
      </c>
    </row>
    <row r="274" spans="1:20" x14ac:dyDescent="0.4">
      <c r="A274" s="26" t="s">
        <v>3</v>
      </c>
      <c r="B274" s="27" t="s">
        <v>216</v>
      </c>
      <c r="C274" s="31" t="s">
        <v>173</v>
      </c>
      <c r="D274" s="29" t="s">
        <v>64</v>
      </c>
      <c r="E274" s="30">
        <v>306.2</v>
      </c>
    </row>
    <row r="275" spans="1:20" x14ac:dyDescent="0.4">
      <c r="A275" s="26" t="s">
        <v>3</v>
      </c>
      <c r="B275" s="27" t="s">
        <v>216</v>
      </c>
      <c r="C275" s="31" t="s">
        <v>174</v>
      </c>
      <c r="D275" s="29" t="s">
        <v>64</v>
      </c>
      <c r="E275" s="30">
        <v>306.2</v>
      </c>
    </row>
    <row r="276" spans="1:20" x14ac:dyDescent="0.4">
      <c r="A276" s="26" t="s">
        <v>3</v>
      </c>
      <c r="B276" s="27" t="s">
        <v>216</v>
      </c>
      <c r="C276" s="31" t="s">
        <v>175</v>
      </c>
      <c r="D276" s="29" t="s">
        <v>64</v>
      </c>
      <c r="E276" s="30">
        <v>306.2</v>
      </c>
    </row>
    <row r="277" spans="1:20" ht="14.9" customHeight="1" x14ac:dyDescent="0.4">
      <c r="A277" s="34" t="s">
        <v>2</v>
      </c>
      <c r="B277" s="27" t="s">
        <v>216</v>
      </c>
      <c r="C277" s="31" t="s">
        <v>1</v>
      </c>
      <c r="D277" s="35" t="s">
        <v>63</v>
      </c>
      <c r="E277" s="30">
        <v>8.7617627530354198</v>
      </c>
    </row>
    <row r="278" spans="1:20" x14ac:dyDescent="0.4">
      <c r="A278" s="34" t="s">
        <v>2</v>
      </c>
      <c r="B278" s="27" t="s">
        <v>216</v>
      </c>
      <c r="C278" s="32" t="s">
        <v>0</v>
      </c>
      <c r="D278" s="35" t="s">
        <v>63</v>
      </c>
      <c r="E278" s="30">
        <f>1.83271287591511+0.699355765772355+23.6965393660799</f>
        <v>26.228608007767363</v>
      </c>
    </row>
    <row r="279" spans="1:20" ht="14.15" customHeight="1" x14ac:dyDescent="0.4">
      <c r="A279" s="34" t="s">
        <v>2</v>
      </c>
      <c r="B279" s="27" t="s">
        <v>216</v>
      </c>
      <c r="C279" s="32" t="s">
        <v>219</v>
      </c>
      <c r="D279" s="35" t="s">
        <v>63</v>
      </c>
      <c r="E279" s="30">
        <f>0.794035881175228+0.259790348838566+6.53631669485161+8.71621621621622</f>
        <v>16.306359141081622</v>
      </c>
    </row>
    <row r="280" spans="1:20" ht="15" thickBot="1" x14ac:dyDescent="0.45">
      <c r="A280" s="65" t="s">
        <v>2</v>
      </c>
      <c r="B280" s="66" t="s">
        <v>216</v>
      </c>
      <c r="C280" s="67" t="s">
        <v>8</v>
      </c>
      <c r="D280" s="68" t="s">
        <v>63</v>
      </c>
      <c r="E280" s="69">
        <f>9.31371545207318</f>
        <v>9.3137154520731809</v>
      </c>
    </row>
    <row r="281" spans="1:20" ht="15" thickTop="1" x14ac:dyDescent="0.4">
      <c r="A281" s="34" t="s">
        <v>2</v>
      </c>
      <c r="B281" s="27" t="s">
        <v>216</v>
      </c>
      <c r="C281" s="31" t="s">
        <v>269</v>
      </c>
      <c r="D281" s="35" t="s">
        <v>63</v>
      </c>
      <c r="E281" s="30">
        <v>8.7617627530354198</v>
      </c>
    </row>
    <row r="282" spans="1:20" x14ac:dyDescent="0.4">
      <c r="A282" s="34" t="s">
        <v>2</v>
      </c>
      <c r="B282" s="27" t="s">
        <v>216</v>
      </c>
      <c r="C282" s="32" t="s">
        <v>9</v>
      </c>
      <c r="D282" s="35" t="s">
        <v>63</v>
      </c>
      <c r="E282" s="30">
        <f>9.31371545207318</f>
        <v>9.3137154520731809</v>
      </c>
    </row>
    <row r="283" spans="1:20" x14ac:dyDescent="0.4">
      <c r="A283" s="34" t="s">
        <v>2</v>
      </c>
      <c r="B283" s="27" t="s">
        <v>216</v>
      </c>
      <c r="C283" s="32" t="s">
        <v>221</v>
      </c>
      <c r="D283" s="35" t="s">
        <v>63</v>
      </c>
      <c r="E283" s="30">
        <f>1.83271287591511+0.699355765772355+23.6965393660799</f>
        <v>26.228608007767363</v>
      </c>
    </row>
    <row r="284" spans="1:20" x14ac:dyDescent="0.4">
      <c r="A284" s="34" t="s">
        <v>2</v>
      </c>
      <c r="B284" s="27" t="s">
        <v>216</v>
      </c>
      <c r="C284" s="32" t="s">
        <v>222</v>
      </c>
      <c r="D284" s="35" t="s">
        <v>63</v>
      </c>
      <c r="E284" s="30">
        <f>1.83271287591511+0.699355765772355+23.6965393660799</f>
        <v>26.228608007767363</v>
      </c>
    </row>
    <row r="285" spans="1:20" x14ac:dyDescent="0.4">
      <c r="A285" s="34" t="s">
        <v>2</v>
      </c>
      <c r="B285" s="27" t="s">
        <v>216</v>
      </c>
      <c r="C285" s="32" t="s">
        <v>223</v>
      </c>
      <c r="D285" s="35" t="s">
        <v>63</v>
      </c>
      <c r="E285" s="30">
        <f>1.83271287591511+0.699355765772355+23.6965393660799</f>
        <v>26.228608007767363</v>
      </c>
    </row>
    <row r="286" spans="1:20" ht="14.15" customHeight="1" x14ac:dyDescent="0.4">
      <c r="A286" s="34" t="s">
        <v>2</v>
      </c>
      <c r="B286" s="27" t="s">
        <v>216</v>
      </c>
      <c r="C286" s="32" t="s">
        <v>224</v>
      </c>
      <c r="D286" s="35" t="s">
        <v>63</v>
      </c>
      <c r="E286" s="30">
        <f>0.794035881175228+0.259790348838566+6.53631669485161+8.71621621621622</f>
        <v>16.306359141081622</v>
      </c>
    </row>
    <row r="287" spans="1:20" x14ac:dyDescent="0.4">
      <c r="A287" s="34" t="s">
        <v>2</v>
      </c>
      <c r="B287" s="27" t="s">
        <v>216</v>
      </c>
      <c r="C287" s="32" t="s">
        <v>225</v>
      </c>
      <c r="D287" s="35" t="s">
        <v>63</v>
      </c>
      <c r="E287" s="30">
        <f t="shared" ref="E287:E308" si="1">0.794035881175228+0.259790348838566+6.53631669485161+8.71621621621622</f>
        <v>16.306359141081622</v>
      </c>
    </row>
    <row r="288" spans="1:20" x14ac:dyDescent="0.4">
      <c r="A288" s="34" t="s">
        <v>2</v>
      </c>
      <c r="B288" s="27" t="s">
        <v>216</v>
      </c>
      <c r="C288" s="32" t="s">
        <v>226</v>
      </c>
      <c r="D288" s="35" t="s">
        <v>63</v>
      </c>
      <c r="E288" s="30">
        <f t="shared" si="1"/>
        <v>16.306359141081622</v>
      </c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</row>
    <row r="289" spans="1:5" x14ac:dyDescent="0.4">
      <c r="A289" s="34" t="s">
        <v>2</v>
      </c>
      <c r="B289" s="27" t="s">
        <v>216</v>
      </c>
      <c r="C289" s="32" t="s">
        <v>227</v>
      </c>
      <c r="D289" s="35" t="s">
        <v>63</v>
      </c>
      <c r="E289" s="30">
        <f t="shared" si="1"/>
        <v>16.306359141081622</v>
      </c>
    </row>
    <row r="290" spans="1:5" x14ac:dyDescent="0.4">
      <c r="A290" s="34" t="s">
        <v>2</v>
      </c>
      <c r="B290" s="27" t="s">
        <v>216</v>
      </c>
      <c r="C290" s="32" t="s">
        <v>228</v>
      </c>
      <c r="D290" s="35" t="s">
        <v>63</v>
      </c>
      <c r="E290" s="30">
        <f t="shared" si="1"/>
        <v>16.306359141081622</v>
      </c>
    </row>
    <row r="291" spans="1:5" x14ac:dyDescent="0.4">
      <c r="A291" s="34" t="s">
        <v>2</v>
      </c>
      <c r="B291" s="27" t="s">
        <v>216</v>
      </c>
      <c r="C291" s="32" t="s">
        <v>229</v>
      </c>
      <c r="D291" s="35" t="s">
        <v>63</v>
      </c>
      <c r="E291" s="30">
        <f t="shared" si="1"/>
        <v>16.306359141081622</v>
      </c>
    </row>
    <row r="292" spans="1:5" x14ac:dyDescent="0.4">
      <c r="A292" s="34" t="s">
        <v>2</v>
      </c>
      <c r="B292" s="27" t="s">
        <v>216</v>
      </c>
      <c r="C292" s="32" t="s">
        <v>230</v>
      </c>
      <c r="D292" s="35" t="s">
        <v>63</v>
      </c>
      <c r="E292" s="30">
        <f t="shared" si="1"/>
        <v>16.306359141081622</v>
      </c>
    </row>
    <row r="293" spans="1:5" x14ac:dyDescent="0.4">
      <c r="A293" s="34" t="s">
        <v>2</v>
      </c>
      <c r="B293" s="27" t="s">
        <v>216</v>
      </c>
      <c r="C293" s="32" t="s">
        <v>231</v>
      </c>
      <c r="D293" s="35" t="s">
        <v>63</v>
      </c>
      <c r="E293" s="30">
        <f t="shared" si="1"/>
        <v>16.306359141081622</v>
      </c>
    </row>
    <row r="294" spans="1:5" x14ac:dyDescent="0.4">
      <c r="A294" s="34" t="s">
        <v>2</v>
      </c>
      <c r="B294" s="27" t="s">
        <v>216</v>
      </c>
      <c r="C294" s="32" t="s">
        <v>232</v>
      </c>
      <c r="D294" s="35" t="s">
        <v>63</v>
      </c>
      <c r="E294" s="30">
        <f t="shared" si="1"/>
        <v>16.306359141081622</v>
      </c>
    </row>
    <row r="295" spans="1:5" x14ac:dyDescent="0.4">
      <c r="A295" s="34" t="s">
        <v>2</v>
      </c>
      <c r="B295" s="27" t="s">
        <v>216</v>
      </c>
      <c r="C295" s="32" t="s">
        <v>233</v>
      </c>
      <c r="D295" s="35" t="s">
        <v>63</v>
      </c>
      <c r="E295" s="30">
        <f t="shared" si="1"/>
        <v>16.306359141081622</v>
      </c>
    </row>
    <row r="296" spans="1:5" x14ac:dyDescent="0.4">
      <c r="A296" s="34" t="s">
        <v>2</v>
      </c>
      <c r="B296" s="27" t="s">
        <v>216</v>
      </c>
      <c r="C296" s="32" t="s">
        <v>234</v>
      </c>
      <c r="D296" s="35" t="s">
        <v>63</v>
      </c>
      <c r="E296" s="30">
        <f t="shared" si="1"/>
        <v>16.306359141081622</v>
      </c>
    </row>
    <row r="297" spans="1:5" x14ac:dyDescent="0.4">
      <c r="A297" s="34" t="s">
        <v>2</v>
      </c>
      <c r="B297" s="27" t="s">
        <v>216</v>
      </c>
      <c r="C297" s="32" t="s">
        <v>235</v>
      </c>
      <c r="D297" s="35" t="s">
        <v>63</v>
      </c>
      <c r="E297" s="30">
        <f t="shared" si="1"/>
        <v>16.306359141081622</v>
      </c>
    </row>
    <row r="298" spans="1:5" x14ac:dyDescent="0.4">
      <c r="A298" s="34" t="s">
        <v>2</v>
      </c>
      <c r="B298" s="27" t="s">
        <v>216</v>
      </c>
      <c r="C298" s="32" t="s">
        <v>236</v>
      </c>
      <c r="D298" s="35" t="s">
        <v>63</v>
      </c>
      <c r="E298" s="30">
        <f t="shared" si="1"/>
        <v>16.306359141081622</v>
      </c>
    </row>
    <row r="299" spans="1:5" x14ac:dyDescent="0.4">
      <c r="A299" s="34" t="s">
        <v>2</v>
      </c>
      <c r="B299" s="27" t="s">
        <v>216</v>
      </c>
      <c r="C299" s="32" t="s">
        <v>237</v>
      </c>
      <c r="D299" s="35" t="s">
        <v>63</v>
      </c>
      <c r="E299" s="30">
        <f t="shared" si="1"/>
        <v>16.306359141081622</v>
      </c>
    </row>
    <row r="300" spans="1:5" x14ac:dyDescent="0.4">
      <c r="A300" s="34" t="s">
        <v>2</v>
      </c>
      <c r="B300" s="27" t="s">
        <v>216</v>
      </c>
      <c r="C300" s="32" t="s">
        <v>238</v>
      </c>
      <c r="D300" s="35" t="s">
        <v>63</v>
      </c>
      <c r="E300" s="30">
        <f t="shared" si="1"/>
        <v>16.306359141081622</v>
      </c>
    </row>
    <row r="301" spans="1:5" x14ac:dyDescent="0.4">
      <c r="A301" s="34" t="s">
        <v>2</v>
      </c>
      <c r="B301" s="27" t="s">
        <v>216</v>
      </c>
      <c r="C301" s="32" t="s">
        <v>239</v>
      </c>
      <c r="D301" s="35" t="s">
        <v>63</v>
      </c>
      <c r="E301" s="30">
        <f t="shared" si="1"/>
        <v>16.306359141081622</v>
      </c>
    </row>
    <row r="302" spans="1:5" x14ac:dyDescent="0.4">
      <c r="A302" s="34" t="s">
        <v>2</v>
      </c>
      <c r="B302" s="27" t="s">
        <v>216</v>
      </c>
      <c r="C302" s="32" t="s">
        <v>240</v>
      </c>
      <c r="D302" s="35" t="s">
        <v>63</v>
      </c>
      <c r="E302" s="30">
        <f t="shared" si="1"/>
        <v>16.306359141081622</v>
      </c>
    </row>
    <row r="303" spans="1:5" x14ac:dyDescent="0.4">
      <c r="A303" s="34" t="s">
        <v>2</v>
      </c>
      <c r="B303" s="27" t="s">
        <v>216</v>
      </c>
      <c r="C303" s="32" t="s">
        <v>241</v>
      </c>
      <c r="D303" s="35" t="s">
        <v>63</v>
      </c>
      <c r="E303" s="30">
        <f t="shared" si="1"/>
        <v>16.306359141081622</v>
      </c>
    </row>
    <row r="304" spans="1:5" x14ac:dyDescent="0.4">
      <c r="A304" s="34" t="s">
        <v>2</v>
      </c>
      <c r="B304" s="27" t="s">
        <v>216</v>
      </c>
      <c r="C304" s="32" t="s">
        <v>242</v>
      </c>
      <c r="D304" s="35" t="s">
        <v>63</v>
      </c>
      <c r="E304" s="30">
        <f t="shared" si="1"/>
        <v>16.306359141081622</v>
      </c>
    </row>
    <row r="305" spans="1:14" x14ac:dyDescent="0.4">
      <c r="A305" s="34" t="s">
        <v>2</v>
      </c>
      <c r="B305" s="27" t="s">
        <v>216</v>
      </c>
      <c r="C305" s="32" t="s">
        <v>243</v>
      </c>
      <c r="D305" s="35" t="s">
        <v>63</v>
      </c>
      <c r="E305" s="30">
        <f t="shared" si="1"/>
        <v>16.306359141081622</v>
      </c>
    </row>
    <row r="306" spans="1:14" x14ac:dyDescent="0.4">
      <c r="A306" s="34" t="s">
        <v>2</v>
      </c>
      <c r="B306" s="27" t="s">
        <v>216</v>
      </c>
      <c r="C306" s="32" t="s">
        <v>244</v>
      </c>
      <c r="D306" s="35" t="s">
        <v>63</v>
      </c>
      <c r="E306" s="30">
        <f t="shared" si="1"/>
        <v>16.306359141081622</v>
      </c>
    </row>
    <row r="307" spans="1:14" x14ac:dyDescent="0.4">
      <c r="A307" s="34" t="s">
        <v>2</v>
      </c>
      <c r="B307" s="27" t="s">
        <v>216</v>
      </c>
      <c r="C307" s="32" t="s">
        <v>245</v>
      </c>
      <c r="D307" s="35" t="s">
        <v>63</v>
      </c>
      <c r="E307" s="30">
        <f t="shared" si="1"/>
        <v>16.306359141081622</v>
      </c>
    </row>
    <row r="308" spans="1:14" x14ac:dyDescent="0.4">
      <c r="A308" s="34" t="s">
        <v>2</v>
      </c>
      <c r="B308" s="27" t="s">
        <v>216</v>
      </c>
      <c r="C308" s="32" t="s">
        <v>246</v>
      </c>
      <c r="D308" s="35" t="s">
        <v>63</v>
      </c>
      <c r="E308" s="30">
        <f t="shared" si="1"/>
        <v>16.306359141081622</v>
      </c>
    </row>
    <row r="309" spans="1:14" x14ac:dyDescent="0.4">
      <c r="A309" s="34" t="s">
        <v>2</v>
      </c>
      <c r="B309" s="27" t="s">
        <v>216</v>
      </c>
      <c r="C309" s="36" t="s">
        <v>247</v>
      </c>
      <c r="D309" s="37" t="s">
        <v>63</v>
      </c>
      <c r="E309" s="38">
        <f>2.38646866747153+14.2335834082559</f>
        <v>16.620052075727429</v>
      </c>
      <c r="F309" s="25"/>
      <c r="G309" s="23"/>
      <c r="H309" s="23"/>
      <c r="I309" s="23"/>
      <c r="J309" s="23"/>
      <c r="K309" s="23"/>
      <c r="L309" s="23"/>
      <c r="M309" s="23"/>
      <c r="N309" s="23"/>
    </row>
    <row r="310" spans="1:14" x14ac:dyDescent="0.4">
      <c r="A310" s="34" t="s">
        <v>2</v>
      </c>
      <c r="B310" s="27" t="s">
        <v>216</v>
      </c>
      <c r="C310" s="36" t="s">
        <v>248</v>
      </c>
      <c r="D310" s="37" t="s">
        <v>63</v>
      </c>
      <c r="E310" s="38">
        <f t="shared" ref="E310:E330" si="2">2.38646866747153+14.2335834082559</f>
        <v>16.620052075727429</v>
      </c>
    </row>
    <row r="311" spans="1:14" x14ac:dyDescent="0.4">
      <c r="A311" s="34" t="s">
        <v>2</v>
      </c>
      <c r="B311" s="27" t="s">
        <v>216</v>
      </c>
      <c r="C311" s="36" t="s">
        <v>249</v>
      </c>
      <c r="D311" s="37" t="s">
        <v>63</v>
      </c>
      <c r="E311" s="38">
        <f t="shared" si="2"/>
        <v>16.620052075727429</v>
      </c>
    </row>
    <row r="312" spans="1:14" x14ac:dyDescent="0.4">
      <c r="A312" s="34" t="s">
        <v>2</v>
      </c>
      <c r="B312" s="27" t="s">
        <v>216</v>
      </c>
      <c r="C312" s="36" t="s">
        <v>250</v>
      </c>
      <c r="D312" s="37" t="s">
        <v>63</v>
      </c>
      <c r="E312" s="38">
        <f t="shared" si="2"/>
        <v>16.620052075727429</v>
      </c>
    </row>
    <row r="313" spans="1:14" x14ac:dyDescent="0.4">
      <c r="A313" s="34" t="s">
        <v>2</v>
      </c>
      <c r="B313" s="27" t="s">
        <v>216</v>
      </c>
      <c r="C313" s="36" t="s">
        <v>251</v>
      </c>
      <c r="D313" s="37" t="s">
        <v>63</v>
      </c>
      <c r="E313" s="38">
        <f t="shared" si="2"/>
        <v>16.620052075727429</v>
      </c>
    </row>
    <row r="314" spans="1:14" x14ac:dyDescent="0.4">
      <c r="A314" s="34" t="s">
        <v>2</v>
      </c>
      <c r="B314" s="27" t="s">
        <v>216</v>
      </c>
      <c r="C314" s="36" t="s">
        <v>252</v>
      </c>
      <c r="D314" s="37" t="s">
        <v>63</v>
      </c>
      <c r="E314" s="38">
        <f t="shared" si="2"/>
        <v>16.620052075727429</v>
      </c>
    </row>
    <row r="315" spans="1:14" x14ac:dyDescent="0.4">
      <c r="A315" s="34" t="s">
        <v>2</v>
      </c>
      <c r="B315" s="27" t="s">
        <v>216</v>
      </c>
      <c r="C315" s="36" t="s">
        <v>253</v>
      </c>
      <c r="D315" s="37" t="s">
        <v>63</v>
      </c>
      <c r="E315" s="38">
        <f t="shared" si="2"/>
        <v>16.620052075727429</v>
      </c>
    </row>
    <row r="316" spans="1:14" x14ac:dyDescent="0.4">
      <c r="A316" s="34" t="s">
        <v>2</v>
      </c>
      <c r="B316" s="27" t="s">
        <v>216</v>
      </c>
      <c r="C316" s="36" t="s">
        <v>254</v>
      </c>
      <c r="D316" s="37" t="s">
        <v>63</v>
      </c>
      <c r="E316" s="38">
        <f t="shared" si="2"/>
        <v>16.620052075727429</v>
      </c>
    </row>
    <row r="317" spans="1:14" x14ac:dyDescent="0.4">
      <c r="A317" s="34" t="s">
        <v>2</v>
      </c>
      <c r="B317" s="27" t="s">
        <v>216</v>
      </c>
      <c r="C317" s="36" t="s">
        <v>255</v>
      </c>
      <c r="D317" s="37" t="s">
        <v>63</v>
      </c>
      <c r="E317" s="38">
        <f t="shared" si="2"/>
        <v>16.620052075727429</v>
      </c>
    </row>
    <row r="318" spans="1:14" x14ac:dyDescent="0.4">
      <c r="A318" s="34" t="s">
        <v>2</v>
      </c>
      <c r="B318" s="27" t="s">
        <v>216</v>
      </c>
      <c r="C318" s="36" t="s">
        <v>256</v>
      </c>
      <c r="D318" s="37" t="s">
        <v>63</v>
      </c>
      <c r="E318" s="38">
        <f t="shared" si="2"/>
        <v>16.620052075727429</v>
      </c>
    </row>
    <row r="319" spans="1:14" x14ac:dyDescent="0.4">
      <c r="A319" s="34" t="s">
        <v>2</v>
      </c>
      <c r="B319" s="27" t="s">
        <v>216</v>
      </c>
      <c r="C319" s="36" t="s">
        <v>257</v>
      </c>
      <c r="D319" s="37" t="s">
        <v>63</v>
      </c>
      <c r="E319" s="38">
        <f t="shared" si="2"/>
        <v>16.620052075727429</v>
      </c>
    </row>
    <row r="320" spans="1:14" x14ac:dyDescent="0.4">
      <c r="A320" s="34" t="s">
        <v>2</v>
      </c>
      <c r="B320" s="27" t="s">
        <v>216</v>
      </c>
      <c r="C320" s="36" t="s">
        <v>258</v>
      </c>
      <c r="D320" s="37" t="s">
        <v>63</v>
      </c>
      <c r="E320" s="38">
        <f t="shared" si="2"/>
        <v>16.620052075727429</v>
      </c>
    </row>
    <row r="321" spans="1:18" x14ac:dyDescent="0.4">
      <c r="A321" s="34" t="s">
        <v>2</v>
      </c>
      <c r="B321" s="27" t="s">
        <v>216</v>
      </c>
      <c r="C321" s="36" t="s">
        <v>259</v>
      </c>
      <c r="D321" s="37" t="s">
        <v>63</v>
      </c>
      <c r="E321" s="38">
        <f t="shared" si="2"/>
        <v>16.620052075727429</v>
      </c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</row>
    <row r="322" spans="1:18" x14ac:dyDescent="0.4">
      <c r="A322" s="34" t="s">
        <v>2</v>
      </c>
      <c r="B322" s="27" t="s">
        <v>216</v>
      </c>
      <c r="C322" s="36" t="s">
        <v>260</v>
      </c>
      <c r="D322" s="37" t="s">
        <v>63</v>
      </c>
      <c r="E322" s="38">
        <f t="shared" si="2"/>
        <v>16.620052075727429</v>
      </c>
    </row>
    <row r="323" spans="1:18" x14ac:dyDescent="0.4">
      <c r="A323" s="34" t="s">
        <v>2</v>
      </c>
      <c r="B323" s="27" t="s">
        <v>216</v>
      </c>
      <c r="C323" s="36" t="s">
        <v>261</v>
      </c>
      <c r="D323" s="37" t="s">
        <v>63</v>
      </c>
      <c r="E323" s="38">
        <f t="shared" si="2"/>
        <v>16.620052075727429</v>
      </c>
    </row>
    <row r="324" spans="1:18" x14ac:dyDescent="0.4">
      <c r="A324" s="34" t="s">
        <v>2</v>
      </c>
      <c r="B324" s="27" t="s">
        <v>216</v>
      </c>
      <c r="C324" s="36" t="s">
        <v>262</v>
      </c>
      <c r="D324" s="37" t="s">
        <v>63</v>
      </c>
      <c r="E324" s="38">
        <f t="shared" si="2"/>
        <v>16.620052075727429</v>
      </c>
    </row>
    <row r="325" spans="1:18" x14ac:dyDescent="0.4">
      <c r="A325" s="34" t="s">
        <v>2</v>
      </c>
      <c r="B325" s="27" t="s">
        <v>216</v>
      </c>
      <c r="C325" s="36" t="s">
        <v>263</v>
      </c>
      <c r="D325" s="37" t="s">
        <v>63</v>
      </c>
      <c r="E325" s="38">
        <f t="shared" si="2"/>
        <v>16.620052075727429</v>
      </c>
    </row>
    <row r="326" spans="1:18" x14ac:dyDescent="0.4">
      <c r="A326" s="34" t="s">
        <v>2</v>
      </c>
      <c r="B326" s="27" t="s">
        <v>216</v>
      </c>
      <c r="C326" s="36" t="s">
        <v>264</v>
      </c>
      <c r="D326" s="37" t="s">
        <v>63</v>
      </c>
      <c r="E326" s="38">
        <f t="shared" si="2"/>
        <v>16.620052075727429</v>
      </c>
    </row>
    <row r="327" spans="1:18" x14ac:dyDescent="0.4">
      <c r="A327" s="34" t="s">
        <v>2</v>
      </c>
      <c r="B327" s="27" t="s">
        <v>216</v>
      </c>
      <c r="C327" s="36" t="s">
        <v>265</v>
      </c>
      <c r="D327" s="37" t="s">
        <v>63</v>
      </c>
      <c r="E327" s="38">
        <f t="shared" si="2"/>
        <v>16.620052075727429</v>
      </c>
    </row>
    <row r="328" spans="1:18" x14ac:dyDescent="0.4">
      <c r="A328" s="34" t="s">
        <v>2</v>
      </c>
      <c r="B328" s="27" t="s">
        <v>216</v>
      </c>
      <c r="C328" s="36" t="s">
        <v>266</v>
      </c>
      <c r="D328" s="37" t="s">
        <v>63</v>
      </c>
      <c r="E328" s="38">
        <f t="shared" si="2"/>
        <v>16.620052075727429</v>
      </c>
    </row>
    <row r="329" spans="1:18" x14ac:dyDescent="0.4">
      <c r="A329" s="34" t="s">
        <v>2</v>
      </c>
      <c r="B329" s="27" t="s">
        <v>216</v>
      </c>
      <c r="C329" s="36" t="s">
        <v>267</v>
      </c>
      <c r="D329" s="37" t="s">
        <v>63</v>
      </c>
      <c r="E329" s="38">
        <f t="shared" si="2"/>
        <v>16.620052075727429</v>
      </c>
    </row>
    <row r="330" spans="1:18" x14ac:dyDescent="0.4">
      <c r="A330" s="34" t="s">
        <v>2</v>
      </c>
      <c r="B330" s="27" t="s">
        <v>216</v>
      </c>
      <c r="C330" s="36" t="s">
        <v>268</v>
      </c>
      <c r="D330" s="37" t="s">
        <v>63</v>
      </c>
      <c r="E330" s="38">
        <f t="shared" si="2"/>
        <v>16.620052075727429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E2010-B659-4D8C-A3CE-548591F6AB6A}">
  <dimension ref="A1:F206"/>
  <sheetViews>
    <sheetView topLeftCell="A200" workbookViewId="0">
      <selection activeCell="A208" sqref="A207:XFD208"/>
    </sheetView>
  </sheetViews>
  <sheetFormatPr baseColWidth="10" defaultColWidth="9.23046875" defaultRowHeight="14.6" x14ac:dyDescent="0.4"/>
  <cols>
    <col min="1" max="1" width="24.69140625" style="10" customWidth="1"/>
    <col min="2" max="2" width="17" style="10" customWidth="1"/>
    <col min="3" max="3" width="47.84375" style="10" customWidth="1"/>
    <col min="4" max="4" width="9" style="10" customWidth="1"/>
    <col min="5" max="5" width="13.23046875" style="10" customWidth="1"/>
    <col min="6" max="16384" width="9.23046875" style="10"/>
  </cols>
  <sheetData>
    <row r="1" spans="1:5" ht="38.049999999999997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9" customHeight="1" x14ac:dyDescent="0.4">
      <c r="A2" s="9" t="s">
        <v>2</v>
      </c>
      <c r="B2" s="9" t="s">
        <v>53</v>
      </c>
      <c r="C2" s="2" t="s">
        <v>1</v>
      </c>
      <c r="D2" s="12" t="s">
        <v>63</v>
      </c>
      <c r="E2" s="10">
        <v>1</v>
      </c>
    </row>
    <row r="3" spans="1:5" x14ac:dyDescent="0.4">
      <c r="A3" s="9" t="s">
        <v>2</v>
      </c>
      <c r="B3" s="9" t="s">
        <v>53</v>
      </c>
      <c r="C3" s="1" t="s">
        <v>0</v>
      </c>
      <c r="D3" s="12" t="s">
        <v>63</v>
      </c>
      <c r="E3" s="10">
        <v>0.13</v>
      </c>
    </row>
    <row r="4" spans="1:5" x14ac:dyDescent="0.4">
      <c r="A4" s="9" t="s">
        <v>2</v>
      </c>
      <c r="B4" s="9" t="s">
        <v>54</v>
      </c>
      <c r="C4" s="1" t="s">
        <v>9</v>
      </c>
      <c r="D4" s="12" t="s">
        <v>63</v>
      </c>
      <c r="E4" s="10">
        <v>1</v>
      </c>
    </row>
    <row r="5" spans="1:5" x14ac:dyDescent="0.4">
      <c r="A5" s="9" t="s">
        <v>2</v>
      </c>
      <c r="B5" s="9" t="s">
        <v>54</v>
      </c>
      <c r="C5" s="1" t="s">
        <v>8</v>
      </c>
      <c r="D5" s="12" t="s">
        <v>63</v>
      </c>
      <c r="E5" s="10">
        <v>1</v>
      </c>
    </row>
    <row r="6" spans="1:5" x14ac:dyDescent="0.4">
      <c r="A6" s="9" t="s">
        <v>2</v>
      </c>
      <c r="B6" s="9" t="s">
        <v>54</v>
      </c>
      <c r="C6" s="1" t="s">
        <v>7</v>
      </c>
      <c r="D6" s="12" t="s">
        <v>63</v>
      </c>
      <c r="E6" s="10">
        <v>0.1</v>
      </c>
    </row>
    <row r="7" spans="1:5" x14ac:dyDescent="0.4">
      <c r="A7" s="7" t="s">
        <v>3</v>
      </c>
      <c r="B7" s="7" t="s">
        <v>56</v>
      </c>
      <c r="C7" s="16" t="s">
        <v>73</v>
      </c>
      <c r="D7" s="4" t="s">
        <v>64</v>
      </c>
      <c r="E7" s="10">
        <v>1</v>
      </c>
    </row>
    <row r="8" spans="1:5" x14ac:dyDescent="0.4">
      <c r="A8" s="7" t="s">
        <v>3</v>
      </c>
      <c r="B8" s="7" t="s">
        <v>56</v>
      </c>
      <c r="C8" s="16" t="s">
        <v>74</v>
      </c>
      <c r="D8" s="4" t="s">
        <v>64</v>
      </c>
      <c r="E8" s="10">
        <v>1</v>
      </c>
    </row>
    <row r="9" spans="1:5" x14ac:dyDescent="0.4">
      <c r="A9" s="7" t="s">
        <v>3</v>
      </c>
      <c r="B9" s="7" t="s">
        <v>56</v>
      </c>
      <c r="C9" s="16" t="s">
        <v>75</v>
      </c>
      <c r="D9" s="4" t="s">
        <v>64</v>
      </c>
      <c r="E9" s="10">
        <v>1</v>
      </c>
    </row>
    <row r="10" spans="1:5" x14ac:dyDescent="0.4">
      <c r="A10" s="7" t="s">
        <v>3</v>
      </c>
      <c r="B10" s="7" t="s">
        <v>56</v>
      </c>
      <c r="C10" s="16" t="s">
        <v>76</v>
      </c>
      <c r="D10" s="4" t="s">
        <v>64</v>
      </c>
      <c r="E10" s="10">
        <v>1</v>
      </c>
    </row>
    <row r="11" spans="1:5" x14ac:dyDescent="0.4">
      <c r="A11" s="7" t="s">
        <v>3</v>
      </c>
      <c r="B11" s="7" t="s">
        <v>56</v>
      </c>
      <c r="C11" s="16" t="s">
        <v>77</v>
      </c>
      <c r="D11" s="4" t="s">
        <v>64</v>
      </c>
      <c r="E11" s="10">
        <v>1</v>
      </c>
    </row>
    <row r="12" spans="1:5" x14ac:dyDescent="0.4">
      <c r="A12" s="7" t="s">
        <v>3</v>
      </c>
      <c r="B12" s="7" t="s">
        <v>56</v>
      </c>
      <c r="C12" s="16" t="s">
        <v>78</v>
      </c>
      <c r="D12" s="4" t="s">
        <v>64</v>
      </c>
      <c r="E12" s="10">
        <v>1</v>
      </c>
    </row>
    <row r="13" spans="1:5" x14ac:dyDescent="0.4">
      <c r="A13" s="7" t="s">
        <v>3</v>
      </c>
      <c r="B13" s="7" t="s">
        <v>56</v>
      </c>
      <c r="C13" s="16" t="s">
        <v>79</v>
      </c>
      <c r="D13" s="4" t="s">
        <v>64</v>
      </c>
      <c r="E13" s="10">
        <v>1</v>
      </c>
    </row>
    <row r="14" spans="1:5" x14ac:dyDescent="0.4">
      <c r="A14" s="7" t="s">
        <v>3</v>
      </c>
      <c r="B14" s="7" t="s">
        <v>56</v>
      </c>
      <c r="C14" s="16" t="s">
        <v>80</v>
      </c>
      <c r="D14" s="4" t="s">
        <v>64</v>
      </c>
      <c r="E14" s="10">
        <v>1</v>
      </c>
    </row>
    <row r="15" spans="1:5" x14ac:dyDescent="0.4">
      <c r="A15" s="7" t="s">
        <v>3</v>
      </c>
      <c r="B15" s="7" t="s">
        <v>56</v>
      </c>
      <c r="C15" s="16" t="s">
        <v>81</v>
      </c>
      <c r="D15" s="4" t="s">
        <v>64</v>
      </c>
      <c r="E15" s="10">
        <v>1</v>
      </c>
    </row>
    <row r="16" spans="1:5" x14ac:dyDescent="0.4">
      <c r="A16" s="7" t="s">
        <v>3</v>
      </c>
      <c r="B16" s="7" t="s">
        <v>56</v>
      </c>
      <c r="C16" s="16" t="s">
        <v>82</v>
      </c>
      <c r="D16" s="4" t="s">
        <v>64</v>
      </c>
      <c r="E16" s="10">
        <v>1</v>
      </c>
    </row>
    <row r="17" spans="1:5" x14ac:dyDescent="0.4">
      <c r="A17" s="7" t="s">
        <v>3</v>
      </c>
      <c r="B17" s="7" t="s">
        <v>56</v>
      </c>
      <c r="C17" s="16" t="s">
        <v>83</v>
      </c>
      <c r="D17" s="4" t="s">
        <v>64</v>
      </c>
      <c r="E17" s="10">
        <v>1</v>
      </c>
    </row>
    <row r="18" spans="1:5" x14ac:dyDescent="0.4">
      <c r="A18" s="7" t="s">
        <v>3</v>
      </c>
      <c r="B18" s="7" t="s">
        <v>56</v>
      </c>
      <c r="C18" s="16" t="s">
        <v>84</v>
      </c>
      <c r="D18" s="4" t="s">
        <v>64</v>
      </c>
      <c r="E18" s="10">
        <v>1</v>
      </c>
    </row>
    <row r="19" spans="1:5" x14ac:dyDescent="0.4">
      <c r="A19" s="7" t="s">
        <v>3</v>
      </c>
      <c r="B19" s="7" t="s">
        <v>56</v>
      </c>
      <c r="C19" s="16" t="s">
        <v>85</v>
      </c>
      <c r="D19" s="4" t="s">
        <v>64</v>
      </c>
      <c r="E19" s="10">
        <v>1</v>
      </c>
    </row>
    <row r="20" spans="1:5" x14ac:dyDescent="0.4">
      <c r="A20" s="7" t="s">
        <v>3</v>
      </c>
      <c r="B20" s="7" t="s">
        <v>56</v>
      </c>
      <c r="C20" s="16" t="s">
        <v>86</v>
      </c>
      <c r="D20" s="4" t="s">
        <v>64</v>
      </c>
      <c r="E20" s="10">
        <v>1</v>
      </c>
    </row>
    <row r="21" spans="1:5" x14ac:dyDescent="0.4">
      <c r="A21" s="7" t="s">
        <v>3</v>
      </c>
      <c r="B21" s="7" t="s">
        <v>56</v>
      </c>
      <c r="C21" s="16" t="s">
        <v>87</v>
      </c>
      <c r="D21" s="4" t="s">
        <v>64</v>
      </c>
      <c r="E21" s="10">
        <v>1</v>
      </c>
    </row>
    <row r="22" spans="1:5" x14ac:dyDescent="0.4">
      <c r="A22" s="7" t="s">
        <v>3</v>
      </c>
      <c r="B22" s="7" t="s">
        <v>56</v>
      </c>
      <c r="C22" s="16" t="s">
        <v>88</v>
      </c>
      <c r="D22" s="4" t="s">
        <v>64</v>
      </c>
      <c r="E22" s="10">
        <v>1</v>
      </c>
    </row>
    <row r="23" spans="1:5" x14ac:dyDescent="0.4">
      <c r="A23" s="7" t="s">
        <v>3</v>
      </c>
      <c r="B23" s="7" t="s">
        <v>56</v>
      </c>
      <c r="C23" s="16" t="s">
        <v>89</v>
      </c>
      <c r="D23" s="4" t="s">
        <v>64</v>
      </c>
      <c r="E23" s="10">
        <v>1</v>
      </c>
    </row>
    <row r="24" spans="1:5" x14ac:dyDescent="0.4">
      <c r="A24" s="7" t="s">
        <v>3</v>
      </c>
      <c r="B24" s="7" t="s">
        <v>56</v>
      </c>
      <c r="C24" s="16" t="s">
        <v>90</v>
      </c>
      <c r="D24" s="4" t="s">
        <v>64</v>
      </c>
      <c r="E24" s="10">
        <v>1</v>
      </c>
    </row>
    <row r="25" spans="1:5" x14ac:dyDescent="0.4">
      <c r="A25" s="7" t="s">
        <v>3</v>
      </c>
      <c r="B25" s="7" t="s">
        <v>56</v>
      </c>
      <c r="C25" s="16" t="s">
        <v>91</v>
      </c>
      <c r="D25" s="4" t="s">
        <v>64</v>
      </c>
      <c r="E25" s="10">
        <v>1</v>
      </c>
    </row>
    <row r="26" spans="1:5" x14ac:dyDescent="0.4">
      <c r="A26" s="7" t="s">
        <v>3</v>
      </c>
      <c r="B26" s="7" t="s">
        <v>56</v>
      </c>
      <c r="C26" s="16" t="s">
        <v>92</v>
      </c>
      <c r="D26" s="4" t="s">
        <v>64</v>
      </c>
      <c r="E26" s="10">
        <v>1</v>
      </c>
    </row>
    <row r="27" spans="1:5" x14ac:dyDescent="0.4">
      <c r="A27" s="7" t="s">
        <v>3</v>
      </c>
      <c r="B27" s="7" t="s">
        <v>56</v>
      </c>
      <c r="C27" s="16" t="s">
        <v>93</v>
      </c>
      <c r="D27" s="4" t="s">
        <v>64</v>
      </c>
      <c r="E27" s="10">
        <v>1</v>
      </c>
    </row>
    <row r="28" spans="1:5" x14ac:dyDescent="0.4">
      <c r="A28" s="7" t="s">
        <v>3</v>
      </c>
      <c r="B28" s="7" t="s">
        <v>56</v>
      </c>
      <c r="C28" s="16" t="s">
        <v>94</v>
      </c>
      <c r="D28" s="4" t="s">
        <v>64</v>
      </c>
      <c r="E28" s="10">
        <v>1</v>
      </c>
    </row>
    <row r="29" spans="1:5" x14ac:dyDescent="0.4">
      <c r="A29" s="7" t="s">
        <v>3</v>
      </c>
      <c r="B29" s="7" t="s">
        <v>56</v>
      </c>
      <c r="C29" s="16" t="s">
        <v>95</v>
      </c>
      <c r="D29" s="4" t="s">
        <v>64</v>
      </c>
      <c r="E29" s="10">
        <v>1</v>
      </c>
    </row>
    <row r="30" spans="1:5" x14ac:dyDescent="0.4">
      <c r="A30" s="7" t="s">
        <v>3</v>
      </c>
      <c r="B30" s="7" t="s">
        <v>56</v>
      </c>
      <c r="C30" s="16" t="s">
        <v>96</v>
      </c>
      <c r="D30" s="4" t="s">
        <v>64</v>
      </c>
      <c r="E30" s="10">
        <v>1</v>
      </c>
    </row>
    <row r="31" spans="1:5" x14ac:dyDescent="0.4">
      <c r="A31" s="7" t="s">
        <v>3</v>
      </c>
      <c r="B31" s="7" t="s">
        <v>56</v>
      </c>
      <c r="C31" s="16" t="s">
        <v>97</v>
      </c>
      <c r="D31" s="4" t="s">
        <v>64</v>
      </c>
      <c r="E31" s="10">
        <v>1</v>
      </c>
    </row>
    <row r="32" spans="1:5" x14ac:dyDescent="0.4">
      <c r="A32" s="7" t="s">
        <v>3</v>
      </c>
      <c r="B32" s="7" t="s">
        <v>56</v>
      </c>
      <c r="C32" s="16" t="s">
        <v>98</v>
      </c>
      <c r="D32" s="4" t="s">
        <v>64</v>
      </c>
      <c r="E32" s="10">
        <v>1</v>
      </c>
    </row>
    <row r="33" spans="1:5" x14ac:dyDescent="0.4">
      <c r="A33" s="7" t="s">
        <v>3</v>
      </c>
      <c r="B33" s="7" t="s">
        <v>56</v>
      </c>
      <c r="C33" s="16" t="s">
        <v>99</v>
      </c>
      <c r="D33" s="4" t="s">
        <v>64</v>
      </c>
      <c r="E33" s="10">
        <v>1</v>
      </c>
    </row>
    <row r="34" spans="1:5" x14ac:dyDescent="0.4">
      <c r="A34" s="7" t="s">
        <v>3</v>
      </c>
      <c r="B34" s="7" t="s">
        <v>56</v>
      </c>
      <c r="C34" s="16" t="s">
        <v>100</v>
      </c>
      <c r="D34" s="4" t="s">
        <v>64</v>
      </c>
      <c r="E34" s="10">
        <v>1</v>
      </c>
    </row>
    <row r="35" spans="1:5" x14ac:dyDescent="0.4">
      <c r="A35" s="7" t="s">
        <v>3</v>
      </c>
      <c r="B35" s="7" t="s">
        <v>56</v>
      </c>
      <c r="C35" s="16" t="s">
        <v>101</v>
      </c>
      <c r="D35" s="4" t="s">
        <v>64</v>
      </c>
      <c r="E35" s="10">
        <v>1</v>
      </c>
    </row>
    <row r="36" spans="1:5" x14ac:dyDescent="0.4">
      <c r="A36" s="7" t="s">
        <v>3</v>
      </c>
      <c r="B36" s="7" t="s">
        <v>56</v>
      </c>
      <c r="C36" s="16" t="s">
        <v>102</v>
      </c>
      <c r="D36" s="4" t="s">
        <v>64</v>
      </c>
      <c r="E36" s="10">
        <v>1</v>
      </c>
    </row>
    <row r="37" spans="1:5" x14ac:dyDescent="0.4">
      <c r="A37" s="7" t="s">
        <v>3</v>
      </c>
      <c r="B37" s="7" t="s">
        <v>56</v>
      </c>
      <c r="C37" s="16" t="s">
        <v>103</v>
      </c>
      <c r="D37" s="4" t="s">
        <v>64</v>
      </c>
      <c r="E37" s="10">
        <v>1</v>
      </c>
    </row>
    <row r="38" spans="1:5" x14ac:dyDescent="0.4">
      <c r="A38" s="7" t="s">
        <v>3</v>
      </c>
      <c r="B38" s="7" t="s">
        <v>56</v>
      </c>
      <c r="C38" s="16" t="s">
        <v>104</v>
      </c>
      <c r="D38" s="4" t="s">
        <v>64</v>
      </c>
      <c r="E38" s="10">
        <v>1</v>
      </c>
    </row>
    <row r="39" spans="1:5" x14ac:dyDescent="0.4">
      <c r="A39" s="7" t="s">
        <v>3</v>
      </c>
      <c r="B39" s="7" t="s">
        <v>56</v>
      </c>
      <c r="C39" s="16" t="s">
        <v>105</v>
      </c>
      <c r="D39" s="4" t="s">
        <v>64</v>
      </c>
      <c r="E39" s="10">
        <v>1</v>
      </c>
    </row>
    <row r="40" spans="1:5" x14ac:dyDescent="0.4">
      <c r="A40" s="7" t="s">
        <v>3</v>
      </c>
      <c r="B40" s="7" t="s">
        <v>56</v>
      </c>
      <c r="C40" s="16" t="s">
        <v>106</v>
      </c>
      <c r="D40" s="4" t="s">
        <v>64</v>
      </c>
      <c r="E40" s="10">
        <v>1</v>
      </c>
    </row>
    <row r="41" spans="1:5" x14ac:dyDescent="0.4">
      <c r="A41" s="7" t="s">
        <v>3</v>
      </c>
      <c r="B41" s="7" t="s">
        <v>56</v>
      </c>
      <c r="C41" s="16" t="s">
        <v>107</v>
      </c>
      <c r="D41" s="4" t="s">
        <v>64</v>
      </c>
      <c r="E41" s="10">
        <v>1</v>
      </c>
    </row>
    <row r="42" spans="1:5" x14ac:dyDescent="0.4">
      <c r="A42" s="7" t="s">
        <v>3</v>
      </c>
      <c r="B42" s="7" t="s">
        <v>56</v>
      </c>
      <c r="C42" s="16" t="s">
        <v>108</v>
      </c>
      <c r="D42" s="4" t="s">
        <v>64</v>
      </c>
      <c r="E42" s="10">
        <v>1</v>
      </c>
    </row>
    <row r="43" spans="1:5" x14ac:dyDescent="0.4">
      <c r="A43" s="7" t="s">
        <v>3</v>
      </c>
      <c r="B43" s="7" t="s">
        <v>56</v>
      </c>
      <c r="C43" s="16" t="s">
        <v>109</v>
      </c>
      <c r="D43" s="4" t="s">
        <v>64</v>
      </c>
      <c r="E43" s="10">
        <v>1</v>
      </c>
    </row>
    <row r="44" spans="1:5" x14ac:dyDescent="0.4">
      <c r="A44" s="7" t="s">
        <v>3</v>
      </c>
      <c r="B44" s="7" t="s">
        <v>56</v>
      </c>
      <c r="C44" s="16" t="s">
        <v>110</v>
      </c>
      <c r="D44" s="4" t="s">
        <v>64</v>
      </c>
      <c r="E44" s="10">
        <v>1</v>
      </c>
    </row>
    <row r="45" spans="1:5" x14ac:dyDescent="0.4">
      <c r="A45" s="7" t="s">
        <v>3</v>
      </c>
      <c r="B45" s="7" t="s">
        <v>56</v>
      </c>
      <c r="C45" s="16" t="s">
        <v>111</v>
      </c>
      <c r="D45" s="4" t="s">
        <v>64</v>
      </c>
      <c r="E45" s="10">
        <v>1</v>
      </c>
    </row>
    <row r="46" spans="1:5" x14ac:dyDescent="0.4">
      <c r="A46" s="7" t="s">
        <v>3</v>
      </c>
      <c r="B46" s="7" t="s">
        <v>56</v>
      </c>
      <c r="C46" s="16" t="s">
        <v>112</v>
      </c>
      <c r="D46" s="4" t="s">
        <v>64</v>
      </c>
      <c r="E46" s="10">
        <v>1</v>
      </c>
    </row>
    <row r="47" spans="1:5" x14ac:dyDescent="0.4">
      <c r="A47" s="7" t="s">
        <v>3</v>
      </c>
      <c r="B47" s="7" t="s">
        <v>56</v>
      </c>
      <c r="C47" s="16" t="s">
        <v>113</v>
      </c>
      <c r="D47" s="4" t="s">
        <v>64</v>
      </c>
      <c r="E47" s="10">
        <v>1</v>
      </c>
    </row>
    <row r="48" spans="1:5" x14ac:dyDescent="0.4">
      <c r="A48" s="7" t="s">
        <v>3</v>
      </c>
      <c r="B48" s="7" t="s">
        <v>56</v>
      </c>
      <c r="C48" s="16" t="s">
        <v>114</v>
      </c>
      <c r="D48" s="4" t="s">
        <v>64</v>
      </c>
      <c r="E48" s="10">
        <v>1</v>
      </c>
    </row>
    <row r="49" spans="1:5" x14ac:dyDescent="0.4">
      <c r="A49" s="7" t="s">
        <v>3</v>
      </c>
      <c r="B49" s="7" t="s">
        <v>56</v>
      </c>
      <c r="C49" s="16" t="s">
        <v>115</v>
      </c>
      <c r="D49" s="4" t="s">
        <v>64</v>
      </c>
      <c r="E49" s="10">
        <v>1</v>
      </c>
    </row>
    <row r="50" spans="1:5" x14ac:dyDescent="0.4">
      <c r="A50" s="7" t="s">
        <v>3</v>
      </c>
      <c r="B50" s="7" t="s">
        <v>56</v>
      </c>
      <c r="C50" s="16" t="s">
        <v>116</v>
      </c>
      <c r="D50" s="4" t="s">
        <v>64</v>
      </c>
      <c r="E50" s="10">
        <v>1</v>
      </c>
    </row>
    <row r="51" spans="1:5" x14ac:dyDescent="0.4">
      <c r="A51" s="7" t="s">
        <v>3</v>
      </c>
      <c r="B51" s="7" t="s">
        <v>56</v>
      </c>
      <c r="C51" s="16" t="s">
        <v>117</v>
      </c>
      <c r="D51" s="4" t="s">
        <v>64</v>
      </c>
      <c r="E51" s="10">
        <v>1</v>
      </c>
    </row>
    <row r="52" spans="1:5" x14ac:dyDescent="0.4">
      <c r="A52" s="7" t="s">
        <v>3</v>
      </c>
      <c r="B52" s="7" t="s">
        <v>56</v>
      </c>
      <c r="C52" s="16" t="s">
        <v>118</v>
      </c>
      <c r="D52" s="4" t="s">
        <v>64</v>
      </c>
      <c r="E52" s="10">
        <v>1</v>
      </c>
    </row>
    <row r="53" spans="1:5" x14ac:dyDescent="0.4">
      <c r="A53" s="7" t="s">
        <v>3</v>
      </c>
      <c r="B53" s="7" t="s">
        <v>56</v>
      </c>
      <c r="C53" s="16" t="s">
        <v>119</v>
      </c>
      <c r="D53" s="4" t="s">
        <v>64</v>
      </c>
      <c r="E53" s="10">
        <v>1</v>
      </c>
    </row>
    <row r="54" spans="1:5" x14ac:dyDescent="0.4">
      <c r="A54" s="7" t="s">
        <v>3</v>
      </c>
      <c r="B54" s="7" t="s">
        <v>56</v>
      </c>
      <c r="C54" s="16" t="s">
        <v>120</v>
      </c>
      <c r="D54" s="4" t="s">
        <v>64</v>
      </c>
      <c r="E54" s="10">
        <v>1</v>
      </c>
    </row>
    <row r="55" spans="1:5" x14ac:dyDescent="0.4">
      <c r="A55" s="7" t="s">
        <v>3</v>
      </c>
      <c r="B55" s="7" t="s">
        <v>56</v>
      </c>
      <c r="C55" s="16" t="s">
        <v>121</v>
      </c>
      <c r="D55" s="4" t="s">
        <v>64</v>
      </c>
      <c r="E55" s="10">
        <v>1</v>
      </c>
    </row>
    <row r="56" spans="1:5" x14ac:dyDescent="0.4">
      <c r="A56" s="7" t="s">
        <v>3</v>
      </c>
      <c r="B56" s="7" t="s">
        <v>56</v>
      </c>
      <c r="C56" s="16" t="s">
        <v>122</v>
      </c>
      <c r="D56" s="4" t="s">
        <v>64</v>
      </c>
      <c r="E56" s="10">
        <v>1</v>
      </c>
    </row>
    <row r="57" spans="1:5" x14ac:dyDescent="0.4">
      <c r="A57" s="7" t="s">
        <v>3</v>
      </c>
      <c r="B57" s="7" t="s">
        <v>56</v>
      </c>
      <c r="C57" s="16" t="s">
        <v>123</v>
      </c>
      <c r="D57" s="4" t="s">
        <v>64</v>
      </c>
      <c r="E57" s="10">
        <v>1</v>
      </c>
    </row>
    <row r="58" spans="1:5" x14ac:dyDescent="0.4">
      <c r="A58" s="7" t="s">
        <v>3</v>
      </c>
      <c r="B58" s="7" t="s">
        <v>56</v>
      </c>
      <c r="C58" s="16" t="s">
        <v>124</v>
      </c>
      <c r="D58" s="4" t="s">
        <v>64</v>
      </c>
      <c r="E58" s="10">
        <v>1</v>
      </c>
    </row>
    <row r="59" spans="1:5" x14ac:dyDescent="0.4">
      <c r="A59" s="7" t="s">
        <v>3</v>
      </c>
      <c r="B59" s="7" t="s">
        <v>56</v>
      </c>
      <c r="C59" s="16" t="s">
        <v>125</v>
      </c>
      <c r="D59" s="4" t="s">
        <v>64</v>
      </c>
      <c r="E59" s="10">
        <v>1</v>
      </c>
    </row>
    <row r="60" spans="1:5" x14ac:dyDescent="0.4">
      <c r="A60" s="7" t="s">
        <v>3</v>
      </c>
      <c r="B60" s="7" t="s">
        <v>56</v>
      </c>
      <c r="C60" s="16" t="s">
        <v>126</v>
      </c>
      <c r="D60" s="4" t="s">
        <v>64</v>
      </c>
      <c r="E60" s="10">
        <v>1</v>
      </c>
    </row>
    <row r="61" spans="1:5" x14ac:dyDescent="0.4">
      <c r="A61" s="7" t="s">
        <v>3</v>
      </c>
      <c r="B61" s="7" t="s">
        <v>56</v>
      </c>
      <c r="C61" s="16" t="s">
        <v>127</v>
      </c>
      <c r="D61" s="4" t="s">
        <v>64</v>
      </c>
      <c r="E61" s="10">
        <v>1</v>
      </c>
    </row>
    <row r="62" spans="1:5" x14ac:dyDescent="0.4">
      <c r="A62" s="7" t="s">
        <v>3</v>
      </c>
      <c r="B62" s="7" t="s">
        <v>56</v>
      </c>
      <c r="C62" s="16" t="s">
        <v>128</v>
      </c>
      <c r="D62" s="4" t="s">
        <v>64</v>
      </c>
      <c r="E62" s="10">
        <v>1</v>
      </c>
    </row>
    <row r="63" spans="1:5" x14ac:dyDescent="0.4">
      <c r="A63" s="7" t="s">
        <v>3</v>
      </c>
      <c r="B63" s="7" t="s">
        <v>56</v>
      </c>
      <c r="C63" s="16" t="s">
        <v>129</v>
      </c>
      <c r="D63" s="4" t="s">
        <v>64</v>
      </c>
      <c r="E63" s="10">
        <v>1</v>
      </c>
    </row>
    <row r="64" spans="1:5" x14ac:dyDescent="0.4">
      <c r="A64" s="7" t="s">
        <v>3</v>
      </c>
      <c r="B64" s="7" t="s">
        <v>56</v>
      </c>
      <c r="C64" s="16" t="s">
        <v>130</v>
      </c>
      <c r="D64" s="4" t="s">
        <v>64</v>
      </c>
      <c r="E64" s="10">
        <v>1</v>
      </c>
    </row>
    <row r="65" spans="1:6" x14ac:dyDescent="0.4">
      <c r="A65" s="7" t="s">
        <v>3</v>
      </c>
      <c r="B65" s="7" t="s">
        <v>56</v>
      </c>
      <c r="C65" s="16" t="s">
        <v>131</v>
      </c>
      <c r="D65" s="4" t="s">
        <v>64</v>
      </c>
      <c r="E65" s="10">
        <v>1</v>
      </c>
    </row>
    <row r="66" spans="1:6" x14ac:dyDescent="0.4">
      <c r="A66" s="7" t="s">
        <v>3</v>
      </c>
      <c r="B66" s="7" t="s">
        <v>56</v>
      </c>
      <c r="C66" s="16" t="s">
        <v>132</v>
      </c>
      <c r="D66" s="4" t="s">
        <v>64</v>
      </c>
      <c r="E66" s="10">
        <v>1</v>
      </c>
    </row>
    <row r="67" spans="1:6" x14ac:dyDescent="0.4">
      <c r="A67" s="7" t="s">
        <v>3</v>
      </c>
      <c r="B67" s="7" t="s">
        <v>56</v>
      </c>
      <c r="C67" s="16" t="s">
        <v>133</v>
      </c>
      <c r="D67" s="4" t="s">
        <v>64</v>
      </c>
      <c r="E67" s="10">
        <v>1</v>
      </c>
    </row>
    <row r="68" spans="1:6" x14ac:dyDescent="0.4">
      <c r="A68" s="7" t="s">
        <v>3</v>
      </c>
      <c r="B68" s="7" t="s">
        <v>56</v>
      </c>
      <c r="C68" s="16" t="s">
        <v>134</v>
      </c>
      <c r="D68" s="4" t="s">
        <v>64</v>
      </c>
      <c r="E68" s="10">
        <v>1</v>
      </c>
    </row>
    <row r="69" spans="1:6" x14ac:dyDescent="0.4">
      <c r="A69" s="7" t="s">
        <v>3</v>
      </c>
      <c r="B69" s="7" t="s">
        <v>56</v>
      </c>
      <c r="C69" s="16" t="s">
        <v>135</v>
      </c>
      <c r="D69" s="4" t="s">
        <v>64</v>
      </c>
      <c r="E69" s="10">
        <v>1</v>
      </c>
    </row>
    <row r="70" spans="1:6" x14ac:dyDescent="0.4">
      <c r="A70" s="7" t="s">
        <v>3</v>
      </c>
      <c r="B70" s="7" t="s">
        <v>56</v>
      </c>
      <c r="C70" s="16" t="s">
        <v>136</v>
      </c>
      <c r="D70" s="4" t="s">
        <v>64</v>
      </c>
      <c r="E70" s="10">
        <v>1</v>
      </c>
    </row>
    <row r="71" spans="1:6" x14ac:dyDescent="0.4">
      <c r="A71" s="7" t="s">
        <v>3</v>
      </c>
      <c r="B71" s="7" t="s">
        <v>56</v>
      </c>
      <c r="C71" s="16" t="s">
        <v>137</v>
      </c>
      <c r="D71" s="4" t="s">
        <v>64</v>
      </c>
      <c r="E71" s="10">
        <v>1</v>
      </c>
    </row>
    <row r="72" spans="1:6" x14ac:dyDescent="0.4">
      <c r="A72" s="7" t="s">
        <v>3</v>
      </c>
      <c r="B72" s="7" t="s">
        <v>56</v>
      </c>
      <c r="C72" s="16" t="s">
        <v>138</v>
      </c>
      <c r="D72" s="4" t="s">
        <v>64</v>
      </c>
      <c r="E72" s="10">
        <v>1</v>
      </c>
    </row>
    <row r="73" spans="1:6" x14ac:dyDescent="0.4">
      <c r="A73" s="7" t="s">
        <v>3</v>
      </c>
      <c r="B73" s="7" t="s">
        <v>56</v>
      </c>
      <c r="C73" s="16" t="s">
        <v>139</v>
      </c>
      <c r="D73" s="4" t="s">
        <v>64</v>
      </c>
      <c r="E73" s="10">
        <v>1</v>
      </c>
      <c r="F73" s="14"/>
    </row>
    <row r="74" spans="1:6" x14ac:dyDescent="0.4">
      <c r="A74" s="7" t="s">
        <v>3</v>
      </c>
      <c r="B74" s="7" t="s">
        <v>56</v>
      </c>
      <c r="C74" s="16" t="s">
        <v>140</v>
      </c>
      <c r="D74" s="4" t="s">
        <v>64</v>
      </c>
      <c r="E74" s="10">
        <v>1</v>
      </c>
    </row>
    <row r="75" spans="1:6" x14ac:dyDescent="0.4">
      <c r="A75" s="7" t="s">
        <v>3</v>
      </c>
      <c r="B75" s="7" t="s">
        <v>56</v>
      </c>
      <c r="C75" s="16" t="s">
        <v>141</v>
      </c>
      <c r="D75" s="4" t="s">
        <v>64</v>
      </c>
      <c r="E75" s="10">
        <v>1</v>
      </c>
    </row>
    <row r="76" spans="1:6" x14ac:dyDescent="0.4">
      <c r="A76" s="7" t="s">
        <v>3</v>
      </c>
      <c r="B76" s="7" t="s">
        <v>56</v>
      </c>
      <c r="C76" s="16" t="s">
        <v>142</v>
      </c>
      <c r="D76" s="4" t="s">
        <v>64</v>
      </c>
      <c r="E76" s="10">
        <v>1</v>
      </c>
    </row>
    <row r="77" spans="1:6" x14ac:dyDescent="0.4">
      <c r="A77" s="7" t="s">
        <v>3</v>
      </c>
      <c r="B77" s="7" t="s">
        <v>56</v>
      </c>
      <c r="C77" s="16" t="s">
        <v>143</v>
      </c>
      <c r="D77" s="4" t="s">
        <v>64</v>
      </c>
      <c r="E77" s="10">
        <v>1</v>
      </c>
    </row>
    <row r="78" spans="1:6" x14ac:dyDescent="0.4">
      <c r="A78" s="7" t="s">
        <v>3</v>
      </c>
      <c r="B78" s="7" t="s">
        <v>56</v>
      </c>
      <c r="C78" s="16" t="s">
        <v>144</v>
      </c>
      <c r="D78" s="4" t="s">
        <v>64</v>
      </c>
      <c r="E78" s="10">
        <v>1</v>
      </c>
    </row>
    <row r="79" spans="1:6" x14ac:dyDescent="0.4">
      <c r="A79" s="7" t="s">
        <v>3</v>
      </c>
      <c r="B79" s="7" t="s">
        <v>56</v>
      </c>
      <c r="C79" s="16" t="s">
        <v>145</v>
      </c>
      <c r="D79" s="4" t="s">
        <v>64</v>
      </c>
      <c r="E79" s="10">
        <v>1</v>
      </c>
    </row>
    <row r="80" spans="1:6" x14ac:dyDescent="0.4">
      <c r="A80" s="7" t="s">
        <v>3</v>
      </c>
      <c r="B80" s="7" t="s">
        <v>56</v>
      </c>
      <c r="C80" s="16" t="s">
        <v>146</v>
      </c>
      <c r="D80" s="4" t="s">
        <v>64</v>
      </c>
      <c r="E80" s="10">
        <v>1</v>
      </c>
    </row>
    <row r="81" spans="1:5" x14ac:dyDescent="0.4">
      <c r="A81" s="7" t="s">
        <v>3</v>
      </c>
      <c r="B81" s="7" t="s">
        <v>56</v>
      </c>
      <c r="C81" s="16" t="s">
        <v>147</v>
      </c>
      <c r="D81" s="4" t="s">
        <v>64</v>
      </c>
      <c r="E81" s="10">
        <v>1</v>
      </c>
    </row>
    <row r="82" spans="1:5" x14ac:dyDescent="0.4">
      <c r="A82" s="7" t="s">
        <v>3</v>
      </c>
      <c r="B82" s="7" t="s">
        <v>56</v>
      </c>
      <c r="C82" s="16" t="s">
        <v>148</v>
      </c>
      <c r="D82" s="4" t="s">
        <v>64</v>
      </c>
      <c r="E82" s="10">
        <v>1</v>
      </c>
    </row>
    <row r="83" spans="1:5" x14ac:dyDescent="0.4">
      <c r="A83" s="7" t="s">
        <v>3</v>
      </c>
      <c r="B83" s="7" t="s">
        <v>56</v>
      </c>
      <c r="C83" s="16" t="s">
        <v>149</v>
      </c>
      <c r="D83" s="4" t="s">
        <v>64</v>
      </c>
      <c r="E83" s="10">
        <v>1</v>
      </c>
    </row>
    <row r="84" spans="1:5" x14ac:dyDescent="0.4">
      <c r="A84" s="7" t="s">
        <v>3</v>
      </c>
      <c r="B84" s="7" t="s">
        <v>56</v>
      </c>
      <c r="C84" s="16" t="s">
        <v>150</v>
      </c>
      <c r="D84" s="4" t="s">
        <v>64</v>
      </c>
      <c r="E84" s="10">
        <v>1</v>
      </c>
    </row>
    <row r="85" spans="1:5" x14ac:dyDescent="0.4">
      <c r="A85" s="7" t="s">
        <v>3</v>
      </c>
      <c r="B85" s="7" t="s">
        <v>56</v>
      </c>
      <c r="C85" s="16" t="s">
        <v>151</v>
      </c>
      <c r="D85" s="4" t="s">
        <v>64</v>
      </c>
      <c r="E85" s="10">
        <v>1</v>
      </c>
    </row>
    <row r="86" spans="1:5" x14ac:dyDescent="0.4">
      <c r="A86" s="7" t="s">
        <v>3</v>
      </c>
      <c r="B86" s="7" t="s">
        <v>56</v>
      </c>
      <c r="C86" s="16" t="s">
        <v>152</v>
      </c>
      <c r="D86" s="4" t="s">
        <v>64</v>
      </c>
      <c r="E86" s="10">
        <v>1</v>
      </c>
    </row>
    <row r="87" spans="1:5" x14ac:dyDescent="0.4">
      <c r="A87" s="7" t="s">
        <v>3</v>
      </c>
      <c r="B87" s="7" t="s">
        <v>56</v>
      </c>
      <c r="C87" s="16" t="s">
        <v>153</v>
      </c>
      <c r="D87" s="4" t="s">
        <v>64</v>
      </c>
      <c r="E87" s="10">
        <v>1</v>
      </c>
    </row>
    <row r="88" spans="1:5" x14ac:dyDescent="0.4">
      <c r="A88" s="7" t="s">
        <v>3</v>
      </c>
      <c r="B88" s="7" t="s">
        <v>56</v>
      </c>
      <c r="C88" s="16" t="s">
        <v>154</v>
      </c>
      <c r="D88" s="4" t="s">
        <v>64</v>
      </c>
      <c r="E88" s="10">
        <v>1</v>
      </c>
    </row>
    <row r="89" spans="1:5" x14ac:dyDescent="0.4">
      <c r="A89" s="7" t="s">
        <v>3</v>
      </c>
      <c r="B89" s="7" t="s">
        <v>56</v>
      </c>
      <c r="C89" s="16" t="s">
        <v>155</v>
      </c>
      <c r="D89" s="4" t="s">
        <v>64</v>
      </c>
      <c r="E89" s="10">
        <v>1</v>
      </c>
    </row>
    <row r="90" spans="1:5" x14ac:dyDescent="0.4">
      <c r="A90" s="7" t="s">
        <v>3</v>
      </c>
      <c r="B90" s="7" t="s">
        <v>56</v>
      </c>
      <c r="C90" s="16" t="s">
        <v>156</v>
      </c>
      <c r="D90" s="4" t="s">
        <v>64</v>
      </c>
      <c r="E90" s="10">
        <v>1</v>
      </c>
    </row>
    <row r="91" spans="1:5" x14ac:dyDescent="0.4">
      <c r="A91" s="7" t="s">
        <v>3</v>
      </c>
      <c r="B91" s="7" t="s">
        <v>56</v>
      </c>
      <c r="C91" s="16" t="s">
        <v>157</v>
      </c>
      <c r="D91" s="4" t="s">
        <v>64</v>
      </c>
      <c r="E91" s="10">
        <v>1</v>
      </c>
    </row>
    <row r="92" spans="1:5" x14ac:dyDescent="0.4">
      <c r="A92" s="7" t="s">
        <v>3</v>
      </c>
      <c r="B92" s="7" t="s">
        <v>56</v>
      </c>
      <c r="C92" s="16" t="s">
        <v>158</v>
      </c>
      <c r="D92" s="4" t="s">
        <v>64</v>
      </c>
      <c r="E92" s="10">
        <v>1</v>
      </c>
    </row>
    <row r="93" spans="1:5" x14ac:dyDescent="0.4">
      <c r="A93" s="7" t="s">
        <v>3</v>
      </c>
      <c r="B93" s="7" t="s">
        <v>56</v>
      </c>
      <c r="C93" s="16" t="s">
        <v>159</v>
      </c>
      <c r="D93" s="4" t="s">
        <v>64</v>
      </c>
      <c r="E93" s="10">
        <v>1</v>
      </c>
    </row>
    <row r="94" spans="1:5" x14ac:dyDescent="0.4">
      <c r="A94" s="7" t="s">
        <v>3</v>
      </c>
      <c r="B94" s="7" t="s">
        <v>56</v>
      </c>
      <c r="C94" s="16" t="s">
        <v>160</v>
      </c>
      <c r="D94" s="4" t="s">
        <v>64</v>
      </c>
      <c r="E94" s="10">
        <v>1</v>
      </c>
    </row>
    <row r="95" spans="1:5" x14ac:dyDescent="0.4">
      <c r="A95" s="7" t="s">
        <v>3</v>
      </c>
      <c r="B95" s="7" t="s">
        <v>56</v>
      </c>
      <c r="C95" s="16" t="s">
        <v>161</v>
      </c>
      <c r="D95" s="4" t="s">
        <v>64</v>
      </c>
      <c r="E95" s="10">
        <v>1</v>
      </c>
    </row>
    <row r="96" spans="1:5" x14ac:dyDescent="0.4">
      <c r="A96" s="7" t="s">
        <v>3</v>
      </c>
      <c r="B96" s="7" t="s">
        <v>56</v>
      </c>
      <c r="C96" s="16" t="s">
        <v>162</v>
      </c>
      <c r="D96" s="4" t="s">
        <v>64</v>
      </c>
      <c r="E96" s="10">
        <v>1</v>
      </c>
    </row>
    <row r="97" spans="1:5" x14ac:dyDescent="0.4">
      <c r="A97" s="7" t="s">
        <v>3</v>
      </c>
      <c r="B97" s="7" t="s">
        <v>56</v>
      </c>
      <c r="C97" s="16" t="s">
        <v>163</v>
      </c>
      <c r="D97" s="4" t="s">
        <v>64</v>
      </c>
      <c r="E97" s="10">
        <v>1</v>
      </c>
    </row>
    <row r="98" spans="1:5" x14ac:dyDescent="0.4">
      <c r="A98" s="7" t="s">
        <v>3</v>
      </c>
      <c r="B98" s="7" t="s">
        <v>56</v>
      </c>
      <c r="C98" s="16" t="s">
        <v>164</v>
      </c>
      <c r="D98" s="4" t="s">
        <v>64</v>
      </c>
      <c r="E98" s="10">
        <v>1</v>
      </c>
    </row>
    <row r="99" spans="1:5" x14ac:dyDescent="0.4">
      <c r="A99" s="7" t="s">
        <v>3</v>
      </c>
      <c r="B99" s="7" t="s">
        <v>56</v>
      </c>
      <c r="C99" s="16" t="s">
        <v>165</v>
      </c>
      <c r="D99" s="4" t="s">
        <v>64</v>
      </c>
      <c r="E99" s="10">
        <v>1</v>
      </c>
    </row>
    <row r="100" spans="1:5" x14ac:dyDescent="0.4">
      <c r="A100" s="7" t="s">
        <v>3</v>
      </c>
      <c r="B100" s="7" t="s">
        <v>56</v>
      </c>
      <c r="C100" s="16" t="s">
        <v>166</v>
      </c>
      <c r="D100" s="4" t="s">
        <v>64</v>
      </c>
      <c r="E100" s="10">
        <v>1</v>
      </c>
    </row>
    <row r="101" spans="1:5" x14ac:dyDescent="0.4">
      <c r="A101" s="7" t="s">
        <v>3</v>
      </c>
      <c r="B101" s="7" t="s">
        <v>56</v>
      </c>
      <c r="C101" s="16" t="s">
        <v>167</v>
      </c>
      <c r="D101" s="4" t="s">
        <v>64</v>
      </c>
      <c r="E101" s="10">
        <v>1</v>
      </c>
    </row>
    <row r="102" spans="1:5" x14ac:dyDescent="0.4">
      <c r="A102" s="7" t="s">
        <v>3</v>
      </c>
      <c r="B102" s="7" t="s">
        <v>56</v>
      </c>
      <c r="C102" s="16" t="s">
        <v>168</v>
      </c>
      <c r="D102" s="4" t="s">
        <v>64</v>
      </c>
      <c r="E102" s="10">
        <v>1</v>
      </c>
    </row>
    <row r="103" spans="1:5" x14ac:dyDescent="0.4">
      <c r="A103" s="7" t="s">
        <v>3</v>
      </c>
      <c r="B103" s="7" t="s">
        <v>56</v>
      </c>
      <c r="C103" s="16" t="s">
        <v>169</v>
      </c>
      <c r="D103" s="4" t="s">
        <v>64</v>
      </c>
      <c r="E103" s="10">
        <v>1</v>
      </c>
    </row>
    <row r="104" spans="1:5" x14ac:dyDescent="0.4">
      <c r="A104" s="7" t="s">
        <v>3</v>
      </c>
      <c r="B104" s="7" t="s">
        <v>56</v>
      </c>
      <c r="C104" s="16" t="s">
        <v>170</v>
      </c>
      <c r="D104" s="4" t="s">
        <v>64</v>
      </c>
      <c r="E104" s="10">
        <v>1</v>
      </c>
    </row>
    <row r="105" spans="1:5" x14ac:dyDescent="0.4">
      <c r="A105" s="7" t="s">
        <v>3</v>
      </c>
      <c r="B105" s="7" t="s">
        <v>56</v>
      </c>
      <c r="C105" s="16" t="s">
        <v>171</v>
      </c>
      <c r="D105" s="4" t="s">
        <v>64</v>
      </c>
      <c r="E105" s="10">
        <v>1</v>
      </c>
    </row>
    <row r="106" spans="1:5" x14ac:dyDescent="0.4">
      <c r="A106" s="7" t="s">
        <v>3</v>
      </c>
      <c r="B106" s="7" t="s">
        <v>56</v>
      </c>
      <c r="C106" s="16" t="s">
        <v>172</v>
      </c>
      <c r="D106" s="4" t="s">
        <v>64</v>
      </c>
      <c r="E106" s="10">
        <v>1</v>
      </c>
    </row>
    <row r="107" spans="1:5" x14ac:dyDescent="0.4">
      <c r="A107" s="7" t="s">
        <v>3</v>
      </c>
      <c r="B107" s="7" t="s">
        <v>56</v>
      </c>
      <c r="C107" s="16" t="s">
        <v>173</v>
      </c>
      <c r="D107" s="4" t="s">
        <v>64</v>
      </c>
      <c r="E107" s="10">
        <v>1</v>
      </c>
    </row>
    <row r="108" spans="1:5" x14ac:dyDescent="0.4">
      <c r="A108" s="7" t="s">
        <v>3</v>
      </c>
      <c r="B108" s="7" t="s">
        <v>56</v>
      </c>
      <c r="C108" s="16" t="s">
        <v>174</v>
      </c>
      <c r="D108" s="4" t="s">
        <v>64</v>
      </c>
      <c r="E108" s="10">
        <v>1</v>
      </c>
    </row>
    <row r="109" spans="1:5" x14ac:dyDescent="0.4">
      <c r="A109" s="7" t="s">
        <v>3</v>
      </c>
      <c r="B109" s="7" t="s">
        <v>56</v>
      </c>
      <c r="C109" s="16" t="s">
        <v>175</v>
      </c>
      <c r="D109" s="4" t="s">
        <v>64</v>
      </c>
      <c r="E109" s="10">
        <v>1</v>
      </c>
    </row>
    <row r="110" spans="1:5" x14ac:dyDescent="0.4">
      <c r="A110" s="7" t="s">
        <v>4</v>
      </c>
      <c r="B110" s="7" t="s">
        <v>58</v>
      </c>
      <c r="C110" s="10" t="s">
        <v>176</v>
      </c>
      <c r="D110" s="4" t="s">
        <v>65</v>
      </c>
      <c r="E110" s="10">
        <v>1</v>
      </c>
    </row>
    <row r="111" spans="1:5" x14ac:dyDescent="0.4">
      <c r="A111" s="7" t="s">
        <v>4</v>
      </c>
      <c r="B111" s="7" t="s">
        <v>58</v>
      </c>
      <c r="C111" s="10" t="s">
        <v>177</v>
      </c>
      <c r="D111" s="4" t="s">
        <v>65</v>
      </c>
      <c r="E111" s="10">
        <v>1</v>
      </c>
    </row>
    <row r="112" spans="1:5" x14ac:dyDescent="0.4">
      <c r="A112" s="7" t="s">
        <v>4</v>
      </c>
      <c r="B112" s="7" t="s">
        <v>58</v>
      </c>
      <c r="C112" s="10" t="s">
        <v>178</v>
      </c>
      <c r="D112" s="4" t="s">
        <v>65</v>
      </c>
      <c r="E112" s="10">
        <v>1</v>
      </c>
    </row>
    <row r="113" spans="1:5" x14ac:dyDescent="0.4">
      <c r="A113" s="7" t="s">
        <v>4</v>
      </c>
      <c r="B113" s="7" t="s">
        <v>58</v>
      </c>
      <c r="C113" s="10" t="s">
        <v>179</v>
      </c>
      <c r="D113" s="4" t="s">
        <v>65</v>
      </c>
      <c r="E113" s="10">
        <v>1</v>
      </c>
    </row>
    <row r="114" spans="1:5" x14ac:dyDescent="0.4">
      <c r="A114" s="7" t="s">
        <v>4</v>
      </c>
      <c r="B114" s="7" t="s">
        <v>58</v>
      </c>
      <c r="C114" s="10" t="s">
        <v>180</v>
      </c>
      <c r="D114" s="4" t="s">
        <v>65</v>
      </c>
      <c r="E114" s="10">
        <v>1</v>
      </c>
    </row>
    <row r="115" spans="1:5" x14ac:dyDescent="0.4">
      <c r="A115" s="7" t="s">
        <v>4</v>
      </c>
      <c r="B115" s="7" t="s">
        <v>58</v>
      </c>
      <c r="C115" s="10" t="s">
        <v>181</v>
      </c>
      <c r="D115" s="4" t="s">
        <v>65</v>
      </c>
      <c r="E115" s="10">
        <v>1</v>
      </c>
    </row>
    <row r="116" spans="1:5" x14ac:dyDescent="0.4">
      <c r="A116" s="7" t="s">
        <v>4</v>
      </c>
      <c r="B116" s="7" t="s">
        <v>58</v>
      </c>
      <c r="C116" s="10" t="s">
        <v>182</v>
      </c>
      <c r="D116" s="4" t="s">
        <v>65</v>
      </c>
      <c r="E116" s="10">
        <v>1</v>
      </c>
    </row>
    <row r="117" spans="1:5" x14ac:dyDescent="0.4">
      <c r="A117" s="7" t="s">
        <v>4</v>
      </c>
      <c r="B117" s="7" t="s">
        <v>58</v>
      </c>
      <c r="C117" s="10" t="s">
        <v>183</v>
      </c>
      <c r="D117" s="4" t="s">
        <v>65</v>
      </c>
      <c r="E117" s="10">
        <v>1</v>
      </c>
    </row>
    <row r="118" spans="1:5" x14ac:dyDescent="0.4">
      <c r="A118" s="7" t="s">
        <v>4</v>
      </c>
      <c r="B118" s="7" t="s">
        <v>58</v>
      </c>
      <c r="C118" s="10" t="s">
        <v>184</v>
      </c>
      <c r="D118" s="4" t="s">
        <v>65</v>
      </c>
      <c r="E118" s="10">
        <v>1</v>
      </c>
    </row>
    <row r="119" spans="1:5" x14ac:dyDescent="0.4">
      <c r="A119" s="7" t="s">
        <v>4</v>
      </c>
      <c r="B119" s="7" t="s">
        <v>58</v>
      </c>
      <c r="C119" s="10" t="s">
        <v>185</v>
      </c>
      <c r="D119" s="4" t="s">
        <v>65</v>
      </c>
      <c r="E119" s="10">
        <v>1</v>
      </c>
    </row>
    <row r="120" spans="1:5" x14ac:dyDescent="0.4">
      <c r="A120" s="7" t="s">
        <v>4</v>
      </c>
      <c r="B120" s="7" t="s">
        <v>58</v>
      </c>
      <c r="C120" s="10" t="s">
        <v>186</v>
      </c>
      <c r="D120" s="4" t="s">
        <v>65</v>
      </c>
      <c r="E120" s="10">
        <v>1</v>
      </c>
    </row>
    <row r="121" spans="1:5" x14ac:dyDescent="0.4">
      <c r="A121" s="7" t="s">
        <v>4</v>
      </c>
      <c r="B121" s="7" t="s">
        <v>58</v>
      </c>
      <c r="C121" s="10" t="s">
        <v>187</v>
      </c>
      <c r="D121" s="4" t="s">
        <v>65</v>
      </c>
      <c r="E121" s="10">
        <v>1</v>
      </c>
    </row>
    <row r="122" spans="1:5" x14ac:dyDescent="0.4">
      <c r="A122" s="7" t="s">
        <v>4</v>
      </c>
      <c r="B122" s="7" t="s">
        <v>58</v>
      </c>
      <c r="C122" s="10" t="s">
        <v>188</v>
      </c>
      <c r="D122" s="4" t="s">
        <v>65</v>
      </c>
      <c r="E122" s="10">
        <v>1</v>
      </c>
    </row>
    <row r="123" spans="1:5" x14ac:dyDescent="0.4">
      <c r="A123" s="7" t="s">
        <v>4</v>
      </c>
      <c r="B123" s="7" t="s">
        <v>58</v>
      </c>
      <c r="C123" s="10" t="s">
        <v>189</v>
      </c>
      <c r="D123" s="4" t="s">
        <v>65</v>
      </c>
      <c r="E123" s="10">
        <v>1</v>
      </c>
    </row>
    <row r="124" spans="1:5" x14ac:dyDescent="0.4">
      <c r="A124" s="7" t="s">
        <v>4</v>
      </c>
      <c r="B124" s="7" t="s">
        <v>58</v>
      </c>
      <c r="C124" s="10" t="s">
        <v>190</v>
      </c>
      <c r="D124" s="4" t="s">
        <v>65</v>
      </c>
      <c r="E124" s="10">
        <v>1</v>
      </c>
    </row>
    <row r="125" spans="1:5" x14ac:dyDescent="0.4">
      <c r="A125" s="7" t="s">
        <v>4</v>
      </c>
      <c r="B125" s="7" t="s">
        <v>58</v>
      </c>
      <c r="C125" s="10" t="s">
        <v>191</v>
      </c>
      <c r="D125" s="4" t="s">
        <v>65</v>
      </c>
      <c r="E125" s="10">
        <v>1</v>
      </c>
    </row>
    <row r="126" spans="1:5" x14ac:dyDescent="0.4">
      <c r="A126" s="7" t="s">
        <v>4</v>
      </c>
      <c r="B126" s="7" t="s">
        <v>58</v>
      </c>
      <c r="C126" s="10" t="s">
        <v>192</v>
      </c>
      <c r="D126" s="4" t="s">
        <v>65</v>
      </c>
      <c r="E126" s="10">
        <v>1</v>
      </c>
    </row>
    <row r="127" spans="1:5" x14ac:dyDescent="0.4">
      <c r="A127" s="7" t="s">
        <v>4</v>
      </c>
      <c r="B127" s="7" t="s">
        <v>58</v>
      </c>
      <c r="C127" s="10" t="s">
        <v>193</v>
      </c>
      <c r="D127" s="4" t="s">
        <v>65</v>
      </c>
      <c r="E127" s="10">
        <v>1</v>
      </c>
    </row>
    <row r="128" spans="1:5" x14ac:dyDescent="0.4">
      <c r="A128" s="7" t="s">
        <v>4</v>
      </c>
      <c r="B128" s="7" t="s">
        <v>58</v>
      </c>
      <c r="C128" s="10" t="s">
        <v>194</v>
      </c>
      <c r="D128" s="4" t="s">
        <v>65</v>
      </c>
      <c r="E128" s="10">
        <v>1</v>
      </c>
    </row>
    <row r="129" spans="1:5" x14ac:dyDescent="0.4">
      <c r="A129" s="7" t="s">
        <v>4</v>
      </c>
      <c r="B129" s="7" t="s">
        <v>58</v>
      </c>
      <c r="C129" s="10" t="s">
        <v>195</v>
      </c>
      <c r="D129" s="4" t="s">
        <v>65</v>
      </c>
      <c r="E129" s="10">
        <v>1</v>
      </c>
    </row>
    <row r="130" spans="1:5" x14ac:dyDescent="0.4">
      <c r="A130" s="7" t="s">
        <v>4</v>
      </c>
      <c r="B130" s="7" t="s">
        <v>58</v>
      </c>
      <c r="C130" s="10" t="s">
        <v>196</v>
      </c>
      <c r="D130" s="4" t="s">
        <v>65</v>
      </c>
      <c r="E130" s="10">
        <v>1</v>
      </c>
    </row>
    <row r="131" spans="1:5" x14ac:dyDescent="0.4">
      <c r="A131" s="7" t="s">
        <v>4</v>
      </c>
      <c r="B131" s="7" t="s">
        <v>58</v>
      </c>
      <c r="C131" s="10" t="s">
        <v>197</v>
      </c>
      <c r="D131" s="4" t="s">
        <v>65</v>
      </c>
      <c r="E131" s="10">
        <v>1</v>
      </c>
    </row>
    <row r="132" spans="1:5" x14ac:dyDescent="0.4">
      <c r="A132" s="7" t="s">
        <v>5</v>
      </c>
      <c r="B132" s="7" t="s">
        <v>57</v>
      </c>
      <c r="C132" s="4" t="s">
        <v>16</v>
      </c>
      <c r="D132" s="4" t="s">
        <v>63</v>
      </c>
      <c r="E132" s="10">
        <v>1</v>
      </c>
    </row>
    <row r="133" spans="1:5" x14ac:dyDescent="0.4">
      <c r="A133" s="7" t="s">
        <v>5</v>
      </c>
      <c r="B133" s="7" t="s">
        <v>57</v>
      </c>
      <c r="C133" s="4" t="s">
        <v>36</v>
      </c>
      <c r="D133" s="4" t="s">
        <v>63</v>
      </c>
      <c r="E133" s="10">
        <v>1</v>
      </c>
    </row>
    <row r="134" spans="1:5" x14ac:dyDescent="0.4">
      <c r="A134" s="7" t="s">
        <v>5</v>
      </c>
      <c r="B134" s="7" t="s">
        <v>57</v>
      </c>
      <c r="C134" s="4" t="s">
        <v>27</v>
      </c>
      <c r="D134" s="4" t="s">
        <v>63</v>
      </c>
      <c r="E134" s="10">
        <v>1</v>
      </c>
    </row>
    <row r="135" spans="1:5" x14ac:dyDescent="0.4">
      <c r="A135" s="7" t="s">
        <v>5</v>
      </c>
      <c r="B135" s="7" t="s">
        <v>57</v>
      </c>
      <c r="C135" s="4" t="s">
        <v>28</v>
      </c>
      <c r="D135" s="4" t="s">
        <v>63</v>
      </c>
      <c r="E135" s="10">
        <v>1</v>
      </c>
    </row>
    <row r="136" spans="1:5" x14ac:dyDescent="0.4">
      <c r="A136" s="7" t="s">
        <v>5</v>
      </c>
      <c r="B136" s="7" t="s">
        <v>57</v>
      </c>
      <c r="C136" s="4" t="s">
        <v>33</v>
      </c>
      <c r="D136" s="4" t="s">
        <v>63</v>
      </c>
      <c r="E136" s="10">
        <v>1</v>
      </c>
    </row>
    <row r="137" spans="1:5" x14ac:dyDescent="0.4">
      <c r="A137" s="7" t="s">
        <v>5</v>
      </c>
      <c r="B137" s="7" t="s">
        <v>57</v>
      </c>
      <c r="C137" s="10" t="s">
        <v>200</v>
      </c>
      <c r="D137" s="4" t="s">
        <v>63</v>
      </c>
      <c r="E137" s="10">
        <v>2</v>
      </c>
    </row>
    <row r="138" spans="1:5" x14ac:dyDescent="0.4">
      <c r="A138" s="7" t="s">
        <v>5</v>
      </c>
      <c r="B138" s="7" t="s">
        <v>57</v>
      </c>
      <c r="C138" s="4" t="s">
        <v>17</v>
      </c>
      <c r="D138" s="4" t="s">
        <v>63</v>
      </c>
      <c r="E138" s="10">
        <v>29.8</v>
      </c>
    </row>
    <row r="139" spans="1:5" x14ac:dyDescent="0.4">
      <c r="A139" s="7" t="s">
        <v>5</v>
      </c>
      <c r="B139" s="7" t="s">
        <v>57</v>
      </c>
      <c r="C139" s="4" t="s">
        <v>19</v>
      </c>
      <c r="D139" s="4" t="s">
        <v>63</v>
      </c>
      <c r="E139" s="10">
        <v>29.8</v>
      </c>
    </row>
    <row r="140" spans="1:5" x14ac:dyDescent="0.4">
      <c r="A140" s="7" t="s">
        <v>5</v>
      </c>
      <c r="B140" s="7" t="s">
        <v>57</v>
      </c>
      <c r="C140" s="4" t="s">
        <v>20</v>
      </c>
      <c r="D140" s="4" t="s">
        <v>63</v>
      </c>
      <c r="E140" s="10">
        <v>29.8</v>
      </c>
    </row>
    <row r="141" spans="1:5" x14ac:dyDescent="0.4">
      <c r="A141" s="7" t="s">
        <v>5</v>
      </c>
      <c r="B141" s="7" t="s">
        <v>57</v>
      </c>
      <c r="C141" s="4" t="s">
        <v>21</v>
      </c>
      <c r="D141" s="4" t="s">
        <v>63</v>
      </c>
      <c r="E141" s="10">
        <v>29.8</v>
      </c>
    </row>
    <row r="142" spans="1:5" x14ac:dyDescent="0.4">
      <c r="A142" s="7" t="s">
        <v>5</v>
      </c>
      <c r="B142" s="7" t="s">
        <v>57</v>
      </c>
      <c r="C142" s="4" t="s">
        <v>22</v>
      </c>
      <c r="D142" s="4" t="s">
        <v>63</v>
      </c>
      <c r="E142" s="10">
        <v>29.8</v>
      </c>
    </row>
    <row r="143" spans="1:5" x14ac:dyDescent="0.4">
      <c r="A143" s="7" t="s">
        <v>5</v>
      </c>
      <c r="B143" s="7" t="s">
        <v>57</v>
      </c>
      <c r="C143" s="4" t="s">
        <v>23</v>
      </c>
      <c r="D143" s="4" t="s">
        <v>63</v>
      </c>
      <c r="E143" s="10">
        <v>29.8</v>
      </c>
    </row>
    <row r="144" spans="1:5" x14ac:dyDescent="0.4">
      <c r="A144" s="7" t="s">
        <v>5</v>
      </c>
      <c r="B144" s="7" t="s">
        <v>57</v>
      </c>
      <c r="C144" s="4" t="s">
        <v>24</v>
      </c>
      <c r="D144" s="4" t="s">
        <v>63</v>
      </c>
      <c r="E144" s="10">
        <v>29.8</v>
      </c>
    </row>
    <row r="145" spans="1:5" x14ac:dyDescent="0.4">
      <c r="A145" s="7" t="s">
        <v>5</v>
      </c>
      <c r="B145" s="7" t="s">
        <v>57</v>
      </c>
      <c r="C145" s="4" t="s">
        <v>25</v>
      </c>
      <c r="D145" s="4" t="s">
        <v>63</v>
      </c>
      <c r="E145" s="10">
        <v>29.8</v>
      </c>
    </row>
    <row r="146" spans="1:5" x14ac:dyDescent="0.4">
      <c r="A146" s="7" t="s">
        <v>5</v>
      </c>
      <c r="B146" s="7" t="s">
        <v>57</v>
      </c>
      <c r="C146" s="4" t="s">
        <v>26</v>
      </c>
      <c r="D146" s="4" t="s">
        <v>63</v>
      </c>
      <c r="E146" s="10">
        <v>29.8</v>
      </c>
    </row>
    <row r="147" spans="1:5" x14ac:dyDescent="0.4">
      <c r="A147" s="7" t="s">
        <v>5</v>
      </c>
      <c r="B147" s="7" t="s">
        <v>57</v>
      </c>
      <c r="C147" s="4" t="s">
        <v>32</v>
      </c>
      <c r="D147" s="4" t="s">
        <v>63</v>
      </c>
      <c r="E147" s="10">
        <v>29.8</v>
      </c>
    </row>
    <row r="148" spans="1:5" x14ac:dyDescent="0.4">
      <c r="A148" s="7" t="s">
        <v>5</v>
      </c>
      <c r="B148" s="7" t="s">
        <v>57</v>
      </c>
      <c r="C148" s="4" t="s">
        <v>35</v>
      </c>
      <c r="D148" s="4" t="s">
        <v>63</v>
      </c>
      <c r="E148" s="10">
        <v>29.8</v>
      </c>
    </row>
    <row r="149" spans="1:5" x14ac:dyDescent="0.4">
      <c r="A149" s="7" t="s">
        <v>5</v>
      </c>
      <c r="B149" s="7" t="s">
        <v>57</v>
      </c>
      <c r="C149" s="4" t="s">
        <v>34</v>
      </c>
      <c r="D149" s="4" t="s">
        <v>63</v>
      </c>
      <c r="E149" s="10">
        <v>273</v>
      </c>
    </row>
    <row r="150" spans="1:5" x14ac:dyDescent="0.4">
      <c r="A150" s="7" t="s">
        <v>5</v>
      </c>
      <c r="B150" s="7" t="s">
        <v>57</v>
      </c>
      <c r="C150" s="4" t="s">
        <v>18</v>
      </c>
      <c r="D150" s="4" t="s">
        <v>63</v>
      </c>
      <c r="E150" s="10">
        <v>273</v>
      </c>
    </row>
    <row r="151" spans="1:5" x14ac:dyDescent="0.4">
      <c r="A151" s="7" t="s">
        <v>5</v>
      </c>
      <c r="B151" s="7" t="s">
        <v>57</v>
      </c>
      <c r="C151" s="4" t="s">
        <v>29</v>
      </c>
      <c r="D151" s="4" t="s">
        <v>63</v>
      </c>
      <c r="E151" s="10">
        <v>25200</v>
      </c>
    </row>
    <row r="152" spans="1:5" x14ac:dyDescent="0.4">
      <c r="A152" s="7" t="s">
        <v>5</v>
      </c>
      <c r="B152" s="7" t="s">
        <v>57</v>
      </c>
      <c r="C152" s="4" t="s">
        <v>30</v>
      </c>
      <c r="D152" s="4" t="s">
        <v>63</v>
      </c>
      <c r="E152" s="10">
        <v>1</v>
      </c>
    </row>
    <row r="153" spans="1:5" x14ac:dyDescent="0.4">
      <c r="A153" s="7" t="s">
        <v>5</v>
      </c>
      <c r="B153" s="7" t="s">
        <v>57</v>
      </c>
      <c r="C153" s="4" t="s">
        <v>31</v>
      </c>
      <c r="D153" s="4" t="s">
        <v>63</v>
      </c>
      <c r="E153" s="10">
        <v>1</v>
      </c>
    </row>
    <row r="154" spans="1:5" x14ac:dyDescent="0.4">
      <c r="A154" s="11" t="s">
        <v>5</v>
      </c>
      <c r="B154" s="11" t="s">
        <v>67</v>
      </c>
      <c r="C154" s="4" t="s">
        <v>16</v>
      </c>
      <c r="D154" s="4" t="s">
        <v>63</v>
      </c>
      <c r="E154" s="10">
        <f t="shared" ref="E154:E164" si="0">1*0.27</f>
        <v>0.27</v>
      </c>
    </row>
    <row r="155" spans="1:5" x14ac:dyDescent="0.4">
      <c r="A155" s="11" t="s">
        <v>5</v>
      </c>
      <c r="B155" s="11" t="s">
        <v>67</v>
      </c>
      <c r="C155" s="4" t="s">
        <v>36</v>
      </c>
      <c r="D155" s="4" t="s">
        <v>63</v>
      </c>
      <c r="E155" s="10">
        <f t="shared" si="0"/>
        <v>0.27</v>
      </c>
    </row>
    <row r="156" spans="1:5" x14ac:dyDescent="0.4">
      <c r="A156" s="11" t="s">
        <v>5</v>
      </c>
      <c r="B156" s="11" t="s">
        <v>67</v>
      </c>
      <c r="C156" s="4" t="s">
        <v>27</v>
      </c>
      <c r="D156" s="4" t="s">
        <v>63</v>
      </c>
      <c r="E156" s="10">
        <f t="shared" si="0"/>
        <v>0.27</v>
      </c>
    </row>
    <row r="157" spans="1:5" x14ac:dyDescent="0.4">
      <c r="A157" s="11" t="s">
        <v>5</v>
      </c>
      <c r="B157" s="11" t="s">
        <v>67</v>
      </c>
      <c r="C157" s="4" t="s">
        <v>28</v>
      </c>
      <c r="D157" s="4" t="s">
        <v>63</v>
      </c>
      <c r="E157" s="10">
        <f t="shared" si="0"/>
        <v>0.27</v>
      </c>
    </row>
    <row r="158" spans="1:5" x14ac:dyDescent="0.4">
      <c r="A158" s="11" t="s">
        <v>5</v>
      </c>
      <c r="B158" s="11" t="s">
        <v>67</v>
      </c>
      <c r="C158" s="4" t="s">
        <v>33</v>
      </c>
      <c r="D158" s="4" t="s">
        <v>63</v>
      </c>
      <c r="E158" s="10">
        <f t="shared" si="0"/>
        <v>0.27</v>
      </c>
    </row>
    <row r="159" spans="1:5" x14ac:dyDescent="0.4">
      <c r="A159" s="11" t="s">
        <v>5</v>
      </c>
      <c r="B159" s="11" t="s">
        <v>67</v>
      </c>
      <c r="C159" s="4" t="s">
        <v>16</v>
      </c>
      <c r="D159" s="4" t="s">
        <v>63</v>
      </c>
      <c r="E159" s="10">
        <f t="shared" si="0"/>
        <v>0.27</v>
      </c>
    </row>
    <row r="160" spans="1:5" x14ac:dyDescent="0.4">
      <c r="A160" s="11" t="s">
        <v>5</v>
      </c>
      <c r="B160" s="11" t="s">
        <v>67</v>
      </c>
      <c r="C160" s="4" t="s">
        <v>36</v>
      </c>
      <c r="D160" s="4" t="s">
        <v>63</v>
      </c>
      <c r="E160" s="10">
        <f t="shared" si="0"/>
        <v>0.27</v>
      </c>
    </row>
    <row r="161" spans="1:5" x14ac:dyDescent="0.4">
      <c r="A161" s="11" t="s">
        <v>5</v>
      </c>
      <c r="B161" s="11" t="s">
        <v>67</v>
      </c>
      <c r="C161" s="4" t="s">
        <v>27</v>
      </c>
      <c r="D161" s="4" t="s">
        <v>63</v>
      </c>
      <c r="E161" s="10">
        <f t="shared" si="0"/>
        <v>0.27</v>
      </c>
    </row>
    <row r="162" spans="1:5" x14ac:dyDescent="0.4">
      <c r="A162" s="11" t="s">
        <v>5</v>
      </c>
      <c r="B162" s="11" t="s">
        <v>67</v>
      </c>
      <c r="C162" s="4" t="s">
        <v>28</v>
      </c>
      <c r="D162" s="4" t="s">
        <v>63</v>
      </c>
      <c r="E162" s="10">
        <f t="shared" si="0"/>
        <v>0.27</v>
      </c>
    </row>
    <row r="163" spans="1:5" x14ac:dyDescent="0.4">
      <c r="A163" s="11" t="s">
        <v>5</v>
      </c>
      <c r="B163" s="11" t="s">
        <v>67</v>
      </c>
      <c r="C163" s="4" t="s">
        <v>33</v>
      </c>
      <c r="D163" s="4" t="s">
        <v>63</v>
      </c>
      <c r="E163" s="10">
        <f t="shared" si="0"/>
        <v>0.27</v>
      </c>
    </row>
    <row r="164" spans="1:5" x14ac:dyDescent="0.4">
      <c r="A164" s="11" t="s">
        <v>5</v>
      </c>
      <c r="B164" s="11" t="s">
        <v>67</v>
      </c>
      <c r="C164" s="10" t="s">
        <v>200</v>
      </c>
      <c r="D164" s="4" t="s">
        <v>63</v>
      </c>
      <c r="E164" s="10">
        <f t="shared" si="0"/>
        <v>0.27</v>
      </c>
    </row>
    <row r="165" spans="1:5" x14ac:dyDescent="0.4">
      <c r="A165" s="11" t="s">
        <v>5</v>
      </c>
      <c r="B165" s="11" t="s">
        <v>67</v>
      </c>
      <c r="C165" s="4" t="s">
        <v>17</v>
      </c>
      <c r="D165" s="4" t="s">
        <v>63</v>
      </c>
      <c r="E165" s="10">
        <f t="shared" ref="E165:E175" si="1">29.8*0.27</f>
        <v>8.0460000000000012</v>
      </c>
    </row>
    <row r="166" spans="1:5" x14ac:dyDescent="0.4">
      <c r="A166" s="11" t="s">
        <v>5</v>
      </c>
      <c r="B166" s="11" t="s">
        <v>67</v>
      </c>
      <c r="C166" s="4" t="s">
        <v>19</v>
      </c>
      <c r="D166" s="4" t="s">
        <v>63</v>
      </c>
      <c r="E166" s="10">
        <f t="shared" si="1"/>
        <v>8.0460000000000012</v>
      </c>
    </row>
    <row r="167" spans="1:5" x14ac:dyDescent="0.4">
      <c r="A167" s="11" t="s">
        <v>5</v>
      </c>
      <c r="B167" s="11" t="s">
        <v>67</v>
      </c>
      <c r="C167" s="4" t="s">
        <v>20</v>
      </c>
      <c r="D167" s="4" t="s">
        <v>63</v>
      </c>
      <c r="E167" s="10">
        <f t="shared" si="1"/>
        <v>8.0460000000000012</v>
      </c>
    </row>
    <row r="168" spans="1:5" x14ac:dyDescent="0.4">
      <c r="A168" s="11" t="s">
        <v>5</v>
      </c>
      <c r="B168" s="11" t="s">
        <v>67</v>
      </c>
      <c r="C168" s="4" t="s">
        <v>21</v>
      </c>
      <c r="D168" s="4" t="s">
        <v>63</v>
      </c>
      <c r="E168" s="10">
        <f t="shared" si="1"/>
        <v>8.0460000000000012</v>
      </c>
    </row>
    <row r="169" spans="1:5" x14ac:dyDescent="0.4">
      <c r="A169" s="11" t="s">
        <v>5</v>
      </c>
      <c r="B169" s="11" t="s">
        <v>67</v>
      </c>
      <c r="C169" s="4" t="s">
        <v>22</v>
      </c>
      <c r="D169" s="4" t="s">
        <v>63</v>
      </c>
      <c r="E169" s="10">
        <f t="shared" si="1"/>
        <v>8.0460000000000012</v>
      </c>
    </row>
    <row r="170" spans="1:5" x14ac:dyDescent="0.4">
      <c r="A170" s="11" t="s">
        <v>5</v>
      </c>
      <c r="B170" s="11" t="s">
        <v>67</v>
      </c>
      <c r="C170" s="4" t="s">
        <v>23</v>
      </c>
      <c r="D170" s="4" t="s">
        <v>63</v>
      </c>
      <c r="E170" s="10">
        <f t="shared" si="1"/>
        <v>8.0460000000000012</v>
      </c>
    </row>
    <row r="171" spans="1:5" x14ac:dyDescent="0.4">
      <c r="A171" s="11" t="s">
        <v>5</v>
      </c>
      <c r="B171" s="11" t="s">
        <v>67</v>
      </c>
      <c r="C171" s="4" t="s">
        <v>24</v>
      </c>
      <c r="D171" s="4" t="s">
        <v>63</v>
      </c>
      <c r="E171" s="10">
        <f t="shared" si="1"/>
        <v>8.0460000000000012</v>
      </c>
    </row>
    <row r="172" spans="1:5" x14ac:dyDescent="0.4">
      <c r="A172" s="11" t="s">
        <v>5</v>
      </c>
      <c r="B172" s="11" t="s">
        <v>67</v>
      </c>
      <c r="C172" s="4" t="s">
        <v>25</v>
      </c>
      <c r="D172" s="4" t="s">
        <v>63</v>
      </c>
      <c r="E172" s="10">
        <f t="shared" si="1"/>
        <v>8.0460000000000012</v>
      </c>
    </row>
    <row r="173" spans="1:5" x14ac:dyDescent="0.4">
      <c r="A173" s="11" t="s">
        <v>5</v>
      </c>
      <c r="B173" s="11" t="s">
        <v>67</v>
      </c>
      <c r="C173" s="4" t="s">
        <v>26</v>
      </c>
      <c r="D173" s="4" t="s">
        <v>63</v>
      </c>
      <c r="E173" s="10">
        <f t="shared" si="1"/>
        <v>8.0460000000000012</v>
      </c>
    </row>
    <row r="174" spans="1:5" x14ac:dyDescent="0.4">
      <c r="A174" s="11" t="s">
        <v>5</v>
      </c>
      <c r="B174" s="11" t="s">
        <v>67</v>
      </c>
      <c r="C174" s="4" t="s">
        <v>32</v>
      </c>
      <c r="D174" s="4" t="s">
        <v>63</v>
      </c>
      <c r="E174" s="10">
        <f t="shared" si="1"/>
        <v>8.0460000000000012</v>
      </c>
    </row>
    <row r="175" spans="1:5" x14ac:dyDescent="0.4">
      <c r="A175" s="11" t="s">
        <v>5</v>
      </c>
      <c r="B175" s="11" t="s">
        <v>67</v>
      </c>
      <c r="C175" s="4" t="s">
        <v>35</v>
      </c>
      <c r="D175" s="4" t="s">
        <v>63</v>
      </c>
      <c r="E175" s="10">
        <f t="shared" si="1"/>
        <v>8.0460000000000012</v>
      </c>
    </row>
    <row r="176" spans="1:5" x14ac:dyDescent="0.4">
      <c r="A176" s="11" t="s">
        <v>5</v>
      </c>
      <c r="B176" s="11" t="s">
        <v>67</v>
      </c>
      <c r="C176" s="4" t="s">
        <v>34</v>
      </c>
      <c r="D176" s="4" t="s">
        <v>63</v>
      </c>
      <c r="E176" s="10">
        <f>273*0.27</f>
        <v>73.710000000000008</v>
      </c>
    </row>
    <row r="177" spans="1:5" x14ac:dyDescent="0.4">
      <c r="A177" s="11" t="s">
        <v>5</v>
      </c>
      <c r="B177" s="11" t="s">
        <v>67</v>
      </c>
      <c r="C177" s="4" t="s">
        <v>18</v>
      </c>
      <c r="D177" s="4" t="s">
        <v>63</v>
      </c>
      <c r="E177" s="10">
        <f>273*0.27</f>
        <v>73.710000000000008</v>
      </c>
    </row>
    <row r="178" spans="1:5" x14ac:dyDescent="0.4">
      <c r="A178" s="11" t="s">
        <v>5</v>
      </c>
      <c r="B178" s="11" t="s">
        <v>67</v>
      </c>
      <c r="C178" s="4" t="s">
        <v>29</v>
      </c>
      <c r="D178" s="4" t="s">
        <v>63</v>
      </c>
      <c r="E178" s="10">
        <f>25200*0.27</f>
        <v>6804</v>
      </c>
    </row>
    <row r="179" spans="1:5" x14ac:dyDescent="0.4">
      <c r="A179" s="11" t="s">
        <v>5</v>
      </c>
      <c r="B179" s="11" t="s">
        <v>67</v>
      </c>
      <c r="C179" s="4" t="s">
        <v>30</v>
      </c>
      <c r="D179" s="4" t="s">
        <v>63</v>
      </c>
      <c r="E179" s="10">
        <f>1*0.27</f>
        <v>0.27</v>
      </c>
    </row>
    <row r="180" spans="1:5" x14ac:dyDescent="0.4">
      <c r="A180" s="11" t="s">
        <v>5</v>
      </c>
      <c r="B180" s="11" t="s">
        <v>67</v>
      </c>
      <c r="C180" s="4" t="s">
        <v>31</v>
      </c>
      <c r="D180" s="4" t="s">
        <v>63</v>
      </c>
      <c r="E180" s="10">
        <f>1*0.27</f>
        <v>0.27</v>
      </c>
    </row>
    <row r="181" spans="1:5" x14ac:dyDescent="0.4">
      <c r="A181" s="7" t="s">
        <v>4</v>
      </c>
      <c r="B181" s="11" t="s">
        <v>67</v>
      </c>
      <c r="C181" s="10" t="s">
        <v>176</v>
      </c>
      <c r="D181" s="4" t="s">
        <v>65</v>
      </c>
      <c r="E181" s="10">
        <f>(1*0.95)*1000000</f>
        <v>950000</v>
      </c>
    </row>
    <row r="182" spans="1:5" x14ac:dyDescent="0.4">
      <c r="A182" s="7" t="s">
        <v>4</v>
      </c>
      <c r="B182" s="11" t="s">
        <v>67</v>
      </c>
      <c r="C182" s="10" t="s">
        <v>177</v>
      </c>
      <c r="D182" s="4" t="s">
        <v>65</v>
      </c>
      <c r="E182" s="10">
        <f t="shared" ref="E182:E202" si="2">(1*0.88)*1000000</f>
        <v>880000</v>
      </c>
    </row>
    <row r="183" spans="1:5" x14ac:dyDescent="0.4">
      <c r="A183" s="7" t="s">
        <v>4</v>
      </c>
      <c r="B183" s="11" t="s">
        <v>67</v>
      </c>
      <c r="C183" s="10" t="s">
        <v>178</v>
      </c>
      <c r="D183" s="4" t="s">
        <v>65</v>
      </c>
      <c r="E183" s="10">
        <f t="shared" si="2"/>
        <v>880000</v>
      </c>
    </row>
    <row r="184" spans="1:5" x14ac:dyDescent="0.4">
      <c r="A184" s="7" t="s">
        <v>4</v>
      </c>
      <c r="B184" s="11" t="s">
        <v>67</v>
      </c>
      <c r="C184" s="10" t="s">
        <v>179</v>
      </c>
      <c r="D184" s="4" t="s">
        <v>65</v>
      </c>
      <c r="E184" s="10">
        <f t="shared" si="2"/>
        <v>880000</v>
      </c>
    </row>
    <row r="185" spans="1:5" x14ac:dyDescent="0.4">
      <c r="A185" s="7" t="s">
        <v>4</v>
      </c>
      <c r="B185" s="11" t="s">
        <v>67</v>
      </c>
      <c r="C185" s="10" t="s">
        <v>180</v>
      </c>
      <c r="D185" s="4" t="s">
        <v>65</v>
      </c>
      <c r="E185" s="10">
        <f t="shared" si="2"/>
        <v>880000</v>
      </c>
    </row>
    <row r="186" spans="1:5" x14ac:dyDescent="0.4">
      <c r="A186" s="7" t="s">
        <v>4</v>
      </c>
      <c r="B186" s="11" t="s">
        <v>67</v>
      </c>
      <c r="C186" s="10" t="s">
        <v>181</v>
      </c>
      <c r="D186" s="4" t="s">
        <v>65</v>
      </c>
      <c r="E186" s="10">
        <f t="shared" si="2"/>
        <v>880000</v>
      </c>
    </row>
    <row r="187" spans="1:5" x14ac:dyDescent="0.4">
      <c r="A187" s="7" t="s">
        <v>4</v>
      </c>
      <c r="B187" s="11" t="s">
        <v>67</v>
      </c>
      <c r="C187" s="10" t="s">
        <v>182</v>
      </c>
      <c r="D187" s="4" t="s">
        <v>65</v>
      </c>
      <c r="E187" s="10">
        <f t="shared" si="2"/>
        <v>880000</v>
      </c>
    </row>
    <row r="188" spans="1:5" x14ac:dyDescent="0.4">
      <c r="A188" s="7" t="s">
        <v>4</v>
      </c>
      <c r="B188" s="11" t="s">
        <v>67</v>
      </c>
      <c r="C188" s="10" t="s">
        <v>183</v>
      </c>
      <c r="D188" s="4" t="s">
        <v>65</v>
      </c>
      <c r="E188" s="10">
        <f t="shared" si="2"/>
        <v>880000</v>
      </c>
    </row>
    <row r="189" spans="1:5" x14ac:dyDescent="0.4">
      <c r="A189" s="7" t="s">
        <v>4</v>
      </c>
      <c r="B189" s="11" t="s">
        <v>67</v>
      </c>
      <c r="C189" s="10" t="s">
        <v>184</v>
      </c>
      <c r="D189" s="4" t="s">
        <v>65</v>
      </c>
      <c r="E189" s="10">
        <f t="shared" si="2"/>
        <v>880000</v>
      </c>
    </row>
    <row r="190" spans="1:5" x14ac:dyDescent="0.4">
      <c r="A190" s="7" t="s">
        <v>4</v>
      </c>
      <c r="B190" s="11" t="s">
        <v>67</v>
      </c>
      <c r="C190" s="10" t="s">
        <v>185</v>
      </c>
      <c r="D190" s="4" t="s">
        <v>65</v>
      </c>
      <c r="E190" s="10">
        <f t="shared" si="2"/>
        <v>880000</v>
      </c>
    </row>
    <row r="191" spans="1:5" x14ac:dyDescent="0.4">
      <c r="A191" s="7" t="s">
        <v>4</v>
      </c>
      <c r="B191" s="11" t="s">
        <v>67</v>
      </c>
      <c r="C191" s="10" t="s">
        <v>186</v>
      </c>
      <c r="D191" s="4" t="s">
        <v>65</v>
      </c>
      <c r="E191" s="10">
        <f t="shared" si="2"/>
        <v>880000</v>
      </c>
    </row>
    <row r="192" spans="1:5" x14ac:dyDescent="0.4">
      <c r="A192" s="7" t="s">
        <v>4</v>
      </c>
      <c r="B192" s="11" t="s">
        <v>67</v>
      </c>
      <c r="C192" s="10" t="s">
        <v>187</v>
      </c>
      <c r="D192" s="4" t="s">
        <v>65</v>
      </c>
      <c r="E192" s="10">
        <f t="shared" si="2"/>
        <v>880000</v>
      </c>
    </row>
    <row r="193" spans="1:5" x14ac:dyDescent="0.4">
      <c r="A193" s="7" t="s">
        <v>4</v>
      </c>
      <c r="B193" s="11" t="s">
        <v>67</v>
      </c>
      <c r="C193" s="10" t="s">
        <v>188</v>
      </c>
      <c r="D193" s="4" t="s">
        <v>65</v>
      </c>
      <c r="E193" s="10">
        <f t="shared" si="2"/>
        <v>880000</v>
      </c>
    </row>
    <row r="194" spans="1:5" x14ac:dyDescent="0.4">
      <c r="A194" s="7" t="s">
        <v>4</v>
      </c>
      <c r="B194" s="11" t="s">
        <v>67</v>
      </c>
      <c r="C194" s="10" t="s">
        <v>189</v>
      </c>
      <c r="D194" s="4" t="s">
        <v>65</v>
      </c>
      <c r="E194" s="10">
        <f t="shared" si="2"/>
        <v>880000</v>
      </c>
    </row>
    <row r="195" spans="1:5" x14ac:dyDescent="0.4">
      <c r="A195" s="7" t="s">
        <v>4</v>
      </c>
      <c r="B195" s="11" t="s">
        <v>67</v>
      </c>
      <c r="C195" s="10" t="s">
        <v>190</v>
      </c>
      <c r="D195" s="4" t="s">
        <v>65</v>
      </c>
      <c r="E195" s="10">
        <f t="shared" si="2"/>
        <v>880000</v>
      </c>
    </row>
    <row r="196" spans="1:5" x14ac:dyDescent="0.4">
      <c r="A196" s="7" t="s">
        <v>4</v>
      </c>
      <c r="B196" s="11" t="s">
        <v>67</v>
      </c>
      <c r="C196" s="10" t="s">
        <v>191</v>
      </c>
      <c r="D196" s="4" t="s">
        <v>65</v>
      </c>
      <c r="E196" s="10">
        <f t="shared" si="2"/>
        <v>880000</v>
      </c>
    </row>
    <row r="197" spans="1:5" x14ac:dyDescent="0.4">
      <c r="A197" s="7" t="s">
        <v>4</v>
      </c>
      <c r="B197" s="11" t="s">
        <v>67</v>
      </c>
      <c r="C197" s="10" t="s">
        <v>192</v>
      </c>
      <c r="D197" s="4" t="s">
        <v>65</v>
      </c>
      <c r="E197" s="10">
        <f t="shared" si="2"/>
        <v>880000</v>
      </c>
    </row>
    <row r="198" spans="1:5" x14ac:dyDescent="0.4">
      <c r="A198" s="7" t="s">
        <v>4</v>
      </c>
      <c r="B198" s="11" t="s">
        <v>67</v>
      </c>
      <c r="C198" s="10" t="s">
        <v>193</v>
      </c>
      <c r="D198" s="4" t="s">
        <v>65</v>
      </c>
      <c r="E198" s="10">
        <f t="shared" si="2"/>
        <v>880000</v>
      </c>
    </row>
    <row r="199" spans="1:5" x14ac:dyDescent="0.4">
      <c r="A199" s="7" t="s">
        <v>4</v>
      </c>
      <c r="B199" s="11" t="s">
        <v>67</v>
      </c>
      <c r="C199" s="10" t="s">
        <v>194</v>
      </c>
      <c r="D199" s="4" t="s">
        <v>65</v>
      </c>
      <c r="E199" s="10">
        <f t="shared" si="2"/>
        <v>880000</v>
      </c>
    </row>
    <row r="200" spans="1:5" x14ac:dyDescent="0.4">
      <c r="A200" s="7" t="s">
        <v>4</v>
      </c>
      <c r="B200" s="11" t="s">
        <v>67</v>
      </c>
      <c r="C200" s="10" t="s">
        <v>195</v>
      </c>
      <c r="D200" s="4" t="s">
        <v>65</v>
      </c>
      <c r="E200" s="10">
        <f t="shared" si="2"/>
        <v>880000</v>
      </c>
    </row>
    <row r="201" spans="1:5" x14ac:dyDescent="0.4">
      <c r="A201" s="7" t="s">
        <v>4</v>
      </c>
      <c r="B201" s="11" t="s">
        <v>67</v>
      </c>
      <c r="C201" s="10" t="s">
        <v>196</v>
      </c>
      <c r="D201" s="4" t="s">
        <v>65</v>
      </c>
      <c r="E201" s="10">
        <f t="shared" si="2"/>
        <v>880000</v>
      </c>
    </row>
    <row r="202" spans="1:5" x14ac:dyDescent="0.4">
      <c r="A202" s="7" t="s">
        <v>4</v>
      </c>
      <c r="B202" s="11" t="s">
        <v>67</v>
      </c>
      <c r="C202" s="10" t="s">
        <v>197</v>
      </c>
      <c r="D202" s="4" t="s">
        <v>65</v>
      </c>
      <c r="E202" s="10">
        <f t="shared" si="2"/>
        <v>880000</v>
      </c>
    </row>
    <row r="203" spans="1:5" x14ac:dyDescent="0.4">
      <c r="A203" s="7" t="s">
        <v>4</v>
      </c>
      <c r="B203" s="11" t="s">
        <v>67</v>
      </c>
      <c r="C203" s="10" t="s">
        <v>198</v>
      </c>
      <c r="D203" s="4" t="s">
        <v>65</v>
      </c>
      <c r="E203" s="10">
        <f>(1*0.17)*1000000</f>
        <v>170000</v>
      </c>
    </row>
    <row r="204" spans="1:5" x14ac:dyDescent="0.4">
      <c r="A204" s="7" t="s">
        <v>4</v>
      </c>
      <c r="B204" s="11" t="s">
        <v>67</v>
      </c>
      <c r="C204" s="10" t="s">
        <v>69</v>
      </c>
      <c r="D204" s="4" t="s">
        <v>65</v>
      </c>
      <c r="E204" s="10">
        <f>(1*0.4)*1000000</f>
        <v>400000</v>
      </c>
    </row>
    <row r="205" spans="1:5" x14ac:dyDescent="0.4">
      <c r="A205" s="7" t="s">
        <v>4</v>
      </c>
      <c r="B205" s="11" t="s">
        <v>67</v>
      </c>
      <c r="C205" s="10" t="s">
        <v>70</v>
      </c>
      <c r="D205" s="4" t="s">
        <v>65</v>
      </c>
      <c r="E205" s="10">
        <f>(1*0.4)*1000000</f>
        <v>400000</v>
      </c>
    </row>
    <row r="206" spans="1:5" x14ac:dyDescent="0.4">
      <c r="A206" s="7" t="s">
        <v>4</v>
      </c>
      <c r="B206" s="11" t="s">
        <v>67</v>
      </c>
      <c r="C206" s="10" t="s">
        <v>71</v>
      </c>
      <c r="D206" s="4" t="s">
        <v>65</v>
      </c>
      <c r="E206" s="10">
        <f>(1*0.4)*1000000</f>
        <v>400000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topLeftCell="A97" workbookViewId="0">
      <selection activeCell="C14" sqref="C14"/>
    </sheetView>
  </sheetViews>
  <sheetFormatPr baseColWidth="10" defaultColWidth="9.23046875" defaultRowHeight="14.6" x14ac:dyDescent="0.4"/>
  <cols>
    <col min="1" max="1" width="24.69140625" customWidth="1"/>
    <col min="2" max="2" width="17" style="10" customWidth="1"/>
    <col min="3" max="3" width="47.84375" customWidth="1"/>
    <col min="4" max="4" width="9" style="10" customWidth="1"/>
    <col min="5" max="5" width="13.23046875" customWidth="1"/>
  </cols>
  <sheetData>
    <row r="1" spans="1:5" ht="38.049999999999997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9" customHeight="1" x14ac:dyDescent="0.4">
      <c r="A2" s="9" t="s">
        <v>2</v>
      </c>
      <c r="B2" s="9" t="s">
        <v>53</v>
      </c>
      <c r="C2" s="2" t="s">
        <v>1</v>
      </c>
      <c r="D2" s="12" t="s">
        <v>63</v>
      </c>
      <c r="E2">
        <v>1</v>
      </c>
    </row>
    <row r="3" spans="1:5" x14ac:dyDescent="0.4">
      <c r="A3" s="9" t="s">
        <v>2</v>
      </c>
      <c r="B3" s="9" t="s">
        <v>53</v>
      </c>
      <c r="C3" s="1" t="s">
        <v>0</v>
      </c>
      <c r="D3" s="12" t="s">
        <v>63</v>
      </c>
      <c r="E3">
        <v>0.13</v>
      </c>
    </row>
    <row r="4" spans="1:5" x14ac:dyDescent="0.4">
      <c r="A4" s="9" t="s">
        <v>2</v>
      </c>
      <c r="B4" s="9" t="s">
        <v>54</v>
      </c>
      <c r="C4" s="1" t="s">
        <v>9</v>
      </c>
      <c r="D4" s="12" t="s">
        <v>63</v>
      </c>
      <c r="E4">
        <v>1</v>
      </c>
    </row>
    <row r="5" spans="1:5" x14ac:dyDescent="0.4">
      <c r="A5" s="9" t="s">
        <v>2</v>
      </c>
      <c r="B5" s="9" t="s">
        <v>54</v>
      </c>
      <c r="C5" s="1" t="s">
        <v>8</v>
      </c>
      <c r="D5" s="12" t="s">
        <v>63</v>
      </c>
      <c r="E5">
        <v>1</v>
      </c>
    </row>
    <row r="6" spans="1:5" x14ac:dyDescent="0.4">
      <c r="A6" s="9" t="s">
        <v>2</v>
      </c>
      <c r="B6" s="9" t="s">
        <v>54</v>
      </c>
      <c r="C6" s="1" t="s">
        <v>7</v>
      </c>
      <c r="D6" s="12" t="s">
        <v>63</v>
      </c>
      <c r="E6">
        <v>0.1</v>
      </c>
    </row>
    <row r="7" spans="1:5" x14ac:dyDescent="0.4">
      <c r="A7" s="7" t="s">
        <v>3</v>
      </c>
      <c r="B7" s="7" t="s">
        <v>56</v>
      </c>
      <c r="C7" s="3" t="s">
        <v>11</v>
      </c>
      <c r="D7" s="4" t="s">
        <v>64</v>
      </c>
      <c r="E7">
        <v>1</v>
      </c>
    </row>
    <row r="8" spans="1:5" x14ac:dyDescent="0.4">
      <c r="A8" s="7" t="s">
        <v>3</v>
      </c>
      <c r="B8" s="7" t="s">
        <v>56</v>
      </c>
      <c r="C8" s="3" t="s">
        <v>12</v>
      </c>
      <c r="D8" s="4" t="s">
        <v>64</v>
      </c>
      <c r="E8" s="5">
        <v>1</v>
      </c>
    </row>
    <row r="9" spans="1:5" x14ac:dyDescent="0.4">
      <c r="A9" s="7" t="s">
        <v>3</v>
      </c>
      <c r="B9" s="7" t="s">
        <v>56</v>
      </c>
      <c r="C9" s="3" t="s">
        <v>13</v>
      </c>
      <c r="D9" s="4" t="s">
        <v>64</v>
      </c>
      <c r="E9" s="5">
        <v>1</v>
      </c>
    </row>
    <row r="10" spans="1:5" x14ac:dyDescent="0.4">
      <c r="A10" s="7" t="s">
        <v>3</v>
      </c>
      <c r="B10" s="7" t="s">
        <v>56</v>
      </c>
      <c r="C10" s="3" t="s">
        <v>14</v>
      </c>
      <c r="D10" s="4" t="s">
        <v>64</v>
      </c>
      <c r="E10" s="5">
        <v>1</v>
      </c>
    </row>
    <row r="11" spans="1:5" x14ac:dyDescent="0.4">
      <c r="A11" s="7" t="s">
        <v>3</v>
      </c>
      <c r="B11" s="7" t="s">
        <v>56</v>
      </c>
      <c r="C11" s="3" t="s">
        <v>15</v>
      </c>
      <c r="D11" s="4" t="s">
        <v>64</v>
      </c>
      <c r="E11" s="5">
        <v>1</v>
      </c>
    </row>
    <row r="12" spans="1:5" x14ac:dyDescent="0.4">
      <c r="A12" s="7" t="s">
        <v>4</v>
      </c>
      <c r="B12" s="7" t="s">
        <v>58</v>
      </c>
      <c r="C12" s="4" t="s">
        <v>37</v>
      </c>
      <c r="D12" s="4" t="s">
        <v>65</v>
      </c>
      <c r="E12">
        <v>1</v>
      </c>
    </row>
    <row r="13" spans="1:5" x14ac:dyDescent="0.4">
      <c r="A13" s="7" t="s">
        <v>4</v>
      </c>
      <c r="B13" s="7" t="s">
        <v>58</v>
      </c>
      <c r="C13" s="4" t="s">
        <v>38</v>
      </c>
      <c r="D13" s="4" t="s">
        <v>65</v>
      </c>
      <c r="E13" s="10">
        <v>1</v>
      </c>
    </row>
    <row r="14" spans="1:5" x14ac:dyDescent="0.4">
      <c r="A14" s="7" t="s">
        <v>4</v>
      </c>
      <c r="B14" s="7" t="s">
        <v>58</v>
      </c>
      <c r="C14" s="4" t="s">
        <v>39</v>
      </c>
      <c r="D14" s="4" t="s">
        <v>65</v>
      </c>
      <c r="E14" s="10">
        <v>1</v>
      </c>
    </row>
    <row r="15" spans="1:5" x14ac:dyDescent="0.4">
      <c r="A15" s="7" t="s">
        <v>4</v>
      </c>
      <c r="B15" s="7" t="s">
        <v>58</v>
      </c>
      <c r="C15" s="4" t="s">
        <v>40</v>
      </c>
      <c r="D15" s="4" t="s">
        <v>65</v>
      </c>
      <c r="E15" s="10">
        <v>1</v>
      </c>
    </row>
    <row r="16" spans="1:5" x14ac:dyDescent="0.4">
      <c r="A16" s="7" t="s">
        <v>4</v>
      </c>
      <c r="B16" s="7" t="s">
        <v>58</v>
      </c>
      <c r="C16" s="4" t="s">
        <v>41</v>
      </c>
      <c r="D16" s="4" t="s">
        <v>65</v>
      </c>
      <c r="E16" s="10">
        <v>1</v>
      </c>
    </row>
    <row r="17" spans="1:5" x14ac:dyDescent="0.4">
      <c r="A17" s="7" t="s">
        <v>4</v>
      </c>
      <c r="B17" s="7" t="s">
        <v>58</v>
      </c>
      <c r="C17" s="4" t="s">
        <v>42</v>
      </c>
      <c r="D17" s="4" t="s">
        <v>65</v>
      </c>
      <c r="E17" s="10">
        <v>1</v>
      </c>
    </row>
    <row r="18" spans="1:5" x14ac:dyDescent="0.4">
      <c r="A18" s="7" t="s">
        <v>4</v>
      </c>
      <c r="B18" s="7" t="s">
        <v>58</v>
      </c>
      <c r="C18" s="4" t="s">
        <v>43</v>
      </c>
      <c r="D18" s="4" t="s">
        <v>65</v>
      </c>
      <c r="E18" s="10">
        <v>1</v>
      </c>
    </row>
    <row r="19" spans="1:5" x14ac:dyDescent="0.4">
      <c r="A19" s="7" t="s">
        <v>4</v>
      </c>
      <c r="B19" s="7" t="s">
        <v>58</v>
      </c>
      <c r="C19" s="4" t="s">
        <v>44</v>
      </c>
      <c r="D19" s="4" t="s">
        <v>65</v>
      </c>
      <c r="E19" s="10">
        <v>1</v>
      </c>
    </row>
    <row r="20" spans="1:5" x14ac:dyDescent="0.4">
      <c r="A20" s="7" t="s">
        <v>4</v>
      </c>
      <c r="B20" s="7" t="s">
        <v>58</v>
      </c>
      <c r="C20" s="4" t="s">
        <v>45</v>
      </c>
      <c r="D20" s="4" t="s">
        <v>65</v>
      </c>
      <c r="E20" s="10">
        <v>1</v>
      </c>
    </row>
    <row r="21" spans="1:5" x14ac:dyDescent="0.4">
      <c r="A21" s="7" t="s">
        <v>4</v>
      </c>
      <c r="B21" s="7" t="s">
        <v>58</v>
      </c>
      <c r="C21" s="4" t="s">
        <v>46</v>
      </c>
      <c r="D21" s="4" t="s">
        <v>65</v>
      </c>
      <c r="E21" s="10">
        <v>1</v>
      </c>
    </row>
    <row r="22" spans="1:5" x14ac:dyDescent="0.4">
      <c r="A22" s="7" t="s">
        <v>4</v>
      </c>
      <c r="B22" s="7" t="s">
        <v>58</v>
      </c>
      <c r="C22" s="4" t="s">
        <v>47</v>
      </c>
      <c r="D22" s="4" t="s">
        <v>65</v>
      </c>
      <c r="E22" s="10">
        <v>1</v>
      </c>
    </row>
    <row r="23" spans="1:5" x14ac:dyDescent="0.4">
      <c r="A23" s="7" t="s">
        <v>4</v>
      </c>
      <c r="B23" s="7" t="s">
        <v>58</v>
      </c>
      <c r="C23" s="4" t="s">
        <v>48</v>
      </c>
      <c r="D23" s="4" t="s">
        <v>65</v>
      </c>
      <c r="E23" s="10">
        <v>1</v>
      </c>
    </row>
    <row r="24" spans="1:5" x14ac:dyDescent="0.4">
      <c r="A24" s="7" t="s">
        <v>4</v>
      </c>
      <c r="B24" s="7" t="s">
        <v>58</v>
      </c>
      <c r="C24" s="4" t="s">
        <v>49</v>
      </c>
      <c r="D24" s="4" t="s">
        <v>65</v>
      </c>
      <c r="E24" s="10">
        <v>1</v>
      </c>
    </row>
    <row r="25" spans="1:5" s="10" customFormat="1" x14ac:dyDescent="0.4">
      <c r="A25" s="7" t="s">
        <v>4</v>
      </c>
      <c r="B25" s="7" t="s">
        <v>58</v>
      </c>
      <c r="C25" s="4" t="s">
        <v>50</v>
      </c>
      <c r="D25" s="4" t="s">
        <v>65</v>
      </c>
      <c r="E25" s="10">
        <v>1</v>
      </c>
    </row>
    <row r="26" spans="1:5" s="10" customFormat="1" x14ac:dyDescent="0.4">
      <c r="A26" s="7" t="s">
        <v>5</v>
      </c>
      <c r="B26" s="7" t="s">
        <v>57</v>
      </c>
      <c r="C26" s="4" t="s">
        <v>16</v>
      </c>
      <c r="D26" s="4" t="s">
        <v>63</v>
      </c>
      <c r="E26" s="10">
        <v>1</v>
      </c>
    </row>
    <row r="27" spans="1:5" s="10" customFormat="1" x14ac:dyDescent="0.4">
      <c r="A27" s="7" t="s">
        <v>5</v>
      </c>
      <c r="B27" s="7" t="s">
        <v>57</v>
      </c>
      <c r="C27" s="4" t="s">
        <v>36</v>
      </c>
      <c r="D27" s="4" t="s">
        <v>63</v>
      </c>
      <c r="E27" s="10">
        <v>1</v>
      </c>
    </row>
    <row r="28" spans="1:5" s="10" customFormat="1" x14ac:dyDescent="0.4">
      <c r="A28" s="7" t="s">
        <v>5</v>
      </c>
      <c r="B28" s="7" t="s">
        <v>57</v>
      </c>
      <c r="C28" s="4" t="s">
        <v>27</v>
      </c>
      <c r="D28" s="4" t="s">
        <v>63</v>
      </c>
      <c r="E28" s="10">
        <v>1</v>
      </c>
    </row>
    <row r="29" spans="1:5" s="10" customFormat="1" x14ac:dyDescent="0.4">
      <c r="A29" s="7" t="s">
        <v>5</v>
      </c>
      <c r="B29" s="7" t="s">
        <v>57</v>
      </c>
      <c r="C29" s="4" t="s">
        <v>28</v>
      </c>
      <c r="D29" s="4" t="s">
        <v>63</v>
      </c>
      <c r="E29" s="10">
        <v>1</v>
      </c>
    </row>
    <row r="30" spans="1:5" s="10" customFormat="1" x14ac:dyDescent="0.4">
      <c r="A30" s="7" t="s">
        <v>5</v>
      </c>
      <c r="B30" s="7" t="s">
        <v>57</v>
      </c>
      <c r="C30" s="4" t="s">
        <v>33</v>
      </c>
      <c r="D30" s="4" t="s">
        <v>63</v>
      </c>
      <c r="E30" s="10">
        <v>1</v>
      </c>
    </row>
    <row r="31" spans="1:5" x14ac:dyDescent="0.4">
      <c r="A31" s="7" t="s">
        <v>5</v>
      </c>
      <c r="B31" s="7" t="s">
        <v>57</v>
      </c>
      <c r="C31" s="4" t="s">
        <v>17</v>
      </c>
      <c r="D31" s="4" t="s">
        <v>63</v>
      </c>
      <c r="E31">
        <v>29.8</v>
      </c>
    </row>
    <row r="32" spans="1:5" x14ac:dyDescent="0.4">
      <c r="A32" s="7" t="s">
        <v>5</v>
      </c>
      <c r="B32" s="7" t="s">
        <v>57</v>
      </c>
      <c r="C32" s="4" t="s">
        <v>19</v>
      </c>
      <c r="D32" s="4" t="s">
        <v>63</v>
      </c>
      <c r="E32" s="8">
        <v>29.8</v>
      </c>
    </row>
    <row r="33" spans="1:5" x14ac:dyDescent="0.4">
      <c r="A33" s="7" t="s">
        <v>5</v>
      </c>
      <c r="B33" s="7" t="s">
        <v>57</v>
      </c>
      <c r="C33" s="4" t="s">
        <v>20</v>
      </c>
      <c r="D33" s="4" t="s">
        <v>63</v>
      </c>
      <c r="E33" s="8">
        <v>29.8</v>
      </c>
    </row>
    <row r="34" spans="1:5" x14ac:dyDescent="0.4">
      <c r="A34" s="7" t="s">
        <v>5</v>
      </c>
      <c r="B34" s="7" t="s">
        <v>57</v>
      </c>
      <c r="C34" s="4" t="s">
        <v>21</v>
      </c>
      <c r="D34" s="4" t="s">
        <v>63</v>
      </c>
      <c r="E34" s="8">
        <v>29.8</v>
      </c>
    </row>
    <row r="35" spans="1:5" x14ac:dyDescent="0.4">
      <c r="A35" s="7" t="s">
        <v>5</v>
      </c>
      <c r="B35" s="7" t="s">
        <v>57</v>
      </c>
      <c r="C35" s="4" t="s">
        <v>22</v>
      </c>
      <c r="D35" s="4" t="s">
        <v>63</v>
      </c>
      <c r="E35" s="8">
        <v>29.8</v>
      </c>
    </row>
    <row r="36" spans="1:5" x14ac:dyDescent="0.4">
      <c r="A36" s="7" t="s">
        <v>5</v>
      </c>
      <c r="B36" s="7" t="s">
        <v>57</v>
      </c>
      <c r="C36" s="4" t="s">
        <v>23</v>
      </c>
      <c r="D36" s="4" t="s">
        <v>63</v>
      </c>
      <c r="E36" s="8">
        <v>29.8</v>
      </c>
    </row>
    <row r="37" spans="1:5" x14ac:dyDescent="0.4">
      <c r="A37" s="7" t="s">
        <v>5</v>
      </c>
      <c r="B37" s="7" t="s">
        <v>57</v>
      </c>
      <c r="C37" s="4" t="s">
        <v>24</v>
      </c>
      <c r="D37" s="4" t="s">
        <v>63</v>
      </c>
      <c r="E37" s="8">
        <v>29.8</v>
      </c>
    </row>
    <row r="38" spans="1:5" x14ac:dyDescent="0.4">
      <c r="A38" s="7" t="s">
        <v>5</v>
      </c>
      <c r="B38" s="7" t="s">
        <v>57</v>
      </c>
      <c r="C38" s="4" t="s">
        <v>25</v>
      </c>
      <c r="D38" s="4" t="s">
        <v>63</v>
      </c>
      <c r="E38" s="8">
        <v>29.8</v>
      </c>
    </row>
    <row r="39" spans="1:5" x14ac:dyDescent="0.4">
      <c r="A39" s="7" t="s">
        <v>5</v>
      </c>
      <c r="B39" s="7" t="s">
        <v>57</v>
      </c>
      <c r="C39" s="4" t="s">
        <v>26</v>
      </c>
      <c r="D39" s="4" t="s">
        <v>63</v>
      </c>
      <c r="E39" s="8">
        <v>29.8</v>
      </c>
    </row>
    <row r="40" spans="1:5" x14ac:dyDescent="0.4">
      <c r="A40" s="7" t="s">
        <v>5</v>
      </c>
      <c r="B40" s="7" t="s">
        <v>57</v>
      </c>
      <c r="C40" s="4" t="s">
        <v>32</v>
      </c>
      <c r="D40" s="4" t="s">
        <v>63</v>
      </c>
      <c r="E40" s="8">
        <v>29.8</v>
      </c>
    </row>
    <row r="41" spans="1:5" x14ac:dyDescent="0.4">
      <c r="A41" s="7" t="s">
        <v>5</v>
      </c>
      <c r="B41" s="7" t="s">
        <v>57</v>
      </c>
      <c r="C41" s="4" t="s">
        <v>35</v>
      </c>
      <c r="D41" s="4" t="s">
        <v>63</v>
      </c>
      <c r="E41" s="8">
        <v>29.8</v>
      </c>
    </row>
    <row r="42" spans="1:5" x14ac:dyDescent="0.4">
      <c r="A42" s="7" t="s">
        <v>5</v>
      </c>
      <c r="B42" s="7" t="s">
        <v>57</v>
      </c>
      <c r="C42" s="4" t="s">
        <v>34</v>
      </c>
      <c r="D42" s="4" t="s">
        <v>63</v>
      </c>
      <c r="E42">
        <v>273</v>
      </c>
    </row>
    <row r="43" spans="1:5" x14ac:dyDescent="0.4">
      <c r="A43" s="7" t="s">
        <v>5</v>
      </c>
      <c r="B43" s="7" t="s">
        <v>57</v>
      </c>
      <c r="C43" s="4" t="s">
        <v>18</v>
      </c>
      <c r="D43" s="4" t="s">
        <v>63</v>
      </c>
      <c r="E43" s="8">
        <v>273</v>
      </c>
    </row>
    <row r="44" spans="1:5" x14ac:dyDescent="0.4">
      <c r="A44" s="7" t="s">
        <v>5</v>
      </c>
      <c r="B44" s="7" t="s">
        <v>57</v>
      </c>
      <c r="C44" s="4" t="s">
        <v>29</v>
      </c>
      <c r="D44" s="4" t="s">
        <v>63</v>
      </c>
      <c r="E44">
        <v>25200</v>
      </c>
    </row>
    <row r="45" spans="1:5" x14ac:dyDescent="0.4">
      <c r="A45" s="7" t="s">
        <v>5</v>
      </c>
      <c r="B45" s="7" t="s">
        <v>57</v>
      </c>
      <c r="C45" s="4" t="s">
        <v>30</v>
      </c>
      <c r="D45" s="4" t="s">
        <v>63</v>
      </c>
      <c r="E45">
        <v>1</v>
      </c>
    </row>
    <row r="46" spans="1:5" x14ac:dyDescent="0.4">
      <c r="A46" s="7" t="s">
        <v>5</v>
      </c>
      <c r="B46" s="7" t="s">
        <v>57</v>
      </c>
      <c r="C46" s="4" t="s">
        <v>31</v>
      </c>
      <c r="D46" s="4" t="s">
        <v>63</v>
      </c>
      <c r="E46">
        <v>1</v>
      </c>
    </row>
    <row r="47" spans="1:5" x14ac:dyDescent="0.4">
      <c r="A47" s="11" t="s">
        <v>5</v>
      </c>
      <c r="B47" s="11" t="s">
        <v>67</v>
      </c>
      <c r="C47" s="4" t="s">
        <v>16</v>
      </c>
      <c r="D47" s="4" t="s">
        <v>63</v>
      </c>
      <c r="E47" s="10">
        <f>1*0.27</f>
        <v>0.27</v>
      </c>
    </row>
    <row r="48" spans="1:5" x14ac:dyDescent="0.4">
      <c r="A48" s="11" t="s">
        <v>5</v>
      </c>
      <c r="B48" s="11" t="s">
        <v>67</v>
      </c>
      <c r="C48" s="4" t="s">
        <v>36</v>
      </c>
      <c r="D48" s="4" t="s">
        <v>63</v>
      </c>
      <c r="E48" s="10">
        <f t="shared" ref="E48:E56" si="0">1*0.27</f>
        <v>0.27</v>
      </c>
    </row>
    <row r="49" spans="1:5" x14ac:dyDescent="0.4">
      <c r="A49" s="11" t="s">
        <v>5</v>
      </c>
      <c r="B49" s="11" t="s">
        <v>67</v>
      </c>
      <c r="C49" s="4" t="s">
        <v>27</v>
      </c>
      <c r="D49" s="4" t="s">
        <v>63</v>
      </c>
      <c r="E49" s="10">
        <f t="shared" si="0"/>
        <v>0.27</v>
      </c>
    </row>
    <row r="50" spans="1:5" x14ac:dyDescent="0.4">
      <c r="A50" s="11" t="s">
        <v>5</v>
      </c>
      <c r="B50" s="11" t="s">
        <v>67</v>
      </c>
      <c r="C50" s="4" t="s">
        <v>28</v>
      </c>
      <c r="D50" s="4" t="s">
        <v>63</v>
      </c>
      <c r="E50" s="10">
        <f t="shared" si="0"/>
        <v>0.27</v>
      </c>
    </row>
    <row r="51" spans="1:5" x14ac:dyDescent="0.4">
      <c r="A51" s="11" t="s">
        <v>5</v>
      </c>
      <c r="B51" s="11" t="s">
        <v>67</v>
      </c>
      <c r="C51" s="4" t="s">
        <v>33</v>
      </c>
      <c r="D51" s="4" t="s">
        <v>63</v>
      </c>
      <c r="E51" s="10">
        <f t="shared" si="0"/>
        <v>0.27</v>
      </c>
    </row>
    <row r="52" spans="1:5" x14ac:dyDescent="0.4">
      <c r="A52" s="11" t="s">
        <v>5</v>
      </c>
      <c r="B52" s="11" t="s">
        <v>67</v>
      </c>
      <c r="C52" s="4" t="s">
        <v>16</v>
      </c>
      <c r="D52" s="4" t="s">
        <v>63</v>
      </c>
      <c r="E52" s="10">
        <f t="shared" si="0"/>
        <v>0.27</v>
      </c>
    </row>
    <row r="53" spans="1:5" x14ac:dyDescent="0.4">
      <c r="A53" s="11" t="s">
        <v>5</v>
      </c>
      <c r="B53" s="11" t="s">
        <v>67</v>
      </c>
      <c r="C53" s="4" t="s">
        <v>36</v>
      </c>
      <c r="D53" s="4" t="s">
        <v>63</v>
      </c>
      <c r="E53" s="10">
        <f t="shared" si="0"/>
        <v>0.27</v>
      </c>
    </row>
    <row r="54" spans="1:5" x14ac:dyDescent="0.4">
      <c r="A54" s="11" t="s">
        <v>5</v>
      </c>
      <c r="B54" s="11" t="s">
        <v>67</v>
      </c>
      <c r="C54" s="4" t="s">
        <v>27</v>
      </c>
      <c r="D54" s="4" t="s">
        <v>63</v>
      </c>
      <c r="E54" s="10">
        <f t="shared" si="0"/>
        <v>0.27</v>
      </c>
    </row>
    <row r="55" spans="1:5" x14ac:dyDescent="0.4">
      <c r="A55" s="11" t="s">
        <v>5</v>
      </c>
      <c r="B55" s="11" t="s">
        <v>67</v>
      </c>
      <c r="C55" s="4" t="s">
        <v>28</v>
      </c>
      <c r="D55" s="4" t="s">
        <v>63</v>
      </c>
      <c r="E55" s="10">
        <f t="shared" si="0"/>
        <v>0.27</v>
      </c>
    </row>
    <row r="56" spans="1:5" x14ac:dyDescent="0.4">
      <c r="A56" s="11" t="s">
        <v>5</v>
      </c>
      <c r="B56" s="11" t="s">
        <v>67</v>
      </c>
      <c r="C56" s="4" t="s">
        <v>33</v>
      </c>
      <c r="D56" s="4" t="s">
        <v>63</v>
      </c>
      <c r="E56" s="10">
        <f t="shared" si="0"/>
        <v>0.27</v>
      </c>
    </row>
    <row r="57" spans="1:5" x14ac:dyDescent="0.4">
      <c r="A57" s="11" t="s">
        <v>5</v>
      </c>
      <c r="B57" s="11" t="s">
        <v>67</v>
      </c>
      <c r="C57" s="4" t="s">
        <v>17</v>
      </c>
      <c r="D57" s="4" t="s">
        <v>63</v>
      </c>
      <c r="E57" s="10">
        <f>29.8*0.27</f>
        <v>8.0460000000000012</v>
      </c>
    </row>
    <row r="58" spans="1:5" x14ac:dyDescent="0.4">
      <c r="A58" s="11" t="s">
        <v>5</v>
      </c>
      <c r="B58" s="11" t="s">
        <v>67</v>
      </c>
      <c r="C58" s="4" t="s">
        <v>19</v>
      </c>
      <c r="D58" s="4" t="s">
        <v>63</v>
      </c>
      <c r="E58" s="10">
        <f t="shared" ref="E58:E67" si="1">29.8*0.27</f>
        <v>8.0460000000000012</v>
      </c>
    </row>
    <row r="59" spans="1:5" x14ac:dyDescent="0.4">
      <c r="A59" s="11" t="s">
        <v>5</v>
      </c>
      <c r="B59" s="11" t="s">
        <v>67</v>
      </c>
      <c r="C59" s="4" t="s">
        <v>20</v>
      </c>
      <c r="D59" s="4" t="s">
        <v>63</v>
      </c>
      <c r="E59" s="10">
        <f t="shared" si="1"/>
        <v>8.0460000000000012</v>
      </c>
    </row>
    <row r="60" spans="1:5" x14ac:dyDescent="0.4">
      <c r="A60" s="11" t="s">
        <v>5</v>
      </c>
      <c r="B60" s="11" t="s">
        <v>67</v>
      </c>
      <c r="C60" s="4" t="s">
        <v>21</v>
      </c>
      <c r="D60" s="4" t="s">
        <v>63</v>
      </c>
      <c r="E60" s="10">
        <f t="shared" si="1"/>
        <v>8.0460000000000012</v>
      </c>
    </row>
    <row r="61" spans="1:5" x14ac:dyDescent="0.4">
      <c r="A61" s="11" t="s">
        <v>5</v>
      </c>
      <c r="B61" s="11" t="s">
        <v>67</v>
      </c>
      <c r="C61" s="4" t="s">
        <v>22</v>
      </c>
      <c r="D61" s="4" t="s">
        <v>63</v>
      </c>
      <c r="E61" s="10">
        <f t="shared" si="1"/>
        <v>8.0460000000000012</v>
      </c>
    </row>
    <row r="62" spans="1:5" x14ac:dyDescent="0.4">
      <c r="A62" s="11" t="s">
        <v>5</v>
      </c>
      <c r="B62" s="11" t="s">
        <v>67</v>
      </c>
      <c r="C62" s="4" t="s">
        <v>23</v>
      </c>
      <c r="D62" s="4" t="s">
        <v>63</v>
      </c>
      <c r="E62" s="10">
        <f t="shared" si="1"/>
        <v>8.0460000000000012</v>
      </c>
    </row>
    <row r="63" spans="1:5" x14ac:dyDescent="0.4">
      <c r="A63" s="11" t="s">
        <v>5</v>
      </c>
      <c r="B63" s="11" t="s">
        <v>67</v>
      </c>
      <c r="C63" s="4" t="s">
        <v>24</v>
      </c>
      <c r="D63" s="4" t="s">
        <v>63</v>
      </c>
      <c r="E63" s="10">
        <f t="shared" si="1"/>
        <v>8.0460000000000012</v>
      </c>
    </row>
    <row r="64" spans="1:5" x14ac:dyDescent="0.4">
      <c r="A64" s="11" t="s">
        <v>5</v>
      </c>
      <c r="B64" s="11" t="s">
        <v>67</v>
      </c>
      <c r="C64" s="4" t="s">
        <v>25</v>
      </c>
      <c r="D64" s="4" t="s">
        <v>63</v>
      </c>
      <c r="E64" s="10">
        <f t="shared" si="1"/>
        <v>8.0460000000000012</v>
      </c>
    </row>
    <row r="65" spans="1:6" x14ac:dyDescent="0.4">
      <c r="A65" s="11" t="s">
        <v>5</v>
      </c>
      <c r="B65" s="11" t="s">
        <v>67</v>
      </c>
      <c r="C65" s="4" t="s">
        <v>26</v>
      </c>
      <c r="D65" s="4" t="s">
        <v>63</v>
      </c>
      <c r="E65" s="10">
        <f t="shared" si="1"/>
        <v>8.0460000000000012</v>
      </c>
    </row>
    <row r="66" spans="1:6" x14ac:dyDescent="0.4">
      <c r="A66" s="11" t="s">
        <v>5</v>
      </c>
      <c r="B66" s="11" t="s">
        <v>67</v>
      </c>
      <c r="C66" s="4" t="s">
        <v>32</v>
      </c>
      <c r="D66" s="4" t="s">
        <v>63</v>
      </c>
      <c r="E66" s="10">
        <f t="shared" si="1"/>
        <v>8.0460000000000012</v>
      </c>
    </row>
    <row r="67" spans="1:6" x14ac:dyDescent="0.4">
      <c r="A67" s="11" t="s">
        <v>5</v>
      </c>
      <c r="B67" s="11" t="s">
        <v>67</v>
      </c>
      <c r="C67" s="4" t="s">
        <v>35</v>
      </c>
      <c r="D67" s="4" t="s">
        <v>63</v>
      </c>
      <c r="E67" s="10">
        <f t="shared" si="1"/>
        <v>8.0460000000000012</v>
      </c>
    </row>
    <row r="68" spans="1:6" x14ac:dyDescent="0.4">
      <c r="A68" s="11" t="s">
        <v>5</v>
      </c>
      <c r="B68" s="11" t="s">
        <v>67</v>
      </c>
      <c r="C68" s="4" t="s">
        <v>34</v>
      </c>
      <c r="D68" s="4" t="s">
        <v>63</v>
      </c>
      <c r="E68" s="10">
        <f>273*0.27</f>
        <v>73.710000000000008</v>
      </c>
    </row>
    <row r="69" spans="1:6" x14ac:dyDescent="0.4">
      <c r="A69" s="11" t="s">
        <v>5</v>
      </c>
      <c r="B69" s="11" t="s">
        <v>67</v>
      </c>
      <c r="C69" s="4" t="s">
        <v>18</v>
      </c>
      <c r="D69" s="4" t="s">
        <v>63</v>
      </c>
      <c r="E69" s="10">
        <f>273*0.27</f>
        <v>73.710000000000008</v>
      </c>
    </row>
    <row r="70" spans="1:6" x14ac:dyDescent="0.4">
      <c r="A70" s="11" t="s">
        <v>5</v>
      </c>
      <c r="B70" s="11" t="s">
        <v>67</v>
      </c>
      <c r="C70" s="4" t="s">
        <v>29</v>
      </c>
      <c r="D70" s="4" t="s">
        <v>63</v>
      </c>
      <c r="E70" s="10">
        <f>25200*0.27</f>
        <v>6804</v>
      </c>
    </row>
    <row r="71" spans="1:6" x14ac:dyDescent="0.4">
      <c r="A71" s="11" t="s">
        <v>5</v>
      </c>
      <c r="B71" s="11" t="s">
        <v>67</v>
      </c>
      <c r="C71" s="4" t="s">
        <v>30</v>
      </c>
      <c r="D71" s="4" t="s">
        <v>63</v>
      </c>
      <c r="E71" s="10">
        <f>1*0.27</f>
        <v>0.27</v>
      </c>
    </row>
    <row r="72" spans="1:6" x14ac:dyDescent="0.4">
      <c r="A72" s="11" t="s">
        <v>5</v>
      </c>
      <c r="B72" s="11" t="s">
        <v>67</v>
      </c>
      <c r="C72" s="4" t="s">
        <v>31</v>
      </c>
      <c r="D72" s="4" t="s">
        <v>63</v>
      </c>
      <c r="E72" s="10">
        <f t="shared" ref="E72" si="2">1*0.27</f>
        <v>0.27</v>
      </c>
    </row>
    <row r="73" spans="1:6" x14ac:dyDescent="0.4">
      <c r="A73" s="7" t="s">
        <v>4</v>
      </c>
      <c r="B73" s="11" t="s">
        <v>67</v>
      </c>
      <c r="C73" s="4" t="s">
        <v>37</v>
      </c>
      <c r="D73" s="4" t="s">
        <v>65</v>
      </c>
      <c r="E73" s="10">
        <f>(1*0.88)*1000000</f>
        <v>880000</v>
      </c>
      <c r="F73" s="14"/>
    </row>
    <row r="74" spans="1:6" x14ac:dyDescent="0.4">
      <c r="A74" s="7" t="s">
        <v>4</v>
      </c>
      <c r="B74" s="11" t="s">
        <v>67</v>
      </c>
      <c r="C74" s="4" t="s">
        <v>38</v>
      </c>
      <c r="D74" s="4" t="s">
        <v>65</v>
      </c>
      <c r="E74" s="10">
        <f t="shared" ref="E74:E85" si="3">(1*0.88)*1000000</f>
        <v>880000</v>
      </c>
    </row>
    <row r="75" spans="1:6" x14ac:dyDescent="0.4">
      <c r="A75" s="7" t="s">
        <v>4</v>
      </c>
      <c r="B75" s="11" t="s">
        <v>67</v>
      </c>
      <c r="C75" s="4" t="s">
        <v>39</v>
      </c>
      <c r="D75" s="4" t="s">
        <v>65</v>
      </c>
      <c r="E75" s="10">
        <f t="shared" si="3"/>
        <v>880000</v>
      </c>
    </row>
    <row r="76" spans="1:6" x14ac:dyDescent="0.4">
      <c r="A76" s="7" t="s">
        <v>4</v>
      </c>
      <c r="B76" s="11" t="s">
        <v>67</v>
      </c>
      <c r="C76" s="4" t="s">
        <v>40</v>
      </c>
      <c r="D76" s="4" t="s">
        <v>65</v>
      </c>
      <c r="E76" s="10">
        <f t="shared" si="3"/>
        <v>880000</v>
      </c>
    </row>
    <row r="77" spans="1:6" x14ac:dyDescent="0.4">
      <c r="A77" s="7" t="s">
        <v>4</v>
      </c>
      <c r="B77" s="11" t="s">
        <v>67</v>
      </c>
      <c r="C77" s="4" t="s">
        <v>41</v>
      </c>
      <c r="D77" s="4" t="s">
        <v>65</v>
      </c>
      <c r="E77" s="10">
        <f t="shared" si="3"/>
        <v>880000</v>
      </c>
    </row>
    <row r="78" spans="1:6" x14ac:dyDescent="0.4">
      <c r="A78" s="7" t="s">
        <v>4</v>
      </c>
      <c r="B78" s="11" t="s">
        <v>67</v>
      </c>
      <c r="C78" s="4" t="s">
        <v>42</v>
      </c>
      <c r="D78" s="4" t="s">
        <v>65</v>
      </c>
      <c r="E78" s="10">
        <f t="shared" si="3"/>
        <v>880000</v>
      </c>
    </row>
    <row r="79" spans="1:6" x14ac:dyDescent="0.4">
      <c r="A79" s="7" t="s">
        <v>4</v>
      </c>
      <c r="B79" s="11" t="s">
        <v>67</v>
      </c>
      <c r="C79" s="4" t="s">
        <v>43</v>
      </c>
      <c r="D79" s="4" t="s">
        <v>65</v>
      </c>
      <c r="E79" s="10">
        <f t="shared" si="3"/>
        <v>880000</v>
      </c>
    </row>
    <row r="80" spans="1:6" x14ac:dyDescent="0.4">
      <c r="A80" s="7" t="s">
        <v>4</v>
      </c>
      <c r="B80" s="11" t="s">
        <v>67</v>
      </c>
      <c r="C80" s="4" t="s">
        <v>44</v>
      </c>
      <c r="D80" s="4" t="s">
        <v>65</v>
      </c>
      <c r="E80" s="10">
        <f t="shared" si="3"/>
        <v>880000</v>
      </c>
    </row>
    <row r="81" spans="1:5" x14ac:dyDescent="0.4">
      <c r="A81" s="7" t="s">
        <v>4</v>
      </c>
      <c r="B81" s="11" t="s">
        <v>67</v>
      </c>
      <c r="C81" s="4" t="s">
        <v>45</v>
      </c>
      <c r="D81" s="4" t="s">
        <v>65</v>
      </c>
      <c r="E81" s="10">
        <f t="shared" si="3"/>
        <v>880000</v>
      </c>
    </row>
    <row r="82" spans="1:5" x14ac:dyDescent="0.4">
      <c r="A82" s="7" t="s">
        <v>4</v>
      </c>
      <c r="B82" s="11" t="s">
        <v>67</v>
      </c>
      <c r="C82" s="4" t="s">
        <v>46</v>
      </c>
      <c r="D82" s="4" t="s">
        <v>65</v>
      </c>
      <c r="E82" s="10">
        <f t="shared" si="3"/>
        <v>880000</v>
      </c>
    </row>
    <row r="83" spans="1:5" x14ac:dyDescent="0.4">
      <c r="A83" s="7" t="s">
        <v>4</v>
      </c>
      <c r="B83" s="11" t="s">
        <v>67</v>
      </c>
      <c r="C83" s="4" t="s">
        <v>47</v>
      </c>
      <c r="D83" s="4" t="s">
        <v>65</v>
      </c>
      <c r="E83" s="10">
        <f t="shared" si="3"/>
        <v>880000</v>
      </c>
    </row>
    <row r="84" spans="1:5" x14ac:dyDescent="0.4">
      <c r="A84" s="7" t="s">
        <v>4</v>
      </c>
      <c r="B84" s="11" t="s">
        <v>67</v>
      </c>
      <c r="C84" s="4" t="s">
        <v>48</v>
      </c>
      <c r="D84" s="4" t="s">
        <v>65</v>
      </c>
      <c r="E84" s="10">
        <f t="shared" si="3"/>
        <v>880000</v>
      </c>
    </row>
    <row r="85" spans="1:5" x14ac:dyDescent="0.4">
      <c r="A85" s="7" t="s">
        <v>4</v>
      </c>
      <c r="B85" s="11" t="s">
        <v>67</v>
      </c>
      <c r="C85" s="4" t="s">
        <v>49</v>
      </c>
      <c r="D85" s="4" t="s">
        <v>65</v>
      </c>
      <c r="E85" s="10">
        <f t="shared" si="3"/>
        <v>880000</v>
      </c>
    </row>
    <row r="86" spans="1:5" s="10" customFormat="1" x14ac:dyDescent="0.4">
      <c r="A86" s="7" t="s">
        <v>4</v>
      </c>
      <c r="B86" s="11" t="s">
        <v>67</v>
      </c>
      <c r="C86" s="4" t="s">
        <v>68</v>
      </c>
      <c r="D86" s="4" t="s">
        <v>65</v>
      </c>
      <c r="E86" s="10">
        <f>(1*0.17)*1000000</f>
        <v>170000</v>
      </c>
    </row>
    <row r="87" spans="1:5" s="10" customFormat="1" x14ac:dyDescent="0.4">
      <c r="A87" s="7" t="s">
        <v>4</v>
      </c>
      <c r="B87" s="11" t="s">
        <v>67</v>
      </c>
      <c r="C87" s="4" t="s">
        <v>72</v>
      </c>
      <c r="D87" s="4" t="s">
        <v>65</v>
      </c>
      <c r="E87" s="10">
        <f>(1*0.17)*1000000</f>
        <v>170000</v>
      </c>
    </row>
    <row r="88" spans="1:5" x14ac:dyDescent="0.4">
      <c r="A88" s="7" t="s">
        <v>4</v>
      </c>
      <c r="B88" s="11" t="s">
        <v>67</v>
      </c>
      <c r="C88" s="12" t="s">
        <v>69</v>
      </c>
      <c r="D88" s="4" t="s">
        <v>65</v>
      </c>
      <c r="E88" s="10">
        <f>(1*0.4)*1000000</f>
        <v>400000</v>
      </c>
    </row>
    <row r="89" spans="1:5" x14ac:dyDescent="0.4">
      <c r="A89" s="7" t="s">
        <v>4</v>
      </c>
      <c r="B89" s="11" t="s">
        <v>67</v>
      </c>
      <c r="C89" s="12" t="s">
        <v>70</v>
      </c>
      <c r="D89" s="4" t="s">
        <v>65</v>
      </c>
      <c r="E89" s="10">
        <f t="shared" ref="E89:E90" si="4">(1*0.4)*1000000</f>
        <v>400000</v>
      </c>
    </row>
    <row r="90" spans="1:5" x14ac:dyDescent="0.4">
      <c r="A90" s="7" t="s">
        <v>4</v>
      </c>
      <c r="B90" s="11" t="s">
        <v>67</v>
      </c>
      <c r="C90" s="12" t="s">
        <v>71</v>
      </c>
      <c r="D90" s="4" t="s">
        <v>65</v>
      </c>
      <c r="E90" s="10">
        <f t="shared" si="4"/>
        <v>400000</v>
      </c>
    </row>
    <row r="91" spans="1:5" x14ac:dyDescent="0.4">
      <c r="A91" s="7" t="s">
        <v>4</v>
      </c>
      <c r="B91" s="11" t="s">
        <v>67</v>
      </c>
      <c r="C91" s="15" t="s">
        <v>50</v>
      </c>
      <c r="D91" s="4" t="s">
        <v>65</v>
      </c>
      <c r="E91" s="10">
        <f>(1*0.95)*1000000</f>
        <v>950000</v>
      </c>
    </row>
    <row r="92" spans="1:5" x14ac:dyDescent="0.4">
      <c r="A92" s="11" t="s">
        <v>6</v>
      </c>
      <c r="B92" s="11" t="s">
        <v>59</v>
      </c>
      <c r="C92" s="1" t="s">
        <v>51</v>
      </c>
      <c r="D92" s="1" t="s">
        <v>66</v>
      </c>
      <c r="E92">
        <v>1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90EF-DE90-47BF-B8CD-C4AE8A165117}">
  <dimension ref="A1:E5"/>
  <sheetViews>
    <sheetView workbookViewId="0">
      <selection sqref="A1:E5"/>
    </sheetView>
  </sheetViews>
  <sheetFormatPr baseColWidth="10" defaultRowHeight="14.6" x14ac:dyDescent="0.4"/>
  <sheetData>
    <row r="1" spans="1:5" x14ac:dyDescent="0.4">
      <c r="A1" s="7" t="s">
        <v>5</v>
      </c>
      <c r="B1" s="7" t="s">
        <v>55</v>
      </c>
      <c r="C1" s="4" t="s">
        <v>16</v>
      </c>
      <c r="D1" s="4" t="s">
        <v>63</v>
      </c>
      <c r="E1" s="8">
        <v>1</v>
      </c>
    </row>
    <row r="2" spans="1:5" x14ac:dyDescent="0.4">
      <c r="A2" s="7" t="s">
        <v>5</v>
      </c>
      <c r="B2" s="7" t="s">
        <v>55</v>
      </c>
      <c r="C2" s="4" t="s">
        <v>36</v>
      </c>
      <c r="D2" s="4" t="s">
        <v>63</v>
      </c>
      <c r="E2" s="8">
        <v>1</v>
      </c>
    </row>
    <row r="3" spans="1:5" x14ac:dyDescent="0.4">
      <c r="A3" s="7" t="s">
        <v>5</v>
      </c>
      <c r="B3" s="7" t="s">
        <v>55</v>
      </c>
      <c r="C3" s="4" t="s">
        <v>27</v>
      </c>
      <c r="D3" s="4" t="s">
        <v>63</v>
      </c>
      <c r="E3" s="8">
        <v>1</v>
      </c>
    </row>
    <row r="4" spans="1:5" x14ac:dyDescent="0.4">
      <c r="A4" s="7" t="s">
        <v>5</v>
      </c>
      <c r="B4" s="7" t="s">
        <v>55</v>
      </c>
      <c r="C4" s="4" t="s">
        <v>28</v>
      </c>
      <c r="D4" s="4" t="s">
        <v>63</v>
      </c>
      <c r="E4" s="8">
        <v>1</v>
      </c>
    </row>
    <row r="5" spans="1:5" x14ac:dyDescent="0.4">
      <c r="A5" s="7" t="s">
        <v>5</v>
      </c>
      <c r="B5" s="7" t="s">
        <v>55</v>
      </c>
      <c r="C5" s="4" t="s">
        <v>33</v>
      </c>
      <c r="D5" s="4" t="s">
        <v>63</v>
      </c>
      <c r="E5" s="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D093-8CF0-451E-9E06-02EB1F70D6E7}"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synthèse MSA</vt:lpstr>
      <vt:lpstr>synthèse</vt:lpstr>
      <vt:lpstr>synthèse v3</vt:lpstr>
      <vt:lpstr>synthèse v2</vt:lpstr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2026-08-18T12:44:54Z</dcterms:modified>
</cp:coreProperties>
</file>