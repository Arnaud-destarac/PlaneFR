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593C9AF9-A693-4768-A589-F129895F6C2E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1" r:id="rId1"/>
    <sheet name="synthèse MSA" sheetId="2" r:id="rId2"/>
    <sheet name="synthèse v3" sheetId="3" r:id="rId3"/>
    <sheet name="synthèse v2" sheetId="4" r:id="rId4"/>
    <sheet name="Feuil1" sheetId="5" r:id="rId5"/>
    <sheet name="Feuil2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9" i="1" l="1"/>
  <c r="E140" i="1"/>
  <c r="E141" i="1"/>
  <c r="E142" i="1"/>
  <c r="E143" i="1"/>
  <c r="E144" i="1"/>
  <c r="E145" i="1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284" i="1"/>
  <c r="E283" i="1"/>
  <c r="E282" i="1"/>
  <c r="E281" i="1"/>
  <c r="E280" i="1"/>
  <c r="E278" i="1"/>
  <c r="E277" i="1"/>
  <c r="E276" i="1"/>
</calcChain>
</file>

<file path=xl/sharedStrings.xml><?xml version="1.0" encoding="utf-8"?>
<sst xmlns="http://schemas.openxmlformats.org/spreadsheetml/2006/main" count="4224" uniqueCount="498">
  <si>
    <t>Processus du système Terre</t>
  </si>
  <si>
    <t>Sous-processus</t>
  </si>
  <si>
    <t>Extensions exiobase</t>
  </si>
  <si>
    <t>Unité</t>
  </si>
  <si>
    <t>Facteurs de caractérisation</t>
  </si>
  <si>
    <t>biogeochemical</t>
  </si>
  <si>
    <t>N surplus</t>
  </si>
  <si>
    <t>N - agriculture - water</t>
  </si>
  <si>
    <t>kg</t>
  </si>
  <si>
    <t>NH3 - agriculture - air</t>
  </si>
  <si>
    <t>N2O - agriculture - air</t>
  </si>
  <si>
    <t>NOX - agriculture - air</t>
  </si>
  <si>
    <t>P surplus</t>
  </si>
  <si>
    <t>P - agriculture - water</t>
  </si>
  <si>
    <t>P - agriculture - soil</t>
  </si>
  <si>
    <t>water</t>
  </si>
  <si>
    <t>Blue water consumption</t>
  </si>
  <si>
    <t>Water Consumption Blue - Agriculture - rice</t>
  </si>
  <si>
    <t>Mm3</t>
  </si>
  <si>
    <t>Water Consumption Blue - Agriculture - wheat</t>
  </si>
  <si>
    <t>Water Consumption Blue - Agriculture - other cereals</t>
  </si>
  <si>
    <t>Water Consumption Blue - Agriculture - roots and tubers</t>
  </si>
  <si>
    <t>Water Consumption Blue - Agriculture - sugar crops</t>
  </si>
  <si>
    <t>Water Consumption Blue - Agriculture - pulses</t>
  </si>
  <si>
    <t>Water Consumption Blue - Agriculture - nuts</t>
  </si>
  <si>
    <t>Water Consumption Blue - Agriculture - oil crops</t>
  </si>
  <si>
    <t>Water Consumption Blue - Agriculture - vegetables</t>
  </si>
  <si>
    <t>Water Consumption Blue - Agriculture - fruits</t>
  </si>
  <si>
    <t>Water Consumption Blue - Agriculture - fibres</t>
  </si>
  <si>
    <t>Water Consumption Blue - Agriculture - other crops</t>
  </si>
  <si>
    <t>Water Consumption Blue - Agriculture - fodder crops</t>
  </si>
  <si>
    <t>Water Consumption Blue - Livestock - dairy cattle</t>
  </si>
  <si>
    <t>Water Consumption Blue - Livestock - nondairy cattle</t>
  </si>
  <si>
    <t>Water Consumption Blue - Livestock - pigs</t>
  </si>
  <si>
    <t>Water Consumption Blue - Livestock - sheep</t>
  </si>
  <si>
    <t>Water Consumption Blue - Livestock - goats</t>
  </si>
  <si>
    <t>Water Consumption Blue - Livestock - buffaloes</t>
  </si>
  <si>
    <t>Water Consumption Blue - Livestock - camels</t>
  </si>
  <si>
    <t>Water Consumption Blue - Livestock - horses</t>
  </si>
  <si>
    <t>Water Consumption Blue - Livestock - chicken</t>
  </si>
  <si>
    <t>Water Consumption Blue - Livestock - turkeys</t>
  </si>
  <si>
    <t>Water Consumption Blue - Livestock - ducks</t>
  </si>
  <si>
    <t>Water Consumption Blue - Livestock - geese</t>
  </si>
  <si>
    <t>Water Consumption Blue - Manufacturing - Products of meat cattle</t>
  </si>
  <si>
    <t>Water Consumption Blue - Manufacturing - Products of meat pigs</t>
  </si>
  <si>
    <t>Water Consumption Blue - Manufacturing - Products of meat poultry</t>
  </si>
  <si>
    <t>Water Consumption Blue - Manufacturing - Meat products nec</t>
  </si>
  <si>
    <t>Water Consumption Blue - Manufacturing - products of Vegetable oils and fats</t>
  </si>
  <si>
    <t>Water Consumption Blue - Manufacturing - Dairy products</t>
  </si>
  <si>
    <t>Water Consumption Blue - Manufacturing - Processed rice</t>
  </si>
  <si>
    <t>Water Consumption Blue - Manufacturing - Sugar</t>
  </si>
  <si>
    <t>Water Consumption Blue - Manufacturing - Food products nec</t>
  </si>
  <si>
    <t>Water Consumption Blue - Manufacturing - Beverages</t>
  </si>
  <si>
    <t>Water Consumption Blue - Manufacturing - Fish products</t>
  </si>
  <si>
    <t>Water Consumption Blue - Manufacturing - Tobacco products (16)</t>
  </si>
  <si>
    <t>Water Consumption Blue - Manufacturing - Textiles (17)</t>
  </si>
  <si>
    <t>Water Consumption Blue - Manufacturing - Wearing apparel; furs (18)</t>
  </si>
  <si>
    <t>Water Consumption Blue - Manufacturing - Leather and leather products (19)</t>
  </si>
  <si>
    <t>Water Consumption Blue - Manufacturing - Pulp</t>
  </si>
  <si>
    <t>Water Consumption Blue - Manufacturing - Secondary paper for treatment, Re-processing of secondary paper into new pulp</t>
  </si>
  <si>
    <t>Water Consumption Blue - Manufacturing - Paper and paper products</t>
  </si>
  <si>
    <t>Water Consumption Blue - Manufacturing - Printed matter and recorded media (22)</t>
  </si>
  <si>
    <t>Water Consumption Blue - Manufacturing - Plastics, basic</t>
  </si>
  <si>
    <t>Water Consumption Blue - Manufacturing - Secondary plastic for treatment, Re-processing of secondary plastic into new plastic</t>
  </si>
  <si>
    <t>Water Consumption Blue - Manufacturing - N-fertiliser</t>
  </si>
  <si>
    <t>Water Consumption Blue - Manufacturing - P- and other fertiliser</t>
  </si>
  <si>
    <t>Water Consumption Blue - Manufacturing - Chemicals nec</t>
  </si>
  <si>
    <t>Water Consumption Blue - Manufacturing - Rubber and plastic products (25)</t>
  </si>
  <si>
    <t>Water Consumption Blue - Manufacturing - Glass and glass products</t>
  </si>
  <si>
    <t>Water Consumption Blue - Manufacturing - Secondary glass for treatment, Re-processing of secondary glass into new glass</t>
  </si>
  <si>
    <t>Water Consumption Blue - Manufacturing - Ceramic goods</t>
  </si>
  <si>
    <t>Water Consumption Blue - Manufacturing - Bricks, tiles and construction products, in baked clay</t>
  </si>
  <si>
    <t>Water Consumption Blue - Manufacturing - Cement, lime and plaster</t>
  </si>
  <si>
    <t>Water Consumption Blue - Manufacturing - Ash for treatment, Re-processing of ash into clinker</t>
  </si>
  <si>
    <t>Water Consumption Blue - Manufacturing - Other non-metallic mineral products</t>
  </si>
  <si>
    <t>Water Consumption Blue - Manufacturing - Basic iron and steel and of ferro-alloys and first products thereof</t>
  </si>
  <si>
    <t>Water Consumption Blue - Manufacturing - Secondary steel for treatment, Re-processing of secondary steel into new steel</t>
  </si>
  <si>
    <t>Water Consumption Blue - Manufacturing - Precious metals</t>
  </si>
  <si>
    <t>Water Consumption Blue - Manufacturing - Secondary preciuos metals for treatment, Re-processing of secondary preciuos metals into new preciuos metals</t>
  </si>
  <si>
    <t>Water Consumption Blue - Manufacturing - Aluminium and aluminium products</t>
  </si>
  <si>
    <t>Water Consumption Blue - Manufacturing - Secondary aluminium for treatment, Re-processing of secondary aluminium into new aluminium</t>
  </si>
  <si>
    <t>Water Consumption Blue - Manufacturing - Lead, zinc and tin and products thereof</t>
  </si>
  <si>
    <t>Water Consumption Blue - Manufacturing - Secondary lead for treatment, Re-processing of secondary lead into new lead</t>
  </si>
  <si>
    <t>Water Consumption Blue - Manufacturing - Copper products</t>
  </si>
  <si>
    <t>Water Consumption Blue - Manufacturing - Secondary copper for treatment, Re-processing of secondary copper into new copper</t>
  </si>
  <si>
    <t>Water Consumption Blue - Manufacturing - Other non-ferrous metal products</t>
  </si>
  <si>
    <t>Water Consumption Blue - Manufacturing - Secondary other non-ferrous metals for treatment, Re-processing of secondary other non-ferrous metals into new other non-ferrous metals</t>
  </si>
  <si>
    <t>Water Consumption Blue - Manufacturing - Fabricated metal products, except machinery and equipment (28)</t>
  </si>
  <si>
    <t>Water Consumption Blue - Manufacturing - Machinery and equipment n.e.c. (29)</t>
  </si>
  <si>
    <t>Water Consumption Blue - Manufacturing - Office machinery and computers (30)</t>
  </si>
  <si>
    <t>Water Consumption Blue - Manufacturing - Electrical machinery and apparatus n.e.c. (31)</t>
  </si>
  <si>
    <t>Water Consumption Blue - Manufacturing - Radio, television and communication equipment and apparatus (32)</t>
  </si>
  <si>
    <t>Water Consumption Blue - Manufacturing - Medical, precision and optical instruments, watches and clocks (33)</t>
  </si>
  <si>
    <t>Water Consumption Blue - Manufacturing - Motor vehicles, trailers and semi-trailers (34)</t>
  </si>
  <si>
    <t>Water Consumption Blue - Manufacturing - Other transport equipment (35)</t>
  </si>
  <si>
    <t>Water Consumption Blue - Manufacturing - Furniture; other manufactured goods n.e.c. (36)</t>
  </si>
  <si>
    <t>Water Consumption Blue - Electricity - tower - Electricity by coal</t>
  </si>
  <si>
    <t>Water Consumption Blue - Electricity - tower - Electricity by gas</t>
  </si>
  <si>
    <t>Water Consumption Blue - Electricity - tower - Electricity by nuclear</t>
  </si>
  <si>
    <t>Water Consumption Blue - Electricity - tower - Electricity by hydro</t>
  </si>
  <si>
    <t>Water Consumption Blue - Electricity - tower - Electricity by wind</t>
  </si>
  <si>
    <t>Water Consumption Blue - Electricity - tower - Electricity by petroleum and other oil derivatives</t>
  </si>
  <si>
    <t>Water Consumption Blue - Electricity - tower - Electricity by biomass and waste</t>
  </si>
  <si>
    <t>Water Consumption Blue - Electricity - tower - Electricity by solar photovoltaic</t>
  </si>
  <si>
    <t>Water Consumption Blue - Electricity - tower - Electricity by solar thermal</t>
  </si>
  <si>
    <t>Water Consumption Blue - Electricity - tower - Electricity by tide, wave, ocean</t>
  </si>
  <si>
    <t>Water Consumption Blue - Electricity - tower - Electricity by Geothermal</t>
  </si>
  <si>
    <t>Water Consumption Blue - Electricity - tower - Electricity nec</t>
  </si>
  <si>
    <t>Water Consumption Blue - Electricity - once-through - Electricity by coal</t>
  </si>
  <si>
    <t>Water Consumption Blue - Electricity - once-through - Electricity by gas</t>
  </si>
  <si>
    <t>Water Consumption Blue - Electricity - once-through - Electricity by nuclear</t>
  </si>
  <si>
    <t>Water Consumption Blue - Electricity - once-through - Electricity by hydro</t>
  </si>
  <si>
    <t>Water Consumption Blue - Electricity - once-through - Electricity by wind</t>
  </si>
  <si>
    <t>Water Consumption Blue - Electricity - once-through - Electricity by petroleum and other oil derivatives</t>
  </si>
  <si>
    <t>Water Consumption Blue - Electricity - once-through - Electricity by biomass and waste</t>
  </si>
  <si>
    <t>Water Consumption Blue - Electricity - once-through - Electricity by solar photovoltaic</t>
  </si>
  <si>
    <t>Water Consumption Blue - Electricity - once-through - Electricity by solar thermal</t>
  </si>
  <si>
    <t>Water Consumption Blue - Electricity - once-through - Electricity by tide, wave, ocean</t>
  </si>
  <si>
    <t>Water Consumption Blue - Electricity - once-through - Electricity by Geothermal</t>
  </si>
  <si>
    <t>Water Consumption Blue - Electricity - once-through - Electricity nec</t>
  </si>
  <si>
    <t>Water Consumption Blue - Domestic - domestic Water Consumption Blue</t>
  </si>
  <si>
    <t>land_use</t>
  </si>
  <si>
    <t>Cropland use</t>
  </si>
  <si>
    <t>Cropland - cropped area - Cereal grains nec</t>
  </si>
  <si>
    <t>km2</t>
  </si>
  <si>
    <t>Cropland - cropped area - Crops nec</t>
  </si>
  <si>
    <t>Cropland - cropped area - Oil seeds</t>
  </si>
  <si>
    <t>Cropland - cropped area - Paddy rice</t>
  </si>
  <si>
    <t>Cropland - cropped area - Plant-based fibers</t>
  </si>
  <si>
    <t>Cropland - cropped area - Sugar cane, sugar beet</t>
  </si>
  <si>
    <t>Cropland - cropped area - Vegetables, fruit, nuts</t>
  </si>
  <si>
    <t>Cropland - cropped area - Wheat</t>
  </si>
  <si>
    <t>Cropland - fallowed area - Cereal grains nec</t>
  </si>
  <si>
    <t>Cropland - fallowed area - Crops nec</t>
  </si>
  <si>
    <t>Cropland - fallowed area - Oil seeds</t>
  </si>
  <si>
    <t>Cropland - fallowed area - Paddy rice</t>
  </si>
  <si>
    <t>Cropland - fallowed area - Plant-based fibers</t>
  </si>
  <si>
    <t>Cropland - fallowed area - Sugar cane, sugar beet</t>
  </si>
  <si>
    <t>Cropland - fallowed area - Vegetables, fruit, nuts</t>
  </si>
  <si>
    <t>Cropland - fallowed area - Wheat</t>
  </si>
  <si>
    <t>Cropland - fallowed area-Cattle</t>
  </si>
  <si>
    <t>Cropland - fallowed area-Meat animals nec</t>
  </si>
  <si>
    <t>Cropland - fallowed area-Pigs</t>
  </si>
  <si>
    <t>Cropland - fallowed area-Poultry</t>
  </si>
  <si>
    <t>Cropland - fallowed area-Raw milk</t>
  </si>
  <si>
    <t>ghg_combustion</t>
  </si>
  <si>
    <t>GHG emissions</t>
  </si>
  <si>
    <t>CO2</t>
  </si>
  <si>
    <t>MtCO2eq</t>
  </si>
  <si>
    <t>ghg_emissions</t>
  </si>
  <si>
    <t>CH4</t>
  </si>
  <si>
    <t>N2O</t>
  </si>
  <si>
    <t>SF6</t>
  </si>
  <si>
    <t>HFC</t>
  </si>
  <si>
    <t>PFC</t>
  </si>
  <si>
    <t>Biodiversity loss</t>
  </si>
  <si>
    <t xml:space="preserve">CO2 </t>
  </si>
  <si>
    <t>Artificial Surfaces</t>
  </si>
  <si>
    <t>Forest</t>
  </si>
  <si>
    <t>Permanent pastures - Grazing-Cattle</t>
  </si>
  <si>
    <t>Permanent pastures - Grazing-Meat animals nec</t>
  </si>
  <si>
    <t>Permanent pastures - Grazing-Raw milk</t>
  </si>
  <si>
    <t>N - waste - water</t>
  </si>
  <si>
    <t>P - waste - water</t>
  </si>
  <si>
    <t>NH3 - combustion - air</t>
  </si>
  <si>
    <t>NH3 - non combustion - N- fertilizer production - air</t>
  </si>
  <si>
    <t>NH3 - waste - air</t>
  </si>
  <si>
    <t>NOX - waste - air</t>
  </si>
  <si>
    <t>NOx - combustion - air</t>
  </si>
  <si>
    <t>NOx - non combustion - Agglomeration plant - pellets - air</t>
  </si>
  <si>
    <t>NOx - non combustion - Agglomeration plant - sinter - air</t>
  </si>
  <si>
    <t>NOx - non combustion - Bricks production - air</t>
  </si>
  <si>
    <t>NOx - non combustion - Cement production - air</t>
  </si>
  <si>
    <t>NOx - non combustion - Chemical wood pulp, dissolving grades - air</t>
  </si>
  <si>
    <t>NOx - non combustion - Chemical wood pulp, soda and sulphate, other than dissolving grades - air</t>
  </si>
  <si>
    <t>NOx - non combustion - Chemical wood pulp, sulphite, other than dissolving grades - air</t>
  </si>
  <si>
    <t>NOx - non combustion - Glass production - air</t>
  </si>
  <si>
    <t>NOx - non combustion - Lime production - air</t>
  </si>
  <si>
    <t>NOx - non combustion - Nickel, unwrought - air</t>
  </si>
  <si>
    <t>NOx - non combustion - Oil refinery - air</t>
  </si>
  <si>
    <t>NOx - non combustion - Pig iron production, blast furnace - air</t>
  </si>
  <si>
    <t>NOx - non combustion - Production of coke oven coke - air</t>
  </si>
  <si>
    <t>NOx - non combustion - Production of gascoke - air</t>
  </si>
  <si>
    <t>NOx - non combustion - Refined copper; unwrought, not alloyed - air</t>
  </si>
  <si>
    <t>NOx - non combustion - Refined lead, unwrought - air</t>
  </si>
  <si>
    <t>NOx - non combustion - Semi-chemical wood pulp, pulp of fibers other than wood - air</t>
  </si>
  <si>
    <t>NOx - non combustion - Steel production: basic oxygen furnace - air</t>
  </si>
  <si>
    <t>NOx - non combustion - Sulphuric acid production - air</t>
  </si>
  <si>
    <t>NOx - non combustion - Unrefined copper; copper anodes for electrolytic refining - air</t>
  </si>
  <si>
    <t>NOx - non combustion - Zinc, unwrought, not alloyed - air</t>
  </si>
  <si>
    <t>SO2 - combustion - air</t>
  </si>
  <si>
    <t>SOx - combustion - air</t>
  </si>
  <si>
    <t>SOx - non combustion - Agglomeration plant - sinter - air</t>
  </si>
  <si>
    <t>SOx - non combustion - Bricks production - air</t>
  </si>
  <si>
    <t>SOx - non combustion - Cement production - air</t>
  </si>
  <si>
    <t>SOx - non combustion - Chemical wood pulp, dissolving grades - air</t>
  </si>
  <si>
    <t>SOx - non combustion - Chemical wood pulp, soda and sulphate, other than dissolving grades - air</t>
  </si>
  <si>
    <t>SOx - non combustion - Chemical wood pulp, sulphite, other than dissolving grades - air</t>
  </si>
  <si>
    <t>SOx - non combustion - Glass production - air</t>
  </si>
  <si>
    <t>SOx - non combustion - Lime production - air</t>
  </si>
  <si>
    <t>SOx - non combustion - Nickel, unwrought - air</t>
  </si>
  <si>
    <t>SOx - non combustion - Oil refinery - air</t>
  </si>
  <si>
    <t>SOx - non combustion - Pig iron production, blast furnace - air</t>
  </si>
  <si>
    <t>SOx - non combustion - Production of coke oven coke - air</t>
  </si>
  <si>
    <t>SOx - non combustion - Production of gascoke - air</t>
  </si>
  <si>
    <t>SOx - non combustion - Refined copper; unwrought, not alloyed - air</t>
  </si>
  <si>
    <t>SOx - non combustion - Refined lead, unwrought - air</t>
  </si>
  <si>
    <t>SOx - non combustion - Semi-chemical wood pulp, pulp of fibers other than wood - air</t>
  </si>
  <si>
    <t>SOx - non combustion - Sulphuric acid production - air</t>
  </si>
  <si>
    <t>SOx - non combustion - Unrefined copper; copper anodes for electrolytic refining - air</t>
  </si>
  <si>
    <t>SOx - non combustion - Zinc, unwrought, not alloyed - air</t>
  </si>
  <si>
    <t>SOx - waste - air</t>
  </si>
  <si>
    <t>As - combustion - air</t>
  </si>
  <si>
    <t>As - non combustion - Agglomeration plant - pellets - air</t>
  </si>
  <si>
    <t>As - non combustion - Agglomeration plant - sinter - air</t>
  </si>
  <si>
    <t>As - non combustion - Glass production - air</t>
  </si>
  <si>
    <t>As - non combustion - Production of coke oven coke - air</t>
  </si>
  <si>
    <t>As - non combustion - Production of gascoke - air</t>
  </si>
  <si>
    <t>As - non combustion - Steel production: basic oxygen furnace - air</t>
  </si>
  <si>
    <t>As - non combustion - Steel production: electric arc furnace - air</t>
  </si>
  <si>
    <t>As - non combustion - Steel production: open hearth furnace - air</t>
  </si>
  <si>
    <t>B(a)P - combustion - air</t>
  </si>
  <si>
    <t>B(a)P - non combustion - Primary aluminium production - air</t>
  </si>
  <si>
    <t>B(a)P - non combustion - Production of coke oven coke - air</t>
  </si>
  <si>
    <t>B(a)P - non combustion - Production of gascoke - air</t>
  </si>
  <si>
    <t>CH4 - agriculture - air</t>
  </si>
  <si>
    <t>CH4 -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</si>
  <si>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</si>
  <si>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</si>
  <si>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</si>
  <si>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</si>
  <si>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</si>
  <si>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</si>
  <si>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</si>
  <si>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</si>
  <si>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CH4 - waste - air</t>
  </si>
  <si>
    <t>CO - combustion - air</t>
  </si>
  <si>
    <t>CO - non combustion - Agglomeration plant - sinter - air</t>
  </si>
  <si>
    <t>CO - non combustion - Bricks production - air</t>
  </si>
  <si>
    <t>CO - non combustion - Carbon black production - air</t>
  </si>
  <si>
    <t>CO - non combustion - Cement production - air</t>
  </si>
  <si>
    <t>CO - non combustion - Chemical wood pulp, dissolving grades - air</t>
  </si>
  <si>
    <t>CO - non combustion - Chemical wood pulp, soda and sulphate, other than dissolving grades - air</t>
  </si>
  <si>
    <t>CO - non combustion - Chemical wood pulp, sulphite, other than dissolving grades - air</t>
  </si>
  <si>
    <t>CO - non combustion - Glass production - air</t>
  </si>
  <si>
    <t>CO - non combustion - Lime production - air</t>
  </si>
  <si>
    <t>CO - non combustion - Oil refinery - air</t>
  </si>
  <si>
    <t>CO - non combustion - Pig iron production, blast furnace - air</t>
  </si>
  <si>
    <t>CO - non combustion - Primary aluminium production - air</t>
  </si>
  <si>
    <t>CO - non combustion - Production of coke oven coke - air</t>
  </si>
  <si>
    <t>CO - non combustion - Production of gascoke - air</t>
  </si>
  <si>
    <t>CO - non combustion - Semi-chemical wood pulp, pulp of fibers other than wood - air</t>
  </si>
  <si>
    <t>CO - non combustion - Steel production: basic oxygen furnace - air</t>
  </si>
  <si>
    <t>CO - non combustion - Steel production: electric arc furnace - air</t>
  </si>
  <si>
    <t>CO - waste - air</t>
  </si>
  <si>
    <t>CO2 - agriculture - peat decay - air</t>
  </si>
  <si>
    <t>CO2 - combustion - air</t>
  </si>
  <si>
    <t>CO2 - non combustion - Cement production - air</t>
  </si>
  <si>
    <t>CO2 - non combustion - Lime production - air</t>
  </si>
  <si>
    <t>CO2 - waste - fossil - air</t>
  </si>
  <si>
    <t>Cd - combustion - air</t>
  </si>
  <si>
    <t>Cd - non combustion - Agglomeration plant - pellets - air</t>
  </si>
  <si>
    <t>Cd - non combustion - Agglomeration plant - sinter - air</t>
  </si>
  <si>
    <t>Cd - non combustion - Glass production - air</t>
  </si>
  <si>
    <t>Cd - non combustion - Nickel, unwrought - air</t>
  </si>
  <si>
    <t>Cd - non combustion - Production of coke oven coke - air</t>
  </si>
  <si>
    <t>Cd - non combustion - Production of gascoke - air</t>
  </si>
  <si>
    <t>Cd - non combustion - Refined copper; unwrought, not alloyed - air</t>
  </si>
  <si>
    <t>Cd - non combustion - Refined lead, unwrought - air</t>
  </si>
  <si>
    <t>Cd - non combustion - Steel production: basic oxygen furnace - air</t>
  </si>
  <si>
    <t>Cd - non combustion - Steel production: electric arc furnace - air</t>
  </si>
  <si>
    <t>Cd - non combustion - Steel production: open hearth furnace - air</t>
  </si>
  <si>
    <t>Cd - non combustion - Unrefined copper; copper anodes for electrolytic refining - air</t>
  </si>
  <si>
    <t>Cd - non combustion - Zinc, unwrought, not alloyed - air</t>
  </si>
  <si>
    <t>Cr - combustion - air</t>
  </si>
  <si>
    <t>Cr - non combustion - Agglomeration plant - pellets - air</t>
  </si>
  <si>
    <t>Cr - non combustion - Agglomeration plant - sinter - air</t>
  </si>
  <si>
    <t>Cr - non combustion - Glass production - air</t>
  </si>
  <si>
    <t>Cr - non combustion - Pig iron production, blast furnace - air</t>
  </si>
  <si>
    <t>Cr - non combustion - Steel production: basic oxygen furnace - air</t>
  </si>
  <si>
    <t>Cr - non combustion - Steel production: electric arc furnace - air</t>
  </si>
  <si>
    <t>Cr - non combustion - Steel production: open hearth furnace - air</t>
  </si>
  <si>
    <t>Cu - combustion - air</t>
  </si>
  <si>
    <t>Cu - non combustion - Agglomeration plant - pellets - air</t>
  </si>
  <si>
    <t>Cu - non combustion - Agglomeration plant - sinter - air</t>
  </si>
  <si>
    <t>Cu - non combustion - Glass production - air</t>
  </si>
  <si>
    <t>Cu - non combustion - Pig iron production, blast furnace - air</t>
  </si>
  <si>
    <t>Cu - non combustion - Steel production: basic oxygen furnace - air</t>
  </si>
  <si>
    <t>Cu - non combustion - Steel production: electric arc furnace - air</t>
  </si>
  <si>
    <t>Cu - non combustion - Steel production: open hearth furnace - air</t>
  </si>
  <si>
    <t>HCB - combustion - air</t>
  </si>
  <si>
    <t>HCB - non combustion - Agglomeration plant - pellets - air</t>
  </si>
  <si>
    <t>HCB - non combustion - Agglomeration plant - sinter - air</t>
  </si>
  <si>
    <t>HCB - non combustion - Secondary aluminium production - air</t>
  </si>
  <si>
    <t>HFC - air</t>
  </si>
  <si>
    <t>Hg - combustion - air</t>
  </si>
  <si>
    <t>Hg - non combustion - Agglomeration plant - pellets - air</t>
  </si>
  <si>
    <t>Hg - non combustion - Agglomeration plant - sinter - air</t>
  </si>
  <si>
    <t>Hg - non combustion - Glass production - air</t>
  </si>
  <si>
    <t>Hg - non combustion - Nickel, unwrought - air</t>
  </si>
  <si>
    <t>Hg - non combustion - Pig iron production, blast furnace - air</t>
  </si>
  <si>
    <t>Hg - non combustion - Production of coke oven coke - air</t>
  </si>
  <si>
    <t>Hg - non combustion - Production of gascoke - air</t>
  </si>
  <si>
    <t>Hg - non combustion - Refined copper; unwrought, not alloyed - air</t>
  </si>
  <si>
    <t>Hg - non combustion - Refined lead, unwrought - air</t>
  </si>
  <si>
    <t>Hg - non combustion - Steel production: basic oxygen furnace - air</t>
  </si>
  <si>
    <t>Hg - non combustion - Steel production: electric arc furnace - air</t>
  </si>
  <si>
    <t>Hg - non combustion - Unrefined copper; copper anodes for electrolytic refining - air</t>
  </si>
  <si>
    <t>Hg - non combustion - Zinc, unwrought, not alloyed - air</t>
  </si>
  <si>
    <t>N2O - combustion - air</t>
  </si>
  <si>
    <t>NMVOC - combustion - air</t>
  </si>
  <si>
    <t>NMVOC - non combustion - Beef and veal - air</t>
  </si>
  <si>
    <t>NMVOC - non combustion - Coil coating (coating of aluminum and steel) - air</t>
  </si>
  <si>
    <t>NMVOC - non combustion - Decorative paint applicatoin - air</t>
  </si>
  <si>
    <t>NMVOC - non combustion - Degreasing - air</t>
  </si>
  <si>
    <t>NMVOC - non combustion - Diesel distribution - transport and depots (used in mobile sources) - air</t>
  </si>
  <si>
    <t>NMVOC - non combustion - Diesel distribution - transport and depots (used in stationary sources) - air</t>
  </si>
  <si>
    <t>NMVOC - non combustion - Dry cleaning - air</t>
  </si>
  <si>
    <t>NMVOC - non combustion - Extraction, proc. and distribution of gaseous fuels - air</t>
  </si>
  <si>
    <t>NMVOC - non combustion - Extraction, proc. and distribution of liquid fuels - air</t>
  </si>
  <si>
    <t>NMVOC - non combustion - Extraction/production of (natural) gas - air</t>
  </si>
  <si>
    <t>NMVOC - non combustion - Extraction/production of crude oil - air</t>
  </si>
  <si>
    <t>NMVOC - non combustion - Fat, edible and non-edible oil extraction - air</t>
  </si>
  <si>
    <t>NMVOC - non combustion - Fish, dried, salted or in brine; smoked fish; edible fish meal - air</t>
  </si>
  <si>
    <t>NMVOC - non combustion - Fish, fish fillets, other fish meat and fish livers and roes, frozen - air</t>
  </si>
  <si>
    <t>NMVOC - non combustion - Fish, otherwise prepared or preserved; caviar - air</t>
  </si>
  <si>
    <t>NMVOC - non combustion - Flexography and rotogravure in packaging - air</t>
  </si>
  <si>
    <t>NMVOC - non combustion - Gasoline distribution - service stations - air</t>
  </si>
  <si>
    <t>NMVOC - non combustion - Gasoline distribution - transport and depots (used in mobile sources) - air</t>
  </si>
  <si>
    <t>NMVOC - non combustion - Gasoline distribution - transport and depots (used in stationary sources) - air</t>
  </si>
  <si>
    <t>NMVOC - non combustion - Industrial application of adhesives (use of high performance solvent based adhesives) - air</t>
  </si>
  <si>
    <t>NMVOC - non combustion - Industrial application of adhesives (use of traditional solvent based adhesives) - air</t>
  </si>
  <si>
    <t>NMVOC - non combustion - Industrial paint application, general industry (continuous processes) - air</t>
  </si>
  <si>
    <t>NMVOC - non combustion - Industrial paint application, general industry (plastic parts) - air</t>
  </si>
  <si>
    <t>NMVOC - non combustion - Industrial paint application, general industry - air</t>
  </si>
  <si>
    <t>NMVOC - non combustion - Inorganic chemical industry, fertilizers and other - air</t>
  </si>
  <si>
    <t>NMVOC - non combustion - Leather coating - air</t>
  </si>
  <si>
    <t>NMVOC - non combustion - Manufacture of automobiles - air</t>
  </si>
  <si>
    <t>NMVOC - non combustion - Mutton and lamb - air</t>
  </si>
  <si>
    <t>NMVOC - non combustion - Oil refinery - air</t>
  </si>
  <si>
    <t>NMVOC - non combustion - Organic chemical industry - downstream units - air</t>
  </si>
  <si>
    <t>NMVOC - non combustion - Organic chemical industry, storage - air</t>
  </si>
  <si>
    <t>NMVOC - non combustion - Other industrial use of solvents - air</t>
  </si>
  <si>
    <t>NMVOC - non combustion - Pharmaceutical industry - air</t>
  </si>
  <si>
    <t>NMVOC - non combustion - Polystyrene processing - air</t>
  </si>
  <si>
    <t>NMVOC - non combustion - Polyvinylchloride produceduction by suspension process - air</t>
  </si>
  <si>
    <t>NMVOC - non combustion - Pork - air</t>
  </si>
  <si>
    <t>NMVOC - non combustion - Poultry, dressed - air</t>
  </si>
  <si>
    <t>NMVOC - non combustion - Printing, offset - air</t>
  </si>
  <si>
    <t>NMVOC - non combustion - Products incorporating solvents - air</t>
  </si>
  <si>
    <t>NMVOC - non combustion - Raw sugar - air</t>
  </si>
  <si>
    <t>NMVOC - non combustion - Rotogravure in publication - air</t>
  </si>
  <si>
    <t>NMVOC - non combustion - Screen printing - air</t>
  </si>
  <si>
    <t>NMVOC - non combustion - Steam cracking (ethylene and propylene production) - air</t>
  </si>
  <si>
    <t>NMVOC - non combustion - Synthetic rubber - air</t>
  </si>
  <si>
    <t>NMVOC - non combustion - Tyre production - air</t>
  </si>
  <si>
    <t>NMVOC - non combustion - Vehicle refinishing - air</t>
  </si>
  <si>
    <t>NMVOC - non combustion - Wire coating - air</t>
  </si>
  <si>
    <t>NOx - non combustion - Steel production: electric arc furnace - air</t>
  </si>
  <si>
    <t>Ni - combustion - air</t>
  </si>
  <si>
    <t>Ni - non combustion - Agglomeration plant - pellets - air</t>
  </si>
  <si>
    <t>Ni - non combustion - Agglomeration plant - sinter - air</t>
  </si>
  <si>
    <t>Ni - non combustion - Glass production - air</t>
  </si>
  <si>
    <t>Ni - non combustion - Production of coke oven coke - air</t>
  </si>
  <si>
    <t>Ni - non combustion - Production of gascoke - air</t>
  </si>
  <si>
    <t>Ni - non combustion - Steel production: basic oxygen furnace - air</t>
  </si>
  <si>
    <t>Ni - non combustion - Steel production: electric arc furnace - air</t>
  </si>
  <si>
    <t>Ni - non combustion - Steel production: open hearth furnace - air</t>
  </si>
  <si>
    <t>PAH - non combustion - Agglomeration plant - pellets - air</t>
  </si>
  <si>
    <t>PAH - non combustion - Agglomeration plant - sinter - air</t>
  </si>
  <si>
    <t>PAH - non combustion - Pig iron production, blast furnace - air</t>
  </si>
  <si>
    <t>PAH - non combustion - Production of coke oven coke - air</t>
  </si>
  <si>
    <t>PAH - non combustion - Production of gascoke - air</t>
  </si>
  <si>
    <t>PAH - non combustion - Steel production: basic oxygen furnace - air</t>
  </si>
  <si>
    <t>PAH - non combustion - Steel production: electric arc furnace - air</t>
  </si>
  <si>
    <t>PCB - combustion - air</t>
  </si>
  <si>
    <t>PCB - non combustion - Agglomeration plant - pellets - air</t>
  </si>
  <si>
    <t>PCB - non combustion - Agglomeration plant - sinter - air</t>
  </si>
  <si>
    <t>PCB - non combustion - Pig iron production, blast furnace - air</t>
  </si>
  <si>
    <t>PCB - non combustion - Steel production: basic oxygen furnace - air</t>
  </si>
  <si>
    <t>PCB - non combustion - Steel production: electric arc furnace - air</t>
  </si>
  <si>
    <t>PCDD/F - combustion - air</t>
  </si>
  <si>
    <t>PCDD/F - non combustion - Agglomeration plant - pellets - air</t>
  </si>
  <si>
    <t>PCDD/F - non combustion - Agglomeration plant - sinter - air</t>
  </si>
  <si>
    <t>PCDD/F - non combustion - Pig iron production, blast furnace - air</t>
  </si>
  <si>
    <t>PCDD/F - non combustion - Secondary aluminium production - air</t>
  </si>
  <si>
    <t>PCDD/F - non combustion - Steel production: basic oxygen furnace - air</t>
  </si>
  <si>
    <t>PCDD/F - non combustion - Steel production: electric arc furnace - air</t>
  </si>
  <si>
    <t>PFC - air</t>
  </si>
  <si>
    <t>Pb - combustion - air</t>
  </si>
  <si>
    <t>Pb - non combustion - Agglomeration plant - pellets - air</t>
  </si>
  <si>
    <t>Pb - non combustion - Agglomeration plant - sinter - air</t>
  </si>
  <si>
    <t>Pb - non combustion - Glass production - air</t>
  </si>
  <si>
    <t>Pb - non combustion - Nickel, unwrought - air</t>
  </si>
  <si>
    <t>Pb - non combustion - Pig iron production, blast furnace - air</t>
  </si>
  <si>
    <t>Pb - non combustion - Production of coke oven coke - air</t>
  </si>
  <si>
    <t>Pb - non combustion - Production of gascoke - air</t>
  </si>
  <si>
    <t>Pb - non combustion - Refined copper; unwrought, not alloyed - air</t>
  </si>
  <si>
    <t>Pb - non combustion - Refined lead, unwrought - air</t>
  </si>
  <si>
    <t>Pb - non combustion - Steel production: basic oxygen furnace - air</t>
  </si>
  <si>
    <t>Pb - non combustion - Steel production: electric arc furnace - air</t>
  </si>
  <si>
    <t>Pb - non combustion - Steel production: open hearth furnace - air</t>
  </si>
  <si>
    <t>Pb - non combustion - Unrefined copper; copper anodes for electrolytic refining - air</t>
  </si>
  <si>
    <t>Pb - non combustion - Zinc, unwrought, not alloyed - air</t>
  </si>
  <si>
    <t>SF6 - air</t>
  </si>
  <si>
    <t>Se - combustion - air</t>
  </si>
  <si>
    <t>Se - non combustion - Agglomeration plant - pellets - air</t>
  </si>
  <si>
    <t>Se - non combustion - Agglomeration plant - sinter - air</t>
  </si>
  <si>
    <t>Se - non combustion - Glass production - air</t>
  </si>
  <si>
    <t>Se - non combustion - Steel production: basic oxygen furnace - air</t>
  </si>
  <si>
    <t>Zn - combustion - air</t>
  </si>
  <si>
    <t>Zn - non combustion - Agglomeration plant - pellets - air</t>
  </si>
  <si>
    <t>Zn - non combustion - Agglomeration plant - sinter - air</t>
  </si>
  <si>
    <t>Zn - non combustion - Glass production - air</t>
  </si>
  <si>
    <t>Zn - non combustion - Nickel, unwrought - air</t>
  </si>
  <si>
    <t>Zn - non combustion - Pig iron production, blast furnace - air</t>
  </si>
  <si>
    <t>Zn - non combustion - Refined copper; unwrought, not alloyed - air</t>
  </si>
  <si>
    <t>Zn - non combustion - Refined lead, unwrought - air</t>
  </si>
  <si>
    <t>Zn - non combustion - Steel production: basic oxygen furnace - air</t>
  </si>
  <si>
    <t>Zn - non combustion - Steel production: electric arc furnace - air</t>
  </si>
  <si>
    <t>Zn - non combustion - Steel production: open hearth furnace - air</t>
  </si>
  <si>
    <t>Zn - non combustion - Unrefined copper; copper anodes for electrolytic refining - air</t>
  </si>
  <si>
    <t>Zn - non combustion - Zinc, unwrought, not alloyed - air</t>
  </si>
  <si>
    <t>energy</t>
  </si>
  <si>
    <t>Final energy use</t>
  </si>
  <si>
    <t>Energy use - Final</t>
  </si>
  <si>
    <t>TJ</t>
  </si>
  <si>
    <t>raw_materials</t>
  </si>
  <si>
    <t>Raw material consumption</t>
  </si>
  <si>
    <t>RMC</t>
  </si>
  <si>
    <t>kt</t>
  </si>
  <si>
    <t>N</t>
  </si>
  <si>
    <t>P</t>
  </si>
  <si>
    <t>Eau</t>
  </si>
  <si>
    <t>Sols</t>
  </si>
  <si>
    <t>GES</t>
  </si>
  <si>
    <t>CO2 - waste - biogenic - air</t>
  </si>
  <si>
    <t>Biodiv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</si>
  <si>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</si>
  <si>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</si>
  <si>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</si>
  <si>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</si>
  <si>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</si>
  <si>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</si>
  <si>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</si>
  <si>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</si>
  <si>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</si>
  <si>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</si>
  <si>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</si>
  <si>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</si>
  <si>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</si>
  <si>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</si>
  <si>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</si>
  <si>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</si>
  <si>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</si>
  <si>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</si>
  <si>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</si>
  <si>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Forest area - Forestry</t>
  </si>
  <si>
    <t>Forest area - Marginal use</t>
  </si>
  <si>
    <t>Energie</t>
  </si>
  <si>
    <t>Energy Carrier Use: Total</t>
  </si>
  <si>
    <t>air_emissions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</si>
  <si>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</si>
  <si>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</si>
  <si>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</si>
  <si>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</si>
  <si>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</si>
  <si>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</si>
  <si>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</si>
  <si>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</si>
  <si>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</si>
  <si>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</si>
  <si>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</si>
  <si>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</si>
  <si>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</si>
  <si>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</si>
  <si>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Products of forestry, logging and related services (02)</t>
  </si>
  <si>
    <t>Biodiversity loss - HANPP</t>
  </si>
  <si>
    <t>Biodiversity loss - PDF</t>
  </si>
  <si>
    <t>Primary Crops - Rice</t>
  </si>
  <si>
    <t>Primary Crops - Wheat</t>
  </si>
  <si>
    <t>Primary Crops - Cereals n.e.c.</t>
  </si>
  <si>
    <t>Primary Crops - Roots and tubers</t>
  </si>
  <si>
    <t>Primary Crops - Pulses</t>
  </si>
  <si>
    <t>Primary Crops - Nuts</t>
  </si>
  <si>
    <t>Primary Crops - Vegetables</t>
  </si>
  <si>
    <t>Primary Crops - Fruits</t>
  </si>
  <si>
    <t>Primary Crops - Oil bearing crops</t>
  </si>
  <si>
    <t>Primary Crops - Sugar crops</t>
  </si>
  <si>
    <t>Primary Crops - Fibres</t>
  </si>
  <si>
    <t>Primary Crops - Spice - beverage - pharmaceutical crops</t>
  </si>
  <si>
    <t>Primary Crops - Tobacco</t>
  </si>
  <si>
    <t>Crop residues - Straw</t>
  </si>
  <si>
    <t>Crop residues - Other crop residues (sugar and fodder beet leaves etc)</t>
  </si>
  <si>
    <t>Grazed biomass</t>
  </si>
  <si>
    <t>Forestry - Other crops n.e.c</t>
  </si>
  <si>
    <t>Forestry - Timber (Industrial roundwood)</t>
  </si>
  <si>
    <t>Forestry - Wood fuel and other extraction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</si>
</sst>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Helvetica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888D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999FF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0" fontId="4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/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11" fontId="0" fillId="0" borderId="0" xfId="0" applyNumberFormat="1" applyAlignment="1">
      <alignment horizontal="center" vertical="center"/>
    </xf>
    <xf numFmtId="11" fontId="1" fillId="0" borderId="0" xfId="0" applyNumberFormat="1" applyFont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11" fontId="0" fillId="2" borderId="0" xfId="0" applyNumberFormat="1" applyFill="1" applyAlignment="1">
      <alignment horizontal="center" vertical="center"/>
    </xf>
    <xf numFmtId="0" fontId="2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horizontal="center" vertical="top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2" fillId="3" borderId="0" xfId="0" applyFont="1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 vertical="center"/>
    </xf>
    <xf numFmtId="1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2" fillId="5" borderId="0" xfId="0" applyFont="1" applyFill="1" applyAlignment="1">
      <alignment horizontal="left" vertical="top"/>
    </xf>
    <xf numFmtId="0" fontId="0" fillId="5" borderId="0" xfId="0" applyFill="1" applyAlignment="1">
      <alignment horizontal="center" vertical="center"/>
    </xf>
    <xf numFmtId="11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2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center" vertical="top"/>
    </xf>
    <xf numFmtId="1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vertical="center" wrapText="1"/>
    </xf>
    <xf numFmtId="0" fontId="0" fillId="7" borderId="0" xfId="0" applyFill="1" applyAlignment="1">
      <alignment horizontal="left"/>
    </xf>
    <xf numFmtId="0" fontId="2" fillId="7" borderId="0" xfId="0" applyFont="1" applyFill="1" applyAlignment="1">
      <alignment horizontal="center" vertical="top"/>
    </xf>
    <xf numFmtId="11" fontId="0" fillId="7" borderId="0" xfId="0" applyNumberFormat="1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2" borderId="2" xfId="0" applyFill="1" applyBorder="1" applyAlignment="1">
      <alignment vertical="center" wrapText="1"/>
    </xf>
    <xf numFmtId="0" fontId="0" fillId="2" borderId="2" xfId="0" applyFill="1" applyBorder="1" applyAlignment="1">
      <alignment horizontal="left"/>
    </xf>
    <xf numFmtId="0" fontId="2" fillId="2" borderId="2" xfId="0" applyFont="1" applyFill="1" applyBorder="1" applyAlignment="1">
      <alignment horizontal="center" vertical="top"/>
    </xf>
    <xf numFmtId="11" fontId="0" fillId="2" borderId="2" xfId="0" applyNumberFormat="1" applyFill="1" applyBorder="1" applyAlignment="1">
      <alignment horizontal="center" vertical="center"/>
    </xf>
    <xf numFmtId="0" fontId="0" fillId="9" borderId="0" xfId="0" applyFill="1" applyAlignment="1">
      <alignment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 vertical="center"/>
    </xf>
    <xf numFmtId="11" fontId="0" fillId="9" borderId="0" xfId="0" applyNumberFormat="1" applyFill="1" applyAlignment="1">
      <alignment horizontal="center" vertical="center"/>
    </xf>
    <xf numFmtId="0" fontId="0" fillId="9" borderId="0" xfId="0" applyFill="1"/>
    <xf numFmtId="0" fontId="0" fillId="9" borderId="3" xfId="0" applyFill="1" applyBorder="1"/>
    <xf numFmtId="0" fontId="0" fillId="0" borderId="0" xfId="0"/>
    <xf numFmtId="11" fontId="0" fillId="9" borderId="3" xfId="0" applyNumberForma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2000000}"/>
    <cellStyle name="Normal 3" xfId="1" xr:uid="{00000000-0005-0000-0000-000001000000}"/>
  </cellStyles>
  <dxfs count="0"/>
  <tableStyles count="0" defaultTableStyle="TableStyleMedium2" defaultPivotStyle="PivotStyleLight16"/>
  <colors>
    <mruColors>
      <color rgb="FF9999FF"/>
      <color rgb="FFA56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9"/>
  <sheetViews>
    <sheetView tabSelected="1" topLeftCell="A117" zoomScale="65" zoomScaleNormal="85" workbookViewId="0">
      <selection activeCell="C124" sqref="C124"/>
    </sheetView>
  </sheetViews>
  <sheetFormatPr baseColWidth="10" defaultColWidth="9.19921875" defaultRowHeight="14.25" x14ac:dyDescent="0.45"/>
  <cols>
    <col min="1" max="1" width="24.6640625" style="6" customWidth="1"/>
    <col min="2" max="2" width="23.3984375" style="6" customWidth="1"/>
    <col min="3" max="3" width="72.9296875" style="15" customWidth="1"/>
    <col min="4" max="4" width="9" style="6" customWidth="1"/>
    <col min="5" max="5" width="13.19921875" style="16" customWidth="1"/>
    <col min="6" max="6" width="9.19921875" style="6" customWidth="1"/>
    <col min="7" max="16384" width="9.19921875" style="6"/>
  </cols>
  <sheetData>
    <row r="1" spans="1:5" ht="38.200000000000003" customHeight="1" x14ac:dyDescent="0.45">
      <c r="A1" s="3" t="s">
        <v>0</v>
      </c>
      <c r="B1" s="8" t="s">
        <v>1</v>
      </c>
      <c r="C1" s="12" t="s">
        <v>2</v>
      </c>
      <c r="D1" s="3" t="s">
        <v>3</v>
      </c>
      <c r="E1" s="17" t="s">
        <v>4</v>
      </c>
    </row>
    <row r="2" spans="1:5" ht="15" customHeight="1" x14ac:dyDescent="0.45">
      <c r="A2" s="39" t="s">
        <v>5</v>
      </c>
      <c r="B2" s="39" t="s">
        <v>6</v>
      </c>
      <c r="C2" s="40" t="s">
        <v>7</v>
      </c>
      <c r="D2" s="41" t="s">
        <v>8</v>
      </c>
      <c r="E2" s="42">
        <v>1.0000000000000001E-9</v>
      </c>
    </row>
    <row r="3" spans="1:5" x14ac:dyDescent="0.45">
      <c r="A3" s="39" t="s">
        <v>5</v>
      </c>
      <c r="B3" s="39" t="s">
        <v>6</v>
      </c>
      <c r="C3" s="43" t="s">
        <v>9</v>
      </c>
      <c r="D3" s="41" t="s">
        <v>8</v>
      </c>
      <c r="E3" s="42">
        <v>8.2400000000000005E-10</v>
      </c>
    </row>
    <row r="4" spans="1:5" x14ac:dyDescent="0.45">
      <c r="A4" s="39" t="s">
        <v>5</v>
      </c>
      <c r="B4" s="39" t="s">
        <v>6</v>
      </c>
      <c r="C4" s="43" t="s">
        <v>10</v>
      </c>
      <c r="D4" s="41" t="s">
        <v>8</v>
      </c>
      <c r="E4" s="42">
        <v>6.3599999999999998E-10</v>
      </c>
    </row>
    <row r="5" spans="1:5" x14ac:dyDescent="0.45">
      <c r="A5" s="39" t="s">
        <v>5</v>
      </c>
      <c r="B5" s="39" t="s">
        <v>6</v>
      </c>
      <c r="C5" s="43" t="s">
        <v>11</v>
      </c>
      <c r="D5" s="41" t="s">
        <v>8</v>
      </c>
      <c r="E5" s="42">
        <v>3.0399999999999998E-10</v>
      </c>
    </row>
    <row r="6" spans="1:5" x14ac:dyDescent="0.45">
      <c r="A6" s="44" t="s">
        <v>5</v>
      </c>
      <c r="B6" s="44" t="s">
        <v>12</v>
      </c>
      <c r="C6" s="45" t="s">
        <v>13</v>
      </c>
      <c r="D6" s="46" t="s">
        <v>8</v>
      </c>
      <c r="E6" s="47">
        <v>3E-10</v>
      </c>
    </row>
    <row r="7" spans="1:5" x14ac:dyDescent="0.45">
      <c r="A7" s="44" t="s">
        <v>5</v>
      </c>
      <c r="B7" s="44" t="s">
        <v>12</v>
      </c>
      <c r="C7" s="45" t="s">
        <v>14</v>
      </c>
      <c r="D7" s="46" t="s">
        <v>8</v>
      </c>
      <c r="E7" s="47">
        <v>3E-10</v>
      </c>
    </row>
    <row r="8" spans="1:5" x14ac:dyDescent="0.45">
      <c r="A8" s="35" t="s">
        <v>15</v>
      </c>
      <c r="B8" s="35" t="s">
        <v>16</v>
      </c>
      <c r="C8" s="36" t="s">
        <v>17</v>
      </c>
      <c r="D8" s="37" t="s">
        <v>18</v>
      </c>
      <c r="E8" s="38">
        <v>1</v>
      </c>
    </row>
    <row r="9" spans="1:5" x14ac:dyDescent="0.45">
      <c r="A9" s="35" t="s">
        <v>15</v>
      </c>
      <c r="B9" s="35" t="s">
        <v>16</v>
      </c>
      <c r="C9" s="36" t="s">
        <v>19</v>
      </c>
      <c r="D9" s="37" t="s">
        <v>18</v>
      </c>
      <c r="E9" s="38">
        <v>1</v>
      </c>
    </row>
    <row r="10" spans="1:5" x14ac:dyDescent="0.45">
      <c r="A10" s="35" t="s">
        <v>15</v>
      </c>
      <c r="B10" s="35" t="s">
        <v>16</v>
      </c>
      <c r="C10" s="36" t="s">
        <v>20</v>
      </c>
      <c r="D10" s="37" t="s">
        <v>18</v>
      </c>
      <c r="E10" s="38">
        <v>1</v>
      </c>
    </row>
    <row r="11" spans="1:5" x14ac:dyDescent="0.45">
      <c r="A11" s="35" t="s">
        <v>15</v>
      </c>
      <c r="B11" s="35" t="s">
        <v>16</v>
      </c>
      <c r="C11" s="36" t="s">
        <v>21</v>
      </c>
      <c r="D11" s="37" t="s">
        <v>18</v>
      </c>
      <c r="E11" s="38">
        <v>1</v>
      </c>
    </row>
    <row r="12" spans="1:5" x14ac:dyDescent="0.45">
      <c r="A12" s="35" t="s">
        <v>15</v>
      </c>
      <c r="B12" s="35" t="s">
        <v>16</v>
      </c>
      <c r="C12" s="36" t="s">
        <v>22</v>
      </c>
      <c r="D12" s="37" t="s">
        <v>18</v>
      </c>
      <c r="E12" s="38">
        <v>1</v>
      </c>
    </row>
    <row r="13" spans="1:5" x14ac:dyDescent="0.45">
      <c r="A13" s="35" t="s">
        <v>15</v>
      </c>
      <c r="B13" s="35" t="s">
        <v>16</v>
      </c>
      <c r="C13" s="36" t="s">
        <v>23</v>
      </c>
      <c r="D13" s="37" t="s">
        <v>18</v>
      </c>
      <c r="E13" s="38">
        <v>1</v>
      </c>
    </row>
    <row r="14" spans="1:5" x14ac:dyDescent="0.45">
      <c r="A14" s="35" t="s">
        <v>15</v>
      </c>
      <c r="B14" s="35" t="s">
        <v>16</v>
      </c>
      <c r="C14" s="36" t="s">
        <v>24</v>
      </c>
      <c r="D14" s="37" t="s">
        <v>18</v>
      </c>
      <c r="E14" s="38">
        <v>1</v>
      </c>
    </row>
    <row r="15" spans="1:5" x14ac:dyDescent="0.45">
      <c r="A15" s="35" t="s">
        <v>15</v>
      </c>
      <c r="B15" s="35" t="s">
        <v>16</v>
      </c>
      <c r="C15" s="36" t="s">
        <v>25</v>
      </c>
      <c r="D15" s="37" t="s">
        <v>18</v>
      </c>
      <c r="E15" s="38">
        <v>1</v>
      </c>
    </row>
    <row r="16" spans="1:5" x14ac:dyDescent="0.45">
      <c r="A16" s="35" t="s">
        <v>15</v>
      </c>
      <c r="B16" s="35" t="s">
        <v>16</v>
      </c>
      <c r="C16" s="36" t="s">
        <v>26</v>
      </c>
      <c r="D16" s="37" t="s">
        <v>18</v>
      </c>
      <c r="E16" s="38">
        <v>1</v>
      </c>
    </row>
    <row r="17" spans="1:5" x14ac:dyDescent="0.45">
      <c r="A17" s="35" t="s">
        <v>15</v>
      </c>
      <c r="B17" s="35" t="s">
        <v>16</v>
      </c>
      <c r="C17" s="36" t="s">
        <v>27</v>
      </c>
      <c r="D17" s="37" t="s">
        <v>18</v>
      </c>
      <c r="E17" s="38">
        <v>1</v>
      </c>
    </row>
    <row r="18" spans="1:5" x14ac:dyDescent="0.45">
      <c r="A18" s="35" t="s">
        <v>15</v>
      </c>
      <c r="B18" s="35" t="s">
        <v>16</v>
      </c>
      <c r="C18" s="36" t="s">
        <v>28</v>
      </c>
      <c r="D18" s="37" t="s">
        <v>18</v>
      </c>
      <c r="E18" s="38">
        <v>1</v>
      </c>
    </row>
    <row r="19" spans="1:5" x14ac:dyDescent="0.45">
      <c r="A19" s="35" t="s">
        <v>15</v>
      </c>
      <c r="B19" s="35" t="s">
        <v>16</v>
      </c>
      <c r="C19" s="36" t="s">
        <v>29</v>
      </c>
      <c r="D19" s="37" t="s">
        <v>18</v>
      </c>
      <c r="E19" s="38">
        <v>1</v>
      </c>
    </row>
    <row r="20" spans="1:5" x14ac:dyDescent="0.45">
      <c r="A20" s="35" t="s">
        <v>15</v>
      </c>
      <c r="B20" s="35" t="s">
        <v>16</v>
      </c>
      <c r="C20" s="36" t="s">
        <v>30</v>
      </c>
      <c r="D20" s="37" t="s">
        <v>18</v>
      </c>
      <c r="E20" s="38">
        <v>1</v>
      </c>
    </row>
    <row r="21" spans="1:5" x14ac:dyDescent="0.45">
      <c r="A21" s="35" t="s">
        <v>15</v>
      </c>
      <c r="B21" s="35" t="s">
        <v>16</v>
      </c>
      <c r="C21" s="36" t="s">
        <v>31</v>
      </c>
      <c r="D21" s="37" t="s">
        <v>18</v>
      </c>
      <c r="E21" s="38">
        <v>1</v>
      </c>
    </row>
    <row r="22" spans="1:5" x14ac:dyDescent="0.45">
      <c r="A22" s="35" t="s">
        <v>15</v>
      </c>
      <c r="B22" s="35" t="s">
        <v>16</v>
      </c>
      <c r="C22" s="36" t="s">
        <v>32</v>
      </c>
      <c r="D22" s="37" t="s">
        <v>18</v>
      </c>
      <c r="E22" s="38">
        <v>1</v>
      </c>
    </row>
    <row r="23" spans="1:5" x14ac:dyDescent="0.45">
      <c r="A23" s="35" t="s">
        <v>15</v>
      </c>
      <c r="B23" s="35" t="s">
        <v>16</v>
      </c>
      <c r="C23" s="36" t="s">
        <v>33</v>
      </c>
      <c r="D23" s="37" t="s">
        <v>18</v>
      </c>
      <c r="E23" s="38">
        <v>1</v>
      </c>
    </row>
    <row r="24" spans="1:5" x14ac:dyDescent="0.45">
      <c r="A24" s="35" t="s">
        <v>15</v>
      </c>
      <c r="B24" s="35" t="s">
        <v>16</v>
      </c>
      <c r="C24" s="36" t="s">
        <v>34</v>
      </c>
      <c r="D24" s="37" t="s">
        <v>18</v>
      </c>
      <c r="E24" s="38">
        <v>1</v>
      </c>
    </row>
    <row r="25" spans="1:5" x14ac:dyDescent="0.45">
      <c r="A25" s="35" t="s">
        <v>15</v>
      </c>
      <c r="B25" s="35" t="s">
        <v>16</v>
      </c>
      <c r="C25" s="36" t="s">
        <v>35</v>
      </c>
      <c r="D25" s="37" t="s">
        <v>18</v>
      </c>
      <c r="E25" s="38">
        <v>1</v>
      </c>
    </row>
    <row r="26" spans="1:5" x14ac:dyDescent="0.45">
      <c r="A26" s="35" t="s">
        <v>15</v>
      </c>
      <c r="B26" s="35" t="s">
        <v>16</v>
      </c>
      <c r="C26" s="36" t="s">
        <v>36</v>
      </c>
      <c r="D26" s="37" t="s">
        <v>18</v>
      </c>
      <c r="E26" s="38">
        <v>1</v>
      </c>
    </row>
    <row r="27" spans="1:5" x14ac:dyDescent="0.45">
      <c r="A27" s="35" t="s">
        <v>15</v>
      </c>
      <c r="B27" s="35" t="s">
        <v>16</v>
      </c>
      <c r="C27" s="36" t="s">
        <v>37</v>
      </c>
      <c r="D27" s="37" t="s">
        <v>18</v>
      </c>
      <c r="E27" s="38">
        <v>1</v>
      </c>
    </row>
    <row r="28" spans="1:5" x14ac:dyDescent="0.45">
      <c r="A28" s="35" t="s">
        <v>15</v>
      </c>
      <c r="B28" s="35" t="s">
        <v>16</v>
      </c>
      <c r="C28" s="36" t="s">
        <v>38</v>
      </c>
      <c r="D28" s="37" t="s">
        <v>18</v>
      </c>
      <c r="E28" s="38">
        <v>1</v>
      </c>
    </row>
    <row r="29" spans="1:5" x14ac:dyDescent="0.45">
      <c r="A29" s="35" t="s">
        <v>15</v>
      </c>
      <c r="B29" s="35" t="s">
        <v>16</v>
      </c>
      <c r="C29" s="36" t="s">
        <v>39</v>
      </c>
      <c r="D29" s="37" t="s">
        <v>18</v>
      </c>
      <c r="E29" s="38">
        <v>1</v>
      </c>
    </row>
    <row r="30" spans="1:5" x14ac:dyDescent="0.45">
      <c r="A30" s="35" t="s">
        <v>15</v>
      </c>
      <c r="B30" s="35" t="s">
        <v>16</v>
      </c>
      <c r="C30" s="36" t="s">
        <v>40</v>
      </c>
      <c r="D30" s="37" t="s">
        <v>18</v>
      </c>
      <c r="E30" s="38">
        <v>1</v>
      </c>
    </row>
    <row r="31" spans="1:5" x14ac:dyDescent="0.45">
      <c r="A31" s="35" t="s">
        <v>15</v>
      </c>
      <c r="B31" s="35" t="s">
        <v>16</v>
      </c>
      <c r="C31" s="36" t="s">
        <v>41</v>
      </c>
      <c r="D31" s="37" t="s">
        <v>18</v>
      </c>
      <c r="E31" s="38">
        <v>1</v>
      </c>
    </row>
    <row r="32" spans="1:5" x14ac:dyDescent="0.45">
      <c r="A32" s="35" t="s">
        <v>15</v>
      </c>
      <c r="B32" s="35" t="s">
        <v>16</v>
      </c>
      <c r="C32" s="36" t="s">
        <v>42</v>
      </c>
      <c r="D32" s="37" t="s">
        <v>18</v>
      </c>
      <c r="E32" s="38">
        <v>1</v>
      </c>
    </row>
    <row r="33" spans="1:5" x14ac:dyDescent="0.45">
      <c r="A33" s="35" t="s">
        <v>15</v>
      </c>
      <c r="B33" s="35" t="s">
        <v>16</v>
      </c>
      <c r="C33" s="36" t="s">
        <v>43</v>
      </c>
      <c r="D33" s="37" t="s">
        <v>18</v>
      </c>
      <c r="E33" s="38">
        <v>1</v>
      </c>
    </row>
    <row r="34" spans="1:5" x14ac:dyDescent="0.45">
      <c r="A34" s="35" t="s">
        <v>15</v>
      </c>
      <c r="B34" s="35" t="s">
        <v>16</v>
      </c>
      <c r="C34" s="36" t="s">
        <v>44</v>
      </c>
      <c r="D34" s="37" t="s">
        <v>18</v>
      </c>
      <c r="E34" s="38">
        <v>1</v>
      </c>
    </row>
    <row r="35" spans="1:5" x14ac:dyDescent="0.45">
      <c r="A35" s="35" t="s">
        <v>15</v>
      </c>
      <c r="B35" s="35" t="s">
        <v>16</v>
      </c>
      <c r="C35" s="36" t="s">
        <v>45</v>
      </c>
      <c r="D35" s="37" t="s">
        <v>18</v>
      </c>
      <c r="E35" s="38">
        <v>1</v>
      </c>
    </row>
    <row r="36" spans="1:5" x14ac:dyDescent="0.45">
      <c r="A36" s="35" t="s">
        <v>15</v>
      </c>
      <c r="B36" s="35" t="s">
        <v>16</v>
      </c>
      <c r="C36" s="36" t="s">
        <v>46</v>
      </c>
      <c r="D36" s="37" t="s">
        <v>18</v>
      </c>
      <c r="E36" s="38">
        <v>1</v>
      </c>
    </row>
    <row r="37" spans="1:5" x14ac:dyDescent="0.45">
      <c r="A37" s="35" t="s">
        <v>15</v>
      </c>
      <c r="B37" s="35" t="s">
        <v>16</v>
      </c>
      <c r="C37" s="36" t="s">
        <v>47</v>
      </c>
      <c r="D37" s="37" t="s">
        <v>18</v>
      </c>
      <c r="E37" s="38">
        <v>1</v>
      </c>
    </row>
    <row r="38" spans="1:5" x14ac:dyDescent="0.45">
      <c r="A38" s="35" t="s">
        <v>15</v>
      </c>
      <c r="B38" s="35" t="s">
        <v>16</v>
      </c>
      <c r="C38" s="36" t="s">
        <v>48</v>
      </c>
      <c r="D38" s="37" t="s">
        <v>18</v>
      </c>
      <c r="E38" s="38">
        <v>1</v>
      </c>
    </row>
    <row r="39" spans="1:5" x14ac:dyDescent="0.45">
      <c r="A39" s="35" t="s">
        <v>15</v>
      </c>
      <c r="B39" s="35" t="s">
        <v>16</v>
      </c>
      <c r="C39" s="36" t="s">
        <v>49</v>
      </c>
      <c r="D39" s="37" t="s">
        <v>18</v>
      </c>
      <c r="E39" s="38">
        <v>1</v>
      </c>
    </row>
    <row r="40" spans="1:5" x14ac:dyDescent="0.45">
      <c r="A40" s="35" t="s">
        <v>15</v>
      </c>
      <c r="B40" s="35" t="s">
        <v>16</v>
      </c>
      <c r="C40" s="36" t="s">
        <v>50</v>
      </c>
      <c r="D40" s="37" t="s">
        <v>18</v>
      </c>
      <c r="E40" s="38">
        <v>1</v>
      </c>
    </row>
    <row r="41" spans="1:5" x14ac:dyDescent="0.45">
      <c r="A41" s="35" t="s">
        <v>15</v>
      </c>
      <c r="B41" s="35" t="s">
        <v>16</v>
      </c>
      <c r="C41" s="36" t="s">
        <v>51</v>
      </c>
      <c r="D41" s="37" t="s">
        <v>18</v>
      </c>
      <c r="E41" s="38">
        <v>1</v>
      </c>
    </row>
    <row r="42" spans="1:5" x14ac:dyDescent="0.45">
      <c r="A42" s="35" t="s">
        <v>15</v>
      </c>
      <c r="B42" s="35" t="s">
        <v>16</v>
      </c>
      <c r="C42" s="36" t="s">
        <v>52</v>
      </c>
      <c r="D42" s="37" t="s">
        <v>18</v>
      </c>
      <c r="E42" s="38">
        <v>1</v>
      </c>
    </row>
    <row r="43" spans="1:5" x14ac:dyDescent="0.45">
      <c r="A43" s="35" t="s">
        <v>15</v>
      </c>
      <c r="B43" s="35" t="s">
        <v>16</v>
      </c>
      <c r="C43" s="36" t="s">
        <v>53</v>
      </c>
      <c r="D43" s="37" t="s">
        <v>18</v>
      </c>
      <c r="E43" s="38">
        <v>1</v>
      </c>
    </row>
    <row r="44" spans="1:5" x14ac:dyDescent="0.45">
      <c r="A44" s="35" t="s">
        <v>15</v>
      </c>
      <c r="B44" s="35" t="s">
        <v>16</v>
      </c>
      <c r="C44" s="36" t="s">
        <v>54</v>
      </c>
      <c r="D44" s="37" t="s">
        <v>18</v>
      </c>
      <c r="E44" s="38">
        <v>1</v>
      </c>
    </row>
    <row r="45" spans="1:5" x14ac:dyDescent="0.45">
      <c r="A45" s="35" t="s">
        <v>15</v>
      </c>
      <c r="B45" s="35" t="s">
        <v>16</v>
      </c>
      <c r="C45" s="36" t="s">
        <v>55</v>
      </c>
      <c r="D45" s="37" t="s">
        <v>18</v>
      </c>
      <c r="E45" s="38">
        <v>1</v>
      </c>
    </row>
    <row r="46" spans="1:5" x14ac:dyDescent="0.45">
      <c r="A46" s="35" t="s">
        <v>15</v>
      </c>
      <c r="B46" s="35" t="s">
        <v>16</v>
      </c>
      <c r="C46" s="36" t="s">
        <v>56</v>
      </c>
      <c r="D46" s="37" t="s">
        <v>18</v>
      </c>
      <c r="E46" s="38">
        <v>1</v>
      </c>
    </row>
    <row r="47" spans="1:5" x14ac:dyDescent="0.45">
      <c r="A47" s="35" t="s">
        <v>15</v>
      </c>
      <c r="B47" s="35" t="s">
        <v>16</v>
      </c>
      <c r="C47" s="36" t="s">
        <v>57</v>
      </c>
      <c r="D47" s="37" t="s">
        <v>18</v>
      </c>
      <c r="E47" s="38">
        <v>1</v>
      </c>
    </row>
    <row r="48" spans="1:5" x14ac:dyDescent="0.45">
      <c r="A48" s="35" t="s">
        <v>15</v>
      </c>
      <c r="B48" s="35" t="s">
        <v>16</v>
      </c>
      <c r="C48" s="36" t="s">
        <v>58</v>
      </c>
      <c r="D48" s="37" t="s">
        <v>18</v>
      </c>
      <c r="E48" s="38">
        <v>1</v>
      </c>
    </row>
    <row r="49" spans="1:5" x14ac:dyDescent="0.45">
      <c r="A49" s="35" t="s">
        <v>15</v>
      </c>
      <c r="B49" s="35" t="s">
        <v>16</v>
      </c>
      <c r="C49" s="36" t="s">
        <v>59</v>
      </c>
      <c r="D49" s="37" t="s">
        <v>18</v>
      </c>
      <c r="E49" s="38">
        <v>1</v>
      </c>
    </row>
    <row r="50" spans="1:5" x14ac:dyDescent="0.45">
      <c r="A50" s="35" t="s">
        <v>15</v>
      </c>
      <c r="B50" s="35" t="s">
        <v>16</v>
      </c>
      <c r="C50" s="36" t="s">
        <v>60</v>
      </c>
      <c r="D50" s="37" t="s">
        <v>18</v>
      </c>
      <c r="E50" s="38">
        <v>1</v>
      </c>
    </row>
    <row r="51" spans="1:5" x14ac:dyDescent="0.45">
      <c r="A51" s="35" t="s">
        <v>15</v>
      </c>
      <c r="B51" s="35" t="s">
        <v>16</v>
      </c>
      <c r="C51" s="36" t="s">
        <v>61</v>
      </c>
      <c r="D51" s="37" t="s">
        <v>18</v>
      </c>
      <c r="E51" s="38">
        <v>1</v>
      </c>
    </row>
    <row r="52" spans="1:5" x14ac:dyDescent="0.45">
      <c r="A52" s="35" t="s">
        <v>15</v>
      </c>
      <c r="B52" s="35" t="s">
        <v>16</v>
      </c>
      <c r="C52" s="36" t="s">
        <v>62</v>
      </c>
      <c r="D52" s="37" t="s">
        <v>18</v>
      </c>
      <c r="E52" s="38">
        <v>1</v>
      </c>
    </row>
    <row r="53" spans="1:5" x14ac:dyDescent="0.45">
      <c r="A53" s="35" t="s">
        <v>15</v>
      </c>
      <c r="B53" s="35" t="s">
        <v>16</v>
      </c>
      <c r="C53" s="36" t="s">
        <v>63</v>
      </c>
      <c r="D53" s="37" t="s">
        <v>18</v>
      </c>
      <c r="E53" s="38">
        <v>1</v>
      </c>
    </row>
    <row r="54" spans="1:5" x14ac:dyDescent="0.45">
      <c r="A54" s="35" t="s">
        <v>15</v>
      </c>
      <c r="B54" s="35" t="s">
        <v>16</v>
      </c>
      <c r="C54" s="36" t="s">
        <v>64</v>
      </c>
      <c r="D54" s="37" t="s">
        <v>18</v>
      </c>
      <c r="E54" s="38">
        <v>1</v>
      </c>
    </row>
    <row r="55" spans="1:5" x14ac:dyDescent="0.45">
      <c r="A55" s="35" t="s">
        <v>15</v>
      </c>
      <c r="B55" s="35" t="s">
        <v>16</v>
      </c>
      <c r="C55" s="36" t="s">
        <v>65</v>
      </c>
      <c r="D55" s="37" t="s">
        <v>18</v>
      </c>
      <c r="E55" s="38">
        <v>1</v>
      </c>
    </row>
    <row r="56" spans="1:5" x14ac:dyDescent="0.45">
      <c r="A56" s="35" t="s">
        <v>15</v>
      </c>
      <c r="B56" s="35" t="s">
        <v>16</v>
      </c>
      <c r="C56" s="36" t="s">
        <v>66</v>
      </c>
      <c r="D56" s="37" t="s">
        <v>18</v>
      </c>
      <c r="E56" s="38">
        <v>1</v>
      </c>
    </row>
    <row r="57" spans="1:5" x14ac:dyDescent="0.45">
      <c r="A57" s="35" t="s">
        <v>15</v>
      </c>
      <c r="B57" s="35" t="s">
        <v>16</v>
      </c>
      <c r="C57" s="36" t="s">
        <v>67</v>
      </c>
      <c r="D57" s="37" t="s">
        <v>18</v>
      </c>
      <c r="E57" s="38">
        <v>1</v>
      </c>
    </row>
    <row r="58" spans="1:5" x14ac:dyDescent="0.45">
      <c r="A58" s="35" t="s">
        <v>15</v>
      </c>
      <c r="B58" s="35" t="s">
        <v>16</v>
      </c>
      <c r="C58" s="36" t="s">
        <v>68</v>
      </c>
      <c r="D58" s="37" t="s">
        <v>18</v>
      </c>
      <c r="E58" s="38">
        <v>1</v>
      </c>
    </row>
    <row r="59" spans="1:5" x14ac:dyDescent="0.45">
      <c r="A59" s="35" t="s">
        <v>15</v>
      </c>
      <c r="B59" s="35" t="s">
        <v>16</v>
      </c>
      <c r="C59" s="36" t="s">
        <v>69</v>
      </c>
      <c r="D59" s="37" t="s">
        <v>18</v>
      </c>
      <c r="E59" s="38">
        <v>1</v>
      </c>
    </row>
    <row r="60" spans="1:5" x14ac:dyDescent="0.45">
      <c r="A60" s="35" t="s">
        <v>15</v>
      </c>
      <c r="B60" s="35" t="s">
        <v>16</v>
      </c>
      <c r="C60" s="36" t="s">
        <v>70</v>
      </c>
      <c r="D60" s="37" t="s">
        <v>18</v>
      </c>
      <c r="E60" s="38">
        <v>1</v>
      </c>
    </row>
    <row r="61" spans="1:5" x14ac:dyDescent="0.45">
      <c r="A61" s="35" t="s">
        <v>15</v>
      </c>
      <c r="B61" s="35" t="s">
        <v>16</v>
      </c>
      <c r="C61" s="36" t="s">
        <v>71</v>
      </c>
      <c r="D61" s="37" t="s">
        <v>18</v>
      </c>
      <c r="E61" s="38">
        <v>1</v>
      </c>
    </row>
    <row r="62" spans="1:5" x14ac:dyDescent="0.45">
      <c r="A62" s="35" t="s">
        <v>15</v>
      </c>
      <c r="B62" s="35" t="s">
        <v>16</v>
      </c>
      <c r="C62" s="36" t="s">
        <v>72</v>
      </c>
      <c r="D62" s="37" t="s">
        <v>18</v>
      </c>
      <c r="E62" s="38">
        <v>1</v>
      </c>
    </row>
    <row r="63" spans="1:5" x14ac:dyDescent="0.45">
      <c r="A63" s="35" t="s">
        <v>15</v>
      </c>
      <c r="B63" s="35" t="s">
        <v>16</v>
      </c>
      <c r="C63" s="36" t="s">
        <v>73</v>
      </c>
      <c r="D63" s="37" t="s">
        <v>18</v>
      </c>
      <c r="E63" s="38">
        <v>1</v>
      </c>
    </row>
    <row r="64" spans="1:5" x14ac:dyDescent="0.45">
      <c r="A64" s="35" t="s">
        <v>15</v>
      </c>
      <c r="B64" s="35" t="s">
        <v>16</v>
      </c>
      <c r="C64" s="36" t="s">
        <v>74</v>
      </c>
      <c r="D64" s="37" t="s">
        <v>18</v>
      </c>
      <c r="E64" s="38">
        <v>1</v>
      </c>
    </row>
    <row r="65" spans="1:6" x14ac:dyDescent="0.45">
      <c r="A65" s="35" t="s">
        <v>15</v>
      </c>
      <c r="B65" s="35" t="s">
        <v>16</v>
      </c>
      <c r="C65" s="36" t="s">
        <v>75</v>
      </c>
      <c r="D65" s="37" t="s">
        <v>18</v>
      </c>
      <c r="E65" s="38">
        <v>1</v>
      </c>
    </row>
    <row r="66" spans="1:6" x14ac:dyDescent="0.45">
      <c r="A66" s="35" t="s">
        <v>15</v>
      </c>
      <c r="B66" s="35" t="s">
        <v>16</v>
      </c>
      <c r="C66" s="36" t="s">
        <v>76</v>
      </c>
      <c r="D66" s="37" t="s">
        <v>18</v>
      </c>
      <c r="E66" s="38">
        <v>1</v>
      </c>
    </row>
    <row r="67" spans="1:6" x14ac:dyDescent="0.45">
      <c r="A67" s="35" t="s">
        <v>15</v>
      </c>
      <c r="B67" s="35" t="s">
        <v>16</v>
      </c>
      <c r="C67" s="36" t="s">
        <v>77</v>
      </c>
      <c r="D67" s="37" t="s">
        <v>18</v>
      </c>
      <c r="E67" s="38">
        <v>1</v>
      </c>
    </row>
    <row r="68" spans="1:6" x14ac:dyDescent="0.45">
      <c r="A68" s="35" t="s">
        <v>15</v>
      </c>
      <c r="B68" s="35" t="s">
        <v>16</v>
      </c>
      <c r="C68" s="36" t="s">
        <v>78</v>
      </c>
      <c r="D68" s="37" t="s">
        <v>18</v>
      </c>
      <c r="E68" s="38">
        <v>1</v>
      </c>
    </row>
    <row r="69" spans="1:6" x14ac:dyDescent="0.45">
      <c r="A69" s="35" t="s">
        <v>15</v>
      </c>
      <c r="B69" s="35" t="s">
        <v>16</v>
      </c>
      <c r="C69" s="36" t="s">
        <v>79</v>
      </c>
      <c r="D69" s="37" t="s">
        <v>18</v>
      </c>
      <c r="E69" s="38">
        <v>1</v>
      </c>
    </row>
    <row r="70" spans="1:6" x14ac:dyDescent="0.45">
      <c r="A70" s="35" t="s">
        <v>15</v>
      </c>
      <c r="B70" s="35" t="s">
        <v>16</v>
      </c>
      <c r="C70" s="36" t="s">
        <v>80</v>
      </c>
      <c r="D70" s="37" t="s">
        <v>18</v>
      </c>
      <c r="E70" s="38">
        <v>1</v>
      </c>
    </row>
    <row r="71" spans="1:6" x14ac:dyDescent="0.45">
      <c r="A71" s="35" t="s">
        <v>15</v>
      </c>
      <c r="B71" s="35" t="s">
        <v>16</v>
      </c>
      <c r="C71" s="36" t="s">
        <v>81</v>
      </c>
      <c r="D71" s="37" t="s">
        <v>18</v>
      </c>
      <c r="E71" s="38">
        <v>1</v>
      </c>
    </row>
    <row r="72" spans="1:6" x14ac:dyDescent="0.45">
      <c r="A72" s="35" t="s">
        <v>15</v>
      </c>
      <c r="B72" s="35" t="s">
        <v>16</v>
      </c>
      <c r="C72" s="36" t="s">
        <v>82</v>
      </c>
      <c r="D72" s="37" t="s">
        <v>18</v>
      </c>
      <c r="E72" s="38">
        <v>1</v>
      </c>
    </row>
    <row r="73" spans="1:6" x14ac:dyDescent="0.45">
      <c r="A73" s="35" t="s">
        <v>15</v>
      </c>
      <c r="B73" s="35" t="s">
        <v>16</v>
      </c>
      <c r="C73" s="36" t="s">
        <v>83</v>
      </c>
      <c r="D73" s="37" t="s">
        <v>18</v>
      </c>
      <c r="E73" s="38">
        <v>1</v>
      </c>
    </row>
    <row r="74" spans="1:6" x14ac:dyDescent="0.45">
      <c r="A74" s="35" t="s">
        <v>15</v>
      </c>
      <c r="B74" s="35" t="s">
        <v>16</v>
      </c>
      <c r="C74" s="36" t="s">
        <v>84</v>
      </c>
      <c r="D74" s="37" t="s">
        <v>18</v>
      </c>
      <c r="E74" s="38">
        <v>1</v>
      </c>
      <c r="F74" s="9"/>
    </row>
    <row r="75" spans="1:6" x14ac:dyDescent="0.45">
      <c r="A75" s="35" t="s">
        <v>15</v>
      </c>
      <c r="B75" s="35" t="s">
        <v>16</v>
      </c>
      <c r="C75" s="36" t="s">
        <v>85</v>
      </c>
      <c r="D75" s="37" t="s">
        <v>18</v>
      </c>
      <c r="E75" s="38">
        <v>1</v>
      </c>
    </row>
    <row r="76" spans="1:6" x14ac:dyDescent="0.45">
      <c r="A76" s="35" t="s">
        <v>15</v>
      </c>
      <c r="B76" s="35" t="s">
        <v>16</v>
      </c>
      <c r="C76" s="36" t="s">
        <v>86</v>
      </c>
      <c r="D76" s="37" t="s">
        <v>18</v>
      </c>
      <c r="E76" s="38">
        <v>1</v>
      </c>
    </row>
    <row r="77" spans="1:6" x14ac:dyDescent="0.45">
      <c r="A77" s="35" t="s">
        <v>15</v>
      </c>
      <c r="B77" s="35" t="s">
        <v>16</v>
      </c>
      <c r="C77" s="36" t="s">
        <v>87</v>
      </c>
      <c r="D77" s="37" t="s">
        <v>18</v>
      </c>
      <c r="E77" s="38">
        <v>1</v>
      </c>
    </row>
    <row r="78" spans="1:6" x14ac:dyDescent="0.45">
      <c r="A78" s="35" t="s">
        <v>15</v>
      </c>
      <c r="B78" s="35" t="s">
        <v>16</v>
      </c>
      <c r="C78" s="36" t="s">
        <v>88</v>
      </c>
      <c r="D78" s="37" t="s">
        <v>18</v>
      </c>
      <c r="E78" s="38">
        <v>1</v>
      </c>
    </row>
    <row r="79" spans="1:6" x14ac:dyDescent="0.45">
      <c r="A79" s="35" t="s">
        <v>15</v>
      </c>
      <c r="B79" s="35" t="s">
        <v>16</v>
      </c>
      <c r="C79" s="36" t="s">
        <v>89</v>
      </c>
      <c r="D79" s="37" t="s">
        <v>18</v>
      </c>
      <c r="E79" s="38">
        <v>1</v>
      </c>
    </row>
    <row r="80" spans="1:6" x14ac:dyDescent="0.45">
      <c r="A80" s="35" t="s">
        <v>15</v>
      </c>
      <c r="B80" s="35" t="s">
        <v>16</v>
      </c>
      <c r="C80" s="36" t="s">
        <v>90</v>
      </c>
      <c r="D80" s="37" t="s">
        <v>18</v>
      </c>
      <c r="E80" s="38">
        <v>1</v>
      </c>
    </row>
    <row r="81" spans="1:5" x14ac:dyDescent="0.45">
      <c r="A81" s="35" t="s">
        <v>15</v>
      </c>
      <c r="B81" s="35" t="s">
        <v>16</v>
      </c>
      <c r="C81" s="36" t="s">
        <v>91</v>
      </c>
      <c r="D81" s="37" t="s">
        <v>18</v>
      </c>
      <c r="E81" s="38">
        <v>1</v>
      </c>
    </row>
    <row r="82" spans="1:5" x14ac:dyDescent="0.45">
      <c r="A82" s="35" t="s">
        <v>15</v>
      </c>
      <c r="B82" s="35" t="s">
        <v>16</v>
      </c>
      <c r="C82" s="36" t="s">
        <v>92</v>
      </c>
      <c r="D82" s="37" t="s">
        <v>18</v>
      </c>
      <c r="E82" s="38">
        <v>1</v>
      </c>
    </row>
    <row r="83" spans="1:5" x14ac:dyDescent="0.45">
      <c r="A83" s="35" t="s">
        <v>15</v>
      </c>
      <c r="B83" s="35" t="s">
        <v>16</v>
      </c>
      <c r="C83" s="36" t="s">
        <v>93</v>
      </c>
      <c r="D83" s="37" t="s">
        <v>18</v>
      </c>
      <c r="E83" s="38">
        <v>1</v>
      </c>
    </row>
    <row r="84" spans="1:5" x14ac:dyDescent="0.45">
      <c r="A84" s="35" t="s">
        <v>15</v>
      </c>
      <c r="B84" s="35" t="s">
        <v>16</v>
      </c>
      <c r="C84" s="36" t="s">
        <v>94</v>
      </c>
      <c r="D84" s="37" t="s">
        <v>18</v>
      </c>
      <c r="E84" s="38">
        <v>1</v>
      </c>
    </row>
    <row r="85" spans="1:5" x14ac:dyDescent="0.45">
      <c r="A85" s="35" t="s">
        <v>15</v>
      </c>
      <c r="B85" s="35" t="s">
        <v>16</v>
      </c>
      <c r="C85" s="36" t="s">
        <v>95</v>
      </c>
      <c r="D85" s="37" t="s">
        <v>18</v>
      </c>
      <c r="E85" s="38">
        <v>1</v>
      </c>
    </row>
    <row r="86" spans="1:5" x14ac:dyDescent="0.45">
      <c r="A86" s="35" t="s">
        <v>15</v>
      </c>
      <c r="B86" s="35" t="s">
        <v>16</v>
      </c>
      <c r="C86" s="36" t="s">
        <v>96</v>
      </c>
      <c r="D86" s="37" t="s">
        <v>18</v>
      </c>
      <c r="E86" s="38">
        <v>1</v>
      </c>
    </row>
    <row r="87" spans="1:5" x14ac:dyDescent="0.45">
      <c r="A87" s="35" t="s">
        <v>15</v>
      </c>
      <c r="B87" s="35" t="s">
        <v>16</v>
      </c>
      <c r="C87" s="36" t="s">
        <v>97</v>
      </c>
      <c r="D87" s="37" t="s">
        <v>18</v>
      </c>
      <c r="E87" s="38">
        <v>1</v>
      </c>
    </row>
    <row r="88" spans="1:5" x14ac:dyDescent="0.45">
      <c r="A88" s="35" t="s">
        <v>15</v>
      </c>
      <c r="B88" s="35" t="s">
        <v>16</v>
      </c>
      <c r="C88" s="36" t="s">
        <v>98</v>
      </c>
      <c r="D88" s="37" t="s">
        <v>18</v>
      </c>
      <c r="E88" s="38">
        <v>1</v>
      </c>
    </row>
    <row r="89" spans="1:5" x14ac:dyDescent="0.45">
      <c r="A89" s="35" t="s">
        <v>15</v>
      </c>
      <c r="B89" s="35" t="s">
        <v>16</v>
      </c>
      <c r="C89" s="36" t="s">
        <v>99</v>
      </c>
      <c r="D89" s="37" t="s">
        <v>18</v>
      </c>
      <c r="E89" s="38">
        <v>1</v>
      </c>
    </row>
    <row r="90" spans="1:5" x14ac:dyDescent="0.45">
      <c r="A90" s="35" t="s">
        <v>15</v>
      </c>
      <c r="B90" s="35" t="s">
        <v>16</v>
      </c>
      <c r="C90" s="36" t="s">
        <v>100</v>
      </c>
      <c r="D90" s="37" t="s">
        <v>18</v>
      </c>
      <c r="E90" s="38">
        <v>1</v>
      </c>
    </row>
    <row r="91" spans="1:5" x14ac:dyDescent="0.45">
      <c r="A91" s="35" t="s">
        <v>15</v>
      </c>
      <c r="B91" s="35" t="s">
        <v>16</v>
      </c>
      <c r="C91" s="36" t="s">
        <v>101</v>
      </c>
      <c r="D91" s="37" t="s">
        <v>18</v>
      </c>
      <c r="E91" s="38">
        <v>1</v>
      </c>
    </row>
    <row r="92" spans="1:5" x14ac:dyDescent="0.45">
      <c r="A92" s="35" t="s">
        <v>15</v>
      </c>
      <c r="B92" s="35" t="s">
        <v>16</v>
      </c>
      <c r="C92" s="36" t="s">
        <v>102</v>
      </c>
      <c r="D92" s="37" t="s">
        <v>18</v>
      </c>
      <c r="E92" s="38">
        <v>1</v>
      </c>
    </row>
    <row r="93" spans="1:5" x14ac:dyDescent="0.45">
      <c r="A93" s="35" t="s">
        <v>15</v>
      </c>
      <c r="B93" s="35" t="s">
        <v>16</v>
      </c>
      <c r="C93" s="36" t="s">
        <v>103</v>
      </c>
      <c r="D93" s="37" t="s">
        <v>18</v>
      </c>
      <c r="E93" s="38">
        <v>1</v>
      </c>
    </row>
    <row r="94" spans="1:5" x14ac:dyDescent="0.45">
      <c r="A94" s="35" t="s">
        <v>15</v>
      </c>
      <c r="B94" s="35" t="s">
        <v>16</v>
      </c>
      <c r="C94" s="36" t="s">
        <v>104</v>
      </c>
      <c r="D94" s="37" t="s">
        <v>18</v>
      </c>
      <c r="E94" s="38">
        <v>1</v>
      </c>
    </row>
    <row r="95" spans="1:5" x14ac:dyDescent="0.45">
      <c r="A95" s="35" t="s">
        <v>15</v>
      </c>
      <c r="B95" s="35" t="s">
        <v>16</v>
      </c>
      <c r="C95" s="36" t="s">
        <v>105</v>
      </c>
      <c r="D95" s="37" t="s">
        <v>18</v>
      </c>
      <c r="E95" s="38">
        <v>1</v>
      </c>
    </row>
    <row r="96" spans="1:5" x14ac:dyDescent="0.45">
      <c r="A96" s="35" t="s">
        <v>15</v>
      </c>
      <c r="B96" s="35" t="s">
        <v>16</v>
      </c>
      <c r="C96" s="36" t="s">
        <v>106</v>
      </c>
      <c r="D96" s="37" t="s">
        <v>18</v>
      </c>
      <c r="E96" s="38">
        <v>1</v>
      </c>
    </row>
    <row r="97" spans="1:5" x14ac:dyDescent="0.45">
      <c r="A97" s="35" t="s">
        <v>15</v>
      </c>
      <c r="B97" s="35" t="s">
        <v>16</v>
      </c>
      <c r="C97" s="36" t="s">
        <v>107</v>
      </c>
      <c r="D97" s="37" t="s">
        <v>18</v>
      </c>
      <c r="E97" s="38">
        <v>1</v>
      </c>
    </row>
    <row r="98" spans="1:5" x14ac:dyDescent="0.45">
      <c r="A98" s="35" t="s">
        <v>15</v>
      </c>
      <c r="B98" s="35" t="s">
        <v>16</v>
      </c>
      <c r="C98" s="36" t="s">
        <v>108</v>
      </c>
      <c r="D98" s="37" t="s">
        <v>18</v>
      </c>
      <c r="E98" s="38">
        <v>1</v>
      </c>
    </row>
    <row r="99" spans="1:5" x14ac:dyDescent="0.45">
      <c r="A99" s="35" t="s">
        <v>15</v>
      </c>
      <c r="B99" s="35" t="s">
        <v>16</v>
      </c>
      <c r="C99" s="36" t="s">
        <v>109</v>
      </c>
      <c r="D99" s="37" t="s">
        <v>18</v>
      </c>
      <c r="E99" s="38">
        <v>1</v>
      </c>
    </row>
    <row r="100" spans="1:5" x14ac:dyDescent="0.45">
      <c r="A100" s="35" t="s">
        <v>15</v>
      </c>
      <c r="B100" s="35" t="s">
        <v>16</v>
      </c>
      <c r="C100" s="36" t="s">
        <v>110</v>
      </c>
      <c r="D100" s="37" t="s">
        <v>18</v>
      </c>
      <c r="E100" s="38">
        <v>1</v>
      </c>
    </row>
    <row r="101" spans="1:5" x14ac:dyDescent="0.45">
      <c r="A101" s="35" t="s">
        <v>15</v>
      </c>
      <c r="B101" s="35" t="s">
        <v>16</v>
      </c>
      <c r="C101" s="36" t="s">
        <v>111</v>
      </c>
      <c r="D101" s="37" t="s">
        <v>18</v>
      </c>
      <c r="E101" s="38">
        <v>1</v>
      </c>
    </row>
    <row r="102" spans="1:5" x14ac:dyDescent="0.45">
      <c r="A102" s="35" t="s">
        <v>15</v>
      </c>
      <c r="B102" s="35" t="s">
        <v>16</v>
      </c>
      <c r="C102" s="36" t="s">
        <v>112</v>
      </c>
      <c r="D102" s="37" t="s">
        <v>18</v>
      </c>
      <c r="E102" s="38">
        <v>1</v>
      </c>
    </row>
    <row r="103" spans="1:5" x14ac:dyDescent="0.45">
      <c r="A103" s="35" t="s">
        <v>15</v>
      </c>
      <c r="B103" s="35" t="s">
        <v>16</v>
      </c>
      <c r="C103" s="36" t="s">
        <v>113</v>
      </c>
      <c r="D103" s="37" t="s">
        <v>18</v>
      </c>
      <c r="E103" s="38">
        <v>1</v>
      </c>
    </row>
    <row r="104" spans="1:5" x14ac:dyDescent="0.45">
      <c r="A104" s="35" t="s">
        <v>15</v>
      </c>
      <c r="B104" s="35" t="s">
        <v>16</v>
      </c>
      <c r="C104" s="36" t="s">
        <v>114</v>
      </c>
      <c r="D104" s="37" t="s">
        <v>18</v>
      </c>
      <c r="E104" s="38">
        <v>1</v>
      </c>
    </row>
    <row r="105" spans="1:5" x14ac:dyDescent="0.45">
      <c r="A105" s="35" t="s">
        <v>15</v>
      </c>
      <c r="B105" s="35" t="s">
        <v>16</v>
      </c>
      <c r="C105" s="36" t="s">
        <v>115</v>
      </c>
      <c r="D105" s="37" t="s">
        <v>18</v>
      </c>
      <c r="E105" s="38">
        <v>1</v>
      </c>
    </row>
    <row r="106" spans="1:5" x14ac:dyDescent="0.45">
      <c r="A106" s="35" t="s">
        <v>15</v>
      </c>
      <c r="B106" s="35" t="s">
        <v>16</v>
      </c>
      <c r="C106" s="36" t="s">
        <v>116</v>
      </c>
      <c r="D106" s="37" t="s">
        <v>18</v>
      </c>
      <c r="E106" s="38">
        <v>1</v>
      </c>
    </row>
    <row r="107" spans="1:5" x14ac:dyDescent="0.45">
      <c r="A107" s="35" t="s">
        <v>15</v>
      </c>
      <c r="B107" s="35" t="s">
        <v>16</v>
      </c>
      <c r="C107" s="36" t="s">
        <v>117</v>
      </c>
      <c r="D107" s="37" t="s">
        <v>18</v>
      </c>
      <c r="E107" s="38">
        <v>1</v>
      </c>
    </row>
    <row r="108" spans="1:5" x14ac:dyDescent="0.45">
      <c r="A108" s="35" t="s">
        <v>15</v>
      </c>
      <c r="B108" s="35" t="s">
        <v>16</v>
      </c>
      <c r="C108" s="36" t="s">
        <v>118</v>
      </c>
      <c r="D108" s="37" t="s">
        <v>18</v>
      </c>
      <c r="E108" s="38">
        <v>1</v>
      </c>
    </row>
    <row r="109" spans="1:5" x14ac:dyDescent="0.45">
      <c r="A109" s="35" t="s">
        <v>15</v>
      </c>
      <c r="B109" s="35" t="s">
        <v>16</v>
      </c>
      <c r="C109" s="36" t="s">
        <v>119</v>
      </c>
      <c r="D109" s="37" t="s">
        <v>18</v>
      </c>
      <c r="E109" s="38">
        <v>1</v>
      </c>
    </row>
    <row r="110" spans="1:5" x14ac:dyDescent="0.45">
      <c r="A110" s="35" t="s">
        <v>15</v>
      </c>
      <c r="B110" s="35" t="s">
        <v>16</v>
      </c>
      <c r="C110" s="36" t="s">
        <v>120</v>
      </c>
      <c r="D110" s="37" t="s">
        <v>18</v>
      </c>
      <c r="E110" s="38">
        <v>1</v>
      </c>
    </row>
    <row r="111" spans="1:5" x14ac:dyDescent="0.45">
      <c r="A111" s="31" t="s">
        <v>121</v>
      </c>
      <c r="B111" s="31" t="s">
        <v>122</v>
      </c>
      <c r="C111" s="32" t="s">
        <v>123</v>
      </c>
      <c r="D111" s="33" t="s">
        <v>124</v>
      </c>
      <c r="E111" s="34">
        <v>1</v>
      </c>
    </row>
    <row r="112" spans="1:5" x14ac:dyDescent="0.45">
      <c r="A112" s="31" t="s">
        <v>121</v>
      </c>
      <c r="B112" s="31" t="s">
        <v>122</v>
      </c>
      <c r="C112" s="32" t="s">
        <v>125</v>
      </c>
      <c r="D112" s="33" t="s">
        <v>124</v>
      </c>
      <c r="E112" s="34">
        <v>1</v>
      </c>
    </row>
    <row r="113" spans="1:5" x14ac:dyDescent="0.45">
      <c r="A113" s="31" t="s">
        <v>121</v>
      </c>
      <c r="B113" s="31" t="s">
        <v>122</v>
      </c>
      <c r="C113" s="32" t="s">
        <v>126</v>
      </c>
      <c r="D113" s="33" t="s">
        <v>124</v>
      </c>
      <c r="E113" s="34">
        <v>1</v>
      </c>
    </row>
    <row r="114" spans="1:5" x14ac:dyDescent="0.45">
      <c r="A114" s="31" t="s">
        <v>121</v>
      </c>
      <c r="B114" s="31" t="s">
        <v>122</v>
      </c>
      <c r="C114" s="32" t="s">
        <v>127</v>
      </c>
      <c r="D114" s="33" t="s">
        <v>124</v>
      </c>
      <c r="E114" s="34">
        <v>1</v>
      </c>
    </row>
    <row r="115" spans="1:5" x14ac:dyDescent="0.45">
      <c r="A115" s="31" t="s">
        <v>121</v>
      </c>
      <c r="B115" s="31" t="s">
        <v>122</v>
      </c>
      <c r="C115" s="32" t="s">
        <v>128</v>
      </c>
      <c r="D115" s="33" t="s">
        <v>124</v>
      </c>
      <c r="E115" s="34">
        <v>1</v>
      </c>
    </row>
    <row r="116" spans="1:5" x14ac:dyDescent="0.45">
      <c r="A116" s="31" t="s">
        <v>121</v>
      </c>
      <c r="B116" s="31" t="s">
        <v>122</v>
      </c>
      <c r="C116" s="32" t="s">
        <v>129</v>
      </c>
      <c r="D116" s="33" t="s">
        <v>124</v>
      </c>
      <c r="E116" s="34">
        <v>1</v>
      </c>
    </row>
    <row r="117" spans="1:5" x14ac:dyDescent="0.45">
      <c r="A117" s="31" t="s">
        <v>121</v>
      </c>
      <c r="B117" s="31" t="s">
        <v>122</v>
      </c>
      <c r="C117" s="32" t="s">
        <v>130</v>
      </c>
      <c r="D117" s="33" t="s">
        <v>124</v>
      </c>
      <c r="E117" s="34">
        <v>1</v>
      </c>
    </row>
    <row r="118" spans="1:5" x14ac:dyDescent="0.45">
      <c r="A118" s="31" t="s">
        <v>121</v>
      </c>
      <c r="B118" s="31" t="s">
        <v>122</v>
      </c>
      <c r="C118" s="32" t="s">
        <v>131</v>
      </c>
      <c r="D118" s="33" t="s">
        <v>124</v>
      </c>
      <c r="E118" s="34">
        <v>1</v>
      </c>
    </row>
    <row r="119" spans="1:5" x14ac:dyDescent="0.45">
      <c r="A119" s="31" t="s">
        <v>121</v>
      </c>
      <c r="B119" s="31" t="s">
        <v>122</v>
      </c>
      <c r="C119" s="32" t="s">
        <v>132</v>
      </c>
      <c r="D119" s="33" t="s">
        <v>124</v>
      </c>
      <c r="E119" s="34">
        <v>1</v>
      </c>
    </row>
    <row r="120" spans="1:5" x14ac:dyDescent="0.45">
      <c r="A120" s="31" t="s">
        <v>121</v>
      </c>
      <c r="B120" s="31" t="s">
        <v>122</v>
      </c>
      <c r="C120" s="32" t="s">
        <v>133</v>
      </c>
      <c r="D120" s="33" t="s">
        <v>124</v>
      </c>
      <c r="E120" s="34">
        <v>1</v>
      </c>
    </row>
    <row r="121" spans="1:5" x14ac:dyDescent="0.45">
      <c r="A121" s="31" t="s">
        <v>121</v>
      </c>
      <c r="B121" s="31" t="s">
        <v>122</v>
      </c>
      <c r="C121" s="32" t="s">
        <v>134</v>
      </c>
      <c r="D121" s="33" t="s">
        <v>124</v>
      </c>
      <c r="E121" s="34">
        <v>1</v>
      </c>
    </row>
    <row r="122" spans="1:5" x14ac:dyDescent="0.45">
      <c r="A122" s="31" t="s">
        <v>121</v>
      </c>
      <c r="B122" s="31" t="s">
        <v>122</v>
      </c>
      <c r="C122" s="32" t="s">
        <v>135</v>
      </c>
      <c r="D122" s="33" t="s">
        <v>124</v>
      </c>
      <c r="E122" s="34">
        <v>1</v>
      </c>
    </row>
    <row r="123" spans="1:5" x14ac:dyDescent="0.45">
      <c r="A123" s="31" t="s">
        <v>121</v>
      </c>
      <c r="B123" s="31" t="s">
        <v>122</v>
      </c>
      <c r="C123" s="32" t="s">
        <v>136</v>
      </c>
      <c r="D123" s="33" t="s">
        <v>124</v>
      </c>
      <c r="E123" s="34">
        <v>1</v>
      </c>
    </row>
    <row r="124" spans="1:5" x14ac:dyDescent="0.45">
      <c r="A124" s="31" t="s">
        <v>121</v>
      </c>
      <c r="B124" s="31" t="s">
        <v>122</v>
      </c>
      <c r="C124" s="32" t="s">
        <v>137</v>
      </c>
      <c r="D124" s="33" t="s">
        <v>124</v>
      </c>
      <c r="E124" s="34">
        <v>1</v>
      </c>
    </row>
    <row r="125" spans="1:5" x14ac:dyDescent="0.45">
      <c r="A125" s="31" t="s">
        <v>121</v>
      </c>
      <c r="B125" s="31" t="s">
        <v>122</v>
      </c>
      <c r="C125" s="32" t="s">
        <v>138</v>
      </c>
      <c r="D125" s="33" t="s">
        <v>124</v>
      </c>
      <c r="E125" s="34">
        <v>1</v>
      </c>
    </row>
    <row r="126" spans="1:5" x14ac:dyDescent="0.45">
      <c r="A126" s="31" t="s">
        <v>121</v>
      </c>
      <c r="B126" s="31" t="s">
        <v>122</v>
      </c>
      <c r="C126" s="32" t="s">
        <v>139</v>
      </c>
      <c r="D126" s="33" t="s">
        <v>124</v>
      </c>
      <c r="E126" s="34">
        <v>1</v>
      </c>
    </row>
    <row r="127" spans="1:5" x14ac:dyDescent="0.45">
      <c r="A127" s="31" t="s">
        <v>121</v>
      </c>
      <c r="B127" s="31" t="s">
        <v>122</v>
      </c>
      <c r="C127" s="32" t="s">
        <v>140</v>
      </c>
      <c r="D127" s="33" t="s">
        <v>124</v>
      </c>
      <c r="E127" s="34">
        <v>1</v>
      </c>
    </row>
    <row r="128" spans="1:5" x14ac:dyDescent="0.45">
      <c r="A128" s="31" t="s">
        <v>121</v>
      </c>
      <c r="B128" s="31" t="s">
        <v>122</v>
      </c>
      <c r="C128" s="32" t="s">
        <v>141</v>
      </c>
      <c r="D128" s="33" t="s">
        <v>124</v>
      </c>
      <c r="E128" s="34">
        <v>1</v>
      </c>
    </row>
    <row r="129" spans="1:5" x14ac:dyDescent="0.45">
      <c r="A129" s="31" t="s">
        <v>121</v>
      </c>
      <c r="B129" s="31" t="s">
        <v>122</v>
      </c>
      <c r="C129" s="32" t="s">
        <v>142</v>
      </c>
      <c r="D129" s="33" t="s">
        <v>124</v>
      </c>
      <c r="E129" s="34">
        <v>1</v>
      </c>
    </row>
    <row r="130" spans="1:5" x14ac:dyDescent="0.45">
      <c r="A130" s="31" t="s">
        <v>121</v>
      </c>
      <c r="B130" s="31" t="s">
        <v>122</v>
      </c>
      <c r="C130" s="32" t="s">
        <v>143</v>
      </c>
      <c r="D130" s="33" t="s">
        <v>124</v>
      </c>
      <c r="E130" s="34">
        <v>1</v>
      </c>
    </row>
    <row r="131" spans="1:5" x14ac:dyDescent="0.45">
      <c r="A131" s="31" t="s">
        <v>121</v>
      </c>
      <c r="B131" s="31" t="s">
        <v>122</v>
      </c>
      <c r="C131" s="32" t="s">
        <v>144</v>
      </c>
      <c r="D131" s="33" t="s">
        <v>124</v>
      </c>
      <c r="E131" s="34">
        <v>1</v>
      </c>
    </row>
    <row r="132" spans="1:5" x14ac:dyDescent="0.45">
      <c r="A132" s="26" t="s">
        <v>145</v>
      </c>
      <c r="B132" s="26" t="s">
        <v>146</v>
      </c>
      <c r="C132" s="27" t="s">
        <v>147</v>
      </c>
      <c r="D132" s="28" t="s">
        <v>148</v>
      </c>
      <c r="E132" s="29">
        <v>1</v>
      </c>
    </row>
    <row r="133" spans="1:5" x14ac:dyDescent="0.45">
      <c r="A133" s="26" t="s">
        <v>149</v>
      </c>
      <c r="B133" s="26" t="s">
        <v>146</v>
      </c>
      <c r="C133" s="27" t="s">
        <v>147</v>
      </c>
      <c r="D133" s="28" t="s">
        <v>148</v>
      </c>
      <c r="E133" s="29">
        <v>1</v>
      </c>
    </row>
    <row r="134" spans="1:5" x14ac:dyDescent="0.45">
      <c r="A134" s="26" t="s">
        <v>149</v>
      </c>
      <c r="B134" s="26" t="s">
        <v>146</v>
      </c>
      <c r="C134" s="27" t="s">
        <v>150</v>
      </c>
      <c r="D134" s="28" t="s">
        <v>148</v>
      </c>
      <c r="E134" s="29">
        <v>1</v>
      </c>
    </row>
    <row r="135" spans="1:5" x14ac:dyDescent="0.45">
      <c r="A135" s="26" t="s">
        <v>149</v>
      </c>
      <c r="B135" s="26" t="s">
        <v>146</v>
      </c>
      <c r="C135" s="30" t="s">
        <v>151</v>
      </c>
      <c r="D135" s="28" t="s">
        <v>148</v>
      </c>
      <c r="E135" s="29">
        <v>1</v>
      </c>
    </row>
    <row r="136" spans="1:5" x14ac:dyDescent="0.45">
      <c r="A136" s="26" t="s">
        <v>149</v>
      </c>
      <c r="B136" s="26" t="s">
        <v>146</v>
      </c>
      <c r="C136" s="30" t="s">
        <v>152</v>
      </c>
      <c r="D136" s="28" t="s">
        <v>148</v>
      </c>
      <c r="E136" s="29">
        <v>1</v>
      </c>
    </row>
    <row r="137" spans="1:5" x14ac:dyDescent="0.45">
      <c r="A137" s="26" t="s">
        <v>149</v>
      </c>
      <c r="B137" s="26" t="s">
        <v>146</v>
      </c>
      <c r="C137" s="30" t="s">
        <v>153</v>
      </c>
      <c r="D137" s="28" t="s">
        <v>148</v>
      </c>
      <c r="E137" s="29">
        <v>1</v>
      </c>
    </row>
    <row r="138" spans="1:5" x14ac:dyDescent="0.45">
      <c r="A138" s="26" t="s">
        <v>149</v>
      </c>
      <c r="B138" s="26" t="s">
        <v>146</v>
      </c>
      <c r="C138" s="30" t="s">
        <v>154</v>
      </c>
      <c r="D138" s="28" t="s">
        <v>148</v>
      </c>
      <c r="E138" s="29">
        <v>1</v>
      </c>
    </row>
    <row r="139" spans="1:5" x14ac:dyDescent="0.45">
      <c r="A139" s="18" t="s">
        <v>145</v>
      </c>
      <c r="B139" s="19" t="s">
        <v>478</v>
      </c>
      <c r="C139" s="19" t="s">
        <v>147</v>
      </c>
      <c r="D139" s="20" t="s">
        <v>148</v>
      </c>
      <c r="E139" s="21">
        <f t="shared" ref="E139:E145" si="0">(0.110407441507011+0.0165)*1000000000</f>
        <v>126907441.507011</v>
      </c>
    </row>
    <row r="140" spans="1:5" x14ac:dyDescent="0.45">
      <c r="A140" s="18" t="s">
        <v>149</v>
      </c>
      <c r="B140" s="19" t="s">
        <v>478</v>
      </c>
      <c r="C140" s="19" t="s">
        <v>147</v>
      </c>
      <c r="D140" s="20" t="s">
        <v>148</v>
      </c>
      <c r="E140" s="21">
        <f t="shared" si="0"/>
        <v>126907441.507011</v>
      </c>
    </row>
    <row r="141" spans="1:5" x14ac:dyDescent="0.45">
      <c r="A141" s="18" t="s">
        <v>149</v>
      </c>
      <c r="B141" s="19" t="s">
        <v>478</v>
      </c>
      <c r="C141" s="19" t="s">
        <v>150</v>
      </c>
      <c r="D141" s="20" t="s">
        <v>148</v>
      </c>
      <c r="E141" s="21">
        <f t="shared" si="0"/>
        <v>126907441.507011</v>
      </c>
    </row>
    <row r="142" spans="1:5" x14ac:dyDescent="0.45">
      <c r="A142" s="18" t="s">
        <v>149</v>
      </c>
      <c r="B142" s="19" t="s">
        <v>478</v>
      </c>
      <c r="C142" s="22" t="s">
        <v>151</v>
      </c>
      <c r="D142" s="20" t="s">
        <v>148</v>
      </c>
      <c r="E142" s="21">
        <f t="shared" si="0"/>
        <v>126907441.507011</v>
      </c>
    </row>
    <row r="143" spans="1:5" x14ac:dyDescent="0.45">
      <c r="A143" s="18" t="s">
        <v>149</v>
      </c>
      <c r="B143" s="19" t="s">
        <v>478</v>
      </c>
      <c r="C143" s="22" t="s">
        <v>152</v>
      </c>
      <c r="D143" s="20" t="s">
        <v>148</v>
      </c>
      <c r="E143" s="21">
        <f t="shared" si="0"/>
        <v>126907441.507011</v>
      </c>
    </row>
    <row r="144" spans="1:5" x14ac:dyDescent="0.45">
      <c r="A144" s="18" t="s">
        <v>149</v>
      </c>
      <c r="B144" s="19" t="s">
        <v>478</v>
      </c>
      <c r="C144" s="22" t="s">
        <v>153</v>
      </c>
      <c r="D144" s="20" t="s">
        <v>148</v>
      </c>
      <c r="E144" s="21">
        <f t="shared" si="0"/>
        <v>126907441.507011</v>
      </c>
    </row>
    <row r="145" spans="1:5" x14ac:dyDescent="0.45">
      <c r="A145" s="18" t="s">
        <v>149</v>
      </c>
      <c r="B145" s="19" t="s">
        <v>478</v>
      </c>
      <c r="C145" s="22" t="s">
        <v>154</v>
      </c>
      <c r="D145" s="20" t="s">
        <v>148</v>
      </c>
      <c r="E145" s="21">
        <f t="shared" si="0"/>
        <v>126907441.507011</v>
      </c>
    </row>
    <row r="146" spans="1:5" x14ac:dyDescent="0.45">
      <c r="A146" s="18" t="s">
        <v>121</v>
      </c>
      <c r="B146" s="19" t="s">
        <v>478</v>
      </c>
      <c r="C146" s="23" t="s">
        <v>157</v>
      </c>
      <c r="D146" s="20" t="s">
        <v>124</v>
      </c>
      <c r="E146" s="21">
        <v>485679.81716597301</v>
      </c>
    </row>
    <row r="147" spans="1:5" x14ac:dyDescent="0.45">
      <c r="A147" s="18" t="s">
        <v>121</v>
      </c>
      <c r="B147" s="19" t="s">
        <v>478</v>
      </c>
      <c r="C147" s="23" t="s">
        <v>123</v>
      </c>
      <c r="D147" s="20" t="s">
        <v>124</v>
      </c>
      <c r="E147" s="21">
        <v>608053.19508885196</v>
      </c>
    </row>
    <row r="148" spans="1:5" x14ac:dyDescent="0.45">
      <c r="A148" s="18" t="s">
        <v>121</v>
      </c>
      <c r="B148" s="19" t="s">
        <v>478</v>
      </c>
      <c r="C148" s="23" t="s">
        <v>125</v>
      </c>
      <c r="D148" s="20" t="s">
        <v>124</v>
      </c>
      <c r="E148" s="21">
        <v>608053.19508885196</v>
      </c>
    </row>
    <row r="149" spans="1:5" x14ac:dyDescent="0.45">
      <c r="A149" s="18" t="s">
        <v>121</v>
      </c>
      <c r="B149" s="19" t="s">
        <v>478</v>
      </c>
      <c r="C149" s="23" t="s">
        <v>126</v>
      </c>
      <c r="D149" s="20" t="s">
        <v>124</v>
      </c>
      <c r="E149" s="21">
        <v>608053.19508885196</v>
      </c>
    </row>
    <row r="150" spans="1:5" x14ac:dyDescent="0.45">
      <c r="A150" s="18" t="s">
        <v>121</v>
      </c>
      <c r="B150" s="19" t="s">
        <v>478</v>
      </c>
      <c r="C150" s="23" t="s">
        <v>127</v>
      </c>
      <c r="D150" s="20" t="s">
        <v>124</v>
      </c>
      <c r="E150" s="21">
        <v>608053.19508885196</v>
      </c>
    </row>
    <row r="151" spans="1:5" x14ac:dyDescent="0.45">
      <c r="A151" s="18" t="s">
        <v>121</v>
      </c>
      <c r="B151" s="19" t="s">
        <v>478</v>
      </c>
      <c r="C151" s="23" t="s">
        <v>128</v>
      </c>
      <c r="D151" s="20" t="s">
        <v>124</v>
      </c>
      <c r="E151" s="21">
        <v>608053.19508885196</v>
      </c>
    </row>
    <row r="152" spans="1:5" x14ac:dyDescent="0.45">
      <c r="A152" s="18" t="s">
        <v>121</v>
      </c>
      <c r="B152" s="19" t="s">
        <v>478</v>
      </c>
      <c r="C152" s="23" t="s">
        <v>129</v>
      </c>
      <c r="D152" s="20" t="s">
        <v>124</v>
      </c>
      <c r="E152" s="21">
        <v>608053.19508885196</v>
      </c>
    </row>
    <row r="153" spans="1:5" x14ac:dyDescent="0.45">
      <c r="A153" s="18" t="s">
        <v>121</v>
      </c>
      <c r="B153" s="19" t="s">
        <v>478</v>
      </c>
      <c r="C153" s="23" t="s">
        <v>130</v>
      </c>
      <c r="D153" s="20" t="s">
        <v>124</v>
      </c>
      <c r="E153" s="21">
        <v>608053.19508885196</v>
      </c>
    </row>
    <row r="154" spans="1:5" x14ac:dyDescent="0.45">
      <c r="A154" s="18" t="s">
        <v>121</v>
      </c>
      <c r="B154" s="19" t="s">
        <v>478</v>
      </c>
      <c r="C154" s="23" t="s">
        <v>131</v>
      </c>
      <c r="D154" s="20" t="s">
        <v>124</v>
      </c>
      <c r="E154" s="21">
        <v>608053.19508885196</v>
      </c>
    </row>
    <row r="155" spans="1:5" x14ac:dyDescent="0.45">
      <c r="A155" s="18" t="s">
        <v>121</v>
      </c>
      <c r="B155" s="19" t="s">
        <v>478</v>
      </c>
      <c r="C155" s="23" t="s">
        <v>132</v>
      </c>
      <c r="D155" s="20" t="s">
        <v>124</v>
      </c>
      <c r="E155" s="21">
        <v>229042.93475783701</v>
      </c>
    </row>
    <row r="156" spans="1:5" x14ac:dyDescent="0.45">
      <c r="A156" s="18" t="s">
        <v>121</v>
      </c>
      <c r="B156" s="19" t="s">
        <v>478</v>
      </c>
      <c r="C156" s="23" t="s">
        <v>133</v>
      </c>
      <c r="D156" s="20" t="s">
        <v>124</v>
      </c>
      <c r="E156" s="21">
        <v>229042.93475783701</v>
      </c>
    </row>
    <row r="157" spans="1:5" x14ac:dyDescent="0.45">
      <c r="A157" s="18" t="s">
        <v>121</v>
      </c>
      <c r="B157" s="19" t="s">
        <v>478</v>
      </c>
      <c r="C157" s="23" t="s">
        <v>134</v>
      </c>
      <c r="D157" s="20" t="s">
        <v>124</v>
      </c>
      <c r="E157" s="21">
        <v>229042.93475783701</v>
      </c>
    </row>
    <row r="158" spans="1:5" x14ac:dyDescent="0.45">
      <c r="A158" s="18" t="s">
        <v>121</v>
      </c>
      <c r="B158" s="19" t="s">
        <v>478</v>
      </c>
      <c r="C158" s="23" t="s">
        <v>135</v>
      </c>
      <c r="D158" s="20" t="s">
        <v>124</v>
      </c>
      <c r="E158" s="21">
        <v>229042.93475783701</v>
      </c>
    </row>
    <row r="159" spans="1:5" x14ac:dyDescent="0.45">
      <c r="A159" s="18" t="s">
        <v>121</v>
      </c>
      <c r="B159" s="19" t="s">
        <v>478</v>
      </c>
      <c r="C159" s="23" t="s">
        <v>136</v>
      </c>
      <c r="D159" s="20" t="s">
        <v>124</v>
      </c>
      <c r="E159" s="21">
        <v>229042.93475783701</v>
      </c>
    </row>
    <row r="160" spans="1:5" x14ac:dyDescent="0.45">
      <c r="A160" s="18" t="s">
        <v>121</v>
      </c>
      <c r="B160" s="19" t="s">
        <v>478</v>
      </c>
      <c r="C160" s="23" t="s">
        <v>137</v>
      </c>
      <c r="D160" s="20" t="s">
        <v>124</v>
      </c>
      <c r="E160" s="21">
        <v>229042.93475783701</v>
      </c>
    </row>
    <row r="161" spans="1:5" x14ac:dyDescent="0.45">
      <c r="A161" s="18" t="s">
        <v>121</v>
      </c>
      <c r="B161" s="19" t="s">
        <v>478</v>
      </c>
      <c r="C161" s="23" t="s">
        <v>138</v>
      </c>
      <c r="D161" s="20" t="s">
        <v>124</v>
      </c>
      <c r="E161" s="21">
        <v>229042.93475783701</v>
      </c>
    </row>
    <row r="162" spans="1:5" x14ac:dyDescent="0.45">
      <c r="A162" s="18" t="s">
        <v>121</v>
      </c>
      <c r="B162" s="19" t="s">
        <v>478</v>
      </c>
      <c r="C162" s="23" t="s">
        <v>139</v>
      </c>
      <c r="D162" s="20" t="s">
        <v>124</v>
      </c>
      <c r="E162" s="21">
        <v>229042.93475783701</v>
      </c>
    </row>
    <row r="163" spans="1:5" x14ac:dyDescent="0.45">
      <c r="A163" s="18" t="s">
        <v>121</v>
      </c>
      <c r="B163" s="19" t="s">
        <v>478</v>
      </c>
      <c r="C163" s="23" t="s">
        <v>140</v>
      </c>
      <c r="D163" s="20" t="s">
        <v>124</v>
      </c>
      <c r="E163" s="21">
        <v>229042.93475783701</v>
      </c>
    </row>
    <row r="164" spans="1:5" x14ac:dyDescent="0.45">
      <c r="A164" s="18" t="s">
        <v>121</v>
      </c>
      <c r="B164" s="19" t="s">
        <v>478</v>
      </c>
      <c r="C164" s="23" t="s">
        <v>141</v>
      </c>
      <c r="D164" s="20" t="s">
        <v>124</v>
      </c>
      <c r="E164" s="21">
        <v>229042.93475783701</v>
      </c>
    </row>
    <row r="165" spans="1:5" x14ac:dyDescent="0.45">
      <c r="A165" s="18" t="s">
        <v>121</v>
      </c>
      <c r="B165" s="19" t="s">
        <v>478</v>
      </c>
      <c r="C165" s="23" t="s">
        <v>142</v>
      </c>
      <c r="D165" s="20" t="s">
        <v>124</v>
      </c>
      <c r="E165" s="21">
        <v>229042.93475783701</v>
      </c>
    </row>
    <row r="166" spans="1:5" x14ac:dyDescent="0.45">
      <c r="A166" s="18" t="s">
        <v>121</v>
      </c>
      <c r="B166" s="19" t="s">
        <v>478</v>
      </c>
      <c r="C166" s="23" t="s">
        <v>143</v>
      </c>
      <c r="D166" s="20" t="s">
        <v>124</v>
      </c>
      <c r="E166" s="21">
        <v>229042.93475783701</v>
      </c>
    </row>
    <row r="167" spans="1:5" x14ac:dyDescent="0.45">
      <c r="A167" s="18" t="s">
        <v>121</v>
      </c>
      <c r="B167" s="19" t="s">
        <v>478</v>
      </c>
      <c r="C167" s="23" t="s">
        <v>144</v>
      </c>
      <c r="D167" s="20" t="s">
        <v>124</v>
      </c>
      <c r="E167" s="21">
        <v>229042.93475783701</v>
      </c>
    </row>
    <row r="168" spans="1:5" x14ac:dyDescent="0.45">
      <c r="A168" s="18" t="s">
        <v>121</v>
      </c>
      <c r="B168" s="19" t="s">
        <v>478</v>
      </c>
      <c r="C168" s="23" t="s">
        <v>158</v>
      </c>
      <c r="D168" s="20" t="s">
        <v>124</v>
      </c>
      <c r="E168" s="21">
        <v>109564.693955489</v>
      </c>
    </row>
    <row r="169" spans="1:5" x14ac:dyDescent="0.45">
      <c r="A169" s="18" t="s">
        <v>121</v>
      </c>
      <c r="B169" s="19" t="s">
        <v>478</v>
      </c>
      <c r="C169" s="23" t="s">
        <v>159</v>
      </c>
      <c r="D169" s="20" t="s">
        <v>124</v>
      </c>
      <c r="E169" s="21">
        <v>229042.93475783701</v>
      </c>
    </row>
    <row r="170" spans="1:5" x14ac:dyDescent="0.45">
      <c r="A170" s="18" t="s">
        <v>121</v>
      </c>
      <c r="B170" s="19" t="s">
        <v>478</v>
      </c>
      <c r="C170" s="23" t="s">
        <v>160</v>
      </c>
      <c r="D170" s="20" t="s">
        <v>124</v>
      </c>
      <c r="E170" s="21">
        <v>229042.93475783701</v>
      </c>
    </row>
    <row r="171" spans="1:5" x14ac:dyDescent="0.45">
      <c r="A171" s="18" t="s">
        <v>121</v>
      </c>
      <c r="B171" s="19" t="s">
        <v>478</v>
      </c>
      <c r="C171" s="23" t="s">
        <v>161</v>
      </c>
      <c r="D171" s="20" t="s">
        <v>124</v>
      </c>
      <c r="E171" s="21">
        <v>229042.93475783701</v>
      </c>
    </row>
    <row r="172" spans="1:5" x14ac:dyDescent="0.45">
      <c r="A172" s="18" t="s">
        <v>15</v>
      </c>
      <c r="B172" s="19" t="s">
        <v>478</v>
      </c>
      <c r="C172" s="22" t="s">
        <v>17</v>
      </c>
      <c r="D172" s="20" t="s">
        <v>18</v>
      </c>
      <c r="E172" s="21">
        <v>306.2</v>
      </c>
    </row>
    <row r="173" spans="1:5" x14ac:dyDescent="0.45">
      <c r="A173" s="18" t="s">
        <v>15</v>
      </c>
      <c r="B173" s="19" t="s">
        <v>478</v>
      </c>
      <c r="C173" s="22" t="s">
        <v>19</v>
      </c>
      <c r="D173" s="20" t="s">
        <v>18</v>
      </c>
      <c r="E173" s="21">
        <v>306.2</v>
      </c>
    </row>
    <row r="174" spans="1:5" x14ac:dyDescent="0.45">
      <c r="A174" s="18" t="s">
        <v>15</v>
      </c>
      <c r="B174" s="19" t="s">
        <v>478</v>
      </c>
      <c r="C174" s="22" t="s">
        <v>20</v>
      </c>
      <c r="D174" s="20" t="s">
        <v>18</v>
      </c>
      <c r="E174" s="21">
        <v>306.2</v>
      </c>
    </row>
    <row r="175" spans="1:5" x14ac:dyDescent="0.45">
      <c r="A175" s="18" t="s">
        <v>15</v>
      </c>
      <c r="B175" s="19" t="s">
        <v>478</v>
      </c>
      <c r="C175" s="22" t="s">
        <v>21</v>
      </c>
      <c r="D175" s="20" t="s">
        <v>18</v>
      </c>
      <c r="E175" s="21">
        <v>306.2</v>
      </c>
    </row>
    <row r="176" spans="1:5" x14ac:dyDescent="0.45">
      <c r="A176" s="18" t="s">
        <v>15</v>
      </c>
      <c r="B176" s="19" t="s">
        <v>478</v>
      </c>
      <c r="C176" s="22" t="s">
        <v>22</v>
      </c>
      <c r="D176" s="20" t="s">
        <v>18</v>
      </c>
      <c r="E176" s="21">
        <v>306.2</v>
      </c>
    </row>
    <row r="177" spans="1:5" x14ac:dyDescent="0.45">
      <c r="A177" s="18" t="s">
        <v>15</v>
      </c>
      <c r="B177" s="19" t="s">
        <v>478</v>
      </c>
      <c r="C177" s="22" t="s">
        <v>23</v>
      </c>
      <c r="D177" s="20" t="s">
        <v>18</v>
      </c>
      <c r="E177" s="21">
        <v>306.2</v>
      </c>
    </row>
    <row r="178" spans="1:5" x14ac:dyDescent="0.45">
      <c r="A178" s="18" t="s">
        <v>15</v>
      </c>
      <c r="B178" s="19" t="s">
        <v>478</v>
      </c>
      <c r="C178" s="22" t="s">
        <v>24</v>
      </c>
      <c r="D178" s="20" t="s">
        <v>18</v>
      </c>
      <c r="E178" s="21">
        <v>306.2</v>
      </c>
    </row>
    <row r="179" spans="1:5" x14ac:dyDescent="0.45">
      <c r="A179" s="18" t="s">
        <v>15</v>
      </c>
      <c r="B179" s="19" t="s">
        <v>478</v>
      </c>
      <c r="C179" s="22" t="s">
        <v>25</v>
      </c>
      <c r="D179" s="20" t="s">
        <v>18</v>
      </c>
      <c r="E179" s="21">
        <v>306.2</v>
      </c>
    </row>
    <row r="180" spans="1:5" x14ac:dyDescent="0.45">
      <c r="A180" s="18" t="s">
        <v>15</v>
      </c>
      <c r="B180" s="19" t="s">
        <v>478</v>
      </c>
      <c r="C180" s="22" t="s">
        <v>26</v>
      </c>
      <c r="D180" s="20" t="s">
        <v>18</v>
      </c>
      <c r="E180" s="21">
        <v>306.2</v>
      </c>
    </row>
    <row r="181" spans="1:5" x14ac:dyDescent="0.45">
      <c r="A181" s="18" t="s">
        <v>15</v>
      </c>
      <c r="B181" s="19" t="s">
        <v>478</v>
      </c>
      <c r="C181" s="22" t="s">
        <v>27</v>
      </c>
      <c r="D181" s="20" t="s">
        <v>18</v>
      </c>
      <c r="E181" s="21">
        <v>306.2</v>
      </c>
    </row>
    <row r="182" spans="1:5" x14ac:dyDescent="0.45">
      <c r="A182" s="18" t="s">
        <v>15</v>
      </c>
      <c r="B182" s="19" t="s">
        <v>478</v>
      </c>
      <c r="C182" s="22" t="s">
        <v>28</v>
      </c>
      <c r="D182" s="20" t="s">
        <v>18</v>
      </c>
      <c r="E182" s="21">
        <v>306.2</v>
      </c>
    </row>
    <row r="183" spans="1:5" x14ac:dyDescent="0.45">
      <c r="A183" s="18" t="s">
        <v>15</v>
      </c>
      <c r="B183" s="19" t="s">
        <v>478</v>
      </c>
      <c r="C183" s="22" t="s">
        <v>29</v>
      </c>
      <c r="D183" s="20" t="s">
        <v>18</v>
      </c>
      <c r="E183" s="21">
        <v>306.2</v>
      </c>
    </row>
    <row r="184" spans="1:5" x14ac:dyDescent="0.45">
      <c r="A184" s="18" t="s">
        <v>15</v>
      </c>
      <c r="B184" s="19" t="s">
        <v>478</v>
      </c>
      <c r="C184" s="22" t="s">
        <v>30</v>
      </c>
      <c r="D184" s="20" t="s">
        <v>18</v>
      </c>
      <c r="E184" s="21">
        <v>306.2</v>
      </c>
    </row>
    <row r="185" spans="1:5" x14ac:dyDescent="0.45">
      <c r="A185" s="18" t="s">
        <v>15</v>
      </c>
      <c r="B185" s="19" t="s">
        <v>478</v>
      </c>
      <c r="C185" s="22" t="s">
        <v>31</v>
      </c>
      <c r="D185" s="20" t="s">
        <v>18</v>
      </c>
      <c r="E185" s="21">
        <v>306.2</v>
      </c>
    </row>
    <row r="186" spans="1:5" x14ac:dyDescent="0.45">
      <c r="A186" s="18" t="s">
        <v>15</v>
      </c>
      <c r="B186" s="19" t="s">
        <v>478</v>
      </c>
      <c r="C186" s="22" t="s">
        <v>32</v>
      </c>
      <c r="D186" s="20" t="s">
        <v>18</v>
      </c>
      <c r="E186" s="21">
        <v>306.2</v>
      </c>
    </row>
    <row r="187" spans="1:5" x14ac:dyDescent="0.45">
      <c r="A187" s="18" t="s">
        <v>15</v>
      </c>
      <c r="B187" s="19" t="s">
        <v>478</v>
      </c>
      <c r="C187" s="22" t="s">
        <v>33</v>
      </c>
      <c r="D187" s="20" t="s">
        <v>18</v>
      </c>
      <c r="E187" s="21">
        <v>306.2</v>
      </c>
    </row>
    <row r="188" spans="1:5" x14ac:dyDescent="0.45">
      <c r="A188" s="18" t="s">
        <v>15</v>
      </c>
      <c r="B188" s="19" t="s">
        <v>478</v>
      </c>
      <c r="C188" s="22" t="s">
        <v>34</v>
      </c>
      <c r="D188" s="20" t="s">
        <v>18</v>
      </c>
      <c r="E188" s="21">
        <v>306.2</v>
      </c>
    </row>
    <row r="189" spans="1:5" x14ac:dyDescent="0.45">
      <c r="A189" s="18" t="s">
        <v>15</v>
      </c>
      <c r="B189" s="19" t="s">
        <v>478</v>
      </c>
      <c r="C189" s="22" t="s">
        <v>35</v>
      </c>
      <c r="D189" s="20" t="s">
        <v>18</v>
      </c>
      <c r="E189" s="21">
        <v>306.2</v>
      </c>
    </row>
    <row r="190" spans="1:5" x14ac:dyDescent="0.45">
      <c r="A190" s="18" t="s">
        <v>15</v>
      </c>
      <c r="B190" s="19" t="s">
        <v>478</v>
      </c>
      <c r="C190" s="22" t="s">
        <v>36</v>
      </c>
      <c r="D190" s="20" t="s">
        <v>18</v>
      </c>
      <c r="E190" s="21">
        <v>306.2</v>
      </c>
    </row>
    <row r="191" spans="1:5" x14ac:dyDescent="0.45">
      <c r="A191" s="18" t="s">
        <v>15</v>
      </c>
      <c r="B191" s="19" t="s">
        <v>478</v>
      </c>
      <c r="C191" s="22" t="s">
        <v>37</v>
      </c>
      <c r="D191" s="20" t="s">
        <v>18</v>
      </c>
      <c r="E191" s="21">
        <v>306.2</v>
      </c>
    </row>
    <row r="192" spans="1:5" x14ac:dyDescent="0.45">
      <c r="A192" s="18" t="s">
        <v>15</v>
      </c>
      <c r="B192" s="19" t="s">
        <v>478</v>
      </c>
      <c r="C192" s="22" t="s">
        <v>38</v>
      </c>
      <c r="D192" s="20" t="s">
        <v>18</v>
      </c>
      <c r="E192" s="21">
        <v>306.2</v>
      </c>
    </row>
    <row r="193" spans="1:5" x14ac:dyDescent="0.45">
      <c r="A193" s="18" t="s">
        <v>15</v>
      </c>
      <c r="B193" s="19" t="s">
        <v>478</v>
      </c>
      <c r="C193" s="22" t="s">
        <v>39</v>
      </c>
      <c r="D193" s="20" t="s">
        <v>18</v>
      </c>
      <c r="E193" s="21">
        <v>306.2</v>
      </c>
    </row>
    <row r="194" spans="1:5" x14ac:dyDescent="0.45">
      <c r="A194" s="18" t="s">
        <v>15</v>
      </c>
      <c r="B194" s="19" t="s">
        <v>478</v>
      </c>
      <c r="C194" s="22" t="s">
        <v>40</v>
      </c>
      <c r="D194" s="20" t="s">
        <v>18</v>
      </c>
      <c r="E194" s="21">
        <v>306.2</v>
      </c>
    </row>
    <row r="195" spans="1:5" x14ac:dyDescent="0.45">
      <c r="A195" s="18" t="s">
        <v>15</v>
      </c>
      <c r="B195" s="19" t="s">
        <v>478</v>
      </c>
      <c r="C195" s="22" t="s">
        <v>41</v>
      </c>
      <c r="D195" s="20" t="s">
        <v>18</v>
      </c>
      <c r="E195" s="21">
        <v>306.2</v>
      </c>
    </row>
    <row r="196" spans="1:5" x14ac:dyDescent="0.45">
      <c r="A196" s="18" t="s">
        <v>15</v>
      </c>
      <c r="B196" s="19" t="s">
        <v>478</v>
      </c>
      <c r="C196" s="22" t="s">
        <v>42</v>
      </c>
      <c r="D196" s="20" t="s">
        <v>18</v>
      </c>
      <c r="E196" s="21">
        <v>306.2</v>
      </c>
    </row>
    <row r="197" spans="1:5" x14ac:dyDescent="0.45">
      <c r="A197" s="18" t="s">
        <v>15</v>
      </c>
      <c r="B197" s="19" t="s">
        <v>478</v>
      </c>
      <c r="C197" s="22" t="s">
        <v>43</v>
      </c>
      <c r="D197" s="20" t="s">
        <v>18</v>
      </c>
      <c r="E197" s="21">
        <v>306.2</v>
      </c>
    </row>
    <row r="198" spans="1:5" x14ac:dyDescent="0.45">
      <c r="A198" s="18" t="s">
        <v>15</v>
      </c>
      <c r="B198" s="19" t="s">
        <v>478</v>
      </c>
      <c r="C198" s="22" t="s">
        <v>44</v>
      </c>
      <c r="D198" s="20" t="s">
        <v>18</v>
      </c>
      <c r="E198" s="21">
        <v>306.2</v>
      </c>
    </row>
    <row r="199" spans="1:5" x14ac:dyDescent="0.45">
      <c r="A199" s="18" t="s">
        <v>15</v>
      </c>
      <c r="B199" s="19" t="s">
        <v>478</v>
      </c>
      <c r="C199" s="22" t="s">
        <v>45</v>
      </c>
      <c r="D199" s="20" t="s">
        <v>18</v>
      </c>
      <c r="E199" s="21">
        <v>306.2</v>
      </c>
    </row>
    <row r="200" spans="1:5" x14ac:dyDescent="0.45">
      <c r="A200" s="18" t="s">
        <v>15</v>
      </c>
      <c r="B200" s="19" t="s">
        <v>478</v>
      </c>
      <c r="C200" s="22" t="s">
        <v>46</v>
      </c>
      <c r="D200" s="20" t="s">
        <v>18</v>
      </c>
      <c r="E200" s="21">
        <v>306.2</v>
      </c>
    </row>
    <row r="201" spans="1:5" x14ac:dyDescent="0.45">
      <c r="A201" s="18" t="s">
        <v>15</v>
      </c>
      <c r="B201" s="19" t="s">
        <v>478</v>
      </c>
      <c r="C201" s="22" t="s">
        <v>47</v>
      </c>
      <c r="D201" s="20" t="s">
        <v>18</v>
      </c>
      <c r="E201" s="21">
        <v>306.2</v>
      </c>
    </row>
    <row r="202" spans="1:5" x14ac:dyDescent="0.45">
      <c r="A202" s="18" t="s">
        <v>15</v>
      </c>
      <c r="B202" s="19" t="s">
        <v>478</v>
      </c>
      <c r="C202" s="22" t="s">
        <v>48</v>
      </c>
      <c r="D202" s="20" t="s">
        <v>18</v>
      </c>
      <c r="E202" s="21">
        <v>306.2</v>
      </c>
    </row>
    <row r="203" spans="1:5" x14ac:dyDescent="0.45">
      <c r="A203" s="18" t="s">
        <v>15</v>
      </c>
      <c r="B203" s="19" t="s">
        <v>478</v>
      </c>
      <c r="C203" s="22" t="s">
        <v>49</v>
      </c>
      <c r="D203" s="20" t="s">
        <v>18</v>
      </c>
      <c r="E203" s="21">
        <v>306.2</v>
      </c>
    </row>
    <row r="204" spans="1:5" x14ac:dyDescent="0.45">
      <c r="A204" s="18" t="s">
        <v>15</v>
      </c>
      <c r="B204" s="19" t="s">
        <v>478</v>
      </c>
      <c r="C204" s="22" t="s">
        <v>50</v>
      </c>
      <c r="D204" s="20" t="s">
        <v>18</v>
      </c>
      <c r="E204" s="21">
        <v>306.2</v>
      </c>
    </row>
    <row r="205" spans="1:5" x14ac:dyDescent="0.45">
      <c r="A205" s="18" t="s">
        <v>15</v>
      </c>
      <c r="B205" s="19" t="s">
        <v>478</v>
      </c>
      <c r="C205" s="22" t="s">
        <v>51</v>
      </c>
      <c r="D205" s="20" t="s">
        <v>18</v>
      </c>
      <c r="E205" s="21">
        <v>306.2</v>
      </c>
    </row>
    <row r="206" spans="1:5" x14ac:dyDescent="0.45">
      <c r="A206" s="18" t="s">
        <v>15</v>
      </c>
      <c r="B206" s="19" t="s">
        <v>478</v>
      </c>
      <c r="C206" s="22" t="s">
        <v>52</v>
      </c>
      <c r="D206" s="20" t="s">
        <v>18</v>
      </c>
      <c r="E206" s="21">
        <v>306.2</v>
      </c>
    </row>
    <row r="207" spans="1:5" x14ac:dyDescent="0.45">
      <c r="A207" s="18" t="s">
        <v>15</v>
      </c>
      <c r="B207" s="19" t="s">
        <v>478</v>
      </c>
      <c r="C207" s="22" t="s">
        <v>53</v>
      </c>
      <c r="D207" s="20" t="s">
        <v>18</v>
      </c>
      <c r="E207" s="21">
        <v>306.2</v>
      </c>
    </row>
    <row r="208" spans="1:5" x14ac:dyDescent="0.45">
      <c r="A208" s="18" t="s">
        <v>15</v>
      </c>
      <c r="B208" s="19" t="s">
        <v>478</v>
      </c>
      <c r="C208" s="22" t="s">
        <v>54</v>
      </c>
      <c r="D208" s="20" t="s">
        <v>18</v>
      </c>
      <c r="E208" s="21">
        <v>306.2</v>
      </c>
    </row>
    <row r="209" spans="1:5" x14ac:dyDescent="0.45">
      <c r="A209" s="18" t="s">
        <v>15</v>
      </c>
      <c r="B209" s="19" t="s">
        <v>478</v>
      </c>
      <c r="C209" s="22" t="s">
        <v>55</v>
      </c>
      <c r="D209" s="20" t="s">
        <v>18</v>
      </c>
      <c r="E209" s="21">
        <v>306.2</v>
      </c>
    </row>
    <row r="210" spans="1:5" x14ac:dyDescent="0.45">
      <c r="A210" s="18" t="s">
        <v>15</v>
      </c>
      <c r="B210" s="19" t="s">
        <v>478</v>
      </c>
      <c r="C210" s="22" t="s">
        <v>56</v>
      </c>
      <c r="D210" s="20" t="s">
        <v>18</v>
      </c>
      <c r="E210" s="21">
        <v>306.2</v>
      </c>
    </row>
    <row r="211" spans="1:5" x14ac:dyDescent="0.45">
      <c r="A211" s="18" t="s">
        <v>15</v>
      </c>
      <c r="B211" s="19" t="s">
        <v>478</v>
      </c>
      <c r="C211" s="22" t="s">
        <v>57</v>
      </c>
      <c r="D211" s="20" t="s">
        <v>18</v>
      </c>
      <c r="E211" s="21">
        <v>306.2</v>
      </c>
    </row>
    <row r="212" spans="1:5" x14ac:dyDescent="0.45">
      <c r="A212" s="18" t="s">
        <v>15</v>
      </c>
      <c r="B212" s="19" t="s">
        <v>478</v>
      </c>
      <c r="C212" s="22" t="s">
        <v>58</v>
      </c>
      <c r="D212" s="20" t="s">
        <v>18</v>
      </c>
      <c r="E212" s="21">
        <v>306.2</v>
      </c>
    </row>
    <row r="213" spans="1:5" x14ac:dyDescent="0.45">
      <c r="A213" s="18" t="s">
        <v>15</v>
      </c>
      <c r="B213" s="19" t="s">
        <v>478</v>
      </c>
      <c r="C213" s="22" t="s">
        <v>59</v>
      </c>
      <c r="D213" s="20" t="s">
        <v>18</v>
      </c>
      <c r="E213" s="21">
        <v>306.2</v>
      </c>
    </row>
    <row r="214" spans="1:5" x14ac:dyDescent="0.45">
      <c r="A214" s="18" t="s">
        <v>15</v>
      </c>
      <c r="B214" s="19" t="s">
        <v>478</v>
      </c>
      <c r="C214" s="22" t="s">
        <v>60</v>
      </c>
      <c r="D214" s="20" t="s">
        <v>18</v>
      </c>
      <c r="E214" s="21">
        <v>306.2</v>
      </c>
    </row>
    <row r="215" spans="1:5" x14ac:dyDescent="0.45">
      <c r="A215" s="18" t="s">
        <v>15</v>
      </c>
      <c r="B215" s="19" t="s">
        <v>478</v>
      </c>
      <c r="C215" s="22" t="s">
        <v>61</v>
      </c>
      <c r="D215" s="20" t="s">
        <v>18</v>
      </c>
      <c r="E215" s="21">
        <v>306.2</v>
      </c>
    </row>
    <row r="216" spans="1:5" x14ac:dyDescent="0.45">
      <c r="A216" s="18" t="s">
        <v>15</v>
      </c>
      <c r="B216" s="19" t="s">
        <v>478</v>
      </c>
      <c r="C216" s="22" t="s">
        <v>62</v>
      </c>
      <c r="D216" s="20" t="s">
        <v>18</v>
      </c>
      <c r="E216" s="21">
        <v>306.2</v>
      </c>
    </row>
    <row r="217" spans="1:5" x14ac:dyDescent="0.45">
      <c r="A217" s="18" t="s">
        <v>15</v>
      </c>
      <c r="B217" s="19" t="s">
        <v>478</v>
      </c>
      <c r="C217" s="22" t="s">
        <v>63</v>
      </c>
      <c r="D217" s="20" t="s">
        <v>18</v>
      </c>
      <c r="E217" s="21">
        <v>306.2</v>
      </c>
    </row>
    <row r="218" spans="1:5" x14ac:dyDescent="0.45">
      <c r="A218" s="18" t="s">
        <v>15</v>
      </c>
      <c r="B218" s="19" t="s">
        <v>478</v>
      </c>
      <c r="C218" s="22" t="s">
        <v>64</v>
      </c>
      <c r="D218" s="20" t="s">
        <v>18</v>
      </c>
      <c r="E218" s="21">
        <v>306.2</v>
      </c>
    </row>
    <row r="219" spans="1:5" x14ac:dyDescent="0.45">
      <c r="A219" s="18" t="s">
        <v>15</v>
      </c>
      <c r="B219" s="19" t="s">
        <v>478</v>
      </c>
      <c r="C219" s="22" t="s">
        <v>65</v>
      </c>
      <c r="D219" s="20" t="s">
        <v>18</v>
      </c>
      <c r="E219" s="21">
        <v>306.2</v>
      </c>
    </row>
    <row r="220" spans="1:5" x14ac:dyDescent="0.45">
      <c r="A220" s="18" t="s">
        <v>15</v>
      </c>
      <c r="B220" s="19" t="s">
        <v>478</v>
      </c>
      <c r="C220" s="22" t="s">
        <v>66</v>
      </c>
      <c r="D220" s="20" t="s">
        <v>18</v>
      </c>
      <c r="E220" s="21">
        <v>306.2</v>
      </c>
    </row>
    <row r="221" spans="1:5" x14ac:dyDescent="0.45">
      <c r="A221" s="18" t="s">
        <v>15</v>
      </c>
      <c r="B221" s="19" t="s">
        <v>478</v>
      </c>
      <c r="C221" s="22" t="s">
        <v>67</v>
      </c>
      <c r="D221" s="20" t="s">
        <v>18</v>
      </c>
      <c r="E221" s="21">
        <v>306.2</v>
      </c>
    </row>
    <row r="222" spans="1:5" x14ac:dyDescent="0.45">
      <c r="A222" s="18" t="s">
        <v>15</v>
      </c>
      <c r="B222" s="19" t="s">
        <v>478</v>
      </c>
      <c r="C222" s="22" t="s">
        <v>68</v>
      </c>
      <c r="D222" s="20" t="s">
        <v>18</v>
      </c>
      <c r="E222" s="21">
        <v>306.2</v>
      </c>
    </row>
    <row r="223" spans="1:5" x14ac:dyDescent="0.45">
      <c r="A223" s="18" t="s">
        <v>15</v>
      </c>
      <c r="B223" s="19" t="s">
        <v>478</v>
      </c>
      <c r="C223" s="22" t="s">
        <v>69</v>
      </c>
      <c r="D223" s="20" t="s">
        <v>18</v>
      </c>
      <c r="E223" s="21">
        <v>306.2</v>
      </c>
    </row>
    <row r="224" spans="1:5" x14ac:dyDescent="0.45">
      <c r="A224" s="18" t="s">
        <v>15</v>
      </c>
      <c r="B224" s="19" t="s">
        <v>478</v>
      </c>
      <c r="C224" s="22" t="s">
        <v>70</v>
      </c>
      <c r="D224" s="20" t="s">
        <v>18</v>
      </c>
      <c r="E224" s="21">
        <v>306.2</v>
      </c>
    </row>
    <row r="225" spans="1:6" x14ac:dyDescent="0.45">
      <c r="A225" s="18" t="s">
        <v>15</v>
      </c>
      <c r="B225" s="19" t="s">
        <v>478</v>
      </c>
      <c r="C225" s="22" t="s">
        <v>71</v>
      </c>
      <c r="D225" s="20" t="s">
        <v>18</v>
      </c>
      <c r="E225" s="21">
        <v>306.2</v>
      </c>
    </row>
    <row r="226" spans="1:6" x14ac:dyDescent="0.45">
      <c r="A226" s="18" t="s">
        <v>15</v>
      </c>
      <c r="B226" s="19" t="s">
        <v>478</v>
      </c>
      <c r="C226" s="22" t="s">
        <v>72</v>
      </c>
      <c r="D226" s="20" t="s">
        <v>18</v>
      </c>
      <c r="E226" s="21">
        <v>306.2</v>
      </c>
    </row>
    <row r="227" spans="1:6" x14ac:dyDescent="0.45">
      <c r="A227" s="18" t="s">
        <v>15</v>
      </c>
      <c r="B227" s="19" t="s">
        <v>478</v>
      </c>
      <c r="C227" s="22" t="s">
        <v>73</v>
      </c>
      <c r="D227" s="20" t="s">
        <v>18</v>
      </c>
      <c r="E227" s="21">
        <v>306.2</v>
      </c>
    </row>
    <row r="228" spans="1:6" x14ac:dyDescent="0.45">
      <c r="A228" s="18" t="s">
        <v>15</v>
      </c>
      <c r="B228" s="19" t="s">
        <v>478</v>
      </c>
      <c r="C228" s="22" t="s">
        <v>74</v>
      </c>
      <c r="D228" s="20" t="s">
        <v>18</v>
      </c>
      <c r="E228" s="21">
        <v>306.2</v>
      </c>
    </row>
    <row r="229" spans="1:6" x14ac:dyDescent="0.45">
      <c r="A229" s="18" t="s">
        <v>15</v>
      </c>
      <c r="B229" s="19" t="s">
        <v>478</v>
      </c>
      <c r="C229" s="22" t="s">
        <v>75</v>
      </c>
      <c r="D229" s="20" t="s">
        <v>18</v>
      </c>
      <c r="E229" s="21">
        <v>306.2</v>
      </c>
    </row>
    <row r="230" spans="1:6" x14ac:dyDescent="0.45">
      <c r="A230" s="18" t="s">
        <v>15</v>
      </c>
      <c r="B230" s="19" t="s">
        <v>478</v>
      </c>
      <c r="C230" s="22" t="s">
        <v>76</v>
      </c>
      <c r="D230" s="20" t="s">
        <v>18</v>
      </c>
      <c r="E230" s="21">
        <v>306.2</v>
      </c>
    </row>
    <row r="231" spans="1:6" x14ac:dyDescent="0.45">
      <c r="A231" s="18" t="s">
        <v>15</v>
      </c>
      <c r="B231" s="19" t="s">
        <v>478</v>
      </c>
      <c r="C231" s="22" t="s">
        <v>77</v>
      </c>
      <c r="D231" s="20" t="s">
        <v>18</v>
      </c>
      <c r="E231" s="21">
        <v>306.2</v>
      </c>
    </row>
    <row r="232" spans="1:6" x14ac:dyDescent="0.45">
      <c r="A232" s="18" t="s">
        <v>15</v>
      </c>
      <c r="B232" s="19" t="s">
        <v>478</v>
      </c>
      <c r="C232" s="22" t="s">
        <v>78</v>
      </c>
      <c r="D232" s="20" t="s">
        <v>18</v>
      </c>
      <c r="E232" s="21">
        <v>306.2</v>
      </c>
    </row>
    <row r="233" spans="1:6" x14ac:dyDescent="0.45">
      <c r="A233" s="18" t="s">
        <v>15</v>
      </c>
      <c r="B233" s="19" t="s">
        <v>478</v>
      </c>
      <c r="C233" s="22" t="s">
        <v>79</v>
      </c>
      <c r="D233" s="20" t="s">
        <v>18</v>
      </c>
      <c r="E233" s="21">
        <v>306.2</v>
      </c>
    </row>
    <row r="234" spans="1:6" x14ac:dyDescent="0.45">
      <c r="A234" s="18" t="s">
        <v>15</v>
      </c>
      <c r="B234" s="19" t="s">
        <v>478</v>
      </c>
      <c r="C234" s="22" t="s">
        <v>80</v>
      </c>
      <c r="D234" s="20" t="s">
        <v>18</v>
      </c>
      <c r="E234" s="21">
        <v>306.2</v>
      </c>
    </row>
    <row r="235" spans="1:6" x14ac:dyDescent="0.45">
      <c r="A235" s="18" t="s">
        <v>15</v>
      </c>
      <c r="B235" s="19" t="s">
        <v>478</v>
      </c>
      <c r="C235" s="22" t="s">
        <v>81</v>
      </c>
      <c r="D235" s="20" t="s">
        <v>18</v>
      </c>
      <c r="E235" s="21">
        <v>306.2</v>
      </c>
    </row>
    <row r="236" spans="1:6" x14ac:dyDescent="0.45">
      <c r="A236" s="18" t="s">
        <v>15</v>
      </c>
      <c r="B236" s="19" t="s">
        <v>478</v>
      </c>
      <c r="C236" s="22" t="s">
        <v>82</v>
      </c>
      <c r="D236" s="20" t="s">
        <v>18</v>
      </c>
      <c r="E236" s="21">
        <v>306.2</v>
      </c>
    </row>
    <row r="237" spans="1:6" x14ac:dyDescent="0.45">
      <c r="A237" s="18" t="s">
        <v>15</v>
      </c>
      <c r="B237" s="19" t="s">
        <v>478</v>
      </c>
      <c r="C237" s="22" t="s">
        <v>83</v>
      </c>
      <c r="D237" s="20" t="s">
        <v>18</v>
      </c>
      <c r="E237" s="21">
        <v>306.2</v>
      </c>
    </row>
    <row r="238" spans="1:6" x14ac:dyDescent="0.45">
      <c r="A238" s="18" t="s">
        <v>15</v>
      </c>
      <c r="B238" s="19" t="s">
        <v>478</v>
      </c>
      <c r="C238" s="22" t="s">
        <v>84</v>
      </c>
      <c r="D238" s="20" t="s">
        <v>18</v>
      </c>
      <c r="E238" s="21">
        <v>306.2</v>
      </c>
      <c r="F238" s="9"/>
    </row>
    <row r="239" spans="1:6" x14ac:dyDescent="0.45">
      <c r="A239" s="18" t="s">
        <v>15</v>
      </c>
      <c r="B239" s="19" t="s">
        <v>478</v>
      </c>
      <c r="C239" s="22" t="s">
        <v>85</v>
      </c>
      <c r="D239" s="20" t="s">
        <v>18</v>
      </c>
      <c r="E239" s="21">
        <v>306.2</v>
      </c>
    </row>
    <row r="240" spans="1:6" x14ac:dyDescent="0.45">
      <c r="A240" s="18" t="s">
        <v>15</v>
      </c>
      <c r="B240" s="19" t="s">
        <v>478</v>
      </c>
      <c r="C240" s="22" t="s">
        <v>86</v>
      </c>
      <c r="D240" s="20" t="s">
        <v>18</v>
      </c>
      <c r="E240" s="21">
        <v>306.2</v>
      </c>
    </row>
    <row r="241" spans="1:5" x14ac:dyDescent="0.45">
      <c r="A241" s="18" t="s">
        <v>15</v>
      </c>
      <c r="B241" s="19" t="s">
        <v>478</v>
      </c>
      <c r="C241" s="22" t="s">
        <v>87</v>
      </c>
      <c r="D241" s="20" t="s">
        <v>18</v>
      </c>
      <c r="E241" s="21">
        <v>306.2</v>
      </c>
    </row>
    <row r="242" spans="1:5" x14ac:dyDescent="0.45">
      <c r="A242" s="18" t="s">
        <v>15</v>
      </c>
      <c r="B242" s="19" t="s">
        <v>478</v>
      </c>
      <c r="C242" s="22" t="s">
        <v>88</v>
      </c>
      <c r="D242" s="20" t="s">
        <v>18</v>
      </c>
      <c r="E242" s="21">
        <v>306.2</v>
      </c>
    </row>
    <row r="243" spans="1:5" x14ac:dyDescent="0.45">
      <c r="A243" s="18" t="s">
        <v>15</v>
      </c>
      <c r="B243" s="19" t="s">
        <v>478</v>
      </c>
      <c r="C243" s="22" t="s">
        <v>89</v>
      </c>
      <c r="D243" s="20" t="s">
        <v>18</v>
      </c>
      <c r="E243" s="21">
        <v>306.2</v>
      </c>
    </row>
    <row r="244" spans="1:5" x14ac:dyDescent="0.45">
      <c r="A244" s="18" t="s">
        <v>15</v>
      </c>
      <c r="B244" s="19" t="s">
        <v>478</v>
      </c>
      <c r="C244" s="22" t="s">
        <v>90</v>
      </c>
      <c r="D244" s="20" t="s">
        <v>18</v>
      </c>
      <c r="E244" s="21">
        <v>306.2</v>
      </c>
    </row>
    <row r="245" spans="1:5" x14ac:dyDescent="0.45">
      <c r="A245" s="18" t="s">
        <v>15</v>
      </c>
      <c r="B245" s="19" t="s">
        <v>478</v>
      </c>
      <c r="C245" s="22" t="s">
        <v>91</v>
      </c>
      <c r="D245" s="20" t="s">
        <v>18</v>
      </c>
      <c r="E245" s="21">
        <v>306.2</v>
      </c>
    </row>
    <row r="246" spans="1:5" x14ac:dyDescent="0.45">
      <c r="A246" s="18" t="s">
        <v>15</v>
      </c>
      <c r="B246" s="19" t="s">
        <v>478</v>
      </c>
      <c r="C246" s="22" t="s">
        <v>92</v>
      </c>
      <c r="D246" s="20" t="s">
        <v>18</v>
      </c>
      <c r="E246" s="21">
        <v>306.2</v>
      </c>
    </row>
    <row r="247" spans="1:5" x14ac:dyDescent="0.45">
      <c r="A247" s="18" t="s">
        <v>15</v>
      </c>
      <c r="B247" s="19" t="s">
        <v>478</v>
      </c>
      <c r="C247" s="22" t="s">
        <v>93</v>
      </c>
      <c r="D247" s="20" t="s">
        <v>18</v>
      </c>
      <c r="E247" s="21">
        <v>306.2</v>
      </c>
    </row>
    <row r="248" spans="1:5" x14ac:dyDescent="0.45">
      <c r="A248" s="18" t="s">
        <v>15</v>
      </c>
      <c r="B248" s="19" t="s">
        <v>478</v>
      </c>
      <c r="C248" s="22" t="s">
        <v>94</v>
      </c>
      <c r="D248" s="20" t="s">
        <v>18</v>
      </c>
      <c r="E248" s="21">
        <v>306.2</v>
      </c>
    </row>
    <row r="249" spans="1:5" x14ac:dyDescent="0.45">
      <c r="A249" s="18" t="s">
        <v>15</v>
      </c>
      <c r="B249" s="19" t="s">
        <v>478</v>
      </c>
      <c r="C249" s="22" t="s">
        <v>95</v>
      </c>
      <c r="D249" s="20" t="s">
        <v>18</v>
      </c>
      <c r="E249" s="21">
        <v>306.2</v>
      </c>
    </row>
    <row r="250" spans="1:5" x14ac:dyDescent="0.45">
      <c r="A250" s="18" t="s">
        <v>15</v>
      </c>
      <c r="B250" s="19" t="s">
        <v>478</v>
      </c>
      <c r="C250" s="22" t="s">
        <v>96</v>
      </c>
      <c r="D250" s="20" t="s">
        <v>18</v>
      </c>
      <c r="E250" s="21">
        <v>306.2</v>
      </c>
    </row>
    <row r="251" spans="1:5" x14ac:dyDescent="0.45">
      <c r="A251" s="18" t="s">
        <v>15</v>
      </c>
      <c r="B251" s="19" t="s">
        <v>478</v>
      </c>
      <c r="C251" s="22" t="s">
        <v>97</v>
      </c>
      <c r="D251" s="20" t="s">
        <v>18</v>
      </c>
      <c r="E251" s="21">
        <v>306.2</v>
      </c>
    </row>
    <row r="252" spans="1:5" x14ac:dyDescent="0.45">
      <c r="A252" s="18" t="s">
        <v>15</v>
      </c>
      <c r="B252" s="19" t="s">
        <v>478</v>
      </c>
      <c r="C252" s="22" t="s">
        <v>98</v>
      </c>
      <c r="D252" s="20" t="s">
        <v>18</v>
      </c>
      <c r="E252" s="21">
        <v>306.2</v>
      </c>
    </row>
    <row r="253" spans="1:5" x14ac:dyDescent="0.45">
      <c r="A253" s="18" t="s">
        <v>15</v>
      </c>
      <c r="B253" s="19" t="s">
        <v>478</v>
      </c>
      <c r="C253" s="22" t="s">
        <v>99</v>
      </c>
      <c r="D253" s="20" t="s">
        <v>18</v>
      </c>
      <c r="E253" s="21">
        <v>306.2</v>
      </c>
    </row>
    <row r="254" spans="1:5" x14ac:dyDescent="0.45">
      <c r="A254" s="18" t="s">
        <v>15</v>
      </c>
      <c r="B254" s="19" t="s">
        <v>478</v>
      </c>
      <c r="C254" s="22" t="s">
        <v>100</v>
      </c>
      <c r="D254" s="20" t="s">
        <v>18</v>
      </c>
      <c r="E254" s="21">
        <v>306.2</v>
      </c>
    </row>
    <row r="255" spans="1:5" x14ac:dyDescent="0.45">
      <c r="A255" s="18" t="s">
        <v>15</v>
      </c>
      <c r="B255" s="19" t="s">
        <v>478</v>
      </c>
      <c r="C255" s="22" t="s">
        <v>101</v>
      </c>
      <c r="D255" s="20" t="s">
        <v>18</v>
      </c>
      <c r="E255" s="21">
        <v>306.2</v>
      </c>
    </row>
    <row r="256" spans="1:5" x14ac:dyDescent="0.45">
      <c r="A256" s="18" t="s">
        <v>15</v>
      </c>
      <c r="B256" s="19" t="s">
        <v>478</v>
      </c>
      <c r="C256" s="22" t="s">
        <v>102</v>
      </c>
      <c r="D256" s="20" t="s">
        <v>18</v>
      </c>
      <c r="E256" s="21">
        <v>306.2</v>
      </c>
    </row>
    <row r="257" spans="1:5" x14ac:dyDescent="0.45">
      <c r="A257" s="18" t="s">
        <v>15</v>
      </c>
      <c r="B257" s="19" t="s">
        <v>478</v>
      </c>
      <c r="C257" s="22" t="s">
        <v>103</v>
      </c>
      <c r="D257" s="20" t="s">
        <v>18</v>
      </c>
      <c r="E257" s="21">
        <v>306.2</v>
      </c>
    </row>
    <row r="258" spans="1:5" x14ac:dyDescent="0.45">
      <c r="A258" s="18" t="s">
        <v>15</v>
      </c>
      <c r="B258" s="19" t="s">
        <v>478</v>
      </c>
      <c r="C258" s="22" t="s">
        <v>104</v>
      </c>
      <c r="D258" s="20" t="s">
        <v>18</v>
      </c>
      <c r="E258" s="21">
        <v>306.2</v>
      </c>
    </row>
    <row r="259" spans="1:5" x14ac:dyDescent="0.45">
      <c r="A259" s="18" t="s">
        <v>15</v>
      </c>
      <c r="B259" s="19" t="s">
        <v>478</v>
      </c>
      <c r="C259" s="22" t="s">
        <v>105</v>
      </c>
      <c r="D259" s="20" t="s">
        <v>18</v>
      </c>
      <c r="E259" s="21">
        <v>306.2</v>
      </c>
    </row>
    <row r="260" spans="1:5" x14ac:dyDescent="0.45">
      <c r="A260" s="18" t="s">
        <v>15</v>
      </c>
      <c r="B260" s="19" t="s">
        <v>478</v>
      </c>
      <c r="C260" s="22" t="s">
        <v>106</v>
      </c>
      <c r="D260" s="20" t="s">
        <v>18</v>
      </c>
      <c r="E260" s="21">
        <v>306.2</v>
      </c>
    </row>
    <row r="261" spans="1:5" x14ac:dyDescent="0.45">
      <c r="A261" s="18" t="s">
        <v>15</v>
      </c>
      <c r="B261" s="19" t="s">
        <v>478</v>
      </c>
      <c r="C261" s="22" t="s">
        <v>107</v>
      </c>
      <c r="D261" s="20" t="s">
        <v>18</v>
      </c>
      <c r="E261" s="21">
        <v>306.2</v>
      </c>
    </row>
    <row r="262" spans="1:5" x14ac:dyDescent="0.45">
      <c r="A262" s="18" t="s">
        <v>15</v>
      </c>
      <c r="B262" s="19" t="s">
        <v>478</v>
      </c>
      <c r="C262" s="22" t="s">
        <v>108</v>
      </c>
      <c r="D262" s="20" t="s">
        <v>18</v>
      </c>
      <c r="E262" s="21">
        <v>306.2</v>
      </c>
    </row>
    <row r="263" spans="1:5" x14ac:dyDescent="0.45">
      <c r="A263" s="18" t="s">
        <v>15</v>
      </c>
      <c r="B263" s="19" t="s">
        <v>478</v>
      </c>
      <c r="C263" s="22" t="s">
        <v>109</v>
      </c>
      <c r="D263" s="20" t="s">
        <v>18</v>
      </c>
      <c r="E263" s="21">
        <v>306.2</v>
      </c>
    </row>
    <row r="264" spans="1:5" x14ac:dyDescent="0.45">
      <c r="A264" s="18" t="s">
        <v>15</v>
      </c>
      <c r="B264" s="19" t="s">
        <v>478</v>
      </c>
      <c r="C264" s="22" t="s">
        <v>110</v>
      </c>
      <c r="D264" s="20" t="s">
        <v>18</v>
      </c>
      <c r="E264" s="21">
        <v>306.2</v>
      </c>
    </row>
    <row r="265" spans="1:5" x14ac:dyDescent="0.45">
      <c r="A265" s="18" t="s">
        <v>15</v>
      </c>
      <c r="B265" s="19" t="s">
        <v>478</v>
      </c>
      <c r="C265" s="22" t="s">
        <v>111</v>
      </c>
      <c r="D265" s="20" t="s">
        <v>18</v>
      </c>
      <c r="E265" s="21">
        <v>306.2</v>
      </c>
    </row>
    <row r="266" spans="1:5" x14ac:dyDescent="0.45">
      <c r="A266" s="18" t="s">
        <v>15</v>
      </c>
      <c r="B266" s="19" t="s">
        <v>478</v>
      </c>
      <c r="C266" s="22" t="s">
        <v>112</v>
      </c>
      <c r="D266" s="20" t="s">
        <v>18</v>
      </c>
      <c r="E266" s="21">
        <v>306.2</v>
      </c>
    </row>
    <row r="267" spans="1:5" x14ac:dyDescent="0.45">
      <c r="A267" s="18" t="s">
        <v>15</v>
      </c>
      <c r="B267" s="19" t="s">
        <v>478</v>
      </c>
      <c r="C267" s="22" t="s">
        <v>113</v>
      </c>
      <c r="D267" s="20" t="s">
        <v>18</v>
      </c>
      <c r="E267" s="21">
        <v>306.2</v>
      </c>
    </row>
    <row r="268" spans="1:5" x14ac:dyDescent="0.45">
      <c r="A268" s="18" t="s">
        <v>15</v>
      </c>
      <c r="B268" s="19" t="s">
        <v>478</v>
      </c>
      <c r="C268" s="22" t="s">
        <v>114</v>
      </c>
      <c r="D268" s="20" t="s">
        <v>18</v>
      </c>
      <c r="E268" s="21">
        <v>306.2</v>
      </c>
    </row>
    <row r="269" spans="1:5" x14ac:dyDescent="0.45">
      <c r="A269" s="18" t="s">
        <v>15</v>
      </c>
      <c r="B269" s="19" t="s">
        <v>478</v>
      </c>
      <c r="C269" s="22" t="s">
        <v>115</v>
      </c>
      <c r="D269" s="20" t="s">
        <v>18</v>
      </c>
      <c r="E269" s="21">
        <v>306.2</v>
      </c>
    </row>
    <row r="270" spans="1:5" x14ac:dyDescent="0.45">
      <c r="A270" s="18" t="s">
        <v>15</v>
      </c>
      <c r="B270" s="19" t="s">
        <v>478</v>
      </c>
      <c r="C270" s="22" t="s">
        <v>116</v>
      </c>
      <c r="D270" s="20" t="s">
        <v>18</v>
      </c>
      <c r="E270" s="21">
        <v>306.2</v>
      </c>
    </row>
    <row r="271" spans="1:5" x14ac:dyDescent="0.45">
      <c r="A271" s="18" t="s">
        <v>15</v>
      </c>
      <c r="B271" s="19" t="s">
        <v>478</v>
      </c>
      <c r="C271" s="22" t="s">
        <v>117</v>
      </c>
      <c r="D271" s="20" t="s">
        <v>18</v>
      </c>
      <c r="E271" s="21">
        <v>306.2</v>
      </c>
    </row>
    <row r="272" spans="1:5" x14ac:dyDescent="0.45">
      <c r="A272" s="18" t="s">
        <v>15</v>
      </c>
      <c r="B272" s="19" t="s">
        <v>478</v>
      </c>
      <c r="C272" s="22" t="s">
        <v>118</v>
      </c>
      <c r="D272" s="20" t="s">
        <v>18</v>
      </c>
      <c r="E272" s="21">
        <v>306.2</v>
      </c>
    </row>
    <row r="273" spans="1:5" x14ac:dyDescent="0.45">
      <c r="A273" s="18" t="s">
        <v>15</v>
      </c>
      <c r="B273" s="19" t="s">
        <v>478</v>
      </c>
      <c r="C273" s="22" t="s">
        <v>119</v>
      </c>
      <c r="D273" s="20" t="s">
        <v>18</v>
      </c>
      <c r="E273" s="21">
        <v>306.2</v>
      </c>
    </row>
    <row r="274" spans="1:5" x14ac:dyDescent="0.45">
      <c r="A274" s="18" t="s">
        <v>15</v>
      </c>
      <c r="B274" s="19" t="s">
        <v>478</v>
      </c>
      <c r="C274" s="22" t="s">
        <v>120</v>
      </c>
      <c r="D274" s="20" t="s">
        <v>18</v>
      </c>
      <c r="E274" s="21">
        <v>306.2</v>
      </c>
    </row>
    <row r="275" spans="1:5" ht="15" customHeight="1" x14ac:dyDescent="0.45">
      <c r="A275" s="24" t="s">
        <v>5</v>
      </c>
      <c r="B275" s="19" t="s">
        <v>478</v>
      </c>
      <c r="C275" s="22" t="s">
        <v>7</v>
      </c>
      <c r="D275" s="25" t="s">
        <v>8</v>
      </c>
      <c r="E275" s="21">
        <v>8.7617627530354198</v>
      </c>
    </row>
    <row r="276" spans="1:5" x14ac:dyDescent="0.45">
      <c r="A276" s="24" t="s">
        <v>5</v>
      </c>
      <c r="B276" s="19" t="s">
        <v>478</v>
      </c>
      <c r="C276" s="23" t="s">
        <v>9</v>
      </c>
      <c r="D276" s="25" t="s">
        <v>8</v>
      </c>
      <c r="E276" s="21">
        <f>1.83271287591511+0.699355765772355+23.6965393660799</f>
        <v>26.228608007767363</v>
      </c>
    </row>
    <row r="277" spans="1:5" ht="14.25" customHeight="1" x14ac:dyDescent="0.45">
      <c r="A277" s="24" t="s">
        <v>5</v>
      </c>
      <c r="B277" s="19" t="s">
        <v>478</v>
      </c>
      <c r="C277" s="23" t="s">
        <v>11</v>
      </c>
      <c r="D277" s="25" t="s">
        <v>8</v>
      </c>
      <c r="E277" s="21">
        <f>0.794035881175228+0.259790348838566+6.53631669485161+8.71621621621622</f>
        <v>16.306359141081622</v>
      </c>
    </row>
    <row r="278" spans="1:5" ht="14.75" customHeight="1" thickBot="1" x14ac:dyDescent="0.5">
      <c r="A278" s="52" t="s">
        <v>5</v>
      </c>
      <c r="B278" s="19" t="s">
        <v>478</v>
      </c>
      <c r="C278" s="53" t="s">
        <v>13</v>
      </c>
      <c r="D278" s="54" t="s">
        <v>8</v>
      </c>
      <c r="E278" s="55">
        <f>9.31371545207318</f>
        <v>9.3137154520731809</v>
      </c>
    </row>
    <row r="279" spans="1:5" ht="14.75" customHeight="1" thickTop="1" x14ac:dyDescent="0.45">
      <c r="A279" s="24" t="s">
        <v>5</v>
      </c>
      <c r="B279" s="19" t="s">
        <v>478</v>
      </c>
      <c r="C279" s="22" t="s">
        <v>162</v>
      </c>
      <c r="D279" s="25" t="s">
        <v>8</v>
      </c>
      <c r="E279" s="21">
        <v>8.7617627530354198</v>
      </c>
    </row>
    <row r="280" spans="1:5" x14ac:dyDescent="0.45">
      <c r="A280" s="24" t="s">
        <v>5</v>
      </c>
      <c r="B280" s="19" t="s">
        <v>478</v>
      </c>
      <c r="C280" s="23" t="s">
        <v>163</v>
      </c>
      <c r="D280" s="25" t="s">
        <v>8</v>
      </c>
      <c r="E280" s="21">
        <f>9.31371545207318</f>
        <v>9.3137154520731809</v>
      </c>
    </row>
    <row r="281" spans="1:5" x14ac:dyDescent="0.45">
      <c r="A281" s="24" t="s">
        <v>5</v>
      </c>
      <c r="B281" s="19" t="s">
        <v>478</v>
      </c>
      <c r="C281" s="23" t="s">
        <v>164</v>
      </c>
      <c r="D281" s="25" t="s">
        <v>8</v>
      </c>
      <c r="E281" s="21">
        <f>1.83271287591511+0.699355765772355+23.6965393660799</f>
        <v>26.228608007767363</v>
      </c>
    </row>
    <row r="282" spans="1:5" x14ac:dyDescent="0.45">
      <c r="A282" s="24" t="s">
        <v>5</v>
      </c>
      <c r="B282" s="19" t="s">
        <v>478</v>
      </c>
      <c r="C282" s="23" t="s">
        <v>165</v>
      </c>
      <c r="D282" s="25" t="s">
        <v>8</v>
      </c>
      <c r="E282" s="21">
        <f>1.83271287591511+0.699355765772355+23.6965393660799</f>
        <v>26.228608007767363</v>
      </c>
    </row>
    <row r="283" spans="1:5" x14ac:dyDescent="0.45">
      <c r="A283" s="24" t="s">
        <v>5</v>
      </c>
      <c r="B283" s="19" t="s">
        <v>478</v>
      </c>
      <c r="C283" s="23" t="s">
        <v>166</v>
      </c>
      <c r="D283" s="25" t="s">
        <v>8</v>
      </c>
      <c r="E283" s="21">
        <f>1.83271287591511+0.699355765772355+23.6965393660799</f>
        <v>26.228608007767363</v>
      </c>
    </row>
    <row r="284" spans="1:5" ht="14.25" customHeight="1" x14ac:dyDescent="0.45">
      <c r="A284" s="24" t="s">
        <v>5</v>
      </c>
      <c r="B284" s="19" t="s">
        <v>478</v>
      </c>
      <c r="C284" s="23" t="s">
        <v>167</v>
      </c>
      <c r="D284" s="25" t="s">
        <v>8</v>
      </c>
      <c r="E284" s="21">
        <f t="shared" ref="E284" si="1">0.794035881175228+0.259790348838566+6.53631669485161+8.71621621621622</f>
        <v>16.306359141081622</v>
      </c>
    </row>
    <row r="285" spans="1:5" x14ac:dyDescent="0.45">
      <c r="A285" s="24" t="s">
        <v>461</v>
      </c>
      <c r="B285" s="19" t="s">
        <v>478</v>
      </c>
      <c r="C285" s="24" t="s">
        <v>212</v>
      </c>
      <c r="D285" s="24" t="s">
        <v>8</v>
      </c>
      <c r="E285" s="24">
        <v>0.47448299012375972</v>
      </c>
    </row>
    <row r="286" spans="1:5" x14ac:dyDescent="0.45">
      <c r="A286" s="24" t="s">
        <v>461</v>
      </c>
      <c r="B286" s="19" t="s">
        <v>478</v>
      </c>
      <c r="C286" s="24" t="s">
        <v>213</v>
      </c>
      <c r="D286" s="24" t="s">
        <v>8</v>
      </c>
      <c r="E286" s="24">
        <v>0.47448299012375972</v>
      </c>
    </row>
    <row r="287" spans="1:5" x14ac:dyDescent="0.45">
      <c r="A287" s="24" t="s">
        <v>461</v>
      </c>
      <c r="B287" s="19" t="s">
        <v>478</v>
      </c>
      <c r="C287" s="24" t="s">
        <v>214</v>
      </c>
      <c r="D287" s="24" t="s">
        <v>8</v>
      </c>
      <c r="E287" s="24">
        <v>0.47448299012375972</v>
      </c>
    </row>
    <row r="288" spans="1:5" x14ac:dyDescent="0.45">
      <c r="A288" s="24" t="s">
        <v>461</v>
      </c>
      <c r="B288" s="19" t="s">
        <v>478</v>
      </c>
      <c r="C288" s="24" t="s">
        <v>215</v>
      </c>
      <c r="D288" s="24" t="s">
        <v>8</v>
      </c>
      <c r="E288" s="24">
        <v>0.47448299012375972</v>
      </c>
    </row>
    <row r="289" spans="1:5" x14ac:dyDescent="0.45">
      <c r="A289" s="24" t="s">
        <v>461</v>
      </c>
      <c r="B289" s="19" t="s">
        <v>478</v>
      </c>
      <c r="C289" s="24" t="s">
        <v>216</v>
      </c>
      <c r="D289" s="24" t="s">
        <v>8</v>
      </c>
      <c r="E289" s="24">
        <v>0.47448299012375972</v>
      </c>
    </row>
    <row r="290" spans="1:5" x14ac:dyDescent="0.45">
      <c r="A290" s="24" t="s">
        <v>461</v>
      </c>
      <c r="B290" s="19" t="s">
        <v>478</v>
      </c>
      <c r="C290" s="24" t="s">
        <v>217</v>
      </c>
      <c r="D290" s="24" t="s">
        <v>8</v>
      </c>
      <c r="E290" s="24">
        <v>0.47448299012375972</v>
      </c>
    </row>
    <row r="291" spans="1:5" x14ac:dyDescent="0.45">
      <c r="A291" s="24" t="s">
        <v>461</v>
      </c>
      <c r="B291" s="19" t="s">
        <v>478</v>
      </c>
      <c r="C291" s="24" t="s">
        <v>218</v>
      </c>
      <c r="D291" s="24" t="s">
        <v>8</v>
      </c>
      <c r="E291" s="24">
        <v>0.47448299012375972</v>
      </c>
    </row>
    <row r="292" spans="1:5" x14ac:dyDescent="0.45">
      <c r="A292" s="24" t="s">
        <v>461</v>
      </c>
      <c r="B292" s="19" t="s">
        <v>478</v>
      </c>
      <c r="C292" s="24" t="s">
        <v>219</v>
      </c>
      <c r="D292" s="24" t="s">
        <v>8</v>
      </c>
      <c r="E292" s="24">
        <v>0.47448299012375972</v>
      </c>
    </row>
    <row r="293" spans="1:5" x14ac:dyDescent="0.45">
      <c r="A293" s="24" t="s">
        <v>461</v>
      </c>
      <c r="B293" s="19" t="s">
        <v>478</v>
      </c>
      <c r="C293" s="24" t="s">
        <v>220</v>
      </c>
      <c r="D293" s="24" t="s">
        <v>8</v>
      </c>
      <c r="E293" s="24">
        <v>0.47448299012375972</v>
      </c>
    </row>
    <row r="294" spans="1:5" x14ac:dyDescent="0.45">
      <c r="A294" s="24" t="s">
        <v>461</v>
      </c>
      <c r="B294" s="19" t="s">
        <v>478</v>
      </c>
      <c r="C294" s="24" t="s">
        <v>221</v>
      </c>
      <c r="D294" s="24" t="s">
        <v>8</v>
      </c>
      <c r="E294" s="24">
        <v>7.0137417235817956E-2</v>
      </c>
    </row>
    <row r="295" spans="1:5" x14ac:dyDescent="0.45">
      <c r="A295" s="24" t="s">
        <v>461</v>
      </c>
      <c r="B295" s="19" t="s">
        <v>478</v>
      </c>
      <c r="C295" s="24" t="s">
        <v>222</v>
      </c>
      <c r="D295" s="24" t="s">
        <v>8</v>
      </c>
      <c r="E295" s="24">
        <v>7.0137417235817956E-2</v>
      </c>
    </row>
    <row r="296" spans="1:5" x14ac:dyDescent="0.45">
      <c r="A296" s="24" t="s">
        <v>461</v>
      </c>
      <c r="B296" s="19" t="s">
        <v>478</v>
      </c>
      <c r="C296" s="24" t="s">
        <v>223</v>
      </c>
      <c r="D296" s="24" t="s">
        <v>8</v>
      </c>
      <c r="E296" s="24">
        <v>7.0137417235817956E-2</v>
      </c>
    </row>
    <row r="297" spans="1:5" x14ac:dyDescent="0.45">
      <c r="A297" s="24" t="s">
        <v>461</v>
      </c>
      <c r="B297" s="19" t="s">
        <v>478</v>
      </c>
      <c r="C297" s="24" t="s">
        <v>224</v>
      </c>
      <c r="D297" s="24" t="s">
        <v>8</v>
      </c>
      <c r="E297" s="24">
        <v>7.0137417235817956E-2</v>
      </c>
    </row>
    <row r="298" spans="1:5" x14ac:dyDescent="0.45">
      <c r="A298" s="24" t="s">
        <v>461</v>
      </c>
      <c r="B298" s="19" t="s">
        <v>478</v>
      </c>
      <c r="C298" s="24" t="s">
        <v>236</v>
      </c>
      <c r="D298" s="24" t="s">
        <v>8</v>
      </c>
      <c r="E298" s="24">
        <v>3.3662903906841443E-2</v>
      </c>
    </row>
    <row r="299" spans="1:5" x14ac:dyDescent="0.45">
      <c r="A299" s="24" t="s">
        <v>461</v>
      </c>
      <c r="B299" s="19" t="s">
        <v>478</v>
      </c>
      <c r="C299" s="24" t="s">
        <v>237</v>
      </c>
      <c r="D299" s="24" t="s">
        <v>8</v>
      </c>
      <c r="E299" s="24">
        <v>3.3662903906841443E-2</v>
      </c>
    </row>
    <row r="300" spans="1:5" x14ac:dyDescent="0.45">
      <c r="A300" s="24" t="s">
        <v>461</v>
      </c>
      <c r="B300" s="19" t="s">
        <v>478</v>
      </c>
      <c r="C300" s="24" t="s">
        <v>238</v>
      </c>
      <c r="D300" s="24" t="s">
        <v>8</v>
      </c>
      <c r="E300" s="24">
        <v>3.3662903906841443E-2</v>
      </c>
    </row>
    <row r="301" spans="1:5" x14ac:dyDescent="0.45">
      <c r="A301" s="24" t="s">
        <v>461</v>
      </c>
      <c r="B301" s="19" t="s">
        <v>478</v>
      </c>
      <c r="C301" s="24" t="s">
        <v>239</v>
      </c>
      <c r="D301" s="24" t="s">
        <v>8</v>
      </c>
      <c r="E301" s="24">
        <v>3.3662903906841443E-2</v>
      </c>
    </row>
    <row r="302" spans="1:5" x14ac:dyDescent="0.45">
      <c r="A302" s="24" t="s">
        <v>461</v>
      </c>
      <c r="B302" s="19" t="s">
        <v>478</v>
      </c>
      <c r="C302" s="24" t="s">
        <v>240</v>
      </c>
      <c r="D302" s="24" t="s">
        <v>8</v>
      </c>
      <c r="E302" s="24">
        <v>3.3662903906841443E-2</v>
      </c>
    </row>
    <row r="303" spans="1:5" x14ac:dyDescent="0.45">
      <c r="A303" s="24" t="s">
        <v>461</v>
      </c>
      <c r="B303" s="19" t="s">
        <v>478</v>
      </c>
      <c r="C303" s="24" t="s">
        <v>241</v>
      </c>
      <c r="D303" s="24" t="s">
        <v>8</v>
      </c>
      <c r="E303" s="24">
        <v>3.3662903906841443E-2</v>
      </c>
    </row>
    <row r="304" spans="1:5" ht="28.5" x14ac:dyDescent="0.45">
      <c r="A304" s="24" t="s">
        <v>461</v>
      </c>
      <c r="B304" s="19" t="s">
        <v>478</v>
      </c>
      <c r="C304" s="24" t="s">
        <v>242</v>
      </c>
      <c r="D304" s="24" t="s">
        <v>8</v>
      </c>
      <c r="E304" s="24">
        <v>3.3662903906841443E-2</v>
      </c>
    </row>
    <row r="305" spans="1:5" x14ac:dyDescent="0.45">
      <c r="A305" s="24" t="s">
        <v>461</v>
      </c>
      <c r="B305" s="19" t="s">
        <v>478</v>
      </c>
      <c r="C305" s="24" t="s">
        <v>243</v>
      </c>
      <c r="D305" s="24" t="s">
        <v>8</v>
      </c>
      <c r="E305" s="24">
        <v>3.3662903906841443E-2</v>
      </c>
    </row>
    <row r="306" spans="1:5" x14ac:dyDescent="0.45">
      <c r="A306" s="24" t="s">
        <v>461</v>
      </c>
      <c r="B306" s="19" t="s">
        <v>478</v>
      </c>
      <c r="C306" s="24" t="s">
        <v>244</v>
      </c>
      <c r="D306" s="24" t="s">
        <v>8</v>
      </c>
      <c r="E306" s="24">
        <v>3.3662903906841443E-2</v>
      </c>
    </row>
    <row r="307" spans="1:5" x14ac:dyDescent="0.45">
      <c r="A307" s="24" t="s">
        <v>461</v>
      </c>
      <c r="B307" s="19" t="s">
        <v>478</v>
      </c>
      <c r="C307" s="24" t="s">
        <v>245</v>
      </c>
      <c r="D307" s="24" t="s">
        <v>8</v>
      </c>
      <c r="E307" s="24">
        <v>3.3662903906841443E-2</v>
      </c>
    </row>
    <row r="308" spans="1:5" x14ac:dyDescent="0.45">
      <c r="A308" s="24" t="s">
        <v>461</v>
      </c>
      <c r="B308" s="19" t="s">
        <v>478</v>
      </c>
      <c r="C308" s="24" t="s">
        <v>246</v>
      </c>
      <c r="D308" s="24" t="s">
        <v>8</v>
      </c>
      <c r="E308" s="24">
        <v>3.3662903906841443E-2</v>
      </c>
    </row>
    <row r="309" spans="1:5" x14ac:dyDescent="0.45">
      <c r="A309" s="24" t="s">
        <v>461</v>
      </c>
      <c r="B309" s="19" t="s">
        <v>478</v>
      </c>
      <c r="C309" s="24" t="s">
        <v>247</v>
      </c>
      <c r="D309" s="24" t="s">
        <v>8</v>
      </c>
      <c r="E309" s="24">
        <v>3.3662903906841443E-2</v>
      </c>
    </row>
    <row r="310" spans="1:5" x14ac:dyDescent="0.45">
      <c r="A310" s="24" t="s">
        <v>461</v>
      </c>
      <c r="B310" s="19" t="s">
        <v>478</v>
      </c>
      <c r="C310" s="24" t="s">
        <v>248</v>
      </c>
      <c r="D310" s="24" t="s">
        <v>8</v>
      </c>
      <c r="E310" s="24">
        <v>3.3662903906841443E-2</v>
      </c>
    </row>
    <row r="311" spans="1:5" x14ac:dyDescent="0.45">
      <c r="A311" s="24" t="s">
        <v>461</v>
      </c>
      <c r="B311" s="19" t="s">
        <v>478</v>
      </c>
      <c r="C311" s="24" t="s">
        <v>249</v>
      </c>
      <c r="D311" s="24" t="s">
        <v>8</v>
      </c>
      <c r="E311" s="24">
        <v>3.3662903906841443E-2</v>
      </c>
    </row>
    <row r="312" spans="1:5" x14ac:dyDescent="0.45">
      <c r="A312" s="24" t="s">
        <v>461</v>
      </c>
      <c r="B312" s="19" t="s">
        <v>478</v>
      </c>
      <c r="C312" s="24" t="s">
        <v>250</v>
      </c>
      <c r="D312" s="24" t="s">
        <v>8</v>
      </c>
      <c r="E312" s="24">
        <v>3.3662903906841443E-2</v>
      </c>
    </row>
    <row r="313" spans="1:5" x14ac:dyDescent="0.45">
      <c r="A313" s="24" t="s">
        <v>461</v>
      </c>
      <c r="B313" s="19" t="s">
        <v>478</v>
      </c>
      <c r="C313" s="24" t="s">
        <v>251</v>
      </c>
      <c r="D313" s="24" t="s">
        <v>8</v>
      </c>
      <c r="E313" s="24">
        <v>3.3662903906841443E-2</v>
      </c>
    </row>
    <row r="314" spans="1:5" x14ac:dyDescent="0.45">
      <c r="A314" s="24" t="s">
        <v>461</v>
      </c>
      <c r="B314" s="19" t="s">
        <v>478</v>
      </c>
      <c r="C314" s="24" t="s">
        <v>252</v>
      </c>
      <c r="D314" s="24" t="s">
        <v>8</v>
      </c>
      <c r="E314" s="24">
        <v>3.3662903906841443E-2</v>
      </c>
    </row>
    <row r="315" spans="1:5" x14ac:dyDescent="0.45">
      <c r="A315" s="24" t="s">
        <v>461</v>
      </c>
      <c r="B315" s="19" t="s">
        <v>478</v>
      </c>
      <c r="C315" s="24" t="s">
        <v>253</v>
      </c>
      <c r="D315" s="24" t="s">
        <v>8</v>
      </c>
      <c r="E315" s="24">
        <v>3.3662903906841443E-2</v>
      </c>
    </row>
    <row r="316" spans="1:5" x14ac:dyDescent="0.45">
      <c r="A316" s="24" t="s">
        <v>461</v>
      </c>
      <c r="B316" s="19" t="s">
        <v>478</v>
      </c>
      <c r="C316" s="24" t="s">
        <v>254</v>
      </c>
      <c r="D316" s="24" t="s">
        <v>8</v>
      </c>
      <c r="E316" s="24">
        <v>3.3662903906841443E-2</v>
      </c>
    </row>
    <row r="317" spans="1:5" x14ac:dyDescent="0.45">
      <c r="A317" s="24" t="s">
        <v>461</v>
      </c>
      <c r="B317" s="19" t="s">
        <v>478</v>
      </c>
      <c r="C317" s="24" t="s">
        <v>260</v>
      </c>
      <c r="D317" s="24" t="s">
        <v>8</v>
      </c>
      <c r="E317" s="24">
        <v>185.69758349435509</v>
      </c>
    </row>
    <row r="318" spans="1:5" x14ac:dyDescent="0.45">
      <c r="A318" s="24" t="s">
        <v>461</v>
      </c>
      <c r="B318" s="19" t="s">
        <v>478</v>
      </c>
      <c r="C318" s="24" t="s">
        <v>261</v>
      </c>
      <c r="D318" s="24" t="s">
        <v>8</v>
      </c>
      <c r="E318" s="24">
        <v>185.69758349435509</v>
      </c>
    </row>
    <row r="319" spans="1:5" x14ac:dyDescent="0.45">
      <c r="A319" s="24" t="s">
        <v>461</v>
      </c>
      <c r="B319" s="19" t="s">
        <v>478</v>
      </c>
      <c r="C319" s="24" t="s">
        <v>262</v>
      </c>
      <c r="D319" s="24" t="s">
        <v>8</v>
      </c>
      <c r="E319" s="24">
        <v>185.69758349435509</v>
      </c>
    </row>
    <row r="320" spans="1:5" x14ac:dyDescent="0.45">
      <c r="A320" s="24" t="s">
        <v>461</v>
      </c>
      <c r="B320" s="19" t="s">
        <v>478</v>
      </c>
      <c r="C320" s="24" t="s">
        <v>263</v>
      </c>
      <c r="D320" s="24" t="s">
        <v>8</v>
      </c>
      <c r="E320" s="24">
        <v>185.69758349435509</v>
      </c>
    </row>
    <row r="321" spans="1:5" x14ac:dyDescent="0.45">
      <c r="A321" s="24" t="s">
        <v>461</v>
      </c>
      <c r="B321" s="19" t="s">
        <v>478</v>
      </c>
      <c r="C321" s="24" t="s">
        <v>264</v>
      </c>
      <c r="D321" s="24" t="s">
        <v>8</v>
      </c>
      <c r="E321" s="24">
        <v>185.69758349435509</v>
      </c>
    </row>
    <row r="322" spans="1:5" x14ac:dyDescent="0.45">
      <c r="A322" s="24" t="s">
        <v>461</v>
      </c>
      <c r="B322" s="19" t="s">
        <v>478</v>
      </c>
      <c r="C322" s="24" t="s">
        <v>265</v>
      </c>
      <c r="D322" s="24" t="s">
        <v>8</v>
      </c>
      <c r="E322" s="24">
        <v>185.69758349435509</v>
      </c>
    </row>
    <row r="323" spans="1:5" x14ac:dyDescent="0.45">
      <c r="A323" s="24" t="s">
        <v>461</v>
      </c>
      <c r="B323" s="19" t="s">
        <v>478</v>
      </c>
      <c r="C323" s="24" t="s">
        <v>266</v>
      </c>
      <c r="D323" s="24" t="s">
        <v>8</v>
      </c>
      <c r="E323" s="24">
        <v>185.69758349435509</v>
      </c>
    </row>
    <row r="324" spans="1:5" x14ac:dyDescent="0.45">
      <c r="A324" s="24" t="s">
        <v>461</v>
      </c>
      <c r="B324" s="19" t="s">
        <v>478</v>
      </c>
      <c r="C324" s="24" t="s">
        <v>267</v>
      </c>
      <c r="D324" s="24" t="s">
        <v>8</v>
      </c>
      <c r="E324" s="24">
        <v>185.69758349435509</v>
      </c>
    </row>
    <row r="325" spans="1:5" x14ac:dyDescent="0.45">
      <c r="A325" s="24" t="s">
        <v>461</v>
      </c>
      <c r="B325" s="19" t="s">
        <v>478</v>
      </c>
      <c r="C325" s="24" t="s">
        <v>268</v>
      </c>
      <c r="D325" s="24" t="s">
        <v>8</v>
      </c>
      <c r="E325" s="24">
        <v>185.69758349435509</v>
      </c>
    </row>
    <row r="326" spans="1:5" x14ac:dyDescent="0.45">
      <c r="A326" s="24" t="s">
        <v>461</v>
      </c>
      <c r="B326" s="19" t="s">
        <v>478</v>
      </c>
      <c r="C326" s="24" t="s">
        <v>269</v>
      </c>
      <c r="D326" s="24" t="s">
        <v>8</v>
      </c>
      <c r="E326" s="24">
        <v>185.69758349435509</v>
      </c>
    </row>
    <row r="327" spans="1:5" x14ac:dyDescent="0.45">
      <c r="A327" s="24" t="s">
        <v>461</v>
      </c>
      <c r="B327" s="19" t="s">
        <v>478</v>
      </c>
      <c r="C327" s="24" t="s">
        <v>270</v>
      </c>
      <c r="D327" s="24" t="s">
        <v>8</v>
      </c>
      <c r="E327" s="24">
        <v>185.69758349435509</v>
      </c>
    </row>
    <row r="328" spans="1:5" x14ac:dyDescent="0.45">
      <c r="A328" s="24" t="s">
        <v>461</v>
      </c>
      <c r="B328" s="19" t="s">
        <v>478</v>
      </c>
      <c r="C328" s="24" t="s">
        <v>271</v>
      </c>
      <c r="D328" s="24" t="s">
        <v>8</v>
      </c>
      <c r="E328" s="24">
        <v>185.69758349435509</v>
      </c>
    </row>
    <row r="329" spans="1:5" x14ac:dyDescent="0.45">
      <c r="A329" s="24" t="s">
        <v>461</v>
      </c>
      <c r="B329" s="19" t="s">
        <v>478</v>
      </c>
      <c r="C329" s="24" t="s">
        <v>272</v>
      </c>
      <c r="D329" s="24" t="s">
        <v>8</v>
      </c>
      <c r="E329" s="24">
        <v>185.69758349435509</v>
      </c>
    </row>
    <row r="330" spans="1:5" x14ac:dyDescent="0.45">
      <c r="A330" s="24" t="s">
        <v>461</v>
      </c>
      <c r="B330" s="19" t="s">
        <v>478</v>
      </c>
      <c r="C330" s="24" t="s">
        <v>273</v>
      </c>
      <c r="D330" s="24" t="s">
        <v>8</v>
      </c>
      <c r="E330" s="24">
        <v>185.69758349435509</v>
      </c>
    </row>
    <row r="331" spans="1:5" x14ac:dyDescent="0.45">
      <c r="A331" s="24" t="s">
        <v>461</v>
      </c>
      <c r="B331" s="19" t="s">
        <v>478</v>
      </c>
      <c r="C331" s="24" t="s">
        <v>274</v>
      </c>
      <c r="D331" s="24" t="s">
        <v>8</v>
      </c>
      <c r="E331" s="24">
        <v>3047.4121773829488</v>
      </c>
    </row>
    <row r="332" spans="1:5" x14ac:dyDescent="0.45">
      <c r="A332" s="24" t="s">
        <v>461</v>
      </c>
      <c r="B332" s="19" t="s">
        <v>478</v>
      </c>
      <c r="C332" s="24" t="s">
        <v>275</v>
      </c>
      <c r="D332" s="24" t="s">
        <v>8</v>
      </c>
      <c r="E332" s="24">
        <v>3047.4121773829488</v>
      </c>
    </row>
    <row r="333" spans="1:5" x14ac:dyDescent="0.45">
      <c r="A333" s="24" t="s">
        <v>461</v>
      </c>
      <c r="B333" s="19" t="s">
        <v>478</v>
      </c>
      <c r="C333" s="24" t="s">
        <v>276</v>
      </c>
      <c r="D333" s="24" t="s">
        <v>8</v>
      </c>
      <c r="E333" s="24">
        <v>3047.4121773829488</v>
      </c>
    </row>
    <row r="334" spans="1:5" x14ac:dyDescent="0.45">
      <c r="A334" s="24" t="s">
        <v>461</v>
      </c>
      <c r="B334" s="19" t="s">
        <v>478</v>
      </c>
      <c r="C334" s="24" t="s">
        <v>277</v>
      </c>
      <c r="D334" s="24" t="s">
        <v>8</v>
      </c>
      <c r="E334" s="24">
        <v>3047.4121773829488</v>
      </c>
    </row>
    <row r="335" spans="1:5" x14ac:dyDescent="0.45">
      <c r="A335" s="24" t="s">
        <v>461</v>
      </c>
      <c r="B335" s="19" t="s">
        <v>478</v>
      </c>
      <c r="C335" s="24" t="s">
        <v>278</v>
      </c>
      <c r="D335" s="24" t="s">
        <v>8</v>
      </c>
      <c r="E335" s="24">
        <v>3047.4121773829488</v>
      </c>
    </row>
    <row r="336" spans="1:5" x14ac:dyDescent="0.45">
      <c r="A336" s="24" t="s">
        <v>461</v>
      </c>
      <c r="B336" s="19" t="s">
        <v>478</v>
      </c>
      <c r="C336" s="24" t="s">
        <v>279</v>
      </c>
      <c r="D336" s="24" t="s">
        <v>8</v>
      </c>
      <c r="E336" s="24">
        <v>3047.4121773829488</v>
      </c>
    </row>
    <row r="337" spans="1:5" x14ac:dyDescent="0.45">
      <c r="A337" s="24" t="s">
        <v>461</v>
      </c>
      <c r="B337" s="19" t="s">
        <v>478</v>
      </c>
      <c r="C337" s="24" t="s">
        <v>280</v>
      </c>
      <c r="D337" s="24" t="s">
        <v>8</v>
      </c>
      <c r="E337" s="24">
        <v>3047.4121773829488</v>
      </c>
    </row>
    <row r="338" spans="1:5" x14ac:dyDescent="0.45">
      <c r="A338" s="24" t="s">
        <v>461</v>
      </c>
      <c r="B338" s="19" t="s">
        <v>478</v>
      </c>
      <c r="C338" s="24" t="s">
        <v>281</v>
      </c>
      <c r="D338" s="24" t="s">
        <v>8</v>
      </c>
      <c r="E338" s="24">
        <v>3047.4121773829488</v>
      </c>
    </row>
    <row r="339" spans="1:5" x14ac:dyDescent="0.45">
      <c r="A339" s="24" t="s">
        <v>461</v>
      </c>
      <c r="B339" s="19" t="s">
        <v>478</v>
      </c>
      <c r="C339" s="24" t="s">
        <v>282</v>
      </c>
      <c r="D339" s="24" t="s">
        <v>8</v>
      </c>
      <c r="E339" s="24">
        <v>3528.885850254635</v>
      </c>
    </row>
    <row r="340" spans="1:5" x14ac:dyDescent="0.45">
      <c r="A340" s="24" t="s">
        <v>461</v>
      </c>
      <c r="B340" s="19" t="s">
        <v>478</v>
      </c>
      <c r="C340" s="24" t="s">
        <v>283</v>
      </c>
      <c r="D340" s="24" t="s">
        <v>8</v>
      </c>
      <c r="E340" s="24">
        <v>3528.885850254635</v>
      </c>
    </row>
    <row r="341" spans="1:5" x14ac:dyDescent="0.45">
      <c r="A341" s="24" t="s">
        <v>461</v>
      </c>
      <c r="B341" s="19" t="s">
        <v>478</v>
      </c>
      <c r="C341" s="24" t="s">
        <v>284</v>
      </c>
      <c r="D341" s="24" t="s">
        <v>8</v>
      </c>
      <c r="E341" s="24">
        <v>3528.885850254635</v>
      </c>
    </row>
    <row r="342" spans="1:5" x14ac:dyDescent="0.45">
      <c r="A342" s="24" t="s">
        <v>461</v>
      </c>
      <c r="B342" s="19" t="s">
        <v>478</v>
      </c>
      <c r="C342" s="24" t="s">
        <v>285</v>
      </c>
      <c r="D342" s="24" t="s">
        <v>8</v>
      </c>
      <c r="E342" s="24">
        <v>3528.885850254635</v>
      </c>
    </row>
    <row r="343" spans="1:5" x14ac:dyDescent="0.45">
      <c r="A343" s="24" t="s">
        <v>461</v>
      </c>
      <c r="B343" s="19" t="s">
        <v>478</v>
      </c>
      <c r="C343" s="24" t="s">
        <v>286</v>
      </c>
      <c r="D343" s="24" t="s">
        <v>8</v>
      </c>
      <c r="E343" s="24">
        <v>3528.885850254635</v>
      </c>
    </row>
    <row r="344" spans="1:5" x14ac:dyDescent="0.45">
      <c r="A344" s="24" t="s">
        <v>461</v>
      </c>
      <c r="B344" s="19" t="s">
        <v>478</v>
      </c>
      <c r="C344" s="24" t="s">
        <v>287</v>
      </c>
      <c r="D344" s="24" t="s">
        <v>8</v>
      </c>
      <c r="E344" s="24">
        <v>3528.885850254635</v>
      </c>
    </row>
    <row r="345" spans="1:5" x14ac:dyDescent="0.45">
      <c r="A345" s="24" t="s">
        <v>461</v>
      </c>
      <c r="B345" s="19" t="s">
        <v>478</v>
      </c>
      <c r="C345" s="24" t="s">
        <v>288</v>
      </c>
      <c r="D345" s="24" t="s">
        <v>8</v>
      </c>
      <c r="E345" s="24">
        <v>3528.885850254635</v>
      </c>
    </row>
    <row r="346" spans="1:5" x14ac:dyDescent="0.45">
      <c r="A346" s="24" t="s">
        <v>461</v>
      </c>
      <c r="B346" s="19" t="s">
        <v>478</v>
      </c>
      <c r="C346" s="24" t="s">
        <v>289</v>
      </c>
      <c r="D346" s="24" t="s">
        <v>8</v>
      </c>
      <c r="E346" s="24">
        <v>3528.885850254635</v>
      </c>
    </row>
    <row r="347" spans="1:5" x14ac:dyDescent="0.45">
      <c r="A347" s="24" t="s">
        <v>461</v>
      </c>
      <c r="B347" s="19" t="s">
        <v>478</v>
      </c>
      <c r="C347" s="24" t="s">
        <v>290</v>
      </c>
      <c r="D347" s="24" t="s">
        <v>8</v>
      </c>
      <c r="E347" s="24">
        <v>0.29887053900547389</v>
      </c>
    </row>
    <row r="348" spans="1:5" x14ac:dyDescent="0.45">
      <c r="A348" s="24" t="s">
        <v>461</v>
      </c>
      <c r="B348" s="19" t="s">
        <v>478</v>
      </c>
      <c r="C348" s="24" t="s">
        <v>291</v>
      </c>
      <c r="D348" s="24" t="s">
        <v>8</v>
      </c>
      <c r="E348" s="24">
        <v>0.29887053900547389</v>
      </c>
    </row>
    <row r="349" spans="1:5" x14ac:dyDescent="0.45">
      <c r="A349" s="24" t="s">
        <v>461</v>
      </c>
      <c r="B349" s="19" t="s">
        <v>478</v>
      </c>
      <c r="C349" s="24" t="s">
        <v>292</v>
      </c>
      <c r="D349" s="24" t="s">
        <v>8</v>
      </c>
      <c r="E349" s="24">
        <v>0.29887053900547389</v>
      </c>
    </row>
    <row r="350" spans="1:5" x14ac:dyDescent="0.45">
      <c r="A350" s="24" t="s">
        <v>461</v>
      </c>
      <c r="B350" s="19" t="s">
        <v>478</v>
      </c>
      <c r="C350" s="24" t="s">
        <v>293</v>
      </c>
      <c r="D350" s="24" t="s">
        <v>8</v>
      </c>
      <c r="E350" s="24">
        <v>0.29887053900547389</v>
      </c>
    </row>
    <row r="351" spans="1:5" x14ac:dyDescent="0.45">
      <c r="A351" s="24" t="s">
        <v>461</v>
      </c>
      <c r="B351" s="19" t="s">
        <v>478</v>
      </c>
      <c r="C351" s="24" t="s">
        <v>295</v>
      </c>
      <c r="D351" s="24" t="s">
        <v>8</v>
      </c>
      <c r="E351" s="24">
        <v>5.1888755947493877E-3</v>
      </c>
    </row>
    <row r="352" spans="1:5" x14ac:dyDescent="0.45">
      <c r="A352" s="24" t="s">
        <v>461</v>
      </c>
      <c r="B352" s="19" t="s">
        <v>478</v>
      </c>
      <c r="C352" s="24" t="s">
        <v>296</v>
      </c>
      <c r="D352" s="24" t="s">
        <v>8</v>
      </c>
      <c r="E352" s="24">
        <v>5.1888755947493877E-3</v>
      </c>
    </row>
    <row r="353" spans="1:5" x14ac:dyDescent="0.45">
      <c r="A353" s="24" t="s">
        <v>461</v>
      </c>
      <c r="B353" s="19" t="s">
        <v>478</v>
      </c>
      <c r="C353" s="24" t="s">
        <v>297</v>
      </c>
      <c r="D353" s="24" t="s">
        <v>8</v>
      </c>
      <c r="E353" s="24">
        <v>5.1888755947493877E-3</v>
      </c>
    </row>
    <row r="354" spans="1:5" x14ac:dyDescent="0.45">
      <c r="A354" s="24" t="s">
        <v>461</v>
      </c>
      <c r="B354" s="19" t="s">
        <v>478</v>
      </c>
      <c r="C354" s="24" t="s">
        <v>298</v>
      </c>
      <c r="D354" s="24" t="s">
        <v>8</v>
      </c>
      <c r="E354" s="24">
        <v>5.1888755947493877E-3</v>
      </c>
    </row>
    <row r="355" spans="1:5" x14ac:dyDescent="0.45">
      <c r="A355" s="24" t="s">
        <v>461</v>
      </c>
      <c r="B355" s="19" t="s">
        <v>478</v>
      </c>
      <c r="C355" s="24" t="s">
        <v>299</v>
      </c>
      <c r="D355" s="24" t="s">
        <v>8</v>
      </c>
      <c r="E355" s="24">
        <v>5.1888755947493877E-3</v>
      </c>
    </row>
    <row r="356" spans="1:5" x14ac:dyDescent="0.45">
      <c r="A356" s="24" t="s">
        <v>461</v>
      </c>
      <c r="B356" s="19" t="s">
        <v>478</v>
      </c>
      <c r="C356" s="24" t="s">
        <v>300</v>
      </c>
      <c r="D356" s="24" t="s">
        <v>8</v>
      </c>
      <c r="E356" s="24">
        <v>5.1888755947493877E-3</v>
      </c>
    </row>
    <row r="357" spans="1:5" x14ac:dyDescent="0.45">
      <c r="A357" s="24" t="s">
        <v>461</v>
      </c>
      <c r="B357" s="19" t="s">
        <v>478</v>
      </c>
      <c r="C357" s="24" t="s">
        <v>301</v>
      </c>
      <c r="D357" s="24" t="s">
        <v>8</v>
      </c>
      <c r="E357" s="24">
        <v>5.1888755947493877E-3</v>
      </c>
    </row>
    <row r="358" spans="1:5" x14ac:dyDescent="0.45">
      <c r="A358" s="24" t="s">
        <v>461</v>
      </c>
      <c r="B358" s="19" t="s">
        <v>478</v>
      </c>
      <c r="C358" s="24" t="s">
        <v>302</v>
      </c>
      <c r="D358" s="24" t="s">
        <v>8</v>
      </c>
      <c r="E358" s="24">
        <v>5.1888755947493877E-3</v>
      </c>
    </row>
    <row r="359" spans="1:5" x14ac:dyDescent="0.45">
      <c r="A359" s="24" t="s">
        <v>461</v>
      </c>
      <c r="B359" s="19" t="s">
        <v>478</v>
      </c>
      <c r="C359" s="24" t="s">
        <v>303</v>
      </c>
      <c r="D359" s="24" t="s">
        <v>8</v>
      </c>
      <c r="E359" s="24">
        <v>5.1888755947493877E-3</v>
      </c>
    </row>
    <row r="360" spans="1:5" x14ac:dyDescent="0.45">
      <c r="A360" s="24" t="s">
        <v>461</v>
      </c>
      <c r="B360" s="19" t="s">
        <v>478</v>
      </c>
      <c r="C360" s="24" t="s">
        <v>304</v>
      </c>
      <c r="D360" s="24" t="s">
        <v>8</v>
      </c>
      <c r="E360" s="24">
        <v>5.1888755947493877E-3</v>
      </c>
    </row>
    <row r="361" spans="1:5" x14ac:dyDescent="0.45">
      <c r="A361" s="24" t="s">
        <v>461</v>
      </c>
      <c r="B361" s="19" t="s">
        <v>478</v>
      </c>
      <c r="C361" s="24" t="s">
        <v>305</v>
      </c>
      <c r="D361" s="24" t="s">
        <v>8</v>
      </c>
      <c r="E361" s="24">
        <v>5.1888755947493877E-3</v>
      </c>
    </row>
    <row r="362" spans="1:5" x14ac:dyDescent="0.45">
      <c r="A362" s="24" t="s">
        <v>461</v>
      </c>
      <c r="B362" s="19" t="s">
        <v>478</v>
      </c>
      <c r="C362" s="24" t="s">
        <v>306</v>
      </c>
      <c r="D362" s="24" t="s">
        <v>8</v>
      </c>
      <c r="E362" s="24">
        <v>5.1888755947493877E-3</v>
      </c>
    </row>
    <row r="363" spans="1:5" x14ac:dyDescent="0.45">
      <c r="A363" s="24" t="s">
        <v>461</v>
      </c>
      <c r="B363" s="19" t="s">
        <v>478</v>
      </c>
      <c r="C363" s="24" t="s">
        <v>307</v>
      </c>
      <c r="D363" s="24" t="s">
        <v>8</v>
      </c>
      <c r="E363" s="24">
        <v>5.1888755947493877E-3</v>
      </c>
    </row>
    <row r="364" spans="1:5" x14ac:dyDescent="0.45">
      <c r="A364" s="24" t="s">
        <v>461</v>
      </c>
      <c r="B364" s="19" t="s">
        <v>478</v>
      </c>
      <c r="C364" s="24" t="s">
        <v>308</v>
      </c>
      <c r="D364" s="24" t="s">
        <v>8</v>
      </c>
      <c r="E364" s="24">
        <v>5.1888755947493877E-3</v>
      </c>
    </row>
    <row r="365" spans="1:5" x14ac:dyDescent="0.45">
      <c r="A365" s="24" t="s">
        <v>461</v>
      </c>
      <c r="B365" s="19" t="s">
        <v>478</v>
      </c>
      <c r="C365" s="24" t="s">
        <v>310</v>
      </c>
      <c r="D365" s="24" t="s">
        <v>8</v>
      </c>
      <c r="E365" s="24">
        <v>2.5277027027027019</v>
      </c>
    </row>
    <row r="366" spans="1:5" x14ac:dyDescent="0.45">
      <c r="A366" s="24" t="s">
        <v>461</v>
      </c>
      <c r="B366" s="19" t="s">
        <v>478</v>
      </c>
      <c r="C366" s="24" t="s">
        <v>311</v>
      </c>
      <c r="D366" s="24" t="s">
        <v>8</v>
      </c>
      <c r="E366" s="24">
        <v>2.5277027027027019</v>
      </c>
    </row>
    <row r="367" spans="1:5" x14ac:dyDescent="0.45">
      <c r="A367" s="24" t="s">
        <v>461</v>
      </c>
      <c r="B367" s="19" t="s">
        <v>478</v>
      </c>
      <c r="C367" s="24" t="s">
        <v>312</v>
      </c>
      <c r="D367" s="24" t="s">
        <v>8</v>
      </c>
      <c r="E367" s="24">
        <v>2.5277027027027019</v>
      </c>
    </row>
    <row r="368" spans="1:5" x14ac:dyDescent="0.45">
      <c r="A368" s="24" t="s">
        <v>461</v>
      </c>
      <c r="B368" s="19" t="s">
        <v>478</v>
      </c>
      <c r="C368" s="24" t="s">
        <v>313</v>
      </c>
      <c r="D368" s="24" t="s">
        <v>8</v>
      </c>
      <c r="E368" s="24">
        <v>2.5277027027027019</v>
      </c>
    </row>
    <row r="369" spans="1:5" x14ac:dyDescent="0.45">
      <c r="A369" s="24" t="s">
        <v>461</v>
      </c>
      <c r="B369" s="19" t="s">
        <v>478</v>
      </c>
      <c r="C369" s="24" t="s">
        <v>314</v>
      </c>
      <c r="D369" s="24" t="s">
        <v>8</v>
      </c>
      <c r="E369" s="24">
        <v>2.5277027027027019</v>
      </c>
    </row>
    <row r="370" spans="1:5" ht="28.5" x14ac:dyDescent="0.45">
      <c r="A370" s="24" t="s">
        <v>461</v>
      </c>
      <c r="B370" s="19" t="s">
        <v>478</v>
      </c>
      <c r="C370" s="24" t="s">
        <v>315</v>
      </c>
      <c r="D370" s="24" t="s">
        <v>8</v>
      </c>
      <c r="E370" s="24">
        <v>2.5277027027027019</v>
      </c>
    </row>
    <row r="371" spans="1:5" ht="28.5" x14ac:dyDescent="0.45">
      <c r="A371" s="24" t="s">
        <v>461</v>
      </c>
      <c r="B371" s="19" t="s">
        <v>478</v>
      </c>
      <c r="C371" s="24" t="s">
        <v>316</v>
      </c>
      <c r="D371" s="24" t="s">
        <v>8</v>
      </c>
      <c r="E371" s="24">
        <v>2.5277027027027019</v>
      </c>
    </row>
    <row r="372" spans="1:5" x14ac:dyDescent="0.45">
      <c r="A372" s="24" t="s">
        <v>461</v>
      </c>
      <c r="B372" s="19" t="s">
        <v>478</v>
      </c>
      <c r="C372" s="24" t="s">
        <v>317</v>
      </c>
      <c r="D372" s="24" t="s">
        <v>8</v>
      </c>
      <c r="E372" s="24">
        <v>2.5277027027027019</v>
      </c>
    </row>
    <row r="373" spans="1:5" x14ac:dyDescent="0.45">
      <c r="A373" s="24" t="s">
        <v>461</v>
      </c>
      <c r="B373" s="19" t="s">
        <v>478</v>
      </c>
      <c r="C373" s="24" t="s">
        <v>318</v>
      </c>
      <c r="D373" s="24" t="s">
        <v>8</v>
      </c>
      <c r="E373" s="24">
        <v>2.5277027027027019</v>
      </c>
    </row>
    <row r="374" spans="1:5" x14ac:dyDescent="0.45">
      <c r="A374" s="24" t="s">
        <v>461</v>
      </c>
      <c r="B374" s="19" t="s">
        <v>478</v>
      </c>
      <c r="C374" s="24" t="s">
        <v>319</v>
      </c>
      <c r="D374" s="24" t="s">
        <v>8</v>
      </c>
      <c r="E374" s="24">
        <v>2.5277027027027019</v>
      </c>
    </row>
    <row r="375" spans="1:5" x14ac:dyDescent="0.45">
      <c r="A375" s="24" t="s">
        <v>461</v>
      </c>
      <c r="B375" s="19" t="s">
        <v>478</v>
      </c>
      <c r="C375" s="24" t="s">
        <v>320</v>
      </c>
      <c r="D375" s="24" t="s">
        <v>8</v>
      </c>
      <c r="E375" s="24">
        <v>2.5277027027027019</v>
      </c>
    </row>
    <row r="376" spans="1:5" x14ac:dyDescent="0.45">
      <c r="A376" s="24" t="s">
        <v>461</v>
      </c>
      <c r="B376" s="19" t="s">
        <v>478</v>
      </c>
      <c r="C376" s="24" t="s">
        <v>321</v>
      </c>
      <c r="D376" s="24" t="s">
        <v>8</v>
      </c>
      <c r="E376" s="24">
        <v>2.5277027027027019</v>
      </c>
    </row>
    <row r="377" spans="1:5" x14ac:dyDescent="0.45">
      <c r="A377" s="24" t="s">
        <v>461</v>
      </c>
      <c r="B377" s="19" t="s">
        <v>478</v>
      </c>
      <c r="C377" s="24" t="s">
        <v>322</v>
      </c>
      <c r="D377" s="24" t="s">
        <v>8</v>
      </c>
      <c r="E377" s="24">
        <v>2.5277027027027019</v>
      </c>
    </row>
    <row r="378" spans="1:5" ht="28.5" x14ac:dyDescent="0.45">
      <c r="A378" s="24" t="s">
        <v>461</v>
      </c>
      <c r="B378" s="19" t="s">
        <v>478</v>
      </c>
      <c r="C378" s="24" t="s">
        <v>323</v>
      </c>
      <c r="D378" s="24" t="s">
        <v>8</v>
      </c>
      <c r="E378" s="24">
        <v>2.5277027027027019</v>
      </c>
    </row>
    <row r="379" spans="1:5" ht="28.5" x14ac:dyDescent="0.45">
      <c r="A379" s="24" t="s">
        <v>461</v>
      </c>
      <c r="B379" s="19" t="s">
        <v>478</v>
      </c>
      <c r="C379" s="24" t="s">
        <v>324</v>
      </c>
      <c r="D379" s="24" t="s">
        <v>8</v>
      </c>
      <c r="E379" s="24">
        <v>2.5277027027027019</v>
      </c>
    </row>
    <row r="380" spans="1:5" x14ac:dyDescent="0.45">
      <c r="A380" s="24" t="s">
        <v>461</v>
      </c>
      <c r="B380" s="19" t="s">
        <v>478</v>
      </c>
      <c r="C380" s="24" t="s">
        <v>325</v>
      </c>
      <c r="D380" s="24" t="s">
        <v>8</v>
      </c>
      <c r="E380" s="24">
        <v>2.5277027027027019</v>
      </c>
    </row>
    <row r="381" spans="1:5" x14ac:dyDescent="0.45">
      <c r="A381" s="24" t="s">
        <v>461</v>
      </c>
      <c r="B381" s="19" t="s">
        <v>478</v>
      </c>
      <c r="C381" s="24" t="s">
        <v>326</v>
      </c>
      <c r="D381" s="24" t="s">
        <v>8</v>
      </c>
      <c r="E381" s="24">
        <v>2.5277027027027019</v>
      </c>
    </row>
    <row r="382" spans="1:5" x14ac:dyDescent="0.45">
      <c r="A382" s="24" t="s">
        <v>461</v>
      </c>
      <c r="B382" s="19" t="s">
        <v>478</v>
      </c>
      <c r="C382" s="24" t="s">
        <v>327</v>
      </c>
      <c r="D382" s="24" t="s">
        <v>8</v>
      </c>
      <c r="E382" s="24">
        <v>2.5277027027027019</v>
      </c>
    </row>
    <row r="383" spans="1:5" ht="28.5" x14ac:dyDescent="0.45">
      <c r="A383" s="24" t="s">
        <v>461</v>
      </c>
      <c r="B383" s="19" t="s">
        <v>478</v>
      </c>
      <c r="C383" s="24" t="s">
        <v>328</v>
      </c>
      <c r="D383" s="24" t="s">
        <v>8</v>
      </c>
      <c r="E383" s="24">
        <v>2.5277027027027019</v>
      </c>
    </row>
    <row r="384" spans="1:5" ht="28.5" x14ac:dyDescent="0.45">
      <c r="A384" s="24" t="s">
        <v>461</v>
      </c>
      <c r="B384" s="19" t="s">
        <v>478</v>
      </c>
      <c r="C384" s="24" t="s">
        <v>329</v>
      </c>
      <c r="D384" s="24" t="s">
        <v>8</v>
      </c>
      <c r="E384" s="24">
        <v>2.5277027027027019</v>
      </c>
    </row>
    <row r="385" spans="1:5" ht="28.5" x14ac:dyDescent="0.45">
      <c r="A385" s="24" t="s">
        <v>461</v>
      </c>
      <c r="B385" s="19" t="s">
        <v>478</v>
      </c>
      <c r="C385" s="24" t="s">
        <v>330</v>
      </c>
      <c r="D385" s="24" t="s">
        <v>8</v>
      </c>
      <c r="E385" s="24">
        <v>2.5277027027027019</v>
      </c>
    </row>
    <row r="386" spans="1:5" ht="28.5" x14ac:dyDescent="0.45">
      <c r="A386" s="24" t="s">
        <v>461</v>
      </c>
      <c r="B386" s="19" t="s">
        <v>478</v>
      </c>
      <c r="C386" s="24" t="s">
        <v>331</v>
      </c>
      <c r="D386" s="24" t="s">
        <v>8</v>
      </c>
      <c r="E386" s="24">
        <v>2.5277027027027019</v>
      </c>
    </row>
    <row r="387" spans="1:5" ht="28.5" x14ac:dyDescent="0.45">
      <c r="A387" s="24" t="s">
        <v>461</v>
      </c>
      <c r="B387" s="19" t="s">
        <v>478</v>
      </c>
      <c r="C387" s="24" t="s">
        <v>332</v>
      </c>
      <c r="D387" s="24" t="s">
        <v>8</v>
      </c>
      <c r="E387" s="24">
        <v>2.5277027027027019</v>
      </c>
    </row>
    <row r="388" spans="1:5" ht="28.5" x14ac:dyDescent="0.45">
      <c r="A388" s="24" t="s">
        <v>461</v>
      </c>
      <c r="B388" s="19" t="s">
        <v>478</v>
      </c>
      <c r="C388" s="24" t="s">
        <v>333</v>
      </c>
      <c r="D388" s="24" t="s">
        <v>8</v>
      </c>
      <c r="E388" s="24">
        <v>2.5277027027027019</v>
      </c>
    </row>
    <row r="389" spans="1:5" x14ac:dyDescent="0.45">
      <c r="A389" s="24" t="s">
        <v>461</v>
      </c>
      <c r="B389" s="19" t="s">
        <v>478</v>
      </c>
      <c r="C389" s="24" t="s">
        <v>334</v>
      </c>
      <c r="D389" s="24" t="s">
        <v>8</v>
      </c>
      <c r="E389" s="24">
        <v>2.5277027027027019</v>
      </c>
    </row>
    <row r="390" spans="1:5" x14ac:dyDescent="0.45">
      <c r="A390" s="24" t="s">
        <v>461</v>
      </c>
      <c r="B390" s="19" t="s">
        <v>478</v>
      </c>
      <c r="C390" s="24" t="s">
        <v>335</v>
      </c>
      <c r="D390" s="24" t="s">
        <v>8</v>
      </c>
      <c r="E390" s="24">
        <v>2.5277027027027019</v>
      </c>
    </row>
    <row r="391" spans="1:5" x14ac:dyDescent="0.45">
      <c r="A391" s="24" t="s">
        <v>461</v>
      </c>
      <c r="B391" s="19" t="s">
        <v>478</v>
      </c>
      <c r="C391" s="24" t="s">
        <v>336</v>
      </c>
      <c r="D391" s="24" t="s">
        <v>8</v>
      </c>
      <c r="E391" s="24">
        <v>2.5277027027027019</v>
      </c>
    </row>
    <row r="392" spans="1:5" x14ac:dyDescent="0.45">
      <c r="A392" s="24" t="s">
        <v>461</v>
      </c>
      <c r="B392" s="19" t="s">
        <v>478</v>
      </c>
      <c r="C392" s="24" t="s">
        <v>337</v>
      </c>
      <c r="D392" s="24" t="s">
        <v>8</v>
      </c>
      <c r="E392" s="24">
        <v>2.5277027027027019</v>
      </c>
    </row>
    <row r="393" spans="1:5" x14ac:dyDescent="0.45">
      <c r="A393" s="24" t="s">
        <v>461</v>
      </c>
      <c r="B393" s="19" t="s">
        <v>478</v>
      </c>
      <c r="C393" s="24" t="s">
        <v>338</v>
      </c>
      <c r="D393" s="24" t="s">
        <v>8</v>
      </c>
      <c r="E393" s="24">
        <v>2.5277027027027019</v>
      </c>
    </row>
    <row r="394" spans="1:5" x14ac:dyDescent="0.45">
      <c r="A394" s="24" t="s">
        <v>461</v>
      </c>
      <c r="B394" s="19" t="s">
        <v>478</v>
      </c>
      <c r="C394" s="24" t="s">
        <v>339</v>
      </c>
      <c r="D394" s="24" t="s">
        <v>8</v>
      </c>
      <c r="E394" s="24">
        <v>2.5277027027027019</v>
      </c>
    </row>
    <row r="395" spans="1:5" x14ac:dyDescent="0.45">
      <c r="A395" s="24" t="s">
        <v>461</v>
      </c>
      <c r="B395" s="19" t="s">
        <v>478</v>
      </c>
      <c r="C395" s="24" t="s">
        <v>340</v>
      </c>
      <c r="D395" s="24" t="s">
        <v>8</v>
      </c>
      <c r="E395" s="24">
        <v>2.5277027027027019</v>
      </c>
    </row>
    <row r="396" spans="1:5" x14ac:dyDescent="0.45">
      <c r="A396" s="24" t="s">
        <v>461</v>
      </c>
      <c r="B396" s="19" t="s">
        <v>478</v>
      </c>
      <c r="C396" s="24" t="s">
        <v>341</v>
      </c>
      <c r="D396" s="24" t="s">
        <v>8</v>
      </c>
      <c r="E396" s="24">
        <v>2.5277027027027019</v>
      </c>
    </row>
    <row r="397" spans="1:5" x14ac:dyDescent="0.45">
      <c r="A397" s="24" t="s">
        <v>461</v>
      </c>
      <c r="B397" s="19" t="s">
        <v>478</v>
      </c>
      <c r="C397" s="24" t="s">
        <v>342</v>
      </c>
      <c r="D397" s="24" t="s">
        <v>8</v>
      </c>
      <c r="E397" s="24">
        <v>2.5277027027027019</v>
      </c>
    </row>
    <row r="398" spans="1:5" x14ac:dyDescent="0.45">
      <c r="A398" s="24" t="s">
        <v>461</v>
      </c>
      <c r="B398" s="19" t="s">
        <v>478</v>
      </c>
      <c r="C398" s="24" t="s">
        <v>343</v>
      </c>
      <c r="D398" s="24" t="s">
        <v>8</v>
      </c>
      <c r="E398" s="24">
        <v>2.5277027027027019</v>
      </c>
    </row>
    <row r="399" spans="1:5" x14ac:dyDescent="0.45">
      <c r="A399" s="24" t="s">
        <v>461</v>
      </c>
      <c r="B399" s="19" t="s">
        <v>478</v>
      </c>
      <c r="C399" s="24" t="s">
        <v>344</v>
      </c>
      <c r="D399" s="24" t="s">
        <v>8</v>
      </c>
      <c r="E399" s="24">
        <v>2.5277027027027019</v>
      </c>
    </row>
    <row r="400" spans="1:5" x14ac:dyDescent="0.45">
      <c r="A400" s="24" t="s">
        <v>461</v>
      </c>
      <c r="B400" s="19" t="s">
        <v>478</v>
      </c>
      <c r="C400" s="24" t="s">
        <v>345</v>
      </c>
      <c r="D400" s="24" t="s">
        <v>8</v>
      </c>
      <c r="E400" s="24">
        <v>2.5277027027027019</v>
      </c>
    </row>
    <row r="401" spans="1:5" x14ac:dyDescent="0.45">
      <c r="A401" s="24" t="s">
        <v>461</v>
      </c>
      <c r="B401" s="19" t="s">
        <v>478</v>
      </c>
      <c r="C401" s="24" t="s">
        <v>346</v>
      </c>
      <c r="D401" s="24" t="s">
        <v>8</v>
      </c>
      <c r="E401" s="24">
        <v>2.5277027027027019</v>
      </c>
    </row>
    <row r="402" spans="1:5" x14ac:dyDescent="0.45">
      <c r="A402" s="24" t="s">
        <v>461</v>
      </c>
      <c r="B402" s="19" t="s">
        <v>478</v>
      </c>
      <c r="C402" s="24" t="s">
        <v>347</v>
      </c>
      <c r="D402" s="24" t="s">
        <v>8</v>
      </c>
      <c r="E402" s="24">
        <v>2.5277027027027019</v>
      </c>
    </row>
    <row r="403" spans="1:5" x14ac:dyDescent="0.45">
      <c r="A403" s="24" t="s">
        <v>461</v>
      </c>
      <c r="B403" s="19" t="s">
        <v>478</v>
      </c>
      <c r="C403" s="24" t="s">
        <v>348</v>
      </c>
      <c r="D403" s="24" t="s">
        <v>8</v>
      </c>
      <c r="E403" s="24">
        <v>2.5277027027027019</v>
      </c>
    </row>
    <row r="404" spans="1:5" x14ac:dyDescent="0.45">
      <c r="A404" s="24" t="s">
        <v>461</v>
      </c>
      <c r="B404" s="19" t="s">
        <v>478</v>
      </c>
      <c r="C404" s="24" t="s">
        <v>349</v>
      </c>
      <c r="D404" s="24" t="s">
        <v>8</v>
      </c>
      <c r="E404" s="24">
        <v>2.5277027027027019</v>
      </c>
    </row>
    <row r="405" spans="1:5" x14ac:dyDescent="0.45">
      <c r="A405" s="24" t="s">
        <v>461</v>
      </c>
      <c r="B405" s="19" t="s">
        <v>478</v>
      </c>
      <c r="C405" s="24" t="s">
        <v>350</v>
      </c>
      <c r="D405" s="24" t="s">
        <v>8</v>
      </c>
      <c r="E405" s="24">
        <v>2.5277027027027019</v>
      </c>
    </row>
    <row r="406" spans="1:5" x14ac:dyDescent="0.45">
      <c r="A406" s="24" t="s">
        <v>461</v>
      </c>
      <c r="B406" s="19" t="s">
        <v>478</v>
      </c>
      <c r="C406" s="24" t="s">
        <v>351</v>
      </c>
      <c r="D406" s="24" t="s">
        <v>8</v>
      </c>
      <c r="E406" s="24">
        <v>2.5277027027027019</v>
      </c>
    </row>
    <row r="407" spans="1:5" x14ac:dyDescent="0.45">
      <c r="A407" s="24" t="s">
        <v>461</v>
      </c>
      <c r="B407" s="19" t="s">
        <v>478</v>
      </c>
      <c r="C407" s="24" t="s">
        <v>352</v>
      </c>
      <c r="D407" s="24" t="s">
        <v>8</v>
      </c>
      <c r="E407" s="24">
        <v>2.5277027027027019</v>
      </c>
    </row>
    <row r="408" spans="1:5" x14ac:dyDescent="0.45">
      <c r="A408" s="24" t="s">
        <v>461</v>
      </c>
      <c r="B408" s="19" t="s">
        <v>478</v>
      </c>
      <c r="C408" s="24" t="s">
        <v>353</v>
      </c>
      <c r="D408" s="24" t="s">
        <v>8</v>
      </c>
      <c r="E408" s="24">
        <v>2.5277027027027019</v>
      </c>
    </row>
    <row r="409" spans="1:5" x14ac:dyDescent="0.45">
      <c r="A409" s="24" t="s">
        <v>461</v>
      </c>
      <c r="B409" s="19" t="s">
        <v>478</v>
      </c>
      <c r="C409" s="24" t="s">
        <v>354</v>
      </c>
      <c r="D409" s="24" t="s">
        <v>8</v>
      </c>
      <c r="E409" s="24">
        <v>2.5277027027027019</v>
      </c>
    </row>
    <row r="410" spans="1:5" x14ac:dyDescent="0.45">
      <c r="A410" s="24" t="s">
        <v>461</v>
      </c>
      <c r="B410" s="19" t="s">
        <v>478</v>
      </c>
      <c r="C410" s="24" t="s">
        <v>355</v>
      </c>
      <c r="D410" s="24" t="s">
        <v>8</v>
      </c>
      <c r="E410" s="24">
        <v>2.5277027027027019</v>
      </c>
    </row>
    <row r="411" spans="1:5" x14ac:dyDescent="0.45">
      <c r="A411" s="24" t="s">
        <v>461</v>
      </c>
      <c r="B411" s="19" t="s">
        <v>478</v>
      </c>
      <c r="C411" s="24" t="s">
        <v>356</v>
      </c>
      <c r="D411" s="24" t="s">
        <v>8</v>
      </c>
      <c r="E411" s="24">
        <v>2.5277027027027019</v>
      </c>
    </row>
    <row r="412" spans="1:5" x14ac:dyDescent="0.45">
      <c r="A412" s="24" t="s">
        <v>461</v>
      </c>
      <c r="B412" s="19" t="s">
        <v>478</v>
      </c>
      <c r="C412" s="24" t="s">
        <v>357</v>
      </c>
      <c r="D412" s="24" t="s">
        <v>8</v>
      </c>
      <c r="E412" s="24">
        <v>2.5277027027027019</v>
      </c>
    </row>
    <row r="413" spans="1:5" x14ac:dyDescent="0.45">
      <c r="A413" s="24" t="s">
        <v>461</v>
      </c>
      <c r="B413" s="19" t="s">
        <v>478</v>
      </c>
      <c r="C413" s="24" t="s">
        <v>168</v>
      </c>
      <c r="D413" s="24" t="s">
        <v>8</v>
      </c>
      <c r="E413" s="24">
        <v>16.306359141081622</v>
      </c>
    </row>
    <row r="414" spans="1:5" x14ac:dyDescent="0.45">
      <c r="A414" s="24" t="s">
        <v>461</v>
      </c>
      <c r="B414" s="19" t="s">
        <v>478</v>
      </c>
      <c r="C414" s="24" t="s">
        <v>169</v>
      </c>
      <c r="D414" s="24" t="s">
        <v>8</v>
      </c>
      <c r="E414" s="24">
        <v>16.306359141081622</v>
      </c>
    </row>
    <row r="415" spans="1:5" x14ac:dyDescent="0.45">
      <c r="A415" s="24" t="s">
        <v>461</v>
      </c>
      <c r="B415" s="19" t="s">
        <v>478</v>
      </c>
      <c r="C415" s="24" t="s">
        <v>170</v>
      </c>
      <c r="D415" s="24" t="s">
        <v>8</v>
      </c>
      <c r="E415" s="24">
        <v>16.306359141081622</v>
      </c>
    </row>
    <row r="416" spans="1:5" x14ac:dyDescent="0.45">
      <c r="A416" s="24" t="s">
        <v>461</v>
      </c>
      <c r="B416" s="19" t="s">
        <v>478</v>
      </c>
      <c r="C416" s="24" t="s">
        <v>171</v>
      </c>
      <c r="D416" s="24" t="s">
        <v>8</v>
      </c>
      <c r="E416" s="24">
        <v>16.306359141081622</v>
      </c>
    </row>
    <row r="417" spans="1:5" x14ac:dyDescent="0.45">
      <c r="A417" s="24" t="s">
        <v>461</v>
      </c>
      <c r="B417" s="19" t="s">
        <v>478</v>
      </c>
      <c r="C417" s="24" t="s">
        <v>172</v>
      </c>
      <c r="D417" s="24" t="s">
        <v>8</v>
      </c>
      <c r="E417" s="24">
        <v>16.306359141081622</v>
      </c>
    </row>
    <row r="418" spans="1:5" x14ac:dyDescent="0.45">
      <c r="A418" s="24" t="s">
        <v>461</v>
      </c>
      <c r="B418" s="19" t="s">
        <v>478</v>
      </c>
      <c r="C418" s="24" t="s">
        <v>173</v>
      </c>
      <c r="D418" s="24" t="s">
        <v>8</v>
      </c>
      <c r="E418" s="24">
        <v>16.306359141081622</v>
      </c>
    </row>
    <row r="419" spans="1:5" ht="28.5" x14ac:dyDescent="0.45">
      <c r="A419" s="24" t="s">
        <v>461</v>
      </c>
      <c r="B419" s="19" t="s">
        <v>478</v>
      </c>
      <c r="C419" s="24" t="s">
        <v>174</v>
      </c>
      <c r="D419" s="24" t="s">
        <v>8</v>
      </c>
      <c r="E419" s="24">
        <v>16.306359141081622</v>
      </c>
    </row>
    <row r="420" spans="1:5" x14ac:dyDescent="0.45">
      <c r="A420" s="24" t="s">
        <v>461</v>
      </c>
      <c r="B420" s="19" t="s">
        <v>478</v>
      </c>
      <c r="C420" s="24" t="s">
        <v>175</v>
      </c>
      <c r="D420" s="24" t="s">
        <v>8</v>
      </c>
      <c r="E420" s="24">
        <v>16.306359141081622</v>
      </c>
    </row>
    <row r="421" spans="1:5" x14ac:dyDescent="0.45">
      <c r="A421" s="24" t="s">
        <v>461</v>
      </c>
      <c r="B421" s="19" t="s">
        <v>478</v>
      </c>
      <c r="C421" s="24" t="s">
        <v>176</v>
      </c>
      <c r="D421" s="24" t="s">
        <v>8</v>
      </c>
      <c r="E421" s="24">
        <v>16.306359141081622</v>
      </c>
    </row>
    <row r="422" spans="1:5" x14ac:dyDescent="0.45">
      <c r="A422" s="24" t="s">
        <v>461</v>
      </c>
      <c r="B422" s="19" t="s">
        <v>478</v>
      </c>
      <c r="C422" s="24" t="s">
        <v>177</v>
      </c>
      <c r="D422" s="24" t="s">
        <v>8</v>
      </c>
      <c r="E422" s="24">
        <v>16.306359141081622</v>
      </c>
    </row>
    <row r="423" spans="1:5" x14ac:dyDescent="0.45">
      <c r="A423" s="24" t="s">
        <v>461</v>
      </c>
      <c r="B423" s="19" t="s">
        <v>478</v>
      </c>
      <c r="C423" s="24" t="s">
        <v>178</v>
      </c>
      <c r="D423" s="24" t="s">
        <v>8</v>
      </c>
      <c r="E423" s="24">
        <v>16.306359141081622</v>
      </c>
    </row>
    <row r="424" spans="1:5" x14ac:dyDescent="0.45">
      <c r="A424" s="24" t="s">
        <v>461</v>
      </c>
      <c r="B424" s="19" t="s">
        <v>478</v>
      </c>
      <c r="C424" s="24" t="s">
        <v>179</v>
      </c>
      <c r="D424" s="24" t="s">
        <v>8</v>
      </c>
      <c r="E424" s="24">
        <v>16.306359141081622</v>
      </c>
    </row>
    <row r="425" spans="1:5" x14ac:dyDescent="0.45">
      <c r="A425" s="24" t="s">
        <v>461</v>
      </c>
      <c r="B425" s="19" t="s">
        <v>478</v>
      </c>
      <c r="C425" s="24" t="s">
        <v>180</v>
      </c>
      <c r="D425" s="24" t="s">
        <v>8</v>
      </c>
      <c r="E425" s="24">
        <v>16.306359141081622</v>
      </c>
    </row>
    <row r="426" spans="1:5" x14ac:dyDescent="0.45">
      <c r="A426" s="24" t="s">
        <v>461</v>
      </c>
      <c r="B426" s="19" t="s">
        <v>478</v>
      </c>
      <c r="C426" s="24" t="s">
        <v>181</v>
      </c>
      <c r="D426" s="24" t="s">
        <v>8</v>
      </c>
      <c r="E426" s="24">
        <v>16.306359141081622</v>
      </c>
    </row>
    <row r="427" spans="1:5" x14ac:dyDescent="0.45">
      <c r="A427" s="24" t="s">
        <v>461</v>
      </c>
      <c r="B427" s="19" t="s">
        <v>478</v>
      </c>
      <c r="C427" s="24" t="s">
        <v>182</v>
      </c>
      <c r="D427" s="24" t="s">
        <v>8</v>
      </c>
      <c r="E427" s="24">
        <v>16.306359141081622</v>
      </c>
    </row>
    <row r="428" spans="1:5" x14ac:dyDescent="0.45">
      <c r="A428" s="24" t="s">
        <v>461</v>
      </c>
      <c r="B428" s="19" t="s">
        <v>478</v>
      </c>
      <c r="C428" s="24" t="s">
        <v>183</v>
      </c>
      <c r="D428" s="24" t="s">
        <v>8</v>
      </c>
      <c r="E428" s="24">
        <v>16.306359141081622</v>
      </c>
    </row>
    <row r="429" spans="1:5" x14ac:dyDescent="0.45">
      <c r="A429" s="24" t="s">
        <v>461</v>
      </c>
      <c r="B429" s="19" t="s">
        <v>478</v>
      </c>
      <c r="C429" s="24" t="s">
        <v>184</v>
      </c>
      <c r="D429" s="24" t="s">
        <v>8</v>
      </c>
      <c r="E429" s="24">
        <v>16.306359141081622</v>
      </c>
    </row>
    <row r="430" spans="1:5" x14ac:dyDescent="0.45">
      <c r="A430" s="24" t="s">
        <v>461</v>
      </c>
      <c r="B430" s="19" t="s">
        <v>478</v>
      </c>
      <c r="C430" s="24" t="s">
        <v>185</v>
      </c>
      <c r="D430" s="24" t="s">
        <v>8</v>
      </c>
      <c r="E430" s="24">
        <v>16.306359141081622</v>
      </c>
    </row>
    <row r="431" spans="1:5" x14ac:dyDescent="0.45">
      <c r="A431" s="24" t="s">
        <v>461</v>
      </c>
      <c r="B431" s="19" t="s">
        <v>478</v>
      </c>
      <c r="C431" s="24" t="s">
        <v>186</v>
      </c>
      <c r="D431" s="24" t="s">
        <v>8</v>
      </c>
      <c r="E431" s="24">
        <v>16.306359141081622</v>
      </c>
    </row>
    <row r="432" spans="1:5" x14ac:dyDescent="0.45">
      <c r="A432" s="24" t="s">
        <v>461</v>
      </c>
      <c r="B432" s="19" t="s">
        <v>478</v>
      </c>
      <c r="C432" s="24" t="s">
        <v>358</v>
      </c>
      <c r="D432" s="24" t="s">
        <v>8</v>
      </c>
      <c r="E432" s="24">
        <v>16.306359141081622</v>
      </c>
    </row>
    <row r="433" spans="1:5" x14ac:dyDescent="0.45">
      <c r="A433" s="24" t="s">
        <v>461</v>
      </c>
      <c r="B433" s="19" t="s">
        <v>478</v>
      </c>
      <c r="C433" s="24" t="s">
        <v>187</v>
      </c>
      <c r="D433" s="24" t="s">
        <v>8</v>
      </c>
      <c r="E433" s="24">
        <v>16.306359141081622</v>
      </c>
    </row>
    <row r="434" spans="1:5" x14ac:dyDescent="0.45">
      <c r="A434" s="24" t="s">
        <v>461</v>
      </c>
      <c r="B434" s="19" t="s">
        <v>478</v>
      </c>
      <c r="C434" s="24" t="s">
        <v>188</v>
      </c>
      <c r="D434" s="24" t="s">
        <v>8</v>
      </c>
      <c r="E434" s="24">
        <v>16.306359141081622</v>
      </c>
    </row>
    <row r="435" spans="1:5" x14ac:dyDescent="0.45">
      <c r="A435" s="24" t="s">
        <v>461</v>
      </c>
      <c r="B435" s="19" t="s">
        <v>478</v>
      </c>
      <c r="C435" s="24" t="s">
        <v>189</v>
      </c>
      <c r="D435" s="24" t="s">
        <v>8</v>
      </c>
      <c r="E435" s="24">
        <v>16.306359141081622</v>
      </c>
    </row>
    <row r="436" spans="1:5" x14ac:dyDescent="0.45">
      <c r="A436" s="24" t="s">
        <v>461</v>
      </c>
      <c r="B436" s="19" t="s">
        <v>478</v>
      </c>
      <c r="C436" s="24" t="s">
        <v>359</v>
      </c>
      <c r="D436" s="24" t="s">
        <v>8</v>
      </c>
      <c r="E436" s="24">
        <v>16.639550829227119</v>
      </c>
    </row>
    <row r="437" spans="1:5" x14ac:dyDescent="0.45">
      <c r="A437" s="24" t="s">
        <v>461</v>
      </c>
      <c r="B437" s="19" t="s">
        <v>478</v>
      </c>
      <c r="C437" s="24" t="s">
        <v>360</v>
      </c>
      <c r="D437" s="24" t="s">
        <v>8</v>
      </c>
      <c r="E437" s="24">
        <v>16.639550829227119</v>
      </c>
    </row>
    <row r="438" spans="1:5" x14ac:dyDescent="0.45">
      <c r="A438" s="24" t="s">
        <v>461</v>
      </c>
      <c r="B438" s="19" t="s">
        <v>478</v>
      </c>
      <c r="C438" s="24" t="s">
        <v>361</v>
      </c>
      <c r="D438" s="24" t="s">
        <v>8</v>
      </c>
      <c r="E438" s="24">
        <v>16.639550829227119</v>
      </c>
    </row>
    <row r="439" spans="1:5" x14ac:dyDescent="0.45">
      <c r="A439" s="24" t="s">
        <v>461</v>
      </c>
      <c r="B439" s="19" t="s">
        <v>478</v>
      </c>
      <c r="C439" s="24" t="s">
        <v>362</v>
      </c>
      <c r="D439" s="24" t="s">
        <v>8</v>
      </c>
      <c r="E439" s="24">
        <v>16.639550829227119</v>
      </c>
    </row>
    <row r="440" spans="1:5" x14ac:dyDescent="0.45">
      <c r="A440" s="24" t="s">
        <v>461</v>
      </c>
      <c r="B440" s="19" t="s">
        <v>478</v>
      </c>
      <c r="C440" s="24" t="s">
        <v>363</v>
      </c>
      <c r="D440" s="24" t="s">
        <v>8</v>
      </c>
      <c r="E440" s="24">
        <v>16.639550829227119</v>
      </c>
    </row>
    <row r="441" spans="1:5" x14ac:dyDescent="0.45">
      <c r="A441" s="24" t="s">
        <v>461</v>
      </c>
      <c r="B441" s="19" t="s">
        <v>478</v>
      </c>
      <c r="C441" s="24" t="s">
        <v>364</v>
      </c>
      <c r="D441" s="24" t="s">
        <v>8</v>
      </c>
      <c r="E441" s="24">
        <v>16.639550829227119</v>
      </c>
    </row>
    <row r="442" spans="1:5" x14ac:dyDescent="0.45">
      <c r="A442" s="24" t="s">
        <v>461</v>
      </c>
      <c r="B442" s="19" t="s">
        <v>478</v>
      </c>
      <c r="C442" s="24" t="s">
        <v>365</v>
      </c>
      <c r="D442" s="24" t="s">
        <v>8</v>
      </c>
      <c r="E442" s="24">
        <v>16.639550829227119</v>
      </c>
    </row>
    <row r="443" spans="1:5" x14ac:dyDescent="0.45">
      <c r="A443" s="24" t="s">
        <v>461</v>
      </c>
      <c r="B443" s="19" t="s">
        <v>478</v>
      </c>
      <c r="C443" s="24" t="s">
        <v>366</v>
      </c>
      <c r="D443" s="24" t="s">
        <v>8</v>
      </c>
      <c r="E443" s="24">
        <v>16.639550829227119</v>
      </c>
    </row>
    <row r="444" spans="1:5" x14ac:dyDescent="0.45">
      <c r="A444" s="24" t="s">
        <v>461</v>
      </c>
      <c r="B444" s="19" t="s">
        <v>478</v>
      </c>
      <c r="C444" s="24" t="s">
        <v>367</v>
      </c>
      <c r="D444" s="24" t="s">
        <v>8</v>
      </c>
      <c r="E444" s="24">
        <v>16.639550829227119</v>
      </c>
    </row>
    <row r="445" spans="1:5" x14ac:dyDescent="0.45">
      <c r="A445" s="24" t="s">
        <v>461</v>
      </c>
      <c r="B445" s="19" t="s">
        <v>478</v>
      </c>
      <c r="C445" s="24" t="s">
        <v>368</v>
      </c>
      <c r="D445" s="24" t="s">
        <v>8</v>
      </c>
      <c r="E445" s="24">
        <v>2.2923648648648651</v>
      </c>
    </row>
    <row r="446" spans="1:5" x14ac:dyDescent="0.45">
      <c r="A446" s="24" t="s">
        <v>461</v>
      </c>
      <c r="B446" s="19" t="s">
        <v>478</v>
      </c>
      <c r="C446" s="24" t="s">
        <v>369</v>
      </c>
      <c r="D446" s="24" t="s">
        <v>8</v>
      </c>
      <c r="E446" s="24">
        <v>2.2923648648648651</v>
      </c>
    </row>
    <row r="447" spans="1:5" x14ac:dyDescent="0.45">
      <c r="A447" s="24" t="s">
        <v>461</v>
      </c>
      <c r="B447" s="19" t="s">
        <v>478</v>
      </c>
      <c r="C447" s="24" t="s">
        <v>370</v>
      </c>
      <c r="D447" s="24" t="s">
        <v>8</v>
      </c>
      <c r="E447" s="24">
        <v>2.2923648648648651</v>
      </c>
    </row>
    <row r="448" spans="1:5" x14ac:dyDescent="0.45">
      <c r="A448" s="24" t="s">
        <v>461</v>
      </c>
      <c r="B448" s="19" t="s">
        <v>478</v>
      </c>
      <c r="C448" s="24" t="s">
        <v>371</v>
      </c>
      <c r="D448" s="24" t="s">
        <v>8</v>
      </c>
      <c r="E448" s="24">
        <v>2.2923648648648651</v>
      </c>
    </row>
    <row r="449" spans="1:5" x14ac:dyDescent="0.45">
      <c r="A449" s="24" t="s">
        <v>461</v>
      </c>
      <c r="B449" s="19" t="s">
        <v>478</v>
      </c>
      <c r="C449" s="24" t="s">
        <v>372</v>
      </c>
      <c r="D449" s="24" t="s">
        <v>8</v>
      </c>
      <c r="E449" s="24">
        <v>2.2923648648648651</v>
      </c>
    </row>
    <row r="450" spans="1:5" x14ac:dyDescent="0.45">
      <c r="A450" s="24" t="s">
        <v>461</v>
      </c>
      <c r="B450" s="19" t="s">
        <v>478</v>
      </c>
      <c r="C450" s="24" t="s">
        <v>373</v>
      </c>
      <c r="D450" s="24" t="s">
        <v>8</v>
      </c>
      <c r="E450" s="24">
        <v>2.2923648648648651</v>
      </c>
    </row>
    <row r="451" spans="1:5" x14ac:dyDescent="0.45">
      <c r="A451" s="24" t="s">
        <v>461</v>
      </c>
      <c r="B451" s="19" t="s">
        <v>478</v>
      </c>
      <c r="C451" s="24" t="s">
        <v>374</v>
      </c>
      <c r="D451" s="24" t="s">
        <v>8</v>
      </c>
      <c r="E451" s="24">
        <v>2.2923648648648651</v>
      </c>
    </row>
    <row r="452" spans="1:5" x14ac:dyDescent="0.45">
      <c r="A452" s="24" t="s">
        <v>461</v>
      </c>
      <c r="B452" s="19" t="s">
        <v>478</v>
      </c>
      <c r="C452" s="24" t="s">
        <v>375</v>
      </c>
      <c r="D452" s="24" t="s">
        <v>8</v>
      </c>
      <c r="E452" s="24">
        <v>8.6578351118679522E-2</v>
      </c>
    </row>
    <row r="453" spans="1:5" x14ac:dyDescent="0.45">
      <c r="A453" s="24" t="s">
        <v>461</v>
      </c>
      <c r="B453" s="19" t="s">
        <v>478</v>
      </c>
      <c r="C453" s="24" t="s">
        <v>376</v>
      </c>
      <c r="D453" s="24" t="s">
        <v>8</v>
      </c>
      <c r="E453" s="24">
        <v>8.6578351118679522E-2</v>
      </c>
    </row>
    <row r="454" spans="1:5" x14ac:dyDescent="0.45">
      <c r="A454" s="24" t="s">
        <v>461</v>
      </c>
      <c r="B454" s="19" t="s">
        <v>478</v>
      </c>
      <c r="C454" s="24" t="s">
        <v>377</v>
      </c>
      <c r="D454" s="24" t="s">
        <v>8</v>
      </c>
      <c r="E454" s="24">
        <v>8.6578351118679522E-2</v>
      </c>
    </row>
    <row r="455" spans="1:5" x14ac:dyDescent="0.45">
      <c r="A455" s="24" t="s">
        <v>461</v>
      </c>
      <c r="B455" s="19" t="s">
        <v>478</v>
      </c>
      <c r="C455" s="24" t="s">
        <v>378</v>
      </c>
      <c r="D455" s="24" t="s">
        <v>8</v>
      </c>
      <c r="E455" s="24">
        <v>8.6578351118679522E-2</v>
      </c>
    </row>
    <row r="456" spans="1:5" x14ac:dyDescent="0.45">
      <c r="A456" s="24" t="s">
        <v>461</v>
      </c>
      <c r="B456" s="19" t="s">
        <v>478</v>
      </c>
      <c r="C456" s="24" t="s">
        <v>379</v>
      </c>
      <c r="D456" s="24" t="s">
        <v>8</v>
      </c>
      <c r="E456" s="24">
        <v>8.6578351118679522E-2</v>
      </c>
    </row>
    <row r="457" spans="1:5" x14ac:dyDescent="0.45">
      <c r="A457" s="24" t="s">
        <v>461</v>
      </c>
      <c r="B457" s="19" t="s">
        <v>478</v>
      </c>
      <c r="C457" s="24" t="s">
        <v>380</v>
      </c>
      <c r="D457" s="24" t="s">
        <v>8</v>
      </c>
      <c r="E457" s="24">
        <v>8.6578351118679522E-2</v>
      </c>
    </row>
    <row r="458" spans="1:5" x14ac:dyDescent="0.45">
      <c r="A458" s="24" t="s">
        <v>461</v>
      </c>
      <c r="B458" s="19" t="s">
        <v>478</v>
      </c>
      <c r="C458" s="24" t="s">
        <v>381</v>
      </c>
      <c r="D458" s="24" t="s">
        <v>8</v>
      </c>
      <c r="E458" s="24">
        <v>50.022439716030298</v>
      </c>
    </row>
    <row r="459" spans="1:5" x14ac:dyDescent="0.45">
      <c r="A459" s="24" t="s">
        <v>461</v>
      </c>
      <c r="B459" s="19" t="s">
        <v>478</v>
      </c>
      <c r="C459" s="24" t="s">
        <v>382</v>
      </c>
      <c r="D459" s="24" t="s">
        <v>8</v>
      </c>
      <c r="E459" s="24">
        <v>50.022439716030298</v>
      </c>
    </row>
    <row r="460" spans="1:5" x14ac:dyDescent="0.45">
      <c r="A460" s="24" t="s">
        <v>461</v>
      </c>
      <c r="B460" s="19" t="s">
        <v>478</v>
      </c>
      <c r="C460" s="24" t="s">
        <v>383</v>
      </c>
      <c r="D460" s="24" t="s">
        <v>8</v>
      </c>
      <c r="E460" s="24">
        <v>50.022439716030298</v>
      </c>
    </row>
    <row r="461" spans="1:5" x14ac:dyDescent="0.45">
      <c r="A461" s="24" t="s">
        <v>461</v>
      </c>
      <c r="B461" s="19" t="s">
        <v>478</v>
      </c>
      <c r="C461" s="24" t="s">
        <v>384</v>
      </c>
      <c r="D461" s="24" t="s">
        <v>8</v>
      </c>
      <c r="E461" s="24">
        <v>50.022439716030298</v>
      </c>
    </row>
    <row r="462" spans="1:5" x14ac:dyDescent="0.45">
      <c r="A462" s="24" t="s">
        <v>461</v>
      </c>
      <c r="B462" s="19" t="s">
        <v>478</v>
      </c>
      <c r="C462" s="24" t="s">
        <v>385</v>
      </c>
      <c r="D462" s="24" t="s">
        <v>8</v>
      </c>
      <c r="E462" s="24">
        <v>50.022439716030298</v>
      </c>
    </row>
    <row r="463" spans="1:5" x14ac:dyDescent="0.45">
      <c r="A463" s="24" t="s">
        <v>461</v>
      </c>
      <c r="B463" s="19" t="s">
        <v>478</v>
      </c>
      <c r="C463" s="24" t="s">
        <v>386</v>
      </c>
      <c r="D463" s="24" t="s">
        <v>8</v>
      </c>
      <c r="E463" s="24">
        <v>50.022439716030298</v>
      </c>
    </row>
    <row r="464" spans="1:5" x14ac:dyDescent="0.45">
      <c r="A464" s="24" t="s">
        <v>461</v>
      </c>
      <c r="B464" s="19" t="s">
        <v>478</v>
      </c>
      <c r="C464" s="24" t="s">
        <v>387</v>
      </c>
      <c r="D464" s="24" t="s">
        <v>8</v>
      </c>
      <c r="E464" s="24">
        <v>50.022439716030298</v>
      </c>
    </row>
    <row r="465" spans="1:5" x14ac:dyDescent="0.45">
      <c r="A465" s="24" t="s">
        <v>461</v>
      </c>
      <c r="B465" s="19" t="s">
        <v>478</v>
      </c>
      <c r="C465" s="24" t="s">
        <v>389</v>
      </c>
      <c r="D465" s="24" t="s">
        <v>8</v>
      </c>
      <c r="E465" s="24">
        <v>5.7228812061140499E-2</v>
      </c>
    </row>
    <row r="466" spans="1:5" x14ac:dyDescent="0.45">
      <c r="A466" s="24" t="s">
        <v>461</v>
      </c>
      <c r="B466" s="19" t="s">
        <v>478</v>
      </c>
      <c r="C466" s="24" t="s">
        <v>390</v>
      </c>
      <c r="D466" s="24" t="s">
        <v>8</v>
      </c>
      <c r="E466" s="24">
        <v>5.7228812061140499E-2</v>
      </c>
    </row>
    <row r="467" spans="1:5" x14ac:dyDescent="0.45">
      <c r="A467" s="24" t="s">
        <v>461</v>
      </c>
      <c r="B467" s="19" t="s">
        <v>478</v>
      </c>
      <c r="C467" s="24" t="s">
        <v>391</v>
      </c>
      <c r="D467" s="24" t="s">
        <v>8</v>
      </c>
      <c r="E467" s="24">
        <v>5.7228812061140499E-2</v>
      </c>
    </row>
    <row r="468" spans="1:5" x14ac:dyDescent="0.45">
      <c r="A468" s="24" t="s">
        <v>461</v>
      </c>
      <c r="B468" s="19" t="s">
        <v>478</v>
      </c>
      <c r="C468" s="24" t="s">
        <v>392</v>
      </c>
      <c r="D468" s="24" t="s">
        <v>8</v>
      </c>
      <c r="E468" s="24">
        <v>5.7228812061140499E-2</v>
      </c>
    </row>
    <row r="469" spans="1:5" x14ac:dyDescent="0.45">
      <c r="A469" s="24" t="s">
        <v>461</v>
      </c>
      <c r="B469" s="19" t="s">
        <v>478</v>
      </c>
      <c r="C469" s="24" t="s">
        <v>393</v>
      </c>
      <c r="D469" s="24" t="s">
        <v>8</v>
      </c>
      <c r="E469" s="24">
        <v>5.7228812061140499E-2</v>
      </c>
    </row>
    <row r="470" spans="1:5" x14ac:dyDescent="0.45">
      <c r="A470" s="24" t="s">
        <v>461</v>
      </c>
      <c r="B470" s="19" t="s">
        <v>478</v>
      </c>
      <c r="C470" s="24" t="s">
        <v>394</v>
      </c>
      <c r="D470" s="24" t="s">
        <v>8</v>
      </c>
      <c r="E470" s="24">
        <v>5.7228812061140499E-2</v>
      </c>
    </row>
    <row r="471" spans="1:5" x14ac:dyDescent="0.45">
      <c r="A471" s="24" t="s">
        <v>461</v>
      </c>
      <c r="B471" s="19" t="s">
        <v>478</v>
      </c>
      <c r="C471" s="24" t="s">
        <v>395</v>
      </c>
      <c r="D471" s="24" t="s">
        <v>8</v>
      </c>
      <c r="E471" s="24">
        <v>5.7228812061140499E-2</v>
      </c>
    </row>
    <row r="472" spans="1:5" x14ac:dyDescent="0.45">
      <c r="A472" s="24" t="s">
        <v>461</v>
      </c>
      <c r="B472" s="19" t="s">
        <v>478</v>
      </c>
      <c r="C472" s="24" t="s">
        <v>396</v>
      </c>
      <c r="D472" s="24" t="s">
        <v>8</v>
      </c>
      <c r="E472" s="24">
        <v>5.7228812061140499E-2</v>
      </c>
    </row>
    <row r="473" spans="1:5" x14ac:dyDescent="0.45">
      <c r="A473" s="24" t="s">
        <v>461</v>
      </c>
      <c r="B473" s="19" t="s">
        <v>478</v>
      </c>
      <c r="C473" s="24" t="s">
        <v>397</v>
      </c>
      <c r="D473" s="24" t="s">
        <v>8</v>
      </c>
      <c r="E473" s="24">
        <v>5.7228812061140499E-2</v>
      </c>
    </row>
    <row r="474" spans="1:5" x14ac:dyDescent="0.45">
      <c r="A474" s="24" t="s">
        <v>461</v>
      </c>
      <c r="B474" s="19" t="s">
        <v>478</v>
      </c>
      <c r="C474" s="24" t="s">
        <v>398</v>
      </c>
      <c r="D474" s="24" t="s">
        <v>8</v>
      </c>
      <c r="E474" s="24">
        <v>5.7228812061140499E-2</v>
      </c>
    </row>
    <row r="475" spans="1:5" x14ac:dyDescent="0.45">
      <c r="A475" s="24" t="s">
        <v>461</v>
      </c>
      <c r="B475" s="19" t="s">
        <v>478</v>
      </c>
      <c r="C475" s="24" t="s">
        <v>399</v>
      </c>
      <c r="D475" s="24" t="s">
        <v>8</v>
      </c>
      <c r="E475" s="24">
        <v>5.7228812061140499E-2</v>
      </c>
    </row>
    <row r="476" spans="1:5" x14ac:dyDescent="0.45">
      <c r="A476" s="24" t="s">
        <v>461</v>
      </c>
      <c r="B476" s="19" t="s">
        <v>478</v>
      </c>
      <c r="C476" s="24" t="s">
        <v>400</v>
      </c>
      <c r="D476" s="24" t="s">
        <v>8</v>
      </c>
      <c r="E476" s="24">
        <v>5.7228812061140499E-2</v>
      </c>
    </row>
    <row r="477" spans="1:5" x14ac:dyDescent="0.45">
      <c r="A477" s="24" t="s">
        <v>461</v>
      </c>
      <c r="B477" s="19" t="s">
        <v>478</v>
      </c>
      <c r="C477" s="24" t="s">
        <v>401</v>
      </c>
      <c r="D477" s="24" t="s">
        <v>8</v>
      </c>
      <c r="E477" s="24">
        <v>5.7228812061140499E-2</v>
      </c>
    </row>
    <row r="478" spans="1:5" x14ac:dyDescent="0.45">
      <c r="A478" s="24" t="s">
        <v>461</v>
      </c>
      <c r="B478" s="19" t="s">
        <v>478</v>
      </c>
      <c r="C478" s="24" t="s">
        <v>402</v>
      </c>
      <c r="D478" s="24" t="s">
        <v>8</v>
      </c>
      <c r="E478" s="24">
        <v>5.7228812061140499E-2</v>
      </c>
    </row>
    <row r="479" spans="1:5" x14ac:dyDescent="0.45">
      <c r="A479" s="24" t="s">
        <v>461</v>
      </c>
      <c r="B479" s="19" t="s">
        <v>478</v>
      </c>
      <c r="C479" s="24" t="s">
        <v>403</v>
      </c>
      <c r="D479" s="24" t="s">
        <v>8</v>
      </c>
      <c r="E479" s="24">
        <v>5.7228812061140499E-2</v>
      </c>
    </row>
    <row r="480" spans="1:5" x14ac:dyDescent="0.45">
      <c r="A480" s="24" t="s">
        <v>461</v>
      </c>
      <c r="B480" s="19" t="s">
        <v>478</v>
      </c>
      <c r="C480" s="24" t="s">
        <v>190</v>
      </c>
      <c r="D480" s="24" t="s">
        <v>8</v>
      </c>
      <c r="E480" s="24">
        <v>16.620052075727429</v>
      </c>
    </row>
    <row r="481" spans="1:5" x14ac:dyDescent="0.45">
      <c r="A481" s="24" t="s">
        <v>461</v>
      </c>
      <c r="B481" s="19" t="s">
        <v>478</v>
      </c>
      <c r="C481" s="24" t="s">
        <v>191</v>
      </c>
      <c r="D481" s="24" t="s">
        <v>8</v>
      </c>
      <c r="E481" s="24">
        <v>16.620052075727429</v>
      </c>
    </row>
    <row r="482" spans="1:5" x14ac:dyDescent="0.45">
      <c r="A482" s="24" t="s">
        <v>461</v>
      </c>
      <c r="B482" s="19" t="s">
        <v>478</v>
      </c>
      <c r="C482" s="24" t="s">
        <v>192</v>
      </c>
      <c r="D482" s="24" t="s">
        <v>8</v>
      </c>
      <c r="E482" s="24">
        <v>16.620052075727429</v>
      </c>
    </row>
    <row r="483" spans="1:5" x14ac:dyDescent="0.45">
      <c r="A483" s="24" t="s">
        <v>461</v>
      </c>
      <c r="B483" s="19" t="s">
        <v>478</v>
      </c>
      <c r="C483" s="24" t="s">
        <v>193</v>
      </c>
      <c r="D483" s="24" t="s">
        <v>8</v>
      </c>
      <c r="E483" s="24">
        <v>16.620052075727429</v>
      </c>
    </row>
    <row r="484" spans="1:5" x14ac:dyDescent="0.45">
      <c r="A484" s="24" t="s">
        <v>461</v>
      </c>
      <c r="B484" s="19" t="s">
        <v>478</v>
      </c>
      <c r="C484" s="24" t="s">
        <v>194</v>
      </c>
      <c r="D484" s="24" t="s">
        <v>8</v>
      </c>
      <c r="E484" s="24">
        <v>16.620052075727429</v>
      </c>
    </row>
    <row r="485" spans="1:5" x14ac:dyDescent="0.45">
      <c r="A485" s="24" t="s">
        <v>461</v>
      </c>
      <c r="B485" s="19" t="s">
        <v>478</v>
      </c>
      <c r="C485" s="24" t="s">
        <v>195</v>
      </c>
      <c r="D485" s="24" t="s">
        <v>8</v>
      </c>
      <c r="E485" s="24">
        <v>16.620052075727429</v>
      </c>
    </row>
    <row r="486" spans="1:5" ht="28.5" x14ac:dyDescent="0.45">
      <c r="A486" s="24" t="s">
        <v>461</v>
      </c>
      <c r="B486" s="19" t="s">
        <v>478</v>
      </c>
      <c r="C486" s="24" t="s">
        <v>196</v>
      </c>
      <c r="D486" s="24" t="s">
        <v>8</v>
      </c>
      <c r="E486" s="24">
        <v>16.620052075727429</v>
      </c>
    </row>
    <row r="487" spans="1:5" x14ac:dyDescent="0.45">
      <c r="A487" s="24" t="s">
        <v>461</v>
      </c>
      <c r="B487" s="19" t="s">
        <v>478</v>
      </c>
      <c r="C487" s="24" t="s">
        <v>197</v>
      </c>
      <c r="D487" s="24" t="s">
        <v>8</v>
      </c>
      <c r="E487" s="24">
        <v>16.620052075727429</v>
      </c>
    </row>
    <row r="488" spans="1:5" x14ac:dyDescent="0.45">
      <c r="A488" s="24" t="s">
        <v>461</v>
      </c>
      <c r="B488" s="19" t="s">
        <v>478</v>
      </c>
      <c r="C488" s="24" t="s">
        <v>198</v>
      </c>
      <c r="D488" s="24" t="s">
        <v>8</v>
      </c>
      <c r="E488" s="24">
        <v>16.620052075727429</v>
      </c>
    </row>
    <row r="489" spans="1:5" x14ac:dyDescent="0.45">
      <c r="A489" s="24" t="s">
        <v>461</v>
      </c>
      <c r="B489" s="19" t="s">
        <v>478</v>
      </c>
      <c r="C489" s="24" t="s">
        <v>199</v>
      </c>
      <c r="D489" s="24" t="s">
        <v>8</v>
      </c>
      <c r="E489" s="24">
        <v>16.620052075727429</v>
      </c>
    </row>
    <row r="490" spans="1:5" x14ac:dyDescent="0.45">
      <c r="A490" s="24" t="s">
        <v>461</v>
      </c>
      <c r="B490" s="19" t="s">
        <v>478</v>
      </c>
      <c r="C490" s="24" t="s">
        <v>200</v>
      </c>
      <c r="D490" s="24" t="s">
        <v>8</v>
      </c>
      <c r="E490" s="24">
        <v>16.620052075727429</v>
      </c>
    </row>
    <row r="491" spans="1:5" x14ac:dyDescent="0.45">
      <c r="A491" s="24" t="s">
        <v>461</v>
      </c>
      <c r="B491" s="19" t="s">
        <v>478</v>
      </c>
      <c r="C491" s="24" t="s">
        <v>201</v>
      </c>
      <c r="D491" s="24" t="s">
        <v>8</v>
      </c>
      <c r="E491" s="24">
        <v>16.620052075727429</v>
      </c>
    </row>
    <row r="492" spans="1:5" x14ac:dyDescent="0.45">
      <c r="A492" s="24" t="s">
        <v>461</v>
      </c>
      <c r="B492" s="19" t="s">
        <v>478</v>
      </c>
      <c r="C492" s="24" t="s">
        <v>202</v>
      </c>
      <c r="D492" s="24" t="s">
        <v>8</v>
      </c>
      <c r="E492" s="24">
        <v>16.620052075727429</v>
      </c>
    </row>
    <row r="493" spans="1:5" x14ac:dyDescent="0.45">
      <c r="A493" s="24" t="s">
        <v>461</v>
      </c>
      <c r="B493" s="19" t="s">
        <v>478</v>
      </c>
      <c r="C493" s="24" t="s">
        <v>203</v>
      </c>
      <c r="D493" s="24" t="s">
        <v>8</v>
      </c>
      <c r="E493" s="24">
        <v>16.620052075727429</v>
      </c>
    </row>
    <row r="494" spans="1:5" x14ac:dyDescent="0.45">
      <c r="A494" s="24" t="s">
        <v>461</v>
      </c>
      <c r="B494" s="19" t="s">
        <v>478</v>
      </c>
      <c r="C494" s="24" t="s">
        <v>204</v>
      </c>
      <c r="D494" s="24" t="s">
        <v>8</v>
      </c>
      <c r="E494" s="24">
        <v>16.620052075727429</v>
      </c>
    </row>
    <row r="495" spans="1:5" x14ac:dyDescent="0.45">
      <c r="A495" s="24" t="s">
        <v>461</v>
      </c>
      <c r="B495" s="19" t="s">
        <v>478</v>
      </c>
      <c r="C495" s="24" t="s">
        <v>205</v>
      </c>
      <c r="D495" s="24" t="s">
        <v>8</v>
      </c>
      <c r="E495" s="24">
        <v>16.620052075727429</v>
      </c>
    </row>
    <row r="496" spans="1:5" x14ac:dyDescent="0.45">
      <c r="A496" s="24" t="s">
        <v>461</v>
      </c>
      <c r="B496" s="19" t="s">
        <v>478</v>
      </c>
      <c r="C496" s="24" t="s">
        <v>206</v>
      </c>
      <c r="D496" s="24" t="s">
        <v>8</v>
      </c>
      <c r="E496" s="24">
        <v>16.620052075727429</v>
      </c>
    </row>
    <row r="497" spans="1:5" x14ac:dyDescent="0.45">
      <c r="A497" s="24" t="s">
        <v>461</v>
      </c>
      <c r="B497" s="19" t="s">
        <v>478</v>
      </c>
      <c r="C497" s="24" t="s">
        <v>207</v>
      </c>
      <c r="D497" s="24" t="s">
        <v>8</v>
      </c>
      <c r="E497" s="24">
        <v>16.620052075727429</v>
      </c>
    </row>
    <row r="498" spans="1:5" x14ac:dyDescent="0.45">
      <c r="A498" s="24" t="s">
        <v>461</v>
      </c>
      <c r="B498" s="19" t="s">
        <v>478</v>
      </c>
      <c r="C498" s="24" t="s">
        <v>208</v>
      </c>
      <c r="D498" s="24" t="s">
        <v>8</v>
      </c>
      <c r="E498" s="24">
        <v>16.620052075727429</v>
      </c>
    </row>
    <row r="499" spans="1:5" x14ac:dyDescent="0.45">
      <c r="A499" s="24" t="s">
        <v>461</v>
      </c>
      <c r="B499" s="19" t="s">
        <v>478</v>
      </c>
      <c r="C499" s="24" t="s">
        <v>209</v>
      </c>
      <c r="D499" s="24" t="s">
        <v>8</v>
      </c>
      <c r="E499" s="24">
        <v>16.620052075727429</v>
      </c>
    </row>
    <row r="500" spans="1:5" x14ac:dyDescent="0.45">
      <c r="A500" s="24" t="s">
        <v>461</v>
      </c>
      <c r="B500" s="19" t="s">
        <v>478</v>
      </c>
      <c r="C500" s="24" t="s">
        <v>210</v>
      </c>
      <c r="D500" s="24" t="s">
        <v>8</v>
      </c>
      <c r="E500" s="24">
        <v>16.620052075727429</v>
      </c>
    </row>
    <row r="501" spans="1:5" x14ac:dyDescent="0.45">
      <c r="A501" s="24" t="s">
        <v>461</v>
      </c>
      <c r="B501" s="19" t="s">
        <v>478</v>
      </c>
      <c r="C501" s="24" t="s">
        <v>211</v>
      </c>
      <c r="D501" s="24" t="s">
        <v>8</v>
      </c>
      <c r="E501" s="24">
        <v>16.620052075727429</v>
      </c>
    </row>
    <row r="502" spans="1:5" x14ac:dyDescent="0.45">
      <c r="A502" s="24" t="s">
        <v>461</v>
      </c>
      <c r="B502" s="19" t="s">
        <v>478</v>
      </c>
      <c r="C502" s="24" t="s">
        <v>405</v>
      </c>
      <c r="D502" s="24" t="s">
        <v>8</v>
      </c>
      <c r="E502" s="24">
        <v>1.200133763891887</v>
      </c>
    </row>
    <row r="503" spans="1:5" x14ac:dyDescent="0.45">
      <c r="A503" s="24" t="s">
        <v>461</v>
      </c>
      <c r="B503" s="19" t="s">
        <v>478</v>
      </c>
      <c r="C503" s="24" t="s">
        <v>406</v>
      </c>
      <c r="D503" s="24" t="s">
        <v>8</v>
      </c>
      <c r="E503" s="24">
        <v>1.200133763891887</v>
      </c>
    </row>
    <row r="504" spans="1:5" x14ac:dyDescent="0.45">
      <c r="A504" s="24" t="s">
        <v>461</v>
      </c>
      <c r="B504" s="19" t="s">
        <v>478</v>
      </c>
      <c r="C504" s="24" t="s">
        <v>407</v>
      </c>
      <c r="D504" s="24" t="s">
        <v>8</v>
      </c>
      <c r="E504" s="24">
        <v>1.200133763891887</v>
      </c>
    </row>
    <row r="505" spans="1:5" x14ac:dyDescent="0.45">
      <c r="A505" s="24" t="s">
        <v>461</v>
      </c>
      <c r="B505" s="19" t="s">
        <v>478</v>
      </c>
      <c r="C505" s="24" t="s">
        <v>408</v>
      </c>
      <c r="D505" s="24" t="s">
        <v>8</v>
      </c>
      <c r="E505" s="24">
        <v>1.200133763891887</v>
      </c>
    </row>
    <row r="506" spans="1:5" x14ac:dyDescent="0.45">
      <c r="A506" s="24" t="s">
        <v>461</v>
      </c>
      <c r="B506" s="19" t="s">
        <v>478</v>
      </c>
      <c r="C506" s="24" t="s">
        <v>409</v>
      </c>
      <c r="D506" s="24" t="s">
        <v>8</v>
      </c>
      <c r="E506" s="24">
        <v>1.200133763891887</v>
      </c>
    </row>
    <row r="507" spans="1:5" x14ac:dyDescent="0.45">
      <c r="A507" s="24" t="s">
        <v>461</v>
      </c>
      <c r="B507" s="19" t="s">
        <v>478</v>
      </c>
      <c r="C507" s="24" t="s">
        <v>410</v>
      </c>
      <c r="D507" s="24" t="s">
        <v>8</v>
      </c>
      <c r="E507" s="24">
        <v>2.2950826268293949</v>
      </c>
    </row>
    <row r="508" spans="1:5" x14ac:dyDescent="0.45">
      <c r="A508" s="24" t="s">
        <v>461</v>
      </c>
      <c r="B508" s="19" t="s">
        <v>478</v>
      </c>
      <c r="C508" s="24" t="s">
        <v>411</v>
      </c>
      <c r="D508" s="24" t="s">
        <v>8</v>
      </c>
      <c r="E508" s="24">
        <v>2.2950826268293949</v>
      </c>
    </row>
    <row r="509" spans="1:5" x14ac:dyDescent="0.45">
      <c r="A509" s="24" t="s">
        <v>461</v>
      </c>
      <c r="B509" s="19" t="s">
        <v>478</v>
      </c>
      <c r="C509" s="24" t="s">
        <v>412</v>
      </c>
      <c r="D509" s="24" t="s">
        <v>8</v>
      </c>
      <c r="E509" s="24">
        <v>2.2950826268293949</v>
      </c>
    </row>
    <row r="510" spans="1:5" x14ac:dyDescent="0.45">
      <c r="A510" s="24" t="s">
        <v>461</v>
      </c>
      <c r="B510" s="19" t="s">
        <v>478</v>
      </c>
      <c r="C510" s="24" t="s">
        <v>413</v>
      </c>
      <c r="D510" s="24" t="s">
        <v>8</v>
      </c>
      <c r="E510" s="24">
        <v>2.2950826268293949</v>
      </c>
    </row>
    <row r="511" spans="1:5" x14ac:dyDescent="0.45">
      <c r="A511" s="24" t="s">
        <v>461</v>
      </c>
      <c r="B511" s="19" t="s">
        <v>478</v>
      </c>
      <c r="C511" s="24" t="s">
        <v>414</v>
      </c>
      <c r="D511" s="24" t="s">
        <v>8</v>
      </c>
      <c r="E511" s="24">
        <v>2.2950826268293949</v>
      </c>
    </row>
    <row r="512" spans="1:5" x14ac:dyDescent="0.45">
      <c r="A512" s="24" t="s">
        <v>461</v>
      </c>
      <c r="B512" s="19" t="s">
        <v>478</v>
      </c>
      <c r="C512" s="24" t="s">
        <v>415</v>
      </c>
      <c r="D512" s="24" t="s">
        <v>8</v>
      </c>
      <c r="E512" s="24">
        <v>2.2950826268293949</v>
      </c>
    </row>
    <row r="513" spans="1:5" x14ac:dyDescent="0.45">
      <c r="A513" s="24" t="s">
        <v>461</v>
      </c>
      <c r="B513" s="19" t="s">
        <v>478</v>
      </c>
      <c r="C513" s="24" t="s">
        <v>416</v>
      </c>
      <c r="D513" s="24" t="s">
        <v>8</v>
      </c>
      <c r="E513" s="24">
        <v>2.2950826268293949</v>
      </c>
    </row>
    <row r="514" spans="1:5" x14ac:dyDescent="0.45">
      <c r="A514" s="24" t="s">
        <v>461</v>
      </c>
      <c r="B514" s="19" t="s">
        <v>478</v>
      </c>
      <c r="C514" s="24" t="s">
        <v>417</v>
      </c>
      <c r="D514" s="24" t="s">
        <v>8</v>
      </c>
      <c r="E514" s="24">
        <v>2.2950826268293949</v>
      </c>
    </row>
    <row r="515" spans="1:5" x14ac:dyDescent="0.45">
      <c r="A515" s="24" t="s">
        <v>461</v>
      </c>
      <c r="B515" s="19" t="s">
        <v>478</v>
      </c>
      <c r="C515" s="24" t="s">
        <v>418</v>
      </c>
      <c r="D515" s="24" t="s">
        <v>8</v>
      </c>
      <c r="E515" s="24">
        <v>2.2950826268293949</v>
      </c>
    </row>
    <row r="516" spans="1:5" x14ac:dyDescent="0.45">
      <c r="A516" s="24" t="s">
        <v>461</v>
      </c>
      <c r="B516" s="19" t="s">
        <v>478</v>
      </c>
      <c r="C516" s="24" t="s">
        <v>419</v>
      </c>
      <c r="D516" s="24" t="s">
        <v>8</v>
      </c>
      <c r="E516" s="24">
        <v>2.2950826268293949</v>
      </c>
    </row>
    <row r="517" spans="1:5" x14ac:dyDescent="0.45">
      <c r="A517" s="24" t="s">
        <v>461</v>
      </c>
      <c r="B517" s="19" t="s">
        <v>478</v>
      </c>
      <c r="C517" s="24" t="s">
        <v>420</v>
      </c>
      <c r="D517" s="24" t="s">
        <v>8</v>
      </c>
      <c r="E517" s="24">
        <v>2.2950826268293949</v>
      </c>
    </row>
    <row r="518" spans="1:5" x14ac:dyDescent="0.45">
      <c r="A518" s="24" t="s">
        <v>461</v>
      </c>
      <c r="B518" s="19" t="s">
        <v>478</v>
      </c>
      <c r="C518" s="24" t="s">
        <v>421</v>
      </c>
      <c r="D518" s="24" t="s">
        <v>8</v>
      </c>
      <c r="E518" s="24">
        <v>2.2950826268293949</v>
      </c>
    </row>
    <row r="519" spans="1:5" x14ac:dyDescent="0.45">
      <c r="A519" s="24" t="s">
        <v>461</v>
      </c>
      <c r="B519" s="19" t="s">
        <v>478</v>
      </c>
      <c r="C519" s="24" t="s">
        <v>422</v>
      </c>
      <c r="D519" s="24" t="s">
        <v>8</v>
      </c>
      <c r="E519" s="24">
        <v>2.2950826268293949</v>
      </c>
    </row>
    <row r="520" spans="1:5" x14ac:dyDescent="0.45">
      <c r="A520" s="56" t="s">
        <v>121</v>
      </c>
      <c r="B520" s="57" t="s">
        <v>477</v>
      </c>
      <c r="C520" s="58" t="s">
        <v>123</v>
      </c>
      <c r="D520" s="59" t="s">
        <v>124</v>
      </c>
      <c r="E520" s="60">
        <v>3.65E-7</v>
      </c>
    </row>
    <row r="521" spans="1:5" x14ac:dyDescent="0.45">
      <c r="A521" s="56" t="s">
        <v>121</v>
      </c>
      <c r="B521" s="57" t="s">
        <v>477</v>
      </c>
      <c r="C521" s="58" t="s">
        <v>125</v>
      </c>
      <c r="D521" s="59" t="s">
        <v>124</v>
      </c>
      <c r="E521" s="60">
        <v>2.28E-7</v>
      </c>
    </row>
    <row r="522" spans="1:5" x14ac:dyDescent="0.45">
      <c r="A522" s="56" t="s">
        <v>121</v>
      </c>
      <c r="B522" s="57" t="s">
        <v>477</v>
      </c>
      <c r="C522" s="58" t="s">
        <v>126</v>
      </c>
      <c r="D522" s="59" t="s">
        <v>124</v>
      </c>
      <c r="E522" s="60">
        <v>2.28E-7</v>
      </c>
    </row>
    <row r="523" spans="1:5" x14ac:dyDescent="0.45">
      <c r="A523" s="56" t="s">
        <v>121</v>
      </c>
      <c r="B523" s="57" t="s">
        <v>477</v>
      </c>
      <c r="C523" s="58" t="s">
        <v>127</v>
      </c>
      <c r="D523" s="59" t="s">
        <v>124</v>
      </c>
      <c r="E523" s="60">
        <v>2.28E-7</v>
      </c>
    </row>
    <row r="524" spans="1:5" x14ac:dyDescent="0.45">
      <c r="A524" s="56" t="s">
        <v>121</v>
      </c>
      <c r="B524" s="57" t="s">
        <v>477</v>
      </c>
      <c r="C524" s="58" t="s">
        <v>128</v>
      </c>
      <c r="D524" s="59" t="s">
        <v>124</v>
      </c>
      <c r="E524" s="60">
        <v>2.28E-7</v>
      </c>
    </row>
    <row r="525" spans="1:5" x14ac:dyDescent="0.45">
      <c r="A525" s="56" t="s">
        <v>121</v>
      </c>
      <c r="B525" s="57" t="s">
        <v>477</v>
      </c>
      <c r="C525" s="58" t="s">
        <v>129</v>
      </c>
      <c r="D525" s="59" t="s">
        <v>124</v>
      </c>
      <c r="E525" s="60">
        <v>2.28E-7</v>
      </c>
    </row>
    <row r="526" spans="1:5" x14ac:dyDescent="0.45">
      <c r="A526" s="56" t="s">
        <v>121</v>
      </c>
      <c r="B526" s="57" t="s">
        <v>477</v>
      </c>
      <c r="C526" s="58" t="s">
        <v>130</v>
      </c>
      <c r="D526" s="59" t="s">
        <v>124</v>
      </c>
      <c r="E526" s="60">
        <v>2.28E-7</v>
      </c>
    </row>
    <row r="527" spans="1:5" x14ac:dyDescent="0.45">
      <c r="A527" s="56" t="s">
        <v>121</v>
      </c>
      <c r="B527" s="57" t="s">
        <v>477</v>
      </c>
      <c r="C527" s="58" t="s">
        <v>131</v>
      </c>
      <c r="D527" s="59" t="s">
        <v>124</v>
      </c>
      <c r="E527" s="60">
        <v>2.28E-7</v>
      </c>
    </row>
    <row r="528" spans="1:5" x14ac:dyDescent="0.45">
      <c r="A528" s="56" t="s">
        <v>121</v>
      </c>
      <c r="B528" s="57" t="s">
        <v>477</v>
      </c>
      <c r="C528" s="58" t="s">
        <v>132</v>
      </c>
      <c r="D528" s="59" t="s">
        <v>124</v>
      </c>
      <c r="E528" s="60">
        <v>1.2200000000000001E-7</v>
      </c>
    </row>
    <row r="529" spans="1:5" x14ac:dyDescent="0.45">
      <c r="A529" s="56" t="s">
        <v>121</v>
      </c>
      <c r="B529" s="57" t="s">
        <v>477</v>
      </c>
      <c r="C529" s="58" t="s">
        <v>133</v>
      </c>
      <c r="D529" s="59" t="s">
        <v>124</v>
      </c>
      <c r="E529" s="60">
        <v>1.2200000000000001E-7</v>
      </c>
    </row>
    <row r="530" spans="1:5" x14ac:dyDescent="0.45">
      <c r="A530" s="56" t="s">
        <v>121</v>
      </c>
      <c r="B530" s="57" t="s">
        <v>477</v>
      </c>
      <c r="C530" s="58" t="s">
        <v>134</v>
      </c>
      <c r="D530" s="59" t="s">
        <v>124</v>
      </c>
      <c r="E530" s="60">
        <v>1.2200000000000001E-7</v>
      </c>
    </row>
    <row r="531" spans="1:5" x14ac:dyDescent="0.45">
      <c r="A531" s="56" t="s">
        <v>121</v>
      </c>
      <c r="B531" s="57" t="s">
        <v>477</v>
      </c>
      <c r="C531" s="58" t="s">
        <v>135</v>
      </c>
      <c r="D531" s="59" t="s">
        <v>124</v>
      </c>
      <c r="E531" s="60">
        <v>1.2200000000000001E-7</v>
      </c>
    </row>
    <row r="532" spans="1:5" x14ac:dyDescent="0.45">
      <c r="A532" s="56" t="s">
        <v>121</v>
      </c>
      <c r="B532" s="57" t="s">
        <v>477</v>
      </c>
      <c r="C532" s="58" t="s">
        <v>136</v>
      </c>
      <c r="D532" s="59" t="s">
        <v>124</v>
      </c>
      <c r="E532" s="60">
        <v>1.2200000000000001E-7</v>
      </c>
    </row>
    <row r="533" spans="1:5" x14ac:dyDescent="0.45">
      <c r="A533" s="56" t="s">
        <v>121</v>
      </c>
      <c r="B533" s="57" t="s">
        <v>477</v>
      </c>
      <c r="C533" s="58" t="s">
        <v>137</v>
      </c>
      <c r="D533" s="59" t="s">
        <v>124</v>
      </c>
      <c r="E533" s="60">
        <v>1.2200000000000001E-7</v>
      </c>
    </row>
    <row r="534" spans="1:5" x14ac:dyDescent="0.45">
      <c r="A534" s="56" t="s">
        <v>121</v>
      </c>
      <c r="B534" s="57" t="s">
        <v>477</v>
      </c>
      <c r="C534" s="58" t="s">
        <v>138</v>
      </c>
      <c r="D534" s="59" t="s">
        <v>124</v>
      </c>
      <c r="E534" s="60">
        <v>1.2200000000000001E-7</v>
      </c>
    </row>
    <row r="535" spans="1:5" x14ac:dyDescent="0.45">
      <c r="A535" s="56" t="s">
        <v>121</v>
      </c>
      <c r="B535" s="57" t="s">
        <v>477</v>
      </c>
      <c r="C535" s="58" t="s">
        <v>139</v>
      </c>
      <c r="D535" s="59" t="s">
        <v>124</v>
      </c>
      <c r="E535" s="60">
        <v>1.2200000000000001E-7</v>
      </c>
    </row>
    <row r="536" spans="1:5" x14ac:dyDescent="0.45">
      <c r="A536" s="56" t="s">
        <v>121</v>
      </c>
      <c r="B536" s="57" t="s">
        <v>477</v>
      </c>
      <c r="C536" s="58" t="s">
        <v>140</v>
      </c>
      <c r="D536" s="59" t="s">
        <v>124</v>
      </c>
      <c r="E536" s="60">
        <v>1.2200000000000001E-7</v>
      </c>
    </row>
    <row r="537" spans="1:5" x14ac:dyDescent="0.45">
      <c r="A537" s="56" t="s">
        <v>121</v>
      </c>
      <c r="B537" s="57" t="s">
        <v>477</v>
      </c>
      <c r="C537" s="58" t="s">
        <v>141</v>
      </c>
      <c r="D537" s="59" t="s">
        <v>124</v>
      </c>
      <c r="E537" s="60">
        <v>1.2200000000000001E-7</v>
      </c>
    </row>
    <row r="538" spans="1:5" x14ac:dyDescent="0.45">
      <c r="A538" s="56" t="s">
        <v>121</v>
      </c>
      <c r="B538" s="57" t="s">
        <v>477</v>
      </c>
      <c r="C538" s="58" t="s">
        <v>142</v>
      </c>
      <c r="D538" s="59" t="s">
        <v>124</v>
      </c>
      <c r="E538" s="60">
        <v>1.2200000000000001E-7</v>
      </c>
    </row>
    <row r="539" spans="1:5" x14ac:dyDescent="0.45">
      <c r="A539" s="56" t="s">
        <v>121</v>
      </c>
      <c r="B539" s="57" t="s">
        <v>477</v>
      </c>
      <c r="C539" s="58" t="s">
        <v>143</v>
      </c>
      <c r="D539" s="59" t="s">
        <v>124</v>
      </c>
      <c r="E539" s="60">
        <v>1.2200000000000001E-7</v>
      </c>
    </row>
    <row r="540" spans="1:5" x14ac:dyDescent="0.45">
      <c r="A540" s="56" t="s">
        <v>121</v>
      </c>
      <c r="B540" s="57" t="s">
        <v>477</v>
      </c>
      <c r="C540" s="58" t="s">
        <v>144</v>
      </c>
      <c r="D540" s="59" t="s">
        <v>124</v>
      </c>
      <c r="E540" s="60">
        <v>1.2200000000000001E-7</v>
      </c>
    </row>
    <row r="541" spans="1:5" x14ac:dyDescent="0.45">
      <c r="A541" s="56" t="s">
        <v>121</v>
      </c>
      <c r="B541" s="57" t="s">
        <v>477</v>
      </c>
      <c r="C541" s="58" t="s">
        <v>158</v>
      </c>
      <c r="D541" s="59" t="s">
        <v>124</v>
      </c>
      <c r="E541" s="60">
        <v>0</v>
      </c>
    </row>
    <row r="542" spans="1:5" x14ac:dyDescent="0.45">
      <c r="A542" s="56" t="s">
        <v>121</v>
      </c>
      <c r="B542" s="57" t="s">
        <v>477</v>
      </c>
      <c r="C542" s="58" t="s">
        <v>159</v>
      </c>
      <c r="D542" s="59" t="s">
        <v>124</v>
      </c>
      <c r="E542" s="60">
        <v>5.2999999999999998E-8</v>
      </c>
    </row>
    <row r="543" spans="1:5" x14ac:dyDescent="0.45">
      <c r="A543" s="56" t="s">
        <v>121</v>
      </c>
      <c r="B543" s="57" t="s">
        <v>477</v>
      </c>
      <c r="C543" s="58" t="s">
        <v>160</v>
      </c>
      <c r="D543" s="59" t="s">
        <v>124</v>
      </c>
      <c r="E543" s="60">
        <v>5.2999999999999998E-8</v>
      </c>
    </row>
    <row r="544" spans="1:5" x14ac:dyDescent="0.45">
      <c r="A544" s="56" t="s">
        <v>121</v>
      </c>
      <c r="B544" s="57" t="s">
        <v>477</v>
      </c>
      <c r="C544" s="58" t="s">
        <v>161</v>
      </c>
      <c r="D544" s="59" t="s">
        <v>124</v>
      </c>
      <c r="E544" s="60">
        <v>5.2999999999999998E-8</v>
      </c>
    </row>
    <row r="545" spans="1:6" x14ac:dyDescent="0.45">
      <c r="A545" s="61" t="s">
        <v>427</v>
      </c>
      <c r="B545" s="57" t="s">
        <v>477</v>
      </c>
      <c r="C545" s="61" t="s">
        <v>462</v>
      </c>
      <c r="D545" s="59" t="s">
        <v>430</v>
      </c>
      <c r="E545" s="60">
        <v>5.4624999999999996E-7</v>
      </c>
    </row>
    <row r="546" spans="1:6" x14ac:dyDescent="0.45">
      <c r="A546" s="61" t="s">
        <v>427</v>
      </c>
      <c r="B546" s="57" t="s">
        <v>477</v>
      </c>
      <c r="C546" s="61" t="s">
        <v>463</v>
      </c>
      <c r="D546" s="59" t="s">
        <v>430</v>
      </c>
      <c r="E546" s="60">
        <v>4.3700000000000001E-7</v>
      </c>
    </row>
    <row r="547" spans="1:6" x14ac:dyDescent="0.45">
      <c r="A547" s="61" t="s">
        <v>427</v>
      </c>
      <c r="B547" s="57" t="s">
        <v>477</v>
      </c>
      <c r="C547" s="61" t="s">
        <v>464</v>
      </c>
      <c r="D547" s="59" t="s">
        <v>430</v>
      </c>
      <c r="E547" s="60">
        <v>4.752375E-7</v>
      </c>
    </row>
    <row r="548" spans="1:6" x14ac:dyDescent="0.45">
      <c r="A548" s="61" t="s">
        <v>427</v>
      </c>
      <c r="B548" s="57" t="s">
        <v>477</v>
      </c>
      <c r="C548" s="61" t="s">
        <v>465</v>
      </c>
      <c r="D548" s="59" t="s">
        <v>430</v>
      </c>
      <c r="E548" s="60">
        <v>1.0105625E-7</v>
      </c>
    </row>
    <row r="549" spans="1:6" x14ac:dyDescent="0.45">
      <c r="A549" s="61" t="s">
        <v>427</v>
      </c>
      <c r="B549" s="57" t="s">
        <v>477</v>
      </c>
      <c r="C549" s="61" t="s">
        <v>466</v>
      </c>
      <c r="D549" s="59" t="s">
        <v>430</v>
      </c>
      <c r="E549" s="60">
        <v>1.0105625E-7</v>
      </c>
      <c r="F549" s="63"/>
    </row>
    <row r="550" spans="1:6" x14ac:dyDescent="0.45">
      <c r="A550" s="61" t="s">
        <v>427</v>
      </c>
      <c r="B550" s="57" t="s">
        <v>477</v>
      </c>
      <c r="C550" s="61" t="s">
        <v>467</v>
      </c>
      <c r="D550" s="59" t="s">
        <v>430</v>
      </c>
      <c r="E550" s="60">
        <v>1.3656249999999999E-7</v>
      </c>
      <c r="F550" s="63"/>
    </row>
    <row r="551" spans="1:6" x14ac:dyDescent="0.45">
      <c r="A551" s="61" t="s">
        <v>427</v>
      </c>
      <c r="B551" s="57" t="s">
        <v>477</v>
      </c>
      <c r="C551" s="61" t="s">
        <v>468</v>
      </c>
      <c r="D551" s="59" t="s">
        <v>430</v>
      </c>
      <c r="E551" s="60">
        <v>5.0254999999999996E-7</v>
      </c>
      <c r="F551" s="63"/>
    </row>
    <row r="552" spans="1:6" x14ac:dyDescent="0.45">
      <c r="A552" s="61" t="s">
        <v>427</v>
      </c>
      <c r="B552" s="57" t="s">
        <v>477</v>
      </c>
      <c r="C552" s="61" t="s">
        <v>469</v>
      </c>
      <c r="D552" s="59" t="s">
        <v>430</v>
      </c>
      <c r="E552" s="60">
        <v>4.9162500000000004E-7</v>
      </c>
      <c r="F552" s="63"/>
    </row>
    <row r="553" spans="1:6" s="63" customFormat="1" x14ac:dyDescent="0.45">
      <c r="A553" s="61" t="s">
        <v>427</v>
      </c>
      <c r="B553" s="57" t="s">
        <v>477</v>
      </c>
      <c r="C553" s="61" t="s">
        <v>470</v>
      </c>
      <c r="D553" s="59" t="s">
        <v>430</v>
      </c>
      <c r="E553" s="60">
        <v>4.0375E-7</v>
      </c>
    </row>
    <row r="554" spans="1:6" s="63" customFormat="1" x14ac:dyDescent="0.45">
      <c r="A554" s="61" t="s">
        <v>427</v>
      </c>
      <c r="B554" s="57" t="s">
        <v>477</v>
      </c>
      <c r="C554" s="61" t="s">
        <v>471</v>
      </c>
      <c r="D554" s="59" t="s">
        <v>430</v>
      </c>
      <c r="E554" s="60">
        <v>4.0375E-7</v>
      </c>
    </row>
    <row r="555" spans="1:6" s="63" customFormat="1" x14ac:dyDescent="0.45">
      <c r="A555" s="61" t="s">
        <v>427</v>
      </c>
      <c r="B555" s="57" t="s">
        <v>477</v>
      </c>
      <c r="C555" s="61" t="s">
        <v>472</v>
      </c>
      <c r="D555" s="59" t="s">
        <v>430</v>
      </c>
      <c r="E555" s="60">
        <v>4.0375E-7</v>
      </c>
      <c r="F555" s="6"/>
    </row>
    <row r="556" spans="1:6" s="63" customFormat="1" x14ac:dyDescent="0.45">
      <c r="A556" s="61" t="s">
        <v>427</v>
      </c>
      <c r="B556" s="57" t="s">
        <v>477</v>
      </c>
      <c r="C556" s="61" t="s">
        <v>473</v>
      </c>
      <c r="D556" s="59" t="s">
        <v>430</v>
      </c>
      <c r="E556" s="60">
        <v>4.0375E-7</v>
      </c>
      <c r="F556" s="6"/>
    </row>
    <row r="557" spans="1:6" s="63" customFormat="1" x14ac:dyDescent="0.45">
      <c r="A557" s="61" t="s">
        <v>427</v>
      </c>
      <c r="B557" s="57" t="s">
        <v>477</v>
      </c>
      <c r="C557" s="61" t="s">
        <v>474</v>
      </c>
      <c r="D557" s="59" t="s">
        <v>430</v>
      </c>
      <c r="E557" s="60">
        <v>4.0375E-7</v>
      </c>
      <c r="F557" s="6"/>
    </row>
    <row r="558" spans="1:6" x14ac:dyDescent="0.45">
      <c r="A558" s="61" t="s">
        <v>427</v>
      </c>
      <c r="B558" s="57" t="s">
        <v>477</v>
      </c>
      <c r="C558" s="61" t="s">
        <v>475</v>
      </c>
      <c r="D558" s="59" t="s">
        <v>430</v>
      </c>
      <c r="E558" s="60">
        <v>4.0375E-7</v>
      </c>
    </row>
    <row r="559" spans="1:6" x14ac:dyDescent="0.45">
      <c r="A559" s="62" t="s">
        <v>427</v>
      </c>
      <c r="B559" s="57" t="s">
        <v>477</v>
      </c>
      <c r="C559" s="62" t="s">
        <v>476</v>
      </c>
      <c r="D559" s="59" t="s">
        <v>430</v>
      </c>
      <c r="E559" s="64">
        <v>3.8000000000000001E-7</v>
      </c>
    </row>
    <row r="560" spans="1:6" x14ac:dyDescent="0.45">
      <c r="A560" s="61" t="s">
        <v>427</v>
      </c>
      <c r="B560" s="57" t="s">
        <v>477</v>
      </c>
      <c r="C560" s="61" t="s">
        <v>479</v>
      </c>
      <c r="D560" s="59" t="s">
        <v>430</v>
      </c>
      <c r="E560" s="60">
        <v>5.4624999999999996E-7</v>
      </c>
    </row>
    <row r="561" spans="1:7" x14ac:dyDescent="0.45">
      <c r="A561" s="61" t="s">
        <v>427</v>
      </c>
      <c r="B561" s="57" t="s">
        <v>477</v>
      </c>
      <c r="C561" s="61" t="s">
        <v>480</v>
      </c>
      <c r="D561" s="59" t="s">
        <v>430</v>
      </c>
      <c r="E561" s="60">
        <v>4.369999999999999E-7</v>
      </c>
      <c r="G561" s="9"/>
    </row>
    <row r="562" spans="1:7" x14ac:dyDescent="0.45">
      <c r="A562" s="61" t="s">
        <v>427</v>
      </c>
      <c r="B562" s="57" t="s">
        <v>477</v>
      </c>
      <c r="C562" s="61" t="s">
        <v>481</v>
      </c>
      <c r="D562" s="59" t="s">
        <v>430</v>
      </c>
      <c r="E562" s="60">
        <v>4.7523749999999994E-7</v>
      </c>
      <c r="G562" s="9"/>
    </row>
    <row r="563" spans="1:7" x14ac:dyDescent="0.45">
      <c r="A563" s="61" t="s">
        <v>427</v>
      </c>
      <c r="B563" s="57" t="s">
        <v>477</v>
      </c>
      <c r="C563" s="61" t="s">
        <v>482</v>
      </c>
      <c r="D563" s="59" t="s">
        <v>430</v>
      </c>
      <c r="E563" s="60">
        <v>1.0105625000000002E-7</v>
      </c>
      <c r="G563" s="9"/>
    </row>
    <row r="564" spans="1:7" x14ac:dyDescent="0.45">
      <c r="A564" s="61" t="s">
        <v>427</v>
      </c>
      <c r="B564" s="57" t="s">
        <v>477</v>
      </c>
      <c r="C564" s="61" t="s">
        <v>483</v>
      </c>
      <c r="D564" s="59" t="s">
        <v>430</v>
      </c>
      <c r="E564" s="60">
        <v>5.4624999999999996E-7</v>
      </c>
      <c r="G564" s="9"/>
    </row>
    <row r="565" spans="1:7" x14ac:dyDescent="0.45">
      <c r="A565" s="61" t="s">
        <v>427</v>
      </c>
      <c r="B565" s="57" t="s">
        <v>477</v>
      </c>
      <c r="C565" s="61" t="s">
        <v>484</v>
      </c>
      <c r="D565" s="59" t="s">
        <v>430</v>
      </c>
      <c r="E565" s="60">
        <v>5.2002999999999987E-7</v>
      </c>
      <c r="G565" s="9"/>
    </row>
    <row r="566" spans="1:7" x14ac:dyDescent="0.45">
      <c r="A566" s="61" t="s">
        <v>427</v>
      </c>
      <c r="B566" s="57" t="s">
        <v>477</v>
      </c>
      <c r="C566" s="61" t="s">
        <v>485</v>
      </c>
      <c r="D566" s="59" t="s">
        <v>430</v>
      </c>
      <c r="E566" s="60">
        <v>6.6642499999999983E-8</v>
      </c>
      <c r="G566" s="9"/>
    </row>
    <row r="567" spans="1:7" x14ac:dyDescent="0.45">
      <c r="A567" s="61" t="s">
        <v>427</v>
      </c>
      <c r="B567" s="57" t="s">
        <v>477</v>
      </c>
      <c r="C567" s="62" t="s">
        <v>486</v>
      </c>
      <c r="D567" s="59" t="s">
        <v>430</v>
      </c>
      <c r="E567" s="60">
        <v>1.0105625000000002E-7</v>
      </c>
      <c r="G567" s="9"/>
    </row>
    <row r="568" spans="1:7" x14ac:dyDescent="0.45">
      <c r="A568" s="61" t="s">
        <v>427</v>
      </c>
      <c r="B568" s="57" t="s">
        <v>477</v>
      </c>
      <c r="C568" s="61" t="s">
        <v>487</v>
      </c>
      <c r="D568" s="59" t="s">
        <v>430</v>
      </c>
      <c r="E568" s="60">
        <v>1.0105625000000002E-7</v>
      </c>
      <c r="G568" s="9"/>
    </row>
    <row r="569" spans="1:7" x14ac:dyDescent="0.45">
      <c r="A569" s="61" t="s">
        <v>427</v>
      </c>
      <c r="B569" s="57" t="s">
        <v>477</v>
      </c>
      <c r="C569" s="61" t="s">
        <v>488</v>
      </c>
      <c r="D569" s="59" t="s">
        <v>430</v>
      </c>
      <c r="E569" s="60">
        <v>1.3656249999999996E-7</v>
      </c>
      <c r="G569" s="9"/>
    </row>
    <row r="570" spans="1:7" x14ac:dyDescent="0.45">
      <c r="A570" s="61" t="s">
        <v>427</v>
      </c>
      <c r="B570" s="57" t="s">
        <v>477</v>
      </c>
      <c r="C570" s="61" t="s">
        <v>489</v>
      </c>
      <c r="D570" s="59" t="s">
        <v>430</v>
      </c>
      <c r="E570" s="60">
        <v>5.0254999999999996E-7</v>
      </c>
      <c r="G570" s="9"/>
    </row>
    <row r="571" spans="1:7" x14ac:dyDescent="0.45">
      <c r="A571" s="61" t="s">
        <v>427</v>
      </c>
      <c r="B571" s="57" t="s">
        <v>477</v>
      </c>
      <c r="C571" s="61" t="s">
        <v>490</v>
      </c>
      <c r="D571" s="59" t="s">
        <v>430</v>
      </c>
      <c r="E571" s="60">
        <v>2.7312499999999993E-7</v>
      </c>
      <c r="G571" s="9"/>
    </row>
    <row r="572" spans="1:7" x14ac:dyDescent="0.45">
      <c r="A572" s="61" t="s">
        <v>427</v>
      </c>
      <c r="B572" s="57" t="s">
        <v>477</v>
      </c>
      <c r="C572" s="61" t="s">
        <v>491</v>
      </c>
      <c r="D572" s="59" t="s">
        <v>430</v>
      </c>
      <c r="E572" s="60">
        <v>4.9162499999999993E-7</v>
      </c>
      <c r="G572" s="9"/>
    </row>
    <row r="573" spans="1:7" x14ac:dyDescent="0.45">
      <c r="A573" s="61" t="s">
        <v>427</v>
      </c>
      <c r="B573" s="57" t="s">
        <v>477</v>
      </c>
      <c r="C573" s="61" t="s">
        <v>492</v>
      </c>
      <c r="D573" s="59" t="s">
        <v>430</v>
      </c>
      <c r="E573" s="60">
        <v>4.6431249999999992E-7</v>
      </c>
      <c r="G573" s="9"/>
    </row>
    <row r="574" spans="1:7" x14ac:dyDescent="0.45">
      <c r="A574" s="61" t="s">
        <v>427</v>
      </c>
      <c r="B574" s="57" t="s">
        <v>477</v>
      </c>
      <c r="C574" s="61" t="s">
        <v>493</v>
      </c>
      <c r="D574" s="59" t="s">
        <v>430</v>
      </c>
      <c r="E574" s="60">
        <v>4.6431249999999992E-7</v>
      </c>
      <c r="G574" s="9"/>
    </row>
    <row r="575" spans="1:7" x14ac:dyDescent="0.45">
      <c r="A575" s="61" t="s">
        <v>427</v>
      </c>
      <c r="B575" s="57" t="s">
        <v>477</v>
      </c>
      <c r="C575" s="61" t="s">
        <v>494</v>
      </c>
      <c r="D575" s="59" t="s">
        <v>430</v>
      </c>
      <c r="E575" s="60">
        <v>4.0374999999999995E-7</v>
      </c>
      <c r="G575" s="9"/>
    </row>
    <row r="576" spans="1:7" x14ac:dyDescent="0.45">
      <c r="A576" s="61" t="s">
        <v>427</v>
      </c>
      <c r="B576" s="57" t="s">
        <v>477</v>
      </c>
      <c r="C576" s="61" t="s">
        <v>495</v>
      </c>
      <c r="D576" s="59" t="s">
        <v>430</v>
      </c>
      <c r="E576" s="60">
        <v>3.7999999999999996E-7</v>
      </c>
      <c r="G576" s="9"/>
    </row>
    <row r="577" spans="1:7" x14ac:dyDescent="0.45">
      <c r="A577" s="61" t="s">
        <v>427</v>
      </c>
      <c r="B577" s="57" t="s">
        <v>477</v>
      </c>
      <c r="C577" s="61" t="s">
        <v>496</v>
      </c>
      <c r="D577" s="59" t="s">
        <v>430</v>
      </c>
      <c r="E577" s="60">
        <v>3.7999999999999996E-7</v>
      </c>
      <c r="G577" s="9"/>
    </row>
    <row r="578" spans="1:7" x14ac:dyDescent="0.45">
      <c r="A578" s="61" t="s">
        <v>427</v>
      </c>
      <c r="B578" s="57" t="s">
        <v>477</v>
      </c>
      <c r="C578" s="61" t="s">
        <v>497</v>
      </c>
      <c r="D578" s="59" t="s">
        <v>430</v>
      </c>
      <c r="E578" s="60">
        <v>3.7999999999999996E-7</v>
      </c>
      <c r="G578" s="9"/>
    </row>
    <row r="579" spans="1:7" x14ac:dyDescent="0.45">
      <c r="A579" s="48" t="s">
        <v>427</v>
      </c>
      <c r="B579" s="48" t="s">
        <v>428</v>
      </c>
      <c r="C579" s="49" t="s">
        <v>429</v>
      </c>
      <c r="D579" s="50" t="s">
        <v>430</v>
      </c>
      <c r="E579" s="51">
        <v>1</v>
      </c>
    </row>
  </sheetData>
  <phoneticPr fontId="6" type="noConversion"/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3"/>
  <sheetViews>
    <sheetView topLeftCell="A171" workbookViewId="0">
      <selection activeCell="A173" sqref="A173:XFD173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72.9296875" style="15" customWidth="1"/>
    <col min="4" max="4" width="9" style="6" customWidth="1"/>
    <col min="5" max="5" width="13.19921875" style="10" customWidth="1"/>
    <col min="6" max="6" width="9.19921875" style="6" customWidth="1"/>
    <col min="7" max="16384" width="9.19921875" style="6"/>
  </cols>
  <sheetData>
    <row r="1" spans="1:5" ht="38.200000000000003" customHeight="1" x14ac:dyDescent="0.45">
      <c r="A1" s="3" t="s">
        <v>0</v>
      </c>
      <c r="B1" s="8" t="s">
        <v>1</v>
      </c>
      <c r="C1" s="12" t="s">
        <v>2</v>
      </c>
      <c r="D1" s="3" t="s">
        <v>3</v>
      </c>
      <c r="E1" s="8" t="s">
        <v>4</v>
      </c>
    </row>
    <row r="2" spans="1:5" ht="15" customHeight="1" x14ac:dyDescent="0.45">
      <c r="A2" s="5" t="s">
        <v>5</v>
      </c>
      <c r="B2" s="5" t="s">
        <v>6</v>
      </c>
      <c r="C2" s="13" t="s">
        <v>7</v>
      </c>
      <c r="D2" s="7" t="s">
        <v>8</v>
      </c>
      <c r="E2" s="16">
        <v>1.0000000000000001E-9</v>
      </c>
    </row>
    <row r="3" spans="1:5" x14ac:dyDescent="0.45">
      <c r="A3" s="5" t="s">
        <v>5</v>
      </c>
      <c r="B3" s="5" t="s">
        <v>6</v>
      </c>
      <c r="C3" s="15" t="s">
        <v>9</v>
      </c>
      <c r="D3" s="7" t="s">
        <v>8</v>
      </c>
      <c r="E3" s="16">
        <v>8.2400000000000005E-10</v>
      </c>
    </row>
    <row r="4" spans="1:5" x14ac:dyDescent="0.45">
      <c r="A4" s="5" t="s">
        <v>5</v>
      </c>
      <c r="B4" s="5" t="s">
        <v>6</v>
      </c>
      <c r="C4" s="15" t="s">
        <v>10</v>
      </c>
      <c r="D4" s="7" t="s">
        <v>8</v>
      </c>
      <c r="E4" s="16">
        <v>6.3599999999999998E-10</v>
      </c>
    </row>
    <row r="5" spans="1:5" x14ac:dyDescent="0.45">
      <c r="A5" s="5" t="s">
        <v>5</v>
      </c>
      <c r="B5" s="5" t="s">
        <v>6</v>
      </c>
      <c r="C5" s="15" t="s">
        <v>11</v>
      </c>
      <c r="D5" s="7" t="s">
        <v>8</v>
      </c>
      <c r="E5" s="16">
        <v>3.0399999999999998E-10</v>
      </c>
    </row>
    <row r="6" spans="1:5" x14ac:dyDescent="0.45">
      <c r="A6" s="5" t="s">
        <v>5</v>
      </c>
      <c r="B6" s="5" t="s">
        <v>12</v>
      </c>
      <c r="C6" s="15" t="s">
        <v>13</v>
      </c>
      <c r="D6" s="7" t="s">
        <v>8</v>
      </c>
      <c r="E6" s="16">
        <v>3E-10</v>
      </c>
    </row>
    <row r="7" spans="1:5" x14ac:dyDescent="0.45">
      <c r="A7" s="5" t="s">
        <v>5</v>
      </c>
      <c r="B7" s="5" t="s">
        <v>12</v>
      </c>
      <c r="C7" s="15" t="s">
        <v>14</v>
      </c>
      <c r="D7" s="7" t="s">
        <v>8</v>
      </c>
      <c r="E7" s="16">
        <v>3E-10</v>
      </c>
    </row>
    <row r="8" spans="1:5" x14ac:dyDescent="0.45">
      <c r="A8" s="4" t="s">
        <v>15</v>
      </c>
      <c r="B8" s="4" t="s">
        <v>16</v>
      </c>
      <c r="C8" s="13" t="s">
        <v>17</v>
      </c>
      <c r="D8" s="10" t="s">
        <v>18</v>
      </c>
      <c r="E8" s="10">
        <v>1</v>
      </c>
    </row>
    <row r="9" spans="1:5" x14ac:dyDescent="0.45">
      <c r="A9" s="4" t="s">
        <v>15</v>
      </c>
      <c r="B9" s="4" t="s">
        <v>16</v>
      </c>
      <c r="C9" s="13" t="s">
        <v>19</v>
      </c>
      <c r="D9" s="10" t="s">
        <v>18</v>
      </c>
      <c r="E9" s="10">
        <v>1</v>
      </c>
    </row>
    <row r="10" spans="1:5" x14ac:dyDescent="0.45">
      <c r="A10" s="4" t="s">
        <v>15</v>
      </c>
      <c r="B10" s="4" t="s">
        <v>16</v>
      </c>
      <c r="C10" s="13" t="s">
        <v>20</v>
      </c>
      <c r="D10" s="10" t="s">
        <v>18</v>
      </c>
      <c r="E10" s="10">
        <v>1</v>
      </c>
    </row>
    <row r="11" spans="1:5" x14ac:dyDescent="0.45">
      <c r="A11" s="4" t="s">
        <v>15</v>
      </c>
      <c r="B11" s="4" t="s">
        <v>16</v>
      </c>
      <c r="C11" s="13" t="s">
        <v>21</v>
      </c>
      <c r="D11" s="10" t="s">
        <v>18</v>
      </c>
      <c r="E11" s="10">
        <v>1</v>
      </c>
    </row>
    <row r="12" spans="1:5" x14ac:dyDescent="0.45">
      <c r="A12" s="4" t="s">
        <v>15</v>
      </c>
      <c r="B12" s="4" t="s">
        <v>16</v>
      </c>
      <c r="C12" s="13" t="s">
        <v>22</v>
      </c>
      <c r="D12" s="10" t="s">
        <v>18</v>
      </c>
      <c r="E12" s="10">
        <v>1</v>
      </c>
    </row>
    <row r="13" spans="1:5" x14ac:dyDescent="0.45">
      <c r="A13" s="4" t="s">
        <v>15</v>
      </c>
      <c r="B13" s="4" t="s">
        <v>16</v>
      </c>
      <c r="C13" s="13" t="s">
        <v>23</v>
      </c>
      <c r="D13" s="10" t="s">
        <v>18</v>
      </c>
      <c r="E13" s="10">
        <v>1</v>
      </c>
    </row>
    <row r="14" spans="1:5" x14ac:dyDescent="0.45">
      <c r="A14" s="4" t="s">
        <v>15</v>
      </c>
      <c r="B14" s="4" t="s">
        <v>16</v>
      </c>
      <c r="C14" s="13" t="s">
        <v>24</v>
      </c>
      <c r="D14" s="10" t="s">
        <v>18</v>
      </c>
      <c r="E14" s="10">
        <v>1</v>
      </c>
    </row>
    <row r="15" spans="1:5" x14ac:dyDescent="0.45">
      <c r="A15" s="4" t="s">
        <v>15</v>
      </c>
      <c r="B15" s="4" t="s">
        <v>16</v>
      </c>
      <c r="C15" s="13" t="s">
        <v>25</v>
      </c>
      <c r="D15" s="10" t="s">
        <v>18</v>
      </c>
      <c r="E15" s="10">
        <v>1</v>
      </c>
    </row>
    <row r="16" spans="1:5" x14ac:dyDescent="0.45">
      <c r="A16" s="4" t="s">
        <v>15</v>
      </c>
      <c r="B16" s="4" t="s">
        <v>16</v>
      </c>
      <c r="C16" s="13" t="s">
        <v>26</v>
      </c>
      <c r="D16" s="10" t="s">
        <v>18</v>
      </c>
      <c r="E16" s="10">
        <v>1</v>
      </c>
    </row>
    <row r="17" spans="1:5" x14ac:dyDescent="0.45">
      <c r="A17" s="4" t="s">
        <v>15</v>
      </c>
      <c r="B17" s="4" t="s">
        <v>16</v>
      </c>
      <c r="C17" s="13" t="s">
        <v>27</v>
      </c>
      <c r="D17" s="10" t="s">
        <v>18</v>
      </c>
      <c r="E17" s="10">
        <v>1</v>
      </c>
    </row>
    <row r="18" spans="1:5" x14ac:dyDescent="0.45">
      <c r="A18" s="4" t="s">
        <v>15</v>
      </c>
      <c r="B18" s="4" t="s">
        <v>16</v>
      </c>
      <c r="C18" s="13" t="s">
        <v>28</v>
      </c>
      <c r="D18" s="10" t="s">
        <v>18</v>
      </c>
      <c r="E18" s="10">
        <v>1</v>
      </c>
    </row>
    <row r="19" spans="1:5" x14ac:dyDescent="0.45">
      <c r="A19" s="4" t="s">
        <v>15</v>
      </c>
      <c r="B19" s="4" t="s">
        <v>16</v>
      </c>
      <c r="C19" s="13" t="s">
        <v>29</v>
      </c>
      <c r="D19" s="10" t="s">
        <v>18</v>
      </c>
      <c r="E19" s="10">
        <v>1</v>
      </c>
    </row>
    <row r="20" spans="1:5" x14ac:dyDescent="0.45">
      <c r="A20" s="4" t="s">
        <v>15</v>
      </c>
      <c r="B20" s="4" t="s">
        <v>16</v>
      </c>
      <c r="C20" s="13" t="s">
        <v>30</v>
      </c>
      <c r="D20" s="10" t="s">
        <v>18</v>
      </c>
      <c r="E20" s="10">
        <v>1</v>
      </c>
    </row>
    <row r="21" spans="1:5" x14ac:dyDescent="0.45">
      <c r="A21" s="4" t="s">
        <v>15</v>
      </c>
      <c r="B21" s="4" t="s">
        <v>16</v>
      </c>
      <c r="C21" s="13" t="s">
        <v>31</v>
      </c>
      <c r="D21" s="10" t="s">
        <v>18</v>
      </c>
      <c r="E21" s="10">
        <v>1</v>
      </c>
    </row>
    <row r="22" spans="1:5" x14ac:dyDescent="0.45">
      <c r="A22" s="4" t="s">
        <v>15</v>
      </c>
      <c r="B22" s="4" t="s">
        <v>16</v>
      </c>
      <c r="C22" s="13" t="s">
        <v>32</v>
      </c>
      <c r="D22" s="10" t="s">
        <v>18</v>
      </c>
      <c r="E22" s="10">
        <v>1</v>
      </c>
    </row>
    <row r="23" spans="1:5" x14ac:dyDescent="0.45">
      <c r="A23" s="4" t="s">
        <v>15</v>
      </c>
      <c r="B23" s="4" t="s">
        <v>16</v>
      </c>
      <c r="C23" s="13" t="s">
        <v>33</v>
      </c>
      <c r="D23" s="10" t="s">
        <v>18</v>
      </c>
      <c r="E23" s="10">
        <v>1</v>
      </c>
    </row>
    <row r="24" spans="1:5" x14ac:dyDescent="0.45">
      <c r="A24" s="4" t="s">
        <v>15</v>
      </c>
      <c r="B24" s="4" t="s">
        <v>16</v>
      </c>
      <c r="C24" s="13" t="s">
        <v>34</v>
      </c>
      <c r="D24" s="10" t="s">
        <v>18</v>
      </c>
      <c r="E24" s="10">
        <v>1</v>
      </c>
    </row>
    <row r="25" spans="1:5" x14ac:dyDescent="0.45">
      <c r="A25" s="4" t="s">
        <v>15</v>
      </c>
      <c r="B25" s="4" t="s">
        <v>16</v>
      </c>
      <c r="C25" s="13" t="s">
        <v>35</v>
      </c>
      <c r="D25" s="10" t="s">
        <v>18</v>
      </c>
      <c r="E25" s="10">
        <v>1</v>
      </c>
    </row>
    <row r="26" spans="1:5" x14ac:dyDescent="0.45">
      <c r="A26" s="4" t="s">
        <v>15</v>
      </c>
      <c r="B26" s="4" t="s">
        <v>16</v>
      </c>
      <c r="C26" s="13" t="s">
        <v>36</v>
      </c>
      <c r="D26" s="10" t="s">
        <v>18</v>
      </c>
      <c r="E26" s="10">
        <v>1</v>
      </c>
    </row>
    <row r="27" spans="1:5" x14ac:dyDescent="0.45">
      <c r="A27" s="4" t="s">
        <v>15</v>
      </c>
      <c r="B27" s="4" t="s">
        <v>16</v>
      </c>
      <c r="C27" s="13" t="s">
        <v>37</v>
      </c>
      <c r="D27" s="10" t="s">
        <v>18</v>
      </c>
      <c r="E27" s="10">
        <v>1</v>
      </c>
    </row>
    <row r="28" spans="1:5" x14ac:dyDescent="0.45">
      <c r="A28" s="4" t="s">
        <v>15</v>
      </c>
      <c r="B28" s="4" t="s">
        <v>16</v>
      </c>
      <c r="C28" s="13" t="s">
        <v>38</v>
      </c>
      <c r="D28" s="10" t="s">
        <v>18</v>
      </c>
      <c r="E28" s="10">
        <v>1</v>
      </c>
    </row>
    <row r="29" spans="1:5" x14ac:dyDescent="0.45">
      <c r="A29" s="4" t="s">
        <v>15</v>
      </c>
      <c r="B29" s="4" t="s">
        <v>16</v>
      </c>
      <c r="C29" s="13" t="s">
        <v>39</v>
      </c>
      <c r="D29" s="10" t="s">
        <v>18</v>
      </c>
      <c r="E29" s="10">
        <v>1</v>
      </c>
    </row>
    <row r="30" spans="1:5" x14ac:dyDescent="0.45">
      <c r="A30" s="4" t="s">
        <v>15</v>
      </c>
      <c r="B30" s="4" t="s">
        <v>16</v>
      </c>
      <c r="C30" s="13" t="s">
        <v>40</v>
      </c>
      <c r="D30" s="10" t="s">
        <v>18</v>
      </c>
      <c r="E30" s="10">
        <v>1</v>
      </c>
    </row>
    <row r="31" spans="1:5" x14ac:dyDescent="0.45">
      <c r="A31" s="4" t="s">
        <v>15</v>
      </c>
      <c r="B31" s="4" t="s">
        <v>16</v>
      </c>
      <c r="C31" s="13" t="s">
        <v>41</v>
      </c>
      <c r="D31" s="10" t="s">
        <v>18</v>
      </c>
      <c r="E31" s="10">
        <v>1</v>
      </c>
    </row>
    <row r="32" spans="1:5" x14ac:dyDescent="0.45">
      <c r="A32" s="4" t="s">
        <v>15</v>
      </c>
      <c r="B32" s="4" t="s">
        <v>16</v>
      </c>
      <c r="C32" s="13" t="s">
        <v>42</v>
      </c>
      <c r="D32" s="10" t="s">
        <v>18</v>
      </c>
      <c r="E32" s="10">
        <v>1</v>
      </c>
    </row>
    <row r="33" spans="1:5" x14ac:dyDescent="0.45">
      <c r="A33" s="4" t="s">
        <v>15</v>
      </c>
      <c r="B33" s="4" t="s">
        <v>16</v>
      </c>
      <c r="C33" s="13" t="s">
        <v>43</v>
      </c>
      <c r="D33" s="10" t="s">
        <v>18</v>
      </c>
      <c r="E33" s="10">
        <v>1</v>
      </c>
    </row>
    <row r="34" spans="1:5" x14ac:dyDescent="0.45">
      <c r="A34" s="4" t="s">
        <v>15</v>
      </c>
      <c r="B34" s="4" t="s">
        <v>16</v>
      </c>
      <c r="C34" s="13" t="s">
        <v>44</v>
      </c>
      <c r="D34" s="10" t="s">
        <v>18</v>
      </c>
      <c r="E34" s="10">
        <v>1</v>
      </c>
    </row>
    <row r="35" spans="1:5" x14ac:dyDescent="0.45">
      <c r="A35" s="4" t="s">
        <v>15</v>
      </c>
      <c r="B35" s="4" t="s">
        <v>16</v>
      </c>
      <c r="C35" s="13" t="s">
        <v>45</v>
      </c>
      <c r="D35" s="10" t="s">
        <v>18</v>
      </c>
      <c r="E35" s="10">
        <v>1</v>
      </c>
    </row>
    <row r="36" spans="1:5" x14ac:dyDescent="0.45">
      <c r="A36" s="4" t="s">
        <v>15</v>
      </c>
      <c r="B36" s="4" t="s">
        <v>16</v>
      </c>
      <c r="C36" s="13" t="s">
        <v>46</v>
      </c>
      <c r="D36" s="10" t="s">
        <v>18</v>
      </c>
      <c r="E36" s="10">
        <v>1</v>
      </c>
    </row>
    <row r="37" spans="1:5" x14ac:dyDescent="0.45">
      <c r="A37" s="4" t="s">
        <v>15</v>
      </c>
      <c r="B37" s="4" t="s">
        <v>16</v>
      </c>
      <c r="C37" s="13" t="s">
        <v>47</v>
      </c>
      <c r="D37" s="10" t="s">
        <v>18</v>
      </c>
      <c r="E37" s="10">
        <v>1</v>
      </c>
    </row>
    <row r="38" spans="1:5" x14ac:dyDescent="0.45">
      <c r="A38" s="4" t="s">
        <v>15</v>
      </c>
      <c r="B38" s="4" t="s">
        <v>16</v>
      </c>
      <c r="C38" s="13" t="s">
        <v>48</v>
      </c>
      <c r="D38" s="10" t="s">
        <v>18</v>
      </c>
      <c r="E38" s="10">
        <v>1</v>
      </c>
    </row>
    <row r="39" spans="1:5" x14ac:dyDescent="0.45">
      <c r="A39" s="4" t="s">
        <v>15</v>
      </c>
      <c r="B39" s="4" t="s">
        <v>16</v>
      </c>
      <c r="C39" s="13" t="s">
        <v>49</v>
      </c>
      <c r="D39" s="10" t="s">
        <v>18</v>
      </c>
      <c r="E39" s="10">
        <v>1</v>
      </c>
    </row>
    <row r="40" spans="1:5" x14ac:dyDescent="0.45">
      <c r="A40" s="4" t="s">
        <v>15</v>
      </c>
      <c r="B40" s="4" t="s">
        <v>16</v>
      </c>
      <c r="C40" s="13" t="s">
        <v>50</v>
      </c>
      <c r="D40" s="10" t="s">
        <v>18</v>
      </c>
      <c r="E40" s="10">
        <v>1</v>
      </c>
    </row>
    <row r="41" spans="1:5" x14ac:dyDescent="0.45">
      <c r="A41" s="4" t="s">
        <v>15</v>
      </c>
      <c r="B41" s="4" t="s">
        <v>16</v>
      </c>
      <c r="C41" s="13" t="s">
        <v>51</v>
      </c>
      <c r="D41" s="10" t="s">
        <v>18</v>
      </c>
      <c r="E41" s="10">
        <v>1</v>
      </c>
    </row>
    <row r="42" spans="1:5" x14ac:dyDescent="0.45">
      <c r="A42" s="4" t="s">
        <v>15</v>
      </c>
      <c r="B42" s="4" t="s">
        <v>16</v>
      </c>
      <c r="C42" s="13" t="s">
        <v>52</v>
      </c>
      <c r="D42" s="10" t="s">
        <v>18</v>
      </c>
      <c r="E42" s="10">
        <v>1</v>
      </c>
    </row>
    <row r="43" spans="1:5" x14ac:dyDescent="0.45">
      <c r="A43" s="4" t="s">
        <v>15</v>
      </c>
      <c r="B43" s="4" t="s">
        <v>16</v>
      </c>
      <c r="C43" s="13" t="s">
        <v>53</v>
      </c>
      <c r="D43" s="10" t="s">
        <v>18</v>
      </c>
      <c r="E43" s="10">
        <v>1</v>
      </c>
    </row>
    <row r="44" spans="1:5" x14ac:dyDescent="0.45">
      <c r="A44" s="4" t="s">
        <v>15</v>
      </c>
      <c r="B44" s="4" t="s">
        <v>16</v>
      </c>
      <c r="C44" s="13" t="s">
        <v>54</v>
      </c>
      <c r="D44" s="10" t="s">
        <v>18</v>
      </c>
      <c r="E44" s="10">
        <v>1</v>
      </c>
    </row>
    <row r="45" spans="1:5" x14ac:dyDescent="0.45">
      <c r="A45" s="4" t="s">
        <v>15</v>
      </c>
      <c r="B45" s="4" t="s">
        <v>16</v>
      </c>
      <c r="C45" s="13" t="s">
        <v>55</v>
      </c>
      <c r="D45" s="10" t="s">
        <v>18</v>
      </c>
      <c r="E45" s="10">
        <v>1</v>
      </c>
    </row>
    <row r="46" spans="1:5" x14ac:dyDescent="0.45">
      <c r="A46" s="4" t="s">
        <v>15</v>
      </c>
      <c r="B46" s="4" t="s">
        <v>16</v>
      </c>
      <c r="C46" s="13" t="s">
        <v>56</v>
      </c>
      <c r="D46" s="10" t="s">
        <v>18</v>
      </c>
      <c r="E46" s="10">
        <v>1</v>
      </c>
    </row>
    <row r="47" spans="1:5" x14ac:dyDescent="0.45">
      <c r="A47" s="4" t="s">
        <v>15</v>
      </c>
      <c r="B47" s="4" t="s">
        <v>16</v>
      </c>
      <c r="C47" s="13" t="s">
        <v>57</v>
      </c>
      <c r="D47" s="10" t="s">
        <v>18</v>
      </c>
      <c r="E47" s="10">
        <v>1</v>
      </c>
    </row>
    <row r="48" spans="1:5" x14ac:dyDescent="0.45">
      <c r="A48" s="4" t="s">
        <v>15</v>
      </c>
      <c r="B48" s="4" t="s">
        <v>16</v>
      </c>
      <c r="C48" s="13" t="s">
        <v>58</v>
      </c>
      <c r="D48" s="10" t="s">
        <v>18</v>
      </c>
      <c r="E48" s="10">
        <v>1</v>
      </c>
    </row>
    <row r="49" spans="1:5" x14ac:dyDescent="0.45">
      <c r="A49" s="4" t="s">
        <v>15</v>
      </c>
      <c r="B49" s="4" t="s">
        <v>16</v>
      </c>
      <c r="C49" s="13" t="s">
        <v>59</v>
      </c>
      <c r="D49" s="10" t="s">
        <v>18</v>
      </c>
      <c r="E49" s="10">
        <v>1</v>
      </c>
    </row>
    <row r="50" spans="1:5" x14ac:dyDescent="0.45">
      <c r="A50" s="4" t="s">
        <v>15</v>
      </c>
      <c r="B50" s="4" t="s">
        <v>16</v>
      </c>
      <c r="C50" s="13" t="s">
        <v>60</v>
      </c>
      <c r="D50" s="10" t="s">
        <v>18</v>
      </c>
      <c r="E50" s="10">
        <v>1</v>
      </c>
    </row>
    <row r="51" spans="1:5" x14ac:dyDescent="0.45">
      <c r="A51" s="4" t="s">
        <v>15</v>
      </c>
      <c r="B51" s="4" t="s">
        <v>16</v>
      </c>
      <c r="C51" s="13" t="s">
        <v>61</v>
      </c>
      <c r="D51" s="10" t="s">
        <v>18</v>
      </c>
      <c r="E51" s="10">
        <v>1</v>
      </c>
    </row>
    <row r="52" spans="1:5" x14ac:dyDescent="0.45">
      <c r="A52" s="4" t="s">
        <v>15</v>
      </c>
      <c r="B52" s="4" t="s">
        <v>16</v>
      </c>
      <c r="C52" s="13" t="s">
        <v>62</v>
      </c>
      <c r="D52" s="10" t="s">
        <v>18</v>
      </c>
      <c r="E52" s="10">
        <v>1</v>
      </c>
    </row>
    <row r="53" spans="1:5" x14ac:dyDescent="0.45">
      <c r="A53" s="4" t="s">
        <v>15</v>
      </c>
      <c r="B53" s="4" t="s">
        <v>16</v>
      </c>
      <c r="C53" s="13" t="s">
        <v>63</v>
      </c>
      <c r="D53" s="10" t="s">
        <v>18</v>
      </c>
      <c r="E53" s="10">
        <v>1</v>
      </c>
    </row>
    <row r="54" spans="1:5" x14ac:dyDescent="0.45">
      <c r="A54" s="4" t="s">
        <v>15</v>
      </c>
      <c r="B54" s="4" t="s">
        <v>16</v>
      </c>
      <c r="C54" s="13" t="s">
        <v>64</v>
      </c>
      <c r="D54" s="10" t="s">
        <v>18</v>
      </c>
      <c r="E54" s="10">
        <v>1</v>
      </c>
    </row>
    <row r="55" spans="1:5" x14ac:dyDescent="0.45">
      <c r="A55" s="4" t="s">
        <v>15</v>
      </c>
      <c r="B55" s="4" t="s">
        <v>16</v>
      </c>
      <c r="C55" s="13" t="s">
        <v>65</v>
      </c>
      <c r="D55" s="10" t="s">
        <v>18</v>
      </c>
      <c r="E55" s="10">
        <v>1</v>
      </c>
    </row>
    <row r="56" spans="1:5" x14ac:dyDescent="0.45">
      <c r="A56" s="4" t="s">
        <v>15</v>
      </c>
      <c r="B56" s="4" t="s">
        <v>16</v>
      </c>
      <c r="C56" s="13" t="s">
        <v>66</v>
      </c>
      <c r="D56" s="10" t="s">
        <v>18</v>
      </c>
      <c r="E56" s="10">
        <v>1</v>
      </c>
    </row>
    <row r="57" spans="1:5" x14ac:dyDescent="0.45">
      <c r="A57" s="4" t="s">
        <v>15</v>
      </c>
      <c r="B57" s="4" t="s">
        <v>16</v>
      </c>
      <c r="C57" s="13" t="s">
        <v>67</v>
      </c>
      <c r="D57" s="10" t="s">
        <v>18</v>
      </c>
      <c r="E57" s="10">
        <v>1</v>
      </c>
    </row>
    <row r="58" spans="1:5" x14ac:dyDescent="0.45">
      <c r="A58" s="4" t="s">
        <v>15</v>
      </c>
      <c r="B58" s="4" t="s">
        <v>16</v>
      </c>
      <c r="C58" s="13" t="s">
        <v>68</v>
      </c>
      <c r="D58" s="10" t="s">
        <v>18</v>
      </c>
      <c r="E58" s="10">
        <v>1</v>
      </c>
    </row>
    <row r="59" spans="1:5" x14ac:dyDescent="0.45">
      <c r="A59" s="4" t="s">
        <v>15</v>
      </c>
      <c r="B59" s="4" t="s">
        <v>16</v>
      </c>
      <c r="C59" s="13" t="s">
        <v>69</v>
      </c>
      <c r="D59" s="10" t="s">
        <v>18</v>
      </c>
      <c r="E59" s="10">
        <v>1</v>
      </c>
    </row>
    <row r="60" spans="1:5" x14ac:dyDescent="0.45">
      <c r="A60" s="4" t="s">
        <v>15</v>
      </c>
      <c r="B60" s="4" t="s">
        <v>16</v>
      </c>
      <c r="C60" s="13" t="s">
        <v>70</v>
      </c>
      <c r="D60" s="10" t="s">
        <v>18</v>
      </c>
      <c r="E60" s="10">
        <v>1</v>
      </c>
    </row>
    <row r="61" spans="1:5" x14ac:dyDescent="0.45">
      <c r="A61" s="4" t="s">
        <v>15</v>
      </c>
      <c r="B61" s="4" t="s">
        <v>16</v>
      </c>
      <c r="C61" s="13" t="s">
        <v>71</v>
      </c>
      <c r="D61" s="10" t="s">
        <v>18</v>
      </c>
      <c r="E61" s="10">
        <v>1</v>
      </c>
    </row>
    <row r="62" spans="1:5" x14ac:dyDescent="0.45">
      <c r="A62" s="4" t="s">
        <v>15</v>
      </c>
      <c r="B62" s="4" t="s">
        <v>16</v>
      </c>
      <c r="C62" s="13" t="s">
        <v>72</v>
      </c>
      <c r="D62" s="10" t="s">
        <v>18</v>
      </c>
      <c r="E62" s="10">
        <v>1</v>
      </c>
    </row>
    <row r="63" spans="1:5" x14ac:dyDescent="0.45">
      <c r="A63" s="4" t="s">
        <v>15</v>
      </c>
      <c r="B63" s="4" t="s">
        <v>16</v>
      </c>
      <c r="C63" s="13" t="s">
        <v>73</v>
      </c>
      <c r="D63" s="10" t="s">
        <v>18</v>
      </c>
      <c r="E63" s="10">
        <v>1</v>
      </c>
    </row>
    <row r="64" spans="1:5" x14ac:dyDescent="0.45">
      <c r="A64" s="4" t="s">
        <v>15</v>
      </c>
      <c r="B64" s="4" t="s">
        <v>16</v>
      </c>
      <c r="C64" s="13" t="s">
        <v>74</v>
      </c>
      <c r="D64" s="10" t="s">
        <v>18</v>
      </c>
      <c r="E64" s="10">
        <v>1</v>
      </c>
    </row>
    <row r="65" spans="1:6" x14ac:dyDescent="0.45">
      <c r="A65" s="4" t="s">
        <v>15</v>
      </c>
      <c r="B65" s="4" t="s">
        <v>16</v>
      </c>
      <c r="C65" s="13" t="s">
        <v>75</v>
      </c>
      <c r="D65" s="10" t="s">
        <v>18</v>
      </c>
      <c r="E65" s="10">
        <v>1</v>
      </c>
    </row>
    <row r="66" spans="1:6" x14ac:dyDescent="0.45">
      <c r="A66" s="4" t="s">
        <v>15</v>
      </c>
      <c r="B66" s="4" t="s">
        <v>16</v>
      </c>
      <c r="C66" s="13" t="s">
        <v>76</v>
      </c>
      <c r="D66" s="10" t="s">
        <v>18</v>
      </c>
      <c r="E66" s="10">
        <v>1</v>
      </c>
    </row>
    <row r="67" spans="1:6" x14ac:dyDescent="0.45">
      <c r="A67" s="4" t="s">
        <v>15</v>
      </c>
      <c r="B67" s="4" t="s">
        <v>16</v>
      </c>
      <c r="C67" s="13" t="s">
        <v>77</v>
      </c>
      <c r="D67" s="10" t="s">
        <v>18</v>
      </c>
      <c r="E67" s="10">
        <v>1</v>
      </c>
    </row>
    <row r="68" spans="1:6" x14ac:dyDescent="0.45">
      <c r="A68" s="4" t="s">
        <v>15</v>
      </c>
      <c r="B68" s="4" t="s">
        <v>16</v>
      </c>
      <c r="C68" s="13" t="s">
        <v>78</v>
      </c>
      <c r="D68" s="10" t="s">
        <v>18</v>
      </c>
      <c r="E68" s="10">
        <v>1</v>
      </c>
    </row>
    <row r="69" spans="1:6" x14ac:dyDescent="0.45">
      <c r="A69" s="4" t="s">
        <v>15</v>
      </c>
      <c r="B69" s="4" t="s">
        <v>16</v>
      </c>
      <c r="C69" s="13" t="s">
        <v>79</v>
      </c>
      <c r="D69" s="10" t="s">
        <v>18</v>
      </c>
      <c r="E69" s="10">
        <v>1</v>
      </c>
    </row>
    <row r="70" spans="1:6" x14ac:dyDescent="0.45">
      <c r="A70" s="4" t="s">
        <v>15</v>
      </c>
      <c r="B70" s="4" t="s">
        <v>16</v>
      </c>
      <c r="C70" s="13" t="s">
        <v>80</v>
      </c>
      <c r="D70" s="10" t="s">
        <v>18</v>
      </c>
      <c r="E70" s="10">
        <v>1</v>
      </c>
    </row>
    <row r="71" spans="1:6" x14ac:dyDescent="0.45">
      <c r="A71" s="4" t="s">
        <v>15</v>
      </c>
      <c r="B71" s="4" t="s">
        <v>16</v>
      </c>
      <c r="C71" s="13" t="s">
        <v>81</v>
      </c>
      <c r="D71" s="10" t="s">
        <v>18</v>
      </c>
      <c r="E71" s="10">
        <v>1</v>
      </c>
    </row>
    <row r="72" spans="1:6" x14ac:dyDescent="0.45">
      <c r="A72" s="4" t="s">
        <v>15</v>
      </c>
      <c r="B72" s="4" t="s">
        <v>16</v>
      </c>
      <c r="C72" s="13" t="s">
        <v>82</v>
      </c>
      <c r="D72" s="10" t="s">
        <v>18</v>
      </c>
      <c r="E72" s="10">
        <v>1</v>
      </c>
    </row>
    <row r="73" spans="1:6" x14ac:dyDescent="0.45">
      <c r="A73" s="4" t="s">
        <v>15</v>
      </c>
      <c r="B73" s="4" t="s">
        <v>16</v>
      </c>
      <c r="C73" s="13" t="s">
        <v>83</v>
      </c>
      <c r="D73" s="10" t="s">
        <v>18</v>
      </c>
      <c r="E73" s="10">
        <v>1</v>
      </c>
    </row>
    <row r="74" spans="1:6" x14ac:dyDescent="0.45">
      <c r="A74" s="4" t="s">
        <v>15</v>
      </c>
      <c r="B74" s="4" t="s">
        <v>16</v>
      </c>
      <c r="C74" s="13" t="s">
        <v>84</v>
      </c>
      <c r="D74" s="10" t="s">
        <v>18</v>
      </c>
      <c r="E74" s="10">
        <v>1</v>
      </c>
      <c r="F74" s="9"/>
    </row>
    <row r="75" spans="1:6" x14ac:dyDescent="0.45">
      <c r="A75" s="4" t="s">
        <v>15</v>
      </c>
      <c r="B75" s="4" t="s">
        <v>16</v>
      </c>
      <c r="C75" s="13" t="s">
        <v>85</v>
      </c>
      <c r="D75" s="10" t="s">
        <v>18</v>
      </c>
      <c r="E75" s="10">
        <v>1</v>
      </c>
    </row>
    <row r="76" spans="1:6" x14ac:dyDescent="0.45">
      <c r="A76" s="4" t="s">
        <v>15</v>
      </c>
      <c r="B76" s="4" t="s">
        <v>16</v>
      </c>
      <c r="C76" s="13" t="s">
        <v>86</v>
      </c>
      <c r="D76" s="10" t="s">
        <v>18</v>
      </c>
      <c r="E76" s="10">
        <v>1</v>
      </c>
    </row>
    <row r="77" spans="1:6" x14ac:dyDescent="0.45">
      <c r="A77" s="4" t="s">
        <v>15</v>
      </c>
      <c r="B77" s="4" t="s">
        <v>16</v>
      </c>
      <c r="C77" s="13" t="s">
        <v>87</v>
      </c>
      <c r="D77" s="10" t="s">
        <v>18</v>
      </c>
      <c r="E77" s="10">
        <v>1</v>
      </c>
    </row>
    <row r="78" spans="1:6" x14ac:dyDescent="0.45">
      <c r="A78" s="4" t="s">
        <v>15</v>
      </c>
      <c r="B78" s="4" t="s">
        <v>16</v>
      </c>
      <c r="C78" s="13" t="s">
        <v>88</v>
      </c>
      <c r="D78" s="10" t="s">
        <v>18</v>
      </c>
      <c r="E78" s="10">
        <v>1</v>
      </c>
    </row>
    <row r="79" spans="1:6" x14ac:dyDescent="0.45">
      <c r="A79" s="4" t="s">
        <v>15</v>
      </c>
      <c r="B79" s="4" t="s">
        <v>16</v>
      </c>
      <c r="C79" s="13" t="s">
        <v>89</v>
      </c>
      <c r="D79" s="10" t="s">
        <v>18</v>
      </c>
      <c r="E79" s="10">
        <v>1</v>
      </c>
    </row>
    <row r="80" spans="1:6" x14ac:dyDescent="0.45">
      <c r="A80" s="4" t="s">
        <v>15</v>
      </c>
      <c r="B80" s="4" t="s">
        <v>16</v>
      </c>
      <c r="C80" s="13" t="s">
        <v>90</v>
      </c>
      <c r="D80" s="10" t="s">
        <v>18</v>
      </c>
      <c r="E80" s="10">
        <v>1</v>
      </c>
    </row>
    <row r="81" spans="1:5" x14ac:dyDescent="0.45">
      <c r="A81" s="4" t="s">
        <v>15</v>
      </c>
      <c r="B81" s="4" t="s">
        <v>16</v>
      </c>
      <c r="C81" s="13" t="s">
        <v>91</v>
      </c>
      <c r="D81" s="10" t="s">
        <v>18</v>
      </c>
      <c r="E81" s="10">
        <v>1</v>
      </c>
    </row>
    <row r="82" spans="1:5" x14ac:dyDescent="0.45">
      <c r="A82" s="4" t="s">
        <v>15</v>
      </c>
      <c r="B82" s="4" t="s">
        <v>16</v>
      </c>
      <c r="C82" s="13" t="s">
        <v>92</v>
      </c>
      <c r="D82" s="10" t="s">
        <v>18</v>
      </c>
      <c r="E82" s="10">
        <v>1</v>
      </c>
    </row>
    <row r="83" spans="1:5" x14ac:dyDescent="0.45">
      <c r="A83" s="4" t="s">
        <v>15</v>
      </c>
      <c r="B83" s="4" t="s">
        <v>16</v>
      </c>
      <c r="C83" s="13" t="s">
        <v>93</v>
      </c>
      <c r="D83" s="10" t="s">
        <v>18</v>
      </c>
      <c r="E83" s="10">
        <v>1</v>
      </c>
    </row>
    <row r="84" spans="1:5" x14ac:dyDescent="0.45">
      <c r="A84" s="4" t="s">
        <v>15</v>
      </c>
      <c r="B84" s="4" t="s">
        <v>16</v>
      </c>
      <c r="C84" s="13" t="s">
        <v>94</v>
      </c>
      <c r="D84" s="10" t="s">
        <v>18</v>
      </c>
      <c r="E84" s="10">
        <v>1</v>
      </c>
    </row>
    <row r="85" spans="1:5" x14ac:dyDescent="0.45">
      <c r="A85" s="4" t="s">
        <v>15</v>
      </c>
      <c r="B85" s="4" t="s">
        <v>16</v>
      </c>
      <c r="C85" s="13" t="s">
        <v>95</v>
      </c>
      <c r="D85" s="10" t="s">
        <v>18</v>
      </c>
      <c r="E85" s="10">
        <v>1</v>
      </c>
    </row>
    <row r="86" spans="1:5" x14ac:dyDescent="0.45">
      <c r="A86" s="4" t="s">
        <v>15</v>
      </c>
      <c r="B86" s="4" t="s">
        <v>16</v>
      </c>
      <c r="C86" s="13" t="s">
        <v>96</v>
      </c>
      <c r="D86" s="10" t="s">
        <v>18</v>
      </c>
      <c r="E86" s="10">
        <v>1</v>
      </c>
    </row>
    <row r="87" spans="1:5" x14ac:dyDescent="0.45">
      <c r="A87" s="4" t="s">
        <v>15</v>
      </c>
      <c r="B87" s="4" t="s">
        <v>16</v>
      </c>
      <c r="C87" s="13" t="s">
        <v>97</v>
      </c>
      <c r="D87" s="10" t="s">
        <v>18</v>
      </c>
      <c r="E87" s="10">
        <v>1</v>
      </c>
    </row>
    <row r="88" spans="1:5" x14ac:dyDescent="0.45">
      <c r="A88" s="4" t="s">
        <v>15</v>
      </c>
      <c r="B88" s="4" t="s">
        <v>16</v>
      </c>
      <c r="C88" s="13" t="s">
        <v>98</v>
      </c>
      <c r="D88" s="10" t="s">
        <v>18</v>
      </c>
      <c r="E88" s="10">
        <v>1</v>
      </c>
    </row>
    <row r="89" spans="1:5" x14ac:dyDescent="0.45">
      <c r="A89" s="4" t="s">
        <v>15</v>
      </c>
      <c r="B89" s="4" t="s">
        <v>16</v>
      </c>
      <c r="C89" s="13" t="s">
        <v>99</v>
      </c>
      <c r="D89" s="10" t="s">
        <v>18</v>
      </c>
      <c r="E89" s="10">
        <v>1</v>
      </c>
    </row>
    <row r="90" spans="1:5" x14ac:dyDescent="0.45">
      <c r="A90" s="4" t="s">
        <v>15</v>
      </c>
      <c r="B90" s="4" t="s">
        <v>16</v>
      </c>
      <c r="C90" s="13" t="s">
        <v>100</v>
      </c>
      <c r="D90" s="10" t="s">
        <v>18</v>
      </c>
      <c r="E90" s="10">
        <v>1</v>
      </c>
    </row>
    <row r="91" spans="1:5" x14ac:dyDescent="0.45">
      <c r="A91" s="4" t="s">
        <v>15</v>
      </c>
      <c r="B91" s="4" t="s">
        <v>16</v>
      </c>
      <c r="C91" s="13" t="s">
        <v>101</v>
      </c>
      <c r="D91" s="10" t="s">
        <v>18</v>
      </c>
      <c r="E91" s="10">
        <v>1</v>
      </c>
    </row>
    <row r="92" spans="1:5" x14ac:dyDescent="0.45">
      <c r="A92" s="4" t="s">
        <v>15</v>
      </c>
      <c r="B92" s="4" t="s">
        <v>16</v>
      </c>
      <c r="C92" s="13" t="s">
        <v>102</v>
      </c>
      <c r="D92" s="10" t="s">
        <v>18</v>
      </c>
      <c r="E92" s="10">
        <v>1</v>
      </c>
    </row>
    <row r="93" spans="1:5" x14ac:dyDescent="0.45">
      <c r="A93" s="4" t="s">
        <v>15</v>
      </c>
      <c r="B93" s="4" t="s">
        <v>16</v>
      </c>
      <c r="C93" s="13" t="s">
        <v>103</v>
      </c>
      <c r="D93" s="10" t="s">
        <v>18</v>
      </c>
      <c r="E93" s="10">
        <v>1</v>
      </c>
    </row>
    <row r="94" spans="1:5" x14ac:dyDescent="0.45">
      <c r="A94" s="4" t="s">
        <v>15</v>
      </c>
      <c r="B94" s="4" t="s">
        <v>16</v>
      </c>
      <c r="C94" s="13" t="s">
        <v>104</v>
      </c>
      <c r="D94" s="10" t="s">
        <v>18</v>
      </c>
      <c r="E94" s="10">
        <v>1</v>
      </c>
    </row>
    <row r="95" spans="1:5" x14ac:dyDescent="0.45">
      <c r="A95" s="4" t="s">
        <v>15</v>
      </c>
      <c r="B95" s="4" t="s">
        <v>16</v>
      </c>
      <c r="C95" s="13" t="s">
        <v>105</v>
      </c>
      <c r="D95" s="10" t="s">
        <v>18</v>
      </c>
      <c r="E95" s="10">
        <v>1</v>
      </c>
    </row>
    <row r="96" spans="1:5" x14ac:dyDescent="0.45">
      <c r="A96" s="4" t="s">
        <v>15</v>
      </c>
      <c r="B96" s="4" t="s">
        <v>16</v>
      </c>
      <c r="C96" s="13" t="s">
        <v>106</v>
      </c>
      <c r="D96" s="10" t="s">
        <v>18</v>
      </c>
      <c r="E96" s="10">
        <v>1</v>
      </c>
    </row>
    <row r="97" spans="1:5" x14ac:dyDescent="0.45">
      <c r="A97" s="4" t="s">
        <v>15</v>
      </c>
      <c r="B97" s="4" t="s">
        <v>16</v>
      </c>
      <c r="C97" s="13" t="s">
        <v>107</v>
      </c>
      <c r="D97" s="10" t="s">
        <v>18</v>
      </c>
      <c r="E97" s="10">
        <v>1</v>
      </c>
    </row>
    <row r="98" spans="1:5" x14ac:dyDescent="0.45">
      <c r="A98" s="4" t="s">
        <v>15</v>
      </c>
      <c r="B98" s="4" t="s">
        <v>16</v>
      </c>
      <c r="C98" s="13" t="s">
        <v>108</v>
      </c>
      <c r="D98" s="10" t="s">
        <v>18</v>
      </c>
      <c r="E98" s="10">
        <v>1</v>
      </c>
    </row>
    <row r="99" spans="1:5" x14ac:dyDescent="0.45">
      <c r="A99" s="4" t="s">
        <v>15</v>
      </c>
      <c r="B99" s="4" t="s">
        <v>16</v>
      </c>
      <c r="C99" s="13" t="s">
        <v>109</v>
      </c>
      <c r="D99" s="10" t="s">
        <v>18</v>
      </c>
      <c r="E99" s="10">
        <v>1</v>
      </c>
    </row>
    <row r="100" spans="1:5" x14ac:dyDescent="0.45">
      <c r="A100" s="4" t="s">
        <v>15</v>
      </c>
      <c r="B100" s="4" t="s">
        <v>16</v>
      </c>
      <c r="C100" s="13" t="s">
        <v>110</v>
      </c>
      <c r="D100" s="10" t="s">
        <v>18</v>
      </c>
      <c r="E100" s="10">
        <v>1</v>
      </c>
    </row>
    <row r="101" spans="1:5" x14ac:dyDescent="0.45">
      <c r="A101" s="4" t="s">
        <v>15</v>
      </c>
      <c r="B101" s="4" t="s">
        <v>16</v>
      </c>
      <c r="C101" s="13" t="s">
        <v>111</v>
      </c>
      <c r="D101" s="10" t="s">
        <v>18</v>
      </c>
      <c r="E101" s="10">
        <v>1</v>
      </c>
    </row>
    <row r="102" spans="1:5" x14ac:dyDescent="0.45">
      <c r="A102" s="4" t="s">
        <v>15</v>
      </c>
      <c r="B102" s="4" t="s">
        <v>16</v>
      </c>
      <c r="C102" s="13" t="s">
        <v>112</v>
      </c>
      <c r="D102" s="10" t="s">
        <v>18</v>
      </c>
      <c r="E102" s="10">
        <v>1</v>
      </c>
    </row>
    <row r="103" spans="1:5" x14ac:dyDescent="0.45">
      <c r="A103" s="4" t="s">
        <v>15</v>
      </c>
      <c r="B103" s="4" t="s">
        <v>16</v>
      </c>
      <c r="C103" s="13" t="s">
        <v>113</v>
      </c>
      <c r="D103" s="10" t="s">
        <v>18</v>
      </c>
      <c r="E103" s="10">
        <v>1</v>
      </c>
    </row>
    <row r="104" spans="1:5" x14ac:dyDescent="0.45">
      <c r="A104" s="4" t="s">
        <v>15</v>
      </c>
      <c r="B104" s="4" t="s">
        <v>16</v>
      </c>
      <c r="C104" s="13" t="s">
        <v>114</v>
      </c>
      <c r="D104" s="10" t="s">
        <v>18</v>
      </c>
      <c r="E104" s="10">
        <v>1</v>
      </c>
    </row>
    <row r="105" spans="1:5" x14ac:dyDescent="0.45">
      <c r="A105" s="4" t="s">
        <v>15</v>
      </c>
      <c r="B105" s="4" t="s">
        <v>16</v>
      </c>
      <c r="C105" s="13" t="s">
        <v>115</v>
      </c>
      <c r="D105" s="10" t="s">
        <v>18</v>
      </c>
      <c r="E105" s="10">
        <v>1</v>
      </c>
    </row>
    <row r="106" spans="1:5" x14ac:dyDescent="0.45">
      <c r="A106" s="4" t="s">
        <v>15</v>
      </c>
      <c r="B106" s="4" t="s">
        <v>16</v>
      </c>
      <c r="C106" s="13" t="s">
        <v>116</v>
      </c>
      <c r="D106" s="10" t="s">
        <v>18</v>
      </c>
      <c r="E106" s="10">
        <v>1</v>
      </c>
    </row>
    <row r="107" spans="1:5" x14ac:dyDescent="0.45">
      <c r="A107" s="4" t="s">
        <v>15</v>
      </c>
      <c r="B107" s="4" t="s">
        <v>16</v>
      </c>
      <c r="C107" s="13" t="s">
        <v>117</v>
      </c>
      <c r="D107" s="10" t="s">
        <v>18</v>
      </c>
      <c r="E107" s="10">
        <v>1</v>
      </c>
    </row>
    <row r="108" spans="1:5" x14ac:dyDescent="0.45">
      <c r="A108" s="4" t="s">
        <v>15</v>
      </c>
      <c r="B108" s="4" t="s">
        <v>16</v>
      </c>
      <c r="C108" s="13" t="s">
        <v>118</v>
      </c>
      <c r="D108" s="10" t="s">
        <v>18</v>
      </c>
      <c r="E108" s="10">
        <v>1</v>
      </c>
    </row>
    <row r="109" spans="1:5" x14ac:dyDescent="0.45">
      <c r="A109" s="4" t="s">
        <v>15</v>
      </c>
      <c r="B109" s="4" t="s">
        <v>16</v>
      </c>
      <c r="C109" s="13" t="s">
        <v>119</v>
      </c>
      <c r="D109" s="10" t="s">
        <v>18</v>
      </c>
      <c r="E109" s="10">
        <v>1</v>
      </c>
    </row>
    <row r="110" spans="1:5" x14ac:dyDescent="0.45">
      <c r="A110" s="4" t="s">
        <v>15</v>
      </c>
      <c r="B110" s="4" t="s">
        <v>16</v>
      </c>
      <c r="C110" s="13" t="s">
        <v>120</v>
      </c>
      <c r="D110" s="10" t="s">
        <v>18</v>
      </c>
      <c r="E110" s="10">
        <v>1</v>
      </c>
    </row>
    <row r="111" spans="1:5" x14ac:dyDescent="0.45">
      <c r="A111" s="4" t="s">
        <v>121</v>
      </c>
      <c r="B111" s="4" t="s">
        <v>122</v>
      </c>
      <c r="C111" s="15" t="s">
        <v>123</v>
      </c>
      <c r="D111" s="10" t="s">
        <v>124</v>
      </c>
      <c r="E111" s="10">
        <v>1</v>
      </c>
    </row>
    <row r="112" spans="1:5" x14ac:dyDescent="0.45">
      <c r="A112" s="4" t="s">
        <v>121</v>
      </c>
      <c r="B112" s="4" t="s">
        <v>122</v>
      </c>
      <c r="C112" s="15" t="s">
        <v>125</v>
      </c>
      <c r="D112" s="10" t="s">
        <v>124</v>
      </c>
      <c r="E112" s="10">
        <v>1</v>
      </c>
    </row>
    <row r="113" spans="1:5" x14ac:dyDescent="0.45">
      <c r="A113" s="4" t="s">
        <v>121</v>
      </c>
      <c r="B113" s="4" t="s">
        <v>122</v>
      </c>
      <c r="C113" s="15" t="s">
        <v>126</v>
      </c>
      <c r="D113" s="10" t="s">
        <v>124</v>
      </c>
      <c r="E113" s="10">
        <v>1</v>
      </c>
    </row>
    <row r="114" spans="1:5" x14ac:dyDescent="0.45">
      <c r="A114" s="4" t="s">
        <v>121</v>
      </c>
      <c r="B114" s="4" t="s">
        <v>122</v>
      </c>
      <c r="C114" s="15" t="s">
        <v>127</v>
      </c>
      <c r="D114" s="10" t="s">
        <v>124</v>
      </c>
      <c r="E114" s="10">
        <v>1</v>
      </c>
    </row>
    <row r="115" spans="1:5" x14ac:dyDescent="0.45">
      <c r="A115" s="4" t="s">
        <v>121</v>
      </c>
      <c r="B115" s="4" t="s">
        <v>122</v>
      </c>
      <c r="C115" s="15" t="s">
        <v>128</v>
      </c>
      <c r="D115" s="10" t="s">
        <v>124</v>
      </c>
      <c r="E115" s="10">
        <v>1</v>
      </c>
    </row>
    <row r="116" spans="1:5" x14ac:dyDescent="0.45">
      <c r="A116" s="4" t="s">
        <v>121</v>
      </c>
      <c r="B116" s="4" t="s">
        <v>122</v>
      </c>
      <c r="C116" s="15" t="s">
        <v>129</v>
      </c>
      <c r="D116" s="10" t="s">
        <v>124</v>
      </c>
      <c r="E116" s="10">
        <v>1</v>
      </c>
    </row>
    <row r="117" spans="1:5" x14ac:dyDescent="0.45">
      <c r="A117" s="4" t="s">
        <v>121</v>
      </c>
      <c r="B117" s="4" t="s">
        <v>122</v>
      </c>
      <c r="C117" s="15" t="s">
        <v>130</v>
      </c>
      <c r="D117" s="10" t="s">
        <v>124</v>
      </c>
      <c r="E117" s="10">
        <v>1</v>
      </c>
    </row>
    <row r="118" spans="1:5" x14ac:dyDescent="0.45">
      <c r="A118" s="4" t="s">
        <v>121</v>
      </c>
      <c r="B118" s="4" t="s">
        <v>122</v>
      </c>
      <c r="C118" s="15" t="s">
        <v>131</v>
      </c>
      <c r="D118" s="10" t="s">
        <v>124</v>
      </c>
      <c r="E118" s="10">
        <v>1</v>
      </c>
    </row>
    <row r="119" spans="1:5" x14ac:dyDescent="0.45">
      <c r="A119" s="4" t="s">
        <v>121</v>
      </c>
      <c r="B119" s="4" t="s">
        <v>122</v>
      </c>
      <c r="C119" s="15" t="s">
        <v>132</v>
      </c>
      <c r="D119" s="10" t="s">
        <v>124</v>
      </c>
      <c r="E119" s="10">
        <v>1</v>
      </c>
    </row>
    <row r="120" spans="1:5" x14ac:dyDescent="0.45">
      <c r="A120" s="4" t="s">
        <v>121</v>
      </c>
      <c r="B120" s="4" t="s">
        <v>122</v>
      </c>
      <c r="C120" s="15" t="s">
        <v>133</v>
      </c>
      <c r="D120" s="10" t="s">
        <v>124</v>
      </c>
      <c r="E120" s="10">
        <v>1</v>
      </c>
    </row>
    <row r="121" spans="1:5" x14ac:dyDescent="0.45">
      <c r="A121" s="4" t="s">
        <v>121</v>
      </c>
      <c r="B121" s="4" t="s">
        <v>122</v>
      </c>
      <c r="C121" s="15" t="s">
        <v>134</v>
      </c>
      <c r="D121" s="10" t="s">
        <v>124</v>
      </c>
      <c r="E121" s="10">
        <v>1</v>
      </c>
    </row>
    <row r="122" spans="1:5" x14ac:dyDescent="0.45">
      <c r="A122" s="4" t="s">
        <v>121</v>
      </c>
      <c r="B122" s="4" t="s">
        <v>122</v>
      </c>
      <c r="C122" s="15" t="s">
        <v>135</v>
      </c>
      <c r="D122" s="10" t="s">
        <v>124</v>
      </c>
      <c r="E122" s="10">
        <v>1</v>
      </c>
    </row>
    <row r="123" spans="1:5" x14ac:dyDescent="0.45">
      <c r="A123" s="4" t="s">
        <v>121</v>
      </c>
      <c r="B123" s="4" t="s">
        <v>122</v>
      </c>
      <c r="C123" s="15" t="s">
        <v>136</v>
      </c>
      <c r="D123" s="10" t="s">
        <v>124</v>
      </c>
      <c r="E123" s="10">
        <v>1</v>
      </c>
    </row>
    <row r="124" spans="1:5" x14ac:dyDescent="0.45">
      <c r="A124" s="4" t="s">
        <v>121</v>
      </c>
      <c r="B124" s="4" t="s">
        <v>122</v>
      </c>
      <c r="C124" s="15" t="s">
        <v>137</v>
      </c>
      <c r="D124" s="10" t="s">
        <v>124</v>
      </c>
      <c r="E124" s="10">
        <v>1</v>
      </c>
    </row>
    <row r="125" spans="1:5" x14ac:dyDescent="0.45">
      <c r="A125" s="4" t="s">
        <v>121</v>
      </c>
      <c r="B125" s="4" t="s">
        <v>122</v>
      </c>
      <c r="C125" s="15" t="s">
        <v>138</v>
      </c>
      <c r="D125" s="10" t="s">
        <v>124</v>
      </c>
      <c r="E125" s="10">
        <v>1</v>
      </c>
    </row>
    <row r="126" spans="1:5" x14ac:dyDescent="0.45">
      <c r="A126" s="4" t="s">
        <v>121</v>
      </c>
      <c r="B126" s="4" t="s">
        <v>122</v>
      </c>
      <c r="C126" s="15" t="s">
        <v>139</v>
      </c>
      <c r="D126" s="10" t="s">
        <v>124</v>
      </c>
      <c r="E126" s="10">
        <v>1</v>
      </c>
    </row>
    <row r="127" spans="1:5" x14ac:dyDescent="0.45">
      <c r="A127" s="4" t="s">
        <v>121</v>
      </c>
      <c r="B127" s="4" t="s">
        <v>122</v>
      </c>
      <c r="C127" s="15" t="s">
        <v>140</v>
      </c>
      <c r="D127" s="10" t="s">
        <v>124</v>
      </c>
      <c r="E127" s="10">
        <v>1</v>
      </c>
    </row>
    <row r="128" spans="1:5" x14ac:dyDescent="0.45">
      <c r="A128" s="4" t="s">
        <v>121</v>
      </c>
      <c r="B128" s="4" t="s">
        <v>122</v>
      </c>
      <c r="C128" s="15" t="s">
        <v>141</v>
      </c>
      <c r="D128" s="10" t="s">
        <v>124</v>
      </c>
      <c r="E128" s="10">
        <v>1</v>
      </c>
    </row>
    <row r="129" spans="1:5" x14ac:dyDescent="0.45">
      <c r="A129" s="4" t="s">
        <v>121</v>
      </c>
      <c r="B129" s="4" t="s">
        <v>122</v>
      </c>
      <c r="C129" s="15" t="s">
        <v>142</v>
      </c>
      <c r="D129" s="10" t="s">
        <v>124</v>
      </c>
      <c r="E129" s="10">
        <v>1</v>
      </c>
    </row>
    <row r="130" spans="1:5" x14ac:dyDescent="0.45">
      <c r="A130" s="4" t="s">
        <v>121</v>
      </c>
      <c r="B130" s="4" t="s">
        <v>122</v>
      </c>
      <c r="C130" s="15" t="s">
        <v>143</v>
      </c>
      <c r="D130" s="10" t="s">
        <v>124</v>
      </c>
      <c r="E130" s="10">
        <v>1</v>
      </c>
    </row>
    <row r="131" spans="1:5" x14ac:dyDescent="0.45">
      <c r="A131" s="4" t="s">
        <v>121</v>
      </c>
      <c r="B131" s="4" t="s">
        <v>122</v>
      </c>
      <c r="C131" s="15" t="s">
        <v>144</v>
      </c>
      <c r="D131" s="10" t="s">
        <v>124</v>
      </c>
      <c r="E131" s="10">
        <v>1</v>
      </c>
    </row>
    <row r="132" spans="1:5" x14ac:dyDescent="0.45">
      <c r="A132" s="4" t="s">
        <v>145</v>
      </c>
      <c r="B132" s="4" t="s">
        <v>146</v>
      </c>
      <c r="C132" s="14" t="s">
        <v>147</v>
      </c>
      <c r="D132" s="10" t="s">
        <v>148</v>
      </c>
      <c r="E132" s="10">
        <v>1</v>
      </c>
    </row>
    <row r="133" spans="1:5" x14ac:dyDescent="0.45">
      <c r="A133" s="4" t="s">
        <v>149</v>
      </c>
      <c r="B133" s="4" t="s">
        <v>146</v>
      </c>
      <c r="C133" s="14" t="s">
        <v>147</v>
      </c>
      <c r="D133" s="10" t="s">
        <v>148</v>
      </c>
      <c r="E133" s="10">
        <v>1</v>
      </c>
    </row>
    <row r="134" spans="1:5" x14ac:dyDescent="0.45">
      <c r="A134" s="4" t="s">
        <v>149</v>
      </c>
      <c r="B134" s="4" t="s">
        <v>146</v>
      </c>
      <c r="C134" s="14" t="s">
        <v>150</v>
      </c>
      <c r="D134" s="10" t="s">
        <v>148</v>
      </c>
      <c r="E134" s="10">
        <v>1</v>
      </c>
    </row>
    <row r="135" spans="1:5" x14ac:dyDescent="0.45">
      <c r="A135" s="4" t="s">
        <v>149</v>
      </c>
      <c r="B135" s="4" t="s">
        <v>146</v>
      </c>
      <c r="C135" s="13" t="s">
        <v>151</v>
      </c>
      <c r="D135" s="10" t="s">
        <v>148</v>
      </c>
      <c r="E135" s="10">
        <v>1</v>
      </c>
    </row>
    <row r="136" spans="1:5" x14ac:dyDescent="0.45">
      <c r="A136" s="4" t="s">
        <v>149</v>
      </c>
      <c r="B136" s="4" t="s">
        <v>146</v>
      </c>
      <c r="C136" s="13" t="s">
        <v>152</v>
      </c>
      <c r="D136" s="10" t="s">
        <v>148</v>
      </c>
      <c r="E136" s="10">
        <v>1</v>
      </c>
    </row>
    <row r="137" spans="1:5" x14ac:dyDescent="0.45">
      <c r="A137" s="4" t="s">
        <v>149</v>
      </c>
      <c r="B137" s="4" t="s">
        <v>146</v>
      </c>
      <c r="C137" s="13" t="s">
        <v>153</v>
      </c>
      <c r="D137" s="10" t="s">
        <v>148</v>
      </c>
      <c r="E137" s="10">
        <v>1</v>
      </c>
    </row>
    <row r="138" spans="1:5" x14ac:dyDescent="0.45">
      <c r="A138" s="4" t="s">
        <v>149</v>
      </c>
      <c r="B138" s="4" t="s">
        <v>146</v>
      </c>
      <c r="C138" s="13" t="s">
        <v>154</v>
      </c>
      <c r="D138" s="10" t="s">
        <v>148</v>
      </c>
      <c r="E138" s="10">
        <v>1</v>
      </c>
    </row>
    <row r="139" spans="1:5" x14ac:dyDescent="0.45">
      <c r="A139" s="4" t="s">
        <v>145</v>
      </c>
      <c r="B139" s="14" t="s">
        <v>155</v>
      </c>
      <c r="C139" s="14" t="s">
        <v>156</v>
      </c>
      <c r="D139" s="10" t="s">
        <v>148</v>
      </c>
      <c r="E139" s="16">
        <f t="shared" ref="E139:E145" si="0">4.37*0.00001*1000000000</f>
        <v>43700.000000000007</v>
      </c>
    </row>
    <row r="140" spans="1:5" x14ac:dyDescent="0.45">
      <c r="A140" s="4" t="s">
        <v>149</v>
      </c>
      <c r="B140" s="14" t="s">
        <v>155</v>
      </c>
      <c r="C140" s="14" t="s">
        <v>156</v>
      </c>
      <c r="D140" s="10" t="s">
        <v>148</v>
      </c>
      <c r="E140" s="16">
        <f t="shared" si="0"/>
        <v>43700.000000000007</v>
      </c>
    </row>
    <row r="141" spans="1:5" x14ac:dyDescent="0.45">
      <c r="A141" s="4" t="s">
        <v>149</v>
      </c>
      <c r="B141" s="14" t="s">
        <v>155</v>
      </c>
      <c r="C141" s="14" t="s">
        <v>150</v>
      </c>
      <c r="D141" s="10" t="s">
        <v>148</v>
      </c>
      <c r="E141" s="16">
        <f t="shared" si="0"/>
        <v>43700.000000000007</v>
      </c>
    </row>
    <row r="142" spans="1:5" x14ac:dyDescent="0.45">
      <c r="A142" s="4" t="s">
        <v>149</v>
      </c>
      <c r="B142" s="14" t="s">
        <v>155</v>
      </c>
      <c r="C142" s="13" t="s">
        <v>151</v>
      </c>
      <c r="D142" s="10" t="s">
        <v>148</v>
      </c>
      <c r="E142" s="16">
        <f t="shared" si="0"/>
        <v>43700.000000000007</v>
      </c>
    </row>
    <row r="143" spans="1:5" x14ac:dyDescent="0.45">
      <c r="A143" s="4" t="s">
        <v>149</v>
      </c>
      <c r="B143" s="14" t="s">
        <v>155</v>
      </c>
      <c r="C143" s="13" t="s">
        <v>152</v>
      </c>
      <c r="D143" s="10" t="s">
        <v>148</v>
      </c>
      <c r="E143" s="16">
        <f t="shared" si="0"/>
        <v>43700.000000000007</v>
      </c>
    </row>
    <row r="144" spans="1:5" x14ac:dyDescent="0.45">
      <c r="A144" s="4" t="s">
        <v>149</v>
      </c>
      <c r="B144" s="14" t="s">
        <v>155</v>
      </c>
      <c r="C144" s="13" t="s">
        <v>153</v>
      </c>
      <c r="D144" s="10" t="s">
        <v>148</v>
      </c>
      <c r="E144" s="16">
        <f t="shared" si="0"/>
        <v>43700.000000000007</v>
      </c>
    </row>
    <row r="145" spans="1:5" x14ac:dyDescent="0.45">
      <c r="A145" s="4" t="s">
        <v>149</v>
      </c>
      <c r="B145" s="14" t="s">
        <v>155</v>
      </c>
      <c r="C145" s="13" t="s">
        <v>154</v>
      </c>
      <c r="D145" s="10" t="s">
        <v>148</v>
      </c>
      <c r="E145" s="16">
        <f t="shared" si="0"/>
        <v>43700.000000000007</v>
      </c>
    </row>
    <row r="146" spans="1:5" x14ac:dyDescent="0.45">
      <c r="A146" s="4" t="s">
        <v>121</v>
      </c>
      <c r="B146" s="14" t="s">
        <v>155</v>
      </c>
      <c r="C146" s="15" t="s">
        <v>157</v>
      </c>
      <c r="D146" s="10" t="s">
        <v>124</v>
      </c>
      <c r="E146" s="10">
        <f>0.95*100</f>
        <v>95</v>
      </c>
    </row>
    <row r="147" spans="1:5" x14ac:dyDescent="0.45">
      <c r="A147" s="4" t="s">
        <v>121</v>
      </c>
      <c r="B147" s="14" t="s">
        <v>155</v>
      </c>
      <c r="C147" s="15" t="s">
        <v>123</v>
      </c>
      <c r="D147" s="10" t="s">
        <v>124</v>
      </c>
      <c r="E147" s="10">
        <f t="shared" ref="E147:E167" si="1">0.88*100</f>
        <v>88</v>
      </c>
    </row>
    <row r="148" spans="1:5" x14ac:dyDescent="0.45">
      <c r="A148" s="4" t="s">
        <v>121</v>
      </c>
      <c r="B148" s="14" t="s">
        <v>155</v>
      </c>
      <c r="C148" s="15" t="s">
        <v>125</v>
      </c>
      <c r="D148" s="10" t="s">
        <v>124</v>
      </c>
      <c r="E148" s="10">
        <f t="shared" si="1"/>
        <v>88</v>
      </c>
    </row>
    <row r="149" spans="1:5" x14ac:dyDescent="0.45">
      <c r="A149" s="4" t="s">
        <v>121</v>
      </c>
      <c r="B149" s="14" t="s">
        <v>155</v>
      </c>
      <c r="C149" s="15" t="s">
        <v>126</v>
      </c>
      <c r="D149" s="10" t="s">
        <v>124</v>
      </c>
      <c r="E149" s="10">
        <f t="shared" si="1"/>
        <v>88</v>
      </c>
    </row>
    <row r="150" spans="1:5" x14ac:dyDescent="0.45">
      <c r="A150" s="4" t="s">
        <v>121</v>
      </c>
      <c r="B150" s="14" t="s">
        <v>155</v>
      </c>
      <c r="C150" s="15" t="s">
        <v>127</v>
      </c>
      <c r="D150" s="10" t="s">
        <v>124</v>
      </c>
      <c r="E150" s="10">
        <f t="shared" si="1"/>
        <v>88</v>
      </c>
    </row>
    <row r="151" spans="1:5" x14ac:dyDescent="0.45">
      <c r="A151" s="4" t="s">
        <v>121</v>
      </c>
      <c r="B151" s="14" t="s">
        <v>155</v>
      </c>
      <c r="C151" s="15" t="s">
        <v>128</v>
      </c>
      <c r="D151" s="10" t="s">
        <v>124</v>
      </c>
      <c r="E151" s="10">
        <f t="shared" si="1"/>
        <v>88</v>
      </c>
    </row>
    <row r="152" spans="1:5" x14ac:dyDescent="0.45">
      <c r="A152" s="4" t="s">
        <v>121</v>
      </c>
      <c r="B152" s="14" t="s">
        <v>155</v>
      </c>
      <c r="C152" s="15" t="s">
        <v>129</v>
      </c>
      <c r="D152" s="10" t="s">
        <v>124</v>
      </c>
      <c r="E152" s="10">
        <f t="shared" si="1"/>
        <v>88</v>
      </c>
    </row>
    <row r="153" spans="1:5" x14ac:dyDescent="0.45">
      <c r="A153" s="4" t="s">
        <v>121</v>
      </c>
      <c r="B153" s="14" t="s">
        <v>155</v>
      </c>
      <c r="C153" s="15" t="s">
        <v>130</v>
      </c>
      <c r="D153" s="10" t="s">
        <v>124</v>
      </c>
      <c r="E153" s="10">
        <f t="shared" si="1"/>
        <v>88</v>
      </c>
    </row>
    <row r="154" spans="1:5" x14ac:dyDescent="0.45">
      <c r="A154" s="4" t="s">
        <v>121</v>
      </c>
      <c r="B154" s="14" t="s">
        <v>155</v>
      </c>
      <c r="C154" s="15" t="s">
        <v>131</v>
      </c>
      <c r="D154" s="10" t="s">
        <v>124</v>
      </c>
      <c r="E154" s="10">
        <f t="shared" si="1"/>
        <v>88</v>
      </c>
    </row>
    <row r="155" spans="1:5" x14ac:dyDescent="0.45">
      <c r="A155" s="4" t="s">
        <v>121</v>
      </c>
      <c r="B155" s="14" t="s">
        <v>155</v>
      </c>
      <c r="C155" s="15" t="s">
        <v>132</v>
      </c>
      <c r="D155" s="10" t="s">
        <v>124</v>
      </c>
      <c r="E155" s="10">
        <f t="shared" si="1"/>
        <v>88</v>
      </c>
    </row>
    <row r="156" spans="1:5" x14ac:dyDescent="0.45">
      <c r="A156" s="4" t="s">
        <v>121</v>
      </c>
      <c r="B156" s="14" t="s">
        <v>155</v>
      </c>
      <c r="C156" s="15" t="s">
        <v>133</v>
      </c>
      <c r="D156" s="10" t="s">
        <v>124</v>
      </c>
      <c r="E156" s="10">
        <f t="shared" si="1"/>
        <v>88</v>
      </c>
    </row>
    <row r="157" spans="1:5" x14ac:dyDescent="0.45">
      <c r="A157" s="4" t="s">
        <v>121</v>
      </c>
      <c r="B157" s="14" t="s">
        <v>155</v>
      </c>
      <c r="C157" s="15" t="s">
        <v>134</v>
      </c>
      <c r="D157" s="10" t="s">
        <v>124</v>
      </c>
      <c r="E157" s="10">
        <f t="shared" si="1"/>
        <v>88</v>
      </c>
    </row>
    <row r="158" spans="1:5" x14ac:dyDescent="0.45">
      <c r="A158" s="4" t="s">
        <v>121</v>
      </c>
      <c r="B158" s="14" t="s">
        <v>155</v>
      </c>
      <c r="C158" s="15" t="s">
        <v>135</v>
      </c>
      <c r="D158" s="10" t="s">
        <v>124</v>
      </c>
      <c r="E158" s="10">
        <f t="shared" si="1"/>
        <v>88</v>
      </c>
    </row>
    <row r="159" spans="1:5" x14ac:dyDescent="0.45">
      <c r="A159" s="4" t="s">
        <v>121</v>
      </c>
      <c r="B159" s="14" t="s">
        <v>155</v>
      </c>
      <c r="C159" s="15" t="s">
        <v>136</v>
      </c>
      <c r="D159" s="10" t="s">
        <v>124</v>
      </c>
      <c r="E159" s="10">
        <f t="shared" si="1"/>
        <v>88</v>
      </c>
    </row>
    <row r="160" spans="1:5" x14ac:dyDescent="0.45">
      <c r="A160" s="4" t="s">
        <v>121</v>
      </c>
      <c r="B160" s="14" t="s">
        <v>155</v>
      </c>
      <c r="C160" s="15" t="s">
        <v>137</v>
      </c>
      <c r="D160" s="10" t="s">
        <v>124</v>
      </c>
      <c r="E160" s="10">
        <f t="shared" si="1"/>
        <v>88</v>
      </c>
    </row>
    <row r="161" spans="1:5" x14ac:dyDescent="0.45">
      <c r="A161" s="4" t="s">
        <v>121</v>
      </c>
      <c r="B161" s="14" t="s">
        <v>155</v>
      </c>
      <c r="C161" s="15" t="s">
        <v>138</v>
      </c>
      <c r="D161" s="10" t="s">
        <v>124</v>
      </c>
      <c r="E161" s="10">
        <f t="shared" si="1"/>
        <v>88</v>
      </c>
    </row>
    <row r="162" spans="1:5" x14ac:dyDescent="0.45">
      <c r="A162" s="4" t="s">
        <v>121</v>
      </c>
      <c r="B162" s="14" t="s">
        <v>155</v>
      </c>
      <c r="C162" s="15" t="s">
        <v>139</v>
      </c>
      <c r="D162" s="10" t="s">
        <v>124</v>
      </c>
      <c r="E162" s="10">
        <f t="shared" si="1"/>
        <v>88</v>
      </c>
    </row>
    <row r="163" spans="1:5" x14ac:dyDescent="0.45">
      <c r="A163" s="4" t="s">
        <v>121</v>
      </c>
      <c r="B163" s="14" t="s">
        <v>155</v>
      </c>
      <c r="C163" s="15" t="s">
        <v>140</v>
      </c>
      <c r="D163" s="10" t="s">
        <v>124</v>
      </c>
      <c r="E163" s="10">
        <f t="shared" si="1"/>
        <v>88</v>
      </c>
    </row>
    <row r="164" spans="1:5" x14ac:dyDescent="0.45">
      <c r="A164" s="4" t="s">
        <v>121</v>
      </c>
      <c r="B164" s="14" t="s">
        <v>155</v>
      </c>
      <c r="C164" s="15" t="s">
        <v>141</v>
      </c>
      <c r="D164" s="10" t="s">
        <v>124</v>
      </c>
      <c r="E164" s="10">
        <f t="shared" si="1"/>
        <v>88</v>
      </c>
    </row>
    <row r="165" spans="1:5" x14ac:dyDescent="0.45">
      <c r="A165" s="4" t="s">
        <v>121</v>
      </c>
      <c r="B165" s="14" t="s">
        <v>155</v>
      </c>
      <c r="C165" s="15" t="s">
        <v>142</v>
      </c>
      <c r="D165" s="10" t="s">
        <v>124</v>
      </c>
      <c r="E165" s="10">
        <f t="shared" si="1"/>
        <v>88</v>
      </c>
    </row>
    <row r="166" spans="1:5" x14ac:dyDescent="0.45">
      <c r="A166" s="4" t="s">
        <v>121</v>
      </c>
      <c r="B166" s="14" t="s">
        <v>155</v>
      </c>
      <c r="C166" s="15" t="s">
        <v>143</v>
      </c>
      <c r="D166" s="10" t="s">
        <v>124</v>
      </c>
      <c r="E166" s="10">
        <f t="shared" si="1"/>
        <v>88</v>
      </c>
    </row>
    <row r="167" spans="1:5" x14ac:dyDescent="0.45">
      <c r="A167" s="4" t="s">
        <v>121</v>
      </c>
      <c r="B167" s="14" t="s">
        <v>155</v>
      </c>
      <c r="C167" s="15" t="s">
        <v>144</v>
      </c>
      <c r="D167" s="10" t="s">
        <v>124</v>
      </c>
      <c r="E167" s="10">
        <f t="shared" si="1"/>
        <v>88</v>
      </c>
    </row>
    <row r="168" spans="1:5" x14ac:dyDescent="0.45">
      <c r="A168" s="4" t="s">
        <v>121</v>
      </c>
      <c r="B168" s="14" t="s">
        <v>155</v>
      </c>
      <c r="C168" s="15" t="s">
        <v>158</v>
      </c>
      <c r="D168" s="10" t="s">
        <v>124</v>
      </c>
      <c r="E168" s="10">
        <f>0.17*100</f>
        <v>17</v>
      </c>
    </row>
    <row r="169" spans="1:5" x14ac:dyDescent="0.45">
      <c r="A169" s="4" t="s">
        <v>121</v>
      </c>
      <c r="B169" s="14" t="s">
        <v>155</v>
      </c>
      <c r="C169" s="15" t="s">
        <v>159</v>
      </c>
      <c r="D169" s="10" t="s">
        <v>124</v>
      </c>
      <c r="E169" s="10">
        <f>0.4*100</f>
        <v>40</v>
      </c>
    </row>
    <row r="170" spans="1:5" x14ac:dyDescent="0.45">
      <c r="A170" s="4" t="s">
        <v>121</v>
      </c>
      <c r="B170" s="14" t="s">
        <v>155</v>
      </c>
      <c r="C170" s="15" t="s">
        <v>160</v>
      </c>
      <c r="D170" s="10" t="s">
        <v>124</v>
      </c>
      <c r="E170" s="10">
        <f>0.4*100</f>
        <v>40</v>
      </c>
    </row>
    <row r="171" spans="1:5" x14ac:dyDescent="0.45">
      <c r="A171" s="4" t="s">
        <v>121</v>
      </c>
      <c r="B171" s="14" t="s">
        <v>155</v>
      </c>
      <c r="C171" s="15" t="s">
        <v>161</v>
      </c>
      <c r="D171" s="10" t="s">
        <v>124</v>
      </c>
      <c r="E171" s="10">
        <f>0.4*100</f>
        <v>40</v>
      </c>
    </row>
    <row r="172" spans="1:5" x14ac:dyDescent="0.45">
      <c r="A172" s="14" t="s">
        <v>423</v>
      </c>
      <c r="B172" s="14" t="s">
        <v>424</v>
      </c>
      <c r="C172" s="15" t="s">
        <v>425</v>
      </c>
      <c r="D172" s="1" t="s">
        <v>426</v>
      </c>
      <c r="E172" s="10">
        <v>1</v>
      </c>
    </row>
    <row r="173" spans="1:5" x14ac:dyDescent="0.45">
      <c r="A173" s="48" t="s">
        <v>427</v>
      </c>
      <c r="B173" s="48" t="s">
        <v>428</v>
      </c>
      <c r="C173" s="49" t="s">
        <v>429</v>
      </c>
      <c r="D173" s="50" t="s">
        <v>430</v>
      </c>
      <c r="E173" s="51">
        <v>1</v>
      </c>
    </row>
  </sheetData>
  <pageMargins left="0.7" right="0.7" top="0.75" bottom="0.75" header="0.3" footer="0.3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6"/>
  <sheetViews>
    <sheetView topLeftCell="A200" workbookViewId="0">
      <selection activeCell="A208" sqref="A207:XFD208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47.86328125" style="6" customWidth="1"/>
    <col min="4" max="4" width="9" style="6" customWidth="1"/>
    <col min="5" max="5" width="13.19921875" style="6" customWidth="1"/>
    <col min="6" max="6" width="9.19921875" style="6" customWidth="1"/>
    <col min="7" max="16384" width="9.19921875" style="6"/>
  </cols>
  <sheetData>
    <row r="1" spans="1:5" ht="38.200000000000003" customHeight="1" x14ac:dyDescent="0.45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5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5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5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5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5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5">
      <c r="A7" s="4" t="s">
        <v>15</v>
      </c>
      <c r="B7" s="4" t="s">
        <v>433</v>
      </c>
      <c r="C7" s="11" t="s">
        <v>17</v>
      </c>
      <c r="D7" s="10" t="s">
        <v>18</v>
      </c>
      <c r="E7">
        <v>1</v>
      </c>
    </row>
    <row r="8" spans="1:5" x14ac:dyDescent="0.45">
      <c r="A8" s="4" t="s">
        <v>15</v>
      </c>
      <c r="B8" s="4" t="s">
        <v>433</v>
      </c>
      <c r="C8" s="11" t="s">
        <v>19</v>
      </c>
      <c r="D8" s="10" t="s">
        <v>18</v>
      </c>
      <c r="E8">
        <v>1</v>
      </c>
    </row>
    <row r="9" spans="1:5" x14ac:dyDescent="0.45">
      <c r="A9" s="4" t="s">
        <v>15</v>
      </c>
      <c r="B9" s="4" t="s">
        <v>433</v>
      </c>
      <c r="C9" s="11" t="s">
        <v>20</v>
      </c>
      <c r="D9" s="10" t="s">
        <v>18</v>
      </c>
      <c r="E9">
        <v>1</v>
      </c>
    </row>
    <row r="10" spans="1:5" x14ac:dyDescent="0.45">
      <c r="A10" s="4" t="s">
        <v>15</v>
      </c>
      <c r="B10" s="4" t="s">
        <v>433</v>
      </c>
      <c r="C10" s="11" t="s">
        <v>21</v>
      </c>
      <c r="D10" s="10" t="s">
        <v>18</v>
      </c>
      <c r="E10">
        <v>1</v>
      </c>
    </row>
    <row r="11" spans="1:5" x14ac:dyDescent="0.45">
      <c r="A11" s="4" t="s">
        <v>15</v>
      </c>
      <c r="B11" s="4" t="s">
        <v>433</v>
      </c>
      <c r="C11" s="11" t="s">
        <v>22</v>
      </c>
      <c r="D11" s="10" t="s">
        <v>18</v>
      </c>
      <c r="E11">
        <v>1</v>
      </c>
    </row>
    <row r="12" spans="1:5" x14ac:dyDescent="0.45">
      <c r="A12" s="4" t="s">
        <v>15</v>
      </c>
      <c r="B12" s="4" t="s">
        <v>433</v>
      </c>
      <c r="C12" s="11" t="s">
        <v>23</v>
      </c>
      <c r="D12" s="10" t="s">
        <v>18</v>
      </c>
      <c r="E12">
        <v>1</v>
      </c>
    </row>
    <row r="13" spans="1:5" x14ac:dyDescent="0.45">
      <c r="A13" s="4" t="s">
        <v>15</v>
      </c>
      <c r="B13" s="4" t="s">
        <v>433</v>
      </c>
      <c r="C13" s="11" t="s">
        <v>24</v>
      </c>
      <c r="D13" s="10" t="s">
        <v>18</v>
      </c>
      <c r="E13">
        <v>1</v>
      </c>
    </row>
    <row r="14" spans="1:5" x14ac:dyDescent="0.45">
      <c r="A14" s="4" t="s">
        <v>15</v>
      </c>
      <c r="B14" s="4" t="s">
        <v>433</v>
      </c>
      <c r="C14" s="11" t="s">
        <v>25</v>
      </c>
      <c r="D14" s="10" t="s">
        <v>18</v>
      </c>
      <c r="E14">
        <v>1</v>
      </c>
    </row>
    <row r="15" spans="1:5" x14ac:dyDescent="0.45">
      <c r="A15" s="4" t="s">
        <v>15</v>
      </c>
      <c r="B15" s="4" t="s">
        <v>433</v>
      </c>
      <c r="C15" s="11" t="s">
        <v>26</v>
      </c>
      <c r="D15" s="10" t="s">
        <v>18</v>
      </c>
      <c r="E15">
        <v>1</v>
      </c>
    </row>
    <row r="16" spans="1:5" x14ac:dyDescent="0.45">
      <c r="A16" s="4" t="s">
        <v>15</v>
      </c>
      <c r="B16" s="4" t="s">
        <v>433</v>
      </c>
      <c r="C16" s="11" t="s">
        <v>27</v>
      </c>
      <c r="D16" s="10" t="s">
        <v>18</v>
      </c>
      <c r="E16">
        <v>1</v>
      </c>
    </row>
    <row r="17" spans="1:5" x14ac:dyDescent="0.45">
      <c r="A17" s="4" t="s">
        <v>15</v>
      </c>
      <c r="B17" s="4" t="s">
        <v>433</v>
      </c>
      <c r="C17" s="11" t="s">
        <v>28</v>
      </c>
      <c r="D17" s="10" t="s">
        <v>18</v>
      </c>
      <c r="E17">
        <v>1</v>
      </c>
    </row>
    <row r="18" spans="1:5" x14ac:dyDescent="0.45">
      <c r="A18" s="4" t="s">
        <v>15</v>
      </c>
      <c r="B18" s="4" t="s">
        <v>433</v>
      </c>
      <c r="C18" s="11" t="s">
        <v>29</v>
      </c>
      <c r="D18" s="10" t="s">
        <v>18</v>
      </c>
      <c r="E18">
        <v>1</v>
      </c>
    </row>
    <row r="19" spans="1:5" x14ac:dyDescent="0.45">
      <c r="A19" s="4" t="s">
        <v>15</v>
      </c>
      <c r="B19" s="4" t="s">
        <v>433</v>
      </c>
      <c r="C19" s="11" t="s">
        <v>30</v>
      </c>
      <c r="D19" s="10" t="s">
        <v>18</v>
      </c>
      <c r="E19">
        <v>1</v>
      </c>
    </row>
    <row r="20" spans="1:5" x14ac:dyDescent="0.45">
      <c r="A20" s="4" t="s">
        <v>15</v>
      </c>
      <c r="B20" s="4" t="s">
        <v>433</v>
      </c>
      <c r="C20" s="11" t="s">
        <v>31</v>
      </c>
      <c r="D20" s="10" t="s">
        <v>18</v>
      </c>
      <c r="E20">
        <v>1</v>
      </c>
    </row>
    <row r="21" spans="1:5" x14ac:dyDescent="0.45">
      <c r="A21" s="4" t="s">
        <v>15</v>
      </c>
      <c r="B21" s="4" t="s">
        <v>433</v>
      </c>
      <c r="C21" s="11" t="s">
        <v>32</v>
      </c>
      <c r="D21" s="10" t="s">
        <v>18</v>
      </c>
      <c r="E21">
        <v>1</v>
      </c>
    </row>
    <row r="22" spans="1:5" x14ac:dyDescent="0.45">
      <c r="A22" s="4" t="s">
        <v>15</v>
      </c>
      <c r="B22" s="4" t="s">
        <v>433</v>
      </c>
      <c r="C22" s="11" t="s">
        <v>33</v>
      </c>
      <c r="D22" s="10" t="s">
        <v>18</v>
      </c>
      <c r="E22">
        <v>1</v>
      </c>
    </row>
    <row r="23" spans="1:5" x14ac:dyDescent="0.45">
      <c r="A23" s="4" t="s">
        <v>15</v>
      </c>
      <c r="B23" s="4" t="s">
        <v>433</v>
      </c>
      <c r="C23" s="11" t="s">
        <v>34</v>
      </c>
      <c r="D23" s="10" t="s">
        <v>18</v>
      </c>
      <c r="E23">
        <v>1</v>
      </c>
    </row>
    <row r="24" spans="1:5" x14ac:dyDescent="0.45">
      <c r="A24" s="4" t="s">
        <v>15</v>
      </c>
      <c r="B24" s="4" t="s">
        <v>433</v>
      </c>
      <c r="C24" s="11" t="s">
        <v>35</v>
      </c>
      <c r="D24" s="10" t="s">
        <v>18</v>
      </c>
      <c r="E24">
        <v>1</v>
      </c>
    </row>
    <row r="25" spans="1:5" x14ac:dyDescent="0.45">
      <c r="A25" s="4" t="s">
        <v>15</v>
      </c>
      <c r="B25" s="4" t="s">
        <v>433</v>
      </c>
      <c r="C25" s="11" t="s">
        <v>36</v>
      </c>
      <c r="D25" s="10" t="s">
        <v>18</v>
      </c>
      <c r="E25">
        <v>1</v>
      </c>
    </row>
    <row r="26" spans="1:5" x14ac:dyDescent="0.45">
      <c r="A26" s="4" t="s">
        <v>15</v>
      </c>
      <c r="B26" s="4" t="s">
        <v>433</v>
      </c>
      <c r="C26" s="11" t="s">
        <v>37</v>
      </c>
      <c r="D26" s="10" t="s">
        <v>18</v>
      </c>
      <c r="E26">
        <v>1</v>
      </c>
    </row>
    <row r="27" spans="1:5" x14ac:dyDescent="0.45">
      <c r="A27" s="4" t="s">
        <v>15</v>
      </c>
      <c r="B27" s="4" t="s">
        <v>433</v>
      </c>
      <c r="C27" s="11" t="s">
        <v>38</v>
      </c>
      <c r="D27" s="10" t="s">
        <v>18</v>
      </c>
      <c r="E27">
        <v>1</v>
      </c>
    </row>
    <row r="28" spans="1:5" x14ac:dyDescent="0.45">
      <c r="A28" s="4" t="s">
        <v>15</v>
      </c>
      <c r="B28" s="4" t="s">
        <v>433</v>
      </c>
      <c r="C28" s="11" t="s">
        <v>39</v>
      </c>
      <c r="D28" s="10" t="s">
        <v>18</v>
      </c>
      <c r="E28">
        <v>1</v>
      </c>
    </row>
    <row r="29" spans="1:5" x14ac:dyDescent="0.45">
      <c r="A29" s="4" t="s">
        <v>15</v>
      </c>
      <c r="B29" s="4" t="s">
        <v>433</v>
      </c>
      <c r="C29" s="11" t="s">
        <v>40</v>
      </c>
      <c r="D29" s="10" t="s">
        <v>18</v>
      </c>
      <c r="E29">
        <v>1</v>
      </c>
    </row>
    <row r="30" spans="1:5" x14ac:dyDescent="0.45">
      <c r="A30" s="4" t="s">
        <v>15</v>
      </c>
      <c r="B30" s="4" t="s">
        <v>433</v>
      </c>
      <c r="C30" s="11" t="s">
        <v>41</v>
      </c>
      <c r="D30" s="10" t="s">
        <v>18</v>
      </c>
      <c r="E30">
        <v>1</v>
      </c>
    </row>
    <row r="31" spans="1:5" x14ac:dyDescent="0.45">
      <c r="A31" s="4" t="s">
        <v>15</v>
      </c>
      <c r="B31" s="4" t="s">
        <v>433</v>
      </c>
      <c r="C31" s="11" t="s">
        <v>42</v>
      </c>
      <c r="D31" s="10" t="s">
        <v>18</v>
      </c>
      <c r="E31">
        <v>1</v>
      </c>
    </row>
    <row r="32" spans="1:5" x14ac:dyDescent="0.45">
      <c r="A32" s="4" t="s">
        <v>15</v>
      </c>
      <c r="B32" s="4" t="s">
        <v>433</v>
      </c>
      <c r="C32" s="11" t="s">
        <v>43</v>
      </c>
      <c r="D32" s="10" t="s">
        <v>18</v>
      </c>
      <c r="E32">
        <v>1</v>
      </c>
    </row>
    <row r="33" spans="1:5" x14ac:dyDescent="0.45">
      <c r="A33" s="4" t="s">
        <v>15</v>
      </c>
      <c r="B33" s="4" t="s">
        <v>433</v>
      </c>
      <c r="C33" s="11" t="s">
        <v>44</v>
      </c>
      <c r="D33" s="10" t="s">
        <v>18</v>
      </c>
      <c r="E33">
        <v>1</v>
      </c>
    </row>
    <row r="34" spans="1:5" x14ac:dyDescent="0.45">
      <c r="A34" s="4" t="s">
        <v>15</v>
      </c>
      <c r="B34" s="4" t="s">
        <v>433</v>
      </c>
      <c r="C34" s="11" t="s">
        <v>45</v>
      </c>
      <c r="D34" s="10" t="s">
        <v>18</v>
      </c>
      <c r="E34">
        <v>1</v>
      </c>
    </row>
    <row r="35" spans="1:5" x14ac:dyDescent="0.45">
      <c r="A35" s="4" t="s">
        <v>15</v>
      </c>
      <c r="B35" s="4" t="s">
        <v>433</v>
      </c>
      <c r="C35" s="11" t="s">
        <v>46</v>
      </c>
      <c r="D35" s="10" t="s">
        <v>18</v>
      </c>
      <c r="E35">
        <v>1</v>
      </c>
    </row>
    <row r="36" spans="1:5" x14ac:dyDescent="0.45">
      <c r="A36" s="4" t="s">
        <v>15</v>
      </c>
      <c r="B36" s="4" t="s">
        <v>433</v>
      </c>
      <c r="C36" s="11" t="s">
        <v>47</v>
      </c>
      <c r="D36" s="10" t="s">
        <v>18</v>
      </c>
      <c r="E36">
        <v>1</v>
      </c>
    </row>
    <row r="37" spans="1:5" x14ac:dyDescent="0.45">
      <c r="A37" s="4" t="s">
        <v>15</v>
      </c>
      <c r="B37" s="4" t="s">
        <v>433</v>
      </c>
      <c r="C37" s="11" t="s">
        <v>48</v>
      </c>
      <c r="D37" s="10" t="s">
        <v>18</v>
      </c>
      <c r="E37">
        <v>1</v>
      </c>
    </row>
    <row r="38" spans="1:5" x14ac:dyDescent="0.45">
      <c r="A38" s="4" t="s">
        <v>15</v>
      </c>
      <c r="B38" s="4" t="s">
        <v>433</v>
      </c>
      <c r="C38" s="11" t="s">
        <v>49</v>
      </c>
      <c r="D38" s="10" t="s">
        <v>18</v>
      </c>
      <c r="E38">
        <v>1</v>
      </c>
    </row>
    <row r="39" spans="1:5" x14ac:dyDescent="0.45">
      <c r="A39" s="4" t="s">
        <v>15</v>
      </c>
      <c r="B39" s="4" t="s">
        <v>433</v>
      </c>
      <c r="C39" s="11" t="s">
        <v>50</v>
      </c>
      <c r="D39" s="10" t="s">
        <v>18</v>
      </c>
      <c r="E39">
        <v>1</v>
      </c>
    </row>
    <row r="40" spans="1:5" x14ac:dyDescent="0.45">
      <c r="A40" s="4" t="s">
        <v>15</v>
      </c>
      <c r="B40" s="4" t="s">
        <v>433</v>
      </c>
      <c r="C40" s="11" t="s">
        <v>51</v>
      </c>
      <c r="D40" s="10" t="s">
        <v>18</v>
      </c>
      <c r="E40">
        <v>1</v>
      </c>
    </row>
    <row r="41" spans="1:5" x14ac:dyDescent="0.45">
      <c r="A41" s="4" t="s">
        <v>15</v>
      </c>
      <c r="B41" s="4" t="s">
        <v>433</v>
      </c>
      <c r="C41" s="11" t="s">
        <v>52</v>
      </c>
      <c r="D41" s="10" t="s">
        <v>18</v>
      </c>
      <c r="E41">
        <v>1</v>
      </c>
    </row>
    <row r="42" spans="1:5" x14ac:dyDescent="0.45">
      <c r="A42" s="4" t="s">
        <v>15</v>
      </c>
      <c r="B42" s="4" t="s">
        <v>433</v>
      </c>
      <c r="C42" s="11" t="s">
        <v>53</v>
      </c>
      <c r="D42" s="10" t="s">
        <v>18</v>
      </c>
      <c r="E42">
        <v>1</v>
      </c>
    </row>
    <row r="43" spans="1:5" x14ac:dyDescent="0.45">
      <c r="A43" s="4" t="s">
        <v>15</v>
      </c>
      <c r="B43" s="4" t="s">
        <v>433</v>
      </c>
      <c r="C43" s="11" t="s">
        <v>54</v>
      </c>
      <c r="D43" s="10" t="s">
        <v>18</v>
      </c>
      <c r="E43">
        <v>1</v>
      </c>
    </row>
    <row r="44" spans="1:5" x14ac:dyDescent="0.45">
      <c r="A44" s="4" t="s">
        <v>15</v>
      </c>
      <c r="B44" s="4" t="s">
        <v>433</v>
      </c>
      <c r="C44" s="11" t="s">
        <v>55</v>
      </c>
      <c r="D44" s="10" t="s">
        <v>18</v>
      </c>
      <c r="E44">
        <v>1</v>
      </c>
    </row>
    <row r="45" spans="1:5" x14ac:dyDescent="0.45">
      <c r="A45" s="4" t="s">
        <v>15</v>
      </c>
      <c r="B45" s="4" t="s">
        <v>433</v>
      </c>
      <c r="C45" s="11" t="s">
        <v>56</v>
      </c>
      <c r="D45" s="10" t="s">
        <v>18</v>
      </c>
      <c r="E45">
        <v>1</v>
      </c>
    </row>
    <row r="46" spans="1:5" x14ac:dyDescent="0.45">
      <c r="A46" s="4" t="s">
        <v>15</v>
      </c>
      <c r="B46" s="4" t="s">
        <v>433</v>
      </c>
      <c r="C46" s="11" t="s">
        <v>57</v>
      </c>
      <c r="D46" s="10" t="s">
        <v>18</v>
      </c>
      <c r="E46">
        <v>1</v>
      </c>
    </row>
    <row r="47" spans="1:5" x14ac:dyDescent="0.45">
      <c r="A47" s="4" t="s">
        <v>15</v>
      </c>
      <c r="B47" s="4" t="s">
        <v>433</v>
      </c>
      <c r="C47" s="11" t="s">
        <v>58</v>
      </c>
      <c r="D47" s="10" t="s">
        <v>18</v>
      </c>
      <c r="E47">
        <v>1</v>
      </c>
    </row>
    <row r="48" spans="1:5" x14ac:dyDescent="0.45">
      <c r="A48" s="4" t="s">
        <v>15</v>
      </c>
      <c r="B48" s="4" t="s">
        <v>433</v>
      </c>
      <c r="C48" s="11" t="s">
        <v>59</v>
      </c>
      <c r="D48" s="10" t="s">
        <v>18</v>
      </c>
      <c r="E48">
        <v>1</v>
      </c>
    </row>
    <row r="49" spans="1:5" x14ac:dyDescent="0.45">
      <c r="A49" s="4" t="s">
        <v>15</v>
      </c>
      <c r="B49" s="4" t="s">
        <v>433</v>
      </c>
      <c r="C49" s="11" t="s">
        <v>60</v>
      </c>
      <c r="D49" s="10" t="s">
        <v>18</v>
      </c>
      <c r="E49">
        <v>1</v>
      </c>
    </row>
    <row r="50" spans="1:5" x14ac:dyDescent="0.45">
      <c r="A50" s="4" t="s">
        <v>15</v>
      </c>
      <c r="B50" s="4" t="s">
        <v>433</v>
      </c>
      <c r="C50" s="11" t="s">
        <v>61</v>
      </c>
      <c r="D50" s="10" t="s">
        <v>18</v>
      </c>
      <c r="E50">
        <v>1</v>
      </c>
    </row>
    <row r="51" spans="1:5" x14ac:dyDescent="0.45">
      <c r="A51" s="4" t="s">
        <v>15</v>
      </c>
      <c r="B51" s="4" t="s">
        <v>433</v>
      </c>
      <c r="C51" s="11" t="s">
        <v>62</v>
      </c>
      <c r="D51" s="10" t="s">
        <v>18</v>
      </c>
      <c r="E51">
        <v>1</v>
      </c>
    </row>
    <row r="52" spans="1:5" x14ac:dyDescent="0.45">
      <c r="A52" s="4" t="s">
        <v>15</v>
      </c>
      <c r="B52" s="4" t="s">
        <v>433</v>
      </c>
      <c r="C52" s="11" t="s">
        <v>63</v>
      </c>
      <c r="D52" s="10" t="s">
        <v>18</v>
      </c>
      <c r="E52">
        <v>1</v>
      </c>
    </row>
    <row r="53" spans="1:5" x14ac:dyDescent="0.45">
      <c r="A53" s="4" t="s">
        <v>15</v>
      </c>
      <c r="B53" s="4" t="s">
        <v>433</v>
      </c>
      <c r="C53" s="11" t="s">
        <v>64</v>
      </c>
      <c r="D53" s="10" t="s">
        <v>18</v>
      </c>
      <c r="E53">
        <v>1</v>
      </c>
    </row>
    <row r="54" spans="1:5" x14ac:dyDescent="0.45">
      <c r="A54" s="4" t="s">
        <v>15</v>
      </c>
      <c r="B54" s="4" t="s">
        <v>433</v>
      </c>
      <c r="C54" s="11" t="s">
        <v>65</v>
      </c>
      <c r="D54" s="10" t="s">
        <v>18</v>
      </c>
      <c r="E54">
        <v>1</v>
      </c>
    </row>
    <row r="55" spans="1:5" x14ac:dyDescent="0.45">
      <c r="A55" s="4" t="s">
        <v>15</v>
      </c>
      <c r="B55" s="4" t="s">
        <v>433</v>
      </c>
      <c r="C55" s="11" t="s">
        <v>66</v>
      </c>
      <c r="D55" s="10" t="s">
        <v>18</v>
      </c>
      <c r="E55">
        <v>1</v>
      </c>
    </row>
    <row r="56" spans="1:5" x14ac:dyDescent="0.45">
      <c r="A56" s="4" t="s">
        <v>15</v>
      </c>
      <c r="B56" s="4" t="s">
        <v>433</v>
      </c>
      <c r="C56" s="11" t="s">
        <v>67</v>
      </c>
      <c r="D56" s="10" t="s">
        <v>18</v>
      </c>
      <c r="E56">
        <v>1</v>
      </c>
    </row>
    <row r="57" spans="1:5" x14ac:dyDescent="0.45">
      <c r="A57" s="4" t="s">
        <v>15</v>
      </c>
      <c r="B57" s="4" t="s">
        <v>433</v>
      </c>
      <c r="C57" s="11" t="s">
        <v>68</v>
      </c>
      <c r="D57" s="10" t="s">
        <v>18</v>
      </c>
      <c r="E57">
        <v>1</v>
      </c>
    </row>
    <row r="58" spans="1:5" x14ac:dyDescent="0.45">
      <c r="A58" s="4" t="s">
        <v>15</v>
      </c>
      <c r="B58" s="4" t="s">
        <v>433</v>
      </c>
      <c r="C58" s="11" t="s">
        <v>69</v>
      </c>
      <c r="D58" s="10" t="s">
        <v>18</v>
      </c>
      <c r="E58">
        <v>1</v>
      </c>
    </row>
    <row r="59" spans="1:5" x14ac:dyDescent="0.45">
      <c r="A59" s="4" t="s">
        <v>15</v>
      </c>
      <c r="B59" s="4" t="s">
        <v>433</v>
      </c>
      <c r="C59" s="11" t="s">
        <v>70</v>
      </c>
      <c r="D59" s="10" t="s">
        <v>18</v>
      </c>
      <c r="E59">
        <v>1</v>
      </c>
    </row>
    <row r="60" spans="1:5" x14ac:dyDescent="0.45">
      <c r="A60" s="4" t="s">
        <v>15</v>
      </c>
      <c r="B60" s="4" t="s">
        <v>433</v>
      </c>
      <c r="C60" s="11" t="s">
        <v>71</v>
      </c>
      <c r="D60" s="10" t="s">
        <v>18</v>
      </c>
      <c r="E60">
        <v>1</v>
      </c>
    </row>
    <row r="61" spans="1:5" x14ac:dyDescent="0.45">
      <c r="A61" s="4" t="s">
        <v>15</v>
      </c>
      <c r="B61" s="4" t="s">
        <v>433</v>
      </c>
      <c r="C61" s="11" t="s">
        <v>72</v>
      </c>
      <c r="D61" s="10" t="s">
        <v>18</v>
      </c>
      <c r="E61">
        <v>1</v>
      </c>
    </row>
    <row r="62" spans="1:5" x14ac:dyDescent="0.45">
      <c r="A62" s="4" t="s">
        <v>15</v>
      </c>
      <c r="B62" s="4" t="s">
        <v>433</v>
      </c>
      <c r="C62" s="11" t="s">
        <v>73</v>
      </c>
      <c r="D62" s="10" t="s">
        <v>18</v>
      </c>
      <c r="E62">
        <v>1</v>
      </c>
    </row>
    <row r="63" spans="1:5" x14ac:dyDescent="0.45">
      <c r="A63" s="4" t="s">
        <v>15</v>
      </c>
      <c r="B63" s="4" t="s">
        <v>433</v>
      </c>
      <c r="C63" s="11" t="s">
        <v>74</v>
      </c>
      <c r="D63" s="10" t="s">
        <v>18</v>
      </c>
      <c r="E63">
        <v>1</v>
      </c>
    </row>
    <row r="64" spans="1:5" x14ac:dyDescent="0.45">
      <c r="A64" s="4" t="s">
        <v>15</v>
      </c>
      <c r="B64" s="4" t="s">
        <v>433</v>
      </c>
      <c r="C64" s="11" t="s">
        <v>75</v>
      </c>
      <c r="D64" s="10" t="s">
        <v>18</v>
      </c>
      <c r="E64">
        <v>1</v>
      </c>
    </row>
    <row r="65" spans="1:6" x14ac:dyDescent="0.45">
      <c r="A65" s="4" t="s">
        <v>15</v>
      </c>
      <c r="B65" s="4" t="s">
        <v>433</v>
      </c>
      <c r="C65" s="11" t="s">
        <v>76</v>
      </c>
      <c r="D65" s="10" t="s">
        <v>18</v>
      </c>
      <c r="E65">
        <v>1</v>
      </c>
    </row>
    <row r="66" spans="1:6" x14ac:dyDescent="0.45">
      <c r="A66" s="4" t="s">
        <v>15</v>
      </c>
      <c r="B66" s="4" t="s">
        <v>433</v>
      </c>
      <c r="C66" s="11" t="s">
        <v>77</v>
      </c>
      <c r="D66" s="10" t="s">
        <v>18</v>
      </c>
      <c r="E66">
        <v>1</v>
      </c>
    </row>
    <row r="67" spans="1:6" x14ac:dyDescent="0.45">
      <c r="A67" s="4" t="s">
        <v>15</v>
      </c>
      <c r="B67" s="4" t="s">
        <v>433</v>
      </c>
      <c r="C67" s="11" t="s">
        <v>78</v>
      </c>
      <c r="D67" s="10" t="s">
        <v>18</v>
      </c>
      <c r="E67">
        <v>1</v>
      </c>
    </row>
    <row r="68" spans="1:6" x14ac:dyDescent="0.45">
      <c r="A68" s="4" t="s">
        <v>15</v>
      </c>
      <c r="B68" s="4" t="s">
        <v>433</v>
      </c>
      <c r="C68" s="11" t="s">
        <v>79</v>
      </c>
      <c r="D68" s="10" t="s">
        <v>18</v>
      </c>
      <c r="E68">
        <v>1</v>
      </c>
    </row>
    <row r="69" spans="1:6" x14ac:dyDescent="0.45">
      <c r="A69" s="4" t="s">
        <v>15</v>
      </c>
      <c r="B69" s="4" t="s">
        <v>433</v>
      </c>
      <c r="C69" s="11" t="s">
        <v>80</v>
      </c>
      <c r="D69" s="10" t="s">
        <v>18</v>
      </c>
      <c r="E69">
        <v>1</v>
      </c>
    </row>
    <row r="70" spans="1:6" x14ac:dyDescent="0.45">
      <c r="A70" s="4" t="s">
        <v>15</v>
      </c>
      <c r="B70" s="4" t="s">
        <v>433</v>
      </c>
      <c r="C70" s="11" t="s">
        <v>81</v>
      </c>
      <c r="D70" s="10" t="s">
        <v>18</v>
      </c>
      <c r="E70">
        <v>1</v>
      </c>
    </row>
    <row r="71" spans="1:6" x14ac:dyDescent="0.45">
      <c r="A71" s="4" t="s">
        <v>15</v>
      </c>
      <c r="B71" s="4" t="s">
        <v>433</v>
      </c>
      <c r="C71" s="11" t="s">
        <v>82</v>
      </c>
      <c r="D71" s="10" t="s">
        <v>18</v>
      </c>
      <c r="E71">
        <v>1</v>
      </c>
    </row>
    <row r="72" spans="1:6" x14ac:dyDescent="0.45">
      <c r="A72" s="4" t="s">
        <v>15</v>
      </c>
      <c r="B72" s="4" t="s">
        <v>433</v>
      </c>
      <c r="C72" s="11" t="s">
        <v>83</v>
      </c>
      <c r="D72" s="10" t="s">
        <v>18</v>
      </c>
      <c r="E72">
        <v>1</v>
      </c>
    </row>
    <row r="73" spans="1:6" x14ac:dyDescent="0.45">
      <c r="A73" s="4" t="s">
        <v>15</v>
      </c>
      <c r="B73" s="4" t="s">
        <v>433</v>
      </c>
      <c r="C73" s="11" t="s">
        <v>84</v>
      </c>
      <c r="D73" s="10" t="s">
        <v>18</v>
      </c>
      <c r="E73">
        <v>1</v>
      </c>
      <c r="F73" s="9"/>
    </row>
    <row r="74" spans="1:6" x14ac:dyDescent="0.45">
      <c r="A74" s="4" t="s">
        <v>15</v>
      </c>
      <c r="B74" s="4" t="s">
        <v>433</v>
      </c>
      <c r="C74" s="11" t="s">
        <v>85</v>
      </c>
      <c r="D74" s="10" t="s">
        <v>18</v>
      </c>
      <c r="E74">
        <v>1</v>
      </c>
    </row>
    <row r="75" spans="1:6" x14ac:dyDescent="0.45">
      <c r="A75" s="4" t="s">
        <v>15</v>
      </c>
      <c r="B75" s="4" t="s">
        <v>433</v>
      </c>
      <c r="C75" s="11" t="s">
        <v>86</v>
      </c>
      <c r="D75" s="10" t="s">
        <v>18</v>
      </c>
      <c r="E75">
        <v>1</v>
      </c>
    </row>
    <row r="76" spans="1:6" x14ac:dyDescent="0.45">
      <c r="A76" s="4" t="s">
        <v>15</v>
      </c>
      <c r="B76" s="4" t="s">
        <v>433</v>
      </c>
      <c r="C76" s="11" t="s">
        <v>87</v>
      </c>
      <c r="D76" s="10" t="s">
        <v>18</v>
      </c>
      <c r="E76">
        <v>1</v>
      </c>
    </row>
    <row r="77" spans="1:6" x14ac:dyDescent="0.45">
      <c r="A77" s="4" t="s">
        <v>15</v>
      </c>
      <c r="B77" s="4" t="s">
        <v>433</v>
      </c>
      <c r="C77" s="11" t="s">
        <v>88</v>
      </c>
      <c r="D77" s="10" t="s">
        <v>18</v>
      </c>
      <c r="E77">
        <v>1</v>
      </c>
    </row>
    <row r="78" spans="1:6" x14ac:dyDescent="0.45">
      <c r="A78" s="4" t="s">
        <v>15</v>
      </c>
      <c r="B78" s="4" t="s">
        <v>433</v>
      </c>
      <c r="C78" s="11" t="s">
        <v>89</v>
      </c>
      <c r="D78" s="10" t="s">
        <v>18</v>
      </c>
      <c r="E78">
        <v>1</v>
      </c>
    </row>
    <row r="79" spans="1:6" x14ac:dyDescent="0.45">
      <c r="A79" s="4" t="s">
        <v>15</v>
      </c>
      <c r="B79" s="4" t="s">
        <v>433</v>
      </c>
      <c r="C79" s="11" t="s">
        <v>90</v>
      </c>
      <c r="D79" s="10" t="s">
        <v>18</v>
      </c>
      <c r="E79">
        <v>1</v>
      </c>
    </row>
    <row r="80" spans="1:6" x14ac:dyDescent="0.45">
      <c r="A80" s="4" t="s">
        <v>15</v>
      </c>
      <c r="B80" s="4" t="s">
        <v>433</v>
      </c>
      <c r="C80" s="11" t="s">
        <v>91</v>
      </c>
      <c r="D80" s="10" t="s">
        <v>18</v>
      </c>
      <c r="E80">
        <v>1</v>
      </c>
    </row>
    <row r="81" spans="1:5" x14ac:dyDescent="0.45">
      <c r="A81" s="4" t="s">
        <v>15</v>
      </c>
      <c r="B81" s="4" t="s">
        <v>433</v>
      </c>
      <c r="C81" s="11" t="s">
        <v>92</v>
      </c>
      <c r="D81" s="10" t="s">
        <v>18</v>
      </c>
      <c r="E81">
        <v>1</v>
      </c>
    </row>
    <row r="82" spans="1:5" x14ac:dyDescent="0.45">
      <c r="A82" s="4" t="s">
        <v>15</v>
      </c>
      <c r="B82" s="4" t="s">
        <v>433</v>
      </c>
      <c r="C82" s="11" t="s">
        <v>93</v>
      </c>
      <c r="D82" s="10" t="s">
        <v>18</v>
      </c>
      <c r="E82">
        <v>1</v>
      </c>
    </row>
    <row r="83" spans="1:5" x14ac:dyDescent="0.45">
      <c r="A83" s="4" t="s">
        <v>15</v>
      </c>
      <c r="B83" s="4" t="s">
        <v>433</v>
      </c>
      <c r="C83" s="11" t="s">
        <v>94</v>
      </c>
      <c r="D83" s="10" t="s">
        <v>18</v>
      </c>
      <c r="E83">
        <v>1</v>
      </c>
    </row>
    <row r="84" spans="1:5" x14ac:dyDescent="0.45">
      <c r="A84" s="4" t="s">
        <v>15</v>
      </c>
      <c r="B84" s="4" t="s">
        <v>433</v>
      </c>
      <c r="C84" s="11" t="s">
        <v>95</v>
      </c>
      <c r="D84" s="10" t="s">
        <v>18</v>
      </c>
      <c r="E84">
        <v>1</v>
      </c>
    </row>
    <row r="85" spans="1:5" x14ac:dyDescent="0.45">
      <c r="A85" s="4" t="s">
        <v>15</v>
      </c>
      <c r="B85" s="4" t="s">
        <v>433</v>
      </c>
      <c r="C85" s="11" t="s">
        <v>96</v>
      </c>
      <c r="D85" s="10" t="s">
        <v>18</v>
      </c>
      <c r="E85">
        <v>1</v>
      </c>
    </row>
    <row r="86" spans="1:5" x14ac:dyDescent="0.45">
      <c r="A86" s="4" t="s">
        <v>15</v>
      </c>
      <c r="B86" s="4" t="s">
        <v>433</v>
      </c>
      <c r="C86" s="11" t="s">
        <v>97</v>
      </c>
      <c r="D86" s="10" t="s">
        <v>18</v>
      </c>
      <c r="E86">
        <v>1</v>
      </c>
    </row>
    <row r="87" spans="1:5" x14ac:dyDescent="0.45">
      <c r="A87" s="4" t="s">
        <v>15</v>
      </c>
      <c r="B87" s="4" t="s">
        <v>433</v>
      </c>
      <c r="C87" s="11" t="s">
        <v>98</v>
      </c>
      <c r="D87" s="10" t="s">
        <v>18</v>
      </c>
      <c r="E87">
        <v>1</v>
      </c>
    </row>
    <row r="88" spans="1:5" x14ac:dyDescent="0.45">
      <c r="A88" s="4" t="s">
        <v>15</v>
      </c>
      <c r="B88" s="4" t="s">
        <v>433</v>
      </c>
      <c r="C88" s="11" t="s">
        <v>99</v>
      </c>
      <c r="D88" s="10" t="s">
        <v>18</v>
      </c>
      <c r="E88">
        <v>1</v>
      </c>
    </row>
    <row r="89" spans="1:5" x14ac:dyDescent="0.45">
      <c r="A89" s="4" t="s">
        <v>15</v>
      </c>
      <c r="B89" s="4" t="s">
        <v>433</v>
      </c>
      <c r="C89" s="11" t="s">
        <v>100</v>
      </c>
      <c r="D89" s="10" t="s">
        <v>18</v>
      </c>
      <c r="E89">
        <v>1</v>
      </c>
    </row>
    <row r="90" spans="1:5" x14ac:dyDescent="0.45">
      <c r="A90" s="4" t="s">
        <v>15</v>
      </c>
      <c r="B90" s="4" t="s">
        <v>433</v>
      </c>
      <c r="C90" s="11" t="s">
        <v>101</v>
      </c>
      <c r="D90" s="10" t="s">
        <v>18</v>
      </c>
      <c r="E90">
        <v>1</v>
      </c>
    </row>
    <row r="91" spans="1:5" x14ac:dyDescent="0.45">
      <c r="A91" s="4" t="s">
        <v>15</v>
      </c>
      <c r="B91" s="4" t="s">
        <v>433</v>
      </c>
      <c r="C91" s="11" t="s">
        <v>102</v>
      </c>
      <c r="D91" s="10" t="s">
        <v>18</v>
      </c>
      <c r="E91">
        <v>1</v>
      </c>
    </row>
    <row r="92" spans="1:5" x14ac:dyDescent="0.45">
      <c r="A92" s="4" t="s">
        <v>15</v>
      </c>
      <c r="B92" s="4" t="s">
        <v>433</v>
      </c>
      <c r="C92" s="11" t="s">
        <v>103</v>
      </c>
      <c r="D92" s="10" t="s">
        <v>18</v>
      </c>
      <c r="E92">
        <v>1</v>
      </c>
    </row>
    <row r="93" spans="1:5" x14ac:dyDescent="0.45">
      <c r="A93" s="4" t="s">
        <v>15</v>
      </c>
      <c r="B93" s="4" t="s">
        <v>433</v>
      </c>
      <c r="C93" s="11" t="s">
        <v>104</v>
      </c>
      <c r="D93" s="10" t="s">
        <v>18</v>
      </c>
      <c r="E93">
        <v>1</v>
      </c>
    </row>
    <row r="94" spans="1:5" x14ac:dyDescent="0.45">
      <c r="A94" s="4" t="s">
        <v>15</v>
      </c>
      <c r="B94" s="4" t="s">
        <v>433</v>
      </c>
      <c r="C94" s="11" t="s">
        <v>105</v>
      </c>
      <c r="D94" s="10" t="s">
        <v>18</v>
      </c>
      <c r="E94">
        <v>1</v>
      </c>
    </row>
    <row r="95" spans="1:5" x14ac:dyDescent="0.45">
      <c r="A95" s="4" t="s">
        <v>15</v>
      </c>
      <c r="B95" s="4" t="s">
        <v>433</v>
      </c>
      <c r="C95" s="11" t="s">
        <v>106</v>
      </c>
      <c r="D95" s="10" t="s">
        <v>18</v>
      </c>
      <c r="E95">
        <v>1</v>
      </c>
    </row>
    <row r="96" spans="1:5" x14ac:dyDescent="0.45">
      <c r="A96" s="4" t="s">
        <v>15</v>
      </c>
      <c r="B96" s="4" t="s">
        <v>433</v>
      </c>
      <c r="C96" s="11" t="s">
        <v>107</v>
      </c>
      <c r="D96" s="10" t="s">
        <v>18</v>
      </c>
      <c r="E96">
        <v>1</v>
      </c>
    </row>
    <row r="97" spans="1:5" x14ac:dyDescent="0.45">
      <c r="A97" s="4" t="s">
        <v>15</v>
      </c>
      <c r="B97" s="4" t="s">
        <v>433</v>
      </c>
      <c r="C97" s="11" t="s">
        <v>108</v>
      </c>
      <c r="D97" s="10" t="s">
        <v>18</v>
      </c>
      <c r="E97">
        <v>1</v>
      </c>
    </row>
    <row r="98" spans="1:5" x14ac:dyDescent="0.45">
      <c r="A98" s="4" t="s">
        <v>15</v>
      </c>
      <c r="B98" s="4" t="s">
        <v>433</v>
      </c>
      <c r="C98" s="11" t="s">
        <v>109</v>
      </c>
      <c r="D98" s="10" t="s">
        <v>18</v>
      </c>
      <c r="E98">
        <v>1</v>
      </c>
    </row>
    <row r="99" spans="1:5" x14ac:dyDescent="0.45">
      <c r="A99" s="4" t="s">
        <v>15</v>
      </c>
      <c r="B99" s="4" t="s">
        <v>433</v>
      </c>
      <c r="C99" s="11" t="s">
        <v>110</v>
      </c>
      <c r="D99" s="10" t="s">
        <v>18</v>
      </c>
      <c r="E99">
        <v>1</v>
      </c>
    </row>
    <row r="100" spans="1:5" x14ac:dyDescent="0.45">
      <c r="A100" s="4" t="s">
        <v>15</v>
      </c>
      <c r="B100" s="4" t="s">
        <v>433</v>
      </c>
      <c r="C100" s="11" t="s">
        <v>111</v>
      </c>
      <c r="D100" s="10" t="s">
        <v>18</v>
      </c>
      <c r="E100">
        <v>1</v>
      </c>
    </row>
    <row r="101" spans="1:5" x14ac:dyDescent="0.45">
      <c r="A101" s="4" t="s">
        <v>15</v>
      </c>
      <c r="B101" s="4" t="s">
        <v>433</v>
      </c>
      <c r="C101" s="11" t="s">
        <v>112</v>
      </c>
      <c r="D101" s="10" t="s">
        <v>18</v>
      </c>
      <c r="E101">
        <v>1</v>
      </c>
    </row>
    <row r="102" spans="1:5" x14ac:dyDescent="0.45">
      <c r="A102" s="4" t="s">
        <v>15</v>
      </c>
      <c r="B102" s="4" t="s">
        <v>433</v>
      </c>
      <c r="C102" s="11" t="s">
        <v>113</v>
      </c>
      <c r="D102" s="10" t="s">
        <v>18</v>
      </c>
      <c r="E102">
        <v>1</v>
      </c>
    </row>
    <row r="103" spans="1:5" x14ac:dyDescent="0.45">
      <c r="A103" s="4" t="s">
        <v>15</v>
      </c>
      <c r="B103" s="4" t="s">
        <v>433</v>
      </c>
      <c r="C103" s="11" t="s">
        <v>114</v>
      </c>
      <c r="D103" s="10" t="s">
        <v>18</v>
      </c>
      <c r="E103">
        <v>1</v>
      </c>
    </row>
    <row r="104" spans="1:5" x14ac:dyDescent="0.45">
      <c r="A104" s="4" t="s">
        <v>15</v>
      </c>
      <c r="B104" s="4" t="s">
        <v>433</v>
      </c>
      <c r="C104" s="11" t="s">
        <v>115</v>
      </c>
      <c r="D104" s="10" t="s">
        <v>18</v>
      </c>
      <c r="E104">
        <v>1</v>
      </c>
    </row>
    <row r="105" spans="1:5" x14ac:dyDescent="0.45">
      <c r="A105" s="4" t="s">
        <v>15</v>
      </c>
      <c r="B105" s="4" t="s">
        <v>433</v>
      </c>
      <c r="C105" s="11" t="s">
        <v>116</v>
      </c>
      <c r="D105" s="10" t="s">
        <v>18</v>
      </c>
      <c r="E105">
        <v>1</v>
      </c>
    </row>
    <row r="106" spans="1:5" x14ac:dyDescent="0.45">
      <c r="A106" s="4" t="s">
        <v>15</v>
      </c>
      <c r="B106" s="4" t="s">
        <v>433</v>
      </c>
      <c r="C106" s="11" t="s">
        <v>117</v>
      </c>
      <c r="D106" s="10" t="s">
        <v>18</v>
      </c>
      <c r="E106">
        <v>1</v>
      </c>
    </row>
    <row r="107" spans="1:5" x14ac:dyDescent="0.45">
      <c r="A107" s="4" t="s">
        <v>15</v>
      </c>
      <c r="B107" s="4" t="s">
        <v>433</v>
      </c>
      <c r="C107" s="11" t="s">
        <v>118</v>
      </c>
      <c r="D107" s="10" t="s">
        <v>18</v>
      </c>
      <c r="E107">
        <v>1</v>
      </c>
    </row>
    <row r="108" spans="1:5" x14ac:dyDescent="0.45">
      <c r="A108" s="4" t="s">
        <v>15</v>
      </c>
      <c r="B108" s="4" t="s">
        <v>433</v>
      </c>
      <c r="C108" s="11" t="s">
        <v>119</v>
      </c>
      <c r="D108" s="10" t="s">
        <v>18</v>
      </c>
      <c r="E108">
        <v>1</v>
      </c>
    </row>
    <row r="109" spans="1:5" x14ac:dyDescent="0.45">
      <c r="A109" s="4" t="s">
        <v>15</v>
      </c>
      <c r="B109" s="4" t="s">
        <v>433</v>
      </c>
      <c r="C109" s="11" t="s">
        <v>120</v>
      </c>
      <c r="D109" s="10" t="s">
        <v>18</v>
      </c>
      <c r="E109">
        <v>1</v>
      </c>
    </row>
    <row r="110" spans="1:5" x14ac:dyDescent="0.45">
      <c r="A110" s="4" t="s">
        <v>121</v>
      </c>
      <c r="B110" s="4" t="s">
        <v>434</v>
      </c>
      <c r="C110" t="s">
        <v>157</v>
      </c>
      <c r="D110" s="10" t="s">
        <v>124</v>
      </c>
      <c r="E110">
        <v>1</v>
      </c>
    </row>
    <row r="111" spans="1:5" x14ac:dyDescent="0.45">
      <c r="A111" s="4" t="s">
        <v>121</v>
      </c>
      <c r="B111" s="4" t="s">
        <v>434</v>
      </c>
      <c r="C111" t="s">
        <v>123</v>
      </c>
      <c r="D111" s="10" t="s">
        <v>124</v>
      </c>
      <c r="E111">
        <v>1</v>
      </c>
    </row>
    <row r="112" spans="1:5" x14ac:dyDescent="0.45">
      <c r="A112" s="4" t="s">
        <v>121</v>
      </c>
      <c r="B112" s="4" t="s">
        <v>434</v>
      </c>
      <c r="C112" t="s">
        <v>125</v>
      </c>
      <c r="D112" s="10" t="s">
        <v>124</v>
      </c>
      <c r="E112">
        <v>1</v>
      </c>
    </row>
    <row r="113" spans="1:5" x14ac:dyDescent="0.45">
      <c r="A113" s="4" t="s">
        <v>121</v>
      </c>
      <c r="B113" s="4" t="s">
        <v>434</v>
      </c>
      <c r="C113" t="s">
        <v>126</v>
      </c>
      <c r="D113" s="10" t="s">
        <v>124</v>
      </c>
      <c r="E113">
        <v>1</v>
      </c>
    </row>
    <row r="114" spans="1:5" x14ac:dyDescent="0.45">
      <c r="A114" s="4" t="s">
        <v>121</v>
      </c>
      <c r="B114" s="4" t="s">
        <v>434</v>
      </c>
      <c r="C114" t="s">
        <v>127</v>
      </c>
      <c r="D114" s="10" t="s">
        <v>124</v>
      </c>
      <c r="E114">
        <v>1</v>
      </c>
    </row>
    <row r="115" spans="1:5" x14ac:dyDescent="0.45">
      <c r="A115" s="4" t="s">
        <v>121</v>
      </c>
      <c r="B115" s="4" t="s">
        <v>434</v>
      </c>
      <c r="C115" t="s">
        <v>128</v>
      </c>
      <c r="D115" s="10" t="s">
        <v>124</v>
      </c>
      <c r="E115">
        <v>1</v>
      </c>
    </row>
    <row r="116" spans="1:5" x14ac:dyDescent="0.45">
      <c r="A116" s="4" t="s">
        <v>121</v>
      </c>
      <c r="B116" s="4" t="s">
        <v>434</v>
      </c>
      <c r="C116" t="s">
        <v>129</v>
      </c>
      <c r="D116" s="10" t="s">
        <v>124</v>
      </c>
      <c r="E116">
        <v>1</v>
      </c>
    </row>
    <row r="117" spans="1:5" x14ac:dyDescent="0.45">
      <c r="A117" s="4" t="s">
        <v>121</v>
      </c>
      <c r="B117" s="4" t="s">
        <v>434</v>
      </c>
      <c r="C117" t="s">
        <v>130</v>
      </c>
      <c r="D117" s="10" t="s">
        <v>124</v>
      </c>
      <c r="E117">
        <v>1</v>
      </c>
    </row>
    <row r="118" spans="1:5" x14ac:dyDescent="0.45">
      <c r="A118" s="4" t="s">
        <v>121</v>
      </c>
      <c r="B118" s="4" t="s">
        <v>434</v>
      </c>
      <c r="C118" t="s">
        <v>131</v>
      </c>
      <c r="D118" s="10" t="s">
        <v>124</v>
      </c>
      <c r="E118">
        <v>1</v>
      </c>
    </row>
    <row r="119" spans="1:5" x14ac:dyDescent="0.45">
      <c r="A119" s="4" t="s">
        <v>121</v>
      </c>
      <c r="B119" s="4" t="s">
        <v>434</v>
      </c>
      <c r="C119" t="s">
        <v>132</v>
      </c>
      <c r="D119" s="10" t="s">
        <v>124</v>
      </c>
      <c r="E119">
        <v>1</v>
      </c>
    </row>
    <row r="120" spans="1:5" x14ac:dyDescent="0.45">
      <c r="A120" s="4" t="s">
        <v>121</v>
      </c>
      <c r="B120" s="4" t="s">
        <v>434</v>
      </c>
      <c r="C120" t="s">
        <v>133</v>
      </c>
      <c r="D120" s="10" t="s">
        <v>124</v>
      </c>
      <c r="E120">
        <v>1</v>
      </c>
    </row>
    <row r="121" spans="1:5" x14ac:dyDescent="0.45">
      <c r="A121" s="4" t="s">
        <v>121</v>
      </c>
      <c r="B121" s="4" t="s">
        <v>434</v>
      </c>
      <c r="C121" t="s">
        <v>134</v>
      </c>
      <c r="D121" s="10" t="s">
        <v>124</v>
      </c>
      <c r="E121">
        <v>1</v>
      </c>
    </row>
    <row r="122" spans="1:5" x14ac:dyDescent="0.45">
      <c r="A122" s="4" t="s">
        <v>121</v>
      </c>
      <c r="B122" s="4" t="s">
        <v>434</v>
      </c>
      <c r="C122" t="s">
        <v>135</v>
      </c>
      <c r="D122" s="10" t="s">
        <v>124</v>
      </c>
      <c r="E122">
        <v>1</v>
      </c>
    </row>
    <row r="123" spans="1:5" x14ac:dyDescent="0.45">
      <c r="A123" s="4" t="s">
        <v>121</v>
      </c>
      <c r="B123" s="4" t="s">
        <v>434</v>
      </c>
      <c r="C123" t="s">
        <v>136</v>
      </c>
      <c r="D123" s="10" t="s">
        <v>124</v>
      </c>
      <c r="E123">
        <v>1</v>
      </c>
    </row>
    <row r="124" spans="1:5" x14ac:dyDescent="0.45">
      <c r="A124" s="4" t="s">
        <v>121</v>
      </c>
      <c r="B124" s="4" t="s">
        <v>434</v>
      </c>
      <c r="C124" t="s">
        <v>137</v>
      </c>
      <c r="D124" s="10" t="s">
        <v>124</v>
      </c>
      <c r="E124">
        <v>1</v>
      </c>
    </row>
    <row r="125" spans="1:5" x14ac:dyDescent="0.45">
      <c r="A125" s="4" t="s">
        <v>121</v>
      </c>
      <c r="B125" s="4" t="s">
        <v>434</v>
      </c>
      <c r="C125" t="s">
        <v>138</v>
      </c>
      <c r="D125" s="10" t="s">
        <v>124</v>
      </c>
      <c r="E125">
        <v>1</v>
      </c>
    </row>
    <row r="126" spans="1:5" x14ac:dyDescent="0.45">
      <c r="A126" s="4" t="s">
        <v>121</v>
      </c>
      <c r="B126" s="4" t="s">
        <v>434</v>
      </c>
      <c r="C126" t="s">
        <v>139</v>
      </c>
      <c r="D126" s="10" t="s">
        <v>124</v>
      </c>
      <c r="E126">
        <v>1</v>
      </c>
    </row>
    <row r="127" spans="1:5" x14ac:dyDescent="0.45">
      <c r="A127" s="4" t="s">
        <v>121</v>
      </c>
      <c r="B127" s="4" t="s">
        <v>434</v>
      </c>
      <c r="C127" t="s">
        <v>140</v>
      </c>
      <c r="D127" s="10" t="s">
        <v>124</v>
      </c>
      <c r="E127">
        <v>1</v>
      </c>
    </row>
    <row r="128" spans="1:5" x14ac:dyDescent="0.45">
      <c r="A128" s="4" t="s">
        <v>121</v>
      </c>
      <c r="B128" s="4" t="s">
        <v>434</v>
      </c>
      <c r="C128" t="s">
        <v>141</v>
      </c>
      <c r="D128" s="10" t="s">
        <v>124</v>
      </c>
      <c r="E128">
        <v>1</v>
      </c>
    </row>
    <row r="129" spans="1:5" x14ac:dyDescent="0.45">
      <c r="A129" s="4" t="s">
        <v>121</v>
      </c>
      <c r="B129" s="4" t="s">
        <v>434</v>
      </c>
      <c r="C129" t="s">
        <v>142</v>
      </c>
      <c r="D129" s="10" t="s">
        <v>124</v>
      </c>
      <c r="E129">
        <v>1</v>
      </c>
    </row>
    <row r="130" spans="1:5" x14ac:dyDescent="0.45">
      <c r="A130" s="4" t="s">
        <v>121</v>
      </c>
      <c r="B130" s="4" t="s">
        <v>434</v>
      </c>
      <c r="C130" t="s">
        <v>143</v>
      </c>
      <c r="D130" s="10" t="s">
        <v>124</v>
      </c>
      <c r="E130">
        <v>1</v>
      </c>
    </row>
    <row r="131" spans="1:5" x14ac:dyDescent="0.45">
      <c r="A131" s="4" t="s">
        <v>121</v>
      </c>
      <c r="B131" s="4" t="s">
        <v>434</v>
      </c>
      <c r="C131" t="s">
        <v>144</v>
      </c>
      <c r="D131" s="10" t="s">
        <v>124</v>
      </c>
      <c r="E131">
        <v>1</v>
      </c>
    </row>
    <row r="132" spans="1:5" x14ac:dyDescent="0.45">
      <c r="A132" s="4" t="s">
        <v>149</v>
      </c>
      <c r="B132" s="4" t="s">
        <v>435</v>
      </c>
      <c r="C132" s="10" t="s">
        <v>256</v>
      </c>
      <c r="D132" s="10" t="s">
        <v>8</v>
      </c>
      <c r="E132">
        <v>1</v>
      </c>
    </row>
    <row r="133" spans="1:5" x14ac:dyDescent="0.45">
      <c r="A133" s="4" t="s">
        <v>149</v>
      </c>
      <c r="B133" s="4" t="s">
        <v>435</v>
      </c>
      <c r="C133" s="10" t="s">
        <v>259</v>
      </c>
      <c r="D133" s="10" t="s">
        <v>8</v>
      </c>
      <c r="E133">
        <v>1</v>
      </c>
    </row>
    <row r="134" spans="1:5" x14ac:dyDescent="0.45">
      <c r="A134" s="4" t="s">
        <v>149</v>
      </c>
      <c r="B134" s="4" t="s">
        <v>435</v>
      </c>
      <c r="C134" s="10" t="s">
        <v>257</v>
      </c>
      <c r="D134" s="10" t="s">
        <v>8</v>
      </c>
      <c r="E134">
        <v>1</v>
      </c>
    </row>
    <row r="135" spans="1:5" x14ac:dyDescent="0.45">
      <c r="A135" s="4" t="s">
        <v>149</v>
      </c>
      <c r="B135" s="4" t="s">
        <v>435</v>
      </c>
      <c r="C135" s="10" t="s">
        <v>258</v>
      </c>
      <c r="D135" s="10" t="s">
        <v>8</v>
      </c>
      <c r="E135">
        <v>1</v>
      </c>
    </row>
    <row r="136" spans="1:5" x14ac:dyDescent="0.45">
      <c r="A136" s="4" t="s">
        <v>149</v>
      </c>
      <c r="B136" s="4" t="s">
        <v>435</v>
      </c>
      <c r="C136" s="10" t="s">
        <v>255</v>
      </c>
      <c r="D136" s="10" t="s">
        <v>8</v>
      </c>
      <c r="E136">
        <v>1</v>
      </c>
    </row>
    <row r="137" spans="1:5" x14ac:dyDescent="0.45">
      <c r="A137" s="4" t="s">
        <v>149</v>
      </c>
      <c r="B137" s="4" t="s">
        <v>435</v>
      </c>
      <c r="C137" t="s">
        <v>436</v>
      </c>
      <c r="D137" s="10" t="s">
        <v>8</v>
      </c>
      <c r="E137">
        <v>2</v>
      </c>
    </row>
    <row r="138" spans="1:5" x14ac:dyDescent="0.45">
      <c r="A138" s="4" t="s">
        <v>149</v>
      </c>
      <c r="B138" s="4" t="s">
        <v>435</v>
      </c>
      <c r="C138" s="10" t="s">
        <v>226</v>
      </c>
      <c r="D138" s="10" t="s">
        <v>8</v>
      </c>
      <c r="E138">
        <v>29.8</v>
      </c>
    </row>
    <row r="139" spans="1:5" x14ac:dyDescent="0.45">
      <c r="A139" s="4" t="s">
        <v>149</v>
      </c>
      <c r="B139" s="4" t="s">
        <v>435</v>
      </c>
      <c r="C139" s="10" t="s">
        <v>227</v>
      </c>
      <c r="D139" s="10" t="s">
        <v>8</v>
      </c>
      <c r="E139">
        <v>29.8</v>
      </c>
    </row>
    <row r="140" spans="1:5" x14ac:dyDescent="0.45">
      <c r="A140" s="4" t="s">
        <v>149</v>
      </c>
      <c r="B140" s="4" t="s">
        <v>435</v>
      </c>
      <c r="C140" s="10" t="s">
        <v>228</v>
      </c>
      <c r="D140" s="10" t="s">
        <v>8</v>
      </c>
      <c r="E140">
        <v>29.8</v>
      </c>
    </row>
    <row r="141" spans="1:5" x14ac:dyDescent="0.45">
      <c r="A141" s="4" t="s">
        <v>149</v>
      </c>
      <c r="B141" s="4" t="s">
        <v>435</v>
      </c>
      <c r="C141" s="10" t="s">
        <v>229</v>
      </c>
      <c r="D141" s="10" t="s">
        <v>8</v>
      </c>
      <c r="E141">
        <v>29.8</v>
      </c>
    </row>
    <row r="142" spans="1:5" x14ac:dyDescent="0.45">
      <c r="A142" s="4" t="s">
        <v>149</v>
      </c>
      <c r="B142" s="4" t="s">
        <v>435</v>
      </c>
      <c r="C142" s="10" t="s">
        <v>230</v>
      </c>
      <c r="D142" s="10" t="s">
        <v>8</v>
      </c>
      <c r="E142">
        <v>29.8</v>
      </c>
    </row>
    <row r="143" spans="1:5" x14ac:dyDescent="0.45">
      <c r="A143" s="4" t="s">
        <v>149</v>
      </c>
      <c r="B143" s="4" t="s">
        <v>435</v>
      </c>
      <c r="C143" s="10" t="s">
        <v>231</v>
      </c>
      <c r="D143" s="10" t="s">
        <v>8</v>
      </c>
      <c r="E143">
        <v>29.8</v>
      </c>
    </row>
    <row r="144" spans="1:5" x14ac:dyDescent="0.45">
      <c r="A144" s="4" t="s">
        <v>149</v>
      </c>
      <c r="B144" s="4" t="s">
        <v>435</v>
      </c>
      <c r="C144" s="10" t="s">
        <v>232</v>
      </c>
      <c r="D144" s="10" t="s">
        <v>8</v>
      </c>
      <c r="E144">
        <v>29.8</v>
      </c>
    </row>
    <row r="145" spans="1:5" x14ac:dyDescent="0.45">
      <c r="A145" s="4" t="s">
        <v>149</v>
      </c>
      <c r="B145" s="4" t="s">
        <v>435</v>
      </c>
      <c r="C145" s="10" t="s">
        <v>233</v>
      </c>
      <c r="D145" s="10" t="s">
        <v>8</v>
      </c>
      <c r="E145">
        <v>29.8</v>
      </c>
    </row>
    <row r="146" spans="1:5" x14ac:dyDescent="0.45">
      <c r="A146" s="4" t="s">
        <v>149</v>
      </c>
      <c r="B146" s="4" t="s">
        <v>435</v>
      </c>
      <c r="C146" s="10" t="s">
        <v>234</v>
      </c>
      <c r="D146" s="10" t="s">
        <v>8</v>
      </c>
      <c r="E146">
        <v>29.8</v>
      </c>
    </row>
    <row r="147" spans="1:5" x14ac:dyDescent="0.45">
      <c r="A147" s="4" t="s">
        <v>149</v>
      </c>
      <c r="B147" s="4" t="s">
        <v>435</v>
      </c>
      <c r="C147" s="10" t="s">
        <v>225</v>
      </c>
      <c r="D147" s="10" t="s">
        <v>8</v>
      </c>
      <c r="E147">
        <v>29.8</v>
      </c>
    </row>
    <row r="148" spans="1:5" x14ac:dyDescent="0.45">
      <c r="A148" s="4" t="s">
        <v>149</v>
      </c>
      <c r="B148" s="4" t="s">
        <v>435</v>
      </c>
      <c r="C148" s="10" t="s">
        <v>235</v>
      </c>
      <c r="D148" s="10" t="s">
        <v>8</v>
      </c>
      <c r="E148">
        <v>29.8</v>
      </c>
    </row>
    <row r="149" spans="1:5" x14ac:dyDescent="0.45">
      <c r="A149" s="4" t="s">
        <v>149</v>
      </c>
      <c r="B149" s="4" t="s">
        <v>435</v>
      </c>
      <c r="C149" s="10" t="s">
        <v>10</v>
      </c>
      <c r="D149" s="10" t="s">
        <v>8</v>
      </c>
      <c r="E149">
        <v>273</v>
      </c>
    </row>
    <row r="150" spans="1:5" x14ac:dyDescent="0.45">
      <c r="A150" s="4" t="s">
        <v>149</v>
      </c>
      <c r="B150" s="4" t="s">
        <v>435</v>
      </c>
      <c r="C150" s="10" t="s">
        <v>309</v>
      </c>
      <c r="D150" s="10" t="s">
        <v>8</v>
      </c>
      <c r="E150">
        <v>273</v>
      </c>
    </row>
    <row r="151" spans="1:5" x14ac:dyDescent="0.45">
      <c r="A151" s="4" t="s">
        <v>149</v>
      </c>
      <c r="B151" s="4" t="s">
        <v>435</v>
      </c>
      <c r="C151" s="10" t="s">
        <v>404</v>
      </c>
      <c r="D151" s="10" t="s">
        <v>8</v>
      </c>
      <c r="E151">
        <v>25200</v>
      </c>
    </row>
    <row r="152" spans="1:5" x14ac:dyDescent="0.45">
      <c r="A152" s="4" t="s">
        <v>149</v>
      </c>
      <c r="B152" s="4" t="s">
        <v>435</v>
      </c>
      <c r="C152" s="10" t="s">
        <v>294</v>
      </c>
      <c r="D152" s="10" t="s">
        <v>8</v>
      </c>
      <c r="E152">
        <v>1</v>
      </c>
    </row>
    <row r="153" spans="1:5" x14ac:dyDescent="0.45">
      <c r="A153" s="4" t="s">
        <v>149</v>
      </c>
      <c r="B153" s="4" t="s">
        <v>435</v>
      </c>
      <c r="C153" s="10" t="s">
        <v>388</v>
      </c>
      <c r="D153" s="10" t="s">
        <v>8</v>
      </c>
      <c r="E153">
        <v>1</v>
      </c>
    </row>
    <row r="154" spans="1:5" x14ac:dyDescent="0.45">
      <c r="A154" s="14" t="s">
        <v>149</v>
      </c>
      <c r="B154" s="14" t="s">
        <v>437</v>
      </c>
      <c r="C154" s="10" t="s">
        <v>256</v>
      </c>
      <c r="D154" s="10" t="s">
        <v>8</v>
      </c>
      <c r="E154">
        <f t="shared" ref="E154:E164" si="0">1*0.27</f>
        <v>0.27</v>
      </c>
    </row>
    <row r="155" spans="1:5" x14ac:dyDescent="0.45">
      <c r="A155" s="14" t="s">
        <v>149</v>
      </c>
      <c r="B155" s="14" t="s">
        <v>437</v>
      </c>
      <c r="C155" s="10" t="s">
        <v>259</v>
      </c>
      <c r="D155" s="10" t="s">
        <v>8</v>
      </c>
      <c r="E155">
        <f t="shared" si="0"/>
        <v>0.27</v>
      </c>
    </row>
    <row r="156" spans="1:5" x14ac:dyDescent="0.45">
      <c r="A156" s="14" t="s">
        <v>149</v>
      </c>
      <c r="B156" s="14" t="s">
        <v>437</v>
      </c>
      <c r="C156" s="10" t="s">
        <v>257</v>
      </c>
      <c r="D156" s="10" t="s">
        <v>8</v>
      </c>
      <c r="E156">
        <f t="shared" si="0"/>
        <v>0.27</v>
      </c>
    </row>
    <row r="157" spans="1:5" x14ac:dyDescent="0.45">
      <c r="A157" s="14" t="s">
        <v>149</v>
      </c>
      <c r="B157" s="14" t="s">
        <v>437</v>
      </c>
      <c r="C157" s="10" t="s">
        <v>258</v>
      </c>
      <c r="D157" s="10" t="s">
        <v>8</v>
      </c>
      <c r="E157">
        <f t="shared" si="0"/>
        <v>0.27</v>
      </c>
    </row>
    <row r="158" spans="1:5" x14ac:dyDescent="0.45">
      <c r="A158" s="14" t="s">
        <v>149</v>
      </c>
      <c r="B158" s="14" t="s">
        <v>437</v>
      </c>
      <c r="C158" s="10" t="s">
        <v>255</v>
      </c>
      <c r="D158" s="10" t="s">
        <v>8</v>
      </c>
      <c r="E158">
        <f t="shared" si="0"/>
        <v>0.27</v>
      </c>
    </row>
    <row r="159" spans="1:5" x14ac:dyDescent="0.45">
      <c r="A159" s="14" t="s">
        <v>149</v>
      </c>
      <c r="B159" s="14" t="s">
        <v>437</v>
      </c>
      <c r="C159" s="10" t="s">
        <v>256</v>
      </c>
      <c r="D159" s="10" t="s">
        <v>8</v>
      </c>
      <c r="E159">
        <f t="shared" si="0"/>
        <v>0.27</v>
      </c>
    </row>
    <row r="160" spans="1:5" x14ac:dyDescent="0.45">
      <c r="A160" s="14" t="s">
        <v>149</v>
      </c>
      <c r="B160" s="14" t="s">
        <v>437</v>
      </c>
      <c r="C160" s="10" t="s">
        <v>259</v>
      </c>
      <c r="D160" s="10" t="s">
        <v>8</v>
      </c>
      <c r="E160">
        <f t="shared" si="0"/>
        <v>0.27</v>
      </c>
    </row>
    <row r="161" spans="1:5" x14ac:dyDescent="0.45">
      <c r="A161" s="14" t="s">
        <v>149</v>
      </c>
      <c r="B161" s="14" t="s">
        <v>437</v>
      </c>
      <c r="C161" s="10" t="s">
        <v>257</v>
      </c>
      <c r="D161" s="10" t="s">
        <v>8</v>
      </c>
      <c r="E161">
        <f t="shared" si="0"/>
        <v>0.27</v>
      </c>
    </row>
    <row r="162" spans="1:5" x14ac:dyDescent="0.45">
      <c r="A162" s="14" t="s">
        <v>149</v>
      </c>
      <c r="B162" s="14" t="s">
        <v>437</v>
      </c>
      <c r="C162" s="10" t="s">
        <v>258</v>
      </c>
      <c r="D162" s="10" t="s">
        <v>8</v>
      </c>
      <c r="E162">
        <f t="shared" si="0"/>
        <v>0.27</v>
      </c>
    </row>
    <row r="163" spans="1:5" x14ac:dyDescent="0.45">
      <c r="A163" s="14" t="s">
        <v>149</v>
      </c>
      <c r="B163" s="14" t="s">
        <v>437</v>
      </c>
      <c r="C163" s="10" t="s">
        <v>255</v>
      </c>
      <c r="D163" s="10" t="s">
        <v>8</v>
      </c>
      <c r="E163">
        <f t="shared" si="0"/>
        <v>0.27</v>
      </c>
    </row>
    <row r="164" spans="1:5" x14ac:dyDescent="0.45">
      <c r="A164" s="14" t="s">
        <v>149</v>
      </c>
      <c r="B164" s="14" t="s">
        <v>437</v>
      </c>
      <c r="C164" t="s">
        <v>436</v>
      </c>
      <c r="D164" s="10" t="s">
        <v>8</v>
      </c>
      <c r="E164">
        <f t="shared" si="0"/>
        <v>0.27</v>
      </c>
    </row>
    <row r="165" spans="1:5" x14ac:dyDescent="0.45">
      <c r="A165" s="14" t="s">
        <v>149</v>
      </c>
      <c r="B165" s="14" t="s">
        <v>437</v>
      </c>
      <c r="C165" s="10" t="s">
        <v>226</v>
      </c>
      <c r="D165" s="10" t="s">
        <v>8</v>
      </c>
      <c r="E165">
        <f t="shared" ref="E165:E175" si="1">29.8*0.27</f>
        <v>8.0460000000000012</v>
      </c>
    </row>
    <row r="166" spans="1:5" x14ac:dyDescent="0.45">
      <c r="A166" s="14" t="s">
        <v>149</v>
      </c>
      <c r="B166" s="14" t="s">
        <v>437</v>
      </c>
      <c r="C166" s="10" t="s">
        <v>227</v>
      </c>
      <c r="D166" s="10" t="s">
        <v>8</v>
      </c>
      <c r="E166">
        <f t="shared" si="1"/>
        <v>8.0460000000000012</v>
      </c>
    </row>
    <row r="167" spans="1:5" x14ac:dyDescent="0.45">
      <c r="A167" s="14" t="s">
        <v>149</v>
      </c>
      <c r="B167" s="14" t="s">
        <v>437</v>
      </c>
      <c r="C167" s="10" t="s">
        <v>228</v>
      </c>
      <c r="D167" s="10" t="s">
        <v>8</v>
      </c>
      <c r="E167">
        <f t="shared" si="1"/>
        <v>8.0460000000000012</v>
      </c>
    </row>
    <row r="168" spans="1:5" x14ac:dyDescent="0.45">
      <c r="A168" s="14" t="s">
        <v>149</v>
      </c>
      <c r="B168" s="14" t="s">
        <v>437</v>
      </c>
      <c r="C168" s="10" t="s">
        <v>229</v>
      </c>
      <c r="D168" s="10" t="s">
        <v>8</v>
      </c>
      <c r="E168">
        <f t="shared" si="1"/>
        <v>8.0460000000000012</v>
      </c>
    </row>
    <row r="169" spans="1:5" x14ac:dyDescent="0.45">
      <c r="A169" s="14" t="s">
        <v>149</v>
      </c>
      <c r="B169" s="14" t="s">
        <v>437</v>
      </c>
      <c r="C169" s="10" t="s">
        <v>230</v>
      </c>
      <c r="D169" s="10" t="s">
        <v>8</v>
      </c>
      <c r="E169">
        <f t="shared" si="1"/>
        <v>8.0460000000000012</v>
      </c>
    </row>
    <row r="170" spans="1:5" x14ac:dyDescent="0.45">
      <c r="A170" s="14" t="s">
        <v>149</v>
      </c>
      <c r="B170" s="14" t="s">
        <v>437</v>
      </c>
      <c r="C170" s="10" t="s">
        <v>231</v>
      </c>
      <c r="D170" s="10" t="s">
        <v>8</v>
      </c>
      <c r="E170">
        <f t="shared" si="1"/>
        <v>8.0460000000000012</v>
      </c>
    </row>
    <row r="171" spans="1:5" x14ac:dyDescent="0.45">
      <c r="A171" s="14" t="s">
        <v>149</v>
      </c>
      <c r="B171" s="14" t="s">
        <v>437</v>
      </c>
      <c r="C171" s="10" t="s">
        <v>232</v>
      </c>
      <c r="D171" s="10" t="s">
        <v>8</v>
      </c>
      <c r="E171">
        <f t="shared" si="1"/>
        <v>8.0460000000000012</v>
      </c>
    </row>
    <row r="172" spans="1:5" x14ac:dyDescent="0.45">
      <c r="A172" s="14" t="s">
        <v>149</v>
      </c>
      <c r="B172" s="14" t="s">
        <v>437</v>
      </c>
      <c r="C172" s="10" t="s">
        <v>233</v>
      </c>
      <c r="D172" s="10" t="s">
        <v>8</v>
      </c>
      <c r="E172">
        <f t="shared" si="1"/>
        <v>8.0460000000000012</v>
      </c>
    </row>
    <row r="173" spans="1:5" x14ac:dyDescent="0.45">
      <c r="A173" s="14" t="s">
        <v>149</v>
      </c>
      <c r="B173" s="14" t="s">
        <v>437</v>
      </c>
      <c r="C173" s="10" t="s">
        <v>234</v>
      </c>
      <c r="D173" s="10" t="s">
        <v>8</v>
      </c>
      <c r="E173">
        <f t="shared" si="1"/>
        <v>8.0460000000000012</v>
      </c>
    </row>
    <row r="174" spans="1:5" x14ac:dyDescent="0.45">
      <c r="A174" s="14" t="s">
        <v>149</v>
      </c>
      <c r="B174" s="14" t="s">
        <v>437</v>
      </c>
      <c r="C174" s="10" t="s">
        <v>225</v>
      </c>
      <c r="D174" s="10" t="s">
        <v>8</v>
      </c>
      <c r="E174">
        <f t="shared" si="1"/>
        <v>8.0460000000000012</v>
      </c>
    </row>
    <row r="175" spans="1:5" x14ac:dyDescent="0.45">
      <c r="A175" s="14" t="s">
        <v>149</v>
      </c>
      <c r="B175" s="14" t="s">
        <v>437</v>
      </c>
      <c r="C175" s="10" t="s">
        <v>235</v>
      </c>
      <c r="D175" s="10" t="s">
        <v>8</v>
      </c>
      <c r="E175">
        <f t="shared" si="1"/>
        <v>8.0460000000000012</v>
      </c>
    </row>
    <row r="176" spans="1:5" x14ac:dyDescent="0.45">
      <c r="A176" s="14" t="s">
        <v>149</v>
      </c>
      <c r="B176" s="14" t="s">
        <v>437</v>
      </c>
      <c r="C176" s="10" t="s">
        <v>10</v>
      </c>
      <c r="D176" s="10" t="s">
        <v>8</v>
      </c>
      <c r="E176">
        <f>273*0.27</f>
        <v>73.710000000000008</v>
      </c>
    </row>
    <row r="177" spans="1:5" x14ac:dyDescent="0.45">
      <c r="A177" s="14" t="s">
        <v>149</v>
      </c>
      <c r="B177" s="14" t="s">
        <v>437</v>
      </c>
      <c r="C177" s="10" t="s">
        <v>309</v>
      </c>
      <c r="D177" s="10" t="s">
        <v>8</v>
      </c>
      <c r="E177">
        <f>273*0.27</f>
        <v>73.710000000000008</v>
      </c>
    </row>
    <row r="178" spans="1:5" x14ac:dyDescent="0.45">
      <c r="A178" s="14" t="s">
        <v>149</v>
      </c>
      <c r="B178" s="14" t="s">
        <v>437</v>
      </c>
      <c r="C178" s="10" t="s">
        <v>404</v>
      </c>
      <c r="D178" s="10" t="s">
        <v>8</v>
      </c>
      <c r="E178">
        <f>25200*0.27</f>
        <v>6804</v>
      </c>
    </row>
    <row r="179" spans="1:5" x14ac:dyDescent="0.45">
      <c r="A179" s="14" t="s">
        <v>149</v>
      </c>
      <c r="B179" s="14" t="s">
        <v>437</v>
      </c>
      <c r="C179" s="10" t="s">
        <v>294</v>
      </c>
      <c r="D179" s="10" t="s">
        <v>8</v>
      </c>
      <c r="E179">
        <f>1*0.27</f>
        <v>0.27</v>
      </c>
    </row>
    <row r="180" spans="1:5" x14ac:dyDescent="0.45">
      <c r="A180" s="14" t="s">
        <v>149</v>
      </c>
      <c r="B180" s="14" t="s">
        <v>437</v>
      </c>
      <c r="C180" s="10" t="s">
        <v>388</v>
      </c>
      <c r="D180" s="10" t="s">
        <v>8</v>
      </c>
      <c r="E180">
        <f>1*0.27</f>
        <v>0.27</v>
      </c>
    </row>
    <row r="181" spans="1:5" x14ac:dyDescent="0.45">
      <c r="A181" s="4" t="s">
        <v>121</v>
      </c>
      <c r="B181" s="14" t="s">
        <v>437</v>
      </c>
      <c r="C181" t="s">
        <v>157</v>
      </c>
      <c r="D181" s="10" t="s">
        <v>124</v>
      </c>
      <c r="E181">
        <f>(1*0.95)*1000000</f>
        <v>950000</v>
      </c>
    </row>
    <row r="182" spans="1:5" x14ac:dyDescent="0.45">
      <c r="A182" s="4" t="s">
        <v>121</v>
      </c>
      <c r="B182" s="14" t="s">
        <v>437</v>
      </c>
      <c r="C182" t="s">
        <v>123</v>
      </c>
      <c r="D182" s="10" t="s">
        <v>124</v>
      </c>
      <c r="E182">
        <f t="shared" ref="E182:E202" si="2">(1*0.88)*1000000</f>
        <v>880000</v>
      </c>
    </row>
    <row r="183" spans="1:5" x14ac:dyDescent="0.45">
      <c r="A183" s="4" t="s">
        <v>121</v>
      </c>
      <c r="B183" s="14" t="s">
        <v>437</v>
      </c>
      <c r="C183" t="s">
        <v>125</v>
      </c>
      <c r="D183" s="10" t="s">
        <v>124</v>
      </c>
      <c r="E183">
        <f t="shared" si="2"/>
        <v>880000</v>
      </c>
    </row>
    <row r="184" spans="1:5" x14ac:dyDescent="0.45">
      <c r="A184" s="4" t="s">
        <v>121</v>
      </c>
      <c r="B184" s="14" t="s">
        <v>437</v>
      </c>
      <c r="C184" t="s">
        <v>126</v>
      </c>
      <c r="D184" s="10" t="s">
        <v>124</v>
      </c>
      <c r="E184">
        <f t="shared" si="2"/>
        <v>880000</v>
      </c>
    </row>
    <row r="185" spans="1:5" x14ac:dyDescent="0.45">
      <c r="A185" s="4" t="s">
        <v>121</v>
      </c>
      <c r="B185" s="14" t="s">
        <v>437</v>
      </c>
      <c r="C185" t="s">
        <v>127</v>
      </c>
      <c r="D185" s="10" t="s">
        <v>124</v>
      </c>
      <c r="E185">
        <f t="shared" si="2"/>
        <v>880000</v>
      </c>
    </row>
    <row r="186" spans="1:5" x14ac:dyDescent="0.45">
      <c r="A186" s="4" t="s">
        <v>121</v>
      </c>
      <c r="B186" s="14" t="s">
        <v>437</v>
      </c>
      <c r="C186" t="s">
        <v>128</v>
      </c>
      <c r="D186" s="10" t="s">
        <v>124</v>
      </c>
      <c r="E186">
        <f t="shared" si="2"/>
        <v>880000</v>
      </c>
    </row>
    <row r="187" spans="1:5" x14ac:dyDescent="0.45">
      <c r="A187" s="4" t="s">
        <v>121</v>
      </c>
      <c r="B187" s="14" t="s">
        <v>437</v>
      </c>
      <c r="C187" t="s">
        <v>129</v>
      </c>
      <c r="D187" s="10" t="s">
        <v>124</v>
      </c>
      <c r="E187">
        <f t="shared" si="2"/>
        <v>880000</v>
      </c>
    </row>
    <row r="188" spans="1:5" x14ac:dyDescent="0.45">
      <c r="A188" s="4" t="s">
        <v>121</v>
      </c>
      <c r="B188" s="14" t="s">
        <v>437</v>
      </c>
      <c r="C188" t="s">
        <v>130</v>
      </c>
      <c r="D188" s="10" t="s">
        <v>124</v>
      </c>
      <c r="E188">
        <f t="shared" si="2"/>
        <v>880000</v>
      </c>
    </row>
    <row r="189" spans="1:5" x14ac:dyDescent="0.45">
      <c r="A189" s="4" t="s">
        <v>121</v>
      </c>
      <c r="B189" s="14" t="s">
        <v>437</v>
      </c>
      <c r="C189" t="s">
        <v>131</v>
      </c>
      <c r="D189" s="10" t="s">
        <v>124</v>
      </c>
      <c r="E189">
        <f t="shared" si="2"/>
        <v>880000</v>
      </c>
    </row>
    <row r="190" spans="1:5" x14ac:dyDescent="0.45">
      <c r="A190" s="4" t="s">
        <v>121</v>
      </c>
      <c r="B190" s="14" t="s">
        <v>437</v>
      </c>
      <c r="C190" t="s">
        <v>132</v>
      </c>
      <c r="D190" s="10" t="s">
        <v>124</v>
      </c>
      <c r="E190">
        <f t="shared" si="2"/>
        <v>880000</v>
      </c>
    </row>
    <row r="191" spans="1:5" x14ac:dyDescent="0.45">
      <c r="A191" s="4" t="s">
        <v>121</v>
      </c>
      <c r="B191" s="14" t="s">
        <v>437</v>
      </c>
      <c r="C191" t="s">
        <v>133</v>
      </c>
      <c r="D191" s="10" t="s">
        <v>124</v>
      </c>
      <c r="E191">
        <f t="shared" si="2"/>
        <v>880000</v>
      </c>
    </row>
    <row r="192" spans="1:5" x14ac:dyDescent="0.45">
      <c r="A192" s="4" t="s">
        <v>121</v>
      </c>
      <c r="B192" s="14" t="s">
        <v>437</v>
      </c>
      <c r="C192" t="s">
        <v>134</v>
      </c>
      <c r="D192" s="10" t="s">
        <v>124</v>
      </c>
      <c r="E192">
        <f t="shared" si="2"/>
        <v>880000</v>
      </c>
    </row>
    <row r="193" spans="1:5" x14ac:dyDescent="0.45">
      <c r="A193" s="4" t="s">
        <v>121</v>
      </c>
      <c r="B193" s="14" t="s">
        <v>437</v>
      </c>
      <c r="C193" t="s">
        <v>135</v>
      </c>
      <c r="D193" s="10" t="s">
        <v>124</v>
      </c>
      <c r="E193">
        <f t="shared" si="2"/>
        <v>880000</v>
      </c>
    </row>
    <row r="194" spans="1:5" x14ac:dyDescent="0.45">
      <c r="A194" s="4" t="s">
        <v>121</v>
      </c>
      <c r="B194" s="14" t="s">
        <v>437</v>
      </c>
      <c r="C194" t="s">
        <v>136</v>
      </c>
      <c r="D194" s="10" t="s">
        <v>124</v>
      </c>
      <c r="E194">
        <f t="shared" si="2"/>
        <v>880000</v>
      </c>
    </row>
    <row r="195" spans="1:5" x14ac:dyDescent="0.45">
      <c r="A195" s="4" t="s">
        <v>121</v>
      </c>
      <c r="B195" s="14" t="s">
        <v>437</v>
      </c>
      <c r="C195" t="s">
        <v>137</v>
      </c>
      <c r="D195" s="10" t="s">
        <v>124</v>
      </c>
      <c r="E195">
        <f t="shared" si="2"/>
        <v>880000</v>
      </c>
    </row>
    <row r="196" spans="1:5" x14ac:dyDescent="0.45">
      <c r="A196" s="4" t="s">
        <v>121</v>
      </c>
      <c r="B196" s="14" t="s">
        <v>437</v>
      </c>
      <c r="C196" t="s">
        <v>138</v>
      </c>
      <c r="D196" s="10" t="s">
        <v>124</v>
      </c>
      <c r="E196">
        <f t="shared" si="2"/>
        <v>880000</v>
      </c>
    </row>
    <row r="197" spans="1:5" x14ac:dyDescent="0.45">
      <c r="A197" s="4" t="s">
        <v>121</v>
      </c>
      <c r="B197" s="14" t="s">
        <v>437</v>
      </c>
      <c r="C197" t="s">
        <v>139</v>
      </c>
      <c r="D197" s="10" t="s">
        <v>124</v>
      </c>
      <c r="E197">
        <f t="shared" si="2"/>
        <v>880000</v>
      </c>
    </row>
    <row r="198" spans="1:5" x14ac:dyDescent="0.45">
      <c r="A198" s="4" t="s">
        <v>121</v>
      </c>
      <c r="B198" s="14" t="s">
        <v>437</v>
      </c>
      <c r="C198" t="s">
        <v>140</v>
      </c>
      <c r="D198" s="10" t="s">
        <v>124</v>
      </c>
      <c r="E198">
        <f t="shared" si="2"/>
        <v>880000</v>
      </c>
    </row>
    <row r="199" spans="1:5" x14ac:dyDescent="0.45">
      <c r="A199" s="4" t="s">
        <v>121</v>
      </c>
      <c r="B199" s="14" t="s">
        <v>437</v>
      </c>
      <c r="C199" t="s">
        <v>141</v>
      </c>
      <c r="D199" s="10" t="s">
        <v>124</v>
      </c>
      <c r="E199">
        <f t="shared" si="2"/>
        <v>880000</v>
      </c>
    </row>
    <row r="200" spans="1:5" x14ac:dyDescent="0.45">
      <c r="A200" s="4" t="s">
        <v>121</v>
      </c>
      <c r="B200" s="14" t="s">
        <v>437</v>
      </c>
      <c r="C200" t="s">
        <v>142</v>
      </c>
      <c r="D200" s="10" t="s">
        <v>124</v>
      </c>
      <c r="E200">
        <f t="shared" si="2"/>
        <v>880000</v>
      </c>
    </row>
    <row r="201" spans="1:5" x14ac:dyDescent="0.45">
      <c r="A201" s="4" t="s">
        <v>121</v>
      </c>
      <c r="B201" s="14" t="s">
        <v>437</v>
      </c>
      <c r="C201" t="s">
        <v>143</v>
      </c>
      <c r="D201" s="10" t="s">
        <v>124</v>
      </c>
      <c r="E201">
        <f t="shared" si="2"/>
        <v>880000</v>
      </c>
    </row>
    <row r="202" spans="1:5" x14ac:dyDescent="0.45">
      <c r="A202" s="4" t="s">
        <v>121</v>
      </c>
      <c r="B202" s="14" t="s">
        <v>437</v>
      </c>
      <c r="C202" t="s">
        <v>144</v>
      </c>
      <c r="D202" s="10" t="s">
        <v>124</v>
      </c>
      <c r="E202">
        <f t="shared" si="2"/>
        <v>880000</v>
      </c>
    </row>
    <row r="203" spans="1:5" x14ac:dyDescent="0.45">
      <c r="A203" s="4" t="s">
        <v>121</v>
      </c>
      <c r="B203" s="14" t="s">
        <v>437</v>
      </c>
      <c r="C203" t="s">
        <v>158</v>
      </c>
      <c r="D203" s="10" t="s">
        <v>124</v>
      </c>
      <c r="E203">
        <f>(1*0.17)*1000000</f>
        <v>170000</v>
      </c>
    </row>
    <row r="204" spans="1:5" x14ac:dyDescent="0.45">
      <c r="A204" s="4" t="s">
        <v>121</v>
      </c>
      <c r="B204" s="14" t="s">
        <v>437</v>
      </c>
      <c r="C204" t="s">
        <v>159</v>
      </c>
      <c r="D204" s="10" t="s">
        <v>124</v>
      </c>
      <c r="E204">
        <f>(1*0.4)*1000000</f>
        <v>400000</v>
      </c>
    </row>
    <row r="205" spans="1:5" x14ac:dyDescent="0.45">
      <c r="A205" s="4" t="s">
        <v>121</v>
      </c>
      <c r="B205" s="14" t="s">
        <v>437</v>
      </c>
      <c r="C205" t="s">
        <v>160</v>
      </c>
      <c r="D205" s="10" t="s">
        <v>124</v>
      </c>
      <c r="E205">
        <f>(1*0.4)*1000000</f>
        <v>400000</v>
      </c>
    </row>
    <row r="206" spans="1:5" x14ac:dyDescent="0.45">
      <c r="A206" s="4" t="s">
        <v>121</v>
      </c>
      <c r="B206" s="14" t="s">
        <v>437</v>
      </c>
      <c r="C206" t="s">
        <v>161</v>
      </c>
      <c r="D206" s="10" t="s">
        <v>124</v>
      </c>
      <c r="E206">
        <f>(1*0.4)*1000000</f>
        <v>400000</v>
      </c>
    </row>
  </sheetData>
  <pageMargins left="0.7" right="0.7" top="0.75" bottom="0.75" header="0.3" footer="0.3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2"/>
  <sheetViews>
    <sheetView topLeftCell="A97" workbookViewId="0">
      <selection activeCell="C14" sqref="C14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47.86328125" style="6" customWidth="1"/>
    <col min="4" max="4" width="9" style="6" customWidth="1"/>
    <col min="5" max="5" width="13.19921875" style="6" customWidth="1"/>
  </cols>
  <sheetData>
    <row r="1" spans="1:5" ht="38.200000000000003" customHeight="1" x14ac:dyDescent="0.45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5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5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5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5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5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5">
      <c r="A7" s="4" t="s">
        <v>15</v>
      </c>
      <c r="B7" s="4" t="s">
        <v>433</v>
      </c>
      <c r="C7" s="10" t="s">
        <v>438</v>
      </c>
      <c r="D7" s="10" t="s">
        <v>18</v>
      </c>
      <c r="E7">
        <v>1</v>
      </c>
    </row>
    <row r="8" spans="1:5" x14ac:dyDescent="0.45">
      <c r="A8" s="4" t="s">
        <v>15</v>
      </c>
      <c r="B8" s="4" t="s">
        <v>433</v>
      </c>
      <c r="C8" s="10" t="s">
        <v>439</v>
      </c>
      <c r="D8" s="10" t="s">
        <v>18</v>
      </c>
      <c r="E8">
        <v>1</v>
      </c>
    </row>
    <row r="9" spans="1:5" x14ac:dyDescent="0.45">
      <c r="A9" s="4" t="s">
        <v>15</v>
      </c>
      <c r="B9" s="4" t="s">
        <v>433</v>
      </c>
      <c r="C9" s="10" t="s">
        <v>440</v>
      </c>
      <c r="D9" s="10" t="s">
        <v>18</v>
      </c>
      <c r="E9">
        <v>1</v>
      </c>
    </row>
    <row r="10" spans="1:5" x14ac:dyDescent="0.45">
      <c r="A10" s="4" t="s">
        <v>15</v>
      </c>
      <c r="B10" s="4" t="s">
        <v>433</v>
      </c>
      <c r="C10" s="10" t="s">
        <v>441</v>
      </c>
      <c r="D10" s="10" t="s">
        <v>18</v>
      </c>
      <c r="E10">
        <v>1</v>
      </c>
    </row>
    <row r="11" spans="1:5" x14ac:dyDescent="0.45">
      <c r="A11" s="4" t="s">
        <v>15</v>
      </c>
      <c r="B11" s="4" t="s">
        <v>433</v>
      </c>
      <c r="C11" s="10" t="s">
        <v>442</v>
      </c>
      <c r="D11" s="10" t="s">
        <v>18</v>
      </c>
      <c r="E11">
        <v>1</v>
      </c>
    </row>
    <row r="12" spans="1:5" x14ac:dyDescent="0.45">
      <c r="A12" s="4" t="s">
        <v>121</v>
      </c>
      <c r="B12" s="4" t="s">
        <v>434</v>
      </c>
      <c r="C12" s="10" t="s">
        <v>443</v>
      </c>
      <c r="D12" s="10" t="s">
        <v>124</v>
      </c>
      <c r="E12">
        <v>1</v>
      </c>
    </row>
    <row r="13" spans="1:5" x14ac:dyDescent="0.45">
      <c r="A13" s="4" t="s">
        <v>121</v>
      </c>
      <c r="B13" s="4" t="s">
        <v>434</v>
      </c>
      <c r="C13" s="10" t="s">
        <v>444</v>
      </c>
      <c r="D13" s="10" t="s">
        <v>124</v>
      </c>
      <c r="E13">
        <v>1</v>
      </c>
    </row>
    <row r="14" spans="1:5" x14ac:dyDescent="0.45">
      <c r="A14" s="4" t="s">
        <v>121</v>
      </c>
      <c r="B14" s="4" t="s">
        <v>434</v>
      </c>
      <c r="C14" s="10" t="s">
        <v>445</v>
      </c>
      <c r="D14" s="10" t="s">
        <v>124</v>
      </c>
      <c r="E14">
        <v>1</v>
      </c>
    </row>
    <row r="15" spans="1:5" x14ac:dyDescent="0.45">
      <c r="A15" s="4" t="s">
        <v>121</v>
      </c>
      <c r="B15" s="4" t="s">
        <v>434</v>
      </c>
      <c r="C15" s="10" t="s">
        <v>446</v>
      </c>
      <c r="D15" s="10" t="s">
        <v>124</v>
      </c>
      <c r="E15">
        <v>1</v>
      </c>
    </row>
    <row r="16" spans="1:5" x14ac:dyDescent="0.45">
      <c r="A16" s="4" t="s">
        <v>121</v>
      </c>
      <c r="B16" s="4" t="s">
        <v>434</v>
      </c>
      <c r="C16" s="10" t="s">
        <v>447</v>
      </c>
      <c r="D16" s="10" t="s">
        <v>124</v>
      </c>
      <c r="E16">
        <v>1</v>
      </c>
    </row>
    <row r="17" spans="1:5" x14ac:dyDescent="0.45">
      <c r="A17" s="4" t="s">
        <v>121</v>
      </c>
      <c r="B17" s="4" t="s">
        <v>434</v>
      </c>
      <c r="C17" s="10" t="s">
        <v>448</v>
      </c>
      <c r="D17" s="10" t="s">
        <v>124</v>
      </c>
      <c r="E17">
        <v>1</v>
      </c>
    </row>
    <row r="18" spans="1:5" x14ac:dyDescent="0.45">
      <c r="A18" s="4" t="s">
        <v>121</v>
      </c>
      <c r="B18" s="4" t="s">
        <v>434</v>
      </c>
      <c r="C18" s="10" t="s">
        <v>449</v>
      </c>
      <c r="D18" s="10" t="s">
        <v>124</v>
      </c>
      <c r="E18">
        <v>1</v>
      </c>
    </row>
    <row r="19" spans="1:5" x14ac:dyDescent="0.45">
      <c r="A19" s="4" t="s">
        <v>121</v>
      </c>
      <c r="B19" s="4" t="s">
        <v>434</v>
      </c>
      <c r="C19" s="10" t="s">
        <v>450</v>
      </c>
      <c r="D19" s="10" t="s">
        <v>124</v>
      </c>
      <c r="E19">
        <v>1</v>
      </c>
    </row>
    <row r="20" spans="1:5" x14ac:dyDescent="0.45">
      <c r="A20" s="4" t="s">
        <v>121</v>
      </c>
      <c r="B20" s="4" t="s">
        <v>434</v>
      </c>
      <c r="C20" s="10" t="s">
        <v>451</v>
      </c>
      <c r="D20" s="10" t="s">
        <v>124</v>
      </c>
      <c r="E20">
        <v>1</v>
      </c>
    </row>
    <row r="21" spans="1:5" x14ac:dyDescent="0.45">
      <c r="A21" s="4" t="s">
        <v>121</v>
      </c>
      <c r="B21" s="4" t="s">
        <v>434</v>
      </c>
      <c r="C21" s="10" t="s">
        <v>452</v>
      </c>
      <c r="D21" s="10" t="s">
        <v>124</v>
      </c>
      <c r="E21">
        <v>1</v>
      </c>
    </row>
    <row r="22" spans="1:5" x14ac:dyDescent="0.45">
      <c r="A22" s="4" t="s">
        <v>121</v>
      </c>
      <c r="B22" s="4" t="s">
        <v>434</v>
      </c>
      <c r="C22" s="10" t="s">
        <v>453</v>
      </c>
      <c r="D22" s="10" t="s">
        <v>124</v>
      </c>
      <c r="E22">
        <v>1</v>
      </c>
    </row>
    <row r="23" spans="1:5" x14ac:dyDescent="0.45">
      <c r="A23" s="4" t="s">
        <v>121</v>
      </c>
      <c r="B23" s="4" t="s">
        <v>434</v>
      </c>
      <c r="C23" s="10" t="s">
        <v>454</v>
      </c>
      <c r="D23" s="10" t="s">
        <v>124</v>
      </c>
      <c r="E23">
        <v>1</v>
      </c>
    </row>
    <row r="24" spans="1:5" x14ac:dyDescent="0.45">
      <c r="A24" s="4" t="s">
        <v>121</v>
      </c>
      <c r="B24" s="4" t="s">
        <v>434</v>
      </c>
      <c r="C24" s="10" t="s">
        <v>455</v>
      </c>
      <c r="D24" s="10" t="s">
        <v>124</v>
      </c>
      <c r="E24">
        <v>1</v>
      </c>
    </row>
    <row r="25" spans="1:5" x14ac:dyDescent="0.45">
      <c r="A25" s="4" t="s">
        <v>121</v>
      </c>
      <c r="B25" s="4" t="s">
        <v>434</v>
      </c>
      <c r="C25" s="10" t="s">
        <v>456</v>
      </c>
      <c r="D25" s="10" t="s">
        <v>124</v>
      </c>
      <c r="E25">
        <v>1</v>
      </c>
    </row>
    <row r="26" spans="1:5" x14ac:dyDescent="0.45">
      <c r="A26" s="4" t="s">
        <v>149</v>
      </c>
      <c r="B26" s="4" t="s">
        <v>435</v>
      </c>
      <c r="C26" s="10" t="s">
        <v>256</v>
      </c>
      <c r="D26" s="10" t="s">
        <v>8</v>
      </c>
      <c r="E26">
        <v>1</v>
      </c>
    </row>
    <row r="27" spans="1:5" x14ac:dyDescent="0.45">
      <c r="A27" s="4" t="s">
        <v>149</v>
      </c>
      <c r="B27" s="4" t="s">
        <v>435</v>
      </c>
      <c r="C27" s="10" t="s">
        <v>259</v>
      </c>
      <c r="D27" s="10" t="s">
        <v>8</v>
      </c>
      <c r="E27">
        <v>1</v>
      </c>
    </row>
    <row r="28" spans="1:5" x14ac:dyDescent="0.45">
      <c r="A28" s="4" t="s">
        <v>149</v>
      </c>
      <c r="B28" s="4" t="s">
        <v>435</v>
      </c>
      <c r="C28" s="10" t="s">
        <v>257</v>
      </c>
      <c r="D28" s="10" t="s">
        <v>8</v>
      </c>
      <c r="E28">
        <v>1</v>
      </c>
    </row>
    <row r="29" spans="1:5" x14ac:dyDescent="0.45">
      <c r="A29" s="4" t="s">
        <v>149</v>
      </c>
      <c r="B29" s="4" t="s">
        <v>435</v>
      </c>
      <c r="C29" s="10" t="s">
        <v>258</v>
      </c>
      <c r="D29" s="10" t="s">
        <v>8</v>
      </c>
      <c r="E29">
        <v>1</v>
      </c>
    </row>
    <row r="30" spans="1:5" x14ac:dyDescent="0.45">
      <c r="A30" s="4" t="s">
        <v>149</v>
      </c>
      <c r="B30" s="4" t="s">
        <v>435</v>
      </c>
      <c r="C30" s="10" t="s">
        <v>255</v>
      </c>
      <c r="D30" s="10" t="s">
        <v>8</v>
      </c>
      <c r="E30">
        <v>1</v>
      </c>
    </row>
    <row r="31" spans="1:5" x14ac:dyDescent="0.45">
      <c r="A31" s="4" t="s">
        <v>149</v>
      </c>
      <c r="B31" s="4" t="s">
        <v>435</v>
      </c>
      <c r="C31" s="10" t="s">
        <v>226</v>
      </c>
      <c r="D31" s="10" t="s">
        <v>8</v>
      </c>
      <c r="E31">
        <v>29.8</v>
      </c>
    </row>
    <row r="32" spans="1:5" x14ac:dyDescent="0.45">
      <c r="A32" s="4" t="s">
        <v>149</v>
      </c>
      <c r="B32" s="4" t="s">
        <v>435</v>
      </c>
      <c r="C32" s="10" t="s">
        <v>227</v>
      </c>
      <c r="D32" s="10" t="s">
        <v>8</v>
      </c>
      <c r="E32">
        <v>29.8</v>
      </c>
    </row>
    <row r="33" spans="1:5" x14ac:dyDescent="0.45">
      <c r="A33" s="4" t="s">
        <v>149</v>
      </c>
      <c r="B33" s="4" t="s">
        <v>435</v>
      </c>
      <c r="C33" s="10" t="s">
        <v>228</v>
      </c>
      <c r="D33" s="10" t="s">
        <v>8</v>
      </c>
      <c r="E33">
        <v>29.8</v>
      </c>
    </row>
    <row r="34" spans="1:5" x14ac:dyDescent="0.45">
      <c r="A34" s="4" t="s">
        <v>149</v>
      </c>
      <c r="B34" s="4" t="s">
        <v>435</v>
      </c>
      <c r="C34" s="10" t="s">
        <v>229</v>
      </c>
      <c r="D34" s="10" t="s">
        <v>8</v>
      </c>
      <c r="E34">
        <v>29.8</v>
      </c>
    </row>
    <row r="35" spans="1:5" x14ac:dyDescent="0.45">
      <c r="A35" s="4" t="s">
        <v>149</v>
      </c>
      <c r="B35" s="4" t="s">
        <v>435</v>
      </c>
      <c r="C35" s="10" t="s">
        <v>230</v>
      </c>
      <c r="D35" s="10" t="s">
        <v>8</v>
      </c>
      <c r="E35">
        <v>29.8</v>
      </c>
    </row>
    <row r="36" spans="1:5" x14ac:dyDescent="0.45">
      <c r="A36" s="4" t="s">
        <v>149</v>
      </c>
      <c r="B36" s="4" t="s">
        <v>435</v>
      </c>
      <c r="C36" s="10" t="s">
        <v>231</v>
      </c>
      <c r="D36" s="10" t="s">
        <v>8</v>
      </c>
      <c r="E36">
        <v>29.8</v>
      </c>
    </row>
    <row r="37" spans="1:5" x14ac:dyDescent="0.45">
      <c r="A37" s="4" t="s">
        <v>149</v>
      </c>
      <c r="B37" s="4" t="s">
        <v>435</v>
      </c>
      <c r="C37" s="10" t="s">
        <v>232</v>
      </c>
      <c r="D37" s="10" t="s">
        <v>8</v>
      </c>
      <c r="E37">
        <v>29.8</v>
      </c>
    </row>
    <row r="38" spans="1:5" x14ac:dyDescent="0.45">
      <c r="A38" s="4" t="s">
        <v>149</v>
      </c>
      <c r="B38" s="4" t="s">
        <v>435</v>
      </c>
      <c r="C38" s="10" t="s">
        <v>233</v>
      </c>
      <c r="D38" s="10" t="s">
        <v>8</v>
      </c>
      <c r="E38">
        <v>29.8</v>
      </c>
    </row>
    <row r="39" spans="1:5" x14ac:dyDescent="0.45">
      <c r="A39" s="4" t="s">
        <v>149</v>
      </c>
      <c r="B39" s="4" t="s">
        <v>435</v>
      </c>
      <c r="C39" s="10" t="s">
        <v>234</v>
      </c>
      <c r="D39" s="10" t="s">
        <v>8</v>
      </c>
      <c r="E39">
        <v>29.8</v>
      </c>
    </row>
    <row r="40" spans="1:5" x14ac:dyDescent="0.45">
      <c r="A40" s="4" t="s">
        <v>149</v>
      </c>
      <c r="B40" s="4" t="s">
        <v>435</v>
      </c>
      <c r="C40" s="10" t="s">
        <v>225</v>
      </c>
      <c r="D40" s="10" t="s">
        <v>8</v>
      </c>
      <c r="E40">
        <v>29.8</v>
      </c>
    </row>
    <row r="41" spans="1:5" x14ac:dyDescent="0.45">
      <c r="A41" s="4" t="s">
        <v>149</v>
      </c>
      <c r="B41" s="4" t="s">
        <v>435</v>
      </c>
      <c r="C41" s="10" t="s">
        <v>235</v>
      </c>
      <c r="D41" s="10" t="s">
        <v>8</v>
      </c>
      <c r="E41">
        <v>29.8</v>
      </c>
    </row>
    <row r="42" spans="1:5" x14ac:dyDescent="0.45">
      <c r="A42" s="4" t="s">
        <v>149</v>
      </c>
      <c r="B42" s="4" t="s">
        <v>435</v>
      </c>
      <c r="C42" s="10" t="s">
        <v>10</v>
      </c>
      <c r="D42" s="10" t="s">
        <v>8</v>
      </c>
      <c r="E42">
        <v>273</v>
      </c>
    </row>
    <row r="43" spans="1:5" x14ac:dyDescent="0.45">
      <c r="A43" s="4" t="s">
        <v>149</v>
      </c>
      <c r="B43" s="4" t="s">
        <v>435</v>
      </c>
      <c r="C43" s="10" t="s">
        <v>309</v>
      </c>
      <c r="D43" s="10" t="s">
        <v>8</v>
      </c>
      <c r="E43">
        <v>273</v>
      </c>
    </row>
    <row r="44" spans="1:5" x14ac:dyDescent="0.45">
      <c r="A44" s="4" t="s">
        <v>149</v>
      </c>
      <c r="B44" s="4" t="s">
        <v>435</v>
      </c>
      <c r="C44" s="10" t="s">
        <v>404</v>
      </c>
      <c r="D44" s="10" t="s">
        <v>8</v>
      </c>
      <c r="E44">
        <v>25200</v>
      </c>
    </row>
    <row r="45" spans="1:5" x14ac:dyDescent="0.45">
      <c r="A45" s="4" t="s">
        <v>149</v>
      </c>
      <c r="B45" s="4" t="s">
        <v>435</v>
      </c>
      <c r="C45" s="10" t="s">
        <v>294</v>
      </c>
      <c r="D45" s="10" t="s">
        <v>8</v>
      </c>
      <c r="E45">
        <v>1</v>
      </c>
    </row>
    <row r="46" spans="1:5" x14ac:dyDescent="0.45">
      <c r="A46" s="4" t="s">
        <v>149</v>
      </c>
      <c r="B46" s="4" t="s">
        <v>435</v>
      </c>
      <c r="C46" s="10" t="s">
        <v>388</v>
      </c>
      <c r="D46" s="10" t="s">
        <v>8</v>
      </c>
      <c r="E46">
        <v>1</v>
      </c>
    </row>
    <row r="47" spans="1:5" x14ac:dyDescent="0.45">
      <c r="A47" s="14" t="s">
        <v>149</v>
      </c>
      <c r="B47" s="14" t="s">
        <v>437</v>
      </c>
      <c r="C47" s="10" t="s">
        <v>256</v>
      </c>
      <c r="D47" s="10" t="s">
        <v>8</v>
      </c>
      <c r="E47">
        <f t="shared" ref="E47:E56" si="0">1*0.27</f>
        <v>0.27</v>
      </c>
    </row>
    <row r="48" spans="1:5" x14ac:dyDescent="0.45">
      <c r="A48" s="14" t="s">
        <v>149</v>
      </c>
      <c r="B48" s="14" t="s">
        <v>437</v>
      </c>
      <c r="C48" s="10" t="s">
        <v>259</v>
      </c>
      <c r="D48" s="10" t="s">
        <v>8</v>
      </c>
      <c r="E48">
        <f t="shared" si="0"/>
        <v>0.27</v>
      </c>
    </row>
    <row r="49" spans="1:5" x14ac:dyDescent="0.45">
      <c r="A49" s="14" t="s">
        <v>149</v>
      </c>
      <c r="B49" s="14" t="s">
        <v>437</v>
      </c>
      <c r="C49" s="10" t="s">
        <v>257</v>
      </c>
      <c r="D49" s="10" t="s">
        <v>8</v>
      </c>
      <c r="E49">
        <f t="shared" si="0"/>
        <v>0.27</v>
      </c>
    </row>
    <row r="50" spans="1:5" x14ac:dyDescent="0.45">
      <c r="A50" s="14" t="s">
        <v>149</v>
      </c>
      <c r="B50" s="14" t="s">
        <v>437</v>
      </c>
      <c r="C50" s="10" t="s">
        <v>258</v>
      </c>
      <c r="D50" s="10" t="s">
        <v>8</v>
      </c>
      <c r="E50">
        <f t="shared" si="0"/>
        <v>0.27</v>
      </c>
    </row>
    <row r="51" spans="1:5" x14ac:dyDescent="0.45">
      <c r="A51" s="14" t="s">
        <v>149</v>
      </c>
      <c r="B51" s="14" t="s">
        <v>437</v>
      </c>
      <c r="C51" s="10" t="s">
        <v>255</v>
      </c>
      <c r="D51" s="10" t="s">
        <v>8</v>
      </c>
      <c r="E51">
        <f t="shared" si="0"/>
        <v>0.27</v>
      </c>
    </row>
    <row r="52" spans="1:5" x14ac:dyDescent="0.45">
      <c r="A52" s="14" t="s">
        <v>149</v>
      </c>
      <c r="B52" s="14" t="s">
        <v>437</v>
      </c>
      <c r="C52" s="10" t="s">
        <v>256</v>
      </c>
      <c r="D52" s="10" t="s">
        <v>8</v>
      </c>
      <c r="E52">
        <f t="shared" si="0"/>
        <v>0.27</v>
      </c>
    </row>
    <row r="53" spans="1:5" x14ac:dyDescent="0.45">
      <c r="A53" s="14" t="s">
        <v>149</v>
      </c>
      <c r="B53" s="14" t="s">
        <v>437</v>
      </c>
      <c r="C53" s="10" t="s">
        <v>259</v>
      </c>
      <c r="D53" s="10" t="s">
        <v>8</v>
      </c>
      <c r="E53">
        <f t="shared" si="0"/>
        <v>0.27</v>
      </c>
    </row>
    <row r="54" spans="1:5" x14ac:dyDescent="0.45">
      <c r="A54" s="14" t="s">
        <v>149</v>
      </c>
      <c r="B54" s="14" t="s">
        <v>437</v>
      </c>
      <c r="C54" s="10" t="s">
        <v>257</v>
      </c>
      <c r="D54" s="10" t="s">
        <v>8</v>
      </c>
      <c r="E54">
        <f t="shared" si="0"/>
        <v>0.27</v>
      </c>
    </row>
    <row r="55" spans="1:5" x14ac:dyDescent="0.45">
      <c r="A55" s="14" t="s">
        <v>149</v>
      </c>
      <c r="B55" s="14" t="s">
        <v>437</v>
      </c>
      <c r="C55" s="10" t="s">
        <v>258</v>
      </c>
      <c r="D55" s="10" t="s">
        <v>8</v>
      </c>
      <c r="E55">
        <f t="shared" si="0"/>
        <v>0.27</v>
      </c>
    </row>
    <row r="56" spans="1:5" x14ac:dyDescent="0.45">
      <c r="A56" s="14" t="s">
        <v>149</v>
      </c>
      <c r="B56" s="14" t="s">
        <v>437</v>
      </c>
      <c r="C56" s="10" t="s">
        <v>255</v>
      </c>
      <c r="D56" s="10" t="s">
        <v>8</v>
      </c>
      <c r="E56">
        <f t="shared" si="0"/>
        <v>0.27</v>
      </c>
    </row>
    <row r="57" spans="1:5" x14ac:dyDescent="0.45">
      <c r="A57" s="14" t="s">
        <v>149</v>
      </c>
      <c r="B57" s="14" t="s">
        <v>437</v>
      </c>
      <c r="C57" s="10" t="s">
        <v>226</v>
      </c>
      <c r="D57" s="10" t="s">
        <v>8</v>
      </c>
      <c r="E57">
        <f t="shared" ref="E57:E67" si="1">29.8*0.27</f>
        <v>8.0460000000000012</v>
      </c>
    </row>
    <row r="58" spans="1:5" x14ac:dyDescent="0.45">
      <c r="A58" s="14" t="s">
        <v>149</v>
      </c>
      <c r="B58" s="14" t="s">
        <v>437</v>
      </c>
      <c r="C58" s="10" t="s">
        <v>227</v>
      </c>
      <c r="D58" s="10" t="s">
        <v>8</v>
      </c>
      <c r="E58">
        <f t="shared" si="1"/>
        <v>8.0460000000000012</v>
      </c>
    </row>
    <row r="59" spans="1:5" x14ac:dyDescent="0.45">
      <c r="A59" s="14" t="s">
        <v>149</v>
      </c>
      <c r="B59" s="14" t="s">
        <v>437</v>
      </c>
      <c r="C59" s="10" t="s">
        <v>228</v>
      </c>
      <c r="D59" s="10" t="s">
        <v>8</v>
      </c>
      <c r="E59">
        <f t="shared" si="1"/>
        <v>8.0460000000000012</v>
      </c>
    </row>
    <row r="60" spans="1:5" x14ac:dyDescent="0.45">
      <c r="A60" s="14" t="s">
        <v>149</v>
      </c>
      <c r="B60" s="14" t="s">
        <v>437</v>
      </c>
      <c r="C60" s="10" t="s">
        <v>229</v>
      </c>
      <c r="D60" s="10" t="s">
        <v>8</v>
      </c>
      <c r="E60">
        <f t="shared" si="1"/>
        <v>8.0460000000000012</v>
      </c>
    </row>
    <row r="61" spans="1:5" x14ac:dyDescent="0.45">
      <c r="A61" s="14" t="s">
        <v>149</v>
      </c>
      <c r="B61" s="14" t="s">
        <v>437</v>
      </c>
      <c r="C61" s="10" t="s">
        <v>230</v>
      </c>
      <c r="D61" s="10" t="s">
        <v>8</v>
      </c>
      <c r="E61">
        <f t="shared" si="1"/>
        <v>8.0460000000000012</v>
      </c>
    </row>
    <row r="62" spans="1:5" x14ac:dyDescent="0.45">
      <c r="A62" s="14" t="s">
        <v>149</v>
      </c>
      <c r="B62" s="14" t="s">
        <v>437</v>
      </c>
      <c r="C62" s="10" t="s">
        <v>231</v>
      </c>
      <c r="D62" s="10" t="s">
        <v>8</v>
      </c>
      <c r="E62">
        <f t="shared" si="1"/>
        <v>8.0460000000000012</v>
      </c>
    </row>
    <row r="63" spans="1:5" x14ac:dyDescent="0.45">
      <c r="A63" s="14" t="s">
        <v>149</v>
      </c>
      <c r="B63" s="14" t="s">
        <v>437</v>
      </c>
      <c r="C63" s="10" t="s">
        <v>232</v>
      </c>
      <c r="D63" s="10" t="s">
        <v>8</v>
      </c>
      <c r="E63">
        <f t="shared" si="1"/>
        <v>8.0460000000000012</v>
      </c>
    </row>
    <row r="64" spans="1:5" x14ac:dyDescent="0.45">
      <c r="A64" s="14" t="s">
        <v>149</v>
      </c>
      <c r="B64" s="14" t="s">
        <v>437</v>
      </c>
      <c r="C64" s="10" t="s">
        <v>233</v>
      </c>
      <c r="D64" s="10" t="s">
        <v>8</v>
      </c>
      <c r="E64">
        <f t="shared" si="1"/>
        <v>8.0460000000000012</v>
      </c>
    </row>
    <row r="65" spans="1:6" x14ac:dyDescent="0.45">
      <c r="A65" s="14" t="s">
        <v>149</v>
      </c>
      <c r="B65" s="14" t="s">
        <v>437</v>
      </c>
      <c r="C65" s="10" t="s">
        <v>234</v>
      </c>
      <c r="D65" s="10" t="s">
        <v>8</v>
      </c>
      <c r="E65">
        <f t="shared" si="1"/>
        <v>8.0460000000000012</v>
      </c>
    </row>
    <row r="66" spans="1:6" x14ac:dyDescent="0.45">
      <c r="A66" s="14" t="s">
        <v>149</v>
      </c>
      <c r="B66" s="14" t="s">
        <v>437</v>
      </c>
      <c r="C66" s="10" t="s">
        <v>225</v>
      </c>
      <c r="D66" s="10" t="s">
        <v>8</v>
      </c>
      <c r="E66">
        <f t="shared" si="1"/>
        <v>8.0460000000000012</v>
      </c>
    </row>
    <row r="67" spans="1:6" x14ac:dyDescent="0.45">
      <c r="A67" s="14" t="s">
        <v>149</v>
      </c>
      <c r="B67" s="14" t="s">
        <v>437</v>
      </c>
      <c r="C67" s="10" t="s">
        <v>235</v>
      </c>
      <c r="D67" s="10" t="s">
        <v>8</v>
      </c>
      <c r="E67">
        <f t="shared" si="1"/>
        <v>8.0460000000000012</v>
      </c>
    </row>
    <row r="68" spans="1:6" x14ac:dyDescent="0.45">
      <c r="A68" s="14" t="s">
        <v>149</v>
      </c>
      <c r="B68" s="14" t="s">
        <v>437</v>
      </c>
      <c r="C68" s="10" t="s">
        <v>10</v>
      </c>
      <c r="D68" s="10" t="s">
        <v>8</v>
      </c>
      <c r="E68">
        <f>273*0.27</f>
        <v>73.710000000000008</v>
      </c>
    </row>
    <row r="69" spans="1:6" x14ac:dyDescent="0.45">
      <c r="A69" s="14" t="s">
        <v>149</v>
      </c>
      <c r="B69" s="14" t="s">
        <v>437</v>
      </c>
      <c r="C69" s="10" t="s">
        <v>309</v>
      </c>
      <c r="D69" s="10" t="s">
        <v>8</v>
      </c>
      <c r="E69">
        <f>273*0.27</f>
        <v>73.710000000000008</v>
      </c>
    </row>
    <row r="70" spans="1:6" x14ac:dyDescent="0.45">
      <c r="A70" s="14" t="s">
        <v>149</v>
      </c>
      <c r="B70" s="14" t="s">
        <v>437</v>
      </c>
      <c r="C70" s="10" t="s">
        <v>404</v>
      </c>
      <c r="D70" s="10" t="s">
        <v>8</v>
      </c>
      <c r="E70">
        <f>25200*0.27</f>
        <v>6804</v>
      </c>
    </row>
    <row r="71" spans="1:6" x14ac:dyDescent="0.45">
      <c r="A71" s="14" t="s">
        <v>149</v>
      </c>
      <c r="B71" s="14" t="s">
        <v>437</v>
      </c>
      <c r="C71" s="10" t="s">
        <v>294</v>
      </c>
      <c r="D71" s="10" t="s">
        <v>8</v>
      </c>
      <c r="E71">
        <f>1*0.27</f>
        <v>0.27</v>
      </c>
    </row>
    <row r="72" spans="1:6" x14ac:dyDescent="0.45">
      <c r="A72" s="14" t="s">
        <v>149</v>
      </c>
      <c r="B72" s="14" t="s">
        <v>437</v>
      </c>
      <c r="C72" s="10" t="s">
        <v>388</v>
      </c>
      <c r="D72" s="10" t="s">
        <v>8</v>
      </c>
      <c r="E72">
        <f>1*0.27</f>
        <v>0.27</v>
      </c>
    </row>
    <row r="73" spans="1:6" x14ac:dyDescent="0.45">
      <c r="A73" s="4" t="s">
        <v>121</v>
      </c>
      <c r="B73" s="14" t="s">
        <v>437</v>
      </c>
      <c r="C73" s="10" t="s">
        <v>443</v>
      </c>
      <c r="D73" s="10" t="s">
        <v>124</v>
      </c>
      <c r="E73">
        <f t="shared" ref="E73:E85" si="2">(1*0.88)*1000000</f>
        <v>880000</v>
      </c>
      <c r="F73" s="9"/>
    </row>
    <row r="74" spans="1:6" x14ac:dyDescent="0.45">
      <c r="A74" s="4" t="s">
        <v>121</v>
      </c>
      <c r="B74" s="14" t="s">
        <v>437</v>
      </c>
      <c r="C74" s="10" t="s">
        <v>444</v>
      </c>
      <c r="D74" s="10" t="s">
        <v>124</v>
      </c>
      <c r="E74">
        <f t="shared" si="2"/>
        <v>880000</v>
      </c>
    </row>
    <row r="75" spans="1:6" x14ac:dyDescent="0.45">
      <c r="A75" s="4" t="s">
        <v>121</v>
      </c>
      <c r="B75" s="14" t="s">
        <v>437</v>
      </c>
      <c r="C75" s="10" t="s">
        <v>445</v>
      </c>
      <c r="D75" s="10" t="s">
        <v>124</v>
      </c>
      <c r="E75">
        <f t="shared" si="2"/>
        <v>880000</v>
      </c>
    </row>
    <row r="76" spans="1:6" x14ac:dyDescent="0.45">
      <c r="A76" s="4" t="s">
        <v>121</v>
      </c>
      <c r="B76" s="14" t="s">
        <v>437</v>
      </c>
      <c r="C76" s="10" t="s">
        <v>446</v>
      </c>
      <c r="D76" s="10" t="s">
        <v>124</v>
      </c>
      <c r="E76">
        <f t="shared" si="2"/>
        <v>880000</v>
      </c>
    </row>
    <row r="77" spans="1:6" x14ac:dyDescent="0.45">
      <c r="A77" s="4" t="s">
        <v>121</v>
      </c>
      <c r="B77" s="14" t="s">
        <v>437</v>
      </c>
      <c r="C77" s="10" t="s">
        <v>447</v>
      </c>
      <c r="D77" s="10" t="s">
        <v>124</v>
      </c>
      <c r="E77">
        <f t="shared" si="2"/>
        <v>880000</v>
      </c>
    </row>
    <row r="78" spans="1:6" x14ac:dyDescent="0.45">
      <c r="A78" s="4" t="s">
        <v>121</v>
      </c>
      <c r="B78" s="14" t="s">
        <v>437</v>
      </c>
      <c r="C78" s="10" t="s">
        <v>448</v>
      </c>
      <c r="D78" s="10" t="s">
        <v>124</v>
      </c>
      <c r="E78">
        <f t="shared" si="2"/>
        <v>880000</v>
      </c>
    </row>
    <row r="79" spans="1:6" x14ac:dyDescent="0.45">
      <c r="A79" s="4" t="s">
        <v>121</v>
      </c>
      <c r="B79" s="14" t="s">
        <v>437</v>
      </c>
      <c r="C79" s="10" t="s">
        <v>449</v>
      </c>
      <c r="D79" s="10" t="s">
        <v>124</v>
      </c>
      <c r="E79">
        <f t="shared" si="2"/>
        <v>880000</v>
      </c>
    </row>
    <row r="80" spans="1:6" x14ac:dyDescent="0.45">
      <c r="A80" s="4" t="s">
        <v>121</v>
      </c>
      <c r="B80" s="14" t="s">
        <v>437</v>
      </c>
      <c r="C80" s="10" t="s">
        <v>450</v>
      </c>
      <c r="D80" s="10" t="s">
        <v>124</v>
      </c>
      <c r="E80">
        <f t="shared" si="2"/>
        <v>880000</v>
      </c>
    </row>
    <row r="81" spans="1:5" x14ac:dyDescent="0.45">
      <c r="A81" s="4" t="s">
        <v>121</v>
      </c>
      <c r="B81" s="14" t="s">
        <v>437</v>
      </c>
      <c r="C81" s="10" t="s">
        <v>451</v>
      </c>
      <c r="D81" s="10" t="s">
        <v>124</v>
      </c>
      <c r="E81">
        <f t="shared" si="2"/>
        <v>880000</v>
      </c>
    </row>
    <row r="82" spans="1:5" x14ac:dyDescent="0.45">
      <c r="A82" s="4" t="s">
        <v>121</v>
      </c>
      <c r="B82" s="14" t="s">
        <v>437</v>
      </c>
      <c r="C82" s="10" t="s">
        <v>452</v>
      </c>
      <c r="D82" s="10" t="s">
        <v>124</v>
      </c>
      <c r="E82">
        <f t="shared" si="2"/>
        <v>880000</v>
      </c>
    </row>
    <row r="83" spans="1:5" x14ac:dyDescent="0.45">
      <c r="A83" s="4" t="s">
        <v>121</v>
      </c>
      <c r="B83" s="14" t="s">
        <v>437</v>
      </c>
      <c r="C83" s="10" t="s">
        <v>453</v>
      </c>
      <c r="D83" s="10" t="s">
        <v>124</v>
      </c>
      <c r="E83">
        <f t="shared" si="2"/>
        <v>880000</v>
      </c>
    </row>
    <row r="84" spans="1:5" x14ac:dyDescent="0.45">
      <c r="A84" s="4" t="s">
        <v>121</v>
      </c>
      <c r="B84" s="14" t="s">
        <v>437</v>
      </c>
      <c r="C84" s="10" t="s">
        <v>454</v>
      </c>
      <c r="D84" s="10" t="s">
        <v>124</v>
      </c>
      <c r="E84">
        <f t="shared" si="2"/>
        <v>880000</v>
      </c>
    </row>
    <row r="85" spans="1:5" x14ac:dyDescent="0.45">
      <c r="A85" s="4" t="s">
        <v>121</v>
      </c>
      <c r="B85" s="14" t="s">
        <v>437</v>
      </c>
      <c r="C85" s="10" t="s">
        <v>455</v>
      </c>
      <c r="D85" s="10" t="s">
        <v>124</v>
      </c>
      <c r="E85">
        <f t="shared" si="2"/>
        <v>880000</v>
      </c>
    </row>
    <row r="86" spans="1:5" x14ac:dyDescent="0.45">
      <c r="A86" s="4" t="s">
        <v>121</v>
      </c>
      <c r="B86" s="14" t="s">
        <v>437</v>
      </c>
      <c r="C86" s="10" t="s">
        <v>457</v>
      </c>
      <c r="D86" s="10" t="s">
        <v>124</v>
      </c>
      <c r="E86">
        <f>(1*0.17)*1000000</f>
        <v>170000</v>
      </c>
    </row>
    <row r="87" spans="1:5" x14ac:dyDescent="0.45">
      <c r="A87" s="4" t="s">
        <v>121</v>
      </c>
      <c r="B87" s="14" t="s">
        <v>437</v>
      </c>
      <c r="C87" s="10" t="s">
        <v>458</v>
      </c>
      <c r="D87" s="10" t="s">
        <v>124</v>
      </c>
      <c r="E87">
        <f>(1*0.17)*1000000</f>
        <v>170000</v>
      </c>
    </row>
    <row r="88" spans="1:5" x14ac:dyDescent="0.45">
      <c r="A88" s="4" t="s">
        <v>121</v>
      </c>
      <c r="B88" s="14" t="s">
        <v>437</v>
      </c>
      <c r="C88" s="7" t="s">
        <v>159</v>
      </c>
      <c r="D88" s="10" t="s">
        <v>124</v>
      </c>
      <c r="E88">
        <f>(1*0.4)*1000000</f>
        <v>400000</v>
      </c>
    </row>
    <row r="89" spans="1:5" x14ac:dyDescent="0.45">
      <c r="A89" s="4" t="s">
        <v>121</v>
      </c>
      <c r="B89" s="14" t="s">
        <v>437</v>
      </c>
      <c r="C89" s="7" t="s">
        <v>160</v>
      </c>
      <c r="D89" s="10" t="s">
        <v>124</v>
      </c>
      <c r="E89">
        <f>(1*0.4)*1000000</f>
        <v>400000</v>
      </c>
    </row>
    <row r="90" spans="1:5" x14ac:dyDescent="0.45">
      <c r="A90" s="4" t="s">
        <v>121</v>
      </c>
      <c r="B90" s="14" t="s">
        <v>437</v>
      </c>
      <c r="C90" s="7" t="s">
        <v>161</v>
      </c>
      <c r="D90" s="10" t="s">
        <v>124</v>
      </c>
      <c r="E90">
        <f>(1*0.4)*1000000</f>
        <v>400000</v>
      </c>
    </row>
    <row r="91" spans="1:5" x14ac:dyDescent="0.45">
      <c r="A91" s="4" t="s">
        <v>121</v>
      </c>
      <c r="B91" s="14" t="s">
        <v>437</v>
      </c>
      <c r="C91" s="10" t="s">
        <v>456</v>
      </c>
      <c r="D91" s="10" t="s">
        <v>124</v>
      </c>
      <c r="E91">
        <f>(1*0.95)*1000000</f>
        <v>950000</v>
      </c>
    </row>
    <row r="92" spans="1:5" x14ac:dyDescent="0.45">
      <c r="A92" s="14" t="s">
        <v>423</v>
      </c>
      <c r="B92" s="14" t="s">
        <v>459</v>
      </c>
      <c r="C92" s="1" t="s">
        <v>460</v>
      </c>
      <c r="D92" s="1" t="s">
        <v>426</v>
      </c>
      <c r="E92">
        <v>1</v>
      </c>
    </row>
  </sheetData>
  <pageMargins left="0.7" right="0.7" top="0.75" bottom="0.75" header="0.3" footer="0.3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workbookViewId="0">
      <selection sqref="A1:E5"/>
    </sheetView>
  </sheetViews>
  <sheetFormatPr baseColWidth="10" defaultRowHeight="14.25" x14ac:dyDescent="0.45"/>
  <sheetData>
    <row r="1" spans="1:5" x14ac:dyDescent="0.45">
      <c r="A1" s="4" t="s">
        <v>149</v>
      </c>
      <c r="B1" s="4" t="s">
        <v>147</v>
      </c>
      <c r="C1" s="10" t="s">
        <v>256</v>
      </c>
      <c r="D1" s="10" t="s">
        <v>8</v>
      </c>
      <c r="E1">
        <v>1</v>
      </c>
    </row>
    <row r="2" spans="1:5" x14ac:dyDescent="0.45">
      <c r="A2" s="4" t="s">
        <v>149</v>
      </c>
      <c r="B2" s="4" t="s">
        <v>147</v>
      </c>
      <c r="C2" s="10" t="s">
        <v>259</v>
      </c>
      <c r="D2" s="10" t="s">
        <v>8</v>
      </c>
      <c r="E2">
        <v>1</v>
      </c>
    </row>
    <row r="3" spans="1:5" x14ac:dyDescent="0.45">
      <c r="A3" s="4" t="s">
        <v>149</v>
      </c>
      <c r="B3" s="4" t="s">
        <v>147</v>
      </c>
      <c r="C3" s="10" t="s">
        <v>257</v>
      </c>
      <c r="D3" s="10" t="s">
        <v>8</v>
      </c>
      <c r="E3">
        <v>1</v>
      </c>
    </row>
    <row r="4" spans="1:5" x14ac:dyDescent="0.45">
      <c r="A4" s="4" t="s">
        <v>149</v>
      </c>
      <c r="B4" s="4" t="s">
        <v>147</v>
      </c>
      <c r="C4" s="10" t="s">
        <v>258</v>
      </c>
      <c r="D4" s="10" t="s">
        <v>8</v>
      </c>
      <c r="E4">
        <v>1</v>
      </c>
    </row>
    <row r="5" spans="1:5" x14ac:dyDescent="0.45">
      <c r="A5" s="4" t="s">
        <v>149</v>
      </c>
      <c r="B5" s="4" t="s">
        <v>147</v>
      </c>
      <c r="C5" s="10" t="s">
        <v>255</v>
      </c>
      <c r="D5" s="10" t="s">
        <v>8</v>
      </c>
      <c r="E5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synthèse</vt:lpstr>
      <vt:lpstr>synthèse MSA</vt:lpstr>
      <vt:lpstr>synthèse v3</vt:lpstr>
      <vt:lpstr>synthèse v2</vt:lpstr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DESTARAC Arnaud</cp:lastModifiedBy>
  <dcterms:created xsi:type="dcterms:W3CDTF">2015-06-05T18:17:20Z</dcterms:created>
  <dcterms:modified xsi:type="dcterms:W3CDTF">2026-10-05T19:32:11Z</dcterms:modified>
</cp:coreProperties>
</file>