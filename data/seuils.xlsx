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99B37D5D-3804-449C-B357-4A21C28AF5B6}" xr6:coauthVersionLast="47" xr6:coauthVersionMax="47" xr10:uidLastSave="{00000000-0000-0000-0000-000000000000}"/>
  <bookViews>
    <workbookView xWindow="-98" yWindow="-98" windowWidth="14595" windowHeight="8746" activeTab="3" xr2:uid="{00000000-000D-0000-FFFF-FFFF00000000}"/>
  </bookViews>
  <sheets>
    <sheet name="Synthèse" sheetId="1" r:id="rId1"/>
    <sheet name="DLS" sheetId="5" r:id="rId2"/>
    <sheet name="DLE" sheetId="7" r:id="rId3"/>
    <sheet name="Population" sheetId="2" r:id="rId4"/>
    <sheet name="Capacité" sheetId="3" r:id="rId5"/>
    <sheet name="Besoins" sheetId="6" r:id="rId6"/>
    <sheet name="Feuil1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2" i="2" l="1"/>
  <c r="A8" i="8"/>
  <c r="A7" i="8"/>
  <c r="A3" i="8"/>
  <c r="A20" i="8" s="1"/>
  <c r="A2" i="8"/>
  <c r="A24" i="8" s="1"/>
  <c r="G15" i="5"/>
  <c r="F15" i="5"/>
  <c r="E15" i="5"/>
  <c r="D15" i="5"/>
  <c r="C15" i="5"/>
  <c r="B15" i="5"/>
  <c r="B10" i="5"/>
  <c r="C10" i="5"/>
  <c r="E10" i="5"/>
  <c r="B4" i="5"/>
  <c r="C4" i="5"/>
  <c r="E4" i="5"/>
  <c r="F8" i="5"/>
  <c r="F10" i="5" s="1"/>
  <c r="F9" i="5"/>
  <c r="F3" i="5"/>
  <c r="F3" i="6" s="1"/>
  <c r="U5" i="7"/>
  <c r="G7" i="1"/>
  <c r="I16" i="1"/>
  <c r="I15" i="1"/>
  <c r="D9" i="5"/>
  <c r="G9" i="5" s="1"/>
  <c r="D8" i="5"/>
  <c r="G8" i="5" s="1"/>
  <c r="D3" i="5"/>
  <c r="G3" i="5" s="1"/>
  <c r="D2" i="5"/>
  <c r="G2" i="5" s="1"/>
  <c r="G13" i="5" s="1"/>
  <c r="G16" i="1"/>
  <c r="C16" i="1"/>
  <c r="E16" i="1"/>
  <c r="F16" i="1"/>
  <c r="D16" i="1"/>
  <c r="H15" i="1"/>
  <c r="F9" i="6"/>
  <c r="F8" i="6" s="1"/>
  <c r="H8" i="6" s="1"/>
  <c r="A25" i="8" l="1"/>
  <c r="A16" i="8"/>
  <c r="A19" i="8"/>
  <c r="A15" i="8"/>
  <c r="G10" i="5"/>
  <c r="G5" i="6" s="1"/>
  <c r="I25" i="1" s="1"/>
  <c r="D4" i="5"/>
  <c r="G4" i="5"/>
  <c r="D10" i="5"/>
  <c r="F2" i="5"/>
  <c r="G3" i="6"/>
  <c r="G14" i="5"/>
  <c r="D13" i="5"/>
  <c r="D14" i="5"/>
  <c r="G2" i="6"/>
  <c r="F2" i="6" l="1"/>
  <c r="F4" i="5"/>
  <c r="I24" i="1"/>
  <c r="E3" i="6"/>
  <c r="D3" i="6"/>
  <c r="C3" i="6"/>
  <c r="B3" i="6"/>
  <c r="E2" i="6"/>
  <c r="D2" i="6"/>
  <c r="C2" i="6"/>
  <c r="C5" i="6"/>
  <c r="E5" i="6"/>
  <c r="B5" i="6"/>
  <c r="B2" i="6"/>
  <c r="G41" i="3"/>
  <c r="G8" i="1"/>
  <c r="F14" i="5"/>
  <c r="F13" i="5"/>
  <c r="I8" i="1"/>
  <c r="H8" i="1"/>
  <c r="F8" i="1"/>
  <c r="E8" i="1"/>
  <c r="D8" i="1"/>
  <c r="C8" i="1"/>
  <c r="G11" i="1"/>
  <c r="C13" i="5"/>
  <c r="C14" i="5"/>
  <c r="E14" i="5"/>
  <c r="B14" i="5"/>
  <c r="E13" i="5"/>
  <c r="B13" i="5"/>
  <c r="B3" i="1"/>
  <c r="B16" i="1" s="1"/>
  <c r="B2" i="1"/>
  <c r="B7" i="1"/>
  <c r="H16" i="1"/>
  <c r="I7" i="1"/>
  <c r="D15" i="1"/>
  <c r="F15" i="1"/>
  <c r="E15" i="1"/>
  <c r="C15" i="1"/>
  <c r="G15" i="1"/>
  <c r="H7" i="1"/>
  <c r="E7" i="1"/>
  <c r="F7" i="1"/>
  <c r="D7" i="1"/>
  <c r="F41" i="3"/>
  <c r="H41" i="3"/>
  <c r="H117" i="2"/>
  <c r="H118" i="2" s="1"/>
  <c r="I117" i="2"/>
  <c r="I118" i="2" s="1"/>
  <c r="G117" i="2"/>
  <c r="H115" i="2"/>
  <c r="I115" i="2"/>
  <c r="G115" i="2"/>
  <c r="G116" i="2" s="1"/>
  <c r="B115" i="2"/>
  <c r="B116" i="2" s="1"/>
  <c r="I114" i="2"/>
  <c r="G114" i="2"/>
  <c r="H114" i="2"/>
  <c r="G118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D115" i="2"/>
  <c r="C115" i="2"/>
  <c r="B25" i="1" l="1"/>
  <c r="B24" i="1"/>
  <c r="H25" i="1"/>
  <c r="H24" i="1"/>
  <c r="C25" i="1"/>
  <c r="C24" i="1"/>
  <c r="F5" i="6"/>
  <c r="D5" i="6"/>
  <c r="D25" i="1" s="1"/>
  <c r="H42" i="3"/>
  <c r="G42" i="3"/>
  <c r="F42" i="3"/>
  <c r="B8" i="1"/>
  <c r="B15" i="1"/>
  <c r="H116" i="2"/>
  <c r="I116" i="2"/>
  <c r="F38" i="3"/>
  <c r="G38" i="3"/>
  <c r="H38" i="3"/>
  <c r="C118" i="2"/>
  <c r="D116" i="2"/>
  <c r="C116" i="2"/>
  <c r="D118" i="2"/>
  <c r="D24" i="1" l="1"/>
  <c r="G39" i="3"/>
  <c r="H39" i="3"/>
  <c r="F39" i="3"/>
  <c r="F40" i="3" s="1"/>
  <c r="C7" i="1"/>
  <c r="G40" i="3" l="1"/>
  <c r="H19" i="1"/>
  <c r="H40" i="3"/>
  <c r="H20" i="1" l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<sst xmlns="http://schemas.openxmlformats.org/spreadsheetml/2006/main" count="232" uniqueCount="174">
  <si>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</si>
  <si>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</si>
  <si>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</si>
  <si>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</si>
  <si>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</si>
  <si>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</si>
  <si>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</si>
  <si>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</si>
  <si>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</si>
  <si>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</si>
  <si>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</si>
  <si>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</si>
  <si>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</si>
  <si>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</si>
  <si>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</si>
  <si>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</si>
  <si>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</si>
  <si>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</si>
  <si>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</si>
  <si>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</si>
  <si>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</si>
  <si>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</si>
  <si>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Population Europe</t>
  </si>
  <si>
    <t>Population Monde  (au 1er janvier)</t>
  </si>
  <si>
    <t>Population France</t>
  </si>
  <si>
    <t>Moyenne 2015-2051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</si>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</sst>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7" borderId="0" xfId="0" applyFont="1" applyFill="1" applyAlignment="1">
      <alignment horizontal="center" vertical="center" textRotation="180" wrapText="1"/>
    </xf>
    <xf numFmtId="0" fontId="8" fillId="9" borderId="0" xfId="0" applyFont="1" applyFill="1" applyAlignment="1">
      <alignment horizontal="center" vertical="center" textRotation="180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</cellXfs>
  <cellStyles count="4">
    <cellStyle name="Lien hypertexte" xfId="3" builtinId="8"/>
    <cellStyle name="Normal" xfId="0" builtinId="0"/>
    <cellStyle name="Normal 2" xfId="2" xr:uid="{50672D9D-075A-40C6-BDA5-FA61CF826F7B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workbookViewId="0">
      <selection activeCell="I3" sqref="I3"/>
    </sheetView>
  </sheetViews>
  <sheetFormatPr baseColWidth="10" defaultColWidth="9.19921875" defaultRowHeight="14.25" x14ac:dyDescent="0.45"/>
  <cols>
    <col min="1" max="1" width="21.1328125" customWidth="1"/>
    <col min="4" max="4" width="14.06640625" customWidth="1"/>
    <col min="9" max="10" width="11.86328125" bestFit="1" customWidth="1"/>
  </cols>
  <sheetData>
    <row r="1" spans="1:10" ht="14.65" thickBot="1" x14ac:dyDescent="0.5">
      <c r="A1" s="18" t="s">
        <v>83</v>
      </c>
      <c r="B1" s="17" t="s">
        <v>2</v>
      </c>
      <c r="C1" s="17" t="s">
        <v>3</v>
      </c>
      <c r="D1" s="17" t="s">
        <v>82</v>
      </c>
      <c r="E1" s="17" t="s">
        <v>0</v>
      </c>
      <c r="F1" s="17" t="s">
        <v>1</v>
      </c>
      <c r="G1" s="17" t="s">
        <v>12</v>
      </c>
      <c r="H1" s="17" t="s">
        <v>11</v>
      </c>
      <c r="I1" s="18" t="s">
        <v>4</v>
      </c>
    </row>
    <row r="2" spans="1:10" x14ac:dyDescent="0.45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</row>
    <row r="3" spans="1:10" x14ac:dyDescent="0.45">
      <c r="A3" s="19" t="s">
        <v>81</v>
      </c>
      <c r="B3">
        <f>(1.33*1055+163.83)/74</f>
        <v>21.175405405405407</v>
      </c>
      <c r="C3">
        <v>4500</v>
      </c>
      <c r="D3">
        <v>14.6</v>
      </c>
      <c r="E3">
        <v>37.700000000000003</v>
      </c>
      <c r="F3">
        <v>17</v>
      </c>
      <c r="G3">
        <v>49</v>
      </c>
      <c r="H3">
        <v>50</v>
      </c>
      <c r="I3">
        <v>26068</v>
      </c>
    </row>
    <row r="4" spans="1:10" ht="14.65" thickBot="1" x14ac:dyDescent="0.5">
      <c r="A4" s="16" t="s">
        <v>5</v>
      </c>
      <c r="B4" s="15" t="s">
        <v>6</v>
      </c>
      <c r="C4" s="15" t="s">
        <v>84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0" x14ac:dyDescent="0.45">
      <c r="A5" s="19"/>
    </row>
    <row r="6" spans="1:10" x14ac:dyDescent="0.45">
      <c r="A6" s="37" t="s">
        <v>14</v>
      </c>
      <c r="B6" s="38"/>
      <c r="C6" s="38"/>
      <c r="D6" s="38"/>
      <c r="E6" s="38"/>
      <c r="F6" s="38"/>
      <c r="G6" s="38"/>
      <c r="H6" s="38"/>
      <c r="I6" s="38"/>
    </row>
    <row r="7" spans="1:10" x14ac:dyDescent="0.45">
      <c r="A7" s="37" t="s">
        <v>95</v>
      </c>
      <c r="B7" s="38">
        <f>((Population!C116/100)*B2)*1000</f>
        <v>40.762034267677642</v>
      </c>
      <c r="C7" s="38">
        <f>(Population!C116/100)*C2</f>
        <v>21.660024876933825</v>
      </c>
      <c r="D7" s="38">
        <f>((Population!C116/100)*D2)*1000</f>
        <v>97.470111946202195</v>
      </c>
      <c r="E7" s="38">
        <f>((Population!C116/100)*E2)*1000</f>
        <v>220.468110354505</v>
      </c>
      <c r="F7" s="38">
        <f>((Population!C116/100)*F2)*1000</f>
        <v>14.465802328523662</v>
      </c>
      <c r="G7" s="38">
        <f>(G2*Population!C115)*0.000277778</f>
        <v>738.21533157179306</v>
      </c>
      <c r="H7" s="38">
        <f>((Population!C116/100)*H2)*1000</f>
        <v>193.39307925833771</v>
      </c>
      <c r="I7" s="38">
        <f>(Population!C116/100)*I2</f>
        <v>28.807833086321985</v>
      </c>
    </row>
    <row r="8" spans="1:10" x14ac:dyDescent="0.45">
      <c r="A8" s="37" t="s">
        <v>108</v>
      </c>
      <c r="B8" s="38">
        <f>((Population!C116/100)*B3)*1000</f>
        <v>163.8070742358</v>
      </c>
      <c r="C8" s="38">
        <f>(Population!C116/100)*C3</f>
        <v>34.810754266500787</v>
      </c>
      <c r="D8" s="38">
        <f>((Population!C116/100)*D3)*1000</f>
        <v>112.94155828686922</v>
      </c>
      <c r="E8" s="38">
        <f>((Population!C116/100)*E3)*1000</f>
        <v>291.6367635215733</v>
      </c>
      <c r="F8" s="38">
        <f>((Population!C116/100)*F3)*1000</f>
        <v>131.50729389566965</v>
      </c>
      <c r="G8" s="38">
        <f>(G3*Population!C115)*0.000366668</f>
        <v>1205.7551281814922</v>
      </c>
      <c r="H8" s="38">
        <f>((Population!C116/100)*H3)*1000</f>
        <v>386.78615851667541</v>
      </c>
      <c r="I8" s="38">
        <f>(Population!C116/100)*I3</f>
        <v>201.6548316042539</v>
      </c>
      <c r="J8" s="31"/>
    </row>
    <row r="9" spans="1:10" x14ac:dyDescent="0.45">
      <c r="A9" s="37"/>
      <c r="B9" s="38"/>
      <c r="C9" s="38"/>
      <c r="D9" s="38"/>
      <c r="E9" s="38"/>
      <c r="F9" s="38"/>
      <c r="G9" s="38"/>
      <c r="H9" s="38"/>
      <c r="I9" s="38"/>
    </row>
    <row r="10" spans="1:10" x14ac:dyDescent="0.45">
      <c r="A10" s="37" t="s">
        <v>93</v>
      </c>
      <c r="B10" s="38" t="s">
        <v>85</v>
      </c>
      <c r="C10" s="38" t="s">
        <v>84</v>
      </c>
      <c r="D10" s="38" t="s">
        <v>172</v>
      </c>
      <c r="E10" s="38" t="s">
        <v>91</v>
      </c>
      <c r="F10" s="38" t="s">
        <v>91</v>
      </c>
      <c r="G10" s="38" t="s">
        <v>94</v>
      </c>
      <c r="H10" s="38" t="s">
        <v>85</v>
      </c>
      <c r="I10" s="38" t="s">
        <v>173</v>
      </c>
    </row>
    <row r="11" spans="1:10" x14ac:dyDescent="0.45">
      <c r="A11" s="19" t="s">
        <v>90</v>
      </c>
      <c r="B11" s="14">
        <v>1000000000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32">
        <v>10000000000</v>
      </c>
    </row>
    <row r="12" spans="1:10" ht="14.65" thickBot="1" x14ac:dyDescent="0.5">
      <c r="A12" s="16" t="s">
        <v>92</v>
      </c>
      <c r="B12" s="15" t="s">
        <v>87</v>
      </c>
      <c r="C12" s="15" t="s">
        <v>89</v>
      </c>
      <c r="D12" s="15" t="s">
        <v>88</v>
      </c>
      <c r="E12" s="15" t="s">
        <v>87</v>
      </c>
      <c r="F12" s="15" t="s">
        <v>87</v>
      </c>
      <c r="G12" s="15" t="s">
        <v>86</v>
      </c>
      <c r="H12" s="15" t="s">
        <v>96</v>
      </c>
      <c r="I12" s="15" t="s">
        <v>135</v>
      </c>
    </row>
    <row r="13" spans="1:10" x14ac:dyDescent="0.45">
      <c r="A13" s="19"/>
      <c r="B13" s="20"/>
      <c r="C13" s="20"/>
      <c r="D13" s="20"/>
      <c r="E13" s="20"/>
      <c r="F13" s="20"/>
      <c r="G13" s="20"/>
      <c r="H13" s="20"/>
      <c r="I13" s="20"/>
    </row>
    <row r="14" spans="1:10" x14ac:dyDescent="0.45">
      <c r="A14" s="34" t="s">
        <v>97</v>
      </c>
      <c r="B14" s="22"/>
      <c r="C14" s="22"/>
      <c r="D14" s="22"/>
      <c r="E14" s="22"/>
      <c r="F14" s="22"/>
      <c r="G14" s="22"/>
      <c r="H14" s="22"/>
      <c r="I14" s="22"/>
    </row>
    <row r="15" spans="1:10" x14ac:dyDescent="0.45">
      <c r="A15" s="34" t="s">
        <v>141</v>
      </c>
      <c r="B15" s="22">
        <f>B2*1000000000/(Population!B115*1000)</f>
        <v>0.60738746064196225</v>
      </c>
      <c r="C15" s="22">
        <f>C2*1000000000/(Population!B115*1000)</f>
        <v>322.75198585647314</v>
      </c>
      <c r="D15" s="22">
        <f>D2*1000000000000/(Population!B115*1000)</f>
        <v>1452.3839363541292</v>
      </c>
      <c r="E15" s="22">
        <f>E2*1000000000/(Population!B115*1000)</f>
        <v>3.2851541417533872</v>
      </c>
      <c r="F15" s="22">
        <f>F2*1000000000/(Population!B115*1000)</f>
        <v>0.21555221912557312</v>
      </c>
      <c r="G15" s="22">
        <f>G2</f>
        <v>39.6</v>
      </c>
      <c r="H15" s="22">
        <f>H2*1000000000/(Population!B115*1000)</f>
        <v>2.881714159432796</v>
      </c>
      <c r="I15" s="22">
        <f>I2*1000000/(Population!B115*1000)</f>
        <v>0.42926014118910927</v>
      </c>
    </row>
    <row r="16" spans="1:10" x14ac:dyDescent="0.45">
      <c r="A16" s="34" t="s">
        <v>142</v>
      </c>
      <c r="B16" s="22">
        <f>B3*1000000000/(Population!B115*1000)</f>
        <v>2.4408586235394609</v>
      </c>
      <c r="C16" s="22">
        <f>C3*1000000000/(Population!B115*1000)</f>
        <v>518.70854869790321</v>
      </c>
      <c r="D16" s="22">
        <f>D3*1000000000000/(Population!B115*1000)</f>
        <v>1682.9210691087528</v>
      </c>
      <c r="E16" s="22">
        <f>E3*1000000000/(Population!B115*1000)</f>
        <v>4.3456249524246564</v>
      </c>
      <c r="F16" s="22">
        <f>F3*1000000000/(Population!B115*1000)</f>
        <v>1.9595656284143013</v>
      </c>
      <c r="G16" s="22">
        <f>G3</f>
        <v>49</v>
      </c>
      <c r="H16" s="22">
        <f>H3*1000000000/(Population!B115*1000)</f>
        <v>5.7634283188655919</v>
      </c>
      <c r="I16" s="22">
        <f>I3*1000000/(Population!B115*1000)</f>
        <v>3.0048209883237651</v>
      </c>
    </row>
    <row r="17" spans="1:9" ht="14.65" thickBot="1" x14ac:dyDescent="0.5">
      <c r="A17" s="35" t="s">
        <v>5</v>
      </c>
      <c r="B17" s="36" t="s">
        <v>98</v>
      </c>
      <c r="C17" s="36" t="s">
        <v>100</v>
      </c>
      <c r="D17" s="36" t="s">
        <v>101</v>
      </c>
      <c r="E17" s="36" t="s">
        <v>87</v>
      </c>
      <c r="F17" s="36" t="s">
        <v>87</v>
      </c>
      <c r="G17" s="36" t="s">
        <v>99</v>
      </c>
      <c r="H17" s="36" t="s">
        <v>98</v>
      </c>
      <c r="I17" s="36" t="s">
        <v>139</v>
      </c>
    </row>
    <row r="18" spans="1:9" x14ac:dyDescent="0.45">
      <c r="A18" s="19"/>
      <c r="B18" s="20"/>
      <c r="C18" s="20"/>
      <c r="D18" s="20"/>
      <c r="E18" s="20"/>
      <c r="F18" s="20"/>
      <c r="G18" s="20"/>
      <c r="H18" s="20"/>
      <c r="I18" s="20"/>
    </row>
    <row r="19" spans="1:9" x14ac:dyDescent="0.45">
      <c r="A19" s="19" t="s">
        <v>16</v>
      </c>
      <c r="B19">
        <f>(Capacité!G40/100)*B2</f>
        <v>2.7782571794252677E-3</v>
      </c>
      <c r="C19">
        <f>(Capacité!G40/100)*C2</f>
        <v>1.4763031507627404</v>
      </c>
      <c r="D19">
        <f>(Capacité!G40/100)*D2</f>
        <v>6.643364178432332E-3</v>
      </c>
      <c r="E19">
        <f>(Capacité!G40/100)*E2</f>
        <v>1.5026657070263608E-2</v>
      </c>
      <c r="F19">
        <f>(Capacité!G40/100)*F2</f>
        <v>9.8595960425940164E-4</v>
      </c>
      <c r="G19">
        <f>(Capacité!G40/100)*G2</f>
        <v>2.0879144560787332E-2</v>
      </c>
      <c r="H19">
        <f>((Capacité!G39/100)*H2)*1000</f>
        <v>13.737674325397714</v>
      </c>
      <c r="I19">
        <f>(Capacité!G40/100)*I2</f>
        <v>1.9634831905144448</v>
      </c>
    </row>
    <row r="20" spans="1:9" x14ac:dyDescent="0.45">
      <c r="A20" s="19" t="s">
        <v>109</v>
      </c>
      <c r="B20">
        <f>(Capacité!G40/100)*B3</f>
        <v>1.1164756328099417E-2</v>
      </c>
      <c r="C20">
        <f>(Capacité!G40/100)*C3</f>
        <v>2.3726300637258331</v>
      </c>
      <c r="D20">
        <f>(Capacité!G40/100)*D3</f>
        <v>7.6978664289771466E-3</v>
      </c>
      <c r="E20">
        <f>(Capacité!G40/100)*E3</f>
        <v>1.9877367422769757E-2</v>
      </c>
      <c r="F20">
        <f>(Capacité!G40/100)*F3</f>
        <v>8.9632691296309235E-3</v>
      </c>
      <c r="G20">
        <f>(Capacité!G40/100)*G3</f>
        <v>2.5835305138347957E-2</v>
      </c>
      <c r="H20">
        <f>((Capacité!G40/100)*H3)*1000</f>
        <v>26.362556263620363</v>
      </c>
      <c r="I20">
        <f>(Capacité!G40/100)*I3</f>
        <v>13.744382333601115</v>
      </c>
    </row>
    <row r="21" spans="1:9" x14ac:dyDescent="0.45">
      <c r="A21" s="19"/>
    </row>
    <row r="22" spans="1:9" ht="14.65" thickBot="1" x14ac:dyDescent="0.5">
      <c r="A22" s="19" t="s">
        <v>17</v>
      </c>
      <c r="D22" s="15"/>
    </row>
    <row r="23" spans="1:9" ht="14.65" thickBot="1" x14ac:dyDescent="0.5">
      <c r="A23" s="16" t="s">
        <v>116</v>
      </c>
      <c r="B23" s="15"/>
      <c r="C23" s="15"/>
      <c r="D23" s="15"/>
      <c r="E23" s="15"/>
      <c r="F23" s="15"/>
      <c r="G23" s="15"/>
      <c r="H23" s="15"/>
      <c r="I23" s="15"/>
    </row>
    <row r="24" spans="1:9" x14ac:dyDescent="0.45">
      <c r="A24" s="19" t="s">
        <v>115</v>
      </c>
      <c r="B24" s="31">
        <f>B2*Besoins!B5*1000</f>
        <v>33.603746793129218</v>
      </c>
      <c r="C24" s="31">
        <f>C2*Besoins!C5</f>
        <v>15.328969892586652</v>
      </c>
      <c r="D24" s="31">
        <f>D2*Besoins!D5*1000</f>
        <v>145.68010069341233</v>
      </c>
      <c r="E24" s="31"/>
      <c r="F24" s="31"/>
      <c r="G24" s="31"/>
      <c r="H24" s="31">
        <f>H2*Besoins!E5*1000</f>
        <v>183.29329861237841</v>
      </c>
      <c r="I24" s="31">
        <f>I2*Besoins!G5</f>
        <v>43.039686548122148</v>
      </c>
    </row>
    <row r="25" spans="1:9" x14ac:dyDescent="0.45">
      <c r="A25" s="19" t="s">
        <v>121</v>
      </c>
      <c r="B25" s="31">
        <f>B3*Besoins!B5*1000</f>
        <v>135.04064614135262</v>
      </c>
      <c r="C25" s="31">
        <f>C3*Besoins!C5</f>
        <v>24.635844470228548</v>
      </c>
      <c r="D25" s="31">
        <f>D3*Besoins!D5*1000</f>
        <v>168.80392620030318</v>
      </c>
      <c r="E25" s="31"/>
      <c r="F25" s="31"/>
      <c r="G25" s="31"/>
      <c r="H25" s="31">
        <f>H3*Besoins!E5*1000</f>
        <v>366.58659722475682</v>
      </c>
      <c r="I25" s="31">
        <f>I3*Besoins!G5</f>
        <v>301.27780583685501</v>
      </c>
    </row>
    <row r="26" spans="1:9" x14ac:dyDescent="0.45">
      <c r="A26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G23"/>
  <sheetViews>
    <sheetView workbookViewId="0">
      <selection activeCell="C9" sqref="C9"/>
    </sheetView>
  </sheetViews>
  <sheetFormatPr baseColWidth="10" defaultRowHeight="14.25" x14ac:dyDescent="0.45"/>
  <cols>
    <col min="1" max="1" width="27.73046875" customWidth="1"/>
    <col min="3" max="4" width="12.3984375" customWidth="1"/>
    <col min="5" max="5" width="11.9296875" customWidth="1"/>
    <col min="7" max="7" width="14.86328125" customWidth="1"/>
  </cols>
  <sheetData>
    <row r="1" spans="1:7" x14ac:dyDescent="0.45">
      <c r="A1" s="23" t="s">
        <v>83</v>
      </c>
      <c r="B1" s="23" t="s">
        <v>2</v>
      </c>
      <c r="C1" s="23" t="s">
        <v>3</v>
      </c>
      <c r="D1" s="23" t="s">
        <v>82</v>
      </c>
      <c r="E1" s="23" t="s">
        <v>11</v>
      </c>
      <c r="F1" s="23" t="s">
        <v>12</v>
      </c>
      <c r="G1" s="23" t="s">
        <v>4</v>
      </c>
    </row>
    <row r="2" spans="1:7" x14ac:dyDescent="0.45">
      <c r="A2" s="22" t="s">
        <v>137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5">
      <c r="A3" s="22" t="s">
        <v>138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s="31" customFormat="1" x14ac:dyDescent="0.45">
      <c r="A4" s="22" t="s">
        <v>170</v>
      </c>
      <c r="B4" s="22">
        <f>(DLS!B2+DLS!B3)/2</f>
        <v>2.3849999999999998</v>
      </c>
      <c r="C4" s="22">
        <f>(DLS!C2+DLS!C3)/2</f>
        <v>142.80000000000001</v>
      </c>
      <c r="D4" s="22">
        <f>(DLS!D2+DLS!D3)/2</f>
        <v>4370</v>
      </c>
      <c r="E4" s="22">
        <f>(DLS!E2+DLS!E3)/2</f>
        <v>3.81</v>
      </c>
      <c r="F4" s="22">
        <f>(DLS!F2+DLS!F3)/2</f>
        <v>21.054901960784314</v>
      </c>
      <c r="G4" s="22">
        <f>(DLS!G2+DLS!G3)/2</f>
        <v>3.5126439500000002E-2</v>
      </c>
    </row>
    <row r="5" spans="1:7" x14ac:dyDescent="0.45">
      <c r="A5" s="22" t="s">
        <v>5</v>
      </c>
      <c r="B5" s="22" t="s">
        <v>105</v>
      </c>
      <c r="C5" s="22" t="s">
        <v>104</v>
      </c>
      <c r="D5" s="22" t="s">
        <v>136</v>
      </c>
      <c r="E5" s="22" t="s">
        <v>105</v>
      </c>
      <c r="F5" s="22" t="s">
        <v>110</v>
      </c>
      <c r="G5" s="22" t="s">
        <v>140</v>
      </c>
    </row>
    <row r="7" spans="1:7" x14ac:dyDescent="0.45">
      <c r="A7" t="s">
        <v>114</v>
      </c>
    </row>
    <row r="8" spans="1:7" x14ac:dyDescent="0.45">
      <c r="A8" t="s">
        <v>112</v>
      </c>
      <c r="B8" s="26">
        <v>3.9404604370967649</v>
      </c>
      <c r="C8" s="30">
        <v>205.43626131827909</v>
      </c>
      <c r="D8" s="28">
        <f>3036.5975761951</f>
        <v>3036.5975761950999</v>
      </c>
      <c r="E8" s="24">
        <v>4.8</v>
      </c>
      <c r="F8">
        <f>26</f>
        <v>26</v>
      </c>
      <c r="G8" s="31">
        <f>(B8*0.27+D8*0.9)*0.00001</f>
        <v>2.7340017428936065E-2</v>
      </c>
    </row>
    <row r="9" spans="1:7" x14ac:dyDescent="0.45">
      <c r="A9" t="s">
        <v>113</v>
      </c>
      <c r="B9" s="27">
        <v>1.8456474232498501</v>
      </c>
      <c r="C9" s="31">
        <v>198.12008644674611</v>
      </c>
      <c r="D9" s="29">
        <f>2811.06984272459</f>
        <v>2811.0698427245902</v>
      </c>
      <c r="E9" s="25">
        <v>3.239875298796179</v>
      </c>
      <c r="F9">
        <f>15.3</f>
        <v>15.3</v>
      </c>
      <c r="G9" s="31">
        <f>(B9*0.27+D9*0.7)*0.00001</f>
        <v>1.9682472147114907E-2</v>
      </c>
    </row>
    <row r="10" spans="1:7" x14ac:dyDescent="0.45">
      <c r="A10" s="31" t="s">
        <v>117</v>
      </c>
      <c r="B10">
        <f>(DLS!B8+DLS!B9)/2</f>
        <v>2.8930539301733074</v>
      </c>
      <c r="C10" s="31">
        <f>(DLS!C8+DLS!C9)/2</f>
        <v>201.77817388251259</v>
      </c>
      <c r="D10" s="31">
        <f>(DLS!D8+DLS!D9)/2</f>
        <v>2923.8337094598451</v>
      </c>
      <c r="E10" s="31">
        <f>(DLS!E8+DLS!E9)/2</f>
        <v>4.0199376493980896</v>
      </c>
      <c r="F10" s="31">
        <f>(DLS!F8+DLS!F9)/2</f>
        <v>20.65</v>
      </c>
      <c r="G10" s="31">
        <f>(DLS!G8+DLS!G9)/2</f>
        <v>2.3511244788025486E-2</v>
      </c>
    </row>
    <row r="11" spans="1:7" x14ac:dyDescent="0.45">
      <c r="A11" t="s">
        <v>5</v>
      </c>
      <c r="B11" t="s">
        <v>105</v>
      </c>
      <c r="C11" t="s">
        <v>104</v>
      </c>
      <c r="D11" t="s">
        <v>136</v>
      </c>
      <c r="E11" t="s">
        <v>105</v>
      </c>
      <c r="F11" t="s">
        <v>110</v>
      </c>
      <c r="G11" s="31" t="s">
        <v>140</v>
      </c>
    </row>
    <row r="13" spans="1:7" x14ac:dyDescent="0.45">
      <c r="A13" s="33" t="s">
        <v>102</v>
      </c>
      <c r="B13" s="33">
        <f>(B2*Population!C115*0.000001)*1000</f>
        <v>172.47380767000001</v>
      </c>
      <c r="C13" s="33">
        <f>C2*Population!C115*1000*0.000000001</f>
        <v>9.751145624300003</v>
      </c>
      <c r="D13" s="33">
        <f>(D2*Population!C115*1000*0.000000001)</f>
        <v>304.01025243000009</v>
      </c>
      <c r="E13" s="33">
        <f>(E2*Population!C115*0.000001)*1000</f>
        <v>265.08620245000003</v>
      </c>
      <c r="F13" s="33">
        <f>F2*Population!C115*0.000277778</f>
        <v>494.19049726929296</v>
      </c>
      <c r="G13" s="33">
        <f>(G2*Population!D115*1000)*0.000001</f>
        <v>29.823675351128617</v>
      </c>
    </row>
    <row r="14" spans="1:7" x14ac:dyDescent="0.45">
      <c r="A14" s="33" t="s">
        <v>103</v>
      </c>
      <c r="B14" s="33">
        <f>(B3*Population!C115*0.000001)*1000</f>
        <v>147.64294820000003</v>
      </c>
      <c r="C14" s="33">
        <f>(C3*Population!C115*0.000001)</f>
        <v>9.415593469300001</v>
      </c>
      <c r="D14" s="33">
        <f>(D3*Population!C115*0.000000001)*1000</f>
        <v>282.53491451000008</v>
      </c>
      <c r="E14" s="33">
        <f>(E3*Population!C115*0.000001)*1000</f>
        <v>246.29528177</v>
      </c>
      <c r="F14" s="33">
        <f>F3*Population!C115*0.000277778</f>
        <v>290.81210031616087</v>
      </c>
      <c r="G14" s="33">
        <f>(G3*Population!D115*1000)*0.000001</f>
        <v>21.558284824403962</v>
      </c>
    </row>
    <row r="15" spans="1:7" s="31" customFormat="1" x14ac:dyDescent="0.45">
      <c r="A15" s="33" t="s">
        <v>171</v>
      </c>
      <c r="B15" s="33">
        <f>(B4*Population!C115*0.000001)*1000</f>
        <v>160.05837793500001</v>
      </c>
      <c r="C15" s="33">
        <f>(C4*Population!C115*0.000001)</f>
        <v>9.583369546800002</v>
      </c>
      <c r="D15" s="33">
        <f>(D4*Population!C115*0.000000001)*1000</f>
        <v>293.27258347000009</v>
      </c>
      <c r="E15" s="33">
        <f>(E4*Population!C115*0.000001)*1000</f>
        <v>255.69074211000003</v>
      </c>
      <c r="F15" s="33">
        <f>F4*Population!C115*0.000277778</f>
        <v>392.50129879272691</v>
      </c>
      <c r="G15" s="33">
        <f>(G4*Population!D115*1000)*0.000001</f>
        <v>25.690980087766288</v>
      </c>
    </row>
    <row r="16" spans="1:7" x14ac:dyDescent="0.45">
      <c r="A16" s="33" t="s">
        <v>5</v>
      </c>
      <c r="B16" s="33" t="s">
        <v>85</v>
      </c>
      <c r="C16" s="33" t="s">
        <v>84</v>
      </c>
      <c r="D16" s="33" t="s">
        <v>107</v>
      </c>
      <c r="E16" s="33" t="s">
        <v>85</v>
      </c>
      <c r="F16" s="33" t="s">
        <v>94</v>
      </c>
      <c r="G16" s="33" t="s">
        <v>10</v>
      </c>
    </row>
    <row r="18" spans="1:7" x14ac:dyDescent="0.45">
      <c r="A18" t="s">
        <v>19</v>
      </c>
      <c r="B18" s="44" t="s">
        <v>106</v>
      </c>
      <c r="C18" s="45"/>
      <c r="D18" s="45"/>
      <c r="E18" s="45"/>
      <c r="F18" s="21" t="s">
        <v>111</v>
      </c>
    </row>
    <row r="21" spans="1:7" x14ac:dyDescent="0.45">
      <c r="G21" t="s">
        <v>132</v>
      </c>
    </row>
    <row r="22" spans="1:7" x14ac:dyDescent="0.45">
      <c r="G22" t="s">
        <v>133</v>
      </c>
    </row>
    <row r="23" spans="1:7" x14ac:dyDescent="0.45">
      <c r="G23" t="s">
        <v>134</v>
      </c>
    </row>
  </sheetData>
  <mergeCells count="1">
    <mergeCell ref="B18:E18"/>
  </mergeCells>
  <hyperlinks>
    <hyperlink ref="F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31"/>
  </cols>
  <sheetData>
    <row r="2" spans="1:21" ht="15.95" customHeight="1" x14ac:dyDescent="0.45">
      <c r="B2" s="48" t="s">
        <v>122</v>
      </c>
      <c r="C2" s="48"/>
      <c r="D2" s="48"/>
      <c r="E2" s="49" t="s">
        <v>143</v>
      </c>
      <c r="F2" s="49"/>
      <c r="G2" s="49"/>
      <c r="H2" s="48" t="s">
        <v>144</v>
      </c>
      <c r="I2" s="48"/>
      <c r="J2" s="48"/>
      <c r="K2" s="49" t="s">
        <v>145</v>
      </c>
      <c r="L2" s="49"/>
      <c r="M2" s="52" t="s">
        <v>146</v>
      </c>
      <c r="N2" s="50" t="s">
        <v>147</v>
      </c>
      <c r="O2" s="48" t="s">
        <v>148</v>
      </c>
      <c r="P2" s="48"/>
      <c r="Q2" s="48"/>
      <c r="R2" s="49" t="s">
        <v>149</v>
      </c>
      <c r="S2" s="49"/>
      <c r="T2" s="53" t="s">
        <v>168</v>
      </c>
      <c r="U2" s="51" t="s">
        <v>169</v>
      </c>
    </row>
    <row r="3" spans="1:21" ht="17.649999999999999" x14ac:dyDescent="0.45">
      <c r="B3" s="47" t="s">
        <v>150</v>
      </c>
      <c r="C3" s="47" t="s">
        <v>151</v>
      </c>
      <c r="D3" s="47" t="s">
        <v>152</v>
      </c>
      <c r="E3" s="46" t="s">
        <v>153</v>
      </c>
      <c r="F3" s="46" t="s">
        <v>154</v>
      </c>
      <c r="G3" s="46" t="s">
        <v>155</v>
      </c>
      <c r="H3" s="47" t="s">
        <v>156</v>
      </c>
      <c r="I3" s="47" t="s">
        <v>157</v>
      </c>
      <c r="J3" s="47" t="s">
        <v>158</v>
      </c>
      <c r="K3" s="46" t="s">
        <v>159</v>
      </c>
      <c r="L3" s="46" t="s">
        <v>160</v>
      </c>
      <c r="M3" s="52"/>
      <c r="N3" s="50"/>
      <c r="O3" s="47" t="s">
        <v>161</v>
      </c>
      <c r="P3" s="47" t="s">
        <v>162</v>
      </c>
      <c r="Q3" s="39" t="s">
        <v>163</v>
      </c>
      <c r="R3" s="46" t="s">
        <v>165</v>
      </c>
      <c r="S3" s="46" t="s">
        <v>166</v>
      </c>
      <c r="T3" s="53"/>
      <c r="U3" s="51"/>
    </row>
    <row r="4" spans="1:21" ht="37.799999999999997" customHeight="1" x14ac:dyDescent="0.45">
      <c r="B4" s="47"/>
      <c r="C4" s="47"/>
      <c r="D4" s="47"/>
      <c r="E4" s="46"/>
      <c r="F4" s="46"/>
      <c r="G4" s="46"/>
      <c r="H4" s="47"/>
      <c r="I4" s="47"/>
      <c r="J4" s="47"/>
      <c r="K4" s="46"/>
      <c r="L4" s="46"/>
      <c r="M4" s="52"/>
      <c r="N4" s="50"/>
      <c r="O4" s="47"/>
      <c r="P4" s="47"/>
      <c r="Q4" s="39" t="s">
        <v>164</v>
      </c>
      <c r="R4" s="46"/>
      <c r="S4" s="46"/>
      <c r="T4" s="53"/>
      <c r="U4" s="51"/>
    </row>
    <row r="5" spans="1:21" x14ac:dyDescent="0.45">
      <c r="A5" s="31" t="s">
        <v>167</v>
      </c>
      <c r="B5" s="40">
        <v>2.7</v>
      </c>
      <c r="C5" s="41">
        <v>0.3</v>
      </c>
      <c r="D5" s="41">
        <v>0.2</v>
      </c>
      <c r="E5" s="42">
        <v>0.8</v>
      </c>
      <c r="F5" s="42">
        <v>0.7</v>
      </c>
      <c r="G5" s="42">
        <v>0</v>
      </c>
      <c r="H5" s="41">
        <v>0.2</v>
      </c>
      <c r="I5" s="41">
        <v>1.3</v>
      </c>
      <c r="J5" s="41">
        <v>0.2</v>
      </c>
      <c r="K5" s="42">
        <v>0.3</v>
      </c>
      <c r="L5" s="42">
        <v>0.3</v>
      </c>
      <c r="M5" s="41">
        <v>1.4</v>
      </c>
      <c r="N5" s="42">
        <v>0.4</v>
      </c>
      <c r="O5" s="41">
        <v>0</v>
      </c>
      <c r="P5" s="41">
        <v>0.1</v>
      </c>
      <c r="Q5" s="41">
        <v>0.4</v>
      </c>
      <c r="R5" s="42">
        <v>2.2999999999999998</v>
      </c>
      <c r="S5" s="42">
        <v>0.7</v>
      </c>
      <c r="T5" s="41">
        <v>3.3</v>
      </c>
      <c r="U5" s="43">
        <f>SUM(B5:T5)</f>
        <v>15.600000000000001</v>
      </c>
    </row>
    <row r="6" spans="1:21" x14ac:dyDescent="0.45">
      <c r="A6" s="31" t="s">
        <v>13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1"/>
  <sheetViews>
    <sheetView tabSelected="1" topLeftCell="A108" workbookViewId="0">
      <selection activeCell="E112" sqref="E112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4" ht="48.7" customHeight="1" x14ac:dyDescent="0.45">
      <c r="A1" t="s">
        <v>18</v>
      </c>
      <c r="B1" s="3" t="s">
        <v>23</v>
      </c>
      <c r="C1" s="3" t="s">
        <v>24</v>
      </c>
      <c r="D1" s="3" t="s">
        <v>22</v>
      </c>
    </row>
    <row r="2" spans="1:4" x14ac:dyDescent="0.45">
      <c r="A2" s="1">
        <v>1990</v>
      </c>
      <c r="B2" s="2">
        <v>5280969.5199999996</v>
      </c>
      <c r="C2" s="2">
        <v>56847.224000000002</v>
      </c>
      <c r="D2" s="2">
        <v>722828.87800000003</v>
      </c>
    </row>
    <row r="3" spans="1:4" x14ac:dyDescent="0.45">
      <c r="A3" s="1">
        <v>1991</v>
      </c>
      <c r="B3" s="2">
        <v>5374636.7000000002</v>
      </c>
      <c r="C3" s="2">
        <v>57133.252999999997</v>
      </c>
      <c r="D3" s="2">
        <v>725449.93</v>
      </c>
    </row>
    <row r="4" spans="1:4" x14ac:dyDescent="0.45">
      <c r="A4" s="1">
        <v>1992</v>
      </c>
      <c r="B4" s="2">
        <v>5462835.0829999996</v>
      </c>
      <c r="C4" s="2">
        <v>57409.877</v>
      </c>
      <c r="D4" s="2">
        <v>727517.08100000001</v>
      </c>
    </row>
    <row r="5" spans="1:4" x14ac:dyDescent="0.45">
      <c r="A5" s="1">
        <v>1993</v>
      </c>
      <c r="B5" s="2">
        <v>5549144.5489999996</v>
      </c>
      <c r="C5" s="2">
        <v>57699.862999999998</v>
      </c>
      <c r="D5" s="2">
        <v>727716.30099999998</v>
      </c>
    </row>
    <row r="6" spans="1:4" x14ac:dyDescent="0.45">
      <c r="A6" s="1">
        <v>1994</v>
      </c>
      <c r="B6" s="2">
        <v>5633945.0449999999</v>
      </c>
      <c r="C6" s="2">
        <v>57902.67</v>
      </c>
      <c r="D6" s="2">
        <v>728295.52300000004</v>
      </c>
    </row>
    <row r="7" spans="1:4" x14ac:dyDescent="0.45">
      <c r="A7" s="1">
        <v>1995</v>
      </c>
      <c r="B7" s="2">
        <v>5717157.466</v>
      </c>
      <c r="C7" s="2">
        <v>58097.063000000002</v>
      </c>
      <c r="D7" s="2">
        <v>729473.78</v>
      </c>
    </row>
    <row r="8" spans="1:4" x14ac:dyDescent="0.45">
      <c r="A8" s="1">
        <v>1996</v>
      </c>
      <c r="B8" s="2">
        <v>5800600.4979999997</v>
      </c>
      <c r="C8" s="2">
        <v>58287.343000000001</v>
      </c>
      <c r="D8" s="2">
        <v>729287.41799999995</v>
      </c>
    </row>
    <row r="9" spans="1:4" x14ac:dyDescent="0.45">
      <c r="A9" s="1">
        <v>1997</v>
      </c>
      <c r="B9" s="2">
        <v>5883510.9689999996</v>
      </c>
      <c r="C9" s="2">
        <v>58473.94</v>
      </c>
      <c r="D9" s="2">
        <v>729452.23499999999</v>
      </c>
    </row>
    <row r="10" spans="1:4" x14ac:dyDescent="0.45">
      <c r="A10" s="1">
        <v>1998</v>
      </c>
      <c r="B10" s="2">
        <v>5966064.6639999999</v>
      </c>
      <c r="C10" s="2">
        <v>58663.38</v>
      </c>
      <c r="D10" s="2">
        <v>729398.01599999995</v>
      </c>
    </row>
    <row r="11" spans="1:4" x14ac:dyDescent="0.45">
      <c r="A11" s="1">
        <v>1999</v>
      </c>
      <c r="B11" s="2">
        <v>6048068.7149999999</v>
      </c>
      <c r="C11" s="2">
        <v>58894.252</v>
      </c>
      <c r="D11" s="2">
        <v>728330.19400000002</v>
      </c>
    </row>
    <row r="12" spans="1:4" x14ac:dyDescent="0.45">
      <c r="A12" s="1">
        <v>2000</v>
      </c>
      <c r="B12" s="2">
        <v>6129943.9639999997</v>
      </c>
      <c r="C12" s="2">
        <v>59274.167999999998</v>
      </c>
      <c r="D12" s="2">
        <v>728105.16299999994</v>
      </c>
    </row>
    <row r="13" spans="1:4" x14ac:dyDescent="0.45">
      <c r="A13" s="1">
        <v>2001</v>
      </c>
      <c r="B13" s="2">
        <v>6213462.023</v>
      </c>
      <c r="C13" s="2">
        <v>59693.264999999999</v>
      </c>
      <c r="D13" s="2">
        <v>728223.255</v>
      </c>
    </row>
    <row r="14" spans="1:4" x14ac:dyDescent="0.45">
      <c r="A14" s="1">
        <v>2002</v>
      </c>
      <c r="B14" s="2">
        <v>6296410.8959999997</v>
      </c>
      <c r="C14" s="2">
        <v>60116.99</v>
      </c>
      <c r="D14" s="2">
        <v>728252.19</v>
      </c>
    </row>
    <row r="15" spans="1:4" x14ac:dyDescent="0.45">
      <c r="A15" s="1">
        <v>2003</v>
      </c>
      <c r="B15" s="2">
        <v>6379049.7879999997</v>
      </c>
      <c r="C15" s="2">
        <v>60537.506000000001</v>
      </c>
      <c r="D15" s="2">
        <v>730000.83799999999</v>
      </c>
    </row>
    <row r="16" spans="1:4" x14ac:dyDescent="0.45">
      <c r="A16" s="1">
        <v>2004</v>
      </c>
      <c r="B16" s="2">
        <v>6461673.4790000003</v>
      </c>
      <c r="C16" s="2">
        <v>60944.745000000003</v>
      </c>
      <c r="D16" s="2">
        <v>730751.91200000001</v>
      </c>
    </row>
    <row r="17" spans="1:4" x14ac:dyDescent="0.45">
      <c r="A17" s="1">
        <v>2005</v>
      </c>
      <c r="B17" s="2">
        <v>6545082.0650000004</v>
      </c>
      <c r="C17" s="2">
        <v>61405.748</v>
      </c>
      <c r="D17" s="2">
        <v>731740.46699999995</v>
      </c>
    </row>
    <row r="18" spans="1:4" x14ac:dyDescent="0.45">
      <c r="A18" s="1">
        <v>2006</v>
      </c>
      <c r="B18" s="2">
        <v>6628858.1979999999</v>
      </c>
      <c r="C18" s="2">
        <v>61844.315999999999</v>
      </c>
      <c r="D18" s="2">
        <v>732352.56200000003</v>
      </c>
    </row>
    <row r="19" spans="1:4" x14ac:dyDescent="0.45">
      <c r="A19" s="1">
        <v>2007</v>
      </c>
      <c r="B19" s="2">
        <v>6714045.8329999996</v>
      </c>
      <c r="C19" s="2">
        <v>62255.358999999997</v>
      </c>
      <c r="D19" s="2">
        <v>733015.57299999997</v>
      </c>
    </row>
    <row r="20" spans="1:4" x14ac:dyDescent="0.45">
      <c r="A20" s="1">
        <v>2008</v>
      </c>
      <c r="B20" s="2">
        <v>6800571.7300000004</v>
      </c>
      <c r="C20" s="2">
        <v>62609.519</v>
      </c>
      <c r="D20" s="2">
        <v>734777.08299999998</v>
      </c>
    </row>
    <row r="21" spans="1:4" x14ac:dyDescent="0.45">
      <c r="A21" s="1">
        <v>2009</v>
      </c>
      <c r="B21" s="2">
        <v>6888343.5939999996</v>
      </c>
      <c r="C21" s="2">
        <v>62950.860999999997</v>
      </c>
      <c r="D21" s="2">
        <v>736321.8</v>
      </c>
    </row>
    <row r="22" spans="1:4" x14ac:dyDescent="0.45">
      <c r="A22" s="1">
        <v>2010</v>
      </c>
      <c r="B22" s="2">
        <v>6977189.2369999997</v>
      </c>
      <c r="C22" s="2">
        <v>63262.065000000002</v>
      </c>
      <c r="D22" s="2">
        <v>737549.64</v>
      </c>
    </row>
    <row r="23" spans="1:4" x14ac:dyDescent="0.45">
      <c r="A23" s="1">
        <v>2011</v>
      </c>
      <c r="B23" s="2">
        <v>7066275.0590000004</v>
      </c>
      <c r="C23" s="2">
        <v>63572.66</v>
      </c>
      <c r="D23" s="2">
        <v>738740.995</v>
      </c>
    </row>
    <row r="24" spans="1:4" x14ac:dyDescent="0.45">
      <c r="A24" s="1">
        <v>2012</v>
      </c>
      <c r="B24" s="2">
        <v>7155572.4720000001</v>
      </c>
      <c r="C24" s="2">
        <v>63894.894</v>
      </c>
      <c r="D24" s="2">
        <v>739977.41500000004</v>
      </c>
    </row>
    <row r="25" spans="1:4" x14ac:dyDescent="0.45">
      <c r="A25" s="1">
        <v>2013</v>
      </c>
      <c r="B25" s="2">
        <v>7246832.4970000004</v>
      </c>
      <c r="C25" s="2">
        <v>64222.036999999997</v>
      </c>
      <c r="D25" s="2">
        <v>740940.27500000002</v>
      </c>
    </row>
    <row r="26" spans="1:4" x14ac:dyDescent="0.45">
      <c r="A26" s="1">
        <v>2014</v>
      </c>
      <c r="B26" s="2">
        <v>7336754.6730000004</v>
      </c>
      <c r="C26" s="2">
        <v>64553.430999999997</v>
      </c>
      <c r="D26" s="2">
        <v>742001.28700000001</v>
      </c>
    </row>
    <row r="27" spans="1:4" x14ac:dyDescent="0.45">
      <c r="A27" s="1">
        <v>2015</v>
      </c>
      <c r="B27" s="2">
        <v>7426477.8150000004</v>
      </c>
      <c r="C27" s="2">
        <v>64831.553999999996</v>
      </c>
      <c r="D27" s="2">
        <v>743279.99399999995</v>
      </c>
    </row>
    <row r="28" spans="1:4" x14ac:dyDescent="0.45">
      <c r="A28" s="1">
        <v>2016</v>
      </c>
      <c r="B28" s="2">
        <v>7514505.9280000003</v>
      </c>
      <c r="C28" s="2">
        <v>65001.118000000002</v>
      </c>
      <c r="D28" s="2">
        <v>745194.076</v>
      </c>
    </row>
    <row r="29" spans="1:4" x14ac:dyDescent="0.45">
      <c r="A29" s="1">
        <v>2017</v>
      </c>
      <c r="B29" s="2">
        <v>7602603.1229999997</v>
      </c>
      <c r="C29" s="2">
        <v>65172.593000000001</v>
      </c>
      <c r="D29" s="2">
        <v>746812.14</v>
      </c>
    </row>
    <row r="30" spans="1:4" x14ac:dyDescent="0.45">
      <c r="A30" s="1">
        <v>2018</v>
      </c>
      <c r="B30" s="2">
        <v>7688632.7850000001</v>
      </c>
      <c r="C30" s="2">
        <v>65396.959000000003</v>
      </c>
      <c r="D30" s="2">
        <v>748046.28399999999</v>
      </c>
    </row>
    <row r="31" spans="1:4" x14ac:dyDescent="0.45">
      <c r="A31" s="1">
        <v>2019</v>
      </c>
      <c r="B31" s="2">
        <v>7771172.7759999996</v>
      </c>
      <c r="C31" s="2">
        <v>65642.126000000004</v>
      </c>
      <c r="D31" s="2">
        <v>749083.44900000002</v>
      </c>
    </row>
    <row r="32" spans="1:4" x14ac:dyDescent="0.45">
      <c r="A32" s="1">
        <v>2020</v>
      </c>
      <c r="B32" s="2">
        <v>7851414.6210000003</v>
      </c>
      <c r="C32" s="2">
        <v>65816.792000000001</v>
      </c>
      <c r="D32" s="2">
        <v>749924.80500000005</v>
      </c>
    </row>
    <row r="33" spans="1:4" x14ac:dyDescent="0.45">
      <c r="A33" s="1">
        <v>2021</v>
      </c>
      <c r="B33" s="2">
        <v>7922587.9630000005</v>
      </c>
      <c r="C33" s="2">
        <v>65993.763000000006</v>
      </c>
      <c r="D33" s="2">
        <v>749123.28399999999</v>
      </c>
    </row>
    <row r="34" spans="1:4" x14ac:dyDescent="0.45">
      <c r="A34" s="1">
        <v>2022</v>
      </c>
      <c r="B34" s="2">
        <v>7986308.8200000003</v>
      </c>
      <c r="C34" s="2">
        <v>66173.331999999995</v>
      </c>
      <c r="D34" s="2">
        <v>748103.72499999998</v>
      </c>
    </row>
    <row r="35" spans="1:4" x14ac:dyDescent="0.45">
      <c r="A35" s="1">
        <v>2023</v>
      </c>
      <c r="B35" s="2">
        <v>8056505.5640000002</v>
      </c>
      <c r="C35" s="2">
        <v>66381.485000000001</v>
      </c>
      <c r="D35" s="2">
        <v>745825.46</v>
      </c>
    </row>
    <row r="36" spans="1:4" x14ac:dyDescent="0.45">
      <c r="A36" s="1">
        <v>2024</v>
      </c>
      <c r="B36" s="2">
        <v>8126964.2960000001</v>
      </c>
      <c r="C36" s="2">
        <v>66496.159</v>
      </c>
      <c r="D36" s="2">
        <v>745380.28899999999</v>
      </c>
    </row>
    <row r="37" spans="1:4" x14ac:dyDescent="0.45">
      <c r="A37" s="1">
        <v>2025</v>
      </c>
      <c r="B37" s="2">
        <v>8196980.8490000004</v>
      </c>
      <c r="C37" s="2">
        <v>66600.902000000002</v>
      </c>
      <c r="D37" s="2">
        <v>744787.35800000001</v>
      </c>
    </row>
    <row r="38" spans="1:4" x14ac:dyDescent="0.45">
      <c r="A38" s="1">
        <v>2026</v>
      </c>
      <c r="B38" s="2">
        <v>8266245.2910000002</v>
      </c>
      <c r="C38" s="2">
        <v>66700.706999999995</v>
      </c>
      <c r="D38" s="2">
        <v>744010.30599999998</v>
      </c>
    </row>
    <row r="39" spans="1:4" x14ac:dyDescent="0.45">
      <c r="A39" s="1">
        <v>2027</v>
      </c>
      <c r="B39" s="2">
        <v>8335111.5</v>
      </c>
      <c r="C39" s="2">
        <v>66792.093999999997</v>
      </c>
      <c r="D39" s="2">
        <v>742954.41700000002</v>
      </c>
    </row>
    <row r="40" spans="1:4" x14ac:dyDescent="0.45">
      <c r="A40" s="1">
        <v>2028</v>
      </c>
      <c r="B40" s="2">
        <v>8403077.1889999993</v>
      </c>
      <c r="C40" s="2">
        <v>66884.429000000004</v>
      </c>
      <c r="D40" s="2">
        <v>741789.71200000006</v>
      </c>
    </row>
    <row r="41" spans="1:4" x14ac:dyDescent="0.45">
      <c r="A41" s="1">
        <v>2029</v>
      </c>
      <c r="B41" s="2">
        <v>8470160.5840000007</v>
      </c>
      <c r="C41" s="2">
        <v>66972.842999999993</v>
      </c>
      <c r="D41" s="2">
        <v>740527.35400000005</v>
      </c>
    </row>
    <row r="42" spans="1:4" x14ac:dyDescent="0.45">
      <c r="A42" s="1">
        <v>2030</v>
      </c>
      <c r="B42" s="2">
        <v>8536410.0620000008</v>
      </c>
      <c r="C42" s="2">
        <v>67063.815000000002</v>
      </c>
      <c r="D42" s="2">
        <v>739157.09199999995</v>
      </c>
    </row>
    <row r="43" spans="1:4" x14ac:dyDescent="0.45">
      <c r="A43" s="1">
        <v>2031</v>
      </c>
      <c r="B43" s="2">
        <v>8601839.7599999998</v>
      </c>
      <c r="C43" s="2">
        <v>67151.566999999995</v>
      </c>
      <c r="D43" s="2">
        <v>737709.81599999999</v>
      </c>
    </row>
    <row r="44" spans="1:4" x14ac:dyDescent="0.45">
      <c r="A44" s="1">
        <v>2032</v>
      </c>
      <c r="B44" s="2">
        <v>8666398.9069999997</v>
      </c>
      <c r="C44" s="2">
        <v>67238.142999999996</v>
      </c>
      <c r="D44" s="2">
        <v>736143.12100000004</v>
      </c>
    </row>
    <row r="45" spans="1:4" x14ac:dyDescent="0.45">
      <c r="A45" s="1">
        <v>2033</v>
      </c>
      <c r="B45" s="2">
        <v>8730060.7170000002</v>
      </c>
      <c r="C45" s="2">
        <v>67325.816000000006</v>
      </c>
      <c r="D45" s="2">
        <v>734589.397</v>
      </c>
    </row>
    <row r="46" spans="1:4" x14ac:dyDescent="0.45">
      <c r="A46" s="1">
        <v>2034</v>
      </c>
      <c r="B46" s="2">
        <v>8792837.4450000003</v>
      </c>
      <c r="C46" s="2">
        <v>67412.827000000005</v>
      </c>
      <c r="D46" s="2">
        <v>733012.58799999999</v>
      </c>
    </row>
    <row r="47" spans="1:4" x14ac:dyDescent="0.45">
      <c r="A47" s="1">
        <v>2035</v>
      </c>
      <c r="B47" s="2">
        <v>8854732.3719999995</v>
      </c>
      <c r="C47" s="2">
        <v>67503.471999999994</v>
      </c>
      <c r="D47" s="2">
        <v>731408.71900000004</v>
      </c>
    </row>
    <row r="48" spans="1:4" x14ac:dyDescent="0.45">
      <c r="A48" s="1">
        <v>2036</v>
      </c>
      <c r="B48" s="2">
        <v>8915687.9900000002</v>
      </c>
      <c r="C48" s="2">
        <v>67592.418999999994</v>
      </c>
      <c r="D48" s="2">
        <v>729772.30099999998</v>
      </c>
    </row>
    <row r="49" spans="1:4" x14ac:dyDescent="0.45">
      <c r="A49" s="1">
        <v>2037</v>
      </c>
      <c r="B49" s="2">
        <v>8975685.2390000001</v>
      </c>
      <c r="C49" s="2">
        <v>67678.212</v>
      </c>
      <c r="D49" s="2">
        <v>728095.92099999997</v>
      </c>
    </row>
    <row r="50" spans="1:4" x14ac:dyDescent="0.45">
      <c r="A50" s="1">
        <v>2038</v>
      </c>
      <c r="B50" s="2">
        <v>9034620.0089999996</v>
      </c>
      <c r="C50" s="2">
        <v>67764.008000000002</v>
      </c>
      <c r="D50" s="2">
        <v>726400.87600000005</v>
      </c>
    </row>
    <row r="51" spans="1:4" x14ac:dyDescent="0.45">
      <c r="A51" s="1">
        <v>2039</v>
      </c>
      <c r="B51" s="2">
        <v>9092525.8430000003</v>
      </c>
      <c r="C51" s="2">
        <v>67839.845000000001</v>
      </c>
      <c r="D51" s="2">
        <v>724703.647</v>
      </c>
    </row>
    <row r="52" spans="1:4" x14ac:dyDescent="0.45">
      <c r="A52" s="1">
        <v>2040</v>
      </c>
      <c r="B52" s="2">
        <v>9149330.9169999994</v>
      </c>
      <c r="C52" s="2">
        <v>67906.960999999996</v>
      </c>
      <c r="D52" s="2">
        <v>722958.26199999999</v>
      </c>
    </row>
    <row r="53" spans="1:4" x14ac:dyDescent="0.45">
      <c r="A53" s="1">
        <v>2041</v>
      </c>
      <c r="B53" s="2">
        <v>9205049.4879999999</v>
      </c>
      <c r="C53" s="2">
        <v>67970.846999999994</v>
      </c>
      <c r="D53" s="2">
        <v>721244.98499999999</v>
      </c>
    </row>
    <row r="54" spans="1:4" x14ac:dyDescent="0.45">
      <c r="A54" s="1">
        <v>2042</v>
      </c>
      <c r="B54" s="2">
        <v>9259513.6620000005</v>
      </c>
      <c r="C54" s="2">
        <v>68034.303</v>
      </c>
      <c r="D54" s="2">
        <v>719536.97499999998</v>
      </c>
    </row>
    <row r="55" spans="1:4" x14ac:dyDescent="0.45">
      <c r="A55" s="1">
        <v>2043</v>
      </c>
      <c r="B55" s="2">
        <v>9312707.0789999999</v>
      </c>
      <c r="C55" s="2">
        <v>68093.417000000001</v>
      </c>
      <c r="D55" s="2">
        <v>717819.94799999997</v>
      </c>
    </row>
    <row r="56" spans="1:4" x14ac:dyDescent="0.45">
      <c r="A56" s="1">
        <v>2044</v>
      </c>
      <c r="B56" s="2">
        <v>9364615.5490000006</v>
      </c>
      <c r="C56" s="2">
        <v>68138.154999999999</v>
      </c>
      <c r="D56" s="2">
        <v>716032.201</v>
      </c>
    </row>
    <row r="57" spans="1:4" x14ac:dyDescent="0.45">
      <c r="A57" s="1">
        <v>2045</v>
      </c>
      <c r="B57" s="2">
        <v>9415131.8379999995</v>
      </c>
      <c r="C57" s="2">
        <v>68176.009999999995</v>
      </c>
      <c r="D57" s="2">
        <v>714211.69299999997</v>
      </c>
    </row>
    <row r="58" spans="1:4" x14ac:dyDescent="0.45">
      <c r="A58" s="1">
        <v>2046</v>
      </c>
      <c r="B58" s="2">
        <v>9464147.4979999997</v>
      </c>
      <c r="C58" s="2">
        <v>68205.899000000005</v>
      </c>
      <c r="D58" s="2">
        <v>712348.01199999999</v>
      </c>
    </row>
    <row r="59" spans="1:4" x14ac:dyDescent="0.45">
      <c r="A59" s="1">
        <v>2047</v>
      </c>
      <c r="B59" s="2">
        <v>9511631.7100000009</v>
      </c>
      <c r="C59" s="2">
        <v>68223.445999999996</v>
      </c>
      <c r="D59" s="2">
        <v>710440.74300000002</v>
      </c>
    </row>
    <row r="60" spans="1:4" x14ac:dyDescent="0.45">
      <c r="A60" s="1">
        <v>2048</v>
      </c>
      <c r="B60" s="2">
        <v>9557460.2449999992</v>
      </c>
      <c r="C60" s="2">
        <v>68234.707999999999</v>
      </c>
      <c r="D60" s="2">
        <v>708437.35199999996</v>
      </c>
    </row>
    <row r="61" spans="1:4" x14ac:dyDescent="0.45">
      <c r="A61" s="1">
        <v>2049</v>
      </c>
      <c r="B61" s="2">
        <v>9601611.841</v>
      </c>
      <c r="C61" s="2">
        <v>68235.870999999999</v>
      </c>
      <c r="D61" s="2">
        <v>706353.86800000002</v>
      </c>
    </row>
    <row r="62" spans="1:4" x14ac:dyDescent="0.45">
      <c r="A62" s="1">
        <v>2050</v>
      </c>
      <c r="B62" s="2">
        <v>9644036.216</v>
      </c>
      <c r="C62" s="2">
        <v>68226.879000000001</v>
      </c>
      <c r="D62" s="2">
        <v>704160.17799999996</v>
      </c>
    </row>
    <row r="63" spans="1:4" x14ac:dyDescent="0.45">
      <c r="A63" s="1">
        <v>2051</v>
      </c>
      <c r="B63" s="2">
        <v>9684720.9580000006</v>
      </c>
      <c r="C63" s="2">
        <v>68212.471000000005</v>
      </c>
      <c r="D63" s="2">
        <v>701895.34</v>
      </c>
    </row>
    <row r="64" spans="1:4" x14ac:dyDescent="0.45">
      <c r="A64" s="1">
        <v>2052</v>
      </c>
      <c r="B64" s="2">
        <v>9723663.6490000002</v>
      </c>
      <c r="C64" s="2">
        <v>68188.038</v>
      </c>
      <c r="D64" s="2">
        <v>699538.17700000003</v>
      </c>
    </row>
    <row r="65" spans="1:4" x14ac:dyDescent="0.45">
      <c r="A65" s="1">
        <v>2053</v>
      </c>
      <c r="B65" s="2">
        <v>9760865.3809999991</v>
      </c>
      <c r="C65" s="2">
        <v>68163.502999999997</v>
      </c>
      <c r="D65" s="2">
        <v>697115.44700000004</v>
      </c>
    </row>
    <row r="66" spans="1:4" x14ac:dyDescent="0.45">
      <c r="A66" s="1">
        <v>2054</v>
      </c>
      <c r="B66" s="2">
        <v>9796363.8469999991</v>
      </c>
      <c r="C66" s="2">
        <v>68130.36</v>
      </c>
      <c r="D66" s="2">
        <v>694513.78700000001</v>
      </c>
    </row>
    <row r="67" spans="1:4" x14ac:dyDescent="0.45">
      <c r="A67" s="1">
        <v>2055</v>
      </c>
      <c r="B67" s="2">
        <v>9830139.4710000008</v>
      </c>
      <c r="C67" s="2">
        <v>68091.668999999994</v>
      </c>
      <c r="D67" s="2">
        <v>691851.88199999998</v>
      </c>
    </row>
    <row r="68" spans="1:4" x14ac:dyDescent="0.45">
      <c r="A68" s="1">
        <v>2056</v>
      </c>
      <c r="B68" s="2">
        <v>9862335.6699999999</v>
      </c>
      <c r="C68" s="2">
        <v>68043.592999999993</v>
      </c>
      <c r="D68" s="2">
        <v>689074.61100000003</v>
      </c>
    </row>
    <row r="69" spans="1:4" x14ac:dyDescent="0.45">
      <c r="A69" s="1">
        <v>2057</v>
      </c>
      <c r="B69" s="2">
        <v>9893025.1140000001</v>
      </c>
      <c r="C69" s="2">
        <v>68000.72</v>
      </c>
      <c r="D69" s="2">
        <v>686255.70799999998</v>
      </c>
    </row>
    <row r="70" spans="1:4" x14ac:dyDescent="0.45">
      <c r="A70" s="1">
        <v>2058</v>
      </c>
      <c r="B70" s="2">
        <v>9922249.2719999999</v>
      </c>
      <c r="C70" s="2">
        <v>67956.618000000002</v>
      </c>
      <c r="D70" s="2">
        <v>683407.30299999996</v>
      </c>
    </row>
    <row r="71" spans="1:4" x14ac:dyDescent="0.45">
      <c r="A71" s="1">
        <v>2059</v>
      </c>
      <c r="B71" s="2">
        <v>9950079.4859999996</v>
      </c>
      <c r="C71" s="2">
        <v>67915.081000000006</v>
      </c>
      <c r="D71" s="2">
        <v>680520.071</v>
      </c>
    </row>
    <row r="72" spans="1:4" x14ac:dyDescent="0.45">
      <c r="A72" s="1">
        <v>2060</v>
      </c>
      <c r="B72" s="2">
        <v>9976594.6789999995</v>
      </c>
      <c r="C72" s="2">
        <v>67870.823000000004</v>
      </c>
      <c r="D72" s="2">
        <v>677603.74899999995</v>
      </c>
    </row>
    <row r="73" spans="1:4" x14ac:dyDescent="0.45">
      <c r="A73" s="1">
        <v>2061</v>
      </c>
      <c r="B73" s="2">
        <v>10001869.904999999</v>
      </c>
      <c r="C73" s="2">
        <v>67829.766000000003</v>
      </c>
      <c r="D73" s="2">
        <v>674715.93099999998</v>
      </c>
    </row>
    <row r="74" spans="1:4" x14ac:dyDescent="0.45">
      <c r="A74" s="1">
        <v>2062</v>
      </c>
      <c r="B74" s="2">
        <v>10025962.521</v>
      </c>
      <c r="C74" s="2">
        <v>67791.349000000002</v>
      </c>
      <c r="D74" s="2">
        <v>671815.46400000004</v>
      </c>
    </row>
    <row r="75" spans="1:4" x14ac:dyDescent="0.45">
      <c r="A75" s="1">
        <v>2063</v>
      </c>
      <c r="B75" s="2">
        <v>10048970.677999999</v>
      </c>
      <c r="C75" s="2">
        <v>67753.883000000002</v>
      </c>
      <c r="D75" s="2">
        <v>668937.91299999994</v>
      </c>
    </row>
    <row r="76" spans="1:4" x14ac:dyDescent="0.45">
      <c r="A76" s="1">
        <v>2064</v>
      </c>
      <c r="B76" s="2">
        <v>10070929.392000001</v>
      </c>
      <c r="C76" s="2">
        <v>67725.445000000007</v>
      </c>
      <c r="D76" s="2">
        <v>666081.65899999999</v>
      </c>
    </row>
    <row r="77" spans="1:4" x14ac:dyDescent="0.45">
      <c r="A77" s="1">
        <v>2065</v>
      </c>
      <c r="B77" s="2">
        <v>10091876.081</v>
      </c>
      <c r="C77" s="2">
        <v>67701.849000000002</v>
      </c>
      <c r="D77" s="2">
        <v>663254.68299999996</v>
      </c>
    </row>
    <row r="78" spans="1:4" x14ac:dyDescent="0.45">
      <c r="A78" s="1">
        <v>2066</v>
      </c>
      <c r="B78" s="2">
        <v>10111823.040999999</v>
      </c>
      <c r="C78" s="2">
        <v>67681.759999999995</v>
      </c>
      <c r="D78" s="2">
        <v>660460.06999999995</v>
      </c>
    </row>
    <row r="79" spans="1:4" x14ac:dyDescent="0.45">
      <c r="A79" s="1">
        <v>2067</v>
      </c>
      <c r="B79" s="2">
        <v>10130811.174000001</v>
      </c>
      <c r="C79" s="2">
        <v>67672.839000000007</v>
      </c>
      <c r="D79" s="2">
        <v>657736.19900000002</v>
      </c>
    </row>
    <row r="80" spans="1:4" x14ac:dyDescent="0.45">
      <c r="A80" s="1">
        <v>2068</v>
      </c>
      <c r="B80" s="2">
        <v>10148805.547</v>
      </c>
      <c r="C80" s="2">
        <v>67665.263999999996</v>
      </c>
      <c r="D80" s="2">
        <v>655082.67299999995</v>
      </c>
    </row>
    <row r="81" spans="1:4" x14ac:dyDescent="0.45">
      <c r="A81" s="1">
        <v>2069</v>
      </c>
      <c r="B81" s="2">
        <v>10165798.334000001</v>
      </c>
      <c r="C81" s="2">
        <v>67663.296000000002</v>
      </c>
      <c r="D81" s="2">
        <v>652466.40500000003</v>
      </c>
    </row>
    <row r="82" spans="1:4" x14ac:dyDescent="0.45">
      <c r="A82" s="1">
        <v>2070</v>
      </c>
      <c r="B82" s="2">
        <v>10181765.935000001</v>
      </c>
      <c r="C82" s="2">
        <v>67672.922000000006</v>
      </c>
      <c r="D82" s="2">
        <v>649895.46600000001</v>
      </c>
    </row>
    <row r="83" spans="1:4" x14ac:dyDescent="0.45">
      <c r="A83" s="1">
        <v>2071</v>
      </c>
      <c r="B83" s="2">
        <v>10196717.982999999</v>
      </c>
      <c r="C83" s="2">
        <v>67684.888000000006</v>
      </c>
      <c r="D83" s="2">
        <v>647385.17299999995</v>
      </c>
    </row>
    <row r="84" spans="1:4" x14ac:dyDescent="0.45">
      <c r="A84" s="1">
        <v>2072</v>
      </c>
      <c r="B84" s="2">
        <v>10210645.153999999</v>
      </c>
      <c r="C84" s="2">
        <v>67711.907000000007</v>
      </c>
      <c r="D84" s="2">
        <v>644924.50300000003</v>
      </c>
    </row>
    <row r="85" spans="1:4" x14ac:dyDescent="0.45">
      <c r="A85" s="1">
        <v>2073</v>
      </c>
      <c r="B85" s="2">
        <v>10223465.184</v>
      </c>
      <c r="C85" s="2">
        <v>67737.119999999995</v>
      </c>
      <c r="D85" s="2">
        <v>642548.04799999995</v>
      </c>
    </row>
    <row r="86" spans="1:4" x14ac:dyDescent="0.45">
      <c r="A86" s="1">
        <v>2074</v>
      </c>
      <c r="B86" s="2">
        <v>10235190.464</v>
      </c>
      <c r="C86" s="2">
        <v>67767.558999999994</v>
      </c>
      <c r="D86" s="2">
        <v>640200.39800000004</v>
      </c>
    </row>
    <row r="87" spans="1:4" x14ac:dyDescent="0.45">
      <c r="A87" s="1">
        <v>2075</v>
      </c>
      <c r="B87" s="2">
        <v>10245779.647</v>
      </c>
      <c r="C87" s="2">
        <v>67801.61</v>
      </c>
      <c r="D87" s="2">
        <v>637905.63800000004</v>
      </c>
    </row>
    <row r="88" spans="1:4" x14ac:dyDescent="0.45">
      <c r="A88" s="1">
        <v>2076</v>
      </c>
      <c r="B88" s="2">
        <v>10255213.216</v>
      </c>
      <c r="C88" s="2">
        <v>67842.911999999997</v>
      </c>
      <c r="D88" s="2">
        <v>635718.05700000003</v>
      </c>
    </row>
    <row r="89" spans="1:4" x14ac:dyDescent="0.45">
      <c r="A89" s="1">
        <v>2077</v>
      </c>
      <c r="B89" s="2">
        <v>10263489.648</v>
      </c>
      <c r="C89" s="2">
        <v>67884.960000000006</v>
      </c>
      <c r="D89" s="2">
        <v>633586.69099999999</v>
      </c>
    </row>
    <row r="90" spans="1:4" x14ac:dyDescent="0.45">
      <c r="A90" s="1">
        <v>2078</v>
      </c>
      <c r="B90" s="2">
        <v>10270600.397</v>
      </c>
      <c r="C90" s="2">
        <v>67925.676000000007</v>
      </c>
      <c r="D90" s="2">
        <v>631465.69099999999</v>
      </c>
    </row>
    <row r="91" spans="1:4" x14ac:dyDescent="0.45">
      <c r="A91" s="1">
        <v>2079</v>
      </c>
      <c r="B91" s="2">
        <v>10276512.248</v>
      </c>
      <c r="C91" s="2">
        <v>67964.732000000004</v>
      </c>
      <c r="D91" s="2">
        <v>629415.12899999996</v>
      </c>
    </row>
    <row r="92" spans="1:4" x14ac:dyDescent="0.45">
      <c r="A92" s="1">
        <v>2080</v>
      </c>
      <c r="B92" s="2">
        <v>10281262.698000001</v>
      </c>
      <c r="C92" s="2">
        <v>68004.89</v>
      </c>
      <c r="D92" s="2">
        <v>627404.68799999997</v>
      </c>
    </row>
    <row r="93" spans="1:4" x14ac:dyDescent="0.45">
      <c r="A93" s="1">
        <v>2081</v>
      </c>
      <c r="B93" s="2">
        <v>10284893.358999999</v>
      </c>
      <c r="C93" s="2">
        <v>68044.983999999997</v>
      </c>
      <c r="D93" s="2">
        <v>625461.88899999997</v>
      </c>
    </row>
    <row r="94" spans="1:4" x14ac:dyDescent="0.45">
      <c r="A94" s="1">
        <v>2082</v>
      </c>
      <c r="B94" s="2">
        <v>10287430.111</v>
      </c>
      <c r="C94" s="2">
        <v>68088.646999999997</v>
      </c>
      <c r="D94" s="2">
        <v>623586.20299999998</v>
      </c>
    </row>
    <row r="95" spans="1:4" x14ac:dyDescent="0.45">
      <c r="A95" s="1">
        <v>2083</v>
      </c>
      <c r="B95" s="2">
        <v>10288979.989</v>
      </c>
      <c r="C95" s="2">
        <v>68128.232000000004</v>
      </c>
      <c r="D95" s="2">
        <v>621727.15399999998</v>
      </c>
    </row>
    <row r="96" spans="1:4" x14ac:dyDescent="0.45">
      <c r="A96" s="1">
        <v>2084</v>
      </c>
      <c r="B96" s="2">
        <v>10289514.658</v>
      </c>
      <c r="C96" s="2">
        <v>68178.400999999998</v>
      </c>
      <c r="D96" s="2">
        <v>619907.59900000005</v>
      </c>
    </row>
    <row r="97" spans="1:5" x14ac:dyDescent="0.45">
      <c r="A97" s="1">
        <v>2085</v>
      </c>
      <c r="B97" s="2">
        <v>10289115.83</v>
      </c>
      <c r="C97" s="2">
        <v>68219.483999999997</v>
      </c>
      <c r="D97" s="2">
        <v>618109.28700000001</v>
      </c>
    </row>
    <row r="98" spans="1:5" x14ac:dyDescent="0.45">
      <c r="A98" s="1">
        <v>2086</v>
      </c>
      <c r="B98" s="2">
        <v>10287797.368000001</v>
      </c>
      <c r="C98" s="2">
        <v>68255.823000000004</v>
      </c>
      <c r="D98" s="2">
        <v>616324.20200000005</v>
      </c>
    </row>
    <row r="99" spans="1:5" x14ac:dyDescent="0.45">
      <c r="A99" s="1">
        <v>2087</v>
      </c>
      <c r="B99" s="2">
        <v>10285619.351</v>
      </c>
      <c r="C99" s="2">
        <v>68297.081999999995</v>
      </c>
      <c r="D99" s="2">
        <v>614569.38399999996</v>
      </c>
    </row>
    <row r="100" spans="1:5" x14ac:dyDescent="0.45">
      <c r="A100" s="1">
        <v>2088</v>
      </c>
      <c r="B100" s="2">
        <v>10282603.396</v>
      </c>
      <c r="C100" s="2">
        <v>68335.501000000004</v>
      </c>
      <c r="D100" s="2">
        <v>612868.772</v>
      </c>
    </row>
    <row r="101" spans="1:5" x14ac:dyDescent="0.45">
      <c r="A101" s="1">
        <v>2089</v>
      </c>
      <c r="B101" s="2">
        <v>10278805.749</v>
      </c>
      <c r="C101" s="2">
        <v>68373.388000000006</v>
      </c>
      <c r="D101" s="2">
        <v>611200.07799999998</v>
      </c>
    </row>
    <row r="102" spans="1:5" x14ac:dyDescent="0.45">
      <c r="A102" s="1">
        <v>2090</v>
      </c>
      <c r="B102" s="2">
        <v>10274230.810000001</v>
      </c>
      <c r="C102" s="2">
        <v>68405.998999999996</v>
      </c>
      <c r="D102" s="2">
        <v>609526.97699999996</v>
      </c>
    </row>
    <row r="103" spans="1:5" x14ac:dyDescent="0.45">
      <c r="A103" s="1">
        <v>2091</v>
      </c>
      <c r="B103" s="2">
        <v>10268899.331</v>
      </c>
      <c r="C103" s="2">
        <v>68437.766000000003</v>
      </c>
      <c r="D103" s="2">
        <v>607859.16</v>
      </c>
    </row>
    <row r="104" spans="1:5" x14ac:dyDescent="0.45">
      <c r="A104" s="1">
        <v>2092</v>
      </c>
      <c r="B104" s="2">
        <v>10262824.096000001</v>
      </c>
      <c r="C104" s="2">
        <v>68464.323999999993</v>
      </c>
      <c r="D104" s="2">
        <v>606237.61699999997</v>
      </c>
    </row>
    <row r="105" spans="1:5" x14ac:dyDescent="0.45">
      <c r="A105" s="1">
        <v>2093</v>
      </c>
      <c r="B105" s="2">
        <v>10255992.654999999</v>
      </c>
      <c r="C105" s="2">
        <v>68486.232000000004</v>
      </c>
      <c r="D105" s="2">
        <v>604606.87600000005</v>
      </c>
    </row>
    <row r="106" spans="1:5" x14ac:dyDescent="0.45">
      <c r="A106" s="1">
        <v>2094</v>
      </c>
      <c r="B106" s="2">
        <v>10248376.862</v>
      </c>
      <c r="C106" s="2">
        <v>68511.168999999994</v>
      </c>
      <c r="D106" s="2">
        <v>603012.85499999998</v>
      </c>
    </row>
    <row r="107" spans="1:5" x14ac:dyDescent="0.45">
      <c r="A107" s="1">
        <v>2095</v>
      </c>
      <c r="B107" s="2">
        <v>10239994.812000001</v>
      </c>
      <c r="C107" s="2">
        <v>68526.562000000005</v>
      </c>
      <c r="D107" s="2">
        <v>601427.07799999998</v>
      </c>
    </row>
    <row r="108" spans="1:5" x14ac:dyDescent="0.45">
      <c r="A108" s="1">
        <v>2096</v>
      </c>
      <c r="B108" s="2">
        <v>10230812.389</v>
      </c>
      <c r="C108" s="2">
        <v>68532.732000000004</v>
      </c>
      <c r="D108" s="2">
        <v>599799.50300000003</v>
      </c>
    </row>
    <row r="109" spans="1:5" x14ac:dyDescent="0.45">
      <c r="A109" s="1">
        <v>2097</v>
      </c>
      <c r="B109" s="2">
        <v>10220889.357999999</v>
      </c>
      <c r="C109" s="2">
        <v>68526.320999999996</v>
      </c>
      <c r="D109" s="2">
        <v>598134.46</v>
      </c>
    </row>
    <row r="110" spans="1:5" x14ac:dyDescent="0.45">
      <c r="A110" s="1">
        <v>2098</v>
      </c>
      <c r="B110" s="2">
        <v>10210209.263</v>
      </c>
      <c r="C110" s="2">
        <v>68521.392000000007</v>
      </c>
      <c r="D110" s="2">
        <v>596471.93000000005</v>
      </c>
    </row>
    <row r="111" spans="1:5" x14ac:dyDescent="0.45">
      <c r="A111" s="1">
        <v>2099</v>
      </c>
      <c r="B111" s="2">
        <v>10198770.460999999</v>
      </c>
      <c r="C111" s="2">
        <v>68511.785000000003</v>
      </c>
      <c r="D111" s="2">
        <v>594809.66299999994</v>
      </c>
    </row>
    <row r="112" spans="1:5" x14ac:dyDescent="0.45">
      <c r="A112" s="1">
        <v>2100</v>
      </c>
      <c r="B112" s="2">
        <v>10186607.67</v>
      </c>
      <c r="C112" s="2">
        <v>68495.709000000003</v>
      </c>
      <c r="D112" s="2">
        <v>593112.88</v>
      </c>
      <c r="E112">
        <f>37*1000000/(C115*1000)</f>
        <v>0.55133009054881488</v>
      </c>
    </row>
    <row r="114" spans="1:9" x14ac:dyDescent="0.45">
      <c r="A114" t="s">
        <v>74</v>
      </c>
      <c r="B114">
        <f>B27*100/B27</f>
        <v>100</v>
      </c>
      <c r="C114">
        <f>C27*100/B27</f>
        <v>0.87297849148694984</v>
      </c>
      <c r="D114">
        <f>D27*100/B27</f>
        <v>10.008512952112008</v>
      </c>
      <c r="F114" t="s">
        <v>75</v>
      </c>
      <c r="G114">
        <f>B31*100/B31</f>
        <v>99.999999999999986</v>
      </c>
      <c r="H114">
        <f>C31*100/B31</f>
        <v>0.84468751232407302</v>
      </c>
      <c r="I114">
        <f>D31*100/B31</f>
        <v>9.639258714121274</v>
      </c>
    </row>
    <row r="115" spans="1:9" ht="28.5" x14ac:dyDescent="0.45">
      <c r="A115" s="11" t="s">
        <v>25</v>
      </c>
      <c r="B115" s="9">
        <f>AVERAGE(B27:B63)</f>
        <v>8675392.0121351369</v>
      </c>
      <c r="C115" s="9">
        <f>AVERAGE(C27:C63)</f>
        <v>67110.431000000011</v>
      </c>
      <c r="D115" s="9">
        <f>AVERAGE(D27:D63)</f>
        <v>731385.82940540521</v>
      </c>
      <c r="F115" s="3" t="s">
        <v>76</v>
      </c>
      <c r="G115" s="4">
        <f>AVERAGE(B31:B63)</f>
        <v>8810826.8120606076</v>
      </c>
      <c r="H115" s="4">
        <f t="shared" ref="H115:I115" si="0">AVERAGE(C31:C63)</f>
        <v>67354.052212121213</v>
      </c>
      <c r="I115" s="4">
        <f t="shared" si="0"/>
        <v>729634.64224242419</v>
      </c>
    </row>
    <row r="116" spans="1:9" x14ac:dyDescent="0.45">
      <c r="A116" s="10" t="s">
        <v>21</v>
      </c>
      <c r="B116" s="8">
        <f>B115/B115</f>
        <v>1</v>
      </c>
      <c r="C116" s="7">
        <f>C115*100/B115</f>
        <v>0.77357231703335083</v>
      </c>
      <c r="D116" s="7">
        <f>D115*100/B115</f>
        <v>8.4305796024242223</v>
      </c>
      <c r="F116" t="s">
        <v>21</v>
      </c>
      <c r="G116" s="5">
        <f>G115/G115</f>
        <v>1</v>
      </c>
      <c r="H116" s="6">
        <f>H115*100/G115</f>
        <v>0.76444644354970559</v>
      </c>
      <c r="I116" s="6">
        <f>I115*100/G115</f>
        <v>8.2811143358722195</v>
      </c>
    </row>
    <row r="117" spans="1:9" ht="28.5" x14ac:dyDescent="0.45">
      <c r="A117" s="3" t="s">
        <v>26</v>
      </c>
      <c r="B117" s="4">
        <f>AVERAGE(B29:B112)</f>
        <v>9563972.5480952356</v>
      </c>
      <c r="C117" s="4">
        <f t="shared" ref="C117:D117" si="1">AVERAGE(C29:C112)</f>
        <v>67719.521904761874</v>
      </c>
      <c r="D117" s="4">
        <f t="shared" si="1"/>
        <v>677886.14760714292</v>
      </c>
      <c r="F117" s="3" t="s">
        <v>77</v>
      </c>
      <c r="G117" s="4">
        <f>AVERAGE(B31:B112)</f>
        <v>9610761.6845365837</v>
      </c>
      <c r="H117" s="4">
        <f t="shared" ref="H117:I117" si="2">AVERAGE(C31:C112)</f>
        <v>67778.905951219494</v>
      </c>
      <c r="I117" s="4">
        <f t="shared" si="2"/>
        <v>676189.9753048782</v>
      </c>
    </row>
    <row r="118" spans="1:9" x14ac:dyDescent="0.45">
      <c r="A118" t="s">
        <v>21</v>
      </c>
      <c r="B118" s="5">
        <f>B117/B117</f>
        <v>1</v>
      </c>
      <c r="C118" s="6">
        <f>C117*100/B117</f>
        <v>0.70806896992033841</v>
      </c>
      <c r="D118" s="6">
        <f>D117*100/B117</f>
        <v>7.087913983422621</v>
      </c>
      <c r="F118" t="s">
        <v>21</v>
      </c>
      <c r="G118" s="5">
        <f>G117/G117</f>
        <v>1</v>
      </c>
      <c r="H118" s="6">
        <f>H117*100/G117</f>
        <v>0.70523969042197399</v>
      </c>
      <c r="I118" s="6">
        <f>I117*100/G117</f>
        <v>7.0357584289374984</v>
      </c>
    </row>
    <row r="119" spans="1:9" x14ac:dyDescent="0.45">
      <c r="A119" s="3"/>
      <c r="B119" s="4"/>
      <c r="C119" s="4"/>
      <c r="D119" s="4"/>
    </row>
    <row r="120" spans="1:9" x14ac:dyDescent="0.45">
      <c r="A120" s="3"/>
      <c r="B120" s="4"/>
      <c r="C120" s="4"/>
      <c r="D120" s="4"/>
    </row>
    <row r="121" spans="1:9" x14ac:dyDescent="0.45">
      <c r="A121" t="s">
        <v>19</v>
      </c>
      <c r="B121" s="21" t="s">
        <v>20</v>
      </c>
    </row>
  </sheetData>
  <hyperlinks>
    <hyperlink ref="B121" r:id="rId1" xr:uid="{263EB9F2-B14E-4059-B29E-0D771DC8E53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J45"/>
  <sheetViews>
    <sheetView topLeftCell="A35" workbookViewId="0">
      <selection activeCell="C40" sqref="C40"/>
    </sheetView>
  </sheetViews>
  <sheetFormatPr baseColWidth="10" defaultRowHeight="14.25" x14ac:dyDescent="0.45"/>
  <cols>
    <col min="3" max="3" width="11.86328125" bestFit="1" customWidth="1"/>
    <col min="5" max="5" width="13.6640625" customWidth="1"/>
  </cols>
  <sheetData>
    <row r="1" spans="1:36" x14ac:dyDescent="0.45">
      <c r="A1" t="s">
        <v>18</v>
      </c>
      <c r="B1" t="s">
        <v>62</v>
      </c>
      <c r="C1" t="s">
        <v>63</v>
      </c>
      <c r="D1" t="s">
        <v>67</v>
      </c>
      <c r="F1" t="s">
        <v>62</v>
      </c>
      <c r="G1" t="s">
        <v>63</v>
      </c>
      <c r="H1" t="s">
        <v>67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x14ac:dyDescent="0.45">
      <c r="A2" s="13" t="s">
        <v>27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59450177778.532051</v>
      </c>
      <c r="G2">
        <f>C2*Population!C2</f>
        <v>2197479792.4133053</v>
      </c>
      <c r="H2">
        <f>D2*Population!D2</f>
        <v>24157333333.131027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x14ac:dyDescent="0.45">
      <c r="A3" s="13" t="s">
        <v>28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60015932556.731392</v>
      </c>
      <c r="G3">
        <f>C3*Population!C3</f>
        <v>2224651877.2797241</v>
      </c>
      <c r="H3">
        <f>D3*Population!D3</f>
        <v>24361404436.744926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x14ac:dyDescent="0.45">
      <c r="A4" s="13" t="s">
        <v>29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60814353392.578331</v>
      </c>
      <c r="G4">
        <f>C4*Population!C4</f>
        <v>2258039781.8426242</v>
      </c>
      <c r="H4">
        <f>D4*Population!D4</f>
        <v>24502622732.112122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x14ac:dyDescent="0.45">
      <c r="A5" s="13" t="s">
        <v>30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61737873060.453659</v>
      </c>
      <c r="G5">
        <f>C5*Population!C5</f>
        <v>2251484091.1171813</v>
      </c>
      <c r="H5">
        <f>D5*Population!D5</f>
        <v>24289920209.391624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x14ac:dyDescent="0.45">
      <c r="A6" s="13" t="s">
        <v>31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63388732641.965729</v>
      </c>
      <c r="G6">
        <f>C6*Population!C6</f>
        <v>2304606686.9015002</v>
      </c>
      <c r="H6">
        <f>D6*Population!D6</f>
        <v>24904675997.177227</v>
      </c>
    </row>
    <row r="7" spans="1:36" x14ac:dyDescent="0.45">
      <c r="A7" s="13" t="s">
        <v>32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65343445279.962585</v>
      </c>
      <c r="G7">
        <f>C7*Population!C7</f>
        <v>2357039498.9511337</v>
      </c>
      <c r="H7">
        <f>D7*Population!D7</f>
        <v>25612762187.674767</v>
      </c>
    </row>
    <row r="8" spans="1:36" x14ac:dyDescent="0.45">
      <c r="A8" s="13" t="s">
        <v>33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67746104239.311546</v>
      </c>
      <c r="G8">
        <f>C8*Population!C8</f>
        <v>2389241293.9235272</v>
      </c>
      <c r="H8">
        <f>D8*Population!D8</f>
        <v>26087721958.213924</v>
      </c>
    </row>
    <row r="9" spans="1:36" x14ac:dyDescent="0.45">
      <c r="A9" s="13" t="s">
        <v>34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70391370846.730881</v>
      </c>
      <c r="G9">
        <f>C9*Population!C9</f>
        <v>2448709269.176506</v>
      </c>
      <c r="H9">
        <f>D9*Population!D9</f>
        <v>26723818654.148617</v>
      </c>
    </row>
    <row r="10" spans="1:36" x14ac:dyDescent="0.45">
      <c r="A10" s="13" t="s">
        <v>35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72118396182.05835</v>
      </c>
      <c r="G10">
        <f>C10*Population!C10</f>
        <v>2532060625.7380643</v>
      </c>
      <c r="H10">
        <f>D10*Population!D10</f>
        <v>27468476865.381031</v>
      </c>
    </row>
    <row r="11" spans="1:36" x14ac:dyDescent="0.45">
      <c r="A11" s="13" t="s">
        <v>36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74703011337.704285</v>
      </c>
      <c r="G11">
        <f>C11*Population!C11</f>
        <v>2614912785.9868221</v>
      </c>
      <c r="H11">
        <f>D11*Population!D11</f>
        <v>28176082288.3083</v>
      </c>
    </row>
    <row r="12" spans="1:36" x14ac:dyDescent="0.45">
      <c r="A12" s="13" t="s">
        <v>37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78278351474.249023</v>
      </c>
      <c r="G12">
        <f>C12*Population!C12</f>
        <v>2722016731.4508624</v>
      </c>
      <c r="H12">
        <f>D12*Population!D12</f>
        <v>29240167861.778976</v>
      </c>
    </row>
    <row r="13" spans="1:36" x14ac:dyDescent="0.45">
      <c r="A13" s="13" t="s">
        <v>38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80183869503.519272</v>
      </c>
      <c r="G13">
        <f>C13*Population!C13</f>
        <v>2773042906.8022509</v>
      </c>
      <c r="H13">
        <f>D13*Population!D13</f>
        <v>29862791642.623837</v>
      </c>
    </row>
    <row r="14" spans="1:36" x14ac:dyDescent="0.45">
      <c r="A14" s="13" t="s">
        <v>39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82439317889.00885</v>
      </c>
      <c r="G14">
        <f>C14*Population!C14</f>
        <v>2802099919.6978536</v>
      </c>
      <c r="H14">
        <f>D14*Population!D14</f>
        <v>30165942432.463612</v>
      </c>
    </row>
    <row r="15" spans="1:36" x14ac:dyDescent="0.45">
      <c r="A15" s="13" t="s">
        <v>40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85498352980.470016</v>
      </c>
      <c r="G15">
        <f>C15*Population!C15</f>
        <v>2828976728.2645211</v>
      </c>
      <c r="H15">
        <f>D15*Population!D15</f>
        <v>30462092599.50692</v>
      </c>
    </row>
    <row r="16" spans="1:36" x14ac:dyDescent="0.45">
      <c r="A16" s="13" t="s">
        <v>41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89912966123.432114</v>
      </c>
      <c r="G16">
        <f>C16*Population!C16</f>
        <v>2908310128.4557562</v>
      </c>
      <c r="H16">
        <f>D16*Population!D16</f>
        <v>31221908220.131401</v>
      </c>
    </row>
    <row r="17" spans="1:10" x14ac:dyDescent="0.45">
      <c r="A17" s="13" t="s">
        <v>42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94058621859.889313</v>
      </c>
      <c r="G17">
        <f>C17*Population!C17</f>
        <v>2963285740.6685023</v>
      </c>
      <c r="H17">
        <f>D17*Population!D17</f>
        <v>31813500020.819954</v>
      </c>
    </row>
    <row r="18" spans="1:10" x14ac:dyDescent="0.45">
      <c r="A18" s="13" t="s">
        <v>43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98952602423.578171</v>
      </c>
      <c r="G18">
        <f>C18*Population!C18</f>
        <v>3044178054.197875</v>
      </c>
      <c r="H18">
        <f>D18*Population!D18</f>
        <v>32916700218.346203</v>
      </c>
    </row>
    <row r="19" spans="1:10" x14ac:dyDescent="0.45">
      <c r="A19" s="13" t="s">
        <v>44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104140663668.21527</v>
      </c>
      <c r="G19">
        <f>C19*Population!C19</f>
        <v>3122590833.8613753</v>
      </c>
      <c r="H19">
        <f>D19*Population!D19</f>
        <v>33919859610.622345</v>
      </c>
    </row>
    <row r="20" spans="1:10" x14ac:dyDescent="0.45">
      <c r="A20" s="13" t="s">
        <v>45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107093564124.02448</v>
      </c>
      <c r="G20">
        <f>C20*Population!C20</f>
        <v>3134751986.9433608</v>
      </c>
      <c r="H20">
        <f>D20*Population!D20</f>
        <v>34182103766.776295</v>
      </c>
    </row>
    <row r="21" spans="1:10" x14ac:dyDescent="0.45">
      <c r="A21" s="13" t="s">
        <v>46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106442137780.59737</v>
      </c>
      <c r="G21">
        <f>C21*Population!C21</f>
        <v>3047134272.6924968</v>
      </c>
      <c r="H21">
        <f>D21*Population!D21</f>
        <v>32714648377.874294</v>
      </c>
    </row>
    <row r="22" spans="1:10" x14ac:dyDescent="0.45">
      <c r="A22" s="13" t="s">
        <v>47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111969861283.27544</v>
      </c>
      <c r="G22">
        <f>C22*Population!C22</f>
        <v>3108092009.6560588</v>
      </c>
      <c r="H22">
        <f>D22*Population!D22</f>
        <v>33374409148.164501</v>
      </c>
      <c r="J22" s="13"/>
    </row>
    <row r="23" spans="1:10" x14ac:dyDescent="0.45">
      <c r="A23" s="13" t="s">
        <v>48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116448600654.71143</v>
      </c>
      <c r="G23">
        <f>C23*Population!C23</f>
        <v>3184080094.8225183</v>
      </c>
      <c r="H23">
        <f>D23*Population!D23</f>
        <v>34133681735.471703</v>
      </c>
    </row>
    <row r="24" spans="1:10" x14ac:dyDescent="0.45">
      <c r="A24" s="13" t="s">
        <v>49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120105920294.28836</v>
      </c>
      <c r="G24">
        <f>C24*Population!C24</f>
        <v>3190631588.120542</v>
      </c>
      <c r="H24">
        <f>D24*Population!D24</f>
        <v>33882036018.543774</v>
      </c>
    </row>
    <row r="25" spans="1:10" x14ac:dyDescent="0.45">
      <c r="A25" s="13" t="s">
        <v>50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124080595941.6353</v>
      </c>
      <c r="G25">
        <f>C25*Population!C25</f>
        <v>3215374569.8962469</v>
      </c>
      <c r="H25">
        <f>D25*Population!D25</f>
        <v>33878734646.466373</v>
      </c>
    </row>
    <row r="26" spans="1:10" x14ac:dyDescent="0.45">
      <c r="A26" s="13" t="s">
        <v>51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128394489448.54289</v>
      </c>
      <c r="G26">
        <f>C26*Population!C26</f>
        <v>3248752626.016736</v>
      </c>
      <c r="H26">
        <f>D26*Population!D26</f>
        <v>34469485024.636459</v>
      </c>
    </row>
    <row r="27" spans="1:10" x14ac:dyDescent="0.45">
      <c r="A27" s="13" t="s">
        <v>52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132696980344.95529</v>
      </c>
      <c r="G27">
        <f>C27*Population!C27</f>
        <v>3285850867.3195839</v>
      </c>
      <c r="H27">
        <f>D27*Population!D27</f>
        <v>35298868327.366135</v>
      </c>
    </row>
    <row r="28" spans="1:10" x14ac:dyDescent="0.45">
      <c r="A28" s="13" t="s">
        <v>53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137009934491.69252</v>
      </c>
      <c r="G28">
        <f>C28*Population!C28</f>
        <v>3314021894.5552607</v>
      </c>
      <c r="H28">
        <f>D28*Population!D28</f>
        <v>36019907345.254646</v>
      </c>
    </row>
    <row r="29" spans="1:10" x14ac:dyDescent="0.45">
      <c r="A29" s="13" t="s">
        <v>54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142282253255.76318</v>
      </c>
      <c r="G29">
        <f>C29*Population!C29</f>
        <v>3382168620.8821168</v>
      </c>
      <c r="H29">
        <f>D29*Population!D29</f>
        <v>37119573491.364235</v>
      </c>
    </row>
    <row r="30" spans="1:10" x14ac:dyDescent="0.45">
      <c r="A30" s="13" t="s">
        <v>55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147537330000.3147</v>
      </c>
      <c r="G30">
        <f>C30*Population!C30</f>
        <v>3437326529.174746</v>
      </c>
      <c r="H30">
        <f>D30*Population!D30</f>
        <v>37930710214.837662</v>
      </c>
    </row>
    <row r="31" spans="1:10" x14ac:dyDescent="0.45">
      <c r="A31" s="13" t="s">
        <v>56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151942619124.5224</v>
      </c>
      <c r="G31">
        <f>C31*Population!C31</f>
        <v>3508476774.2787137</v>
      </c>
      <c r="H31">
        <f>D31*Population!D31</f>
        <v>38699419341.686249</v>
      </c>
    </row>
    <row r="32" spans="1:10" x14ac:dyDescent="0.45">
      <c r="A32" s="13" t="s">
        <v>57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147696835525.1188</v>
      </c>
      <c r="G32">
        <f>C32*Population!C32</f>
        <v>3245513774.264863</v>
      </c>
      <c r="H32">
        <f>D32*Population!D32</f>
        <v>36574113872.711426</v>
      </c>
    </row>
    <row r="33" spans="1:8" x14ac:dyDescent="0.45">
      <c r="A33" s="13" t="s">
        <v>58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157396216374.06714</v>
      </c>
      <c r="G33">
        <f>C33*Population!C33</f>
        <v>3465816591.7571898</v>
      </c>
      <c r="H33">
        <f>D33*Population!D33</f>
        <v>38931911154.245689</v>
      </c>
    </row>
    <row r="34" spans="1:8" x14ac:dyDescent="0.45">
      <c r="A34" s="13" t="s">
        <v>59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162996107432.09946</v>
      </c>
      <c r="G34">
        <f>C34*Population!C34</f>
        <v>3551775096.365675</v>
      </c>
      <c r="H34">
        <f>D34*Population!D34</f>
        <v>40231131436.83564</v>
      </c>
    </row>
    <row r="35" spans="1:8" x14ac:dyDescent="0.45">
      <c r="A35" s="13" t="s">
        <v>60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168528438270.39236</v>
      </c>
      <c r="G35">
        <f>C35*Population!C35</f>
        <v>3604297109.3329239</v>
      </c>
      <c r="H35">
        <f>D35*Population!D35</f>
        <v>40177113825.347435</v>
      </c>
    </row>
    <row r="36" spans="1:8" x14ac:dyDescent="0.45">
      <c r="A36" s="13" t="s">
        <v>61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173958630585.03613</v>
      </c>
      <c r="G36">
        <f>C36*Population!C36</f>
        <v>3643946175.5877328</v>
      </c>
      <c r="H36">
        <f>D36*Population!D36</f>
        <v>40502412753.686844</v>
      </c>
    </row>
    <row r="38" spans="1:8" ht="28.5" x14ac:dyDescent="0.45">
      <c r="A38" t="s">
        <v>69</v>
      </c>
      <c r="B38">
        <v>50000</v>
      </c>
      <c r="E38" s="3" t="s">
        <v>68</v>
      </c>
      <c r="F38">
        <f>SUM(F2:F36)/SUM(Population!B2:B36)</f>
        <v>15735.40978182493</v>
      </c>
      <c r="G38">
        <f>SUM(G2:G36)/SUM(Population!C2:C36)</f>
        <v>47664.595364682391</v>
      </c>
      <c r="H38">
        <f>SUM(H2:H36)/SUM(Population!D2:D36)</f>
        <v>43631.695837336869</v>
      </c>
    </row>
    <row r="39" spans="1:8" x14ac:dyDescent="0.45">
      <c r="A39" t="s">
        <v>70</v>
      </c>
      <c r="B39">
        <v>7500</v>
      </c>
      <c r="E39" s="12" t="s">
        <v>73</v>
      </c>
      <c r="F39">
        <f>1-(F38-B39)/(B38-B39)</f>
        <v>0.80622565219235454</v>
      </c>
      <c r="G39">
        <f>1-(G38-B39)/(B38-B39)</f>
        <v>5.4950697301590856E-2</v>
      </c>
      <c r="H39">
        <f>1-(H38-B39)/(B38-B39)</f>
        <v>0.1498424508861913</v>
      </c>
    </row>
    <row r="40" spans="1:8" ht="28.5" x14ac:dyDescent="0.45">
      <c r="E40" s="11" t="s">
        <v>79</v>
      </c>
      <c r="F40" s="10">
        <f>(Population!B115*Capacité!F39)*100/(Population!B115*Capacité!F39)</f>
        <v>100</v>
      </c>
      <c r="G40" s="10">
        <f>(Population!C115*Capacité!G39)*100/(Population!B115*Capacité!F39)</f>
        <v>5.2725112527240728E-2</v>
      </c>
      <c r="H40" s="10">
        <f>(Population!D115*Capacité!H39)*100/(Population!B115*Capacité!F39)</f>
        <v>1.5668798264892982</v>
      </c>
    </row>
    <row r="41" spans="1:8" x14ac:dyDescent="0.45">
      <c r="E41" s="3" t="s">
        <v>80</v>
      </c>
      <c r="F41">
        <f>1-(B27-B39)/(B38-B39)</f>
        <v>0.75604492101480492</v>
      </c>
      <c r="G41">
        <f>MAX(1-(C27-B39)/(B38-B39),0)</f>
        <v>0</v>
      </c>
      <c r="H41">
        <f>MAX(1-(D27-B39)/(B38-B39),0)</f>
        <v>5.9042950726820198E-2</v>
      </c>
    </row>
    <row r="42" spans="1:8" ht="28.5" x14ac:dyDescent="0.45">
      <c r="E42" s="3" t="s">
        <v>78</v>
      </c>
      <c r="F42">
        <f>(Population!B115*Capacité!F41)*100/(Population!B115*Capacité!F41)</f>
        <v>100</v>
      </c>
      <c r="G42">
        <f>(Population!C115*Capacité!G41)*100/(Population!B115*Capacité!F41)</f>
        <v>0</v>
      </c>
      <c r="H42">
        <f>(Population!D115*Capacité!H41)*100/(Population!B115*Capacité!F41)</f>
        <v>0.65838190592741441</v>
      </c>
    </row>
    <row r="43" spans="1:8" x14ac:dyDescent="0.45">
      <c r="A43" t="s">
        <v>64</v>
      </c>
      <c r="B43" t="s">
        <v>65</v>
      </c>
    </row>
    <row r="44" spans="1:8" x14ac:dyDescent="0.45">
      <c r="A44" t="s">
        <v>19</v>
      </c>
      <c r="B44" s="21" t="s">
        <v>66</v>
      </c>
    </row>
    <row r="45" spans="1:8" x14ac:dyDescent="0.45">
      <c r="A45" t="s">
        <v>71</v>
      </c>
      <c r="B45" s="21" t="s">
        <v>72</v>
      </c>
    </row>
  </sheetData>
  <hyperlinks>
    <hyperlink ref="B44" r:id="rId1" xr:uid="{95CBC694-0581-4D50-9574-5F9F43EFE88E}"/>
    <hyperlink ref="B45" r:id="rId2" xr:uid="{F1AC7F8B-6E35-450D-9416-466DBBC662C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I9" sqref="I9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31" customFormat="1" x14ac:dyDescent="0.45">
      <c r="B1" s="31" t="s">
        <v>2</v>
      </c>
      <c r="C1" s="31" t="s">
        <v>3</v>
      </c>
      <c r="D1" s="31" t="s">
        <v>82</v>
      </c>
      <c r="E1" s="31" t="s">
        <v>11</v>
      </c>
      <c r="F1" s="31" t="s">
        <v>12</v>
      </c>
      <c r="G1" s="31" t="s">
        <v>4</v>
      </c>
    </row>
    <row r="2" spans="1:8" x14ac:dyDescent="0.45">
      <c r="A2" s="31" t="s">
        <v>120</v>
      </c>
      <c r="B2">
        <f>(Population!C115*DLS!B2)/(Population!B115*DLS!B8)</f>
        <v>5.0453008893561703E-3</v>
      </c>
      <c r="C2" s="31">
        <f>(Population!C115*DLS!C2)/(Population!B115*DLS!C8)</f>
        <v>5.4712861762416078E-3</v>
      </c>
      <c r="D2" s="31">
        <f>(Population!C115*DLS!D2)/(Population!B115*DLS!D8)</f>
        <v>1.1540161342524667E-2</v>
      </c>
      <c r="E2" s="31">
        <f>(Population!C115*DLS!E2)/(Population!B115*DLS!E8)</f>
        <v>6.3658555255869491E-3</v>
      </c>
      <c r="F2" s="31">
        <f>(Population!D115*DLS!F2)/(Population!C115*DLS!F8)</f>
        <v>11.111934715799952</v>
      </c>
      <c r="G2" s="31">
        <f>(Population!C115*DLS!G2)/(Population!B115*DLS!G8)</f>
        <v>1.1537633897179685E-2</v>
      </c>
    </row>
    <row r="3" spans="1:8" x14ac:dyDescent="0.45">
      <c r="A3" s="31" t="s">
        <v>119</v>
      </c>
      <c r="B3" s="31">
        <f>(Population!C115*DLS!B3)/(Population!B115*DLS!B9)</f>
        <v>9.2209328609291312E-3</v>
      </c>
      <c r="C3" s="31">
        <f>(Population!C115*DLS!C3)/(Population!B115*DLS!C9)</f>
        <v>5.478101591125246E-3</v>
      </c>
      <c r="D3" s="31">
        <f>(Population!C115*DLS!D3)/(Population!B115*DLS!D9)</f>
        <v>1.1585409246018084E-2</v>
      </c>
      <c r="E3" s="31">
        <f>(Population!C115*DLS!E3)/(Population!B115*DLS!E9)</f>
        <v>8.7627150482219827E-3</v>
      </c>
      <c r="F3" s="31">
        <f>(Population!D115*DLS!F3)/(Population!C115*DLS!F9)</f>
        <v>11.111934715799952</v>
      </c>
      <c r="G3" s="31">
        <f>(Population!C115*DLS!G3)/(Population!B115*DLS!G9)</f>
        <v>1.1584810603112349E-2</v>
      </c>
    </row>
    <row r="5" spans="1:8" x14ac:dyDescent="0.45">
      <c r="A5" t="s">
        <v>118</v>
      </c>
      <c r="B5">
        <f>(Population!C115*DLS!B4)/(Population!B115*DLS!B10)</f>
        <v>6.3772401782154799E-3</v>
      </c>
      <c r="C5" s="31">
        <f>(Population!C115*DLS!C4)/(Population!B115*DLS!C10)</f>
        <v>5.4746321044952329E-3</v>
      </c>
      <c r="D5" s="31">
        <f>(Population!C115*DLS!D4)/(Population!B115*DLS!D10)</f>
        <v>1.1561912753445425E-2</v>
      </c>
      <c r="E5" s="31">
        <f>(Population!C115*DLS!E4)/(Population!B115*DLS!E10)</f>
        <v>7.3317319444951368E-3</v>
      </c>
      <c r="F5" s="31">
        <f>(Population!D115*DLS!F4)/(Population!C115*DLS!F10)</f>
        <v>11.111934715799952</v>
      </c>
      <c r="G5" s="31">
        <f>(Population!C115*DLS!G4)/(Population!B115*DLS!G10)</f>
        <v>1.1557380920548374E-2</v>
      </c>
    </row>
    <row r="7" spans="1:8" x14ac:dyDescent="0.45">
      <c r="A7" t="s">
        <v>130</v>
      </c>
      <c r="G7" t="s">
        <v>131</v>
      </c>
    </row>
    <row r="8" spans="1:8" x14ac:dyDescent="0.45">
      <c r="A8" t="s">
        <v>122</v>
      </c>
      <c r="D8" s="31">
        <v>3494.0786014333898</v>
      </c>
      <c r="E8" t="s">
        <v>128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123</v>
      </c>
      <c r="D9" s="31">
        <v>201.308612543306</v>
      </c>
      <c r="E9" t="s">
        <v>129</v>
      </c>
      <c r="F9">
        <f>SUM(D9:D12)/SUM(D8:D13)</f>
        <v>0.17781619166192006</v>
      </c>
      <c r="G9">
        <v>0.95</v>
      </c>
    </row>
    <row r="10" spans="1:8" x14ac:dyDescent="0.45">
      <c r="A10" t="s">
        <v>124</v>
      </c>
      <c r="D10">
        <v>520</v>
      </c>
      <c r="E10" s="31" t="s">
        <v>129</v>
      </c>
    </row>
    <row r="11" spans="1:8" x14ac:dyDescent="0.45">
      <c r="A11" t="s">
        <v>125</v>
      </c>
      <c r="D11">
        <v>40</v>
      </c>
      <c r="E11" s="31" t="s">
        <v>129</v>
      </c>
    </row>
    <row r="12" spans="1:8" x14ac:dyDescent="0.45">
      <c r="A12" t="s">
        <v>126</v>
      </c>
      <c r="D12">
        <v>40</v>
      </c>
      <c r="E12" s="31" t="s">
        <v>129</v>
      </c>
    </row>
    <row r="13" spans="1:8" x14ac:dyDescent="0.45">
      <c r="A13" t="s">
        <v>127</v>
      </c>
      <c r="D13">
        <v>211</v>
      </c>
      <c r="E13" t="s">
        <v>128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workbookViewId="0">
      <selection activeCell="B9" sqref="B9"/>
    </sheetView>
  </sheetViews>
  <sheetFormatPr baseColWidth="10" defaultRowHeight="14.25" x14ac:dyDescent="0.45"/>
  <cols>
    <col min="1" max="1" width="13.06640625" customWidth="1"/>
  </cols>
  <sheetData>
    <row r="1" spans="1:1" ht="14.65" thickBot="1" x14ac:dyDescent="0.5">
      <c r="A1" s="17" t="s">
        <v>7</v>
      </c>
    </row>
    <row r="2" spans="1:1" x14ac:dyDescent="0.45">
      <c r="A2">
        <f>170/74</f>
        <v>2.2972972972972974</v>
      </c>
    </row>
    <row r="3" spans="1:1" x14ac:dyDescent="0.45">
      <c r="A3">
        <f>1055/74</f>
        <v>14.256756756756756</v>
      </c>
    </row>
    <row r="4" spans="1:1" ht="14.65" thickBot="1" x14ac:dyDescent="0.5">
      <c r="A4" s="15" t="s">
        <v>6</v>
      </c>
    </row>
    <row r="6" spans="1:1" x14ac:dyDescent="0.45">
      <c r="A6" s="38"/>
    </row>
    <row r="7" spans="1:1" x14ac:dyDescent="0.45">
      <c r="A7" s="38">
        <f>((Population!C116/100)*A2)*1000</f>
        <v>17.77125593184725</v>
      </c>
    </row>
    <row r="8" spans="1:1" x14ac:dyDescent="0.45">
      <c r="A8" s="38">
        <f>((Population!C116/100)*A3)*1000</f>
        <v>110.28632357705203</v>
      </c>
    </row>
    <row r="9" spans="1:1" x14ac:dyDescent="0.45">
      <c r="A9" s="38"/>
    </row>
    <row r="10" spans="1:1" x14ac:dyDescent="0.45">
      <c r="A10" s="38" t="s">
        <v>85</v>
      </c>
    </row>
    <row r="11" spans="1:1" x14ac:dyDescent="0.45">
      <c r="A11" s="14">
        <v>1000000000</v>
      </c>
    </row>
    <row r="12" spans="1:1" ht="14.65" thickBot="1" x14ac:dyDescent="0.5">
      <c r="A12" s="15" t="s">
        <v>87</v>
      </c>
    </row>
    <row r="13" spans="1:1" x14ac:dyDescent="0.45">
      <c r="A13" s="20"/>
    </row>
    <row r="14" spans="1:1" x14ac:dyDescent="0.45">
      <c r="A14" s="22"/>
    </row>
    <row r="15" spans="1:1" x14ac:dyDescent="0.45">
      <c r="A15" s="22">
        <f>A2*1000000000/(Population!B115*1000)</f>
        <v>0.26480616600193263</v>
      </c>
    </row>
    <row r="16" spans="1:1" x14ac:dyDescent="0.45">
      <c r="A16" s="22">
        <f>A3*1000000000/(Population!B115*1000)</f>
        <v>1.6433559125414052</v>
      </c>
    </row>
    <row r="17" spans="1:1" ht="14.65" thickBot="1" x14ac:dyDescent="0.5">
      <c r="A17" s="36" t="s">
        <v>98</v>
      </c>
    </row>
    <row r="18" spans="1:1" x14ac:dyDescent="0.45">
      <c r="A18" s="20"/>
    </row>
    <row r="19" spans="1:1" x14ac:dyDescent="0.45">
      <c r="A19">
        <f>(Capacité!G40/100)*A2</f>
        <v>1.2112525850852601E-3</v>
      </c>
    </row>
    <row r="20" spans="1:1" x14ac:dyDescent="0.45">
      <c r="A20">
        <f>(Capacité!G40/100)*A3</f>
        <v>7.5168910427349956E-3</v>
      </c>
    </row>
    <row r="23" spans="1:1" ht="14.65" thickBot="1" x14ac:dyDescent="0.5">
      <c r="A23" s="15"/>
    </row>
    <row r="24" spans="1:1" x14ac:dyDescent="0.45">
      <c r="A24">
        <f>A2*Besoins!B5*1000</f>
        <v>14.650416625630157</v>
      </c>
    </row>
    <row r="25" spans="1:1" x14ac:dyDescent="0.45">
      <c r="A25" s="31">
        <f>A3*Besoins!B5*1000</f>
        <v>90.918762000234196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2026-04-16T12:45:18Z</dcterms:modified>
</cp:coreProperties>
</file>