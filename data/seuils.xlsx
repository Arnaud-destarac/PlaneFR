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CIRED\PlaneFR\Code\Module_PlaneFR\data\"/>
    </mc:Choice>
  </mc:AlternateContent>
  <xr:revisionPtr revIDLastSave="0" documentId="13_ncr:1_{B08EB7DC-2D65-4867-AC72-14A14670277B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ynthèse" sheetId="9" r:id="rId1"/>
    <sheet name="Synthèse agri" sheetId="12" r:id="rId2"/>
    <sheet name="Population" sheetId="2" r:id="rId3"/>
    <sheet name="Capacité" sheetId="3" r:id="rId4"/>
    <sheet name="DLS" sheetId="11" r:id="rId5"/>
    <sheet name="DLS bis" sheetId="10" r:id="rId6"/>
    <sheet name="DL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9" l="1"/>
  <c r="I18" i="9"/>
  <c r="I10" i="9"/>
  <c r="I4" i="9"/>
  <c r="F19" i="12"/>
  <c r="E19" i="12"/>
  <c r="D19" i="12"/>
  <c r="C19" i="12"/>
  <c r="B19" i="12"/>
  <c r="G18" i="12"/>
  <c r="F18" i="12"/>
  <c r="E18" i="12"/>
  <c r="D18" i="12"/>
  <c r="C18" i="12"/>
  <c r="G17" i="12"/>
  <c r="F17" i="12"/>
  <c r="E17" i="12"/>
  <c r="D17" i="12"/>
  <c r="C17" i="12"/>
  <c r="B17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19" i="12"/>
  <c r="B18" i="12"/>
  <c r="B16" i="11"/>
  <c r="D12" i="11"/>
  <c r="C12" i="11"/>
  <c r="B11" i="11"/>
  <c r="B13" i="11"/>
  <c r="B12" i="11"/>
  <c r="B20" i="11"/>
  <c r="G10" i="12" l="1"/>
  <c r="B15" i="11"/>
  <c r="B17" i="11"/>
  <c r="F20" i="11" l="1"/>
  <c r="G20" i="11" s="1"/>
  <c r="F19" i="11"/>
  <c r="G19" i="11" s="1"/>
  <c r="D20" i="11"/>
  <c r="C20" i="11"/>
  <c r="E17" i="10"/>
  <c r="C17" i="10"/>
  <c r="B17" i="10"/>
  <c r="B16" i="10"/>
  <c r="C16" i="10"/>
  <c r="E16" i="10"/>
  <c r="C114" i="2"/>
  <c r="F117" i="2" l="1"/>
  <c r="E117" i="2"/>
  <c r="D117" i="2"/>
  <c r="C117" i="2"/>
  <c r="B117" i="2"/>
  <c r="C70" i="3"/>
  <c r="D70" i="3"/>
  <c r="E70" i="3"/>
  <c r="F70" i="3"/>
  <c r="C68" i="3"/>
  <c r="D68" i="3"/>
  <c r="E68" i="3"/>
  <c r="F68" i="3"/>
  <c r="B70" i="3"/>
  <c r="B68" i="3"/>
  <c r="B66" i="3"/>
  <c r="E66" i="3"/>
  <c r="F66" i="3"/>
  <c r="D66" i="3"/>
  <c r="F64" i="3"/>
  <c r="E64" i="3"/>
  <c r="D64" i="3"/>
  <c r="C64" i="3"/>
  <c r="B64" i="3"/>
  <c r="C66" i="3"/>
  <c r="E118" i="2"/>
  <c r="F118" i="2"/>
  <c r="E115" i="2"/>
  <c r="F115" i="2"/>
  <c r="F114" i="2"/>
  <c r="E114" i="2"/>
  <c r="E65" i="3" l="1"/>
  <c r="E67" i="3"/>
  <c r="E69" i="3" s="1"/>
  <c r="E71" i="3" s="1"/>
  <c r="F67" i="3"/>
  <c r="F69" i="3" s="1"/>
  <c r="F71" i="3" s="1"/>
  <c r="F65" i="3"/>
  <c r="J4" i="9"/>
  <c r="G17" i="9"/>
  <c r="B2" i="9"/>
  <c r="B3" i="9"/>
  <c r="B4" i="9"/>
  <c r="G12" i="9"/>
  <c r="D115" i="2"/>
  <c r="C115" i="2"/>
  <c r="J17" i="9" s="1"/>
  <c r="B115" i="2"/>
  <c r="F116" i="2" s="1"/>
  <c r="E116" i="2" l="1"/>
  <c r="D13" i="10"/>
  <c r="D12" i="10"/>
  <c r="D3" i="10"/>
  <c r="D17" i="10" s="1"/>
  <c r="D2" i="10"/>
  <c r="D16" i="10" s="1"/>
  <c r="G19" i="9"/>
  <c r="G18" i="9"/>
  <c r="C65" i="3" l="1"/>
  <c r="D65" i="3"/>
  <c r="U5" i="7"/>
  <c r="C118" i="2" l="1"/>
  <c r="D118" i="2"/>
  <c r="B118" i="2"/>
  <c r="B116" i="2"/>
  <c r="D114" i="2"/>
  <c r="B114" i="2"/>
  <c r="F119" i="2" l="1"/>
  <c r="E119" i="2"/>
  <c r="F17" i="9"/>
  <c r="H17" i="9"/>
  <c r="E17" i="9"/>
  <c r="D17" i="9"/>
  <c r="C17" i="9"/>
  <c r="B17" i="9"/>
  <c r="I17" i="9"/>
  <c r="G10" i="9"/>
  <c r="G9" i="9"/>
  <c r="G8" i="9"/>
  <c r="B119" i="2"/>
  <c r="D19" i="9"/>
  <c r="F18" i="9"/>
  <c r="D18" i="9"/>
  <c r="H19" i="9"/>
  <c r="F19" i="9"/>
  <c r="E19" i="9"/>
  <c r="C19" i="9"/>
  <c r="H18" i="9"/>
  <c r="E18" i="9"/>
  <c r="C18" i="9"/>
  <c r="B19" i="9"/>
  <c r="B18" i="9"/>
  <c r="J18" i="9"/>
  <c r="J19" i="9"/>
  <c r="C119" i="2"/>
  <c r="D119" i="2"/>
  <c r="C116" i="2"/>
  <c r="D116" i="2"/>
  <c r="J8" i="9" s="1"/>
  <c r="D8" i="9" l="1"/>
  <c r="B8" i="9"/>
  <c r="C10" i="9"/>
  <c r="D10" i="9"/>
  <c r="E10" i="9"/>
  <c r="E8" i="9"/>
  <c r="H9" i="9"/>
  <c r="I9" i="9"/>
  <c r="J10" i="9"/>
  <c r="E9" i="9"/>
  <c r="H10" i="9"/>
  <c r="F10" i="9"/>
  <c r="C8" i="9"/>
  <c r="J9" i="9"/>
  <c r="D9" i="9"/>
  <c r="F9" i="9"/>
  <c r="C9" i="9"/>
  <c r="B10" i="9"/>
  <c r="I8" i="9"/>
  <c r="H8" i="9"/>
  <c r="F8" i="9"/>
  <c r="B9" i="9"/>
  <c r="D67" i="3"/>
  <c r="D69" i="3" s="1"/>
  <c r="D71" i="3" s="1"/>
  <c r="C67" i="3"/>
  <c r="C69" i="3" s="1"/>
  <c r="C71" i="3" s="1"/>
</calcChain>
</file>

<file path=xl/sharedStrings.xml><?xml version="1.0" encoding="utf-8"?>
<sst xmlns="http://schemas.openxmlformats.org/spreadsheetml/2006/main" count="238" uniqueCount="149">
  <si>
    <t>Unité</t>
  </si>
  <si>
    <t>Gt</t>
  </si>
  <si>
    <t>M km2</t>
  </si>
  <si>
    <t>Tg</t>
  </si>
  <si>
    <t>GJ/hab.</t>
  </si>
  <si>
    <t>Année</t>
  </si>
  <si>
    <t>Source</t>
  </si>
  <si>
    <t>https://population.un.org/wpp/downloads?folder=Standard%20Projections&amp;group=Most%20used</t>
  </si>
  <si>
    <t>World</t>
  </si>
  <si>
    <t xml:space="preserve">France </t>
  </si>
  <si>
    <t xml:space="preserve">Unité </t>
  </si>
  <si>
    <t>https://data.worldbank.org/indicator/NY.GDP.PCAP.PP.KD?end=2024&amp;name_desc=false&amp;start=1990&amp;view=chart</t>
  </si>
  <si>
    <t>UE</t>
  </si>
  <si>
    <t>Part 2019</t>
  </si>
  <si>
    <t>Moyenne 2019-2100</t>
  </si>
  <si>
    <t>Nom LP</t>
  </si>
  <si>
    <t>km3</t>
  </si>
  <si>
    <t>Mt</t>
  </si>
  <si>
    <t>TJ</t>
  </si>
  <si>
    <t>kg</t>
  </si>
  <si>
    <t>km2</t>
  </si>
  <si>
    <t>Mm3</t>
  </si>
  <si>
    <t>Gg</t>
  </si>
  <si>
    <t>TWh</t>
  </si>
  <si>
    <t>kt</t>
  </si>
  <si>
    <t>t</t>
  </si>
  <si>
    <t>GJ</t>
  </si>
  <si>
    <t>m3</t>
  </si>
  <si>
    <t>m2</t>
  </si>
  <si>
    <t>Current system technology</t>
  </si>
  <si>
    <t>Efficient scenario</t>
  </si>
  <si>
    <t>m3/hab./an</t>
  </si>
  <si>
    <t>t/hab/an</t>
  </si>
  <si>
    <t>https://www.sciencedirect.com/science/article/pii/S0921800925003027</t>
  </si>
  <si>
    <t>Current system technology (p.hab)</t>
  </si>
  <si>
    <t>Efficient scenario (p.hab)</t>
  </si>
  <si>
    <t>Moyennes mondiales</t>
  </si>
  <si>
    <t>Nutrition</t>
  </si>
  <si>
    <t>m2/hab.</t>
  </si>
  <si>
    <r>
      <t xml:space="preserve">Current system technology </t>
    </r>
    <r>
      <rPr>
        <sz val="11"/>
        <color rgb="FFFF0000"/>
        <rFont val="Calibri"/>
        <family val="2"/>
        <scheme val="minor"/>
      </rPr>
      <t>(p.hab)</t>
    </r>
  </si>
  <si>
    <r>
      <t xml:space="preserve">Efficient scenario </t>
    </r>
    <r>
      <rPr>
        <sz val="11"/>
        <color rgb="FFFF0000"/>
        <rFont val="Calibri"/>
        <family val="2"/>
        <scheme val="minor"/>
      </rPr>
      <t>(p.hab)</t>
    </r>
  </si>
  <si>
    <t>Shelter &amp; living conditions</t>
  </si>
  <si>
    <t>Hygiene</t>
  </si>
  <si>
    <t>Clothing</t>
  </si>
  <si>
    <t>Healthcare</t>
  </si>
  <si>
    <t>Education</t>
  </si>
  <si>
    <t>Communication and information</t>
  </si>
  <si>
    <t>Mobility</t>
  </si>
  <si>
    <t>Food</t>
  </si>
  <si>
    <t>Cooking appliances</t>
  </si>
  <si>
    <t>Cold Storage</t>
  </si>
  <si>
    <t>House construction</t>
  </si>
  <si>
    <t>Thermal comfort</t>
  </si>
  <si>
    <t>Illumination</t>
  </si>
  <si>
    <t>Water supply</t>
  </si>
  <si>
    <t>Water heating</t>
  </si>
  <si>
    <t>Waste management</t>
  </si>
  <si>
    <t>Clothes</t>
  </si>
  <si>
    <t>Clothes washing</t>
  </si>
  <si>
    <t>Phones</t>
  </si>
  <si>
    <t>Computers</t>
  </si>
  <si>
    <t>ICT networks</t>
  </si>
  <si>
    <t>&amp; data</t>
  </si>
  <si>
    <t>Vehicles</t>
  </si>
  <si>
    <t>Transport infrastructure</t>
  </si>
  <si>
    <t>France</t>
  </si>
  <si>
    <t>Other</t>
  </si>
  <si>
    <t>TOTAL</t>
  </si>
  <si>
    <t>Monde</t>
  </si>
  <si>
    <t>MtCO2eq</t>
  </si>
  <si>
    <t>Europe</t>
  </si>
  <si>
    <t>GtCO2eq</t>
  </si>
  <si>
    <t>tCO2eq</t>
  </si>
  <si>
    <t>medium variant, 1st july</t>
  </si>
  <si>
    <t>GHG emissions</t>
  </si>
  <si>
    <t>N surplus</t>
  </si>
  <si>
    <t>P surplus</t>
  </si>
  <si>
    <t>Raw material consumption</t>
  </si>
  <si>
    <t>Blue water consumption</t>
  </si>
  <si>
    <t>Final energy use</t>
  </si>
  <si>
    <t>Moyenne 2019-2050</t>
  </si>
  <si>
    <t>GDP PPP</t>
  </si>
  <si>
    <t>Projections SSP</t>
  </si>
  <si>
    <t>PDF.m2.yr</t>
  </si>
  <si>
    <t>1e12 PDF.m2.yr</t>
  </si>
  <si>
    <t>Lower safe bound</t>
  </si>
  <si>
    <t>Upper safe bound</t>
  </si>
  <si>
    <t>Safe limit</t>
  </si>
  <si>
    <t>Equality (Lower bound)</t>
  </si>
  <si>
    <t>Equality (Upper bound)</t>
  </si>
  <si>
    <t xml:space="preserve">Equality </t>
  </si>
  <si>
    <t>PB name</t>
  </si>
  <si>
    <t>Figures unit</t>
  </si>
  <si>
    <t>Unit budget</t>
  </si>
  <si>
    <t>Equality (Lower bound) (p. cap)</t>
  </si>
  <si>
    <t>Equality (p.cap)</t>
  </si>
  <si>
    <t>Equality (Upper bound) (p.cap)</t>
  </si>
  <si>
    <t>Figures unit (p.cap)</t>
  </si>
  <si>
    <t xml:space="preserve">Unit Exiobase </t>
  </si>
  <si>
    <t>Unit conversion budget</t>
  </si>
  <si>
    <t>Unit conversion Exiobase</t>
  </si>
  <si>
    <t>Unit conversion budget  (p. cap)</t>
  </si>
  <si>
    <t>Unit conversion Exiobase  (p.cap)</t>
  </si>
  <si>
    <t>GtC</t>
  </si>
  <si>
    <t>MtC</t>
  </si>
  <si>
    <t>tC</t>
  </si>
  <si>
    <t>Biodiversity loss - HANPP</t>
  </si>
  <si>
    <t>Biodiversity loss - PDF</t>
  </si>
  <si>
    <t>Part 2019-2050</t>
  </si>
  <si>
    <t>Part 2019-2100</t>
  </si>
  <si>
    <t>Ratio 2019</t>
  </si>
  <si>
    <t>https://ssp.apps.ece.iiasa.ac.at/basic-elements?type=line-chart&amp;variables=299</t>
  </si>
  <si>
    <t>USA</t>
  </si>
  <si>
    <t>Chine</t>
  </si>
  <si>
    <t>Moyenne 1990-2019</t>
  </si>
  <si>
    <t>Ratio 2019-2050</t>
  </si>
  <si>
    <t>Ratio 1990-2019</t>
  </si>
  <si>
    <t>GDP PPP, per capita, constant 2021 USD</t>
  </si>
  <si>
    <t>Moyenne 1990-2050</t>
  </si>
  <si>
    <t>Ratio 1990-2050</t>
  </si>
  <si>
    <t>ref = SSP2</t>
  </si>
  <si>
    <t>Md m2</t>
  </si>
  <si>
    <t>Md PDF.m2.yr</t>
  </si>
  <si>
    <t>MtCO2e</t>
  </si>
  <si>
    <t>Md m3</t>
  </si>
  <si>
    <t>Part 2050</t>
  </si>
  <si>
    <t>Agricultural land</t>
  </si>
  <si>
    <t>I-SDP-EI</t>
  </si>
  <si>
    <t>I-SSP2</t>
  </si>
  <si>
    <t>I-SDP-MC</t>
  </si>
  <si>
    <t>IDP-RC</t>
  </si>
  <si>
    <t>I-SDP-EI-2020</t>
  </si>
  <si>
    <t>tCO2e/hab/an</t>
  </si>
  <si>
    <t>https://iopscience.iop.org/article/10.1088/1748-9326/adc3ad#erladc3ads5</t>
  </si>
  <si>
    <t>Source GHG</t>
  </si>
  <si>
    <t>Source autres pressions</t>
  </si>
  <si>
    <t>DLS 2050</t>
  </si>
  <si>
    <t>DLS 2050 lower bound</t>
  </si>
  <si>
    <t>DLS 2050 upper bound</t>
  </si>
  <si>
    <t xml:space="preserve">DLS </t>
  </si>
  <si>
    <t>DLS lower bound</t>
  </si>
  <si>
    <t>DLS upper bound</t>
  </si>
  <si>
    <t>DLS total</t>
  </si>
  <si>
    <r>
      <t xml:space="preserve">DLS lower bound </t>
    </r>
    <r>
      <rPr>
        <sz val="11"/>
        <color rgb="FFFF0000"/>
        <rFont val="Calibri"/>
        <family val="2"/>
        <scheme val="minor"/>
      </rPr>
      <t>(p.cap)</t>
    </r>
  </si>
  <si>
    <r>
      <t xml:space="preserve">DLS </t>
    </r>
    <r>
      <rPr>
        <sz val="11"/>
        <color rgb="FFFF0000"/>
        <rFont val="Calibri"/>
        <family val="2"/>
        <scheme val="minor"/>
      </rPr>
      <t>(p.cap)</t>
    </r>
  </si>
  <si>
    <r>
      <t xml:space="preserve">DLS upper bound </t>
    </r>
    <r>
      <rPr>
        <sz val="11"/>
        <color rgb="FFFF0000"/>
        <rFont val="Calibri"/>
        <family val="2"/>
        <scheme val="minor"/>
      </rPr>
      <t>(p.cap)</t>
    </r>
  </si>
  <si>
    <r>
      <t xml:space="preserve">DLS 2050 lower bound </t>
    </r>
    <r>
      <rPr>
        <sz val="11"/>
        <color rgb="FFFF0000"/>
        <rFont val="Calibri"/>
        <family val="2"/>
        <scheme val="minor"/>
      </rPr>
      <t>(p.cap)</t>
    </r>
  </si>
  <si>
    <r>
      <t xml:space="preserve">DLS 2050 </t>
    </r>
    <r>
      <rPr>
        <sz val="11"/>
        <color rgb="FFFF0000"/>
        <rFont val="Calibri"/>
        <family val="2"/>
        <scheme val="minor"/>
      </rPr>
      <t>(p.cap)</t>
    </r>
  </si>
  <si>
    <r>
      <t xml:space="preserve">DLS 2050 upper bound </t>
    </r>
    <r>
      <rPr>
        <sz val="11"/>
        <color rgb="FFFF0000"/>
        <rFont val="Calibri"/>
        <family val="2"/>
        <scheme val="minor"/>
      </rPr>
      <t>(p.cap)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</si>
</sst>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 Light"/>
      <family val="2"/>
    </font>
    <font>
      <sz val="10"/>
      <color rgb="FF000000"/>
      <name val="Calibri Light"/>
      <family val="2"/>
    </font>
    <font>
      <sz val="10"/>
      <color theme="1"/>
      <name val="Calibri Light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  <font>
      <b/>
      <sz val="10"/>
      <color rgb="FFC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10" fillId="0" borderId="0"/>
  </cellStyleXfs>
  <cellXfs count="7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9" fontId="0" fillId="0" borderId="0" xfId="1" applyFont="1"/>
    <xf numFmtId="0" fontId="0" fillId="0" borderId="0" xfId="1" applyNumberFormat="1" applyFont="1"/>
    <xf numFmtId="0" fontId="3" fillId="0" borderId="0" xfId="2"/>
    <xf numFmtId="0" fontId="0" fillId="0" borderId="3" xfId="0" applyBorder="1"/>
    <xf numFmtId="0" fontId="0" fillId="0" borderId="0" xfId="0" applyBorder="1"/>
    <xf numFmtId="0" fontId="4" fillId="0" borderId="0" xfId="3"/>
    <xf numFmtId="0" fontId="0" fillId="3" borderId="0" xfId="0" applyFill="1"/>
    <xf numFmtId="0" fontId="0" fillId="2" borderId="0" xfId="0" applyFill="1"/>
    <xf numFmtId="0" fontId="0" fillId="0" borderId="0" xfId="0"/>
    <xf numFmtId="0" fontId="0" fillId="4" borderId="0" xfId="0" applyFill="1"/>
    <xf numFmtId="0" fontId="0" fillId="3" borderId="3" xfId="0" applyFill="1" applyBorder="1"/>
    <xf numFmtId="0" fontId="0" fillId="3" borderId="2" xfId="0" applyFill="1" applyBorder="1"/>
    <xf numFmtId="0" fontId="0" fillId="3" borderId="1" xfId="0" applyFill="1" applyBorder="1"/>
    <xf numFmtId="0" fontId="0" fillId="5" borderId="3" xfId="0" applyFill="1" applyBorder="1"/>
    <xf numFmtId="0" fontId="0" fillId="5" borderId="0" xfId="0" applyFill="1"/>
    <xf numFmtId="0" fontId="8" fillId="8" borderId="0" xfId="0" applyFont="1" applyFill="1" applyAlignment="1">
      <alignment horizontal="center" vertical="center" textRotation="180" wrapText="1"/>
    </xf>
    <xf numFmtId="0" fontId="9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0" xfId="0" applyNumberFormat="1" applyFill="1"/>
    <xf numFmtId="0" fontId="0" fillId="3" borderId="0" xfId="0" applyNumberFormat="1" applyFill="1"/>
    <xf numFmtId="0" fontId="0" fillId="11" borderId="3" xfId="0" applyFill="1" applyBorder="1"/>
    <xf numFmtId="11" fontId="0" fillId="11" borderId="0" xfId="0" applyNumberFormat="1" applyFill="1"/>
    <xf numFmtId="0" fontId="0" fillId="11" borderId="0" xfId="0" applyFill="1"/>
    <xf numFmtId="11" fontId="0" fillId="11" borderId="0" xfId="0" applyNumberFormat="1" applyFill="1" applyBorder="1"/>
    <xf numFmtId="0" fontId="0" fillId="12" borderId="2" xfId="0" applyFill="1" applyBorder="1"/>
    <xf numFmtId="0" fontId="0" fillId="12" borderId="1" xfId="0" applyFill="1" applyBorder="1"/>
    <xf numFmtId="0" fontId="5" fillId="0" borderId="3" xfId="0" applyFont="1" applyFill="1" applyBorder="1"/>
    <xf numFmtId="11" fontId="5" fillId="0" borderId="0" xfId="0" applyNumberFormat="1" applyFont="1" applyFill="1"/>
    <xf numFmtId="0" fontId="5" fillId="0" borderId="0" xfId="0" applyFont="1" applyFill="1"/>
    <xf numFmtId="0" fontId="0" fillId="13" borderId="3" xfId="0" applyFill="1" applyBorder="1" applyAlignment="1">
      <alignment wrapText="1"/>
    </xf>
    <xf numFmtId="0" fontId="0" fillId="13" borderId="0" xfId="0" applyFill="1" applyBorder="1" applyAlignment="1">
      <alignment horizontal="center" vertical="center"/>
    </xf>
    <xf numFmtId="0" fontId="0" fillId="13" borderId="3" xfId="0" applyFill="1" applyBorder="1"/>
    <xf numFmtId="0" fontId="0" fillId="13" borderId="0" xfId="0" applyFill="1" applyAlignment="1">
      <alignment horizontal="center" vertical="center"/>
    </xf>
    <xf numFmtId="0" fontId="0" fillId="13" borderId="0" xfId="0" applyNumberFormat="1" applyFill="1" applyAlignment="1">
      <alignment horizontal="center" vertical="center"/>
    </xf>
    <xf numFmtId="0" fontId="0" fillId="13" borderId="2" xfId="0" applyFill="1" applyBorder="1"/>
    <xf numFmtId="0" fontId="0" fillId="13" borderId="1" xfId="0" applyFill="1" applyBorder="1"/>
    <xf numFmtId="0" fontId="0" fillId="14" borderId="2" xfId="0" applyFill="1" applyBorder="1" applyAlignment="1">
      <alignment wrapText="1"/>
    </xf>
    <xf numFmtId="0" fontId="0" fillId="14" borderId="1" xfId="0" applyFill="1" applyBorder="1" applyAlignment="1">
      <alignment horizontal="center" wrapText="1"/>
    </xf>
    <xf numFmtId="0" fontId="0" fillId="14" borderId="2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Fill="1"/>
    <xf numFmtId="0" fontId="11" fillId="0" borderId="4" xfId="4" applyFont="1" applyFill="1" applyBorder="1" applyAlignment="1">
      <alignment horizontal="center" vertical="center"/>
    </xf>
    <xf numFmtId="3" fontId="12" fillId="0" borderId="4" xfId="4" applyNumberFormat="1" applyFont="1" applyFill="1" applyBorder="1" applyAlignment="1">
      <alignment horizontal="center" vertical="center"/>
    </xf>
    <xf numFmtId="2" fontId="13" fillId="0" borderId="4" xfId="4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3" fontId="15" fillId="0" borderId="0" xfId="0" applyNumberFormat="1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3" fontId="12" fillId="15" borderId="4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164" fontId="2" fillId="12" borderId="0" xfId="0" applyNumberFormat="1" applyFont="1" applyFill="1" applyAlignment="1">
      <alignment horizontal="right"/>
    </xf>
    <xf numFmtId="0" fontId="0" fillId="4" borderId="0" xfId="0" applyFont="1" applyFill="1"/>
    <xf numFmtId="0" fontId="0" fillId="16" borderId="0" xfId="0" applyFill="1"/>
    <xf numFmtId="2" fontId="0" fillId="3" borderId="0" xfId="0" applyNumberFormat="1" applyFill="1"/>
    <xf numFmtId="0" fontId="11" fillId="0" borderId="5" xfId="4" applyFont="1" applyFill="1" applyBorder="1" applyAlignment="1">
      <alignment horizontal="center" vertical="center"/>
    </xf>
    <xf numFmtId="0" fontId="11" fillId="0" borderId="6" xfId="4" applyFont="1" applyFill="1" applyBorder="1" applyAlignment="1">
      <alignment horizontal="center" vertical="center"/>
    </xf>
    <xf numFmtId="0" fontId="11" fillId="0" borderId="7" xfId="4" applyFont="1" applyFill="1" applyBorder="1" applyAlignment="1">
      <alignment horizontal="center" vertical="center"/>
    </xf>
    <xf numFmtId="0" fontId="4" fillId="0" borderId="0" xfId="3" applyAlignment="1">
      <alignment horizontal="center"/>
    </xf>
    <xf numFmtId="0" fontId="0" fillId="0" borderId="0" xfId="0" applyAlignment="1">
      <alignment horizontal="center"/>
    </xf>
    <xf numFmtId="0" fontId="7" fillId="7" borderId="0" xfId="0" applyFont="1" applyFill="1" applyAlignment="1">
      <alignment horizontal="center" vertical="center" textRotation="180"/>
    </xf>
    <xf numFmtId="0" fontId="8" fillId="8" borderId="0" xfId="0" applyFont="1" applyFill="1" applyAlignment="1">
      <alignment horizontal="center" vertical="center" textRotation="180" wrapText="1"/>
    </xf>
    <xf numFmtId="0" fontId="8" fillId="6" borderId="0" xfId="0" applyFont="1" applyFill="1" applyAlignment="1">
      <alignment horizontal="center" vertical="center" textRotation="180" wrapText="1"/>
    </xf>
    <xf numFmtId="0" fontId="6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textRotation="180"/>
    </xf>
    <xf numFmtId="0" fontId="7" fillId="8" borderId="0" xfId="0" applyFont="1" applyFill="1" applyAlignment="1">
      <alignment horizontal="center" vertical="center" textRotation="180" wrapText="1"/>
    </xf>
    <xf numFmtId="11" fontId="0" fillId="5" borderId="0" xfId="0" applyNumberFormat="1" applyFill="1"/>
  </cellXfs>
  <cellStyles count="5">
    <cellStyle name="Lien hypertexte" xfId="3" builtinId="8"/>
    <cellStyle name="Normal" xfId="0" builtinId="0"/>
    <cellStyle name="Normal 2" xfId="2" xr:uid="{50672D9D-075A-40C6-BDA5-FA61CF826F7B}"/>
    <cellStyle name="Normal 3" xfId="4" xr:uid="{AC874C84-457E-4D34-A0FE-462462C0673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pulation.un.org/wpp/downloads?folder=Standard%20Projections&amp;group=Most%20use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sp.apps.ece.iiasa.ac.at/basic-elements?type=line-chart&amp;variables=299" TargetMode="External"/><Relationship Id="rId1" Type="http://schemas.openxmlformats.org/officeDocument/2006/relationships/hyperlink" Target="https://data.worldbank.org/indicator/NY.GDP.PCAP.PP.KD?end=2024&amp;name_desc=false&amp;start=1990&amp;view=char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iopscience.iop.org/article/10.1088/1748-9326/adc3ad" TargetMode="External"/><Relationship Id="rId1" Type="http://schemas.openxmlformats.org/officeDocument/2006/relationships/hyperlink" Target="https://www.sciencedirect.com/science/article/pii/S092180092500302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iencedirect.com/science/article/pii/S092180092500302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2444-97C3-4A7C-A91C-82059EB528AD}">
  <dimension ref="A1:J24"/>
  <sheetViews>
    <sheetView tabSelected="1" topLeftCell="A7" zoomScale="84" workbookViewId="0">
      <selection activeCell="H20" sqref="H20"/>
    </sheetView>
  </sheetViews>
  <sheetFormatPr baseColWidth="10" defaultColWidth="9.23046875" defaultRowHeight="14.6" x14ac:dyDescent="0.4"/>
  <cols>
    <col min="1" max="1" width="27" style="13" customWidth="1"/>
    <col min="2" max="2" width="14.15234375" style="13" customWidth="1"/>
    <col min="3" max="3" width="11.69140625" style="13" customWidth="1"/>
    <col min="4" max="4" width="14.07421875" style="13" customWidth="1"/>
    <col min="5" max="6" width="9.23046875" style="13"/>
    <col min="7" max="7" width="11.3828125" style="13" customWidth="1"/>
    <col min="8" max="8" width="11.921875" style="13" customWidth="1"/>
    <col min="9" max="9" width="13.921875" style="13" customWidth="1"/>
    <col min="10" max="10" width="16.07421875" style="13" customWidth="1"/>
    <col min="11" max="16384" width="9.23046875" style="13"/>
  </cols>
  <sheetData>
    <row r="1" spans="1:10" s="3" customFormat="1" ht="31.95" customHeight="1" thickBot="1" x14ac:dyDescent="0.45">
      <c r="A1" s="45" t="s">
        <v>91</v>
      </c>
      <c r="B1" s="46" t="s">
        <v>74</v>
      </c>
      <c r="C1" s="46" t="s">
        <v>78</v>
      </c>
      <c r="D1" s="46" t="s">
        <v>126</v>
      </c>
      <c r="E1" s="46" t="s">
        <v>75</v>
      </c>
      <c r="F1" s="46" t="s">
        <v>76</v>
      </c>
      <c r="G1" s="46" t="s">
        <v>79</v>
      </c>
      <c r="H1" s="46" t="s">
        <v>77</v>
      </c>
      <c r="I1" s="47" t="s">
        <v>107</v>
      </c>
      <c r="J1" s="47" t="s">
        <v>106</v>
      </c>
    </row>
    <row r="2" spans="1:10" x14ac:dyDescent="0.4">
      <c r="A2" s="38" t="s">
        <v>85</v>
      </c>
      <c r="B2" s="39">
        <f>(1.33*10+163.83)/74</f>
        <v>2.3936486486486488</v>
      </c>
      <c r="C2" s="39">
        <v>1100</v>
      </c>
      <c r="D2" s="39"/>
      <c r="E2" s="39">
        <v>34</v>
      </c>
      <c r="F2" s="39"/>
      <c r="G2" s="39"/>
      <c r="H2" s="39"/>
      <c r="I2" s="39"/>
      <c r="J2" s="39"/>
    </row>
    <row r="3" spans="1:10" x14ac:dyDescent="0.4">
      <c r="A3" s="40" t="s">
        <v>87</v>
      </c>
      <c r="B3" s="41">
        <f>(1.33*130+163.83)/74</f>
        <v>4.5504054054054057</v>
      </c>
      <c r="C3" s="41">
        <v>2800</v>
      </c>
      <c r="D3" s="41">
        <v>43.2</v>
      </c>
      <c r="E3" s="41">
        <v>57</v>
      </c>
      <c r="F3" s="41">
        <v>4.5</v>
      </c>
      <c r="G3" s="41">
        <v>39.6</v>
      </c>
      <c r="H3" s="41">
        <v>25</v>
      </c>
      <c r="I3" s="42">
        <v>6.5</v>
      </c>
      <c r="J3" s="42">
        <v>5.59</v>
      </c>
    </row>
    <row r="4" spans="1:10" x14ac:dyDescent="0.4">
      <c r="A4" s="40" t="s">
        <v>86</v>
      </c>
      <c r="B4" s="41">
        <f>(1.33*1050+163.83)/74</f>
        <v>21.085540540540539</v>
      </c>
      <c r="C4" s="41">
        <v>4500</v>
      </c>
      <c r="D4" s="41">
        <v>48</v>
      </c>
      <c r="E4" s="41">
        <v>74</v>
      </c>
      <c r="F4" s="41">
        <v>9</v>
      </c>
      <c r="G4" s="41">
        <v>49</v>
      </c>
      <c r="H4" s="41">
        <v>50</v>
      </c>
      <c r="I4" s="41">
        <f>I3*7</f>
        <v>45.5</v>
      </c>
      <c r="J4" s="41">
        <f>J3*2</f>
        <v>11.18</v>
      </c>
    </row>
    <row r="5" spans="1:10" ht="15" thickBot="1" x14ac:dyDescent="0.45">
      <c r="A5" s="43" t="s">
        <v>93</v>
      </c>
      <c r="B5" s="44" t="s">
        <v>71</v>
      </c>
      <c r="C5" s="44" t="s">
        <v>16</v>
      </c>
      <c r="D5" s="44" t="s">
        <v>2</v>
      </c>
      <c r="E5" s="44" t="s">
        <v>3</v>
      </c>
      <c r="F5" s="44" t="s">
        <v>3</v>
      </c>
      <c r="G5" s="44" t="s">
        <v>4</v>
      </c>
      <c r="H5" s="44" t="s">
        <v>1</v>
      </c>
      <c r="I5" s="44" t="s">
        <v>84</v>
      </c>
      <c r="J5" s="44" t="s">
        <v>103</v>
      </c>
    </row>
    <row r="6" spans="1:10" x14ac:dyDescent="0.4">
      <c r="A6" s="8"/>
      <c r="B6" s="9"/>
      <c r="C6" s="9"/>
      <c r="D6" s="9"/>
      <c r="E6" s="9"/>
      <c r="F6" s="9"/>
      <c r="G6" s="9"/>
      <c r="H6" s="9"/>
      <c r="I6" s="9"/>
      <c r="J6" s="9"/>
    </row>
    <row r="7" spans="1:10" x14ac:dyDescent="0.4">
      <c r="A7" s="29" t="s">
        <v>99</v>
      </c>
      <c r="B7" s="30">
        <v>1E-3</v>
      </c>
      <c r="C7" s="31">
        <v>1</v>
      </c>
      <c r="D7" s="30">
        <v>1E-3</v>
      </c>
      <c r="E7" s="30">
        <v>1E-3</v>
      </c>
      <c r="F7" s="30">
        <v>1E-3</v>
      </c>
      <c r="G7" s="31">
        <v>2.7777800000000001E-4</v>
      </c>
      <c r="H7" s="30">
        <v>1E-3</v>
      </c>
      <c r="I7" s="30">
        <v>1E-3</v>
      </c>
      <c r="J7" s="30">
        <v>1E-3</v>
      </c>
    </row>
    <row r="8" spans="1:10" x14ac:dyDescent="0.4">
      <c r="A8" s="18" t="s">
        <v>88</v>
      </c>
      <c r="B8" s="27">
        <f>((Population!C119/100)*B2)/B7</f>
        <v>17.558864381613638</v>
      </c>
      <c r="C8" s="27">
        <f>(Population!C119/100)*C2/C7</f>
        <v>8.069167056192347</v>
      </c>
      <c r="D8" s="27">
        <f>((Population!C119/100)*D2)/D7</f>
        <v>0</v>
      </c>
      <c r="E8" s="27">
        <f>((Population!C119/100)*E2)/E7</f>
        <v>249.41061810049069</v>
      </c>
      <c r="F8" s="27">
        <f>((Population!C119/100)*F2)*1000</f>
        <v>0</v>
      </c>
      <c r="G8" s="27">
        <f>(G2*Population!C118)*0.000366668</f>
        <v>0</v>
      </c>
      <c r="H8" s="27">
        <f>((Population!C119/100)*H2)*1000</f>
        <v>0</v>
      </c>
      <c r="I8" s="27">
        <f>(Population!C119/100)*I2</f>
        <v>0</v>
      </c>
      <c r="J8" s="27">
        <f>(Population!D116/100)*J2</f>
        <v>0</v>
      </c>
    </row>
    <row r="9" spans="1:10" x14ac:dyDescent="0.4">
      <c r="A9" s="18" t="s">
        <v>90</v>
      </c>
      <c r="B9" s="27">
        <f>((Population!C119/100)*B3)/B7</f>
        <v>33.379983081469888</v>
      </c>
      <c r="C9" s="27">
        <f>(Population!C119/100)*C3/C7</f>
        <v>20.539697961216881</v>
      </c>
      <c r="D9" s="27">
        <f>((Population!C119/100)*D3)/D7</f>
        <v>316.89819711591764</v>
      </c>
      <c r="E9" s="27">
        <f>((Population!C119/100)*E3)/E7</f>
        <v>418.12956563905794</v>
      </c>
      <c r="F9" s="27">
        <f>((Population!C119/100)*F3)/F7</f>
        <v>33.010228866241413</v>
      </c>
      <c r="G9" s="27">
        <f>(G3*Population!C118)*G7</f>
        <v>776.69114102314745</v>
      </c>
      <c r="H9" s="27">
        <f>((Population!C119/100)*H3)/H7</f>
        <v>183.39016036800786</v>
      </c>
      <c r="I9" s="27">
        <f>(Population!C119/100)*I3/I7</f>
        <v>47.681441695682047</v>
      </c>
      <c r="J9" s="27">
        <f>(Population!C119/100)*J3/J7</f>
        <v>41.006039858286563</v>
      </c>
    </row>
    <row r="10" spans="1:10" x14ac:dyDescent="0.4">
      <c r="A10" s="18" t="s">
        <v>89</v>
      </c>
      <c r="B10" s="27">
        <f>((Population!C119/100)*B4)/B7</f>
        <v>154.67522644703445</v>
      </c>
      <c r="C10" s="27">
        <f>(Population!C119/100)*C4/C7</f>
        <v>33.01022886624142</v>
      </c>
      <c r="D10" s="27">
        <f>((Population!C119/100)*D4)/D7</f>
        <v>352.1091079065751</v>
      </c>
      <c r="E10" s="27">
        <f>((Population!C119/100)*E4)/E7</f>
        <v>542.83487468930332</v>
      </c>
      <c r="F10" s="27">
        <f>((Population!C119/100)*F4)/F7</f>
        <v>66.020457732482825</v>
      </c>
      <c r="G10" s="27">
        <f>(G4*Population!C118)*G7</f>
        <v>961.05721995288445</v>
      </c>
      <c r="H10" s="27">
        <f>((Population!C119/100)*H4)/H7</f>
        <v>366.78032073601571</v>
      </c>
      <c r="I10" s="77">
        <f>(Population!C119/100)*I4/I7</f>
        <v>333.77009186977438</v>
      </c>
      <c r="J10" s="27">
        <f>(Population!C119/100)*J4/J7</f>
        <v>82.012079716573126</v>
      </c>
    </row>
    <row r="11" spans="1:10" x14ac:dyDescent="0.4">
      <c r="A11" s="18" t="s">
        <v>92</v>
      </c>
      <c r="B11" s="19" t="s">
        <v>123</v>
      </c>
      <c r="C11" s="19" t="s">
        <v>124</v>
      </c>
      <c r="D11" s="19" t="s">
        <v>121</v>
      </c>
      <c r="E11" s="19" t="s">
        <v>22</v>
      </c>
      <c r="F11" s="19" t="s">
        <v>22</v>
      </c>
      <c r="G11" s="19" t="s">
        <v>23</v>
      </c>
      <c r="H11" s="19" t="s">
        <v>17</v>
      </c>
      <c r="I11" s="19" t="s">
        <v>122</v>
      </c>
      <c r="J11" s="19" t="s">
        <v>104</v>
      </c>
    </row>
    <row r="12" spans="1:10" x14ac:dyDescent="0.4">
      <c r="A12" s="29" t="s">
        <v>100</v>
      </c>
      <c r="B12" s="30">
        <v>1</v>
      </c>
      <c r="C12" s="30">
        <v>1000</v>
      </c>
      <c r="D12" s="30">
        <v>1000</v>
      </c>
      <c r="E12" s="30">
        <v>1E-3</v>
      </c>
      <c r="F12" s="30">
        <v>1E-3</v>
      </c>
      <c r="G12" s="31">
        <f>1/0.000277778</f>
        <v>3599.9971200023037</v>
      </c>
      <c r="H12" s="30">
        <v>1000</v>
      </c>
      <c r="I12" s="30">
        <v>1000000000</v>
      </c>
      <c r="J12" s="30">
        <v>1E-3</v>
      </c>
    </row>
    <row r="13" spans="1:10" s="37" customFormat="1" x14ac:dyDescent="0.4">
      <c r="A13" s="35"/>
      <c r="B13" s="36"/>
      <c r="C13" s="36"/>
      <c r="D13" s="36"/>
      <c r="E13" s="36"/>
      <c r="F13" s="36"/>
      <c r="H13" s="36"/>
      <c r="I13" s="36"/>
      <c r="J13" s="36"/>
    </row>
    <row r="14" spans="1:10" ht="15" thickBot="1" x14ac:dyDescent="0.45">
      <c r="A14" s="33" t="s">
        <v>98</v>
      </c>
      <c r="B14" s="34" t="s">
        <v>69</v>
      </c>
      <c r="C14" s="34" t="s">
        <v>21</v>
      </c>
      <c r="D14" s="34" t="s">
        <v>20</v>
      </c>
      <c r="E14" s="34" t="s">
        <v>3</v>
      </c>
      <c r="F14" s="34" t="s">
        <v>3</v>
      </c>
      <c r="G14" s="34" t="s">
        <v>18</v>
      </c>
      <c r="H14" s="34" t="s">
        <v>24</v>
      </c>
      <c r="I14" s="34" t="s">
        <v>83</v>
      </c>
      <c r="J14" s="34" t="s">
        <v>103</v>
      </c>
    </row>
    <row r="15" spans="1:10" x14ac:dyDescent="0.4">
      <c r="A15" s="8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4">
      <c r="A16" s="29" t="s">
        <v>101</v>
      </c>
      <c r="B16" s="30">
        <v>1.0000000000000001E-9</v>
      </c>
      <c r="C16" s="30">
        <v>1.0000000000000001E-9</v>
      </c>
      <c r="D16" s="30">
        <v>9.9999999999999998E-13</v>
      </c>
      <c r="E16" s="30">
        <v>1.0000000000000001E-9</v>
      </c>
      <c r="F16" s="30">
        <v>1.0000000000000001E-9</v>
      </c>
      <c r="G16" s="30">
        <v>1</v>
      </c>
      <c r="H16" s="30">
        <v>1.0000000000000001E-9</v>
      </c>
      <c r="I16" s="30">
        <v>9.9999999999999998E-13</v>
      </c>
      <c r="J16" s="30">
        <v>1.0000000000000001E-9</v>
      </c>
    </row>
    <row r="17" spans="1:10" x14ac:dyDescent="0.4">
      <c r="A17" s="15" t="s">
        <v>94</v>
      </c>
      <c r="B17" s="11">
        <f>B2*1000000000/(Population!B118*1000)</f>
        <v>0.24868014132531518</v>
      </c>
      <c r="C17" s="11">
        <f>C2*1000000000/(Population!B118*1000)</f>
        <v>114.28083048540991</v>
      </c>
      <c r="D17" s="11">
        <f>D2*1000000000000/(Population!B118*1000)</f>
        <v>0</v>
      </c>
      <c r="E17" s="11">
        <f>E2*1000000000/(Population!B118*1000)</f>
        <v>3.5323165786399424</v>
      </c>
      <c r="F17" s="11">
        <f>F2*1000000000/(Population!B118*1000)</f>
        <v>0</v>
      </c>
      <c r="G17" s="11">
        <f>G2</f>
        <v>0</v>
      </c>
      <c r="H17" s="11">
        <f>H2*1000000000/(Population!B118*1000)</f>
        <v>0</v>
      </c>
      <c r="I17" s="11">
        <f>I2*1000000/(Population!B118*1000)</f>
        <v>0</v>
      </c>
      <c r="J17" s="11">
        <f>J2*1000000/(Population!C115*1000)</f>
        <v>0</v>
      </c>
    </row>
    <row r="18" spans="1:10" x14ac:dyDescent="0.4">
      <c r="A18" s="15" t="s">
        <v>95</v>
      </c>
      <c r="B18" s="11">
        <f>B3*1000000000/(Population!B118*1000)</f>
        <v>0.47274918979548014</v>
      </c>
      <c r="C18" s="11">
        <f>C3*1000000000/(Population!B118*1000)</f>
        <v>290.89665941740702</v>
      </c>
      <c r="D18" s="11">
        <f>D3*1000000000000/(Population!B118*1000)</f>
        <v>4488.1198881542796</v>
      </c>
      <c r="E18" s="11">
        <f>E3*1000000000/(Population!B118*1000)</f>
        <v>5.9218248524257859</v>
      </c>
      <c r="F18" s="11">
        <f>F3*1000000000/(Population!B118*1000)</f>
        <v>0.46751248834940412</v>
      </c>
      <c r="G18" s="11">
        <f>G3</f>
        <v>39.6</v>
      </c>
      <c r="H18" s="11">
        <f>H3*1000000000/(Population!B118*1000)</f>
        <v>2.5972916019411341</v>
      </c>
      <c r="I18" s="28">
        <f>I3/(Population!B118*1000)*1000000000000</f>
        <v>675.29581650469493</v>
      </c>
      <c r="J18" s="28">
        <f>J3/(Population!C118*1000)*1000000000</f>
        <v>79.16924237219726</v>
      </c>
    </row>
    <row r="19" spans="1:10" x14ac:dyDescent="0.4">
      <c r="A19" s="15" t="s">
        <v>96</v>
      </c>
      <c r="B19" s="11">
        <f>B4*1000000000/(Population!B118*1000)</f>
        <v>2.1906118947334106</v>
      </c>
      <c r="C19" s="11">
        <f>C4*1000000000/(Population!B118*1000)</f>
        <v>467.51248834940412</v>
      </c>
      <c r="D19" s="11">
        <f>D4*1000000000000/(Population!B118*1000)</f>
        <v>4986.7998757269779</v>
      </c>
      <c r="E19" s="11">
        <f>E4*1000000000/(Population!B118*1000)</f>
        <v>7.6879831417457574</v>
      </c>
      <c r="F19" s="11">
        <f>F4*1000000000/(Population!B118*1000)</f>
        <v>0.93502497669880824</v>
      </c>
      <c r="G19" s="11">
        <f>G4</f>
        <v>49</v>
      </c>
      <c r="H19" s="11">
        <f>H4*1000000000/(Population!B118*1000)</f>
        <v>5.1945832038822681</v>
      </c>
      <c r="I19" s="11">
        <f>I4*1000000000000/(Population!B118*1000)</f>
        <v>4727.0707155328637</v>
      </c>
      <c r="J19" s="11">
        <f>J4*1000000000/(Population!C118*1000)</f>
        <v>158.33848474439455</v>
      </c>
    </row>
    <row r="20" spans="1:10" ht="15" thickBot="1" x14ac:dyDescent="0.45">
      <c r="A20" s="16" t="s">
        <v>97</v>
      </c>
      <c r="B20" s="17" t="s">
        <v>72</v>
      </c>
      <c r="C20" s="17" t="s">
        <v>27</v>
      </c>
      <c r="D20" s="17" t="s">
        <v>28</v>
      </c>
      <c r="E20" s="17" t="s">
        <v>19</v>
      </c>
      <c r="F20" s="17" t="s">
        <v>19</v>
      </c>
      <c r="G20" s="17" t="s">
        <v>26</v>
      </c>
      <c r="H20" s="17" t="s">
        <v>25</v>
      </c>
      <c r="I20" s="17" t="s">
        <v>83</v>
      </c>
      <c r="J20" s="17" t="s">
        <v>105</v>
      </c>
    </row>
    <row r="21" spans="1:10" x14ac:dyDescent="0.4">
      <c r="A21" s="29" t="s">
        <v>102</v>
      </c>
      <c r="B21" s="32">
        <v>9.9999999999999995E-7</v>
      </c>
      <c r="C21" s="32">
        <v>9.9999999999999995E-7</v>
      </c>
      <c r="D21" s="32">
        <v>9.9999999999999995E-7</v>
      </c>
      <c r="E21" s="32">
        <v>1.0000000000000001E-9</v>
      </c>
      <c r="F21" s="32">
        <v>1.0000000000000001E-9</v>
      </c>
      <c r="G21" s="32">
        <v>1E-3</v>
      </c>
      <c r="H21" s="32">
        <v>1E-3</v>
      </c>
      <c r="I21" s="32">
        <v>1</v>
      </c>
      <c r="J21" s="32">
        <v>1.0000000000000001E-9</v>
      </c>
    </row>
    <row r="22" spans="1:10" x14ac:dyDescent="0.4">
      <c r="A22" s="8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4">
      <c r="A23" s="8"/>
    </row>
    <row r="24" spans="1:10" x14ac:dyDescent="0.4">
      <c r="A24" s="8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0529-0113-40C2-8132-A760C1078623}">
  <dimension ref="A1:G24"/>
  <sheetViews>
    <sheetView zoomScale="84" workbookViewId="0">
      <selection activeCell="H4" sqref="H4"/>
    </sheetView>
  </sheetViews>
  <sheetFormatPr baseColWidth="10" defaultColWidth="9.23046875" defaultRowHeight="14.6" x14ac:dyDescent="0.4"/>
  <cols>
    <col min="1" max="1" width="27" style="13" customWidth="1"/>
    <col min="2" max="2" width="14.15234375" style="13" customWidth="1"/>
    <col min="3" max="3" width="11.69140625" style="13" customWidth="1"/>
    <col min="4" max="4" width="14.07421875" style="13" customWidth="1"/>
    <col min="5" max="6" width="9.23046875" style="13"/>
    <col min="7" max="7" width="16.07421875" style="13" customWidth="1"/>
    <col min="8" max="16384" width="9.23046875" style="13"/>
  </cols>
  <sheetData>
    <row r="1" spans="1:7" s="3" customFormat="1" ht="31.95" customHeight="1" thickBot="1" x14ac:dyDescent="0.45">
      <c r="A1" s="45" t="s">
        <v>91</v>
      </c>
      <c r="B1" s="46" t="s">
        <v>74</v>
      </c>
      <c r="C1" s="46" t="s">
        <v>78</v>
      </c>
      <c r="D1" s="46" t="s">
        <v>126</v>
      </c>
      <c r="E1" s="46" t="s">
        <v>75</v>
      </c>
      <c r="F1" s="46" t="s">
        <v>76</v>
      </c>
      <c r="G1" s="47" t="s">
        <v>106</v>
      </c>
    </row>
    <row r="2" spans="1:7" x14ac:dyDescent="0.4">
      <c r="A2" s="38" t="s">
        <v>85</v>
      </c>
      <c r="B2" s="39"/>
      <c r="C2" s="39"/>
      <c r="D2" s="39"/>
      <c r="E2" s="39"/>
      <c r="F2" s="39"/>
      <c r="G2" s="39"/>
    </row>
    <row r="3" spans="1:7" x14ac:dyDescent="0.4">
      <c r="A3" s="40" t="s">
        <v>87</v>
      </c>
      <c r="B3" s="41">
        <v>5</v>
      </c>
      <c r="C3" s="41">
        <v>2000</v>
      </c>
      <c r="D3" s="41">
        <v>48</v>
      </c>
      <c r="E3" s="41">
        <v>57</v>
      </c>
      <c r="F3" s="41">
        <v>4.5</v>
      </c>
      <c r="G3" s="42">
        <v>5.5</v>
      </c>
    </row>
    <row r="4" spans="1:7" x14ac:dyDescent="0.4">
      <c r="A4" s="40" t="s">
        <v>86</v>
      </c>
      <c r="B4" s="41"/>
      <c r="C4" s="41"/>
      <c r="D4" s="41"/>
      <c r="E4" s="41"/>
      <c r="F4" s="41"/>
      <c r="G4" s="41"/>
    </row>
    <row r="5" spans="1:7" ht="15" thickBot="1" x14ac:dyDescent="0.45">
      <c r="A5" s="43" t="s">
        <v>93</v>
      </c>
      <c r="B5" s="44" t="s">
        <v>71</v>
      </c>
      <c r="C5" s="44" t="s">
        <v>16</v>
      </c>
      <c r="D5" s="44" t="s">
        <v>2</v>
      </c>
      <c r="E5" s="44" t="s">
        <v>3</v>
      </c>
      <c r="F5" s="44" t="s">
        <v>3</v>
      </c>
      <c r="G5" s="44" t="s">
        <v>103</v>
      </c>
    </row>
    <row r="6" spans="1:7" x14ac:dyDescent="0.4">
      <c r="A6" s="8"/>
      <c r="B6" s="9"/>
      <c r="C6" s="9"/>
      <c r="D6" s="9"/>
      <c r="E6" s="9"/>
      <c r="F6" s="9"/>
      <c r="G6" s="9"/>
    </row>
    <row r="7" spans="1:7" x14ac:dyDescent="0.4">
      <c r="A7" s="29" t="s">
        <v>99</v>
      </c>
      <c r="B7" s="30">
        <v>1E-3</v>
      </c>
      <c r="C7" s="31">
        <v>1</v>
      </c>
      <c r="D7" s="30">
        <v>1E-3</v>
      </c>
      <c r="E7" s="30">
        <v>1E-3</v>
      </c>
      <c r="F7" s="30">
        <v>1E-3</v>
      </c>
      <c r="G7" s="30">
        <v>1E-3</v>
      </c>
    </row>
    <row r="8" spans="1:7" x14ac:dyDescent="0.4">
      <c r="A8" s="18" t="s">
        <v>88</v>
      </c>
      <c r="B8" s="27">
        <f>((Population!C119/100)*B2)/B7</f>
        <v>0</v>
      </c>
      <c r="C8" s="27">
        <f>(Population!C119/100)*C2/C7</f>
        <v>0</v>
      </c>
      <c r="D8" s="27">
        <f>((Population!C119/100)*D2)/D7</f>
        <v>0</v>
      </c>
      <c r="E8" s="27">
        <f>((Population!C119/100)*E2)/E7</f>
        <v>0</v>
      </c>
      <c r="F8" s="27">
        <f>((Population!C119/100)*F2)*1000</f>
        <v>0</v>
      </c>
      <c r="G8" s="27">
        <f>(Population!D116/100)*G2</f>
        <v>0</v>
      </c>
    </row>
    <row r="9" spans="1:7" x14ac:dyDescent="0.4">
      <c r="A9" s="18" t="s">
        <v>90</v>
      </c>
      <c r="B9" s="27">
        <f>((Population!C119/100)*B3)/B7</f>
        <v>36.678032073601578</v>
      </c>
      <c r="C9" s="27">
        <f>(Population!C119/100)*C3/C7</f>
        <v>14.671212829440631</v>
      </c>
      <c r="D9" s="27">
        <f>((Population!C119/100)*D3)/D7</f>
        <v>352.1091079065751</v>
      </c>
      <c r="E9" s="27">
        <f>((Population!C119/100)*E3)/E7</f>
        <v>418.12956563905794</v>
      </c>
      <c r="F9" s="27">
        <f>((Population!C119/100)*F3)/F7</f>
        <v>33.010228866241413</v>
      </c>
      <c r="G9" s="27">
        <f>(Population!C119/100)*G3/G7</f>
        <v>40.345835280961737</v>
      </c>
    </row>
    <row r="10" spans="1:7" x14ac:dyDescent="0.4">
      <c r="A10" s="18" t="s">
        <v>89</v>
      </c>
      <c r="B10" s="27">
        <f>((Population!C119/100)*B4)/B7</f>
        <v>0</v>
      </c>
      <c r="C10" s="27">
        <f>(Population!C119/100)*C4/C7</f>
        <v>0</v>
      </c>
      <c r="D10" s="27">
        <f>((Population!C119/100)*D4)/D7</f>
        <v>0</v>
      </c>
      <c r="E10" s="27">
        <f>((Population!C119/100)*E4)/E7</f>
        <v>0</v>
      </c>
      <c r="F10" s="27">
        <f>((Population!C119/100)*F4)/F7</f>
        <v>0</v>
      </c>
      <c r="G10" s="27">
        <f>(Population!C119/100)*G4/G7</f>
        <v>0</v>
      </c>
    </row>
    <row r="11" spans="1:7" x14ac:dyDescent="0.4">
      <c r="A11" s="18" t="s">
        <v>92</v>
      </c>
      <c r="B11" s="19" t="s">
        <v>123</v>
      </c>
      <c r="C11" s="19" t="s">
        <v>124</v>
      </c>
      <c r="D11" s="19" t="s">
        <v>121</v>
      </c>
      <c r="E11" s="19" t="s">
        <v>22</v>
      </c>
      <c r="F11" s="19" t="s">
        <v>22</v>
      </c>
      <c r="G11" s="19" t="s">
        <v>104</v>
      </c>
    </row>
    <row r="12" spans="1:7" x14ac:dyDescent="0.4">
      <c r="A12" s="29" t="s">
        <v>100</v>
      </c>
      <c r="B12" s="30">
        <v>1</v>
      </c>
      <c r="C12" s="30">
        <v>1000</v>
      </c>
      <c r="D12" s="30">
        <v>1000</v>
      </c>
      <c r="E12" s="30">
        <v>1E-3</v>
      </c>
      <c r="F12" s="30">
        <v>1E-3</v>
      </c>
      <c r="G12" s="30">
        <v>1E-3</v>
      </c>
    </row>
    <row r="13" spans="1:7" s="37" customFormat="1" x14ac:dyDescent="0.4">
      <c r="A13" s="35"/>
      <c r="B13" s="36"/>
      <c r="C13" s="36"/>
      <c r="D13" s="36"/>
      <c r="E13" s="36"/>
      <c r="F13" s="36"/>
      <c r="G13" s="36"/>
    </row>
    <row r="14" spans="1:7" ht="15" thickBot="1" x14ac:dyDescent="0.45">
      <c r="A14" s="33" t="s">
        <v>98</v>
      </c>
      <c r="B14" s="34" t="s">
        <v>69</v>
      </c>
      <c r="C14" s="34" t="s">
        <v>21</v>
      </c>
      <c r="D14" s="34" t="s">
        <v>20</v>
      </c>
      <c r="E14" s="34" t="s">
        <v>3</v>
      </c>
      <c r="F14" s="34" t="s">
        <v>3</v>
      </c>
      <c r="G14" s="34" t="s">
        <v>103</v>
      </c>
    </row>
    <row r="15" spans="1:7" x14ac:dyDescent="0.4">
      <c r="A15" s="8"/>
      <c r="B15" s="9"/>
      <c r="C15" s="9"/>
      <c r="D15" s="9"/>
      <c r="E15" s="9"/>
      <c r="F15" s="9"/>
      <c r="G15" s="9"/>
    </row>
    <row r="16" spans="1:7" x14ac:dyDescent="0.4">
      <c r="A16" s="29" t="s">
        <v>101</v>
      </c>
      <c r="B16" s="30">
        <v>1.0000000000000001E-9</v>
      </c>
      <c r="C16" s="30">
        <v>1.0000000000000001E-9</v>
      </c>
      <c r="D16" s="30">
        <v>9.9999999999999998E-13</v>
      </c>
      <c r="E16" s="30">
        <v>1.0000000000000001E-9</v>
      </c>
      <c r="F16" s="30">
        <v>1.0000000000000001E-9</v>
      </c>
      <c r="G16" s="30">
        <v>1.0000000000000001E-9</v>
      </c>
    </row>
    <row r="17" spans="1:7" x14ac:dyDescent="0.4">
      <c r="A17" s="15" t="s">
        <v>94</v>
      </c>
      <c r="B17" s="11">
        <f>B2*1000000000/(Population!B118*1000)</f>
        <v>0</v>
      </c>
      <c r="C17" s="11">
        <f>C2*1000000000/(Population!B118*1000)</f>
        <v>0</v>
      </c>
      <c r="D17" s="11">
        <f>D2*1000000000000/(Population!B118*1000)</f>
        <v>0</v>
      </c>
      <c r="E17" s="11">
        <f>E2*1000000000/(Population!B118*1000)</f>
        <v>0</v>
      </c>
      <c r="F17" s="11">
        <f>F2*1000000000/(Population!B118*1000)</f>
        <v>0</v>
      </c>
      <c r="G17" s="11">
        <f>G2*1000000/(Population!C115*1000)</f>
        <v>0</v>
      </c>
    </row>
    <row r="18" spans="1:7" x14ac:dyDescent="0.4">
      <c r="A18" s="15" t="s">
        <v>95</v>
      </c>
      <c r="B18" s="11">
        <f>B3*1000000000/(Population!B118*1000)</f>
        <v>0.51945832038822681</v>
      </c>
      <c r="C18" s="11">
        <f>C3*1000000000/(Population!B118*1000)</f>
        <v>207.78332815529072</v>
      </c>
      <c r="D18" s="11">
        <f>D3*1000000000000/(Population!B118*1000)</f>
        <v>4986.7998757269779</v>
      </c>
      <c r="E18" s="11">
        <f>E3*1000000000/(Population!B118*1000)</f>
        <v>5.9218248524257859</v>
      </c>
      <c r="F18" s="11">
        <f>F3*1000000000/(Population!B118*1000)</f>
        <v>0.46751248834940412</v>
      </c>
      <c r="G18" s="28">
        <f>G3/(Population!C118*1000)*1000000000</f>
        <v>77.894603407349734</v>
      </c>
    </row>
    <row r="19" spans="1:7" x14ac:dyDescent="0.4">
      <c r="A19" s="15" t="s">
        <v>96</v>
      </c>
      <c r="B19" s="11">
        <f>B4*1000000000/(Population!B118*1000)</f>
        <v>0</v>
      </c>
      <c r="C19" s="11">
        <f>C4*1000000000/(Population!B118*1000)</f>
        <v>0</v>
      </c>
      <c r="D19" s="11">
        <f>D4*1000000000000/(Population!B118*1000)</f>
        <v>0</v>
      </c>
      <c r="E19" s="11">
        <f>E4*1000000000/(Population!B118*1000)</f>
        <v>0</v>
      </c>
      <c r="F19" s="11">
        <f>F4*1000000000/(Population!B118*1000)</f>
        <v>0</v>
      </c>
      <c r="G19" s="11">
        <f>G4*1000000000/(Population!C118*1000)</f>
        <v>0</v>
      </c>
    </row>
    <row r="20" spans="1:7" ht="15" thickBot="1" x14ac:dyDescent="0.45">
      <c r="A20" s="16" t="s">
        <v>97</v>
      </c>
      <c r="B20" s="17" t="s">
        <v>72</v>
      </c>
      <c r="C20" s="17" t="s">
        <v>27</v>
      </c>
      <c r="D20" s="17" t="s">
        <v>28</v>
      </c>
      <c r="E20" s="17" t="s">
        <v>19</v>
      </c>
      <c r="F20" s="17" t="s">
        <v>19</v>
      </c>
      <c r="G20" s="17" t="s">
        <v>105</v>
      </c>
    </row>
    <row r="21" spans="1:7" x14ac:dyDescent="0.4">
      <c r="A21" s="29" t="s">
        <v>102</v>
      </c>
      <c r="B21" s="32">
        <v>9.9999999999999995E-7</v>
      </c>
      <c r="C21" s="32">
        <v>9.9999999999999995E-7</v>
      </c>
      <c r="D21" s="32">
        <v>9.9999999999999995E-7</v>
      </c>
      <c r="E21" s="32">
        <v>1.0000000000000001E-9</v>
      </c>
      <c r="F21" s="32">
        <v>1.0000000000000001E-9</v>
      </c>
      <c r="G21" s="32">
        <v>1.0000000000000001E-9</v>
      </c>
    </row>
    <row r="22" spans="1:7" x14ac:dyDescent="0.4">
      <c r="A22" s="8"/>
      <c r="B22" s="9"/>
      <c r="C22" s="9"/>
      <c r="D22" s="9"/>
      <c r="E22" s="9"/>
      <c r="F22" s="9"/>
      <c r="G22" s="9"/>
    </row>
    <row r="23" spans="1:7" x14ac:dyDescent="0.4">
      <c r="A23" s="8"/>
    </row>
    <row r="24" spans="1:7" x14ac:dyDescent="0.4">
      <c r="A24" s="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E491-5889-4A7E-A6ED-A3FC6F8FA184}">
  <dimension ref="A1:F123"/>
  <sheetViews>
    <sheetView topLeftCell="A19" workbookViewId="0">
      <selection activeCell="C31" sqref="C31"/>
    </sheetView>
  </sheetViews>
  <sheetFormatPr baseColWidth="10" defaultRowHeight="14.6" x14ac:dyDescent="0.4"/>
  <cols>
    <col min="1" max="1" width="12.3828125" customWidth="1"/>
    <col min="2" max="2" width="12.84375" customWidth="1"/>
  </cols>
  <sheetData>
    <row r="1" spans="1:6" ht="48.75" customHeight="1" x14ac:dyDescent="0.4">
      <c r="A1" s="25" t="s">
        <v>5</v>
      </c>
      <c r="B1" s="26" t="s">
        <v>68</v>
      </c>
      <c r="C1" s="26" t="s">
        <v>65</v>
      </c>
      <c r="D1" s="26" t="s">
        <v>70</v>
      </c>
      <c r="E1" s="26" t="s">
        <v>112</v>
      </c>
      <c r="F1" s="26" t="s">
        <v>113</v>
      </c>
    </row>
    <row r="2" spans="1:6" x14ac:dyDescent="0.4">
      <c r="A2" s="1">
        <v>1990</v>
      </c>
      <c r="B2" s="2">
        <v>5327803.1100000003</v>
      </c>
      <c r="C2" s="2">
        <v>58604.902000000002</v>
      </c>
      <c r="D2" s="2">
        <v>419997.47</v>
      </c>
      <c r="E2" s="2">
        <v>253373.38699999999</v>
      </c>
      <c r="F2" s="2">
        <v>1153582.7239999999</v>
      </c>
    </row>
    <row r="3" spans="1:6" x14ac:dyDescent="0.4">
      <c r="A3" s="1">
        <v>1991</v>
      </c>
      <c r="B3" s="2">
        <v>5418735.8909999998</v>
      </c>
      <c r="C3" s="2">
        <v>58919.182000000001</v>
      </c>
      <c r="D3" s="2">
        <v>421419.174</v>
      </c>
      <c r="E3" s="2">
        <v>256471.42199999999</v>
      </c>
      <c r="F3" s="2">
        <v>1170788.5279999999</v>
      </c>
    </row>
    <row r="4" spans="1:6" x14ac:dyDescent="0.4">
      <c r="A4" s="1">
        <v>1992</v>
      </c>
      <c r="B4" s="2">
        <v>5505989.8159999996</v>
      </c>
      <c r="C4" s="2">
        <v>59235.822</v>
      </c>
      <c r="D4" s="2">
        <v>422863.59999999992</v>
      </c>
      <c r="E4" s="2">
        <v>259606.019</v>
      </c>
      <c r="F4" s="2">
        <v>1184574.237</v>
      </c>
    </row>
    <row r="5" spans="1:6" x14ac:dyDescent="0.4">
      <c r="A5" s="1">
        <v>1993</v>
      </c>
      <c r="B5" s="2">
        <v>5591544.7970000003</v>
      </c>
      <c r="C5" s="2">
        <v>59515.843000000001</v>
      </c>
      <c r="D5" s="2">
        <v>424104.70499999996</v>
      </c>
      <c r="E5" s="2">
        <v>262633.23100000003</v>
      </c>
      <c r="F5" s="2">
        <v>1197308.575</v>
      </c>
    </row>
    <row r="6" spans="1:6" x14ac:dyDescent="0.4">
      <c r="A6" s="1">
        <v>1994</v>
      </c>
      <c r="B6" s="2">
        <v>5675551.2549999999</v>
      </c>
      <c r="C6" s="2">
        <v>59747.877</v>
      </c>
      <c r="D6" s="2">
        <v>425188.98800000019</v>
      </c>
      <c r="E6" s="2">
        <v>265474.81</v>
      </c>
      <c r="F6" s="2">
        <v>1209003.0959999999</v>
      </c>
    </row>
    <row r="7" spans="1:6" x14ac:dyDescent="0.4">
      <c r="A7" s="1">
        <v>1995</v>
      </c>
      <c r="B7" s="2">
        <v>5758878.9819999998</v>
      </c>
      <c r="C7" s="2">
        <v>59973.548000000003</v>
      </c>
      <c r="D7" s="2">
        <v>425847.82800000004</v>
      </c>
      <c r="E7" s="2">
        <v>268205.79499999998</v>
      </c>
      <c r="F7" s="2">
        <v>1220133.9269999999</v>
      </c>
    </row>
    <row r="8" spans="1:6" x14ac:dyDescent="0.4">
      <c r="A8" s="1">
        <v>1996</v>
      </c>
      <c r="B8" s="2">
        <v>5842055.7340000002</v>
      </c>
      <c r="C8" s="2">
        <v>60195.175999999999</v>
      </c>
      <c r="D8" s="2">
        <v>426181.87299999996</v>
      </c>
      <c r="E8" s="2">
        <v>270860.696</v>
      </c>
      <c r="F8" s="2">
        <v>1230944.8119999999</v>
      </c>
    </row>
    <row r="9" spans="1:6" x14ac:dyDescent="0.4">
      <c r="A9" s="1">
        <v>1997</v>
      </c>
      <c r="B9" s="2">
        <v>5924787.8159999996</v>
      </c>
      <c r="C9" s="2">
        <v>60416.197999999997</v>
      </c>
      <c r="D9" s="2">
        <v>426651.66799999989</v>
      </c>
      <c r="E9" s="2">
        <v>273468.01299999998</v>
      </c>
      <c r="F9" s="2">
        <v>1241139.622</v>
      </c>
    </row>
    <row r="10" spans="1:6" x14ac:dyDescent="0.4">
      <c r="A10" s="1">
        <v>1998</v>
      </c>
      <c r="B10" s="2">
        <v>6007066.6900000004</v>
      </c>
      <c r="C10" s="2">
        <v>60657.506999999998</v>
      </c>
      <c r="D10" s="2">
        <v>426655.42999999993</v>
      </c>
      <c r="E10" s="2">
        <v>276119.33299999998</v>
      </c>
      <c r="F10" s="2">
        <v>1250847.1270000001</v>
      </c>
    </row>
    <row r="11" spans="1:6" x14ac:dyDescent="0.4">
      <c r="A11" s="1">
        <v>1999</v>
      </c>
      <c r="B11" s="2">
        <v>6089006.3389999997</v>
      </c>
      <c r="C11" s="2">
        <v>60987.091</v>
      </c>
      <c r="D11" s="2">
        <v>426830.63099999999</v>
      </c>
      <c r="E11" s="2">
        <v>278785.484</v>
      </c>
      <c r="F11" s="2">
        <v>1260176.655</v>
      </c>
    </row>
    <row r="12" spans="1:6" x14ac:dyDescent="0.4">
      <c r="A12" s="1">
        <v>2000</v>
      </c>
      <c r="B12" s="2">
        <v>6171702.9929999998</v>
      </c>
      <c r="C12" s="2">
        <v>61404.917999999998</v>
      </c>
      <c r="D12" s="2">
        <v>427627.31800000009</v>
      </c>
      <c r="E12" s="2">
        <v>281484.13099999999</v>
      </c>
      <c r="F12" s="2">
        <v>1269581.175</v>
      </c>
    </row>
    <row r="13" spans="1:6" x14ac:dyDescent="0.4">
      <c r="A13" s="1">
        <v>2001</v>
      </c>
      <c r="B13" s="2">
        <v>6254936.4589999998</v>
      </c>
      <c r="C13" s="2">
        <v>61843.576000000001</v>
      </c>
      <c r="D13" s="2">
        <v>428578.28599999996</v>
      </c>
      <c r="E13" s="2">
        <v>284279.63900000002</v>
      </c>
      <c r="F13" s="2">
        <v>1278725.0630000001</v>
      </c>
    </row>
    <row r="14" spans="1:6" x14ac:dyDescent="0.4">
      <c r="A14" s="1">
        <v>2002</v>
      </c>
      <c r="B14" s="2">
        <v>6337730.3420000002</v>
      </c>
      <c r="C14" s="2">
        <v>62281.563000000002</v>
      </c>
      <c r="D14" s="2">
        <v>429890.46400000004</v>
      </c>
      <c r="E14" s="2">
        <v>287084.33799999999</v>
      </c>
      <c r="F14" s="2">
        <v>1286866.8389999999</v>
      </c>
    </row>
    <row r="15" spans="1:6" x14ac:dyDescent="0.4">
      <c r="A15" s="1">
        <v>2003</v>
      </c>
      <c r="B15" s="2">
        <v>6420361.6339999996</v>
      </c>
      <c r="C15" s="2">
        <v>62710.292000000001</v>
      </c>
      <c r="D15" s="2">
        <v>431461.80999999994</v>
      </c>
      <c r="E15" s="2">
        <v>289908.09999999998</v>
      </c>
      <c r="F15" s="2">
        <v>1294517.3259999999</v>
      </c>
    </row>
    <row r="16" spans="1:6" x14ac:dyDescent="0.4">
      <c r="A16" s="1">
        <v>2004</v>
      </c>
      <c r="B16" s="2">
        <v>6503377.7719999999</v>
      </c>
      <c r="C16" s="2">
        <v>63156.877999999997</v>
      </c>
      <c r="D16" s="2">
        <v>433058.58899999998</v>
      </c>
      <c r="E16" s="2">
        <v>292786.25300000003</v>
      </c>
      <c r="F16" s="2">
        <v>1302100.3160000001</v>
      </c>
    </row>
    <row r="17" spans="1:6" x14ac:dyDescent="0.4">
      <c r="A17" s="1">
        <v>2005</v>
      </c>
      <c r="B17" s="2">
        <v>6586970.1320000002</v>
      </c>
      <c r="C17" s="2">
        <v>63617.228000000003</v>
      </c>
      <c r="D17" s="2">
        <v>434557.12100000004</v>
      </c>
      <c r="E17" s="2">
        <v>295716.66399999999</v>
      </c>
      <c r="F17" s="2">
        <v>1310027.1359999999</v>
      </c>
    </row>
    <row r="18" spans="1:6" x14ac:dyDescent="0.4">
      <c r="A18" s="1">
        <v>2006</v>
      </c>
      <c r="B18" s="2">
        <v>6671452.0149999997</v>
      </c>
      <c r="C18" s="2">
        <v>64060.148999999998</v>
      </c>
      <c r="D18" s="2">
        <v>435683.11500000011</v>
      </c>
      <c r="E18" s="2">
        <v>298730.20899999997</v>
      </c>
      <c r="F18" s="2">
        <v>1318054.0360000001</v>
      </c>
    </row>
    <row r="19" spans="1:6" x14ac:dyDescent="0.4">
      <c r="A19" s="1">
        <v>2007</v>
      </c>
      <c r="B19" s="2">
        <v>6757308.7810000004</v>
      </c>
      <c r="C19" s="2">
        <v>64470.141000000003</v>
      </c>
      <c r="D19" s="2">
        <v>436994.47300000006</v>
      </c>
      <c r="E19" s="2">
        <v>301844.22600000002</v>
      </c>
      <c r="F19" s="2">
        <v>1325813.5819999999</v>
      </c>
    </row>
    <row r="20" spans="1:6" x14ac:dyDescent="0.4">
      <c r="A20" s="1">
        <v>2008</v>
      </c>
      <c r="B20" s="2">
        <v>6844457.6619999995</v>
      </c>
      <c r="C20" s="2">
        <v>64842.856</v>
      </c>
      <c r="D20" s="2">
        <v>438548.18900000007</v>
      </c>
      <c r="E20" s="2">
        <v>304970.33299999998</v>
      </c>
      <c r="F20" s="2">
        <v>1333821.0160000001</v>
      </c>
    </row>
    <row r="21" spans="1:6" x14ac:dyDescent="0.4">
      <c r="A21" s="1">
        <v>2009</v>
      </c>
      <c r="B21" s="2">
        <v>6932766.4160000002</v>
      </c>
      <c r="C21" s="2">
        <v>65186.042000000001</v>
      </c>
      <c r="D21" s="2">
        <v>439690.78899999993</v>
      </c>
      <c r="E21" s="2">
        <v>308023.45400000003</v>
      </c>
      <c r="F21" s="2">
        <v>1342522.716</v>
      </c>
    </row>
    <row r="22" spans="1:6" x14ac:dyDescent="0.4">
      <c r="A22" s="1">
        <v>2010</v>
      </c>
      <c r="B22" s="2">
        <v>7021732.148</v>
      </c>
      <c r="C22" s="2">
        <v>65510.017</v>
      </c>
      <c r="D22" s="2">
        <v>440608.95100000006</v>
      </c>
      <c r="E22" s="2">
        <v>311062.78999999998</v>
      </c>
      <c r="F22" s="2">
        <v>1351561.514</v>
      </c>
    </row>
    <row r="23" spans="1:6" x14ac:dyDescent="0.4">
      <c r="A23" s="1">
        <v>2011</v>
      </c>
      <c r="B23" s="2">
        <v>7110923.7649999997</v>
      </c>
      <c r="C23" s="2">
        <v>65836.675000000003</v>
      </c>
      <c r="D23" s="2">
        <v>441440.62800000008</v>
      </c>
      <c r="E23" s="2">
        <v>314105.07799999998</v>
      </c>
      <c r="F23" s="2">
        <v>1360250.6640000001</v>
      </c>
    </row>
    <row r="24" spans="1:6" x14ac:dyDescent="0.4">
      <c r="A24" s="1">
        <v>2012</v>
      </c>
      <c r="B24" s="2">
        <v>7201202.4850000003</v>
      </c>
      <c r="C24" s="2">
        <v>66169.17</v>
      </c>
      <c r="D24" s="2">
        <v>441999.21399999998</v>
      </c>
      <c r="E24" s="2">
        <v>317115.35499999998</v>
      </c>
      <c r="F24" s="2">
        <v>1369520.8640000001</v>
      </c>
    </row>
    <row r="25" spans="1:6" x14ac:dyDescent="0.4">
      <c r="A25" s="1">
        <v>2013</v>
      </c>
      <c r="B25" s="2">
        <v>7291793.585</v>
      </c>
      <c r="C25" s="2">
        <v>66513.020999999993</v>
      </c>
      <c r="D25" s="2">
        <v>442399.391</v>
      </c>
      <c r="E25" s="2">
        <v>320110.75900000002</v>
      </c>
      <c r="F25" s="2">
        <v>1379008.04</v>
      </c>
    </row>
    <row r="26" spans="1:6" x14ac:dyDescent="0.4">
      <c r="A26" s="1">
        <v>2014</v>
      </c>
      <c r="B26" s="2">
        <v>7381616.2439999999</v>
      </c>
      <c r="C26" s="2">
        <v>66841.142000000007</v>
      </c>
      <c r="D26" s="2">
        <v>442964.72000000003</v>
      </c>
      <c r="E26" s="2">
        <v>323115.37699999998</v>
      </c>
      <c r="F26" s="2">
        <v>1387951.9720000001</v>
      </c>
    </row>
    <row r="27" spans="1:6" x14ac:dyDescent="0.4">
      <c r="A27" s="1">
        <v>2015</v>
      </c>
      <c r="B27" s="2">
        <v>7470491.8720000004</v>
      </c>
      <c r="C27" s="2">
        <v>67080.971000000005</v>
      </c>
      <c r="D27" s="2">
        <v>443910.90800000017</v>
      </c>
      <c r="E27" s="2">
        <v>326126.49699999997</v>
      </c>
      <c r="F27" s="2">
        <v>1396134.1740000001</v>
      </c>
    </row>
    <row r="28" spans="1:6" x14ac:dyDescent="0.4">
      <c r="A28" s="1">
        <v>2016</v>
      </c>
      <c r="B28" s="2">
        <v>7558554.5259999996</v>
      </c>
      <c r="C28" s="2">
        <v>67260.373000000007</v>
      </c>
      <c r="D28" s="2">
        <v>444911.48800000001</v>
      </c>
      <c r="E28" s="2">
        <v>329179.42700000003</v>
      </c>
      <c r="F28" s="2">
        <v>1404052.632</v>
      </c>
    </row>
    <row r="29" spans="1:6" x14ac:dyDescent="0.4">
      <c r="A29" s="1">
        <v>2017</v>
      </c>
      <c r="B29" s="2">
        <v>7645617.9539999999</v>
      </c>
      <c r="C29" s="2">
        <v>67469.032000000007</v>
      </c>
      <c r="D29" s="2">
        <v>445696.74599999998</v>
      </c>
      <c r="E29" s="2">
        <v>332204.65999999997</v>
      </c>
      <c r="F29" s="2">
        <v>1412354.727</v>
      </c>
    </row>
    <row r="30" spans="1:6" x14ac:dyDescent="0.4">
      <c r="A30" s="1">
        <v>2018</v>
      </c>
      <c r="B30" s="2">
        <v>7729902.7810000004</v>
      </c>
      <c r="C30" s="2">
        <v>67706.406000000003</v>
      </c>
      <c r="D30" s="2">
        <v>446503.6480000001</v>
      </c>
      <c r="E30" s="2">
        <v>335056.49699999997</v>
      </c>
      <c r="F30" s="2">
        <v>1419008.956</v>
      </c>
    </row>
    <row r="31" spans="1:6" x14ac:dyDescent="0.4">
      <c r="A31" s="1">
        <v>2019</v>
      </c>
      <c r="B31" s="2">
        <v>7811293.6979999999</v>
      </c>
      <c r="C31" s="2">
        <v>67917.133000000002</v>
      </c>
      <c r="D31" s="2">
        <v>447369.19099999999</v>
      </c>
      <c r="E31" s="2">
        <v>337790.06699999998</v>
      </c>
      <c r="F31" s="2">
        <v>1423520.3570000001</v>
      </c>
    </row>
    <row r="32" spans="1:6" x14ac:dyDescent="0.4">
      <c r="A32" s="1">
        <v>2020</v>
      </c>
      <c r="B32" s="2">
        <v>7887001.2920000004</v>
      </c>
      <c r="C32" s="2">
        <v>68104.157000000007</v>
      </c>
      <c r="D32" s="2">
        <v>447777.53599999996</v>
      </c>
      <c r="E32" s="2">
        <v>339436.15899999999</v>
      </c>
      <c r="F32" s="2">
        <v>1426106.0930000001</v>
      </c>
    </row>
    <row r="33" spans="1:6" x14ac:dyDescent="0.4">
      <c r="A33" s="1">
        <v>2021</v>
      </c>
      <c r="B33" s="2">
        <v>7954448.3909999998</v>
      </c>
      <c r="C33" s="2">
        <v>68291.491999999998</v>
      </c>
      <c r="D33" s="2">
        <v>447705.902</v>
      </c>
      <c r="E33" s="2">
        <v>340161.44099999999</v>
      </c>
      <c r="F33" s="2">
        <v>1426437.267</v>
      </c>
    </row>
    <row r="34" spans="1:6" x14ac:dyDescent="0.4">
      <c r="A34" s="1">
        <v>2022</v>
      </c>
      <c r="B34" s="2">
        <v>8021407.1919999998</v>
      </c>
      <c r="C34" s="2">
        <v>68486.679999999993</v>
      </c>
      <c r="D34" s="2">
        <v>449113.45499999996</v>
      </c>
      <c r="E34" s="2">
        <v>341534.04599999997</v>
      </c>
      <c r="F34" s="2">
        <v>1425179.5689999999</v>
      </c>
    </row>
    <row r="35" spans="1:6" x14ac:dyDescent="0.4">
      <c r="A35" s="1">
        <v>2023</v>
      </c>
      <c r="B35" s="2">
        <v>8091734.9299999997</v>
      </c>
      <c r="C35" s="2">
        <v>68655.641000000003</v>
      </c>
      <c r="D35" s="2">
        <v>450657.52199999994</v>
      </c>
      <c r="E35" s="2">
        <v>343477.33500000002</v>
      </c>
      <c r="F35" s="2">
        <v>1422584.933</v>
      </c>
    </row>
    <row r="36" spans="1:6" x14ac:dyDescent="0.4">
      <c r="A36" s="1">
        <v>2024</v>
      </c>
      <c r="B36" s="2">
        <v>8161972.5719999997</v>
      </c>
      <c r="C36" s="2">
        <v>68780.448999999993</v>
      </c>
      <c r="D36" s="2">
        <v>450259.53600000002</v>
      </c>
      <c r="E36" s="2">
        <v>345426.571</v>
      </c>
      <c r="F36" s="2">
        <v>1419321.2779999999</v>
      </c>
    </row>
    <row r="37" spans="1:6" x14ac:dyDescent="0.4">
      <c r="A37" s="1">
        <v>2025</v>
      </c>
      <c r="B37" s="2">
        <v>8231613.0700000003</v>
      </c>
      <c r="C37" s="2">
        <v>68898.115999999995</v>
      </c>
      <c r="D37" s="2">
        <v>448992.58499999996</v>
      </c>
      <c r="E37" s="2">
        <v>347275.80699999997</v>
      </c>
      <c r="F37" s="2">
        <v>1416096.094</v>
      </c>
    </row>
    <row r="38" spans="1:6" x14ac:dyDescent="0.4">
      <c r="A38" s="59">
        <v>2026</v>
      </c>
      <c r="B38" s="60">
        <v>8300678.3949999996</v>
      </c>
      <c r="C38" s="60">
        <v>69009.270999999993</v>
      </c>
      <c r="D38" s="60">
        <v>447890.473</v>
      </c>
      <c r="E38" s="60">
        <v>349035.49400000001</v>
      </c>
      <c r="F38" s="60">
        <v>1412914.0889999999</v>
      </c>
    </row>
    <row r="39" spans="1:6" x14ac:dyDescent="0.4">
      <c r="A39" s="59">
        <v>2027</v>
      </c>
      <c r="B39" s="60">
        <v>8369094.3439999996</v>
      </c>
      <c r="C39" s="60">
        <v>69116.986999999994</v>
      </c>
      <c r="D39" s="60">
        <v>447205.74899999995</v>
      </c>
      <c r="E39" s="60">
        <v>350728.35499999998</v>
      </c>
      <c r="F39" s="60">
        <v>1409679.406</v>
      </c>
    </row>
    <row r="40" spans="1:6" x14ac:dyDescent="0.4">
      <c r="A40" s="59">
        <v>2028</v>
      </c>
      <c r="B40" s="60">
        <v>8436618.8859999999</v>
      </c>
      <c r="C40" s="60">
        <v>69223.342000000004</v>
      </c>
      <c r="D40" s="60">
        <v>446459.31699999998</v>
      </c>
      <c r="E40" s="60">
        <v>352404.08500000002</v>
      </c>
      <c r="F40" s="60">
        <v>1406136.7439999999</v>
      </c>
    </row>
    <row r="41" spans="1:6" x14ac:dyDescent="0.4">
      <c r="A41" s="59">
        <v>2029</v>
      </c>
      <c r="B41" s="60">
        <v>8503285.3230000008</v>
      </c>
      <c r="C41" s="60">
        <v>69329.116999999998</v>
      </c>
      <c r="D41" s="60">
        <v>445651.23500000004</v>
      </c>
      <c r="E41" s="60">
        <v>354050.26799999998</v>
      </c>
      <c r="F41" s="60">
        <v>1402282.7520000001</v>
      </c>
    </row>
    <row r="42" spans="1:6" x14ac:dyDescent="0.4">
      <c r="A42" s="59">
        <v>2030</v>
      </c>
      <c r="B42" s="60">
        <v>8569124.9110000003</v>
      </c>
      <c r="C42" s="60">
        <v>69434.807000000001</v>
      </c>
      <c r="D42" s="60">
        <v>444782.38100000005</v>
      </c>
      <c r="E42" s="60">
        <v>355649.88099999999</v>
      </c>
      <c r="F42" s="60">
        <v>1398153.8319999999</v>
      </c>
    </row>
    <row r="43" spans="1:6" x14ac:dyDescent="0.4">
      <c r="A43" s="59">
        <v>2031</v>
      </c>
      <c r="B43" s="60">
        <v>8634119.3330000006</v>
      </c>
      <c r="C43" s="60">
        <v>69538.657000000007</v>
      </c>
      <c r="D43" s="60">
        <v>443853.3349999999</v>
      </c>
      <c r="E43" s="60">
        <v>357222.71500000003</v>
      </c>
      <c r="F43" s="60">
        <v>1393748.67</v>
      </c>
    </row>
    <row r="44" spans="1:6" x14ac:dyDescent="0.4">
      <c r="A44" s="59">
        <v>2032</v>
      </c>
      <c r="B44" s="60">
        <v>8698229.8120000008</v>
      </c>
      <c r="C44" s="60">
        <v>69642.721000000005</v>
      </c>
      <c r="D44" s="60">
        <v>442896.55800000002</v>
      </c>
      <c r="E44" s="60">
        <v>358769.97399999999</v>
      </c>
      <c r="F44" s="60">
        <v>1389060.0319999999</v>
      </c>
    </row>
    <row r="45" spans="1:6" x14ac:dyDescent="0.4">
      <c r="A45" s="59">
        <v>2033</v>
      </c>
      <c r="B45" s="60">
        <v>8761449.0810000002</v>
      </c>
      <c r="C45" s="60">
        <v>69747.017000000007</v>
      </c>
      <c r="D45" s="60">
        <v>441929.64600000007</v>
      </c>
      <c r="E45" s="60">
        <v>360294.00799999997</v>
      </c>
      <c r="F45" s="60">
        <v>1384096.5209999999</v>
      </c>
    </row>
    <row r="46" spans="1:6" x14ac:dyDescent="0.4">
      <c r="A46" s="59">
        <v>2034</v>
      </c>
      <c r="B46" s="60">
        <v>8823784.909</v>
      </c>
      <c r="C46" s="60">
        <v>69852.736999999994</v>
      </c>
      <c r="D46" s="60">
        <v>440942.37400000007</v>
      </c>
      <c r="E46" s="60">
        <v>361801.81099999999</v>
      </c>
      <c r="F46" s="60">
        <v>1378876.9339999999</v>
      </c>
    </row>
    <row r="47" spans="1:6" x14ac:dyDescent="0.4">
      <c r="A47" s="59">
        <v>2035</v>
      </c>
      <c r="B47" s="60">
        <v>8885210.1809999999</v>
      </c>
      <c r="C47" s="60">
        <v>69959.539000000004</v>
      </c>
      <c r="D47" s="60">
        <v>439928.23599999998</v>
      </c>
      <c r="E47" s="60">
        <v>363284.71600000001</v>
      </c>
      <c r="F47" s="60">
        <v>1373427.531</v>
      </c>
    </row>
    <row r="48" spans="1:6" x14ac:dyDescent="0.4">
      <c r="A48" s="59">
        <v>2036</v>
      </c>
      <c r="B48" s="60">
        <v>8945686.6140000001</v>
      </c>
      <c r="C48" s="60">
        <v>70064.307000000001</v>
      </c>
      <c r="D48" s="60">
        <v>438876.35599999991</v>
      </c>
      <c r="E48" s="60">
        <v>364731.66</v>
      </c>
      <c r="F48" s="60">
        <v>1367742.7849999999</v>
      </c>
    </row>
    <row r="49" spans="1:6" x14ac:dyDescent="0.4">
      <c r="A49" s="59">
        <v>2037</v>
      </c>
      <c r="B49" s="60">
        <v>9005152.6239999998</v>
      </c>
      <c r="C49" s="60">
        <v>70167.604999999996</v>
      </c>
      <c r="D49" s="60">
        <v>437800.28700000013</v>
      </c>
      <c r="E49" s="60">
        <v>366152.37</v>
      </c>
      <c r="F49" s="60">
        <v>1361830.0630000001</v>
      </c>
    </row>
    <row r="50" spans="1:6" x14ac:dyDescent="0.4">
      <c r="A50" s="59">
        <v>2038</v>
      </c>
      <c r="B50" s="60">
        <v>9063572.9260000009</v>
      </c>
      <c r="C50" s="60">
        <v>70265.826000000001</v>
      </c>
      <c r="D50" s="60">
        <v>436704.79599999997</v>
      </c>
      <c r="E50" s="60">
        <v>367551.45500000002</v>
      </c>
      <c r="F50" s="60">
        <v>1355722.7069999999</v>
      </c>
    </row>
    <row r="51" spans="1:6" x14ac:dyDescent="0.4">
      <c r="A51" s="59">
        <v>2039</v>
      </c>
      <c r="B51" s="60">
        <v>9120928.3800000008</v>
      </c>
      <c r="C51" s="60">
        <v>70354.623999999996</v>
      </c>
      <c r="D51" s="60">
        <v>435575.79399999999</v>
      </c>
      <c r="E51" s="60">
        <v>368906.81800000003</v>
      </c>
      <c r="F51" s="60">
        <v>1349394.7180000001</v>
      </c>
    </row>
    <row r="52" spans="1:6" x14ac:dyDescent="0.4">
      <c r="A52" s="59">
        <v>2040</v>
      </c>
      <c r="B52" s="60">
        <v>9177190.2029999997</v>
      </c>
      <c r="C52" s="60">
        <v>70437.452999999994</v>
      </c>
      <c r="D52" s="60">
        <v>434422.40100000007</v>
      </c>
      <c r="E52" s="60">
        <v>370209.31599999999</v>
      </c>
      <c r="F52" s="60">
        <v>1342816.6569999999</v>
      </c>
    </row>
    <row r="53" spans="1:6" x14ac:dyDescent="0.4">
      <c r="A53" s="59">
        <v>2041</v>
      </c>
      <c r="B53" s="60">
        <v>9232281.5749999993</v>
      </c>
      <c r="C53" s="60">
        <v>70518.601999999999</v>
      </c>
      <c r="D53" s="60">
        <v>433267.647</v>
      </c>
      <c r="E53" s="60">
        <v>371469.478</v>
      </c>
      <c r="F53" s="60">
        <v>1335990.2309999999</v>
      </c>
    </row>
    <row r="54" spans="1:6" x14ac:dyDescent="0.4">
      <c r="A54" s="59">
        <v>2042</v>
      </c>
      <c r="B54" s="60">
        <v>9286110.3709999993</v>
      </c>
      <c r="C54" s="60">
        <v>70597.447</v>
      </c>
      <c r="D54" s="60">
        <v>432096.70899999997</v>
      </c>
      <c r="E54" s="60">
        <v>372704.772</v>
      </c>
      <c r="F54" s="60">
        <v>1328909.2379999999</v>
      </c>
    </row>
    <row r="55" spans="1:6" x14ac:dyDescent="0.4">
      <c r="A55" s="59">
        <v>2043</v>
      </c>
      <c r="B55" s="60">
        <v>9338661.3139999993</v>
      </c>
      <c r="C55" s="60">
        <v>70666.918999999994</v>
      </c>
      <c r="D55" s="60">
        <v>430874.26299999998</v>
      </c>
      <c r="E55" s="60">
        <v>373900.67700000003</v>
      </c>
      <c r="F55" s="60">
        <v>1321590.798</v>
      </c>
    </row>
    <row r="56" spans="1:6" x14ac:dyDescent="0.4">
      <c r="A56" s="59">
        <v>2044</v>
      </c>
      <c r="B56" s="60">
        <v>9389873.693</v>
      </c>
      <c r="C56" s="60">
        <v>70725.672999999995</v>
      </c>
      <c r="D56" s="60">
        <v>429598.62099999987</v>
      </c>
      <c r="E56" s="60">
        <v>375029.24599999998</v>
      </c>
      <c r="F56" s="60">
        <v>1314015.987</v>
      </c>
    </row>
    <row r="57" spans="1:6" x14ac:dyDescent="0.4">
      <c r="A57" s="59">
        <v>2045</v>
      </c>
      <c r="B57" s="60">
        <v>9439639.6679999996</v>
      </c>
      <c r="C57" s="60">
        <v>70776.744999999995</v>
      </c>
      <c r="D57" s="60">
        <v>428280.46499999997</v>
      </c>
      <c r="E57" s="60">
        <v>376106.47200000001</v>
      </c>
      <c r="F57" s="60">
        <v>1306113.7879999999</v>
      </c>
    </row>
    <row r="58" spans="1:6" x14ac:dyDescent="0.4">
      <c r="A58" s="59">
        <v>2046</v>
      </c>
      <c r="B58" s="60">
        <v>9487889.6040000003</v>
      </c>
      <c r="C58" s="60">
        <v>70817.377999999997</v>
      </c>
      <c r="D58" s="60">
        <v>426921.04200000002</v>
      </c>
      <c r="E58" s="60">
        <v>377131.72700000001</v>
      </c>
      <c r="F58" s="60">
        <v>1297817.5819999999</v>
      </c>
    </row>
    <row r="59" spans="1:6" x14ac:dyDescent="0.4">
      <c r="A59" s="59">
        <v>2047</v>
      </c>
      <c r="B59" s="60">
        <v>9534545.977</v>
      </c>
      <c r="C59" s="60">
        <v>70848.555999999997</v>
      </c>
      <c r="D59" s="60">
        <v>425511.16099999996</v>
      </c>
      <c r="E59" s="60">
        <v>378117.76699999999</v>
      </c>
      <c r="F59" s="60">
        <v>1289120.4269999999</v>
      </c>
    </row>
    <row r="60" spans="1:6" x14ac:dyDescent="0.4">
      <c r="A60" s="59">
        <v>2048</v>
      </c>
      <c r="B60" s="60">
        <v>9579536.0429999996</v>
      </c>
      <c r="C60" s="60">
        <v>70871.183000000005</v>
      </c>
      <c r="D60" s="60">
        <v>424046.07800000015</v>
      </c>
      <c r="E60" s="60">
        <v>379063.74400000001</v>
      </c>
      <c r="F60" s="60">
        <v>1279992.585</v>
      </c>
    </row>
    <row r="61" spans="1:6" x14ac:dyDescent="0.4">
      <c r="A61" s="59">
        <v>2049</v>
      </c>
      <c r="B61" s="60">
        <v>9622824.0289999992</v>
      </c>
      <c r="C61" s="60">
        <v>70883.187999999995</v>
      </c>
      <c r="D61" s="60">
        <v>422524.55599999998</v>
      </c>
      <c r="E61" s="60">
        <v>379966.90600000002</v>
      </c>
      <c r="F61" s="60">
        <v>1270381.145</v>
      </c>
    </row>
    <row r="62" spans="1:6" x14ac:dyDescent="0.4">
      <c r="A62" s="59">
        <v>2050</v>
      </c>
      <c r="B62" s="60">
        <v>9664378.5869999994</v>
      </c>
      <c r="C62" s="60">
        <v>70886.817999999999</v>
      </c>
      <c r="D62" s="60">
        <v>420955.34100000001</v>
      </c>
      <c r="E62" s="60">
        <v>380846.91</v>
      </c>
      <c r="F62" s="60">
        <v>1260289.0930000001</v>
      </c>
    </row>
    <row r="63" spans="1:6" x14ac:dyDescent="0.4">
      <c r="A63" s="59">
        <v>2051</v>
      </c>
      <c r="B63" s="60">
        <v>9704192.3039999995</v>
      </c>
      <c r="C63" s="60">
        <v>70882.233999999997</v>
      </c>
      <c r="D63" s="60">
        <v>419346.89500000008</v>
      </c>
      <c r="E63" s="60">
        <v>381708.39600000001</v>
      </c>
      <c r="F63" s="60">
        <v>1249692.5379999999</v>
      </c>
    </row>
    <row r="64" spans="1:6" x14ac:dyDescent="0.4">
      <c r="A64" s="59">
        <v>2052</v>
      </c>
      <c r="B64" s="60">
        <v>9742264.5150000006</v>
      </c>
      <c r="C64" s="60">
        <v>70872.498999999996</v>
      </c>
      <c r="D64" s="60">
        <v>417691.14999999997</v>
      </c>
      <c r="E64" s="60">
        <v>382543.75300000003</v>
      </c>
      <c r="F64" s="60">
        <v>1238557.132</v>
      </c>
    </row>
    <row r="65" spans="1:6" x14ac:dyDescent="0.4">
      <c r="A65" s="59">
        <v>2053</v>
      </c>
      <c r="B65" s="60">
        <v>9778614.6140000001</v>
      </c>
      <c r="C65" s="60">
        <v>70858.290999999997</v>
      </c>
      <c r="D65" s="60">
        <v>415966.71600000001</v>
      </c>
      <c r="E65" s="60">
        <v>383359.33199999999</v>
      </c>
      <c r="F65" s="60">
        <v>1226929.8540000001</v>
      </c>
    </row>
    <row r="66" spans="1:6" x14ac:dyDescent="0.4">
      <c r="A66" s="59">
        <v>2054</v>
      </c>
      <c r="B66" s="60">
        <v>9813251.659</v>
      </c>
      <c r="C66" s="60">
        <v>70836.75</v>
      </c>
      <c r="D66" s="60">
        <v>414174.85799999995</v>
      </c>
      <c r="E66" s="60">
        <v>384145.91999999998</v>
      </c>
      <c r="F66" s="60">
        <v>1214853.3459999999</v>
      </c>
    </row>
    <row r="67" spans="1:6" x14ac:dyDescent="0.4">
      <c r="A67" s="59">
        <v>2055</v>
      </c>
      <c r="B67" s="60">
        <v>9846237.5700000003</v>
      </c>
      <c r="C67" s="60">
        <v>70807.737999999998</v>
      </c>
      <c r="D67" s="60">
        <v>412334.533</v>
      </c>
      <c r="E67" s="60">
        <v>384894.29700000002</v>
      </c>
      <c r="F67" s="60">
        <v>1202342.4709999999</v>
      </c>
    </row>
    <row r="68" spans="1:6" x14ac:dyDescent="0.4">
      <c r="A68" s="59">
        <v>2056</v>
      </c>
      <c r="B68" s="60">
        <v>9877680.3920000009</v>
      </c>
      <c r="C68" s="60">
        <v>70776.800000000003</v>
      </c>
      <c r="D68" s="60">
        <v>410448.42000000004</v>
      </c>
      <c r="E68" s="60">
        <v>385642.34100000001</v>
      </c>
      <c r="F68" s="60">
        <v>1189440.669</v>
      </c>
    </row>
    <row r="69" spans="1:6" x14ac:dyDescent="0.4">
      <c r="A69" s="59">
        <v>2057</v>
      </c>
      <c r="B69" s="60">
        <v>9907637.193</v>
      </c>
      <c r="C69" s="60">
        <v>70747.672999999995</v>
      </c>
      <c r="D69" s="60">
        <v>408533.27399999992</v>
      </c>
      <c r="E69" s="60">
        <v>386425.22600000002</v>
      </c>
      <c r="F69" s="60">
        <v>1176217.9450000001</v>
      </c>
    </row>
    <row r="70" spans="1:6" x14ac:dyDescent="0.4">
      <c r="A70" s="59">
        <v>2058</v>
      </c>
      <c r="B70" s="60">
        <v>9936164.3790000007</v>
      </c>
      <c r="C70" s="60">
        <v>70719.057000000001</v>
      </c>
      <c r="D70" s="60">
        <v>406603.29399999999</v>
      </c>
      <c r="E70" s="60">
        <v>387253.70500000002</v>
      </c>
      <c r="F70" s="60">
        <v>1162722.7080000001</v>
      </c>
    </row>
    <row r="71" spans="1:6" x14ac:dyDescent="0.4">
      <c r="A71" s="59">
        <v>2059</v>
      </c>
      <c r="B71" s="60">
        <v>9963337.0820000004</v>
      </c>
      <c r="C71" s="60">
        <v>70690.423999999999</v>
      </c>
      <c r="D71" s="60">
        <v>404661.71100000007</v>
      </c>
      <c r="E71" s="60">
        <v>388093.05699999997</v>
      </c>
      <c r="F71" s="60">
        <v>1149002.1669999999</v>
      </c>
    </row>
    <row r="72" spans="1:6" x14ac:dyDescent="0.4">
      <c r="A72" s="59">
        <v>2060</v>
      </c>
      <c r="B72" s="60">
        <v>9989232.2919999994</v>
      </c>
      <c r="C72" s="60">
        <v>70661.854000000007</v>
      </c>
      <c r="D72" s="60">
        <v>402712.63299999991</v>
      </c>
      <c r="E72" s="60">
        <v>388918.39399999997</v>
      </c>
      <c r="F72" s="60">
        <v>1135127.1910000001</v>
      </c>
    </row>
    <row r="73" spans="1:6" x14ac:dyDescent="0.4">
      <c r="A73" s="59">
        <v>2061</v>
      </c>
      <c r="B73" s="60">
        <v>10013916.213</v>
      </c>
      <c r="C73" s="60">
        <v>70636.285999999993</v>
      </c>
      <c r="D73" s="60">
        <v>400766.93200000015</v>
      </c>
      <c r="E73" s="60">
        <v>389765.29399999999</v>
      </c>
      <c r="F73" s="60">
        <v>1121174.7169999999</v>
      </c>
    </row>
    <row r="74" spans="1:6" x14ac:dyDescent="0.4">
      <c r="A74" s="59">
        <v>2062</v>
      </c>
      <c r="B74" s="60">
        <v>10037466.6</v>
      </c>
      <c r="C74" s="60">
        <v>70612.785000000003</v>
      </c>
      <c r="D74" s="60">
        <v>398823.46799999999</v>
      </c>
      <c r="E74" s="60">
        <v>390647.52100000001</v>
      </c>
      <c r="F74" s="60">
        <v>1107207.1329999999</v>
      </c>
    </row>
    <row r="75" spans="1:6" x14ac:dyDescent="0.4">
      <c r="A75" s="59">
        <v>2063</v>
      </c>
      <c r="B75" s="60">
        <v>10059950.035</v>
      </c>
      <c r="C75" s="60">
        <v>70594.607999999993</v>
      </c>
      <c r="D75" s="60">
        <v>396899.60199999996</v>
      </c>
      <c r="E75" s="60">
        <v>391545.61800000002</v>
      </c>
      <c r="F75" s="60">
        <v>1093276.7039999999</v>
      </c>
    </row>
    <row r="76" spans="1:6" x14ac:dyDescent="0.4">
      <c r="A76" s="59">
        <v>2064</v>
      </c>
      <c r="B76" s="60">
        <v>10081402.737</v>
      </c>
      <c r="C76" s="60">
        <v>70583.659</v>
      </c>
      <c r="D76" s="60">
        <v>395004.61700000003</v>
      </c>
      <c r="E76" s="60">
        <v>392444.228</v>
      </c>
      <c r="F76" s="60">
        <v>1079407.882</v>
      </c>
    </row>
    <row r="77" spans="1:6" x14ac:dyDescent="0.4">
      <c r="A77" s="59">
        <v>2065</v>
      </c>
      <c r="B77" s="60">
        <v>10101849.561000001</v>
      </c>
      <c r="C77" s="60">
        <v>70577.035000000003</v>
      </c>
      <c r="D77" s="60">
        <v>393131.79000000004</v>
      </c>
      <c r="E77" s="60">
        <v>393352.609</v>
      </c>
      <c r="F77" s="60">
        <v>1065632.5290000001</v>
      </c>
    </row>
    <row r="78" spans="1:6" x14ac:dyDescent="0.4">
      <c r="A78" s="59">
        <v>2066</v>
      </c>
      <c r="B78" s="60">
        <v>10121317.107000001</v>
      </c>
      <c r="C78" s="60">
        <v>70578.236000000004</v>
      </c>
      <c r="D78" s="60">
        <v>391291.73300000001</v>
      </c>
      <c r="E78" s="60">
        <v>394294.35</v>
      </c>
      <c r="F78" s="60">
        <v>1051989.135</v>
      </c>
    </row>
    <row r="79" spans="1:6" x14ac:dyDescent="0.4">
      <c r="A79" s="59">
        <v>2067</v>
      </c>
      <c r="B79" s="60">
        <v>10139808.361</v>
      </c>
      <c r="C79" s="60">
        <v>70586.297000000006</v>
      </c>
      <c r="D79" s="60">
        <v>389489.04200000002</v>
      </c>
      <c r="E79" s="60">
        <v>395267.22600000002</v>
      </c>
      <c r="F79" s="60">
        <v>1038472.818</v>
      </c>
    </row>
    <row r="80" spans="1:6" x14ac:dyDescent="0.4">
      <c r="A80" s="59">
        <v>2068</v>
      </c>
      <c r="B80" s="60">
        <v>10157301.941</v>
      </c>
      <c r="C80" s="60">
        <v>70598.070999999996</v>
      </c>
      <c r="D80" s="60">
        <v>387721.924</v>
      </c>
      <c r="E80" s="60">
        <v>396248.28499999997</v>
      </c>
      <c r="F80" s="60">
        <v>1025103.452</v>
      </c>
    </row>
    <row r="81" spans="1:6" x14ac:dyDescent="0.4">
      <c r="A81" s="59">
        <v>2069</v>
      </c>
      <c r="B81" s="60">
        <v>10173782.135</v>
      </c>
      <c r="C81" s="60">
        <v>70618.812000000005</v>
      </c>
      <c r="D81" s="60">
        <v>385994.04200000007</v>
      </c>
      <c r="E81" s="60">
        <v>397237.40500000003</v>
      </c>
      <c r="F81" s="60">
        <v>1011878.19</v>
      </c>
    </row>
    <row r="82" spans="1:6" x14ac:dyDescent="0.4">
      <c r="A82" s="59">
        <v>2070</v>
      </c>
      <c r="B82" s="60">
        <v>10189241.959000001</v>
      </c>
      <c r="C82" s="60">
        <v>70646.951000000001</v>
      </c>
      <c r="D82" s="60">
        <v>384310.26799999998</v>
      </c>
      <c r="E82" s="60">
        <v>398218.08799999999</v>
      </c>
      <c r="F82" s="60">
        <v>998784.31900000002</v>
      </c>
    </row>
    <row r="83" spans="1:6" x14ac:dyDescent="0.4">
      <c r="A83" s="59">
        <v>2071</v>
      </c>
      <c r="B83" s="60">
        <v>10203681.568</v>
      </c>
      <c r="C83" s="60">
        <v>70683.694000000003</v>
      </c>
      <c r="D83" s="60">
        <v>382670.826</v>
      </c>
      <c r="E83" s="60">
        <v>399192.92</v>
      </c>
      <c r="F83" s="60">
        <v>985806.56</v>
      </c>
    </row>
    <row r="84" spans="1:6" x14ac:dyDescent="0.4">
      <c r="A84" s="59">
        <v>2072</v>
      </c>
      <c r="B84" s="60">
        <v>10217055.169</v>
      </c>
      <c r="C84" s="60">
        <v>70727.335000000006</v>
      </c>
      <c r="D84" s="60">
        <v>381068.141</v>
      </c>
      <c r="E84" s="60">
        <v>400151.80300000001</v>
      </c>
      <c r="F84" s="60">
        <v>972905.67099999997</v>
      </c>
    </row>
    <row r="85" spans="1:6" x14ac:dyDescent="0.4">
      <c r="A85" s="59">
        <v>2073</v>
      </c>
      <c r="B85" s="60">
        <v>10229327.823999999</v>
      </c>
      <c r="C85" s="60">
        <v>70773.160999999993</v>
      </c>
      <c r="D85" s="60">
        <v>379495.90099999995</v>
      </c>
      <c r="E85" s="60">
        <v>401080.53200000001</v>
      </c>
      <c r="F85" s="60">
        <v>960055.38300000003</v>
      </c>
    </row>
    <row r="86" spans="1:6" x14ac:dyDescent="0.4">
      <c r="A86" s="59">
        <v>2074</v>
      </c>
      <c r="B86" s="60">
        <v>10240485.056</v>
      </c>
      <c r="C86" s="60">
        <v>70823.368000000002</v>
      </c>
      <c r="D86" s="60">
        <v>377958.35600000003</v>
      </c>
      <c r="E86" s="60">
        <v>401993.348</v>
      </c>
      <c r="F86" s="60">
        <v>947249.41700000002</v>
      </c>
    </row>
    <row r="87" spans="1:6" x14ac:dyDescent="0.4">
      <c r="A87" s="59">
        <v>2075</v>
      </c>
      <c r="B87" s="60">
        <v>10250496.432</v>
      </c>
      <c r="C87" s="60">
        <v>70879.096999999994</v>
      </c>
      <c r="D87" s="60">
        <v>376480.08500000008</v>
      </c>
      <c r="E87" s="60">
        <v>402910.163</v>
      </c>
      <c r="F87" s="60">
        <v>934466.66</v>
      </c>
    </row>
    <row r="88" spans="1:6" x14ac:dyDescent="0.4">
      <c r="A88" s="59">
        <v>2076</v>
      </c>
      <c r="B88" s="60">
        <v>10259351.432</v>
      </c>
      <c r="C88" s="60">
        <v>70938.891000000003</v>
      </c>
      <c r="D88" s="60">
        <v>375047.78200000006</v>
      </c>
      <c r="E88" s="60">
        <v>403820.92599999998</v>
      </c>
      <c r="F88" s="60">
        <v>921677.63</v>
      </c>
    </row>
    <row r="89" spans="1:6" x14ac:dyDescent="0.4">
      <c r="A89" s="59">
        <v>2077</v>
      </c>
      <c r="B89" s="60">
        <v>10267045.023</v>
      </c>
      <c r="C89" s="60">
        <v>70998.558000000005</v>
      </c>
      <c r="D89" s="60">
        <v>373634.73</v>
      </c>
      <c r="E89" s="60">
        <v>404683.462</v>
      </c>
      <c r="F89" s="60">
        <v>908874.53200000001</v>
      </c>
    </row>
    <row r="90" spans="1:6" x14ac:dyDescent="0.4">
      <c r="A90" s="59">
        <v>2078</v>
      </c>
      <c r="B90" s="60">
        <v>10273556.322000001</v>
      </c>
      <c r="C90" s="60">
        <v>71056.766000000003</v>
      </c>
      <c r="D90" s="60">
        <v>372260.67599999998</v>
      </c>
      <c r="E90" s="60">
        <v>405518.70199999999</v>
      </c>
      <c r="F90" s="60">
        <v>896043.78899999999</v>
      </c>
    </row>
    <row r="91" spans="1:6" x14ac:dyDescent="0.4">
      <c r="A91" s="59">
        <v>2079</v>
      </c>
      <c r="B91" s="60">
        <v>10278887.472999999</v>
      </c>
      <c r="C91" s="60">
        <v>71114.271999999997</v>
      </c>
      <c r="D91" s="60">
        <v>370924.19000000006</v>
      </c>
      <c r="E91" s="60">
        <v>406319.93</v>
      </c>
      <c r="F91" s="60">
        <v>883166.97499999998</v>
      </c>
    </row>
    <row r="92" spans="1:6" x14ac:dyDescent="0.4">
      <c r="A92" s="59">
        <v>2080</v>
      </c>
      <c r="B92" s="60">
        <v>10283078.028999999</v>
      </c>
      <c r="C92" s="60">
        <v>71172.107999999993</v>
      </c>
      <c r="D92" s="60">
        <v>369621.90600000002</v>
      </c>
      <c r="E92" s="60">
        <v>407079.81599999999</v>
      </c>
      <c r="F92" s="60">
        <v>870252.34400000004</v>
      </c>
    </row>
    <row r="93" spans="1:6" x14ac:dyDescent="0.4">
      <c r="A93" s="59">
        <v>2081</v>
      </c>
      <c r="B93" s="60">
        <v>10286161.734999999</v>
      </c>
      <c r="C93" s="60">
        <v>71231.608999999997</v>
      </c>
      <c r="D93" s="60">
        <v>368361.90900000004</v>
      </c>
      <c r="E93" s="60">
        <v>407866.28499999997</v>
      </c>
      <c r="F93" s="60">
        <v>857328.71499999997</v>
      </c>
    </row>
    <row r="94" spans="1:6" x14ac:dyDescent="0.4">
      <c r="A94" s="59">
        <v>2082</v>
      </c>
      <c r="B94" s="60">
        <v>10288205.050000001</v>
      </c>
      <c r="C94" s="60">
        <v>71290.903000000006</v>
      </c>
      <c r="D94" s="60">
        <v>367136.15699999989</v>
      </c>
      <c r="E94" s="60">
        <v>408655.86099999998</v>
      </c>
      <c r="F94" s="60">
        <v>844439.196</v>
      </c>
    </row>
    <row r="95" spans="1:6" x14ac:dyDescent="0.4">
      <c r="A95" s="59">
        <v>2083</v>
      </c>
      <c r="B95" s="60">
        <v>10289247.323000001</v>
      </c>
      <c r="C95" s="60">
        <v>71353.495999999999</v>
      </c>
      <c r="D95" s="60">
        <v>365939.98800000007</v>
      </c>
      <c r="E95" s="60">
        <v>409401.65899999999</v>
      </c>
      <c r="F95" s="60">
        <v>831604.66700000002</v>
      </c>
    </row>
    <row r="96" spans="1:6" x14ac:dyDescent="0.4">
      <c r="A96" s="59">
        <v>2084</v>
      </c>
      <c r="B96" s="60">
        <v>10289315.244000001</v>
      </c>
      <c r="C96" s="60">
        <v>71416.544999999998</v>
      </c>
      <c r="D96" s="60">
        <v>364768.47600000014</v>
      </c>
      <c r="E96" s="60">
        <v>410134.66600000003</v>
      </c>
      <c r="F96" s="60">
        <v>818815.35600000003</v>
      </c>
    </row>
    <row r="97" spans="1:6" x14ac:dyDescent="0.4">
      <c r="A97" s="59">
        <v>2085</v>
      </c>
      <c r="B97" s="60">
        <v>10288456.598999999</v>
      </c>
      <c r="C97" s="60">
        <v>71472.520999999993</v>
      </c>
      <c r="D97" s="60">
        <v>363612.08199999999</v>
      </c>
      <c r="E97" s="60">
        <v>410829.98499999999</v>
      </c>
      <c r="F97" s="60">
        <v>806115.054</v>
      </c>
    </row>
    <row r="98" spans="1:6" x14ac:dyDescent="0.4">
      <c r="A98" s="59">
        <v>2086</v>
      </c>
      <c r="B98" s="60">
        <v>10286708.359999999</v>
      </c>
      <c r="C98" s="60">
        <v>71528.369000000006</v>
      </c>
      <c r="D98" s="60">
        <v>362474.72799999989</v>
      </c>
      <c r="E98" s="60">
        <v>411520.08600000001</v>
      </c>
      <c r="F98" s="60">
        <v>793559.25399999996</v>
      </c>
    </row>
    <row r="99" spans="1:6" x14ac:dyDescent="0.4">
      <c r="A99" s="59">
        <v>2087</v>
      </c>
      <c r="B99" s="60">
        <v>10284111.374</v>
      </c>
      <c r="C99" s="60">
        <v>71584.963000000003</v>
      </c>
      <c r="D99" s="60">
        <v>361363.54499999998</v>
      </c>
      <c r="E99" s="60">
        <v>412236.77600000001</v>
      </c>
      <c r="F99" s="60">
        <v>781153.71799999999</v>
      </c>
    </row>
    <row r="100" spans="1:6" x14ac:dyDescent="0.4">
      <c r="A100" s="59">
        <v>2088</v>
      </c>
      <c r="B100" s="60">
        <v>10280704.572000001</v>
      </c>
      <c r="C100" s="60">
        <v>71639.769</v>
      </c>
      <c r="D100" s="60">
        <v>360281.40500000003</v>
      </c>
      <c r="E100" s="60">
        <v>412978.78</v>
      </c>
      <c r="F100" s="60">
        <v>768899.13199999998</v>
      </c>
    </row>
    <row r="101" spans="1:6" x14ac:dyDescent="0.4">
      <c r="A101" s="59">
        <v>2089</v>
      </c>
      <c r="B101" s="60">
        <v>10276518.279999999</v>
      </c>
      <c r="C101" s="60">
        <v>71691.237999999998</v>
      </c>
      <c r="D101" s="60">
        <v>359214.11100000003</v>
      </c>
      <c r="E101" s="60">
        <v>413730.74099999998</v>
      </c>
      <c r="F101" s="60">
        <v>756809.11</v>
      </c>
    </row>
    <row r="102" spans="1:6" x14ac:dyDescent="0.4">
      <c r="A102" s="59">
        <v>2090</v>
      </c>
      <c r="B102" s="60">
        <v>10271565.07</v>
      </c>
      <c r="C102" s="60">
        <v>71739.254000000001</v>
      </c>
      <c r="D102" s="60">
        <v>358149.47100000002</v>
      </c>
      <c r="E102" s="60">
        <v>414457.64</v>
      </c>
      <c r="F102" s="60">
        <v>744902.83600000001</v>
      </c>
    </row>
    <row r="103" spans="1:6" x14ac:dyDescent="0.4">
      <c r="A103" s="59">
        <v>2091</v>
      </c>
      <c r="B103" s="60">
        <v>10265861.714</v>
      </c>
      <c r="C103" s="60">
        <v>71783.903999999995</v>
      </c>
      <c r="D103" s="60">
        <v>357104.93199999997</v>
      </c>
      <c r="E103" s="60">
        <v>415186.38900000002</v>
      </c>
      <c r="F103" s="60">
        <v>733179.45600000001</v>
      </c>
    </row>
    <row r="104" spans="1:6" x14ac:dyDescent="0.4">
      <c r="A104" s="59">
        <v>2092</v>
      </c>
      <c r="B104" s="60">
        <v>10259408.375</v>
      </c>
      <c r="C104" s="60">
        <v>71823.241999999998</v>
      </c>
      <c r="D104" s="60">
        <v>356085.554</v>
      </c>
      <c r="E104" s="60">
        <v>415929</v>
      </c>
      <c r="F104" s="60">
        <v>721612.75</v>
      </c>
    </row>
    <row r="105" spans="1:6" x14ac:dyDescent="0.4">
      <c r="A105" s="59">
        <v>2093</v>
      </c>
      <c r="B105" s="60">
        <v>10252184.759</v>
      </c>
      <c r="C105" s="60">
        <v>71861.244999999995</v>
      </c>
      <c r="D105" s="60">
        <v>355083.0670000001</v>
      </c>
      <c r="E105" s="60">
        <v>416662.12699999998</v>
      </c>
      <c r="F105" s="60">
        <v>710185.96799999999</v>
      </c>
    </row>
    <row r="106" spans="1:6" x14ac:dyDescent="0.4">
      <c r="A106" s="59">
        <v>2094</v>
      </c>
      <c r="B106" s="60">
        <v>10244185.836999999</v>
      </c>
      <c r="C106" s="60">
        <v>71895.763000000006</v>
      </c>
      <c r="D106" s="60">
        <v>354087.00400000002</v>
      </c>
      <c r="E106" s="60">
        <v>417391.61599999998</v>
      </c>
      <c r="F106" s="60">
        <v>698893.77</v>
      </c>
    </row>
    <row r="107" spans="1:6" x14ac:dyDescent="0.4">
      <c r="A107" s="59">
        <v>2095</v>
      </c>
      <c r="B107" s="60">
        <v>10235403.601</v>
      </c>
      <c r="C107" s="60">
        <v>71920.963000000003</v>
      </c>
      <c r="D107" s="60">
        <v>353078.46800000005</v>
      </c>
      <c r="E107" s="60">
        <v>418115.52799999999</v>
      </c>
      <c r="F107" s="60">
        <v>687724.08499999996</v>
      </c>
    </row>
    <row r="108" spans="1:6" x14ac:dyDescent="0.4">
      <c r="A108" s="59">
        <v>2096</v>
      </c>
      <c r="B108" s="60">
        <v>10225850.874</v>
      </c>
      <c r="C108" s="60">
        <v>71935.070999999996</v>
      </c>
      <c r="D108" s="60">
        <v>352052.02500000008</v>
      </c>
      <c r="E108" s="60">
        <v>418800.09700000001</v>
      </c>
      <c r="F108" s="60">
        <v>676660.87699999998</v>
      </c>
    </row>
    <row r="109" spans="1:6" x14ac:dyDescent="0.4">
      <c r="A109" s="59">
        <v>2097</v>
      </c>
      <c r="B109" s="60">
        <v>10215549.310000001</v>
      </c>
      <c r="C109" s="60">
        <v>71943.085000000006</v>
      </c>
      <c r="D109" s="60">
        <v>351009.62299999996</v>
      </c>
      <c r="E109" s="60">
        <v>419461.01699999999</v>
      </c>
      <c r="F109" s="60">
        <v>665695.50300000003</v>
      </c>
    </row>
    <row r="110" spans="1:6" x14ac:dyDescent="0.4">
      <c r="A110" s="59">
        <v>2098</v>
      </c>
      <c r="B110" s="60">
        <v>10204489.862</v>
      </c>
      <c r="C110" s="60">
        <v>71948.88</v>
      </c>
      <c r="D110" s="60">
        <v>349970.60700000002</v>
      </c>
      <c r="E110" s="60">
        <v>420095.82</v>
      </c>
      <c r="F110" s="60">
        <v>654825.38899999997</v>
      </c>
    </row>
    <row r="111" spans="1:6" x14ac:dyDescent="0.4">
      <c r="A111" s="59">
        <v>2099</v>
      </c>
      <c r="B111" s="60">
        <v>10192689.066</v>
      </c>
      <c r="C111" s="60">
        <v>71948.638999999996</v>
      </c>
      <c r="D111" s="60">
        <v>348929.72599999985</v>
      </c>
      <c r="E111" s="60">
        <v>420702.88799999998</v>
      </c>
      <c r="F111" s="60">
        <v>644049.4</v>
      </c>
    </row>
    <row r="112" spans="1:6" x14ac:dyDescent="0.4">
      <c r="A112" s="59">
        <v>2100</v>
      </c>
      <c r="B112" s="60">
        <v>10180160.751</v>
      </c>
      <c r="C112" s="60">
        <v>71941.827000000005</v>
      </c>
      <c r="D112" s="60">
        <v>347864.81900000002</v>
      </c>
      <c r="E112" s="60">
        <v>421278.88900000002</v>
      </c>
      <c r="F112" s="60">
        <v>633368.11300000001</v>
      </c>
    </row>
    <row r="113" spans="1:6" s="13" customFormat="1" x14ac:dyDescent="0.4">
      <c r="A113" s="1"/>
      <c r="B113" s="2"/>
      <c r="C113" s="2"/>
      <c r="D113" s="2"/>
    </row>
    <row r="114" spans="1:6" x14ac:dyDescent="0.4">
      <c r="A114" t="s">
        <v>13</v>
      </c>
      <c r="B114">
        <f>B31*100/B31</f>
        <v>100</v>
      </c>
      <c r="C114">
        <f>C31*100/B31</f>
        <v>0.86947355490409317</v>
      </c>
      <c r="D114">
        <f>D31*100/B31</f>
        <v>5.7272099641387726</v>
      </c>
      <c r="E114" s="13">
        <f>E31*100/B31</f>
        <v>4.324380570743199</v>
      </c>
      <c r="F114" s="13">
        <f>F31*100/B31</f>
        <v>18.223874457114288</v>
      </c>
    </row>
    <row r="115" spans="1:6" ht="29.15" x14ac:dyDescent="0.4">
      <c r="A115" s="3" t="s">
        <v>80</v>
      </c>
      <c r="B115" s="4">
        <f>AVERAGE(B31:B62)</f>
        <v>8813416.810250001</v>
      </c>
      <c r="C115" s="4">
        <f>AVERAGE(C31:C62)</f>
        <v>69777.193343750012</v>
      </c>
      <c r="D115" s="4">
        <f>AVERAGE(D31:D62)</f>
        <v>438777.20462499995</v>
      </c>
      <c r="E115" s="4">
        <f t="shared" ref="E115:F115" si="0">AVERAGE(E31:E62)</f>
        <v>361257.25159375003</v>
      </c>
      <c r="F115" s="4">
        <f t="shared" si="0"/>
        <v>1365292.1845625006</v>
      </c>
    </row>
    <row r="116" spans="1:6" ht="29.15" x14ac:dyDescent="0.4">
      <c r="A116" s="3" t="s">
        <v>108</v>
      </c>
      <c r="B116" s="5">
        <f>B115/B115</f>
        <v>1</v>
      </c>
      <c r="C116" s="6">
        <f>C115*100/B115</f>
        <v>0.79171557236007672</v>
      </c>
      <c r="D116" s="6">
        <f>D115*100/B115</f>
        <v>4.9785141684743905</v>
      </c>
      <c r="E116" s="6">
        <f>E115*100/B115</f>
        <v>4.0989466329744895</v>
      </c>
      <c r="F116" s="6">
        <f>F115*100/B115</f>
        <v>15.491065655429644</v>
      </c>
    </row>
    <row r="117" spans="1:6" s="13" customFormat="1" x14ac:dyDescent="0.4">
      <c r="A117" s="3" t="s">
        <v>125</v>
      </c>
      <c r="B117" s="13">
        <f>B62*100/B62</f>
        <v>100</v>
      </c>
      <c r="C117" s="13">
        <f>C62*100/B62</f>
        <v>0.73348552482570495</v>
      </c>
      <c r="D117" s="13">
        <f>D62*100/B62</f>
        <v>4.3557414189697248</v>
      </c>
      <c r="E117" s="13">
        <f>E62*100/B62</f>
        <v>3.9407283828087478</v>
      </c>
      <c r="F117" s="13">
        <f>F62*100/B62</f>
        <v>13.040560048995525</v>
      </c>
    </row>
    <row r="118" spans="1:6" ht="29.15" x14ac:dyDescent="0.4">
      <c r="A118" s="3" t="s">
        <v>14</v>
      </c>
      <c r="B118" s="4">
        <f>AVERAGE(B31:B112)</f>
        <v>9625411.3251341451</v>
      </c>
      <c r="C118" s="4">
        <f>AVERAGE(C31:C112)</f>
        <v>70608.229060975602</v>
      </c>
      <c r="D118" s="4">
        <f>AVERAGE(D31:D112)</f>
        <v>402347.65536585363</v>
      </c>
      <c r="E118" s="4">
        <f t="shared" ref="E118:F118" si="1">AVERAGE(E31:E112)</f>
        <v>386346.64082926838</v>
      </c>
      <c r="F118" s="4">
        <f t="shared" si="1"/>
        <v>1101676.6355609756</v>
      </c>
    </row>
    <row r="119" spans="1:6" ht="29.15" x14ac:dyDescent="0.4">
      <c r="A119" s="3" t="s">
        <v>109</v>
      </c>
      <c r="B119" s="5">
        <f>B118/B118</f>
        <v>1</v>
      </c>
      <c r="C119" s="6">
        <f>C118*100/B118</f>
        <v>0.73356064147203148</v>
      </c>
      <c r="D119" s="6">
        <f>D118*100/B118</f>
        <v>4.1800567453697495</v>
      </c>
      <c r="E119" s="6">
        <f>E118*100/B118</f>
        <v>4.0138195426561065</v>
      </c>
      <c r="F119" s="6">
        <f>F118*100/B118</f>
        <v>11.445501894389142</v>
      </c>
    </row>
    <row r="122" spans="1:6" x14ac:dyDescent="0.4">
      <c r="A122" t="s">
        <v>6</v>
      </c>
      <c r="B122" s="10" t="s">
        <v>7</v>
      </c>
    </row>
    <row r="123" spans="1:6" x14ac:dyDescent="0.4">
      <c r="B123" t="s">
        <v>73</v>
      </c>
    </row>
  </sheetData>
  <hyperlinks>
    <hyperlink ref="B122" r:id="rId1" xr:uid="{263EB9F2-B14E-4059-B29E-0D771DC8E53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83F5-D89E-4384-A263-C6122D6DA873}">
  <dimension ref="A1:AI76"/>
  <sheetViews>
    <sheetView topLeftCell="A65" zoomScale="91" workbookViewId="0">
      <selection activeCell="E70" sqref="E70"/>
    </sheetView>
  </sheetViews>
  <sheetFormatPr baseColWidth="10" defaultRowHeight="14.6" x14ac:dyDescent="0.4"/>
  <cols>
    <col min="1" max="1" width="10.69140625" bestFit="1" customWidth="1"/>
    <col min="2" max="2" width="24.23046875" customWidth="1"/>
    <col min="3" max="3" width="16.4609375" customWidth="1"/>
    <col min="4" max="4" width="22.07421875" customWidth="1"/>
    <col min="5" max="5" width="20.69140625" customWidth="1"/>
    <col min="6" max="6" width="21" customWidth="1"/>
    <col min="7" max="7" width="10.69140625" style="13"/>
    <col min="9" max="10" width="10.69140625" bestFit="1" customWidth="1"/>
  </cols>
  <sheetData>
    <row r="1" spans="1:35" x14ac:dyDescent="0.4">
      <c r="A1" t="s">
        <v>5</v>
      </c>
      <c r="B1" t="s">
        <v>8</v>
      </c>
      <c r="C1" t="s">
        <v>9</v>
      </c>
      <c r="D1" t="s">
        <v>12</v>
      </c>
      <c r="E1" t="s">
        <v>112</v>
      </c>
      <c r="F1" t="s">
        <v>113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x14ac:dyDescent="0.4">
      <c r="A2" s="53">
        <v>1990</v>
      </c>
      <c r="B2" s="54">
        <v>59746506695071</v>
      </c>
      <c r="C2" s="54">
        <v>2252131019723</v>
      </c>
      <c r="D2" s="54">
        <v>14055046900287</v>
      </c>
      <c r="E2" s="54">
        <v>11079319700573</v>
      </c>
      <c r="F2" s="54">
        <v>1892142389584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4">
      <c r="A3" s="53">
        <v>1991</v>
      </c>
      <c r="B3" s="54">
        <v>60258490453633</v>
      </c>
      <c r="C3" s="54">
        <v>2279982279111</v>
      </c>
      <c r="D3" s="54">
        <v>14163697291311</v>
      </c>
      <c r="E3" s="54">
        <v>11067319371015</v>
      </c>
      <c r="F3" s="54">
        <v>2069542704119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x14ac:dyDescent="0.4">
      <c r="A4" s="53">
        <v>1992</v>
      </c>
      <c r="B4" s="54">
        <v>61053199066222</v>
      </c>
      <c r="C4" s="54">
        <v>2314548203919</v>
      </c>
      <c r="D4" s="54">
        <v>14246781423744</v>
      </c>
      <c r="E4" s="54">
        <v>11457165382936</v>
      </c>
      <c r="F4" s="54">
        <v>2365438109816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x14ac:dyDescent="0.4">
      <c r="A5" s="53">
        <v>1993</v>
      </c>
      <c r="B5" s="54">
        <v>61978794358267</v>
      </c>
      <c r="C5" s="54">
        <v>2306239026543</v>
      </c>
      <c r="D5" s="54">
        <v>14165170093636</v>
      </c>
      <c r="E5" s="54">
        <v>11772443185977</v>
      </c>
      <c r="F5" s="54">
        <v>2694851453398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x14ac:dyDescent="0.4">
      <c r="A6" s="53">
        <v>1994</v>
      </c>
      <c r="B6" s="54">
        <v>63652014872828</v>
      </c>
      <c r="C6" s="54">
        <v>2361211943582</v>
      </c>
      <c r="D6" s="54">
        <v>14548276355074</v>
      </c>
      <c r="E6" s="54">
        <v>12246757597390</v>
      </c>
      <c r="F6" s="54">
        <v>3047411115925</v>
      </c>
    </row>
    <row r="7" spans="1:35" x14ac:dyDescent="0.4">
      <c r="A7" s="53">
        <v>1995</v>
      </c>
      <c r="B7" s="54">
        <v>65638271921048</v>
      </c>
      <c r="C7" s="54">
        <v>2415632986071</v>
      </c>
      <c r="D7" s="54">
        <v>14965907122544</v>
      </c>
      <c r="E7" s="54">
        <v>12575513322951</v>
      </c>
      <c r="F7" s="54">
        <v>3383096056447</v>
      </c>
    </row>
    <row r="8" spans="1:35" x14ac:dyDescent="0.4">
      <c r="A8" s="53">
        <v>1996</v>
      </c>
      <c r="B8" s="54">
        <v>68072956904076</v>
      </c>
      <c r="C8" s="54">
        <v>2449381308301</v>
      </c>
      <c r="D8" s="54">
        <v>15272122048686</v>
      </c>
      <c r="E8" s="54">
        <v>13049958855286</v>
      </c>
      <c r="F8" s="54">
        <v>3720501963123</v>
      </c>
    </row>
    <row r="9" spans="1:35" x14ac:dyDescent="0.4">
      <c r="A9" s="53">
        <v>1997</v>
      </c>
      <c r="B9" s="54">
        <v>70778368389422</v>
      </c>
      <c r="C9" s="54">
        <v>2511278683612</v>
      </c>
      <c r="D9" s="54">
        <v>15664417730527</v>
      </c>
      <c r="E9" s="54">
        <v>13630307220971</v>
      </c>
      <c r="F9" s="54">
        <v>4066419152961</v>
      </c>
    </row>
    <row r="10" spans="1:35" x14ac:dyDescent="0.4">
      <c r="A10" s="53">
        <v>1998</v>
      </c>
      <c r="B10" s="54">
        <v>72514571649884</v>
      </c>
      <c r="C10" s="54">
        <v>2597982949374</v>
      </c>
      <c r="D10" s="54">
        <v>16123564133041</v>
      </c>
      <c r="E10" s="54">
        <v>14241372070382</v>
      </c>
      <c r="F10" s="54">
        <v>4388623718711</v>
      </c>
    </row>
    <row r="11" spans="1:35" x14ac:dyDescent="0.4">
      <c r="A11" s="53">
        <v>1999</v>
      </c>
      <c r="B11" s="54">
        <v>75129460995882</v>
      </c>
      <c r="C11" s="54">
        <v>2686296393899</v>
      </c>
      <c r="D11" s="54">
        <v>16590357951915</v>
      </c>
      <c r="E11" s="54">
        <v>14923309497831</v>
      </c>
      <c r="F11" s="54">
        <v>4728357537870</v>
      </c>
    </row>
    <row r="12" spans="1:35" x14ac:dyDescent="0.4">
      <c r="A12" s="53">
        <v>2000</v>
      </c>
      <c r="B12" s="54">
        <v>78748266091431</v>
      </c>
      <c r="C12" s="54">
        <v>2797535926604</v>
      </c>
      <c r="D12" s="54">
        <v>17242731410767</v>
      </c>
      <c r="E12" s="54">
        <v>15531820240832</v>
      </c>
      <c r="F12" s="54">
        <v>5133746736757</v>
      </c>
    </row>
    <row r="13" spans="1:35" x14ac:dyDescent="0.4">
      <c r="A13" s="53">
        <v>2001</v>
      </c>
      <c r="B13" s="54">
        <v>80651158295443</v>
      </c>
      <c r="C13" s="54">
        <v>2850674198675</v>
      </c>
      <c r="D13" s="54">
        <v>17630418686268</v>
      </c>
      <c r="E13" s="54">
        <v>15680232737760</v>
      </c>
      <c r="F13" s="54">
        <v>5561082225597</v>
      </c>
    </row>
    <row r="14" spans="1:35" x14ac:dyDescent="0.4">
      <c r="A14" s="53">
        <v>2002</v>
      </c>
      <c r="B14" s="54">
        <v>82913446416271</v>
      </c>
      <c r="C14" s="54">
        <v>2881112280148</v>
      </c>
      <c r="D14" s="54">
        <v>17850581067931</v>
      </c>
      <c r="E14" s="54">
        <v>15946866836810</v>
      </c>
      <c r="F14" s="54">
        <v>6074706488414</v>
      </c>
    </row>
    <row r="15" spans="1:35" x14ac:dyDescent="0.4">
      <c r="A15" s="53">
        <v>2003</v>
      </c>
      <c r="B15" s="54">
        <v>85953247177967</v>
      </c>
      <c r="C15" s="54">
        <v>2908996467956</v>
      </c>
      <c r="D15" s="54">
        <v>18048815545511</v>
      </c>
      <c r="E15" s="54">
        <v>16392678397137</v>
      </c>
      <c r="F15" s="54">
        <v>6689090876282</v>
      </c>
    </row>
    <row r="16" spans="1:35" x14ac:dyDescent="0.4">
      <c r="A16" s="53">
        <v>2004</v>
      </c>
      <c r="B16" s="54">
        <v>90382276783126</v>
      </c>
      <c r="C16" s="54">
        <v>2992433774420</v>
      </c>
      <c r="D16" s="54">
        <v>18551610186281</v>
      </c>
      <c r="E16" s="54">
        <v>17023431236173</v>
      </c>
      <c r="F16" s="54">
        <v>7367393399861</v>
      </c>
    </row>
    <row r="17" spans="1:9" x14ac:dyDescent="0.4">
      <c r="A17" s="53">
        <v>2005</v>
      </c>
      <c r="B17" s="54">
        <v>94536020338349</v>
      </c>
      <c r="C17" s="54">
        <v>3048947856501</v>
      </c>
      <c r="D17" s="54">
        <v>18946844284538</v>
      </c>
      <c r="E17" s="54">
        <v>17616450964293</v>
      </c>
      <c r="F17" s="54">
        <v>8211218760901</v>
      </c>
    </row>
    <row r="18" spans="1:9" x14ac:dyDescent="0.4">
      <c r="A18" s="53">
        <v>2006</v>
      </c>
      <c r="B18" s="54">
        <v>99458127988160</v>
      </c>
      <c r="C18" s="54">
        <v>3131698267519</v>
      </c>
      <c r="D18" s="54">
        <v>19653724210861</v>
      </c>
      <c r="E18" s="54">
        <v>18106988023981</v>
      </c>
      <c r="F18" s="54">
        <v>9252014077441</v>
      </c>
    </row>
    <row r="19" spans="1:9" x14ac:dyDescent="0.4">
      <c r="A19" s="53">
        <v>2007</v>
      </c>
      <c r="B19" s="54">
        <v>104664529164622</v>
      </c>
      <c r="C19" s="54">
        <v>3210945324824</v>
      </c>
      <c r="D19" s="54">
        <v>20305277396116</v>
      </c>
      <c r="E19" s="54">
        <v>18469826407095</v>
      </c>
      <c r="F19" s="54">
        <v>10561245407110</v>
      </c>
    </row>
    <row r="20" spans="1:9" x14ac:dyDescent="0.4">
      <c r="A20" s="53">
        <v>2008</v>
      </c>
      <c r="B20" s="54">
        <v>107616102342598</v>
      </c>
      <c r="C20" s="54">
        <v>3223152421770</v>
      </c>
      <c r="D20" s="54">
        <v>20481942205927</v>
      </c>
      <c r="E20" s="54">
        <v>18490805774529</v>
      </c>
      <c r="F20" s="54">
        <v>11582388576956</v>
      </c>
    </row>
    <row r="21" spans="1:9" x14ac:dyDescent="0.4">
      <c r="A21" s="53">
        <v>2009</v>
      </c>
      <c r="B21" s="54">
        <v>106900393523163</v>
      </c>
      <c r="C21" s="54">
        <v>3132112820496</v>
      </c>
      <c r="D21" s="54">
        <v>19611106610198</v>
      </c>
      <c r="E21" s="54">
        <v>18014390119987</v>
      </c>
      <c r="F21" s="54">
        <v>12671839645498</v>
      </c>
    </row>
    <row r="22" spans="1:9" x14ac:dyDescent="0.4">
      <c r="A22" s="53">
        <v>2010</v>
      </c>
      <c r="B22" s="54">
        <v>112369774826691</v>
      </c>
      <c r="C22" s="54">
        <v>3194765248768</v>
      </c>
      <c r="D22" s="54">
        <v>20004956152632</v>
      </c>
      <c r="E22" s="54">
        <v>18499912627047</v>
      </c>
      <c r="F22" s="54">
        <v>14014001667285</v>
      </c>
      <c r="I22" s="7"/>
    </row>
    <row r="23" spans="1:9" x14ac:dyDescent="0.4">
      <c r="A23" s="53">
        <v>2011</v>
      </c>
      <c r="B23" s="54">
        <v>116779323374085</v>
      </c>
      <c r="C23" s="54">
        <v>3272640096894</v>
      </c>
      <c r="D23" s="54">
        <v>20396009895487</v>
      </c>
      <c r="E23" s="54">
        <v>18789326527808</v>
      </c>
      <c r="F23" s="54">
        <v>15340013860010</v>
      </c>
    </row>
    <row r="24" spans="1:9" x14ac:dyDescent="0.4">
      <c r="A24" s="53">
        <v>2012</v>
      </c>
      <c r="B24" s="54">
        <v>120457639815694</v>
      </c>
      <c r="C24" s="54">
        <v>3278656363487</v>
      </c>
      <c r="D24" s="54">
        <v>20241900939245</v>
      </c>
      <c r="E24" s="54">
        <v>19219435517265</v>
      </c>
      <c r="F24" s="54">
        <v>16545404559826</v>
      </c>
    </row>
    <row r="25" spans="1:9" x14ac:dyDescent="0.4">
      <c r="A25" s="53">
        <v>2013</v>
      </c>
      <c r="B25" s="54">
        <v>124396248689855</v>
      </c>
      <c r="C25" s="54">
        <v>3304287470959</v>
      </c>
      <c r="D25" s="54">
        <v>20229842702374</v>
      </c>
      <c r="E25" s="54">
        <v>19626470506630</v>
      </c>
      <c r="F25" s="54">
        <v>17832377196873</v>
      </c>
    </row>
    <row r="26" spans="1:9" x14ac:dyDescent="0.4">
      <c r="A26" s="53">
        <v>2014</v>
      </c>
      <c r="B26" s="54">
        <v>128707260097480</v>
      </c>
      <c r="C26" s="54">
        <v>3337258740017</v>
      </c>
      <c r="D26" s="54">
        <v>20576138491055</v>
      </c>
      <c r="E26" s="54">
        <v>20121807258768</v>
      </c>
      <c r="F26" s="54">
        <v>19162852171599</v>
      </c>
    </row>
    <row r="27" spans="1:9" x14ac:dyDescent="0.4">
      <c r="A27" s="53">
        <v>2015</v>
      </c>
      <c r="B27" s="54">
        <v>132979475190067</v>
      </c>
      <c r="C27" s="54">
        <v>3372859106074</v>
      </c>
      <c r="D27" s="54">
        <v>21076145421659</v>
      </c>
      <c r="E27" s="54">
        <v>20714505243484</v>
      </c>
      <c r="F27" s="54">
        <v>20500730181113</v>
      </c>
    </row>
    <row r="28" spans="1:9" x14ac:dyDescent="0.4">
      <c r="A28" s="53">
        <v>2016</v>
      </c>
      <c r="B28" s="54">
        <v>137269733552341</v>
      </c>
      <c r="C28" s="54">
        <v>3401866742516</v>
      </c>
      <c r="D28" s="54">
        <v>21494116675138</v>
      </c>
      <c r="E28" s="54">
        <v>21091395615523</v>
      </c>
      <c r="F28" s="54">
        <v>21889385822096</v>
      </c>
    </row>
    <row r="29" spans="1:9" x14ac:dyDescent="0.4">
      <c r="A29" s="53">
        <v>2017</v>
      </c>
      <c r="B29" s="54">
        <v>142488808751000</v>
      </c>
      <c r="C29" s="54">
        <v>3472748543480</v>
      </c>
      <c r="D29" s="54">
        <v>22134351131538</v>
      </c>
      <c r="E29" s="54">
        <v>21609742457818</v>
      </c>
      <c r="F29" s="54">
        <v>23397835751145</v>
      </c>
    </row>
    <row r="30" spans="1:9" x14ac:dyDescent="0.4">
      <c r="A30" s="53">
        <v>2018</v>
      </c>
      <c r="B30" s="54">
        <v>147685397273163</v>
      </c>
      <c r="C30" s="54">
        <v>3529906814718</v>
      </c>
      <c r="D30" s="54">
        <v>22631771734001</v>
      </c>
      <c r="E30" s="54">
        <v>22250796562799</v>
      </c>
      <c r="F30" s="54">
        <v>24979016132707</v>
      </c>
    </row>
    <row r="31" spans="1:9" x14ac:dyDescent="0.4">
      <c r="A31" s="53">
        <v>2019</v>
      </c>
      <c r="B31" s="54">
        <v>152051967520231</v>
      </c>
      <c r="C31" s="54">
        <v>3601473785623</v>
      </c>
      <c r="D31" s="54">
        <v>23088322198062</v>
      </c>
      <c r="E31" s="54">
        <v>22825718280632</v>
      </c>
      <c r="F31" s="54">
        <v>26494587477980</v>
      </c>
    </row>
    <row r="32" spans="1:9" x14ac:dyDescent="0.4">
      <c r="A32" s="53">
        <v>2020</v>
      </c>
      <c r="B32" s="54">
        <v>147750738921631</v>
      </c>
      <c r="C32" s="54">
        <v>3333500874072</v>
      </c>
      <c r="D32" s="54">
        <v>21793679288788</v>
      </c>
      <c r="E32" s="54">
        <v>22350629263579</v>
      </c>
      <c r="F32" s="54">
        <v>27114429372607</v>
      </c>
    </row>
    <row r="33" spans="1:13" x14ac:dyDescent="0.4">
      <c r="A33" s="53">
        <v>2021</v>
      </c>
      <c r="B33" s="54">
        <v>157405903630917</v>
      </c>
      <c r="C33" s="54">
        <v>3562923665911</v>
      </c>
      <c r="D33" s="54">
        <v>23189787125040</v>
      </c>
      <c r="E33" s="54">
        <v>23725645000000</v>
      </c>
      <c r="F33" s="54">
        <v>29438240129870</v>
      </c>
    </row>
    <row r="34" spans="1:13" x14ac:dyDescent="0.4">
      <c r="A34" s="53">
        <v>2022</v>
      </c>
      <c r="B34" s="54">
        <v>163140044693829</v>
      </c>
      <c r="C34" s="54">
        <v>3659719845025</v>
      </c>
      <c r="D34" s="54">
        <v>24049416863216</v>
      </c>
      <c r="E34" s="54">
        <v>24324531017266</v>
      </c>
      <c r="F34" s="54">
        <v>30360791708735</v>
      </c>
    </row>
    <row r="35" spans="1:13" x14ac:dyDescent="0.4">
      <c r="A35" s="53">
        <v>2023</v>
      </c>
      <c r="B35" s="54">
        <v>168473707388178</v>
      </c>
      <c r="C35" s="54">
        <v>3712391079957</v>
      </c>
      <c r="D35" s="54">
        <v>24178427617055</v>
      </c>
      <c r="E35" s="54">
        <v>25038301109944</v>
      </c>
      <c r="F35" s="54">
        <v>32005133203227</v>
      </c>
    </row>
    <row r="36" spans="1:13" x14ac:dyDescent="0.4">
      <c r="A36" s="53">
        <v>2024</v>
      </c>
      <c r="B36" s="54">
        <v>174159721560706</v>
      </c>
      <c r="C36" s="54">
        <v>3756585907158</v>
      </c>
      <c r="D36" s="54">
        <v>24466131679265</v>
      </c>
      <c r="E36" s="54">
        <v>25737667720037</v>
      </c>
      <c r="F36" s="54">
        <v>33592044935159</v>
      </c>
    </row>
    <row r="37" spans="1:13" s="13" customFormat="1" x14ac:dyDescent="0.4">
      <c r="A37" s="53">
        <v>2025</v>
      </c>
      <c r="B37" s="54">
        <v>180028791385506</v>
      </c>
      <c r="C37" s="54">
        <v>3788176914672</v>
      </c>
      <c r="D37" s="54">
        <v>24851249652329</v>
      </c>
      <c r="E37" s="54">
        <v>26293957026094</v>
      </c>
      <c r="F37" s="54">
        <v>35258193185781</v>
      </c>
      <c r="H37" s="49"/>
      <c r="I37" s="49"/>
      <c r="J37" s="49"/>
      <c r="K37" s="49"/>
      <c r="L37" s="49"/>
      <c r="M37" s="49"/>
    </row>
    <row r="38" spans="1:13" s="13" customFormat="1" x14ac:dyDescent="0.4">
      <c r="A38" s="57">
        <v>2026</v>
      </c>
      <c r="B38" s="58">
        <v>185613362588448</v>
      </c>
      <c r="C38" s="58">
        <v>3847211671289</v>
      </c>
      <c r="D38" s="58">
        <v>25266462332861</v>
      </c>
      <c r="E38" s="58">
        <v>26785348656778</v>
      </c>
      <c r="F38" s="58">
        <v>36578487945445</v>
      </c>
      <c r="H38" s="49"/>
      <c r="I38" s="49"/>
      <c r="J38" s="49"/>
      <c r="K38" s="49"/>
      <c r="L38" s="49"/>
      <c r="M38" s="49"/>
    </row>
    <row r="39" spans="1:13" x14ac:dyDescent="0.4">
      <c r="A39" s="57">
        <v>2027</v>
      </c>
      <c r="B39" s="58">
        <v>191371169612619</v>
      </c>
      <c r="C39" s="58">
        <v>3907166422555</v>
      </c>
      <c r="D39" s="58">
        <v>25688612353466</v>
      </c>
      <c r="E39" s="58">
        <v>27285923604162</v>
      </c>
      <c r="F39" s="58">
        <v>37948223078959</v>
      </c>
    </row>
    <row r="40" spans="1:13" x14ac:dyDescent="0.4">
      <c r="A40" s="57">
        <v>2028</v>
      </c>
      <c r="B40" s="58">
        <v>197307586308343</v>
      </c>
      <c r="C40" s="58">
        <v>3968055505619</v>
      </c>
      <c r="D40" s="58">
        <v>26117815622664</v>
      </c>
      <c r="E40" s="58">
        <v>27795853489620</v>
      </c>
      <c r="F40" s="58">
        <v>39369249953641</v>
      </c>
    </row>
    <row r="41" spans="1:13" x14ac:dyDescent="0.4">
      <c r="A41" s="57">
        <v>2029</v>
      </c>
      <c r="B41" s="58">
        <v>203428153225109</v>
      </c>
      <c r="C41" s="58">
        <v>4029893481061</v>
      </c>
      <c r="D41" s="58">
        <v>26554189985565</v>
      </c>
      <c r="E41" s="58">
        <v>28315313141849</v>
      </c>
      <c r="F41" s="58">
        <v>40843489263971</v>
      </c>
    </row>
    <row r="42" spans="1:13" x14ac:dyDescent="0.4">
      <c r="A42" s="57">
        <v>2030</v>
      </c>
      <c r="B42" s="58">
        <v>209738582782655</v>
      </c>
      <c r="C42" s="58">
        <v>4092695136370</v>
      </c>
      <c r="D42" s="58">
        <v>26997855256225</v>
      </c>
      <c r="E42" s="58">
        <v>28844480656814</v>
      </c>
      <c r="F42" s="58">
        <v>42372933627653</v>
      </c>
    </row>
    <row r="43" spans="1:13" x14ac:dyDescent="0.4">
      <c r="A43" s="57">
        <v>2031</v>
      </c>
      <c r="B43" s="58">
        <v>215595098179775</v>
      </c>
      <c r="C43" s="58">
        <v>4146550170992</v>
      </c>
      <c r="D43" s="58">
        <v>27393032292760</v>
      </c>
      <c r="E43" s="58">
        <v>29289437645355</v>
      </c>
      <c r="F43" s="58">
        <v>43593096339827</v>
      </c>
    </row>
    <row r="44" spans="1:13" x14ac:dyDescent="0.4">
      <c r="A44" s="57">
        <v>2032</v>
      </c>
      <c r="B44" s="58">
        <v>221615144636090</v>
      </c>
      <c r="C44" s="58">
        <v>4201113874267</v>
      </c>
      <c r="D44" s="58">
        <v>27793993673597</v>
      </c>
      <c r="E44" s="58">
        <v>29741258571716</v>
      </c>
      <c r="F44" s="58">
        <v>44848394618899</v>
      </c>
    </row>
    <row r="45" spans="1:13" x14ac:dyDescent="0.4">
      <c r="A45" s="57">
        <v>2033</v>
      </c>
      <c r="B45" s="58">
        <v>227803288417633</v>
      </c>
      <c r="C45" s="58">
        <v>4256395571439</v>
      </c>
      <c r="D45" s="58">
        <v>28200824066202</v>
      </c>
      <c r="E45" s="58">
        <v>30200049319483</v>
      </c>
      <c r="F45" s="58">
        <v>46139840221786</v>
      </c>
    </row>
    <row r="46" spans="1:13" x14ac:dyDescent="0.4">
      <c r="A46" s="57">
        <v>2034</v>
      </c>
      <c r="B46" s="58">
        <v>234164223293954</v>
      </c>
      <c r="C46" s="58">
        <v>4312404710460</v>
      </c>
      <c r="D46" s="58">
        <v>28613609377352</v>
      </c>
      <c r="E46" s="58">
        <v>30665917405613</v>
      </c>
      <c r="F46" s="58">
        <v>47468474039756</v>
      </c>
    </row>
    <row r="47" spans="1:13" x14ac:dyDescent="0.4">
      <c r="A47" s="57">
        <v>2035</v>
      </c>
      <c r="B47" s="58">
        <v>240702774098393</v>
      </c>
      <c r="C47" s="58">
        <v>4369150863605</v>
      </c>
      <c r="D47" s="58">
        <v>29032436771269</v>
      </c>
      <c r="E47" s="58">
        <v>31138972005625</v>
      </c>
      <c r="F47" s="58">
        <v>48835366937379</v>
      </c>
    </row>
    <row r="48" spans="1:13" x14ac:dyDescent="0.4">
      <c r="A48" s="57">
        <v>2036</v>
      </c>
      <c r="B48" s="58">
        <v>246643680941786</v>
      </c>
      <c r="C48" s="58">
        <v>4424116315805</v>
      </c>
      <c r="D48" s="58">
        <v>29430112863175</v>
      </c>
      <c r="E48" s="58">
        <v>31558582849020</v>
      </c>
      <c r="F48" s="58">
        <v>49829940141406</v>
      </c>
    </row>
    <row r="49" spans="1:13" x14ac:dyDescent="0.4">
      <c r="A49" s="57">
        <v>2037</v>
      </c>
      <c r="B49" s="58">
        <v>252731218310124</v>
      </c>
      <c r="C49" s="58">
        <v>4479773252696</v>
      </c>
      <c r="D49" s="58">
        <v>29833236182101</v>
      </c>
      <c r="E49" s="58">
        <v>31983848126346</v>
      </c>
      <c r="F49" s="58">
        <v>50844768662843</v>
      </c>
    </row>
    <row r="50" spans="1:13" x14ac:dyDescent="0.4">
      <c r="A50" s="57">
        <v>2038</v>
      </c>
      <c r="B50" s="58">
        <v>258969005265516</v>
      </c>
      <c r="C50" s="58">
        <v>4536130373399</v>
      </c>
      <c r="D50" s="58">
        <v>30241881342246</v>
      </c>
      <c r="E50" s="58">
        <v>32414844033496</v>
      </c>
      <c r="F50" s="58">
        <v>51880265018217</v>
      </c>
    </row>
    <row r="51" spans="1:13" x14ac:dyDescent="0.4">
      <c r="A51" s="57">
        <v>2039</v>
      </c>
      <c r="B51" s="58">
        <v>265360750193972</v>
      </c>
      <c r="C51" s="58">
        <v>4593196486471</v>
      </c>
      <c r="D51" s="58">
        <v>30656123979845</v>
      </c>
      <c r="E51" s="58">
        <v>32851647793136</v>
      </c>
      <c r="F51" s="58">
        <v>52936850125299</v>
      </c>
    </row>
    <row r="52" spans="1:13" x14ac:dyDescent="0.4">
      <c r="A52" s="57">
        <v>2040</v>
      </c>
      <c r="B52" s="58">
        <v>271910253010050</v>
      </c>
      <c r="C52" s="58">
        <v>4650980511286</v>
      </c>
      <c r="D52" s="58">
        <v>31076040767172</v>
      </c>
      <c r="E52" s="58">
        <v>33294337668540</v>
      </c>
      <c r="F52" s="58">
        <v>54014953474205</v>
      </c>
      <c r="H52" s="49"/>
      <c r="I52" s="49"/>
      <c r="J52" s="49"/>
      <c r="K52" s="49"/>
      <c r="L52" s="49"/>
      <c r="M52" s="49"/>
    </row>
    <row r="53" spans="1:13" x14ac:dyDescent="0.4">
      <c r="A53" s="57">
        <v>2041</v>
      </c>
      <c r="B53" s="58">
        <v>278169312765321</v>
      </c>
      <c r="C53" s="58">
        <v>4707133864249</v>
      </c>
      <c r="D53" s="58">
        <v>31464874770701</v>
      </c>
      <c r="E53" s="58">
        <v>33703559031431</v>
      </c>
      <c r="F53" s="58">
        <v>54972135673960</v>
      </c>
      <c r="H53" s="49"/>
      <c r="I53" s="49"/>
      <c r="J53" s="49"/>
      <c r="K53" s="49"/>
      <c r="L53" s="49"/>
      <c r="M53" s="49"/>
    </row>
    <row r="54" spans="1:13" x14ac:dyDescent="0.4">
      <c r="A54" s="57">
        <v>2042</v>
      </c>
      <c r="B54" s="58">
        <v>284572448842050</v>
      </c>
      <c r="C54" s="58">
        <v>4763965181578</v>
      </c>
      <c r="D54" s="58">
        <v>31858573997680</v>
      </c>
      <c r="E54" s="58">
        <v>34117810142188</v>
      </c>
      <c r="F54" s="58">
        <v>55946279801933</v>
      </c>
      <c r="H54" s="49"/>
      <c r="I54" s="49"/>
      <c r="J54" s="49"/>
      <c r="K54" s="49"/>
      <c r="L54" s="49"/>
      <c r="M54" s="49"/>
    </row>
    <row r="55" spans="1:13" x14ac:dyDescent="0.4">
      <c r="A55" s="57">
        <v>2043</v>
      </c>
      <c r="B55" s="58">
        <v>291122977710634</v>
      </c>
      <c r="C55" s="58">
        <v>4821482648637</v>
      </c>
      <c r="D55" s="58">
        <v>32257199323442</v>
      </c>
      <c r="E55" s="58">
        <v>34537152821542</v>
      </c>
      <c r="F55" s="58">
        <v>56937686435181</v>
      </c>
      <c r="H55" s="49"/>
      <c r="I55" s="49"/>
      <c r="J55" s="49"/>
      <c r="K55" s="49"/>
      <c r="L55" s="49"/>
      <c r="M55" s="49"/>
    </row>
    <row r="56" spans="1:13" x14ac:dyDescent="0.4">
      <c r="A56" s="57">
        <v>2044</v>
      </c>
      <c r="B56" s="58">
        <v>297824292182789</v>
      </c>
      <c r="C56" s="58">
        <v>4879694549615</v>
      </c>
      <c r="D56" s="58">
        <v>32660812385013</v>
      </c>
      <c r="E56" s="58">
        <v>34961649650063</v>
      </c>
      <c r="F56" s="58">
        <v>57946661477194</v>
      </c>
    </row>
    <row r="57" spans="1:13" x14ac:dyDescent="0.4">
      <c r="A57" s="57">
        <v>2045</v>
      </c>
      <c r="B57" s="58">
        <v>304679863168833</v>
      </c>
      <c r="C57" s="58">
        <v>4938609268723</v>
      </c>
      <c r="D57" s="58">
        <v>33069475590641</v>
      </c>
      <c r="E57" s="58">
        <v>35391363977500</v>
      </c>
      <c r="F57" s="58">
        <v>58973516252283</v>
      </c>
    </row>
    <row r="58" spans="1:13" x14ac:dyDescent="0.4">
      <c r="A58" s="57">
        <v>2046</v>
      </c>
      <c r="B58" s="58">
        <v>311271173147336</v>
      </c>
      <c r="C58" s="58">
        <v>4996915126985</v>
      </c>
      <c r="D58" s="58">
        <v>33449062869246</v>
      </c>
      <c r="E58" s="58">
        <v>35797424235974</v>
      </c>
      <c r="F58" s="58">
        <v>59871715719212</v>
      </c>
    </row>
    <row r="59" spans="1:13" x14ac:dyDescent="0.4">
      <c r="A59" s="57">
        <v>2047</v>
      </c>
      <c r="B59" s="58">
        <v>318005076623094</v>
      </c>
      <c r="C59" s="58">
        <v>5055909351732</v>
      </c>
      <c r="D59" s="58">
        <v>33833007232429</v>
      </c>
      <c r="E59" s="58">
        <v>36208143397495</v>
      </c>
      <c r="F59" s="58">
        <v>60783595263805</v>
      </c>
    </row>
    <row r="60" spans="1:13" x14ac:dyDescent="0.4">
      <c r="A60" s="57">
        <v>2048</v>
      </c>
      <c r="B60" s="58">
        <v>324884658401031</v>
      </c>
      <c r="C60" s="58">
        <v>5115600069908</v>
      </c>
      <c r="D60" s="58">
        <v>34221358692892</v>
      </c>
      <c r="E60" s="58">
        <v>36623574915653</v>
      </c>
      <c r="F60" s="58">
        <v>61709363241255</v>
      </c>
    </row>
    <row r="61" spans="1:13" s="13" customFormat="1" x14ac:dyDescent="0.4">
      <c r="A61" s="57">
        <v>2049</v>
      </c>
      <c r="B61" s="58">
        <v>331913070021377</v>
      </c>
      <c r="C61" s="58">
        <v>5175995504406</v>
      </c>
      <c r="D61" s="58">
        <v>34614167837410</v>
      </c>
      <c r="E61" s="58">
        <v>37043772857329</v>
      </c>
      <c r="F61" s="58">
        <v>62649231180123</v>
      </c>
    </row>
    <row r="62" spans="1:13" s="13" customFormat="1" x14ac:dyDescent="0.4">
      <c r="A62" s="57">
        <v>2050</v>
      </c>
      <c r="B62" s="58">
        <v>339093531203398</v>
      </c>
      <c r="C62" s="58">
        <v>5237103975196</v>
      </c>
      <c r="D62" s="58">
        <v>35011485833414</v>
      </c>
      <c r="E62" s="58">
        <v>37468791909741</v>
      </c>
      <c r="F62" s="58">
        <v>63603413830667</v>
      </c>
    </row>
    <row r="63" spans="1:13" s="49" customFormat="1" x14ac:dyDescent="0.4">
      <c r="A63" s="55"/>
      <c r="B63" s="56"/>
      <c r="C63" s="56"/>
      <c r="D63" s="56"/>
      <c r="E63" s="56"/>
      <c r="F63" s="56"/>
    </row>
    <row r="64" spans="1:13" x14ac:dyDescent="0.4">
      <c r="A64" s="48">
        <v>2019</v>
      </c>
      <c r="B64">
        <f>B31/Population!B31</f>
        <v>19465657.469666302</v>
      </c>
      <c r="C64" s="13">
        <f>C31/Population!C31</f>
        <v>53027470.780060753</v>
      </c>
      <c r="D64" s="13">
        <f>D31/Population!D31</f>
        <v>51609101.973367676</v>
      </c>
      <c r="E64" s="13">
        <f>E31/Population!E31</f>
        <v>67573681.142708093</v>
      </c>
      <c r="F64" s="13">
        <f>F31/Population!F31</f>
        <v>18612018.681500316</v>
      </c>
      <c r="H64" s="49"/>
      <c r="I64" s="49"/>
      <c r="J64" s="49"/>
      <c r="K64" s="49"/>
      <c r="L64" s="49"/>
      <c r="M64" s="49"/>
    </row>
    <row r="65" spans="1:13" s="13" customFormat="1" x14ac:dyDescent="0.4">
      <c r="A65" s="13" t="s">
        <v>110</v>
      </c>
      <c r="B65" s="13">
        <v>1</v>
      </c>
      <c r="C65" s="13">
        <f>C64/B64</f>
        <v>2.724155136434228</v>
      </c>
      <c r="D65" s="13">
        <f>D64/B64</f>
        <v>2.6512899476316742</v>
      </c>
      <c r="E65" s="13">
        <f>E64/B64</f>
        <v>3.4714307106250804</v>
      </c>
      <c r="F65" s="13">
        <f>F64/B64</f>
        <v>0.95614641891771557</v>
      </c>
      <c r="H65" s="49"/>
      <c r="I65" s="64"/>
      <c r="J65" s="65"/>
      <c r="K65" s="66"/>
      <c r="L65" s="49"/>
      <c r="M65" s="49"/>
    </row>
    <row r="66" spans="1:13" ht="29.15" x14ac:dyDescent="0.4">
      <c r="A66" s="3" t="s">
        <v>114</v>
      </c>
      <c r="B66">
        <f>SUM(B2:B31)/SUM(Population!B2:B31)</f>
        <v>14761984.166105103</v>
      </c>
      <c r="C66">
        <f>SUM(C2:C31)/SUM(Population!C2:C31)</f>
        <v>46375102.355172761</v>
      </c>
      <c r="D66" s="13">
        <f>SUM(D2:D31)/SUM(Population!D2:D31)</f>
        <v>42243264.776802398</v>
      </c>
      <c r="E66" s="13">
        <f>SUM(E2:E31)/SUM(Population!E2:E31)</f>
        <v>56694165.181799427</v>
      </c>
      <c r="F66" s="13">
        <f>SUM(F2:F31)/SUM(Population!F2:F31)</f>
        <v>8075380.8224280654</v>
      </c>
      <c r="H66" s="49"/>
      <c r="I66" s="50"/>
      <c r="J66" s="50"/>
      <c r="K66" s="50"/>
      <c r="L66" s="49"/>
      <c r="M66" s="49"/>
    </row>
    <row r="67" spans="1:13" s="13" customFormat="1" ht="29.15" x14ac:dyDescent="0.4">
      <c r="A67" s="3" t="s">
        <v>116</v>
      </c>
      <c r="B67" s="13">
        <v>1</v>
      </c>
      <c r="C67" s="13">
        <f>C66/B66</f>
        <v>3.1415222935717773</v>
      </c>
      <c r="D67" s="13">
        <f>D66/B66</f>
        <v>2.8616251244732323</v>
      </c>
      <c r="E67" s="13">
        <f>E66/B66</f>
        <v>3.8405518217513426</v>
      </c>
      <c r="F67" s="13">
        <f>F66/B66</f>
        <v>0.54703898416107877</v>
      </c>
      <c r="H67" s="49"/>
      <c r="I67" s="51"/>
      <c r="J67" s="51"/>
      <c r="K67" s="52"/>
      <c r="L67" s="49"/>
      <c r="M67" s="49"/>
    </row>
    <row r="68" spans="1:13" ht="29.15" x14ac:dyDescent="0.4">
      <c r="A68" s="3" t="s">
        <v>80</v>
      </c>
      <c r="B68" s="13">
        <f>SUM(B31:B62)/SUM(Population!B31:B62)</f>
        <v>27115978.877288565</v>
      </c>
      <c r="C68" s="13">
        <f>SUM(C31:C62)/SUM(Population!C31:C62)</f>
        <v>62216790.196572669</v>
      </c>
      <c r="D68" s="13">
        <f>SUM(D31:D62)/SUM(Population!D31:D62)</f>
        <v>65590894.572723262</v>
      </c>
      <c r="E68" s="13">
        <f>SUM(E31:E62)/SUM(Population!E31:E62)</f>
        <v>84627670.362325758</v>
      </c>
      <c r="F68" s="13">
        <f>SUM(F31:F62)/SUM(Population!F31:F62)</f>
        <v>34222558.94297301</v>
      </c>
      <c r="H68" s="49"/>
      <c r="I68" s="51"/>
      <c r="J68" s="51"/>
      <c r="K68" s="52"/>
      <c r="L68" s="49"/>
      <c r="M68" s="49"/>
    </row>
    <row r="69" spans="1:13" ht="29.15" x14ac:dyDescent="0.4">
      <c r="A69" s="3" t="s">
        <v>115</v>
      </c>
      <c r="B69" s="13">
        <v>1</v>
      </c>
      <c r="C69" s="13">
        <f t="shared" ref="C69:C71" si="0">C68/B68</f>
        <v>2.2944696364505344</v>
      </c>
      <c r="D69" s="13">
        <f t="shared" ref="D69:D71" si="1">D68/B68</f>
        <v>2.4189019643934002</v>
      </c>
      <c r="E69" s="13">
        <f t="shared" ref="E69:E71" si="2">E68/B68</f>
        <v>3.1209520683469427</v>
      </c>
      <c r="F69" s="13">
        <f t="shared" ref="F69:F71" si="3">F68/B68</f>
        <v>1.2620808969443724</v>
      </c>
      <c r="G69" s="49"/>
      <c r="H69" s="49"/>
      <c r="I69" s="51"/>
      <c r="J69" s="51"/>
      <c r="K69" s="52"/>
      <c r="L69" s="49"/>
      <c r="M69" s="49"/>
    </row>
    <row r="70" spans="1:13" ht="29.15" x14ac:dyDescent="0.4">
      <c r="A70" s="3" t="s">
        <v>118</v>
      </c>
      <c r="B70" s="13">
        <f>SUM(B2:B62)/SUM(Population!B2:B62)</f>
        <v>22080415.799571779</v>
      </c>
      <c r="C70" s="13">
        <f>SUM(C2:C62)/SUM(Population!C2:C62)</f>
        <v>54965484.390539549</v>
      </c>
      <c r="D70" s="13">
        <f>SUM(D2:D62)/SUM(Population!D2:D62)</f>
        <v>54403839.882208735</v>
      </c>
      <c r="E70" s="13">
        <f>SUM(E2:E62)/SUM(Population!E2:E62)</f>
        <v>72594189.009418637</v>
      </c>
      <c r="F70" s="13">
        <f>SUM(F2:F62)/SUM(Population!F2:F62)</f>
        <v>21933499.42880965</v>
      </c>
      <c r="H70" s="49"/>
      <c r="I70" s="51"/>
      <c r="J70" s="51"/>
      <c r="K70" s="52"/>
      <c r="L70" s="49"/>
      <c r="M70" s="49"/>
    </row>
    <row r="71" spans="1:13" ht="29.15" x14ac:dyDescent="0.4">
      <c r="A71" s="3" t="s">
        <v>119</v>
      </c>
      <c r="B71" s="13">
        <v>1</v>
      </c>
      <c r="C71" s="13">
        <f t="shared" si="0"/>
        <v>2.4893319441749613</v>
      </c>
      <c r="D71" s="13">
        <f t="shared" si="1"/>
        <v>2.4638956247945218</v>
      </c>
      <c r="E71" s="13">
        <f t="shared" si="2"/>
        <v>3.2877183866631037</v>
      </c>
      <c r="F71" s="13">
        <f t="shared" si="3"/>
        <v>0.99334630415949965</v>
      </c>
      <c r="H71" s="49"/>
      <c r="I71" s="51"/>
      <c r="J71" s="51"/>
      <c r="K71" s="52"/>
      <c r="L71" s="49"/>
      <c r="M71" s="49"/>
    </row>
    <row r="72" spans="1:13" s="13" customFormat="1" x14ac:dyDescent="0.4">
      <c r="A72" s="3"/>
      <c r="H72" s="49"/>
      <c r="I72" s="49"/>
      <c r="J72" s="49"/>
      <c r="K72" s="49"/>
      <c r="L72" s="49"/>
      <c r="M72" s="49"/>
    </row>
    <row r="73" spans="1:13" x14ac:dyDescent="0.4">
      <c r="A73" t="s">
        <v>10</v>
      </c>
      <c r="B73" t="s">
        <v>117</v>
      </c>
      <c r="H73" s="49"/>
      <c r="I73" s="49"/>
      <c r="J73" s="49"/>
      <c r="K73" s="49"/>
      <c r="L73" s="49"/>
      <c r="M73" s="49"/>
    </row>
    <row r="74" spans="1:13" x14ac:dyDescent="0.4">
      <c r="A74" t="s">
        <v>81</v>
      </c>
      <c r="B74" s="10" t="s">
        <v>11</v>
      </c>
      <c r="H74" s="49"/>
      <c r="I74" s="49"/>
      <c r="J74" s="49"/>
      <c r="K74" s="49"/>
      <c r="L74" s="49"/>
      <c r="M74" s="49"/>
    </row>
    <row r="75" spans="1:13" x14ac:dyDescent="0.4">
      <c r="A75" t="s">
        <v>82</v>
      </c>
      <c r="B75" s="10" t="s">
        <v>111</v>
      </c>
      <c r="H75" s="49"/>
      <c r="I75" s="49"/>
      <c r="J75" s="49"/>
      <c r="K75" s="49"/>
      <c r="L75" s="49"/>
      <c r="M75" s="49"/>
    </row>
    <row r="76" spans="1:13" x14ac:dyDescent="0.4">
      <c r="A76" t="s">
        <v>120</v>
      </c>
      <c r="H76" s="49"/>
      <c r="I76" s="49"/>
      <c r="J76" s="49"/>
      <c r="K76" s="49"/>
      <c r="L76" s="49"/>
      <c r="M76" s="49"/>
    </row>
  </sheetData>
  <mergeCells count="1">
    <mergeCell ref="I65:K65"/>
  </mergeCells>
  <hyperlinks>
    <hyperlink ref="B74" r:id="rId1" xr:uid="{95CBC694-0581-4D50-9574-5F9F43EFE88E}"/>
    <hyperlink ref="B75" r:id="rId2" xr:uid="{BAB34978-CC8B-43E8-A180-17771B8ADC7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D5AD-F7DD-4153-9FDF-3A8CE2F55F2C}">
  <dimension ref="A1:G23"/>
  <sheetViews>
    <sheetView workbookViewId="0">
      <selection activeCell="A6" sqref="A6"/>
    </sheetView>
  </sheetViews>
  <sheetFormatPr baseColWidth="10" defaultColWidth="11.07421875" defaultRowHeight="14.6" x14ac:dyDescent="0.4"/>
  <cols>
    <col min="1" max="1" width="27.69140625" style="13" customWidth="1"/>
    <col min="2" max="2" width="11.84375" style="13" bestFit="1" customWidth="1"/>
    <col min="3" max="3" width="12.3828125" style="13" customWidth="1"/>
    <col min="4" max="4" width="11.921875" style="13" customWidth="1"/>
    <col min="5" max="5" width="11.07421875" style="13"/>
    <col min="6" max="6" width="11.84375" style="13" bestFit="1" customWidth="1"/>
    <col min="7" max="16384" width="11.07421875" style="13"/>
  </cols>
  <sheetData>
    <row r="1" spans="1:4" x14ac:dyDescent="0.4">
      <c r="A1" s="12" t="s">
        <v>15</v>
      </c>
      <c r="B1" s="12" t="s">
        <v>74</v>
      </c>
      <c r="C1" s="12" t="s">
        <v>126</v>
      </c>
      <c r="D1" s="12" t="s">
        <v>77</v>
      </c>
    </row>
    <row r="2" spans="1:4" x14ac:dyDescent="0.4">
      <c r="A2" s="11" t="s">
        <v>143</v>
      </c>
      <c r="B2" s="11">
        <v>2.2000000000000002</v>
      </c>
      <c r="C2" s="11"/>
      <c r="D2" s="11"/>
    </row>
    <row r="3" spans="1:4" x14ac:dyDescent="0.4">
      <c r="A3" s="11" t="s">
        <v>144</v>
      </c>
      <c r="B3" s="11"/>
      <c r="C3" s="63">
        <v>4525.4861916551599</v>
      </c>
      <c r="D3" s="63">
        <v>3.94778101992449</v>
      </c>
    </row>
    <row r="4" spans="1:4" x14ac:dyDescent="0.4">
      <c r="A4" s="11" t="s">
        <v>145</v>
      </c>
      <c r="B4" s="11">
        <v>2.5</v>
      </c>
      <c r="C4" s="11"/>
      <c r="D4" s="11"/>
    </row>
    <row r="5" spans="1:4" x14ac:dyDescent="0.4">
      <c r="A5" s="11"/>
      <c r="B5" s="11"/>
      <c r="C5" s="11"/>
      <c r="D5" s="11"/>
    </row>
    <row r="6" spans="1:4" x14ac:dyDescent="0.4">
      <c r="A6" s="62" t="s">
        <v>146</v>
      </c>
      <c r="B6" s="62">
        <v>0.3</v>
      </c>
      <c r="C6" s="62"/>
      <c r="D6" s="62"/>
    </row>
    <row r="7" spans="1:4" x14ac:dyDescent="0.4">
      <c r="A7" s="62" t="s">
        <v>147</v>
      </c>
      <c r="B7" s="62"/>
      <c r="C7" s="62"/>
      <c r="D7" s="62"/>
    </row>
    <row r="8" spans="1:4" x14ac:dyDescent="0.4">
      <c r="A8" s="62" t="s">
        <v>148</v>
      </c>
      <c r="B8" s="62">
        <v>0.5</v>
      </c>
      <c r="C8" s="62"/>
      <c r="D8" s="62"/>
    </row>
    <row r="9" spans="1:4" x14ac:dyDescent="0.4">
      <c r="A9" s="11" t="s">
        <v>0</v>
      </c>
      <c r="B9" s="11" t="s">
        <v>132</v>
      </c>
      <c r="C9" s="11" t="s">
        <v>38</v>
      </c>
      <c r="D9" s="11" t="s">
        <v>32</v>
      </c>
    </row>
    <row r="11" spans="1:4" x14ac:dyDescent="0.4">
      <c r="A11" s="14" t="s">
        <v>140</v>
      </c>
      <c r="B11" s="14">
        <f>(B2*Population!$C$31*0.000001)*1000</f>
        <v>149.41769260000001</v>
      </c>
      <c r="C11" s="14"/>
      <c r="D11" s="14"/>
    </row>
    <row r="12" spans="1:4" x14ac:dyDescent="0.4">
      <c r="A12" s="14" t="s">
        <v>139</v>
      </c>
      <c r="B12" s="14">
        <f>(B3*Population!$C$31*0.000001)*1000</f>
        <v>0</v>
      </c>
      <c r="C12" s="14">
        <f>(C3*Population!$C$31*0.000000001*1000)</f>
        <v>307.35804756830697</v>
      </c>
      <c r="D12" s="14">
        <f>(D3*Population!$C$31*0.000001)*1000</f>
        <v>268.12196858508719</v>
      </c>
    </row>
    <row r="13" spans="1:4" x14ac:dyDescent="0.4">
      <c r="A13" s="14" t="s">
        <v>141</v>
      </c>
      <c r="B13" s="14">
        <f>(B4*Population!$C$31*0.000001)*1000</f>
        <v>169.79283250000003</v>
      </c>
      <c r="C13" s="14"/>
      <c r="D13" s="14"/>
    </row>
    <row r="14" spans="1:4" x14ac:dyDescent="0.4">
      <c r="A14" s="14"/>
      <c r="B14" s="14"/>
      <c r="C14" s="14"/>
      <c r="D14" s="14"/>
    </row>
    <row r="15" spans="1:4" x14ac:dyDescent="0.4">
      <c r="A15" s="14" t="s">
        <v>137</v>
      </c>
      <c r="B15" s="14">
        <f>(B6*Population!$C$62*0.000001)*1000</f>
        <v>21.266045399999999</v>
      </c>
      <c r="C15" s="14"/>
      <c r="D15" s="14"/>
    </row>
    <row r="16" spans="1:4" x14ac:dyDescent="0.4">
      <c r="A16" s="14" t="s">
        <v>136</v>
      </c>
      <c r="B16" s="14">
        <f>(B7*Population!$C$62*0.000001)*1000</f>
        <v>0</v>
      </c>
      <c r="C16" s="14"/>
      <c r="D16" s="14"/>
    </row>
    <row r="17" spans="1:7" x14ac:dyDescent="0.4">
      <c r="A17" s="14" t="s">
        <v>138</v>
      </c>
      <c r="B17" s="14">
        <f>(B8*Population!$C$62*0.000001)*1000</f>
        <v>35.443408999999996</v>
      </c>
      <c r="C17" s="14"/>
      <c r="D17" s="14"/>
    </row>
    <row r="18" spans="1:7" x14ac:dyDescent="0.4">
      <c r="A18" s="14" t="s">
        <v>0</v>
      </c>
      <c r="B18" s="14" t="s">
        <v>123</v>
      </c>
      <c r="C18" s="14" t="s">
        <v>121</v>
      </c>
      <c r="D18" s="14" t="s">
        <v>17</v>
      </c>
    </row>
    <row r="19" spans="1:7" x14ac:dyDescent="0.4">
      <c r="F19" s="13">
        <f>11000000000/(Population!C31*1000)</f>
        <v>161.96207811068822</v>
      </c>
      <c r="G19" s="13" t="e">
        <f>F19/#REF!</f>
        <v>#REF!</v>
      </c>
    </row>
    <row r="20" spans="1:7" x14ac:dyDescent="0.4">
      <c r="A20" s="14" t="s">
        <v>142</v>
      </c>
      <c r="B20" s="61">
        <f>(B3*Population!$C$31*0.000001)*1000</f>
        <v>0</v>
      </c>
      <c r="C20" s="61">
        <f>(C3*Population!C31*1000*0.000000001)</f>
        <v>307.35804756830703</v>
      </c>
      <c r="D20" s="61">
        <f>(D3*Population!C31*0.000001)*1000</f>
        <v>268.12196858508719</v>
      </c>
      <c r="F20" s="13">
        <f>373*1000000000/(Population!C31*1000)</f>
        <v>5491.9868304806096</v>
      </c>
      <c r="G20" s="13">
        <f>F20/C3</f>
        <v>1.2135683544030349</v>
      </c>
    </row>
    <row r="22" spans="1:7" x14ac:dyDescent="0.4">
      <c r="A22" s="49" t="s">
        <v>134</v>
      </c>
      <c r="B22" s="10" t="s">
        <v>133</v>
      </c>
    </row>
    <row r="23" spans="1:7" x14ac:dyDescent="0.4">
      <c r="A23" s="13" t="s">
        <v>135</v>
      </c>
      <c r="B23" s="67" t="s">
        <v>33</v>
      </c>
      <c r="C23" s="68"/>
      <c r="D23" s="68"/>
    </row>
  </sheetData>
  <mergeCells count="1">
    <mergeCell ref="B23:D23"/>
  </mergeCells>
  <hyperlinks>
    <hyperlink ref="B23" r:id="rId1" xr:uid="{D04949F0-64E8-488B-9B04-608012ED57AD}"/>
    <hyperlink ref="B22" r:id="rId2" location="erladc3ads5" xr:uid="{E6D5DD1C-4947-48F0-8B3C-54EEE46D8BF3}"/>
  </hyperlinks>
  <pageMargins left="0.7" right="0.7" top="0.75" bottom="0.75" header="0.3" footer="0.3"/>
  <pageSetup paperSize="9"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75E4-DA25-4A08-8974-1A31A91FD529}">
  <dimension ref="A1:E20"/>
  <sheetViews>
    <sheetView workbookViewId="0">
      <selection sqref="A1:B8"/>
    </sheetView>
  </sheetViews>
  <sheetFormatPr baseColWidth="10" defaultColWidth="11.07421875" defaultRowHeight="14.6" x14ac:dyDescent="0.4"/>
  <cols>
    <col min="1" max="1" width="27.69140625" style="13" customWidth="1"/>
    <col min="2" max="2" width="11.84375" style="13" bestFit="1" customWidth="1"/>
    <col min="3" max="4" width="12.3828125" style="13" customWidth="1"/>
    <col min="5" max="5" width="11.921875" style="13" customWidth="1"/>
    <col min="6" max="16384" width="11.07421875" style="13"/>
  </cols>
  <sheetData>
    <row r="1" spans="1:5" x14ac:dyDescent="0.4">
      <c r="A1" s="12" t="s">
        <v>15</v>
      </c>
      <c r="B1" s="12" t="s">
        <v>74</v>
      </c>
      <c r="C1" s="12" t="s">
        <v>78</v>
      </c>
      <c r="D1" s="12" t="s">
        <v>126</v>
      </c>
      <c r="E1" s="12" t="s">
        <v>77</v>
      </c>
    </row>
    <row r="2" spans="1:5" x14ac:dyDescent="0.4">
      <c r="A2" s="11" t="s">
        <v>39</v>
      </c>
      <c r="B2" s="11">
        <v>2.5676942899999999</v>
      </c>
      <c r="C2" s="11">
        <v>145.30000000000001</v>
      </c>
      <c r="D2" s="11">
        <f xml:space="preserve"> 4.53*1000</f>
        <v>4530</v>
      </c>
      <c r="E2" s="11">
        <v>3.95</v>
      </c>
    </row>
    <row r="3" spans="1:5" x14ac:dyDescent="0.4">
      <c r="A3" s="11" t="s">
        <v>40</v>
      </c>
      <c r="B3" s="11">
        <v>2.2045302900000001</v>
      </c>
      <c r="C3" s="11">
        <v>140.30000000000001</v>
      </c>
      <c r="D3" s="11">
        <f xml:space="preserve"> 4.21 *1000</f>
        <v>4210</v>
      </c>
      <c r="E3" s="11">
        <v>3.67</v>
      </c>
    </row>
    <row r="4" spans="1:5" x14ac:dyDescent="0.4">
      <c r="A4" s="11" t="s">
        <v>131</v>
      </c>
      <c r="B4" s="11">
        <v>2.47523336291431</v>
      </c>
      <c r="C4" s="11"/>
      <c r="D4" s="11"/>
      <c r="E4" s="11"/>
    </row>
    <row r="5" spans="1:5" x14ac:dyDescent="0.4">
      <c r="A5" s="11" t="s">
        <v>127</v>
      </c>
      <c r="B5" s="11">
        <v>0.50285615693242003</v>
      </c>
      <c r="C5" s="11"/>
      <c r="D5" s="11"/>
      <c r="E5" s="11"/>
    </row>
    <row r="6" spans="1:5" x14ac:dyDescent="0.4">
      <c r="A6" s="11" t="s">
        <v>129</v>
      </c>
      <c r="B6" s="11">
        <v>0.32898282460362099</v>
      </c>
      <c r="C6" s="11"/>
      <c r="D6" s="11"/>
      <c r="E6" s="11"/>
    </row>
    <row r="7" spans="1:5" x14ac:dyDescent="0.4">
      <c r="A7" s="11" t="s">
        <v>130</v>
      </c>
      <c r="B7" s="11">
        <v>0.47277171090592901</v>
      </c>
      <c r="C7" s="11"/>
      <c r="D7" s="11"/>
      <c r="E7" s="11"/>
    </row>
    <row r="8" spans="1:5" x14ac:dyDescent="0.4">
      <c r="A8" s="11" t="s">
        <v>128</v>
      </c>
      <c r="B8" s="11">
        <v>1.9231774974899101</v>
      </c>
      <c r="C8" s="11"/>
      <c r="D8" s="11"/>
      <c r="E8" s="11"/>
    </row>
    <row r="9" spans="1:5" x14ac:dyDescent="0.4">
      <c r="A9" s="11" t="s">
        <v>0</v>
      </c>
      <c r="B9" s="11" t="s">
        <v>132</v>
      </c>
      <c r="C9" s="11" t="s">
        <v>31</v>
      </c>
      <c r="D9" s="11" t="s">
        <v>38</v>
      </c>
      <c r="E9" s="11" t="s">
        <v>32</v>
      </c>
    </row>
    <row r="11" spans="1:5" x14ac:dyDescent="0.4">
      <c r="A11" s="13" t="s">
        <v>36</v>
      </c>
    </row>
    <row r="12" spans="1:5" x14ac:dyDescent="0.4">
      <c r="A12" s="13" t="s">
        <v>34</v>
      </c>
      <c r="B12" s="13">
        <v>3.9404604370967649</v>
      </c>
      <c r="C12" s="13">
        <v>205.43626131827909</v>
      </c>
      <c r="D12" s="13">
        <f>3036.5975761951</f>
        <v>3036.5975761950999</v>
      </c>
      <c r="E12" s="13">
        <v>4.8</v>
      </c>
    </row>
    <row r="13" spans="1:5" x14ac:dyDescent="0.4">
      <c r="A13" s="13" t="s">
        <v>35</v>
      </c>
      <c r="B13" s="13">
        <v>1.8456474232498501</v>
      </c>
      <c r="C13" s="13">
        <v>198.12008644674611</v>
      </c>
      <c r="D13" s="13">
        <f>2811.06984272459</f>
        <v>2811.0698427245902</v>
      </c>
      <c r="E13" s="13">
        <v>3.239875298796179</v>
      </c>
    </row>
    <row r="14" spans="1:5" x14ac:dyDescent="0.4">
      <c r="A14" s="13" t="s">
        <v>0</v>
      </c>
      <c r="B14" s="13" t="s">
        <v>132</v>
      </c>
      <c r="C14" s="13" t="s">
        <v>31</v>
      </c>
      <c r="D14" s="13" t="s">
        <v>38</v>
      </c>
      <c r="E14" s="13" t="s">
        <v>32</v>
      </c>
    </row>
    <row r="16" spans="1:5" x14ac:dyDescent="0.4">
      <c r="A16" s="14" t="s">
        <v>29</v>
      </c>
      <c r="B16" s="61">
        <f>(B2*Population!$C$31*0.000001)*1000</f>
        <v>174.39043459727054</v>
      </c>
      <c r="C16" s="61">
        <f>C2*Population!C31*1000*0.000000001</f>
        <v>9.8683594249000013</v>
      </c>
      <c r="D16" s="61">
        <f>(D2*Population!C31*1000*0.000000001)</f>
        <v>307.66461249000002</v>
      </c>
      <c r="E16" s="61">
        <f>(E2*Population!C31*0.000001)*1000</f>
        <v>268.27267535000004</v>
      </c>
    </row>
    <row r="17" spans="1:5" x14ac:dyDescent="0.4">
      <c r="A17" s="14" t="s">
        <v>30</v>
      </c>
      <c r="B17" s="61">
        <f>(B3*Population!$C$31*0.000001)*1000</f>
        <v>149.72537690845857</v>
      </c>
      <c r="C17" s="61">
        <f>(C3*Population!C31*0.000001)</f>
        <v>9.5287737599000017</v>
      </c>
      <c r="D17" s="61">
        <f>(D3*Population!C31*0.000000001)*1000</f>
        <v>285.93112993000005</v>
      </c>
      <c r="E17" s="61">
        <f>(E3*Population!C31*0.000001)*1000</f>
        <v>249.25587810999997</v>
      </c>
    </row>
    <row r="18" spans="1:5" x14ac:dyDescent="0.4">
      <c r="A18" s="14" t="s">
        <v>0</v>
      </c>
      <c r="B18" s="14" t="s">
        <v>123</v>
      </c>
      <c r="C18" s="14" t="s">
        <v>124</v>
      </c>
      <c r="D18" s="14" t="s">
        <v>121</v>
      </c>
      <c r="E18" s="14" t="s">
        <v>17</v>
      </c>
    </row>
    <row r="20" spans="1:5" x14ac:dyDescent="0.4">
      <c r="A20" s="13" t="s">
        <v>6</v>
      </c>
      <c r="B20" s="67" t="s">
        <v>33</v>
      </c>
      <c r="C20" s="68"/>
      <c r="D20" s="68"/>
      <c r="E20" s="68"/>
    </row>
  </sheetData>
  <mergeCells count="1">
    <mergeCell ref="B20:E20"/>
  </mergeCells>
  <hyperlinks>
    <hyperlink ref="B20" r:id="rId1" xr:uid="{690E7B6F-16A8-495D-9B9E-E651E414B818}"/>
  </hyperlinks>
  <pageMargins left="0.7" right="0.7" top="0.75" bottom="0.75" header="0.3" footer="0.3"/>
  <pageSetup paperSize="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BEB1-58EA-414F-91E0-ADFFF27E94F9}">
  <dimension ref="A2:U6"/>
  <sheetViews>
    <sheetView topLeftCell="K1" workbookViewId="0">
      <selection activeCell="U5" sqref="U5"/>
    </sheetView>
  </sheetViews>
  <sheetFormatPr baseColWidth="10" defaultRowHeight="14.6" x14ac:dyDescent="0.4"/>
  <cols>
    <col min="1" max="1" width="11.07421875" style="13"/>
  </cols>
  <sheetData>
    <row r="2" spans="1:21" ht="16.5" customHeight="1" x14ac:dyDescent="0.4">
      <c r="B2" s="73" t="s">
        <v>37</v>
      </c>
      <c r="C2" s="73"/>
      <c r="D2" s="73"/>
      <c r="E2" s="74" t="s">
        <v>41</v>
      </c>
      <c r="F2" s="74"/>
      <c r="G2" s="74"/>
      <c r="H2" s="73" t="s">
        <v>42</v>
      </c>
      <c r="I2" s="73"/>
      <c r="J2" s="73"/>
      <c r="K2" s="74" t="s">
        <v>43</v>
      </c>
      <c r="L2" s="74"/>
      <c r="M2" s="75" t="s">
        <v>44</v>
      </c>
      <c r="N2" s="69" t="s">
        <v>45</v>
      </c>
      <c r="O2" s="73" t="s">
        <v>46</v>
      </c>
      <c r="P2" s="73"/>
      <c r="Q2" s="73"/>
      <c r="R2" s="74" t="s">
        <v>47</v>
      </c>
      <c r="S2" s="74"/>
      <c r="T2" s="76" t="s">
        <v>66</v>
      </c>
      <c r="U2" s="72" t="s">
        <v>67</v>
      </c>
    </row>
    <row r="3" spans="1:21" ht="17.149999999999999" x14ac:dyDescent="0.4">
      <c r="B3" s="70" t="s">
        <v>48</v>
      </c>
      <c r="C3" s="70" t="s">
        <v>49</v>
      </c>
      <c r="D3" s="70" t="s">
        <v>50</v>
      </c>
      <c r="E3" s="71" t="s">
        <v>51</v>
      </c>
      <c r="F3" s="71" t="s">
        <v>52</v>
      </c>
      <c r="G3" s="71" t="s">
        <v>53</v>
      </c>
      <c r="H3" s="70" t="s">
        <v>54</v>
      </c>
      <c r="I3" s="70" t="s">
        <v>55</v>
      </c>
      <c r="J3" s="70" t="s">
        <v>56</v>
      </c>
      <c r="K3" s="71" t="s">
        <v>57</v>
      </c>
      <c r="L3" s="71" t="s">
        <v>58</v>
      </c>
      <c r="M3" s="75"/>
      <c r="N3" s="69"/>
      <c r="O3" s="70" t="s">
        <v>59</v>
      </c>
      <c r="P3" s="70" t="s">
        <v>60</v>
      </c>
      <c r="Q3" s="20" t="s">
        <v>61</v>
      </c>
      <c r="R3" s="71" t="s">
        <v>63</v>
      </c>
      <c r="S3" s="71" t="s">
        <v>64</v>
      </c>
      <c r="T3" s="76"/>
      <c r="U3" s="72"/>
    </row>
    <row r="4" spans="1:21" ht="38.25" customHeight="1" x14ac:dyDescent="0.4">
      <c r="B4" s="70"/>
      <c r="C4" s="70"/>
      <c r="D4" s="70"/>
      <c r="E4" s="71"/>
      <c r="F4" s="71"/>
      <c r="G4" s="71"/>
      <c r="H4" s="70"/>
      <c r="I4" s="70"/>
      <c r="J4" s="70"/>
      <c r="K4" s="71"/>
      <c r="L4" s="71"/>
      <c r="M4" s="75"/>
      <c r="N4" s="69"/>
      <c r="O4" s="70"/>
      <c r="P4" s="70"/>
      <c r="Q4" s="20" t="s">
        <v>62</v>
      </c>
      <c r="R4" s="71"/>
      <c r="S4" s="71"/>
      <c r="T4" s="76"/>
      <c r="U4" s="72"/>
    </row>
    <row r="5" spans="1:21" x14ac:dyDescent="0.4">
      <c r="A5" s="13" t="s">
        <v>65</v>
      </c>
      <c r="B5" s="21">
        <v>2.7</v>
      </c>
      <c r="C5" s="22">
        <v>0.3</v>
      </c>
      <c r="D5" s="22">
        <v>0.2</v>
      </c>
      <c r="E5" s="23">
        <v>0.8</v>
      </c>
      <c r="F5" s="23">
        <v>0.7</v>
      </c>
      <c r="G5" s="23">
        <v>0</v>
      </c>
      <c r="H5" s="22">
        <v>0.2</v>
      </c>
      <c r="I5" s="22">
        <v>1.3</v>
      </c>
      <c r="J5" s="22">
        <v>0.2</v>
      </c>
      <c r="K5" s="23">
        <v>0.3</v>
      </c>
      <c r="L5" s="23">
        <v>0.3</v>
      </c>
      <c r="M5" s="22">
        <v>1.4</v>
      </c>
      <c r="N5" s="23">
        <v>0.4</v>
      </c>
      <c r="O5" s="22">
        <v>0</v>
      </c>
      <c r="P5" s="22">
        <v>0.1</v>
      </c>
      <c r="Q5" s="22">
        <v>0.4</v>
      </c>
      <c r="R5" s="23">
        <v>2.2999999999999998</v>
      </c>
      <c r="S5" s="23">
        <v>0.7</v>
      </c>
      <c r="T5" s="22">
        <v>3.3</v>
      </c>
      <c r="U5" s="24">
        <f>SUM(B5:T5)</f>
        <v>15.600000000000001</v>
      </c>
    </row>
    <row r="6" spans="1:21" x14ac:dyDescent="0.4">
      <c r="A6" s="13" t="s">
        <v>4</v>
      </c>
    </row>
  </sheetData>
  <mergeCells count="25">
    <mergeCell ref="G3:G4"/>
    <mergeCell ref="H3:H4"/>
    <mergeCell ref="I3:I4"/>
    <mergeCell ref="B2:D2"/>
    <mergeCell ref="E2:G2"/>
    <mergeCell ref="H2:J2"/>
    <mergeCell ref="B3:B4"/>
    <mergeCell ref="C3:C4"/>
    <mergeCell ref="D3:D4"/>
    <mergeCell ref="E3:E4"/>
    <mergeCell ref="F3:F4"/>
    <mergeCell ref="N2:N4"/>
    <mergeCell ref="J3:J4"/>
    <mergeCell ref="K3:K4"/>
    <mergeCell ref="L3:L4"/>
    <mergeCell ref="U2:U4"/>
    <mergeCell ref="O2:Q2"/>
    <mergeCell ref="R2:S2"/>
    <mergeCell ref="K2:L2"/>
    <mergeCell ref="M2:M4"/>
    <mergeCell ref="O3:O4"/>
    <mergeCell ref="P3:P4"/>
    <mergeCell ref="R3:R4"/>
    <mergeCell ref="S3:S4"/>
    <mergeCell ref="T2:T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Synthèse agri</vt:lpstr>
      <vt:lpstr>Population</vt:lpstr>
      <vt:lpstr>Capacité</vt:lpstr>
      <vt:lpstr>DLS</vt:lpstr>
      <vt:lpstr>DLS bis</vt:lpstr>
      <vt:lpstr>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</dc:creator>
  <cp:lastModifiedBy>Arnaud Destarac (Student at CentraleSupelec)</cp:lastModifiedBy>
  <dcterms:created xsi:type="dcterms:W3CDTF">2015-06-05T18:17:20Z</dcterms:created>
  <dcterms:modified xsi:type="dcterms:W3CDTF">2026-10-29T15:20:00Z</dcterms:modified>
</cp:coreProperties>
</file>