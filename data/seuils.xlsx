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Arnaud\Documents\PlaneFR\data\"/>
    </mc:Choice>
  </mc:AlternateContent>
  <xr:revisionPtr revIDLastSave="0" documentId="13_ncr:1_{5C70F14F-3361-4CDE-8AB9-8F520D3CBC08}" xr6:coauthVersionLast="47" xr6:coauthVersionMax="47" xr10:uidLastSave="{00000000-0000-0000-0000-000000000000}"/>
  <bookViews>
    <workbookView xWindow="-98" yWindow="8002" windowWidth="14595" windowHeight="8745" xr2:uid="{00000000-000D-0000-FFFF-FFFF00000000}"/>
  </bookViews>
  <sheets>
    <sheet name="Synthèse" sheetId="9" r:id="rId1"/>
    <sheet name="Synthèse v2" sheetId="1" r:id="rId2"/>
    <sheet name="DLS" sheetId="5" r:id="rId3"/>
    <sheet name="DLE" sheetId="7" r:id="rId4"/>
    <sheet name="Population" sheetId="2" r:id="rId5"/>
    <sheet name="Capacité" sheetId="3" r:id="rId6"/>
    <sheet name="Besoins" sheetId="6" r:id="rId7"/>
    <sheet name="Feuil1" sheetId="8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115" i="2" l="1"/>
  <c r="C115" i="2"/>
  <c r="G8" i="9" s="1"/>
  <c r="B115" i="2"/>
  <c r="F17" i="9" s="1"/>
  <c r="G17" i="9"/>
  <c r="G16" i="9"/>
  <c r="G12" i="9"/>
  <c r="K6" i="9"/>
  <c r="B3" i="9"/>
  <c r="B2" i="9"/>
  <c r="D16" i="9" l="1"/>
  <c r="B17" i="9"/>
  <c r="E16" i="9"/>
  <c r="F16" i="9"/>
  <c r="I16" i="9"/>
  <c r="C17" i="9"/>
  <c r="D17" i="9"/>
  <c r="G9" i="9"/>
  <c r="E17" i="9"/>
  <c r="H17" i="9"/>
  <c r="B16" i="9"/>
  <c r="I17" i="9"/>
  <c r="C16" i="9"/>
  <c r="H16" i="9"/>
  <c r="M46" i="3"/>
  <c r="G38" i="3"/>
  <c r="H38" i="3"/>
  <c r="F38" i="3"/>
  <c r="F5" i="6"/>
  <c r="F3" i="6"/>
  <c r="F2" i="6"/>
  <c r="K5" i="1"/>
  <c r="D113" i="2"/>
  <c r="C113" i="2"/>
  <c r="K3" i="9" s="1"/>
  <c r="L2" i="9" s="1"/>
  <c r="K2" i="9" l="1"/>
  <c r="K3" i="1"/>
  <c r="K2" i="1" s="1"/>
  <c r="G39" i="3"/>
  <c r="H39" i="3"/>
  <c r="A3" i="8"/>
  <c r="A2" i="8"/>
  <c r="G15" i="5"/>
  <c r="F15" i="5"/>
  <c r="E15" i="5"/>
  <c r="D15" i="5"/>
  <c r="C15" i="5"/>
  <c r="B15" i="5"/>
  <c r="B10" i="5"/>
  <c r="C10" i="5"/>
  <c r="E10" i="5"/>
  <c r="B4" i="5"/>
  <c r="C4" i="5"/>
  <c r="E4" i="5"/>
  <c r="F8" i="5"/>
  <c r="F10" i="5" s="1"/>
  <c r="F9" i="5"/>
  <c r="F3" i="5"/>
  <c r="U5" i="7"/>
  <c r="G7" i="1"/>
  <c r="I16" i="1"/>
  <c r="I15" i="1"/>
  <c r="D9" i="5"/>
  <c r="G9" i="5" s="1"/>
  <c r="D8" i="5"/>
  <c r="G8" i="5" s="1"/>
  <c r="D3" i="5"/>
  <c r="G3" i="5" s="1"/>
  <c r="D2" i="5"/>
  <c r="G2" i="5" s="1"/>
  <c r="G13" i="5" s="1"/>
  <c r="G16" i="1"/>
  <c r="C16" i="1"/>
  <c r="E16" i="1"/>
  <c r="F16" i="1"/>
  <c r="D16" i="1"/>
  <c r="H15" i="1"/>
  <c r="F9" i="6"/>
  <c r="F8" i="6" s="1"/>
  <c r="H8" i="6" s="1"/>
  <c r="L2" i="1" l="1"/>
  <c r="A16" i="8"/>
  <c r="A15" i="8"/>
  <c r="G10" i="5"/>
  <c r="G5" i="6" s="1"/>
  <c r="D4" i="5"/>
  <c r="G4" i="5"/>
  <c r="D10" i="5"/>
  <c r="F2" i="5"/>
  <c r="G3" i="6"/>
  <c r="G14" i="5"/>
  <c r="D13" i="5"/>
  <c r="D14" i="5"/>
  <c r="G2" i="6"/>
  <c r="I25" i="1" l="1"/>
  <c r="I27" i="9"/>
  <c r="I26" i="9"/>
  <c r="F4" i="5"/>
  <c r="I24" i="1"/>
  <c r="E3" i="6"/>
  <c r="D3" i="6"/>
  <c r="C3" i="6"/>
  <c r="B3" i="6"/>
  <c r="E2" i="6"/>
  <c r="D2" i="6"/>
  <c r="C2" i="6"/>
  <c r="C5" i="6"/>
  <c r="E5" i="6"/>
  <c r="B5" i="6"/>
  <c r="B2" i="6"/>
  <c r="G44" i="3"/>
  <c r="G8" i="1"/>
  <c r="F14" i="5"/>
  <c r="F13" i="5"/>
  <c r="G11" i="1"/>
  <c r="C13" i="5"/>
  <c r="C14" i="5"/>
  <c r="E14" i="5"/>
  <c r="B14" i="5"/>
  <c r="E13" i="5"/>
  <c r="B13" i="5"/>
  <c r="B3" i="1"/>
  <c r="B16" i="1" s="1"/>
  <c r="B2" i="1"/>
  <c r="H16" i="1"/>
  <c r="D15" i="1"/>
  <c r="F15" i="1"/>
  <c r="E15" i="1"/>
  <c r="C15" i="1"/>
  <c r="G15" i="1"/>
  <c r="F44" i="3"/>
  <c r="H44" i="3"/>
  <c r="H117" i="2"/>
  <c r="I117" i="2"/>
  <c r="G117" i="2"/>
  <c r="G118" i="2" s="1"/>
  <c r="H115" i="2"/>
  <c r="I115" i="2"/>
  <c r="G115" i="2"/>
  <c r="G116" i="2" s="1"/>
  <c r="B116" i="2"/>
  <c r="I114" i="2"/>
  <c r="G114" i="2"/>
  <c r="H114" i="2"/>
  <c r="B114" i="2"/>
  <c r="C114" i="2"/>
  <c r="D114" i="2"/>
  <c r="H3" i="3"/>
  <c r="H4" i="3"/>
  <c r="H5" i="3"/>
  <c r="H6" i="3"/>
  <c r="H7" i="3"/>
  <c r="H8" i="3"/>
  <c r="H9" i="3"/>
  <c r="H10" i="3"/>
  <c r="H11" i="3"/>
  <c r="H12" i="3"/>
  <c r="H13" i="3"/>
  <c r="H14" i="3"/>
  <c r="H15" i="3"/>
  <c r="H16" i="3"/>
  <c r="H17" i="3"/>
  <c r="H18" i="3"/>
  <c r="H19" i="3"/>
  <c r="H20" i="3"/>
  <c r="H21" i="3"/>
  <c r="H22" i="3"/>
  <c r="H23" i="3"/>
  <c r="H24" i="3"/>
  <c r="H25" i="3"/>
  <c r="H26" i="3"/>
  <c r="H27" i="3"/>
  <c r="H28" i="3"/>
  <c r="H29" i="3"/>
  <c r="H30" i="3"/>
  <c r="H31" i="3"/>
  <c r="H32" i="3"/>
  <c r="H33" i="3"/>
  <c r="H34" i="3"/>
  <c r="H35" i="3"/>
  <c r="H36" i="3"/>
  <c r="H2" i="3"/>
  <c r="F3" i="3"/>
  <c r="F4" i="3"/>
  <c r="F5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2" i="3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" i="3"/>
  <c r="G2" i="3"/>
  <c r="C117" i="2"/>
  <c r="D117" i="2"/>
  <c r="B117" i="2"/>
  <c r="B118" i="2" s="1"/>
  <c r="H118" i="2" l="1"/>
  <c r="I118" i="2"/>
  <c r="B27" i="9"/>
  <c r="B26" i="9"/>
  <c r="A25" i="8"/>
  <c r="A24" i="8"/>
  <c r="H27" i="9"/>
  <c r="H26" i="9"/>
  <c r="C26" i="9"/>
  <c r="C27" i="9"/>
  <c r="B25" i="1"/>
  <c r="B24" i="1"/>
  <c r="H25" i="1"/>
  <c r="H24" i="1"/>
  <c r="C25" i="1"/>
  <c r="C24" i="1"/>
  <c r="D5" i="6"/>
  <c r="H45" i="3"/>
  <c r="G45" i="3"/>
  <c r="F45" i="3"/>
  <c r="B15" i="1"/>
  <c r="H116" i="2"/>
  <c r="I116" i="2"/>
  <c r="F40" i="3"/>
  <c r="G40" i="3"/>
  <c r="H40" i="3"/>
  <c r="C118" i="2"/>
  <c r="D116" i="2"/>
  <c r="C116" i="2"/>
  <c r="D118" i="2"/>
  <c r="F9" i="9" l="1"/>
  <c r="E9" i="9"/>
  <c r="D9" i="9"/>
  <c r="F8" i="9"/>
  <c r="H9" i="9"/>
  <c r="C9" i="9"/>
  <c r="I8" i="9"/>
  <c r="H8" i="9"/>
  <c r="E8" i="9"/>
  <c r="D8" i="9"/>
  <c r="C8" i="9"/>
  <c r="I9" i="9"/>
  <c r="B8" i="9"/>
  <c r="B9" i="9"/>
  <c r="D7" i="1"/>
  <c r="A8" i="8"/>
  <c r="A7" i="8"/>
  <c r="E7" i="1"/>
  <c r="F7" i="1"/>
  <c r="I8" i="1"/>
  <c r="H8" i="1"/>
  <c r="B7" i="1"/>
  <c r="F8" i="1"/>
  <c r="E8" i="1"/>
  <c r="I7" i="1"/>
  <c r="D8" i="1"/>
  <c r="C8" i="1"/>
  <c r="H7" i="1"/>
  <c r="B8" i="1"/>
  <c r="D25" i="1"/>
  <c r="D27" i="9"/>
  <c r="D26" i="9"/>
  <c r="H41" i="3"/>
  <c r="G41" i="3"/>
  <c r="D24" i="1"/>
  <c r="G42" i="3"/>
  <c r="H21" i="9" s="1"/>
  <c r="H42" i="3"/>
  <c r="F42" i="3"/>
  <c r="F43" i="3" s="1"/>
  <c r="C7" i="1"/>
  <c r="G43" i="3" l="1"/>
  <c r="H19" i="1"/>
  <c r="H43" i="3"/>
  <c r="I21" i="9" l="1"/>
  <c r="D22" i="9"/>
  <c r="B22" i="9"/>
  <c r="G21" i="9"/>
  <c r="F21" i="9"/>
  <c r="E21" i="9"/>
  <c r="D21" i="9"/>
  <c r="I22" i="9"/>
  <c r="C21" i="9"/>
  <c r="H22" i="9"/>
  <c r="B21" i="9"/>
  <c r="F22" i="9"/>
  <c r="E22" i="9"/>
  <c r="C22" i="9"/>
  <c r="G22" i="9"/>
  <c r="A19" i="8"/>
  <c r="A20" i="8"/>
  <c r="H20" i="1"/>
  <c r="E20" i="1"/>
  <c r="C19" i="1"/>
  <c r="C20" i="1"/>
  <c r="I20" i="1"/>
  <c r="D19" i="1"/>
  <c r="F19" i="1"/>
  <c r="G20" i="1"/>
  <c r="E19" i="1"/>
  <c r="F20" i="1"/>
  <c r="G19" i="1"/>
  <c r="D20" i="1"/>
  <c r="I19" i="1"/>
  <c r="B19" i="1"/>
  <c r="B20" i="1"/>
</calcChain>
</file>

<file path=xl/sharedStrings.xml><?xml version="1.0" encoding="utf-8"?>
<sst xmlns="http://schemas.openxmlformats.org/spreadsheetml/2006/main" count="308" uniqueCount="206">
  <si>
    <t>N</t>
  </si>
  <si>
    <t>P</t>
  </si>
  <si>
    <t>GES</t>
  </si>
  <si>
    <t>Eau</t>
  </si>
  <si>
    <t>Biodiv</t>
  </si>
  <si>
    <t>Unité</t>
  </si>
  <si>
    <t>Gt</t>
  </si>
  <si>
    <t>CO2</t>
  </si>
  <si>
    <t>M km2</t>
  </si>
  <si>
    <t>Tg</t>
  </si>
  <si>
    <t>M MSA-loss.ha</t>
  </si>
  <si>
    <t>Matière</t>
  </si>
  <si>
    <t>Energie</t>
  </si>
  <si>
    <t>GJ/hab.</t>
  </si>
  <si>
    <t>Budget national annuel</t>
  </si>
  <si>
    <t>Budget Global annuel</t>
  </si>
  <si>
    <t>Capacité</t>
  </si>
  <si>
    <t>Responsabilité</t>
  </si>
  <si>
    <t>Année</t>
  </si>
  <si>
    <t>Source</t>
  </si>
  <si>
    <t>https://population.un.org/wpp/downloads?folder=Standard%20Projections&amp;group=Most%20used</t>
  </si>
  <si>
    <t>Part mondiale</t>
  </si>
  <si>
    <t>Moyenne 2015-2100</t>
  </si>
  <si>
    <t>1990</t>
  </si>
  <si>
    <t>1991</t>
  </si>
  <si>
    <t>1992</t>
  </si>
  <si>
    <t>1993</t>
  </si>
  <si>
    <t>1994</t>
  </si>
  <si>
    <t>1995</t>
  </si>
  <si>
    <t>1996</t>
  </si>
  <si>
    <t>1997</t>
  </si>
  <si>
    <t>1998</t>
  </si>
  <si>
    <t>1999</t>
  </si>
  <si>
    <t>2000</t>
  </si>
  <si>
    <t>2001</t>
  </si>
  <si>
    <t>2002</t>
  </si>
  <si>
    <t>2003</t>
  </si>
  <si>
    <t>2004</t>
  </si>
  <si>
    <t>2005</t>
  </si>
  <si>
    <t>2006</t>
  </si>
  <si>
    <t>2007</t>
  </si>
  <si>
    <t>2008</t>
  </si>
  <si>
    <t>2009</t>
  </si>
  <si>
    <t>2010</t>
  </si>
  <si>
    <t>2011</t>
  </si>
  <si>
    <t>2012</t>
  </si>
  <si>
    <t>2013</t>
  </si>
  <si>
    <t>2014</t>
  </si>
  <si>
    <t>2015</t>
  </si>
  <si>
    <t>2016</t>
  </si>
  <si>
    <t>2017</t>
  </si>
  <si>
    <t>2018</t>
  </si>
  <si>
    <t>2019</t>
  </si>
  <si>
    <t>2020</t>
  </si>
  <si>
    <t>2021</t>
  </si>
  <si>
    <t>2022</t>
  </si>
  <si>
    <t>2023</t>
  </si>
  <si>
    <t>2024</t>
  </si>
  <si>
    <t>World</t>
  </si>
  <si>
    <t xml:space="preserve">France </t>
  </si>
  <si>
    <t xml:space="preserve">Unité </t>
  </si>
  <si>
    <t>GDP PPP per capita, constant 2021 USD</t>
  </si>
  <si>
    <t>https://data.worldbank.org/indicator/NY.GDP.PCAP.PP.KD?end=2024&amp;name_desc=false&amp;start=1990&amp;view=chart</t>
  </si>
  <si>
    <t>UE</t>
  </si>
  <si>
    <t>Mean 1990-2024</t>
  </si>
  <si>
    <t>Borne Max</t>
  </si>
  <si>
    <t>Borne Min</t>
  </si>
  <si>
    <t>Source bornes</t>
  </si>
  <si>
    <t>https://data.europa.eu/doi/10.2800/890673</t>
  </si>
  <si>
    <t>Transformation</t>
  </si>
  <si>
    <t>Part 2015</t>
  </si>
  <si>
    <t>Part 2019</t>
  </si>
  <si>
    <t>Moyenne 2019-2051</t>
  </si>
  <si>
    <t>Moyenne 2019-2100</t>
  </si>
  <si>
    <t>Pondération 2015</t>
  </si>
  <si>
    <t>Pondération 1990-2024</t>
  </si>
  <si>
    <t>Transfo 2015</t>
  </si>
  <si>
    <t>Limite haute</t>
  </si>
  <si>
    <t>Sols</t>
  </si>
  <si>
    <t>Nom LP</t>
  </si>
  <si>
    <t>km3</t>
  </si>
  <si>
    <t>Mt</t>
  </si>
  <si>
    <t>TJ</t>
  </si>
  <si>
    <t>kg</t>
  </si>
  <si>
    <t>km2</t>
  </si>
  <si>
    <t>Mm3</t>
  </si>
  <si>
    <t>Conversion</t>
  </si>
  <si>
    <t>Gg</t>
  </si>
  <si>
    <t>Unité exiobase</t>
  </si>
  <si>
    <t>Unité affichage</t>
  </si>
  <si>
    <t>TWh</t>
  </si>
  <si>
    <t>Égalité</t>
  </si>
  <si>
    <t>kt</t>
  </si>
  <si>
    <t>Budget annuel par habitant</t>
  </si>
  <si>
    <t>t</t>
  </si>
  <si>
    <t>GJ</t>
  </si>
  <si>
    <t>m3</t>
  </si>
  <si>
    <t>m2</t>
  </si>
  <si>
    <t>Current system technology</t>
  </si>
  <si>
    <t>Efficient scenario</t>
  </si>
  <si>
    <t>m3/hab./an</t>
  </si>
  <si>
    <t>t/hab/an</t>
  </si>
  <si>
    <t>https://www.sciencedirect.com/science/article/pii/S0921800925003027</t>
  </si>
  <si>
    <t>1000km2</t>
  </si>
  <si>
    <t>Égalité (limite haute)</t>
  </si>
  <si>
    <t>Capacité (limite haute)</t>
  </si>
  <si>
    <t>GJ/hab/an</t>
  </si>
  <si>
    <t>https://linkinghub.elsevier.com/retrieve/pii/S0959378020307512</t>
  </si>
  <si>
    <t>Current system technology (p.hab)</t>
  </si>
  <si>
    <t>Efficient scenario (p.hab)</t>
  </si>
  <si>
    <t>Moyennes mondiales</t>
  </si>
  <si>
    <t xml:space="preserve">Besoins </t>
  </si>
  <si>
    <t>Droit au développement</t>
  </si>
  <si>
    <t>Moyenne Monde</t>
  </si>
  <si>
    <t>Poids (moyenne scénarios)</t>
  </si>
  <si>
    <t>Poids (Efficient scenario)</t>
  </si>
  <si>
    <t>Poids (Current system technology)</t>
  </si>
  <si>
    <t>Besoins (limite haute)</t>
  </si>
  <si>
    <t>Nutrition</t>
  </si>
  <si>
    <t>shelter</t>
  </si>
  <si>
    <t>collective services</t>
  </si>
  <si>
    <t>healthcare</t>
  </si>
  <si>
    <t>education</t>
  </si>
  <si>
    <t>clothing</t>
  </si>
  <si>
    <t>agriculture</t>
  </si>
  <si>
    <t>buildings</t>
  </si>
  <si>
    <t>current technology</t>
  </si>
  <si>
    <t>coeff hanafiah</t>
  </si>
  <si>
    <t>1000 MSA.m2</t>
  </si>
  <si>
    <t>0,1 MSA.ha</t>
  </si>
  <si>
    <t>1e-7 M MSA.ha</t>
  </si>
  <si>
    <t>MSA-loss.m2</t>
  </si>
  <si>
    <t>m2/hab.</t>
  </si>
  <si>
    <r>
      <t xml:space="preserve">Current system technology </t>
    </r>
    <r>
      <rPr>
        <sz val="11"/>
        <color rgb="FFFF0000"/>
        <rFont val="Calibri"/>
        <family val="2"/>
        <scheme val="minor"/>
      </rPr>
      <t>(p.hab)</t>
    </r>
  </si>
  <si>
    <r>
      <t xml:space="preserve">Efficient scenario </t>
    </r>
    <r>
      <rPr>
        <sz val="11"/>
        <color rgb="FFFF0000"/>
        <rFont val="Calibri"/>
        <family val="2"/>
        <scheme val="minor"/>
      </rPr>
      <t>(p.hab)</t>
    </r>
  </si>
  <si>
    <t>MSA-loss.ha</t>
  </si>
  <si>
    <t>MSA-loss.ha/hab.</t>
  </si>
  <si>
    <r>
      <t xml:space="preserve">Égalité </t>
    </r>
    <r>
      <rPr>
        <sz val="11"/>
        <color rgb="FFFF0000"/>
        <rFont val="Calibri"/>
        <family val="2"/>
        <scheme val="minor"/>
      </rPr>
      <t>(p. hab)</t>
    </r>
  </si>
  <si>
    <r>
      <t xml:space="preserve">Égalité </t>
    </r>
    <r>
      <rPr>
        <sz val="11"/>
        <color rgb="FFFF0000"/>
        <rFont val="Calibri"/>
        <family val="2"/>
        <scheme val="minor"/>
      </rPr>
      <t xml:space="preserve">(p. hab) </t>
    </r>
    <r>
      <rPr>
        <sz val="11"/>
        <color theme="1"/>
        <rFont val="Calibri"/>
        <family val="2"/>
        <scheme val="minor"/>
      </rPr>
      <t>limite haute</t>
    </r>
  </si>
  <si>
    <t>Shelter &amp; living conditions</t>
  </si>
  <si>
    <t>Hygiene</t>
  </si>
  <si>
    <t>Clothing</t>
  </si>
  <si>
    <t>Healthcare</t>
  </si>
  <si>
    <t>Education</t>
  </si>
  <si>
    <t>Communication and information</t>
  </si>
  <si>
    <t>Mobility</t>
  </si>
  <si>
    <t>Food</t>
  </si>
  <si>
    <t>Cooking appliances</t>
  </si>
  <si>
    <t>Cold Storage</t>
  </si>
  <si>
    <t>House construction</t>
  </si>
  <si>
    <t>Thermal comfort</t>
  </si>
  <si>
    <t>Illumination</t>
  </si>
  <si>
    <t>Water supply</t>
  </si>
  <si>
    <t>Water heating</t>
  </si>
  <si>
    <t>Waste management</t>
  </si>
  <si>
    <t>Clothes</t>
  </si>
  <si>
    <t>Clothes washing</t>
  </si>
  <si>
    <t>Phones</t>
  </si>
  <si>
    <t>Computers</t>
  </si>
  <si>
    <t>ICT networks</t>
  </si>
  <si>
    <t>&amp; data</t>
  </si>
  <si>
    <t>Vehicles</t>
  </si>
  <si>
    <t>Transport infrastructure</t>
  </si>
  <si>
    <t>France</t>
  </si>
  <si>
    <t>Other</t>
  </si>
  <si>
    <t>TOTAL</t>
  </si>
  <si>
    <r>
      <t xml:space="preserve">Moyenne France </t>
    </r>
    <r>
      <rPr>
        <sz val="11"/>
        <color rgb="FFFF0000"/>
        <rFont val="Calibri"/>
        <family val="2"/>
        <scheme val="minor"/>
      </rPr>
      <t>(p.hab)</t>
    </r>
  </si>
  <si>
    <t>Moyenne France</t>
  </si>
  <si>
    <t>1e3 km2</t>
  </si>
  <si>
    <t>1e6 MSA-loss.ha</t>
  </si>
  <si>
    <t>Part 2011</t>
  </si>
  <si>
    <t>ratio</t>
  </si>
  <si>
    <t>USD 2017 (USD/hab/an)</t>
  </si>
  <si>
    <t>Monde</t>
  </si>
  <si>
    <t>Ratio Fr/Monde</t>
  </si>
  <si>
    <t>moyenne 2015-2050</t>
  </si>
  <si>
    <t>SSP1</t>
  </si>
  <si>
    <t>SSP2</t>
  </si>
  <si>
    <t>SSP3</t>
  </si>
  <si>
    <t>SSP4</t>
  </si>
  <si>
    <t>SSP5</t>
  </si>
  <si>
    <t>Moyenne</t>
  </si>
  <si>
    <t>Mt RME</t>
  </si>
  <si>
    <t>MtCO2eq</t>
  </si>
  <si>
    <t>GHG</t>
  </si>
  <si>
    <t>Water</t>
  </si>
  <si>
    <t>Land</t>
  </si>
  <si>
    <t>Energy</t>
  </si>
  <si>
    <t>Materials</t>
  </si>
  <si>
    <t>Biodiversity</t>
  </si>
  <si>
    <t>Gm3</t>
  </si>
  <si>
    <t>Europe</t>
  </si>
  <si>
    <t>Moyenne 2015-2050</t>
  </si>
  <si>
    <t>GtCO2eq</t>
  </si>
  <si>
    <t>Conversion (p.hab)</t>
  </si>
  <si>
    <t>Unité affichage (p.hab)</t>
  </si>
  <si>
    <t>tCO2eq</t>
  </si>
  <si>
    <t>medium variant, 1st july</t>
  </si>
  <si>
    <t>GHG emissions</t>
  </si>
  <si>
    <t>Cropland use</t>
  </si>
  <si>
    <t>N surplus</t>
  </si>
  <si>
    <t>P surplus</t>
  </si>
  <si>
    <t>Final Energy use</t>
  </si>
  <si>
    <t>Raw material consumption</t>
  </si>
  <si>
    <t>Biodiversity loss</t>
  </si>
  <si>
    <t>Blue water consumption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</si>
</sst>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\ ###\ ###\ ##0;\-#\ ###\ ###\ ##0;0"/>
  </numFmts>
  <fonts count="1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9"/>
      <color theme="1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rgb="FF000000"/>
      <name val="Calibri Light"/>
      <family val="2"/>
    </font>
    <font>
      <sz val="10"/>
      <color rgb="FF000000"/>
      <name val="Calibri Light"/>
      <family val="2"/>
    </font>
    <font>
      <sz val="10"/>
      <color theme="1"/>
      <name val="Calibri Light"/>
      <family val="2"/>
    </font>
    <font>
      <sz val="11"/>
      <color theme="1"/>
      <name val="Calibri"/>
      <family val="2"/>
      <charset val="1"/>
    </font>
    <font>
      <b/>
      <sz val="10"/>
      <color rgb="FFFFFFFF"/>
      <name val="Arial"/>
      <charset val="1"/>
    </font>
    <font>
      <sz val="10"/>
      <name val="Arial"/>
      <charset val="1"/>
    </font>
    <font>
      <b/>
      <sz val="10"/>
      <name val="Arial"/>
      <charset val="1"/>
    </font>
  </fonts>
  <fills count="1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A6A6A6"/>
        <bgColor indexed="64"/>
      </patternFill>
    </fill>
    <fill>
      <patternFill patternType="solid">
        <fgColor rgb="FF80808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2E5496"/>
        <bgColor rgb="FF1F3864"/>
      </patternFill>
    </fill>
    <fill>
      <patternFill patternType="solid">
        <fgColor rgb="FFD9E1F2"/>
        <bgColor rgb="FFCCFFFF"/>
      </patternFill>
    </fill>
    <fill>
      <patternFill patternType="solid">
        <fgColor rgb="FF1F3864"/>
        <bgColor rgb="FF333333"/>
      </patternFill>
    </fill>
  </fills>
  <borders count="5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3" fillId="0" borderId="0"/>
    <xf numFmtId="0" fontId="4" fillId="0" borderId="0" applyNumberFormat="0" applyFill="0" applyBorder="0" applyAlignment="0" applyProtection="0"/>
    <xf numFmtId="0" fontId="10" fillId="0" borderId="0"/>
  </cellStyleXfs>
  <cellXfs count="62">
    <xf numFmtId="0" fontId="0" fillId="0" borderId="0" xfId="0"/>
    <xf numFmtId="0" fontId="2" fillId="0" borderId="0" xfId="0" applyFont="1" applyAlignment="1">
      <alignment horizontal="center"/>
    </xf>
    <xf numFmtId="164" fontId="2" fillId="0" borderId="0" xfId="0" applyNumberFormat="1" applyFont="1" applyAlignment="1">
      <alignment horizontal="right"/>
    </xf>
    <xf numFmtId="0" fontId="0" fillId="0" borderId="0" xfId="0" applyAlignment="1">
      <alignment wrapText="1"/>
    </xf>
    <xf numFmtId="164" fontId="0" fillId="0" borderId="0" xfId="0" applyNumberFormat="1"/>
    <xf numFmtId="9" fontId="0" fillId="0" borderId="0" xfId="1" applyFont="1"/>
    <xf numFmtId="0" fontId="0" fillId="0" borderId="0" xfId="1" applyNumberFormat="1" applyFont="1"/>
    <xf numFmtId="0" fontId="0" fillId="2" borderId="0" xfId="1" applyNumberFormat="1" applyFont="1" applyFill="1"/>
    <xf numFmtId="9" fontId="0" fillId="2" borderId="0" xfId="1" applyFont="1" applyFill="1"/>
    <xf numFmtId="164" fontId="0" fillId="2" borderId="0" xfId="0" applyNumberFormat="1" applyFill="1"/>
    <xf numFmtId="0" fontId="0" fillId="2" borderId="0" xfId="0" applyFill="1"/>
    <xf numFmtId="0" fontId="0" fillId="2" borderId="0" xfId="0" applyFill="1" applyAlignment="1">
      <alignment wrapText="1"/>
    </xf>
    <xf numFmtId="0" fontId="0" fillId="0" borderId="0" xfId="0" applyAlignment="1"/>
    <xf numFmtId="0" fontId="3" fillId="0" borderId="0" xfId="2"/>
    <xf numFmtId="11" fontId="0" fillId="0" borderId="0" xfId="0" applyNumberFormat="1"/>
    <xf numFmtId="0" fontId="0" fillId="0" borderId="1" xfId="0" applyBorder="1"/>
    <xf numFmtId="0" fontId="0" fillId="0" borderId="2" xfId="0" applyBorder="1"/>
    <xf numFmtId="0" fontId="0" fillId="3" borderId="1" xfId="0" applyFill="1" applyBorder="1"/>
    <xf numFmtId="0" fontId="0" fillId="3" borderId="2" xfId="0" applyFill="1" applyBorder="1"/>
    <xf numFmtId="0" fontId="0" fillId="0" borderId="3" xfId="0" applyBorder="1"/>
    <xf numFmtId="0" fontId="0" fillId="0" borderId="0" xfId="0" applyBorder="1"/>
    <xf numFmtId="0" fontId="4" fillId="0" borderId="0" xfId="3"/>
    <xf numFmtId="0" fontId="0" fillId="4" borderId="0" xfId="0" applyFill="1"/>
    <xf numFmtId="0" fontId="0" fillId="3" borderId="0" xfId="0" applyFill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11" fontId="0" fillId="0" borderId="0" xfId="0" applyNumberFormat="1"/>
    <xf numFmtId="0" fontId="0" fillId="5" borderId="0" xfId="0" applyFill="1"/>
    <xf numFmtId="0" fontId="0" fillId="4" borderId="3" xfId="0" applyFill="1" applyBorder="1"/>
    <xf numFmtId="0" fontId="0" fillId="4" borderId="2" xfId="0" applyFill="1" applyBorder="1"/>
    <xf numFmtId="0" fontId="0" fillId="4" borderId="1" xfId="0" applyFill="1" applyBorder="1"/>
    <xf numFmtId="0" fontId="0" fillId="6" borderId="3" xfId="0" applyFill="1" applyBorder="1"/>
    <xf numFmtId="0" fontId="0" fillId="6" borderId="0" xfId="0" applyFill="1"/>
    <xf numFmtId="0" fontId="8" fillId="9" borderId="0" xfId="0" applyFont="1" applyFill="1" applyAlignment="1">
      <alignment horizontal="center" vertical="center" textRotation="180" wrapText="1"/>
    </xf>
    <xf numFmtId="0" fontId="9" fillId="10" borderId="0" xfId="0" applyFont="1" applyFill="1" applyAlignment="1">
      <alignment horizontal="center" vertical="center"/>
    </xf>
    <xf numFmtId="0" fontId="8" fillId="10" borderId="0" xfId="0" applyFont="1" applyFill="1" applyAlignment="1">
      <alignment horizontal="center" vertical="center"/>
    </xf>
    <xf numFmtId="0" fontId="8" fillId="11" borderId="0" xfId="0" applyFont="1" applyFill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11" fillId="12" borderId="4" xfId="4" applyFont="1" applyFill="1" applyBorder="1" applyAlignment="1">
      <alignment horizontal="center" vertical="center"/>
    </xf>
    <xf numFmtId="3" fontId="12" fillId="0" borderId="4" xfId="4" applyNumberFormat="1" applyFont="1" applyBorder="1" applyAlignment="1">
      <alignment horizontal="center" vertical="center"/>
    </xf>
    <xf numFmtId="2" fontId="13" fillId="13" borderId="4" xfId="4" applyNumberFormat="1" applyFont="1" applyFill="1" applyBorder="1" applyAlignment="1">
      <alignment horizontal="center" vertical="center"/>
    </xf>
    <xf numFmtId="2" fontId="0" fillId="0" borderId="0" xfId="0" applyNumberFormat="1"/>
    <xf numFmtId="0" fontId="4" fillId="0" borderId="0" xfId="3" applyAlignment="1">
      <alignment horizontal="center"/>
    </xf>
    <xf numFmtId="0" fontId="0" fillId="0" borderId="0" xfId="0" applyAlignment="1">
      <alignment horizontal="center"/>
    </xf>
    <xf numFmtId="0" fontId="8" fillId="7" borderId="0" xfId="0" applyFont="1" applyFill="1" applyAlignment="1">
      <alignment horizontal="center" vertical="center" textRotation="180" wrapText="1"/>
    </xf>
    <xf numFmtId="0" fontId="8" fillId="9" borderId="0" xfId="0" applyFont="1" applyFill="1" applyAlignment="1">
      <alignment horizontal="center" vertical="center" textRotation="180" wrapText="1"/>
    </xf>
    <xf numFmtId="0" fontId="7" fillId="7" borderId="0" xfId="0" applyFont="1" applyFill="1" applyAlignment="1">
      <alignment horizontal="center" vertical="center" wrapText="1"/>
    </xf>
    <xf numFmtId="0" fontId="7" fillId="8" borderId="0" xfId="0" applyFont="1" applyFill="1" applyAlignment="1">
      <alignment horizontal="center" vertical="center" wrapText="1"/>
    </xf>
    <xf numFmtId="0" fontId="7" fillId="8" borderId="0" xfId="0" applyFont="1" applyFill="1" applyAlignment="1">
      <alignment horizontal="center" vertical="center" textRotation="180"/>
    </xf>
    <xf numFmtId="0" fontId="6" fillId="0" borderId="0" xfId="0" applyFont="1" applyAlignment="1">
      <alignment horizontal="center" vertical="center"/>
    </xf>
    <xf numFmtId="0" fontId="7" fillId="9" borderId="0" xfId="0" applyFont="1" applyFill="1" applyAlignment="1">
      <alignment horizontal="center" vertical="center" textRotation="180"/>
    </xf>
    <xf numFmtId="0" fontId="7" fillId="9" borderId="0" xfId="0" applyFont="1" applyFill="1" applyAlignment="1">
      <alignment horizontal="center" vertical="center" textRotation="180" wrapText="1"/>
    </xf>
    <xf numFmtId="0" fontId="11" fillId="14" borderId="4" xfId="4" applyFont="1" applyFill="1" applyBorder="1" applyAlignment="1">
      <alignment horizontal="center" vertical="center"/>
    </xf>
    <xf numFmtId="11" fontId="0" fillId="0" borderId="0" xfId="0" applyNumberFormat="1" applyBorder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</cellXfs>
  <cellStyles count="5">
    <cellStyle name="Lien hypertexte" xfId="3" builtinId="8"/>
    <cellStyle name="Normal" xfId="0" builtinId="0"/>
    <cellStyle name="Normal 2" xfId="2" xr:uid="{50672D9D-075A-40C6-BDA5-FA61CF826F7B}"/>
    <cellStyle name="Normal 3" xfId="4" xr:uid="{AC874C84-457E-4D34-A0FE-462462C06730}"/>
    <cellStyle name="Pourcentag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www.sciencedirect.com/science/article/pii/S0921800925003027" TargetMode="External"/><Relationship Id="rId1" Type="http://schemas.openxmlformats.org/officeDocument/2006/relationships/hyperlink" Target="https://linkinghub.elsevier.com/retrieve/pii/S0959378020307512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hyperlink" Target="https://population.un.org/wpp/downloads?folder=Standard%20Projections&amp;group=Most%20used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hyperlink" Target="https://data.europa.eu/doi/10.2800/890673" TargetMode="External"/><Relationship Id="rId1" Type="http://schemas.openxmlformats.org/officeDocument/2006/relationships/hyperlink" Target="https://data.worldbank.org/indicator/NY.GDP.PCAP.PP.KD?end=2024&amp;name_desc=false&amp;start=1990&amp;view=char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C32444-97C3-4A7C-A91C-82059EB528AD}">
  <dimension ref="A1:L28"/>
  <sheetViews>
    <sheetView tabSelected="1" workbookViewId="0">
      <selection activeCell="H2" sqref="H2"/>
    </sheetView>
  </sheetViews>
  <sheetFormatPr baseColWidth="10" defaultColWidth="9.23046875" defaultRowHeight="14.6" x14ac:dyDescent="0.4"/>
  <cols>
    <col min="1" max="1" width="21.15234375" style="31" customWidth="1"/>
    <col min="2" max="3" width="9.23046875" style="31"/>
    <col min="4" max="4" width="14.07421875" style="31" customWidth="1"/>
    <col min="5" max="8" width="9.23046875" style="31"/>
    <col min="9" max="10" width="11.84375" style="31" bestFit="1" customWidth="1"/>
    <col min="11" max="16384" width="9.23046875" style="31"/>
  </cols>
  <sheetData>
    <row r="1" spans="1:12" ht="15" thickBot="1" x14ac:dyDescent="0.45">
      <c r="A1" s="18" t="s">
        <v>79</v>
      </c>
      <c r="B1" s="17" t="s">
        <v>198</v>
      </c>
      <c r="C1" s="17" t="s">
        <v>205</v>
      </c>
      <c r="D1" s="17" t="s">
        <v>199</v>
      </c>
      <c r="E1" s="17" t="s">
        <v>200</v>
      </c>
      <c r="F1" s="17" t="s">
        <v>201</v>
      </c>
      <c r="G1" s="17" t="s">
        <v>202</v>
      </c>
      <c r="H1" s="17" t="s">
        <v>203</v>
      </c>
      <c r="I1" s="18" t="s">
        <v>204</v>
      </c>
    </row>
    <row r="2" spans="1:12" x14ac:dyDescent="0.4">
      <c r="A2" s="19" t="s">
        <v>15</v>
      </c>
      <c r="B2" s="31">
        <f>(1.33*170+163.83)/74</f>
        <v>5.2693243243243248</v>
      </c>
      <c r="C2" s="31">
        <v>2800</v>
      </c>
      <c r="D2" s="31">
        <v>12.6</v>
      </c>
      <c r="E2" s="31">
        <v>57</v>
      </c>
      <c r="F2" s="31">
        <v>4.5</v>
      </c>
      <c r="G2" s="31">
        <v>39.6</v>
      </c>
      <c r="H2" s="31">
        <v>25</v>
      </c>
      <c r="I2" s="31">
        <v>3724</v>
      </c>
      <c r="K2" s="31">
        <f>(0.258-K3)/K3</f>
        <v>1.2845755630300952</v>
      </c>
      <c r="L2" s="31">
        <f>0.258/K3</f>
        <v>2.2845755630300952</v>
      </c>
    </row>
    <row r="3" spans="1:12" x14ac:dyDescent="0.4">
      <c r="A3" s="19" t="s">
        <v>77</v>
      </c>
      <c r="B3" s="31">
        <f>(1.33*1055+163.83)/74</f>
        <v>21.175405405405407</v>
      </c>
      <c r="C3" s="31">
        <v>4500</v>
      </c>
      <c r="D3" s="31">
        <v>16.399999999999999</v>
      </c>
      <c r="F3" s="31">
        <v>9</v>
      </c>
      <c r="G3" s="31">
        <v>49</v>
      </c>
      <c r="H3" s="31">
        <v>50</v>
      </c>
      <c r="K3" s="31">
        <f>Population!C113*Synthèse!D2/100</f>
        <v>0.11293126135771475</v>
      </c>
    </row>
    <row r="4" spans="1:12" ht="15" thickBot="1" x14ac:dyDescent="0.45">
      <c r="A4" s="16" t="s">
        <v>5</v>
      </c>
      <c r="B4" s="15" t="s">
        <v>193</v>
      </c>
      <c r="C4" s="15" t="s">
        <v>80</v>
      </c>
      <c r="D4" s="15" t="s">
        <v>8</v>
      </c>
      <c r="E4" s="15" t="s">
        <v>9</v>
      </c>
      <c r="F4" s="15" t="s">
        <v>9</v>
      </c>
      <c r="G4" s="15" t="s">
        <v>13</v>
      </c>
      <c r="H4" s="15" t="s">
        <v>6</v>
      </c>
      <c r="I4" s="15" t="s">
        <v>10</v>
      </c>
    </row>
    <row r="5" spans="1:12" x14ac:dyDescent="0.4">
      <c r="A5" s="19"/>
      <c r="B5" s="20"/>
      <c r="C5" s="20"/>
      <c r="D5" s="20"/>
      <c r="E5" s="20"/>
      <c r="F5" s="20"/>
      <c r="G5" s="20"/>
      <c r="H5" s="20"/>
      <c r="I5" s="20"/>
    </row>
    <row r="6" spans="1:12" x14ac:dyDescent="0.4">
      <c r="A6" s="19"/>
      <c r="K6" s="31">
        <f>269/100 -1</f>
        <v>1.69</v>
      </c>
    </row>
    <row r="7" spans="1:12" x14ac:dyDescent="0.4">
      <c r="A7" s="37" t="s">
        <v>14</v>
      </c>
      <c r="B7" s="38"/>
      <c r="C7" s="38"/>
      <c r="D7" s="38"/>
      <c r="E7" s="38"/>
      <c r="F7" s="38"/>
      <c r="G7" s="38"/>
      <c r="H7" s="38"/>
      <c r="I7" s="38"/>
    </row>
    <row r="8" spans="1:12" x14ac:dyDescent="0.4">
      <c r="A8" s="37" t="s">
        <v>91</v>
      </c>
      <c r="B8" s="38">
        <f>((Population!C116/100)*B2)*1000</f>
        <v>40.756329332322622</v>
      </c>
      <c r="C8" s="38">
        <f>(Population!C116/100)*C2</f>
        <v>21.656993403065282</v>
      </c>
      <c r="D8" s="38">
        <f>((Population!C116/100)*D2)*1000</f>
        <v>97.456470313793773</v>
      </c>
      <c r="E8" s="38">
        <f>((Population!C116/100)*E2)*1000</f>
        <v>440.87450856240042</v>
      </c>
      <c r="F8" s="38">
        <f>((Population!C116/100)*F2)*1000</f>
        <v>34.805882254926345</v>
      </c>
      <c r="G8" s="38">
        <f>(G2*Population!C115)*0.000277778</f>
        <v>738.39512671562909</v>
      </c>
      <c r="H8" s="38">
        <f>((Population!C116/100)*H2)*1000</f>
        <v>193.36601252736861</v>
      </c>
      <c r="I8" s="38">
        <f>(Population!C116/100)*I2</f>
        <v>28.803801226076825</v>
      </c>
    </row>
    <row r="9" spans="1:12" x14ac:dyDescent="0.4">
      <c r="A9" s="37" t="s">
        <v>104</v>
      </c>
      <c r="B9" s="38">
        <f>((Population!C116/100)*B3)*1000</f>
        <v>163.78414827574923</v>
      </c>
      <c r="C9" s="38">
        <f>(Population!C116/100)*C3</f>
        <v>34.805882254926345</v>
      </c>
      <c r="D9" s="38">
        <f>((Population!C116/100)*D3)*1000</f>
        <v>126.84810421795379</v>
      </c>
      <c r="E9" s="38">
        <f>((Population!C116/100)*E3)*1000</f>
        <v>0</v>
      </c>
      <c r="F9" s="38">
        <f>((Population!C116/100)*F3)*1000</f>
        <v>69.611764509852691</v>
      </c>
      <c r="G9" s="38">
        <f>(G3*Population!C115)*0.000366668</f>
        <v>1206.0487944160323</v>
      </c>
      <c r="H9" s="38">
        <f>((Population!C116/100)*H3)*1000</f>
        <v>386.73202505473722</v>
      </c>
      <c r="I9" s="38">
        <f>(Population!C116/100)*I3</f>
        <v>0</v>
      </c>
    </row>
    <row r="10" spans="1:12" x14ac:dyDescent="0.4">
      <c r="A10" s="37"/>
      <c r="B10" s="38"/>
      <c r="C10" s="38"/>
      <c r="D10" s="38"/>
      <c r="E10" s="38"/>
      <c r="F10" s="38"/>
      <c r="G10" s="38"/>
      <c r="H10" s="38"/>
      <c r="I10" s="38"/>
    </row>
    <row r="11" spans="1:12" x14ac:dyDescent="0.4">
      <c r="A11" s="37" t="s">
        <v>89</v>
      </c>
      <c r="B11" s="38" t="s">
        <v>183</v>
      </c>
      <c r="C11" s="38" t="s">
        <v>190</v>
      </c>
      <c r="D11" s="38" t="s">
        <v>168</v>
      </c>
      <c r="E11" s="38" t="s">
        <v>87</v>
      </c>
      <c r="F11" s="38" t="s">
        <v>87</v>
      </c>
      <c r="G11" s="38" t="s">
        <v>90</v>
      </c>
      <c r="H11" s="38" t="s">
        <v>182</v>
      </c>
      <c r="I11" s="38" t="s">
        <v>169</v>
      </c>
    </row>
    <row r="12" spans="1:12" x14ac:dyDescent="0.4">
      <c r="A12" s="19" t="s">
        <v>86</v>
      </c>
      <c r="B12" s="32">
        <v>1</v>
      </c>
      <c r="C12" s="32">
        <v>1000</v>
      </c>
      <c r="D12" s="32">
        <v>1000</v>
      </c>
      <c r="E12" s="32">
        <v>1E-3</v>
      </c>
      <c r="F12" s="32">
        <v>1E-3</v>
      </c>
      <c r="G12" s="31">
        <f>1/0.000277778</f>
        <v>3599.9971200023037</v>
      </c>
      <c r="H12" s="32">
        <v>1000</v>
      </c>
      <c r="I12" s="32">
        <v>10000000000</v>
      </c>
    </row>
    <row r="13" spans="1:12" ht="15" thickBot="1" x14ac:dyDescent="0.45">
      <c r="A13" s="16" t="s">
        <v>88</v>
      </c>
      <c r="B13" s="15" t="s">
        <v>183</v>
      </c>
      <c r="C13" s="15" t="s">
        <v>85</v>
      </c>
      <c r="D13" s="15" t="s">
        <v>84</v>
      </c>
      <c r="E13" s="15" t="s">
        <v>9</v>
      </c>
      <c r="F13" s="15" t="s">
        <v>9</v>
      </c>
      <c r="G13" s="15" t="s">
        <v>82</v>
      </c>
      <c r="H13" s="15" t="s">
        <v>92</v>
      </c>
      <c r="I13" s="15" t="s">
        <v>131</v>
      </c>
    </row>
    <row r="14" spans="1:12" x14ac:dyDescent="0.4">
      <c r="A14" s="19"/>
      <c r="B14" s="20"/>
      <c r="C14" s="20"/>
      <c r="D14" s="20"/>
      <c r="E14" s="20"/>
      <c r="F14" s="20"/>
      <c r="G14" s="20"/>
      <c r="H14" s="20"/>
      <c r="I14" s="20"/>
    </row>
    <row r="15" spans="1:12" x14ac:dyDescent="0.4">
      <c r="A15" s="34" t="s">
        <v>93</v>
      </c>
      <c r="B15" s="22"/>
      <c r="C15" s="22"/>
      <c r="D15" s="22"/>
      <c r="E15" s="22"/>
      <c r="F15" s="22"/>
      <c r="G15" s="22"/>
      <c r="H15" s="22"/>
      <c r="I15" s="22"/>
    </row>
    <row r="16" spans="1:12" x14ac:dyDescent="0.4">
      <c r="A16" s="34" t="s">
        <v>137</v>
      </c>
      <c r="B16" s="22">
        <f>B2*1000000000/(Population!B115*1000)</f>
        <v>0.60715457766544023</v>
      </c>
      <c r="C16" s="22">
        <f>C2*1000000000/(Population!B115*1000)</f>
        <v>322.62823709968256</v>
      </c>
      <c r="D16" s="22">
        <f>D2*1000000000000/(Population!B115*1000)</f>
        <v>1451.8270669485714</v>
      </c>
      <c r="E16" s="22">
        <f>E2*1000000000/(Population!B115*1000)</f>
        <v>6.5677891123863947</v>
      </c>
      <c r="F16" s="22">
        <f>F2*1000000000/(Population!B115*1000)</f>
        <v>0.51850966676734689</v>
      </c>
      <c r="G16" s="22">
        <f>G2</f>
        <v>39.6</v>
      </c>
      <c r="H16" s="22">
        <f>H2*1000000000/(Population!B115*1000)</f>
        <v>2.8806092598185939</v>
      </c>
      <c r="I16" s="22">
        <f>I2*1000000/(Population!B115*1000)</f>
        <v>0.42909555534257776</v>
      </c>
    </row>
    <row r="17" spans="1:9" x14ac:dyDescent="0.4">
      <c r="A17" s="34" t="s">
        <v>138</v>
      </c>
      <c r="B17" s="22">
        <f>B3*1000000000/(Population!B115*1000)</f>
        <v>2.4399227556489409</v>
      </c>
      <c r="C17" s="22">
        <f>C3*1000000000/(Population!B115*1000)</f>
        <v>518.50966676734697</v>
      </c>
      <c r="D17" s="22">
        <f>D3*1000000000000/(Population!B115*1000)</f>
        <v>1889.6796744409976</v>
      </c>
      <c r="E17" s="22">
        <f>E3*1000000000/(Population!B115*1000)</f>
        <v>0</v>
      </c>
      <c r="F17" s="22">
        <f>F3*1000000000/(Population!B115*1000)</f>
        <v>1.0370193335346938</v>
      </c>
      <c r="G17" s="22">
        <f>G3</f>
        <v>49</v>
      </c>
      <c r="H17" s="22">
        <f>H3*1000000000/(Population!B115*1000)</f>
        <v>5.7612185196371879</v>
      </c>
      <c r="I17" s="22">
        <f>I3*1000000/(Population!B115*1000)</f>
        <v>0</v>
      </c>
    </row>
    <row r="18" spans="1:9" ht="15" thickBot="1" x14ac:dyDescent="0.45">
      <c r="A18" s="35" t="s">
        <v>195</v>
      </c>
      <c r="B18" s="36" t="s">
        <v>196</v>
      </c>
      <c r="C18" s="36" t="s">
        <v>96</v>
      </c>
      <c r="D18" s="36" t="s">
        <v>97</v>
      </c>
      <c r="E18" s="36" t="s">
        <v>83</v>
      </c>
      <c r="F18" s="36" t="s">
        <v>83</v>
      </c>
      <c r="G18" s="36" t="s">
        <v>95</v>
      </c>
      <c r="H18" s="36" t="s">
        <v>94</v>
      </c>
      <c r="I18" s="36" t="s">
        <v>135</v>
      </c>
    </row>
    <row r="19" spans="1:9" x14ac:dyDescent="0.4">
      <c r="A19" s="19" t="s">
        <v>194</v>
      </c>
      <c r="B19" s="59">
        <v>9.9999999999999995E-7</v>
      </c>
      <c r="C19" s="59">
        <v>9.9999999999999995E-7</v>
      </c>
      <c r="D19" s="59">
        <v>9.9999999999999995E-7</v>
      </c>
      <c r="E19" s="59">
        <v>1.0000000000000001E-9</v>
      </c>
      <c r="F19" s="59">
        <v>1.0000000000000001E-9</v>
      </c>
      <c r="G19" s="59">
        <v>1E-3</v>
      </c>
      <c r="H19" s="59">
        <v>1E-3</v>
      </c>
      <c r="I19" s="59">
        <v>10000</v>
      </c>
    </row>
    <row r="20" spans="1:9" x14ac:dyDescent="0.4">
      <c r="A20" s="19"/>
      <c r="B20" s="20"/>
      <c r="C20" s="20"/>
      <c r="D20" s="20"/>
      <c r="E20" s="20"/>
      <c r="F20" s="20"/>
      <c r="G20" s="20"/>
      <c r="H20" s="20"/>
      <c r="I20" s="20"/>
    </row>
    <row r="21" spans="1:9" x14ac:dyDescent="0.4">
      <c r="A21" s="19" t="s">
        <v>16</v>
      </c>
      <c r="B21" s="31">
        <f>(Capacité!G43/100)*B2</f>
        <v>2.7787518571914371E-3</v>
      </c>
      <c r="C21" s="31">
        <f>(Capacité!G43/100)*C2</f>
        <v>1.4765660113611818</v>
      </c>
      <c r="D21" s="31">
        <f>(Capacité!G43/100)*D2</f>
        <v>6.6445470511253182E-3</v>
      </c>
      <c r="E21" s="31">
        <f>(Capacité!G43/100)*E2</f>
        <v>3.0058665231281204E-2</v>
      </c>
      <c r="F21" s="31">
        <f>(Capacité!G43/100)*F2</f>
        <v>2.3730525182590425E-3</v>
      </c>
      <c r="G21" s="31">
        <f>(Capacité!G43/100)*G2</f>
        <v>2.0882862160679572E-2</v>
      </c>
      <c r="H21" s="31">
        <f>((Capacité!G42/100)*H2)*1000</f>
        <v>13.743345116682876</v>
      </c>
      <c r="I21" s="31">
        <f>(Capacité!G43/100)*I2</f>
        <v>1.963832795110372</v>
      </c>
    </row>
    <row r="22" spans="1:9" x14ac:dyDescent="0.4">
      <c r="A22" s="19" t="s">
        <v>105</v>
      </c>
      <c r="B22" s="31">
        <f>(Capacité!G43/100)*B3</f>
        <v>1.1166744249434098E-2</v>
      </c>
      <c r="C22" s="31">
        <f>(Capacité!G43/100)*C3</f>
        <v>2.3730525182590423</v>
      </c>
      <c r="D22" s="31">
        <f>(Capacité!G43/100)*D3</f>
        <v>8.6484580665440649E-3</v>
      </c>
      <c r="E22" s="31">
        <f>(Capacité!G43/100)*E3</f>
        <v>0</v>
      </c>
      <c r="F22" s="31">
        <f>(Capacité!G43/100)*F3</f>
        <v>4.746105036518085E-3</v>
      </c>
      <c r="G22" s="31">
        <f>(Capacité!G43/100)*G3</f>
        <v>2.5839905198820682E-2</v>
      </c>
      <c r="H22" s="31">
        <f>((Capacité!G43/100)*H3)*1000</f>
        <v>26.367250202878246</v>
      </c>
      <c r="I22" s="31">
        <f>(Capacité!G43/100)*I3</f>
        <v>0</v>
      </c>
    </row>
    <row r="23" spans="1:9" x14ac:dyDescent="0.4">
      <c r="A23" s="19"/>
    </row>
    <row r="24" spans="1:9" ht="15" thickBot="1" x14ac:dyDescent="0.45">
      <c r="A24" s="19" t="s">
        <v>17</v>
      </c>
      <c r="D24" s="15"/>
    </row>
    <row r="25" spans="1:9" ht="15" thickBot="1" x14ac:dyDescent="0.45">
      <c r="A25" s="16" t="s">
        <v>112</v>
      </c>
      <c r="B25" s="15"/>
      <c r="C25" s="15"/>
      <c r="D25" s="15"/>
      <c r="E25" s="15"/>
      <c r="F25" s="15"/>
      <c r="G25" s="15"/>
      <c r="H25" s="15"/>
      <c r="I25" s="15"/>
    </row>
    <row r="26" spans="1:9" x14ac:dyDescent="0.4">
      <c r="A26" s="19" t="s">
        <v>111</v>
      </c>
      <c r="B26" s="31">
        <f>B2*Besoins!B5*1000</f>
        <v>33.599043710798185</v>
      </c>
      <c r="C26" s="31">
        <f>C2*Besoins!C5</f>
        <v>15.326824494696991</v>
      </c>
      <c r="D26" s="31">
        <f>D2*Besoins!D5*1000</f>
        <v>145.65971173167631</v>
      </c>
      <c r="H26" s="31">
        <f>H2*Besoins!E5*1000</f>
        <v>183.26764541723307</v>
      </c>
      <c r="I26" s="31">
        <f>I2*Besoins!G5</f>
        <v>43.033662839201128</v>
      </c>
    </row>
    <row r="27" spans="1:9" x14ac:dyDescent="0.4">
      <c r="A27" s="19" t="s">
        <v>117</v>
      </c>
      <c r="B27" s="31">
        <f>B3*Besoins!B5*1000</f>
        <v>135.02174624662513</v>
      </c>
      <c r="C27" s="31">
        <f>C3*Besoins!C5</f>
        <v>24.632396509334448</v>
      </c>
      <c r="D27" s="31">
        <f>D3*Besoins!D5*1000</f>
        <v>189.58883114281673</v>
      </c>
      <c r="H27" s="31">
        <f>H3*Besoins!E5*1000</f>
        <v>366.53529083446614</v>
      </c>
      <c r="I27" s="31">
        <f>I3*Besoins!G5</f>
        <v>0</v>
      </c>
    </row>
    <row r="28" spans="1:9" x14ac:dyDescent="0.4">
      <c r="A28" s="1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6"/>
  <sheetViews>
    <sheetView topLeftCell="A4" workbookViewId="0">
      <selection activeCell="D10" sqref="D10"/>
    </sheetView>
  </sheetViews>
  <sheetFormatPr baseColWidth="10" defaultColWidth="9.23046875" defaultRowHeight="14.6" x14ac:dyDescent="0.4"/>
  <cols>
    <col min="1" max="1" width="21.15234375" customWidth="1"/>
    <col min="4" max="4" width="14.07421875" customWidth="1"/>
    <col min="9" max="10" width="11.84375" bestFit="1" customWidth="1"/>
  </cols>
  <sheetData>
    <row r="1" spans="1:12" ht="15" thickBot="1" x14ac:dyDescent="0.45">
      <c r="A1" s="18" t="s">
        <v>79</v>
      </c>
      <c r="B1" s="17" t="s">
        <v>184</v>
      </c>
      <c r="C1" s="17" t="s">
        <v>185</v>
      </c>
      <c r="D1" s="17" t="s">
        <v>186</v>
      </c>
      <c r="E1" s="17" t="s">
        <v>0</v>
      </c>
      <c r="F1" s="17" t="s">
        <v>1</v>
      </c>
      <c r="G1" s="17" t="s">
        <v>187</v>
      </c>
      <c r="H1" s="17" t="s">
        <v>188</v>
      </c>
      <c r="I1" s="18" t="s">
        <v>189</v>
      </c>
    </row>
    <row r="2" spans="1:12" x14ac:dyDescent="0.4">
      <c r="A2" s="19" t="s">
        <v>15</v>
      </c>
      <c r="B2">
        <f>(1.33*170+163.83)/74</f>
        <v>5.2693243243243248</v>
      </c>
      <c r="C2">
        <v>2800</v>
      </c>
      <c r="D2">
        <v>12.6</v>
      </c>
      <c r="E2">
        <v>28.5</v>
      </c>
      <c r="F2">
        <v>1.87</v>
      </c>
      <c r="G2">
        <v>39.6</v>
      </c>
      <c r="H2">
        <v>25</v>
      </c>
      <c r="I2">
        <v>3724</v>
      </c>
      <c r="K2">
        <f>(0.258-K3)/K3</f>
        <v>1.2845755630300952</v>
      </c>
      <c r="L2">
        <f>0.258/K3</f>
        <v>2.2845755630300952</v>
      </c>
    </row>
    <row r="3" spans="1:12" x14ac:dyDescent="0.4">
      <c r="A3" s="19" t="s">
        <v>77</v>
      </c>
      <c r="B3">
        <f>(1.33*1055+163.83)/74</f>
        <v>21.175405405405407</v>
      </c>
      <c r="C3">
        <v>4500</v>
      </c>
      <c r="D3">
        <v>16.399999999999999</v>
      </c>
      <c r="E3">
        <v>37.700000000000003</v>
      </c>
      <c r="F3">
        <v>17</v>
      </c>
      <c r="G3">
        <v>49</v>
      </c>
      <c r="H3">
        <v>50</v>
      </c>
      <c r="I3">
        <v>26068</v>
      </c>
      <c r="K3">
        <f>Population!C113*'Synthèse v2'!D2/100</f>
        <v>0.11293126135771475</v>
      </c>
    </row>
    <row r="4" spans="1:12" ht="15" thickBot="1" x14ac:dyDescent="0.45">
      <c r="A4" s="16" t="s">
        <v>5</v>
      </c>
      <c r="B4" s="15" t="s">
        <v>6</v>
      </c>
      <c r="C4" s="15" t="s">
        <v>80</v>
      </c>
      <c r="D4" s="15" t="s">
        <v>8</v>
      </c>
      <c r="E4" s="15" t="s">
        <v>9</v>
      </c>
      <c r="F4" s="15" t="s">
        <v>9</v>
      </c>
      <c r="G4" s="15" t="s">
        <v>13</v>
      </c>
      <c r="H4" s="15" t="s">
        <v>6</v>
      </c>
      <c r="I4" s="15" t="s">
        <v>10</v>
      </c>
    </row>
    <row r="5" spans="1:12" x14ac:dyDescent="0.4">
      <c r="A5" s="19"/>
      <c r="K5">
        <f>269/100 -1</f>
        <v>1.69</v>
      </c>
    </row>
    <row r="6" spans="1:12" x14ac:dyDescent="0.4">
      <c r="A6" s="37" t="s">
        <v>14</v>
      </c>
      <c r="B6" s="38"/>
      <c r="C6" s="38"/>
      <c r="D6" s="38"/>
      <c r="E6" s="38"/>
      <c r="F6" s="38"/>
      <c r="G6" s="38"/>
      <c r="H6" s="38"/>
      <c r="I6" s="38"/>
    </row>
    <row r="7" spans="1:12" x14ac:dyDescent="0.4">
      <c r="A7" s="37" t="s">
        <v>91</v>
      </c>
      <c r="B7" s="38">
        <f>((Population!C116/100)*B2)*1000</f>
        <v>40.756329332322622</v>
      </c>
      <c r="C7" s="38">
        <f>(Population!C116/100)*C2</f>
        <v>21.656993403065282</v>
      </c>
      <c r="D7" s="38">
        <f>((Population!C116/100)*D2)*1000</f>
        <v>97.456470313793773</v>
      </c>
      <c r="E7" s="38">
        <f>((Population!C116/100)*E2)*1000</f>
        <v>220.43725428120021</v>
      </c>
      <c r="F7" s="38">
        <f>((Population!C116/100)*F2)*1000</f>
        <v>14.463777737047172</v>
      </c>
      <c r="G7" s="38">
        <f>(G2*Population!C115)*0.000277778</f>
        <v>738.39512671562909</v>
      </c>
      <c r="H7" s="38">
        <f>((Population!C116/100)*H2)*1000</f>
        <v>193.36601252736861</v>
      </c>
      <c r="I7" s="38">
        <f>(Population!C116/100)*I2</f>
        <v>28.803801226076825</v>
      </c>
    </row>
    <row r="8" spans="1:12" x14ac:dyDescent="0.4">
      <c r="A8" s="37" t="s">
        <v>104</v>
      </c>
      <c r="B8" s="38">
        <f>((Population!C116/100)*B3)*1000</f>
        <v>163.78414827574923</v>
      </c>
      <c r="C8" s="38">
        <f>(Population!C116/100)*C3</f>
        <v>34.805882254926345</v>
      </c>
      <c r="D8" s="38">
        <f>((Population!C116/100)*D3)*1000</f>
        <v>126.84810421795379</v>
      </c>
      <c r="E8" s="38">
        <f>((Population!C116/100)*E3)*1000</f>
        <v>291.59594689127186</v>
      </c>
      <c r="F8" s="38">
        <f>((Population!C116/100)*F3)*1000</f>
        <v>131.48888851861065</v>
      </c>
      <c r="G8" s="38">
        <f>(G3*Population!C115)*0.000366668</f>
        <v>1206.0487944160323</v>
      </c>
      <c r="H8" s="38">
        <f>((Population!C116/100)*H3)*1000</f>
        <v>386.73202505473722</v>
      </c>
      <c r="I8" s="38">
        <f>(Population!C116/100)*I3</f>
        <v>201.62660858253778</v>
      </c>
      <c r="J8" s="31"/>
    </row>
    <row r="9" spans="1:12" x14ac:dyDescent="0.4">
      <c r="A9" s="37"/>
      <c r="B9" s="38"/>
      <c r="C9" s="38"/>
      <c r="D9" s="38"/>
      <c r="E9" s="38"/>
      <c r="F9" s="38"/>
      <c r="G9" s="38"/>
      <c r="H9" s="38"/>
      <c r="I9" s="38"/>
    </row>
    <row r="10" spans="1:12" x14ac:dyDescent="0.4">
      <c r="A10" s="37" t="s">
        <v>89</v>
      </c>
      <c r="B10" s="38" t="s">
        <v>183</v>
      </c>
      <c r="C10" s="38" t="s">
        <v>190</v>
      </c>
      <c r="D10" s="38" t="s">
        <v>168</v>
      </c>
      <c r="E10" s="38" t="s">
        <v>87</v>
      </c>
      <c r="F10" s="38" t="s">
        <v>87</v>
      </c>
      <c r="G10" s="38" t="s">
        <v>90</v>
      </c>
      <c r="H10" s="38" t="s">
        <v>182</v>
      </c>
      <c r="I10" s="38" t="s">
        <v>169</v>
      </c>
    </row>
    <row r="11" spans="1:12" x14ac:dyDescent="0.4">
      <c r="A11" s="19" t="s">
        <v>86</v>
      </c>
      <c r="B11" s="14">
        <v>1</v>
      </c>
      <c r="C11" s="14">
        <v>1000</v>
      </c>
      <c r="D11" s="14">
        <v>1000</v>
      </c>
      <c r="E11" s="14">
        <v>1000000</v>
      </c>
      <c r="F11" s="14">
        <v>1000000</v>
      </c>
      <c r="G11">
        <f>1/0.000277778</f>
        <v>3599.9971200023037</v>
      </c>
      <c r="H11" s="14">
        <v>1000</v>
      </c>
      <c r="I11" s="32">
        <v>10000000000</v>
      </c>
    </row>
    <row r="12" spans="1:12" ht="15" thickBot="1" x14ac:dyDescent="0.45">
      <c r="A12" s="16" t="s">
        <v>88</v>
      </c>
      <c r="B12" s="15" t="s">
        <v>81</v>
      </c>
      <c r="C12" s="15" t="s">
        <v>85</v>
      </c>
      <c r="D12" s="15" t="s">
        <v>84</v>
      </c>
      <c r="E12" s="15" t="s">
        <v>83</v>
      </c>
      <c r="F12" s="15" t="s">
        <v>83</v>
      </c>
      <c r="G12" s="15" t="s">
        <v>82</v>
      </c>
      <c r="H12" s="15" t="s">
        <v>92</v>
      </c>
      <c r="I12" s="15" t="s">
        <v>131</v>
      </c>
    </row>
    <row r="13" spans="1:12" x14ac:dyDescent="0.4">
      <c r="A13" s="19"/>
      <c r="B13" s="20"/>
      <c r="C13" s="20"/>
      <c r="D13" s="20"/>
      <c r="E13" s="20"/>
      <c r="F13" s="20"/>
      <c r="G13" s="20"/>
      <c r="H13" s="20"/>
      <c r="I13" s="20"/>
    </row>
    <row r="14" spans="1:12" x14ac:dyDescent="0.4">
      <c r="A14" s="34" t="s">
        <v>93</v>
      </c>
      <c r="B14" s="22"/>
      <c r="C14" s="22"/>
      <c r="D14" s="22"/>
      <c r="E14" s="22"/>
      <c r="F14" s="22"/>
      <c r="G14" s="22"/>
      <c r="H14" s="22"/>
      <c r="I14" s="22"/>
    </row>
    <row r="15" spans="1:12" x14ac:dyDescent="0.4">
      <c r="A15" s="34" t="s">
        <v>137</v>
      </c>
      <c r="B15" s="22">
        <f>B2*1000000000/(Population!B115*1000)</f>
        <v>0.60715457766544023</v>
      </c>
      <c r="C15" s="22">
        <f>C2*1000000000/(Population!B115*1000)</f>
        <v>322.62823709968256</v>
      </c>
      <c r="D15" s="22">
        <f>D2*1000000000000/(Population!B115*1000)</f>
        <v>1451.8270669485714</v>
      </c>
      <c r="E15" s="22">
        <f>E2*1000000000/(Population!B115*1000)</f>
        <v>3.2838945561931974</v>
      </c>
      <c r="F15" s="22">
        <f>F2*1000000000/(Population!B115*1000)</f>
        <v>0.21546957263443084</v>
      </c>
      <c r="G15" s="22">
        <f>G2</f>
        <v>39.6</v>
      </c>
      <c r="H15" s="22">
        <f>H2*1000000000/(Population!B115*1000)</f>
        <v>2.8806092598185939</v>
      </c>
      <c r="I15" s="22">
        <f>I2*1000000/(Population!B115*1000)</f>
        <v>0.42909555534257776</v>
      </c>
    </row>
    <row r="16" spans="1:12" x14ac:dyDescent="0.4">
      <c r="A16" s="34" t="s">
        <v>138</v>
      </c>
      <c r="B16" s="22">
        <f>B3*1000000000/(Population!B115*1000)</f>
        <v>2.4399227556489409</v>
      </c>
      <c r="C16" s="22">
        <f>C3*1000000000/(Population!B115*1000)</f>
        <v>518.50966676734697</v>
      </c>
      <c r="D16" s="22">
        <f>D3*1000000000000/(Population!B115*1000)</f>
        <v>1889.6796744409976</v>
      </c>
      <c r="E16" s="22">
        <f>E3*1000000000/(Population!B115*1000)</f>
        <v>4.3439587638064401</v>
      </c>
      <c r="F16" s="22">
        <f>F3*1000000000/(Population!B115*1000)</f>
        <v>1.958814296676644</v>
      </c>
      <c r="G16" s="22">
        <f>G3</f>
        <v>49</v>
      </c>
      <c r="H16" s="22">
        <f>H3*1000000000/(Population!B115*1000)</f>
        <v>5.7612185196371879</v>
      </c>
      <c r="I16" s="22">
        <f>I3*1000000/(Population!B115*1000)</f>
        <v>3.0036688873980446</v>
      </c>
    </row>
    <row r="17" spans="1:9" ht="15" thickBot="1" x14ac:dyDescent="0.45">
      <c r="A17" s="35" t="s">
        <v>5</v>
      </c>
      <c r="B17" s="36" t="s">
        <v>94</v>
      </c>
      <c r="C17" s="36" t="s">
        <v>96</v>
      </c>
      <c r="D17" s="36" t="s">
        <v>97</v>
      </c>
      <c r="E17" s="36" t="s">
        <v>83</v>
      </c>
      <c r="F17" s="36" t="s">
        <v>83</v>
      </c>
      <c r="G17" s="36" t="s">
        <v>95</v>
      </c>
      <c r="H17" s="36" t="s">
        <v>94</v>
      </c>
      <c r="I17" s="36" t="s">
        <v>135</v>
      </c>
    </row>
    <row r="18" spans="1:9" x14ac:dyDescent="0.4">
      <c r="A18" s="19"/>
      <c r="B18" s="20"/>
      <c r="C18" s="20"/>
      <c r="D18" s="20"/>
      <c r="E18" s="20"/>
      <c r="F18" s="20"/>
      <c r="G18" s="20"/>
      <c r="H18" s="20"/>
      <c r="I18" s="20"/>
    </row>
    <row r="19" spans="1:9" x14ac:dyDescent="0.4">
      <c r="A19" s="19" t="s">
        <v>16</v>
      </c>
      <c r="B19">
        <f>(Capacité!G43/100)*B2</f>
        <v>2.7787518571914371E-3</v>
      </c>
      <c r="C19">
        <f>(Capacité!G43/100)*C2</f>
        <v>1.4765660113611818</v>
      </c>
      <c r="D19">
        <f>(Capacité!G43/100)*D2</f>
        <v>6.6445470511253182E-3</v>
      </c>
      <c r="E19">
        <f>(Capacité!G43/100)*E2</f>
        <v>1.5029332615640602E-2</v>
      </c>
      <c r="F19">
        <f>(Capacité!G43/100)*F2</f>
        <v>9.8613515758764645E-4</v>
      </c>
      <c r="G19">
        <f>(Capacité!G43/100)*G2</f>
        <v>2.0882862160679572E-2</v>
      </c>
      <c r="H19">
        <f>((Capacité!G42/100)*H2)*1000</f>
        <v>13.743345116682876</v>
      </c>
      <c r="I19">
        <f>(Capacité!G43/100)*I2</f>
        <v>1.963832795110372</v>
      </c>
    </row>
    <row r="20" spans="1:9" x14ac:dyDescent="0.4">
      <c r="A20" s="19" t="s">
        <v>105</v>
      </c>
      <c r="B20">
        <f>(Capacité!G43/100)*B3</f>
        <v>1.1166744249434098E-2</v>
      </c>
      <c r="C20">
        <f>(Capacité!G43/100)*C3</f>
        <v>2.3730525182590423</v>
      </c>
      <c r="D20">
        <f>(Capacité!G43/100)*D3</f>
        <v>8.6484580665440649E-3</v>
      </c>
      <c r="E20">
        <f>(Capacité!G43/100)*E3</f>
        <v>1.9880906652970199E-2</v>
      </c>
      <c r="F20">
        <f>(Capacité!G43/100)*F3</f>
        <v>8.9648650689786048E-3</v>
      </c>
      <c r="G20">
        <f>(Capacité!G43/100)*G3</f>
        <v>2.5839905198820682E-2</v>
      </c>
      <c r="H20">
        <f>((Capacité!G43/100)*H3)*1000</f>
        <v>26.367250202878246</v>
      </c>
      <c r="I20">
        <f>(Capacité!G43/100)*I3</f>
        <v>13.746829565772604</v>
      </c>
    </row>
    <row r="21" spans="1:9" x14ac:dyDescent="0.4">
      <c r="A21" s="19"/>
    </row>
    <row r="22" spans="1:9" ht="15" thickBot="1" x14ac:dyDescent="0.45">
      <c r="A22" s="19" t="s">
        <v>17</v>
      </c>
      <c r="D22" s="15"/>
    </row>
    <row r="23" spans="1:9" ht="15" thickBot="1" x14ac:dyDescent="0.45">
      <c r="A23" s="16" t="s">
        <v>112</v>
      </c>
      <c r="B23" s="15"/>
      <c r="C23" s="15"/>
      <c r="D23" s="15"/>
      <c r="E23" s="15"/>
      <c r="F23" s="15"/>
      <c r="G23" s="15"/>
      <c r="H23" s="15"/>
      <c r="I23" s="15"/>
    </row>
    <row r="24" spans="1:9" x14ac:dyDescent="0.4">
      <c r="A24" s="19" t="s">
        <v>111</v>
      </c>
      <c r="B24" s="31">
        <f>B2*Besoins!B5*1000</f>
        <v>33.599043710798185</v>
      </c>
      <c r="C24" s="31">
        <f>C2*Besoins!C5</f>
        <v>15.326824494696991</v>
      </c>
      <c r="D24" s="31">
        <f>D2*Besoins!D5*1000</f>
        <v>145.65971173167631</v>
      </c>
      <c r="E24" s="31"/>
      <c r="F24" s="31"/>
      <c r="G24" s="31"/>
      <c r="H24" s="31">
        <f>H2*Besoins!E5*1000</f>
        <v>183.26764541723307</v>
      </c>
      <c r="I24" s="31">
        <f>I2*Besoins!G5</f>
        <v>43.033662839201128</v>
      </c>
    </row>
    <row r="25" spans="1:9" x14ac:dyDescent="0.4">
      <c r="A25" s="19" t="s">
        <v>117</v>
      </c>
      <c r="B25" s="31">
        <f>B3*Besoins!B5*1000</f>
        <v>135.02174624662513</v>
      </c>
      <c r="C25" s="31">
        <f>C3*Besoins!C5</f>
        <v>24.632396509334448</v>
      </c>
      <c r="D25" s="31">
        <f>D3*Besoins!D5*1000</f>
        <v>189.58883114281673</v>
      </c>
      <c r="E25" s="31"/>
      <c r="F25" s="31"/>
      <c r="G25" s="31"/>
      <c r="H25" s="31">
        <f>H3*Besoins!E5*1000</f>
        <v>366.53529083446614</v>
      </c>
      <c r="I25" s="31">
        <f>I3*Besoins!G5</f>
        <v>301.23563987440787</v>
      </c>
    </row>
    <row r="26" spans="1:9" x14ac:dyDescent="0.4">
      <c r="A26" s="1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1104A7-2272-4986-AE6B-8EA45794950A}">
  <dimension ref="A1:G23"/>
  <sheetViews>
    <sheetView topLeftCell="A6" workbookViewId="0">
      <selection activeCell="G3" sqref="G3"/>
    </sheetView>
  </sheetViews>
  <sheetFormatPr baseColWidth="10" defaultRowHeight="14.6" x14ac:dyDescent="0.4"/>
  <cols>
    <col min="1" max="1" width="27.69140625" customWidth="1"/>
    <col min="3" max="4" width="12.3828125" customWidth="1"/>
    <col min="5" max="5" width="11.921875" customWidth="1"/>
    <col min="7" max="7" width="14.84375" customWidth="1"/>
  </cols>
  <sheetData>
    <row r="1" spans="1:7" x14ac:dyDescent="0.4">
      <c r="A1" s="23" t="s">
        <v>79</v>
      </c>
      <c r="B1" s="23" t="s">
        <v>2</v>
      </c>
      <c r="C1" s="23" t="s">
        <v>3</v>
      </c>
      <c r="D1" s="23" t="s">
        <v>78</v>
      </c>
      <c r="E1" s="23" t="s">
        <v>11</v>
      </c>
      <c r="F1" s="23" t="s">
        <v>12</v>
      </c>
      <c r="G1" s="23" t="s">
        <v>4</v>
      </c>
    </row>
    <row r="2" spans="1:7" x14ac:dyDescent="0.4">
      <c r="A2" s="22" t="s">
        <v>133</v>
      </c>
      <c r="B2" s="22">
        <v>2.57</v>
      </c>
      <c r="C2" s="22">
        <v>145.30000000000001</v>
      </c>
      <c r="D2" s="22">
        <f xml:space="preserve"> 4.53*1000</f>
        <v>4530</v>
      </c>
      <c r="E2" s="22">
        <v>3.95</v>
      </c>
      <c r="F2" s="22">
        <f>F3*(F8/F9)</f>
        <v>26.509803921568629</v>
      </c>
      <c r="G2" s="22">
        <f>(B2*0.27+D2*0.9)*0.00001</f>
        <v>4.0776939000000005E-2</v>
      </c>
    </row>
    <row r="3" spans="1:7" x14ac:dyDescent="0.4">
      <c r="A3" s="22" t="s">
        <v>134</v>
      </c>
      <c r="B3" s="22">
        <v>2.2000000000000002</v>
      </c>
      <c r="C3" s="22">
        <v>140.30000000000001</v>
      </c>
      <c r="D3" s="22">
        <f xml:space="preserve"> 4.21 *1000</f>
        <v>4210</v>
      </c>
      <c r="E3" s="22">
        <v>3.67</v>
      </c>
      <c r="F3" s="22">
        <f>DLE!U5</f>
        <v>15.600000000000001</v>
      </c>
      <c r="G3" s="22">
        <f>(B3*0.27+D3*0.7)*0.00001</f>
        <v>2.9475940000000003E-2</v>
      </c>
    </row>
    <row r="4" spans="1:7" s="31" customFormat="1" x14ac:dyDescent="0.4">
      <c r="A4" s="22" t="s">
        <v>166</v>
      </c>
      <c r="B4" s="22">
        <f>(DLS!B2+DLS!B3)/2</f>
        <v>2.3849999999999998</v>
      </c>
      <c r="C4" s="22">
        <f>(DLS!C2+DLS!C3)/2</f>
        <v>142.80000000000001</v>
      </c>
      <c r="D4" s="22">
        <f>(DLS!D2+DLS!D3)/2</f>
        <v>4370</v>
      </c>
      <c r="E4" s="22">
        <f>(DLS!E2+DLS!E3)/2</f>
        <v>3.81</v>
      </c>
      <c r="F4" s="22">
        <f>(DLS!F2+DLS!F3)/2</f>
        <v>21.054901960784314</v>
      </c>
      <c r="G4" s="22">
        <f>(DLS!G2+DLS!G3)/2</f>
        <v>3.5126439500000002E-2</v>
      </c>
    </row>
    <row r="5" spans="1:7" x14ac:dyDescent="0.4">
      <c r="A5" s="22" t="s">
        <v>5</v>
      </c>
      <c r="B5" s="22" t="s">
        <v>101</v>
      </c>
      <c r="C5" s="22" t="s">
        <v>100</v>
      </c>
      <c r="D5" s="22" t="s">
        <v>132</v>
      </c>
      <c r="E5" s="22" t="s">
        <v>101</v>
      </c>
      <c r="F5" s="22" t="s">
        <v>106</v>
      </c>
      <c r="G5" s="22" t="s">
        <v>136</v>
      </c>
    </row>
    <row r="7" spans="1:7" x14ac:dyDescent="0.4">
      <c r="A7" t="s">
        <v>110</v>
      </c>
    </row>
    <row r="8" spans="1:7" x14ac:dyDescent="0.4">
      <c r="A8" t="s">
        <v>108</v>
      </c>
      <c r="B8" s="26">
        <v>3.9404604370967649</v>
      </c>
      <c r="C8" s="30">
        <v>205.43626131827909</v>
      </c>
      <c r="D8" s="28">
        <f>3036.5975761951</f>
        <v>3036.5975761950999</v>
      </c>
      <c r="E8" s="24">
        <v>4.8</v>
      </c>
      <c r="F8">
        <f>26</f>
        <v>26</v>
      </c>
      <c r="G8" s="31">
        <f>(B8*0.27+D8*0.9)*0.00001</f>
        <v>2.7340017428936065E-2</v>
      </c>
    </row>
    <row r="9" spans="1:7" x14ac:dyDescent="0.4">
      <c r="A9" t="s">
        <v>109</v>
      </c>
      <c r="B9" s="27">
        <v>1.8456474232498501</v>
      </c>
      <c r="C9" s="31">
        <v>198.12008644674611</v>
      </c>
      <c r="D9" s="29">
        <f>2811.06984272459</f>
        <v>2811.0698427245902</v>
      </c>
      <c r="E9" s="25">
        <v>3.239875298796179</v>
      </c>
      <c r="F9">
        <f>15.3</f>
        <v>15.3</v>
      </c>
      <c r="G9" s="31">
        <f>(B9*0.27+D9*0.7)*0.00001</f>
        <v>1.9682472147114907E-2</v>
      </c>
    </row>
    <row r="10" spans="1:7" x14ac:dyDescent="0.4">
      <c r="A10" s="31" t="s">
        <v>113</v>
      </c>
      <c r="B10">
        <f>(DLS!B8+DLS!B9)/2</f>
        <v>2.8930539301733074</v>
      </c>
      <c r="C10" s="31">
        <f>(DLS!C8+DLS!C9)/2</f>
        <v>201.77817388251259</v>
      </c>
      <c r="D10" s="31">
        <f>(DLS!D8+DLS!D9)/2</f>
        <v>2923.8337094598451</v>
      </c>
      <c r="E10" s="31">
        <f>(DLS!E8+DLS!E9)/2</f>
        <v>4.0199376493980896</v>
      </c>
      <c r="F10" s="31">
        <f>(DLS!F8+DLS!F9)/2</f>
        <v>20.65</v>
      </c>
      <c r="G10" s="31">
        <f>(DLS!G8+DLS!G9)/2</f>
        <v>2.3511244788025486E-2</v>
      </c>
    </row>
    <row r="11" spans="1:7" x14ac:dyDescent="0.4">
      <c r="A11" t="s">
        <v>5</v>
      </c>
      <c r="B11" t="s">
        <v>101</v>
      </c>
      <c r="C11" t="s">
        <v>100</v>
      </c>
      <c r="D11" t="s">
        <v>132</v>
      </c>
      <c r="E11" t="s">
        <v>101</v>
      </c>
      <c r="F11" t="s">
        <v>106</v>
      </c>
      <c r="G11" s="31" t="s">
        <v>136</v>
      </c>
    </row>
    <row r="13" spans="1:7" x14ac:dyDescent="0.4">
      <c r="A13" s="33" t="s">
        <v>98</v>
      </c>
      <c r="B13" s="33">
        <f>(B2*Population!C115*0.000001)*1000</f>
        <v>172.51581432</v>
      </c>
      <c r="C13" s="33">
        <f>C2*Population!C115*1000*0.000000001</f>
        <v>9.7535205528000031</v>
      </c>
      <c r="D13" s="33">
        <f>(D2*Population!C115*1000*0.000000001)</f>
        <v>304.08429528000011</v>
      </c>
      <c r="E13" s="33">
        <f>(E2*Population!C115*0.000001)*1000</f>
        <v>265.15076520000008</v>
      </c>
      <c r="F13" s="33">
        <f>F2*Population!C115*0.000277778</f>
        <v>494.3108592392208</v>
      </c>
      <c r="G13" s="33">
        <f>(G2*Population!D115*1000)*0.000001</f>
        <v>17.921343875225901</v>
      </c>
    </row>
    <row r="14" spans="1:7" x14ac:dyDescent="0.4">
      <c r="A14" s="33" t="s">
        <v>99</v>
      </c>
      <c r="B14" s="33">
        <f>(B3*Population!C115*0.000001)*1000</f>
        <v>147.67890720000005</v>
      </c>
      <c r="C14" s="33">
        <f>(C3*Population!C115*0.000001)</f>
        <v>9.4178866728000017</v>
      </c>
      <c r="D14" s="33">
        <f>(D3*Population!C115*0.000000001)*1000</f>
        <v>282.60372696000007</v>
      </c>
      <c r="E14" s="33">
        <f>(E3*Population!C115*0.000001)*1000</f>
        <v>246.35526792000005</v>
      </c>
      <c r="F14" s="33">
        <f>F3*Population!C115*0.000277778</f>
        <v>290.88292870615692</v>
      </c>
      <c r="G14" s="33">
        <f>(G3*Population!D115*1000)*0.000001</f>
        <v>12.954588297702438</v>
      </c>
    </row>
    <row r="15" spans="1:7" s="31" customFormat="1" x14ac:dyDescent="0.4">
      <c r="A15" s="33" t="s">
        <v>167</v>
      </c>
      <c r="B15" s="33">
        <f>(B4*Population!C115*0.000001)*1000</f>
        <v>160.09736076000002</v>
      </c>
      <c r="C15" s="33">
        <f>(C4*Population!C115*0.000001)</f>
        <v>9.5857036128000015</v>
      </c>
      <c r="D15" s="33">
        <f>(D4*Population!C115*0.000000001)*1000</f>
        <v>293.34401112000006</v>
      </c>
      <c r="E15" s="33">
        <f>(E4*Population!C115*0.000001)*1000</f>
        <v>255.75301656000005</v>
      </c>
      <c r="F15" s="33">
        <f>F4*Population!C115*0.000277778</f>
        <v>392.59689397268886</v>
      </c>
      <c r="G15" s="33">
        <f>(G4*Population!D115*1000)*0.000001</f>
        <v>15.43796608646417</v>
      </c>
    </row>
    <row r="16" spans="1:7" x14ac:dyDescent="0.4">
      <c r="A16" s="33" t="s">
        <v>5</v>
      </c>
      <c r="B16" s="33" t="s">
        <v>81</v>
      </c>
      <c r="C16" s="33" t="s">
        <v>80</v>
      </c>
      <c r="D16" s="33" t="s">
        <v>103</v>
      </c>
      <c r="E16" s="33" t="s">
        <v>81</v>
      </c>
      <c r="F16" s="33" t="s">
        <v>90</v>
      </c>
      <c r="G16" s="33" t="s">
        <v>10</v>
      </c>
    </row>
    <row r="18" spans="1:7" x14ac:dyDescent="0.4">
      <c r="A18" t="s">
        <v>19</v>
      </c>
      <c r="B18" s="48" t="s">
        <v>102</v>
      </c>
      <c r="C18" s="49"/>
      <c r="D18" s="49"/>
      <c r="E18" s="49"/>
      <c r="F18" s="21" t="s">
        <v>107</v>
      </c>
    </row>
    <row r="21" spans="1:7" x14ac:dyDescent="0.4">
      <c r="G21" t="s">
        <v>128</v>
      </c>
    </row>
    <row r="22" spans="1:7" x14ac:dyDescent="0.4">
      <c r="G22" t="s">
        <v>129</v>
      </c>
    </row>
    <row r="23" spans="1:7" x14ac:dyDescent="0.4">
      <c r="G23" t="s">
        <v>130</v>
      </c>
    </row>
  </sheetData>
  <mergeCells count="1">
    <mergeCell ref="B18:E18"/>
  </mergeCells>
  <hyperlinks>
    <hyperlink ref="F18" r:id="rId1" xr:uid="{F7B5DC7E-06B3-4D92-84C6-221AF8CD7354}"/>
    <hyperlink ref="B18" r:id="rId2" xr:uid="{7753ABD6-E8C9-41B2-94EA-8111D4B50F91}"/>
  </hyperlinks>
  <pageMargins left="0.7" right="0.7" top="0.75" bottom="0.75" header="0.3" footer="0.3"/>
  <pageSetup paperSize="9" orientation="portrait" verticalDpi="0"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59BEB1-58EA-414F-91E0-ADFFF27E94F9}">
  <dimension ref="A2:U6"/>
  <sheetViews>
    <sheetView topLeftCell="J1" workbookViewId="0">
      <selection activeCell="U5" sqref="U5"/>
    </sheetView>
  </sheetViews>
  <sheetFormatPr baseColWidth="10" defaultRowHeight="14.6" x14ac:dyDescent="0.4"/>
  <cols>
    <col min="1" max="1" width="11.07421875" style="31"/>
  </cols>
  <sheetData>
    <row r="2" spans="1:21" ht="16.100000000000001" customHeight="1" x14ac:dyDescent="0.4">
      <c r="B2" s="52" t="s">
        <v>118</v>
      </c>
      <c r="C2" s="52"/>
      <c r="D2" s="52"/>
      <c r="E2" s="53" t="s">
        <v>139</v>
      </c>
      <c r="F2" s="53"/>
      <c r="G2" s="53"/>
      <c r="H2" s="52" t="s">
        <v>140</v>
      </c>
      <c r="I2" s="52"/>
      <c r="J2" s="52"/>
      <c r="K2" s="53" t="s">
        <v>141</v>
      </c>
      <c r="L2" s="53"/>
      <c r="M2" s="56" t="s">
        <v>142</v>
      </c>
      <c r="N2" s="54" t="s">
        <v>143</v>
      </c>
      <c r="O2" s="52" t="s">
        <v>144</v>
      </c>
      <c r="P2" s="52"/>
      <c r="Q2" s="52"/>
      <c r="R2" s="53" t="s">
        <v>145</v>
      </c>
      <c r="S2" s="53"/>
      <c r="T2" s="57" t="s">
        <v>164</v>
      </c>
      <c r="U2" s="55" t="s">
        <v>165</v>
      </c>
    </row>
    <row r="3" spans="1:21" ht="17.149999999999999" x14ac:dyDescent="0.4">
      <c r="B3" s="51" t="s">
        <v>146</v>
      </c>
      <c r="C3" s="51" t="s">
        <v>147</v>
      </c>
      <c r="D3" s="51" t="s">
        <v>148</v>
      </c>
      <c r="E3" s="50" t="s">
        <v>149</v>
      </c>
      <c r="F3" s="50" t="s">
        <v>150</v>
      </c>
      <c r="G3" s="50" t="s">
        <v>151</v>
      </c>
      <c r="H3" s="51" t="s">
        <v>152</v>
      </c>
      <c r="I3" s="51" t="s">
        <v>153</v>
      </c>
      <c r="J3" s="51" t="s">
        <v>154</v>
      </c>
      <c r="K3" s="50" t="s">
        <v>155</v>
      </c>
      <c r="L3" s="50" t="s">
        <v>156</v>
      </c>
      <c r="M3" s="56"/>
      <c r="N3" s="54"/>
      <c r="O3" s="51" t="s">
        <v>157</v>
      </c>
      <c r="P3" s="51" t="s">
        <v>158</v>
      </c>
      <c r="Q3" s="39" t="s">
        <v>159</v>
      </c>
      <c r="R3" s="50" t="s">
        <v>161</v>
      </c>
      <c r="S3" s="50" t="s">
        <v>162</v>
      </c>
      <c r="T3" s="57"/>
      <c r="U3" s="55"/>
    </row>
    <row r="4" spans="1:21" ht="37.950000000000003" customHeight="1" x14ac:dyDescent="0.4">
      <c r="B4" s="51"/>
      <c r="C4" s="51"/>
      <c r="D4" s="51"/>
      <c r="E4" s="50"/>
      <c r="F4" s="50"/>
      <c r="G4" s="50"/>
      <c r="H4" s="51"/>
      <c r="I4" s="51"/>
      <c r="J4" s="51"/>
      <c r="K4" s="50"/>
      <c r="L4" s="50"/>
      <c r="M4" s="56"/>
      <c r="N4" s="54"/>
      <c r="O4" s="51"/>
      <c r="P4" s="51"/>
      <c r="Q4" s="39" t="s">
        <v>160</v>
      </c>
      <c r="R4" s="50"/>
      <c r="S4" s="50"/>
      <c r="T4" s="57"/>
      <c r="U4" s="55"/>
    </row>
    <row r="5" spans="1:21" x14ac:dyDescent="0.4">
      <c r="A5" s="31" t="s">
        <v>163</v>
      </c>
      <c r="B5" s="40">
        <v>2.7</v>
      </c>
      <c r="C5" s="41">
        <v>0.3</v>
      </c>
      <c r="D5" s="41">
        <v>0.2</v>
      </c>
      <c r="E5" s="42">
        <v>0.8</v>
      </c>
      <c r="F5" s="42">
        <v>0.7</v>
      </c>
      <c r="G5" s="42">
        <v>0</v>
      </c>
      <c r="H5" s="41">
        <v>0.2</v>
      </c>
      <c r="I5" s="41">
        <v>1.3</v>
      </c>
      <c r="J5" s="41">
        <v>0.2</v>
      </c>
      <c r="K5" s="42">
        <v>0.3</v>
      </c>
      <c r="L5" s="42">
        <v>0.3</v>
      </c>
      <c r="M5" s="41">
        <v>1.4</v>
      </c>
      <c r="N5" s="42">
        <v>0.4</v>
      </c>
      <c r="O5" s="41">
        <v>0</v>
      </c>
      <c r="P5" s="41">
        <v>0.1</v>
      </c>
      <c r="Q5" s="41">
        <v>0.4</v>
      </c>
      <c r="R5" s="42">
        <v>2.2999999999999998</v>
      </c>
      <c r="S5" s="42">
        <v>0.7</v>
      </c>
      <c r="T5" s="41">
        <v>3.3</v>
      </c>
      <c r="U5" s="43">
        <f>SUM(B5:T5)</f>
        <v>15.600000000000001</v>
      </c>
    </row>
    <row r="6" spans="1:21" x14ac:dyDescent="0.4">
      <c r="A6" s="31" t="s">
        <v>13</v>
      </c>
    </row>
  </sheetData>
  <mergeCells count="25">
    <mergeCell ref="N2:N4"/>
    <mergeCell ref="J3:J4"/>
    <mergeCell ref="K3:K4"/>
    <mergeCell ref="L3:L4"/>
    <mergeCell ref="U2:U4"/>
    <mergeCell ref="O2:Q2"/>
    <mergeCell ref="R2:S2"/>
    <mergeCell ref="K2:L2"/>
    <mergeCell ref="M2:M4"/>
    <mergeCell ref="O3:O4"/>
    <mergeCell ref="P3:P4"/>
    <mergeCell ref="R3:R4"/>
    <mergeCell ref="S3:S4"/>
    <mergeCell ref="T2:T4"/>
    <mergeCell ref="G3:G4"/>
    <mergeCell ref="H3:H4"/>
    <mergeCell ref="I3:I4"/>
    <mergeCell ref="B2:D2"/>
    <mergeCell ref="E2:G2"/>
    <mergeCell ref="H2:J2"/>
    <mergeCell ref="B3:B4"/>
    <mergeCell ref="C3:C4"/>
    <mergeCell ref="D3:D4"/>
    <mergeCell ref="E3:E4"/>
    <mergeCell ref="F3:F4"/>
  </mergeCells>
  <pageMargins left="0.7" right="0.7" top="0.75" bottom="0.75" header="0.3" footer="0.3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5CE491-5889-4A7E-A6ED-A3FC6F8FA184}">
  <dimension ref="A1:I122"/>
  <sheetViews>
    <sheetView topLeftCell="A19" workbookViewId="0">
      <selection activeCell="D27" sqref="D27"/>
    </sheetView>
  </sheetViews>
  <sheetFormatPr baseColWidth="10" defaultRowHeight="14.6" x14ac:dyDescent="0.4"/>
  <cols>
    <col min="1" max="1" width="12.3828125" customWidth="1"/>
    <col min="2" max="2" width="12.84375" customWidth="1"/>
  </cols>
  <sheetData>
    <row r="1" spans="1:4" ht="48.75" customHeight="1" x14ac:dyDescent="0.4">
      <c r="A1" s="60" t="s">
        <v>18</v>
      </c>
      <c r="B1" s="61" t="s">
        <v>173</v>
      </c>
      <c r="C1" s="61" t="s">
        <v>163</v>
      </c>
      <c r="D1" s="61" t="s">
        <v>191</v>
      </c>
    </row>
    <row r="2" spans="1:4" x14ac:dyDescent="0.4">
      <c r="A2" s="1">
        <v>1990</v>
      </c>
      <c r="B2" s="2">
        <v>5327803.1100000003</v>
      </c>
      <c r="C2" s="2">
        <v>56990.237999999998</v>
      </c>
      <c r="D2" s="2">
        <v>419997.47</v>
      </c>
    </row>
    <row r="3" spans="1:4" x14ac:dyDescent="0.4">
      <c r="A3" s="1">
        <v>1991</v>
      </c>
      <c r="B3" s="2">
        <v>5418735.8909999998</v>
      </c>
      <c r="C3" s="2">
        <v>57271.565000000002</v>
      </c>
      <c r="D3" s="2">
        <v>421419.174</v>
      </c>
    </row>
    <row r="4" spans="1:4" x14ac:dyDescent="0.4">
      <c r="A4" s="1">
        <v>1992</v>
      </c>
      <c r="B4" s="2">
        <v>5505989.8159999996</v>
      </c>
      <c r="C4" s="2">
        <v>57554.87</v>
      </c>
      <c r="D4" s="2">
        <v>422863.59999999992</v>
      </c>
    </row>
    <row r="5" spans="1:4" x14ac:dyDescent="0.4">
      <c r="A5" s="1">
        <v>1993</v>
      </c>
      <c r="B5" s="2">
        <v>5591544.7970000003</v>
      </c>
      <c r="C5" s="2">
        <v>57801.266000000003</v>
      </c>
      <c r="D5" s="2">
        <v>424104.70499999996</v>
      </c>
    </row>
    <row r="6" spans="1:4" x14ac:dyDescent="0.4">
      <c r="A6" s="1">
        <v>1994</v>
      </c>
      <c r="B6" s="2">
        <v>5675551.2549999999</v>
      </c>
      <c r="C6" s="2">
        <v>57999.866000000002</v>
      </c>
      <c r="D6" s="2">
        <v>425188.98800000019</v>
      </c>
    </row>
    <row r="7" spans="1:4" x14ac:dyDescent="0.4">
      <c r="A7" s="1">
        <v>1995</v>
      </c>
      <c r="B7" s="2">
        <v>5758878.9819999998</v>
      </c>
      <c r="C7" s="2">
        <v>58192.203000000001</v>
      </c>
      <c r="D7" s="2">
        <v>425847.82800000004</v>
      </c>
    </row>
    <row r="8" spans="1:4" x14ac:dyDescent="0.4">
      <c r="A8" s="1">
        <v>1996</v>
      </c>
      <c r="B8" s="2">
        <v>5842055.7340000002</v>
      </c>
      <c r="C8" s="2">
        <v>58380.641000000003</v>
      </c>
      <c r="D8" s="2">
        <v>426181.87299999996</v>
      </c>
    </row>
    <row r="9" spans="1:4" x14ac:dyDescent="0.4">
      <c r="A9" s="1">
        <v>1997</v>
      </c>
      <c r="B9" s="2">
        <v>5924787.8159999996</v>
      </c>
      <c r="C9" s="2">
        <v>58568.66</v>
      </c>
      <c r="D9" s="2">
        <v>426651.66799999989</v>
      </c>
    </row>
    <row r="10" spans="1:4" x14ac:dyDescent="0.4">
      <c r="A10" s="1">
        <v>1998</v>
      </c>
      <c r="B10" s="2">
        <v>6007066.6900000004</v>
      </c>
      <c r="C10" s="2">
        <v>58778.815999999999</v>
      </c>
      <c r="D10" s="2">
        <v>426655.42999999993</v>
      </c>
    </row>
    <row r="11" spans="1:4" x14ac:dyDescent="0.4">
      <c r="A11" s="1">
        <v>1999</v>
      </c>
      <c r="B11" s="2">
        <v>6089006.3389999997</v>
      </c>
      <c r="C11" s="2">
        <v>59084.21</v>
      </c>
      <c r="D11" s="2">
        <v>426830.63099999999</v>
      </c>
    </row>
    <row r="12" spans="1:4" x14ac:dyDescent="0.4">
      <c r="A12" s="1">
        <v>2000</v>
      </c>
      <c r="B12" s="2">
        <v>6171702.9929999998</v>
      </c>
      <c r="C12" s="2">
        <v>59483.716999999997</v>
      </c>
      <c r="D12" s="2">
        <v>427627.31800000009</v>
      </c>
    </row>
    <row r="13" spans="1:4" x14ac:dyDescent="0.4">
      <c r="A13" s="1">
        <v>2001</v>
      </c>
      <c r="B13" s="2">
        <v>6254936.4589999998</v>
      </c>
      <c r="C13" s="2">
        <v>59905.127999999997</v>
      </c>
      <c r="D13" s="2">
        <v>428578.28599999996</v>
      </c>
    </row>
    <row r="14" spans="1:4" x14ac:dyDescent="0.4">
      <c r="A14" s="1">
        <v>2002</v>
      </c>
      <c r="B14" s="2">
        <v>6337730.3420000002</v>
      </c>
      <c r="C14" s="2">
        <v>60327.248</v>
      </c>
      <c r="D14" s="2">
        <v>429890.46400000004</v>
      </c>
    </row>
    <row r="15" spans="1:4" x14ac:dyDescent="0.4">
      <c r="A15" s="1">
        <v>2003</v>
      </c>
      <c r="B15" s="2">
        <v>6420361.6339999996</v>
      </c>
      <c r="C15" s="2">
        <v>60741.125999999997</v>
      </c>
      <c r="D15" s="2">
        <v>431461.80999999994</v>
      </c>
    </row>
    <row r="16" spans="1:4" x14ac:dyDescent="0.4">
      <c r="A16" s="1">
        <v>2004</v>
      </c>
      <c r="B16" s="2">
        <v>6503377.7719999999</v>
      </c>
      <c r="C16" s="2">
        <v>61175.247000000003</v>
      </c>
      <c r="D16" s="2">
        <v>433058.58899999998</v>
      </c>
    </row>
    <row r="17" spans="1:4" x14ac:dyDescent="0.4">
      <c r="A17" s="1">
        <v>2005</v>
      </c>
      <c r="B17" s="2">
        <v>6586970.1320000002</v>
      </c>
      <c r="C17" s="2">
        <v>61625.031999999999</v>
      </c>
      <c r="D17" s="2">
        <v>434557.12100000004</v>
      </c>
    </row>
    <row r="18" spans="1:4" x14ac:dyDescent="0.4">
      <c r="A18" s="1">
        <v>2006</v>
      </c>
      <c r="B18" s="2">
        <v>6671452.0149999997</v>
      </c>
      <c r="C18" s="2">
        <v>62049.838000000003</v>
      </c>
      <c r="D18" s="2">
        <v>435683.11500000011</v>
      </c>
    </row>
    <row r="19" spans="1:4" x14ac:dyDescent="0.4">
      <c r="A19" s="1">
        <v>2007</v>
      </c>
      <c r="B19" s="2">
        <v>6757308.7810000004</v>
      </c>
      <c r="C19" s="2">
        <v>62432.438999999998</v>
      </c>
      <c r="D19" s="2">
        <v>436994.47300000006</v>
      </c>
    </row>
    <row r="20" spans="1:4" x14ac:dyDescent="0.4">
      <c r="A20" s="1">
        <v>2008</v>
      </c>
      <c r="B20" s="2">
        <v>6844457.6619999995</v>
      </c>
      <c r="C20" s="2">
        <v>62780.19</v>
      </c>
      <c r="D20" s="2">
        <v>438548.18900000007</v>
      </c>
    </row>
    <row r="21" spans="1:4" x14ac:dyDescent="0.4">
      <c r="A21" s="1">
        <v>2009</v>
      </c>
      <c r="B21" s="2">
        <v>6932766.4160000002</v>
      </c>
      <c r="C21" s="2">
        <v>63106.463000000003</v>
      </c>
      <c r="D21" s="2">
        <v>439690.78899999993</v>
      </c>
    </row>
    <row r="22" spans="1:4" x14ac:dyDescent="0.4">
      <c r="A22" s="1">
        <v>2010</v>
      </c>
      <c r="B22" s="2">
        <v>7021732.148</v>
      </c>
      <c r="C22" s="2">
        <v>63417.362999999998</v>
      </c>
      <c r="D22" s="2">
        <v>440608.95100000006</v>
      </c>
    </row>
    <row r="23" spans="1:4" x14ac:dyDescent="0.4">
      <c r="A23" s="1">
        <v>2011</v>
      </c>
      <c r="B23" s="2">
        <v>7110923.7649999997</v>
      </c>
      <c r="C23" s="2">
        <v>63733.777000000002</v>
      </c>
      <c r="D23" s="2">
        <v>441440.62800000008</v>
      </c>
    </row>
    <row r="24" spans="1:4" x14ac:dyDescent="0.4">
      <c r="A24" s="1">
        <v>2012</v>
      </c>
      <c r="B24" s="2">
        <v>7201202.4850000003</v>
      </c>
      <c r="C24" s="2">
        <v>64058.464999999997</v>
      </c>
      <c r="D24" s="2">
        <v>441999.21399999998</v>
      </c>
    </row>
    <row r="25" spans="1:4" x14ac:dyDescent="0.4">
      <c r="A25" s="1">
        <v>2013</v>
      </c>
      <c r="B25" s="2">
        <v>7291793.585</v>
      </c>
      <c r="C25" s="2">
        <v>64387.733999999997</v>
      </c>
      <c r="D25" s="2">
        <v>442399.391</v>
      </c>
    </row>
    <row r="26" spans="1:4" x14ac:dyDescent="0.4">
      <c r="A26" s="1">
        <v>2014</v>
      </c>
      <c r="B26" s="2">
        <v>7381616.2439999999</v>
      </c>
      <c r="C26" s="2">
        <v>64692.493000000002</v>
      </c>
      <c r="D26" s="2">
        <v>442964.72000000003</v>
      </c>
    </row>
    <row r="27" spans="1:4" x14ac:dyDescent="0.4">
      <c r="A27" s="1">
        <v>2015</v>
      </c>
      <c r="B27" s="2">
        <v>7470491.8720000004</v>
      </c>
      <c r="C27" s="2">
        <v>64916.336000000003</v>
      </c>
      <c r="D27" s="2">
        <v>443910.90800000017</v>
      </c>
    </row>
    <row r="28" spans="1:4" x14ac:dyDescent="0.4">
      <c r="A28" s="1">
        <v>2016</v>
      </c>
      <c r="B28" s="2">
        <v>7558554.5259999996</v>
      </c>
      <c r="C28" s="2">
        <v>65086.855000000003</v>
      </c>
      <c r="D28" s="2">
        <v>444911.48800000001</v>
      </c>
    </row>
    <row r="29" spans="1:4" x14ac:dyDescent="0.4">
      <c r="A29" s="1">
        <v>2017</v>
      </c>
      <c r="B29" s="2">
        <v>7645617.9539999999</v>
      </c>
      <c r="C29" s="2">
        <v>65284.775999999998</v>
      </c>
      <c r="D29" s="2">
        <v>445696.74599999998</v>
      </c>
    </row>
    <row r="30" spans="1:4" x14ac:dyDescent="0.4">
      <c r="A30" s="1">
        <v>2018</v>
      </c>
      <c r="B30" s="2">
        <v>7729902.7810000004</v>
      </c>
      <c r="C30" s="2">
        <v>65519.542999999998</v>
      </c>
      <c r="D30" s="2">
        <v>446503.6480000001</v>
      </c>
    </row>
    <row r="31" spans="1:4" x14ac:dyDescent="0.4">
      <c r="A31" s="1">
        <v>2019</v>
      </c>
      <c r="B31" s="2">
        <v>7811293.6979999999</v>
      </c>
      <c r="C31" s="2">
        <v>65729.459000000003</v>
      </c>
      <c r="D31" s="2">
        <v>447369.19099999999</v>
      </c>
    </row>
    <row r="32" spans="1:4" x14ac:dyDescent="0.4">
      <c r="A32" s="1">
        <v>2020</v>
      </c>
      <c r="B32" s="2">
        <v>7887001.2920000004</v>
      </c>
      <c r="C32" s="2">
        <v>65905.277000000002</v>
      </c>
      <c r="D32" s="2">
        <v>447777.53599999996</v>
      </c>
    </row>
    <row r="33" spans="1:4" x14ac:dyDescent="0.4">
      <c r="A33" s="1">
        <v>2021</v>
      </c>
      <c r="B33" s="2">
        <v>7954448.3909999998</v>
      </c>
      <c r="C33" s="2">
        <v>66083.547999999995</v>
      </c>
      <c r="D33" s="2">
        <v>447705.902</v>
      </c>
    </row>
    <row r="34" spans="1:4" x14ac:dyDescent="0.4">
      <c r="A34" s="1">
        <v>2022</v>
      </c>
      <c r="B34" s="2">
        <v>8021407.1919999998</v>
      </c>
      <c r="C34" s="2">
        <v>66277.409</v>
      </c>
      <c r="D34" s="2">
        <v>449113.45499999996</v>
      </c>
    </row>
    <row r="35" spans="1:4" x14ac:dyDescent="0.4">
      <c r="A35" s="1">
        <v>2023</v>
      </c>
      <c r="B35" s="2">
        <v>8091734.9299999997</v>
      </c>
      <c r="C35" s="2">
        <v>66438.822</v>
      </c>
      <c r="D35" s="2">
        <v>450657.52199999994</v>
      </c>
    </row>
    <row r="36" spans="1:4" x14ac:dyDescent="0.4">
      <c r="A36" s="1">
        <v>2024</v>
      </c>
      <c r="B36" s="2">
        <v>8161972.5719999997</v>
      </c>
      <c r="C36" s="2">
        <v>66548.53</v>
      </c>
      <c r="D36" s="2">
        <v>450259.53600000002</v>
      </c>
    </row>
    <row r="37" spans="1:4" x14ac:dyDescent="0.4">
      <c r="A37" s="1">
        <v>2025</v>
      </c>
      <c r="B37" s="2">
        <v>8231613.0700000003</v>
      </c>
      <c r="C37" s="2">
        <v>66650.804000000004</v>
      </c>
      <c r="D37" s="2">
        <v>448992.58499999996</v>
      </c>
    </row>
    <row r="38" spans="1:4" x14ac:dyDescent="0.4">
      <c r="A38" s="1">
        <v>2026</v>
      </c>
      <c r="B38" s="2">
        <v>8300678.3949999996</v>
      </c>
      <c r="C38" s="2">
        <v>66746.400999999998</v>
      </c>
      <c r="D38" s="2">
        <v>447890.473</v>
      </c>
    </row>
    <row r="39" spans="1:4" x14ac:dyDescent="0.4">
      <c r="A39" s="1">
        <v>2027</v>
      </c>
      <c r="B39" s="2">
        <v>8369094.3439999996</v>
      </c>
      <c r="C39" s="2">
        <v>66838.260999999999</v>
      </c>
      <c r="D39" s="2">
        <v>447205.74899999995</v>
      </c>
    </row>
    <row r="40" spans="1:4" x14ac:dyDescent="0.4">
      <c r="A40" s="1">
        <v>2028</v>
      </c>
      <c r="B40" s="2">
        <v>8436618.8859999999</v>
      </c>
      <c r="C40" s="2">
        <v>66928.635999999999</v>
      </c>
      <c r="D40" s="2">
        <v>446459.31699999998</v>
      </c>
    </row>
    <row r="41" spans="1:4" x14ac:dyDescent="0.4">
      <c r="A41" s="1">
        <v>2029</v>
      </c>
      <c r="B41" s="2">
        <v>8503285.3230000008</v>
      </c>
      <c r="C41" s="2">
        <v>67018.328999999998</v>
      </c>
      <c r="D41" s="2">
        <v>445651.23500000004</v>
      </c>
    </row>
    <row r="42" spans="1:4" x14ac:dyDescent="0.4">
      <c r="A42" s="1">
        <v>2030</v>
      </c>
      <c r="B42" s="2">
        <v>8569124.9110000003</v>
      </c>
      <c r="C42" s="2">
        <v>67107.691000000006</v>
      </c>
      <c r="D42" s="2">
        <v>444782.38100000005</v>
      </c>
    </row>
    <row r="43" spans="1:4" x14ac:dyDescent="0.4">
      <c r="A43" s="1">
        <v>2031</v>
      </c>
      <c r="B43" s="2">
        <v>8634119.3330000006</v>
      </c>
      <c r="C43" s="2">
        <v>67194.854999999996</v>
      </c>
      <c r="D43" s="2">
        <v>443853.3349999999</v>
      </c>
    </row>
    <row r="44" spans="1:4" x14ac:dyDescent="0.4">
      <c r="A44" s="1">
        <v>2032</v>
      </c>
      <c r="B44" s="2">
        <v>8698229.8120000008</v>
      </c>
      <c r="C44" s="2">
        <v>67281.98</v>
      </c>
      <c r="D44" s="2">
        <v>442896.55800000002</v>
      </c>
    </row>
    <row r="45" spans="1:4" x14ac:dyDescent="0.4">
      <c r="A45" s="1">
        <v>2033</v>
      </c>
      <c r="B45" s="2">
        <v>8761449.0810000002</v>
      </c>
      <c r="C45" s="2">
        <v>67369.322</v>
      </c>
      <c r="D45" s="2">
        <v>441929.64600000007</v>
      </c>
    </row>
    <row r="46" spans="1:4" x14ac:dyDescent="0.4">
      <c r="A46" s="1">
        <v>2034</v>
      </c>
      <c r="B46" s="2">
        <v>8823784.909</v>
      </c>
      <c r="C46" s="2">
        <v>67458.149000000005</v>
      </c>
      <c r="D46" s="2">
        <v>440942.37400000007</v>
      </c>
    </row>
    <row r="47" spans="1:4" x14ac:dyDescent="0.4">
      <c r="A47" s="1">
        <v>2035</v>
      </c>
      <c r="B47" s="2">
        <v>8885210.1809999999</v>
      </c>
      <c r="C47" s="2">
        <v>67547.945999999996</v>
      </c>
      <c r="D47" s="2">
        <v>439928.23599999998</v>
      </c>
    </row>
    <row r="48" spans="1:4" x14ac:dyDescent="0.4">
      <c r="A48" s="1">
        <v>2036</v>
      </c>
      <c r="B48" s="2">
        <v>8945686.6140000001</v>
      </c>
      <c r="C48" s="2">
        <v>67635.315000000002</v>
      </c>
      <c r="D48" s="2">
        <v>438876.35599999991</v>
      </c>
    </row>
    <row r="49" spans="1:4" x14ac:dyDescent="0.4">
      <c r="A49" s="1">
        <v>2037</v>
      </c>
      <c r="B49" s="2">
        <v>9005152.6239999998</v>
      </c>
      <c r="C49" s="2">
        <v>67721.11</v>
      </c>
      <c r="D49" s="2">
        <v>437800.28700000013</v>
      </c>
    </row>
    <row r="50" spans="1:4" x14ac:dyDescent="0.4">
      <c r="A50" s="1">
        <v>2038</v>
      </c>
      <c r="B50" s="2">
        <v>9063572.9260000009</v>
      </c>
      <c r="C50" s="2">
        <v>67801.926999999996</v>
      </c>
      <c r="D50" s="2">
        <v>436704.79599999997</v>
      </c>
    </row>
    <row r="51" spans="1:4" x14ac:dyDescent="0.4">
      <c r="A51" s="1">
        <v>2039</v>
      </c>
      <c r="B51" s="2">
        <v>9120928.3800000008</v>
      </c>
      <c r="C51" s="2">
        <v>67873.403000000006</v>
      </c>
      <c r="D51" s="2">
        <v>435575.79399999999</v>
      </c>
    </row>
    <row r="52" spans="1:4" x14ac:dyDescent="0.4">
      <c r="A52" s="1">
        <v>2040</v>
      </c>
      <c r="B52" s="2">
        <v>9177190.2029999997</v>
      </c>
      <c r="C52" s="2">
        <v>67938.903999999995</v>
      </c>
      <c r="D52" s="2">
        <v>434422.40100000007</v>
      </c>
    </row>
    <row r="53" spans="1:4" x14ac:dyDescent="0.4">
      <c r="A53" s="1">
        <v>2041</v>
      </c>
      <c r="B53" s="2">
        <v>9232281.5749999993</v>
      </c>
      <c r="C53" s="2">
        <v>68002.574999999997</v>
      </c>
      <c r="D53" s="2">
        <v>433267.647</v>
      </c>
    </row>
    <row r="54" spans="1:4" x14ac:dyDescent="0.4">
      <c r="A54" s="1">
        <v>2042</v>
      </c>
      <c r="B54" s="2">
        <v>9286110.3709999993</v>
      </c>
      <c r="C54" s="2">
        <v>68063.86</v>
      </c>
      <c r="D54" s="2">
        <v>432096.70899999997</v>
      </c>
    </row>
    <row r="55" spans="1:4" x14ac:dyDescent="0.4">
      <c r="A55" s="1">
        <v>2043</v>
      </c>
      <c r="B55" s="2">
        <v>9338661.3139999993</v>
      </c>
      <c r="C55" s="2">
        <v>68115.785999999993</v>
      </c>
      <c r="D55" s="2">
        <v>430874.26299999998</v>
      </c>
    </row>
    <row r="56" spans="1:4" x14ac:dyDescent="0.4">
      <c r="A56" s="1">
        <v>2044</v>
      </c>
      <c r="B56" s="2">
        <v>9389873.693</v>
      </c>
      <c r="C56" s="2">
        <v>68157.082999999999</v>
      </c>
      <c r="D56" s="2">
        <v>429598.62099999987</v>
      </c>
    </row>
    <row r="57" spans="1:4" x14ac:dyDescent="0.4">
      <c r="A57" s="1">
        <v>2045</v>
      </c>
      <c r="B57" s="2">
        <v>9439639.6679999996</v>
      </c>
      <c r="C57" s="2">
        <v>68190.955000000002</v>
      </c>
      <c r="D57" s="2">
        <v>428280.46499999997</v>
      </c>
    </row>
    <row r="58" spans="1:4" x14ac:dyDescent="0.4">
      <c r="A58" s="1">
        <v>2046</v>
      </c>
      <c r="B58" s="2">
        <v>9487889.6040000003</v>
      </c>
      <c r="C58" s="2">
        <v>68214.672999999995</v>
      </c>
      <c r="D58" s="2">
        <v>426921.04200000002</v>
      </c>
    </row>
    <row r="59" spans="1:4" x14ac:dyDescent="0.4">
      <c r="A59" s="1">
        <v>2047</v>
      </c>
      <c r="B59" s="2">
        <v>9534545.977</v>
      </c>
      <c r="C59" s="2">
        <v>68229.077000000005</v>
      </c>
      <c r="D59" s="2">
        <v>425511.16099999996</v>
      </c>
    </row>
    <row r="60" spans="1:4" x14ac:dyDescent="0.4">
      <c r="A60" s="1">
        <v>2048</v>
      </c>
      <c r="B60" s="2">
        <v>9579536.0429999996</v>
      </c>
      <c r="C60" s="2">
        <v>68235.289000000004</v>
      </c>
      <c r="D60" s="2">
        <v>424046.07800000015</v>
      </c>
    </row>
    <row r="61" spans="1:4" x14ac:dyDescent="0.4">
      <c r="A61" s="1">
        <v>2049</v>
      </c>
      <c r="B61" s="2">
        <v>9622824.0289999992</v>
      </c>
      <c r="C61" s="2">
        <v>68231.375</v>
      </c>
      <c r="D61" s="2">
        <v>422524.55599999998</v>
      </c>
    </row>
    <row r="62" spans="1:4" x14ac:dyDescent="0.4">
      <c r="A62" s="1">
        <v>2050</v>
      </c>
      <c r="B62" s="2">
        <v>9664378.5869999994</v>
      </c>
      <c r="C62" s="2">
        <v>68219.675000000003</v>
      </c>
      <c r="D62" s="2">
        <v>420955.34100000001</v>
      </c>
    </row>
    <row r="63" spans="1:4" x14ac:dyDescent="0.4">
      <c r="A63" s="1">
        <v>2051</v>
      </c>
      <c r="B63" s="2">
        <v>9704192.3039999995</v>
      </c>
      <c r="C63" s="2">
        <v>68200.254000000001</v>
      </c>
      <c r="D63" s="2">
        <v>419346.89500000008</v>
      </c>
    </row>
    <row r="64" spans="1:4" x14ac:dyDescent="0.4">
      <c r="A64" s="1">
        <v>2052</v>
      </c>
      <c r="B64" s="2">
        <v>9742264.5150000006</v>
      </c>
      <c r="C64" s="2">
        <v>68175.77</v>
      </c>
      <c r="D64" s="2">
        <v>417691.14999999997</v>
      </c>
    </row>
    <row r="65" spans="1:4" x14ac:dyDescent="0.4">
      <c r="A65" s="1">
        <v>2053</v>
      </c>
      <c r="B65" s="2">
        <v>9778614.6140000001</v>
      </c>
      <c r="C65" s="2">
        <v>68146.932000000001</v>
      </c>
      <c r="D65" s="2">
        <v>415966.71600000001</v>
      </c>
    </row>
    <row r="66" spans="1:4" x14ac:dyDescent="0.4">
      <c r="A66" s="1">
        <v>2054</v>
      </c>
      <c r="B66" s="2">
        <v>9813251.659</v>
      </c>
      <c r="C66" s="2">
        <v>68111.014999999999</v>
      </c>
      <c r="D66" s="2">
        <v>414174.85799999995</v>
      </c>
    </row>
    <row r="67" spans="1:4" x14ac:dyDescent="0.4">
      <c r="A67" s="1">
        <v>2055</v>
      </c>
      <c r="B67" s="2">
        <v>9846237.5700000003</v>
      </c>
      <c r="C67" s="2">
        <v>68067.630999999994</v>
      </c>
      <c r="D67" s="2">
        <v>412334.533</v>
      </c>
    </row>
    <row r="68" spans="1:4" x14ac:dyDescent="0.4">
      <c r="A68" s="1">
        <v>2056</v>
      </c>
      <c r="B68" s="2">
        <v>9877680.3920000009</v>
      </c>
      <c r="C68" s="2">
        <v>68022.156000000003</v>
      </c>
      <c r="D68" s="2">
        <v>410448.42000000004</v>
      </c>
    </row>
    <row r="69" spans="1:4" x14ac:dyDescent="0.4">
      <c r="A69" s="1">
        <v>2057</v>
      </c>
      <c r="B69" s="2">
        <v>9907637.193</v>
      </c>
      <c r="C69" s="2">
        <v>67978.668999999994</v>
      </c>
      <c r="D69" s="2">
        <v>408533.27399999992</v>
      </c>
    </row>
    <row r="70" spans="1:4" x14ac:dyDescent="0.4">
      <c r="A70" s="1">
        <v>2058</v>
      </c>
      <c r="B70" s="2">
        <v>9936164.3790000007</v>
      </c>
      <c r="C70" s="2">
        <v>67935.849000000002</v>
      </c>
      <c r="D70" s="2">
        <v>406603.29399999999</v>
      </c>
    </row>
    <row r="71" spans="1:4" x14ac:dyDescent="0.4">
      <c r="A71" s="1">
        <v>2059</v>
      </c>
      <c r="B71" s="2">
        <v>9963337.0820000004</v>
      </c>
      <c r="C71" s="2">
        <v>67892.952000000005</v>
      </c>
      <c r="D71" s="2">
        <v>404661.71100000007</v>
      </c>
    </row>
    <row r="72" spans="1:4" x14ac:dyDescent="0.4">
      <c r="A72" s="1">
        <v>2060</v>
      </c>
      <c r="B72" s="2">
        <v>9989232.2919999994</v>
      </c>
      <c r="C72" s="2">
        <v>67850.294999999998</v>
      </c>
      <c r="D72" s="2">
        <v>402712.63299999991</v>
      </c>
    </row>
    <row r="73" spans="1:4" x14ac:dyDescent="0.4">
      <c r="A73" s="1">
        <v>2061</v>
      </c>
      <c r="B73" s="2">
        <v>10013916.213</v>
      </c>
      <c r="C73" s="2">
        <v>67810.557000000001</v>
      </c>
      <c r="D73" s="2">
        <v>400766.93200000015</v>
      </c>
    </row>
    <row r="74" spans="1:4" x14ac:dyDescent="0.4">
      <c r="A74" s="1">
        <v>2062</v>
      </c>
      <c r="B74" s="2">
        <v>10037466.6</v>
      </c>
      <c r="C74" s="2">
        <v>67772.615999999995</v>
      </c>
      <c r="D74" s="2">
        <v>398823.46799999999</v>
      </c>
    </row>
    <row r="75" spans="1:4" x14ac:dyDescent="0.4">
      <c r="A75" s="1">
        <v>2063</v>
      </c>
      <c r="B75" s="2">
        <v>10059950.035</v>
      </c>
      <c r="C75" s="2">
        <v>67739.664000000004</v>
      </c>
      <c r="D75" s="2">
        <v>396899.60199999996</v>
      </c>
    </row>
    <row r="76" spans="1:4" x14ac:dyDescent="0.4">
      <c r="A76" s="1">
        <v>2064</v>
      </c>
      <c r="B76" s="2">
        <v>10081402.737</v>
      </c>
      <c r="C76" s="2">
        <v>67713.646999999997</v>
      </c>
      <c r="D76" s="2">
        <v>395004.61700000003</v>
      </c>
    </row>
    <row r="77" spans="1:4" x14ac:dyDescent="0.4">
      <c r="A77" s="1">
        <v>2065</v>
      </c>
      <c r="B77" s="2">
        <v>10101849.561000001</v>
      </c>
      <c r="C77" s="2">
        <v>67691.804000000004</v>
      </c>
      <c r="D77" s="2">
        <v>393131.79000000004</v>
      </c>
    </row>
    <row r="78" spans="1:4" x14ac:dyDescent="0.4">
      <c r="A78" s="1">
        <v>2066</v>
      </c>
      <c r="B78" s="2">
        <v>10121317.107000001</v>
      </c>
      <c r="C78" s="2">
        <v>67677.298999999999</v>
      </c>
      <c r="D78" s="2">
        <v>391291.73300000001</v>
      </c>
    </row>
    <row r="79" spans="1:4" x14ac:dyDescent="0.4">
      <c r="A79" s="1">
        <v>2067</v>
      </c>
      <c r="B79" s="2">
        <v>10139808.361</v>
      </c>
      <c r="C79" s="2">
        <v>67669.051999999996</v>
      </c>
      <c r="D79" s="2">
        <v>389489.04200000002</v>
      </c>
    </row>
    <row r="80" spans="1:4" x14ac:dyDescent="0.4">
      <c r="A80" s="1">
        <v>2068</v>
      </c>
      <c r="B80" s="2">
        <v>10157301.941</v>
      </c>
      <c r="C80" s="2">
        <v>67664.28</v>
      </c>
      <c r="D80" s="2">
        <v>387721.924</v>
      </c>
    </row>
    <row r="81" spans="1:4" x14ac:dyDescent="0.4">
      <c r="A81" s="1">
        <v>2069</v>
      </c>
      <c r="B81" s="2">
        <v>10173782.135</v>
      </c>
      <c r="C81" s="2">
        <v>67668.108999999997</v>
      </c>
      <c r="D81" s="2">
        <v>385994.04200000007</v>
      </c>
    </row>
    <row r="82" spans="1:4" x14ac:dyDescent="0.4">
      <c r="A82" s="1">
        <v>2070</v>
      </c>
      <c r="B82" s="2">
        <v>10189241.959000001</v>
      </c>
      <c r="C82" s="2">
        <v>67678.904999999999</v>
      </c>
      <c r="D82" s="2">
        <v>384310.26799999998</v>
      </c>
    </row>
    <row r="83" spans="1:4" x14ac:dyDescent="0.4">
      <c r="A83" s="1">
        <v>2071</v>
      </c>
      <c r="B83" s="2">
        <v>10203681.568</v>
      </c>
      <c r="C83" s="2">
        <v>67698.398000000001</v>
      </c>
      <c r="D83" s="2">
        <v>382670.826</v>
      </c>
    </row>
    <row r="84" spans="1:4" x14ac:dyDescent="0.4">
      <c r="A84" s="1">
        <v>2072</v>
      </c>
      <c r="B84" s="2">
        <v>10217055.169</v>
      </c>
      <c r="C84" s="2">
        <v>67724.513999999996</v>
      </c>
      <c r="D84" s="2">
        <v>381068.141</v>
      </c>
    </row>
    <row r="85" spans="1:4" x14ac:dyDescent="0.4">
      <c r="A85" s="1">
        <v>2073</v>
      </c>
      <c r="B85" s="2">
        <v>10229327.823999999</v>
      </c>
      <c r="C85" s="2">
        <v>67752.34</v>
      </c>
      <c r="D85" s="2">
        <v>379495.90099999995</v>
      </c>
    </row>
    <row r="86" spans="1:4" x14ac:dyDescent="0.4">
      <c r="A86" s="1">
        <v>2074</v>
      </c>
      <c r="B86" s="2">
        <v>10240485.056</v>
      </c>
      <c r="C86" s="2">
        <v>67784.584000000003</v>
      </c>
      <c r="D86" s="2">
        <v>377958.35600000003</v>
      </c>
    </row>
    <row r="87" spans="1:4" x14ac:dyDescent="0.4">
      <c r="A87" s="1">
        <v>2075</v>
      </c>
      <c r="B87" s="2">
        <v>10250496.432</v>
      </c>
      <c r="C87" s="2">
        <v>67822.260999999999</v>
      </c>
      <c r="D87" s="2">
        <v>376480.08500000008</v>
      </c>
    </row>
    <row r="88" spans="1:4" x14ac:dyDescent="0.4">
      <c r="A88" s="1">
        <v>2076</v>
      </c>
      <c r="B88" s="2">
        <v>10259351.432</v>
      </c>
      <c r="C88" s="2">
        <v>67863.936000000002</v>
      </c>
      <c r="D88" s="2">
        <v>375047.78200000006</v>
      </c>
    </row>
    <row r="89" spans="1:4" x14ac:dyDescent="0.4">
      <c r="A89" s="1">
        <v>2077</v>
      </c>
      <c r="B89" s="2">
        <v>10267045.023</v>
      </c>
      <c r="C89" s="2">
        <v>67905.317999999999</v>
      </c>
      <c r="D89" s="2">
        <v>373634.73</v>
      </c>
    </row>
    <row r="90" spans="1:4" x14ac:dyDescent="0.4">
      <c r="A90" s="1">
        <v>2078</v>
      </c>
      <c r="B90" s="2">
        <v>10273556.322000001</v>
      </c>
      <c r="C90" s="2">
        <v>67945.203999999998</v>
      </c>
      <c r="D90" s="2">
        <v>372260.67599999998</v>
      </c>
    </row>
    <row r="91" spans="1:4" x14ac:dyDescent="0.4">
      <c r="A91" s="1">
        <v>2079</v>
      </c>
      <c r="B91" s="2">
        <v>10278887.472999999</v>
      </c>
      <c r="C91" s="2">
        <v>67984.811000000002</v>
      </c>
      <c r="D91" s="2">
        <v>370924.19000000006</v>
      </c>
    </row>
    <row r="92" spans="1:4" x14ac:dyDescent="0.4">
      <c r="A92" s="1">
        <v>2080</v>
      </c>
      <c r="B92" s="2">
        <v>10283078.028999999</v>
      </c>
      <c r="C92" s="2">
        <v>68024.937000000005</v>
      </c>
      <c r="D92" s="2">
        <v>369621.90600000002</v>
      </c>
    </row>
    <row r="93" spans="1:4" x14ac:dyDescent="0.4">
      <c r="A93" s="1">
        <v>2081</v>
      </c>
      <c r="B93" s="2">
        <v>10286161.734999999</v>
      </c>
      <c r="C93" s="2">
        <v>68066.815000000002</v>
      </c>
      <c r="D93" s="2">
        <v>368361.90900000004</v>
      </c>
    </row>
    <row r="94" spans="1:4" x14ac:dyDescent="0.4">
      <c r="A94" s="1">
        <v>2082</v>
      </c>
      <c r="B94" s="2">
        <v>10288205.050000001</v>
      </c>
      <c r="C94" s="2">
        <v>68108.438999999998</v>
      </c>
      <c r="D94" s="2">
        <v>367136.15699999989</v>
      </c>
    </row>
    <row r="95" spans="1:4" x14ac:dyDescent="0.4">
      <c r="A95" s="1">
        <v>2083</v>
      </c>
      <c r="B95" s="2">
        <v>10289247.323000001</v>
      </c>
      <c r="C95" s="2">
        <v>68153.316999999995</v>
      </c>
      <c r="D95" s="2">
        <v>365939.98800000007</v>
      </c>
    </row>
    <row r="96" spans="1:4" x14ac:dyDescent="0.4">
      <c r="A96" s="1">
        <v>2084</v>
      </c>
      <c r="B96" s="2">
        <v>10289315.244000001</v>
      </c>
      <c r="C96" s="2">
        <v>68198.942999999999</v>
      </c>
      <c r="D96" s="2">
        <v>364768.47600000014</v>
      </c>
    </row>
    <row r="97" spans="1:4" x14ac:dyDescent="0.4">
      <c r="A97" s="1">
        <v>2085</v>
      </c>
      <c r="B97" s="2">
        <v>10288456.598999999</v>
      </c>
      <c r="C97" s="2">
        <v>68237.653999999995</v>
      </c>
      <c r="D97" s="2">
        <v>363612.08199999999</v>
      </c>
    </row>
    <row r="98" spans="1:4" x14ac:dyDescent="0.4">
      <c r="A98" s="1">
        <v>2086</v>
      </c>
      <c r="B98" s="2">
        <v>10286708.359999999</v>
      </c>
      <c r="C98" s="2">
        <v>68276.452000000005</v>
      </c>
      <c r="D98" s="2">
        <v>362474.72799999989</v>
      </c>
    </row>
    <row r="99" spans="1:4" x14ac:dyDescent="0.4">
      <c r="A99" s="1">
        <v>2087</v>
      </c>
      <c r="B99" s="2">
        <v>10284111.374</v>
      </c>
      <c r="C99" s="2">
        <v>68316.292000000001</v>
      </c>
      <c r="D99" s="2">
        <v>361363.54499999998</v>
      </c>
    </row>
    <row r="100" spans="1:4" x14ac:dyDescent="0.4">
      <c r="A100" s="1">
        <v>2088</v>
      </c>
      <c r="B100" s="2">
        <v>10280704.572000001</v>
      </c>
      <c r="C100" s="2">
        <v>68354.444000000003</v>
      </c>
      <c r="D100" s="2">
        <v>360281.40500000003</v>
      </c>
    </row>
    <row r="101" spans="1:4" x14ac:dyDescent="0.4">
      <c r="A101" s="1">
        <v>2089</v>
      </c>
      <c r="B101" s="2">
        <v>10276518.279999999</v>
      </c>
      <c r="C101" s="2">
        <v>68389.692999999999</v>
      </c>
      <c r="D101" s="2">
        <v>359214.11100000003</v>
      </c>
    </row>
    <row r="102" spans="1:4" x14ac:dyDescent="0.4">
      <c r="A102" s="1">
        <v>2090</v>
      </c>
      <c r="B102" s="2">
        <v>10271565.07</v>
      </c>
      <c r="C102" s="2">
        <v>68421.883000000002</v>
      </c>
      <c r="D102" s="2">
        <v>358149.47100000002</v>
      </c>
    </row>
    <row r="103" spans="1:4" x14ac:dyDescent="0.4">
      <c r="A103" s="1">
        <v>2091</v>
      </c>
      <c r="B103" s="2">
        <v>10265861.714</v>
      </c>
      <c r="C103" s="2">
        <v>68451.044999999998</v>
      </c>
      <c r="D103" s="2">
        <v>357104.93199999997</v>
      </c>
    </row>
    <row r="104" spans="1:4" x14ac:dyDescent="0.4">
      <c r="A104" s="1">
        <v>2092</v>
      </c>
      <c r="B104" s="2">
        <v>10259408.375</v>
      </c>
      <c r="C104" s="2">
        <v>68475.278000000006</v>
      </c>
      <c r="D104" s="2">
        <v>356085.554</v>
      </c>
    </row>
    <row r="105" spans="1:4" x14ac:dyDescent="0.4">
      <c r="A105" s="1">
        <v>2093</v>
      </c>
      <c r="B105" s="2">
        <v>10252184.759</v>
      </c>
      <c r="C105" s="2">
        <v>68498.701000000001</v>
      </c>
      <c r="D105" s="2">
        <v>355083.0670000001</v>
      </c>
    </row>
    <row r="106" spans="1:4" x14ac:dyDescent="0.4">
      <c r="A106" s="1">
        <v>2094</v>
      </c>
      <c r="B106" s="2">
        <v>10244185.836999999</v>
      </c>
      <c r="C106" s="2">
        <v>68518.865000000005</v>
      </c>
      <c r="D106" s="2">
        <v>354087.00400000002</v>
      </c>
    </row>
    <row r="107" spans="1:4" x14ac:dyDescent="0.4">
      <c r="A107" s="1">
        <v>2095</v>
      </c>
      <c r="B107" s="2">
        <v>10235403.601</v>
      </c>
      <c r="C107" s="2">
        <v>68529.646999999997</v>
      </c>
      <c r="D107" s="2">
        <v>353078.46800000005</v>
      </c>
    </row>
    <row r="108" spans="1:4" x14ac:dyDescent="0.4">
      <c r="A108" s="1">
        <v>2096</v>
      </c>
      <c r="B108" s="2">
        <v>10225850.874</v>
      </c>
      <c r="C108" s="2">
        <v>68529.527000000002</v>
      </c>
      <c r="D108" s="2">
        <v>352052.02500000008</v>
      </c>
    </row>
    <row r="109" spans="1:4" x14ac:dyDescent="0.4">
      <c r="A109" s="1">
        <v>2097</v>
      </c>
      <c r="B109" s="2">
        <v>10215549.310000001</v>
      </c>
      <c r="C109" s="2">
        <v>68523.856</v>
      </c>
      <c r="D109" s="2">
        <v>351009.62299999996</v>
      </c>
    </row>
    <row r="110" spans="1:4" x14ac:dyDescent="0.4">
      <c r="A110" s="1">
        <v>2098</v>
      </c>
      <c r="B110" s="2">
        <v>10204489.862</v>
      </c>
      <c r="C110" s="2">
        <v>68516.588000000003</v>
      </c>
      <c r="D110" s="2">
        <v>349970.60700000002</v>
      </c>
    </row>
    <row r="111" spans="1:4" x14ac:dyDescent="0.4">
      <c r="A111" s="1">
        <v>2099</v>
      </c>
      <c r="B111" s="2">
        <v>10192689.066</v>
      </c>
      <c r="C111" s="2">
        <v>68503.747000000003</v>
      </c>
      <c r="D111" s="2">
        <v>348929.72599999985</v>
      </c>
    </row>
    <row r="112" spans="1:4" x14ac:dyDescent="0.4">
      <c r="A112" s="1">
        <v>2100</v>
      </c>
      <c r="B112" s="2">
        <v>10180160.751</v>
      </c>
      <c r="C112" s="2">
        <v>68484.558000000005</v>
      </c>
      <c r="D112" s="2">
        <v>347864.81900000002</v>
      </c>
    </row>
    <row r="113" spans="1:9" x14ac:dyDescent="0.4">
      <c r="A113" t="s">
        <v>170</v>
      </c>
      <c r="B113" s="2">
        <v>100</v>
      </c>
      <c r="C113" s="31">
        <f>C23*100/B23</f>
        <v>0.89627985204535521</v>
      </c>
      <c r="D113" s="31">
        <f>D23*100/B23</f>
        <v>6.2079223823601231</v>
      </c>
    </row>
    <row r="114" spans="1:9" x14ac:dyDescent="0.4">
      <c r="A114" t="s">
        <v>70</v>
      </c>
      <c r="B114">
        <f>B27*100/B27</f>
        <v>100</v>
      </c>
      <c r="C114">
        <f>C27*100/B27</f>
        <v>0.86897003721149357</v>
      </c>
      <c r="D114">
        <f>D27*100/B27</f>
        <v>5.9421911649996391</v>
      </c>
      <c r="F114" t="s">
        <v>71</v>
      </c>
      <c r="G114">
        <f>B31*100/B31</f>
        <v>100</v>
      </c>
      <c r="H114">
        <f>C31*100/B31</f>
        <v>0.8414670033061149</v>
      </c>
      <c r="I114">
        <f>D31*100/B31</f>
        <v>5.7272099641387726</v>
      </c>
    </row>
    <row r="115" spans="1:9" ht="29.15" x14ac:dyDescent="0.4">
      <c r="A115" s="11" t="s">
        <v>192</v>
      </c>
      <c r="B115" s="9">
        <f>AVERAGE(B27:B62)</f>
        <v>8678719.5850277767</v>
      </c>
      <c r="C115" s="9">
        <f>AVERAGE(C27:C62)</f>
        <v>67126.776000000013</v>
      </c>
      <c r="D115" s="9">
        <f>AVERAGE(D27:D62)</f>
        <v>439497.03716666671</v>
      </c>
      <c r="F115" s="3" t="s">
        <v>72</v>
      </c>
      <c r="G115" s="4">
        <f>AVERAGE(B31:B63)</f>
        <v>8840410.0070303045</v>
      </c>
      <c r="H115" s="4">
        <f t="shared" ref="H115:I115" si="0">AVERAGE(C31:C63)</f>
        <v>67392.626666666692</v>
      </c>
      <c r="I115" s="4">
        <f t="shared" si="0"/>
        <v>438188.4073636363</v>
      </c>
    </row>
    <row r="116" spans="1:9" x14ac:dyDescent="0.4">
      <c r="A116" s="10" t="s">
        <v>21</v>
      </c>
      <c r="B116" s="8">
        <f>B115/B115</f>
        <v>1</v>
      </c>
      <c r="C116" s="7">
        <f>C115*100/B115</f>
        <v>0.77346405010947439</v>
      </c>
      <c r="D116" s="7">
        <f>D115*100/B115</f>
        <v>5.0640769397005476</v>
      </c>
      <c r="F116" t="s">
        <v>21</v>
      </c>
      <c r="G116" s="5">
        <f>G115/G115</f>
        <v>1</v>
      </c>
      <c r="H116" s="6">
        <f>H115*100/G115</f>
        <v>0.76232467287233219</v>
      </c>
      <c r="I116" s="6">
        <f>I115*100/G115</f>
        <v>4.9566525423048082</v>
      </c>
    </row>
    <row r="117" spans="1:9" ht="29.15" x14ac:dyDescent="0.4">
      <c r="A117" s="3" t="s">
        <v>22</v>
      </c>
      <c r="B117" s="4">
        <f>AVERAGE(B29:B112)</f>
        <v>9579276.7785238083</v>
      </c>
      <c r="C117" s="4">
        <f t="shared" ref="C117:D117" si="1">AVERAGE(C29:C112)</f>
        <v>67739.169619047636</v>
      </c>
      <c r="D117" s="4">
        <f t="shared" si="1"/>
        <v>403389.38254761917</v>
      </c>
      <c r="F117" s="3" t="s">
        <v>73</v>
      </c>
      <c r="G117" s="4">
        <f>AVERAGE(B31:B112)</f>
        <v>9625411.3251341451</v>
      </c>
      <c r="H117" s="4">
        <f t="shared" ref="H117:I117" si="2">AVERAGE(C31:C112)</f>
        <v>67796.169865853692</v>
      </c>
      <c r="I117" s="4">
        <f t="shared" si="2"/>
        <v>402347.65536585363</v>
      </c>
    </row>
    <row r="118" spans="1:9" x14ac:dyDescent="0.4">
      <c r="A118" t="s">
        <v>21</v>
      </c>
      <c r="B118" s="5">
        <f>B117/B117</f>
        <v>1</v>
      </c>
      <c r="C118" s="6">
        <f>C117*100/B117</f>
        <v>0.70714283745214446</v>
      </c>
      <c r="D118" s="6">
        <f>D117*100/B117</f>
        <v>4.2110630256763759</v>
      </c>
      <c r="F118" t="s">
        <v>21</v>
      </c>
      <c r="G118" s="5">
        <f>G117/G117</f>
        <v>1</v>
      </c>
      <c r="H118" s="6">
        <f>H117*100/G117</f>
        <v>0.70434569054542562</v>
      </c>
      <c r="I118" s="6">
        <f>I117*100/G117</f>
        <v>4.1800567453697495</v>
      </c>
    </row>
    <row r="119" spans="1:9" x14ac:dyDescent="0.4">
      <c r="A119" s="3"/>
      <c r="B119" s="4"/>
      <c r="C119" s="4"/>
      <c r="D119" s="4"/>
    </row>
    <row r="120" spans="1:9" x14ac:dyDescent="0.4">
      <c r="A120" s="3"/>
      <c r="B120" s="4"/>
      <c r="C120" s="4"/>
      <c r="D120" s="4"/>
    </row>
    <row r="121" spans="1:9" x14ac:dyDescent="0.4">
      <c r="A121" t="s">
        <v>19</v>
      </c>
      <c r="B121" s="21" t="s">
        <v>20</v>
      </c>
    </row>
    <row r="122" spans="1:9" x14ac:dyDescent="0.4">
      <c r="B122" t="s">
        <v>197</v>
      </c>
    </row>
  </sheetData>
  <hyperlinks>
    <hyperlink ref="B121" r:id="rId1" xr:uid="{263EB9F2-B14E-4059-B29E-0D771DC8E530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8683F5-D89E-4384-A263-C6122D6DA873}">
  <dimension ref="A1:AK48"/>
  <sheetViews>
    <sheetView topLeftCell="C18" zoomScale="93" workbookViewId="0">
      <selection activeCell="I40" sqref="I40"/>
    </sheetView>
  </sheetViews>
  <sheetFormatPr baseColWidth="10" defaultRowHeight="14.6" x14ac:dyDescent="0.4"/>
  <cols>
    <col min="3" max="3" width="11.84375" bestFit="1" customWidth="1"/>
    <col min="5" max="5" width="13.69140625" customWidth="1"/>
    <col min="9" max="9" width="10.69140625" style="31"/>
  </cols>
  <sheetData>
    <row r="1" spans="1:37" x14ac:dyDescent="0.4">
      <c r="A1" t="s">
        <v>18</v>
      </c>
      <c r="B1" t="s">
        <v>58</v>
      </c>
      <c r="C1" t="s">
        <v>59</v>
      </c>
      <c r="D1" t="s">
        <v>63</v>
      </c>
      <c r="F1" t="s">
        <v>58</v>
      </c>
      <c r="G1" t="s">
        <v>59</v>
      </c>
      <c r="H1" t="s">
        <v>63</v>
      </c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  <c r="AE1" s="13"/>
      <c r="AF1" s="13"/>
      <c r="AG1" s="13"/>
      <c r="AH1" s="13"/>
      <c r="AI1" s="13"/>
      <c r="AJ1" s="13"/>
      <c r="AK1" s="13"/>
    </row>
    <row r="2" spans="1:37" x14ac:dyDescent="0.4">
      <c r="A2" s="13" t="s">
        <v>23</v>
      </c>
      <c r="B2" s="13">
        <v>11257.436263054224</v>
      </c>
      <c r="C2" s="13">
        <v>38655.885684291374</v>
      </c>
      <c r="D2" s="13">
        <v>33420.542632402998</v>
      </c>
      <c r="F2">
        <f>B2*Population!B2</f>
        <v>59977403932.927078</v>
      </c>
      <c r="G2">
        <f>C2*Population!C2</f>
        <v>2203008125.248558</v>
      </c>
      <c r="H2">
        <f>D2*Population!D2</f>
        <v>14036543351.636398</v>
      </c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  <c r="AK2" s="13"/>
    </row>
    <row r="3" spans="1:37" x14ac:dyDescent="0.4">
      <c r="A3" s="13" t="s">
        <v>24</v>
      </c>
      <c r="B3" s="13">
        <v>11166.5096464532</v>
      </c>
      <c r="C3" s="13">
        <v>38937.952251374947</v>
      </c>
      <c r="D3" s="13">
        <v>33581.096956953217</v>
      </c>
      <c r="F3">
        <f>B3*Population!B3</f>
        <v>60508366598.43367</v>
      </c>
      <c r="G3">
        <f>C3*Population!C3</f>
        <v>2230037463.3315167</v>
      </c>
      <c r="H3">
        <f>D3*Population!D3</f>
        <v>14151718141.613138</v>
      </c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</row>
    <row r="4" spans="1:37" x14ac:dyDescent="0.4">
      <c r="A4" s="13" t="s">
        <v>25</v>
      </c>
      <c r="B4" s="13">
        <v>11132.379518801288</v>
      </c>
      <c r="C4" s="13">
        <v>39331.904192071757</v>
      </c>
      <c r="D4" s="13">
        <v>33679.790305998496</v>
      </c>
      <c r="E4" s="13"/>
      <c r="F4">
        <f>B4*Population!B4</f>
        <v>61294768258.366867</v>
      </c>
      <c r="G4">
        <f>C4*Population!C4</f>
        <v>2263742632.6271453</v>
      </c>
      <c r="H4">
        <f>D4*Population!D4</f>
        <v>14241957376.039623</v>
      </c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  <c r="AJ4" s="13"/>
      <c r="AK4" s="13"/>
    </row>
    <row r="5" spans="1:37" x14ac:dyDescent="0.4">
      <c r="A5" s="13" t="s">
        <v>26</v>
      </c>
      <c r="B5" s="13">
        <v>11125.655948461339</v>
      </c>
      <c r="C5" s="13">
        <v>39020.614158428441</v>
      </c>
      <c r="D5" s="13">
        <v>33378.282410347747</v>
      </c>
      <c r="F5">
        <f>B5*Population!B5</f>
        <v>62209603631.8311</v>
      </c>
      <c r="G5">
        <f>C5*Population!C5</f>
        <v>2255440898.4546885</v>
      </c>
      <c r="H5">
        <f>D5*Population!D5</f>
        <v>14155886615.047218</v>
      </c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  <c r="AK5" s="13"/>
    </row>
    <row r="6" spans="1:37" x14ac:dyDescent="0.4">
      <c r="A6" s="13" t="s">
        <v>27</v>
      </c>
      <c r="B6" s="13">
        <v>11251.216001515992</v>
      </c>
      <c r="C6" s="13">
        <v>39801.388897981742</v>
      </c>
      <c r="D6" s="13">
        <v>34195.838379713925</v>
      </c>
      <c r="F6">
        <f>B6*Population!B6</f>
        <v>63856853097.680168</v>
      </c>
      <c r="G6">
        <f>C6*Population!C6</f>
        <v>2308475222.6968288</v>
      </c>
      <c r="H6">
        <f>D6*Population!D6</f>
        <v>14539693914.48213</v>
      </c>
    </row>
    <row r="7" spans="1:37" x14ac:dyDescent="0.4">
      <c r="A7" s="13" t="s">
        <v>28</v>
      </c>
      <c r="B7" s="13">
        <v>11429.359024753261</v>
      </c>
      <c r="C7" s="13">
        <v>40570.716956055658</v>
      </c>
      <c r="D7" s="13">
        <v>35111.285545691258</v>
      </c>
      <c r="F7">
        <f>B7*Population!B7</f>
        <v>65820295465.383568</v>
      </c>
      <c r="G7">
        <f>C7*Population!C7</f>
        <v>2360899396.9623327</v>
      </c>
      <c r="H7">
        <f>D7*Population!D7</f>
        <v>14952064687.920418</v>
      </c>
    </row>
    <row r="8" spans="1:37" x14ac:dyDescent="0.4">
      <c r="A8" s="13" t="s">
        <v>29</v>
      </c>
      <c r="B8" s="13">
        <v>11679.153608780653</v>
      </c>
      <c r="C8" s="13">
        <v>40990.739514812456</v>
      </c>
      <c r="D8" s="13">
        <v>35771.523427288754</v>
      </c>
      <c r="F8">
        <f>B8*Population!B8</f>
        <v>68230266308.44381</v>
      </c>
      <c r="G8">
        <f>C8*Population!C8</f>
        <v>2393065647.9387803</v>
      </c>
      <c r="H8">
        <f>D8*Population!D8</f>
        <v>15245174854.3053</v>
      </c>
    </row>
    <row r="9" spans="1:37" x14ac:dyDescent="0.4">
      <c r="A9" s="13" t="s">
        <v>30</v>
      </c>
      <c r="B9" s="13">
        <v>11964.177719327863</v>
      </c>
      <c r="C9" s="13">
        <v>41876.933026515842</v>
      </c>
      <c r="D9" s="13">
        <v>36635.460653772097</v>
      </c>
      <c r="F9">
        <f>B9*Population!B9</f>
        <v>70885214379.932388</v>
      </c>
      <c r="G9">
        <f>C9*Population!C9</f>
        <v>2452675852.2727776</v>
      </c>
      <c r="H9">
        <f>D9*Population!D9</f>
        <v>15630580395.880232</v>
      </c>
    </row>
    <row r="10" spans="1:37" x14ac:dyDescent="0.4">
      <c r="A10" s="13" t="s">
        <v>31</v>
      </c>
      <c r="B10" s="13">
        <v>12088.101662261559</v>
      </c>
      <c r="C10" s="13">
        <v>43162.542385693843</v>
      </c>
      <c r="D10" s="13">
        <v>37659.10554023365</v>
      </c>
      <c r="F10">
        <f>B10*Population!B10</f>
        <v>72614032840.705048</v>
      </c>
      <c r="G10">
        <f>C10*Population!C10</f>
        <v>2537043136.9808993</v>
      </c>
      <c r="H10">
        <f>D10*Population!D10</f>
        <v>16067461867.683767</v>
      </c>
    </row>
    <row r="11" spans="1:37" x14ac:dyDescent="0.4">
      <c r="A11" s="13" t="s">
        <v>32</v>
      </c>
      <c r="B11" s="13">
        <v>12351.548049120385</v>
      </c>
      <c r="C11" s="13">
        <v>44400.135788919135</v>
      </c>
      <c r="D11" s="13">
        <v>38685.863253265452</v>
      </c>
      <c r="F11">
        <f>B11*Population!B11</f>
        <v>75208654367.557098</v>
      </c>
      <c r="G11">
        <f>C11*Population!C11</f>
        <v>2623346946.9810138</v>
      </c>
      <c r="H11">
        <f>D11*Population!D11</f>
        <v>16512311423.171005</v>
      </c>
    </row>
    <row r="12" spans="1:37" x14ac:dyDescent="0.4">
      <c r="A12" s="13" t="s">
        <v>33</v>
      </c>
      <c r="B12" s="13">
        <v>12769.83149176615</v>
      </c>
      <c r="C12" s="13">
        <v>45922.478936370098</v>
      </c>
      <c r="D12" s="13">
        <v>40159.264550880514</v>
      </c>
      <c r="F12">
        <f>B12*Population!B12</f>
        <v>78811607237.838806</v>
      </c>
      <c r="G12">
        <f>C12*Population!C12</f>
        <v>2731639740.9894996</v>
      </c>
      <c r="H12">
        <f>D12*Population!D12</f>
        <v>17173198592.745512</v>
      </c>
    </row>
    <row r="13" spans="1:37" x14ac:dyDescent="0.4">
      <c r="A13" s="13" t="s">
        <v>34</v>
      </c>
      <c r="B13" s="13">
        <v>12904.861928294958</v>
      </c>
      <c r="C13" s="13">
        <v>46454.870692736455</v>
      </c>
      <c r="D13" s="13">
        <v>41007.742388869243</v>
      </c>
      <c r="F13">
        <f>B13*Population!B13</f>
        <v>80719091373.653183</v>
      </c>
      <c r="G13">
        <f>C13*Population!C13</f>
        <v>2782884975.071826</v>
      </c>
      <c r="H13">
        <f>D13*Population!D13</f>
        <v>17575027945.751125</v>
      </c>
    </row>
    <row r="14" spans="1:37" x14ac:dyDescent="0.4">
      <c r="A14" s="13" t="s">
        <v>35</v>
      </c>
      <c r="B14" s="13">
        <v>13093.065120858157</v>
      </c>
      <c r="C14" s="13">
        <v>46610.782071721384</v>
      </c>
      <c r="D14" s="13">
        <v>41422.384781930574</v>
      </c>
      <c r="F14">
        <f>B14*Population!B14</f>
        <v>82980316086.244644</v>
      </c>
      <c r="G14">
        <f>C14*Population!C14</f>
        <v>2811900209.5146894</v>
      </c>
      <c r="H14">
        <f>D14*Population!D14</f>
        <v>17807088213.890675</v>
      </c>
    </row>
    <row r="15" spans="1:37" x14ac:dyDescent="0.4">
      <c r="A15" s="13" t="s">
        <v>36</v>
      </c>
      <c r="B15" s="13">
        <v>13402.991953645811</v>
      </c>
      <c r="C15" s="13">
        <v>46730.975806378956</v>
      </c>
      <c r="D15" s="13">
        <v>41728.846069498511</v>
      </c>
      <c r="F15">
        <f>B15*Population!B15</f>
        <v>86052055319.99826</v>
      </c>
      <c r="G15">
        <f>C15*Population!C15</f>
        <v>2838492089.5582156</v>
      </c>
      <c r="H15">
        <f>D15*Population!D15</f>
        <v>18004403454.357212</v>
      </c>
    </row>
    <row r="16" spans="1:37" x14ac:dyDescent="0.4">
      <c r="A16" s="13" t="s">
        <v>37</v>
      </c>
      <c r="B16" s="13">
        <v>13914.811142290484</v>
      </c>
      <c r="C16" s="13">
        <v>47720.441335110292</v>
      </c>
      <c r="D16" s="13">
        <v>42725.729084553393</v>
      </c>
      <c r="F16">
        <f>B16*Population!B16</f>
        <v>90493273484.349854</v>
      </c>
      <c r="G16">
        <f>C16*Population!C16</f>
        <v>2919309785.624382</v>
      </c>
      <c r="H16">
        <f>D16*Population!D16</f>
        <v>18502743951.352955</v>
      </c>
    </row>
    <row r="17" spans="1:11" x14ac:dyDescent="0.4">
      <c r="A17" s="13" t="s">
        <v>38</v>
      </c>
      <c r="B17" s="13">
        <v>14370.885028756215</v>
      </c>
      <c r="C17" s="13">
        <v>48257.465093797124</v>
      </c>
      <c r="D17" s="13">
        <v>43476.480330860199</v>
      </c>
      <c r="F17">
        <f>B17*Population!B17</f>
        <v>94660590454.823151</v>
      </c>
      <c r="G17">
        <f>C17*Population!C17</f>
        <v>2973867830.6441307</v>
      </c>
      <c r="H17">
        <f>D17*Population!D17</f>
        <v>18893014123.791737</v>
      </c>
    </row>
    <row r="18" spans="1:11" x14ac:dyDescent="0.4">
      <c r="A18" s="13" t="s">
        <v>39</v>
      </c>
      <c r="B18" s="13">
        <v>14927.548526144859</v>
      </c>
      <c r="C18" s="13">
        <v>49223.247197007971</v>
      </c>
      <c r="D18" s="13">
        <v>44946.521561217945</v>
      </c>
      <c r="F18">
        <f>B18*Population!B18</f>
        <v>99588423693.759399</v>
      </c>
      <c r="G18">
        <f>C18*Population!C18</f>
        <v>3054294514.408299</v>
      </c>
      <c r="H18">
        <f>D18*Population!D18</f>
        <v>19582440522.206104</v>
      </c>
    </row>
    <row r="19" spans="1:11" x14ac:dyDescent="0.4">
      <c r="A19" s="13" t="s">
        <v>40</v>
      </c>
      <c r="B19" s="13">
        <v>15510.865766860974</v>
      </c>
      <c r="C19" s="13">
        <v>50157.783747763395</v>
      </c>
      <c r="D19" s="13">
        <v>46274.405155949324</v>
      </c>
      <c r="F19">
        <f>B19*Population!B19</f>
        <v>104811709447.32196</v>
      </c>
      <c r="G19">
        <f>C19*Population!C19</f>
        <v>3131472774.2074294</v>
      </c>
      <c r="H19">
        <f>D19*Population!D19</f>
        <v>20221659294.512562</v>
      </c>
    </row>
    <row r="20" spans="1:11" x14ac:dyDescent="0.4">
      <c r="A20" s="13" t="s">
        <v>41</v>
      </c>
      <c r="B20" s="13">
        <v>15747.72951097517</v>
      </c>
      <c r="C20" s="13">
        <v>50068.296914137944</v>
      </c>
      <c r="D20" s="13">
        <v>46520.372719322135</v>
      </c>
      <c r="F20">
        <f>B20*Population!B20</f>
        <v>107784667910.49751</v>
      </c>
      <c r="G20">
        <f>C20*Population!C20</f>
        <v>3143297193.2459941</v>
      </c>
      <c r="H20">
        <f>D20*Population!D20</f>
        <v>20401425207.663731</v>
      </c>
    </row>
    <row r="21" spans="1:11" x14ac:dyDescent="0.4">
      <c r="A21" s="13" t="s">
        <v>42</v>
      </c>
      <c r="B21" s="13">
        <v>15452.501218625677</v>
      </c>
      <c r="C21" s="13">
        <v>48404.965782636347</v>
      </c>
      <c r="D21" s="13">
        <v>44429.824538502449</v>
      </c>
      <c r="F21">
        <f>B21*Population!B21</f>
        <v>107128581491.68716</v>
      </c>
      <c r="G21">
        <f>C21*Population!C21</f>
        <v>3054666182.1782069</v>
      </c>
      <c r="H21">
        <f>D21*Population!D21</f>
        <v>19535384606.465698</v>
      </c>
    </row>
    <row r="22" spans="1:11" x14ac:dyDescent="0.4">
      <c r="A22" s="13" t="s">
        <v>43</v>
      </c>
      <c r="B22" s="13">
        <v>16047.989739120134</v>
      </c>
      <c r="C22" s="13">
        <v>49130.422942344019</v>
      </c>
      <c r="D22" s="13">
        <v>45250.390398352713</v>
      </c>
      <c r="F22">
        <f>B22*Population!B22</f>
        <v>112684685461.95398</v>
      </c>
      <c r="G22">
        <f>C22*Population!C22</f>
        <v>3115721866.0781589</v>
      </c>
      <c r="H22">
        <f>D22*Population!D22</f>
        <v>19937727045.758663</v>
      </c>
      <c r="K22" s="13"/>
    </row>
    <row r="23" spans="1:11" x14ac:dyDescent="0.4">
      <c r="A23" s="13" t="s">
        <v>44</v>
      </c>
      <c r="B23" s="13">
        <v>16479.488794650872</v>
      </c>
      <c r="C23" s="13">
        <v>50085.682977910918</v>
      </c>
      <c r="D23" s="13">
        <v>46205.208546023227</v>
      </c>
      <c r="F23">
        <f>B23*Population!B23</f>
        <v>117184388504.93408</v>
      </c>
      <c r="G23">
        <f>C23*Population!C23</f>
        <v>3192149749.8068705</v>
      </c>
      <c r="H23">
        <f>D23*Population!D23</f>
        <v>20396856277.427464</v>
      </c>
    </row>
    <row r="24" spans="1:11" x14ac:dyDescent="0.4">
      <c r="A24" s="13" t="s">
        <v>45</v>
      </c>
      <c r="B24" s="13">
        <v>16784.949179715102</v>
      </c>
      <c r="C24" s="13">
        <v>49935.626908161736</v>
      </c>
      <c r="D24" s="13">
        <v>45787.932620272972</v>
      </c>
      <c r="F24">
        <f>B24*Population!B24</f>
        <v>120871817743.56311</v>
      </c>
      <c r="G24">
        <f>C24*Population!C24</f>
        <v>3198799608.5495367</v>
      </c>
      <c r="H24">
        <f>D24*Population!D24</f>
        <v>20238230228.845612</v>
      </c>
    </row>
    <row r="25" spans="1:11" x14ac:dyDescent="0.4">
      <c r="A25" s="13" t="s">
        <v>46</v>
      </c>
      <c r="B25" s="13">
        <v>17122.045527201219</v>
      </c>
      <c r="C25" s="13">
        <v>50066.530432478292</v>
      </c>
      <c r="D25" s="13">
        <v>45723.975048415843</v>
      </c>
      <c r="F25">
        <f>B25*Population!B25</f>
        <v>124850421737.32379</v>
      </c>
      <c r="G25">
        <f>C25*Population!C25</f>
        <v>3223670443.7893171</v>
      </c>
      <c r="H25">
        <f>D25*Population!D25</f>
        <v>20228258715.518364</v>
      </c>
    </row>
    <row r="26" spans="1:11" x14ac:dyDescent="0.4">
      <c r="A26" s="13" t="s">
        <v>47</v>
      </c>
      <c r="B26" s="13">
        <v>17500.17482812225</v>
      </c>
      <c r="C26" s="13">
        <v>50326.567863089047</v>
      </c>
      <c r="D26" s="13">
        <v>46454.750993762711</v>
      </c>
      <c r="F26">
        <f>B26*Population!B26</f>
        <v>129179574784.1071</v>
      </c>
      <c r="G26">
        <f>C26*Population!C26</f>
        <v>3255751139.1969132</v>
      </c>
      <c r="H26">
        <f>D26*Population!D26</f>
        <v>20577815766.621822</v>
      </c>
    </row>
    <row r="27" spans="1:11" x14ac:dyDescent="0.4">
      <c r="A27" s="13" t="s">
        <v>48</v>
      </c>
      <c r="B27" s="13">
        <v>17868.090856870793</v>
      </c>
      <c r="C27" s="13">
        <v>50682.895358633301</v>
      </c>
      <c r="D27" s="13">
        <v>47490.67459411014</v>
      </c>
      <c r="F27">
        <f>B27*Population!B27</f>
        <v>133483427514.41078</v>
      </c>
      <c r="G27">
        <f>C27*Population!C27</f>
        <v>3290147864.5538802</v>
      </c>
      <c r="H27">
        <f>D27*Population!D27</f>
        <v>21081628480.603973</v>
      </c>
    </row>
    <row r="28" spans="1:11" x14ac:dyDescent="0.4">
      <c r="A28" s="13" t="s">
        <v>49</v>
      </c>
      <c r="B28" s="13">
        <v>18232.726915707946</v>
      </c>
      <c r="C28" s="13">
        <v>50984.075297831965</v>
      </c>
      <c r="D28" s="13">
        <v>48336.277092539109</v>
      </c>
      <c r="F28">
        <f>B28*Population!B28</f>
        <v>137813060550.04633</v>
      </c>
      <c r="G28">
        <f>C28*Population!C28</f>
        <v>3318393116.2190709</v>
      </c>
      <c r="H28">
        <f>D28*Population!D28</f>
        <v>21505364965.621891</v>
      </c>
    </row>
    <row r="29" spans="1:11" x14ac:dyDescent="0.4">
      <c r="A29" s="13" t="s">
        <v>50</v>
      </c>
      <c r="B29" s="13">
        <v>18714.938943125886</v>
      </c>
      <c r="C29" s="13">
        <v>51895.566298583777</v>
      </c>
      <c r="D29" s="13">
        <v>49704.030643321137</v>
      </c>
      <c r="F29">
        <f>B29*Population!B29</f>
        <v>143087273191.57706</v>
      </c>
      <c r="G29">
        <f>C29*Population!C29</f>
        <v>3387990421.1961908</v>
      </c>
      <c r="H29">
        <f>D29*Population!D29</f>
        <v>22152924720.812515</v>
      </c>
    </row>
    <row r="30" spans="1:11" x14ac:dyDescent="0.4">
      <c r="A30" s="13" t="s">
        <v>51</v>
      </c>
      <c r="B30" s="13">
        <v>19189.020223224863</v>
      </c>
      <c r="C30" s="13">
        <v>52560.953624384063</v>
      </c>
      <c r="D30" s="13">
        <v>50706.36807660108</v>
      </c>
      <c r="F30">
        <f>B30*Population!B30</f>
        <v>148329260788.17111</v>
      </c>
      <c r="G30">
        <f>C30*Population!C30</f>
        <v>3443769661.1138372</v>
      </c>
      <c r="H30">
        <f>D30*Population!D30</f>
        <v>22640578323.033131</v>
      </c>
    </row>
    <row r="31" spans="1:11" x14ac:dyDescent="0.4">
      <c r="A31" s="13" t="s">
        <v>52</v>
      </c>
      <c r="B31" s="13">
        <v>19552.083514829628</v>
      </c>
      <c r="C31" s="13">
        <v>53448.55488499433</v>
      </c>
      <c r="D31" s="13">
        <v>51662.360706739164</v>
      </c>
      <c r="F31">
        <f>B31*Population!B31</f>
        <v>152727066742.15836</v>
      </c>
      <c r="G31">
        <f>C31*Population!C31</f>
        <v>3513144596.9224849</v>
      </c>
      <c r="H31">
        <f>D31*Population!D31</f>
        <v>23112148514.524086</v>
      </c>
    </row>
    <row r="32" spans="1:11" x14ac:dyDescent="0.4">
      <c r="A32" s="13" t="s">
        <v>53</v>
      </c>
      <c r="B32" s="13">
        <v>18811.493553031505</v>
      </c>
      <c r="C32" s="13">
        <v>49311.333409639032</v>
      </c>
      <c r="D32" s="13">
        <v>48770.374881400836</v>
      </c>
      <c r="F32">
        <f>B32*Population!B32</f>
        <v>148366273957.20917</v>
      </c>
      <c r="G32">
        <f>C32*Population!C32</f>
        <v>3249877087.601615</v>
      </c>
      <c r="H32">
        <f>D32*Population!D32</f>
        <v>21838278294.189957</v>
      </c>
    </row>
    <row r="33" spans="1:13" x14ac:dyDescent="0.4">
      <c r="A33" s="13" t="s">
        <v>54</v>
      </c>
      <c r="B33" s="13">
        <v>19866.767918404636</v>
      </c>
      <c r="C33" s="13">
        <v>52517.335490585516</v>
      </c>
      <c r="D33" s="13">
        <v>51969.965405915333</v>
      </c>
      <c r="F33">
        <f>B33*Population!B33</f>
        <v>158029180102.92416</v>
      </c>
      <c r="G33">
        <f>C33*Population!C33</f>
        <v>3470531860.7242112</v>
      </c>
      <c r="H33">
        <f>D33*Population!D33</f>
        <v>23267260238.964119</v>
      </c>
    </row>
    <row r="34" spans="1:13" x14ac:dyDescent="0.4">
      <c r="A34" s="13" t="s">
        <v>55</v>
      </c>
      <c r="B34" s="13">
        <v>20409.442097193965</v>
      </c>
      <c r="C34" s="13">
        <v>53673.813740642152</v>
      </c>
      <c r="D34" s="13">
        <v>53777.47776464506</v>
      </c>
      <c r="F34">
        <f>B34*Population!B34</f>
        <v>163712445623.13922</v>
      </c>
      <c r="G34">
        <f>C34*Population!C34</f>
        <v>3557361305.8783598</v>
      </c>
      <c r="H34">
        <f>D34*Population!D34</f>
        <v>24152188840.065418</v>
      </c>
    </row>
    <row r="35" spans="1:13" x14ac:dyDescent="0.4">
      <c r="A35" s="13" t="s">
        <v>56</v>
      </c>
      <c r="B35" s="13">
        <v>20918.304708117044</v>
      </c>
      <c r="C35" s="13">
        <v>54296.723089773055</v>
      </c>
      <c r="D35" s="13">
        <v>53869.324634409015</v>
      </c>
      <c r="F35">
        <f>B35*Population!B35</f>
        <v>169265376883.05414</v>
      </c>
      <c r="G35">
        <f>C35*Population!C35</f>
        <v>3607410320.5447221</v>
      </c>
      <c r="H35">
        <f>D35*Population!D35</f>
        <v>24276616351.55632</v>
      </c>
    </row>
    <row r="36" spans="1:13" x14ac:dyDescent="0.4">
      <c r="A36" s="13" t="s">
        <v>57</v>
      </c>
      <c r="B36" s="13">
        <v>21405.118104266388</v>
      </c>
      <c r="C36" s="13">
        <v>54799.348268938855</v>
      </c>
      <c r="D36" s="13">
        <v>54337.917639363339</v>
      </c>
      <c r="F36">
        <f>B36*Population!B36</f>
        <v>174707986867.4429</v>
      </c>
      <c r="G36">
        <f>C36*Population!C36</f>
        <v>3646816072.2559252</v>
      </c>
      <c r="H36">
        <f>D36*Population!D36</f>
        <v>24466165583.505955</v>
      </c>
    </row>
    <row r="37" spans="1:13" s="31" customFormat="1" x14ac:dyDescent="0.4">
      <c r="A37" s="13"/>
      <c r="B37" s="13"/>
      <c r="C37" s="13"/>
      <c r="D37" s="13"/>
    </row>
    <row r="38" spans="1:13" x14ac:dyDescent="0.4">
      <c r="E38">
        <v>2015</v>
      </c>
      <c r="F38">
        <f>B27</f>
        <v>17868.090856870793</v>
      </c>
      <c r="G38" s="31">
        <f t="shared" ref="G38:H38" si="0">C27</f>
        <v>50682.895358633301</v>
      </c>
      <c r="H38" s="31">
        <f t="shared" si="0"/>
        <v>47490.67459411014</v>
      </c>
      <c r="K38" t="s">
        <v>175</v>
      </c>
    </row>
    <row r="39" spans="1:13" s="31" customFormat="1" x14ac:dyDescent="0.4">
      <c r="E39" s="31" t="s">
        <v>171</v>
      </c>
      <c r="F39" s="31">
        <v>1</v>
      </c>
      <c r="G39" s="31">
        <f>G38/F38</f>
        <v>2.8365031141054602</v>
      </c>
      <c r="H39" s="31">
        <f>H38/F38</f>
        <v>2.6578482824228877</v>
      </c>
      <c r="K39" s="58" t="s">
        <v>172</v>
      </c>
      <c r="L39" s="58"/>
      <c r="M39" s="58"/>
    </row>
    <row r="40" spans="1:13" ht="29.15" x14ac:dyDescent="0.4">
      <c r="A40" t="s">
        <v>65</v>
      </c>
      <c r="B40">
        <v>50000</v>
      </c>
      <c r="E40" s="3" t="s">
        <v>64</v>
      </c>
      <c r="F40">
        <f>SUM(F2:F36)/SUM(Population!B2:B36)</f>
        <v>15732.164711604171</v>
      </c>
      <c r="G40">
        <f>SUM(G2:G36)/SUM(Population!C2:C36)</f>
        <v>47663.631330163909</v>
      </c>
      <c r="H40">
        <f>SUM(H2:H36)/SUM(Population!D2:D36)</f>
        <v>43700.966271954145</v>
      </c>
      <c r="J40" s="31"/>
      <c r="K40" s="44" t="s">
        <v>163</v>
      </c>
      <c r="L40" s="44" t="s">
        <v>173</v>
      </c>
      <c r="M40" s="44" t="s">
        <v>174</v>
      </c>
    </row>
    <row r="41" spans="1:13" s="31" customFormat="1" x14ac:dyDescent="0.4">
      <c r="E41" s="3" t="s">
        <v>171</v>
      </c>
      <c r="F41" s="31">
        <v>1</v>
      </c>
      <c r="G41" s="31">
        <f>G40/F40</f>
        <v>3.0296931289440945</v>
      </c>
      <c r="H41" s="31">
        <f>H40/F40</f>
        <v>2.7778101153314241</v>
      </c>
      <c r="J41" s="31" t="s">
        <v>176</v>
      </c>
      <c r="K41" s="45">
        <v>55077.287499999999</v>
      </c>
      <c r="L41" s="45">
        <v>23235.55</v>
      </c>
      <c r="M41" s="46">
        <v>2.3703888007815599</v>
      </c>
    </row>
    <row r="42" spans="1:13" x14ac:dyDescent="0.4">
      <c r="A42" t="s">
        <v>66</v>
      </c>
      <c r="B42">
        <v>7500</v>
      </c>
      <c r="E42" s="12" t="s">
        <v>69</v>
      </c>
      <c r="F42">
        <f>1-(F40-B42)/(B40-B42)</f>
        <v>0.80630200678578423</v>
      </c>
      <c r="G42">
        <f>1-(G40-B42)/(B40-B42)</f>
        <v>5.4973380466731503E-2</v>
      </c>
      <c r="H42">
        <f>1-(H40-B42)/(B40-B42)</f>
        <v>0.14821255830696134</v>
      </c>
      <c r="J42" s="31" t="s">
        <v>177</v>
      </c>
      <c r="K42" s="45">
        <v>53985.9</v>
      </c>
      <c r="L42" s="45">
        <v>22052.862499999999</v>
      </c>
      <c r="M42" s="46">
        <v>2.4480223372362699</v>
      </c>
    </row>
    <row r="43" spans="1:13" ht="29.15" x14ac:dyDescent="0.4">
      <c r="E43" s="11" t="s">
        <v>75</v>
      </c>
      <c r="F43" s="10">
        <f>(Population!B115*Capacité!F42)*100/(Population!B115*Capacité!F42)</f>
        <v>100</v>
      </c>
      <c r="G43" s="10">
        <f>(Population!C115*Capacité!G42)*100/(Population!B115*Capacité!F42)</f>
        <v>5.2734500405756501E-2</v>
      </c>
      <c r="H43" s="10">
        <f>(Population!D115*Capacité!H42)*100/(Population!B115*Capacité!F42)</f>
        <v>0.93086683696635297</v>
      </c>
      <c r="I43" s="10"/>
      <c r="J43" s="31" t="s">
        <v>178</v>
      </c>
      <c r="K43" s="45">
        <v>52102.45</v>
      </c>
      <c r="L43" s="45">
        <v>20638.025000000001</v>
      </c>
      <c r="M43" s="46">
        <v>2.5245850802099499</v>
      </c>
    </row>
    <row r="44" spans="1:13" x14ac:dyDescent="0.4">
      <c r="E44" s="3" t="s">
        <v>76</v>
      </c>
      <c r="F44">
        <f>1-(B27-B42)/(B40-B42)</f>
        <v>0.75604492101480492</v>
      </c>
      <c r="G44">
        <f>MAX(1-(C27-B42)/(B40-B42),0)</f>
        <v>0</v>
      </c>
      <c r="H44">
        <f>MAX(1-(D27-B42)/(B40-B42),0)</f>
        <v>5.9042950726820198E-2</v>
      </c>
      <c r="J44" s="31" t="s">
        <v>179</v>
      </c>
      <c r="K44" s="45">
        <v>55263.5</v>
      </c>
      <c r="L44" s="45">
        <v>21733.662499999999</v>
      </c>
      <c r="M44" s="46">
        <v>2.5427605678518299</v>
      </c>
    </row>
    <row r="45" spans="1:13" ht="29.15" x14ac:dyDescent="0.4">
      <c r="E45" s="3" t="s">
        <v>74</v>
      </c>
      <c r="F45">
        <f>(Population!B115*Capacité!F44)*100/(Population!B115*Capacité!F44)</f>
        <v>100</v>
      </c>
      <c r="G45">
        <f>(Population!C115*Capacité!G44)*100/(Population!B115*Capacité!F44)</f>
        <v>0</v>
      </c>
      <c r="H45">
        <f>(Population!D115*Capacité!H44)*100/(Population!B115*Capacité!F44)</f>
        <v>0.39547656087185179</v>
      </c>
      <c r="J45" s="31" t="s">
        <v>180</v>
      </c>
      <c r="K45" s="45">
        <v>56918.724999999999</v>
      </c>
      <c r="L45" s="45">
        <v>24625.825000000001</v>
      </c>
      <c r="M45" s="46">
        <v>2.31134286871607</v>
      </c>
    </row>
    <row r="46" spans="1:13" x14ac:dyDescent="0.4">
      <c r="A46" t="s">
        <v>60</v>
      </c>
      <c r="B46" t="s">
        <v>61</v>
      </c>
      <c r="J46" s="31" t="s">
        <v>181</v>
      </c>
      <c r="K46" s="31"/>
      <c r="L46" s="31"/>
      <c r="M46" s="47">
        <f>AVERAGE(M41:M45)</f>
        <v>2.4394199309591356</v>
      </c>
    </row>
    <row r="47" spans="1:13" x14ac:dyDescent="0.4">
      <c r="A47" t="s">
        <v>19</v>
      </c>
      <c r="B47" s="21" t="s">
        <v>62</v>
      </c>
    </row>
    <row r="48" spans="1:13" x14ac:dyDescent="0.4">
      <c r="A48" t="s">
        <v>67</v>
      </c>
      <c r="B48" s="21" t="s">
        <v>68</v>
      </c>
    </row>
  </sheetData>
  <mergeCells count="1">
    <mergeCell ref="K39:M39"/>
  </mergeCells>
  <hyperlinks>
    <hyperlink ref="B47" r:id="rId1" xr:uid="{95CBC694-0581-4D50-9574-5F9F43EFE88E}"/>
    <hyperlink ref="B48" r:id="rId2" xr:uid="{F1AC7F8B-6E35-450D-9416-466DBBC662CB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11EFA9-274E-476D-8BFE-D8769B6BF052}">
  <dimension ref="A1:H13"/>
  <sheetViews>
    <sheetView workbookViewId="0">
      <selection activeCell="F5" sqref="F5"/>
    </sheetView>
  </sheetViews>
  <sheetFormatPr baseColWidth="10" defaultRowHeight="14.6" x14ac:dyDescent="0.4"/>
  <cols>
    <col min="1" max="1" width="28.69140625" customWidth="1"/>
    <col min="2" max="2" width="11.61328125" bestFit="1" customWidth="1"/>
  </cols>
  <sheetData>
    <row r="1" spans="1:8" s="31" customFormat="1" x14ac:dyDescent="0.4">
      <c r="B1" s="31" t="s">
        <v>2</v>
      </c>
      <c r="C1" s="31" t="s">
        <v>3</v>
      </c>
      <c r="D1" s="31" t="s">
        <v>78</v>
      </c>
      <c r="E1" s="31" t="s">
        <v>11</v>
      </c>
      <c r="F1" s="31" t="s">
        <v>12</v>
      </c>
      <c r="G1" s="31" t="s">
        <v>4</v>
      </c>
    </row>
    <row r="2" spans="1:8" x14ac:dyDescent="0.4">
      <c r="A2" s="31" t="s">
        <v>116</v>
      </c>
      <c r="B2">
        <f>(Population!C115*DLS!B2)/(Population!B115*DLS!B8)</f>
        <v>5.0445947637680474E-3</v>
      </c>
      <c r="C2" s="31">
        <f>(Population!C115*DLS!C2)/(Population!B115*DLS!C8)</f>
        <v>5.470520430995939E-3</v>
      </c>
      <c r="D2" s="31">
        <f>(Population!C115*DLS!D2)/(Population!B115*DLS!D8)</f>
        <v>1.1538546215222302E-2</v>
      </c>
      <c r="E2" s="31">
        <f>(Population!C115*DLS!E2)/(Population!B115*DLS!E8)</f>
        <v>6.3649645790258835E-3</v>
      </c>
      <c r="F2" s="31">
        <f>(Population!C115*DLS!F2)/(Population!B115*DLS!F8)</f>
        <v>7.8863001187632689E-3</v>
      </c>
      <c r="G2" s="31">
        <f>(Population!C115*DLS!G2)/(Population!B115*DLS!G8)</f>
        <v>1.1536019123611196E-2</v>
      </c>
    </row>
    <row r="3" spans="1:8" x14ac:dyDescent="0.4">
      <c r="A3" s="31" t="s">
        <v>115</v>
      </c>
      <c r="B3" s="31">
        <f>(Population!C115*DLS!B3)/(Population!B115*DLS!B9)</f>
        <v>9.2196423260765513E-3</v>
      </c>
      <c r="C3" s="31">
        <f>(Population!C115*DLS!C3)/(Population!B115*DLS!C9)</f>
        <v>5.4773348920140012E-3</v>
      </c>
      <c r="D3" s="31">
        <f>(Population!C115*DLS!D3)/(Population!B115*DLS!D9)</f>
        <v>1.1583787785951202E-2</v>
      </c>
      <c r="E3" s="31">
        <f>(Population!C115*DLS!E3)/(Population!B115*DLS!E9)</f>
        <v>8.7614886441971934E-3</v>
      </c>
      <c r="F3" s="31">
        <f>(Population!C115*DLS!F3)/(Population!B115*DLS!F9)</f>
        <v>7.8863001187632689E-3</v>
      </c>
      <c r="G3" s="31">
        <f>(Population!C115*DLS!G3)/(Population!B115*DLS!G9)</f>
        <v>1.1583189226829783E-2</v>
      </c>
    </row>
    <row r="5" spans="1:8" x14ac:dyDescent="0.4">
      <c r="A5" t="s">
        <v>114</v>
      </c>
      <c r="B5">
        <f>(Population!C115*DLS!B4)/(Population!B115*DLS!B10)</f>
        <v>6.3763476382916566E-3</v>
      </c>
      <c r="C5" s="31">
        <f>(Population!C115*DLS!C4)/(Population!B115*DLS!C10)</f>
        <v>5.4738658909632108E-3</v>
      </c>
      <c r="D5" s="31">
        <f>(Population!C115*DLS!D4)/(Population!B115*DLS!D10)</f>
        <v>1.1560294581879071E-2</v>
      </c>
      <c r="E5" s="31">
        <f>(Population!C115*DLS!E4)/(Population!B115*DLS!E10)</f>
        <v>7.3307058166893228E-3</v>
      </c>
      <c r="F5" s="31">
        <f>(Population!C115*DLS!F4)/(Population!B115*DLS!F10)</f>
        <v>7.8863001187632689E-3</v>
      </c>
      <c r="G5" s="31">
        <f>(Population!C115*DLS!G4)/(Population!B115*DLS!G10)</f>
        <v>1.1555763383244126E-2</v>
      </c>
    </row>
    <row r="7" spans="1:8" x14ac:dyDescent="0.4">
      <c r="A7" t="s">
        <v>126</v>
      </c>
      <c r="G7" t="s">
        <v>127</v>
      </c>
    </row>
    <row r="8" spans="1:8" x14ac:dyDescent="0.4">
      <c r="A8" t="s">
        <v>118</v>
      </c>
      <c r="D8" s="31">
        <v>3494.0786014333898</v>
      </c>
      <c r="E8" t="s">
        <v>124</v>
      </c>
      <c r="F8">
        <f>1-F9</f>
        <v>0.82218380833807991</v>
      </c>
      <c r="G8">
        <v>0.7</v>
      </c>
      <c r="H8">
        <f>F8*G8+F9*G9</f>
        <v>0.74445404791547987</v>
      </c>
    </row>
    <row r="9" spans="1:8" x14ac:dyDescent="0.4">
      <c r="A9" t="s">
        <v>119</v>
      </c>
      <c r="D9" s="31">
        <v>201.308612543306</v>
      </c>
      <c r="E9" t="s">
        <v>125</v>
      </c>
      <c r="F9">
        <f>SUM(D9:D12)/SUM(D8:D13)</f>
        <v>0.17781619166192006</v>
      </c>
      <c r="G9">
        <v>0.95</v>
      </c>
    </row>
    <row r="10" spans="1:8" x14ac:dyDescent="0.4">
      <c r="A10" t="s">
        <v>120</v>
      </c>
      <c r="D10">
        <v>520</v>
      </c>
      <c r="E10" s="31" t="s">
        <v>125</v>
      </c>
    </row>
    <row r="11" spans="1:8" x14ac:dyDescent="0.4">
      <c r="A11" t="s">
        <v>121</v>
      </c>
      <c r="D11">
        <v>40</v>
      </c>
      <c r="E11" s="31" t="s">
        <v>125</v>
      </c>
    </row>
    <row r="12" spans="1:8" x14ac:dyDescent="0.4">
      <c r="A12" t="s">
        <v>122</v>
      </c>
      <c r="D12">
        <v>40</v>
      </c>
      <c r="E12" s="31" t="s">
        <v>125</v>
      </c>
    </row>
    <row r="13" spans="1:8" x14ac:dyDescent="0.4">
      <c r="A13" t="s">
        <v>123</v>
      </c>
      <c r="D13">
        <v>211</v>
      </c>
      <c r="E13" t="s">
        <v>124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7EBE8-6449-4730-9E28-CE2F7AF6313A}">
  <dimension ref="A1:A25"/>
  <sheetViews>
    <sheetView workbookViewId="0">
      <selection activeCell="B9" sqref="B9"/>
    </sheetView>
  </sheetViews>
  <sheetFormatPr baseColWidth="10" defaultRowHeight="14.6" x14ac:dyDescent="0.4"/>
  <cols>
    <col min="1" max="1" width="13.07421875" customWidth="1"/>
  </cols>
  <sheetData>
    <row r="1" spans="1:1" ht="15" thickBot="1" x14ac:dyDescent="0.45">
      <c r="A1" s="17" t="s">
        <v>7</v>
      </c>
    </row>
    <row r="2" spans="1:1" x14ac:dyDescent="0.4">
      <c r="A2">
        <f>170/74</f>
        <v>2.2972972972972974</v>
      </c>
    </row>
    <row r="3" spans="1:1" x14ac:dyDescent="0.4">
      <c r="A3">
        <f>1055/74</f>
        <v>14.256756756756756</v>
      </c>
    </row>
    <row r="4" spans="1:1" ht="15" thickBot="1" x14ac:dyDescent="0.45">
      <c r="A4" s="15" t="s">
        <v>6</v>
      </c>
    </row>
    <row r="6" spans="1:1" x14ac:dyDescent="0.4">
      <c r="A6" s="38"/>
    </row>
    <row r="7" spans="1:1" x14ac:dyDescent="0.4">
      <c r="A7" s="38">
        <f>((Population!C116/100)*A2)*1000</f>
        <v>17.76876871873117</v>
      </c>
    </row>
    <row r="8" spans="1:1" x14ac:dyDescent="0.4">
      <c r="A8" s="38">
        <f>((Population!C116/100)*A3)*1000</f>
        <v>110.27088822506695</v>
      </c>
    </row>
    <row r="9" spans="1:1" x14ac:dyDescent="0.4">
      <c r="A9" s="38"/>
    </row>
    <row r="10" spans="1:1" x14ac:dyDescent="0.4">
      <c r="A10" s="38" t="s">
        <v>81</v>
      </c>
    </row>
    <row r="11" spans="1:1" x14ac:dyDescent="0.4">
      <c r="A11" s="14">
        <v>1000000000</v>
      </c>
    </row>
    <row r="12" spans="1:1" ht="15" thickBot="1" x14ac:dyDescent="0.45">
      <c r="A12" s="15" t="s">
        <v>83</v>
      </c>
    </row>
    <row r="13" spans="1:1" x14ac:dyDescent="0.4">
      <c r="A13" s="20"/>
    </row>
    <row r="14" spans="1:1" x14ac:dyDescent="0.4">
      <c r="A14" s="22"/>
    </row>
    <row r="15" spans="1:1" x14ac:dyDescent="0.4">
      <c r="A15" s="22">
        <f>A2*1000000000/(Population!B115*1000)</f>
        <v>0.264704634686033</v>
      </c>
    </row>
    <row r="16" spans="1:1" x14ac:dyDescent="0.4">
      <c r="A16" s="22">
        <f>A3*1000000000/(Population!B115*1000)</f>
        <v>1.6427258211397928</v>
      </c>
    </row>
    <row r="17" spans="1:1" ht="15" thickBot="1" x14ac:dyDescent="0.45">
      <c r="A17" s="36" t="s">
        <v>94</v>
      </c>
    </row>
    <row r="18" spans="1:1" x14ac:dyDescent="0.4">
      <c r="A18" s="20"/>
    </row>
    <row r="19" spans="1:1" x14ac:dyDescent="0.4">
      <c r="A19">
        <f>(Capacité!G43/100)*A2</f>
        <v>1.2114682525646763E-3</v>
      </c>
    </row>
    <row r="20" spans="1:1" x14ac:dyDescent="0.4">
      <c r="A20">
        <f>(Capacité!G43/100)*A3</f>
        <v>7.5182294497396079E-3</v>
      </c>
    </row>
    <row r="23" spans="1:1" ht="15" thickBot="1" x14ac:dyDescent="0.45">
      <c r="A23" s="15"/>
    </row>
    <row r="24" spans="1:1" x14ac:dyDescent="0.4">
      <c r="A24">
        <f>A2*Besoins!B5*1000</f>
        <v>14.648366196075427</v>
      </c>
    </row>
    <row r="25" spans="1:1" x14ac:dyDescent="0.4">
      <c r="A25" s="31">
        <f>A3*Besoins!B5*1000</f>
        <v>90.906037275644564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8</vt:i4>
      </vt:variant>
    </vt:vector>
  </HeadingPairs>
  <TitlesOfParts>
    <vt:vector size="8" baseType="lpstr">
      <vt:lpstr>Synthèse</vt:lpstr>
      <vt:lpstr>Synthèse v2</vt:lpstr>
      <vt:lpstr>DLS</vt:lpstr>
      <vt:lpstr>DLE</vt:lpstr>
      <vt:lpstr>Population</vt:lpstr>
      <vt:lpstr>Capacité</vt:lpstr>
      <vt:lpstr>Besoins</vt:lpstr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Arnaud</dc:creator>
  <cp:lastModifiedBy>Arnaud Destarac (Student at CentraleSupelec)</cp:lastModifiedBy>
  <dcterms:created xsi:type="dcterms:W3CDTF">2015-06-05T18:17:20Z</dcterms:created>
  <dcterms:modified xsi:type="dcterms:W3CDTF">2026-07-01T13:54:29Z</dcterms:modified>
</cp:coreProperties>
</file>