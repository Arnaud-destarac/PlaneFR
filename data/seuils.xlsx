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821A6BE3-39FF-4922-A0E4-0DFCE10B668C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7" i="9" l="1"/>
  <c r="H17" i="9"/>
  <c r="G17" i="9"/>
  <c r="F17" i="9"/>
  <c r="E17" i="9"/>
  <c r="D17" i="9"/>
  <c r="C17" i="9"/>
  <c r="I8" i="9"/>
  <c r="H8" i="9"/>
  <c r="G8" i="9"/>
  <c r="F8" i="9"/>
  <c r="E8" i="9"/>
  <c r="D8" i="9"/>
  <c r="C8" i="9"/>
  <c r="B2" i="9"/>
  <c r="B8" i="9" s="1"/>
  <c r="B3" i="9"/>
  <c r="B4" i="9"/>
  <c r="B19" i="9" s="1"/>
  <c r="I18" i="9"/>
  <c r="I9" i="9"/>
  <c r="I10" i="9"/>
  <c r="K28" i="1"/>
  <c r="K27" i="1"/>
  <c r="K23" i="1"/>
  <c r="K22" i="1"/>
  <c r="K18" i="1"/>
  <c r="K17" i="1"/>
  <c r="K9" i="1"/>
  <c r="K8" i="1"/>
  <c r="L2" i="1"/>
  <c r="I24" i="9"/>
  <c r="I23" i="9"/>
  <c r="I19" i="9"/>
  <c r="H19" i="9"/>
  <c r="F19" i="9"/>
  <c r="E19" i="9"/>
  <c r="D19" i="9"/>
  <c r="C19" i="9"/>
  <c r="H18" i="9"/>
  <c r="F18" i="9"/>
  <c r="E18" i="9"/>
  <c r="D18" i="9"/>
  <c r="C18" i="9"/>
  <c r="G12" i="9"/>
  <c r="G9" i="9"/>
  <c r="H10" i="9"/>
  <c r="F10" i="9"/>
  <c r="E10" i="9"/>
  <c r="D10" i="9"/>
  <c r="C10" i="9"/>
  <c r="H9" i="9"/>
  <c r="F9" i="9"/>
  <c r="E9" i="9"/>
  <c r="D9" i="9"/>
  <c r="C9" i="9"/>
  <c r="D120" i="2"/>
  <c r="C120" i="2"/>
  <c r="B120" i="2"/>
  <c r="B17" i="9" l="1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D115" i="2"/>
  <c r="C115" i="2"/>
  <c r="B115" i="2"/>
  <c r="G19" i="9"/>
  <c r="G18" i="9"/>
  <c r="B10" i="9"/>
  <c r="B9" i="9" l="1"/>
  <c r="B18" i="9"/>
  <c r="B13" i="10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10" i="9"/>
  <c r="M46" i="3"/>
  <c r="C38" i="3"/>
  <c r="D38" i="3"/>
  <c r="B38" i="3"/>
  <c r="D113" i="2"/>
  <c r="C113" i="2"/>
  <c r="G4" i="10" l="1"/>
  <c r="G15" i="10" s="1"/>
  <c r="G13" i="10"/>
  <c r="F4" i="10"/>
  <c r="F15" i="10" s="1"/>
  <c r="F13" i="10"/>
  <c r="C39" i="3"/>
  <c r="D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A16" i="8"/>
  <c r="A15" i="8"/>
  <c r="G5" i="6"/>
  <c r="D2" i="5"/>
  <c r="F2" i="6" s="1"/>
  <c r="G3" i="6"/>
  <c r="G2" i="6"/>
  <c r="I25" i="1" l="1"/>
  <c r="D4" i="5"/>
  <c r="I24" i="1"/>
  <c r="E3" i="6"/>
  <c r="D3" i="6"/>
  <c r="C3" i="6"/>
  <c r="B3" i="6"/>
  <c r="E2" i="6"/>
  <c r="D2" i="6"/>
  <c r="C2" i="6"/>
  <c r="C5" i="6"/>
  <c r="E5" i="6"/>
  <c r="B5" i="6"/>
  <c r="B2" i="6"/>
  <c r="C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B44" i="3"/>
  <c r="D44" i="3"/>
  <c r="C122" i="2"/>
  <c r="D122" i="2"/>
  <c r="B122" i="2"/>
  <c r="B123" i="2" s="1"/>
  <c r="B121" i="2"/>
  <c r="B116" i="2"/>
  <c r="D119" i="2"/>
  <c r="B119" i="2"/>
  <c r="C119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C123" i="2"/>
  <c r="D123" i="2"/>
  <c r="A25" i="8"/>
  <c r="A24" i="8"/>
  <c r="B25" i="1"/>
  <c r="B24" i="1"/>
  <c r="H25" i="1"/>
  <c r="H24" i="1"/>
  <c r="C25" i="1"/>
  <c r="C24" i="1"/>
  <c r="D5" i="6"/>
  <c r="D45" i="3"/>
  <c r="C45" i="3"/>
  <c r="B45" i="3"/>
  <c r="B15" i="1"/>
  <c r="C121" i="2"/>
  <c r="D121" i="2"/>
  <c r="B40" i="3"/>
  <c r="C40" i="3"/>
  <c r="D40" i="3"/>
  <c r="C118" i="2"/>
  <c r="D116" i="2"/>
  <c r="C116" i="2"/>
  <c r="D118" i="2"/>
  <c r="D7" i="1" l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41" i="3"/>
  <c r="C41" i="3"/>
  <c r="D24" i="1"/>
  <c r="C42" i="3"/>
  <c r="H23" i="9" s="1"/>
  <c r="D42" i="3"/>
  <c r="B42" i="3"/>
  <c r="B43" i="3" s="1"/>
  <c r="C7" i="1"/>
  <c r="C43" i="3" l="1"/>
  <c r="H19" i="1"/>
  <c r="D43" i="3"/>
  <c r="D24" i="9" l="1"/>
  <c r="B24" i="9"/>
  <c r="G23" i="9"/>
  <c r="F23" i="9"/>
  <c r="E23" i="9"/>
  <c r="D23" i="9"/>
  <c r="C23" i="9"/>
  <c r="H24" i="9"/>
  <c r="B23" i="9"/>
  <c r="F24" i="9"/>
  <c r="E24" i="9"/>
  <c r="C24" i="9"/>
  <c r="G24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<sst xmlns="http://schemas.openxmlformats.org/spreadsheetml/2006/main" count="343" uniqueCount="228">
  <si>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</si>
  <si>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</si>
  <si>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</si>
  <si>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</si>
  <si>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</si>
  <si>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</si>
  <si>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</si>
  <si>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</si>
  <si>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</si>
  <si>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</si>
  <si>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</si>
  <si>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</si>
  <si>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</si>
  <si>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</si>
  <si>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</si>
  <si>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</si>
  <si>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</si>
  <si>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</si>
  <si>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</si>
  <si>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</si>
  <si>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</si>
  <si>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</si>
  <si>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</si>
  <si>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</si>
  <si>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</si>
  <si>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</si>
  <si>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</si>
  <si>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</si>
  <si>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</si>
  <si>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</si>
  <si>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</si>
  <si>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</si>
  <si>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</si>
  <si>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</si>
  <si>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</si>
  <si>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</si>
  <si>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</si>
  <si>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</si>
  <si>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</si>
  <si>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</si>
  <si>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</si>
  <si>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</si>
  <si>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</si>
  <si>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</si>
  <si>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</si>
  <si>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</si>
  <si>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</si>
  <si>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</si>
  <si>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</si>
  <si>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</si>
  <si>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</si>
  <si>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</si>
  <si>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</si>
  <si>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</si>
  <si>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</si>
  <si>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</si>
  <si>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</si>
  <si>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</si>
  <si>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</si>
  <si>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</si>
  <si>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</si>
  <si>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</si>
  <si>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</si>
  <si>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</si>
  <si>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Borne Max</t>
  </si>
  <si>
    <t>Borne Min</t>
  </si>
  <si>
    <t>https://data.europa.eu/doi/10.2800/890673</t>
  </si>
  <si>
    <t>Transformation</t>
  </si>
  <si>
    <t>Part 2015</t>
  </si>
  <si>
    <t>Part 2019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</si>
  <si>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</si>
  <si>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</si>
  <si>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</si>
  <si>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</si>
  <si>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</si>
  <si>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</si>
  <si>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</si>
  <si>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</si>
  <si>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</si>
  <si>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</si>
  <si>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</si>
  <si>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</si>
  <si>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</si>
  <si>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</si>
  <si>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</si>
  <si>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</si>
  <si>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</si>
  <si>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</si>
  <si>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</si>
  <si>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</si>
  <si>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</si>
  <si>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</si>
  <si>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</si>
  <si>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</si>
  <si>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</si>
  <si>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</si>
  <si>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</si>
  <si>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</si>
  <si>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</si>
  <si>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</si>
  <si>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</si>
  <si>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</si>
  <si>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</si>
  <si>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</si>
  <si>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</si>
  <si>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</si>
  <si>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</si>
  <si>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</si>
  <si>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</si>
  <si>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</si>
  <si>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</si>
  <si>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</si>
  <si>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</si>
  <si>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</si>
  <si>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</si>
  <si>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</si>
  <si>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</si>
  <si>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</si>
  <si>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</si>
  <si>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</si>
  <si>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</si>
  <si>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</si>
  <si>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</si>
  <si>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</si>
  <si>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</si>
  <si>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</si>
  <si>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</si>
  <si>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</si>
  <si>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</si>
  <si>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</si>
  <si>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</si>
  <si>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</si>
  <si>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</si>
  <si>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</si>
  <si>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</si>
  <si>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</si>
  <si>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</si>
  <si>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</si>
  <si>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</si>
  <si>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</si>
  <si>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</si>
  <si>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</si>
  <si>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</si>
  <si>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</si>
  <si>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</si>
  <si>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</si>
  <si>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</si>
  <si>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</si>
  <si>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</si>
  <si>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</si>
  <si>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</si>
  <si>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</si>
  <si>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</si>
  <si>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</si>
  <si>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</si>
  <si>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</si>
  <si>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</si>
  <si>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</si>
  <si>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</si>
  <si>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</si>
  <si>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</si>
  <si>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</si>
  <si>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</si>
  <si>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</si>
  <si>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</si>
  <si>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</si>
  <si>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</si>
  <si>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</si>
  <si>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</si>
  <si>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</si>
  <si>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</si>
  <si>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</si>
  <si>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</si>
  <si>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</si>
  <si>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</si>
  <si>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</si>
  <si>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</si>
  <si>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</si>
  <si>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</si>
  <si>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</si>
  <si>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</si>
  <si>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</si>
  <si>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</si>
  <si>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</si>
  <si>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</si>
  <si>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</si>
  <si>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</si>
  <si>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</si>
  <si>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</si>
  <si>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</si>
  <si>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</si>
  <si>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</si>
  <si>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</si>
  <si>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</si>
  <si>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</si>
  <si>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</si>
  <si>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</si>
  <si>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</si>
  <si>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</si>
  <si>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</si>
  <si>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</si>
  <si>
    <t>Moyenne 2019-2050</t>
  </si>
  <si>
    <t>Moyenne 1990-2024</t>
  </si>
  <si>
    <t>GDP PPP</t>
  </si>
  <si>
    <t>Bornes</t>
  </si>
  <si>
    <t>Projections SSP</t>
  </si>
  <si>
    <t>https://ssp.apps.ece.iiasa.ac.at/basic-drivers?type=line-chart&amp;variables=299&amp;regions=251,76&amp;runs=7,8,9,10,11,12&amp;dataHash=1f0c69e4b47fc1&amp;open=true</t>
  </si>
  <si>
    <t>PDF.m2.yr</t>
  </si>
  <si>
    <t>1e9 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</si>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</sst>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8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0" fillId="6" borderId="0" xfId="0" applyNumberFormat="1" applyFill="1"/>
    <xf numFmtId="11" fontId="0" fillId="0" borderId="0" xfId="0" applyNumberFormat="1" applyFill="1"/>
    <xf numFmtId="0" fontId="0" fillId="6" borderId="0" xfId="0" applyNumberFormat="1" applyFill="1"/>
    <xf numFmtId="0" fontId="0" fillId="4" borderId="0" xfId="0" applyNumberFormat="1" applyFill="1"/>
    <xf numFmtId="0" fontId="0" fillId="15" borderId="3" xfId="0" applyFill="1" applyBorder="1"/>
    <xf numFmtId="11" fontId="0" fillId="15" borderId="0" xfId="0" applyNumberFormat="1" applyFill="1"/>
    <xf numFmtId="0" fontId="0" fillId="15" borderId="0" xfId="0" applyFill="1"/>
    <xf numFmtId="11" fontId="0" fillId="15" borderId="0" xfId="0" applyNumberFormat="1" applyFill="1" applyBorder="1"/>
    <xf numFmtId="0" fontId="0" fillId="16" borderId="2" xfId="0" applyFill="1" applyBorder="1"/>
    <xf numFmtId="0" fontId="0" fillId="16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7" borderId="3" xfId="0" applyFill="1" applyBorder="1" applyAlignment="1">
      <alignment wrapText="1"/>
    </xf>
    <xf numFmtId="0" fontId="0" fillId="17" borderId="0" xfId="0" applyFill="1" applyBorder="1" applyAlignment="1">
      <alignment horizontal="center" vertical="center"/>
    </xf>
    <xf numFmtId="0" fontId="0" fillId="17" borderId="3" xfId="0" applyFill="1" applyBorder="1"/>
    <xf numFmtId="0" fontId="0" fillId="17" borderId="0" xfId="0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7" borderId="2" xfId="0" applyFill="1" applyBorder="1"/>
    <xf numFmtId="0" fontId="0" fillId="17" borderId="1" xfId="0" applyFill="1" applyBorder="1"/>
    <xf numFmtId="0" fontId="0" fillId="18" borderId="2" xfId="0" applyFill="1" applyBorder="1" applyAlignment="1">
      <alignment wrapText="1"/>
    </xf>
    <xf numFmtId="0" fontId="0" fillId="18" borderId="1" xfId="0" applyFill="1" applyBorder="1" applyAlignment="1">
      <alignment horizontal="center" wrapText="1"/>
    </xf>
    <xf numFmtId="0" fontId="0" fillId="18" borderId="2" xfId="0" applyFill="1" applyBorder="1" applyAlignment="1">
      <alignment horizontal="center" wrapText="1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7" borderId="0" xfId="0" applyFont="1" applyFill="1" applyAlignment="1">
      <alignment horizontal="center" vertical="center" textRotation="180" wrapText="1"/>
    </xf>
    <xf numFmtId="0" fontId="8" fillId="9" borderId="0" xfId="0" applyFont="1" applyFill="1" applyAlignment="1">
      <alignment horizontal="center" vertical="center" textRotation="180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sp.apps.ece.iiasa.ac.at/basic-drivers?type=line-chart&amp;variables=299&amp;regions=251,76&amp;runs=7,8,9,10,11,12&amp;dataHash=1f0c69e4b47fc1&amp;open=true" TargetMode="External"/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I26"/>
  <sheetViews>
    <sheetView tabSelected="1" topLeftCell="A12" workbookViewId="0">
      <selection activeCell="I17" sqref="I17"/>
    </sheetView>
  </sheetViews>
  <sheetFormatPr baseColWidth="10" defaultColWidth="9.19921875" defaultRowHeight="14.25" x14ac:dyDescent="0.45"/>
  <cols>
    <col min="1" max="1" width="27" style="28" customWidth="1"/>
    <col min="2" max="2" width="14.1328125" style="28" customWidth="1"/>
    <col min="3" max="3" width="11.6640625" style="28" customWidth="1"/>
    <col min="4" max="4" width="14.06640625" style="28" customWidth="1"/>
    <col min="5" max="7" width="9.19921875" style="28"/>
    <col min="8" max="8" width="11.9296875" style="28" customWidth="1"/>
    <col min="9" max="9" width="13.9296875" style="28" customWidth="1"/>
    <col min="10" max="16384" width="9.19921875" style="28"/>
  </cols>
  <sheetData>
    <row r="1" spans="1:9" s="3" customFormat="1" ht="31.8" customHeight="1" thickBot="1" x14ac:dyDescent="0.5">
      <c r="A1" s="68" t="s">
        <v>216</v>
      </c>
      <c r="B1" s="69" t="s">
        <v>193</v>
      </c>
      <c r="C1" s="69" t="s">
        <v>199</v>
      </c>
      <c r="D1" s="69" t="s">
        <v>194</v>
      </c>
      <c r="E1" s="69" t="s">
        <v>195</v>
      </c>
      <c r="F1" s="69" t="s">
        <v>196</v>
      </c>
      <c r="G1" s="69" t="s">
        <v>200</v>
      </c>
      <c r="H1" s="69" t="s">
        <v>197</v>
      </c>
      <c r="I1" s="70" t="s">
        <v>198</v>
      </c>
    </row>
    <row r="2" spans="1:9" x14ac:dyDescent="0.45">
      <c r="A2" s="61" t="s">
        <v>210</v>
      </c>
      <c r="B2" s="62">
        <f>(1.33*10+163.83)/74</f>
        <v>2.3936486486486488</v>
      </c>
      <c r="C2" s="62">
        <v>1100</v>
      </c>
      <c r="D2" s="62">
        <v>10.6</v>
      </c>
      <c r="E2" s="62">
        <v>34</v>
      </c>
      <c r="F2" s="62"/>
      <c r="G2" s="62"/>
      <c r="H2" s="62"/>
      <c r="I2" s="62"/>
    </row>
    <row r="3" spans="1:9" x14ac:dyDescent="0.45">
      <c r="A3" s="63" t="s">
        <v>212</v>
      </c>
      <c r="B3" s="64">
        <f>(1.33*130+163.83)/74</f>
        <v>4.5504054054054057</v>
      </c>
      <c r="C3" s="64">
        <v>2800</v>
      </c>
      <c r="D3" s="64">
        <v>12.6</v>
      </c>
      <c r="E3" s="64">
        <v>57</v>
      </c>
      <c r="F3" s="64">
        <v>4.5</v>
      </c>
      <c r="G3" s="64">
        <v>39.6</v>
      </c>
      <c r="H3" s="64">
        <v>25</v>
      </c>
      <c r="I3" s="65">
        <v>6.5</v>
      </c>
    </row>
    <row r="4" spans="1:9" x14ac:dyDescent="0.45">
      <c r="A4" s="63" t="s">
        <v>211</v>
      </c>
      <c r="B4" s="64">
        <f>(1.33*1050+163.83)/74</f>
        <v>21.085540540540539</v>
      </c>
      <c r="C4" s="64">
        <v>4500</v>
      </c>
      <c r="D4" s="64">
        <v>14.6</v>
      </c>
      <c r="E4" s="64">
        <v>74</v>
      </c>
      <c r="F4" s="64">
        <v>9</v>
      </c>
      <c r="G4" s="64">
        <v>49</v>
      </c>
      <c r="H4" s="64">
        <v>50</v>
      </c>
      <c r="I4" s="64"/>
    </row>
    <row r="5" spans="1:9" ht="14.65" thickBot="1" x14ac:dyDescent="0.5">
      <c r="A5" s="66" t="s">
        <v>218</v>
      </c>
      <c r="B5" s="67" t="s">
        <v>190</v>
      </c>
      <c r="C5" s="67" t="s">
        <v>77</v>
      </c>
      <c r="D5" s="67" t="s">
        <v>8</v>
      </c>
      <c r="E5" s="67" t="s">
        <v>9</v>
      </c>
      <c r="F5" s="67" t="s">
        <v>9</v>
      </c>
      <c r="G5" s="67" t="s">
        <v>13</v>
      </c>
      <c r="H5" s="67" t="s">
        <v>6</v>
      </c>
      <c r="I5" s="67" t="s">
        <v>209</v>
      </c>
    </row>
    <row r="6" spans="1:9" x14ac:dyDescent="0.45">
      <c r="A6" s="19"/>
      <c r="B6" s="20"/>
      <c r="C6" s="20"/>
      <c r="D6" s="20"/>
      <c r="E6" s="20"/>
      <c r="F6" s="20"/>
      <c r="G6" s="20"/>
      <c r="H6" s="20"/>
      <c r="I6" s="20"/>
    </row>
    <row r="7" spans="1:9" x14ac:dyDescent="0.45">
      <c r="A7" s="52" t="s">
        <v>224</v>
      </c>
      <c r="B7" s="53">
        <v>1E-3</v>
      </c>
      <c r="C7" s="54">
        <v>1</v>
      </c>
      <c r="D7" s="53">
        <v>1E-3</v>
      </c>
      <c r="E7" s="53">
        <v>1E-3</v>
      </c>
      <c r="F7" s="53">
        <v>1E-3</v>
      </c>
      <c r="G7" s="54">
        <v>2.7777800000000001E-4</v>
      </c>
      <c r="H7" s="53">
        <v>1E-3</v>
      </c>
      <c r="I7" s="53">
        <v>1E-3</v>
      </c>
    </row>
    <row r="8" spans="1:9" x14ac:dyDescent="0.45">
      <c r="A8" s="34" t="s">
        <v>213</v>
      </c>
      <c r="B8" s="35">
        <f>((Population!C121/100)*B2)*1000</f>
        <v>18.296406656912701</v>
      </c>
      <c r="C8" s="35">
        <f>(Population!C121/100)*C2</f>
        <v>8.4081042278140004</v>
      </c>
      <c r="D8" s="35">
        <f>((Population!C121/100)*D2)*1000</f>
        <v>81.02354983166218</v>
      </c>
      <c r="E8" s="35">
        <f>((Population!C121/100)*E2)*1000</f>
        <v>259.88685795061457</v>
      </c>
      <c r="F8" s="35">
        <f>((Population!C121/100)*F2)*1000</f>
        <v>0</v>
      </c>
      <c r="G8" s="35">
        <f>(G2*Population!C113)*0.000366668</f>
        <v>0</v>
      </c>
      <c r="H8" s="35">
        <f>((Population!C121/100)*H2)*1000</f>
        <v>0</v>
      </c>
      <c r="I8" s="35">
        <f>(Population!C121/100)*I2</f>
        <v>0</v>
      </c>
    </row>
    <row r="9" spans="1:9" x14ac:dyDescent="0.45">
      <c r="A9" s="34" t="s">
        <v>215</v>
      </c>
      <c r="B9" s="48">
        <f>((Population!C123/100)*B3)/B7</f>
        <v>32.050584375319076</v>
      </c>
      <c r="C9" s="35">
        <f>(Population!C123/100)*C3</f>
        <v>19.721679335271915</v>
      </c>
      <c r="D9" s="35">
        <f>((Population!C123/100)*D3)*1000</f>
        <v>88.747557008723618</v>
      </c>
      <c r="E9" s="35">
        <f>((Population!C123/100)*E3)*1000</f>
        <v>401.47704361089257</v>
      </c>
      <c r="F9" s="35">
        <f>((Population!C123/100)*F3)*1000</f>
        <v>31.695556074544147</v>
      </c>
      <c r="G9" s="35">
        <f>(G3*Population!C115)*0.000277778</f>
        <v>738.39512671562909</v>
      </c>
      <c r="H9" s="35">
        <f>((Population!C123/100)*H3)*1000</f>
        <v>176.08642263635642</v>
      </c>
      <c r="I9" s="50">
        <f>(Population!C123/100)*I3*1000</f>
        <v>45.782469885452663</v>
      </c>
    </row>
    <row r="10" spans="1:9" x14ac:dyDescent="0.45">
      <c r="A10" s="34" t="s">
        <v>214</v>
      </c>
      <c r="B10" s="35">
        <f>((Population!C123/100)*B4)*1000</f>
        <v>148.51509612550592</v>
      </c>
      <c r="C10" s="35">
        <f>(Population!C123/100)*C4</f>
        <v>31.69555607454415</v>
      </c>
      <c r="D10" s="35">
        <f>((Population!C123/100)*D4)*1000</f>
        <v>102.83447081963213</v>
      </c>
      <c r="E10" s="35">
        <f>((Population!C123/100)*E4)*1000</f>
        <v>521.21581100361493</v>
      </c>
      <c r="F10" s="35">
        <f>((Population!C123/100)*F4)*1000</f>
        <v>63.391112149088293</v>
      </c>
      <c r="G10" s="35">
        <f>(G4*Population!C115)*0.000366668</f>
        <v>1206.0487944160323</v>
      </c>
      <c r="H10" s="35">
        <f>((Population!C123/100)*H4)*1000</f>
        <v>352.17284527271283</v>
      </c>
      <c r="I10" s="35">
        <f>(Population!C123/100)*I4</f>
        <v>0</v>
      </c>
    </row>
    <row r="11" spans="1:9" x14ac:dyDescent="0.45">
      <c r="A11" s="34" t="s">
        <v>217</v>
      </c>
      <c r="B11" s="35" t="s">
        <v>180</v>
      </c>
      <c r="C11" s="35" t="s">
        <v>187</v>
      </c>
      <c r="D11" s="35" t="s">
        <v>165</v>
      </c>
      <c r="E11" s="35" t="s">
        <v>84</v>
      </c>
      <c r="F11" s="35" t="s">
        <v>84</v>
      </c>
      <c r="G11" s="35" t="s">
        <v>87</v>
      </c>
      <c r="H11" s="35" t="s">
        <v>78</v>
      </c>
      <c r="I11" s="35" t="s">
        <v>208</v>
      </c>
    </row>
    <row r="12" spans="1:9" x14ac:dyDescent="0.45">
      <c r="A12" s="52" t="s">
        <v>225</v>
      </c>
      <c r="B12" s="53">
        <v>1</v>
      </c>
      <c r="C12" s="53">
        <v>1000</v>
      </c>
      <c r="D12" s="53">
        <v>1000</v>
      </c>
      <c r="E12" s="53">
        <v>1E-3</v>
      </c>
      <c r="F12" s="53">
        <v>1E-3</v>
      </c>
      <c r="G12" s="54">
        <f>1/0.000277778</f>
        <v>3599.9971200023037</v>
      </c>
      <c r="H12" s="53">
        <v>1000</v>
      </c>
      <c r="I12" s="53">
        <v>1000000000</v>
      </c>
    </row>
    <row r="13" spans="1:9" s="60" customFormat="1" x14ac:dyDescent="0.45">
      <c r="A13" s="58"/>
      <c r="B13" s="59"/>
      <c r="C13" s="59"/>
      <c r="D13" s="59"/>
      <c r="E13" s="59"/>
      <c r="F13" s="59"/>
      <c r="H13" s="59"/>
      <c r="I13" s="59"/>
    </row>
    <row r="14" spans="1:9" ht="14.65" thickBot="1" x14ac:dyDescent="0.5">
      <c r="A14" s="56" t="s">
        <v>223</v>
      </c>
      <c r="B14" s="57" t="s">
        <v>180</v>
      </c>
      <c r="C14" s="57" t="s">
        <v>82</v>
      </c>
      <c r="D14" s="57" t="s">
        <v>81</v>
      </c>
      <c r="E14" s="57" t="s">
        <v>9</v>
      </c>
      <c r="F14" s="57" t="s">
        <v>9</v>
      </c>
      <c r="G14" s="57" t="s">
        <v>79</v>
      </c>
      <c r="H14" s="57" t="s">
        <v>89</v>
      </c>
      <c r="I14" s="57" t="s">
        <v>207</v>
      </c>
    </row>
    <row r="15" spans="1:9" x14ac:dyDescent="0.45">
      <c r="A15" s="19"/>
      <c r="B15" s="20"/>
      <c r="C15" s="20"/>
      <c r="D15" s="20"/>
      <c r="E15" s="20"/>
      <c r="F15" s="20"/>
      <c r="G15" s="20"/>
      <c r="H15" s="20"/>
      <c r="I15" s="20"/>
    </row>
    <row r="16" spans="1:9" x14ac:dyDescent="0.45">
      <c r="A16" s="52" t="s">
        <v>226</v>
      </c>
      <c r="B16" s="53">
        <v>1.0000000000000001E-9</v>
      </c>
      <c r="C16" s="53">
        <v>1.0000000000000001E-9</v>
      </c>
      <c r="D16" s="53">
        <v>9.9999999999999998E-13</v>
      </c>
      <c r="E16" s="53">
        <v>1.0000000000000001E-9</v>
      </c>
      <c r="F16" s="53">
        <v>1.0000000000000001E-9</v>
      </c>
      <c r="G16" s="53">
        <v>1</v>
      </c>
      <c r="H16" s="53">
        <v>1.0000000000000001E-9</v>
      </c>
      <c r="I16" s="53">
        <v>9.9999999999999998E-13</v>
      </c>
    </row>
    <row r="17" spans="1:9" x14ac:dyDescent="0.45">
      <c r="A17" s="31" t="s">
        <v>219</v>
      </c>
      <c r="B17" s="22">
        <f>B2*1000000000/(Population!B120*1000)</f>
        <v>0.27159144973886129</v>
      </c>
      <c r="C17" s="22">
        <f>C2*1000000000/(Population!B120*1000)</f>
        <v>124.80971043156613</v>
      </c>
      <c r="D17" s="22">
        <f>D2*1000000000000/(Population!B120*1000)</f>
        <v>1202.711755067819</v>
      </c>
      <c r="E17" s="22">
        <f>E2*1000000000/(Population!B120*1000)</f>
        <v>3.8577546860665897</v>
      </c>
      <c r="F17" s="22">
        <f>F2*1000000000/(Population!B120*1000)</f>
        <v>0</v>
      </c>
      <c r="G17" s="22">
        <f>G2</f>
        <v>0</v>
      </c>
      <c r="H17" s="22">
        <f>H2*1000000000/(Population!B120*1000)</f>
        <v>0</v>
      </c>
      <c r="I17" s="22">
        <f>I2*1000000/(Population!B120*1000)</f>
        <v>0</v>
      </c>
    </row>
    <row r="18" spans="1:9" x14ac:dyDescent="0.45">
      <c r="A18" s="31" t="s">
        <v>220</v>
      </c>
      <c r="B18" s="22">
        <f>B3*1000000000/(Population!B122*1000)</f>
        <v>0.47274918979548014</v>
      </c>
      <c r="C18" s="22">
        <f>C3*1000000000/(Population!B122*1000)</f>
        <v>290.89665941740702</v>
      </c>
      <c r="D18" s="22">
        <f>D3*1000000000000/(Population!B122*1000)</f>
        <v>1309.0349673783317</v>
      </c>
      <c r="E18" s="22">
        <f>E3*1000000000/(Population!B122*1000)</f>
        <v>5.9218248524257859</v>
      </c>
      <c r="F18" s="22">
        <f>F3*1000000000/(Population!B122*1000)</f>
        <v>0.46751248834940412</v>
      </c>
      <c r="G18" s="22">
        <f>G3</f>
        <v>39.6</v>
      </c>
      <c r="H18" s="22">
        <f>H3*1000000000/(Population!B122*1000)</f>
        <v>2.5972916019411341</v>
      </c>
      <c r="I18" s="51">
        <f>I3/(Population!B122*1000)*1000000000000</f>
        <v>675.29581650469493</v>
      </c>
    </row>
    <row r="19" spans="1:9" x14ac:dyDescent="0.45">
      <c r="A19" s="31" t="s">
        <v>221</v>
      </c>
      <c r="B19" s="22">
        <f>B4*1000000000/(Population!B122*1000)</f>
        <v>2.1906118947334106</v>
      </c>
      <c r="C19" s="22">
        <f>C4*1000000000/(Population!B122*1000)</f>
        <v>467.51248834940412</v>
      </c>
      <c r="D19" s="22">
        <f>D4*1000000000000/(Population!B122*1000)</f>
        <v>1516.8182955336224</v>
      </c>
      <c r="E19" s="22">
        <f>E4*1000000000/(Population!B122*1000)</f>
        <v>7.6879831417457574</v>
      </c>
      <c r="F19" s="22">
        <f>F4*1000000000/(Population!B122*1000)</f>
        <v>0.93502497669880824</v>
      </c>
      <c r="G19" s="22">
        <f>G4</f>
        <v>49</v>
      </c>
      <c r="H19" s="22">
        <f>H4*1000000000/(Population!B122*1000)</f>
        <v>5.1945832038822681</v>
      </c>
      <c r="I19" s="22">
        <f>I4*1000000/(Population!B122*1000)</f>
        <v>0</v>
      </c>
    </row>
    <row r="20" spans="1:9" ht="14.65" thickBot="1" x14ac:dyDescent="0.5">
      <c r="A20" s="32" t="s">
        <v>222</v>
      </c>
      <c r="B20" s="33" t="s">
        <v>191</v>
      </c>
      <c r="C20" s="33" t="s">
        <v>93</v>
      </c>
      <c r="D20" s="33" t="s">
        <v>94</v>
      </c>
      <c r="E20" s="33" t="s">
        <v>80</v>
      </c>
      <c r="F20" s="33" t="s">
        <v>80</v>
      </c>
      <c r="G20" s="33" t="s">
        <v>92</v>
      </c>
      <c r="H20" s="33" t="s">
        <v>91</v>
      </c>
      <c r="I20" s="33" t="s">
        <v>207</v>
      </c>
    </row>
    <row r="21" spans="1:9" x14ac:dyDescent="0.45">
      <c r="A21" s="52" t="s">
        <v>227</v>
      </c>
      <c r="B21" s="55">
        <v>9.9999999999999995E-7</v>
      </c>
      <c r="C21" s="55">
        <v>9.9999999999999995E-7</v>
      </c>
      <c r="D21" s="55">
        <v>9.9999999999999995E-7</v>
      </c>
      <c r="E21" s="55">
        <v>1.0000000000000001E-9</v>
      </c>
      <c r="F21" s="55">
        <v>1.0000000000000001E-9</v>
      </c>
      <c r="G21" s="55">
        <v>1E-3</v>
      </c>
      <c r="H21" s="55">
        <v>1E-3</v>
      </c>
      <c r="I21" s="55">
        <v>1</v>
      </c>
    </row>
    <row r="22" spans="1:9" x14ac:dyDescent="0.45">
      <c r="A22" s="19"/>
      <c r="B22" s="20"/>
      <c r="C22" s="20"/>
      <c r="D22" s="20"/>
      <c r="E22" s="20"/>
      <c r="F22" s="20"/>
      <c r="G22" s="20"/>
      <c r="H22" s="20"/>
      <c r="I22" s="20"/>
    </row>
    <row r="23" spans="1:9" x14ac:dyDescent="0.45">
      <c r="A23" s="19" t="s">
        <v>16</v>
      </c>
      <c r="B23" s="28">
        <f>(Capacité!C43/100)*B3</f>
        <v>2.3996335569770794E-3</v>
      </c>
      <c r="C23" s="28">
        <f>(Capacité!C43/100)*C3</f>
        <v>1.4765660113611818</v>
      </c>
      <c r="D23" s="28">
        <f>(Capacité!C43/100)*D3</f>
        <v>6.6445470511253182E-3</v>
      </c>
      <c r="E23" s="28">
        <f>(Capacité!C43/100)*E3</f>
        <v>3.0058665231281204E-2</v>
      </c>
      <c r="F23" s="28">
        <f>(Capacité!C43/100)*F3</f>
        <v>2.3730525182590425E-3</v>
      </c>
      <c r="G23" s="28">
        <f>(Capacité!C43/100)*G3</f>
        <v>2.0882862160679572E-2</v>
      </c>
      <c r="H23" s="28">
        <f>((Capacité!C42/100)*H3)*1000</f>
        <v>13.743345116682876</v>
      </c>
      <c r="I23" s="28">
        <f>(Capacité!C43/100)*I3</f>
        <v>3.4277425263741722E-3</v>
      </c>
    </row>
    <row r="24" spans="1:9" x14ac:dyDescent="0.45">
      <c r="A24" s="19" t="s">
        <v>102</v>
      </c>
      <c r="B24" s="28">
        <f>(Capacité!C43/100)*B4</f>
        <v>1.11193544619073E-2</v>
      </c>
      <c r="C24" s="28">
        <f>(Capacité!C43/100)*C4</f>
        <v>2.3730525182590423</v>
      </c>
      <c r="D24" s="28">
        <f>(Capacité!C43/100)*D4</f>
        <v>7.6992370592404488E-3</v>
      </c>
      <c r="E24" s="28">
        <f>(Capacité!C43/100)*E4</f>
        <v>3.9023530300259811E-2</v>
      </c>
      <c r="F24" s="28">
        <f>(Capacité!C43/100)*F4</f>
        <v>4.746105036518085E-3</v>
      </c>
      <c r="G24" s="28">
        <f>(Capacité!C43/100)*G4</f>
        <v>2.5839905198820682E-2</v>
      </c>
      <c r="H24" s="28">
        <f>((Capacité!C43/100)*H4)*1000</f>
        <v>26.367250202878246</v>
      </c>
      <c r="I24" s="28">
        <f>(Capacité!C43/100)*I4</f>
        <v>0</v>
      </c>
    </row>
    <row r="25" spans="1:9" x14ac:dyDescent="0.45">
      <c r="A25" s="19"/>
    </row>
    <row r="26" spans="1:9" x14ac:dyDescent="0.45">
      <c r="A26" s="1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K8" sqref="K8"/>
    </sheetView>
  </sheetViews>
  <sheetFormatPr baseColWidth="10" defaultColWidth="9.19921875" defaultRowHeight="14.25" x14ac:dyDescent="0.45"/>
  <cols>
    <col min="1" max="1" width="21.1328125" customWidth="1"/>
    <col min="4" max="4" width="14.06640625" customWidth="1"/>
    <col min="9" max="10" width="11.86328125" bestFit="1" customWidth="1"/>
    <col min="11" max="11" width="11.86328125" style="28" bestFit="1" customWidth="1"/>
  </cols>
  <sheetData>
    <row r="1" spans="1:12" ht="14.65" thickBot="1" x14ac:dyDescent="0.5">
      <c r="A1" s="18" t="s">
        <v>76</v>
      </c>
      <c r="B1" s="17" t="s">
        <v>181</v>
      </c>
      <c r="C1" s="17" t="s">
        <v>182</v>
      </c>
      <c r="D1" s="17" t="s">
        <v>183</v>
      </c>
      <c r="E1" s="17" t="s">
        <v>0</v>
      </c>
      <c r="F1" s="17" t="s">
        <v>1</v>
      </c>
      <c r="G1" s="17" t="s">
        <v>184</v>
      </c>
      <c r="H1" s="17" t="s">
        <v>185</v>
      </c>
      <c r="I1" s="18" t="s">
        <v>186</v>
      </c>
      <c r="K1" s="18" t="s">
        <v>198</v>
      </c>
    </row>
    <row r="2" spans="1:12" x14ac:dyDescent="0.45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 s="28">
        <v>3724</v>
      </c>
      <c r="L2" t="e">
        <f>0.258/K3</f>
        <v>#DIV/0!</v>
      </c>
    </row>
    <row r="3" spans="1:12" x14ac:dyDescent="0.45">
      <c r="A3" s="19" t="s">
        <v>74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</row>
    <row r="4" spans="1:12" ht="14.65" thickBot="1" x14ac:dyDescent="0.5">
      <c r="A4" s="16" t="s">
        <v>5</v>
      </c>
      <c r="B4" s="15" t="s">
        <v>6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  <c r="K4" s="15" t="s">
        <v>10</v>
      </c>
    </row>
    <row r="5" spans="1:12" x14ac:dyDescent="0.45">
      <c r="A5" s="19"/>
      <c r="K5" s="20"/>
    </row>
    <row r="6" spans="1:12" x14ac:dyDescent="0.45">
      <c r="A6" s="34" t="s">
        <v>14</v>
      </c>
      <c r="B6" s="35"/>
      <c r="C6" s="35"/>
      <c r="D6" s="35"/>
      <c r="E6" s="35"/>
      <c r="F6" s="35"/>
      <c r="G6" s="35"/>
      <c r="H6" s="35"/>
      <c r="I6" s="35"/>
      <c r="K6" s="35"/>
    </row>
    <row r="7" spans="1:12" x14ac:dyDescent="0.45">
      <c r="A7" s="34" t="s">
        <v>88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  <c r="K7" s="29">
        <v>1</v>
      </c>
    </row>
    <row r="8" spans="1:12" x14ac:dyDescent="0.45">
      <c r="A8" s="34" t="s">
        <v>101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  <c r="K8" s="35">
        <f>(Population!E123/100)*K2</f>
        <v>0</v>
      </c>
    </row>
    <row r="9" spans="1:12" x14ac:dyDescent="0.45">
      <c r="A9" s="34"/>
      <c r="B9" s="35"/>
      <c r="C9" s="35"/>
      <c r="D9" s="35"/>
      <c r="E9" s="35"/>
      <c r="F9" s="35"/>
      <c r="G9" s="35"/>
      <c r="H9" s="35"/>
      <c r="I9" s="35"/>
      <c r="K9" s="35">
        <f>(Population!E123/100)*K3</f>
        <v>0</v>
      </c>
    </row>
    <row r="10" spans="1:12" x14ac:dyDescent="0.45">
      <c r="A10" s="34" t="s">
        <v>86</v>
      </c>
      <c r="B10" s="35" t="s">
        <v>180</v>
      </c>
      <c r="C10" s="35" t="s">
        <v>187</v>
      </c>
      <c r="D10" s="35" t="s">
        <v>165</v>
      </c>
      <c r="E10" s="35" t="s">
        <v>84</v>
      </c>
      <c r="F10" s="35" t="s">
        <v>84</v>
      </c>
      <c r="G10" s="35" t="s">
        <v>87</v>
      </c>
      <c r="H10" s="35" t="s">
        <v>179</v>
      </c>
      <c r="I10" s="35" t="s">
        <v>166</v>
      </c>
      <c r="K10" s="35"/>
    </row>
    <row r="11" spans="1:12" x14ac:dyDescent="0.45">
      <c r="A11" s="19" t="s">
        <v>83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  <c r="K11" s="35" t="s">
        <v>166</v>
      </c>
    </row>
    <row r="12" spans="1:12" ht="14.65" thickBot="1" x14ac:dyDescent="0.5">
      <c r="A12" s="16" t="s">
        <v>85</v>
      </c>
      <c r="B12" s="15" t="s">
        <v>78</v>
      </c>
      <c r="C12" s="15" t="s">
        <v>82</v>
      </c>
      <c r="D12" s="15" t="s">
        <v>81</v>
      </c>
      <c r="E12" s="15" t="s">
        <v>80</v>
      </c>
      <c r="F12" s="15" t="s">
        <v>80</v>
      </c>
      <c r="G12" s="15" t="s">
        <v>79</v>
      </c>
      <c r="H12" s="15" t="s">
        <v>89</v>
      </c>
      <c r="I12" s="15" t="s">
        <v>128</v>
      </c>
      <c r="K12" s="29">
        <v>1000000</v>
      </c>
    </row>
    <row r="13" spans="1:12" ht="14.65" thickBot="1" x14ac:dyDescent="0.5">
      <c r="A13" s="19"/>
      <c r="B13" s="20"/>
      <c r="C13" s="20"/>
      <c r="D13" s="20"/>
      <c r="E13" s="20"/>
      <c r="F13" s="20"/>
      <c r="G13" s="20"/>
      <c r="H13" s="20"/>
      <c r="I13" s="20"/>
      <c r="K13" s="15" t="s">
        <v>132</v>
      </c>
    </row>
    <row r="14" spans="1:12" x14ac:dyDescent="0.45">
      <c r="A14" s="31" t="s">
        <v>90</v>
      </c>
      <c r="B14" s="22"/>
      <c r="C14" s="22"/>
      <c r="D14" s="22"/>
      <c r="E14" s="22"/>
      <c r="F14" s="22"/>
      <c r="G14" s="22"/>
      <c r="H14" s="22"/>
      <c r="I14" s="22"/>
      <c r="K14" s="20"/>
    </row>
    <row r="15" spans="1:12" x14ac:dyDescent="0.45">
      <c r="A15" s="31" t="s">
        <v>134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  <c r="K15" s="22"/>
    </row>
    <row r="16" spans="1:12" x14ac:dyDescent="0.45">
      <c r="A16" s="31" t="s">
        <v>135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  <c r="K16" s="49">
        <v>9.9999999999999995E-7</v>
      </c>
    </row>
    <row r="17" spans="1:11" ht="14.65" thickBot="1" x14ac:dyDescent="0.5">
      <c r="A17" s="32" t="s">
        <v>5</v>
      </c>
      <c r="B17" s="33" t="s">
        <v>91</v>
      </c>
      <c r="C17" s="33" t="s">
        <v>93</v>
      </c>
      <c r="D17" s="33" t="s">
        <v>94</v>
      </c>
      <c r="E17" s="33" t="s">
        <v>80</v>
      </c>
      <c r="F17" s="33" t="s">
        <v>80</v>
      </c>
      <c r="G17" s="33" t="s">
        <v>92</v>
      </c>
      <c r="H17" s="33" t="s">
        <v>91</v>
      </c>
      <c r="I17" s="33" t="s">
        <v>132</v>
      </c>
      <c r="K17" s="22">
        <f>K2*1000000/(Population!D122*1000)</f>
        <v>9.2556771496873207</v>
      </c>
    </row>
    <row r="18" spans="1:11" x14ac:dyDescent="0.45">
      <c r="A18" s="19"/>
      <c r="B18" s="20"/>
      <c r="C18" s="20"/>
      <c r="D18" s="20"/>
      <c r="E18" s="20"/>
      <c r="F18" s="20"/>
      <c r="G18" s="20"/>
      <c r="H18" s="20"/>
      <c r="I18" s="20"/>
      <c r="K18" s="22">
        <f>K3*1000000/(Population!D122*1000)</f>
        <v>0</v>
      </c>
    </row>
    <row r="19" spans="1:11" ht="14.65" thickBot="1" x14ac:dyDescent="0.5">
      <c r="A19" s="19" t="s">
        <v>16</v>
      </c>
      <c r="B19">
        <f>(Capacité!C43/100)*B2</f>
        <v>2.7787518571914371E-3</v>
      </c>
      <c r="C19">
        <f>(Capacité!C43/100)*C2</f>
        <v>1.4765660113611818</v>
      </c>
      <c r="D19">
        <f>(Capacité!C43/100)*D2</f>
        <v>6.6445470511253182E-3</v>
      </c>
      <c r="E19">
        <f>(Capacité!C43/100)*E2</f>
        <v>1.5029332615640602E-2</v>
      </c>
      <c r="F19">
        <f>(Capacité!C43/100)*F2</f>
        <v>9.8613515758764645E-4</v>
      </c>
      <c r="G19">
        <f>(Capacité!C43/100)*G2</f>
        <v>2.0882862160679572E-2</v>
      </c>
      <c r="H19">
        <f>((Capacité!C42/100)*H2)*1000</f>
        <v>13.743345116682876</v>
      </c>
      <c r="I19">
        <f>(Capacité!C43/100)*I2</f>
        <v>1.963832795110372</v>
      </c>
      <c r="K19" s="33" t="s">
        <v>132</v>
      </c>
    </row>
    <row r="20" spans="1:11" x14ac:dyDescent="0.45">
      <c r="A20" s="19" t="s">
        <v>102</v>
      </c>
      <c r="B20">
        <f>(Capacité!C43/100)*B3</f>
        <v>1.1166744249434098E-2</v>
      </c>
      <c r="C20">
        <f>(Capacité!C43/100)*C3</f>
        <v>2.3730525182590423</v>
      </c>
      <c r="D20">
        <f>(Capacité!C43/100)*D3</f>
        <v>8.6484580665440649E-3</v>
      </c>
      <c r="E20">
        <f>(Capacité!C43/100)*E3</f>
        <v>1.9880906652970199E-2</v>
      </c>
      <c r="F20">
        <f>(Capacité!C43/100)*F3</f>
        <v>8.9648650689786048E-3</v>
      </c>
      <c r="G20">
        <f>(Capacité!C43/100)*G3</f>
        <v>2.5839905198820682E-2</v>
      </c>
      <c r="H20">
        <f>((Capacité!C43/100)*H3)*1000</f>
        <v>26.367250202878246</v>
      </c>
      <c r="I20">
        <f>(Capacité!C43/100)*I3</f>
        <v>13.746829565772604</v>
      </c>
      <c r="K20" s="45">
        <v>1</v>
      </c>
    </row>
    <row r="21" spans="1:11" x14ac:dyDescent="0.45">
      <c r="A21" s="19"/>
      <c r="K21" s="20"/>
    </row>
    <row r="22" spans="1:11" ht="14.65" thickBot="1" x14ac:dyDescent="0.5">
      <c r="A22" s="19" t="s">
        <v>17</v>
      </c>
      <c r="D22" s="15"/>
      <c r="K22" s="28">
        <f>(Capacité!E43/100)*K2</f>
        <v>0</v>
      </c>
    </row>
    <row r="23" spans="1:11" ht="14.65" thickBot="1" x14ac:dyDescent="0.5">
      <c r="A23" s="16" t="s">
        <v>109</v>
      </c>
      <c r="B23" s="15"/>
      <c r="C23" s="15"/>
      <c r="D23" s="15"/>
      <c r="E23" s="15"/>
      <c r="F23" s="15"/>
      <c r="G23" s="15"/>
      <c r="H23" s="15"/>
      <c r="I23" s="15"/>
      <c r="K23" s="28">
        <f>(Capacité!E43/100)*K3</f>
        <v>0</v>
      </c>
    </row>
    <row r="24" spans="1:11" x14ac:dyDescent="0.45">
      <c r="A24" s="19" t="s">
        <v>108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11" x14ac:dyDescent="0.45">
      <c r="A25" s="19" t="s">
        <v>114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11" ht="14.65" thickBot="1" x14ac:dyDescent="0.5">
      <c r="A26" s="19"/>
      <c r="K26" s="15"/>
    </row>
    <row r="27" spans="1:11" x14ac:dyDescent="0.45">
      <c r="K27" s="28">
        <f>K2*Besoins!I5</f>
        <v>0</v>
      </c>
    </row>
    <row r="28" spans="1:11" x14ac:dyDescent="0.45">
      <c r="K28" s="28">
        <f>K3*Besoins!I5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28" customWidth="1"/>
    <col min="2" max="2" width="11.06640625" style="28"/>
    <col min="3" max="4" width="12.3984375" style="28" customWidth="1"/>
    <col min="5" max="5" width="11.9296875" style="28" customWidth="1"/>
    <col min="6" max="6" width="11.06640625" style="28"/>
    <col min="7" max="7" width="14.86328125" style="28" customWidth="1"/>
    <col min="8" max="16384" width="11.06640625" style="28"/>
  </cols>
  <sheetData>
    <row r="1" spans="1:7" x14ac:dyDescent="0.45">
      <c r="A1" s="23" t="s">
        <v>76</v>
      </c>
      <c r="B1" s="23" t="s">
        <v>2</v>
      </c>
      <c r="C1" s="23" t="s">
        <v>3</v>
      </c>
      <c r="D1" s="23" t="s">
        <v>75</v>
      </c>
      <c r="E1" s="23" t="s">
        <v>11</v>
      </c>
      <c r="F1" s="23" t="s">
        <v>12</v>
      </c>
      <c r="G1" s="23" t="s">
        <v>4</v>
      </c>
    </row>
    <row r="2" spans="1:7" x14ac:dyDescent="0.45">
      <c r="A2" s="22" t="s">
        <v>130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5">
      <c r="A3" s="22" t="s">
        <v>131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5">
      <c r="A4" s="22" t="s">
        <v>163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5">
      <c r="A5" s="22" t="s">
        <v>5</v>
      </c>
      <c r="B5" s="22" t="s">
        <v>98</v>
      </c>
      <c r="C5" s="22" t="s">
        <v>97</v>
      </c>
      <c r="D5" s="22" t="s">
        <v>129</v>
      </c>
      <c r="E5" s="22" t="s">
        <v>98</v>
      </c>
      <c r="F5" s="22" t="s">
        <v>103</v>
      </c>
      <c r="G5" s="22" t="s">
        <v>133</v>
      </c>
    </row>
    <row r="7" spans="1:7" x14ac:dyDescent="0.45">
      <c r="A7" s="28" t="s">
        <v>107</v>
      </c>
    </row>
    <row r="8" spans="1:7" x14ac:dyDescent="0.45">
      <c r="A8" s="28" t="s">
        <v>105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5">
      <c r="A9" s="28" t="s">
        <v>106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5">
      <c r="A10" s="28" t="s">
        <v>110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5">
      <c r="A11" s="28" t="s">
        <v>5</v>
      </c>
      <c r="B11" s="28" t="s">
        <v>98</v>
      </c>
      <c r="C11" s="28" t="s">
        <v>97</v>
      </c>
      <c r="D11" s="28" t="s">
        <v>129</v>
      </c>
      <c r="E11" s="28" t="s">
        <v>98</v>
      </c>
      <c r="F11" s="28" t="s">
        <v>103</v>
      </c>
      <c r="G11" s="28" t="s">
        <v>133</v>
      </c>
    </row>
    <row r="13" spans="1:7" x14ac:dyDescent="0.45">
      <c r="A13" s="30" t="s">
        <v>95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5">
      <c r="A14" s="30" t="s">
        <v>96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5">
      <c r="A15" s="30" t="s">
        <v>164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5">
      <c r="A16" s="30" t="s">
        <v>5</v>
      </c>
      <c r="B16" s="30" t="s">
        <v>78</v>
      </c>
      <c r="C16" s="30" t="s">
        <v>77</v>
      </c>
      <c r="D16" s="30" t="s">
        <v>100</v>
      </c>
      <c r="E16" s="30" t="s">
        <v>78</v>
      </c>
      <c r="F16" s="30" t="s">
        <v>87</v>
      </c>
      <c r="G16" s="30" t="s">
        <v>10</v>
      </c>
    </row>
    <row r="18" spans="1:7" x14ac:dyDescent="0.45">
      <c r="A18" s="28" t="s">
        <v>19</v>
      </c>
      <c r="B18" s="71" t="s">
        <v>99</v>
      </c>
      <c r="C18" s="72"/>
      <c r="D18" s="72"/>
      <c r="E18" s="72"/>
      <c r="F18" s="21" t="s">
        <v>104</v>
      </c>
    </row>
    <row r="21" spans="1:7" x14ac:dyDescent="0.45">
      <c r="G21" s="28" t="s">
        <v>125</v>
      </c>
    </row>
    <row r="22" spans="1:7" x14ac:dyDescent="0.45">
      <c r="G22" s="28" t="s">
        <v>126</v>
      </c>
    </row>
    <row r="23" spans="1:7" x14ac:dyDescent="0.45">
      <c r="G23" s="28" t="s">
        <v>127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23" t="s">
        <v>76</v>
      </c>
      <c r="B1" s="23" t="s">
        <v>193</v>
      </c>
      <c r="C1" s="23" t="s">
        <v>197</v>
      </c>
      <c r="D1" s="23" t="s">
        <v>200</v>
      </c>
    </row>
    <row r="2" spans="1:4" x14ac:dyDescent="0.45">
      <c r="A2" s="22" t="s">
        <v>130</v>
      </c>
      <c r="B2" s="22">
        <v>2.57</v>
      </c>
      <c r="C2" s="22">
        <v>3.95</v>
      </c>
      <c r="D2" s="22">
        <f>D3*(D8/D9)</f>
        <v>26.509803921568629</v>
      </c>
    </row>
    <row r="3" spans="1:4" x14ac:dyDescent="0.45">
      <c r="A3" s="22" t="s">
        <v>131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5">
      <c r="A4" s="22" t="s">
        <v>163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5">
      <c r="A5" s="22" t="s">
        <v>5</v>
      </c>
      <c r="B5" s="22" t="s">
        <v>98</v>
      </c>
      <c r="C5" s="22" t="s">
        <v>98</v>
      </c>
      <c r="D5" s="22" t="s">
        <v>103</v>
      </c>
    </row>
    <row r="7" spans="1:4" x14ac:dyDescent="0.45">
      <c r="A7" t="s">
        <v>107</v>
      </c>
    </row>
    <row r="8" spans="1:4" x14ac:dyDescent="0.45">
      <c r="A8" t="s">
        <v>105</v>
      </c>
      <c r="B8" s="26">
        <v>3.9404604370967649</v>
      </c>
      <c r="C8" s="24">
        <v>4.8</v>
      </c>
      <c r="D8">
        <f>26</f>
        <v>26</v>
      </c>
    </row>
    <row r="9" spans="1:4" x14ac:dyDescent="0.45">
      <c r="A9" t="s">
        <v>106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5">
      <c r="A10" s="28" t="s">
        <v>110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5">
      <c r="A11" t="s">
        <v>5</v>
      </c>
      <c r="B11" t="s">
        <v>98</v>
      </c>
      <c r="C11" t="s">
        <v>98</v>
      </c>
      <c r="D11" t="s">
        <v>103</v>
      </c>
    </row>
    <row r="13" spans="1:4" x14ac:dyDescent="0.45">
      <c r="A13" s="30" t="s">
        <v>95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5">
      <c r="A14" s="30" t="s">
        <v>96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5">
      <c r="A15" s="30" t="s">
        <v>164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5">
      <c r="A16" s="30" t="s">
        <v>5</v>
      </c>
      <c r="B16" s="30" t="s">
        <v>78</v>
      </c>
      <c r="C16" s="30" t="s">
        <v>78</v>
      </c>
      <c r="D16" s="30" t="s">
        <v>87</v>
      </c>
    </row>
    <row r="18" spans="1:4" x14ac:dyDescent="0.45">
      <c r="A18" t="s">
        <v>19</v>
      </c>
      <c r="B18" s="71" t="s">
        <v>99</v>
      </c>
      <c r="C18" s="72"/>
      <c r="D18" s="21" t="s">
        <v>104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28"/>
  </cols>
  <sheetData>
    <row r="2" spans="1:21" ht="16.350000000000001" customHeight="1" x14ac:dyDescent="0.45">
      <c r="B2" s="75" t="s">
        <v>115</v>
      </c>
      <c r="C2" s="75"/>
      <c r="D2" s="75"/>
      <c r="E2" s="76" t="s">
        <v>136</v>
      </c>
      <c r="F2" s="76"/>
      <c r="G2" s="76"/>
      <c r="H2" s="75" t="s">
        <v>137</v>
      </c>
      <c r="I2" s="75"/>
      <c r="J2" s="75"/>
      <c r="K2" s="76" t="s">
        <v>138</v>
      </c>
      <c r="L2" s="76"/>
      <c r="M2" s="79" t="s">
        <v>139</v>
      </c>
      <c r="N2" s="77" t="s">
        <v>140</v>
      </c>
      <c r="O2" s="75" t="s">
        <v>141</v>
      </c>
      <c r="P2" s="75"/>
      <c r="Q2" s="75"/>
      <c r="R2" s="76" t="s">
        <v>142</v>
      </c>
      <c r="S2" s="76"/>
      <c r="T2" s="80" t="s">
        <v>161</v>
      </c>
      <c r="U2" s="78" t="s">
        <v>162</v>
      </c>
    </row>
    <row r="3" spans="1:21" ht="17.649999999999999" x14ac:dyDescent="0.45">
      <c r="B3" s="74" t="s">
        <v>143</v>
      </c>
      <c r="C3" s="74" t="s">
        <v>144</v>
      </c>
      <c r="D3" s="74" t="s">
        <v>145</v>
      </c>
      <c r="E3" s="73" t="s">
        <v>146</v>
      </c>
      <c r="F3" s="73" t="s">
        <v>147</v>
      </c>
      <c r="G3" s="73" t="s">
        <v>148</v>
      </c>
      <c r="H3" s="74" t="s">
        <v>149</v>
      </c>
      <c r="I3" s="74" t="s">
        <v>150</v>
      </c>
      <c r="J3" s="74" t="s">
        <v>151</v>
      </c>
      <c r="K3" s="73" t="s">
        <v>152</v>
      </c>
      <c r="L3" s="73" t="s">
        <v>153</v>
      </c>
      <c r="M3" s="79"/>
      <c r="N3" s="77"/>
      <c r="O3" s="74" t="s">
        <v>154</v>
      </c>
      <c r="P3" s="74" t="s">
        <v>155</v>
      </c>
      <c r="Q3" s="36" t="s">
        <v>156</v>
      </c>
      <c r="R3" s="73" t="s">
        <v>158</v>
      </c>
      <c r="S3" s="73" t="s">
        <v>159</v>
      </c>
      <c r="T3" s="80"/>
      <c r="U3" s="78"/>
    </row>
    <row r="4" spans="1:21" ht="38.200000000000003" customHeight="1" x14ac:dyDescent="0.45">
      <c r="B4" s="74"/>
      <c r="C4" s="74"/>
      <c r="D4" s="74"/>
      <c r="E4" s="73"/>
      <c r="F4" s="73"/>
      <c r="G4" s="73"/>
      <c r="H4" s="74"/>
      <c r="I4" s="74"/>
      <c r="J4" s="74"/>
      <c r="K4" s="73"/>
      <c r="L4" s="73"/>
      <c r="M4" s="79"/>
      <c r="N4" s="77"/>
      <c r="O4" s="74"/>
      <c r="P4" s="74"/>
      <c r="Q4" s="36" t="s">
        <v>157</v>
      </c>
      <c r="R4" s="73"/>
      <c r="S4" s="73"/>
      <c r="T4" s="80"/>
      <c r="U4" s="78"/>
    </row>
    <row r="5" spans="1:21" x14ac:dyDescent="0.45">
      <c r="A5" s="28" t="s">
        <v>160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5">
      <c r="A6" s="28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7"/>
  <sheetViews>
    <sheetView topLeftCell="A115" workbookViewId="0">
      <selection activeCell="B124" sqref="B124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75" customHeight="1" x14ac:dyDescent="0.45">
      <c r="A1" s="46" t="s">
        <v>18</v>
      </c>
      <c r="B1" s="47" t="s">
        <v>170</v>
      </c>
      <c r="C1" s="47" t="s">
        <v>160</v>
      </c>
      <c r="D1" s="47" t="s">
        <v>188</v>
      </c>
    </row>
    <row r="2" spans="1:4" x14ac:dyDescent="0.45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5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5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5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5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5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5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5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5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5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5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5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5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5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5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5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5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5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5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5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5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5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5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5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5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5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5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5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5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5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5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5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5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5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5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5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5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5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5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5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5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5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5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5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5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5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5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5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5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5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5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5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5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5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5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5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5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5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5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5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5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5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5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5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5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5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5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5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5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5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5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5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5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5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5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5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5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5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5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8" x14ac:dyDescent="0.45">
      <c r="A113" t="s">
        <v>167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8" x14ac:dyDescent="0.45">
      <c r="A114" t="s">
        <v>68</v>
      </c>
      <c r="B114">
        <f>B27*100/B27</f>
        <v>100</v>
      </c>
      <c r="C114">
        <f>C27*100/B27</f>
        <v>0.86897003721149357</v>
      </c>
      <c r="D114">
        <f>D27*100/B27</f>
        <v>5.9421911649996391</v>
      </c>
    </row>
    <row r="115" spans="1:8" ht="28.5" x14ac:dyDescent="0.45">
      <c r="A115" s="11" t="s">
        <v>189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</row>
    <row r="116" spans="1:8" x14ac:dyDescent="0.45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</row>
    <row r="117" spans="1:8" ht="28.5" x14ac:dyDescent="0.45">
      <c r="A117" s="3" t="s">
        <v>22</v>
      </c>
      <c r="B117" s="4">
        <f>AVERAGE(B29:B112)</f>
        <v>9579276.7785238083</v>
      </c>
      <c r="C117" s="4">
        <f t="shared" ref="C117:D117" si="0">AVERAGE(C29:C112)</f>
        <v>67739.169619047636</v>
      </c>
      <c r="D117" s="4">
        <f t="shared" si="0"/>
        <v>403389.38254761917</v>
      </c>
    </row>
    <row r="118" spans="1:8" x14ac:dyDescent="0.45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</row>
    <row r="119" spans="1:8" x14ac:dyDescent="0.45">
      <c r="A119" t="s">
        <v>69</v>
      </c>
      <c r="B119">
        <f>B31*100/B31</f>
        <v>100</v>
      </c>
      <c r="C119">
        <f>C31*100/B31</f>
        <v>0.8414670033061149</v>
      </c>
      <c r="D119">
        <f>D31*100/B31</f>
        <v>5.7272099641387726</v>
      </c>
      <c r="E119" s="3"/>
      <c r="F119" s="4"/>
      <c r="G119" s="4"/>
      <c r="H119" s="4"/>
    </row>
    <row r="120" spans="1:8" ht="28.5" x14ac:dyDescent="0.45">
      <c r="A120" s="3" t="s">
        <v>201</v>
      </c>
      <c r="B120" s="4">
        <f>AVERAGE(B31:B62)</f>
        <v>8813416.810250001</v>
      </c>
      <c r="C120" s="4">
        <f>AVERAGE(C31:C62)</f>
        <v>67367.388312500014</v>
      </c>
      <c r="D120" s="4">
        <f>AVERAGE(D31:D62)</f>
        <v>438777.20462499995</v>
      </c>
      <c r="E120" s="3"/>
      <c r="F120" s="4"/>
      <c r="G120" s="4"/>
      <c r="H120" s="4"/>
    </row>
    <row r="121" spans="1:8" x14ac:dyDescent="0.45">
      <c r="A121" t="s">
        <v>21</v>
      </c>
      <c r="B121" s="5">
        <f>B120/B120</f>
        <v>1</v>
      </c>
      <c r="C121" s="6">
        <f>C120*100/B120</f>
        <v>0.76437311161945465</v>
      </c>
      <c r="D121" s="6">
        <f>D120*100/B120</f>
        <v>4.9785141684743905</v>
      </c>
    </row>
    <row r="122" spans="1:8" ht="28.5" x14ac:dyDescent="0.45">
      <c r="A122" s="3" t="s">
        <v>70</v>
      </c>
      <c r="B122" s="4">
        <f>AVERAGE(B31:B112)</f>
        <v>9625411.3251341451</v>
      </c>
      <c r="C122" s="4">
        <f>AVERAGE(C31:C112)</f>
        <v>67796.169865853692</v>
      </c>
      <c r="D122" s="4">
        <f>AVERAGE(D31:D112)</f>
        <v>402347.65536585363</v>
      </c>
    </row>
    <row r="123" spans="1:8" x14ac:dyDescent="0.45">
      <c r="A123" t="s">
        <v>21</v>
      </c>
      <c r="B123" s="5">
        <f>B122/B122</f>
        <v>1</v>
      </c>
      <c r="C123" s="6">
        <f>C122*100/B122</f>
        <v>0.70434569054542562</v>
      </c>
      <c r="D123" s="6">
        <f>D122*100/B122</f>
        <v>4.1800567453697495</v>
      </c>
    </row>
    <row r="126" spans="1:8" x14ac:dyDescent="0.45">
      <c r="A126" t="s">
        <v>19</v>
      </c>
      <c r="B126" s="21" t="s">
        <v>20</v>
      </c>
    </row>
    <row r="127" spans="1:8" x14ac:dyDescent="0.45">
      <c r="B127" t="s">
        <v>192</v>
      </c>
    </row>
  </sheetData>
  <hyperlinks>
    <hyperlink ref="B126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53"/>
  <sheetViews>
    <sheetView topLeftCell="A40" zoomScale="93" workbookViewId="0">
      <selection activeCell="F44" sqref="F44"/>
    </sheetView>
  </sheetViews>
  <sheetFormatPr baseColWidth="10" defaultRowHeight="14.25" x14ac:dyDescent="0.45"/>
  <cols>
    <col min="3" max="3" width="11.86328125" bestFit="1" customWidth="1"/>
    <col min="5" max="5" width="13.6640625" customWidth="1"/>
    <col min="9" max="9" width="10.6640625" style="28"/>
  </cols>
  <sheetData>
    <row r="1" spans="1:37" x14ac:dyDescent="0.45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5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5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5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5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5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5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5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5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5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5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5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5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5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5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5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5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5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5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5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5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5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5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5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5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5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5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5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5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5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5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5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5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5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5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5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5">
      <c r="A37" s="13"/>
      <c r="B37" s="13"/>
      <c r="C37" s="13"/>
      <c r="D37" s="13"/>
    </row>
    <row r="38" spans="1:13" x14ac:dyDescent="0.45">
      <c r="A38">
        <v>2015</v>
      </c>
      <c r="B38">
        <f>B27</f>
        <v>17868.090856870793</v>
      </c>
      <c r="C38" s="28">
        <f>C27</f>
        <v>50682.895358633301</v>
      </c>
      <c r="D38" s="28">
        <f>D27</f>
        <v>47490.67459411014</v>
      </c>
      <c r="K38" t="s">
        <v>172</v>
      </c>
    </row>
    <row r="39" spans="1:13" s="28" customFormat="1" x14ac:dyDescent="0.45">
      <c r="A39" s="28" t="s">
        <v>168</v>
      </c>
      <c r="B39" s="28">
        <v>1</v>
      </c>
      <c r="C39" s="28">
        <f>C38/B38</f>
        <v>2.8365031141054602</v>
      </c>
      <c r="D39" s="28">
        <f>D38/B38</f>
        <v>2.6578482824228877</v>
      </c>
      <c r="K39" s="81" t="s">
        <v>169</v>
      </c>
      <c r="L39" s="81"/>
      <c r="M39" s="81"/>
    </row>
    <row r="40" spans="1:13" ht="28.5" x14ac:dyDescent="0.45">
      <c r="A40" s="3" t="s">
        <v>202</v>
      </c>
      <c r="B40">
        <f>SUM(F2:F36)/SUM(Population!B2:B36)</f>
        <v>15732.164711604171</v>
      </c>
      <c r="C40">
        <f>SUM(G2:G36)/SUM(Population!C2:C36)</f>
        <v>47663.631330163909</v>
      </c>
      <c r="D40">
        <f>SUM(H2:H36)/SUM(Population!D2:D36)</f>
        <v>43700.966271954145</v>
      </c>
      <c r="J40" s="28"/>
      <c r="K40" s="41" t="s">
        <v>160</v>
      </c>
      <c r="L40" s="41" t="s">
        <v>170</v>
      </c>
      <c r="M40" s="41" t="s">
        <v>171</v>
      </c>
    </row>
    <row r="41" spans="1:13" s="28" customFormat="1" x14ac:dyDescent="0.45">
      <c r="A41" s="3" t="s">
        <v>168</v>
      </c>
      <c r="B41" s="28">
        <v>1</v>
      </c>
      <c r="C41" s="28">
        <f>C40/B40</f>
        <v>3.0296931289440945</v>
      </c>
      <c r="D41" s="28">
        <f>D40/B40</f>
        <v>2.7778101153314241</v>
      </c>
      <c r="J41" s="28" t="s">
        <v>173</v>
      </c>
      <c r="K41" s="42">
        <v>55077.287499999999</v>
      </c>
      <c r="L41" s="42">
        <v>23235.55</v>
      </c>
      <c r="M41" s="43">
        <v>2.3703888007815599</v>
      </c>
    </row>
    <row r="42" spans="1:13" x14ac:dyDescent="0.45">
      <c r="A42" s="12" t="s">
        <v>67</v>
      </c>
      <c r="B42">
        <f>1-(B40-B53)/(B51-B53)</f>
        <v>0.80630200678578423</v>
      </c>
      <c r="C42">
        <f>1-(C40-B53)/(B51-B53)</f>
        <v>5.4973380466731503E-2</v>
      </c>
      <c r="D42">
        <f>1-(D40-B53)/(B51-B53)</f>
        <v>0.14821255830696134</v>
      </c>
      <c r="J42" s="28" t="s">
        <v>174</v>
      </c>
      <c r="K42" s="42">
        <v>53985.9</v>
      </c>
      <c r="L42" s="42">
        <v>22052.862499999999</v>
      </c>
      <c r="M42" s="43">
        <v>2.4480223372362699</v>
      </c>
    </row>
    <row r="43" spans="1:13" ht="28.5" x14ac:dyDescent="0.45">
      <c r="A43" s="11" t="s">
        <v>72</v>
      </c>
      <c r="B43" s="10">
        <f>(Population!B115*Capacité!B42)*100/(Population!B115*Capacité!B42)</f>
        <v>100</v>
      </c>
      <c r="C43" s="10">
        <f>(Population!C115*Capacité!C42)*100/(Population!B115*Capacité!B42)</f>
        <v>5.2734500405756501E-2</v>
      </c>
      <c r="D43" s="10">
        <f>(Population!D115*Capacité!D42)*100/(Population!B115*Capacité!B42)</f>
        <v>0.93086683696635297</v>
      </c>
      <c r="I43" s="10"/>
      <c r="J43" s="28" t="s">
        <v>175</v>
      </c>
      <c r="K43" s="42">
        <v>52102.45</v>
      </c>
      <c r="L43" s="42">
        <v>20638.025000000001</v>
      </c>
      <c r="M43" s="43">
        <v>2.5245850802099499</v>
      </c>
    </row>
    <row r="44" spans="1:13" ht="28.5" x14ac:dyDescent="0.45">
      <c r="A44" s="3" t="s">
        <v>73</v>
      </c>
      <c r="B44">
        <f>1-(B27-B53)/(B51-B53)</f>
        <v>0.75604492101480492</v>
      </c>
      <c r="C44">
        <f>MAX(1-(C27-B53)/(B51-B53),0)</f>
        <v>0</v>
      </c>
      <c r="D44">
        <f>MAX(1-(D27-B53)/(B51-B53),0)</f>
        <v>5.9042950726820198E-2</v>
      </c>
      <c r="J44" s="28" t="s">
        <v>176</v>
      </c>
      <c r="K44" s="42">
        <v>55263.5</v>
      </c>
      <c r="L44" s="42">
        <v>21733.662499999999</v>
      </c>
      <c r="M44" s="43">
        <v>2.5427605678518299</v>
      </c>
    </row>
    <row r="45" spans="1:13" ht="28.5" x14ac:dyDescent="0.45">
      <c r="A45" s="3" t="s">
        <v>71</v>
      </c>
      <c r="B45">
        <f>(Population!B115*Capacité!B44)*100/(Population!B115*Capacité!B44)</f>
        <v>100</v>
      </c>
      <c r="C45">
        <f>(Population!C115*Capacité!C44)*100/(Population!B115*Capacité!B44)</f>
        <v>0</v>
      </c>
      <c r="D45">
        <f>(Population!D115*Capacité!D44)*100/(Population!B115*Capacité!B44)</f>
        <v>0.39547656087185179</v>
      </c>
      <c r="J45" s="28" t="s">
        <v>177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5">
      <c r="A46" t="s">
        <v>60</v>
      </c>
      <c r="B46" t="s">
        <v>61</v>
      </c>
      <c r="J46" s="28" t="s">
        <v>178</v>
      </c>
      <c r="K46" s="28"/>
      <c r="L46" s="28"/>
      <c r="M46" s="44">
        <f>AVERAGE(M41:M45)</f>
        <v>2.4394199309591356</v>
      </c>
    </row>
    <row r="47" spans="1:13" x14ac:dyDescent="0.45">
      <c r="A47" t="s">
        <v>203</v>
      </c>
      <c r="B47" s="21" t="s">
        <v>62</v>
      </c>
    </row>
    <row r="48" spans="1:13" x14ac:dyDescent="0.45">
      <c r="A48" t="s">
        <v>204</v>
      </c>
      <c r="B48" s="21" t="s">
        <v>66</v>
      </c>
    </row>
    <row r="49" spans="1:2" x14ac:dyDescent="0.45">
      <c r="A49" t="s">
        <v>205</v>
      </c>
      <c r="B49" s="21" t="s">
        <v>206</v>
      </c>
    </row>
    <row r="51" spans="1:2" x14ac:dyDescent="0.45">
      <c r="A51" t="s">
        <v>64</v>
      </c>
      <c r="B51">
        <v>50000</v>
      </c>
    </row>
    <row r="52" spans="1:2" x14ac:dyDescent="0.45">
      <c r="A52" s="28"/>
      <c r="B52" s="28"/>
    </row>
    <row r="53" spans="1:2" x14ac:dyDescent="0.45">
      <c r="A53" t="s">
        <v>65</v>
      </c>
      <c r="B53">
        <v>7500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  <hyperlink ref="B49" r:id="rId3" xr:uid="{BAB34978-CC8B-43E8-A180-17771B8ADC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28" customFormat="1" x14ac:dyDescent="0.45">
      <c r="B1" s="28" t="s">
        <v>2</v>
      </c>
      <c r="C1" s="28" t="s">
        <v>3</v>
      </c>
      <c r="D1" s="28" t="s">
        <v>75</v>
      </c>
      <c r="E1" s="28" t="s">
        <v>11</v>
      </c>
      <c r="F1" s="28" t="s">
        <v>12</v>
      </c>
      <c r="G1" s="28" t="s">
        <v>4</v>
      </c>
    </row>
    <row r="2" spans="1:8" x14ac:dyDescent="0.45">
      <c r="A2" s="28" t="s">
        <v>113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5">
      <c r="A3" s="28" t="s">
        <v>112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5">
      <c r="A5" t="s">
        <v>111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5">
      <c r="A7" t="s">
        <v>123</v>
      </c>
      <c r="G7" t="s">
        <v>124</v>
      </c>
    </row>
    <row r="8" spans="1:8" x14ac:dyDescent="0.45">
      <c r="A8" t="s">
        <v>115</v>
      </c>
      <c r="D8" s="28">
        <v>3494.0786014333898</v>
      </c>
      <c r="E8" t="s">
        <v>121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116</v>
      </c>
      <c r="D9" s="28">
        <v>201.308612543306</v>
      </c>
      <c r="E9" t="s">
        <v>122</v>
      </c>
      <c r="F9">
        <f>SUM(D9:D12)/SUM(D8:D13)</f>
        <v>0.17781619166192006</v>
      </c>
      <c r="G9">
        <v>0.95</v>
      </c>
    </row>
    <row r="10" spans="1:8" x14ac:dyDescent="0.45">
      <c r="A10" t="s">
        <v>117</v>
      </c>
      <c r="D10">
        <v>520</v>
      </c>
      <c r="E10" s="28" t="s">
        <v>122</v>
      </c>
    </row>
    <row r="11" spans="1:8" x14ac:dyDescent="0.45">
      <c r="A11" t="s">
        <v>118</v>
      </c>
      <c r="D11">
        <v>40</v>
      </c>
      <c r="E11" s="28" t="s">
        <v>122</v>
      </c>
    </row>
    <row r="12" spans="1:8" x14ac:dyDescent="0.45">
      <c r="A12" t="s">
        <v>119</v>
      </c>
      <c r="D12">
        <v>40</v>
      </c>
      <c r="E12" s="28" t="s">
        <v>122</v>
      </c>
    </row>
    <row r="13" spans="1:8" x14ac:dyDescent="0.45">
      <c r="A13" t="s">
        <v>120</v>
      </c>
      <c r="D13">
        <v>211</v>
      </c>
      <c r="E13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topLeftCell="A8" workbookViewId="0">
      <selection activeCell="B9" sqref="B9"/>
    </sheetView>
  </sheetViews>
  <sheetFormatPr baseColWidth="10" defaultRowHeight="14.25" x14ac:dyDescent="0.45"/>
  <cols>
    <col min="1" max="1" width="13.06640625" customWidth="1"/>
  </cols>
  <sheetData>
    <row r="1" spans="1:1" ht="14.65" thickBot="1" x14ac:dyDescent="0.5">
      <c r="A1" s="17" t="s">
        <v>7</v>
      </c>
    </row>
    <row r="2" spans="1:1" x14ac:dyDescent="0.45">
      <c r="A2">
        <f>170/74</f>
        <v>2.2972972972972974</v>
      </c>
    </row>
    <row r="3" spans="1:1" x14ac:dyDescent="0.45">
      <c r="A3">
        <f>1055/74</f>
        <v>14.256756756756756</v>
      </c>
    </row>
    <row r="4" spans="1:1" ht="14.65" thickBot="1" x14ac:dyDescent="0.5">
      <c r="A4" s="15" t="s">
        <v>6</v>
      </c>
    </row>
    <row r="6" spans="1:1" x14ac:dyDescent="0.45">
      <c r="A6" s="35"/>
    </row>
    <row r="7" spans="1:1" x14ac:dyDescent="0.45">
      <c r="A7" s="35">
        <f>((Population!C116/100)*A2)*1000</f>
        <v>17.76876871873117</v>
      </c>
    </row>
    <row r="8" spans="1:1" x14ac:dyDescent="0.45">
      <c r="A8" s="35">
        <f>((Population!C116/100)*A3)*1000</f>
        <v>110.27088822506695</v>
      </c>
    </row>
    <row r="9" spans="1:1" x14ac:dyDescent="0.45">
      <c r="A9" s="35"/>
    </row>
    <row r="10" spans="1:1" x14ac:dyDescent="0.45">
      <c r="A10" s="35" t="s">
        <v>78</v>
      </c>
    </row>
    <row r="11" spans="1:1" x14ac:dyDescent="0.45">
      <c r="A11" s="14">
        <v>1000000000</v>
      </c>
    </row>
    <row r="12" spans="1:1" ht="14.65" thickBot="1" x14ac:dyDescent="0.5">
      <c r="A12" s="15" t="s">
        <v>80</v>
      </c>
    </row>
    <row r="13" spans="1:1" x14ac:dyDescent="0.45">
      <c r="A13" s="20"/>
    </row>
    <row r="14" spans="1:1" x14ac:dyDescent="0.45">
      <c r="A14" s="22"/>
    </row>
    <row r="15" spans="1:1" x14ac:dyDescent="0.45">
      <c r="A15" s="22">
        <f>A2*1000000000/(Population!B115*1000)</f>
        <v>0.264704634686033</v>
      </c>
    </row>
    <row r="16" spans="1:1" x14ac:dyDescent="0.45">
      <c r="A16" s="22">
        <f>A3*1000000000/(Population!B115*1000)</f>
        <v>1.6427258211397928</v>
      </c>
    </row>
    <row r="17" spans="1:1" ht="14.65" thickBot="1" x14ac:dyDescent="0.5">
      <c r="A17" s="33" t="s">
        <v>91</v>
      </c>
    </row>
    <row r="18" spans="1:1" x14ac:dyDescent="0.45">
      <c r="A18" s="20"/>
    </row>
    <row r="19" spans="1:1" x14ac:dyDescent="0.45">
      <c r="A19">
        <f>(Capacité!C43/100)*A2</f>
        <v>1.2114682525646763E-3</v>
      </c>
    </row>
    <row r="20" spans="1:1" x14ac:dyDescent="0.45">
      <c r="A20">
        <f>(Capacité!C43/100)*A3</f>
        <v>7.5182294497396079E-3</v>
      </c>
    </row>
    <row r="23" spans="1:1" ht="14.65" thickBot="1" x14ac:dyDescent="0.5">
      <c r="A23" s="15"/>
    </row>
    <row r="24" spans="1:1" x14ac:dyDescent="0.45">
      <c r="A24">
        <f>A2*Besoins!B5*1000</f>
        <v>14.648366196075427</v>
      </c>
    </row>
    <row r="25" spans="1:1" x14ac:dyDescent="0.45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2026-08-19T17:12:43Z</dcterms:modified>
</cp:coreProperties>
</file>