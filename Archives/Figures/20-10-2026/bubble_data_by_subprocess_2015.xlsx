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naud\Documents\CIRED\PlaneFR\Code\Module_PlaneFR\figures\"/>
    </mc:Choice>
  </mc:AlternateContent>
  <xr:revisionPtr revIDLastSave="0" documentId="13_ncr:1_{B9F43C49-A3B3-4230-846A-D02A2EADF235}" xr6:coauthVersionLast="47" xr6:coauthVersionMax="47" xr10:uidLastSave="{00000000-0000-0000-0000-000000000000}"/>
  <bookViews>
    <workbookView xWindow="-98" yWindow="-98" windowWidth="14595" windowHeight="8746" xr2:uid="{00000000-000D-0000-FFFF-FFFF00000000}"/>
  </bookViews>
  <sheets>
    <sheet name="N surplus" sheetId="1" r:id="rId1"/>
    <sheet name="P surplus" sheetId="2" r:id="rId2"/>
    <sheet name="Blue water consumption" sheetId="3" r:id="rId3"/>
    <sheet name="Cropland use" sheetId="4" r:id="rId4"/>
    <sheet name="GHG emissions" sheetId="5" r:id="rId5"/>
    <sheet name="Biodiversity loss - PDF" sheetId="6" r:id="rId6"/>
    <sheet name="Biodiversity loss - HANPP" sheetId="7" r:id="rId7"/>
    <sheet name="Raw material consumpt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C28" i="8" l="1"/>
  <c r="HC30" i="8" s="1"/>
  <c r="HB28" i="8"/>
  <c r="HB30" i="8" s="1"/>
  <c r="HA28" i="8"/>
  <c r="HA30" i="8" s="1"/>
  <c r="GZ28" i="8"/>
  <c r="GZ30" i="8" s="1"/>
  <c r="GY28" i="8"/>
  <c r="GY30" i="8" s="1"/>
  <c r="GX28" i="8"/>
  <c r="GX30" i="8" s="1"/>
  <c r="GW28" i="8"/>
  <c r="GW30" i="8" s="1"/>
  <c r="GV28" i="8"/>
  <c r="GV30" i="8" s="1"/>
  <c r="GU28" i="8"/>
  <c r="GU30" i="8" s="1"/>
  <c r="GT28" i="8"/>
  <c r="GT30" i="8" s="1"/>
  <c r="GS28" i="8"/>
  <c r="GS30" i="8" s="1"/>
  <c r="GR28" i="8"/>
  <c r="GR30" i="8" s="1"/>
  <c r="GU12" i="8" s="1"/>
  <c r="GQ28" i="8"/>
  <c r="GQ29" i="8" s="1"/>
  <c r="GP28" i="8"/>
  <c r="GP29" i="8" s="1"/>
  <c r="GO28" i="8"/>
  <c r="GO29" i="8" s="1"/>
  <c r="GN28" i="8"/>
  <c r="GN29" i="8" s="1"/>
  <c r="GM28" i="8"/>
  <c r="GM29" i="8" s="1"/>
  <c r="GL28" i="8"/>
  <c r="GL29" i="8" s="1"/>
  <c r="GK28" i="8"/>
  <c r="GK29" i="8" s="1"/>
  <c r="GJ28" i="8"/>
  <c r="GJ29" i="8" s="1"/>
  <c r="GI28" i="8"/>
  <c r="GI29" i="8" s="1"/>
  <c r="GH28" i="8"/>
  <c r="GH29" i="8" s="1"/>
  <c r="GG28" i="8"/>
  <c r="GG29" i="8" s="1"/>
  <c r="GF28" i="8"/>
  <c r="GF29" i="8" s="1"/>
  <c r="GE28" i="8"/>
  <c r="GE29" i="8" s="1"/>
  <c r="GD28" i="8"/>
  <c r="GD29" i="8" s="1"/>
  <c r="GC28" i="8"/>
  <c r="GC29" i="8" s="1"/>
  <c r="GB28" i="8"/>
  <c r="GB29" i="8" s="1"/>
  <c r="GA28" i="8"/>
  <c r="GA29" i="8" s="1"/>
  <c r="FZ28" i="8"/>
  <c r="FZ29" i="8" s="1"/>
  <c r="FY28" i="8"/>
  <c r="FY29" i="8" s="1"/>
  <c r="FX28" i="8"/>
  <c r="FX29" i="8" s="1"/>
  <c r="FW28" i="8"/>
  <c r="FW29" i="8" s="1"/>
  <c r="FV28" i="8"/>
  <c r="FV29" i="8" s="1"/>
  <c r="FU28" i="8"/>
  <c r="FU29" i="8" s="1"/>
  <c r="FT28" i="8"/>
  <c r="FT29" i="8" s="1"/>
  <c r="FS28" i="8"/>
  <c r="FS29" i="8" s="1"/>
  <c r="FR28" i="8"/>
  <c r="FR29" i="8" s="1"/>
  <c r="FQ28" i="8"/>
  <c r="FQ29" i="8" s="1"/>
  <c r="FP28" i="8"/>
  <c r="FP29" i="8" s="1"/>
  <c r="FO28" i="8"/>
  <c r="FO29" i="8" s="1"/>
  <c r="FN28" i="8"/>
  <c r="FN29" i="8" s="1"/>
  <c r="FM28" i="8"/>
  <c r="FM29" i="8" s="1"/>
  <c r="FL28" i="8"/>
  <c r="FL29" i="8" s="1"/>
  <c r="FK28" i="8"/>
  <c r="FK29" i="8" s="1"/>
  <c r="FJ28" i="8"/>
  <c r="FJ29" i="8" s="1"/>
  <c r="FI28" i="8"/>
  <c r="FI29" i="8" s="1"/>
  <c r="FH28" i="8"/>
  <c r="FH29" i="8" s="1"/>
  <c r="FG28" i="8"/>
  <c r="FG29" i="8" s="1"/>
  <c r="FF28" i="8"/>
  <c r="FF29" i="8" s="1"/>
  <c r="FE28" i="8"/>
  <c r="FE29" i="8" s="1"/>
  <c r="FD28" i="8"/>
  <c r="FD29" i="8" s="1"/>
  <c r="FC28" i="8"/>
  <c r="FC29" i="8" s="1"/>
  <c r="FB28" i="8"/>
  <c r="FB29" i="8" s="1"/>
  <c r="FA28" i="8"/>
  <c r="FA29" i="8" s="1"/>
  <c r="EZ28" i="8"/>
  <c r="EZ29" i="8" s="1"/>
  <c r="EY28" i="8"/>
  <c r="EY29" i="8" s="1"/>
  <c r="EX28" i="8"/>
  <c r="EX29" i="8" s="1"/>
  <c r="EW28" i="8"/>
  <c r="EW29" i="8" s="1"/>
  <c r="EV28" i="8"/>
  <c r="EV29" i="8" s="1"/>
  <c r="EU28" i="8"/>
  <c r="EU29" i="8" s="1"/>
  <c r="ET28" i="8"/>
  <c r="ET29" i="8" s="1"/>
  <c r="ES28" i="8"/>
  <c r="ES29" i="8" s="1"/>
  <c r="ER28" i="8"/>
  <c r="ER29" i="8" s="1"/>
  <c r="EQ28" i="8"/>
  <c r="EQ29" i="8" s="1"/>
  <c r="EP28" i="8"/>
  <c r="EP29" i="8" s="1"/>
  <c r="EO28" i="8"/>
  <c r="EO29" i="8" s="1"/>
  <c r="EN28" i="8"/>
  <c r="EN29" i="8" s="1"/>
  <c r="EM28" i="8"/>
  <c r="EM29" i="8" s="1"/>
  <c r="EL28" i="8"/>
  <c r="EL29" i="8" s="1"/>
  <c r="EK28" i="8"/>
  <c r="EK29" i="8" s="1"/>
  <c r="EJ28" i="8"/>
  <c r="EJ29" i="8" s="1"/>
  <c r="EI28" i="8"/>
  <c r="EI29" i="8" s="1"/>
  <c r="EH28" i="8"/>
  <c r="EH29" i="8" s="1"/>
  <c r="EG28" i="8"/>
  <c r="EG29" i="8" s="1"/>
  <c r="EF28" i="8"/>
  <c r="EF29" i="8" s="1"/>
  <c r="EE28" i="8"/>
  <c r="EE29" i="8" s="1"/>
  <c r="ED28" i="8"/>
  <c r="ED29" i="8" s="1"/>
  <c r="EC28" i="8"/>
  <c r="EC29" i="8" s="1"/>
  <c r="EB28" i="8"/>
  <c r="EB29" i="8" s="1"/>
  <c r="EA28" i="8"/>
  <c r="EA29" i="8" s="1"/>
  <c r="DZ28" i="8"/>
  <c r="DZ29" i="8" s="1"/>
  <c r="DY28" i="8"/>
  <c r="DY29" i="8" s="1"/>
  <c r="DX28" i="8"/>
  <c r="DX29" i="8" s="1"/>
  <c r="DW28" i="8"/>
  <c r="DW29" i="8" s="1"/>
  <c r="DV28" i="8"/>
  <c r="DV29" i="8" s="1"/>
  <c r="DU28" i="8"/>
  <c r="DU29" i="8" s="1"/>
  <c r="DT28" i="8"/>
  <c r="DT29" i="8" s="1"/>
  <c r="DS28" i="8"/>
  <c r="DS29" i="8" s="1"/>
  <c r="DR28" i="8"/>
  <c r="DR29" i="8" s="1"/>
  <c r="DQ28" i="8"/>
  <c r="DQ29" i="8" s="1"/>
  <c r="DP28" i="8"/>
  <c r="DP29" i="8" s="1"/>
  <c r="DO28" i="8"/>
  <c r="DO29" i="8" s="1"/>
  <c r="DN28" i="8"/>
  <c r="DN29" i="8" s="1"/>
  <c r="DM28" i="8"/>
  <c r="DM29" i="8" s="1"/>
  <c r="DL28" i="8"/>
  <c r="DL29" i="8" s="1"/>
  <c r="DK28" i="8"/>
  <c r="DK29" i="8" s="1"/>
  <c r="DJ28" i="8"/>
  <c r="DJ29" i="8" s="1"/>
  <c r="DI28" i="8"/>
  <c r="DI29" i="8" s="1"/>
  <c r="DH28" i="8"/>
  <c r="DH29" i="8" s="1"/>
  <c r="DG28" i="8"/>
  <c r="DG29" i="8" s="1"/>
  <c r="DF28" i="8"/>
  <c r="DF29" i="8" s="1"/>
  <c r="DE28" i="8"/>
  <c r="DE29" i="8" s="1"/>
  <c r="DD28" i="8"/>
  <c r="DD29" i="8" s="1"/>
  <c r="DC28" i="8"/>
  <c r="DC29" i="8" s="1"/>
  <c r="DB28" i="8"/>
  <c r="DB29" i="8" s="1"/>
  <c r="DA28" i="8"/>
  <c r="DA29" i="8" s="1"/>
  <c r="CZ28" i="8"/>
  <c r="CZ29" i="8" s="1"/>
  <c r="CY28" i="8"/>
  <c r="CY29" i="8" s="1"/>
  <c r="CX28" i="8"/>
  <c r="CX29" i="8" s="1"/>
  <c r="CW28" i="8"/>
  <c r="CW29" i="8" s="1"/>
  <c r="CV28" i="8"/>
  <c r="CV29" i="8" s="1"/>
  <c r="CU28" i="8"/>
  <c r="CU29" i="8" s="1"/>
  <c r="CT28" i="8"/>
  <c r="CT29" i="8" s="1"/>
  <c r="CS28" i="8"/>
  <c r="CS29" i="8" s="1"/>
  <c r="CR28" i="8"/>
  <c r="CR29" i="8" s="1"/>
  <c r="CQ28" i="8"/>
  <c r="CQ29" i="8" s="1"/>
  <c r="CP28" i="8"/>
  <c r="CP29" i="8" s="1"/>
  <c r="CO28" i="8"/>
  <c r="CO29" i="8" s="1"/>
  <c r="CN28" i="8"/>
  <c r="CN29" i="8" s="1"/>
  <c r="CM28" i="8"/>
  <c r="CM29" i="8" s="1"/>
  <c r="CL28" i="8"/>
  <c r="CL29" i="8" s="1"/>
  <c r="CK28" i="8"/>
  <c r="CK29" i="8" s="1"/>
  <c r="CJ28" i="8"/>
  <c r="CJ29" i="8" s="1"/>
  <c r="CI28" i="8"/>
  <c r="CI29" i="8" s="1"/>
  <c r="CH28" i="8"/>
  <c r="CH29" i="8" s="1"/>
  <c r="CG28" i="8"/>
  <c r="CG29" i="8" s="1"/>
  <c r="CF28" i="8"/>
  <c r="CF29" i="8" s="1"/>
  <c r="CE28" i="8"/>
  <c r="CE29" i="8" s="1"/>
  <c r="CD28" i="8"/>
  <c r="CD29" i="8" s="1"/>
  <c r="CC28" i="8"/>
  <c r="CC29" i="8" s="1"/>
  <c r="CB28" i="8"/>
  <c r="CB29" i="8" s="1"/>
  <c r="CA28" i="8"/>
  <c r="CA29" i="8" s="1"/>
  <c r="BZ28" i="8"/>
  <c r="BZ29" i="8" s="1"/>
  <c r="BY28" i="8"/>
  <c r="BY29" i="8" s="1"/>
  <c r="BX28" i="8"/>
  <c r="BX29" i="8" s="1"/>
  <c r="BW28" i="8"/>
  <c r="BW29" i="8" s="1"/>
  <c r="BV28" i="8"/>
  <c r="BV29" i="8" s="1"/>
  <c r="BU28" i="8"/>
  <c r="BU29" i="8" s="1"/>
  <c r="BT28" i="8"/>
  <c r="BT29" i="8" s="1"/>
  <c r="BS28" i="8"/>
  <c r="BS29" i="8" s="1"/>
  <c r="BR28" i="8"/>
  <c r="BR29" i="8" s="1"/>
  <c r="BQ28" i="8"/>
  <c r="BQ29" i="8" s="1"/>
  <c r="BP28" i="8"/>
  <c r="BP29" i="8" s="1"/>
  <c r="BO28" i="8"/>
  <c r="BO29" i="8" s="1"/>
  <c r="BN28" i="8"/>
  <c r="BN29" i="8" s="1"/>
  <c r="BM28" i="8"/>
  <c r="BM29" i="8" s="1"/>
  <c r="BL28" i="8"/>
  <c r="BL29" i="8" s="1"/>
  <c r="BK28" i="8"/>
  <c r="BK29" i="8" s="1"/>
  <c r="BJ28" i="8"/>
  <c r="BJ29" i="8" s="1"/>
  <c r="BI28" i="8"/>
  <c r="BI29" i="8" s="1"/>
  <c r="BH28" i="8"/>
  <c r="BH29" i="8" s="1"/>
  <c r="BG28" i="8"/>
  <c r="BG29" i="8" s="1"/>
  <c r="BF28" i="8"/>
  <c r="BF29" i="8" s="1"/>
  <c r="BE28" i="8"/>
  <c r="BE29" i="8" s="1"/>
  <c r="BD28" i="8"/>
  <c r="BD29" i="8" s="1"/>
  <c r="BC28" i="8"/>
  <c r="BC29" i="8" s="1"/>
  <c r="BB28" i="8"/>
  <c r="BB29" i="8" s="1"/>
  <c r="BA28" i="8"/>
  <c r="BA29" i="8" s="1"/>
  <c r="AZ28" i="8"/>
  <c r="AZ29" i="8" s="1"/>
  <c r="AY28" i="8"/>
  <c r="AY29" i="8" s="1"/>
  <c r="AX28" i="8"/>
  <c r="AX29" i="8" s="1"/>
  <c r="AW28" i="8"/>
  <c r="AW29" i="8" s="1"/>
  <c r="AV28" i="8"/>
  <c r="AV29" i="8" s="1"/>
  <c r="AU28" i="8"/>
  <c r="AU29" i="8" s="1"/>
  <c r="AT28" i="8"/>
  <c r="AT29" i="8" s="1"/>
  <c r="AS28" i="8"/>
  <c r="AS29" i="8" s="1"/>
  <c r="AR28" i="8"/>
  <c r="AR29" i="8" s="1"/>
  <c r="AQ28" i="8"/>
  <c r="AQ29" i="8" s="1"/>
  <c r="AP28" i="8"/>
  <c r="AP29" i="8" s="1"/>
  <c r="AO28" i="8"/>
  <c r="AO29" i="8" s="1"/>
  <c r="AN28" i="8"/>
  <c r="AN29" i="8" s="1"/>
  <c r="AM28" i="8"/>
  <c r="AM29" i="8" s="1"/>
  <c r="AL28" i="8"/>
  <c r="AL29" i="8" s="1"/>
  <c r="AK28" i="8"/>
  <c r="AK29" i="8" s="1"/>
  <c r="AJ28" i="8"/>
  <c r="AJ29" i="8" s="1"/>
  <c r="AI28" i="8"/>
  <c r="AI29" i="8" s="1"/>
  <c r="AH28" i="8"/>
  <c r="AH29" i="8" s="1"/>
  <c r="AG28" i="8"/>
  <c r="AG29" i="8" s="1"/>
  <c r="AF28" i="8"/>
  <c r="AF29" i="8" s="1"/>
  <c r="AE28" i="8"/>
  <c r="AE29" i="8" s="1"/>
  <c r="AD28" i="8"/>
  <c r="AD29" i="8" s="1"/>
  <c r="AC28" i="8"/>
  <c r="AC29" i="8" s="1"/>
  <c r="AB28" i="8"/>
  <c r="AB29" i="8" s="1"/>
  <c r="AA28" i="8"/>
  <c r="AA29" i="8" s="1"/>
  <c r="Z28" i="8"/>
  <c r="Z29" i="8" s="1"/>
  <c r="Y28" i="8"/>
  <c r="Y29" i="8" s="1"/>
  <c r="X28" i="8"/>
  <c r="X29" i="8" s="1"/>
  <c r="W28" i="8"/>
  <c r="W29" i="8" s="1"/>
  <c r="V28" i="8"/>
  <c r="V29" i="8" s="1"/>
  <c r="U28" i="8"/>
  <c r="U29" i="8" s="1"/>
  <c r="T28" i="8"/>
  <c r="T29" i="8" s="1"/>
  <c r="S28" i="8"/>
  <c r="S29" i="8" s="1"/>
  <c r="R28" i="8"/>
  <c r="R29" i="8" s="1"/>
  <c r="Q28" i="8"/>
  <c r="Q29" i="8" s="1"/>
  <c r="P28" i="8"/>
  <c r="P29" i="8" s="1"/>
  <c r="O28" i="8"/>
  <c r="O29" i="8" s="1"/>
  <c r="N28" i="8"/>
  <c r="N29" i="8" s="1"/>
  <c r="M28" i="8"/>
  <c r="M29" i="8" s="1"/>
  <c r="L28" i="8"/>
  <c r="L29" i="8" s="1"/>
  <c r="K28" i="8"/>
  <c r="K29" i="8" s="1"/>
  <c r="J28" i="8"/>
  <c r="J29" i="8" s="1"/>
  <c r="I28" i="8"/>
  <c r="I29" i="8" s="1"/>
  <c r="H28" i="8"/>
  <c r="H29" i="8" s="1"/>
  <c r="G28" i="8"/>
  <c r="G29" i="8" s="1"/>
  <c r="F28" i="8"/>
  <c r="F29" i="8" s="1"/>
  <c r="E28" i="8"/>
  <c r="E29" i="8" s="1"/>
  <c r="D28" i="8"/>
  <c r="D29" i="8" s="1"/>
  <c r="C28" i="8"/>
  <c r="C29" i="8" s="1"/>
  <c r="B28" i="8"/>
  <c r="B29" i="8" s="1"/>
  <c r="CW14" i="8"/>
  <c r="A14" i="8"/>
  <c r="HC13" i="8"/>
  <c r="GX13" i="8"/>
  <c r="GS13" i="8"/>
  <c r="GR13" i="8"/>
  <c r="AZ13" i="8"/>
  <c r="GW12" i="8"/>
  <c r="GT12" i="8"/>
  <c r="GS12" i="8"/>
  <c r="GR12" i="8"/>
  <c r="ES12" i="8"/>
  <c r="AZ12" i="8"/>
  <c r="GU11" i="8"/>
  <c r="GT11" i="8"/>
  <c r="GS11" i="8"/>
  <c r="AZ11" i="8"/>
  <c r="HC10" i="8"/>
  <c r="GW10" i="8"/>
  <c r="GU10" i="8"/>
  <c r="GT10" i="8"/>
  <c r="GS10" i="8"/>
  <c r="AZ10" i="8"/>
  <c r="HC9" i="8"/>
  <c r="GZ9" i="8"/>
  <c r="GX9" i="8"/>
  <c r="GW9" i="8"/>
  <c r="GV9" i="8"/>
  <c r="GU9" i="8"/>
  <c r="CW9" i="8"/>
  <c r="AZ9" i="8"/>
  <c r="HC8" i="8"/>
  <c r="GZ8" i="8"/>
  <c r="GX8" i="8"/>
  <c r="GW8" i="8"/>
  <c r="GV8" i="8"/>
  <c r="GU8" i="8"/>
  <c r="CW8" i="8"/>
  <c r="AZ8" i="8"/>
  <c r="HC7" i="8"/>
  <c r="GZ7" i="8"/>
  <c r="GX7" i="8"/>
  <c r="GW7" i="8"/>
  <c r="GV7" i="8"/>
  <c r="GU7" i="8"/>
  <c r="CW7" i="8"/>
  <c r="AZ7" i="8"/>
  <c r="HC6" i="8"/>
  <c r="HB6" i="8"/>
  <c r="HA6" i="8"/>
  <c r="GZ6" i="8"/>
  <c r="GY6" i="8"/>
  <c r="GX6" i="8"/>
  <c r="GW6" i="8"/>
  <c r="GV6" i="8"/>
  <c r="GU6" i="8"/>
  <c r="GT6" i="8"/>
  <c r="GS6" i="8"/>
  <c r="GR6" i="8"/>
  <c r="CW6" i="8"/>
  <c r="AZ6" i="8"/>
  <c r="HC5" i="8"/>
  <c r="HB5" i="8"/>
  <c r="HA5" i="8"/>
  <c r="GZ5" i="8"/>
  <c r="GY5" i="8"/>
  <c r="GX5" i="8"/>
  <c r="GW5" i="8"/>
  <c r="GV5" i="8"/>
  <c r="GU5" i="8"/>
  <c r="GT5" i="8"/>
  <c r="GS5" i="8"/>
  <c r="GR5" i="8"/>
  <c r="CW5" i="8"/>
  <c r="AZ5" i="8"/>
  <c r="HC4" i="8"/>
  <c r="HB4" i="8"/>
  <c r="HA4" i="8"/>
  <c r="GZ4" i="8"/>
  <c r="GY4" i="8"/>
  <c r="GX4" i="8"/>
  <c r="GW4" i="8"/>
  <c r="GV4" i="8"/>
  <c r="GU4" i="8"/>
  <c r="GT4" i="8"/>
  <c r="GS4" i="8"/>
  <c r="GR4" i="8"/>
  <c r="CW4" i="8"/>
  <c r="AZ4" i="8"/>
  <c r="HC3" i="8"/>
  <c r="HB3" i="8"/>
  <c r="HA3" i="8"/>
  <c r="GZ3" i="8"/>
  <c r="GY3" i="8"/>
  <c r="GX3" i="8"/>
  <c r="GW3" i="8"/>
  <c r="GV3" i="8"/>
  <c r="GU3" i="8"/>
  <c r="GT3" i="8"/>
  <c r="GS3" i="8"/>
  <c r="GR3" i="8"/>
  <c r="CW3" i="8"/>
  <c r="AZ3" i="8"/>
  <c r="HC28" i="7"/>
  <c r="HC30" i="7" s="1"/>
  <c r="HB28" i="7"/>
  <c r="HA28" i="7"/>
  <c r="GZ28" i="7"/>
  <c r="GY28" i="7"/>
  <c r="GX28" i="7"/>
  <c r="GW28" i="7"/>
  <c r="GV28" i="7"/>
  <c r="GU28" i="7"/>
  <c r="GT28" i="7"/>
  <c r="GS28" i="7"/>
  <c r="GR28" i="7"/>
  <c r="GQ28" i="7"/>
  <c r="GP28" i="7"/>
  <c r="GO28" i="7"/>
  <c r="GN28" i="7"/>
  <c r="GM28" i="7"/>
  <c r="GL28" i="7"/>
  <c r="GK28" i="7"/>
  <c r="GJ28" i="7"/>
  <c r="GI28" i="7"/>
  <c r="GH28" i="7"/>
  <c r="GG28" i="7"/>
  <c r="GF28" i="7"/>
  <c r="GE28" i="7"/>
  <c r="GD28" i="7"/>
  <c r="GC28" i="7"/>
  <c r="GB28" i="7"/>
  <c r="GA28" i="7"/>
  <c r="FZ28" i="7"/>
  <c r="FY28" i="7"/>
  <c r="FX28" i="7"/>
  <c r="FW28" i="7"/>
  <c r="FV28" i="7"/>
  <c r="FU28" i="7"/>
  <c r="FT28" i="7"/>
  <c r="FS28" i="7"/>
  <c r="FR28" i="7"/>
  <c r="FQ28" i="7"/>
  <c r="FP28" i="7"/>
  <c r="FO28" i="7"/>
  <c r="FN28" i="7"/>
  <c r="FM28" i="7"/>
  <c r="FL28" i="7"/>
  <c r="FK28" i="7"/>
  <c r="FJ28" i="7"/>
  <c r="FI28" i="7"/>
  <c r="FH28" i="7"/>
  <c r="FG28" i="7"/>
  <c r="FF28" i="7"/>
  <c r="FE28" i="7"/>
  <c r="FD28" i="7"/>
  <c r="FC28" i="7"/>
  <c r="FB28" i="7"/>
  <c r="FA28" i="7"/>
  <c r="EZ28" i="7"/>
  <c r="EY28" i="7"/>
  <c r="EX28" i="7"/>
  <c r="EW28" i="7"/>
  <c r="EV28" i="7"/>
  <c r="EU28" i="7"/>
  <c r="ET28" i="7"/>
  <c r="ES28" i="7"/>
  <c r="ER28" i="7"/>
  <c r="EQ28" i="7"/>
  <c r="EP28" i="7"/>
  <c r="EO28" i="7"/>
  <c r="EN28" i="7"/>
  <c r="EM28" i="7"/>
  <c r="EL28" i="7"/>
  <c r="EK28" i="7"/>
  <c r="EJ28" i="7"/>
  <c r="EI28" i="7"/>
  <c r="EH28" i="7"/>
  <c r="EG28" i="7"/>
  <c r="EF28" i="7"/>
  <c r="EE28" i="7"/>
  <c r="ED28" i="7"/>
  <c r="EC28" i="7"/>
  <c r="EB28" i="7"/>
  <c r="EA28" i="7"/>
  <c r="DZ28" i="7"/>
  <c r="DY28" i="7"/>
  <c r="DX28" i="7"/>
  <c r="DW28" i="7"/>
  <c r="DV28" i="7"/>
  <c r="DU28" i="7"/>
  <c r="DT28" i="7"/>
  <c r="DS28" i="7"/>
  <c r="DR28" i="7"/>
  <c r="DQ28" i="7"/>
  <c r="DP28" i="7"/>
  <c r="DO28" i="7"/>
  <c r="DN28" i="7"/>
  <c r="DM28" i="7"/>
  <c r="DL28" i="7"/>
  <c r="DK28" i="7"/>
  <c r="DJ28" i="7"/>
  <c r="DI28" i="7"/>
  <c r="DH28" i="7"/>
  <c r="DG28" i="7"/>
  <c r="DF28" i="7"/>
  <c r="DE28" i="7"/>
  <c r="DD28" i="7"/>
  <c r="DC28" i="7"/>
  <c r="DB28" i="7"/>
  <c r="DA28" i="7"/>
  <c r="CZ28" i="7"/>
  <c r="CY28" i="7"/>
  <c r="CX28" i="7"/>
  <c r="CW28" i="7"/>
  <c r="CV28" i="7"/>
  <c r="CU28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O29" i="7" s="1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14" i="7"/>
  <c r="HB30" i="6"/>
  <c r="HA30" i="6"/>
  <c r="GZ30" i="6"/>
  <c r="HC28" i="6"/>
  <c r="HB28" i="6"/>
  <c r="HA28" i="6"/>
  <c r="GZ28" i="6"/>
  <c r="GY28" i="6"/>
  <c r="GX28" i="6"/>
  <c r="GW28" i="6"/>
  <c r="GV28" i="6"/>
  <c r="GV30" i="6" s="1"/>
  <c r="GU28" i="6"/>
  <c r="GU30" i="6" s="1"/>
  <c r="GT28" i="6"/>
  <c r="GT30" i="6" s="1"/>
  <c r="GS28" i="6"/>
  <c r="GR28" i="6"/>
  <c r="GQ28" i="6"/>
  <c r="GP28" i="6"/>
  <c r="GO28" i="6"/>
  <c r="GN28" i="6"/>
  <c r="GM28" i="6"/>
  <c r="GL28" i="6"/>
  <c r="GK28" i="6"/>
  <c r="GJ28" i="6"/>
  <c r="GI28" i="6"/>
  <c r="GH28" i="6"/>
  <c r="GG28" i="6"/>
  <c r="GF28" i="6"/>
  <c r="GE28" i="6"/>
  <c r="GD28" i="6"/>
  <c r="GC28" i="6"/>
  <c r="GB28" i="6"/>
  <c r="GA28" i="6"/>
  <c r="FZ28" i="6"/>
  <c r="FY28" i="6"/>
  <c r="FX28" i="6"/>
  <c r="FW28" i="6"/>
  <c r="FV28" i="6"/>
  <c r="FU28" i="6"/>
  <c r="FT28" i="6"/>
  <c r="FS28" i="6"/>
  <c r="FR28" i="6"/>
  <c r="FQ28" i="6"/>
  <c r="FP28" i="6"/>
  <c r="FO28" i="6"/>
  <c r="FN28" i="6"/>
  <c r="FM28" i="6"/>
  <c r="FL28" i="6"/>
  <c r="FK28" i="6"/>
  <c r="FJ28" i="6"/>
  <c r="FI28" i="6"/>
  <c r="FH28" i="6"/>
  <c r="FG28" i="6"/>
  <c r="FF28" i="6"/>
  <c r="FE28" i="6"/>
  <c r="FD28" i="6"/>
  <c r="FC28" i="6"/>
  <c r="FB28" i="6"/>
  <c r="FA28" i="6"/>
  <c r="EZ28" i="6"/>
  <c r="EY28" i="6"/>
  <c r="EX28" i="6"/>
  <c r="EW28" i="6"/>
  <c r="EV28" i="6"/>
  <c r="EU28" i="6"/>
  <c r="ET28" i="6"/>
  <c r="ES28" i="6"/>
  <c r="ER28" i="6"/>
  <c r="EQ28" i="6"/>
  <c r="EP28" i="6"/>
  <c r="EO28" i="6"/>
  <c r="EN28" i="6"/>
  <c r="EM28" i="6"/>
  <c r="EL28" i="6"/>
  <c r="EK28" i="6"/>
  <c r="EJ28" i="6"/>
  <c r="EI28" i="6"/>
  <c r="EH28" i="6"/>
  <c r="EG28" i="6"/>
  <c r="EF28" i="6"/>
  <c r="EE28" i="6"/>
  <c r="ED28" i="6"/>
  <c r="EC28" i="6"/>
  <c r="EB28" i="6"/>
  <c r="EA28" i="6"/>
  <c r="DZ28" i="6"/>
  <c r="DY28" i="6"/>
  <c r="DX28" i="6"/>
  <c r="DW28" i="6"/>
  <c r="DV28" i="6"/>
  <c r="DU28" i="6"/>
  <c r="DT28" i="6"/>
  <c r="DS28" i="6"/>
  <c r="DR28" i="6"/>
  <c r="DQ28" i="6"/>
  <c r="DP28" i="6"/>
  <c r="DO28" i="6"/>
  <c r="DN28" i="6"/>
  <c r="DM28" i="6"/>
  <c r="DL28" i="6"/>
  <c r="DK28" i="6"/>
  <c r="DJ28" i="6"/>
  <c r="DI28" i="6"/>
  <c r="DH28" i="6"/>
  <c r="DG28" i="6"/>
  <c r="DF28" i="6"/>
  <c r="DE28" i="6"/>
  <c r="DD28" i="6"/>
  <c r="DC28" i="6"/>
  <c r="DB28" i="6"/>
  <c r="DA28" i="6"/>
  <c r="CZ28" i="6"/>
  <c r="CY28" i="6"/>
  <c r="CX28" i="6"/>
  <c r="CW28" i="6"/>
  <c r="CV28" i="6"/>
  <c r="CU28" i="6"/>
  <c r="CT28" i="6"/>
  <c r="CS28" i="6"/>
  <c r="CR28" i="6"/>
  <c r="CQ28" i="6"/>
  <c r="CP28" i="6"/>
  <c r="CO28" i="6"/>
  <c r="CN28" i="6"/>
  <c r="CM28" i="6"/>
  <c r="CL28" i="6"/>
  <c r="CK28" i="6"/>
  <c r="CJ28" i="6"/>
  <c r="CI28" i="6"/>
  <c r="CH28" i="6"/>
  <c r="CG28" i="6"/>
  <c r="CF28" i="6"/>
  <c r="CE28" i="6"/>
  <c r="CD28" i="6"/>
  <c r="CC28" i="6"/>
  <c r="CB28" i="6"/>
  <c r="CA28" i="6"/>
  <c r="BZ28" i="6"/>
  <c r="BY28" i="6"/>
  <c r="BX28" i="6"/>
  <c r="BW28" i="6"/>
  <c r="BV28" i="6"/>
  <c r="BU28" i="6"/>
  <c r="BT28" i="6"/>
  <c r="BS28" i="6"/>
  <c r="BR28" i="6"/>
  <c r="BQ28" i="6"/>
  <c r="BP28" i="6"/>
  <c r="BO28" i="6"/>
  <c r="BN28" i="6"/>
  <c r="BM28" i="6"/>
  <c r="BL28" i="6"/>
  <c r="BK28" i="6"/>
  <c r="BJ28" i="6"/>
  <c r="BI28" i="6"/>
  <c r="BH28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14" i="6"/>
  <c r="X29" i="5"/>
  <c r="W29" i="5"/>
  <c r="HC28" i="5"/>
  <c r="HB28" i="5"/>
  <c r="HA28" i="5"/>
  <c r="GZ28" i="5"/>
  <c r="GY28" i="5"/>
  <c r="GX28" i="5"/>
  <c r="GW28" i="5"/>
  <c r="GV28" i="5"/>
  <c r="GV30" i="5" s="1"/>
  <c r="GU28" i="5"/>
  <c r="GT28" i="5"/>
  <c r="GS28" i="5"/>
  <c r="GR28" i="5"/>
  <c r="GQ28" i="5"/>
  <c r="GP28" i="5"/>
  <c r="GO28" i="5"/>
  <c r="GN28" i="5"/>
  <c r="GM28" i="5"/>
  <c r="GL28" i="5"/>
  <c r="GK28" i="5"/>
  <c r="GJ28" i="5"/>
  <c r="GI28" i="5"/>
  <c r="GH28" i="5"/>
  <c r="GG28" i="5"/>
  <c r="GF28" i="5"/>
  <c r="GE28" i="5"/>
  <c r="GD28" i="5"/>
  <c r="GC28" i="5"/>
  <c r="GB28" i="5"/>
  <c r="GA28" i="5"/>
  <c r="FZ28" i="5"/>
  <c r="FY28" i="5"/>
  <c r="FX28" i="5"/>
  <c r="FW28" i="5"/>
  <c r="FV28" i="5"/>
  <c r="FU28" i="5"/>
  <c r="FT28" i="5"/>
  <c r="FS28" i="5"/>
  <c r="FR28" i="5"/>
  <c r="FQ28" i="5"/>
  <c r="FP28" i="5"/>
  <c r="FO28" i="5"/>
  <c r="FN28" i="5"/>
  <c r="FM28" i="5"/>
  <c r="FL28" i="5"/>
  <c r="FK28" i="5"/>
  <c r="FJ28" i="5"/>
  <c r="FI28" i="5"/>
  <c r="FH28" i="5"/>
  <c r="FG28" i="5"/>
  <c r="FF28" i="5"/>
  <c r="FE28" i="5"/>
  <c r="FD28" i="5"/>
  <c r="FC28" i="5"/>
  <c r="FB28" i="5"/>
  <c r="FA28" i="5"/>
  <c r="EZ28" i="5"/>
  <c r="EY28" i="5"/>
  <c r="EX28" i="5"/>
  <c r="EW28" i="5"/>
  <c r="EV28" i="5"/>
  <c r="EU28" i="5"/>
  <c r="ET28" i="5"/>
  <c r="ES28" i="5"/>
  <c r="ER28" i="5"/>
  <c r="EQ28" i="5"/>
  <c r="EP28" i="5"/>
  <c r="EO28" i="5"/>
  <c r="EN28" i="5"/>
  <c r="EM28" i="5"/>
  <c r="EL28" i="5"/>
  <c r="EK28" i="5"/>
  <c r="EJ28" i="5"/>
  <c r="EI28" i="5"/>
  <c r="EH28" i="5"/>
  <c r="EG28" i="5"/>
  <c r="EF28" i="5"/>
  <c r="EE28" i="5"/>
  <c r="ED28" i="5"/>
  <c r="EC28" i="5"/>
  <c r="EB28" i="5"/>
  <c r="EA28" i="5"/>
  <c r="DZ28" i="5"/>
  <c r="DY28" i="5"/>
  <c r="DX28" i="5"/>
  <c r="DW28" i="5"/>
  <c r="DV28" i="5"/>
  <c r="DU28" i="5"/>
  <c r="DT28" i="5"/>
  <c r="DS28" i="5"/>
  <c r="DR28" i="5"/>
  <c r="DQ28" i="5"/>
  <c r="DP28" i="5"/>
  <c r="DO28" i="5"/>
  <c r="DN28" i="5"/>
  <c r="DM28" i="5"/>
  <c r="DL28" i="5"/>
  <c r="DK28" i="5"/>
  <c r="DJ28" i="5"/>
  <c r="DI28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K28" i="5"/>
  <c r="CJ28" i="5"/>
  <c r="CI28" i="5"/>
  <c r="CH28" i="5"/>
  <c r="CG28" i="5"/>
  <c r="CF28" i="5"/>
  <c r="CE28" i="5"/>
  <c r="CD28" i="5"/>
  <c r="CC28" i="5"/>
  <c r="CB28" i="5"/>
  <c r="CA28" i="5"/>
  <c r="BZ28" i="5"/>
  <c r="BY28" i="5"/>
  <c r="BX28" i="5"/>
  <c r="BW28" i="5"/>
  <c r="BV28" i="5"/>
  <c r="BU28" i="5"/>
  <c r="BT28" i="5"/>
  <c r="BS28" i="5"/>
  <c r="BR28" i="5"/>
  <c r="BQ28" i="5"/>
  <c r="BP28" i="5"/>
  <c r="BO28" i="5"/>
  <c r="BN28" i="5"/>
  <c r="BM28" i="5"/>
  <c r="BL28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H29" i="5" s="1"/>
  <c r="G28" i="5"/>
  <c r="CY29" i="5" s="1"/>
  <c r="F28" i="5"/>
  <c r="E28" i="5"/>
  <c r="D28" i="5"/>
  <c r="C28" i="5"/>
  <c r="B28" i="5"/>
  <c r="A14" i="5"/>
  <c r="GG29" i="4"/>
  <c r="GF29" i="4"/>
  <c r="GE29" i="4"/>
  <c r="GD29" i="4"/>
  <c r="GC29" i="4"/>
  <c r="GB29" i="4"/>
  <c r="FE29" i="4"/>
  <c r="FD29" i="4"/>
  <c r="FC29" i="4"/>
  <c r="FB29" i="4"/>
  <c r="FA29" i="4"/>
  <c r="EZ29" i="4"/>
  <c r="EC29" i="4"/>
  <c r="EB29" i="4"/>
  <c r="EA29" i="4"/>
  <c r="DZ29" i="4"/>
  <c r="DY29" i="4"/>
  <c r="DX29" i="4"/>
  <c r="DA29" i="4"/>
  <c r="CZ29" i="4"/>
  <c r="CY29" i="4"/>
  <c r="CX29" i="4"/>
  <c r="CW29" i="4"/>
  <c r="CV29" i="4"/>
  <c r="BY29" i="4"/>
  <c r="BX29" i="4"/>
  <c r="BW29" i="4"/>
  <c r="BV29" i="4"/>
  <c r="BU29" i="4"/>
  <c r="BT29" i="4"/>
  <c r="AW29" i="4"/>
  <c r="AV29" i="4"/>
  <c r="AU29" i="4"/>
  <c r="AT29" i="4"/>
  <c r="AS29" i="4"/>
  <c r="AR29" i="4"/>
  <c r="U29" i="4"/>
  <c r="T29" i="4"/>
  <c r="S29" i="4"/>
  <c r="R29" i="4"/>
  <c r="Q29" i="4"/>
  <c r="P29" i="4"/>
  <c r="HC28" i="4"/>
  <c r="HC30" i="4" s="1"/>
  <c r="HB28" i="4"/>
  <c r="HA28" i="4"/>
  <c r="HA30" i="4" s="1"/>
  <c r="GZ28" i="4"/>
  <c r="GZ30" i="4" s="1"/>
  <c r="GY28" i="4"/>
  <c r="GY30" i="4" s="1"/>
  <c r="GX28" i="4"/>
  <c r="GX30" i="4" s="1"/>
  <c r="GW28" i="4"/>
  <c r="GV28" i="4"/>
  <c r="GU28" i="4"/>
  <c r="GU30" i="4" s="1"/>
  <c r="GT28" i="4"/>
  <c r="GT30" i="4" s="1"/>
  <c r="GS28" i="4"/>
  <c r="GS30" i="4" s="1"/>
  <c r="GR28" i="4"/>
  <c r="GQ28" i="4"/>
  <c r="GQ29" i="4" s="1"/>
  <c r="GP28" i="4"/>
  <c r="GP29" i="4" s="1"/>
  <c r="GO28" i="4"/>
  <c r="GO29" i="4" s="1"/>
  <c r="GN28" i="4"/>
  <c r="GN29" i="4" s="1"/>
  <c r="GM28" i="4"/>
  <c r="GM29" i="4" s="1"/>
  <c r="GL28" i="4"/>
  <c r="GL29" i="4" s="1"/>
  <c r="GK28" i="4"/>
  <c r="GK29" i="4" s="1"/>
  <c r="GJ28" i="4"/>
  <c r="GJ29" i="4" s="1"/>
  <c r="GI28" i="4"/>
  <c r="GI29" i="4" s="1"/>
  <c r="GH28" i="4"/>
  <c r="GG28" i="4"/>
  <c r="GF28" i="4"/>
  <c r="GE28" i="4"/>
  <c r="GD28" i="4"/>
  <c r="GC28" i="4"/>
  <c r="GB28" i="4"/>
  <c r="GA28" i="4"/>
  <c r="GA29" i="4" s="1"/>
  <c r="FZ28" i="4"/>
  <c r="FZ29" i="4" s="1"/>
  <c r="FY28" i="4"/>
  <c r="FY29" i="4" s="1"/>
  <c r="FX28" i="4"/>
  <c r="FX29" i="4" s="1"/>
  <c r="FW28" i="4"/>
  <c r="FW29" i="4" s="1"/>
  <c r="FV28" i="4"/>
  <c r="FV29" i="4" s="1"/>
  <c r="FU28" i="4"/>
  <c r="FU29" i="4" s="1"/>
  <c r="FT28" i="4"/>
  <c r="FS28" i="4"/>
  <c r="FS29" i="4" s="1"/>
  <c r="FR28" i="4"/>
  <c r="FR29" i="4" s="1"/>
  <c r="FQ28" i="4"/>
  <c r="FQ29" i="4" s="1"/>
  <c r="FP28" i="4"/>
  <c r="FP29" i="4" s="1"/>
  <c r="FO28" i="4"/>
  <c r="FO29" i="4" s="1"/>
  <c r="FN28" i="4"/>
  <c r="FN29" i="4" s="1"/>
  <c r="FM28" i="4"/>
  <c r="FM29" i="4" s="1"/>
  <c r="FL28" i="4"/>
  <c r="FL29" i="4" s="1"/>
  <c r="FK28" i="4"/>
  <c r="FK29" i="4" s="1"/>
  <c r="FJ28" i="4"/>
  <c r="FJ29" i="4" s="1"/>
  <c r="FI28" i="4"/>
  <c r="FI29" i="4" s="1"/>
  <c r="FH28" i="4"/>
  <c r="FH29" i="4" s="1"/>
  <c r="FG28" i="4"/>
  <c r="FG29" i="4" s="1"/>
  <c r="FF28" i="4"/>
  <c r="FE28" i="4"/>
  <c r="FD28" i="4"/>
  <c r="FC28" i="4"/>
  <c r="FB28" i="4"/>
  <c r="FA28" i="4"/>
  <c r="EZ28" i="4"/>
  <c r="EY28" i="4"/>
  <c r="EY29" i="4" s="1"/>
  <c r="EX28" i="4"/>
  <c r="EX29" i="4" s="1"/>
  <c r="EW28" i="4"/>
  <c r="EW29" i="4" s="1"/>
  <c r="EV28" i="4"/>
  <c r="EV29" i="4" s="1"/>
  <c r="EU28" i="4"/>
  <c r="EU29" i="4" s="1"/>
  <c r="ET28" i="4"/>
  <c r="ET29" i="4" s="1"/>
  <c r="ES28" i="4"/>
  <c r="ES29" i="4" s="1"/>
  <c r="ER28" i="4"/>
  <c r="EQ28" i="4"/>
  <c r="EQ29" i="4" s="1"/>
  <c r="EP28" i="4"/>
  <c r="EP29" i="4" s="1"/>
  <c r="EO28" i="4"/>
  <c r="EO29" i="4" s="1"/>
  <c r="EN28" i="4"/>
  <c r="EN29" i="4" s="1"/>
  <c r="EM28" i="4"/>
  <c r="EM29" i="4" s="1"/>
  <c r="EL28" i="4"/>
  <c r="EL29" i="4" s="1"/>
  <c r="EK28" i="4"/>
  <c r="EK29" i="4" s="1"/>
  <c r="EJ28" i="4"/>
  <c r="EJ29" i="4" s="1"/>
  <c r="EI28" i="4"/>
  <c r="EI29" i="4" s="1"/>
  <c r="EH28" i="4"/>
  <c r="EH29" i="4" s="1"/>
  <c r="EG28" i="4"/>
  <c r="EG29" i="4" s="1"/>
  <c r="EF28" i="4"/>
  <c r="EF29" i="4" s="1"/>
  <c r="EE28" i="4"/>
  <c r="EE29" i="4" s="1"/>
  <c r="ED28" i="4"/>
  <c r="EC28" i="4"/>
  <c r="EB28" i="4"/>
  <c r="EA28" i="4"/>
  <c r="DZ28" i="4"/>
  <c r="DY28" i="4"/>
  <c r="DX28" i="4"/>
  <c r="DW28" i="4"/>
  <c r="DW29" i="4" s="1"/>
  <c r="DV28" i="4"/>
  <c r="DV29" i="4" s="1"/>
  <c r="DU28" i="4"/>
  <c r="DU29" i="4" s="1"/>
  <c r="DT28" i="4"/>
  <c r="DT29" i="4" s="1"/>
  <c r="DS28" i="4"/>
  <c r="DS29" i="4" s="1"/>
  <c r="DR28" i="4"/>
  <c r="DR29" i="4" s="1"/>
  <c r="DQ28" i="4"/>
  <c r="DQ29" i="4" s="1"/>
  <c r="DP28" i="4"/>
  <c r="DO28" i="4"/>
  <c r="DO29" i="4" s="1"/>
  <c r="DN28" i="4"/>
  <c r="DN29" i="4" s="1"/>
  <c r="DM28" i="4"/>
  <c r="DM29" i="4" s="1"/>
  <c r="DL28" i="4"/>
  <c r="DL29" i="4" s="1"/>
  <c r="DK28" i="4"/>
  <c r="DK29" i="4" s="1"/>
  <c r="DJ28" i="4"/>
  <c r="DJ29" i="4" s="1"/>
  <c r="DI28" i="4"/>
  <c r="DI29" i="4" s="1"/>
  <c r="DH28" i="4"/>
  <c r="DH29" i="4" s="1"/>
  <c r="DG28" i="4"/>
  <c r="DG29" i="4" s="1"/>
  <c r="DF28" i="4"/>
  <c r="DF29" i="4" s="1"/>
  <c r="DE28" i="4"/>
  <c r="DE29" i="4" s="1"/>
  <c r="DD28" i="4"/>
  <c r="DD29" i="4" s="1"/>
  <c r="DC28" i="4"/>
  <c r="DC29" i="4" s="1"/>
  <c r="DB28" i="4"/>
  <c r="DA28" i="4"/>
  <c r="CZ28" i="4"/>
  <c r="CY28" i="4"/>
  <c r="CX28" i="4"/>
  <c r="CW28" i="4"/>
  <c r="CV28" i="4"/>
  <c r="CU28" i="4"/>
  <c r="CU29" i="4" s="1"/>
  <c r="CT28" i="4"/>
  <c r="CT29" i="4" s="1"/>
  <c r="CS28" i="4"/>
  <c r="CS29" i="4" s="1"/>
  <c r="CR28" i="4"/>
  <c r="CR29" i="4" s="1"/>
  <c r="CQ28" i="4"/>
  <c r="CQ29" i="4" s="1"/>
  <c r="CP28" i="4"/>
  <c r="CP29" i="4" s="1"/>
  <c r="CO28" i="4"/>
  <c r="CO29" i="4" s="1"/>
  <c r="CN28" i="4"/>
  <c r="CM28" i="4"/>
  <c r="CM29" i="4" s="1"/>
  <c r="CL28" i="4"/>
  <c r="CL29" i="4" s="1"/>
  <c r="CK28" i="4"/>
  <c r="CK29" i="4" s="1"/>
  <c r="CJ28" i="4"/>
  <c r="CJ29" i="4" s="1"/>
  <c r="CI28" i="4"/>
  <c r="CI29" i="4" s="1"/>
  <c r="CH28" i="4"/>
  <c r="CH29" i="4" s="1"/>
  <c r="CG28" i="4"/>
  <c r="CG29" i="4" s="1"/>
  <c r="CF28" i="4"/>
  <c r="CF29" i="4" s="1"/>
  <c r="CE28" i="4"/>
  <c r="CE29" i="4" s="1"/>
  <c r="CD28" i="4"/>
  <c r="CD29" i="4" s="1"/>
  <c r="CC28" i="4"/>
  <c r="CC29" i="4" s="1"/>
  <c r="CB28" i="4"/>
  <c r="CB29" i="4" s="1"/>
  <c r="CA28" i="4"/>
  <c r="CA29" i="4" s="1"/>
  <c r="BZ28" i="4"/>
  <c r="BY28" i="4"/>
  <c r="BX28" i="4"/>
  <c r="BW28" i="4"/>
  <c r="BV28" i="4"/>
  <c r="BU28" i="4"/>
  <c r="BT28" i="4"/>
  <c r="BS28" i="4"/>
  <c r="BS29" i="4" s="1"/>
  <c r="BR28" i="4"/>
  <c r="BR29" i="4" s="1"/>
  <c r="BQ28" i="4"/>
  <c r="BQ29" i="4" s="1"/>
  <c r="BP28" i="4"/>
  <c r="BP29" i="4" s="1"/>
  <c r="BO28" i="4"/>
  <c r="BO29" i="4" s="1"/>
  <c r="BN28" i="4"/>
  <c r="BN29" i="4" s="1"/>
  <c r="BM28" i="4"/>
  <c r="BM29" i="4" s="1"/>
  <c r="BL28" i="4"/>
  <c r="BK28" i="4"/>
  <c r="BK29" i="4" s="1"/>
  <c r="BJ28" i="4"/>
  <c r="BJ29" i="4" s="1"/>
  <c r="BI28" i="4"/>
  <c r="BI29" i="4" s="1"/>
  <c r="BH28" i="4"/>
  <c r="BH29" i="4" s="1"/>
  <c r="BG28" i="4"/>
  <c r="BG29" i="4" s="1"/>
  <c r="BF28" i="4"/>
  <c r="BF29" i="4" s="1"/>
  <c r="BE28" i="4"/>
  <c r="BE29" i="4" s="1"/>
  <c r="BD28" i="4"/>
  <c r="BD29" i="4" s="1"/>
  <c r="BC28" i="4"/>
  <c r="BC29" i="4" s="1"/>
  <c r="BB28" i="4"/>
  <c r="BB29" i="4" s="1"/>
  <c r="BA28" i="4"/>
  <c r="BA29" i="4" s="1"/>
  <c r="AZ28" i="4"/>
  <c r="AZ29" i="4" s="1"/>
  <c r="AY28" i="4"/>
  <c r="AY29" i="4" s="1"/>
  <c r="AX28" i="4"/>
  <c r="AW28" i="4"/>
  <c r="AV28" i="4"/>
  <c r="AU28" i="4"/>
  <c r="AT28" i="4"/>
  <c r="AS28" i="4"/>
  <c r="AR28" i="4"/>
  <c r="AQ28" i="4"/>
  <c r="AQ29" i="4" s="1"/>
  <c r="AP28" i="4"/>
  <c r="AP29" i="4" s="1"/>
  <c r="AO28" i="4"/>
  <c r="AO29" i="4" s="1"/>
  <c r="AN28" i="4"/>
  <c r="AN29" i="4" s="1"/>
  <c r="AM28" i="4"/>
  <c r="AM29" i="4" s="1"/>
  <c r="AL28" i="4"/>
  <c r="AL29" i="4" s="1"/>
  <c r="AK28" i="4"/>
  <c r="AK29" i="4" s="1"/>
  <c r="AJ28" i="4"/>
  <c r="AI28" i="4"/>
  <c r="AI29" i="4" s="1"/>
  <c r="AH28" i="4"/>
  <c r="AH29" i="4" s="1"/>
  <c r="AG28" i="4"/>
  <c r="AG29" i="4" s="1"/>
  <c r="AF28" i="4"/>
  <c r="AF29" i="4" s="1"/>
  <c r="AE28" i="4"/>
  <c r="AE29" i="4" s="1"/>
  <c r="AD28" i="4"/>
  <c r="AD29" i="4" s="1"/>
  <c r="AC28" i="4"/>
  <c r="AC29" i="4" s="1"/>
  <c r="AB28" i="4"/>
  <c r="AB29" i="4" s="1"/>
  <c r="AA28" i="4"/>
  <c r="AA29" i="4" s="1"/>
  <c r="Z28" i="4"/>
  <c r="Z29" i="4" s="1"/>
  <c r="Y28" i="4"/>
  <c r="Y29" i="4" s="1"/>
  <c r="X28" i="4"/>
  <c r="X29" i="4" s="1"/>
  <c r="W28" i="4"/>
  <c r="W29" i="4" s="1"/>
  <c r="V28" i="4"/>
  <c r="U28" i="4"/>
  <c r="T28" i="4"/>
  <c r="S28" i="4"/>
  <c r="R28" i="4"/>
  <c r="Q28" i="4"/>
  <c r="P28" i="4"/>
  <c r="O28" i="4"/>
  <c r="O29" i="4" s="1"/>
  <c r="N28" i="4"/>
  <c r="N29" i="4" s="1"/>
  <c r="M28" i="4"/>
  <c r="M29" i="4" s="1"/>
  <c r="L28" i="4"/>
  <c r="L29" i="4" s="1"/>
  <c r="K28" i="4"/>
  <c r="K29" i="4" s="1"/>
  <c r="J28" i="4"/>
  <c r="J29" i="4" s="1"/>
  <c r="I28" i="4"/>
  <c r="I29" i="4" s="1"/>
  <c r="H28" i="4"/>
  <c r="G28" i="4"/>
  <c r="G29" i="4" s="1"/>
  <c r="F28" i="4"/>
  <c r="F29" i="4" s="1"/>
  <c r="E28" i="4"/>
  <c r="E29" i="4" s="1"/>
  <c r="D28" i="4"/>
  <c r="D29" i="4" s="1"/>
  <c r="C28" i="4"/>
  <c r="C29" i="4" s="1"/>
  <c r="B28" i="4"/>
  <c r="B29" i="4" s="1"/>
  <c r="D14" i="4"/>
  <c r="A14" i="4"/>
  <c r="D13" i="4"/>
  <c r="C13" i="4"/>
  <c r="D11" i="4"/>
  <c r="C11" i="4"/>
  <c r="EE10" i="4"/>
  <c r="D10" i="4"/>
  <c r="C10" i="4"/>
  <c r="EE9" i="4"/>
  <c r="D9" i="4"/>
  <c r="C9" i="4"/>
  <c r="EE8" i="4"/>
  <c r="D8" i="4"/>
  <c r="C8" i="4"/>
  <c r="D7" i="4"/>
  <c r="C7" i="4"/>
  <c r="D6" i="4"/>
  <c r="C6" i="4"/>
  <c r="D5" i="4"/>
  <c r="C5" i="4"/>
  <c r="D4" i="4"/>
  <c r="C4" i="4"/>
  <c r="D3" i="4"/>
  <c r="C3" i="4"/>
  <c r="HC30" i="3"/>
  <c r="GU30" i="3"/>
  <c r="GT30" i="3"/>
  <c r="GS30" i="3"/>
  <c r="FQ29" i="3"/>
  <c r="FP29" i="3"/>
  <c r="FO29" i="3"/>
  <c r="FB29" i="3"/>
  <c r="FA29" i="3"/>
  <c r="EZ29" i="3"/>
  <c r="DX29" i="3"/>
  <c r="DW29" i="3"/>
  <c r="DO29" i="3"/>
  <c r="DN29" i="3"/>
  <c r="DM29" i="3"/>
  <c r="DL29" i="3"/>
  <c r="CJ29" i="3"/>
  <c r="CI29" i="3"/>
  <c r="BV29" i="3"/>
  <c r="BU29" i="3"/>
  <c r="BT29" i="3"/>
  <c r="BS29" i="3"/>
  <c r="AQ29" i="3"/>
  <c r="AI29" i="3"/>
  <c r="AH29" i="3"/>
  <c r="AG29" i="3"/>
  <c r="AF29" i="3"/>
  <c r="AE29" i="3"/>
  <c r="C29" i="3"/>
  <c r="HC28" i="3"/>
  <c r="HB28" i="3"/>
  <c r="HA28" i="3"/>
  <c r="GZ28" i="3"/>
  <c r="GY28" i="3"/>
  <c r="GY30" i="3" s="1"/>
  <c r="GX28" i="3"/>
  <c r="GW28" i="3"/>
  <c r="GV28" i="3"/>
  <c r="GU28" i="3"/>
  <c r="GT28" i="3"/>
  <c r="GS28" i="3"/>
  <c r="GR28" i="3"/>
  <c r="GR30" i="3" s="1"/>
  <c r="GQ28" i="3"/>
  <c r="GQ29" i="3" s="1"/>
  <c r="GP28" i="3"/>
  <c r="GP29" i="3" s="1"/>
  <c r="GO28" i="3"/>
  <c r="GO29" i="3" s="1"/>
  <c r="GN28" i="3"/>
  <c r="GM28" i="3"/>
  <c r="GL28" i="3"/>
  <c r="GK28" i="3"/>
  <c r="GK29" i="3" s="1"/>
  <c r="GJ28" i="3"/>
  <c r="GI28" i="3"/>
  <c r="GH28" i="3"/>
  <c r="GG28" i="3"/>
  <c r="GF28" i="3"/>
  <c r="GE28" i="3"/>
  <c r="GD28" i="3"/>
  <c r="GD29" i="3" s="1"/>
  <c r="GC28" i="3"/>
  <c r="GC29" i="3" s="1"/>
  <c r="GB28" i="3"/>
  <c r="GA28" i="3"/>
  <c r="FZ28" i="3"/>
  <c r="FY28" i="3"/>
  <c r="FX28" i="3"/>
  <c r="FW28" i="3"/>
  <c r="FW29" i="3" s="1"/>
  <c r="FV28" i="3"/>
  <c r="FU28" i="3"/>
  <c r="FT28" i="3"/>
  <c r="FS28" i="3"/>
  <c r="FS29" i="3" s="1"/>
  <c r="FR28" i="3"/>
  <c r="FQ28" i="3"/>
  <c r="FP28" i="3"/>
  <c r="FO28" i="3"/>
  <c r="FN28" i="3"/>
  <c r="FN29" i="3" s="1"/>
  <c r="FM28" i="3"/>
  <c r="FM29" i="3" s="1"/>
  <c r="FL28" i="3"/>
  <c r="FK28" i="3"/>
  <c r="FJ28" i="3"/>
  <c r="FI28" i="3"/>
  <c r="FI29" i="3" s="1"/>
  <c r="FH28" i="3"/>
  <c r="FG28" i="3"/>
  <c r="FF28" i="3"/>
  <c r="FE28" i="3"/>
  <c r="FD28" i="3"/>
  <c r="FC28" i="3"/>
  <c r="FB28" i="3"/>
  <c r="FA28" i="3"/>
  <c r="EZ28" i="3"/>
  <c r="EY28" i="3"/>
  <c r="EX28" i="3"/>
  <c r="EW28" i="3"/>
  <c r="EV28" i="3"/>
  <c r="EU28" i="3"/>
  <c r="EU29" i="3" s="1"/>
  <c r="ET28" i="3"/>
  <c r="ES28" i="3"/>
  <c r="ER28" i="3"/>
  <c r="EQ28" i="3"/>
  <c r="EQ29" i="3" s="1"/>
  <c r="EP28" i="3"/>
  <c r="EP29" i="3" s="1"/>
  <c r="EO28" i="3"/>
  <c r="EO29" i="3" s="1"/>
  <c r="EN28" i="3"/>
  <c r="EN29" i="3" s="1"/>
  <c r="EM28" i="3"/>
  <c r="EM29" i="3" s="1"/>
  <c r="EL28" i="3"/>
  <c r="EL29" i="3" s="1"/>
  <c r="EK28" i="3"/>
  <c r="EK29" i="3" s="1"/>
  <c r="EJ28" i="3"/>
  <c r="EI28" i="3"/>
  <c r="EH28" i="3"/>
  <c r="EG28" i="3"/>
  <c r="EG29" i="3" s="1"/>
  <c r="EF28" i="3"/>
  <c r="EE28" i="3"/>
  <c r="ED28" i="3"/>
  <c r="EC28" i="3"/>
  <c r="EB28" i="3"/>
  <c r="EA28" i="3"/>
  <c r="DZ28" i="3"/>
  <c r="DZ29" i="3" s="1"/>
  <c r="DY28" i="3"/>
  <c r="DY29" i="3" s="1"/>
  <c r="DX28" i="3"/>
  <c r="DW28" i="3"/>
  <c r="DV28" i="3"/>
  <c r="DU28" i="3"/>
  <c r="DU29" i="3" s="1"/>
  <c r="DT28" i="3"/>
  <c r="DS28" i="3"/>
  <c r="DS29" i="3" s="1"/>
  <c r="DR28" i="3"/>
  <c r="DQ28" i="3"/>
  <c r="DP28" i="3"/>
  <c r="DO28" i="3"/>
  <c r="DN28" i="3"/>
  <c r="DM28" i="3"/>
  <c r="DL28" i="3"/>
  <c r="DK28" i="3"/>
  <c r="DK29" i="3" s="1"/>
  <c r="DJ28" i="3"/>
  <c r="DJ29" i="3" s="1"/>
  <c r="DI28" i="3"/>
  <c r="DI29" i="3" s="1"/>
  <c r="DH28" i="3"/>
  <c r="DG28" i="3"/>
  <c r="DG29" i="3" s="1"/>
  <c r="DF28" i="3"/>
  <c r="DE28" i="3"/>
  <c r="DE29" i="3" s="1"/>
  <c r="DD28" i="3"/>
  <c r="DC28" i="3"/>
  <c r="DB28" i="3"/>
  <c r="DA28" i="3"/>
  <c r="CZ28" i="3"/>
  <c r="CY28" i="3"/>
  <c r="CX28" i="3"/>
  <c r="CX29" i="3" s="1"/>
  <c r="CW28" i="3"/>
  <c r="CW29" i="3" s="1"/>
  <c r="CV28" i="3"/>
  <c r="CU28" i="3"/>
  <c r="CT28" i="3"/>
  <c r="CS28" i="3"/>
  <c r="CS29" i="3" s="1"/>
  <c r="CR28" i="3"/>
  <c r="CQ28" i="3"/>
  <c r="CQ29" i="3" s="1"/>
  <c r="CP28" i="3"/>
  <c r="CO28" i="3"/>
  <c r="CN28" i="3"/>
  <c r="CM28" i="3"/>
  <c r="CM29" i="3" s="1"/>
  <c r="CL28" i="3"/>
  <c r="CL29" i="3" s="1"/>
  <c r="CK28" i="3"/>
  <c r="CJ28" i="3"/>
  <c r="CI28" i="3"/>
  <c r="CH28" i="3"/>
  <c r="CH29" i="3" s="1"/>
  <c r="CG28" i="3"/>
  <c r="CG29" i="3" s="1"/>
  <c r="CF28" i="3"/>
  <c r="CE28" i="3"/>
  <c r="CE29" i="3" s="1"/>
  <c r="CD28" i="3"/>
  <c r="CC28" i="3"/>
  <c r="CC29" i="3" s="1"/>
  <c r="CB28" i="3"/>
  <c r="CA28" i="3"/>
  <c r="BZ28" i="3"/>
  <c r="BY28" i="3"/>
  <c r="BX28" i="3"/>
  <c r="BW28" i="3"/>
  <c r="BV28" i="3"/>
  <c r="BU28" i="3"/>
  <c r="BT28" i="3"/>
  <c r="BS28" i="3"/>
  <c r="BR28" i="3"/>
  <c r="BQ28" i="3"/>
  <c r="BQ29" i="3" s="1"/>
  <c r="BP28" i="3"/>
  <c r="BO28" i="3"/>
  <c r="BO29" i="3" s="1"/>
  <c r="BN28" i="3"/>
  <c r="BM28" i="3"/>
  <c r="BL28" i="3"/>
  <c r="BK28" i="3"/>
  <c r="BK29" i="3" s="1"/>
  <c r="BJ28" i="3"/>
  <c r="BJ29" i="3" s="1"/>
  <c r="BI28" i="3"/>
  <c r="BI29" i="3" s="1"/>
  <c r="BH28" i="3"/>
  <c r="BH29" i="3" s="1"/>
  <c r="BG28" i="3"/>
  <c r="BG29" i="3" s="1"/>
  <c r="BF28" i="3"/>
  <c r="BF29" i="3" s="1"/>
  <c r="BE28" i="3"/>
  <c r="BE29" i="3" s="1"/>
  <c r="BD28" i="3"/>
  <c r="BC28" i="3"/>
  <c r="BC29" i="3" s="1"/>
  <c r="BB28" i="3"/>
  <c r="BA28" i="3"/>
  <c r="BA29" i="3" s="1"/>
  <c r="AZ28" i="3"/>
  <c r="AY28" i="3"/>
  <c r="AX28" i="3"/>
  <c r="AW28" i="3"/>
  <c r="AV28" i="3"/>
  <c r="AU28" i="3"/>
  <c r="AT28" i="3"/>
  <c r="AT29" i="3" s="1"/>
  <c r="AS28" i="3"/>
  <c r="AS29" i="3" s="1"/>
  <c r="AR28" i="3"/>
  <c r="AQ28" i="3"/>
  <c r="AP28" i="3"/>
  <c r="AO28" i="3"/>
  <c r="AO29" i="3" s="1"/>
  <c r="AN28" i="3"/>
  <c r="AN29" i="3" s="1"/>
  <c r="AM28" i="3"/>
  <c r="AM29" i="3" s="1"/>
  <c r="AL28" i="3"/>
  <c r="AK28" i="3"/>
  <c r="AJ28" i="3"/>
  <c r="AI28" i="3"/>
  <c r="AH28" i="3"/>
  <c r="AG28" i="3"/>
  <c r="AF28" i="3"/>
  <c r="AE28" i="3"/>
  <c r="AD28" i="3"/>
  <c r="AD29" i="3" s="1"/>
  <c r="AC28" i="3"/>
  <c r="AC29" i="3" s="1"/>
  <c r="AB28" i="3"/>
  <c r="AA28" i="3"/>
  <c r="AA29" i="3" s="1"/>
  <c r="Z28" i="3"/>
  <c r="Z29" i="3" s="1"/>
  <c r="Y28" i="3"/>
  <c r="Y29" i="3" s="1"/>
  <c r="X28" i="3"/>
  <c r="W28" i="3"/>
  <c r="V28" i="3"/>
  <c r="U28" i="3"/>
  <c r="T28" i="3"/>
  <c r="S28" i="3"/>
  <c r="R28" i="3"/>
  <c r="R29" i="3" s="1"/>
  <c r="Q28" i="3"/>
  <c r="Q29" i="3" s="1"/>
  <c r="P28" i="3"/>
  <c r="O28" i="3"/>
  <c r="N28" i="3"/>
  <c r="M28" i="3"/>
  <c r="M29" i="3" s="1"/>
  <c r="L28" i="3"/>
  <c r="L29" i="3" s="1"/>
  <c r="K28" i="3"/>
  <c r="K29" i="3" s="1"/>
  <c r="J28" i="3"/>
  <c r="I28" i="3"/>
  <c r="H28" i="3"/>
  <c r="G28" i="3"/>
  <c r="G29" i="3" s="1"/>
  <c r="F28" i="3"/>
  <c r="F29" i="3" s="1"/>
  <c r="E28" i="3"/>
  <c r="E29" i="3" s="1"/>
  <c r="D28" i="3"/>
  <c r="C28" i="3"/>
  <c r="EY29" i="3" s="1"/>
  <c r="B28" i="3"/>
  <c r="B29" i="3" s="1"/>
  <c r="GS14" i="3"/>
  <c r="A14" i="3"/>
  <c r="AO13" i="3"/>
  <c r="GU11" i="3"/>
  <c r="AO10" i="3"/>
  <c r="GS9" i="3"/>
  <c r="GS8" i="3"/>
  <c r="AO8" i="3"/>
  <c r="L8" i="3"/>
  <c r="GU7" i="3"/>
  <c r="GS7" i="3"/>
  <c r="AO7" i="3"/>
  <c r="GS6" i="3"/>
  <c r="L6" i="3"/>
  <c r="GU5" i="3"/>
  <c r="GS5" i="3"/>
  <c r="L5" i="3"/>
  <c r="GS4" i="3"/>
  <c r="GU3" i="3"/>
  <c r="AO3" i="3"/>
  <c r="AX29" i="2"/>
  <c r="AJ29" i="2"/>
  <c r="HC28" i="2"/>
  <c r="HC30" i="2" s="1"/>
  <c r="HB28" i="2"/>
  <c r="HA28" i="2"/>
  <c r="GZ28" i="2"/>
  <c r="GY28" i="2"/>
  <c r="GX28" i="2"/>
  <c r="GW28" i="2"/>
  <c r="GV28" i="2"/>
  <c r="GU28" i="2"/>
  <c r="GT28" i="2"/>
  <c r="GS28" i="2"/>
  <c r="GR28" i="2"/>
  <c r="GQ28" i="2"/>
  <c r="GP28" i="2"/>
  <c r="GO28" i="2"/>
  <c r="GN28" i="2"/>
  <c r="GM28" i="2"/>
  <c r="GL28" i="2"/>
  <c r="GK28" i="2"/>
  <c r="GJ28" i="2"/>
  <c r="GI28" i="2"/>
  <c r="GH28" i="2"/>
  <c r="GG28" i="2"/>
  <c r="GF28" i="2"/>
  <c r="GE28" i="2"/>
  <c r="GD28" i="2"/>
  <c r="GC28" i="2"/>
  <c r="GB28" i="2"/>
  <c r="GA28" i="2"/>
  <c r="FZ28" i="2"/>
  <c r="FY28" i="2"/>
  <c r="FX28" i="2"/>
  <c r="FW28" i="2"/>
  <c r="FV28" i="2"/>
  <c r="FU28" i="2"/>
  <c r="FT28" i="2"/>
  <c r="FS28" i="2"/>
  <c r="FR28" i="2"/>
  <c r="FQ28" i="2"/>
  <c r="FP28" i="2"/>
  <c r="FO28" i="2"/>
  <c r="FN28" i="2"/>
  <c r="FM28" i="2"/>
  <c r="FL28" i="2"/>
  <c r="FK28" i="2"/>
  <c r="FJ28" i="2"/>
  <c r="FI28" i="2"/>
  <c r="FH28" i="2"/>
  <c r="FG28" i="2"/>
  <c r="FF28" i="2"/>
  <c r="FE28" i="2"/>
  <c r="FD28" i="2"/>
  <c r="FC28" i="2"/>
  <c r="FB28" i="2"/>
  <c r="FA28" i="2"/>
  <c r="EZ28" i="2"/>
  <c r="EY28" i="2"/>
  <c r="EX28" i="2"/>
  <c r="EW28" i="2"/>
  <c r="EV28" i="2"/>
  <c r="EU28" i="2"/>
  <c r="ET28" i="2"/>
  <c r="ES28" i="2"/>
  <c r="ER28" i="2"/>
  <c r="EQ28" i="2"/>
  <c r="EP28" i="2"/>
  <c r="EO28" i="2"/>
  <c r="EN28" i="2"/>
  <c r="EM28" i="2"/>
  <c r="EL28" i="2"/>
  <c r="EK28" i="2"/>
  <c r="EJ28" i="2"/>
  <c r="EI28" i="2"/>
  <c r="EH28" i="2"/>
  <c r="EG28" i="2"/>
  <c r="EF28" i="2"/>
  <c r="EE28" i="2"/>
  <c r="ED28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J29" i="2" s="1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Q29" i="2" s="1"/>
  <c r="P28" i="2"/>
  <c r="O28" i="2"/>
  <c r="O29" i="2" s="1"/>
  <c r="N28" i="2"/>
  <c r="M28" i="2"/>
  <c r="L28" i="2"/>
  <c r="K28" i="2"/>
  <c r="J28" i="2"/>
  <c r="I28" i="2"/>
  <c r="H28" i="2"/>
  <c r="G28" i="2"/>
  <c r="F28" i="2"/>
  <c r="E28" i="2"/>
  <c r="E29" i="2" s="1"/>
  <c r="D28" i="2"/>
  <c r="D29" i="2" s="1"/>
  <c r="C28" i="2"/>
  <c r="B28" i="2"/>
  <c r="EU29" i="2" s="1"/>
  <c r="A14" i="2"/>
  <c r="ES29" i="1"/>
  <c r="ER29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V29" i="1" s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14" i="1"/>
  <c r="AJ29" i="1" l="1"/>
  <c r="ED29" i="1"/>
  <c r="BM29" i="1"/>
  <c r="CA29" i="1"/>
  <c r="GI29" i="1"/>
  <c r="GW30" i="1"/>
  <c r="H29" i="1"/>
  <c r="EZ29" i="1"/>
  <c r="DO29" i="1"/>
  <c r="CF29" i="1"/>
  <c r="AW29" i="1"/>
  <c r="DN29" i="1"/>
  <c r="AR29" i="1"/>
  <c r="DM29" i="1"/>
  <c r="DL29" i="1"/>
  <c r="S29" i="1"/>
  <c r="AU29" i="1"/>
  <c r="DK29" i="1"/>
  <c r="Q29" i="1"/>
  <c r="GG29" i="1"/>
  <c r="DJ29" i="1"/>
  <c r="P29" i="1"/>
  <c r="GF29" i="1"/>
  <c r="O29" i="1"/>
  <c r="GE29" i="1"/>
  <c r="BY29" i="1"/>
  <c r="GD29" i="1"/>
  <c r="EX29" i="1"/>
  <c r="GC29" i="1"/>
  <c r="AV29" i="1"/>
  <c r="GH29" i="1"/>
  <c r="CO29" i="1"/>
  <c r="X29" i="1"/>
  <c r="CB29" i="1"/>
  <c r="ET29" i="1"/>
  <c r="BL29" i="1"/>
  <c r="FF29" i="1"/>
  <c r="W29" i="1"/>
  <c r="EE29" i="1"/>
  <c r="CC29" i="1"/>
  <c r="EU29" i="1"/>
  <c r="AX29" i="1"/>
  <c r="BZ29" i="1"/>
  <c r="GV30" i="1"/>
  <c r="GU30" i="1"/>
  <c r="GT30" i="1"/>
  <c r="GS30" i="1"/>
  <c r="AY29" i="1"/>
  <c r="FT29" i="1"/>
  <c r="FU29" i="1"/>
  <c r="CN29" i="1"/>
  <c r="DQ29" i="1"/>
  <c r="DB29" i="1"/>
  <c r="I29" i="1"/>
  <c r="FG29" i="1"/>
  <c r="AS29" i="1"/>
  <c r="DP29" i="1"/>
  <c r="AK29" i="1"/>
  <c r="DC29" i="1"/>
  <c r="AT29" i="1"/>
  <c r="EF29" i="1"/>
  <c r="AM29" i="1"/>
  <c r="DS29" i="1"/>
  <c r="Z29" i="1"/>
  <c r="EV29" i="1"/>
  <c r="GZ30" i="1"/>
  <c r="AL29" i="1"/>
  <c r="DR29" i="1"/>
  <c r="GJ29" i="1"/>
  <c r="K29" i="1"/>
  <c r="BO29" i="1"/>
  <c r="EG29" i="1"/>
  <c r="AN29" i="1"/>
  <c r="FJ29" i="1"/>
  <c r="N29" i="1"/>
  <c r="AB29" i="1"/>
  <c r="AP29" i="1"/>
  <c r="CT29" i="1"/>
  <c r="DH29" i="1"/>
  <c r="FL29" i="1"/>
  <c r="CP29" i="1"/>
  <c r="FH29" i="1"/>
  <c r="Y29" i="1"/>
  <c r="CQ29" i="1"/>
  <c r="GY30" i="1"/>
  <c r="L29" i="1"/>
  <c r="DT29" i="1"/>
  <c r="FX29" i="1"/>
  <c r="AC29" i="1"/>
  <c r="AQ29" i="1"/>
  <c r="DD29" i="1"/>
  <c r="FV29" i="1"/>
  <c r="BA29" i="1"/>
  <c r="EH29" i="1"/>
  <c r="GL29" i="1"/>
  <c r="DZ29" i="1"/>
  <c r="AD29" i="1"/>
  <c r="CV29" i="1"/>
  <c r="FN29" i="1"/>
  <c r="BN29" i="1"/>
  <c r="FI29" i="1"/>
  <c r="CD29" i="1"/>
  <c r="C29" i="1"/>
  <c r="AE29" i="1"/>
  <c r="BG29" i="1"/>
  <c r="CW29" i="1"/>
  <c r="FO29" i="1"/>
  <c r="GX30" i="1"/>
  <c r="GK29" i="1"/>
  <c r="CR29" i="1"/>
  <c r="AF29" i="1"/>
  <c r="BH29" i="1"/>
  <c r="CX29" i="1"/>
  <c r="J29" i="1"/>
  <c r="DF29" i="1"/>
  <c r="AG29" i="1"/>
  <c r="BI29" i="1"/>
  <c r="EA29" i="1"/>
  <c r="FQ29" i="1"/>
  <c r="AZ29" i="1"/>
  <c r="FW29" i="1"/>
  <c r="BP29" i="1"/>
  <c r="BJ29" i="1"/>
  <c r="BX29" i="1"/>
  <c r="DE29" i="1"/>
  <c r="BB29" i="1"/>
  <c r="BK29" i="1"/>
  <c r="EC29" i="1"/>
  <c r="EQ29" i="1"/>
  <c r="GH14" i="8"/>
  <c r="FL14" i="8"/>
  <c r="EM14" i="8"/>
  <c r="DM14" i="8"/>
  <c r="CN14" i="8"/>
  <c r="BR14" i="8"/>
  <c r="AS14" i="8"/>
  <c r="S14" i="8"/>
  <c r="GA13" i="8"/>
  <c r="FB13" i="8"/>
  <c r="EB13" i="8"/>
  <c r="DC13" i="8"/>
  <c r="CG13" i="8"/>
  <c r="BH13" i="8"/>
  <c r="AH13" i="8"/>
  <c r="I13" i="8"/>
  <c r="GO12" i="8"/>
  <c r="FP12" i="8"/>
  <c r="EP12" i="8"/>
  <c r="DQ12" i="8"/>
  <c r="CU12" i="8"/>
  <c r="BV12" i="8"/>
  <c r="AV12" i="8"/>
  <c r="W12" i="8"/>
  <c r="GD11" i="8"/>
  <c r="FD11" i="8"/>
  <c r="EE11" i="8"/>
  <c r="DI11" i="8"/>
  <c r="CJ11" i="8"/>
  <c r="BJ11" i="8"/>
  <c r="AK11" i="8"/>
  <c r="O11" i="8"/>
  <c r="FR10" i="8"/>
  <c r="ES10" i="8"/>
  <c r="DW10" i="8"/>
  <c r="CX10" i="8"/>
  <c r="BY10" i="8"/>
  <c r="BJ10" i="8"/>
  <c r="AV10" i="8"/>
  <c r="AH10" i="8"/>
  <c r="T10" i="8"/>
  <c r="F10" i="8"/>
  <c r="GF9" i="8"/>
  <c r="FR9" i="8"/>
  <c r="FD9" i="8"/>
  <c r="EP9" i="8"/>
  <c r="EB9" i="8"/>
  <c r="DN9" i="8"/>
  <c r="CZ9" i="8"/>
  <c r="CL9" i="8"/>
  <c r="BX9" i="8"/>
  <c r="BJ9" i="8"/>
  <c r="AV9" i="8"/>
  <c r="AH9" i="8"/>
  <c r="T9" i="8"/>
  <c r="F9" i="8"/>
  <c r="GF8" i="8"/>
  <c r="FR8" i="8"/>
  <c r="FD8" i="8"/>
  <c r="EP8" i="8"/>
  <c r="EB8" i="8"/>
  <c r="DN8" i="8"/>
  <c r="CZ8" i="8"/>
  <c r="CL8" i="8"/>
  <c r="BX8" i="8"/>
  <c r="BJ8" i="8"/>
  <c r="AV8" i="8"/>
  <c r="AH8" i="8"/>
  <c r="T8" i="8"/>
  <c r="F8" i="8"/>
  <c r="GF7" i="8"/>
  <c r="FR7" i="8"/>
  <c r="FD7" i="8"/>
  <c r="EP7" i="8"/>
  <c r="EB7" i="8"/>
  <c r="DN7" i="8"/>
  <c r="CZ7" i="8"/>
  <c r="GF14" i="8"/>
  <c r="FG14" i="8"/>
  <c r="EK14" i="8"/>
  <c r="DL14" i="8"/>
  <c r="CL14" i="8"/>
  <c r="BM14" i="8"/>
  <c r="AQ14" i="8"/>
  <c r="R14" i="8"/>
  <c r="FV13" i="8"/>
  <c r="EZ13" i="8"/>
  <c r="EA13" i="8"/>
  <c r="DA13" i="8"/>
  <c r="CB13" i="8"/>
  <c r="BF13" i="8"/>
  <c r="AG13" i="8"/>
  <c r="G13" i="8"/>
  <c r="GJ12" i="8"/>
  <c r="FN12" i="8"/>
  <c r="EO12" i="8"/>
  <c r="DO12" i="8"/>
  <c r="CP12" i="8"/>
  <c r="BT12" i="8"/>
  <c r="AU12" i="8"/>
  <c r="U12" i="8"/>
  <c r="GB11" i="8"/>
  <c r="FC11" i="8"/>
  <c r="EC11" i="8"/>
  <c r="DD11" i="8"/>
  <c r="CH11" i="8"/>
  <c r="BI11" i="8"/>
  <c r="AI11" i="8"/>
  <c r="J11" i="8"/>
  <c r="GP10" i="8"/>
  <c r="FQ10" i="8"/>
  <c r="EQ10" i="8"/>
  <c r="DR10" i="8"/>
  <c r="CV10" i="8"/>
  <c r="BX10" i="8"/>
  <c r="BI10" i="8"/>
  <c r="AU10" i="8"/>
  <c r="AG10" i="8"/>
  <c r="S10" i="8"/>
  <c r="E10" i="8"/>
  <c r="GE9" i="8"/>
  <c r="FQ9" i="8"/>
  <c r="FC9" i="8"/>
  <c r="EO9" i="8"/>
  <c r="EA9" i="8"/>
  <c r="DM9" i="8"/>
  <c r="CY9" i="8"/>
  <c r="CK9" i="8"/>
  <c r="BW9" i="8"/>
  <c r="BI9" i="8"/>
  <c r="AU9" i="8"/>
  <c r="AG9" i="8"/>
  <c r="S9" i="8"/>
  <c r="E9" i="8"/>
  <c r="GE8" i="8"/>
  <c r="FQ8" i="8"/>
  <c r="FC8" i="8"/>
  <c r="EO8" i="8"/>
  <c r="EA8" i="8"/>
  <c r="DM8" i="8"/>
  <c r="CY8" i="8"/>
  <c r="CK8" i="8"/>
  <c r="BW8" i="8"/>
  <c r="BI8" i="8"/>
  <c r="AU8" i="8"/>
  <c r="AG8" i="8"/>
  <c r="S8" i="8"/>
  <c r="E8" i="8"/>
  <c r="GE7" i="8"/>
  <c r="FQ7" i="8"/>
  <c r="FC7" i="8"/>
  <c r="EO7" i="8"/>
  <c r="EA7" i="8"/>
  <c r="DM7" i="8"/>
  <c r="CY7" i="8"/>
  <c r="CK7" i="8"/>
  <c r="BW7" i="8"/>
  <c r="GE14" i="8"/>
  <c r="FF14" i="8"/>
  <c r="EJ14" i="8"/>
  <c r="DK14" i="8"/>
  <c r="CK14" i="8"/>
  <c r="BL14" i="8"/>
  <c r="AP14" i="8"/>
  <c r="Q14" i="8"/>
  <c r="FU13" i="8"/>
  <c r="EY13" i="8"/>
  <c r="DZ13" i="8"/>
  <c r="CZ13" i="8"/>
  <c r="CA13" i="8"/>
  <c r="BE13" i="8"/>
  <c r="AF13" i="8"/>
  <c r="F13" i="8"/>
  <c r="GI12" i="8"/>
  <c r="FM12" i="8"/>
  <c r="EN12" i="8"/>
  <c r="DN12" i="8"/>
  <c r="CO12" i="8"/>
  <c r="BS12" i="8"/>
  <c r="AT12" i="8"/>
  <c r="T12" i="8"/>
  <c r="GA11" i="8"/>
  <c r="FB11" i="8"/>
  <c r="EB11" i="8"/>
  <c r="DC11" i="8"/>
  <c r="CG11" i="8"/>
  <c r="BH11" i="8"/>
  <c r="AH11" i="8"/>
  <c r="I11" i="8"/>
  <c r="GO10" i="8"/>
  <c r="FP10" i="8"/>
  <c r="EP10" i="8"/>
  <c r="DQ10" i="8"/>
  <c r="CU10" i="8"/>
  <c r="BW10" i="8"/>
  <c r="BH10" i="8"/>
  <c r="AT10" i="8"/>
  <c r="AF10" i="8"/>
  <c r="R10" i="8"/>
  <c r="D10" i="8"/>
  <c r="GD9" i="8"/>
  <c r="FP9" i="8"/>
  <c r="FB9" i="8"/>
  <c r="EN9" i="8"/>
  <c r="DZ9" i="8"/>
  <c r="DL9" i="8"/>
  <c r="CX9" i="8"/>
  <c r="CJ9" i="8"/>
  <c r="BV9" i="8"/>
  <c r="BH9" i="8"/>
  <c r="AT9" i="8"/>
  <c r="AF9" i="8"/>
  <c r="R9" i="8"/>
  <c r="D9" i="8"/>
  <c r="GD8" i="8"/>
  <c r="FP8" i="8"/>
  <c r="FB8" i="8"/>
  <c r="EN8" i="8"/>
  <c r="DZ8" i="8"/>
  <c r="DL8" i="8"/>
  <c r="CX8" i="8"/>
  <c r="CJ8" i="8"/>
  <c r="BV8" i="8"/>
  <c r="BH8" i="8"/>
  <c r="AT8" i="8"/>
  <c r="AF8" i="8"/>
  <c r="R8" i="8"/>
  <c r="D8" i="8"/>
  <c r="GD7" i="8"/>
  <c r="FP7" i="8"/>
  <c r="FB7" i="8"/>
  <c r="EN7" i="8"/>
  <c r="FZ14" i="8"/>
  <c r="FA14" i="8"/>
  <c r="EA14" i="8"/>
  <c r="DB14" i="8"/>
  <c r="CF14" i="8"/>
  <c r="BG14" i="8"/>
  <c r="AG14" i="8"/>
  <c r="H14" i="8"/>
  <c r="GO13" i="8"/>
  <c r="FP13" i="8"/>
  <c r="EP13" i="8"/>
  <c r="DQ13" i="8"/>
  <c r="CU13" i="8"/>
  <c r="BV13" i="8"/>
  <c r="AV13" i="8"/>
  <c r="W13" i="8"/>
  <c r="GD12" i="8"/>
  <c r="FD12" i="8"/>
  <c r="EE12" i="8"/>
  <c r="DI12" i="8"/>
  <c r="CJ12" i="8"/>
  <c r="BJ12" i="8"/>
  <c r="AK12" i="8"/>
  <c r="O12" i="8"/>
  <c r="FR11" i="8"/>
  <c r="ES11" i="8"/>
  <c r="DW11" i="8"/>
  <c r="CX11" i="8"/>
  <c r="BX11" i="8"/>
  <c r="AY11" i="8"/>
  <c r="AC11" i="8"/>
  <c r="D11" i="8"/>
  <c r="GF10" i="8"/>
  <c r="FG10" i="8"/>
  <c r="EK10" i="8"/>
  <c r="DL10" i="8"/>
  <c r="CL10" i="8"/>
  <c r="BR10" i="8"/>
  <c r="BD10" i="8"/>
  <c r="AP10" i="8"/>
  <c r="AB10" i="8"/>
  <c r="N10" i="8"/>
  <c r="GN9" i="8"/>
  <c r="FZ9" i="8"/>
  <c r="FL9" i="8"/>
  <c r="EX9" i="8"/>
  <c r="EJ9" i="8"/>
  <c r="DV9" i="8"/>
  <c r="DH9" i="8"/>
  <c r="CT9" i="8"/>
  <c r="CF9" i="8"/>
  <c r="BR9" i="8"/>
  <c r="BD9" i="8"/>
  <c r="AP9" i="8"/>
  <c r="AB9" i="8"/>
  <c r="N9" i="8"/>
  <c r="GN8" i="8"/>
  <c r="FZ8" i="8"/>
  <c r="FL8" i="8"/>
  <c r="EX8" i="8"/>
  <c r="EJ8" i="8"/>
  <c r="DV8" i="8"/>
  <c r="DH8" i="8"/>
  <c r="CT8" i="8"/>
  <c r="CF8" i="8"/>
  <c r="BR8" i="8"/>
  <c r="BD8" i="8"/>
  <c r="AP8" i="8"/>
  <c r="AB8" i="8"/>
  <c r="N8" i="8"/>
  <c r="GN7" i="8"/>
  <c r="FZ7" i="8"/>
  <c r="FL7" i="8"/>
  <c r="EX7" i="8"/>
  <c r="EJ7" i="8"/>
  <c r="DV7" i="8"/>
  <c r="DH7" i="8"/>
  <c r="CT7" i="8"/>
  <c r="CF7" i="8"/>
  <c r="FU14" i="8"/>
  <c r="EY14" i="8"/>
  <c r="DZ14" i="8"/>
  <c r="CZ14" i="8"/>
  <c r="CA14" i="8"/>
  <c r="BE14" i="8"/>
  <c r="AF14" i="8"/>
  <c r="F14" i="8"/>
  <c r="GJ13" i="8"/>
  <c r="FN13" i="8"/>
  <c r="EO13" i="8"/>
  <c r="DO13" i="8"/>
  <c r="CP13" i="8"/>
  <c r="BT13" i="8"/>
  <c r="AU13" i="8"/>
  <c r="U13" i="8"/>
  <c r="GB12" i="8"/>
  <c r="FC12" i="8"/>
  <c r="EC12" i="8"/>
  <c r="DD12" i="8"/>
  <c r="CH12" i="8"/>
  <c r="BI12" i="8"/>
  <c r="AI12" i="8"/>
  <c r="J12" i="8"/>
  <c r="GP11" i="8"/>
  <c r="FQ11" i="8"/>
  <c r="EQ11" i="8"/>
  <c r="DR11" i="8"/>
  <c r="CV11" i="8"/>
  <c r="BW11" i="8"/>
  <c r="AW11" i="8"/>
  <c r="X11" i="8"/>
  <c r="B11" i="8"/>
  <c r="GE10" i="8"/>
  <c r="FE10" i="8"/>
  <c r="EF10" i="8"/>
  <c r="DJ10" i="8"/>
  <c r="CK10" i="8"/>
  <c r="BQ10" i="8"/>
  <c r="BC10" i="8"/>
  <c r="AO10" i="8"/>
  <c r="AA10" i="8"/>
  <c r="M10" i="8"/>
  <c r="GM9" i="8"/>
  <c r="FY9" i="8"/>
  <c r="FK9" i="8"/>
  <c r="EW9" i="8"/>
  <c r="EI9" i="8"/>
  <c r="DU9" i="8"/>
  <c r="DG9" i="8"/>
  <c r="CS9" i="8"/>
  <c r="CE9" i="8"/>
  <c r="BQ9" i="8"/>
  <c r="BC9" i="8"/>
  <c r="AO9" i="8"/>
  <c r="AA9" i="8"/>
  <c r="M9" i="8"/>
  <c r="GM8" i="8"/>
  <c r="FY8" i="8"/>
  <c r="FK8" i="8"/>
  <c r="EW8" i="8"/>
  <c r="EI8" i="8"/>
  <c r="DU8" i="8"/>
  <c r="DG8" i="8"/>
  <c r="CS8" i="8"/>
  <c r="CE8" i="8"/>
  <c r="BQ8" i="8"/>
  <c r="BC8" i="8"/>
  <c r="AO8" i="8"/>
  <c r="AA8" i="8"/>
  <c r="M8" i="8"/>
  <c r="GM7" i="8"/>
  <c r="FY7" i="8"/>
  <c r="FK7" i="8"/>
  <c r="EW7" i="8"/>
  <c r="EI7" i="8"/>
  <c r="DU7" i="8"/>
  <c r="DG7" i="8"/>
  <c r="CS7" i="8"/>
  <c r="CE7" i="8"/>
  <c r="FR14" i="8"/>
  <c r="ES14" i="8"/>
  <c r="DW14" i="8"/>
  <c r="CX14" i="8"/>
  <c r="BX14" i="8"/>
  <c r="AY14" i="8"/>
  <c r="AC14" i="8"/>
  <c r="D14" i="8"/>
  <c r="GG13" i="8"/>
  <c r="FH13" i="8"/>
  <c r="EL13" i="8"/>
  <c r="DM13" i="8"/>
  <c r="CM13" i="8"/>
  <c r="BN13" i="8"/>
  <c r="AR13" i="8"/>
  <c r="S13" i="8"/>
  <c r="FV12" i="8"/>
  <c r="EZ12" i="8"/>
  <c r="EA12" i="8"/>
  <c r="DA12" i="8"/>
  <c r="CB12" i="8"/>
  <c r="BF12" i="8"/>
  <c r="AG12" i="8"/>
  <c r="G12" i="8"/>
  <c r="GJ11" i="8"/>
  <c r="FN11" i="8"/>
  <c r="EO11" i="8"/>
  <c r="DO11" i="8"/>
  <c r="CP11" i="8"/>
  <c r="BT11" i="8"/>
  <c r="AU11" i="8"/>
  <c r="U11" i="8"/>
  <c r="GB10" i="8"/>
  <c r="FC10" i="8"/>
  <c r="EC10" i="8"/>
  <c r="DD10" i="8"/>
  <c r="CH10" i="8"/>
  <c r="BO10" i="8"/>
  <c r="BA10" i="8"/>
  <c r="AM10" i="8"/>
  <c r="Y10" i="8"/>
  <c r="K10" i="8"/>
  <c r="GK9" i="8"/>
  <c r="FW9" i="8"/>
  <c r="FI9" i="8"/>
  <c r="EU9" i="8"/>
  <c r="EG9" i="8"/>
  <c r="DS9" i="8"/>
  <c r="DE9" i="8"/>
  <c r="CQ9" i="8"/>
  <c r="CC9" i="8"/>
  <c r="BO9" i="8"/>
  <c r="BA9" i="8"/>
  <c r="AM9" i="8"/>
  <c r="Y9" i="8"/>
  <c r="K9" i="8"/>
  <c r="GK8" i="8"/>
  <c r="FW8" i="8"/>
  <c r="FI8" i="8"/>
  <c r="EU8" i="8"/>
  <c r="EG8" i="8"/>
  <c r="DS8" i="8"/>
  <c r="DE8" i="8"/>
  <c r="CQ8" i="8"/>
  <c r="CC8" i="8"/>
  <c r="BO8" i="8"/>
  <c r="BA8" i="8"/>
  <c r="AM8" i="8"/>
  <c r="Y8" i="8"/>
  <c r="K8" i="8"/>
  <c r="GK7" i="8"/>
  <c r="FW7" i="8"/>
  <c r="FI7" i="8"/>
  <c r="EU7" i="8"/>
  <c r="EG7" i="8"/>
  <c r="DS7" i="8"/>
  <c r="DE7" i="8"/>
  <c r="CQ7" i="8"/>
  <c r="CC7" i="8"/>
  <c r="BO7" i="8"/>
  <c r="FQ14" i="8"/>
  <c r="ER14" i="8"/>
  <c r="DV14" i="8"/>
  <c r="GI14" i="8"/>
  <c r="EN14" i="8"/>
  <c r="CT14" i="8"/>
  <c r="AX14" i="8"/>
  <c r="I14" i="8"/>
  <c r="FS13" i="8"/>
  <c r="EE13" i="8"/>
  <c r="CL13" i="8"/>
  <c r="AW13" i="8"/>
  <c r="E13" i="8"/>
  <c r="FR12" i="8"/>
  <c r="DZ12" i="8"/>
  <c r="CK12" i="8"/>
  <c r="AR12" i="8"/>
  <c r="D12" i="8"/>
  <c r="FM11" i="8"/>
  <c r="DX11" i="8"/>
  <c r="GD14" i="8"/>
  <c r="EE14" i="8"/>
  <c r="CO14" i="8"/>
  <c r="AV14" i="8"/>
  <c r="E14" i="8"/>
  <c r="FR13" i="8"/>
  <c r="EC13" i="8"/>
  <c r="CK13" i="8"/>
  <c r="AT13" i="8"/>
  <c r="D13" i="8"/>
  <c r="FQ12" i="8"/>
  <c r="DX12" i="8"/>
  <c r="CG12" i="8"/>
  <c r="AQ12" i="8"/>
  <c r="B12" i="8"/>
  <c r="FH11" i="8"/>
  <c r="DQ11" i="8"/>
  <c r="CA11" i="8"/>
  <c r="AL11" i="8"/>
  <c r="FD10" i="8"/>
  <c r="DN10" i="8"/>
  <c r="CA10" i="8"/>
  <c r="AY10" i="8"/>
  <c r="Z10" i="8"/>
  <c r="B10" i="8"/>
  <c r="GG9" i="8"/>
  <c r="FG9" i="8"/>
  <c r="EH9" i="8"/>
  <c r="DJ9" i="8"/>
  <c r="CM9" i="8"/>
  <c r="BM9" i="8"/>
  <c r="AN9" i="8"/>
  <c r="P9" i="8"/>
  <c r="FU8" i="8"/>
  <c r="EV8" i="8"/>
  <c r="DX8" i="8"/>
  <c r="DA8" i="8"/>
  <c r="CA8" i="8"/>
  <c r="BB8" i="8"/>
  <c r="AD8" i="8"/>
  <c r="G8" i="8"/>
  <c r="GI7" i="8"/>
  <c r="FJ7" i="8"/>
  <c r="EL7" i="8"/>
  <c r="DP7" i="8"/>
  <c r="CU7" i="8"/>
  <c r="BZ7" i="8"/>
  <c r="BJ7" i="8"/>
  <c r="AV7" i="8"/>
  <c r="AH7" i="8"/>
  <c r="T7" i="8"/>
  <c r="F7" i="8"/>
  <c r="GF6" i="8"/>
  <c r="FR6" i="8"/>
  <c r="FD6" i="8"/>
  <c r="EP6" i="8"/>
  <c r="EB6" i="8"/>
  <c r="DN6" i="8"/>
  <c r="CZ6" i="8"/>
  <c r="CL6" i="8"/>
  <c r="BX6" i="8"/>
  <c r="BJ6" i="8"/>
  <c r="AV6" i="8"/>
  <c r="AH6" i="8"/>
  <c r="T6" i="8"/>
  <c r="F6" i="8"/>
  <c r="GF5" i="8"/>
  <c r="FR5" i="8"/>
  <c r="FD5" i="8"/>
  <c r="EP5" i="8"/>
  <c r="EB5" i="8"/>
  <c r="DN5" i="8"/>
  <c r="CZ5" i="8"/>
  <c r="CL5" i="8"/>
  <c r="BX5" i="8"/>
  <c r="BJ5" i="8"/>
  <c r="AV5" i="8"/>
  <c r="AH5" i="8"/>
  <c r="T5" i="8"/>
  <c r="F5" i="8"/>
  <c r="GF4" i="8"/>
  <c r="FR4" i="8"/>
  <c r="FD4" i="8"/>
  <c r="EP4" i="8"/>
  <c r="EB4" i="8"/>
  <c r="GC14" i="8"/>
  <c r="ED14" i="8"/>
  <c r="CJ14" i="8"/>
  <c r="AU14" i="8"/>
  <c r="C14" i="8"/>
  <c r="FQ13" i="8"/>
  <c r="DX13" i="8"/>
  <c r="CJ13" i="8"/>
  <c r="AQ13" i="8"/>
  <c r="B13" i="8"/>
  <c r="FH12" i="8"/>
  <c r="DW12" i="8"/>
  <c r="CA12" i="8"/>
  <c r="AL12" i="8"/>
  <c r="FG11" i="8"/>
  <c r="DN11" i="8"/>
  <c r="BY11" i="8"/>
  <c r="AG11" i="8"/>
  <c r="FB10" i="8"/>
  <c r="DM10" i="8"/>
  <c r="BV10" i="8"/>
  <c r="AX10" i="8"/>
  <c r="X10" i="8"/>
  <c r="GC9" i="8"/>
  <c r="FF9" i="8"/>
  <c r="EF9" i="8"/>
  <c r="DI9" i="8"/>
  <c r="CI9" i="8"/>
  <c r="BL9" i="8"/>
  <c r="AL9" i="8"/>
  <c r="O9" i="8"/>
  <c r="GQ8" i="8"/>
  <c r="FT8" i="8"/>
  <c r="ET8" i="8"/>
  <c r="DW8" i="8"/>
  <c r="BZ8" i="8"/>
  <c r="AC8" i="8"/>
  <c r="C8" i="8"/>
  <c r="GH7" i="8"/>
  <c r="FH7" i="8"/>
  <c r="EK7" i="8"/>
  <c r="DO7" i="8"/>
  <c r="CR7" i="8"/>
  <c r="BY7" i="8"/>
  <c r="BI7" i="8"/>
  <c r="AU7" i="8"/>
  <c r="AG7" i="8"/>
  <c r="S7" i="8"/>
  <c r="E7" i="8"/>
  <c r="GE6" i="8"/>
  <c r="FQ6" i="8"/>
  <c r="FC6" i="8"/>
  <c r="EO6" i="8"/>
  <c r="EA6" i="8"/>
  <c r="DM6" i="8"/>
  <c r="CY6" i="8"/>
  <c r="CK6" i="8"/>
  <c r="BW6" i="8"/>
  <c r="BI6" i="8"/>
  <c r="AU6" i="8"/>
  <c r="AG6" i="8"/>
  <c r="S6" i="8"/>
  <c r="E6" i="8"/>
  <c r="GE5" i="8"/>
  <c r="FQ5" i="8"/>
  <c r="FC5" i="8"/>
  <c r="EO5" i="8"/>
  <c r="EA5" i="8"/>
  <c r="DM5" i="8"/>
  <c r="CY5" i="8"/>
  <c r="CK5" i="8"/>
  <c r="BW5" i="8"/>
  <c r="BI5" i="8"/>
  <c r="AU5" i="8"/>
  <c r="AG5" i="8"/>
  <c r="S5" i="8"/>
  <c r="E5" i="8"/>
  <c r="GA14" i="8"/>
  <c r="EB14" i="8"/>
  <c r="CI14" i="8"/>
  <c r="AT14" i="8"/>
  <c r="FM13" i="8"/>
  <c r="DW13" i="8"/>
  <c r="CH13" i="8"/>
  <c r="AL13" i="8"/>
  <c r="FG12" i="8"/>
  <c r="DR12" i="8"/>
  <c r="BY12" i="8"/>
  <c r="AH12" i="8"/>
  <c r="FE11" i="8"/>
  <c r="DM11" i="8"/>
  <c r="BV11" i="8"/>
  <c r="AF11" i="8"/>
  <c r="EZ10" i="8"/>
  <c r="DI10" i="8"/>
  <c r="BT10" i="8"/>
  <c r="AW10" i="8"/>
  <c r="W10" i="8"/>
  <c r="GB9" i="8"/>
  <c r="FE9" i="8"/>
  <c r="EE9" i="8"/>
  <c r="DF9" i="8"/>
  <c r="CH9" i="8"/>
  <c r="BK9" i="8"/>
  <c r="AK9" i="8"/>
  <c r="L9" i="8"/>
  <c r="GP8" i="8"/>
  <c r="FS8" i="8"/>
  <c r="ES8" i="8"/>
  <c r="DT8" i="8"/>
  <c r="CV8" i="8"/>
  <c r="BY8" i="8"/>
  <c r="AY8" i="8"/>
  <c r="Z8" i="8"/>
  <c r="B8" i="8"/>
  <c r="GG7" i="8"/>
  <c r="FG7" i="8"/>
  <c r="EH7" i="8"/>
  <c r="DL7" i="8"/>
  <c r="CP7" i="8"/>
  <c r="BX7" i="8"/>
  <c r="BH7" i="8"/>
  <c r="AT7" i="8"/>
  <c r="AF7" i="8"/>
  <c r="R7" i="8"/>
  <c r="D7" i="8"/>
  <c r="GD6" i="8"/>
  <c r="FP6" i="8"/>
  <c r="FB6" i="8"/>
  <c r="EN6" i="8"/>
  <c r="DZ6" i="8"/>
  <c r="DL6" i="8"/>
  <c r="CX6" i="8"/>
  <c r="CJ6" i="8"/>
  <c r="BV6" i="8"/>
  <c r="BH6" i="8"/>
  <c r="AT6" i="8"/>
  <c r="AF6" i="8"/>
  <c r="R6" i="8"/>
  <c r="D6" i="8"/>
  <c r="GD5" i="8"/>
  <c r="FP5" i="8"/>
  <c r="FB5" i="8"/>
  <c r="EN5" i="8"/>
  <c r="DZ5" i="8"/>
  <c r="GO14" i="8"/>
  <c r="DP14" i="8"/>
  <c r="BJ14" i="8"/>
  <c r="FC13" i="8"/>
  <c r="CX13" i="8"/>
  <c r="AI13" i="8"/>
  <c r="GG12" i="8"/>
  <c r="EF12" i="8"/>
  <c r="BN12" i="8"/>
  <c r="P12" i="8"/>
  <c r="FS11" i="8"/>
  <c r="DA11" i="8"/>
  <c r="BE11" i="8"/>
  <c r="E11" i="8"/>
  <c r="FN10" i="8"/>
  <c r="DC10" i="8"/>
  <c r="BM10" i="8"/>
  <c r="AJ10" i="8"/>
  <c r="G10" i="8"/>
  <c r="GH9" i="8"/>
  <c r="EY9" i="8"/>
  <c r="DT9" i="8"/>
  <c r="CP9" i="8"/>
  <c r="BG9" i="8"/>
  <c r="AD9" i="8"/>
  <c r="GA8" i="8"/>
  <c r="ER8" i="8"/>
  <c r="DO8" i="8"/>
  <c r="CM8" i="8"/>
  <c r="BG8" i="8"/>
  <c r="AE8" i="8"/>
  <c r="FU7" i="8"/>
  <c r="ER7" i="8"/>
  <c r="DK7" i="8"/>
  <c r="CL7" i="8"/>
  <c r="BP7" i="8"/>
  <c r="AX7" i="8"/>
  <c r="AD7" i="8"/>
  <c r="M7" i="8"/>
  <c r="GJ6" i="8"/>
  <c r="FS6" i="8"/>
  <c r="EY6" i="8"/>
  <c r="EH6" i="8"/>
  <c r="DQ6" i="8"/>
  <c r="CF6" i="8"/>
  <c r="BO6" i="8"/>
  <c r="AX6" i="8"/>
  <c r="AD6" i="8"/>
  <c r="M6" i="8"/>
  <c r="GJ5" i="8"/>
  <c r="FS5" i="8"/>
  <c r="EY5" i="8"/>
  <c r="EH5" i="8"/>
  <c r="DQ5" i="8"/>
  <c r="DA5" i="8"/>
  <c r="CI5" i="8"/>
  <c r="BS5" i="8"/>
  <c r="BC5" i="8"/>
  <c r="AM5" i="8"/>
  <c r="W5" i="8"/>
  <c r="G5" i="8"/>
  <c r="GD4" i="8"/>
  <c r="FO4" i="8"/>
  <c r="EZ4" i="8"/>
  <c r="EK4" i="8"/>
  <c r="DV4" i="8"/>
  <c r="DH4" i="8"/>
  <c r="CT4" i="8"/>
  <c r="CF4" i="8"/>
  <c r="BR4" i="8"/>
  <c r="BD4" i="8"/>
  <c r="AP4" i="8"/>
  <c r="AB4" i="8"/>
  <c r="N4" i="8"/>
  <c r="GN3" i="8"/>
  <c r="FZ3" i="8"/>
  <c r="FL3" i="8"/>
  <c r="EX3" i="8"/>
  <c r="EJ3" i="8"/>
  <c r="DV3" i="8"/>
  <c r="DH3" i="8"/>
  <c r="CT3" i="8"/>
  <c r="CF3" i="8"/>
  <c r="BR3" i="8"/>
  <c r="BD3" i="8"/>
  <c r="GN14" i="8"/>
  <c r="DN14" i="8"/>
  <c r="BI14" i="8"/>
  <c r="ET13" i="8"/>
  <c r="CV13" i="8"/>
  <c r="AD13" i="8"/>
  <c r="GF12" i="8"/>
  <c r="EB12" i="8"/>
  <c r="BM12" i="8"/>
  <c r="I12" i="8"/>
  <c r="FP11" i="8"/>
  <c r="CZ11" i="8"/>
  <c r="FM10" i="8"/>
  <c r="DA10" i="8"/>
  <c r="BL10" i="8"/>
  <c r="AI10" i="8"/>
  <c r="C10" i="8"/>
  <c r="GA9" i="8"/>
  <c r="EV9" i="8"/>
  <c r="DR9" i="8"/>
  <c r="CO9" i="8"/>
  <c r="BF9" i="8"/>
  <c r="AC9" i="8"/>
  <c r="FX8" i="8"/>
  <c r="EQ8" i="8"/>
  <c r="DK8" i="8"/>
  <c r="CI8" i="8"/>
  <c r="BF8" i="8"/>
  <c r="X8" i="8"/>
  <c r="FT7" i="8"/>
  <c r="EQ7" i="8"/>
  <c r="DJ7" i="8"/>
  <c r="CJ7" i="8"/>
  <c r="BN7" i="8"/>
  <c r="AW7" i="8"/>
  <c r="AC7" i="8"/>
  <c r="L7" i="8"/>
  <c r="GI6" i="8"/>
  <c r="FO6" i="8"/>
  <c r="EX6" i="8"/>
  <c r="EG6" i="8"/>
  <c r="DP6" i="8"/>
  <c r="CV6" i="8"/>
  <c r="CE6" i="8"/>
  <c r="BN6" i="8"/>
  <c r="AW6" i="8"/>
  <c r="AC6" i="8"/>
  <c r="L6" i="8"/>
  <c r="GI5" i="8"/>
  <c r="FO5" i="8"/>
  <c r="EX5" i="8"/>
  <c r="EG5" i="8"/>
  <c r="DP5" i="8"/>
  <c r="CX5" i="8"/>
  <c r="CH5" i="8"/>
  <c r="BR5" i="8"/>
  <c r="BB5" i="8"/>
  <c r="AL5" i="8"/>
  <c r="V5" i="8"/>
  <c r="D5" i="8"/>
  <c r="GC4" i="8"/>
  <c r="FN4" i="8"/>
  <c r="EY4" i="8"/>
  <c r="EJ4" i="8"/>
  <c r="DU4" i="8"/>
  <c r="DG4" i="8"/>
  <c r="CS4" i="8"/>
  <c r="CE4" i="8"/>
  <c r="BQ4" i="8"/>
  <c r="BC4" i="8"/>
  <c r="AO4" i="8"/>
  <c r="AA4" i="8"/>
  <c r="M4" i="8"/>
  <c r="GM3" i="8"/>
  <c r="FY3" i="8"/>
  <c r="FK3" i="8"/>
  <c r="EW3" i="8"/>
  <c r="FT14" i="8"/>
  <c r="DI14" i="8"/>
  <c r="BH14" i="8"/>
  <c r="ES13" i="8"/>
  <c r="CO13" i="8"/>
  <c r="AC13" i="8"/>
  <c r="GE12" i="8"/>
  <c r="DM12" i="8"/>
  <c r="BK12" i="8"/>
  <c r="F12" i="8"/>
  <c r="EZ11" i="8"/>
  <c r="CY11" i="8"/>
  <c r="AV11" i="8"/>
  <c r="FH10" i="8"/>
  <c r="CZ10" i="8"/>
  <c r="BK10" i="8"/>
  <c r="AE10" i="8"/>
  <c r="FX9" i="8"/>
  <c r="ET9" i="8"/>
  <c r="DQ9" i="8"/>
  <c r="CN9" i="8"/>
  <c r="BE9" i="8"/>
  <c r="Z9" i="8"/>
  <c r="FV8" i="8"/>
  <c r="EM8" i="8"/>
  <c r="DJ8" i="8"/>
  <c r="CH8" i="8"/>
  <c r="BE8" i="8"/>
  <c r="W8" i="8"/>
  <c r="FS7" i="8"/>
  <c r="EM7" i="8"/>
  <c r="DI7" i="8"/>
  <c r="CI7" i="8"/>
  <c r="BM7" i="8"/>
  <c r="AS7" i="8"/>
  <c r="AB7" i="8"/>
  <c r="K7" i="8"/>
  <c r="GH6" i="8"/>
  <c r="FN6" i="8"/>
  <c r="EW6" i="8"/>
  <c r="EF6" i="8"/>
  <c r="DO6" i="8"/>
  <c r="CU6" i="8"/>
  <c r="CD6" i="8"/>
  <c r="BM6" i="8"/>
  <c r="AS6" i="8"/>
  <c r="AB6" i="8"/>
  <c r="K6" i="8"/>
  <c r="GH5" i="8"/>
  <c r="FN5" i="8"/>
  <c r="EW5" i="8"/>
  <c r="EF5" i="8"/>
  <c r="DO5" i="8"/>
  <c r="CG5" i="8"/>
  <c r="BQ5" i="8"/>
  <c r="BA5" i="8"/>
  <c r="AK5" i="8"/>
  <c r="U5" i="8"/>
  <c r="C5" i="8"/>
  <c r="GQ4" i="8"/>
  <c r="GB4" i="8"/>
  <c r="FM4" i="8"/>
  <c r="EX4" i="8"/>
  <c r="EI4" i="8"/>
  <c r="DT4" i="8"/>
  <c r="DF4" i="8"/>
  <c r="CR4" i="8"/>
  <c r="CD4" i="8"/>
  <c r="BP4" i="8"/>
  <c r="BB4" i="8"/>
  <c r="AN4" i="8"/>
  <c r="Z4" i="8"/>
  <c r="L4" i="8"/>
  <c r="GL3" i="8"/>
  <c r="FX3" i="8"/>
  <c r="FJ3" i="8"/>
  <c r="EV3" i="8"/>
  <c r="EH3" i="8"/>
  <c r="DT3" i="8"/>
  <c r="DF3" i="8"/>
  <c r="CR3" i="8"/>
  <c r="CD3" i="8"/>
  <c r="BP3" i="8"/>
  <c r="BB3" i="8"/>
  <c r="FP14" i="8"/>
  <c r="DH14" i="8"/>
  <c r="BD14" i="8"/>
  <c r="EQ13" i="8"/>
  <c r="BY13" i="8"/>
  <c r="X13" i="8"/>
  <c r="GA12" i="8"/>
  <c r="DL12" i="8"/>
  <c r="BH12" i="8"/>
  <c r="E12" i="8"/>
  <c r="EY11" i="8"/>
  <c r="CU11" i="8"/>
  <c r="AT11" i="8"/>
  <c r="EY10" i="8"/>
  <c r="CY10" i="8"/>
  <c r="BG10" i="8"/>
  <c r="AD10" i="8"/>
  <c r="FV9" i="8"/>
  <c r="ES9" i="8"/>
  <c r="DP9" i="8"/>
  <c r="CG9" i="8"/>
  <c r="BB9" i="8"/>
  <c r="X9" i="8"/>
  <c r="FO8" i="8"/>
  <c r="EL8" i="8"/>
  <c r="DI8" i="8"/>
  <c r="CG8" i="8"/>
  <c r="V8" i="8"/>
  <c r="FO7" i="8"/>
  <c r="EF7" i="8"/>
  <c r="DF7" i="8"/>
  <c r="CH7" i="8"/>
  <c r="BL7" i="8"/>
  <c r="AR7" i="8"/>
  <c r="AA7" i="8"/>
  <c r="J7" i="8"/>
  <c r="GG6" i="8"/>
  <c r="FM6" i="8"/>
  <c r="EV6" i="8"/>
  <c r="EE6" i="8"/>
  <c r="DK6" i="8"/>
  <c r="CT6" i="8"/>
  <c r="CC6" i="8"/>
  <c r="BL6" i="8"/>
  <c r="AR6" i="8"/>
  <c r="AA6" i="8"/>
  <c r="J6" i="8"/>
  <c r="GG5" i="8"/>
  <c r="FM5" i="8"/>
  <c r="EV5" i="8"/>
  <c r="EE5" i="8"/>
  <c r="DL5" i="8"/>
  <c r="CV5" i="8"/>
  <c r="CF5" i="8"/>
  <c r="BP5" i="8"/>
  <c r="AJ5" i="8"/>
  <c r="R5" i="8"/>
  <c r="B5" i="8"/>
  <c r="GP4" i="8"/>
  <c r="GA4" i="8"/>
  <c r="FL4" i="8"/>
  <c r="EW4" i="8"/>
  <c r="EH4" i="8"/>
  <c r="DS4" i="8"/>
  <c r="DE4" i="8"/>
  <c r="CQ4" i="8"/>
  <c r="CC4" i="8"/>
  <c r="BO4" i="8"/>
  <c r="BA4" i="8"/>
  <c r="AM4" i="8"/>
  <c r="Y4" i="8"/>
  <c r="K4" i="8"/>
  <c r="GK3" i="8"/>
  <c r="FW3" i="8"/>
  <c r="FI3" i="8"/>
  <c r="FO14" i="8"/>
  <c r="DC14" i="8"/>
  <c r="AK14" i="8"/>
  <c r="EN13" i="8"/>
  <c r="BX13" i="8"/>
  <c r="T13" i="8"/>
  <c r="FU12" i="8"/>
  <c r="DJ12" i="8"/>
  <c r="BE12" i="8"/>
  <c r="ET11" i="8"/>
  <c r="CO11" i="8"/>
  <c r="AR11" i="8"/>
  <c r="ET10" i="8"/>
  <c r="CP10" i="8"/>
  <c r="BF10" i="8"/>
  <c r="AC10" i="8"/>
  <c r="FU9" i="8"/>
  <c r="ER9" i="8"/>
  <c r="DO9" i="8"/>
  <c r="CD9" i="8"/>
  <c r="W9" i="8"/>
  <c r="FN8" i="8"/>
  <c r="EK8" i="8"/>
  <c r="DF8" i="8"/>
  <c r="CD8" i="8"/>
  <c r="AX8" i="8"/>
  <c r="U8" i="8"/>
  <c r="GQ7" i="8"/>
  <c r="FN7" i="8"/>
  <c r="EE7" i="8"/>
  <c r="DD7" i="8"/>
  <c r="CG7" i="8"/>
  <c r="BK7" i="8"/>
  <c r="AQ7" i="8"/>
  <c r="Z7" i="8"/>
  <c r="I7" i="8"/>
  <c r="GC6" i="8"/>
  <c r="FL6" i="8"/>
  <c r="EU6" i="8"/>
  <c r="ED6" i="8"/>
  <c r="DJ6" i="8"/>
  <c r="CS6" i="8"/>
  <c r="CB6" i="8"/>
  <c r="BK6" i="8"/>
  <c r="AQ6" i="8"/>
  <c r="Z6" i="8"/>
  <c r="I6" i="8"/>
  <c r="GC5" i="8"/>
  <c r="FL5" i="8"/>
  <c r="EU5" i="8"/>
  <c r="ED5" i="8"/>
  <c r="DK5" i="8"/>
  <c r="CU5" i="8"/>
  <c r="CE5" i="8"/>
  <c r="BO5" i="8"/>
  <c r="AY5" i="8"/>
  <c r="AI5" i="8"/>
  <c r="Q5" i="8"/>
  <c r="GO4" i="8"/>
  <c r="FZ4" i="8"/>
  <c r="FK4" i="8"/>
  <c r="EV4" i="8"/>
  <c r="EG4" i="8"/>
  <c r="DR4" i="8"/>
  <c r="DD4" i="8"/>
  <c r="CP4" i="8"/>
  <c r="CB4" i="8"/>
  <c r="BN4" i="8"/>
  <c r="AL4" i="8"/>
  <c r="X4" i="8"/>
  <c r="J4" i="8"/>
  <c r="GJ3" i="8"/>
  <c r="FV3" i="8"/>
  <c r="FH3" i="8"/>
  <c r="ET3" i="8"/>
  <c r="EF3" i="8"/>
  <c r="DR3" i="8"/>
  <c r="DD3" i="8"/>
  <c r="CP3" i="8"/>
  <c r="CB3" i="8"/>
  <c r="BN3" i="8"/>
  <c r="FM14" i="8"/>
  <c r="CY14" i="8"/>
  <c r="AJ14" i="8"/>
  <c r="GP13" i="8"/>
  <c r="EK13" i="8"/>
  <c r="BW13" i="8"/>
  <c r="R13" i="8"/>
  <c r="FS12" i="8"/>
  <c r="DC12" i="8"/>
  <c r="EP11" i="8"/>
  <c r="CM11" i="8"/>
  <c r="AQ11" i="8"/>
  <c r="EO10" i="8"/>
  <c r="CO10" i="8"/>
  <c r="BE10" i="8"/>
  <c r="V10" i="8"/>
  <c r="FT9" i="8"/>
  <c r="EQ9" i="8"/>
  <c r="DK9" i="8"/>
  <c r="CB9" i="8"/>
  <c r="AY9" i="8"/>
  <c r="V9" i="8"/>
  <c r="FM8" i="8"/>
  <c r="EH8" i="8"/>
  <c r="DD8" i="8"/>
  <c r="CB8" i="8"/>
  <c r="AW8" i="8"/>
  <c r="Q8" i="8"/>
  <c r="GP7" i="8"/>
  <c r="FM7" i="8"/>
  <c r="ED7" i="8"/>
  <c r="DC7" i="8"/>
  <c r="CD7" i="8"/>
  <c r="BG7" i="8"/>
  <c r="AP7" i="8"/>
  <c r="Y7" i="8"/>
  <c r="H7" i="8"/>
  <c r="GB6" i="8"/>
  <c r="FK6" i="8"/>
  <c r="ET6" i="8"/>
  <c r="EC6" i="8"/>
  <c r="DI6" i="8"/>
  <c r="CR6" i="8"/>
  <c r="CA6" i="8"/>
  <c r="BG6" i="8"/>
  <c r="AP6" i="8"/>
  <c r="Y6" i="8"/>
  <c r="H6" i="8"/>
  <c r="GB5" i="8"/>
  <c r="FK5" i="8"/>
  <c r="ET5" i="8"/>
  <c r="EC5" i="8"/>
  <c r="DJ5" i="8"/>
  <c r="CT5" i="8"/>
  <c r="CD5" i="8"/>
  <c r="BN5" i="8"/>
  <c r="AX5" i="8"/>
  <c r="AF5" i="8"/>
  <c r="P5" i="8"/>
  <c r="GN4" i="8"/>
  <c r="FY4" i="8"/>
  <c r="FJ4" i="8"/>
  <c r="EU4" i="8"/>
  <c r="EF4" i="8"/>
  <c r="DQ4" i="8"/>
  <c r="DC4" i="8"/>
  <c r="CO4" i="8"/>
  <c r="CA4" i="8"/>
  <c r="BM4" i="8"/>
  <c r="AY4" i="8"/>
  <c r="AK4" i="8"/>
  <c r="W4" i="8"/>
  <c r="I4" i="8"/>
  <c r="GI3" i="8"/>
  <c r="FU3" i="8"/>
  <c r="FG3" i="8"/>
  <c r="ES3" i="8"/>
  <c r="EE3" i="8"/>
  <c r="FD14" i="8"/>
  <c r="AH14" i="8"/>
  <c r="GI13" i="8"/>
  <c r="EF13" i="8"/>
  <c r="BS13" i="8"/>
  <c r="P13" i="8"/>
  <c r="FE12" i="8"/>
  <c r="CZ12" i="8"/>
  <c r="AY12" i="8"/>
  <c r="EN11" i="8"/>
  <c r="CL11" i="8"/>
  <c r="AD11" i="8"/>
  <c r="GJ10" i="8"/>
  <c r="EN10" i="8"/>
  <c r="CM10" i="8"/>
  <c r="BB10" i="8"/>
  <c r="U10" i="8"/>
  <c r="FS9" i="8"/>
  <c r="EM9" i="8"/>
  <c r="DD9" i="8"/>
  <c r="CA9" i="8"/>
  <c r="FC14" i="8"/>
  <c r="CU14" i="8"/>
  <c r="AE14" i="8"/>
  <c r="GF13" i="8"/>
  <c r="DR13" i="8"/>
  <c r="BM13" i="8"/>
  <c r="O13" i="8"/>
  <c r="FB12" i="8"/>
  <c r="CY12" i="8"/>
  <c r="AW12" i="8"/>
  <c r="GO11" i="8"/>
  <c r="EL11" i="8"/>
  <c r="CK11" i="8"/>
  <c r="W11" i="8"/>
  <c r="GI10" i="8"/>
  <c r="EL10" i="8"/>
  <c r="CJ10" i="8"/>
  <c r="Q10" i="8"/>
  <c r="FB14" i="8"/>
  <c r="W14" i="8"/>
  <c r="FE13" i="8"/>
  <c r="J13" i="8"/>
  <c r="CM12" i="8"/>
  <c r="GI11" i="8"/>
  <c r="BN11" i="8"/>
  <c r="CG10" i="8"/>
  <c r="O10" i="8"/>
  <c r="GL9" i="8"/>
  <c r="DY9" i="8"/>
  <c r="BS9" i="8"/>
  <c r="J9" i="8"/>
  <c r="GJ8" i="8"/>
  <c r="EF8" i="8"/>
  <c r="CO8" i="8"/>
  <c r="AN8" i="8"/>
  <c r="EZ7" i="8"/>
  <c r="DA7" i="8"/>
  <c r="BQ7" i="8"/>
  <c r="AJ7" i="8"/>
  <c r="GO6" i="8"/>
  <c r="FI6" i="8"/>
  <c r="EI6" i="8"/>
  <c r="DC6" i="8"/>
  <c r="BU6" i="8"/>
  <c r="AO6" i="8"/>
  <c r="O6" i="8"/>
  <c r="FW5" i="8"/>
  <c r="EQ5" i="8"/>
  <c r="DI5" i="8"/>
  <c r="CN5" i="8"/>
  <c r="BH5" i="8"/>
  <c r="AE5" i="8"/>
  <c r="I5" i="8"/>
  <c r="GM4" i="8"/>
  <c r="FQ4" i="8"/>
  <c r="EO4" i="8"/>
  <c r="DN4" i="8"/>
  <c r="CN4" i="8"/>
  <c r="BT4" i="8"/>
  <c r="AU4" i="8"/>
  <c r="U4" i="8"/>
  <c r="GO3" i="8"/>
  <c r="FO3" i="8"/>
  <c r="EP3" i="8"/>
  <c r="DX3" i="8"/>
  <c r="DE3" i="8"/>
  <c r="CM3" i="8"/>
  <c r="BV3" i="8"/>
  <c r="BE3" i="8"/>
  <c r="AO3" i="8"/>
  <c r="AA3" i="8"/>
  <c r="M3" i="8"/>
  <c r="EX14" i="8"/>
  <c r="V14" i="8"/>
  <c r="FD13" i="8"/>
  <c r="CL12" i="8"/>
  <c r="GG11" i="8"/>
  <c r="BM11" i="8"/>
  <c r="CD10" i="8"/>
  <c r="L10" i="8"/>
  <c r="GJ9" i="8"/>
  <c r="DX9" i="8"/>
  <c r="BP9" i="8"/>
  <c r="I9" i="8"/>
  <c r="GI8" i="8"/>
  <c r="EE8" i="8"/>
  <c r="CN8" i="8"/>
  <c r="AL8" i="8"/>
  <c r="EY7" i="8"/>
  <c r="CX7" i="8"/>
  <c r="BF7" i="8"/>
  <c r="AI7" i="8"/>
  <c r="GN6" i="8"/>
  <c r="FH6" i="8"/>
  <c r="DY6" i="8"/>
  <c r="DB6" i="8"/>
  <c r="BT6" i="8"/>
  <c r="AN6" i="8"/>
  <c r="N6" i="8"/>
  <c r="FV5" i="8"/>
  <c r="EM5" i="8"/>
  <c r="DH5" i="8"/>
  <c r="CM5" i="8"/>
  <c r="BG5" i="8"/>
  <c r="AD5" i="8"/>
  <c r="H5" i="8"/>
  <c r="GL4" i="8"/>
  <c r="FP4" i="8"/>
  <c r="EN4" i="8"/>
  <c r="DM4" i="8"/>
  <c r="CM4" i="8"/>
  <c r="BS4" i="8"/>
  <c r="AT4" i="8"/>
  <c r="T4" i="8"/>
  <c r="GH3" i="8"/>
  <c r="FN3" i="8"/>
  <c r="EO3" i="8"/>
  <c r="DW3" i="8"/>
  <c r="DC3" i="8"/>
  <c r="CL3" i="8"/>
  <c r="BU3" i="8"/>
  <c r="BC3" i="8"/>
  <c r="AN3" i="8"/>
  <c r="Z3" i="8"/>
  <c r="L3" i="8"/>
  <c r="EP14" i="8"/>
  <c r="T14" i="8"/>
  <c r="DN13" i="8"/>
  <c r="BX12" i="8"/>
  <c r="GF11" i="8"/>
  <c r="BK11" i="8"/>
  <c r="GG10" i="8"/>
  <c r="CB10" i="8"/>
  <c r="J10" i="8"/>
  <c r="GI9" i="8"/>
  <c r="DW9" i="8"/>
  <c r="BN9" i="8"/>
  <c r="H9" i="8"/>
  <c r="GH8" i="8"/>
  <c r="ED8" i="8"/>
  <c r="BU8" i="8"/>
  <c r="AK8" i="8"/>
  <c r="EV7" i="8"/>
  <c r="BE7" i="8"/>
  <c r="AE7" i="8"/>
  <c r="GM6" i="8"/>
  <c r="FG6" i="8"/>
  <c r="DX6" i="8"/>
  <c r="DA6" i="8"/>
  <c r="BS6" i="8"/>
  <c r="AM6" i="8"/>
  <c r="G6" i="8"/>
  <c r="FU5" i="8"/>
  <c r="EL5" i="8"/>
  <c r="DG5" i="8"/>
  <c r="CJ5" i="8"/>
  <c r="BF5" i="8"/>
  <c r="AC5" i="8"/>
  <c r="GK4" i="8"/>
  <c r="FI4" i="8"/>
  <c r="EM4" i="8"/>
  <c r="DL4" i="8"/>
  <c r="CL4" i="8"/>
  <c r="BL4" i="8"/>
  <c r="AS4" i="8"/>
  <c r="S4" i="8"/>
  <c r="GG3" i="8"/>
  <c r="FM3" i="8"/>
  <c r="EN3" i="8"/>
  <c r="DU3" i="8"/>
  <c r="DB3" i="8"/>
  <c r="CK3" i="8"/>
  <c r="BT3" i="8"/>
  <c r="BA3" i="8"/>
  <c r="AM3" i="8"/>
  <c r="Y3" i="8"/>
  <c r="K3" i="8"/>
  <c r="EO14" i="8"/>
  <c r="O14" i="8"/>
  <c r="DL13" i="8"/>
  <c r="BW12" i="8"/>
  <c r="GE11" i="8"/>
  <c r="BF11" i="8"/>
  <c r="GD10" i="8"/>
  <c r="BS10" i="8"/>
  <c r="I10" i="8"/>
  <c r="FO9" i="8"/>
  <c r="DC9" i="8"/>
  <c r="G9" i="8"/>
  <c r="GG8" i="8"/>
  <c r="EC8" i="8"/>
  <c r="BT8" i="8"/>
  <c r="AJ8" i="8"/>
  <c r="GO7" i="8"/>
  <c r="ET7" i="8"/>
  <c r="CV7" i="8"/>
  <c r="BD7" i="8"/>
  <c r="X7" i="8"/>
  <c r="GL6" i="8"/>
  <c r="FF6" i="8"/>
  <c r="DW6" i="8"/>
  <c r="BR6" i="8"/>
  <c r="AL6" i="8"/>
  <c r="C6" i="8"/>
  <c r="GQ5" i="8"/>
  <c r="FT5" i="8"/>
  <c r="EK5" i="8"/>
  <c r="DF5" i="8"/>
  <c r="CC5" i="8"/>
  <c r="BE5" i="8"/>
  <c r="AB5" i="8"/>
  <c r="GJ4" i="8"/>
  <c r="FH4" i="8"/>
  <c r="EL4" i="8"/>
  <c r="DK4" i="8"/>
  <c r="CK4" i="8"/>
  <c r="BK4" i="8"/>
  <c r="AR4" i="8"/>
  <c r="R4" i="8"/>
  <c r="GF3" i="8"/>
  <c r="FF3" i="8"/>
  <c r="EM3" i="8"/>
  <c r="DS3" i="8"/>
  <c r="DA3" i="8"/>
  <c r="CJ3" i="8"/>
  <c r="BS3" i="8"/>
  <c r="AL3" i="8"/>
  <c r="X3" i="8"/>
  <c r="J3" i="8"/>
  <c r="DY14" i="8"/>
  <c r="N14" i="8"/>
  <c r="DJ13" i="8"/>
  <c r="FV11" i="8"/>
  <c r="GA10" i="8"/>
  <c r="BP10" i="8"/>
  <c r="H10" i="8"/>
  <c r="FN9" i="8"/>
  <c r="DB9" i="8"/>
  <c r="AX9" i="8"/>
  <c r="C9" i="8"/>
  <c r="GC8" i="8"/>
  <c r="DY8" i="8"/>
  <c r="BS8" i="8"/>
  <c r="AI8" i="8"/>
  <c r="GL7" i="8"/>
  <c r="ES7" i="8"/>
  <c r="CO7" i="8"/>
  <c r="BC7" i="8"/>
  <c r="W7" i="8"/>
  <c r="GK6" i="8"/>
  <c r="FE6" i="8"/>
  <c r="DV6" i="8"/>
  <c r="CQ6" i="8"/>
  <c r="BQ6" i="8"/>
  <c r="AK6" i="8"/>
  <c r="B6" i="8"/>
  <c r="GP5" i="8"/>
  <c r="FJ5" i="8"/>
  <c r="EJ5" i="8"/>
  <c r="DE5" i="8"/>
  <c r="CB5" i="8"/>
  <c r="BD5" i="8"/>
  <c r="AA5" i="8"/>
  <c r="GI4" i="8"/>
  <c r="FG4" i="8"/>
  <c r="EE4" i="8"/>
  <c r="DJ4" i="8"/>
  <c r="CJ4" i="8"/>
  <c r="BJ4" i="8"/>
  <c r="AQ4" i="8"/>
  <c r="Q4" i="8"/>
  <c r="GE3" i="8"/>
  <c r="FE3" i="8"/>
  <c r="EL3" i="8"/>
  <c r="DQ3" i="8"/>
  <c r="CZ3" i="8"/>
  <c r="CI3" i="8"/>
  <c r="BQ3" i="8"/>
  <c r="AY3" i="8"/>
  <c r="AK3" i="8"/>
  <c r="W3" i="8"/>
  <c r="I3" i="8"/>
  <c r="DQ14" i="8"/>
  <c r="DI13" i="8"/>
  <c r="GP12" i="8"/>
  <c r="AF12" i="8"/>
  <c r="FU11" i="8"/>
  <c r="T11" i="8"/>
  <c r="FV10" i="8"/>
  <c r="BN10" i="8"/>
  <c r="FM9" i="8"/>
  <c r="DA9" i="8"/>
  <c r="AW9" i="8"/>
  <c r="B9" i="8"/>
  <c r="GB8" i="8"/>
  <c r="DR8" i="8"/>
  <c r="BP8" i="8"/>
  <c r="P8" i="8"/>
  <c r="GJ7" i="8"/>
  <c r="EC7" i="8"/>
  <c r="CN7" i="8"/>
  <c r="BB7" i="8"/>
  <c r="V7" i="8"/>
  <c r="GA6" i="8"/>
  <c r="FA6" i="8"/>
  <c r="DU6" i="8"/>
  <c r="CP6" i="8"/>
  <c r="BP6" i="8"/>
  <c r="AJ6" i="8"/>
  <c r="GO5" i="8"/>
  <c r="FI5" i="8"/>
  <c r="EI5" i="8"/>
  <c r="DD5" i="8"/>
  <c r="CA5" i="8"/>
  <c r="Z5" i="8"/>
  <c r="GH4" i="8"/>
  <c r="FF4" i="8"/>
  <c r="ED4" i="8"/>
  <c r="DI4" i="8"/>
  <c r="CI4" i="8"/>
  <c r="BI4" i="8"/>
  <c r="AJ4" i="8"/>
  <c r="P4" i="8"/>
  <c r="GD3" i="8"/>
  <c r="FD3" i="8"/>
  <c r="EK3" i="8"/>
  <c r="DP3" i="8"/>
  <c r="CY3" i="8"/>
  <c r="CH3" i="8"/>
  <c r="BO3" i="8"/>
  <c r="AX3" i="8"/>
  <c r="AJ3" i="8"/>
  <c r="V3" i="8"/>
  <c r="H3" i="8"/>
  <c r="DD13" i="8"/>
  <c r="EY12" i="8"/>
  <c r="AD12" i="8"/>
  <c r="EK11" i="8"/>
  <c r="S11" i="8"/>
  <c r="FU10" i="8"/>
  <c r="FJ9" i="8"/>
  <c r="AS9" i="8"/>
  <c r="FJ8" i="8"/>
  <c r="DQ8" i="8"/>
  <c r="BN8" i="8"/>
  <c r="O8" i="8"/>
  <c r="GC7" i="8"/>
  <c r="DZ7" i="8"/>
  <c r="CM7" i="8"/>
  <c r="BA7" i="8"/>
  <c r="U7" i="8"/>
  <c r="FZ6" i="8"/>
  <c r="EZ6" i="8"/>
  <c r="DT6" i="8"/>
  <c r="CO6" i="8"/>
  <c r="BF6" i="8"/>
  <c r="AI6" i="8"/>
  <c r="GN5" i="8"/>
  <c r="FH5" i="8"/>
  <c r="DY5" i="8"/>
  <c r="DC5" i="8"/>
  <c r="BZ5" i="8"/>
  <c r="AW5" i="8"/>
  <c r="Y5" i="8"/>
  <c r="GG4" i="8"/>
  <c r="FE4" i="8"/>
  <c r="EC4" i="8"/>
  <c r="DB4" i="8"/>
  <c r="CH4" i="8"/>
  <c r="BH4" i="8"/>
  <c r="AI4" i="8"/>
  <c r="O4" i="8"/>
  <c r="GC3" i="8"/>
  <c r="FC3" i="8"/>
  <c r="EI3" i="8"/>
  <c r="DO3" i="8"/>
  <c r="CX3" i="8"/>
  <c r="CG3" i="8"/>
  <c r="BM3" i="8"/>
  <c r="AW3" i="8"/>
  <c r="AI3" i="8"/>
  <c r="U3" i="8"/>
  <c r="G3" i="8"/>
  <c r="CG14" i="8"/>
  <c r="CY13" i="8"/>
  <c r="ET12" i="8"/>
  <c r="AC12" i="8"/>
  <c r="EF11" i="8"/>
  <c r="R11" i="8"/>
  <c r="FS10" i="8"/>
  <c r="AS10" i="8"/>
  <c r="FH9" i="8"/>
  <c r="CV9" i="8"/>
  <c r="AR9" i="8"/>
  <c r="FH8" i="8"/>
  <c r="DP8" i="8"/>
  <c r="BM8" i="8"/>
  <c r="L8" i="8"/>
  <c r="GB7" i="8"/>
  <c r="DY7" i="8"/>
  <c r="CB7" i="8"/>
  <c r="Q7" i="8"/>
  <c r="FY6" i="8"/>
  <c r="ES6" i="8"/>
  <c r="DS6" i="8"/>
  <c r="CN6" i="8"/>
  <c r="BE6" i="8"/>
  <c r="AE6" i="8"/>
  <c r="GM5" i="8"/>
  <c r="FG5" i="8"/>
  <c r="DX5" i="8"/>
  <c r="DB5" i="8"/>
  <c r="BY5" i="8"/>
  <c r="AT5" i="8"/>
  <c r="X5" i="8"/>
  <c r="GE4" i="8"/>
  <c r="FC4" i="8"/>
  <c r="EA4" i="8"/>
  <c r="DA4" i="8"/>
  <c r="CG4" i="8"/>
  <c r="BG4" i="8"/>
  <c r="AH4" i="8"/>
  <c r="H4" i="8"/>
  <c r="GB3" i="8"/>
  <c r="FB3" i="8"/>
  <c r="EG3" i="8"/>
  <c r="DN3" i="8"/>
  <c r="CE3" i="8"/>
  <c r="BL3" i="8"/>
  <c r="AV3" i="8"/>
  <c r="AH3" i="8"/>
  <c r="T3" i="8"/>
  <c r="F3" i="8"/>
  <c r="GB13" i="8"/>
  <c r="EL12" i="8"/>
  <c r="DJ11" i="8"/>
  <c r="EA10" i="8"/>
  <c r="CR9" i="8"/>
  <c r="DR7" i="8"/>
  <c r="AM7" i="8"/>
  <c r="FJ6" i="8"/>
  <c r="CM6" i="8"/>
  <c r="V6" i="8"/>
  <c r="DW5" i="8"/>
  <c r="BT5" i="8"/>
  <c r="L5" i="8"/>
  <c r="DY4" i="8"/>
  <c r="BW4" i="8"/>
  <c r="V4" i="8"/>
  <c r="EZ3" i="8"/>
  <c r="DJ3" i="8"/>
  <c r="BX3" i="8"/>
  <c r="AP3" i="8"/>
  <c r="D3" i="8"/>
  <c r="BZ14" i="8"/>
  <c r="FG13" i="8"/>
  <c r="EK12" i="8"/>
  <c r="CB11" i="8"/>
  <c r="DZ10" i="8"/>
  <c r="BZ9" i="8"/>
  <c r="CU8" i="8"/>
  <c r="DQ7" i="8"/>
  <c r="AL7" i="8"/>
  <c r="ER6" i="8"/>
  <c r="CI6" i="8"/>
  <c r="U6" i="8"/>
  <c r="DV5" i="8"/>
  <c r="BM5" i="8"/>
  <c r="K5" i="8"/>
  <c r="FX4" i="8"/>
  <c r="DX4" i="8"/>
  <c r="BV4" i="8"/>
  <c r="G4" i="8"/>
  <c r="EY3" i="8"/>
  <c r="DI3" i="8"/>
  <c r="BW3" i="8"/>
  <c r="AG3" i="8"/>
  <c r="C3" i="8"/>
  <c r="BW14" i="8"/>
  <c r="BK13" i="8"/>
  <c r="CX12" i="8"/>
  <c r="BS11" i="8"/>
  <c r="DX10" i="8"/>
  <c r="BY9" i="8"/>
  <c r="CR8" i="8"/>
  <c r="DB7" i="8"/>
  <c r="AK7" i="8"/>
  <c r="EQ6" i="8"/>
  <c r="CH6" i="8"/>
  <c r="Q6" i="8"/>
  <c r="GL5" i="8"/>
  <c r="DU5" i="8"/>
  <c r="BL5" i="8"/>
  <c r="J5" i="8"/>
  <c r="FW4" i="8"/>
  <c r="DW4" i="8"/>
  <c r="BU4" i="8"/>
  <c r="F4" i="8"/>
  <c r="EU3" i="8"/>
  <c r="DG3" i="8"/>
  <c r="BK3" i="8"/>
  <c r="AF3" i="8"/>
  <c r="B3" i="8"/>
  <c r="BV14" i="8"/>
  <c r="BJ13" i="8"/>
  <c r="CV12" i="8"/>
  <c r="DO10" i="8"/>
  <c r="GQ9" i="8"/>
  <c r="BU9" i="8"/>
  <c r="CP8" i="8"/>
  <c r="P7" i="8"/>
  <c r="EM6" i="8"/>
  <c r="CG6" i="8"/>
  <c r="P6" i="8"/>
  <c r="GK5" i="8"/>
  <c r="DT5" i="8"/>
  <c r="BK5" i="8"/>
  <c r="FV4" i="8"/>
  <c r="DP4" i="8"/>
  <c r="BF4" i="8"/>
  <c r="E4" i="8"/>
  <c r="ER3" i="8"/>
  <c r="BJ3" i="8"/>
  <c r="AE3" i="8"/>
  <c r="BU14" i="8"/>
  <c r="BI13" i="8"/>
  <c r="P11" i="8"/>
  <c r="GP9" i="8"/>
  <c r="BT9" i="8"/>
  <c r="GO8" i="8"/>
  <c r="BL8" i="8"/>
  <c r="CA7" i="8"/>
  <c r="O7" i="8"/>
  <c r="EL6" i="8"/>
  <c r="BZ6" i="8"/>
  <c r="GA5" i="8"/>
  <c r="DS5" i="8"/>
  <c r="FU4" i="8"/>
  <c r="DO4" i="8"/>
  <c r="BE4" i="8"/>
  <c r="D4" i="8"/>
  <c r="EQ3" i="8"/>
  <c r="CV3" i="8"/>
  <c r="BI3" i="8"/>
  <c r="AD3" i="8"/>
  <c r="BS14" i="8"/>
  <c r="X12" i="8"/>
  <c r="G11" i="8"/>
  <c r="AR10" i="8"/>
  <c r="GO9" i="8"/>
  <c r="GL8" i="8"/>
  <c r="BK8" i="8"/>
  <c r="GA7" i="8"/>
  <c r="BV7" i="8"/>
  <c r="N7" i="8"/>
  <c r="EK6" i="8"/>
  <c r="BY6" i="8"/>
  <c r="FZ5" i="8"/>
  <c r="DR5" i="8"/>
  <c r="AS5" i="8"/>
  <c r="FT4" i="8"/>
  <c r="CZ4" i="8"/>
  <c r="C4" i="8"/>
  <c r="GQ3" i="8"/>
  <c r="ED3" i="8"/>
  <c r="CU3" i="8"/>
  <c r="BH3" i="8"/>
  <c r="AC3" i="8"/>
  <c r="AB14" i="8"/>
  <c r="AY13" i="8"/>
  <c r="S12" i="8"/>
  <c r="F11" i="8"/>
  <c r="AQ10" i="8"/>
  <c r="FA9" i="8"/>
  <c r="AQ9" i="8"/>
  <c r="FG8" i="8"/>
  <c r="FX7" i="8"/>
  <c r="BU7" i="8"/>
  <c r="G7" i="8"/>
  <c r="EJ6" i="8"/>
  <c r="BD6" i="8"/>
  <c r="FY5" i="8"/>
  <c r="AR5" i="8"/>
  <c r="FS4" i="8"/>
  <c r="CY4" i="8"/>
  <c r="AX4" i="8"/>
  <c r="B4" i="8"/>
  <c r="GP3" i="8"/>
  <c r="EC3" i="8"/>
  <c r="CS3" i="8"/>
  <c r="BG3" i="8"/>
  <c r="AB3" i="8"/>
  <c r="AK13" i="8"/>
  <c r="R12" i="8"/>
  <c r="AN10" i="8"/>
  <c r="EZ9" i="8"/>
  <c r="AJ9" i="8"/>
  <c r="FF8" i="8"/>
  <c r="AS8" i="8"/>
  <c r="FV7" i="8"/>
  <c r="BT7" i="8"/>
  <c r="C7" i="8"/>
  <c r="GQ6" i="8"/>
  <c r="DR6" i="8"/>
  <c r="BC6" i="8"/>
  <c r="FX5" i="8"/>
  <c r="CS5" i="8"/>
  <c r="AQ5" i="8"/>
  <c r="FB4" i="8"/>
  <c r="CX4" i="8"/>
  <c r="AW4" i="8"/>
  <c r="GA3" i="8"/>
  <c r="EB3" i="8"/>
  <c r="CQ3" i="8"/>
  <c r="BF3" i="8"/>
  <c r="S3" i="8"/>
  <c r="EQ12" i="8"/>
  <c r="EE10" i="8"/>
  <c r="ED9" i="8"/>
  <c r="BR7" i="8"/>
  <c r="DD6" i="8"/>
  <c r="CQ5" i="8"/>
  <c r="EQ4" i="8"/>
  <c r="AC4" i="8"/>
  <c r="FS3" i="8"/>
  <c r="CC3" i="8"/>
  <c r="N3" i="8"/>
  <c r="EB10" i="8"/>
  <c r="EC9" i="8"/>
  <c r="FE8" i="8"/>
  <c r="CP5" i="8"/>
  <c r="DZ4" i="8"/>
  <c r="FR3" i="8"/>
  <c r="CA3" i="8"/>
  <c r="E3" i="8"/>
  <c r="FA8" i="8"/>
  <c r="AY7" i="8"/>
  <c r="BB6" i="8"/>
  <c r="CO5" i="8"/>
  <c r="FQ3" i="8"/>
  <c r="BZ3" i="8"/>
  <c r="AL10" i="8"/>
  <c r="CU9" i="8"/>
  <c r="EZ8" i="8"/>
  <c r="AO7" i="8"/>
  <c r="BA6" i="8"/>
  <c r="BV5" i="8"/>
  <c r="CV4" i="8"/>
  <c r="FP3" i="8"/>
  <c r="BY3" i="8"/>
  <c r="AK10" i="8"/>
  <c r="EY8" i="8"/>
  <c r="AN7" i="8"/>
  <c r="GP6" i="8"/>
  <c r="BU5" i="8"/>
  <c r="CU4" i="8"/>
  <c r="FA3" i="8"/>
  <c r="EA11" i="8"/>
  <c r="P10" i="8"/>
  <c r="AI9" i="8"/>
  <c r="DC8" i="8"/>
  <c r="B7" i="8"/>
  <c r="FX6" i="8"/>
  <c r="AY6" i="8"/>
  <c r="BZ4" i="8"/>
  <c r="EA3" i="8"/>
  <c r="AU3" i="8"/>
  <c r="GE13" i="8"/>
  <c r="DZ11" i="8"/>
  <c r="AE9" i="8"/>
  <c r="DB8" i="8"/>
  <c r="FF7" i="8"/>
  <c r="FW6" i="8"/>
  <c r="X6" i="8"/>
  <c r="FF5" i="8"/>
  <c r="AP5" i="8"/>
  <c r="BY4" i="8"/>
  <c r="DZ3" i="8"/>
  <c r="AT3" i="8"/>
  <c r="GD13" i="8"/>
  <c r="DL11" i="8"/>
  <c r="U9" i="8"/>
  <c r="FE7" i="8"/>
  <c r="FV6" i="8"/>
  <c r="W6" i="8"/>
  <c r="FE5" i="8"/>
  <c r="AO5" i="8"/>
  <c r="BX4" i="8"/>
  <c r="DY3" i="8"/>
  <c r="AS3" i="8"/>
  <c r="AR8" i="8"/>
  <c r="DT7" i="8"/>
  <c r="DL3" i="8"/>
  <c r="EL9" i="8"/>
  <c r="AQ8" i="8"/>
  <c r="AN5" i="8"/>
  <c r="DK3" i="8"/>
  <c r="EK9" i="8"/>
  <c r="J8" i="8"/>
  <c r="BS7" i="8"/>
  <c r="FU6" i="8"/>
  <c r="O5" i="8"/>
  <c r="I8" i="8"/>
  <c r="FT6" i="8"/>
  <c r="N5" i="8"/>
  <c r="FA4" i="8"/>
  <c r="CO3" i="8"/>
  <c r="H8" i="8"/>
  <c r="DH6" i="8"/>
  <c r="M5" i="8"/>
  <c r="ET4" i="8"/>
  <c r="CN3" i="8"/>
  <c r="Q9" i="8"/>
  <c r="DG6" i="8"/>
  <c r="ES4" i="8"/>
  <c r="O3" i="8"/>
  <c r="AV4" i="8"/>
  <c r="FA7" i="8"/>
  <c r="AG4" i="8"/>
  <c r="DX7" i="8"/>
  <c r="AF4" i="8"/>
  <c r="DW7" i="8"/>
  <c r="AE4" i="8"/>
  <c r="FT3" i="8"/>
  <c r="DF6" i="8"/>
  <c r="AD4" i="8"/>
  <c r="DM3" i="8"/>
  <c r="R3" i="8"/>
  <c r="Q3" i="8"/>
  <c r="P3" i="8"/>
  <c r="DE6" i="8"/>
  <c r="FA5" i="8"/>
  <c r="EZ5" i="8"/>
  <c r="ES5" i="8"/>
  <c r="ER5" i="8"/>
  <c r="CR5" i="8"/>
  <c r="ER4" i="8"/>
  <c r="AR3" i="8"/>
  <c r="AQ3" i="8"/>
  <c r="M29" i="1"/>
  <c r="AA29" i="1"/>
  <c r="AO29" i="1"/>
  <c r="BC29" i="1"/>
  <c r="BQ29" i="1"/>
  <c r="CE29" i="1"/>
  <c r="CS29" i="1"/>
  <c r="DG29" i="1"/>
  <c r="DU29" i="1"/>
  <c r="EI29" i="1"/>
  <c r="EW29" i="1"/>
  <c r="FK29" i="1"/>
  <c r="FY29" i="1"/>
  <c r="GM29" i="1"/>
  <c r="HA30" i="1"/>
  <c r="BD29" i="1"/>
  <c r="BR29" i="1"/>
  <c r="DV29" i="1"/>
  <c r="EJ29" i="1"/>
  <c r="FZ29" i="1"/>
  <c r="GN29" i="1"/>
  <c r="HB30" i="1"/>
  <c r="BE29" i="1"/>
  <c r="BS29" i="1"/>
  <c r="CG29" i="1"/>
  <c r="CU29" i="1"/>
  <c r="DI29" i="1"/>
  <c r="DW29" i="1"/>
  <c r="EK29" i="1"/>
  <c r="EY29" i="1"/>
  <c r="FM29" i="1"/>
  <c r="GA29" i="1"/>
  <c r="GO29" i="1"/>
  <c r="HC30" i="1"/>
  <c r="AF29" i="2"/>
  <c r="DZ29" i="2"/>
  <c r="AZ29" i="2"/>
  <c r="B29" i="1"/>
  <c r="FR29" i="1"/>
  <c r="BF29" i="1"/>
  <c r="BT29" i="1"/>
  <c r="CH29" i="1"/>
  <c r="DX29" i="1"/>
  <c r="EL29" i="1"/>
  <c r="GP29" i="1"/>
  <c r="EB29" i="1"/>
  <c r="S29" i="2"/>
  <c r="FK29" i="2"/>
  <c r="BU29" i="1"/>
  <c r="CI29" i="1"/>
  <c r="DY29" i="1"/>
  <c r="EM29" i="1"/>
  <c r="FA29" i="1"/>
  <c r="GQ29" i="1"/>
  <c r="FX29" i="2"/>
  <c r="D29" i="1"/>
  <c r="R29" i="1"/>
  <c r="BV29" i="1"/>
  <c r="CJ29" i="1"/>
  <c r="EN29" i="1"/>
  <c r="FB29" i="1"/>
  <c r="GR30" i="1"/>
  <c r="FY29" i="2"/>
  <c r="E29" i="1"/>
  <c r="BW29" i="1"/>
  <c r="CK29" i="1"/>
  <c r="CY29" i="1"/>
  <c r="EO29" i="1"/>
  <c r="FC29" i="1"/>
  <c r="FP29" i="1"/>
  <c r="F29" i="1"/>
  <c r="T29" i="1"/>
  <c r="AH29" i="1"/>
  <c r="CL29" i="1"/>
  <c r="CZ29" i="1"/>
  <c r="EP29" i="1"/>
  <c r="FD29" i="1"/>
  <c r="G29" i="1"/>
  <c r="U29" i="1"/>
  <c r="AI29" i="1"/>
  <c r="CM29" i="1"/>
  <c r="DA29" i="1"/>
  <c r="FE29" i="1"/>
  <c r="FS29" i="1"/>
  <c r="GB29" i="1"/>
  <c r="BA29" i="2"/>
  <c r="FZ29" i="2"/>
  <c r="BN29" i="2"/>
  <c r="BO29" i="2"/>
  <c r="CI29" i="2"/>
  <c r="CX29" i="2"/>
  <c r="Z29" i="2"/>
  <c r="CR29" i="2"/>
  <c r="GL29" i="2"/>
  <c r="DK29" i="2"/>
  <c r="DL29" i="2"/>
  <c r="N29" i="2"/>
  <c r="AB29" i="2"/>
  <c r="AP29" i="2"/>
  <c r="BD29" i="2"/>
  <c r="BR29" i="2"/>
  <c r="CF29" i="2"/>
  <c r="CT29" i="2"/>
  <c r="DH29" i="2"/>
  <c r="DV29" i="2"/>
  <c r="EJ29" i="2"/>
  <c r="EX29" i="2"/>
  <c r="FL29" i="2"/>
  <c r="GN29" i="2"/>
  <c r="HB30" i="2"/>
  <c r="DP29" i="2"/>
  <c r="AC29" i="2"/>
  <c r="AQ29" i="2"/>
  <c r="BE29" i="2"/>
  <c r="BS29" i="2"/>
  <c r="CG29" i="2"/>
  <c r="CU29" i="2"/>
  <c r="DI29" i="2"/>
  <c r="DW29" i="2"/>
  <c r="EK29" i="2"/>
  <c r="EY29" i="2"/>
  <c r="FM29" i="2"/>
  <c r="GA29" i="2"/>
  <c r="GO29" i="2"/>
  <c r="FT29" i="2"/>
  <c r="DF29" i="2"/>
  <c r="L29" i="2"/>
  <c r="DU29" i="2"/>
  <c r="DE29" i="2"/>
  <c r="DT29" i="2"/>
  <c r="EI29" i="2"/>
  <c r="DS29" i="2"/>
  <c r="EH29" i="2"/>
  <c r="DR29" i="2"/>
  <c r="DB29" i="2"/>
  <c r="AN29" i="2"/>
  <c r="X29" i="2"/>
  <c r="H29" i="2"/>
  <c r="EE29" i="2"/>
  <c r="BC29" i="2"/>
  <c r="U29" i="2"/>
  <c r="ED29" i="2"/>
  <c r="BB29" i="2"/>
  <c r="FI29" i="2"/>
  <c r="DQ29" i="2"/>
  <c r="AY29" i="2"/>
  <c r="G29" i="2"/>
  <c r="EW29" i="2"/>
  <c r="DO29" i="2"/>
  <c r="CE29" i="2"/>
  <c r="AM29" i="2"/>
  <c r="ES29" i="2"/>
  <c r="DA29" i="2"/>
  <c r="BQ29" i="2"/>
  <c r="AI29" i="2"/>
  <c r="FH29" i="2"/>
  <c r="CW29" i="2"/>
  <c r="AL29" i="2"/>
  <c r="EV29" i="2"/>
  <c r="AK29" i="2"/>
  <c r="ET29" i="2"/>
  <c r="ER29" i="2"/>
  <c r="W29" i="2"/>
  <c r="EG29" i="2"/>
  <c r="CD29" i="2"/>
  <c r="V29" i="2"/>
  <c r="EF29" i="2"/>
  <c r="GC29" i="2"/>
  <c r="EC29" i="2"/>
  <c r="BP29" i="2"/>
  <c r="P29" i="2"/>
  <c r="AD29" i="2"/>
  <c r="AR29" i="2"/>
  <c r="BF29" i="2"/>
  <c r="BT29" i="2"/>
  <c r="CH29" i="2"/>
  <c r="CV29" i="2"/>
  <c r="DX29" i="2"/>
  <c r="EL29" i="2"/>
  <c r="EZ29" i="2"/>
  <c r="FN29" i="2"/>
  <c r="GB29" i="2"/>
  <c r="GP29" i="2"/>
  <c r="B29" i="2"/>
  <c r="FJ29" i="2"/>
  <c r="C29" i="2"/>
  <c r="AE29" i="2"/>
  <c r="AS29" i="2"/>
  <c r="BG29" i="2"/>
  <c r="BU29" i="2"/>
  <c r="DY29" i="2"/>
  <c r="EM29" i="2"/>
  <c r="GQ29" i="2"/>
  <c r="R29" i="2"/>
  <c r="AT29" i="2"/>
  <c r="BH29" i="2"/>
  <c r="BV29" i="2"/>
  <c r="CJ29" i="2"/>
  <c r="EN29" i="2"/>
  <c r="FB29" i="2"/>
  <c r="FP29" i="2"/>
  <c r="GD29" i="2"/>
  <c r="GZ30" i="2"/>
  <c r="GY30" i="2"/>
  <c r="GV30" i="2"/>
  <c r="AG29" i="2"/>
  <c r="AU29" i="2"/>
  <c r="BI29" i="2"/>
  <c r="BW29" i="2"/>
  <c r="CK29" i="2"/>
  <c r="CY29" i="2"/>
  <c r="DM29" i="2"/>
  <c r="EA29" i="2"/>
  <c r="EO29" i="2"/>
  <c r="FC29" i="2"/>
  <c r="FQ29" i="2"/>
  <c r="F29" i="2"/>
  <c r="T29" i="2"/>
  <c r="AH29" i="2"/>
  <c r="AV29" i="2"/>
  <c r="BJ29" i="2"/>
  <c r="BX29" i="2"/>
  <c r="AW29" i="2"/>
  <c r="BK29" i="2"/>
  <c r="BY29" i="2"/>
  <c r="CM29" i="2"/>
  <c r="EQ29" i="2"/>
  <c r="FE29" i="2"/>
  <c r="FS29" i="2"/>
  <c r="GG29" i="2"/>
  <c r="GR30" i="2"/>
  <c r="GU30" i="2"/>
  <c r="J29" i="2"/>
  <c r="CB29" i="2"/>
  <c r="CP29" i="2"/>
  <c r="DD29" i="2"/>
  <c r="FV29" i="2"/>
  <c r="GJ29" i="2"/>
  <c r="GX30" i="2"/>
  <c r="K29" i="2"/>
  <c r="Y29" i="2"/>
  <c r="CC29" i="2"/>
  <c r="CQ29" i="2"/>
  <c r="FW29" i="2"/>
  <c r="GK29" i="2"/>
  <c r="HA10" i="3"/>
  <c r="GU4" i="3"/>
  <c r="GV10" i="3"/>
  <c r="GU9" i="3"/>
  <c r="GU14" i="3"/>
  <c r="GZ6" i="3"/>
  <c r="GZ3" i="3"/>
  <c r="M29" i="2"/>
  <c r="AA29" i="2"/>
  <c r="AO29" i="2"/>
  <c r="CS29" i="2"/>
  <c r="DG29" i="2"/>
  <c r="GM29" i="2"/>
  <c r="HA30" i="2"/>
  <c r="FA29" i="2"/>
  <c r="FO29" i="2"/>
  <c r="GE29" i="2"/>
  <c r="GS30" i="2"/>
  <c r="HB14" i="3"/>
  <c r="HC13" i="3"/>
  <c r="HC12" i="3"/>
  <c r="HC11" i="3"/>
  <c r="HC10" i="3"/>
  <c r="HB13" i="3"/>
  <c r="HB12" i="3"/>
  <c r="HB11" i="3"/>
  <c r="HB10" i="3"/>
  <c r="HB9" i="3"/>
  <c r="HB8" i="3"/>
  <c r="HB7" i="3"/>
  <c r="HB6" i="3"/>
  <c r="HB5" i="3"/>
  <c r="HB4" i="3"/>
  <c r="HB3" i="3"/>
  <c r="GZ13" i="3"/>
  <c r="GZ12" i="3"/>
  <c r="GZ11" i="3"/>
  <c r="GZ10" i="3"/>
  <c r="GZ9" i="3"/>
  <c r="GZ8" i="3"/>
  <c r="GY13" i="3"/>
  <c r="GY12" i="3"/>
  <c r="GY11" i="3"/>
  <c r="GY10" i="3"/>
  <c r="GU8" i="3"/>
  <c r="GU6" i="3"/>
  <c r="GZ4" i="3"/>
  <c r="GZ14" i="3"/>
  <c r="GS11" i="3"/>
  <c r="GZ7" i="3"/>
  <c r="HC5" i="3"/>
  <c r="GU13" i="3"/>
  <c r="GU10" i="3"/>
  <c r="GR8" i="3"/>
  <c r="GR6" i="3"/>
  <c r="GS3" i="3"/>
  <c r="GS13" i="3"/>
  <c r="GS10" i="3"/>
  <c r="GU12" i="3"/>
  <c r="GS12" i="3"/>
  <c r="GZ5" i="3"/>
  <c r="HC4" i="3"/>
  <c r="BL29" i="2"/>
  <c r="BZ29" i="2"/>
  <c r="CN29" i="2"/>
  <c r="FF29" i="2"/>
  <c r="GH29" i="2"/>
  <c r="I29" i="2"/>
  <c r="BM29" i="2"/>
  <c r="CA29" i="2"/>
  <c r="CO29" i="2"/>
  <c r="DC29" i="2"/>
  <c r="FG29" i="2"/>
  <c r="FU29" i="2"/>
  <c r="GI29" i="2"/>
  <c r="GW30" i="2"/>
  <c r="FL14" i="3"/>
  <c r="BE13" i="3"/>
  <c r="EK12" i="3"/>
  <c r="DW12" i="3"/>
  <c r="BE12" i="3"/>
  <c r="FM11" i="3"/>
  <c r="BE11" i="3"/>
  <c r="BE10" i="3"/>
  <c r="EY9" i="3"/>
  <c r="EK9" i="3"/>
  <c r="DW9" i="3"/>
  <c r="BE9" i="3"/>
  <c r="BE8" i="3"/>
  <c r="BE7" i="3"/>
  <c r="FM6" i="3"/>
  <c r="EY6" i="3"/>
  <c r="EK6" i="3"/>
  <c r="GM14" i="3"/>
  <c r="AO14" i="3"/>
  <c r="N12" i="3"/>
  <c r="GN11" i="3"/>
  <c r="AP11" i="3"/>
  <c r="AB11" i="3"/>
  <c r="AP8" i="3"/>
  <c r="AB8" i="3"/>
  <c r="N8" i="3"/>
  <c r="GN7" i="3"/>
  <c r="N5" i="3"/>
  <c r="GN4" i="3"/>
  <c r="AP4" i="3"/>
  <c r="AB4" i="3"/>
  <c r="L13" i="3"/>
  <c r="DF12" i="3"/>
  <c r="CR12" i="3"/>
  <c r="CD12" i="3"/>
  <c r="L12" i="3"/>
  <c r="L11" i="3"/>
  <c r="BP10" i="3"/>
  <c r="L10" i="3"/>
  <c r="DF9" i="3"/>
  <c r="CR9" i="3"/>
  <c r="L9" i="3"/>
  <c r="EU13" i="3"/>
  <c r="GK12" i="3"/>
  <c r="FW12" i="3"/>
  <c r="FI12" i="3"/>
  <c r="FW9" i="3"/>
  <c r="FI9" i="3"/>
  <c r="EU9" i="3"/>
  <c r="GK8" i="3"/>
  <c r="EU6" i="3"/>
  <c r="GK5" i="3"/>
  <c r="FW5" i="3"/>
  <c r="FI5" i="3"/>
  <c r="EE14" i="3"/>
  <c r="DR13" i="3"/>
  <c r="DD13" i="3"/>
  <c r="CP13" i="3"/>
  <c r="CB13" i="3"/>
  <c r="CP10" i="3"/>
  <c r="CB10" i="3"/>
  <c r="DR9" i="3"/>
  <c r="DD9" i="3"/>
  <c r="DR6" i="3"/>
  <c r="DD6" i="3"/>
  <c r="CP6" i="3"/>
  <c r="CB6" i="3"/>
  <c r="AX14" i="3"/>
  <c r="ES13" i="3"/>
  <c r="EE13" i="3"/>
  <c r="DQ13" i="3"/>
  <c r="FG12" i="3"/>
  <c r="EE12" i="3"/>
  <c r="EE11" i="3"/>
  <c r="EE10" i="3"/>
  <c r="DQ10" i="3"/>
  <c r="BI14" i="3"/>
  <c r="AI14" i="3"/>
  <c r="O14" i="3"/>
  <c r="AX13" i="3"/>
  <c r="BH9" i="3"/>
  <c r="AJ9" i="3"/>
  <c r="Q9" i="3"/>
  <c r="GB8" i="3"/>
  <c r="B6" i="3"/>
  <c r="AX5" i="3"/>
  <c r="AG5" i="3"/>
  <c r="P5" i="3"/>
  <c r="GG4" i="3"/>
  <c r="FP4" i="3"/>
  <c r="L4" i="3"/>
  <c r="L14" i="3"/>
  <c r="AW13" i="3"/>
  <c r="AA13" i="3"/>
  <c r="C13" i="3"/>
  <c r="GE12" i="3"/>
  <c r="AO12" i="3"/>
  <c r="AE11" i="3"/>
  <c r="B10" i="3"/>
  <c r="EE8" i="3"/>
  <c r="BX8" i="3"/>
  <c r="BF8" i="3"/>
  <c r="AJ8" i="3"/>
  <c r="AX7" i="3"/>
  <c r="L7" i="3"/>
  <c r="BP5" i="3"/>
  <c r="BT4" i="3"/>
  <c r="BE4" i="3"/>
  <c r="AO4" i="3"/>
  <c r="CL29" i="2"/>
  <c r="CZ29" i="2"/>
  <c r="DN29" i="2"/>
  <c r="EB29" i="2"/>
  <c r="EP29" i="2"/>
  <c r="FD29" i="2"/>
  <c r="FR29" i="2"/>
  <c r="GF29" i="2"/>
  <c r="GT30" i="2"/>
  <c r="B4" i="3"/>
  <c r="AO5" i="3"/>
  <c r="EO5" i="3"/>
  <c r="GG6" i="3"/>
  <c r="C7" i="3"/>
  <c r="W7" i="3"/>
  <c r="B12" i="3"/>
  <c r="BF12" i="3"/>
  <c r="CH12" i="3"/>
  <c r="DJ12" i="3"/>
  <c r="EN12" i="3"/>
  <c r="D29" i="3"/>
  <c r="AR29" i="3"/>
  <c r="CK29" i="3"/>
  <c r="FR29" i="3"/>
  <c r="DU3" i="3"/>
  <c r="EL3" i="3"/>
  <c r="DZ4" i="3"/>
  <c r="ER4" i="3"/>
  <c r="B5" i="3"/>
  <c r="AO6" i="3"/>
  <c r="GD7" i="3"/>
  <c r="B8" i="3"/>
  <c r="AE9" i="3"/>
  <c r="BC9" i="3"/>
  <c r="AO11" i="3"/>
  <c r="AE12" i="3"/>
  <c r="DA13" i="3"/>
  <c r="L3" i="3"/>
  <c r="AB3" i="3"/>
  <c r="AR3" i="3"/>
  <c r="E7" i="3"/>
  <c r="AA7" i="3"/>
  <c r="AW7" i="3"/>
  <c r="BW7" i="3"/>
  <c r="DK8" i="3"/>
  <c r="AX10" i="3"/>
  <c r="DN12" i="3"/>
  <c r="EP12" i="3"/>
  <c r="BS14" i="3"/>
  <c r="CU14" i="3"/>
  <c r="S29" i="3"/>
  <c r="AU29" i="3"/>
  <c r="BW29" i="3"/>
  <c r="CY29" i="3"/>
  <c r="EA29" i="3"/>
  <c r="FC29" i="3"/>
  <c r="GE29" i="3"/>
  <c r="GA29" i="3"/>
  <c r="AC3" i="3"/>
  <c r="AS3" i="3"/>
  <c r="BK3" i="3"/>
  <c r="CA3" i="3"/>
  <c r="BB7" i="3"/>
  <c r="BX7" i="3"/>
  <c r="DN8" i="3"/>
  <c r="EN8" i="3"/>
  <c r="AR14" i="3"/>
  <c r="BT14" i="3"/>
  <c r="CV14" i="3"/>
  <c r="DX14" i="3"/>
  <c r="T29" i="3"/>
  <c r="AV29" i="3"/>
  <c r="BX29" i="3"/>
  <c r="CZ29" i="3"/>
  <c r="EB29" i="3"/>
  <c r="FD29" i="3"/>
  <c r="GF29" i="3"/>
  <c r="CU29" i="3"/>
  <c r="GB29" i="3"/>
  <c r="AD3" i="3"/>
  <c r="AT3" i="3"/>
  <c r="W4" i="3"/>
  <c r="AN4" i="3"/>
  <c r="AE7" i="3"/>
  <c r="BU8" i="3"/>
  <c r="CO8" i="3"/>
  <c r="DO8" i="3"/>
  <c r="EO8" i="3"/>
  <c r="EE9" i="3"/>
  <c r="E10" i="3"/>
  <c r="AE10" i="3"/>
  <c r="AS14" i="3"/>
  <c r="BU14" i="3"/>
  <c r="CW14" i="3"/>
  <c r="U29" i="3"/>
  <c r="AW29" i="3"/>
  <c r="BY29" i="3"/>
  <c r="DA29" i="3"/>
  <c r="EC29" i="3"/>
  <c r="FE29" i="3"/>
  <c r="GG29" i="3"/>
  <c r="O29" i="3"/>
  <c r="CV29" i="3"/>
  <c r="AE3" i="3"/>
  <c r="X4" i="3"/>
  <c r="AR4" i="3"/>
  <c r="BI4" i="3"/>
  <c r="BZ4" i="3"/>
  <c r="AX8" i="3"/>
  <c r="CV8" i="3"/>
  <c r="DP8" i="3"/>
  <c r="EP8" i="3"/>
  <c r="F10" i="3"/>
  <c r="AE13" i="3"/>
  <c r="CX14" i="3"/>
  <c r="DZ14" i="3"/>
  <c r="H29" i="3"/>
  <c r="BN10" i="3" s="1"/>
  <c r="V29" i="3"/>
  <c r="AJ29" i="3"/>
  <c r="AX29" i="3"/>
  <c r="BL29" i="3"/>
  <c r="BZ29" i="3"/>
  <c r="CN29" i="3"/>
  <c r="DB29" i="3"/>
  <c r="DP29" i="3"/>
  <c r="ED29" i="3"/>
  <c r="ER29" i="3"/>
  <c r="FF29" i="3"/>
  <c r="FT29" i="3"/>
  <c r="GH29" i="3"/>
  <c r="GV30" i="3"/>
  <c r="HC6" i="3" s="1"/>
  <c r="P29" i="3"/>
  <c r="AX3" i="3"/>
  <c r="EE4" i="3"/>
  <c r="AU6" i="3"/>
  <c r="BP6" i="3"/>
  <c r="CJ6" i="3"/>
  <c r="DG6" i="3"/>
  <c r="AE8" i="3"/>
  <c r="AO9" i="3"/>
  <c r="AV11" i="3"/>
  <c r="BX11" i="3"/>
  <c r="DB11" i="3"/>
  <c r="ED11" i="3"/>
  <c r="B13" i="3"/>
  <c r="I29" i="3"/>
  <c r="W29" i="3"/>
  <c r="AK29" i="3"/>
  <c r="AY29" i="3"/>
  <c r="BM29" i="3"/>
  <c r="CA29" i="3"/>
  <c r="CO29" i="3"/>
  <c r="DC29" i="3"/>
  <c r="DQ29" i="3"/>
  <c r="EE29" i="3"/>
  <c r="ES29" i="3"/>
  <c r="FG29" i="3"/>
  <c r="FU29" i="3"/>
  <c r="GI29" i="3"/>
  <c r="GW30" i="3"/>
  <c r="BK4" i="3"/>
  <c r="CB4" i="3"/>
  <c r="CV4" i="3"/>
  <c r="DN4" i="3"/>
  <c r="ER8" i="3"/>
  <c r="R9" i="3"/>
  <c r="AR9" i="3"/>
  <c r="DO10" i="3"/>
  <c r="EQ10" i="3"/>
  <c r="E13" i="3"/>
  <c r="J29" i="3"/>
  <c r="X29" i="3"/>
  <c r="AL29" i="3"/>
  <c r="AZ29" i="3"/>
  <c r="BN29" i="3"/>
  <c r="CB29" i="3"/>
  <c r="CP29" i="3"/>
  <c r="DD29" i="3"/>
  <c r="DR29" i="3"/>
  <c r="EF29" i="3"/>
  <c r="ET29" i="3"/>
  <c r="FH29" i="3"/>
  <c r="FV29" i="3"/>
  <c r="GJ29" i="3"/>
  <c r="GX30" i="3"/>
  <c r="GX10" i="3" s="1"/>
  <c r="BB29" i="3"/>
  <c r="BP29" i="3"/>
  <c r="CD29" i="3"/>
  <c r="CR29" i="3"/>
  <c r="DF29" i="3"/>
  <c r="DT29" i="3"/>
  <c r="EH29" i="3"/>
  <c r="EV29" i="3"/>
  <c r="FJ29" i="3"/>
  <c r="FX29" i="3"/>
  <c r="GL29" i="3"/>
  <c r="GZ30" i="3"/>
  <c r="EI29" i="3"/>
  <c r="EW29" i="3"/>
  <c r="FK29" i="3"/>
  <c r="FY29" i="3"/>
  <c r="GM29" i="3"/>
  <c r="HA30" i="3"/>
  <c r="N29" i="3"/>
  <c r="AB29" i="3"/>
  <c r="AP29" i="3"/>
  <c r="BD29" i="3"/>
  <c r="BR29" i="3"/>
  <c r="CF29" i="3"/>
  <c r="CT29" i="3"/>
  <c r="GP14" i="3" s="1"/>
  <c r="DH29" i="3"/>
  <c r="DV29" i="3"/>
  <c r="EJ29" i="3"/>
  <c r="EX29" i="3"/>
  <c r="FL29" i="3"/>
  <c r="FZ29" i="3"/>
  <c r="GN29" i="3"/>
  <c r="HB30" i="3"/>
  <c r="AP14" i="4"/>
  <c r="DW13" i="4"/>
  <c r="DW12" i="4"/>
  <c r="DI12" i="4"/>
  <c r="CU12" i="4"/>
  <c r="CG12" i="4"/>
  <c r="DW11" i="4"/>
  <c r="CE14" i="4"/>
  <c r="CT13" i="4"/>
  <c r="CF13" i="4"/>
  <c r="AP13" i="4"/>
  <c r="DV12" i="4"/>
  <c r="AP12" i="4"/>
  <c r="AN14" i="4"/>
  <c r="FY13" i="4"/>
  <c r="FK13" i="4"/>
  <c r="EW13" i="4"/>
  <c r="GM12" i="4"/>
  <c r="EF14" i="4"/>
  <c r="CP14" i="4"/>
  <c r="EG13" i="4"/>
  <c r="DS13" i="4"/>
  <c r="DE13" i="4"/>
  <c r="EG12" i="4"/>
  <c r="EG11" i="4"/>
  <c r="EE14" i="4"/>
  <c r="DQ14" i="4"/>
  <c r="DC14" i="4"/>
  <c r="CO14" i="4"/>
  <c r="I14" i="4"/>
  <c r="EF13" i="4"/>
  <c r="EF12" i="4"/>
  <c r="EF11" i="4"/>
  <c r="DD11" i="4"/>
  <c r="CP11" i="4"/>
  <c r="DI14" i="4"/>
  <c r="CK14" i="4"/>
  <c r="AT14" i="4"/>
  <c r="C14" i="4"/>
  <c r="EL12" i="4"/>
  <c r="BC11" i="4"/>
  <c r="CU10" i="4"/>
  <c r="CG10" i="4"/>
  <c r="BS10" i="4"/>
  <c r="FN13" i="4"/>
  <c r="EP13" i="4"/>
  <c r="DT13" i="4"/>
  <c r="BV12" i="4"/>
  <c r="AP10" i="4"/>
  <c r="EU14" i="4"/>
  <c r="DZ14" i="4"/>
  <c r="BZ13" i="4"/>
  <c r="BG13" i="4"/>
  <c r="EE12" i="4"/>
  <c r="ES11" i="4"/>
  <c r="AQ14" i="4"/>
  <c r="FU12" i="4"/>
  <c r="FB12" i="4"/>
  <c r="ED12" i="4"/>
  <c r="EM13" i="4"/>
  <c r="I13" i="4"/>
  <c r="CL12" i="4"/>
  <c r="BP12" i="4"/>
  <c r="AU12" i="4"/>
  <c r="W12" i="4"/>
  <c r="D12" i="4"/>
  <c r="EL13" i="4"/>
  <c r="CK12" i="4"/>
  <c r="BM12" i="4"/>
  <c r="AT12" i="4"/>
  <c r="C12" i="4"/>
  <c r="EO14" i="4"/>
  <c r="EN14" i="4"/>
  <c r="DP14" i="4"/>
  <c r="EE13" i="4"/>
  <c r="BU13" i="4"/>
  <c r="EP10" i="4"/>
  <c r="DG10" i="4"/>
  <c r="ER9" i="4"/>
  <c r="EC9" i="4"/>
  <c r="DN9" i="4"/>
  <c r="AP9" i="4"/>
  <c r="AP8" i="4"/>
  <c r="CT7" i="4"/>
  <c r="CF7" i="4"/>
  <c r="BR7" i="4"/>
  <c r="AP7" i="4"/>
  <c r="AP6" i="4"/>
  <c r="BR5" i="4"/>
  <c r="AP5" i="4"/>
  <c r="DV4" i="4"/>
  <c r="DH4" i="4"/>
  <c r="AP4" i="4"/>
  <c r="AP3" i="4"/>
  <c r="ES13" i="4"/>
  <c r="CM13" i="4"/>
  <c r="AT13" i="4"/>
  <c r="ER12" i="4"/>
  <c r="EO10" i="4"/>
  <c r="DX10" i="4"/>
  <c r="BT9" i="4"/>
  <c r="DL8" i="4"/>
  <c r="CW8" i="4"/>
  <c r="CH8" i="4"/>
  <c r="CE7" i="4"/>
  <c r="CE6" i="4"/>
  <c r="BQ6" i="4"/>
  <c r="BC6" i="4"/>
  <c r="DG5" i="4"/>
  <c r="CS5" i="4"/>
  <c r="CE5" i="4"/>
  <c r="CE4" i="4"/>
  <c r="CE3" i="4"/>
  <c r="BQ3" i="4"/>
  <c r="BC3" i="4"/>
  <c r="CL13" i="4"/>
  <c r="EQ12" i="4"/>
  <c r="AP11" i="4"/>
  <c r="EN10" i="4"/>
  <c r="DL9" i="4"/>
  <c r="CW9" i="4"/>
  <c r="CH9" i="4"/>
  <c r="BR9" i="4"/>
  <c r="AN9" i="4"/>
  <c r="AN8" i="4"/>
  <c r="BB7" i="4"/>
  <c r="AN7" i="4"/>
  <c r="CR6" i="4"/>
  <c r="CD6" i="4"/>
  <c r="AN6" i="4"/>
  <c r="AN5" i="4"/>
  <c r="BP4" i="4"/>
  <c r="BB4" i="4"/>
  <c r="AN4" i="4"/>
  <c r="CR3" i="4"/>
  <c r="AN3" i="4"/>
  <c r="AR13" i="4"/>
  <c r="EP12" i="4"/>
  <c r="EE11" i="4"/>
  <c r="I11" i="4"/>
  <c r="FD10" i="4"/>
  <c r="EM10" i="4"/>
  <c r="DT10" i="4"/>
  <c r="I9" i="4"/>
  <c r="CE8" i="4"/>
  <c r="BP8" i="4"/>
  <c r="BA8" i="4"/>
  <c r="DE7" i="4"/>
  <c r="CQ5" i="4"/>
  <c r="CC5" i="4"/>
  <c r="BO5" i="4"/>
  <c r="BA5" i="4"/>
  <c r="CJ13" i="4"/>
  <c r="AN13" i="4"/>
  <c r="GH12" i="4"/>
  <c r="EO12" i="4"/>
  <c r="I12" i="4"/>
  <c r="AN11" i="4"/>
  <c r="EL10" i="4"/>
  <c r="I10" i="4"/>
  <c r="EN9" i="4"/>
  <c r="DY9" i="4"/>
  <c r="DJ9" i="4"/>
  <c r="CT9" i="4"/>
  <c r="CE9" i="4"/>
  <c r="DX8" i="4"/>
  <c r="DR6" i="4"/>
  <c r="DD6" i="4"/>
  <c r="CP6" i="4"/>
  <c r="CB6" i="4"/>
  <c r="BN4" i="4"/>
  <c r="DR3" i="4"/>
  <c r="DD3" i="4"/>
  <c r="CP3" i="4"/>
  <c r="EN12" i="4"/>
  <c r="EI10" i="4"/>
  <c r="DR10" i="4"/>
  <c r="DB10" i="4"/>
  <c r="AN10" i="4"/>
  <c r="EM9" i="4"/>
  <c r="DX9" i="4"/>
  <c r="I8" i="4"/>
  <c r="EE7" i="4"/>
  <c r="DQ7" i="4"/>
  <c r="DC7" i="4"/>
  <c r="CO7" i="4"/>
  <c r="BM7" i="4"/>
  <c r="I7" i="4"/>
  <c r="EE6" i="4"/>
  <c r="DQ6" i="4"/>
  <c r="BM6" i="4"/>
  <c r="I6" i="4"/>
  <c r="EE5" i="4"/>
  <c r="DQ5" i="4"/>
  <c r="DC5" i="4"/>
  <c r="CO5" i="4"/>
  <c r="BM5" i="4"/>
  <c r="I5" i="4"/>
  <c r="EE4" i="4"/>
  <c r="DQ4" i="4"/>
  <c r="BM4" i="4"/>
  <c r="I4" i="4"/>
  <c r="EE3" i="4"/>
  <c r="DQ3" i="4"/>
  <c r="DC3" i="4"/>
  <c r="CO3" i="4"/>
  <c r="BM3" i="4"/>
  <c r="I3" i="4"/>
  <c r="EM12" i="4"/>
  <c r="AN12" i="4"/>
  <c r="FA10" i="4"/>
  <c r="EH10" i="4"/>
  <c r="DQ10" i="4"/>
  <c r="DA10" i="4"/>
  <c r="EL9" i="4"/>
  <c r="BM8" i="4"/>
  <c r="DP7" i="4"/>
  <c r="DB7" i="4"/>
  <c r="CN7" i="4"/>
  <c r="BZ7" i="4"/>
  <c r="BL5" i="4"/>
  <c r="DP4" i="4"/>
  <c r="DB4" i="4"/>
  <c r="CN4" i="4"/>
  <c r="CJ8" i="4"/>
  <c r="DN8" i="4"/>
  <c r="ES9" i="4"/>
  <c r="BL10" i="4"/>
  <c r="AT11" i="4"/>
  <c r="D29" i="5"/>
  <c r="DZ29" i="5"/>
  <c r="AE29" i="5"/>
  <c r="E29" i="5"/>
  <c r="CK29" i="5"/>
  <c r="EA29" i="5"/>
  <c r="FQ29" i="5"/>
  <c r="GW30" i="5"/>
  <c r="AF29" i="5"/>
  <c r="Y29" i="6"/>
  <c r="CC29" i="6"/>
  <c r="EG29" i="6"/>
  <c r="F29" i="5"/>
  <c r="AH29" i="5"/>
  <c r="EB29" i="5"/>
  <c r="FR29" i="5"/>
  <c r="Z29" i="6"/>
  <c r="AN29" i="6"/>
  <c r="CD29" i="6"/>
  <c r="CR29" i="6"/>
  <c r="EH29" i="6"/>
  <c r="FX29" i="6"/>
  <c r="G29" i="5"/>
  <c r="FC29" i="5"/>
  <c r="DQ29" i="5"/>
  <c r="AG29" i="5"/>
  <c r="CX29" i="5"/>
  <c r="FB29" i="5"/>
  <c r="BX29" i="5"/>
  <c r="FA29" i="5"/>
  <c r="BW29" i="5"/>
  <c r="ES29" i="5"/>
  <c r="BI29" i="5"/>
  <c r="BH29" i="5"/>
  <c r="BG29" i="5"/>
  <c r="EE29" i="5"/>
  <c r="AZ29" i="5"/>
  <c r="Q29" i="5"/>
  <c r="GQ29" i="5"/>
  <c r="I29" i="5"/>
  <c r="GE29" i="5"/>
  <c r="GC29" i="5"/>
  <c r="DK29" i="5"/>
  <c r="DC29" i="5"/>
  <c r="U29" i="5"/>
  <c r="AI29" i="5"/>
  <c r="AW29" i="5"/>
  <c r="BK29" i="5"/>
  <c r="BY29" i="5"/>
  <c r="CM29" i="5"/>
  <c r="DA29" i="5"/>
  <c r="DO29" i="5"/>
  <c r="EC29" i="5"/>
  <c r="EQ29" i="5"/>
  <c r="FE29" i="5"/>
  <c r="FS29" i="5"/>
  <c r="GG29" i="5"/>
  <c r="GU30" i="5"/>
  <c r="GR30" i="5"/>
  <c r="CZ29" i="5"/>
  <c r="AO29" i="6"/>
  <c r="CS29" i="6"/>
  <c r="DU29" i="6"/>
  <c r="FY29" i="6"/>
  <c r="V29" i="5"/>
  <c r="AJ29" i="5"/>
  <c r="AX29" i="5"/>
  <c r="BL29" i="5"/>
  <c r="BZ29" i="5"/>
  <c r="CN29" i="5"/>
  <c r="DB29" i="5"/>
  <c r="DP29" i="5"/>
  <c r="ED29" i="5"/>
  <c r="ER29" i="5"/>
  <c r="FF29" i="5"/>
  <c r="FT29" i="5"/>
  <c r="GH29" i="5"/>
  <c r="GS30" i="5"/>
  <c r="FF29" i="6"/>
  <c r="BB29" i="6"/>
  <c r="BA29" i="6"/>
  <c r="EW29" i="6"/>
  <c r="AZ29" i="6"/>
  <c r="EV29" i="6"/>
  <c r="AY29" i="6"/>
  <c r="DT29" i="6"/>
  <c r="W29" i="6"/>
  <c r="DF29" i="6"/>
  <c r="V29" i="6"/>
  <c r="DE29" i="6"/>
  <c r="N29" i="6"/>
  <c r="DC29" i="6"/>
  <c r="DB29" i="6"/>
  <c r="BQ29" i="6"/>
  <c r="BP29" i="6"/>
  <c r="M29" i="6"/>
  <c r="GL29" i="6"/>
  <c r="GK29" i="6"/>
  <c r="FI29" i="6"/>
  <c r="FH29" i="6"/>
  <c r="FG29" i="6"/>
  <c r="DD29" i="6"/>
  <c r="L29" i="6"/>
  <c r="AB29" i="6"/>
  <c r="AP29" i="6"/>
  <c r="BD29" i="6"/>
  <c r="BR29" i="6"/>
  <c r="CF29" i="6"/>
  <c r="CT29" i="6"/>
  <c r="DH29" i="6"/>
  <c r="DV29" i="6"/>
  <c r="EJ29" i="6"/>
  <c r="EX29" i="6"/>
  <c r="FL29" i="6"/>
  <c r="GN29" i="6"/>
  <c r="GT30" i="5"/>
  <c r="ET29" i="5"/>
  <c r="FV29" i="5"/>
  <c r="GR30" i="4"/>
  <c r="HB30" i="4"/>
  <c r="GW30" i="4"/>
  <c r="GV30" i="4"/>
  <c r="H29" i="4"/>
  <c r="V29" i="4"/>
  <c r="AJ29" i="4"/>
  <c r="CT14" i="4" s="1"/>
  <c r="AX29" i="4"/>
  <c r="BL29" i="4"/>
  <c r="BZ29" i="4"/>
  <c r="CN29" i="4"/>
  <c r="DB29" i="4"/>
  <c r="DP29" i="4"/>
  <c r="ED29" i="4"/>
  <c r="ER29" i="4"/>
  <c r="FF29" i="4"/>
  <c r="FT29" i="4"/>
  <c r="GH29" i="4"/>
  <c r="FU29" i="5"/>
  <c r="CI29" i="5"/>
  <c r="CW29" i="5"/>
  <c r="DY29" i="5"/>
  <c r="BM29" i="5"/>
  <c r="CO29" i="5"/>
  <c r="FG29" i="5"/>
  <c r="GI29" i="5"/>
  <c r="J29" i="5"/>
  <c r="AL29" i="5"/>
  <c r="BN29" i="5"/>
  <c r="CB29" i="5"/>
  <c r="CP29" i="5"/>
  <c r="DD29" i="5"/>
  <c r="DR29" i="5"/>
  <c r="EF29" i="5"/>
  <c r="FH29" i="5"/>
  <c r="GJ29" i="5"/>
  <c r="GX30" i="5"/>
  <c r="B29" i="5"/>
  <c r="P29" i="5"/>
  <c r="AD29" i="5"/>
  <c r="AR29" i="5"/>
  <c r="BF29" i="5"/>
  <c r="BT29" i="5"/>
  <c r="CH29" i="5"/>
  <c r="CV29" i="5"/>
  <c r="DJ29" i="5"/>
  <c r="DX29" i="5"/>
  <c r="EL29" i="5"/>
  <c r="EZ29" i="5"/>
  <c r="FN29" i="5"/>
  <c r="GB29" i="5"/>
  <c r="GP29" i="5"/>
  <c r="C29" i="5"/>
  <c r="CA29" i="5"/>
  <c r="AS29" i="5"/>
  <c r="BU29" i="5"/>
  <c r="EM29" i="5"/>
  <c r="FO29" i="5"/>
  <c r="AK29" i="5"/>
  <c r="R29" i="5"/>
  <c r="AT29" i="5"/>
  <c r="BV29" i="5"/>
  <c r="CJ29" i="5"/>
  <c r="DL29" i="5"/>
  <c r="EN29" i="5"/>
  <c r="FP29" i="5"/>
  <c r="GD29" i="5"/>
  <c r="S29" i="5"/>
  <c r="AU29" i="5"/>
  <c r="DM29" i="5"/>
  <c r="EO29" i="5"/>
  <c r="T29" i="5"/>
  <c r="AV29" i="5"/>
  <c r="BJ29" i="5"/>
  <c r="CL29" i="5"/>
  <c r="DN29" i="5"/>
  <c r="EP29" i="5"/>
  <c r="FD29" i="5"/>
  <c r="GF29" i="5"/>
  <c r="AY29" i="5"/>
  <c r="CT29" i="7"/>
  <c r="AC29" i="7"/>
  <c r="AQ29" i="7"/>
  <c r="BE29" i="7"/>
  <c r="BS29" i="7"/>
  <c r="CG29" i="7"/>
  <c r="CU29" i="7"/>
  <c r="DI29" i="7"/>
  <c r="DW29" i="7"/>
  <c r="EK29" i="7"/>
  <c r="EY29" i="7"/>
  <c r="FM29" i="7"/>
  <c r="GA29" i="7"/>
  <c r="GO29" i="7"/>
  <c r="K29" i="5"/>
  <c r="Y29" i="5"/>
  <c r="AM29" i="5"/>
  <c r="BA29" i="5"/>
  <c r="BO29" i="5"/>
  <c r="CC29" i="5"/>
  <c r="CQ29" i="5"/>
  <c r="DE29" i="5"/>
  <c r="DS29" i="5"/>
  <c r="EG29" i="5"/>
  <c r="EU29" i="5"/>
  <c r="FI29" i="5"/>
  <c r="FW29" i="5"/>
  <c r="GK29" i="5"/>
  <c r="GY30" i="5"/>
  <c r="L29" i="5"/>
  <c r="Z29" i="5"/>
  <c r="AN29" i="5"/>
  <c r="BB29" i="5"/>
  <c r="BP29" i="5"/>
  <c r="CD29" i="5"/>
  <c r="CR29" i="5"/>
  <c r="DF29" i="5"/>
  <c r="DT29" i="5"/>
  <c r="EH29" i="5"/>
  <c r="EV29" i="5"/>
  <c r="FJ29" i="5"/>
  <c r="FX29" i="5"/>
  <c r="GL29" i="5"/>
  <c r="GZ30" i="5"/>
  <c r="M29" i="5"/>
  <c r="AA29" i="5"/>
  <c r="AO29" i="5"/>
  <c r="BC29" i="5"/>
  <c r="BQ29" i="5"/>
  <c r="CE29" i="5"/>
  <c r="CS29" i="5"/>
  <c r="DG29" i="5"/>
  <c r="DU29" i="5"/>
  <c r="EI29" i="5"/>
  <c r="EW29" i="5"/>
  <c r="FK29" i="5"/>
  <c r="FY29" i="5"/>
  <c r="GM29" i="5"/>
  <c r="HA30" i="5"/>
  <c r="N29" i="5"/>
  <c r="AB29" i="5"/>
  <c r="AP29" i="5"/>
  <c r="BD29" i="5"/>
  <c r="BR29" i="5"/>
  <c r="CF29" i="5"/>
  <c r="CT29" i="5"/>
  <c r="DH29" i="5"/>
  <c r="DV29" i="5"/>
  <c r="EJ29" i="5"/>
  <c r="EX29" i="5"/>
  <c r="FL29" i="5"/>
  <c r="FZ29" i="5"/>
  <c r="GN29" i="5"/>
  <c r="HB30" i="5"/>
  <c r="O29" i="5"/>
  <c r="AC29" i="5"/>
  <c r="AQ29" i="5"/>
  <c r="BE29" i="5"/>
  <c r="BS29" i="5"/>
  <c r="CG29" i="5"/>
  <c r="CU29" i="5"/>
  <c r="DI29" i="5"/>
  <c r="DW29" i="5"/>
  <c r="EK29" i="5"/>
  <c r="EY29" i="5"/>
  <c r="FM29" i="5"/>
  <c r="GA29" i="5"/>
  <c r="GO29" i="5"/>
  <c r="HC30" i="5"/>
  <c r="F29" i="6"/>
  <c r="T29" i="6"/>
  <c r="AH29" i="6"/>
  <c r="AV29" i="6"/>
  <c r="BJ29" i="6"/>
  <c r="BX29" i="6"/>
  <c r="CL29" i="6"/>
  <c r="CZ29" i="6"/>
  <c r="DN29" i="6"/>
  <c r="EB29" i="6"/>
  <c r="EP29" i="6"/>
  <c r="FD29" i="6"/>
  <c r="FR29" i="6"/>
  <c r="GF29" i="6"/>
  <c r="FJ29" i="6"/>
  <c r="AX29" i="6"/>
  <c r="BZ29" i="6"/>
  <c r="ED29" i="6"/>
  <c r="GH29" i="6"/>
  <c r="CA29" i="6"/>
  <c r="EE29" i="6"/>
  <c r="GI29" i="6"/>
  <c r="X29" i="6"/>
  <c r="CB29" i="6"/>
  <c r="EF29" i="6"/>
  <c r="GJ29" i="6"/>
  <c r="G29" i="6"/>
  <c r="U29" i="6"/>
  <c r="AI29" i="6"/>
  <c r="AW29" i="6"/>
  <c r="BK29" i="6"/>
  <c r="BY29" i="6"/>
  <c r="CM29" i="6"/>
  <c r="DA29" i="6"/>
  <c r="DO29" i="6"/>
  <c r="EC29" i="6"/>
  <c r="EQ29" i="6"/>
  <c r="FE29" i="6"/>
  <c r="FS29" i="6"/>
  <c r="GG29" i="6"/>
  <c r="H29" i="6"/>
  <c r="AJ29" i="6"/>
  <c r="BL29" i="6"/>
  <c r="CN29" i="6"/>
  <c r="DP29" i="6"/>
  <c r="ER29" i="6"/>
  <c r="FT29" i="6"/>
  <c r="I29" i="6"/>
  <c r="AK29" i="6"/>
  <c r="BM29" i="6"/>
  <c r="CO29" i="6"/>
  <c r="DQ29" i="6"/>
  <c r="ES29" i="6"/>
  <c r="FU29" i="6"/>
  <c r="GW30" i="6"/>
  <c r="J29" i="6"/>
  <c r="AL29" i="6"/>
  <c r="BN29" i="6"/>
  <c r="CP29" i="6"/>
  <c r="DR29" i="6"/>
  <c r="ET29" i="6"/>
  <c r="FV29" i="6"/>
  <c r="GX30" i="6"/>
  <c r="FZ29" i="6"/>
  <c r="K29" i="6"/>
  <c r="AM29" i="6"/>
  <c r="BO29" i="6"/>
  <c r="CQ29" i="6"/>
  <c r="DS29" i="6"/>
  <c r="EU29" i="6"/>
  <c r="FW29" i="6"/>
  <c r="GY30" i="6"/>
  <c r="AA29" i="6"/>
  <c r="BC29" i="6"/>
  <c r="CE29" i="6"/>
  <c r="DG29" i="6"/>
  <c r="EI29" i="6"/>
  <c r="FK29" i="6"/>
  <c r="GM29" i="6"/>
  <c r="DZ29" i="7"/>
  <c r="BH29" i="7"/>
  <c r="DY29" i="7"/>
  <c r="AF29" i="7"/>
  <c r="GE29" i="7"/>
  <c r="DM29" i="7"/>
  <c r="GD29" i="7"/>
  <c r="GC29" i="7"/>
  <c r="FB29" i="7"/>
  <c r="FA29" i="7"/>
  <c r="CK29" i="7"/>
  <c r="FL29" i="7"/>
  <c r="FC29" i="7"/>
  <c r="CJ29" i="7"/>
  <c r="BR29" i="7"/>
  <c r="BI29" i="7"/>
  <c r="P29" i="7"/>
  <c r="AD29" i="7"/>
  <c r="AR29" i="7"/>
  <c r="BF29" i="7"/>
  <c r="BT29" i="7"/>
  <c r="CH29" i="7"/>
  <c r="CV29" i="7"/>
  <c r="DJ29" i="7"/>
  <c r="DX29" i="7"/>
  <c r="EL29" i="7"/>
  <c r="EZ29" i="7"/>
  <c r="FN29" i="7"/>
  <c r="GB29" i="7"/>
  <c r="GP29" i="7"/>
  <c r="B29" i="7"/>
  <c r="O29" i="6"/>
  <c r="AC29" i="6"/>
  <c r="AQ29" i="6"/>
  <c r="BE29" i="6"/>
  <c r="BS29" i="6"/>
  <c r="CG29" i="6"/>
  <c r="CU29" i="6"/>
  <c r="DI29" i="6"/>
  <c r="DW29" i="6"/>
  <c r="EK29" i="6"/>
  <c r="EY29" i="6"/>
  <c r="FM29" i="6"/>
  <c r="GA29" i="6"/>
  <c r="GO29" i="6"/>
  <c r="HC30" i="6"/>
  <c r="C29" i="7"/>
  <c r="Q29" i="7"/>
  <c r="AE29" i="7"/>
  <c r="AS29" i="7"/>
  <c r="BG29" i="7"/>
  <c r="BU29" i="7"/>
  <c r="CI29" i="7"/>
  <c r="CW29" i="7"/>
  <c r="DK29" i="7"/>
  <c r="EM29" i="7"/>
  <c r="FO29" i="7"/>
  <c r="GQ29" i="7"/>
  <c r="S29" i="7"/>
  <c r="B29" i="6"/>
  <c r="P29" i="6"/>
  <c r="AD29" i="6"/>
  <c r="AR29" i="6"/>
  <c r="BF29" i="6"/>
  <c r="BT29" i="6"/>
  <c r="CH29" i="6"/>
  <c r="CV29" i="6"/>
  <c r="DJ29" i="6"/>
  <c r="DX29" i="6"/>
  <c r="EL29" i="6"/>
  <c r="EZ29" i="6"/>
  <c r="FN29" i="6"/>
  <c r="GB29" i="6"/>
  <c r="GP29" i="6"/>
  <c r="D29" i="7"/>
  <c r="R29" i="7"/>
  <c r="AT29" i="7"/>
  <c r="BV29" i="7"/>
  <c r="CX29" i="7"/>
  <c r="DL29" i="7"/>
  <c r="EN29" i="7"/>
  <c r="FP29" i="7"/>
  <c r="GR30" i="7"/>
  <c r="AB29" i="7"/>
  <c r="C29" i="6"/>
  <c r="Q29" i="6"/>
  <c r="AE29" i="6"/>
  <c r="AS29" i="6"/>
  <c r="BG29" i="6"/>
  <c r="BU29" i="6"/>
  <c r="CI29" i="6"/>
  <c r="CW29" i="6"/>
  <c r="DK29" i="6"/>
  <c r="DY29" i="6"/>
  <c r="EM29" i="6"/>
  <c r="FA29" i="6"/>
  <c r="FO29" i="6"/>
  <c r="GC29" i="6"/>
  <c r="GQ29" i="6"/>
  <c r="D29" i="6"/>
  <c r="R29" i="6"/>
  <c r="AF29" i="6"/>
  <c r="AT29" i="6"/>
  <c r="BH29" i="6"/>
  <c r="BV29" i="6"/>
  <c r="CJ29" i="6"/>
  <c r="CX29" i="6"/>
  <c r="DL29" i="6"/>
  <c r="DZ29" i="6"/>
  <c r="EN29" i="6"/>
  <c r="FB29" i="6"/>
  <c r="FP29" i="6"/>
  <c r="GD29" i="6"/>
  <c r="GR30" i="6"/>
  <c r="E29" i="6"/>
  <c r="S29" i="6"/>
  <c r="AG29" i="6"/>
  <c r="AU29" i="6"/>
  <c r="BI29" i="6"/>
  <c r="BW29" i="6"/>
  <c r="CK29" i="6"/>
  <c r="CY29" i="6"/>
  <c r="DM29" i="6"/>
  <c r="EA29" i="6"/>
  <c r="EO29" i="6"/>
  <c r="FC29" i="6"/>
  <c r="FQ29" i="6"/>
  <c r="GE29" i="6"/>
  <c r="GS30" i="6"/>
  <c r="M29" i="7"/>
  <c r="AA29" i="7"/>
  <c r="AO29" i="7"/>
  <c r="BC29" i="7"/>
  <c r="BQ29" i="7"/>
  <c r="CE29" i="7"/>
  <c r="CS29" i="7"/>
  <c r="DG29" i="7"/>
  <c r="DU29" i="7"/>
  <c r="EI29" i="7"/>
  <c r="EW29" i="7"/>
  <c r="FK29" i="7"/>
  <c r="FY29" i="7"/>
  <c r="GM29" i="7"/>
  <c r="HA30" i="7"/>
  <c r="N29" i="7"/>
  <c r="AP29" i="7"/>
  <c r="BD29" i="7"/>
  <c r="CF29" i="7"/>
  <c r="DH29" i="7"/>
  <c r="DV29" i="7"/>
  <c r="EJ29" i="7"/>
  <c r="EX29" i="7"/>
  <c r="FZ29" i="7"/>
  <c r="GN29" i="7"/>
  <c r="HB30" i="7"/>
  <c r="E29" i="7"/>
  <c r="AG29" i="7"/>
  <c r="AU29" i="7"/>
  <c r="BW29" i="7"/>
  <c r="CY29" i="7"/>
  <c r="EA29" i="7"/>
  <c r="EO29" i="7"/>
  <c r="FQ29" i="7"/>
  <c r="GS30" i="7"/>
  <c r="K29" i="7"/>
  <c r="Y29" i="7"/>
  <c r="AM29" i="7"/>
  <c r="BA29" i="7"/>
  <c r="BO29" i="7"/>
  <c r="CC29" i="7"/>
  <c r="CQ29" i="7"/>
  <c r="DE29" i="7"/>
  <c r="DS29" i="7"/>
  <c r="EG29" i="7"/>
  <c r="EU29" i="7"/>
  <c r="FI29" i="7"/>
  <c r="FW29" i="7"/>
  <c r="GK29" i="7"/>
  <c r="GY30" i="7"/>
  <c r="L29" i="7"/>
  <c r="Z29" i="7"/>
  <c r="AN29" i="7"/>
  <c r="BB29" i="7"/>
  <c r="BP29" i="7"/>
  <c r="CD29" i="7"/>
  <c r="CR29" i="7"/>
  <c r="DF29" i="7"/>
  <c r="DT29" i="7"/>
  <c r="EH29" i="7"/>
  <c r="EV29" i="7"/>
  <c r="FJ29" i="7"/>
  <c r="FX29" i="7"/>
  <c r="GL29" i="7"/>
  <c r="GZ30" i="7"/>
  <c r="F29" i="7"/>
  <c r="T29" i="7"/>
  <c r="AH29" i="7"/>
  <c r="AV29" i="7"/>
  <c r="BJ29" i="7"/>
  <c r="BX29" i="7"/>
  <c r="CL29" i="7"/>
  <c r="CZ29" i="7"/>
  <c r="DN29" i="7"/>
  <c r="EB29" i="7"/>
  <c r="EP29" i="7"/>
  <c r="FD29" i="7"/>
  <c r="FR29" i="7"/>
  <c r="GF29" i="7"/>
  <c r="GT30" i="7"/>
  <c r="G29" i="7"/>
  <c r="U29" i="7"/>
  <c r="AI29" i="7"/>
  <c r="AW29" i="7"/>
  <c r="BK29" i="7"/>
  <c r="BY29" i="7"/>
  <c r="CM29" i="7"/>
  <c r="DA29" i="7"/>
  <c r="DO29" i="7"/>
  <c r="EC29" i="7"/>
  <c r="EQ29" i="7"/>
  <c r="FE29" i="7"/>
  <c r="FS29" i="7"/>
  <c r="GG29" i="7"/>
  <c r="GU30" i="7"/>
  <c r="H29" i="7"/>
  <c r="V29" i="7"/>
  <c r="AJ29" i="7"/>
  <c r="AX29" i="7"/>
  <c r="BL29" i="7"/>
  <c r="BZ29" i="7"/>
  <c r="CN29" i="7"/>
  <c r="DB29" i="7"/>
  <c r="DP29" i="7"/>
  <c r="ED29" i="7"/>
  <c r="ER29" i="7"/>
  <c r="FF29" i="7"/>
  <c r="FT29" i="7"/>
  <c r="GH29" i="7"/>
  <c r="GV30" i="7"/>
  <c r="I29" i="7"/>
  <c r="W29" i="7"/>
  <c r="AK29" i="7"/>
  <c r="AY29" i="7"/>
  <c r="BM29" i="7"/>
  <c r="CA29" i="7"/>
  <c r="CO29" i="7"/>
  <c r="DC29" i="7"/>
  <c r="DQ29" i="7"/>
  <c r="EE29" i="7"/>
  <c r="ES29" i="7"/>
  <c r="FG29" i="7"/>
  <c r="FU29" i="7"/>
  <c r="GI29" i="7"/>
  <c r="GW30" i="7"/>
  <c r="J29" i="7"/>
  <c r="X29" i="7"/>
  <c r="AL29" i="7"/>
  <c r="AZ29" i="7"/>
  <c r="BN29" i="7"/>
  <c r="CB29" i="7"/>
  <c r="CP29" i="7"/>
  <c r="DD29" i="7"/>
  <c r="DR29" i="7"/>
  <c r="EF29" i="7"/>
  <c r="ET29" i="7"/>
  <c r="FH29" i="7"/>
  <c r="FV29" i="7"/>
  <c r="GJ29" i="7"/>
  <c r="GX30" i="7"/>
  <c r="GM14" i="8"/>
  <c r="FY14" i="8"/>
  <c r="FK14" i="8"/>
  <c r="EW14" i="8"/>
  <c r="EI14" i="8"/>
  <c r="DU14" i="8"/>
  <c r="DG14" i="8"/>
  <c r="CS14" i="8"/>
  <c r="CE14" i="8"/>
  <c r="BQ14" i="8"/>
  <c r="BC14" i="8"/>
  <c r="AO14" i="8"/>
  <c r="AA14" i="8"/>
  <c r="M14" i="8"/>
  <c r="GN13" i="8"/>
  <c r="FZ13" i="8"/>
  <c r="FL13" i="8"/>
  <c r="EX13" i="8"/>
  <c r="EJ13" i="8"/>
  <c r="DV13" i="8"/>
  <c r="DH13" i="8"/>
  <c r="CT13" i="8"/>
  <c r="CF13" i="8"/>
  <c r="BR13" i="8"/>
  <c r="BD13" i="8"/>
  <c r="AP13" i="8"/>
  <c r="AB13" i="8"/>
  <c r="N13" i="8"/>
  <c r="GN12" i="8"/>
  <c r="FZ12" i="8"/>
  <c r="FL12" i="8"/>
  <c r="EX12" i="8"/>
  <c r="EJ12" i="8"/>
  <c r="DV12" i="8"/>
  <c r="DH12" i="8"/>
  <c r="CT12" i="8"/>
  <c r="CF12" i="8"/>
  <c r="BR12" i="8"/>
  <c r="BD12" i="8"/>
  <c r="AP12" i="8"/>
  <c r="AB12" i="8"/>
  <c r="N12" i="8"/>
  <c r="GN11" i="8"/>
  <c r="FZ11" i="8"/>
  <c r="FL11" i="8"/>
  <c r="EX11" i="8"/>
  <c r="EJ11" i="8"/>
  <c r="DV11" i="8"/>
  <c r="DH11" i="8"/>
  <c r="CT11" i="8"/>
  <c r="CF11" i="8"/>
  <c r="BR11" i="8"/>
  <c r="BD11" i="8"/>
  <c r="AP11" i="8"/>
  <c r="AB11" i="8"/>
  <c r="N11" i="8"/>
  <c r="GN10" i="8"/>
  <c r="FZ10" i="8"/>
  <c r="FL10" i="8"/>
  <c r="EX10" i="8"/>
  <c r="EJ10" i="8"/>
  <c r="DV10" i="8"/>
  <c r="DH10" i="8"/>
  <c r="CT10" i="8"/>
  <c r="CF10" i="8"/>
  <c r="GL14" i="8"/>
  <c r="FX14" i="8"/>
  <c r="FJ14" i="8"/>
  <c r="EV14" i="8"/>
  <c r="EH14" i="8"/>
  <c r="DT14" i="8"/>
  <c r="DF14" i="8"/>
  <c r="CR14" i="8"/>
  <c r="CD14" i="8"/>
  <c r="BP14" i="8"/>
  <c r="BB14" i="8"/>
  <c r="AN14" i="8"/>
  <c r="Z14" i="8"/>
  <c r="L14" i="8"/>
  <c r="GM13" i="8"/>
  <c r="FY13" i="8"/>
  <c r="FK13" i="8"/>
  <c r="EW13" i="8"/>
  <c r="EI13" i="8"/>
  <c r="DU13" i="8"/>
  <c r="DG13" i="8"/>
  <c r="CS13" i="8"/>
  <c r="CE13" i="8"/>
  <c r="BQ13" i="8"/>
  <c r="BC13" i="8"/>
  <c r="AO13" i="8"/>
  <c r="AA13" i="8"/>
  <c r="M13" i="8"/>
  <c r="GM12" i="8"/>
  <c r="FY12" i="8"/>
  <c r="FK12" i="8"/>
  <c r="EW12" i="8"/>
  <c r="EI12" i="8"/>
  <c r="DU12" i="8"/>
  <c r="DG12" i="8"/>
  <c r="CS12" i="8"/>
  <c r="CE12" i="8"/>
  <c r="BQ12" i="8"/>
  <c r="BC12" i="8"/>
  <c r="AO12" i="8"/>
  <c r="AA12" i="8"/>
  <c r="M12" i="8"/>
  <c r="GM11" i="8"/>
  <c r="FY11" i="8"/>
  <c r="FK11" i="8"/>
  <c r="EW11" i="8"/>
  <c r="EI11" i="8"/>
  <c r="DU11" i="8"/>
  <c r="DG11" i="8"/>
  <c r="CS11" i="8"/>
  <c r="CE11" i="8"/>
  <c r="BQ11" i="8"/>
  <c r="BC11" i="8"/>
  <c r="AO11" i="8"/>
  <c r="AA11" i="8"/>
  <c r="M11" i="8"/>
  <c r="GM10" i="8"/>
  <c r="FY10" i="8"/>
  <c r="FK10" i="8"/>
  <c r="EW10" i="8"/>
  <c r="EI10" i="8"/>
  <c r="DU10" i="8"/>
  <c r="DG10" i="8"/>
  <c r="CS10" i="8"/>
  <c r="CE10" i="8"/>
  <c r="GK14" i="8"/>
  <c r="FW14" i="8"/>
  <c r="FI14" i="8"/>
  <c r="EU14" i="8"/>
  <c r="EG14" i="8"/>
  <c r="DS14" i="8"/>
  <c r="DE14" i="8"/>
  <c r="CQ14" i="8"/>
  <c r="CC14" i="8"/>
  <c r="BO14" i="8"/>
  <c r="BA14" i="8"/>
  <c r="AM14" i="8"/>
  <c r="Y14" i="8"/>
  <c r="K14" i="8"/>
  <c r="GL13" i="8"/>
  <c r="FX13" i="8"/>
  <c r="FJ13" i="8"/>
  <c r="EV13" i="8"/>
  <c r="EH13" i="8"/>
  <c r="DT13" i="8"/>
  <c r="DF13" i="8"/>
  <c r="CR13" i="8"/>
  <c r="CD13" i="8"/>
  <c r="BP13" i="8"/>
  <c r="BB13" i="8"/>
  <c r="AN13" i="8"/>
  <c r="Z13" i="8"/>
  <c r="L13" i="8"/>
  <c r="GL12" i="8"/>
  <c r="FX12" i="8"/>
  <c r="FJ12" i="8"/>
  <c r="EV12" i="8"/>
  <c r="EH12" i="8"/>
  <c r="DT12" i="8"/>
  <c r="DF12" i="8"/>
  <c r="CR12" i="8"/>
  <c r="CD12" i="8"/>
  <c r="BP12" i="8"/>
  <c r="BB12" i="8"/>
  <c r="AN12" i="8"/>
  <c r="Z12" i="8"/>
  <c r="L12" i="8"/>
  <c r="GL11" i="8"/>
  <c r="FX11" i="8"/>
  <c r="FJ11" i="8"/>
  <c r="EV11" i="8"/>
  <c r="EH11" i="8"/>
  <c r="DT11" i="8"/>
  <c r="DF11" i="8"/>
  <c r="CR11" i="8"/>
  <c r="CD11" i="8"/>
  <c r="BP11" i="8"/>
  <c r="BB11" i="8"/>
  <c r="AN11" i="8"/>
  <c r="Z11" i="8"/>
  <c r="L11" i="8"/>
  <c r="GL10" i="8"/>
  <c r="FX10" i="8"/>
  <c r="FJ10" i="8"/>
  <c r="EV10" i="8"/>
  <c r="EH10" i="8"/>
  <c r="DT10" i="8"/>
  <c r="DF10" i="8"/>
  <c r="CR10" i="8"/>
  <c r="GJ14" i="8"/>
  <c r="FV14" i="8"/>
  <c r="FH14" i="8"/>
  <c r="ET14" i="8"/>
  <c r="EF14" i="8"/>
  <c r="DR14" i="8"/>
  <c r="DD14" i="8"/>
  <c r="CP14" i="8"/>
  <c r="CB14" i="8"/>
  <c r="BN14" i="8"/>
  <c r="AZ14" i="8"/>
  <c r="AL14" i="8"/>
  <c r="X14" i="8"/>
  <c r="J14" i="8"/>
  <c r="GK13" i="8"/>
  <c r="FW13" i="8"/>
  <c r="FI13" i="8"/>
  <c r="EU13" i="8"/>
  <c r="EG13" i="8"/>
  <c r="DS13" i="8"/>
  <c r="DE13" i="8"/>
  <c r="CQ13" i="8"/>
  <c r="CC13" i="8"/>
  <c r="BO13" i="8"/>
  <c r="BA13" i="8"/>
  <c r="AM13" i="8"/>
  <c r="Y13" i="8"/>
  <c r="K13" i="8"/>
  <c r="GK12" i="8"/>
  <c r="FW12" i="8"/>
  <c r="FI12" i="8"/>
  <c r="EU12" i="8"/>
  <c r="EG12" i="8"/>
  <c r="DS12" i="8"/>
  <c r="DE12" i="8"/>
  <c r="CQ12" i="8"/>
  <c r="CC12" i="8"/>
  <c r="BO12" i="8"/>
  <c r="BA12" i="8"/>
  <c r="AM12" i="8"/>
  <c r="Y12" i="8"/>
  <c r="K12" i="8"/>
  <c r="GK11" i="8"/>
  <c r="FW11" i="8"/>
  <c r="FI11" i="8"/>
  <c r="EU11" i="8"/>
  <c r="EG11" i="8"/>
  <c r="DS11" i="8"/>
  <c r="DE11" i="8"/>
  <c r="CQ11" i="8"/>
  <c r="CC11" i="8"/>
  <c r="BO11" i="8"/>
  <c r="BA11" i="8"/>
  <c r="AM11" i="8"/>
  <c r="Y11" i="8"/>
  <c r="K11" i="8"/>
  <c r="GK10" i="8"/>
  <c r="FW10" i="8"/>
  <c r="FI10" i="8"/>
  <c r="EU10" i="8"/>
  <c r="EG10" i="8"/>
  <c r="DS10" i="8"/>
  <c r="DE10" i="8"/>
  <c r="CQ10" i="8"/>
  <c r="CC10" i="8"/>
  <c r="GG14" i="8"/>
  <c r="FS14" i="8"/>
  <c r="FE14" i="8"/>
  <c r="EQ14" i="8"/>
  <c r="EC14" i="8"/>
  <c r="DO14" i="8"/>
  <c r="DA14" i="8"/>
  <c r="CM14" i="8"/>
  <c r="BY14" i="8"/>
  <c r="BK14" i="8"/>
  <c r="AW14" i="8"/>
  <c r="AI14" i="8"/>
  <c r="U14" i="8"/>
  <c r="G14" i="8"/>
  <c r="GH13" i="8"/>
  <c r="FT13" i="8"/>
  <c r="FF13" i="8"/>
  <c r="ER13" i="8"/>
  <c r="ED13" i="8"/>
  <c r="DP13" i="8"/>
  <c r="DB13" i="8"/>
  <c r="CN13" i="8"/>
  <c r="BZ13" i="8"/>
  <c r="BL13" i="8"/>
  <c r="AX13" i="8"/>
  <c r="AJ13" i="8"/>
  <c r="V13" i="8"/>
  <c r="H13" i="8"/>
  <c r="GH12" i="8"/>
  <c r="FT12" i="8"/>
  <c r="FF12" i="8"/>
  <c r="ER12" i="8"/>
  <c r="ED12" i="8"/>
  <c r="DP12" i="8"/>
  <c r="DB12" i="8"/>
  <c r="CN12" i="8"/>
  <c r="BZ12" i="8"/>
  <c r="BL12" i="8"/>
  <c r="AX12" i="8"/>
  <c r="AJ12" i="8"/>
  <c r="V12" i="8"/>
  <c r="H12" i="8"/>
  <c r="GH11" i="8"/>
  <c r="FT11" i="8"/>
  <c r="FF11" i="8"/>
  <c r="ER11" i="8"/>
  <c r="ED11" i="8"/>
  <c r="DP11" i="8"/>
  <c r="DB11" i="8"/>
  <c r="CN11" i="8"/>
  <c r="BZ11" i="8"/>
  <c r="BL11" i="8"/>
  <c r="AX11" i="8"/>
  <c r="AJ11" i="8"/>
  <c r="V11" i="8"/>
  <c r="H11" i="8"/>
  <c r="GH10" i="8"/>
  <c r="FT10" i="8"/>
  <c r="FF10" i="8"/>
  <c r="ER10" i="8"/>
  <c r="ED10" i="8"/>
  <c r="DP10" i="8"/>
  <c r="DB10" i="8"/>
  <c r="CN10" i="8"/>
  <c r="BZ10" i="8"/>
  <c r="GQ14" i="8"/>
  <c r="GP14" i="8"/>
  <c r="GB14" i="8"/>
  <c r="FN14" i="8"/>
  <c r="EZ14" i="8"/>
  <c r="EL14" i="8"/>
  <c r="DX14" i="8"/>
  <c r="DJ14" i="8"/>
  <c r="CV14" i="8"/>
  <c r="CH14" i="8"/>
  <c r="BT14" i="8"/>
  <c r="BF14" i="8"/>
  <c r="AR14" i="8"/>
  <c r="AD14" i="8"/>
  <c r="P14" i="8"/>
  <c r="B14" i="8"/>
  <c r="GQ13" i="8"/>
  <c r="GC13" i="8"/>
  <c r="FO13" i="8"/>
  <c r="FA13" i="8"/>
  <c r="EM13" i="8"/>
  <c r="DY13" i="8"/>
  <c r="DK13" i="8"/>
  <c r="CW13" i="8"/>
  <c r="CI13" i="8"/>
  <c r="BU13" i="8"/>
  <c r="BG13" i="8"/>
  <c r="AS13" i="8"/>
  <c r="AE13" i="8"/>
  <c r="Q13" i="8"/>
  <c r="C13" i="8"/>
  <c r="GQ12" i="8"/>
  <c r="GC12" i="8"/>
  <c r="FO12" i="8"/>
  <c r="FA12" i="8"/>
  <c r="EM12" i="8"/>
  <c r="DY12" i="8"/>
  <c r="DK12" i="8"/>
  <c r="CW12" i="8"/>
  <c r="CI12" i="8"/>
  <c r="BU12" i="8"/>
  <c r="BG12" i="8"/>
  <c r="AS12" i="8"/>
  <c r="AE12" i="8"/>
  <c r="Q12" i="8"/>
  <c r="C12" i="8"/>
  <c r="GQ11" i="8"/>
  <c r="GC11" i="8"/>
  <c r="FO11" i="8"/>
  <c r="FA11" i="8"/>
  <c r="EM11" i="8"/>
  <c r="DY11" i="8"/>
  <c r="DK11" i="8"/>
  <c r="CW11" i="8"/>
  <c r="CI11" i="8"/>
  <c r="BU11" i="8"/>
  <c r="BG11" i="8"/>
  <c r="AS11" i="8"/>
  <c r="AE11" i="8"/>
  <c r="Q11" i="8"/>
  <c r="C11" i="8"/>
  <c r="GQ10" i="8"/>
  <c r="GC10" i="8"/>
  <c r="FO10" i="8"/>
  <c r="FA10" i="8"/>
  <c r="EM10" i="8"/>
  <c r="DY10" i="8"/>
  <c r="DK10" i="8"/>
  <c r="CW10" i="8"/>
  <c r="CI10" i="8"/>
  <c r="BU10" i="8"/>
  <c r="GY7" i="8"/>
  <c r="GY8" i="8"/>
  <c r="GY9" i="8"/>
  <c r="GX10" i="8"/>
  <c r="HC14" i="8"/>
  <c r="HB14" i="8"/>
  <c r="HA14" i="8"/>
  <c r="HB13" i="8"/>
  <c r="HB12" i="8"/>
  <c r="HB11" i="8"/>
  <c r="HB10" i="8"/>
  <c r="GZ14" i="8"/>
  <c r="HA13" i="8"/>
  <c r="HA12" i="8"/>
  <c r="HA11" i="8"/>
  <c r="HA10" i="8"/>
  <c r="GY14" i="8"/>
  <c r="GZ13" i="8"/>
  <c r="GZ12" i="8"/>
  <c r="GZ11" i="8"/>
  <c r="GZ10" i="8"/>
  <c r="GX14" i="8"/>
  <c r="GY13" i="8"/>
  <c r="GY12" i="8"/>
  <c r="GY11" i="8"/>
  <c r="GY10" i="8"/>
  <c r="GW14" i="8"/>
  <c r="GV14" i="8"/>
  <c r="GU14" i="8"/>
  <c r="GV13" i="8"/>
  <c r="GV12" i="8"/>
  <c r="GV11" i="8"/>
  <c r="GV10" i="8"/>
  <c r="GT14" i="8"/>
  <c r="GS14" i="8"/>
  <c r="GR14" i="8"/>
  <c r="HA7" i="8"/>
  <c r="HA8" i="8"/>
  <c r="HA9" i="8"/>
  <c r="GX12" i="8"/>
  <c r="HB7" i="8"/>
  <c r="HB8" i="8"/>
  <c r="HB9" i="8"/>
  <c r="GR11" i="8"/>
  <c r="HC12" i="8"/>
  <c r="GR7" i="8"/>
  <c r="GR8" i="8"/>
  <c r="GR9" i="8"/>
  <c r="GW11" i="8"/>
  <c r="GT13" i="8"/>
  <c r="GS7" i="8"/>
  <c r="GS8" i="8"/>
  <c r="GS9" i="8"/>
  <c r="GX11" i="8"/>
  <c r="GU13" i="8"/>
  <c r="GT7" i="8"/>
  <c r="GT8" i="8"/>
  <c r="GT9" i="8"/>
  <c r="GR10" i="8"/>
  <c r="HC11" i="8"/>
  <c r="GW13" i="8"/>
  <c r="GG14" i="6" l="1"/>
  <c r="FS14" i="6"/>
  <c r="FE14" i="6"/>
  <c r="EQ14" i="6"/>
  <c r="EC14" i="6"/>
  <c r="DO14" i="6"/>
  <c r="DA14" i="6"/>
  <c r="CM14" i="6"/>
  <c r="BY14" i="6"/>
  <c r="BK14" i="6"/>
  <c r="AW14" i="6"/>
  <c r="AI14" i="6"/>
  <c r="U14" i="6"/>
  <c r="G14" i="6"/>
  <c r="GH13" i="6"/>
  <c r="FT13" i="6"/>
  <c r="FF13" i="6"/>
  <c r="ER13" i="6"/>
  <c r="ED13" i="6"/>
  <c r="DP13" i="6"/>
  <c r="DB13" i="6"/>
  <c r="CN13" i="6"/>
  <c r="BZ13" i="6"/>
  <c r="BL13" i="6"/>
  <c r="AX13" i="6"/>
  <c r="AJ13" i="6"/>
  <c r="V13" i="6"/>
  <c r="H13" i="6"/>
  <c r="GH12" i="6"/>
  <c r="FT12" i="6"/>
  <c r="FF12" i="6"/>
  <c r="ER12" i="6"/>
  <c r="ED12" i="6"/>
  <c r="DP12" i="6"/>
  <c r="DB12" i="6"/>
  <c r="CN12" i="6"/>
  <c r="BZ12" i="6"/>
  <c r="BL12" i="6"/>
  <c r="AX12" i="6"/>
  <c r="AJ12" i="6"/>
  <c r="V12" i="6"/>
  <c r="H12" i="6"/>
  <c r="GH11" i="6"/>
  <c r="FT11" i="6"/>
  <c r="FF11" i="6"/>
  <c r="ER11" i="6"/>
  <c r="ED11" i="6"/>
  <c r="DP11" i="6"/>
  <c r="DB11" i="6"/>
  <c r="GF14" i="6"/>
  <c r="FR14" i="6"/>
  <c r="FD14" i="6"/>
  <c r="EP14" i="6"/>
  <c r="EB14" i="6"/>
  <c r="DN14" i="6"/>
  <c r="CZ14" i="6"/>
  <c r="CL14" i="6"/>
  <c r="BX14" i="6"/>
  <c r="BJ14" i="6"/>
  <c r="AV14" i="6"/>
  <c r="AH14" i="6"/>
  <c r="T14" i="6"/>
  <c r="F14" i="6"/>
  <c r="GG13" i="6"/>
  <c r="FS13" i="6"/>
  <c r="FE13" i="6"/>
  <c r="EQ13" i="6"/>
  <c r="EC13" i="6"/>
  <c r="DO13" i="6"/>
  <c r="DA13" i="6"/>
  <c r="CM13" i="6"/>
  <c r="BY13" i="6"/>
  <c r="BK13" i="6"/>
  <c r="AW13" i="6"/>
  <c r="AI13" i="6"/>
  <c r="U13" i="6"/>
  <c r="G13" i="6"/>
  <c r="GG12" i="6"/>
  <c r="FS12" i="6"/>
  <c r="FE12" i="6"/>
  <c r="EQ12" i="6"/>
  <c r="EC12" i="6"/>
  <c r="DO12" i="6"/>
  <c r="DA12" i="6"/>
  <c r="CM12" i="6"/>
  <c r="BY12" i="6"/>
  <c r="BK12" i="6"/>
  <c r="AW12" i="6"/>
  <c r="AI12" i="6"/>
  <c r="U12" i="6"/>
  <c r="G12" i="6"/>
  <c r="GG11" i="6"/>
  <c r="FS11" i="6"/>
  <c r="FE11" i="6"/>
  <c r="EQ11" i="6"/>
  <c r="EC11" i="6"/>
  <c r="DO11" i="6"/>
  <c r="DA11" i="6"/>
  <c r="CM11" i="6"/>
  <c r="GE14" i="6"/>
  <c r="FQ14" i="6"/>
  <c r="FC14" i="6"/>
  <c r="EO14" i="6"/>
  <c r="EA14" i="6"/>
  <c r="DM14" i="6"/>
  <c r="CY14" i="6"/>
  <c r="CK14" i="6"/>
  <c r="BW14" i="6"/>
  <c r="BI14" i="6"/>
  <c r="AU14" i="6"/>
  <c r="AG14" i="6"/>
  <c r="S14" i="6"/>
  <c r="E14" i="6"/>
  <c r="GF13" i="6"/>
  <c r="FR13" i="6"/>
  <c r="FD13" i="6"/>
  <c r="EP13" i="6"/>
  <c r="EB13" i="6"/>
  <c r="DN13" i="6"/>
  <c r="CZ13" i="6"/>
  <c r="CL13" i="6"/>
  <c r="BX13" i="6"/>
  <c r="BJ13" i="6"/>
  <c r="AV13" i="6"/>
  <c r="AH13" i="6"/>
  <c r="T13" i="6"/>
  <c r="F13" i="6"/>
  <c r="GF12" i="6"/>
  <c r="FR12" i="6"/>
  <c r="FD12" i="6"/>
  <c r="EP12" i="6"/>
  <c r="EB12" i="6"/>
  <c r="DN12" i="6"/>
  <c r="CZ12" i="6"/>
  <c r="CL12" i="6"/>
  <c r="BX12" i="6"/>
  <c r="BJ12" i="6"/>
  <c r="AV12" i="6"/>
  <c r="AH12" i="6"/>
  <c r="T12" i="6"/>
  <c r="F12" i="6"/>
  <c r="GF11" i="6"/>
  <c r="FR11" i="6"/>
  <c r="FD11" i="6"/>
  <c r="EP11" i="6"/>
  <c r="EB11" i="6"/>
  <c r="DN11" i="6"/>
  <c r="CZ11" i="6"/>
  <c r="GD14" i="6"/>
  <c r="FP14" i="6"/>
  <c r="FB14" i="6"/>
  <c r="EN14" i="6"/>
  <c r="DZ14" i="6"/>
  <c r="DL14" i="6"/>
  <c r="CX14" i="6"/>
  <c r="CJ14" i="6"/>
  <c r="BV14" i="6"/>
  <c r="BH14" i="6"/>
  <c r="AT14" i="6"/>
  <c r="AF14" i="6"/>
  <c r="R14" i="6"/>
  <c r="D14" i="6"/>
  <c r="GE13" i="6"/>
  <c r="FQ13" i="6"/>
  <c r="FC13" i="6"/>
  <c r="EO13" i="6"/>
  <c r="EA13" i="6"/>
  <c r="DM13" i="6"/>
  <c r="CY13" i="6"/>
  <c r="CK13" i="6"/>
  <c r="BW13" i="6"/>
  <c r="BI13" i="6"/>
  <c r="AU13" i="6"/>
  <c r="AG13" i="6"/>
  <c r="S13" i="6"/>
  <c r="E13" i="6"/>
  <c r="GE12" i="6"/>
  <c r="FQ12" i="6"/>
  <c r="FC12" i="6"/>
  <c r="EO12" i="6"/>
  <c r="EA12" i="6"/>
  <c r="DM12" i="6"/>
  <c r="CY12" i="6"/>
  <c r="CK12" i="6"/>
  <c r="BW12" i="6"/>
  <c r="BI12" i="6"/>
  <c r="AU12" i="6"/>
  <c r="AG12" i="6"/>
  <c r="S12" i="6"/>
  <c r="E12" i="6"/>
  <c r="GE11" i="6"/>
  <c r="FQ11" i="6"/>
  <c r="FC11" i="6"/>
  <c r="EO11" i="6"/>
  <c r="EA11" i="6"/>
  <c r="DM11" i="6"/>
  <c r="CY11" i="6"/>
  <c r="GQ14" i="6"/>
  <c r="GC14" i="6"/>
  <c r="FO14" i="6"/>
  <c r="FA14" i="6"/>
  <c r="EM14" i="6"/>
  <c r="DY14" i="6"/>
  <c r="DK14" i="6"/>
  <c r="CW14" i="6"/>
  <c r="CI14" i="6"/>
  <c r="BU14" i="6"/>
  <c r="BG14" i="6"/>
  <c r="AS14" i="6"/>
  <c r="AE14" i="6"/>
  <c r="Q14" i="6"/>
  <c r="C14" i="6"/>
  <c r="GD13" i="6"/>
  <c r="FP13" i="6"/>
  <c r="FB13" i="6"/>
  <c r="EN13" i="6"/>
  <c r="DZ13" i="6"/>
  <c r="DL13" i="6"/>
  <c r="CX13" i="6"/>
  <c r="CJ13" i="6"/>
  <c r="BV13" i="6"/>
  <c r="BH13" i="6"/>
  <c r="AT13" i="6"/>
  <c r="AF13" i="6"/>
  <c r="R13" i="6"/>
  <c r="D13" i="6"/>
  <c r="GD12" i="6"/>
  <c r="FP12" i="6"/>
  <c r="FB12" i="6"/>
  <c r="EN12" i="6"/>
  <c r="DZ12" i="6"/>
  <c r="DL12" i="6"/>
  <c r="CX12" i="6"/>
  <c r="CJ12" i="6"/>
  <c r="BV12" i="6"/>
  <c r="BH12" i="6"/>
  <c r="AT12" i="6"/>
  <c r="AF12" i="6"/>
  <c r="R12" i="6"/>
  <c r="D12" i="6"/>
  <c r="GD11" i="6"/>
  <c r="FP11" i="6"/>
  <c r="FB11" i="6"/>
  <c r="EN11" i="6"/>
  <c r="DZ11" i="6"/>
  <c r="DL11" i="6"/>
  <c r="CX11" i="6"/>
  <c r="CJ11" i="6"/>
  <c r="GP14" i="6"/>
  <c r="GB14" i="6"/>
  <c r="FN14" i="6"/>
  <c r="EZ14" i="6"/>
  <c r="EL14" i="6"/>
  <c r="DX14" i="6"/>
  <c r="DJ14" i="6"/>
  <c r="CV14" i="6"/>
  <c r="CH14" i="6"/>
  <c r="BT14" i="6"/>
  <c r="BF14" i="6"/>
  <c r="AR14" i="6"/>
  <c r="AD14" i="6"/>
  <c r="P14" i="6"/>
  <c r="B14" i="6"/>
  <c r="GQ13" i="6"/>
  <c r="GC13" i="6"/>
  <c r="FO13" i="6"/>
  <c r="FA13" i="6"/>
  <c r="EM13" i="6"/>
  <c r="DY13" i="6"/>
  <c r="DK13" i="6"/>
  <c r="CW13" i="6"/>
  <c r="CI13" i="6"/>
  <c r="BU13" i="6"/>
  <c r="BG13" i="6"/>
  <c r="AS13" i="6"/>
  <c r="AE13" i="6"/>
  <c r="Q13" i="6"/>
  <c r="C13" i="6"/>
  <c r="GQ12" i="6"/>
  <c r="GC12" i="6"/>
  <c r="FO12" i="6"/>
  <c r="FA12" i="6"/>
  <c r="EM12" i="6"/>
  <c r="DY12" i="6"/>
  <c r="DK12" i="6"/>
  <c r="CW12" i="6"/>
  <c r="CI12" i="6"/>
  <c r="BU12" i="6"/>
  <c r="BG12" i="6"/>
  <c r="AS12" i="6"/>
  <c r="AE12" i="6"/>
  <c r="Q12" i="6"/>
  <c r="C12" i="6"/>
  <c r="GQ11" i="6"/>
  <c r="GC11" i="6"/>
  <c r="FO11" i="6"/>
  <c r="FA11" i="6"/>
  <c r="EM11" i="6"/>
  <c r="DY11" i="6"/>
  <c r="DK11" i="6"/>
  <c r="CW11" i="6"/>
  <c r="CI11" i="6"/>
  <c r="GO14" i="6"/>
  <c r="GA14" i="6"/>
  <c r="FM14" i="6"/>
  <c r="EY14" i="6"/>
  <c r="EK14" i="6"/>
  <c r="DW14" i="6"/>
  <c r="DI14" i="6"/>
  <c r="CU14" i="6"/>
  <c r="CG14" i="6"/>
  <c r="BS14" i="6"/>
  <c r="BE14" i="6"/>
  <c r="AQ14" i="6"/>
  <c r="AC14" i="6"/>
  <c r="O14" i="6"/>
  <c r="GP13" i="6"/>
  <c r="GB13" i="6"/>
  <c r="FN13" i="6"/>
  <c r="EZ13" i="6"/>
  <c r="EL13" i="6"/>
  <c r="DX13" i="6"/>
  <c r="DJ13" i="6"/>
  <c r="CV13" i="6"/>
  <c r="CH13" i="6"/>
  <c r="BT13" i="6"/>
  <c r="BF13" i="6"/>
  <c r="AR13" i="6"/>
  <c r="AD13" i="6"/>
  <c r="P13" i="6"/>
  <c r="B13" i="6"/>
  <c r="GP12" i="6"/>
  <c r="GB12" i="6"/>
  <c r="FN12" i="6"/>
  <c r="EZ12" i="6"/>
  <c r="EL12" i="6"/>
  <c r="DX12" i="6"/>
  <c r="DJ12" i="6"/>
  <c r="CV12" i="6"/>
  <c r="CH12" i="6"/>
  <c r="BT12" i="6"/>
  <c r="BF12" i="6"/>
  <c r="AR12" i="6"/>
  <c r="AD12" i="6"/>
  <c r="P12" i="6"/>
  <c r="B12" i="6"/>
  <c r="GP11" i="6"/>
  <c r="GB11" i="6"/>
  <c r="FN11" i="6"/>
  <c r="EZ11" i="6"/>
  <c r="EL11" i="6"/>
  <c r="DX11" i="6"/>
  <c r="DJ11" i="6"/>
  <c r="CV11" i="6"/>
  <c r="GK14" i="6"/>
  <c r="FI14" i="6"/>
  <c r="EG14" i="6"/>
  <c r="DE14" i="6"/>
  <c r="CC14" i="6"/>
  <c r="BA14" i="6"/>
  <c r="Y14" i="6"/>
  <c r="FY13" i="6"/>
  <c r="EW13" i="6"/>
  <c r="DU13" i="6"/>
  <c r="CS13" i="6"/>
  <c r="BQ13" i="6"/>
  <c r="AO13" i="6"/>
  <c r="M13" i="6"/>
  <c r="GM12" i="6"/>
  <c r="FK12" i="6"/>
  <c r="EI12" i="6"/>
  <c r="DG12" i="6"/>
  <c r="CE12" i="6"/>
  <c r="BC12" i="6"/>
  <c r="AA12" i="6"/>
  <c r="FY11" i="6"/>
  <c r="EW11" i="6"/>
  <c r="DU11" i="6"/>
  <c r="CS11" i="6"/>
  <c r="CB11" i="6"/>
  <c r="BN11" i="6"/>
  <c r="AZ11" i="6"/>
  <c r="AL11" i="6"/>
  <c r="X11" i="6"/>
  <c r="J11" i="6"/>
  <c r="GJ10" i="6"/>
  <c r="FV10" i="6"/>
  <c r="FH10" i="6"/>
  <c r="ET10" i="6"/>
  <c r="EF10" i="6"/>
  <c r="DR10" i="6"/>
  <c r="DD10" i="6"/>
  <c r="CP10" i="6"/>
  <c r="CB10" i="6"/>
  <c r="BN10" i="6"/>
  <c r="AZ10" i="6"/>
  <c r="AL10" i="6"/>
  <c r="X10" i="6"/>
  <c r="J10" i="6"/>
  <c r="GJ9" i="6"/>
  <c r="FV9" i="6"/>
  <c r="FH9" i="6"/>
  <c r="ET9" i="6"/>
  <c r="EF9" i="6"/>
  <c r="DR9" i="6"/>
  <c r="DD9" i="6"/>
  <c r="CP9" i="6"/>
  <c r="CB9" i="6"/>
  <c r="BN9" i="6"/>
  <c r="AZ9" i="6"/>
  <c r="AL9" i="6"/>
  <c r="X9" i="6"/>
  <c r="J9" i="6"/>
  <c r="GJ8" i="6"/>
  <c r="FV8" i="6"/>
  <c r="FH8" i="6"/>
  <c r="ET8" i="6"/>
  <c r="EF8" i="6"/>
  <c r="DR8" i="6"/>
  <c r="DD8" i="6"/>
  <c r="CP8" i="6"/>
  <c r="CB8" i="6"/>
  <c r="BN8" i="6"/>
  <c r="AZ8" i="6"/>
  <c r="AL8" i="6"/>
  <c r="X8" i="6"/>
  <c r="J8" i="6"/>
  <c r="GJ7" i="6"/>
  <c r="FV7" i="6"/>
  <c r="FH7" i="6"/>
  <c r="ET7" i="6"/>
  <c r="EF7" i="6"/>
  <c r="DR7" i="6"/>
  <c r="DD7" i="6"/>
  <c r="CP7" i="6"/>
  <c r="CB7" i="6"/>
  <c r="BN7" i="6"/>
  <c r="AZ7" i="6"/>
  <c r="AL7" i="6"/>
  <c r="X7" i="6"/>
  <c r="GJ14" i="6"/>
  <c r="FH14" i="6"/>
  <c r="EF14" i="6"/>
  <c r="DD14" i="6"/>
  <c r="CB14" i="6"/>
  <c r="AZ14" i="6"/>
  <c r="X14" i="6"/>
  <c r="FX13" i="6"/>
  <c r="EV13" i="6"/>
  <c r="DT13" i="6"/>
  <c r="CR13" i="6"/>
  <c r="BP13" i="6"/>
  <c r="AN13" i="6"/>
  <c r="L13" i="6"/>
  <c r="GL12" i="6"/>
  <c r="FJ12" i="6"/>
  <c r="EH12" i="6"/>
  <c r="DF12" i="6"/>
  <c r="CD12" i="6"/>
  <c r="BB12" i="6"/>
  <c r="Z12" i="6"/>
  <c r="FX11" i="6"/>
  <c r="EV11" i="6"/>
  <c r="DT11" i="6"/>
  <c r="CR11" i="6"/>
  <c r="CA11" i="6"/>
  <c r="BM11" i="6"/>
  <c r="AY11" i="6"/>
  <c r="AK11" i="6"/>
  <c r="W11" i="6"/>
  <c r="I11" i="6"/>
  <c r="GI10" i="6"/>
  <c r="FU10" i="6"/>
  <c r="FG10" i="6"/>
  <c r="ES10" i="6"/>
  <c r="EE10" i="6"/>
  <c r="DQ10" i="6"/>
  <c r="DC10" i="6"/>
  <c r="CO10" i="6"/>
  <c r="CA10" i="6"/>
  <c r="BM10" i="6"/>
  <c r="AY10" i="6"/>
  <c r="AK10" i="6"/>
  <c r="W10" i="6"/>
  <c r="I10" i="6"/>
  <c r="GI9" i="6"/>
  <c r="FU9" i="6"/>
  <c r="FG9" i="6"/>
  <c r="ES9" i="6"/>
  <c r="EE9" i="6"/>
  <c r="DQ9" i="6"/>
  <c r="DC9" i="6"/>
  <c r="CO9" i="6"/>
  <c r="CA9" i="6"/>
  <c r="BM9" i="6"/>
  <c r="AY9" i="6"/>
  <c r="AK9" i="6"/>
  <c r="W9" i="6"/>
  <c r="I9" i="6"/>
  <c r="GI8" i="6"/>
  <c r="FU8" i="6"/>
  <c r="FG8" i="6"/>
  <c r="ES8" i="6"/>
  <c r="EE8" i="6"/>
  <c r="DQ8" i="6"/>
  <c r="DC8" i="6"/>
  <c r="CO8" i="6"/>
  <c r="CA8" i="6"/>
  <c r="BM8" i="6"/>
  <c r="AY8" i="6"/>
  <c r="AK8" i="6"/>
  <c r="W8" i="6"/>
  <c r="I8" i="6"/>
  <c r="GI7" i="6"/>
  <c r="FU7" i="6"/>
  <c r="FG7" i="6"/>
  <c r="ES7" i="6"/>
  <c r="EE7" i="6"/>
  <c r="DQ7" i="6"/>
  <c r="DC7" i="6"/>
  <c r="CO7" i="6"/>
  <c r="CA7" i="6"/>
  <c r="BM7" i="6"/>
  <c r="AY7" i="6"/>
  <c r="AK7" i="6"/>
  <c r="W7" i="6"/>
  <c r="GI14" i="6"/>
  <c r="FG14" i="6"/>
  <c r="EE14" i="6"/>
  <c r="DC14" i="6"/>
  <c r="CA14" i="6"/>
  <c r="AY14" i="6"/>
  <c r="W14" i="6"/>
  <c r="FW13" i="6"/>
  <c r="EU13" i="6"/>
  <c r="DS13" i="6"/>
  <c r="CQ13" i="6"/>
  <c r="BO13" i="6"/>
  <c r="AM13" i="6"/>
  <c r="K13" i="6"/>
  <c r="GK12" i="6"/>
  <c r="FI12" i="6"/>
  <c r="EG12" i="6"/>
  <c r="DE12" i="6"/>
  <c r="CC12" i="6"/>
  <c r="BA12" i="6"/>
  <c r="Y12" i="6"/>
  <c r="FW11" i="6"/>
  <c r="EU11" i="6"/>
  <c r="DS11" i="6"/>
  <c r="CQ11" i="6"/>
  <c r="BZ11" i="6"/>
  <c r="BL11" i="6"/>
  <c r="AX11" i="6"/>
  <c r="AJ11" i="6"/>
  <c r="V11" i="6"/>
  <c r="H11" i="6"/>
  <c r="GH10" i="6"/>
  <c r="FT10" i="6"/>
  <c r="FF10" i="6"/>
  <c r="ER10" i="6"/>
  <c r="ED10" i="6"/>
  <c r="DP10" i="6"/>
  <c r="DB10" i="6"/>
  <c r="CN10" i="6"/>
  <c r="BZ10" i="6"/>
  <c r="BL10" i="6"/>
  <c r="AX10" i="6"/>
  <c r="AJ10" i="6"/>
  <c r="V10" i="6"/>
  <c r="H10" i="6"/>
  <c r="GH9" i="6"/>
  <c r="FT9" i="6"/>
  <c r="FF9" i="6"/>
  <c r="ER9" i="6"/>
  <c r="ED9" i="6"/>
  <c r="DP9" i="6"/>
  <c r="DB9" i="6"/>
  <c r="CN9" i="6"/>
  <c r="BZ9" i="6"/>
  <c r="BL9" i="6"/>
  <c r="AX9" i="6"/>
  <c r="AJ9" i="6"/>
  <c r="V9" i="6"/>
  <c r="H9" i="6"/>
  <c r="GH8" i="6"/>
  <c r="FT8" i="6"/>
  <c r="FF8" i="6"/>
  <c r="ER8" i="6"/>
  <c r="ED8" i="6"/>
  <c r="DP8" i="6"/>
  <c r="DB8" i="6"/>
  <c r="CN8" i="6"/>
  <c r="BZ8" i="6"/>
  <c r="BL8" i="6"/>
  <c r="AX8" i="6"/>
  <c r="AJ8" i="6"/>
  <c r="V8" i="6"/>
  <c r="H8" i="6"/>
  <c r="GH7" i="6"/>
  <c r="FT7" i="6"/>
  <c r="FF7" i="6"/>
  <c r="ER7" i="6"/>
  <c r="ED7" i="6"/>
  <c r="DP7" i="6"/>
  <c r="DB7" i="6"/>
  <c r="CN7" i="6"/>
  <c r="BZ7" i="6"/>
  <c r="BL7" i="6"/>
  <c r="AX7" i="6"/>
  <c r="AJ7" i="6"/>
  <c r="V7" i="6"/>
  <c r="GH14" i="6"/>
  <c r="FF14" i="6"/>
  <c r="ED14" i="6"/>
  <c r="DB14" i="6"/>
  <c r="BZ14" i="6"/>
  <c r="AX14" i="6"/>
  <c r="V14" i="6"/>
  <c r="FV13" i="6"/>
  <c r="ET13" i="6"/>
  <c r="DR13" i="6"/>
  <c r="CP13" i="6"/>
  <c r="BN13" i="6"/>
  <c r="AL13" i="6"/>
  <c r="J13" i="6"/>
  <c r="GJ12" i="6"/>
  <c r="FH12" i="6"/>
  <c r="EF12" i="6"/>
  <c r="DD12" i="6"/>
  <c r="CB12" i="6"/>
  <c r="AZ12" i="6"/>
  <c r="X12" i="6"/>
  <c r="FV11" i="6"/>
  <c r="ET11" i="6"/>
  <c r="DR11" i="6"/>
  <c r="CP11" i="6"/>
  <c r="BY11" i="6"/>
  <c r="BK11" i="6"/>
  <c r="AW11" i="6"/>
  <c r="AI11" i="6"/>
  <c r="U11" i="6"/>
  <c r="G11" i="6"/>
  <c r="GG10" i="6"/>
  <c r="FS10" i="6"/>
  <c r="FE10" i="6"/>
  <c r="EQ10" i="6"/>
  <c r="EC10" i="6"/>
  <c r="DO10" i="6"/>
  <c r="DA10" i="6"/>
  <c r="CM10" i="6"/>
  <c r="BY10" i="6"/>
  <c r="BK10" i="6"/>
  <c r="AW10" i="6"/>
  <c r="AI10" i="6"/>
  <c r="U10" i="6"/>
  <c r="G10" i="6"/>
  <c r="GG9" i="6"/>
  <c r="FS9" i="6"/>
  <c r="FE9" i="6"/>
  <c r="EQ9" i="6"/>
  <c r="EC9" i="6"/>
  <c r="DO9" i="6"/>
  <c r="DA9" i="6"/>
  <c r="CM9" i="6"/>
  <c r="BY9" i="6"/>
  <c r="BK9" i="6"/>
  <c r="AW9" i="6"/>
  <c r="AI9" i="6"/>
  <c r="U9" i="6"/>
  <c r="G9" i="6"/>
  <c r="GG8" i="6"/>
  <c r="FS8" i="6"/>
  <c r="FE8" i="6"/>
  <c r="EQ8" i="6"/>
  <c r="EC8" i="6"/>
  <c r="DO8" i="6"/>
  <c r="DA8" i="6"/>
  <c r="CM8" i="6"/>
  <c r="BY8" i="6"/>
  <c r="BK8" i="6"/>
  <c r="AW8" i="6"/>
  <c r="AI8" i="6"/>
  <c r="U8" i="6"/>
  <c r="G8" i="6"/>
  <c r="GG7" i="6"/>
  <c r="FS7" i="6"/>
  <c r="FE7" i="6"/>
  <c r="EQ7" i="6"/>
  <c r="EC7" i="6"/>
  <c r="DO7" i="6"/>
  <c r="DA7" i="6"/>
  <c r="CM7" i="6"/>
  <c r="BY7" i="6"/>
  <c r="BK7" i="6"/>
  <c r="FZ14" i="6"/>
  <c r="EX14" i="6"/>
  <c r="DV14" i="6"/>
  <c r="CT14" i="6"/>
  <c r="BR14" i="6"/>
  <c r="AP14" i="6"/>
  <c r="N14" i="6"/>
  <c r="FU13" i="6"/>
  <c r="ES13" i="6"/>
  <c r="DQ13" i="6"/>
  <c r="CO13" i="6"/>
  <c r="BM13" i="6"/>
  <c r="AK13" i="6"/>
  <c r="I13" i="6"/>
  <c r="GI12" i="6"/>
  <c r="FG12" i="6"/>
  <c r="EE12" i="6"/>
  <c r="DC12" i="6"/>
  <c r="CA12" i="6"/>
  <c r="AY12" i="6"/>
  <c r="W12" i="6"/>
  <c r="FU11" i="6"/>
  <c r="ES11" i="6"/>
  <c r="DQ11" i="6"/>
  <c r="CO11" i="6"/>
  <c r="BX11" i="6"/>
  <c r="BJ11" i="6"/>
  <c r="AV11" i="6"/>
  <c r="AH11" i="6"/>
  <c r="T11" i="6"/>
  <c r="F11" i="6"/>
  <c r="GF10" i="6"/>
  <c r="FR10" i="6"/>
  <c r="FD10" i="6"/>
  <c r="EP10" i="6"/>
  <c r="EB10" i="6"/>
  <c r="DN10" i="6"/>
  <c r="CZ10" i="6"/>
  <c r="CL10" i="6"/>
  <c r="BX10" i="6"/>
  <c r="BJ10" i="6"/>
  <c r="AV10" i="6"/>
  <c r="AH10" i="6"/>
  <c r="T10" i="6"/>
  <c r="F10" i="6"/>
  <c r="GF9" i="6"/>
  <c r="FR9" i="6"/>
  <c r="FD9" i="6"/>
  <c r="EP9" i="6"/>
  <c r="EB9" i="6"/>
  <c r="DN9" i="6"/>
  <c r="CZ9" i="6"/>
  <c r="CL9" i="6"/>
  <c r="BX9" i="6"/>
  <c r="BJ9" i="6"/>
  <c r="AV9" i="6"/>
  <c r="AH9" i="6"/>
  <c r="T9" i="6"/>
  <c r="F9" i="6"/>
  <c r="GF8" i="6"/>
  <c r="FR8" i="6"/>
  <c r="FK14" i="6"/>
  <c r="DR14" i="6"/>
  <c r="CD14" i="6"/>
  <c r="AK14" i="6"/>
  <c r="GO13" i="6"/>
  <c r="FH13" i="6"/>
  <c r="DH13" i="6"/>
  <c r="CA13" i="6"/>
  <c r="AA13" i="6"/>
  <c r="GO12" i="6"/>
  <c r="EV12" i="6"/>
  <c r="DH12" i="6"/>
  <c r="BO12" i="6"/>
  <c r="O12" i="6"/>
  <c r="GJ11" i="6"/>
  <c r="EJ11" i="6"/>
  <c r="DC11" i="6"/>
  <c r="BU11" i="6"/>
  <c r="BB11" i="6"/>
  <c r="AD11" i="6"/>
  <c r="K11" i="6"/>
  <c r="GO10" i="6"/>
  <c r="FQ10" i="6"/>
  <c r="EX10" i="6"/>
  <c r="DZ10" i="6"/>
  <c r="DG10" i="6"/>
  <c r="CI10" i="6"/>
  <c r="BP10" i="6"/>
  <c r="AR10" i="6"/>
  <c r="Y10" i="6"/>
  <c r="GE9" i="6"/>
  <c r="FL9" i="6"/>
  <c r="EN9" i="6"/>
  <c r="DU9" i="6"/>
  <c r="CW9" i="6"/>
  <c r="CD9" i="6"/>
  <c r="BF9" i="6"/>
  <c r="AM9" i="6"/>
  <c r="O9" i="6"/>
  <c r="FZ8" i="6"/>
  <c r="FC8" i="6"/>
  <c r="EK8" i="6"/>
  <c r="DS8" i="6"/>
  <c r="CW8" i="6"/>
  <c r="CE8" i="6"/>
  <c r="BI8" i="6"/>
  <c r="AQ8" i="6"/>
  <c r="Y8" i="6"/>
  <c r="C8" i="6"/>
  <c r="GM7" i="6"/>
  <c r="FQ7" i="6"/>
  <c r="EY7" i="6"/>
  <c r="EG7" i="6"/>
  <c r="DK7" i="6"/>
  <c r="CS7" i="6"/>
  <c r="BW7" i="6"/>
  <c r="BE7" i="6"/>
  <c r="AN7" i="6"/>
  <c r="T7" i="6"/>
  <c r="F7" i="6"/>
  <c r="GF6" i="6"/>
  <c r="FR6" i="6"/>
  <c r="FD6" i="6"/>
  <c r="EP6" i="6"/>
  <c r="EB6" i="6"/>
  <c r="DN6" i="6"/>
  <c r="CZ6" i="6"/>
  <c r="CL6" i="6"/>
  <c r="BX6" i="6"/>
  <c r="BJ6" i="6"/>
  <c r="AV6" i="6"/>
  <c r="AH6" i="6"/>
  <c r="T6" i="6"/>
  <c r="F6" i="6"/>
  <c r="GF5" i="6"/>
  <c r="FR5" i="6"/>
  <c r="FD5" i="6"/>
  <c r="EP5" i="6"/>
  <c r="EB5" i="6"/>
  <c r="DN5" i="6"/>
  <c r="CZ5" i="6"/>
  <c r="CL5" i="6"/>
  <c r="BX5" i="6"/>
  <c r="BJ5" i="6"/>
  <c r="AV5" i="6"/>
  <c r="AH5" i="6"/>
  <c r="T5" i="6"/>
  <c r="F5" i="6"/>
  <c r="GF4" i="6"/>
  <c r="FR4" i="6"/>
  <c r="FD4" i="6"/>
  <c r="EP4" i="6"/>
  <c r="EB4" i="6"/>
  <c r="DN4" i="6"/>
  <c r="CZ4" i="6"/>
  <c r="CL4" i="6"/>
  <c r="BX4" i="6"/>
  <c r="BJ4" i="6"/>
  <c r="AV4" i="6"/>
  <c r="AH4" i="6"/>
  <c r="T4" i="6"/>
  <c r="F4" i="6"/>
  <c r="GF3" i="6"/>
  <c r="FR3" i="6"/>
  <c r="FD3" i="6"/>
  <c r="FJ14" i="6"/>
  <c r="DQ14" i="6"/>
  <c r="BQ14" i="6"/>
  <c r="AJ14" i="6"/>
  <c r="GN13" i="6"/>
  <c r="FG13" i="6"/>
  <c r="DG13" i="6"/>
  <c r="BS13" i="6"/>
  <c r="Z13" i="6"/>
  <c r="GN12" i="6"/>
  <c r="EU12" i="6"/>
  <c r="CU12" i="6"/>
  <c r="BN12" i="6"/>
  <c r="N12" i="6"/>
  <c r="GI11" i="6"/>
  <c r="EI11" i="6"/>
  <c r="CU11" i="6"/>
  <c r="BT11" i="6"/>
  <c r="BA11" i="6"/>
  <c r="AC11" i="6"/>
  <c r="E11" i="6"/>
  <c r="GN10" i="6"/>
  <c r="FP10" i="6"/>
  <c r="EW10" i="6"/>
  <c r="DY10" i="6"/>
  <c r="DF10" i="6"/>
  <c r="CH10" i="6"/>
  <c r="BO10" i="6"/>
  <c r="AQ10" i="6"/>
  <c r="S10" i="6"/>
  <c r="GD9" i="6"/>
  <c r="FK9" i="6"/>
  <c r="EM9" i="6"/>
  <c r="DT9" i="6"/>
  <c r="CV9" i="6"/>
  <c r="CC9" i="6"/>
  <c r="BE9" i="6"/>
  <c r="AG9" i="6"/>
  <c r="N9" i="6"/>
  <c r="FY8" i="6"/>
  <c r="FB8" i="6"/>
  <c r="EJ8" i="6"/>
  <c r="DN8" i="6"/>
  <c r="CV8" i="6"/>
  <c r="CD8" i="6"/>
  <c r="BH8" i="6"/>
  <c r="AP8" i="6"/>
  <c r="T8" i="6"/>
  <c r="B8" i="6"/>
  <c r="GL7" i="6"/>
  <c r="FP7" i="6"/>
  <c r="EX7" i="6"/>
  <c r="EB7" i="6"/>
  <c r="DJ7" i="6"/>
  <c r="CR7" i="6"/>
  <c r="BV7" i="6"/>
  <c r="BD7" i="6"/>
  <c r="AM7" i="6"/>
  <c r="S7" i="6"/>
  <c r="E7" i="6"/>
  <c r="GE6" i="6"/>
  <c r="FQ6" i="6"/>
  <c r="FC6" i="6"/>
  <c r="EO6" i="6"/>
  <c r="EA6" i="6"/>
  <c r="DM6" i="6"/>
  <c r="CY6" i="6"/>
  <c r="CK6" i="6"/>
  <c r="BW6" i="6"/>
  <c r="BI6" i="6"/>
  <c r="AU6" i="6"/>
  <c r="AG6" i="6"/>
  <c r="S6" i="6"/>
  <c r="E6" i="6"/>
  <c r="GE5" i="6"/>
  <c r="FQ5" i="6"/>
  <c r="FC5" i="6"/>
  <c r="EO5" i="6"/>
  <c r="EA5" i="6"/>
  <c r="DM5" i="6"/>
  <c r="CY5" i="6"/>
  <c r="CK5" i="6"/>
  <c r="BW5" i="6"/>
  <c r="BI5" i="6"/>
  <c r="AU5" i="6"/>
  <c r="AG5" i="6"/>
  <c r="S5" i="6"/>
  <c r="E5" i="6"/>
  <c r="GE4" i="6"/>
  <c r="FQ4" i="6"/>
  <c r="FC4" i="6"/>
  <c r="EO4" i="6"/>
  <c r="EA4" i="6"/>
  <c r="DM4" i="6"/>
  <c r="CY4" i="6"/>
  <c r="CK4" i="6"/>
  <c r="BW4" i="6"/>
  <c r="BI4" i="6"/>
  <c r="AU4" i="6"/>
  <c r="AG4" i="6"/>
  <c r="S4" i="6"/>
  <c r="E4" i="6"/>
  <c r="EW14" i="6"/>
  <c r="DP14" i="6"/>
  <c r="BP14" i="6"/>
  <c r="AB14" i="6"/>
  <c r="GM13" i="6"/>
  <c r="EY13" i="6"/>
  <c r="DF13" i="6"/>
  <c r="BR13" i="6"/>
  <c r="Y13" i="6"/>
  <c r="GA12" i="6"/>
  <c r="ET12" i="6"/>
  <c r="CT12" i="6"/>
  <c r="BM12" i="6"/>
  <c r="M12" i="6"/>
  <c r="GA11" i="6"/>
  <c r="EH11" i="6"/>
  <c r="CT11" i="6"/>
  <c r="BS11" i="6"/>
  <c r="AU11" i="6"/>
  <c r="AB11" i="6"/>
  <c r="D11" i="6"/>
  <c r="GM10" i="6"/>
  <c r="FO10" i="6"/>
  <c r="EV10" i="6"/>
  <c r="DX10" i="6"/>
  <c r="DE10" i="6"/>
  <c r="CG10" i="6"/>
  <c r="BI10" i="6"/>
  <c r="AP10" i="6"/>
  <c r="R10" i="6"/>
  <c r="GC9" i="6"/>
  <c r="FJ9" i="6"/>
  <c r="EL9" i="6"/>
  <c r="DS9" i="6"/>
  <c r="CU9" i="6"/>
  <c r="BW9" i="6"/>
  <c r="BD9" i="6"/>
  <c r="AF9" i="6"/>
  <c r="M9" i="6"/>
  <c r="GQ8" i="6"/>
  <c r="FX8" i="6"/>
  <c r="FA8" i="6"/>
  <c r="EI8" i="6"/>
  <c r="DM8" i="6"/>
  <c r="CU8" i="6"/>
  <c r="CC8" i="6"/>
  <c r="BG8" i="6"/>
  <c r="AO8" i="6"/>
  <c r="S8" i="6"/>
  <c r="GK7" i="6"/>
  <c r="FO7" i="6"/>
  <c r="EW7" i="6"/>
  <c r="EA7" i="6"/>
  <c r="DI7" i="6"/>
  <c r="CQ7" i="6"/>
  <c r="BU7" i="6"/>
  <c r="BC7" i="6"/>
  <c r="AI7" i="6"/>
  <c r="R7" i="6"/>
  <c r="D7" i="6"/>
  <c r="GD6" i="6"/>
  <c r="FP6" i="6"/>
  <c r="FB6" i="6"/>
  <c r="EN6" i="6"/>
  <c r="DZ6" i="6"/>
  <c r="DL6" i="6"/>
  <c r="CX6" i="6"/>
  <c r="CJ6" i="6"/>
  <c r="BV6" i="6"/>
  <c r="BH6" i="6"/>
  <c r="AT6" i="6"/>
  <c r="AF6" i="6"/>
  <c r="R6" i="6"/>
  <c r="D6" i="6"/>
  <c r="GD5" i="6"/>
  <c r="FP5" i="6"/>
  <c r="FB5" i="6"/>
  <c r="EN5" i="6"/>
  <c r="DZ5" i="6"/>
  <c r="DL5" i="6"/>
  <c r="CX5" i="6"/>
  <c r="CJ5" i="6"/>
  <c r="BV5" i="6"/>
  <c r="BH5" i="6"/>
  <c r="AT5" i="6"/>
  <c r="AF5" i="6"/>
  <c r="R5" i="6"/>
  <c r="D5" i="6"/>
  <c r="GD4" i="6"/>
  <c r="FP4" i="6"/>
  <c r="FB4" i="6"/>
  <c r="EN4" i="6"/>
  <c r="DZ4" i="6"/>
  <c r="EV14" i="6"/>
  <c r="DH14" i="6"/>
  <c r="BO14" i="6"/>
  <c r="AA14" i="6"/>
  <c r="GL13" i="6"/>
  <c r="EX13" i="6"/>
  <c r="DE13" i="6"/>
  <c r="BE13" i="6"/>
  <c r="X13" i="6"/>
  <c r="FZ12" i="6"/>
  <c r="ES12" i="6"/>
  <c r="CS12" i="6"/>
  <c r="BE12" i="6"/>
  <c r="L12" i="6"/>
  <c r="FZ11" i="6"/>
  <c r="EG11" i="6"/>
  <c r="CN11" i="6"/>
  <c r="BR11" i="6"/>
  <c r="AT11" i="6"/>
  <c r="AA11" i="6"/>
  <c r="C11" i="6"/>
  <c r="GL10" i="6"/>
  <c r="FN10" i="6"/>
  <c r="EU10" i="6"/>
  <c r="DW10" i="6"/>
  <c r="CY10" i="6"/>
  <c r="CF10" i="6"/>
  <c r="BH10" i="6"/>
  <c r="AO10" i="6"/>
  <c r="Q10" i="6"/>
  <c r="GB9" i="6"/>
  <c r="FI9" i="6"/>
  <c r="EK9" i="6"/>
  <c r="DM9" i="6"/>
  <c r="CT9" i="6"/>
  <c r="BV9" i="6"/>
  <c r="BC9" i="6"/>
  <c r="AE9" i="6"/>
  <c r="L9" i="6"/>
  <c r="GP8" i="6"/>
  <c r="FW8" i="6"/>
  <c r="EZ8" i="6"/>
  <c r="EH8" i="6"/>
  <c r="DL8" i="6"/>
  <c r="CT8" i="6"/>
  <c r="BX8" i="6"/>
  <c r="BF8" i="6"/>
  <c r="AN8" i="6"/>
  <c r="R8" i="6"/>
  <c r="GF7" i="6"/>
  <c r="FN7" i="6"/>
  <c r="EV7" i="6"/>
  <c r="DZ7" i="6"/>
  <c r="DH7" i="6"/>
  <c r="CL7" i="6"/>
  <c r="BT7" i="6"/>
  <c r="BB7" i="6"/>
  <c r="AH7" i="6"/>
  <c r="Q7" i="6"/>
  <c r="C7" i="6"/>
  <c r="GQ6" i="6"/>
  <c r="GC6" i="6"/>
  <c r="FO6" i="6"/>
  <c r="FA6" i="6"/>
  <c r="EM6" i="6"/>
  <c r="DY6" i="6"/>
  <c r="DK6" i="6"/>
  <c r="CW6" i="6"/>
  <c r="CI6" i="6"/>
  <c r="BU6" i="6"/>
  <c r="BG6" i="6"/>
  <c r="AS6" i="6"/>
  <c r="AE6" i="6"/>
  <c r="Q6" i="6"/>
  <c r="C6" i="6"/>
  <c r="GQ5" i="6"/>
  <c r="GC5" i="6"/>
  <c r="FO5" i="6"/>
  <c r="FA5" i="6"/>
  <c r="EM5" i="6"/>
  <c r="DY5" i="6"/>
  <c r="DK5" i="6"/>
  <c r="CW5" i="6"/>
  <c r="GN14" i="6"/>
  <c r="EU14" i="6"/>
  <c r="DG14" i="6"/>
  <c r="BN14" i="6"/>
  <c r="Z14" i="6"/>
  <c r="GK13" i="6"/>
  <c r="EK13" i="6"/>
  <c r="DD13" i="6"/>
  <c r="BD13" i="6"/>
  <c r="W13" i="6"/>
  <c r="FY12" i="6"/>
  <c r="EK12" i="6"/>
  <c r="CR12" i="6"/>
  <c r="BD12" i="6"/>
  <c r="K12" i="6"/>
  <c r="FM11" i="6"/>
  <c r="EF11" i="6"/>
  <c r="CL11" i="6"/>
  <c r="BQ11" i="6"/>
  <c r="AS11" i="6"/>
  <c r="Z11" i="6"/>
  <c r="B11" i="6"/>
  <c r="GK10" i="6"/>
  <c r="FM10" i="6"/>
  <c r="EO10" i="6"/>
  <c r="DV10" i="6"/>
  <c r="CX10" i="6"/>
  <c r="CE10" i="6"/>
  <c r="BG10" i="6"/>
  <c r="AN10" i="6"/>
  <c r="P10" i="6"/>
  <c r="GA9" i="6"/>
  <c r="FC9" i="6"/>
  <c r="EJ9" i="6"/>
  <c r="DL9" i="6"/>
  <c r="CS9" i="6"/>
  <c r="BU9" i="6"/>
  <c r="BB9" i="6"/>
  <c r="AD9" i="6"/>
  <c r="K9" i="6"/>
  <c r="GO8" i="6"/>
  <c r="FQ8" i="6"/>
  <c r="EY8" i="6"/>
  <c r="EG8" i="6"/>
  <c r="DK8" i="6"/>
  <c r="CS8" i="6"/>
  <c r="BW8" i="6"/>
  <c r="BE8" i="6"/>
  <c r="AM8" i="6"/>
  <c r="Q8" i="6"/>
  <c r="GE7" i="6"/>
  <c r="FM7" i="6"/>
  <c r="EU7" i="6"/>
  <c r="DY7" i="6"/>
  <c r="DG7" i="6"/>
  <c r="CK7" i="6"/>
  <c r="BS7" i="6"/>
  <c r="BA7" i="6"/>
  <c r="AG7" i="6"/>
  <c r="P7" i="6"/>
  <c r="B7" i="6"/>
  <c r="GP6" i="6"/>
  <c r="GB6" i="6"/>
  <c r="FN6" i="6"/>
  <c r="EZ6" i="6"/>
  <c r="EL6" i="6"/>
  <c r="DX6" i="6"/>
  <c r="DJ6" i="6"/>
  <c r="CV6" i="6"/>
  <c r="CH6" i="6"/>
  <c r="BT6" i="6"/>
  <c r="BF6" i="6"/>
  <c r="AR6" i="6"/>
  <c r="AD6" i="6"/>
  <c r="P6" i="6"/>
  <c r="B6" i="6"/>
  <c r="GP5" i="6"/>
  <c r="GB5" i="6"/>
  <c r="FN5" i="6"/>
  <c r="EZ5" i="6"/>
  <c r="EL5" i="6"/>
  <c r="DX5" i="6"/>
  <c r="DJ5" i="6"/>
  <c r="CV5" i="6"/>
  <c r="CH5" i="6"/>
  <c r="BT5" i="6"/>
  <c r="BF5" i="6"/>
  <c r="AR5" i="6"/>
  <c r="AD5" i="6"/>
  <c r="P5" i="6"/>
  <c r="B5" i="6"/>
  <c r="GP4" i="6"/>
  <c r="GB4" i="6"/>
  <c r="FN4" i="6"/>
  <c r="EZ4" i="6"/>
  <c r="EL4" i="6"/>
  <c r="DX4" i="6"/>
  <c r="GM14" i="6"/>
  <c r="ET14" i="6"/>
  <c r="DF14" i="6"/>
  <c r="BM14" i="6"/>
  <c r="M14" i="6"/>
  <c r="GJ13" i="6"/>
  <c r="EJ13" i="6"/>
  <c r="DC13" i="6"/>
  <c r="BC13" i="6"/>
  <c r="O13" i="6"/>
  <c r="FX12" i="6"/>
  <c r="EJ12" i="6"/>
  <c r="CQ12" i="6"/>
  <c r="AQ12" i="6"/>
  <c r="J12" i="6"/>
  <c r="FL11" i="6"/>
  <c r="EE11" i="6"/>
  <c r="CK11" i="6"/>
  <c r="BP11" i="6"/>
  <c r="AR11" i="6"/>
  <c r="Y11" i="6"/>
  <c r="GE10" i="6"/>
  <c r="FL10" i="6"/>
  <c r="EN10" i="6"/>
  <c r="DU10" i="6"/>
  <c r="CW10" i="6"/>
  <c r="CD10" i="6"/>
  <c r="BF10" i="6"/>
  <c r="AM10" i="6"/>
  <c r="O10" i="6"/>
  <c r="FZ9" i="6"/>
  <c r="FB9" i="6"/>
  <c r="EI9" i="6"/>
  <c r="DK9" i="6"/>
  <c r="CR9" i="6"/>
  <c r="BT9" i="6"/>
  <c r="BA9" i="6"/>
  <c r="AC9" i="6"/>
  <c r="E9" i="6"/>
  <c r="GN8" i="6"/>
  <c r="FP8" i="6"/>
  <c r="EX8" i="6"/>
  <c r="EB8" i="6"/>
  <c r="DJ8" i="6"/>
  <c r="CR8" i="6"/>
  <c r="BV8" i="6"/>
  <c r="BD8" i="6"/>
  <c r="AH8" i="6"/>
  <c r="P8" i="6"/>
  <c r="GD7" i="6"/>
  <c r="FL7" i="6"/>
  <c r="EP7" i="6"/>
  <c r="DX7" i="6"/>
  <c r="DF7" i="6"/>
  <c r="CJ7" i="6"/>
  <c r="BR7" i="6"/>
  <c r="AW7" i="6"/>
  <c r="GL14" i="6"/>
  <c r="ES14" i="6"/>
  <c r="CS14" i="6"/>
  <c r="BL14" i="6"/>
  <c r="L14" i="6"/>
  <c r="GI13" i="6"/>
  <c r="EI13" i="6"/>
  <c r="CU13" i="6"/>
  <c r="BB13" i="6"/>
  <c r="N13" i="6"/>
  <c r="FW12" i="6"/>
  <c r="DW12" i="6"/>
  <c r="CP12" i="6"/>
  <c r="AP12" i="6"/>
  <c r="I12" i="6"/>
  <c r="FK11" i="6"/>
  <c r="DW11" i="6"/>
  <c r="CH11" i="6"/>
  <c r="BO11" i="6"/>
  <c r="AQ11" i="6"/>
  <c r="S11" i="6"/>
  <c r="GD10" i="6"/>
  <c r="FK10" i="6"/>
  <c r="EM10" i="6"/>
  <c r="DT10" i="6"/>
  <c r="CV10" i="6"/>
  <c r="CC10" i="6"/>
  <c r="BE10" i="6"/>
  <c r="AG10" i="6"/>
  <c r="N10" i="6"/>
  <c r="FY9" i="6"/>
  <c r="FA9" i="6"/>
  <c r="EH9" i="6"/>
  <c r="DJ9" i="6"/>
  <c r="CQ9" i="6"/>
  <c r="BS9" i="6"/>
  <c r="AU9" i="6"/>
  <c r="AB9" i="6"/>
  <c r="D9" i="6"/>
  <c r="GM8" i="6"/>
  <c r="FO8" i="6"/>
  <c r="EW8" i="6"/>
  <c r="EA8" i="6"/>
  <c r="DI8" i="6"/>
  <c r="CQ8" i="6"/>
  <c r="BU8" i="6"/>
  <c r="BC8" i="6"/>
  <c r="AG8" i="6"/>
  <c r="O8" i="6"/>
  <c r="GC7" i="6"/>
  <c r="FK7" i="6"/>
  <c r="EO7" i="6"/>
  <c r="DW7" i="6"/>
  <c r="DE7" i="6"/>
  <c r="CI7" i="6"/>
  <c r="BQ7" i="6"/>
  <c r="AV7" i="6"/>
  <c r="AE7" i="6"/>
  <c r="N7" i="6"/>
  <c r="GN6" i="6"/>
  <c r="FZ6" i="6"/>
  <c r="FL6" i="6"/>
  <c r="EX6" i="6"/>
  <c r="EJ6" i="6"/>
  <c r="DV6" i="6"/>
  <c r="DH6" i="6"/>
  <c r="CT6" i="6"/>
  <c r="CF6" i="6"/>
  <c r="BR6" i="6"/>
  <c r="BD6" i="6"/>
  <c r="AP6" i="6"/>
  <c r="AB6" i="6"/>
  <c r="N6" i="6"/>
  <c r="GN5" i="6"/>
  <c r="FZ5" i="6"/>
  <c r="FL5" i="6"/>
  <c r="EX5" i="6"/>
  <c r="EJ5" i="6"/>
  <c r="DV5" i="6"/>
  <c r="DH5" i="6"/>
  <c r="CT5" i="6"/>
  <c r="CF5" i="6"/>
  <c r="BR5" i="6"/>
  <c r="BD5" i="6"/>
  <c r="AP5" i="6"/>
  <c r="AB5" i="6"/>
  <c r="N5" i="6"/>
  <c r="GN4" i="6"/>
  <c r="FZ4" i="6"/>
  <c r="FL4" i="6"/>
  <c r="EX4" i="6"/>
  <c r="EJ4" i="6"/>
  <c r="DV4" i="6"/>
  <c r="DH4" i="6"/>
  <c r="CT4" i="6"/>
  <c r="CF4" i="6"/>
  <c r="BR4" i="6"/>
  <c r="BD4" i="6"/>
  <c r="AP4" i="6"/>
  <c r="AB4" i="6"/>
  <c r="N4" i="6"/>
  <c r="GN3" i="6"/>
  <c r="FZ3" i="6"/>
  <c r="FL3" i="6"/>
  <c r="EX3" i="6"/>
  <c r="EJ3" i="6"/>
  <c r="DV3" i="6"/>
  <c r="DH3" i="6"/>
  <c r="CT3" i="6"/>
  <c r="CF3" i="6"/>
  <c r="BR3" i="6"/>
  <c r="BD3" i="6"/>
  <c r="AP3" i="6"/>
  <c r="AB3" i="6"/>
  <c r="N3" i="6"/>
  <c r="FV14" i="6"/>
  <c r="CO14" i="6"/>
  <c r="H14" i="6"/>
  <c r="EE13" i="6"/>
  <c r="AQ13" i="6"/>
  <c r="FL12" i="6"/>
  <c r="BS12" i="6"/>
  <c r="GN11" i="6"/>
  <c r="DG11" i="6"/>
  <c r="BF11" i="6"/>
  <c r="O11" i="6"/>
  <c r="FZ10" i="6"/>
  <c r="EI10" i="6"/>
  <c r="CR10" i="6"/>
  <c r="BA10" i="6"/>
  <c r="E10" i="6"/>
  <c r="FP9" i="6"/>
  <c r="DY9" i="6"/>
  <c r="CH9" i="6"/>
  <c r="AQ9" i="6"/>
  <c r="FK8" i="6"/>
  <c r="DW8" i="6"/>
  <c r="CI8" i="6"/>
  <c r="AU8" i="6"/>
  <c r="K8" i="6"/>
  <c r="FY7" i="6"/>
  <c r="EK7" i="6"/>
  <c r="CW7" i="6"/>
  <c r="BI7" i="6"/>
  <c r="AB7" i="6"/>
  <c r="GG6" i="6"/>
  <c r="FG6" i="6"/>
  <c r="EG6" i="6"/>
  <c r="DG6" i="6"/>
  <c r="CM6" i="6"/>
  <c r="BM6" i="6"/>
  <c r="AM6" i="6"/>
  <c r="M6" i="6"/>
  <c r="FU5" i="6"/>
  <c r="EU5" i="6"/>
  <c r="DU5" i="6"/>
  <c r="DA5" i="6"/>
  <c r="CB5" i="6"/>
  <c r="BE5" i="6"/>
  <c r="AK5" i="6"/>
  <c r="M5" i="6"/>
  <c r="FX4" i="6"/>
  <c r="FE4" i="6"/>
  <c r="EG4" i="6"/>
  <c r="DL4" i="6"/>
  <c r="CU4" i="6"/>
  <c r="CC4" i="6"/>
  <c r="BL4" i="6"/>
  <c r="AS4" i="6"/>
  <c r="AA4" i="6"/>
  <c r="J4" i="6"/>
  <c r="GC3" i="6"/>
  <c r="FM3" i="6"/>
  <c r="EV3" i="6"/>
  <c r="EG3" i="6"/>
  <c r="DR3" i="6"/>
  <c r="DC3" i="6"/>
  <c r="CN3" i="6"/>
  <c r="BY3" i="6"/>
  <c r="BJ3" i="6"/>
  <c r="AU3" i="6"/>
  <c r="AF3" i="6"/>
  <c r="Q3" i="6"/>
  <c r="B3" i="6"/>
  <c r="FU14" i="6"/>
  <c r="CN14" i="6"/>
  <c r="DW13" i="6"/>
  <c r="AP13" i="6"/>
  <c r="EY12" i="6"/>
  <c r="BR12" i="6"/>
  <c r="GM11" i="6"/>
  <c r="DF11" i="6"/>
  <c r="BE11" i="6"/>
  <c r="N11" i="6"/>
  <c r="FY10" i="6"/>
  <c r="EH10" i="6"/>
  <c r="CQ10" i="6"/>
  <c r="AU10" i="6"/>
  <c r="D10" i="6"/>
  <c r="FO9" i="6"/>
  <c r="DX9" i="6"/>
  <c r="CG9" i="6"/>
  <c r="AP9" i="6"/>
  <c r="FJ8" i="6"/>
  <c r="DV8" i="6"/>
  <c r="CH8" i="6"/>
  <c r="AT8" i="6"/>
  <c r="F8" i="6"/>
  <c r="FX7" i="6"/>
  <c r="EJ7" i="6"/>
  <c r="CV7" i="6"/>
  <c r="BH7" i="6"/>
  <c r="AA7" i="6"/>
  <c r="GA6" i="6"/>
  <c r="FF6" i="6"/>
  <c r="EF6" i="6"/>
  <c r="DF6" i="6"/>
  <c r="CG6" i="6"/>
  <c r="BL6" i="6"/>
  <c r="AL6" i="6"/>
  <c r="L6" i="6"/>
  <c r="GO5" i="6"/>
  <c r="FT5" i="6"/>
  <c r="ET5" i="6"/>
  <c r="DT5" i="6"/>
  <c r="CU5" i="6"/>
  <c r="CA5" i="6"/>
  <c r="BC5" i="6"/>
  <c r="AJ5" i="6"/>
  <c r="L5" i="6"/>
  <c r="FW4" i="6"/>
  <c r="FA4" i="6"/>
  <c r="EF4" i="6"/>
  <c r="DK4" i="6"/>
  <c r="CS4" i="6"/>
  <c r="CB4" i="6"/>
  <c r="BK4" i="6"/>
  <c r="AR4" i="6"/>
  <c r="Z4" i="6"/>
  <c r="I4" i="6"/>
  <c r="GB3" i="6"/>
  <c r="FK3" i="6"/>
  <c r="EU3" i="6"/>
  <c r="EF3" i="6"/>
  <c r="DQ3" i="6"/>
  <c r="DB3" i="6"/>
  <c r="CM3" i="6"/>
  <c r="BX3" i="6"/>
  <c r="BI3" i="6"/>
  <c r="AT3" i="6"/>
  <c r="AE3" i="6"/>
  <c r="P3" i="6"/>
  <c r="FT14" i="6"/>
  <c r="CF14" i="6"/>
  <c r="DV13" i="6"/>
  <c r="AC13" i="6"/>
  <c r="EX12" i="6"/>
  <c r="BQ12" i="6"/>
  <c r="GL11" i="6"/>
  <c r="DE11" i="6"/>
  <c r="BD11" i="6"/>
  <c r="M11" i="6"/>
  <c r="FX10" i="6"/>
  <c r="EG10" i="6"/>
  <c r="CK10" i="6"/>
  <c r="AT10" i="6"/>
  <c r="C10" i="6"/>
  <c r="FN9" i="6"/>
  <c r="DW9" i="6"/>
  <c r="CF9" i="6"/>
  <c r="AO9" i="6"/>
  <c r="FI8" i="6"/>
  <c r="DU8" i="6"/>
  <c r="CG8" i="6"/>
  <c r="AS8" i="6"/>
  <c r="E8" i="6"/>
  <c r="FW7" i="6"/>
  <c r="EI7" i="6"/>
  <c r="CU7" i="6"/>
  <c r="BG7" i="6"/>
  <c r="Z7" i="6"/>
  <c r="FY6" i="6"/>
  <c r="FE6" i="6"/>
  <c r="EE6" i="6"/>
  <c r="DE6" i="6"/>
  <c r="CE6" i="6"/>
  <c r="BK6" i="6"/>
  <c r="AK6" i="6"/>
  <c r="K6" i="6"/>
  <c r="GM5" i="6"/>
  <c r="FS5" i="6"/>
  <c r="ES5" i="6"/>
  <c r="DS5" i="6"/>
  <c r="CS5" i="6"/>
  <c r="BZ5" i="6"/>
  <c r="BB5" i="6"/>
  <c r="AI5" i="6"/>
  <c r="K5" i="6"/>
  <c r="GQ4" i="6"/>
  <c r="FV4" i="6"/>
  <c r="EY4" i="6"/>
  <c r="EE4" i="6"/>
  <c r="DJ4" i="6"/>
  <c r="CR4" i="6"/>
  <c r="CA4" i="6"/>
  <c r="BH4" i="6"/>
  <c r="AQ4" i="6"/>
  <c r="Y4" i="6"/>
  <c r="H4" i="6"/>
  <c r="GQ3" i="6"/>
  <c r="GA3" i="6"/>
  <c r="FJ3" i="6"/>
  <c r="ET3" i="6"/>
  <c r="EE3" i="6"/>
  <c r="DP3" i="6"/>
  <c r="DA3" i="6"/>
  <c r="CL3" i="6"/>
  <c r="BW3" i="6"/>
  <c r="BH3" i="6"/>
  <c r="AS3" i="6"/>
  <c r="AD3" i="6"/>
  <c r="O3" i="6"/>
  <c r="FL14" i="6"/>
  <c r="CE14" i="6"/>
  <c r="DI13" i="6"/>
  <c r="AB13" i="6"/>
  <c r="EW12" i="6"/>
  <c r="BP12" i="6"/>
  <c r="GK11" i="6"/>
  <c r="DD11" i="6"/>
  <c r="BC11" i="6"/>
  <c r="L11" i="6"/>
  <c r="FW10" i="6"/>
  <c r="EA10" i="6"/>
  <c r="CJ10" i="6"/>
  <c r="AS10" i="6"/>
  <c r="B10" i="6"/>
  <c r="FM9" i="6"/>
  <c r="DV9" i="6"/>
  <c r="CE9" i="6"/>
  <c r="AN9" i="6"/>
  <c r="FD8" i="6"/>
  <c r="DT8" i="6"/>
  <c r="CF8" i="6"/>
  <c r="AR8" i="6"/>
  <c r="D8" i="6"/>
  <c r="FR7" i="6"/>
  <c r="EH7" i="6"/>
  <c r="CT7" i="6"/>
  <c r="BF7" i="6"/>
  <c r="Y7" i="6"/>
  <c r="FX6" i="6"/>
  <c r="EY6" i="6"/>
  <c r="ED6" i="6"/>
  <c r="DD6" i="6"/>
  <c r="CD6" i="6"/>
  <c r="BE6" i="6"/>
  <c r="AJ6" i="6"/>
  <c r="J6" i="6"/>
  <c r="GL5" i="6"/>
  <c r="FM5" i="6"/>
  <c r="ER5" i="6"/>
  <c r="DR5" i="6"/>
  <c r="CR5" i="6"/>
  <c r="BY5" i="6"/>
  <c r="BA5" i="6"/>
  <c r="AE5" i="6"/>
  <c r="J5" i="6"/>
  <c r="GO4" i="6"/>
  <c r="FU4" i="6"/>
  <c r="EW4" i="6"/>
  <c r="ED4" i="6"/>
  <c r="DI4" i="6"/>
  <c r="CQ4" i="6"/>
  <c r="BZ4" i="6"/>
  <c r="BG4" i="6"/>
  <c r="AO4" i="6"/>
  <c r="X4" i="6"/>
  <c r="G4" i="6"/>
  <c r="GP3" i="6"/>
  <c r="FY3" i="6"/>
  <c r="FI3" i="6"/>
  <c r="ES3" i="6"/>
  <c r="ED3" i="6"/>
  <c r="DO3" i="6"/>
  <c r="CZ3" i="6"/>
  <c r="CK3" i="6"/>
  <c r="BV3" i="6"/>
  <c r="BG3" i="6"/>
  <c r="AR3" i="6"/>
  <c r="AC3" i="6"/>
  <c r="M3" i="6"/>
  <c r="ER14" i="6"/>
  <c r="BD14" i="6"/>
  <c r="GA13" i="6"/>
  <c r="CT13" i="6"/>
  <c r="DV12" i="6"/>
  <c r="AO12" i="6"/>
  <c r="FJ11" i="6"/>
  <c r="CG11" i="6"/>
  <c r="AP11" i="6"/>
  <c r="FJ10" i="6"/>
  <c r="DS10" i="6"/>
  <c r="BW10" i="6"/>
  <c r="AF10" i="6"/>
  <c r="GQ9" i="6"/>
  <c r="EZ9" i="6"/>
  <c r="DI9" i="6"/>
  <c r="BR9" i="6"/>
  <c r="AA9" i="6"/>
  <c r="GL8" i="6"/>
  <c r="EV8" i="6"/>
  <c r="DH8" i="6"/>
  <c r="BT8" i="6"/>
  <c r="AF8" i="6"/>
  <c r="FJ7" i="6"/>
  <c r="DV7" i="6"/>
  <c r="CH7" i="6"/>
  <c r="AU7" i="6"/>
  <c r="U7" i="6"/>
  <c r="FW6" i="6"/>
  <c r="EW6" i="6"/>
  <c r="EC6" i="6"/>
  <c r="DC6" i="6"/>
  <c r="CC6" i="6"/>
  <c r="BC6" i="6"/>
  <c r="AI6" i="6"/>
  <c r="I6" i="6"/>
  <c r="GK5" i="6"/>
  <c r="FK5" i="6"/>
  <c r="EQ5" i="6"/>
  <c r="DQ5" i="6"/>
  <c r="CQ5" i="6"/>
  <c r="BU5" i="6"/>
  <c r="AZ5" i="6"/>
  <c r="AC5" i="6"/>
  <c r="I5" i="6"/>
  <c r="GM4" i="6"/>
  <c r="FT4" i="6"/>
  <c r="EV4" i="6"/>
  <c r="EC4" i="6"/>
  <c r="DG4" i="6"/>
  <c r="CP4" i="6"/>
  <c r="BY4" i="6"/>
  <c r="BF4" i="6"/>
  <c r="AN4" i="6"/>
  <c r="W4" i="6"/>
  <c r="D4" i="6"/>
  <c r="GO3" i="6"/>
  <c r="FX3" i="6"/>
  <c r="FH3" i="6"/>
  <c r="ER3" i="6"/>
  <c r="EC3" i="6"/>
  <c r="DN3" i="6"/>
  <c r="CY3" i="6"/>
  <c r="CJ3" i="6"/>
  <c r="BU3" i="6"/>
  <c r="BF3" i="6"/>
  <c r="AQ3" i="6"/>
  <c r="AA3" i="6"/>
  <c r="L3" i="6"/>
  <c r="EJ14" i="6"/>
  <c r="BC14" i="6"/>
  <c r="FZ13" i="6"/>
  <c r="CG13" i="6"/>
  <c r="DU12" i="6"/>
  <c r="AN12" i="6"/>
  <c r="FI11" i="6"/>
  <c r="CF11" i="6"/>
  <c r="AO11" i="6"/>
  <c r="FI10" i="6"/>
  <c r="DM10" i="6"/>
  <c r="BV10" i="6"/>
  <c r="AE10" i="6"/>
  <c r="GP9" i="6"/>
  <c r="EY9" i="6"/>
  <c r="DH9" i="6"/>
  <c r="BQ9" i="6"/>
  <c r="Z9" i="6"/>
  <c r="GK8" i="6"/>
  <c r="EU8" i="6"/>
  <c r="DG8" i="6"/>
  <c r="BS8" i="6"/>
  <c r="AE8" i="6"/>
  <c r="FI7" i="6"/>
  <c r="DU7" i="6"/>
  <c r="CG7" i="6"/>
  <c r="AT7" i="6"/>
  <c r="O7" i="6"/>
  <c r="FV6" i="6"/>
  <c r="EV6" i="6"/>
  <c r="DW6" i="6"/>
  <c r="DB6" i="6"/>
  <c r="CB6" i="6"/>
  <c r="BB6" i="6"/>
  <c r="AC6" i="6"/>
  <c r="H6" i="6"/>
  <c r="GJ5" i="6"/>
  <c r="FJ5" i="6"/>
  <c r="EK5" i="6"/>
  <c r="DP5" i="6"/>
  <c r="CP5" i="6"/>
  <c r="BS5" i="6"/>
  <c r="AY5" i="6"/>
  <c r="AA5" i="6"/>
  <c r="H5" i="6"/>
  <c r="GL4" i="6"/>
  <c r="FS4" i="6"/>
  <c r="EU4" i="6"/>
  <c r="DY4" i="6"/>
  <c r="DF4" i="6"/>
  <c r="CO4" i="6"/>
  <c r="BV4" i="6"/>
  <c r="BE4" i="6"/>
  <c r="AM4" i="6"/>
  <c r="V4" i="6"/>
  <c r="C4" i="6"/>
  <c r="GM3" i="6"/>
  <c r="FW3" i="6"/>
  <c r="FG3" i="6"/>
  <c r="EQ3" i="6"/>
  <c r="EB3" i="6"/>
  <c r="DM3" i="6"/>
  <c r="CX3" i="6"/>
  <c r="CI3" i="6"/>
  <c r="BT3" i="6"/>
  <c r="BE3" i="6"/>
  <c r="AO3" i="6"/>
  <c r="Z3" i="6"/>
  <c r="K3" i="6"/>
  <c r="EI14" i="6"/>
  <c r="BB14" i="6"/>
  <c r="FM13" i="6"/>
  <c r="CF13" i="6"/>
  <c r="DT12" i="6"/>
  <c r="AM12" i="6"/>
  <c r="FH11" i="6"/>
  <c r="CE11" i="6"/>
  <c r="AN11" i="6"/>
  <c r="FC10" i="6"/>
  <c r="DL10" i="6"/>
  <c r="BU10" i="6"/>
  <c r="AD10" i="6"/>
  <c r="GO9" i="6"/>
  <c r="EX9" i="6"/>
  <c r="DG9" i="6"/>
  <c r="BP9" i="6"/>
  <c r="Y9" i="6"/>
  <c r="GE8" i="6"/>
  <c r="EP8" i="6"/>
  <c r="DF8" i="6"/>
  <c r="BR8" i="6"/>
  <c r="AD8" i="6"/>
  <c r="FD7" i="6"/>
  <c r="DT7" i="6"/>
  <c r="CF7" i="6"/>
  <c r="AS7" i="6"/>
  <c r="M7" i="6"/>
  <c r="FU6" i="6"/>
  <c r="EU6" i="6"/>
  <c r="DU6" i="6"/>
  <c r="DA6" i="6"/>
  <c r="CA6" i="6"/>
  <c r="BA6" i="6"/>
  <c r="AA6" i="6"/>
  <c r="G6" i="6"/>
  <c r="GI5" i="6"/>
  <c r="FI5" i="6"/>
  <c r="EI5" i="6"/>
  <c r="DO5" i="6"/>
  <c r="CO5" i="6"/>
  <c r="BQ5" i="6"/>
  <c r="AX5" i="6"/>
  <c r="Z5" i="6"/>
  <c r="G5" i="6"/>
  <c r="GK4" i="6"/>
  <c r="FO4" i="6"/>
  <c r="ET4" i="6"/>
  <c r="DW4" i="6"/>
  <c r="DE4" i="6"/>
  <c r="CN4" i="6"/>
  <c r="BU4" i="6"/>
  <c r="BC4" i="6"/>
  <c r="AL4" i="6"/>
  <c r="U4" i="6"/>
  <c r="B4" i="6"/>
  <c r="DU14" i="6"/>
  <c r="FL13" i="6"/>
  <c r="AL12" i="6"/>
  <c r="CD11" i="6"/>
  <c r="DK10" i="6"/>
  <c r="AC10" i="6"/>
  <c r="EW9" i="6"/>
  <c r="BO9" i="6"/>
  <c r="GD8" i="6"/>
  <c r="DE8" i="6"/>
  <c r="AC8" i="6"/>
  <c r="FC7" i="6"/>
  <c r="CE7" i="6"/>
  <c r="L7" i="6"/>
  <c r="FT6" i="6"/>
  <c r="DT6" i="6"/>
  <c r="BZ6" i="6"/>
  <c r="Z6" i="6"/>
  <c r="GH5" i="6"/>
  <c r="EH5" i="6"/>
  <c r="CN5" i="6"/>
  <c r="AW5" i="6"/>
  <c r="C5" i="6"/>
  <c r="FM4" i="6"/>
  <c r="DU4" i="6"/>
  <c r="CM4" i="6"/>
  <c r="BB4" i="6"/>
  <c r="R4" i="6"/>
  <c r="GL3" i="6"/>
  <c r="FO3" i="6"/>
  <c r="EL3" i="6"/>
  <c r="DJ3" i="6"/>
  <c r="CH3" i="6"/>
  <c r="BL3" i="6"/>
  <c r="AJ3" i="6"/>
  <c r="H3" i="6"/>
  <c r="DT14" i="6"/>
  <c r="FK13" i="6"/>
  <c r="AK12" i="6"/>
  <c r="CC11" i="6"/>
  <c r="DJ10" i="6"/>
  <c r="AB10" i="6"/>
  <c r="EV9" i="6"/>
  <c r="BI9" i="6"/>
  <c r="GC8" i="6"/>
  <c r="CZ8" i="6"/>
  <c r="AB8" i="6"/>
  <c r="FB7" i="6"/>
  <c r="CD7" i="6"/>
  <c r="K7" i="6"/>
  <c r="FS6" i="6"/>
  <c r="DS6" i="6"/>
  <c r="BY6" i="6"/>
  <c r="Y6" i="6"/>
  <c r="GG5" i="6"/>
  <c r="EG5" i="6"/>
  <c r="CM5" i="6"/>
  <c r="AS5" i="6"/>
  <c r="FK4" i="6"/>
  <c r="DT4" i="6"/>
  <c r="CJ4" i="6"/>
  <c r="BA4" i="6"/>
  <c r="Q4" i="6"/>
  <c r="GK3" i="6"/>
  <c r="FN3" i="6"/>
  <c r="EK3" i="6"/>
  <c r="DI3" i="6"/>
  <c r="CG3" i="6"/>
  <c r="BK3" i="6"/>
  <c r="AI3" i="6"/>
  <c r="G3" i="6"/>
  <c r="DS14" i="6"/>
  <c r="FJ13" i="6"/>
  <c r="AC12" i="6"/>
  <c r="BW11" i="6"/>
  <c r="GQ10" i="6"/>
  <c r="DI10" i="6"/>
  <c r="AA10" i="6"/>
  <c r="EU9" i="6"/>
  <c r="BH9" i="6"/>
  <c r="GB8" i="6"/>
  <c r="CY8" i="6"/>
  <c r="AA8" i="6"/>
  <c r="FA7" i="6"/>
  <c r="CC7" i="6"/>
  <c r="J7" i="6"/>
  <c r="FM6" i="6"/>
  <c r="DR6" i="6"/>
  <c r="BS6" i="6"/>
  <c r="X6" i="6"/>
  <c r="GA5" i="6"/>
  <c r="EF5" i="6"/>
  <c r="CI5" i="6"/>
  <c r="AQ5" i="6"/>
  <c r="FJ4" i="6"/>
  <c r="DS4" i="6"/>
  <c r="CI4" i="6"/>
  <c r="AZ4" i="6"/>
  <c r="P4" i="6"/>
  <c r="GJ3" i="6"/>
  <c r="FF3" i="6"/>
  <c r="EI3" i="6"/>
  <c r="DG3" i="6"/>
  <c r="CE3" i="6"/>
  <c r="BC3" i="6"/>
  <c r="AH3" i="6"/>
  <c r="F3" i="6"/>
  <c r="CR14" i="6"/>
  <c r="FI13" i="6"/>
  <c r="AB12" i="6"/>
  <c r="BV11" i="6"/>
  <c r="GP10" i="6"/>
  <c r="DH10" i="6"/>
  <c r="Z10" i="6"/>
  <c r="EO9" i="6"/>
  <c r="BG9" i="6"/>
  <c r="GA8" i="6"/>
  <c r="CX8" i="6"/>
  <c r="Z8" i="6"/>
  <c r="EZ7" i="6"/>
  <c r="BX7" i="6"/>
  <c r="I7" i="6"/>
  <c r="FK6" i="6"/>
  <c r="DQ6" i="6"/>
  <c r="BQ6" i="6"/>
  <c r="W6" i="6"/>
  <c r="FY5" i="6"/>
  <c r="EE5" i="6"/>
  <c r="CG5" i="6"/>
  <c r="AO5" i="6"/>
  <c r="FI4" i="6"/>
  <c r="DR4" i="6"/>
  <c r="CH4" i="6"/>
  <c r="AY4" i="6"/>
  <c r="O4" i="6"/>
  <c r="GI3" i="6"/>
  <c r="FE3" i="6"/>
  <c r="EH3" i="6"/>
  <c r="DF3" i="6"/>
  <c r="CD3" i="6"/>
  <c r="BB3" i="6"/>
  <c r="AG3" i="6"/>
  <c r="E3" i="6"/>
  <c r="CQ14" i="6"/>
  <c r="EH13" i="6"/>
  <c r="FV12" i="6"/>
  <c r="BI11" i="6"/>
  <c r="GC10" i="6"/>
  <c r="CU10" i="6"/>
  <c r="M10" i="6"/>
  <c r="EG9" i="6"/>
  <c r="AT9" i="6"/>
  <c r="FN8" i="6"/>
  <c r="CL8" i="6"/>
  <c r="N8" i="6"/>
  <c r="EN7" i="6"/>
  <c r="BP7" i="6"/>
  <c r="H7" i="6"/>
  <c r="FJ6" i="6"/>
  <c r="DP6" i="6"/>
  <c r="BP6" i="6"/>
  <c r="V6" i="6"/>
  <c r="FX5" i="6"/>
  <c r="ED5" i="6"/>
  <c r="CE5" i="6"/>
  <c r="AN5" i="6"/>
  <c r="FH4" i="6"/>
  <c r="DQ4" i="6"/>
  <c r="CG4" i="6"/>
  <c r="AX4" i="6"/>
  <c r="M4" i="6"/>
  <c r="GH3" i="6"/>
  <c r="FC3" i="6"/>
  <c r="EA3" i="6"/>
  <c r="DE3" i="6"/>
  <c r="CC3" i="6"/>
  <c r="BA3" i="6"/>
  <c r="Y3" i="6"/>
  <c r="D3" i="6"/>
  <c r="CP14" i="6"/>
  <c r="EG13" i="6"/>
  <c r="FU12" i="6"/>
  <c r="BH11" i="6"/>
  <c r="GB10" i="6"/>
  <c r="CT10" i="6"/>
  <c r="L10" i="6"/>
  <c r="EA9" i="6"/>
  <c r="AS9" i="6"/>
  <c r="FM8" i="6"/>
  <c r="CK8" i="6"/>
  <c r="M8" i="6"/>
  <c r="EM7" i="6"/>
  <c r="BO7" i="6"/>
  <c r="G7" i="6"/>
  <c r="FI6" i="6"/>
  <c r="DO6" i="6"/>
  <c r="BO6" i="6"/>
  <c r="U6" i="6"/>
  <c r="FW5" i="6"/>
  <c r="EC5" i="6"/>
  <c r="CD5" i="6"/>
  <c r="AM5" i="6"/>
  <c r="FG4" i="6"/>
  <c r="DP4" i="6"/>
  <c r="AO14" i="6"/>
  <c r="EF13" i="6"/>
  <c r="FM12" i="6"/>
  <c r="GO11" i="6"/>
  <c r="BG11" i="6"/>
  <c r="GA10" i="6"/>
  <c r="CS10" i="6"/>
  <c r="K10" i="6"/>
  <c r="DZ9" i="6"/>
  <c r="AR9" i="6"/>
  <c r="FL8" i="6"/>
  <c r="CJ8" i="6"/>
  <c r="L8" i="6"/>
  <c r="EL7" i="6"/>
  <c r="BJ7" i="6"/>
  <c r="FH6" i="6"/>
  <c r="DI6" i="6"/>
  <c r="BN6" i="6"/>
  <c r="O6" i="6"/>
  <c r="FV5" i="6"/>
  <c r="DW5" i="6"/>
  <c r="CC5" i="6"/>
  <c r="AL5" i="6"/>
  <c r="FF4" i="6"/>
  <c r="DO4" i="6"/>
  <c r="CD4" i="6"/>
  <c r="AT4" i="6"/>
  <c r="K4" i="6"/>
  <c r="GE3" i="6"/>
  <c r="FA3" i="6"/>
  <c r="DY3" i="6"/>
  <c r="CW3" i="6"/>
  <c r="CA3" i="6"/>
  <c r="AY3" i="6"/>
  <c r="W3" i="6"/>
  <c r="AN14" i="6"/>
  <c r="DS12" i="6"/>
  <c r="AM11" i="6"/>
  <c r="BT10" i="6"/>
  <c r="DF9" i="6"/>
  <c r="EO8" i="6"/>
  <c r="GQ7" i="6"/>
  <c r="AR7" i="6"/>
  <c r="ET6" i="6"/>
  <c r="AZ6" i="6"/>
  <c r="FH5" i="6"/>
  <c r="BP5" i="6"/>
  <c r="GJ4" i="6"/>
  <c r="DD4" i="6"/>
  <c r="BM4" i="6"/>
  <c r="EW3" i="6"/>
  <c r="CV3" i="6"/>
  <c r="BM3" i="6"/>
  <c r="R3" i="6"/>
  <c r="AM14" i="6"/>
  <c r="DR12" i="6"/>
  <c r="AG11" i="6"/>
  <c r="BS10" i="6"/>
  <c r="DE9" i="6"/>
  <c r="EN8" i="6"/>
  <c r="GP7" i="6"/>
  <c r="AQ7" i="6"/>
  <c r="ES6" i="6"/>
  <c r="AY6" i="6"/>
  <c r="FG5" i="6"/>
  <c r="BO5" i="6"/>
  <c r="GI4" i="6"/>
  <c r="DC4" i="6"/>
  <c r="AW4" i="6"/>
  <c r="EP3" i="6"/>
  <c r="CU3" i="6"/>
  <c r="AZ3" i="6"/>
  <c r="J3" i="6"/>
  <c r="AL14" i="6"/>
  <c r="DQ12" i="6"/>
  <c r="AF11" i="6"/>
  <c r="BR10" i="6"/>
  <c r="CY9" i="6"/>
  <c r="EM8" i="6"/>
  <c r="GO7" i="6"/>
  <c r="AP7" i="6"/>
  <c r="ER6" i="6"/>
  <c r="AX6" i="6"/>
  <c r="FF5" i="6"/>
  <c r="BN5" i="6"/>
  <c r="GH4" i="6"/>
  <c r="DB4" i="6"/>
  <c r="AK4" i="6"/>
  <c r="EO3" i="6"/>
  <c r="CS3" i="6"/>
  <c r="AX3" i="6"/>
  <c r="I3" i="6"/>
  <c r="K14" i="6"/>
  <c r="DI12" i="6"/>
  <c r="AE11" i="6"/>
  <c r="BQ10" i="6"/>
  <c r="CX9" i="6"/>
  <c r="EL8" i="6"/>
  <c r="GN7" i="6"/>
  <c r="AO7" i="6"/>
  <c r="EQ6" i="6"/>
  <c r="AW6" i="6"/>
  <c r="FE5" i="6"/>
  <c r="BM5" i="6"/>
  <c r="GG4" i="6"/>
  <c r="DA4" i="6"/>
  <c r="AJ4" i="6"/>
  <c r="GG3" i="6"/>
  <c r="EN3" i="6"/>
  <c r="CR3" i="6"/>
  <c r="AW3" i="6"/>
  <c r="C3" i="6"/>
  <c r="J14" i="6"/>
  <c r="CO12" i="6"/>
  <c r="R11" i="6"/>
  <c r="BD10" i="6"/>
  <c r="CK9" i="6"/>
  <c r="DZ8" i="6"/>
  <c r="GB7" i="6"/>
  <c r="AF7" i="6"/>
  <c r="EK6" i="6"/>
  <c r="AQ6" i="6"/>
  <c r="EY5" i="6"/>
  <c r="BL5" i="6"/>
  <c r="GC4" i="6"/>
  <c r="CX4" i="6"/>
  <c r="AI4" i="6"/>
  <c r="GD3" i="6"/>
  <c r="EM3" i="6"/>
  <c r="CQ3" i="6"/>
  <c r="AV3" i="6"/>
  <c r="I14" i="6"/>
  <c r="CG12" i="6"/>
  <c r="Q11" i="6"/>
  <c r="BC10" i="6"/>
  <c r="CJ9" i="6"/>
  <c r="DY8" i="6"/>
  <c r="GA7" i="6"/>
  <c r="AD7" i="6"/>
  <c r="EI6" i="6"/>
  <c r="AO6" i="6"/>
  <c r="EW5" i="6"/>
  <c r="BK5" i="6"/>
  <c r="GA4" i="6"/>
  <c r="CW4" i="6"/>
  <c r="AF4" i="6"/>
  <c r="FV3" i="6"/>
  <c r="DZ3" i="6"/>
  <c r="CP3" i="6"/>
  <c r="AN3" i="6"/>
  <c r="CF12" i="6"/>
  <c r="P11" i="6"/>
  <c r="BB10" i="6"/>
  <c r="CI9" i="6"/>
  <c r="DX8" i="6"/>
  <c r="FZ7" i="6"/>
  <c r="AC7" i="6"/>
  <c r="EH6" i="6"/>
  <c r="AN6" i="6"/>
  <c r="EV5" i="6"/>
  <c r="BG5" i="6"/>
  <c r="FY4" i="6"/>
  <c r="CV4" i="6"/>
  <c r="AE4" i="6"/>
  <c r="FU3" i="6"/>
  <c r="DX3" i="6"/>
  <c r="CO3" i="6"/>
  <c r="AM3" i="6"/>
  <c r="DH11" i="6"/>
  <c r="FQ9" i="6"/>
  <c r="AV8" i="6"/>
  <c r="GH6" i="6"/>
  <c r="O5" i="6"/>
  <c r="BN4" i="6"/>
  <c r="EY3" i="6"/>
  <c r="BN3" i="6"/>
  <c r="CE13" i="6"/>
  <c r="FB10" i="6"/>
  <c r="S9" i="6"/>
  <c r="DS7" i="6"/>
  <c r="CU6" i="6"/>
  <c r="DI5" i="6"/>
  <c r="ES4" i="6"/>
  <c r="AD4" i="6"/>
  <c r="DW3" i="6"/>
  <c r="AL3" i="6"/>
  <c r="CD13" i="6"/>
  <c r="FA10" i="6"/>
  <c r="R9" i="6"/>
  <c r="DN7" i="6"/>
  <c r="CS6" i="6"/>
  <c r="DG5" i="6"/>
  <c r="ER4" i="6"/>
  <c r="AC4" i="6"/>
  <c r="DU3" i="6"/>
  <c r="AK3" i="6"/>
  <c r="CC13" i="6"/>
  <c r="EZ10" i="6"/>
  <c r="Q9" i="6"/>
  <c r="DM7" i="6"/>
  <c r="CR6" i="6"/>
  <c r="DF5" i="6"/>
  <c r="EQ4" i="6"/>
  <c r="L4" i="6"/>
  <c r="DT3" i="6"/>
  <c r="X3" i="6"/>
  <c r="CB13" i="6"/>
  <c r="EY10" i="6"/>
  <c r="P9" i="6"/>
  <c r="DL7" i="6"/>
  <c r="CQ6" i="6"/>
  <c r="DE5" i="6"/>
  <c r="EM4" i="6"/>
  <c r="DS3" i="6"/>
  <c r="V3" i="6"/>
  <c r="BA13" i="6"/>
  <c r="EL10" i="6"/>
  <c r="C9" i="6"/>
  <c r="CZ7" i="6"/>
  <c r="CP6" i="6"/>
  <c r="DD5" i="6"/>
  <c r="EK4" i="6"/>
  <c r="DL3" i="6"/>
  <c r="U3" i="6"/>
  <c r="AZ13" i="6"/>
  <c r="EK10" i="6"/>
  <c r="B9" i="6"/>
  <c r="CY7" i="6"/>
  <c r="CO6" i="6"/>
  <c r="DC5" i="6"/>
  <c r="EI4" i="6"/>
  <c r="DK3" i="6"/>
  <c r="T3" i="6"/>
  <c r="AY13" i="6"/>
  <c r="EJ10" i="6"/>
  <c r="CX7" i="6"/>
  <c r="CN6" i="6"/>
  <c r="DB5" i="6"/>
  <c r="EH4" i="6"/>
  <c r="DD3" i="6"/>
  <c r="S3" i="6"/>
  <c r="FG11" i="6"/>
  <c r="BO8" i="6"/>
  <c r="FT3" i="6"/>
  <c r="EY11" i="6"/>
  <c r="BJ8" i="6"/>
  <c r="FS3" i="6"/>
  <c r="EX11" i="6"/>
  <c r="BB8" i="6"/>
  <c r="Y5" i="6"/>
  <c r="FQ3" i="6"/>
  <c r="EK11" i="6"/>
  <c r="BA8" i="6"/>
  <c r="X5" i="6"/>
  <c r="FP3" i="6"/>
  <c r="DV11" i="6"/>
  <c r="GO6" i="6"/>
  <c r="W5" i="6"/>
  <c r="FB3" i="6"/>
  <c r="DI11" i="6"/>
  <c r="GM6" i="6"/>
  <c r="V5" i="6"/>
  <c r="EZ3" i="6"/>
  <c r="GN9" i="6"/>
  <c r="GL6" i="6"/>
  <c r="U5" i="6"/>
  <c r="CB3" i="6"/>
  <c r="GM9" i="6"/>
  <c r="GK6" i="6"/>
  <c r="Q5" i="6"/>
  <c r="BZ3" i="6"/>
  <c r="GI6" i="6"/>
  <c r="BO3" i="6"/>
  <c r="FY14" i="6"/>
  <c r="FX14" i="6"/>
  <c r="FW14" i="6"/>
  <c r="EH14" i="6"/>
  <c r="CE4" i="6"/>
  <c r="BT4" i="6"/>
  <c r="GL9" i="6"/>
  <c r="BS4" i="6"/>
  <c r="GK9" i="6"/>
  <c r="FX9" i="6"/>
  <c r="FW9" i="6"/>
  <c r="BQ8" i="6"/>
  <c r="BP8" i="6"/>
  <c r="GJ6" i="6"/>
  <c r="BQ4" i="6"/>
  <c r="BP4" i="6"/>
  <c r="BQ3" i="6"/>
  <c r="BP3" i="6"/>
  <c r="BO4" i="6"/>
  <c r="BS3" i="6"/>
  <c r="BF8" i="4"/>
  <c r="BZ5" i="4"/>
  <c r="FR10" i="4"/>
  <c r="CB4" i="4"/>
  <c r="BN7" i="4"/>
  <c r="BA3" i="4"/>
  <c r="DE5" i="4"/>
  <c r="CT8" i="4"/>
  <c r="CD4" i="4"/>
  <c r="BP7" i="4"/>
  <c r="BY10" i="4"/>
  <c r="CS3" i="4"/>
  <c r="CI9" i="4"/>
  <c r="CF5" i="4"/>
  <c r="DH7" i="4"/>
  <c r="DY10" i="4"/>
  <c r="FI14" i="4"/>
  <c r="DF12" i="4"/>
  <c r="BJ14" i="4"/>
  <c r="FQ14" i="4"/>
  <c r="GG13" i="4"/>
  <c r="BV11" i="4"/>
  <c r="DR11" i="4"/>
  <c r="DD14" i="4"/>
  <c r="GM13" i="4"/>
  <c r="DH13" i="4"/>
  <c r="CG13" i="4"/>
  <c r="AT4" i="3"/>
  <c r="DJ5" i="3"/>
  <c r="P7" i="3"/>
  <c r="DU8" i="3"/>
  <c r="CK10" i="3"/>
  <c r="CW12" i="3"/>
  <c r="CZ14" i="3"/>
  <c r="FR8" i="3"/>
  <c r="BO3" i="3"/>
  <c r="EL9" i="3"/>
  <c r="AC5" i="3"/>
  <c r="BV14" i="3"/>
  <c r="BV8" i="3"/>
  <c r="Q14" i="3"/>
  <c r="N3" i="3"/>
  <c r="DO12" i="3"/>
  <c r="AD7" i="3"/>
  <c r="CJ12" i="3"/>
  <c r="BY13" i="3"/>
  <c r="FF7" i="3"/>
  <c r="DE3" i="3"/>
  <c r="DU5" i="3"/>
  <c r="CH5" i="3"/>
  <c r="DQ9" i="3"/>
  <c r="CN10" i="3"/>
  <c r="FG13" i="3"/>
  <c r="CB7" i="3"/>
  <c r="DD10" i="3"/>
  <c r="CA14" i="3"/>
  <c r="FI6" i="3"/>
  <c r="GK9" i="3"/>
  <c r="FI13" i="3"/>
  <c r="CD10" i="3"/>
  <c r="BP13" i="3"/>
  <c r="AB5" i="3"/>
  <c r="GN8" i="3"/>
  <c r="AB12" i="3"/>
  <c r="FM9" i="3"/>
  <c r="EY12" i="3"/>
  <c r="HA5" i="3"/>
  <c r="GG14" i="1"/>
  <c r="FS14" i="1"/>
  <c r="FE14" i="1"/>
  <c r="EQ14" i="1"/>
  <c r="EC14" i="1"/>
  <c r="DO14" i="1"/>
  <c r="DA14" i="1"/>
  <c r="CM14" i="1"/>
  <c r="BY14" i="1"/>
  <c r="BK14" i="1"/>
  <c r="AW14" i="1"/>
  <c r="AI14" i="1"/>
  <c r="U14" i="1"/>
  <c r="G14" i="1"/>
  <c r="GH13" i="1"/>
  <c r="FT13" i="1"/>
  <c r="FF13" i="1"/>
  <c r="ER13" i="1"/>
  <c r="ED13" i="1"/>
  <c r="DP13" i="1"/>
  <c r="DB13" i="1"/>
  <c r="CN13" i="1"/>
  <c r="BZ13" i="1"/>
  <c r="BL13" i="1"/>
  <c r="AX13" i="1"/>
  <c r="AJ13" i="1"/>
  <c r="V13" i="1"/>
  <c r="H13" i="1"/>
  <c r="GH12" i="1"/>
  <c r="FT12" i="1"/>
  <c r="FF12" i="1"/>
  <c r="ER12" i="1"/>
  <c r="ED12" i="1"/>
  <c r="DP12" i="1"/>
  <c r="DB12" i="1"/>
  <c r="CN12" i="1"/>
  <c r="BZ12" i="1"/>
  <c r="BL12" i="1"/>
  <c r="AX12" i="1"/>
  <c r="AJ12" i="1"/>
  <c r="V12" i="1"/>
  <c r="H12" i="1"/>
  <c r="GH11" i="1"/>
  <c r="FT11" i="1"/>
  <c r="FF11" i="1"/>
  <c r="ER11" i="1"/>
  <c r="ED11" i="1"/>
  <c r="DP11" i="1"/>
  <c r="DB11" i="1"/>
  <c r="CN11" i="1"/>
  <c r="BZ11" i="1"/>
  <c r="BL11" i="1"/>
  <c r="AX11" i="1"/>
  <c r="AJ11" i="1"/>
  <c r="V11" i="1"/>
  <c r="H11" i="1"/>
  <c r="GH10" i="1"/>
  <c r="FT10" i="1"/>
  <c r="FF10" i="1"/>
  <c r="ER10" i="1"/>
  <c r="ED10" i="1"/>
  <c r="DP10" i="1"/>
  <c r="DB10" i="1"/>
  <c r="CN10" i="1"/>
  <c r="BZ10" i="1"/>
  <c r="BL10" i="1"/>
  <c r="AX10" i="1"/>
  <c r="AJ10" i="1"/>
  <c r="V10" i="1"/>
  <c r="H10" i="1"/>
  <c r="GH9" i="1"/>
  <c r="FT9" i="1"/>
  <c r="FF9" i="1"/>
  <c r="ER9" i="1"/>
  <c r="ED9" i="1"/>
  <c r="DP9" i="1"/>
  <c r="DB9" i="1"/>
  <c r="CN9" i="1"/>
  <c r="BZ9" i="1"/>
  <c r="BL9" i="1"/>
  <c r="AX9" i="1"/>
  <c r="AJ9" i="1"/>
  <c r="V9" i="1"/>
  <c r="H9" i="1"/>
  <c r="GH8" i="1"/>
  <c r="FT8" i="1"/>
  <c r="FF8" i="1"/>
  <c r="ER8" i="1"/>
  <c r="ED8" i="1"/>
  <c r="DP8" i="1"/>
  <c r="DB8" i="1"/>
  <c r="CN8" i="1"/>
  <c r="BZ8" i="1"/>
  <c r="BL8" i="1"/>
  <c r="AX8" i="1"/>
  <c r="AJ8" i="1"/>
  <c r="V8" i="1"/>
  <c r="H8" i="1"/>
  <c r="GH7" i="1"/>
  <c r="FT7" i="1"/>
  <c r="FF7" i="1"/>
  <c r="ER7" i="1"/>
  <c r="ED7" i="1"/>
  <c r="DP7" i="1"/>
  <c r="DB7" i="1"/>
  <c r="CN7" i="1"/>
  <c r="BZ7" i="1"/>
  <c r="BL7" i="1"/>
  <c r="AX7" i="1"/>
  <c r="AJ7" i="1"/>
  <c r="V7" i="1"/>
  <c r="H7" i="1"/>
  <c r="GH6" i="1"/>
  <c r="FT6" i="1"/>
  <c r="FF6" i="1"/>
  <c r="ER6" i="1"/>
  <c r="ED6" i="1"/>
  <c r="DP6" i="1"/>
  <c r="DB6" i="1"/>
  <c r="CN6" i="1"/>
  <c r="BZ6" i="1"/>
  <c r="BL6" i="1"/>
  <c r="AX6" i="1"/>
  <c r="AJ6" i="1"/>
  <c r="V6" i="1"/>
  <c r="H6" i="1"/>
  <c r="GH5" i="1"/>
  <c r="FT5" i="1"/>
  <c r="FF5" i="1"/>
  <c r="ER5" i="1"/>
  <c r="ED5" i="1"/>
  <c r="DP5" i="1"/>
  <c r="DB5" i="1"/>
  <c r="CN5" i="1"/>
  <c r="BZ5" i="1"/>
  <c r="BL5" i="1"/>
  <c r="AX5" i="1"/>
  <c r="AJ5" i="1"/>
  <c r="V5" i="1"/>
  <c r="H5" i="1"/>
  <c r="GH4" i="1"/>
  <c r="FT4" i="1"/>
  <c r="FF4" i="1"/>
  <c r="ER4" i="1"/>
  <c r="ED4" i="1"/>
  <c r="DP4" i="1"/>
  <c r="DB4" i="1"/>
  <c r="CN4" i="1"/>
  <c r="BZ4" i="1"/>
  <c r="BL4" i="1"/>
  <c r="AX4" i="1"/>
  <c r="AJ4" i="1"/>
  <c r="V4" i="1"/>
  <c r="H4" i="1"/>
  <c r="GH3" i="1"/>
  <c r="FT3" i="1"/>
  <c r="GF14" i="1"/>
  <c r="FR14" i="1"/>
  <c r="FD14" i="1"/>
  <c r="EP14" i="1"/>
  <c r="EB14" i="1"/>
  <c r="DN14" i="1"/>
  <c r="CZ14" i="1"/>
  <c r="CL14" i="1"/>
  <c r="BX14" i="1"/>
  <c r="BJ14" i="1"/>
  <c r="AV14" i="1"/>
  <c r="AH14" i="1"/>
  <c r="T14" i="1"/>
  <c r="F14" i="1"/>
  <c r="GG13" i="1"/>
  <c r="FS13" i="1"/>
  <c r="FE13" i="1"/>
  <c r="EQ13" i="1"/>
  <c r="EC13" i="1"/>
  <c r="DO13" i="1"/>
  <c r="DA13" i="1"/>
  <c r="CM13" i="1"/>
  <c r="BY13" i="1"/>
  <c r="BK13" i="1"/>
  <c r="AW13" i="1"/>
  <c r="AI13" i="1"/>
  <c r="U13" i="1"/>
  <c r="G13" i="1"/>
  <c r="GG12" i="1"/>
  <c r="FS12" i="1"/>
  <c r="FE12" i="1"/>
  <c r="EQ12" i="1"/>
  <c r="EC12" i="1"/>
  <c r="DO12" i="1"/>
  <c r="DA12" i="1"/>
  <c r="CM12" i="1"/>
  <c r="BY12" i="1"/>
  <c r="BK12" i="1"/>
  <c r="AW12" i="1"/>
  <c r="AI12" i="1"/>
  <c r="U12" i="1"/>
  <c r="G12" i="1"/>
  <c r="GG11" i="1"/>
  <c r="FS11" i="1"/>
  <c r="FE11" i="1"/>
  <c r="EQ11" i="1"/>
  <c r="EC11" i="1"/>
  <c r="DO11" i="1"/>
  <c r="DA11" i="1"/>
  <c r="CM11" i="1"/>
  <c r="BY11" i="1"/>
  <c r="BK11" i="1"/>
  <c r="AW11" i="1"/>
  <c r="AI11" i="1"/>
  <c r="U11" i="1"/>
  <c r="G11" i="1"/>
  <c r="GG10" i="1"/>
  <c r="FS10" i="1"/>
  <c r="FE10" i="1"/>
  <c r="EQ10" i="1"/>
  <c r="EC10" i="1"/>
  <c r="DO10" i="1"/>
  <c r="DA10" i="1"/>
  <c r="CM10" i="1"/>
  <c r="BY10" i="1"/>
  <c r="BK10" i="1"/>
  <c r="AW10" i="1"/>
  <c r="AI10" i="1"/>
  <c r="U10" i="1"/>
  <c r="G10" i="1"/>
  <c r="GG9" i="1"/>
  <c r="FS9" i="1"/>
  <c r="FE9" i="1"/>
  <c r="EQ9" i="1"/>
  <c r="EC9" i="1"/>
  <c r="DO9" i="1"/>
  <c r="DA9" i="1"/>
  <c r="CM9" i="1"/>
  <c r="BY9" i="1"/>
  <c r="BK9" i="1"/>
  <c r="AW9" i="1"/>
  <c r="AI9" i="1"/>
  <c r="U9" i="1"/>
  <c r="G9" i="1"/>
  <c r="GG8" i="1"/>
  <c r="FS8" i="1"/>
  <c r="FE8" i="1"/>
  <c r="EQ8" i="1"/>
  <c r="EC8" i="1"/>
  <c r="DO8" i="1"/>
  <c r="DA8" i="1"/>
  <c r="CM8" i="1"/>
  <c r="BY8" i="1"/>
  <c r="BK8" i="1"/>
  <c r="AW8" i="1"/>
  <c r="AI8" i="1"/>
  <c r="U8" i="1"/>
  <c r="G8" i="1"/>
  <c r="GG7" i="1"/>
  <c r="FS7" i="1"/>
  <c r="FE7" i="1"/>
  <c r="EQ7" i="1"/>
  <c r="EC7" i="1"/>
  <c r="DO7" i="1"/>
  <c r="DA7" i="1"/>
  <c r="CM7" i="1"/>
  <c r="BY7" i="1"/>
  <c r="BK7" i="1"/>
  <c r="AW7" i="1"/>
  <c r="AI7" i="1"/>
  <c r="U7" i="1"/>
  <c r="G7" i="1"/>
  <c r="GG6" i="1"/>
  <c r="FS6" i="1"/>
  <c r="FE6" i="1"/>
  <c r="EQ6" i="1"/>
  <c r="EC6" i="1"/>
  <c r="DO6" i="1"/>
  <c r="DA6" i="1"/>
  <c r="CM6" i="1"/>
  <c r="BY6" i="1"/>
  <c r="BK6" i="1"/>
  <c r="AW6" i="1"/>
  <c r="AI6" i="1"/>
  <c r="U6" i="1"/>
  <c r="G6" i="1"/>
  <c r="GG5" i="1"/>
  <c r="FS5" i="1"/>
  <c r="FE5" i="1"/>
  <c r="EQ5" i="1"/>
  <c r="EC5" i="1"/>
  <c r="DO5" i="1"/>
  <c r="DA5" i="1"/>
  <c r="CM5" i="1"/>
  <c r="BY5" i="1"/>
  <c r="BK5" i="1"/>
  <c r="AW5" i="1"/>
  <c r="AI5" i="1"/>
  <c r="U5" i="1"/>
  <c r="G5" i="1"/>
  <c r="GG4" i="1"/>
  <c r="FS4" i="1"/>
  <c r="FE4" i="1"/>
  <c r="EQ4" i="1"/>
  <c r="EC4" i="1"/>
  <c r="DO4" i="1"/>
  <c r="DA4" i="1"/>
  <c r="CM4" i="1"/>
  <c r="BY4" i="1"/>
  <c r="BK4" i="1"/>
  <c r="AW4" i="1"/>
  <c r="AI4" i="1"/>
  <c r="U4" i="1"/>
  <c r="G4" i="1"/>
  <c r="GG3" i="1"/>
  <c r="FS3" i="1"/>
  <c r="GE14" i="1"/>
  <c r="FQ14" i="1"/>
  <c r="FC14" i="1"/>
  <c r="EO14" i="1"/>
  <c r="EA14" i="1"/>
  <c r="DM14" i="1"/>
  <c r="CY14" i="1"/>
  <c r="CK14" i="1"/>
  <c r="BW14" i="1"/>
  <c r="BI14" i="1"/>
  <c r="AU14" i="1"/>
  <c r="AG14" i="1"/>
  <c r="S14" i="1"/>
  <c r="E14" i="1"/>
  <c r="GF13" i="1"/>
  <c r="FR13" i="1"/>
  <c r="FD13" i="1"/>
  <c r="EP13" i="1"/>
  <c r="EB13" i="1"/>
  <c r="DN13" i="1"/>
  <c r="CZ13" i="1"/>
  <c r="CL13" i="1"/>
  <c r="BX13" i="1"/>
  <c r="BJ13" i="1"/>
  <c r="AV13" i="1"/>
  <c r="AH13" i="1"/>
  <c r="T13" i="1"/>
  <c r="F13" i="1"/>
  <c r="GF12" i="1"/>
  <c r="FR12" i="1"/>
  <c r="FD12" i="1"/>
  <c r="EP12" i="1"/>
  <c r="EB12" i="1"/>
  <c r="DN12" i="1"/>
  <c r="CZ12" i="1"/>
  <c r="CL12" i="1"/>
  <c r="BX12" i="1"/>
  <c r="BJ12" i="1"/>
  <c r="AV12" i="1"/>
  <c r="AH12" i="1"/>
  <c r="T12" i="1"/>
  <c r="F12" i="1"/>
  <c r="GF11" i="1"/>
  <c r="FR11" i="1"/>
  <c r="FD11" i="1"/>
  <c r="EP11" i="1"/>
  <c r="EB11" i="1"/>
  <c r="DN11" i="1"/>
  <c r="CZ11" i="1"/>
  <c r="CL11" i="1"/>
  <c r="BX11" i="1"/>
  <c r="BJ11" i="1"/>
  <c r="AV11" i="1"/>
  <c r="AH11" i="1"/>
  <c r="T11" i="1"/>
  <c r="F11" i="1"/>
  <c r="GF10" i="1"/>
  <c r="FR10" i="1"/>
  <c r="FD10" i="1"/>
  <c r="EP10" i="1"/>
  <c r="EB10" i="1"/>
  <c r="DN10" i="1"/>
  <c r="CZ10" i="1"/>
  <c r="CL10" i="1"/>
  <c r="BX10" i="1"/>
  <c r="BJ10" i="1"/>
  <c r="AV10" i="1"/>
  <c r="AH10" i="1"/>
  <c r="T10" i="1"/>
  <c r="F10" i="1"/>
  <c r="GF9" i="1"/>
  <c r="FR9" i="1"/>
  <c r="FD9" i="1"/>
  <c r="EP9" i="1"/>
  <c r="EB9" i="1"/>
  <c r="DN9" i="1"/>
  <c r="CZ9" i="1"/>
  <c r="CL9" i="1"/>
  <c r="BX9" i="1"/>
  <c r="BJ9" i="1"/>
  <c r="AV9" i="1"/>
  <c r="AH9" i="1"/>
  <c r="T9" i="1"/>
  <c r="F9" i="1"/>
  <c r="GF8" i="1"/>
  <c r="FR8" i="1"/>
  <c r="FD8" i="1"/>
  <c r="EP8" i="1"/>
  <c r="EB8" i="1"/>
  <c r="DN8" i="1"/>
  <c r="CZ8" i="1"/>
  <c r="CL8" i="1"/>
  <c r="BX8" i="1"/>
  <c r="BJ8" i="1"/>
  <c r="AV8" i="1"/>
  <c r="AH8" i="1"/>
  <c r="T8" i="1"/>
  <c r="F8" i="1"/>
  <c r="GF7" i="1"/>
  <c r="FR7" i="1"/>
  <c r="FD7" i="1"/>
  <c r="EP7" i="1"/>
  <c r="EB7" i="1"/>
  <c r="DN7" i="1"/>
  <c r="CZ7" i="1"/>
  <c r="CL7" i="1"/>
  <c r="BX7" i="1"/>
  <c r="BJ7" i="1"/>
  <c r="AV7" i="1"/>
  <c r="AH7" i="1"/>
  <c r="T7" i="1"/>
  <c r="F7" i="1"/>
  <c r="GF6" i="1"/>
  <c r="FR6" i="1"/>
  <c r="FD6" i="1"/>
  <c r="EP6" i="1"/>
  <c r="EB6" i="1"/>
  <c r="DN6" i="1"/>
  <c r="CZ6" i="1"/>
  <c r="CL6" i="1"/>
  <c r="BX6" i="1"/>
  <c r="BJ6" i="1"/>
  <c r="AV6" i="1"/>
  <c r="AH6" i="1"/>
  <c r="T6" i="1"/>
  <c r="F6" i="1"/>
  <c r="GF5" i="1"/>
  <c r="FR5" i="1"/>
  <c r="FD5" i="1"/>
  <c r="GD14" i="1"/>
  <c r="FP14" i="1"/>
  <c r="FB14" i="1"/>
  <c r="EN14" i="1"/>
  <c r="DZ14" i="1"/>
  <c r="DL14" i="1"/>
  <c r="CX14" i="1"/>
  <c r="CJ14" i="1"/>
  <c r="BV14" i="1"/>
  <c r="BH14" i="1"/>
  <c r="AT14" i="1"/>
  <c r="AF14" i="1"/>
  <c r="R14" i="1"/>
  <c r="D14" i="1"/>
  <c r="GE13" i="1"/>
  <c r="FQ13" i="1"/>
  <c r="FC13" i="1"/>
  <c r="EO13" i="1"/>
  <c r="EA13" i="1"/>
  <c r="DM13" i="1"/>
  <c r="CY13" i="1"/>
  <c r="CK13" i="1"/>
  <c r="BW13" i="1"/>
  <c r="BI13" i="1"/>
  <c r="AU13" i="1"/>
  <c r="AG13" i="1"/>
  <c r="S13" i="1"/>
  <c r="E13" i="1"/>
  <c r="GE12" i="1"/>
  <c r="FQ12" i="1"/>
  <c r="FC12" i="1"/>
  <c r="EO12" i="1"/>
  <c r="EA12" i="1"/>
  <c r="DM12" i="1"/>
  <c r="CY12" i="1"/>
  <c r="CK12" i="1"/>
  <c r="BW12" i="1"/>
  <c r="BI12" i="1"/>
  <c r="AU12" i="1"/>
  <c r="AG12" i="1"/>
  <c r="S12" i="1"/>
  <c r="E12" i="1"/>
  <c r="GE11" i="1"/>
  <c r="FQ11" i="1"/>
  <c r="FC11" i="1"/>
  <c r="EO11" i="1"/>
  <c r="EA11" i="1"/>
  <c r="DM11" i="1"/>
  <c r="CY11" i="1"/>
  <c r="CK11" i="1"/>
  <c r="BW11" i="1"/>
  <c r="BI11" i="1"/>
  <c r="AU11" i="1"/>
  <c r="AG11" i="1"/>
  <c r="S11" i="1"/>
  <c r="E11" i="1"/>
  <c r="GE10" i="1"/>
  <c r="FQ10" i="1"/>
  <c r="FC10" i="1"/>
  <c r="EO10" i="1"/>
  <c r="EA10" i="1"/>
  <c r="DM10" i="1"/>
  <c r="CY10" i="1"/>
  <c r="CK10" i="1"/>
  <c r="BW10" i="1"/>
  <c r="BI10" i="1"/>
  <c r="AU10" i="1"/>
  <c r="AG10" i="1"/>
  <c r="S10" i="1"/>
  <c r="E10" i="1"/>
  <c r="GE9" i="1"/>
  <c r="FQ9" i="1"/>
  <c r="FC9" i="1"/>
  <c r="EO9" i="1"/>
  <c r="EA9" i="1"/>
  <c r="DM9" i="1"/>
  <c r="CY9" i="1"/>
  <c r="CK9" i="1"/>
  <c r="BW9" i="1"/>
  <c r="BI9" i="1"/>
  <c r="AU9" i="1"/>
  <c r="AG9" i="1"/>
  <c r="S9" i="1"/>
  <c r="E9" i="1"/>
  <c r="GE8" i="1"/>
  <c r="FQ8" i="1"/>
  <c r="FC8" i="1"/>
  <c r="EO8" i="1"/>
  <c r="EA8" i="1"/>
  <c r="DM8" i="1"/>
  <c r="CY8" i="1"/>
  <c r="CK8" i="1"/>
  <c r="BW8" i="1"/>
  <c r="BI8" i="1"/>
  <c r="AU8" i="1"/>
  <c r="AG8" i="1"/>
  <c r="S8" i="1"/>
  <c r="E8" i="1"/>
  <c r="GE7" i="1"/>
  <c r="FQ7" i="1"/>
  <c r="FC7" i="1"/>
  <c r="EO7" i="1"/>
  <c r="EA7" i="1"/>
  <c r="DM7" i="1"/>
  <c r="CY7" i="1"/>
  <c r="CK7" i="1"/>
  <c r="BW7" i="1"/>
  <c r="BI7" i="1"/>
  <c r="AU7" i="1"/>
  <c r="AG7" i="1"/>
  <c r="S7" i="1"/>
  <c r="E7" i="1"/>
  <c r="GE6" i="1"/>
  <c r="FQ6" i="1"/>
  <c r="FC6" i="1"/>
  <c r="EO6" i="1"/>
  <c r="EA6" i="1"/>
  <c r="DM6" i="1"/>
  <c r="CY6" i="1"/>
  <c r="CK6" i="1"/>
  <c r="BW6" i="1"/>
  <c r="BI6" i="1"/>
  <c r="AU6" i="1"/>
  <c r="AG6" i="1"/>
  <c r="S6" i="1"/>
  <c r="E6" i="1"/>
  <c r="GE5" i="1"/>
  <c r="FQ5" i="1"/>
  <c r="FC5" i="1"/>
  <c r="EO5" i="1"/>
  <c r="EA5" i="1"/>
  <c r="DM5" i="1"/>
  <c r="CY5" i="1"/>
  <c r="CK5" i="1"/>
  <c r="BW5" i="1"/>
  <c r="BI5" i="1"/>
  <c r="AU5" i="1"/>
  <c r="AG5" i="1"/>
  <c r="S5" i="1"/>
  <c r="E5" i="1"/>
  <c r="GE4" i="1"/>
  <c r="FQ4" i="1"/>
  <c r="FC4" i="1"/>
  <c r="EO4" i="1"/>
  <c r="EA4" i="1"/>
  <c r="DM4" i="1"/>
  <c r="CY4" i="1"/>
  <c r="CK4" i="1"/>
  <c r="BW4" i="1"/>
  <c r="BI4" i="1"/>
  <c r="AU4" i="1"/>
  <c r="AG4" i="1"/>
  <c r="S4" i="1"/>
  <c r="E4" i="1"/>
  <c r="GE3" i="1"/>
  <c r="FQ3" i="1"/>
  <c r="FC3" i="1"/>
  <c r="GQ14" i="1"/>
  <c r="GC14" i="1"/>
  <c r="FO14" i="1"/>
  <c r="FA14" i="1"/>
  <c r="EM14" i="1"/>
  <c r="DY14" i="1"/>
  <c r="DK14" i="1"/>
  <c r="CW14" i="1"/>
  <c r="CI14" i="1"/>
  <c r="BU14" i="1"/>
  <c r="BG14" i="1"/>
  <c r="AS14" i="1"/>
  <c r="AE14" i="1"/>
  <c r="Q14" i="1"/>
  <c r="C14" i="1"/>
  <c r="GD13" i="1"/>
  <c r="FP13" i="1"/>
  <c r="FB13" i="1"/>
  <c r="EN13" i="1"/>
  <c r="DZ13" i="1"/>
  <c r="DL13" i="1"/>
  <c r="CX13" i="1"/>
  <c r="CJ13" i="1"/>
  <c r="BV13" i="1"/>
  <c r="BH13" i="1"/>
  <c r="AT13" i="1"/>
  <c r="AF13" i="1"/>
  <c r="R13" i="1"/>
  <c r="D13" i="1"/>
  <c r="GD12" i="1"/>
  <c r="FP12" i="1"/>
  <c r="FB12" i="1"/>
  <c r="EN12" i="1"/>
  <c r="DZ12" i="1"/>
  <c r="DL12" i="1"/>
  <c r="CX12" i="1"/>
  <c r="CJ12" i="1"/>
  <c r="BV12" i="1"/>
  <c r="BH12" i="1"/>
  <c r="AT12" i="1"/>
  <c r="AF12" i="1"/>
  <c r="R12" i="1"/>
  <c r="D12" i="1"/>
  <c r="GD11" i="1"/>
  <c r="FP11" i="1"/>
  <c r="FB11" i="1"/>
  <c r="EN11" i="1"/>
  <c r="DZ11" i="1"/>
  <c r="DL11" i="1"/>
  <c r="CX11" i="1"/>
  <c r="CJ11" i="1"/>
  <c r="BV11" i="1"/>
  <c r="BH11" i="1"/>
  <c r="AT11" i="1"/>
  <c r="AF11" i="1"/>
  <c r="R11" i="1"/>
  <c r="D11" i="1"/>
  <c r="GD10" i="1"/>
  <c r="FP10" i="1"/>
  <c r="FB10" i="1"/>
  <c r="EN10" i="1"/>
  <c r="DZ10" i="1"/>
  <c r="DL10" i="1"/>
  <c r="CX10" i="1"/>
  <c r="CJ10" i="1"/>
  <c r="BV10" i="1"/>
  <c r="BH10" i="1"/>
  <c r="AT10" i="1"/>
  <c r="AF10" i="1"/>
  <c r="R10" i="1"/>
  <c r="D10" i="1"/>
  <c r="GD9" i="1"/>
  <c r="FP9" i="1"/>
  <c r="FB9" i="1"/>
  <c r="EN9" i="1"/>
  <c r="DZ9" i="1"/>
  <c r="DL9" i="1"/>
  <c r="CX9" i="1"/>
  <c r="CJ9" i="1"/>
  <c r="BV9" i="1"/>
  <c r="BH9" i="1"/>
  <c r="AT9" i="1"/>
  <c r="AF9" i="1"/>
  <c r="R9" i="1"/>
  <c r="D9" i="1"/>
  <c r="GD8" i="1"/>
  <c r="FP8" i="1"/>
  <c r="FB8" i="1"/>
  <c r="EN8" i="1"/>
  <c r="DZ8" i="1"/>
  <c r="DL8" i="1"/>
  <c r="CX8" i="1"/>
  <c r="CJ8" i="1"/>
  <c r="BV8" i="1"/>
  <c r="BH8" i="1"/>
  <c r="AT8" i="1"/>
  <c r="AF8" i="1"/>
  <c r="R8" i="1"/>
  <c r="D8" i="1"/>
  <c r="GD7" i="1"/>
  <c r="FP7" i="1"/>
  <c r="FB7" i="1"/>
  <c r="EN7" i="1"/>
  <c r="DZ7" i="1"/>
  <c r="DL7" i="1"/>
  <c r="CX7" i="1"/>
  <c r="CJ7" i="1"/>
  <c r="BV7" i="1"/>
  <c r="BH7" i="1"/>
  <c r="AT7" i="1"/>
  <c r="AF7" i="1"/>
  <c r="R7" i="1"/>
  <c r="D7" i="1"/>
  <c r="GD6" i="1"/>
  <c r="FP6" i="1"/>
  <c r="FB6" i="1"/>
  <c r="EN6" i="1"/>
  <c r="DZ6" i="1"/>
  <c r="DL6" i="1"/>
  <c r="CX6" i="1"/>
  <c r="CJ6" i="1"/>
  <c r="BV6" i="1"/>
  <c r="BH6" i="1"/>
  <c r="AT6" i="1"/>
  <c r="AF6" i="1"/>
  <c r="R6" i="1"/>
  <c r="D6" i="1"/>
  <c r="GD5" i="1"/>
  <c r="FP5" i="1"/>
  <c r="FB5" i="1"/>
  <c r="EN5" i="1"/>
  <c r="DZ5" i="1"/>
  <c r="DL5" i="1"/>
  <c r="CX5" i="1"/>
  <c r="CJ5" i="1"/>
  <c r="BV5" i="1"/>
  <c r="BH5" i="1"/>
  <c r="AT5" i="1"/>
  <c r="AF5" i="1"/>
  <c r="R5" i="1"/>
  <c r="D5" i="1"/>
  <c r="GD4" i="1"/>
  <c r="FP4" i="1"/>
  <c r="FB4" i="1"/>
  <c r="EN4" i="1"/>
  <c r="DZ4" i="1"/>
  <c r="GP14" i="1"/>
  <c r="GB14" i="1"/>
  <c r="FN14" i="1"/>
  <c r="EZ14" i="1"/>
  <c r="EL14" i="1"/>
  <c r="DX14" i="1"/>
  <c r="DJ14" i="1"/>
  <c r="CV14" i="1"/>
  <c r="CH14" i="1"/>
  <c r="BT14" i="1"/>
  <c r="BF14" i="1"/>
  <c r="AR14" i="1"/>
  <c r="AD14" i="1"/>
  <c r="P14" i="1"/>
  <c r="B14" i="1"/>
  <c r="GQ13" i="1"/>
  <c r="GC13" i="1"/>
  <c r="FO13" i="1"/>
  <c r="FA13" i="1"/>
  <c r="EM13" i="1"/>
  <c r="DY13" i="1"/>
  <c r="DK13" i="1"/>
  <c r="CW13" i="1"/>
  <c r="CI13" i="1"/>
  <c r="BU13" i="1"/>
  <c r="BG13" i="1"/>
  <c r="AS13" i="1"/>
  <c r="AE13" i="1"/>
  <c r="Q13" i="1"/>
  <c r="C13" i="1"/>
  <c r="GQ12" i="1"/>
  <c r="GC12" i="1"/>
  <c r="FO12" i="1"/>
  <c r="FA12" i="1"/>
  <c r="EM12" i="1"/>
  <c r="DY12" i="1"/>
  <c r="DK12" i="1"/>
  <c r="CW12" i="1"/>
  <c r="CI12" i="1"/>
  <c r="BU12" i="1"/>
  <c r="BG12" i="1"/>
  <c r="AS12" i="1"/>
  <c r="AE12" i="1"/>
  <c r="Q12" i="1"/>
  <c r="C12" i="1"/>
  <c r="GQ11" i="1"/>
  <c r="GC11" i="1"/>
  <c r="FO11" i="1"/>
  <c r="FA11" i="1"/>
  <c r="EM11" i="1"/>
  <c r="DY11" i="1"/>
  <c r="DK11" i="1"/>
  <c r="CW11" i="1"/>
  <c r="CI11" i="1"/>
  <c r="BU11" i="1"/>
  <c r="BG11" i="1"/>
  <c r="AS11" i="1"/>
  <c r="AE11" i="1"/>
  <c r="Q11" i="1"/>
  <c r="C11" i="1"/>
  <c r="GQ10" i="1"/>
  <c r="GC10" i="1"/>
  <c r="FO10" i="1"/>
  <c r="FA10" i="1"/>
  <c r="EM10" i="1"/>
  <c r="DY10" i="1"/>
  <c r="DK10" i="1"/>
  <c r="CW10" i="1"/>
  <c r="CI10" i="1"/>
  <c r="BU10" i="1"/>
  <c r="BG10" i="1"/>
  <c r="AS10" i="1"/>
  <c r="AE10" i="1"/>
  <c r="Q10" i="1"/>
  <c r="C10" i="1"/>
  <c r="GQ9" i="1"/>
  <c r="GC9" i="1"/>
  <c r="FO9" i="1"/>
  <c r="FA9" i="1"/>
  <c r="EM9" i="1"/>
  <c r="DY9" i="1"/>
  <c r="DK9" i="1"/>
  <c r="CW9" i="1"/>
  <c r="CI9" i="1"/>
  <c r="BU9" i="1"/>
  <c r="BG9" i="1"/>
  <c r="AS9" i="1"/>
  <c r="AE9" i="1"/>
  <c r="Q9" i="1"/>
  <c r="C9" i="1"/>
  <c r="GQ8" i="1"/>
  <c r="GC8" i="1"/>
  <c r="FO8" i="1"/>
  <c r="FA8" i="1"/>
  <c r="EM8" i="1"/>
  <c r="DY8" i="1"/>
  <c r="DK8" i="1"/>
  <c r="CW8" i="1"/>
  <c r="CI8" i="1"/>
  <c r="BU8" i="1"/>
  <c r="BG8" i="1"/>
  <c r="AS8" i="1"/>
  <c r="AE8" i="1"/>
  <c r="Q8" i="1"/>
  <c r="C8" i="1"/>
  <c r="GQ7" i="1"/>
  <c r="GC7" i="1"/>
  <c r="FO7" i="1"/>
  <c r="FA7" i="1"/>
  <c r="EM7" i="1"/>
  <c r="DY7" i="1"/>
  <c r="DK7" i="1"/>
  <c r="CW7" i="1"/>
  <c r="CI7" i="1"/>
  <c r="BU7" i="1"/>
  <c r="BG7" i="1"/>
  <c r="AS7" i="1"/>
  <c r="AE7" i="1"/>
  <c r="Q7" i="1"/>
  <c r="C7" i="1"/>
  <c r="GQ6" i="1"/>
  <c r="GC6" i="1"/>
  <c r="FO6" i="1"/>
  <c r="FA6" i="1"/>
  <c r="EM6" i="1"/>
  <c r="DY6" i="1"/>
  <c r="DK6" i="1"/>
  <c r="CW6" i="1"/>
  <c r="CI6" i="1"/>
  <c r="BU6" i="1"/>
  <c r="BG6" i="1"/>
  <c r="AS6" i="1"/>
  <c r="AE6" i="1"/>
  <c r="Q6" i="1"/>
  <c r="C6" i="1"/>
  <c r="GQ5" i="1"/>
  <c r="GC5" i="1"/>
  <c r="FO5" i="1"/>
  <c r="FA5" i="1"/>
  <c r="EM5" i="1"/>
  <c r="DY5" i="1"/>
  <c r="DK5" i="1"/>
  <c r="CW5" i="1"/>
  <c r="GO14" i="1"/>
  <c r="GA14" i="1"/>
  <c r="FM14" i="1"/>
  <c r="EY14" i="1"/>
  <c r="EK14" i="1"/>
  <c r="DW14" i="1"/>
  <c r="DI14" i="1"/>
  <c r="CU14" i="1"/>
  <c r="CG14" i="1"/>
  <c r="BS14" i="1"/>
  <c r="BE14" i="1"/>
  <c r="AQ14" i="1"/>
  <c r="AC14" i="1"/>
  <c r="O14" i="1"/>
  <c r="GP13" i="1"/>
  <c r="GB13" i="1"/>
  <c r="FN13" i="1"/>
  <c r="EZ13" i="1"/>
  <c r="EL13" i="1"/>
  <c r="DX13" i="1"/>
  <c r="DJ13" i="1"/>
  <c r="CV13" i="1"/>
  <c r="CH13" i="1"/>
  <c r="BT13" i="1"/>
  <c r="BF13" i="1"/>
  <c r="AR13" i="1"/>
  <c r="AD13" i="1"/>
  <c r="P13" i="1"/>
  <c r="B13" i="1"/>
  <c r="GP12" i="1"/>
  <c r="GB12" i="1"/>
  <c r="FN12" i="1"/>
  <c r="EZ12" i="1"/>
  <c r="EL12" i="1"/>
  <c r="DX12" i="1"/>
  <c r="DJ12" i="1"/>
  <c r="CV12" i="1"/>
  <c r="CH12" i="1"/>
  <c r="BT12" i="1"/>
  <c r="BF12" i="1"/>
  <c r="AR12" i="1"/>
  <c r="AD12" i="1"/>
  <c r="P12" i="1"/>
  <c r="B12" i="1"/>
  <c r="GP11" i="1"/>
  <c r="GB11" i="1"/>
  <c r="FN11" i="1"/>
  <c r="EZ11" i="1"/>
  <c r="EL11" i="1"/>
  <c r="DX11" i="1"/>
  <c r="DJ11" i="1"/>
  <c r="CV11" i="1"/>
  <c r="CH11" i="1"/>
  <c r="BT11" i="1"/>
  <c r="BF11" i="1"/>
  <c r="AR11" i="1"/>
  <c r="AD11" i="1"/>
  <c r="P11" i="1"/>
  <c r="B11" i="1"/>
  <c r="GP10" i="1"/>
  <c r="GB10" i="1"/>
  <c r="FN10" i="1"/>
  <c r="EZ10" i="1"/>
  <c r="EL10" i="1"/>
  <c r="DX10" i="1"/>
  <c r="DJ10" i="1"/>
  <c r="CV10" i="1"/>
  <c r="CH10" i="1"/>
  <c r="BT10" i="1"/>
  <c r="BF10" i="1"/>
  <c r="AR10" i="1"/>
  <c r="AD10" i="1"/>
  <c r="P10" i="1"/>
  <c r="B10" i="1"/>
  <c r="GP9" i="1"/>
  <c r="GB9" i="1"/>
  <c r="FN9" i="1"/>
  <c r="EZ9" i="1"/>
  <c r="EL9" i="1"/>
  <c r="DX9" i="1"/>
  <c r="DJ9" i="1"/>
  <c r="CV9" i="1"/>
  <c r="CH9" i="1"/>
  <c r="BT9" i="1"/>
  <c r="BF9" i="1"/>
  <c r="AR9" i="1"/>
  <c r="AD9" i="1"/>
  <c r="P9" i="1"/>
  <c r="B9" i="1"/>
  <c r="GP8" i="1"/>
  <c r="GB8" i="1"/>
  <c r="FN8" i="1"/>
  <c r="EZ8" i="1"/>
  <c r="EL8" i="1"/>
  <c r="DX8" i="1"/>
  <c r="DJ8" i="1"/>
  <c r="CV8" i="1"/>
  <c r="CH8" i="1"/>
  <c r="BT8" i="1"/>
  <c r="GN14" i="1"/>
  <c r="FZ14" i="1"/>
  <c r="FL14" i="1"/>
  <c r="EX14" i="1"/>
  <c r="EJ14" i="1"/>
  <c r="DV14" i="1"/>
  <c r="DH14" i="1"/>
  <c r="CT14" i="1"/>
  <c r="CF14" i="1"/>
  <c r="BR14" i="1"/>
  <c r="BD14" i="1"/>
  <c r="AP14" i="1"/>
  <c r="AB14" i="1"/>
  <c r="N14" i="1"/>
  <c r="GO13" i="1"/>
  <c r="GA13" i="1"/>
  <c r="FM13" i="1"/>
  <c r="EY13" i="1"/>
  <c r="EK13" i="1"/>
  <c r="DW13" i="1"/>
  <c r="DI13" i="1"/>
  <c r="CU13" i="1"/>
  <c r="CG13" i="1"/>
  <c r="BS13" i="1"/>
  <c r="BE13" i="1"/>
  <c r="AQ13" i="1"/>
  <c r="AC13" i="1"/>
  <c r="O13" i="1"/>
  <c r="GO12" i="1"/>
  <c r="GA12" i="1"/>
  <c r="FM12" i="1"/>
  <c r="EY12" i="1"/>
  <c r="EK12" i="1"/>
  <c r="DW12" i="1"/>
  <c r="DI12" i="1"/>
  <c r="CU12" i="1"/>
  <c r="CG12" i="1"/>
  <c r="BS12" i="1"/>
  <c r="BE12" i="1"/>
  <c r="AQ12" i="1"/>
  <c r="AC12" i="1"/>
  <c r="O12" i="1"/>
  <c r="GO11" i="1"/>
  <c r="GA11" i="1"/>
  <c r="FM11" i="1"/>
  <c r="EY11" i="1"/>
  <c r="EK11" i="1"/>
  <c r="DW11" i="1"/>
  <c r="DI11" i="1"/>
  <c r="CU11" i="1"/>
  <c r="CG11" i="1"/>
  <c r="BS11" i="1"/>
  <c r="BE11" i="1"/>
  <c r="AQ11" i="1"/>
  <c r="AC11" i="1"/>
  <c r="O11" i="1"/>
  <c r="GO10" i="1"/>
  <c r="GA10" i="1"/>
  <c r="FM10" i="1"/>
  <c r="EY10" i="1"/>
  <c r="EK10" i="1"/>
  <c r="DW10" i="1"/>
  <c r="DI10" i="1"/>
  <c r="CU10" i="1"/>
  <c r="CG10" i="1"/>
  <c r="BS10" i="1"/>
  <c r="BE10" i="1"/>
  <c r="AQ10" i="1"/>
  <c r="AC10" i="1"/>
  <c r="O10" i="1"/>
  <c r="GO9" i="1"/>
  <c r="GA9" i="1"/>
  <c r="FM9" i="1"/>
  <c r="EY9" i="1"/>
  <c r="EK9" i="1"/>
  <c r="DW9" i="1"/>
  <c r="DI9" i="1"/>
  <c r="CU9" i="1"/>
  <c r="CG9" i="1"/>
  <c r="BS9" i="1"/>
  <c r="BE9" i="1"/>
  <c r="AQ9" i="1"/>
  <c r="AC9" i="1"/>
  <c r="O9" i="1"/>
  <c r="GO8" i="1"/>
  <c r="GA8" i="1"/>
  <c r="FM8" i="1"/>
  <c r="EY8" i="1"/>
  <c r="EK8" i="1"/>
  <c r="DW8" i="1"/>
  <c r="DI8" i="1"/>
  <c r="CU8" i="1"/>
  <c r="CG8" i="1"/>
  <c r="BS8" i="1"/>
  <c r="BE8" i="1"/>
  <c r="AQ8" i="1"/>
  <c r="AC8" i="1"/>
  <c r="O8" i="1"/>
  <c r="GO7" i="1"/>
  <c r="GA7" i="1"/>
  <c r="FM7" i="1"/>
  <c r="EY7" i="1"/>
  <c r="EK7" i="1"/>
  <c r="DW7" i="1"/>
  <c r="DI7" i="1"/>
  <c r="CU7" i="1"/>
  <c r="CG7" i="1"/>
  <c r="BS7" i="1"/>
  <c r="BE7" i="1"/>
  <c r="AQ7" i="1"/>
  <c r="AC7" i="1"/>
  <c r="O7" i="1"/>
  <c r="GO6" i="1"/>
  <c r="GA6" i="1"/>
  <c r="FM6" i="1"/>
  <c r="EY6" i="1"/>
  <c r="EK6" i="1"/>
  <c r="GM14" i="1"/>
  <c r="FY14" i="1"/>
  <c r="FK14" i="1"/>
  <c r="EW14" i="1"/>
  <c r="EI14" i="1"/>
  <c r="DU14" i="1"/>
  <c r="DG14" i="1"/>
  <c r="CS14" i="1"/>
  <c r="GI14" i="1"/>
  <c r="ET14" i="1"/>
  <c r="DE14" i="1"/>
  <c r="BZ14" i="1"/>
  <c r="AN14" i="1"/>
  <c r="J14" i="1"/>
  <c r="GJ13" i="1"/>
  <c r="EX13" i="1"/>
  <c r="DT13" i="1"/>
  <c r="CP13" i="1"/>
  <c r="BD13" i="1"/>
  <c r="Z13" i="1"/>
  <c r="FL12" i="1"/>
  <c r="EH12" i="1"/>
  <c r="DD12" i="1"/>
  <c r="BR12" i="1"/>
  <c r="AN12" i="1"/>
  <c r="J12" i="1"/>
  <c r="FZ11" i="1"/>
  <c r="EV11" i="1"/>
  <c r="DR11" i="1"/>
  <c r="CF11" i="1"/>
  <c r="BB11" i="1"/>
  <c r="X11" i="1"/>
  <c r="GN10" i="1"/>
  <c r="FJ10" i="1"/>
  <c r="EF10" i="1"/>
  <c r="CT10" i="1"/>
  <c r="BP10" i="1"/>
  <c r="AL10" i="1"/>
  <c r="FX9" i="1"/>
  <c r="ET9" i="1"/>
  <c r="DH9" i="1"/>
  <c r="CD9" i="1"/>
  <c r="AZ9" i="1"/>
  <c r="N9" i="1"/>
  <c r="GL8" i="1"/>
  <c r="FH8" i="1"/>
  <c r="DV8" i="1"/>
  <c r="CR8" i="1"/>
  <c r="BN8" i="1"/>
  <c r="AL8" i="1"/>
  <c r="J8" i="1"/>
  <c r="GJ7" i="1"/>
  <c r="FH7" i="1"/>
  <c r="EF7" i="1"/>
  <c r="DD7" i="1"/>
  <c r="CB7" i="1"/>
  <c r="AZ7" i="1"/>
  <c r="X7" i="1"/>
  <c r="FV6" i="1"/>
  <c r="ET6" i="1"/>
  <c r="DS6" i="1"/>
  <c r="CS6" i="1"/>
  <c r="BS6" i="1"/>
  <c r="AY6" i="1"/>
  <c r="Y6" i="1"/>
  <c r="GA5" i="1"/>
  <c r="FG5" i="1"/>
  <c r="EH5" i="1"/>
  <c r="DJ5" i="1"/>
  <c r="CQ5" i="1"/>
  <c r="BU5" i="1"/>
  <c r="BC5" i="1"/>
  <c r="AK5" i="1"/>
  <c r="O5" i="1"/>
  <c r="GC4" i="1"/>
  <c r="FK4" i="1"/>
  <c r="ES4" i="1"/>
  <c r="DW4" i="1"/>
  <c r="DF4" i="1"/>
  <c r="CO4" i="1"/>
  <c r="BU4" i="1"/>
  <c r="BD4" i="1"/>
  <c r="AM4" i="1"/>
  <c r="T4" i="1"/>
  <c r="B4" i="1"/>
  <c r="GM3" i="1"/>
  <c r="FV3" i="1"/>
  <c r="FE3" i="1"/>
  <c r="EP3" i="1"/>
  <c r="EB3" i="1"/>
  <c r="DN3" i="1"/>
  <c r="CZ3" i="1"/>
  <c r="CL3" i="1"/>
  <c r="BX3" i="1"/>
  <c r="BJ3" i="1"/>
  <c r="AV3" i="1"/>
  <c r="AH3" i="1"/>
  <c r="T3" i="1"/>
  <c r="F3" i="1"/>
  <c r="FN3" i="1"/>
  <c r="CG3" i="1"/>
  <c r="EL7" i="1"/>
  <c r="AM3" i="1"/>
  <c r="DV11" i="1"/>
  <c r="CF7" i="1"/>
  <c r="CB4" i="1"/>
  <c r="FI13" i="1"/>
  <c r="GK11" i="1"/>
  <c r="GI9" i="1"/>
  <c r="M8" i="1"/>
  <c r="CV6" i="1"/>
  <c r="GJ4" i="1"/>
  <c r="GH14" i="1"/>
  <c r="ES14" i="1"/>
  <c r="DD14" i="1"/>
  <c r="BQ14" i="1"/>
  <c r="AM14" i="1"/>
  <c r="I14" i="1"/>
  <c r="GI13" i="1"/>
  <c r="EW13" i="1"/>
  <c r="DS13" i="1"/>
  <c r="CO13" i="1"/>
  <c r="BC13" i="1"/>
  <c r="Y13" i="1"/>
  <c r="FK12" i="1"/>
  <c r="EG12" i="1"/>
  <c r="DC12" i="1"/>
  <c r="BQ12" i="1"/>
  <c r="AM12" i="1"/>
  <c r="I12" i="1"/>
  <c r="FY11" i="1"/>
  <c r="EU11" i="1"/>
  <c r="DQ11" i="1"/>
  <c r="CE11" i="1"/>
  <c r="BA11" i="1"/>
  <c r="W11" i="1"/>
  <c r="GM10" i="1"/>
  <c r="FI10" i="1"/>
  <c r="EE10" i="1"/>
  <c r="CS10" i="1"/>
  <c r="BO10" i="1"/>
  <c r="AK10" i="1"/>
  <c r="FW9" i="1"/>
  <c r="ES9" i="1"/>
  <c r="DG9" i="1"/>
  <c r="CC9" i="1"/>
  <c r="AY9" i="1"/>
  <c r="M9" i="1"/>
  <c r="GK8" i="1"/>
  <c r="FG8" i="1"/>
  <c r="DU8" i="1"/>
  <c r="CQ8" i="1"/>
  <c r="BM8" i="1"/>
  <c r="AK8" i="1"/>
  <c r="I8" i="1"/>
  <c r="GI7" i="1"/>
  <c r="FG7" i="1"/>
  <c r="EE7" i="1"/>
  <c r="DC7" i="1"/>
  <c r="CA7" i="1"/>
  <c r="AY7" i="1"/>
  <c r="W7" i="1"/>
  <c r="FU6" i="1"/>
  <c r="ES6" i="1"/>
  <c r="DR6" i="1"/>
  <c r="CR6" i="1"/>
  <c r="BR6" i="1"/>
  <c r="AR6" i="1"/>
  <c r="X6" i="1"/>
  <c r="FZ5" i="1"/>
  <c r="EZ5" i="1"/>
  <c r="EG5" i="1"/>
  <c r="DI5" i="1"/>
  <c r="CP5" i="1"/>
  <c r="BT5" i="1"/>
  <c r="BB5" i="1"/>
  <c r="AH5" i="1"/>
  <c r="N5" i="1"/>
  <c r="GB4" i="1"/>
  <c r="FJ4" i="1"/>
  <c r="EP4" i="1"/>
  <c r="DV4" i="1"/>
  <c r="DE4" i="1"/>
  <c r="CL4" i="1"/>
  <c r="BT4" i="1"/>
  <c r="BC4" i="1"/>
  <c r="AL4" i="1"/>
  <c r="R4" i="1"/>
  <c r="GL3" i="1"/>
  <c r="FU3" i="1"/>
  <c r="FD3" i="1"/>
  <c r="EO3" i="1"/>
  <c r="EA3" i="1"/>
  <c r="DM3" i="1"/>
  <c r="CY3" i="1"/>
  <c r="CK3" i="1"/>
  <c r="BW3" i="1"/>
  <c r="BI3" i="1"/>
  <c r="AU3" i="1"/>
  <c r="AG3" i="1"/>
  <c r="S3" i="1"/>
  <c r="E3" i="1"/>
  <c r="EY3" i="1"/>
  <c r="BE3" i="1"/>
  <c r="ES10" i="1"/>
  <c r="J6" i="1"/>
  <c r="DS3" i="1"/>
  <c r="FJ13" i="1"/>
  <c r="FH11" i="1"/>
  <c r="CP9" i="1"/>
  <c r="DH7" i="1"/>
  <c r="EL5" i="1"/>
  <c r="BH4" i="1"/>
  <c r="AZ3" i="1"/>
  <c r="AK13" i="1"/>
  <c r="FU10" i="1"/>
  <c r="T5" i="1"/>
  <c r="FX14" i="1"/>
  <c r="ER14" i="1"/>
  <c r="DC14" i="1"/>
  <c r="BP14" i="1"/>
  <c r="AL14" i="1"/>
  <c r="H14" i="1"/>
  <c r="FZ13" i="1"/>
  <c r="EV13" i="1"/>
  <c r="DR13" i="1"/>
  <c r="CF13" i="1"/>
  <c r="BB13" i="1"/>
  <c r="X13" i="1"/>
  <c r="GN12" i="1"/>
  <c r="FJ12" i="1"/>
  <c r="EF12" i="1"/>
  <c r="CT12" i="1"/>
  <c r="BP12" i="1"/>
  <c r="AL12" i="1"/>
  <c r="FX11" i="1"/>
  <c r="ET11" i="1"/>
  <c r="DH11" i="1"/>
  <c r="CD11" i="1"/>
  <c r="AZ11" i="1"/>
  <c r="N11" i="1"/>
  <c r="GL10" i="1"/>
  <c r="FH10" i="1"/>
  <c r="DV10" i="1"/>
  <c r="CR10" i="1"/>
  <c r="BN10" i="1"/>
  <c r="AB10" i="1"/>
  <c r="FV9" i="1"/>
  <c r="EJ9" i="1"/>
  <c r="DF9" i="1"/>
  <c r="CB9" i="1"/>
  <c r="AP9" i="1"/>
  <c r="L9" i="1"/>
  <c r="GJ8" i="1"/>
  <c r="EX8" i="1"/>
  <c r="DT8" i="1"/>
  <c r="CP8" i="1"/>
  <c r="BF8" i="1"/>
  <c r="AD8" i="1"/>
  <c r="B8" i="1"/>
  <c r="GB7" i="1"/>
  <c r="EZ7" i="1"/>
  <c r="DX7" i="1"/>
  <c r="CV7" i="1"/>
  <c r="BT7" i="1"/>
  <c r="AR7" i="1"/>
  <c r="P7" i="1"/>
  <c r="GP6" i="1"/>
  <c r="FN6" i="1"/>
  <c r="EL6" i="1"/>
  <c r="DQ6" i="1"/>
  <c r="CQ6" i="1"/>
  <c r="BQ6" i="1"/>
  <c r="AQ6" i="1"/>
  <c r="W6" i="1"/>
  <c r="FY5" i="1"/>
  <c r="EY5" i="1"/>
  <c r="EF5" i="1"/>
  <c r="DH5" i="1"/>
  <c r="CO5" i="1"/>
  <c r="BS5" i="1"/>
  <c r="BA5" i="1"/>
  <c r="AE5" i="1"/>
  <c r="M5" i="1"/>
  <c r="GA4" i="1"/>
  <c r="FI4" i="1"/>
  <c r="EM4" i="1"/>
  <c r="DU4" i="1"/>
  <c r="DD4" i="1"/>
  <c r="CJ4" i="1"/>
  <c r="BS4" i="1"/>
  <c r="BB4" i="1"/>
  <c r="AK4" i="1"/>
  <c r="Q4" i="1"/>
  <c r="GK3" i="1"/>
  <c r="FR3" i="1"/>
  <c r="FB3" i="1"/>
  <c r="EN3" i="1"/>
  <c r="DZ3" i="1"/>
  <c r="DL3" i="1"/>
  <c r="CX3" i="1"/>
  <c r="CJ3" i="1"/>
  <c r="BV3" i="1"/>
  <c r="BH3" i="1"/>
  <c r="AT3" i="1"/>
  <c r="AF3" i="1"/>
  <c r="R3" i="1"/>
  <c r="D3" i="1"/>
  <c r="FO3" i="1"/>
  <c r="DJ3" i="1"/>
  <c r="BT3" i="1"/>
  <c r="AD3" i="1"/>
  <c r="FV5" i="1"/>
  <c r="FD4" i="1"/>
  <c r="BP4" i="1"/>
  <c r="DI3" i="1"/>
  <c r="AC3" i="1"/>
  <c r="AK11" i="1"/>
  <c r="EZ6" i="1"/>
  <c r="GA3" i="1"/>
  <c r="FG14" i="1"/>
  <c r="AL13" i="1"/>
  <c r="AB11" i="1"/>
  <c r="Z9" i="1"/>
  <c r="AB7" i="1"/>
  <c r="DS5" i="1"/>
  <c r="CS4" i="1"/>
  <c r="CB3" i="1"/>
  <c r="Y9" i="1"/>
  <c r="BC7" i="1"/>
  <c r="FJ5" i="1"/>
  <c r="DI4" i="1"/>
  <c r="FW14" i="1"/>
  <c r="EH14" i="1"/>
  <c r="DB14" i="1"/>
  <c r="BO14" i="1"/>
  <c r="AK14" i="1"/>
  <c r="FY13" i="1"/>
  <c r="EU13" i="1"/>
  <c r="DQ13" i="1"/>
  <c r="CE13" i="1"/>
  <c r="BA13" i="1"/>
  <c r="W13" i="1"/>
  <c r="GM12" i="1"/>
  <c r="FI12" i="1"/>
  <c r="EE12" i="1"/>
  <c r="CS12" i="1"/>
  <c r="BO12" i="1"/>
  <c r="AK12" i="1"/>
  <c r="FW11" i="1"/>
  <c r="ES11" i="1"/>
  <c r="DG11" i="1"/>
  <c r="CC11" i="1"/>
  <c r="AY11" i="1"/>
  <c r="M11" i="1"/>
  <c r="GK10" i="1"/>
  <c r="FG10" i="1"/>
  <c r="DU10" i="1"/>
  <c r="CQ10" i="1"/>
  <c r="BM10" i="1"/>
  <c r="AA10" i="1"/>
  <c r="FU9" i="1"/>
  <c r="EI9" i="1"/>
  <c r="DE9" i="1"/>
  <c r="CA9" i="1"/>
  <c r="AO9" i="1"/>
  <c r="K9" i="1"/>
  <c r="GI8" i="1"/>
  <c r="EW8" i="1"/>
  <c r="DS8" i="1"/>
  <c r="CO8" i="1"/>
  <c r="BD8" i="1"/>
  <c r="AB8" i="1"/>
  <c r="FZ7" i="1"/>
  <c r="EX7" i="1"/>
  <c r="DV7" i="1"/>
  <c r="CT7" i="1"/>
  <c r="BR7" i="1"/>
  <c r="AP7" i="1"/>
  <c r="N7" i="1"/>
  <c r="GN6" i="1"/>
  <c r="FL6" i="1"/>
  <c r="EJ6" i="1"/>
  <c r="DJ6" i="1"/>
  <c r="CP6" i="1"/>
  <c r="BP6" i="1"/>
  <c r="AP6" i="1"/>
  <c r="P6" i="1"/>
  <c r="FX5" i="1"/>
  <c r="EX5" i="1"/>
  <c r="EE5" i="1"/>
  <c r="DG5" i="1"/>
  <c r="CL5" i="1"/>
  <c r="BR5" i="1"/>
  <c r="AZ5" i="1"/>
  <c r="AD5" i="1"/>
  <c r="L5" i="1"/>
  <c r="FZ4" i="1"/>
  <c r="FH4" i="1"/>
  <c r="EL4" i="1"/>
  <c r="DT4" i="1"/>
  <c r="DC4" i="1"/>
  <c r="CI4" i="1"/>
  <c r="BR4" i="1"/>
  <c r="BA4" i="1"/>
  <c r="AH4" i="1"/>
  <c r="P4" i="1"/>
  <c r="GJ3" i="1"/>
  <c r="FP3" i="1"/>
  <c r="FA3" i="1"/>
  <c r="EM3" i="1"/>
  <c r="DY3" i="1"/>
  <c r="DK3" i="1"/>
  <c r="CW3" i="1"/>
  <c r="CI3" i="1"/>
  <c r="BU3" i="1"/>
  <c r="BG3" i="1"/>
  <c r="AS3" i="1"/>
  <c r="AE3" i="1"/>
  <c r="Q3" i="1"/>
  <c r="C3" i="1"/>
  <c r="GI3" i="1"/>
  <c r="DX3" i="1"/>
  <c r="CH3" i="1"/>
  <c r="AR3" i="1"/>
  <c r="B3" i="1"/>
  <c r="DX5" i="1"/>
  <c r="GP4" i="1"/>
  <c r="CX4" i="1"/>
  <c r="AE4" i="1"/>
  <c r="EK3" i="1"/>
  <c r="BS3" i="1"/>
  <c r="CS11" i="1"/>
  <c r="GB6" i="1"/>
  <c r="AA4" i="1"/>
  <c r="CD14" i="1"/>
  <c r="DH12" i="1"/>
  <c r="DF10" i="1"/>
  <c r="BR8" i="1"/>
  <c r="DW6" i="1"/>
  <c r="W5" i="1"/>
  <c r="ET3" i="1"/>
  <c r="AY14" i="1"/>
  <c r="ES12" i="1"/>
  <c r="DE10" i="1"/>
  <c r="EG8" i="1"/>
  <c r="EW6" i="1"/>
  <c r="BF5" i="1"/>
  <c r="FV14" i="1"/>
  <c r="EG14" i="1"/>
  <c r="CR14" i="1"/>
  <c r="BN14" i="1"/>
  <c r="AJ14" i="1"/>
  <c r="FX13" i="1"/>
  <c r="ET13" i="1"/>
  <c r="DH13" i="1"/>
  <c r="CD13" i="1"/>
  <c r="AZ13" i="1"/>
  <c r="N13" i="1"/>
  <c r="GL12" i="1"/>
  <c r="FH12" i="1"/>
  <c r="DV12" i="1"/>
  <c r="CR12" i="1"/>
  <c r="BN12" i="1"/>
  <c r="AB12" i="1"/>
  <c r="FV11" i="1"/>
  <c r="EJ11" i="1"/>
  <c r="DF11" i="1"/>
  <c r="CB11" i="1"/>
  <c r="AP11" i="1"/>
  <c r="L11" i="1"/>
  <c r="GJ10" i="1"/>
  <c r="EX10" i="1"/>
  <c r="DT10" i="1"/>
  <c r="CP10" i="1"/>
  <c r="BD10" i="1"/>
  <c r="Z10" i="1"/>
  <c r="FL9" i="1"/>
  <c r="EH9" i="1"/>
  <c r="DD9" i="1"/>
  <c r="BR9" i="1"/>
  <c r="AN9" i="1"/>
  <c r="J9" i="1"/>
  <c r="FZ8" i="1"/>
  <c r="EV8" i="1"/>
  <c r="DR8" i="1"/>
  <c r="CF8" i="1"/>
  <c r="BC8" i="1"/>
  <c r="AA8" i="1"/>
  <c r="FY7" i="1"/>
  <c r="EW7" i="1"/>
  <c r="DU7" i="1"/>
  <c r="CS7" i="1"/>
  <c r="BQ7" i="1"/>
  <c r="AO7" i="1"/>
  <c r="M7" i="1"/>
  <c r="GM6" i="1"/>
  <c r="FK6" i="1"/>
  <c r="EI6" i="1"/>
  <c r="DI6" i="1"/>
  <c r="CO6" i="1"/>
  <c r="BO6" i="1"/>
  <c r="AO6" i="1"/>
  <c r="O6" i="1"/>
  <c r="FW5" i="1"/>
  <c r="EW5" i="1"/>
  <c r="EB5" i="1"/>
  <c r="DF5" i="1"/>
  <c r="CI5" i="1"/>
  <c r="BQ5" i="1"/>
  <c r="AY5" i="1"/>
  <c r="AC5" i="1"/>
  <c r="K5" i="1"/>
  <c r="GQ4" i="1"/>
  <c r="FY4" i="1"/>
  <c r="FG4" i="1"/>
  <c r="EK4" i="1"/>
  <c r="DS4" i="1"/>
  <c r="CZ4" i="1"/>
  <c r="CH4" i="1"/>
  <c r="BQ4" i="1"/>
  <c r="AZ4" i="1"/>
  <c r="AF4" i="1"/>
  <c r="O4" i="1"/>
  <c r="EZ3" i="1"/>
  <c r="EL3" i="1"/>
  <c r="CV3" i="1"/>
  <c r="BF3" i="1"/>
  <c r="P3" i="1"/>
  <c r="EV5" i="1"/>
  <c r="FX4" i="1"/>
  <c r="CG4" i="1"/>
  <c r="N4" i="1"/>
  <c r="DW3" i="1"/>
  <c r="AQ3" i="1"/>
  <c r="CD6" i="1"/>
  <c r="EU3" i="1"/>
  <c r="GN13" i="1"/>
  <c r="GL11" i="1"/>
  <c r="EX9" i="1"/>
  <c r="FL7" i="1"/>
  <c r="I6" i="1"/>
  <c r="EE4" i="1"/>
  <c r="DD3" i="1"/>
  <c r="M14" i="1"/>
  <c r="DG12" i="1"/>
  <c r="EI10" i="1"/>
  <c r="FK8" i="1"/>
  <c r="FY6" i="1"/>
  <c r="CT5" i="1"/>
  <c r="AP4" i="1"/>
  <c r="FU14" i="1"/>
  <c r="EF14" i="1"/>
  <c r="CQ14" i="1"/>
  <c r="BM14" i="1"/>
  <c r="AA14" i="1"/>
  <c r="FW13" i="1"/>
  <c r="ES13" i="1"/>
  <c r="DG13" i="1"/>
  <c r="CC13" i="1"/>
  <c r="AY13" i="1"/>
  <c r="M13" i="1"/>
  <c r="GK12" i="1"/>
  <c r="FG12" i="1"/>
  <c r="DU12" i="1"/>
  <c r="CQ12" i="1"/>
  <c r="BM12" i="1"/>
  <c r="AA12" i="1"/>
  <c r="FU11" i="1"/>
  <c r="EI11" i="1"/>
  <c r="DE11" i="1"/>
  <c r="CA11" i="1"/>
  <c r="AO11" i="1"/>
  <c r="K11" i="1"/>
  <c r="GI10" i="1"/>
  <c r="EW10" i="1"/>
  <c r="DS10" i="1"/>
  <c r="CO10" i="1"/>
  <c r="BC10" i="1"/>
  <c r="Y10" i="1"/>
  <c r="FK9" i="1"/>
  <c r="EG9" i="1"/>
  <c r="DC9" i="1"/>
  <c r="BQ9" i="1"/>
  <c r="AM9" i="1"/>
  <c r="I9" i="1"/>
  <c r="FY8" i="1"/>
  <c r="EU8" i="1"/>
  <c r="DQ8" i="1"/>
  <c r="CE8" i="1"/>
  <c r="BB8" i="1"/>
  <c r="Z8" i="1"/>
  <c r="FX7" i="1"/>
  <c r="EV7" i="1"/>
  <c r="DT7" i="1"/>
  <c r="CR7" i="1"/>
  <c r="BP7" i="1"/>
  <c r="AN7" i="1"/>
  <c r="L7" i="1"/>
  <c r="GL6" i="1"/>
  <c r="FJ6" i="1"/>
  <c r="EH6" i="1"/>
  <c r="DH6" i="1"/>
  <c r="CH6" i="1"/>
  <c r="BN6" i="1"/>
  <c r="AN6" i="1"/>
  <c r="N6" i="1"/>
  <c r="GP5" i="1"/>
  <c r="DE5" i="1"/>
  <c r="CH5" i="1"/>
  <c r="BP5" i="1"/>
  <c r="AV5" i="1"/>
  <c r="AB5" i="1"/>
  <c r="J5" i="1"/>
  <c r="EJ4" i="1"/>
  <c r="DR4" i="1"/>
  <c r="AY4" i="1"/>
  <c r="GF3" i="1"/>
  <c r="CU3" i="1"/>
  <c r="O3" i="1"/>
  <c r="W12" i="1"/>
  <c r="BM9" i="1"/>
  <c r="AR8" i="1"/>
  <c r="CH7" i="1"/>
  <c r="DX6" i="1"/>
  <c r="GL5" i="1"/>
  <c r="CD5" i="1"/>
  <c r="B5" i="1"/>
  <c r="EF4" i="1"/>
  <c r="J4" i="1"/>
  <c r="DE3" i="1"/>
  <c r="Y3" i="1"/>
  <c r="V14" i="1"/>
  <c r="ET12" i="1"/>
  <c r="BN11" i="1"/>
  <c r="GJ9" i="1"/>
  <c r="FL8" i="1"/>
  <c r="N8" i="1"/>
  <c r="CC6" i="1"/>
  <c r="FK5" i="1"/>
  <c r="AO5" i="1"/>
  <c r="EW4" i="1"/>
  <c r="I4" i="1"/>
  <c r="BN3" i="1"/>
  <c r="GM7" i="1"/>
  <c r="CB5" i="1"/>
  <c r="F4" i="1"/>
  <c r="FT14" i="1"/>
  <c r="EE14" i="1"/>
  <c r="CP14" i="1"/>
  <c r="BL14" i="1"/>
  <c r="Z14" i="1"/>
  <c r="FV13" i="1"/>
  <c r="EJ13" i="1"/>
  <c r="DF13" i="1"/>
  <c r="CB13" i="1"/>
  <c r="AP13" i="1"/>
  <c r="L13" i="1"/>
  <c r="GJ12" i="1"/>
  <c r="EX12" i="1"/>
  <c r="DT12" i="1"/>
  <c r="CP12" i="1"/>
  <c r="BD12" i="1"/>
  <c r="Z12" i="1"/>
  <c r="FL11" i="1"/>
  <c r="EH11" i="1"/>
  <c r="DD11" i="1"/>
  <c r="BR11" i="1"/>
  <c r="AN11" i="1"/>
  <c r="J11" i="1"/>
  <c r="FZ10" i="1"/>
  <c r="EV10" i="1"/>
  <c r="DR10" i="1"/>
  <c r="CF10" i="1"/>
  <c r="BB10" i="1"/>
  <c r="X10" i="1"/>
  <c r="GN9" i="1"/>
  <c r="FJ9" i="1"/>
  <c r="EF9" i="1"/>
  <c r="CT9" i="1"/>
  <c r="BP9" i="1"/>
  <c r="AL9" i="1"/>
  <c r="FX8" i="1"/>
  <c r="ET8" i="1"/>
  <c r="DH8" i="1"/>
  <c r="CD8" i="1"/>
  <c r="BA8" i="1"/>
  <c r="Y8" i="1"/>
  <c r="FW7" i="1"/>
  <c r="EU7" i="1"/>
  <c r="DS7" i="1"/>
  <c r="CQ7" i="1"/>
  <c r="BO7" i="1"/>
  <c r="AM7" i="1"/>
  <c r="K7" i="1"/>
  <c r="GK6" i="1"/>
  <c r="FI6" i="1"/>
  <c r="EG6" i="1"/>
  <c r="DG6" i="1"/>
  <c r="CG6" i="1"/>
  <c r="BM6" i="1"/>
  <c r="AM6" i="1"/>
  <c r="M6" i="1"/>
  <c r="GO5" i="1"/>
  <c r="FU5" i="1"/>
  <c r="EU5" i="1"/>
  <c r="DW5" i="1"/>
  <c r="DD5" i="1"/>
  <c r="CG5" i="1"/>
  <c r="BO5" i="1"/>
  <c r="AS5" i="1"/>
  <c r="AA5" i="1"/>
  <c r="I5" i="1"/>
  <c r="GO4" i="1"/>
  <c r="FW4" i="1"/>
  <c r="FA4" i="1"/>
  <c r="EI4" i="1"/>
  <c r="DQ4" i="1"/>
  <c r="CW4" i="1"/>
  <c r="CF4" i="1"/>
  <c r="BO4" i="1"/>
  <c r="AV4" i="1"/>
  <c r="AD4" i="1"/>
  <c r="M4" i="1"/>
  <c r="GD3" i="1"/>
  <c r="FM3" i="1"/>
  <c r="EX3" i="1"/>
  <c r="EJ3" i="1"/>
  <c r="DV3" i="1"/>
  <c r="DH3" i="1"/>
  <c r="CT3" i="1"/>
  <c r="CF3" i="1"/>
  <c r="BR3" i="1"/>
  <c r="BD3" i="1"/>
  <c r="AP3" i="1"/>
  <c r="AB3" i="1"/>
  <c r="N3" i="1"/>
  <c r="BQ3" i="1"/>
  <c r="AO3" i="1"/>
  <c r="M3" i="1"/>
  <c r="EH3" i="1"/>
  <c r="DF3" i="1"/>
  <c r="BP3" i="1"/>
  <c r="Z3" i="1"/>
  <c r="DS14" i="1"/>
  <c r="BA14" i="1"/>
  <c r="BQ13" i="1"/>
  <c r="FY12" i="1"/>
  <c r="BA12" i="1"/>
  <c r="FI11" i="1"/>
  <c r="FW10" i="1"/>
  <c r="AY10" i="1"/>
  <c r="GK9" i="1"/>
  <c r="CQ9" i="1"/>
  <c r="FU8" i="1"/>
  <c r="DE8" i="1"/>
  <c r="GP7" i="1"/>
  <c r="DJ7" i="1"/>
  <c r="B7" i="1"/>
  <c r="AD6" i="1"/>
  <c r="EP5" i="1"/>
  <c r="BJ5" i="1"/>
  <c r="GL4" i="1"/>
  <c r="DK4" i="1"/>
  <c r="CC4" i="1"/>
  <c r="CC3" i="1"/>
  <c r="K3" i="1"/>
  <c r="DR14" i="1"/>
  <c r="EF13" i="1"/>
  <c r="FX12" i="1"/>
  <c r="AZ12" i="1"/>
  <c r="CR11" i="1"/>
  <c r="EJ10" i="1"/>
  <c r="AP10" i="1"/>
  <c r="BD9" i="1"/>
  <c r="DD8" i="1"/>
  <c r="GN7" i="1"/>
  <c r="FZ6" i="1"/>
  <c r="BC6" i="1"/>
  <c r="CC5" i="1"/>
  <c r="FO4" i="1"/>
  <c r="AQ4" i="1"/>
  <c r="FZ3" i="1"/>
  <c r="DR3" i="1"/>
  <c r="AL3" i="1"/>
  <c r="GL14" i="1"/>
  <c r="FF14" i="1"/>
  <c r="DQ14" i="1"/>
  <c r="CC14" i="1"/>
  <c r="GM13" i="1"/>
  <c r="EE13" i="1"/>
  <c r="FW12" i="1"/>
  <c r="CC12" i="1"/>
  <c r="FG11" i="1"/>
  <c r="BM11" i="1"/>
  <c r="K10" i="1"/>
  <c r="CO9" i="1"/>
  <c r="BQ8" i="1"/>
  <c r="EI7" i="1"/>
  <c r="AA7" i="1"/>
  <c r="BB6" i="1"/>
  <c r="B6" i="1"/>
  <c r="DR5" i="1"/>
  <c r="EB4" i="1"/>
  <c r="CA4" i="1"/>
  <c r="GP3" i="1"/>
  <c r="FJ14" i="1"/>
  <c r="ED14" i="1"/>
  <c r="CO14" i="1"/>
  <c r="BC14" i="1"/>
  <c r="Y14" i="1"/>
  <c r="FU13" i="1"/>
  <c r="EI13" i="1"/>
  <c r="DE13" i="1"/>
  <c r="CA13" i="1"/>
  <c r="AO13" i="1"/>
  <c r="K13" i="1"/>
  <c r="GI12" i="1"/>
  <c r="EW12" i="1"/>
  <c r="DS12" i="1"/>
  <c r="CO12" i="1"/>
  <c r="BC12" i="1"/>
  <c r="Y12" i="1"/>
  <c r="FK11" i="1"/>
  <c r="EG11" i="1"/>
  <c r="DC11" i="1"/>
  <c r="BQ11" i="1"/>
  <c r="AM11" i="1"/>
  <c r="I11" i="1"/>
  <c r="FY10" i="1"/>
  <c r="EU10" i="1"/>
  <c r="DQ10" i="1"/>
  <c r="CE10" i="1"/>
  <c r="BA10" i="1"/>
  <c r="W10" i="1"/>
  <c r="GM9" i="1"/>
  <c r="FI9" i="1"/>
  <c r="EE9" i="1"/>
  <c r="CS9" i="1"/>
  <c r="BO9" i="1"/>
  <c r="AK9" i="1"/>
  <c r="FW8" i="1"/>
  <c r="ES8" i="1"/>
  <c r="DG8" i="1"/>
  <c r="CC8" i="1"/>
  <c r="AZ8" i="1"/>
  <c r="X8" i="1"/>
  <c r="FV7" i="1"/>
  <c r="ET7" i="1"/>
  <c r="DR7" i="1"/>
  <c r="CP7" i="1"/>
  <c r="BN7" i="1"/>
  <c r="AL7" i="1"/>
  <c r="J7" i="1"/>
  <c r="GJ6" i="1"/>
  <c r="FH6" i="1"/>
  <c r="EF6" i="1"/>
  <c r="DF6" i="1"/>
  <c r="CF6" i="1"/>
  <c r="BF6" i="1"/>
  <c r="AL6" i="1"/>
  <c r="L6" i="1"/>
  <c r="GN5" i="1"/>
  <c r="FN5" i="1"/>
  <c r="ET5" i="1"/>
  <c r="DV5" i="1"/>
  <c r="DC5" i="1"/>
  <c r="CF5" i="1"/>
  <c r="BN5" i="1"/>
  <c r="AR5" i="1"/>
  <c r="Z5" i="1"/>
  <c r="F5" i="1"/>
  <c r="GN4" i="1"/>
  <c r="FV4" i="1"/>
  <c r="EZ4" i="1"/>
  <c r="EH4" i="1"/>
  <c r="DN4" i="1"/>
  <c r="CV4" i="1"/>
  <c r="CE4" i="1"/>
  <c r="BN4" i="1"/>
  <c r="AT4" i="1"/>
  <c r="AC4" i="1"/>
  <c r="L4" i="1"/>
  <c r="GC3" i="1"/>
  <c r="FL3" i="1"/>
  <c r="EW3" i="1"/>
  <c r="EI3" i="1"/>
  <c r="DU3" i="1"/>
  <c r="DG3" i="1"/>
  <c r="CS3" i="1"/>
  <c r="CE3" i="1"/>
  <c r="BC3" i="1"/>
  <c r="AA3" i="1"/>
  <c r="EV3" i="1"/>
  <c r="CR3" i="1"/>
  <c r="BB3" i="1"/>
  <c r="L3" i="1"/>
  <c r="CE14" i="1"/>
  <c r="FK13" i="1"/>
  <c r="DC13" i="1"/>
  <c r="I13" i="1"/>
  <c r="DQ12" i="1"/>
  <c r="GM11" i="1"/>
  <c r="BO11" i="1"/>
  <c r="CC10" i="1"/>
  <c r="FG9" i="1"/>
  <c r="P8" i="1"/>
  <c r="BF7" i="1"/>
  <c r="DD6" i="1"/>
  <c r="FL5" i="1"/>
  <c r="CV5" i="1"/>
  <c r="X5" i="1"/>
  <c r="EX4" i="1"/>
  <c r="BJ4" i="1"/>
  <c r="FJ3" i="1"/>
  <c r="CQ3" i="1"/>
  <c r="BA3" i="1"/>
  <c r="BP13" i="1"/>
  <c r="N12" i="1"/>
  <c r="L10" i="1"/>
  <c r="AP8" i="1"/>
  <c r="BD7" i="1"/>
  <c r="DC6" i="1"/>
  <c r="GK5" i="1"/>
  <c r="BG5" i="1"/>
  <c r="DJ4" i="1"/>
  <c r="GQ3" i="1"/>
  <c r="EF3" i="1"/>
  <c r="X3" i="1"/>
  <c r="CS13" i="1"/>
  <c r="M12" i="1"/>
  <c r="CQ11" i="1"/>
  <c r="CA10" i="1"/>
  <c r="EW9" i="1"/>
  <c r="BC9" i="1"/>
  <c r="AO8" i="1"/>
  <c r="DG7" i="1"/>
  <c r="DV6" i="1"/>
  <c r="AB6" i="1"/>
  <c r="EK5" i="1"/>
  <c r="FN4" i="1"/>
  <c r="CR4" i="1"/>
  <c r="FI14" i="1"/>
  <c r="DT14" i="1"/>
  <c r="CN14" i="1"/>
  <c r="BB14" i="1"/>
  <c r="X14" i="1"/>
  <c r="FL13" i="1"/>
  <c r="EH13" i="1"/>
  <c r="DD13" i="1"/>
  <c r="BR13" i="1"/>
  <c r="AN13" i="1"/>
  <c r="J13" i="1"/>
  <c r="FZ12" i="1"/>
  <c r="EV12" i="1"/>
  <c r="DR12" i="1"/>
  <c r="CF12" i="1"/>
  <c r="BB12" i="1"/>
  <c r="X12" i="1"/>
  <c r="GN11" i="1"/>
  <c r="FJ11" i="1"/>
  <c r="EF11" i="1"/>
  <c r="CT11" i="1"/>
  <c r="BP11" i="1"/>
  <c r="AL11" i="1"/>
  <c r="FX10" i="1"/>
  <c r="ET10" i="1"/>
  <c r="DH10" i="1"/>
  <c r="CD10" i="1"/>
  <c r="AZ10" i="1"/>
  <c r="N10" i="1"/>
  <c r="GL9" i="1"/>
  <c r="FH9" i="1"/>
  <c r="DV9" i="1"/>
  <c r="CR9" i="1"/>
  <c r="BN9" i="1"/>
  <c r="AB9" i="1"/>
  <c r="FV8" i="1"/>
  <c r="EJ8" i="1"/>
  <c r="DF8" i="1"/>
  <c r="CB8" i="1"/>
  <c r="AY8" i="1"/>
  <c r="W8" i="1"/>
  <c r="FU7" i="1"/>
  <c r="ES7" i="1"/>
  <c r="DQ7" i="1"/>
  <c r="CO7" i="1"/>
  <c r="BM7" i="1"/>
  <c r="AK7" i="1"/>
  <c r="I7" i="1"/>
  <c r="GI6" i="1"/>
  <c r="FG6" i="1"/>
  <c r="EE6" i="1"/>
  <c r="DE6" i="1"/>
  <c r="CE6" i="1"/>
  <c r="BE6" i="1"/>
  <c r="AK6" i="1"/>
  <c r="K6" i="1"/>
  <c r="GM5" i="1"/>
  <c r="FM5" i="1"/>
  <c r="ES5" i="1"/>
  <c r="DU5" i="1"/>
  <c r="CZ5" i="1"/>
  <c r="CE5" i="1"/>
  <c r="BM5" i="1"/>
  <c r="AQ5" i="1"/>
  <c r="Y5" i="1"/>
  <c r="C5" i="1"/>
  <c r="GM4" i="1"/>
  <c r="FU4" i="1"/>
  <c r="EY4" i="1"/>
  <c r="EG4" i="1"/>
  <c r="DL4" i="1"/>
  <c r="CU4" i="1"/>
  <c r="CD4" i="1"/>
  <c r="BM4" i="1"/>
  <c r="AS4" i="1"/>
  <c r="AB4" i="1"/>
  <c r="K4" i="1"/>
  <c r="GB3" i="1"/>
  <c r="FK3" i="1"/>
  <c r="DT3" i="1"/>
  <c r="CD3" i="1"/>
  <c r="AN3" i="1"/>
  <c r="FH14" i="1"/>
  <c r="W14" i="1"/>
  <c r="EG13" i="1"/>
  <c r="AM13" i="1"/>
  <c r="EU12" i="1"/>
  <c r="CE12" i="1"/>
  <c r="EE11" i="1"/>
  <c r="DG10" i="1"/>
  <c r="M10" i="1"/>
  <c r="DU9" i="1"/>
  <c r="AA9" i="1"/>
  <c r="EI8" i="1"/>
  <c r="CA8" i="1"/>
  <c r="FN7" i="1"/>
  <c r="AD7" i="1"/>
  <c r="BD6" i="1"/>
  <c r="DT5" i="1"/>
  <c r="AP5" i="1"/>
  <c r="FR4" i="1"/>
  <c r="CT4" i="1"/>
  <c r="AR4" i="1"/>
  <c r="EG3" i="1"/>
  <c r="BO3" i="1"/>
  <c r="AZ14" i="1"/>
  <c r="CT13" i="1"/>
  <c r="CD12" i="1"/>
  <c r="FV10" i="1"/>
  <c r="CB10" i="1"/>
  <c r="DT9" i="1"/>
  <c r="EH8" i="1"/>
  <c r="EJ7" i="1"/>
  <c r="EX6" i="1"/>
  <c r="AC6" i="1"/>
  <c r="CU5" i="1"/>
  <c r="GK4" i="1"/>
  <c r="Z4" i="1"/>
  <c r="FI3" i="1"/>
  <c r="CP3" i="1"/>
  <c r="J3" i="1"/>
  <c r="BO13" i="1"/>
  <c r="AY12" i="1"/>
  <c r="DU11" i="1"/>
  <c r="AA11" i="1"/>
  <c r="AO10" i="1"/>
  <c r="DS9" i="1"/>
  <c r="DC8" i="1"/>
  <c r="FK7" i="1"/>
  <c r="CE7" i="1"/>
  <c r="CB6" i="1"/>
  <c r="GJ5" i="1"/>
  <c r="AN5" i="1"/>
  <c r="EV4" i="1"/>
  <c r="BG4" i="1"/>
  <c r="GI11" i="1"/>
  <c r="FK10" i="1"/>
  <c r="EU9" i="1"/>
  <c r="EE8" i="1"/>
  <c r="EG7" i="1"/>
  <c r="EU6" i="1"/>
  <c r="GB5" i="1"/>
  <c r="AL5" i="1"/>
  <c r="DG4" i="1"/>
  <c r="GO3" i="1"/>
  <c r="DQ3" i="1"/>
  <c r="BK3" i="1"/>
  <c r="FH5" i="1"/>
  <c r="CP4" i="1"/>
  <c r="DO3" i="1"/>
  <c r="CA6" i="1"/>
  <c r="BF4" i="1"/>
  <c r="DF14" i="1"/>
  <c r="CN3" i="1"/>
  <c r="CM3" i="1"/>
  <c r="BN13" i="1"/>
  <c r="GL7" i="1"/>
  <c r="ER3" i="1"/>
  <c r="AO12" i="1"/>
  <c r="BZ3" i="1"/>
  <c r="W4" i="1"/>
  <c r="ED3" i="1"/>
  <c r="GJ11" i="1"/>
  <c r="GL13" i="1"/>
  <c r="FV12" i="1"/>
  <c r="EX11" i="1"/>
  <c r="EH10" i="1"/>
  <c r="DR9" i="1"/>
  <c r="CT8" i="1"/>
  <c r="DF7" i="1"/>
  <c r="DU6" i="1"/>
  <c r="FI5" i="1"/>
  <c r="Q5" i="1"/>
  <c r="CQ4" i="1"/>
  <c r="GN3" i="1"/>
  <c r="DP3" i="1"/>
  <c r="AY3" i="1"/>
  <c r="DT6" i="1"/>
  <c r="FY3" i="1"/>
  <c r="BB7" i="1"/>
  <c r="GI4" i="1"/>
  <c r="AI3" i="1"/>
  <c r="X9" i="1"/>
  <c r="FM4" i="1"/>
  <c r="AP12" i="1"/>
  <c r="AA6" i="1"/>
  <c r="ET4" i="1"/>
  <c r="DY4" i="1"/>
  <c r="D4" i="1"/>
  <c r="EH7" i="1"/>
  <c r="GK14" i="1"/>
  <c r="GK13" i="1"/>
  <c r="FU12" i="1"/>
  <c r="EW11" i="1"/>
  <c r="EG10" i="1"/>
  <c r="DQ9" i="1"/>
  <c r="CS8" i="1"/>
  <c r="DE7" i="1"/>
  <c r="P5" i="1"/>
  <c r="AX3" i="1"/>
  <c r="FH3" i="1"/>
  <c r="CA12" i="1"/>
  <c r="Y7" i="1"/>
  <c r="V3" i="1"/>
  <c r="J10" i="1"/>
  <c r="Y4" i="1"/>
  <c r="Y11" i="1"/>
  <c r="FI8" i="1"/>
  <c r="EV9" i="1"/>
  <c r="GJ14" i="1"/>
  <c r="FH13" i="1"/>
  <c r="EJ12" i="1"/>
  <c r="DT11" i="1"/>
  <c r="DD10" i="1"/>
  <c r="CF9" i="1"/>
  <c r="BP8" i="1"/>
  <c r="CD7" i="1"/>
  <c r="CU6" i="1"/>
  <c r="EJ5" i="1"/>
  <c r="BX4" i="1"/>
  <c r="FX3" i="1"/>
  <c r="DC3" i="1"/>
  <c r="AW3" i="1"/>
  <c r="FW3" i="1"/>
  <c r="AK3" i="1"/>
  <c r="BR10" i="1"/>
  <c r="DA3" i="1"/>
  <c r="AN10" i="1"/>
  <c r="BA6" i="1"/>
  <c r="CQ13" i="1"/>
  <c r="AM10" i="1"/>
  <c r="AZ6" i="1"/>
  <c r="CA14" i="1"/>
  <c r="GN8" i="1"/>
  <c r="EU4" i="1"/>
  <c r="U3" i="1"/>
  <c r="GK7" i="1"/>
  <c r="H3" i="1"/>
  <c r="FI7" i="1"/>
  <c r="GI5" i="1"/>
  <c r="EV14" i="1"/>
  <c r="FG13" i="1"/>
  <c r="EI12" i="1"/>
  <c r="DS11" i="1"/>
  <c r="DC10" i="1"/>
  <c r="CE9" i="1"/>
  <c r="BO8" i="1"/>
  <c r="CC7" i="1"/>
  <c r="CT6" i="1"/>
  <c r="EI5" i="1"/>
  <c r="BV4" i="1"/>
  <c r="DB3" i="1"/>
  <c r="AN8" i="1"/>
  <c r="AJ3" i="1"/>
  <c r="L8" i="1"/>
  <c r="CS5" i="1"/>
  <c r="W3" i="1"/>
  <c r="ES3" i="1"/>
  <c r="Z6" i="1"/>
  <c r="I3" i="1"/>
  <c r="AO14" i="1"/>
  <c r="FZ9" i="1"/>
  <c r="L14" i="1"/>
  <c r="BM3" i="1"/>
  <c r="EU14" i="1"/>
  <c r="DV13" i="1"/>
  <c r="DF12" i="1"/>
  <c r="CP11" i="1"/>
  <c r="BB9" i="1"/>
  <c r="DQ5" i="1"/>
  <c r="CR13" i="1"/>
  <c r="K8" i="1"/>
  <c r="AN4" i="1"/>
  <c r="BX5" i="1"/>
  <c r="L12" i="1"/>
  <c r="FX6" i="1"/>
  <c r="DP14" i="1"/>
  <c r="DU13" i="1"/>
  <c r="DE12" i="1"/>
  <c r="CO11" i="1"/>
  <c r="BQ10" i="1"/>
  <c r="BA9" i="1"/>
  <c r="AM8" i="1"/>
  <c r="BA7" i="1"/>
  <c r="BT6" i="1"/>
  <c r="DN5" i="1"/>
  <c r="GF4" i="1"/>
  <c r="BE4" i="1"/>
  <c r="FG3" i="1"/>
  <c r="CO3" i="1"/>
  <c r="BD11" i="1"/>
  <c r="Z7" i="1"/>
  <c r="FF3" i="1"/>
  <c r="Z11" i="1"/>
  <c r="CA3" i="1"/>
  <c r="BM13" i="1"/>
  <c r="I10" i="1"/>
  <c r="X4" i="1"/>
  <c r="AB13" i="1"/>
  <c r="FJ8" i="1"/>
  <c r="BY3" i="1"/>
  <c r="K12" i="1"/>
  <c r="FW6" i="1"/>
  <c r="G3" i="1"/>
  <c r="K14" i="1"/>
  <c r="FL10" i="1"/>
  <c r="AM5" i="1"/>
  <c r="C4" i="1"/>
  <c r="BL3" i="1"/>
  <c r="CB12" i="1"/>
  <c r="AO4" i="1"/>
  <c r="CB14" i="1"/>
  <c r="BC11" i="1"/>
  <c r="W9" i="1"/>
  <c r="CR5" i="1"/>
  <c r="BE5" i="1"/>
  <c r="BD5" i="1"/>
  <c r="EV6" i="1"/>
  <c r="FL4" i="1"/>
  <c r="CA5" i="1"/>
  <c r="AX14" i="1"/>
  <c r="GM8" i="1"/>
  <c r="EQ3" i="1"/>
  <c r="FJ7" i="1"/>
  <c r="EE3" i="1"/>
  <c r="AA13" i="1"/>
  <c r="FY9" i="1"/>
  <c r="DX4" i="1"/>
  <c r="EF8" i="1"/>
  <c r="DH4" i="1"/>
  <c r="EC3" i="1"/>
  <c r="GM14" i="7"/>
  <c r="FY14" i="7"/>
  <c r="FK14" i="7"/>
  <c r="EW14" i="7"/>
  <c r="EI14" i="7"/>
  <c r="DU14" i="7"/>
  <c r="DG14" i="7"/>
  <c r="CS14" i="7"/>
  <c r="CE14" i="7"/>
  <c r="BQ14" i="7"/>
  <c r="BC14" i="7"/>
  <c r="AO14" i="7"/>
  <c r="AA14" i="7"/>
  <c r="M14" i="7"/>
  <c r="GL14" i="7"/>
  <c r="FX14" i="7"/>
  <c r="FJ14" i="7"/>
  <c r="EV14" i="7"/>
  <c r="EH14" i="7"/>
  <c r="DT14" i="7"/>
  <c r="DF14" i="7"/>
  <c r="CR14" i="7"/>
  <c r="CD14" i="7"/>
  <c r="BP14" i="7"/>
  <c r="BB14" i="7"/>
  <c r="AN14" i="7"/>
  <c r="Z14" i="7"/>
  <c r="L14" i="7"/>
  <c r="GM13" i="7"/>
  <c r="GK14" i="7"/>
  <c r="FW14" i="7"/>
  <c r="FI14" i="7"/>
  <c r="EU14" i="7"/>
  <c r="EG14" i="7"/>
  <c r="DS14" i="7"/>
  <c r="DE14" i="7"/>
  <c r="CQ14" i="7"/>
  <c r="CC14" i="7"/>
  <c r="BO14" i="7"/>
  <c r="BA14" i="7"/>
  <c r="AM14" i="7"/>
  <c r="Y14" i="7"/>
  <c r="K14" i="7"/>
  <c r="GL13" i="7"/>
  <c r="FX13" i="7"/>
  <c r="GJ14" i="7"/>
  <c r="FV14" i="7"/>
  <c r="FH14" i="7"/>
  <c r="ET14" i="7"/>
  <c r="EF14" i="7"/>
  <c r="DR14" i="7"/>
  <c r="DD14" i="7"/>
  <c r="CP14" i="7"/>
  <c r="CB14" i="7"/>
  <c r="BN14" i="7"/>
  <c r="AZ14" i="7"/>
  <c r="AL14" i="7"/>
  <c r="X14" i="7"/>
  <c r="J14" i="7"/>
  <c r="GK13" i="7"/>
  <c r="FW13" i="7"/>
  <c r="GG14" i="7"/>
  <c r="FS14" i="7"/>
  <c r="FE14" i="7"/>
  <c r="EQ14" i="7"/>
  <c r="EC14" i="7"/>
  <c r="DO14" i="7"/>
  <c r="DA14" i="7"/>
  <c r="CM14" i="7"/>
  <c r="BY14" i="7"/>
  <c r="BK14" i="7"/>
  <c r="AW14" i="7"/>
  <c r="AI14" i="7"/>
  <c r="U14" i="7"/>
  <c r="G14" i="7"/>
  <c r="FZ14" i="7"/>
  <c r="FB14" i="7"/>
  <c r="EE14" i="7"/>
  <c r="DK14" i="7"/>
  <c r="CN14" i="7"/>
  <c r="BT14" i="7"/>
  <c r="AV14" i="7"/>
  <c r="AC14" i="7"/>
  <c r="E14" i="7"/>
  <c r="GO13" i="7"/>
  <c r="FV13" i="7"/>
  <c r="FH13" i="7"/>
  <c r="ET13" i="7"/>
  <c r="EF13" i="7"/>
  <c r="DR13" i="7"/>
  <c r="DD13" i="7"/>
  <c r="CP13" i="7"/>
  <c r="CB13" i="7"/>
  <c r="BN13" i="7"/>
  <c r="AZ13" i="7"/>
  <c r="AL13" i="7"/>
  <c r="X13" i="7"/>
  <c r="J13" i="7"/>
  <c r="GJ12" i="7"/>
  <c r="FV12" i="7"/>
  <c r="FH12" i="7"/>
  <c r="ET12" i="7"/>
  <c r="EF12" i="7"/>
  <c r="DR12" i="7"/>
  <c r="DD12" i="7"/>
  <c r="CP12" i="7"/>
  <c r="CB12" i="7"/>
  <c r="BN12" i="7"/>
  <c r="AZ12" i="7"/>
  <c r="AL12" i="7"/>
  <c r="X12" i="7"/>
  <c r="J12" i="7"/>
  <c r="GJ11" i="7"/>
  <c r="FV11" i="7"/>
  <c r="FH11" i="7"/>
  <c r="ET11" i="7"/>
  <c r="EF11" i="7"/>
  <c r="DR11" i="7"/>
  <c r="FU14" i="7"/>
  <c r="FA14" i="7"/>
  <c r="ED14" i="7"/>
  <c r="DJ14" i="7"/>
  <c r="CL14" i="7"/>
  <c r="BS14" i="7"/>
  <c r="AU14" i="7"/>
  <c r="AB14" i="7"/>
  <c r="D14" i="7"/>
  <c r="GN13" i="7"/>
  <c r="FU13" i="7"/>
  <c r="FG13" i="7"/>
  <c r="ES13" i="7"/>
  <c r="EE13" i="7"/>
  <c r="DQ13" i="7"/>
  <c r="DC13" i="7"/>
  <c r="CO13" i="7"/>
  <c r="CA13" i="7"/>
  <c r="BM13" i="7"/>
  <c r="AY13" i="7"/>
  <c r="AK13" i="7"/>
  <c r="W13" i="7"/>
  <c r="I13" i="7"/>
  <c r="GI12" i="7"/>
  <c r="FU12" i="7"/>
  <c r="FG12" i="7"/>
  <c r="ES12" i="7"/>
  <c r="EE12" i="7"/>
  <c r="DQ12" i="7"/>
  <c r="DC12" i="7"/>
  <c r="CO12" i="7"/>
  <c r="CA12" i="7"/>
  <c r="BM12" i="7"/>
  <c r="AY12" i="7"/>
  <c r="AK12" i="7"/>
  <c r="W12" i="7"/>
  <c r="I12" i="7"/>
  <c r="GQ14" i="7"/>
  <c r="FT14" i="7"/>
  <c r="EZ14" i="7"/>
  <c r="EB14" i="7"/>
  <c r="DI14" i="7"/>
  <c r="CK14" i="7"/>
  <c r="BR14" i="7"/>
  <c r="AT14" i="7"/>
  <c r="W14" i="7"/>
  <c r="C14" i="7"/>
  <c r="GJ13" i="7"/>
  <c r="FT13" i="7"/>
  <c r="FF13" i="7"/>
  <c r="ER13" i="7"/>
  <c r="ED13" i="7"/>
  <c r="DP13" i="7"/>
  <c r="DB13" i="7"/>
  <c r="CN13" i="7"/>
  <c r="BZ13" i="7"/>
  <c r="BL13" i="7"/>
  <c r="AX13" i="7"/>
  <c r="AJ13" i="7"/>
  <c r="V13" i="7"/>
  <c r="H13" i="7"/>
  <c r="GH12" i="7"/>
  <c r="FT12" i="7"/>
  <c r="FF12" i="7"/>
  <c r="ER12" i="7"/>
  <c r="ED12" i="7"/>
  <c r="DP12" i="7"/>
  <c r="DB12" i="7"/>
  <c r="CN12" i="7"/>
  <c r="BZ12" i="7"/>
  <c r="BL12" i="7"/>
  <c r="AX12" i="7"/>
  <c r="AJ12" i="7"/>
  <c r="V12" i="7"/>
  <c r="H12" i="7"/>
  <c r="GP14" i="7"/>
  <c r="FR14" i="7"/>
  <c r="EY14" i="7"/>
  <c r="EA14" i="7"/>
  <c r="DH14" i="7"/>
  <c r="CJ14" i="7"/>
  <c r="BM14" i="7"/>
  <c r="AS14" i="7"/>
  <c r="V14" i="7"/>
  <c r="B14" i="7"/>
  <c r="GI13" i="7"/>
  <c r="FS13" i="7"/>
  <c r="FE13" i="7"/>
  <c r="EQ13" i="7"/>
  <c r="EC13" i="7"/>
  <c r="DO13" i="7"/>
  <c r="DA13" i="7"/>
  <c r="CM13" i="7"/>
  <c r="BY13" i="7"/>
  <c r="BK13" i="7"/>
  <c r="AW13" i="7"/>
  <c r="AI13" i="7"/>
  <c r="U13" i="7"/>
  <c r="G13" i="7"/>
  <c r="GG12" i="7"/>
  <c r="FS12" i="7"/>
  <c r="FE12" i="7"/>
  <c r="EQ12" i="7"/>
  <c r="EC12" i="7"/>
  <c r="DO12" i="7"/>
  <c r="DA12" i="7"/>
  <c r="CM12" i="7"/>
  <c r="BY12" i="7"/>
  <c r="BK12" i="7"/>
  <c r="AW12" i="7"/>
  <c r="GO14" i="7"/>
  <c r="FQ14" i="7"/>
  <c r="EX14" i="7"/>
  <c r="DZ14" i="7"/>
  <c r="DC14" i="7"/>
  <c r="CI14" i="7"/>
  <c r="BL14" i="7"/>
  <c r="AR14" i="7"/>
  <c r="T14" i="7"/>
  <c r="GH13" i="7"/>
  <c r="FR13" i="7"/>
  <c r="FD13" i="7"/>
  <c r="EP13" i="7"/>
  <c r="EB13" i="7"/>
  <c r="DN13" i="7"/>
  <c r="CZ13" i="7"/>
  <c r="CL13" i="7"/>
  <c r="BX13" i="7"/>
  <c r="BJ13" i="7"/>
  <c r="AV13" i="7"/>
  <c r="AH13" i="7"/>
  <c r="T13" i="7"/>
  <c r="F13" i="7"/>
  <c r="GF12" i="7"/>
  <c r="FR12" i="7"/>
  <c r="FD12" i="7"/>
  <c r="EP12" i="7"/>
  <c r="EB12" i="7"/>
  <c r="DN12" i="7"/>
  <c r="CZ12" i="7"/>
  <c r="CL12" i="7"/>
  <c r="BX12" i="7"/>
  <c r="BJ12" i="7"/>
  <c r="AV12" i="7"/>
  <c r="AH12" i="7"/>
  <c r="FM14" i="7"/>
  <c r="EJ14" i="7"/>
  <c r="CW14" i="7"/>
  <c r="BJ14" i="7"/>
  <c r="AG14" i="7"/>
  <c r="GB13" i="7"/>
  <c r="FB13" i="7"/>
  <c r="EI13" i="7"/>
  <c r="DK13" i="7"/>
  <c r="CR13" i="7"/>
  <c r="BT13" i="7"/>
  <c r="BA13" i="7"/>
  <c r="AC13" i="7"/>
  <c r="E13" i="7"/>
  <c r="GN12" i="7"/>
  <c r="FP12" i="7"/>
  <c r="EW12" i="7"/>
  <c r="DY12" i="7"/>
  <c r="DF12" i="7"/>
  <c r="CH12" i="7"/>
  <c r="BO12" i="7"/>
  <c r="AQ12" i="7"/>
  <c r="Y12" i="7"/>
  <c r="E12" i="7"/>
  <c r="GQ11" i="7"/>
  <c r="GB11" i="7"/>
  <c r="FM11" i="7"/>
  <c r="EX11" i="7"/>
  <c r="EI11" i="7"/>
  <c r="DT11" i="7"/>
  <c r="DE11" i="7"/>
  <c r="CQ11" i="7"/>
  <c r="CC11" i="7"/>
  <c r="BO11" i="7"/>
  <c r="BA11" i="7"/>
  <c r="AM11" i="7"/>
  <c r="Y11" i="7"/>
  <c r="K11" i="7"/>
  <c r="GK10" i="7"/>
  <c r="FW10" i="7"/>
  <c r="FI10" i="7"/>
  <c r="EU10" i="7"/>
  <c r="EG10" i="7"/>
  <c r="DS10" i="7"/>
  <c r="DE10" i="7"/>
  <c r="CQ10" i="7"/>
  <c r="CC10" i="7"/>
  <c r="BO10" i="7"/>
  <c r="BA10" i="7"/>
  <c r="AM10" i="7"/>
  <c r="Y10" i="7"/>
  <c r="K10" i="7"/>
  <c r="GK9" i="7"/>
  <c r="FW9" i="7"/>
  <c r="FI9" i="7"/>
  <c r="EU9" i="7"/>
  <c r="EG9" i="7"/>
  <c r="DS9" i="7"/>
  <c r="DE9" i="7"/>
  <c r="CQ9" i="7"/>
  <c r="CC9" i="7"/>
  <c r="BO9" i="7"/>
  <c r="BA9" i="7"/>
  <c r="AM9" i="7"/>
  <c r="Y9" i="7"/>
  <c r="K9" i="7"/>
  <c r="FL14" i="7"/>
  <c r="DY14" i="7"/>
  <c r="CV14" i="7"/>
  <c r="BI14" i="7"/>
  <c r="AF14" i="7"/>
  <c r="GA13" i="7"/>
  <c r="FA13" i="7"/>
  <c r="EH13" i="7"/>
  <c r="DJ13" i="7"/>
  <c r="CQ13" i="7"/>
  <c r="BS13" i="7"/>
  <c r="AU13" i="7"/>
  <c r="AB13" i="7"/>
  <c r="D13" i="7"/>
  <c r="GM12" i="7"/>
  <c r="FO12" i="7"/>
  <c r="EV12" i="7"/>
  <c r="DX12" i="7"/>
  <c r="DE12" i="7"/>
  <c r="CG12" i="7"/>
  <c r="BI12" i="7"/>
  <c r="AP12" i="7"/>
  <c r="U12" i="7"/>
  <c r="D12" i="7"/>
  <c r="GP11" i="7"/>
  <c r="GA11" i="7"/>
  <c r="FL11" i="7"/>
  <c r="EW11" i="7"/>
  <c r="EH11" i="7"/>
  <c r="DS11" i="7"/>
  <c r="DD11" i="7"/>
  <c r="CP11" i="7"/>
  <c r="CB11" i="7"/>
  <c r="BN11" i="7"/>
  <c r="AZ11" i="7"/>
  <c r="AL11" i="7"/>
  <c r="X11" i="7"/>
  <c r="J11" i="7"/>
  <c r="GJ10" i="7"/>
  <c r="FV10" i="7"/>
  <c r="FH10" i="7"/>
  <c r="ET10" i="7"/>
  <c r="EF10" i="7"/>
  <c r="DR10" i="7"/>
  <c r="DD10" i="7"/>
  <c r="CP10" i="7"/>
  <c r="CB10" i="7"/>
  <c r="BN10" i="7"/>
  <c r="AZ10" i="7"/>
  <c r="AL10" i="7"/>
  <c r="X10" i="7"/>
  <c r="J10" i="7"/>
  <c r="GJ9" i="7"/>
  <c r="FV9" i="7"/>
  <c r="FH9" i="7"/>
  <c r="ET9" i="7"/>
  <c r="EF9" i="7"/>
  <c r="DR9" i="7"/>
  <c r="DD9" i="7"/>
  <c r="CP9" i="7"/>
  <c r="CB9" i="7"/>
  <c r="BN9" i="7"/>
  <c r="AZ9" i="7"/>
  <c r="AL9" i="7"/>
  <c r="X9" i="7"/>
  <c r="J9" i="7"/>
  <c r="GJ8" i="7"/>
  <c r="GN14" i="7"/>
  <c r="FG14" i="7"/>
  <c r="DX14" i="7"/>
  <c r="CU14" i="7"/>
  <c r="BH14" i="7"/>
  <c r="AE14" i="7"/>
  <c r="FZ13" i="7"/>
  <c r="EZ13" i="7"/>
  <c r="EG13" i="7"/>
  <c r="DI13" i="7"/>
  <c r="CK13" i="7"/>
  <c r="BR13" i="7"/>
  <c r="AT13" i="7"/>
  <c r="AA13" i="7"/>
  <c r="C13" i="7"/>
  <c r="GL12" i="7"/>
  <c r="FN12" i="7"/>
  <c r="EU12" i="7"/>
  <c r="DW12" i="7"/>
  <c r="CY12" i="7"/>
  <c r="CF12" i="7"/>
  <c r="BH12" i="7"/>
  <c r="AO12" i="7"/>
  <c r="T12" i="7"/>
  <c r="C12" i="7"/>
  <c r="GO11" i="7"/>
  <c r="FZ11" i="7"/>
  <c r="FK11" i="7"/>
  <c r="EV11" i="7"/>
  <c r="EG11" i="7"/>
  <c r="DQ11" i="7"/>
  <c r="DC11" i="7"/>
  <c r="CO11" i="7"/>
  <c r="CA11" i="7"/>
  <c r="BM11" i="7"/>
  <c r="AY11" i="7"/>
  <c r="AK11" i="7"/>
  <c r="W11" i="7"/>
  <c r="I11" i="7"/>
  <c r="GI10" i="7"/>
  <c r="FU10" i="7"/>
  <c r="FG10" i="7"/>
  <c r="ES10" i="7"/>
  <c r="EE10" i="7"/>
  <c r="DQ10" i="7"/>
  <c r="DC10" i="7"/>
  <c r="CO10" i="7"/>
  <c r="CA10" i="7"/>
  <c r="BM10" i="7"/>
  <c r="AY10" i="7"/>
  <c r="AK10" i="7"/>
  <c r="W10" i="7"/>
  <c r="I10" i="7"/>
  <c r="GI9" i="7"/>
  <c r="FU9" i="7"/>
  <c r="FG9" i="7"/>
  <c r="ES9" i="7"/>
  <c r="EE9" i="7"/>
  <c r="DQ9" i="7"/>
  <c r="DC9" i="7"/>
  <c r="CO9" i="7"/>
  <c r="CA9" i="7"/>
  <c r="BM9" i="7"/>
  <c r="AY9" i="7"/>
  <c r="AK9" i="7"/>
  <c r="W9" i="7"/>
  <c r="I9" i="7"/>
  <c r="GI8" i="7"/>
  <c r="GI14" i="7"/>
  <c r="FF14" i="7"/>
  <c r="DW14" i="7"/>
  <c r="CT14" i="7"/>
  <c r="BG14" i="7"/>
  <c r="AD14" i="7"/>
  <c r="FY13" i="7"/>
  <c r="EY13" i="7"/>
  <c r="EA13" i="7"/>
  <c r="DH13" i="7"/>
  <c r="CJ13" i="7"/>
  <c r="BQ13" i="7"/>
  <c r="AS13" i="7"/>
  <c r="Z13" i="7"/>
  <c r="B13" i="7"/>
  <c r="GK12" i="7"/>
  <c r="FM12" i="7"/>
  <c r="EO12" i="7"/>
  <c r="DV12" i="7"/>
  <c r="CX12" i="7"/>
  <c r="CE12" i="7"/>
  <c r="BG12" i="7"/>
  <c r="AN12" i="7"/>
  <c r="S12" i="7"/>
  <c r="B12" i="7"/>
  <c r="GN11" i="7"/>
  <c r="FY11" i="7"/>
  <c r="FJ11" i="7"/>
  <c r="EU11" i="7"/>
  <c r="EE11" i="7"/>
  <c r="DP11" i="7"/>
  <c r="DB11" i="7"/>
  <c r="CN11" i="7"/>
  <c r="BZ11" i="7"/>
  <c r="BL11" i="7"/>
  <c r="AX11" i="7"/>
  <c r="AJ11" i="7"/>
  <c r="V11" i="7"/>
  <c r="H11" i="7"/>
  <c r="GH10" i="7"/>
  <c r="FT10" i="7"/>
  <c r="FF10" i="7"/>
  <c r="ER10" i="7"/>
  <c r="ED10" i="7"/>
  <c r="DP10" i="7"/>
  <c r="DB10" i="7"/>
  <c r="CN10" i="7"/>
  <c r="BZ10" i="7"/>
  <c r="BL10" i="7"/>
  <c r="AX10" i="7"/>
  <c r="AJ10" i="7"/>
  <c r="V10" i="7"/>
  <c r="H10" i="7"/>
  <c r="GH9" i="7"/>
  <c r="FT9" i="7"/>
  <c r="FF9" i="7"/>
  <c r="ER9" i="7"/>
  <c r="ED9" i="7"/>
  <c r="DP9" i="7"/>
  <c r="DB9" i="7"/>
  <c r="CN9" i="7"/>
  <c r="BZ9" i="7"/>
  <c r="BL9" i="7"/>
  <c r="AX9" i="7"/>
  <c r="AJ9" i="7"/>
  <c r="V9" i="7"/>
  <c r="H9" i="7"/>
  <c r="GH8" i="7"/>
  <c r="GH14" i="7"/>
  <c r="FD14" i="7"/>
  <c r="DV14" i="7"/>
  <c r="CO14" i="7"/>
  <c r="BF14" i="7"/>
  <c r="S14" i="7"/>
  <c r="FQ13" i="7"/>
  <c r="EX13" i="7"/>
  <c r="DZ13" i="7"/>
  <c r="DG13" i="7"/>
  <c r="CI13" i="7"/>
  <c r="BP13" i="7"/>
  <c r="AR13" i="7"/>
  <c r="Y13" i="7"/>
  <c r="GE12" i="7"/>
  <c r="FL12" i="7"/>
  <c r="EN12" i="7"/>
  <c r="DU12" i="7"/>
  <c r="CW12" i="7"/>
  <c r="CD12" i="7"/>
  <c r="BF12" i="7"/>
  <c r="AM12" i="7"/>
  <c r="R12" i="7"/>
  <c r="GM11" i="7"/>
  <c r="FX11" i="7"/>
  <c r="FI11" i="7"/>
  <c r="ES11" i="7"/>
  <c r="ED11" i="7"/>
  <c r="DO11" i="7"/>
  <c r="DA11" i="7"/>
  <c r="CM11" i="7"/>
  <c r="BY11" i="7"/>
  <c r="BK11" i="7"/>
  <c r="AW11" i="7"/>
  <c r="AI11" i="7"/>
  <c r="U11" i="7"/>
  <c r="G11" i="7"/>
  <c r="GG10" i="7"/>
  <c r="FS10" i="7"/>
  <c r="FE10" i="7"/>
  <c r="EQ10" i="7"/>
  <c r="EC10" i="7"/>
  <c r="DO10" i="7"/>
  <c r="DA10" i="7"/>
  <c r="CM10" i="7"/>
  <c r="BY10" i="7"/>
  <c r="BK10" i="7"/>
  <c r="AW10" i="7"/>
  <c r="AI10" i="7"/>
  <c r="U10" i="7"/>
  <c r="G10" i="7"/>
  <c r="GG9" i="7"/>
  <c r="FS9" i="7"/>
  <c r="FE9" i="7"/>
  <c r="EQ9" i="7"/>
  <c r="EC9" i="7"/>
  <c r="DO9" i="7"/>
  <c r="DA9" i="7"/>
  <c r="CM9" i="7"/>
  <c r="BY9" i="7"/>
  <c r="BK9" i="7"/>
  <c r="AW9" i="7"/>
  <c r="AI9" i="7"/>
  <c r="U9" i="7"/>
  <c r="G9" i="7"/>
  <c r="GG8" i="7"/>
  <c r="GF14" i="7"/>
  <c r="FC14" i="7"/>
  <c r="DQ14" i="7"/>
  <c r="CH14" i="7"/>
  <c r="BE14" i="7"/>
  <c r="R14" i="7"/>
  <c r="FP13" i="7"/>
  <c r="EW13" i="7"/>
  <c r="DY13" i="7"/>
  <c r="DF13" i="7"/>
  <c r="CH13" i="7"/>
  <c r="BO13" i="7"/>
  <c r="AQ13" i="7"/>
  <c r="S13" i="7"/>
  <c r="GD12" i="7"/>
  <c r="FK12" i="7"/>
  <c r="EM12" i="7"/>
  <c r="DT12" i="7"/>
  <c r="CV12" i="7"/>
  <c r="CC12" i="7"/>
  <c r="BE12" i="7"/>
  <c r="AI12" i="7"/>
  <c r="Q12" i="7"/>
  <c r="GL11" i="7"/>
  <c r="FW11" i="7"/>
  <c r="FG11" i="7"/>
  <c r="ER11" i="7"/>
  <c r="EC11" i="7"/>
  <c r="DN11" i="7"/>
  <c r="CZ11" i="7"/>
  <c r="CL11" i="7"/>
  <c r="BX11" i="7"/>
  <c r="BJ11" i="7"/>
  <c r="AV11" i="7"/>
  <c r="AH11" i="7"/>
  <c r="T11" i="7"/>
  <c r="F11" i="7"/>
  <c r="GF10" i="7"/>
  <c r="FR10" i="7"/>
  <c r="FD10" i="7"/>
  <c r="EP10" i="7"/>
  <c r="EB10" i="7"/>
  <c r="DN10" i="7"/>
  <c r="CZ10" i="7"/>
  <c r="GE14" i="7"/>
  <c r="ES14" i="7"/>
  <c r="DP14" i="7"/>
  <c r="CG14" i="7"/>
  <c r="BD14" i="7"/>
  <c r="Q14" i="7"/>
  <c r="FO13" i="7"/>
  <c r="EV13" i="7"/>
  <c r="DX13" i="7"/>
  <c r="DE13" i="7"/>
  <c r="CG13" i="7"/>
  <c r="BI13" i="7"/>
  <c r="AP13" i="7"/>
  <c r="R13" i="7"/>
  <c r="GC12" i="7"/>
  <c r="FJ12" i="7"/>
  <c r="EL12" i="7"/>
  <c r="DS12" i="7"/>
  <c r="CU12" i="7"/>
  <c r="BW12" i="7"/>
  <c r="BD12" i="7"/>
  <c r="AG12" i="7"/>
  <c r="P12" i="7"/>
  <c r="GK11" i="7"/>
  <c r="FU11" i="7"/>
  <c r="FF11" i="7"/>
  <c r="EQ11" i="7"/>
  <c r="EB11" i="7"/>
  <c r="DM11" i="7"/>
  <c r="CY11" i="7"/>
  <c r="CK11" i="7"/>
  <c r="BW11" i="7"/>
  <c r="BI11" i="7"/>
  <c r="AU11" i="7"/>
  <c r="AG11" i="7"/>
  <c r="S11" i="7"/>
  <c r="E11" i="7"/>
  <c r="GE10" i="7"/>
  <c r="FQ10" i="7"/>
  <c r="FC10" i="7"/>
  <c r="EO10" i="7"/>
  <c r="EA10" i="7"/>
  <c r="DM10" i="7"/>
  <c r="CY10" i="7"/>
  <c r="CK10" i="7"/>
  <c r="BW10" i="7"/>
  <c r="BI10" i="7"/>
  <c r="AU10" i="7"/>
  <c r="AG10" i="7"/>
  <c r="S10" i="7"/>
  <c r="E10" i="7"/>
  <c r="GE9" i="7"/>
  <c r="FQ9" i="7"/>
  <c r="FC9" i="7"/>
  <c r="EO9" i="7"/>
  <c r="EA9" i="7"/>
  <c r="DM9" i="7"/>
  <c r="CY9" i="7"/>
  <c r="CK9" i="7"/>
  <c r="BW9" i="7"/>
  <c r="BI9" i="7"/>
  <c r="AU9" i="7"/>
  <c r="AG9" i="7"/>
  <c r="S9" i="7"/>
  <c r="E9" i="7"/>
  <c r="GD14" i="7"/>
  <c r="ER14" i="7"/>
  <c r="DN14" i="7"/>
  <c r="CF14" i="7"/>
  <c r="AY14" i="7"/>
  <c r="P14" i="7"/>
  <c r="GQ13" i="7"/>
  <c r="FN13" i="7"/>
  <c r="EU13" i="7"/>
  <c r="DW13" i="7"/>
  <c r="CY13" i="7"/>
  <c r="CF13" i="7"/>
  <c r="BH13" i="7"/>
  <c r="AO13" i="7"/>
  <c r="Q13" i="7"/>
  <c r="GB12" i="7"/>
  <c r="FI12" i="7"/>
  <c r="EK12" i="7"/>
  <c r="DM14" i="7"/>
  <c r="AP14" i="7"/>
  <c r="GD13" i="7"/>
  <c r="DV13" i="7"/>
  <c r="CC13" i="7"/>
  <c r="AE13" i="7"/>
  <c r="GA12" i="7"/>
  <c r="EH12" i="7"/>
  <c r="DL14" i="7"/>
  <c r="AK14" i="7"/>
  <c r="GC13" i="7"/>
  <c r="DU13" i="7"/>
  <c r="BW13" i="7"/>
  <c r="AD13" i="7"/>
  <c r="FZ12" i="7"/>
  <c r="EG12" i="7"/>
  <c r="CK12" i="7"/>
  <c r="AT12" i="7"/>
  <c r="K12" i="7"/>
  <c r="GE11" i="7"/>
  <c r="FA11" i="7"/>
  <c r="DW11" i="7"/>
  <c r="CT11" i="7"/>
  <c r="BR11" i="7"/>
  <c r="AP11" i="7"/>
  <c r="N11" i="7"/>
  <c r="GN10" i="7"/>
  <c r="FL10" i="7"/>
  <c r="EJ10" i="7"/>
  <c r="DH10" i="7"/>
  <c r="CG10" i="7"/>
  <c r="BG10" i="7"/>
  <c r="AH10" i="7"/>
  <c r="M10" i="7"/>
  <c r="GO9" i="7"/>
  <c r="FO9" i="7"/>
  <c r="EP9" i="7"/>
  <c r="DU9" i="7"/>
  <c r="CU9" i="7"/>
  <c r="BU9" i="7"/>
  <c r="AV9" i="7"/>
  <c r="AA9" i="7"/>
  <c r="GK8" i="7"/>
  <c r="FS8" i="7"/>
  <c r="FE8" i="7"/>
  <c r="EQ8" i="7"/>
  <c r="EC8" i="7"/>
  <c r="DO8" i="7"/>
  <c r="DA8" i="7"/>
  <c r="CM8" i="7"/>
  <c r="BY8" i="7"/>
  <c r="BK8" i="7"/>
  <c r="AW8" i="7"/>
  <c r="AI8" i="7"/>
  <c r="U8" i="7"/>
  <c r="G8" i="7"/>
  <c r="GG7" i="7"/>
  <c r="FS7" i="7"/>
  <c r="FE7" i="7"/>
  <c r="EQ7" i="7"/>
  <c r="EC7" i="7"/>
  <c r="DO7" i="7"/>
  <c r="DA7" i="7"/>
  <c r="CM7" i="7"/>
  <c r="BY7" i="7"/>
  <c r="BK7" i="7"/>
  <c r="AW7" i="7"/>
  <c r="AI7" i="7"/>
  <c r="U7" i="7"/>
  <c r="G7" i="7"/>
  <c r="GG6" i="7"/>
  <c r="FS6" i="7"/>
  <c r="FE6" i="7"/>
  <c r="EQ6" i="7"/>
  <c r="EC6" i="7"/>
  <c r="DO6" i="7"/>
  <c r="DA6" i="7"/>
  <c r="CM6" i="7"/>
  <c r="BY6" i="7"/>
  <c r="BK6" i="7"/>
  <c r="AW6" i="7"/>
  <c r="AI6" i="7"/>
  <c r="GC14" i="7"/>
  <c r="DB14" i="7"/>
  <c r="AJ14" i="7"/>
  <c r="FM13" i="7"/>
  <c r="DT13" i="7"/>
  <c r="BV13" i="7"/>
  <c r="P13" i="7"/>
  <c r="FY12" i="7"/>
  <c r="EA12" i="7"/>
  <c r="CJ12" i="7"/>
  <c r="AS12" i="7"/>
  <c r="G12" i="7"/>
  <c r="GD11" i="7"/>
  <c r="EZ11" i="7"/>
  <c r="DV11" i="7"/>
  <c r="CS11" i="7"/>
  <c r="BQ11" i="7"/>
  <c r="AO11" i="7"/>
  <c r="M11" i="7"/>
  <c r="GM10" i="7"/>
  <c r="FK10" i="7"/>
  <c r="EI10" i="7"/>
  <c r="DG10" i="7"/>
  <c r="CF10" i="7"/>
  <c r="BF10" i="7"/>
  <c r="AF10" i="7"/>
  <c r="L10" i="7"/>
  <c r="GN9" i="7"/>
  <c r="FN9" i="7"/>
  <c r="EN9" i="7"/>
  <c r="DT9" i="7"/>
  <c r="CT9" i="7"/>
  <c r="BT9" i="7"/>
  <c r="AT9" i="7"/>
  <c r="Z9" i="7"/>
  <c r="GF8" i="7"/>
  <c r="FR8" i="7"/>
  <c r="FD8" i="7"/>
  <c r="EP8" i="7"/>
  <c r="EB8" i="7"/>
  <c r="DN8" i="7"/>
  <c r="CZ8" i="7"/>
  <c r="CL8" i="7"/>
  <c r="BX8" i="7"/>
  <c r="BJ8" i="7"/>
  <c r="AV8" i="7"/>
  <c r="AH8" i="7"/>
  <c r="T8" i="7"/>
  <c r="F8" i="7"/>
  <c r="GF7" i="7"/>
  <c r="FR7" i="7"/>
  <c r="FD7" i="7"/>
  <c r="EP7" i="7"/>
  <c r="EB7" i="7"/>
  <c r="DN7" i="7"/>
  <c r="CZ7" i="7"/>
  <c r="CL7" i="7"/>
  <c r="BX7" i="7"/>
  <c r="BJ7" i="7"/>
  <c r="AV7" i="7"/>
  <c r="AH7" i="7"/>
  <c r="T7" i="7"/>
  <c r="F7" i="7"/>
  <c r="GF6" i="7"/>
  <c r="FR6" i="7"/>
  <c r="FD6" i="7"/>
  <c r="EP6" i="7"/>
  <c r="EB6" i="7"/>
  <c r="DN6" i="7"/>
  <c r="CZ6" i="7"/>
  <c r="CL6" i="7"/>
  <c r="BX6" i="7"/>
  <c r="BJ6" i="7"/>
  <c r="AV6" i="7"/>
  <c r="AH6" i="7"/>
  <c r="GB14" i="7"/>
  <c r="CZ14" i="7"/>
  <c r="AH14" i="7"/>
  <c r="FL13" i="7"/>
  <c r="DS13" i="7"/>
  <c r="BU13" i="7"/>
  <c r="O13" i="7"/>
  <c r="FX12" i="7"/>
  <c r="DZ12" i="7"/>
  <c r="CI12" i="7"/>
  <c r="AR12" i="7"/>
  <c r="F12" i="7"/>
  <c r="GC11" i="7"/>
  <c r="EY11" i="7"/>
  <c r="DU11" i="7"/>
  <c r="CR11" i="7"/>
  <c r="BP11" i="7"/>
  <c r="AN11" i="7"/>
  <c r="L11" i="7"/>
  <c r="GL10" i="7"/>
  <c r="FJ10" i="7"/>
  <c r="EH10" i="7"/>
  <c r="DF10" i="7"/>
  <c r="CE10" i="7"/>
  <c r="BE10" i="7"/>
  <c r="AE10" i="7"/>
  <c r="F10" i="7"/>
  <c r="GM9" i="7"/>
  <c r="FM9" i="7"/>
  <c r="EM9" i="7"/>
  <c r="DN9" i="7"/>
  <c r="CS9" i="7"/>
  <c r="BS9" i="7"/>
  <c r="AS9" i="7"/>
  <c r="T9" i="7"/>
  <c r="GE8" i="7"/>
  <c r="FQ8" i="7"/>
  <c r="FC8" i="7"/>
  <c r="EO8" i="7"/>
  <c r="EA8" i="7"/>
  <c r="DM8" i="7"/>
  <c r="CY8" i="7"/>
  <c r="CK8" i="7"/>
  <c r="BW8" i="7"/>
  <c r="BI8" i="7"/>
  <c r="AU8" i="7"/>
  <c r="AG8" i="7"/>
  <c r="S8" i="7"/>
  <c r="E8" i="7"/>
  <c r="GE7" i="7"/>
  <c r="FQ7" i="7"/>
  <c r="FC7" i="7"/>
  <c r="EO7" i="7"/>
  <c r="EA7" i="7"/>
  <c r="DM7" i="7"/>
  <c r="CY7" i="7"/>
  <c r="CK7" i="7"/>
  <c r="BW7" i="7"/>
  <c r="BI7" i="7"/>
  <c r="AU7" i="7"/>
  <c r="AG7" i="7"/>
  <c r="S7" i="7"/>
  <c r="E7" i="7"/>
  <c r="GE6" i="7"/>
  <c r="FQ6" i="7"/>
  <c r="FC6" i="7"/>
  <c r="EO6" i="7"/>
  <c r="EA6" i="7"/>
  <c r="DM6" i="7"/>
  <c r="CY6" i="7"/>
  <c r="CK6" i="7"/>
  <c r="BW6" i="7"/>
  <c r="BI6" i="7"/>
  <c r="GA14" i="7"/>
  <c r="CY14" i="7"/>
  <c r="O14" i="7"/>
  <c r="FK13" i="7"/>
  <c r="DM13" i="7"/>
  <c r="BG13" i="7"/>
  <c r="N13" i="7"/>
  <c r="FW12" i="7"/>
  <c r="DM12" i="7"/>
  <c r="BV12" i="7"/>
  <c r="AF12" i="7"/>
  <c r="FT11" i="7"/>
  <c r="EP11" i="7"/>
  <c r="DL11" i="7"/>
  <c r="CJ11" i="7"/>
  <c r="BH11" i="7"/>
  <c r="AF11" i="7"/>
  <c r="D11" i="7"/>
  <c r="GD10" i="7"/>
  <c r="FB10" i="7"/>
  <c r="DZ10" i="7"/>
  <c r="CX10" i="7"/>
  <c r="CD10" i="7"/>
  <c r="BD10" i="7"/>
  <c r="AD10" i="7"/>
  <c r="D10" i="7"/>
  <c r="GL9" i="7"/>
  <c r="FL9" i="7"/>
  <c r="EL9" i="7"/>
  <c r="DL9" i="7"/>
  <c r="CR9" i="7"/>
  <c r="BR9" i="7"/>
  <c r="AR9" i="7"/>
  <c r="R9" i="7"/>
  <c r="GD8" i="7"/>
  <c r="FP8" i="7"/>
  <c r="FB8" i="7"/>
  <c r="EN8" i="7"/>
  <c r="DZ8" i="7"/>
  <c r="DL8" i="7"/>
  <c r="CX8" i="7"/>
  <c r="CJ8" i="7"/>
  <c r="BV8" i="7"/>
  <c r="BH8" i="7"/>
  <c r="AT8" i="7"/>
  <c r="AF8" i="7"/>
  <c r="R8" i="7"/>
  <c r="D8" i="7"/>
  <c r="GD7" i="7"/>
  <c r="FP7" i="7"/>
  <c r="FB7" i="7"/>
  <c r="EN7" i="7"/>
  <c r="DZ7" i="7"/>
  <c r="DL7" i="7"/>
  <c r="CX7" i="7"/>
  <c r="CJ7" i="7"/>
  <c r="BV7" i="7"/>
  <c r="BH7" i="7"/>
  <c r="AT7" i="7"/>
  <c r="AF7" i="7"/>
  <c r="R7" i="7"/>
  <c r="D7" i="7"/>
  <c r="GD6" i="7"/>
  <c r="FP6" i="7"/>
  <c r="FB6" i="7"/>
  <c r="EN6" i="7"/>
  <c r="DZ6" i="7"/>
  <c r="DL6" i="7"/>
  <c r="CX6" i="7"/>
  <c r="CJ6" i="7"/>
  <c r="BV6" i="7"/>
  <c r="BH6" i="7"/>
  <c r="AT6" i="7"/>
  <c r="AF6" i="7"/>
  <c r="R6" i="7"/>
  <c r="FP14" i="7"/>
  <c r="CX14" i="7"/>
  <c r="N14" i="7"/>
  <c r="FJ13" i="7"/>
  <c r="DL13" i="7"/>
  <c r="BF13" i="7"/>
  <c r="M13" i="7"/>
  <c r="FQ12" i="7"/>
  <c r="DL12" i="7"/>
  <c r="BU12" i="7"/>
  <c r="AE12" i="7"/>
  <c r="FS11" i="7"/>
  <c r="EO11" i="7"/>
  <c r="DK11" i="7"/>
  <c r="CI11" i="7"/>
  <c r="BG11" i="7"/>
  <c r="AE11" i="7"/>
  <c r="C11" i="7"/>
  <c r="GC10" i="7"/>
  <c r="FA10" i="7"/>
  <c r="DY10" i="7"/>
  <c r="CW10" i="7"/>
  <c r="BX10" i="7"/>
  <c r="BC10" i="7"/>
  <c r="AC10" i="7"/>
  <c r="C10" i="7"/>
  <c r="GF9" i="7"/>
  <c r="FK9" i="7"/>
  <c r="EK9" i="7"/>
  <c r="DK9" i="7"/>
  <c r="CL9" i="7"/>
  <c r="BQ9" i="7"/>
  <c r="AQ9" i="7"/>
  <c r="Q9" i="7"/>
  <c r="GC8" i="7"/>
  <c r="FO8" i="7"/>
  <c r="FA8" i="7"/>
  <c r="EM8" i="7"/>
  <c r="DY8" i="7"/>
  <c r="DK8" i="7"/>
  <c r="CW8" i="7"/>
  <c r="CI8" i="7"/>
  <c r="BU8" i="7"/>
  <c r="BG8" i="7"/>
  <c r="AS8" i="7"/>
  <c r="AE8" i="7"/>
  <c r="Q8" i="7"/>
  <c r="C8" i="7"/>
  <c r="GQ7" i="7"/>
  <c r="GC7" i="7"/>
  <c r="FO7" i="7"/>
  <c r="FA7" i="7"/>
  <c r="EM7" i="7"/>
  <c r="DY7" i="7"/>
  <c r="DK7" i="7"/>
  <c r="CW7" i="7"/>
  <c r="CI7" i="7"/>
  <c r="BU7" i="7"/>
  <c r="BG7" i="7"/>
  <c r="AS7" i="7"/>
  <c r="AE7" i="7"/>
  <c r="Q7" i="7"/>
  <c r="C7" i="7"/>
  <c r="GQ6" i="7"/>
  <c r="GC6" i="7"/>
  <c r="FO6" i="7"/>
  <c r="FA6" i="7"/>
  <c r="EM6" i="7"/>
  <c r="EO14" i="7"/>
  <c r="H14" i="7"/>
  <c r="EJ13" i="7"/>
  <c r="AM13" i="7"/>
  <c r="EZ12" i="7"/>
  <c r="BT12" i="7"/>
  <c r="O12" i="7"/>
  <c r="FQ11" i="7"/>
  <c r="DZ11" i="7"/>
  <c r="CF11" i="7"/>
  <c r="AR11" i="7"/>
  <c r="FM10" i="7"/>
  <c r="DT10" i="7"/>
  <c r="BV10" i="7"/>
  <c r="AQ10" i="7"/>
  <c r="FX9" i="7"/>
  <c r="EH9" i="7"/>
  <c r="CW9" i="7"/>
  <c r="BG9" i="7"/>
  <c r="AB9" i="7"/>
  <c r="GP8" i="7"/>
  <c r="FN8" i="7"/>
  <c r="EU8" i="7"/>
  <c r="DW8" i="7"/>
  <c r="DD8" i="7"/>
  <c r="CF8" i="7"/>
  <c r="BM8" i="7"/>
  <c r="AO8" i="7"/>
  <c r="V8" i="7"/>
  <c r="GB7" i="7"/>
  <c r="FI7" i="7"/>
  <c r="EK7" i="7"/>
  <c r="DR7" i="7"/>
  <c r="CT7" i="7"/>
  <c r="CA7" i="7"/>
  <c r="BC7" i="7"/>
  <c r="AJ7" i="7"/>
  <c r="L7" i="7"/>
  <c r="GP6" i="7"/>
  <c r="FW6" i="7"/>
  <c r="EY6" i="7"/>
  <c r="EF6" i="7"/>
  <c r="DJ6" i="7"/>
  <c r="CR6" i="7"/>
  <c r="BZ6" i="7"/>
  <c r="BD6" i="7"/>
  <c r="AM6" i="7"/>
  <c r="V6" i="7"/>
  <c r="G6" i="7"/>
  <c r="GG5" i="7"/>
  <c r="FS5" i="7"/>
  <c r="FE5" i="7"/>
  <c r="EQ5" i="7"/>
  <c r="EC5" i="7"/>
  <c r="DO5" i="7"/>
  <c r="DA5" i="7"/>
  <c r="CM5" i="7"/>
  <c r="BY5" i="7"/>
  <c r="BK5" i="7"/>
  <c r="AW5" i="7"/>
  <c r="AI5" i="7"/>
  <c r="U5" i="7"/>
  <c r="G5" i="7"/>
  <c r="GG4" i="7"/>
  <c r="FS4" i="7"/>
  <c r="FE4" i="7"/>
  <c r="EQ4" i="7"/>
  <c r="EC4" i="7"/>
  <c r="DO4" i="7"/>
  <c r="DA4" i="7"/>
  <c r="CM4" i="7"/>
  <c r="BY4" i="7"/>
  <c r="BK4" i="7"/>
  <c r="AW4" i="7"/>
  <c r="AI4" i="7"/>
  <c r="U4" i="7"/>
  <c r="G4" i="7"/>
  <c r="GG3" i="7"/>
  <c r="FS3" i="7"/>
  <c r="FE3" i="7"/>
  <c r="EQ3" i="7"/>
  <c r="EC3" i="7"/>
  <c r="DO3" i="7"/>
  <c r="DA3" i="7"/>
  <c r="CM3" i="7"/>
  <c r="BY3" i="7"/>
  <c r="BK3" i="7"/>
  <c r="AW3" i="7"/>
  <c r="AI3" i="7"/>
  <c r="U3" i="7"/>
  <c r="G3" i="7"/>
  <c r="EN14" i="7"/>
  <c r="F14" i="7"/>
  <c r="CX13" i="7"/>
  <c r="AG13" i="7"/>
  <c r="EY12" i="7"/>
  <c r="BS12" i="7"/>
  <c r="N12" i="7"/>
  <c r="FP11" i="7"/>
  <c r="DY11" i="7"/>
  <c r="CE11" i="7"/>
  <c r="AQ11" i="7"/>
  <c r="EZ10" i="7"/>
  <c r="DL10" i="7"/>
  <c r="BU10" i="7"/>
  <c r="AP10" i="7"/>
  <c r="FR9" i="7"/>
  <c r="EB9" i="7"/>
  <c r="CV9" i="7"/>
  <c r="BF9" i="7"/>
  <c r="P9" i="7"/>
  <c r="GO8" i="7"/>
  <c r="FM8" i="7"/>
  <c r="ET8" i="7"/>
  <c r="DV8" i="7"/>
  <c r="DC8" i="7"/>
  <c r="CE8" i="7"/>
  <c r="BL8" i="7"/>
  <c r="AN8" i="7"/>
  <c r="P8" i="7"/>
  <c r="GA7" i="7"/>
  <c r="FH7" i="7"/>
  <c r="EJ7" i="7"/>
  <c r="DQ7" i="7"/>
  <c r="CS7" i="7"/>
  <c r="BZ7" i="7"/>
  <c r="BB7" i="7"/>
  <c r="AD7" i="7"/>
  <c r="K7" i="7"/>
  <c r="GO6" i="7"/>
  <c r="FV6" i="7"/>
  <c r="EX6" i="7"/>
  <c r="EE6" i="7"/>
  <c r="DI6" i="7"/>
  <c r="CQ6" i="7"/>
  <c r="BU6" i="7"/>
  <c r="BC6" i="7"/>
  <c r="AL6" i="7"/>
  <c r="U6" i="7"/>
  <c r="F6" i="7"/>
  <c r="GF5" i="7"/>
  <c r="FR5" i="7"/>
  <c r="FD5" i="7"/>
  <c r="EP5" i="7"/>
  <c r="EB5" i="7"/>
  <c r="DN5" i="7"/>
  <c r="CZ5" i="7"/>
  <c r="CL5" i="7"/>
  <c r="BX5" i="7"/>
  <c r="BJ5" i="7"/>
  <c r="AV5" i="7"/>
  <c r="AH5" i="7"/>
  <c r="T5" i="7"/>
  <c r="F5" i="7"/>
  <c r="GF4" i="7"/>
  <c r="FR4" i="7"/>
  <c r="FD4" i="7"/>
  <c r="EP4" i="7"/>
  <c r="EB4" i="7"/>
  <c r="DN4" i="7"/>
  <c r="CZ4" i="7"/>
  <c r="CL4" i="7"/>
  <c r="BX4" i="7"/>
  <c r="BJ4" i="7"/>
  <c r="AV4" i="7"/>
  <c r="AH4" i="7"/>
  <c r="T4" i="7"/>
  <c r="F4" i="7"/>
  <c r="GF3" i="7"/>
  <c r="FR3" i="7"/>
  <c r="FD3" i="7"/>
  <c r="EP3" i="7"/>
  <c r="EB3" i="7"/>
  <c r="DN3" i="7"/>
  <c r="CZ3" i="7"/>
  <c r="CL3" i="7"/>
  <c r="BX3" i="7"/>
  <c r="BJ3" i="7"/>
  <c r="AV3" i="7"/>
  <c r="AH3" i="7"/>
  <c r="T3" i="7"/>
  <c r="F3" i="7"/>
  <c r="EM14" i="7"/>
  <c r="CW13" i="7"/>
  <c r="AF13" i="7"/>
  <c r="EX12" i="7"/>
  <c r="BR12" i="7"/>
  <c r="M12" i="7"/>
  <c r="FO11" i="7"/>
  <c r="DX11" i="7"/>
  <c r="CD11" i="7"/>
  <c r="AD11" i="7"/>
  <c r="EY10" i="7"/>
  <c r="DK10" i="7"/>
  <c r="BT10" i="7"/>
  <c r="AO10" i="7"/>
  <c r="FP9" i="7"/>
  <c r="DZ9" i="7"/>
  <c r="CJ9" i="7"/>
  <c r="BE9" i="7"/>
  <c r="O9" i="7"/>
  <c r="GN8" i="7"/>
  <c r="FL8" i="7"/>
  <c r="ES8" i="7"/>
  <c r="DU8" i="7"/>
  <c r="DB8" i="7"/>
  <c r="CD8" i="7"/>
  <c r="BF8" i="7"/>
  <c r="AM8" i="7"/>
  <c r="O8" i="7"/>
  <c r="FZ7" i="7"/>
  <c r="FG7" i="7"/>
  <c r="EI7" i="7"/>
  <c r="DP7" i="7"/>
  <c r="CR7" i="7"/>
  <c r="BT7" i="7"/>
  <c r="BA7" i="7"/>
  <c r="AC7" i="7"/>
  <c r="J7" i="7"/>
  <c r="GN6" i="7"/>
  <c r="FU6" i="7"/>
  <c r="EW6" i="7"/>
  <c r="ED6" i="7"/>
  <c r="DH6" i="7"/>
  <c r="CP6" i="7"/>
  <c r="BT6" i="7"/>
  <c r="BB6" i="7"/>
  <c r="AK6" i="7"/>
  <c r="T6" i="7"/>
  <c r="E6" i="7"/>
  <c r="GE5" i="7"/>
  <c r="FQ5" i="7"/>
  <c r="FC5" i="7"/>
  <c r="EO5" i="7"/>
  <c r="EA5" i="7"/>
  <c r="DM5" i="7"/>
  <c r="CY5" i="7"/>
  <c r="CK5" i="7"/>
  <c r="BW5" i="7"/>
  <c r="BI5" i="7"/>
  <c r="AU5" i="7"/>
  <c r="AG5" i="7"/>
  <c r="S5" i="7"/>
  <c r="E5" i="7"/>
  <c r="GE4" i="7"/>
  <c r="FQ4" i="7"/>
  <c r="FC4" i="7"/>
  <c r="EO4" i="7"/>
  <c r="EA4" i="7"/>
  <c r="DM4" i="7"/>
  <c r="CY4" i="7"/>
  <c r="CK4" i="7"/>
  <c r="BW4" i="7"/>
  <c r="BI4" i="7"/>
  <c r="AU4" i="7"/>
  <c r="AG4" i="7"/>
  <c r="S4" i="7"/>
  <c r="E4" i="7"/>
  <c r="GE3" i="7"/>
  <c r="FQ3" i="7"/>
  <c r="FC3" i="7"/>
  <c r="EO3" i="7"/>
  <c r="EA3" i="7"/>
  <c r="DM3" i="7"/>
  <c r="CY3" i="7"/>
  <c r="CK3" i="7"/>
  <c r="BW3" i="7"/>
  <c r="BI3" i="7"/>
  <c r="AU3" i="7"/>
  <c r="AG3" i="7"/>
  <c r="S3" i="7"/>
  <c r="E3" i="7"/>
  <c r="EL14" i="7"/>
  <c r="GP13" i="7"/>
  <c r="CV13" i="7"/>
  <c r="L13" i="7"/>
  <c r="EJ12" i="7"/>
  <c r="BQ12" i="7"/>
  <c r="L12" i="7"/>
  <c r="FN11" i="7"/>
  <c r="DJ11" i="7"/>
  <c r="BV11" i="7"/>
  <c r="AC11" i="7"/>
  <c r="GQ10" i="7"/>
  <c r="EX10" i="7"/>
  <c r="DJ10" i="7"/>
  <c r="BS10" i="7"/>
  <c r="AN10" i="7"/>
  <c r="FJ9" i="7"/>
  <c r="DY9" i="7"/>
  <c r="CI9" i="7"/>
  <c r="BD9" i="7"/>
  <c r="N9" i="7"/>
  <c r="GM8" i="7"/>
  <c r="FK8" i="7"/>
  <c r="ER8" i="7"/>
  <c r="DT8" i="7"/>
  <c r="CV8" i="7"/>
  <c r="CC8" i="7"/>
  <c r="BE8" i="7"/>
  <c r="AL8" i="7"/>
  <c r="N8" i="7"/>
  <c r="FY7" i="7"/>
  <c r="FF7" i="7"/>
  <c r="EH7" i="7"/>
  <c r="DJ7" i="7"/>
  <c r="CQ7" i="7"/>
  <c r="BS7" i="7"/>
  <c r="AZ7" i="7"/>
  <c r="AB7" i="7"/>
  <c r="I7" i="7"/>
  <c r="GM6" i="7"/>
  <c r="FT6" i="7"/>
  <c r="EV6" i="7"/>
  <c r="DY6" i="7"/>
  <c r="DG6" i="7"/>
  <c r="CO6" i="7"/>
  <c r="BS6" i="7"/>
  <c r="BA6" i="7"/>
  <c r="AJ6" i="7"/>
  <c r="S6" i="7"/>
  <c r="D6" i="7"/>
  <c r="GD5" i="7"/>
  <c r="FP5" i="7"/>
  <c r="FB5" i="7"/>
  <c r="EN5" i="7"/>
  <c r="DZ5" i="7"/>
  <c r="DL5" i="7"/>
  <c r="CX5" i="7"/>
  <c r="CJ5" i="7"/>
  <c r="BV5" i="7"/>
  <c r="BH5" i="7"/>
  <c r="AT5" i="7"/>
  <c r="AF5" i="7"/>
  <c r="R5" i="7"/>
  <c r="D5" i="7"/>
  <c r="GD4" i="7"/>
  <c r="FP4" i="7"/>
  <c r="FB4" i="7"/>
  <c r="EN4" i="7"/>
  <c r="DZ4" i="7"/>
  <c r="DL4" i="7"/>
  <c r="CX4" i="7"/>
  <c r="CJ4" i="7"/>
  <c r="BV4" i="7"/>
  <c r="BH4" i="7"/>
  <c r="AT4" i="7"/>
  <c r="AF4" i="7"/>
  <c r="R4" i="7"/>
  <c r="D4" i="7"/>
  <c r="GD3" i="7"/>
  <c r="FP3" i="7"/>
  <c r="FB3" i="7"/>
  <c r="EN3" i="7"/>
  <c r="DZ3" i="7"/>
  <c r="DL3" i="7"/>
  <c r="CX3" i="7"/>
  <c r="CJ3" i="7"/>
  <c r="BV3" i="7"/>
  <c r="BH3" i="7"/>
  <c r="AT3" i="7"/>
  <c r="AF3" i="7"/>
  <c r="R3" i="7"/>
  <c r="D3" i="7"/>
  <c r="EK14" i="7"/>
  <c r="GG13" i="7"/>
  <c r="CU13" i="7"/>
  <c r="K13" i="7"/>
  <c r="EI12" i="7"/>
  <c r="BP12" i="7"/>
  <c r="FE11" i="7"/>
  <c r="DI11" i="7"/>
  <c r="BU11" i="7"/>
  <c r="AB11" i="7"/>
  <c r="GP10" i="7"/>
  <c r="EW10" i="7"/>
  <c r="DI10" i="7"/>
  <c r="BR10" i="7"/>
  <c r="AB10" i="7"/>
  <c r="FD9" i="7"/>
  <c r="DX9" i="7"/>
  <c r="CH9" i="7"/>
  <c r="BC9" i="7"/>
  <c r="M9" i="7"/>
  <c r="GL8" i="7"/>
  <c r="FJ8" i="7"/>
  <c r="EL8" i="7"/>
  <c r="DS8" i="7"/>
  <c r="CU8" i="7"/>
  <c r="CB8" i="7"/>
  <c r="BD8" i="7"/>
  <c r="AK8" i="7"/>
  <c r="M8" i="7"/>
  <c r="FX7" i="7"/>
  <c r="EZ7" i="7"/>
  <c r="EG7" i="7"/>
  <c r="DI7" i="7"/>
  <c r="CP7" i="7"/>
  <c r="BR7" i="7"/>
  <c r="AY7" i="7"/>
  <c r="AA7" i="7"/>
  <c r="H7" i="7"/>
  <c r="GL6" i="7"/>
  <c r="FN6" i="7"/>
  <c r="EU6" i="7"/>
  <c r="DX6" i="7"/>
  <c r="DF6" i="7"/>
  <c r="CN6" i="7"/>
  <c r="BR6" i="7"/>
  <c r="AZ6" i="7"/>
  <c r="AG6" i="7"/>
  <c r="Q6" i="7"/>
  <c r="C6" i="7"/>
  <c r="GQ5" i="7"/>
  <c r="GC5" i="7"/>
  <c r="FO5" i="7"/>
  <c r="FA5" i="7"/>
  <c r="EM5" i="7"/>
  <c r="DY5" i="7"/>
  <c r="DK5" i="7"/>
  <c r="CW5" i="7"/>
  <c r="CI5" i="7"/>
  <c r="BU5" i="7"/>
  <c r="BG5" i="7"/>
  <c r="AS5" i="7"/>
  <c r="AE5" i="7"/>
  <c r="Q5" i="7"/>
  <c r="C5" i="7"/>
  <c r="GQ4" i="7"/>
  <c r="GC4" i="7"/>
  <c r="FO4" i="7"/>
  <c r="FA4" i="7"/>
  <c r="EM4" i="7"/>
  <c r="DY4" i="7"/>
  <c r="DK4" i="7"/>
  <c r="CW4" i="7"/>
  <c r="CI4" i="7"/>
  <c r="BU4" i="7"/>
  <c r="BG4" i="7"/>
  <c r="AS4" i="7"/>
  <c r="AE4" i="7"/>
  <c r="Q4" i="7"/>
  <c r="C4" i="7"/>
  <c r="GQ3" i="7"/>
  <c r="GC3" i="7"/>
  <c r="FO3" i="7"/>
  <c r="FA3" i="7"/>
  <c r="EM3" i="7"/>
  <c r="DY3" i="7"/>
  <c r="DK3" i="7"/>
  <c r="CW3" i="7"/>
  <c r="CI3" i="7"/>
  <c r="BU3" i="7"/>
  <c r="BG3" i="7"/>
  <c r="AS3" i="7"/>
  <c r="AE3" i="7"/>
  <c r="Q3" i="7"/>
  <c r="C3" i="7"/>
  <c r="CA14" i="7"/>
  <c r="GF13" i="7"/>
  <c r="CT13" i="7"/>
  <c r="DK12" i="7"/>
  <c r="BC12" i="7"/>
  <c r="FD11" i="7"/>
  <c r="DH11" i="7"/>
  <c r="BT11" i="7"/>
  <c r="AA11" i="7"/>
  <c r="GO10" i="7"/>
  <c r="EV10" i="7"/>
  <c r="CV10" i="7"/>
  <c r="BQ10" i="7"/>
  <c r="AA10" i="7"/>
  <c r="FB9" i="7"/>
  <c r="DW9" i="7"/>
  <c r="CG9" i="7"/>
  <c r="BB9" i="7"/>
  <c r="L9" i="7"/>
  <c r="GB8" i="7"/>
  <c r="FI8" i="7"/>
  <c r="EK8" i="7"/>
  <c r="DR8" i="7"/>
  <c r="CT8" i="7"/>
  <c r="CA8" i="7"/>
  <c r="BC8" i="7"/>
  <c r="AJ8" i="7"/>
  <c r="L8" i="7"/>
  <c r="GP7" i="7"/>
  <c r="FW7" i="7"/>
  <c r="EY7" i="7"/>
  <c r="EF7" i="7"/>
  <c r="DH7" i="7"/>
  <c r="CO7" i="7"/>
  <c r="BQ7" i="7"/>
  <c r="AX7" i="7"/>
  <c r="Z7" i="7"/>
  <c r="B7" i="7"/>
  <c r="GK6" i="7"/>
  <c r="FM6" i="7"/>
  <c r="ET6" i="7"/>
  <c r="DW6" i="7"/>
  <c r="DE6" i="7"/>
  <c r="CI6" i="7"/>
  <c r="BQ6" i="7"/>
  <c r="AY6" i="7"/>
  <c r="AE6" i="7"/>
  <c r="P6" i="7"/>
  <c r="B6" i="7"/>
  <c r="GP5" i="7"/>
  <c r="GB5" i="7"/>
  <c r="FN5" i="7"/>
  <c r="EZ5" i="7"/>
  <c r="EL5" i="7"/>
  <c r="DX5" i="7"/>
  <c r="DJ5" i="7"/>
  <c r="CV5" i="7"/>
  <c r="CH5" i="7"/>
  <c r="BT5" i="7"/>
  <c r="BF5" i="7"/>
  <c r="AR5" i="7"/>
  <c r="AD5" i="7"/>
  <c r="P5" i="7"/>
  <c r="B5" i="7"/>
  <c r="GP4" i="7"/>
  <c r="GB4" i="7"/>
  <c r="FN4" i="7"/>
  <c r="EZ4" i="7"/>
  <c r="EL4" i="7"/>
  <c r="DX4" i="7"/>
  <c r="DJ4" i="7"/>
  <c r="CV4" i="7"/>
  <c r="CH4" i="7"/>
  <c r="BT4" i="7"/>
  <c r="BF4" i="7"/>
  <c r="AR4" i="7"/>
  <c r="AD4" i="7"/>
  <c r="P4" i="7"/>
  <c r="B4" i="7"/>
  <c r="GP3" i="7"/>
  <c r="GB3" i="7"/>
  <c r="FN3" i="7"/>
  <c r="EZ3" i="7"/>
  <c r="EL3" i="7"/>
  <c r="DX3" i="7"/>
  <c r="DJ3" i="7"/>
  <c r="CV3" i="7"/>
  <c r="CH3" i="7"/>
  <c r="BT3" i="7"/>
  <c r="BF3" i="7"/>
  <c r="AR3" i="7"/>
  <c r="AD3" i="7"/>
  <c r="P3" i="7"/>
  <c r="B3" i="7"/>
  <c r="BZ14" i="7"/>
  <c r="GE13" i="7"/>
  <c r="CS13" i="7"/>
  <c r="DJ12" i="7"/>
  <c r="BB12" i="7"/>
  <c r="FC11" i="7"/>
  <c r="DG11" i="7"/>
  <c r="BS11" i="7"/>
  <c r="Z11" i="7"/>
  <c r="GB10" i="7"/>
  <c r="EN10" i="7"/>
  <c r="CU10" i="7"/>
  <c r="BP10" i="7"/>
  <c r="Z10" i="7"/>
  <c r="GQ9" i="7"/>
  <c r="FA9" i="7"/>
  <c r="DV9" i="7"/>
  <c r="CF9" i="7"/>
  <c r="AP9" i="7"/>
  <c r="F9" i="7"/>
  <c r="GA8" i="7"/>
  <c r="FH8" i="7"/>
  <c r="EJ8" i="7"/>
  <c r="DQ8" i="7"/>
  <c r="CS8" i="7"/>
  <c r="BZ8" i="7"/>
  <c r="BB8" i="7"/>
  <c r="AD8" i="7"/>
  <c r="K8" i="7"/>
  <c r="GO7" i="7"/>
  <c r="FV7" i="7"/>
  <c r="EX7" i="7"/>
  <c r="EE7" i="7"/>
  <c r="DG7" i="7"/>
  <c r="CN7" i="7"/>
  <c r="BP7" i="7"/>
  <c r="AR7" i="7"/>
  <c r="Y7" i="7"/>
  <c r="GJ6" i="7"/>
  <c r="FL6" i="7"/>
  <c r="ES6" i="7"/>
  <c r="DV6" i="7"/>
  <c r="DD6" i="7"/>
  <c r="CH6" i="7"/>
  <c r="BP6" i="7"/>
  <c r="AX6" i="7"/>
  <c r="AD6" i="7"/>
  <c r="O6" i="7"/>
  <c r="GO5" i="7"/>
  <c r="GA5" i="7"/>
  <c r="FM5" i="7"/>
  <c r="EY5" i="7"/>
  <c r="EK5" i="7"/>
  <c r="DW5" i="7"/>
  <c r="DI5" i="7"/>
  <c r="CU5" i="7"/>
  <c r="CG5" i="7"/>
  <c r="BS5" i="7"/>
  <c r="BE5" i="7"/>
  <c r="AQ5" i="7"/>
  <c r="AC5" i="7"/>
  <c r="O5" i="7"/>
  <c r="GO4" i="7"/>
  <c r="GA4" i="7"/>
  <c r="FM4" i="7"/>
  <c r="EY4" i="7"/>
  <c r="EK4" i="7"/>
  <c r="DW4" i="7"/>
  <c r="DI4" i="7"/>
  <c r="CU4" i="7"/>
  <c r="CG4" i="7"/>
  <c r="BS4" i="7"/>
  <c r="BE4" i="7"/>
  <c r="AQ4" i="7"/>
  <c r="AC4" i="7"/>
  <c r="O4" i="7"/>
  <c r="GO3" i="7"/>
  <c r="GA3" i="7"/>
  <c r="FM3" i="7"/>
  <c r="EY3" i="7"/>
  <c r="EK3" i="7"/>
  <c r="DW3" i="7"/>
  <c r="DI3" i="7"/>
  <c r="CU3" i="7"/>
  <c r="CG3" i="7"/>
  <c r="BS3" i="7"/>
  <c r="BE3" i="7"/>
  <c r="AQ3" i="7"/>
  <c r="AC3" i="7"/>
  <c r="O3" i="7"/>
  <c r="AX14" i="7"/>
  <c r="BD13" i="7"/>
  <c r="CT12" i="7"/>
  <c r="GH11" i="7"/>
  <c r="CV11" i="7"/>
  <c r="O11" i="7"/>
  <c r="DX10" i="7"/>
  <c r="AV10" i="7"/>
  <c r="GB9" i="7"/>
  <c r="DG9" i="7"/>
  <c r="AF9" i="7"/>
  <c r="FW8" i="7"/>
  <c r="EF8" i="7"/>
  <c r="CO8" i="7"/>
  <c r="AX8" i="7"/>
  <c r="B8" i="7"/>
  <c r="FM7" i="7"/>
  <c r="DV7" i="7"/>
  <c r="CE7" i="7"/>
  <c r="AN7" i="7"/>
  <c r="FH6" i="7"/>
  <c r="DR6" i="7"/>
  <c r="CD6" i="7"/>
  <c r="AQ6" i="7"/>
  <c r="K6" i="7"/>
  <c r="GK5" i="7"/>
  <c r="FI5" i="7"/>
  <c r="EG5" i="7"/>
  <c r="DE5" i="7"/>
  <c r="CC5" i="7"/>
  <c r="BA5" i="7"/>
  <c r="Y5" i="7"/>
  <c r="FW4" i="7"/>
  <c r="EU4" i="7"/>
  <c r="DS4" i="7"/>
  <c r="CQ4" i="7"/>
  <c r="BO4" i="7"/>
  <c r="AM4" i="7"/>
  <c r="K4" i="7"/>
  <c r="GK3" i="7"/>
  <c r="FI3" i="7"/>
  <c r="EG3" i="7"/>
  <c r="DE3" i="7"/>
  <c r="CC3" i="7"/>
  <c r="BA3" i="7"/>
  <c r="Y3" i="7"/>
  <c r="AQ14" i="7"/>
  <c r="BC13" i="7"/>
  <c r="CS12" i="7"/>
  <c r="GG11" i="7"/>
  <c r="CU11" i="7"/>
  <c r="B11" i="7"/>
  <c r="DW10" i="7"/>
  <c r="AT10" i="7"/>
  <c r="GA9" i="7"/>
  <c r="DF9" i="7"/>
  <c r="AE9" i="7"/>
  <c r="FV8" i="7"/>
  <c r="EE8" i="7"/>
  <c r="CN8" i="7"/>
  <c r="AR8" i="7"/>
  <c r="FL7" i="7"/>
  <c r="DU7" i="7"/>
  <c r="CD7" i="7"/>
  <c r="AM7" i="7"/>
  <c r="FG6" i="7"/>
  <c r="DQ6" i="7"/>
  <c r="CC6" i="7"/>
  <c r="AP6" i="7"/>
  <c r="J6" i="7"/>
  <c r="GJ5" i="7"/>
  <c r="FH5" i="7"/>
  <c r="EF5" i="7"/>
  <c r="DD5" i="7"/>
  <c r="CB5" i="7"/>
  <c r="AZ5" i="7"/>
  <c r="X5" i="7"/>
  <c r="FV4" i="7"/>
  <c r="ET4" i="7"/>
  <c r="DR4" i="7"/>
  <c r="CP4" i="7"/>
  <c r="BN4" i="7"/>
  <c r="AL4" i="7"/>
  <c r="J4" i="7"/>
  <c r="GJ3" i="7"/>
  <c r="FH3" i="7"/>
  <c r="EF3" i="7"/>
  <c r="DD3" i="7"/>
  <c r="CB3" i="7"/>
  <c r="AZ3" i="7"/>
  <c r="X3" i="7"/>
  <c r="I14" i="7"/>
  <c r="BB13" i="7"/>
  <c r="CR12" i="7"/>
  <c r="GF11" i="7"/>
  <c r="CH11" i="7"/>
  <c r="DV10" i="7"/>
  <c r="AS10" i="7"/>
  <c r="FZ9" i="7"/>
  <c r="CZ9" i="7"/>
  <c r="AD9" i="7"/>
  <c r="FU8" i="7"/>
  <c r="ED8" i="7"/>
  <c r="CH8" i="7"/>
  <c r="AQ8" i="7"/>
  <c r="FK7" i="7"/>
  <c r="DT7" i="7"/>
  <c r="CC7" i="7"/>
  <c r="AL7" i="7"/>
  <c r="FF6" i="7"/>
  <c r="DP6" i="7"/>
  <c r="CB6" i="7"/>
  <c r="AO6" i="7"/>
  <c r="I6" i="7"/>
  <c r="GI5" i="7"/>
  <c r="FG5" i="7"/>
  <c r="EE5" i="7"/>
  <c r="DC5" i="7"/>
  <c r="CA5" i="7"/>
  <c r="AY5" i="7"/>
  <c r="W5" i="7"/>
  <c r="FU4" i="7"/>
  <c r="ES4" i="7"/>
  <c r="DQ4" i="7"/>
  <c r="CO4" i="7"/>
  <c r="BM4" i="7"/>
  <c r="AK4" i="7"/>
  <c r="I4" i="7"/>
  <c r="GI3" i="7"/>
  <c r="FG3" i="7"/>
  <c r="EE3" i="7"/>
  <c r="DC3" i="7"/>
  <c r="CA3" i="7"/>
  <c r="AY3" i="7"/>
  <c r="W3" i="7"/>
  <c r="AN13" i="7"/>
  <c r="CQ12" i="7"/>
  <c r="FR11" i="7"/>
  <c r="CG11" i="7"/>
  <c r="DU10" i="7"/>
  <c r="AR10" i="7"/>
  <c r="FY9" i="7"/>
  <c r="CX9" i="7"/>
  <c r="AC9" i="7"/>
  <c r="FT8" i="7"/>
  <c r="DX8" i="7"/>
  <c r="CG8" i="7"/>
  <c r="AP8" i="7"/>
  <c r="FJ7" i="7"/>
  <c r="DS7" i="7"/>
  <c r="CB7" i="7"/>
  <c r="AK7" i="7"/>
  <c r="EZ6" i="7"/>
  <c r="DK6" i="7"/>
  <c r="CA6" i="7"/>
  <c r="AN6" i="7"/>
  <c r="H6" i="7"/>
  <c r="GH5" i="7"/>
  <c r="FF5" i="7"/>
  <c r="ED5" i="7"/>
  <c r="DB5" i="7"/>
  <c r="BZ5" i="7"/>
  <c r="AX5" i="7"/>
  <c r="V5" i="7"/>
  <c r="FT4" i="7"/>
  <c r="ER4" i="7"/>
  <c r="DP4" i="7"/>
  <c r="CN4" i="7"/>
  <c r="BL4" i="7"/>
  <c r="AJ4" i="7"/>
  <c r="H4" i="7"/>
  <c r="GH3" i="7"/>
  <c r="FF3" i="7"/>
  <c r="ED3" i="7"/>
  <c r="DB3" i="7"/>
  <c r="BZ3" i="7"/>
  <c r="AX3" i="7"/>
  <c r="V3" i="7"/>
  <c r="FI13" i="7"/>
  <c r="BA12" i="7"/>
  <c r="FB11" i="7"/>
  <c r="BF11" i="7"/>
  <c r="GA10" i="7"/>
  <c r="CT10" i="7"/>
  <c r="T10" i="7"/>
  <c r="EZ9" i="7"/>
  <c r="CE9" i="7"/>
  <c r="D9" i="7"/>
  <c r="FG8" i="7"/>
  <c r="DP8" i="7"/>
  <c r="BT8" i="7"/>
  <c r="AC8" i="7"/>
  <c r="GN7" i="7"/>
  <c r="EW7" i="7"/>
  <c r="DF7" i="7"/>
  <c r="BO7" i="7"/>
  <c r="X7" i="7"/>
  <c r="GI6" i="7"/>
  <c r="ER6" i="7"/>
  <c r="DC6" i="7"/>
  <c r="BO6" i="7"/>
  <c r="AC6" i="7"/>
  <c r="FZ5" i="7"/>
  <c r="EX5" i="7"/>
  <c r="DV5" i="7"/>
  <c r="CT5" i="7"/>
  <c r="BR5" i="7"/>
  <c r="AP5" i="7"/>
  <c r="N5" i="7"/>
  <c r="GN4" i="7"/>
  <c r="FL4" i="7"/>
  <c r="EJ4" i="7"/>
  <c r="DH4" i="7"/>
  <c r="CF4" i="7"/>
  <c r="BD4" i="7"/>
  <c r="AB4" i="7"/>
  <c r="FZ3" i="7"/>
  <c r="EX3" i="7"/>
  <c r="DV3" i="7"/>
  <c r="CT3" i="7"/>
  <c r="BR3" i="7"/>
  <c r="AP3" i="7"/>
  <c r="N3" i="7"/>
  <c r="FC13" i="7"/>
  <c r="GQ12" i="7"/>
  <c r="AU12" i="7"/>
  <c r="EN11" i="7"/>
  <c r="BE11" i="7"/>
  <c r="FZ10" i="7"/>
  <c r="CS10" i="7"/>
  <c r="R10" i="7"/>
  <c r="EY9" i="7"/>
  <c r="CD9" i="7"/>
  <c r="C9" i="7"/>
  <c r="FF8" i="7"/>
  <c r="DJ8" i="7"/>
  <c r="BS8" i="7"/>
  <c r="AB8" i="7"/>
  <c r="GM7" i="7"/>
  <c r="EV7" i="7"/>
  <c r="DE7" i="7"/>
  <c r="BN7" i="7"/>
  <c r="W7" i="7"/>
  <c r="GH6" i="7"/>
  <c r="EL6" i="7"/>
  <c r="DB6" i="7"/>
  <c r="BN6" i="7"/>
  <c r="AB6" i="7"/>
  <c r="FY5" i="7"/>
  <c r="EW5" i="7"/>
  <c r="DU5" i="7"/>
  <c r="CS5" i="7"/>
  <c r="BQ5" i="7"/>
  <c r="AO5" i="7"/>
  <c r="M5" i="7"/>
  <c r="GM4" i="7"/>
  <c r="FK4" i="7"/>
  <c r="EI4" i="7"/>
  <c r="DG4" i="7"/>
  <c r="CE4" i="7"/>
  <c r="BC4" i="7"/>
  <c r="AA4" i="7"/>
  <c r="FY3" i="7"/>
  <c r="EW3" i="7"/>
  <c r="DU3" i="7"/>
  <c r="CS3" i="7"/>
  <c r="BQ3" i="7"/>
  <c r="AO3" i="7"/>
  <c r="M3" i="7"/>
  <c r="EP14" i="7"/>
  <c r="GP12" i="7"/>
  <c r="AS11" i="7"/>
  <c r="CJ10" i="7"/>
  <c r="EX9" i="7"/>
  <c r="AN9" i="7"/>
  <c r="EV8" i="7"/>
  <c r="BP8" i="7"/>
  <c r="GL7" i="7"/>
  <c r="DX7" i="7"/>
  <c r="BD7" i="7"/>
  <c r="FZ6" i="7"/>
  <c r="CW6" i="7"/>
  <c r="AS6" i="7"/>
  <c r="ET5" i="7"/>
  <c r="CR5" i="7"/>
  <c r="BC5" i="7"/>
  <c r="H5" i="7"/>
  <c r="FH4" i="7"/>
  <c r="DF4" i="7"/>
  <c r="BQ4" i="7"/>
  <c r="V4" i="7"/>
  <c r="FV3" i="7"/>
  <c r="DT3" i="7"/>
  <c r="CE3" i="7"/>
  <c r="AJ3" i="7"/>
  <c r="BX14" i="7"/>
  <c r="GO12" i="7"/>
  <c r="GI11" i="7"/>
  <c r="R11" i="7"/>
  <c r="CI10" i="7"/>
  <c r="EW9" i="7"/>
  <c r="AH9" i="7"/>
  <c r="EI8" i="7"/>
  <c r="BO8" i="7"/>
  <c r="GK7" i="7"/>
  <c r="DW7" i="7"/>
  <c r="AQ7" i="7"/>
  <c r="FY6" i="7"/>
  <c r="CV6" i="7"/>
  <c r="AR6" i="7"/>
  <c r="GN5" i="7"/>
  <c r="ES5" i="7"/>
  <c r="CQ5" i="7"/>
  <c r="BB5" i="7"/>
  <c r="FG4" i="7"/>
  <c r="DE4" i="7"/>
  <c r="BP4" i="7"/>
  <c r="N4" i="7"/>
  <c r="FU3" i="7"/>
  <c r="DS3" i="7"/>
  <c r="CD3" i="7"/>
  <c r="AB3" i="7"/>
  <c r="BW14" i="7"/>
  <c r="FC12" i="7"/>
  <c r="EM11" i="7"/>
  <c r="Q11" i="7"/>
  <c r="CH10" i="7"/>
  <c r="EV9" i="7"/>
  <c r="B9" i="7"/>
  <c r="EH8" i="7"/>
  <c r="BN8" i="7"/>
  <c r="GJ7" i="7"/>
  <c r="DD7" i="7"/>
  <c r="AP7" i="7"/>
  <c r="FX6" i="7"/>
  <c r="CU6" i="7"/>
  <c r="AA6" i="7"/>
  <c r="GM5" i="7"/>
  <c r="ER5" i="7"/>
  <c r="CP5" i="7"/>
  <c r="AN5" i="7"/>
  <c r="FF4" i="7"/>
  <c r="DD4" i="7"/>
  <c r="BB4" i="7"/>
  <c r="M4" i="7"/>
  <c r="FT3" i="7"/>
  <c r="DR3" i="7"/>
  <c r="BP3" i="7"/>
  <c r="AA3" i="7"/>
  <c r="BV14" i="7"/>
  <c r="FB12" i="7"/>
  <c r="EL11" i="7"/>
  <c r="P11" i="7"/>
  <c r="BJ10" i="7"/>
  <c r="EJ9" i="7"/>
  <c r="EG8" i="7"/>
  <c r="BA8" i="7"/>
  <c r="GI7" i="7"/>
  <c r="DC7" i="7"/>
  <c r="AO7" i="7"/>
  <c r="FK6" i="7"/>
  <c r="CT6" i="7"/>
  <c r="Z6" i="7"/>
  <c r="GL5" i="7"/>
  <c r="EJ5" i="7"/>
  <c r="CO5" i="7"/>
  <c r="AM5" i="7"/>
  <c r="EX4" i="7"/>
  <c r="DC4" i="7"/>
  <c r="BA4" i="7"/>
  <c r="L4" i="7"/>
  <c r="FL3" i="7"/>
  <c r="DQ3" i="7"/>
  <c r="BO3" i="7"/>
  <c r="Z3" i="7"/>
  <c r="BU14" i="7"/>
  <c r="FA12" i="7"/>
  <c r="EK11" i="7"/>
  <c r="FY10" i="7"/>
  <c r="BH10" i="7"/>
  <c r="EI9" i="7"/>
  <c r="DI8" i="7"/>
  <c r="AZ8" i="7"/>
  <c r="GH7" i="7"/>
  <c r="DB7" i="7"/>
  <c r="V7" i="7"/>
  <c r="FJ6" i="7"/>
  <c r="CS6" i="7"/>
  <c r="Y6" i="7"/>
  <c r="FX5" i="7"/>
  <c r="EI5" i="7"/>
  <c r="CN5" i="7"/>
  <c r="AL5" i="7"/>
  <c r="GL4" i="7"/>
  <c r="EW4" i="7"/>
  <c r="DB4" i="7"/>
  <c r="AZ4" i="7"/>
  <c r="FK3" i="7"/>
  <c r="DP3" i="7"/>
  <c r="BN3" i="7"/>
  <c r="L3" i="7"/>
  <c r="DI12" i="7"/>
  <c r="EJ11" i="7"/>
  <c r="FX10" i="7"/>
  <c r="BB10" i="7"/>
  <c r="DJ9" i="7"/>
  <c r="DH8" i="7"/>
  <c r="AY8" i="7"/>
  <c r="FU7" i="7"/>
  <c r="CV7" i="7"/>
  <c r="P7" i="7"/>
  <c r="FI6" i="7"/>
  <c r="CG6" i="7"/>
  <c r="X6" i="7"/>
  <c r="FW5" i="7"/>
  <c r="EH5" i="7"/>
  <c r="CF5" i="7"/>
  <c r="AK5" i="7"/>
  <c r="GK4" i="7"/>
  <c r="EV4" i="7"/>
  <c r="CT4" i="7"/>
  <c r="AY4" i="7"/>
  <c r="FJ3" i="7"/>
  <c r="DH3" i="7"/>
  <c r="BM3" i="7"/>
  <c r="K3" i="7"/>
  <c r="EO13" i="7"/>
  <c r="DH12" i="7"/>
  <c r="EA11" i="7"/>
  <c r="FP10" i="7"/>
  <c r="Q10" i="7"/>
  <c r="DI9" i="7"/>
  <c r="GQ8" i="7"/>
  <c r="DG8" i="7"/>
  <c r="AA8" i="7"/>
  <c r="FT7" i="7"/>
  <c r="CU7" i="7"/>
  <c r="O7" i="7"/>
  <c r="EK6" i="7"/>
  <c r="CF6" i="7"/>
  <c r="W6" i="7"/>
  <c r="FV5" i="7"/>
  <c r="DT5" i="7"/>
  <c r="CE5" i="7"/>
  <c r="AJ5" i="7"/>
  <c r="GJ4" i="7"/>
  <c r="EH4" i="7"/>
  <c r="CS4" i="7"/>
  <c r="AX4" i="7"/>
  <c r="EV3" i="7"/>
  <c r="DG3" i="7"/>
  <c r="BL3" i="7"/>
  <c r="J3" i="7"/>
  <c r="EK13" i="7"/>
  <c r="BD11" i="7"/>
  <c r="B10" i="7"/>
  <c r="EZ8" i="7"/>
  <c r="W8" i="7"/>
  <c r="BM7" i="7"/>
  <c r="EG6" i="7"/>
  <c r="DP5" i="7"/>
  <c r="L5" i="7"/>
  <c r="ED4" i="7"/>
  <c r="Z4" i="7"/>
  <c r="ER3" i="7"/>
  <c r="AN3" i="7"/>
  <c r="CE13" i="7"/>
  <c r="BC11" i="7"/>
  <c r="GP9" i="7"/>
  <c r="EY8" i="7"/>
  <c r="J8" i="7"/>
  <c r="BL7" i="7"/>
  <c r="DU6" i="7"/>
  <c r="DH5" i="7"/>
  <c r="K5" i="7"/>
  <c r="DV4" i="7"/>
  <c r="Y4" i="7"/>
  <c r="EJ3" i="7"/>
  <c r="AM3" i="7"/>
  <c r="CD13" i="7"/>
  <c r="BB11" i="7"/>
  <c r="GD9" i="7"/>
  <c r="EX8" i="7"/>
  <c r="I8" i="7"/>
  <c r="BF7" i="7"/>
  <c r="DT6" i="7"/>
  <c r="DG5" i="7"/>
  <c r="J5" i="7"/>
  <c r="DU4" i="7"/>
  <c r="X4" i="7"/>
  <c r="EI3" i="7"/>
  <c r="AL3" i="7"/>
  <c r="BE13" i="7"/>
  <c r="AT11" i="7"/>
  <c r="GC9" i="7"/>
  <c r="EW8" i="7"/>
  <c r="H8" i="7"/>
  <c r="BE7" i="7"/>
  <c r="DS6" i="7"/>
  <c r="DF5" i="7"/>
  <c r="I5" i="7"/>
  <c r="DT4" i="7"/>
  <c r="W4" i="7"/>
  <c r="EH3" i="7"/>
  <c r="AK3" i="7"/>
  <c r="DG12" i="7"/>
  <c r="FO10" i="7"/>
  <c r="DH9" i="7"/>
  <c r="DF8" i="7"/>
  <c r="FN7" i="7"/>
  <c r="N7" i="7"/>
  <c r="CE6" i="7"/>
  <c r="FU5" i="7"/>
  <c r="CD5" i="7"/>
  <c r="GI4" i="7"/>
  <c r="CR4" i="7"/>
  <c r="DF3" i="7"/>
  <c r="I3" i="7"/>
  <c r="AD12" i="7"/>
  <c r="FN10" i="7"/>
  <c r="BX9" i="7"/>
  <c r="DE8" i="7"/>
  <c r="EU7" i="7"/>
  <c r="M7" i="7"/>
  <c r="BM6" i="7"/>
  <c r="FT5" i="7"/>
  <c r="BP5" i="7"/>
  <c r="GH4" i="7"/>
  <c r="CD4" i="7"/>
  <c r="CR3" i="7"/>
  <c r="H3" i="7"/>
  <c r="AC12" i="7"/>
  <c r="EM10" i="7"/>
  <c r="BV9" i="7"/>
  <c r="CR8" i="7"/>
  <c r="ET7" i="7"/>
  <c r="BL6" i="7"/>
  <c r="FL5" i="7"/>
  <c r="BO5" i="7"/>
  <c r="FZ4" i="7"/>
  <c r="CC4" i="7"/>
  <c r="GN3" i="7"/>
  <c r="CQ3" i="7"/>
  <c r="Z12" i="7"/>
  <c r="BH9" i="7"/>
  <c r="EL7" i="7"/>
  <c r="BE6" i="7"/>
  <c r="BL5" i="7"/>
  <c r="BZ4" i="7"/>
  <c r="CN3" i="7"/>
  <c r="AO9" i="7"/>
  <c r="ED7" i="7"/>
  <c r="AU6" i="7"/>
  <c r="BD5" i="7"/>
  <c r="BR4" i="7"/>
  <c r="CF3" i="7"/>
  <c r="DF11" i="7"/>
  <c r="FZ8" i="7"/>
  <c r="CH7" i="7"/>
  <c r="N6" i="7"/>
  <c r="AB5" i="7"/>
  <c r="AP4" i="7"/>
  <c r="BD3" i="7"/>
  <c r="CX11" i="7"/>
  <c r="FY8" i="7"/>
  <c r="CG7" i="7"/>
  <c r="M6" i="7"/>
  <c r="AA5" i="7"/>
  <c r="AO4" i="7"/>
  <c r="BC3" i="7"/>
  <c r="CW11" i="7"/>
  <c r="FX8" i="7"/>
  <c r="CF7" i="7"/>
  <c r="L6" i="7"/>
  <c r="Z5" i="7"/>
  <c r="AN4" i="7"/>
  <c r="BB3" i="7"/>
  <c r="EL10" i="7"/>
  <c r="CQ8" i="7"/>
  <c r="FK5" i="7"/>
  <c r="FY4" i="7"/>
  <c r="GM3" i="7"/>
  <c r="FO14" i="7"/>
  <c r="EK10" i="7"/>
  <c r="CP8" i="7"/>
  <c r="FJ5" i="7"/>
  <c r="FX4" i="7"/>
  <c r="GL3" i="7"/>
  <c r="P10" i="7"/>
  <c r="EJ6" i="7"/>
  <c r="EG4" i="7"/>
  <c r="O10" i="7"/>
  <c r="EI6" i="7"/>
  <c r="EF4" i="7"/>
  <c r="N10" i="7"/>
  <c r="EH6" i="7"/>
  <c r="EE4" i="7"/>
  <c r="BP9" i="7"/>
  <c r="BG6" i="7"/>
  <c r="CB4" i="7"/>
  <c r="BJ9" i="7"/>
  <c r="BF6" i="7"/>
  <c r="CA4" i="7"/>
  <c r="FN14" i="7"/>
  <c r="BR8" i="7"/>
  <c r="EV5" i="7"/>
  <c r="FX3" i="7"/>
  <c r="BQ8" i="7"/>
  <c r="EU5" i="7"/>
  <c r="FW3" i="7"/>
  <c r="Y8" i="7"/>
  <c r="ET3" i="7"/>
  <c r="X8" i="7"/>
  <c r="ES3" i="7"/>
  <c r="ES7" i="7"/>
  <c r="CP3" i="7"/>
  <c r="ER7" i="7"/>
  <c r="CO3" i="7"/>
  <c r="GB6" i="7"/>
  <c r="GA6" i="7"/>
  <c r="EN13" i="7"/>
  <c r="DS5" i="7"/>
  <c r="EM13" i="7"/>
  <c r="DR5" i="7"/>
  <c r="BM5" i="7"/>
  <c r="FJ4" i="7"/>
  <c r="FI4" i="7"/>
  <c r="EU3" i="7"/>
  <c r="EL13" i="7"/>
  <c r="AB12" i="7"/>
  <c r="AA12" i="7"/>
  <c r="CR10" i="7"/>
  <c r="CL10" i="7"/>
  <c r="Z8" i="7"/>
  <c r="DQ5" i="7"/>
  <c r="BN5" i="7"/>
  <c r="AC8" i="4"/>
  <c r="CN5" i="4"/>
  <c r="CB8" i="4"/>
  <c r="BN8" i="4"/>
  <c r="FB10" i="4"/>
  <c r="CP4" i="4"/>
  <c r="CB7" i="4"/>
  <c r="BO3" i="4"/>
  <c r="BA6" i="4"/>
  <c r="DJ8" i="4"/>
  <c r="BF12" i="4"/>
  <c r="CR4" i="4"/>
  <c r="CD7" i="4"/>
  <c r="CO10" i="4"/>
  <c r="DG3" i="4"/>
  <c r="CS6" i="4"/>
  <c r="CX9" i="4"/>
  <c r="BR3" i="4"/>
  <c r="CT5" i="4"/>
  <c r="DV7" i="4"/>
  <c r="GE14" i="4"/>
  <c r="CH14" i="4"/>
  <c r="GO14" i="4"/>
  <c r="BE8" i="4"/>
  <c r="CN11" i="4"/>
  <c r="CQ11" i="4"/>
  <c r="DR14" i="4"/>
  <c r="DV13" i="4"/>
  <c r="CU13" i="4"/>
  <c r="AY3" i="3"/>
  <c r="DL9" i="3"/>
  <c r="G5" i="3"/>
  <c r="AT14" i="3"/>
  <c r="O3" i="3"/>
  <c r="CN12" i="3"/>
  <c r="G7" i="3"/>
  <c r="CM12" i="3"/>
  <c r="F7" i="3"/>
  <c r="BH12" i="3"/>
  <c r="FM5" i="3"/>
  <c r="AU13" i="3"/>
  <c r="EL7" i="3"/>
  <c r="CO3" i="3"/>
  <c r="FD10" i="3"/>
  <c r="CX5" i="3"/>
  <c r="CY5" i="3"/>
  <c r="EO9" i="3"/>
  <c r="DF14" i="3"/>
  <c r="DN10" i="3"/>
  <c r="ES10" i="3"/>
  <c r="CP7" i="3"/>
  <c r="DR10" i="3"/>
  <c r="CO14" i="3"/>
  <c r="FW6" i="3"/>
  <c r="EU10" i="3"/>
  <c r="FW13" i="3"/>
  <c r="CR10" i="3"/>
  <c r="CD13" i="3"/>
  <c r="AP5" i="3"/>
  <c r="N9" i="3"/>
  <c r="AP12" i="3"/>
  <c r="DW7" i="3"/>
  <c r="FM12" i="3"/>
  <c r="HA9" i="3"/>
  <c r="HA14" i="2"/>
  <c r="HB13" i="2"/>
  <c r="HB12" i="2"/>
  <c r="HB11" i="2"/>
  <c r="HB10" i="2"/>
  <c r="HB9" i="2"/>
  <c r="HB8" i="2"/>
  <c r="HB7" i="2"/>
  <c r="HB6" i="2"/>
  <c r="HB5" i="2"/>
  <c r="HB4" i="2"/>
  <c r="HB3" i="2"/>
  <c r="GZ14" i="2"/>
  <c r="HA13" i="2"/>
  <c r="HA12" i="2"/>
  <c r="HA11" i="2"/>
  <c r="HA10" i="2"/>
  <c r="HA9" i="2"/>
  <c r="HA8" i="2"/>
  <c r="HA7" i="2"/>
  <c r="HA6" i="2"/>
  <c r="HA5" i="2"/>
  <c r="HA4" i="2"/>
  <c r="HA3" i="2"/>
  <c r="GY14" i="2"/>
  <c r="GZ13" i="2"/>
  <c r="GZ12" i="2"/>
  <c r="GZ11" i="2"/>
  <c r="GZ10" i="2"/>
  <c r="GZ9" i="2"/>
  <c r="GZ8" i="2"/>
  <c r="GZ7" i="2"/>
  <c r="GZ6" i="2"/>
  <c r="GZ5" i="2"/>
  <c r="GZ4" i="2"/>
  <c r="GX14" i="2"/>
  <c r="GY13" i="2"/>
  <c r="GY12" i="2"/>
  <c r="GY11" i="2"/>
  <c r="GY10" i="2"/>
  <c r="GY9" i="2"/>
  <c r="GY8" i="2"/>
  <c r="GY7" i="2"/>
  <c r="GW14" i="2"/>
  <c r="GX13" i="2"/>
  <c r="GX12" i="2"/>
  <c r="GX11" i="2"/>
  <c r="GX10" i="2"/>
  <c r="GX9" i="2"/>
  <c r="GX8" i="2"/>
  <c r="GX7" i="2"/>
  <c r="GX6" i="2"/>
  <c r="GX5" i="2"/>
  <c r="GV14" i="2"/>
  <c r="GW13" i="2"/>
  <c r="GW12" i="2"/>
  <c r="GW11" i="2"/>
  <c r="GW10" i="2"/>
  <c r="GW9" i="2"/>
  <c r="GW8" i="2"/>
  <c r="GW7" i="2"/>
  <c r="GW6" i="2"/>
  <c r="GW5" i="2"/>
  <c r="GW4" i="2"/>
  <c r="GU14" i="2"/>
  <c r="GV13" i="2"/>
  <c r="GV12" i="2"/>
  <c r="GV11" i="2"/>
  <c r="GV10" i="2"/>
  <c r="GV9" i="2"/>
  <c r="GV8" i="2"/>
  <c r="GV7" i="2"/>
  <c r="GV6" i="2"/>
  <c r="GV5" i="2"/>
  <c r="GT14" i="2"/>
  <c r="GR12" i="2"/>
  <c r="HC9" i="2"/>
  <c r="HC11" i="2"/>
  <c r="HC10" i="2"/>
  <c r="GU9" i="2"/>
  <c r="GT7" i="2"/>
  <c r="HC5" i="2"/>
  <c r="GV4" i="2"/>
  <c r="GT11" i="2"/>
  <c r="GT10" i="2"/>
  <c r="GS9" i="2"/>
  <c r="GR7" i="2"/>
  <c r="GU5" i="2"/>
  <c r="GT4" i="2"/>
  <c r="GS11" i="2"/>
  <c r="GS10" i="2"/>
  <c r="GR9" i="2"/>
  <c r="GT5" i="2"/>
  <c r="GS4" i="2"/>
  <c r="HC3" i="2"/>
  <c r="GR11" i="2"/>
  <c r="GR10" i="2"/>
  <c r="GS5" i="2"/>
  <c r="GT8" i="2"/>
  <c r="HB14" i="2"/>
  <c r="GU13" i="2"/>
  <c r="HC12" i="2"/>
  <c r="GS14" i="2"/>
  <c r="GT13" i="2"/>
  <c r="GU12" i="2"/>
  <c r="GU4" i="2"/>
  <c r="GV3" i="2"/>
  <c r="GR14" i="2"/>
  <c r="GS13" i="2"/>
  <c r="GT12" i="2"/>
  <c r="HC6" i="2"/>
  <c r="GR4" i="2"/>
  <c r="GU3" i="2"/>
  <c r="GR13" i="2"/>
  <c r="GS12" i="2"/>
  <c r="GY6" i="2"/>
  <c r="GT3" i="2"/>
  <c r="GU11" i="2"/>
  <c r="GT9" i="2"/>
  <c r="HC8" i="2"/>
  <c r="GU6" i="2"/>
  <c r="GS3" i="2"/>
  <c r="GU8" i="2"/>
  <c r="GT6" i="2"/>
  <c r="GR3" i="2"/>
  <c r="GS8" i="2"/>
  <c r="GS6" i="2"/>
  <c r="GY5" i="2"/>
  <c r="GR8" i="2"/>
  <c r="GR6" i="2"/>
  <c r="GR5" i="2"/>
  <c r="GX4" i="2"/>
  <c r="GU10" i="2"/>
  <c r="GZ3" i="2"/>
  <c r="HC7" i="2"/>
  <c r="GY3" i="2"/>
  <c r="GU7" i="2"/>
  <c r="GX3" i="2"/>
  <c r="GS7" i="2"/>
  <c r="GW3" i="2"/>
  <c r="HC13" i="2"/>
  <c r="HC4" i="2"/>
  <c r="GY4" i="2"/>
  <c r="HC14" i="2"/>
  <c r="GU14" i="6"/>
  <c r="GV13" i="6"/>
  <c r="GV12" i="6"/>
  <c r="GV11" i="6"/>
  <c r="GT14" i="6"/>
  <c r="GU13" i="6"/>
  <c r="GU12" i="6"/>
  <c r="GU11" i="6"/>
  <c r="GS14" i="6"/>
  <c r="GT13" i="6"/>
  <c r="GT12" i="6"/>
  <c r="GT11" i="6"/>
  <c r="GR14" i="6"/>
  <c r="GS13" i="6"/>
  <c r="GS12" i="6"/>
  <c r="GS11" i="6"/>
  <c r="GR13" i="6"/>
  <c r="GR12" i="6"/>
  <c r="GR11" i="6"/>
  <c r="HC14" i="6"/>
  <c r="HA13" i="6"/>
  <c r="HA11" i="6"/>
  <c r="GX10" i="6"/>
  <c r="GX9" i="6"/>
  <c r="GX8" i="6"/>
  <c r="GX7" i="6"/>
  <c r="GZ13" i="6"/>
  <c r="GZ11" i="6"/>
  <c r="GW10" i="6"/>
  <c r="GW9" i="6"/>
  <c r="GW8" i="6"/>
  <c r="GW7" i="6"/>
  <c r="GY13" i="6"/>
  <c r="GY11" i="6"/>
  <c r="GV10" i="6"/>
  <c r="GV9" i="6"/>
  <c r="GV8" i="6"/>
  <c r="GV7" i="6"/>
  <c r="GX13" i="6"/>
  <c r="GX11" i="6"/>
  <c r="GU10" i="6"/>
  <c r="GU9" i="6"/>
  <c r="GU8" i="6"/>
  <c r="GU7" i="6"/>
  <c r="HB14" i="6"/>
  <c r="GW13" i="6"/>
  <c r="GW11" i="6"/>
  <c r="GT10" i="6"/>
  <c r="GT9" i="6"/>
  <c r="GT8" i="6"/>
  <c r="GY14" i="6"/>
  <c r="HC9" i="6"/>
  <c r="GS8" i="6"/>
  <c r="GT6" i="6"/>
  <c r="GT5" i="6"/>
  <c r="GT4" i="6"/>
  <c r="GT3" i="6"/>
  <c r="GX14" i="6"/>
  <c r="HB9" i="6"/>
  <c r="GR8" i="6"/>
  <c r="GS6" i="6"/>
  <c r="GS5" i="6"/>
  <c r="GS4" i="6"/>
  <c r="GS3" i="6"/>
  <c r="GW14" i="6"/>
  <c r="HA9" i="6"/>
  <c r="HC7" i="6"/>
  <c r="GR6" i="6"/>
  <c r="GR5" i="6"/>
  <c r="GR4" i="6"/>
  <c r="GV14" i="6"/>
  <c r="GZ9" i="6"/>
  <c r="HB7" i="6"/>
  <c r="GY9" i="6"/>
  <c r="HA7" i="6"/>
  <c r="HC10" i="6"/>
  <c r="GS9" i="6"/>
  <c r="GZ7" i="6"/>
  <c r="HB10" i="6"/>
  <c r="GR9" i="6"/>
  <c r="GY7" i="6"/>
  <c r="HB6" i="6"/>
  <c r="HB5" i="6"/>
  <c r="HB4" i="6"/>
  <c r="HB3" i="6"/>
  <c r="HB8" i="6"/>
  <c r="HA6" i="6"/>
  <c r="GU5" i="6"/>
  <c r="GV4" i="6"/>
  <c r="GU3" i="6"/>
  <c r="HA8" i="6"/>
  <c r="GZ6" i="6"/>
  <c r="GU4" i="6"/>
  <c r="GR3" i="6"/>
  <c r="HC13" i="6"/>
  <c r="GZ8" i="6"/>
  <c r="GY6" i="6"/>
  <c r="HB13" i="6"/>
  <c r="GY8" i="6"/>
  <c r="GX6" i="6"/>
  <c r="HC12" i="6"/>
  <c r="HA10" i="6"/>
  <c r="GT7" i="6"/>
  <c r="GW6" i="6"/>
  <c r="HB12" i="6"/>
  <c r="GZ10" i="6"/>
  <c r="GS7" i="6"/>
  <c r="GV6" i="6"/>
  <c r="HA12" i="6"/>
  <c r="GY10" i="6"/>
  <c r="GR7" i="6"/>
  <c r="GU6" i="6"/>
  <c r="GZ12" i="6"/>
  <c r="GS10" i="6"/>
  <c r="GY12" i="6"/>
  <c r="GR10" i="6"/>
  <c r="HC4" i="6"/>
  <c r="GX12" i="6"/>
  <c r="HA4" i="6"/>
  <c r="GW12" i="6"/>
  <c r="GZ4" i="6"/>
  <c r="HC11" i="6"/>
  <c r="GY4" i="6"/>
  <c r="HB11" i="6"/>
  <c r="GX4" i="6"/>
  <c r="HC6" i="6"/>
  <c r="GW4" i="6"/>
  <c r="GX3" i="6"/>
  <c r="GW3" i="6"/>
  <c r="GV3" i="6"/>
  <c r="GV5" i="6"/>
  <c r="HC3" i="6"/>
  <c r="HA3" i="6"/>
  <c r="GZ3" i="6"/>
  <c r="HC8" i="6"/>
  <c r="GY3" i="6"/>
  <c r="GX5" i="6"/>
  <c r="GW5" i="6"/>
  <c r="HA14" i="6"/>
  <c r="GZ14" i="6"/>
  <c r="HC5" i="6"/>
  <c r="HA5" i="6"/>
  <c r="GZ5" i="6"/>
  <c r="GY5" i="6"/>
  <c r="GA7" i="4"/>
  <c r="DB5" i="4"/>
  <c r="CQ8" i="4"/>
  <c r="CA4" i="4"/>
  <c r="CA6" i="4"/>
  <c r="CC8" i="4"/>
  <c r="FS10" i="4"/>
  <c r="DD4" i="4"/>
  <c r="CP7" i="4"/>
  <c r="DC10" i="4"/>
  <c r="CC3" i="4"/>
  <c r="BO6" i="4"/>
  <c r="CW12" i="4"/>
  <c r="CR7" i="4"/>
  <c r="DE10" i="4"/>
  <c r="BC4" i="4"/>
  <c r="DG6" i="4"/>
  <c r="DM9" i="4"/>
  <c r="CF3" i="4"/>
  <c r="DH5" i="4"/>
  <c r="FG10" i="4"/>
  <c r="FR12" i="4"/>
  <c r="FE13" i="4"/>
  <c r="FF13" i="4"/>
  <c r="DA14" i="4"/>
  <c r="BS8" i="4"/>
  <c r="DJ11" i="4"/>
  <c r="CP12" i="4"/>
  <c r="DE11" i="4"/>
  <c r="EV14" i="4"/>
  <c r="DI13" i="4"/>
  <c r="FM14" i="3"/>
  <c r="CZ7" i="3"/>
  <c r="AI3" i="3"/>
  <c r="CL9" i="3"/>
  <c r="GP4" i="3"/>
  <c r="AH7" i="3"/>
  <c r="BJ12" i="3"/>
  <c r="GM6" i="3"/>
  <c r="BI12" i="3"/>
  <c r="GG5" i="3"/>
  <c r="FF10" i="3"/>
  <c r="EQ5" i="3"/>
  <c r="S13" i="3"/>
  <c r="DN7" i="3"/>
  <c r="EB10" i="3"/>
  <c r="CD5" i="3"/>
  <c r="DP5" i="3"/>
  <c r="FK9" i="3"/>
  <c r="EB14" i="3"/>
  <c r="S6" i="3"/>
  <c r="EN10" i="3"/>
  <c r="FG10" i="3"/>
  <c r="DP14" i="3"/>
  <c r="DD7" i="3"/>
  <c r="CB11" i="3"/>
  <c r="DC14" i="3"/>
  <c r="GK6" i="3"/>
  <c r="FI10" i="3"/>
  <c r="GK13" i="3"/>
  <c r="DF10" i="3"/>
  <c r="CR13" i="3"/>
  <c r="GN5" i="3"/>
  <c r="AB9" i="3"/>
  <c r="GN12" i="3"/>
  <c r="EK7" i="3"/>
  <c r="DW10" i="3"/>
  <c r="GT12" i="3"/>
  <c r="HC14" i="5"/>
  <c r="HB14" i="5"/>
  <c r="HC13" i="5"/>
  <c r="HC12" i="5"/>
  <c r="HC11" i="5"/>
  <c r="HC10" i="5"/>
  <c r="HA14" i="5"/>
  <c r="HB13" i="5"/>
  <c r="HB12" i="5"/>
  <c r="HB11" i="5"/>
  <c r="GZ14" i="5"/>
  <c r="HA13" i="5"/>
  <c r="GY14" i="5"/>
  <c r="GZ13" i="5"/>
  <c r="GZ12" i="5"/>
  <c r="GZ11" i="5"/>
  <c r="GZ10" i="5"/>
  <c r="GX14" i="5"/>
  <c r="GT13" i="5"/>
  <c r="GX11" i="5"/>
  <c r="HA10" i="5"/>
  <c r="GX9" i="5"/>
  <c r="GX8" i="5"/>
  <c r="GX7" i="5"/>
  <c r="GX6" i="5"/>
  <c r="GW14" i="5"/>
  <c r="GS13" i="5"/>
  <c r="GW11" i="5"/>
  <c r="GY10" i="5"/>
  <c r="GW9" i="5"/>
  <c r="GW8" i="5"/>
  <c r="GW7" i="5"/>
  <c r="GV14" i="5"/>
  <c r="GR13" i="5"/>
  <c r="GV11" i="5"/>
  <c r="GX10" i="5"/>
  <c r="GV9" i="5"/>
  <c r="GV8" i="5"/>
  <c r="GU14" i="5"/>
  <c r="HA12" i="5"/>
  <c r="GU11" i="5"/>
  <c r="GW10" i="5"/>
  <c r="GU9" i="5"/>
  <c r="GU8" i="5"/>
  <c r="GU7" i="5"/>
  <c r="GU6" i="5"/>
  <c r="GT14" i="5"/>
  <c r="GY12" i="5"/>
  <c r="GT11" i="5"/>
  <c r="GV10" i="5"/>
  <c r="GT9" i="5"/>
  <c r="GT8" i="5"/>
  <c r="GR14" i="5"/>
  <c r="GS12" i="5"/>
  <c r="GY11" i="5"/>
  <c r="GZ9" i="5"/>
  <c r="GR12" i="5"/>
  <c r="GS11" i="5"/>
  <c r="GY9" i="5"/>
  <c r="GZ7" i="5"/>
  <c r="GR11" i="5"/>
  <c r="GS9" i="5"/>
  <c r="GY7" i="5"/>
  <c r="GR9" i="5"/>
  <c r="GV7" i="5"/>
  <c r="GT7" i="5"/>
  <c r="GW6" i="5"/>
  <c r="GS5" i="5"/>
  <c r="GS4" i="5"/>
  <c r="GS3" i="5"/>
  <c r="GS14" i="5"/>
  <c r="GS7" i="5"/>
  <c r="GV6" i="5"/>
  <c r="GR5" i="5"/>
  <c r="GR4" i="5"/>
  <c r="GR3" i="5"/>
  <c r="GU12" i="5"/>
  <c r="GS10" i="5"/>
  <c r="GS8" i="5"/>
  <c r="HB6" i="5"/>
  <c r="GU5" i="5"/>
  <c r="GT12" i="5"/>
  <c r="GR10" i="5"/>
  <c r="GR8" i="5"/>
  <c r="HA6" i="5"/>
  <c r="GT5" i="5"/>
  <c r="GZ6" i="5"/>
  <c r="HC3" i="5"/>
  <c r="GY6" i="5"/>
  <c r="HB3" i="5"/>
  <c r="HA11" i="5"/>
  <c r="HC9" i="5"/>
  <c r="GT6" i="5"/>
  <c r="HC4" i="5"/>
  <c r="HA3" i="5"/>
  <c r="HB9" i="5"/>
  <c r="GS6" i="5"/>
  <c r="HB4" i="5"/>
  <c r="GZ3" i="5"/>
  <c r="HA9" i="5"/>
  <c r="HC7" i="5"/>
  <c r="GR6" i="5"/>
  <c r="HC5" i="5"/>
  <c r="HA4" i="5"/>
  <c r="GY3" i="5"/>
  <c r="GY8" i="5"/>
  <c r="GV5" i="5"/>
  <c r="GY13" i="5"/>
  <c r="HB7" i="5"/>
  <c r="GZ4" i="5"/>
  <c r="GX13" i="5"/>
  <c r="HA7" i="5"/>
  <c r="GY4" i="5"/>
  <c r="GW13" i="5"/>
  <c r="GR7" i="5"/>
  <c r="GX4" i="5"/>
  <c r="GV13" i="5"/>
  <c r="GW4" i="5"/>
  <c r="GU13" i="5"/>
  <c r="GV4" i="5"/>
  <c r="GU4" i="5"/>
  <c r="GX12" i="5"/>
  <c r="HB10" i="5"/>
  <c r="HC6" i="5"/>
  <c r="GT4" i="5"/>
  <c r="HB5" i="5"/>
  <c r="HA5" i="5"/>
  <c r="HC8" i="5"/>
  <c r="GZ5" i="5"/>
  <c r="HB8" i="5"/>
  <c r="GY5" i="5"/>
  <c r="HA8" i="5"/>
  <c r="GX5" i="5"/>
  <c r="GZ8" i="5"/>
  <c r="GW5" i="5"/>
  <c r="GV3" i="5"/>
  <c r="GU3" i="5"/>
  <c r="GU10" i="5"/>
  <c r="GT3" i="5"/>
  <c r="GT10" i="5"/>
  <c r="GW12" i="5"/>
  <c r="GV12" i="5"/>
  <c r="GW3" i="5"/>
  <c r="GX3" i="5"/>
  <c r="BL3" i="4"/>
  <c r="DP5" i="4"/>
  <c r="DF8" i="4"/>
  <c r="GF12" i="4"/>
  <c r="CO4" i="4"/>
  <c r="CO6" i="4"/>
  <c r="CR8" i="4"/>
  <c r="DR4" i="4"/>
  <c r="DD7" i="4"/>
  <c r="DS10" i="4"/>
  <c r="CQ3" i="4"/>
  <c r="CC6" i="4"/>
  <c r="BQ9" i="4"/>
  <c r="BB5" i="4"/>
  <c r="DU10" i="4"/>
  <c r="BQ4" i="4"/>
  <c r="BC7" i="4"/>
  <c r="EB9" i="4"/>
  <c r="CT3" i="4"/>
  <c r="DV5" i="4"/>
  <c r="BT8" i="4"/>
  <c r="FF12" i="4"/>
  <c r="GP12" i="4"/>
  <c r="GC13" i="4"/>
  <c r="GD13" i="4"/>
  <c r="DF11" i="4"/>
  <c r="EX10" i="4"/>
  <c r="CG8" i="4"/>
  <c r="DD12" i="4"/>
  <c r="DS11" i="4"/>
  <c r="EW11" i="4"/>
  <c r="FJ14" i="4"/>
  <c r="CS14" i="4"/>
  <c r="EH14" i="3"/>
  <c r="CD7" i="3"/>
  <c r="Q3" i="3"/>
  <c r="BL9" i="3"/>
  <c r="FT4" i="3"/>
  <c r="CS12" i="3"/>
  <c r="H7" i="3"/>
  <c r="AH12" i="3"/>
  <c r="FQ6" i="3"/>
  <c r="AG12" i="3"/>
  <c r="FN5" i="3"/>
  <c r="ED10" i="3"/>
  <c r="DX5" i="3"/>
  <c r="CD6" i="3"/>
  <c r="CZ10" i="3"/>
  <c r="DU6" i="3"/>
  <c r="GF9" i="3"/>
  <c r="FB14" i="3"/>
  <c r="AJ6" i="3"/>
  <c r="FN10" i="3"/>
  <c r="DQ11" i="3"/>
  <c r="ED14" i="3"/>
  <c r="DR7" i="3"/>
  <c r="CP11" i="3"/>
  <c r="DQ14" i="3"/>
  <c r="EU7" i="3"/>
  <c r="FW10" i="3"/>
  <c r="ET14" i="3"/>
  <c r="DF13" i="3"/>
  <c r="N6" i="3"/>
  <c r="AP9" i="3"/>
  <c r="N13" i="3"/>
  <c r="EY7" i="3"/>
  <c r="EK10" i="3"/>
  <c r="DW13" i="3"/>
  <c r="HA7" i="3"/>
  <c r="GP14" i="5"/>
  <c r="GB14" i="5"/>
  <c r="FN14" i="5"/>
  <c r="EZ14" i="5"/>
  <c r="EL14" i="5"/>
  <c r="DX14" i="5"/>
  <c r="DJ14" i="5"/>
  <c r="CV14" i="5"/>
  <c r="CH14" i="5"/>
  <c r="BT14" i="5"/>
  <c r="BF14" i="5"/>
  <c r="AR14" i="5"/>
  <c r="AD14" i="5"/>
  <c r="P14" i="5"/>
  <c r="B14" i="5"/>
  <c r="GQ13" i="5"/>
  <c r="GC13" i="5"/>
  <c r="FO13" i="5"/>
  <c r="FA13" i="5"/>
  <c r="EM13" i="5"/>
  <c r="DY13" i="5"/>
  <c r="DK13" i="5"/>
  <c r="CW13" i="5"/>
  <c r="CI13" i="5"/>
  <c r="BU13" i="5"/>
  <c r="BG13" i="5"/>
  <c r="AS13" i="5"/>
  <c r="AE13" i="5"/>
  <c r="Q13" i="5"/>
  <c r="C13" i="5"/>
  <c r="GQ12" i="5"/>
  <c r="GC12" i="5"/>
  <c r="FO12" i="5"/>
  <c r="FA12" i="5"/>
  <c r="EM12" i="5"/>
  <c r="DY12" i="5"/>
  <c r="DK12" i="5"/>
  <c r="CW12" i="5"/>
  <c r="CI12" i="5"/>
  <c r="BU12" i="5"/>
  <c r="BG12" i="5"/>
  <c r="AS12" i="5"/>
  <c r="AE12" i="5"/>
  <c r="Q12" i="5"/>
  <c r="C12" i="5"/>
  <c r="GQ11" i="5"/>
  <c r="GC11" i="5"/>
  <c r="FO11" i="5"/>
  <c r="FA11" i="5"/>
  <c r="EM11" i="5"/>
  <c r="DY11" i="5"/>
  <c r="DK11" i="5"/>
  <c r="CW11" i="5"/>
  <c r="CI11" i="5"/>
  <c r="BU11" i="5"/>
  <c r="BG11" i="5"/>
  <c r="AS11" i="5"/>
  <c r="AE11" i="5"/>
  <c r="Q11" i="5"/>
  <c r="C11" i="5"/>
  <c r="GQ10" i="5"/>
  <c r="GO14" i="5"/>
  <c r="GA14" i="5"/>
  <c r="FM14" i="5"/>
  <c r="EY14" i="5"/>
  <c r="EK14" i="5"/>
  <c r="DW14" i="5"/>
  <c r="DI14" i="5"/>
  <c r="CU14" i="5"/>
  <c r="CG14" i="5"/>
  <c r="BS14" i="5"/>
  <c r="BE14" i="5"/>
  <c r="AQ14" i="5"/>
  <c r="AC14" i="5"/>
  <c r="O14" i="5"/>
  <c r="GP13" i="5"/>
  <c r="GB13" i="5"/>
  <c r="FN13" i="5"/>
  <c r="EZ13" i="5"/>
  <c r="EL13" i="5"/>
  <c r="DX13" i="5"/>
  <c r="DJ13" i="5"/>
  <c r="CV13" i="5"/>
  <c r="CH13" i="5"/>
  <c r="BT13" i="5"/>
  <c r="BF13" i="5"/>
  <c r="AR13" i="5"/>
  <c r="AD13" i="5"/>
  <c r="P13" i="5"/>
  <c r="B13" i="5"/>
  <c r="GP12" i="5"/>
  <c r="GB12" i="5"/>
  <c r="FN12" i="5"/>
  <c r="EZ12" i="5"/>
  <c r="EL12" i="5"/>
  <c r="DX12" i="5"/>
  <c r="DJ12" i="5"/>
  <c r="CV12" i="5"/>
  <c r="CH12" i="5"/>
  <c r="BT12" i="5"/>
  <c r="BF12" i="5"/>
  <c r="AR12" i="5"/>
  <c r="AD12" i="5"/>
  <c r="P12" i="5"/>
  <c r="B12" i="5"/>
  <c r="GP11" i="5"/>
  <c r="GB11" i="5"/>
  <c r="FN11" i="5"/>
  <c r="EZ11" i="5"/>
  <c r="EL11" i="5"/>
  <c r="DX11" i="5"/>
  <c r="DJ11" i="5"/>
  <c r="CV11" i="5"/>
  <c r="CH11" i="5"/>
  <c r="BT11" i="5"/>
  <c r="BF11" i="5"/>
  <c r="AR11" i="5"/>
  <c r="AD11" i="5"/>
  <c r="P11" i="5"/>
  <c r="B11" i="5"/>
  <c r="GP10" i="5"/>
  <c r="GN14" i="5"/>
  <c r="FZ14" i="5"/>
  <c r="FL14" i="5"/>
  <c r="EX14" i="5"/>
  <c r="EJ14" i="5"/>
  <c r="DV14" i="5"/>
  <c r="DH14" i="5"/>
  <c r="CT14" i="5"/>
  <c r="CF14" i="5"/>
  <c r="BR14" i="5"/>
  <c r="BD14" i="5"/>
  <c r="AP14" i="5"/>
  <c r="AB14" i="5"/>
  <c r="N14" i="5"/>
  <c r="GO13" i="5"/>
  <c r="GA13" i="5"/>
  <c r="FM13" i="5"/>
  <c r="EY13" i="5"/>
  <c r="EK13" i="5"/>
  <c r="DW13" i="5"/>
  <c r="DI13" i="5"/>
  <c r="CU13" i="5"/>
  <c r="CG13" i="5"/>
  <c r="BS13" i="5"/>
  <c r="BE13" i="5"/>
  <c r="AQ13" i="5"/>
  <c r="AC13" i="5"/>
  <c r="O13" i="5"/>
  <c r="GO12" i="5"/>
  <c r="GA12" i="5"/>
  <c r="FM12" i="5"/>
  <c r="EY12" i="5"/>
  <c r="EK12" i="5"/>
  <c r="DW12" i="5"/>
  <c r="DI12" i="5"/>
  <c r="CU12" i="5"/>
  <c r="CG12" i="5"/>
  <c r="BS12" i="5"/>
  <c r="BE12" i="5"/>
  <c r="AQ12" i="5"/>
  <c r="AC12" i="5"/>
  <c r="O12" i="5"/>
  <c r="GO11" i="5"/>
  <c r="GA11" i="5"/>
  <c r="FM11" i="5"/>
  <c r="EY11" i="5"/>
  <c r="EK11" i="5"/>
  <c r="DW11" i="5"/>
  <c r="DI11" i="5"/>
  <c r="CU11" i="5"/>
  <c r="CG11" i="5"/>
  <c r="BS11" i="5"/>
  <c r="BE11" i="5"/>
  <c r="AQ11" i="5"/>
  <c r="AC11" i="5"/>
  <c r="O11" i="5"/>
  <c r="GM14" i="5"/>
  <c r="FY14" i="5"/>
  <c r="FK14" i="5"/>
  <c r="EW14" i="5"/>
  <c r="EI14" i="5"/>
  <c r="DU14" i="5"/>
  <c r="DG14" i="5"/>
  <c r="CS14" i="5"/>
  <c r="CE14" i="5"/>
  <c r="BQ14" i="5"/>
  <c r="BC14" i="5"/>
  <c r="AO14" i="5"/>
  <c r="AA14" i="5"/>
  <c r="M14" i="5"/>
  <c r="GN13" i="5"/>
  <c r="FZ13" i="5"/>
  <c r="FL13" i="5"/>
  <c r="EX13" i="5"/>
  <c r="EJ13" i="5"/>
  <c r="DV13" i="5"/>
  <c r="DH13" i="5"/>
  <c r="CT13" i="5"/>
  <c r="CF13" i="5"/>
  <c r="BR13" i="5"/>
  <c r="BD13" i="5"/>
  <c r="AP13" i="5"/>
  <c r="AB13" i="5"/>
  <c r="N13" i="5"/>
  <c r="GN12" i="5"/>
  <c r="FZ12" i="5"/>
  <c r="FL12" i="5"/>
  <c r="EX12" i="5"/>
  <c r="EJ12" i="5"/>
  <c r="DV12" i="5"/>
  <c r="DH12" i="5"/>
  <c r="CT12" i="5"/>
  <c r="CF12" i="5"/>
  <c r="BR12" i="5"/>
  <c r="BD12" i="5"/>
  <c r="AP12" i="5"/>
  <c r="AB12" i="5"/>
  <c r="N12" i="5"/>
  <c r="GN11" i="5"/>
  <c r="FZ11" i="5"/>
  <c r="FL11" i="5"/>
  <c r="EX11" i="5"/>
  <c r="EJ11" i="5"/>
  <c r="DV11" i="5"/>
  <c r="DH11" i="5"/>
  <c r="CT11" i="5"/>
  <c r="GL14" i="5"/>
  <c r="FX14" i="5"/>
  <c r="FJ14" i="5"/>
  <c r="EV14" i="5"/>
  <c r="EH14" i="5"/>
  <c r="DT14" i="5"/>
  <c r="DF14" i="5"/>
  <c r="CR14" i="5"/>
  <c r="CD14" i="5"/>
  <c r="BP14" i="5"/>
  <c r="BB14" i="5"/>
  <c r="AN14" i="5"/>
  <c r="Z14" i="5"/>
  <c r="L14" i="5"/>
  <c r="GK14" i="5"/>
  <c r="FW14" i="5"/>
  <c r="FI14" i="5"/>
  <c r="EU14" i="5"/>
  <c r="EG14" i="5"/>
  <c r="DS14" i="5"/>
  <c r="DE14" i="5"/>
  <c r="CQ14" i="5"/>
  <c r="CC14" i="5"/>
  <c r="BO14" i="5"/>
  <c r="BA14" i="5"/>
  <c r="AM14" i="5"/>
  <c r="Y14" i="5"/>
  <c r="K14" i="5"/>
  <c r="GL13" i="5"/>
  <c r="FX13" i="5"/>
  <c r="FJ13" i="5"/>
  <c r="EV13" i="5"/>
  <c r="EH13" i="5"/>
  <c r="DT13" i="5"/>
  <c r="DF13" i="5"/>
  <c r="CR13" i="5"/>
  <c r="CD13" i="5"/>
  <c r="BP13" i="5"/>
  <c r="BB13" i="5"/>
  <c r="AN13" i="5"/>
  <c r="Z13" i="5"/>
  <c r="L13" i="5"/>
  <c r="GL12" i="5"/>
  <c r="FX12" i="5"/>
  <c r="FJ12" i="5"/>
  <c r="EV12" i="5"/>
  <c r="EH12" i="5"/>
  <c r="DT12" i="5"/>
  <c r="DF12" i="5"/>
  <c r="CR12" i="5"/>
  <c r="CD12" i="5"/>
  <c r="BP12" i="5"/>
  <c r="BB12" i="5"/>
  <c r="AN12" i="5"/>
  <c r="Z12" i="5"/>
  <c r="L12" i="5"/>
  <c r="GL11" i="5"/>
  <c r="FX11" i="5"/>
  <c r="FJ11" i="5"/>
  <c r="EV11" i="5"/>
  <c r="EH11" i="5"/>
  <c r="DT11" i="5"/>
  <c r="DF11" i="5"/>
  <c r="CR11" i="5"/>
  <c r="CD11" i="5"/>
  <c r="BP11" i="5"/>
  <c r="BB11" i="5"/>
  <c r="AN11" i="5"/>
  <c r="Z11" i="5"/>
  <c r="L11" i="5"/>
  <c r="GD14" i="5"/>
  <c r="FD14" i="5"/>
  <c r="ED14" i="5"/>
  <c r="DD14" i="5"/>
  <c r="CJ14" i="5"/>
  <c r="BJ14" i="5"/>
  <c r="AJ14" i="5"/>
  <c r="J14" i="5"/>
  <c r="FV13" i="5"/>
  <c r="FC13" i="5"/>
  <c r="EE13" i="5"/>
  <c r="DL13" i="5"/>
  <c r="CN13" i="5"/>
  <c r="BQ13" i="5"/>
  <c r="AW13" i="5"/>
  <c r="Y13" i="5"/>
  <c r="F13" i="5"/>
  <c r="GJ12" i="5"/>
  <c r="FQ12" i="5"/>
  <c r="ES12" i="5"/>
  <c r="DZ12" i="5"/>
  <c r="DB12" i="5"/>
  <c r="CE12" i="5"/>
  <c r="BK12" i="5"/>
  <c r="AM12" i="5"/>
  <c r="T12" i="5"/>
  <c r="GE11" i="5"/>
  <c r="FG11" i="5"/>
  <c r="EN11" i="5"/>
  <c r="DP11" i="5"/>
  <c r="CS11" i="5"/>
  <c r="BZ11" i="5"/>
  <c r="BH11" i="5"/>
  <c r="AL11" i="5"/>
  <c r="T11" i="5"/>
  <c r="GJ10" i="5"/>
  <c r="FV10" i="5"/>
  <c r="FH10" i="5"/>
  <c r="ET10" i="5"/>
  <c r="EF10" i="5"/>
  <c r="DR10" i="5"/>
  <c r="DD10" i="5"/>
  <c r="CP10" i="5"/>
  <c r="CB10" i="5"/>
  <c r="BN10" i="5"/>
  <c r="AZ10" i="5"/>
  <c r="AL10" i="5"/>
  <c r="X10" i="5"/>
  <c r="J10" i="5"/>
  <c r="GJ9" i="5"/>
  <c r="FV9" i="5"/>
  <c r="FH9" i="5"/>
  <c r="ET9" i="5"/>
  <c r="EF9" i="5"/>
  <c r="DR9" i="5"/>
  <c r="DD9" i="5"/>
  <c r="CP9" i="5"/>
  <c r="CB9" i="5"/>
  <c r="BN9" i="5"/>
  <c r="AZ9" i="5"/>
  <c r="AL9" i="5"/>
  <c r="X9" i="5"/>
  <c r="J9" i="5"/>
  <c r="GJ8" i="5"/>
  <c r="FV8" i="5"/>
  <c r="FH8" i="5"/>
  <c r="ET8" i="5"/>
  <c r="EF8" i="5"/>
  <c r="DR8" i="5"/>
  <c r="DD8" i="5"/>
  <c r="CP8" i="5"/>
  <c r="CB8" i="5"/>
  <c r="BN8" i="5"/>
  <c r="AZ8" i="5"/>
  <c r="AL8" i="5"/>
  <c r="X8" i="5"/>
  <c r="J8" i="5"/>
  <c r="GJ7" i="5"/>
  <c r="FV7" i="5"/>
  <c r="FH7" i="5"/>
  <c r="ET7" i="5"/>
  <c r="EF7" i="5"/>
  <c r="DR7" i="5"/>
  <c r="DD7" i="5"/>
  <c r="CP7" i="5"/>
  <c r="CB7" i="5"/>
  <c r="BN7" i="5"/>
  <c r="AZ7" i="5"/>
  <c r="AL7" i="5"/>
  <c r="X7" i="5"/>
  <c r="J7" i="5"/>
  <c r="GJ6" i="5"/>
  <c r="FV6" i="5"/>
  <c r="GC14" i="5"/>
  <c r="FC14" i="5"/>
  <c r="EC14" i="5"/>
  <c r="DC14" i="5"/>
  <c r="CI14" i="5"/>
  <c r="BI14" i="5"/>
  <c r="AI14" i="5"/>
  <c r="I14" i="5"/>
  <c r="FU13" i="5"/>
  <c r="FB13" i="5"/>
  <c r="ED13" i="5"/>
  <c r="DG13" i="5"/>
  <c r="CM13" i="5"/>
  <c r="BO13" i="5"/>
  <c r="AV13" i="5"/>
  <c r="X13" i="5"/>
  <c r="E13" i="5"/>
  <c r="GI12" i="5"/>
  <c r="FP12" i="5"/>
  <c r="ER12" i="5"/>
  <c r="DU12" i="5"/>
  <c r="DA12" i="5"/>
  <c r="CC12" i="5"/>
  <c r="BJ12" i="5"/>
  <c r="AL12" i="5"/>
  <c r="S12" i="5"/>
  <c r="GD11" i="5"/>
  <c r="FF11" i="5"/>
  <c r="EI11" i="5"/>
  <c r="DO11" i="5"/>
  <c r="CQ11" i="5"/>
  <c r="BY11" i="5"/>
  <c r="BD11" i="5"/>
  <c r="AK11" i="5"/>
  <c r="S11" i="5"/>
  <c r="GI10" i="5"/>
  <c r="FU10" i="5"/>
  <c r="FG10" i="5"/>
  <c r="ES10" i="5"/>
  <c r="EE10" i="5"/>
  <c r="DQ10" i="5"/>
  <c r="DC10" i="5"/>
  <c r="CO10" i="5"/>
  <c r="CA10" i="5"/>
  <c r="BM10" i="5"/>
  <c r="AY10" i="5"/>
  <c r="AK10" i="5"/>
  <c r="W10" i="5"/>
  <c r="I10" i="5"/>
  <c r="GI9" i="5"/>
  <c r="FU9" i="5"/>
  <c r="FG9" i="5"/>
  <c r="ES9" i="5"/>
  <c r="EE9" i="5"/>
  <c r="DQ9" i="5"/>
  <c r="DC9" i="5"/>
  <c r="CO9" i="5"/>
  <c r="CA9" i="5"/>
  <c r="BM9" i="5"/>
  <c r="AY9" i="5"/>
  <c r="AK9" i="5"/>
  <c r="W9" i="5"/>
  <c r="I9" i="5"/>
  <c r="GI8" i="5"/>
  <c r="FU8" i="5"/>
  <c r="FG8" i="5"/>
  <c r="ES8" i="5"/>
  <c r="EE8" i="5"/>
  <c r="DQ8" i="5"/>
  <c r="DC8" i="5"/>
  <c r="CO8" i="5"/>
  <c r="CA8" i="5"/>
  <c r="BM8" i="5"/>
  <c r="AY8" i="5"/>
  <c r="AK8" i="5"/>
  <c r="W8" i="5"/>
  <c r="I8" i="5"/>
  <c r="GI7" i="5"/>
  <c r="FU7" i="5"/>
  <c r="FG7" i="5"/>
  <c r="ES7" i="5"/>
  <c r="EE7" i="5"/>
  <c r="DQ7" i="5"/>
  <c r="DC7" i="5"/>
  <c r="CO7" i="5"/>
  <c r="CA7" i="5"/>
  <c r="BM7" i="5"/>
  <c r="FV14" i="5"/>
  <c r="FB14" i="5"/>
  <c r="EB14" i="5"/>
  <c r="DB14" i="5"/>
  <c r="CB14" i="5"/>
  <c r="BH14" i="5"/>
  <c r="AH14" i="5"/>
  <c r="H14" i="5"/>
  <c r="FT13" i="5"/>
  <c r="EW13" i="5"/>
  <c r="EC13" i="5"/>
  <c r="DE13" i="5"/>
  <c r="CL13" i="5"/>
  <c r="BN13" i="5"/>
  <c r="AU13" i="5"/>
  <c r="W13" i="5"/>
  <c r="D13" i="5"/>
  <c r="GH12" i="5"/>
  <c r="FK12" i="5"/>
  <c r="EQ12" i="5"/>
  <c r="DS12" i="5"/>
  <c r="CZ12" i="5"/>
  <c r="CB12" i="5"/>
  <c r="BI12" i="5"/>
  <c r="AK12" i="5"/>
  <c r="R12" i="5"/>
  <c r="FY11" i="5"/>
  <c r="FE11" i="5"/>
  <c r="EG11" i="5"/>
  <c r="DN11" i="5"/>
  <c r="CP11" i="5"/>
  <c r="BX11" i="5"/>
  <c r="BC11" i="5"/>
  <c r="AJ11" i="5"/>
  <c r="R11" i="5"/>
  <c r="GH10" i="5"/>
  <c r="FT10" i="5"/>
  <c r="FF10" i="5"/>
  <c r="ER10" i="5"/>
  <c r="ED10" i="5"/>
  <c r="DP10" i="5"/>
  <c r="DB10" i="5"/>
  <c r="CN10" i="5"/>
  <c r="BZ10" i="5"/>
  <c r="BL10" i="5"/>
  <c r="AX10" i="5"/>
  <c r="AJ10" i="5"/>
  <c r="V10" i="5"/>
  <c r="H10" i="5"/>
  <c r="GH9" i="5"/>
  <c r="FT9" i="5"/>
  <c r="FF9" i="5"/>
  <c r="ER9" i="5"/>
  <c r="ED9" i="5"/>
  <c r="DP9" i="5"/>
  <c r="DB9" i="5"/>
  <c r="CN9" i="5"/>
  <c r="BZ9" i="5"/>
  <c r="BL9" i="5"/>
  <c r="AX9" i="5"/>
  <c r="AJ9" i="5"/>
  <c r="V9" i="5"/>
  <c r="H9" i="5"/>
  <c r="FU14" i="5"/>
  <c r="FA14" i="5"/>
  <c r="EA14" i="5"/>
  <c r="DA14" i="5"/>
  <c r="CA14" i="5"/>
  <c r="BG14" i="5"/>
  <c r="AG14" i="5"/>
  <c r="G14" i="5"/>
  <c r="GM13" i="5"/>
  <c r="FS13" i="5"/>
  <c r="EU13" i="5"/>
  <c r="EB13" i="5"/>
  <c r="DD13" i="5"/>
  <c r="CK13" i="5"/>
  <c r="BM13" i="5"/>
  <c r="AT13" i="5"/>
  <c r="V13" i="5"/>
  <c r="GG12" i="5"/>
  <c r="FI12" i="5"/>
  <c r="EP12" i="5"/>
  <c r="DR12" i="5"/>
  <c r="CY12" i="5"/>
  <c r="CA12" i="5"/>
  <c r="BH12" i="5"/>
  <c r="AJ12" i="5"/>
  <c r="M12" i="5"/>
  <c r="FW11" i="5"/>
  <c r="FD11" i="5"/>
  <c r="EF11" i="5"/>
  <c r="DM11" i="5"/>
  <c r="CO11" i="5"/>
  <c r="BW11" i="5"/>
  <c r="BA11" i="5"/>
  <c r="AI11" i="5"/>
  <c r="N11" i="5"/>
  <c r="GG10" i="5"/>
  <c r="FS10" i="5"/>
  <c r="FE10" i="5"/>
  <c r="EQ10" i="5"/>
  <c r="EC10" i="5"/>
  <c r="DO10" i="5"/>
  <c r="DA10" i="5"/>
  <c r="CM10" i="5"/>
  <c r="BY10" i="5"/>
  <c r="BK10" i="5"/>
  <c r="AW10" i="5"/>
  <c r="AI10" i="5"/>
  <c r="U10" i="5"/>
  <c r="G10" i="5"/>
  <c r="GG9" i="5"/>
  <c r="FS9" i="5"/>
  <c r="FE9" i="5"/>
  <c r="EQ9" i="5"/>
  <c r="EC9" i="5"/>
  <c r="DO9" i="5"/>
  <c r="DA9" i="5"/>
  <c r="CM9" i="5"/>
  <c r="BY9" i="5"/>
  <c r="BK9" i="5"/>
  <c r="AW9" i="5"/>
  <c r="AI9" i="5"/>
  <c r="U9" i="5"/>
  <c r="G9" i="5"/>
  <c r="GG8" i="5"/>
  <c r="FS8" i="5"/>
  <c r="FE8" i="5"/>
  <c r="EQ8" i="5"/>
  <c r="EC8" i="5"/>
  <c r="DO8" i="5"/>
  <c r="DA8" i="5"/>
  <c r="CM8" i="5"/>
  <c r="BY8" i="5"/>
  <c r="BK8" i="5"/>
  <c r="AW8" i="5"/>
  <c r="AI8" i="5"/>
  <c r="U8" i="5"/>
  <c r="G8" i="5"/>
  <c r="GG7" i="5"/>
  <c r="FS7" i="5"/>
  <c r="FE7" i="5"/>
  <c r="EQ7" i="5"/>
  <c r="EC7" i="5"/>
  <c r="DO7" i="5"/>
  <c r="DA7" i="5"/>
  <c r="CM7" i="5"/>
  <c r="BY7" i="5"/>
  <c r="BK7" i="5"/>
  <c r="AW7" i="5"/>
  <c r="AI7" i="5"/>
  <c r="U7" i="5"/>
  <c r="G7" i="5"/>
  <c r="GG6" i="5"/>
  <c r="FT14" i="5"/>
  <c r="ET14" i="5"/>
  <c r="DZ14" i="5"/>
  <c r="CZ14" i="5"/>
  <c r="BZ14" i="5"/>
  <c r="AZ14" i="5"/>
  <c r="AF14" i="5"/>
  <c r="F14" i="5"/>
  <c r="GK13" i="5"/>
  <c r="FR13" i="5"/>
  <c r="ET13" i="5"/>
  <c r="EA13" i="5"/>
  <c r="DC13" i="5"/>
  <c r="CJ13" i="5"/>
  <c r="BL13" i="5"/>
  <c r="AO13" i="5"/>
  <c r="U13" i="5"/>
  <c r="GF12" i="5"/>
  <c r="FH12" i="5"/>
  <c r="EO12" i="5"/>
  <c r="DQ12" i="5"/>
  <c r="CX12" i="5"/>
  <c r="BZ12" i="5"/>
  <c r="BC12" i="5"/>
  <c r="AI12" i="5"/>
  <c r="K12" i="5"/>
  <c r="FV11" i="5"/>
  <c r="FC11" i="5"/>
  <c r="EE11" i="5"/>
  <c r="DL11" i="5"/>
  <c r="CN11" i="5"/>
  <c r="BV11" i="5"/>
  <c r="AZ11" i="5"/>
  <c r="AH11" i="5"/>
  <c r="M11" i="5"/>
  <c r="GF10" i="5"/>
  <c r="FR10" i="5"/>
  <c r="FD10" i="5"/>
  <c r="EP10" i="5"/>
  <c r="EB10" i="5"/>
  <c r="DN10" i="5"/>
  <c r="CZ10" i="5"/>
  <c r="CL10" i="5"/>
  <c r="BX10" i="5"/>
  <c r="BJ10" i="5"/>
  <c r="AV10" i="5"/>
  <c r="AH10" i="5"/>
  <c r="T10" i="5"/>
  <c r="F10" i="5"/>
  <c r="GF9" i="5"/>
  <c r="FR9" i="5"/>
  <c r="FD9" i="5"/>
  <c r="EP9" i="5"/>
  <c r="EB9" i="5"/>
  <c r="DN9" i="5"/>
  <c r="CZ9" i="5"/>
  <c r="CL9" i="5"/>
  <c r="BX9" i="5"/>
  <c r="BJ9" i="5"/>
  <c r="AV9" i="5"/>
  <c r="AH9" i="5"/>
  <c r="T9" i="5"/>
  <c r="F9" i="5"/>
  <c r="GF8" i="5"/>
  <c r="FR8" i="5"/>
  <c r="FD8" i="5"/>
  <c r="FR14" i="5"/>
  <c r="ER14" i="5"/>
  <c r="DR14" i="5"/>
  <c r="FQ14" i="5"/>
  <c r="EE14" i="5"/>
  <c r="CN14" i="5"/>
  <c r="AX14" i="5"/>
  <c r="S14" i="5"/>
  <c r="GH13" i="5"/>
  <c r="FE13" i="5"/>
  <c r="DR13" i="5"/>
  <c r="CO13" i="5"/>
  <c r="BC13" i="5"/>
  <c r="T13" i="5"/>
  <c r="FF12" i="5"/>
  <c r="EC12" i="5"/>
  <c r="CP12" i="5"/>
  <c r="BM12" i="5"/>
  <c r="AA12" i="5"/>
  <c r="FQ11" i="5"/>
  <c r="ED11" i="5"/>
  <c r="DA11" i="5"/>
  <c r="BQ11" i="5"/>
  <c r="AP11" i="5"/>
  <c r="I11" i="5"/>
  <c r="GL10" i="5"/>
  <c r="FN10" i="5"/>
  <c r="EU10" i="5"/>
  <c r="DW10" i="5"/>
  <c r="CY10" i="5"/>
  <c r="CF10" i="5"/>
  <c r="BH10" i="5"/>
  <c r="AO10" i="5"/>
  <c r="Q10" i="5"/>
  <c r="GB9" i="5"/>
  <c r="FI9" i="5"/>
  <c r="EK9" i="5"/>
  <c r="DM9" i="5"/>
  <c r="CT9" i="5"/>
  <c r="BV9" i="5"/>
  <c r="BC9" i="5"/>
  <c r="AE9" i="5"/>
  <c r="L9" i="5"/>
  <c r="GP8" i="5"/>
  <c r="FX8" i="5"/>
  <c r="FB8" i="5"/>
  <c r="EK8" i="5"/>
  <c r="DT8" i="5"/>
  <c r="CZ8" i="5"/>
  <c r="CI8" i="5"/>
  <c r="BR8" i="5"/>
  <c r="BA8" i="5"/>
  <c r="AG8" i="5"/>
  <c r="FP14" i="5"/>
  <c r="DY14" i="5"/>
  <c r="CM14" i="5"/>
  <c r="AW14" i="5"/>
  <c r="R14" i="5"/>
  <c r="GG13" i="5"/>
  <c r="FD13" i="5"/>
  <c r="DQ13" i="5"/>
  <c r="CE13" i="5"/>
  <c r="BA13" i="5"/>
  <c r="S13" i="5"/>
  <c r="FE12" i="5"/>
  <c r="EB12" i="5"/>
  <c r="CO12" i="5"/>
  <c r="BL12" i="5"/>
  <c r="Y12" i="5"/>
  <c r="FP11" i="5"/>
  <c r="EC11" i="5"/>
  <c r="CZ11" i="5"/>
  <c r="BO11" i="5"/>
  <c r="AO11" i="5"/>
  <c r="H11" i="5"/>
  <c r="GK10" i="5"/>
  <c r="FM10" i="5"/>
  <c r="EO10" i="5"/>
  <c r="DV10" i="5"/>
  <c r="CX10" i="5"/>
  <c r="CE10" i="5"/>
  <c r="BG10" i="5"/>
  <c r="AN10" i="5"/>
  <c r="P10" i="5"/>
  <c r="GA9" i="5"/>
  <c r="FC9" i="5"/>
  <c r="EJ9" i="5"/>
  <c r="DL9" i="5"/>
  <c r="CS9" i="5"/>
  <c r="BU9" i="5"/>
  <c r="BB9" i="5"/>
  <c r="AD9" i="5"/>
  <c r="K9" i="5"/>
  <c r="GO8" i="5"/>
  <c r="FW8" i="5"/>
  <c r="FA8" i="5"/>
  <c r="EJ8" i="5"/>
  <c r="DS8" i="5"/>
  <c r="CY8" i="5"/>
  <c r="CH8" i="5"/>
  <c r="BQ8" i="5"/>
  <c r="AX8" i="5"/>
  <c r="AF8" i="5"/>
  <c r="O8" i="5"/>
  <c r="GF7" i="5"/>
  <c r="FO7" i="5"/>
  <c r="EX7" i="5"/>
  <c r="EG7" i="5"/>
  <c r="DM7" i="5"/>
  <c r="FO14" i="5"/>
  <c r="DQ14" i="5"/>
  <c r="CL14" i="5"/>
  <c r="AV14" i="5"/>
  <c r="Q14" i="5"/>
  <c r="GF13" i="5"/>
  <c r="ES13" i="5"/>
  <c r="DP13" i="5"/>
  <c r="CC13" i="5"/>
  <c r="AZ13" i="5"/>
  <c r="R13" i="5"/>
  <c r="GM12" i="5"/>
  <c r="FD12" i="5"/>
  <c r="EA12" i="5"/>
  <c r="CN12" i="5"/>
  <c r="BA12" i="5"/>
  <c r="X12" i="5"/>
  <c r="FK11" i="5"/>
  <c r="EB11" i="5"/>
  <c r="CY11" i="5"/>
  <c r="BN11" i="5"/>
  <c r="AM11" i="5"/>
  <c r="G11" i="5"/>
  <c r="GE10" i="5"/>
  <c r="FL10" i="5"/>
  <c r="EN10" i="5"/>
  <c r="DU10" i="5"/>
  <c r="CW10" i="5"/>
  <c r="CD10" i="5"/>
  <c r="BF10" i="5"/>
  <c r="AM10" i="5"/>
  <c r="O10" i="5"/>
  <c r="FZ9" i="5"/>
  <c r="FB9" i="5"/>
  <c r="EI9" i="5"/>
  <c r="DK9" i="5"/>
  <c r="CR9" i="5"/>
  <c r="BT9" i="5"/>
  <c r="BA9" i="5"/>
  <c r="AC9" i="5"/>
  <c r="E9" i="5"/>
  <c r="GN8" i="5"/>
  <c r="FT8" i="5"/>
  <c r="EZ8" i="5"/>
  <c r="EI8" i="5"/>
  <c r="DP8" i="5"/>
  <c r="CX8" i="5"/>
  <c r="CG8" i="5"/>
  <c r="BP8" i="5"/>
  <c r="AV8" i="5"/>
  <c r="AE8" i="5"/>
  <c r="N8" i="5"/>
  <c r="GE7" i="5"/>
  <c r="FN7" i="5"/>
  <c r="EW7" i="5"/>
  <c r="ED7" i="5"/>
  <c r="DL7" i="5"/>
  <c r="CU7" i="5"/>
  <c r="CD7" i="5"/>
  <c r="BJ7" i="5"/>
  <c r="AT7" i="5"/>
  <c r="AD7" i="5"/>
  <c r="FH14" i="5"/>
  <c r="DP14" i="5"/>
  <c r="CK14" i="5"/>
  <c r="AU14" i="5"/>
  <c r="E14" i="5"/>
  <c r="GE13" i="5"/>
  <c r="ER13" i="5"/>
  <c r="DO13" i="5"/>
  <c r="CB13" i="5"/>
  <c r="AY13" i="5"/>
  <c r="M13" i="5"/>
  <c r="GK12" i="5"/>
  <c r="FC12" i="5"/>
  <c r="DP12" i="5"/>
  <c r="CM12" i="5"/>
  <c r="AZ12" i="5"/>
  <c r="W12" i="5"/>
  <c r="GM11" i="5"/>
  <c r="FI11" i="5"/>
  <c r="EA11" i="5"/>
  <c r="CX11" i="5"/>
  <c r="BM11" i="5"/>
  <c r="AG11" i="5"/>
  <c r="F11" i="5"/>
  <c r="GD10" i="5"/>
  <c r="FK10" i="5"/>
  <c r="EM10" i="5"/>
  <c r="DT10" i="5"/>
  <c r="CV10" i="5"/>
  <c r="CC10" i="5"/>
  <c r="BE10" i="5"/>
  <c r="AG10" i="5"/>
  <c r="N10" i="5"/>
  <c r="FY9" i="5"/>
  <c r="FA9" i="5"/>
  <c r="EH9" i="5"/>
  <c r="DJ9" i="5"/>
  <c r="CQ9" i="5"/>
  <c r="BS9" i="5"/>
  <c r="AU9" i="5"/>
  <c r="AB9" i="5"/>
  <c r="D9" i="5"/>
  <c r="GM8" i="5"/>
  <c r="FQ8" i="5"/>
  <c r="EY8" i="5"/>
  <c r="EH8" i="5"/>
  <c r="DN8" i="5"/>
  <c r="CW8" i="5"/>
  <c r="CF8" i="5"/>
  <c r="BO8" i="5"/>
  <c r="AU8" i="5"/>
  <c r="AD8" i="5"/>
  <c r="M8" i="5"/>
  <c r="GD7" i="5"/>
  <c r="FM7" i="5"/>
  <c r="EV7" i="5"/>
  <c r="EB7" i="5"/>
  <c r="DK7" i="5"/>
  <c r="CT7" i="5"/>
  <c r="CC7" i="5"/>
  <c r="BI7" i="5"/>
  <c r="FG14" i="5"/>
  <c r="DO14" i="5"/>
  <c r="BY14" i="5"/>
  <c r="AT14" i="5"/>
  <c r="D14" i="5"/>
  <c r="GD13" i="5"/>
  <c r="EQ13" i="5"/>
  <c r="DN13" i="5"/>
  <c r="CA13" i="5"/>
  <c r="AX13" i="5"/>
  <c r="K13" i="5"/>
  <c r="GE12" i="5"/>
  <c r="FB12" i="5"/>
  <c r="DO12" i="5"/>
  <c r="CL12" i="5"/>
  <c r="AY12" i="5"/>
  <c r="V12" i="5"/>
  <c r="GK11" i="5"/>
  <c r="FH11" i="5"/>
  <c r="DZ11" i="5"/>
  <c r="CM11" i="5"/>
  <c r="BL11" i="5"/>
  <c r="AF11" i="5"/>
  <c r="E11" i="5"/>
  <c r="GC10" i="5"/>
  <c r="FJ10" i="5"/>
  <c r="EL10" i="5"/>
  <c r="DS10" i="5"/>
  <c r="CU10" i="5"/>
  <c r="BW10" i="5"/>
  <c r="BD10" i="5"/>
  <c r="AF10" i="5"/>
  <c r="M10" i="5"/>
  <c r="GQ9" i="5"/>
  <c r="FX9" i="5"/>
  <c r="EZ9" i="5"/>
  <c r="EG9" i="5"/>
  <c r="DI9" i="5"/>
  <c r="CK9" i="5"/>
  <c r="BR9" i="5"/>
  <c r="AT9" i="5"/>
  <c r="AA9" i="5"/>
  <c r="C9" i="5"/>
  <c r="GL8" i="5"/>
  <c r="FP8" i="5"/>
  <c r="EX8" i="5"/>
  <c r="EG8" i="5"/>
  <c r="DM8" i="5"/>
  <c r="CV8" i="5"/>
  <c r="CE8" i="5"/>
  <c r="BL8" i="5"/>
  <c r="AT8" i="5"/>
  <c r="AC8" i="5"/>
  <c r="L8" i="5"/>
  <c r="GC7" i="5"/>
  <c r="FL7" i="5"/>
  <c r="EU7" i="5"/>
  <c r="EA7" i="5"/>
  <c r="DJ7" i="5"/>
  <c r="CS7" i="5"/>
  <c r="BZ7" i="5"/>
  <c r="BH7" i="5"/>
  <c r="AR7" i="5"/>
  <c r="AB7" i="5"/>
  <c r="L7" i="5"/>
  <c r="GF6" i="5"/>
  <c r="FQ6" i="5"/>
  <c r="FC6" i="5"/>
  <c r="EO6" i="5"/>
  <c r="EA6" i="5"/>
  <c r="DM6" i="5"/>
  <c r="CY6" i="5"/>
  <c r="CK6" i="5"/>
  <c r="BW6" i="5"/>
  <c r="BI6" i="5"/>
  <c r="AU6" i="5"/>
  <c r="AG6" i="5"/>
  <c r="S6" i="5"/>
  <c r="E6" i="5"/>
  <c r="GE5" i="5"/>
  <c r="FQ5" i="5"/>
  <c r="FC5" i="5"/>
  <c r="EO5" i="5"/>
  <c r="EA5" i="5"/>
  <c r="DM5" i="5"/>
  <c r="CY5" i="5"/>
  <c r="CK5" i="5"/>
  <c r="BW5" i="5"/>
  <c r="BI5" i="5"/>
  <c r="AU5" i="5"/>
  <c r="AG5" i="5"/>
  <c r="S5" i="5"/>
  <c r="E5" i="5"/>
  <c r="GE4" i="5"/>
  <c r="FQ4" i="5"/>
  <c r="FC4" i="5"/>
  <c r="EO4" i="5"/>
  <c r="EA4" i="5"/>
  <c r="DM4" i="5"/>
  <c r="CY4" i="5"/>
  <c r="CK4" i="5"/>
  <c r="BW4" i="5"/>
  <c r="BI4" i="5"/>
  <c r="AU4" i="5"/>
  <c r="AG4" i="5"/>
  <c r="S4" i="5"/>
  <c r="E4" i="5"/>
  <c r="GE3" i="5"/>
  <c r="FQ3" i="5"/>
  <c r="FC3" i="5"/>
  <c r="EO3" i="5"/>
  <c r="EA3" i="5"/>
  <c r="DM3" i="5"/>
  <c r="CY3" i="5"/>
  <c r="CK3" i="5"/>
  <c r="BW3" i="5"/>
  <c r="BI3" i="5"/>
  <c r="AU3" i="5"/>
  <c r="AG3" i="5"/>
  <c r="S3" i="5"/>
  <c r="E3" i="5"/>
  <c r="FF14" i="5"/>
  <c r="DN14" i="5"/>
  <c r="BX14" i="5"/>
  <c r="AS14" i="5"/>
  <c r="C14" i="5"/>
  <c r="FY13" i="5"/>
  <c r="EP13" i="5"/>
  <c r="DM13" i="5"/>
  <c r="BZ13" i="5"/>
  <c r="AM13" i="5"/>
  <c r="J13" i="5"/>
  <c r="GD12" i="5"/>
  <c r="EW12" i="5"/>
  <c r="DN12" i="5"/>
  <c r="CK12" i="5"/>
  <c r="AX12" i="5"/>
  <c r="U12" i="5"/>
  <c r="GJ11" i="5"/>
  <c r="FB11" i="5"/>
  <c r="DU11" i="5"/>
  <c r="CL11" i="5"/>
  <c r="BK11" i="5"/>
  <c r="AB11" i="5"/>
  <c r="D11" i="5"/>
  <c r="GB10" i="5"/>
  <c r="FI10" i="5"/>
  <c r="EK10" i="5"/>
  <c r="DM10" i="5"/>
  <c r="CT10" i="5"/>
  <c r="BV10" i="5"/>
  <c r="BC10" i="5"/>
  <c r="AE10" i="5"/>
  <c r="L10" i="5"/>
  <c r="GP9" i="5"/>
  <c r="FW9" i="5"/>
  <c r="EY9" i="5"/>
  <c r="EA9" i="5"/>
  <c r="DH9" i="5"/>
  <c r="CJ9" i="5"/>
  <c r="BQ9" i="5"/>
  <c r="AS9" i="5"/>
  <c r="Z9" i="5"/>
  <c r="B9" i="5"/>
  <c r="GK8" i="5"/>
  <c r="FO8" i="5"/>
  <c r="EW8" i="5"/>
  <c r="ED8" i="5"/>
  <c r="DL8" i="5"/>
  <c r="CU8" i="5"/>
  <c r="CD8" i="5"/>
  <c r="BJ8" i="5"/>
  <c r="AS8" i="5"/>
  <c r="AB8" i="5"/>
  <c r="K8" i="5"/>
  <c r="GB7" i="5"/>
  <c r="FK7" i="5"/>
  <c r="ER7" i="5"/>
  <c r="DZ7" i="5"/>
  <c r="DI7" i="5"/>
  <c r="CR7" i="5"/>
  <c r="BX7" i="5"/>
  <c r="BG7" i="5"/>
  <c r="AQ7" i="5"/>
  <c r="AA7" i="5"/>
  <c r="K7" i="5"/>
  <c r="GE6" i="5"/>
  <c r="FP6" i="5"/>
  <c r="FB6" i="5"/>
  <c r="EN6" i="5"/>
  <c r="DZ6" i="5"/>
  <c r="DL6" i="5"/>
  <c r="CX6" i="5"/>
  <c r="CJ6" i="5"/>
  <c r="BV6" i="5"/>
  <c r="BH6" i="5"/>
  <c r="AT6" i="5"/>
  <c r="AF6" i="5"/>
  <c r="R6" i="5"/>
  <c r="D6" i="5"/>
  <c r="GD5" i="5"/>
  <c r="FP5" i="5"/>
  <c r="FB5" i="5"/>
  <c r="EN5" i="5"/>
  <c r="DZ5" i="5"/>
  <c r="DL5" i="5"/>
  <c r="CX5" i="5"/>
  <c r="CJ5" i="5"/>
  <c r="BV5" i="5"/>
  <c r="BH5" i="5"/>
  <c r="AT5" i="5"/>
  <c r="AF5" i="5"/>
  <c r="R5" i="5"/>
  <c r="D5" i="5"/>
  <c r="GD4" i="5"/>
  <c r="FP4" i="5"/>
  <c r="FB4" i="5"/>
  <c r="EN4" i="5"/>
  <c r="DZ4" i="5"/>
  <c r="DL4" i="5"/>
  <c r="CX4" i="5"/>
  <c r="CJ4" i="5"/>
  <c r="BV4" i="5"/>
  <c r="BH4" i="5"/>
  <c r="AT4" i="5"/>
  <c r="AF4" i="5"/>
  <c r="R4" i="5"/>
  <c r="D4" i="5"/>
  <c r="GD3" i="5"/>
  <c r="FP3" i="5"/>
  <c r="FB3" i="5"/>
  <c r="EN3" i="5"/>
  <c r="DZ3" i="5"/>
  <c r="DL3" i="5"/>
  <c r="CX3" i="5"/>
  <c r="CJ3" i="5"/>
  <c r="BV3" i="5"/>
  <c r="BH3" i="5"/>
  <c r="AT3" i="5"/>
  <c r="AF3" i="5"/>
  <c r="R3" i="5"/>
  <c r="D3" i="5"/>
  <c r="GQ14" i="5"/>
  <c r="FE14" i="5"/>
  <c r="DM14" i="5"/>
  <c r="BW14" i="5"/>
  <c r="AL14" i="5"/>
  <c r="FW13" i="5"/>
  <c r="EO13" i="5"/>
  <c r="DB13" i="5"/>
  <c r="BY13" i="5"/>
  <c r="AL13" i="5"/>
  <c r="I13" i="5"/>
  <c r="FY12" i="5"/>
  <c r="EU12" i="5"/>
  <c r="DM12" i="5"/>
  <c r="EF14" i="5"/>
  <c r="AY14" i="5"/>
  <c r="GJ13" i="5"/>
  <c r="DU13" i="5"/>
  <c r="BI13" i="5"/>
  <c r="EE12" i="5"/>
  <c r="BQ12" i="5"/>
  <c r="G12" i="5"/>
  <c r="EU11" i="5"/>
  <c r="DB11" i="5"/>
  <c r="AV11" i="5"/>
  <c r="FB10" i="5"/>
  <c r="DX10" i="5"/>
  <c r="CI10" i="5"/>
  <c r="AT10" i="5"/>
  <c r="E10" i="5"/>
  <c r="GC9" i="5"/>
  <c r="EN9" i="5"/>
  <c r="CY9" i="5"/>
  <c r="BO9" i="5"/>
  <c r="AF9" i="5"/>
  <c r="FK8" i="5"/>
  <c r="EA8" i="5"/>
  <c r="DB8" i="5"/>
  <c r="BU8" i="5"/>
  <c r="AO8" i="5"/>
  <c r="H8" i="5"/>
  <c r="GM7" i="5"/>
  <c r="FI7" i="5"/>
  <c r="EJ7" i="5"/>
  <c r="DF7" i="5"/>
  <c r="CH7" i="5"/>
  <c r="BF7" i="5"/>
  <c r="AM7" i="5"/>
  <c r="R7" i="5"/>
  <c r="GI6" i="5"/>
  <c r="FO6" i="5"/>
  <c r="EY6" i="5"/>
  <c r="EI6" i="5"/>
  <c r="DS6" i="5"/>
  <c r="DC6" i="5"/>
  <c r="CM6" i="5"/>
  <c r="BU6" i="5"/>
  <c r="BE6" i="5"/>
  <c r="AO6" i="5"/>
  <c r="Y6" i="5"/>
  <c r="I6" i="5"/>
  <c r="GC5" i="5"/>
  <c r="FM5" i="5"/>
  <c r="EW5" i="5"/>
  <c r="EG5" i="5"/>
  <c r="DQ5" i="5"/>
  <c r="DA5" i="5"/>
  <c r="CI5" i="5"/>
  <c r="BS5" i="5"/>
  <c r="BC5" i="5"/>
  <c r="AM5" i="5"/>
  <c r="W5" i="5"/>
  <c r="G5" i="5"/>
  <c r="GQ4" i="5"/>
  <c r="GA4" i="5"/>
  <c r="FK4" i="5"/>
  <c r="EU4" i="5"/>
  <c r="EE4" i="5"/>
  <c r="DO4" i="5"/>
  <c r="CW4" i="5"/>
  <c r="CG4" i="5"/>
  <c r="BQ4" i="5"/>
  <c r="BA4" i="5"/>
  <c r="AK4" i="5"/>
  <c r="U4" i="5"/>
  <c r="C4" i="5"/>
  <c r="GO3" i="5"/>
  <c r="FY3" i="5"/>
  <c r="FI3" i="5"/>
  <c r="ES3" i="5"/>
  <c r="EC3" i="5"/>
  <c r="DK3" i="5"/>
  <c r="CU3" i="5"/>
  <c r="CE3" i="5"/>
  <c r="BO3" i="5"/>
  <c r="AY3" i="5"/>
  <c r="AI3" i="5"/>
  <c r="Q3" i="5"/>
  <c r="GJ14" i="5"/>
  <c r="DL14" i="5"/>
  <c r="AK14" i="5"/>
  <c r="GI13" i="5"/>
  <c r="DS13" i="5"/>
  <c r="BH13" i="5"/>
  <c r="ED12" i="5"/>
  <c r="BO12" i="5"/>
  <c r="F12" i="5"/>
  <c r="ET11" i="5"/>
  <c r="CK11" i="5"/>
  <c r="AU11" i="5"/>
  <c r="FA10" i="5"/>
  <c r="DL10" i="5"/>
  <c r="CH10" i="5"/>
  <c r="AS10" i="5"/>
  <c r="D10" i="5"/>
  <c r="FQ9" i="5"/>
  <c r="EM9" i="5"/>
  <c r="CX9" i="5"/>
  <c r="BI9" i="5"/>
  <c r="Y9" i="5"/>
  <c r="FJ8" i="5"/>
  <c r="DZ8" i="5"/>
  <c r="CT8" i="5"/>
  <c r="BT8" i="5"/>
  <c r="AN8" i="5"/>
  <c r="F8" i="5"/>
  <c r="GL7" i="5"/>
  <c r="FF7" i="5"/>
  <c r="EI7" i="5"/>
  <c r="DE7" i="5"/>
  <c r="CG7" i="5"/>
  <c r="BE7" i="5"/>
  <c r="AK7" i="5"/>
  <c r="Q7" i="5"/>
  <c r="GH6" i="5"/>
  <c r="FN6" i="5"/>
  <c r="EX6" i="5"/>
  <c r="EH6" i="5"/>
  <c r="DR6" i="5"/>
  <c r="DB6" i="5"/>
  <c r="CL6" i="5"/>
  <c r="BT6" i="5"/>
  <c r="BD6" i="5"/>
  <c r="AN6" i="5"/>
  <c r="X6" i="5"/>
  <c r="H6" i="5"/>
  <c r="GB5" i="5"/>
  <c r="FL5" i="5"/>
  <c r="EV5" i="5"/>
  <c r="EF5" i="5"/>
  <c r="DP5" i="5"/>
  <c r="CZ5" i="5"/>
  <c r="CH5" i="5"/>
  <c r="BR5" i="5"/>
  <c r="BB5" i="5"/>
  <c r="AL5" i="5"/>
  <c r="V5" i="5"/>
  <c r="F5" i="5"/>
  <c r="GP4" i="5"/>
  <c r="FZ4" i="5"/>
  <c r="FJ4" i="5"/>
  <c r="ET4" i="5"/>
  <c r="ED4" i="5"/>
  <c r="DN4" i="5"/>
  <c r="CV4" i="5"/>
  <c r="CF4" i="5"/>
  <c r="BP4" i="5"/>
  <c r="AZ4" i="5"/>
  <c r="AJ4" i="5"/>
  <c r="T4" i="5"/>
  <c r="B4" i="5"/>
  <c r="GN3" i="5"/>
  <c r="FX3" i="5"/>
  <c r="FH3" i="5"/>
  <c r="ER3" i="5"/>
  <c r="EB3" i="5"/>
  <c r="DJ3" i="5"/>
  <c r="CT3" i="5"/>
  <c r="CD3" i="5"/>
  <c r="BN3" i="5"/>
  <c r="AX3" i="5"/>
  <c r="AH3" i="5"/>
  <c r="P3" i="5"/>
  <c r="GI14" i="5"/>
  <c r="DK14" i="5"/>
  <c r="AE14" i="5"/>
  <c r="FQ13" i="5"/>
  <c r="DA13" i="5"/>
  <c r="AK13" i="5"/>
  <c r="FW12" i="5"/>
  <c r="DL12" i="5"/>
  <c r="BN12" i="5"/>
  <c r="E12" i="5"/>
  <c r="ES11" i="5"/>
  <c r="CJ11" i="5"/>
  <c r="AT11" i="5"/>
  <c r="GO10" i="5"/>
  <c r="EZ10" i="5"/>
  <c r="DK10" i="5"/>
  <c r="CG10" i="5"/>
  <c r="AR10" i="5"/>
  <c r="C10" i="5"/>
  <c r="FP9" i="5"/>
  <c r="EL9" i="5"/>
  <c r="CW9" i="5"/>
  <c r="BH9" i="5"/>
  <c r="S9" i="5"/>
  <c r="GQ8" i="5"/>
  <c r="FI8" i="5"/>
  <c r="DY8" i="5"/>
  <c r="CS8" i="5"/>
  <c r="BS8" i="5"/>
  <c r="AM8" i="5"/>
  <c r="E8" i="5"/>
  <c r="GK7" i="5"/>
  <c r="FD7" i="5"/>
  <c r="EH7" i="5"/>
  <c r="DB7" i="5"/>
  <c r="CF7" i="5"/>
  <c r="BD7" i="5"/>
  <c r="AJ7" i="5"/>
  <c r="P7" i="5"/>
  <c r="GD6" i="5"/>
  <c r="FM6" i="5"/>
  <c r="EW6" i="5"/>
  <c r="EG6" i="5"/>
  <c r="DQ6" i="5"/>
  <c r="DA6" i="5"/>
  <c r="CI6" i="5"/>
  <c r="BS6" i="5"/>
  <c r="BC6" i="5"/>
  <c r="AM6" i="5"/>
  <c r="W6" i="5"/>
  <c r="G6" i="5"/>
  <c r="GQ5" i="5"/>
  <c r="GA5" i="5"/>
  <c r="FK5" i="5"/>
  <c r="EU5" i="5"/>
  <c r="EE5" i="5"/>
  <c r="DO5" i="5"/>
  <c r="CW5" i="5"/>
  <c r="CG5" i="5"/>
  <c r="BQ5" i="5"/>
  <c r="BA5" i="5"/>
  <c r="AK5" i="5"/>
  <c r="U5" i="5"/>
  <c r="C5" i="5"/>
  <c r="GO4" i="5"/>
  <c r="FY4" i="5"/>
  <c r="FI4" i="5"/>
  <c r="ES4" i="5"/>
  <c r="EC4" i="5"/>
  <c r="DK4" i="5"/>
  <c r="CU4" i="5"/>
  <c r="CE4" i="5"/>
  <c r="BO4" i="5"/>
  <c r="AY4" i="5"/>
  <c r="AI4" i="5"/>
  <c r="Q4" i="5"/>
  <c r="GM3" i="5"/>
  <c r="FW3" i="5"/>
  <c r="FG3" i="5"/>
  <c r="EQ3" i="5"/>
  <c r="DY3" i="5"/>
  <c r="DI3" i="5"/>
  <c r="CS3" i="5"/>
  <c r="CC3" i="5"/>
  <c r="BM3" i="5"/>
  <c r="AW3" i="5"/>
  <c r="AE3" i="5"/>
  <c r="O3" i="5"/>
  <c r="GH14" i="5"/>
  <c r="CY14" i="5"/>
  <c r="X14" i="5"/>
  <c r="FP13" i="5"/>
  <c r="CZ13" i="5"/>
  <c r="AJ13" i="5"/>
  <c r="FV12" i="5"/>
  <c r="DG12" i="5"/>
  <c r="AW12" i="5"/>
  <c r="D12" i="5"/>
  <c r="ER11" i="5"/>
  <c r="CF11" i="5"/>
  <c r="AA11" i="5"/>
  <c r="GN10" i="5"/>
  <c r="EY10" i="5"/>
  <c r="DJ10" i="5"/>
  <c r="BU10" i="5"/>
  <c r="AQ10" i="5"/>
  <c r="B10" i="5"/>
  <c r="FO9" i="5"/>
  <c r="DZ9" i="5"/>
  <c r="CV9" i="5"/>
  <c r="BG9" i="5"/>
  <c r="R9" i="5"/>
  <c r="GH8" i="5"/>
  <c r="FF8" i="5"/>
  <c r="DX8" i="5"/>
  <c r="CR8" i="5"/>
  <c r="BI8" i="5"/>
  <c r="AJ8" i="5"/>
  <c r="D8" i="5"/>
  <c r="GH7" i="5"/>
  <c r="FC7" i="5"/>
  <c r="DY7" i="5"/>
  <c r="CZ7" i="5"/>
  <c r="CE7" i="5"/>
  <c r="BC7" i="5"/>
  <c r="AH7" i="5"/>
  <c r="O7" i="5"/>
  <c r="GC6" i="5"/>
  <c r="FL6" i="5"/>
  <c r="EV6" i="5"/>
  <c r="EF6" i="5"/>
  <c r="DP6" i="5"/>
  <c r="CZ6" i="5"/>
  <c r="CH6" i="5"/>
  <c r="BR6" i="5"/>
  <c r="BB6" i="5"/>
  <c r="AL6" i="5"/>
  <c r="V6" i="5"/>
  <c r="F6" i="5"/>
  <c r="GP5" i="5"/>
  <c r="FZ5" i="5"/>
  <c r="FJ5" i="5"/>
  <c r="ET5" i="5"/>
  <c r="ED5" i="5"/>
  <c r="DN5" i="5"/>
  <c r="CV5" i="5"/>
  <c r="CF5" i="5"/>
  <c r="BP5" i="5"/>
  <c r="AZ5" i="5"/>
  <c r="AJ5" i="5"/>
  <c r="T5" i="5"/>
  <c r="B5" i="5"/>
  <c r="GN4" i="5"/>
  <c r="FX4" i="5"/>
  <c r="FH4" i="5"/>
  <c r="ER4" i="5"/>
  <c r="EB4" i="5"/>
  <c r="DJ4" i="5"/>
  <c r="CT4" i="5"/>
  <c r="CD4" i="5"/>
  <c r="BN4" i="5"/>
  <c r="AX4" i="5"/>
  <c r="AH4" i="5"/>
  <c r="P4" i="5"/>
  <c r="GL3" i="5"/>
  <c r="FV3" i="5"/>
  <c r="FF3" i="5"/>
  <c r="EP3" i="5"/>
  <c r="DX3" i="5"/>
  <c r="DH3" i="5"/>
  <c r="CR3" i="5"/>
  <c r="CB3" i="5"/>
  <c r="BL3" i="5"/>
  <c r="AV3" i="5"/>
  <c r="AD3" i="5"/>
  <c r="N3" i="5"/>
  <c r="GG14" i="5"/>
  <c r="CX14" i="5"/>
  <c r="W14" i="5"/>
  <c r="FK13" i="5"/>
  <c r="CY13" i="5"/>
  <c r="AI13" i="5"/>
  <c r="FU12" i="5"/>
  <c r="DE12" i="5"/>
  <c r="AV12" i="5"/>
  <c r="EQ11" i="5"/>
  <c r="CE11" i="5"/>
  <c r="Y11" i="5"/>
  <c r="GM10" i="5"/>
  <c r="EX10" i="5"/>
  <c r="DI10" i="5"/>
  <c r="BT10" i="5"/>
  <c r="AP10" i="5"/>
  <c r="FN9" i="5"/>
  <c r="DY9" i="5"/>
  <c r="CU9" i="5"/>
  <c r="BF9" i="5"/>
  <c r="Q9" i="5"/>
  <c r="GE8" i="5"/>
  <c r="FC8" i="5"/>
  <c r="DW8" i="5"/>
  <c r="CQ8" i="5"/>
  <c r="BH8" i="5"/>
  <c r="AH8" i="5"/>
  <c r="C8" i="5"/>
  <c r="GA7" i="5"/>
  <c r="FB7" i="5"/>
  <c r="DX7" i="5"/>
  <c r="CY7" i="5"/>
  <c r="BW7" i="5"/>
  <c r="BB7" i="5"/>
  <c r="AG7" i="5"/>
  <c r="N7" i="5"/>
  <c r="GB6" i="5"/>
  <c r="FK6" i="5"/>
  <c r="EU6" i="5"/>
  <c r="EE6" i="5"/>
  <c r="DO6" i="5"/>
  <c r="CW6" i="5"/>
  <c r="CG6" i="5"/>
  <c r="BQ6" i="5"/>
  <c r="BA6" i="5"/>
  <c r="AK6" i="5"/>
  <c r="U6" i="5"/>
  <c r="C6" i="5"/>
  <c r="GO5" i="5"/>
  <c r="FY5" i="5"/>
  <c r="FI5" i="5"/>
  <c r="ES5" i="5"/>
  <c r="EC5" i="5"/>
  <c r="DK5" i="5"/>
  <c r="CU5" i="5"/>
  <c r="CE5" i="5"/>
  <c r="BO5" i="5"/>
  <c r="AY5" i="5"/>
  <c r="AI5" i="5"/>
  <c r="Q5" i="5"/>
  <c r="GM4" i="5"/>
  <c r="FW4" i="5"/>
  <c r="FG4" i="5"/>
  <c r="EQ4" i="5"/>
  <c r="DY4" i="5"/>
  <c r="DI4" i="5"/>
  <c r="CS4" i="5"/>
  <c r="CC4" i="5"/>
  <c r="BM4" i="5"/>
  <c r="AW4" i="5"/>
  <c r="AE4" i="5"/>
  <c r="O4" i="5"/>
  <c r="GK3" i="5"/>
  <c r="FU3" i="5"/>
  <c r="FE3" i="5"/>
  <c r="EM3" i="5"/>
  <c r="DW3" i="5"/>
  <c r="DG3" i="5"/>
  <c r="CQ3" i="5"/>
  <c r="CA3" i="5"/>
  <c r="BK3" i="5"/>
  <c r="AS3" i="5"/>
  <c r="AC3" i="5"/>
  <c r="M3" i="5"/>
  <c r="GF14" i="5"/>
  <c r="CW14" i="5"/>
  <c r="V14" i="5"/>
  <c r="FI13" i="5"/>
  <c r="CX13" i="5"/>
  <c r="AH13" i="5"/>
  <c r="FT12" i="5"/>
  <c r="DD12" i="5"/>
  <c r="AU12" i="5"/>
  <c r="GI11" i="5"/>
  <c r="EP11" i="5"/>
  <c r="CC11" i="5"/>
  <c r="X11" i="5"/>
  <c r="GA10" i="5"/>
  <c r="EW10" i="5"/>
  <c r="DH10" i="5"/>
  <c r="BS10" i="5"/>
  <c r="AD10" i="5"/>
  <c r="FM9" i="5"/>
  <c r="DX9" i="5"/>
  <c r="CI9" i="5"/>
  <c r="BE9" i="5"/>
  <c r="P9" i="5"/>
  <c r="GD8" i="5"/>
  <c r="EV8" i="5"/>
  <c r="DV8" i="5"/>
  <c r="CN8" i="5"/>
  <c r="BG8" i="5"/>
  <c r="AA8" i="5"/>
  <c r="B8" i="5"/>
  <c r="FZ7" i="5"/>
  <c r="FA7" i="5"/>
  <c r="DW7" i="5"/>
  <c r="CX7" i="5"/>
  <c r="BV7" i="5"/>
  <c r="BA7" i="5"/>
  <c r="AF7" i="5"/>
  <c r="M7" i="5"/>
  <c r="GA6" i="5"/>
  <c r="FJ6" i="5"/>
  <c r="ET6" i="5"/>
  <c r="ED6" i="5"/>
  <c r="DN6" i="5"/>
  <c r="CV6" i="5"/>
  <c r="CF6" i="5"/>
  <c r="BP6" i="5"/>
  <c r="AZ6" i="5"/>
  <c r="AJ6" i="5"/>
  <c r="T6" i="5"/>
  <c r="B6" i="5"/>
  <c r="GN5" i="5"/>
  <c r="FX5" i="5"/>
  <c r="FH5" i="5"/>
  <c r="ER5" i="5"/>
  <c r="EB5" i="5"/>
  <c r="DJ5" i="5"/>
  <c r="CT5" i="5"/>
  <c r="CD5" i="5"/>
  <c r="BN5" i="5"/>
  <c r="AX5" i="5"/>
  <c r="AH5" i="5"/>
  <c r="P5" i="5"/>
  <c r="GL4" i="5"/>
  <c r="FV4" i="5"/>
  <c r="FF4" i="5"/>
  <c r="EP4" i="5"/>
  <c r="DX4" i="5"/>
  <c r="DH4" i="5"/>
  <c r="CR4" i="5"/>
  <c r="CB4" i="5"/>
  <c r="BL4" i="5"/>
  <c r="AV4" i="5"/>
  <c r="AD4" i="5"/>
  <c r="N4" i="5"/>
  <c r="GJ3" i="5"/>
  <c r="FT3" i="5"/>
  <c r="FD3" i="5"/>
  <c r="EL3" i="5"/>
  <c r="DV3" i="5"/>
  <c r="DF3" i="5"/>
  <c r="CP3" i="5"/>
  <c r="BZ3" i="5"/>
  <c r="BJ3" i="5"/>
  <c r="AR3" i="5"/>
  <c r="AB3" i="5"/>
  <c r="L3" i="5"/>
  <c r="GE14" i="5"/>
  <c r="CP14" i="5"/>
  <c r="U14" i="5"/>
  <c r="FH13" i="5"/>
  <c r="CS13" i="5"/>
  <c r="AG13" i="5"/>
  <c r="FS12" i="5"/>
  <c r="DC12" i="5"/>
  <c r="AT12" i="5"/>
  <c r="GH11" i="5"/>
  <c r="EO11" i="5"/>
  <c r="CB11" i="5"/>
  <c r="W11" i="5"/>
  <c r="FZ10" i="5"/>
  <c r="EV10" i="5"/>
  <c r="DG10" i="5"/>
  <c r="BR10" i="5"/>
  <c r="AC10" i="5"/>
  <c r="FL9" i="5"/>
  <c r="DW9" i="5"/>
  <c r="CH9" i="5"/>
  <c r="BD9" i="5"/>
  <c r="O9" i="5"/>
  <c r="GC8" i="5"/>
  <c r="EU8" i="5"/>
  <c r="DU8" i="5"/>
  <c r="CL8" i="5"/>
  <c r="BF8" i="5"/>
  <c r="Z8" i="5"/>
  <c r="FY7" i="5"/>
  <c r="EZ7" i="5"/>
  <c r="DV7" i="5"/>
  <c r="CW7" i="5"/>
  <c r="BU7" i="5"/>
  <c r="AY7" i="5"/>
  <c r="AE7" i="5"/>
  <c r="I7" i="5"/>
  <c r="FZ6" i="5"/>
  <c r="FI6" i="5"/>
  <c r="ES6" i="5"/>
  <c r="EC6" i="5"/>
  <c r="DK6" i="5"/>
  <c r="CU6" i="5"/>
  <c r="CE6" i="5"/>
  <c r="BO6" i="5"/>
  <c r="AY6" i="5"/>
  <c r="AI6" i="5"/>
  <c r="Q6" i="5"/>
  <c r="GM5" i="5"/>
  <c r="FW5" i="5"/>
  <c r="FG5" i="5"/>
  <c r="EQ5" i="5"/>
  <c r="DY5" i="5"/>
  <c r="DI5" i="5"/>
  <c r="CS5" i="5"/>
  <c r="CC5" i="5"/>
  <c r="BM5" i="5"/>
  <c r="AW5" i="5"/>
  <c r="AE5" i="5"/>
  <c r="O5" i="5"/>
  <c r="GK4" i="5"/>
  <c r="FU4" i="5"/>
  <c r="FE4" i="5"/>
  <c r="EM4" i="5"/>
  <c r="DW4" i="5"/>
  <c r="DG4" i="5"/>
  <c r="CQ4" i="5"/>
  <c r="CA4" i="5"/>
  <c r="BK4" i="5"/>
  <c r="AS4" i="5"/>
  <c r="AC4" i="5"/>
  <c r="M4" i="5"/>
  <c r="GI3" i="5"/>
  <c r="FS3" i="5"/>
  <c r="FA3" i="5"/>
  <c r="EK3" i="5"/>
  <c r="DU3" i="5"/>
  <c r="DE3" i="5"/>
  <c r="CO3" i="5"/>
  <c r="BY3" i="5"/>
  <c r="BG3" i="5"/>
  <c r="AQ3" i="5"/>
  <c r="AA3" i="5"/>
  <c r="K3" i="5"/>
  <c r="FS14" i="5"/>
  <c r="CO14" i="5"/>
  <c r="T14" i="5"/>
  <c r="FG13" i="5"/>
  <c r="CQ13" i="5"/>
  <c r="AF13" i="5"/>
  <c r="FR12" i="5"/>
  <c r="CS12" i="5"/>
  <c r="AO12" i="5"/>
  <c r="GG11" i="5"/>
  <c r="DS11" i="5"/>
  <c r="CA11" i="5"/>
  <c r="V11" i="5"/>
  <c r="FY10" i="5"/>
  <c r="EJ10" i="5"/>
  <c r="BW13" i="5"/>
  <c r="EG12" i="5"/>
  <c r="GF11" i="5"/>
  <c r="BI11" i="5"/>
  <c r="FO10" i="5"/>
  <c r="CJ10" i="5"/>
  <c r="K10" i="5"/>
  <c r="EO9" i="5"/>
  <c r="BP9" i="5"/>
  <c r="EB8" i="5"/>
  <c r="BV8" i="5"/>
  <c r="P8" i="5"/>
  <c r="FJ7" i="5"/>
  <c r="DG7" i="5"/>
  <c r="BL7" i="5"/>
  <c r="S7" i="5"/>
  <c r="GK6" i="5"/>
  <c r="EZ6" i="5"/>
  <c r="DT6" i="5"/>
  <c r="CN6" i="5"/>
  <c r="BF6" i="5"/>
  <c r="Z6" i="5"/>
  <c r="FN5" i="5"/>
  <c r="EH5" i="5"/>
  <c r="DB5" i="5"/>
  <c r="BT5" i="5"/>
  <c r="AN5" i="5"/>
  <c r="H5" i="5"/>
  <c r="GB4" i="5"/>
  <c r="EV4" i="5"/>
  <c r="DP4" i="5"/>
  <c r="CH4" i="5"/>
  <c r="BB4" i="5"/>
  <c r="V4" i="5"/>
  <c r="GP3" i="5"/>
  <c r="FJ3" i="5"/>
  <c r="ED3" i="5"/>
  <c r="CV3" i="5"/>
  <c r="BP3" i="5"/>
  <c r="AJ3" i="5"/>
  <c r="B3" i="5"/>
  <c r="BV13" i="5"/>
  <c r="EF12" i="5"/>
  <c r="FU11" i="5"/>
  <c r="AY11" i="5"/>
  <c r="FC10" i="5"/>
  <c r="BQ10" i="5"/>
  <c r="GO9" i="5"/>
  <c r="DV9" i="5"/>
  <c r="AR9" i="5"/>
  <c r="GB8" i="5"/>
  <c r="DK8" i="5"/>
  <c r="BE8" i="5"/>
  <c r="EY7" i="5"/>
  <c r="CV7" i="5"/>
  <c r="AX7" i="5"/>
  <c r="H7" i="5"/>
  <c r="FY6" i="5"/>
  <c r="ER6" i="5"/>
  <c r="DJ6" i="5"/>
  <c r="CD6" i="5"/>
  <c r="AX6" i="5"/>
  <c r="P6" i="5"/>
  <c r="GL5" i="5"/>
  <c r="FF5" i="5"/>
  <c r="DX5" i="5"/>
  <c r="CR5" i="5"/>
  <c r="BL5" i="5"/>
  <c r="AD5" i="5"/>
  <c r="FT4" i="5"/>
  <c r="EL4" i="5"/>
  <c r="DF4" i="5"/>
  <c r="BZ4" i="5"/>
  <c r="AR4" i="5"/>
  <c r="L4" i="5"/>
  <c r="GH3" i="5"/>
  <c r="EZ3" i="5"/>
  <c r="DT3" i="5"/>
  <c r="CN3" i="5"/>
  <c r="BF3" i="5"/>
  <c r="Z3" i="5"/>
  <c r="ES14" i="5"/>
  <c r="BK13" i="5"/>
  <c r="CQ12" i="5"/>
  <c r="FT11" i="5"/>
  <c r="AX11" i="5"/>
  <c r="EI10" i="5"/>
  <c r="BP10" i="5"/>
  <c r="GN9" i="5"/>
  <c r="DU9" i="5"/>
  <c r="AQ9" i="5"/>
  <c r="GA8" i="5"/>
  <c r="DJ8" i="5"/>
  <c r="BD8" i="5"/>
  <c r="EP7" i="5"/>
  <c r="CQ7" i="5"/>
  <c r="AV7" i="5"/>
  <c r="F7" i="5"/>
  <c r="FX6" i="5"/>
  <c r="EQ6" i="5"/>
  <c r="DI6" i="5"/>
  <c r="CC6" i="5"/>
  <c r="AW6" i="5"/>
  <c r="O6" i="5"/>
  <c r="GK5" i="5"/>
  <c r="FE5" i="5"/>
  <c r="DW5" i="5"/>
  <c r="CQ5" i="5"/>
  <c r="BK5" i="5"/>
  <c r="AC5" i="5"/>
  <c r="FS4" i="5"/>
  <c r="EK4" i="5"/>
  <c r="DE4" i="5"/>
  <c r="BY4" i="5"/>
  <c r="AQ4" i="5"/>
  <c r="K4" i="5"/>
  <c r="GG3" i="5"/>
  <c r="EY3" i="5"/>
  <c r="DS3" i="5"/>
  <c r="CM3" i="5"/>
  <c r="BE3" i="5"/>
  <c r="Y3" i="5"/>
  <c r="EQ14" i="5"/>
  <c r="BJ13" i="5"/>
  <c r="CJ12" i="5"/>
  <c r="FS11" i="5"/>
  <c r="AW11" i="5"/>
  <c r="EH10" i="5"/>
  <c r="BO10" i="5"/>
  <c r="GM9" i="5"/>
  <c r="DT9" i="5"/>
  <c r="AP9" i="5"/>
  <c r="FZ8" i="5"/>
  <c r="DI8" i="5"/>
  <c r="BC8" i="5"/>
  <c r="EO7" i="5"/>
  <c r="CN7" i="5"/>
  <c r="AU7" i="5"/>
  <c r="E7" i="5"/>
  <c r="FW6" i="5"/>
  <c r="EP6" i="5"/>
  <c r="DH6" i="5"/>
  <c r="CB6" i="5"/>
  <c r="AV6" i="5"/>
  <c r="N6" i="5"/>
  <c r="GJ5" i="5"/>
  <c r="FD5" i="5"/>
  <c r="DV5" i="5"/>
  <c r="CP5" i="5"/>
  <c r="BJ5" i="5"/>
  <c r="AB5" i="5"/>
  <c r="FR4" i="5"/>
  <c r="EJ4" i="5"/>
  <c r="DD4" i="5"/>
  <c r="BX4" i="5"/>
  <c r="AP4" i="5"/>
  <c r="J4" i="5"/>
  <c r="GF3" i="5"/>
  <c r="EX3" i="5"/>
  <c r="DR3" i="5"/>
  <c r="CL3" i="5"/>
  <c r="BD3" i="5"/>
  <c r="X3" i="5"/>
  <c r="EP14" i="5"/>
  <c r="AA13" i="5"/>
  <c r="BY12" i="5"/>
  <c r="FR11" i="5"/>
  <c r="U11" i="5"/>
  <c r="EG10" i="5"/>
  <c r="BI10" i="5"/>
  <c r="GL9" i="5"/>
  <c r="DS9" i="5"/>
  <c r="AO9" i="5"/>
  <c r="FY8" i="5"/>
  <c r="DH8" i="5"/>
  <c r="BB8" i="5"/>
  <c r="GQ7" i="5"/>
  <c r="EN7" i="5"/>
  <c r="CL7" i="5"/>
  <c r="AS7" i="5"/>
  <c r="D7" i="5"/>
  <c r="FU6" i="5"/>
  <c r="EM6" i="5"/>
  <c r="DG6" i="5"/>
  <c r="CA6" i="5"/>
  <c r="AS6" i="5"/>
  <c r="M6" i="5"/>
  <c r="GI5" i="5"/>
  <c r="FA5" i="5"/>
  <c r="DU5" i="5"/>
  <c r="CO5" i="5"/>
  <c r="BG5" i="5"/>
  <c r="AA5" i="5"/>
  <c r="FO4" i="5"/>
  <c r="EI4" i="5"/>
  <c r="DC4" i="5"/>
  <c r="BU4" i="5"/>
  <c r="AO4" i="5"/>
  <c r="I4" i="5"/>
  <c r="GC3" i="5"/>
  <c r="EW3" i="5"/>
  <c r="DQ3" i="5"/>
  <c r="CI3" i="5"/>
  <c r="BC3" i="5"/>
  <c r="W3" i="5"/>
  <c r="EO14" i="5"/>
  <c r="H13" i="5"/>
  <c r="BX12" i="5"/>
  <c r="EW11" i="5"/>
  <c r="K11" i="5"/>
  <c r="EA10" i="5"/>
  <c r="BB10" i="5"/>
  <c r="GK9" i="5"/>
  <c r="DG9" i="5"/>
  <c r="AN9" i="5"/>
  <c r="FN8" i="5"/>
  <c r="DG8" i="5"/>
  <c r="AR8" i="5"/>
  <c r="GP7" i="5"/>
  <c r="EM7" i="5"/>
  <c r="CK7" i="5"/>
  <c r="AP7" i="5"/>
  <c r="C7" i="5"/>
  <c r="FT6" i="5"/>
  <c r="EL6" i="5"/>
  <c r="DF6" i="5"/>
  <c r="BZ6" i="5"/>
  <c r="AR6" i="5"/>
  <c r="L6" i="5"/>
  <c r="GH5" i="5"/>
  <c r="EZ5" i="5"/>
  <c r="DT5" i="5"/>
  <c r="CN5" i="5"/>
  <c r="BF5" i="5"/>
  <c r="Z5" i="5"/>
  <c r="FN4" i="5"/>
  <c r="EH4" i="5"/>
  <c r="DB4" i="5"/>
  <c r="BT4" i="5"/>
  <c r="AN4" i="5"/>
  <c r="H4" i="5"/>
  <c r="GB3" i="5"/>
  <c r="EV3" i="5"/>
  <c r="DP3" i="5"/>
  <c r="CH3" i="5"/>
  <c r="BB3" i="5"/>
  <c r="V3" i="5"/>
  <c r="EN14" i="5"/>
  <c r="FF13" i="5"/>
  <c r="G13" i="5"/>
  <c r="BW12" i="5"/>
  <c r="DR11" i="5"/>
  <c r="J11" i="5"/>
  <c r="DZ10" i="5"/>
  <c r="BA10" i="5"/>
  <c r="GE9" i="5"/>
  <c r="DF9" i="5"/>
  <c r="AM9" i="5"/>
  <c r="FM8" i="5"/>
  <c r="DF8" i="5"/>
  <c r="AQ8" i="5"/>
  <c r="GO7" i="5"/>
  <c r="EL7" i="5"/>
  <c r="CJ7" i="5"/>
  <c r="AO7" i="5"/>
  <c r="B7" i="5"/>
  <c r="FS6" i="5"/>
  <c r="EK6" i="5"/>
  <c r="DE6" i="5"/>
  <c r="BY6" i="5"/>
  <c r="AQ6" i="5"/>
  <c r="K6" i="5"/>
  <c r="GG5" i="5"/>
  <c r="EY5" i="5"/>
  <c r="DS5" i="5"/>
  <c r="CM5" i="5"/>
  <c r="BE5" i="5"/>
  <c r="Y5" i="5"/>
  <c r="FM4" i="5"/>
  <c r="EG4" i="5"/>
  <c r="DA4" i="5"/>
  <c r="BS4" i="5"/>
  <c r="AM4" i="5"/>
  <c r="G4" i="5"/>
  <c r="GA3" i="5"/>
  <c r="EU3" i="5"/>
  <c r="DO3" i="5"/>
  <c r="CG3" i="5"/>
  <c r="BA3" i="5"/>
  <c r="U3" i="5"/>
  <c r="EM14" i="5"/>
  <c r="EN13" i="5"/>
  <c r="BV12" i="5"/>
  <c r="DQ11" i="5"/>
  <c r="DY10" i="5"/>
  <c r="AU10" i="5"/>
  <c r="GD9" i="5"/>
  <c r="DE9" i="5"/>
  <c r="AG9" i="5"/>
  <c r="FL8" i="5"/>
  <c r="DE8" i="5"/>
  <c r="AP8" i="5"/>
  <c r="GN7" i="5"/>
  <c r="EK7" i="5"/>
  <c r="CI7" i="5"/>
  <c r="AN7" i="5"/>
  <c r="FR6" i="5"/>
  <c r="EJ6" i="5"/>
  <c r="DD6" i="5"/>
  <c r="BX6" i="5"/>
  <c r="AP6" i="5"/>
  <c r="J6" i="5"/>
  <c r="GF5" i="5"/>
  <c r="EX5" i="5"/>
  <c r="DR5" i="5"/>
  <c r="CL5" i="5"/>
  <c r="BD5" i="5"/>
  <c r="X5" i="5"/>
  <c r="FL4" i="5"/>
  <c r="EF4" i="5"/>
  <c r="CZ4" i="5"/>
  <c r="BR4" i="5"/>
  <c r="AL4" i="5"/>
  <c r="F4" i="5"/>
  <c r="FZ3" i="5"/>
  <c r="ET3" i="5"/>
  <c r="DN3" i="5"/>
  <c r="CF3" i="5"/>
  <c r="AZ3" i="5"/>
  <c r="T3" i="5"/>
  <c r="BK14" i="5"/>
  <c r="AH12" i="5"/>
  <c r="FX10" i="5"/>
  <c r="S10" i="5"/>
  <c r="N9" i="5"/>
  <c r="CC8" i="5"/>
  <c r="FQ7" i="5"/>
  <c r="AC7" i="5"/>
  <c r="FF6" i="5"/>
  <c r="CP6" i="5"/>
  <c r="EL5" i="5"/>
  <c r="BX5" i="5"/>
  <c r="GJ4" i="5"/>
  <c r="DT4" i="5"/>
  <c r="BD4" i="5"/>
  <c r="FR3" i="5"/>
  <c r="DB3" i="5"/>
  <c r="AL3" i="5"/>
  <c r="AG12" i="5"/>
  <c r="FW10" i="5"/>
  <c r="R10" i="5"/>
  <c r="M9" i="5"/>
  <c r="BZ8" i="5"/>
  <c r="FP7" i="5"/>
  <c r="Z7" i="5"/>
  <c r="FE6" i="5"/>
  <c r="CO6" i="5"/>
  <c r="EK5" i="5"/>
  <c r="BU5" i="5"/>
  <c r="GI4" i="5"/>
  <c r="DS4" i="5"/>
  <c r="BC4" i="5"/>
  <c r="FO3" i="5"/>
  <c r="DA3" i="5"/>
  <c r="AK3" i="5"/>
  <c r="EI13" i="5"/>
  <c r="AF12" i="5"/>
  <c r="FQ10" i="5"/>
  <c r="FK9" i="5"/>
  <c r="BX8" i="5"/>
  <c r="DU7" i="5"/>
  <c r="Y7" i="5"/>
  <c r="FD6" i="5"/>
  <c r="BN6" i="5"/>
  <c r="EJ5" i="5"/>
  <c r="AV5" i="5"/>
  <c r="GH4" i="5"/>
  <c r="DR4" i="5"/>
  <c r="AB4" i="5"/>
  <c r="FN3" i="5"/>
  <c r="CZ3" i="5"/>
  <c r="J3" i="5"/>
  <c r="EG13" i="5"/>
  <c r="J12" i="5"/>
  <c r="FP10" i="5"/>
  <c r="FJ9" i="5"/>
  <c r="BW8" i="5"/>
  <c r="DT7" i="5"/>
  <c r="W7" i="5"/>
  <c r="FA6" i="5"/>
  <c r="BM6" i="5"/>
  <c r="EI5" i="5"/>
  <c r="AS5" i="5"/>
  <c r="GG4" i="5"/>
  <c r="DQ4" i="5"/>
  <c r="AA4" i="5"/>
  <c r="FM3" i="5"/>
  <c r="CW3" i="5"/>
  <c r="I3" i="5"/>
  <c r="EF13" i="5"/>
  <c r="I12" i="5"/>
  <c r="DF10" i="5"/>
  <c r="EX9" i="5"/>
  <c r="Y8" i="5"/>
  <c r="DS7" i="5"/>
  <c r="V7" i="5"/>
  <c r="EB6" i="5"/>
  <c r="BL6" i="5"/>
  <c r="DH5" i="5"/>
  <c r="AR5" i="5"/>
  <c r="GF4" i="5"/>
  <c r="CP4" i="5"/>
  <c r="Z4" i="5"/>
  <c r="FL3" i="5"/>
  <c r="BX3" i="5"/>
  <c r="H3" i="5"/>
  <c r="DZ13" i="5"/>
  <c r="H12" i="5"/>
  <c r="DE10" i="5"/>
  <c r="EW9" i="5"/>
  <c r="V8" i="5"/>
  <c r="DP7" i="5"/>
  <c r="T7" i="5"/>
  <c r="DY6" i="5"/>
  <c r="BK6" i="5"/>
  <c r="DG5" i="5"/>
  <c r="AQ5" i="5"/>
  <c r="GC4" i="5"/>
  <c r="CO4" i="5"/>
  <c r="Y4" i="5"/>
  <c r="FK3" i="5"/>
  <c r="BU3" i="5"/>
  <c r="G3" i="5"/>
  <c r="CP13" i="5"/>
  <c r="DG11" i="5"/>
  <c r="CS10" i="5"/>
  <c r="EV9" i="5"/>
  <c r="ER8" i="5"/>
  <c r="T8" i="5"/>
  <c r="DN7" i="5"/>
  <c r="GQ6" i="5"/>
  <c r="DX6" i="5"/>
  <c r="BJ6" i="5"/>
  <c r="FV5" i="5"/>
  <c r="DF5" i="5"/>
  <c r="AP5" i="5"/>
  <c r="FD4" i="5"/>
  <c r="CN4" i="5"/>
  <c r="X4" i="5"/>
  <c r="EJ3" i="5"/>
  <c r="BT3" i="5"/>
  <c r="F3" i="5"/>
  <c r="BX13" i="5"/>
  <c r="DE11" i="5"/>
  <c r="CR10" i="5"/>
  <c r="EU9" i="5"/>
  <c r="EP8" i="5"/>
  <c r="S8" i="5"/>
  <c r="DH7" i="5"/>
  <c r="GP6" i="5"/>
  <c r="DW6" i="5"/>
  <c r="BG6" i="5"/>
  <c r="FU5" i="5"/>
  <c r="DE5" i="5"/>
  <c r="AO5" i="5"/>
  <c r="FA4" i="5"/>
  <c r="CM4" i="5"/>
  <c r="W4" i="5"/>
  <c r="EI3" i="5"/>
  <c r="BS3" i="5"/>
  <c r="C3" i="5"/>
  <c r="BV14" i="5"/>
  <c r="BR11" i="5"/>
  <c r="CC9" i="5"/>
  <c r="BT7" i="5"/>
  <c r="CT6" i="5"/>
  <c r="EP5" i="5"/>
  <c r="EZ4" i="5"/>
  <c r="AN3" i="5"/>
  <c r="BU14" i="5"/>
  <c r="BJ11" i="5"/>
  <c r="BW9" i="5"/>
  <c r="BS7" i="5"/>
  <c r="CS6" i="5"/>
  <c r="EM5" i="5"/>
  <c r="EY4" i="5"/>
  <c r="AM3" i="5"/>
  <c r="BN14" i="5"/>
  <c r="EO8" i="5"/>
  <c r="BR7" i="5"/>
  <c r="CR6" i="5"/>
  <c r="DD5" i="5"/>
  <c r="EX4" i="5"/>
  <c r="BM14" i="5"/>
  <c r="EN8" i="5"/>
  <c r="BQ7" i="5"/>
  <c r="CQ6" i="5"/>
  <c r="DC5" i="5"/>
  <c r="EW4" i="5"/>
  <c r="GQ3" i="5"/>
  <c r="BL14" i="5"/>
  <c r="CQ10" i="5"/>
  <c r="EM8" i="5"/>
  <c r="BP7" i="5"/>
  <c r="AH6" i="5"/>
  <c r="CB5" i="5"/>
  <c r="DV4" i="5"/>
  <c r="EH3" i="5"/>
  <c r="CK10" i="5"/>
  <c r="EL8" i="5"/>
  <c r="BO7" i="5"/>
  <c r="AE6" i="5"/>
  <c r="CA5" i="5"/>
  <c r="DU4" i="5"/>
  <c r="EG3" i="5"/>
  <c r="AB10" i="5"/>
  <c r="CK8" i="5"/>
  <c r="GO6" i="5"/>
  <c r="AD6" i="5"/>
  <c r="BZ5" i="5"/>
  <c r="CL4" i="5"/>
  <c r="EF3" i="5"/>
  <c r="AA10" i="5"/>
  <c r="CJ8" i="5"/>
  <c r="GN6" i="5"/>
  <c r="AC6" i="5"/>
  <c r="BY5" i="5"/>
  <c r="CI4" i="5"/>
  <c r="EE3" i="5"/>
  <c r="DC11" i="5"/>
  <c r="CD9" i="5"/>
  <c r="FR7" i="5"/>
  <c r="DU6" i="5"/>
  <c r="FO5" i="5"/>
  <c r="I5" i="5"/>
  <c r="AO3" i="5"/>
  <c r="CE9" i="5"/>
  <c r="FS5" i="5"/>
  <c r="BR3" i="5"/>
  <c r="R8" i="5"/>
  <c r="FR5" i="5"/>
  <c r="BQ3" i="5"/>
  <c r="Q8" i="5"/>
  <c r="N5" i="5"/>
  <c r="AP3" i="5"/>
  <c r="FX7" i="5"/>
  <c r="M5" i="5"/>
  <c r="FW7" i="5"/>
  <c r="L5" i="5"/>
  <c r="FG12" i="5"/>
  <c r="FT7" i="5"/>
  <c r="K5" i="5"/>
  <c r="ET12" i="5"/>
  <c r="GM6" i="5"/>
  <c r="J5" i="5"/>
  <c r="EN12" i="5"/>
  <c r="GL6" i="5"/>
  <c r="BJ4" i="5"/>
  <c r="EI12" i="5"/>
  <c r="FH6" i="5"/>
  <c r="BG4" i="5"/>
  <c r="DD3" i="5"/>
  <c r="DD11" i="5"/>
  <c r="DC3" i="5"/>
  <c r="Z10" i="5"/>
  <c r="Y10" i="5"/>
  <c r="CG9" i="5"/>
  <c r="CF9" i="5"/>
  <c r="FG6" i="5"/>
  <c r="FT5" i="5"/>
  <c r="DV6" i="5"/>
  <c r="AB6" i="5"/>
  <c r="AA6" i="5"/>
  <c r="BF4" i="5"/>
  <c r="BE4" i="5"/>
  <c r="BZ3" i="4"/>
  <c r="BL6" i="4"/>
  <c r="DU8" i="4"/>
  <c r="W13" i="4"/>
  <c r="DC4" i="4"/>
  <c r="DC6" i="4"/>
  <c r="DG8" i="4"/>
  <c r="GG12" i="4"/>
  <c r="BN5" i="4"/>
  <c r="DR7" i="4"/>
  <c r="DE3" i="4"/>
  <c r="CQ6" i="4"/>
  <c r="CF9" i="4"/>
  <c r="GI12" i="4"/>
  <c r="BP5" i="4"/>
  <c r="BB8" i="4"/>
  <c r="BQ7" i="4"/>
  <c r="CP10" i="4"/>
  <c r="DH3" i="4"/>
  <c r="CI8" i="4"/>
  <c r="B13" i="4"/>
  <c r="G13" i="4"/>
  <c r="Q14" i="4"/>
  <c r="R14" i="4"/>
  <c r="DZ11" i="4"/>
  <c r="FL10" i="4"/>
  <c r="CU8" i="4"/>
  <c r="FE12" i="4"/>
  <c r="DR12" i="4"/>
  <c r="FK11" i="4"/>
  <c r="FX14" i="4"/>
  <c r="DG14" i="4"/>
  <c r="BH7" i="3"/>
  <c r="GW14" i="3"/>
  <c r="FO8" i="3"/>
  <c r="BQ12" i="3"/>
  <c r="GP6" i="3"/>
  <c r="F12" i="3"/>
  <c r="ES5" i="3"/>
  <c r="EI10" i="3"/>
  <c r="ER5" i="3"/>
  <c r="DB10" i="3"/>
  <c r="DB5" i="3"/>
  <c r="CS11" i="3"/>
  <c r="BI6" i="3"/>
  <c r="BX10" i="3"/>
  <c r="BA4" i="3"/>
  <c r="EN6" i="3"/>
  <c r="GB14" i="3"/>
  <c r="BC6" i="3"/>
  <c r="AR12" i="3"/>
  <c r="ER14" i="3"/>
  <c r="CB8" i="3"/>
  <c r="DD11" i="3"/>
  <c r="FI7" i="3"/>
  <c r="GK10" i="3"/>
  <c r="FH14" i="3"/>
  <c r="BP11" i="3"/>
  <c r="BO14" i="3"/>
  <c r="AB6" i="3"/>
  <c r="GN9" i="3"/>
  <c r="AB13" i="3"/>
  <c r="FM7" i="3"/>
  <c r="EY10" i="3"/>
  <c r="EK13" i="3"/>
  <c r="HA14" i="7"/>
  <c r="HB13" i="7"/>
  <c r="GZ14" i="7"/>
  <c r="HA13" i="7"/>
  <c r="GY14" i="7"/>
  <c r="GZ13" i="7"/>
  <c r="GX14" i="7"/>
  <c r="GY13" i="7"/>
  <c r="GU14" i="7"/>
  <c r="GV13" i="7"/>
  <c r="GS14" i="7"/>
  <c r="GX12" i="7"/>
  <c r="GX11" i="7"/>
  <c r="GR14" i="7"/>
  <c r="GW12" i="7"/>
  <c r="GW11" i="7"/>
  <c r="GV12" i="7"/>
  <c r="GU12" i="7"/>
  <c r="GT12" i="7"/>
  <c r="GV14" i="7"/>
  <c r="HC13" i="7"/>
  <c r="GY10" i="7"/>
  <c r="GY9" i="7"/>
  <c r="GT14" i="7"/>
  <c r="GX13" i="7"/>
  <c r="GX10" i="7"/>
  <c r="GX9" i="7"/>
  <c r="GX8" i="7"/>
  <c r="GW13" i="7"/>
  <c r="GW10" i="7"/>
  <c r="GW9" i="7"/>
  <c r="GW8" i="7"/>
  <c r="GU13" i="7"/>
  <c r="GV10" i="7"/>
  <c r="GV9" i="7"/>
  <c r="GV8" i="7"/>
  <c r="GT13" i="7"/>
  <c r="HC12" i="7"/>
  <c r="HC11" i="7"/>
  <c r="GU10" i="7"/>
  <c r="GU9" i="7"/>
  <c r="GU8" i="7"/>
  <c r="GS13" i="7"/>
  <c r="HB12" i="7"/>
  <c r="HB11" i="7"/>
  <c r="GT10" i="7"/>
  <c r="GR13" i="7"/>
  <c r="HA12" i="7"/>
  <c r="HA11" i="7"/>
  <c r="GS10" i="7"/>
  <c r="GS9" i="7"/>
  <c r="GZ12" i="7"/>
  <c r="HB14" i="7"/>
  <c r="GW14" i="7"/>
  <c r="HC8" i="7"/>
  <c r="GU7" i="7"/>
  <c r="GU6" i="7"/>
  <c r="HB8" i="7"/>
  <c r="GT7" i="7"/>
  <c r="GT6" i="7"/>
  <c r="HA8" i="7"/>
  <c r="GS7" i="7"/>
  <c r="GS6" i="7"/>
  <c r="GZ11" i="7"/>
  <c r="GZ8" i="7"/>
  <c r="GR7" i="7"/>
  <c r="GR6" i="7"/>
  <c r="GY11" i="7"/>
  <c r="GY8" i="7"/>
  <c r="HA10" i="7"/>
  <c r="HC9" i="7"/>
  <c r="GZ7" i="7"/>
  <c r="GU5" i="7"/>
  <c r="GU4" i="7"/>
  <c r="GU3" i="7"/>
  <c r="GZ10" i="7"/>
  <c r="HB9" i="7"/>
  <c r="GY7" i="7"/>
  <c r="GT5" i="7"/>
  <c r="GT4" i="7"/>
  <c r="GT3" i="7"/>
  <c r="GR10" i="7"/>
  <c r="HA9" i="7"/>
  <c r="GX7" i="7"/>
  <c r="GS5" i="7"/>
  <c r="GS4" i="7"/>
  <c r="GS3" i="7"/>
  <c r="GZ9" i="7"/>
  <c r="GW7" i="7"/>
  <c r="GR5" i="7"/>
  <c r="GR4" i="7"/>
  <c r="GR3" i="7"/>
  <c r="GV11" i="7"/>
  <c r="GT9" i="7"/>
  <c r="GV7" i="7"/>
  <c r="GY12" i="7"/>
  <c r="GU11" i="7"/>
  <c r="GR9" i="7"/>
  <c r="GS12" i="7"/>
  <c r="GT11" i="7"/>
  <c r="HC6" i="7"/>
  <c r="HC5" i="7"/>
  <c r="HC4" i="7"/>
  <c r="HC3" i="7"/>
  <c r="GY6" i="7"/>
  <c r="GY4" i="7"/>
  <c r="HC7" i="7"/>
  <c r="GX6" i="7"/>
  <c r="GX4" i="7"/>
  <c r="HC10" i="7"/>
  <c r="HB7" i="7"/>
  <c r="GW6" i="7"/>
  <c r="GW4" i="7"/>
  <c r="HB10" i="7"/>
  <c r="HA7" i="7"/>
  <c r="GV6" i="7"/>
  <c r="GV4" i="7"/>
  <c r="GR12" i="7"/>
  <c r="HB5" i="7"/>
  <c r="HB3" i="7"/>
  <c r="HA5" i="7"/>
  <c r="HA3" i="7"/>
  <c r="GR11" i="7"/>
  <c r="GV5" i="7"/>
  <c r="HB4" i="7"/>
  <c r="HA4" i="7"/>
  <c r="GT8" i="7"/>
  <c r="GZ4" i="7"/>
  <c r="GS8" i="7"/>
  <c r="GZ3" i="7"/>
  <c r="GR8" i="7"/>
  <c r="GY3" i="7"/>
  <c r="GX3" i="7"/>
  <c r="GZ5" i="7"/>
  <c r="GY5" i="7"/>
  <c r="GX5" i="7"/>
  <c r="GW5" i="7"/>
  <c r="GW3" i="7"/>
  <c r="GV3" i="7"/>
  <c r="HB6" i="7"/>
  <c r="GS11" i="7"/>
  <c r="HC14" i="7"/>
  <c r="HA6" i="7"/>
  <c r="GZ6" i="7"/>
  <c r="CN3" i="4"/>
  <c r="BZ6" i="4"/>
  <c r="CC9" i="4"/>
  <c r="CH13" i="4"/>
  <c r="DV8" i="4"/>
  <c r="Z13" i="4"/>
  <c r="CB5" i="4"/>
  <c r="BO8" i="4"/>
  <c r="FC10" i="4"/>
  <c r="BA4" i="4"/>
  <c r="DE6" i="4"/>
  <c r="CV9" i="4"/>
  <c r="CD5" i="4"/>
  <c r="BQ8" i="4"/>
  <c r="CS4" i="4"/>
  <c r="DF10" i="4"/>
  <c r="DV3" i="4"/>
  <c r="BR6" i="4"/>
  <c r="CX8" i="4"/>
  <c r="AU13" i="4"/>
  <c r="AE13" i="4"/>
  <c r="FI10" i="4"/>
  <c r="AG11" i="4"/>
  <c r="FZ10" i="4"/>
  <c r="BE9" i="4"/>
  <c r="GC12" i="4"/>
  <c r="CQ12" i="4"/>
  <c r="FY11" i="4"/>
  <c r="GL14" i="4"/>
  <c r="DU14" i="4"/>
  <c r="CF14" i="4"/>
  <c r="GC12" i="3"/>
  <c r="AJ7" i="3"/>
  <c r="DL13" i="3"/>
  <c r="FJ3" i="3"/>
  <c r="AI12" i="3"/>
  <c r="FR6" i="3"/>
  <c r="CH10" i="3"/>
  <c r="DZ5" i="3"/>
  <c r="DG10" i="3"/>
  <c r="DY5" i="3"/>
  <c r="BZ10" i="3"/>
  <c r="CO4" i="3"/>
  <c r="BQ11" i="3"/>
  <c r="CF14" i="3"/>
  <c r="GF8" i="3"/>
  <c r="AJ4" i="3"/>
  <c r="S3" i="3"/>
  <c r="FF6" i="3"/>
  <c r="EQ3" i="3"/>
  <c r="BU6" i="3"/>
  <c r="BL12" i="3"/>
  <c r="ES11" i="3"/>
  <c r="FF14" i="3"/>
  <c r="CP8" i="3"/>
  <c r="DR11" i="3"/>
  <c r="EU4" i="3"/>
  <c r="FW7" i="3"/>
  <c r="EU11" i="3"/>
  <c r="FV14" i="3"/>
  <c r="CD11" i="3"/>
  <c r="CC14" i="3"/>
  <c r="AP6" i="3"/>
  <c r="N10" i="3"/>
  <c r="AP13" i="3"/>
  <c r="FM10" i="3"/>
  <c r="EY13" i="3"/>
  <c r="GT11" i="3"/>
  <c r="DB3" i="4"/>
  <c r="CN6" i="4"/>
  <c r="CR9" i="4"/>
  <c r="EA13" i="4"/>
  <c r="CD9" i="4"/>
  <c r="CI13" i="4"/>
  <c r="CP5" i="4"/>
  <c r="CD8" i="4"/>
  <c r="FT10" i="4"/>
  <c r="BO4" i="4"/>
  <c r="BA7" i="4"/>
  <c r="DK9" i="4"/>
  <c r="CR5" i="4"/>
  <c r="CF8" i="4"/>
  <c r="BG12" i="4"/>
  <c r="DG4" i="4"/>
  <c r="CS7" i="4"/>
  <c r="CF6" i="4"/>
  <c r="DM8" i="4"/>
  <c r="DA13" i="4"/>
  <c r="BZ14" i="4"/>
  <c r="FW10" i="4"/>
  <c r="AX11" i="4"/>
  <c r="FQ11" i="4"/>
  <c r="GN10" i="4"/>
  <c r="BS9" i="4"/>
  <c r="R13" i="4"/>
  <c r="CP13" i="4"/>
  <c r="DE12" i="4"/>
  <c r="GM11" i="4"/>
  <c r="CG11" i="4"/>
  <c r="FA12" i="3"/>
  <c r="GP5" i="3"/>
  <c r="CJ13" i="3"/>
  <c r="G8" i="3"/>
  <c r="ES3" i="3"/>
  <c r="G12" i="3"/>
  <c r="EV5" i="3"/>
  <c r="BF10" i="3"/>
  <c r="DF5" i="3"/>
  <c r="CE10" i="3"/>
  <c r="DJ4" i="3"/>
  <c r="BW4" i="3"/>
  <c r="T6" i="3"/>
  <c r="EQ14" i="3"/>
  <c r="FF8" i="3"/>
  <c r="S4" i="3"/>
  <c r="AG3" i="3"/>
  <c r="GB6" i="3"/>
  <c r="BC11" i="3"/>
  <c r="FF3" i="3"/>
  <c r="CM7" i="3"/>
  <c r="CL12" i="3"/>
  <c r="FG11" i="3"/>
  <c r="CB5" i="3"/>
  <c r="DD8" i="3"/>
  <c r="CB12" i="3"/>
  <c r="FI4" i="3"/>
  <c r="GK7" i="3"/>
  <c r="FI11" i="3"/>
  <c r="GJ14" i="3"/>
  <c r="CR11" i="3"/>
  <c r="CQ14" i="3"/>
  <c r="GN6" i="3"/>
  <c r="AB10" i="3"/>
  <c r="GN13" i="3"/>
  <c r="DW8" i="3"/>
  <c r="FM13" i="3"/>
  <c r="GX7" i="3"/>
  <c r="GT5" i="3"/>
  <c r="AE11" i="4"/>
  <c r="GE9" i="4"/>
  <c r="FO8" i="4"/>
  <c r="FF7" i="4"/>
  <c r="FF6" i="4"/>
  <c r="FF5" i="4"/>
  <c r="FF4" i="4"/>
  <c r="FF3" i="4"/>
  <c r="CU7" i="4"/>
  <c r="AU14" i="4"/>
  <c r="CX13" i="4"/>
  <c r="GL11" i="4"/>
  <c r="DY14" i="4"/>
  <c r="L13" i="4"/>
  <c r="DC11" i="4"/>
  <c r="AM14" i="4"/>
  <c r="DJ12" i="4"/>
  <c r="AF11" i="4"/>
  <c r="AJ14" i="4"/>
  <c r="EB12" i="4"/>
  <c r="FM14" i="4"/>
  <c r="AX13" i="4"/>
  <c r="FJ11" i="4"/>
  <c r="CN13" i="4"/>
  <c r="EV13" i="4"/>
  <c r="FY10" i="4"/>
  <c r="EB8" i="4"/>
  <c r="FH10" i="4"/>
  <c r="DP3" i="4"/>
  <c r="DB6" i="4"/>
  <c r="DG9" i="4"/>
  <c r="CS9" i="4"/>
  <c r="EB13" i="4"/>
  <c r="DD5" i="4"/>
  <c r="CS8" i="4"/>
  <c r="CC4" i="4"/>
  <c r="BO7" i="4"/>
  <c r="DZ9" i="4"/>
  <c r="BB3" i="4"/>
  <c r="CV8" i="4"/>
  <c r="CX12" i="4"/>
  <c r="BC5" i="4"/>
  <c r="DG7" i="4"/>
  <c r="BR4" i="4"/>
  <c r="CT6" i="4"/>
  <c r="F13" i="4"/>
  <c r="CX14" i="4"/>
  <c r="GK10" i="4"/>
  <c r="BR11" i="4"/>
  <c r="G12" i="4"/>
  <c r="CG9" i="4"/>
  <c r="DD13" i="4"/>
  <c r="DS12" i="4"/>
  <c r="EW12" i="4"/>
  <c r="CF12" i="4"/>
  <c r="CU11" i="4"/>
  <c r="DH14" i="4"/>
  <c r="DY12" i="3"/>
  <c r="FT5" i="3"/>
  <c r="BH13" i="3"/>
  <c r="GM7" i="3"/>
  <c r="DZ3" i="3"/>
  <c r="CI10" i="3"/>
  <c r="EA5" i="3"/>
  <c r="CK5" i="3"/>
  <c r="BC10" i="3"/>
  <c r="CP4" i="3"/>
  <c r="GH8" i="3"/>
  <c r="BC4" i="3"/>
  <c r="M11" i="3"/>
  <c r="DO14" i="3"/>
  <c r="ED8" i="3"/>
  <c r="AU3" i="3"/>
  <c r="BY11" i="3"/>
  <c r="FU3" i="3"/>
  <c r="DG7" i="3"/>
  <c r="DL12" i="3"/>
  <c r="DQ12" i="3"/>
  <c r="CP5" i="3"/>
  <c r="DR8" i="3"/>
  <c r="CP12" i="3"/>
  <c r="FW4" i="3"/>
  <c r="EU8" i="3"/>
  <c r="FW11" i="3"/>
  <c r="DF11" i="3"/>
  <c r="DE14" i="3"/>
  <c r="N7" i="3"/>
  <c r="AP10" i="3"/>
  <c r="M14" i="3"/>
  <c r="EK8" i="3"/>
  <c r="DW11" i="3"/>
  <c r="DV14" i="3"/>
  <c r="GX8" i="3"/>
  <c r="DZ10" i="4"/>
  <c r="BL4" i="4"/>
  <c r="DP6" i="4"/>
  <c r="DV9" i="4"/>
  <c r="DH9" i="4"/>
  <c r="BN3" i="4"/>
  <c r="DR5" i="4"/>
  <c r="DH8" i="4"/>
  <c r="CQ4" i="4"/>
  <c r="CC7" i="4"/>
  <c r="CN10" i="4"/>
  <c r="BP3" i="4"/>
  <c r="BB6" i="4"/>
  <c r="BQ5" i="4"/>
  <c r="BC8" i="4"/>
  <c r="FF10" i="4"/>
  <c r="CF4" i="4"/>
  <c r="DH6" i="4"/>
  <c r="CJ9" i="4"/>
  <c r="AD13" i="4"/>
  <c r="DS14" i="4"/>
  <c r="N11" i="4"/>
  <c r="CK11" i="4"/>
  <c r="P13" i="4"/>
  <c r="AE12" i="4"/>
  <c r="CU9" i="4"/>
  <c r="DR13" i="4"/>
  <c r="FK12" i="4"/>
  <c r="CT12" i="4"/>
  <c r="DI11" i="4"/>
  <c r="DV14" i="4"/>
  <c r="U11" i="3"/>
  <c r="EY5" i="3"/>
  <c r="AF13" i="3"/>
  <c r="FQ7" i="3"/>
  <c r="DJ3" i="3"/>
  <c r="BG10" i="3"/>
  <c r="DG5" i="3"/>
  <c r="BY4" i="3"/>
  <c r="GI8" i="3"/>
  <c r="BX4" i="3"/>
  <c r="EY14" i="3"/>
  <c r="FK8" i="3"/>
  <c r="AL4" i="3"/>
  <c r="DB9" i="3"/>
  <c r="GH4" i="3"/>
  <c r="CM14" i="3"/>
  <c r="DG8" i="3"/>
  <c r="Z3" i="3"/>
  <c r="BI3" i="3"/>
  <c r="CY11" i="3"/>
  <c r="GJ3" i="3"/>
  <c r="EA7" i="3"/>
  <c r="DD5" i="3"/>
  <c r="CB9" i="3"/>
  <c r="DD12" i="3"/>
  <c r="GK4" i="3"/>
  <c r="FI8" i="3"/>
  <c r="GK11" i="3"/>
  <c r="BP9" i="3"/>
  <c r="GN3" i="3"/>
  <c r="AB7" i="3"/>
  <c r="GN10" i="3"/>
  <c r="AA14" i="3"/>
  <c r="EY8" i="3"/>
  <c r="EK11" i="3"/>
  <c r="EJ14" i="3"/>
  <c r="GX9" i="3"/>
  <c r="GN14" i="4"/>
  <c r="CR10" i="4"/>
  <c r="BZ4" i="4"/>
  <c r="BL7" i="4"/>
  <c r="CA3" i="4"/>
  <c r="CA5" i="4"/>
  <c r="CA7" i="4"/>
  <c r="CB3" i="4"/>
  <c r="BN6" i="4"/>
  <c r="CV12" i="4"/>
  <c r="DE4" i="4"/>
  <c r="CQ7" i="4"/>
  <c r="DD10" i="4"/>
  <c r="CD3" i="4"/>
  <c r="BP6" i="4"/>
  <c r="BC9" i="4"/>
  <c r="AS13" i="4"/>
  <c r="BR8" i="4"/>
  <c r="CY12" i="4"/>
  <c r="CT4" i="4"/>
  <c r="DV6" i="4"/>
  <c r="CY9" i="4"/>
  <c r="AW13" i="4"/>
  <c r="DK12" i="4"/>
  <c r="AI13" i="4"/>
  <c r="AX12" i="4"/>
  <c r="BE10" i="4"/>
  <c r="BO14" i="4"/>
  <c r="CQ13" i="4"/>
  <c r="FY12" i="4"/>
  <c r="DH12" i="4"/>
  <c r="FS10" i="3"/>
  <c r="EC5" i="3"/>
  <c r="EQ7" i="3"/>
  <c r="AF10" i="3"/>
  <c r="CL5" i="3"/>
  <c r="BH4" i="3"/>
  <c r="FN8" i="3"/>
  <c r="BG4" i="3"/>
  <c r="DW14" i="3"/>
  <c r="EM8" i="3"/>
  <c r="BH3" i="3"/>
  <c r="CE9" i="3"/>
  <c r="FM4" i="3"/>
  <c r="BK14" i="3"/>
  <c r="AU7" i="3"/>
  <c r="J3" i="3"/>
  <c r="Z4" i="3"/>
  <c r="R8" i="3"/>
  <c r="ES7" i="3"/>
  <c r="FR13" i="3"/>
  <c r="ES12" i="3"/>
  <c r="DR5" i="3"/>
  <c r="CP9" i="3"/>
  <c r="DR12" i="3"/>
  <c r="EU5" i="3"/>
  <c r="FW8" i="3"/>
  <c r="EU12" i="3"/>
  <c r="CD9" i="3"/>
  <c r="BP12" i="3"/>
  <c r="N4" i="3"/>
  <c r="AP7" i="3"/>
  <c r="N11" i="3"/>
  <c r="FM8" i="3"/>
  <c r="EY11" i="3"/>
  <c r="EX14" i="3"/>
  <c r="N10" i="4"/>
  <c r="R11" i="4"/>
  <c r="CO12" i="4"/>
  <c r="B14" i="4"/>
  <c r="DI8" i="4"/>
  <c r="DI9" i="4"/>
  <c r="DI10" i="4"/>
  <c r="EB11" i="4"/>
  <c r="AK13" i="4"/>
  <c r="EB14" i="4"/>
  <c r="ET11" i="4"/>
  <c r="ET12" i="4"/>
  <c r="ET13" i="4"/>
  <c r="ES14" i="4"/>
  <c r="EU11" i="4"/>
  <c r="EU12" i="4"/>
  <c r="EU13" i="4"/>
  <c r="ET14" i="4"/>
  <c r="M12" i="4"/>
  <c r="M13" i="4"/>
  <c r="L14" i="4"/>
  <c r="EJ11" i="4"/>
  <c r="EJ12" i="4"/>
  <c r="EJ13" i="4"/>
  <c r="EI14" i="4"/>
  <c r="EK11" i="4"/>
  <c r="EK12" i="4"/>
  <c r="EK13" i="4"/>
  <c r="EJ14" i="4"/>
  <c r="T11" i="3"/>
  <c r="DU7" i="3"/>
  <c r="AA6" i="3"/>
  <c r="FA4" i="3"/>
  <c r="CT3" i="3"/>
  <c r="R14" i="3"/>
  <c r="GG11" i="3"/>
  <c r="GH9" i="3"/>
  <c r="EV6" i="3"/>
  <c r="BS5" i="3"/>
  <c r="G4" i="3"/>
  <c r="GP13" i="3"/>
  <c r="GF11" i="3"/>
  <c r="GE9" i="3"/>
  <c r="AW8" i="3"/>
  <c r="ES6" i="3"/>
  <c r="BM5" i="3"/>
  <c r="F4" i="3"/>
  <c r="P14" i="3"/>
  <c r="E12" i="3"/>
  <c r="AD10" i="3"/>
  <c r="CN8" i="3"/>
  <c r="GL6" i="3"/>
  <c r="DC5" i="3"/>
  <c r="AM4" i="3"/>
  <c r="M3" i="3"/>
  <c r="AQ14" i="3"/>
  <c r="AF12" i="3"/>
  <c r="CM8" i="3"/>
  <c r="GI6" i="3"/>
  <c r="CG5" i="3"/>
  <c r="U4" i="3"/>
  <c r="GA14" i="3"/>
  <c r="FQ12" i="3"/>
  <c r="GM10" i="3"/>
  <c r="E9" i="3"/>
  <c r="CR7" i="3"/>
  <c r="GE5" i="3"/>
  <c r="DG4" i="3"/>
  <c r="BY3" i="3"/>
  <c r="AG14" i="3"/>
  <c r="AD12" i="3"/>
  <c r="AV10" i="3"/>
  <c r="CK8" i="3"/>
  <c r="FK6" i="3"/>
  <c r="BI5" i="3"/>
  <c r="GL3" i="3"/>
  <c r="BW3" i="3"/>
  <c r="CJ4" i="3"/>
  <c r="EI5" i="3"/>
  <c r="CR8" i="3"/>
  <c r="DY11" i="3"/>
  <c r="BW13" i="3"/>
  <c r="F3" i="3"/>
  <c r="CL6" i="3"/>
  <c r="FO7" i="3"/>
  <c r="CA9" i="3"/>
  <c r="GH10" i="3"/>
  <c r="EL12" i="3"/>
  <c r="CI14" i="3"/>
  <c r="FU10" i="3"/>
  <c r="FU11" i="3"/>
  <c r="FU12" i="3"/>
  <c r="FU13" i="3"/>
  <c r="FT14" i="3"/>
  <c r="EF5" i="3"/>
  <c r="EF6" i="3"/>
  <c r="EF7" i="3"/>
  <c r="EF8" i="3"/>
  <c r="EF9" i="3"/>
  <c r="EF10" i="3"/>
  <c r="EF11" i="3"/>
  <c r="EF12" i="3"/>
  <c r="EF13" i="3"/>
  <c r="K5" i="3"/>
  <c r="K6" i="3"/>
  <c r="K7" i="3"/>
  <c r="K8" i="3"/>
  <c r="K9" i="3"/>
  <c r="K10" i="3"/>
  <c r="K11" i="3"/>
  <c r="K12" i="3"/>
  <c r="K13" i="3"/>
  <c r="J14" i="3"/>
  <c r="DT8" i="3"/>
  <c r="DT9" i="3"/>
  <c r="DT10" i="3"/>
  <c r="DT11" i="3"/>
  <c r="DT12" i="3"/>
  <c r="DT13" i="3"/>
  <c r="DS14" i="3"/>
  <c r="BD4" i="3"/>
  <c r="BD5" i="3"/>
  <c r="BD6" i="3"/>
  <c r="BD7" i="3"/>
  <c r="BD8" i="3"/>
  <c r="BD9" i="3"/>
  <c r="BD10" i="3"/>
  <c r="BD11" i="3"/>
  <c r="BD12" i="3"/>
  <c r="BD13" i="3"/>
  <c r="BC14" i="3"/>
  <c r="GA6" i="3"/>
  <c r="GA7" i="3"/>
  <c r="GA8" i="3"/>
  <c r="GA9" i="3"/>
  <c r="GA10" i="3"/>
  <c r="GA11" i="3"/>
  <c r="GA12" i="3"/>
  <c r="GA13" i="3"/>
  <c r="FZ14" i="3"/>
  <c r="GR10" i="3"/>
  <c r="GX3" i="3"/>
  <c r="GR13" i="3"/>
  <c r="GX11" i="3"/>
  <c r="GX14" i="3"/>
  <c r="GR7" i="3"/>
  <c r="GU14" i="1"/>
  <c r="GV13" i="1"/>
  <c r="GV12" i="1"/>
  <c r="GV11" i="1"/>
  <c r="GV10" i="1"/>
  <c r="GV9" i="1"/>
  <c r="GV8" i="1"/>
  <c r="GV7" i="1"/>
  <c r="GV6" i="1"/>
  <c r="GV5" i="1"/>
  <c r="GV4" i="1"/>
  <c r="GV3" i="1"/>
  <c r="GT14" i="1"/>
  <c r="GU13" i="1"/>
  <c r="GU12" i="1"/>
  <c r="GU11" i="1"/>
  <c r="GU10" i="1"/>
  <c r="GU9" i="1"/>
  <c r="GU8" i="1"/>
  <c r="GU7" i="1"/>
  <c r="GU6" i="1"/>
  <c r="GU5" i="1"/>
  <c r="GU4" i="1"/>
  <c r="GU3" i="1"/>
  <c r="GS14" i="1"/>
  <c r="GT13" i="1"/>
  <c r="GT12" i="1"/>
  <c r="GT11" i="1"/>
  <c r="GT10" i="1"/>
  <c r="GT9" i="1"/>
  <c r="GT8" i="1"/>
  <c r="GT7" i="1"/>
  <c r="GT6" i="1"/>
  <c r="GT5" i="1"/>
  <c r="GR14" i="1"/>
  <c r="GS13" i="1"/>
  <c r="GS12" i="1"/>
  <c r="GS11" i="1"/>
  <c r="GS10" i="1"/>
  <c r="GS9" i="1"/>
  <c r="GS8" i="1"/>
  <c r="GS7" i="1"/>
  <c r="GS6" i="1"/>
  <c r="GS5" i="1"/>
  <c r="GS4" i="1"/>
  <c r="GS3" i="1"/>
  <c r="GR13" i="1"/>
  <c r="GR12" i="1"/>
  <c r="GR11" i="1"/>
  <c r="GR10" i="1"/>
  <c r="GR9" i="1"/>
  <c r="GR8" i="1"/>
  <c r="GR7" i="1"/>
  <c r="GR6" i="1"/>
  <c r="GR5" i="1"/>
  <c r="GR4" i="1"/>
  <c r="HC14" i="1"/>
  <c r="HB14" i="1"/>
  <c r="HC13" i="1"/>
  <c r="HC12" i="1"/>
  <c r="HC11" i="1"/>
  <c r="HC10" i="1"/>
  <c r="HC9" i="1"/>
  <c r="HC8" i="1"/>
  <c r="HC7" i="1"/>
  <c r="HC6" i="1"/>
  <c r="HA14" i="1"/>
  <c r="GX12" i="1"/>
  <c r="HB9" i="1"/>
  <c r="GX6" i="1"/>
  <c r="HA5" i="1"/>
  <c r="GY4" i="1"/>
  <c r="GW12" i="1"/>
  <c r="HA9" i="1"/>
  <c r="GW6" i="1"/>
  <c r="GZ5" i="1"/>
  <c r="GX4" i="1"/>
  <c r="HC3" i="1"/>
  <c r="GW8" i="1"/>
  <c r="HA6" i="1"/>
  <c r="HB11" i="1"/>
  <c r="GZ9" i="1"/>
  <c r="GY5" i="1"/>
  <c r="GW4" i="1"/>
  <c r="HB3" i="1"/>
  <c r="GY3" i="1"/>
  <c r="HA12" i="1"/>
  <c r="GY10" i="1"/>
  <c r="HA11" i="1"/>
  <c r="GY9" i="1"/>
  <c r="HB7" i="1"/>
  <c r="GX5" i="1"/>
  <c r="GT4" i="1"/>
  <c r="HA3" i="1"/>
  <c r="HB13" i="1"/>
  <c r="GZ11" i="1"/>
  <c r="GX9" i="1"/>
  <c r="HA7" i="1"/>
  <c r="GW5" i="1"/>
  <c r="GZ3" i="1"/>
  <c r="HA10" i="1"/>
  <c r="HA13" i="1"/>
  <c r="GY11" i="1"/>
  <c r="GW9" i="1"/>
  <c r="GZ7" i="1"/>
  <c r="HB6" i="1"/>
  <c r="GZ14" i="1"/>
  <c r="GZ13" i="1"/>
  <c r="GX11" i="1"/>
  <c r="HB8" i="1"/>
  <c r="GY7" i="1"/>
  <c r="GX3" i="1"/>
  <c r="GW13" i="1"/>
  <c r="GR3" i="1"/>
  <c r="HB4" i="1"/>
  <c r="GY14" i="1"/>
  <c r="GY13" i="1"/>
  <c r="GW11" i="1"/>
  <c r="HA8" i="1"/>
  <c r="GX7" i="1"/>
  <c r="GW3" i="1"/>
  <c r="GW14" i="1"/>
  <c r="GY8" i="1"/>
  <c r="GZ10" i="1"/>
  <c r="GX8" i="1"/>
  <c r="HC4" i="1"/>
  <c r="GX14" i="1"/>
  <c r="GX13" i="1"/>
  <c r="HB10" i="1"/>
  <c r="GZ8" i="1"/>
  <c r="GW7" i="1"/>
  <c r="GT3" i="1"/>
  <c r="GV14" i="1"/>
  <c r="HB12" i="1"/>
  <c r="GY12" i="1"/>
  <c r="HA4" i="1"/>
  <c r="GZ4" i="1"/>
  <c r="HC5" i="1"/>
  <c r="GW10" i="1"/>
  <c r="HB5" i="1"/>
  <c r="GZ6" i="1"/>
  <c r="GY6" i="1"/>
  <c r="GX10" i="1"/>
  <c r="GZ12" i="1"/>
  <c r="AF10" i="4"/>
  <c r="EY7" i="4"/>
  <c r="ED3" i="4"/>
  <c r="ED4" i="4"/>
  <c r="ED5" i="4"/>
  <c r="ED6" i="4"/>
  <c r="ED7" i="4"/>
  <c r="EJ8" i="4"/>
  <c r="FA9" i="4"/>
  <c r="GI10" i="4"/>
  <c r="FT13" i="4"/>
  <c r="EL8" i="4"/>
  <c r="FB9" i="4"/>
  <c r="GJ10" i="4"/>
  <c r="FU13" i="4"/>
  <c r="EF3" i="4"/>
  <c r="EF4" i="4"/>
  <c r="EF5" i="4"/>
  <c r="EF6" i="4"/>
  <c r="EF7" i="4"/>
  <c r="EM8" i="4"/>
  <c r="FC9" i="4"/>
  <c r="GP10" i="4"/>
  <c r="EC13" i="4"/>
  <c r="DS3" i="4"/>
  <c r="DS4" i="4"/>
  <c r="DS5" i="4"/>
  <c r="DS6" i="4"/>
  <c r="DS7" i="4"/>
  <c r="DY8" i="4"/>
  <c r="EO9" i="4"/>
  <c r="FU10" i="4"/>
  <c r="CK13" i="4"/>
  <c r="DF3" i="4"/>
  <c r="DF4" i="4"/>
  <c r="DF5" i="4"/>
  <c r="DF6" i="4"/>
  <c r="DF7" i="4"/>
  <c r="DK8" i="4"/>
  <c r="EA9" i="4"/>
  <c r="FE10" i="4"/>
  <c r="ER13" i="4"/>
  <c r="DU3" i="4"/>
  <c r="DU4" i="4"/>
  <c r="DU5" i="4"/>
  <c r="DU6" i="4"/>
  <c r="DU7" i="4"/>
  <c r="EA8" i="4"/>
  <c r="EQ9" i="4"/>
  <c r="FX10" i="4"/>
  <c r="GQ13" i="4"/>
  <c r="EJ3" i="4"/>
  <c r="EJ4" i="4"/>
  <c r="EJ5" i="4"/>
  <c r="EJ6" i="4"/>
  <c r="EJ7" i="4"/>
  <c r="EQ8" i="4"/>
  <c r="FG9" i="4"/>
  <c r="T11" i="4"/>
  <c r="AG14" i="4"/>
  <c r="DL13" i="4"/>
  <c r="GF11" i="4"/>
  <c r="BV13" i="4"/>
  <c r="GF14" i="4"/>
  <c r="EZ12" i="4"/>
  <c r="BH14" i="4"/>
  <c r="AW11" i="4"/>
  <c r="EC12" i="4"/>
  <c r="BI14" i="4"/>
  <c r="DY11" i="4"/>
  <c r="AH13" i="4"/>
  <c r="ER14" i="4"/>
  <c r="F12" i="4"/>
  <c r="DQ13" i="4"/>
  <c r="AB10" i="4"/>
  <c r="AI11" i="4"/>
  <c r="DM12" i="4"/>
  <c r="U14" i="4"/>
  <c r="DW8" i="4"/>
  <c r="DW9" i="4"/>
  <c r="DW10" i="4"/>
  <c r="EZ11" i="4"/>
  <c r="BI13" i="4"/>
  <c r="EZ14" i="4"/>
  <c r="FH11" i="4"/>
  <c r="FH12" i="4"/>
  <c r="FH13" i="4"/>
  <c r="FG14" i="4"/>
  <c r="FI11" i="4"/>
  <c r="FI12" i="4"/>
  <c r="FI13" i="4"/>
  <c r="FH14" i="4"/>
  <c r="AA12" i="4"/>
  <c r="AA13" i="4"/>
  <c r="Z14" i="4"/>
  <c r="EX11" i="4"/>
  <c r="EX12" i="4"/>
  <c r="EX13" i="4"/>
  <c r="EW14" i="4"/>
  <c r="EY11" i="4"/>
  <c r="EY12" i="4"/>
  <c r="EY13" i="4"/>
  <c r="EX14" i="4"/>
  <c r="BX14" i="3"/>
  <c r="BU12" i="3"/>
  <c r="BI10" i="3"/>
  <c r="CX8" i="3"/>
  <c r="FT6" i="3"/>
  <c r="CN5" i="3"/>
  <c r="AC4" i="3"/>
  <c r="GO14" i="3"/>
  <c r="GB12" i="3"/>
  <c r="FR10" i="3"/>
  <c r="M9" i="3"/>
  <c r="CY7" i="3"/>
  <c r="F6" i="3"/>
  <c r="CD3" i="3"/>
  <c r="FO13" i="3"/>
  <c r="FE11" i="3"/>
  <c r="FF9" i="3"/>
  <c r="AD8" i="3"/>
  <c r="DZ6" i="3"/>
  <c r="AU5" i="3"/>
  <c r="GA3" i="3"/>
  <c r="FN13" i="3"/>
  <c r="FD11" i="3"/>
  <c r="FE9" i="3"/>
  <c r="AA8" i="3"/>
  <c r="DY6" i="3"/>
  <c r="AT5" i="3"/>
  <c r="GQ3" i="3"/>
  <c r="GM13" i="3"/>
  <c r="GE11" i="3"/>
  <c r="D10" i="3"/>
  <c r="BT8" i="3"/>
  <c r="FP6" i="3"/>
  <c r="CJ5" i="3"/>
  <c r="V4" i="3"/>
  <c r="G14" i="3"/>
  <c r="D12" i="3"/>
  <c r="AA10" i="3"/>
  <c r="BQ8" i="3"/>
  <c r="FO6" i="3"/>
  <c r="BK5" i="3"/>
  <c r="D4" i="3"/>
  <c r="EV14" i="3"/>
  <c r="EO12" i="3"/>
  <c r="FE10" i="3"/>
  <c r="GG8" i="3"/>
  <c r="BV7" i="3"/>
  <c r="FK5" i="3"/>
  <c r="CN4" i="3"/>
  <c r="BG3" i="3"/>
  <c r="E14" i="3"/>
  <c r="T10" i="3"/>
  <c r="BM8" i="3"/>
  <c r="EM6" i="3"/>
  <c r="FS3" i="3"/>
  <c r="CK3" i="3"/>
  <c r="CZ4" i="3"/>
  <c r="FA5" i="3"/>
  <c r="AF7" i="3"/>
  <c r="DL8" i="3"/>
  <c r="U10" i="3"/>
  <c r="EW11" i="3"/>
  <c r="CW13" i="3"/>
  <c r="T3" i="3"/>
  <c r="AA4" i="3"/>
  <c r="BQ5" i="3"/>
  <c r="DC6" i="3"/>
  <c r="GG7" i="3"/>
  <c r="CY9" i="3"/>
  <c r="F11" i="3"/>
  <c r="FF12" i="3"/>
  <c r="DI14" i="3"/>
  <c r="GI10" i="3"/>
  <c r="GI11" i="3"/>
  <c r="GI12" i="3"/>
  <c r="GI13" i="3"/>
  <c r="GH14" i="3"/>
  <c r="ET5" i="3"/>
  <c r="ET6" i="3"/>
  <c r="ET7" i="3"/>
  <c r="ET8" i="3"/>
  <c r="ET9" i="3"/>
  <c r="ET10" i="3"/>
  <c r="ET11" i="3"/>
  <c r="ET12" i="3"/>
  <c r="ET13" i="3"/>
  <c r="ES14" i="3"/>
  <c r="Y5" i="3"/>
  <c r="Y6" i="3"/>
  <c r="Y7" i="3"/>
  <c r="Y8" i="3"/>
  <c r="Y9" i="3"/>
  <c r="Y10" i="3"/>
  <c r="Y11" i="3"/>
  <c r="Y12" i="3"/>
  <c r="Y13" i="3"/>
  <c r="X14" i="3"/>
  <c r="EH8" i="3"/>
  <c r="EH9" i="3"/>
  <c r="EH10" i="3"/>
  <c r="EH11" i="3"/>
  <c r="EH12" i="3"/>
  <c r="EH13" i="3"/>
  <c r="EG14" i="3"/>
  <c r="BR4" i="3"/>
  <c r="BR5" i="3"/>
  <c r="BR6" i="3"/>
  <c r="BR7" i="3"/>
  <c r="BR8" i="3"/>
  <c r="BR9" i="3"/>
  <c r="BR10" i="3"/>
  <c r="BR11" i="3"/>
  <c r="BR12" i="3"/>
  <c r="BR13" i="3"/>
  <c r="BQ14" i="3"/>
  <c r="GO6" i="3"/>
  <c r="GO7" i="3"/>
  <c r="GO8" i="3"/>
  <c r="GO9" i="3"/>
  <c r="GO10" i="3"/>
  <c r="GO11" i="3"/>
  <c r="GO12" i="3"/>
  <c r="GO13" i="3"/>
  <c r="GN14" i="3"/>
  <c r="GV12" i="3"/>
  <c r="GW4" i="3"/>
  <c r="HC14" i="3"/>
  <c r="GX12" i="3"/>
  <c r="HA8" i="3"/>
  <c r="EL14" i="4"/>
  <c r="FW9" i="4"/>
  <c r="DW7" i="4"/>
  <c r="ER3" i="4"/>
  <c r="ER4" i="4"/>
  <c r="ER5" i="4"/>
  <c r="ER6" i="4"/>
  <c r="ER7" i="4"/>
  <c r="EZ8" i="4"/>
  <c r="FP9" i="4"/>
  <c r="F11" i="4"/>
  <c r="K14" i="4"/>
  <c r="ES3" i="4"/>
  <c r="ES4" i="4"/>
  <c r="ES5" i="4"/>
  <c r="ES6" i="4"/>
  <c r="ES7" i="4"/>
  <c r="FA8" i="4"/>
  <c r="FQ9" i="4"/>
  <c r="G11" i="4"/>
  <c r="Y14" i="4"/>
  <c r="ET3" i="4"/>
  <c r="ET4" i="4"/>
  <c r="ET5" i="4"/>
  <c r="ET6" i="4"/>
  <c r="ET7" i="4"/>
  <c r="FB8" i="4"/>
  <c r="FR9" i="4"/>
  <c r="H11" i="4"/>
  <c r="GI13" i="4"/>
  <c r="EG3" i="4"/>
  <c r="EG4" i="4"/>
  <c r="EG5" i="4"/>
  <c r="EG6" i="4"/>
  <c r="EG7" i="4"/>
  <c r="EN8" i="4"/>
  <c r="FD9" i="4"/>
  <c r="GQ10" i="4"/>
  <c r="ED13" i="4"/>
  <c r="DT3" i="4"/>
  <c r="DT4" i="4"/>
  <c r="DT5" i="4"/>
  <c r="DT6" i="4"/>
  <c r="DT7" i="4"/>
  <c r="DZ8" i="4"/>
  <c r="EP9" i="4"/>
  <c r="FV10" i="4"/>
  <c r="GP13" i="4"/>
  <c r="EI3" i="4"/>
  <c r="EI4" i="4"/>
  <c r="EI5" i="4"/>
  <c r="EI6" i="4"/>
  <c r="EI7" i="4"/>
  <c r="EP8" i="4"/>
  <c r="FF9" i="4"/>
  <c r="M11" i="4"/>
  <c r="AF14" i="4"/>
  <c r="EX3" i="4"/>
  <c r="EX4" i="4"/>
  <c r="EX5" i="4"/>
  <c r="EX6" i="4"/>
  <c r="EX7" i="4"/>
  <c r="FF8" i="4"/>
  <c r="FV9" i="4"/>
  <c r="AS11" i="4"/>
  <c r="CM14" i="4"/>
  <c r="B12" i="4"/>
  <c r="CO13" i="4"/>
  <c r="CI11" i="4"/>
  <c r="FS12" i="4"/>
  <c r="CC14" i="4"/>
  <c r="BP11" i="4"/>
  <c r="FA12" i="4"/>
  <c r="CG14" i="4"/>
  <c r="ER11" i="4"/>
  <c r="BF13" i="4"/>
  <c r="FP14" i="4"/>
  <c r="AD12" i="4"/>
  <c r="EO13" i="4"/>
  <c r="BB11" i="4"/>
  <c r="EH12" i="4"/>
  <c r="AS14" i="4"/>
  <c r="EK8" i="4"/>
  <c r="EK9" i="4"/>
  <c r="EK10" i="4"/>
  <c r="FS11" i="4"/>
  <c r="CD13" i="4"/>
  <c r="FS14" i="4"/>
  <c r="FV11" i="4"/>
  <c r="FV12" i="4"/>
  <c r="FV13" i="4"/>
  <c r="FU14" i="4"/>
  <c r="FW11" i="4"/>
  <c r="FW12" i="4"/>
  <c r="FW13" i="4"/>
  <c r="FV14" i="4"/>
  <c r="AO12" i="4"/>
  <c r="AO13" i="4"/>
  <c r="FL11" i="4"/>
  <c r="FL12" i="4"/>
  <c r="FL13" i="4"/>
  <c r="FK14" i="4"/>
  <c r="FM11" i="4"/>
  <c r="FM12" i="4"/>
  <c r="FM13" i="4"/>
  <c r="FL14" i="4"/>
  <c r="AV14" i="3"/>
  <c r="AS12" i="3"/>
  <c r="AH10" i="3"/>
  <c r="BZ8" i="3"/>
  <c r="EZ6" i="3"/>
  <c r="BU5" i="3"/>
  <c r="I4" i="3"/>
  <c r="FJ14" i="3"/>
  <c r="EZ12" i="3"/>
  <c r="EP10" i="3"/>
  <c r="GQ8" i="3"/>
  <c r="CA7" i="3"/>
  <c r="GO5" i="3"/>
  <c r="DM4" i="3"/>
  <c r="BN3" i="3"/>
  <c r="EM13" i="3"/>
  <c r="EC11" i="3"/>
  <c r="EI9" i="3"/>
  <c r="F8" i="3"/>
  <c r="DF6" i="3"/>
  <c r="AA5" i="3"/>
  <c r="FI3" i="3"/>
  <c r="EL13" i="3"/>
  <c r="EB11" i="3"/>
  <c r="E8" i="3"/>
  <c r="DA6" i="3"/>
  <c r="Z5" i="3"/>
  <c r="FY3" i="3"/>
  <c r="FK13" i="3"/>
  <c r="FC11" i="3"/>
  <c r="GD9" i="3"/>
  <c r="AV8" i="3"/>
  <c r="ER6" i="3"/>
  <c r="BL5" i="3"/>
  <c r="E4" i="3"/>
  <c r="GH13" i="3"/>
  <c r="GD11" i="3"/>
  <c r="GC9" i="3"/>
  <c r="AU8" i="3"/>
  <c r="EQ6" i="3"/>
  <c r="AR5" i="3"/>
  <c r="GO3" i="3"/>
  <c r="DT14" i="3"/>
  <c r="DM12" i="3"/>
  <c r="EC10" i="3"/>
  <c r="FG8" i="3"/>
  <c r="AV7" i="3"/>
  <c r="EP5" i="3"/>
  <c r="BV4" i="3"/>
  <c r="AQ3" i="3"/>
  <c r="GF13" i="3"/>
  <c r="GB11" i="3"/>
  <c r="FY9" i="3"/>
  <c r="AS8" i="3"/>
  <c r="DP6" i="3"/>
  <c r="T5" i="3"/>
  <c r="FB3" i="3"/>
  <c r="CY3" i="3"/>
  <c r="DP4" i="3"/>
  <c r="FR5" i="3"/>
  <c r="AS10" i="3"/>
  <c r="FS11" i="3"/>
  <c r="DU13" i="3"/>
  <c r="AH3" i="3"/>
  <c r="AQ4" i="3"/>
  <c r="CI5" i="3"/>
  <c r="DW6" i="3"/>
  <c r="S8" i="3"/>
  <c r="DU9" i="3"/>
  <c r="AF11" i="3"/>
  <c r="GF12" i="3"/>
  <c r="EC14" i="3"/>
  <c r="I11" i="3"/>
  <c r="I12" i="3"/>
  <c r="I13" i="3"/>
  <c r="H14" i="3"/>
  <c r="FH4" i="3"/>
  <c r="FH5" i="3"/>
  <c r="FH6" i="3"/>
  <c r="FH7" i="3"/>
  <c r="FH8" i="3"/>
  <c r="FH9" i="3"/>
  <c r="FH10" i="3"/>
  <c r="FH11" i="3"/>
  <c r="FH12" i="3"/>
  <c r="FH13" i="3"/>
  <c r="FG14" i="3"/>
  <c r="AM5" i="3"/>
  <c r="AM6" i="3"/>
  <c r="AM7" i="3"/>
  <c r="AM8" i="3"/>
  <c r="AM9" i="3"/>
  <c r="AM10" i="3"/>
  <c r="AM11" i="3"/>
  <c r="AM12" i="3"/>
  <c r="AM13" i="3"/>
  <c r="AL14" i="3"/>
  <c r="EV8" i="3"/>
  <c r="EV9" i="3"/>
  <c r="EV10" i="3"/>
  <c r="EV11" i="3"/>
  <c r="EV12" i="3"/>
  <c r="EV13" i="3"/>
  <c r="EU14" i="3"/>
  <c r="CF4" i="3"/>
  <c r="CF5" i="3"/>
  <c r="CF6" i="3"/>
  <c r="CF7" i="3"/>
  <c r="CF8" i="3"/>
  <c r="CF9" i="3"/>
  <c r="CF10" i="3"/>
  <c r="CF11" i="3"/>
  <c r="CF12" i="3"/>
  <c r="CF13" i="3"/>
  <c r="CE14" i="3"/>
  <c r="O7" i="3"/>
  <c r="O8" i="3"/>
  <c r="O9" i="3"/>
  <c r="O10" i="3"/>
  <c r="O11" i="3"/>
  <c r="O12" i="3"/>
  <c r="O13" i="3"/>
  <c r="N14" i="3"/>
  <c r="GR3" i="3"/>
  <c r="GW10" i="3"/>
  <c r="GX13" i="3"/>
  <c r="HA11" i="3"/>
  <c r="BT14" i="4"/>
  <c r="FG3" i="4"/>
  <c r="FG4" i="4"/>
  <c r="FG5" i="4"/>
  <c r="FG6" i="4"/>
  <c r="FG7" i="4"/>
  <c r="FP8" i="4"/>
  <c r="GF9" i="4"/>
  <c r="AK11" i="4"/>
  <c r="BU14" i="4"/>
  <c r="FH3" i="4"/>
  <c r="FH4" i="4"/>
  <c r="FH5" i="4"/>
  <c r="FH6" i="4"/>
  <c r="FH7" i="4"/>
  <c r="FQ8" i="4"/>
  <c r="GG9" i="4"/>
  <c r="AC14" i="4"/>
  <c r="EU3" i="4"/>
  <c r="EU4" i="4"/>
  <c r="EU5" i="4"/>
  <c r="EU6" i="4"/>
  <c r="EU7" i="4"/>
  <c r="FC8" i="4"/>
  <c r="FS9" i="4"/>
  <c r="GL13" i="4"/>
  <c r="EH3" i="4"/>
  <c r="EH4" i="4"/>
  <c r="EH5" i="4"/>
  <c r="EH6" i="4"/>
  <c r="EH7" i="4"/>
  <c r="EO8" i="4"/>
  <c r="FE9" i="4"/>
  <c r="L11" i="4"/>
  <c r="AE14" i="4"/>
  <c r="EW3" i="4"/>
  <c r="EW4" i="4"/>
  <c r="EW5" i="4"/>
  <c r="EW6" i="4"/>
  <c r="EW7" i="4"/>
  <c r="FE8" i="4"/>
  <c r="FU9" i="4"/>
  <c r="AR11" i="4"/>
  <c r="CL14" i="4"/>
  <c r="FL3" i="4"/>
  <c r="FL4" i="4"/>
  <c r="FL5" i="4"/>
  <c r="FL6" i="4"/>
  <c r="FL7" i="4"/>
  <c r="FU8" i="4"/>
  <c r="GK9" i="4"/>
  <c r="BX11" i="4"/>
  <c r="EK14" i="4"/>
  <c r="FC13" i="4"/>
  <c r="U12" i="4"/>
  <c r="DM13" i="4"/>
  <c r="DA11" i="4"/>
  <c r="GQ12" i="4"/>
  <c r="CY14" i="4"/>
  <c r="CJ11" i="4"/>
  <c r="FT12" i="4"/>
  <c r="CZ14" i="4"/>
  <c r="FP11" i="4"/>
  <c r="BY13" i="4"/>
  <c r="GK14" i="4"/>
  <c r="AW12" i="4"/>
  <c r="FJ13" i="4"/>
  <c r="BD10" i="4"/>
  <c r="BU11" i="4"/>
  <c r="FD12" i="4"/>
  <c r="BL14" i="4"/>
  <c r="EY8" i="4"/>
  <c r="EY9" i="4"/>
  <c r="EY10" i="4"/>
  <c r="GQ11" i="4"/>
  <c r="CZ13" i="4"/>
  <c r="GQ14" i="4"/>
  <c r="GJ11" i="4"/>
  <c r="GJ12" i="4"/>
  <c r="GJ13" i="4"/>
  <c r="GI14" i="4"/>
  <c r="GK11" i="4"/>
  <c r="GK12" i="4"/>
  <c r="GK13" i="4"/>
  <c r="GJ14" i="4"/>
  <c r="BC12" i="4"/>
  <c r="BC13" i="4"/>
  <c r="BB14" i="4"/>
  <c r="FZ11" i="4"/>
  <c r="FZ12" i="4"/>
  <c r="FZ13" i="4"/>
  <c r="FY14" i="4"/>
  <c r="GA11" i="4"/>
  <c r="GA12" i="4"/>
  <c r="GA13" i="4"/>
  <c r="FZ14" i="4"/>
  <c r="T14" i="3"/>
  <c r="M12" i="3"/>
  <c r="H10" i="3"/>
  <c r="BB8" i="3"/>
  <c r="EB6" i="3"/>
  <c r="AY5" i="3"/>
  <c r="GC3" i="3"/>
  <c r="EA14" i="3"/>
  <c r="DX12" i="3"/>
  <c r="DL10" i="3"/>
  <c r="FQ8" i="3"/>
  <c r="BG7" i="3"/>
  <c r="FQ5" i="3"/>
  <c r="CU4" i="3"/>
  <c r="DK13" i="3"/>
  <c r="DA11" i="3"/>
  <c r="DK9" i="3"/>
  <c r="GL7" i="3"/>
  <c r="CI6" i="3"/>
  <c r="F5" i="3"/>
  <c r="ER3" i="3"/>
  <c r="DJ13" i="3"/>
  <c r="CX11" i="3"/>
  <c r="DJ9" i="3"/>
  <c r="GI7" i="3"/>
  <c r="CH6" i="3"/>
  <c r="E5" i="3"/>
  <c r="FH3" i="3"/>
  <c r="EI13" i="3"/>
  <c r="EA11" i="3"/>
  <c r="FD9" i="3"/>
  <c r="Z8" i="3"/>
  <c r="DX6" i="3"/>
  <c r="AS5" i="3"/>
  <c r="GP3" i="3"/>
  <c r="FF13" i="3"/>
  <c r="FB11" i="3"/>
  <c r="FC9" i="3"/>
  <c r="W8" i="3"/>
  <c r="DT6" i="3"/>
  <c r="V5" i="3"/>
  <c r="FW3" i="3"/>
  <c r="CR14" i="3"/>
  <c r="CI12" i="3"/>
  <c r="DA10" i="3"/>
  <c r="EL8" i="3"/>
  <c r="Z7" i="3"/>
  <c r="DW5" i="3"/>
  <c r="BB4" i="3"/>
  <c r="AA3" i="3"/>
  <c r="FD13" i="3"/>
  <c r="ER11" i="3"/>
  <c r="FA9" i="3"/>
  <c r="U8" i="3"/>
  <c r="CW6" i="3"/>
  <c r="GE4" i="3"/>
  <c r="EK3" i="3"/>
  <c r="DM3" i="3"/>
  <c r="EF4" i="3"/>
  <c r="GI5" i="3"/>
  <c r="BT7" i="3"/>
  <c r="FC8" i="3"/>
  <c r="BQ10" i="3"/>
  <c r="Q12" i="3"/>
  <c r="EQ13" i="3"/>
  <c r="AV3" i="3"/>
  <c r="BF4" i="3"/>
  <c r="CZ5" i="3"/>
  <c r="EO6" i="3"/>
  <c r="AK8" i="3"/>
  <c r="EP9" i="3"/>
  <c r="BF11" i="3"/>
  <c r="D13" i="3"/>
  <c r="FC14" i="3"/>
  <c r="W11" i="3"/>
  <c r="W12" i="3"/>
  <c r="W13" i="3"/>
  <c r="V14" i="3"/>
  <c r="FV4" i="3"/>
  <c r="FV5" i="3"/>
  <c r="FV6" i="3"/>
  <c r="FV7" i="3"/>
  <c r="FV8" i="3"/>
  <c r="FV9" i="3"/>
  <c r="FV10" i="3"/>
  <c r="FV11" i="3"/>
  <c r="FV12" i="3"/>
  <c r="FV13" i="3"/>
  <c r="FU14" i="3"/>
  <c r="BA5" i="3"/>
  <c r="BA6" i="3"/>
  <c r="BA7" i="3"/>
  <c r="BA8" i="3"/>
  <c r="BA9" i="3"/>
  <c r="BA10" i="3"/>
  <c r="BA11" i="3"/>
  <c r="BA12" i="3"/>
  <c r="BA13" i="3"/>
  <c r="AZ14" i="3"/>
  <c r="FJ8" i="3"/>
  <c r="FJ9" i="3"/>
  <c r="FJ10" i="3"/>
  <c r="FJ11" i="3"/>
  <c r="FJ12" i="3"/>
  <c r="FJ13" i="3"/>
  <c r="FI14" i="3"/>
  <c r="CT4" i="3"/>
  <c r="CT5" i="3"/>
  <c r="CT6" i="3"/>
  <c r="CT7" i="3"/>
  <c r="CT8" i="3"/>
  <c r="CT9" i="3"/>
  <c r="CT10" i="3"/>
  <c r="CT11" i="3"/>
  <c r="CT12" i="3"/>
  <c r="CT13" i="3"/>
  <c r="CS14" i="3"/>
  <c r="AC7" i="3"/>
  <c r="AC8" i="3"/>
  <c r="AC9" i="3"/>
  <c r="AC10" i="3"/>
  <c r="AC11" i="3"/>
  <c r="AC12" i="3"/>
  <c r="AC13" i="3"/>
  <c r="AB14" i="3"/>
  <c r="GW5" i="3"/>
  <c r="GT6" i="3"/>
  <c r="GW11" i="3"/>
  <c r="EZ13" i="4"/>
  <c r="DO9" i="4"/>
  <c r="BS7" i="4"/>
  <c r="FT3" i="4"/>
  <c r="FT4" i="4"/>
  <c r="FT5" i="4"/>
  <c r="FT6" i="4"/>
  <c r="FT7" i="4"/>
  <c r="GD8" i="4"/>
  <c r="G10" i="4"/>
  <c r="BI11" i="4"/>
  <c r="DM14" i="4"/>
  <c r="FU3" i="4"/>
  <c r="FU4" i="4"/>
  <c r="FU5" i="4"/>
  <c r="FU6" i="4"/>
  <c r="FU7" i="4"/>
  <c r="GE8" i="4"/>
  <c r="H10" i="4"/>
  <c r="BJ11" i="4"/>
  <c r="DN14" i="4"/>
  <c r="FV3" i="4"/>
  <c r="FV4" i="4"/>
  <c r="FV5" i="4"/>
  <c r="FV6" i="4"/>
  <c r="FV7" i="4"/>
  <c r="GF8" i="4"/>
  <c r="BK11" i="4"/>
  <c r="BV14" i="4"/>
  <c r="FI3" i="4"/>
  <c r="FI4" i="4"/>
  <c r="FI5" i="4"/>
  <c r="FI6" i="4"/>
  <c r="FI7" i="4"/>
  <c r="FR8" i="4"/>
  <c r="GH9" i="4"/>
  <c r="AO11" i="4"/>
  <c r="AD14" i="4"/>
  <c r="EV3" i="4"/>
  <c r="EV4" i="4"/>
  <c r="EV5" i="4"/>
  <c r="EV6" i="4"/>
  <c r="EV7" i="4"/>
  <c r="FD8" i="4"/>
  <c r="FT9" i="4"/>
  <c r="BX14" i="4"/>
  <c r="FK3" i="4"/>
  <c r="FK4" i="4"/>
  <c r="FK5" i="4"/>
  <c r="FK6" i="4"/>
  <c r="FK7" i="4"/>
  <c r="FT8" i="4"/>
  <c r="GJ9" i="4"/>
  <c r="BW11" i="4"/>
  <c r="EG14" i="4"/>
  <c r="FZ3" i="4"/>
  <c r="FZ4" i="4"/>
  <c r="FZ5" i="4"/>
  <c r="FZ6" i="4"/>
  <c r="FZ7" i="4"/>
  <c r="GJ8" i="4"/>
  <c r="M10" i="4"/>
  <c r="CZ11" i="4"/>
  <c r="GD14" i="4"/>
  <c r="FX13" i="4"/>
  <c r="AS12" i="4"/>
  <c r="EH13" i="4"/>
  <c r="DV11" i="4"/>
  <c r="H13" i="4"/>
  <c r="DW14" i="4"/>
  <c r="DB11" i="4"/>
  <c r="DX14" i="4"/>
  <c r="GI11" i="4"/>
  <c r="CW13" i="4"/>
  <c r="GM10" i="4"/>
  <c r="BU12" i="4"/>
  <c r="GF13" i="4"/>
  <c r="BR10" i="4"/>
  <c r="CM11" i="4"/>
  <c r="GB12" i="4"/>
  <c r="CJ14" i="4"/>
  <c r="FM8" i="4"/>
  <c r="FM9" i="4"/>
  <c r="FM10" i="4"/>
  <c r="H12" i="4"/>
  <c r="DX13" i="4"/>
  <c r="J11" i="4"/>
  <c r="J12" i="4"/>
  <c r="J13" i="4"/>
  <c r="K11" i="4"/>
  <c r="K12" i="4"/>
  <c r="K13" i="4"/>
  <c r="J14" i="4"/>
  <c r="BQ11" i="4"/>
  <c r="BQ12" i="4"/>
  <c r="BQ13" i="4"/>
  <c r="BP14" i="4"/>
  <c r="GN11" i="4"/>
  <c r="GN12" i="4"/>
  <c r="GN13" i="4"/>
  <c r="GM14" i="4"/>
  <c r="GO11" i="4"/>
  <c r="GO12" i="4"/>
  <c r="GO13" i="4"/>
  <c r="FS13" i="3"/>
  <c r="GM11" i="3"/>
  <c r="GM9" i="3"/>
  <c r="AF8" i="3"/>
  <c r="DI6" i="3"/>
  <c r="AD5" i="3"/>
  <c r="FK3" i="3"/>
  <c r="CY14" i="3"/>
  <c r="CV12" i="3"/>
  <c r="CJ10" i="3"/>
  <c r="EQ8" i="3"/>
  <c r="AI7" i="3"/>
  <c r="EW5" i="3"/>
  <c r="CA4" i="3"/>
  <c r="AF3" i="3"/>
  <c r="CI13" i="3"/>
  <c r="BW11" i="3"/>
  <c r="CK9" i="3"/>
  <c r="FP7" i="3"/>
  <c r="BM6" i="3"/>
  <c r="GO4" i="3"/>
  <c r="DY3" i="3"/>
  <c r="CH13" i="3"/>
  <c r="BV11" i="3"/>
  <c r="CJ9" i="3"/>
  <c r="FK7" i="3"/>
  <c r="BL6" i="3"/>
  <c r="GM4" i="3"/>
  <c r="EO3" i="3"/>
  <c r="DG13" i="3"/>
  <c r="CW11" i="3"/>
  <c r="ED9" i="3"/>
  <c r="D8" i="3"/>
  <c r="CZ6" i="3"/>
  <c r="W5" i="3"/>
  <c r="FX3" i="3"/>
  <c r="ED13" i="3"/>
  <c r="DX11" i="3"/>
  <c r="EC9" i="3"/>
  <c r="C8" i="3"/>
  <c r="CY6" i="3"/>
  <c r="C5" i="3"/>
  <c r="FD3" i="3"/>
  <c r="BP14" i="3"/>
  <c r="BG12" i="3"/>
  <c r="BY10" i="3"/>
  <c r="DJ8" i="3"/>
  <c r="D7" i="3"/>
  <c r="DA5" i="3"/>
  <c r="AK4" i="3"/>
  <c r="K3" i="3"/>
  <c r="EB13" i="3"/>
  <c r="DP11" i="3"/>
  <c r="EA9" i="3"/>
  <c r="GC7" i="3"/>
  <c r="CA6" i="3"/>
  <c r="FK4" i="3"/>
  <c r="DT3" i="3"/>
  <c r="EA3" i="3"/>
  <c r="EW4" i="3"/>
  <c r="R6" i="3"/>
  <c r="CL7" i="3"/>
  <c r="FY8" i="3"/>
  <c r="CM10" i="3"/>
  <c r="FQ13" i="3"/>
  <c r="BJ3" i="3"/>
  <c r="BU4" i="3"/>
  <c r="DQ5" i="3"/>
  <c r="FG6" i="3"/>
  <c r="BG8" i="3"/>
  <c r="FN9" i="3"/>
  <c r="BZ11" i="3"/>
  <c r="AD13" i="3"/>
  <c r="GC14" i="3"/>
  <c r="AK11" i="3"/>
  <c r="AK12" i="3"/>
  <c r="AK13" i="3"/>
  <c r="AJ14" i="3"/>
  <c r="GJ4" i="3"/>
  <c r="GJ5" i="3"/>
  <c r="GJ6" i="3"/>
  <c r="GJ7" i="3"/>
  <c r="GJ8" i="3"/>
  <c r="GJ9" i="3"/>
  <c r="GJ10" i="3"/>
  <c r="GJ11" i="3"/>
  <c r="GJ12" i="3"/>
  <c r="GJ13" i="3"/>
  <c r="GI14" i="3"/>
  <c r="BO5" i="3"/>
  <c r="BO6" i="3"/>
  <c r="BO7" i="3"/>
  <c r="BO8" i="3"/>
  <c r="BO9" i="3"/>
  <c r="BO10" i="3"/>
  <c r="BO11" i="3"/>
  <c r="BO12" i="3"/>
  <c r="BO13" i="3"/>
  <c r="BN14" i="3"/>
  <c r="FX8" i="3"/>
  <c r="FX9" i="3"/>
  <c r="FX10" i="3"/>
  <c r="FX11" i="3"/>
  <c r="FX12" i="3"/>
  <c r="FX13" i="3"/>
  <c r="FW14" i="3"/>
  <c r="DH4" i="3"/>
  <c r="DH5" i="3"/>
  <c r="DH6" i="3"/>
  <c r="DH7" i="3"/>
  <c r="DH8" i="3"/>
  <c r="DH9" i="3"/>
  <c r="DH10" i="3"/>
  <c r="DH11" i="3"/>
  <c r="DH12" i="3"/>
  <c r="DH13" i="3"/>
  <c r="DG14" i="3"/>
  <c r="AQ7" i="3"/>
  <c r="AQ8" i="3"/>
  <c r="AQ9" i="3"/>
  <c r="AQ10" i="3"/>
  <c r="AQ11" i="3"/>
  <c r="AQ12" i="3"/>
  <c r="AQ13" i="3"/>
  <c r="AP14" i="3"/>
  <c r="GW7" i="3"/>
  <c r="HA12" i="3"/>
  <c r="GW12" i="3"/>
  <c r="GY4" i="3"/>
  <c r="GV7" i="3"/>
  <c r="GM14" i="2"/>
  <c r="FY14" i="2"/>
  <c r="FK14" i="2"/>
  <c r="EW14" i="2"/>
  <c r="EI14" i="2"/>
  <c r="DU14" i="2"/>
  <c r="DG14" i="2"/>
  <c r="CS14" i="2"/>
  <c r="CE14" i="2"/>
  <c r="BQ14" i="2"/>
  <c r="BC14" i="2"/>
  <c r="AO14" i="2"/>
  <c r="AA14" i="2"/>
  <c r="M14" i="2"/>
  <c r="GN13" i="2"/>
  <c r="FZ13" i="2"/>
  <c r="FL13" i="2"/>
  <c r="EX13" i="2"/>
  <c r="EJ13" i="2"/>
  <c r="DV13" i="2"/>
  <c r="DH13" i="2"/>
  <c r="CT13" i="2"/>
  <c r="CF13" i="2"/>
  <c r="BR13" i="2"/>
  <c r="BD13" i="2"/>
  <c r="AP13" i="2"/>
  <c r="AB13" i="2"/>
  <c r="N13" i="2"/>
  <c r="GN12" i="2"/>
  <c r="FZ12" i="2"/>
  <c r="FL12" i="2"/>
  <c r="EX12" i="2"/>
  <c r="EJ12" i="2"/>
  <c r="DV12" i="2"/>
  <c r="DH12" i="2"/>
  <c r="CT12" i="2"/>
  <c r="CF12" i="2"/>
  <c r="BR12" i="2"/>
  <c r="BD12" i="2"/>
  <c r="AP12" i="2"/>
  <c r="AB12" i="2"/>
  <c r="N12" i="2"/>
  <c r="GN11" i="2"/>
  <c r="FZ11" i="2"/>
  <c r="FL11" i="2"/>
  <c r="EX11" i="2"/>
  <c r="EJ11" i="2"/>
  <c r="DV11" i="2"/>
  <c r="DH11" i="2"/>
  <c r="CT11" i="2"/>
  <c r="CF11" i="2"/>
  <c r="BR11" i="2"/>
  <c r="BD11" i="2"/>
  <c r="AP11" i="2"/>
  <c r="AB11" i="2"/>
  <c r="N11" i="2"/>
  <c r="GN10" i="2"/>
  <c r="FZ10" i="2"/>
  <c r="FL10" i="2"/>
  <c r="EX10" i="2"/>
  <c r="EJ10" i="2"/>
  <c r="DV10" i="2"/>
  <c r="DH10" i="2"/>
  <c r="CT10" i="2"/>
  <c r="CF10" i="2"/>
  <c r="BR10" i="2"/>
  <c r="BD10" i="2"/>
  <c r="AP10" i="2"/>
  <c r="AB10" i="2"/>
  <c r="N10" i="2"/>
  <c r="GN9" i="2"/>
  <c r="FZ9" i="2"/>
  <c r="FL9" i="2"/>
  <c r="EX9" i="2"/>
  <c r="EJ9" i="2"/>
  <c r="DV9" i="2"/>
  <c r="DH9" i="2"/>
  <c r="CT9" i="2"/>
  <c r="CF9" i="2"/>
  <c r="BR9" i="2"/>
  <c r="BD9" i="2"/>
  <c r="AP9" i="2"/>
  <c r="AB9" i="2"/>
  <c r="N9" i="2"/>
  <c r="GN8" i="2"/>
  <c r="FZ8" i="2"/>
  <c r="FL8" i="2"/>
  <c r="EX8" i="2"/>
  <c r="EJ8" i="2"/>
  <c r="DV8" i="2"/>
  <c r="DH8" i="2"/>
  <c r="CT8" i="2"/>
  <c r="CF8" i="2"/>
  <c r="BR8" i="2"/>
  <c r="BD8" i="2"/>
  <c r="AP8" i="2"/>
  <c r="AB8" i="2"/>
  <c r="N8" i="2"/>
  <c r="GN7" i="2"/>
  <c r="FZ7" i="2"/>
  <c r="FL7" i="2"/>
  <c r="EX7" i="2"/>
  <c r="EJ7" i="2"/>
  <c r="DV7" i="2"/>
  <c r="DH7" i="2"/>
  <c r="CT7" i="2"/>
  <c r="CF7" i="2"/>
  <c r="BR7" i="2"/>
  <c r="BD7" i="2"/>
  <c r="AP7" i="2"/>
  <c r="AB7" i="2"/>
  <c r="N7" i="2"/>
  <c r="GN6" i="2"/>
  <c r="FZ6" i="2"/>
  <c r="FL6" i="2"/>
  <c r="EX6" i="2"/>
  <c r="EJ6" i="2"/>
  <c r="DV6" i="2"/>
  <c r="DH6" i="2"/>
  <c r="CT6" i="2"/>
  <c r="CF6" i="2"/>
  <c r="BR6" i="2"/>
  <c r="BD6" i="2"/>
  <c r="AP6" i="2"/>
  <c r="AB6" i="2"/>
  <c r="N6" i="2"/>
  <c r="GN5" i="2"/>
  <c r="FZ5" i="2"/>
  <c r="FL5" i="2"/>
  <c r="EX5" i="2"/>
  <c r="EJ5" i="2"/>
  <c r="DV5" i="2"/>
  <c r="DH5" i="2"/>
  <c r="CT5" i="2"/>
  <c r="CF5" i="2"/>
  <c r="BR5" i="2"/>
  <c r="BD5" i="2"/>
  <c r="AP5" i="2"/>
  <c r="AB5" i="2"/>
  <c r="N5" i="2"/>
  <c r="GN4" i="2"/>
  <c r="FZ4" i="2"/>
  <c r="FL4" i="2"/>
  <c r="EX4" i="2"/>
  <c r="EJ4" i="2"/>
  <c r="DV4" i="2"/>
  <c r="DH4" i="2"/>
  <c r="CT4" i="2"/>
  <c r="CF4" i="2"/>
  <c r="BR4" i="2"/>
  <c r="BD4" i="2"/>
  <c r="AP4" i="2"/>
  <c r="AB4" i="2"/>
  <c r="N4" i="2"/>
  <c r="GL14" i="2"/>
  <c r="FX14" i="2"/>
  <c r="FJ14" i="2"/>
  <c r="EV14" i="2"/>
  <c r="EH14" i="2"/>
  <c r="DT14" i="2"/>
  <c r="DF14" i="2"/>
  <c r="CR14" i="2"/>
  <c r="CD14" i="2"/>
  <c r="BP14" i="2"/>
  <c r="BB14" i="2"/>
  <c r="AN14" i="2"/>
  <c r="Z14" i="2"/>
  <c r="L14" i="2"/>
  <c r="GM13" i="2"/>
  <c r="FY13" i="2"/>
  <c r="FK13" i="2"/>
  <c r="EW13" i="2"/>
  <c r="EI13" i="2"/>
  <c r="DU13" i="2"/>
  <c r="DG13" i="2"/>
  <c r="CS13" i="2"/>
  <c r="CE13" i="2"/>
  <c r="BQ13" i="2"/>
  <c r="BC13" i="2"/>
  <c r="AO13" i="2"/>
  <c r="AA13" i="2"/>
  <c r="M13" i="2"/>
  <c r="GM12" i="2"/>
  <c r="FY12" i="2"/>
  <c r="FK12" i="2"/>
  <c r="EW12" i="2"/>
  <c r="EI12" i="2"/>
  <c r="DU12" i="2"/>
  <c r="DG12" i="2"/>
  <c r="CS12" i="2"/>
  <c r="CE12" i="2"/>
  <c r="BQ12" i="2"/>
  <c r="BC12" i="2"/>
  <c r="AO12" i="2"/>
  <c r="AA12" i="2"/>
  <c r="M12" i="2"/>
  <c r="GM11" i="2"/>
  <c r="FY11" i="2"/>
  <c r="FK11" i="2"/>
  <c r="EW11" i="2"/>
  <c r="EI11" i="2"/>
  <c r="DU11" i="2"/>
  <c r="DG11" i="2"/>
  <c r="CS11" i="2"/>
  <c r="CE11" i="2"/>
  <c r="BQ11" i="2"/>
  <c r="BC11" i="2"/>
  <c r="AO11" i="2"/>
  <c r="AA11" i="2"/>
  <c r="M11" i="2"/>
  <c r="GM10" i="2"/>
  <c r="FY10" i="2"/>
  <c r="FK10" i="2"/>
  <c r="EW10" i="2"/>
  <c r="EI10" i="2"/>
  <c r="DU10" i="2"/>
  <c r="DG10" i="2"/>
  <c r="CS10" i="2"/>
  <c r="CE10" i="2"/>
  <c r="BQ10" i="2"/>
  <c r="BC10" i="2"/>
  <c r="AO10" i="2"/>
  <c r="AA10" i="2"/>
  <c r="M10" i="2"/>
  <c r="GM9" i="2"/>
  <c r="FY9" i="2"/>
  <c r="FK9" i="2"/>
  <c r="EW9" i="2"/>
  <c r="EI9" i="2"/>
  <c r="DU9" i="2"/>
  <c r="DG9" i="2"/>
  <c r="CS9" i="2"/>
  <c r="CE9" i="2"/>
  <c r="BQ9" i="2"/>
  <c r="BC9" i="2"/>
  <c r="AO9" i="2"/>
  <c r="AA9" i="2"/>
  <c r="M9" i="2"/>
  <c r="GM8" i="2"/>
  <c r="FY8" i="2"/>
  <c r="FK8" i="2"/>
  <c r="EW8" i="2"/>
  <c r="EI8" i="2"/>
  <c r="DU8" i="2"/>
  <c r="DG8" i="2"/>
  <c r="CS8" i="2"/>
  <c r="CE8" i="2"/>
  <c r="BQ8" i="2"/>
  <c r="BC8" i="2"/>
  <c r="AO8" i="2"/>
  <c r="AA8" i="2"/>
  <c r="M8" i="2"/>
  <c r="GM7" i="2"/>
  <c r="FY7" i="2"/>
  <c r="FK7" i="2"/>
  <c r="EW7" i="2"/>
  <c r="EI7" i="2"/>
  <c r="DU7" i="2"/>
  <c r="DG7" i="2"/>
  <c r="CS7" i="2"/>
  <c r="CE7" i="2"/>
  <c r="BQ7" i="2"/>
  <c r="BC7" i="2"/>
  <c r="AO7" i="2"/>
  <c r="AA7" i="2"/>
  <c r="M7" i="2"/>
  <c r="GM6" i="2"/>
  <c r="FY6" i="2"/>
  <c r="FK6" i="2"/>
  <c r="EW6" i="2"/>
  <c r="EI6" i="2"/>
  <c r="DU6" i="2"/>
  <c r="DG6" i="2"/>
  <c r="CS6" i="2"/>
  <c r="CE6" i="2"/>
  <c r="BQ6" i="2"/>
  <c r="BC6" i="2"/>
  <c r="AO6" i="2"/>
  <c r="AA6" i="2"/>
  <c r="M6" i="2"/>
  <c r="GM5" i="2"/>
  <c r="FY5" i="2"/>
  <c r="FK5" i="2"/>
  <c r="EW5" i="2"/>
  <c r="EI5" i="2"/>
  <c r="DU5" i="2"/>
  <c r="DG5" i="2"/>
  <c r="CS5" i="2"/>
  <c r="CE5" i="2"/>
  <c r="BQ5" i="2"/>
  <c r="BC5" i="2"/>
  <c r="AO5" i="2"/>
  <c r="AA5" i="2"/>
  <c r="M5" i="2"/>
  <c r="GM4" i="2"/>
  <c r="FY4" i="2"/>
  <c r="FK4" i="2"/>
  <c r="EW4" i="2"/>
  <c r="EI4" i="2"/>
  <c r="DU4" i="2"/>
  <c r="DG4" i="2"/>
  <c r="CS4" i="2"/>
  <c r="CE4" i="2"/>
  <c r="BQ4" i="2"/>
  <c r="BC4" i="2"/>
  <c r="AO4" i="2"/>
  <c r="AA4" i="2"/>
  <c r="M4" i="2"/>
  <c r="GM3" i="2"/>
  <c r="GK14" i="2"/>
  <c r="FW14" i="2"/>
  <c r="FI14" i="2"/>
  <c r="EU14" i="2"/>
  <c r="EG14" i="2"/>
  <c r="DS14" i="2"/>
  <c r="DE14" i="2"/>
  <c r="CQ14" i="2"/>
  <c r="CC14" i="2"/>
  <c r="BO14" i="2"/>
  <c r="BA14" i="2"/>
  <c r="AM14" i="2"/>
  <c r="Y14" i="2"/>
  <c r="K14" i="2"/>
  <c r="GL13" i="2"/>
  <c r="FX13" i="2"/>
  <c r="FJ13" i="2"/>
  <c r="EV13" i="2"/>
  <c r="EH13" i="2"/>
  <c r="DT13" i="2"/>
  <c r="DF13" i="2"/>
  <c r="CR13" i="2"/>
  <c r="CD13" i="2"/>
  <c r="BP13" i="2"/>
  <c r="BB13" i="2"/>
  <c r="AN13" i="2"/>
  <c r="Z13" i="2"/>
  <c r="L13" i="2"/>
  <c r="GL12" i="2"/>
  <c r="FX12" i="2"/>
  <c r="FJ12" i="2"/>
  <c r="EV12" i="2"/>
  <c r="EH12" i="2"/>
  <c r="DT12" i="2"/>
  <c r="DF12" i="2"/>
  <c r="CR12" i="2"/>
  <c r="CD12" i="2"/>
  <c r="BP12" i="2"/>
  <c r="BB12" i="2"/>
  <c r="AN12" i="2"/>
  <c r="Z12" i="2"/>
  <c r="L12" i="2"/>
  <c r="GL11" i="2"/>
  <c r="FX11" i="2"/>
  <c r="FJ11" i="2"/>
  <c r="EV11" i="2"/>
  <c r="EH11" i="2"/>
  <c r="DT11" i="2"/>
  <c r="DF11" i="2"/>
  <c r="CR11" i="2"/>
  <c r="CD11" i="2"/>
  <c r="BP11" i="2"/>
  <c r="BB11" i="2"/>
  <c r="AN11" i="2"/>
  <c r="Z11" i="2"/>
  <c r="L11" i="2"/>
  <c r="GL10" i="2"/>
  <c r="FX10" i="2"/>
  <c r="FJ10" i="2"/>
  <c r="EV10" i="2"/>
  <c r="EH10" i="2"/>
  <c r="DT10" i="2"/>
  <c r="DF10" i="2"/>
  <c r="CR10" i="2"/>
  <c r="CD10" i="2"/>
  <c r="BP10" i="2"/>
  <c r="BB10" i="2"/>
  <c r="AN10" i="2"/>
  <c r="Z10" i="2"/>
  <c r="L10" i="2"/>
  <c r="GL9" i="2"/>
  <c r="FX9" i="2"/>
  <c r="FJ9" i="2"/>
  <c r="EV9" i="2"/>
  <c r="EH9" i="2"/>
  <c r="DT9" i="2"/>
  <c r="DF9" i="2"/>
  <c r="CR9" i="2"/>
  <c r="CD9" i="2"/>
  <c r="BP9" i="2"/>
  <c r="BB9" i="2"/>
  <c r="AN9" i="2"/>
  <c r="Z9" i="2"/>
  <c r="L9" i="2"/>
  <c r="GL8" i="2"/>
  <c r="FX8" i="2"/>
  <c r="FJ8" i="2"/>
  <c r="EV8" i="2"/>
  <c r="EH8" i="2"/>
  <c r="DT8" i="2"/>
  <c r="DF8" i="2"/>
  <c r="CR8" i="2"/>
  <c r="CD8" i="2"/>
  <c r="BP8" i="2"/>
  <c r="BB8" i="2"/>
  <c r="AN8" i="2"/>
  <c r="Z8" i="2"/>
  <c r="L8" i="2"/>
  <c r="GL7" i="2"/>
  <c r="FX7" i="2"/>
  <c r="FJ7" i="2"/>
  <c r="EV7" i="2"/>
  <c r="EH7" i="2"/>
  <c r="DT7" i="2"/>
  <c r="DF7" i="2"/>
  <c r="CR7" i="2"/>
  <c r="CD7" i="2"/>
  <c r="BP7" i="2"/>
  <c r="BB7" i="2"/>
  <c r="AN7" i="2"/>
  <c r="Z7" i="2"/>
  <c r="L7" i="2"/>
  <c r="GL6" i="2"/>
  <c r="FX6" i="2"/>
  <c r="FJ6" i="2"/>
  <c r="EV6" i="2"/>
  <c r="EH6" i="2"/>
  <c r="DT6" i="2"/>
  <c r="DF6" i="2"/>
  <c r="CR6" i="2"/>
  <c r="CD6" i="2"/>
  <c r="BP6" i="2"/>
  <c r="BB6" i="2"/>
  <c r="AN6" i="2"/>
  <c r="Z6" i="2"/>
  <c r="L6" i="2"/>
  <c r="GL5" i="2"/>
  <c r="FX5" i="2"/>
  <c r="FJ5" i="2"/>
  <c r="EV5" i="2"/>
  <c r="EH5" i="2"/>
  <c r="DT5" i="2"/>
  <c r="DF5" i="2"/>
  <c r="CR5" i="2"/>
  <c r="CD5" i="2"/>
  <c r="BP5" i="2"/>
  <c r="BB5" i="2"/>
  <c r="AN5" i="2"/>
  <c r="Z5" i="2"/>
  <c r="L5" i="2"/>
  <c r="GL4" i="2"/>
  <c r="FX4" i="2"/>
  <c r="FJ4" i="2"/>
  <c r="EV4" i="2"/>
  <c r="EH4" i="2"/>
  <c r="DT4" i="2"/>
  <c r="DF4" i="2"/>
  <c r="CR4" i="2"/>
  <c r="CD4" i="2"/>
  <c r="GJ14" i="2"/>
  <c r="FV14" i="2"/>
  <c r="FH14" i="2"/>
  <c r="ET14" i="2"/>
  <c r="EF14" i="2"/>
  <c r="DR14" i="2"/>
  <c r="DD14" i="2"/>
  <c r="CP14" i="2"/>
  <c r="CB14" i="2"/>
  <c r="BN14" i="2"/>
  <c r="AZ14" i="2"/>
  <c r="AL14" i="2"/>
  <c r="X14" i="2"/>
  <c r="J14" i="2"/>
  <c r="GK13" i="2"/>
  <c r="FW13" i="2"/>
  <c r="FI13" i="2"/>
  <c r="EU13" i="2"/>
  <c r="EG13" i="2"/>
  <c r="DS13" i="2"/>
  <c r="DE13" i="2"/>
  <c r="CQ13" i="2"/>
  <c r="CC13" i="2"/>
  <c r="BO13" i="2"/>
  <c r="BA13" i="2"/>
  <c r="AM13" i="2"/>
  <c r="Y13" i="2"/>
  <c r="K13" i="2"/>
  <c r="GK12" i="2"/>
  <c r="FW12" i="2"/>
  <c r="FI12" i="2"/>
  <c r="EU12" i="2"/>
  <c r="EG12" i="2"/>
  <c r="DS12" i="2"/>
  <c r="DE12" i="2"/>
  <c r="CQ12" i="2"/>
  <c r="CC12" i="2"/>
  <c r="BO12" i="2"/>
  <c r="BA12" i="2"/>
  <c r="AM12" i="2"/>
  <c r="Y12" i="2"/>
  <c r="K12" i="2"/>
  <c r="GK11" i="2"/>
  <c r="FW11" i="2"/>
  <c r="FI11" i="2"/>
  <c r="EU11" i="2"/>
  <c r="EG11" i="2"/>
  <c r="DS11" i="2"/>
  <c r="DE11" i="2"/>
  <c r="CQ11" i="2"/>
  <c r="CC11" i="2"/>
  <c r="BO11" i="2"/>
  <c r="BA11" i="2"/>
  <c r="AM11" i="2"/>
  <c r="Y11" i="2"/>
  <c r="K11" i="2"/>
  <c r="GK10" i="2"/>
  <c r="FW10" i="2"/>
  <c r="FI10" i="2"/>
  <c r="EU10" i="2"/>
  <c r="EG10" i="2"/>
  <c r="DS10" i="2"/>
  <c r="DE10" i="2"/>
  <c r="CQ10" i="2"/>
  <c r="CC10" i="2"/>
  <c r="BO10" i="2"/>
  <c r="BA10" i="2"/>
  <c r="AM10" i="2"/>
  <c r="Y10" i="2"/>
  <c r="K10" i="2"/>
  <c r="GK9" i="2"/>
  <c r="FW9" i="2"/>
  <c r="FI9" i="2"/>
  <c r="EU9" i="2"/>
  <c r="EG9" i="2"/>
  <c r="DS9" i="2"/>
  <c r="DE9" i="2"/>
  <c r="CQ9" i="2"/>
  <c r="CC9" i="2"/>
  <c r="BO9" i="2"/>
  <c r="BA9" i="2"/>
  <c r="AM9" i="2"/>
  <c r="Y9" i="2"/>
  <c r="K9" i="2"/>
  <c r="GK8" i="2"/>
  <c r="FW8" i="2"/>
  <c r="FI8" i="2"/>
  <c r="EU8" i="2"/>
  <c r="EG8" i="2"/>
  <c r="DS8" i="2"/>
  <c r="DE8" i="2"/>
  <c r="CQ8" i="2"/>
  <c r="CC8" i="2"/>
  <c r="BO8" i="2"/>
  <c r="BA8" i="2"/>
  <c r="AM8" i="2"/>
  <c r="Y8" i="2"/>
  <c r="K8" i="2"/>
  <c r="GK7" i="2"/>
  <c r="FW7" i="2"/>
  <c r="FI7" i="2"/>
  <c r="EU7" i="2"/>
  <c r="EG7" i="2"/>
  <c r="DS7" i="2"/>
  <c r="DE7" i="2"/>
  <c r="CQ7" i="2"/>
  <c r="CC7" i="2"/>
  <c r="BO7" i="2"/>
  <c r="BA7" i="2"/>
  <c r="AM7" i="2"/>
  <c r="Y7" i="2"/>
  <c r="GI14" i="2"/>
  <c r="FU14" i="2"/>
  <c r="FG14" i="2"/>
  <c r="ES14" i="2"/>
  <c r="EE14" i="2"/>
  <c r="DQ14" i="2"/>
  <c r="DC14" i="2"/>
  <c r="CO14" i="2"/>
  <c r="CA14" i="2"/>
  <c r="BM14" i="2"/>
  <c r="AY14" i="2"/>
  <c r="AK14" i="2"/>
  <c r="W14" i="2"/>
  <c r="I14" i="2"/>
  <c r="GJ13" i="2"/>
  <c r="FV13" i="2"/>
  <c r="FH13" i="2"/>
  <c r="ET13" i="2"/>
  <c r="EF13" i="2"/>
  <c r="DR13" i="2"/>
  <c r="DD13" i="2"/>
  <c r="CP13" i="2"/>
  <c r="CB13" i="2"/>
  <c r="BN13" i="2"/>
  <c r="AZ13" i="2"/>
  <c r="AL13" i="2"/>
  <c r="X13" i="2"/>
  <c r="J13" i="2"/>
  <c r="GJ12" i="2"/>
  <c r="FV12" i="2"/>
  <c r="FH12" i="2"/>
  <c r="ET12" i="2"/>
  <c r="EF12" i="2"/>
  <c r="DR12" i="2"/>
  <c r="DD12" i="2"/>
  <c r="CP12" i="2"/>
  <c r="CB12" i="2"/>
  <c r="BN12" i="2"/>
  <c r="AZ12" i="2"/>
  <c r="AL12" i="2"/>
  <c r="X12" i="2"/>
  <c r="J12" i="2"/>
  <c r="GJ11" i="2"/>
  <c r="FV11" i="2"/>
  <c r="FH11" i="2"/>
  <c r="ET11" i="2"/>
  <c r="EF11" i="2"/>
  <c r="DR11" i="2"/>
  <c r="DD11" i="2"/>
  <c r="CP11" i="2"/>
  <c r="CB11" i="2"/>
  <c r="BN11" i="2"/>
  <c r="AZ11" i="2"/>
  <c r="AL11" i="2"/>
  <c r="X11" i="2"/>
  <c r="J11" i="2"/>
  <c r="GJ10" i="2"/>
  <c r="FV10" i="2"/>
  <c r="FH10" i="2"/>
  <c r="ET10" i="2"/>
  <c r="EF10" i="2"/>
  <c r="DR10" i="2"/>
  <c r="DD10" i="2"/>
  <c r="CP10" i="2"/>
  <c r="CB10" i="2"/>
  <c r="BN10" i="2"/>
  <c r="AZ10" i="2"/>
  <c r="AL10" i="2"/>
  <c r="X10" i="2"/>
  <c r="J10" i="2"/>
  <c r="GJ9" i="2"/>
  <c r="FV9" i="2"/>
  <c r="FH9" i="2"/>
  <c r="ET9" i="2"/>
  <c r="EF9" i="2"/>
  <c r="DR9" i="2"/>
  <c r="DD9" i="2"/>
  <c r="CP9" i="2"/>
  <c r="CB9" i="2"/>
  <c r="BN9" i="2"/>
  <c r="AZ9" i="2"/>
  <c r="AL9" i="2"/>
  <c r="X9" i="2"/>
  <c r="J9" i="2"/>
  <c r="GJ8" i="2"/>
  <c r="FV8" i="2"/>
  <c r="FH8" i="2"/>
  <c r="ET8" i="2"/>
  <c r="EF8" i="2"/>
  <c r="DR8" i="2"/>
  <c r="DD8" i="2"/>
  <c r="CP8" i="2"/>
  <c r="CB8" i="2"/>
  <c r="BN8" i="2"/>
  <c r="AZ8" i="2"/>
  <c r="AL8" i="2"/>
  <c r="X8" i="2"/>
  <c r="J8" i="2"/>
  <c r="GJ7" i="2"/>
  <c r="FV7" i="2"/>
  <c r="FH7" i="2"/>
  <c r="ET7" i="2"/>
  <c r="EF7" i="2"/>
  <c r="DR7" i="2"/>
  <c r="DD7" i="2"/>
  <c r="CP7" i="2"/>
  <c r="CB7" i="2"/>
  <c r="BN7" i="2"/>
  <c r="AZ7" i="2"/>
  <c r="AL7" i="2"/>
  <c r="X7" i="2"/>
  <c r="J7" i="2"/>
  <c r="GJ6" i="2"/>
  <c r="FV6" i="2"/>
  <c r="FH6" i="2"/>
  <c r="ET6" i="2"/>
  <c r="EF6" i="2"/>
  <c r="DR6" i="2"/>
  <c r="DD6" i="2"/>
  <c r="CP6" i="2"/>
  <c r="CB6" i="2"/>
  <c r="BN6" i="2"/>
  <c r="AZ6" i="2"/>
  <c r="AL6" i="2"/>
  <c r="X6" i="2"/>
  <c r="J6" i="2"/>
  <c r="GJ5" i="2"/>
  <c r="FV5" i="2"/>
  <c r="FH5" i="2"/>
  <c r="ET5" i="2"/>
  <c r="EF5" i="2"/>
  <c r="DR5" i="2"/>
  <c r="DD5" i="2"/>
  <c r="CP5" i="2"/>
  <c r="CB5" i="2"/>
  <c r="BN5" i="2"/>
  <c r="GH14" i="2"/>
  <c r="FT14" i="2"/>
  <c r="FF14" i="2"/>
  <c r="ER14" i="2"/>
  <c r="ED14" i="2"/>
  <c r="DP14" i="2"/>
  <c r="DB14" i="2"/>
  <c r="CN14" i="2"/>
  <c r="BZ14" i="2"/>
  <c r="BL14" i="2"/>
  <c r="AX14" i="2"/>
  <c r="AJ14" i="2"/>
  <c r="V14" i="2"/>
  <c r="H14" i="2"/>
  <c r="GI13" i="2"/>
  <c r="FU13" i="2"/>
  <c r="FG13" i="2"/>
  <c r="ES13" i="2"/>
  <c r="EE13" i="2"/>
  <c r="DQ13" i="2"/>
  <c r="DC13" i="2"/>
  <c r="CO13" i="2"/>
  <c r="CA13" i="2"/>
  <c r="BM13" i="2"/>
  <c r="AY13" i="2"/>
  <c r="AK13" i="2"/>
  <c r="W13" i="2"/>
  <c r="I13" i="2"/>
  <c r="GI12" i="2"/>
  <c r="FU12" i="2"/>
  <c r="FG12" i="2"/>
  <c r="ES12" i="2"/>
  <c r="EE12" i="2"/>
  <c r="DQ12" i="2"/>
  <c r="DC12" i="2"/>
  <c r="CO12" i="2"/>
  <c r="CA12" i="2"/>
  <c r="BM12" i="2"/>
  <c r="AY12" i="2"/>
  <c r="AK12" i="2"/>
  <c r="W12" i="2"/>
  <c r="I12" i="2"/>
  <c r="GI11" i="2"/>
  <c r="FU11" i="2"/>
  <c r="FG11" i="2"/>
  <c r="ES11" i="2"/>
  <c r="EE11" i="2"/>
  <c r="DQ11" i="2"/>
  <c r="DC11" i="2"/>
  <c r="CO11" i="2"/>
  <c r="CA11" i="2"/>
  <c r="BM11" i="2"/>
  <c r="AY11" i="2"/>
  <c r="AK11" i="2"/>
  <c r="W11" i="2"/>
  <c r="I11" i="2"/>
  <c r="GI10" i="2"/>
  <c r="FU10" i="2"/>
  <c r="FG10" i="2"/>
  <c r="ES10" i="2"/>
  <c r="EE10" i="2"/>
  <c r="DQ10" i="2"/>
  <c r="DC10" i="2"/>
  <c r="CO10" i="2"/>
  <c r="CA10" i="2"/>
  <c r="BM10" i="2"/>
  <c r="AY10" i="2"/>
  <c r="AK10" i="2"/>
  <c r="W10" i="2"/>
  <c r="I10" i="2"/>
  <c r="GI9" i="2"/>
  <c r="FU9" i="2"/>
  <c r="FG9" i="2"/>
  <c r="ES9" i="2"/>
  <c r="EE9" i="2"/>
  <c r="DQ9" i="2"/>
  <c r="DC9" i="2"/>
  <c r="CO9" i="2"/>
  <c r="CA9" i="2"/>
  <c r="BM9" i="2"/>
  <c r="AY9" i="2"/>
  <c r="AK9" i="2"/>
  <c r="W9" i="2"/>
  <c r="I9" i="2"/>
  <c r="GI8" i="2"/>
  <c r="FU8" i="2"/>
  <c r="FG8" i="2"/>
  <c r="ES8" i="2"/>
  <c r="EE8" i="2"/>
  <c r="DQ8" i="2"/>
  <c r="DC8" i="2"/>
  <c r="CO8" i="2"/>
  <c r="CA8" i="2"/>
  <c r="BM8" i="2"/>
  <c r="AY8" i="2"/>
  <c r="AK8" i="2"/>
  <c r="W8" i="2"/>
  <c r="I8" i="2"/>
  <c r="GI7" i="2"/>
  <c r="FU7" i="2"/>
  <c r="FG7" i="2"/>
  <c r="ES7" i="2"/>
  <c r="EE7" i="2"/>
  <c r="DQ7" i="2"/>
  <c r="DC7" i="2"/>
  <c r="CO7" i="2"/>
  <c r="CA7" i="2"/>
  <c r="BM7" i="2"/>
  <c r="AY7" i="2"/>
  <c r="AK7" i="2"/>
  <c r="W7" i="2"/>
  <c r="I7" i="2"/>
  <c r="GI6" i="2"/>
  <c r="FU6" i="2"/>
  <c r="FG6" i="2"/>
  <c r="ES6" i="2"/>
  <c r="EE6" i="2"/>
  <c r="DQ6" i="2"/>
  <c r="DC6" i="2"/>
  <c r="CO6" i="2"/>
  <c r="CA6" i="2"/>
  <c r="BM6" i="2"/>
  <c r="AY6" i="2"/>
  <c r="AK6" i="2"/>
  <c r="W6" i="2"/>
  <c r="I6" i="2"/>
  <c r="GI5" i="2"/>
  <c r="FU5" i="2"/>
  <c r="FG5" i="2"/>
  <c r="ES5" i="2"/>
  <c r="EE5" i="2"/>
  <c r="DQ5" i="2"/>
  <c r="DC5" i="2"/>
  <c r="CO5" i="2"/>
  <c r="CA5" i="2"/>
  <c r="BM5" i="2"/>
  <c r="AY5" i="2"/>
  <c r="AK5" i="2"/>
  <c r="W5" i="2"/>
  <c r="I5" i="2"/>
  <c r="GI4" i="2"/>
  <c r="FU4" i="2"/>
  <c r="FG4" i="2"/>
  <c r="ES4" i="2"/>
  <c r="EE4" i="2"/>
  <c r="DQ4" i="2"/>
  <c r="DC4" i="2"/>
  <c r="CO4" i="2"/>
  <c r="CA4" i="2"/>
  <c r="GG14" i="2"/>
  <c r="FS14" i="2"/>
  <c r="FE14" i="2"/>
  <c r="EQ14" i="2"/>
  <c r="EC14" i="2"/>
  <c r="DO14" i="2"/>
  <c r="DA14" i="2"/>
  <c r="CM14" i="2"/>
  <c r="BY14" i="2"/>
  <c r="BK14" i="2"/>
  <c r="AW14" i="2"/>
  <c r="AI14" i="2"/>
  <c r="U14" i="2"/>
  <c r="G14" i="2"/>
  <c r="GH13" i="2"/>
  <c r="FT13" i="2"/>
  <c r="FF13" i="2"/>
  <c r="ER13" i="2"/>
  <c r="ED13" i="2"/>
  <c r="DP13" i="2"/>
  <c r="DB13" i="2"/>
  <c r="CN13" i="2"/>
  <c r="BZ13" i="2"/>
  <c r="BL13" i="2"/>
  <c r="AX13" i="2"/>
  <c r="AJ13" i="2"/>
  <c r="V13" i="2"/>
  <c r="H13" i="2"/>
  <c r="GH12" i="2"/>
  <c r="FT12" i="2"/>
  <c r="FF12" i="2"/>
  <c r="ER12" i="2"/>
  <c r="ED12" i="2"/>
  <c r="DP12" i="2"/>
  <c r="DB12" i="2"/>
  <c r="CN12" i="2"/>
  <c r="BZ12" i="2"/>
  <c r="BL12" i="2"/>
  <c r="AX12" i="2"/>
  <c r="AJ12" i="2"/>
  <c r="V12" i="2"/>
  <c r="H12" i="2"/>
  <c r="GH11" i="2"/>
  <c r="FT11" i="2"/>
  <c r="FF11" i="2"/>
  <c r="ER11" i="2"/>
  <c r="ED11" i="2"/>
  <c r="DP11" i="2"/>
  <c r="DB11" i="2"/>
  <c r="CN11" i="2"/>
  <c r="BZ11" i="2"/>
  <c r="BL11" i="2"/>
  <c r="AX11" i="2"/>
  <c r="AJ11" i="2"/>
  <c r="V11" i="2"/>
  <c r="H11" i="2"/>
  <c r="GH10" i="2"/>
  <c r="FT10" i="2"/>
  <c r="FF10" i="2"/>
  <c r="ER10" i="2"/>
  <c r="ED10" i="2"/>
  <c r="DP10" i="2"/>
  <c r="DB10" i="2"/>
  <c r="CN10" i="2"/>
  <c r="BZ10" i="2"/>
  <c r="BL10" i="2"/>
  <c r="AX10" i="2"/>
  <c r="AJ10" i="2"/>
  <c r="V10" i="2"/>
  <c r="H10" i="2"/>
  <c r="GH9" i="2"/>
  <c r="FT9" i="2"/>
  <c r="FF9" i="2"/>
  <c r="ER9" i="2"/>
  <c r="ED9" i="2"/>
  <c r="DP9" i="2"/>
  <c r="DB9" i="2"/>
  <c r="CN9" i="2"/>
  <c r="BZ9" i="2"/>
  <c r="BL9" i="2"/>
  <c r="AX9" i="2"/>
  <c r="AJ9" i="2"/>
  <c r="V9" i="2"/>
  <c r="H9" i="2"/>
  <c r="GH8" i="2"/>
  <c r="FT8" i="2"/>
  <c r="FF8" i="2"/>
  <c r="ER8" i="2"/>
  <c r="ED8" i="2"/>
  <c r="DP8" i="2"/>
  <c r="DB8" i="2"/>
  <c r="CN8" i="2"/>
  <c r="BZ8" i="2"/>
  <c r="BL8" i="2"/>
  <c r="AX8" i="2"/>
  <c r="AJ8" i="2"/>
  <c r="V8" i="2"/>
  <c r="H8" i="2"/>
  <c r="GH7" i="2"/>
  <c r="FT7" i="2"/>
  <c r="FF7" i="2"/>
  <c r="ER7" i="2"/>
  <c r="ED7" i="2"/>
  <c r="DP7" i="2"/>
  <c r="DB7" i="2"/>
  <c r="CN7" i="2"/>
  <c r="BZ7" i="2"/>
  <c r="BL7" i="2"/>
  <c r="AX7" i="2"/>
  <c r="AJ7" i="2"/>
  <c r="V7" i="2"/>
  <c r="H7" i="2"/>
  <c r="GH6" i="2"/>
  <c r="FT6" i="2"/>
  <c r="FF6" i="2"/>
  <c r="ER6" i="2"/>
  <c r="ED6" i="2"/>
  <c r="DP6" i="2"/>
  <c r="DB6" i="2"/>
  <c r="CN6" i="2"/>
  <c r="BZ6" i="2"/>
  <c r="BL6" i="2"/>
  <c r="AX6" i="2"/>
  <c r="AJ6" i="2"/>
  <c r="V6" i="2"/>
  <c r="H6" i="2"/>
  <c r="GH5" i="2"/>
  <c r="GP14" i="2"/>
  <c r="FN14" i="2"/>
  <c r="EL14" i="2"/>
  <c r="DJ14" i="2"/>
  <c r="CH14" i="2"/>
  <c r="BF14" i="2"/>
  <c r="AD14" i="2"/>
  <c r="B14" i="2"/>
  <c r="GC13" i="2"/>
  <c r="FA13" i="2"/>
  <c r="DY13" i="2"/>
  <c r="CW13" i="2"/>
  <c r="BU13" i="2"/>
  <c r="AS13" i="2"/>
  <c r="Q13" i="2"/>
  <c r="GQ12" i="2"/>
  <c r="FO12" i="2"/>
  <c r="EM12" i="2"/>
  <c r="DK12" i="2"/>
  <c r="CI12" i="2"/>
  <c r="BG12" i="2"/>
  <c r="AE12" i="2"/>
  <c r="C12" i="2"/>
  <c r="GO14" i="2"/>
  <c r="FM14" i="2"/>
  <c r="EK14" i="2"/>
  <c r="DI14" i="2"/>
  <c r="CG14" i="2"/>
  <c r="BE14" i="2"/>
  <c r="AC14" i="2"/>
  <c r="GB13" i="2"/>
  <c r="EZ13" i="2"/>
  <c r="DX13" i="2"/>
  <c r="CV13" i="2"/>
  <c r="BT13" i="2"/>
  <c r="AR13" i="2"/>
  <c r="P13" i="2"/>
  <c r="GP12" i="2"/>
  <c r="FN12" i="2"/>
  <c r="EL12" i="2"/>
  <c r="DJ12" i="2"/>
  <c r="CH12" i="2"/>
  <c r="BF12" i="2"/>
  <c r="AD12" i="2"/>
  <c r="B12" i="2"/>
  <c r="GB11" i="2"/>
  <c r="EZ11" i="2"/>
  <c r="DX11" i="2"/>
  <c r="CV11" i="2"/>
  <c r="BT11" i="2"/>
  <c r="AR11" i="2"/>
  <c r="P11" i="2"/>
  <c r="GP10" i="2"/>
  <c r="FN10" i="2"/>
  <c r="EL10" i="2"/>
  <c r="DJ10" i="2"/>
  <c r="CH10" i="2"/>
  <c r="BF10" i="2"/>
  <c r="AD10" i="2"/>
  <c r="B10" i="2"/>
  <c r="GB9" i="2"/>
  <c r="FR14" i="2"/>
  <c r="EP14" i="2"/>
  <c r="DN14" i="2"/>
  <c r="CL14" i="2"/>
  <c r="BJ14" i="2"/>
  <c r="AH14" i="2"/>
  <c r="F14" i="2"/>
  <c r="GG13" i="2"/>
  <c r="FE13" i="2"/>
  <c r="EC13" i="2"/>
  <c r="DA13" i="2"/>
  <c r="BY13" i="2"/>
  <c r="AW13" i="2"/>
  <c r="GQ14" i="2"/>
  <c r="FC14" i="2"/>
  <c r="DX14" i="2"/>
  <c r="CK14" i="2"/>
  <c r="BD14" i="2"/>
  <c r="R14" i="2"/>
  <c r="GQ13" i="2"/>
  <c r="FD13" i="2"/>
  <c r="DW13" i="2"/>
  <c r="CK13" i="2"/>
  <c r="BF13" i="2"/>
  <c r="T13" i="2"/>
  <c r="FE12" i="2"/>
  <c r="EA12" i="2"/>
  <c r="CW12" i="2"/>
  <c r="BS12" i="2"/>
  <c r="AH12" i="2"/>
  <c r="D12" i="2"/>
  <c r="GA11" i="2"/>
  <c r="EQ11" i="2"/>
  <c r="DN11" i="2"/>
  <c r="CK11" i="2"/>
  <c r="BH11" i="2"/>
  <c r="AE11" i="2"/>
  <c r="B11" i="2"/>
  <c r="GA10" i="2"/>
  <c r="EQ10" i="2"/>
  <c r="DN10" i="2"/>
  <c r="CK10" i="2"/>
  <c r="BH10" i="2"/>
  <c r="AE10" i="2"/>
  <c r="FS9" i="2"/>
  <c r="EQ9" i="2"/>
  <c r="DO9" i="2"/>
  <c r="CM9" i="2"/>
  <c r="BK9" i="2"/>
  <c r="AI9" i="2"/>
  <c r="G9" i="2"/>
  <c r="GG8" i="2"/>
  <c r="FE8" i="2"/>
  <c r="EC8" i="2"/>
  <c r="DA8" i="2"/>
  <c r="BY8" i="2"/>
  <c r="AW8" i="2"/>
  <c r="U8" i="2"/>
  <c r="GN14" i="2"/>
  <c r="FB14" i="2"/>
  <c r="DW14" i="2"/>
  <c r="CJ14" i="2"/>
  <c r="AV14" i="2"/>
  <c r="Q14" i="2"/>
  <c r="GP13" i="2"/>
  <c r="FC13" i="2"/>
  <c r="DO13" i="2"/>
  <c r="CJ13" i="2"/>
  <c r="BE13" i="2"/>
  <c r="S13" i="2"/>
  <c r="GO12" i="2"/>
  <c r="FD12" i="2"/>
  <c r="DZ12" i="2"/>
  <c r="CV12" i="2"/>
  <c r="BK12" i="2"/>
  <c r="AG12" i="2"/>
  <c r="FS11" i="2"/>
  <c r="EP11" i="2"/>
  <c r="DM11" i="2"/>
  <c r="CJ11" i="2"/>
  <c r="BG11" i="2"/>
  <c r="AD11" i="2"/>
  <c r="FS10" i="2"/>
  <c r="EP10" i="2"/>
  <c r="DM10" i="2"/>
  <c r="CJ10" i="2"/>
  <c r="BG10" i="2"/>
  <c r="AC10" i="2"/>
  <c r="FR9" i="2"/>
  <c r="EP9" i="2"/>
  <c r="DN9" i="2"/>
  <c r="CL9" i="2"/>
  <c r="BJ9" i="2"/>
  <c r="AH9" i="2"/>
  <c r="F9" i="2"/>
  <c r="GF8" i="2"/>
  <c r="FD8" i="2"/>
  <c r="EB8" i="2"/>
  <c r="CZ8" i="2"/>
  <c r="BX8" i="2"/>
  <c r="AV8" i="2"/>
  <c r="T8" i="2"/>
  <c r="FR7" i="2"/>
  <c r="EP7" i="2"/>
  <c r="DN7" i="2"/>
  <c r="CL7" i="2"/>
  <c r="BJ7" i="2"/>
  <c r="AH7" i="2"/>
  <c r="G7" i="2"/>
  <c r="GO6" i="2"/>
  <c r="FO6" i="2"/>
  <c r="EO6" i="2"/>
  <c r="DO6" i="2"/>
  <c r="CU6" i="2"/>
  <c r="BU6" i="2"/>
  <c r="AU6" i="2"/>
  <c r="U6" i="2"/>
  <c r="GC5" i="2"/>
  <c r="FE5" i="2"/>
  <c r="EL5" i="2"/>
  <c r="DN5" i="2"/>
  <c r="CU5" i="2"/>
  <c r="BW5" i="2"/>
  <c r="BA5" i="2"/>
  <c r="AH5" i="2"/>
  <c r="P5" i="2"/>
  <c r="GD4" i="2"/>
  <c r="FI4" i="2"/>
  <c r="EP4" i="2"/>
  <c r="DX4" i="2"/>
  <c r="DB4" i="2"/>
  <c r="CJ4" i="2"/>
  <c r="BP4" i="2"/>
  <c r="AZ4" i="2"/>
  <c r="AJ4" i="2"/>
  <c r="T4" i="2"/>
  <c r="D4" i="2"/>
  <c r="GP3" i="2"/>
  <c r="GA3" i="2"/>
  <c r="FM3" i="2"/>
  <c r="EY3" i="2"/>
  <c r="EK3" i="2"/>
  <c r="DW3" i="2"/>
  <c r="DI3" i="2"/>
  <c r="CU3" i="2"/>
  <c r="CG3" i="2"/>
  <c r="BS3" i="2"/>
  <c r="BE3" i="2"/>
  <c r="AQ3" i="2"/>
  <c r="AC3" i="2"/>
  <c r="O3" i="2"/>
  <c r="GE14" i="2"/>
  <c r="EZ14" i="2"/>
  <c r="DM14" i="2"/>
  <c r="CF14" i="2"/>
  <c r="AT14" i="2"/>
  <c r="O14" i="2"/>
  <c r="GF13" i="2"/>
  <c r="EY13" i="2"/>
  <c r="DM13" i="2"/>
  <c r="CH13" i="2"/>
  <c r="AU13" i="2"/>
  <c r="O13" i="2"/>
  <c r="GF12" i="2"/>
  <c r="FB12" i="2"/>
  <c r="DX12" i="2"/>
  <c r="CM12" i="2"/>
  <c r="BI12" i="2"/>
  <c r="AC12" i="2"/>
  <c r="FQ11" i="2"/>
  <c r="EN11" i="2"/>
  <c r="DK11" i="2"/>
  <c r="CH11" i="2"/>
  <c r="BE11" i="2"/>
  <c r="U11" i="2"/>
  <c r="FQ10" i="2"/>
  <c r="EN10" i="2"/>
  <c r="DK10" i="2"/>
  <c r="CG10" i="2"/>
  <c r="AW10" i="2"/>
  <c r="T10" i="2"/>
  <c r="FP9" i="2"/>
  <c r="EN9" i="2"/>
  <c r="DL9" i="2"/>
  <c r="CJ9" i="2"/>
  <c r="BH9" i="2"/>
  <c r="AF9" i="2"/>
  <c r="D9" i="2"/>
  <c r="GD8" i="2"/>
  <c r="FB8" i="2"/>
  <c r="DZ8" i="2"/>
  <c r="CX8" i="2"/>
  <c r="BV8" i="2"/>
  <c r="AT8" i="2"/>
  <c r="R8" i="2"/>
  <c r="FP7" i="2"/>
  <c r="EN7" i="2"/>
  <c r="DL7" i="2"/>
  <c r="CJ7" i="2"/>
  <c r="BH7" i="2"/>
  <c r="AF7" i="2"/>
  <c r="E7" i="2"/>
  <c r="GG6" i="2"/>
  <c r="FM6" i="2"/>
  <c r="EM6" i="2"/>
  <c r="DM6" i="2"/>
  <c r="CM6" i="2"/>
  <c r="BS6" i="2"/>
  <c r="AS6" i="2"/>
  <c r="S6" i="2"/>
  <c r="GA5" i="2"/>
  <c r="FC5" i="2"/>
  <c r="EG5" i="2"/>
  <c r="DL5" i="2"/>
  <c r="CN5" i="2"/>
  <c r="BU5" i="2"/>
  <c r="AX5" i="2"/>
  <c r="AF5" i="2"/>
  <c r="K5" i="2"/>
  <c r="GB4" i="2"/>
  <c r="FF4" i="2"/>
  <c r="EN4" i="2"/>
  <c r="DS4" i="2"/>
  <c r="CZ4" i="2"/>
  <c r="CH4" i="2"/>
  <c r="BN4" i="2"/>
  <c r="AX4" i="2"/>
  <c r="AH4" i="2"/>
  <c r="R4" i="2"/>
  <c r="B4" i="2"/>
  <c r="GN3" i="2"/>
  <c r="FY3" i="2"/>
  <c r="FK3" i="2"/>
  <c r="EW3" i="2"/>
  <c r="EI3" i="2"/>
  <c r="DU3" i="2"/>
  <c r="DG3" i="2"/>
  <c r="CS3" i="2"/>
  <c r="CE3" i="2"/>
  <c r="BQ3" i="2"/>
  <c r="BC3" i="2"/>
  <c r="AO3" i="2"/>
  <c r="AA3" i="2"/>
  <c r="M3" i="2"/>
  <c r="GD14" i="2"/>
  <c r="EY14" i="2"/>
  <c r="DL14" i="2"/>
  <c r="BX14" i="2"/>
  <c r="AS14" i="2"/>
  <c r="N14" i="2"/>
  <c r="GE13" i="2"/>
  <c r="EQ13" i="2"/>
  <c r="DL13" i="2"/>
  <c r="CG13" i="2"/>
  <c r="AT13" i="2"/>
  <c r="G13" i="2"/>
  <c r="GE12" i="2"/>
  <c r="FA12" i="2"/>
  <c r="DW12" i="2"/>
  <c r="CL12" i="2"/>
  <c r="BH12" i="2"/>
  <c r="U12" i="2"/>
  <c r="FP11" i="2"/>
  <c r="EM11" i="2"/>
  <c r="DJ11" i="2"/>
  <c r="CG11" i="2"/>
  <c r="AW11" i="2"/>
  <c r="T11" i="2"/>
  <c r="FP10" i="2"/>
  <c r="EM10" i="2"/>
  <c r="DI10" i="2"/>
  <c r="BY10" i="2"/>
  <c r="AV10" i="2"/>
  <c r="S10" i="2"/>
  <c r="FO9" i="2"/>
  <c r="EM9" i="2"/>
  <c r="DK9" i="2"/>
  <c r="CI9" i="2"/>
  <c r="BG9" i="2"/>
  <c r="AE9" i="2"/>
  <c r="C9" i="2"/>
  <c r="GC8" i="2"/>
  <c r="FA8" i="2"/>
  <c r="DY8" i="2"/>
  <c r="CW8" i="2"/>
  <c r="BU8" i="2"/>
  <c r="AS8" i="2"/>
  <c r="Q8" i="2"/>
  <c r="GQ7" i="2"/>
  <c r="FO7" i="2"/>
  <c r="EM7" i="2"/>
  <c r="DK7" i="2"/>
  <c r="CI7" i="2"/>
  <c r="BG7" i="2"/>
  <c r="AE7" i="2"/>
  <c r="D7" i="2"/>
  <c r="GF6" i="2"/>
  <c r="FI6" i="2"/>
  <c r="EL6" i="2"/>
  <c r="DL6" i="2"/>
  <c r="CL6" i="2"/>
  <c r="BO6" i="2"/>
  <c r="AR6" i="2"/>
  <c r="R6" i="2"/>
  <c r="FW5" i="2"/>
  <c r="FB5" i="2"/>
  <c r="ED5" i="2"/>
  <c r="DK5" i="2"/>
  <c r="CM5" i="2"/>
  <c r="BT5" i="2"/>
  <c r="AW5" i="2"/>
  <c r="AE5" i="2"/>
  <c r="J5" i="2"/>
  <c r="GA4" i="2"/>
  <c r="FE4" i="2"/>
  <c r="EM4" i="2"/>
  <c r="DR4" i="2"/>
  <c r="CY4" i="2"/>
  <c r="CG4" i="2"/>
  <c r="BM4" i="2"/>
  <c r="AW4" i="2"/>
  <c r="AG4" i="2"/>
  <c r="Q4" i="2"/>
  <c r="GL3" i="2"/>
  <c r="FX3" i="2"/>
  <c r="FJ3" i="2"/>
  <c r="EV3" i="2"/>
  <c r="EH3" i="2"/>
  <c r="DT3" i="2"/>
  <c r="DF3" i="2"/>
  <c r="CR3" i="2"/>
  <c r="CD3" i="2"/>
  <c r="BP3" i="2"/>
  <c r="BB3" i="2"/>
  <c r="AN3" i="2"/>
  <c r="Z3" i="2"/>
  <c r="L3" i="2"/>
  <c r="GC14" i="2"/>
  <c r="EX14" i="2"/>
  <c r="DK14" i="2"/>
  <c r="BW14" i="2"/>
  <c r="AR14" i="2"/>
  <c r="E14" i="2"/>
  <c r="GD13" i="2"/>
  <c r="EP13" i="2"/>
  <c r="DK13" i="2"/>
  <c r="BX13" i="2"/>
  <c r="AQ13" i="2"/>
  <c r="F13" i="2"/>
  <c r="GD12" i="2"/>
  <c r="EZ12" i="2"/>
  <c r="DO12" i="2"/>
  <c r="CK12" i="2"/>
  <c r="BE12" i="2"/>
  <c r="T12" i="2"/>
  <c r="FO11" i="2"/>
  <c r="EL11" i="2"/>
  <c r="DI11" i="2"/>
  <c r="BY11" i="2"/>
  <c r="AV11" i="2"/>
  <c r="S11" i="2"/>
  <c r="FO10" i="2"/>
  <c r="EK10" i="2"/>
  <c r="DA10" i="2"/>
  <c r="BX10" i="2"/>
  <c r="AU10" i="2"/>
  <c r="R10" i="2"/>
  <c r="GQ9" i="2"/>
  <c r="FN9" i="2"/>
  <c r="EL9" i="2"/>
  <c r="DJ9" i="2"/>
  <c r="CH9" i="2"/>
  <c r="BF9" i="2"/>
  <c r="AD9" i="2"/>
  <c r="B9" i="2"/>
  <c r="GB8" i="2"/>
  <c r="EZ8" i="2"/>
  <c r="DX8" i="2"/>
  <c r="CV8" i="2"/>
  <c r="BT8" i="2"/>
  <c r="AR8" i="2"/>
  <c r="P8" i="2"/>
  <c r="GP7" i="2"/>
  <c r="FN7" i="2"/>
  <c r="EL7" i="2"/>
  <c r="DJ7" i="2"/>
  <c r="CH7" i="2"/>
  <c r="BF7" i="2"/>
  <c r="AD7" i="2"/>
  <c r="C7" i="2"/>
  <c r="GE6" i="2"/>
  <c r="FE6" i="2"/>
  <c r="EK6" i="2"/>
  <c r="DK6" i="2"/>
  <c r="CK6" i="2"/>
  <c r="BK6" i="2"/>
  <c r="AQ6" i="2"/>
  <c r="Q6" i="2"/>
  <c r="FT5" i="2"/>
  <c r="FA5" i="2"/>
  <c r="GA14" i="2"/>
  <c r="EN14" i="2"/>
  <c r="CZ14" i="2"/>
  <c r="BU14" i="2"/>
  <c r="AP14" i="2"/>
  <c r="C14" i="2"/>
  <c r="FS13" i="2"/>
  <c r="EN13" i="2"/>
  <c r="DI13" i="2"/>
  <c r="BV13" i="2"/>
  <c r="AH13" i="2"/>
  <c r="D13" i="2"/>
  <c r="GB12" i="2"/>
  <c r="EQ12" i="2"/>
  <c r="DM12" i="2"/>
  <c r="CG12" i="2"/>
  <c r="AV12" i="2"/>
  <c r="R12" i="2"/>
  <c r="GP11" i="2"/>
  <c r="FM11" i="2"/>
  <c r="EC11" i="2"/>
  <c r="CZ11" i="2"/>
  <c r="BW11" i="2"/>
  <c r="AT11" i="2"/>
  <c r="Q11" i="2"/>
  <c r="GO10" i="2"/>
  <c r="FE10" i="2"/>
  <c r="EB10" i="2"/>
  <c r="CY10" i="2"/>
  <c r="BV10" i="2"/>
  <c r="AS10" i="2"/>
  <c r="P10" i="2"/>
  <c r="GO9" i="2"/>
  <c r="FZ14" i="2"/>
  <c r="EM14" i="2"/>
  <c r="CY14" i="2"/>
  <c r="BT14" i="2"/>
  <c r="AG14" i="2"/>
  <c r="FR13" i="2"/>
  <c r="EM13" i="2"/>
  <c r="CZ13" i="2"/>
  <c r="BS13" i="2"/>
  <c r="AG13" i="2"/>
  <c r="C13" i="2"/>
  <c r="GA12" i="2"/>
  <c r="EP12" i="2"/>
  <c r="DL12" i="2"/>
  <c r="BY12" i="2"/>
  <c r="AU12" i="2"/>
  <c r="Q12" i="2"/>
  <c r="GO11" i="2"/>
  <c r="FE11" i="2"/>
  <c r="EB11" i="2"/>
  <c r="CY11" i="2"/>
  <c r="BV11" i="2"/>
  <c r="AS11" i="2"/>
  <c r="O11" i="2"/>
  <c r="GG10" i="2"/>
  <c r="FD10" i="2"/>
  <c r="EA10" i="2"/>
  <c r="CX10" i="2"/>
  <c r="BU10" i="2"/>
  <c r="AR10" i="2"/>
  <c r="O10" i="2"/>
  <c r="GG9" i="2"/>
  <c r="FD9" i="2"/>
  <c r="EB9" i="2"/>
  <c r="CZ9" i="2"/>
  <c r="BX9" i="2"/>
  <c r="AV9" i="2"/>
  <c r="T9" i="2"/>
  <c r="FR8" i="2"/>
  <c r="EP8" i="2"/>
  <c r="DN8" i="2"/>
  <c r="CL8" i="2"/>
  <c r="BJ8" i="2"/>
  <c r="EJ14" i="2"/>
  <c r="BS14" i="2"/>
  <c r="EO13" i="2"/>
  <c r="BW13" i="2"/>
  <c r="EA14" i="2"/>
  <c r="BI14" i="2"/>
  <c r="EK13" i="2"/>
  <c r="BJ13" i="2"/>
  <c r="EN12" i="2"/>
  <c r="DZ14" i="2"/>
  <c r="BH14" i="2"/>
  <c r="EB13" i="2"/>
  <c r="BI13" i="2"/>
  <c r="EK12" i="2"/>
  <c r="BV12" i="2"/>
  <c r="G12" i="2"/>
  <c r="FB11" i="2"/>
  <c r="CU11" i="2"/>
  <c r="AH11" i="2"/>
  <c r="GD10" i="2"/>
  <c r="DX10" i="2"/>
  <c r="BK10" i="2"/>
  <c r="E10" i="2"/>
  <c r="FB9" i="2"/>
  <c r="DA9" i="2"/>
  <c r="BI9" i="2"/>
  <c r="P9" i="2"/>
  <c r="FP8" i="2"/>
  <c r="DO8" i="2"/>
  <c r="BW8" i="2"/>
  <c r="AE8" i="2"/>
  <c r="GO7" i="2"/>
  <c r="FB7" i="2"/>
  <c r="DO7" i="2"/>
  <c r="BX7" i="2"/>
  <c r="AR7" i="2"/>
  <c r="B7" i="2"/>
  <c r="FW6" i="2"/>
  <c r="EP6" i="2"/>
  <c r="DE6" i="2"/>
  <c r="BX6" i="2"/>
  <c r="AM6" i="2"/>
  <c r="F6" i="2"/>
  <c r="GD5" i="2"/>
  <c r="EU5" i="2"/>
  <c r="DW5" i="2"/>
  <c r="CV5" i="2"/>
  <c r="BO5" i="2"/>
  <c r="AR5" i="2"/>
  <c r="S5" i="2"/>
  <c r="FT4" i="2"/>
  <c r="EY4" i="2"/>
  <c r="DZ4" i="2"/>
  <c r="CX4" i="2"/>
  <c r="BY4" i="2"/>
  <c r="BF4" i="2"/>
  <c r="AK4" i="2"/>
  <c r="O4" i="2"/>
  <c r="GD3" i="2"/>
  <c r="FL3" i="2"/>
  <c r="ES3" i="2"/>
  <c r="EB3" i="2"/>
  <c r="DK3" i="2"/>
  <c r="CQ3" i="2"/>
  <c r="BZ3" i="2"/>
  <c r="BI3" i="2"/>
  <c r="AR3" i="2"/>
  <c r="X3" i="2"/>
  <c r="G3" i="2"/>
  <c r="DY14" i="2"/>
  <c r="BG14" i="2"/>
  <c r="EA13" i="2"/>
  <c r="BH13" i="2"/>
  <c r="EC12" i="2"/>
  <c r="BU12" i="2"/>
  <c r="F12" i="2"/>
  <c r="FA11" i="2"/>
  <c r="CM11" i="2"/>
  <c r="AG11" i="2"/>
  <c r="GC10" i="2"/>
  <c r="DW10" i="2"/>
  <c r="BJ10" i="2"/>
  <c r="D10" i="2"/>
  <c r="FA9" i="2"/>
  <c r="CY9" i="2"/>
  <c r="BE9" i="2"/>
  <c r="O9" i="2"/>
  <c r="FO8" i="2"/>
  <c r="DM8" i="2"/>
  <c r="BS8" i="2"/>
  <c r="AD8" i="2"/>
  <c r="GG7" i="2"/>
  <c r="FA7" i="2"/>
  <c r="DM7" i="2"/>
  <c r="BW7" i="2"/>
  <c r="AQ7" i="2"/>
  <c r="FS6" i="2"/>
  <c r="EN6" i="2"/>
  <c r="DA6" i="2"/>
  <c r="BW6" i="2"/>
  <c r="AI6" i="2"/>
  <c r="E6" i="2"/>
  <c r="GB5" i="2"/>
  <c r="ER5" i="2"/>
  <c r="DS5" i="2"/>
  <c r="CQ5" i="2"/>
  <c r="BL5" i="2"/>
  <c r="AQ5" i="2"/>
  <c r="R5" i="2"/>
  <c r="FS4" i="2"/>
  <c r="EU4" i="2"/>
  <c r="DY4" i="2"/>
  <c r="CW4" i="2"/>
  <c r="BX4" i="2"/>
  <c r="BE4" i="2"/>
  <c r="AI4" i="2"/>
  <c r="L4" i="2"/>
  <c r="GC3" i="2"/>
  <c r="FI3" i="2"/>
  <c r="ER3" i="2"/>
  <c r="EA3" i="2"/>
  <c r="DJ3" i="2"/>
  <c r="CP3" i="2"/>
  <c r="BY3" i="2"/>
  <c r="BH3" i="2"/>
  <c r="AP3" i="2"/>
  <c r="W3" i="2"/>
  <c r="F3" i="2"/>
  <c r="GF14" i="2"/>
  <c r="DV14" i="2"/>
  <c r="AU14" i="2"/>
  <c r="DZ13" i="2"/>
  <c r="BG13" i="2"/>
  <c r="EB12" i="2"/>
  <c r="BT12" i="2"/>
  <c r="E12" i="2"/>
  <c r="EY11" i="2"/>
  <c r="CL11" i="2"/>
  <c r="AF11" i="2"/>
  <c r="GB10" i="2"/>
  <c r="DO10" i="2"/>
  <c r="BI10" i="2"/>
  <c r="C10" i="2"/>
  <c r="EZ9" i="2"/>
  <c r="CX9" i="2"/>
  <c r="AW9" i="2"/>
  <c r="E9" i="2"/>
  <c r="FN8" i="2"/>
  <c r="DL8" i="2"/>
  <c r="BK8" i="2"/>
  <c r="AC8" i="2"/>
  <c r="GF7" i="2"/>
  <c r="EZ7" i="2"/>
  <c r="DI7" i="2"/>
  <c r="BV7" i="2"/>
  <c r="AI7" i="2"/>
  <c r="FR6" i="2"/>
  <c r="EG6" i="2"/>
  <c r="CZ6" i="2"/>
  <c r="BV6" i="2"/>
  <c r="AH6" i="2"/>
  <c r="D6" i="2"/>
  <c r="FS5" i="2"/>
  <c r="EQ5" i="2"/>
  <c r="DP5" i="2"/>
  <c r="CL5" i="2"/>
  <c r="BK5" i="2"/>
  <c r="AM5" i="2"/>
  <c r="Q5" i="2"/>
  <c r="GQ4" i="2"/>
  <c r="FR4" i="2"/>
  <c r="ET4" i="2"/>
  <c r="DW4" i="2"/>
  <c r="CV4" i="2"/>
  <c r="BW4" i="2"/>
  <c r="BB4" i="2"/>
  <c r="AF4" i="2"/>
  <c r="K4" i="2"/>
  <c r="GB3" i="2"/>
  <c r="FH3" i="2"/>
  <c r="EQ3" i="2"/>
  <c r="DZ3" i="2"/>
  <c r="DH3" i="2"/>
  <c r="CO3" i="2"/>
  <c r="BX3" i="2"/>
  <c r="BG3" i="2"/>
  <c r="AM3" i="2"/>
  <c r="V3" i="2"/>
  <c r="E3" i="2"/>
  <c r="GB14" i="2"/>
  <c r="DH14" i="2"/>
  <c r="AQ14" i="2"/>
  <c r="GO13" i="2"/>
  <c r="DN13" i="2"/>
  <c r="AV13" i="2"/>
  <c r="GG12" i="2"/>
  <c r="DY12" i="2"/>
  <c r="BJ12" i="2"/>
  <c r="EO11" i="2"/>
  <c r="CI11" i="2"/>
  <c r="AC11" i="2"/>
  <c r="FR10" i="2"/>
  <c r="DL10" i="2"/>
  <c r="BE10" i="2"/>
  <c r="EY9" i="2"/>
  <c r="CW9" i="2"/>
  <c r="AU9" i="2"/>
  <c r="FM8" i="2"/>
  <c r="DK8" i="2"/>
  <c r="BI8" i="2"/>
  <c r="S8" i="2"/>
  <c r="GE7" i="2"/>
  <c r="EY7" i="2"/>
  <c r="DA7" i="2"/>
  <c r="BU7" i="2"/>
  <c r="AG7" i="2"/>
  <c r="FQ6" i="2"/>
  <c r="EC6" i="2"/>
  <c r="CY6" i="2"/>
  <c r="BT6" i="2"/>
  <c r="AG6" i="2"/>
  <c r="C6" i="2"/>
  <c r="FR5" i="2"/>
  <c r="EP5" i="2"/>
  <c r="DO5" i="2"/>
  <c r="CK5" i="2"/>
  <c r="BJ5" i="2"/>
  <c r="AL5" i="2"/>
  <c r="O5" i="2"/>
  <c r="GP4" i="2"/>
  <c r="FQ4" i="2"/>
  <c r="ER4" i="2"/>
  <c r="DP4" i="2"/>
  <c r="CU4" i="2"/>
  <c r="BV4" i="2"/>
  <c r="BA4" i="2"/>
  <c r="AE4" i="2"/>
  <c r="J4" i="2"/>
  <c r="FZ3" i="2"/>
  <c r="FG3" i="2"/>
  <c r="EP3" i="2"/>
  <c r="DY3" i="2"/>
  <c r="DE3" i="2"/>
  <c r="CN3" i="2"/>
  <c r="BW3" i="2"/>
  <c r="BF3" i="2"/>
  <c r="AL3" i="2"/>
  <c r="U3" i="2"/>
  <c r="D3" i="2"/>
  <c r="FQ14" i="2"/>
  <c r="CX14" i="2"/>
  <c r="AF14" i="2"/>
  <c r="GA13" i="2"/>
  <c r="DJ13" i="2"/>
  <c r="AI13" i="2"/>
  <c r="GC12" i="2"/>
  <c r="DN12" i="2"/>
  <c r="AW12" i="2"/>
  <c r="GQ11" i="2"/>
  <c r="EK11" i="2"/>
  <c r="BX11" i="2"/>
  <c r="R11" i="2"/>
  <c r="FM10" i="2"/>
  <c r="CZ10" i="2"/>
  <c r="AT10" i="2"/>
  <c r="GP9" i="2"/>
  <c r="EO9" i="2"/>
  <c r="CV9" i="2"/>
  <c r="AT9" i="2"/>
  <c r="FC8" i="2"/>
  <c r="DJ8" i="2"/>
  <c r="BH8" i="2"/>
  <c r="O8" i="2"/>
  <c r="GD7" i="2"/>
  <c r="EQ7" i="2"/>
  <c r="CZ7" i="2"/>
  <c r="BT7" i="2"/>
  <c r="AC7" i="2"/>
  <c r="FP6" i="2"/>
  <c r="EB6" i="2"/>
  <c r="CX6" i="2"/>
  <c r="BJ6" i="2"/>
  <c r="AF6" i="2"/>
  <c r="B6" i="2"/>
  <c r="FQ5" i="2"/>
  <c r="EO5" i="2"/>
  <c r="DM5" i="2"/>
  <c r="CJ5" i="2"/>
  <c r="BI5" i="2"/>
  <c r="AJ5" i="2"/>
  <c r="H5" i="2"/>
  <c r="GO4" i="2"/>
  <c r="FP4" i="2"/>
  <c r="EQ4" i="2"/>
  <c r="DO4" i="2"/>
  <c r="CQ4" i="2"/>
  <c r="BU4" i="2"/>
  <c r="AY4" i="2"/>
  <c r="AD4" i="2"/>
  <c r="I4" i="2"/>
  <c r="FW3" i="2"/>
  <c r="FF3" i="2"/>
  <c r="EO3" i="2"/>
  <c r="DX3" i="2"/>
  <c r="DD3" i="2"/>
  <c r="CM3" i="2"/>
  <c r="BV3" i="2"/>
  <c r="BD3" i="2"/>
  <c r="AK3" i="2"/>
  <c r="T3" i="2"/>
  <c r="C3" i="2"/>
  <c r="FP14" i="2"/>
  <c r="CW14" i="2"/>
  <c r="AE14" i="2"/>
  <c r="FQ13" i="2"/>
  <c r="CY13" i="2"/>
  <c r="AF13" i="2"/>
  <c r="FS12" i="2"/>
  <c r="DI12" i="2"/>
  <c r="AT12" i="2"/>
  <c r="GG11" i="2"/>
  <c r="EA11" i="2"/>
  <c r="BU11" i="2"/>
  <c r="G11" i="2"/>
  <c r="FC10" i="2"/>
  <c r="CW10" i="2"/>
  <c r="AQ10" i="2"/>
  <c r="GF9" i="2"/>
  <c r="EK9" i="2"/>
  <c r="CU9" i="2"/>
  <c r="AS9" i="2"/>
  <c r="EY8" i="2"/>
  <c r="DI8" i="2"/>
  <c r="BG8" i="2"/>
  <c r="G8" i="2"/>
  <c r="GC7" i="2"/>
  <c r="EO7" i="2"/>
  <c r="CY7" i="2"/>
  <c r="BS7" i="2"/>
  <c r="U7" i="2"/>
  <c r="FN6" i="2"/>
  <c r="EA6" i="2"/>
  <c r="CW6" i="2"/>
  <c r="BI6" i="2"/>
  <c r="AE6" i="2"/>
  <c r="FP5" i="2"/>
  <c r="EN5" i="2"/>
  <c r="DJ5" i="2"/>
  <c r="CI5" i="2"/>
  <c r="BH5" i="2"/>
  <c r="AI5" i="2"/>
  <c r="G5" i="2"/>
  <c r="GK4" i="2"/>
  <c r="FO4" i="2"/>
  <c r="EO4" i="2"/>
  <c r="DN4" i="2"/>
  <c r="CP4" i="2"/>
  <c r="BT4" i="2"/>
  <c r="AV4" i="2"/>
  <c r="AC4" i="2"/>
  <c r="H4" i="2"/>
  <c r="GQ3" i="2"/>
  <c r="FV3" i="2"/>
  <c r="FE3" i="2"/>
  <c r="EN3" i="2"/>
  <c r="DV3" i="2"/>
  <c r="DC3" i="2"/>
  <c r="CL3" i="2"/>
  <c r="BU3" i="2"/>
  <c r="BA3" i="2"/>
  <c r="AJ3" i="2"/>
  <c r="S3" i="2"/>
  <c r="B3" i="2"/>
  <c r="FO14" i="2"/>
  <c r="CV14" i="2"/>
  <c r="AB14" i="2"/>
  <c r="FP13" i="2"/>
  <c r="CX13" i="2"/>
  <c r="AE13" i="2"/>
  <c r="FR12" i="2"/>
  <c r="DA12" i="2"/>
  <c r="AS12" i="2"/>
  <c r="GF11" i="2"/>
  <c r="DZ11" i="2"/>
  <c r="BS11" i="2"/>
  <c r="F11" i="2"/>
  <c r="FB10" i="2"/>
  <c r="CV10" i="2"/>
  <c r="AI10" i="2"/>
  <c r="GE9" i="2"/>
  <c r="EC9" i="2"/>
  <c r="CK9" i="2"/>
  <c r="AR9" i="2"/>
  <c r="EQ8" i="2"/>
  <c r="CY8" i="2"/>
  <c r="BF8" i="2"/>
  <c r="F8" i="2"/>
  <c r="GB7" i="2"/>
  <c r="EK7" i="2"/>
  <c r="CX7" i="2"/>
  <c r="BK7" i="2"/>
  <c r="T7" i="2"/>
  <c r="FD6" i="2"/>
  <c r="DZ6" i="2"/>
  <c r="CV6" i="2"/>
  <c r="BH6" i="2"/>
  <c r="AD6" i="2"/>
  <c r="FO5" i="2"/>
  <c r="EM5" i="2"/>
  <c r="DI5" i="2"/>
  <c r="CH5" i="2"/>
  <c r="BG5" i="2"/>
  <c r="AG5" i="2"/>
  <c r="F5" i="2"/>
  <c r="GJ4" i="2"/>
  <c r="FN4" i="2"/>
  <c r="EL4" i="2"/>
  <c r="DM4" i="2"/>
  <c r="CN4" i="2"/>
  <c r="BS4" i="2"/>
  <c r="AU4" i="2"/>
  <c r="Z4" i="2"/>
  <c r="G4" i="2"/>
  <c r="GO3" i="2"/>
  <c r="FU3" i="2"/>
  <c r="FD3" i="2"/>
  <c r="EM3" i="2"/>
  <c r="DS3" i="2"/>
  <c r="DB3" i="2"/>
  <c r="CK3" i="2"/>
  <c r="BT3" i="2"/>
  <c r="AZ3" i="2"/>
  <c r="AI3" i="2"/>
  <c r="R3" i="2"/>
  <c r="FL14" i="2"/>
  <c r="CU14" i="2"/>
  <c r="T14" i="2"/>
  <c r="FO13" i="2"/>
  <c r="CU13" i="2"/>
  <c r="AD13" i="2"/>
  <c r="FQ12" i="2"/>
  <c r="CZ12" i="2"/>
  <c r="AR12" i="2"/>
  <c r="GE11" i="2"/>
  <c r="DY11" i="2"/>
  <c r="BK11" i="2"/>
  <c r="CT14" i="2"/>
  <c r="CL13" i="2"/>
  <c r="CX12" i="2"/>
  <c r="FN11" i="2"/>
  <c r="AI11" i="2"/>
  <c r="DY10" i="2"/>
  <c r="F10" i="2"/>
  <c r="DI9" i="2"/>
  <c r="Q9" i="2"/>
  <c r="DW8" i="2"/>
  <c r="AF8" i="2"/>
  <c r="FC7" i="2"/>
  <c r="BY7" i="2"/>
  <c r="F7" i="2"/>
  <c r="EQ6" i="2"/>
  <c r="BY6" i="2"/>
  <c r="G6" i="2"/>
  <c r="EY5" i="2"/>
  <c r="CW5" i="2"/>
  <c r="AS5" i="2"/>
  <c r="EZ4" i="2"/>
  <c r="DA4" i="2"/>
  <c r="BG4" i="2"/>
  <c r="P4" i="2"/>
  <c r="GE3" i="2"/>
  <c r="ET3" i="2"/>
  <c r="DL3" i="2"/>
  <c r="CA3" i="2"/>
  <c r="AS3" i="2"/>
  <c r="H3" i="2"/>
  <c r="CI14" i="2"/>
  <c r="CI13" i="2"/>
  <c r="CU12" i="2"/>
  <c r="FD11" i="2"/>
  <c r="E11" i="2"/>
  <c r="CU10" i="2"/>
  <c r="GD9" i="2"/>
  <c r="CG9" i="2"/>
  <c r="GQ8" i="2"/>
  <c r="CU8" i="2"/>
  <c r="E8" i="2"/>
  <c r="EC7" i="2"/>
  <c r="BI7" i="2"/>
  <c r="GQ6" i="2"/>
  <c r="DY6" i="2"/>
  <c r="BG6" i="2"/>
  <c r="GQ5" i="2"/>
  <c r="EK5" i="2"/>
  <c r="CG5" i="2"/>
  <c r="AD5" i="2"/>
  <c r="GH4" i="2"/>
  <c r="EK4" i="2"/>
  <c r="CM4" i="2"/>
  <c r="AT4" i="2"/>
  <c r="F4" i="2"/>
  <c r="FT3" i="2"/>
  <c r="EL3" i="2"/>
  <c r="DA3" i="2"/>
  <c r="BR3" i="2"/>
  <c r="AH3" i="2"/>
  <c r="BV14" i="2"/>
  <c r="BK13" i="2"/>
  <c r="CJ12" i="2"/>
  <c r="FC11" i="2"/>
  <c r="D11" i="2"/>
  <c r="CM10" i="2"/>
  <c r="GC9" i="2"/>
  <c r="BY9" i="2"/>
  <c r="GP8" i="2"/>
  <c r="CM8" i="2"/>
  <c r="D8" i="2"/>
  <c r="EB7" i="2"/>
  <c r="BE7" i="2"/>
  <c r="GP6" i="2"/>
  <c r="DX6" i="2"/>
  <c r="BF6" i="2"/>
  <c r="GP5" i="2"/>
  <c r="EC5" i="2"/>
  <c r="CC5" i="2"/>
  <c r="AC5" i="2"/>
  <c r="GG4" i="2"/>
  <c r="EG4" i="2"/>
  <c r="CL4" i="2"/>
  <c r="AS4" i="2"/>
  <c r="E4" i="2"/>
  <c r="FS3" i="2"/>
  <c r="EJ3" i="2"/>
  <c r="CZ3" i="2"/>
  <c r="BO3" i="2"/>
  <c r="AG3" i="2"/>
  <c r="BR14" i="2"/>
  <c r="AC13" i="2"/>
  <c r="BX12" i="2"/>
  <c r="DW11" i="2"/>
  <c r="C11" i="2"/>
  <c r="CL10" i="2"/>
  <c r="GA9" i="2"/>
  <c r="BW9" i="2"/>
  <c r="GO8" i="2"/>
  <c r="CK8" i="2"/>
  <c r="C8" i="2"/>
  <c r="EA7" i="2"/>
  <c r="AW7" i="2"/>
  <c r="GK6" i="2"/>
  <c r="DW6" i="2"/>
  <c r="BE6" i="2"/>
  <c r="GO5" i="2"/>
  <c r="EB5" i="2"/>
  <c r="BZ5" i="2"/>
  <c r="Y5" i="2"/>
  <c r="GF4" i="2"/>
  <c r="EF4" i="2"/>
  <c r="CK4" i="2"/>
  <c r="AR4" i="2"/>
  <c r="C4" i="2"/>
  <c r="FR3" i="2"/>
  <c r="EG3" i="2"/>
  <c r="CY3" i="2"/>
  <c r="BN3" i="2"/>
  <c r="AF3" i="2"/>
  <c r="S14" i="2"/>
  <c r="U13" i="2"/>
  <c r="BW12" i="2"/>
  <c r="DO11" i="2"/>
  <c r="CI10" i="2"/>
  <c r="FQ9" i="2"/>
  <c r="BV9" i="2"/>
  <c r="GE8" i="2"/>
  <c r="CJ8" i="2"/>
  <c r="B8" i="2"/>
  <c r="DZ7" i="2"/>
  <c r="AV7" i="2"/>
  <c r="GD6" i="2"/>
  <c r="DS6" i="2"/>
  <c r="BA6" i="2"/>
  <c r="GK5" i="2"/>
  <c r="EA5" i="2"/>
  <c r="BY5" i="2"/>
  <c r="X5" i="2"/>
  <c r="GE4" i="2"/>
  <c r="ED4" i="2"/>
  <c r="CI4" i="2"/>
  <c r="AQ4" i="2"/>
  <c r="FQ3" i="2"/>
  <c r="EF3" i="2"/>
  <c r="CX3" i="2"/>
  <c r="BM3" i="2"/>
  <c r="AE3" i="2"/>
  <c r="P14" i="2"/>
  <c r="R13" i="2"/>
  <c r="AQ12" i="2"/>
  <c r="DL11" i="2"/>
  <c r="GQ10" i="2"/>
  <c r="BW10" i="2"/>
  <c r="FM9" i="2"/>
  <c r="BU9" i="2"/>
  <c r="GA8" i="2"/>
  <c r="CI8" i="2"/>
  <c r="DY7" i="2"/>
  <c r="AU7" i="2"/>
  <c r="GC6" i="2"/>
  <c r="DN6" i="2"/>
  <c r="AW6" i="2"/>
  <c r="GG5" i="2"/>
  <c r="DZ5" i="2"/>
  <c r="BX5" i="2"/>
  <c r="V5" i="2"/>
  <c r="GC4" i="2"/>
  <c r="EC4" i="2"/>
  <c r="CC4" i="2"/>
  <c r="AN4" i="2"/>
  <c r="FP3" i="2"/>
  <c r="EE3" i="2"/>
  <c r="CW3" i="2"/>
  <c r="BL3" i="2"/>
  <c r="AD3" i="2"/>
  <c r="D14" i="2"/>
  <c r="E13" i="2"/>
  <c r="AI12" i="2"/>
  <c r="DA11" i="2"/>
  <c r="GF10" i="2"/>
  <c r="BT10" i="2"/>
  <c r="FE9" i="2"/>
  <c r="BT9" i="2"/>
  <c r="FS8" i="2"/>
  <c r="CH8" i="2"/>
  <c r="DX7" i="2"/>
  <c r="AT7" i="2"/>
  <c r="GB6" i="2"/>
  <c r="DJ6" i="2"/>
  <c r="AV6" i="2"/>
  <c r="GF5" i="2"/>
  <c r="DY5" i="2"/>
  <c r="BV5" i="2"/>
  <c r="U5" i="2"/>
  <c r="FW4" i="2"/>
  <c r="EB4" i="2"/>
  <c r="CB4" i="2"/>
  <c r="AM4" i="2"/>
  <c r="FO3" i="2"/>
  <c r="ED3" i="2"/>
  <c r="CV3" i="2"/>
  <c r="BK3" i="2"/>
  <c r="AB3" i="2"/>
  <c r="B13" i="2"/>
  <c r="AF12" i="2"/>
  <c r="CX11" i="2"/>
  <c r="GE10" i="2"/>
  <c r="BS10" i="2"/>
  <c r="FC9" i="2"/>
  <c r="BS9" i="2"/>
  <c r="FQ8" i="2"/>
  <c r="CG8" i="2"/>
  <c r="DW7" i="2"/>
  <c r="AS7" i="2"/>
  <c r="GA6" i="2"/>
  <c r="DI6" i="2"/>
  <c r="AT6" i="2"/>
  <c r="GE5" i="2"/>
  <c r="DX5" i="2"/>
  <c r="BS5" i="2"/>
  <c r="T5" i="2"/>
  <c r="FV4" i="2"/>
  <c r="EA4" i="2"/>
  <c r="BZ4" i="2"/>
  <c r="AL4" i="2"/>
  <c r="FN3" i="2"/>
  <c r="EC3" i="2"/>
  <c r="CT3" i="2"/>
  <c r="BJ3" i="2"/>
  <c r="Y3" i="2"/>
  <c r="FP12" i="2"/>
  <c r="S12" i="2"/>
  <c r="CW11" i="2"/>
  <c r="FA10" i="2"/>
  <c r="AH10" i="2"/>
  <c r="EA9" i="2"/>
  <c r="AQ9" i="2"/>
  <c r="EO8" i="2"/>
  <c r="BE8" i="2"/>
  <c r="GA7" i="2"/>
  <c r="CW7" i="2"/>
  <c r="S7" i="2"/>
  <c r="FC6" i="2"/>
  <c r="CQ6" i="2"/>
  <c r="AC6" i="2"/>
  <c r="FN5" i="2"/>
  <c r="DE5" i="2"/>
  <c r="BF5" i="2"/>
  <c r="E5" i="2"/>
  <c r="FM4" i="2"/>
  <c r="DL4" i="2"/>
  <c r="BO4" i="2"/>
  <c r="Y4" i="2"/>
  <c r="GK3" i="2"/>
  <c r="FC3" i="2"/>
  <c r="DR3" i="2"/>
  <c r="CJ3" i="2"/>
  <c r="AY3" i="2"/>
  <c r="Q3" i="2"/>
  <c r="FA14" i="2"/>
  <c r="FB13" i="2"/>
  <c r="EY12" i="2"/>
  <c r="GD11" i="2"/>
  <c r="BF11" i="2"/>
  <c r="EO10" i="2"/>
  <c r="U10" i="2"/>
  <c r="DX9" i="2"/>
  <c r="U9" i="2"/>
  <c r="EL8" i="2"/>
  <c r="AI8" i="2"/>
  <c r="FM7" i="2"/>
  <c r="CM7" i="2"/>
  <c r="P7" i="2"/>
  <c r="EZ6" i="2"/>
  <c r="CH6" i="2"/>
  <c r="P6" i="2"/>
  <c r="FF5" i="2"/>
  <c r="CZ5" i="2"/>
  <c r="AV5" i="2"/>
  <c r="B5" i="2"/>
  <c r="FC4" i="2"/>
  <c r="DI4" i="2"/>
  <c r="BJ4" i="2"/>
  <c r="EO14" i="2"/>
  <c r="FR11" i="2"/>
  <c r="DY9" i="2"/>
  <c r="AG8" i="2"/>
  <c r="FA6" i="2"/>
  <c r="EZ5" i="2"/>
  <c r="FD4" i="2"/>
  <c r="U4" i="2"/>
  <c r="DO3" i="2"/>
  <c r="N3" i="2"/>
  <c r="EB14" i="2"/>
  <c r="BJ11" i="2"/>
  <c r="DW9" i="2"/>
  <c r="FS7" i="2"/>
  <c r="EY6" i="2"/>
  <c r="DB5" i="2"/>
  <c r="FB4" i="2"/>
  <c r="S4" i="2"/>
  <c r="DN3" i="2"/>
  <c r="K3" i="2"/>
  <c r="EU3" i="2"/>
  <c r="BI11" i="2"/>
  <c r="DM9" i="2"/>
  <c r="FQ7" i="2"/>
  <c r="EU6" i="2"/>
  <c r="DA5" i="2"/>
  <c r="FA4" i="2"/>
  <c r="GJ3" i="2"/>
  <c r="DM3" i="2"/>
  <c r="J3" i="2"/>
  <c r="FN13" i="2"/>
  <c r="AU11" i="2"/>
  <c r="AG9" i="2"/>
  <c r="FE7" i="2"/>
  <c r="CJ6" i="2"/>
  <c r="CY5" i="2"/>
  <c r="DK4" i="2"/>
  <c r="GI3" i="2"/>
  <c r="CI3" i="2"/>
  <c r="I3" i="2"/>
  <c r="FM13" i="2"/>
  <c r="AQ11" i="2"/>
  <c r="AC9" i="2"/>
  <c r="FD7" i="2"/>
  <c r="CI6" i="2"/>
  <c r="CX5" i="2"/>
  <c r="DJ4" i="2"/>
  <c r="GH3" i="2"/>
  <c r="CH3" i="2"/>
  <c r="EL13" i="2"/>
  <c r="EZ10" i="2"/>
  <c r="S9" i="2"/>
  <c r="CV7" i="2"/>
  <c r="CG6" i="2"/>
  <c r="BE5" i="2"/>
  <c r="DE4" i="2"/>
  <c r="GG3" i="2"/>
  <c r="CF3" i="2"/>
  <c r="D5" i="2"/>
  <c r="P12" i="2"/>
  <c r="FM5" i="2"/>
  <c r="CM13" i="2"/>
  <c r="EY10" i="2"/>
  <c r="R9" i="2"/>
  <c r="CU7" i="2"/>
  <c r="CC6" i="2"/>
  <c r="AZ5" i="2"/>
  <c r="DD4" i="2"/>
  <c r="GF3" i="2"/>
  <c r="CC3" i="2"/>
  <c r="EO12" i="2"/>
  <c r="R7" i="2"/>
  <c r="EZ3" i="2"/>
  <c r="EA8" i="2"/>
  <c r="C5" i="2"/>
  <c r="EX3" i="2"/>
  <c r="AU8" i="2"/>
  <c r="FM12" i="2"/>
  <c r="EC10" i="2"/>
  <c r="EN8" i="2"/>
  <c r="CK7" i="2"/>
  <c r="Y6" i="2"/>
  <c r="AU5" i="2"/>
  <c r="BL4" i="2"/>
  <c r="FB3" i="2"/>
  <c r="CB3" i="2"/>
  <c r="EK8" i="2"/>
  <c r="BI4" i="2"/>
  <c r="CY12" i="2"/>
  <c r="Q7" i="2"/>
  <c r="AV3" i="2"/>
  <c r="O7" i="2"/>
  <c r="X4" i="2"/>
  <c r="FC12" i="2"/>
  <c r="DZ10" i="2"/>
  <c r="EM8" i="2"/>
  <c r="CG7" i="2"/>
  <c r="T6" i="2"/>
  <c r="AT5" i="2"/>
  <c r="BK4" i="2"/>
  <c r="FA3" i="2"/>
  <c r="AX3" i="2"/>
  <c r="AG10" i="2"/>
  <c r="O6" i="2"/>
  <c r="AW3" i="2"/>
  <c r="AF10" i="2"/>
  <c r="K6" i="2"/>
  <c r="BH4" i="2"/>
  <c r="Q10" i="2"/>
  <c r="AU3" i="2"/>
  <c r="K7" i="2"/>
  <c r="FB6" i="2"/>
  <c r="FI5" i="2"/>
  <c r="FD5" i="2"/>
  <c r="FH4" i="2"/>
  <c r="DP3" i="2"/>
  <c r="FD14" i="2"/>
  <c r="W4" i="2"/>
  <c r="GC11" i="2"/>
  <c r="G10" i="2"/>
  <c r="DZ9" i="2"/>
  <c r="AQ8" i="2"/>
  <c r="V4" i="2"/>
  <c r="O12" i="2"/>
  <c r="DQ3" i="2"/>
  <c r="AT3" i="2"/>
  <c r="P3" i="2"/>
  <c r="AH8" i="2"/>
  <c r="O7" i="4"/>
  <c r="GO6" i="4"/>
  <c r="FM6" i="4"/>
  <c r="EK6" i="4"/>
  <c r="DI6" i="4"/>
  <c r="CG6" i="4"/>
  <c r="BE6" i="4"/>
  <c r="AC6" i="4"/>
  <c r="GA5" i="4"/>
  <c r="EY5" i="4"/>
  <c r="DW5" i="4"/>
  <c r="CU5" i="4"/>
  <c r="BS5" i="4"/>
  <c r="AQ5" i="4"/>
  <c r="O5" i="4"/>
  <c r="GO4" i="4"/>
  <c r="FM4" i="4"/>
  <c r="EK4" i="4"/>
  <c r="DI4" i="4"/>
  <c r="CG4" i="4"/>
  <c r="BE4" i="4"/>
  <c r="AC4" i="4"/>
  <c r="GA3" i="4"/>
  <c r="EY3" i="4"/>
  <c r="DW3" i="4"/>
  <c r="CU3" i="4"/>
  <c r="BS3" i="4"/>
  <c r="AQ3" i="4"/>
  <c r="O3" i="4"/>
  <c r="DL14" i="4"/>
  <c r="H14" i="4"/>
  <c r="DZ13" i="4"/>
  <c r="V13" i="4"/>
  <c r="DY12" i="4"/>
  <c r="AK12" i="4"/>
  <c r="FE11" i="4"/>
  <c r="CO11" i="4"/>
  <c r="AD11" i="4"/>
  <c r="GH10" i="4"/>
  <c r="EZ10" i="4"/>
  <c r="DP10" i="4"/>
  <c r="CJ10" i="4"/>
  <c r="BB10" i="4"/>
  <c r="V10" i="4"/>
  <c r="FO9" i="4"/>
  <c r="EJ9" i="4"/>
  <c r="DF9" i="4"/>
  <c r="CB9" i="4"/>
  <c r="AX9" i="4"/>
  <c r="T9" i="4"/>
  <c r="FN8" i="4"/>
  <c r="EI8" i="4"/>
  <c r="DE8" i="4"/>
  <c r="CA8" i="4"/>
  <c r="AW8" i="4"/>
  <c r="U8" i="4"/>
  <c r="FS7" i="4"/>
  <c r="EQ7" i="4"/>
  <c r="DO7" i="4"/>
  <c r="CM7" i="4"/>
  <c r="BK7" i="4"/>
  <c r="AI7" i="4"/>
  <c r="G7" i="4"/>
  <c r="GG6" i="4"/>
  <c r="FE6" i="4"/>
  <c r="EC6" i="4"/>
  <c r="DA6" i="4"/>
  <c r="BY6" i="4"/>
  <c r="AW6" i="4"/>
  <c r="U6" i="4"/>
  <c r="FS5" i="4"/>
  <c r="EQ5" i="4"/>
  <c r="DO5" i="4"/>
  <c r="CM5" i="4"/>
  <c r="BK5" i="4"/>
  <c r="AI5" i="4"/>
  <c r="G5" i="4"/>
  <c r="GG4" i="4"/>
  <c r="FE4" i="4"/>
  <c r="EC4" i="4"/>
  <c r="DA4" i="4"/>
  <c r="BY4" i="4"/>
  <c r="AW4" i="4"/>
  <c r="U4" i="4"/>
  <c r="FS3" i="4"/>
  <c r="EQ3" i="4"/>
  <c r="DO3" i="4"/>
  <c r="CM3" i="4"/>
  <c r="BK3" i="4"/>
  <c r="AI3" i="4"/>
  <c r="G3" i="4"/>
  <c r="DK14" i="4"/>
  <c r="G14" i="4"/>
  <c r="DY13" i="4"/>
  <c r="U13" i="4"/>
  <c r="DX12" i="4"/>
  <c r="AJ12" i="4"/>
  <c r="FD11" i="4"/>
  <c r="CH11" i="4"/>
  <c r="AB11" i="4"/>
  <c r="GG10" i="4"/>
  <c r="EW10" i="4"/>
  <c r="DO10" i="4"/>
  <c r="CI10" i="4"/>
  <c r="BA10" i="4"/>
  <c r="U10" i="4"/>
  <c r="FN9" i="4"/>
  <c r="EI9" i="4"/>
  <c r="DE9" i="4"/>
  <c r="CA9" i="4"/>
  <c r="AW9" i="4"/>
  <c r="S9" i="4"/>
  <c r="GQ8" i="4"/>
  <c r="FL8" i="4"/>
  <c r="EH8" i="4"/>
  <c r="DD8" i="4"/>
  <c r="BZ8" i="4"/>
  <c r="AV8" i="4"/>
  <c r="T8" i="4"/>
  <c r="FR7" i="4"/>
  <c r="EP7" i="4"/>
  <c r="DN7" i="4"/>
  <c r="CL7" i="4"/>
  <c r="BJ7" i="4"/>
  <c r="AH7" i="4"/>
  <c r="F7" i="4"/>
  <c r="GF6" i="4"/>
  <c r="FD6" i="4"/>
  <c r="EB6" i="4"/>
  <c r="CZ6" i="4"/>
  <c r="BX6" i="4"/>
  <c r="AV6" i="4"/>
  <c r="T6" i="4"/>
  <c r="FR5" i="4"/>
  <c r="EP5" i="4"/>
  <c r="DN5" i="4"/>
  <c r="CL5" i="4"/>
  <c r="BJ5" i="4"/>
  <c r="AH5" i="4"/>
  <c r="F5" i="4"/>
  <c r="GF4" i="4"/>
  <c r="FD4" i="4"/>
  <c r="EB4" i="4"/>
  <c r="CZ4" i="4"/>
  <c r="BX4" i="4"/>
  <c r="AV4" i="4"/>
  <c r="T4" i="4"/>
  <c r="FR3" i="4"/>
  <c r="EP3" i="4"/>
  <c r="DN3" i="4"/>
  <c r="CL3" i="4"/>
  <c r="BJ3" i="4"/>
  <c r="AH3" i="4"/>
  <c r="F3" i="4"/>
  <c r="DJ14" i="4"/>
  <c r="F14" i="4"/>
  <c r="DK13" i="4"/>
  <c r="T13" i="4"/>
  <c r="DT12" i="4"/>
  <c r="AI12" i="4"/>
  <c r="FC11" i="4"/>
  <c r="CF11" i="4"/>
  <c r="AA11" i="4"/>
  <c r="GF10" i="4"/>
  <c r="EV10" i="4"/>
  <c r="DN10" i="4"/>
  <c r="CH10" i="4"/>
  <c r="AZ10" i="4"/>
  <c r="T10" i="4"/>
  <c r="GQ9" i="4"/>
  <c r="FL9" i="4"/>
  <c r="EH9" i="4"/>
  <c r="DD9" i="4"/>
  <c r="BZ9" i="4"/>
  <c r="AV9" i="4"/>
  <c r="R9" i="4"/>
  <c r="GP8" i="4"/>
  <c r="FK8" i="4"/>
  <c r="EG8" i="4"/>
  <c r="DC8" i="4"/>
  <c r="BY8" i="4"/>
  <c r="AU8" i="4"/>
  <c r="S8" i="4"/>
  <c r="FQ7" i="4"/>
  <c r="EO7" i="4"/>
  <c r="DM7" i="4"/>
  <c r="CK7" i="4"/>
  <c r="BI7" i="4"/>
  <c r="AG7" i="4"/>
  <c r="E7" i="4"/>
  <c r="GE6" i="4"/>
  <c r="FC6" i="4"/>
  <c r="EA6" i="4"/>
  <c r="CY6" i="4"/>
  <c r="BW6" i="4"/>
  <c r="AU6" i="4"/>
  <c r="S6" i="4"/>
  <c r="FQ5" i="4"/>
  <c r="EO5" i="4"/>
  <c r="DM5" i="4"/>
  <c r="CK5" i="4"/>
  <c r="BI5" i="4"/>
  <c r="AG5" i="4"/>
  <c r="E5" i="4"/>
  <c r="GE4" i="4"/>
  <c r="FC4" i="4"/>
  <c r="EA4" i="4"/>
  <c r="CY4" i="4"/>
  <c r="BW4" i="4"/>
  <c r="AU4" i="4"/>
  <c r="S4" i="4"/>
  <c r="FQ3" i="4"/>
  <c r="EO3" i="4"/>
  <c r="DM3" i="4"/>
  <c r="CK3" i="4"/>
  <c r="BI3" i="4"/>
  <c r="AG3" i="4"/>
  <c r="E3" i="4"/>
  <c r="CV14" i="4"/>
  <c r="E14" i="4"/>
  <c r="DJ13" i="4"/>
  <c r="S13" i="4"/>
  <c r="DQ12" i="4"/>
  <c r="AH12" i="4"/>
  <c r="FB11" i="4"/>
  <c r="CD11" i="4"/>
  <c r="Z11" i="4"/>
  <c r="GE10" i="4"/>
  <c r="ET10" i="4"/>
  <c r="DM10" i="4"/>
  <c r="CE10" i="4"/>
  <c r="AY10" i="4"/>
  <c r="S10" i="4"/>
  <c r="GP9" i="4"/>
  <c r="FK9" i="4"/>
  <c r="EG9" i="4"/>
  <c r="DC9" i="4"/>
  <c r="BY9" i="4"/>
  <c r="AU9" i="4"/>
  <c r="Q9" i="4"/>
  <c r="GN8" i="4"/>
  <c r="FJ8" i="4"/>
  <c r="EF8" i="4"/>
  <c r="DB8" i="4"/>
  <c r="BX8" i="4"/>
  <c r="AT8" i="4"/>
  <c r="R8" i="4"/>
  <c r="FP7" i="4"/>
  <c r="EN7" i="4"/>
  <c r="DL7" i="4"/>
  <c r="CJ7" i="4"/>
  <c r="BH7" i="4"/>
  <c r="AF7" i="4"/>
  <c r="GD6" i="4"/>
  <c r="FB6" i="4"/>
  <c r="DZ6" i="4"/>
  <c r="CX6" i="4"/>
  <c r="BV6" i="4"/>
  <c r="AT6" i="4"/>
  <c r="R6" i="4"/>
  <c r="FP5" i="4"/>
  <c r="EN5" i="4"/>
  <c r="DL5" i="4"/>
  <c r="CJ5" i="4"/>
  <c r="BH5" i="4"/>
  <c r="AF5" i="4"/>
  <c r="GD4" i="4"/>
  <c r="FB4" i="4"/>
  <c r="DZ4" i="4"/>
  <c r="CX4" i="4"/>
  <c r="BV4" i="4"/>
  <c r="AT4" i="4"/>
  <c r="R4" i="4"/>
  <c r="FP3" i="4"/>
  <c r="EN3" i="4"/>
  <c r="CQ14" i="4"/>
  <c r="DC13" i="4"/>
  <c r="DO12" i="4"/>
  <c r="T12" i="4"/>
  <c r="EO11" i="4"/>
  <c r="BZ11" i="4"/>
  <c r="V11" i="4"/>
  <c r="GC10" i="4"/>
  <c r="ER10" i="4"/>
  <c r="DK10" i="4"/>
  <c r="CC10" i="4"/>
  <c r="AW10" i="4"/>
  <c r="Q10" i="4"/>
  <c r="GM9" i="4"/>
  <c r="FI9" i="4"/>
  <c r="DA9" i="4"/>
  <c r="BW9" i="4"/>
  <c r="AS9" i="4"/>
  <c r="N9" i="4"/>
  <c r="GL8" i="4"/>
  <c r="FH8" i="4"/>
  <c r="ED8" i="4"/>
  <c r="CZ8" i="4"/>
  <c r="BV8" i="4"/>
  <c r="AR8" i="4"/>
  <c r="P8" i="4"/>
  <c r="GP7" i="4"/>
  <c r="FN7" i="4"/>
  <c r="EL7" i="4"/>
  <c r="DJ7" i="4"/>
  <c r="CH7" i="4"/>
  <c r="BF7" i="4"/>
  <c r="AD7" i="4"/>
  <c r="B7" i="4"/>
  <c r="CN14" i="4"/>
  <c r="DB13" i="4"/>
  <c r="DA12" i="4"/>
  <c r="S12" i="4"/>
  <c r="EN11" i="4"/>
  <c r="BY11" i="4"/>
  <c r="U11" i="4"/>
  <c r="GB10" i="4"/>
  <c r="EQ10" i="4"/>
  <c r="DJ10" i="4"/>
  <c r="CB10" i="4"/>
  <c r="AV10" i="4"/>
  <c r="P10" i="4"/>
  <c r="GL9" i="4"/>
  <c r="FH9" i="4"/>
  <c r="ED9" i="4"/>
  <c r="CZ9" i="4"/>
  <c r="BV9" i="4"/>
  <c r="AR9" i="4"/>
  <c r="M9" i="4"/>
  <c r="GK8" i="4"/>
  <c r="FG8" i="4"/>
  <c r="EC8" i="4"/>
  <c r="CY8" i="4"/>
  <c r="BU8" i="4"/>
  <c r="AQ8" i="4"/>
  <c r="O8" i="4"/>
  <c r="GO7" i="4"/>
  <c r="FM7" i="4"/>
  <c r="EK7" i="4"/>
  <c r="DI7" i="4"/>
  <c r="CG7" i="4"/>
  <c r="BE7" i="4"/>
  <c r="AC7" i="4"/>
  <c r="GA6" i="4"/>
  <c r="EY6" i="4"/>
  <c r="DW6" i="4"/>
  <c r="CU6" i="4"/>
  <c r="BS6" i="4"/>
  <c r="AQ6" i="4"/>
  <c r="O6" i="4"/>
  <c r="GO5" i="4"/>
  <c r="FM5" i="4"/>
  <c r="EK5" i="4"/>
  <c r="DI5" i="4"/>
  <c r="CG5" i="4"/>
  <c r="BE5" i="4"/>
  <c r="AC5" i="4"/>
  <c r="GA4" i="4"/>
  <c r="EY4" i="4"/>
  <c r="DW4" i="4"/>
  <c r="EM14" i="4"/>
  <c r="AV14" i="4"/>
  <c r="FA13" i="4"/>
  <c r="BJ13" i="4"/>
  <c r="FJ12" i="4"/>
  <c r="BK12" i="4"/>
  <c r="GE11" i="4"/>
  <c r="DL11" i="4"/>
  <c r="AU11" i="4"/>
  <c r="FJ10" i="4"/>
  <c r="EA10" i="4"/>
  <c r="CS10" i="4"/>
  <c r="BM10" i="4"/>
  <c r="AG10" i="4"/>
  <c r="FX9" i="4"/>
  <c r="ET9" i="4"/>
  <c r="DP9" i="4"/>
  <c r="CL9" i="4"/>
  <c r="BH9" i="4"/>
  <c r="AD9" i="4"/>
  <c r="FW8" i="4"/>
  <c r="ES8" i="4"/>
  <c r="DO8" i="4"/>
  <c r="CK8" i="4"/>
  <c r="BG8" i="4"/>
  <c r="AD8" i="4"/>
  <c r="B8" i="4"/>
  <c r="GB7" i="4"/>
  <c r="EZ7" i="4"/>
  <c r="DX7" i="4"/>
  <c r="CV7" i="4"/>
  <c r="BT7" i="4"/>
  <c r="AR7" i="4"/>
  <c r="P7" i="4"/>
  <c r="GP6" i="4"/>
  <c r="FN6" i="4"/>
  <c r="EL6" i="4"/>
  <c r="DJ6" i="4"/>
  <c r="CH6" i="4"/>
  <c r="BF6" i="4"/>
  <c r="AD6" i="4"/>
  <c r="B6" i="4"/>
  <c r="GB5" i="4"/>
  <c r="EZ5" i="4"/>
  <c r="DX5" i="4"/>
  <c r="CV5" i="4"/>
  <c r="BT5" i="4"/>
  <c r="AR5" i="4"/>
  <c r="P5" i="4"/>
  <c r="GP4" i="4"/>
  <c r="FN4" i="4"/>
  <c r="EL4" i="4"/>
  <c r="DJ4" i="4"/>
  <c r="CH4" i="4"/>
  <c r="BF4" i="4"/>
  <c r="AD4" i="4"/>
  <c r="B4" i="4"/>
  <c r="GB3" i="4"/>
  <c r="EZ3" i="4"/>
  <c r="DX3" i="4"/>
  <c r="CV3" i="4"/>
  <c r="BT3" i="4"/>
  <c r="AR3" i="4"/>
  <c r="P3" i="4"/>
  <c r="AW14" i="4"/>
  <c r="E13" i="4"/>
  <c r="AG12" i="4"/>
  <c r="BG11" i="4"/>
  <c r="FN10" i="4"/>
  <c r="CD10" i="4"/>
  <c r="E10" i="4"/>
  <c r="EV9" i="4"/>
  <c r="CM9" i="4"/>
  <c r="E9" i="4"/>
  <c r="EV8" i="4"/>
  <c r="CL8" i="4"/>
  <c r="G8" i="4"/>
  <c r="FC7" i="4"/>
  <c r="CW7" i="4"/>
  <c r="U7" i="4"/>
  <c r="FS6" i="4"/>
  <c r="DO6" i="4"/>
  <c r="BK6" i="4"/>
  <c r="G6" i="4"/>
  <c r="FE5" i="4"/>
  <c r="DA5" i="4"/>
  <c r="AW5" i="4"/>
  <c r="B5" i="4"/>
  <c r="EZ4" i="4"/>
  <c r="CV4" i="4"/>
  <c r="BG4" i="4"/>
  <c r="E4" i="4"/>
  <c r="FE3" i="4"/>
  <c r="DK3" i="4"/>
  <c r="BW3" i="4"/>
  <c r="AD3" i="4"/>
  <c r="BF11" i="4"/>
  <c r="FK10" i="4"/>
  <c r="BT10" i="4"/>
  <c r="EU9" i="4"/>
  <c r="BX9" i="4"/>
  <c r="EU8" i="4"/>
  <c r="BW8" i="4"/>
  <c r="F8" i="4"/>
  <c r="FB7" i="4"/>
  <c r="CI7" i="4"/>
  <c r="T7" i="4"/>
  <c r="FR6" i="4"/>
  <c r="DN6" i="4"/>
  <c r="BJ6" i="4"/>
  <c r="F6" i="4"/>
  <c r="FD5" i="4"/>
  <c r="CZ5" i="4"/>
  <c r="AV5" i="4"/>
  <c r="EQ4" i="4"/>
  <c r="CU4" i="4"/>
  <c r="AS4" i="4"/>
  <c r="FD3" i="4"/>
  <c r="DJ3" i="4"/>
  <c r="BV3" i="4"/>
  <c r="AC3" i="4"/>
  <c r="BD11" i="4"/>
  <c r="ES10" i="4"/>
  <c r="BQ10" i="4"/>
  <c r="EF9" i="4"/>
  <c r="BM9" i="4"/>
  <c r="ET8" i="4"/>
  <c r="BL8" i="4"/>
  <c r="E8" i="4"/>
  <c r="FA7" i="4"/>
  <c r="BY7" i="4"/>
  <c r="S7" i="4"/>
  <c r="FQ6" i="4"/>
  <c r="DM6" i="4"/>
  <c r="BI6" i="4"/>
  <c r="E6" i="4"/>
  <c r="FC5" i="4"/>
  <c r="CY5" i="4"/>
  <c r="AU5" i="4"/>
  <c r="EP4" i="4"/>
  <c r="CM4" i="4"/>
  <c r="AR4" i="4"/>
  <c r="FC3" i="4"/>
  <c r="DI3" i="4"/>
  <c r="BU3" i="4"/>
  <c r="U3" i="4"/>
  <c r="FS13" i="4"/>
  <c r="GE12" i="4"/>
  <c r="AV11" i="4"/>
  <c r="EF10" i="4"/>
  <c r="BP10" i="4"/>
  <c r="B10" i="4"/>
  <c r="BL9" i="4"/>
  <c r="B9" i="4"/>
  <c r="BK8" i="4"/>
  <c r="EM7" i="4"/>
  <c r="BX7" i="4"/>
  <c r="R7" i="4"/>
  <c r="FP6" i="4"/>
  <c r="DL6" i="4"/>
  <c r="BH6" i="4"/>
  <c r="FB5" i="4"/>
  <c r="CX5" i="4"/>
  <c r="AT5" i="4"/>
  <c r="EO4" i="4"/>
  <c r="CL4" i="4"/>
  <c r="AQ4" i="4"/>
  <c r="GQ3" i="4"/>
  <c r="FB3" i="4"/>
  <c r="DA3" i="4"/>
  <c r="BH3" i="4"/>
  <c r="T3" i="4"/>
  <c r="FE14" i="4"/>
  <c r="FR13" i="4"/>
  <c r="GD12" i="4"/>
  <c r="W11" i="4"/>
  <c r="BO10" i="4"/>
  <c r="GN9" i="4"/>
  <c r="DU9" i="4"/>
  <c r="BK9" i="4"/>
  <c r="DT8" i="4"/>
  <c r="BJ8" i="4"/>
  <c r="EC7" i="4"/>
  <c r="BW7" i="4"/>
  <c r="Q7" i="4"/>
  <c r="FO6" i="4"/>
  <c r="DK6" i="4"/>
  <c r="BG6" i="4"/>
  <c r="FA5" i="4"/>
  <c r="CW5" i="4"/>
  <c r="AS5" i="4"/>
  <c r="EN4" i="4"/>
  <c r="CK4" i="4"/>
  <c r="AI4" i="4"/>
  <c r="GP3" i="4"/>
  <c r="FA3" i="4"/>
  <c r="CZ3" i="4"/>
  <c r="BG3" i="4"/>
  <c r="S3" i="4"/>
  <c r="FD14" i="4"/>
  <c r="FQ13" i="4"/>
  <c r="FP12" i="4"/>
  <c r="E11" i="4"/>
  <c r="ED10" i="4"/>
  <c r="BN10" i="4"/>
  <c r="GD9" i="4"/>
  <c r="DT9" i="4"/>
  <c r="BJ9" i="4"/>
  <c r="GM8" i="4"/>
  <c r="DS8" i="4"/>
  <c r="BI8" i="4"/>
  <c r="GQ7" i="4"/>
  <c r="EB7" i="4"/>
  <c r="BV7" i="4"/>
  <c r="FA6" i="4"/>
  <c r="CW6" i="4"/>
  <c r="AS6" i="4"/>
  <c r="GQ5" i="4"/>
  <c r="EM5" i="4"/>
  <c r="CI5" i="4"/>
  <c r="AE5" i="4"/>
  <c r="GQ4" i="4"/>
  <c r="EM4" i="4"/>
  <c r="CJ4" i="4"/>
  <c r="AH4" i="4"/>
  <c r="GO3" i="4"/>
  <c r="EM3" i="4"/>
  <c r="CY3" i="4"/>
  <c r="BF3" i="4"/>
  <c r="R3" i="4"/>
  <c r="FC14" i="4"/>
  <c r="FP13" i="4"/>
  <c r="FO12" i="4"/>
  <c r="FA11" i="4"/>
  <c r="EC10" i="4"/>
  <c r="AX10" i="4"/>
  <c r="GC9" i="4"/>
  <c r="DS9" i="4"/>
  <c r="BI9" i="4"/>
  <c r="GC8" i="4"/>
  <c r="DR8" i="4"/>
  <c r="BH8" i="4"/>
  <c r="GG7" i="4"/>
  <c r="EA7" i="4"/>
  <c r="BU7" i="4"/>
  <c r="EZ6" i="4"/>
  <c r="CV6" i="4"/>
  <c r="AR6" i="4"/>
  <c r="GP5" i="4"/>
  <c r="EL5" i="4"/>
  <c r="CH5" i="4"/>
  <c r="AD5" i="4"/>
  <c r="GC4" i="4"/>
  <c r="DY4" i="4"/>
  <c r="CI4" i="4"/>
  <c r="AG4" i="4"/>
  <c r="GG3" i="4"/>
  <c r="EL3" i="4"/>
  <c r="CX3" i="4"/>
  <c r="BE3" i="4"/>
  <c r="Q3" i="4"/>
  <c r="FB14" i="4"/>
  <c r="FB13" i="4"/>
  <c r="FN12" i="4"/>
  <c r="DQ11" i="4"/>
  <c r="EB10" i="4"/>
  <c r="AL10" i="4"/>
  <c r="GB9" i="4"/>
  <c r="DR9" i="4"/>
  <c r="AT9" i="4"/>
  <c r="GB8" i="4"/>
  <c r="DQ8" i="4"/>
  <c r="AS8" i="4"/>
  <c r="GF7" i="4"/>
  <c r="DZ7" i="4"/>
  <c r="BG7" i="4"/>
  <c r="EQ6" i="4"/>
  <c r="CM6" i="4"/>
  <c r="AI6" i="4"/>
  <c r="GG5" i="4"/>
  <c r="EC5" i="4"/>
  <c r="BY5" i="4"/>
  <c r="U5" i="4"/>
  <c r="GB4" i="4"/>
  <c r="DX4" i="4"/>
  <c r="BU4" i="4"/>
  <c r="AF4" i="4"/>
  <c r="GF3" i="4"/>
  <c r="EK3" i="4"/>
  <c r="CW3" i="4"/>
  <c r="AW3" i="4"/>
  <c r="FA14" i="4"/>
  <c r="DF13" i="4"/>
  <c r="DP12" i="4"/>
  <c r="DP11" i="4"/>
  <c r="DL10" i="4"/>
  <c r="AK10" i="4"/>
  <c r="FZ9" i="4"/>
  <c r="DQ9" i="4"/>
  <c r="AI9" i="4"/>
  <c r="FZ8" i="4"/>
  <c r="DP8" i="4"/>
  <c r="AI8" i="4"/>
  <c r="GE7" i="4"/>
  <c r="DY7" i="4"/>
  <c r="AW7" i="4"/>
  <c r="EP6" i="4"/>
  <c r="CL6" i="4"/>
  <c r="AH6" i="4"/>
  <c r="GF5" i="4"/>
  <c r="EB5" i="4"/>
  <c r="BX5" i="4"/>
  <c r="T5" i="4"/>
  <c r="FS4" i="4"/>
  <c r="DO4" i="4"/>
  <c r="BT4" i="4"/>
  <c r="AE4" i="4"/>
  <c r="GE3" i="4"/>
  <c r="EC3" i="4"/>
  <c r="CJ3" i="4"/>
  <c r="AV3" i="4"/>
  <c r="R10" i="4"/>
  <c r="CN9" i="4"/>
  <c r="DA8" i="4"/>
  <c r="FO7" i="4"/>
  <c r="BU6" i="4"/>
  <c r="EA5" i="4"/>
  <c r="BI4" i="4"/>
  <c r="EB3" i="4"/>
  <c r="AE3" i="4"/>
  <c r="GD10" i="4"/>
  <c r="F10" i="4"/>
  <c r="AH9" i="4"/>
  <c r="CP8" i="4"/>
  <c r="FE7" i="4"/>
  <c r="BT6" i="4"/>
  <c r="DZ5" i="4"/>
  <c r="FR4" i="4"/>
  <c r="BH4" i="4"/>
  <c r="EA3" i="4"/>
  <c r="CU14" i="4"/>
  <c r="CD12" i="4"/>
  <c r="FQ10" i="4"/>
  <c r="AG9" i="4"/>
  <c r="CO8" i="4"/>
  <c r="FD7" i="4"/>
  <c r="AG6" i="4"/>
  <c r="DY5" i="4"/>
  <c r="FQ4" i="4"/>
  <c r="Q4" i="4"/>
  <c r="DZ3" i="4"/>
  <c r="BS14" i="4"/>
  <c r="CA12" i="4"/>
  <c r="FP10" i="4"/>
  <c r="AF9" i="4"/>
  <c r="CN8" i="4"/>
  <c r="DK7" i="4"/>
  <c r="GQ6" i="4"/>
  <c r="AF6" i="4"/>
  <c r="DK5" i="4"/>
  <c r="FP4" i="4"/>
  <c r="P4" i="4"/>
  <c r="DY3" i="4"/>
  <c r="B3" i="4"/>
  <c r="BE14" i="4"/>
  <c r="BZ12" i="4"/>
  <c r="FO10" i="4"/>
  <c r="FY9" i="4"/>
  <c r="AE9" i="4"/>
  <c r="CM8" i="4"/>
  <c r="DA7" i="4"/>
  <c r="GC6" i="4"/>
  <c r="AE6" i="4"/>
  <c r="DJ5" i="4"/>
  <c r="FO4" i="4"/>
  <c r="O4" i="4"/>
  <c r="DL3" i="4"/>
  <c r="BA14" i="4"/>
  <c r="BY12" i="4"/>
  <c r="FJ9" i="4"/>
  <c r="P9" i="4"/>
  <c r="AH8" i="4"/>
  <c r="CZ7" i="4"/>
  <c r="GB6" i="4"/>
  <c r="Q6" i="4"/>
  <c r="BW5" i="4"/>
  <c r="FA4" i="4"/>
  <c r="G4" i="4"/>
  <c r="CI3" i="4"/>
  <c r="AX14" i="4"/>
  <c r="BX12" i="4"/>
  <c r="CZ10" i="4"/>
  <c r="EZ9" i="4"/>
  <c r="AG8" i="4"/>
  <c r="CY7" i="4"/>
  <c r="EO6" i="4"/>
  <c r="P6" i="4"/>
  <c r="BV5" i="4"/>
  <c r="DN4" i="4"/>
  <c r="F4" i="4"/>
  <c r="CH3" i="4"/>
  <c r="BP13" i="4"/>
  <c r="CA11" i="4"/>
  <c r="CV10" i="4"/>
  <c r="DB9" i="4"/>
  <c r="FI8" i="4"/>
  <c r="AT7" i="4"/>
  <c r="DX6" i="4"/>
  <c r="GD5" i="4"/>
  <c r="S5" i="4"/>
  <c r="CW4" i="4"/>
  <c r="GC3" i="4"/>
  <c r="AU3" i="4"/>
  <c r="DO11" i="4"/>
  <c r="AF8" i="4"/>
  <c r="EN6" i="4"/>
  <c r="BF5" i="4"/>
  <c r="FO3" i="4"/>
  <c r="DN11" i="4"/>
  <c r="EX9" i="4"/>
  <c r="AE8" i="4"/>
  <c r="EM6" i="4"/>
  <c r="R5" i="4"/>
  <c r="FN3" i="4"/>
  <c r="DM11" i="4"/>
  <c r="EW9" i="4"/>
  <c r="Q8" i="4"/>
  <c r="DY6" i="4"/>
  <c r="Q5" i="4"/>
  <c r="FM3" i="4"/>
  <c r="BH11" i="4"/>
  <c r="CK6" i="4"/>
  <c r="CG3" i="4"/>
  <c r="CQ9" i="4"/>
  <c r="CJ6" i="4"/>
  <c r="BY3" i="4"/>
  <c r="CP9" i="4"/>
  <c r="GD7" i="4"/>
  <c r="CI6" i="4"/>
  <c r="DM4" i="4"/>
  <c r="BX3" i="4"/>
  <c r="CO9" i="4"/>
  <c r="GC7" i="4"/>
  <c r="DL4" i="4"/>
  <c r="AT3" i="4"/>
  <c r="CY10" i="4"/>
  <c r="CX7" i="4"/>
  <c r="DK4" i="4"/>
  <c r="AS3" i="4"/>
  <c r="BT13" i="4"/>
  <c r="CX10" i="4"/>
  <c r="AV7" i="4"/>
  <c r="GE5" i="4"/>
  <c r="BS4" i="4"/>
  <c r="AF3" i="4"/>
  <c r="AE7" i="4"/>
  <c r="BM13" i="4"/>
  <c r="GD3" i="4"/>
  <c r="BL13" i="4"/>
  <c r="BK13" i="4"/>
  <c r="FY8" i="4"/>
  <c r="GC5" i="4"/>
  <c r="FX8" i="4"/>
  <c r="FO5" i="4"/>
  <c r="EX8" i="4"/>
  <c r="FN5" i="4"/>
  <c r="EW8" i="4"/>
  <c r="BU5" i="4"/>
  <c r="BG5" i="4"/>
  <c r="CW10" i="4"/>
  <c r="AU7" i="4"/>
  <c r="AS7" i="4"/>
  <c r="AJ10" i="4"/>
  <c r="AI10" i="4"/>
  <c r="AH10" i="4"/>
  <c r="BK4" i="4"/>
  <c r="BJ4" i="4"/>
  <c r="AV13" i="4"/>
  <c r="CK9" i="4"/>
  <c r="AQ7" i="4"/>
  <c r="GH3" i="4"/>
  <c r="GH4" i="4"/>
  <c r="GH5" i="4"/>
  <c r="GH6" i="4"/>
  <c r="GH7" i="4"/>
  <c r="F9" i="4"/>
  <c r="W10" i="4"/>
  <c r="CR11" i="4"/>
  <c r="FF14" i="4"/>
  <c r="GI3" i="4"/>
  <c r="GI4" i="4"/>
  <c r="GI5" i="4"/>
  <c r="GI6" i="4"/>
  <c r="GI7" i="4"/>
  <c r="G9" i="4"/>
  <c r="X10" i="4"/>
  <c r="CT11" i="4"/>
  <c r="FT14" i="4"/>
  <c r="GJ3" i="4"/>
  <c r="GJ4" i="4"/>
  <c r="GJ5" i="4"/>
  <c r="GJ6" i="4"/>
  <c r="GJ7" i="4"/>
  <c r="H9" i="4"/>
  <c r="Y10" i="4"/>
  <c r="CV11" i="4"/>
  <c r="DO14" i="4"/>
  <c r="FW3" i="4"/>
  <c r="FW4" i="4"/>
  <c r="FW5" i="4"/>
  <c r="FW6" i="4"/>
  <c r="FW7" i="4"/>
  <c r="GG8" i="4"/>
  <c r="J10" i="4"/>
  <c r="BL11" i="4"/>
  <c r="BW14" i="4"/>
  <c r="FJ3" i="4"/>
  <c r="FJ4" i="4"/>
  <c r="FJ5" i="4"/>
  <c r="FJ6" i="4"/>
  <c r="FJ7" i="4"/>
  <c r="FS8" i="4"/>
  <c r="GI9" i="4"/>
  <c r="BM11" i="4"/>
  <c r="ED14" i="4"/>
  <c r="FY3" i="4"/>
  <c r="FY4" i="4"/>
  <c r="FY5" i="4"/>
  <c r="FY6" i="4"/>
  <c r="FY7" i="4"/>
  <c r="GI8" i="4"/>
  <c r="L10" i="4"/>
  <c r="CY11" i="4"/>
  <c r="GC14" i="4"/>
  <c r="GN3" i="4"/>
  <c r="GN4" i="4"/>
  <c r="GN5" i="4"/>
  <c r="GN6" i="4"/>
  <c r="GN7" i="4"/>
  <c r="L9" i="4"/>
  <c r="AE10" i="4"/>
  <c r="EM11" i="4"/>
  <c r="DB12" i="4"/>
  <c r="O14" i="4"/>
  <c r="BL12" i="4"/>
  <c r="FD13" i="4"/>
  <c r="EP11" i="4"/>
  <c r="AF13" i="4"/>
  <c r="EP14" i="4"/>
  <c r="DX11" i="4"/>
  <c r="AG13" i="4"/>
  <c r="EQ14" i="4"/>
  <c r="E12" i="4"/>
  <c r="DP13" i="4"/>
  <c r="Q11" i="4"/>
  <c r="CN12" i="4"/>
  <c r="T14" i="4"/>
  <c r="CF10" i="4"/>
  <c r="DH11" i="4"/>
  <c r="Q13" i="4"/>
  <c r="DE14" i="4"/>
  <c r="GA8" i="4"/>
  <c r="GA9" i="4"/>
  <c r="GA10" i="4"/>
  <c r="AF12" i="4"/>
  <c r="EQ13" i="4"/>
  <c r="X11" i="4"/>
  <c r="X12" i="4"/>
  <c r="X13" i="4"/>
  <c r="W14" i="4"/>
  <c r="Y11" i="4"/>
  <c r="Y12" i="4"/>
  <c r="Y13" i="4"/>
  <c r="X14" i="4"/>
  <c r="CE11" i="4"/>
  <c r="CE12" i="4"/>
  <c r="CE13" i="4"/>
  <c r="CD14" i="4"/>
  <c r="N12" i="4"/>
  <c r="N13" i="4"/>
  <c r="M14" i="4"/>
  <c r="O11" i="4"/>
  <c r="O12" i="4"/>
  <c r="O13" i="4"/>
  <c r="N14" i="4"/>
  <c r="EO13" i="3"/>
  <c r="FK11" i="3"/>
  <c r="FO9" i="3"/>
  <c r="H8" i="3"/>
  <c r="CM6" i="3"/>
  <c r="H5" i="3"/>
  <c r="ET3" i="3"/>
  <c r="BW14" i="3"/>
  <c r="BT12" i="3"/>
  <c r="BH10" i="3"/>
  <c r="DQ8" i="3"/>
  <c r="I7" i="3"/>
  <c r="EB5" i="3"/>
  <c r="BJ4" i="3"/>
  <c r="P3" i="3"/>
  <c r="BG13" i="3"/>
  <c r="AU11" i="3"/>
  <c r="BK9" i="3"/>
  <c r="EP7" i="3"/>
  <c r="AT6" i="3"/>
  <c r="FS4" i="3"/>
  <c r="DI3" i="3"/>
  <c r="BF13" i="3"/>
  <c r="AT11" i="3"/>
  <c r="BJ9" i="3"/>
  <c r="EO7" i="3"/>
  <c r="AS6" i="3"/>
  <c r="FR4" i="3"/>
  <c r="DX3" i="3"/>
  <c r="CE13" i="3"/>
  <c r="BU11" i="3"/>
  <c r="DG9" i="3"/>
  <c r="GH7" i="3"/>
  <c r="CG6" i="3"/>
  <c r="D5" i="3"/>
  <c r="FG3" i="3"/>
  <c r="DB13" i="3"/>
  <c r="CV11" i="3"/>
  <c r="DC9" i="3"/>
  <c r="GE7" i="3"/>
  <c r="CE6" i="3"/>
  <c r="GI4" i="3"/>
  <c r="EM3" i="3"/>
  <c r="AN14" i="3"/>
  <c r="AW10" i="3"/>
  <c r="CL8" i="3"/>
  <c r="GH6" i="3"/>
  <c r="CE5" i="3"/>
  <c r="T4" i="3"/>
  <c r="CZ13" i="3"/>
  <c r="CN11" i="3"/>
  <c r="DA9" i="3"/>
  <c r="FE7" i="3"/>
  <c r="BH6" i="3"/>
  <c r="EQ4" i="3"/>
  <c r="DD3" i="3"/>
  <c r="EP3" i="3"/>
  <c r="FO4" i="3"/>
  <c r="AI6" i="3"/>
  <c r="DF7" i="3"/>
  <c r="P9" i="3"/>
  <c r="DM10" i="3"/>
  <c r="BK12" i="3"/>
  <c r="GQ13" i="3"/>
  <c r="BX3" i="3"/>
  <c r="CK4" i="3"/>
  <c r="EK5" i="3"/>
  <c r="GC6" i="3"/>
  <c r="BY8" i="3"/>
  <c r="GG9" i="3"/>
  <c r="CZ11" i="3"/>
  <c r="AY10" i="3"/>
  <c r="AY11" i="3"/>
  <c r="AY12" i="3"/>
  <c r="AY13" i="3"/>
  <c r="J5" i="3"/>
  <c r="J6" i="3"/>
  <c r="J7" i="3"/>
  <c r="J8" i="3"/>
  <c r="J9" i="3"/>
  <c r="J10" i="3"/>
  <c r="J11" i="3"/>
  <c r="J12" i="3"/>
  <c r="J13" i="3"/>
  <c r="I14" i="3"/>
  <c r="CC4" i="3"/>
  <c r="CC5" i="3"/>
  <c r="CC6" i="3"/>
  <c r="CC7" i="3"/>
  <c r="CC8" i="3"/>
  <c r="CC9" i="3"/>
  <c r="CC10" i="3"/>
  <c r="CC11" i="3"/>
  <c r="CC12" i="3"/>
  <c r="CC13" i="3"/>
  <c r="CB14" i="3"/>
  <c r="GL8" i="3"/>
  <c r="GL9" i="3"/>
  <c r="GL10" i="3"/>
  <c r="GL11" i="3"/>
  <c r="GL12" i="3"/>
  <c r="GL13" i="3"/>
  <c r="GK14" i="3"/>
  <c r="DV4" i="3"/>
  <c r="DV5" i="3"/>
  <c r="DV6" i="3"/>
  <c r="DV7" i="3"/>
  <c r="DV8" i="3"/>
  <c r="DV9" i="3"/>
  <c r="DV10" i="3"/>
  <c r="DV11" i="3"/>
  <c r="DV12" i="3"/>
  <c r="DV13" i="3"/>
  <c r="DU14" i="3"/>
  <c r="BD14" i="3"/>
  <c r="GV9" i="3"/>
  <c r="GT8" i="3"/>
  <c r="GW13" i="3"/>
  <c r="GY5" i="3"/>
  <c r="HA14" i="3"/>
  <c r="GT14" i="3"/>
  <c r="FG12" i="4"/>
  <c r="BG9" i="4"/>
  <c r="H3" i="4"/>
  <c r="H4" i="4"/>
  <c r="H5" i="4"/>
  <c r="H6" i="4"/>
  <c r="H7" i="4"/>
  <c r="H8" i="4"/>
  <c r="U9" i="4"/>
  <c r="AM10" i="4"/>
  <c r="DT11" i="4"/>
  <c r="V9" i="4"/>
  <c r="EC11" i="4"/>
  <c r="J3" i="4"/>
  <c r="J4" i="4"/>
  <c r="J5" i="4"/>
  <c r="J6" i="4"/>
  <c r="J7" i="4"/>
  <c r="J8" i="4"/>
  <c r="W9" i="4"/>
  <c r="AO10" i="4"/>
  <c r="ED11" i="4"/>
  <c r="FW14" i="4"/>
  <c r="GK3" i="4"/>
  <c r="GK4" i="4"/>
  <c r="GK5" i="4"/>
  <c r="GK6" i="4"/>
  <c r="GK7" i="4"/>
  <c r="Z10" i="4"/>
  <c r="CW11" i="4"/>
  <c r="EC14" i="4"/>
  <c r="FX3" i="4"/>
  <c r="FX4" i="4"/>
  <c r="FX5" i="4"/>
  <c r="FX6" i="4"/>
  <c r="FX7" i="4"/>
  <c r="GH8" i="4"/>
  <c r="K10" i="4"/>
  <c r="CX11" i="4"/>
  <c r="GB14" i="4"/>
  <c r="GM3" i="4"/>
  <c r="GM4" i="4"/>
  <c r="GM5" i="4"/>
  <c r="GM6" i="4"/>
  <c r="GM7" i="4"/>
  <c r="K9" i="4"/>
  <c r="AD10" i="4"/>
  <c r="EL11" i="4"/>
  <c r="N3" i="4"/>
  <c r="N4" i="4"/>
  <c r="N5" i="4"/>
  <c r="N6" i="4"/>
  <c r="N7" i="4"/>
  <c r="N8" i="4"/>
  <c r="AA9" i="4"/>
  <c r="AU10" i="4"/>
  <c r="GC11" i="4"/>
  <c r="DZ12" i="4"/>
  <c r="AH14" i="4"/>
  <c r="CJ12" i="4"/>
  <c r="GB13" i="4"/>
  <c r="FN11" i="4"/>
  <c r="AY13" i="4"/>
  <c r="FN14" i="4"/>
  <c r="EQ11" i="4"/>
  <c r="BB13" i="4"/>
  <c r="FO14" i="4"/>
  <c r="Z12" i="4"/>
  <c r="EN13" i="4"/>
  <c r="AH11" i="4"/>
  <c r="DL12" i="4"/>
  <c r="AR14" i="4"/>
  <c r="CT10" i="4"/>
  <c r="EA11" i="4"/>
  <c r="AJ13" i="4"/>
  <c r="EA14" i="4"/>
  <c r="GO8" i="4"/>
  <c r="GO9" i="4"/>
  <c r="GO10" i="4"/>
  <c r="AY12" i="4"/>
  <c r="FO13" i="4"/>
  <c r="AL11" i="4"/>
  <c r="AL12" i="4"/>
  <c r="AL13" i="4"/>
  <c r="AK14" i="4"/>
  <c r="AM11" i="4"/>
  <c r="AM12" i="4"/>
  <c r="AM13" i="4"/>
  <c r="AL14" i="4"/>
  <c r="CS11" i="4"/>
  <c r="CS12" i="4"/>
  <c r="CS13" i="4"/>
  <c r="CR14" i="4"/>
  <c r="AB12" i="4"/>
  <c r="AB13" i="4"/>
  <c r="AA14" i="4"/>
  <c r="AC11" i="4"/>
  <c r="AC12" i="4"/>
  <c r="AC13" i="4"/>
  <c r="AB14" i="4"/>
  <c r="DM13" i="3"/>
  <c r="EI11" i="3"/>
  <c r="EM9" i="3"/>
  <c r="GP7" i="3"/>
  <c r="BQ6" i="3"/>
  <c r="GQ4" i="3"/>
  <c r="EC3" i="3"/>
  <c r="AU14" i="3"/>
  <c r="AJ12" i="3"/>
  <c r="AG10" i="3"/>
  <c r="CW8" i="3"/>
  <c r="GQ6" i="3"/>
  <c r="DI5" i="3"/>
  <c r="AS4" i="3"/>
  <c r="S11" i="3"/>
  <c r="AK9" i="3"/>
  <c r="DT7" i="3"/>
  <c r="Z6" i="3"/>
  <c r="EZ4" i="3"/>
  <c r="CS3" i="3"/>
  <c r="V13" i="3"/>
  <c r="R11" i="3"/>
  <c r="AH9" i="3"/>
  <c r="DQ7" i="3"/>
  <c r="W6" i="3"/>
  <c r="EV4" i="3"/>
  <c r="DH3" i="3"/>
  <c r="BC13" i="3"/>
  <c r="AS11" i="3"/>
  <c r="CI9" i="3"/>
  <c r="FJ7" i="3"/>
  <c r="BK6" i="3"/>
  <c r="GL4" i="3"/>
  <c r="EN3" i="3"/>
  <c r="BZ13" i="3"/>
  <c r="BT11" i="3"/>
  <c r="CH9" i="3"/>
  <c r="FG7" i="3"/>
  <c r="BJ6" i="3"/>
  <c r="FN4" i="3"/>
  <c r="DV3" i="3"/>
  <c r="F14" i="3"/>
  <c r="C12" i="3"/>
  <c r="W10" i="3"/>
  <c r="BP8" i="3"/>
  <c r="FN6" i="3"/>
  <c r="BJ5" i="3"/>
  <c r="C4" i="3"/>
  <c r="BV13" i="3"/>
  <c r="BL11" i="3"/>
  <c r="BY9" i="3"/>
  <c r="EI7" i="3"/>
  <c r="AN6" i="3"/>
  <c r="DY4" i="3"/>
  <c r="CN3" i="3"/>
  <c r="FE3" i="3"/>
  <c r="GF4" i="3"/>
  <c r="BB6" i="3"/>
  <c r="DZ7" i="3"/>
  <c r="AI9" i="3"/>
  <c r="EM10" i="3"/>
  <c r="CK12" i="3"/>
  <c r="CL3" i="3"/>
  <c r="DA4" i="3"/>
  <c r="FB5" i="3"/>
  <c r="M7" i="3"/>
  <c r="CS8" i="3"/>
  <c r="C10" i="3"/>
  <c r="DZ11" i="3"/>
  <c r="BX13" i="3"/>
  <c r="BM10" i="3"/>
  <c r="BM11" i="3"/>
  <c r="BM12" i="3"/>
  <c r="BM13" i="3"/>
  <c r="BL14" i="3"/>
  <c r="X5" i="3"/>
  <c r="X6" i="3"/>
  <c r="X7" i="3"/>
  <c r="X8" i="3"/>
  <c r="X9" i="3"/>
  <c r="X10" i="3"/>
  <c r="X11" i="3"/>
  <c r="X12" i="3"/>
  <c r="X13" i="3"/>
  <c r="W14" i="3"/>
  <c r="CQ4" i="3"/>
  <c r="CQ5" i="3"/>
  <c r="CQ6" i="3"/>
  <c r="CQ7" i="3"/>
  <c r="CQ8" i="3"/>
  <c r="CQ9" i="3"/>
  <c r="CQ10" i="3"/>
  <c r="CQ11" i="3"/>
  <c r="CQ12" i="3"/>
  <c r="CQ13" i="3"/>
  <c r="CP14" i="3"/>
  <c r="K14" i="3"/>
  <c r="EJ3" i="3"/>
  <c r="EJ4" i="3"/>
  <c r="EJ5" i="3"/>
  <c r="EJ6" i="3"/>
  <c r="EJ7" i="3"/>
  <c r="EJ8" i="3"/>
  <c r="EJ9" i="3"/>
  <c r="EJ10" i="3"/>
  <c r="EJ11" i="3"/>
  <c r="EJ12" i="3"/>
  <c r="EJ13" i="3"/>
  <c r="EI14" i="3"/>
  <c r="BS7" i="3"/>
  <c r="BS8" i="3"/>
  <c r="BS9" i="3"/>
  <c r="BS10" i="3"/>
  <c r="BS11" i="3"/>
  <c r="BS12" i="3"/>
  <c r="BS13" i="3"/>
  <c r="BR14" i="3"/>
  <c r="GR12" i="3"/>
  <c r="GV14" i="3"/>
  <c r="GY6" i="3"/>
  <c r="BJ12" i="4"/>
  <c r="AB9" i="4"/>
  <c r="V3" i="4"/>
  <c r="V4" i="4"/>
  <c r="V5" i="4"/>
  <c r="V6" i="4"/>
  <c r="V7" i="4"/>
  <c r="V8" i="4"/>
  <c r="AJ9" i="4"/>
  <c r="BC10" i="4"/>
  <c r="FF11" i="4"/>
  <c r="W3" i="4"/>
  <c r="W4" i="4"/>
  <c r="W5" i="4"/>
  <c r="W6" i="4"/>
  <c r="W7" i="4"/>
  <c r="W8" i="4"/>
  <c r="AK9" i="4"/>
  <c r="BF10" i="4"/>
  <c r="FG11" i="4"/>
  <c r="X3" i="4"/>
  <c r="X4" i="4"/>
  <c r="X5" i="4"/>
  <c r="X6" i="4"/>
  <c r="X7" i="4"/>
  <c r="X8" i="4"/>
  <c r="AL9" i="4"/>
  <c r="BG10" i="4"/>
  <c r="FT11" i="4"/>
  <c r="K3" i="4"/>
  <c r="K4" i="4"/>
  <c r="K5" i="4"/>
  <c r="K6" i="4"/>
  <c r="K7" i="4"/>
  <c r="K8" i="4"/>
  <c r="X9" i="4"/>
  <c r="AR10" i="4"/>
  <c r="GA14" i="4"/>
  <c r="GL3" i="4"/>
  <c r="GL4" i="4"/>
  <c r="GL5" i="4"/>
  <c r="GL6" i="4"/>
  <c r="GL7" i="4"/>
  <c r="J9" i="4"/>
  <c r="AA10" i="4"/>
  <c r="EH11" i="4"/>
  <c r="M3" i="4"/>
  <c r="M4" i="4"/>
  <c r="M5" i="4"/>
  <c r="M6" i="4"/>
  <c r="M7" i="4"/>
  <c r="M8" i="4"/>
  <c r="Z9" i="4"/>
  <c r="AT10" i="4"/>
  <c r="GB11" i="4"/>
  <c r="AB3" i="4"/>
  <c r="AB4" i="4"/>
  <c r="AB5" i="4"/>
  <c r="AB6" i="4"/>
  <c r="AB7" i="4"/>
  <c r="AB8" i="4"/>
  <c r="BK10" i="4"/>
  <c r="R12" i="4"/>
  <c r="ES12" i="4"/>
  <c r="BF14" i="4"/>
  <c r="DC12" i="4"/>
  <c r="P14" i="4"/>
  <c r="GG11" i="4"/>
  <c r="BW13" i="4"/>
  <c r="GG14" i="4"/>
  <c r="FO11" i="4"/>
  <c r="BX13" i="4"/>
  <c r="GH14" i="4"/>
  <c r="AV12" i="4"/>
  <c r="FG13" i="4"/>
  <c r="AY11" i="4"/>
  <c r="BK14" i="4"/>
  <c r="DH10" i="4"/>
  <c r="EV11" i="4"/>
  <c r="BH13" i="4"/>
  <c r="EY14" i="4"/>
  <c r="O9" i="4"/>
  <c r="O10" i="4"/>
  <c r="B11" i="4"/>
  <c r="BW12" i="4"/>
  <c r="GH13" i="4"/>
  <c r="AZ11" i="4"/>
  <c r="AZ12" i="4"/>
  <c r="AZ13" i="4"/>
  <c r="AY14" i="4"/>
  <c r="BA11" i="4"/>
  <c r="BA12" i="4"/>
  <c r="BA13" i="4"/>
  <c r="AZ14" i="4"/>
  <c r="DG11" i="4"/>
  <c r="DG12" i="4"/>
  <c r="DG13" i="4"/>
  <c r="DF14" i="4"/>
  <c r="AO14" i="4"/>
  <c r="AQ11" i="4"/>
  <c r="AQ12" i="4"/>
  <c r="AQ13" i="4"/>
  <c r="CK13" i="3"/>
  <c r="DG11" i="3"/>
  <c r="DM9" i="3"/>
  <c r="FR7" i="3"/>
  <c r="AV6" i="3"/>
  <c r="FU4" i="3"/>
  <c r="DK3" i="3"/>
  <c r="S14" i="3"/>
  <c r="H12" i="3"/>
  <c r="G10" i="3"/>
  <c r="BW8" i="3"/>
  <c r="FS6" i="3"/>
  <c r="CM5" i="3"/>
  <c r="Y4" i="3"/>
  <c r="GR5" i="3"/>
  <c r="HA13" i="3"/>
  <c r="GV13" i="3"/>
  <c r="GV11" i="3"/>
  <c r="HA6" i="3"/>
  <c r="GT7" i="3"/>
  <c r="GW6" i="3"/>
  <c r="GR11" i="3"/>
  <c r="GW8" i="3"/>
  <c r="GV6" i="3"/>
  <c r="GR4" i="3"/>
  <c r="HA3" i="3"/>
  <c r="GV8" i="3"/>
  <c r="GW3" i="3"/>
  <c r="GV3" i="3"/>
  <c r="GR14" i="3"/>
  <c r="GR9" i="3"/>
  <c r="GV5" i="3"/>
  <c r="HA4" i="3"/>
  <c r="GV4" i="3"/>
  <c r="HC3" i="3"/>
  <c r="FY12" i="3"/>
  <c r="FQ10" i="3"/>
  <c r="I9" i="3"/>
  <c r="CX7" i="3"/>
  <c r="E6" i="3"/>
  <c r="ED4" i="3"/>
  <c r="CC3" i="3"/>
  <c r="GG14" i="3"/>
  <c r="FT12" i="3"/>
  <c r="FP10" i="3"/>
  <c r="H9" i="3"/>
  <c r="CW7" i="3"/>
  <c r="D6" i="3"/>
  <c r="EC4" i="3"/>
  <c r="CR3" i="3"/>
  <c r="U13" i="3"/>
  <c r="Q11" i="3"/>
  <c r="BI9" i="3"/>
  <c r="EN7" i="3"/>
  <c r="AR6" i="3"/>
  <c r="FQ4" i="3"/>
  <c r="DW3" i="3"/>
  <c r="AV13" i="3"/>
  <c r="AR11" i="3"/>
  <c r="BF9" i="3"/>
  <c r="EM7" i="3"/>
  <c r="AQ6" i="3"/>
  <c r="ES4" i="3"/>
  <c r="DF3" i="3"/>
  <c r="GG13" i="3"/>
  <c r="GC11" i="3"/>
  <c r="GB9" i="3"/>
  <c r="AT8" i="3"/>
  <c r="EP6" i="3"/>
  <c r="AQ5" i="3"/>
  <c r="GM3" i="3"/>
  <c r="AT13" i="3"/>
  <c r="AJ11" i="3"/>
  <c r="AY9" i="3"/>
  <c r="DM7" i="3"/>
  <c r="Q6" i="3"/>
  <c r="DF4" i="3"/>
  <c r="BV3" i="3"/>
  <c r="FD14" i="3"/>
  <c r="FT3" i="3"/>
  <c r="O5" i="3"/>
  <c r="BT6" i="3"/>
  <c r="ER7" i="3"/>
  <c r="BG9" i="3"/>
  <c r="FK10" i="3"/>
  <c r="DK12" i="3"/>
  <c r="AH14" i="3"/>
  <c r="CZ3" i="3"/>
  <c r="DQ4" i="3"/>
  <c r="FS5" i="3"/>
  <c r="AG7" i="3"/>
  <c r="DM8" i="3"/>
  <c r="V10" i="3"/>
  <c r="EZ11" i="3"/>
  <c r="CX13" i="3"/>
  <c r="CA10" i="3"/>
  <c r="CA11" i="3"/>
  <c r="CA12" i="3"/>
  <c r="CA13" i="3"/>
  <c r="BZ14" i="3"/>
  <c r="AL5" i="3"/>
  <c r="AL6" i="3"/>
  <c r="AL7" i="3"/>
  <c r="AL8" i="3"/>
  <c r="AL9" i="3"/>
  <c r="AL10" i="3"/>
  <c r="AL11" i="3"/>
  <c r="AL12" i="3"/>
  <c r="AL13" i="3"/>
  <c r="AK14" i="3"/>
  <c r="DE4" i="3"/>
  <c r="DE5" i="3"/>
  <c r="DE6" i="3"/>
  <c r="DE7" i="3"/>
  <c r="DE8" i="3"/>
  <c r="DE9" i="3"/>
  <c r="DE10" i="3"/>
  <c r="DE11" i="3"/>
  <c r="DE12" i="3"/>
  <c r="DE13" i="3"/>
  <c r="DD14" i="3"/>
  <c r="Z9" i="3"/>
  <c r="Z10" i="3"/>
  <c r="Z11" i="3"/>
  <c r="Z12" i="3"/>
  <c r="Z13" i="3"/>
  <c r="Y14" i="3"/>
  <c r="EX3" i="3"/>
  <c r="EX4" i="3"/>
  <c r="EX5" i="3"/>
  <c r="EX6" i="3"/>
  <c r="EX7" i="3"/>
  <c r="EX8" i="3"/>
  <c r="EX9" i="3"/>
  <c r="EX10" i="3"/>
  <c r="EX11" i="3"/>
  <c r="EX12" i="3"/>
  <c r="EX13" i="3"/>
  <c r="EW14" i="3"/>
  <c r="CG7" i="3"/>
  <c r="CG8" i="3"/>
  <c r="CG9" i="3"/>
  <c r="CG10" i="3"/>
  <c r="CG11" i="3"/>
  <c r="CG12" i="3"/>
  <c r="CG13" i="3"/>
  <c r="GT10" i="3"/>
  <c r="GX4" i="3"/>
  <c r="GY7" i="3"/>
  <c r="GY14" i="3"/>
  <c r="HC7" i="3"/>
  <c r="GT9" i="3"/>
  <c r="GD11" i="4"/>
  <c r="FV8" i="4"/>
  <c r="AJ3" i="4"/>
  <c r="AJ4" i="4"/>
  <c r="AJ5" i="4"/>
  <c r="AJ6" i="4"/>
  <c r="AJ7" i="4"/>
  <c r="AJ8" i="4"/>
  <c r="AY9" i="4"/>
  <c r="BU10" i="4"/>
  <c r="AK3" i="4"/>
  <c r="AK4" i="4"/>
  <c r="AK5" i="4"/>
  <c r="AK6" i="4"/>
  <c r="AK7" i="4"/>
  <c r="AK8" i="4"/>
  <c r="AZ9" i="4"/>
  <c r="BV10" i="4"/>
  <c r="AR12" i="4"/>
  <c r="AL3" i="4"/>
  <c r="AL4" i="4"/>
  <c r="AL5" i="4"/>
  <c r="AL6" i="4"/>
  <c r="AL7" i="4"/>
  <c r="AL8" i="4"/>
  <c r="BA9" i="4"/>
  <c r="BW10" i="4"/>
  <c r="Y3" i="4"/>
  <c r="Y4" i="4"/>
  <c r="Y5" i="4"/>
  <c r="Y6" i="4"/>
  <c r="Y7" i="4"/>
  <c r="Y8" i="4"/>
  <c r="AM9" i="4"/>
  <c r="BH10" i="4"/>
  <c r="FU11" i="4"/>
  <c r="L3" i="4"/>
  <c r="L4" i="4"/>
  <c r="L5" i="4"/>
  <c r="L6" i="4"/>
  <c r="L7" i="4"/>
  <c r="L8" i="4"/>
  <c r="Y9" i="4"/>
  <c r="AS10" i="4"/>
  <c r="FX11" i="4"/>
  <c r="AA3" i="4"/>
  <c r="AA4" i="4"/>
  <c r="AA5" i="4"/>
  <c r="AA6" i="4"/>
  <c r="AA7" i="4"/>
  <c r="AA8" i="4"/>
  <c r="AO9" i="4"/>
  <c r="BJ10" i="4"/>
  <c r="Q12" i="4"/>
  <c r="BF9" i="4"/>
  <c r="CA10" i="4"/>
  <c r="BI12" i="4"/>
  <c r="FQ12" i="4"/>
  <c r="BY14" i="4"/>
  <c r="EA12" i="4"/>
  <c r="AI14" i="4"/>
  <c r="CR13" i="4"/>
  <c r="EG10" i="4"/>
  <c r="GH11" i="4"/>
  <c r="CV13" i="4"/>
  <c r="GL10" i="4"/>
  <c r="BT12" i="4"/>
  <c r="GE13" i="4"/>
  <c r="BT11" i="4"/>
  <c r="FC12" i="4"/>
  <c r="CI14" i="4"/>
  <c r="DV10" i="4"/>
  <c r="FR11" i="4"/>
  <c r="CA13" i="4"/>
  <c r="FR14" i="4"/>
  <c r="AC9" i="4"/>
  <c r="AC10" i="4"/>
  <c r="S11" i="4"/>
  <c r="CR12" i="4"/>
  <c r="BN11" i="4"/>
  <c r="BN12" i="4"/>
  <c r="BN13" i="4"/>
  <c r="BM14" i="4"/>
  <c r="BO11" i="4"/>
  <c r="BO12" i="4"/>
  <c r="BO13" i="4"/>
  <c r="BN14" i="4"/>
  <c r="DU11" i="4"/>
  <c r="DU12" i="4"/>
  <c r="DU13" i="4"/>
  <c r="DT14" i="4"/>
  <c r="BD12" i="4"/>
  <c r="BD13" i="4"/>
  <c r="BC14" i="4"/>
  <c r="BE11" i="4"/>
  <c r="BE12" i="4"/>
  <c r="BE13" i="4"/>
  <c r="BD14" i="4"/>
  <c r="BI13" i="3"/>
  <c r="CE11" i="3"/>
  <c r="CM9" i="3"/>
  <c r="EV7" i="3"/>
  <c r="AC6" i="3"/>
  <c r="FB4" i="3"/>
  <c r="CU3" i="3"/>
  <c r="FP13" i="3"/>
  <c r="GH11" i="3"/>
  <c r="GI9" i="3"/>
  <c r="AY8" i="3"/>
  <c r="EW6" i="3"/>
  <c r="BT5" i="3"/>
  <c r="H4" i="3"/>
  <c r="GL14" i="3"/>
  <c r="EW12" i="3"/>
  <c r="EO10" i="3"/>
  <c r="GP8" i="3"/>
  <c r="BZ7" i="3"/>
  <c r="GM5" i="3"/>
  <c r="DL4" i="3"/>
  <c r="BM3" i="3"/>
  <c r="FA14" i="3"/>
  <c r="ER12" i="3"/>
  <c r="EL10" i="3"/>
  <c r="GM8" i="3"/>
  <c r="BY7" i="3"/>
  <c r="GH5" i="3"/>
  <c r="DK4" i="3"/>
  <c r="CB3" i="3"/>
  <c r="GF14" i="3"/>
  <c r="FS12" i="3"/>
  <c r="GQ10" i="3"/>
  <c r="AG9" i="3"/>
  <c r="DP7" i="3"/>
  <c r="V6" i="3"/>
  <c r="ET4" i="3"/>
  <c r="DG3" i="3"/>
  <c r="T13" i="3"/>
  <c r="P11" i="3"/>
  <c r="AF9" i="3"/>
  <c r="DO7" i="3"/>
  <c r="U6" i="3"/>
  <c r="EA4" i="3"/>
  <c r="CP3" i="3"/>
  <c r="FE13" i="3"/>
  <c r="FA11" i="3"/>
  <c r="FB9" i="3"/>
  <c r="V8" i="3"/>
  <c r="DQ6" i="3"/>
  <c r="U5" i="3"/>
  <c r="FV3" i="3"/>
  <c r="FO14" i="3"/>
  <c r="CL14" i="3"/>
  <c r="AD14" i="3"/>
  <c r="FY13" i="3"/>
  <c r="CY13" i="3"/>
  <c r="GG12" i="3"/>
  <c r="DG12" i="3"/>
  <c r="AW12" i="3"/>
  <c r="GQ11" i="3"/>
  <c r="DO11" i="3"/>
  <c r="BI11" i="3"/>
  <c r="EA10" i="3"/>
  <c r="BU10" i="3"/>
  <c r="M10" i="3"/>
  <c r="EZ9" i="3"/>
  <c r="CV9" i="3"/>
  <c r="AT9" i="3"/>
  <c r="GE8" i="3"/>
  <c r="EA8" i="3"/>
  <c r="CD8" i="3"/>
  <c r="T8" i="3"/>
  <c r="FX7" i="3"/>
  <c r="EB7" i="3"/>
  <c r="BP7" i="3"/>
  <c r="T7" i="3"/>
  <c r="FX6" i="3"/>
  <c r="DO6" i="3"/>
  <c r="BX6" i="3"/>
  <c r="AE6" i="3"/>
  <c r="GC5" i="3"/>
  <c r="EL5" i="3"/>
  <c r="CR5" i="3"/>
  <c r="AN5" i="3"/>
  <c r="FD4" i="3"/>
  <c r="DD4" i="3"/>
  <c r="BO4" i="3"/>
  <c r="AE4" i="3"/>
  <c r="GK3" i="3"/>
  <c r="EY3" i="3"/>
  <c r="DO3" i="3"/>
  <c r="BU3" i="3"/>
  <c r="AM3" i="3"/>
  <c r="C3" i="3"/>
  <c r="FN14" i="3"/>
  <c r="CK14" i="3"/>
  <c r="AC14" i="3"/>
  <c r="FT13" i="3"/>
  <c r="CV13" i="3"/>
  <c r="AJ13" i="3"/>
  <c r="GD12" i="3"/>
  <c r="DB12" i="3"/>
  <c r="AV12" i="3"/>
  <c r="GP11" i="3"/>
  <c r="DN11" i="3"/>
  <c r="BH11" i="3"/>
  <c r="DZ10" i="3"/>
  <c r="BL10" i="3"/>
  <c r="I10" i="3"/>
  <c r="EW9" i="3"/>
  <c r="CS9" i="3"/>
  <c r="AS9" i="3"/>
  <c r="GD8" i="3"/>
  <c r="DZ8" i="3"/>
  <c r="CA8" i="3"/>
  <c r="Q8" i="3"/>
  <c r="FU7" i="3"/>
  <c r="DY7" i="3"/>
  <c r="BM7" i="3"/>
  <c r="S7" i="3"/>
  <c r="FU6" i="3"/>
  <c r="DN6" i="3"/>
  <c r="BW6" i="3"/>
  <c r="AD6" i="3"/>
  <c r="GB5" i="3"/>
  <c r="EH5" i="3"/>
  <c r="CO5" i="3"/>
  <c r="AK5" i="3"/>
  <c r="FC4" i="3"/>
  <c r="DC4" i="3"/>
  <c r="BN4" i="3"/>
  <c r="AD4" i="3"/>
  <c r="GH3" i="3"/>
  <c r="EW3" i="3"/>
  <c r="DL3" i="3"/>
  <c r="BT3" i="3"/>
  <c r="AL3" i="3"/>
  <c r="B3" i="3"/>
  <c r="EP14" i="3"/>
  <c r="CJ14" i="3"/>
  <c r="Z14" i="3"/>
  <c r="FC13" i="3"/>
  <c r="CS13" i="3"/>
  <c r="AI13" i="3"/>
  <c r="FO12" i="3"/>
  <c r="DA12" i="3"/>
  <c r="AU12" i="3"/>
  <c r="FY11" i="3"/>
  <c r="DM11" i="3"/>
  <c r="BG11" i="3"/>
  <c r="GE10" i="3"/>
  <c r="DY10" i="3"/>
  <c r="BK10" i="3"/>
  <c r="ES9" i="3"/>
  <c r="CO9" i="3"/>
  <c r="AA9" i="3"/>
  <c r="GC8" i="3"/>
  <c r="DY8" i="3"/>
  <c r="BL8" i="3"/>
  <c r="P8" i="3"/>
  <c r="FT7" i="3"/>
  <c r="DL7" i="3"/>
  <c r="BL7" i="3"/>
  <c r="R7" i="3"/>
  <c r="FJ6" i="3"/>
  <c r="DM6" i="3"/>
  <c r="BV6" i="3"/>
  <c r="P6" i="3"/>
  <c r="GA5" i="3"/>
  <c r="EO14" i="3"/>
  <c r="CG14" i="3"/>
  <c r="U14" i="3"/>
  <c r="FB13" i="3"/>
  <c r="CN13" i="3"/>
  <c r="AH13" i="3"/>
  <c r="FN12" i="3"/>
  <c r="CZ12" i="3"/>
  <c r="AT12" i="3"/>
  <c r="FR11" i="3"/>
  <c r="DL11" i="3"/>
  <c r="AX11" i="3"/>
  <c r="GD10" i="3"/>
  <c r="DX10" i="3"/>
  <c r="BJ10" i="3"/>
  <c r="ER9" i="3"/>
  <c r="CN9" i="3"/>
  <c r="W9" i="3"/>
  <c r="FU8" i="3"/>
  <c r="DX8" i="3"/>
  <c r="BK8" i="3"/>
  <c r="M8" i="3"/>
  <c r="FS7" i="3"/>
  <c r="DK7" i="3"/>
  <c r="BK7" i="3"/>
  <c r="EN14" i="3"/>
  <c r="CD14" i="3"/>
  <c r="D14" i="3"/>
  <c r="FA13" i="3"/>
  <c r="CM13" i="3"/>
  <c r="Q13" i="3"/>
  <c r="FK12" i="3"/>
  <c r="CY12" i="3"/>
  <c r="AA12" i="3"/>
  <c r="FQ11" i="3"/>
  <c r="DK11" i="3"/>
  <c r="AI11" i="3"/>
  <c r="GC10" i="3"/>
  <c r="DU10" i="3"/>
  <c r="AU10" i="3"/>
  <c r="EQ9" i="3"/>
  <c r="BX9" i="3"/>
  <c r="V9" i="3"/>
  <c r="FT8" i="3"/>
  <c r="DF8" i="3"/>
  <c r="BJ8" i="3"/>
  <c r="FD7" i="3"/>
  <c r="DJ7" i="3"/>
  <c r="BJ7" i="3"/>
  <c r="B7" i="3"/>
  <c r="FD6" i="3"/>
  <c r="DK6" i="3"/>
  <c r="BG6" i="3"/>
  <c r="M6" i="3"/>
  <c r="FX5" i="3"/>
  <c r="DT5" i="3"/>
  <c r="BY5" i="3"/>
  <c r="AH5" i="3"/>
  <c r="GD4" i="3"/>
  <c r="EN4" i="3"/>
  <c r="CX4" i="3"/>
  <c r="AZ4" i="3"/>
  <c r="P4" i="3"/>
  <c r="GE3" i="3"/>
  <c r="EI3" i="3"/>
  <c r="DA3" i="3"/>
  <c r="BQ3" i="3"/>
  <c r="Y3" i="3"/>
  <c r="EM14" i="3"/>
  <c r="BY14" i="3"/>
  <c r="C14" i="3"/>
  <c r="EL14" i="3"/>
  <c r="BJ14" i="3"/>
  <c r="B14" i="3"/>
  <c r="EW13" i="3"/>
  <c r="BU13" i="3"/>
  <c r="M13" i="3"/>
  <c r="FC12" i="3"/>
  <c r="CE12" i="3"/>
  <c r="U12" i="3"/>
  <c r="FO11" i="3"/>
  <c r="CM11" i="3"/>
  <c r="AG11" i="3"/>
  <c r="FY10" i="3"/>
  <c r="CY10" i="3"/>
  <c r="GQ9" i="3"/>
  <c r="DZ9" i="3"/>
  <c r="BV9" i="3"/>
  <c r="T9" i="3"/>
  <c r="FE8" i="3"/>
  <c r="DB8" i="3"/>
  <c r="BH8" i="3"/>
  <c r="FB7" i="3"/>
  <c r="DB7" i="3"/>
  <c r="AT7" i="3"/>
  <c r="FB6" i="3"/>
  <c r="CV6" i="3"/>
  <c r="BE6" i="3"/>
  <c r="I6" i="3"/>
  <c r="FG5" i="3"/>
  <c r="DN5" i="3"/>
  <c r="BW5" i="3"/>
  <c r="S5" i="3"/>
  <c r="GB4" i="3"/>
  <c r="EL4" i="3"/>
  <c r="CL4" i="3"/>
  <c r="AX4" i="3"/>
  <c r="M4" i="3"/>
  <c r="FR3" i="3"/>
  <c r="EG3" i="3"/>
  <c r="CW3" i="3"/>
  <c r="BE3" i="3"/>
  <c r="W3" i="3"/>
  <c r="FS14" i="3"/>
  <c r="DL14" i="3"/>
  <c r="BB14" i="3"/>
  <c r="GE13" i="3"/>
  <c r="DY13" i="3"/>
  <c r="BK13" i="3"/>
  <c r="GQ12" i="3"/>
  <c r="EC12" i="3"/>
  <c r="BW12" i="3"/>
  <c r="EO11" i="3"/>
  <c r="CI11" i="3"/>
  <c r="G11" i="3"/>
  <c r="FA10" i="3"/>
  <c r="CS10" i="3"/>
  <c r="S10" i="3"/>
  <c r="FS9" i="3"/>
  <c r="DO9" i="3"/>
  <c r="AX9" i="3"/>
  <c r="EW8" i="3"/>
  <c r="CJ8" i="3"/>
  <c r="AN8" i="3"/>
  <c r="EH7" i="3"/>
  <c r="CJ7" i="3"/>
  <c r="AN7" i="3"/>
  <c r="GF6" i="3"/>
  <c r="EH6" i="3"/>
  <c r="CO6" i="3"/>
  <c r="AK6" i="3"/>
  <c r="FC5" i="3"/>
  <c r="CW5" i="3"/>
  <c r="BF5" i="3"/>
  <c r="FJ4" i="3"/>
  <c r="DU4" i="3"/>
  <c r="CE4" i="3"/>
  <c r="AI4" i="3"/>
  <c r="FN3" i="3"/>
  <c r="DS3" i="3"/>
  <c r="CI3" i="3"/>
  <c r="BA3" i="3"/>
  <c r="I3" i="3"/>
  <c r="GQ14" i="3"/>
  <c r="AF14" i="3"/>
  <c r="DN13" i="3"/>
  <c r="GM12" i="3"/>
  <c r="BC12" i="3"/>
  <c r="EM11" i="3"/>
  <c r="C11" i="3"/>
  <c r="BW10" i="3"/>
  <c r="FT9" i="3"/>
  <c r="BQ9" i="3"/>
  <c r="EZ8" i="3"/>
  <c r="EZ7" i="3"/>
  <c r="AR7" i="3"/>
  <c r="FC6" i="3"/>
  <c r="BY6" i="3"/>
  <c r="DM5" i="3"/>
  <c r="BB5" i="3"/>
  <c r="GA4" i="3"/>
  <c r="DO4" i="3"/>
  <c r="AV4" i="3"/>
  <c r="GG3" i="3"/>
  <c r="ED3" i="3"/>
  <c r="BR3" i="3"/>
  <c r="H3" i="3"/>
  <c r="FR14" i="3"/>
  <c r="AE14" i="3"/>
  <c r="CL13" i="3"/>
  <c r="GH12" i="3"/>
  <c r="AX12" i="3"/>
  <c r="EL11" i="3"/>
  <c r="B11" i="3"/>
  <c r="BV10" i="3"/>
  <c r="FR9" i="3"/>
  <c r="AW9" i="3"/>
  <c r="ES8" i="3"/>
  <c r="AI8" i="3"/>
  <c r="EW7" i="3"/>
  <c r="FA6" i="3"/>
  <c r="BS6" i="3"/>
  <c r="DL5" i="3"/>
  <c r="AJ5" i="3"/>
  <c r="FY4" i="3"/>
  <c r="DB4" i="3"/>
  <c r="AU4" i="3"/>
  <c r="GF3" i="3"/>
  <c r="DR3" i="3"/>
  <c r="BP3" i="3"/>
  <c r="G3" i="3"/>
  <c r="FQ14" i="3"/>
  <c r="BT13" i="3"/>
  <c r="FD12" i="3"/>
  <c r="V12" i="3"/>
  <c r="DJ11" i="3"/>
  <c r="GB10" i="3"/>
  <c r="AR10" i="3"/>
  <c r="FQ9" i="3"/>
  <c r="AV9" i="3"/>
  <c r="EC8" i="3"/>
  <c r="AH8" i="3"/>
  <c r="EE7" i="3"/>
  <c r="AK7" i="3"/>
  <c r="EL6" i="3"/>
  <c r="BF6" i="3"/>
  <c r="GQ5" i="3"/>
  <c r="DK5" i="3"/>
  <c r="AI5" i="3"/>
  <c r="FX4" i="3"/>
  <c r="CY4" i="3"/>
  <c r="FP14" i="3"/>
  <c r="BQ13" i="3"/>
  <c r="FB12" i="3"/>
  <c r="T12" i="3"/>
  <c r="CL11" i="3"/>
  <c r="FT10" i="3"/>
  <c r="FP9" i="3"/>
  <c r="AU9" i="3"/>
  <c r="EB8" i="3"/>
  <c r="AG8" i="3"/>
  <c r="ED7" i="3"/>
  <c r="V7" i="3"/>
  <c r="EI6" i="3"/>
  <c r="AY6" i="3"/>
  <c r="FY5" i="3"/>
  <c r="CV5" i="3"/>
  <c r="AE5" i="3"/>
  <c r="FG4" i="3"/>
  <c r="CW4" i="3"/>
  <c r="AG4" i="3"/>
  <c r="FQ3" i="3"/>
  <c r="DP3" i="3"/>
  <c r="BC3" i="3"/>
  <c r="EK14" i="3"/>
  <c r="BL13" i="3"/>
  <c r="EM12" i="3"/>
  <c r="S12" i="3"/>
  <c r="CK11" i="3"/>
  <c r="FC10" i="3"/>
  <c r="AK10" i="3"/>
  <c r="EN9" i="3"/>
  <c r="U9" i="3"/>
  <c r="DC8" i="3"/>
  <c r="EC7" i="3"/>
  <c r="U7" i="3"/>
  <c r="EE6" i="3"/>
  <c r="AX6" i="3"/>
  <c r="FU5" i="3"/>
  <c r="CU5" i="3"/>
  <c r="R5" i="3"/>
  <c r="FF4" i="3"/>
  <c r="CI4" i="3"/>
  <c r="AF4" i="3"/>
  <c r="FP3" i="3"/>
  <c r="DC3" i="3"/>
  <c r="BB3" i="3"/>
  <c r="DN14" i="3"/>
  <c r="GD13" i="3"/>
  <c r="BJ13" i="3"/>
  <c r="ED12" i="3"/>
  <c r="P12" i="3"/>
  <c r="CJ11" i="3"/>
  <c r="FB10" i="3"/>
  <c r="AJ10" i="3"/>
  <c r="DY9" i="3"/>
  <c r="S9" i="3"/>
  <c r="DA8" i="3"/>
  <c r="I8" i="3"/>
  <c r="DC7" i="3"/>
  <c r="Q7" i="3"/>
  <c r="ED6" i="3"/>
  <c r="AW6" i="3"/>
  <c r="FF5" i="3"/>
  <c r="CS5" i="3"/>
  <c r="Q5" i="3"/>
  <c r="FE4" i="3"/>
  <c r="CH4" i="3"/>
  <c r="R4" i="3"/>
  <c r="FO3" i="3"/>
  <c r="DB3" i="3"/>
  <c r="AZ3" i="3"/>
  <c r="DM14" i="3"/>
  <c r="GC13" i="3"/>
  <c r="AS13" i="3"/>
  <c r="EB12" i="3"/>
  <c r="CH11" i="3"/>
  <c r="EZ10" i="3"/>
  <c r="AI10" i="3"/>
  <c r="DX9" i="3"/>
  <c r="C9" i="3"/>
  <c r="CZ8" i="3"/>
  <c r="DA7" i="3"/>
  <c r="EC6" i="3"/>
  <c r="AH6" i="3"/>
  <c r="FE5" i="3"/>
  <c r="CA5" i="3"/>
  <c r="M5" i="3"/>
  <c r="EP4" i="3"/>
  <c r="CG4" i="3"/>
  <c r="Q4" i="3"/>
  <c r="FM3" i="3"/>
  <c r="CX3" i="3"/>
  <c r="DK14" i="3"/>
  <c r="GB13" i="3"/>
  <c r="AR13" i="3"/>
  <c r="EA12" i="3"/>
  <c r="BK11" i="3"/>
  <c r="EW10" i="3"/>
  <c r="R10" i="3"/>
  <c r="DP9" i="3"/>
  <c r="B9" i="3"/>
  <c r="CY8" i="3"/>
  <c r="CN7" i="3"/>
  <c r="DL6" i="3"/>
  <c r="AG6" i="3"/>
  <c r="FD5" i="3"/>
  <c r="BZ5" i="3"/>
  <c r="EO4" i="3"/>
  <c r="CD4" i="3"/>
  <c r="O4" i="3"/>
  <c r="FA3" i="3"/>
  <c r="CV3" i="3"/>
  <c r="AN3" i="3"/>
  <c r="DJ14" i="3"/>
  <c r="EZ13" i="3"/>
  <c r="DZ12" i="3"/>
  <c r="BJ11" i="3"/>
  <c r="ER10" i="3"/>
  <c r="Q10" i="3"/>
  <c r="DN9" i="3"/>
  <c r="CI8" i="3"/>
  <c r="CK7" i="3"/>
  <c r="DJ6" i="3"/>
  <c r="AF6" i="3"/>
  <c r="EZ5" i="3"/>
  <c r="BX5" i="3"/>
  <c r="I5" i="3"/>
  <c r="EM4" i="3"/>
  <c r="BQ4" i="3"/>
  <c r="J4" i="3"/>
  <c r="EZ3" i="3"/>
  <c r="CM3" i="3"/>
  <c r="AK3" i="3"/>
  <c r="EP13" i="3"/>
  <c r="BX12" i="3"/>
  <c r="CX10" i="3"/>
  <c r="BT9" i="3"/>
  <c r="GD6" i="3"/>
  <c r="EN5" i="3"/>
  <c r="CF3" i="3"/>
  <c r="EA13" i="3"/>
  <c r="BV12" i="3"/>
  <c r="CW10" i="3"/>
  <c r="GQ7" i="3"/>
  <c r="FY6" i="3"/>
  <c r="EM5" i="3"/>
  <c r="GC4" i="3"/>
  <c r="BS3" i="3"/>
  <c r="DZ13" i="3"/>
  <c r="CV10" i="3"/>
  <c r="GB7" i="3"/>
  <c r="FE6" i="3"/>
  <c r="EE5" i="3"/>
  <c r="EK4" i="3"/>
  <c r="BD3" i="3"/>
  <c r="DP13" i="3"/>
  <c r="FP11" i="3"/>
  <c r="CL10" i="3"/>
  <c r="FS8" i="3"/>
  <c r="FY7" i="3"/>
  <c r="CU6" i="3"/>
  <c r="ED5" i="3"/>
  <c r="DX4" i="3"/>
  <c r="DO13" i="3"/>
  <c r="FN11" i="3"/>
  <c r="FB8" i="3"/>
  <c r="FC7" i="3"/>
  <c r="CS6" i="3"/>
  <c r="DO5" i="3"/>
  <c r="DW4" i="3"/>
  <c r="GD3" i="3"/>
  <c r="AJ3" i="3"/>
  <c r="EQ11" i="3"/>
  <c r="P10" i="3"/>
  <c r="FA8" i="3"/>
  <c r="FA7" i="3"/>
  <c r="CR6" i="3"/>
  <c r="BV5" i="3"/>
  <c r="DT4" i="3"/>
  <c r="EV3" i="3"/>
  <c r="X3" i="3"/>
  <c r="P13" i="3"/>
  <c r="EP11" i="3"/>
  <c r="CH8" i="3"/>
  <c r="CI7" i="3"/>
  <c r="CN6" i="3"/>
  <c r="BH5" i="3"/>
  <c r="DR4" i="3"/>
  <c r="EU3" i="3"/>
  <c r="V3" i="3"/>
  <c r="H13" i="3"/>
  <c r="EN11" i="3"/>
  <c r="CE8" i="3"/>
  <c r="CH7" i="3"/>
  <c r="BZ6" i="3"/>
  <c r="BG5" i="3"/>
  <c r="BP4" i="3"/>
  <c r="EH3" i="3"/>
  <c r="U3" i="3"/>
  <c r="DA14" i="3"/>
  <c r="G13" i="3"/>
  <c r="AH11" i="3"/>
  <c r="GP9" i="3"/>
  <c r="BI8" i="3"/>
  <c r="CE7" i="3"/>
  <c r="O6" i="3"/>
  <c r="BE5" i="3"/>
  <c r="BM4" i="3"/>
  <c r="EF3" i="3"/>
  <c r="R3" i="3"/>
  <c r="BG14" i="3"/>
  <c r="F13" i="3"/>
  <c r="AD11" i="3"/>
  <c r="FU9" i="3"/>
  <c r="BC8" i="3"/>
  <c r="BI7" i="3"/>
  <c r="BC5" i="3"/>
  <c r="BL4" i="3"/>
  <c r="EE3" i="3"/>
  <c r="D3" i="3"/>
  <c r="BF14" i="3"/>
  <c r="GP12" i="3"/>
  <c r="AA11" i="3"/>
  <c r="CZ9" i="3"/>
  <c r="AR8" i="3"/>
  <c r="AS7" i="3"/>
  <c r="H6" i="3"/>
  <c r="AY4" i="3"/>
  <c r="DQ3" i="3"/>
  <c r="D11" i="3"/>
  <c r="GE6" i="3"/>
  <c r="CH3" i="3"/>
  <c r="DP10" i="3"/>
  <c r="CG3" i="3"/>
  <c r="CW9" i="3"/>
  <c r="BE14" i="3"/>
  <c r="BW9" i="3"/>
  <c r="AW14" i="3"/>
  <c r="BU9" i="3"/>
  <c r="BY12" i="3"/>
  <c r="CX12" i="3"/>
  <c r="BZ12" i="3"/>
  <c r="V11" i="3"/>
  <c r="AW4" i="3"/>
  <c r="AH4" i="3"/>
  <c r="CJ3" i="3"/>
  <c r="R13" i="3"/>
  <c r="H11" i="3"/>
  <c r="AD9" i="3"/>
  <c r="CO7" i="3"/>
  <c r="GD5" i="3"/>
  <c r="CM4" i="3"/>
  <c r="BF3" i="3"/>
  <c r="GD14" i="3"/>
  <c r="GI3" i="3"/>
  <c r="AF5" i="3"/>
  <c r="CK6" i="3"/>
  <c r="FN7" i="3"/>
  <c r="BZ9" i="3"/>
  <c r="GG10" i="3"/>
  <c r="EI12" i="3"/>
  <c r="BH14" i="3"/>
  <c r="DN3" i="3"/>
  <c r="EH4" i="3"/>
  <c r="GL5" i="3"/>
  <c r="AY7" i="3"/>
  <c r="EI8" i="3"/>
  <c r="AT10" i="3"/>
  <c r="FT11" i="3"/>
  <c r="DX13" i="3"/>
  <c r="CO10" i="3"/>
  <c r="CO11" i="3"/>
  <c r="CO12" i="3"/>
  <c r="CO13" i="3"/>
  <c r="CN14" i="3"/>
  <c r="AZ5" i="3"/>
  <c r="AZ6" i="3"/>
  <c r="AZ7" i="3"/>
  <c r="AZ8" i="3"/>
  <c r="AZ9" i="3"/>
  <c r="AZ10" i="3"/>
  <c r="AZ11" i="3"/>
  <c r="AZ12" i="3"/>
  <c r="AZ13" i="3"/>
  <c r="AY14" i="3"/>
  <c r="DS4" i="3"/>
  <c r="DS5" i="3"/>
  <c r="DS6" i="3"/>
  <c r="DS7" i="3"/>
  <c r="DS8" i="3"/>
  <c r="DS9" i="3"/>
  <c r="DS10" i="3"/>
  <c r="DS11" i="3"/>
  <c r="DS12" i="3"/>
  <c r="DS13" i="3"/>
  <c r="DR14" i="3"/>
  <c r="AN9" i="3"/>
  <c r="AN10" i="3"/>
  <c r="AN11" i="3"/>
  <c r="AN12" i="3"/>
  <c r="AN13" i="3"/>
  <c r="AM14" i="3"/>
  <c r="FL3" i="3"/>
  <c r="FL4" i="3"/>
  <c r="FL5" i="3"/>
  <c r="FL6" i="3"/>
  <c r="FL7" i="3"/>
  <c r="FL8" i="3"/>
  <c r="FL9" i="3"/>
  <c r="FL10" i="3"/>
  <c r="FL11" i="3"/>
  <c r="FL12" i="3"/>
  <c r="FL13" i="3"/>
  <c r="FK14" i="3"/>
  <c r="CU7" i="3"/>
  <c r="CU8" i="3"/>
  <c r="CU9" i="3"/>
  <c r="CU10" i="3"/>
  <c r="CU11" i="3"/>
  <c r="CU12" i="3"/>
  <c r="CU13" i="3"/>
  <c r="CT14" i="3"/>
  <c r="GW9" i="3"/>
  <c r="GT13" i="3"/>
  <c r="GY3" i="3"/>
  <c r="GX5" i="3"/>
  <c r="GY8" i="3"/>
  <c r="HC8" i="3"/>
  <c r="HB14" i="4"/>
  <c r="HC13" i="4"/>
  <c r="HC12" i="4"/>
  <c r="HC11" i="4"/>
  <c r="HC10" i="4"/>
  <c r="HA14" i="4"/>
  <c r="HB13" i="4"/>
  <c r="HB12" i="4"/>
  <c r="HB11" i="4"/>
  <c r="GZ14" i="4"/>
  <c r="HA13" i="4"/>
  <c r="HA12" i="4"/>
  <c r="HA11" i="4"/>
  <c r="GX14" i="4"/>
  <c r="GY13" i="4"/>
  <c r="GY12" i="4"/>
  <c r="GY11" i="4"/>
  <c r="GW14" i="4"/>
  <c r="GX13" i="4"/>
  <c r="GX12" i="4"/>
  <c r="GX11" i="4"/>
  <c r="GV12" i="4"/>
  <c r="HC9" i="4"/>
  <c r="HC8" i="4"/>
  <c r="GU12" i="4"/>
  <c r="HB10" i="4"/>
  <c r="GT12" i="4"/>
  <c r="HA10" i="4"/>
  <c r="GZ13" i="4"/>
  <c r="GS12" i="4"/>
  <c r="GZ10" i="4"/>
  <c r="GW13" i="4"/>
  <c r="GR12" i="4"/>
  <c r="GY10" i="4"/>
  <c r="GV13" i="4"/>
  <c r="GU13" i="4"/>
  <c r="HC14" i="4"/>
  <c r="GT13" i="4"/>
  <c r="GR13" i="4"/>
  <c r="GT10" i="4"/>
  <c r="GZ9" i="4"/>
  <c r="GY8" i="4"/>
  <c r="HB7" i="4"/>
  <c r="HB6" i="4"/>
  <c r="HB5" i="4"/>
  <c r="HB4" i="4"/>
  <c r="HB3" i="4"/>
  <c r="GZ12" i="4"/>
  <c r="GS10" i="4"/>
  <c r="GY9" i="4"/>
  <c r="GX8" i="4"/>
  <c r="HA7" i="4"/>
  <c r="HA6" i="4"/>
  <c r="HA5" i="4"/>
  <c r="HA4" i="4"/>
  <c r="HA3" i="4"/>
  <c r="GW12" i="4"/>
  <c r="GR10" i="4"/>
  <c r="GX9" i="4"/>
  <c r="GW8" i="4"/>
  <c r="GZ7" i="4"/>
  <c r="GZ6" i="4"/>
  <c r="GZ5" i="4"/>
  <c r="GZ4" i="4"/>
  <c r="GZ3" i="4"/>
  <c r="GW9" i="4"/>
  <c r="GV8" i="4"/>
  <c r="GY7" i="4"/>
  <c r="GY6" i="4"/>
  <c r="GY5" i="4"/>
  <c r="GY4" i="4"/>
  <c r="GY3" i="4"/>
  <c r="GV9" i="4"/>
  <c r="GU8" i="4"/>
  <c r="GX7" i="4"/>
  <c r="GX6" i="4"/>
  <c r="GX5" i="4"/>
  <c r="GX4" i="4"/>
  <c r="GX3" i="4"/>
  <c r="GZ11" i="4"/>
  <c r="GU9" i="4"/>
  <c r="GT8" i="4"/>
  <c r="GW7" i="4"/>
  <c r="GW6" i="4"/>
  <c r="GW5" i="4"/>
  <c r="GW4" i="4"/>
  <c r="GW3" i="4"/>
  <c r="GW11" i="4"/>
  <c r="GT9" i="4"/>
  <c r="GS8" i="4"/>
  <c r="GV7" i="4"/>
  <c r="GV6" i="4"/>
  <c r="GV5" i="4"/>
  <c r="GV4" i="4"/>
  <c r="GV3" i="4"/>
  <c r="GU10" i="4"/>
  <c r="HA9" i="4"/>
  <c r="GZ8" i="4"/>
  <c r="HC7" i="4"/>
  <c r="HC5" i="4"/>
  <c r="HC3" i="4"/>
  <c r="GS9" i="4"/>
  <c r="GR8" i="4"/>
  <c r="GU7" i="4"/>
  <c r="GU5" i="4"/>
  <c r="GU3" i="4"/>
  <c r="GY14" i="4"/>
  <c r="GR9" i="4"/>
  <c r="GT7" i="4"/>
  <c r="GT5" i="4"/>
  <c r="GT3" i="4"/>
  <c r="GV14" i="4"/>
  <c r="GS7" i="4"/>
  <c r="GS5" i="4"/>
  <c r="GS3" i="4"/>
  <c r="GU14" i="4"/>
  <c r="GR7" i="4"/>
  <c r="GR5" i="4"/>
  <c r="GR3" i="4"/>
  <c r="GS14" i="4"/>
  <c r="GR14" i="4"/>
  <c r="GS13" i="4"/>
  <c r="HC6" i="4"/>
  <c r="HC4" i="4"/>
  <c r="GV10" i="4"/>
  <c r="HB9" i="4"/>
  <c r="HA8" i="4"/>
  <c r="GV11" i="4"/>
  <c r="GU4" i="4"/>
  <c r="GU11" i="4"/>
  <c r="GT4" i="4"/>
  <c r="GT14" i="4"/>
  <c r="GT11" i="4"/>
  <c r="GS4" i="4"/>
  <c r="GS11" i="4"/>
  <c r="HB8" i="4"/>
  <c r="GR4" i="4"/>
  <c r="GR11" i="4"/>
  <c r="GU6" i="4"/>
  <c r="GX10" i="4"/>
  <c r="GT6" i="4"/>
  <c r="GW10" i="4"/>
  <c r="GS6" i="4"/>
  <c r="GR6" i="4"/>
  <c r="DK11" i="4"/>
  <c r="ER8" i="4"/>
  <c r="AX3" i="4"/>
  <c r="AX4" i="4"/>
  <c r="AX5" i="4"/>
  <c r="AX6" i="4"/>
  <c r="AX7" i="4"/>
  <c r="AX8" i="4"/>
  <c r="BN9" i="4"/>
  <c r="CK10" i="4"/>
  <c r="CH12" i="4"/>
  <c r="AY3" i="4"/>
  <c r="AY4" i="4"/>
  <c r="AY5" i="4"/>
  <c r="AY6" i="4"/>
  <c r="AY7" i="4"/>
  <c r="AY8" i="4"/>
  <c r="BO9" i="4"/>
  <c r="CL10" i="4"/>
  <c r="CI12" i="4"/>
  <c r="AZ3" i="4"/>
  <c r="AZ4" i="4"/>
  <c r="AZ5" i="4"/>
  <c r="AZ6" i="4"/>
  <c r="AZ7" i="4"/>
  <c r="AZ8" i="4"/>
  <c r="BP9" i="4"/>
  <c r="CM10" i="4"/>
  <c r="BB12" i="4"/>
  <c r="AM3" i="4"/>
  <c r="AM4" i="4"/>
  <c r="AM5" i="4"/>
  <c r="AM6" i="4"/>
  <c r="AM7" i="4"/>
  <c r="AM8" i="4"/>
  <c r="BB9" i="4"/>
  <c r="BX10" i="4"/>
  <c r="L12" i="4"/>
  <c r="Z3" i="4"/>
  <c r="Z4" i="4"/>
  <c r="Z5" i="4"/>
  <c r="Z6" i="4"/>
  <c r="Z7" i="4"/>
  <c r="Z8" i="4"/>
  <c r="BI10" i="4"/>
  <c r="P12" i="4"/>
  <c r="AO3" i="4"/>
  <c r="AO4" i="4"/>
  <c r="AO5" i="4"/>
  <c r="AO6" i="4"/>
  <c r="AO7" i="4"/>
  <c r="AO8" i="4"/>
  <c r="BD9" i="4"/>
  <c r="BZ10" i="4"/>
  <c r="BH12" i="4"/>
  <c r="BD3" i="4"/>
  <c r="BD4" i="4"/>
  <c r="BD5" i="4"/>
  <c r="BD6" i="4"/>
  <c r="BD7" i="4"/>
  <c r="BD8" i="4"/>
  <c r="BU9" i="4"/>
  <c r="CQ10" i="4"/>
  <c r="CZ12" i="4"/>
  <c r="GL12" i="4"/>
  <c r="CW14" i="4"/>
  <c r="EV12" i="4"/>
  <c r="BG14" i="4"/>
  <c r="V12" i="4"/>
  <c r="DN13" i="4"/>
  <c r="EU10" i="4"/>
  <c r="DO13" i="4"/>
  <c r="P11" i="4"/>
  <c r="CM12" i="4"/>
  <c r="S14" i="4"/>
  <c r="CL11" i="4"/>
  <c r="FX12" i="4"/>
  <c r="DB14" i="4"/>
  <c r="EJ10" i="4"/>
  <c r="GP11" i="4"/>
  <c r="CY13" i="4"/>
  <c r="GP14" i="4"/>
  <c r="AQ9" i="4"/>
  <c r="AQ10" i="4"/>
  <c r="AJ11" i="4"/>
  <c r="DN12" i="4"/>
  <c r="V14" i="4"/>
  <c r="CB11" i="4"/>
  <c r="CB12" i="4"/>
  <c r="CB13" i="4"/>
  <c r="CA14" i="4"/>
  <c r="CC11" i="4"/>
  <c r="CC12" i="4"/>
  <c r="CC13" i="4"/>
  <c r="CB14" i="4"/>
  <c r="EI11" i="4"/>
  <c r="EI12" i="4"/>
  <c r="EI13" i="4"/>
  <c r="EH14" i="4"/>
  <c r="BR12" i="4"/>
  <c r="BR13" i="4"/>
  <c r="BQ14" i="4"/>
  <c r="BS11" i="4"/>
  <c r="BS12" i="4"/>
  <c r="BS13" i="4"/>
  <c r="BR14" i="4"/>
  <c r="AG13" i="3"/>
  <c r="AW11" i="3"/>
  <c r="BM9" i="3"/>
  <c r="DX7" i="3"/>
  <c r="G6" i="3"/>
  <c r="EI4" i="3"/>
  <c r="CE3" i="3"/>
  <c r="EN13" i="3"/>
  <c r="FF11" i="3"/>
  <c r="FG9" i="3"/>
  <c r="EA6" i="3"/>
  <c r="AV5" i="3"/>
  <c r="GB3" i="3"/>
  <c r="FE14" i="3"/>
  <c r="DU12" i="3"/>
  <c r="DK10" i="3"/>
  <c r="FP8" i="3"/>
  <c r="BF7" i="3"/>
  <c r="FP5" i="3"/>
  <c r="CS4" i="3"/>
  <c r="AW3" i="3"/>
  <c r="DY14" i="3"/>
  <c r="DP12" i="3"/>
  <c r="DJ10" i="3"/>
  <c r="BC7" i="3"/>
  <c r="FO5" i="3"/>
  <c r="CR4" i="3"/>
  <c r="BL3" i="3"/>
  <c r="EZ14" i="3"/>
  <c r="EQ12" i="3"/>
  <c r="FO10" i="3"/>
  <c r="G9" i="3"/>
  <c r="CV7" i="3"/>
  <c r="C6" i="3"/>
  <c r="EB4" i="3"/>
  <c r="CQ3" i="3"/>
  <c r="GE14" i="3"/>
  <c r="FR12" i="3"/>
  <c r="GP10" i="3"/>
  <c r="F9" i="3"/>
  <c r="CS7" i="3"/>
  <c r="GF5" i="3"/>
  <c r="DI4" i="3"/>
  <c r="BZ3" i="3"/>
  <c r="EC13" i="3"/>
  <c r="DU11" i="3"/>
  <c r="EB9" i="3"/>
  <c r="CX6" i="3"/>
  <c r="FC3" i="3"/>
  <c r="FX14" i="3"/>
  <c r="FP12" i="3"/>
  <c r="GF10" i="3"/>
  <c r="D9" i="3"/>
  <c r="BQ7" i="3"/>
  <c r="FJ5" i="3"/>
  <c r="BS4" i="3"/>
  <c r="AP3" i="3"/>
  <c r="E3" i="3"/>
  <c r="K4" i="3"/>
  <c r="AW5" i="3"/>
  <c r="DB6" i="3"/>
  <c r="GF7" i="3"/>
  <c r="CX9" i="3"/>
  <c r="E11" i="3"/>
  <c r="FE12" i="3"/>
  <c r="CH14" i="3"/>
  <c r="EB3" i="3"/>
  <c r="EY4" i="3"/>
  <c r="BU7" i="3"/>
  <c r="FD8" i="3"/>
  <c r="BT10" i="3"/>
  <c r="R12" i="3"/>
  <c r="ER13" i="3"/>
  <c r="DC10" i="3"/>
  <c r="DC11" i="3"/>
  <c r="DC12" i="3"/>
  <c r="DC13" i="3"/>
  <c r="DB14" i="3"/>
  <c r="BN5" i="3"/>
  <c r="BN6" i="3"/>
  <c r="BN7" i="3"/>
  <c r="BN8" i="3"/>
  <c r="BN9" i="3"/>
  <c r="BN11" i="3"/>
  <c r="BN12" i="3"/>
  <c r="BN13" i="3"/>
  <c r="BM14" i="3"/>
  <c r="EG4" i="3"/>
  <c r="EG5" i="3"/>
  <c r="EG6" i="3"/>
  <c r="EG7" i="3"/>
  <c r="EG8" i="3"/>
  <c r="EG9" i="3"/>
  <c r="EG10" i="3"/>
  <c r="EG11" i="3"/>
  <c r="EG12" i="3"/>
  <c r="EG13" i="3"/>
  <c r="EF14" i="3"/>
  <c r="BB9" i="3"/>
  <c r="BB10" i="3"/>
  <c r="BB11" i="3"/>
  <c r="BB12" i="3"/>
  <c r="BB13" i="3"/>
  <c r="BA14" i="3"/>
  <c r="FZ3" i="3"/>
  <c r="FZ4" i="3"/>
  <c r="FZ5" i="3"/>
  <c r="FZ6" i="3"/>
  <c r="FZ7" i="3"/>
  <c r="FZ8" i="3"/>
  <c r="FZ9" i="3"/>
  <c r="FZ10" i="3"/>
  <c r="FZ11" i="3"/>
  <c r="FZ12" i="3"/>
  <c r="FZ13" i="3"/>
  <c r="FY14" i="3"/>
  <c r="DI7" i="3"/>
  <c r="DI8" i="3"/>
  <c r="DI9" i="3"/>
  <c r="DI10" i="3"/>
  <c r="DI11" i="3"/>
  <c r="DI12" i="3"/>
  <c r="DI13" i="3"/>
  <c r="DH14" i="3"/>
  <c r="GT3" i="3"/>
  <c r="GX6" i="3"/>
  <c r="GY9" i="3"/>
  <c r="HC9" i="3"/>
  <c r="GT4" i="3"/>
</calcChain>
</file>

<file path=xl/sharedStrings.xml><?xml version="1.0" encoding="utf-8"?>
<sst xmlns="http://schemas.openxmlformats.org/spreadsheetml/2006/main" count="1904" uniqueCount="231">
  <si>
    <t>Trier secteurs et catégories par (ordre décroissant) :</t>
  </si>
  <si>
    <t>M_imp*Y_dom+M_dom*Y_dom+M_row*Y_imp</t>
  </si>
  <si>
    <t>N surplus</t>
  </si>
  <si>
    <t>M_imp</t>
  </si>
  <si>
    <t>M_dom</t>
  </si>
  <si>
    <t>M_row</t>
  </si>
  <si>
    <t>Y_imp</t>
  </si>
  <si>
    <t>Y_dom</t>
  </si>
  <si>
    <t>M_imp*Y_dom</t>
  </si>
  <si>
    <t>M_dom*Y_dom</t>
  </si>
  <si>
    <t>M_imp*Y_dom+M_dom*Y_dom</t>
  </si>
  <si>
    <t>M_row*Y_imp</t>
  </si>
  <si>
    <t>Données sources (ordre du bridge, non triées)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</si>
  <si>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</si>
  <si>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</si>
  <si>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</si>
  <si>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</si>
  <si>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</si>
  <si>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</si>
  <si>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</si>
  <si>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</si>
  <si>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</si>
  <si>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</si>
  <si>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</si>
  <si>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</si>
  <si>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</si>
  <si>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</si>
  <si>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</si>
  <si>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</si>
  <si>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</si>
  <si>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</si>
  <si>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</si>
  <si>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</si>
  <si>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</si>
  <si>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</si>
  <si>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</si>
  <si>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</si>
  <si>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</si>
  <si>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</si>
  <si>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</si>
  <si>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</si>
  <si>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</si>
  <si>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</si>
  <si>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</si>
  <si>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</si>
  <si>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</si>
  <si>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</si>
  <si>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</si>
  <si>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</si>
  <si>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</si>
  <si>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</si>
  <si>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</si>
  <si>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</si>
  <si>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</si>
  <si>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</si>
  <si>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</si>
  <si>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</si>
  <si>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</si>
  <si>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</si>
  <si>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</si>
  <si>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</si>
  <si>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</si>
  <si>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</si>
  <si>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</si>
  <si>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</si>
  <si>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</si>
  <si>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</si>
  <si>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</si>
  <si>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</si>
  <si>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</si>
  <si>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</si>
  <si>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</si>
  <si>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</si>
  <si>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</si>
  <si>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</si>
  <si>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</si>
  <si>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</si>
  <si>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</si>
  <si>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</si>
  <si>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</si>
  <si>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</si>
  <si>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</si>
  <si>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</si>
  <si>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</si>
  <si>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</si>
  <si>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</si>
  <si>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</si>
  <si>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</si>
  <si>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</si>
  <si>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</si>
  <si>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</si>
  <si>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</si>
  <si>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</si>
  <si>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</si>
  <si>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</si>
  <si>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</si>
  <si>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</si>
  <si>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</si>
  <si>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</si>
  <si>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</si>
  <si>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</si>
  <si>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</si>
  <si>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</si>
  <si>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</si>
  <si>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</si>
  <si>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</si>
  <si>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</si>
  <si>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</si>
  <si>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</si>
  <si>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</si>
  <si>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</si>
  <si>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</si>
  <si>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</si>
  <si>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</si>
  <si>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</si>
  <si>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</si>
  <si>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</si>
  <si>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</si>
  <si>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</si>
  <si>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</si>
  <si>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</si>
  <si>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</si>
  <si>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</si>
  <si>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</si>
  <si>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</si>
  <si>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</si>
  <si>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</si>
  <si>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</si>
  <si>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</si>
  <si>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</si>
  <si>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</si>
  <si>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</si>
  <si>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</si>
  <si>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</si>
  <si>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</si>
  <si>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</si>
  <si>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</si>
  <si>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</si>
  <si>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</si>
  <si>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</si>
  <si>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</si>
  <si>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</si>
  <si>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</si>
  <si>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</si>
  <si>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</si>
  <si>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</si>
  <si>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</si>
  <si>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</si>
  <si>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</si>
  <si>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</si>
  <si>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</si>
  <si>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</si>
  <si>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</si>
  <si>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</si>
  <si>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</si>
  <si>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</si>
  <si>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</si>
  <si>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</si>
  <si>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</si>
  <si>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</si>
  <si>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</si>
  <si>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</si>
  <si>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</si>
  <si>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</si>
  <si>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</si>
  <si>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</si>
  <si>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</si>
  <si>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</si>
  <si>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</si>
  <si>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</si>
  <si>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</si>
  <si>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</si>
  <si>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</si>
  <si>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</si>
  <si>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</si>
  <si>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</si>
  <si>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</si>
  <si>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</si>
  <si>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</si>
  <si>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</si>
  <si>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</si>
  <si>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</si>
  <si>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</si>
  <si>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</si>
  <si>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</si>
  <si>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</si>
  <si>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</si>
  <si>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</si>
  <si>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</si>
  <si>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</si>
  <si>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</si>
  <si>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</si>
  <si>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</si>
  <si>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</si>
  <si>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</si>
  <si>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</si>
  <si>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</si>
  <si>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</si>
  <si>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</si>
  <si>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</si>
  <si>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</si>
  <si>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</si>
  <si>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</si>
  <si>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</si>
  <si>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</si>
  <si>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</si>
  <si>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</si>
  <si>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</si>
  <si>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</si>
  <si>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</si>
  <si>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Extra-territorial organizations and bodies</t>
  </si>
  <si>
    <t>Vegetables, fruits, nuts</t>
  </si>
  <si>
    <t>Meat nec</t>
  </si>
  <si>
    <t>Animal nec</t>
  </si>
  <si>
    <t>Food nec</t>
  </si>
  <si>
    <t>Housing</t>
  </si>
  <si>
    <t>Mobility</t>
  </si>
  <si>
    <t>Textiles</t>
  </si>
  <si>
    <t>Final goods nec</t>
  </si>
  <si>
    <t>Hotel &amp; restaurant</t>
  </si>
  <si>
    <t>Final services</t>
  </si>
  <si>
    <t>Clé de tri</t>
  </si>
  <si>
    <t>Rang</t>
  </si>
  <si>
    <t>Rang (catégories)</t>
  </si>
  <si>
    <t>P surplus</t>
  </si>
  <si>
    <t>Blue water consumption</t>
  </si>
  <si>
    <t>Cropland use</t>
  </si>
  <si>
    <t>GHG emissions</t>
  </si>
  <si>
    <t>Biodiversity loss - PDF</t>
  </si>
  <si>
    <t>Biodiversity loss - HANPP</t>
  </si>
  <si>
    <t>Raw material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</si>
</sst>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C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C30"/>
  <sheetViews>
    <sheetView tabSelected="1" zoomScale="73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46" customWidth="1"/>
  </cols>
  <sheetData>
    <row r="1" spans="1:211" x14ac:dyDescent="0.45">
      <c r="A1" s="1" t="s">
        <v>0</v>
      </c>
      <c r="B1" s="2" t="s">
        <v>1</v>
      </c>
    </row>
    <row r="3" spans="1:211" x14ac:dyDescent="0.45">
      <c r="A3" s="1" t="s">
        <v>2</v>
      </c>
      <c r="B3" s="1" t="str">
        <f>INDEX($B$17:$GQ$17,MATCH(1,$B$29:$GQ$29,0))</f>
        <v>Food products nec</v>
      </c>
      <c r="C3" s="1" t="str">
        <f>INDEX($B$17:$GQ$17,MATCH(2,$B$29:$GQ$29,0))</f>
        <v>Products of meat cattle</v>
      </c>
      <c r="D3" s="1" t="str">
        <f>INDEX($B$17:$GQ$17,MATCH(3,$B$29:$GQ$29,0))</f>
        <v>Dairy products</v>
      </c>
      <c r="E3" s="1" t="str">
        <f>INDEX($B$17:$GQ$17,MATCH(4,$B$29:$GQ$29,0))</f>
        <v>Meat products nec</v>
      </c>
      <c r="F3" s="1" t="str">
        <f>INDEX($B$17:$GQ$17,MATCH(5,$B$29:$GQ$29,0))</f>
        <v>Hotel and restaurant services (55)</v>
      </c>
      <c r="G3" s="1" t="str">
        <f>INDEX($B$17:$GQ$17,MATCH(6,$B$29:$GQ$29,0))</f>
        <v>Vegetables, fruit, nuts</v>
      </c>
      <c r="H3" s="1" t="str">
        <f>INDEX($B$17:$GQ$17,MATCH(7,$B$29:$GQ$29,0))</f>
        <v>Wheat</v>
      </c>
      <c r="I3" s="1" t="str">
        <f>INDEX($B$17:$GQ$17,MATCH(8,$B$29:$GQ$29,0))</f>
        <v>Poultry</v>
      </c>
      <c r="J3" s="1" t="str">
        <f>INDEX($B$17:$GQ$17,MATCH(9,$B$29:$GQ$29,0))</f>
        <v>Health and social work services (85)</v>
      </c>
      <c r="K3" s="1" t="str">
        <f>INDEX($B$17:$GQ$17,MATCH(10,$B$29:$GQ$29,0))</f>
        <v>Meat animals nec</v>
      </c>
      <c r="L3" s="1" t="str">
        <f>INDEX($B$17:$GQ$17,MATCH(11,$B$29:$GQ$29,0))</f>
        <v>Products of meat poultry</v>
      </c>
      <c r="M3" s="1" t="str">
        <f>INDEX($B$17:$GQ$17,MATCH(12,$B$29:$GQ$29,0))</f>
        <v>Oil seeds</v>
      </c>
      <c r="N3" s="1" t="str">
        <f>INDEX($B$17:$GQ$17,MATCH(13,$B$29:$GQ$29,0))</f>
        <v>Beverages</v>
      </c>
      <c r="O3" s="1" t="str">
        <f>INDEX($B$17:$GQ$17,MATCH(14,$B$29:$GQ$29,0))</f>
        <v>Public administration and defence services; compulsory social security services (75)</v>
      </c>
      <c r="P3" s="1" t="str">
        <f>INDEX($B$17:$GQ$17,MATCH(15,$B$29:$GQ$29,0))</f>
        <v>Recreational, cultural and sporting services (92)</v>
      </c>
      <c r="Q3" s="1" t="str">
        <f>INDEX($B$17:$GQ$17,MATCH(16,$B$29:$GQ$29,0))</f>
        <v>Education services (80)</v>
      </c>
      <c r="R3" s="1" t="str">
        <f>INDEX($B$17:$GQ$17,MATCH(17,$B$29:$GQ$29,0))</f>
        <v>Fish products</v>
      </c>
      <c r="S3" s="1" t="str">
        <f>INDEX($B$17:$GQ$17,MATCH(18,$B$29:$GQ$29,0))</f>
        <v>Real estate services (70)</v>
      </c>
      <c r="T3" s="1" t="str">
        <f>INDEX($B$17:$GQ$17,MATCH(19,$B$29:$GQ$29,0))</f>
        <v>Products of meat pigs</v>
      </c>
      <c r="U3" s="1" t="str">
        <f>INDEX($B$17:$GQ$17,MATCH(20,$B$29:$GQ$29,0))</f>
        <v>Leather and leather products (19)</v>
      </c>
      <c r="V3" s="1" t="str">
        <f>INDEX($B$17:$GQ$17,MATCH(21,$B$29:$GQ$29,0))</f>
        <v>Wearing apparel; furs (18)</v>
      </c>
      <c r="W3" s="1" t="str">
        <f>INDEX($B$17:$GQ$17,MATCH(22,$B$29:$GQ$29,0))</f>
        <v>Plastics, basic</v>
      </c>
      <c r="X3" s="1" t="str">
        <f>INDEX($B$17:$GQ$17,MATCH(23,$B$29:$GQ$29,0))</f>
        <v>Motor vehicles, trailers and semi-trailers (34)</v>
      </c>
      <c r="Y3" s="1" t="str">
        <f>INDEX($B$17:$GQ$17,MATCH(24,$B$29:$GQ$29,0))</f>
        <v>Textiles (17)</v>
      </c>
      <c r="Z3" s="1" t="str">
        <f>INDEX($B$17:$GQ$17,MATCH(25,$B$29:$GQ$29,0))</f>
        <v>Chemicals nec</v>
      </c>
      <c r="AA3" s="1" t="str">
        <f>INDEX($B$17:$GQ$17,MATCH(26,$B$29:$GQ$29,0))</f>
        <v>Furniture; other manufactured goods n.e.c. (36)</v>
      </c>
      <c r="AB3" s="1" t="str">
        <f>INDEX($B$17:$GQ$17,MATCH(27,$B$29:$GQ$29,0))</f>
        <v>Sugar</v>
      </c>
      <c r="AC3" s="1" t="str">
        <f>INDEX($B$17:$GQ$17,MATCH(28,$B$29:$GQ$29,0))</f>
        <v>Air transport services (62)</v>
      </c>
      <c r="AD3" s="1" t="str">
        <f>INDEX($B$17:$GQ$17,MATCH(29,$B$29:$GQ$29,0))</f>
        <v>Animal products nec</v>
      </c>
      <c r="AE3" s="1" t="str">
        <f>INDEX($B$17:$GQ$17,MATCH(30,$B$29:$GQ$29,0))</f>
        <v>Plant-based fibers</v>
      </c>
      <c r="AF3" s="1" t="str">
        <f>INDEX($B$17:$GQ$17,MATCH(31,$B$29:$GQ$29,0))</f>
        <v>Research and development services (73)</v>
      </c>
      <c r="AG3" s="1" t="str">
        <f>INDEX($B$17:$GQ$17,MATCH(32,$B$29:$GQ$29,0))</f>
        <v>Insurance and pension funding services, except compulsory social security services (66)</v>
      </c>
      <c r="AH3" s="1" t="str">
        <f>INDEX($B$17:$GQ$17,MATCH(33,$B$29:$GQ$29,0))</f>
        <v>Post and telecommunication services (64)</v>
      </c>
      <c r="AI3" s="1" t="str">
        <f>INDEX($B$17:$GQ$17,MATCH(34,$B$29:$GQ$29,0))</f>
        <v>Membership organisation services n.e.c. (91)</v>
      </c>
      <c r="AJ3" s="1" t="str">
        <f>INDEX($B$17:$GQ$17,MATCH(35,$B$29:$GQ$29,0))</f>
        <v>Raw milk</v>
      </c>
      <c r="AK3" s="1" t="str">
        <f>INDEX($B$17:$GQ$17,MATCH(36,$B$29:$GQ$29,0))</f>
        <v>Other land transportation services</v>
      </c>
      <c r="AL3" s="1" t="str">
        <f>INDEX($B$17:$GQ$17,MATCH(37,$B$29:$GQ$29,0))</f>
        <v>Motor Gasoline</v>
      </c>
      <c r="AM3" s="1" t="str">
        <f>INDEX($B$17:$GQ$17,MATCH(38,$B$29:$GQ$29,0))</f>
        <v>Crops nec</v>
      </c>
      <c r="AN3" s="1" t="str">
        <f>INDEX($B$17:$GQ$17,MATCH(39,$B$29:$GQ$29,0))</f>
        <v>Other services (93)</v>
      </c>
      <c r="AO3" s="1" t="str">
        <f>INDEX($B$17:$GQ$17,MATCH(40,$B$29:$GQ$29,0))</f>
        <v>Railway transportation services</v>
      </c>
      <c r="AP3" s="1" t="str">
        <f>INDEX($B$17:$GQ$17,MATCH(41,$B$29:$GQ$29,0))</f>
        <v>Cereal grains nec</v>
      </c>
      <c r="AQ3" s="1" t="str">
        <f>INDEX($B$17:$GQ$17,MATCH(42,$B$29:$GQ$29,0))</f>
        <v>Gas/Diesel Oil</v>
      </c>
      <c r="AR3" s="1" t="str">
        <f>INDEX($B$17:$GQ$17,MATCH(43,$B$29:$GQ$29,0))</f>
        <v>Other business services (74)</v>
      </c>
      <c r="AS3" s="1" t="str">
        <f>INDEX($B$17:$GQ$17,MATCH(44,$B$29:$GQ$29,0))</f>
        <v>Sea and coastal water transportation services</v>
      </c>
      <c r="AT3" s="1" t="str">
        <f>INDEX($B$17:$GQ$17,MATCH(45,$B$29:$GQ$29,0))</f>
        <v>Fish and other fishing products; services incidental of fishing (05)</v>
      </c>
      <c r="AU3" s="1" t="str">
        <f>INDEX($B$17:$GQ$17,MATCH(46,$B$29:$GQ$29,0))</f>
        <v>Supporting and auxiliary transport services; travel agency services (63)</v>
      </c>
      <c r="AV3" s="1" t="str">
        <f>INDEX($B$17:$GQ$17,MATCH(47,$B$29:$GQ$29,0))</f>
        <v>Paddy rice</v>
      </c>
      <c r="AW3" s="1" t="str">
        <f>INDEX($B$17:$GQ$17,MATCH(48,$B$29:$GQ$29,0))</f>
        <v>Financial intermediation services, except insurance and pension funding services (65)</v>
      </c>
      <c r="AX3" s="1" t="str">
        <f>INDEX($B$17:$GQ$17,MATCH(49,$B$29:$GQ$29,0))</f>
        <v>Tobacco products (16)</v>
      </c>
      <c r="AY3" s="1" t="str">
        <f>INDEX($B$17:$GQ$17,MATCH(50,$B$29:$GQ$29,0))</f>
        <v>Sale, maintenance, repair of motor vehicles, motor vehicles parts, motorcycles, motor cycles parts and accessoiries</v>
      </c>
      <c r="AZ3" s="1" t="str">
        <f>INDEX($B$17:$GQ$17,MATCH(51,$B$29:$GQ$29,0))</f>
        <v>Electricity by nuclear</v>
      </c>
      <c r="BA3" s="1" t="str">
        <f>INDEX($B$17:$GQ$17,MATCH(52,$B$29:$GQ$29,0))</f>
        <v>Paper and paper products</v>
      </c>
      <c r="BB3" s="1" t="str">
        <f>INDEX($B$17:$GQ$17,MATCH(53,$B$29:$GQ$29,0))</f>
        <v>Distribution services of gaseous fuels through mains</v>
      </c>
      <c r="BC3" s="1" t="str">
        <f>INDEX($B$17:$GQ$17,MATCH(54,$B$29:$GQ$29,0))</f>
        <v>Office machinery and computers (30)</v>
      </c>
      <c r="BD3" s="1" t="str">
        <f>INDEX($B$17:$GQ$17,MATCH(55,$B$29:$GQ$29,0))</f>
        <v>Construction work (45)</v>
      </c>
      <c r="BE3" s="1" t="str">
        <f>INDEX($B$17:$GQ$17,MATCH(56,$B$29:$GQ$29,0))</f>
        <v>Printed matter and recorded media (22)</v>
      </c>
      <c r="BF3" s="1" t="str">
        <f>INDEX($B$17:$GQ$17,MATCH(57,$B$29:$GQ$29,0))</f>
        <v>Fabricated metal products, except machinery and equipment (28)</v>
      </c>
      <c r="BG3" s="1" t="str">
        <f>INDEX($B$17:$GQ$17,MATCH(58,$B$29:$GQ$29,0))</f>
        <v>Products of forestry, logging and related services (02)</v>
      </c>
      <c r="BH3" s="1" t="str">
        <f>INDEX($B$17:$GQ$17,MATCH(59,$B$29:$GQ$29,0))</f>
        <v>Inland water transportation services</v>
      </c>
      <c r="BI3" s="1" t="str">
        <f>INDEX($B$17:$GQ$17,MATCH(60,$B$29:$GQ$29,0))</f>
        <v>Radio, television and communication equipment and apparatus (32)</v>
      </c>
      <c r="BJ3" s="1" t="str">
        <f>INDEX($B$17:$GQ$17,MATCH(61,$B$29:$GQ$29,0))</f>
        <v>Steam and hot water supply services</v>
      </c>
      <c r="BK3" s="1" t="str">
        <f>INDEX($B$17:$GQ$17,MATCH(62,$B$29:$GQ$29,0))</f>
        <v>Wholesale trade and commission trade services, except of motor vehicles and motorcycles (51)</v>
      </c>
      <c r="BL3" s="1" t="str">
        <f>INDEX($B$17:$GQ$17,MATCH(63,$B$29:$GQ$29,0))</f>
        <v>products of Vegetable oils and fats</v>
      </c>
      <c r="BM3" s="1" t="str">
        <f>INDEX($B$17:$GQ$17,MATCH(64,$B$29:$GQ$29,0))</f>
        <v>Other transport equipment (35)</v>
      </c>
      <c r="BN3" s="1" t="str">
        <f>INDEX($B$17:$GQ$17,MATCH(65,$B$29:$GQ$29,0))</f>
        <v>Medical, precision and optical instruments, watches and clocks (33)</v>
      </c>
      <c r="BO3" s="1" t="str">
        <f>INDEX($B$17:$GQ$17,MATCH(66,$B$29:$GQ$29,0))</f>
        <v>Wood and products of wood and cork (except furniture); articles of straw and plaiting materials (20)</v>
      </c>
      <c r="BP3" s="1" t="str">
        <f>INDEX($B$17:$GQ$17,MATCH(67,$B$29:$GQ$29,0))</f>
        <v>Electrical machinery and apparatus n.e.c. (31)</v>
      </c>
      <c r="BQ3" s="1" t="str">
        <f>INDEX($B$17:$GQ$17,MATCH(68,$B$29:$GQ$29,0))</f>
        <v>Distribution and trade services of electricity</v>
      </c>
      <c r="BR3" s="1" t="str">
        <f>INDEX($B$17:$GQ$17,MATCH(69,$B$29:$GQ$29,0))</f>
        <v>Collected and purified water, distribution services of water (41)</v>
      </c>
      <c r="BS3" s="1" t="str">
        <f>INDEX($B$17:$GQ$17,MATCH(70,$B$29:$GQ$29,0))</f>
        <v>Retail  trade services, except of motor vehicles and motorcycles; repair services of personal and household goods (52)</v>
      </c>
      <c r="BT3" s="1" t="str">
        <f>INDEX($B$17:$GQ$17,MATCH(71,$B$29:$GQ$29,0))</f>
        <v>Secondary plastic for treatment, Re-processing of secondary plastic into new plastic</v>
      </c>
      <c r="BU3" s="1" t="str">
        <f>INDEX($B$17:$GQ$17,MATCH(72,$B$29:$GQ$29,0))</f>
        <v>Renting services of machinery and equipment without operator and of personal and household goods (71)</v>
      </c>
      <c r="BV3" s="1" t="str">
        <f>INDEX($B$17:$GQ$17,MATCH(73,$B$29:$GQ$29,0))</f>
        <v>Ceramic goods</v>
      </c>
      <c r="BW3" s="1" t="str">
        <f>INDEX($B$17:$GQ$17,MATCH(74,$B$29:$GQ$29,0))</f>
        <v>Processed rice</v>
      </c>
      <c r="BX3" s="1" t="str">
        <f>INDEX($B$17:$GQ$17,MATCH(75,$B$29:$GQ$29,0))</f>
        <v>Other non-metallic mineral products</v>
      </c>
      <c r="BY3" s="1" t="str">
        <f>INDEX($B$17:$GQ$17,MATCH(76,$B$29:$GQ$29,0))</f>
        <v>P- and other fertiliser</v>
      </c>
      <c r="BZ3" s="1" t="str">
        <f>INDEX($B$17:$GQ$17,MATCH(77,$B$29:$GQ$29,0))</f>
        <v>Electricity by hydro</v>
      </c>
      <c r="CA3" s="1" t="str">
        <f>INDEX($B$17:$GQ$17,MATCH(78,$B$29:$GQ$29,0))</f>
        <v>Transmission services of electricity</v>
      </c>
      <c r="CB3" s="1" t="str">
        <f>INDEX($B$17:$GQ$17,MATCH(79,$B$29:$GQ$29,0))</f>
        <v>Liquefied Petroleum Gases (LPG)</v>
      </c>
      <c r="CC3" s="1" t="str">
        <f>INDEX($B$17:$GQ$17,MATCH(80,$B$29:$GQ$29,0))</f>
        <v>Inert/metal/hazardous waste for treatment: landfill</v>
      </c>
      <c r="CD3" s="1" t="str">
        <f>INDEX($B$17:$GQ$17,MATCH(81,$B$29:$GQ$29,0))</f>
        <v>Retail trade services of motor fuel</v>
      </c>
      <c r="CE3" s="1" t="str">
        <f>INDEX($B$17:$GQ$17,MATCH(82,$B$29:$GQ$29,0))</f>
        <v>Transportation services via pipelines</v>
      </c>
      <c r="CF3" s="1" t="str">
        <f>INDEX($B$17:$GQ$17,MATCH(83,$B$29:$GQ$29,0))</f>
        <v>Natural gas and services related to natural gas extraction, excluding surveying</v>
      </c>
      <c r="CG3" s="1" t="str">
        <f>INDEX($B$17:$GQ$17,MATCH(84,$B$29:$GQ$29,0))</f>
        <v>Electricity by coal</v>
      </c>
      <c r="CH3" s="1" t="str">
        <f>INDEX($B$17:$GQ$17,MATCH(85,$B$29:$GQ$29,0))</f>
        <v>Machinery and equipment n.e.c. (29)</v>
      </c>
      <c r="CI3" s="1" t="str">
        <f>INDEX($B$17:$GQ$17,MATCH(86,$B$29:$GQ$29,0))</f>
        <v>Intert/metal waste for treatment: incineration</v>
      </c>
      <c r="CJ3" s="1" t="str">
        <f>INDEX($B$17:$GQ$17,MATCH(87,$B$29:$GQ$29,0))</f>
        <v>Electricity by gas</v>
      </c>
      <c r="CK3" s="1" t="str">
        <f>INDEX($B$17:$GQ$17,MATCH(88,$B$29:$GQ$29,0))</f>
        <v>Oil/hazardous waste for treatment: incineration</v>
      </c>
      <c r="CL3" s="1" t="str">
        <f>INDEX($B$17:$GQ$17,MATCH(89,$B$29:$GQ$29,0))</f>
        <v>Paper waste for treatment: incineration</v>
      </c>
      <c r="CM3" s="1" t="str">
        <f>INDEX($B$17:$GQ$17,MATCH(90,$B$29:$GQ$29,0))</f>
        <v>Sewage sludge for treatment: biogasification and land application</v>
      </c>
      <c r="CN3" s="1" t="str">
        <f>INDEX($B$17:$GQ$17,MATCH(91,$B$29:$GQ$29,0))</f>
        <v>Food waste for treatment: incineration</v>
      </c>
      <c r="CO3" s="1" t="str">
        <f>INDEX($B$17:$GQ$17,MATCH(92,$B$29:$GQ$29,0))</f>
        <v>Wood material for treatment, Re-processing of secondary wood material into new wood material</v>
      </c>
      <c r="CP3" s="1" t="str">
        <f>INDEX($B$17:$GQ$17,MATCH(93,$B$29:$GQ$29,0))</f>
        <v>Biodiesels</v>
      </c>
      <c r="CQ3" s="1" t="str">
        <f>INDEX($B$17:$GQ$17,MATCH(94,$B$29:$GQ$29,0))</f>
        <v>Other waste for treatment: waste water treatment</v>
      </c>
      <c r="CR3" s="1" t="str">
        <f>INDEX($B$17:$GQ$17,MATCH(95,$B$29:$GQ$29,0))</f>
        <v>Food waste for treatment: landfill</v>
      </c>
      <c r="CS3" s="1" t="str">
        <f>INDEX($B$17:$GQ$17,MATCH(96,$B$29:$GQ$29,0))</f>
        <v>Biogasoline</v>
      </c>
      <c r="CT3" s="1" t="str">
        <f>INDEX($B$17:$GQ$17,MATCH(97,$B$29:$GQ$29,0))</f>
        <v>Food waste for treatment: composting and land application</v>
      </c>
      <c r="CU3" s="1" t="str">
        <f>INDEX($B$17:$GQ$17,MATCH(98,$B$29:$GQ$29,0))</f>
        <v>Plastic waste for treatment: incineration</v>
      </c>
      <c r="CV3" s="1" t="str">
        <f>INDEX($B$17:$GQ$17,MATCH(99,$B$29:$GQ$29,0))</f>
        <v>Paper for treatment: landfill</v>
      </c>
      <c r="CW3" s="1" t="str">
        <f>INDEX($B$17:$GQ$17,MATCH(100,$B$29:$GQ$29,0))</f>
        <v>Food waste for treatment: waste water treatment</v>
      </c>
      <c r="CX3" s="1" t="str">
        <f>INDEX($B$17:$GQ$17,MATCH(101,$B$29:$GQ$29,0))</f>
        <v>Electricity by wind</v>
      </c>
      <c r="CY3" s="1" t="str">
        <f>INDEX($B$17:$GQ$17,MATCH(102,$B$29:$GQ$29,0))</f>
        <v>Electricity by biomass and waste</v>
      </c>
      <c r="CZ3" s="1" t="str">
        <f>INDEX($B$17:$GQ$17,MATCH(103,$B$29:$GQ$29,0))</f>
        <v>Wood waste for treatment: incineration</v>
      </c>
      <c r="DA3" s="1" t="str">
        <f>INDEX($B$17:$GQ$17,MATCH(104,$B$29:$GQ$29,0))</f>
        <v>Kerosene Type Jet Fuel</v>
      </c>
      <c r="DB3" s="1" t="str">
        <f>INDEX($B$17:$GQ$17,MATCH(105,$B$29:$GQ$29,0))</f>
        <v>Wood waste for treatment: landfill</v>
      </c>
      <c r="DC3" s="1" t="str">
        <f>INDEX($B$17:$GQ$17,MATCH(106,$B$29:$GQ$29,0))</f>
        <v>Electricity by petroleum and other oil derivatives</v>
      </c>
      <c r="DD3" s="1" t="str">
        <f>INDEX($B$17:$GQ$17,MATCH(107,$B$29:$GQ$29,0))</f>
        <v>Textiles waste for treatment: incineration</v>
      </c>
      <c r="DE3" s="1" t="str">
        <f>INDEX($B$17:$GQ$17,MATCH(108,$B$29:$GQ$29,0))</f>
        <v>Kerosene</v>
      </c>
      <c r="DF3" s="1" t="str">
        <f>INDEX($B$17:$GQ$17,MATCH(109,$B$29:$GQ$29,0))</f>
        <v>Plastic waste for treatment: landfill</v>
      </c>
      <c r="DG3" s="1" t="str">
        <f>INDEX($B$17:$GQ$17,MATCH(110,$B$29:$GQ$29,0))</f>
        <v>Computer and related services (72)</v>
      </c>
      <c r="DH3" s="1" t="str">
        <f>INDEX($B$17:$GQ$17,MATCH(111,$B$29:$GQ$29,0))</f>
        <v>Food waste for treatment: biogasification and land application</v>
      </c>
      <c r="DI3" s="1" t="str">
        <f>INDEX($B$17:$GQ$17,MATCH(112,$B$29:$GQ$29,0))</f>
        <v>Textiles waste for treatment: landfill</v>
      </c>
      <c r="DJ3" s="1" t="str">
        <f>INDEX($B$17:$GQ$17,MATCH(113,$B$29:$GQ$29,0))</f>
        <v>Cement, lime and plaster</v>
      </c>
      <c r="DK3" s="1" t="str">
        <f>INDEX($B$17:$GQ$17,MATCH(114,$B$29:$GQ$29,0))</f>
        <v>N-fertiliser</v>
      </c>
      <c r="DL3" s="1" t="str">
        <f>INDEX($B$17:$GQ$17,MATCH(115,$B$29:$GQ$29,0))</f>
        <v>Precious metals</v>
      </c>
      <c r="DM3" s="1" t="str">
        <f>INDEX($B$17:$GQ$17,MATCH(116,$B$29:$GQ$29,0))</f>
        <v>Electricity by solar photovoltaic</v>
      </c>
      <c r="DN3" s="1" t="str">
        <f>INDEX($B$17:$GQ$17,MATCH(117,$B$29:$GQ$29,0))</f>
        <v>Other non-ferrous metal products</v>
      </c>
      <c r="DO3" s="1" t="str">
        <f>INDEX($B$17:$GQ$17,MATCH(118,$B$29:$GQ$29,0))</f>
        <v>Electricity by tide, wave, ocean</v>
      </c>
      <c r="DP3" s="1" t="str">
        <f>INDEX($B$17:$GQ$17,MATCH(119,$B$29:$GQ$29,0))</f>
        <v>Paper and wood waste for treatment: composting and land application</v>
      </c>
      <c r="DQ3" s="1" t="str">
        <f>INDEX($B$17:$GQ$17,MATCH(120,$B$29:$GQ$29,0))</f>
        <v>Heavy Fuel Oil</v>
      </c>
      <c r="DR3" s="1" t="str">
        <f>INDEX($B$17:$GQ$17,MATCH(121,$B$29:$GQ$29,0))</f>
        <v>Bricks, tiles and construction products, in baked clay</v>
      </c>
      <c r="DS3" s="1" t="str">
        <f>INDEX($B$17:$GQ$17,MATCH(122,$B$29:$GQ$29,0))</f>
        <v>Ash for treatment, Re-processing of ash into clinker</v>
      </c>
      <c r="DT3" s="1" t="str">
        <f>INDEX($B$17:$GQ$17,MATCH(123,$B$29:$GQ$29,0))</f>
        <v>Other Bituminous Coal</v>
      </c>
      <c r="DU3" s="1" t="str">
        <f>INDEX($B$17:$GQ$17,MATCH(124,$B$29:$GQ$29,0))</f>
        <v>Aluminium and aluminium products</v>
      </c>
      <c r="DV3" s="1" t="str">
        <f>INDEX($B$17:$GQ$17,MATCH(125,$B$29:$GQ$29,0))</f>
        <v>Paper waste for treatment: biogasification and land application</v>
      </c>
      <c r="DW3" s="1" t="str">
        <f>INDEX($B$17:$GQ$17,MATCH(126,$B$29:$GQ$29,0))</f>
        <v>Patent Fuel</v>
      </c>
      <c r="DX3" s="1" t="str">
        <f>INDEX($B$17:$GQ$17,MATCH(127,$B$29:$GQ$29,0))</f>
        <v>Anthracite</v>
      </c>
      <c r="DY3" s="1" t="str">
        <f>INDEX($B$17:$GQ$17,MATCH(128,$B$29:$GQ$29,0))</f>
        <v>Secondary aluminium for treatment, Re-processing of secondary aluminium into new aluminium</v>
      </c>
      <c r="DZ3" s="1" t="str">
        <f>INDEX($B$17:$GQ$17,MATCH(129,$B$29:$GQ$29,0))</f>
        <v>Coke Oven Coke</v>
      </c>
      <c r="EA3" s="1" t="str">
        <f>INDEX($B$17:$GQ$17,MATCH(130,$B$29:$GQ$29,0))</f>
        <v>Foundry work services</v>
      </c>
      <c r="EB3" s="1" t="str">
        <f>INDEX($B$17:$GQ$17,MATCH(131,$B$29:$GQ$29,0))</f>
        <v>Aviation Gasoline</v>
      </c>
      <c r="EC3" s="1" t="str">
        <f>INDEX($B$17:$GQ$17,MATCH(132,$B$29:$GQ$29,0))</f>
        <v>Basic iron and steel and of ferro-alloys and first products thereof</v>
      </c>
      <c r="ED3" s="1" t="str">
        <f>INDEX($B$17:$GQ$17,MATCH(133,$B$29:$GQ$29,0))</f>
        <v>Secondary steel for treatment, Re-processing of secondary steel into new steel</v>
      </c>
      <c r="EE3" s="1" t="str">
        <f>INDEX($B$17:$GQ$17,MATCH(134,$B$29:$GQ$29,0))</f>
        <v>Sugar cane, sugar beet</v>
      </c>
      <c r="EF3" s="1" t="str">
        <f>INDEX($B$17:$GQ$17,MATCH(135,$B$29:$GQ$29,0))</f>
        <v>Cattle</v>
      </c>
      <c r="EG3" s="1" t="str">
        <f>INDEX($B$17:$GQ$17,MATCH(136,$B$29:$GQ$29,0))</f>
        <v>Pigs</v>
      </c>
      <c r="EH3" s="1" t="str">
        <f>INDEX($B$17:$GQ$17,MATCH(137,$B$29:$GQ$29,0))</f>
        <v>Wool, silk-worm cocoons</v>
      </c>
      <c r="EI3" s="1" t="str">
        <f>INDEX($B$17:$GQ$17,MATCH(138,$B$29:$GQ$29,0))</f>
        <v>Manure (conventional treatment)</v>
      </c>
      <c r="EJ3" s="1" t="str">
        <f>INDEX($B$17:$GQ$17,MATCH(139,$B$29:$GQ$29,0))</f>
        <v>Manure (biogas treatment)</v>
      </c>
      <c r="EK3" s="1" t="str">
        <f>INDEX($B$17:$GQ$17,MATCH(140,$B$29:$GQ$29,0))</f>
        <v>Coking Coal</v>
      </c>
      <c r="EL3" s="1" t="str">
        <f>INDEX($B$17:$GQ$17,MATCH(141,$B$29:$GQ$29,0))</f>
        <v>Sub-Bituminous Coal</v>
      </c>
      <c r="EM3" s="1" t="str">
        <f>INDEX($B$17:$GQ$17,MATCH(142,$B$29:$GQ$29,0))</f>
        <v>Lignite/Brown Coal</v>
      </c>
      <c r="EN3" s="1" t="str">
        <f>INDEX($B$17:$GQ$17,MATCH(143,$B$29:$GQ$29,0))</f>
        <v>BKB/Peat Briquettes</v>
      </c>
      <c r="EO3" s="1" t="str">
        <f>INDEX($B$17:$GQ$17,MATCH(144,$B$29:$GQ$29,0))</f>
        <v>Peat</v>
      </c>
      <c r="EP3" s="1" t="str">
        <f>INDEX($B$17:$GQ$17,MATCH(145,$B$29:$GQ$29,0))</f>
        <v>Crude petroleum and services related to crude oil extraction, excluding surveying</v>
      </c>
      <c r="EQ3" s="1" t="str">
        <f>INDEX($B$17:$GQ$17,MATCH(146,$B$29:$GQ$29,0))</f>
        <v>Natural Gas Liquids</v>
      </c>
      <c r="ER3" s="1" t="str">
        <f>INDEX($B$17:$GQ$17,MATCH(147,$B$29:$GQ$29,0))</f>
        <v>Other Hydrocarbons</v>
      </c>
      <c r="ES3" s="1" t="str">
        <f>INDEX($B$17:$GQ$17,MATCH(148,$B$29:$GQ$29,0))</f>
        <v>Uranium and thorium ores (12)</v>
      </c>
      <c r="ET3" s="1" t="str">
        <f>INDEX($B$17:$GQ$17,MATCH(149,$B$29:$GQ$29,0))</f>
        <v>Iron ores</v>
      </c>
      <c r="EU3" s="1" t="str">
        <f>INDEX($B$17:$GQ$17,MATCH(150,$B$29:$GQ$29,0))</f>
        <v>Copper ores and concentrates</v>
      </c>
      <c r="EV3" s="1" t="str">
        <f>INDEX($B$17:$GQ$17,MATCH(151,$B$29:$GQ$29,0))</f>
        <v>Nickel ores and concentrates</v>
      </c>
      <c r="EW3" s="1" t="str">
        <f>INDEX($B$17:$GQ$17,MATCH(152,$B$29:$GQ$29,0))</f>
        <v>Aluminium ores and concentrates</v>
      </c>
      <c r="EX3" s="1" t="str">
        <f>INDEX($B$17:$GQ$17,MATCH(153,$B$29:$GQ$29,0))</f>
        <v>Precious metal ores and concentrates</v>
      </c>
      <c r="EY3" s="1" t="str">
        <f>INDEX($B$17:$GQ$17,MATCH(154,$B$29:$GQ$29,0))</f>
        <v>Lead, zinc and tin ores and concentrates</v>
      </c>
      <c r="EZ3" s="1" t="str">
        <f>INDEX($B$17:$GQ$17,MATCH(155,$B$29:$GQ$29,0))</f>
        <v>Other non-ferrous metal ores and concentrates</v>
      </c>
      <c r="FA3" s="1" t="str">
        <f>INDEX($B$17:$GQ$17,MATCH(156,$B$29:$GQ$29,0))</f>
        <v>Stone</v>
      </c>
      <c r="FB3" s="1" t="str">
        <f>INDEX($B$17:$GQ$17,MATCH(157,$B$29:$GQ$29,0))</f>
        <v>Sand and clay</v>
      </c>
      <c r="FC3" s="1" t="str">
        <f>INDEX($B$17:$GQ$17,MATCH(158,$B$29:$GQ$29,0))</f>
        <v>Chemical and fertilizer minerals, salt and other mining and quarrying products n.e.c.</v>
      </c>
      <c r="FD3" s="1" t="str">
        <f>INDEX($B$17:$GQ$17,MATCH(159,$B$29:$GQ$29,0))</f>
        <v>Pulp</v>
      </c>
      <c r="FE3" s="1" t="str">
        <f>INDEX($B$17:$GQ$17,MATCH(160,$B$29:$GQ$29,0))</f>
        <v>Secondary paper for treatment, Re-processing of secondary paper into new pulp</v>
      </c>
      <c r="FF3" s="1" t="str">
        <f>INDEX($B$17:$GQ$17,MATCH(161,$B$29:$GQ$29,0))</f>
        <v>Gas Coke</v>
      </c>
      <c r="FG3" s="1" t="str">
        <f>INDEX($B$17:$GQ$17,MATCH(162,$B$29:$GQ$29,0))</f>
        <v>Coal Tar</v>
      </c>
      <c r="FH3" s="1" t="str">
        <f>INDEX($B$17:$GQ$17,MATCH(163,$B$29:$GQ$29,0))</f>
        <v>Gasoline Type Jet Fuel</v>
      </c>
      <c r="FI3" s="1" t="str">
        <f>INDEX($B$17:$GQ$17,MATCH(164,$B$29:$GQ$29,0))</f>
        <v>Refinery Gas</v>
      </c>
      <c r="FJ3" s="1" t="str">
        <f>INDEX($B$17:$GQ$17,MATCH(165,$B$29:$GQ$29,0))</f>
        <v>Refinery Feedstocks</v>
      </c>
      <c r="FK3" s="1" t="str">
        <f>INDEX($B$17:$GQ$17,MATCH(166,$B$29:$GQ$29,0))</f>
        <v>Ethane</v>
      </c>
      <c r="FL3" s="1" t="str">
        <f>INDEX($B$17:$GQ$17,MATCH(167,$B$29:$GQ$29,0))</f>
        <v>Naphtha</v>
      </c>
      <c r="FM3" s="1" t="str">
        <f>INDEX($B$17:$GQ$17,MATCH(168,$B$29:$GQ$29,0))</f>
        <v>White Spirit &amp; SBP</v>
      </c>
      <c r="FN3" s="1" t="str">
        <f>INDEX($B$17:$GQ$17,MATCH(169,$B$29:$GQ$29,0))</f>
        <v>Lubricants</v>
      </c>
      <c r="FO3" s="1" t="str">
        <f>INDEX($B$17:$GQ$17,MATCH(170,$B$29:$GQ$29,0))</f>
        <v>Bitumen</v>
      </c>
      <c r="FP3" s="1" t="str">
        <f>INDEX($B$17:$GQ$17,MATCH(171,$B$29:$GQ$29,0))</f>
        <v>Paraffin Waxes</v>
      </c>
      <c r="FQ3" s="1" t="str">
        <f>INDEX($B$17:$GQ$17,MATCH(172,$B$29:$GQ$29,0))</f>
        <v>Petroleum Coke</v>
      </c>
      <c r="FR3" s="1" t="str">
        <f>INDEX($B$17:$GQ$17,MATCH(173,$B$29:$GQ$29,0))</f>
        <v>Non-specified Petroleum Products</v>
      </c>
      <c r="FS3" s="1" t="str">
        <f>INDEX($B$17:$GQ$17,MATCH(174,$B$29:$GQ$29,0))</f>
        <v>Nuclear fuel</v>
      </c>
      <c r="FT3" s="1" t="str">
        <f>INDEX($B$17:$GQ$17,MATCH(175,$B$29:$GQ$29,0))</f>
        <v>Charcoal</v>
      </c>
      <c r="FU3" s="1" t="str">
        <f>INDEX($B$17:$GQ$17,MATCH(176,$B$29:$GQ$29,0))</f>
        <v>Additives/Blending Components</v>
      </c>
      <c r="FV3" s="1" t="str">
        <f>INDEX($B$17:$GQ$17,MATCH(177,$B$29:$GQ$29,0))</f>
        <v>Other Liquid Biofuels</v>
      </c>
      <c r="FW3" s="1" t="str">
        <f>INDEX($B$17:$GQ$17,MATCH(178,$B$29:$GQ$29,0))</f>
        <v>Glass and glass products</v>
      </c>
      <c r="FX3" s="1" t="str">
        <f>INDEX($B$17:$GQ$17,MATCH(179,$B$29:$GQ$29,0))</f>
        <v>Secondary glass for treatment, Re-processing of secondary glass into new glass</v>
      </c>
      <c r="FY3" s="1" t="str">
        <f>INDEX($B$17:$GQ$17,MATCH(180,$B$29:$GQ$29,0))</f>
        <v>Secondary preciuos metals for treatment, Re-processing of secondary preciuos metals into new preciuos metals</v>
      </c>
      <c r="FZ3" s="1" t="str">
        <f>INDEX($B$17:$GQ$17,MATCH(181,$B$29:$GQ$29,0))</f>
        <v>Lead, zinc and tin and products thereof</v>
      </c>
      <c r="GA3" s="1" t="str">
        <f>INDEX($B$17:$GQ$17,MATCH(182,$B$29:$GQ$29,0))</f>
        <v>Secondary lead for treatment, Re-processing of secondary lead into new lead</v>
      </c>
      <c r="GB3" s="1" t="str">
        <f>INDEX($B$17:$GQ$17,MATCH(183,$B$29:$GQ$29,0))</f>
        <v>Copper products</v>
      </c>
      <c r="GC3" s="1" t="str">
        <f>INDEX($B$17:$GQ$17,MATCH(184,$B$29:$GQ$29,0))</f>
        <v>Secondary copper for treatment, Re-processing of secondary copper into new copper</v>
      </c>
      <c r="GD3" s="1" t="str">
        <f>INDEX($B$17:$GQ$17,MATCH(185,$B$29:$GQ$29,0))</f>
        <v>Secondary other non-ferrous metals for treatment, Re-processing of secondary other non-ferrous metals into new other non-ferrous metals</v>
      </c>
      <c r="GE3" s="1" t="str">
        <f>INDEX($B$17:$GQ$17,MATCH(186,$B$29:$GQ$29,0))</f>
        <v>Secondary raw materials</v>
      </c>
      <c r="GF3" s="1" t="str">
        <f>INDEX($B$17:$GQ$17,MATCH(187,$B$29:$GQ$29,0))</f>
        <v>Bottles for treatment, Recycling of bottles by direct reuse</v>
      </c>
      <c r="GG3" s="1" t="str">
        <f>INDEX($B$17:$GQ$17,MATCH(188,$B$29:$GQ$29,0))</f>
        <v>Electricity by solar thermal</v>
      </c>
      <c r="GH3" s="1" t="str">
        <f>INDEX($B$17:$GQ$17,MATCH(189,$B$29:$GQ$29,0))</f>
        <v>Electricity by Geothermal</v>
      </c>
      <c r="GI3" s="1" t="str">
        <f>INDEX($B$17:$GQ$17,MATCH(190,$B$29:$GQ$29,0))</f>
        <v>Electricity nec</v>
      </c>
      <c r="GJ3" s="1" t="str">
        <f>INDEX($B$17:$GQ$17,MATCH(191,$B$29:$GQ$29,0))</f>
        <v>Coke oven gas</v>
      </c>
      <c r="GK3" s="1" t="str">
        <f>INDEX($B$17:$GQ$17,MATCH(192,$B$29:$GQ$29,0))</f>
        <v>Blast Furnace Gas</v>
      </c>
      <c r="GL3" s="1" t="str">
        <f>INDEX($B$17:$GQ$17,MATCH(193,$B$29:$GQ$29,0))</f>
        <v>Oxygen Steel Furnace Gas</v>
      </c>
      <c r="GM3" s="1" t="str">
        <f>INDEX($B$17:$GQ$17,MATCH(194,$B$29:$GQ$29,0))</f>
        <v>Gas Works Gas</v>
      </c>
      <c r="GN3" s="1" t="str">
        <f>INDEX($B$17:$GQ$17,MATCH(195,$B$29:$GQ$29,0))</f>
        <v>Biogas</v>
      </c>
      <c r="GO3" s="1" t="str">
        <f>INDEX($B$17:$GQ$17,MATCH(196,$B$29:$GQ$29,0))</f>
        <v>Secondary construction material for treatment, Re-processing of secondary construction material into aggregates</v>
      </c>
      <c r="GP3" s="1" t="str">
        <f>INDEX($B$17:$GQ$17,MATCH(197,$B$29:$GQ$29,0))</f>
        <v>Services auxiliary to financial intermediation (67)</v>
      </c>
      <c r="GQ3" s="1" t="str">
        <f>INDEX($B$17:$GQ$17,MATCH(198,$B$29:$GQ$29,0))</f>
        <v>Extra-territorial organizations and bodies</v>
      </c>
      <c r="GR3" s="1" t="str">
        <f>INDEX($GR$17:$HC$17,MATCH(1,$GR$30:$HC$30,0))</f>
        <v>Food nec</v>
      </c>
      <c r="GS3" s="1" t="str">
        <f>INDEX($GR$17:$HC$17,MATCH(2,$GR$30:$HC$30,0))</f>
        <v>Meat nec</v>
      </c>
      <c r="GT3" s="1" t="str">
        <f>INDEX($GR$17:$HC$17,MATCH(3,$GR$30:$HC$30,0))</f>
        <v>Final services</v>
      </c>
      <c r="GU3" s="1" t="str">
        <f>INDEX($GR$17:$HC$17,MATCH(4,$GR$30:$HC$30,0))</f>
        <v>Cattle</v>
      </c>
      <c r="GV3" s="1" t="str">
        <f>INDEX($GR$17:$HC$17,MATCH(5,$GR$30:$HC$30,0))</f>
        <v>Animal nec</v>
      </c>
      <c r="GW3" s="1" t="str">
        <f>INDEX($GR$17:$HC$17,MATCH(6,$GR$30:$HC$30,0))</f>
        <v>Dairy products</v>
      </c>
      <c r="GX3" s="1" t="str">
        <f>INDEX($GR$17:$HC$17,MATCH(7,$GR$30:$HC$30,0))</f>
        <v>Hotel &amp; restaurant</v>
      </c>
      <c r="GY3" s="1" t="str">
        <f>INDEX($GR$17:$HC$17,MATCH(8,$GR$30:$HC$30,0))</f>
        <v>Vegetables, fruits, nuts</v>
      </c>
      <c r="GZ3" s="1" t="str">
        <f>INDEX($GR$17:$HC$17,MATCH(9,$GR$30:$HC$30,0))</f>
        <v>Housing</v>
      </c>
      <c r="HA3" s="1" t="str">
        <f>INDEX($GR$17:$HC$17,MATCH(10,$GR$30:$HC$30,0))</f>
        <v>Textiles</v>
      </c>
      <c r="HB3" s="1" t="str">
        <f>INDEX($GR$17:$HC$17,MATCH(11,$GR$30:$HC$30,0))</f>
        <v>Mobility</v>
      </c>
      <c r="HC3" s="1" t="str">
        <f>INDEX($GR$17:$HC$17,MATCH(12,$GR$30:$HC$30,0))</f>
        <v>Final goods nec</v>
      </c>
    </row>
    <row r="4" spans="1:211" x14ac:dyDescent="0.45">
      <c r="A4" s="1" t="s">
        <v>3</v>
      </c>
      <c r="B4">
        <f>INDEX($B$18:$GQ$18,MATCH(1,$B$29:$GQ$29,0))</f>
        <v>9.563582264136345E-7</v>
      </c>
      <c r="C4">
        <f>INDEX($B$18:$GQ$18,MATCH(2,$B$29:$GQ$29,0))</f>
        <v>1.162090755543028E-6</v>
      </c>
      <c r="D4">
        <f>INDEX($B$18:$GQ$18,MATCH(3,$B$29:$GQ$29,0))</f>
        <v>8.2440733123036894E-7</v>
      </c>
      <c r="E4">
        <f>INDEX($B$18:$GQ$18,MATCH(4,$B$29:$GQ$29,0))</f>
        <v>1.3748972408382771E-6</v>
      </c>
      <c r="F4">
        <f>INDEX($B$18:$GQ$18,MATCH(5,$B$29:$GQ$29,0))</f>
        <v>2.5986151849054261E-7</v>
      </c>
      <c r="G4">
        <f>INDEX($B$18:$GQ$18,MATCH(6,$B$29:$GQ$29,0))</f>
        <v>3.2436223864990212E-7</v>
      </c>
      <c r="H4">
        <f>INDEX($B$18:$GQ$18,MATCH(7,$B$29:$GQ$29,0))</f>
        <v>9.9550817571121732E-8</v>
      </c>
      <c r="I4">
        <f>INDEX($B$18:$GQ$18,MATCH(8,$B$29:$GQ$29,0))</f>
        <v>7.3817084496178441E-7</v>
      </c>
      <c r="J4">
        <f>INDEX($B$18:$GQ$18,MATCH(9,$B$29:$GQ$29,0))</f>
        <v>9.1756875037756721E-8</v>
      </c>
      <c r="K4">
        <f>INDEX($B$18:$GQ$18,MATCH(10,$B$29:$GQ$29,0))</f>
        <v>6.8952169168862343E-7</v>
      </c>
      <c r="L4">
        <f>INDEX($B$18:$GQ$18,MATCH(11,$B$29:$GQ$29,0))</f>
        <v>7.676887258629875E-7</v>
      </c>
      <c r="M4">
        <f>INDEX($B$18:$GQ$18,MATCH(12,$B$29:$GQ$29,0))</f>
        <v>1.6149003824406781E-7</v>
      </c>
      <c r="N4">
        <f>INDEX($B$18:$GQ$18,MATCH(13,$B$29:$GQ$29,0))</f>
        <v>6.2634915202034821E-7</v>
      </c>
      <c r="O4">
        <f>INDEX($B$18:$GQ$18,MATCH(14,$B$29:$GQ$29,0))</f>
        <v>1.2954883668878279E-7</v>
      </c>
      <c r="P4">
        <f>INDEX($B$18:$GQ$18,MATCH(15,$B$29:$GQ$29,0))</f>
        <v>1.9601232345424151E-7</v>
      </c>
      <c r="Q4">
        <f>INDEX($B$18:$GQ$18,MATCH(16,$B$29:$GQ$29,0))</f>
        <v>9.1921041591827462E-8</v>
      </c>
      <c r="R4">
        <f>INDEX($B$18:$GQ$18,MATCH(17,$B$29:$GQ$29,0))</f>
        <v>1.169499048124611E-6</v>
      </c>
      <c r="S4">
        <f>INDEX($B$18:$GQ$18,MATCH(18,$B$29:$GQ$29,0))</f>
        <v>9.0119188399084028E-8</v>
      </c>
      <c r="T4">
        <f>INDEX($B$18:$GQ$18,MATCH(19,$B$29:$GQ$29,0))</f>
        <v>4.5514186667250052E-7</v>
      </c>
      <c r="U4">
        <f>INDEX($B$18:$GQ$18,MATCH(20,$B$29:$GQ$29,0))</f>
        <v>4.0062068332152739E-7</v>
      </c>
      <c r="V4">
        <f>INDEX($B$18:$GQ$18,MATCH(21,$B$29:$GQ$29,0))</f>
        <v>2.2928252516830449E-7</v>
      </c>
      <c r="W4">
        <f>INDEX($B$18:$GQ$18,MATCH(22,$B$29:$GQ$29,0))</f>
        <v>2.4446470434664408E-7</v>
      </c>
      <c r="X4">
        <f>INDEX($B$18:$GQ$18,MATCH(23,$B$29:$GQ$29,0))</f>
        <v>1.847772459755125E-7</v>
      </c>
      <c r="Y4">
        <f>INDEX($B$18:$GQ$18,MATCH(24,$B$29:$GQ$29,0))</f>
        <v>4.1147610665852332E-7</v>
      </c>
      <c r="Z4">
        <f>INDEX($B$18:$GQ$18,MATCH(25,$B$29:$GQ$29,0))</f>
        <v>3.1135666566157469E-7</v>
      </c>
      <c r="AA4">
        <f>INDEX($B$18:$GQ$18,MATCH(26,$B$29:$GQ$29,0))</f>
        <v>1.812402309078891E-7</v>
      </c>
      <c r="AB4">
        <f>INDEX($B$18:$GQ$18,MATCH(27,$B$29:$GQ$29,0))</f>
        <v>2.5584412216179977E-7</v>
      </c>
      <c r="AC4">
        <f>INDEX($B$18:$GQ$18,MATCH(28,$B$29:$GQ$29,0))</f>
        <v>2.7497010996498383E-7</v>
      </c>
      <c r="AD4">
        <f>INDEX($B$18:$GQ$18,MATCH(29,$B$29:$GQ$29,0))</f>
        <v>9.7035808573100315E-7</v>
      </c>
      <c r="AE4">
        <f>INDEX($B$18:$GQ$18,MATCH(30,$B$29:$GQ$29,0))</f>
        <v>7.460361703558949E-8</v>
      </c>
      <c r="AF4">
        <f>INDEX($B$18:$GQ$18,MATCH(31,$B$29:$GQ$29,0))</f>
        <v>3.2686491290570531E-7</v>
      </c>
      <c r="AG4">
        <f>INDEX($B$18:$GQ$18,MATCH(32,$B$29:$GQ$29,0))</f>
        <v>1.3966524917032329E-7</v>
      </c>
      <c r="AH4">
        <f>INDEX($B$18:$GQ$18,MATCH(33,$B$29:$GQ$29,0))</f>
        <v>7.8461559958343777E-8</v>
      </c>
      <c r="AI4">
        <f>INDEX($B$18:$GQ$18,MATCH(34,$B$29:$GQ$29,0))</f>
        <v>1.77636602709721E-7</v>
      </c>
      <c r="AJ4">
        <f>INDEX($B$18:$GQ$18,MATCH(35,$B$29:$GQ$29,0))</f>
        <v>1.189971995409446E-6</v>
      </c>
      <c r="AK4">
        <f>INDEX($B$18:$GQ$18,MATCH(36,$B$29:$GQ$29,0))</f>
        <v>9.5121405881562572E-8</v>
      </c>
      <c r="AL4">
        <f>INDEX($B$18:$GQ$18,MATCH(37,$B$29:$GQ$29,0))</f>
        <v>5.0653016802480758E-7</v>
      </c>
      <c r="AM4">
        <f>INDEX($B$18:$GQ$18,MATCH(38,$B$29:$GQ$29,0))</f>
        <v>1.35718985136444E-8</v>
      </c>
      <c r="AN4">
        <f>INDEX($B$18:$GQ$18,MATCH(39,$B$29:$GQ$29,0))</f>
        <v>2.783099895021427E-7</v>
      </c>
      <c r="AO4">
        <f>INDEX($B$18:$GQ$18,MATCH(40,$B$29:$GQ$29,0))</f>
        <v>1.4986579927698241E-7</v>
      </c>
      <c r="AP4">
        <f>INDEX($B$18:$GQ$18,MATCH(41,$B$29:$GQ$29,0))</f>
        <v>6.4911514717462903E-8</v>
      </c>
      <c r="AQ4">
        <f>INDEX($B$18:$GQ$18,MATCH(42,$B$29:$GQ$29,0))</f>
        <v>2.2587019649615981E-7</v>
      </c>
      <c r="AR4">
        <f>INDEX($B$18:$GQ$18,MATCH(43,$B$29:$GQ$29,0))</f>
        <v>1.0677636819121329E-7</v>
      </c>
      <c r="AS4">
        <f>INDEX($B$18:$GQ$18,MATCH(44,$B$29:$GQ$29,0))</f>
        <v>5.7953411591475143E-7</v>
      </c>
      <c r="AT4">
        <f>INDEX($B$18:$GQ$18,MATCH(45,$B$29:$GQ$29,0))</f>
        <v>1.7716193621352511E-6</v>
      </c>
      <c r="AU4">
        <f>INDEX($B$18:$GQ$18,MATCH(46,$B$29:$GQ$29,0))</f>
        <v>1.052408630049089E-7</v>
      </c>
      <c r="AV4">
        <f>INDEX($B$18:$GQ$18,MATCH(47,$B$29:$GQ$29,0))</f>
        <v>1.505126408532713E-7</v>
      </c>
      <c r="AW4">
        <f>INDEX($B$18:$GQ$18,MATCH(48,$B$29:$GQ$29,0))</f>
        <v>1.14807484756265E-7</v>
      </c>
      <c r="AX4">
        <f>INDEX($B$18:$GQ$18,MATCH(49,$B$29:$GQ$29,0))</f>
        <v>1.7711325594962881E-7</v>
      </c>
      <c r="AY4">
        <f>INDEX($B$18:$GQ$18,MATCH(50,$B$29:$GQ$29,0))</f>
        <v>4.8446444641155268E-8</v>
      </c>
      <c r="AZ4">
        <f>INDEX($B$18:$GQ$18,MATCH(51,$B$29:$GQ$29,0))</f>
        <v>1.2836903363054839E-7</v>
      </c>
      <c r="BA4">
        <f>INDEX($B$18:$GQ$18,MATCH(52,$B$29:$GQ$29,0))</f>
        <v>3.6751233267562559E-7</v>
      </c>
      <c r="BB4">
        <f>INDEX($B$18:$GQ$18,MATCH(53,$B$29:$GQ$29,0))</f>
        <v>1.4716505257659191E-7</v>
      </c>
      <c r="BC4">
        <f>INDEX($B$18:$GQ$18,MATCH(54,$B$29:$GQ$29,0))</f>
        <v>1.9565697605429191E-7</v>
      </c>
      <c r="BD4">
        <f>INDEX($B$18:$GQ$18,MATCH(55,$B$29:$GQ$29,0))</f>
        <v>1.282391411146381E-7</v>
      </c>
      <c r="BE4">
        <f>INDEX($B$18:$GQ$18,MATCH(56,$B$29:$GQ$29,0))</f>
        <v>1.3498002596348909E-7</v>
      </c>
      <c r="BF4">
        <f>INDEX($B$18:$GQ$18,MATCH(57,$B$29:$GQ$29,0))</f>
        <v>1.4205294149605E-7</v>
      </c>
      <c r="BG4">
        <f>INDEX($B$18:$GQ$18,MATCH(58,$B$29:$GQ$29,0))</f>
        <v>5.7664166941454323E-8</v>
      </c>
      <c r="BH4">
        <f>INDEX($B$18:$GQ$18,MATCH(59,$B$29:$GQ$29,0))</f>
        <v>8.3821810678720988E-7</v>
      </c>
      <c r="BI4">
        <f>INDEX($B$18:$GQ$18,MATCH(60,$B$29:$GQ$29,0))</f>
        <v>1.5027385877305349E-7</v>
      </c>
      <c r="BJ4">
        <f>INDEX($B$18:$GQ$18,MATCH(61,$B$29:$GQ$29,0))</f>
        <v>6.1072896177398944E-7</v>
      </c>
      <c r="BK4">
        <f>INDEX($B$18:$GQ$18,MATCH(62,$B$29:$GQ$29,0))</f>
        <v>6.7730749845460565E-8</v>
      </c>
      <c r="BL4">
        <f>INDEX($B$18:$GQ$18,MATCH(63,$B$29:$GQ$29,0))</f>
        <v>6.1391651782889178E-7</v>
      </c>
      <c r="BM4">
        <f>INDEX($B$18:$GQ$18,MATCH(64,$B$29:$GQ$29,0))</f>
        <v>1.583517410819173E-7</v>
      </c>
      <c r="BN4">
        <f>INDEX($B$18:$GQ$18,MATCH(65,$B$29:$GQ$29,0))</f>
        <v>1.171882883383441E-7</v>
      </c>
      <c r="BO4">
        <f>INDEX($B$18:$GQ$18,MATCH(66,$B$29:$GQ$29,0))</f>
        <v>1.8542706863136739E-7</v>
      </c>
      <c r="BP4">
        <f>INDEX($B$18:$GQ$18,MATCH(67,$B$29:$GQ$29,0))</f>
        <v>1.4071492234021601E-7</v>
      </c>
      <c r="BQ4">
        <f>INDEX($B$18:$GQ$18,MATCH(68,$B$29:$GQ$29,0))</f>
        <v>7.1016352866597117E-8</v>
      </c>
      <c r="BR4">
        <f>INDEX($B$18:$GQ$18,MATCH(69,$B$29:$GQ$29,0))</f>
        <v>9.6321703809900758E-8</v>
      </c>
      <c r="BS4">
        <f>INDEX($B$18:$GQ$18,MATCH(70,$B$29:$GQ$29,0))</f>
        <v>7.2842928728290379E-8</v>
      </c>
      <c r="BT4">
        <f>INDEX($B$18:$GQ$18,MATCH(71,$B$29:$GQ$29,0))</f>
        <v>2.1548689144419319E-7</v>
      </c>
      <c r="BU4">
        <f>INDEX($B$18:$GQ$18,MATCH(72,$B$29:$GQ$29,0))</f>
        <v>1.117581167086596E-7</v>
      </c>
      <c r="BV4">
        <f>INDEX($B$18:$GQ$18,MATCH(73,$B$29:$GQ$29,0))</f>
        <v>1.8242054472499379E-7</v>
      </c>
      <c r="BW4">
        <f>INDEX($B$18:$GQ$18,MATCH(74,$B$29:$GQ$29,0))</f>
        <v>1.315206555655303E-7</v>
      </c>
      <c r="BX4">
        <f>INDEX($B$18:$GQ$18,MATCH(75,$B$29:$GQ$29,0))</f>
        <v>1.707218563508449E-7</v>
      </c>
      <c r="BY4">
        <f>INDEX($B$18:$GQ$18,MATCH(76,$B$29:$GQ$29,0))</f>
        <v>1.4705729444342929E-7</v>
      </c>
      <c r="BZ4">
        <f>INDEX($B$18:$GQ$18,MATCH(77,$B$29:$GQ$29,0))</f>
        <v>1.5931929551334441E-7</v>
      </c>
      <c r="CA4">
        <f>INDEX($B$18:$GQ$18,MATCH(78,$B$29:$GQ$29,0))</f>
        <v>7.1181322347006248E-8</v>
      </c>
      <c r="CB4">
        <f>INDEX($B$18:$GQ$18,MATCH(79,$B$29:$GQ$29,0))</f>
        <v>1.3233738005862861E-7</v>
      </c>
      <c r="CC4">
        <f>INDEX($B$18:$GQ$18,MATCH(80,$B$29:$GQ$29,0))</f>
        <v>1.0026764402193931E-7</v>
      </c>
      <c r="CD4">
        <f>INDEX($B$18:$GQ$18,MATCH(81,$B$29:$GQ$29,0))</f>
        <v>1.2022441805080219E-7</v>
      </c>
      <c r="CE4">
        <f>INDEX($B$18:$GQ$18,MATCH(82,$B$29:$GQ$29,0))</f>
        <v>5.0511500006388114E-7</v>
      </c>
      <c r="CF4">
        <f>INDEX($B$18:$GQ$18,MATCH(83,$B$29:$GQ$29,0))</f>
        <v>7.973686402825315E-6</v>
      </c>
      <c r="CG4">
        <f>INDEX($B$18:$GQ$18,MATCH(84,$B$29:$GQ$29,0))</f>
        <v>7.4788665546628534E-7</v>
      </c>
      <c r="CH4">
        <f>INDEX($B$18:$GQ$18,MATCH(85,$B$29:$GQ$29,0))</f>
        <v>1.5371325573195941E-7</v>
      </c>
      <c r="CI4">
        <f>INDEX($B$18:$GQ$18,MATCH(86,$B$29:$GQ$29,0))</f>
        <v>1.031803697011014E-7</v>
      </c>
      <c r="CJ4">
        <f>INDEX($B$18:$GQ$18,MATCH(87,$B$29:$GQ$29,0))</f>
        <v>1.641203336671334E-7</v>
      </c>
      <c r="CK4">
        <f>INDEX($B$18:$GQ$18,MATCH(88,$B$29:$GQ$29,0))</f>
        <v>9.7471264977492238E-8</v>
      </c>
      <c r="CL4">
        <f>INDEX($B$18:$GQ$18,MATCH(89,$B$29:$GQ$29,0))</f>
        <v>1.0195425598196279E-7</v>
      </c>
      <c r="CM4">
        <f>INDEX($B$18:$GQ$18,MATCH(90,$B$29:$GQ$29,0))</f>
        <v>1.089245727205807E-7</v>
      </c>
      <c r="CN4">
        <f>INDEX($B$18:$GQ$18,MATCH(91,$B$29:$GQ$29,0))</f>
        <v>1.0070191222485889E-7</v>
      </c>
      <c r="CO4">
        <f>INDEX($B$18:$GQ$18,MATCH(92,$B$29:$GQ$29,0))</f>
        <v>1.4610225852176309E-7</v>
      </c>
      <c r="CP4">
        <f>INDEX($B$18:$GQ$18,MATCH(93,$B$29:$GQ$29,0))</f>
        <v>5.2836564748792642E-8</v>
      </c>
      <c r="CQ4">
        <f>INDEX($B$18:$GQ$18,MATCH(94,$B$29:$GQ$29,0))</f>
        <v>1.294415429621135E-7</v>
      </c>
      <c r="CR4">
        <f>INDEX($B$18:$GQ$18,MATCH(95,$B$29:$GQ$29,0))</f>
        <v>1.2429991711458851E-7</v>
      </c>
      <c r="CS4">
        <f>INDEX($B$18:$GQ$18,MATCH(96,$B$29:$GQ$29,0))</f>
        <v>1.2737761705192961E-7</v>
      </c>
      <c r="CT4">
        <f>INDEX($B$18:$GQ$18,MATCH(97,$B$29:$GQ$29,0))</f>
        <v>1.01667072619411E-7</v>
      </c>
      <c r="CU4">
        <f>INDEX($B$18:$GQ$18,MATCH(98,$B$29:$GQ$29,0))</f>
        <v>1.143235682810145E-7</v>
      </c>
      <c r="CV4">
        <f>INDEX($B$18:$GQ$18,MATCH(99,$B$29:$GQ$29,0))</f>
        <v>1.20912179871006E-7</v>
      </c>
      <c r="CW4">
        <f>INDEX($B$18:$GQ$18,MATCH(100,$B$29:$GQ$29,0))</f>
        <v>1.251441369698592E-7</v>
      </c>
      <c r="CX4">
        <f>INDEX($B$18:$GQ$18,MATCH(101,$B$29:$GQ$29,0))</f>
        <v>6.4010092957381758E-8</v>
      </c>
      <c r="CY4">
        <f>INDEX($B$18:$GQ$18,MATCH(102,$B$29:$GQ$29,0))</f>
        <v>1.3047813512769331E-7</v>
      </c>
      <c r="CZ4">
        <f>INDEX($B$18:$GQ$18,MATCH(103,$B$29:$GQ$29,0))</f>
        <v>1.051408632488878E-7</v>
      </c>
      <c r="DA4">
        <f>INDEX($B$18:$GQ$18,MATCH(104,$B$29:$GQ$29,0))</f>
        <v>1.3055522735230289E-7</v>
      </c>
      <c r="DB4">
        <f>INDEX($B$18:$GQ$18,MATCH(105,$B$29:$GQ$29,0))</f>
        <v>1.090186568545831E-7</v>
      </c>
      <c r="DC4">
        <f>INDEX($B$18:$GQ$18,MATCH(106,$B$29:$GQ$29,0))</f>
        <v>5.6373895559727264E-7</v>
      </c>
      <c r="DD4">
        <f>INDEX($B$18:$GQ$18,MATCH(107,$B$29:$GQ$29,0))</f>
        <v>1.018713532091006E-7</v>
      </c>
      <c r="DE4">
        <f>INDEX($B$18:$GQ$18,MATCH(108,$B$29:$GQ$29,0))</f>
        <v>0</v>
      </c>
      <c r="DF4">
        <f>INDEX($B$18:$GQ$18,MATCH(109,$B$29:$GQ$29,0))</f>
        <v>1.4738975550680571E-7</v>
      </c>
      <c r="DG4">
        <f>INDEX($B$18:$GQ$18,MATCH(110,$B$29:$GQ$29,0))</f>
        <v>1.161820331551317E-7</v>
      </c>
      <c r="DH4">
        <f>INDEX($B$18:$GQ$18,MATCH(111,$B$29:$GQ$29,0))</f>
        <v>9.4111068266445513E-8</v>
      </c>
      <c r="DI4">
        <f>INDEX($B$18:$GQ$18,MATCH(112,$B$29:$GQ$29,0))</f>
        <v>1.2555300960601059E-7</v>
      </c>
      <c r="DJ4">
        <f>INDEX($B$18:$GQ$18,MATCH(113,$B$29:$GQ$29,0))</f>
        <v>1.211789317026368E-7</v>
      </c>
      <c r="DK4">
        <f>INDEX($B$18:$GQ$18,MATCH(114,$B$29:$GQ$29,0))</f>
        <v>9.2816474609070212E-8</v>
      </c>
      <c r="DL4">
        <f>INDEX($B$18:$GQ$18,MATCH(115,$B$29:$GQ$29,0))</f>
        <v>4.046149165353971E-7</v>
      </c>
      <c r="DM4">
        <f>INDEX($B$18:$GQ$18,MATCH(116,$B$29:$GQ$29,0))</f>
        <v>1.399757075899771E-8</v>
      </c>
      <c r="DN4">
        <f>INDEX($B$18:$GQ$18,MATCH(117,$B$29:$GQ$29,0))</f>
        <v>2.9854771088964669E-7</v>
      </c>
      <c r="DO4">
        <f>INDEX($B$18:$GQ$18,MATCH(118,$B$29:$GQ$29,0))</f>
        <v>1.935162867101385E-7</v>
      </c>
      <c r="DP4">
        <f>INDEX($B$18:$GQ$18,MATCH(119,$B$29:$GQ$29,0))</f>
        <v>1.0864958612982869E-6</v>
      </c>
      <c r="DQ4">
        <f>INDEX($B$18:$GQ$18,MATCH(120,$B$29:$GQ$29,0))</f>
        <v>7.794115160974952E-8</v>
      </c>
      <c r="DR4">
        <f>INDEX($B$18:$GQ$18,MATCH(121,$B$29:$GQ$29,0))</f>
        <v>1.3717619056065721E-7</v>
      </c>
      <c r="DS4">
        <f>INDEX($B$18:$GQ$18,MATCH(122,$B$29:$GQ$29,0))</f>
        <v>1.075149793759232E-7</v>
      </c>
      <c r="DT4">
        <f>INDEX($B$18:$GQ$18,MATCH(123,$B$29:$GQ$29,0))</f>
        <v>0</v>
      </c>
      <c r="DU4">
        <f>INDEX($B$18:$GQ$18,MATCH(124,$B$29:$GQ$29,0))</f>
        <v>2.0776474790214799E-7</v>
      </c>
      <c r="DV4">
        <f>INDEX($B$18:$GQ$18,MATCH(125,$B$29:$GQ$29,0))</f>
        <v>9.2013569459071467E-8</v>
      </c>
      <c r="DW4">
        <f>INDEX($B$18:$GQ$18,MATCH(126,$B$29:$GQ$29,0))</f>
        <v>0</v>
      </c>
      <c r="DX4">
        <f>INDEX($B$18:$GQ$18,MATCH(127,$B$29:$GQ$29,0))</f>
        <v>0</v>
      </c>
      <c r="DY4">
        <f>INDEX($B$18:$GQ$18,MATCH(128,$B$29:$GQ$29,0))</f>
        <v>1.9978397900412639E-7</v>
      </c>
      <c r="DZ4">
        <f>INDEX($B$18:$GQ$18,MATCH(129,$B$29:$GQ$29,0))</f>
        <v>1.549656146119268E-8</v>
      </c>
      <c r="EA4">
        <f>INDEX($B$18:$GQ$18,MATCH(130,$B$29:$GQ$29,0))</f>
        <v>1.9612721507246889E-7</v>
      </c>
      <c r="EB4">
        <f>INDEX($B$18:$GQ$18,MATCH(131,$B$29:$GQ$29,0))</f>
        <v>0</v>
      </c>
      <c r="EC4">
        <f>INDEX($B$18:$GQ$18,MATCH(132,$B$29:$GQ$29,0))</f>
        <v>1.5596833061079129E-7</v>
      </c>
      <c r="ED4">
        <f>INDEX($B$18:$GQ$18,MATCH(133,$B$29:$GQ$29,0))</f>
        <v>1.3153944045246481E-7</v>
      </c>
      <c r="EE4">
        <f>INDEX($B$18:$GQ$18,MATCH(134,$B$29:$GQ$29,0))</f>
        <v>8.437324530075573E-9</v>
      </c>
      <c r="EF4">
        <f>INDEX($B$18:$GQ$18,MATCH(135,$B$29:$GQ$29,0))</f>
        <v>1.037466274985125E-6</v>
      </c>
      <c r="EG4">
        <f>INDEX($B$18:$GQ$18,MATCH(136,$B$29:$GQ$29,0))</f>
        <v>7.6741295501530391E-7</v>
      </c>
      <c r="EH4">
        <f>INDEX($B$18:$GQ$18,MATCH(137,$B$29:$GQ$29,0))</f>
        <v>9.6721344030320336E-7</v>
      </c>
      <c r="EI4">
        <f>INDEX($B$18:$GQ$18,MATCH(138,$B$29:$GQ$29,0))</f>
        <v>0</v>
      </c>
      <c r="EJ4">
        <f>INDEX($B$18:$GQ$18,MATCH(139,$B$29:$GQ$29,0))</f>
        <v>0</v>
      </c>
      <c r="EK4">
        <f>INDEX($B$18:$GQ$18,MATCH(140,$B$29:$GQ$29,0))</f>
        <v>0</v>
      </c>
      <c r="EL4">
        <f>INDEX($B$18:$GQ$18,MATCH(141,$B$29:$GQ$29,0))</f>
        <v>0</v>
      </c>
      <c r="EM4">
        <f>INDEX($B$18:$GQ$18,MATCH(142,$B$29:$GQ$29,0))</f>
        <v>0</v>
      </c>
      <c r="EN4">
        <f>INDEX($B$18:$GQ$18,MATCH(143,$B$29:$GQ$29,0))</f>
        <v>0</v>
      </c>
      <c r="EO4">
        <f>INDEX($B$18:$GQ$18,MATCH(144,$B$29:$GQ$29,0))</f>
        <v>0</v>
      </c>
      <c r="EP4">
        <f>INDEX($B$18:$GQ$18,MATCH(145,$B$29:$GQ$29,0))</f>
        <v>5.5324883463532147E-7</v>
      </c>
      <c r="EQ4">
        <f>INDEX($B$18:$GQ$18,MATCH(146,$B$29:$GQ$29,0))</f>
        <v>3.9348212338570753E-8</v>
      </c>
      <c r="ER4">
        <f>INDEX($B$18:$GQ$18,MATCH(147,$B$29:$GQ$29,0))</f>
        <v>0</v>
      </c>
      <c r="ES4">
        <f>INDEX($B$18:$GQ$18,MATCH(148,$B$29:$GQ$29,0))</f>
        <v>0</v>
      </c>
      <c r="ET4">
        <f>INDEX($B$18:$GQ$18,MATCH(149,$B$29:$GQ$29,0))</f>
        <v>0</v>
      </c>
      <c r="EU4">
        <f>INDEX($B$18:$GQ$18,MATCH(150,$B$29:$GQ$29,0))</f>
        <v>0</v>
      </c>
      <c r="EV4">
        <f>INDEX($B$18:$GQ$18,MATCH(151,$B$29:$GQ$29,0))</f>
        <v>0</v>
      </c>
      <c r="EW4">
        <f>INDEX($B$18:$GQ$18,MATCH(152,$B$29:$GQ$29,0))</f>
        <v>0</v>
      </c>
      <c r="EX4">
        <f>INDEX($B$18:$GQ$18,MATCH(153,$B$29:$GQ$29,0))</f>
        <v>0</v>
      </c>
      <c r="EY4">
        <f>INDEX($B$18:$GQ$18,MATCH(154,$B$29:$GQ$29,0))</f>
        <v>0</v>
      </c>
      <c r="EZ4">
        <f>INDEX($B$18:$GQ$18,MATCH(155,$B$29:$GQ$29,0))</f>
        <v>6.6092424452223171E-8</v>
      </c>
      <c r="FA4">
        <f>INDEX($B$18:$GQ$18,MATCH(156,$B$29:$GQ$29,0))</f>
        <v>4.4103925259707993E-8</v>
      </c>
      <c r="FB4">
        <f>INDEX($B$18:$GQ$18,MATCH(157,$B$29:$GQ$29,0))</f>
        <v>1.2496269555462901E-9</v>
      </c>
      <c r="FC4">
        <f>INDEX($B$18:$GQ$18,MATCH(158,$B$29:$GQ$29,0))</f>
        <v>2.6575543027131E-8</v>
      </c>
      <c r="FD4">
        <f>INDEX($B$18:$GQ$18,MATCH(159,$B$29:$GQ$29,0))</f>
        <v>1.5329343616679581E-7</v>
      </c>
      <c r="FE4">
        <f>INDEX($B$18:$GQ$18,MATCH(160,$B$29:$GQ$29,0))</f>
        <v>1.4126377142389611E-7</v>
      </c>
      <c r="FF4">
        <f>INDEX($B$18:$GQ$18,MATCH(161,$B$29:$GQ$29,0))</f>
        <v>0</v>
      </c>
      <c r="FG4">
        <f>INDEX($B$18:$GQ$18,MATCH(162,$B$29:$GQ$29,0))</f>
        <v>3.4744028378375399E-7</v>
      </c>
      <c r="FH4">
        <f>INDEX($B$18:$GQ$18,MATCH(163,$B$29:$GQ$29,0))</f>
        <v>0</v>
      </c>
      <c r="FI4">
        <f>INDEX($B$18:$GQ$18,MATCH(164,$B$29:$GQ$29,0))</f>
        <v>6.6482757103286972E-10</v>
      </c>
      <c r="FJ4">
        <f>INDEX($B$18:$GQ$18,MATCH(165,$B$29:$GQ$29,0))</f>
        <v>1.2689800418337161E-7</v>
      </c>
      <c r="FK4">
        <f>INDEX($B$18:$GQ$18,MATCH(166,$B$29:$GQ$29,0))</f>
        <v>0</v>
      </c>
      <c r="FL4">
        <f>INDEX($B$18:$GQ$18,MATCH(167,$B$29:$GQ$29,0))</f>
        <v>6.9707518372691694E-8</v>
      </c>
      <c r="FM4">
        <f>INDEX($B$18:$GQ$18,MATCH(168,$B$29:$GQ$29,0))</f>
        <v>1.4265784075786709E-7</v>
      </c>
      <c r="FN4">
        <f>INDEX($B$18:$GQ$18,MATCH(169,$B$29:$GQ$29,0))</f>
        <v>2.4113195330561751E-7</v>
      </c>
      <c r="FO4">
        <f>INDEX($B$18:$GQ$18,MATCH(170,$B$29:$GQ$29,0))</f>
        <v>2.6375571991831621E-8</v>
      </c>
      <c r="FP4">
        <f>INDEX($B$18:$GQ$18,MATCH(171,$B$29:$GQ$29,0))</f>
        <v>2.938649597770802E-8</v>
      </c>
      <c r="FQ4">
        <f>INDEX($B$18:$GQ$18,MATCH(172,$B$29:$GQ$29,0))</f>
        <v>4.4209138192951558E-8</v>
      </c>
      <c r="FR4">
        <f>INDEX($B$18:$GQ$18,MATCH(173,$B$29:$GQ$29,0))</f>
        <v>2.813520694022735E-8</v>
      </c>
      <c r="FS4">
        <f>INDEX($B$18:$GQ$18,MATCH(174,$B$29:$GQ$29,0))</f>
        <v>8.8193655224458343E-10</v>
      </c>
      <c r="FT4">
        <f>INDEX($B$18:$GQ$18,MATCH(175,$B$29:$GQ$29,0))</f>
        <v>0</v>
      </c>
      <c r="FU4">
        <f>INDEX($B$18:$GQ$18,MATCH(176,$B$29:$GQ$29,0))</f>
        <v>6.7335615065781685E-8</v>
      </c>
      <c r="FV4">
        <f>INDEX($B$18:$GQ$18,MATCH(177,$B$29:$GQ$29,0))</f>
        <v>0</v>
      </c>
      <c r="FW4">
        <f>INDEX($B$18:$GQ$18,MATCH(178,$B$29:$GQ$29,0))</f>
        <v>1.640547513325123E-7</v>
      </c>
      <c r="FX4">
        <f>INDEX($B$18:$GQ$18,MATCH(179,$B$29:$GQ$29,0))</f>
        <v>1.2525838161920041E-7</v>
      </c>
      <c r="FY4">
        <f>INDEX($B$18:$GQ$18,MATCH(180,$B$29:$GQ$29,0))</f>
        <v>0</v>
      </c>
      <c r="FZ4">
        <f>INDEX($B$18:$GQ$18,MATCH(181,$B$29:$GQ$29,0))</f>
        <v>2.7828952421356978E-7</v>
      </c>
      <c r="GA4">
        <f>INDEX($B$18:$GQ$18,MATCH(182,$B$29:$GQ$29,0))</f>
        <v>3.1645014710465988E-7</v>
      </c>
      <c r="GB4">
        <f>INDEX($B$18:$GQ$18,MATCH(183,$B$29:$GQ$29,0))</f>
        <v>2.8617865846712458E-7</v>
      </c>
      <c r="GC4">
        <f>INDEX($B$18:$GQ$18,MATCH(184,$B$29:$GQ$29,0))</f>
        <v>0</v>
      </c>
      <c r="GD4">
        <f>INDEX($B$18:$GQ$18,MATCH(185,$B$29:$GQ$29,0))</f>
        <v>0</v>
      </c>
      <c r="GE4">
        <f>INDEX($B$18:$GQ$18,MATCH(186,$B$29:$GQ$29,0))</f>
        <v>0</v>
      </c>
      <c r="GF4">
        <f>INDEX($B$18:$GQ$18,MATCH(187,$B$29:$GQ$29,0))</f>
        <v>0</v>
      </c>
      <c r="GG4">
        <f>INDEX($B$18:$GQ$18,MATCH(188,$B$29:$GQ$29,0))</f>
        <v>0</v>
      </c>
      <c r="GH4">
        <f>INDEX($B$18:$GQ$18,MATCH(189,$B$29:$GQ$29,0))</f>
        <v>0</v>
      </c>
      <c r="GI4">
        <f>INDEX($B$18:$GQ$18,MATCH(190,$B$29:$GQ$29,0))</f>
        <v>0</v>
      </c>
      <c r="GJ4">
        <f>INDEX($B$18:$GQ$18,MATCH(191,$B$29:$GQ$29,0))</f>
        <v>1.6049222826296421E-8</v>
      </c>
      <c r="GK4">
        <f>INDEX($B$18:$GQ$18,MATCH(192,$B$29:$GQ$29,0))</f>
        <v>3.2905445054558863E-8</v>
      </c>
      <c r="GL4">
        <f>INDEX($B$18:$GQ$18,MATCH(193,$B$29:$GQ$29,0))</f>
        <v>3.0654473696556991E-15</v>
      </c>
      <c r="GM4">
        <f>INDEX($B$18:$GQ$18,MATCH(194,$B$29:$GQ$29,0))</f>
        <v>0</v>
      </c>
      <c r="GN4">
        <f>INDEX($B$18:$GQ$18,MATCH(195,$B$29:$GQ$29,0))</f>
        <v>6.8245669433819364E-8</v>
      </c>
      <c r="GO4">
        <f>INDEX($B$18:$GQ$18,MATCH(196,$B$29:$GQ$29,0))</f>
        <v>0</v>
      </c>
      <c r="GP4">
        <f>INDEX($B$18:$GQ$18,MATCH(197,$B$29:$GQ$29,0))</f>
        <v>1.71957459925718E-7</v>
      </c>
      <c r="GQ4">
        <f>INDEX($B$18:$GQ$18,MATCH(198,$B$29:$GQ$29,0))</f>
        <v>0</v>
      </c>
      <c r="GR4">
        <f>INDEX($GR$18:$HC$18,MATCH(1,$GR$30:$HC$30,0))</f>
        <v>8.4239202800890598E-7</v>
      </c>
      <c r="GS4">
        <f>INDEX($GR$18:$HC$18,MATCH(2,$GR$30:$HC$30,0))</f>
        <v>1.0503551991342661E-6</v>
      </c>
      <c r="GT4">
        <f>INDEX($GR$18:$HC$18,MATCH(3,$GR$30:$HC$30,0))</f>
        <v>1.162214034704845E-7</v>
      </c>
      <c r="GU4">
        <f>INDEX($GR$18:$HC$18,MATCH(4,$GR$30:$HC$30,0))</f>
        <v>1.162090755543028E-6</v>
      </c>
      <c r="GV4">
        <f>INDEX($GR$18:$HC$18,MATCH(5,$GR$30:$HC$30,0))</f>
        <v>8.5187002774456405E-7</v>
      </c>
      <c r="GW4">
        <f>INDEX($GR$18:$HC$18,MATCH(6,$GR$30:$HC$30,0))</f>
        <v>8.3023304233197171E-7</v>
      </c>
      <c r="GX4">
        <f>INDEX($GR$18:$HC$18,MATCH(7,$GR$30:$HC$30,0))</f>
        <v>2.5986151849054261E-7</v>
      </c>
      <c r="GY4">
        <f>INDEX($GR$18:$HC$18,MATCH(8,$GR$30:$HC$30,0))</f>
        <v>3.2511963782084523E-7</v>
      </c>
      <c r="GZ4">
        <f>INDEX($GR$18:$HC$18,MATCH(9,$GR$30:$HC$30,0))</f>
        <v>1.183293075617288E-7</v>
      </c>
      <c r="HA4">
        <f>INDEX($GR$18:$HC$18,MATCH(10,$GR$30:$HC$30,0))</f>
        <v>3.0504786348115439E-7</v>
      </c>
      <c r="HB4">
        <f>INDEX($GR$18:$HC$18,MATCH(11,$GR$30:$HC$30,0))</f>
        <v>1.8774941734182401E-7</v>
      </c>
      <c r="HC4">
        <f>INDEX($GR$18:$HC$18,MATCH(12,$GR$30:$HC$30,0))</f>
        <v>1.9237833691555299E-7</v>
      </c>
    </row>
    <row r="5" spans="1:211" x14ac:dyDescent="0.45">
      <c r="A5" s="1" t="s">
        <v>4</v>
      </c>
      <c r="B5">
        <f>INDEX($B$19:$GQ$19,MATCH(1,$B$29:$GQ$29,0))</f>
        <v>7.2262991969008888E-6</v>
      </c>
      <c r="C5">
        <f>INDEX($B$19:$GQ$19,MATCH(2,$B$29:$GQ$29,0))</f>
        <v>3.0807972674529738E-5</v>
      </c>
      <c r="D5">
        <f>INDEX($B$19:$GQ$19,MATCH(3,$B$29:$GQ$29,0))</f>
        <v>1.177074266357902E-5</v>
      </c>
      <c r="E5">
        <f>INDEX($B$19:$GQ$19,MATCH(4,$B$29:$GQ$29,0))</f>
        <v>4.6003097174852146E-6</v>
      </c>
      <c r="F5">
        <f>INDEX($B$19:$GQ$19,MATCH(5,$B$29:$GQ$29,0))</f>
        <v>7.9800679651856247E-7</v>
      </c>
      <c r="G5">
        <f>INDEX($B$19:$GQ$19,MATCH(6,$B$29:$GQ$29,0))</f>
        <v>2.5726120601574319E-6</v>
      </c>
      <c r="H5">
        <f>INDEX($B$19:$GQ$19,MATCH(7,$B$29:$GQ$29,0))</f>
        <v>1.006915186032617E-5</v>
      </c>
      <c r="I5">
        <f>INDEX($B$19:$GQ$19,MATCH(8,$B$29:$GQ$29,0))</f>
        <v>1.6520719701374828E-5</v>
      </c>
      <c r="J5">
        <f>INDEX($B$19:$GQ$19,MATCH(9,$B$29:$GQ$29,0))</f>
        <v>8.9908999984136543E-8</v>
      </c>
      <c r="K5">
        <f>INDEX($B$19:$GQ$19,MATCH(10,$B$29:$GQ$29,0))</f>
        <v>1.780880467698336E-5</v>
      </c>
      <c r="L5">
        <f>INDEX($B$19:$GQ$19,MATCH(11,$B$29:$GQ$29,0))</f>
        <v>3.9590235870939968E-6</v>
      </c>
      <c r="M5">
        <f>INDEX($B$19:$GQ$19,MATCH(12,$B$29:$GQ$29,0))</f>
        <v>3.6656527779837049E-5</v>
      </c>
      <c r="N5">
        <f>INDEX($B$19:$GQ$19,MATCH(13,$B$29:$GQ$29,0))</f>
        <v>3.7362176177303662E-6</v>
      </c>
      <c r="O5">
        <f>INDEX($B$19:$GQ$19,MATCH(14,$B$29:$GQ$29,0))</f>
        <v>4.7012859497319722E-8</v>
      </c>
      <c r="P5">
        <f>INDEX($B$19:$GQ$19,MATCH(15,$B$29:$GQ$29,0))</f>
        <v>2.2413854849494411E-7</v>
      </c>
      <c r="Q5">
        <f>INDEX($B$19:$GQ$19,MATCH(16,$B$29:$GQ$29,0))</f>
        <v>1.451651832948624E-7</v>
      </c>
      <c r="R5">
        <f>INDEX($B$19:$GQ$19,MATCH(17,$B$29:$GQ$29,0))</f>
        <v>9.1479888309904397E-6</v>
      </c>
      <c r="S5">
        <f>INDEX($B$19:$GQ$19,MATCH(18,$B$29:$GQ$29,0))</f>
        <v>2.698403590653053E-8</v>
      </c>
      <c r="T5">
        <f>INDEX($B$19:$GQ$19,MATCH(19,$B$29:$GQ$29,0))</f>
        <v>7.7345110730819912E-6</v>
      </c>
      <c r="U5">
        <f>INDEX($B$19:$GQ$19,MATCH(20,$B$29:$GQ$29,0))</f>
        <v>7.1285637555133313E-7</v>
      </c>
      <c r="V5">
        <f>INDEX($B$19:$GQ$19,MATCH(21,$B$29:$GQ$29,0))</f>
        <v>5.423371883285978E-8</v>
      </c>
      <c r="W5">
        <f>INDEX($B$19:$GQ$19,MATCH(22,$B$29:$GQ$29,0))</f>
        <v>1.450436944088611E-7</v>
      </c>
      <c r="X5">
        <f>INDEX($B$19:$GQ$19,MATCH(23,$B$29:$GQ$29,0))</f>
        <v>3.4173205250528609E-8</v>
      </c>
      <c r="Y5">
        <f>INDEX($B$19:$GQ$19,MATCH(24,$B$29:$GQ$29,0))</f>
        <v>1.0181780250447739E-7</v>
      </c>
      <c r="Z5">
        <f>INDEX($B$19:$GQ$19,MATCH(25,$B$29:$GQ$29,0))</f>
        <v>1.789687237123925E-7</v>
      </c>
      <c r="AA5">
        <f>INDEX($B$19:$GQ$19,MATCH(26,$B$29:$GQ$29,0))</f>
        <v>4.5330117284090579E-8</v>
      </c>
      <c r="AB5">
        <f>INDEX($B$19:$GQ$19,MATCH(27,$B$29:$GQ$29,0))</f>
        <v>1.3434396346803421E-5</v>
      </c>
      <c r="AC5">
        <f>INDEX($B$19:$GQ$19,MATCH(28,$B$29:$GQ$29,0))</f>
        <v>7.5053852046088701E-8</v>
      </c>
      <c r="AD5">
        <f>INDEX($B$19:$GQ$19,MATCH(29,$B$29:$GQ$29,0))</f>
        <v>2.5582214471894641E-5</v>
      </c>
      <c r="AE5">
        <f>INDEX($B$19:$GQ$19,MATCH(30,$B$29:$GQ$29,0))</f>
        <v>6.6825933586863127E-6</v>
      </c>
      <c r="AF5">
        <f>INDEX($B$19:$GQ$19,MATCH(31,$B$29:$GQ$29,0))</f>
        <v>1.597476612491968E-7</v>
      </c>
      <c r="AG5">
        <f>INDEX($B$19:$GQ$19,MATCH(32,$B$29:$GQ$29,0))</f>
        <v>3.7760795285304633E-8</v>
      </c>
      <c r="AH5">
        <f>INDEX($B$19:$GQ$19,MATCH(33,$B$29:$GQ$29,0))</f>
        <v>4.0384876715038818E-8</v>
      </c>
      <c r="AI5">
        <f>INDEX($B$19:$GQ$19,MATCH(34,$B$29:$GQ$29,0))</f>
        <v>6.4849831096972697E-8</v>
      </c>
      <c r="AJ5">
        <f>INDEX($B$19:$GQ$19,MATCH(35,$B$29:$GQ$29,0))</f>
        <v>3.7569827484618037E-5</v>
      </c>
      <c r="AK5">
        <f>INDEX($B$19:$GQ$19,MATCH(36,$B$29:$GQ$29,0))</f>
        <v>2.0951537548129479E-8</v>
      </c>
      <c r="AL5">
        <f>INDEX($B$19:$GQ$19,MATCH(37,$B$29:$GQ$29,0))</f>
        <v>4.131704507868988E-8</v>
      </c>
      <c r="AM5">
        <f>INDEX($B$19:$GQ$19,MATCH(38,$B$29:$GQ$29,0))</f>
        <v>8.3873096268230139E-8</v>
      </c>
      <c r="AN5">
        <f>INDEX($B$19:$GQ$19,MATCH(39,$B$29:$GQ$29,0))</f>
        <v>1.136335157107407E-8</v>
      </c>
      <c r="AO5">
        <f>INDEX($B$19:$GQ$19,MATCH(40,$B$29:$GQ$29,0))</f>
        <v>2.6268965805937219E-8</v>
      </c>
      <c r="AP5">
        <f>INDEX($B$19:$GQ$19,MATCH(41,$B$29:$GQ$29,0))</f>
        <v>8.2463490302808468E-6</v>
      </c>
      <c r="AQ5">
        <f>INDEX($B$19:$GQ$19,MATCH(42,$B$29:$GQ$29,0))</f>
        <v>1.8424038965719709E-8</v>
      </c>
      <c r="AR5">
        <f>INDEX($B$19:$GQ$19,MATCH(43,$B$29:$GQ$29,0))</f>
        <v>7.3361518411489867E-8</v>
      </c>
      <c r="AS5">
        <f>INDEX($B$19:$GQ$19,MATCH(44,$B$29:$GQ$29,0))</f>
        <v>3.6991552287498117E-8</v>
      </c>
      <c r="AT5">
        <f>INDEX($B$19:$GQ$19,MATCH(45,$B$29:$GQ$29,0))</f>
        <v>1.8844074891071561E-6</v>
      </c>
      <c r="AU5">
        <f>INDEX($B$19:$GQ$19,MATCH(46,$B$29:$GQ$29,0))</f>
        <v>2.6719832136117599E-8</v>
      </c>
      <c r="AV5">
        <f>INDEX($B$19:$GQ$19,MATCH(47,$B$29:$GQ$29,0))</f>
        <v>2.061188136560214E-5</v>
      </c>
      <c r="AW5">
        <f>INDEX($B$19:$GQ$19,MATCH(48,$B$29:$GQ$29,0))</f>
        <v>2.7633737373532649E-8</v>
      </c>
      <c r="AX5">
        <f>INDEX($B$19:$GQ$19,MATCH(49,$B$29:$GQ$29,0))</f>
        <v>4.9153019337002268E-8</v>
      </c>
      <c r="AY5">
        <f>INDEX($B$19:$GQ$19,MATCH(50,$B$29:$GQ$29,0))</f>
        <v>7.3294606056648292E-9</v>
      </c>
      <c r="AZ5">
        <f>INDEX($B$19:$GQ$19,MATCH(51,$B$29:$GQ$29,0))</f>
        <v>2.8235065554741189E-8</v>
      </c>
      <c r="BA5">
        <f>INDEX($B$19:$GQ$19,MATCH(52,$B$29:$GQ$29,0))</f>
        <v>1.459919461588823E-7</v>
      </c>
      <c r="BB5">
        <f>INDEX($B$19:$GQ$19,MATCH(53,$B$29:$GQ$29,0))</f>
        <v>2.4557731827098412E-8</v>
      </c>
      <c r="BC5">
        <f>INDEX($B$19:$GQ$19,MATCH(54,$B$29:$GQ$29,0))</f>
        <v>4.3168030624928193E-8</v>
      </c>
      <c r="BD5">
        <f>INDEX($B$19:$GQ$19,MATCH(55,$B$29:$GQ$29,0))</f>
        <v>3.4156994547641381E-8</v>
      </c>
      <c r="BE5">
        <f>INDEX($B$19:$GQ$19,MATCH(56,$B$29:$GQ$29,0))</f>
        <v>4.265137191969748E-8</v>
      </c>
      <c r="BF5">
        <f>INDEX($B$19:$GQ$19,MATCH(57,$B$29:$GQ$29,0))</f>
        <v>2.476374200846973E-8</v>
      </c>
      <c r="BG5">
        <f>INDEX($B$19:$GQ$19,MATCH(58,$B$29:$GQ$29,0))</f>
        <v>9.89563638339756E-8</v>
      </c>
      <c r="BH5">
        <f>INDEX($B$19:$GQ$19,MATCH(59,$B$29:$GQ$29,0))</f>
        <v>9.5792155114380134E-8</v>
      </c>
      <c r="BI5">
        <f>INDEX($B$19:$GQ$19,MATCH(60,$B$29:$GQ$29,0))</f>
        <v>3.7117285336378478E-8</v>
      </c>
      <c r="BJ5">
        <f>INDEX($B$19:$GQ$19,MATCH(61,$B$29:$GQ$29,0))</f>
        <v>1.3871181111344379E-7</v>
      </c>
      <c r="BK5">
        <f>INDEX($B$19:$GQ$19,MATCH(62,$B$29:$GQ$29,0))</f>
        <v>2.4143239976211351E-8</v>
      </c>
      <c r="BL5">
        <f>INDEX($B$19:$GQ$19,MATCH(63,$B$29:$GQ$29,0))</f>
        <v>3.475201479205949E-6</v>
      </c>
      <c r="BM5">
        <f>INDEX($B$19:$GQ$19,MATCH(64,$B$29:$GQ$29,0))</f>
        <v>2.315346716065382E-8</v>
      </c>
      <c r="BN5">
        <f>INDEX($B$19:$GQ$19,MATCH(65,$B$29:$GQ$29,0))</f>
        <v>2.9707067993992731E-8</v>
      </c>
      <c r="BO5">
        <f>INDEX($B$19:$GQ$19,MATCH(66,$B$29:$GQ$29,0))</f>
        <v>7.7356212755439856E-8</v>
      </c>
      <c r="BP5">
        <f>INDEX($B$19:$GQ$19,MATCH(67,$B$29:$GQ$29,0))</f>
        <v>2.7551366710559261E-8</v>
      </c>
      <c r="BQ5">
        <f>INDEX($B$19:$GQ$19,MATCH(68,$B$29:$GQ$29,0))</f>
        <v>8.8115263752534289E-9</v>
      </c>
      <c r="BR5">
        <f>INDEX($B$19:$GQ$19,MATCH(69,$B$29:$GQ$29,0))</f>
        <v>3.3284386096309333E-8</v>
      </c>
      <c r="BS5">
        <f>INDEX($B$19:$GQ$19,MATCH(70,$B$29:$GQ$29,0))</f>
        <v>2.7941165508130309E-8</v>
      </c>
      <c r="BT5">
        <f>INDEX($B$19:$GQ$19,MATCH(71,$B$29:$GQ$29,0))</f>
        <v>1.5769083075784051E-7</v>
      </c>
      <c r="BU5">
        <f>INDEX($B$19:$GQ$19,MATCH(72,$B$29:$GQ$29,0))</f>
        <v>9.29118514184231E-8</v>
      </c>
      <c r="BV5">
        <f>INDEX($B$19:$GQ$19,MATCH(73,$B$29:$GQ$29,0))</f>
        <v>4.3836212201585382E-8</v>
      </c>
      <c r="BW5">
        <f>INDEX($B$19:$GQ$19,MATCH(74,$B$29:$GQ$29,0))</f>
        <v>3.2600033978363401E-7</v>
      </c>
      <c r="BX5">
        <f>INDEX($B$19:$GQ$19,MATCH(75,$B$29:$GQ$29,0))</f>
        <v>6.7303642853971924E-8</v>
      </c>
      <c r="BY5">
        <f>INDEX($B$19:$GQ$19,MATCH(76,$B$29:$GQ$29,0))</f>
        <v>2.9719831990386768E-8</v>
      </c>
      <c r="BZ5">
        <f>INDEX($B$19:$GQ$19,MATCH(77,$B$29:$GQ$29,0))</f>
        <v>3.1458662902103187E-8</v>
      </c>
      <c r="CA5">
        <f>INDEX($B$19:$GQ$19,MATCH(78,$B$29:$GQ$29,0))</f>
        <v>9.4475521687229287E-9</v>
      </c>
      <c r="CB5">
        <f>INDEX($B$19:$GQ$19,MATCH(79,$B$29:$GQ$29,0))</f>
        <v>1.07945832148739E-8</v>
      </c>
      <c r="CC5">
        <f>INDEX($B$19:$GQ$19,MATCH(80,$B$29:$GQ$29,0))</f>
        <v>3.624172034714321E-8</v>
      </c>
      <c r="CD5">
        <f>INDEX($B$19:$GQ$19,MATCH(81,$B$29:$GQ$29,0))</f>
        <v>9.9445668126821733E-8</v>
      </c>
      <c r="CE5">
        <f>INDEX($B$19:$GQ$19,MATCH(82,$B$29:$GQ$29,0))</f>
        <v>3.6748255302046957E-8</v>
      </c>
      <c r="CF5">
        <f>INDEX($B$19:$GQ$19,MATCH(83,$B$29:$GQ$29,0))</f>
        <v>6.2646186795725566E-7</v>
      </c>
      <c r="CG5">
        <f>INDEX($B$19:$GQ$19,MATCH(84,$B$29:$GQ$29,0))</f>
        <v>1.096554635845709E-7</v>
      </c>
      <c r="CH5">
        <f>INDEX($B$19:$GQ$19,MATCH(85,$B$29:$GQ$29,0))</f>
        <v>2.8339228392589812E-8</v>
      </c>
      <c r="CI5">
        <f>INDEX($B$19:$GQ$19,MATCH(86,$B$29:$GQ$29,0))</f>
        <v>3.6634948004831291E-8</v>
      </c>
      <c r="CJ5">
        <f>INDEX($B$19:$GQ$19,MATCH(87,$B$29:$GQ$29,0))</f>
        <v>4.5702448669608011E-8</v>
      </c>
      <c r="CK5">
        <f>INDEX($B$19:$GQ$19,MATCH(88,$B$29:$GQ$29,0))</f>
        <v>3.6309665438447158E-8</v>
      </c>
      <c r="CL5">
        <f>INDEX($B$19:$GQ$19,MATCH(89,$B$29:$GQ$29,0))</f>
        <v>3.6505751420794619E-8</v>
      </c>
      <c r="CM5">
        <f>INDEX($B$19:$GQ$19,MATCH(90,$B$29:$GQ$29,0))</f>
        <v>3.4483079781229519E-8</v>
      </c>
      <c r="CN5">
        <f>INDEX($B$19:$GQ$19,MATCH(91,$B$29:$GQ$29,0))</f>
        <v>3.6650000663359769E-8</v>
      </c>
      <c r="CO5">
        <f>INDEX($B$19:$GQ$19,MATCH(92,$B$29:$GQ$29,0))</f>
        <v>4.55847635001384E-8</v>
      </c>
      <c r="CP5">
        <f>INDEX($B$19:$GQ$19,MATCH(93,$B$29:$GQ$29,0))</f>
        <v>3.0344990555348021E-8</v>
      </c>
      <c r="CQ5">
        <f>INDEX($B$19:$GQ$19,MATCH(94,$B$29:$GQ$29,0))</f>
        <v>3.601143214887728E-8</v>
      </c>
      <c r="CR5">
        <f>INDEX($B$19:$GQ$19,MATCH(95,$B$29:$GQ$29,0))</f>
        <v>3.5623140847353568E-8</v>
      </c>
      <c r="CS5">
        <f>INDEX($B$19:$GQ$19,MATCH(96,$B$29:$GQ$29,0))</f>
        <v>7.3159781069849607E-8</v>
      </c>
      <c r="CT5">
        <f>INDEX($B$19:$GQ$19,MATCH(97,$B$29:$GQ$29,0))</f>
        <v>3.5393802273013491E-8</v>
      </c>
      <c r="CU5">
        <f>INDEX($B$19:$GQ$19,MATCH(98,$B$29:$GQ$29,0))</f>
        <v>3.6256310329826858E-8</v>
      </c>
      <c r="CV5">
        <f>INDEX($B$19:$GQ$19,MATCH(99,$B$29:$GQ$29,0))</f>
        <v>3.5853929421046908E-8</v>
      </c>
      <c r="CW5">
        <f>INDEX($B$19:$GQ$19,MATCH(100,$B$29:$GQ$29,0))</f>
        <v>3.6266228136669297E-8</v>
      </c>
      <c r="CX5">
        <f>INDEX($B$19:$GQ$19,MATCH(101,$B$29:$GQ$29,0))</f>
        <v>1.269967005111606E-8</v>
      </c>
      <c r="CY5">
        <f>INDEX($B$19:$GQ$19,MATCH(102,$B$29:$GQ$29,0))</f>
        <v>2.8896297075711261E-8</v>
      </c>
      <c r="CZ5">
        <f>INDEX($B$19:$GQ$19,MATCH(103,$B$29:$GQ$29,0))</f>
        <v>3.6322477094486978E-8</v>
      </c>
      <c r="DA5">
        <f>INDEX($B$19:$GQ$19,MATCH(104,$B$29:$GQ$29,0))</f>
        <v>1.0649208903585301E-8</v>
      </c>
      <c r="DB5">
        <f>INDEX($B$19:$GQ$19,MATCH(105,$B$29:$GQ$29,0))</f>
        <v>3.575157144370831E-8</v>
      </c>
      <c r="DC5">
        <f>INDEX($B$19:$GQ$19,MATCH(106,$B$29:$GQ$29,0))</f>
        <v>6.9331974466854742E-8</v>
      </c>
      <c r="DD5">
        <f>INDEX($B$19:$GQ$19,MATCH(107,$B$29:$GQ$29,0))</f>
        <v>3.5784705852624491E-8</v>
      </c>
      <c r="DE5">
        <f>INDEX($B$19:$GQ$19,MATCH(108,$B$29:$GQ$29,0))</f>
        <v>0</v>
      </c>
      <c r="DF5">
        <f>INDEX($B$19:$GQ$19,MATCH(109,$B$29:$GQ$29,0))</f>
        <v>3.5287440737396978E-8</v>
      </c>
      <c r="DG5">
        <f>INDEX($B$19:$GQ$19,MATCH(110,$B$29:$GQ$29,0))</f>
        <v>5.2834433615093817E-8</v>
      </c>
      <c r="DH5">
        <f>INDEX($B$19:$GQ$19,MATCH(111,$B$29:$GQ$29,0))</f>
        <v>3.5238161652048712E-8</v>
      </c>
      <c r="DI5">
        <f>INDEX($B$19:$GQ$19,MATCH(112,$B$29:$GQ$29,0))</f>
        <v>3.539295121926347E-8</v>
      </c>
      <c r="DJ5">
        <f>INDEX($B$19:$GQ$19,MATCH(113,$B$29:$GQ$29,0))</f>
        <v>3.7350001891145633E-8</v>
      </c>
      <c r="DK5">
        <f>INDEX($B$19:$GQ$19,MATCH(114,$B$29:$GQ$29,0))</f>
        <v>1.96823536592767E-8</v>
      </c>
      <c r="DL5">
        <f>INDEX($B$19:$GQ$19,MATCH(115,$B$29:$GQ$29,0))</f>
        <v>4.9590747501917842E-8</v>
      </c>
      <c r="DM5">
        <f>INDEX($B$19:$GQ$19,MATCH(116,$B$29:$GQ$29,0))</f>
        <v>2.7049211221474289E-9</v>
      </c>
      <c r="DN5">
        <f>INDEX($B$19:$GQ$19,MATCH(117,$B$29:$GQ$29,0))</f>
        <v>2.8448565960024561E-8</v>
      </c>
      <c r="DO5">
        <f>INDEX($B$19:$GQ$19,MATCH(118,$B$29:$GQ$29,0))</f>
        <v>4.5029056737414619E-8</v>
      </c>
      <c r="DP5">
        <f>INDEX($B$19:$GQ$19,MATCH(119,$B$29:$GQ$29,0))</f>
        <v>1.5297973129843798E-8</v>
      </c>
      <c r="DQ5">
        <f>INDEX($B$19:$GQ$19,MATCH(120,$B$29:$GQ$29,0))</f>
        <v>6.3575572309055051E-9</v>
      </c>
      <c r="DR5">
        <f>INDEX($B$19:$GQ$19,MATCH(121,$B$29:$GQ$29,0))</f>
        <v>7.6755438249806588E-8</v>
      </c>
      <c r="DS5">
        <f>INDEX($B$19:$GQ$19,MATCH(122,$B$29:$GQ$29,0))</f>
        <v>3.6980559803927957E-8</v>
      </c>
      <c r="DT5">
        <f>INDEX($B$19:$GQ$19,MATCH(123,$B$29:$GQ$29,0))</f>
        <v>0</v>
      </c>
      <c r="DU5">
        <f>INDEX($B$19:$GQ$19,MATCH(124,$B$29:$GQ$29,0))</f>
        <v>2.9755261086954491E-8</v>
      </c>
      <c r="DV5">
        <f>INDEX($B$19:$GQ$19,MATCH(125,$B$29:$GQ$29,0))</f>
        <v>3.2606437789120522E-8</v>
      </c>
      <c r="DW5">
        <f>INDEX($B$19:$GQ$19,MATCH(126,$B$29:$GQ$29,0))</f>
        <v>0</v>
      </c>
      <c r="DX5">
        <f>INDEX($B$19:$GQ$19,MATCH(127,$B$29:$GQ$29,0))</f>
        <v>0</v>
      </c>
      <c r="DY5">
        <f>INDEX($B$19:$GQ$19,MATCH(128,$B$29:$GQ$29,0))</f>
        <v>3.1752291077809673E-8</v>
      </c>
      <c r="DZ5">
        <f>INDEX($B$19:$GQ$19,MATCH(129,$B$29:$GQ$29,0))</f>
        <v>7.0460085852998914E-10</v>
      </c>
      <c r="EA5">
        <f>INDEX($B$19:$GQ$19,MATCH(130,$B$29:$GQ$29,0))</f>
        <v>3.6920941908215118E-8</v>
      </c>
      <c r="EB5">
        <f>INDEX($B$19:$GQ$19,MATCH(131,$B$29:$GQ$29,0))</f>
        <v>0</v>
      </c>
      <c r="EC5">
        <f>INDEX($B$19:$GQ$19,MATCH(132,$B$29:$GQ$29,0))</f>
        <v>4.6633733648395658E-8</v>
      </c>
      <c r="ED5">
        <f>INDEX($B$19:$GQ$19,MATCH(133,$B$29:$GQ$29,0))</f>
        <v>4.9383268034928362E-8</v>
      </c>
      <c r="EE5">
        <f>INDEX($B$19:$GQ$19,MATCH(134,$B$29:$GQ$29,0))</f>
        <v>1.6516122707530159E-6</v>
      </c>
      <c r="EF5">
        <f>INDEX($B$19:$GQ$19,MATCH(135,$B$29:$GQ$29,0))</f>
        <v>7.7887892752641596E-5</v>
      </c>
      <c r="EG5">
        <f>INDEX($B$19:$GQ$19,MATCH(136,$B$29:$GQ$29,0))</f>
        <v>2.914465699024868E-5</v>
      </c>
      <c r="EH5">
        <f>INDEX($B$19:$GQ$19,MATCH(137,$B$29:$GQ$29,0))</f>
        <v>1.0383881945489479E-6</v>
      </c>
      <c r="EI5">
        <f>INDEX($B$19:$GQ$19,MATCH(138,$B$29:$GQ$29,0))</f>
        <v>0</v>
      </c>
      <c r="EJ5">
        <f>INDEX($B$19:$GQ$19,MATCH(139,$B$29:$GQ$29,0))</f>
        <v>0</v>
      </c>
      <c r="EK5">
        <f>INDEX($B$19:$GQ$19,MATCH(140,$B$29:$GQ$29,0))</f>
        <v>0</v>
      </c>
      <c r="EL5">
        <f>INDEX($B$19:$GQ$19,MATCH(141,$B$29:$GQ$29,0))</f>
        <v>0</v>
      </c>
      <c r="EM5">
        <f>INDEX($B$19:$GQ$19,MATCH(142,$B$29:$GQ$29,0))</f>
        <v>0</v>
      </c>
      <c r="EN5">
        <f>INDEX($B$19:$GQ$19,MATCH(143,$B$29:$GQ$29,0))</f>
        <v>0</v>
      </c>
      <c r="EO5">
        <f>INDEX($B$19:$GQ$19,MATCH(144,$B$29:$GQ$29,0))</f>
        <v>0</v>
      </c>
      <c r="EP5">
        <f>INDEX($B$19:$GQ$19,MATCH(145,$B$29:$GQ$29,0))</f>
        <v>3.7608570707281568E-8</v>
      </c>
      <c r="EQ5">
        <f>INDEX($B$19:$GQ$19,MATCH(146,$B$29:$GQ$29,0))</f>
        <v>3.0916853728278161E-9</v>
      </c>
      <c r="ER5">
        <f>INDEX($B$19:$GQ$19,MATCH(147,$B$29:$GQ$29,0))</f>
        <v>0</v>
      </c>
      <c r="ES5">
        <f>INDEX($B$19:$GQ$19,MATCH(148,$B$29:$GQ$29,0))</f>
        <v>0</v>
      </c>
      <c r="ET5">
        <f>INDEX($B$19:$GQ$19,MATCH(149,$B$29:$GQ$29,0))</f>
        <v>0</v>
      </c>
      <c r="EU5">
        <f>INDEX($B$19:$GQ$19,MATCH(150,$B$29:$GQ$29,0))</f>
        <v>0</v>
      </c>
      <c r="EV5">
        <f>INDEX($B$19:$GQ$19,MATCH(151,$B$29:$GQ$29,0))</f>
        <v>0</v>
      </c>
      <c r="EW5">
        <f>INDEX($B$19:$GQ$19,MATCH(152,$B$29:$GQ$29,0))</f>
        <v>0</v>
      </c>
      <c r="EX5">
        <f>INDEX($B$19:$GQ$19,MATCH(153,$B$29:$GQ$29,0))</f>
        <v>0</v>
      </c>
      <c r="EY5">
        <f>INDEX($B$19:$GQ$19,MATCH(154,$B$29:$GQ$29,0))</f>
        <v>0</v>
      </c>
      <c r="EZ5">
        <f>INDEX($B$19:$GQ$19,MATCH(155,$B$29:$GQ$29,0))</f>
        <v>2.037385028118578E-10</v>
      </c>
      <c r="FA5">
        <f>INDEX($B$19:$GQ$19,MATCH(156,$B$29:$GQ$29,0))</f>
        <v>4.9097632346188952E-8</v>
      </c>
      <c r="FB5">
        <f>INDEX($B$19:$GQ$19,MATCH(157,$B$29:$GQ$29,0))</f>
        <v>1.4177024604995451E-9</v>
      </c>
      <c r="FC5">
        <f>INDEX($B$19:$GQ$19,MATCH(158,$B$29:$GQ$29,0))</f>
        <v>2.6424995350294719E-8</v>
      </c>
      <c r="FD5">
        <f>INDEX($B$19:$GQ$19,MATCH(159,$B$29:$GQ$29,0))</f>
        <v>3.1816133935882962E-8</v>
      </c>
      <c r="FE5">
        <f>INDEX($B$19:$GQ$19,MATCH(160,$B$29:$GQ$29,0))</f>
        <v>2.8807960290668511E-8</v>
      </c>
      <c r="FF5">
        <f>INDEX($B$19:$GQ$19,MATCH(161,$B$29:$GQ$29,0))</f>
        <v>0</v>
      </c>
      <c r="FG5">
        <f>INDEX($B$19:$GQ$19,MATCH(162,$B$29:$GQ$29,0))</f>
        <v>1.5797045187194258E-8</v>
      </c>
      <c r="FH5">
        <f>INDEX($B$19:$GQ$19,MATCH(163,$B$29:$GQ$29,0))</f>
        <v>0</v>
      </c>
      <c r="FI5">
        <f>INDEX($B$19:$GQ$19,MATCH(164,$B$29:$GQ$29,0))</f>
        <v>5.422976363392361E-11</v>
      </c>
      <c r="FJ5">
        <f>INDEX($B$19:$GQ$19,MATCH(165,$B$29:$GQ$29,0))</f>
        <v>1.0351040885127199E-8</v>
      </c>
      <c r="FK5">
        <f>INDEX($B$19:$GQ$19,MATCH(166,$B$29:$GQ$29,0))</f>
        <v>0</v>
      </c>
      <c r="FL5">
        <f>INDEX($B$19:$GQ$19,MATCH(167,$B$29:$GQ$29,0))</f>
        <v>5.6859445647145589E-9</v>
      </c>
      <c r="FM5">
        <f>INDEX($B$19:$GQ$19,MATCH(168,$B$29:$GQ$29,0))</f>
        <v>1.163657414138156E-8</v>
      </c>
      <c r="FN5">
        <f>INDEX($B$19:$GQ$19,MATCH(169,$B$29:$GQ$29,0))</f>
        <v>1.966907643315196E-8</v>
      </c>
      <c r="FO5">
        <f>INDEX($B$19:$GQ$19,MATCH(170,$B$29:$GQ$29,0))</f>
        <v>2.1514515595806781E-9</v>
      </c>
      <c r="FP5">
        <f>INDEX($B$19:$GQ$19,MATCH(171,$B$29:$GQ$29,0))</f>
        <v>2.397040152760941E-9</v>
      </c>
      <c r="FQ5">
        <f>INDEX($B$19:$GQ$19,MATCH(172,$B$29:$GQ$29,0))</f>
        <v>3.6061020557503872E-9</v>
      </c>
      <c r="FR5">
        <f>INDEX($B$19:$GQ$19,MATCH(173,$B$29:$GQ$29,0))</f>
        <v>2.2949508776536211E-9</v>
      </c>
      <c r="FS5">
        <f>INDEX($B$19:$GQ$19,MATCH(174,$B$29:$GQ$29,0))</f>
        <v>3.4848089619498929E-10</v>
      </c>
      <c r="FT5">
        <f>INDEX($B$19:$GQ$19,MATCH(175,$B$29:$GQ$29,0))</f>
        <v>0</v>
      </c>
      <c r="FU5">
        <f>INDEX($B$19:$GQ$19,MATCH(176,$B$29:$GQ$29,0))</f>
        <v>3.8674622051676129E-8</v>
      </c>
      <c r="FV5">
        <f>INDEX($B$19:$GQ$19,MATCH(177,$B$29:$GQ$29,0))</f>
        <v>0</v>
      </c>
      <c r="FW5">
        <f>INDEX($B$19:$GQ$19,MATCH(178,$B$29:$GQ$29,0))</f>
        <v>3.5926447521387478E-8</v>
      </c>
      <c r="FX5">
        <f>INDEX($B$19:$GQ$19,MATCH(179,$B$29:$GQ$29,0))</f>
        <v>2.9170332364100559E-8</v>
      </c>
      <c r="FY5">
        <f>INDEX($B$19:$GQ$19,MATCH(180,$B$29:$GQ$29,0))</f>
        <v>0</v>
      </c>
      <c r="FZ5">
        <f>INDEX($B$19:$GQ$19,MATCH(181,$B$29:$GQ$29,0))</f>
        <v>1.7467136856859539E-8</v>
      </c>
      <c r="GA5">
        <f>INDEX($B$19:$GQ$19,MATCH(182,$B$29:$GQ$29,0))</f>
        <v>2.10415098869217E-8</v>
      </c>
      <c r="GB5">
        <f>INDEX($B$19:$GQ$19,MATCH(183,$B$29:$GQ$29,0))</f>
        <v>2.2453453475054251E-8</v>
      </c>
      <c r="GC5">
        <f>INDEX($B$19:$GQ$19,MATCH(184,$B$29:$GQ$29,0))</f>
        <v>0</v>
      </c>
      <c r="GD5">
        <f>INDEX($B$19:$GQ$19,MATCH(185,$B$29:$GQ$29,0))</f>
        <v>0</v>
      </c>
      <c r="GE5">
        <f>INDEX($B$19:$GQ$19,MATCH(186,$B$29:$GQ$29,0))</f>
        <v>0</v>
      </c>
      <c r="GF5">
        <f>INDEX($B$19:$GQ$19,MATCH(187,$B$29:$GQ$29,0))</f>
        <v>0</v>
      </c>
      <c r="GG5">
        <f>INDEX($B$19:$GQ$19,MATCH(188,$B$29:$GQ$29,0))</f>
        <v>0</v>
      </c>
      <c r="GH5">
        <f>INDEX($B$19:$GQ$19,MATCH(189,$B$29:$GQ$29,0))</f>
        <v>0</v>
      </c>
      <c r="GI5">
        <f>INDEX($B$19:$GQ$19,MATCH(190,$B$29:$GQ$29,0))</f>
        <v>0</v>
      </c>
      <c r="GJ5">
        <f>INDEX($B$19:$GQ$19,MATCH(191,$B$29:$GQ$29,0))</f>
        <v>2.6833787097639848E-9</v>
      </c>
      <c r="GK5">
        <f>INDEX($B$19:$GQ$19,MATCH(192,$B$29:$GQ$29,0))</f>
        <v>5.4924544252660504E-9</v>
      </c>
      <c r="GL5">
        <f>INDEX($B$19:$GQ$19,MATCH(193,$B$29:$GQ$29,0))</f>
        <v>1.01996284608022E-15</v>
      </c>
      <c r="GM5">
        <f>INDEX($B$19:$GQ$19,MATCH(194,$B$29:$GQ$29,0))</f>
        <v>0</v>
      </c>
      <c r="GN5">
        <f>INDEX($B$19:$GQ$19,MATCH(195,$B$29:$GQ$29,0))</f>
        <v>1.1396994655782711E-8</v>
      </c>
      <c r="GO5">
        <f>INDEX($B$19:$GQ$19,MATCH(196,$B$29:$GQ$29,0))</f>
        <v>0</v>
      </c>
      <c r="GP5">
        <f>INDEX($B$19:$GQ$19,MATCH(197,$B$29:$GQ$29,0))</f>
        <v>3.986217326489564E-8</v>
      </c>
      <c r="GQ5">
        <f>INDEX($B$19:$GQ$19,MATCH(198,$B$29:$GQ$29,0))</f>
        <v>0</v>
      </c>
      <c r="GR5">
        <f>INDEX($GR$19:$HC$19,MATCH(1,$GR$30:$HC$30,0))</f>
        <v>7.2403415713240012E-6</v>
      </c>
      <c r="GS5">
        <f>INDEX($GR$19:$HC$19,MATCH(2,$GR$30:$HC$30,0))</f>
        <v>6.6461654812572749E-6</v>
      </c>
      <c r="GT5">
        <f>INDEX($GR$19:$HC$19,MATCH(3,$GR$30:$HC$30,0))</f>
        <v>8.7489926683385422E-8</v>
      </c>
      <c r="GU5">
        <f>INDEX($GR$19:$HC$19,MATCH(4,$GR$30:$HC$30,0))</f>
        <v>3.0807972674529738E-5</v>
      </c>
      <c r="GV5">
        <f>INDEX($GR$19:$HC$19,MATCH(5,$GR$30:$HC$30,0))</f>
        <v>1.172503000763374E-5</v>
      </c>
      <c r="GW5">
        <f>INDEX($GR$19:$HC$19,MATCH(6,$GR$30:$HC$30,0))</f>
        <v>1.218188200383948E-5</v>
      </c>
      <c r="GX5">
        <f>INDEX($GR$19:$HC$19,MATCH(7,$GR$30:$HC$30,0))</f>
        <v>7.9800679651856247E-7</v>
      </c>
      <c r="GY5">
        <f>INDEX($GR$19:$HC$19,MATCH(8,$GR$30:$HC$30,0))</f>
        <v>2.5749730008405661E-6</v>
      </c>
      <c r="GZ5">
        <f>INDEX($GR$19:$HC$19,MATCH(9,$GR$30:$HC$30,0))</f>
        <v>4.2403236174185677E-8</v>
      </c>
      <c r="HA5">
        <f>INDEX($GR$19:$HC$19,MATCH(10,$GR$30:$HC$30,0))</f>
        <v>8.8024666910116734E-8</v>
      </c>
      <c r="HB5">
        <f>INDEX($GR$19:$HC$19,MATCH(11,$GR$30:$HC$30,0))</f>
        <v>3.3877875494316097E-8</v>
      </c>
      <c r="HC5">
        <f>INDEX($GR$19:$HC$19,MATCH(12,$GR$30:$HC$30,0))</f>
        <v>4.6692191354899178E-8</v>
      </c>
    </row>
    <row r="6" spans="1:211" x14ac:dyDescent="0.45">
      <c r="A6" s="1" t="s">
        <v>5</v>
      </c>
      <c r="B6">
        <f>INDEX($B$20:$GQ$20,MATCH(1,$B$29:$GQ$29,0))</f>
        <v>6.1021090317064981E-6</v>
      </c>
      <c r="C6">
        <f>INDEX($B$20:$GQ$20,MATCH(2,$B$29:$GQ$29,0))</f>
        <v>1.714443706502041E-5</v>
      </c>
      <c r="D6">
        <f>INDEX($B$20:$GQ$20,MATCH(3,$B$29:$GQ$29,0))</f>
        <v>9.9353935376784297E-6</v>
      </c>
      <c r="E6">
        <f>INDEX($B$20:$GQ$20,MATCH(4,$B$29:$GQ$29,0))</f>
        <v>2.030191151435246E-6</v>
      </c>
      <c r="F6">
        <f>INDEX($B$20:$GQ$20,MATCH(5,$B$29:$GQ$29,0))</f>
        <v>2.1279802454206112E-6</v>
      </c>
      <c r="G6">
        <f>INDEX($B$20:$GQ$20,MATCH(6,$B$29:$GQ$29,0))</f>
        <v>8.091426657204E-6</v>
      </c>
      <c r="H6">
        <f>INDEX($B$20:$GQ$20,MATCH(7,$B$29:$GQ$29,0))</f>
        <v>2.796650663778368E-5</v>
      </c>
      <c r="I6">
        <f>INDEX($B$20:$GQ$20,MATCH(8,$B$29:$GQ$29,0))</f>
        <v>3.0150113003558179E-5</v>
      </c>
      <c r="J6">
        <f>INDEX($B$20:$GQ$20,MATCH(9,$B$29:$GQ$29,0))</f>
        <v>8.7564217732634955E-7</v>
      </c>
      <c r="K6">
        <f>INDEX($B$20:$GQ$20,MATCH(10,$B$29:$GQ$29,0))</f>
        <v>7.3404718439779677E-5</v>
      </c>
      <c r="L6">
        <f>INDEX($B$20:$GQ$20,MATCH(11,$B$29:$GQ$29,0))</f>
        <v>7.6289106788115896E-6</v>
      </c>
      <c r="M6">
        <f>INDEX($B$20:$GQ$20,MATCH(12,$B$29:$GQ$29,0))</f>
        <v>1.960820520839743E-5</v>
      </c>
      <c r="N6">
        <f>INDEX($B$20:$GQ$20,MATCH(13,$B$29:$GQ$29,0))</f>
        <v>3.18592646520756E-6</v>
      </c>
      <c r="O6">
        <f>INDEX($B$20:$GQ$20,MATCH(14,$B$29:$GQ$29,0))</f>
        <v>5.5667579858380961E-7</v>
      </c>
      <c r="P6">
        <f>INDEX($B$20:$GQ$20,MATCH(15,$B$29:$GQ$29,0))</f>
        <v>5.4613318946296741E-7</v>
      </c>
      <c r="Q6">
        <f>INDEX($B$20:$GQ$20,MATCH(16,$B$29:$GQ$29,0))</f>
        <v>4.2302869472830219E-7</v>
      </c>
      <c r="R6">
        <f>INDEX($B$20:$GQ$20,MATCH(17,$B$29:$GQ$29,0))</f>
        <v>2.2042659507711639E-6</v>
      </c>
      <c r="S6">
        <f>INDEX($B$20:$GQ$20,MATCH(18,$B$29:$GQ$29,0))</f>
        <v>1.7935957729472571E-7</v>
      </c>
      <c r="T6">
        <f>INDEX($B$20:$GQ$20,MATCH(19,$B$29:$GQ$29,0))</f>
        <v>1.5583009897777638E-5</v>
      </c>
      <c r="U6">
        <f>INDEX($B$20:$GQ$20,MATCH(20,$B$29:$GQ$29,0))</f>
        <v>2.990475493642928E-6</v>
      </c>
      <c r="V6">
        <f>INDEX($B$20:$GQ$20,MATCH(21,$B$29:$GQ$29,0))</f>
        <v>1.76839125539127E-6</v>
      </c>
      <c r="W6">
        <f>INDEX($B$20:$GQ$20,MATCH(22,$B$29:$GQ$29,0))</f>
        <v>2.0439226547329239E-6</v>
      </c>
      <c r="X6">
        <f>INDEX($B$20:$GQ$20,MATCH(23,$B$29:$GQ$29,0))</f>
        <v>3.3094091180483879E-7</v>
      </c>
      <c r="Y6">
        <f>INDEX($B$20:$GQ$20,MATCH(24,$B$29:$GQ$29,0))</f>
        <v>1.865276363872091E-6</v>
      </c>
      <c r="Z6">
        <f>INDEX($B$20:$GQ$20,MATCH(25,$B$29:$GQ$29,0))</f>
        <v>9.5762268325676847E-7</v>
      </c>
      <c r="AA6">
        <f>INDEX($B$20:$GQ$20,MATCH(26,$B$29:$GQ$29,0))</f>
        <v>7.4538860539956593E-7</v>
      </c>
      <c r="AB6">
        <f>INDEX($B$20:$GQ$20,MATCH(27,$B$29:$GQ$29,0))</f>
        <v>6.820230966795332E-6</v>
      </c>
      <c r="AC6">
        <f>INDEX($B$20:$GQ$20,MATCH(28,$B$29:$GQ$29,0))</f>
        <v>5.920853193825346E-7</v>
      </c>
      <c r="AD6">
        <f>INDEX($B$20:$GQ$20,MATCH(29,$B$29:$GQ$29,0))</f>
        <v>1.240473700164364E-5</v>
      </c>
      <c r="AE6">
        <f>INDEX($B$20:$GQ$20,MATCH(30,$B$29:$GQ$29,0))</f>
        <v>1.7020834021737571E-4</v>
      </c>
      <c r="AF6">
        <f>INDEX($B$20:$GQ$20,MATCH(31,$B$29:$GQ$29,0))</f>
        <v>9.4793971514970378E-7</v>
      </c>
      <c r="AG6">
        <f>INDEX($B$20:$GQ$20,MATCH(32,$B$29:$GQ$29,0))</f>
        <v>1.997691766894962E-7</v>
      </c>
      <c r="AH6">
        <f>INDEX($B$20:$GQ$20,MATCH(33,$B$29:$GQ$29,0))</f>
        <v>2.2705460618153159E-7</v>
      </c>
      <c r="AI6">
        <f>INDEX($B$20:$GQ$20,MATCH(34,$B$29:$GQ$29,0))</f>
        <v>1.0228317140424639E-6</v>
      </c>
      <c r="AJ6">
        <f>INDEX($B$20:$GQ$20,MATCH(35,$B$29:$GQ$29,0))</f>
        <v>0</v>
      </c>
      <c r="AK6">
        <f>INDEX($B$20:$GQ$20,MATCH(36,$B$29:$GQ$29,0))</f>
        <v>3.0824162439334169E-7</v>
      </c>
      <c r="AL6">
        <f>INDEX($B$20:$GQ$20,MATCH(37,$B$29:$GQ$29,0))</f>
        <v>6.9202753358525247E-6</v>
      </c>
      <c r="AM6">
        <f>INDEX($B$20:$GQ$20,MATCH(38,$B$29:$GQ$29,0))</f>
        <v>9.9971880389555758E-6</v>
      </c>
      <c r="AN6">
        <f>INDEX($B$20:$GQ$20,MATCH(39,$B$29:$GQ$29,0))</f>
        <v>1.067568838731889E-6</v>
      </c>
      <c r="AO6">
        <f>INDEX($B$20:$GQ$20,MATCH(40,$B$29:$GQ$29,0))</f>
        <v>5.0455133541553464E-7</v>
      </c>
      <c r="AP6">
        <f>INDEX($B$20:$GQ$20,MATCH(41,$B$29:$GQ$29,0))</f>
        <v>2.1037164464448501E-5</v>
      </c>
      <c r="AQ6">
        <f>INDEX($B$20:$GQ$20,MATCH(42,$B$29:$GQ$29,0))</f>
        <v>1.8035772410262491E-7</v>
      </c>
      <c r="AR6">
        <f>INDEX($B$20:$GQ$20,MATCH(43,$B$29:$GQ$29,0))</f>
        <v>2.6343666373707341E-7</v>
      </c>
      <c r="AS6">
        <f>INDEX($B$20:$GQ$20,MATCH(44,$B$29:$GQ$29,0))</f>
        <v>7.151829736002659E-7</v>
      </c>
      <c r="AT6">
        <f>INDEX($B$20:$GQ$20,MATCH(45,$B$29:$GQ$29,0))</f>
        <v>1.0057880891140651E-5</v>
      </c>
      <c r="AU6">
        <f>INDEX($B$20:$GQ$20,MATCH(46,$B$29:$GQ$29,0))</f>
        <v>4.0455200778058372E-7</v>
      </c>
      <c r="AV6">
        <f>INDEX($B$20:$GQ$20,MATCH(47,$B$29:$GQ$29,0))</f>
        <v>1.346085346462098E-5</v>
      </c>
      <c r="AW6">
        <f>INDEX($B$20:$GQ$20,MATCH(48,$B$29:$GQ$29,0))</f>
        <v>1.3772249898585291E-7</v>
      </c>
      <c r="AX6">
        <f>INDEX($B$20:$GQ$20,MATCH(49,$B$29:$GQ$29,0))</f>
        <v>1.073260763163747E-6</v>
      </c>
      <c r="AY6">
        <f>INDEX($B$20:$GQ$20,MATCH(50,$B$29:$GQ$29,0))</f>
        <v>3.886017258077278E-7</v>
      </c>
      <c r="AZ6">
        <f>INDEX($B$20:$GQ$20,MATCH(51,$B$29:$GQ$29,0))</f>
        <v>1.9429817342246589E-6</v>
      </c>
      <c r="BA6">
        <f>INDEX($B$20:$GQ$20,MATCH(52,$B$29:$GQ$29,0))</f>
        <v>4.325308132718303E-7</v>
      </c>
      <c r="BB6">
        <f>INDEX($B$20:$GQ$20,MATCH(53,$B$29:$GQ$29,0))</f>
        <v>0</v>
      </c>
      <c r="BC6">
        <f>INDEX($B$20:$GQ$20,MATCH(54,$B$29:$GQ$29,0))</f>
        <v>8.3602372098786677E-7</v>
      </c>
      <c r="BD6">
        <f>INDEX($B$20:$GQ$20,MATCH(55,$B$29:$GQ$29,0))</f>
        <v>6.3159265490755604E-7</v>
      </c>
      <c r="BE6">
        <f>INDEX($B$20:$GQ$20,MATCH(56,$B$29:$GQ$29,0))</f>
        <v>2.8632900318642431E-7</v>
      </c>
      <c r="BF6">
        <f>INDEX($B$20:$GQ$20,MATCH(57,$B$29:$GQ$29,0))</f>
        <v>3.1497920682220647E-7</v>
      </c>
      <c r="BG6">
        <f>INDEX($B$20:$GQ$20,MATCH(58,$B$29:$GQ$29,0))</f>
        <v>9.0217855184819839E-7</v>
      </c>
      <c r="BH6">
        <f>INDEX($B$20:$GQ$20,MATCH(59,$B$29:$GQ$29,0))</f>
        <v>1.4791162116114411E-6</v>
      </c>
      <c r="BI6">
        <f>INDEX($B$20:$GQ$20,MATCH(60,$B$29:$GQ$29,0))</f>
        <v>1.4730773762574319E-7</v>
      </c>
      <c r="BJ6">
        <f>INDEX($B$20:$GQ$20,MATCH(61,$B$29:$GQ$29,0))</f>
        <v>0</v>
      </c>
      <c r="BK6">
        <f>INDEX($B$20:$GQ$20,MATCH(62,$B$29:$GQ$29,0))</f>
        <v>6.9509496009427811E-7</v>
      </c>
      <c r="BL6">
        <f>INDEX($B$20:$GQ$20,MATCH(63,$B$29:$GQ$29,0))</f>
        <v>5.4043545219642987E-6</v>
      </c>
      <c r="BM6">
        <f>INDEX($B$20:$GQ$20,MATCH(64,$B$29:$GQ$29,0))</f>
        <v>2.027249322363759E-7</v>
      </c>
      <c r="BN6">
        <f>INDEX($B$20:$GQ$20,MATCH(65,$B$29:$GQ$29,0))</f>
        <v>8.6643672406478888E-8</v>
      </c>
      <c r="BO6">
        <f>INDEX($B$20:$GQ$20,MATCH(66,$B$29:$GQ$29,0))</f>
        <v>9.7635886881699797E-7</v>
      </c>
      <c r="BP6">
        <f>INDEX($B$20:$GQ$20,MATCH(67,$B$29:$GQ$29,0))</f>
        <v>1.7052802731193851E-7</v>
      </c>
      <c r="BQ6">
        <f>INDEX($B$20:$GQ$20,MATCH(68,$B$29:$GQ$29,0))</f>
        <v>0</v>
      </c>
      <c r="BR6">
        <f>INDEX($B$20:$GQ$20,MATCH(69,$B$29:$GQ$29,0))</f>
        <v>0</v>
      </c>
      <c r="BS6">
        <f>INDEX($B$20:$GQ$20,MATCH(70,$B$29:$GQ$29,0))</f>
        <v>6.0725573382428559E-7</v>
      </c>
      <c r="BT6">
        <f>INDEX($B$20:$GQ$20,MATCH(71,$B$29:$GQ$29,0))</f>
        <v>0</v>
      </c>
      <c r="BU6">
        <f>INDEX($B$20:$GQ$20,MATCH(72,$B$29:$GQ$29,0))</f>
        <v>5.0560129558361567E-7</v>
      </c>
      <c r="BV6">
        <f>INDEX($B$20:$GQ$20,MATCH(73,$B$29:$GQ$29,0))</f>
        <v>5.4463549455552799E-7</v>
      </c>
      <c r="BW6">
        <f>INDEX($B$20:$GQ$20,MATCH(74,$B$29:$GQ$29,0))</f>
        <v>4.4598928996804682E-6</v>
      </c>
      <c r="BX6">
        <f>INDEX($B$20:$GQ$20,MATCH(75,$B$29:$GQ$29,0))</f>
        <v>4.2036199593374538E-7</v>
      </c>
      <c r="BY6">
        <f>INDEX($B$20:$GQ$20,MATCH(76,$B$29:$GQ$29,0))</f>
        <v>8.9338959357051832E-6</v>
      </c>
      <c r="BZ6">
        <f>INDEX($B$20:$GQ$20,MATCH(77,$B$29:$GQ$29,0))</f>
        <v>1.284858958814124E-6</v>
      </c>
      <c r="CA6">
        <f>INDEX($B$20:$GQ$20,MATCH(78,$B$29:$GQ$29,0))</f>
        <v>0</v>
      </c>
      <c r="CB6">
        <f>INDEX($B$20:$GQ$20,MATCH(79,$B$29:$GQ$29,0))</f>
        <v>2.4710122476235409E-7</v>
      </c>
      <c r="CC6">
        <f>INDEX($B$20:$GQ$20,MATCH(80,$B$29:$GQ$29,0))</f>
        <v>2.8191060276564063E-7</v>
      </c>
      <c r="CD6">
        <f>INDEX($B$20:$GQ$20,MATCH(81,$B$29:$GQ$29,0))</f>
        <v>2.988351817763217E-6</v>
      </c>
      <c r="CE6">
        <f>INDEX($B$20:$GQ$20,MATCH(82,$B$29:$GQ$29,0))</f>
        <v>1.18278818835162E-6</v>
      </c>
      <c r="CF6">
        <f>INDEX($B$20:$GQ$20,MATCH(83,$B$29:$GQ$29,0))</f>
        <v>9.4677034210749545E-9</v>
      </c>
      <c r="CG6">
        <f>INDEX($B$20:$GQ$20,MATCH(84,$B$29:$GQ$29,0))</f>
        <v>1.2485791415514081E-7</v>
      </c>
      <c r="CH6">
        <f>INDEX($B$20:$GQ$20,MATCH(85,$B$29:$GQ$29,0))</f>
        <v>1.54360607861831E-7</v>
      </c>
      <c r="CI6">
        <f>INDEX($B$20:$GQ$20,MATCH(86,$B$29:$GQ$29,0))</f>
        <v>3.069205803303566E-7</v>
      </c>
      <c r="CJ6">
        <f>INDEX($B$20:$GQ$20,MATCH(87,$B$29:$GQ$29,0))</f>
        <v>5.8920696032682814E-7</v>
      </c>
      <c r="CK6">
        <f>INDEX($B$20:$GQ$20,MATCH(88,$B$29:$GQ$29,0))</f>
        <v>2.742468231985751E-7</v>
      </c>
      <c r="CL6">
        <f>INDEX($B$20:$GQ$20,MATCH(89,$B$29:$GQ$29,0))</f>
        <v>2.5216976729606191E-7</v>
      </c>
      <c r="CM6">
        <f>INDEX($B$20:$GQ$20,MATCH(90,$B$29:$GQ$29,0))</f>
        <v>2.8974549341211919E-7</v>
      </c>
      <c r="CN6">
        <f>INDEX($B$20:$GQ$20,MATCH(91,$B$29:$GQ$29,0))</f>
        <v>5.7111641035289028E-7</v>
      </c>
      <c r="CO6">
        <f>INDEX($B$20:$GQ$20,MATCH(92,$B$29:$GQ$29,0))</f>
        <v>0</v>
      </c>
      <c r="CP6">
        <f>INDEX($B$20:$GQ$20,MATCH(93,$B$29:$GQ$29,0))</f>
        <v>0</v>
      </c>
      <c r="CQ6">
        <f>INDEX($B$20:$GQ$20,MATCH(94,$B$29:$GQ$29,0))</f>
        <v>2.637197249433814E-7</v>
      </c>
      <c r="CR6">
        <f>INDEX($B$20:$GQ$20,MATCH(95,$B$29:$GQ$29,0))</f>
        <v>1.857934228703614E-7</v>
      </c>
      <c r="CS6">
        <f>INDEX($B$20:$GQ$20,MATCH(96,$B$29:$GQ$29,0))</f>
        <v>0</v>
      </c>
      <c r="CT6">
        <f>INDEX($B$20:$GQ$20,MATCH(97,$B$29:$GQ$29,0))</f>
        <v>3.060766111700689E-7</v>
      </c>
      <c r="CU6">
        <f>INDEX($B$20:$GQ$20,MATCH(98,$B$29:$GQ$29,0))</f>
        <v>2.1469271565088701E-7</v>
      </c>
      <c r="CV6">
        <f>INDEX($B$20:$GQ$20,MATCH(99,$B$29:$GQ$29,0))</f>
        <v>1.7189960745492851E-7</v>
      </c>
      <c r="CW6">
        <f>INDEX($B$20:$GQ$20,MATCH(100,$B$29:$GQ$29,0))</f>
        <v>1.607773293496604E-7</v>
      </c>
      <c r="CX6">
        <f>INDEX($B$20:$GQ$20,MATCH(101,$B$29:$GQ$29,0))</f>
        <v>5.5452267565614087E-7</v>
      </c>
      <c r="CY6">
        <f>INDEX($B$20:$GQ$20,MATCH(102,$B$29:$GQ$29,0))</f>
        <v>1.031673185781428E-6</v>
      </c>
      <c r="CZ6">
        <f>INDEX($B$20:$GQ$20,MATCH(103,$B$29:$GQ$29,0))</f>
        <v>2.6868799495300358E-7</v>
      </c>
      <c r="DA6">
        <f>INDEX($B$20:$GQ$20,MATCH(104,$B$29:$GQ$29,0))</f>
        <v>4.4097714297616241E-7</v>
      </c>
      <c r="DB6">
        <f>INDEX($B$20:$GQ$20,MATCH(105,$B$29:$GQ$29,0))</f>
        <v>1.752121790856181E-7</v>
      </c>
      <c r="DC6">
        <f>INDEX($B$20:$GQ$20,MATCH(106,$B$29:$GQ$29,0))</f>
        <v>2.545682395678141E-7</v>
      </c>
      <c r="DD6">
        <f>INDEX($B$20:$GQ$20,MATCH(107,$B$29:$GQ$29,0))</f>
        <v>1.9468381429631191E-7</v>
      </c>
      <c r="DE6">
        <f>INDEX($B$20:$GQ$20,MATCH(108,$B$29:$GQ$29,0))</f>
        <v>1.164875133189769E-7</v>
      </c>
      <c r="DF6">
        <f>INDEX($B$20:$GQ$20,MATCH(109,$B$29:$GQ$29,0))</f>
        <v>1.370373276356391E-7</v>
      </c>
      <c r="DG6">
        <f>INDEX($B$20:$GQ$20,MATCH(110,$B$29:$GQ$29,0))</f>
        <v>3.389289602430836E-7</v>
      </c>
      <c r="DH6">
        <f>INDEX($B$20:$GQ$20,MATCH(111,$B$29:$GQ$29,0))</f>
        <v>1.7376896761164891E-7</v>
      </c>
      <c r="DI6">
        <f>INDEX($B$20:$GQ$20,MATCH(112,$B$29:$GQ$29,0))</f>
        <v>1.4890545506235071E-7</v>
      </c>
      <c r="DJ6">
        <f>INDEX($B$20:$GQ$20,MATCH(113,$B$29:$GQ$29,0))</f>
        <v>3.503118909532082E-7</v>
      </c>
      <c r="DK6">
        <f>INDEX($B$20:$GQ$20,MATCH(114,$B$29:$GQ$29,0))</f>
        <v>3.7332350353981328E-6</v>
      </c>
      <c r="DL6">
        <f>INDEX($B$20:$GQ$20,MATCH(115,$B$29:$GQ$29,0))</f>
        <v>1.208664009151258E-6</v>
      </c>
      <c r="DM6">
        <f>INDEX($B$20:$GQ$20,MATCH(116,$B$29:$GQ$29,0))</f>
        <v>1.452164703289439E-6</v>
      </c>
      <c r="DN6">
        <f>INDEX($B$20:$GQ$20,MATCH(117,$B$29:$GQ$29,0))</f>
        <v>6.0195516872522656E-7</v>
      </c>
      <c r="DO6">
        <f>INDEX($B$20:$GQ$20,MATCH(118,$B$29:$GQ$29,0))</f>
        <v>0</v>
      </c>
      <c r="DP6">
        <f>INDEX($B$20:$GQ$20,MATCH(119,$B$29:$GQ$29,0))</f>
        <v>1.193339289544578E-7</v>
      </c>
      <c r="DQ6">
        <f>INDEX($B$20:$GQ$20,MATCH(120,$B$29:$GQ$29,0))</f>
        <v>1.66120868251976E-6</v>
      </c>
      <c r="DR6">
        <f>INDEX($B$20:$GQ$20,MATCH(121,$B$29:$GQ$29,0))</f>
        <v>4.4970254576522061E-7</v>
      </c>
      <c r="DS6">
        <f>INDEX($B$20:$GQ$20,MATCH(122,$B$29:$GQ$29,0))</f>
        <v>0</v>
      </c>
      <c r="DT6">
        <f>INDEX($B$20:$GQ$20,MATCH(123,$B$29:$GQ$29,0))</f>
        <v>7.0203330962425664E-8</v>
      </c>
      <c r="DU6">
        <f>INDEX($B$20:$GQ$20,MATCH(124,$B$29:$GQ$29,0))</f>
        <v>5.9070611413456025E-7</v>
      </c>
      <c r="DV6">
        <f>INDEX($B$20:$GQ$20,MATCH(125,$B$29:$GQ$29,0))</f>
        <v>2.4704840615893479E-7</v>
      </c>
      <c r="DW6">
        <f>INDEX($B$20:$GQ$20,MATCH(126,$B$29:$GQ$29,0))</f>
        <v>4.5796021978000849E-8</v>
      </c>
      <c r="DX6">
        <f>INDEX($B$20:$GQ$20,MATCH(127,$B$29:$GQ$29,0))</f>
        <v>2.7326876596863951E-8</v>
      </c>
      <c r="DY6">
        <f>INDEX($B$20:$GQ$20,MATCH(128,$B$29:$GQ$29,0))</f>
        <v>0</v>
      </c>
      <c r="DZ6">
        <f>INDEX($B$20:$GQ$20,MATCH(129,$B$29:$GQ$29,0))</f>
        <v>2.8172339040856452E-7</v>
      </c>
      <c r="EA6">
        <f>INDEX($B$20:$GQ$20,MATCH(130,$B$29:$GQ$29,0))</f>
        <v>0</v>
      </c>
      <c r="EB6">
        <f>INDEX($B$20:$GQ$20,MATCH(131,$B$29:$GQ$29,0))</f>
        <v>3.142710848792641E-8</v>
      </c>
      <c r="EC6">
        <f>INDEX($B$20:$GQ$20,MATCH(132,$B$29:$GQ$29,0))</f>
        <v>3.2944956103564201E-7</v>
      </c>
      <c r="ED6">
        <f>INDEX($B$20:$GQ$20,MATCH(133,$B$29:$GQ$29,0))</f>
        <v>0</v>
      </c>
      <c r="EE6">
        <f>INDEX($B$20:$GQ$20,MATCH(134,$B$29:$GQ$29,0))</f>
        <v>5.4534187826566986E-6</v>
      </c>
      <c r="EF6">
        <f>INDEX($B$20:$GQ$20,MATCH(135,$B$29:$GQ$29,0))</f>
        <v>1.5673297941537511E-4</v>
      </c>
      <c r="EG6">
        <f>INDEX($B$20:$GQ$20,MATCH(136,$B$29:$GQ$29,0))</f>
        <v>3.2416732975307757E-5</v>
      </c>
      <c r="EH6">
        <f>INDEX($B$20:$GQ$20,MATCH(137,$B$29:$GQ$29,0))</f>
        <v>1.126701325641588E-4</v>
      </c>
      <c r="EI6">
        <f>INDEX($B$20:$GQ$20,MATCH(138,$B$29:$GQ$29,0))</f>
        <v>0</v>
      </c>
      <c r="EJ6">
        <f>INDEX($B$20:$GQ$20,MATCH(139,$B$29:$GQ$29,0))</f>
        <v>0</v>
      </c>
      <c r="EK6">
        <f>INDEX($B$20:$GQ$20,MATCH(140,$B$29:$GQ$29,0))</f>
        <v>1.3101532164064169E-8</v>
      </c>
      <c r="EL6">
        <f>INDEX($B$20:$GQ$20,MATCH(141,$B$29:$GQ$29,0))</f>
        <v>0</v>
      </c>
      <c r="EM6">
        <f>INDEX($B$20:$GQ$20,MATCH(142,$B$29:$GQ$29,0))</f>
        <v>1.3082818125151731E-7</v>
      </c>
      <c r="EN6">
        <f>INDEX($B$20:$GQ$20,MATCH(143,$B$29:$GQ$29,0))</f>
        <v>4.4832634925815651E-7</v>
      </c>
      <c r="EO6">
        <f>INDEX($B$20:$GQ$20,MATCH(144,$B$29:$GQ$29,0))</f>
        <v>0</v>
      </c>
      <c r="EP6">
        <f>INDEX($B$20:$GQ$20,MATCH(145,$B$29:$GQ$29,0))</f>
        <v>1.461426116632632E-7</v>
      </c>
      <c r="EQ6">
        <f>INDEX($B$20:$GQ$20,MATCH(146,$B$29:$GQ$29,0))</f>
        <v>1.4715624189873161E-6</v>
      </c>
      <c r="ER6">
        <f>INDEX($B$20:$GQ$20,MATCH(147,$B$29:$GQ$29,0))</f>
        <v>0</v>
      </c>
      <c r="ES6">
        <f>INDEX($B$20:$GQ$20,MATCH(148,$B$29:$GQ$29,0))</f>
        <v>7.7728014163507181E-8</v>
      </c>
      <c r="ET6">
        <f>INDEX($B$20:$GQ$20,MATCH(149,$B$29:$GQ$29,0))</f>
        <v>1.030322311889364E-10</v>
      </c>
      <c r="EU6">
        <f>INDEX($B$20:$GQ$20,MATCH(150,$B$29:$GQ$29,0))</f>
        <v>3.7913933605976369E-4</v>
      </c>
      <c r="EV6">
        <f>INDEX($B$20:$GQ$20,MATCH(151,$B$29:$GQ$29,0))</f>
        <v>1.006287895196975E-6</v>
      </c>
      <c r="EW6">
        <f>INDEX($B$20:$GQ$20,MATCH(152,$B$29:$GQ$29,0))</f>
        <v>1.1976389260898391E-8</v>
      </c>
      <c r="EX6">
        <f>INDEX($B$20:$GQ$20,MATCH(153,$B$29:$GQ$29,0))</f>
        <v>2.1679927896054009E-6</v>
      </c>
      <c r="EY6">
        <f>INDEX($B$20:$GQ$20,MATCH(154,$B$29:$GQ$29,0))</f>
        <v>6.239197740357748E-8</v>
      </c>
      <c r="EZ6">
        <f>INDEX($B$20:$GQ$20,MATCH(155,$B$29:$GQ$29,0))</f>
        <v>4.2426016805895873E-9</v>
      </c>
      <c r="FA6">
        <f>INDEX($B$20:$GQ$20,MATCH(156,$B$29:$GQ$29,0))</f>
        <v>3.9246622514850653E-8</v>
      </c>
      <c r="FB6">
        <f>INDEX($B$20:$GQ$20,MATCH(157,$B$29:$GQ$29,0))</f>
        <v>9.3362208697395471E-9</v>
      </c>
      <c r="FC6">
        <f>INDEX($B$20:$GQ$20,MATCH(158,$B$29:$GQ$29,0))</f>
        <v>4.7356121578662667E-8</v>
      </c>
      <c r="FD6">
        <f>INDEX($B$20:$GQ$20,MATCH(159,$B$29:$GQ$29,0))</f>
        <v>2.0508251560548019E-6</v>
      </c>
      <c r="FE6">
        <f>INDEX($B$20:$GQ$20,MATCH(160,$B$29:$GQ$29,0))</f>
        <v>0</v>
      </c>
      <c r="FF6">
        <f>INDEX($B$20:$GQ$20,MATCH(161,$B$29:$GQ$29,0))</f>
        <v>0</v>
      </c>
      <c r="FG6">
        <f>INDEX($B$20:$GQ$20,MATCH(162,$B$29:$GQ$29,0))</f>
        <v>0</v>
      </c>
      <c r="FH6">
        <f>INDEX($B$20:$GQ$20,MATCH(163,$B$29:$GQ$29,0))</f>
        <v>0</v>
      </c>
      <c r="FI6">
        <f>INDEX($B$20:$GQ$20,MATCH(164,$B$29:$GQ$29,0))</f>
        <v>0</v>
      </c>
      <c r="FJ6">
        <f>INDEX($B$20:$GQ$20,MATCH(165,$B$29:$GQ$29,0))</f>
        <v>1.273968658981265E-7</v>
      </c>
      <c r="FK6">
        <f>INDEX($B$20:$GQ$20,MATCH(166,$B$29:$GQ$29,0))</f>
        <v>0</v>
      </c>
      <c r="FL6">
        <f>INDEX($B$20:$GQ$20,MATCH(167,$B$29:$GQ$29,0))</f>
        <v>1.7630374412119931E-7</v>
      </c>
      <c r="FM6">
        <f>INDEX($B$20:$GQ$20,MATCH(168,$B$29:$GQ$29,0))</f>
        <v>0</v>
      </c>
      <c r="FN6">
        <f>INDEX($B$20:$GQ$20,MATCH(169,$B$29:$GQ$29,0))</f>
        <v>0</v>
      </c>
      <c r="FO6">
        <f>INDEX($B$20:$GQ$20,MATCH(170,$B$29:$GQ$29,0))</f>
        <v>1.023351960240426E-7</v>
      </c>
      <c r="FP6">
        <f>INDEX($B$20:$GQ$20,MATCH(171,$B$29:$GQ$29,0))</f>
        <v>0</v>
      </c>
      <c r="FQ6">
        <f>INDEX($B$20:$GQ$20,MATCH(172,$B$29:$GQ$29,0))</f>
        <v>6.8318613001952613E-8</v>
      </c>
      <c r="FR6">
        <f>INDEX($B$20:$GQ$20,MATCH(173,$B$29:$GQ$29,0))</f>
        <v>5.8173839765601523E-8</v>
      </c>
      <c r="FS6">
        <f>INDEX($B$20:$GQ$20,MATCH(174,$B$29:$GQ$29,0))</f>
        <v>0</v>
      </c>
      <c r="FT6">
        <f>INDEX($B$20:$GQ$20,MATCH(175,$B$29:$GQ$29,0))</f>
        <v>0</v>
      </c>
      <c r="FU6">
        <f>INDEX($B$20:$GQ$20,MATCH(176,$B$29:$GQ$29,0))</f>
        <v>9.518559995567222E-6</v>
      </c>
      <c r="FV6">
        <f>INDEX($B$20:$GQ$20,MATCH(177,$B$29:$GQ$29,0))</f>
        <v>0</v>
      </c>
      <c r="FW6">
        <f>INDEX($B$20:$GQ$20,MATCH(178,$B$29:$GQ$29,0))</f>
        <v>4.9063323227340092E-7</v>
      </c>
      <c r="FX6">
        <f>INDEX($B$20:$GQ$20,MATCH(179,$B$29:$GQ$29,0))</f>
        <v>0</v>
      </c>
      <c r="FY6">
        <f>INDEX($B$20:$GQ$20,MATCH(180,$B$29:$GQ$29,0))</f>
        <v>0</v>
      </c>
      <c r="FZ6">
        <f>INDEX($B$20:$GQ$20,MATCH(181,$B$29:$GQ$29,0))</f>
        <v>1.1638637032132199E-6</v>
      </c>
      <c r="GA6">
        <f>INDEX($B$20:$GQ$20,MATCH(182,$B$29:$GQ$29,0))</f>
        <v>0</v>
      </c>
      <c r="GB6">
        <f>INDEX($B$20:$GQ$20,MATCH(183,$B$29:$GQ$29,0))</f>
        <v>6.9687460187289745E-7</v>
      </c>
      <c r="GC6">
        <f>INDEX($B$20:$GQ$20,MATCH(184,$B$29:$GQ$29,0))</f>
        <v>0</v>
      </c>
      <c r="GD6">
        <f>INDEX($B$20:$GQ$20,MATCH(185,$B$29:$GQ$29,0))</f>
        <v>0</v>
      </c>
      <c r="GE6">
        <f>INDEX($B$20:$GQ$20,MATCH(186,$B$29:$GQ$29,0))</f>
        <v>0</v>
      </c>
      <c r="GF6">
        <f>INDEX($B$20:$GQ$20,MATCH(187,$B$29:$GQ$29,0))</f>
        <v>0</v>
      </c>
      <c r="GG6">
        <f>INDEX($B$20:$GQ$20,MATCH(188,$B$29:$GQ$29,0))</f>
        <v>0</v>
      </c>
      <c r="GH6">
        <f>INDEX($B$20:$GQ$20,MATCH(189,$B$29:$GQ$29,0))</f>
        <v>0</v>
      </c>
      <c r="GI6">
        <f>INDEX($B$20:$GQ$20,MATCH(190,$B$29:$GQ$29,0))</f>
        <v>0</v>
      </c>
      <c r="GJ6">
        <f>INDEX($B$20:$GQ$20,MATCH(191,$B$29:$GQ$29,0))</f>
        <v>0</v>
      </c>
      <c r="GK6">
        <f>INDEX($B$20:$GQ$20,MATCH(192,$B$29:$GQ$29,0))</f>
        <v>0</v>
      </c>
      <c r="GL6">
        <f>INDEX($B$20:$GQ$20,MATCH(193,$B$29:$GQ$29,0))</f>
        <v>0</v>
      </c>
      <c r="GM6">
        <f>INDEX($B$20:$GQ$20,MATCH(194,$B$29:$GQ$29,0))</f>
        <v>0</v>
      </c>
      <c r="GN6">
        <f>INDEX($B$20:$GQ$20,MATCH(195,$B$29:$GQ$29,0))</f>
        <v>0</v>
      </c>
      <c r="GO6">
        <f>INDEX($B$20:$GQ$20,MATCH(196,$B$29:$GQ$29,0))</f>
        <v>0</v>
      </c>
      <c r="GP6">
        <f>INDEX($B$20:$GQ$20,MATCH(197,$B$29:$GQ$29,0))</f>
        <v>2.0537326787772189E-7</v>
      </c>
      <c r="GQ6">
        <f>INDEX($B$20:$GQ$20,MATCH(198,$B$29:$GQ$29,0))</f>
        <v>0</v>
      </c>
      <c r="GR6">
        <f>INDEX($GR$20:$HC$20,MATCH(1,$GR$30:$HC$30,0))</f>
        <v>5.7797490066899431E-6</v>
      </c>
      <c r="GS6">
        <f>INDEX($GR$20:$HC$20,MATCH(2,$GR$30:$HC$30,0))</f>
        <v>8.2404261049380472E-6</v>
      </c>
      <c r="GT6">
        <f>INDEX($GR$20:$HC$20,MATCH(3,$GR$30:$HC$30,0))</f>
        <v>4.7363160865112359E-7</v>
      </c>
      <c r="GU6">
        <f>INDEX($GR$20:$HC$20,MATCH(4,$GR$30:$HC$30,0))</f>
        <v>1.714443706502041E-5</v>
      </c>
      <c r="GV6">
        <f>INDEX($GR$20:$HC$20,MATCH(5,$GR$30:$HC$30,0))</f>
        <v>1.03214724236558E-5</v>
      </c>
      <c r="GW6">
        <f>INDEX($GR$20:$HC$20,MATCH(6,$GR$30:$HC$30,0))</f>
        <v>9.9353935376784314E-6</v>
      </c>
      <c r="GX6">
        <f>INDEX($GR$20:$HC$20,MATCH(7,$GR$30:$HC$30,0))</f>
        <v>0</v>
      </c>
      <c r="GY6">
        <f>INDEX($GR$20:$HC$20,MATCH(8,$GR$30:$HC$30,0))</f>
        <v>8.031322861130241E-6</v>
      </c>
      <c r="GZ6">
        <f>INDEX($GR$20:$HC$20,MATCH(9,$GR$30:$HC$30,0))</f>
        <v>3.5369984703601571E-7</v>
      </c>
      <c r="HA6">
        <f>INDEX($GR$20:$HC$20,MATCH(10,$GR$30:$HC$30,0))</f>
        <v>2.1505037189039622E-6</v>
      </c>
      <c r="HB6">
        <f>INDEX($GR$20:$HC$20,MATCH(11,$GR$30:$HC$30,0))</f>
        <v>3.99379586233883E-7</v>
      </c>
      <c r="HC6">
        <f>INDEX($GR$20:$HC$20,MATCH(12,$GR$30:$HC$30,0))</f>
        <v>4.216669884054279E-7</v>
      </c>
    </row>
    <row r="7" spans="1:211" x14ac:dyDescent="0.45">
      <c r="A7" s="1" t="s">
        <v>6</v>
      </c>
      <c r="B7">
        <f>INDEX($B$21:$GQ$21,MATCH(1,$B$29:$GQ$29,0))</f>
        <v>11484.836648500001</v>
      </c>
      <c r="C7">
        <f>INDEX($B$21:$GQ$21,MATCH(2,$B$29:$GQ$29,0))</f>
        <v>1038.4943145499999</v>
      </c>
      <c r="D7">
        <f>INDEX($B$21:$GQ$21,MATCH(3,$B$29:$GQ$29,0))</f>
        <v>1806.0386160099999</v>
      </c>
      <c r="E7">
        <f>INDEX($B$21:$GQ$21,MATCH(4,$B$29:$GQ$29,0))</f>
        <v>2166.4317380399998</v>
      </c>
      <c r="F7">
        <f>INDEX($B$21:$GQ$21,MATCH(5,$B$29:$GQ$29,0))</f>
        <v>0</v>
      </c>
      <c r="G7">
        <f>INDEX($B$21:$GQ$21,MATCH(6,$B$29:$GQ$29,0))</f>
        <v>6666.4130958942833</v>
      </c>
      <c r="H7">
        <f>INDEX($B$21:$GQ$21,MATCH(7,$B$29:$GQ$29,0))</f>
        <v>393.41683792647649</v>
      </c>
      <c r="I7">
        <f>INDEX($B$21:$GQ$21,MATCH(8,$B$29:$GQ$29,0))</f>
        <v>37.6718724459</v>
      </c>
      <c r="J7">
        <f>INDEX($B$21:$GQ$21,MATCH(9,$B$29:$GQ$29,0))</f>
        <v>1545.727142509</v>
      </c>
      <c r="K7">
        <f>INDEX($B$21:$GQ$21,MATCH(10,$B$29:$GQ$29,0))</f>
        <v>134.96855356699999</v>
      </c>
      <c r="L7">
        <f>INDEX($B$21:$GQ$21,MATCH(11,$B$29:$GQ$29,0))</f>
        <v>892.77666270999998</v>
      </c>
      <c r="M7">
        <f>INDEX($B$21:$GQ$21,MATCH(12,$B$29:$GQ$29,0))</f>
        <v>709.18679688875659</v>
      </c>
      <c r="N7">
        <f>INDEX($B$21:$GQ$21,MATCH(13,$B$29:$GQ$29,0))</f>
        <v>1737.93637934</v>
      </c>
      <c r="O7">
        <f>INDEX($B$21:$GQ$21,MATCH(14,$B$29:$GQ$29,0))</f>
        <v>1267.5185599075201</v>
      </c>
      <c r="P7">
        <f>INDEX($B$21:$GQ$21,MATCH(15,$B$29:$GQ$29,0))</f>
        <v>2481.46822075</v>
      </c>
      <c r="Q7">
        <f>INDEX($B$21:$GQ$21,MATCH(16,$B$29:$GQ$29,0))</f>
        <v>1024.3292228667999</v>
      </c>
      <c r="R7">
        <f>INDEX($B$21:$GQ$21,MATCH(17,$B$29:$GQ$29,0))</f>
        <v>1549.8190821000001</v>
      </c>
      <c r="S7">
        <f>INDEX($B$21:$GQ$21,MATCH(18,$B$29:$GQ$29,0))</f>
        <v>0</v>
      </c>
      <c r="T7">
        <f>INDEX($B$21:$GQ$21,MATCH(19,$B$29:$GQ$29,0))</f>
        <v>596.45047547599995</v>
      </c>
      <c r="U7">
        <f>INDEX($B$21:$GQ$21,MATCH(20,$B$29:$GQ$29,0))</f>
        <v>6719.8629984099998</v>
      </c>
      <c r="V7">
        <f>INDEX($B$21:$GQ$21,MATCH(21,$B$29:$GQ$29,0))</f>
        <v>10896.3904117</v>
      </c>
      <c r="W7">
        <f>INDEX($B$21:$GQ$21,MATCH(22,$B$29:$GQ$29,0))</f>
        <v>2378.0362296804178</v>
      </c>
      <c r="X7">
        <f>INDEX($B$21:$GQ$21,MATCH(23,$B$29:$GQ$29,0))</f>
        <v>29014.020956100001</v>
      </c>
      <c r="Y7">
        <f>INDEX($B$21:$GQ$21,MATCH(24,$B$29:$GQ$29,0))</f>
        <v>5191.81852316</v>
      </c>
      <c r="Z7">
        <f>INDEX($B$21:$GQ$21,MATCH(25,$B$29:$GQ$29,0))</f>
        <v>6643.3333910300007</v>
      </c>
      <c r="AA7">
        <f>INDEX($B$21:$GQ$21,MATCH(26,$B$29:$GQ$29,0))</f>
        <v>10799.400247</v>
      </c>
      <c r="AB7">
        <f>INDEX($B$21:$GQ$21,MATCH(27,$B$29:$GQ$29,0))</f>
        <v>92.726657253900001</v>
      </c>
      <c r="AC7">
        <f>INDEX($B$21:$GQ$21,MATCH(28,$B$29:$GQ$29,0))</f>
        <v>8077.9817955548197</v>
      </c>
      <c r="AD7">
        <f>INDEX($B$21:$GQ$21,MATCH(29,$B$29:$GQ$29,0))</f>
        <v>358.93550539300003</v>
      </c>
      <c r="AE7">
        <f>INDEX($B$21:$GQ$21,MATCH(30,$B$29:$GQ$29,0))</f>
        <v>18.17377665812187</v>
      </c>
      <c r="AF7">
        <f>INDEX($B$21:$GQ$21,MATCH(31,$B$29:$GQ$29,0))</f>
        <v>1038.6668066899999</v>
      </c>
      <c r="AG7">
        <f>INDEX($B$21:$GQ$21,MATCH(32,$B$29:$GQ$29,0))</f>
        <v>1145.74717822</v>
      </c>
      <c r="AH7">
        <f>INDEX($B$21:$GQ$21,MATCH(33,$B$29:$GQ$29,0))</f>
        <v>2604.55483714</v>
      </c>
      <c r="AI7">
        <f>INDEX($B$21:$GQ$21,MATCH(34,$B$29:$GQ$29,0))</f>
        <v>95.863337095600002</v>
      </c>
      <c r="AJ7">
        <f>INDEX($B$21:$GQ$21,MATCH(35,$B$29:$GQ$29,0))</f>
        <v>0</v>
      </c>
      <c r="AK7">
        <f>INDEX($B$21:$GQ$21,MATCH(36,$B$29:$GQ$29,0))</f>
        <v>5070.0672428300004</v>
      </c>
      <c r="AL7">
        <f>INDEX($B$21:$GQ$21,MATCH(37,$B$29:$GQ$29,0))</f>
        <v>262.48153199278192</v>
      </c>
      <c r="AM7">
        <f>INDEX($B$21:$GQ$21,MATCH(38,$B$29:$GQ$29,0))</f>
        <v>418.35490823388932</v>
      </c>
      <c r="AN7">
        <f>INDEX($B$21:$GQ$21,MATCH(39,$B$29:$GQ$29,0))</f>
        <v>262.19233730575002</v>
      </c>
      <c r="AO7">
        <f>INDEX($B$21:$GQ$21,MATCH(40,$B$29:$GQ$29,0))</f>
        <v>1317.5141081675199</v>
      </c>
      <c r="AP7">
        <f>INDEX($B$21:$GQ$21,MATCH(41,$B$29:$GQ$29,0))</f>
        <v>6.1707335051997774</v>
      </c>
      <c r="AQ7">
        <f>INDEX($B$21:$GQ$21,MATCH(42,$B$29:$GQ$29,0))</f>
        <v>7198.1551780506543</v>
      </c>
      <c r="AR7">
        <f>INDEX($B$21:$GQ$21,MATCH(43,$B$29:$GQ$29,0))</f>
        <v>652.78120585600004</v>
      </c>
      <c r="AS7">
        <f>INDEX($B$21:$GQ$21,MATCH(44,$B$29:$GQ$29,0))</f>
        <v>3107.3829579702092</v>
      </c>
      <c r="AT7">
        <f>INDEX($B$21:$GQ$21,MATCH(45,$B$29:$GQ$29,0))</f>
        <v>191.524540960959</v>
      </c>
      <c r="AU7">
        <f>INDEX($B$21:$GQ$21,MATCH(46,$B$29:$GQ$29,0))</f>
        <v>854.20888969679993</v>
      </c>
      <c r="AV7">
        <f>INDEX($B$21:$GQ$21,MATCH(47,$B$29:$GQ$29,0))</f>
        <v>12.589531046076591</v>
      </c>
      <c r="AW7">
        <f>INDEX($B$21:$GQ$21,MATCH(48,$B$29:$GQ$29,0))</f>
        <v>1220.2376179299999</v>
      </c>
      <c r="AX7">
        <f>INDEX($B$21:$GQ$21,MATCH(49,$B$29:$GQ$29,0))</f>
        <v>1749.27710897</v>
      </c>
      <c r="AY7">
        <f>INDEX($B$21:$GQ$21,MATCH(50,$B$29:$GQ$29,0))</f>
        <v>0</v>
      </c>
      <c r="AZ7">
        <f>INDEX($B$21:$GQ$21,MATCH(51,$B$29:$GQ$29,0))</f>
        <v>20.421948832948161</v>
      </c>
      <c r="BA7">
        <f>INDEX($B$21:$GQ$21,MATCH(52,$B$29:$GQ$29,0))</f>
        <v>1766.04037623</v>
      </c>
      <c r="BB7">
        <f>INDEX($B$21:$GQ$21,MATCH(53,$B$29:$GQ$29,0))</f>
        <v>0</v>
      </c>
      <c r="BC7">
        <f>INDEX($B$21:$GQ$21,MATCH(54,$B$29:$GQ$29,0))</f>
        <v>1803.7615754999999</v>
      </c>
      <c r="BD7">
        <f>INDEX($B$21:$GQ$21,MATCH(55,$B$29:$GQ$29,0))</f>
        <v>0</v>
      </c>
      <c r="BE7">
        <f>INDEX($B$21:$GQ$21,MATCH(56,$B$29:$GQ$29,0))</f>
        <v>1559.8370236600001</v>
      </c>
      <c r="BF7">
        <f>INDEX($B$21:$GQ$21,MATCH(57,$B$29:$GQ$29,0))</f>
        <v>2010.42848448</v>
      </c>
      <c r="BG7">
        <f>INDEX($B$21:$GQ$21,MATCH(58,$B$29:$GQ$29,0))</f>
        <v>324.71811889076042</v>
      </c>
      <c r="BH7">
        <f>INDEX($B$21:$GQ$21,MATCH(59,$B$29:$GQ$29,0))</f>
        <v>243.82395424985501</v>
      </c>
      <c r="BI7">
        <f>INDEX($B$21:$GQ$21,MATCH(60,$B$29:$GQ$29,0))</f>
        <v>4696.7749308100001</v>
      </c>
      <c r="BJ7">
        <f>INDEX($B$21:$GQ$21,MATCH(61,$B$29:$GQ$29,0))</f>
        <v>0</v>
      </c>
      <c r="BK7">
        <f>INDEX($B$21:$GQ$21,MATCH(62,$B$29:$GQ$29,0))</f>
        <v>107.8362040536</v>
      </c>
      <c r="BL7">
        <f>INDEX($B$21:$GQ$21,MATCH(63,$B$29:$GQ$29,0))</f>
        <v>152.52438610900001</v>
      </c>
      <c r="BM7">
        <f>INDEX($B$21:$GQ$21,MATCH(64,$B$29:$GQ$29,0))</f>
        <v>2813.8265550279998</v>
      </c>
      <c r="BN7">
        <f>INDEX($B$21:$GQ$21,MATCH(65,$B$29:$GQ$29,0))</f>
        <v>4669.9064481400001</v>
      </c>
      <c r="BO7">
        <f>INDEX($B$21:$GQ$21,MATCH(66,$B$29:$GQ$29,0))</f>
        <v>627.28953437057316</v>
      </c>
      <c r="BP7">
        <f>INDEX($B$21:$GQ$21,MATCH(67,$B$29:$GQ$29,0))</f>
        <v>2577.2612739800002</v>
      </c>
      <c r="BQ7">
        <f>INDEX($B$21:$GQ$21,MATCH(68,$B$29:$GQ$29,0))</f>
        <v>0</v>
      </c>
      <c r="BR7">
        <f>INDEX($B$21:$GQ$21,MATCH(69,$B$29:$GQ$29,0))</f>
        <v>0</v>
      </c>
      <c r="BS7">
        <f>INDEX($B$21:$GQ$21,MATCH(70,$B$29:$GQ$29,0))</f>
        <v>0</v>
      </c>
      <c r="BT7">
        <f>INDEX($B$21:$GQ$21,MATCH(71,$B$29:$GQ$29,0))</f>
        <v>286.21616942958212</v>
      </c>
      <c r="BU7">
        <f>INDEX($B$21:$GQ$21,MATCH(72,$B$29:$GQ$29,0))</f>
        <v>0</v>
      </c>
      <c r="BV7">
        <f>INDEX($B$21:$GQ$21,MATCH(73,$B$29:$GQ$29,0))</f>
        <v>895.25021162600001</v>
      </c>
      <c r="BW7">
        <f>INDEX($B$21:$GQ$21,MATCH(74,$B$29:$GQ$29,0))</f>
        <v>130.97256975400001</v>
      </c>
      <c r="BX7">
        <f>INDEX($B$21:$GQ$21,MATCH(75,$B$29:$GQ$29,0))</f>
        <v>791.25578928899995</v>
      </c>
      <c r="BY7">
        <f>INDEX($B$21:$GQ$21,MATCH(76,$B$29:$GQ$29,0))</f>
        <v>44.522949826820003</v>
      </c>
      <c r="BZ7">
        <f>INDEX($B$21:$GQ$21,MATCH(77,$B$29:$GQ$29,0))</f>
        <v>34.973120821718787</v>
      </c>
      <c r="CA7">
        <f>INDEX($B$21:$GQ$21,MATCH(78,$B$29:$GQ$29,0))</f>
        <v>0</v>
      </c>
      <c r="CB7">
        <f>INDEX($B$21:$GQ$21,MATCH(79,$B$29:$GQ$29,0))</f>
        <v>612.42607809052072</v>
      </c>
      <c r="CC7">
        <f>INDEX($B$21:$GQ$21,MATCH(80,$B$29:$GQ$29,0))</f>
        <v>10.798532357499999</v>
      </c>
      <c r="CD7">
        <f>INDEX($B$21:$GQ$21,MATCH(81,$B$29:$GQ$29,0))</f>
        <v>0</v>
      </c>
      <c r="CE7">
        <f>INDEX($B$21:$GQ$21,MATCH(82,$B$29:$GQ$29,0))</f>
        <v>0.66543467202200002</v>
      </c>
      <c r="CF7">
        <f>INDEX($B$21:$GQ$21,MATCH(83,$B$29:$GQ$29,0))</f>
        <v>10172.62054431125</v>
      </c>
      <c r="CG7">
        <f>INDEX($B$21:$GQ$21,MATCH(84,$B$29:$GQ$29,0))</f>
        <v>63.361211080935377</v>
      </c>
      <c r="CH7">
        <f>INDEX($B$21:$GQ$21,MATCH(85,$B$29:$GQ$29,0))</f>
        <v>520.47413446200005</v>
      </c>
      <c r="CI7">
        <f>INDEX($B$21:$GQ$21,MATCH(86,$B$29:$GQ$29,0))</f>
        <v>12.452825049199999</v>
      </c>
      <c r="CJ7">
        <f>INDEX($B$21:$GQ$21,MATCH(87,$B$29:$GQ$29,0))</f>
        <v>50.540358367452967</v>
      </c>
      <c r="CK7">
        <f>INDEX($B$21:$GQ$21,MATCH(88,$B$29:$GQ$29,0))</f>
        <v>7.2681283026200001</v>
      </c>
      <c r="CL7">
        <f>INDEX($B$21:$GQ$21,MATCH(89,$B$29:$GQ$29,0))</f>
        <v>7.47894238651</v>
      </c>
      <c r="CM7">
        <f>INDEX($B$21:$GQ$21,MATCH(90,$B$29:$GQ$29,0))</f>
        <v>6.2167013558799988</v>
      </c>
      <c r="CN7">
        <f>INDEX($B$21:$GQ$21,MATCH(91,$B$29:$GQ$29,0))</f>
        <v>7.1772939881199997</v>
      </c>
      <c r="CO7">
        <f>INDEX($B$21:$GQ$21,MATCH(92,$B$29:$GQ$29,0))</f>
        <v>64.052776141426875</v>
      </c>
      <c r="CP7">
        <f>INDEX($B$21:$GQ$21,MATCH(93,$B$29:$GQ$29,0))</f>
        <v>0</v>
      </c>
      <c r="CQ7">
        <f>INDEX($B$21:$GQ$21,MATCH(94,$B$29:$GQ$29,0))</f>
        <v>5.4780863341700003</v>
      </c>
      <c r="CR7">
        <f>INDEX($B$21:$GQ$21,MATCH(95,$B$29:$GQ$29,0))</f>
        <v>6.6187806119300001</v>
      </c>
      <c r="CS7">
        <f>INDEX($B$21:$GQ$21,MATCH(96,$B$29:$GQ$29,0))</f>
        <v>0</v>
      </c>
      <c r="CT7">
        <f>INDEX($B$21:$GQ$21,MATCH(97,$B$29:$GQ$29,0))</f>
        <v>8.3376501952699993</v>
      </c>
      <c r="CU7">
        <f>INDEX($B$21:$GQ$21,MATCH(98,$B$29:$GQ$29,0))</f>
        <v>3.4561336392499999</v>
      </c>
      <c r="CV7">
        <f>INDEX($B$21:$GQ$21,MATCH(99,$B$29:$GQ$29,0))</f>
        <v>4.2866716676400003</v>
      </c>
      <c r="CW7">
        <f>INDEX($B$21:$GQ$21,MATCH(100,$B$29:$GQ$29,0))</f>
        <v>2.8579230598600001</v>
      </c>
      <c r="CX7">
        <f>INDEX($B$21:$GQ$21,MATCH(101,$B$29:$GQ$29,0))</f>
        <v>7.7745748429250057</v>
      </c>
      <c r="CY7">
        <f>INDEX($B$21:$GQ$21,MATCH(102,$B$29:$GQ$29,0))</f>
        <v>4.4869937232399604</v>
      </c>
      <c r="CZ7">
        <f>INDEX($B$21:$GQ$21,MATCH(103,$B$29:$GQ$29,0))</f>
        <v>2.5196803371600001</v>
      </c>
      <c r="DA7">
        <f>INDEX($B$21:$GQ$21,MATCH(104,$B$29:$GQ$29,0))</f>
        <v>52.290447045240562</v>
      </c>
      <c r="DB7">
        <f>INDEX($B$21:$GQ$21,MATCH(105,$B$29:$GQ$29,0))</f>
        <v>1.5981500333700001</v>
      </c>
      <c r="DC7">
        <f>INDEX($B$21:$GQ$21,MATCH(106,$B$29:$GQ$29,0))</f>
        <v>7.7841592984684684</v>
      </c>
      <c r="DD7">
        <f>INDEX($B$21:$GQ$21,MATCH(107,$B$29:$GQ$29,0))</f>
        <v>1.4328711332499999</v>
      </c>
      <c r="DE7">
        <f>INDEX($B$21:$GQ$21,MATCH(108,$B$29:$GQ$29,0))</f>
        <v>157.13671563599999</v>
      </c>
      <c r="DF7">
        <f>INDEX($B$21:$GQ$21,MATCH(109,$B$29:$GQ$29,0))</f>
        <v>0.91095341557300002</v>
      </c>
      <c r="DG7">
        <f>INDEX($B$21:$GQ$21,MATCH(110,$B$29:$GQ$29,0))</f>
        <v>1.81215275413</v>
      </c>
      <c r="DH7">
        <f>INDEX($B$21:$GQ$21,MATCH(111,$B$29:$GQ$29,0))</f>
        <v>0.63557573159500003</v>
      </c>
      <c r="DI7">
        <f>INDEX($B$21:$GQ$21,MATCH(112,$B$29:$GQ$29,0))</f>
        <v>0.47988633069100001</v>
      </c>
      <c r="DJ7">
        <f>INDEX($B$21:$GQ$21,MATCH(113,$B$29:$GQ$29,0))</f>
        <v>0.91886879222690554</v>
      </c>
      <c r="DK7">
        <f>INDEX($B$21:$GQ$21,MATCH(114,$B$29:$GQ$29,0))</f>
        <v>1.6789142170569999</v>
      </c>
      <c r="DL7">
        <f>INDEX($B$21:$GQ$21,MATCH(115,$B$29:$GQ$29,0))</f>
        <v>5.4250360592692362</v>
      </c>
      <c r="DM7">
        <f>INDEX($B$21:$GQ$21,MATCH(116,$B$29:$GQ$29,0))</f>
        <v>2.2862877476796539</v>
      </c>
      <c r="DN7">
        <f>INDEX($B$21:$GQ$21,MATCH(117,$B$29:$GQ$29,0))</f>
        <v>7.4935930203748713</v>
      </c>
      <c r="DO7">
        <f>INDEX($B$21:$GQ$21,MATCH(118,$B$29:$GQ$29,0))</f>
        <v>4.9947555776570151E-3</v>
      </c>
      <c r="DP7">
        <f>INDEX($B$21:$GQ$21,MATCH(119,$B$29:$GQ$29,0))</f>
        <v>0</v>
      </c>
      <c r="DQ7">
        <f>INDEX($B$21:$GQ$21,MATCH(120,$B$29:$GQ$29,0))</f>
        <v>1.056828588528105</v>
      </c>
      <c r="DR7">
        <f>INDEX($B$21:$GQ$21,MATCH(121,$B$29:$GQ$29,0))</f>
        <v>0.112600342789</v>
      </c>
      <c r="DS7">
        <f>INDEX($B$21:$GQ$21,MATCH(122,$B$29:$GQ$29,0))</f>
        <v>5.55902005850945E-2</v>
      </c>
      <c r="DT7">
        <f>INDEX($B$21:$GQ$21,MATCH(123,$B$29:$GQ$29,0))</f>
        <v>14.903983972800001</v>
      </c>
      <c r="DU7">
        <f>INDEX($B$21:$GQ$21,MATCH(124,$B$29:$GQ$29,0))</f>
        <v>1.3261887457802539</v>
      </c>
      <c r="DV7">
        <f>INDEX($B$21:$GQ$21,MATCH(125,$B$29:$GQ$29,0))</f>
        <v>4.31870936057E-2</v>
      </c>
      <c r="DW7">
        <f>INDEX($B$21:$GQ$21,MATCH(126,$B$29:$GQ$29,0))</f>
        <v>14.5218305376</v>
      </c>
      <c r="DX7">
        <f>INDEX($B$21:$GQ$21,MATCH(127,$B$29:$GQ$29,0))</f>
        <v>6.3533008602000001</v>
      </c>
      <c r="DY7">
        <f>INDEX($B$21:$GQ$21,MATCH(128,$B$29:$GQ$29,0))</f>
        <v>0.102340521859746</v>
      </c>
      <c r="DZ7">
        <f>INDEX($B$21:$GQ$21,MATCH(129,$B$29:$GQ$29,0))</f>
        <v>0.1066507278430744</v>
      </c>
      <c r="EA7">
        <f>INDEX($B$21:$GQ$21,MATCH(130,$B$29:$GQ$29,0))</f>
        <v>0</v>
      </c>
      <c r="EB7">
        <f>INDEX($B$21:$GQ$21,MATCH(131,$B$29:$GQ$29,0))</f>
        <v>0.26273048669999999</v>
      </c>
      <c r="EC7">
        <f>INDEX($B$21:$GQ$21,MATCH(132,$B$29:$GQ$29,0))</f>
        <v>6.1700262321527496E-3</v>
      </c>
      <c r="ED7">
        <f>INDEX($B$21:$GQ$21,MATCH(133,$B$29:$GQ$29,0))</f>
        <v>3.9625614194724822E-4</v>
      </c>
      <c r="EE7">
        <f>INDEX($B$21:$GQ$21,MATCH(134,$B$29:$GQ$29,0))</f>
        <v>0</v>
      </c>
      <c r="EF7">
        <f>INDEX($B$21:$GQ$21,MATCH(135,$B$29:$GQ$29,0))</f>
        <v>0</v>
      </c>
      <c r="EG7">
        <f>INDEX($B$21:$GQ$21,MATCH(136,$B$29:$GQ$29,0))</f>
        <v>0</v>
      </c>
      <c r="EH7">
        <f>INDEX($B$21:$GQ$21,MATCH(137,$B$29:$GQ$29,0))</f>
        <v>0</v>
      </c>
      <c r="EI7">
        <f>INDEX($B$21:$GQ$21,MATCH(138,$B$29:$GQ$29,0))</f>
        <v>0</v>
      </c>
      <c r="EJ7">
        <f>INDEX($B$21:$GQ$21,MATCH(139,$B$29:$GQ$29,0))</f>
        <v>0</v>
      </c>
      <c r="EK7">
        <f>INDEX($B$21:$GQ$21,MATCH(140,$B$29:$GQ$29,0))</f>
        <v>0</v>
      </c>
      <c r="EL7">
        <f>INDEX($B$21:$GQ$21,MATCH(141,$B$29:$GQ$29,0))</f>
        <v>0</v>
      </c>
      <c r="EM7">
        <f>INDEX($B$21:$GQ$21,MATCH(142,$B$29:$GQ$29,0))</f>
        <v>0</v>
      </c>
      <c r="EN7">
        <f>INDEX($B$21:$GQ$21,MATCH(143,$B$29:$GQ$29,0))</f>
        <v>0</v>
      </c>
      <c r="EO7">
        <f>INDEX($B$21:$GQ$21,MATCH(144,$B$29:$GQ$29,0))</f>
        <v>0</v>
      </c>
      <c r="EP7">
        <f>INDEX($B$21:$GQ$21,MATCH(145,$B$29:$GQ$29,0))</f>
        <v>0</v>
      </c>
      <c r="EQ7">
        <f>INDEX($B$21:$GQ$21,MATCH(146,$B$29:$GQ$29,0))</f>
        <v>0</v>
      </c>
      <c r="ER7">
        <f>INDEX($B$21:$GQ$21,MATCH(147,$B$29:$GQ$29,0))</f>
        <v>0</v>
      </c>
      <c r="ES7">
        <f>INDEX($B$21:$GQ$21,MATCH(148,$B$29:$GQ$29,0))</f>
        <v>0</v>
      </c>
      <c r="ET7">
        <f>INDEX($B$21:$GQ$21,MATCH(149,$B$29:$GQ$29,0))</f>
        <v>0</v>
      </c>
      <c r="EU7">
        <f>INDEX($B$21:$GQ$21,MATCH(150,$B$29:$GQ$29,0))</f>
        <v>0</v>
      </c>
      <c r="EV7">
        <f>INDEX($B$21:$GQ$21,MATCH(151,$B$29:$GQ$29,0))</f>
        <v>0</v>
      </c>
      <c r="EW7">
        <f>INDEX($B$21:$GQ$21,MATCH(152,$B$29:$GQ$29,0))</f>
        <v>0</v>
      </c>
      <c r="EX7">
        <f>INDEX($B$21:$GQ$21,MATCH(153,$B$29:$GQ$29,0))</f>
        <v>0</v>
      </c>
      <c r="EY7">
        <f>INDEX($B$21:$GQ$21,MATCH(154,$B$29:$GQ$29,0))</f>
        <v>0</v>
      </c>
      <c r="EZ7">
        <f>INDEX($B$21:$GQ$21,MATCH(155,$B$29:$GQ$29,0))</f>
        <v>0</v>
      </c>
      <c r="FA7">
        <f>INDEX($B$21:$GQ$21,MATCH(156,$B$29:$GQ$29,0))</f>
        <v>0</v>
      </c>
      <c r="FB7">
        <f>INDEX($B$21:$GQ$21,MATCH(157,$B$29:$GQ$29,0))</f>
        <v>0</v>
      </c>
      <c r="FC7">
        <f>INDEX($B$21:$GQ$21,MATCH(158,$B$29:$GQ$29,0))</f>
        <v>0</v>
      </c>
      <c r="FD7">
        <f>INDEX($B$21:$GQ$21,MATCH(159,$B$29:$GQ$29,0))</f>
        <v>0</v>
      </c>
      <c r="FE7">
        <f>INDEX($B$21:$GQ$21,MATCH(160,$B$29:$GQ$29,0))</f>
        <v>0</v>
      </c>
      <c r="FF7">
        <f>INDEX($B$21:$GQ$21,MATCH(161,$B$29:$GQ$29,0))</f>
        <v>0</v>
      </c>
      <c r="FG7">
        <f>INDEX($B$21:$GQ$21,MATCH(162,$B$29:$GQ$29,0))</f>
        <v>0</v>
      </c>
      <c r="FH7">
        <f>INDEX($B$21:$GQ$21,MATCH(163,$B$29:$GQ$29,0))</f>
        <v>0</v>
      </c>
      <c r="FI7">
        <f>INDEX($B$21:$GQ$21,MATCH(164,$B$29:$GQ$29,0))</f>
        <v>0</v>
      </c>
      <c r="FJ7">
        <f>INDEX($B$21:$GQ$21,MATCH(165,$B$29:$GQ$29,0))</f>
        <v>0</v>
      </c>
      <c r="FK7">
        <f>INDEX($B$21:$GQ$21,MATCH(166,$B$29:$GQ$29,0))</f>
        <v>0</v>
      </c>
      <c r="FL7">
        <f>INDEX($B$21:$GQ$21,MATCH(167,$B$29:$GQ$29,0))</f>
        <v>0</v>
      </c>
      <c r="FM7">
        <f>INDEX($B$21:$GQ$21,MATCH(168,$B$29:$GQ$29,0))</f>
        <v>0</v>
      </c>
      <c r="FN7">
        <f>INDEX($B$21:$GQ$21,MATCH(169,$B$29:$GQ$29,0))</f>
        <v>0</v>
      </c>
      <c r="FO7">
        <f>INDEX($B$21:$GQ$21,MATCH(170,$B$29:$GQ$29,0))</f>
        <v>0</v>
      </c>
      <c r="FP7">
        <f>INDEX($B$21:$GQ$21,MATCH(171,$B$29:$GQ$29,0))</f>
        <v>0</v>
      </c>
      <c r="FQ7">
        <f>INDEX($B$21:$GQ$21,MATCH(172,$B$29:$GQ$29,0))</f>
        <v>0</v>
      </c>
      <c r="FR7">
        <f>INDEX($B$21:$GQ$21,MATCH(173,$B$29:$GQ$29,0))</f>
        <v>0</v>
      </c>
      <c r="FS7">
        <f>INDEX($B$21:$GQ$21,MATCH(174,$B$29:$GQ$29,0))</f>
        <v>0</v>
      </c>
      <c r="FT7">
        <f>INDEX($B$21:$GQ$21,MATCH(175,$B$29:$GQ$29,0))</f>
        <v>0</v>
      </c>
      <c r="FU7">
        <f>INDEX($B$21:$GQ$21,MATCH(176,$B$29:$GQ$29,0))</f>
        <v>0</v>
      </c>
      <c r="FV7">
        <f>INDEX($B$21:$GQ$21,MATCH(177,$B$29:$GQ$29,0))</f>
        <v>0</v>
      </c>
      <c r="FW7">
        <f>INDEX($B$21:$GQ$21,MATCH(178,$B$29:$GQ$29,0))</f>
        <v>0</v>
      </c>
      <c r="FX7">
        <f>INDEX($B$21:$GQ$21,MATCH(179,$B$29:$GQ$29,0))</f>
        <v>0</v>
      </c>
      <c r="FY7">
        <f>INDEX($B$21:$GQ$21,MATCH(180,$B$29:$GQ$29,0))</f>
        <v>3.0458495076355003E-4</v>
      </c>
      <c r="FZ7">
        <f>INDEX($B$21:$GQ$21,MATCH(181,$B$29:$GQ$29,0))</f>
        <v>0</v>
      </c>
      <c r="GA7">
        <f>INDEX($B$21:$GQ$21,MATCH(182,$B$29:$GQ$29,0))</f>
        <v>0</v>
      </c>
      <c r="GB7">
        <f>INDEX($B$21:$GQ$21,MATCH(183,$B$29:$GQ$29,0))</f>
        <v>0</v>
      </c>
      <c r="GC7">
        <f>INDEX($B$21:$GQ$21,MATCH(184,$B$29:$GQ$29,0))</f>
        <v>0</v>
      </c>
      <c r="GD7">
        <f>INDEX($B$21:$GQ$21,MATCH(185,$B$29:$GQ$29,0))</f>
        <v>6.0997008595128847E-2</v>
      </c>
      <c r="GE7">
        <f>INDEX($B$21:$GQ$21,MATCH(186,$B$29:$GQ$29,0))</f>
        <v>0</v>
      </c>
      <c r="GF7">
        <f>INDEX($B$21:$GQ$21,MATCH(187,$B$29:$GQ$29,0))</f>
        <v>0</v>
      </c>
      <c r="GG7">
        <f>INDEX($B$21:$GQ$21,MATCH(188,$B$29:$GQ$29,0))</f>
        <v>0</v>
      </c>
      <c r="GH7">
        <f>INDEX($B$21:$GQ$21,MATCH(189,$B$29:$GQ$29,0))</f>
        <v>0</v>
      </c>
      <c r="GI7">
        <f>INDEX($B$21:$GQ$21,MATCH(190,$B$29:$GQ$29,0))</f>
        <v>0</v>
      </c>
      <c r="GJ7">
        <f>INDEX($B$21:$GQ$21,MATCH(191,$B$29:$GQ$29,0))</f>
        <v>0</v>
      </c>
      <c r="GK7">
        <f>INDEX($B$21:$GQ$21,MATCH(192,$B$29:$GQ$29,0))</f>
        <v>0</v>
      </c>
      <c r="GL7">
        <f>INDEX($B$21:$GQ$21,MATCH(193,$B$29:$GQ$29,0))</f>
        <v>0</v>
      </c>
      <c r="GM7">
        <f>INDEX($B$21:$GQ$21,MATCH(194,$B$29:$GQ$29,0))</f>
        <v>0</v>
      </c>
      <c r="GN7">
        <f>INDEX($B$21:$GQ$21,MATCH(195,$B$29:$GQ$29,0))</f>
        <v>0</v>
      </c>
      <c r="GO7">
        <f>INDEX($B$21:$GQ$21,MATCH(196,$B$29:$GQ$29,0))</f>
        <v>0</v>
      </c>
      <c r="GP7">
        <f>INDEX($B$21:$GQ$21,MATCH(197,$B$29:$GQ$29,0))</f>
        <v>0</v>
      </c>
      <c r="GQ7">
        <f>INDEX($B$21:$GQ$21,MATCH(198,$B$29:$GQ$29,0))</f>
        <v>0</v>
      </c>
      <c r="GR7">
        <f>INDEX($GR$21:$HC$21,MATCH(1,$GR$30:$HC$30,0))</f>
        <v>17903.873458744751</v>
      </c>
      <c r="GS7">
        <f>INDEX($GR$21:$HC$21,MATCH(2,$GR$30:$HC$30,0))</f>
        <v>3828.2993022389001</v>
      </c>
      <c r="GT7">
        <f>INDEX($GR$21:$HC$21,MATCH(3,$GR$30:$HC$30,0))</f>
        <v>14392.991685798401</v>
      </c>
      <c r="GU7">
        <f>INDEX($GR$21:$HC$21,MATCH(4,$GR$30:$HC$30,0))</f>
        <v>1038.4943145499999</v>
      </c>
      <c r="GV7">
        <f>INDEX($GR$21:$HC$21,MATCH(5,$GR$30:$HC$30,0))</f>
        <v>2356.4986623639588</v>
      </c>
      <c r="GW7">
        <f>INDEX($GR$21:$HC$21,MATCH(6,$GR$30:$HC$30,0))</f>
        <v>1806.0386160099999</v>
      </c>
      <c r="GX7">
        <f>INDEX($GR$21:$HC$21,MATCH(7,$GR$30:$HC$30,0))</f>
        <v>0</v>
      </c>
      <c r="GY7">
        <f>INDEX($GR$21:$HC$21,MATCH(8,$GR$30:$HC$30,0))</f>
        <v>6818.9374820032835</v>
      </c>
      <c r="GZ7">
        <f>INDEX($GR$21:$HC$21,MATCH(9,$GR$30:$HC$30,0))</f>
        <v>26463.523517716021</v>
      </c>
      <c r="HA7">
        <f>INDEX($GR$21:$HC$21,MATCH(10,$GR$30:$HC$30,0))</f>
        <v>22808.071933269999</v>
      </c>
      <c r="HB7">
        <f>INDEX($GR$21:$HC$21,MATCH(11,$GR$30:$HC$30,0))</f>
        <v>58120.83281466164</v>
      </c>
      <c r="HC7">
        <f>INDEX($GR$21:$HC$21,MATCH(12,$GR$30:$HC$30,0))</f>
        <v>52451.491819216943</v>
      </c>
    </row>
    <row r="8" spans="1:211" x14ac:dyDescent="0.45">
      <c r="A8" s="1" t="s">
        <v>7</v>
      </c>
      <c r="B8">
        <f>INDEX($B$22:$GQ$22,MATCH(1,$B$29:$GQ$29,0))</f>
        <v>23360.725289119</v>
      </c>
      <c r="C8">
        <f>INDEX($B$22:$GQ$22,MATCH(2,$B$29:$GQ$29,0))</f>
        <v>5050.4413716326299</v>
      </c>
      <c r="D8">
        <f>INDEX($B$22:$GQ$22,MATCH(3,$B$29:$GQ$29,0))</f>
        <v>8488.2230403558297</v>
      </c>
      <c r="E8">
        <f>INDEX($B$22:$GQ$22,MATCH(4,$B$29:$GQ$29,0))</f>
        <v>15949.9837150327</v>
      </c>
      <c r="F8">
        <f>INDEX($B$22:$GQ$22,MATCH(5,$B$29:$GQ$29,0))</f>
        <v>83954.164852629998</v>
      </c>
      <c r="G8">
        <f>INDEX($B$22:$GQ$22,MATCH(6,$B$29:$GQ$29,0))</f>
        <v>10280.107604815599</v>
      </c>
      <c r="H8">
        <f>INDEX($B$22:$GQ$22,MATCH(7,$B$29:$GQ$29,0))</f>
        <v>6143.0077963115054</v>
      </c>
      <c r="I8">
        <f>INDEX($B$22:$GQ$22,MATCH(8,$B$29:$GQ$29,0))</f>
        <v>3117.9127895699999</v>
      </c>
      <c r="J8">
        <f>INDEX($B$22:$GQ$22,MATCH(9,$B$29:$GQ$29,0))</f>
        <v>258670.86586419999</v>
      </c>
      <c r="K8">
        <f>INDEX($B$22:$GQ$22,MATCH(10,$B$29:$GQ$29,0))</f>
        <v>1889.7566549799999</v>
      </c>
      <c r="L8">
        <f>INDEX($B$22:$GQ$22,MATCH(11,$B$29:$GQ$29,0))</f>
        <v>8018.0444478146992</v>
      </c>
      <c r="M8">
        <f>INDEX($B$22:$GQ$22,MATCH(12,$B$29:$GQ$29,0))</f>
        <v>726.07848723778375</v>
      </c>
      <c r="N8">
        <f>INDEX($B$22:$GQ$22,MATCH(13,$B$29:$GQ$29,0))</f>
        <v>7010.4418690136599</v>
      </c>
      <c r="O8">
        <f>INDEX($B$22:$GQ$22,MATCH(14,$B$29:$GQ$29,0))</f>
        <v>186753.73804475501</v>
      </c>
      <c r="P8">
        <f>INDEX($B$22:$GQ$22,MATCH(15,$B$29:$GQ$29,0))</f>
        <v>71885.084968099996</v>
      </c>
      <c r="Q8">
        <f>INDEX($B$22:$GQ$22,MATCH(16,$B$29:$GQ$29,0))</f>
        <v>130808.66813279</v>
      </c>
      <c r="R8">
        <f>INDEX($B$22:$GQ$22,MATCH(17,$B$29:$GQ$29,0))</f>
        <v>2468.4934124624001</v>
      </c>
      <c r="S8">
        <f>INDEX($B$22:$GQ$22,MATCH(18,$B$29:$GQ$29,0))</f>
        <v>242143.13257310001</v>
      </c>
      <c r="T8">
        <f>INDEX($B$22:$GQ$22,MATCH(19,$B$29:$GQ$29,0))</f>
        <v>2108.0791581456701</v>
      </c>
      <c r="U8">
        <f>INDEX($B$22:$GQ$22,MATCH(20,$B$29:$GQ$29,0))</f>
        <v>128.12948849290001</v>
      </c>
      <c r="V8">
        <f>INDEX($B$22:$GQ$22,MATCH(21,$B$29:$GQ$29,0))</f>
        <v>3273.5352910359002</v>
      </c>
      <c r="W8">
        <f>INDEX($B$22:$GQ$22,MATCH(22,$B$29:$GQ$29,0))</f>
        <v>37588.165323314177</v>
      </c>
      <c r="X8">
        <f>INDEX($B$22:$GQ$22,MATCH(23,$B$29:$GQ$29,0))</f>
        <v>26547.7846919</v>
      </c>
      <c r="Y8">
        <f>INDEX($B$22:$GQ$22,MATCH(24,$B$29:$GQ$29,0))</f>
        <v>2215.3406393403002</v>
      </c>
      <c r="Z8">
        <f>INDEX($B$22:$GQ$22,MATCH(25,$B$29:$GQ$29,0))</f>
        <v>9071.7807908699997</v>
      </c>
      <c r="AA8">
        <f>INDEX($B$22:$GQ$22,MATCH(26,$B$29:$GQ$29,0))</f>
        <v>7391.2707397499989</v>
      </c>
      <c r="AB8">
        <f>INDEX($B$22:$GQ$22,MATCH(27,$B$29:$GQ$29,0))</f>
        <v>662.143368282305</v>
      </c>
      <c r="AC8">
        <f>INDEX($B$22:$GQ$22,MATCH(28,$B$29:$GQ$29,0))</f>
        <v>11302.3998226312</v>
      </c>
      <c r="AD8">
        <f>INDEX($B$22:$GQ$22,MATCH(29,$B$29:$GQ$29,0))</f>
        <v>139.24546536700001</v>
      </c>
      <c r="AE8">
        <f>INDEX($B$22:$GQ$22,MATCH(30,$B$29:$GQ$29,0))</f>
        <v>514.07430814345184</v>
      </c>
      <c r="AF8">
        <f>INDEX($B$22:$GQ$22,MATCH(31,$B$29:$GQ$29,0))</f>
        <v>11126.0696009</v>
      </c>
      <c r="AG8">
        <f>INDEX($B$22:$GQ$22,MATCH(32,$B$29:$GQ$29,0))</f>
        <v>31909.8454513</v>
      </c>
      <c r="AH8">
        <f>INDEX($B$22:$GQ$22,MATCH(33,$B$29:$GQ$29,0))</f>
        <v>42904.638546299997</v>
      </c>
      <c r="AI8">
        <f>INDEX($B$22:$GQ$22,MATCH(34,$B$29:$GQ$29,0))</f>
        <v>22590.5100676</v>
      </c>
      <c r="AJ8">
        <f>INDEX($B$22:$GQ$22,MATCH(35,$B$29:$GQ$29,0))</f>
        <v>137.460607966</v>
      </c>
      <c r="AK8">
        <f>INDEX($B$22:$GQ$22,MATCH(36,$B$29:$GQ$29,0))</f>
        <v>30950.3724516</v>
      </c>
      <c r="AL8">
        <f>INDEX($B$22:$GQ$22,MATCH(37,$B$29:$GQ$29,0))</f>
        <v>4666.4618214472184</v>
      </c>
      <c r="AM8">
        <f>INDEX($B$22:$GQ$22,MATCH(38,$B$29:$GQ$29,0))</f>
        <v>0</v>
      </c>
      <c r="AN8">
        <f>INDEX($B$22:$GQ$22,MATCH(39,$B$29:$GQ$29,0))</f>
        <v>11238.476071223</v>
      </c>
      <c r="AO8">
        <f>INDEX($B$22:$GQ$22,MATCH(40,$B$29:$GQ$29,0))</f>
        <v>15294.563008583</v>
      </c>
      <c r="AP8">
        <f>INDEX($B$22:$GQ$22,MATCH(41,$B$29:$GQ$29,0))</f>
        <v>370.68346562429832</v>
      </c>
      <c r="AQ8">
        <f>INDEX($B$22:$GQ$22,MATCH(42,$B$29:$GQ$29,0))</f>
        <v>7435.9329311493466</v>
      </c>
      <c r="AR8">
        <f>INDEX($B$22:$GQ$22,MATCH(43,$B$29:$GQ$29,0))</f>
        <v>15846.2651147</v>
      </c>
      <c r="AS8">
        <f>INDEX($B$22:$GQ$22,MATCH(44,$B$29:$GQ$29,0))</f>
        <v>1190.0860007440001</v>
      </c>
      <c r="AT8">
        <f>INDEX($B$22:$GQ$22,MATCH(45,$B$29:$GQ$29,0))</f>
        <v>235.5104379290872</v>
      </c>
      <c r="AU8">
        <f>INDEX($B$22:$GQ$22,MATCH(46,$B$29:$GQ$29,0))</f>
        <v>16771.579081532</v>
      </c>
      <c r="AV8">
        <f>INDEX($B$22:$GQ$22,MATCH(47,$B$29:$GQ$29,0))</f>
        <v>111.1237859411297</v>
      </c>
      <c r="AW8">
        <f>INDEX($B$22:$GQ$22,MATCH(48,$B$29:$GQ$29,0))</f>
        <v>13529.354277</v>
      </c>
      <c r="AX8">
        <f>INDEX($B$22:$GQ$22,MATCH(49,$B$29:$GQ$29,0))</f>
        <v>874.53301648599995</v>
      </c>
      <c r="AY8">
        <f>INDEX($B$22:$GQ$22,MATCH(50,$B$29:$GQ$29,0))</f>
        <v>30296.038247430999</v>
      </c>
      <c r="AZ8">
        <f>INDEX($B$22:$GQ$22,MATCH(51,$B$29:$GQ$29,0))</f>
        <v>10186.75299786705</v>
      </c>
      <c r="BA8">
        <f>INDEX($B$22:$GQ$22,MATCH(52,$B$29:$GQ$29,0))</f>
        <v>1585.4834509899999</v>
      </c>
      <c r="BB8">
        <f>INDEX($B$22:$GQ$22,MATCH(53,$B$29:$GQ$29,0))</f>
        <v>8925.8146115100008</v>
      </c>
      <c r="BC8">
        <f>INDEX($B$22:$GQ$22,MATCH(54,$B$29:$GQ$29,0))</f>
        <v>0</v>
      </c>
      <c r="BD8">
        <f>INDEX($B$22:$GQ$22,MATCH(55,$B$29:$GQ$29,0))</f>
        <v>8796.4664476500002</v>
      </c>
      <c r="BE8">
        <f>INDEX($B$22:$GQ$22,MATCH(56,$B$29:$GQ$29,0))</f>
        <v>5484.6488585699999</v>
      </c>
      <c r="BF8">
        <f>INDEX($B$22:$GQ$22,MATCH(57,$B$29:$GQ$29,0))</f>
        <v>3671.05667554</v>
      </c>
      <c r="BG8">
        <f>INDEX($B$22:$GQ$22,MATCH(58,$B$29:$GQ$29,0))</f>
        <v>4983.7269113496177</v>
      </c>
      <c r="BH8">
        <f>INDEX($B$22:$GQ$22,MATCH(59,$B$29:$GQ$29,0))</f>
        <v>749.58537190106574</v>
      </c>
      <c r="BI8">
        <f>INDEX($B$22:$GQ$22,MATCH(60,$B$29:$GQ$29,0))</f>
        <v>1956.93538405</v>
      </c>
      <c r="BJ8">
        <f>INDEX($B$22:$GQ$22,MATCH(61,$B$29:$GQ$29,0))</f>
        <v>1377.8064414299999</v>
      </c>
      <c r="BK8">
        <f>INDEX($B$22:$GQ$22,MATCH(62,$B$29:$GQ$29,0))</f>
        <v>9886.4385954099998</v>
      </c>
      <c r="BL8">
        <f>INDEX($B$22:$GQ$22,MATCH(63,$B$29:$GQ$29,0))</f>
        <v>26.960627056900002</v>
      </c>
      <c r="BM8">
        <f>INDEX($B$22:$GQ$22,MATCH(64,$B$29:$GQ$29,0))</f>
        <v>1501.0289734744999</v>
      </c>
      <c r="BN8">
        <f>INDEX($B$22:$GQ$22,MATCH(65,$B$29:$GQ$29,0))</f>
        <v>2869.1544762899998</v>
      </c>
      <c r="BO8">
        <f>INDEX($B$22:$GQ$22,MATCH(66,$B$29:$GQ$29,0))</f>
        <v>710.2622544142647</v>
      </c>
      <c r="BP8">
        <f>INDEX($B$22:$GQ$22,MATCH(67,$B$29:$GQ$29,0))</f>
        <v>1938.44845799</v>
      </c>
      <c r="BQ8">
        <f>INDEX($B$22:$GQ$22,MATCH(68,$B$29:$GQ$29,0))</f>
        <v>9539.4035679999997</v>
      </c>
      <c r="BR8">
        <f>INDEX($B$22:$GQ$22,MATCH(69,$B$29:$GQ$29,0))</f>
        <v>5628.20353823</v>
      </c>
      <c r="BS8">
        <f>INDEX($B$22:$GQ$22,MATCH(70,$B$29:$GQ$29,0))</f>
        <v>7198.7452669800005</v>
      </c>
      <c r="BT8">
        <f>INDEX($B$22:$GQ$22,MATCH(71,$B$29:$GQ$29,0))</f>
        <v>1908.1984372858201</v>
      </c>
      <c r="BU8">
        <f>INDEX($B$22:$GQ$22,MATCH(72,$B$29:$GQ$29,0))</f>
        <v>3328.271032657</v>
      </c>
      <c r="BV8">
        <f>INDEX($B$22:$GQ$22,MATCH(73,$B$29:$GQ$29,0))</f>
        <v>689.76229474199999</v>
      </c>
      <c r="BW8">
        <f>INDEX($B$22:$GQ$22,MATCH(74,$B$29:$GQ$29,0))</f>
        <v>26.83840954758</v>
      </c>
      <c r="BX8">
        <f>INDEX($B$22:$GQ$22,MATCH(75,$B$29:$GQ$29,0))</f>
        <v>967.10634446200015</v>
      </c>
      <c r="BY8">
        <f>INDEX($B$22:$GQ$22,MATCH(76,$B$29:$GQ$29,0))</f>
        <v>43.787168113900002</v>
      </c>
      <c r="BZ8">
        <f>INDEX($B$22:$GQ$22,MATCH(77,$B$29:$GQ$29,0))</f>
        <v>1235.3526669582809</v>
      </c>
      <c r="CA8">
        <f>INDEX($B$22:$GQ$22,MATCH(78,$B$29:$GQ$29,0))</f>
        <v>2459.8227431700002</v>
      </c>
      <c r="CB8">
        <f>INDEX($B$22:$GQ$22,MATCH(79,$B$29:$GQ$29,0))</f>
        <v>301.73270808747918</v>
      </c>
      <c r="CC8">
        <f>INDEX($B$22:$GQ$22,MATCH(80,$B$29:$GQ$29,0))</f>
        <v>1333.3558007900001</v>
      </c>
      <c r="CD8">
        <f>INDEX($B$22:$GQ$22,MATCH(81,$B$29:$GQ$29,0))</f>
        <v>769.05730232869996</v>
      </c>
      <c r="CE8">
        <f>INDEX($B$22:$GQ$22,MATCH(82,$B$29:$GQ$29,0))</f>
        <v>308.12175901199998</v>
      </c>
      <c r="CF8">
        <f>INDEX($B$22:$GQ$22,MATCH(83,$B$29:$GQ$29,0))</f>
        <v>7.5170467887461898</v>
      </c>
      <c r="CG8">
        <f>INDEX($B$22:$GQ$22,MATCH(84,$B$29:$GQ$29,0))</f>
        <v>160.53293276706461</v>
      </c>
      <c r="CH8">
        <f>INDEX($B$22:$GQ$22,MATCH(85,$B$29:$GQ$29,0))</f>
        <v>310.99962491299999</v>
      </c>
      <c r="CI8">
        <f>INDEX($B$22:$GQ$22,MATCH(86,$B$29:$GQ$29,0))</f>
        <v>949.25281436</v>
      </c>
      <c r="CJ8">
        <f>INDEX($B$22:$GQ$22,MATCH(87,$B$29:$GQ$29,0))</f>
        <v>458.08197929454701</v>
      </c>
      <c r="CK8">
        <f>INDEX($B$22:$GQ$22,MATCH(88,$B$29:$GQ$29,0))</f>
        <v>919.98164076199998</v>
      </c>
      <c r="CL8">
        <f>INDEX($B$22:$GQ$22,MATCH(89,$B$29:$GQ$29,0))</f>
        <v>804.795130685</v>
      </c>
      <c r="CM8">
        <f>INDEX($B$22:$GQ$22,MATCH(90,$B$29:$GQ$29,0))</f>
        <v>773.51984684800004</v>
      </c>
      <c r="CN8">
        <f>INDEX($B$22:$GQ$22,MATCH(91,$B$29:$GQ$29,0))</f>
        <v>767.06281134100004</v>
      </c>
      <c r="CO8">
        <f>INDEX($B$22:$GQ$22,MATCH(92,$B$29:$GQ$29,0))</f>
        <v>438.23633378573538</v>
      </c>
      <c r="CP8">
        <f>INDEX($B$22:$GQ$22,MATCH(93,$B$29:$GQ$29,0))</f>
        <v>984.28394153700003</v>
      </c>
      <c r="CQ8">
        <f>INDEX($B$22:$GQ$22,MATCH(94,$B$29:$GQ$29,0))</f>
        <v>472.33991311599999</v>
      </c>
      <c r="CR8">
        <f>INDEX($B$22:$GQ$22,MATCH(95,$B$29:$GQ$29,0))</f>
        <v>460.33404258299998</v>
      </c>
      <c r="CS8">
        <f>INDEX($B$22:$GQ$22,MATCH(96,$B$29:$GQ$29,0))</f>
        <v>347.92681815999998</v>
      </c>
      <c r="CT8">
        <f>INDEX($B$22:$GQ$22,MATCH(97,$B$29:$GQ$29,0))</f>
        <v>479.80123612099999</v>
      </c>
      <c r="CU8">
        <f>INDEX($B$22:$GQ$22,MATCH(98,$B$29:$GQ$29,0))</f>
        <v>332.70708407199999</v>
      </c>
      <c r="CV8">
        <f>INDEX($B$22:$GQ$22,MATCH(99,$B$29:$GQ$29,0))</f>
        <v>317.56515019599999</v>
      </c>
      <c r="CW8">
        <f>INDEX($B$22:$GQ$22,MATCH(100,$B$29:$GQ$29,0))</f>
        <v>266.24321473499998</v>
      </c>
      <c r="CX8">
        <f>INDEX($B$22:$GQ$22,MATCH(101,$B$29:$GQ$29,0))</f>
        <v>488.06950732907501</v>
      </c>
      <c r="CY8">
        <f>INDEX($B$22:$GQ$22,MATCH(102,$B$29:$GQ$29,0))</f>
        <v>213.02996467476001</v>
      </c>
      <c r="CZ8">
        <f>INDEX($B$22:$GQ$22,MATCH(103,$B$29:$GQ$29,0))</f>
        <v>222.57871309000001</v>
      </c>
      <c r="DA8">
        <f>INDEX($B$22:$GQ$22,MATCH(104,$B$29:$GQ$29,0))</f>
        <v>43.24791175475945</v>
      </c>
      <c r="DB8">
        <f>INDEX($B$22:$GQ$22,MATCH(105,$B$29:$GQ$29,0))</f>
        <v>192.22371685499999</v>
      </c>
      <c r="DC8">
        <f>INDEX($B$22:$GQ$22,MATCH(106,$B$29:$GQ$29,0))</f>
        <v>36.951677209631541</v>
      </c>
      <c r="DD8">
        <f>INDEX($B$22:$GQ$22,MATCH(107,$B$29:$GQ$29,0))</f>
        <v>167.74187124900001</v>
      </c>
      <c r="DE8">
        <f>INDEX($B$22:$GQ$22,MATCH(108,$B$29:$GQ$29,0))</f>
        <v>0</v>
      </c>
      <c r="DF8">
        <f>INDEX($B$22:$GQ$22,MATCH(109,$B$29:$GQ$29,0))</f>
        <v>84.577913012400003</v>
      </c>
      <c r="DG8">
        <f>INDEX($B$22:$GQ$22,MATCH(110,$B$29:$GQ$29,0))</f>
        <v>70.890308732400001</v>
      </c>
      <c r="DH8">
        <f>INDEX($B$22:$GQ$22,MATCH(111,$B$29:$GQ$29,0))</f>
        <v>70.537428166500007</v>
      </c>
      <c r="DI8">
        <f>INDEX($B$22:$GQ$22,MATCH(112,$B$29:$GQ$29,0))</f>
        <v>52.302272047400002</v>
      </c>
      <c r="DJ8">
        <f>INDEX($B$22:$GQ$22,MATCH(113,$B$29:$GQ$29,0))</f>
        <v>50.515630950077558</v>
      </c>
      <c r="DK8">
        <f>INDEX($B$22:$GQ$22,MATCH(114,$B$29:$GQ$29,0))</f>
        <v>8.0925708148400002</v>
      </c>
      <c r="DL8">
        <f>INDEX($B$22:$GQ$22,MATCH(115,$B$29:$GQ$29,0))</f>
        <v>0</v>
      </c>
      <c r="DM8">
        <f>INDEX($B$22:$GQ$22,MATCH(116,$B$29:$GQ$29,0))</f>
        <v>167.10322240432029</v>
      </c>
      <c r="DN8">
        <f>INDEX($B$22:$GQ$22,MATCH(117,$B$29:$GQ$29,0))</f>
        <v>0</v>
      </c>
      <c r="DO8">
        <f>INDEX($B$22:$GQ$22,MATCH(118,$B$29:$GQ$29,0))</f>
        <v>11.36406994162234</v>
      </c>
      <c r="DP8">
        <f>INDEX($B$22:$GQ$22,MATCH(119,$B$29:$GQ$29,0))</f>
        <v>1.8890696923700001</v>
      </c>
      <c r="DQ8">
        <f>INDEX($B$22:$GQ$22,MATCH(120,$B$29:$GQ$29,0))</f>
        <v>2.1437064312718959</v>
      </c>
      <c r="DR8">
        <f>INDEX($B$22:$GQ$22,MATCH(121,$B$29:$GQ$29,0))</f>
        <v>7.7309901311899996</v>
      </c>
      <c r="DS8">
        <f>INDEX($B$22:$GQ$22,MATCH(122,$B$29:$GQ$29,0))</f>
        <v>11.094501610822441</v>
      </c>
      <c r="DT8">
        <f>INDEX($B$22:$GQ$22,MATCH(123,$B$29:$GQ$29,0))</f>
        <v>0</v>
      </c>
      <c r="DU8">
        <f>INDEX($B$22:$GQ$22,MATCH(124,$B$29:$GQ$29,0))</f>
        <v>0.46723417790522082</v>
      </c>
      <c r="DV8">
        <f>INDEX($B$22:$GQ$22,MATCH(125,$B$29:$GQ$29,0))</f>
        <v>6.1009405066999998</v>
      </c>
      <c r="DW8">
        <f>INDEX($B$22:$GQ$22,MATCH(126,$B$29:$GQ$29,0))</f>
        <v>0</v>
      </c>
      <c r="DX8">
        <f>INDEX($B$22:$GQ$22,MATCH(127,$B$29:$GQ$29,0))</f>
        <v>0</v>
      </c>
      <c r="DY8">
        <f>INDEX($B$22:$GQ$22,MATCH(128,$B$29:$GQ$29,0))</f>
        <v>0.26654030710377918</v>
      </c>
      <c r="DZ8">
        <f>INDEX($B$22:$GQ$22,MATCH(129,$B$29:$GQ$29,0))</f>
        <v>0.72930991165692571</v>
      </c>
      <c r="EA8">
        <f>INDEX($B$22:$GQ$22,MATCH(130,$B$29:$GQ$29,0))</f>
        <v>0.14561557168100001</v>
      </c>
      <c r="EB8">
        <f>INDEX($B$22:$GQ$22,MATCH(131,$B$29:$GQ$29,0))</f>
        <v>0</v>
      </c>
      <c r="EC8">
        <f>INDEX($B$22:$GQ$22,MATCH(132,$B$29:$GQ$29,0))</f>
        <v>4.0624645841598698E-3</v>
      </c>
      <c r="ED8">
        <f>INDEX($B$22:$GQ$22,MATCH(133,$B$29:$GQ$29,0))</f>
        <v>1.8210031991701299E-3</v>
      </c>
      <c r="EE8">
        <f>INDEX($B$22:$GQ$22,MATCH(134,$B$29:$GQ$29,0))</f>
        <v>0</v>
      </c>
      <c r="EF8">
        <f>INDEX($B$22:$GQ$22,MATCH(135,$B$29:$GQ$29,0))</f>
        <v>0</v>
      </c>
      <c r="EG8">
        <f>INDEX($B$22:$GQ$22,MATCH(136,$B$29:$GQ$29,0))</f>
        <v>0</v>
      </c>
      <c r="EH8">
        <f>INDEX($B$22:$GQ$22,MATCH(137,$B$29:$GQ$29,0))</f>
        <v>0</v>
      </c>
      <c r="EI8">
        <f>INDEX($B$22:$GQ$22,MATCH(138,$B$29:$GQ$29,0))</f>
        <v>0</v>
      </c>
      <c r="EJ8">
        <f>INDEX($B$22:$GQ$22,MATCH(139,$B$29:$GQ$29,0))</f>
        <v>0</v>
      </c>
      <c r="EK8">
        <f>INDEX($B$22:$GQ$22,MATCH(140,$B$29:$GQ$29,0))</f>
        <v>0</v>
      </c>
      <c r="EL8">
        <f>INDEX($B$22:$GQ$22,MATCH(141,$B$29:$GQ$29,0))</f>
        <v>0</v>
      </c>
      <c r="EM8">
        <f>INDEX($B$22:$GQ$22,MATCH(142,$B$29:$GQ$29,0))</f>
        <v>0</v>
      </c>
      <c r="EN8">
        <f>INDEX($B$22:$GQ$22,MATCH(143,$B$29:$GQ$29,0))</f>
        <v>0</v>
      </c>
      <c r="EO8">
        <f>INDEX($B$22:$GQ$22,MATCH(144,$B$29:$GQ$29,0))</f>
        <v>0</v>
      </c>
      <c r="EP8">
        <f>INDEX($B$22:$GQ$22,MATCH(145,$B$29:$GQ$29,0))</f>
        <v>0</v>
      </c>
      <c r="EQ8">
        <f>INDEX($B$22:$GQ$22,MATCH(146,$B$29:$GQ$29,0))</f>
        <v>0</v>
      </c>
      <c r="ER8">
        <f>INDEX($B$22:$GQ$22,MATCH(147,$B$29:$GQ$29,0))</f>
        <v>0</v>
      </c>
      <c r="ES8">
        <f>INDEX($B$22:$GQ$22,MATCH(148,$B$29:$GQ$29,0))</f>
        <v>0</v>
      </c>
      <c r="ET8">
        <f>INDEX($B$22:$GQ$22,MATCH(149,$B$29:$GQ$29,0))</f>
        <v>0</v>
      </c>
      <c r="EU8">
        <f>INDEX($B$22:$GQ$22,MATCH(150,$B$29:$GQ$29,0))</f>
        <v>0</v>
      </c>
      <c r="EV8">
        <f>INDEX($B$22:$GQ$22,MATCH(151,$B$29:$GQ$29,0))</f>
        <v>0</v>
      </c>
      <c r="EW8">
        <f>INDEX($B$22:$GQ$22,MATCH(152,$B$29:$GQ$29,0))</f>
        <v>0</v>
      </c>
      <c r="EX8">
        <f>INDEX($B$22:$GQ$22,MATCH(153,$B$29:$GQ$29,0))</f>
        <v>0</v>
      </c>
      <c r="EY8">
        <f>INDEX($B$22:$GQ$22,MATCH(154,$B$29:$GQ$29,0))</f>
        <v>0</v>
      </c>
      <c r="EZ8">
        <f>INDEX($B$22:$GQ$22,MATCH(155,$B$29:$GQ$29,0))</f>
        <v>0</v>
      </c>
      <c r="FA8">
        <f>INDEX($B$22:$GQ$22,MATCH(156,$B$29:$GQ$29,0))</f>
        <v>0</v>
      </c>
      <c r="FB8">
        <f>INDEX($B$22:$GQ$22,MATCH(157,$B$29:$GQ$29,0))</f>
        <v>0</v>
      </c>
      <c r="FC8">
        <f>INDEX($B$22:$GQ$22,MATCH(158,$B$29:$GQ$29,0))</f>
        <v>0</v>
      </c>
      <c r="FD8">
        <f>INDEX($B$22:$GQ$22,MATCH(159,$B$29:$GQ$29,0))</f>
        <v>0</v>
      </c>
      <c r="FE8">
        <f>INDEX($B$22:$GQ$22,MATCH(160,$B$29:$GQ$29,0))</f>
        <v>0</v>
      </c>
      <c r="FF8">
        <f>INDEX($B$22:$GQ$22,MATCH(161,$B$29:$GQ$29,0))</f>
        <v>0</v>
      </c>
      <c r="FG8">
        <f>INDEX($B$22:$GQ$22,MATCH(162,$B$29:$GQ$29,0))</f>
        <v>0</v>
      </c>
      <c r="FH8">
        <f>INDEX($B$22:$GQ$22,MATCH(163,$B$29:$GQ$29,0))</f>
        <v>0</v>
      </c>
      <c r="FI8">
        <f>INDEX($B$22:$GQ$22,MATCH(164,$B$29:$GQ$29,0))</f>
        <v>0</v>
      </c>
      <c r="FJ8">
        <f>INDEX($B$22:$GQ$22,MATCH(165,$B$29:$GQ$29,0))</f>
        <v>0</v>
      </c>
      <c r="FK8">
        <f>INDEX($B$22:$GQ$22,MATCH(166,$B$29:$GQ$29,0))</f>
        <v>0</v>
      </c>
      <c r="FL8">
        <f>INDEX($B$22:$GQ$22,MATCH(167,$B$29:$GQ$29,0))</f>
        <v>0</v>
      </c>
      <c r="FM8">
        <f>INDEX($B$22:$GQ$22,MATCH(168,$B$29:$GQ$29,0))</f>
        <v>0</v>
      </c>
      <c r="FN8">
        <f>INDEX($B$22:$GQ$22,MATCH(169,$B$29:$GQ$29,0))</f>
        <v>0</v>
      </c>
      <c r="FO8">
        <f>INDEX($B$22:$GQ$22,MATCH(170,$B$29:$GQ$29,0))</f>
        <v>0</v>
      </c>
      <c r="FP8">
        <f>INDEX($B$22:$GQ$22,MATCH(171,$B$29:$GQ$29,0))</f>
        <v>0</v>
      </c>
      <c r="FQ8">
        <f>INDEX($B$22:$GQ$22,MATCH(172,$B$29:$GQ$29,0))</f>
        <v>0</v>
      </c>
      <c r="FR8">
        <f>INDEX($B$22:$GQ$22,MATCH(173,$B$29:$GQ$29,0))</f>
        <v>0</v>
      </c>
      <c r="FS8">
        <f>INDEX($B$22:$GQ$22,MATCH(174,$B$29:$GQ$29,0))</f>
        <v>0</v>
      </c>
      <c r="FT8">
        <f>INDEX($B$22:$GQ$22,MATCH(175,$B$29:$GQ$29,0))</f>
        <v>0</v>
      </c>
      <c r="FU8">
        <f>INDEX($B$22:$GQ$22,MATCH(176,$B$29:$GQ$29,0))</f>
        <v>0</v>
      </c>
      <c r="FV8">
        <f>INDEX($B$22:$GQ$22,MATCH(177,$B$29:$GQ$29,0))</f>
        <v>0</v>
      </c>
      <c r="FW8">
        <f>INDEX($B$22:$GQ$22,MATCH(178,$B$29:$GQ$29,0))</f>
        <v>0</v>
      </c>
      <c r="FX8">
        <f>INDEX($B$22:$GQ$22,MATCH(179,$B$29:$GQ$29,0))</f>
        <v>0</v>
      </c>
      <c r="FY8">
        <f>INDEX($B$22:$GQ$22,MATCH(180,$B$29:$GQ$29,0))</f>
        <v>0</v>
      </c>
      <c r="FZ8">
        <f>INDEX($B$22:$GQ$22,MATCH(181,$B$29:$GQ$29,0))</f>
        <v>0</v>
      </c>
      <c r="GA8">
        <f>INDEX($B$22:$GQ$22,MATCH(182,$B$29:$GQ$29,0))</f>
        <v>0</v>
      </c>
      <c r="GB8">
        <f>INDEX($B$22:$GQ$22,MATCH(183,$B$29:$GQ$29,0))</f>
        <v>0</v>
      </c>
      <c r="GC8">
        <f>INDEX($B$22:$GQ$22,MATCH(184,$B$29:$GQ$29,0))</f>
        <v>0</v>
      </c>
      <c r="GD8">
        <f>INDEX($B$22:$GQ$22,MATCH(185,$B$29:$GQ$29,0))</f>
        <v>0</v>
      </c>
      <c r="GE8">
        <f>INDEX($B$22:$GQ$22,MATCH(186,$B$29:$GQ$29,0))</f>
        <v>0</v>
      </c>
      <c r="GF8">
        <f>INDEX($B$22:$GQ$22,MATCH(187,$B$29:$GQ$29,0))</f>
        <v>0</v>
      </c>
      <c r="GG8">
        <f>INDEX($B$22:$GQ$22,MATCH(188,$B$29:$GQ$29,0))</f>
        <v>0</v>
      </c>
      <c r="GH8">
        <f>INDEX($B$22:$GQ$22,MATCH(189,$B$29:$GQ$29,0))</f>
        <v>0</v>
      </c>
      <c r="GI8">
        <f>INDEX($B$22:$GQ$22,MATCH(190,$B$29:$GQ$29,0))</f>
        <v>0</v>
      </c>
      <c r="GJ8">
        <f>INDEX($B$22:$GQ$22,MATCH(191,$B$29:$GQ$29,0))</f>
        <v>0</v>
      </c>
      <c r="GK8">
        <f>INDEX($B$22:$GQ$22,MATCH(192,$B$29:$GQ$29,0))</f>
        <v>0</v>
      </c>
      <c r="GL8">
        <f>INDEX($B$22:$GQ$22,MATCH(193,$B$29:$GQ$29,0))</f>
        <v>0</v>
      </c>
      <c r="GM8">
        <f>INDEX($B$22:$GQ$22,MATCH(194,$B$29:$GQ$29,0))</f>
        <v>0</v>
      </c>
      <c r="GN8">
        <f>INDEX($B$22:$GQ$22,MATCH(195,$B$29:$GQ$29,0))</f>
        <v>0</v>
      </c>
      <c r="GO8">
        <f>INDEX($B$22:$GQ$22,MATCH(196,$B$29:$GQ$29,0))</f>
        <v>0</v>
      </c>
      <c r="GP8">
        <f>INDEX($B$22:$GQ$22,MATCH(197,$B$29:$GQ$29,0))</f>
        <v>0</v>
      </c>
      <c r="GQ8">
        <f>INDEX($B$22:$GQ$22,MATCH(198,$B$29:$GQ$29,0))</f>
        <v>0</v>
      </c>
      <c r="GR8">
        <f>INDEX($GR$22:$HC$22,MATCH(1,$GR$30:$HC$30,0))</f>
        <v>35754.451946233312</v>
      </c>
      <c r="GS8">
        <f>INDEX($GR$22:$HC$22,MATCH(2,$GR$30:$HC$30,0))</f>
        <v>31083.776765543069</v>
      </c>
      <c r="GT8">
        <f>INDEX($GR$22:$HC$22,MATCH(3,$GR$30:$HC$30,0))</f>
        <v>879887.65012239758</v>
      </c>
      <c r="GU8">
        <f>INDEX($GR$22:$HC$22,MATCH(4,$GR$30:$HC$30,0))</f>
        <v>5050.4413716326299</v>
      </c>
      <c r="GV8">
        <f>INDEX($GR$22:$HC$22,MATCH(5,$GR$30:$HC$30,0))</f>
        <v>8862.9789436519168</v>
      </c>
      <c r="GW8">
        <f>INDEX($GR$22:$HC$22,MATCH(6,$GR$30:$HC$30,0))</f>
        <v>8625.6836483218303</v>
      </c>
      <c r="GX8">
        <f>INDEX($GR$22:$HC$22,MATCH(7,$GR$30:$HC$30,0))</f>
        <v>83954.164852629998</v>
      </c>
      <c r="GY8">
        <f>INDEX($GR$22:$HC$22,MATCH(8,$GR$30:$HC$30,0))</f>
        <v>10307.068231872499</v>
      </c>
      <c r="GZ8">
        <f>INDEX($GR$22:$HC$22,MATCH(9,$GR$30:$HC$30,0))</f>
        <v>348068.80637080298</v>
      </c>
      <c r="HA8">
        <f>INDEX($GR$22:$HC$22,MATCH(10,$GR$30:$HC$30,0))</f>
        <v>5617.0054188691001</v>
      </c>
      <c r="HB8">
        <f>INDEX($GR$22:$HC$22,MATCH(11,$GR$30:$HC$30,0))</f>
        <v>115961.4466882009</v>
      </c>
      <c r="HC8">
        <f>INDEX($GR$22:$HC$22,MATCH(12,$GR$30:$HC$30,0))</f>
        <v>76311.734081727249</v>
      </c>
    </row>
    <row r="9" spans="1:211" x14ac:dyDescent="0.45">
      <c r="A9" s="1" t="s">
        <v>8</v>
      </c>
      <c r="B9">
        <f>INDEX($B$23:$GQ$23,MATCH(1,$B$29:$GQ$29,0))</f>
        <v>2.2341221805237989E-2</v>
      </c>
      <c r="C9">
        <f>INDEX($B$23:$GQ$23,MATCH(2,$B$29:$GQ$29,0))</f>
        <v>5.8690712293863277E-3</v>
      </c>
      <c r="D9">
        <f>INDEX($B$23:$GQ$23,MATCH(3,$B$29:$GQ$29,0))</f>
        <v>6.9977533035878777E-3</v>
      </c>
      <c r="E9">
        <f>INDEX($B$23:$GQ$23,MATCH(4,$B$29:$GQ$29,0))</f>
        <v>2.1929588601213908E-2</v>
      </c>
      <c r="F9">
        <f>INDEX($B$23:$GQ$23,MATCH(5,$B$29:$GQ$29,0))</f>
        <v>2.1816456762209769E-2</v>
      </c>
      <c r="G9">
        <f>INDEX($B$23:$GQ$23,MATCH(6,$B$29:$GQ$29,0))</f>
        <v>3.334478716259871E-3</v>
      </c>
      <c r="H9">
        <f>INDEX($B$23:$GQ$23,MATCH(7,$B$29:$GQ$29,0))</f>
        <v>6.1154144846858524E-4</v>
      </c>
      <c r="I9">
        <f>INDEX($B$23:$GQ$23,MATCH(8,$B$29:$GQ$29,0))</f>
        <v>2.3015523183940408E-3</v>
      </c>
      <c r="J9">
        <f>INDEX($B$23:$GQ$23,MATCH(9,$B$29:$GQ$29,0))</f>
        <v>2.3734830315009729E-2</v>
      </c>
      <c r="K9">
        <f>INDEX($B$23:$GQ$23,MATCH(10,$B$29:$GQ$29,0))</f>
        <v>1.303028205621644E-3</v>
      </c>
      <c r="L9">
        <f>INDEX($B$23:$GQ$23,MATCH(11,$B$29:$GQ$29,0))</f>
        <v>6.1553623260556679E-3</v>
      </c>
      <c r="M9">
        <f>INDEX($B$23:$GQ$23,MATCH(12,$B$29:$GQ$29,0))</f>
        <v>1.172544426722246E-4</v>
      </c>
      <c r="N9">
        <f>INDEX($B$23:$GQ$23,MATCH(13,$B$29:$GQ$29,0))</f>
        <v>4.3909843199446512E-3</v>
      </c>
      <c r="O9">
        <f>INDEX($B$23:$GQ$23,MATCH(14,$B$29:$GQ$29,0))</f>
        <v>2.41937295109797E-2</v>
      </c>
      <c r="P9">
        <f>INDEX($B$23:$GQ$23,MATCH(15,$B$29:$GQ$29,0))</f>
        <v>1.4090362526302851E-2</v>
      </c>
      <c r="Q9">
        <f>INDEX($B$23:$GQ$23,MATCH(16,$B$29:$GQ$29,0))</f>
        <v>1.2024069024005751E-2</v>
      </c>
      <c r="R9">
        <f>INDEX($B$23:$GQ$23,MATCH(17,$B$29:$GQ$29,0))</f>
        <v>2.8869006961766502E-3</v>
      </c>
      <c r="S9">
        <f>INDEX($B$23:$GQ$23,MATCH(18,$B$29:$GQ$29,0))</f>
        <v>2.182174258389958E-2</v>
      </c>
      <c r="T9">
        <f>INDEX($B$23:$GQ$23,MATCH(19,$B$29:$GQ$29,0))</f>
        <v>9.5947508313181361E-4</v>
      </c>
      <c r="U9">
        <f>INDEX($B$23:$GQ$23,MATCH(20,$B$29:$GQ$29,0))</f>
        <v>5.1331323233663387E-5</v>
      </c>
      <c r="V9">
        <f>INDEX($B$23:$GQ$23,MATCH(21,$B$29:$GQ$29,0))</f>
        <v>7.5056443775627188E-4</v>
      </c>
      <c r="W9">
        <f>INDEX($B$23:$GQ$23,MATCH(22,$B$29:$GQ$29,0))</f>
        <v>9.1889797226967791E-3</v>
      </c>
      <c r="X9">
        <f>INDEX($B$23:$GQ$23,MATCH(23,$B$29:$GQ$29,0))</f>
        <v>4.9054265421201526E-3</v>
      </c>
      <c r="Y9">
        <f>INDEX($B$23:$GQ$23,MATCH(24,$B$29:$GQ$29,0))</f>
        <v>9.1155974119815043E-4</v>
      </c>
      <c r="Z9">
        <f>INDEX($B$23:$GQ$23,MATCH(25,$B$29:$GQ$29,0))</f>
        <v>2.8245594186580062E-3</v>
      </c>
      <c r="AA9">
        <f>INDEX($B$23:$GQ$23,MATCH(26,$B$29:$GQ$29,0))</f>
        <v>1.339595615575014E-3</v>
      </c>
      <c r="AB9">
        <f>INDEX($B$23:$GQ$23,MATCH(27,$B$29:$GQ$29,0))</f>
        <v>1.6940548880344371E-4</v>
      </c>
      <c r="AC9">
        <f>INDEX($B$23:$GQ$23,MATCH(28,$B$29:$GQ$29,0))</f>
        <v>3.1078221220971151E-3</v>
      </c>
      <c r="AD9">
        <f>INDEX($B$23:$GQ$23,MATCH(29,$B$29:$GQ$29,0))</f>
        <v>1.351179632202448E-4</v>
      </c>
      <c r="AE9">
        <f>INDEX($B$23:$GQ$23,MATCH(30,$B$29:$GQ$29,0))</f>
        <v>3.8351802812569697E-5</v>
      </c>
      <c r="AF9">
        <f>INDEX($B$23:$GQ$23,MATCH(31,$B$29:$GQ$29,0))</f>
        <v>3.6367217710809941E-3</v>
      </c>
      <c r="AG9">
        <f>INDEX($B$23:$GQ$23,MATCH(32,$B$29:$GQ$29,0))</f>
        <v>4.4566965159423214E-3</v>
      </c>
      <c r="AH9">
        <f>INDEX($B$23:$GQ$23,MATCH(33,$B$29:$GQ$29,0))</f>
        <v>3.3663648697915848E-3</v>
      </c>
      <c r="AI9">
        <f>INDEX($B$23:$GQ$23,MATCH(34,$B$29:$GQ$29,0))</f>
        <v>4.0129014618882136E-3</v>
      </c>
      <c r="AJ9">
        <f>INDEX($B$23:$GQ$23,MATCH(35,$B$29:$GQ$29,0))</f>
        <v>1.635742739514966E-4</v>
      </c>
      <c r="AK9">
        <f>INDEX($B$23:$GQ$23,MATCH(36,$B$29:$GQ$29,0))</f>
        <v>2.9440429401541759E-3</v>
      </c>
      <c r="AL9">
        <f>INDEX($B$23:$GQ$23,MATCH(37,$B$29:$GQ$29,0))</f>
        <v>2.3637036904990091E-3</v>
      </c>
      <c r="AM9">
        <f>INDEX($B$23:$GQ$23,MATCH(38,$B$29:$GQ$29,0))</f>
        <v>0</v>
      </c>
      <c r="AN9">
        <f>INDEX($B$23:$GQ$23,MATCH(39,$B$29:$GQ$29,0))</f>
        <v>3.1277801574021548E-3</v>
      </c>
      <c r="AO9">
        <f>INDEX($B$23:$GQ$23,MATCH(40,$B$29:$GQ$29,0))</f>
        <v>2.2921319098734602E-3</v>
      </c>
      <c r="AP9">
        <f>INDEX($B$23:$GQ$23,MATCH(41,$B$29:$GQ$29,0))</f>
        <v>2.4061625234391789E-5</v>
      </c>
      <c r="AQ9">
        <f>INDEX($B$23:$GQ$23,MATCH(42,$B$29:$GQ$29,0))</f>
        <v>1.679555632290969E-3</v>
      </c>
      <c r="AR9">
        <f>INDEX($B$23:$GQ$23,MATCH(43,$B$29:$GQ$29,0))</f>
        <v>1.692006638342786E-3</v>
      </c>
      <c r="AS9">
        <f>INDEX($B$23:$GQ$23,MATCH(44,$B$29:$GQ$29,0))</f>
        <v>6.8969543830369622E-4</v>
      </c>
      <c r="AT9">
        <f>INDEX($B$23:$GQ$23,MATCH(45,$B$29:$GQ$29,0))</f>
        <v>4.1723485182012312E-4</v>
      </c>
      <c r="AU9">
        <f>INDEX($B$23:$GQ$23,MATCH(46,$B$29:$GQ$29,0))</f>
        <v>1.765055456495505E-3</v>
      </c>
      <c r="AV9">
        <f>INDEX($B$23:$GQ$23,MATCH(47,$B$29:$GQ$29,0))</f>
        <v>1.6725534483613059E-5</v>
      </c>
      <c r="AW9">
        <f>INDEX($B$23:$GQ$23,MATCH(48,$B$29:$GQ$29,0))</f>
        <v>1.5532711349187859E-3</v>
      </c>
      <c r="AX9">
        <f>INDEX($B$23:$GQ$23,MATCH(49,$B$29:$GQ$29,0))</f>
        <v>1.5489138998528589E-4</v>
      </c>
      <c r="AY9">
        <f>INDEX($B$23:$GQ$23,MATCH(50,$B$29:$GQ$29,0))</f>
        <v>1.4677353398004889E-3</v>
      </c>
      <c r="AZ9">
        <f>INDEX($B$23:$GQ$23,MATCH(51,$B$29:$GQ$29,0))</f>
        <v>1.3076636381692849E-3</v>
      </c>
      <c r="BA9">
        <f>INDEX($B$23:$GQ$23,MATCH(52,$B$29:$GQ$29,0))</f>
        <v>5.8268472149193584E-4</v>
      </c>
      <c r="BB9">
        <f>INDEX($B$23:$GQ$23,MATCH(53,$B$29:$GQ$29,0))</f>
        <v>1.313567976591781E-3</v>
      </c>
      <c r="BC9">
        <f>INDEX($B$23:$GQ$23,MATCH(54,$B$29:$GQ$29,0))</f>
        <v>0</v>
      </c>
      <c r="BD9">
        <f>INDEX($B$23:$GQ$23,MATCH(55,$B$29:$GQ$29,0))</f>
        <v>1.1280513020903681E-3</v>
      </c>
      <c r="BE9">
        <f>INDEX($B$23:$GQ$23,MATCH(56,$B$29:$GQ$29,0))</f>
        <v>7.4031804533039949E-4</v>
      </c>
      <c r="BF9">
        <f>INDEX($B$23:$GQ$23,MATCH(57,$B$29:$GQ$29,0))</f>
        <v>5.2148439915916743E-4</v>
      </c>
      <c r="BG9">
        <f>INDEX($B$23:$GQ$23,MATCH(58,$B$29:$GQ$29,0))</f>
        <v>2.8738246060668288E-4</v>
      </c>
      <c r="BH9">
        <f>INDEX($B$23:$GQ$23,MATCH(59,$B$29:$GQ$29,0))</f>
        <v>6.2831603131029796E-4</v>
      </c>
      <c r="BI9">
        <f>INDEX($B$23:$GQ$23,MATCH(60,$B$29:$GQ$29,0))</f>
        <v>2.9407623153072102E-4</v>
      </c>
      <c r="BJ9">
        <f>INDEX($B$23:$GQ$23,MATCH(61,$B$29:$GQ$29,0))</f>
        <v>8.414662975000589E-4</v>
      </c>
      <c r="BK9">
        <f>INDEX($B$23:$GQ$23,MATCH(62,$B$29:$GQ$29,0))</f>
        <v>6.696158993682212E-4</v>
      </c>
      <c r="BL9">
        <f>INDEX($B$23:$GQ$23,MATCH(63,$B$29:$GQ$29,0))</f>
        <v>1.6551574281255448E-5</v>
      </c>
      <c r="BM9">
        <f>INDEX($B$23:$GQ$23,MATCH(64,$B$29:$GQ$29,0))</f>
        <v>2.3769055136409011E-4</v>
      </c>
      <c r="BN9">
        <f>INDEX($B$23:$GQ$23,MATCH(65,$B$29:$GQ$29,0))</f>
        <v>3.3623130205472313E-4</v>
      </c>
      <c r="BO9">
        <f>INDEX($B$23:$GQ$23,MATCH(66,$B$29:$GQ$29,0))</f>
        <v>1.3170184779554361E-4</v>
      </c>
      <c r="BP9">
        <f>INDEX($B$23:$GQ$23,MATCH(67,$B$29:$GQ$29,0))</f>
        <v>2.7276862422657429E-4</v>
      </c>
      <c r="BQ9">
        <f>INDEX($B$23:$GQ$23,MATCH(68,$B$29:$GQ$29,0))</f>
        <v>6.7745364992196353E-4</v>
      </c>
      <c r="BR9">
        <f>INDEX($B$23:$GQ$23,MATCH(69,$B$29:$GQ$29,0))</f>
        <v>5.421181541912255E-4</v>
      </c>
      <c r="BS9">
        <f>INDEX($B$23:$GQ$23,MATCH(70,$B$29:$GQ$29,0))</f>
        <v>5.2437768841574186E-4</v>
      </c>
      <c r="BT9">
        <f>INDEX($B$23:$GQ$23,MATCH(71,$B$29:$GQ$29,0))</f>
        <v>4.1119174950938862E-4</v>
      </c>
      <c r="BU9">
        <f>INDEX($B$23:$GQ$23,MATCH(72,$B$29:$GQ$29,0))</f>
        <v>3.7196130250573202E-4</v>
      </c>
      <c r="BV9">
        <f>INDEX($B$23:$GQ$23,MATCH(73,$B$29:$GQ$29,0))</f>
        <v>1.2582681353759739E-4</v>
      </c>
      <c r="BW9">
        <f>INDEX($B$23:$GQ$23,MATCH(74,$B$29:$GQ$29,0))</f>
        <v>3.5298052180339081E-6</v>
      </c>
      <c r="BX9">
        <f>INDEX($B$23:$GQ$23,MATCH(75,$B$29:$GQ$29,0))</f>
        <v>1.6510619041523229E-4</v>
      </c>
      <c r="BY9">
        <f>INDEX($B$23:$GQ$23,MATCH(76,$B$29:$GQ$29,0))</f>
        <v>6.4392224741697311E-6</v>
      </c>
      <c r="BZ9">
        <f>INDEX($B$23:$GQ$23,MATCH(77,$B$29:$GQ$29,0))</f>
        <v>1.9681551661032451E-4</v>
      </c>
      <c r="CA9">
        <f>INDEX($B$23:$GQ$23,MATCH(78,$B$29:$GQ$29,0))</f>
        <v>1.7509343559808091E-4</v>
      </c>
      <c r="CB9">
        <f>INDEX($B$23:$GQ$23,MATCH(79,$B$29:$GQ$29,0))</f>
        <v>3.9930516066291967E-5</v>
      </c>
      <c r="CC9">
        <f>INDEX($B$23:$GQ$23,MATCH(80,$B$29:$GQ$29,0))</f>
        <v>1.336924447881995E-4</v>
      </c>
      <c r="CD9">
        <f>INDEX($B$23:$GQ$23,MATCH(81,$B$29:$GQ$29,0))</f>
        <v>9.2459466620187778E-5</v>
      </c>
      <c r="CE9">
        <f>INDEX($B$23:$GQ$23,MATCH(82,$B$29:$GQ$29,0))</f>
        <v>1.5563692232302951E-4</v>
      </c>
      <c r="CF9">
        <f>INDEX($B$23:$GQ$23,MATCH(83,$B$29:$GQ$29,0))</f>
        <v>5.993857376882719E-5</v>
      </c>
      <c r="CG9">
        <f>INDEX($B$23:$GQ$23,MATCH(84,$B$29:$GQ$29,0))</f>
        <v>1.2006043817935401E-4</v>
      </c>
      <c r="CH9">
        <f>INDEX($B$23:$GQ$23,MATCH(85,$B$29:$GQ$29,0))</f>
        <v>4.780476487679543E-5</v>
      </c>
      <c r="CI9">
        <f>INDEX($B$23:$GQ$23,MATCH(86,$B$29:$GQ$29,0))</f>
        <v>9.7944256325475747E-5</v>
      </c>
      <c r="CJ9">
        <f>INDEX($B$23:$GQ$23,MATCH(87,$B$29:$GQ$29,0))</f>
        <v>7.5180567288721934E-5</v>
      </c>
      <c r="CK9">
        <f>INDEX($B$23:$GQ$23,MATCH(88,$B$29:$GQ$29,0))</f>
        <v>8.9671774281140969E-5</v>
      </c>
      <c r="CL9">
        <f>INDEX($B$23:$GQ$23,MATCH(89,$B$29:$GQ$29,0))</f>
        <v>8.2052288766895696E-5</v>
      </c>
      <c r="CM9">
        <f>INDEX($B$23:$GQ$23,MATCH(90,$B$29:$GQ$29,0))</f>
        <v>8.425531880880745E-5</v>
      </c>
      <c r="CN9">
        <f>INDEX($B$23:$GQ$23,MATCH(91,$B$29:$GQ$29,0))</f>
        <v>7.724469189861488E-5</v>
      </c>
      <c r="CO9">
        <f>INDEX($B$23:$GQ$23,MATCH(92,$B$29:$GQ$29,0))</f>
        <v>6.4027318132393207E-5</v>
      </c>
      <c r="CP9">
        <f>INDEX($B$23:$GQ$23,MATCH(93,$B$29:$GQ$29,0))</f>
        <v>5.2006182208216542E-5</v>
      </c>
      <c r="CQ9">
        <f>INDEX($B$23:$GQ$23,MATCH(94,$B$29:$GQ$29,0))</f>
        <v>6.1140407156325664E-5</v>
      </c>
      <c r="CR9">
        <f>INDEX($B$23:$GQ$23,MATCH(95,$B$29:$GQ$29,0))</f>
        <v>5.7219483338090331E-5</v>
      </c>
      <c r="CS9">
        <f>INDEX($B$23:$GQ$23,MATCH(96,$B$29:$GQ$29,0))</f>
        <v>4.4318089005680828E-5</v>
      </c>
      <c r="CT9">
        <f>INDEX($B$23:$GQ$23,MATCH(97,$B$29:$GQ$29,0))</f>
        <v>4.8779987115596872E-5</v>
      </c>
      <c r="CU9">
        <f>INDEX($B$23:$GQ$23,MATCH(98,$B$29:$GQ$29,0))</f>
        <v>3.8036261043482511E-5</v>
      </c>
      <c r="CV9">
        <f>INDEX($B$23:$GQ$23,MATCH(99,$B$29:$GQ$29,0))</f>
        <v>3.8397494561261788E-5</v>
      </c>
      <c r="CW9">
        <f>INDEX($B$23:$GQ$23,MATCH(100,$B$29:$GQ$29,0))</f>
        <v>3.3318777332092468E-5</v>
      </c>
      <c r="CX9">
        <f>INDEX($B$23:$GQ$23,MATCH(101,$B$29:$GQ$29,0))</f>
        <v>3.1241374533797613E-5</v>
      </c>
      <c r="CY9">
        <f>INDEX($B$23:$GQ$23,MATCH(102,$B$29:$GQ$29,0))</f>
        <v>2.7795752517081069E-5</v>
      </c>
      <c r="CZ9">
        <f>INDEX($B$23:$GQ$23,MATCH(103,$B$29:$GQ$29,0))</f>
        <v>2.3402118035109119E-5</v>
      </c>
      <c r="DA9">
        <f>INDEX($B$23:$GQ$23,MATCH(104,$B$29:$GQ$29,0))</f>
        <v>5.6462409516549541E-6</v>
      </c>
      <c r="DB9">
        <f>INDEX($B$23:$GQ$23,MATCH(105,$B$29:$GQ$29,0))</f>
        <v>2.095597142712779E-5</v>
      </c>
      <c r="DC9">
        <f>INDEX($B$23:$GQ$23,MATCH(106,$B$29:$GQ$29,0))</f>
        <v>2.0831099917725231E-5</v>
      </c>
      <c r="DD9">
        <f>INDEX($B$23:$GQ$23,MATCH(107,$B$29:$GQ$29,0))</f>
        <v>1.7088091413962361E-5</v>
      </c>
      <c r="DE9">
        <f>INDEX($B$23:$GQ$23,MATCH(108,$B$29:$GQ$29,0))</f>
        <v>0</v>
      </c>
      <c r="DF9">
        <f>INDEX($B$23:$GQ$23,MATCH(109,$B$29:$GQ$29,0))</f>
        <v>1.2465917920173511E-5</v>
      </c>
      <c r="DG9">
        <f>INDEX($B$23:$GQ$23,MATCH(110,$B$29:$GQ$29,0))</f>
        <v>8.2361801995252187E-6</v>
      </c>
      <c r="DH9">
        <f>INDEX($B$23:$GQ$23,MATCH(111,$B$29:$GQ$29,0))</f>
        <v>6.6383527175169791E-6</v>
      </c>
      <c r="DI9">
        <f>INDEX($B$23:$GQ$23,MATCH(112,$B$29:$GQ$29,0))</f>
        <v>6.5667076647833903E-6</v>
      </c>
      <c r="DJ9">
        <f>INDEX($B$23:$GQ$23,MATCH(113,$B$29:$GQ$29,0))</f>
        <v>6.1214301928150564E-6</v>
      </c>
      <c r="DK9">
        <f>INDEX($B$23:$GQ$23,MATCH(114,$B$29:$GQ$29,0))</f>
        <v>7.5112389355769947E-7</v>
      </c>
      <c r="DL9">
        <f>INDEX($B$23:$GQ$23,MATCH(115,$B$29:$GQ$29,0))</f>
        <v>0</v>
      </c>
      <c r="DM9">
        <f>INDEX($B$23:$GQ$23,MATCH(116,$B$29:$GQ$29,0))</f>
        <v>2.3390391796610049E-6</v>
      </c>
      <c r="DN9">
        <f>INDEX($B$23:$GQ$23,MATCH(117,$B$29:$GQ$29,0))</f>
        <v>0</v>
      </c>
      <c r="DO9">
        <f>INDEX($B$23:$GQ$23,MATCH(118,$B$29:$GQ$29,0))</f>
        <v>2.1991326170170562E-6</v>
      </c>
      <c r="DP9">
        <f>INDEX($B$23:$GQ$23,MATCH(119,$B$29:$GQ$29,0))</f>
        <v>2.0524664024640332E-6</v>
      </c>
      <c r="DQ9">
        <f>INDEX($B$23:$GQ$23,MATCH(120,$B$29:$GQ$29,0))</f>
        <v>1.6708294796655791E-7</v>
      </c>
      <c r="DR9">
        <f>INDEX($B$23:$GQ$23,MATCH(121,$B$29:$GQ$29,0))</f>
        <v>1.06050777545868E-6</v>
      </c>
      <c r="DS9">
        <f>INDEX($B$23:$GQ$23,MATCH(122,$B$29:$GQ$29,0))</f>
        <v>1.192825111873721E-6</v>
      </c>
      <c r="DT9">
        <f>INDEX($B$23:$GQ$23,MATCH(123,$B$29:$GQ$29,0))</f>
        <v>0</v>
      </c>
      <c r="DU9">
        <f>INDEX($B$23:$GQ$23,MATCH(124,$B$29:$GQ$29,0))</f>
        <v>9.7074791183745557E-8</v>
      </c>
      <c r="DV9">
        <f>INDEX($B$23:$GQ$23,MATCH(125,$B$29:$GQ$29,0))</f>
        <v>5.6136931307890313E-7</v>
      </c>
      <c r="DW9">
        <f>INDEX($B$23:$GQ$23,MATCH(126,$B$29:$GQ$29,0))</f>
        <v>0</v>
      </c>
      <c r="DX9">
        <f>INDEX($B$23:$GQ$23,MATCH(127,$B$29:$GQ$29,0))</f>
        <v>0</v>
      </c>
      <c r="DY9">
        <f>INDEX($B$23:$GQ$23,MATCH(128,$B$29:$GQ$29,0))</f>
        <v>5.325048311817481E-8</v>
      </c>
      <c r="DZ9">
        <f>INDEX($B$23:$GQ$23,MATCH(129,$B$29:$GQ$29,0))</f>
        <v>1.130179587024855E-8</v>
      </c>
      <c r="EA9">
        <f>INDEX($B$23:$GQ$23,MATCH(130,$B$29:$GQ$29,0))</f>
        <v>2.855917654497999E-8</v>
      </c>
      <c r="EB9">
        <f>INDEX($B$23:$GQ$23,MATCH(131,$B$29:$GQ$29,0))</f>
        <v>0</v>
      </c>
      <c r="EC9">
        <f>INDEX($B$23:$GQ$23,MATCH(132,$B$29:$GQ$29,0))</f>
        <v>6.3361581935687744E-10</v>
      </c>
      <c r="ED9">
        <f>INDEX($B$23:$GQ$23,MATCH(133,$B$29:$GQ$29,0))</f>
        <v>2.3953374188098712E-10</v>
      </c>
      <c r="EE9">
        <f>INDEX($B$23:$GQ$23,MATCH(134,$B$29:$GQ$29,0))</f>
        <v>0</v>
      </c>
      <c r="EF9">
        <f>INDEX($B$23:$GQ$23,MATCH(135,$B$29:$GQ$29,0))</f>
        <v>0</v>
      </c>
      <c r="EG9">
        <f>INDEX($B$23:$GQ$23,MATCH(136,$B$29:$GQ$29,0))</f>
        <v>0</v>
      </c>
      <c r="EH9">
        <f>INDEX($B$23:$GQ$23,MATCH(137,$B$29:$GQ$29,0))</f>
        <v>0</v>
      </c>
      <c r="EI9">
        <f>INDEX($B$23:$GQ$23,MATCH(138,$B$29:$GQ$29,0))</f>
        <v>0</v>
      </c>
      <c r="EJ9">
        <f>INDEX($B$23:$GQ$23,MATCH(139,$B$29:$GQ$29,0))</f>
        <v>0</v>
      </c>
      <c r="EK9">
        <f>INDEX($B$23:$GQ$23,MATCH(140,$B$29:$GQ$29,0))</f>
        <v>0</v>
      </c>
      <c r="EL9">
        <f>INDEX($B$23:$GQ$23,MATCH(141,$B$29:$GQ$29,0))</f>
        <v>0</v>
      </c>
      <c r="EM9">
        <f>INDEX($B$23:$GQ$23,MATCH(142,$B$29:$GQ$29,0))</f>
        <v>0</v>
      </c>
      <c r="EN9">
        <f>INDEX($B$23:$GQ$23,MATCH(143,$B$29:$GQ$29,0))</f>
        <v>0</v>
      </c>
      <c r="EO9">
        <f>INDEX($B$23:$GQ$23,MATCH(144,$B$29:$GQ$29,0))</f>
        <v>0</v>
      </c>
      <c r="EP9">
        <f>INDEX($B$23:$GQ$23,MATCH(145,$B$29:$GQ$29,0))</f>
        <v>0</v>
      </c>
      <c r="EQ9">
        <f>INDEX($B$23:$GQ$23,MATCH(146,$B$29:$GQ$29,0))</f>
        <v>0</v>
      </c>
      <c r="ER9">
        <f>INDEX($B$23:$GQ$23,MATCH(147,$B$29:$GQ$29,0))</f>
        <v>0</v>
      </c>
      <c r="ES9">
        <f>INDEX($B$23:$GQ$23,MATCH(148,$B$29:$GQ$29,0))</f>
        <v>0</v>
      </c>
      <c r="ET9">
        <f>INDEX($B$23:$GQ$23,MATCH(149,$B$29:$GQ$29,0))</f>
        <v>0</v>
      </c>
      <c r="EU9">
        <f>INDEX($B$23:$GQ$23,MATCH(150,$B$29:$GQ$29,0))</f>
        <v>0</v>
      </c>
      <c r="EV9">
        <f>INDEX($B$23:$GQ$23,MATCH(151,$B$29:$GQ$29,0))</f>
        <v>0</v>
      </c>
      <c r="EW9">
        <f>INDEX($B$23:$GQ$23,MATCH(152,$B$29:$GQ$29,0))</f>
        <v>0</v>
      </c>
      <c r="EX9">
        <f>INDEX($B$23:$GQ$23,MATCH(153,$B$29:$GQ$29,0))</f>
        <v>0</v>
      </c>
      <c r="EY9">
        <f>INDEX($B$23:$GQ$23,MATCH(154,$B$29:$GQ$29,0))</f>
        <v>0</v>
      </c>
      <c r="EZ9">
        <f>INDEX($B$23:$GQ$23,MATCH(155,$B$29:$GQ$29,0))</f>
        <v>0</v>
      </c>
      <c r="FA9">
        <f>INDEX($B$23:$GQ$23,MATCH(156,$B$29:$GQ$29,0))</f>
        <v>0</v>
      </c>
      <c r="FB9">
        <f>INDEX($B$23:$GQ$23,MATCH(157,$B$29:$GQ$29,0))</f>
        <v>0</v>
      </c>
      <c r="FC9">
        <f>INDEX($B$23:$GQ$23,MATCH(158,$B$29:$GQ$29,0))</f>
        <v>0</v>
      </c>
      <c r="FD9">
        <f>INDEX($B$23:$GQ$23,MATCH(159,$B$29:$GQ$29,0))</f>
        <v>0</v>
      </c>
      <c r="FE9">
        <f>INDEX($B$23:$GQ$23,MATCH(160,$B$29:$GQ$29,0))</f>
        <v>0</v>
      </c>
      <c r="FF9">
        <f>INDEX($B$23:$GQ$23,MATCH(161,$B$29:$GQ$29,0))</f>
        <v>0</v>
      </c>
      <c r="FG9">
        <f>INDEX($B$23:$GQ$23,MATCH(162,$B$29:$GQ$29,0))</f>
        <v>0</v>
      </c>
      <c r="FH9">
        <f>INDEX($B$23:$GQ$23,MATCH(163,$B$29:$GQ$29,0))</f>
        <v>0</v>
      </c>
      <c r="FI9">
        <f>INDEX($B$23:$GQ$23,MATCH(164,$B$29:$GQ$29,0))</f>
        <v>0</v>
      </c>
      <c r="FJ9">
        <f>INDEX($B$23:$GQ$23,MATCH(165,$B$29:$GQ$29,0))</f>
        <v>0</v>
      </c>
      <c r="FK9">
        <f>INDEX($B$23:$GQ$23,MATCH(166,$B$29:$GQ$29,0))</f>
        <v>0</v>
      </c>
      <c r="FL9">
        <f>INDEX($B$23:$GQ$23,MATCH(167,$B$29:$GQ$29,0))</f>
        <v>0</v>
      </c>
      <c r="FM9">
        <f>INDEX($B$23:$GQ$23,MATCH(168,$B$29:$GQ$29,0))</f>
        <v>0</v>
      </c>
      <c r="FN9">
        <f>INDEX($B$23:$GQ$23,MATCH(169,$B$29:$GQ$29,0))</f>
        <v>0</v>
      </c>
      <c r="FO9">
        <f>INDEX($B$23:$GQ$23,MATCH(170,$B$29:$GQ$29,0))</f>
        <v>0</v>
      </c>
      <c r="FP9">
        <f>INDEX($B$23:$GQ$23,MATCH(171,$B$29:$GQ$29,0))</f>
        <v>0</v>
      </c>
      <c r="FQ9">
        <f>INDEX($B$23:$GQ$23,MATCH(172,$B$29:$GQ$29,0))</f>
        <v>0</v>
      </c>
      <c r="FR9">
        <f>INDEX($B$23:$GQ$23,MATCH(173,$B$29:$GQ$29,0))</f>
        <v>0</v>
      </c>
      <c r="FS9">
        <f>INDEX($B$23:$GQ$23,MATCH(174,$B$29:$GQ$29,0))</f>
        <v>0</v>
      </c>
      <c r="FT9">
        <f>INDEX($B$23:$GQ$23,MATCH(175,$B$29:$GQ$29,0))</f>
        <v>0</v>
      </c>
      <c r="FU9">
        <f>INDEX($B$23:$GQ$23,MATCH(176,$B$29:$GQ$29,0))</f>
        <v>0</v>
      </c>
      <c r="FV9">
        <f>INDEX($B$23:$GQ$23,MATCH(177,$B$29:$GQ$29,0))</f>
        <v>0</v>
      </c>
      <c r="FW9">
        <f>INDEX($B$23:$GQ$23,MATCH(178,$B$29:$GQ$29,0))</f>
        <v>0</v>
      </c>
      <c r="FX9">
        <f>INDEX($B$23:$GQ$23,MATCH(179,$B$29:$GQ$29,0))</f>
        <v>0</v>
      </c>
      <c r="FY9">
        <f>INDEX($B$23:$GQ$23,MATCH(180,$B$29:$GQ$29,0))</f>
        <v>0</v>
      </c>
      <c r="FZ9">
        <f>INDEX($B$23:$GQ$23,MATCH(181,$B$29:$GQ$29,0))</f>
        <v>0</v>
      </c>
      <c r="GA9">
        <f>INDEX($B$23:$GQ$23,MATCH(182,$B$29:$GQ$29,0))</f>
        <v>0</v>
      </c>
      <c r="GB9">
        <f>INDEX($B$23:$GQ$23,MATCH(183,$B$29:$GQ$29,0))</f>
        <v>0</v>
      </c>
      <c r="GC9">
        <f>INDEX($B$23:$GQ$23,MATCH(184,$B$29:$GQ$29,0))</f>
        <v>0</v>
      </c>
      <c r="GD9">
        <f>INDEX($B$23:$GQ$23,MATCH(185,$B$29:$GQ$29,0))</f>
        <v>0</v>
      </c>
      <c r="GE9">
        <f>INDEX($B$23:$GQ$23,MATCH(186,$B$29:$GQ$29,0))</f>
        <v>0</v>
      </c>
      <c r="GF9">
        <f>INDEX($B$23:$GQ$23,MATCH(187,$B$29:$GQ$29,0))</f>
        <v>0</v>
      </c>
      <c r="GG9">
        <f>INDEX($B$23:$GQ$23,MATCH(188,$B$29:$GQ$29,0))</f>
        <v>0</v>
      </c>
      <c r="GH9">
        <f>INDEX($B$23:$GQ$23,MATCH(189,$B$29:$GQ$29,0))</f>
        <v>0</v>
      </c>
      <c r="GI9">
        <f>INDEX($B$23:$GQ$23,MATCH(190,$B$29:$GQ$29,0))</f>
        <v>0</v>
      </c>
      <c r="GJ9">
        <f>INDEX($B$23:$GQ$23,MATCH(191,$B$29:$GQ$29,0))</f>
        <v>0</v>
      </c>
      <c r="GK9">
        <f>INDEX($B$23:$GQ$23,MATCH(192,$B$29:$GQ$29,0))</f>
        <v>0</v>
      </c>
      <c r="GL9">
        <f>INDEX($B$23:$GQ$23,MATCH(193,$B$29:$GQ$29,0))</f>
        <v>0</v>
      </c>
      <c r="GM9">
        <f>INDEX($B$23:$GQ$23,MATCH(194,$B$29:$GQ$29,0))</f>
        <v>0</v>
      </c>
      <c r="GN9">
        <f>INDEX($B$23:$GQ$23,MATCH(195,$B$29:$GQ$29,0))</f>
        <v>0</v>
      </c>
      <c r="GO9">
        <f>INDEX($B$23:$GQ$23,MATCH(196,$B$29:$GQ$29,0))</f>
        <v>0</v>
      </c>
      <c r="GP9">
        <f>INDEX($B$23:$GQ$23,MATCH(197,$B$29:$GQ$29,0))</f>
        <v>0</v>
      </c>
      <c r="GQ9">
        <f>INDEX($B$23:$GQ$23,MATCH(198,$B$29:$GQ$29,0))</f>
        <v>0</v>
      </c>
      <c r="GR9">
        <f>INDEX($GR$23:$HC$23,MATCH(1,$GR$30:$HC$30,0))</f>
        <v>3.011926528533446E-2</v>
      </c>
      <c r="GS9">
        <f>INDEX($GR$23:$HC$23,MATCH(2,$GR$30:$HC$30,0))</f>
        <v>3.2649006534417067E-2</v>
      </c>
      <c r="GT9">
        <f>INDEX($GR$23:$HC$23,MATCH(3,$GR$30:$HC$30,0))</f>
        <v>0.1022617775935717</v>
      </c>
      <c r="GU9">
        <f>INDEX($GR$23:$HC$23,MATCH(4,$GR$30:$HC$30,0))</f>
        <v>5.8690712293863277E-3</v>
      </c>
      <c r="GV9">
        <f>INDEX($GR$23:$HC$23,MATCH(5,$GR$30:$HC$30,0))</f>
        <v>7.5501061186282453E-3</v>
      </c>
      <c r="GW9">
        <f>INDEX($GR$23:$HC$23,MATCH(6,$GR$30:$HC$30,0))</f>
        <v>7.1613275775393743E-3</v>
      </c>
      <c r="GX9">
        <f>INDEX($GR$23:$HC$23,MATCH(7,$GR$30:$HC$30,0))</f>
        <v>2.1816456762209769E-2</v>
      </c>
      <c r="GY9">
        <f>INDEX($GR$23:$HC$23,MATCH(8,$GR$30:$HC$30,0))</f>
        <v>3.3510302905411259E-3</v>
      </c>
      <c r="GZ9">
        <f>INDEX($GR$23:$HC$23,MATCH(9,$GR$30:$HC$30,0))</f>
        <v>4.1186740841694561E-2</v>
      </c>
      <c r="HA9">
        <f>INDEX($GR$23:$HC$23,MATCH(10,$GR$30:$HC$30,0))</f>
        <v>1.7134555021880861E-3</v>
      </c>
      <c r="HB9">
        <f>INDEX($GR$23:$HC$23,MATCH(11,$GR$30:$HC$30,0))</f>
        <v>2.1771694049824701E-2</v>
      </c>
      <c r="HC9">
        <f>INDEX($GR$23:$HC$23,MATCH(12,$GR$30:$HC$30,0))</f>
        <v>1.468072448978461E-2</v>
      </c>
    </row>
    <row r="10" spans="1:211" x14ac:dyDescent="0.45">
      <c r="A10" s="1" t="s">
        <v>9</v>
      </c>
      <c r="B10">
        <f>INDEX($B$24:$GQ$24,MATCH(1,$B$29:$GQ$29,0))</f>
        <v>0.16881159039578289</v>
      </c>
      <c r="C10">
        <f>INDEX($B$24:$GQ$24,MATCH(2,$B$29:$GQ$29,0))</f>
        <v>0.15559385977157261</v>
      </c>
      <c r="D10">
        <f>INDEX($B$24:$GQ$24,MATCH(3,$B$29:$GQ$29,0))</f>
        <v>9.9912689079090816E-2</v>
      </c>
      <c r="E10">
        <f>INDEX($B$24:$GQ$24,MATCH(4,$B$29:$GQ$29,0))</f>
        <v>7.3374865077995857E-2</v>
      </c>
      <c r="F10">
        <f>INDEX($B$24:$GQ$24,MATCH(5,$B$29:$GQ$29,0))</f>
        <v>6.6995994148438556E-2</v>
      </c>
      <c r="G10">
        <f>INDEX($B$24:$GQ$24,MATCH(6,$B$29:$GQ$29,0))</f>
        <v>2.6446728803864741E-2</v>
      </c>
      <c r="H10">
        <f>INDEX($B$24:$GQ$24,MATCH(7,$B$29:$GQ$29,0))</f>
        <v>6.1854878380228177E-2</v>
      </c>
      <c r="I10">
        <f>INDEX($B$24:$GQ$24,MATCH(8,$B$29:$GQ$29,0))</f>
        <v>5.1510163249817643E-2</v>
      </c>
      <c r="J10">
        <f>INDEX($B$24:$GQ$24,MATCH(9,$B$29:$GQ$29,0))</f>
        <v>2.325683887488094E-2</v>
      </c>
      <c r="K10">
        <f>INDEX($B$24:$GQ$24,MATCH(10,$B$29:$GQ$29,0))</f>
        <v>3.3654307155568247E-2</v>
      </c>
      <c r="L10">
        <f>INDEX($B$24:$GQ$24,MATCH(11,$B$29:$GQ$29,0))</f>
        <v>3.1743627091266463E-2</v>
      </c>
      <c r="M10">
        <f>INDEX($B$24:$GQ$24,MATCH(12,$B$29:$GQ$29,0))</f>
        <v>2.6615516237773879E-2</v>
      </c>
      <c r="N10">
        <f>INDEX($B$24:$GQ$24,MATCH(13,$B$29:$GQ$29,0))</f>
        <v>2.619253641908343E-2</v>
      </c>
      <c r="O10">
        <f>INDEX($B$24:$GQ$24,MATCH(14,$B$29:$GQ$29,0))</f>
        <v>8.7798272472973202E-3</v>
      </c>
      <c r="P10">
        <f>INDEX($B$24:$GQ$24,MATCH(15,$B$29:$GQ$29,0))</f>
        <v>1.6112218603185659E-2</v>
      </c>
      <c r="Q10">
        <f>INDEX($B$24:$GQ$24,MATCH(16,$B$29:$GQ$29,0))</f>
        <v>1.8988864286053279E-2</v>
      </c>
      <c r="R10">
        <f>INDEX($B$24:$GQ$24,MATCH(17,$B$29:$GQ$29,0))</f>
        <v>2.2581750166579512E-2</v>
      </c>
      <c r="S10">
        <f>INDEX($B$24:$GQ$24,MATCH(18,$B$29:$GQ$29,0))</f>
        <v>6.5339989838723144E-3</v>
      </c>
      <c r="T10">
        <f>INDEX($B$24:$GQ$24,MATCH(19,$B$29:$GQ$29,0))</f>
        <v>1.6304961591611052E-2</v>
      </c>
      <c r="U10">
        <f>INDEX($B$24:$GQ$24,MATCH(20,$B$29:$GQ$29,0))</f>
        <v>9.1337922768294945E-5</v>
      </c>
      <c r="V10">
        <f>INDEX($B$24:$GQ$24,MATCH(21,$B$29:$GQ$29,0))</f>
        <v>1.7753599256348481E-4</v>
      </c>
      <c r="W10">
        <f>INDEX($B$24:$GQ$24,MATCH(22,$B$29:$GQ$29,0))</f>
        <v>5.451926364544531E-3</v>
      </c>
      <c r="X10">
        <f>INDEX($B$24:$GQ$24,MATCH(23,$B$29:$GQ$29,0))</f>
        <v>9.0722289522314015E-4</v>
      </c>
      <c r="Y10">
        <f>INDEX($B$24:$GQ$24,MATCH(24,$B$29:$GQ$29,0))</f>
        <v>2.2556111569649339E-4</v>
      </c>
      <c r="Z10">
        <f>INDEX($B$24:$GQ$24,MATCH(25,$B$29:$GQ$29,0))</f>
        <v>1.6235650299406029E-3</v>
      </c>
      <c r="AA10">
        <f>INDEX($B$24:$GQ$24,MATCH(26,$B$29:$GQ$29,0))</f>
        <v>3.3504716951133438E-4</v>
      </c>
      <c r="AB10">
        <f>INDEX($B$24:$GQ$24,MATCH(27,$B$29:$GQ$29,0))</f>
        <v>8.89549644791191E-3</v>
      </c>
      <c r="AC10">
        <f>INDEX($B$24:$GQ$24,MATCH(28,$B$29:$GQ$29,0))</f>
        <v>8.4828864405350139E-4</v>
      </c>
      <c r="AD10">
        <f>INDEX($B$24:$GQ$24,MATCH(29,$B$29:$GQ$29,0))</f>
        <v>3.5622073592573721E-3</v>
      </c>
      <c r="AE10">
        <f>INDEX($B$24:$GQ$24,MATCH(30,$B$29:$GQ$29,0))</f>
        <v>3.4353495574706919E-3</v>
      </c>
      <c r="AF10">
        <f>INDEX($B$24:$GQ$24,MATCH(31,$B$29:$GQ$29,0))</f>
        <v>1.7773635976395599E-3</v>
      </c>
      <c r="AG10">
        <f>INDEX($B$24:$GQ$24,MATCH(32,$B$29:$GQ$29,0))</f>
        <v>1.204941141672249E-3</v>
      </c>
      <c r="AH10">
        <f>INDEX($B$24:$GQ$24,MATCH(33,$B$29:$GQ$29,0))</f>
        <v>1.732698538195628E-3</v>
      </c>
      <c r="AI10">
        <f>INDEX($B$24:$GQ$24,MATCH(34,$B$29:$GQ$29,0))</f>
        <v>1.464990762278321E-3</v>
      </c>
      <c r="AJ10">
        <f>INDEX($B$24:$GQ$24,MATCH(35,$B$29:$GQ$29,0))</f>
        <v>5.164371327213332E-3</v>
      </c>
      <c r="AK10">
        <f>INDEX($B$24:$GQ$24,MATCH(36,$B$29:$GQ$29,0))</f>
        <v>6.4845789054828959E-4</v>
      </c>
      <c r="AL10">
        <f>INDEX($B$24:$GQ$24,MATCH(37,$B$29:$GQ$29,0))</f>
        <v>1.9280441343472E-4</v>
      </c>
      <c r="AM10">
        <f>INDEX($B$24:$GQ$24,MATCH(38,$B$29:$GQ$29,0))</f>
        <v>0</v>
      </c>
      <c r="AN10">
        <f>INDEX($B$24:$GQ$24,MATCH(39,$B$29:$GQ$29,0))</f>
        <v>1.2770675472041019E-4</v>
      </c>
      <c r="AO10">
        <f>INDEX($B$24:$GQ$24,MATCH(40,$B$29:$GQ$29,0))</f>
        <v>4.0177235268921909E-4</v>
      </c>
      <c r="AP10">
        <f>INDEX($B$24:$GQ$24,MATCH(41,$B$29:$GQ$29,0))</f>
        <v>3.056785237292076E-3</v>
      </c>
      <c r="AQ10">
        <f>INDEX($B$24:$GQ$24,MATCH(42,$B$29:$GQ$29,0))</f>
        <v>1.36999918069974E-4</v>
      </c>
      <c r="AR10">
        <f>INDEX($B$24:$GQ$24,MATCH(43,$B$29:$GQ$29,0))</f>
        <v>1.1625060699654141E-3</v>
      </c>
      <c r="AS10">
        <f>INDEX($B$24:$GQ$24,MATCH(44,$B$29:$GQ$29,0))</f>
        <v>4.4023128523141201E-5</v>
      </c>
      <c r="AT10">
        <f>INDEX($B$24:$GQ$24,MATCH(45,$B$29:$GQ$29,0))</f>
        <v>4.4379763299647799E-4</v>
      </c>
      <c r="AU10">
        <f>INDEX($B$24:$GQ$24,MATCH(46,$B$29:$GQ$29,0))</f>
        <v>4.4813377771615648E-4</v>
      </c>
      <c r="AV10">
        <f>INDEX($B$24:$GQ$24,MATCH(47,$B$29:$GQ$29,0))</f>
        <v>2.2904702927151318E-3</v>
      </c>
      <c r="AW10">
        <f>INDEX($B$24:$GQ$24,MATCH(48,$B$29:$GQ$29,0))</f>
        <v>3.7386662292409868E-4</v>
      </c>
      <c r="AX10">
        <f>INDEX($B$24:$GQ$24,MATCH(49,$B$29:$GQ$29,0))</f>
        <v>4.2985938270183278E-5</v>
      </c>
      <c r="AY10">
        <f>INDEX($B$24:$GQ$24,MATCH(50,$B$29:$GQ$29,0))</f>
        <v>2.2205361884226039E-4</v>
      </c>
      <c r="AZ10">
        <f>INDEX($B$24:$GQ$24,MATCH(51,$B$29:$GQ$29,0))</f>
        <v>2.8762363868473258E-4</v>
      </c>
      <c r="BA10">
        <f>INDEX($B$24:$GQ$24,MATCH(52,$B$29:$GQ$29,0))</f>
        <v>2.3146781461273099E-4</v>
      </c>
      <c r="BB10">
        <f>INDEX($B$24:$GQ$24,MATCH(53,$B$29:$GQ$29,0))</f>
        <v>2.191977615678592E-4</v>
      </c>
      <c r="BC10">
        <f>INDEX($B$24:$GQ$24,MATCH(54,$B$29:$GQ$29,0))</f>
        <v>0</v>
      </c>
      <c r="BD10">
        <f>INDEX($B$24:$GQ$24,MATCH(55,$B$29:$GQ$29,0))</f>
        <v>3.004608564908914E-4</v>
      </c>
      <c r="BE10">
        <f>INDEX($B$24:$GQ$24,MATCH(56,$B$29:$GQ$29,0))</f>
        <v>2.3392779831581329E-4</v>
      </c>
      <c r="BF10">
        <f>INDEX($B$24:$GQ$24,MATCH(57,$B$29:$GQ$29,0))</f>
        <v>9.0909100411543128E-5</v>
      </c>
      <c r="BG10">
        <f>INDEX($B$24:$GQ$24,MATCH(58,$B$29:$GQ$29,0))</f>
        <v>4.9317149348868821E-4</v>
      </c>
      <c r="BH10">
        <f>INDEX($B$24:$GQ$24,MATCH(59,$B$29:$GQ$29,0))</f>
        <v>7.1804398216617212E-5</v>
      </c>
      <c r="BI10">
        <f>INDEX($B$24:$GQ$24,MATCH(60,$B$29:$GQ$29,0))</f>
        <v>7.2636129034639257E-5</v>
      </c>
      <c r="BJ10">
        <f>INDEX($B$24:$GQ$24,MATCH(61,$B$29:$GQ$29,0))</f>
        <v>1.911180268545244E-4</v>
      </c>
      <c r="BK10">
        <f>INDEX($B$24:$GQ$24,MATCH(62,$B$29:$GQ$29,0))</f>
        <v>2.3869065951906149E-4</v>
      </c>
      <c r="BL10">
        <f>INDEX($B$24:$GQ$24,MATCH(63,$B$29:$GQ$29,0))</f>
        <v>9.3693611028458813E-5</v>
      </c>
      <c r="BM10">
        <f>INDEX($B$24:$GQ$24,MATCH(64,$B$29:$GQ$29,0))</f>
        <v>3.4754025044531742E-5</v>
      </c>
      <c r="BN10">
        <f>INDEX($B$24:$GQ$24,MATCH(65,$B$29:$GQ$29,0))</f>
        <v>8.5234167112415639E-5</v>
      </c>
      <c r="BO10">
        <f>INDEX($B$24:$GQ$24,MATCH(66,$B$29:$GQ$29,0))</f>
        <v>5.4943198064628208E-5</v>
      </c>
      <c r="BP10">
        <f>INDEX($B$24:$GQ$24,MATCH(67,$B$29:$GQ$29,0))</f>
        <v>5.340690431560061E-5</v>
      </c>
      <c r="BQ10">
        <f>INDEX($B$24:$GQ$24,MATCH(68,$B$29:$GQ$29,0))</f>
        <v>8.4056706143618659E-5</v>
      </c>
      <c r="BR10">
        <f>INDEX($B$24:$GQ$24,MATCH(69,$B$29:$GQ$29,0))</f>
        <v>1.8733129959506159E-4</v>
      </c>
      <c r="BS10">
        <f>INDEX($B$24:$GQ$24,MATCH(70,$B$29:$GQ$29,0))</f>
        <v>2.011413329555579E-4</v>
      </c>
      <c r="BT10">
        <f>INDEX($B$24:$GQ$24,MATCH(71,$B$29:$GQ$29,0))</f>
        <v>3.0090539682641398E-4</v>
      </c>
      <c r="BU10">
        <f>INDEX($B$24:$GQ$24,MATCH(72,$B$29:$GQ$29,0))</f>
        <v>3.0923582366646879E-4</v>
      </c>
      <c r="BV10">
        <f>INDEX($B$24:$GQ$24,MATCH(73,$B$29:$GQ$29,0))</f>
        <v>3.0236566320962791E-5</v>
      </c>
      <c r="BW10">
        <f>INDEX($B$24:$GQ$24,MATCH(74,$B$29:$GQ$29,0))</f>
        <v>8.7493306317634063E-6</v>
      </c>
      <c r="BX10">
        <f>INDEX($B$24:$GQ$24,MATCH(75,$B$29:$GQ$29,0))</f>
        <v>6.5089780009480806E-5</v>
      </c>
      <c r="BY10">
        <f>INDEX($B$24:$GQ$24,MATCH(76,$B$29:$GQ$29,0))</f>
        <v>1.301347279679929E-6</v>
      </c>
      <c r="BZ10">
        <f>INDEX($B$24:$GQ$24,MATCH(77,$B$29:$GQ$29,0))</f>
        <v>3.8862543115054722E-5</v>
      </c>
      <c r="CA10">
        <f>INDEX($B$24:$GQ$24,MATCH(78,$B$29:$GQ$29,0))</f>
        <v>2.323930369190972E-5</v>
      </c>
      <c r="CB10">
        <f>INDEX($B$24:$GQ$24,MATCH(79,$B$29:$GQ$29,0))</f>
        <v>3.257078826099549E-6</v>
      </c>
      <c r="CC10">
        <f>INDEX($B$24:$GQ$24,MATCH(80,$B$29:$GQ$29,0))</f>
        <v>4.8323108055472378E-5</v>
      </c>
      <c r="CD10">
        <f>INDEX($B$24:$GQ$24,MATCH(81,$B$29:$GQ$29,0))</f>
        <v>7.6479417257888706E-5</v>
      </c>
      <c r="CE10">
        <f>INDEX($B$24:$GQ$24,MATCH(82,$B$29:$GQ$29,0))</f>
        <v>1.132293706428876E-5</v>
      </c>
      <c r="CF10">
        <f>INDEX($B$24:$GQ$24,MATCH(83,$B$29:$GQ$29,0))</f>
        <v>4.7091431728000284E-6</v>
      </c>
      <c r="CG10">
        <f>INDEX($B$24:$GQ$24,MATCH(84,$B$29:$GQ$29,0))</f>
        <v>1.7603313163163222E-5</v>
      </c>
      <c r="CH10">
        <f>INDEX($B$24:$GQ$24,MATCH(85,$B$29:$GQ$29,0))</f>
        <v>8.8134894004192704E-6</v>
      </c>
      <c r="CI10">
        <f>INDEX($B$24:$GQ$24,MATCH(86,$B$29:$GQ$29,0))</f>
        <v>3.4775827497518368E-5</v>
      </c>
      <c r="CJ10">
        <f>INDEX($B$24:$GQ$24,MATCH(87,$B$29:$GQ$29,0))</f>
        <v>2.093546814518147E-5</v>
      </c>
      <c r="CK10">
        <f>INDEX($B$24:$GQ$24,MATCH(88,$B$29:$GQ$29,0))</f>
        <v>3.3404225585581913E-5</v>
      </c>
      <c r="CL10">
        <f>INDEX($B$24:$GQ$24,MATCH(89,$B$29:$GQ$29,0))</f>
        <v>2.937965098545253E-5</v>
      </c>
      <c r="CM10">
        <f>INDEX($B$24:$GQ$24,MATCH(90,$B$29:$GQ$29,0))</f>
        <v>2.667334659122402E-5</v>
      </c>
      <c r="CN10">
        <f>INDEX($B$24:$GQ$24,MATCH(91,$B$29:$GQ$29,0))</f>
        <v>2.8112852544486258E-5</v>
      </c>
      <c r="CO10">
        <f>INDEX($B$24:$GQ$24,MATCH(92,$B$29:$GQ$29,0))</f>
        <v>1.997689963279046E-5</v>
      </c>
      <c r="CP10">
        <f>INDEX($B$24:$GQ$24,MATCH(93,$B$29:$GQ$29,0))</f>
        <v>2.986808690972099E-5</v>
      </c>
      <c r="CQ10">
        <f>INDEX($B$24:$GQ$24,MATCH(94,$B$29:$GQ$29,0))</f>
        <v>1.7009636732383418E-5</v>
      </c>
      <c r="CR10">
        <f>INDEX($B$24:$GQ$24,MATCH(95,$B$29:$GQ$29,0))</f>
        <v>1.639854443576586E-5</v>
      </c>
      <c r="CS10">
        <f>INDEX($B$24:$GQ$24,MATCH(96,$B$29:$GQ$29,0))</f>
        <v>2.545424984491497E-5</v>
      </c>
      <c r="CT10">
        <f>INDEX($B$24:$GQ$24,MATCH(97,$B$29:$GQ$29,0))</f>
        <v>1.6981990081614129E-5</v>
      </c>
      <c r="CU10">
        <f>INDEX($B$24:$GQ$24,MATCH(98,$B$29:$GQ$29,0))</f>
        <v>1.2062731289046229E-5</v>
      </c>
      <c r="CV10">
        <f>INDEX($B$24:$GQ$24,MATCH(99,$B$29:$GQ$29,0))</f>
        <v>1.138595848171155E-5</v>
      </c>
      <c r="CW10">
        <f>INDEX($B$24:$GQ$24,MATCH(100,$B$29:$GQ$29,0))</f>
        <v>9.6556371654197416E-6</v>
      </c>
      <c r="CX10">
        <f>INDEX($B$24:$GQ$24,MATCH(101,$B$29:$GQ$29,0))</f>
        <v>6.1983217050900234E-6</v>
      </c>
      <c r="CY10">
        <f>INDEX($B$24:$GQ$24,MATCH(102,$B$29:$GQ$29,0))</f>
        <v>6.1557771452701417E-6</v>
      </c>
      <c r="CZ10">
        <f>INDEX($B$24:$GQ$24,MATCH(103,$B$29:$GQ$29,0))</f>
        <v>8.0846102079319157E-6</v>
      </c>
      <c r="DA10">
        <f>INDEX($B$24:$GQ$24,MATCH(104,$B$29:$GQ$29,0))</f>
        <v>4.6055604692025582E-7</v>
      </c>
      <c r="DB10">
        <f>INDEX($B$24:$GQ$24,MATCH(105,$B$29:$GQ$29,0))</f>
        <v>6.8722999463166894E-6</v>
      </c>
      <c r="DC10">
        <f>INDEX($B$24:$GQ$24,MATCH(106,$B$29:$GQ$29,0))</f>
        <v>2.5619327408056318E-6</v>
      </c>
      <c r="DD10">
        <f>INDEX($B$24:$GQ$24,MATCH(107,$B$29:$GQ$29,0))</f>
        <v>6.0025935218142744E-6</v>
      </c>
      <c r="DE10">
        <f>INDEX($B$24:$GQ$24,MATCH(108,$B$29:$GQ$29,0))</f>
        <v>0</v>
      </c>
      <c r="DF10">
        <f>INDEX($B$24:$GQ$24,MATCH(109,$B$29:$GQ$29,0))</f>
        <v>2.984538093117782E-6</v>
      </c>
      <c r="DG10">
        <f>INDEX($B$24:$GQ$24,MATCH(110,$B$29:$GQ$29,0))</f>
        <v>3.7454493106754941E-6</v>
      </c>
      <c r="DH10">
        <f>INDEX($B$24:$GQ$24,MATCH(111,$B$29:$GQ$29,0))</f>
        <v>2.4856092962509011E-6</v>
      </c>
      <c r="DI10">
        <f>INDEX($B$24:$GQ$24,MATCH(112,$B$29:$GQ$29,0))</f>
        <v>1.8511317632302759E-6</v>
      </c>
      <c r="DJ10">
        <f>INDEX($B$24:$GQ$24,MATCH(113,$B$29:$GQ$29,0))</f>
        <v>1.886758911517812E-6</v>
      </c>
      <c r="DK10">
        <f>INDEX($B$24:$GQ$24,MATCH(114,$B$29:$GQ$29,0))</f>
        <v>1.5928084079042191E-7</v>
      </c>
      <c r="DL10">
        <f>INDEX($B$24:$GQ$24,MATCH(115,$B$29:$GQ$29,0))</f>
        <v>0</v>
      </c>
      <c r="DM10">
        <f>INDEX($B$24:$GQ$24,MATCH(116,$B$29:$GQ$29,0))</f>
        <v>4.5200103586034563E-7</v>
      </c>
      <c r="DN10">
        <f>INDEX($B$24:$GQ$24,MATCH(117,$B$29:$GQ$29,0))</f>
        <v>0</v>
      </c>
      <c r="DO10">
        <f>INDEX($B$24:$GQ$24,MATCH(118,$B$29:$GQ$29,0))</f>
        <v>5.1171335016926053E-7</v>
      </c>
      <c r="DP10">
        <f>INDEX($B$24:$GQ$24,MATCH(119,$B$29:$GQ$29,0))</f>
        <v>2.889893739427855E-8</v>
      </c>
      <c r="DQ10">
        <f>INDEX($B$24:$GQ$24,MATCH(120,$B$29:$GQ$29,0))</f>
        <v>1.3628736323071279E-8</v>
      </c>
      <c r="DR10">
        <f>INDEX($B$24:$GQ$24,MATCH(121,$B$29:$GQ$29,0))</f>
        <v>5.9339553562441819E-7</v>
      </c>
      <c r="DS10">
        <f>INDEX($B$24:$GQ$24,MATCH(122,$B$29:$GQ$29,0))</f>
        <v>4.1028088031379432E-7</v>
      </c>
      <c r="DT10">
        <f>INDEX($B$24:$GQ$24,MATCH(123,$B$29:$GQ$29,0))</f>
        <v>0</v>
      </c>
      <c r="DU10">
        <f>INDEX($B$24:$GQ$24,MATCH(124,$B$29:$GQ$29,0))</f>
        <v>1.3902674952318391E-8</v>
      </c>
      <c r="DV10">
        <f>INDEX($B$24:$GQ$24,MATCH(125,$B$29:$GQ$29,0))</f>
        <v>1.9892993708683899E-7</v>
      </c>
      <c r="DW10">
        <f>INDEX($B$24:$GQ$24,MATCH(126,$B$29:$GQ$29,0))</f>
        <v>0</v>
      </c>
      <c r="DX10">
        <f>INDEX($B$24:$GQ$24,MATCH(127,$B$29:$GQ$29,0))</f>
        <v>0</v>
      </c>
      <c r="DY10">
        <f>INDEX($B$24:$GQ$24,MATCH(128,$B$29:$GQ$29,0))</f>
        <v>8.4632654151279767E-9</v>
      </c>
      <c r="DZ10">
        <f>INDEX($B$24:$GQ$24,MATCH(129,$B$29:$GQ$29,0))</f>
        <v>5.1387238988790038E-10</v>
      </c>
      <c r="EA10">
        <f>INDEX($B$24:$GQ$24,MATCH(130,$B$29:$GQ$29,0))</f>
        <v>5.3762640629657346E-9</v>
      </c>
      <c r="EB10">
        <f>INDEX($B$24:$GQ$24,MATCH(131,$B$29:$GQ$29,0))</f>
        <v>0</v>
      </c>
      <c r="EC10">
        <f>INDEX($B$24:$GQ$24,MATCH(132,$B$29:$GQ$29,0))</f>
        <v>1.894478913737518E-10</v>
      </c>
      <c r="ED10">
        <f>INDEX($B$24:$GQ$24,MATCH(133,$B$29:$GQ$29,0))</f>
        <v>8.9927089077080554E-11</v>
      </c>
      <c r="EE10">
        <f>INDEX($B$24:$GQ$24,MATCH(134,$B$29:$GQ$29,0))</f>
        <v>0</v>
      </c>
      <c r="EF10">
        <f>INDEX($B$24:$GQ$24,MATCH(135,$B$29:$GQ$29,0))</f>
        <v>0</v>
      </c>
      <c r="EG10">
        <f>INDEX($B$24:$GQ$24,MATCH(136,$B$29:$GQ$29,0))</f>
        <v>0</v>
      </c>
      <c r="EH10">
        <f>INDEX($B$24:$GQ$24,MATCH(137,$B$29:$GQ$29,0))</f>
        <v>0</v>
      </c>
      <c r="EI10">
        <f>INDEX($B$24:$GQ$24,MATCH(138,$B$29:$GQ$29,0))</f>
        <v>0</v>
      </c>
      <c r="EJ10">
        <f>INDEX($B$24:$GQ$24,MATCH(139,$B$29:$GQ$29,0))</f>
        <v>0</v>
      </c>
      <c r="EK10">
        <f>INDEX($B$24:$GQ$24,MATCH(140,$B$29:$GQ$29,0))</f>
        <v>0</v>
      </c>
      <c r="EL10">
        <f>INDEX($B$24:$GQ$24,MATCH(141,$B$29:$GQ$29,0))</f>
        <v>0</v>
      </c>
      <c r="EM10">
        <f>INDEX($B$24:$GQ$24,MATCH(142,$B$29:$GQ$29,0))</f>
        <v>0</v>
      </c>
      <c r="EN10">
        <f>INDEX($B$24:$GQ$24,MATCH(143,$B$29:$GQ$29,0))</f>
        <v>0</v>
      </c>
      <c r="EO10">
        <f>INDEX($B$24:$GQ$24,MATCH(144,$B$29:$GQ$29,0))</f>
        <v>0</v>
      </c>
      <c r="EP10">
        <f>INDEX($B$24:$GQ$24,MATCH(145,$B$29:$GQ$29,0))</f>
        <v>0</v>
      </c>
      <c r="EQ10">
        <f>INDEX($B$24:$GQ$24,MATCH(146,$B$29:$GQ$29,0))</f>
        <v>0</v>
      </c>
      <c r="ER10">
        <f>INDEX($B$24:$GQ$24,MATCH(147,$B$29:$GQ$29,0))</f>
        <v>0</v>
      </c>
      <c r="ES10">
        <f>INDEX($B$24:$GQ$24,MATCH(148,$B$29:$GQ$29,0))</f>
        <v>0</v>
      </c>
      <c r="ET10">
        <f>INDEX($B$24:$GQ$24,MATCH(149,$B$29:$GQ$29,0))</f>
        <v>0</v>
      </c>
      <c r="EU10">
        <f>INDEX($B$24:$GQ$24,MATCH(150,$B$29:$GQ$29,0))</f>
        <v>0</v>
      </c>
      <c r="EV10">
        <f>INDEX($B$24:$GQ$24,MATCH(151,$B$29:$GQ$29,0))</f>
        <v>0</v>
      </c>
      <c r="EW10">
        <f>INDEX($B$24:$GQ$24,MATCH(152,$B$29:$GQ$29,0))</f>
        <v>0</v>
      </c>
      <c r="EX10">
        <f>INDEX($B$24:$GQ$24,MATCH(153,$B$29:$GQ$29,0))</f>
        <v>0</v>
      </c>
      <c r="EY10">
        <f>INDEX($B$24:$GQ$24,MATCH(154,$B$29:$GQ$29,0))</f>
        <v>0</v>
      </c>
      <c r="EZ10">
        <f>INDEX($B$24:$GQ$24,MATCH(155,$B$29:$GQ$29,0))</f>
        <v>0</v>
      </c>
      <c r="FA10">
        <f>INDEX($B$24:$GQ$24,MATCH(156,$B$29:$GQ$29,0))</f>
        <v>0</v>
      </c>
      <c r="FB10">
        <f>INDEX($B$24:$GQ$24,MATCH(157,$B$29:$GQ$29,0))</f>
        <v>0</v>
      </c>
      <c r="FC10">
        <f>INDEX($B$24:$GQ$24,MATCH(158,$B$29:$GQ$29,0))</f>
        <v>0</v>
      </c>
      <c r="FD10">
        <f>INDEX($B$24:$GQ$24,MATCH(159,$B$29:$GQ$29,0))</f>
        <v>0</v>
      </c>
      <c r="FE10">
        <f>INDEX($B$24:$GQ$24,MATCH(160,$B$29:$GQ$29,0))</f>
        <v>0</v>
      </c>
      <c r="FF10">
        <f>INDEX($B$24:$GQ$24,MATCH(161,$B$29:$GQ$29,0))</f>
        <v>0</v>
      </c>
      <c r="FG10">
        <f>INDEX($B$24:$GQ$24,MATCH(162,$B$29:$GQ$29,0))</f>
        <v>0</v>
      </c>
      <c r="FH10">
        <f>INDEX($B$24:$GQ$24,MATCH(163,$B$29:$GQ$29,0))</f>
        <v>0</v>
      </c>
      <c r="FI10">
        <f>INDEX($B$24:$GQ$24,MATCH(164,$B$29:$GQ$29,0))</f>
        <v>0</v>
      </c>
      <c r="FJ10">
        <f>INDEX($B$24:$GQ$24,MATCH(165,$B$29:$GQ$29,0))</f>
        <v>0</v>
      </c>
      <c r="FK10">
        <f>INDEX($B$24:$GQ$24,MATCH(166,$B$29:$GQ$29,0))</f>
        <v>0</v>
      </c>
      <c r="FL10">
        <f>INDEX($B$24:$GQ$24,MATCH(167,$B$29:$GQ$29,0))</f>
        <v>0</v>
      </c>
      <c r="FM10">
        <f>INDEX($B$24:$GQ$24,MATCH(168,$B$29:$GQ$29,0))</f>
        <v>0</v>
      </c>
      <c r="FN10">
        <f>INDEX($B$24:$GQ$24,MATCH(169,$B$29:$GQ$29,0))</f>
        <v>0</v>
      </c>
      <c r="FO10">
        <f>INDEX($B$24:$GQ$24,MATCH(170,$B$29:$GQ$29,0))</f>
        <v>0</v>
      </c>
      <c r="FP10">
        <f>INDEX($B$24:$GQ$24,MATCH(171,$B$29:$GQ$29,0))</f>
        <v>0</v>
      </c>
      <c r="FQ10">
        <f>INDEX($B$24:$GQ$24,MATCH(172,$B$29:$GQ$29,0))</f>
        <v>0</v>
      </c>
      <c r="FR10">
        <f>INDEX($B$24:$GQ$24,MATCH(173,$B$29:$GQ$29,0))</f>
        <v>0</v>
      </c>
      <c r="FS10">
        <f>INDEX($B$24:$GQ$24,MATCH(174,$B$29:$GQ$29,0))</f>
        <v>0</v>
      </c>
      <c r="FT10">
        <f>INDEX($B$24:$GQ$24,MATCH(175,$B$29:$GQ$29,0))</f>
        <v>0</v>
      </c>
      <c r="FU10">
        <f>INDEX($B$24:$GQ$24,MATCH(176,$B$29:$GQ$29,0))</f>
        <v>0</v>
      </c>
      <c r="FV10">
        <f>INDEX($B$24:$GQ$24,MATCH(177,$B$29:$GQ$29,0))</f>
        <v>0</v>
      </c>
      <c r="FW10">
        <f>INDEX($B$24:$GQ$24,MATCH(178,$B$29:$GQ$29,0))</f>
        <v>0</v>
      </c>
      <c r="FX10">
        <f>INDEX($B$24:$GQ$24,MATCH(179,$B$29:$GQ$29,0))</f>
        <v>0</v>
      </c>
      <c r="FY10">
        <f>INDEX($B$24:$GQ$24,MATCH(180,$B$29:$GQ$29,0))</f>
        <v>0</v>
      </c>
      <c r="FZ10">
        <f>INDEX($B$24:$GQ$24,MATCH(181,$B$29:$GQ$29,0))</f>
        <v>0</v>
      </c>
      <c r="GA10">
        <f>INDEX($B$24:$GQ$24,MATCH(182,$B$29:$GQ$29,0))</f>
        <v>0</v>
      </c>
      <c r="GB10">
        <f>INDEX($B$24:$GQ$24,MATCH(183,$B$29:$GQ$29,0))</f>
        <v>0</v>
      </c>
      <c r="GC10">
        <f>INDEX($B$24:$GQ$24,MATCH(184,$B$29:$GQ$29,0))</f>
        <v>0</v>
      </c>
      <c r="GD10">
        <f>INDEX($B$24:$GQ$24,MATCH(185,$B$29:$GQ$29,0))</f>
        <v>0</v>
      </c>
      <c r="GE10">
        <f>INDEX($B$24:$GQ$24,MATCH(186,$B$29:$GQ$29,0))</f>
        <v>0</v>
      </c>
      <c r="GF10">
        <f>INDEX($B$24:$GQ$24,MATCH(187,$B$29:$GQ$29,0))</f>
        <v>0</v>
      </c>
      <c r="GG10">
        <f>INDEX($B$24:$GQ$24,MATCH(188,$B$29:$GQ$29,0))</f>
        <v>0</v>
      </c>
      <c r="GH10">
        <f>INDEX($B$24:$GQ$24,MATCH(189,$B$29:$GQ$29,0))</f>
        <v>0</v>
      </c>
      <c r="GI10">
        <f>INDEX($B$24:$GQ$24,MATCH(190,$B$29:$GQ$29,0))</f>
        <v>0</v>
      </c>
      <c r="GJ10">
        <f>INDEX($B$24:$GQ$24,MATCH(191,$B$29:$GQ$29,0))</f>
        <v>0</v>
      </c>
      <c r="GK10">
        <f>INDEX($B$24:$GQ$24,MATCH(192,$B$29:$GQ$29,0))</f>
        <v>0</v>
      </c>
      <c r="GL10">
        <f>INDEX($B$24:$GQ$24,MATCH(193,$B$29:$GQ$29,0))</f>
        <v>0</v>
      </c>
      <c r="GM10">
        <f>INDEX($B$24:$GQ$24,MATCH(194,$B$29:$GQ$29,0))</f>
        <v>0</v>
      </c>
      <c r="GN10">
        <f>INDEX($B$24:$GQ$24,MATCH(195,$B$29:$GQ$29,0))</f>
        <v>0</v>
      </c>
      <c r="GO10">
        <f>INDEX($B$24:$GQ$24,MATCH(196,$B$29:$GQ$29,0))</f>
        <v>0</v>
      </c>
      <c r="GP10">
        <f>INDEX($B$24:$GQ$24,MATCH(197,$B$29:$GQ$29,0))</f>
        <v>0</v>
      </c>
      <c r="GQ10">
        <f>INDEX($B$24:$GQ$24,MATCH(198,$B$29:$GQ$29,0))</f>
        <v>0</v>
      </c>
      <c r="GR10">
        <f>INDEX($GR$24:$HC$24,MATCH(1,$GR$30:$HC$30,0))</f>
        <v>0.2588744447862194</v>
      </c>
      <c r="GS10">
        <f>INDEX($GR$24:$HC$24,MATCH(2,$GR$30:$HC$30,0))</f>
        <v>0.20658792416625929</v>
      </c>
      <c r="GT10">
        <f>INDEX($GR$24:$HC$24,MATCH(3,$GR$30:$HC$30,0))</f>
        <v>7.6981305998824842E-2</v>
      </c>
      <c r="GU10">
        <f>INDEX($GR$24:$HC$24,MATCH(4,$GR$30:$HC$30,0))</f>
        <v>0.15559385977157261</v>
      </c>
      <c r="GV10">
        <f>INDEX($GR$24:$HC$24,MATCH(5,$GR$30:$HC$30,0))</f>
        <v>0.1039186940713447</v>
      </c>
      <c r="GW10">
        <f>INDEX($GR$24:$HC$24,MATCH(6,$GR$30:$HC$30,0))</f>
        <v>0.1050770604063041</v>
      </c>
      <c r="GX10">
        <f>INDEX($GR$24:$HC$24,MATCH(7,$GR$30:$HC$30,0))</f>
        <v>6.6995994148438556E-2</v>
      </c>
      <c r="GY10">
        <f>INDEX($GR$24:$HC$24,MATCH(8,$GR$30:$HC$30,0))</f>
        <v>2.6540422414893201E-2</v>
      </c>
      <c r="GZ10">
        <f>INDEX($GR$24:$HC$24,MATCH(9,$GR$30:$HC$30,0))</f>
        <v>1.475924380140806E-2</v>
      </c>
      <c r="HA10">
        <f>INDEX($GR$24:$HC$24,MATCH(10,$GR$30:$HC$30,0))</f>
        <v>4.9443503102827326E-4</v>
      </c>
      <c r="HB10">
        <f>INDEX($GR$24:$HC$24,MATCH(11,$GR$30:$HC$30,0))</f>
        <v>3.9285274530436428E-3</v>
      </c>
      <c r="HC10">
        <f>INDEX($GR$24:$HC$24,MATCH(12,$GR$30:$HC$30,0))</f>
        <v>3.5631620903681899E-3</v>
      </c>
    </row>
    <row r="11" spans="1:211" x14ac:dyDescent="0.45">
      <c r="A11" s="1" t="s">
        <v>10</v>
      </c>
      <c r="B11">
        <f>INDEX($B$25:$GQ$25,MATCH(1,$B$29:$GQ$29,0))</f>
        <v>0.1911528122010209</v>
      </c>
      <c r="C11">
        <f>INDEX($B$25:$GQ$25,MATCH(2,$B$29:$GQ$29,0))</f>
        <v>0.1614629310009589</v>
      </c>
      <c r="D11">
        <f>INDEX($B$25:$GQ$25,MATCH(3,$B$29:$GQ$29,0))</f>
        <v>0.1069104423826787</v>
      </c>
      <c r="E11">
        <f>INDEX($B$25:$GQ$25,MATCH(4,$B$29:$GQ$29,0))</f>
        <v>9.5304453679209769E-2</v>
      </c>
      <c r="F11">
        <f>INDEX($B$25:$GQ$25,MATCH(5,$B$29:$GQ$29,0))</f>
        <v>8.8812450910648322E-2</v>
      </c>
      <c r="G11">
        <f>INDEX($B$25:$GQ$25,MATCH(6,$B$29:$GQ$29,0))</f>
        <v>2.9781207520124611E-2</v>
      </c>
      <c r="H11">
        <f>INDEX($B$25:$GQ$25,MATCH(7,$B$29:$GQ$29,0))</f>
        <v>6.2466419828696773E-2</v>
      </c>
      <c r="I11">
        <f>INDEX($B$25:$GQ$25,MATCH(8,$B$29:$GQ$29,0))</f>
        <v>5.3811715568211682E-2</v>
      </c>
      <c r="J11">
        <f>INDEX($B$25:$GQ$25,MATCH(9,$B$29:$GQ$29,0))</f>
        <v>4.6991669189890672E-2</v>
      </c>
      <c r="K11">
        <f>INDEX($B$25:$GQ$25,MATCH(10,$B$29:$GQ$29,0))</f>
        <v>3.4957335361189897E-2</v>
      </c>
      <c r="L11">
        <f>INDEX($B$25:$GQ$25,MATCH(11,$B$29:$GQ$29,0))</f>
        <v>3.7898989417322122E-2</v>
      </c>
      <c r="M11">
        <f>INDEX($B$25:$GQ$25,MATCH(12,$B$29:$GQ$29,0))</f>
        <v>2.6732770680446109E-2</v>
      </c>
      <c r="N11">
        <f>INDEX($B$25:$GQ$25,MATCH(13,$B$29:$GQ$29,0))</f>
        <v>3.0583520739028081E-2</v>
      </c>
      <c r="O11">
        <f>INDEX($B$25:$GQ$25,MATCH(14,$B$29:$GQ$29,0))</f>
        <v>3.2973556758277019E-2</v>
      </c>
      <c r="P11">
        <f>INDEX($B$25:$GQ$25,MATCH(15,$B$29:$GQ$29,0))</f>
        <v>3.0202581129488509E-2</v>
      </c>
      <c r="Q11">
        <f>INDEX($B$25:$GQ$25,MATCH(16,$B$29:$GQ$29,0))</f>
        <v>3.101293331005903E-2</v>
      </c>
      <c r="R11">
        <f>INDEX($B$25:$GQ$25,MATCH(17,$B$29:$GQ$29,0))</f>
        <v>2.5468650862756161E-2</v>
      </c>
      <c r="S11">
        <f>INDEX($B$25:$GQ$25,MATCH(18,$B$29:$GQ$29,0))</f>
        <v>2.8355741567771889E-2</v>
      </c>
      <c r="T11">
        <f>INDEX($B$25:$GQ$25,MATCH(19,$B$29:$GQ$29,0))</f>
        <v>1.726443667474286E-2</v>
      </c>
      <c r="U11">
        <f>INDEX($B$25:$GQ$25,MATCH(20,$B$29:$GQ$29,0))</f>
        <v>1.426692460019583E-4</v>
      </c>
      <c r="V11">
        <f>INDEX($B$25:$GQ$25,MATCH(21,$B$29:$GQ$29,0))</f>
        <v>9.2810043031975667E-4</v>
      </c>
      <c r="W11">
        <f>INDEX($B$25:$GQ$25,MATCH(22,$B$29:$GQ$29,0))</f>
        <v>1.464090608724131E-2</v>
      </c>
      <c r="X11">
        <f>INDEX($B$25:$GQ$25,MATCH(23,$B$29:$GQ$29,0))</f>
        <v>5.8126494373432931E-3</v>
      </c>
      <c r="Y11">
        <f>INDEX($B$25:$GQ$25,MATCH(24,$B$29:$GQ$29,0))</f>
        <v>1.1371208568946439E-3</v>
      </c>
      <c r="Z11">
        <f>INDEX($B$25:$GQ$25,MATCH(25,$B$29:$GQ$29,0))</f>
        <v>4.4481244485986091E-3</v>
      </c>
      <c r="AA11">
        <f>INDEX($B$25:$GQ$25,MATCH(26,$B$29:$GQ$29,0))</f>
        <v>1.674642785086348E-3</v>
      </c>
      <c r="AB11">
        <f>INDEX($B$25:$GQ$25,MATCH(27,$B$29:$GQ$29,0))</f>
        <v>9.0649019367153531E-3</v>
      </c>
      <c r="AC11">
        <f>INDEX($B$25:$GQ$25,MATCH(28,$B$29:$GQ$29,0))</f>
        <v>3.9561107661506157E-3</v>
      </c>
      <c r="AD11">
        <f>INDEX($B$25:$GQ$25,MATCH(29,$B$29:$GQ$29,0))</f>
        <v>3.6973253224776171E-3</v>
      </c>
      <c r="AE11">
        <f>INDEX($B$25:$GQ$25,MATCH(30,$B$29:$GQ$29,0))</f>
        <v>3.473701360283262E-3</v>
      </c>
      <c r="AF11">
        <f>INDEX($B$25:$GQ$25,MATCH(31,$B$29:$GQ$29,0))</f>
        <v>5.414085368720554E-3</v>
      </c>
      <c r="AG11">
        <f>INDEX($B$25:$GQ$25,MATCH(32,$B$29:$GQ$29,0))</f>
        <v>5.6616376576145702E-3</v>
      </c>
      <c r="AH11">
        <f>INDEX($B$25:$GQ$25,MATCH(33,$B$29:$GQ$29,0))</f>
        <v>5.0990634079872126E-3</v>
      </c>
      <c r="AI11">
        <f>INDEX($B$25:$GQ$25,MATCH(34,$B$29:$GQ$29,0))</f>
        <v>5.477892224166535E-3</v>
      </c>
      <c r="AJ11">
        <f>INDEX($B$25:$GQ$25,MATCH(35,$B$29:$GQ$29,0))</f>
        <v>5.3279456011648286E-3</v>
      </c>
      <c r="AK11">
        <f>INDEX($B$25:$GQ$25,MATCH(36,$B$29:$GQ$29,0))</f>
        <v>3.5925008307024658E-3</v>
      </c>
      <c r="AL11">
        <f>INDEX($B$25:$GQ$25,MATCH(37,$B$29:$GQ$29,0))</f>
        <v>2.5565081039337291E-3</v>
      </c>
      <c r="AM11">
        <f>INDEX($B$25:$GQ$25,MATCH(38,$B$29:$GQ$29,0))</f>
        <v>0</v>
      </c>
      <c r="AN11">
        <f>INDEX($B$25:$GQ$25,MATCH(39,$B$29:$GQ$29,0))</f>
        <v>3.255486912122566E-3</v>
      </c>
      <c r="AO11">
        <f>INDEX($B$25:$GQ$25,MATCH(40,$B$29:$GQ$29,0))</f>
        <v>2.6939042625626791E-3</v>
      </c>
      <c r="AP11">
        <f>INDEX($B$25:$GQ$25,MATCH(41,$B$29:$GQ$29,0))</f>
        <v>3.0808468625264668E-3</v>
      </c>
      <c r="AQ11">
        <f>INDEX($B$25:$GQ$25,MATCH(42,$B$29:$GQ$29,0))</f>
        <v>1.8165555503609431E-3</v>
      </c>
      <c r="AR11">
        <f>INDEX($B$25:$GQ$25,MATCH(43,$B$29:$GQ$29,0))</f>
        <v>2.8545127083081999E-3</v>
      </c>
      <c r="AS11">
        <f>INDEX($B$25:$GQ$25,MATCH(44,$B$29:$GQ$29,0))</f>
        <v>7.3371856682683738E-4</v>
      </c>
      <c r="AT11">
        <f>INDEX($B$25:$GQ$25,MATCH(45,$B$29:$GQ$29,0))</f>
        <v>8.61032484816601E-4</v>
      </c>
      <c r="AU11">
        <f>INDEX($B$25:$GQ$25,MATCH(46,$B$29:$GQ$29,0))</f>
        <v>2.2131892342116609E-3</v>
      </c>
      <c r="AV11">
        <f>INDEX($B$25:$GQ$25,MATCH(47,$B$29:$GQ$29,0))</f>
        <v>2.307195827198745E-3</v>
      </c>
      <c r="AW11">
        <f>INDEX($B$25:$GQ$25,MATCH(48,$B$29:$GQ$29,0))</f>
        <v>1.927137757842885E-3</v>
      </c>
      <c r="AX11">
        <f>INDEX($B$25:$GQ$25,MATCH(49,$B$29:$GQ$29,0))</f>
        <v>1.9787732825546909E-4</v>
      </c>
      <c r="AY11">
        <f>INDEX($B$25:$GQ$25,MATCH(50,$B$29:$GQ$29,0))</f>
        <v>1.689788958642749E-3</v>
      </c>
      <c r="AZ11">
        <f>INDEX($B$25:$GQ$25,MATCH(51,$B$29:$GQ$29,0))</f>
        <v>1.5952872768540179E-3</v>
      </c>
      <c r="BA11">
        <f>INDEX($B$25:$GQ$25,MATCH(52,$B$29:$GQ$29,0))</f>
        <v>8.141525361046668E-4</v>
      </c>
      <c r="BB11">
        <f>INDEX($B$25:$GQ$25,MATCH(53,$B$29:$GQ$29,0))</f>
        <v>1.532765738159641E-3</v>
      </c>
      <c r="BC11">
        <f>INDEX($B$25:$GQ$25,MATCH(54,$B$29:$GQ$29,0))</f>
        <v>0</v>
      </c>
      <c r="BD11">
        <f>INDEX($B$25:$GQ$25,MATCH(55,$B$29:$GQ$29,0))</f>
        <v>1.4285121585812591E-3</v>
      </c>
      <c r="BE11">
        <f>INDEX($B$25:$GQ$25,MATCH(56,$B$29:$GQ$29,0))</f>
        <v>9.7424584364621289E-4</v>
      </c>
      <c r="BF11">
        <f>INDEX($B$25:$GQ$25,MATCH(57,$B$29:$GQ$29,0))</f>
        <v>6.1239349957071057E-4</v>
      </c>
      <c r="BG11">
        <f>INDEX($B$25:$GQ$25,MATCH(58,$B$29:$GQ$29,0))</f>
        <v>7.8055395409537109E-4</v>
      </c>
      <c r="BH11">
        <f>INDEX($B$25:$GQ$25,MATCH(59,$B$29:$GQ$29,0))</f>
        <v>7.0012042952691516E-4</v>
      </c>
      <c r="BI11">
        <f>INDEX($B$25:$GQ$25,MATCH(60,$B$29:$GQ$29,0))</f>
        <v>3.6671236056536022E-4</v>
      </c>
      <c r="BJ11">
        <f>INDEX($B$25:$GQ$25,MATCH(61,$B$29:$GQ$29,0))</f>
        <v>1.0325843243545829E-3</v>
      </c>
      <c r="BK11">
        <f>INDEX($B$25:$GQ$25,MATCH(62,$B$29:$GQ$29,0))</f>
        <v>9.0830655888728281E-4</v>
      </c>
      <c r="BL11">
        <f>INDEX($B$25:$GQ$25,MATCH(63,$B$29:$GQ$29,0))</f>
        <v>1.102451853097143E-4</v>
      </c>
      <c r="BM11">
        <f>INDEX($B$25:$GQ$25,MATCH(64,$B$29:$GQ$29,0))</f>
        <v>2.7244457640862178E-4</v>
      </c>
      <c r="BN11">
        <f>INDEX($B$25:$GQ$25,MATCH(65,$B$29:$GQ$29,0))</f>
        <v>4.2146546916713872E-4</v>
      </c>
      <c r="BO11">
        <f>INDEX($B$25:$GQ$25,MATCH(66,$B$29:$GQ$29,0))</f>
        <v>1.8664504586017179E-4</v>
      </c>
      <c r="BP11">
        <f>INDEX($B$25:$GQ$25,MATCH(67,$B$29:$GQ$29,0))</f>
        <v>3.2617552854217492E-4</v>
      </c>
      <c r="BQ11">
        <f>INDEX($B$25:$GQ$25,MATCH(68,$B$29:$GQ$29,0))</f>
        <v>7.6151035606558215E-4</v>
      </c>
      <c r="BR11">
        <f>INDEX($B$25:$GQ$25,MATCH(69,$B$29:$GQ$29,0))</f>
        <v>7.2944945378628705E-4</v>
      </c>
      <c r="BS11">
        <f>INDEX($B$25:$GQ$25,MATCH(70,$B$29:$GQ$29,0))</f>
        <v>7.2551902137129969E-4</v>
      </c>
      <c r="BT11">
        <f>INDEX($B$25:$GQ$25,MATCH(71,$B$29:$GQ$29,0))</f>
        <v>7.1209714633580249E-4</v>
      </c>
      <c r="BU11">
        <f>INDEX($B$25:$GQ$25,MATCH(72,$B$29:$GQ$29,0))</f>
        <v>6.8119712617220086E-4</v>
      </c>
      <c r="BV11">
        <f>INDEX($B$25:$GQ$25,MATCH(73,$B$29:$GQ$29,0))</f>
        <v>1.5606337985856009E-4</v>
      </c>
      <c r="BW11">
        <f>INDEX($B$25:$GQ$25,MATCH(74,$B$29:$GQ$29,0))</f>
        <v>1.227913584979732E-5</v>
      </c>
      <c r="BX11">
        <f>INDEX($B$25:$GQ$25,MATCH(75,$B$29:$GQ$29,0))</f>
        <v>2.3019597042471309E-4</v>
      </c>
      <c r="BY11">
        <f>INDEX($B$25:$GQ$25,MATCH(76,$B$29:$GQ$29,0))</f>
        <v>7.7405697538496604E-6</v>
      </c>
      <c r="BZ11">
        <f>INDEX($B$25:$GQ$25,MATCH(77,$B$29:$GQ$29,0))</f>
        <v>2.356780597253792E-4</v>
      </c>
      <c r="CA11">
        <f>INDEX($B$25:$GQ$25,MATCH(78,$B$29:$GQ$29,0))</f>
        <v>1.9833273928999059E-4</v>
      </c>
      <c r="CB11">
        <f>INDEX($B$25:$GQ$25,MATCH(79,$B$29:$GQ$29,0))</f>
        <v>4.3187594892391517E-5</v>
      </c>
      <c r="CC11">
        <f>INDEX($B$25:$GQ$25,MATCH(80,$B$29:$GQ$29,0))</f>
        <v>1.8201555284367191E-4</v>
      </c>
      <c r="CD11">
        <f>INDEX($B$25:$GQ$25,MATCH(81,$B$29:$GQ$29,0))</f>
        <v>1.6893888387807651E-4</v>
      </c>
      <c r="CE11">
        <f>INDEX($B$25:$GQ$25,MATCH(82,$B$29:$GQ$29,0))</f>
        <v>1.6695985938731831E-4</v>
      </c>
      <c r="CF11">
        <f>INDEX($B$25:$GQ$25,MATCH(83,$B$29:$GQ$29,0))</f>
        <v>6.464771694162722E-5</v>
      </c>
      <c r="CG11">
        <f>INDEX($B$25:$GQ$25,MATCH(84,$B$29:$GQ$29,0))</f>
        <v>1.376637513425172E-4</v>
      </c>
      <c r="CH11">
        <f>INDEX($B$25:$GQ$25,MATCH(85,$B$29:$GQ$29,0))</f>
        <v>5.6618254277214701E-5</v>
      </c>
      <c r="CI11">
        <f>INDEX($B$25:$GQ$25,MATCH(86,$B$29:$GQ$29,0))</f>
        <v>1.3272008382299411E-4</v>
      </c>
      <c r="CJ11">
        <f>INDEX($B$25:$GQ$25,MATCH(87,$B$29:$GQ$29,0))</f>
        <v>9.611603543390341E-5</v>
      </c>
      <c r="CK11">
        <f>INDEX($B$25:$GQ$25,MATCH(88,$B$29:$GQ$29,0))</f>
        <v>1.2307599986672289E-4</v>
      </c>
      <c r="CL11">
        <f>INDEX($B$25:$GQ$25,MATCH(89,$B$29:$GQ$29,0))</f>
        <v>1.114319397523482E-4</v>
      </c>
      <c r="CM11">
        <f>INDEX($B$25:$GQ$25,MATCH(90,$B$29:$GQ$29,0))</f>
        <v>1.1092866540003149E-4</v>
      </c>
      <c r="CN11">
        <f>INDEX($B$25:$GQ$25,MATCH(91,$B$29:$GQ$29,0))</f>
        <v>1.053575444431011E-4</v>
      </c>
      <c r="CO11">
        <f>INDEX($B$25:$GQ$25,MATCH(92,$B$29:$GQ$29,0))</f>
        <v>8.400421776518367E-5</v>
      </c>
      <c r="CP11">
        <f>INDEX($B$25:$GQ$25,MATCH(93,$B$29:$GQ$29,0))</f>
        <v>8.1874269117937525E-5</v>
      </c>
      <c r="CQ11">
        <f>INDEX($B$25:$GQ$25,MATCH(94,$B$29:$GQ$29,0))</f>
        <v>7.8150043888709089E-5</v>
      </c>
      <c r="CR11">
        <f>INDEX($B$25:$GQ$25,MATCH(95,$B$29:$GQ$29,0))</f>
        <v>7.3618027773856198E-5</v>
      </c>
      <c r="CS11">
        <f>INDEX($B$25:$GQ$25,MATCH(96,$B$29:$GQ$29,0))</f>
        <v>6.9772338850595798E-5</v>
      </c>
      <c r="CT11">
        <f>INDEX($B$25:$GQ$25,MATCH(97,$B$29:$GQ$29,0))</f>
        <v>6.5761977197211004E-5</v>
      </c>
      <c r="CU11">
        <f>INDEX($B$25:$GQ$25,MATCH(98,$B$29:$GQ$29,0))</f>
        <v>5.0098992332528737E-5</v>
      </c>
      <c r="CV11">
        <f>INDEX($B$25:$GQ$25,MATCH(99,$B$29:$GQ$29,0))</f>
        <v>4.9783453042973343E-5</v>
      </c>
      <c r="CW11">
        <f>INDEX($B$25:$GQ$25,MATCH(100,$B$29:$GQ$29,0))</f>
        <v>4.2974414497512213E-5</v>
      </c>
      <c r="CX11">
        <f>INDEX($B$25:$GQ$25,MATCH(101,$B$29:$GQ$29,0))</f>
        <v>3.7439696238887627E-5</v>
      </c>
      <c r="CY11">
        <f>INDEX($B$25:$GQ$25,MATCH(102,$B$29:$GQ$29,0))</f>
        <v>3.3951529662351211E-5</v>
      </c>
      <c r="CZ11">
        <f>INDEX($B$25:$GQ$25,MATCH(103,$B$29:$GQ$29,0))</f>
        <v>3.1486728243041042E-5</v>
      </c>
      <c r="DA11">
        <f>INDEX($B$25:$GQ$25,MATCH(104,$B$29:$GQ$29,0))</f>
        <v>6.1067969985752099E-6</v>
      </c>
      <c r="DB11">
        <f>INDEX($B$25:$GQ$25,MATCH(105,$B$29:$GQ$29,0))</f>
        <v>2.782827137344448E-5</v>
      </c>
      <c r="DC11">
        <f>INDEX($B$25:$GQ$25,MATCH(106,$B$29:$GQ$29,0))</f>
        <v>2.3393032658530859E-5</v>
      </c>
      <c r="DD11">
        <f>INDEX($B$25:$GQ$25,MATCH(107,$B$29:$GQ$29,0))</f>
        <v>2.3090684935776639E-5</v>
      </c>
      <c r="DE11">
        <f>INDEX($B$25:$GQ$25,MATCH(108,$B$29:$GQ$29,0))</f>
        <v>0</v>
      </c>
      <c r="DF11">
        <f>INDEX($B$25:$GQ$25,MATCH(109,$B$29:$GQ$29,0))</f>
        <v>1.5450456013291299E-5</v>
      </c>
      <c r="DG11">
        <f>INDEX($B$25:$GQ$25,MATCH(110,$B$29:$GQ$29,0))</f>
        <v>1.1981629510200711E-5</v>
      </c>
      <c r="DH11">
        <f>INDEX($B$25:$GQ$25,MATCH(111,$B$29:$GQ$29,0))</f>
        <v>9.123962013767879E-6</v>
      </c>
      <c r="DI11">
        <f>INDEX($B$25:$GQ$25,MATCH(112,$B$29:$GQ$29,0))</f>
        <v>8.4178394280136656E-6</v>
      </c>
      <c r="DJ11">
        <f>INDEX($B$25:$GQ$25,MATCH(113,$B$29:$GQ$29,0))</f>
        <v>8.0081891043328671E-6</v>
      </c>
      <c r="DK11">
        <f>INDEX($B$25:$GQ$25,MATCH(114,$B$29:$GQ$29,0))</f>
        <v>9.1040473434812135E-7</v>
      </c>
      <c r="DL11">
        <f>INDEX($B$25:$GQ$25,MATCH(115,$B$29:$GQ$29,0))</f>
        <v>0</v>
      </c>
      <c r="DM11">
        <f>INDEX($B$25:$GQ$25,MATCH(116,$B$29:$GQ$29,0))</f>
        <v>2.79104021552135E-6</v>
      </c>
      <c r="DN11">
        <f>INDEX($B$25:$GQ$25,MATCH(117,$B$29:$GQ$29,0))</f>
        <v>0</v>
      </c>
      <c r="DO11">
        <f>INDEX($B$25:$GQ$25,MATCH(118,$B$29:$GQ$29,0))</f>
        <v>2.7108459671863171E-6</v>
      </c>
      <c r="DP11">
        <f>INDEX($B$25:$GQ$25,MATCH(119,$B$29:$GQ$29,0))</f>
        <v>2.0813653398583119E-6</v>
      </c>
      <c r="DQ11">
        <f>INDEX($B$25:$GQ$25,MATCH(120,$B$29:$GQ$29,0))</f>
        <v>1.8071168428962921E-7</v>
      </c>
      <c r="DR11">
        <f>INDEX($B$25:$GQ$25,MATCH(121,$B$29:$GQ$29,0))</f>
        <v>1.653903311083098E-6</v>
      </c>
      <c r="DS11">
        <f>INDEX($B$25:$GQ$25,MATCH(122,$B$29:$GQ$29,0))</f>
        <v>1.603105992187516E-6</v>
      </c>
      <c r="DT11">
        <f>INDEX($B$25:$GQ$25,MATCH(123,$B$29:$GQ$29,0))</f>
        <v>0</v>
      </c>
      <c r="DU11">
        <f>INDEX($B$25:$GQ$25,MATCH(124,$B$29:$GQ$29,0))</f>
        <v>1.109774661360639E-7</v>
      </c>
      <c r="DV11">
        <f>INDEX($B$25:$GQ$25,MATCH(125,$B$29:$GQ$29,0))</f>
        <v>7.6029925016574209E-7</v>
      </c>
      <c r="DW11">
        <f>INDEX($B$25:$GQ$25,MATCH(126,$B$29:$GQ$29,0))</f>
        <v>0</v>
      </c>
      <c r="DX11">
        <f>INDEX($B$25:$GQ$25,MATCH(127,$B$29:$GQ$29,0))</f>
        <v>0</v>
      </c>
      <c r="DY11">
        <f>INDEX($B$25:$GQ$25,MATCH(128,$B$29:$GQ$29,0))</f>
        <v>6.1713748533302788E-8</v>
      </c>
      <c r="DZ11">
        <f>INDEX($B$25:$GQ$25,MATCH(129,$B$29:$GQ$29,0))</f>
        <v>1.1815668260136451E-8</v>
      </c>
      <c r="EA11">
        <f>INDEX($B$25:$GQ$25,MATCH(130,$B$29:$GQ$29,0))</f>
        <v>3.3935440607945729E-8</v>
      </c>
      <c r="EB11">
        <f>INDEX($B$25:$GQ$25,MATCH(131,$B$29:$GQ$29,0))</f>
        <v>0</v>
      </c>
      <c r="EC11">
        <f>INDEX($B$25:$GQ$25,MATCH(132,$B$29:$GQ$29,0))</f>
        <v>8.2306371073062923E-10</v>
      </c>
      <c r="ED11">
        <f>INDEX($B$25:$GQ$25,MATCH(133,$B$29:$GQ$29,0))</f>
        <v>3.2946083095806772E-10</v>
      </c>
      <c r="EE11">
        <f>INDEX($B$25:$GQ$25,MATCH(134,$B$29:$GQ$29,0))</f>
        <v>0</v>
      </c>
      <c r="EF11">
        <f>INDEX($B$25:$GQ$25,MATCH(135,$B$29:$GQ$29,0))</f>
        <v>0</v>
      </c>
      <c r="EG11">
        <f>INDEX($B$25:$GQ$25,MATCH(136,$B$29:$GQ$29,0))</f>
        <v>0</v>
      </c>
      <c r="EH11">
        <f>INDEX($B$25:$GQ$25,MATCH(137,$B$29:$GQ$29,0))</f>
        <v>0</v>
      </c>
      <c r="EI11">
        <f>INDEX($B$25:$GQ$25,MATCH(138,$B$29:$GQ$29,0))</f>
        <v>0</v>
      </c>
      <c r="EJ11">
        <f>INDEX($B$25:$GQ$25,MATCH(139,$B$29:$GQ$29,0))</f>
        <v>0</v>
      </c>
      <c r="EK11">
        <f>INDEX($B$25:$GQ$25,MATCH(140,$B$29:$GQ$29,0))</f>
        <v>0</v>
      </c>
      <c r="EL11">
        <f>INDEX($B$25:$GQ$25,MATCH(141,$B$29:$GQ$29,0))</f>
        <v>0</v>
      </c>
      <c r="EM11">
        <f>INDEX($B$25:$GQ$25,MATCH(142,$B$29:$GQ$29,0))</f>
        <v>0</v>
      </c>
      <c r="EN11">
        <f>INDEX($B$25:$GQ$25,MATCH(143,$B$29:$GQ$29,0))</f>
        <v>0</v>
      </c>
      <c r="EO11">
        <f>INDEX($B$25:$GQ$25,MATCH(144,$B$29:$GQ$29,0))</f>
        <v>0</v>
      </c>
      <c r="EP11">
        <f>INDEX($B$25:$GQ$25,MATCH(145,$B$29:$GQ$29,0))</f>
        <v>0</v>
      </c>
      <c r="EQ11">
        <f>INDEX($B$25:$GQ$25,MATCH(146,$B$29:$GQ$29,0))</f>
        <v>0</v>
      </c>
      <c r="ER11">
        <f>INDEX($B$25:$GQ$25,MATCH(147,$B$29:$GQ$29,0))</f>
        <v>0</v>
      </c>
      <c r="ES11">
        <f>INDEX($B$25:$GQ$25,MATCH(148,$B$29:$GQ$29,0))</f>
        <v>0</v>
      </c>
      <c r="ET11">
        <f>INDEX($B$25:$GQ$25,MATCH(149,$B$29:$GQ$29,0))</f>
        <v>0</v>
      </c>
      <c r="EU11">
        <f>INDEX($B$25:$GQ$25,MATCH(150,$B$29:$GQ$29,0))</f>
        <v>0</v>
      </c>
      <c r="EV11">
        <f>INDEX($B$25:$GQ$25,MATCH(151,$B$29:$GQ$29,0))</f>
        <v>0</v>
      </c>
      <c r="EW11">
        <f>INDEX($B$25:$GQ$25,MATCH(152,$B$29:$GQ$29,0))</f>
        <v>0</v>
      </c>
      <c r="EX11">
        <f>INDEX($B$25:$GQ$25,MATCH(153,$B$29:$GQ$29,0))</f>
        <v>0</v>
      </c>
      <c r="EY11">
        <f>INDEX($B$25:$GQ$25,MATCH(154,$B$29:$GQ$29,0))</f>
        <v>0</v>
      </c>
      <c r="EZ11">
        <f>INDEX($B$25:$GQ$25,MATCH(155,$B$29:$GQ$29,0))</f>
        <v>0</v>
      </c>
      <c r="FA11">
        <f>INDEX($B$25:$GQ$25,MATCH(156,$B$29:$GQ$29,0))</f>
        <v>0</v>
      </c>
      <c r="FB11">
        <f>INDEX($B$25:$GQ$25,MATCH(157,$B$29:$GQ$29,0))</f>
        <v>0</v>
      </c>
      <c r="FC11">
        <f>INDEX($B$25:$GQ$25,MATCH(158,$B$29:$GQ$29,0))</f>
        <v>0</v>
      </c>
      <c r="FD11">
        <f>INDEX($B$25:$GQ$25,MATCH(159,$B$29:$GQ$29,0))</f>
        <v>0</v>
      </c>
      <c r="FE11">
        <f>INDEX($B$25:$GQ$25,MATCH(160,$B$29:$GQ$29,0))</f>
        <v>0</v>
      </c>
      <c r="FF11">
        <f>INDEX($B$25:$GQ$25,MATCH(161,$B$29:$GQ$29,0))</f>
        <v>0</v>
      </c>
      <c r="FG11">
        <f>INDEX($B$25:$GQ$25,MATCH(162,$B$29:$GQ$29,0))</f>
        <v>0</v>
      </c>
      <c r="FH11">
        <f>INDEX($B$25:$GQ$25,MATCH(163,$B$29:$GQ$29,0))</f>
        <v>0</v>
      </c>
      <c r="FI11">
        <f>INDEX($B$25:$GQ$25,MATCH(164,$B$29:$GQ$29,0))</f>
        <v>0</v>
      </c>
      <c r="FJ11">
        <f>INDEX($B$25:$GQ$25,MATCH(165,$B$29:$GQ$29,0))</f>
        <v>0</v>
      </c>
      <c r="FK11">
        <f>INDEX($B$25:$GQ$25,MATCH(166,$B$29:$GQ$29,0))</f>
        <v>0</v>
      </c>
      <c r="FL11">
        <f>INDEX($B$25:$GQ$25,MATCH(167,$B$29:$GQ$29,0))</f>
        <v>0</v>
      </c>
      <c r="FM11">
        <f>INDEX($B$25:$GQ$25,MATCH(168,$B$29:$GQ$29,0))</f>
        <v>0</v>
      </c>
      <c r="FN11">
        <f>INDEX($B$25:$GQ$25,MATCH(169,$B$29:$GQ$29,0))</f>
        <v>0</v>
      </c>
      <c r="FO11">
        <f>INDEX($B$25:$GQ$25,MATCH(170,$B$29:$GQ$29,0))</f>
        <v>0</v>
      </c>
      <c r="FP11">
        <f>INDEX($B$25:$GQ$25,MATCH(171,$B$29:$GQ$29,0))</f>
        <v>0</v>
      </c>
      <c r="FQ11">
        <f>INDEX($B$25:$GQ$25,MATCH(172,$B$29:$GQ$29,0))</f>
        <v>0</v>
      </c>
      <c r="FR11">
        <f>INDEX($B$25:$GQ$25,MATCH(173,$B$29:$GQ$29,0))</f>
        <v>0</v>
      </c>
      <c r="FS11">
        <f>INDEX($B$25:$GQ$25,MATCH(174,$B$29:$GQ$29,0))</f>
        <v>0</v>
      </c>
      <c r="FT11">
        <f>INDEX($B$25:$GQ$25,MATCH(175,$B$29:$GQ$29,0))</f>
        <v>0</v>
      </c>
      <c r="FU11">
        <f>INDEX($B$25:$GQ$25,MATCH(176,$B$29:$GQ$29,0))</f>
        <v>0</v>
      </c>
      <c r="FV11">
        <f>INDEX($B$25:$GQ$25,MATCH(177,$B$29:$GQ$29,0))</f>
        <v>0</v>
      </c>
      <c r="FW11">
        <f>INDEX($B$25:$GQ$25,MATCH(178,$B$29:$GQ$29,0))</f>
        <v>0</v>
      </c>
      <c r="FX11">
        <f>INDEX($B$25:$GQ$25,MATCH(179,$B$29:$GQ$29,0))</f>
        <v>0</v>
      </c>
      <c r="FY11">
        <f>INDEX($B$25:$GQ$25,MATCH(180,$B$29:$GQ$29,0))</f>
        <v>0</v>
      </c>
      <c r="FZ11">
        <f>INDEX($B$25:$GQ$25,MATCH(181,$B$29:$GQ$29,0))</f>
        <v>0</v>
      </c>
      <c r="GA11">
        <f>INDEX($B$25:$GQ$25,MATCH(182,$B$29:$GQ$29,0))</f>
        <v>0</v>
      </c>
      <c r="GB11">
        <f>INDEX($B$25:$GQ$25,MATCH(183,$B$29:$GQ$29,0))</f>
        <v>0</v>
      </c>
      <c r="GC11">
        <f>INDEX($B$25:$GQ$25,MATCH(184,$B$29:$GQ$29,0))</f>
        <v>0</v>
      </c>
      <c r="GD11">
        <f>INDEX($B$25:$GQ$25,MATCH(185,$B$29:$GQ$29,0))</f>
        <v>0</v>
      </c>
      <c r="GE11">
        <f>INDEX($B$25:$GQ$25,MATCH(186,$B$29:$GQ$29,0))</f>
        <v>0</v>
      </c>
      <c r="GF11">
        <f>INDEX($B$25:$GQ$25,MATCH(187,$B$29:$GQ$29,0))</f>
        <v>0</v>
      </c>
      <c r="GG11">
        <f>INDEX($B$25:$GQ$25,MATCH(188,$B$29:$GQ$29,0))</f>
        <v>0</v>
      </c>
      <c r="GH11">
        <f>INDEX($B$25:$GQ$25,MATCH(189,$B$29:$GQ$29,0))</f>
        <v>0</v>
      </c>
      <c r="GI11">
        <f>INDEX($B$25:$GQ$25,MATCH(190,$B$29:$GQ$29,0))</f>
        <v>0</v>
      </c>
      <c r="GJ11">
        <f>INDEX($B$25:$GQ$25,MATCH(191,$B$29:$GQ$29,0))</f>
        <v>0</v>
      </c>
      <c r="GK11">
        <f>INDEX($B$25:$GQ$25,MATCH(192,$B$29:$GQ$29,0))</f>
        <v>0</v>
      </c>
      <c r="GL11">
        <f>INDEX($B$25:$GQ$25,MATCH(193,$B$29:$GQ$29,0))</f>
        <v>0</v>
      </c>
      <c r="GM11">
        <f>INDEX($B$25:$GQ$25,MATCH(194,$B$29:$GQ$29,0))</f>
        <v>0</v>
      </c>
      <c r="GN11">
        <f>INDEX($B$25:$GQ$25,MATCH(195,$B$29:$GQ$29,0))</f>
        <v>0</v>
      </c>
      <c r="GO11">
        <f>INDEX($B$25:$GQ$25,MATCH(196,$B$29:$GQ$29,0))</f>
        <v>0</v>
      </c>
      <c r="GP11">
        <f>INDEX($B$25:$GQ$25,MATCH(197,$B$29:$GQ$29,0))</f>
        <v>0</v>
      </c>
      <c r="GQ11">
        <f>INDEX($B$25:$GQ$25,MATCH(198,$B$29:$GQ$29,0))</f>
        <v>0</v>
      </c>
      <c r="GR11">
        <f>INDEX($GR$25:$HC$25,MATCH(1,$GR$30:$HC$30,0))</f>
        <v>0.28899371007155378</v>
      </c>
      <c r="GS11">
        <f>INDEX($GR$25:$HC$25,MATCH(2,$GR$30:$HC$30,0))</f>
        <v>0.23923693070067631</v>
      </c>
      <c r="GT11">
        <f>INDEX($GR$25:$HC$25,MATCH(3,$GR$30:$HC$30,0))</f>
        <v>0.17924308359239649</v>
      </c>
      <c r="GU11">
        <f>INDEX($GR$25:$HC$25,MATCH(4,$GR$30:$HC$30,0))</f>
        <v>0.1614629310009589</v>
      </c>
      <c r="GV11">
        <f>INDEX($GR$25:$HC$25,MATCH(5,$GR$30:$HC$30,0))</f>
        <v>0.11146880018997291</v>
      </c>
      <c r="GW11">
        <f>INDEX($GR$25:$HC$25,MATCH(6,$GR$30:$HC$30,0))</f>
        <v>0.1122383879838435</v>
      </c>
      <c r="GX11">
        <f>INDEX($GR$25:$HC$25,MATCH(7,$GR$30:$HC$30,0))</f>
        <v>8.8812450910648322E-2</v>
      </c>
      <c r="GY11">
        <f>INDEX($GR$25:$HC$25,MATCH(8,$GR$30:$HC$30,0))</f>
        <v>2.9891452705434321E-2</v>
      </c>
      <c r="GZ11">
        <f>INDEX($GR$25:$HC$25,MATCH(9,$GR$30:$HC$30,0))</f>
        <v>5.5945984643102617E-2</v>
      </c>
      <c r="HA11">
        <f>INDEX($GR$25:$HC$25,MATCH(10,$GR$30:$HC$30,0))</f>
        <v>2.2078905332163592E-3</v>
      </c>
      <c r="HB11">
        <f>INDEX($GR$25:$HC$25,MATCH(11,$GR$30:$HC$30,0))</f>
        <v>2.570022150286835E-2</v>
      </c>
      <c r="HC11">
        <f>INDEX($GR$25:$HC$25,MATCH(12,$GR$30:$HC$30,0))</f>
        <v>1.8243886580152802E-2</v>
      </c>
    </row>
    <row r="12" spans="1:211" x14ac:dyDescent="0.45">
      <c r="A12" s="1" t="s">
        <v>11</v>
      </c>
      <c r="B12">
        <f>INDEX($B$26:$GQ$26,MATCH(1,$B$29:$GQ$29,0))</f>
        <v>7.0081725440485645E-2</v>
      </c>
      <c r="C12">
        <f>INDEX($B$26:$GQ$26,MATCH(2,$B$29:$GQ$29,0))</f>
        <v>1.7804400418183979E-2</v>
      </c>
      <c r="D12">
        <f>INDEX($B$26:$GQ$26,MATCH(3,$B$29:$GQ$29,0))</f>
        <v>1.7943704394303449E-2</v>
      </c>
      <c r="E12">
        <f>INDEX($B$26:$GQ$26,MATCH(4,$B$29:$GQ$29,0))</f>
        <v>4.3982705447572872E-3</v>
      </c>
      <c r="F12">
        <f>INDEX($B$26:$GQ$26,MATCH(5,$B$29:$GQ$29,0))</f>
        <v>0</v>
      </c>
      <c r="G12">
        <f>INDEX($B$26:$GQ$26,MATCH(6,$B$29:$GQ$29,0))</f>
        <v>5.3940792632052849E-2</v>
      </c>
      <c r="H12">
        <f>INDEX($B$26:$GQ$26,MATCH(7,$B$29:$GQ$29,0))</f>
        <v>1.100249460928667E-2</v>
      </c>
      <c r="I12">
        <f>INDEX($B$26:$GQ$26,MATCH(8,$B$29:$GQ$29,0))</f>
        <v>1.135811211299515E-3</v>
      </c>
      <c r="J12">
        <f>INDEX($B$26:$GQ$26,MATCH(9,$B$29:$GQ$29,0))</f>
        <v>1.353503880619017E-3</v>
      </c>
      <c r="K12">
        <f>INDEX($B$26:$GQ$26,MATCH(10,$B$29:$GQ$29,0))</f>
        <v>9.9073286728099553E-3</v>
      </c>
      <c r="L12">
        <f>INDEX($B$26:$GQ$26,MATCH(11,$B$29:$GQ$29,0))</f>
        <v>6.8109134159420916E-3</v>
      </c>
      <c r="M12">
        <f>INDEX($B$26:$GQ$26,MATCH(12,$B$29:$GQ$29,0))</f>
        <v>1.390588024448081E-2</v>
      </c>
      <c r="N12">
        <f>INDEX($B$26:$GQ$26,MATCH(13,$B$29:$GQ$29,0))</f>
        <v>5.5369375057863109E-3</v>
      </c>
      <c r="O12">
        <f>INDEX($B$26:$GQ$26,MATCH(14,$B$29:$GQ$29,0))</f>
        <v>7.0559690655631901E-4</v>
      </c>
      <c r="P12">
        <f>INDEX($B$26:$GQ$26,MATCH(15,$B$29:$GQ$29,0))</f>
        <v>1.3552121539491921E-3</v>
      </c>
      <c r="Q12">
        <f>INDEX($B$26:$GQ$26,MATCH(16,$B$29:$GQ$29,0))</f>
        <v>4.3332065412139849E-4</v>
      </c>
      <c r="R12">
        <f>INDEX($B$26:$GQ$26,MATCH(17,$B$29:$GQ$29,0))</f>
        <v>3.4162134325284501E-3</v>
      </c>
      <c r="S12">
        <f>INDEX($B$26:$GQ$26,MATCH(18,$B$29:$GQ$29,0))</f>
        <v>0</v>
      </c>
      <c r="T12">
        <f>INDEX($B$26:$GQ$26,MATCH(19,$B$29:$GQ$29,0))</f>
        <v>9.2944936628766885E-3</v>
      </c>
      <c r="U12">
        <f>INDEX($B$26:$GQ$26,MATCH(20,$B$29:$GQ$29,0))</f>
        <v>2.0095585617382991E-2</v>
      </c>
      <c r="V12">
        <f>INDEX($B$26:$GQ$26,MATCH(21,$B$29:$GQ$29,0))</f>
        <v>1.9269081519379561E-2</v>
      </c>
      <c r="W12">
        <f>INDEX($B$26:$GQ$26,MATCH(22,$B$29:$GQ$29,0))</f>
        <v>4.860522123619474E-3</v>
      </c>
      <c r="X12">
        <f>INDEX($B$26:$GQ$26,MATCH(23,$B$29:$GQ$29,0))</f>
        <v>9.6019265503364346E-3</v>
      </c>
      <c r="Y12">
        <f>INDEX($B$26:$GQ$26,MATCH(24,$B$29:$GQ$29,0))</f>
        <v>9.6841763767636559E-3</v>
      </c>
      <c r="Z12">
        <f>INDEX($B$26:$GQ$26,MATCH(25,$B$29:$GQ$29,0))</f>
        <v>6.3618067476874356E-3</v>
      </c>
      <c r="AA12">
        <f>INDEX($B$26:$GQ$26,MATCH(26,$B$29:$GQ$29,0))</f>
        <v>8.0497498892630574E-3</v>
      </c>
      <c r="AB12">
        <f>INDEX($B$26:$GQ$26,MATCH(27,$B$29:$GQ$29,0))</f>
        <v>6.3241721925046579E-4</v>
      </c>
      <c r="AC12">
        <f>INDEX($B$26:$GQ$26,MATCH(28,$B$29:$GQ$29,0))</f>
        <v>4.7828544313873759E-3</v>
      </c>
      <c r="AD12">
        <f>INDEX($B$26:$GQ$26,MATCH(29,$B$29:$GQ$29,0))</f>
        <v>4.45250054495221E-3</v>
      </c>
      <c r="AE12">
        <f>INDEX($B$26:$GQ$26,MATCH(30,$B$29:$GQ$29,0))</f>
        <v>3.093328360460207E-3</v>
      </c>
      <c r="AF12">
        <f>INDEX($B$26:$GQ$26,MATCH(31,$B$29:$GQ$29,0))</f>
        <v>9.8459351686917091E-4</v>
      </c>
      <c r="AG12">
        <f>INDEX($B$26:$GQ$26,MATCH(32,$B$29:$GQ$29,0))</f>
        <v>2.2888497048732291E-4</v>
      </c>
      <c r="AH12">
        <f>INDEX($B$26:$GQ$26,MATCH(33,$B$29:$GQ$29,0))</f>
        <v>5.9137617282502589E-4</v>
      </c>
      <c r="AI12">
        <f>INDEX($B$26:$GQ$26,MATCH(34,$B$29:$GQ$29,0))</f>
        <v>9.8052061395323046E-5</v>
      </c>
      <c r="AJ12">
        <f>INDEX($B$26:$GQ$26,MATCH(35,$B$29:$GQ$29,0))</f>
        <v>0</v>
      </c>
      <c r="AK12">
        <f>INDEX($B$26:$GQ$26,MATCH(36,$B$29:$GQ$29,0))</f>
        <v>1.5628057627133909E-3</v>
      </c>
      <c r="AL12">
        <f>INDEX($B$26:$GQ$26,MATCH(37,$B$29:$GQ$29,0))</f>
        <v>1.816444471966434E-3</v>
      </c>
      <c r="AM12">
        <f>INDEX($B$26:$GQ$26,MATCH(38,$B$29:$GQ$29,0))</f>
        <v>4.1823726846341959E-3</v>
      </c>
      <c r="AN12">
        <f>INDEX($B$26:$GQ$26,MATCH(39,$B$29:$GQ$29,0))</f>
        <v>2.7990836906189909E-4</v>
      </c>
      <c r="AO12">
        <f>INDEX($B$26:$GQ$26,MATCH(40,$B$29:$GQ$29,0))</f>
        <v>6.6475350270472932E-4</v>
      </c>
      <c r="AP12">
        <f>INDEX($B$26:$GQ$26,MATCH(41,$B$29:$GQ$29,0))</f>
        <v>1.2981473561517049E-4</v>
      </c>
      <c r="AQ12">
        <f>INDEX($B$26:$GQ$26,MATCH(42,$B$29:$GQ$29,0))</f>
        <v>1.2982428856507409E-3</v>
      </c>
      <c r="AR12">
        <f>INDEX($B$26:$GQ$26,MATCH(43,$B$29:$GQ$29,0))</f>
        <v>1.7196650302096829E-4</v>
      </c>
      <c r="AS12">
        <f>INDEX($B$26:$GQ$26,MATCH(44,$B$29:$GQ$29,0))</f>
        <v>2.222347383995924E-3</v>
      </c>
      <c r="AT12">
        <f>INDEX($B$26:$GQ$26,MATCH(45,$B$29:$GQ$29,0))</f>
        <v>1.926331020715714E-3</v>
      </c>
      <c r="AU12">
        <f>INDEX($B$26:$GQ$26,MATCH(46,$B$29:$GQ$29,0))</f>
        <v>3.4557192139086359E-4</v>
      </c>
      <c r="AV12">
        <f>INDEX($B$26:$GQ$26,MATCH(47,$B$29:$GQ$29,0))</f>
        <v>1.6946583259953339E-4</v>
      </c>
      <c r="AW12">
        <f>INDEX($B$26:$GQ$26,MATCH(48,$B$29:$GQ$29,0))</f>
        <v>1.68054174097864E-4</v>
      </c>
      <c r="AX12">
        <f>INDEX($B$26:$GQ$26,MATCH(49,$B$29:$GQ$29,0))</f>
        <v>1.877430484958015E-3</v>
      </c>
      <c r="AY12">
        <f>INDEX($B$26:$GQ$26,MATCH(50,$B$29:$GQ$29,0))</f>
        <v>0</v>
      </c>
      <c r="AZ12">
        <f>INDEX($B$26:$GQ$26,MATCH(51,$B$29:$GQ$29,0))</f>
        <v>3.967947355968887E-5</v>
      </c>
      <c r="BA12">
        <f>INDEX($B$26:$GQ$26,MATCH(52,$B$29:$GQ$29,0))</f>
        <v>7.6386688020165102E-4</v>
      </c>
      <c r="BB12">
        <f>INDEX($B$26:$GQ$26,MATCH(53,$B$29:$GQ$29,0))</f>
        <v>0</v>
      </c>
      <c r="BC12">
        <f>INDEX($B$26:$GQ$26,MATCH(54,$B$29:$GQ$29,0))</f>
        <v>1.5079874641244469E-3</v>
      </c>
      <c r="BD12">
        <f>INDEX($B$26:$GQ$26,MATCH(55,$B$29:$GQ$29,0))</f>
        <v>0</v>
      </c>
      <c r="BE12">
        <f>INDEX($B$26:$GQ$26,MATCH(56,$B$29:$GQ$29,0))</f>
        <v>4.4662658011784671E-4</v>
      </c>
      <c r="BF12">
        <f>INDEX($B$26:$GQ$26,MATCH(57,$B$29:$GQ$29,0))</f>
        <v>6.3324316941428113E-4</v>
      </c>
      <c r="BG12">
        <f>INDEX($B$26:$GQ$26,MATCH(58,$B$29:$GQ$29,0))</f>
        <v>2.9295372225973741E-4</v>
      </c>
      <c r="BH12">
        <f>INDEX($B$26:$GQ$26,MATCH(59,$B$29:$GQ$29,0))</f>
        <v>3.6064396351016679E-4</v>
      </c>
      <c r="BI12">
        <f>INDEX($B$26:$GQ$26,MATCH(60,$B$29:$GQ$29,0))</f>
        <v>6.9187128919492749E-4</v>
      </c>
      <c r="BJ12">
        <f>INDEX($B$26:$GQ$26,MATCH(61,$B$29:$GQ$29,0))</f>
        <v>0</v>
      </c>
      <c r="BK12">
        <f>INDEX($B$26:$GQ$26,MATCH(62,$B$29:$GQ$29,0))</f>
        <v>7.495640195335552E-5</v>
      </c>
      <c r="BL12">
        <f>INDEX($B$26:$GQ$26,MATCH(63,$B$29:$GQ$29,0))</f>
        <v>8.2429585577800289E-4</v>
      </c>
      <c r="BM12">
        <f>INDEX($B$26:$GQ$26,MATCH(64,$B$29:$GQ$29,0))</f>
        <v>5.7043279769296643E-4</v>
      </c>
      <c r="BN12">
        <f>INDEX($B$26:$GQ$26,MATCH(65,$B$29:$GQ$29,0))</f>
        <v>4.0461784446154558E-4</v>
      </c>
      <c r="BO12">
        <f>INDEX($B$26:$GQ$26,MATCH(66,$B$29:$GQ$29,0))</f>
        <v>6.1245970019879422E-4</v>
      </c>
      <c r="BP12">
        <f>INDEX($B$26:$GQ$26,MATCH(67,$B$29:$GQ$29,0))</f>
        <v>4.3949528091926282E-4</v>
      </c>
      <c r="BQ12">
        <f>INDEX($B$26:$GQ$26,MATCH(68,$B$29:$GQ$29,0))</f>
        <v>0</v>
      </c>
      <c r="BR12">
        <f>INDEX($B$26:$GQ$26,MATCH(69,$B$29:$GQ$29,0))</f>
        <v>0</v>
      </c>
      <c r="BS12">
        <f>INDEX($B$26:$GQ$26,MATCH(70,$B$29:$GQ$29,0))</f>
        <v>0</v>
      </c>
      <c r="BT12">
        <f>INDEX($B$26:$GQ$26,MATCH(71,$B$29:$GQ$29,0))</f>
        <v>0</v>
      </c>
      <c r="BU12">
        <f>INDEX($B$26:$GQ$26,MATCH(72,$B$29:$GQ$29,0))</f>
        <v>0</v>
      </c>
      <c r="BV12">
        <f>INDEX($B$26:$GQ$26,MATCH(73,$B$29:$GQ$29,0))</f>
        <v>4.8758504175986761E-4</v>
      </c>
      <c r="BW12">
        <f>INDEX($B$26:$GQ$26,MATCH(74,$B$29:$GQ$29,0))</f>
        <v>5.841236338987695E-4</v>
      </c>
      <c r="BX12">
        <f>INDEX($B$26:$GQ$26,MATCH(75,$B$29:$GQ$29,0))</f>
        <v>3.3261386287965509E-4</v>
      </c>
      <c r="BY12">
        <f>INDEX($B$26:$GQ$26,MATCH(76,$B$29:$GQ$29,0))</f>
        <v>3.9776340050343302E-4</v>
      </c>
      <c r="BZ12">
        <f>INDEX($B$26:$GQ$26,MATCH(77,$B$29:$GQ$29,0))</f>
        <v>4.4935527605474178E-5</v>
      </c>
      <c r="CA12">
        <f>INDEX($B$26:$GQ$26,MATCH(78,$B$29:$GQ$29,0))</f>
        <v>0</v>
      </c>
      <c r="CB12">
        <f>INDEX($B$26:$GQ$26,MATCH(79,$B$29:$GQ$29,0))</f>
        <v>1.5133123397257281E-4</v>
      </c>
      <c r="CC12">
        <f>INDEX($B$26:$GQ$26,MATCH(80,$B$29:$GQ$29,0))</f>
        <v>3.0442207658870991E-6</v>
      </c>
      <c r="CD12">
        <f>INDEX($B$26:$GQ$26,MATCH(81,$B$29:$GQ$29,0))</f>
        <v>0</v>
      </c>
      <c r="CE12">
        <f>INDEX($B$26:$GQ$26,MATCH(82,$B$29:$GQ$29,0))</f>
        <v>7.8706827018725605E-7</v>
      </c>
      <c r="CF12">
        <f>INDEX($B$26:$GQ$26,MATCH(83,$B$29:$GQ$29,0))</f>
        <v>9.6311354328673004E-5</v>
      </c>
      <c r="CG12">
        <f>INDEX($B$26:$GQ$26,MATCH(84,$B$29:$GQ$29,0))</f>
        <v>7.9111486539091854E-6</v>
      </c>
      <c r="CH12">
        <f>INDEX($B$26:$GQ$26,MATCH(85,$B$29:$GQ$29,0))</f>
        <v>8.034070377191468E-5</v>
      </c>
      <c r="CI12">
        <f>INDEX($B$26:$GQ$26,MATCH(86,$B$29:$GQ$29,0))</f>
        <v>3.8220282908528664E-6</v>
      </c>
      <c r="CJ12">
        <f>INDEX($B$26:$GQ$26,MATCH(87,$B$29:$GQ$29,0))</f>
        <v>2.977873092751554E-5</v>
      </c>
      <c r="CK12">
        <f>INDEX($B$26:$GQ$26,MATCH(88,$B$29:$GQ$29,0))</f>
        <v>1.9932610975931872E-6</v>
      </c>
      <c r="CL12">
        <f>INDEX($B$26:$GQ$26,MATCH(89,$B$29:$GQ$29,0))</f>
        <v>1.88596316122688E-6</v>
      </c>
      <c r="CM12">
        <f>INDEX($B$26:$GQ$26,MATCH(90,$B$29:$GQ$29,0))</f>
        <v>1.801261201755241E-6</v>
      </c>
      <c r="CN12">
        <f>INDEX($B$26:$GQ$26,MATCH(91,$B$29:$GQ$29,0))</f>
        <v>4.099070378542474E-6</v>
      </c>
      <c r="CO12">
        <f>INDEX($B$26:$GQ$26,MATCH(92,$B$29:$GQ$29,0))</f>
        <v>0</v>
      </c>
      <c r="CP12">
        <f>INDEX($B$26:$GQ$26,MATCH(93,$B$29:$GQ$29,0))</f>
        <v>0</v>
      </c>
      <c r="CQ12">
        <f>INDEX($B$26:$GQ$26,MATCH(94,$B$29:$GQ$29,0))</f>
        <v>1.4446794212634089E-6</v>
      </c>
      <c r="CR12">
        <f>INDEX($B$26:$GQ$26,MATCH(95,$B$29:$GQ$29,0))</f>
        <v>1.22972590511846E-6</v>
      </c>
      <c r="CS12">
        <f>INDEX($B$26:$GQ$26,MATCH(96,$B$29:$GQ$29,0))</f>
        <v>0</v>
      </c>
      <c r="CT12">
        <f>INDEX($B$26:$GQ$26,MATCH(97,$B$29:$GQ$29,0))</f>
        <v>2.5519597168897051E-6</v>
      </c>
      <c r="CU12">
        <f>INDEX($B$26:$GQ$26,MATCH(98,$B$29:$GQ$29,0))</f>
        <v>7.4200671666296576E-7</v>
      </c>
      <c r="CV12">
        <f>INDEX($B$26:$GQ$26,MATCH(99,$B$29:$GQ$29,0))</f>
        <v>7.3687717695547994E-7</v>
      </c>
      <c r="CW12">
        <f>INDEX($B$26:$GQ$26,MATCH(100,$B$29:$GQ$29,0))</f>
        <v>4.5948923705110042E-7</v>
      </c>
      <c r="CX12">
        <f>INDEX($B$26:$GQ$26,MATCH(101,$B$29:$GQ$29,0))</f>
        <v>4.311178043987695E-6</v>
      </c>
      <c r="CY12">
        <f>INDEX($B$26:$GQ$26,MATCH(102,$B$29:$GQ$29,0))</f>
        <v>4.6291111090362393E-6</v>
      </c>
      <c r="CZ12">
        <f>INDEX($B$26:$GQ$26,MATCH(103,$B$29:$GQ$29,0))</f>
        <v>6.7700785771402851E-7</v>
      </c>
      <c r="DA12">
        <f>INDEX($B$26:$GQ$26,MATCH(104,$B$29:$GQ$29,0))</f>
        <v>2.305889194295649E-5</v>
      </c>
      <c r="DB12">
        <f>INDEX($B$26:$GQ$26,MATCH(105,$B$29:$GQ$29,0))</f>
        <v>2.8001534985251093E-7</v>
      </c>
      <c r="DC12">
        <f>INDEX($B$26:$GQ$26,MATCH(106,$B$29:$GQ$29,0))</f>
        <v>1.9815997291265488E-6</v>
      </c>
      <c r="DD12">
        <f>INDEX($B$26:$GQ$26,MATCH(107,$B$29:$GQ$29,0))</f>
        <v>2.7895681761618889E-7</v>
      </c>
      <c r="DE12">
        <f>INDEX($B$26:$GQ$26,MATCH(108,$B$29:$GQ$29,0))</f>
        <v>1.8304465255548839E-5</v>
      </c>
      <c r="DF12">
        <f>INDEX($B$26:$GQ$26,MATCH(109,$B$29:$GQ$29,0))</f>
        <v>1.2483462167068169E-7</v>
      </c>
      <c r="DG12">
        <f>INDEX($B$26:$GQ$26,MATCH(110,$B$29:$GQ$29,0))</f>
        <v>6.141910487589212E-7</v>
      </c>
      <c r="DH12">
        <f>INDEX($B$26:$GQ$26,MATCH(111,$B$29:$GQ$29,0))</f>
        <v>1.104433387182816E-7</v>
      </c>
      <c r="DI12">
        <f>INDEX($B$26:$GQ$26,MATCH(112,$B$29:$GQ$29,0))</f>
        <v>7.1457692449745059E-8</v>
      </c>
      <c r="DJ12">
        <f>INDEX($B$26:$GQ$26,MATCH(113,$B$29:$GQ$29,0))</f>
        <v>3.218906641428979E-7</v>
      </c>
      <c r="DK12">
        <f>INDEX($B$26:$GQ$26,MATCH(114,$B$29:$GQ$29,0))</f>
        <v>6.2677813765452179E-6</v>
      </c>
      <c r="DL12">
        <f>INDEX($B$26:$GQ$26,MATCH(115,$B$29:$GQ$29,0))</f>
        <v>6.5570458331864944E-6</v>
      </c>
      <c r="DM12">
        <f>INDEX($B$26:$GQ$26,MATCH(116,$B$29:$GQ$29,0))</f>
        <v>3.3200663687435062E-6</v>
      </c>
      <c r="DN12">
        <f>INDEX($B$26:$GQ$26,MATCH(117,$B$29:$GQ$29,0))</f>
        <v>4.5108070509379357E-6</v>
      </c>
      <c r="DO12">
        <f>INDEX($B$26:$GQ$26,MATCH(118,$B$29:$GQ$29,0))</f>
        <v>0</v>
      </c>
      <c r="DP12">
        <f>INDEX($B$26:$GQ$26,MATCH(119,$B$29:$GQ$29,0))</f>
        <v>0</v>
      </c>
      <c r="DQ12">
        <f>INDEX($B$26:$GQ$26,MATCH(120,$B$29:$GQ$29,0))</f>
        <v>1.755612827197991E-6</v>
      </c>
      <c r="DR12">
        <f>INDEX($B$26:$GQ$26,MATCH(121,$B$29:$GQ$29,0))</f>
        <v>5.0636660806249803E-8</v>
      </c>
      <c r="DS12">
        <f>INDEX($B$26:$GQ$26,MATCH(122,$B$29:$GQ$29,0))</f>
        <v>0</v>
      </c>
      <c r="DT12">
        <f>INDEX($B$26:$GQ$26,MATCH(123,$B$29:$GQ$29,0))</f>
        <v>1.046309319501166E-6</v>
      </c>
      <c r="DU12">
        <f>INDEX($B$26:$GQ$26,MATCH(124,$B$29:$GQ$29,0))</f>
        <v>7.8338780062884011E-7</v>
      </c>
      <c r="DV12">
        <f>INDEX($B$26:$GQ$26,MATCH(125,$B$29:$GQ$29,0))</f>
        <v>1.066930264192491E-8</v>
      </c>
      <c r="DW12">
        <f>INDEX($B$26:$GQ$26,MATCH(126,$B$29:$GQ$29,0))</f>
        <v>6.6504207046073343E-7</v>
      </c>
      <c r="DX12">
        <f>INDEX($B$26:$GQ$26,MATCH(127,$B$29:$GQ$29,0))</f>
        <v>1.7361586858943499E-7</v>
      </c>
      <c r="DY12">
        <f>INDEX($B$26:$GQ$26,MATCH(128,$B$29:$GQ$29,0))</f>
        <v>0</v>
      </c>
      <c r="DZ12">
        <f>INDEX($B$26:$GQ$26,MATCH(129,$B$29:$GQ$29,0))</f>
        <v>3.0046004637492002E-8</v>
      </c>
      <c r="EA12">
        <f>INDEX($B$26:$GQ$26,MATCH(130,$B$29:$GQ$29,0))</f>
        <v>0</v>
      </c>
      <c r="EB12">
        <f>INDEX($B$26:$GQ$26,MATCH(131,$B$29:$GQ$29,0))</f>
        <v>8.2568595086066065E-9</v>
      </c>
      <c r="EC12">
        <f>INDEX($B$26:$GQ$26,MATCH(132,$B$29:$GQ$29,0))</f>
        <v>2.0327124337611191E-9</v>
      </c>
      <c r="ED12">
        <f>INDEX($B$26:$GQ$26,MATCH(133,$B$29:$GQ$29,0))</f>
        <v>0</v>
      </c>
      <c r="EE12">
        <f>INDEX($B$26:$GQ$26,MATCH(134,$B$29:$GQ$29,0))</f>
        <v>0</v>
      </c>
      <c r="EF12">
        <f>INDEX($B$26:$GQ$26,MATCH(135,$B$29:$GQ$29,0))</f>
        <v>0</v>
      </c>
      <c r="EG12">
        <f>INDEX($B$26:$GQ$26,MATCH(136,$B$29:$GQ$29,0))</f>
        <v>0</v>
      </c>
      <c r="EH12">
        <f>INDEX($B$26:$GQ$26,MATCH(137,$B$29:$GQ$29,0))</f>
        <v>0</v>
      </c>
      <c r="EI12">
        <f>INDEX($B$26:$GQ$26,MATCH(138,$B$29:$GQ$29,0))</f>
        <v>0</v>
      </c>
      <c r="EJ12">
        <f>INDEX($B$26:$GQ$26,MATCH(139,$B$29:$GQ$29,0))</f>
        <v>0</v>
      </c>
      <c r="EK12">
        <f>INDEX($B$26:$GQ$26,MATCH(140,$B$29:$GQ$29,0))</f>
        <v>0</v>
      </c>
      <c r="EL12">
        <f>INDEX($B$26:$GQ$26,MATCH(141,$B$29:$GQ$29,0))</f>
        <v>0</v>
      </c>
      <c r="EM12">
        <f>INDEX($B$26:$GQ$26,MATCH(142,$B$29:$GQ$29,0))</f>
        <v>0</v>
      </c>
      <c r="EN12">
        <f>INDEX($B$26:$GQ$26,MATCH(143,$B$29:$GQ$29,0))</f>
        <v>0</v>
      </c>
      <c r="EO12">
        <f>INDEX($B$26:$GQ$26,MATCH(144,$B$29:$GQ$29,0))</f>
        <v>0</v>
      </c>
      <c r="EP12">
        <f>INDEX($B$26:$GQ$26,MATCH(145,$B$29:$GQ$29,0))</f>
        <v>0</v>
      </c>
      <c r="EQ12">
        <f>INDEX($B$26:$GQ$26,MATCH(146,$B$29:$GQ$29,0))</f>
        <v>0</v>
      </c>
      <c r="ER12">
        <f>INDEX($B$26:$GQ$26,MATCH(147,$B$29:$GQ$29,0))</f>
        <v>0</v>
      </c>
      <c r="ES12">
        <f>INDEX($B$26:$GQ$26,MATCH(148,$B$29:$GQ$29,0))</f>
        <v>0</v>
      </c>
      <c r="ET12">
        <f>INDEX($B$26:$GQ$26,MATCH(149,$B$29:$GQ$29,0))</f>
        <v>0</v>
      </c>
      <c r="EU12">
        <f>INDEX($B$26:$GQ$26,MATCH(150,$B$29:$GQ$29,0))</f>
        <v>0</v>
      </c>
      <c r="EV12">
        <f>INDEX($B$26:$GQ$26,MATCH(151,$B$29:$GQ$29,0))</f>
        <v>0</v>
      </c>
      <c r="EW12">
        <f>INDEX($B$26:$GQ$26,MATCH(152,$B$29:$GQ$29,0))</f>
        <v>0</v>
      </c>
      <c r="EX12">
        <f>INDEX($B$26:$GQ$26,MATCH(153,$B$29:$GQ$29,0))</f>
        <v>0</v>
      </c>
      <c r="EY12">
        <f>INDEX($B$26:$GQ$26,MATCH(154,$B$29:$GQ$29,0))</f>
        <v>0</v>
      </c>
      <c r="EZ12">
        <f>INDEX($B$26:$GQ$26,MATCH(155,$B$29:$GQ$29,0))</f>
        <v>0</v>
      </c>
      <c r="FA12">
        <f>INDEX($B$26:$GQ$26,MATCH(156,$B$29:$GQ$29,0))</f>
        <v>0</v>
      </c>
      <c r="FB12">
        <f>INDEX($B$26:$GQ$26,MATCH(157,$B$29:$GQ$29,0))</f>
        <v>0</v>
      </c>
      <c r="FC12">
        <f>INDEX($B$26:$GQ$26,MATCH(158,$B$29:$GQ$29,0))</f>
        <v>0</v>
      </c>
      <c r="FD12">
        <f>INDEX($B$26:$GQ$26,MATCH(159,$B$29:$GQ$29,0))</f>
        <v>0</v>
      </c>
      <c r="FE12">
        <f>INDEX($B$26:$GQ$26,MATCH(160,$B$29:$GQ$29,0))</f>
        <v>0</v>
      </c>
      <c r="FF12">
        <f>INDEX($B$26:$GQ$26,MATCH(161,$B$29:$GQ$29,0))</f>
        <v>0</v>
      </c>
      <c r="FG12">
        <f>INDEX($B$26:$GQ$26,MATCH(162,$B$29:$GQ$29,0))</f>
        <v>0</v>
      </c>
      <c r="FH12">
        <f>INDEX($B$26:$GQ$26,MATCH(163,$B$29:$GQ$29,0))</f>
        <v>0</v>
      </c>
      <c r="FI12">
        <f>INDEX($B$26:$GQ$26,MATCH(164,$B$29:$GQ$29,0))</f>
        <v>0</v>
      </c>
      <c r="FJ12">
        <f>INDEX($B$26:$GQ$26,MATCH(165,$B$29:$GQ$29,0))</f>
        <v>0</v>
      </c>
      <c r="FK12">
        <f>INDEX($B$26:$GQ$26,MATCH(166,$B$29:$GQ$29,0))</f>
        <v>0</v>
      </c>
      <c r="FL12">
        <f>INDEX($B$26:$GQ$26,MATCH(167,$B$29:$GQ$29,0))</f>
        <v>0</v>
      </c>
      <c r="FM12">
        <f>INDEX($B$26:$GQ$26,MATCH(168,$B$29:$GQ$29,0))</f>
        <v>0</v>
      </c>
      <c r="FN12">
        <f>INDEX($B$26:$GQ$26,MATCH(169,$B$29:$GQ$29,0))</f>
        <v>0</v>
      </c>
      <c r="FO12">
        <f>INDEX($B$26:$GQ$26,MATCH(170,$B$29:$GQ$29,0))</f>
        <v>0</v>
      </c>
      <c r="FP12">
        <f>INDEX($B$26:$GQ$26,MATCH(171,$B$29:$GQ$29,0))</f>
        <v>0</v>
      </c>
      <c r="FQ12">
        <f>INDEX($B$26:$GQ$26,MATCH(172,$B$29:$GQ$29,0))</f>
        <v>0</v>
      </c>
      <c r="FR12">
        <f>INDEX($B$26:$GQ$26,MATCH(173,$B$29:$GQ$29,0))</f>
        <v>0</v>
      </c>
      <c r="FS12">
        <f>INDEX($B$26:$GQ$26,MATCH(174,$B$29:$GQ$29,0))</f>
        <v>0</v>
      </c>
      <c r="FT12">
        <f>INDEX($B$26:$GQ$26,MATCH(175,$B$29:$GQ$29,0))</f>
        <v>0</v>
      </c>
      <c r="FU12">
        <f>INDEX($B$26:$GQ$26,MATCH(176,$B$29:$GQ$29,0))</f>
        <v>0</v>
      </c>
      <c r="FV12">
        <f>INDEX($B$26:$GQ$26,MATCH(177,$B$29:$GQ$29,0))</f>
        <v>0</v>
      </c>
      <c r="FW12">
        <f>INDEX($B$26:$GQ$26,MATCH(178,$B$29:$GQ$29,0))</f>
        <v>0</v>
      </c>
      <c r="FX12">
        <f>INDEX($B$26:$GQ$26,MATCH(179,$B$29:$GQ$29,0))</f>
        <v>0</v>
      </c>
      <c r="FY12">
        <f>INDEX($B$26:$GQ$26,MATCH(180,$B$29:$GQ$29,0))</f>
        <v>0</v>
      </c>
      <c r="FZ12">
        <f>INDEX($B$26:$GQ$26,MATCH(181,$B$29:$GQ$29,0))</f>
        <v>0</v>
      </c>
      <c r="GA12">
        <f>INDEX($B$26:$GQ$26,MATCH(182,$B$29:$GQ$29,0))</f>
        <v>0</v>
      </c>
      <c r="GB12">
        <f>INDEX($B$26:$GQ$26,MATCH(183,$B$29:$GQ$29,0))</f>
        <v>0</v>
      </c>
      <c r="GC12">
        <f>INDEX($B$26:$GQ$26,MATCH(184,$B$29:$GQ$29,0))</f>
        <v>0</v>
      </c>
      <c r="GD12">
        <f>INDEX($B$26:$GQ$26,MATCH(185,$B$29:$GQ$29,0))</f>
        <v>0</v>
      </c>
      <c r="GE12">
        <f>INDEX($B$26:$GQ$26,MATCH(186,$B$29:$GQ$29,0))</f>
        <v>0</v>
      </c>
      <c r="GF12">
        <f>INDEX($B$26:$GQ$26,MATCH(187,$B$29:$GQ$29,0))</f>
        <v>0</v>
      </c>
      <c r="GG12">
        <f>INDEX($B$26:$GQ$26,MATCH(188,$B$29:$GQ$29,0))</f>
        <v>0</v>
      </c>
      <c r="GH12">
        <f>INDEX($B$26:$GQ$26,MATCH(189,$B$29:$GQ$29,0))</f>
        <v>0</v>
      </c>
      <c r="GI12">
        <f>INDEX($B$26:$GQ$26,MATCH(190,$B$29:$GQ$29,0))</f>
        <v>0</v>
      </c>
      <c r="GJ12">
        <f>INDEX($B$26:$GQ$26,MATCH(191,$B$29:$GQ$29,0))</f>
        <v>0</v>
      </c>
      <c r="GK12">
        <f>INDEX($B$26:$GQ$26,MATCH(192,$B$29:$GQ$29,0))</f>
        <v>0</v>
      </c>
      <c r="GL12">
        <f>INDEX($B$26:$GQ$26,MATCH(193,$B$29:$GQ$29,0))</f>
        <v>0</v>
      </c>
      <c r="GM12">
        <f>INDEX($B$26:$GQ$26,MATCH(194,$B$29:$GQ$29,0))</f>
        <v>0</v>
      </c>
      <c r="GN12">
        <f>INDEX($B$26:$GQ$26,MATCH(195,$B$29:$GQ$29,0))</f>
        <v>0</v>
      </c>
      <c r="GO12">
        <f>INDEX($B$26:$GQ$26,MATCH(196,$B$29:$GQ$29,0))</f>
        <v>0</v>
      </c>
      <c r="GP12">
        <f>INDEX($B$26:$GQ$26,MATCH(197,$B$29:$GQ$29,0))</f>
        <v>0</v>
      </c>
      <c r="GQ12">
        <f>INDEX($B$26:$GQ$26,MATCH(198,$B$29:$GQ$29,0))</f>
        <v>0</v>
      </c>
      <c r="GR12">
        <f>INDEX($GR$26:$HC$26,MATCH(1,$GR$30:$HC$30,0))</f>
        <v>0.1034798948390824</v>
      </c>
      <c r="GS12">
        <f>INDEX($GR$26:$HC$26,MATCH(2,$GR$30:$HC$30,0))</f>
        <v>3.1546817507685537E-2</v>
      </c>
      <c r="GT12">
        <f>INDEX($GR$26:$HC$26,MATCH(3,$GR$30:$HC$30,0))</f>
        <v>6.8169758054469421E-3</v>
      </c>
      <c r="GU12">
        <f>INDEX($GR$26:$HC$26,MATCH(4,$GR$30:$HC$30,0))</f>
        <v>1.7804400418183979E-2</v>
      </c>
      <c r="GV12">
        <f>INDEX($GR$26:$HC$26,MATCH(5,$GR$30:$HC$30,0))</f>
        <v>2.4322535959971379E-2</v>
      </c>
      <c r="GW12">
        <f>INDEX($GR$26:$HC$26,MATCH(6,$GR$30:$HC$30,0))</f>
        <v>1.7943704394303449E-2</v>
      </c>
      <c r="GX12">
        <f>INDEX($GR$26:$HC$26,MATCH(7,$GR$30:$HC$30,0))</f>
        <v>0</v>
      </c>
      <c r="GY12">
        <f>INDEX($GR$26:$HC$26,MATCH(8,$GR$30:$HC$30,0))</f>
        <v>5.4765088487830862E-2</v>
      </c>
      <c r="GZ12">
        <f>INDEX($GR$26:$HC$26,MATCH(9,$GR$30:$HC$30,0))</f>
        <v>9.3601442202501592E-3</v>
      </c>
      <c r="HA12">
        <f>INDEX($GR$26:$HC$26,MATCH(10,$GR$30:$HC$30,0))</f>
        <v>4.9048843513526202E-2</v>
      </c>
      <c r="HB12">
        <f>INDEX($GR$26:$HC$26,MATCH(11,$GR$30:$HC$30,0))</f>
        <v>2.3212274161088259E-2</v>
      </c>
      <c r="HC12">
        <f>INDEX($GR$26:$HC$26,MATCH(12,$GR$30:$HC$30,0))</f>
        <v>2.211706259278115E-2</v>
      </c>
    </row>
    <row r="13" spans="1:211" x14ac:dyDescent="0.45">
      <c r="A13" s="1" t="s">
        <v>1</v>
      </c>
      <c r="B13">
        <f>INDEX($B$27:$GQ$27,MATCH(1,$B$29:$GQ$29,0))</f>
        <v>0.26123453764150661</v>
      </c>
      <c r="C13">
        <f>INDEX($B$27:$GQ$27,MATCH(2,$B$29:$GQ$29,0))</f>
        <v>0.17926733141914289</v>
      </c>
      <c r="D13">
        <f>INDEX($B$27:$GQ$27,MATCH(3,$B$29:$GQ$29,0))</f>
        <v>0.1248541467769821</v>
      </c>
      <c r="E13">
        <f>INDEX($B$27:$GQ$27,MATCH(4,$B$29:$GQ$29,0))</f>
        <v>9.970272422396706E-2</v>
      </c>
      <c r="F13">
        <f>INDEX($B$27:$GQ$27,MATCH(5,$B$29:$GQ$29,0))</f>
        <v>8.8812450910648322E-2</v>
      </c>
      <c r="G13">
        <f>INDEX($B$27:$GQ$27,MATCH(6,$B$29:$GQ$29,0))</f>
        <v>8.3722000152177456E-2</v>
      </c>
      <c r="H13">
        <f>INDEX($B$27:$GQ$27,MATCH(7,$B$29:$GQ$29,0))</f>
        <v>7.3468914437983437E-2</v>
      </c>
      <c r="I13">
        <f>INDEX($B$27:$GQ$27,MATCH(8,$B$29:$GQ$29,0))</f>
        <v>5.4947526779511202E-2</v>
      </c>
      <c r="J13">
        <f>INDEX($B$27:$GQ$27,MATCH(9,$B$29:$GQ$29,0))</f>
        <v>4.8345173070509687E-2</v>
      </c>
      <c r="K13">
        <f>INDEX($B$27:$GQ$27,MATCH(10,$B$29:$GQ$29,0))</f>
        <v>4.486466403399985E-2</v>
      </c>
      <c r="L13">
        <f>INDEX($B$27:$GQ$27,MATCH(11,$B$29:$GQ$29,0))</f>
        <v>4.4709902833264217E-2</v>
      </c>
      <c r="M13">
        <f>INDEX($B$27:$GQ$27,MATCH(12,$B$29:$GQ$29,0))</f>
        <v>4.0638650924926911E-2</v>
      </c>
      <c r="N13">
        <f>INDEX($B$27:$GQ$27,MATCH(13,$B$29:$GQ$29,0))</f>
        <v>3.6120458244814392E-2</v>
      </c>
      <c r="O13">
        <f>INDEX($B$27:$GQ$27,MATCH(14,$B$29:$GQ$29,0))</f>
        <v>3.3679153664833338E-2</v>
      </c>
      <c r="P13">
        <f>INDEX($B$27:$GQ$27,MATCH(15,$B$29:$GQ$29,0))</f>
        <v>3.1557793283437698E-2</v>
      </c>
      <c r="Q13">
        <f>INDEX($B$27:$GQ$27,MATCH(16,$B$29:$GQ$29,0))</f>
        <v>3.1446253964180423E-2</v>
      </c>
      <c r="R13">
        <f>INDEX($B$27:$GQ$27,MATCH(17,$B$29:$GQ$29,0))</f>
        <v>2.8884864295284609E-2</v>
      </c>
      <c r="S13">
        <f>INDEX($B$27:$GQ$27,MATCH(18,$B$29:$GQ$29,0))</f>
        <v>2.8355741567771889E-2</v>
      </c>
      <c r="T13">
        <f>INDEX($B$27:$GQ$27,MATCH(19,$B$29:$GQ$29,0))</f>
        <v>2.6558930337619548E-2</v>
      </c>
      <c r="U13">
        <f>INDEX($B$27:$GQ$27,MATCH(20,$B$29:$GQ$29,0))</f>
        <v>2.0238254863384951E-2</v>
      </c>
      <c r="V13">
        <f>INDEX($B$27:$GQ$27,MATCH(21,$B$29:$GQ$29,0))</f>
        <v>2.019718194969931E-2</v>
      </c>
      <c r="W13">
        <f>INDEX($B$27:$GQ$27,MATCH(22,$B$29:$GQ$29,0))</f>
        <v>1.9501428210860781E-2</v>
      </c>
      <c r="X13">
        <f>INDEX($B$27:$GQ$27,MATCH(23,$B$29:$GQ$29,0))</f>
        <v>1.5414575987679729E-2</v>
      </c>
      <c r="Y13">
        <f>INDEX($B$27:$GQ$27,MATCH(24,$B$29:$GQ$29,0))</f>
        <v>1.08212972336583E-2</v>
      </c>
      <c r="Z13">
        <f>INDEX($B$27:$GQ$27,MATCH(25,$B$29:$GQ$29,0))</f>
        <v>1.080993119628604E-2</v>
      </c>
      <c r="AA13">
        <f>INDEX($B$27:$GQ$27,MATCH(26,$B$29:$GQ$29,0))</f>
        <v>9.7243926743494063E-3</v>
      </c>
      <c r="AB13">
        <f>INDEX($B$27:$GQ$27,MATCH(27,$B$29:$GQ$29,0))</f>
        <v>9.6973191559658195E-3</v>
      </c>
      <c r="AC13">
        <f>INDEX($B$27:$GQ$27,MATCH(28,$B$29:$GQ$29,0))</f>
        <v>8.7389651975379908E-3</v>
      </c>
      <c r="AD13">
        <f>INDEX($B$27:$GQ$27,MATCH(29,$B$29:$GQ$29,0))</f>
        <v>8.1498258674298271E-3</v>
      </c>
      <c r="AE13">
        <f>INDEX($B$27:$GQ$27,MATCH(30,$B$29:$GQ$29,0))</f>
        <v>6.5670297207434704E-3</v>
      </c>
      <c r="AF13">
        <f>INDEX($B$27:$GQ$27,MATCH(31,$B$29:$GQ$29,0))</f>
        <v>6.3986788855897236E-3</v>
      </c>
      <c r="AG13">
        <f>INDEX($B$27:$GQ$27,MATCH(32,$B$29:$GQ$29,0))</f>
        <v>5.890522628101893E-3</v>
      </c>
      <c r="AH13">
        <f>INDEX($B$27:$GQ$27,MATCH(33,$B$29:$GQ$29,0))</f>
        <v>5.6904395808122388E-3</v>
      </c>
      <c r="AI13">
        <f>INDEX($B$27:$GQ$27,MATCH(34,$B$29:$GQ$29,0))</f>
        <v>5.5759442855618582E-3</v>
      </c>
      <c r="AJ13">
        <f>INDEX($B$27:$GQ$27,MATCH(35,$B$29:$GQ$29,0))</f>
        <v>5.3279456011648286E-3</v>
      </c>
      <c r="AK13">
        <f>INDEX($B$27:$GQ$27,MATCH(36,$B$29:$GQ$29,0))</f>
        <v>5.1553065934158574E-3</v>
      </c>
      <c r="AL13">
        <f>INDEX($B$27:$GQ$27,MATCH(37,$B$29:$GQ$29,0))</f>
        <v>4.3729525759001629E-3</v>
      </c>
      <c r="AM13">
        <f>INDEX($B$27:$GQ$27,MATCH(38,$B$29:$GQ$29,0))</f>
        <v>4.1823726846341959E-3</v>
      </c>
      <c r="AN13">
        <f>INDEX($B$27:$GQ$27,MATCH(39,$B$29:$GQ$29,0))</f>
        <v>3.5353952811844648E-3</v>
      </c>
      <c r="AO13">
        <f>INDEX($B$27:$GQ$27,MATCH(40,$B$29:$GQ$29,0))</f>
        <v>3.3586577652674082E-3</v>
      </c>
      <c r="AP13">
        <f>INDEX($B$27:$GQ$27,MATCH(41,$B$29:$GQ$29,0))</f>
        <v>3.2106615981416379E-3</v>
      </c>
      <c r="AQ13">
        <f>INDEX($B$27:$GQ$27,MATCH(42,$B$29:$GQ$29,0))</f>
        <v>3.114798436011684E-3</v>
      </c>
      <c r="AR13">
        <f>INDEX($B$27:$GQ$27,MATCH(43,$B$29:$GQ$29,0))</f>
        <v>3.026479211329168E-3</v>
      </c>
      <c r="AS13">
        <f>INDEX($B$27:$GQ$27,MATCH(44,$B$29:$GQ$29,0))</f>
        <v>2.956065950822762E-3</v>
      </c>
      <c r="AT13">
        <f>INDEX($B$27:$GQ$27,MATCH(45,$B$29:$GQ$29,0))</f>
        <v>2.787363505532315E-3</v>
      </c>
      <c r="AU13">
        <f>INDEX($B$27:$GQ$27,MATCH(46,$B$29:$GQ$29,0))</f>
        <v>2.5587611556025249E-3</v>
      </c>
      <c r="AV13">
        <f>INDEX($B$27:$GQ$27,MATCH(47,$B$29:$GQ$29,0))</f>
        <v>2.4766616597982779E-3</v>
      </c>
      <c r="AW13">
        <f>INDEX($B$27:$GQ$27,MATCH(48,$B$29:$GQ$29,0))</f>
        <v>2.0951919319407491E-3</v>
      </c>
      <c r="AX13">
        <f>INDEX($B$27:$GQ$27,MATCH(49,$B$29:$GQ$29,0))</f>
        <v>2.075307813213485E-3</v>
      </c>
      <c r="AY13">
        <f>INDEX($B$27:$GQ$27,MATCH(50,$B$29:$GQ$29,0))</f>
        <v>1.689788958642749E-3</v>
      </c>
      <c r="AZ13">
        <f>INDEX($B$27:$GQ$27,MATCH(51,$B$29:$GQ$29,0))</f>
        <v>1.6349667504137069E-3</v>
      </c>
      <c r="BA13">
        <f>INDEX($B$27:$GQ$27,MATCH(52,$B$29:$GQ$29,0))</f>
        <v>1.5780194163063179E-3</v>
      </c>
      <c r="BB13">
        <f>INDEX($B$27:$GQ$27,MATCH(53,$B$29:$GQ$29,0))</f>
        <v>1.532765738159641E-3</v>
      </c>
      <c r="BC13">
        <f>INDEX($B$27:$GQ$27,MATCH(54,$B$29:$GQ$29,0))</f>
        <v>1.5079874641244469E-3</v>
      </c>
      <c r="BD13">
        <f>INDEX($B$27:$GQ$27,MATCH(55,$B$29:$GQ$29,0))</f>
        <v>1.4285121585812591E-3</v>
      </c>
      <c r="BE13">
        <f>INDEX($B$27:$GQ$27,MATCH(56,$B$29:$GQ$29,0))</f>
        <v>1.42087242376406E-3</v>
      </c>
      <c r="BF13">
        <f>INDEX($B$27:$GQ$27,MATCH(57,$B$29:$GQ$29,0))</f>
        <v>1.245636668984992E-3</v>
      </c>
      <c r="BG13">
        <f>INDEX($B$27:$GQ$27,MATCH(58,$B$29:$GQ$29,0))</f>
        <v>1.073507676355108E-3</v>
      </c>
      <c r="BH13">
        <f>INDEX($B$27:$GQ$27,MATCH(59,$B$29:$GQ$29,0))</f>
        <v>1.0607643930370819E-3</v>
      </c>
      <c r="BI13">
        <f>INDEX($B$27:$GQ$27,MATCH(60,$B$29:$GQ$29,0))</f>
        <v>1.058583649760288E-3</v>
      </c>
      <c r="BJ13">
        <f>INDEX($B$27:$GQ$27,MATCH(61,$B$29:$GQ$29,0))</f>
        <v>1.0325843243545829E-3</v>
      </c>
      <c r="BK13">
        <f>INDEX($B$27:$GQ$27,MATCH(62,$B$29:$GQ$29,0))</f>
        <v>9.8326296084063833E-4</v>
      </c>
      <c r="BL13">
        <f>INDEX($B$27:$GQ$27,MATCH(63,$B$29:$GQ$29,0))</f>
        <v>9.345410410877171E-4</v>
      </c>
      <c r="BM13">
        <f>INDEX($B$27:$GQ$27,MATCH(64,$B$29:$GQ$29,0))</f>
        <v>8.4287737410158826E-4</v>
      </c>
      <c r="BN13">
        <f>INDEX($B$27:$GQ$27,MATCH(65,$B$29:$GQ$29,0))</f>
        <v>8.2608331362868425E-4</v>
      </c>
      <c r="BO13">
        <f>INDEX($B$27:$GQ$27,MATCH(66,$B$29:$GQ$29,0))</f>
        <v>7.9910474605896604E-4</v>
      </c>
      <c r="BP13">
        <f>INDEX($B$27:$GQ$27,MATCH(67,$B$29:$GQ$29,0))</f>
        <v>7.6567080946143774E-4</v>
      </c>
      <c r="BQ13">
        <f>INDEX($B$27:$GQ$27,MATCH(68,$B$29:$GQ$29,0))</f>
        <v>7.6151035606558215E-4</v>
      </c>
      <c r="BR13">
        <f>INDEX($B$27:$GQ$27,MATCH(69,$B$29:$GQ$29,0))</f>
        <v>7.2944945378628705E-4</v>
      </c>
      <c r="BS13">
        <f>INDEX($B$27:$GQ$27,MATCH(70,$B$29:$GQ$29,0))</f>
        <v>7.2551902137129969E-4</v>
      </c>
      <c r="BT13">
        <f>INDEX($B$27:$GQ$27,MATCH(71,$B$29:$GQ$29,0))</f>
        <v>7.1209714633580249E-4</v>
      </c>
      <c r="BU13">
        <f>INDEX($B$27:$GQ$27,MATCH(72,$B$29:$GQ$29,0))</f>
        <v>6.8119712617220086E-4</v>
      </c>
      <c r="BV13">
        <f>INDEX($B$27:$GQ$27,MATCH(73,$B$29:$GQ$29,0))</f>
        <v>6.4364842161842781E-4</v>
      </c>
      <c r="BW13">
        <f>INDEX($B$27:$GQ$27,MATCH(74,$B$29:$GQ$29,0))</f>
        <v>5.9640276974856686E-4</v>
      </c>
      <c r="BX13">
        <f>INDEX($B$27:$GQ$27,MATCH(75,$B$29:$GQ$29,0))</f>
        <v>5.6280983330436827E-4</v>
      </c>
      <c r="BY13">
        <f>INDEX($B$27:$GQ$27,MATCH(76,$B$29:$GQ$29,0))</f>
        <v>4.055039702572826E-4</v>
      </c>
      <c r="BZ13">
        <f>INDEX($B$27:$GQ$27,MATCH(77,$B$29:$GQ$29,0))</f>
        <v>2.8061358733085342E-4</v>
      </c>
      <c r="CA13">
        <f>INDEX($B$27:$GQ$27,MATCH(78,$B$29:$GQ$29,0))</f>
        <v>1.9833273928999059E-4</v>
      </c>
      <c r="CB13">
        <f>INDEX($B$27:$GQ$27,MATCH(79,$B$29:$GQ$29,0))</f>
        <v>1.9451882886496429E-4</v>
      </c>
      <c r="CC13">
        <f>INDEX($B$27:$GQ$27,MATCH(80,$B$29:$GQ$29,0))</f>
        <v>1.8505977360955901E-4</v>
      </c>
      <c r="CD13">
        <f>INDEX($B$27:$GQ$27,MATCH(81,$B$29:$GQ$29,0))</f>
        <v>1.6893888387807651E-4</v>
      </c>
      <c r="CE13">
        <f>INDEX($B$27:$GQ$27,MATCH(82,$B$29:$GQ$29,0))</f>
        <v>1.6774692765750561E-4</v>
      </c>
      <c r="CF13">
        <f>INDEX($B$27:$GQ$27,MATCH(83,$B$29:$GQ$29,0))</f>
        <v>1.609590712703002E-4</v>
      </c>
      <c r="CG13">
        <f>INDEX($B$27:$GQ$27,MATCH(84,$B$29:$GQ$29,0))</f>
        <v>1.4557489999642641E-4</v>
      </c>
      <c r="CH13">
        <f>INDEX($B$27:$GQ$27,MATCH(85,$B$29:$GQ$29,0))</f>
        <v>1.3695895804912941E-4</v>
      </c>
      <c r="CI13">
        <f>INDEX($B$27:$GQ$27,MATCH(86,$B$29:$GQ$29,0))</f>
        <v>1.3654211211384701E-4</v>
      </c>
      <c r="CJ13">
        <f>INDEX($B$27:$GQ$27,MATCH(87,$B$29:$GQ$29,0))</f>
        <v>1.2589476636141889E-4</v>
      </c>
      <c r="CK13">
        <f>INDEX($B$27:$GQ$27,MATCH(88,$B$29:$GQ$29,0))</f>
        <v>1.2506926096431611E-4</v>
      </c>
      <c r="CL13">
        <f>INDEX($B$27:$GQ$27,MATCH(89,$B$29:$GQ$29,0))</f>
        <v>1.133179029135751E-4</v>
      </c>
      <c r="CM13">
        <f>INDEX($B$27:$GQ$27,MATCH(90,$B$29:$GQ$29,0))</f>
        <v>1.127299266017867E-4</v>
      </c>
      <c r="CN13">
        <f>INDEX($B$27:$GQ$27,MATCH(91,$B$29:$GQ$29,0))</f>
        <v>1.0945661482164361E-4</v>
      </c>
      <c r="CO13">
        <f>INDEX($B$27:$GQ$27,MATCH(92,$B$29:$GQ$29,0))</f>
        <v>8.400421776518367E-5</v>
      </c>
      <c r="CP13">
        <f>INDEX($B$27:$GQ$27,MATCH(93,$B$29:$GQ$29,0))</f>
        <v>8.1874269117937525E-5</v>
      </c>
      <c r="CQ13">
        <f>INDEX($B$27:$GQ$27,MATCH(94,$B$29:$GQ$29,0))</f>
        <v>7.9594723309972502E-5</v>
      </c>
      <c r="CR13">
        <f>INDEX($B$27:$GQ$27,MATCH(95,$B$29:$GQ$29,0))</f>
        <v>7.4847753678974655E-5</v>
      </c>
      <c r="CS13">
        <f>INDEX($B$27:$GQ$27,MATCH(96,$B$29:$GQ$29,0))</f>
        <v>6.9772338850595798E-5</v>
      </c>
      <c r="CT13">
        <f>INDEX($B$27:$GQ$27,MATCH(97,$B$29:$GQ$29,0))</f>
        <v>6.8313936914100713E-5</v>
      </c>
      <c r="CU13">
        <f>INDEX($B$27:$GQ$27,MATCH(98,$B$29:$GQ$29,0))</f>
        <v>5.0840999049191703E-5</v>
      </c>
      <c r="CV13">
        <f>INDEX($B$27:$GQ$27,MATCH(99,$B$29:$GQ$29,0))</f>
        <v>5.0520330219928818E-5</v>
      </c>
      <c r="CW13">
        <f>INDEX($B$27:$GQ$27,MATCH(100,$B$29:$GQ$29,0))</f>
        <v>4.3433903734563322E-5</v>
      </c>
      <c r="CX13">
        <f>INDEX($B$27:$GQ$27,MATCH(101,$B$29:$GQ$29,0))</f>
        <v>4.1750874282875322E-5</v>
      </c>
      <c r="CY13">
        <f>INDEX($B$27:$GQ$27,MATCH(102,$B$29:$GQ$29,0))</f>
        <v>3.8580640771387447E-5</v>
      </c>
      <c r="CZ13">
        <f>INDEX($B$27:$GQ$27,MATCH(103,$B$29:$GQ$29,0))</f>
        <v>3.2163736100755061E-5</v>
      </c>
      <c r="DA13">
        <f>INDEX($B$27:$GQ$27,MATCH(104,$B$29:$GQ$29,0))</f>
        <v>2.9165688941531698E-5</v>
      </c>
      <c r="DB13">
        <f>INDEX($B$27:$GQ$27,MATCH(105,$B$29:$GQ$29,0))</f>
        <v>2.810828672329699E-5</v>
      </c>
      <c r="DC13">
        <f>INDEX($B$27:$GQ$27,MATCH(106,$B$29:$GQ$29,0))</f>
        <v>2.5374632387657408E-5</v>
      </c>
      <c r="DD13">
        <f>INDEX($B$27:$GQ$27,MATCH(107,$B$29:$GQ$29,0))</f>
        <v>2.3369641753392821E-5</v>
      </c>
      <c r="DE13">
        <f>INDEX($B$27:$GQ$27,MATCH(108,$B$29:$GQ$29,0))</f>
        <v>1.8304465255548839E-5</v>
      </c>
      <c r="DF13">
        <f>INDEX($B$27:$GQ$27,MATCH(109,$B$29:$GQ$29,0))</f>
        <v>1.5575290634961982E-5</v>
      </c>
      <c r="DG13">
        <f>INDEX($B$27:$GQ$27,MATCH(110,$B$29:$GQ$29,0))</f>
        <v>1.2595820558959631E-5</v>
      </c>
      <c r="DH13">
        <f>INDEX($B$27:$GQ$27,MATCH(111,$B$29:$GQ$29,0))</f>
        <v>9.2344053524861605E-6</v>
      </c>
      <c r="DI13">
        <f>INDEX($B$27:$GQ$27,MATCH(112,$B$29:$GQ$29,0))</f>
        <v>8.4892971204634099E-6</v>
      </c>
      <c r="DJ13">
        <f>INDEX($B$27:$GQ$27,MATCH(113,$B$29:$GQ$29,0))</f>
        <v>8.3300797684757652E-6</v>
      </c>
      <c r="DK13">
        <f>INDEX($B$27:$GQ$27,MATCH(114,$B$29:$GQ$29,0))</f>
        <v>7.1781861108933393E-6</v>
      </c>
      <c r="DL13">
        <f>INDEX($B$27:$GQ$27,MATCH(115,$B$29:$GQ$29,0))</f>
        <v>6.5570458331864944E-6</v>
      </c>
      <c r="DM13">
        <f>INDEX($B$27:$GQ$27,MATCH(116,$B$29:$GQ$29,0))</f>
        <v>6.1111065842648562E-6</v>
      </c>
      <c r="DN13">
        <f>INDEX($B$27:$GQ$27,MATCH(117,$B$29:$GQ$29,0))</f>
        <v>4.5108070509379357E-6</v>
      </c>
      <c r="DO13">
        <f>INDEX($B$27:$GQ$27,MATCH(118,$B$29:$GQ$29,0))</f>
        <v>2.7108459671863171E-6</v>
      </c>
      <c r="DP13">
        <f>INDEX($B$27:$GQ$27,MATCH(119,$B$29:$GQ$29,0))</f>
        <v>2.0813653398583119E-6</v>
      </c>
      <c r="DQ13">
        <f>INDEX($B$27:$GQ$27,MATCH(120,$B$29:$GQ$29,0))</f>
        <v>1.93632451148762E-6</v>
      </c>
      <c r="DR13">
        <f>INDEX($B$27:$GQ$27,MATCH(121,$B$29:$GQ$29,0))</f>
        <v>1.7045399718893479E-6</v>
      </c>
      <c r="DS13">
        <f>INDEX($B$27:$GQ$27,MATCH(122,$B$29:$GQ$29,0))</f>
        <v>1.603105992187516E-6</v>
      </c>
      <c r="DT13">
        <f>INDEX($B$27:$GQ$27,MATCH(123,$B$29:$GQ$29,0))</f>
        <v>1.046309319501166E-6</v>
      </c>
      <c r="DU13">
        <f>INDEX($B$27:$GQ$27,MATCH(124,$B$29:$GQ$29,0))</f>
        <v>8.9436526676490406E-7</v>
      </c>
      <c r="DV13">
        <f>INDEX($B$27:$GQ$27,MATCH(125,$B$29:$GQ$29,0))</f>
        <v>7.7096855280766705E-7</v>
      </c>
      <c r="DW13">
        <f>INDEX($B$27:$GQ$27,MATCH(126,$B$29:$GQ$29,0))</f>
        <v>6.6504207046073343E-7</v>
      </c>
      <c r="DX13">
        <f>INDEX($B$27:$GQ$27,MATCH(127,$B$29:$GQ$29,0))</f>
        <v>1.7361586858943499E-7</v>
      </c>
      <c r="DY13">
        <f>INDEX($B$27:$GQ$27,MATCH(128,$B$29:$GQ$29,0))</f>
        <v>6.1713748533302788E-8</v>
      </c>
      <c r="DZ13">
        <f>INDEX($B$27:$GQ$27,MATCH(129,$B$29:$GQ$29,0))</f>
        <v>4.1861672897628458E-8</v>
      </c>
      <c r="EA13">
        <f>INDEX($B$27:$GQ$27,MATCH(130,$B$29:$GQ$29,0))</f>
        <v>3.3935440607945729E-8</v>
      </c>
      <c r="EB13">
        <f>INDEX($B$27:$GQ$27,MATCH(131,$B$29:$GQ$29,0))</f>
        <v>8.2568595086066065E-9</v>
      </c>
      <c r="EC13">
        <f>INDEX($B$27:$GQ$27,MATCH(132,$B$29:$GQ$29,0))</f>
        <v>2.8557761444917491E-9</v>
      </c>
      <c r="ED13">
        <f>INDEX($B$27:$GQ$27,MATCH(133,$B$29:$GQ$29,0))</f>
        <v>3.2946083095806772E-10</v>
      </c>
      <c r="EE13">
        <f>INDEX($B$27:$GQ$27,MATCH(134,$B$29:$GQ$29,0))</f>
        <v>0</v>
      </c>
      <c r="EF13">
        <f>INDEX($B$27:$GQ$27,MATCH(135,$B$29:$GQ$29,0))</f>
        <v>0</v>
      </c>
      <c r="EG13">
        <f>INDEX($B$27:$GQ$27,MATCH(136,$B$29:$GQ$29,0))</f>
        <v>0</v>
      </c>
      <c r="EH13">
        <f>INDEX($B$27:$GQ$27,MATCH(137,$B$29:$GQ$29,0))</f>
        <v>0</v>
      </c>
      <c r="EI13">
        <f>INDEX($B$27:$GQ$27,MATCH(138,$B$29:$GQ$29,0))</f>
        <v>0</v>
      </c>
      <c r="EJ13">
        <f>INDEX($B$27:$GQ$27,MATCH(139,$B$29:$GQ$29,0))</f>
        <v>0</v>
      </c>
      <c r="EK13">
        <f>INDEX($B$27:$GQ$27,MATCH(140,$B$29:$GQ$29,0))</f>
        <v>0</v>
      </c>
      <c r="EL13">
        <f>INDEX($B$27:$GQ$27,MATCH(141,$B$29:$GQ$29,0))</f>
        <v>0</v>
      </c>
      <c r="EM13">
        <f>INDEX($B$27:$GQ$27,MATCH(142,$B$29:$GQ$29,0))</f>
        <v>0</v>
      </c>
      <c r="EN13">
        <f>INDEX($B$27:$GQ$27,MATCH(143,$B$29:$GQ$29,0))</f>
        <v>0</v>
      </c>
      <c r="EO13">
        <f>INDEX($B$27:$GQ$27,MATCH(144,$B$29:$GQ$29,0))</f>
        <v>0</v>
      </c>
      <c r="EP13">
        <f>INDEX($B$27:$GQ$27,MATCH(145,$B$29:$GQ$29,0))</f>
        <v>0</v>
      </c>
      <c r="EQ13">
        <f>INDEX($B$27:$GQ$27,MATCH(146,$B$29:$GQ$29,0))</f>
        <v>0</v>
      </c>
      <c r="ER13">
        <f>INDEX($B$27:$GQ$27,MATCH(147,$B$29:$GQ$29,0))</f>
        <v>0</v>
      </c>
      <c r="ES13">
        <f>INDEX($B$27:$GQ$27,MATCH(148,$B$29:$GQ$29,0))</f>
        <v>0</v>
      </c>
      <c r="ET13">
        <f>INDEX($B$27:$GQ$27,MATCH(149,$B$29:$GQ$29,0))</f>
        <v>0</v>
      </c>
      <c r="EU13">
        <f>INDEX($B$27:$GQ$27,MATCH(150,$B$29:$GQ$29,0))</f>
        <v>0</v>
      </c>
      <c r="EV13">
        <f>INDEX($B$27:$GQ$27,MATCH(151,$B$29:$GQ$29,0))</f>
        <v>0</v>
      </c>
      <c r="EW13">
        <f>INDEX($B$27:$GQ$27,MATCH(152,$B$29:$GQ$29,0))</f>
        <v>0</v>
      </c>
      <c r="EX13">
        <f>INDEX($B$27:$GQ$27,MATCH(153,$B$29:$GQ$29,0))</f>
        <v>0</v>
      </c>
      <c r="EY13">
        <f>INDEX($B$27:$GQ$27,MATCH(154,$B$29:$GQ$29,0))</f>
        <v>0</v>
      </c>
      <c r="EZ13">
        <f>INDEX($B$27:$GQ$27,MATCH(155,$B$29:$GQ$29,0))</f>
        <v>0</v>
      </c>
      <c r="FA13">
        <f>INDEX($B$27:$GQ$27,MATCH(156,$B$29:$GQ$29,0))</f>
        <v>0</v>
      </c>
      <c r="FB13">
        <f>INDEX($B$27:$GQ$27,MATCH(157,$B$29:$GQ$29,0))</f>
        <v>0</v>
      </c>
      <c r="FC13">
        <f>INDEX($B$27:$GQ$27,MATCH(158,$B$29:$GQ$29,0))</f>
        <v>0</v>
      </c>
      <c r="FD13">
        <f>INDEX($B$27:$GQ$27,MATCH(159,$B$29:$GQ$29,0))</f>
        <v>0</v>
      </c>
      <c r="FE13">
        <f>INDEX($B$27:$GQ$27,MATCH(160,$B$29:$GQ$29,0))</f>
        <v>0</v>
      </c>
      <c r="FF13">
        <f>INDEX($B$27:$GQ$27,MATCH(161,$B$29:$GQ$29,0))</f>
        <v>0</v>
      </c>
      <c r="FG13">
        <f>INDEX($B$27:$GQ$27,MATCH(162,$B$29:$GQ$29,0))</f>
        <v>0</v>
      </c>
      <c r="FH13">
        <f>INDEX($B$27:$GQ$27,MATCH(163,$B$29:$GQ$29,0))</f>
        <v>0</v>
      </c>
      <c r="FI13">
        <f>INDEX($B$27:$GQ$27,MATCH(164,$B$29:$GQ$29,0))</f>
        <v>0</v>
      </c>
      <c r="FJ13">
        <f>INDEX($B$27:$GQ$27,MATCH(165,$B$29:$GQ$29,0))</f>
        <v>0</v>
      </c>
      <c r="FK13">
        <f>INDEX($B$27:$GQ$27,MATCH(166,$B$29:$GQ$29,0))</f>
        <v>0</v>
      </c>
      <c r="FL13">
        <f>INDEX($B$27:$GQ$27,MATCH(167,$B$29:$GQ$29,0))</f>
        <v>0</v>
      </c>
      <c r="FM13">
        <f>INDEX($B$27:$GQ$27,MATCH(168,$B$29:$GQ$29,0))</f>
        <v>0</v>
      </c>
      <c r="FN13">
        <f>INDEX($B$27:$GQ$27,MATCH(169,$B$29:$GQ$29,0))</f>
        <v>0</v>
      </c>
      <c r="FO13">
        <f>INDEX($B$27:$GQ$27,MATCH(170,$B$29:$GQ$29,0))</f>
        <v>0</v>
      </c>
      <c r="FP13">
        <f>INDEX($B$27:$GQ$27,MATCH(171,$B$29:$GQ$29,0))</f>
        <v>0</v>
      </c>
      <c r="FQ13">
        <f>INDEX($B$27:$GQ$27,MATCH(172,$B$29:$GQ$29,0))</f>
        <v>0</v>
      </c>
      <c r="FR13">
        <f>INDEX($B$27:$GQ$27,MATCH(173,$B$29:$GQ$29,0))</f>
        <v>0</v>
      </c>
      <c r="FS13">
        <f>INDEX($B$27:$GQ$27,MATCH(174,$B$29:$GQ$29,0))</f>
        <v>0</v>
      </c>
      <c r="FT13">
        <f>INDEX($B$27:$GQ$27,MATCH(175,$B$29:$GQ$29,0))</f>
        <v>0</v>
      </c>
      <c r="FU13">
        <f>INDEX($B$27:$GQ$27,MATCH(176,$B$29:$GQ$29,0))</f>
        <v>0</v>
      </c>
      <c r="FV13">
        <f>INDEX($B$27:$GQ$27,MATCH(177,$B$29:$GQ$29,0))</f>
        <v>0</v>
      </c>
      <c r="FW13">
        <f>INDEX($B$27:$GQ$27,MATCH(178,$B$29:$GQ$29,0))</f>
        <v>0</v>
      </c>
      <c r="FX13">
        <f>INDEX($B$27:$GQ$27,MATCH(179,$B$29:$GQ$29,0))</f>
        <v>0</v>
      </c>
      <c r="FY13">
        <f>INDEX($B$27:$GQ$27,MATCH(180,$B$29:$GQ$29,0))</f>
        <v>0</v>
      </c>
      <c r="FZ13">
        <f>INDEX($B$27:$GQ$27,MATCH(181,$B$29:$GQ$29,0))</f>
        <v>0</v>
      </c>
      <c r="GA13">
        <f>INDEX($B$27:$GQ$27,MATCH(182,$B$29:$GQ$29,0))</f>
        <v>0</v>
      </c>
      <c r="GB13">
        <f>INDEX($B$27:$GQ$27,MATCH(183,$B$29:$GQ$29,0))</f>
        <v>0</v>
      </c>
      <c r="GC13">
        <f>INDEX($B$27:$GQ$27,MATCH(184,$B$29:$GQ$29,0))</f>
        <v>0</v>
      </c>
      <c r="GD13">
        <f>INDEX($B$27:$GQ$27,MATCH(185,$B$29:$GQ$29,0))</f>
        <v>0</v>
      </c>
      <c r="GE13">
        <f>INDEX($B$27:$GQ$27,MATCH(186,$B$29:$GQ$29,0))</f>
        <v>0</v>
      </c>
      <c r="GF13">
        <f>INDEX($B$27:$GQ$27,MATCH(187,$B$29:$GQ$29,0))</f>
        <v>0</v>
      </c>
      <c r="GG13">
        <f>INDEX($B$27:$GQ$27,MATCH(188,$B$29:$GQ$29,0))</f>
        <v>0</v>
      </c>
      <c r="GH13">
        <f>INDEX($B$27:$GQ$27,MATCH(189,$B$29:$GQ$29,0))</f>
        <v>0</v>
      </c>
      <c r="GI13">
        <f>INDEX($B$27:$GQ$27,MATCH(190,$B$29:$GQ$29,0))</f>
        <v>0</v>
      </c>
      <c r="GJ13">
        <f>INDEX($B$27:$GQ$27,MATCH(191,$B$29:$GQ$29,0))</f>
        <v>0</v>
      </c>
      <c r="GK13">
        <f>INDEX($B$27:$GQ$27,MATCH(192,$B$29:$GQ$29,0))</f>
        <v>0</v>
      </c>
      <c r="GL13">
        <f>INDEX($B$27:$GQ$27,MATCH(193,$B$29:$GQ$29,0))</f>
        <v>0</v>
      </c>
      <c r="GM13">
        <f>INDEX($B$27:$GQ$27,MATCH(194,$B$29:$GQ$29,0))</f>
        <v>0</v>
      </c>
      <c r="GN13">
        <f>INDEX($B$27:$GQ$27,MATCH(195,$B$29:$GQ$29,0))</f>
        <v>0</v>
      </c>
      <c r="GO13">
        <f>INDEX($B$27:$GQ$27,MATCH(196,$B$29:$GQ$29,0))</f>
        <v>0</v>
      </c>
      <c r="GP13">
        <f>INDEX($B$27:$GQ$27,MATCH(197,$B$29:$GQ$29,0))</f>
        <v>0</v>
      </c>
      <c r="GQ13">
        <f>INDEX($B$27:$GQ$27,MATCH(198,$B$29:$GQ$29,0))</f>
        <v>0</v>
      </c>
      <c r="GR13">
        <f>INDEX($GR$27:$HC$27,MATCH(1,$GR$30:$HC$30,0))</f>
        <v>0.39247360491063621</v>
      </c>
      <c r="GS13">
        <f>INDEX($GR$27:$HC$27,MATCH(2,$GR$30:$HC$30,0))</f>
        <v>0.27078374820836187</v>
      </c>
      <c r="GT13">
        <f>INDEX($GR$27:$HC$27,MATCH(3,$GR$30:$HC$30,0))</f>
        <v>0.18606005939784351</v>
      </c>
      <c r="GU13">
        <f>INDEX($GR$27:$HC$27,MATCH(4,$GR$30:$HC$30,0))</f>
        <v>0.17926733141914289</v>
      </c>
      <c r="GV13">
        <f>INDEX($GR$27:$HC$27,MATCH(5,$GR$30:$HC$30,0))</f>
        <v>0.13579133614994429</v>
      </c>
      <c r="GW13">
        <f>INDEX($GR$27:$HC$27,MATCH(6,$GR$30:$HC$30,0))</f>
        <v>0.13018209237814701</v>
      </c>
      <c r="GX13">
        <f>INDEX($GR$27:$HC$27,MATCH(7,$GR$30:$HC$30,0))</f>
        <v>8.8812450910648322E-2</v>
      </c>
      <c r="GY13">
        <f>INDEX($GR$27:$HC$27,MATCH(8,$GR$30:$HC$30,0))</f>
        <v>8.4656541193265183E-2</v>
      </c>
      <c r="GZ13">
        <f>INDEX($GR$27:$HC$27,MATCH(9,$GR$30:$HC$30,0))</f>
        <v>6.5306128863352783E-2</v>
      </c>
      <c r="HA13">
        <f>INDEX($GR$27:$HC$27,MATCH(10,$GR$30:$HC$30,0))</f>
        <v>5.1256734046742559E-2</v>
      </c>
      <c r="HB13">
        <f>INDEX($GR$27:$HC$27,MATCH(11,$GR$30:$HC$30,0))</f>
        <v>4.8912495663956598E-2</v>
      </c>
      <c r="HC13">
        <f>INDEX($GR$27:$HC$27,MATCH(12,$GR$30:$HC$30,0))</f>
        <v>4.0360949172933952E-2</v>
      </c>
    </row>
    <row r="14" spans="1:211" x14ac:dyDescent="0.45">
      <c r="A14" s="2" t="str">
        <f>"Part de "&amp;$B$1&amp;" (%)"</f>
        <v>Part de M_imp*Y_dom+M_dom*Y_dom+M_row*Y_imp (%)</v>
      </c>
      <c r="B14" s="3">
        <f>IFERROR(INDEX($B$28:$GQ$28,MATCH(1,$B$29:$GQ$29,0))/SUM($B$28:$GQ$28)*100,0)</f>
        <v>16.272760311822175</v>
      </c>
      <c r="C14" s="3">
        <f>IFERROR(INDEX($B$28:$GQ$28,MATCH(2,$B$29:$GQ$29,0))/SUM($B$28:$GQ$28)*100,0)</f>
        <v>11.166878400768558</v>
      </c>
      <c r="D14" s="3">
        <f>IFERROR(INDEX($B$28:$GQ$28,MATCH(3,$B$29:$GQ$29,0))/SUM($B$28:$GQ$28)*100,0)</f>
        <v>7.7773851144714872</v>
      </c>
      <c r="E14" s="3">
        <f>IFERROR(INDEX($B$28:$GQ$28,MATCH(4,$B$29:$GQ$29,0))/SUM($B$28:$GQ$28)*100,0)</f>
        <v>6.2106586226312945</v>
      </c>
      <c r="F14" s="3">
        <f>IFERROR(INDEX($B$28:$GQ$28,MATCH(5,$B$29:$GQ$29,0))/SUM($B$28:$GQ$28)*100,0)</f>
        <v>5.5322842814824913</v>
      </c>
      <c r="G14" s="3">
        <f>IFERROR(INDEX($B$28:$GQ$28,MATCH(6,$B$29:$GQ$29,0))/SUM($B$28:$GQ$28)*100,0)</f>
        <v>5.2151911213682434</v>
      </c>
      <c r="H14" s="3">
        <f>IFERROR(INDEX($B$28:$GQ$28,MATCH(7,$B$29:$GQ$29,0))/SUM($B$28:$GQ$28)*100,0)</f>
        <v>4.5765083201200758</v>
      </c>
      <c r="I14" s="3">
        <f>IFERROR(INDEX($B$28:$GQ$28,MATCH(8,$B$29:$GQ$29,0))/SUM($B$28:$GQ$28)*100,0)</f>
        <v>3.4227784009075384</v>
      </c>
      <c r="J14" s="3">
        <f>IFERROR(INDEX($B$28:$GQ$28,MATCH(9,$B$29:$GQ$29,0))/SUM($B$28:$GQ$28)*100,0)</f>
        <v>3.0115061381721637</v>
      </c>
      <c r="K14" s="3">
        <f>IFERROR(INDEX($B$28:$GQ$28,MATCH(10,$B$29:$GQ$29,0))/SUM($B$28:$GQ$28)*100,0)</f>
        <v>2.7946990887460283</v>
      </c>
      <c r="L14" s="3">
        <f>IFERROR(INDEX($B$28:$GQ$28,MATCH(11,$B$29:$GQ$29,0))/SUM($B$28:$GQ$28)*100,0)</f>
        <v>2.785058740467897</v>
      </c>
      <c r="M14" s="3">
        <f>IFERROR(INDEX($B$28:$GQ$28,MATCH(12,$B$29:$GQ$29,0))/SUM($B$28:$GQ$28)*100,0)</f>
        <v>2.5314532751586452</v>
      </c>
      <c r="N14" s="3">
        <f>IFERROR(INDEX($B$28:$GQ$28,MATCH(13,$B$29:$GQ$29,0))/SUM($B$28:$GQ$28)*100,0)</f>
        <v>2.2500070805249281</v>
      </c>
      <c r="O14" s="3">
        <f>IFERROR(INDEX($B$28:$GQ$28,MATCH(14,$B$29:$GQ$29,0))/SUM($B$28:$GQ$28)*100,0)</f>
        <v>2.0979339104270958</v>
      </c>
      <c r="P14" s="3">
        <f>IFERROR(INDEX($B$28:$GQ$28,MATCH(15,$B$29:$GQ$29,0))/SUM($B$28:$GQ$28)*100,0)</f>
        <v>1.965790629017578</v>
      </c>
      <c r="Q14" s="3">
        <f>IFERROR(INDEX($B$28:$GQ$28,MATCH(16,$B$29:$GQ$29,0))/SUM($B$28:$GQ$28)*100,0)</f>
        <v>1.9588426480040249</v>
      </c>
      <c r="R14" s="3">
        <f>IFERROR(INDEX($B$28:$GQ$28,MATCH(17,$B$29:$GQ$29,0))/SUM($B$28:$GQ$28)*100,0)</f>
        <v>1.7992891658212136</v>
      </c>
      <c r="S14" s="3">
        <f>IFERROR(INDEX($B$28:$GQ$28,MATCH(18,$B$29:$GQ$29,0))/SUM($B$28:$GQ$28)*100,0)</f>
        <v>1.7663291774594601</v>
      </c>
      <c r="T14" s="3">
        <f>IFERROR(INDEX($B$28:$GQ$28,MATCH(19,$B$29:$GQ$29,0))/SUM($B$28:$GQ$28)*100,0)</f>
        <v>1.6544026353649981</v>
      </c>
      <c r="U14" s="3">
        <f>IFERROR(INDEX($B$28:$GQ$28,MATCH(20,$B$29:$GQ$29,0))/SUM($B$28:$GQ$28)*100,0)</f>
        <v>1.2606766069093704</v>
      </c>
      <c r="V14" s="3">
        <f>IFERROR(INDEX($B$28:$GQ$28,MATCH(21,$B$29:$GQ$29,0))/SUM($B$28:$GQ$28)*100,0)</f>
        <v>1.2581181026405672</v>
      </c>
      <c r="W14" s="3">
        <f>IFERROR(INDEX($B$28:$GQ$28,MATCH(22,$B$29:$GQ$29,0))/SUM($B$28:$GQ$28)*100,0)</f>
        <v>1.2147783745541132</v>
      </c>
      <c r="X14" s="3">
        <f>IFERROR(INDEX($B$28:$GQ$28,MATCH(23,$B$29:$GQ$29,0))/SUM($B$28:$GQ$28)*100,0)</f>
        <v>0.96020113810566499</v>
      </c>
      <c r="Y14" s="3">
        <f>IFERROR(INDEX($B$28:$GQ$28,MATCH(24,$B$29:$GQ$29,0))/SUM($B$28:$GQ$28)*100,0)</f>
        <v>0.67407769943482088</v>
      </c>
      <c r="Z14" s="3">
        <f>IFERROR(INDEX($B$28:$GQ$28,MATCH(25,$B$29:$GQ$29,0))/SUM($B$28:$GQ$28)*100,0)</f>
        <v>0.67336968891092974</v>
      </c>
      <c r="AA14" s="3">
        <f>IFERROR(INDEX($B$28:$GQ$28,MATCH(26,$B$29:$GQ$29,0))/SUM($B$28:$GQ$28)*100,0)</f>
        <v>0.60574957888946734</v>
      </c>
      <c r="AB14" s="3">
        <f>IFERROR(INDEX($B$28:$GQ$28,MATCH(27,$B$29:$GQ$29,0))/SUM($B$28:$GQ$28)*100,0)</f>
        <v>0.60406312165670117</v>
      </c>
      <c r="AC14" s="3">
        <f>IFERROR(INDEX($B$28:$GQ$28,MATCH(28,$B$29:$GQ$29,0))/SUM($B$28:$GQ$28)*100,0)</f>
        <v>0.54436556252007884</v>
      </c>
      <c r="AD14" s="3">
        <f>IFERROR(INDEX($B$28:$GQ$28,MATCH(29,$B$29:$GQ$29,0))/SUM($B$28:$GQ$28)*100,0)</f>
        <v>0.50766703408019154</v>
      </c>
      <c r="AE14" s="3">
        <f>IFERROR(INDEX($B$28:$GQ$28,MATCH(30,$B$29:$GQ$29,0))/SUM($B$28:$GQ$28)*100,0)</f>
        <v>0.40907186917573884</v>
      </c>
      <c r="AF14" s="3">
        <f>IFERROR(INDEX($B$28:$GQ$28,MATCH(31,$B$29:$GQ$29,0))/SUM($B$28:$GQ$28)*100,0)</f>
        <v>0.39858499859007573</v>
      </c>
      <c r="AG14" s="3">
        <f>IFERROR(INDEX($B$28:$GQ$28,MATCH(32,$B$29:$GQ$29,0))/SUM($B$28:$GQ$28)*100,0)</f>
        <v>0.36693104864261594</v>
      </c>
      <c r="AH14" s="3">
        <f>IFERROR(INDEX($B$28:$GQ$28,MATCH(33,$B$29:$GQ$29,0))/SUM($B$28:$GQ$28)*100,0)</f>
        <v>0.35446752256984365</v>
      </c>
      <c r="AI14" s="3">
        <f>IFERROR(INDEX($B$28:$GQ$28,MATCH(34,$B$29:$GQ$29,0))/SUM($B$28:$GQ$28)*100,0)</f>
        <v>0.34733540859570461</v>
      </c>
      <c r="AJ14" s="3">
        <f>IFERROR(INDEX($B$28:$GQ$28,MATCH(35,$B$29:$GQ$29,0))/SUM($B$28:$GQ$28)*100,0)</f>
        <v>0.33188713293784267</v>
      </c>
      <c r="AK14" s="3">
        <f>IFERROR(INDEX($B$28:$GQ$28,MATCH(36,$B$29:$GQ$29,0))/SUM($B$28:$GQ$28)*100,0)</f>
        <v>0.32113314451451613</v>
      </c>
      <c r="AL14" s="3">
        <f>IFERROR(INDEX($B$28:$GQ$28,MATCH(37,$B$29:$GQ$29,0))/SUM($B$28:$GQ$28)*100,0)</f>
        <v>0.27239893225849771</v>
      </c>
      <c r="AM14" s="3">
        <f>IFERROR(INDEX($B$28:$GQ$28,MATCH(38,$B$29:$GQ$29,0))/SUM($B$28:$GQ$28)*100,0)</f>
        <v>0.26052737454326141</v>
      </c>
      <c r="AN14" s="3">
        <f>IFERROR(INDEX($B$28:$GQ$28,MATCH(39,$B$29:$GQ$29,0))/SUM($B$28:$GQ$28)*100,0)</f>
        <v>0.22022601045659412</v>
      </c>
      <c r="AO14" s="3">
        <f>IFERROR(INDEX($B$28:$GQ$28,MATCH(40,$B$29:$GQ$29,0))/SUM($B$28:$GQ$28)*100,0)</f>
        <v>0.20921671872744349</v>
      </c>
      <c r="AP14" s="3">
        <f>IFERROR(INDEX($B$28:$GQ$28,MATCH(41,$B$29:$GQ$29,0))/SUM($B$28:$GQ$28)*100,0)</f>
        <v>0.19999777633012938</v>
      </c>
      <c r="AQ14" s="3">
        <f>IFERROR(INDEX($B$28:$GQ$28,MATCH(42,$B$29:$GQ$29,0))/SUM($B$28:$GQ$28)*100,0)</f>
        <v>0.19402629080544417</v>
      </c>
      <c r="AR14" s="3">
        <f>IFERROR(INDEX($B$28:$GQ$28,MATCH(43,$B$29:$GQ$29,0))/SUM($B$28:$GQ$28)*100,0)</f>
        <v>0.18852473045603577</v>
      </c>
      <c r="AS14" s="3">
        <f>IFERROR(INDEX($B$28:$GQ$28,MATCH(44,$B$29:$GQ$29,0))/SUM($B$28:$GQ$28)*100,0)</f>
        <v>0.18413856421117633</v>
      </c>
      <c r="AT14" s="3">
        <f>IFERROR(INDEX($B$28:$GQ$28,MATCH(45,$B$29:$GQ$29,0))/SUM($B$28:$GQ$28)*100,0)</f>
        <v>0.17362979120966354</v>
      </c>
      <c r="AU14" s="3">
        <f>IFERROR(INDEX($B$28:$GQ$28,MATCH(46,$B$29:$GQ$29,0))/SUM($B$28:$GQ$28)*100,0)</f>
        <v>0.15938974745162213</v>
      </c>
      <c r="AV14" s="3">
        <f>IFERROR(INDEX($B$28:$GQ$28,MATCH(47,$B$29:$GQ$29,0))/SUM($B$28:$GQ$28)*100,0)</f>
        <v>0.15427562498908104</v>
      </c>
      <c r="AW14" s="3">
        <f>IFERROR(INDEX($B$28:$GQ$28,MATCH(48,$B$29:$GQ$29,0))/SUM($B$28:$GQ$28)*100,0)</f>
        <v>0.13051320251736229</v>
      </c>
      <c r="AX14" s="3">
        <f>IFERROR(INDEX($B$28:$GQ$28,MATCH(49,$B$29:$GQ$29,0))/SUM($B$28:$GQ$28)*100,0)</f>
        <v>0.12927458567526379</v>
      </c>
      <c r="AY14" s="3">
        <f>IFERROR(INDEX($B$28:$GQ$28,MATCH(50,$B$29:$GQ$29,0))/SUM($B$28:$GQ$28)*100,0)</f>
        <v>0.10525993595568149</v>
      </c>
      <c r="AZ14" s="3">
        <f>IFERROR(INDEX($B$28:$GQ$28,MATCH(51,$B$29:$GQ$29,0))/SUM($B$28:$GQ$28)*100,0)</f>
        <v>0.10184496386841387</v>
      </c>
      <c r="BA14" s="3">
        <f>IFERROR(INDEX($B$28:$GQ$28,MATCH(52,$B$29:$GQ$29,0))/SUM($B$28:$GQ$28)*100,0)</f>
        <v>9.8297613940287229E-2</v>
      </c>
      <c r="BB14" s="3">
        <f>IFERROR(INDEX($B$28:$GQ$28,MATCH(53,$B$29:$GQ$29,0))/SUM($B$28:$GQ$28)*100,0)</f>
        <v>9.5478682476026588E-2</v>
      </c>
      <c r="BC14" s="3">
        <f>IFERROR(INDEX($B$28:$GQ$28,MATCH(54,$B$29:$GQ$29,0))/SUM($B$28:$GQ$28)*100,0)</f>
        <v>9.3935200063801724E-2</v>
      </c>
      <c r="BD14" s="3">
        <f>IFERROR(INDEX($B$28:$GQ$28,MATCH(55,$B$29:$GQ$29,0))/SUM($B$28:$GQ$28)*100,0)</f>
        <v>8.8984543043144279E-2</v>
      </c>
      <c r="BE14" s="3">
        <f>IFERROR(INDEX($B$28:$GQ$28,MATCH(56,$B$29:$GQ$29,0))/SUM($B$28:$GQ$28)*100,0)</f>
        <v>8.8508650480665543E-2</v>
      </c>
      <c r="BF14" s="3">
        <f>IFERROR(INDEX($B$28:$GQ$28,MATCH(57,$B$29:$GQ$29,0))/SUM($B$28:$GQ$28)*100,0)</f>
        <v>7.7592906102737072E-2</v>
      </c>
      <c r="BG14" s="3">
        <f>IFERROR(INDEX($B$28:$GQ$28,MATCH(58,$B$29:$GQ$29,0))/SUM($B$28:$GQ$28)*100,0)</f>
        <v>6.687068742112709E-2</v>
      </c>
      <c r="BH14" s="3">
        <f>IFERROR(INDEX($B$28:$GQ$28,MATCH(59,$B$29:$GQ$29,0))/SUM($B$28:$GQ$28)*100,0)</f>
        <v>6.6076885817051081E-2</v>
      </c>
      <c r="BI14" s="3">
        <f>IFERROR(INDEX($B$28:$GQ$28,MATCH(60,$B$29:$GQ$29,0))/SUM($B$28:$GQ$28)*100,0)</f>
        <v>6.5941043470302954E-2</v>
      </c>
      <c r="BJ14" s="3">
        <f>IFERROR(INDEX($B$28:$GQ$28,MATCH(61,$B$29:$GQ$29,0))/SUM($B$28:$GQ$28)*100,0)</f>
        <v>6.4321499613599356E-2</v>
      </c>
      <c r="BK14" s="3">
        <f>IFERROR(INDEX($B$28:$GQ$28,MATCH(62,$B$29:$GQ$29,0))/SUM($B$28:$GQ$28)*100,0)</f>
        <v>6.1249184850166061E-2</v>
      </c>
      <c r="BL14" s="3">
        <f>IFERROR(INDEX($B$28:$GQ$28,MATCH(63,$B$29:$GQ$29,0))/SUM($B$28:$GQ$28)*100,0)</f>
        <v>5.8214210496357069E-2</v>
      </c>
      <c r="BM14" s="3">
        <f>IFERROR(INDEX($B$28:$GQ$28,MATCH(64,$B$29:$GQ$29,0))/SUM($B$28:$GQ$28)*100,0)</f>
        <v>5.2504318934411612E-2</v>
      </c>
      <c r="BN14" s="3">
        <f>IFERROR(INDEX($B$28:$GQ$28,MATCH(65,$B$29:$GQ$29,0))/SUM($B$28:$GQ$28)*100,0)</f>
        <v>5.1458187273548131E-2</v>
      </c>
      <c r="BO14" s="3">
        <f>IFERROR(INDEX($B$28:$GQ$28,MATCH(66,$B$29:$GQ$29,0))/SUM($B$28:$GQ$28)*100,0)</f>
        <v>4.977764469452365E-2</v>
      </c>
      <c r="BP14" s="3">
        <f>IFERROR(INDEX($B$28:$GQ$28,MATCH(67,$B$29:$GQ$29,0))/SUM($B$28:$GQ$28)*100,0)</f>
        <v>4.7694985787917449E-2</v>
      </c>
      <c r="BQ14" s="3">
        <f>IFERROR(INDEX($B$28:$GQ$28,MATCH(68,$B$29:$GQ$29,0))/SUM($B$28:$GQ$28)*100,0)</f>
        <v>4.7435823804549949E-2</v>
      </c>
      <c r="BR14" s="3">
        <f>IFERROR(INDEX($B$28:$GQ$28,MATCH(69,$B$29:$GQ$29,0))/SUM($B$28:$GQ$28)*100,0)</f>
        <v>4.5438693628418028E-2</v>
      </c>
      <c r="BS14" s="3">
        <f>IFERROR(INDEX($B$28:$GQ$28,MATCH(70,$B$29:$GQ$29,0))/SUM($B$28:$GQ$28)*100,0)</f>
        <v>4.5193860057832977E-2</v>
      </c>
      <c r="BT14" s="3">
        <f>IFERROR(INDEX($B$28:$GQ$28,MATCH(71,$B$29:$GQ$29,0))/SUM($B$28:$GQ$28)*100,0)</f>
        <v>4.4357787778264789E-2</v>
      </c>
      <c r="BU14" s="3">
        <f>IFERROR(INDEX($B$28:$GQ$28,MATCH(72,$B$29:$GQ$29,0))/SUM($B$28:$GQ$28)*100,0)</f>
        <v>4.2432970997557197E-2</v>
      </c>
      <c r="BV14" s="3">
        <f>IFERROR(INDEX($B$28:$GQ$28,MATCH(73,$B$29:$GQ$29,0))/SUM($B$28:$GQ$28)*100,0)</f>
        <v>4.009399593423122E-2</v>
      </c>
      <c r="BW14" s="3">
        <f>IFERROR(INDEX($B$28:$GQ$28,MATCH(74,$B$29:$GQ$29,0))/SUM($B$28:$GQ$28)*100,0)</f>
        <v>3.7150980911810676E-2</v>
      </c>
      <c r="BX14" s="3">
        <f>IFERROR(INDEX($B$28:$GQ$28,MATCH(75,$B$29:$GQ$29,0))/SUM($B$28:$GQ$28)*100,0)</f>
        <v>3.5058417624191755E-2</v>
      </c>
      <c r="BY14" s="3">
        <f>IFERROR(INDEX($B$28:$GQ$28,MATCH(76,$B$29:$GQ$29,0))/SUM($B$28:$GQ$28)*100,0)</f>
        <v>2.5259557840488969E-2</v>
      </c>
      <c r="BZ14" s="3">
        <f>IFERROR(INDEX($B$28:$GQ$28,MATCH(77,$B$29:$GQ$29,0))/SUM($B$28:$GQ$28)*100,0)</f>
        <v>1.7479915512327821E-2</v>
      </c>
      <c r="CA14" s="3">
        <f>IFERROR(INDEX($B$28:$GQ$28,MATCH(78,$B$29:$GQ$29,0))/SUM($B$28:$GQ$28)*100,0)</f>
        <v>1.2354496298962349E-2</v>
      </c>
      <c r="CB14" s="3">
        <f>IFERROR(INDEX($B$28:$GQ$28,MATCH(79,$B$29:$GQ$29,0))/SUM($B$28:$GQ$28)*100,0)</f>
        <v>1.2116921088741172E-2</v>
      </c>
      <c r="CC14" s="3">
        <f>IFERROR(INDEX($B$28:$GQ$28,MATCH(80,$B$29:$GQ$29,0))/SUM($B$28:$GQ$28)*100,0)</f>
        <v>1.1527699845879617E-2</v>
      </c>
      <c r="CD14" s="3">
        <f>IFERROR(INDEX($B$28:$GQ$28,MATCH(81,$B$29:$GQ$29,0))/SUM($B$28:$GQ$28)*100,0)</f>
        <v>1.0523501178344588E-2</v>
      </c>
      <c r="CE14" s="3">
        <f>IFERROR(INDEX($B$28:$GQ$28,MATCH(82,$B$29:$GQ$29,0))/SUM($B$28:$GQ$28)*100,0)</f>
        <v>1.044925212209555E-2</v>
      </c>
      <c r="CF14" s="3">
        <f>IFERROR(INDEX($B$28:$GQ$28,MATCH(83,$B$29:$GQ$29,0))/SUM($B$28:$GQ$28)*100,0)</f>
        <v>1.0026424570205587E-2</v>
      </c>
      <c r="CG14" s="3">
        <f>IFERROR(INDEX($B$28:$GQ$28,MATCH(84,$B$29:$GQ$29,0))/SUM($B$28:$GQ$28)*100,0)</f>
        <v>9.0681173953736163E-3</v>
      </c>
      <c r="CH14" s="3">
        <f>IFERROR(INDEX($B$28:$GQ$28,MATCH(85,$B$29:$GQ$29,0))/SUM($B$28:$GQ$28)*100,0)</f>
        <v>8.5314151681920684E-3</v>
      </c>
      <c r="CI14" s="3">
        <f>IFERROR(INDEX($B$28:$GQ$28,MATCH(86,$B$29:$GQ$29,0))/SUM($B$28:$GQ$28)*100,0)</f>
        <v>8.5054490993366691E-3</v>
      </c>
      <c r="CJ14" s="3">
        <f>IFERROR(INDEX($B$28:$GQ$28,MATCH(87,$B$29:$GQ$29,0))/SUM($B$28:$GQ$28)*100,0)</f>
        <v>7.842207144614248E-3</v>
      </c>
      <c r="CK14" s="3">
        <f>IFERROR(INDEX($B$28:$GQ$28,MATCH(88,$B$29:$GQ$29,0))/SUM($B$28:$GQ$28)*100,0)</f>
        <v>7.7907849567808623E-3</v>
      </c>
      <c r="CL14" s="3">
        <f>IFERROR(INDEX($B$28:$GQ$28,MATCH(89,$B$29:$GQ$29,0))/SUM($B$28:$GQ$28)*100,0)</f>
        <v>7.058772127908548E-3</v>
      </c>
      <c r="CM14" s="3">
        <f>IFERROR(INDEX($B$28:$GQ$28,MATCH(90,$B$29:$GQ$29,0))/SUM($B$28:$GQ$28)*100,0)</f>
        <v>7.0221460459320064E-3</v>
      </c>
      <c r="CN14" s="3">
        <f>IFERROR(INDEX($B$28:$GQ$28,MATCH(91,$B$29:$GQ$29,0))/SUM($B$28:$GQ$28)*100,0)</f>
        <v>6.8182456792154518E-3</v>
      </c>
      <c r="CO14" s="3">
        <f>IFERROR(INDEX($B$28:$GQ$28,MATCH(92,$B$29:$GQ$29,0))/SUM($B$28:$GQ$28)*100,0)</f>
        <v>5.2327709544702774E-3</v>
      </c>
      <c r="CP14" s="3">
        <f>IFERROR(INDEX($B$28:$GQ$28,MATCH(93,$B$29:$GQ$29,0))/SUM($B$28:$GQ$28)*100,0)</f>
        <v>5.1000926948264833E-3</v>
      </c>
      <c r="CQ14" s="3">
        <f>IFERROR(INDEX($B$28:$GQ$28,MATCH(94,$B$29:$GQ$29,0))/SUM($B$28:$GQ$28)*100,0)</f>
        <v>4.9580957640694224E-3</v>
      </c>
      <c r="CR14" s="3">
        <f>IFERROR(INDEX($B$28:$GQ$28,MATCH(95,$B$29:$GQ$29,0))/SUM($B$28:$GQ$28)*100,0)</f>
        <v>4.662398649476051E-3</v>
      </c>
      <c r="CS14" s="3">
        <f>IFERROR(INDEX($B$28:$GQ$28,MATCH(96,$B$29:$GQ$29,0))/SUM($B$28:$GQ$28)*100,0)</f>
        <v>4.3462421039789263E-3</v>
      </c>
      <c r="CT14" s="3">
        <f>IFERROR(INDEX($B$28:$GQ$28,MATCH(97,$B$29:$GQ$29,0))/SUM($B$28:$GQ$28)*100,0)</f>
        <v>4.2553956739274394E-3</v>
      </c>
      <c r="CU14" s="3">
        <f>IFERROR(INDEX($B$28:$GQ$28,MATCH(98,$B$29:$GQ$29,0))/SUM($B$28:$GQ$28)*100,0)</f>
        <v>3.1669755424009651E-3</v>
      </c>
      <c r="CV14" s="3">
        <f>IFERROR(INDEX($B$28:$GQ$28,MATCH(99,$B$29:$GQ$29,0))/SUM($B$28:$GQ$28)*100,0)</f>
        <v>3.1470005151891019E-3</v>
      </c>
      <c r="CW14" s="3">
        <f>IFERROR(INDEX($B$28:$GQ$28,MATCH(100,$B$29:$GQ$29,0))/SUM($B$28:$GQ$28)*100,0)</f>
        <v>2.705574505042046E-3</v>
      </c>
      <c r="CX14" s="3">
        <f>IFERROR(INDEX($B$28:$GQ$28,MATCH(101,$B$29:$GQ$29,0))/SUM($B$28:$GQ$28)*100,0)</f>
        <v>2.6007356307020829E-3</v>
      </c>
      <c r="CY14" s="3">
        <f>IFERROR(INDEX($B$28:$GQ$28,MATCH(102,$B$29:$GQ$29,0))/SUM($B$28:$GQ$28)*100,0)</f>
        <v>2.4032561912271095E-3</v>
      </c>
      <c r="CZ14" s="3">
        <f>IFERROR(INDEX($B$28:$GQ$28,MATCH(103,$B$29:$GQ$29,0))/SUM($B$28:$GQ$28)*100,0)</f>
        <v>2.0035358763263664E-3</v>
      </c>
      <c r="DA14" s="3">
        <f>IFERROR(INDEX($B$28:$GQ$28,MATCH(104,$B$29:$GQ$29,0))/SUM($B$28:$GQ$28)*100,0)</f>
        <v>1.8167822285658582E-3</v>
      </c>
      <c r="DB14" s="3">
        <f>IFERROR(INDEX($B$28:$GQ$28,MATCH(105,$B$29:$GQ$29,0))/SUM($B$28:$GQ$28)*100,0)</f>
        <v>1.750914778549982E-3</v>
      </c>
      <c r="DC14" s="3">
        <f>IFERROR(INDEX($B$28:$GQ$28,MATCH(106,$B$29:$GQ$29,0))/SUM($B$28:$GQ$28)*100,0)</f>
        <v>1.5806306263056024E-3</v>
      </c>
      <c r="DD14" s="3">
        <f>IFERROR(INDEX($B$28:$GQ$28,MATCH(107,$B$29:$GQ$29,0))/SUM($B$28:$GQ$28)*100,0)</f>
        <v>1.4557362217854398E-3</v>
      </c>
      <c r="DE14" s="3">
        <f>IFERROR(INDEX($B$28:$GQ$28,MATCH(108,$B$29:$GQ$29,0))/SUM($B$28:$GQ$28)*100,0)</f>
        <v>1.1402174399634075E-3</v>
      </c>
      <c r="DF14" s="3">
        <f>IFERROR(INDEX($B$28:$GQ$28,MATCH(109,$B$29:$GQ$29,0))/SUM($B$28:$GQ$28)*100,0)</f>
        <v>9.7021233707435587E-4</v>
      </c>
      <c r="DG14" s="3">
        <f>IFERROR(INDEX($B$28:$GQ$28,MATCH(110,$B$29:$GQ$29,0))/SUM($B$28:$GQ$28)*100,0)</f>
        <v>7.8461588860792868E-4</v>
      </c>
      <c r="DH14" s="3">
        <f>IFERROR(INDEX($B$28:$GQ$28,MATCH(111,$B$29:$GQ$29,0))/SUM($B$28:$GQ$28)*100,0)</f>
        <v>5.7522740400210888E-4</v>
      </c>
      <c r="DI14" s="3">
        <f>IFERROR(INDEX($B$28:$GQ$28,MATCH(112,$B$29:$GQ$29,0))/SUM($B$28:$GQ$28)*100,0)</f>
        <v>5.2881329744660082E-4</v>
      </c>
      <c r="DJ14" s="3">
        <f>IFERROR(INDEX($B$28:$GQ$28,MATCH(113,$B$29:$GQ$29,0))/SUM($B$28:$GQ$28)*100,0)</f>
        <v>5.188953676438674E-4</v>
      </c>
      <c r="DK14" s="3">
        <f>IFERROR(INDEX($B$28:$GQ$28,MATCH(114,$B$29:$GQ$29,0))/SUM($B$28:$GQ$28)*100,0)</f>
        <v>4.4714187913588862E-4</v>
      </c>
      <c r="DL14" s="3">
        <f>IFERROR(INDEX($B$28:$GQ$28,MATCH(115,$B$29:$GQ$29,0))/SUM($B$28:$GQ$28)*100,0)</f>
        <v>4.084499552027181E-4</v>
      </c>
      <c r="DM14" s="3">
        <f>IFERROR(INDEX($B$28:$GQ$28,MATCH(116,$B$29:$GQ$29,0))/SUM($B$28:$GQ$28)*100,0)</f>
        <v>3.8067161250404256E-4</v>
      </c>
      <c r="DN14" s="3">
        <f>IFERROR(INDEX($B$28:$GQ$28,MATCH(117,$B$29:$GQ$29,0))/SUM($B$28:$GQ$28)*100,0)</f>
        <v>2.8098613076009936E-4</v>
      </c>
      <c r="DO14" s="3">
        <f>IFERROR(INDEX($B$28:$GQ$28,MATCH(118,$B$29:$GQ$29,0))/SUM($B$28:$GQ$28)*100,0)</f>
        <v>1.6886337872685543E-4</v>
      </c>
      <c r="DP14" s="3">
        <f>IFERROR(INDEX($B$28:$GQ$28,MATCH(119,$B$29:$GQ$29,0))/SUM($B$28:$GQ$28)*100,0)</f>
        <v>1.296519196987956E-4</v>
      </c>
      <c r="DQ14" s="3">
        <f>IFERROR(INDEX($B$28:$GQ$28,MATCH(120,$B$29:$GQ$29,0))/SUM($B$28:$GQ$28)*100,0)</f>
        <v>1.2061707056738657E-4</v>
      </c>
      <c r="DR14" s="3">
        <f>IFERROR(INDEX($B$28:$GQ$28,MATCH(121,$B$29:$GQ$29,0))/SUM($B$28:$GQ$28)*100,0)</f>
        <v>1.0617880259975373E-4</v>
      </c>
      <c r="DS14" s="3">
        <f>IFERROR(INDEX($B$28:$GQ$28,MATCH(122,$B$29:$GQ$29,0))/SUM($B$28:$GQ$28)*100,0)</f>
        <v>9.9860301018514554E-5</v>
      </c>
      <c r="DT14" s="3">
        <f>IFERROR(INDEX($B$28:$GQ$28,MATCH(123,$B$29:$GQ$29,0))/SUM($B$28:$GQ$28)*100,0)</f>
        <v>6.5176453779758507E-5</v>
      </c>
      <c r="DU14" s="3">
        <f>IFERROR(INDEX($B$28:$GQ$28,MATCH(124,$B$29:$GQ$29,0))/SUM($B$28:$GQ$28)*100,0)</f>
        <v>5.5711590621514297E-5</v>
      </c>
      <c r="DV14" s="3">
        <f>IFERROR(INDEX($B$28:$GQ$28,MATCH(125,$B$29:$GQ$29,0))/SUM($B$28:$GQ$28)*100,0)</f>
        <v>4.8024991569101892E-5</v>
      </c>
      <c r="DW14" s="3">
        <f>IFERROR(INDEX($B$28:$GQ$28,MATCH(126,$B$29:$GQ$29,0))/SUM($B$28:$GQ$28)*100,0)</f>
        <v>4.1426644070841229E-5</v>
      </c>
      <c r="DX14" s="3">
        <f>IFERROR(INDEX($B$28:$GQ$28,MATCH(127,$B$29:$GQ$29,0))/SUM($B$28:$GQ$28)*100,0)</f>
        <v>1.0814838808801538E-5</v>
      </c>
      <c r="DY14" s="3">
        <f>IFERROR(INDEX($B$28:$GQ$28,MATCH(128,$B$29:$GQ$29,0))/SUM($B$28:$GQ$28)*100,0)</f>
        <v>3.8442582933067021E-6</v>
      </c>
      <c r="DZ14" s="3">
        <f>IFERROR(INDEX($B$28:$GQ$28,MATCH(129,$B$29:$GQ$29,0))/SUM($B$28:$GQ$28)*100,0)</f>
        <v>2.6076374719250607E-6</v>
      </c>
      <c r="EA14" s="3">
        <f>IFERROR(INDEX($B$28:$GQ$28,MATCH(130,$B$29:$GQ$29,0))/SUM($B$28:$GQ$28)*100,0)</f>
        <v>2.1138984763454075E-6</v>
      </c>
      <c r="EB14" s="3">
        <f>IFERROR(INDEX($B$28:$GQ$28,MATCH(131,$B$29:$GQ$29,0))/SUM($B$28:$GQ$28)*100,0)</f>
        <v>5.1433434845560353E-7</v>
      </c>
      <c r="EC14" s="3">
        <f>IFERROR(INDEX($B$28:$GQ$28,MATCH(132,$B$29:$GQ$29,0))/SUM($B$28:$GQ$28)*100,0)</f>
        <v>1.7789133520815979E-7</v>
      </c>
      <c r="ED14" s="3">
        <f>IFERROR(INDEX($B$28:$GQ$28,MATCH(133,$B$29:$GQ$29,0))/SUM($B$28:$GQ$28)*100,0)</f>
        <v>2.0522696511407117E-8</v>
      </c>
      <c r="EE14" s="3">
        <f>IFERROR(INDEX($B$28:$GQ$28,MATCH(134,$B$29:$GQ$29,0))/SUM($B$28:$GQ$28)*100,0)</f>
        <v>0</v>
      </c>
      <c r="EF14" s="3">
        <f>IFERROR(INDEX($B$28:$GQ$28,MATCH(135,$B$29:$GQ$29,0))/SUM($B$28:$GQ$28)*100,0)</f>
        <v>0</v>
      </c>
      <c r="EG14" s="3">
        <f>IFERROR(INDEX($B$28:$GQ$28,MATCH(136,$B$29:$GQ$29,0))/SUM($B$28:$GQ$28)*100,0)</f>
        <v>0</v>
      </c>
      <c r="EH14" s="3">
        <f>IFERROR(INDEX($B$28:$GQ$28,MATCH(137,$B$29:$GQ$29,0))/SUM($B$28:$GQ$28)*100,0)</f>
        <v>0</v>
      </c>
      <c r="EI14" s="3">
        <f>IFERROR(INDEX($B$28:$GQ$28,MATCH(138,$B$29:$GQ$29,0))/SUM($B$28:$GQ$28)*100,0)</f>
        <v>0</v>
      </c>
      <c r="EJ14" s="3">
        <f>IFERROR(INDEX($B$28:$GQ$28,MATCH(139,$B$29:$GQ$29,0))/SUM($B$28:$GQ$28)*100,0)</f>
        <v>0</v>
      </c>
      <c r="EK14" s="3">
        <f>IFERROR(INDEX($B$28:$GQ$28,MATCH(140,$B$29:$GQ$29,0))/SUM($B$28:$GQ$28)*100,0)</f>
        <v>0</v>
      </c>
      <c r="EL14" s="3">
        <f>IFERROR(INDEX($B$28:$GQ$28,MATCH(141,$B$29:$GQ$29,0))/SUM($B$28:$GQ$28)*100,0)</f>
        <v>0</v>
      </c>
      <c r="EM14" s="3">
        <f>IFERROR(INDEX($B$28:$GQ$28,MATCH(142,$B$29:$GQ$29,0))/SUM($B$28:$GQ$28)*100,0)</f>
        <v>0</v>
      </c>
      <c r="EN14" s="3">
        <f>IFERROR(INDEX($B$28:$GQ$28,MATCH(143,$B$29:$GQ$29,0))/SUM($B$28:$GQ$28)*100,0)</f>
        <v>0</v>
      </c>
      <c r="EO14" s="3">
        <f>IFERROR(INDEX($B$28:$GQ$28,MATCH(144,$B$29:$GQ$29,0))/SUM($B$28:$GQ$28)*100,0)</f>
        <v>0</v>
      </c>
      <c r="EP14" s="3">
        <f>IFERROR(INDEX($B$28:$GQ$28,MATCH(145,$B$29:$GQ$29,0))/SUM($B$28:$GQ$28)*100,0)</f>
        <v>0</v>
      </c>
      <c r="EQ14" s="3">
        <f>IFERROR(INDEX($B$28:$GQ$28,MATCH(146,$B$29:$GQ$29,0))/SUM($B$28:$GQ$28)*100,0)</f>
        <v>0</v>
      </c>
      <c r="ER14" s="3">
        <f>IFERROR(INDEX($B$28:$GQ$28,MATCH(147,$B$29:$GQ$29,0))/SUM($B$28:$GQ$28)*100,0)</f>
        <v>0</v>
      </c>
      <c r="ES14" s="3">
        <f>IFERROR(INDEX($B$28:$GQ$28,MATCH(148,$B$29:$GQ$29,0))/SUM($B$28:$GQ$28)*100,0)</f>
        <v>0</v>
      </c>
      <c r="ET14" s="3">
        <f>IFERROR(INDEX($B$28:$GQ$28,MATCH(149,$B$29:$GQ$29,0))/SUM($B$28:$GQ$28)*100,0)</f>
        <v>0</v>
      </c>
      <c r="EU14" s="3">
        <f>IFERROR(INDEX($B$28:$GQ$28,MATCH(150,$B$29:$GQ$29,0))/SUM($B$28:$GQ$28)*100,0)</f>
        <v>0</v>
      </c>
      <c r="EV14" s="3">
        <f>IFERROR(INDEX($B$28:$GQ$28,MATCH(151,$B$29:$GQ$29,0))/SUM($B$28:$GQ$28)*100,0)</f>
        <v>0</v>
      </c>
      <c r="EW14" s="3">
        <f>IFERROR(INDEX($B$28:$GQ$28,MATCH(152,$B$29:$GQ$29,0))/SUM($B$28:$GQ$28)*100,0)</f>
        <v>0</v>
      </c>
      <c r="EX14" s="3">
        <f>IFERROR(INDEX($B$28:$GQ$28,MATCH(153,$B$29:$GQ$29,0))/SUM($B$28:$GQ$28)*100,0)</f>
        <v>0</v>
      </c>
      <c r="EY14" s="3">
        <f>IFERROR(INDEX($B$28:$GQ$28,MATCH(154,$B$29:$GQ$29,0))/SUM($B$28:$GQ$28)*100,0)</f>
        <v>0</v>
      </c>
      <c r="EZ14" s="3">
        <f>IFERROR(INDEX($B$28:$GQ$28,MATCH(155,$B$29:$GQ$29,0))/SUM($B$28:$GQ$28)*100,0)</f>
        <v>0</v>
      </c>
      <c r="FA14" s="3">
        <f>IFERROR(INDEX($B$28:$GQ$28,MATCH(156,$B$29:$GQ$29,0))/SUM($B$28:$GQ$28)*100,0)</f>
        <v>0</v>
      </c>
      <c r="FB14" s="3">
        <f>IFERROR(INDEX($B$28:$GQ$28,MATCH(157,$B$29:$GQ$29,0))/SUM($B$28:$GQ$28)*100,0)</f>
        <v>0</v>
      </c>
      <c r="FC14" s="3">
        <f>IFERROR(INDEX($B$28:$GQ$28,MATCH(158,$B$29:$GQ$29,0))/SUM($B$28:$GQ$28)*100,0)</f>
        <v>0</v>
      </c>
      <c r="FD14" s="3">
        <f>IFERROR(INDEX($B$28:$GQ$28,MATCH(159,$B$29:$GQ$29,0))/SUM($B$28:$GQ$28)*100,0)</f>
        <v>0</v>
      </c>
      <c r="FE14" s="3">
        <f>IFERROR(INDEX($B$28:$GQ$28,MATCH(160,$B$29:$GQ$29,0))/SUM($B$28:$GQ$28)*100,0)</f>
        <v>0</v>
      </c>
      <c r="FF14" s="3">
        <f>IFERROR(INDEX($B$28:$GQ$28,MATCH(161,$B$29:$GQ$29,0))/SUM($B$28:$GQ$28)*100,0)</f>
        <v>0</v>
      </c>
      <c r="FG14" s="3">
        <f>IFERROR(INDEX($B$28:$GQ$28,MATCH(162,$B$29:$GQ$29,0))/SUM($B$28:$GQ$28)*100,0)</f>
        <v>0</v>
      </c>
      <c r="FH14" s="3">
        <f>IFERROR(INDEX($B$28:$GQ$28,MATCH(163,$B$29:$GQ$29,0))/SUM($B$28:$GQ$28)*100,0)</f>
        <v>0</v>
      </c>
      <c r="FI14" s="3">
        <f>IFERROR(INDEX($B$28:$GQ$28,MATCH(164,$B$29:$GQ$29,0))/SUM($B$28:$GQ$28)*100,0)</f>
        <v>0</v>
      </c>
      <c r="FJ14" s="3">
        <f>IFERROR(INDEX($B$28:$GQ$28,MATCH(165,$B$29:$GQ$29,0))/SUM($B$28:$GQ$28)*100,0)</f>
        <v>0</v>
      </c>
      <c r="FK14" s="3">
        <f>IFERROR(INDEX($B$28:$GQ$28,MATCH(166,$B$29:$GQ$29,0))/SUM($B$28:$GQ$28)*100,0)</f>
        <v>0</v>
      </c>
      <c r="FL14" s="3">
        <f>IFERROR(INDEX($B$28:$GQ$28,MATCH(167,$B$29:$GQ$29,0))/SUM($B$28:$GQ$28)*100,0)</f>
        <v>0</v>
      </c>
      <c r="FM14" s="3">
        <f>IFERROR(INDEX($B$28:$GQ$28,MATCH(168,$B$29:$GQ$29,0))/SUM($B$28:$GQ$28)*100,0)</f>
        <v>0</v>
      </c>
      <c r="FN14" s="3">
        <f>IFERROR(INDEX($B$28:$GQ$28,MATCH(169,$B$29:$GQ$29,0))/SUM($B$28:$GQ$28)*100,0)</f>
        <v>0</v>
      </c>
      <c r="FO14" s="3">
        <f>IFERROR(INDEX($B$28:$GQ$28,MATCH(170,$B$29:$GQ$29,0))/SUM($B$28:$GQ$28)*100,0)</f>
        <v>0</v>
      </c>
      <c r="FP14" s="3">
        <f>IFERROR(INDEX($B$28:$GQ$28,MATCH(171,$B$29:$GQ$29,0))/SUM($B$28:$GQ$28)*100,0)</f>
        <v>0</v>
      </c>
      <c r="FQ14" s="3">
        <f>IFERROR(INDEX($B$28:$GQ$28,MATCH(172,$B$29:$GQ$29,0))/SUM($B$28:$GQ$28)*100,0)</f>
        <v>0</v>
      </c>
      <c r="FR14" s="3">
        <f>IFERROR(INDEX($B$28:$GQ$28,MATCH(173,$B$29:$GQ$29,0))/SUM($B$28:$GQ$28)*100,0)</f>
        <v>0</v>
      </c>
      <c r="FS14" s="3">
        <f>IFERROR(INDEX($B$28:$GQ$28,MATCH(174,$B$29:$GQ$29,0))/SUM($B$28:$GQ$28)*100,0)</f>
        <v>0</v>
      </c>
      <c r="FT14" s="3">
        <f>IFERROR(INDEX($B$28:$GQ$28,MATCH(175,$B$29:$GQ$29,0))/SUM($B$28:$GQ$28)*100,0)</f>
        <v>0</v>
      </c>
      <c r="FU14" s="3">
        <f>IFERROR(INDEX($B$28:$GQ$28,MATCH(176,$B$29:$GQ$29,0))/SUM($B$28:$GQ$28)*100,0)</f>
        <v>0</v>
      </c>
      <c r="FV14" s="3">
        <f>IFERROR(INDEX($B$28:$GQ$28,MATCH(177,$B$29:$GQ$29,0))/SUM($B$28:$GQ$28)*100,0)</f>
        <v>0</v>
      </c>
      <c r="FW14" s="3">
        <f>IFERROR(INDEX($B$28:$GQ$28,MATCH(178,$B$29:$GQ$29,0))/SUM($B$28:$GQ$28)*100,0)</f>
        <v>0</v>
      </c>
      <c r="FX14" s="3">
        <f>IFERROR(INDEX($B$28:$GQ$28,MATCH(179,$B$29:$GQ$29,0))/SUM($B$28:$GQ$28)*100,0)</f>
        <v>0</v>
      </c>
      <c r="FY14" s="3">
        <f>IFERROR(INDEX($B$28:$GQ$28,MATCH(180,$B$29:$GQ$29,0))/SUM($B$28:$GQ$28)*100,0)</f>
        <v>0</v>
      </c>
      <c r="FZ14" s="3">
        <f>IFERROR(INDEX($B$28:$GQ$28,MATCH(181,$B$29:$GQ$29,0))/SUM($B$28:$GQ$28)*100,0)</f>
        <v>0</v>
      </c>
      <c r="GA14" s="3">
        <f>IFERROR(INDEX($B$28:$GQ$28,MATCH(182,$B$29:$GQ$29,0))/SUM($B$28:$GQ$28)*100,0)</f>
        <v>0</v>
      </c>
      <c r="GB14" s="3">
        <f>IFERROR(INDEX($B$28:$GQ$28,MATCH(183,$B$29:$GQ$29,0))/SUM($B$28:$GQ$28)*100,0)</f>
        <v>0</v>
      </c>
      <c r="GC14" s="3">
        <f>IFERROR(INDEX($B$28:$GQ$28,MATCH(184,$B$29:$GQ$29,0))/SUM($B$28:$GQ$28)*100,0)</f>
        <v>0</v>
      </c>
      <c r="GD14" s="3">
        <f>IFERROR(INDEX($B$28:$GQ$28,MATCH(185,$B$29:$GQ$29,0))/SUM($B$28:$GQ$28)*100,0)</f>
        <v>0</v>
      </c>
      <c r="GE14" s="3">
        <f>IFERROR(INDEX($B$28:$GQ$28,MATCH(186,$B$29:$GQ$29,0))/SUM($B$28:$GQ$28)*100,0)</f>
        <v>0</v>
      </c>
      <c r="GF14" s="3">
        <f>IFERROR(INDEX($B$28:$GQ$28,MATCH(187,$B$29:$GQ$29,0))/SUM($B$28:$GQ$28)*100,0)</f>
        <v>0</v>
      </c>
      <c r="GG14" s="3">
        <f>IFERROR(INDEX($B$28:$GQ$28,MATCH(188,$B$29:$GQ$29,0))/SUM($B$28:$GQ$28)*100,0)</f>
        <v>0</v>
      </c>
      <c r="GH14" s="3">
        <f>IFERROR(INDEX($B$28:$GQ$28,MATCH(189,$B$29:$GQ$29,0))/SUM($B$28:$GQ$28)*100,0)</f>
        <v>0</v>
      </c>
      <c r="GI14" s="3">
        <f>IFERROR(INDEX($B$28:$GQ$28,MATCH(190,$B$29:$GQ$29,0))/SUM($B$28:$GQ$28)*100,0)</f>
        <v>0</v>
      </c>
      <c r="GJ14" s="3">
        <f>IFERROR(INDEX($B$28:$GQ$28,MATCH(191,$B$29:$GQ$29,0))/SUM($B$28:$GQ$28)*100,0)</f>
        <v>0</v>
      </c>
      <c r="GK14" s="3">
        <f>IFERROR(INDEX($B$28:$GQ$28,MATCH(192,$B$29:$GQ$29,0))/SUM($B$28:$GQ$28)*100,0)</f>
        <v>0</v>
      </c>
      <c r="GL14" s="3">
        <f>IFERROR(INDEX($B$28:$GQ$28,MATCH(193,$B$29:$GQ$29,0))/SUM($B$28:$GQ$28)*100,0)</f>
        <v>0</v>
      </c>
      <c r="GM14" s="3">
        <f>IFERROR(INDEX($B$28:$GQ$28,MATCH(194,$B$29:$GQ$29,0))/SUM($B$28:$GQ$28)*100,0)</f>
        <v>0</v>
      </c>
      <c r="GN14" s="3">
        <f>IFERROR(INDEX($B$28:$GQ$28,MATCH(195,$B$29:$GQ$29,0))/SUM($B$28:$GQ$28)*100,0)</f>
        <v>0</v>
      </c>
      <c r="GO14" s="3">
        <f>IFERROR(INDEX($B$28:$GQ$28,MATCH(196,$B$29:$GQ$29,0))/SUM($B$28:$GQ$28)*100,0)</f>
        <v>0</v>
      </c>
      <c r="GP14" s="3">
        <f>IFERROR(INDEX($B$28:$GQ$28,MATCH(197,$B$29:$GQ$29,0))/SUM($B$28:$GQ$28)*100,0)</f>
        <v>0</v>
      </c>
      <c r="GQ14" s="3">
        <f>IFERROR(INDEX($B$28:$GQ$28,MATCH(198,$B$29:$GQ$29,0))/SUM($B$28:$GQ$28)*100,0)</f>
        <v>0</v>
      </c>
      <c r="GR14" s="3">
        <f>IFERROR(INDEX($GR$28:$HC$28,MATCH(1,$GR$30:$HC$30,0))/SUM($GR$28:$HC$28)*100,0)</f>
        <v>23.447169461667031</v>
      </c>
      <c r="GS14" s="3">
        <f>IFERROR(INDEX($GR$28:$HC$28,MATCH(2,$GR$30:$HC$30,0))/SUM($GR$28:$HC$28)*100,0)</f>
        <v>16.177170521193368</v>
      </c>
      <c r="GT14" s="3">
        <f>IFERROR(INDEX($GR$28:$HC$28,MATCH(3,$GR$30:$HC$30,0))/SUM($GR$28:$HC$28)*100,0)</f>
        <v>11.115605452607197</v>
      </c>
      <c r="GU14" s="3">
        <f>IFERROR(INDEX($GR$28:$HC$28,MATCH(4,$GR$30:$HC$30,0))/SUM($GR$28:$HC$28)*100,0)</f>
        <v>10.709794101140988</v>
      </c>
      <c r="GV14" s="3">
        <f>IFERROR(INDEX($GR$28:$HC$28,MATCH(5,$GR$30:$HC$30,0))/SUM($GR$28:$HC$28)*100,0)</f>
        <v>8.1124499336940001</v>
      </c>
      <c r="GW14" s="3">
        <f>IFERROR(INDEX($GR$28:$HC$28,MATCH(6,$GR$30:$HC$30,0))/SUM($GR$28:$HC$28)*100,0)</f>
        <v>7.7773423299633562</v>
      </c>
      <c r="GX14" s="3">
        <f>IFERROR(INDEX($GR$28:$HC$28,MATCH(7,$GR$30:$HC$30,0))/SUM($GR$28:$HC$28)*100,0)</f>
        <v>5.3058360122895536</v>
      </c>
      <c r="GY14" s="3">
        <f>IFERROR(INDEX($GR$28:$HC$28,MATCH(8,$GR$30:$HC$30,0))/SUM($GR$28:$HC$28)*100,0)</f>
        <v>5.0575535336931683</v>
      </c>
      <c r="GZ14" s="3">
        <f>IFERROR(INDEX($GR$28:$HC$28,MATCH(9,$GR$30:$HC$30,0))/SUM($GR$28:$HC$28)*100,0)</f>
        <v>3.9015206403323655</v>
      </c>
      <c r="HA14" s="3">
        <f>IFERROR(INDEX($GR$28:$HC$28,MATCH(10,$GR$30:$HC$30,0))/SUM($GR$28:$HC$28)*100,0)</f>
        <v>3.0621812886479822</v>
      </c>
      <c r="HB14" s="3">
        <f>IFERROR(INDEX($GR$28:$HC$28,MATCH(11,$GR$30:$HC$30,0))/SUM($GR$28:$HC$28)*100,0)</f>
        <v>2.9221317313478368</v>
      </c>
      <c r="HC14" s="3">
        <f>IFERROR(INDEX($GR$28:$HC$28,MATCH(12,$GR$30:$HC$30,0))/SUM($GR$28:$HC$28)*100,0)</f>
        <v>2.4112449934231632</v>
      </c>
    </row>
    <row r="16" spans="1:211" x14ac:dyDescent="0.45">
      <c r="A16" s="1" t="s">
        <v>12</v>
      </c>
    </row>
    <row r="17" spans="1:211" x14ac:dyDescent="0.45">
      <c r="A17" s="1" t="s">
        <v>2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19</v>
      </c>
      <c r="I17" s="1" t="s">
        <v>20</v>
      </c>
      <c r="J17" s="1" t="s">
        <v>21</v>
      </c>
      <c r="K17" s="1" t="s">
        <v>22</v>
      </c>
      <c r="L17" s="1" t="s">
        <v>23</v>
      </c>
      <c r="M17" s="1" t="s">
        <v>24</v>
      </c>
      <c r="N17" s="1" t="s">
        <v>25</v>
      </c>
      <c r="O17" s="1" t="s">
        <v>26</v>
      </c>
      <c r="P17" s="1" t="s">
        <v>27</v>
      </c>
      <c r="Q17" s="1" t="s">
        <v>28</v>
      </c>
      <c r="R17" s="1" t="s">
        <v>29</v>
      </c>
      <c r="S17" s="1" t="s">
        <v>30</v>
      </c>
      <c r="T17" s="1" t="s">
        <v>31</v>
      </c>
      <c r="U17" s="1" t="s">
        <v>32</v>
      </c>
      <c r="V17" s="1" t="s">
        <v>33</v>
      </c>
      <c r="W17" s="1" t="s">
        <v>34</v>
      </c>
      <c r="X17" s="1" t="s">
        <v>35</v>
      </c>
      <c r="Y17" s="1" t="s">
        <v>36</v>
      </c>
      <c r="Z17" s="1" t="s">
        <v>37</v>
      </c>
      <c r="AA17" s="1" t="s">
        <v>38</v>
      </c>
      <c r="AB17" s="1" t="s">
        <v>39</v>
      </c>
      <c r="AC17" s="1" t="s">
        <v>40</v>
      </c>
      <c r="AD17" s="1" t="s">
        <v>41</v>
      </c>
      <c r="AE17" s="1" t="s">
        <v>42</v>
      </c>
      <c r="AF17" s="1" t="s">
        <v>43</v>
      </c>
      <c r="AG17" s="1" t="s">
        <v>44</v>
      </c>
      <c r="AH17" s="1" t="s">
        <v>45</v>
      </c>
      <c r="AI17" s="1" t="s">
        <v>46</v>
      </c>
      <c r="AJ17" s="1" t="s">
        <v>47</v>
      </c>
      <c r="AK17" s="1" t="s">
        <v>48</v>
      </c>
      <c r="AL17" s="1" t="s">
        <v>49</v>
      </c>
      <c r="AM17" s="1" t="s">
        <v>50</v>
      </c>
      <c r="AN17" s="1" t="s">
        <v>51</v>
      </c>
      <c r="AO17" s="1" t="s">
        <v>52</v>
      </c>
      <c r="AP17" s="1" t="s">
        <v>53</v>
      </c>
      <c r="AQ17" s="1" t="s">
        <v>54</v>
      </c>
      <c r="AR17" s="1" t="s">
        <v>55</v>
      </c>
      <c r="AS17" s="1" t="s">
        <v>56</v>
      </c>
      <c r="AT17" s="1" t="s">
        <v>57</v>
      </c>
      <c r="AU17" s="1" t="s">
        <v>58</v>
      </c>
      <c r="AV17" s="1" t="s">
        <v>59</v>
      </c>
      <c r="AW17" s="1" t="s">
        <v>60</v>
      </c>
      <c r="AX17" s="1" t="s">
        <v>61</v>
      </c>
      <c r="AY17" s="1" t="s">
        <v>62</v>
      </c>
      <c r="AZ17" s="1" t="s">
        <v>63</v>
      </c>
      <c r="BA17" s="1" t="s">
        <v>64</v>
      </c>
      <c r="BB17" s="1" t="s">
        <v>65</v>
      </c>
      <c r="BC17" s="1" t="s">
        <v>66</v>
      </c>
      <c r="BD17" s="1" t="s">
        <v>67</v>
      </c>
      <c r="BE17" s="1" t="s">
        <v>68</v>
      </c>
      <c r="BF17" s="1" t="s">
        <v>69</v>
      </c>
      <c r="BG17" s="1" t="s">
        <v>70</v>
      </c>
      <c r="BH17" s="1" t="s">
        <v>71</v>
      </c>
      <c r="BI17" s="1" t="s">
        <v>72</v>
      </c>
      <c r="BJ17" s="1" t="s">
        <v>73</v>
      </c>
      <c r="BK17" s="1" t="s">
        <v>74</v>
      </c>
      <c r="BL17" s="1" t="s">
        <v>75</v>
      </c>
      <c r="BM17" s="1" t="s">
        <v>76</v>
      </c>
      <c r="BN17" s="1" t="s">
        <v>77</v>
      </c>
      <c r="BO17" s="1" t="s">
        <v>78</v>
      </c>
      <c r="BP17" s="1" t="s">
        <v>79</v>
      </c>
      <c r="BQ17" s="1" t="s">
        <v>80</v>
      </c>
      <c r="BR17" s="1" t="s">
        <v>81</v>
      </c>
      <c r="BS17" s="1" t="s">
        <v>82</v>
      </c>
      <c r="BT17" s="1" t="s">
        <v>83</v>
      </c>
      <c r="BU17" s="1" t="s">
        <v>84</v>
      </c>
      <c r="BV17" s="1" t="s">
        <v>85</v>
      </c>
      <c r="BW17" s="1" t="s">
        <v>86</v>
      </c>
      <c r="BX17" s="1" t="s">
        <v>87</v>
      </c>
      <c r="BY17" s="1" t="s">
        <v>88</v>
      </c>
      <c r="BZ17" s="1" t="s">
        <v>89</v>
      </c>
      <c r="CA17" s="1" t="s">
        <v>90</v>
      </c>
      <c r="CB17" s="1" t="s">
        <v>91</v>
      </c>
      <c r="CC17" s="1" t="s">
        <v>92</v>
      </c>
      <c r="CD17" s="1" t="s">
        <v>93</v>
      </c>
      <c r="CE17" s="1" t="s">
        <v>94</v>
      </c>
      <c r="CF17" s="1" t="s">
        <v>95</v>
      </c>
      <c r="CG17" s="1" t="s">
        <v>96</v>
      </c>
      <c r="CH17" s="1" t="s">
        <v>97</v>
      </c>
      <c r="CI17" s="1" t="s">
        <v>98</v>
      </c>
      <c r="CJ17" s="1" t="s">
        <v>99</v>
      </c>
      <c r="CK17" s="1" t="s">
        <v>100</v>
      </c>
      <c r="CL17" s="1" t="s">
        <v>101</v>
      </c>
      <c r="CM17" s="1" t="s">
        <v>102</v>
      </c>
      <c r="CN17" s="1" t="s">
        <v>103</v>
      </c>
      <c r="CO17" s="1" t="s">
        <v>104</v>
      </c>
      <c r="CP17" s="1" t="s">
        <v>105</v>
      </c>
      <c r="CQ17" s="1" t="s">
        <v>106</v>
      </c>
      <c r="CR17" s="1" t="s">
        <v>107</v>
      </c>
      <c r="CS17" s="1" t="s">
        <v>108</v>
      </c>
      <c r="CT17" s="1" t="s">
        <v>109</v>
      </c>
      <c r="CU17" s="1" t="s">
        <v>110</v>
      </c>
      <c r="CV17" s="1" t="s">
        <v>111</v>
      </c>
      <c r="CW17" s="1" t="s">
        <v>112</v>
      </c>
      <c r="CX17" s="1" t="s">
        <v>113</v>
      </c>
      <c r="CY17" s="1" t="s">
        <v>114</v>
      </c>
      <c r="CZ17" s="1" t="s">
        <v>115</v>
      </c>
      <c r="DA17" s="1" t="s">
        <v>116</v>
      </c>
      <c r="DB17" s="1" t="s">
        <v>117</v>
      </c>
      <c r="DC17" s="1" t="s">
        <v>118</v>
      </c>
      <c r="DD17" s="1" t="s">
        <v>119</v>
      </c>
      <c r="DE17" s="1" t="s">
        <v>120</v>
      </c>
      <c r="DF17" s="1" t="s">
        <v>121</v>
      </c>
      <c r="DG17" s="1" t="s">
        <v>122</v>
      </c>
      <c r="DH17" s="1" t="s">
        <v>123</v>
      </c>
      <c r="DI17" s="1" t="s">
        <v>124</v>
      </c>
      <c r="DJ17" s="1" t="s">
        <v>125</v>
      </c>
      <c r="DK17" s="1" t="s">
        <v>126</v>
      </c>
      <c r="DL17" s="1" t="s">
        <v>127</v>
      </c>
      <c r="DM17" s="1" t="s">
        <v>128</v>
      </c>
      <c r="DN17" s="1" t="s">
        <v>129</v>
      </c>
      <c r="DO17" s="1" t="s">
        <v>130</v>
      </c>
      <c r="DP17" s="1" t="s">
        <v>131</v>
      </c>
      <c r="DQ17" s="1" t="s">
        <v>132</v>
      </c>
      <c r="DR17" s="1" t="s">
        <v>133</v>
      </c>
      <c r="DS17" s="1" t="s">
        <v>134</v>
      </c>
      <c r="DT17" s="1" t="s">
        <v>135</v>
      </c>
      <c r="DU17" s="1" t="s">
        <v>136</v>
      </c>
      <c r="DV17" s="1" t="s">
        <v>137</v>
      </c>
      <c r="DW17" s="1" t="s">
        <v>138</v>
      </c>
      <c r="DX17" s="1" t="s">
        <v>139</v>
      </c>
      <c r="DY17" s="1" t="s">
        <v>140</v>
      </c>
      <c r="DZ17" s="1" t="s">
        <v>141</v>
      </c>
      <c r="EA17" s="1" t="s">
        <v>142</v>
      </c>
      <c r="EB17" s="1" t="s">
        <v>143</v>
      </c>
      <c r="EC17" s="1" t="s">
        <v>144</v>
      </c>
      <c r="ED17" s="1" t="s">
        <v>145</v>
      </c>
      <c r="EE17" s="1" t="s">
        <v>146</v>
      </c>
      <c r="EF17" s="1" t="s">
        <v>147</v>
      </c>
      <c r="EG17" s="1" t="s">
        <v>148</v>
      </c>
      <c r="EH17" s="1" t="s">
        <v>149</v>
      </c>
      <c r="EI17" s="1" t="s">
        <v>150</v>
      </c>
      <c r="EJ17" s="1" t="s">
        <v>151</v>
      </c>
      <c r="EK17" s="1" t="s">
        <v>152</v>
      </c>
      <c r="EL17" s="1" t="s">
        <v>153</v>
      </c>
      <c r="EM17" s="1" t="s">
        <v>154</v>
      </c>
      <c r="EN17" s="1" t="s">
        <v>155</v>
      </c>
      <c r="EO17" s="1" t="s">
        <v>156</v>
      </c>
      <c r="EP17" s="1" t="s">
        <v>157</v>
      </c>
      <c r="EQ17" s="1" t="s">
        <v>158</v>
      </c>
      <c r="ER17" s="1" t="s">
        <v>159</v>
      </c>
      <c r="ES17" s="1" t="s">
        <v>160</v>
      </c>
      <c r="ET17" s="1" t="s">
        <v>161</v>
      </c>
      <c r="EU17" s="1" t="s">
        <v>162</v>
      </c>
      <c r="EV17" s="1" t="s">
        <v>163</v>
      </c>
      <c r="EW17" s="1" t="s">
        <v>164</v>
      </c>
      <c r="EX17" s="1" t="s">
        <v>165</v>
      </c>
      <c r="EY17" s="1" t="s">
        <v>166</v>
      </c>
      <c r="EZ17" s="1" t="s">
        <v>167</v>
      </c>
      <c r="FA17" s="1" t="s">
        <v>168</v>
      </c>
      <c r="FB17" s="1" t="s">
        <v>169</v>
      </c>
      <c r="FC17" s="1" t="s">
        <v>170</v>
      </c>
      <c r="FD17" s="1" t="s">
        <v>171</v>
      </c>
      <c r="FE17" s="1" t="s">
        <v>172</v>
      </c>
      <c r="FF17" s="1" t="s">
        <v>173</v>
      </c>
      <c r="FG17" s="1" t="s">
        <v>174</v>
      </c>
      <c r="FH17" s="1" t="s">
        <v>175</v>
      </c>
      <c r="FI17" s="1" t="s">
        <v>176</v>
      </c>
      <c r="FJ17" s="1" t="s">
        <v>177</v>
      </c>
      <c r="FK17" s="1" t="s">
        <v>178</v>
      </c>
      <c r="FL17" s="1" t="s">
        <v>179</v>
      </c>
      <c r="FM17" s="1" t="s">
        <v>180</v>
      </c>
      <c r="FN17" s="1" t="s">
        <v>181</v>
      </c>
      <c r="FO17" s="1" t="s">
        <v>182</v>
      </c>
      <c r="FP17" s="1" t="s">
        <v>183</v>
      </c>
      <c r="FQ17" s="1" t="s">
        <v>184</v>
      </c>
      <c r="FR17" s="1" t="s">
        <v>185</v>
      </c>
      <c r="FS17" s="1" t="s">
        <v>186</v>
      </c>
      <c r="FT17" s="1" t="s">
        <v>187</v>
      </c>
      <c r="FU17" s="1" t="s">
        <v>188</v>
      </c>
      <c r="FV17" s="1" t="s">
        <v>189</v>
      </c>
      <c r="FW17" s="1" t="s">
        <v>190</v>
      </c>
      <c r="FX17" s="1" t="s">
        <v>191</v>
      </c>
      <c r="FY17" s="1" t="s">
        <v>192</v>
      </c>
      <c r="FZ17" s="1" t="s">
        <v>193</v>
      </c>
      <c r="GA17" s="1" t="s">
        <v>194</v>
      </c>
      <c r="GB17" s="1" t="s">
        <v>195</v>
      </c>
      <c r="GC17" s="1" t="s">
        <v>196</v>
      </c>
      <c r="GD17" s="1" t="s">
        <v>197</v>
      </c>
      <c r="GE17" s="1" t="s">
        <v>198</v>
      </c>
      <c r="GF17" s="1" t="s">
        <v>199</v>
      </c>
      <c r="GG17" s="1" t="s">
        <v>200</v>
      </c>
      <c r="GH17" s="1" t="s">
        <v>201</v>
      </c>
      <c r="GI17" s="1" t="s">
        <v>202</v>
      </c>
      <c r="GJ17" s="1" t="s">
        <v>203</v>
      </c>
      <c r="GK17" s="1" t="s">
        <v>204</v>
      </c>
      <c r="GL17" s="1" t="s">
        <v>205</v>
      </c>
      <c r="GM17" s="1" t="s">
        <v>206</v>
      </c>
      <c r="GN17" s="1" t="s">
        <v>207</v>
      </c>
      <c r="GO17" s="1" t="s">
        <v>208</v>
      </c>
      <c r="GP17" s="1" t="s">
        <v>209</v>
      </c>
      <c r="GQ17" s="1" t="s">
        <v>210</v>
      </c>
      <c r="GR17" s="1" t="s">
        <v>211</v>
      </c>
      <c r="GS17" s="1" t="s">
        <v>21</v>
      </c>
      <c r="GT17" s="1" t="s">
        <v>212</v>
      </c>
      <c r="GU17" s="1" t="s">
        <v>213</v>
      </c>
      <c r="GV17" s="1" t="s">
        <v>60</v>
      </c>
      <c r="GW17" s="1" t="s">
        <v>214</v>
      </c>
      <c r="GX17" s="1" t="s">
        <v>215</v>
      </c>
      <c r="GY17" s="1" t="s">
        <v>216</v>
      </c>
      <c r="GZ17" s="1" t="s">
        <v>217</v>
      </c>
      <c r="HA17" s="1" t="s">
        <v>218</v>
      </c>
      <c r="HB17" s="1" t="s">
        <v>219</v>
      </c>
      <c r="HC17" s="1" t="s">
        <v>220</v>
      </c>
    </row>
    <row r="18" spans="1:211" x14ac:dyDescent="0.45">
      <c r="A18" s="1" t="s">
        <v>3</v>
      </c>
      <c r="B18">
        <v>1.505126408532713E-7</v>
      </c>
      <c r="C18">
        <v>9.9550817571121732E-8</v>
      </c>
      <c r="D18">
        <v>6.4911514717462903E-8</v>
      </c>
      <c r="E18">
        <v>3.2436223864990212E-7</v>
      </c>
      <c r="F18">
        <v>1.6149003824406781E-7</v>
      </c>
      <c r="G18">
        <v>8.437324530075573E-9</v>
      </c>
      <c r="H18">
        <v>7.460361703558949E-8</v>
      </c>
      <c r="I18">
        <v>1.35718985136444E-8</v>
      </c>
      <c r="J18">
        <v>1.037466274985125E-6</v>
      </c>
      <c r="K18">
        <v>7.6741295501530391E-7</v>
      </c>
      <c r="L18">
        <v>7.3817084496178441E-7</v>
      </c>
      <c r="M18">
        <v>6.8952169168862343E-7</v>
      </c>
      <c r="N18">
        <v>9.7035808573100315E-7</v>
      </c>
      <c r="O18">
        <v>1.189971995409446E-6</v>
      </c>
      <c r="P18">
        <v>9.6721344030320336E-7</v>
      </c>
      <c r="Q18">
        <v>0</v>
      </c>
      <c r="R18">
        <v>0</v>
      </c>
      <c r="S18">
        <v>5.7664166941454323E-8</v>
      </c>
      <c r="T18">
        <v>1.7716193621352511E-6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5.5324883463532147E-7</v>
      </c>
      <c r="AD18">
        <v>7.973686402825315E-6</v>
      </c>
      <c r="AE18">
        <v>3.9348212338570753E-8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6.6092424452223171E-8</v>
      </c>
      <c r="AO18">
        <v>4.4103925259707993E-8</v>
      </c>
      <c r="AP18">
        <v>1.2496269555462901E-9</v>
      </c>
      <c r="AQ18">
        <v>2.6575543027131E-8</v>
      </c>
      <c r="AR18">
        <v>1.162090755543028E-6</v>
      </c>
      <c r="AS18">
        <v>4.5514186667250052E-7</v>
      </c>
      <c r="AT18">
        <v>7.676887258629875E-7</v>
      </c>
      <c r="AU18">
        <v>1.3748972408382771E-6</v>
      </c>
      <c r="AV18">
        <v>6.1391651782889178E-7</v>
      </c>
      <c r="AW18">
        <v>8.2440733123036894E-7</v>
      </c>
      <c r="AX18">
        <v>1.315206555655303E-7</v>
      </c>
      <c r="AY18">
        <v>2.5584412216179977E-7</v>
      </c>
      <c r="AZ18">
        <v>9.563582264136345E-7</v>
      </c>
      <c r="BA18">
        <v>6.2634915202034821E-7</v>
      </c>
      <c r="BB18">
        <v>1.169499048124611E-6</v>
      </c>
      <c r="BC18">
        <v>1.7711325594962881E-7</v>
      </c>
      <c r="BD18">
        <v>4.1147610665852332E-7</v>
      </c>
      <c r="BE18">
        <v>2.2928252516830449E-7</v>
      </c>
      <c r="BF18">
        <v>4.0062068332152739E-7</v>
      </c>
      <c r="BG18">
        <v>1.8542706863136739E-7</v>
      </c>
      <c r="BH18">
        <v>1.4610225852176309E-7</v>
      </c>
      <c r="BI18">
        <v>1.5329343616679581E-7</v>
      </c>
      <c r="BJ18">
        <v>1.4126377142389611E-7</v>
      </c>
      <c r="BK18">
        <v>3.6751233267562559E-7</v>
      </c>
      <c r="BL18">
        <v>1.3498002596348909E-7</v>
      </c>
      <c r="BM18">
        <v>1.549656146119268E-8</v>
      </c>
      <c r="BN18">
        <v>0</v>
      </c>
      <c r="BO18">
        <v>3.4744028378375399E-7</v>
      </c>
      <c r="BP18">
        <v>5.0653016802480758E-7</v>
      </c>
      <c r="BQ18">
        <v>0</v>
      </c>
      <c r="BR18">
        <v>0</v>
      </c>
      <c r="BS18">
        <v>1.3055522735230289E-7</v>
      </c>
      <c r="BT18">
        <v>0</v>
      </c>
      <c r="BU18">
        <v>2.2587019649615981E-7</v>
      </c>
      <c r="BV18">
        <v>7.794115160974952E-8</v>
      </c>
      <c r="BW18">
        <v>6.6482757103286972E-10</v>
      </c>
      <c r="BX18">
        <v>1.3233738005862861E-7</v>
      </c>
      <c r="BY18">
        <v>1.2689800418337161E-7</v>
      </c>
      <c r="BZ18">
        <v>0</v>
      </c>
      <c r="CA18">
        <v>6.9707518372691694E-8</v>
      </c>
      <c r="CB18">
        <v>1.4265784075786709E-7</v>
      </c>
      <c r="CC18">
        <v>2.4113195330561751E-7</v>
      </c>
      <c r="CD18">
        <v>2.6375571991831621E-8</v>
      </c>
      <c r="CE18">
        <v>2.938649597770802E-8</v>
      </c>
      <c r="CF18">
        <v>4.4209138192951558E-8</v>
      </c>
      <c r="CG18">
        <v>2.813520694022735E-8</v>
      </c>
      <c r="CH18">
        <v>8.8193655224458343E-10</v>
      </c>
      <c r="CI18">
        <v>2.4446470434664408E-7</v>
      </c>
      <c r="CJ18">
        <v>2.1548689144419319E-7</v>
      </c>
      <c r="CK18">
        <v>9.2816474609070212E-8</v>
      </c>
      <c r="CL18">
        <v>1.4705729444342929E-7</v>
      </c>
      <c r="CM18">
        <v>3.1135666566157469E-7</v>
      </c>
      <c r="CN18">
        <v>0</v>
      </c>
      <c r="CO18">
        <v>6.7335615065781685E-8</v>
      </c>
      <c r="CP18">
        <v>1.2737761705192961E-7</v>
      </c>
      <c r="CQ18">
        <v>5.2836564748792642E-8</v>
      </c>
      <c r="CR18">
        <v>0</v>
      </c>
      <c r="CS18">
        <v>1.640547513325123E-7</v>
      </c>
      <c r="CT18">
        <v>1.2525838161920041E-7</v>
      </c>
      <c r="CU18">
        <v>1.8242054472499379E-7</v>
      </c>
      <c r="CV18">
        <v>1.3717619056065721E-7</v>
      </c>
      <c r="CW18">
        <v>1.211789317026368E-7</v>
      </c>
      <c r="CX18">
        <v>1.075149793759232E-7</v>
      </c>
      <c r="CY18">
        <v>1.707218563508449E-7</v>
      </c>
      <c r="CZ18">
        <v>1.5596833061079129E-7</v>
      </c>
      <c r="DA18">
        <v>1.3153944045246481E-7</v>
      </c>
      <c r="DB18">
        <v>4.046149165353971E-7</v>
      </c>
      <c r="DC18">
        <v>0</v>
      </c>
      <c r="DD18">
        <v>2.0776474790214799E-7</v>
      </c>
      <c r="DE18">
        <v>1.9978397900412639E-7</v>
      </c>
      <c r="DF18">
        <v>2.7828952421356978E-7</v>
      </c>
      <c r="DG18">
        <v>3.1645014710465988E-7</v>
      </c>
      <c r="DH18">
        <v>2.8617865846712458E-7</v>
      </c>
      <c r="DI18">
        <v>0</v>
      </c>
      <c r="DJ18">
        <v>2.9854771088964669E-7</v>
      </c>
      <c r="DK18">
        <v>0</v>
      </c>
      <c r="DL18">
        <v>1.9612721507246889E-7</v>
      </c>
      <c r="DM18">
        <v>1.4205294149605E-7</v>
      </c>
      <c r="DN18">
        <v>1.5371325573195941E-7</v>
      </c>
      <c r="DO18">
        <v>1.9565697605429191E-7</v>
      </c>
      <c r="DP18">
        <v>1.4071492234021601E-7</v>
      </c>
      <c r="DQ18">
        <v>1.5027385877305349E-7</v>
      </c>
      <c r="DR18">
        <v>1.171882883383441E-7</v>
      </c>
      <c r="DS18">
        <v>1.847772459755125E-7</v>
      </c>
      <c r="DT18">
        <v>1.583517410819173E-7</v>
      </c>
      <c r="DU18">
        <v>1.812402309078891E-7</v>
      </c>
      <c r="DV18">
        <v>0</v>
      </c>
      <c r="DW18">
        <v>0</v>
      </c>
      <c r="DX18">
        <v>7.4788665546628534E-7</v>
      </c>
      <c r="DY18">
        <v>1.641203336671334E-7</v>
      </c>
      <c r="DZ18">
        <v>1.2836903363054839E-7</v>
      </c>
      <c r="EA18">
        <v>1.5931929551334441E-7</v>
      </c>
      <c r="EB18">
        <v>6.4010092957381758E-8</v>
      </c>
      <c r="EC18">
        <v>5.6373895559727264E-7</v>
      </c>
      <c r="ED18">
        <v>1.3047813512769331E-7</v>
      </c>
      <c r="EE18">
        <v>1.399757075899771E-8</v>
      </c>
      <c r="EF18">
        <v>0</v>
      </c>
      <c r="EG18">
        <v>1.935162867101385E-7</v>
      </c>
      <c r="EH18">
        <v>0</v>
      </c>
      <c r="EI18">
        <v>0</v>
      </c>
      <c r="EJ18">
        <v>7.1181322347006248E-8</v>
      </c>
      <c r="EK18">
        <v>7.1016352866597117E-8</v>
      </c>
      <c r="EL18">
        <v>1.6049222826296421E-8</v>
      </c>
      <c r="EM18">
        <v>3.2905445054558863E-8</v>
      </c>
      <c r="EN18">
        <v>3.0654473696556991E-15</v>
      </c>
      <c r="EO18">
        <v>0</v>
      </c>
      <c r="EP18">
        <v>6.8245669433819364E-8</v>
      </c>
      <c r="EQ18">
        <v>1.4716505257659191E-7</v>
      </c>
      <c r="ER18">
        <v>6.1072896177398944E-7</v>
      </c>
      <c r="ES18">
        <v>9.6321703809900758E-8</v>
      </c>
      <c r="ET18">
        <v>1.282391411146381E-7</v>
      </c>
      <c r="EU18">
        <v>0</v>
      </c>
      <c r="EV18">
        <v>4.8446444641155268E-8</v>
      </c>
      <c r="EW18">
        <v>1.2022441805080219E-7</v>
      </c>
      <c r="EX18">
        <v>6.7730749845460565E-8</v>
      </c>
      <c r="EY18">
        <v>7.2842928728290379E-8</v>
      </c>
      <c r="EZ18">
        <v>2.5986151849054261E-7</v>
      </c>
      <c r="FA18">
        <v>1.4986579927698241E-7</v>
      </c>
      <c r="FB18">
        <v>9.5121405881562572E-8</v>
      </c>
      <c r="FC18">
        <v>5.0511500006388114E-7</v>
      </c>
      <c r="FD18">
        <v>5.7953411591475143E-7</v>
      </c>
      <c r="FE18">
        <v>8.3821810678720988E-7</v>
      </c>
      <c r="FF18">
        <v>2.7497010996498383E-7</v>
      </c>
      <c r="FG18">
        <v>1.052408630049089E-7</v>
      </c>
      <c r="FH18">
        <v>7.8461559958343777E-8</v>
      </c>
      <c r="FI18">
        <v>1.14807484756265E-7</v>
      </c>
      <c r="FJ18">
        <v>1.3966524917032329E-7</v>
      </c>
      <c r="FK18">
        <v>1.71957459925718E-7</v>
      </c>
      <c r="FL18">
        <v>9.0119188399084028E-8</v>
      </c>
      <c r="FM18">
        <v>1.117581167086596E-7</v>
      </c>
      <c r="FN18">
        <v>1.161820331551317E-7</v>
      </c>
      <c r="FO18">
        <v>3.2686491290570531E-7</v>
      </c>
      <c r="FP18">
        <v>1.0677636819121329E-7</v>
      </c>
      <c r="FQ18">
        <v>1.2954883668878279E-7</v>
      </c>
      <c r="FR18">
        <v>9.1921041591827462E-8</v>
      </c>
      <c r="FS18">
        <v>9.1756875037756721E-8</v>
      </c>
      <c r="FT18">
        <v>1.0070191222485889E-7</v>
      </c>
      <c r="FU18">
        <v>1.0195425598196279E-7</v>
      </c>
      <c r="FV18">
        <v>1.143235682810145E-7</v>
      </c>
      <c r="FW18">
        <v>1.031803697011014E-7</v>
      </c>
      <c r="FX18">
        <v>1.018713532091006E-7</v>
      </c>
      <c r="FY18">
        <v>1.051408632488878E-7</v>
      </c>
      <c r="FZ18">
        <v>9.7471264977492238E-8</v>
      </c>
      <c r="GA18">
        <v>9.4111068266445513E-8</v>
      </c>
      <c r="GB18">
        <v>9.2013569459071467E-8</v>
      </c>
      <c r="GC18">
        <v>1.089245727205807E-7</v>
      </c>
      <c r="GD18">
        <v>1.01667072619411E-7</v>
      </c>
      <c r="GE18">
        <v>1.0864958612982869E-6</v>
      </c>
      <c r="GF18">
        <v>1.251441369698592E-7</v>
      </c>
      <c r="GG18">
        <v>1.294415429621135E-7</v>
      </c>
      <c r="GH18">
        <v>1.2429991711458851E-7</v>
      </c>
      <c r="GI18">
        <v>1.20912179871006E-7</v>
      </c>
      <c r="GJ18">
        <v>1.4738975550680571E-7</v>
      </c>
      <c r="GK18">
        <v>1.0026764402193931E-7</v>
      </c>
      <c r="GL18">
        <v>1.2555300960601059E-7</v>
      </c>
      <c r="GM18">
        <v>1.090186568545831E-7</v>
      </c>
      <c r="GN18">
        <v>1.77636602709721E-7</v>
      </c>
      <c r="GO18">
        <v>1.9601232345424151E-7</v>
      </c>
      <c r="GP18">
        <v>2.783099895021427E-7</v>
      </c>
      <c r="GQ18">
        <v>0</v>
      </c>
      <c r="GR18">
        <v>3.2511963782084523E-7</v>
      </c>
      <c r="GS18">
        <v>1.162090755543028E-6</v>
      </c>
      <c r="GT18">
        <v>1.0503551991342661E-6</v>
      </c>
      <c r="GU18">
        <v>8.5187002774456405E-7</v>
      </c>
      <c r="GV18">
        <v>8.3023304233197171E-7</v>
      </c>
      <c r="GW18">
        <v>8.4239202800890598E-7</v>
      </c>
      <c r="GX18">
        <v>1.183293075617288E-7</v>
      </c>
      <c r="GY18">
        <v>1.8774941734182401E-7</v>
      </c>
      <c r="GZ18">
        <v>3.0504786348115439E-7</v>
      </c>
      <c r="HA18">
        <v>1.9237833691555299E-7</v>
      </c>
      <c r="HB18">
        <v>2.5986151849054261E-7</v>
      </c>
      <c r="HC18">
        <v>1.162214034704845E-7</v>
      </c>
    </row>
    <row r="19" spans="1:211" x14ac:dyDescent="0.45">
      <c r="A19" s="1" t="s">
        <v>4</v>
      </c>
      <c r="B19">
        <v>2.061188136560214E-5</v>
      </c>
      <c r="C19">
        <v>1.006915186032617E-5</v>
      </c>
      <c r="D19">
        <v>8.2463490302808468E-6</v>
      </c>
      <c r="E19">
        <v>2.5726120601574319E-6</v>
      </c>
      <c r="F19">
        <v>3.6656527779837049E-5</v>
      </c>
      <c r="G19">
        <v>1.6516122707530159E-6</v>
      </c>
      <c r="H19">
        <v>6.6825933586863127E-6</v>
      </c>
      <c r="I19">
        <v>8.3873096268230139E-8</v>
      </c>
      <c r="J19">
        <v>7.7887892752641596E-5</v>
      </c>
      <c r="K19">
        <v>2.914465699024868E-5</v>
      </c>
      <c r="L19">
        <v>1.6520719701374828E-5</v>
      </c>
      <c r="M19">
        <v>1.780880467698336E-5</v>
      </c>
      <c r="N19">
        <v>2.5582214471894641E-5</v>
      </c>
      <c r="O19">
        <v>3.7569827484618037E-5</v>
      </c>
      <c r="P19">
        <v>1.0383881945489479E-6</v>
      </c>
      <c r="Q19">
        <v>0</v>
      </c>
      <c r="R19">
        <v>0</v>
      </c>
      <c r="S19">
        <v>9.89563638339756E-8</v>
      </c>
      <c r="T19">
        <v>1.8844074891071561E-6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3.7608570707281568E-8</v>
      </c>
      <c r="AD19">
        <v>6.2646186795725566E-7</v>
      </c>
      <c r="AE19">
        <v>3.0916853728278161E-9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2.037385028118578E-10</v>
      </c>
      <c r="AO19">
        <v>4.9097632346188952E-8</v>
      </c>
      <c r="AP19">
        <v>1.4177024604995451E-9</v>
      </c>
      <c r="AQ19">
        <v>2.6424995350294719E-8</v>
      </c>
      <c r="AR19">
        <v>3.0807972674529738E-5</v>
      </c>
      <c r="AS19">
        <v>7.7345110730819912E-6</v>
      </c>
      <c r="AT19">
        <v>3.9590235870939968E-6</v>
      </c>
      <c r="AU19">
        <v>4.6003097174852146E-6</v>
      </c>
      <c r="AV19">
        <v>3.475201479205949E-6</v>
      </c>
      <c r="AW19">
        <v>1.177074266357902E-5</v>
      </c>
      <c r="AX19">
        <v>3.2600033978363401E-7</v>
      </c>
      <c r="AY19">
        <v>1.3434396346803421E-5</v>
      </c>
      <c r="AZ19">
        <v>7.2262991969008888E-6</v>
      </c>
      <c r="BA19">
        <v>3.7362176177303662E-6</v>
      </c>
      <c r="BB19">
        <v>9.1479888309904397E-6</v>
      </c>
      <c r="BC19">
        <v>4.9153019337002268E-8</v>
      </c>
      <c r="BD19">
        <v>1.0181780250447739E-7</v>
      </c>
      <c r="BE19">
        <v>5.423371883285978E-8</v>
      </c>
      <c r="BF19">
        <v>7.1285637555133313E-7</v>
      </c>
      <c r="BG19">
        <v>7.7356212755439856E-8</v>
      </c>
      <c r="BH19">
        <v>4.55847635001384E-8</v>
      </c>
      <c r="BI19">
        <v>3.1816133935882962E-8</v>
      </c>
      <c r="BJ19">
        <v>2.8807960290668511E-8</v>
      </c>
      <c r="BK19">
        <v>1.459919461588823E-7</v>
      </c>
      <c r="BL19">
        <v>4.265137191969748E-8</v>
      </c>
      <c r="BM19">
        <v>7.0460085852998914E-10</v>
      </c>
      <c r="BN19">
        <v>0</v>
      </c>
      <c r="BO19">
        <v>1.5797045187194258E-8</v>
      </c>
      <c r="BP19">
        <v>4.131704507868988E-8</v>
      </c>
      <c r="BQ19">
        <v>0</v>
      </c>
      <c r="BR19">
        <v>0</v>
      </c>
      <c r="BS19">
        <v>1.0649208903585301E-8</v>
      </c>
      <c r="BT19">
        <v>0</v>
      </c>
      <c r="BU19">
        <v>1.8424038965719709E-8</v>
      </c>
      <c r="BV19">
        <v>6.3575572309055051E-9</v>
      </c>
      <c r="BW19">
        <v>5.422976363392361E-11</v>
      </c>
      <c r="BX19">
        <v>1.07945832148739E-8</v>
      </c>
      <c r="BY19">
        <v>1.0351040885127199E-8</v>
      </c>
      <c r="BZ19">
        <v>0</v>
      </c>
      <c r="CA19">
        <v>5.6859445647145589E-9</v>
      </c>
      <c r="CB19">
        <v>1.163657414138156E-8</v>
      </c>
      <c r="CC19">
        <v>1.966907643315196E-8</v>
      </c>
      <c r="CD19">
        <v>2.1514515595806781E-9</v>
      </c>
      <c r="CE19">
        <v>2.397040152760941E-9</v>
      </c>
      <c r="CF19">
        <v>3.6061020557503872E-9</v>
      </c>
      <c r="CG19">
        <v>2.2949508776536211E-9</v>
      </c>
      <c r="CH19">
        <v>3.4848089619498929E-10</v>
      </c>
      <c r="CI19">
        <v>1.450436944088611E-7</v>
      </c>
      <c r="CJ19">
        <v>1.5769083075784051E-7</v>
      </c>
      <c r="CK19">
        <v>1.96823536592767E-8</v>
      </c>
      <c r="CL19">
        <v>2.9719831990386768E-8</v>
      </c>
      <c r="CM19">
        <v>1.789687237123925E-7</v>
      </c>
      <c r="CN19">
        <v>0</v>
      </c>
      <c r="CO19">
        <v>3.8674622051676129E-8</v>
      </c>
      <c r="CP19">
        <v>7.3159781069849607E-8</v>
      </c>
      <c r="CQ19">
        <v>3.0344990555348021E-8</v>
      </c>
      <c r="CR19">
        <v>0</v>
      </c>
      <c r="CS19">
        <v>3.5926447521387478E-8</v>
      </c>
      <c r="CT19">
        <v>2.9170332364100559E-8</v>
      </c>
      <c r="CU19">
        <v>4.3836212201585382E-8</v>
      </c>
      <c r="CV19">
        <v>7.6755438249806588E-8</v>
      </c>
      <c r="CW19">
        <v>3.7350001891145633E-8</v>
      </c>
      <c r="CX19">
        <v>3.6980559803927957E-8</v>
      </c>
      <c r="CY19">
        <v>6.7303642853971924E-8</v>
      </c>
      <c r="CZ19">
        <v>4.6633733648395658E-8</v>
      </c>
      <c r="DA19">
        <v>4.9383268034928362E-8</v>
      </c>
      <c r="DB19">
        <v>4.9590747501917842E-8</v>
      </c>
      <c r="DC19">
        <v>0</v>
      </c>
      <c r="DD19">
        <v>2.9755261086954491E-8</v>
      </c>
      <c r="DE19">
        <v>3.1752291077809673E-8</v>
      </c>
      <c r="DF19">
        <v>1.7467136856859539E-8</v>
      </c>
      <c r="DG19">
        <v>2.10415098869217E-8</v>
      </c>
      <c r="DH19">
        <v>2.2453453475054251E-8</v>
      </c>
      <c r="DI19">
        <v>0</v>
      </c>
      <c r="DJ19">
        <v>2.8448565960024561E-8</v>
      </c>
      <c r="DK19">
        <v>0</v>
      </c>
      <c r="DL19">
        <v>3.6920941908215118E-8</v>
      </c>
      <c r="DM19">
        <v>2.476374200846973E-8</v>
      </c>
      <c r="DN19">
        <v>2.8339228392589812E-8</v>
      </c>
      <c r="DO19">
        <v>4.3168030624928193E-8</v>
      </c>
      <c r="DP19">
        <v>2.7551366710559261E-8</v>
      </c>
      <c r="DQ19">
        <v>3.7117285336378478E-8</v>
      </c>
      <c r="DR19">
        <v>2.9707067993992731E-8</v>
      </c>
      <c r="DS19">
        <v>3.4173205250528609E-8</v>
      </c>
      <c r="DT19">
        <v>2.315346716065382E-8</v>
      </c>
      <c r="DU19">
        <v>4.5330117284090579E-8</v>
      </c>
      <c r="DV19">
        <v>0</v>
      </c>
      <c r="DW19">
        <v>0</v>
      </c>
      <c r="DX19">
        <v>1.096554635845709E-7</v>
      </c>
      <c r="DY19">
        <v>4.5702448669608011E-8</v>
      </c>
      <c r="DZ19">
        <v>2.8235065554741189E-8</v>
      </c>
      <c r="EA19">
        <v>3.1458662902103187E-8</v>
      </c>
      <c r="EB19">
        <v>1.269967005111606E-8</v>
      </c>
      <c r="EC19">
        <v>6.9331974466854742E-8</v>
      </c>
      <c r="ED19">
        <v>2.8896297075711261E-8</v>
      </c>
      <c r="EE19">
        <v>2.7049211221474289E-9</v>
      </c>
      <c r="EF19">
        <v>0</v>
      </c>
      <c r="EG19">
        <v>4.5029056737414619E-8</v>
      </c>
      <c r="EH19">
        <v>0</v>
      </c>
      <c r="EI19">
        <v>0</v>
      </c>
      <c r="EJ19">
        <v>9.4475521687229287E-9</v>
      </c>
      <c r="EK19">
        <v>8.8115263752534289E-9</v>
      </c>
      <c r="EL19">
        <v>2.6833787097639848E-9</v>
      </c>
      <c r="EM19">
        <v>5.4924544252660504E-9</v>
      </c>
      <c r="EN19">
        <v>1.01996284608022E-15</v>
      </c>
      <c r="EO19">
        <v>0</v>
      </c>
      <c r="EP19">
        <v>1.1396994655782711E-8</v>
      </c>
      <c r="EQ19">
        <v>2.4557731827098412E-8</v>
      </c>
      <c r="ER19">
        <v>1.3871181111344379E-7</v>
      </c>
      <c r="ES19">
        <v>3.3284386096309333E-8</v>
      </c>
      <c r="ET19">
        <v>3.4156994547641381E-8</v>
      </c>
      <c r="EU19">
        <v>0</v>
      </c>
      <c r="EV19">
        <v>7.3294606056648292E-9</v>
      </c>
      <c r="EW19">
        <v>9.9445668126821733E-8</v>
      </c>
      <c r="EX19">
        <v>2.4143239976211351E-8</v>
      </c>
      <c r="EY19">
        <v>2.7941165508130309E-8</v>
      </c>
      <c r="EZ19">
        <v>7.9800679651856247E-7</v>
      </c>
      <c r="FA19">
        <v>2.6268965805937219E-8</v>
      </c>
      <c r="FB19">
        <v>2.0951537548129479E-8</v>
      </c>
      <c r="FC19">
        <v>3.6748255302046957E-8</v>
      </c>
      <c r="FD19">
        <v>3.6991552287498117E-8</v>
      </c>
      <c r="FE19">
        <v>9.5792155114380134E-8</v>
      </c>
      <c r="FF19">
        <v>7.5053852046088701E-8</v>
      </c>
      <c r="FG19">
        <v>2.6719832136117599E-8</v>
      </c>
      <c r="FH19">
        <v>4.0384876715038818E-8</v>
      </c>
      <c r="FI19">
        <v>2.7633737373532649E-8</v>
      </c>
      <c r="FJ19">
        <v>3.7760795285304633E-8</v>
      </c>
      <c r="FK19">
        <v>3.986217326489564E-8</v>
      </c>
      <c r="FL19">
        <v>2.698403590653053E-8</v>
      </c>
      <c r="FM19">
        <v>9.29118514184231E-8</v>
      </c>
      <c r="FN19">
        <v>5.2834433615093817E-8</v>
      </c>
      <c r="FO19">
        <v>1.597476612491968E-7</v>
      </c>
      <c r="FP19">
        <v>7.3361518411489867E-8</v>
      </c>
      <c r="FQ19">
        <v>4.7012859497319722E-8</v>
      </c>
      <c r="FR19">
        <v>1.451651832948624E-7</v>
      </c>
      <c r="FS19">
        <v>8.9908999984136543E-8</v>
      </c>
      <c r="FT19">
        <v>3.6650000663359769E-8</v>
      </c>
      <c r="FU19">
        <v>3.6505751420794619E-8</v>
      </c>
      <c r="FV19">
        <v>3.6256310329826858E-8</v>
      </c>
      <c r="FW19">
        <v>3.6634948004831291E-8</v>
      </c>
      <c r="FX19">
        <v>3.5784705852624491E-8</v>
      </c>
      <c r="FY19">
        <v>3.6322477094486978E-8</v>
      </c>
      <c r="FZ19">
        <v>3.6309665438447158E-8</v>
      </c>
      <c r="GA19">
        <v>3.5238161652048712E-8</v>
      </c>
      <c r="GB19">
        <v>3.2606437789120522E-8</v>
      </c>
      <c r="GC19">
        <v>3.4483079781229519E-8</v>
      </c>
      <c r="GD19">
        <v>3.5393802273013491E-8</v>
      </c>
      <c r="GE19">
        <v>1.5297973129843798E-8</v>
      </c>
      <c r="GF19">
        <v>3.6266228136669297E-8</v>
      </c>
      <c r="GG19">
        <v>3.601143214887728E-8</v>
      </c>
      <c r="GH19">
        <v>3.5623140847353568E-8</v>
      </c>
      <c r="GI19">
        <v>3.5853929421046908E-8</v>
      </c>
      <c r="GJ19">
        <v>3.5287440737396978E-8</v>
      </c>
      <c r="GK19">
        <v>3.624172034714321E-8</v>
      </c>
      <c r="GL19">
        <v>3.539295121926347E-8</v>
      </c>
      <c r="GM19">
        <v>3.575157144370831E-8</v>
      </c>
      <c r="GN19">
        <v>6.4849831096972697E-8</v>
      </c>
      <c r="GO19">
        <v>2.2413854849494411E-7</v>
      </c>
      <c r="GP19">
        <v>1.136335157107407E-8</v>
      </c>
      <c r="GQ19">
        <v>0</v>
      </c>
      <c r="GR19">
        <v>2.5749730008405661E-6</v>
      </c>
      <c r="GS19">
        <v>3.0807972674529738E-5</v>
      </c>
      <c r="GT19">
        <v>6.6461654812572749E-6</v>
      </c>
      <c r="GU19">
        <v>1.172503000763374E-5</v>
      </c>
      <c r="GV19">
        <v>1.218188200383948E-5</v>
      </c>
      <c r="GW19">
        <v>7.2403415713240012E-6</v>
      </c>
      <c r="GX19">
        <v>4.2403236174185677E-8</v>
      </c>
      <c r="GY19">
        <v>3.3877875494316097E-8</v>
      </c>
      <c r="GZ19">
        <v>8.8024666910116734E-8</v>
      </c>
      <c r="HA19">
        <v>4.6692191354899178E-8</v>
      </c>
      <c r="HB19">
        <v>7.9800679651856247E-7</v>
      </c>
      <c r="HC19">
        <v>8.7489926683385422E-8</v>
      </c>
    </row>
    <row r="20" spans="1:211" x14ac:dyDescent="0.45">
      <c r="A20" s="1" t="s">
        <v>5</v>
      </c>
      <c r="B20">
        <v>1.346085346462098E-5</v>
      </c>
      <c r="C20">
        <v>2.796650663778368E-5</v>
      </c>
      <c r="D20">
        <v>2.1037164464448501E-5</v>
      </c>
      <c r="E20">
        <v>8.091426657204E-6</v>
      </c>
      <c r="F20">
        <v>1.960820520839743E-5</v>
      </c>
      <c r="G20">
        <v>5.4534187826566986E-6</v>
      </c>
      <c r="H20">
        <v>1.7020834021737571E-4</v>
      </c>
      <c r="I20">
        <v>9.9971880389555758E-6</v>
      </c>
      <c r="J20">
        <v>1.5673297941537511E-4</v>
      </c>
      <c r="K20">
        <v>3.2416732975307757E-5</v>
      </c>
      <c r="L20">
        <v>3.0150113003558179E-5</v>
      </c>
      <c r="M20">
        <v>7.3404718439779677E-5</v>
      </c>
      <c r="N20">
        <v>1.240473700164364E-5</v>
      </c>
      <c r="O20">
        <v>0</v>
      </c>
      <c r="P20">
        <v>1.126701325641588E-4</v>
      </c>
      <c r="Q20">
        <v>0</v>
      </c>
      <c r="R20">
        <v>0</v>
      </c>
      <c r="S20">
        <v>9.0217855184819839E-7</v>
      </c>
      <c r="T20">
        <v>1.0057880891140651E-5</v>
      </c>
      <c r="U20">
        <v>2.7326876596863951E-8</v>
      </c>
      <c r="V20">
        <v>1.3101532164064169E-8</v>
      </c>
      <c r="W20">
        <v>7.0203330962425664E-8</v>
      </c>
      <c r="X20">
        <v>0</v>
      </c>
      <c r="Y20">
        <v>4.5796021978000849E-8</v>
      </c>
      <c r="Z20">
        <v>1.3082818125151731E-7</v>
      </c>
      <c r="AA20">
        <v>4.4832634925815651E-7</v>
      </c>
      <c r="AB20">
        <v>0</v>
      </c>
      <c r="AC20">
        <v>1.461426116632632E-7</v>
      </c>
      <c r="AD20">
        <v>9.4677034210749545E-9</v>
      </c>
      <c r="AE20">
        <v>1.4715624189873161E-6</v>
      </c>
      <c r="AF20">
        <v>0</v>
      </c>
      <c r="AG20">
        <v>7.7728014163507181E-8</v>
      </c>
      <c r="AH20">
        <v>1.030322311889364E-10</v>
      </c>
      <c r="AI20">
        <v>3.7913933605976369E-4</v>
      </c>
      <c r="AJ20">
        <v>1.006287895196975E-6</v>
      </c>
      <c r="AK20">
        <v>1.1976389260898391E-8</v>
      </c>
      <c r="AL20">
        <v>2.1679927896054009E-6</v>
      </c>
      <c r="AM20">
        <v>6.239197740357748E-8</v>
      </c>
      <c r="AN20">
        <v>4.2426016805895873E-9</v>
      </c>
      <c r="AO20">
        <v>3.9246622514850653E-8</v>
      </c>
      <c r="AP20">
        <v>9.3362208697395471E-9</v>
      </c>
      <c r="AQ20">
        <v>4.7356121578662667E-8</v>
      </c>
      <c r="AR20">
        <v>1.714443706502041E-5</v>
      </c>
      <c r="AS20">
        <v>1.5583009897777638E-5</v>
      </c>
      <c r="AT20">
        <v>7.6289106788115896E-6</v>
      </c>
      <c r="AU20">
        <v>2.030191151435246E-6</v>
      </c>
      <c r="AV20">
        <v>5.4043545219642987E-6</v>
      </c>
      <c r="AW20">
        <v>9.9353935376784297E-6</v>
      </c>
      <c r="AX20">
        <v>4.4598928996804682E-6</v>
      </c>
      <c r="AY20">
        <v>6.820230966795332E-6</v>
      </c>
      <c r="AZ20">
        <v>6.1021090317064981E-6</v>
      </c>
      <c r="BA20">
        <v>3.18592646520756E-6</v>
      </c>
      <c r="BB20">
        <v>2.2042659507711639E-6</v>
      </c>
      <c r="BC20">
        <v>1.073260763163747E-6</v>
      </c>
      <c r="BD20">
        <v>1.865276363872091E-6</v>
      </c>
      <c r="BE20">
        <v>1.76839125539127E-6</v>
      </c>
      <c r="BF20">
        <v>2.990475493642928E-6</v>
      </c>
      <c r="BG20">
        <v>9.7635886881699797E-7</v>
      </c>
      <c r="BH20">
        <v>0</v>
      </c>
      <c r="BI20">
        <v>2.0508251560548019E-6</v>
      </c>
      <c r="BJ20">
        <v>0</v>
      </c>
      <c r="BK20">
        <v>4.325308132718303E-7</v>
      </c>
      <c r="BL20">
        <v>2.8632900318642431E-7</v>
      </c>
      <c r="BM20">
        <v>2.8172339040856452E-7</v>
      </c>
      <c r="BN20">
        <v>0</v>
      </c>
      <c r="BO20">
        <v>0</v>
      </c>
      <c r="BP20">
        <v>6.9202753358525247E-6</v>
      </c>
      <c r="BQ20">
        <v>3.142710848792641E-8</v>
      </c>
      <c r="BR20">
        <v>0</v>
      </c>
      <c r="BS20">
        <v>4.4097714297616241E-7</v>
      </c>
      <c r="BT20">
        <v>1.164875133189769E-7</v>
      </c>
      <c r="BU20">
        <v>1.8035772410262491E-7</v>
      </c>
      <c r="BV20">
        <v>1.66120868251976E-6</v>
      </c>
      <c r="BW20">
        <v>0</v>
      </c>
      <c r="BX20">
        <v>2.4710122476235409E-7</v>
      </c>
      <c r="BY20">
        <v>1.273968658981265E-7</v>
      </c>
      <c r="BZ20">
        <v>0</v>
      </c>
      <c r="CA20">
        <v>1.7630374412119931E-7</v>
      </c>
      <c r="CB20">
        <v>0</v>
      </c>
      <c r="CC20">
        <v>0</v>
      </c>
      <c r="CD20">
        <v>1.023351960240426E-7</v>
      </c>
      <c r="CE20">
        <v>0</v>
      </c>
      <c r="CF20">
        <v>6.8318613001952613E-8</v>
      </c>
      <c r="CG20">
        <v>5.8173839765601523E-8</v>
      </c>
      <c r="CH20">
        <v>0</v>
      </c>
      <c r="CI20">
        <v>2.0439226547329239E-6</v>
      </c>
      <c r="CJ20">
        <v>0</v>
      </c>
      <c r="CK20">
        <v>3.7332350353981328E-6</v>
      </c>
      <c r="CL20">
        <v>8.9338959357051832E-6</v>
      </c>
      <c r="CM20">
        <v>9.5762268325676847E-7</v>
      </c>
      <c r="CN20">
        <v>0</v>
      </c>
      <c r="CO20">
        <v>9.518559995567222E-6</v>
      </c>
      <c r="CP20">
        <v>0</v>
      </c>
      <c r="CQ20">
        <v>0</v>
      </c>
      <c r="CR20">
        <v>0</v>
      </c>
      <c r="CS20">
        <v>4.9063323227340092E-7</v>
      </c>
      <c r="CT20">
        <v>0</v>
      </c>
      <c r="CU20">
        <v>5.4463549455552799E-7</v>
      </c>
      <c r="CV20">
        <v>4.4970254576522061E-7</v>
      </c>
      <c r="CW20">
        <v>3.503118909532082E-7</v>
      </c>
      <c r="CX20">
        <v>0</v>
      </c>
      <c r="CY20">
        <v>4.2036199593374538E-7</v>
      </c>
      <c r="CZ20">
        <v>3.2944956103564201E-7</v>
      </c>
      <c r="DA20">
        <v>0</v>
      </c>
      <c r="DB20">
        <v>1.208664009151258E-6</v>
      </c>
      <c r="DC20">
        <v>0</v>
      </c>
      <c r="DD20">
        <v>5.9070611413456025E-7</v>
      </c>
      <c r="DE20">
        <v>0</v>
      </c>
      <c r="DF20">
        <v>1.1638637032132199E-6</v>
      </c>
      <c r="DG20">
        <v>0</v>
      </c>
      <c r="DH20">
        <v>6.9687460187289745E-7</v>
      </c>
      <c r="DI20">
        <v>0</v>
      </c>
      <c r="DJ20">
        <v>6.0195516872522656E-7</v>
      </c>
      <c r="DK20">
        <v>0</v>
      </c>
      <c r="DL20">
        <v>0</v>
      </c>
      <c r="DM20">
        <v>3.1497920682220647E-7</v>
      </c>
      <c r="DN20">
        <v>1.54360607861831E-7</v>
      </c>
      <c r="DO20">
        <v>8.3602372098786677E-7</v>
      </c>
      <c r="DP20">
        <v>1.7052802731193851E-7</v>
      </c>
      <c r="DQ20">
        <v>1.4730773762574319E-7</v>
      </c>
      <c r="DR20">
        <v>8.6643672406478888E-8</v>
      </c>
      <c r="DS20">
        <v>3.3094091180483879E-7</v>
      </c>
      <c r="DT20">
        <v>2.027249322363759E-7</v>
      </c>
      <c r="DU20">
        <v>7.4538860539956593E-7</v>
      </c>
      <c r="DV20">
        <v>0</v>
      </c>
      <c r="DW20">
        <v>0</v>
      </c>
      <c r="DX20">
        <v>1.2485791415514081E-7</v>
      </c>
      <c r="DY20">
        <v>5.8920696032682814E-7</v>
      </c>
      <c r="DZ20">
        <v>1.9429817342246589E-6</v>
      </c>
      <c r="EA20">
        <v>1.284858958814124E-6</v>
      </c>
      <c r="EB20">
        <v>5.5452267565614087E-7</v>
      </c>
      <c r="EC20">
        <v>2.545682395678141E-7</v>
      </c>
      <c r="ED20">
        <v>1.031673185781428E-6</v>
      </c>
      <c r="EE20">
        <v>1.452164703289439E-6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6.3159265490755604E-7</v>
      </c>
      <c r="EU20">
        <v>0</v>
      </c>
      <c r="EV20">
        <v>3.886017258077278E-7</v>
      </c>
      <c r="EW20">
        <v>2.988351817763217E-6</v>
      </c>
      <c r="EX20">
        <v>6.9509496009427811E-7</v>
      </c>
      <c r="EY20">
        <v>6.0725573382428559E-7</v>
      </c>
      <c r="EZ20">
        <v>2.1279802454206112E-6</v>
      </c>
      <c r="FA20">
        <v>5.0455133541553464E-7</v>
      </c>
      <c r="FB20">
        <v>3.0824162439334169E-7</v>
      </c>
      <c r="FC20">
        <v>1.18278818835162E-6</v>
      </c>
      <c r="FD20">
        <v>7.151829736002659E-7</v>
      </c>
      <c r="FE20">
        <v>1.4791162116114411E-6</v>
      </c>
      <c r="FF20">
        <v>5.920853193825346E-7</v>
      </c>
      <c r="FG20">
        <v>4.0455200778058372E-7</v>
      </c>
      <c r="FH20">
        <v>2.2705460618153159E-7</v>
      </c>
      <c r="FI20">
        <v>1.3772249898585291E-7</v>
      </c>
      <c r="FJ20">
        <v>1.997691766894962E-7</v>
      </c>
      <c r="FK20">
        <v>2.0537326787772189E-7</v>
      </c>
      <c r="FL20">
        <v>1.7935957729472571E-7</v>
      </c>
      <c r="FM20">
        <v>5.0560129558361567E-7</v>
      </c>
      <c r="FN20">
        <v>3.389289602430836E-7</v>
      </c>
      <c r="FO20">
        <v>9.4793971514970378E-7</v>
      </c>
      <c r="FP20">
        <v>2.6343666373707341E-7</v>
      </c>
      <c r="FQ20">
        <v>5.5667579858380961E-7</v>
      </c>
      <c r="FR20">
        <v>4.2302869472830219E-7</v>
      </c>
      <c r="FS20">
        <v>8.7564217732634955E-7</v>
      </c>
      <c r="FT20">
        <v>5.7111641035289028E-7</v>
      </c>
      <c r="FU20">
        <v>2.5216976729606191E-7</v>
      </c>
      <c r="FV20">
        <v>2.1469271565088701E-7</v>
      </c>
      <c r="FW20">
        <v>3.069205803303566E-7</v>
      </c>
      <c r="FX20">
        <v>1.9468381429631191E-7</v>
      </c>
      <c r="FY20">
        <v>2.6868799495300358E-7</v>
      </c>
      <c r="FZ20">
        <v>2.742468231985751E-7</v>
      </c>
      <c r="GA20">
        <v>1.7376896761164891E-7</v>
      </c>
      <c r="GB20">
        <v>2.4704840615893479E-7</v>
      </c>
      <c r="GC20">
        <v>2.8974549341211919E-7</v>
      </c>
      <c r="GD20">
        <v>3.060766111700689E-7</v>
      </c>
      <c r="GE20">
        <v>1.193339289544578E-7</v>
      </c>
      <c r="GF20">
        <v>1.607773293496604E-7</v>
      </c>
      <c r="GG20">
        <v>2.637197249433814E-7</v>
      </c>
      <c r="GH20">
        <v>1.857934228703614E-7</v>
      </c>
      <c r="GI20">
        <v>1.7189960745492851E-7</v>
      </c>
      <c r="GJ20">
        <v>1.370373276356391E-7</v>
      </c>
      <c r="GK20">
        <v>2.8191060276564063E-7</v>
      </c>
      <c r="GL20">
        <v>1.4890545506235071E-7</v>
      </c>
      <c r="GM20">
        <v>1.752121790856181E-7</v>
      </c>
      <c r="GN20">
        <v>1.0228317140424639E-6</v>
      </c>
      <c r="GO20">
        <v>5.4613318946296741E-7</v>
      </c>
      <c r="GP20">
        <v>1.067568838731889E-6</v>
      </c>
      <c r="GQ20">
        <v>0</v>
      </c>
      <c r="GR20">
        <v>8.031322861130241E-6</v>
      </c>
      <c r="GS20">
        <v>1.714443706502041E-5</v>
      </c>
      <c r="GT20">
        <v>8.2404261049380472E-6</v>
      </c>
      <c r="GU20">
        <v>1.03214724236558E-5</v>
      </c>
      <c r="GV20">
        <v>9.9353935376784314E-6</v>
      </c>
      <c r="GW20">
        <v>5.7797490066899431E-6</v>
      </c>
      <c r="GX20">
        <v>3.5369984703601571E-7</v>
      </c>
      <c r="GY20">
        <v>3.99379586233883E-7</v>
      </c>
      <c r="GZ20">
        <v>2.1505037189039622E-6</v>
      </c>
      <c r="HA20">
        <v>4.216669884054279E-7</v>
      </c>
      <c r="HB20">
        <v>0</v>
      </c>
      <c r="HC20">
        <v>4.7363160865112359E-7</v>
      </c>
    </row>
    <row r="21" spans="1:211" x14ac:dyDescent="0.45">
      <c r="A21" s="1" t="s">
        <v>6</v>
      </c>
      <c r="B21">
        <v>12.589531046076591</v>
      </c>
      <c r="C21">
        <v>393.41683792647649</v>
      </c>
      <c r="D21">
        <v>6.1707335051997774</v>
      </c>
      <c r="E21">
        <v>6666.4130958942833</v>
      </c>
      <c r="F21">
        <v>709.18679688875659</v>
      </c>
      <c r="G21">
        <v>0</v>
      </c>
      <c r="H21">
        <v>18.17377665812187</v>
      </c>
      <c r="I21">
        <v>418.35490823388932</v>
      </c>
      <c r="J21">
        <v>0</v>
      </c>
      <c r="K21">
        <v>0</v>
      </c>
      <c r="L21">
        <v>37.6718724459</v>
      </c>
      <c r="M21">
        <v>134.96855356699999</v>
      </c>
      <c r="N21">
        <v>358.93550539300003</v>
      </c>
      <c r="O21">
        <v>0</v>
      </c>
      <c r="P21">
        <v>0</v>
      </c>
      <c r="Q21">
        <v>0</v>
      </c>
      <c r="R21">
        <v>0</v>
      </c>
      <c r="S21">
        <v>324.71811889076042</v>
      </c>
      <c r="T21">
        <v>191.524540960959</v>
      </c>
      <c r="U21">
        <v>6.3533008602000001</v>
      </c>
      <c r="V21">
        <v>0</v>
      </c>
      <c r="W21">
        <v>14.903983972800001</v>
      </c>
      <c r="X21">
        <v>0</v>
      </c>
      <c r="Y21">
        <v>14.5218305376</v>
      </c>
      <c r="Z21">
        <v>0</v>
      </c>
      <c r="AA21">
        <v>0</v>
      </c>
      <c r="AB21">
        <v>0</v>
      </c>
      <c r="AC21">
        <v>0</v>
      </c>
      <c r="AD21">
        <v>10172.62054431125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1038.4943145499999</v>
      </c>
      <c r="AS21">
        <v>596.45047547599995</v>
      </c>
      <c r="AT21">
        <v>892.77666270999998</v>
      </c>
      <c r="AU21">
        <v>2166.4317380399998</v>
      </c>
      <c r="AV21">
        <v>152.52438610900001</v>
      </c>
      <c r="AW21">
        <v>1806.0386160099999</v>
      </c>
      <c r="AX21">
        <v>130.97256975400001</v>
      </c>
      <c r="AY21">
        <v>92.726657253900001</v>
      </c>
      <c r="AZ21">
        <v>11484.836648500001</v>
      </c>
      <c r="BA21">
        <v>1737.93637934</v>
      </c>
      <c r="BB21">
        <v>1549.8190821000001</v>
      </c>
      <c r="BC21">
        <v>1749.27710897</v>
      </c>
      <c r="BD21">
        <v>5191.81852316</v>
      </c>
      <c r="BE21">
        <v>10896.3904117</v>
      </c>
      <c r="BF21">
        <v>6719.8629984099998</v>
      </c>
      <c r="BG21">
        <v>627.28953437057316</v>
      </c>
      <c r="BH21">
        <v>64.052776141426875</v>
      </c>
      <c r="BI21">
        <v>0</v>
      </c>
      <c r="BJ21">
        <v>0</v>
      </c>
      <c r="BK21">
        <v>1766.04037623</v>
      </c>
      <c r="BL21">
        <v>1559.8370236600001</v>
      </c>
      <c r="BM21">
        <v>0.1066507278430744</v>
      </c>
      <c r="BN21">
        <v>0</v>
      </c>
      <c r="BO21">
        <v>0</v>
      </c>
      <c r="BP21">
        <v>262.48153199278192</v>
      </c>
      <c r="BQ21">
        <v>0.26273048669999999</v>
      </c>
      <c r="BR21">
        <v>0</v>
      </c>
      <c r="BS21">
        <v>52.290447045240562</v>
      </c>
      <c r="BT21">
        <v>157.13671563599999</v>
      </c>
      <c r="BU21">
        <v>7198.1551780506543</v>
      </c>
      <c r="BV21">
        <v>1.056828588528105</v>
      </c>
      <c r="BW21">
        <v>0</v>
      </c>
      <c r="BX21">
        <v>612.42607809052072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2378.0362296804178</v>
      </c>
      <c r="CJ21">
        <v>286.21616942958212</v>
      </c>
      <c r="CK21">
        <v>1.6789142170569999</v>
      </c>
      <c r="CL21">
        <v>44.522949826820003</v>
      </c>
      <c r="CM21">
        <v>6643.3333910300007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895.25021162600001</v>
      </c>
      <c r="CV21">
        <v>0.112600342789</v>
      </c>
      <c r="CW21">
        <v>0.91886879222690554</v>
      </c>
      <c r="CX21">
        <v>5.55902005850945E-2</v>
      </c>
      <c r="CY21">
        <v>791.25578928899995</v>
      </c>
      <c r="CZ21">
        <v>6.1700262321527496E-3</v>
      </c>
      <c r="DA21">
        <v>3.9625614194724822E-4</v>
      </c>
      <c r="DB21">
        <v>5.4250360592692362</v>
      </c>
      <c r="DC21">
        <v>3.0458495076355003E-4</v>
      </c>
      <c r="DD21">
        <v>1.3261887457802539</v>
      </c>
      <c r="DE21">
        <v>0.102340521859746</v>
      </c>
      <c r="DF21">
        <v>0</v>
      </c>
      <c r="DG21">
        <v>0</v>
      </c>
      <c r="DH21">
        <v>0</v>
      </c>
      <c r="DI21">
        <v>0</v>
      </c>
      <c r="DJ21">
        <v>7.4935930203748713</v>
      </c>
      <c r="DK21">
        <v>6.0997008595128847E-2</v>
      </c>
      <c r="DL21">
        <v>0</v>
      </c>
      <c r="DM21">
        <v>2010.42848448</v>
      </c>
      <c r="DN21">
        <v>520.47413446200005</v>
      </c>
      <c r="DO21">
        <v>1803.7615754999999</v>
      </c>
      <c r="DP21">
        <v>2577.2612739800002</v>
      </c>
      <c r="DQ21">
        <v>4696.7749308100001</v>
      </c>
      <c r="DR21">
        <v>4669.9064481400001</v>
      </c>
      <c r="DS21">
        <v>29014.020956100001</v>
      </c>
      <c r="DT21">
        <v>2813.8265550279998</v>
      </c>
      <c r="DU21">
        <v>10799.400247</v>
      </c>
      <c r="DV21">
        <v>0</v>
      </c>
      <c r="DW21">
        <v>0</v>
      </c>
      <c r="DX21">
        <v>63.361211080935377</v>
      </c>
      <c r="DY21">
        <v>50.540358367452967</v>
      </c>
      <c r="DZ21">
        <v>20.421948832948161</v>
      </c>
      <c r="EA21">
        <v>34.973120821718787</v>
      </c>
      <c r="EB21">
        <v>7.7745748429250057</v>
      </c>
      <c r="EC21">
        <v>7.7841592984684684</v>
      </c>
      <c r="ED21">
        <v>4.4869937232399604</v>
      </c>
      <c r="EE21">
        <v>2.2862877476796539</v>
      </c>
      <c r="EF21">
        <v>0</v>
      </c>
      <c r="EG21">
        <v>4.9947555776570151E-3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107.8362040536</v>
      </c>
      <c r="EY21">
        <v>0</v>
      </c>
      <c r="EZ21">
        <v>0</v>
      </c>
      <c r="FA21">
        <v>1317.5141081675199</v>
      </c>
      <c r="FB21">
        <v>5070.0672428300004</v>
      </c>
      <c r="FC21">
        <v>0.66543467202200002</v>
      </c>
      <c r="FD21">
        <v>3107.3829579702092</v>
      </c>
      <c r="FE21">
        <v>243.82395424985501</v>
      </c>
      <c r="FF21">
        <v>8077.9817955548197</v>
      </c>
      <c r="FG21">
        <v>854.20888969679993</v>
      </c>
      <c r="FH21">
        <v>2604.55483714</v>
      </c>
      <c r="FI21">
        <v>1220.2376179299999</v>
      </c>
      <c r="FJ21">
        <v>1145.74717822</v>
      </c>
      <c r="FK21">
        <v>0</v>
      </c>
      <c r="FL21">
        <v>0</v>
      </c>
      <c r="FM21">
        <v>0</v>
      </c>
      <c r="FN21">
        <v>1.81215275413</v>
      </c>
      <c r="FO21">
        <v>1038.6668066899999</v>
      </c>
      <c r="FP21">
        <v>652.78120585600004</v>
      </c>
      <c r="FQ21">
        <v>1267.5185599075201</v>
      </c>
      <c r="FR21">
        <v>1024.3292228667999</v>
      </c>
      <c r="FS21">
        <v>1545.727142509</v>
      </c>
      <c r="FT21">
        <v>7.1772939881199997</v>
      </c>
      <c r="FU21">
        <v>7.47894238651</v>
      </c>
      <c r="FV21">
        <v>3.4561336392499999</v>
      </c>
      <c r="FW21">
        <v>12.452825049199999</v>
      </c>
      <c r="FX21">
        <v>1.4328711332499999</v>
      </c>
      <c r="FY21">
        <v>2.5196803371600001</v>
      </c>
      <c r="FZ21">
        <v>7.2681283026200001</v>
      </c>
      <c r="GA21">
        <v>0.63557573159500003</v>
      </c>
      <c r="GB21">
        <v>4.31870936057E-2</v>
      </c>
      <c r="GC21">
        <v>6.2167013558799988</v>
      </c>
      <c r="GD21">
        <v>8.3376501952699993</v>
      </c>
      <c r="GE21">
        <v>0</v>
      </c>
      <c r="GF21">
        <v>2.8579230598600001</v>
      </c>
      <c r="GG21">
        <v>5.4780863341700003</v>
      </c>
      <c r="GH21">
        <v>6.6187806119300001</v>
      </c>
      <c r="GI21">
        <v>4.2866716676400003</v>
      </c>
      <c r="GJ21">
        <v>0.91095341557300002</v>
      </c>
      <c r="GK21">
        <v>10.798532357499999</v>
      </c>
      <c r="GL21">
        <v>0.47988633069100001</v>
      </c>
      <c r="GM21">
        <v>1.5981500333700001</v>
      </c>
      <c r="GN21">
        <v>95.863337095600002</v>
      </c>
      <c r="GO21">
        <v>2481.46822075</v>
      </c>
      <c r="GP21">
        <v>262.19233730575002</v>
      </c>
      <c r="GQ21">
        <v>0</v>
      </c>
      <c r="GR21">
        <v>6818.9374820032835</v>
      </c>
      <c r="GS21">
        <v>1038.4943145499999</v>
      </c>
      <c r="GT21">
        <v>3828.2993022389001</v>
      </c>
      <c r="GU21">
        <v>2356.4986623639588</v>
      </c>
      <c r="GV21">
        <v>1806.0386160099999</v>
      </c>
      <c r="GW21">
        <v>17903.873458744751</v>
      </c>
      <c r="GX21">
        <v>26463.523517716021</v>
      </c>
      <c r="GY21">
        <v>58120.83281466164</v>
      </c>
      <c r="GZ21">
        <v>22808.071933269999</v>
      </c>
      <c r="HA21">
        <v>52451.491819216943</v>
      </c>
      <c r="HB21">
        <v>0</v>
      </c>
      <c r="HC21">
        <v>14392.991685798401</v>
      </c>
    </row>
    <row r="22" spans="1:211" x14ac:dyDescent="0.45">
      <c r="A22" s="1" t="s">
        <v>7</v>
      </c>
      <c r="B22">
        <v>111.1237859411297</v>
      </c>
      <c r="C22">
        <v>6143.0077963115054</v>
      </c>
      <c r="D22">
        <v>370.68346562429832</v>
      </c>
      <c r="E22">
        <v>10280.107604815599</v>
      </c>
      <c r="F22">
        <v>726.07848723778375</v>
      </c>
      <c r="G22">
        <v>0</v>
      </c>
      <c r="H22">
        <v>514.07430814345184</v>
      </c>
      <c r="I22">
        <v>0</v>
      </c>
      <c r="J22">
        <v>0</v>
      </c>
      <c r="K22">
        <v>0</v>
      </c>
      <c r="L22">
        <v>3117.9127895699999</v>
      </c>
      <c r="M22">
        <v>1889.7566549799999</v>
      </c>
      <c r="N22">
        <v>139.24546536700001</v>
      </c>
      <c r="O22">
        <v>137.460607966</v>
      </c>
      <c r="P22">
        <v>0</v>
      </c>
      <c r="Q22">
        <v>0</v>
      </c>
      <c r="R22">
        <v>0</v>
      </c>
      <c r="S22">
        <v>4983.7269113496177</v>
      </c>
      <c r="T22">
        <v>235.5104379290872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7.5170467887461898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5050.4413716326299</v>
      </c>
      <c r="AS22">
        <v>2108.0791581456701</v>
      </c>
      <c r="AT22">
        <v>8018.0444478146992</v>
      </c>
      <c r="AU22">
        <v>15949.9837150327</v>
      </c>
      <c r="AV22">
        <v>26.960627056900002</v>
      </c>
      <c r="AW22">
        <v>8488.2230403558297</v>
      </c>
      <c r="AX22">
        <v>26.83840954758</v>
      </c>
      <c r="AY22">
        <v>662.143368282305</v>
      </c>
      <c r="AZ22">
        <v>23360.725289119</v>
      </c>
      <c r="BA22">
        <v>7010.4418690136599</v>
      </c>
      <c r="BB22">
        <v>2468.4934124624001</v>
      </c>
      <c r="BC22">
        <v>874.53301648599995</v>
      </c>
      <c r="BD22">
        <v>2215.3406393403002</v>
      </c>
      <c r="BE22">
        <v>3273.5352910359002</v>
      </c>
      <c r="BF22">
        <v>128.12948849290001</v>
      </c>
      <c r="BG22">
        <v>710.2622544142647</v>
      </c>
      <c r="BH22">
        <v>438.23633378573538</v>
      </c>
      <c r="BI22">
        <v>0</v>
      </c>
      <c r="BJ22">
        <v>0</v>
      </c>
      <c r="BK22">
        <v>1585.4834509899999</v>
      </c>
      <c r="BL22">
        <v>5484.6488585699999</v>
      </c>
      <c r="BM22">
        <v>0.72930991165692571</v>
      </c>
      <c r="BN22">
        <v>0</v>
      </c>
      <c r="BO22">
        <v>0</v>
      </c>
      <c r="BP22">
        <v>4666.4618214472184</v>
      </c>
      <c r="BQ22">
        <v>0</v>
      </c>
      <c r="BR22">
        <v>0</v>
      </c>
      <c r="BS22">
        <v>43.24791175475945</v>
      </c>
      <c r="BT22">
        <v>0</v>
      </c>
      <c r="BU22">
        <v>7435.9329311493466</v>
      </c>
      <c r="BV22">
        <v>2.1437064312718959</v>
      </c>
      <c r="BW22">
        <v>0</v>
      </c>
      <c r="BX22">
        <v>301.73270808747918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37588.165323314177</v>
      </c>
      <c r="CJ22">
        <v>1908.1984372858201</v>
      </c>
      <c r="CK22">
        <v>8.0925708148400002</v>
      </c>
      <c r="CL22">
        <v>43.787168113900002</v>
      </c>
      <c r="CM22">
        <v>9071.7807908699997</v>
      </c>
      <c r="CN22">
        <v>0</v>
      </c>
      <c r="CO22">
        <v>0</v>
      </c>
      <c r="CP22">
        <v>347.92681815999998</v>
      </c>
      <c r="CQ22">
        <v>984.28394153700003</v>
      </c>
      <c r="CR22">
        <v>0</v>
      </c>
      <c r="CS22">
        <v>0</v>
      </c>
      <c r="CT22">
        <v>0</v>
      </c>
      <c r="CU22">
        <v>689.76229474199999</v>
      </c>
      <c r="CV22">
        <v>7.7309901311899996</v>
      </c>
      <c r="CW22">
        <v>50.515630950077558</v>
      </c>
      <c r="CX22">
        <v>11.094501610822441</v>
      </c>
      <c r="CY22">
        <v>967.10634446200015</v>
      </c>
      <c r="CZ22">
        <v>4.0624645841598698E-3</v>
      </c>
      <c r="DA22">
        <v>1.8210031991701299E-3</v>
      </c>
      <c r="DB22">
        <v>0</v>
      </c>
      <c r="DC22">
        <v>0</v>
      </c>
      <c r="DD22">
        <v>0.46723417790522082</v>
      </c>
      <c r="DE22">
        <v>0.26654030710377918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0.14561557168100001</v>
      </c>
      <c r="DM22">
        <v>3671.05667554</v>
      </c>
      <c r="DN22">
        <v>310.99962491299999</v>
      </c>
      <c r="DO22">
        <v>0</v>
      </c>
      <c r="DP22">
        <v>1938.44845799</v>
      </c>
      <c r="DQ22">
        <v>1956.93538405</v>
      </c>
      <c r="DR22">
        <v>2869.1544762899998</v>
      </c>
      <c r="DS22">
        <v>26547.7846919</v>
      </c>
      <c r="DT22">
        <v>1501.0289734744999</v>
      </c>
      <c r="DU22">
        <v>7391.2707397499989</v>
      </c>
      <c r="DV22">
        <v>0</v>
      </c>
      <c r="DW22">
        <v>0</v>
      </c>
      <c r="DX22">
        <v>160.53293276706461</v>
      </c>
      <c r="DY22">
        <v>458.08197929454701</v>
      </c>
      <c r="DZ22">
        <v>10186.75299786705</v>
      </c>
      <c r="EA22">
        <v>1235.3526669582809</v>
      </c>
      <c r="EB22">
        <v>488.06950732907501</v>
      </c>
      <c r="EC22">
        <v>36.951677209631541</v>
      </c>
      <c r="ED22">
        <v>213.02996467476001</v>
      </c>
      <c r="EE22">
        <v>167.10322240432029</v>
      </c>
      <c r="EF22">
        <v>0</v>
      </c>
      <c r="EG22">
        <v>11.36406994162234</v>
      </c>
      <c r="EH22">
        <v>0</v>
      </c>
      <c r="EI22">
        <v>0</v>
      </c>
      <c r="EJ22">
        <v>2459.8227431700002</v>
      </c>
      <c r="EK22">
        <v>9539.4035679999997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8925.8146115100008</v>
      </c>
      <c r="ER22">
        <v>1377.8064414299999</v>
      </c>
      <c r="ES22">
        <v>5628.20353823</v>
      </c>
      <c r="ET22">
        <v>8796.4664476500002</v>
      </c>
      <c r="EU22">
        <v>0</v>
      </c>
      <c r="EV22">
        <v>30296.038247430999</v>
      </c>
      <c r="EW22">
        <v>769.05730232869996</v>
      </c>
      <c r="EX22">
        <v>9886.4385954099998</v>
      </c>
      <c r="EY22">
        <v>7198.7452669800005</v>
      </c>
      <c r="EZ22">
        <v>83954.164852629998</v>
      </c>
      <c r="FA22">
        <v>15294.563008583</v>
      </c>
      <c r="FB22">
        <v>30950.3724516</v>
      </c>
      <c r="FC22">
        <v>308.12175901199998</v>
      </c>
      <c r="FD22">
        <v>1190.0860007440001</v>
      </c>
      <c r="FE22">
        <v>749.58537190106574</v>
      </c>
      <c r="FF22">
        <v>11302.3998226312</v>
      </c>
      <c r="FG22">
        <v>16771.579081532</v>
      </c>
      <c r="FH22">
        <v>42904.638546299997</v>
      </c>
      <c r="FI22">
        <v>13529.354277</v>
      </c>
      <c r="FJ22">
        <v>31909.8454513</v>
      </c>
      <c r="FK22">
        <v>0</v>
      </c>
      <c r="FL22">
        <v>242143.13257310001</v>
      </c>
      <c r="FM22">
        <v>3328.271032657</v>
      </c>
      <c r="FN22">
        <v>70.890308732400001</v>
      </c>
      <c r="FO22">
        <v>11126.0696009</v>
      </c>
      <c r="FP22">
        <v>15846.2651147</v>
      </c>
      <c r="FQ22">
        <v>186753.73804475501</v>
      </c>
      <c r="FR22">
        <v>130808.66813279</v>
      </c>
      <c r="FS22">
        <v>258670.86586419999</v>
      </c>
      <c r="FT22">
        <v>767.06281134100004</v>
      </c>
      <c r="FU22">
        <v>804.795130685</v>
      </c>
      <c r="FV22">
        <v>332.70708407199999</v>
      </c>
      <c r="FW22">
        <v>949.25281436</v>
      </c>
      <c r="FX22">
        <v>167.74187124900001</v>
      </c>
      <c r="FY22">
        <v>222.57871309000001</v>
      </c>
      <c r="FZ22">
        <v>919.98164076199998</v>
      </c>
      <c r="GA22">
        <v>70.537428166500007</v>
      </c>
      <c r="GB22">
        <v>6.1009405066999998</v>
      </c>
      <c r="GC22">
        <v>773.51984684800004</v>
      </c>
      <c r="GD22">
        <v>479.80123612099999</v>
      </c>
      <c r="GE22">
        <v>1.8890696923700001</v>
      </c>
      <c r="GF22">
        <v>266.24321473499998</v>
      </c>
      <c r="GG22">
        <v>472.33991311599999</v>
      </c>
      <c r="GH22">
        <v>460.33404258299998</v>
      </c>
      <c r="GI22">
        <v>317.56515019599999</v>
      </c>
      <c r="GJ22">
        <v>84.577913012400003</v>
      </c>
      <c r="GK22">
        <v>1333.3558007900001</v>
      </c>
      <c r="GL22">
        <v>52.302272047400002</v>
      </c>
      <c r="GM22">
        <v>192.22371685499999</v>
      </c>
      <c r="GN22">
        <v>22590.5100676</v>
      </c>
      <c r="GO22">
        <v>71885.084968099996</v>
      </c>
      <c r="GP22">
        <v>11238.476071223</v>
      </c>
      <c r="GQ22">
        <v>0</v>
      </c>
      <c r="GR22">
        <v>10307.068231872499</v>
      </c>
      <c r="GS22">
        <v>5050.4413716326299</v>
      </c>
      <c r="GT22">
        <v>31083.776765543069</v>
      </c>
      <c r="GU22">
        <v>8862.9789436519168</v>
      </c>
      <c r="GV22">
        <v>8625.6836483218303</v>
      </c>
      <c r="GW22">
        <v>35754.451946233312</v>
      </c>
      <c r="GX22">
        <v>348068.80637080298</v>
      </c>
      <c r="GY22">
        <v>115961.4466882009</v>
      </c>
      <c r="GZ22">
        <v>5617.0054188691001</v>
      </c>
      <c r="HA22">
        <v>76311.734081727249</v>
      </c>
      <c r="HB22">
        <v>83954.164852629998</v>
      </c>
      <c r="HC22">
        <v>879887.65012239758</v>
      </c>
    </row>
    <row r="23" spans="1:211" x14ac:dyDescent="0.45">
      <c r="A23" s="1" t="s">
        <v>8</v>
      </c>
      <c r="B23">
        <v>1.6725534483613059E-5</v>
      </c>
      <c r="C23">
        <v>6.1154144846858524E-4</v>
      </c>
      <c r="D23">
        <v>2.4061625234391789E-5</v>
      </c>
      <c r="E23">
        <v>3.334478716259871E-3</v>
      </c>
      <c r="F23">
        <v>1.172544426722246E-4</v>
      </c>
      <c r="G23">
        <v>0</v>
      </c>
      <c r="H23">
        <v>3.8351802812569697E-5</v>
      </c>
      <c r="I23">
        <v>0</v>
      </c>
      <c r="J23">
        <v>0</v>
      </c>
      <c r="K23">
        <v>0</v>
      </c>
      <c r="L23">
        <v>2.3015523183940408E-3</v>
      </c>
      <c r="M23">
        <v>1.303028205621644E-3</v>
      </c>
      <c r="N23">
        <v>1.351179632202448E-4</v>
      </c>
      <c r="O23">
        <v>1.635742739514966E-4</v>
      </c>
      <c r="P23">
        <v>0</v>
      </c>
      <c r="Q23">
        <v>0</v>
      </c>
      <c r="R23">
        <v>0</v>
      </c>
      <c r="S23">
        <v>2.8738246060668288E-4</v>
      </c>
      <c r="T23">
        <v>4.1723485182012312E-4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5.993857376882719E-5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5.8690712293863277E-3</v>
      </c>
      <c r="AS23">
        <v>9.5947508313181361E-4</v>
      </c>
      <c r="AT23">
        <v>6.1553623260556679E-3</v>
      </c>
      <c r="AU23">
        <v>2.1929588601213908E-2</v>
      </c>
      <c r="AV23">
        <v>1.6551574281255448E-5</v>
      </c>
      <c r="AW23">
        <v>6.9977533035878777E-3</v>
      </c>
      <c r="AX23">
        <v>3.5298052180339081E-6</v>
      </c>
      <c r="AY23">
        <v>1.6940548880344371E-4</v>
      </c>
      <c r="AZ23">
        <v>2.2341221805237989E-2</v>
      </c>
      <c r="BA23">
        <v>4.3909843199446512E-3</v>
      </c>
      <c r="BB23">
        <v>2.8869006961766502E-3</v>
      </c>
      <c r="BC23">
        <v>1.5489138998528589E-4</v>
      </c>
      <c r="BD23">
        <v>9.1155974119815043E-4</v>
      </c>
      <c r="BE23">
        <v>7.5056443775627188E-4</v>
      </c>
      <c r="BF23">
        <v>5.1331323233663387E-5</v>
      </c>
      <c r="BG23">
        <v>1.3170184779554361E-4</v>
      </c>
      <c r="BH23">
        <v>6.4027318132393207E-5</v>
      </c>
      <c r="BI23">
        <v>0</v>
      </c>
      <c r="BJ23">
        <v>0</v>
      </c>
      <c r="BK23">
        <v>5.8268472149193584E-4</v>
      </c>
      <c r="BL23">
        <v>7.4031804533039949E-4</v>
      </c>
      <c r="BM23">
        <v>1.130179587024855E-8</v>
      </c>
      <c r="BN23">
        <v>0</v>
      </c>
      <c r="BO23">
        <v>0</v>
      </c>
      <c r="BP23">
        <v>2.3637036904990091E-3</v>
      </c>
      <c r="BQ23">
        <v>0</v>
      </c>
      <c r="BR23">
        <v>0</v>
      </c>
      <c r="BS23">
        <v>5.6462409516549541E-6</v>
      </c>
      <c r="BT23">
        <v>0</v>
      </c>
      <c r="BU23">
        <v>1.679555632290969E-3</v>
      </c>
      <c r="BV23">
        <v>1.6708294796655791E-7</v>
      </c>
      <c r="BW23">
        <v>0</v>
      </c>
      <c r="BX23">
        <v>3.9930516066291967E-5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9.1889797226967791E-3</v>
      </c>
      <c r="CJ23">
        <v>4.1119174950938862E-4</v>
      </c>
      <c r="CK23">
        <v>7.5112389355769947E-7</v>
      </c>
      <c r="CL23">
        <v>6.4392224741697311E-6</v>
      </c>
      <c r="CM23">
        <v>2.8245594186580062E-3</v>
      </c>
      <c r="CN23">
        <v>0</v>
      </c>
      <c r="CO23">
        <v>0</v>
      </c>
      <c r="CP23">
        <v>4.4318089005680828E-5</v>
      </c>
      <c r="CQ23">
        <v>5.2006182208216542E-5</v>
      </c>
      <c r="CR23">
        <v>0</v>
      </c>
      <c r="CS23">
        <v>0</v>
      </c>
      <c r="CT23">
        <v>0</v>
      </c>
      <c r="CU23">
        <v>1.2582681353759739E-4</v>
      </c>
      <c r="CV23">
        <v>1.06050777545868E-6</v>
      </c>
      <c r="CW23">
        <v>6.1214301928150564E-6</v>
      </c>
      <c r="CX23">
        <v>1.192825111873721E-6</v>
      </c>
      <c r="CY23">
        <v>1.6510619041523229E-4</v>
      </c>
      <c r="CZ23">
        <v>6.3361581935687744E-10</v>
      </c>
      <c r="DA23">
        <v>2.3953374188098712E-10</v>
      </c>
      <c r="DB23">
        <v>0</v>
      </c>
      <c r="DC23">
        <v>0</v>
      </c>
      <c r="DD23">
        <v>9.7074791183745557E-8</v>
      </c>
      <c r="DE23">
        <v>5.325048311817481E-8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2.855917654497999E-8</v>
      </c>
      <c r="DM23">
        <v>5.2148439915916743E-4</v>
      </c>
      <c r="DN23">
        <v>4.780476487679543E-5</v>
      </c>
      <c r="DO23">
        <v>0</v>
      </c>
      <c r="DP23">
        <v>2.7276862422657429E-4</v>
      </c>
      <c r="DQ23">
        <v>2.9407623153072102E-4</v>
      </c>
      <c r="DR23">
        <v>3.3623130205472313E-4</v>
      </c>
      <c r="DS23">
        <v>4.9054265421201526E-3</v>
      </c>
      <c r="DT23">
        <v>2.3769055136409011E-4</v>
      </c>
      <c r="DU23">
        <v>1.339595615575014E-3</v>
      </c>
      <c r="DV23">
        <v>0</v>
      </c>
      <c r="DW23">
        <v>0</v>
      </c>
      <c r="DX23">
        <v>1.2006043817935401E-4</v>
      </c>
      <c r="DY23">
        <v>7.5180567288721934E-5</v>
      </c>
      <c r="DZ23">
        <v>1.3076636381692849E-3</v>
      </c>
      <c r="EA23">
        <v>1.9681551661032451E-4</v>
      </c>
      <c r="EB23">
        <v>3.1241374533797613E-5</v>
      </c>
      <c r="EC23">
        <v>2.0831099917725231E-5</v>
      </c>
      <c r="ED23">
        <v>2.7795752517081069E-5</v>
      </c>
      <c r="EE23">
        <v>2.3390391796610049E-6</v>
      </c>
      <c r="EF23">
        <v>0</v>
      </c>
      <c r="EG23">
        <v>2.1991326170170562E-6</v>
      </c>
      <c r="EH23">
        <v>0</v>
      </c>
      <c r="EI23">
        <v>0</v>
      </c>
      <c r="EJ23">
        <v>1.7509343559808091E-4</v>
      </c>
      <c r="EK23">
        <v>6.7745364992196353E-4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1.313567976591781E-3</v>
      </c>
      <c r="ER23">
        <v>8.414662975000589E-4</v>
      </c>
      <c r="ES23">
        <v>5.421181541912255E-4</v>
      </c>
      <c r="ET23">
        <v>1.1280513020903681E-3</v>
      </c>
      <c r="EU23">
        <v>0</v>
      </c>
      <c r="EV23">
        <v>1.4677353398004889E-3</v>
      </c>
      <c r="EW23">
        <v>9.2459466620187778E-5</v>
      </c>
      <c r="EX23">
        <v>6.696158993682212E-4</v>
      </c>
      <c r="EY23">
        <v>5.2437768841574186E-4</v>
      </c>
      <c r="EZ23">
        <v>2.1816456762209769E-2</v>
      </c>
      <c r="FA23">
        <v>2.2921319098734602E-3</v>
      </c>
      <c r="FB23">
        <v>2.9440429401541759E-3</v>
      </c>
      <c r="FC23">
        <v>1.5563692232302951E-4</v>
      </c>
      <c r="FD23">
        <v>6.8969543830369622E-4</v>
      </c>
      <c r="FE23">
        <v>6.2831603131029796E-4</v>
      </c>
      <c r="FF23">
        <v>3.1078221220971151E-3</v>
      </c>
      <c r="FG23">
        <v>1.765055456495505E-3</v>
      </c>
      <c r="FH23">
        <v>3.3663648697915848E-3</v>
      </c>
      <c r="FI23">
        <v>1.5532711349187859E-3</v>
      </c>
      <c r="FJ23">
        <v>4.4566965159423214E-3</v>
      </c>
      <c r="FK23">
        <v>0</v>
      </c>
      <c r="FL23">
        <v>2.182174258389958E-2</v>
      </c>
      <c r="FM23">
        <v>3.7196130250573202E-4</v>
      </c>
      <c r="FN23">
        <v>8.2361801995252187E-6</v>
      </c>
      <c r="FO23">
        <v>3.6367217710809941E-3</v>
      </c>
      <c r="FP23">
        <v>1.692006638342786E-3</v>
      </c>
      <c r="FQ23">
        <v>2.41937295109797E-2</v>
      </c>
      <c r="FR23">
        <v>1.2024069024005751E-2</v>
      </c>
      <c r="FS23">
        <v>2.3734830315009729E-2</v>
      </c>
      <c r="FT23">
        <v>7.724469189861488E-5</v>
      </c>
      <c r="FU23">
        <v>8.2052288766895696E-5</v>
      </c>
      <c r="FV23">
        <v>3.8036261043482511E-5</v>
      </c>
      <c r="FW23">
        <v>9.7944256325475747E-5</v>
      </c>
      <c r="FX23">
        <v>1.7088091413962361E-5</v>
      </c>
      <c r="FY23">
        <v>2.3402118035109119E-5</v>
      </c>
      <c r="FZ23">
        <v>8.9671774281140969E-5</v>
      </c>
      <c r="GA23">
        <v>6.6383527175169791E-6</v>
      </c>
      <c r="GB23">
        <v>5.6136931307890313E-7</v>
      </c>
      <c r="GC23">
        <v>8.425531880880745E-5</v>
      </c>
      <c r="GD23">
        <v>4.8779987115596872E-5</v>
      </c>
      <c r="GE23">
        <v>2.0524664024640332E-6</v>
      </c>
      <c r="GF23">
        <v>3.3318777332092468E-5</v>
      </c>
      <c r="GG23">
        <v>6.1140407156325664E-5</v>
      </c>
      <c r="GH23">
        <v>5.7219483338090331E-5</v>
      </c>
      <c r="GI23">
        <v>3.8397494561261788E-5</v>
      </c>
      <c r="GJ23">
        <v>1.2465917920173511E-5</v>
      </c>
      <c r="GK23">
        <v>1.336924447881995E-4</v>
      </c>
      <c r="GL23">
        <v>6.5667076647833903E-6</v>
      </c>
      <c r="GM23">
        <v>2.095597142712779E-5</v>
      </c>
      <c r="GN23">
        <v>4.0129014618882136E-3</v>
      </c>
      <c r="GO23">
        <v>1.4090362526302851E-2</v>
      </c>
      <c r="GP23">
        <v>3.1277801574021548E-3</v>
      </c>
      <c r="GQ23">
        <v>0</v>
      </c>
      <c r="GR23">
        <v>3.3510302905411259E-3</v>
      </c>
      <c r="GS23">
        <v>5.8690712293863277E-3</v>
      </c>
      <c r="GT23">
        <v>3.2649006534417067E-2</v>
      </c>
      <c r="GU23">
        <v>7.5501061186282453E-3</v>
      </c>
      <c r="GV23">
        <v>7.1613275775393743E-3</v>
      </c>
      <c r="GW23">
        <v>3.011926528533446E-2</v>
      </c>
      <c r="GX23">
        <v>4.1186740841694561E-2</v>
      </c>
      <c r="GY23">
        <v>2.1771694049824701E-2</v>
      </c>
      <c r="GZ23">
        <v>1.7134555021880861E-3</v>
      </c>
      <c r="HA23">
        <v>1.468072448978461E-2</v>
      </c>
      <c r="HB23">
        <v>2.1816456762209769E-2</v>
      </c>
      <c r="HC23">
        <v>0.1022617775935717</v>
      </c>
    </row>
    <row r="24" spans="1:211" x14ac:dyDescent="0.45">
      <c r="A24" s="1" t="s">
        <v>9</v>
      </c>
      <c r="B24">
        <v>2.2904702927151318E-3</v>
      </c>
      <c r="C24">
        <v>6.1854878380228177E-2</v>
      </c>
      <c r="D24">
        <v>3.056785237292076E-3</v>
      </c>
      <c r="E24">
        <v>2.6446728803864741E-2</v>
      </c>
      <c r="F24">
        <v>2.6615516237773879E-2</v>
      </c>
      <c r="G24">
        <v>0</v>
      </c>
      <c r="H24">
        <v>3.4353495574706919E-3</v>
      </c>
      <c r="I24">
        <v>0</v>
      </c>
      <c r="J24">
        <v>0</v>
      </c>
      <c r="K24">
        <v>0</v>
      </c>
      <c r="L24">
        <v>5.1510163249817643E-2</v>
      </c>
      <c r="M24">
        <v>3.3654307155568247E-2</v>
      </c>
      <c r="N24">
        <v>3.5622073592573721E-3</v>
      </c>
      <c r="O24">
        <v>5.164371327213332E-3</v>
      </c>
      <c r="P24">
        <v>0</v>
      </c>
      <c r="Q24">
        <v>0</v>
      </c>
      <c r="R24">
        <v>0</v>
      </c>
      <c r="S24">
        <v>4.9317149348868821E-4</v>
      </c>
      <c r="T24">
        <v>4.4379763299647799E-4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4.7091431728000284E-6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0.15559385977157261</v>
      </c>
      <c r="AS24">
        <v>1.6304961591611052E-2</v>
      </c>
      <c r="AT24">
        <v>3.1743627091266463E-2</v>
      </c>
      <c r="AU24">
        <v>7.3374865077995857E-2</v>
      </c>
      <c r="AV24">
        <v>9.3693611028458813E-5</v>
      </c>
      <c r="AW24">
        <v>9.9912689079090816E-2</v>
      </c>
      <c r="AX24">
        <v>8.7493306317634063E-6</v>
      </c>
      <c r="AY24">
        <v>8.89549644791191E-3</v>
      </c>
      <c r="AZ24">
        <v>0.16881159039578289</v>
      </c>
      <c r="BA24">
        <v>2.619253641908343E-2</v>
      </c>
      <c r="BB24">
        <v>2.2581750166579512E-2</v>
      </c>
      <c r="BC24">
        <v>4.2985938270183278E-5</v>
      </c>
      <c r="BD24">
        <v>2.2556111569649339E-4</v>
      </c>
      <c r="BE24">
        <v>1.7753599256348481E-4</v>
      </c>
      <c r="BF24">
        <v>9.1337922768294945E-5</v>
      </c>
      <c r="BG24">
        <v>5.4943198064628208E-5</v>
      </c>
      <c r="BH24">
        <v>1.997689963279046E-5</v>
      </c>
      <c r="BI24">
        <v>0</v>
      </c>
      <c r="BJ24">
        <v>0</v>
      </c>
      <c r="BK24">
        <v>2.3146781461273099E-4</v>
      </c>
      <c r="BL24">
        <v>2.3392779831581329E-4</v>
      </c>
      <c r="BM24">
        <v>5.1387238988790038E-10</v>
      </c>
      <c r="BN24">
        <v>0</v>
      </c>
      <c r="BO24">
        <v>0</v>
      </c>
      <c r="BP24">
        <v>1.9280441343472E-4</v>
      </c>
      <c r="BQ24">
        <v>0</v>
      </c>
      <c r="BR24">
        <v>0</v>
      </c>
      <c r="BS24">
        <v>4.6055604692025582E-7</v>
      </c>
      <c r="BT24">
        <v>0</v>
      </c>
      <c r="BU24">
        <v>1.36999918069974E-4</v>
      </c>
      <c r="BV24">
        <v>1.3628736323071279E-8</v>
      </c>
      <c r="BW24">
        <v>0</v>
      </c>
      <c r="BX24">
        <v>3.257078826099549E-6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5.451926364544531E-3</v>
      </c>
      <c r="CJ24">
        <v>3.0090539682641398E-4</v>
      </c>
      <c r="CK24">
        <v>1.5928084079042191E-7</v>
      </c>
      <c r="CL24">
        <v>1.301347279679929E-6</v>
      </c>
      <c r="CM24">
        <v>1.6235650299406029E-3</v>
      </c>
      <c r="CN24">
        <v>0</v>
      </c>
      <c r="CO24">
        <v>0</v>
      </c>
      <c r="CP24">
        <v>2.545424984491497E-5</v>
      </c>
      <c r="CQ24">
        <v>2.986808690972099E-5</v>
      </c>
      <c r="CR24">
        <v>0</v>
      </c>
      <c r="CS24">
        <v>0</v>
      </c>
      <c r="CT24">
        <v>0</v>
      </c>
      <c r="CU24">
        <v>3.0236566320962791E-5</v>
      </c>
      <c r="CV24">
        <v>5.9339553562441819E-7</v>
      </c>
      <c r="CW24">
        <v>1.886758911517812E-6</v>
      </c>
      <c r="CX24">
        <v>4.1028088031379432E-7</v>
      </c>
      <c r="CY24">
        <v>6.5089780009480806E-5</v>
      </c>
      <c r="CZ24">
        <v>1.894478913737518E-10</v>
      </c>
      <c r="DA24">
        <v>8.9927089077080554E-11</v>
      </c>
      <c r="DB24">
        <v>0</v>
      </c>
      <c r="DC24">
        <v>0</v>
      </c>
      <c r="DD24">
        <v>1.3902674952318391E-8</v>
      </c>
      <c r="DE24">
        <v>8.4632654151279767E-9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5.3762640629657346E-9</v>
      </c>
      <c r="DM24">
        <v>9.0909100411543128E-5</v>
      </c>
      <c r="DN24">
        <v>8.8134894004192704E-6</v>
      </c>
      <c r="DO24">
        <v>0</v>
      </c>
      <c r="DP24">
        <v>5.340690431560061E-5</v>
      </c>
      <c r="DQ24">
        <v>7.2636129034639257E-5</v>
      </c>
      <c r="DR24">
        <v>8.5234167112415639E-5</v>
      </c>
      <c r="DS24">
        <v>9.0722289522314015E-4</v>
      </c>
      <c r="DT24">
        <v>3.4754025044531742E-5</v>
      </c>
      <c r="DU24">
        <v>3.3504716951133438E-4</v>
      </c>
      <c r="DV24">
        <v>0</v>
      </c>
      <c r="DW24">
        <v>0</v>
      </c>
      <c r="DX24">
        <v>1.7603313163163222E-5</v>
      </c>
      <c r="DY24">
        <v>2.093546814518147E-5</v>
      </c>
      <c r="DZ24">
        <v>2.8762363868473258E-4</v>
      </c>
      <c r="EA24">
        <v>3.8862543115054722E-5</v>
      </c>
      <c r="EB24">
        <v>6.1983217050900234E-6</v>
      </c>
      <c r="EC24">
        <v>2.5619327408056318E-6</v>
      </c>
      <c r="ED24">
        <v>6.1557771452701417E-6</v>
      </c>
      <c r="EE24">
        <v>4.5200103586034563E-7</v>
      </c>
      <c r="EF24">
        <v>0</v>
      </c>
      <c r="EG24">
        <v>5.1171335016926053E-7</v>
      </c>
      <c r="EH24">
        <v>0</v>
      </c>
      <c r="EI24">
        <v>0</v>
      </c>
      <c r="EJ24">
        <v>2.323930369190972E-5</v>
      </c>
      <c r="EK24">
        <v>8.4056706143618659E-5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2.191977615678592E-4</v>
      </c>
      <c r="ER24">
        <v>1.911180268545244E-4</v>
      </c>
      <c r="ES24">
        <v>1.8733129959506159E-4</v>
      </c>
      <c r="ET24">
        <v>3.004608564908914E-4</v>
      </c>
      <c r="EU24">
        <v>0</v>
      </c>
      <c r="EV24">
        <v>2.2205361884226039E-4</v>
      </c>
      <c r="EW24">
        <v>7.6479417257888706E-5</v>
      </c>
      <c r="EX24">
        <v>2.3869065951906149E-4</v>
      </c>
      <c r="EY24">
        <v>2.011413329555579E-4</v>
      </c>
      <c r="EZ24">
        <v>6.6995994148438556E-2</v>
      </c>
      <c r="FA24">
        <v>4.0177235268921909E-4</v>
      </c>
      <c r="FB24">
        <v>6.4845789054828959E-4</v>
      </c>
      <c r="FC24">
        <v>1.132293706428876E-5</v>
      </c>
      <c r="FD24">
        <v>4.4023128523141201E-5</v>
      </c>
      <c r="FE24">
        <v>7.1804398216617212E-5</v>
      </c>
      <c r="FF24">
        <v>8.4828864405350139E-4</v>
      </c>
      <c r="FG24">
        <v>4.4813377771615648E-4</v>
      </c>
      <c r="FH24">
        <v>1.732698538195628E-3</v>
      </c>
      <c r="FI24">
        <v>3.7386662292409868E-4</v>
      </c>
      <c r="FJ24">
        <v>1.204941141672249E-3</v>
      </c>
      <c r="FK24">
        <v>0</v>
      </c>
      <c r="FL24">
        <v>6.5339989838723144E-3</v>
      </c>
      <c r="FM24">
        <v>3.0923582366646879E-4</v>
      </c>
      <c r="FN24">
        <v>3.7454493106754941E-6</v>
      </c>
      <c r="FO24">
        <v>1.7773635976395599E-3</v>
      </c>
      <c r="FP24">
        <v>1.1625060699654141E-3</v>
      </c>
      <c r="FQ24">
        <v>8.7798272472973202E-3</v>
      </c>
      <c r="FR24">
        <v>1.8988864286053279E-2</v>
      </c>
      <c r="FS24">
        <v>2.325683887488094E-2</v>
      </c>
      <c r="FT24">
        <v>2.8112852544486258E-5</v>
      </c>
      <c r="FU24">
        <v>2.937965098545253E-5</v>
      </c>
      <c r="FV24">
        <v>1.2062731289046229E-5</v>
      </c>
      <c r="FW24">
        <v>3.4775827497518368E-5</v>
      </c>
      <c r="FX24">
        <v>6.0025935218142744E-6</v>
      </c>
      <c r="FY24">
        <v>8.0846102079319157E-6</v>
      </c>
      <c r="FZ24">
        <v>3.3404225585581913E-5</v>
      </c>
      <c r="GA24">
        <v>2.4856092962509011E-6</v>
      </c>
      <c r="GB24">
        <v>1.9892993708683899E-7</v>
      </c>
      <c r="GC24">
        <v>2.667334659122402E-5</v>
      </c>
      <c r="GD24">
        <v>1.6981990081614129E-5</v>
      </c>
      <c r="GE24">
        <v>2.889893739427855E-8</v>
      </c>
      <c r="GF24">
        <v>9.6556371654197416E-6</v>
      </c>
      <c r="GG24">
        <v>1.7009636732383418E-5</v>
      </c>
      <c r="GH24">
        <v>1.639854443576586E-5</v>
      </c>
      <c r="GI24">
        <v>1.138595848171155E-5</v>
      </c>
      <c r="GJ24">
        <v>2.984538093117782E-6</v>
      </c>
      <c r="GK24">
        <v>4.8323108055472378E-5</v>
      </c>
      <c r="GL24">
        <v>1.8511317632302759E-6</v>
      </c>
      <c r="GM24">
        <v>6.8722999463166894E-6</v>
      </c>
      <c r="GN24">
        <v>1.464990762278321E-3</v>
      </c>
      <c r="GO24">
        <v>1.6112218603185659E-2</v>
      </c>
      <c r="GP24">
        <v>1.2770675472041019E-4</v>
      </c>
      <c r="GQ24">
        <v>0</v>
      </c>
      <c r="GR24">
        <v>2.6540422414893201E-2</v>
      </c>
      <c r="GS24">
        <v>0.15559385977157261</v>
      </c>
      <c r="GT24">
        <v>0.20658792416625929</v>
      </c>
      <c r="GU24">
        <v>0.1039186940713447</v>
      </c>
      <c r="GV24">
        <v>0.1050770604063041</v>
      </c>
      <c r="GW24">
        <v>0.2588744447862194</v>
      </c>
      <c r="GX24">
        <v>1.475924380140806E-2</v>
      </c>
      <c r="GY24">
        <v>3.9285274530436428E-3</v>
      </c>
      <c r="GZ24">
        <v>4.9443503102827326E-4</v>
      </c>
      <c r="HA24">
        <v>3.5631620903681899E-3</v>
      </c>
      <c r="HB24">
        <v>6.6995994148438556E-2</v>
      </c>
      <c r="HC24">
        <v>7.6981305998824842E-2</v>
      </c>
    </row>
    <row r="25" spans="1:211" x14ac:dyDescent="0.45">
      <c r="A25" s="1" t="s">
        <v>10</v>
      </c>
      <c r="B25">
        <v>2.307195827198745E-3</v>
      </c>
      <c r="C25">
        <v>6.2466419828696773E-2</v>
      </c>
      <c r="D25">
        <v>3.0808468625264668E-3</v>
      </c>
      <c r="E25">
        <v>2.9781207520124611E-2</v>
      </c>
      <c r="F25">
        <v>2.6732770680446109E-2</v>
      </c>
      <c r="G25">
        <v>0</v>
      </c>
      <c r="H25">
        <v>3.473701360283262E-3</v>
      </c>
      <c r="I25">
        <v>0</v>
      </c>
      <c r="J25">
        <v>0</v>
      </c>
      <c r="K25">
        <v>0</v>
      </c>
      <c r="L25">
        <v>5.3811715568211682E-2</v>
      </c>
      <c r="M25">
        <v>3.4957335361189897E-2</v>
      </c>
      <c r="N25">
        <v>3.6973253224776171E-3</v>
      </c>
      <c r="O25">
        <v>5.3279456011648286E-3</v>
      </c>
      <c r="P25">
        <v>0</v>
      </c>
      <c r="Q25">
        <v>0</v>
      </c>
      <c r="R25">
        <v>0</v>
      </c>
      <c r="S25">
        <v>7.8055395409537109E-4</v>
      </c>
      <c r="T25">
        <v>8.61032484816601E-4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6.464771694162722E-5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0.1614629310009589</v>
      </c>
      <c r="AS25">
        <v>1.726443667474286E-2</v>
      </c>
      <c r="AT25">
        <v>3.7898989417322122E-2</v>
      </c>
      <c r="AU25">
        <v>9.5304453679209769E-2</v>
      </c>
      <c r="AV25">
        <v>1.102451853097143E-4</v>
      </c>
      <c r="AW25">
        <v>0.1069104423826787</v>
      </c>
      <c r="AX25">
        <v>1.227913584979732E-5</v>
      </c>
      <c r="AY25">
        <v>9.0649019367153531E-3</v>
      </c>
      <c r="AZ25">
        <v>0.1911528122010209</v>
      </c>
      <c r="BA25">
        <v>3.0583520739028081E-2</v>
      </c>
      <c r="BB25">
        <v>2.5468650862756161E-2</v>
      </c>
      <c r="BC25">
        <v>1.9787732825546909E-4</v>
      </c>
      <c r="BD25">
        <v>1.1371208568946439E-3</v>
      </c>
      <c r="BE25">
        <v>9.2810043031975667E-4</v>
      </c>
      <c r="BF25">
        <v>1.426692460019583E-4</v>
      </c>
      <c r="BG25">
        <v>1.8664504586017179E-4</v>
      </c>
      <c r="BH25">
        <v>8.400421776518367E-5</v>
      </c>
      <c r="BI25">
        <v>0</v>
      </c>
      <c r="BJ25">
        <v>0</v>
      </c>
      <c r="BK25">
        <v>8.141525361046668E-4</v>
      </c>
      <c r="BL25">
        <v>9.7424584364621289E-4</v>
      </c>
      <c r="BM25">
        <v>1.1815668260136451E-8</v>
      </c>
      <c r="BN25">
        <v>0</v>
      </c>
      <c r="BO25">
        <v>0</v>
      </c>
      <c r="BP25">
        <v>2.5565081039337291E-3</v>
      </c>
      <c r="BQ25">
        <v>0</v>
      </c>
      <c r="BR25">
        <v>0</v>
      </c>
      <c r="BS25">
        <v>6.1067969985752099E-6</v>
      </c>
      <c r="BT25">
        <v>0</v>
      </c>
      <c r="BU25">
        <v>1.8165555503609431E-3</v>
      </c>
      <c r="BV25">
        <v>1.8071168428962921E-7</v>
      </c>
      <c r="BW25">
        <v>0</v>
      </c>
      <c r="BX25">
        <v>4.3187594892391517E-5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1.464090608724131E-2</v>
      </c>
      <c r="CJ25">
        <v>7.1209714633580249E-4</v>
      </c>
      <c r="CK25">
        <v>9.1040473434812135E-7</v>
      </c>
      <c r="CL25">
        <v>7.7405697538496604E-6</v>
      </c>
      <c r="CM25">
        <v>4.4481244485986091E-3</v>
      </c>
      <c r="CN25">
        <v>0</v>
      </c>
      <c r="CO25">
        <v>0</v>
      </c>
      <c r="CP25">
        <v>6.9772338850595798E-5</v>
      </c>
      <c r="CQ25">
        <v>8.1874269117937525E-5</v>
      </c>
      <c r="CR25">
        <v>0</v>
      </c>
      <c r="CS25">
        <v>0</v>
      </c>
      <c r="CT25">
        <v>0</v>
      </c>
      <c r="CU25">
        <v>1.5606337985856009E-4</v>
      </c>
      <c r="CV25">
        <v>1.653903311083098E-6</v>
      </c>
      <c r="CW25">
        <v>8.0081891043328671E-6</v>
      </c>
      <c r="CX25">
        <v>1.603105992187516E-6</v>
      </c>
      <c r="CY25">
        <v>2.3019597042471309E-4</v>
      </c>
      <c r="CZ25">
        <v>8.2306371073062923E-10</v>
      </c>
      <c r="DA25">
        <v>3.2946083095806772E-10</v>
      </c>
      <c r="DB25">
        <v>0</v>
      </c>
      <c r="DC25">
        <v>0</v>
      </c>
      <c r="DD25">
        <v>1.109774661360639E-7</v>
      </c>
      <c r="DE25">
        <v>6.1713748533302788E-8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3.3935440607945729E-8</v>
      </c>
      <c r="DM25">
        <v>6.1239349957071057E-4</v>
      </c>
      <c r="DN25">
        <v>5.6618254277214701E-5</v>
      </c>
      <c r="DO25">
        <v>0</v>
      </c>
      <c r="DP25">
        <v>3.2617552854217492E-4</v>
      </c>
      <c r="DQ25">
        <v>3.6671236056536022E-4</v>
      </c>
      <c r="DR25">
        <v>4.2146546916713872E-4</v>
      </c>
      <c r="DS25">
        <v>5.8126494373432931E-3</v>
      </c>
      <c r="DT25">
        <v>2.7244457640862178E-4</v>
      </c>
      <c r="DU25">
        <v>1.674642785086348E-3</v>
      </c>
      <c r="DV25">
        <v>0</v>
      </c>
      <c r="DW25">
        <v>0</v>
      </c>
      <c r="DX25">
        <v>1.376637513425172E-4</v>
      </c>
      <c r="DY25">
        <v>9.611603543390341E-5</v>
      </c>
      <c r="DZ25">
        <v>1.5952872768540179E-3</v>
      </c>
      <c r="EA25">
        <v>2.356780597253792E-4</v>
      </c>
      <c r="EB25">
        <v>3.7439696238887627E-5</v>
      </c>
      <c r="EC25">
        <v>2.3393032658530859E-5</v>
      </c>
      <c r="ED25">
        <v>3.3951529662351211E-5</v>
      </c>
      <c r="EE25">
        <v>2.79104021552135E-6</v>
      </c>
      <c r="EF25">
        <v>0</v>
      </c>
      <c r="EG25">
        <v>2.7108459671863171E-6</v>
      </c>
      <c r="EH25">
        <v>0</v>
      </c>
      <c r="EI25">
        <v>0</v>
      </c>
      <c r="EJ25">
        <v>1.9833273928999059E-4</v>
      </c>
      <c r="EK25">
        <v>7.6151035606558215E-4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1.532765738159641E-3</v>
      </c>
      <c r="ER25">
        <v>1.0325843243545829E-3</v>
      </c>
      <c r="ES25">
        <v>7.2944945378628705E-4</v>
      </c>
      <c r="ET25">
        <v>1.4285121585812591E-3</v>
      </c>
      <c r="EU25">
        <v>0</v>
      </c>
      <c r="EV25">
        <v>1.689788958642749E-3</v>
      </c>
      <c r="EW25">
        <v>1.6893888387807651E-4</v>
      </c>
      <c r="EX25">
        <v>9.0830655888728281E-4</v>
      </c>
      <c r="EY25">
        <v>7.2551902137129969E-4</v>
      </c>
      <c r="EZ25">
        <v>8.8812450910648322E-2</v>
      </c>
      <c r="FA25">
        <v>2.6939042625626791E-3</v>
      </c>
      <c r="FB25">
        <v>3.5925008307024658E-3</v>
      </c>
      <c r="FC25">
        <v>1.6695985938731831E-4</v>
      </c>
      <c r="FD25">
        <v>7.3371856682683738E-4</v>
      </c>
      <c r="FE25">
        <v>7.0012042952691516E-4</v>
      </c>
      <c r="FF25">
        <v>3.9561107661506157E-3</v>
      </c>
      <c r="FG25">
        <v>2.2131892342116609E-3</v>
      </c>
      <c r="FH25">
        <v>5.0990634079872126E-3</v>
      </c>
      <c r="FI25">
        <v>1.927137757842885E-3</v>
      </c>
      <c r="FJ25">
        <v>5.6616376576145702E-3</v>
      </c>
      <c r="FK25">
        <v>0</v>
      </c>
      <c r="FL25">
        <v>2.8355741567771889E-2</v>
      </c>
      <c r="FM25">
        <v>6.8119712617220086E-4</v>
      </c>
      <c r="FN25">
        <v>1.1981629510200711E-5</v>
      </c>
      <c r="FO25">
        <v>5.414085368720554E-3</v>
      </c>
      <c r="FP25">
        <v>2.8545127083081999E-3</v>
      </c>
      <c r="FQ25">
        <v>3.2973556758277019E-2</v>
      </c>
      <c r="FR25">
        <v>3.101293331005903E-2</v>
      </c>
      <c r="FS25">
        <v>4.6991669189890672E-2</v>
      </c>
      <c r="FT25">
        <v>1.053575444431011E-4</v>
      </c>
      <c r="FU25">
        <v>1.114319397523482E-4</v>
      </c>
      <c r="FV25">
        <v>5.0098992332528737E-5</v>
      </c>
      <c r="FW25">
        <v>1.3272008382299411E-4</v>
      </c>
      <c r="FX25">
        <v>2.3090684935776639E-5</v>
      </c>
      <c r="FY25">
        <v>3.1486728243041042E-5</v>
      </c>
      <c r="FZ25">
        <v>1.2307599986672289E-4</v>
      </c>
      <c r="GA25">
        <v>9.123962013767879E-6</v>
      </c>
      <c r="GB25">
        <v>7.6029925016574209E-7</v>
      </c>
      <c r="GC25">
        <v>1.1092866540003149E-4</v>
      </c>
      <c r="GD25">
        <v>6.5761977197211004E-5</v>
      </c>
      <c r="GE25">
        <v>2.0813653398583119E-6</v>
      </c>
      <c r="GF25">
        <v>4.2974414497512213E-5</v>
      </c>
      <c r="GG25">
        <v>7.8150043888709089E-5</v>
      </c>
      <c r="GH25">
        <v>7.3618027773856198E-5</v>
      </c>
      <c r="GI25">
        <v>4.9783453042973343E-5</v>
      </c>
      <c r="GJ25">
        <v>1.5450456013291299E-5</v>
      </c>
      <c r="GK25">
        <v>1.8201555284367191E-4</v>
      </c>
      <c r="GL25">
        <v>8.4178394280136656E-6</v>
      </c>
      <c r="GM25">
        <v>2.782827137344448E-5</v>
      </c>
      <c r="GN25">
        <v>5.477892224166535E-3</v>
      </c>
      <c r="GO25">
        <v>3.0202581129488509E-2</v>
      </c>
      <c r="GP25">
        <v>3.255486912122566E-3</v>
      </c>
      <c r="GQ25">
        <v>0</v>
      </c>
      <c r="GR25">
        <v>2.9891452705434321E-2</v>
      </c>
      <c r="GS25">
        <v>0.1614629310009589</v>
      </c>
      <c r="GT25">
        <v>0.23923693070067631</v>
      </c>
      <c r="GU25">
        <v>0.11146880018997291</v>
      </c>
      <c r="GV25">
        <v>0.1122383879838435</v>
      </c>
      <c r="GW25">
        <v>0.28899371007155378</v>
      </c>
      <c r="GX25">
        <v>5.5945984643102617E-2</v>
      </c>
      <c r="GY25">
        <v>2.570022150286835E-2</v>
      </c>
      <c r="GZ25">
        <v>2.2078905332163592E-3</v>
      </c>
      <c r="HA25">
        <v>1.8243886580152802E-2</v>
      </c>
      <c r="HB25">
        <v>8.8812450910648322E-2</v>
      </c>
      <c r="HC25">
        <v>0.17924308359239649</v>
      </c>
    </row>
    <row r="26" spans="1:211" x14ac:dyDescent="0.45">
      <c r="A26" s="1" t="s">
        <v>11</v>
      </c>
      <c r="B26">
        <v>1.6946583259953339E-4</v>
      </c>
      <c r="C26">
        <v>1.100249460928667E-2</v>
      </c>
      <c r="D26">
        <v>1.2981473561517049E-4</v>
      </c>
      <c r="E26">
        <v>5.3940792632052849E-2</v>
      </c>
      <c r="F26">
        <v>1.390588024448081E-2</v>
      </c>
      <c r="G26">
        <v>0</v>
      </c>
      <c r="H26">
        <v>3.093328360460207E-3</v>
      </c>
      <c r="I26">
        <v>4.1823726846341959E-3</v>
      </c>
      <c r="J26">
        <v>0</v>
      </c>
      <c r="K26">
        <v>0</v>
      </c>
      <c r="L26">
        <v>1.135811211299515E-3</v>
      </c>
      <c r="M26">
        <v>9.9073286728099553E-3</v>
      </c>
      <c r="N26">
        <v>4.45250054495221E-3</v>
      </c>
      <c r="O26">
        <v>0</v>
      </c>
      <c r="P26">
        <v>0</v>
      </c>
      <c r="Q26">
        <v>0</v>
      </c>
      <c r="R26">
        <v>0</v>
      </c>
      <c r="S26">
        <v>2.9295372225973741E-4</v>
      </c>
      <c r="T26">
        <v>1.926331020715714E-3</v>
      </c>
      <c r="U26">
        <v>1.7361586858943499E-7</v>
      </c>
      <c r="V26">
        <v>0</v>
      </c>
      <c r="W26">
        <v>1.046309319501166E-6</v>
      </c>
      <c r="X26">
        <v>0</v>
      </c>
      <c r="Y26">
        <v>6.6504207046073343E-7</v>
      </c>
      <c r="Z26">
        <v>0</v>
      </c>
      <c r="AA26">
        <v>0</v>
      </c>
      <c r="AB26">
        <v>0</v>
      </c>
      <c r="AC26">
        <v>0</v>
      </c>
      <c r="AD26">
        <v>9.6311354328673004E-5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1.7804400418183979E-2</v>
      </c>
      <c r="AS26">
        <v>9.2944936628766885E-3</v>
      </c>
      <c r="AT26">
        <v>6.8109134159420916E-3</v>
      </c>
      <c r="AU26">
        <v>4.3982705447572872E-3</v>
      </c>
      <c r="AV26">
        <v>8.2429585577800289E-4</v>
      </c>
      <c r="AW26">
        <v>1.7943704394303449E-2</v>
      </c>
      <c r="AX26">
        <v>5.841236338987695E-4</v>
      </c>
      <c r="AY26">
        <v>6.3241721925046579E-4</v>
      </c>
      <c r="AZ26">
        <v>7.0081725440485645E-2</v>
      </c>
      <c r="BA26">
        <v>5.5369375057863109E-3</v>
      </c>
      <c r="BB26">
        <v>3.4162134325284501E-3</v>
      </c>
      <c r="BC26">
        <v>1.877430484958015E-3</v>
      </c>
      <c r="BD26">
        <v>9.6841763767636559E-3</v>
      </c>
      <c r="BE26">
        <v>1.9269081519379561E-2</v>
      </c>
      <c r="BF26">
        <v>2.0095585617382991E-2</v>
      </c>
      <c r="BG26">
        <v>6.1245970019879422E-4</v>
      </c>
      <c r="BH26">
        <v>0</v>
      </c>
      <c r="BI26">
        <v>0</v>
      </c>
      <c r="BJ26">
        <v>0</v>
      </c>
      <c r="BK26">
        <v>7.6386688020165102E-4</v>
      </c>
      <c r="BL26">
        <v>4.4662658011784671E-4</v>
      </c>
      <c r="BM26">
        <v>3.0046004637492002E-8</v>
      </c>
      <c r="BN26">
        <v>0</v>
      </c>
      <c r="BO26">
        <v>0</v>
      </c>
      <c r="BP26">
        <v>1.816444471966434E-3</v>
      </c>
      <c r="BQ26">
        <v>8.2568595086066065E-9</v>
      </c>
      <c r="BR26">
        <v>0</v>
      </c>
      <c r="BS26">
        <v>2.305889194295649E-5</v>
      </c>
      <c r="BT26">
        <v>1.8304465255548839E-5</v>
      </c>
      <c r="BU26">
        <v>1.2982428856507409E-3</v>
      </c>
      <c r="BV26">
        <v>1.755612827197991E-6</v>
      </c>
      <c r="BW26">
        <v>0</v>
      </c>
      <c r="BX26">
        <v>1.5133123397257281E-4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4.860522123619474E-3</v>
      </c>
      <c r="CJ26">
        <v>0</v>
      </c>
      <c r="CK26">
        <v>6.2677813765452179E-6</v>
      </c>
      <c r="CL26">
        <v>3.9776340050343302E-4</v>
      </c>
      <c r="CM26">
        <v>6.3618067476874356E-3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4.8758504175986761E-4</v>
      </c>
      <c r="CV26">
        <v>5.0636660806249803E-8</v>
      </c>
      <c r="CW26">
        <v>3.218906641428979E-7</v>
      </c>
      <c r="CX26">
        <v>0</v>
      </c>
      <c r="CY26">
        <v>3.3261386287965509E-4</v>
      </c>
      <c r="CZ26">
        <v>2.0327124337611191E-9</v>
      </c>
      <c r="DA26">
        <v>0</v>
      </c>
      <c r="DB26">
        <v>6.5570458331864944E-6</v>
      </c>
      <c r="DC26">
        <v>0</v>
      </c>
      <c r="DD26">
        <v>7.8338780062884011E-7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4.5108070509379357E-6</v>
      </c>
      <c r="DK26">
        <v>0</v>
      </c>
      <c r="DL26">
        <v>0</v>
      </c>
      <c r="DM26">
        <v>6.3324316941428113E-4</v>
      </c>
      <c r="DN26">
        <v>8.034070377191468E-5</v>
      </c>
      <c r="DO26">
        <v>1.5079874641244469E-3</v>
      </c>
      <c r="DP26">
        <v>4.3949528091926282E-4</v>
      </c>
      <c r="DQ26">
        <v>6.9187128919492749E-4</v>
      </c>
      <c r="DR26">
        <v>4.0461784446154558E-4</v>
      </c>
      <c r="DS26">
        <v>9.6019265503364346E-3</v>
      </c>
      <c r="DT26">
        <v>5.7043279769296643E-4</v>
      </c>
      <c r="DU26">
        <v>8.0497498892630574E-3</v>
      </c>
      <c r="DV26">
        <v>0</v>
      </c>
      <c r="DW26">
        <v>0</v>
      </c>
      <c r="DX26">
        <v>7.9111486539091854E-6</v>
      </c>
      <c r="DY26">
        <v>2.977873092751554E-5</v>
      </c>
      <c r="DZ26">
        <v>3.967947355968887E-5</v>
      </c>
      <c r="EA26">
        <v>4.4935527605474178E-5</v>
      </c>
      <c r="EB26">
        <v>4.311178043987695E-6</v>
      </c>
      <c r="EC26">
        <v>1.9815997291265488E-6</v>
      </c>
      <c r="ED26">
        <v>4.6291111090362393E-6</v>
      </c>
      <c r="EE26">
        <v>3.3200663687435062E-6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7.495640195335552E-5</v>
      </c>
      <c r="EY26">
        <v>0</v>
      </c>
      <c r="EZ26">
        <v>0</v>
      </c>
      <c r="FA26">
        <v>6.6475350270472932E-4</v>
      </c>
      <c r="FB26">
        <v>1.5628057627133909E-3</v>
      </c>
      <c r="FC26">
        <v>7.8706827018725605E-7</v>
      </c>
      <c r="FD26">
        <v>2.222347383995924E-3</v>
      </c>
      <c r="FE26">
        <v>3.6064396351016679E-4</v>
      </c>
      <c r="FF26">
        <v>4.7828544313873759E-3</v>
      </c>
      <c r="FG26">
        <v>3.4557192139086359E-4</v>
      </c>
      <c r="FH26">
        <v>5.9137617282502589E-4</v>
      </c>
      <c r="FI26">
        <v>1.68054174097864E-4</v>
      </c>
      <c r="FJ26">
        <v>2.2888497048732291E-4</v>
      </c>
      <c r="FK26">
        <v>0</v>
      </c>
      <c r="FL26">
        <v>0</v>
      </c>
      <c r="FM26">
        <v>0</v>
      </c>
      <c r="FN26">
        <v>6.141910487589212E-7</v>
      </c>
      <c r="FO26">
        <v>9.8459351686917091E-4</v>
      </c>
      <c r="FP26">
        <v>1.7196650302096829E-4</v>
      </c>
      <c r="FQ26">
        <v>7.0559690655631901E-4</v>
      </c>
      <c r="FR26">
        <v>4.3332065412139849E-4</v>
      </c>
      <c r="FS26">
        <v>1.353503880619017E-3</v>
      </c>
      <c r="FT26">
        <v>4.099070378542474E-6</v>
      </c>
      <c r="FU26">
        <v>1.88596316122688E-6</v>
      </c>
      <c r="FV26">
        <v>7.4200671666296576E-7</v>
      </c>
      <c r="FW26">
        <v>3.8220282908528664E-6</v>
      </c>
      <c r="FX26">
        <v>2.7895681761618889E-7</v>
      </c>
      <c r="FY26">
        <v>6.7700785771402851E-7</v>
      </c>
      <c r="FZ26">
        <v>1.9932610975931872E-6</v>
      </c>
      <c r="GA26">
        <v>1.104433387182816E-7</v>
      </c>
      <c r="GB26">
        <v>1.066930264192491E-8</v>
      </c>
      <c r="GC26">
        <v>1.801261201755241E-6</v>
      </c>
      <c r="GD26">
        <v>2.5519597168897051E-6</v>
      </c>
      <c r="GE26">
        <v>0</v>
      </c>
      <c r="GF26">
        <v>4.5948923705110042E-7</v>
      </c>
      <c r="GG26">
        <v>1.4446794212634089E-6</v>
      </c>
      <c r="GH26">
        <v>1.22972590511846E-6</v>
      </c>
      <c r="GI26">
        <v>7.3687717695547994E-7</v>
      </c>
      <c r="GJ26">
        <v>1.2483462167068169E-7</v>
      </c>
      <c r="GK26">
        <v>3.0442207658870991E-6</v>
      </c>
      <c r="GL26">
        <v>7.1457692449745059E-8</v>
      </c>
      <c r="GM26">
        <v>2.8001534985251093E-7</v>
      </c>
      <c r="GN26">
        <v>9.8052061395323046E-5</v>
      </c>
      <c r="GO26">
        <v>1.3552121539491921E-3</v>
      </c>
      <c r="GP26">
        <v>2.7990836906189909E-4</v>
      </c>
      <c r="GQ26">
        <v>0</v>
      </c>
      <c r="GR26">
        <v>5.4765088487830862E-2</v>
      </c>
      <c r="GS26">
        <v>1.7804400418183979E-2</v>
      </c>
      <c r="GT26">
        <v>3.1546817507685537E-2</v>
      </c>
      <c r="GU26">
        <v>2.4322535959971379E-2</v>
      </c>
      <c r="GV26">
        <v>1.7943704394303449E-2</v>
      </c>
      <c r="GW26">
        <v>0.1034798948390824</v>
      </c>
      <c r="GX26">
        <v>9.3601442202501592E-3</v>
      </c>
      <c r="GY26">
        <v>2.3212274161088259E-2</v>
      </c>
      <c r="GZ26">
        <v>4.9048843513526202E-2</v>
      </c>
      <c r="HA26">
        <v>2.211706259278115E-2</v>
      </c>
      <c r="HB26">
        <v>0</v>
      </c>
      <c r="HC26">
        <v>6.8169758054469421E-3</v>
      </c>
    </row>
    <row r="27" spans="1:211" x14ac:dyDescent="0.45">
      <c r="A27" s="1" t="s">
        <v>1</v>
      </c>
      <c r="B27">
        <v>2.4766616597982779E-3</v>
      </c>
      <c r="C27">
        <v>7.3468914437983437E-2</v>
      </c>
      <c r="D27">
        <v>3.2106615981416379E-3</v>
      </c>
      <c r="E27">
        <v>8.3722000152177456E-2</v>
      </c>
      <c r="F27">
        <v>4.0638650924926911E-2</v>
      </c>
      <c r="G27">
        <v>0</v>
      </c>
      <c r="H27">
        <v>6.5670297207434704E-3</v>
      </c>
      <c r="I27">
        <v>4.1823726846341959E-3</v>
      </c>
      <c r="J27">
        <v>0</v>
      </c>
      <c r="K27">
        <v>0</v>
      </c>
      <c r="L27">
        <v>5.4947526779511202E-2</v>
      </c>
      <c r="M27">
        <v>4.486466403399985E-2</v>
      </c>
      <c r="N27">
        <v>8.1498258674298271E-3</v>
      </c>
      <c r="O27">
        <v>5.3279456011648286E-3</v>
      </c>
      <c r="P27">
        <v>0</v>
      </c>
      <c r="Q27">
        <v>0</v>
      </c>
      <c r="R27">
        <v>0</v>
      </c>
      <c r="S27">
        <v>1.073507676355108E-3</v>
      </c>
      <c r="T27">
        <v>2.787363505532315E-3</v>
      </c>
      <c r="U27">
        <v>1.7361586858943499E-7</v>
      </c>
      <c r="V27">
        <v>0</v>
      </c>
      <c r="W27">
        <v>1.046309319501166E-6</v>
      </c>
      <c r="X27">
        <v>0</v>
      </c>
      <c r="Y27">
        <v>6.6504207046073343E-7</v>
      </c>
      <c r="Z27">
        <v>0</v>
      </c>
      <c r="AA27">
        <v>0</v>
      </c>
      <c r="AB27">
        <v>0</v>
      </c>
      <c r="AC27">
        <v>0</v>
      </c>
      <c r="AD27">
        <v>1.609590712703002E-4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0.17926733141914289</v>
      </c>
      <c r="AS27">
        <v>2.6558930337619548E-2</v>
      </c>
      <c r="AT27">
        <v>4.4709902833264217E-2</v>
      </c>
      <c r="AU27">
        <v>9.970272422396706E-2</v>
      </c>
      <c r="AV27">
        <v>9.345410410877171E-4</v>
      </c>
      <c r="AW27">
        <v>0.1248541467769821</v>
      </c>
      <c r="AX27">
        <v>5.9640276974856686E-4</v>
      </c>
      <c r="AY27">
        <v>9.6973191559658195E-3</v>
      </c>
      <c r="AZ27">
        <v>0.26123453764150661</v>
      </c>
      <c r="BA27">
        <v>3.6120458244814392E-2</v>
      </c>
      <c r="BB27">
        <v>2.8884864295284609E-2</v>
      </c>
      <c r="BC27">
        <v>2.075307813213485E-3</v>
      </c>
      <c r="BD27">
        <v>1.08212972336583E-2</v>
      </c>
      <c r="BE27">
        <v>2.019718194969931E-2</v>
      </c>
      <c r="BF27">
        <v>2.0238254863384951E-2</v>
      </c>
      <c r="BG27">
        <v>7.9910474605896604E-4</v>
      </c>
      <c r="BH27">
        <v>8.400421776518367E-5</v>
      </c>
      <c r="BI27">
        <v>0</v>
      </c>
      <c r="BJ27">
        <v>0</v>
      </c>
      <c r="BK27">
        <v>1.5780194163063179E-3</v>
      </c>
      <c r="BL27">
        <v>1.42087242376406E-3</v>
      </c>
      <c r="BM27">
        <v>4.1861672897628458E-8</v>
      </c>
      <c r="BN27">
        <v>0</v>
      </c>
      <c r="BO27">
        <v>0</v>
      </c>
      <c r="BP27">
        <v>4.3729525759001629E-3</v>
      </c>
      <c r="BQ27">
        <v>8.2568595086066065E-9</v>
      </c>
      <c r="BR27">
        <v>0</v>
      </c>
      <c r="BS27">
        <v>2.9165688941531698E-5</v>
      </c>
      <c r="BT27">
        <v>1.8304465255548839E-5</v>
      </c>
      <c r="BU27">
        <v>3.114798436011684E-3</v>
      </c>
      <c r="BV27">
        <v>1.93632451148762E-6</v>
      </c>
      <c r="BW27">
        <v>0</v>
      </c>
      <c r="BX27">
        <v>1.9451882886496429E-4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1.9501428210860781E-2</v>
      </c>
      <c r="CJ27">
        <v>7.1209714633580249E-4</v>
      </c>
      <c r="CK27">
        <v>7.1781861108933393E-6</v>
      </c>
      <c r="CL27">
        <v>4.055039702572826E-4</v>
      </c>
      <c r="CM27">
        <v>1.080993119628604E-2</v>
      </c>
      <c r="CN27">
        <v>0</v>
      </c>
      <c r="CO27">
        <v>0</v>
      </c>
      <c r="CP27">
        <v>6.9772338850595798E-5</v>
      </c>
      <c r="CQ27">
        <v>8.1874269117937525E-5</v>
      </c>
      <c r="CR27">
        <v>0</v>
      </c>
      <c r="CS27">
        <v>0</v>
      </c>
      <c r="CT27">
        <v>0</v>
      </c>
      <c r="CU27">
        <v>6.4364842161842781E-4</v>
      </c>
      <c r="CV27">
        <v>1.7045399718893479E-6</v>
      </c>
      <c r="CW27">
        <v>8.3300797684757652E-6</v>
      </c>
      <c r="CX27">
        <v>1.603105992187516E-6</v>
      </c>
      <c r="CY27">
        <v>5.6280983330436827E-4</v>
      </c>
      <c r="CZ27">
        <v>2.8557761444917491E-9</v>
      </c>
      <c r="DA27">
        <v>3.2946083095806772E-10</v>
      </c>
      <c r="DB27">
        <v>6.5570458331864944E-6</v>
      </c>
      <c r="DC27">
        <v>0</v>
      </c>
      <c r="DD27">
        <v>8.9436526676490406E-7</v>
      </c>
      <c r="DE27">
        <v>6.1713748533302788E-8</v>
      </c>
      <c r="DF27">
        <v>0</v>
      </c>
      <c r="DG27">
        <v>0</v>
      </c>
      <c r="DH27">
        <v>0</v>
      </c>
      <c r="DI27">
        <v>0</v>
      </c>
      <c r="DJ27">
        <v>4.5108070509379357E-6</v>
      </c>
      <c r="DK27">
        <v>0</v>
      </c>
      <c r="DL27">
        <v>3.3935440607945729E-8</v>
      </c>
      <c r="DM27">
        <v>1.245636668984992E-3</v>
      </c>
      <c r="DN27">
        <v>1.3695895804912941E-4</v>
      </c>
      <c r="DO27">
        <v>1.5079874641244469E-3</v>
      </c>
      <c r="DP27">
        <v>7.6567080946143774E-4</v>
      </c>
      <c r="DQ27">
        <v>1.058583649760288E-3</v>
      </c>
      <c r="DR27">
        <v>8.2608331362868425E-4</v>
      </c>
      <c r="DS27">
        <v>1.5414575987679729E-2</v>
      </c>
      <c r="DT27">
        <v>8.4287737410158826E-4</v>
      </c>
      <c r="DU27">
        <v>9.7243926743494063E-3</v>
      </c>
      <c r="DV27">
        <v>0</v>
      </c>
      <c r="DW27">
        <v>0</v>
      </c>
      <c r="DX27">
        <v>1.4557489999642641E-4</v>
      </c>
      <c r="DY27">
        <v>1.2589476636141889E-4</v>
      </c>
      <c r="DZ27">
        <v>1.6349667504137069E-3</v>
      </c>
      <c r="EA27">
        <v>2.8061358733085342E-4</v>
      </c>
      <c r="EB27">
        <v>4.1750874282875322E-5</v>
      </c>
      <c r="EC27">
        <v>2.5374632387657408E-5</v>
      </c>
      <c r="ED27">
        <v>3.8580640771387447E-5</v>
      </c>
      <c r="EE27">
        <v>6.1111065842648562E-6</v>
      </c>
      <c r="EF27">
        <v>0</v>
      </c>
      <c r="EG27">
        <v>2.7108459671863171E-6</v>
      </c>
      <c r="EH27">
        <v>0</v>
      </c>
      <c r="EI27">
        <v>0</v>
      </c>
      <c r="EJ27">
        <v>1.9833273928999059E-4</v>
      </c>
      <c r="EK27">
        <v>7.6151035606558215E-4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1.532765738159641E-3</v>
      </c>
      <c r="ER27">
        <v>1.0325843243545829E-3</v>
      </c>
      <c r="ES27">
        <v>7.2944945378628705E-4</v>
      </c>
      <c r="ET27">
        <v>1.4285121585812591E-3</v>
      </c>
      <c r="EU27">
        <v>0</v>
      </c>
      <c r="EV27">
        <v>1.689788958642749E-3</v>
      </c>
      <c r="EW27">
        <v>1.6893888387807651E-4</v>
      </c>
      <c r="EX27">
        <v>9.8326296084063833E-4</v>
      </c>
      <c r="EY27">
        <v>7.2551902137129969E-4</v>
      </c>
      <c r="EZ27">
        <v>8.8812450910648322E-2</v>
      </c>
      <c r="FA27">
        <v>3.3586577652674082E-3</v>
      </c>
      <c r="FB27">
        <v>5.1553065934158574E-3</v>
      </c>
      <c r="FC27">
        <v>1.6774692765750561E-4</v>
      </c>
      <c r="FD27">
        <v>2.956065950822762E-3</v>
      </c>
      <c r="FE27">
        <v>1.0607643930370819E-3</v>
      </c>
      <c r="FF27">
        <v>8.7389651975379908E-3</v>
      </c>
      <c r="FG27">
        <v>2.5587611556025249E-3</v>
      </c>
      <c r="FH27">
        <v>5.6904395808122388E-3</v>
      </c>
      <c r="FI27">
        <v>2.0951919319407491E-3</v>
      </c>
      <c r="FJ27">
        <v>5.890522628101893E-3</v>
      </c>
      <c r="FK27">
        <v>0</v>
      </c>
      <c r="FL27">
        <v>2.8355741567771889E-2</v>
      </c>
      <c r="FM27">
        <v>6.8119712617220086E-4</v>
      </c>
      <c r="FN27">
        <v>1.2595820558959631E-5</v>
      </c>
      <c r="FO27">
        <v>6.3986788855897236E-3</v>
      </c>
      <c r="FP27">
        <v>3.026479211329168E-3</v>
      </c>
      <c r="FQ27">
        <v>3.3679153664833338E-2</v>
      </c>
      <c r="FR27">
        <v>3.1446253964180423E-2</v>
      </c>
      <c r="FS27">
        <v>4.8345173070509687E-2</v>
      </c>
      <c r="FT27">
        <v>1.0945661482164361E-4</v>
      </c>
      <c r="FU27">
        <v>1.133179029135751E-4</v>
      </c>
      <c r="FV27">
        <v>5.0840999049191703E-5</v>
      </c>
      <c r="FW27">
        <v>1.3654211211384701E-4</v>
      </c>
      <c r="FX27">
        <v>2.3369641753392821E-5</v>
      </c>
      <c r="FY27">
        <v>3.2163736100755061E-5</v>
      </c>
      <c r="FZ27">
        <v>1.2506926096431611E-4</v>
      </c>
      <c r="GA27">
        <v>9.2344053524861605E-6</v>
      </c>
      <c r="GB27">
        <v>7.7096855280766705E-7</v>
      </c>
      <c r="GC27">
        <v>1.127299266017867E-4</v>
      </c>
      <c r="GD27">
        <v>6.8313936914100713E-5</v>
      </c>
      <c r="GE27">
        <v>2.0813653398583119E-6</v>
      </c>
      <c r="GF27">
        <v>4.3433903734563322E-5</v>
      </c>
      <c r="GG27">
        <v>7.9594723309972502E-5</v>
      </c>
      <c r="GH27">
        <v>7.4847753678974655E-5</v>
      </c>
      <c r="GI27">
        <v>5.0520330219928818E-5</v>
      </c>
      <c r="GJ27">
        <v>1.5575290634961982E-5</v>
      </c>
      <c r="GK27">
        <v>1.8505977360955901E-4</v>
      </c>
      <c r="GL27">
        <v>8.4892971204634099E-6</v>
      </c>
      <c r="GM27">
        <v>2.810828672329699E-5</v>
      </c>
      <c r="GN27">
        <v>5.5759442855618582E-3</v>
      </c>
      <c r="GO27">
        <v>3.1557793283437698E-2</v>
      </c>
      <c r="GP27">
        <v>3.5353952811844648E-3</v>
      </c>
      <c r="GQ27">
        <v>0</v>
      </c>
      <c r="GR27">
        <v>8.4656541193265183E-2</v>
      </c>
      <c r="GS27">
        <v>0.17926733141914289</v>
      </c>
      <c r="GT27">
        <v>0.27078374820836187</v>
      </c>
      <c r="GU27">
        <v>0.13579133614994429</v>
      </c>
      <c r="GV27">
        <v>0.13018209237814701</v>
      </c>
      <c r="GW27">
        <v>0.39247360491063621</v>
      </c>
      <c r="GX27">
        <v>6.5306128863352783E-2</v>
      </c>
      <c r="GY27">
        <v>4.8912495663956598E-2</v>
      </c>
      <c r="GZ27">
        <v>5.1256734046742559E-2</v>
      </c>
      <c r="HA27">
        <v>4.0360949172933952E-2</v>
      </c>
      <c r="HB27">
        <v>8.8812450910648322E-2</v>
      </c>
      <c r="HC27">
        <v>0.18606005939784351</v>
      </c>
    </row>
    <row r="28" spans="1:211" x14ac:dyDescent="0.45">
      <c r="A28" s="1" t="s">
        <v>221</v>
      </c>
      <c r="B28">
        <f t="shared" ref="B28:BM28" si="0">INDEX(B$18:B$27,MATCH($B$1,$A$18:$A$27,0))</f>
        <v>2.4766616597982779E-3</v>
      </c>
      <c r="C28">
        <f t="shared" si="0"/>
        <v>7.3468914437983437E-2</v>
      </c>
      <c r="D28">
        <f t="shared" si="0"/>
        <v>3.2106615981416379E-3</v>
      </c>
      <c r="E28">
        <f t="shared" si="0"/>
        <v>8.3722000152177456E-2</v>
      </c>
      <c r="F28">
        <f t="shared" si="0"/>
        <v>4.0638650924926911E-2</v>
      </c>
      <c r="G28">
        <f t="shared" si="0"/>
        <v>0</v>
      </c>
      <c r="H28">
        <f t="shared" si="0"/>
        <v>6.5670297207434704E-3</v>
      </c>
      <c r="I28">
        <f t="shared" si="0"/>
        <v>4.1823726846341959E-3</v>
      </c>
      <c r="J28">
        <f t="shared" si="0"/>
        <v>0</v>
      </c>
      <c r="K28">
        <f t="shared" si="0"/>
        <v>0</v>
      </c>
      <c r="L28">
        <f t="shared" si="0"/>
        <v>5.4947526779511202E-2</v>
      </c>
      <c r="M28">
        <f t="shared" si="0"/>
        <v>4.486466403399985E-2</v>
      </c>
      <c r="N28">
        <f t="shared" si="0"/>
        <v>8.1498258674298271E-3</v>
      </c>
      <c r="O28">
        <f t="shared" si="0"/>
        <v>5.3279456011648286E-3</v>
      </c>
      <c r="P28">
        <f t="shared" si="0"/>
        <v>0</v>
      </c>
      <c r="Q28">
        <f t="shared" si="0"/>
        <v>0</v>
      </c>
      <c r="R28">
        <f t="shared" si="0"/>
        <v>0</v>
      </c>
      <c r="S28">
        <f t="shared" si="0"/>
        <v>1.073507676355108E-3</v>
      </c>
      <c r="T28">
        <f t="shared" si="0"/>
        <v>2.787363505532315E-3</v>
      </c>
      <c r="U28">
        <f t="shared" si="0"/>
        <v>1.7361586858943499E-7</v>
      </c>
      <c r="V28">
        <f t="shared" si="0"/>
        <v>0</v>
      </c>
      <c r="W28">
        <f t="shared" si="0"/>
        <v>1.046309319501166E-6</v>
      </c>
      <c r="X28">
        <f t="shared" si="0"/>
        <v>0</v>
      </c>
      <c r="Y28">
        <f t="shared" si="0"/>
        <v>6.6504207046073343E-7</v>
      </c>
      <c r="Z28">
        <f t="shared" si="0"/>
        <v>0</v>
      </c>
      <c r="AA28">
        <f t="shared" si="0"/>
        <v>0</v>
      </c>
      <c r="AB28">
        <f t="shared" si="0"/>
        <v>0</v>
      </c>
      <c r="AC28">
        <f t="shared" si="0"/>
        <v>0</v>
      </c>
      <c r="AD28">
        <f t="shared" si="0"/>
        <v>1.609590712703002E-4</v>
      </c>
      <c r="AE28">
        <f t="shared" si="0"/>
        <v>0</v>
      </c>
      <c r="AF28">
        <f t="shared" si="0"/>
        <v>0</v>
      </c>
      <c r="AG28">
        <f t="shared" si="0"/>
        <v>0</v>
      </c>
      <c r="AH28">
        <f t="shared" si="0"/>
        <v>0</v>
      </c>
      <c r="AI28">
        <f t="shared" si="0"/>
        <v>0</v>
      </c>
      <c r="AJ28">
        <f t="shared" si="0"/>
        <v>0</v>
      </c>
      <c r="AK28">
        <f t="shared" si="0"/>
        <v>0</v>
      </c>
      <c r="AL28">
        <f t="shared" si="0"/>
        <v>0</v>
      </c>
      <c r="AM28">
        <f t="shared" si="0"/>
        <v>0</v>
      </c>
      <c r="AN28">
        <f t="shared" si="0"/>
        <v>0</v>
      </c>
      <c r="AO28">
        <f t="shared" si="0"/>
        <v>0</v>
      </c>
      <c r="AP28">
        <f t="shared" si="0"/>
        <v>0</v>
      </c>
      <c r="AQ28">
        <f t="shared" si="0"/>
        <v>0</v>
      </c>
      <c r="AR28">
        <f t="shared" si="0"/>
        <v>0.17926733141914289</v>
      </c>
      <c r="AS28">
        <f t="shared" si="0"/>
        <v>2.6558930337619548E-2</v>
      </c>
      <c r="AT28">
        <f t="shared" si="0"/>
        <v>4.4709902833264217E-2</v>
      </c>
      <c r="AU28">
        <f t="shared" si="0"/>
        <v>9.970272422396706E-2</v>
      </c>
      <c r="AV28">
        <f t="shared" si="0"/>
        <v>9.345410410877171E-4</v>
      </c>
      <c r="AW28">
        <f t="shared" si="0"/>
        <v>0.1248541467769821</v>
      </c>
      <c r="AX28">
        <f t="shared" si="0"/>
        <v>5.9640276974856686E-4</v>
      </c>
      <c r="AY28">
        <f t="shared" si="0"/>
        <v>9.6973191559658195E-3</v>
      </c>
      <c r="AZ28">
        <f t="shared" si="0"/>
        <v>0.26123453764150661</v>
      </c>
      <c r="BA28">
        <f t="shared" si="0"/>
        <v>3.6120458244814392E-2</v>
      </c>
      <c r="BB28">
        <f t="shared" si="0"/>
        <v>2.8884864295284609E-2</v>
      </c>
      <c r="BC28">
        <f t="shared" si="0"/>
        <v>2.075307813213485E-3</v>
      </c>
      <c r="BD28">
        <f t="shared" si="0"/>
        <v>1.08212972336583E-2</v>
      </c>
      <c r="BE28">
        <f t="shared" si="0"/>
        <v>2.019718194969931E-2</v>
      </c>
      <c r="BF28">
        <f t="shared" si="0"/>
        <v>2.0238254863384951E-2</v>
      </c>
      <c r="BG28">
        <f t="shared" si="0"/>
        <v>7.9910474605896604E-4</v>
      </c>
      <c r="BH28">
        <f t="shared" si="0"/>
        <v>8.400421776518367E-5</v>
      </c>
      <c r="BI28">
        <f t="shared" si="0"/>
        <v>0</v>
      </c>
      <c r="BJ28">
        <f t="shared" si="0"/>
        <v>0</v>
      </c>
      <c r="BK28">
        <f t="shared" si="0"/>
        <v>1.5780194163063179E-3</v>
      </c>
      <c r="BL28">
        <f t="shared" si="0"/>
        <v>1.42087242376406E-3</v>
      </c>
      <c r="BM28">
        <f t="shared" si="0"/>
        <v>4.1861672897628458E-8</v>
      </c>
      <c r="BN28">
        <f t="shared" ref="BN28:DY28" si="1">INDEX(BN$18:BN$27,MATCH($B$1,$A$18:$A$27,0))</f>
        <v>0</v>
      </c>
      <c r="BO28">
        <f t="shared" si="1"/>
        <v>0</v>
      </c>
      <c r="BP28">
        <f t="shared" si="1"/>
        <v>4.3729525759001629E-3</v>
      </c>
      <c r="BQ28">
        <f t="shared" si="1"/>
        <v>8.2568595086066065E-9</v>
      </c>
      <c r="BR28">
        <f t="shared" si="1"/>
        <v>0</v>
      </c>
      <c r="BS28">
        <f t="shared" si="1"/>
        <v>2.9165688941531698E-5</v>
      </c>
      <c r="BT28">
        <f t="shared" si="1"/>
        <v>1.8304465255548839E-5</v>
      </c>
      <c r="BU28">
        <f t="shared" si="1"/>
        <v>3.114798436011684E-3</v>
      </c>
      <c r="BV28">
        <f t="shared" si="1"/>
        <v>1.93632451148762E-6</v>
      </c>
      <c r="BW28">
        <f t="shared" si="1"/>
        <v>0</v>
      </c>
      <c r="BX28">
        <f t="shared" si="1"/>
        <v>1.9451882886496429E-4</v>
      </c>
      <c r="BY28">
        <f t="shared" si="1"/>
        <v>0</v>
      </c>
      <c r="BZ28">
        <f t="shared" si="1"/>
        <v>0</v>
      </c>
      <c r="CA28">
        <f t="shared" si="1"/>
        <v>0</v>
      </c>
      <c r="CB28">
        <f t="shared" si="1"/>
        <v>0</v>
      </c>
      <c r="CC28">
        <f t="shared" si="1"/>
        <v>0</v>
      </c>
      <c r="CD28">
        <f t="shared" si="1"/>
        <v>0</v>
      </c>
      <c r="CE28">
        <f t="shared" si="1"/>
        <v>0</v>
      </c>
      <c r="CF28">
        <f t="shared" si="1"/>
        <v>0</v>
      </c>
      <c r="CG28">
        <f t="shared" si="1"/>
        <v>0</v>
      </c>
      <c r="CH28">
        <f t="shared" si="1"/>
        <v>0</v>
      </c>
      <c r="CI28">
        <f t="shared" si="1"/>
        <v>1.9501428210860781E-2</v>
      </c>
      <c r="CJ28">
        <f t="shared" si="1"/>
        <v>7.1209714633580249E-4</v>
      </c>
      <c r="CK28">
        <f t="shared" si="1"/>
        <v>7.1781861108933393E-6</v>
      </c>
      <c r="CL28">
        <f t="shared" si="1"/>
        <v>4.055039702572826E-4</v>
      </c>
      <c r="CM28">
        <f t="shared" si="1"/>
        <v>1.080993119628604E-2</v>
      </c>
      <c r="CN28">
        <f t="shared" si="1"/>
        <v>0</v>
      </c>
      <c r="CO28">
        <f t="shared" si="1"/>
        <v>0</v>
      </c>
      <c r="CP28">
        <f t="shared" si="1"/>
        <v>6.9772338850595798E-5</v>
      </c>
      <c r="CQ28">
        <f t="shared" si="1"/>
        <v>8.1874269117937525E-5</v>
      </c>
      <c r="CR28">
        <f t="shared" si="1"/>
        <v>0</v>
      </c>
      <c r="CS28">
        <f t="shared" si="1"/>
        <v>0</v>
      </c>
      <c r="CT28">
        <f t="shared" si="1"/>
        <v>0</v>
      </c>
      <c r="CU28">
        <f t="shared" si="1"/>
        <v>6.4364842161842781E-4</v>
      </c>
      <c r="CV28">
        <f t="shared" si="1"/>
        <v>1.7045399718893479E-6</v>
      </c>
      <c r="CW28">
        <f t="shared" si="1"/>
        <v>8.3300797684757652E-6</v>
      </c>
      <c r="CX28">
        <f t="shared" si="1"/>
        <v>1.603105992187516E-6</v>
      </c>
      <c r="CY28">
        <f t="shared" si="1"/>
        <v>5.6280983330436827E-4</v>
      </c>
      <c r="CZ28">
        <f t="shared" si="1"/>
        <v>2.8557761444917491E-9</v>
      </c>
      <c r="DA28">
        <f t="shared" si="1"/>
        <v>3.2946083095806772E-10</v>
      </c>
      <c r="DB28">
        <f t="shared" si="1"/>
        <v>6.5570458331864944E-6</v>
      </c>
      <c r="DC28">
        <f t="shared" si="1"/>
        <v>0</v>
      </c>
      <c r="DD28">
        <f t="shared" si="1"/>
        <v>8.9436526676490406E-7</v>
      </c>
      <c r="DE28">
        <f t="shared" si="1"/>
        <v>6.1713748533302788E-8</v>
      </c>
      <c r="DF28">
        <f t="shared" si="1"/>
        <v>0</v>
      </c>
      <c r="DG28">
        <f t="shared" si="1"/>
        <v>0</v>
      </c>
      <c r="DH28">
        <f t="shared" si="1"/>
        <v>0</v>
      </c>
      <c r="DI28">
        <f t="shared" si="1"/>
        <v>0</v>
      </c>
      <c r="DJ28">
        <f t="shared" si="1"/>
        <v>4.5108070509379357E-6</v>
      </c>
      <c r="DK28">
        <f t="shared" si="1"/>
        <v>0</v>
      </c>
      <c r="DL28">
        <f t="shared" si="1"/>
        <v>3.3935440607945729E-8</v>
      </c>
      <c r="DM28">
        <f t="shared" si="1"/>
        <v>1.245636668984992E-3</v>
      </c>
      <c r="DN28">
        <f t="shared" si="1"/>
        <v>1.3695895804912941E-4</v>
      </c>
      <c r="DO28">
        <f t="shared" si="1"/>
        <v>1.5079874641244469E-3</v>
      </c>
      <c r="DP28">
        <f t="shared" si="1"/>
        <v>7.6567080946143774E-4</v>
      </c>
      <c r="DQ28">
        <f t="shared" si="1"/>
        <v>1.058583649760288E-3</v>
      </c>
      <c r="DR28">
        <f t="shared" si="1"/>
        <v>8.2608331362868425E-4</v>
      </c>
      <c r="DS28">
        <f t="shared" si="1"/>
        <v>1.5414575987679729E-2</v>
      </c>
      <c r="DT28">
        <f t="shared" si="1"/>
        <v>8.4287737410158826E-4</v>
      </c>
      <c r="DU28">
        <f t="shared" si="1"/>
        <v>9.7243926743494063E-3</v>
      </c>
      <c r="DV28">
        <f t="shared" si="1"/>
        <v>0</v>
      </c>
      <c r="DW28">
        <f t="shared" si="1"/>
        <v>0</v>
      </c>
      <c r="DX28">
        <f t="shared" si="1"/>
        <v>1.4557489999642641E-4</v>
      </c>
      <c r="DY28">
        <f t="shared" si="1"/>
        <v>1.2589476636141889E-4</v>
      </c>
      <c r="DZ28">
        <f t="shared" ref="DZ28:GK28" si="2">INDEX(DZ$18:DZ$27,MATCH($B$1,$A$18:$A$27,0))</f>
        <v>1.6349667504137069E-3</v>
      </c>
      <c r="EA28">
        <f t="shared" si="2"/>
        <v>2.8061358733085342E-4</v>
      </c>
      <c r="EB28">
        <f t="shared" si="2"/>
        <v>4.1750874282875322E-5</v>
      </c>
      <c r="EC28">
        <f t="shared" si="2"/>
        <v>2.5374632387657408E-5</v>
      </c>
      <c r="ED28">
        <f t="shared" si="2"/>
        <v>3.8580640771387447E-5</v>
      </c>
      <c r="EE28">
        <f t="shared" si="2"/>
        <v>6.1111065842648562E-6</v>
      </c>
      <c r="EF28">
        <f t="shared" si="2"/>
        <v>0</v>
      </c>
      <c r="EG28">
        <f t="shared" si="2"/>
        <v>2.7108459671863171E-6</v>
      </c>
      <c r="EH28">
        <f t="shared" si="2"/>
        <v>0</v>
      </c>
      <c r="EI28">
        <f t="shared" si="2"/>
        <v>0</v>
      </c>
      <c r="EJ28">
        <f t="shared" si="2"/>
        <v>1.9833273928999059E-4</v>
      </c>
      <c r="EK28">
        <f t="shared" si="2"/>
        <v>7.6151035606558215E-4</v>
      </c>
      <c r="EL28">
        <f t="shared" si="2"/>
        <v>0</v>
      </c>
      <c r="EM28">
        <f t="shared" si="2"/>
        <v>0</v>
      </c>
      <c r="EN28">
        <f t="shared" si="2"/>
        <v>0</v>
      </c>
      <c r="EO28">
        <f t="shared" si="2"/>
        <v>0</v>
      </c>
      <c r="EP28">
        <f t="shared" si="2"/>
        <v>0</v>
      </c>
      <c r="EQ28">
        <f t="shared" si="2"/>
        <v>1.532765738159641E-3</v>
      </c>
      <c r="ER28">
        <f t="shared" si="2"/>
        <v>1.0325843243545829E-3</v>
      </c>
      <c r="ES28">
        <f t="shared" si="2"/>
        <v>7.2944945378628705E-4</v>
      </c>
      <c r="ET28">
        <f t="shared" si="2"/>
        <v>1.4285121585812591E-3</v>
      </c>
      <c r="EU28">
        <f t="shared" si="2"/>
        <v>0</v>
      </c>
      <c r="EV28">
        <f t="shared" si="2"/>
        <v>1.689788958642749E-3</v>
      </c>
      <c r="EW28">
        <f t="shared" si="2"/>
        <v>1.6893888387807651E-4</v>
      </c>
      <c r="EX28">
        <f t="shared" si="2"/>
        <v>9.8326296084063833E-4</v>
      </c>
      <c r="EY28">
        <f t="shared" si="2"/>
        <v>7.2551902137129969E-4</v>
      </c>
      <c r="EZ28">
        <f t="shared" si="2"/>
        <v>8.8812450910648322E-2</v>
      </c>
      <c r="FA28">
        <f t="shared" si="2"/>
        <v>3.3586577652674082E-3</v>
      </c>
      <c r="FB28">
        <f t="shared" si="2"/>
        <v>5.1553065934158574E-3</v>
      </c>
      <c r="FC28">
        <f t="shared" si="2"/>
        <v>1.6774692765750561E-4</v>
      </c>
      <c r="FD28">
        <f t="shared" si="2"/>
        <v>2.956065950822762E-3</v>
      </c>
      <c r="FE28">
        <f t="shared" si="2"/>
        <v>1.0607643930370819E-3</v>
      </c>
      <c r="FF28">
        <f t="shared" si="2"/>
        <v>8.7389651975379908E-3</v>
      </c>
      <c r="FG28">
        <f t="shared" si="2"/>
        <v>2.5587611556025249E-3</v>
      </c>
      <c r="FH28">
        <f t="shared" si="2"/>
        <v>5.6904395808122388E-3</v>
      </c>
      <c r="FI28">
        <f t="shared" si="2"/>
        <v>2.0951919319407491E-3</v>
      </c>
      <c r="FJ28">
        <f t="shared" si="2"/>
        <v>5.890522628101893E-3</v>
      </c>
      <c r="FK28">
        <f t="shared" si="2"/>
        <v>0</v>
      </c>
      <c r="FL28">
        <f t="shared" si="2"/>
        <v>2.8355741567771889E-2</v>
      </c>
      <c r="FM28">
        <f t="shared" si="2"/>
        <v>6.8119712617220086E-4</v>
      </c>
      <c r="FN28">
        <f t="shared" si="2"/>
        <v>1.2595820558959631E-5</v>
      </c>
      <c r="FO28">
        <f t="shared" si="2"/>
        <v>6.3986788855897236E-3</v>
      </c>
      <c r="FP28">
        <f t="shared" si="2"/>
        <v>3.026479211329168E-3</v>
      </c>
      <c r="FQ28">
        <f t="shared" si="2"/>
        <v>3.3679153664833338E-2</v>
      </c>
      <c r="FR28">
        <f t="shared" si="2"/>
        <v>3.1446253964180423E-2</v>
      </c>
      <c r="FS28">
        <f t="shared" si="2"/>
        <v>4.8345173070509687E-2</v>
      </c>
      <c r="FT28">
        <f t="shared" si="2"/>
        <v>1.0945661482164361E-4</v>
      </c>
      <c r="FU28">
        <f t="shared" si="2"/>
        <v>1.133179029135751E-4</v>
      </c>
      <c r="FV28">
        <f t="shared" si="2"/>
        <v>5.0840999049191703E-5</v>
      </c>
      <c r="FW28">
        <f t="shared" si="2"/>
        <v>1.3654211211384701E-4</v>
      </c>
      <c r="FX28">
        <f t="shared" si="2"/>
        <v>2.3369641753392821E-5</v>
      </c>
      <c r="FY28">
        <f t="shared" si="2"/>
        <v>3.2163736100755061E-5</v>
      </c>
      <c r="FZ28">
        <f t="shared" si="2"/>
        <v>1.2506926096431611E-4</v>
      </c>
      <c r="GA28">
        <f t="shared" si="2"/>
        <v>9.2344053524861605E-6</v>
      </c>
      <c r="GB28">
        <f t="shared" si="2"/>
        <v>7.7096855280766705E-7</v>
      </c>
      <c r="GC28">
        <f t="shared" si="2"/>
        <v>1.127299266017867E-4</v>
      </c>
      <c r="GD28">
        <f t="shared" si="2"/>
        <v>6.8313936914100713E-5</v>
      </c>
      <c r="GE28">
        <f t="shared" si="2"/>
        <v>2.0813653398583119E-6</v>
      </c>
      <c r="GF28">
        <f t="shared" si="2"/>
        <v>4.3433903734563322E-5</v>
      </c>
      <c r="GG28">
        <f t="shared" si="2"/>
        <v>7.9594723309972502E-5</v>
      </c>
      <c r="GH28">
        <f t="shared" si="2"/>
        <v>7.4847753678974655E-5</v>
      </c>
      <c r="GI28">
        <f t="shared" si="2"/>
        <v>5.0520330219928818E-5</v>
      </c>
      <c r="GJ28">
        <f t="shared" si="2"/>
        <v>1.5575290634961982E-5</v>
      </c>
      <c r="GK28">
        <f t="shared" si="2"/>
        <v>1.8505977360955901E-4</v>
      </c>
      <c r="GL28">
        <f t="shared" ref="GL28:HC28" si="3">INDEX(GL$18:GL$27,MATCH($B$1,$A$18:$A$27,0))</f>
        <v>8.4892971204634099E-6</v>
      </c>
      <c r="GM28">
        <f t="shared" si="3"/>
        <v>2.810828672329699E-5</v>
      </c>
      <c r="GN28">
        <f t="shared" si="3"/>
        <v>5.5759442855618582E-3</v>
      </c>
      <c r="GO28">
        <f t="shared" si="3"/>
        <v>3.1557793283437698E-2</v>
      </c>
      <c r="GP28">
        <f t="shared" si="3"/>
        <v>3.5353952811844648E-3</v>
      </c>
      <c r="GQ28">
        <f t="shared" si="3"/>
        <v>0</v>
      </c>
      <c r="GR28">
        <f t="shared" si="3"/>
        <v>8.4656541193265183E-2</v>
      </c>
      <c r="GS28">
        <f t="shared" si="3"/>
        <v>0.17926733141914289</v>
      </c>
      <c r="GT28">
        <f t="shared" si="3"/>
        <v>0.27078374820836187</v>
      </c>
      <c r="GU28">
        <f t="shared" si="3"/>
        <v>0.13579133614994429</v>
      </c>
      <c r="GV28">
        <f t="shared" si="3"/>
        <v>0.13018209237814701</v>
      </c>
      <c r="GW28">
        <f t="shared" si="3"/>
        <v>0.39247360491063621</v>
      </c>
      <c r="GX28">
        <f t="shared" si="3"/>
        <v>6.5306128863352783E-2</v>
      </c>
      <c r="GY28">
        <f t="shared" si="3"/>
        <v>4.8912495663956598E-2</v>
      </c>
      <c r="GZ28">
        <f t="shared" si="3"/>
        <v>5.1256734046742559E-2</v>
      </c>
      <c r="HA28">
        <f t="shared" si="3"/>
        <v>4.0360949172933952E-2</v>
      </c>
      <c r="HB28">
        <f t="shared" si="3"/>
        <v>8.8812450910648322E-2</v>
      </c>
      <c r="HC28">
        <f t="shared" si="3"/>
        <v>0.18606005939784351</v>
      </c>
    </row>
    <row r="29" spans="1:211" x14ac:dyDescent="0.45">
      <c r="A29" s="1" t="s">
        <v>222</v>
      </c>
      <c r="B29">
        <f>RANK(B28,$B$28:$GQ$28,0)+COUNTIF($B$28:B28,B28)-1</f>
        <v>47</v>
      </c>
      <c r="C29">
        <f>RANK(C28,$B$28:$GQ$28,0)+COUNTIF($B$28:C28,C28)-1</f>
        <v>7</v>
      </c>
      <c r="D29">
        <f>RANK(D28,$B$28:$GQ$28,0)+COUNTIF($B$28:D28,D28)-1</f>
        <v>41</v>
      </c>
      <c r="E29">
        <f>RANK(E28,$B$28:$GQ$28,0)+COUNTIF($B$28:E28,E28)-1</f>
        <v>6</v>
      </c>
      <c r="F29">
        <f>RANK(F28,$B$28:$GQ$28,0)+COUNTIF($B$28:F28,F28)-1</f>
        <v>12</v>
      </c>
      <c r="G29">
        <f>RANK(G28,$B$28:$GQ$28,0)+COUNTIF($B$28:G28,G28)-1</f>
        <v>134</v>
      </c>
      <c r="H29">
        <f>RANK(H28,$B$28:$GQ$28,0)+COUNTIF($B$28:H28,H28)-1</f>
        <v>30</v>
      </c>
      <c r="I29">
        <f>RANK(I28,$B$28:$GQ$28,0)+COUNTIF($B$28:I28,I28)-1</f>
        <v>38</v>
      </c>
      <c r="J29">
        <f>RANK(J28,$B$28:$GQ$28,0)+COUNTIF($B$28:J28,J28)-1</f>
        <v>135</v>
      </c>
      <c r="K29">
        <f>RANK(K28,$B$28:$GQ$28,0)+COUNTIF($B$28:K28,K28)-1</f>
        <v>136</v>
      </c>
      <c r="L29">
        <f>RANK(L28,$B$28:$GQ$28,0)+COUNTIF($B$28:L28,L28)-1</f>
        <v>8</v>
      </c>
      <c r="M29">
        <f>RANK(M28,$B$28:$GQ$28,0)+COUNTIF($B$28:M28,M28)-1</f>
        <v>10</v>
      </c>
      <c r="N29">
        <f>RANK(N28,$B$28:$GQ$28,0)+COUNTIF($B$28:N28,N28)-1</f>
        <v>29</v>
      </c>
      <c r="O29">
        <f>RANK(O28,$B$28:$GQ$28,0)+COUNTIF($B$28:O28,O28)-1</f>
        <v>35</v>
      </c>
      <c r="P29">
        <f>RANK(P28,$B$28:$GQ$28,0)+COUNTIF($B$28:P28,P28)-1</f>
        <v>137</v>
      </c>
      <c r="Q29">
        <f>RANK(Q28,$B$28:$GQ$28,0)+COUNTIF($B$28:Q28,Q28)-1</f>
        <v>138</v>
      </c>
      <c r="R29">
        <f>RANK(R28,$B$28:$GQ$28,0)+COUNTIF($B$28:R28,R28)-1</f>
        <v>139</v>
      </c>
      <c r="S29">
        <f>RANK(S28,$B$28:$GQ$28,0)+COUNTIF($B$28:S28,S28)-1</f>
        <v>58</v>
      </c>
      <c r="T29">
        <f>RANK(T28,$B$28:$GQ$28,0)+COUNTIF($B$28:T28,T28)-1</f>
        <v>45</v>
      </c>
      <c r="U29">
        <f>RANK(U28,$B$28:$GQ$28,0)+COUNTIF($B$28:U28,U28)-1</f>
        <v>127</v>
      </c>
      <c r="V29">
        <f>RANK(V28,$B$28:$GQ$28,0)+COUNTIF($B$28:V28,V28)-1</f>
        <v>140</v>
      </c>
      <c r="W29">
        <f>RANK(W28,$B$28:$GQ$28,0)+COUNTIF($B$28:W28,W28)-1</f>
        <v>123</v>
      </c>
      <c r="X29">
        <f>RANK(X28,$B$28:$GQ$28,0)+COUNTIF($B$28:X28,X28)-1</f>
        <v>141</v>
      </c>
      <c r="Y29">
        <f>RANK(Y28,$B$28:$GQ$28,0)+COUNTIF($B$28:Y28,Y28)-1</f>
        <v>126</v>
      </c>
      <c r="Z29">
        <f>RANK(Z28,$B$28:$GQ$28,0)+COUNTIF($B$28:Z28,Z28)-1</f>
        <v>142</v>
      </c>
      <c r="AA29">
        <f>RANK(AA28,$B$28:$GQ$28,0)+COUNTIF($B$28:AA28,AA28)-1</f>
        <v>143</v>
      </c>
      <c r="AB29">
        <f>RANK(AB28,$B$28:$GQ$28,0)+COUNTIF($B$28:AB28,AB28)-1</f>
        <v>144</v>
      </c>
      <c r="AC29">
        <f>RANK(AC28,$B$28:$GQ$28,0)+COUNTIF($B$28:AC28,AC28)-1</f>
        <v>145</v>
      </c>
      <c r="AD29">
        <f>RANK(AD28,$B$28:$GQ$28,0)+COUNTIF($B$28:AD28,AD28)-1</f>
        <v>83</v>
      </c>
      <c r="AE29">
        <f>RANK(AE28,$B$28:$GQ$28,0)+COUNTIF($B$28:AE28,AE28)-1</f>
        <v>146</v>
      </c>
      <c r="AF29">
        <f>RANK(AF28,$B$28:$GQ$28,0)+COUNTIF($B$28:AF28,AF28)-1</f>
        <v>147</v>
      </c>
      <c r="AG29">
        <f>RANK(AG28,$B$28:$GQ$28,0)+COUNTIF($B$28:AG28,AG28)-1</f>
        <v>148</v>
      </c>
      <c r="AH29">
        <f>RANK(AH28,$B$28:$GQ$28,0)+COUNTIF($B$28:AH28,AH28)-1</f>
        <v>149</v>
      </c>
      <c r="AI29">
        <f>RANK(AI28,$B$28:$GQ$28,0)+COUNTIF($B$28:AI28,AI28)-1</f>
        <v>150</v>
      </c>
      <c r="AJ29">
        <f>RANK(AJ28,$B$28:$GQ$28,0)+COUNTIF($B$28:AJ28,AJ28)-1</f>
        <v>151</v>
      </c>
      <c r="AK29">
        <f>RANK(AK28,$B$28:$GQ$28,0)+COUNTIF($B$28:AK28,AK28)-1</f>
        <v>152</v>
      </c>
      <c r="AL29">
        <f>RANK(AL28,$B$28:$GQ$28,0)+COUNTIF($B$28:AL28,AL28)-1</f>
        <v>153</v>
      </c>
      <c r="AM29">
        <f>RANK(AM28,$B$28:$GQ$28,0)+COUNTIF($B$28:AM28,AM28)-1</f>
        <v>154</v>
      </c>
      <c r="AN29">
        <f>RANK(AN28,$B$28:$GQ$28,0)+COUNTIF($B$28:AN28,AN28)-1</f>
        <v>155</v>
      </c>
      <c r="AO29">
        <f>RANK(AO28,$B$28:$GQ$28,0)+COUNTIF($B$28:AO28,AO28)-1</f>
        <v>156</v>
      </c>
      <c r="AP29">
        <f>RANK(AP28,$B$28:$GQ$28,0)+COUNTIF($B$28:AP28,AP28)-1</f>
        <v>157</v>
      </c>
      <c r="AQ29">
        <f>RANK(AQ28,$B$28:$GQ$28,0)+COUNTIF($B$28:AQ28,AQ28)-1</f>
        <v>158</v>
      </c>
      <c r="AR29">
        <f>RANK(AR28,$B$28:$GQ$28,0)+COUNTIF($B$28:AR28,AR28)-1</f>
        <v>2</v>
      </c>
      <c r="AS29">
        <f>RANK(AS28,$B$28:$GQ$28,0)+COUNTIF($B$28:AS28,AS28)-1</f>
        <v>19</v>
      </c>
      <c r="AT29">
        <f>RANK(AT28,$B$28:$GQ$28,0)+COUNTIF($B$28:AT28,AT28)-1</f>
        <v>11</v>
      </c>
      <c r="AU29">
        <f>RANK(AU28,$B$28:$GQ$28,0)+COUNTIF($B$28:AU28,AU28)-1</f>
        <v>4</v>
      </c>
      <c r="AV29">
        <f>RANK(AV28,$B$28:$GQ$28,0)+COUNTIF($B$28:AV28,AV28)-1</f>
        <v>63</v>
      </c>
      <c r="AW29">
        <f>RANK(AW28,$B$28:$GQ$28,0)+COUNTIF($B$28:AW28,AW28)-1</f>
        <v>3</v>
      </c>
      <c r="AX29">
        <f>RANK(AX28,$B$28:$GQ$28,0)+COUNTIF($B$28:AX28,AX28)-1</f>
        <v>74</v>
      </c>
      <c r="AY29">
        <f>RANK(AY28,$B$28:$GQ$28,0)+COUNTIF($B$28:AY28,AY28)-1</f>
        <v>27</v>
      </c>
      <c r="AZ29">
        <f>RANK(AZ28,$B$28:$GQ$28,0)+COUNTIF($B$28:AZ28,AZ28)-1</f>
        <v>1</v>
      </c>
      <c r="BA29">
        <f>RANK(BA28,$B$28:$GQ$28,0)+COUNTIF($B$28:BA28,BA28)-1</f>
        <v>13</v>
      </c>
      <c r="BB29">
        <f>RANK(BB28,$B$28:$GQ$28,0)+COUNTIF($B$28:BB28,BB28)-1</f>
        <v>17</v>
      </c>
      <c r="BC29">
        <f>RANK(BC28,$B$28:$GQ$28,0)+COUNTIF($B$28:BC28,BC28)-1</f>
        <v>49</v>
      </c>
      <c r="BD29">
        <f>RANK(BD28,$B$28:$GQ$28,0)+COUNTIF($B$28:BD28,BD28)-1</f>
        <v>24</v>
      </c>
      <c r="BE29">
        <f>RANK(BE28,$B$28:$GQ$28,0)+COUNTIF($B$28:BE28,BE28)-1</f>
        <v>21</v>
      </c>
      <c r="BF29">
        <f>RANK(BF28,$B$28:$GQ$28,0)+COUNTIF($B$28:BF28,BF28)-1</f>
        <v>20</v>
      </c>
      <c r="BG29">
        <f>RANK(BG28,$B$28:$GQ$28,0)+COUNTIF($B$28:BG28,BG28)-1</f>
        <v>66</v>
      </c>
      <c r="BH29">
        <f>RANK(BH28,$B$28:$GQ$28,0)+COUNTIF($B$28:BH28,BH28)-1</f>
        <v>92</v>
      </c>
      <c r="BI29">
        <f>RANK(BI28,$B$28:$GQ$28,0)+COUNTIF($B$28:BI28,BI28)-1</f>
        <v>159</v>
      </c>
      <c r="BJ29">
        <f>RANK(BJ28,$B$28:$GQ$28,0)+COUNTIF($B$28:BJ28,BJ28)-1</f>
        <v>160</v>
      </c>
      <c r="BK29">
        <f>RANK(BK28,$B$28:$GQ$28,0)+COUNTIF($B$28:BK28,BK28)-1</f>
        <v>52</v>
      </c>
      <c r="BL29">
        <f>RANK(BL28,$B$28:$GQ$28,0)+COUNTIF($B$28:BL28,BL28)-1</f>
        <v>56</v>
      </c>
      <c r="BM29">
        <f>RANK(BM28,$B$28:$GQ$28,0)+COUNTIF($B$28:BM28,BM28)-1</f>
        <v>129</v>
      </c>
      <c r="BN29">
        <f>RANK(BN28,$B$28:$GQ$28,0)+COUNTIF($B$28:BN28,BN28)-1</f>
        <v>161</v>
      </c>
      <c r="BO29">
        <f>RANK(BO28,$B$28:$GQ$28,0)+COUNTIF($B$28:BO28,BO28)-1</f>
        <v>162</v>
      </c>
      <c r="BP29">
        <f>RANK(BP28,$B$28:$GQ$28,0)+COUNTIF($B$28:BP28,BP28)-1</f>
        <v>37</v>
      </c>
      <c r="BQ29">
        <f>RANK(BQ28,$B$28:$GQ$28,0)+COUNTIF($B$28:BQ28,BQ28)-1</f>
        <v>131</v>
      </c>
      <c r="BR29">
        <f>RANK(BR28,$B$28:$GQ$28,0)+COUNTIF($B$28:BR28,BR28)-1</f>
        <v>163</v>
      </c>
      <c r="BS29">
        <f>RANK(BS28,$B$28:$GQ$28,0)+COUNTIF($B$28:BS28,BS28)-1</f>
        <v>104</v>
      </c>
      <c r="BT29">
        <f>RANK(BT28,$B$28:$GQ$28,0)+COUNTIF($B$28:BT28,BT28)-1</f>
        <v>108</v>
      </c>
      <c r="BU29">
        <f>RANK(BU28,$B$28:$GQ$28,0)+COUNTIF($B$28:BU28,BU28)-1</f>
        <v>42</v>
      </c>
      <c r="BV29">
        <f>RANK(BV28,$B$28:$GQ$28,0)+COUNTIF($B$28:BV28,BV28)-1</f>
        <v>120</v>
      </c>
      <c r="BW29">
        <f>RANK(BW28,$B$28:$GQ$28,0)+COUNTIF($B$28:BW28,BW28)-1</f>
        <v>164</v>
      </c>
      <c r="BX29">
        <f>RANK(BX28,$B$28:$GQ$28,0)+COUNTIF($B$28:BX28,BX28)-1</f>
        <v>79</v>
      </c>
      <c r="BY29">
        <f>RANK(BY28,$B$28:$GQ$28,0)+COUNTIF($B$28:BY28,BY28)-1</f>
        <v>165</v>
      </c>
      <c r="BZ29">
        <f>RANK(BZ28,$B$28:$GQ$28,0)+COUNTIF($B$28:BZ28,BZ28)-1</f>
        <v>166</v>
      </c>
      <c r="CA29">
        <f>RANK(CA28,$B$28:$GQ$28,0)+COUNTIF($B$28:CA28,CA28)-1</f>
        <v>167</v>
      </c>
      <c r="CB29">
        <f>RANK(CB28,$B$28:$GQ$28,0)+COUNTIF($B$28:CB28,CB28)-1</f>
        <v>168</v>
      </c>
      <c r="CC29">
        <f>RANK(CC28,$B$28:$GQ$28,0)+COUNTIF($B$28:CC28,CC28)-1</f>
        <v>169</v>
      </c>
      <c r="CD29">
        <f>RANK(CD28,$B$28:$GQ$28,0)+COUNTIF($B$28:CD28,CD28)-1</f>
        <v>170</v>
      </c>
      <c r="CE29">
        <f>RANK(CE28,$B$28:$GQ$28,0)+COUNTIF($B$28:CE28,CE28)-1</f>
        <v>171</v>
      </c>
      <c r="CF29">
        <f>RANK(CF28,$B$28:$GQ$28,0)+COUNTIF($B$28:CF28,CF28)-1</f>
        <v>172</v>
      </c>
      <c r="CG29">
        <f>RANK(CG28,$B$28:$GQ$28,0)+COUNTIF($B$28:CG28,CG28)-1</f>
        <v>173</v>
      </c>
      <c r="CH29">
        <f>RANK(CH28,$B$28:$GQ$28,0)+COUNTIF($B$28:CH28,CH28)-1</f>
        <v>174</v>
      </c>
      <c r="CI29">
        <f>RANK(CI28,$B$28:$GQ$28,0)+COUNTIF($B$28:CI28,CI28)-1</f>
        <v>22</v>
      </c>
      <c r="CJ29">
        <f>RANK(CJ28,$B$28:$GQ$28,0)+COUNTIF($B$28:CJ28,CJ28)-1</f>
        <v>71</v>
      </c>
      <c r="CK29">
        <f>RANK(CK28,$B$28:$GQ$28,0)+COUNTIF($B$28:CK28,CK28)-1</f>
        <v>114</v>
      </c>
      <c r="CL29">
        <f>RANK(CL28,$B$28:$GQ$28,0)+COUNTIF($B$28:CL28,CL28)-1</f>
        <v>76</v>
      </c>
      <c r="CM29">
        <f>RANK(CM28,$B$28:$GQ$28,0)+COUNTIF($B$28:CM28,CM28)-1</f>
        <v>25</v>
      </c>
      <c r="CN29">
        <f>RANK(CN28,$B$28:$GQ$28,0)+COUNTIF($B$28:CN28,CN28)-1</f>
        <v>175</v>
      </c>
      <c r="CO29">
        <f>RANK(CO28,$B$28:$GQ$28,0)+COUNTIF($B$28:CO28,CO28)-1</f>
        <v>176</v>
      </c>
      <c r="CP29">
        <f>RANK(CP28,$B$28:$GQ$28,0)+COUNTIF($B$28:CP28,CP28)-1</f>
        <v>96</v>
      </c>
      <c r="CQ29">
        <f>RANK(CQ28,$B$28:$GQ$28,0)+COUNTIF($B$28:CQ28,CQ28)-1</f>
        <v>93</v>
      </c>
      <c r="CR29">
        <f>RANK(CR28,$B$28:$GQ$28,0)+COUNTIF($B$28:CR28,CR28)-1</f>
        <v>177</v>
      </c>
      <c r="CS29">
        <f>RANK(CS28,$B$28:$GQ$28,0)+COUNTIF($B$28:CS28,CS28)-1</f>
        <v>178</v>
      </c>
      <c r="CT29">
        <f>RANK(CT28,$B$28:$GQ$28,0)+COUNTIF($B$28:CT28,CT28)-1</f>
        <v>179</v>
      </c>
      <c r="CU29">
        <f>RANK(CU28,$B$28:$GQ$28,0)+COUNTIF($B$28:CU28,CU28)-1</f>
        <v>73</v>
      </c>
      <c r="CV29">
        <f>RANK(CV28,$B$28:$GQ$28,0)+COUNTIF($B$28:CV28,CV28)-1</f>
        <v>121</v>
      </c>
      <c r="CW29">
        <f>RANK(CW28,$B$28:$GQ$28,0)+COUNTIF($B$28:CW28,CW28)-1</f>
        <v>113</v>
      </c>
      <c r="CX29">
        <f>RANK(CX28,$B$28:$GQ$28,0)+COUNTIF($B$28:CX28,CX28)-1</f>
        <v>122</v>
      </c>
      <c r="CY29">
        <f>RANK(CY28,$B$28:$GQ$28,0)+COUNTIF($B$28:CY28,CY28)-1</f>
        <v>75</v>
      </c>
      <c r="CZ29">
        <f>RANK(CZ28,$B$28:$GQ$28,0)+COUNTIF($B$28:CZ28,CZ28)-1</f>
        <v>132</v>
      </c>
      <c r="DA29">
        <f>RANK(DA28,$B$28:$GQ$28,0)+COUNTIF($B$28:DA28,DA28)-1</f>
        <v>133</v>
      </c>
      <c r="DB29">
        <f>RANK(DB28,$B$28:$GQ$28,0)+COUNTIF($B$28:DB28,DB28)-1</f>
        <v>115</v>
      </c>
      <c r="DC29">
        <f>RANK(DC28,$B$28:$GQ$28,0)+COUNTIF($B$28:DC28,DC28)-1</f>
        <v>180</v>
      </c>
      <c r="DD29">
        <f>RANK(DD28,$B$28:$GQ$28,0)+COUNTIF($B$28:DD28,DD28)-1</f>
        <v>124</v>
      </c>
      <c r="DE29">
        <f>RANK(DE28,$B$28:$GQ$28,0)+COUNTIF($B$28:DE28,DE28)-1</f>
        <v>128</v>
      </c>
      <c r="DF29">
        <f>RANK(DF28,$B$28:$GQ$28,0)+COUNTIF($B$28:DF28,DF28)-1</f>
        <v>181</v>
      </c>
      <c r="DG29">
        <f>RANK(DG28,$B$28:$GQ$28,0)+COUNTIF($B$28:DG28,DG28)-1</f>
        <v>182</v>
      </c>
      <c r="DH29">
        <f>RANK(DH28,$B$28:$GQ$28,0)+COUNTIF($B$28:DH28,DH28)-1</f>
        <v>183</v>
      </c>
      <c r="DI29">
        <f>RANK(DI28,$B$28:$GQ$28,0)+COUNTIF($B$28:DI28,DI28)-1</f>
        <v>184</v>
      </c>
      <c r="DJ29">
        <f>RANK(DJ28,$B$28:$GQ$28,0)+COUNTIF($B$28:DJ28,DJ28)-1</f>
        <v>117</v>
      </c>
      <c r="DK29">
        <f>RANK(DK28,$B$28:$GQ$28,0)+COUNTIF($B$28:DK28,DK28)-1</f>
        <v>185</v>
      </c>
      <c r="DL29">
        <f>RANK(DL28,$B$28:$GQ$28,0)+COUNTIF($B$28:DL28,DL28)-1</f>
        <v>130</v>
      </c>
      <c r="DM29">
        <f>RANK(DM28,$B$28:$GQ$28,0)+COUNTIF($B$28:DM28,DM28)-1</f>
        <v>57</v>
      </c>
      <c r="DN29">
        <f>RANK(DN28,$B$28:$GQ$28,0)+COUNTIF($B$28:DN28,DN28)-1</f>
        <v>85</v>
      </c>
      <c r="DO29">
        <f>RANK(DO28,$B$28:$GQ$28,0)+COUNTIF($B$28:DO28,DO28)-1</f>
        <v>54</v>
      </c>
      <c r="DP29">
        <f>RANK(DP28,$B$28:$GQ$28,0)+COUNTIF($B$28:DP28,DP28)-1</f>
        <v>67</v>
      </c>
      <c r="DQ29">
        <f>RANK(DQ28,$B$28:$GQ$28,0)+COUNTIF($B$28:DQ28,DQ28)-1</f>
        <v>60</v>
      </c>
      <c r="DR29">
        <f>RANK(DR28,$B$28:$GQ$28,0)+COUNTIF($B$28:DR28,DR28)-1</f>
        <v>65</v>
      </c>
      <c r="DS29">
        <f>RANK(DS28,$B$28:$GQ$28,0)+COUNTIF($B$28:DS28,DS28)-1</f>
        <v>23</v>
      </c>
      <c r="DT29">
        <f>RANK(DT28,$B$28:$GQ$28,0)+COUNTIF($B$28:DT28,DT28)-1</f>
        <v>64</v>
      </c>
      <c r="DU29">
        <f>RANK(DU28,$B$28:$GQ$28,0)+COUNTIF($B$28:DU28,DU28)-1</f>
        <v>26</v>
      </c>
      <c r="DV29">
        <f>RANK(DV28,$B$28:$GQ$28,0)+COUNTIF($B$28:DV28,DV28)-1</f>
        <v>186</v>
      </c>
      <c r="DW29">
        <f>RANK(DW28,$B$28:$GQ$28,0)+COUNTIF($B$28:DW28,DW28)-1</f>
        <v>187</v>
      </c>
      <c r="DX29">
        <f>RANK(DX28,$B$28:$GQ$28,0)+COUNTIF($B$28:DX28,DX28)-1</f>
        <v>84</v>
      </c>
      <c r="DY29">
        <f>RANK(DY28,$B$28:$GQ$28,0)+COUNTIF($B$28:DY28,DY28)-1</f>
        <v>87</v>
      </c>
      <c r="DZ29">
        <f>RANK(DZ28,$B$28:$GQ$28,0)+COUNTIF($B$28:DZ28,DZ28)-1</f>
        <v>51</v>
      </c>
      <c r="EA29">
        <f>RANK(EA28,$B$28:$GQ$28,0)+COUNTIF($B$28:EA28,EA28)-1</f>
        <v>77</v>
      </c>
      <c r="EB29">
        <f>RANK(EB28,$B$28:$GQ$28,0)+COUNTIF($B$28:EB28,EB28)-1</f>
        <v>101</v>
      </c>
      <c r="EC29">
        <f>RANK(EC28,$B$28:$GQ$28,0)+COUNTIF($B$28:EC28,EC28)-1</f>
        <v>106</v>
      </c>
      <c r="ED29">
        <f>RANK(ED28,$B$28:$GQ$28,0)+COUNTIF($B$28:ED28,ED28)-1</f>
        <v>102</v>
      </c>
      <c r="EE29">
        <f>RANK(EE28,$B$28:$GQ$28,0)+COUNTIF($B$28:EE28,EE28)-1</f>
        <v>116</v>
      </c>
      <c r="EF29">
        <f>RANK(EF28,$B$28:$GQ$28,0)+COUNTIF($B$28:EF28,EF28)-1</f>
        <v>188</v>
      </c>
      <c r="EG29">
        <f>RANK(EG28,$B$28:$GQ$28,0)+COUNTIF($B$28:EG28,EG28)-1</f>
        <v>118</v>
      </c>
      <c r="EH29">
        <f>RANK(EH28,$B$28:$GQ$28,0)+COUNTIF($B$28:EH28,EH28)-1</f>
        <v>189</v>
      </c>
      <c r="EI29">
        <f>RANK(EI28,$B$28:$GQ$28,0)+COUNTIF($B$28:EI28,EI28)-1</f>
        <v>190</v>
      </c>
      <c r="EJ29">
        <f>RANK(EJ28,$B$28:$GQ$28,0)+COUNTIF($B$28:EJ28,EJ28)-1</f>
        <v>78</v>
      </c>
      <c r="EK29">
        <f>RANK(EK28,$B$28:$GQ$28,0)+COUNTIF($B$28:EK28,EK28)-1</f>
        <v>68</v>
      </c>
      <c r="EL29">
        <f>RANK(EL28,$B$28:$GQ$28,0)+COUNTIF($B$28:EL28,EL28)-1</f>
        <v>191</v>
      </c>
      <c r="EM29">
        <f>RANK(EM28,$B$28:$GQ$28,0)+COUNTIF($B$28:EM28,EM28)-1</f>
        <v>192</v>
      </c>
      <c r="EN29">
        <f>RANK(EN28,$B$28:$GQ$28,0)+COUNTIF($B$28:EN28,EN28)-1</f>
        <v>193</v>
      </c>
      <c r="EO29">
        <f>RANK(EO28,$B$28:$GQ$28,0)+COUNTIF($B$28:EO28,EO28)-1</f>
        <v>194</v>
      </c>
      <c r="EP29">
        <f>RANK(EP28,$B$28:$GQ$28,0)+COUNTIF($B$28:EP28,EP28)-1</f>
        <v>195</v>
      </c>
      <c r="EQ29">
        <f>RANK(EQ28,$B$28:$GQ$28,0)+COUNTIF($B$28:EQ28,EQ28)-1</f>
        <v>53</v>
      </c>
      <c r="ER29">
        <f>RANK(ER28,$B$28:$GQ$28,0)+COUNTIF($B$28:ER28,ER28)-1</f>
        <v>61</v>
      </c>
      <c r="ES29">
        <f>RANK(ES28,$B$28:$GQ$28,0)+COUNTIF($B$28:ES28,ES28)-1</f>
        <v>69</v>
      </c>
      <c r="ET29">
        <f>RANK(ET28,$B$28:$GQ$28,0)+COUNTIF($B$28:ET28,ET28)-1</f>
        <v>55</v>
      </c>
      <c r="EU29">
        <f>RANK(EU28,$B$28:$GQ$28,0)+COUNTIF($B$28:EU28,EU28)-1</f>
        <v>196</v>
      </c>
      <c r="EV29">
        <f>RANK(EV28,$B$28:$GQ$28,0)+COUNTIF($B$28:EV28,EV28)-1</f>
        <v>50</v>
      </c>
      <c r="EW29">
        <f>RANK(EW28,$B$28:$GQ$28,0)+COUNTIF($B$28:EW28,EW28)-1</f>
        <v>81</v>
      </c>
      <c r="EX29">
        <f>RANK(EX28,$B$28:$GQ$28,0)+COUNTIF($B$28:EX28,EX28)-1</f>
        <v>62</v>
      </c>
      <c r="EY29">
        <f>RANK(EY28,$B$28:$GQ$28,0)+COUNTIF($B$28:EY28,EY28)-1</f>
        <v>70</v>
      </c>
      <c r="EZ29">
        <f>RANK(EZ28,$B$28:$GQ$28,0)+COUNTIF($B$28:EZ28,EZ28)-1</f>
        <v>5</v>
      </c>
      <c r="FA29">
        <f>RANK(FA28,$B$28:$GQ$28,0)+COUNTIF($B$28:FA28,FA28)-1</f>
        <v>40</v>
      </c>
      <c r="FB29">
        <f>RANK(FB28,$B$28:$GQ$28,0)+COUNTIF($B$28:FB28,FB28)-1</f>
        <v>36</v>
      </c>
      <c r="FC29">
        <f>RANK(FC28,$B$28:$GQ$28,0)+COUNTIF($B$28:FC28,FC28)-1</f>
        <v>82</v>
      </c>
      <c r="FD29">
        <f>RANK(FD28,$B$28:$GQ$28,0)+COUNTIF($B$28:FD28,FD28)-1</f>
        <v>44</v>
      </c>
      <c r="FE29">
        <f>RANK(FE28,$B$28:$GQ$28,0)+COUNTIF($B$28:FE28,FE28)-1</f>
        <v>59</v>
      </c>
      <c r="FF29">
        <f>RANK(FF28,$B$28:$GQ$28,0)+COUNTIF($B$28:FF28,FF28)-1</f>
        <v>28</v>
      </c>
      <c r="FG29">
        <f>RANK(FG28,$B$28:$GQ$28,0)+COUNTIF($B$28:FG28,FG28)-1</f>
        <v>46</v>
      </c>
      <c r="FH29">
        <f>RANK(FH28,$B$28:$GQ$28,0)+COUNTIF($B$28:FH28,FH28)-1</f>
        <v>33</v>
      </c>
      <c r="FI29">
        <f>RANK(FI28,$B$28:$GQ$28,0)+COUNTIF($B$28:FI28,FI28)-1</f>
        <v>48</v>
      </c>
      <c r="FJ29">
        <f>RANK(FJ28,$B$28:$GQ$28,0)+COUNTIF($B$28:FJ28,FJ28)-1</f>
        <v>32</v>
      </c>
      <c r="FK29">
        <f>RANK(FK28,$B$28:$GQ$28,0)+COUNTIF($B$28:FK28,FK28)-1</f>
        <v>197</v>
      </c>
      <c r="FL29">
        <f>RANK(FL28,$B$28:$GQ$28,0)+COUNTIF($B$28:FL28,FL28)-1</f>
        <v>18</v>
      </c>
      <c r="FM29">
        <f>RANK(FM28,$B$28:$GQ$28,0)+COUNTIF($B$28:FM28,FM28)-1</f>
        <v>72</v>
      </c>
      <c r="FN29">
        <f>RANK(FN28,$B$28:$GQ$28,0)+COUNTIF($B$28:FN28,FN28)-1</f>
        <v>110</v>
      </c>
      <c r="FO29">
        <f>RANK(FO28,$B$28:$GQ$28,0)+COUNTIF($B$28:FO28,FO28)-1</f>
        <v>31</v>
      </c>
      <c r="FP29">
        <f>RANK(FP28,$B$28:$GQ$28,0)+COUNTIF($B$28:FP28,FP28)-1</f>
        <v>43</v>
      </c>
      <c r="FQ29">
        <f>RANK(FQ28,$B$28:$GQ$28,0)+COUNTIF($B$28:FQ28,FQ28)-1</f>
        <v>14</v>
      </c>
      <c r="FR29">
        <f>RANK(FR28,$B$28:$GQ$28,0)+COUNTIF($B$28:FR28,FR28)-1</f>
        <v>16</v>
      </c>
      <c r="FS29">
        <f>RANK(FS28,$B$28:$GQ$28,0)+COUNTIF($B$28:FS28,FS28)-1</f>
        <v>9</v>
      </c>
      <c r="FT29">
        <f>RANK(FT28,$B$28:$GQ$28,0)+COUNTIF($B$28:FT28,FT28)-1</f>
        <v>91</v>
      </c>
      <c r="FU29">
        <f>RANK(FU28,$B$28:$GQ$28,0)+COUNTIF($B$28:FU28,FU28)-1</f>
        <v>89</v>
      </c>
      <c r="FV29">
        <f>RANK(FV28,$B$28:$GQ$28,0)+COUNTIF($B$28:FV28,FV28)-1</f>
        <v>98</v>
      </c>
      <c r="FW29">
        <f>RANK(FW28,$B$28:$GQ$28,0)+COUNTIF($B$28:FW28,FW28)-1</f>
        <v>86</v>
      </c>
      <c r="FX29">
        <f>RANK(FX28,$B$28:$GQ$28,0)+COUNTIF($B$28:FX28,FX28)-1</f>
        <v>107</v>
      </c>
      <c r="FY29">
        <f>RANK(FY28,$B$28:$GQ$28,0)+COUNTIF($B$28:FY28,FY28)-1</f>
        <v>103</v>
      </c>
      <c r="FZ29">
        <f>RANK(FZ28,$B$28:$GQ$28,0)+COUNTIF($B$28:FZ28,FZ28)-1</f>
        <v>88</v>
      </c>
      <c r="GA29">
        <f>RANK(GA28,$B$28:$GQ$28,0)+COUNTIF($B$28:GA28,GA28)-1</f>
        <v>111</v>
      </c>
      <c r="GB29">
        <f>RANK(GB28,$B$28:$GQ$28,0)+COUNTIF($B$28:GB28,GB28)-1</f>
        <v>125</v>
      </c>
      <c r="GC29">
        <f>RANK(GC28,$B$28:$GQ$28,0)+COUNTIF($B$28:GC28,GC28)-1</f>
        <v>90</v>
      </c>
      <c r="GD29">
        <f>RANK(GD28,$B$28:$GQ$28,0)+COUNTIF($B$28:GD28,GD28)-1</f>
        <v>97</v>
      </c>
      <c r="GE29">
        <f>RANK(GE28,$B$28:$GQ$28,0)+COUNTIF($B$28:GE28,GE28)-1</f>
        <v>119</v>
      </c>
      <c r="GF29">
        <f>RANK(GF28,$B$28:$GQ$28,0)+COUNTIF($B$28:GF28,GF28)-1</f>
        <v>100</v>
      </c>
      <c r="GG29">
        <f>RANK(GG28,$B$28:$GQ$28,0)+COUNTIF($B$28:GG28,GG28)-1</f>
        <v>94</v>
      </c>
      <c r="GH29">
        <f>RANK(GH28,$B$28:$GQ$28,0)+COUNTIF($B$28:GH28,GH28)-1</f>
        <v>95</v>
      </c>
      <c r="GI29">
        <f>RANK(GI28,$B$28:$GQ$28,0)+COUNTIF($B$28:GI28,GI28)-1</f>
        <v>99</v>
      </c>
      <c r="GJ29">
        <f>RANK(GJ28,$B$28:$GQ$28,0)+COUNTIF($B$28:GJ28,GJ28)-1</f>
        <v>109</v>
      </c>
      <c r="GK29">
        <f>RANK(GK28,$B$28:$GQ$28,0)+COUNTIF($B$28:GK28,GK28)-1</f>
        <v>80</v>
      </c>
      <c r="GL29">
        <f>RANK(GL28,$B$28:$GQ$28,0)+COUNTIF($B$28:GL28,GL28)-1</f>
        <v>112</v>
      </c>
      <c r="GM29">
        <f>RANK(GM28,$B$28:$GQ$28,0)+COUNTIF($B$28:GM28,GM28)-1</f>
        <v>105</v>
      </c>
      <c r="GN29">
        <f>RANK(GN28,$B$28:$GQ$28,0)+COUNTIF($B$28:GN28,GN28)-1</f>
        <v>34</v>
      </c>
      <c r="GO29">
        <f>RANK(GO28,$B$28:$GQ$28,0)+COUNTIF($B$28:GO28,GO28)-1</f>
        <v>15</v>
      </c>
      <c r="GP29">
        <f>RANK(GP28,$B$28:$GQ$28,0)+COUNTIF($B$28:GP28,GP28)-1</f>
        <v>39</v>
      </c>
      <c r="GQ29">
        <f>RANK(GQ28,$B$28:$GQ$28,0)+COUNTIF($B$28:GQ28,GQ28)-1</f>
        <v>198</v>
      </c>
    </row>
    <row r="30" spans="1:211" x14ac:dyDescent="0.45">
      <c r="A30" s="1" t="s">
        <v>223</v>
      </c>
      <c r="GR30">
        <f>RANK(GR28,$GR$28:$HC$28,0)+COUNTIF($GR$28:GR28,GR28)-1</f>
        <v>8</v>
      </c>
      <c r="GS30">
        <f>RANK(GS28,$GR$28:$HC$28,0)+COUNTIF($GR$28:GS28,GS28)-1</f>
        <v>4</v>
      </c>
      <c r="GT30">
        <f>RANK(GT28,$GR$28:$HC$28,0)+COUNTIF($GR$28:GT28,GT28)-1</f>
        <v>2</v>
      </c>
      <c r="GU30">
        <f>RANK(GU28,$GR$28:$HC$28,0)+COUNTIF($GR$28:GU28,GU28)-1</f>
        <v>5</v>
      </c>
      <c r="GV30">
        <f>RANK(GV28,$GR$28:$HC$28,0)+COUNTIF($GR$28:GV28,GV28)-1</f>
        <v>6</v>
      </c>
      <c r="GW30">
        <f>RANK(GW28,$GR$28:$HC$28,0)+COUNTIF($GR$28:GW28,GW28)-1</f>
        <v>1</v>
      </c>
      <c r="GX30">
        <f>RANK(GX28,$GR$28:$HC$28,0)+COUNTIF($GR$28:GX28,GX28)-1</f>
        <v>9</v>
      </c>
      <c r="GY30">
        <f>RANK(GY28,$GR$28:$HC$28,0)+COUNTIF($GR$28:GY28,GY28)-1</f>
        <v>11</v>
      </c>
      <c r="GZ30">
        <f>RANK(GZ28,$GR$28:$HC$28,0)+COUNTIF($GR$28:GZ28,GZ28)-1</f>
        <v>10</v>
      </c>
      <c r="HA30">
        <f>RANK(HA28,$GR$28:$HC$28,0)+COUNTIF($GR$28:HA28,HA28)-1</f>
        <v>12</v>
      </c>
      <c r="HB30">
        <f>RANK(HB28,$GR$28:$HC$28,0)+COUNTIF($GR$28:HB28,HB28)-1</f>
        <v>7</v>
      </c>
      <c r="HC30">
        <f>RANK(HC28,$GR$28:$HC$28,0)+COUNTIF($GR$28:HC28,HC28)-1</f>
        <v>3</v>
      </c>
    </row>
  </sheetData>
  <dataValidations count="1">
    <dataValidation type="list" sqref="B1" xr:uid="{00000000-0002-0000-0000-000000000000}">
      <formula1>$A$18:$A$27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46" customWidth="1"/>
  </cols>
  <sheetData>
    <row r="1" spans="1:211" x14ac:dyDescent="0.45">
      <c r="A1" s="1" t="s">
        <v>0</v>
      </c>
      <c r="B1" s="2" t="s">
        <v>1</v>
      </c>
    </row>
    <row r="3" spans="1:211" x14ac:dyDescent="0.45">
      <c r="A3" s="1" t="s">
        <v>224</v>
      </c>
      <c r="B3" s="1" t="str">
        <f>INDEX($B$17:$GQ$17,MATCH(1,$B$29:$GQ$29,0))</f>
        <v>Products of meat cattle</v>
      </c>
      <c r="C3" s="1" t="str">
        <f>INDEX($B$17:$GQ$17,MATCH(2,$B$29:$GQ$29,0))</f>
        <v>Food products nec</v>
      </c>
      <c r="D3" s="1" t="str">
        <f>INDEX($B$17:$GQ$17,MATCH(3,$B$29:$GQ$29,0))</f>
        <v>Leather and leather products (19)</v>
      </c>
      <c r="E3" s="1" t="str">
        <f>INDEX($B$17:$GQ$17,MATCH(4,$B$29:$GQ$29,0))</f>
        <v>Dairy products</v>
      </c>
      <c r="F3" s="1" t="str">
        <f>INDEX($B$17:$GQ$17,MATCH(5,$B$29:$GQ$29,0))</f>
        <v>Hotel and restaurant services (55)</v>
      </c>
      <c r="G3" s="1" t="str">
        <f>INDEX($B$17:$GQ$17,MATCH(6,$B$29:$GQ$29,0))</f>
        <v>Meat products nec</v>
      </c>
      <c r="H3" s="1" t="str">
        <f>INDEX($B$17:$GQ$17,MATCH(7,$B$29:$GQ$29,0))</f>
        <v>Health and social work services (85)</v>
      </c>
      <c r="I3" s="1" t="str">
        <f>INDEX($B$17:$GQ$17,MATCH(8,$B$29:$GQ$29,0))</f>
        <v>Vegetables, fruit, nuts</v>
      </c>
      <c r="J3" s="1" t="str">
        <f>INDEX($B$17:$GQ$17,MATCH(9,$B$29:$GQ$29,0))</f>
        <v>Meat animals nec</v>
      </c>
      <c r="K3" s="1" t="str">
        <f>INDEX($B$17:$GQ$17,MATCH(10,$B$29:$GQ$29,0))</f>
        <v>Public administration and defence services; compulsory social security services (75)</v>
      </c>
      <c r="L3" s="1" t="str">
        <f>INDEX($B$17:$GQ$17,MATCH(11,$B$29:$GQ$29,0))</f>
        <v>Wearing apparel; furs (18)</v>
      </c>
      <c r="M3" s="1" t="str">
        <f>INDEX($B$17:$GQ$17,MATCH(12,$B$29:$GQ$29,0))</f>
        <v>Real estate services (70)</v>
      </c>
      <c r="N3" s="1" t="str">
        <f>INDEX($B$17:$GQ$17,MATCH(13,$B$29:$GQ$29,0))</f>
        <v>Recreational, cultural and sporting services (92)</v>
      </c>
      <c r="O3" s="1" t="str">
        <f>INDEX($B$17:$GQ$17,MATCH(14,$B$29:$GQ$29,0))</f>
        <v>Education services (80)</v>
      </c>
      <c r="P3" s="1" t="str">
        <f>INDEX($B$17:$GQ$17,MATCH(15,$B$29:$GQ$29,0))</f>
        <v>Motor vehicles, trailers and semi-trailers (34)</v>
      </c>
      <c r="Q3" s="1" t="str">
        <f>INDEX($B$17:$GQ$17,MATCH(16,$B$29:$GQ$29,0))</f>
        <v>Plastics, basic</v>
      </c>
      <c r="R3" s="1" t="str">
        <f>INDEX($B$17:$GQ$17,MATCH(17,$B$29:$GQ$29,0))</f>
        <v>Textiles (17)</v>
      </c>
      <c r="S3" s="1" t="str">
        <f>INDEX($B$17:$GQ$17,MATCH(18,$B$29:$GQ$29,0))</f>
        <v>Beverages</v>
      </c>
      <c r="T3" s="1" t="str">
        <f>INDEX($B$17:$GQ$17,MATCH(19,$B$29:$GQ$29,0))</f>
        <v>Products of meat poultry</v>
      </c>
      <c r="U3" s="1" t="str">
        <f>INDEX($B$17:$GQ$17,MATCH(20,$B$29:$GQ$29,0))</f>
        <v>Fish products</v>
      </c>
      <c r="V3" s="1" t="str">
        <f>INDEX($B$17:$GQ$17,MATCH(21,$B$29:$GQ$29,0))</f>
        <v>Chemicals nec</v>
      </c>
      <c r="W3" s="1" t="str">
        <f>INDEX($B$17:$GQ$17,MATCH(22,$B$29:$GQ$29,0))</f>
        <v>Plant-based fibers</v>
      </c>
      <c r="X3" s="1" t="str">
        <f>INDEX($B$17:$GQ$17,MATCH(23,$B$29:$GQ$29,0))</f>
        <v>Furniture; other manufactured goods n.e.c. (36)</v>
      </c>
      <c r="Y3" s="1" t="str">
        <f>INDEX($B$17:$GQ$17,MATCH(24,$B$29:$GQ$29,0))</f>
        <v>Air transport services (62)</v>
      </c>
      <c r="Z3" s="1" t="str">
        <f>INDEX($B$17:$GQ$17,MATCH(25,$B$29:$GQ$29,0))</f>
        <v>Poultry</v>
      </c>
      <c r="AA3" s="1" t="str">
        <f>INDEX($B$17:$GQ$17,MATCH(26,$B$29:$GQ$29,0))</f>
        <v>Animal products nec</v>
      </c>
      <c r="AB3" s="1" t="str">
        <f>INDEX($B$17:$GQ$17,MATCH(27,$B$29:$GQ$29,0))</f>
        <v>Oil seeds</v>
      </c>
      <c r="AC3" s="1" t="str">
        <f>INDEX($B$17:$GQ$17,MATCH(28,$B$29:$GQ$29,0))</f>
        <v>Research and development services (73)</v>
      </c>
      <c r="AD3" s="1" t="str">
        <f>INDEX($B$17:$GQ$17,MATCH(29,$B$29:$GQ$29,0))</f>
        <v>Insurance and pension funding services, except compulsory social security services (66)</v>
      </c>
      <c r="AE3" s="1" t="str">
        <f>INDEX($B$17:$GQ$17,MATCH(30,$B$29:$GQ$29,0))</f>
        <v>Membership organisation services n.e.c. (91)</v>
      </c>
      <c r="AF3" s="1" t="str">
        <f>INDEX($B$17:$GQ$17,MATCH(31,$B$29:$GQ$29,0))</f>
        <v>Post and telecommunication services (64)</v>
      </c>
      <c r="AG3" s="1" t="str">
        <f>INDEX($B$17:$GQ$17,MATCH(32,$B$29:$GQ$29,0))</f>
        <v>Other land transportation services</v>
      </c>
      <c r="AH3" s="1" t="str">
        <f>INDEX($B$17:$GQ$17,MATCH(33,$B$29:$GQ$29,0))</f>
        <v>Motor Gasoline</v>
      </c>
      <c r="AI3" s="1" t="str">
        <f>INDEX($B$17:$GQ$17,MATCH(34,$B$29:$GQ$29,0))</f>
        <v>Wheat</v>
      </c>
      <c r="AJ3" s="1" t="str">
        <f>INDEX($B$17:$GQ$17,MATCH(35,$B$29:$GQ$29,0))</f>
        <v>Products of meat pigs</v>
      </c>
      <c r="AK3" s="1" t="str">
        <f>INDEX($B$17:$GQ$17,MATCH(36,$B$29:$GQ$29,0))</f>
        <v>Sea and coastal water transportation services</v>
      </c>
      <c r="AL3" s="1" t="str">
        <f>INDEX($B$17:$GQ$17,MATCH(37,$B$29:$GQ$29,0))</f>
        <v>Other services (93)</v>
      </c>
      <c r="AM3" s="1" t="str">
        <f>INDEX($B$17:$GQ$17,MATCH(38,$B$29:$GQ$29,0))</f>
        <v>Gas/Diesel Oil</v>
      </c>
      <c r="AN3" s="1" t="str">
        <f>INDEX($B$17:$GQ$17,MATCH(39,$B$29:$GQ$29,0))</f>
        <v>Railway transportation services</v>
      </c>
      <c r="AO3" s="1" t="str">
        <f>INDEX($B$17:$GQ$17,MATCH(40,$B$29:$GQ$29,0))</f>
        <v>Raw milk</v>
      </c>
      <c r="AP3" s="1" t="str">
        <f>INDEX($B$17:$GQ$17,MATCH(41,$B$29:$GQ$29,0))</f>
        <v>Other business services (74)</v>
      </c>
      <c r="AQ3" s="1" t="str">
        <f>INDEX($B$17:$GQ$17,MATCH(42,$B$29:$GQ$29,0))</f>
        <v>Supporting and auxiliary transport services; travel agency services (63)</v>
      </c>
      <c r="AR3" s="1" t="str">
        <f>INDEX($B$17:$GQ$17,MATCH(43,$B$29:$GQ$29,0))</f>
        <v>Paddy rice</v>
      </c>
      <c r="AS3" s="1" t="str">
        <f>INDEX($B$17:$GQ$17,MATCH(44,$B$29:$GQ$29,0))</f>
        <v>Financial intermediation services, except insurance and pension funding services (65)</v>
      </c>
      <c r="AT3" s="1" t="str">
        <f>INDEX($B$17:$GQ$17,MATCH(45,$B$29:$GQ$29,0))</f>
        <v>Sale, maintenance, repair of motor vehicles, motor vehicles parts, motorcycles, motor cycles parts and accessoiries</v>
      </c>
      <c r="AU3" s="1" t="str">
        <f>INDEX($B$17:$GQ$17,MATCH(46,$B$29:$GQ$29,0))</f>
        <v>Fish and other fishing products; services incidental of fishing (05)</v>
      </c>
      <c r="AV3" s="1" t="str">
        <f>INDEX($B$17:$GQ$17,MATCH(47,$B$29:$GQ$29,0))</f>
        <v>Office machinery and computers (30)</v>
      </c>
      <c r="AW3" s="1" t="str">
        <f>INDEX($B$17:$GQ$17,MATCH(48,$B$29:$GQ$29,0))</f>
        <v>Distribution services of gaseous fuels through mains</v>
      </c>
      <c r="AX3" s="1" t="str">
        <f>INDEX($B$17:$GQ$17,MATCH(49,$B$29:$GQ$29,0))</f>
        <v>Electricity by nuclear</v>
      </c>
      <c r="AY3" s="1" t="str">
        <f>INDEX($B$17:$GQ$17,MATCH(50,$B$29:$GQ$29,0))</f>
        <v>Crops nec</v>
      </c>
      <c r="AZ3" s="1" t="str">
        <f>INDEX($B$17:$GQ$17,MATCH(51,$B$29:$GQ$29,0))</f>
        <v>Paper and paper products</v>
      </c>
      <c r="BA3" s="1" t="str">
        <f>INDEX($B$17:$GQ$17,MATCH(52,$B$29:$GQ$29,0))</f>
        <v>Cereal grains nec</v>
      </c>
      <c r="BB3" s="1" t="str">
        <f>INDEX($B$17:$GQ$17,MATCH(53,$B$29:$GQ$29,0))</f>
        <v>Construction work (45)</v>
      </c>
      <c r="BC3" s="1" t="str">
        <f>INDEX($B$17:$GQ$17,MATCH(54,$B$29:$GQ$29,0))</f>
        <v>Printed matter and recorded media (22)</v>
      </c>
      <c r="BD3" s="1" t="str">
        <f>INDEX($B$17:$GQ$17,MATCH(55,$B$29:$GQ$29,0))</f>
        <v>Radio, television and communication equipment and apparatus (32)</v>
      </c>
      <c r="BE3" s="1" t="str">
        <f>INDEX($B$17:$GQ$17,MATCH(56,$B$29:$GQ$29,0))</f>
        <v>Tobacco products (16)</v>
      </c>
      <c r="BF3" s="1" t="str">
        <f>INDEX($B$17:$GQ$17,MATCH(57,$B$29:$GQ$29,0))</f>
        <v>Fabricated metal products, except machinery and equipment (28)</v>
      </c>
      <c r="BG3" s="1" t="str">
        <f>INDEX($B$17:$GQ$17,MATCH(58,$B$29:$GQ$29,0))</f>
        <v>products of Vegetable oils and fats</v>
      </c>
      <c r="BH3" s="1" t="str">
        <f>INDEX($B$17:$GQ$17,MATCH(59,$B$29:$GQ$29,0))</f>
        <v>Inland water transportation services</v>
      </c>
      <c r="BI3" s="1" t="str">
        <f>INDEX($B$17:$GQ$17,MATCH(60,$B$29:$GQ$29,0))</f>
        <v>Steam and hot water supply services</v>
      </c>
      <c r="BJ3" s="1" t="str">
        <f>INDEX($B$17:$GQ$17,MATCH(61,$B$29:$GQ$29,0))</f>
        <v>Medical, precision and optical instruments, watches and clocks (33)</v>
      </c>
      <c r="BK3" s="1" t="str">
        <f>INDEX($B$17:$GQ$17,MATCH(62,$B$29:$GQ$29,0))</f>
        <v>Electrical machinery and apparatus n.e.c. (31)</v>
      </c>
      <c r="BL3" s="1" t="str">
        <f>INDEX($B$17:$GQ$17,MATCH(63,$B$29:$GQ$29,0))</f>
        <v>Other transport equipment (35)</v>
      </c>
      <c r="BM3" s="1" t="str">
        <f>INDEX($B$17:$GQ$17,MATCH(64,$B$29:$GQ$29,0))</f>
        <v>Wholesale trade and commission trade services, except of motor vehicles and motorcycles (51)</v>
      </c>
      <c r="BN3" s="1" t="str">
        <f>INDEX($B$17:$GQ$17,MATCH(65,$B$29:$GQ$29,0))</f>
        <v>Wood and products of wood and cork (except furniture); articles of straw and plaiting materials (20)</v>
      </c>
      <c r="BO3" s="1" t="str">
        <f>INDEX($B$17:$GQ$17,MATCH(66,$B$29:$GQ$29,0))</f>
        <v>Products of forestry, logging and related services (02)</v>
      </c>
      <c r="BP3" s="1" t="str">
        <f>INDEX($B$17:$GQ$17,MATCH(67,$B$29:$GQ$29,0))</f>
        <v>Distribution and trade services of electricity</v>
      </c>
      <c r="BQ3" s="1" t="str">
        <f>INDEX($B$17:$GQ$17,MATCH(68,$B$29:$GQ$29,0))</f>
        <v>Sugar</v>
      </c>
      <c r="BR3" s="1" t="str">
        <f>INDEX($B$17:$GQ$17,MATCH(69,$B$29:$GQ$29,0))</f>
        <v>Retail  trade services, except of motor vehicles and motorcycles; repair services of personal and household goods (52)</v>
      </c>
      <c r="BS3" s="1" t="str">
        <f>INDEX($B$17:$GQ$17,MATCH(70,$B$29:$GQ$29,0))</f>
        <v>Collected and purified water, distribution services of water (41)</v>
      </c>
      <c r="BT3" s="1" t="str">
        <f>INDEX($B$17:$GQ$17,MATCH(71,$B$29:$GQ$29,0))</f>
        <v>Ceramic goods</v>
      </c>
      <c r="BU3" s="1" t="str">
        <f>INDEX($B$17:$GQ$17,MATCH(72,$B$29:$GQ$29,0))</f>
        <v>Other non-metallic mineral products</v>
      </c>
      <c r="BV3" s="1" t="str">
        <f>INDEX($B$17:$GQ$17,MATCH(73,$B$29:$GQ$29,0))</f>
        <v>Processed rice</v>
      </c>
      <c r="BW3" s="1" t="str">
        <f>INDEX($B$17:$GQ$17,MATCH(74,$B$29:$GQ$29,0))</f>
        <v>Secondary plastic for treatment, Re-processing of secondary plastic into new plastic</v>
      </c>
      <c r="BX3" s="1" t="str">
        <f>INDEX($B$17:$GQ$17,MATCH(75,$B$29:$GQ$29,0))</f>
        <v>Renting services of machinery and equipment without operator and of personal and household goods (71)</v>
      </c>
      <c r="BY3" s="1" t="str">
        <f>INDEX($B$17:$GQ$17,MATCH(76,$B$29:$GQ$29,0))</f>
        <v>P- and other fertiliser</v>
      </c>
      <c r="BZ3" s="1" t="str">
        <f>INDEX($B$17:$GQ$17,MATCH(77,$B$29:$GQ$29,0))</f>
        <v>Electricity by hydro</v>
      </c>
      <c r="CA3" s="1" t="str">
        <f>INDEX($B$17:$GQ$17,MATCH(78,$B$29:$GQ$29,0))</f>
        <v>Transmission services of electricity</v>
      </c>
      <c r="CB3" s="1" t="str">
        <f>INDEX($B$17:$GQ$17,MATCH(79,$B$29:$GQ$29,0))</f>
        <v>Liquefied Petroleum Gases (LPG)</v>
      </c>
      <c r="CC3" s="1" t="str">
        <f>INDEX($B$17:$GQ$17,MATCH(80,$B$29:$GQ$29,0))</f>
        <v>Transportation services via pipelines</v>
      </c>
      <c r="CD3" s="1" t="str">
        <f>INDEX($B$17:$GQ$17,MATCH(81,$B$29:$GQ$29,0))</f>
        <v>Inert/metal/hazardous waste for treatment: landfill</v>
      </c>
      <c r="CE3" s="1" t="str">
        <f>INDEX($B$17:$GQ$17,MATCH(82,$B$29:$GQ$29,0))</f>
        <v>Natural gas and services related to natural gas extraction, excluding surveying</v>
      </c>
      <c r="CF3" s="1" t="str">
        <f>INDEX($B$17:$GQ$17,MATCH(83,$B$29:$GQ$29,0))</f>
        <v>Electricity by coal</v>
      </c>
      <c r="CG3" s="1" t="str">
        <f>INDEX($B$17:$GQ$17,MATCH(84,$B$29:$GQ$29,0))</f>
        <v>Retail trade services of motor fuel</v>
      </c>
      <c r="CH3" s="1" t="str">
        <f>INDEX($B$17:$GQ$17,MATCH(85,$B$29:$GQ$29,0))</f>
        <v>Machinery and equipment n.e.c. (29)</v>
      </c>
      <c r="CI3" s="1" t="str">
        <f>INDEX($B$17:$GQ$17,MATCH(86,$B$29:$GQ$29,0))</f>
        <v>Intert/metal waste for treatment: incineration</v>
      </c>
      <c r="CJ3" s="1" t="str">
        <f>INDEX($B$17:$GQ$17,MATCH(87,$B$29:$GQ$29,0))</f>
        <v>Oil/hazardous waste for treatment: incineration</v>
      </c>
      <c r="CK3" s="1" t="str">
        <f>INDEX($B$17:$GQ$17,MATCH(88,$B$29:$GQ$29,0))</f>
        <v>Electricity by gas</v>
      </c>
      <c r="CL3" s="1" t="str">
        <f>INDEX($B$17:$GQ$17,MATCH(89,$B$29:$GQ$29,0))</f>
        <v>Sewage sludge for treatment: biogasification and land application</v>
      </c>
      <c r="CM3" s="1" t="str">
        <f>INDEX($B$17:$GQ$17,MATCH(90,$B$29:$GQ$29,0))</f>
        <v>Paper waste for treatment: incineration</v>
      </c>
      <c r="CN3" s="1" t="str">
        <f>INDEX($B$17:$GQ$17,MATCH(91,$B$29:$GQ$29,0))</f>
        <v>Food waste for treatment: incineration</v>
      </c>
      <c r="CO3" s="1" t="str">
        <f>INDEX($B$17:$GQ$17,MATCH(92,$B$29:$GQ$29,0))</f>
        <v>Wood material for treatment, Re-processing of secondary wood material into new wood material</v>
      </c>
      <c r="CP3" s="1" t="str">
        <f>INDEX($B$17:$GQ$17,MATCH(93,$B$29:$GQ$29,0))</f>
        <v>Other waste for treatment: waste water treatment</v>
      </c>
      <c r="CQ3" s="1" t="str">
        <f>INDEX($B$17:$GQ$17,MATCH(94,$B$29:$GQ$29,0))</f>
        <v>Food waste for treatment: landfill</v>
      </c>
      <c r="CR3" s="1" t="str">
        <f>INDEX($B$17:$GQ$17,MATCH(95,$B$29:$GQ$29,0))</f>
        <v>Biodiesels</v>
      </c>
      <c r="CS3" s="1" t="str">
        <f>INDEX($B$17:$GQ$17,MATCH(96,$B$29:$GQ$29,0))</f>
        <v>Food waste for treatment: composting and land application</v>
      </c>
      <c r="CT3" s="1" t="str">
        <f>INDEX($B$17:$GQ$17,MATCH(97,$B$29:$GQ$29,0))</f>
        <v>Biogasoline</v>
      </c>
      <c r="CU3" s="1" t="str">
        <f>INDEX($B$17:$GQ$17,MATCH(98,$B$29:$GQ$29,0))</f>
        <v>Paper for treatment: landfill</v>
      </c>
      <c r="CV3" s="1" t="str">
        <f>INDEX($B$17:$GQ$17,MATCH(99,$B$29:$GQ$29,0))</f>
        <v>Plastic waste for treatment: incineration</v>
      </c>
      <c r="CW3" s="1" t="str">
        <f>INDEX($B$17:$GQ$17,MATCH(100,$B$29:$GQ$29,0))</f>
        <v>Food waste for treatment: waste water treatment</v>
      </c>
      <c r="CX3" s="1" t="str">
        <f>INDEX($B$17:$GQ$17,MATCH(101,$B$29:$GQ$29,0))</f>
        <v>Electricity by wind</v>
      </c>
      <c r="CY3" s="1" t="str">
        <f>INDEX($B$17:$GQ$17,MATCH(102,$B$29:$GQ$29,0))</f>
        <v>Electricity by biomass and waste</v>
      </c>
      <c r="CZ3" s="1" t="str">
        <f>INDEX($B$17:$GQ$17,MATCH(103,$B$29:$GQ$29,0))</f>
        <v>Kerosene Type Jet Fuel</v>
      </c>
      <c r="DA3" s="1" t="str">
        <f>INDEX($B$17:$GQ$17,MATCH(104,$B$29:$GQ$29,0))</f>
        <v>Wood waste for treatment: incineration</v>
      </c>
      <c r="DB3" s="1" t="str">
        <f>INDEX($B$17:$GQ$17,MATCH(105,$B$29:$GQ$29,0))</f>
        <v>Wood waste for treatment: landfill</v>
      </c>
      <c r="DC3" s="1" t="str">
        <f>INDEX($B$17:$GQ$17,MATCH(106,$B$29:$GQ$29,0))</f>
        <v>Electricity by petroleum and other oil derivatives</v>
      </c>
      <c r="DD3" s="1" t="str">
        <f>INDEX($B$17:$GQ$17,MATCH(107,$B$29:$GQ$29,0))</f>
        <v>Kerosene</v>
      </c>
      <c r="DE3" s="1" t="str">
        <f>INDEX($B$17:$GQ$17,MATCH(108,$B$29:$GQ$29,0))</f>
        <v>Textiles waste for treatment: incineration</v>
      </c>
      <c r="DF3" s="1" t="str">
        <f>INDEX($B$17:$GQ$17,MATCH(109,$B$29:$GQ$29,0))</f>
        <v>Plastic waste for treatment: landfill</v>
      </c>
      <c r="DG3" s="1" t="str">
        <f>INDEX($B$17:$GQ$17,MATCH(110,$B$29:$GQ$29,0))</f>
        <v>Computer and related services (72)</v>
      </c>
      <c r="DH3" s="1" t="str">
        <f>INDEX($B$17:$GQ$17,MATCH(111,$B$29:$GQ$29,0))</f>
        <v>N-fertiliser</v>
      </c>
      <c r="DI3" s="1" t="str">
        <f>INDEX($B$17:$GQ$17,MATCH(112,$B$29:$GQ$29,0))</f>
        <v>Food waste for treatment: biogasification and land application</v>
      </c>
      <c r="DJ3" s="1" t="str">
        <f>INDEX($B$17:$GQ$17,MATCH(113,$B$29:$GQ$29,0))</f>
        <v>Textiles waste for treatment: landfill</v>
      </c>
      <c r="DK3" s="1" t="str">
        <f>INDEX($B$17:$GQ$17,MATCH(114,$B$29:$GQ$29,0))</f>
        <v>Cement, lime and plaster</v>
      </c>
      <c r="DL3" s="1" t="str">
        <f>INDEX($B$17:$GQ$17,MATCH(115,$B$29:$GQ$29,0))</f>
        <v>Precious metals</v>
      </c>
      <c r="DM3" s="1" t="str">
        <f>INDEX($B$17:$GQ$17,MATCH(116,$B$29:$GQ$29,0))</f>
        <v>Other non-ferrous metal products</v>
      </c>
      <c r="DN3" s="1" t="str">
        <f>INDEX($B$17:$GQ$17,MATCH(117,$B$29:$GQ$29,0))</f>
        <v>Electricity by solar photovoltaic</v>
      </c>
      <c r="DO3" s="1" t="str">
        <f>INDEX($B$17:$GQ$17,MATCH(118,$B$29:$GQ$29,0))</f>
        <v>Electricity by tide, wave, ocean</v>
      </c>
      <c r="DP3" s="1" t="str">
        <f>INDEX($B$17:$GQ$17,MATCH(119,$B$29:$GQ$29,0))</f>
        <v>Paper and wood waste for treatment: composting and land application</v>
      </c>
      <c r="DQ3" s="1" t="str">
        <f>INDEX($B$17:$GQ$17,MATCH(120,$B$29:$GQ$29,0))</f>
        <v>Heavy Fuel Oil</v>
      </c>
      <c r="DR3" s="1" t="str">
        <f>INDEX($B$17:$GQ$17,MATCH(121,$B$29:$GQ$29,0))</f>
        <v>Ash for treatment, Re-processing of ash into clinker</v>
      </c>
      <c r="DS3" s="1" t="str">
        <f>INDEX($B$17:$GQ$17,MATCH(122,$B$29:$GQ$29,0))</f>
        <v>Other Bituminous Coal</v>
      </c>
      <c r="DT3" s="1" t="str">
        <f>INDEX($B$17:$GQ$17,MATCH(123,$B$29:$GQ$29,0))</f>
        <v>Bricks, tiles and construction products, in baked clay</v>
      </c>
      <c r="DU3" s="1" t="str">
        <f>INDEX($B$17:$GQ$17,MATCH(124,$B$29:$GQ$29,0))</f>
        <v>Aluminium and aluminium products</v>
      </c>
      <c r="DV3" s="1" t="str">
        <f>INDEX($B$17:$GQ$17,MATCH(125,$B$29:$GQ$29,0))</f>
        <v>Paper waste for treatment: biogasification and land application</v>
      </c>
      <c r="DW3" s="1" t="str">
        <f>INDEX($B$17:$GQ$17,MATCH(126,$B$29:$GQ$29,0))</f>
        <v>Patent Fuel</v>
      </c>
      <c r="DX3" s="1" t="str">
        <f>INDEX($B$17:$GQ$17,MATCH(127,$B$29:$GQ$29,0))</f>
        <v>Anthracite</v>
      </c>
      <c r="DY3" s="1" t="str">
        <f>INDEX($B$17:$GQ$17,MATCH(128,$B$29:$GQ$29,0))</f>
        <v>Secondary aluminium for treatment, Re-processing of secondary aluminium into new aluminium</v>
      </c>
      <c r="DZ3" s="1" t="str">
        <f>INDEX($B$17:$GQ$17,MATCH(129,$B$29:$GQ$29,0))</f>
        <v>Coke Oven Coke</v>
      </c>
      <c r="EA3" s="1" t="str">
        <f>INDEX($B$17:$GQ$17,MATCH(130,$B$29:$GQ$29,0))</f>
        <v>Foundry work services</v>
      </c>
      <c r="EB3" s="1" t="str">
        <f>INDEX($B$17:$GQ$17,MATCH(131,$B$29:$GQ$29,0))</f>
        <v>Aviation Gasoline</v>
      </c>
      <c r="EC3" s="1" t="str">
        <f>INDEX($B$17:$GQ$17,MATCH(132,$B$29:$GQ$29,0))</f>
        <v>Basic iron and steel and of ferro-alloys and first products thereof</v>
      </c>
      <c r="ED3" s="1" t="str">
        <f>INDEX($B$17:$GQ$17,MATCH(133,$B$29:$GQ$29,0))</f>
        <v>Secondary steel for treatment, Re-processing of secondary steel into new steel</v>
      </c>
      <c r="EE3" s="1" t="str">
        <f>INDEX($B$17:$GQ$17,MATCH(134,$B$29:$GQ$29,0))</f>
        <v>Sugar cane, sugar beet</v>
      </c>
      <c r="EF3" s="1" t="str">
        <f>INDEX($B$17:$GQ$17,MATCH(135,$B$29:$GQ$29,0))</f>
        <v>Cattle</v>
      </c>
      <c r="EG3" s="1" t="str">
        <f>INDEX($B$17:$GQ$17,MATCH(136,$B$29:$GQ$29,0))</f>
        <v>Pigs</v>
      </c>
      <c r="EH3" s="1" t="str">
        <f>INDEX($B$17:$GQ$17,MATCH(137,$B$29:$GQ$29,0))</f>
        <v>Wool, silk-worm cocoons</v>
      </c>
      <c r="EI3" s="1" t="str">
        <f>INDEX($B$17:$GQ$17,MATCH(138,$B$29:$GQ$29,0))</f>
        <v>Manure (conventional treatment)</v>
      </c>
      <c r="EJ3" s="1" t="str">
        <f>INDEX($B$17:$GQ$17,MATCH(139,$B$29:$GQ$29,0))</f>
        <v>Manure (biogas treatment)</v>
      </c>
      <c r="EK3" s="1" t="str">
        <f>INDEX($B$17:$GQ$17,MATCH(140,$B$29:$GQ$29,0))</f>
        <v>Coking Coal</v>
      </c>
      <c r="EL3" s="1" t="str">
        <f>INDEX($B$17:$GQ$17,MATCH(141,$B$29:$GQ$29,0))</f>
        <v>Sub-Bituminous Coal</v>
      </c>
      <c r="EM3" s="1" t="str">
        <f>INDEX($B$17:$GQ$17,MATCH(142,$B$29:$GQ$29,0))</f>
        <v>Lignite/Brown Coal</v>
      </c>
      <c r="EN3" s="1" t="str">
        <f>INDEX($B$17:$GQ$17,MATCH(143,$B$29:$GQ$29,0))</f>
        <v>BKB/Peat Briquettes</v>
      </c>
      <c r="EO3" s="1" t="str">
        <f>INDEX($B$17:$GQ$17,MATCH(144,$B$29:$GQ$29,0))</f>
        <v>Peat</v>
      </c>
      <c r="EP3" s="1" t="str">
        <f>INDEX($B$17:$GQ$17,MATCH(145,$B$29:$GQ$29,0))</f>
        <v>Crude petroleum and services related to crude oil extraction, excluding surveying</v>
      </c>
      <c r="EQ3" s="1" t="str">
        <f>INDEX($B$17:$GQ$17,MATCH(146,$B$29:$GQ$29,0))</f>
        <v>Natural Gas Liquids</v>
      </c>
      <c r="ER3" s="1" t="str">
        <f>INDEX($B$17:$GQ$17,MATCH(147,$B$29:$GQ$29,0))</f>
        <v>Other Hydrocarbons</v>
      </c>
      <c r="ES3" s="1" t="str">
        <f>INDEX($B$17:$GQ$17,MATCH(148,$B$29:$GQ$29,0))</f>
        <v>Uranium and thorium ores (12)</v>
      </c>
      <c r="ET3" s="1" t="str">
        <f>INDEX($B$17:$GQ$17,MATCH(149,$B$29:$GQ$29,0))</f>
        <v>Iron ores</v>
      </c>
      <c r="EU3" s="1" t="str">
        <f>INDEX($B$17:$GQ$17,MATCH(150,$B$29:$GQ$29,0))</f>
        <v>Copper ores and concentrates</v>
      </c>
      <c r="EV3" s="1" t="str">
        <f>INDEX($B$17:$GQ$17,MATCH(151,$B$29:$GQ$29,0))</f>
        <v>Nickel ores and concentrates</v>
      </c>
      <c r="EW3" s="1" t="str">
        <f>INDEX($B$17:$GQ$17,MATCH(152,$B$29:$GQ$29,0))</f>
        <v>Aluminium ores and concentrates</v>
      </c>
      <c r="EX3" s="1" t="str">
        <f>INDEX($B$17:$GQ$17,MATCH(153,$B$29:$GQ$29,0))</f>
        <v>Precious metal ores and concentrates</v>
      </c>
      <c r="EY3" s="1" t="str">
        <f>INDEX($B$17:$GQ$17,MATCH(154,$B$29:$GQ$29,0))</f>
        <v>Lead, zinc and tin ores and concentrates</v>
      </c>
      <c r="EZ3" s="1" t="str">
        <f>INDEX($B$17:$GQ$17,MATCH(155,$B$29:$GQ$29,0))</f>
        <v>Other non-ferrous metal ores and concentrates</v>
      </c>
      <c r="FA3" s="1" t="str">
        <f>INDEX($B$17:$GQ$17,MATCH(156,$B$29:$GQ$29,0))</f>
        <v>Stone</v>
      </c>
      <c r="FB3" s="1" t="str">
        <f>INDEX($B$17:$GQ$17,MATCH(157,$B$29:$GQ$29,0))</f>
        <v>Sand and clay</v>
      </c>
      <c r="FC3" s="1" t="str">
        <f>INDEX($B$17:$GQ$17,MATCH(158,$B$29:$GQ$29,0))</f>
        <v>Chemical and fertilizer minerals, salt and other mining and quarrying products n.e.c.</v>
      </c>
      <c r="FD3" s="1" t="str">
        <f>INDEX($B$17:$GQ$17,MATCH(159,$B$29:$GQ$29,0))</f>
        <v>Pulp</v>
      </c>
      <c r="FE3" s="1" t="str">
        <f>INDEX($B$17:$GQ$17,MATCH(160,$B$29:$GQ$29,0))</f>
        <v>Secondary paper for treatment, Re-processing of secondary paper into new pulp</v>
      </c>
      <c r="FF3" s="1" t="str">
        <f>INDEX($B$17:$GQ$17,MATCH(161,$B$29:$GQ$29,0))</f>
        <v>Gas Coke</v>
      </c>
      <c r="FG3" s="1" t="str">
        <f>INDEX($B$17:$GQ$17,MATCH(162,$B$29:$GQ$29,0))</f>
        <v>Coal Tar</v>
      </c>
      <c r="FH3" s="1" t="str">
        <f>INDEX($B$17:$GQ$17,MATCH(163,$B$29:$GQ$29,0))</f>
        <v>Gasoline Type Jet Fuel</v>
      </c>
      <c r="FI3" s="1" t="str">
        <f>INDEX($B$17:$GQ$17,MATCH(164,$B$29:$GQ$29,0))</f>
        <v>Refinery Gas</v>
      </c>
      <c r="FJ3" s="1" t="str">
        <f>INDEX($B$17:$GQ$17,MATCH(165,$B$29:$GQ$29,0))</f>
        <v>Refinery Feedstocks</v>
      </c>
      <c r="FK3" s="1" t="str">
        <f>INDEX($B$17:$GQ$17,MATCH(166,$B$29:$GQ$29,0))</f>
        <v>Ethane</v>
      </c>
      <c r="FL3" s="1" t="str">
        <f>INDEX($B$17:$GQ$17,MATCH(167,$B$29:$GQ$29,0))</f>
        <v>Naphtha</v>
      </c>
      <c r="FM3" s="1" t="str">
        <f>INDEX($B$17:$GQ$17,MATCH(168,$B$29:$GQ$29,0))</f>
        <v>White Spirit &amp; SBP</v>
      </c>
      <c r="FN3" s="1" t="str">
        <f>INDEX($B$17:$GQ$17,MATCH(169,$B$29:$GQ$29,0))</f>
        <v>Lubricants</v>
      </c>
      <c r="FO3" s="1" t="str">
        <f>INDEX($B$17:$GQ$17,MATCH(170,$B$29:$GQ$29,0))</f>
        <v>Bitumen</v>
      </c>
      <c r="FP3" s="1" t="str">
        <f>INDEX($B$17:$GQ$17,MATCH(171,$B$29:$GQ$29,0))</f>
        <v>Paraffin Waxes</v>
      </c>
      <c r="FQ3" s="1" t="str">
        <f>INDEX($B$17:$GQ$17,MATCH(172,$B$29:$GQ$29,0))</f>
        <v>Petroleum Coke</v>
      </c>
      <c r="FR3" s="1" t="str">
        <f>INDEX($B$17:$GQ$17,MATCH(173,$B$29:$GQ$29,0))</f>
        <v>Non-specified Petroleum Products</v>
      </c>
      <c r="FS3" s="1" t="str">
        <f>INDEX($B$17:$GQ$17,MATCH(174,$B$29:$GQ$29,0))</f>
        <v>Nuclear fuel</v>
      </c>
      <c r="FT3" s="1" t="str">
        <f>INDEX($B$17:$GQ$17,MATCH(175,$B$29:$GQ$29,0))</f>
        <v>Charcoal</v>
      </c>
      <c r="FU3" s="1" t="str">
        <f>INDEX($B$17:$GQ$17,MATCH(176,$B$29:$GQ$29,0))</f>
        <v>Additives/Blending Components</v>
      </c>
      <c r="FV3" s="1" t="str">
        <f>INDEX($B$17:$GQ$17,MATCH(177,$B$29:$GQ$29,0))</f>
        <v>Other Liquid Biofuels</v>
      </c>
      <c r="FW3" s="1" t="str">
        <f>INDEX($B$17:$GQ$17,MATCH(178,$B$29:$GQ$29,0))</f>
        <v>Glass and glass products</v>
      </c>
      <c r="FX3" s="1" t="str">
        <f>INDEX($B$17:$GQ$17,MATCH(179,$B$29:$GQ$29,0))</f>
        <v>Secondary glass for treatment, Re-processing of secondary glass into new glass</v>
      </c>
      <c r="FY3" s="1" t="str">
        <f>INDEX($B$17:$GQ$17,MATCH(180,$B$29:$GQ$29,0))</f>
        <v>Secondary preciuos metals for treatment, Re-processing of secondary preciuos metals into new preciuos metals</v>
      </c>
      <c r="FZ3" s="1" t="str">
        <f>INDEX($B$17:$GQ$17,MATCH(181,$B$29:$GQ$29,0))</f>
        <v>Lead, zinc and tin and products thereof</v>
      </c>
      <c r="GA3" s="1" t="str">
        <f>INDEX($B$17:$GQ$17,MATCH(182,$B$29:$GQ$29,0))</f>
        <v>Secondary lead for treatment, Re-processing of secondary lead into new lead</v>
      </c>
      <c r="GB3" s="1" t="str">
        <f>INDEX($B$17:$GQ$17,MATCH(183,$B$29:$GQ$29,0))</f>
        <v>Copper products</v>
      </c>
      <c r="GC3" s="1" t="str">
        <f>INDEX($B$17:$GQ$17,MATCH(184,$B$29:$GQ$29,0))</f>
        <v>Secondary copper for treatment, Re-processing of secondary copper into new copper</v>
      </c>
      <c r="GD3" s="1" t="str">
        <f>INDEX($B$17:$GQ$17,MATCH(185,$B$29:$GQ$29,0))</f>
        <v>Secondary other non-ferrous metals for treatment, Re-processing of secondary other non-ferrous metals into new other non-ferrous metals</v>
      </c>
      <c r="GE3" s="1" t="str">
        <f>INDEX($B$17:$GQ$17,MATCH(186,$B$29:$GQ$29,0))</f>
        <v>Secondary raw materials</v>
      </c>
      <c r="GF3" s="1" t="str">
        <f>INDEX($B$17:$GQ$17,MATCH(187,$B$29:$GQ$29,0))</f>
        <v>Bottles for treatment, Recycling of bottles by direct reuse</v>
      </c>
      <c r="GG3" s="1" t="str">
        <f>INDEX($B$17:$GQ$17,MATCH(188,$B$29:$GQ$29,0))</f>
        <v>Electricity by solar thermal</v>
      </c>
      <c r="GH3" s="1" t="str">
        <f>INDEX($B$17:$GQ$17,MATCH(189,$B$29:$GQ$29,0))</f>
        <v>Electricity by Geothermal</v>
      </c>
      <c r="GI3" s="1" t="str">
        <f>INDEX($B$17:$GQ$17,MATCH(190,$B$29:$GQ$29,0))</f>
        <v>Electricity nec</v>
      </c>
      <c r="GJ3" s="1" t="str">
        <f>INDEX($B$17:$GQ$17,MATCH(191,$B$29:$GQ$29,0))</f>
        <v>Coke oven gas</v>
      </c>
      <c r="GK3" s="1" t="str">
        <f>INDEX($B$17:$GQ$17,MATCH(192,$B$29:$GQ$29,0))</f>
        <v>Blast Furnace Gas</v>
      </c>
      <c r="GL3" s="1" t="str">
        <f>INDEX($B$17:$GQ$17,MATCH(193,$B$29:$GQ$29,0))</f>
        <v>Oxygen Steel Furnace Gas</v>
      </c>
      <c r="GM3" s="1" t="str">
        <f>INDEX($B$17:$GQ$17,MATCH(194,$B$29:$GQ$29,0))</f>
        <v>Gas Works Gas</v>
      </c>
      <c r="GN3" s="1" t="str">
        <f>INDEX($B$17:$GQ$17,MATCH(195,$B$29:$GQ$29,0))</f>
        <v>Biogas</v>
      </c>
      <c r="GO3" s="1" t="str">
        <f>INDEX($B$17:$GQ$17,MATCH(196,$B$29:$GQ$29,0))</f>
        <v>Secondary construction material for treatment, Re-processing of secondary construction material into aggregates</v>
      </c>
      <c r="GP3" s="1" t="str">
        <f>INDEX($B$17:$GQ$17,MATCH(197,$B$29:$GQ$29,0))</f>
        <v>Services auxiliary to financial intermediation (67)</v>
      </c>
      <c r="GQ3" s="1" t="str">
        <f>INDEX($B$17:$GQ$17,MATCH(198,$B$29:$GQ$29,0))</f>
        <v>Extra-territorial organizations and bodies</v>
      </c>
      <c r="GR3" s="1" t="str">
        <f>INDEX($GR$17:$HC$17,MATCH(1,$GR$30:$HC$30,0))</f>
        <v>Cattle</v>
      </c>
      <c r="GS3" s="1" t="str">
        <f>INDEX($GR$17:$HC$17,MATCH(2,$GR$30:$HC$30,0))</f>
        <v>Food nec</v>
      </c>
      <c r="GT3" s="1" t="str">
        <f>INDEX($GR$17:$HC$17,MATCH(3,$GR$30:$HC$30,0))</f>
        <v>Final services</v>
      </c>
      <c r="GU3" s="1" t="str">
        <f>INDEX($GR$17:$HC$17,MATCH(4,$GR$30:$HC$30,0))</f>
        <v>Textiles</v>
      </c>
      <c r="GV3" s="1" t="str">
        <f>INDEX($GR$17:$HC$17,MATCH(5,$GR$30:$HC$30,0))</f>
        <v>Meat nec</v>
      </c>
      <c r="GW3" s="1" t="str">
        <f>INDEX($GR$17:$HC$17,MATCH(6,$GR$30:$HC$30,0))</f>
        <v>Animal nec</v>
      </c>
      <c r="GX3" s="1" t="str">
        <f>INDEX($GR$17:$HC$17,MATCH(7,$GR$30:$HC$30,0))</f>
        <v>Dairy products</v>
      </c>
      <c r="GY3" s="1" t="str">
        <f>INDEX($GR$17:$HC$17,MATCH(8,$GR$30:$HC$30,0))</f>
        <v>Housing</v>
      </c>
      <c r="GZ3" s="1" t="str">
        <f>INDEX($GR$17:$HC$17,MATCH(9,$GR$30:$HC$30,0))</f>
        <v>Mobility</v>
      </c>
      <c r="HA3" s="1" t="str">
        <f>INDEX($GR$17:$HC$17,MATCH(10,$GR$30:$HC$30,0))</f>
        <v>Hotel &amp; restaurant</v>
      </c>
      <c r="HB3" s="1" t="str">
        <f>INDEX($GR$17:$HC$17,MATCH(11,$GR$30:$HC$30,0))</f>
        <v>Final goods nec</v>
      </c>
      <c r="HC3" s="1" t="str">
        <f>INDEX($GR$17:$HC$17,MATCH(12,$GR$30:$HC$30,0))</f>
        <v>Vegetables, fruits, nuts</v>
      </c>
    </row>
    <row r="4" spans="1:211" x14ac:dyDescent="0.45">
      <c r="A4" s="1" t="s">
        <v>3</v>
      </c>
      <c r="B4">
        <f>INDEX($B$18:$GQ$18,MATCH(1,$B$29:$GQ$29,0))</f>
        <v>6.7703843413638304E-8</v>
      </c>
      <c r="C4">
        <f>INDEX($B$18:$GQ$18,MATCH(2,$B$29:$GQ$29,0))</f>
        <v>4.8437618195943408E-8</v>
      </c>
      <c r="D4">
        <f>INDEX($B$18:$GQ$18,MATCH(3,$B$29:$GQ$29,0))</f>
        <v>8.3789572129492961E-8</v>
      </c>
      <c r="E4">
        <f>INDEX($B$18:$GQ$18,MATCH(4,$B$29:$GQ$29,0))</f>
        <v>3.8251406337426791E-8</v>
      </c>
      <c r="F4">
        <f>INDEX($B$18:$GQ$18,MATCH(5,$B$29:$GQ$29,0))</f>
        <v>1.383369393070492E-8</v>
      </c>
      <c r="G4">
        <f>INDEX($B$18:$GQ$18,MATCH(6,$B$29:$GQ$29,0))</f>
        <v>6.8179891147850164E-8</v>
      </c>
      <c r="H4">
        <f>INDEX($B$18:$GQ$18,MATCH(7,$B$29:$GQ$29,0))</f>
        <v>6.6536948344148071E-9</v>
      </c>
      <c r="I4">
        <f>INDEX($B$18:$GQ$18,MATCH(8,$B$29:$GQ$29,0))</f>
        <v>2.1215301117151339E-8</v>
      </c>
      <c r="J4">
        <f>INDEX($B$18:$GQ$18,MATCH(9,$B$29:$GQ$29,0))</f>
        <v>3.1722010636686497E-8</v>
      </c>
      <c r="K4">
        <f>INDEX($B$18:$GQ$18,MATCH(10,$B$29:$GQ$29,0))</f>
        <v>9.8124429053810508E-9</v>
      </c>
      <c r="L4">
        <f>INDEX($B$18:$GQ$18,MATCH(11,$B$29:$GQ$29,0))</f>
        <v>2.37233151744469E-8</v>
      </c>
      <c r="M4">
        <f>INDEX($B$18:$GQ$18,MATCH(12,$B$29:$GQ$29,0))</f>
        <v>6.8372619845070323E-9</v>
      </c>
      <c r="N4">
        <f>INDEX($B$18:$GQ$18,MATCH(13,$B$29:$GQ$29,0))</f>
        <v>1.386294920988913E-8</v>
      </c>
      <c r="O4">
        <f>INDEX($B$18:$GQ$18,MATCH(14,$B$29:$GQ$29,0))</f>
        <v>6.0450966342448603E-9</v>
      </c>
      <c r="P4">
        <f>INDEX($B$18:$GQ$18,MATCH(15,$B$29:$GQ$29,0))</f>
        <v>1.4695049636785941E-8</v>
      </c>
      <c r="Q4">
        <f>INDEX($B$18:$GQ$18,MATCH(16,$B$29:$GQ$29,0))</f>
        <v>1.8893263479550939E-8</v>
      </c>
      <c r="R4">
        <f>INDEX($B$18:$GQ$18,MATCH(17,$B$29:$GQ$29,0))</f>
        <v>3.74516872705616E-8</v>
      </c>
      <c r="S4">
        <f>INDEX($B$18:$GQ$18,MATCH(18,$B$29:$GQ$29,0))</f>
        <v>3.2993016277748067E-8</v>
      </c>
      <c r="T4">
        <f>INDEX($B$18:$GQ$18,MATCH(19,$B$29:$GQ$29,0))</f>
        <v>3.9104905990920133E-8</v>
      </c>
      <c r="U4">
        <f>INDEX($B$18:$GQ$18,MATCH(20,$B$29:$GQ$29,0))</f>
        <v>5.0995585533583011E-8</v>
      </c>
      <c r="V4">
        <f>INDEX($B$18:$GQ$18,MATCH(21,$B$29:$GQ$29,0))</f>
        <v>2.3037095448771039E-8</v>
      </c>
      <c r="W4">
        <f>INDEX($B$18:$GQ$18,MATCH(22,$B$29:$GQ$29,0))</f>
        <v>4.9551005869534189E-9</v>
      </c>
      <c r="X4">
        <f>INDEX($B$18:$GQ$18,MATCH(23,$B$29:$GQ$29,0))</f>
        <v>1.5154932822797029E-8</v>
      </c>
      <c r="Y4">
        <f>INDEX($B$18:$GQ$18,MATCH(24,$B$29:$GQ$29,0))</f>
        <v>2.0117905379643629E-8</v>
      </c>
      <c r="Z4">
        <f>INDEX($B$18:$GQ$18,MATCH(25,$B$29:$GQ$29,0))</f>
        <v>3.6511491174479062E-8</v>
      </c>
      <c r="AA4">
        <f>INDEX($B$18:$GQ$18,MATCH(26,$B$29:$GQ$29,0))</f>
        <v>4.2972041011012499E-8</v>
      </c>
      <c r="AB4">
        <f>INDEX($B$18:$GQ$18,MATCH(27,$B$29:$GQ$29,0))</f>
        <v>1.337762646123861E-8</v>
      </c>
      <c r="AC4">
        <f>INDEX($B$18:$GQ$18,MATCH(28,$B$29:$GQ$29,0))</f>
        <v>2.4251109317704832E-8</v>
      </c>
      <c r="AD4">
        <f>INDEX($B$18:$GQ$18,MATCH(29,$B$29:$GQ$29,0))</f>
        <v>1.0660138854416491E-8</v>
      </c>
      <c r="AE4">
        <f>INDEX($B$18:$GQ$18,MATCH(30,$B$29:$GQ$29,0))</f>
        <v>1.3451364957265201E-8</v>
      </c>
      <c r="AF4">
        <f>INDEX($B$18:$GQ$18,MATCH(31,$B$29:$GQ$29,0))</f>
        <v>5.8306872731064341E-9</v>
      </c>
      <c r="AG4">
        <f>INDEX($B$18:$GQ$18,MATCH(32,$B$29:$GQ$29,0))</f>
        <v>7.3389640533779944E-9</v>
      </c>
      <c r="AH4">
        <f>INDEX($B$18:$GQ$18,MATCH(33,$B$29:$GQ$29,0))</f>
        <v>4.3372952293250547E-8</v>
      </c>
      <c r="AI4">
        <f>INDEX($B$18:$GQ$18,MATCH(34,$B$29:$GQ$29,0))</f>
        <v>8.0266422440873781E-9</v>
      </c>
      <c r="AJ4">
        <f>INDEX($B$18:$GQ$18,MATCH(35,$B$29:$GQ$29,0))</f>
        <v>2.450820009376538E-8</v>
      </c>
      <c r="AK4">
        <f>INDEX($B$18:$GQ$18,MATCH(36,$B$29:$GQ$29,0))</f>
        <v>5.1628014325599758E-8</v>
      </c>
      <c r="AL4">
        <f>INDEX($B$18:$GQ$18,MATCH(37,$B$29:$GQ$29,0))</f>
        <v>2.1735450471238151E-8</v>
      </c>
      <c r="AM4">
        <f>INDEX($B$18:$GQ$18,MATCH(38,$B$29:$GQ$29,0))</f>
        <v>1.9340713549620101E-8</v>
      </c>
      <c r="AN4">
        <f>INDEX($B$18:$GQ$18,MATCH(39,$B$29:$GQ$29,0))</f>
        <v>1.033718188476575E-8</v>
      </c>
      <c r="AO4">
        <f>INDEX($B$18:$GQ$18,MATCH(40,$B$29:$GQ$29,0))</f>
        <v>5.2137096300982037E-8</v>
      </c>
      <c r="AP4">
        <f>INDEX($B$18:$GQ$18,MATCH(41,$B$29:$GQ$29,0))</f>
        <v>7.8985760781573768E-9</v>
      </c>
      <c r="AQ4">
        <f>INDEX($B$18:$GQ$18,MATCH(42,$B$29:$GQ$29,0))</f>
        <v>8.1422364897581163E-9</v>
      </c>
      <c r="AR4">
        <f>INDEX($B$18:$GQ$18,MATCH(43,$B$29:$GQ$29,0))</f>
        <v>9.7829285156895724E-9</v>
      </c>
      <c r="AS4">
        <f>INDEX($B$18:$GQ$18,MATCH(44,$B$29:$GQ$29,0))</f>
        <v>8.8039332287134632E-9</v>
      </c>
      <c r="AT4">
        <f>INDEX($B$18:$GQ$18,MATCH(45,$B$29:$GQ$29,0))</f>
        <v>3.9683326475958828E-9</v>
      </c>
      <c r="AU4">
        <f>INDEX($B$18:$GQ$18,MATCH(46,$B$29:$GQ$29,0))</f>
        <v>1.3339814753319389E-7</v>
      </c>
      <c r="AV4">
        <f>INDEX($B$18:$GQ$18,MATCH(47,$B$29:$GQ$29,0))</f>
        <v>1.5256807417932958E-8</v>
      </c>
      <c r="AW4">
        <f>INDEX($B$18:$GQ$18,MATCH(48,$B$29:$GQ$29,0))</f>
        <v>1.22863407582054E-8</v>
      </c>
      <c r="AX4">
        <f>INDEX($B$18:$GQ$18,MATCH(49,$B$29:$GQ$29,0))</f>
        <v>1.012031895186899E-8</v>
      </c>
      <c r="AY4">
        <f>INDEX($B$18:$GQ$18,MATCH(50,$B$29:$GQ$29,0))</f>
        <v>1.00340779395936E-9</v>
      </c>
      <c r="AZ4">
        <f>INDEX($B$18:$GQ$18,MATCH(51,$B$29:$GQ$29,0))</f>
        <v>3.2384066892987703E-8</v>
      </c>
      <c r="BA4">
        <f>INDEX($B$18:$GQ$18,MATCH(52,$B$29:$GQ$29,0))</f>
        <v>5.119596526182413E-9</v>
      </c>
      <c r="BB4">
        <f>INDEX($B$18:$GQ$18,MATCH(53,$B$29:$GQ$29,0))</f>
        <v>9.7992222656784916E-9</v>
      </c>
      <c r="BC4">
        <f>INDEX($B$18:$GQ$18,MATCH(54,$B$29:$GQ$29,0))</f>
        <v>1.050264132032126E-8</v>
      </c>
      <c r="BD4">
        <f>INDEX($B$18:$GQ$18,MATCH(55,$B$29:$GQ$29,0))</f>
        <v>1.17184861215652E-8</v>
      </c>
      <c r="BE4">
        <f>INDEX($B$18:$GQ$18,MATCH(56,$B$29:$GQ$29,0))</f>
        <v>1.336731367052866E-8</v>
      </c>
      <c r="BF4">
        <f>INDEX($B$18:$GQ$18,MATCH(57,$B$29:$GQ$29,0))</f>
        <v>1.0733256736703729E-8</v>
      </c>
      <c r="BG4">
        <f>INDEX($B$18:$GQ$18,MATCH(58,$B$29:$GQ$29,0))</f>
        <v>3.2448512682776449E-8</v>
      </c>
      <c r="BH4">
        <f>INDEX($B$18:$GQ$18,MATCH(59,$B$29:$GQ$29,0))</f>
        <v>6.7534264928770733E-8</v>
      </c>
      <c r="BI4">
        <f>INDEX($B$18:$GQ$18,MATCH(60,$B$29:$GQ$29,0))</f>
        <v>4.9332242222838658E-8</v>
      </c>
      <c r="BJ4">
        <f>INDEX($B$18:$GQ$18,MATCH(61,$B$29:$GQ$29,0))</f>
        <v>9.0445984410834143E-9</v>
      </c>
      <c r="BK4">
        <f>INDEX($B$18:$GQ$18,MATCH(62,$B$29:$GQ$29,0))</f>
        <v>1.086382049522731E-8</v>
      </c>
      <c r="BL4">
        <f>INDEX($B$18:$GQ$18,MATCH(63,$B$29:$GQ$29,0))</f>
        <v>1.243681460331969E-8</v>
      </c>
      <c r="BM4">
        <f>INDEX($B$18:$GQ$18,MATCH(64,$B$29:$GQ$29,0))</f>
        <v>4.9794791032750868E-9</v>
      </c>
      <c r="BN4">
        <f>INDEX($B$18:$GQ$18,MATCH(65,$B$29:$GQ$29,0))</f>
        <v>1.3834561682080429E-8</v>
      </c>
      <c r="BO4">
        <f>INDEX($B$18:$GQ$18,MATCH(66,$B$29:$GQ$29,0))</f>
        <v>3.5606080732818958E-9</v>
      </c>
      <c r="BP4">
        <f>INDEX($B$18:$GQ$18,MATCH(67,$B$29:$GQ$29,0))</f>
        <v>5.7152613694227914E-9</v>
      </c>
      <c r="BQ4">
        <f>INDEX($B$18:$GQ$18,MATCH(68,$B$29:$GQ$29,0))</f>
        <v>1.5409087713162319E-8</v>
      </c>
      <c r="BR4">
        <f>INDEX($B$18:$GQ$18,MATCH(69,$B$29:$GQ$29,0))</f>
        <v>5.3978717793816872E-9</v>
      </c>
      <c r="BS4">
        <f>INDEX($B$18:$GQ$18,MATCH(70,$B$29:$GQ$29,0))</f>
        <v>7.2201769369110683E-9</v>
      </c>
      <c r="BT4">
        <f>INDEX($B$18:$GQ$18,MATCH(71,$B$29:$GQ$29,0))</f>
        <v>1.383547775667189E-8</v>
      </c>
      <c r="BU4">
        <f>INDEX($B$18:$GQ$18,MATCH(72,$B$29:$GQ$29,0))</f>
        <v>1.2877500752655079E-8</v>
      </c>
      <c r="BV4">
        <f>INDEX($B$18:$GQ$18,MATCH(73,$B$29:$GQ$29,0))</f>
        <v>8.8200117829015855E-9</v>
      </c>
      <c r="BW4">
        <f>INDEX($B$18:$GQ$18,MATCH(74,$B$29:$GQ$29,0))</f>
        <v>1.667928955604839E-8</v>
      </c>
      <c r="BX4">
        <f>INDEX($B$18:$GQ$18,MATCH(75,$B$29:$GQ$29,0))</f>
        <v>8.0055210956802894E-9</v>
      </c>
      <c r="BY4">
        <f>INDEX($B$18:$GQ$18,MATCH(76,$B$29:$GQ$29,0))</f>
        <v>1.1375432516399459E-8</v>
      </c>
      <c r="BZ4">
        <f>INDEX($B$18:$GQ$18,MATCH(77,$B$29:$GQ$29,0))</f>
        <v>1.261903836447559E-8</v>
      </c>
      <c r="CA4">
        <f>INDEX($B$18:$GQ$18,MATCH(78,$B$29:$GQ$29,0))</f>
        <v>5.7923183846582593E-9</v>
      </c>
      <c r="CB4">
        <f>INDEX($B$18:$GQ$18,MATCH(79,$B$29:$GQ$29,0))</f>
        <v>1.133173036855815E-8</v>
      </c>
      <c r="CC4">
        <f>INDEX($B$18:$GQ$18,MATCH(80,$B$29:$GQ$29,0))</f>
        <v>3.7558698298413772E-8</v>
      </c>
      <c r="CD4">
        <f>INDEX($B$18:$GQ$18,MATCH(81,$B$29:$GQ$29,0))</f>
        <v>7.5776811423019679E-9</v>
      </c>
      <c r="CE4">
        <f>INDEX($B$18:$GQ$18,MATCH(82,$B$29:$GQ$29,0))</f>
        <v>6.1234234939687712E-7</v>
      </c>
      <c r="CF4">
        <f>INDEX($B$18:$GQ$18,MATCH(83,$B$29:$GQ$29,0))</f>
        <v>6.3343655915515251E-8</v>
      </c>
      <c r="CG4">
        <f>INDEX($B$18:$GQ$18,MATCH(84,$B$29:$GQ$29,0))</f>
        <v>9.4292686595780319E-9</v>
      </c>
      <c r="CH4">
        <f>INDEX($B$18:$GQ$18,MATCH(85,$B$29:$GQ$29,0))</f>
        <v>1.2038276155316059E-8</v>
      </c>
      <c r="CI4">
        <f>INDEX($B$18:$GQ$18,MATCH(86,$B$29:$GQ$29,0))</f>
        <v>7.8365677576103359E-9</v>
      </c>
      <c r="CJ4">
        <f>INDEX($B$18:$GQ$18,MATCH(87,$B$29:$GQ$29,0))</f>
        <v>7.3556833801365263E-9</v>
      </c>
      <c r="CK4">
        <f>INDEX($B$18:$GQ$18,MATCH(88,$B$29:$GQ$29,0))</f>
        <v>1.3176139745177099E-8</v>
      </c>
      <c r="CL4">
        <f>INDEX($B$18:$GQ$18,MATCH(89,$B$29:$GQ$29,0))</f>
        <v>8.2696028717862455E-9</v>
      </c>
      <c r="CM4">
        <f>INDEX($B$18:$GQ$18,MATCH(90,$B$29:$GQ$29,0))</f>
        <v>7.7007520679735281E-9</v>
      </c>
      <c r="CN4">
        <f>INDEX($B$18:$GQ$18,MATCH(91,$B$29:$GQ$29,0))</f>
        <v>7.6081218703623174E-9</v>
      </c>
      <c r="CO4">
        <f>INDEX($B$18:$GQ$18,MATCH(92,$B$29:$GQ$29,0))</f>
        <v>1.1350995828631039E-8</v>
      </c>
      <c r="CP4">
        <f>INDEX($B$18:$GQ$18,MATCH(93,$B$29:$GQ$29,0))</f>
        <v>9.9573307138349223E-9</v>
      </c>
      <c r="CQ4">
        <f>INDEX($B$18:$GQ$18,MATCH(94,$B$29:$GQ$29,0))</f>
        <v>9.5108200532267303E-9</v>
      </c>
      <c r="CR4">
        <f>INDEX($B$18:$GQ$18,MATCH(95,$B$29:$GQ$29,0))</f>
        <v>3.9095648812300578E-9</v>
      </c>
      <c r="CS4">
        <f>INDEX($B$18:$GQ$18,MATCH(96,$B$29:$GQ$29,0))</f>
        <v>7.7276008890506118E-9</v>
      </c>
      <c r="CT4">
        <f>INDEX($B$18:$GQ$18,MATCH(97,$B$29:$GQ$29,0))</f>
        <v>9.4250936339479126E-9</v>
      </c>
      <c r="CU4">
        <f>INDEX($B$18:$GQ$18,MATCH(98,$B$29:$GQ$29,0))</f>
        <v>9.2220710602454029E-9</v>
      </c>
      <c r="CV4">
        <f>INDEX($B$18:$GQ$18,MATCH(99,$B$29:$GQ$29,0))</f>
        <v>8.688926956828773E-9</v>
      </c>
      <c r="CW4">
        <f>INDEX($B$18:$GQ$18,MATCH(100,$B$29:$GQ$29,0))</f>
        <v>9.5887048385586182E-9</v>
      </c>
      <c r="CX4">
        <f>INDEX($B$18:$GQ$18,MATCH(101,$B$29:$GQ$29,0))</f>
        <v>5.0227125174567211E-9</v>
      </c>
      <c r="CY4">
        <f>INDEX($B$18:$GQ$18,MATCH(102,$B$29:$GQ$29,0))</f>
        <v>1.05331302975343E-8</v>
      </c>
      <c r="CZ4">
        <f>INDEX($B$18:$GQ$18,MATCH(103,$B$29:$GQ$29,0))</f>
        <v>1.1179129298389499E-8</v>
      </c>
      <c r="DA4">
        <f>INDEX($B$18:$GQ$18,MATCH(104,$B$29:$GQ$29,0))</f>
        <v>7.9812921326881257E-9</v>
      </c>
      <c r="DB4">
        <f>INDEX($B$18:$GQ$18,MATCH(105,$B$29:$GQ$29,0))</f>
        <v>8.2728347055037084E-9</v>
      </c>
      <c r="DC4">
        <f>INDEX($B$18:$GQ$18,MATCH(106,$B$29:$GQ$29,0))</f>
        <v>4.4442728910625172E-8</v>
      </c>
      <c r="DD4">
        <f>INDEX($B$18:$GQ$18,MATCH(107,$B$29:$GQ$29,0))</f>
        <v>0</v>
      </c>
      <c r="DE4">
        <f>INDEX($B$18:$GQ$18,MATCH(108,$B$29:$GQ$29,0))</f>
        <v>7.7226896324845004E-9</v>
      </c>
      <c r="DF4">
        <f>INDEX($B$18:$GQ$18,MATCH(109,$B$29:$GQ$29,0))</f>
        <v>1.127163132366521E-8</v>
      </c>
      <c r="DG4">
        <f>INDEX($B$18:$GQ$18,MATCH(110,$B$29:$GQ$29,0))</f>
        <v>8.7008628187612576E-9</v>
      </c>
      <c r="DH4">
        <f>INDEX($B$18:$GQ$18,MATCH(111,$B$29:$GQ$29,0))</f>
        <v>7.0659868808652157E-9</v>
      </c>
      <c r="DI4">
        <f>INDEX($B$18:$GQ$18,MATCH(112,$B$29:$GQ$29,0))</f>
        <v>7.0812666196246206E-9</v>
      </c>
      <c r="DJ4">
        <f>INDEX($B$18:$GQ$18,MATCH(113,$B$29:$GQ$29,0))</f>
        <v>9.5482811522806627E-9</v>
      </c>
      <c r="DK4">
        <f>INDEX($B$18:$GQ$18,MATCH(114,$B$29:$GQ$29,0))</f>
        <v>9.0351451968793084E-9</v>
      </c>
      <c r="DL4">
        <f>INDEX($B$18:$GQ$18,MATCH(115,$B$29:$GQ$29,0))</f>
        <v>2.8113795300233191E-8</v>
      </c>
      <c r="DM4">
        <f>INDEX($B$18:$GQ$18,MATCH(116,$B$29:$GQ$29,0))</f>
        <v>2.3177529209438931E-8</v>
      </c>
      <c r="DN4">
        <f>INDEX($B$18:$GQ$18,MATCH(117,$B$29:$GQ$29,0))</f>
        <v>1.0844587171109229E-9</v>
      </c>
      <c r="DO4">
        <f>INDEX($B$18:$GQ$18,MATCH(118,$B$29:$GQ$29,0))</f>
        <v>1.5015945045913099E-8</v>
      </c>
      <c r="DP4">
        <f>INDEX($B$18:$GQ$18,MATCH(119,$B$29:$GQ$29,0))</f>
        <v>8.4889381148123066E-8</v>
      </c>
      <c r="DQ4">
        <f>INDEX($B$18:$GQ$18,MATCH(120,$B$29:$GQ$29,0))</f>
        <v>6.6739125568731282E-9</v>
      </c>
      <c r="DR4">
        <f>INDEX($B$18:$GQ$18,MATCH(121,$B$29:$GQ$29,0))</f>
        <v>8.0532081936229466E-9</v>
      </c>
      <c r="DS4">
        <f>INDEX($B$18:$GQ$18,MATCH(122,$B$29:$GQ$29,0))</f>
        <v>0</v>
      </c>
      <c r="DT4">
        <f>INDEX($B$18:$GQ$18,MATCH(123,$B$29:$GQ$29,0))</f>
        <v>9.9271041584561031E-9</v>
      </c>
      <c r="DU4">
        <f>INDEX($B$18:$GQ$18,MATCH(124,$B$29:$GQ$29,0))</f>
        <v>1.6134148997032561E-8</v>
      </c>
      <c r="DV4">
        <f>INDEX($B$18:$GQ$18,MATCH(125,$B$29:$GQ$29,0))</f>
        <v>6.9153171787988931E-9</v>
      </c>
      <c r="DW4">
        <f>INDEX($B$18:$GQ$18,MATCH(126,$B$29:$GQ$29,0))</f>
        <v>0</v>
      </c>
      <c r="DX4">
        <f>INDEX($B$18:$GQ$18,MATCH(127,$B$29:$GQ$29,0))</f>
        <v>0</v>
      </c>
      <c r="DY4">
        <f>INDEX($B$18:$GQ$18,MATCH(128,$B$29:$GQ$29,0))</f>
        <v>1.5651775523045109E-8</v>
      </c>
      <c r="DZ4">
        <f>INDEX($B$18:$GQ$18,MATCH(129,$B$29:$GQ$29,0))</f>
        <v>9.2746603545991803E-10</v>
      </c>
      <c r="EA4">
        <f>INDEX($B$18:$GQ$18,MATCH(130,$B$29:$GQ$29,0))</f>
        <v>1.384026180701844E-8</v>
      </c>
      <c r="EB4">
        <f>INDEX($B$18:$GQ$18,MATCH(131,$B$29:$GQ$29,0))</f>
        <v>0</v>
      </c>
      <c r="EC4">
        <f>INDEX($B$18:$GQ$18,MATCH(132,$B$29:$GQ$29,0))</f>
        <v>1.163774342153376E-8</v>
      </c>
      <c r="ED4">
        <f>INDEX($B$18:$GQ$18,MATCH(133,$B$29:$GQ$29,0))</f>
        <v>9.7139813508120515E-9</v>
      </c>
      <c r="EE4">
        <f>INDEX($B$18:$GQ$18,MATCH(134,$B$29:$GQ$29,0))</f>
        <v>6.761315000067808E-10</v>
      </c>
      <c r="EF4">
        <f>INDEX($B$18:$GQ$18,MATCH(135,$B$29:$GQ$29,0))</f>
        <v>4.48784674281547E-8</v>
      </c>
      <c r="EG4">
        <f>INDEX($B$18:$GQ$18,MATCH(136,$B$29:$GQ$29,0))</f>
        <v>3.9917246766032422E-8</v>
      </c>
      <c r="EH4">
        <f>INDEX($B$18:$GQ$18,MATCH(137,$B$29:$GQ$29,0))</f>
        <v>7.2118946755660964E-8</v>
      </c>
      <c r="EI4">
        <f>INDEX($B$18:$GQ$18,MATCH(138,$B$29:$GQ$29,0))</f>
        <v>0</v>
      </c>
      <c r="EJ4">
        <f>INDEX($B$18:$GQ$18,MATCH(139,$B$29:$GQ$29,0))</f>
        <v>0</v>
      </c>
      <c r="EK4">
        <f>INDEX($B$18:$GQ$18,MATCH(140,$B$29:$GQ$29,0))</f>
        <v>0</v>
      </c>
      <c r="EL4">
        <f>INDEX($B$18:$GQ$18,MATCH(141,$B$29:$GQ$29,0))</f>
        <v>0</v>
      </c>
      <c r="EM4">
        <f>INDEX($B$18:$GQ$18,MATCH(142,$B$29:$GQ$29,0))</f>
        <v>0</v>
      </c>
      <c r="EN4">
        <f>INDEX($B$18:$GQ$18,MATCH(143,$B$29:$GQ$29,0))</f>
        <v>0</v>
      </c>
      <c r="EO4">
        <f>INDEX($B$18:$GQ$18,MATCH(144,$B$29:$GQ$29,0))</f>
        <v>0</v>
      </c>
      <c r="EP4">
        <f>INDEX($B$18:$GQ$18,MATCH(145,$B$29:$GQ$29,0))</f>
        <v>4.2769941555497722E-8</v>
      </c>
      <c r="EQ4">
        <f>INDEX($B$18:$GQ$18,MATCH(146,$B$29:$GQ$29,0))</f>
        <v>3.0217611188458669E-9</v>
      </c>
      <c r="ER4">
        <f>INDEX($B$18:$GQ$18,MATCH(147,$B$29:$GQ$29,0))</f>
        <v>0</v>
      </c>
      <c r="ES4">
        <f>INDEX($B$18:$GQ$18,MATCH(148,$B$29:$GQ$29,0))</f>
        <v>0</v>
      </c>
      <c r="ET4">
        <f>INDEX($B$18:$GQ$18,MATCH(149,$B$29:$GQ$29,0))</f>
        <v>0</v>
      </c>
      <c r="EU4">
        <f>INDEX($B$18:$GQ$18,MATCH(150,$B$29:$GQ$29,0))</f>
        <v>0</v>
      </c>
      <c r="EV4">
        <f>INDEX($B$18:$GQ$18,MATCH(151,$B$29:$GQ$29,0))</f>
        <v>0</v>
      </c>
      <c r="EW4">
        <f>INDEX($B$18:$GQ$18,MATCH(152,$B$29:$GQ$29,0))</f>
        <v>0</v>
      </c>
      <c r="EX4">
        <f>INDEX($B$18:$GQ$18,MATCH(153,$B$29:$GQ$29,0))</f>
        <v>0</v>
      </c>
      <c r="EY4">
        <f>INDEX($B$18:$GQ$18,MATCH(154,$B$29:$GQ$29,0))</f>
        <v>0</v>
      </c>
      <c r="EZ4">
        <f>INDEX($B$18:$GQ$18,MATCH(155,$B$29:$GQ$29,0))</f>
        <v>5.2003624939830493E-9</v>
      </c>
      <c r="FA4">
        <f>INDEX($B$18:$GQ$18,MATCH(156,$B$29:$GQ$29,0))</f>
        <v>2.9595571626979879E-9</v>
      </c>
      <c r="FB4">
        <f>INDEX($B$18:$GQ$18,MATCH(157,$B$29:$GQ$29,0))</f>
        <v>8.7552234855041356E-11</v>
      </c>
      <c r="FC4">
        <f>INDEX($B$18:$GQ$18,MATCH(158,$B$29:$GQ$29,0))</f>
        <v>1.8942036153193691E-9</v>
      </c>
      <c r="FD4">
        <f>INDEX($B$18:$GQ$18,MATCH(159,$B$29:$GQ$29,0))</f>
        <v>1.2930800448985821E-8</v>
      </c>
      <c r="FE4">
        <f>INDEX($B$18:$GQ$18,MATCH(160,$B$29:$GQ$29,0))</f>
        <v>1.2327372053968681E-8</v>
      </c>
      <c r="FF4">
        <f>INDEX($B$18:$GQ$18,MATCH(161,$B$29:$GQ$29,0))</f>
        <v>0</v>
      </c>
      <c r="FG4">
        <f>INDEX($B$18:$GQ$18,MATCH(162,$B$29:$GQ$29,0))</f>
        <v>2.0794191900037571E-8</v>
      </c>
      <c r="FH4">
        <f>INDEX($B$18:$GQ$18,MATCH(163,$B$29:$GQ$29,0))</f>
        <v>0</v>
      </c>
      <c r="FI4">
        <f>INDEX($B$18:$GQ$18,MATCH(164,$B$29:$GQ$29,0))</f>
        <v>5.6927560912983118E-11</v>
      </c>
      <c r="FJ4">
        <f>INDEX($B$18:$GQ$18,MATCH(165,$B$29:$GQ$29,0))</f>
        <v>1.086596190507767E-8</v>
      </c>
      <c r="FK4">
        <f>INDEX($B$18:$GQ$18,MATCH(166,$B$29:$GQ$29,0))</f>
        <v>0</v>
      </c>
      <c r="FL4">
        <f>INDEX($B$18:$GQ$18,MATCH(167,$B$29:$GQ$29,0))</f>
        <v>5.9688867657369406E-9</v>
      </c>
      <c r="FM4">
        <f>INDEX($B$18:$GQ$18,MATCH(168,$B$29:$GQ$29,0))</f>
        <v>1.22154389382958E-8</v>
      </c>
      <c r="FN4">
        <f>INDEX($B$18:$GQ$18,MATCH(169,$B$29:$GQ$29,0))</f>
        <v>2.0647532201048458E-8</v>
      </c>
      <c r="FO4">
        <f>INDEX($B$18:$GQ$18,MATCH(170,$B$29:$GQ$29,0))</f>
        <v>2.2584748216531721E-9</v>
      </c>
      <c r="FP4">
        <f>INDEX($B$18:$GQ$18,MATCH(171,$B$29:$GQ$29,0))</f>
        <v>2.5162938317717631E-9</v>
      </c>
      <c r="FQ4">
        <f>INDEX($B$18:$GQ$18,MATCH(172,$B$29:$GQ$29,0))</f>
        <v>3.7855210722660348E-9</v>
      </c>
      <c r="FR4">
        <f>INDEX($B$18:$GQ$18,MATCH(173,$B$29:$GQ$29,0))</f>
        <v>2.409149890394474E-9</v>
      </c>
      <c r="FS4">
        <f>INDEX($B$18:$GQ$18,MATCH(174,$B$29:$GQ$29,0))</f>
        <v>7.3639887987814418E-11</v>
      </c>
      <c r="FT4">
        <f>INDEX($B$18:$GQ$18,MATCH(175,$B$29:$GQ$29,0))</f>
        <v>0</v>
      </c>
      <c r="FU4">
        <f>INDEX($B$18:$GQ$18,MATCH(176,$B$29:$GQ$29,0))</f>
        <v>4.9823847801000939E-9</v>
      </c>
      <c r="FV4">
        <f>INDEX($B$18:$GQ$18,MATCH(177,$B$29:$GQ$29,0))</f>
        <v>0</v>
      </c>
      <c r="FW4">
        <f>INDEX($B$18:$GQ$18,MATCH(178,$B$29:$GQ$29,0))</f>
        <v>1.2685873888555949E-8</v>
      </c>
      <c r="FX4">
        <f>INDEX($B$18:$GQ$18,MATCH(179,$B$29:$GQ$29,0))</f>
        <v>9.9127106553860033E-9</v>
      </c>
      <c r="FY4">
        <f>INDEX($B$18:$GQ$18,MATCH(180,$B$29:$GQ$29,0))</f>
        <v>0</v>
      </c>
      <c r="FZ4">
        <f>INDEX($B$18:$GQ$18,MATCH(181,$B$29:$GQ$29,0))</f>
        <v>2.127719021856284E-8</v>
      </c>
      <c r="GA4">
        <f>INDEX($B$18:$GQ$18,MATCH(182,$B$29:$GQ$29,0))</f>
        <v>2.4253106393842199E-8</v>
      </c>
      <c r="GB4">
        <f>INDEX($B$18:$GQ$18,MATCH(183,$B$29:$GQ$29,0))</f>
        <v>2.350912131300539E-8</v>
      </c>
      <c r="GC4">
        <f>INDEX($B$18:$GQ$18,MATCH(184,$B$29:$GQ$29,0))</f>
        <v>0</v>
      </c>
      <c r="GD4">
        <f>INDEX($B$18:$GQ$18,MATCH(185,$B$29:$GQ$29,0))</f>
        <v>0</v>
      </c>
      <c r="GE4">
        <f>INDEX($B$18:$GQ$18,MATCH(186,$B$29:$GQ$29,0))</f>
        <v>0</v>
      </c>
      <c r="GF4">
        <f>INDEX($B$18:$GQ$18,MATCH(187,$B$29:$GQ$29,0))</f>
        <v>0</v>
      </c>
      <c r="GG4">
        <f>INDEX($B$18:$GQ$18,MATCH(188,$B$29:$GQ$29,0))</f>
        <v>0</v>
      </c>
      <c r="GH4">
        <f>INDEX($B$18:$GQ$18,MATCH(189,$B$29:$GQ$29,0))</f>
        <v>0</v>
      </c>
      <c r="GI4">
        <f>INDEX($B$18:$GQ$18,MATCH(190,$B$29:$GQ$29,0))</f>
        <v>0</v>
      </c>
      <c r="GJ4">
        <f>INDEX($B$18:$GQ$18,MATCH(191,$B$29:$GQ$29,0))</f>
        <v>1.3397183022729431E-9</v>
      </c>
      <c r="GK4">
        <f>INDEX($B$18:$GQ$18,MATCH(192,$B$29:$GQ$29,0))</f>
        <v>2.7471235997779349E-9</v>
      </c>
      <c r="GL4">
        <f>INDEX($B$18:$GQ$18,MATCH(193,$B$29:$GQ$29,0))</f>
        <v>2.3217146262881869E-16</v>
      </c>
      <c r="GM4">
        <f>INDEX($B$18:$GQ$18,MATCH(194,$B$29:$GQ$29,0))</f>
        <v>0</v>
      </c>
      <c r="GN4">
        <f>INDEX($B$18:$GQ$18,MATCH(195,$B$29:$GQ$29,0))</f>
        <v>5.6975610371781312E-9</v>
      </c>
      <c r="GO4">
        <f>INDEX($B$18:$GQ$18,MATCH(196,$B$29:$GQ$29,0))</f>
        <v>0</v>
      </c>
      <c r="GP4">
        <f>INDEX($B$18:$GQ$18,MATCH(197,$B$29:$GQ$29,0))</f>
        <v>1.323127489490455E-8</v>
      </c>
      <c r="GQ4">
        <f>INDEX($B$18:$GQ$18,MATCH(198,$B$29:$GQ$29,0))</f>
        <v>0</v>
      </c>
      <c r="GR4">
        <f>INDEX($GR$18:$HC$18,MATCH(1,$GR$30:$HC$30,0))</f>
        <v>6.7703843413638304E-8</v>
      </c>
      <c r="GS4">
        <f>INDEX($GR$18:$HC$18,MATCH(2,$GR$30:$HC$30,0))</f>
        <v>4.2629468758164071E-8</v>
      </c>
      <c r="GT4">
        <f>INDEX($GR$18:$HC$18,MATCH(3,$GR$30:$HC$30,0))</f>
        <v>8.5058850283417174E-9</v>
      </c>
      <c r="GU4">
        <f>INDEX($GR$18:$HC$18,MATCH(4,$GR$30:$HC$30,0))</f>
        <v>3.0507940887611012E-8</v>
      </c>
      <c r="GV4">
        <f>INDEX($GR$18:$HC$18,MATCH(5,$GR$30:$HC$30,0))</f>
        <v>5.2325198188182409E-8</v>
      </c>
      <c r="GW4">
        <f>INDEX($GR$18:$HC$18,MATCH(6,$GR$30:$HC$30,0))</f>
        <v>4.0853847097484357E-8</v>
      </c>
      <c r="GX4">
        <f>INDEX($GR$18:$HC$18,MATCH(7,$GR$30:$HC$30,0))</f>
        <v>3.8472691450843749E-8</v>
      </c>
      <c r="GY4">
        <f>INDEX($GR$18:$HC$18,MATCH(8,$GR$30:$HC$30,0))</f>
        <v>9.1485052011882921E-9</v>
      </c>
      <c r="GZ4">
        <f>INDEX($GR$18:$HC$18,MATCH(9,$GR$30:$HC$30,0))</f>
        <v>1.4762310621290879E-8</v>
      </c>
      <c r="HA4">
        <f>INDEX($GR$18:$HC$18,MATCH(10,$GR$30:$HC$30,0))</f>
        <v>1.383369393070492E-8</v>
      </c>
      <c r="HB4">
        <f>INDEX($GR$18:$HC$18,MATCH(11,$GR$30:$HC$30,0))</f>
        <v>1.5521722365383291E-8</v>
      </c>
      <c r="HC4">
        <f>INDEX($GR$18:$HC$18,MATCH(12,$GR$30:$HC$30,0))</f>
        <v>2.12446842958457E-8</v>
      </c>
    </row>
    <row r="5" spans="1:211" x14ac:dyDescent="0.45">
      <c r="A5" s="1" t="s">
        <v>4</v>
      </c>
      <c r="B5">
        <f>INDEX($B$19:$GQ$19,MATCH(1,$B$29:$GQ$29,0))</f>
        <v>2.214149407813218E-6</v>
      </c>
      <c r="C5">
        <f>INDEX($B$19:$GQ$19,MATCH(2,$B$29:$GQ$29,0))</f>
        <v>1.800812777889743E-7</v>
      </c>
      <c r="D5">
        <f>INDEX($B$19:$GQ$19,MATCH(3,$B$29:$GQ$29,0))</f>
        <v>3.4006767744740527E-8</v>
      </c>
      <c r="E5">
        <f>INDEX($B$19:$GQ$19,MATCH(4,$B$29:$GQ$29,0))</f>
        <v>4.2812093195155479E-7</v>
      </c>
      <c r="F5">
        <f>INDEX($B$19:$GQ$19,MATCH(5,$B$29:$GQ$29,0))</f>
        <v>2.840057844199529E-8</v>
      </c>
      <c r="G5">
        <f>INDEX($B$19:$GQ$19,MATCH(6,$B$29:$GQ$29,0))</f>
        <v>1.2913031436232101E-7</v>
      </c>
      <c r="H5">
        <f>INDEX($B$19:$GQ$19,MATCH(7,$B$29:$GQ$29,0))</f>
        <v>3.517927481806665E-9</v>
      </c>
      <c r="I5">
        <f>INDEX($B$19:$GQ$19,MATCH(8,$B$29:$GQ$29,0))</f>
        <v>2.7977225498418871E-8</v>
      </c>
      <c r="J5">
        <f>INDEX($B$19:$GQ$19,MATCH(9,$B$29:$GQ$29,0))</f>
        <v>1.024719855407648E-6</v>
      </c>
      <c r="K5">
        <f>INDEX($B$19:$GQ$19,MATCH(10,$B$29:$GQ$29,0))</f>
        <v>1.630832232544473E-9</v>
      </c>
      <c r="L5">
        <f>INDEX($B$19:$GQ$19,MATCH(11,$B$29:$GQ$29,0))</f>
        <v>1.5312117434354699E-9</v>
      </c>
      <c r="M5">
        <f>INDEX($B$19:$GQ$19,MATCH(12,$B$29:$GQ$29,0))</f>
        <v>9.7540259655372648E-10</v>
      </c>
      <c r="N5">
        <f>INDEX($B$19:$GQ$19,MATCH(13,$B$29:$GQ$29,0))</f>
        <v>8.8657307885714212E-9</v>
      </c>
      <c r="O5">
        <f>INDEX($B$19:$GQ$19,MATCH(14,$B$29:$GQ$29,0))</f>
        <v>5.7138912752565207E-9</v>
      </c>
      <c r="P5">
        <f>INDEX($B$19:$GQ$19,MATCH(15,$B$29:$GQ$29,0))</f>
        <v>1.137584511490055E-9</v>
      </c>
      <c r="Q5">
        <f>INDEX($B$19:$GQ$19,MATCH(16,$B$29:$GQ$29,0))</f>
        <v>3.4376153475058318E-9</v>
      </c>
      <c r="R5">
        <f>INDEX($B$19:$GQ$19,MATCH(17,$B$29:$GQ$29,0))</f>
        <v>2.87355023848822E-9</v>
      </c>
      <c r="S5">
        <f>INDEX($B$19:$GQ$19,MATCH(18,$B$29:$GQ$29,0))</f>
        <v>7.4230497016429157E-8</v>
      </c>
      <c r="T5">
        <f>INDEX($B$19:$GQ$19,MATCH(19,$B$29:$GQ$29,0))</f>
        <v>6.7566301799749825E-8</v>
      </c>
      <c r="U5">
        <f>INDEX($B$19:$GQ$19,MATCH(20,$B$29:$GQ$29,0))</f>
        <v>1.9893667312304719E-7</v>
      </c>
      <c r="V5">
        <f>INDEX($B$19:$GQ$19,MATCH(21,$B$29:$GQ$29,0))</f>
        <v>4.8386130216945224E-9</v>
      </c>
      <c r="W5">
        <f>INDEX($B$19:$GQ$19,MATCH(22,$B$29:$GQ$29,0))</f>
        <v>8.0199392655693549E-7</v>
      </c>
      <c r="X5">
        <f>INDEX($B$19:$GQ$19,MATCH(23,$B$29:$GQ$29,0))</f>
        <v>1.4902143314375489E-9</v>
      </c>
      <c r="Y5">
        <f>INDEX($B$19:$GQ$19,MATCH(24,$B$29:$GQ$29,0))</f>
        <v>2.802783419964009E-9</v>
      </c>
      <c r="Z5">
        <f>INDEX($B$19:$GQ$19,MATCH(25,$B$29:$GQ$29,0))</f>
        <v>1.379463448652289E-7</v>
      </c>
      <c r="AA5">
        <f>INDEX($B$19:$GQ$19,MATCH(26,$B$29:$GQ$29,0))</f>
        <v>1.172049100862176E-6</v>
      </c>
      <c r="AB5">
        <f>INDEX($B$19:$GQ$19,MATCH(27,$B$29:$GQ$29,0))</f>
        <v>2.2772989403927141E-8</v>
      </c>
      <c r="AC5">
        <f>INDEX($B$19:$GQ$19,MATCH(28,$B$29:$GQ$29,0))</f>
        <v>6.3139096412064659E-9</v>
      </c>
      <c r="AD5">
        <f>INDEX($B$19:$GQ$19,MATCH(29,$B$29:$GQ$29,0))</f>
        <v>1.4343299074596859E-9</v>
      </c>
      <c r="AE5">
        <f>INDEX($B$19:$GQ$19,MATCH(30,$B$29:$GQ$29,0))</f>
        <v>2.3915418622552399E-9</v>
      </c>
      <c r="AF5">
        <f>INDEX($B$19:$GQ$19,MATCH(31,$B$29:$GQ$29,0))</f>
        <v>1.5489441638922919E-9</v>
      </c>
      <c r="AG5">
        <f>INDEX($B$19:$GQ$19,MATCH(32,$B$29:$GQ$29,0))</f>
        <v>7.9533586902477533E-10</v>
      </c>
      <c r="AH5">
        <f>INDEX($B$19:$GQ$19,MATCH(33,$B$29:$GQ$29,0))</f>
        <v>1.3346068159863091E-9</v>
      </c>
      <c r="AI5">
        <f>INDEX($B$19:$GQ$19,MATCH(34,$B$29:$GQ$29,0))</f>
        <v>1.7542083355100669E-8</v>
      </c>
      <c r="AJ5">
        <f>INDEX($B$19:$GQ$19,MATCH(35,$B$29:$GQ$29,0))</f>
        <v>5.7150147269521592E-8</v>
      </c>
      <c r="AK5">
        <f>INDEX($B$19:$GQ$19,MATCH(36,$B$29:$GQ$29,0))</f>
        <v>1.268096639184837E-9</v>
      </c>
      <c r="AL5">
        <f>INDEX($B$19:$GQ$19,MATCH(37,$B$29:$GQ$29,0))</f>
        <v>4.415925189917989E-10</v>
      </c>
      <c r="AM5">
        <f>INDEX($B$19:$GQ$19,MATCH(38,$B$29:$GQ$29,0))</f>
        <v>5.9512672585706249E-10</v>
      </c>
      <c r="AN5">
        <f>INDEX($B$19:$GQ$19,MATCH(39,$B$29:$GQ$29,0))</f>
        <v>1.0038831309752169E-9</v>
      </c>
      <c r="AO5">
        <f>INDEX($B$19:$GQ$19,MATCH(40,$B$29:$GQ$29,0))</f>
        <v>1.4002976056023301E-6</v>
      </c>
      <c r="AP5">
        <f>INDEX($B$19:$GQ$19,MATCH(41,$B$29:$GQ$29,0))</f>
        <v>2.9063527202053651E-9</v>
      </c>
      <c r="AQ5">
        <f>INDEX($B$19:$GQ$19,MATCH(42,$B$29:$GQ$29,0))</f>
        <v>1.112905423807468E-9</v>
      </c>
      <c r="AR5">
        <f>INDEX($B$19:$GQ$19,MATCH(43,$B$29:$GQ$29,0))</f>
        <v>1.29273385360408E-6</v>
      </c>
      <c r="AS5">
        <f>INDEX($B$19:$GQ$19,MATCH(44,$B$29:$GQ$29,0))</f>
        <v>1.0441317116559101E-9</v>
      </c>
      <c r="AT5">
        <f>INDEX($B$19:$GQ$19,MATCH(45,$B$29:$GQ$29,0))</f>
        <v>2.7404013353067711E-10</v>
      </c>
      <c r="AU5">
        <f>INDEX($B$19:$GQ$19,MATCH(46,$B$29:$GQ$29,0))</f>
        <v>7.7255550172678091E-8</v>
      </c>
      <c r="AV5">
        <f>INDEX($B$19:$GQ$19,MATCH(47,$B$29:$GQ$29,0))</f>
        <v>1.5936597608457101E-9</v>
      </c>
      <c r="AW5">
        <f>INDEX($B$19:$GQ$19,MATCH(48,$B$29:$GQ$29,0))</f>
        <v>8.4390094518369605E-10</v>
      </c>
      <c r="AX5">
        <f>INDEX($B$19:$GQ$19,MATCH(49,$B$29:$GQ$29,0))</f>
        <v>1.0235559313036509E-9</v>
      </c>
      <c r="AY5">
        <f>INDEX($B$19:$GQ$19,MATCH(50,$B$29:$GQ$29,0))</f>
        <v>4.5043000070372703E-9</v>
      </c>
      <c r="AZ5">
        <f>INDEX($B$19:$GQ$19,MATCH(51,$B$29:$GQ$29,0))</f>
        <v>3.719018541812064E-9</v>
      </c>
      <c r="BA5">
        <f>INDEX($B$19:$GQ$19,MATCH(52,$B$29:$GQ$29,0))</f>
        <v>2.7521273331944868E-7</v>
      </c>
      <c r="BB5">
        <f>INDEX($B$19:$GQ$19,MATCH(53,$B$29:$GQ$29,0))</f>
        <v>1.163242634501935E-9</v>
      </c>
      <c r="BC5">
        <f>INDEX($B$19:$GQ$19,MATCH(54,$B$29:$GQ$29,0))</f>
        <v>1.4769960866098511E-9</v>
      </c>
      <c r="BD5">
        <f>INDEX($B$19:$GQ$19,MATCH(55,$B$29:$GQ$29,0))</f>
        <v>1.2398137649279501E-9</v>
      </c>
      <c r="BE5">
        <f>INDEX($B$19:$GQ$19,MATCH(56,$B$29:$GQ$29,0))</f>
        <v>1.6643245655366409E-9</v>
      </c>
      <c r="BF5">
        <f>INDEX($B$19:$GQ$19,MATCH(57,$B$29:$GQ$29,0))</f>
        <v>8.2906547604574512E-10</v>
      </c>
      <c r="BG5">
        <f>INDEX($B$19:$GQ$19,MATCH(58,$B$29:$GQ$29,0))</f>
        <v>6.8515711929729595E-8</v>
      </c>
      <c r="BH5">
        <f>INDEX($B$19:$GQ$19,MATCH(59,$B$29:$GQ$29,0))</f>
        <v>3.5451179769785209E-9</v>
      </c>
      <c r="BI5">
        <f>INDEX($B$19:$GQ$19,MATCH(60,$B$29:$GQ$29,0))</f>
        <v>4.1832904231729926E-9</v>
      </c>
      <c r="BJ5">
        <f>INDEX($B$19:$GQ$19,MATCH(61,$B$29:$GQ$29,0))</f>
        <v>9.8273929646423492E-10</v>
      </c>
      <c r="BK5">
        <f>INDEX($B$19:$GQ$19,MATCH(62,$B$29:$GQ$29,0))</f>
        <v>8.9856150013673503E-10</v>
      </c>
      <c r="BL5">
        <f>INDEX($B$19:$GQ$19,MATCH(63,$B$29:$GQ$29,0))</f>
        <v>8.6825305944370621E-10</v>
      </c>
      <c r="BM5">
        <f>INDEX($B$19:$GQ$19,MATCH(64,$B$29:$GQ$29,0))</f>
        <v>1.0355998213940049E-9</v>
      </c>
      <c r="BN5">
        <f>INDEX($B$19:$GQ$19,MATCH(65,$B$29:$GQ$29,0))</f>
        <v>3.2828037335867719E-9</v>
      </c>
      <c r="BO5">
        <f>INDEX($B$19:$GQ$19,MATCH(66,$B$29:$GQ$29,0))</f>
        <v>5.2970630117731016E-9</v>
      </c>
      <c r="BP5">
        <f>INDEX($B$19:$GQ$19,MATCH(67,$B$29:$GQ$29,0))</f>
        <v>3.2195492172347972E-10</v>
      </c>
      <c r="BQ5">
        <f>INDEX($B$19:$GQ$19,MATCH(68,$B$29:$GQ$29,0))</f>
        <v>3.2797429972605761E-8</v>
      </c>
      <c r="BR5">
        <f>INDEX($B$19:$GQ$19,MATCH(69,$B$29:$GQ$29,0))</f>
        <v>1.170565680957165E-9</v>
      </c>
      <c r="BS5">
        <f>INDEX($B$19:$GQ$19,MATCH(70,$B$29:$GQ$29,0))</f>
        <v>1.125772869101524E-9</v>
      </c>
      <c r="BT5">
        <f>INDEX($B$19:$GQ$19,MATCH(71,$B$29:$GQ$29,0))</f>
        <v>1.4226076989446251E-9</v>
      </c>
      <c r="BU5">
        <f>INDEX($B$19:$GQ$19,MATCH(72,$B$29:$GQ$29,0))</f>
        <v>2.226091469262125E-9</v>
      </c>
      <c r="BV5">
        <f>INDEX($B$19:$GQ$19,MATCH(73,$B$29:$GQ$29,0))</f>
        <v>7.732716758725654E-9</v>
      </c>
      <c r="BW5">
        <f>INDEX($B$19:$GQ$19,MATCH(74,$B$29:$GQ$29,0))</f>
        <v>3.7796711522807173E-9</v>
      </c>
      <c r="BX5">
        <f>INDEX($B$19:$GQ$19,MATCH(75,$B$29:$GQ$29,0))</f>
        <v>3.5734347173891021E-9</v>
      </c>
      <c r="BY5">
        <f>INDEX($B$19:$GQ$19,MATCH(76,$B$29:$GQ$29,0))</f>
        <v>1.1370166690679841E-9</v>
      </c>
      <c r="BZ5">
        <f>INDEX($B$19:$GQ$19,MATCH(77,$B$29:$GQ$29,0))</f>
        <v>1.1566492944896941E-9</v>
      </c>
      <c r="CA5">
        <f>INDEX($B$19:$GQ$19,MATCH(78,$B$29:$GQ$29,0))</f>
        <v>3.474104391439259E-10</v>
      </c>
      <c r="CB5">
        <f>INDEX($B$19:$GQ$19,MATCH(79,$B$29:$GQ$29,0))</f>
        <v>3.4868222306356782E-10</v>
      </c>
      <c r="CC5">
        <f>INDEX($B$19:$GQ$19,MATCH(80,$B$29:$GQ$29,0))</f>
        <v>1.393942455483006E-9</v>
      </c>
      <c r="CD5">
        <f>INDEX($B$19:$GQ$19,MATCH(81,$B$29:$GQ$29,0))</f>
        <v>1.3623013403464271E-9</v>
      </c>
      <c r="CE5">
        <f>INDEX($B$19:$GQ$19,MATCH(82,$B$29:$GQ$29,0))</f>
        <v>2.322665108083797E-8</v>
      </c>
      <c r="CF5">
        <f>INDEX($B$19:$GQ$19,MATCH(83,$B$29:$GQ$29,0))</f>
        <v>3.20837658498174E-9</v>
      </c>
      <c r="CG5">
        <f>INDEX($B$19:$GQ$19,MATCH(84,$B$29:$GQ$29,0))</f>
        <v>2.5727248595447168E-9</v>
      </c>
      <c r="CH5">
        <f>INDEX($B$19:$GQ$19,MATCH(85,$B$29:$GQ$29,0))</f>
        <v>9.4297924384247306E-10</v>
      </c>
      <c r="CI5">
        <f>INDEX($B$19:$GQ$19,MATCH(86,$B$29:$GQ$29,0))</f>
        <v>1.375165504077151E-9</v>
      </c>
      <c r="CJ5">
        <f>INDEX($B$19:$GQ$19,MATCH(87,$B$29:$GQ$29,0))</f>
        <v>1.360093999296204E-9</v>
      </c>
      <c r="CK5">
        <f>INDEX($B$19:$GQ$19,MATCH(88,$B$29:$GQ$29,0))</f>
        <v>1.3201620111850121E-9</v>
      </c>
      <c r="CL5">
        <f>INDEX($B$19:$GQ$19,MATCH(89,$B$29:$GQ$29,0))</f>
        <v>1.293712324123325E-9</v>
      </c>
      <c r="CM5">
        <f>INDEX($B$19:$GQ$19,MATCH(90,$B$29:$GQ$29,0))</f>
        <v>1.366815718321158E-9</v>
      </c>
      <c r="CN5">
        <f>INDEX($B$19:$GQ$19,MATCH(91,$B$29:$GQ$29,0))</f>
        <v>1.372607657391341E-9</v>
      </c>
      <c r="CO5">
        <f>INDEX($B$19:$GQ$19,MATCH(92,$B$29:$GQ$29,0))</f>
        <v>1.466119667637967E-9</v>
      </c>
      <c r="CP5">
        <f>INDEX($B$19:$GQ$19,MATCH(93,$B$29:$GQ$29,0))</f>
        <v>1.3483677119352249E-9</v>
      </c>
      <c r="CQ5">
        <f>INDEX($B$19:$GQ$19,MATCH(94,$B$29:$GQ$29,0))</f>
        <v>1.3396244346531509E-9</v>
      </c>
      <c r="CR5">
        <f>INDEX($B$19:$GQ$19,MATCH(95,$B$29:$GQ$29,0))</f>
        <v>8.1974563033731118E-10</v>
      </c>
      <c r="CS5">
        <f>INDEX($B$19:$GQ$19,MATCH(96,$B$29:$GQ$29,0))</f>
        <v>1.325778316168679E-9</v>
      </c>
      <c r="CT5">
        <f>INDEX($B$19:$GQ$19,MATCH(97,$B$29:$GQ$29,0))</f>
        <v>1.9763507003022269E-9</v>
      </c>
      <c r="CU5">
        <f>INDEX($B$19:$GQ$19,MATCH(98,$B$29:$GQ$29,0))</f>
        <v>1.348075228051878E-9</v>
      </c>
      <c r="CV5">
        <f>INDEX($B$19:$GQ$19,MATCH(99,$B$29:$GQ$29,0))</f>
        <v>1.3580605114654991E-9</v>
      </c>
      <c r="CW5">
        <f>INDEX($B$19:$GQ$19,MATCH(100,$B$29:$GQ$29,0))</f>
        <v>1.3583053058520749E-9</v>
      </c>
      <c r="CX5">
        <f>INDEX($B$19:$GQ$19,MATCH(101,$B$29:$GQ$29,0))</f>
        <v>4.6029729199455841E-10</v>
      </c>
      <c r="CY5">
        <f>INDEX($B$19:$GQ$19,MATCH(102,$B$29:$GQ$29,0))</f>
        <v>9.085082834432249E-10</v>
      </c>
      <c r="CZ5">
        <f>INDEX($B$19:$GQ$19,MATCH(103,$B$29:$GQ$29,0))</f>
        <v>3.4398634529734229E-10</v>
      </c>
      <c r="DA5">
        <f>INDEX($B$19:$GQ$19,MATCH(104,$B$29:$GQ$29,0))</f>
        <v>1.362491645578487E-9</v>
      </c>
      <c r="DB5">
        <f>INDEX($B$19:$GQ$19,MATCH(105,$B$29:$GQ$29,0))</f>
        <v>1.346946298965918E-9</v>
      </c>
      <c r="DC5">
        <f>INDEX($B$19:$GQ$19,MATCH(106,$B$29:$GQ$29,0))</f>
        <v>2.1126321234821892E-9</v>
      </c>
      <c r="DD5">
        <f>INDEX($B$19:$GQ$19,MATCH(107,$B$29:$GQ$29,0))</f>
        <v>0</v>
      </c>
      <c r="DE5">
        <f>INDEX($B$19:$GQ$19,MATCH(108,$B$29:$GQ$29,0))</f>
        <v>1.344092230053936E-9</v>
      </c>
      <c r="DF5">
        <f>INDEX($B$19:$GQ$19,MATCH(109,$B$29:$GQ$29,0))</f>
        <v>1.321846288280758E-9</v>
      </c>
      <c r="DG5">
        <f>INDEX($B$19:$GQ$19,MATCH(110,$B$29:$GQ$29,0))</f>
        <v>2.102818401831642E-9</v>
      </c>
      <c r="DH5">
        <f>INDEX($B$19:$GQ$19,MATCH(111,$B$29:$GQ$29,0))</f>
        <v>8.0778087265773857E-10</v>
      </c>
      <c r="DI5">
        <f>INDEX($B$19:$GQ$19,MATCH(112,$B$29:$GQ$29,0))</f>
        <v>1.320760495354702E-9</v>
      </c>
      <c r="DJ5">
        <f>INDEX($B$19:$GQ$19,MATCH(113,$B$29:$GQ$29,0))</f>
        <v>1.325696816157007E-9</v>
      </c>
      <c r="DK5">
        <f>INDEX($B$19:$GQ$19,MATCH(114,$B$29:$GQ$29,0))</f>
        <v>1.493039231965878E-9</v>
      </c>
      <c r="DL5">
        <f>INDEX($B$19:$GQ$19,MATCH(115,$B$29:$GQ$29,0))</f>
        <v>1.7298372450123181E-9</v>
      </c>
      <c r="DM5">
        <f>INDEX($B$19:$GQ$19,MATCH(116,$B$29:$GQ$29,0))</f>
        <v>1.099857296291997E-9</v>
      </c>
      <c r="DN5">
        <f>INDEX($B$19:$GQ$19,MATCH(117,$B$29:$GQ$29,0))</f>
        <v>9.4863101550150054E-11</v>
      </c>
      <c r="DO5">
        <f>INDEX($B$19:$GQ$19,MATCH(118,$B$29:$GQ$29,0))</f>
        <v>1.6382265502162281E-9</v>
      </c>
      <c r="DP5">
        <f>INDEX($B$19:$GQ$19,MATCH(119,$B$29:$GQ$29,0))</f>
        <v>5.7440064222186509E-10</v>
      </c>
      <c r="DQ5">
        <f>INDEX($B$19:$GQ$19,MATCH(120,$B$29:$GQ$29,0))</f>
        <v>2.0535923370601839E-10</v>
      </c>
      <c r="DR5">
        <f>INDEX($B$19:$GQ$19,MATCH(121,$B$29:$GQ$29,0))</f>
        <v>1.480965575092482E-9</v>
      </c>
      <c r="DS5">
        <f>INDEX($B$19:$GQ$19,MATCH(122,$B$29:$GQ$29,0))</f>
        <v>0</v>
      </c>
      <c r="DT5">
        <f>INDEX($B$19:$GQ$19,MATCH(123,$B$29:$GQ$29,0))</f>
        <v>2.1948750267859241E-9</v>
      </c>
      <c r="DU5">
        <f>INDEX($B$19:$GQ$19,MATCH(124,$B$29:$GQ$29,0))</f>
        <v>1.1160995119725269E-9</v>
      </c>
      <c r="DV5">
        <f>INDEX($B$19:$GQ$19,MATCH(125,$B$29:$GQ$29,0))</f>
        <v>1.2058575494112121E-9</v>
      </c>
      <c r="DW5">
        <f>INDEX($B$19:$GQ$19,MATCH(126,$B$29:$GQ$29,0))</f>
        <v>0</v>
      </c>
      <c r="DX5">
        <f>INDEX($B$19:$GQ$19,MATCH(127,$B$29:$GQ$29,0))</f>
        <v>0</v>
      </c>
      <c r="DY5">
        <f>INDEX($B$19:$GQ$19,MATCH(128,$B$29:$GQ$29,0))</f>
        <v>1.20406329242385E-9</v>
      </c>
      <c r="DZ5">
        <f>INDEX($B$19:$GQ$19,MATCH(129,$B$29:$GQ$29,0))</f>
        <v>2.5464517412428349E-11</v>
      </c>
      <c r="EA5">
        <f>INDEX($B$19:$GQ$19,MATCH(130,$B$29:$GQ$29,0))</f>
        <v>1.4912084726319E-9</v>
      </c>
      <c r="EB5">
        <f>INDEX($B$19:$GQ$19,MATCH(131,$B$29:$GQ$29,0))</f>
        <v>0</v>
      </c>
      <c r="EC5">
        <f>INDEX($B$19:$GQ$19,MATCH(132,$B$29:$GQ$29,0))</f>
        <v>1.4580149839959189E-9</v>
      </c>
      <c r="ED5">
        <f>INDEX($B$19:$GQ$19,MATCH(133,$B$29:$GQ$29,0))</f>
        <v>1.527074393549854E-9</v>
      </c>
      <c r="EE5">
        <f>INDEX($B$19:$GQ$19,MATCH(134,$B$29:$GQ$29,0))</f>
        <v>1.5438312703572389E-9</v>
      </c>
      <c r="EF5">
        <f>INDEX($B$19:$GQ$19,MATCH(135,$B$29:$GQ$29,0))</f>
        <v>5.6648904204780969E-6</v>
      </c>
      <c r="EG5">
        <f>INDEX($B$19:$GQ$19,MATCH(136,$B$29:$GQ$29,0))</f>
        <v>1.3450136234927921E-7</v>
      </c>
      <c r="EH5">
        <f>INDEX($B$19:$GQ$19,MATCH(137,$B$29:$GQ$29,0))</f>
        <v>4.9695003974264747E-8</v>
      </c>
      <c r="EI5">
        <f>INDEX($B$19:$GQ$19,MATCH(138,$B$29:$GQ$29,0))</f>
        <v>0</v>
      </c>
      <c r="EJ5">
        <f>INDEX($B$19:$GQ$19,MATCH(139,$B$29:$GQ$29,0))</f>
        <v>0</v>
      </c>
      <c r="EK5">
        <f>INDEX($B$19:$GQ$19,MATCH(140,$B$29:$GQ$29,0))</f>
        <v>0</v>
      </c>
      <c r="EL5">
        <f>INDEX($B$19:$GQ$19,MATCH(141,$B$29:$GQ$29,0))</f>
        <v>0</v>
      </c>
      <c r="EM5">
        <f>INDEX($B$19:$GQ$19,MATCH(142,$B$29:$GQ$29,0))</f>
        <v>0</v>
      </c>
      <c r="EN5">
        <f>INDEX($B$19:$GQ$19,MATCH(143,$B$29:$GQ$29,0))</f>
        <v>0</v>
      </c>
      <c r="EO5">
        <f>INDEX($B$19:$GQ$19,MATCH(144,$B$29:$GQ$29,0))</f>
        <v>0</v>
      </c>
      <c r="EP5">
        <f>INDEX($B$19:$GQ$19,MATCH(145,$B$29:$GQ$29,0))</f>
        <v>1.416722069130173E-9</v>
      </c>
      <c r="EQ5">
        <f>INDEX($B$19:$GQ$19,MATCH(146,$B$29:$GQ$29,0))</f>
        <v>1.14627312727984E-10</v>
      </c>
      <c r="ER5">
        <f>INDEX($B$19:$GQ$19,MATCH(147,$B$29:$GQ$29,0))</f>
        <v>0</v>
      </c>
      <c r="ES5">
        <f>INDEX($B$19:$GQ$19,MATCH(148,$B$29:$GQ$29,0))</f>
        <v>0</v>
      </c>
      <c r="ET5">
        <f>INDEX($B$19:$GQ$19,MATCH(149,$B$29:$GQ$29,0))</f>
        <v>0</v>
      </c>
      <c r="EU5">
        <f>INDEX($B$19:$GQ$19,MATCH(150,$B$29:$GQ$29,0))</f>
        <v>0</v>
      </c>
      <c r="EV5">
        <f>INDEX($B$19:$GQ$19,MATCH(151,$B$29:$GQ$29,0))</f>
        <v>0</v>
      </c>
      <c r="EW5">
        <f>INDEX($B$19:$GQ$19,MATCH(152,$B$29:$GQ$29,0))</f>
        <v>0</v>
      </c>
      <c r="EX5">
        <f>INDEX($B$19:$GQ$19,MATCH(153,$B$29:$GQ$29,0))</f>
        <v>0</v>
      </c>
      <c r="EY5">
        <f>INDEX($B$19:$GQ$19,MATCH(154,$B$29:$GQ$29,0))</f>
        <v>0</v>
      </c>
      <c r="EZ5">
        <f>INDEX($B$19:$GQ$19,MATCH(155,$B$29:$GQ$29,0))</f>
        <v>6.7745000015934926E-12</v>
      </c>
      <c r="FA5">
        <f>INDEX($B$19:$GQ$19,MATCH(156,$B$29:$GQ$29,0))</f>
        <v>2.2295403479039039E-9</v>
      </c>
      <c r="FB5">
        <f>INDEX($B$19:$GQ$19,MATCH(157,$B$29:$GQ$29,0))</f>
        <v>5.5052673231001093E-11</v>
      </c>
      <c r="FC5">
        <f>INDEX($B$19:$GQ$19,MATCH(158,$B$29:$GQ$29,0))</f>
        <v>1.0359116851844399E-9</v>
      </c>
      <c r="FD5">
        <f>INDEX($B$19:$GQ$19,MATCH(159,$B$29:$GQ$29,0))</f>
        <v>1.2547195841991389E-9</v>
      </c>
      <c r="FE5">
        <f>INDEX($B$19:$GQ$19,MATCH(160,$B$29:$GQ$29,0))</f>
        <v>1.102776278207653E-9</v>
      </c>
      <c r="FF5">
        <f>INDEX($B$19:$GQ$19,MATCH(161,$B$29:$GQ$29,0))</f>
        <v>0</v>
      </c>
      <c r="FG5">
        <f>INDEX($B$19:$GQ$19,MATCH(162,$B$29:$GQ$29,0))</f>
        <v>5.7090963993289218E-10</v>
      </c>
      <c r="FH5">
        <f>INDEX($B$19:$GQ$19,MATCH(163,$B$29:$GQ$29,0))</f>
        <v>0</v>
      </c>
      <c r="FI5">
        <f>INDEX($B$19:$GQ$19,MATCH(164,$B$29:$GQ$29,0))</f>
        <v>1.7517137429232939E-12</v>
      </c>
      <c r="FJ5">
        <f>INDEX($B$19:$GQ$19,MATCH(165,$B$29:$GQ$29,0))</f>
        <v>3.3435630524268058E-10</v>
      </c>
      <c r="FK5">
        <f>INDEX($B$19:$GQ$19,MATCH(166,$B$29:$GQ$29,0))</f>
        <v>0</v>
      </c>
      <c r="FL5">
        <f>INDEX($B$19:$GQ$19,MATCH(167,$B$29:$GQ$29,0))</f>
        <v>1.836650225541459E-10</v>
      </c>
      <c r="FM5">
        <f>INDEX($B$19:$GQ$19,MATCH(168,$B$29:$GQ$29,0))</f>
        <v>3.7588127959511589E-10</v>
      </c>
      <c r="FN5">
        <f>INDEX($B$19:$GQ$19,MATCH(169,$B$29:$GQ$29,0))</f>
        <v>6.353447628875712E-10</v>
      </c>
      <c r="FO5">
        <f>INDEX($B$19:$GQ$19,MATCH(170,$B$29:$GQ$29,0))</f>
        <v>6.9495581212600469E-11</v>
      </c>
      <c r="FP5">
        <f>INDEX($B$19:$GQ$19,MATCH(171,$B$29:$GQ$29,0))</f>
        <v>7.7428424422032931E-11</v>
      </c>
      <c r="FQ5">
        <f>INDEX($B$19:$GQ$19,MATCH(172,$B$29:$GQ$29,0))</f>
        <v>1.164830206725643E-10</v>
      </c>
      <c r="FR5">
        <f>INDEX($B$19:$GQ$19,MATCH(173,$B$29:$GQ$29,0))</f>
        <v>7.4130564643837086E-11</v>
      </c>
      <c r="FS5">
        <f>INDEX($B$19:$GQ$19,MATCH(174,$B$29:$GQ$29,0))</f>
        <v>9.7604256689837956E-12</v>
      </c>
      <c r="FT5">
        <f>INDEX($B$19:$GQ$19,MATCH(175,$B$29:$GQ$29,0))</f>
        <v>0</v>
      </c>
      <c r="FU5">
        <f>INDEX($B$19:$GQ$19,MATCH(176,$B$29:$GQ$29,0))</f>
        <v>1.044751991922908E-9</v>
      </c>
      <c r="FV5">
        <f>INDEX($B$19:$GQ$19,MATCH(177,$B$29:$GQ$29,0))</f>
        <v>0</v>
      </c>
      <c r="FW5">
        <f>INDEX($B$19:$GQ$19,MATCH(178,$B$29:$GQ$29,0))</f>
        <v>1.4128455569064041E-9</v>
      </c>
      <c r="FX5">
        <f>INDEX($B$19:$GQ$19,MATCH(179,$B$29:$GQ$29,0))</f>
        <v>1.081362947289959E-9</v>
      </c>
      <c r="FY5">
        <f>INDEX($B$19:$GQ$19,MATCH(180,$B$29:$GQ$29,0))</f>
        <v>0</v>
      </c>
      <c r="FZ5">
        <f>INDEX($B$19:$GQ$19,MATCH(181,$B$29:$GQ$29,0))</f>
        <v>6.7176707360652011E-10</v>
      </c>
      <c r="GA5">
        <f>INDEX($B$19:$GQ$19,MATCH(182,$B$29:$GQ$29,0))</f>
        <v>8.1239140747042802E-10</v>
      </c>
      <c r="GB5">
        <f>INDEX($B$19:$GQ$19,MATCH(183,$B$29:$GQ$29,0))</f>
        <v>8.2783524402926056E-10</v>
      </c>
      <c r="GC5">
        <f>INDEX($B$19:$GQ$19,MATCH(184,$B$29:$GQ$29,0))</f>
        <v>0</v>
      </c>
      <c r="GD5">
        <f>INDEX($B$19:$GQ$19,MATCH(185,$B$29:$GQ$29,0))</f>
        <v>0</v>
      </c>
      <c r="GE5">
        <f>INDEX($B$19:$GQ$19,MATCH(186,$B$29:$GQ$29,0))</f>
        <v>0</v>
      </c>
      <c r="GF5">
        <f>INDEX($B$19:$GQ$19,MATCH(187,$B$29:$GQ$29,0))</f>
        <v>0</v>
      </c>
      <c r="GG5">
        <f>INDEX($B$19:$GQ$19,MATCH(188,$B$29:$GQ$29,0))</f>
        <v>0</v>
      </c>
      <c r="GH5">
        <f>INDEX($B$19:$GQ$19,MATCH(189,$B$29:$GQ$29,0))</f>
        <v>0</v>
      </c>
      <c r="GI5">
        <f>INDEX($B$19:$GQ$19,MATCH(190,$B$29:$GQ$29,0))</f>
        <v>0</v>
      </c>
      <c r="GJ5">
        <f>INDEX($B$19:$GQ$19,MATCH(191,$B$29:$GQ$29,0))</f>
        <v>9.2218648868561073E-11</v>
      </c>
      <c r="GK5">
        <f>INDEX($B$19:$GQ$19,MATCH(192,$B$29:$GQ$29,0))</f>
        <v>1.887363084198312E-10</v>
      </c>
      <c r="GL5">
        <f>INDEX($B$19:$GQ$19,MATCH(193,$B$29:$GQ$29,0))</f>
        <v>3.9191270705606548E-17</v>
      </c>
      <c r="GM5">
        <f>INDEX($B$19:$GQ$19,MATCH(194,$B$29:$GQ$29,0))</f>
        <v>0</v>
      </c>
      <c r="GN5">
        <f>INDEX($B$19:$GQ$19,MATCH(195,$B$29:$GQ$29,0))</f>
        <v>3.9168228989364138E-10</v>
      </c>
      <c r="GO5">
        <f>INDEX($B$19:$GQ$19,MATCH(196,$B$29:$GQ$29,0))</f>
        <v>0</v>
      </c>
      <c r="GP5">
        <f>INDEX($B$19:$GQ$19,MATCH(197,$B$29:$GQ$29,0))</f>
        <v>1.501253466693308E-9</v>
      </c>
      <c r="GQ5">
        <f>INDEX($B$19:$GQ$19,MATCH(198,$B$29:$GQ$29,0))</f>
        <v>0</v>
      </c>
      <c r="GR5">
        <f>INDEX($GR$19:$HC$19,MATCH(1,$GR$30:$HC$30,0))</f>
        <v>2.214149407813218E-6</v>
      </c>
      <c r="GS5">
        <f>INDEX($GR$19:$HC$19,MATCH(2,$GR$30:$HC$30,0))</f>
        <v>1.626131563206766E-7</v>
      </c>
      <c r="GT5">
        <f>INDEX($GR$19:$HC$19,MATCH(3,$GR$30:$HC$30,0))</f>
        <v>3.3852650884529341E-9</v>
      </c>
      <c r="GU5">
        <f>INDEX($GR$19:$HC$19,MATCH(4,$GR$30:$HC$30,0))</f>
        <v>2.801428320909858E-9</v>
      </c>
      <c r="GV5">
        <f>INDEX($GR$19:$HC$19,MATCH(5,$GR$30:$HC$30,0))</f>
        <v>1.637004709595604E-7</v>
      </c>
      <c r="GW5">
        <f>INDEX($GR$19:$HC$19,MATCH(6,$GR$30:$HC$30,0))</f>
        <v>4.304853925348319E-7</v>
      </c>
      <c r="GX5">
        <f>INDEX($GR$19:$HC$19,MATCH(7,$GR$30:$HC$30,0))</f>
        <v>4.436137325293268E-7</v>
      </c>
      <c r="GY5">
        <f>INDEX($GR$19:$HC$19,MATCH(8,$GR$30:$HC$30,0))</f>
        <v>1.335333449565937E-9</v>
      </c>
      <c r="GZ5">
        <f>INDEX($GR$19:$HC$19,MATCH(9,$GR$30:$HC$30,0))</f>
        <v>1.2011390995365079E-9</v>
      </c>
      <c r="HA5">
        <f>INDEX($GR$19:$HC$19,MATCH(10,$GR$30:$HC$30,0))</f>
        <v>2.840057844199529E-8</v>
      </c>
      <c r="HB5">
        <f>INDEX($GR$19:$HC$19,MATCH(11,$GR$30:$HC$30,0))</f>
        <v>1.421295047412739E-9</v>
      </c>
      <c r="HC5">
        <f>INDEX($GR$19:$HC$19,MATCH(12,$GR$30:$HC$30,0))</f>
        <v>2.80832637034194E-8</v>
      </c>
    </row>
    <row r="6" spans="1:211" x14ac:dyDescent="0.45">
      <c r="A6" s="1" t="s">
        <v>5</v>
      </c>
      <c r="B6">
        <f>INDEX($B$20:$GQ$20,MATCH(1,$B$29:$GQ$29,0))</f>
        <v>1.375569622025935E-6</v>
      </c>
      <c r="C6">
        <f>INDEX($B$20:$GQ$20,MATCH(2,$B$29:$GQ$29,0))</f>
        <v>2.6908973590383929E-7</v>
      </c>
      <c r="D6">
        <f>INDEX($B$20:$GQ$20,MATCH(3,$B$29:$GQ$29,0))</f>
        <v>1.076368256488481E-6</v>
      </c>
      <c r="E6">
        <f>INDEX($B$20:$GQ$20,MATCH(4,$B$29:$GQ$29,0))</f>
        <v>4.0429908150026241E-7</v>
      </c>
      <c r="F6">
        <f>INDEX($B$20:$GQ$20,MATCH(5,$B$29:$GQ$29,0))</f>
        <v>1.6697690328367821E-7</v>
      </c>
      <c r="G6">
        <f>INDEX($B$20:$GQ$20,MATCH(6,$B$29:$GQ$29,0))</f>
        <v>1.062718528423252E-7</v>
      </c>
      <c r="H6">
        <f>INDEX($B$20:$GQ$20,MATCH(7,$B$29:$GQ$29,0))</f>
        <v>5.9765204307289119E-8</v>
      </c>
      <c r="I6">
        <f>INDEX($B$20:$GQ$20,MATCH(8,$B$29:$GQ$29,0))</f>
        <v>3.17434917060135E-7</v>
      </c>
      <c r="J6">
        <f>INDEX($B$20:$GQ$20,MATCH(9,$B$29:$GQ$29,0))</f>
        <v>4.301291299493487E-6</v>
      </c>
      <c r="K6">
        <f>INDEX($B$20:$GQ$20,MATCH(10,$B$29:$GQ$29,0))</f>
        <v>4.7023199512140523E-8</v>
      </c>
      <c r="L6">
        <f>INDEX($B$20:$GQ$20,MATCH(11,$B$29:$GQ$29,0))</f>
        <v>1.672284527841607E-7</v>
      </c>
      <c r="M6">
        <f>INDEX($B$20:$GQ$20,MATCH(12,$B$29:$GQ$29,0))</f>
        <v>1.271383583434497E-8</v>
      </c>
      <c r="N6">
        <f>INDEX($B$20:$GQ$20,MATCH(13,$B$29:$GQ$29,0))</f>
        <v>4.6438934695964067E-8</v>
      </c>
      <c r="O6">
        <f>INDEX($B$20:$GQ$20,MATCH(14,$B$29:$GQ$29,0))</f>
        <v>3.3737330859194261E-8</v>
      </c>
      <c r="P6">
        <f>INDEX($B$20:$GQ$20,MATCH(15,$B$29:$GQ$29,0))</f>
        <v>2.5188284828033259E-8</v>
      </c>
      <c r="Q6">
        <f>INDEX($B$20:$GQ$20,MATCH(16,$B$29:$GQ$29,0))</f>
        <v>1.3056848588728749E-7</v>
      </c>
      <c r="R6">
        <f>INDEX($B$20:$GQ$20,MATCH(17,$B$29:$GQ$29,0))</f>
        <v>1.8609676679107851E-7</v>
      </c>
      <c r="S6">
        <f>INDEX($B$20:$GQ$20,MATCH(18,$B$29:$GQ$29,0))</f>
        <v>1.3381227412771819E-7</v>
      </c>
      <c r="T6">
        <f>INDEX($B$20:$GQ$20,MATCH(19,$B$29:$GQ$29,0))</f>
        <v>1.3880517715122639E-7</v>
      </c>
      <c r="U6">
        <f>INDEX($B$20:$GQ$20,MATCH(20,$B$29:$GQ$29,0))</f>
        <v>1.5838930799265239E-7</v>
      </c>
      <c r="V6">
        <f>INDEX($B$20:$GQ$20,MATCH(21,$B$29:$GQ$29,0))</f>
        <v>8.8456049941375213E-8</v>
      </c>
      <c r="W6">
        <f>INDEX($B$20:$GQ$20,MATCH(22,$B$29:$GQ$29,0))</f>
        <v>2.002348569051114E-5</v>
      </c>
      <c r="X6">
        <f>INDEX($B$20:$GQ$20,MATCH(23,$B$29:$GQ$29,0))</f>
        <v>5.6610277962835587E-8</v>
      </c>
      <c r="Y6">
        <f>INDEX($B$20:$GQ$20,MATCH(24,$B$29:$GQ$29,0))</f>
        <v>3.7532435280233457E-8</v>
      </c>
      <c r="Z6">
        <f>INDEX($B$20:$GQ$20,MATCH(25,$B$29:$GQ$29,0))</f>
        <v>2.2137160014671721E-7</v>
      </c>
      <c r="AA6">
        <f>INDEX($B$20:$GQ$20,MATCH(26,$B$29:$GQ$29,0))</f>
        <v>9.9472100301526209E-7</v>
      </c>
      <c r="AB6">
        <f>INDEX($B$20:$GQ$20,MATCH(27,$B$29:$GQ$29,0))</f>
        <v>6.0055300150581302E-7</v>
      </c>
      <c r="AC6">
        <f>INDEX($B$20:$GQ$20,MATCH(28,$B$29:$GQ$29,0))</f>
        <v>7.7727147989572163E-8</v>
      </c>
      <c r="AD6">
        <f>INDEX($B$20:$GQ$20,MATCH(29,$B$29:$GQ$29,0))</f>
        <v>1.52516292389168E-8</v>
      </c>
      <c r="AE6">
        <f>INDEX($B$20:$GQ$20,MATCH(30,$B$29:$GQ$29,0))</f>
        <v>8.6743419693563556E-8</v>
      </c>
      <c r="AF6">
        <f>INDEX($B$20:$GQ$20,MATCH(31,$B$29:$GQ$29,0))</f>
        <v>1.79450034904272E-8</v>
      </c>
      <c r="AG6">
        <f>INDEX($B$20:$GQ$20,MATCH(32,$B$29:$GQ$29,0))</f>
        <v>2.1157870019488129E-8</v>
      </c>
      <c r="AH6">
        <f>INDEX($B$20:$GQ$20,MATCH(33,$B$29:$GQ$29,0))</f>
        <v>5.4922899615690567E-7</v>
      </c>
      <c r="AI6">
        <f>INDEX($B$20:$GQ$20,MATCH(34,$B$29:$GQ$29,0))</f>
        <v>3.3480186300816322E-7</v>
      </c>
      <c r="AJ6">
        <f>INDEX($B$20:$GQ$20,MATCH(35,$B$29:$GQ$29,0))</f>
        <v>1.732903482788726E-7</v>
      </c>
      <c r="AK6">
        <f>INDEX($B$20:$GQ$20,MATCH(36,$B$29:$GQ$29,0))</f>
        <v>6.7947166999746198E-8</v>
      </c>
      <c r="AL6">
        <f>INDEX($B$20:$GQ$20,MATCH(37,$B$29:$GQ$29,0))</f>
        <v>8.6576585101207571E-8</v>
      </c>
      <c r="AM6">
        <f>INDEX($B$20:$GQ$20,MATCH(38,$B$29:$GQ$29,0))</f>
        <v>1.355105759579267E-8</v>
      </c>
      <c r="AN6">
        <f>INDEX($B$20:$GQ$20,MATCH(39,$B$29:$GQ$29,0))</f>
        <v>2.6649037587384991E-8</v>
      </c>
      <c r="AO6">
        <f>INDEX($B$20:$GQ$20,MATCH(40,$B$29:$GQ$29,0))</f>
        <v>0</v>
      </c>
      <c r="AP6">
        <f>INDEX($B$20:$GQ$20,MATCH(41,$B$29:$GQ$29,0))</f>
        <v>1.9026779656267831E-8</v>
      </c>
      <c r="AQ6">
        <f>INDEX($B$20:$GQ$20,MATCH(42,$B$29:$GQ$29,0))</f>
        <v>2.9635467726863751E-8</v>
      </c>
      <c r="AR6">
        <f>INDEX($B$20:$GQ$20,MATCH(43,$B$29:$GQ$29,0))</f>
        <v>4.2918813869447132E-7</v>
      </c>
      <c r="AS6">
        <f>INDEX($B$20:$GQ$20,MATCH(44,$B$29:$GQ$29,0))</f>
        <v>1.1010117580404621E-8</v>
      </c>
      <c r="AT6">
        <f>INDEX($B$20:$GQ$20,MATCH(45,$B$29:$GQ$29,0))</f>
        <v>3.2364849588912502E-8</v>
      </c>
      <c r="AU6">
        <f>INDEX($B$20:$GQ$20,MATCH(46,$B$29:$GQ$29,0))</f>
        <v>3.8910970752950991E-7</v>
      </c>
      <c r="AV6">
        <f>INDEX($B$20:$GQ$20,MATCH(47,$B$29:$GQ$29,0))</f>
        <v>6.8594204727011658E-8</v>
      </c>
      <c r="AW6">
        <f>INDEX($B$20:$GQ$20,MATCH(48,$B$29:$GQ$29,0))</f>
        <v>0</v>
      </c>
      <c r="AX6">
        <f>INDEX($B$20:$GQ$20,MATCH(49,$B$29:$GQ$29,0))</f>
        <v>1.100822144992944E-7</v>
      </c>
      <c r="AY6">
        <f>INDEX($B$20:$GQ$20,MATCH(50,$B$29:$GQ$29,0))</f>
        <v>2.7222818938438841E-7</v>
      </c>
      <c r="AZ6">
        <f>INDEX($B$20:$GQ$20,MATCH(51,$B$29:$GQ$29,0))</f>
        <v>2.900070798271475E-8</v>
      </c>
      <c r="BA6">
        <f>INDEX($B$20:$GQ$20,MATCH(52,$B$29:$GQ$29,0))</f>
        <v>6.4624457833425061E-7</v>
      </c>
      <c r="BB6">
        <f>INDEX($B$20:$GQ$20,MATCH(53,$B$29:$GQ$29,0))</f>
        <v>4.6960860122854507E-8</v>
      </c>
      <c r="BC6">
        <f>INDEX($B$20:$GQ$20,MATCH(54,$B$29:$GQ$29,0))</f>
        <v>1.807389373082081E-8</v>
      </c>
      <c r="BD6">
        <f>INDEX($B$20:$GQ$20,MATCH(55,$B$29:$GQ$29,0))</f>
        <v>1.437785664445159E-8</v>
      </c>
      <c r="BE6">
        <f>INDEX($B$20:$GQ$20,MATCH(56,$B$29:$GQ$29,0))</f>
        <v>4.513353734728474E-8</v>
      </c>
      <c r="BF6">
        <f>INDEX($B$20:$GQ$20,MATCH(57,$B$29:$GQ$29,0))</f>
        <v>2.284905549356886E-8</v>
      </c>
      <c r="BG6">
        <f>INDEX($B$20:$GQ$20,MATCH(58,$B$29:$GQ$29,0))</f>
        <v>5.2561293985826198E-7</v>
      </c>
      <c r="BH6">
        <f>INDEX($B$20:$GQ$20,MATCH(59,$B$29:$GQ$29,0))</f>
        <v>9.935172452255283E-8</v>
      </c>
      <c r="BI6">
        <f>INDEX($B$20:$GQ$20,MATCH(60,$B$29:$GQ$29,0))</f>
        <v>0</v>
      </c>
      <c r="BJ6">
        <f>INDEX($B$20:$GQ$20,MATCH(61,$B$29:$GQ$29,0))</f>
        <v>9.479623176959541E-9</v>
      </c>
      <c r="BK6">
        <f>INDEX($B$20:$GQ$20,MATCH(62,$B$29:$GQ$29,0))</f>
        <v>1.693487478625723E-8</v>
      </c>
      <c r="BL6">
        <f>INDEX($B$20:$GQ$20,MATCH(63,$B$29:$GQ$29,0))</f>
        <v>1.6084255848877999E-8</v>
      </c>
      <c r="BM6">
        <f>INDEX($B$20:$GQ$20,MATCH(64,$B$29:$GQ$29,0))</f>
        <v>4.6432184233581552E-8</v>
      </c>
      <c r="BN6">
        <f>INDEX($B$20:$GQ$20,MATCH(65,$B$29:$GQ$29,0))</f>
        <v>8.2238017392416687E-8</v>
      </c>
      <c r="BO6">
        <f>INDEX($B$20:$GQ$20,MATCH(66,$B$29:$GQ$29,0))</f>
        <v>5.6888297906773762E-8</v>
      </c>
      <c r="BP6">
        <f>INDEX($B$20:$GQ$20,MATCH(67,$B$29:$GQ$29,0))</f>
        <v>0</v>
      </c>
      <c r="BQ6">
        <f>INDEX($B$20:$GQ$20,MATCH(68,$B$29:$GQ$29,0))</f>
        <v>2.0133098493164049E-7</v>
      </c>
      <c r="BR6">
        <f>INDEX($B$20:$GQ$20,MATCH(69,$B$29:$GQ$29,0))</f>
        <v>5.3579579531169923E-8</v>
      </c>
      <c r="BS6">
        <f>INDEX($B$20:$GQ$20,MATCH(70,$B$29:$GQ$29,0))</f>
        <v>0</v>
      </c>
      <c r="BT6">
        <f>INDEX($B$20:$GQ$20,MATCH(71,$B$29:$GQ$29,0))</f>
        <v>3.8521450516742683E-8</v>
      </c>
      <c r="BU6">
        <f>INDEX($B$20:$GQ$20,MATCH(72,$B$29:$GQ$29,0))</f>
        <v>3.2492690506218923E-8</v>
      </c>
      <c r="BV6">
        <f>INDEX($B$20:$GQ$20,MATCH(73,$B$29:$GQ$29,0))</f>
        <v>2.9932996821914077E-7</v>
      </c>
      <c r="BW6">
        <f>INDEX($B$20:$GQ$20,MATCH(74,$B$29:$GQ$29,0))</f>
        <v>0</v>
      </c>
      <c r="BX6">
        <f>INDEX($B$20:$GQ$20,MATCH(75,$B$29:$GQ$29,0))</f>
        <v>3.4949791125196732E-8</v>
      </c>
      <c r="BY6">
        <f>INDEX($B$20:$GQ$20,MATCH(76,$B$29:$GQ$29,0))</f>
        <v>8.4419550874321044E-7</v>
      </c>
      <c r="BZ6">
        <f>INDEX($B$20:$GQ$20,MATCH(77,$B$29:$GQ$29,0))</f>
        <v>8.2869713107891859E-8</v>
      </c>
      <c r="CA6">
        <f>INDEX($B$20:$GQ$20,MATCH(78,$B$29:$GQ$29,0))</f>
        <v>0</v>
      </c>
      <c r="CB6">
        <f>INDEX($B$20:$GQ$20,MATCH(79,$B$29:$GQ$29,0))</f>
        <v>1.800773981738798E-8</v>
      </c>
      <c r="CC6">
        <f>INDEX($B$20:$GQ$20,MATCH(80,$B$29:$GQ$29,0))</f>
        <v>8.7214762545657355E-8</v>
      </c>
      <c r="CD6">
        <f>INDEX($B$20:$GQ$20,MATCH(81,$B$29:$GQ$29,0))</f>
        <v>1.099474992637827E-8</v>
      </c>
      <c r="CE6">
        <f>INDEX($B$20:$GQ$20,MATCH(82,$B$29:$GQ$29,0))</f>
        <v>6.9763483315937758E-10</v>
      </c>
      <c r="CF6">
        <f>INDEX($B$20:$GQ$20,MATCH(83,$B$29:$GQ$29,0))</f>
        <v>4.3717618139650127E-9</v>
      </c>
      <c r="CG6">
        <f>INDEX($B$20:$GQ$20,MATCH(84,$B$29:$GQ$29,0))</f>
        <v>2.7777492837298642E-7</v>
      </c>
      <c r="CH6">
        <f>INDEX($B$20:$GQ$20,MATCH(85,$B$29:$GQ$29,0))</f>
        <v>9.5446556121451023E-9</v>
      </c>
      <c r="CI6">
        <f>INDEX($B$20:$GQ$20,MATCH(86,$B$29:$GQ$29,0))</f>
        <v>1.4193849705349039E-8</v>
      </c>
      <c r="CJ6">
        <f>INDEX($B$20:$GQ$20,MATCH(87,$B$29:$GQ$29,0))</f>
        <v>1.2135592597384941E-8</v>
      </c>
      <c r="CK6">
        <f>INDEX($B$20:$GQ$20,MATCH(88,$B$29:$GQ$29,0))</f>
        <v>2.25480933935963E-8</v>
      </c>
      <c r="CL6">
        <f>INDEX($B$20:$GQ$20,MATCH(89,$B$29:$GQ$29,0))</f>
        <v>1.20863688066819E-8</v>
      </c>
      <c r="CM6">
        <f>INDEX($B$20:$GQ$20,MATCH(90,$B$29:$GQ$29,0))</f>
        <v>1.051867637989234E-8</v>
      </c>
      <c r="CN6">
        <f>INDEX($B$20:$GQ$20,MATCH(91,$B$29:$GQ$29,0))</f>
        <v>1.416105359744034E-8</v>
      </c>
      <c r="CO6">
        <f>INDEX($B$20:$GQ$20,MATCH(92,$B$29:$GQ$29,0))</f>
        <v>0</v>
      </c>
      <c r="CP6">
        <f>INDEX($B$20:$GQ$20,MATCH(93,$B$29:$GQ$29,0))</f>
        <v>8.9206681459856166E-9</v>
      </c>
      <c r="CQ6">
        <f>INDEX($B$20:$GQ$20,MATCH(94,$B$29:$GQ$29,0))</f>
        <v>7.3677753337228662E-9</v>
      </c>
      <c r="CR6">
        <f>INDEX($B$20:$GQ$20,MATCH(95,$B$29:$GQ$29,0))</f>
        <v>0</v>
      </c>
      <c r="CS6">
        <f>INDEX($B$20:$GQ$20,MATCH(96,$B$29:$GQ$29,0))</f>
        <v>1.193094299859093E-8</v>
      </c>
      <c r="CT6">
        <f>INDEX($B$20:$GQ$20,MATCH(97,$B$29:$GQ$29,0))</f>
        <v>0</v>
      </c>
      <c r="CU6">
        <f>INDEX($B$20:$GQ$20,MATCH(98,$B$29:$GQ$29,0))</f>
        <v>6.9999150831407969E-9</v>
      </c>
      <c r="CV6">
        <f>INDEX($B$20:$GQ$20,MATCH(99,$B$29:$GQ$29,0))</f>
        <v>1.099871587777166E-8</v>
      </c>
      <c r="CW6">
        <f>INDEX($B$20:$GQ$20,MATCH(100,$B$29:$GQ$29,0))</f>
        <v>8.6417464863292315E-9</v>
      </c>
      <c r="CX6">
        <f>INDEX($B$20:$GQ$20,MATCH(101,$B$29:$GQ$29,0))</f>
        <v>1.8957129601136209E-8</v>
      </c>
      <c r="CY6">
        <f>INDEX($B$20:$GQ$20,MATCH(102,$B$29:$GQ$29,0))</f>
        <v>3.561998264469662E-8</v>
      </c>
      <c r="CZ6">
        <f>INDEX($B$20:$GQ$20,MATCH(103,$B$29:$GQ$29,0))</f>
        <v>3.1666645837529348E-8</v>
      </c>
      <c r="DA6">
        <f>INDEX($B$20:$GQ$20,MATCH(104,$B$29:$GQ$29,0))</f>
        <v>1.0332797924003819E-8</v>
      </c>
      <c r="DB6">
        <f>INDEX($B$20:$GQ$20,MATCH(105,$B$29:$GQ$29,0))</f>
        <v>8.3130640772275278E-9</v>
      </c>
      <c r="DC6">
        <f>INDEX($B$20:$GQ$20,MATCH(106,$B$29:$GQ$29,0))</f>
        <v>1.263543175707543E-8</v>
      </c>
      <c r="DD6">
        <f>INDEX($B$20:$GQ$20,MATCH(107,$B$29:$GQ$29,0))</f>
        <v>1.030825539155745E-8</v>
      </c>
      <c r="DE6">
        <f>INDEX($B$20:$GQ$20,MATCH(108,$B$29:$GQ$29,0))</f>
        <v>9.032802103214272E-9</v>
      </c>
      <c r="DF6">
        <f>INDEX($B$20:$GQ$20,MATCH(109,$B$29:$GQ$29,0))</f>
        <v>6.4325807212307344E-9</v>
      </c>
      <c r="DG6">
        <f>INDEX($B$20:$GQ$20,MATCH(110,$B$29:$GQ$29,0))</f>
        <v>2.6445955754433899E-8</v>
      </c>
      <c r="DH6">
        <f>INDEX($B$20:$GQ$20,MATCH(111,$B$29:$GQ$29,0))</f>
        <v>3.4534882191237849E-7</v>
      </c>
      <c r="DI6">
        <f>INDEX($B$20:$GQ$20,MATCH(112,$B$29:$GQ$29,0))</f>
        <v>5.8199541836213553E-9</v>
      </c>
      <c r="DJ6">
        <f>INDEX($B$20:$GQ$20,MATCH(113,$B$29:$GQ$29,0))</f>
        <v>6.1107713885744942E-9</v>
      </c>
      <c r="DK6">
        <f>INDEX($B$20:$GQ$20,MATCH(114,$B$29:$GQ$29,0))</f>
        <v>2.5459136776822641E-8</v>
      </c>
      <c r="DL6">
        <f>INDEX($B$20:$GQ$20,MATCH(115,$B$29:$GQ$29,0))</f>
        <v>7.000412334770797E-8</v>
      </c>
      <c r="DM6">
        <f>INDEX($B$20:$GQ$20,MATCH(116,$B$29:$GQ$29,0))</f>
        <v>4.6158062688551311E-8</v>
      </c>
      <c r="DN6">
        <f>INDEX($B$20:$GQ$20,MATCH(117,$B$29:$GQ$29,0))</f>
        <v>5.5877036176695178E-8</v>
      </c>
      <c r="DO6">
        <f>INDEX($B$20:$GQ$20,MATCH(118,$B$29:$GQ$29,0))</f>
        <v>0</v>
      </c>
      <c r="DP6">
        <f>INDEX($B$20:$GQ$20,MATCH(119,$B$29:$GQ$29,0))</f>
        <v>8.427994074666329E-9</v>
      </c>
      <c r="DQ6">
        <f>INDEX($B$20:$GQ$20,MATCH(120,$B$29:$GQ$29,0))</f>
        <v>1.24625536907208E-7</v>
      </c>
      <c r="DR6">
        <f>INDEX($B$20:$GQ$20,MATCH(121,$B$29:$GQ$29,0))</f>
        <v>0</v>
      </c>
      <c r="DS6">
        <f>INDEX($B$20:$GQ$20,MATCH(122,$B$29:$GQ$29,0))</f>
        <v>7.0543044778812691E-9</v>
      </c>
      <c r="DT6">
        <f>INDEX($B$20:$GQ$20,MATCH(123,$B$29:$GQ$29,0))</f>
        <v>2.551076304899802E-8</v>
      </c>
      <c r="DU6">
        <f>INDEX($B$20:$GQ$20,MATCH(124,$B$29:$GQ$29,0))</f>
        <v>4.4558159125442068E-8</v>
      </c>
      <c r="DV6">
        <f>INDEX($B$20:$GQ$20,MATCH(125,$B$29:$GQ$29,0))</f>
        <v>7.330031648673028E-9</v>
      </c>
      <c r="DW6">
        <f>INDEX($B$20:$GQ$20,MATCH(126,$B$29:$GQ$29,0))</f>
        <v>2.5055380259657001E-9</v>
      </c>
      <c r="DX6">
        <f>INDEX($B$20:$GQ$20,MATCH(127,$B$29:$GQ$29,0))</f>
        <v>1.1299792618902039E-9</v>
      </c>
      <c r="DY6">
        <f>INDEX($B$20:$GQ$20,MATCH(128,$B$29:$GQ$29,0))</f>
        <v>0</v>
      </c>
      <c r="DZ6">
        <f>INDEX($B$20:$GQ$20,MATCH(129,$B$29:$GQ$29,0))</f>
        <v>1.986524886007596E-8</v>
      </c>
      <c r="EA6">
        <f>INDEX($B$20:$GQ$20,MATCH(130,$B$29:$GQ$29,0))</f>
        <v>0</v>
      </c>
      <c r="EB6">
        <f>INDEX($B$20:$GQ$20,MATCH(131,$B$29:$GQ$29,0))</f>
        <v>3.4839326481537511E-9</v>
      </c>
      <c r="EC6">
        <f>INDEX($B$20:$GQ$20,MATCH(132,$B$29:$GQ$29,0))</f>
        <v>2.177023564829688E-8</v>
      </c>
      <c r="ED6">
        <f>INDEX($B$20:$GQ$20,MATCH(133,$B$29:$GQ$29,0))</f>
        <v>0</v>
      </c>
      <c r="EE6">
        <f>INDEX($B$20:$GQ$20,MATCH(134,$B$29:$GQ$29,0))</f>
        <v>4.9065125304780328E-8</v>
      </c>
      <c r="EF6">
        <f>INDEX($B$20:$GQ$20,MATCH(135,$B$29:$GQ$29,0))</f>
        <v>1.0635427267640501E-5</v>
      </c>
      <c r="EG6">
        <f>INDEX($B$20:$GQ$20,MATCH(136,$B$29:$GQ$29,0))</f>
        <v>2.4765692869861378E-7</v>
      </c>
      <c r="EH6">
        <f>INDEX($B$20:$GQ$20,MATCH(137,$B$29:$GQ$29,0))</f>
        <v>5.6996894901245499E-6</v>
      </c>
      <c r="EI6">
        <f>INDEX($B$20:$GQ$20,MATCH(138,$B$29:$GQ$29,0))</f>
        <v>0</v>
      </c>
      <c r="EJ6">
        <f>INDEX($B$20:$GQ$20,MATCH(139,$B$29:$GQ$29,0))</f>
        <v>0</v>
      </c>
      <c r="EK6">
        <f>INDEX($B$20:$GQ$20,MATCH(140,$B$29:$GQ$29,0))</f>
        <v>6.4571389479530084E-10</v>
      </c>
      <c r="EL6">
        <f>INDEX($B$20:$GQ$20,MATCH(141,$B$29:$GQ$29,0))</f>
        <v>0</v>
      </c>
      <c r="EM6">
        <f>INDEX($B$20:$GQ$20,MATCH(142,$B$29:$GQ$29,0))</f>
        <v>7.949381410677755E-9</v>
      </c>
      <c r="EN6">
        <f>INDEX($B$20:$GQ$20,MATCH(143,$B$29:$GQ$29,0))</f>
        <v>2.7201231792486389E-8</v>
      </c>
      <c r="EO6">
        <f>INDEX($B$20:$GQ$20,MATCH(144,$B$29:$GQ$29,0))</f>
        <v>0</v>
      </c>
      <c r="EP6">
        <f>INDEX($B$20:$GQ$20,MATCH(145,$B$29:$GQ$29,0))</f>
        <v>1.2581421325322261E-8</v>
      </c>
      <c r="EQ6">
        <f>INDEX($B$20:$GQ$20,MATCH(146,$B$29:$GQ$29,0))</f>
        <v>1.186536043262268E-7</v>
      </c>
      <c r="ER6">
        <f>INDEX($B$20:$GQ$20,MATCH(147,$B$29:$GQ$29,0))</f>
        <v>0</v>
      </c>
      <c r="ES6">
        <f>INDEX($B$20:$GQ$20,MATCH(148,$B$29:$GQ$29,0))</f>
        <v>6.6222090313058283E-9</v>
      </c>
      <c r="ET6">
        <f>INDEX($B$20:$GQ$20,MATCH(149,$B$29:$GQ$29,0))</f>
        <v>3.199292629496272E-12</v>
      </c>
      <c r="EU6">
        <f>INDEX($B$20:$GQ$20,MATCH(150,$B$29:$GQ$29,0))</f>
        <v>2.3996397227944431E-5</v>
      </c>
      <c r="EV6">
        <f>INDEX($B$20:$GQ$20,MATCH(151,$B$29:$GQ$29,0))</f>
        <v>7.167149146560173E-8</v>
      </c>
      <c r="EW6">
        <f>INDEX($B$20:$GQ$20,MATCH(152,$B$29:$GQ$29,0))</f>
        <v>4.5149664452905241E-10</v>
      </c>
      <c r="EX6">
        <f>INDEX($B$20:$GQ$20,MATCH(153,$B$29:$GQ$29,0))</f>
        <v>1.206054843472856E-7</v>
      </c>
      <c r="EY6">
        <f>INDEX($B$20:$GQ$20,MATCH(154,$B$29:$GQ$29,0))</f>
        <v>4.4573512250265059E-9</v>
      </c>
      <c r="EZ6">
        <f>INDEX($B$20:$GQ$20,MATCH(155,$B$29:$GQ$29,0))</f>
        <v>2.8655495774731709E-10</v>
      </c>
      <c r="FA6">
        <f>INDEX($B$20:$GQ$20,MATCH(156,$B$29:$GQ$29,0))</f>
        <v>2.4955267344664371E-9</v>
      </c>
      <c r="FB6">
        <f>INDEX($B$20:$GQ$20,MATCH(157,$B$29:$GQ$29,0))</f>
        <v>5.6534129276234369E-10</v>
      </c>
      <c r="FC6">
        <f>INDEX($B$20:$GQ$20,MATCH(158,$B$29:$GQ$29,0))</f>
        <v>1.744105651058135E-9</v>
      </c>
      <c r="FD6">
        <f>INDEX($B$20:$GQ$20,MATCH(159,$B$29:$GQ$29,0))</f>
        <v>1.9669660558945341E-7</v>
      </c>
      <c r="FE6">
        <f>INDEX($B$20:$GQ$20,MATCH(160,$B$29:$GQ$29,0))</f>
        <v>0</v>
      </c>
      <c r="FF6">
        <f>INDEX($B$20:$GQ$20,MATCH(161,$B$29:$GQ$29,0))</f>
        <v>0</v>
      </c>
      <c r="FG6">
        <f>INDEX($B$20:$GQ$20,MATCH(162,$B$29:$GQ$29,0))</f>
        <v>0</v>
      </c>
      <c r="FH6">
        <f>INDEX($B$20:$GQ$20,MATCH(163,$B$29:$GQ$29,0))</f>
        <v>0</v>
      </c>
      <c r="FI6">
        <f>INDEX($B$20:$GQ$20,MATCH(164,$B$29:$GQ$29,0))</f>
        <v>0</v>
      </c>
      <c r="FJ6">
        <f>INDEX($B$20:$GQ$20,MATCH(165,$B$29:$GQ$29,0))</f>
        <v>8.2415153467534208E-9</v>
      </c>
      <c r="FK6">
        <f>INDEX($B$20:$GQ$20,MATCH(166,$B$29:$GQ$29,0))</f>
        <v>0</v>
      </c>
      <c r="FL6">
        <f>INDEX($B$20:$GQ$20,MATCH(167,$B$29:$GQ$29,0))</f>
        <v>1.345145802389844E-8</v>
      </c>
      <c r="FM6">
        <f>INDEX($B$20:$GQ$20,MATCH(168,$B$29:$GQ$29,0))</f>
        <v>0</v>
      </c>
      <c r="FN6">
        <f>INDEX($B$20:$GQ$20,MATCH(169,$B$29:$GQ$29,0))</f>
        <v>0</v>
      </c>
      <c r="FO6">
        <f>INDEX($B$20:$GQ$20,MATCH(170,$B$29:$GQ$29,0))</f>
        <v>6.4211561995823063E-9</v>
      </c>
      <c r="FP6">
        <f>INDEX($B$20:$GQ$20,MATCH(171,$B$29:$GQ$29,0))</f>
        <v>0</v>
      </c>
      <c r="FQ6">
        <f>INDEX($B$20:$GQ$20,MATCH(172,$B$29:$GQ$29,0))</f>
        <v>5.6754266427335598E-9</v>
      </c>
      <c r="FR6">
        <f>INDEX($B$20:$GQ$20,MATCH(173,$B$29:$GQ$29,0))</f>
        <v>3.9239762564047726E-9</v>
      </c>
      <c r="FS6">
        <f>INDEX($B$20:$GQ$20,MATCH(174,$B$29:$GQ$29,0))</f>
        <v>0</v>
      </c>
      <c r="FT6">
        <f>INDEX($B$20:$GQ$20,MATCH(175,$B$29:$GQ$29,0))</f>
        <v>0</v>
      </c>
      <c r="FU6">
        <f>INDEX($B$20:$GQ$20,MATCH(176,$B$29:$GQ$29,0))</f>
        <v>1.464681606975122E-6</v>
      </c>
      <c r="FV6">
        <f>INDEX($B$20:$GQ$20,MATCH(177,$B$29:$GQ$29,0))</f>
        <v>0</v>
      </c>
      <c r="FW6">
        <f>INDEX($B$20:$GQ$20,MATCH(178,$B$29:$GQ$29,0))</f>
        <v>3.3281700826786852E-8</v>
      </c>
      <c r="FX6">
        <f>INDEX($B$20:$GQ$20,MATCH(179,$B$29:$GQ$29,0))</f>
        <v>0</v>
      </c>
      <c r="FY6">
        <f>INDEX($B$20:$GQ$20,MATCH(180,$B$29:$GQ$29,0))</f>
        <v>0</v>
      </c>
      <c r="FZ6">
        <f>INDEX($B$20:$GQ$20,MATCH(181,$B$29:$GQ$29,0))</f>
        <v>8.9413372009175849E-8</v>
      </c>
      <c r="GA6">
        <f>INDEX($B$20:$GQ$20,MATCH(182,$B$29:$GQ$29,0))</f>
        <v>0</v>
      </c>
      <c r="GB6">
        <f>INDEX($B$20:$GQ$20,MATCH(183,$B$29:$GQ$29,0))</f>
        <v>5.9625271462190181E-8</v>
      </c>
      <c r="GC6">
        <f>INDEX($B$20:$GQ$20,MATCH(184,$B$29:$GQ$29,0))</f>
        <v>0</v>
      </c>
      <c r="GD6">
        <f>INDEX($B$20:$GQ$20,MATCH(185,$B$29:$GQ$29,0))</f>
        <v>0</v>
      </c>
      <c r="GE6">
        <f>INDEX($B$20:$GQ$20,MATCH(186,$B$29:$GQ$29,0))</f>
        <v>0</v>
      </c>
      <c r="GF6">
        <f>INDEX($B$20:$GQ$20,MATCH(187,$B$29:$GQ$29,0))</f>
        <v>0</v>
      </c>
      <c r="GG6">
        <f>INDEX($B$20:$GQ$20,MATCH(188,$B$29:$GQ$29,0))</f>
        <v>0</v>
      </c>
      <c r="GH6">
        <f>INDEX($B$20:$GQ$20,MATCH(189,$B$29:$GQ$29,0))</f>
        <v>0</v>
      </c>
      <c r="GI6">
        <f>INDEX($B$20:$GQ$20,MATCH(190,$B$29:$GQ$29,0))</f>
        <v>0</v>
      </c>
      <c r="GJ6">
        <f>INDEX($B$20:$GQ$20,MATCH(191,$B$29:$GQ$29,0))</f>
        <v>0</v>
      </c>
      <c r="GK6">
        <f>INDEX($B$20:$GQ$20,MATCH(192,$B$29:$GQ$29,0))</f>
        <v>0</v>
      </c>
      <c r="GL6">
        <f>INDEX($B$20:$GQ$20,MATCH(193,$B$29:$GQ$29,0))</f>
        <v>0</v>
      </c>
      <c r="GM6">
        <f>INDEX($B$20:$GQ$20,MATCH(194,$B$29:$GQ$29,0))</f>
        <v>0</v>
      </c>
      <c r="GN6">
        <f>INDEX($B$20:$GQ$20,MATCH(195,$B$29:$GQ$29,0))</f>
        <v>0</v>
      </c>
      <c r="GO6">
        <f>INDEX($B$20:$GQ$20,MATCH(196,$B$29:$GQ$29,0))</f>
        <v>0</v>
      </c>
      <c r="GP6">
        <f>INDEX($B$20:$GQ$20,MATCH(197,$B$29:$GQ$29,0))</f>
        <v>1.4952461476685571E-8</v>
      </c>
      <c r="GQ6">
        <f>INDEX($B$20:$GQ$20,MATCH(198,$B$29:$GQ$29,0))</f>
        <v>0</v>
      </c>
      <c r="GR6">
        <f>INDEX($GR$20:$HC$20,MATCH(1,$GR$30:$HC$30,0))</f>
        <v>1.375569622025935E-6</v>
      </c>
      <c r="GS6">
        <f>INDEX($GR$20:$HC$20,MATCH(2,$GR$30:$HC$30,0))</f>
        <v>2.5773223785675332E-7</v>
      </c>
      <c r="GT6">
        <f>INDEX($GR$20:$HC$20,MATCH(3,$GR$30:$HC$30,0))</f>
        <v>3.7167994222946983E-8</v>
      </c>
      <c r="GU6">
        <f>INDEX($GR$20:$HC$20,MATCH(4,$GR$30:$HC$30,0))</f>
        <v>4.3938016326705431E-7</v>
      </c>
      <c r="GV6">
        <f>INDEX($GR$20:$HC$20,MATCH(5,$GR$30:$HC$30,0))</f>
        <v>2.7333035208168741E-7</v>
      </c>
      <c r="GW6">
        <f>INDEX($GR$20:$HC$20,MATCH(6,$GR$30:$HC$30,0))</f>
        <v>4.9299603527115229E-7</v>
      </c>
      <c r="GX6">
        <f>INDEX($GR$20:$HC$20,MATCH(7,$GR$30:$HC$30,0))</f>
        <v>4.0429908150026241E-7</v>
      </c>
      <c r="GY6">
        <f>INDEX($GR$20:$HC$20,MATCH(8,$GR$30:$HC$30,0))</f>
        <v>2.3975517869086371E-8</v>
      </c>
      <c r="GZ6">
        <f>INDEX($GR$20:$HC$20,MATCH(9,$GR$30:$HC$30,0))</f>
        <v>2.959869349522004E-8</v>
      </c>
      <c r="HA6">
        <f>INDEX($GR$20:$HC$20,MATCH(10,$GR$30:$HC$30,0))</f>
        <v>0</v>
      </c>
      <c r="HB6">
        <f>INDEX($GR$20:$HC$20,MATCH(11,$GR$30:$HC$30,0))</f>
        <v>3.5036703994142049E-8</v>
      </c>
      <c r="HC6">
        <f>INDEX($GR$20:$HC$20,MATCH(12,$GR$30:$HC$30,0))</f>
        <v>3.2209139399843682E-7</v>
      </c>
    </row>
    <row r="7" spans="1:211" x14ac:dyDescent="0.45">
      <c r="A7" s="1" t="s">
        <v>6</v>
      </c>
      <c r="B7">
        <f>INDEX($B$21:$GQ$21,MATCH(1,$B$29:$GQ$29,0))</f>
        <v>1038.4943145499999</v>
      </c>
      <c r="C7">
        <f>INDEX($B$21:$GQ$21,MATCH(2,$B$29:$GQ$29,0))</f>
        <v>11484.836648500001</v>
      </c>
      <c r="D7">
        <f>INDEX($B$21:$GQ$21,MATCH(3,$B$29:$GQ$29,0))</f>
        <v>6719.8629984099998</v>
      </c>
      <c r="E7">
        <f>INDEX($B$21:$GQ$21,MATCH(4,$B$29:$GQ$29,0))</f>
        <v>1806.0386160099999</v>
      </c>
      <c r="F7">
        <f>INDEX($B$21:$GQ$21,MATCH(5,$B$29:$GQ$29,0))</f>
        <v>0</v>
      </c>
      <c r="G7">
        <f>INDEX($B$21:$GQ$21,MATCH(6,$B$29:$GQ$29,0))</f>
        <v>2166.4317380399998</v>
      </c>
      <c r="H7">
        <f>INDEX($B$21:$GQ$21,MATCH(7,$B$29:$GQ$29,0))</f>
        <v>1545.727142509</v>
      </c>
      <c r="I7">
        <f>INDEX($B$21:$GQ$21,MATCH(8,$B$29:$GQ$29,0))</f>
        <v>6666.4130958942833</v>
      </c>
      <c r="J7">
        <f>INDEX($B$21:$GQ$21,MATCH(9,$B$29:$GQ$29,0))</f>
        <v>134.96855356699999</v>
      </c>
      <c r="K7">
        <f>INDEX($B$21:$GQ$21,MATCH(10,$B$29:$GQ$29,0))</f>
        <v>1267.5185599075201</v>
      </c>
      <c r="L7">
        <f>INDEX($B$21:$GQ$21,MATCH(11,$B$29:$GQ$29,0))</f>
        <v>10896.3904117</v>
      </c>
      <c r="M7">
        <f>INDEX($B$21:$GQ$21,MATCH(12,$B$29:$GQ$29,0))</f>
        <v>0</v>
      </c>
      <c r="N7">
        <f>INDEX($B$21:$GQ$21,MATCH(13,$B$29:$GQ$29,0))</f>
        <v>2481.46822075</v>
      </c>
      <c r="O7">
        <f>INDEX($B$21:$GQ$21,MATCH(14,$B$29:$GQ$29,0))</f>
        <v>1024.3292228667999</v>
      </c>
      <c r="P7">
        <f>INDEX($B$21:$GQ$21,MATCH(15,$B$29:$GQ$29,0))</f>
        <v>29014.020956100001</v>
      </c>
      <c r="Q7">
        <f>INDEX($B$21:$GQ$21,MATCH(16,$B$29:$GQ$29,0))</f>
        <v>2378.0362296804178</v>
      </c>
      <c r="R7">
        <f>INDEX($B$21:$GQ$21,MATCH(17,$B$29:$GQ$29,0))</f>
        <v>5191.81852316</v>
      </c>
      <c r="S7">
        <f>INDEX($B$21:$GQ$21,MATCH(18,$B$29:$GQ$29,0))</f>
        <v>1737.93637934</v>
      </c>
      <c r="T7">
        <f>INDEX($B$21:$GQ$21,MATCH(19,$B$29:$GQ$29,0))</f>
        <v>892.77666270999998</v>
      </c>
      <c r="U7">
        <f>INDEX($B$21:$GQ$21,MATCH(20,$B$29:$GQ$29,0))</f>
        <v>1549.8190821000001</v>
      </c>
      <c r="V7">
        <f>INDEX($B$21:$GQ$21,MATCH(21,$B$29:$GQ$29,0))</f>
        <v>6643.3333910300007</v>
      </c>
      <c r="W7">
        <f>INDEX($B$21:$GQ$21,MATCH(22,$B$29:$GQ$29,0))</f>
        <v>18.17377665812187</v>
      </c>
      <c r="X7">
        <f>INDEX($B$21:$GQ$21,MATCH(23,$B$29:$GQ$29,0))</f>
        <v>10799.400247</v>
      </c>
      <c r="Y7">
        <f>INDEX($B$21:$GQ$21,MATCH(24,$B$29:$GQ$29,0))</f>
        <v>8077.9817955548197</v>
      </c>
      <c r="Z7">
        <f>INDEX($B$21:$GQ$21,MATCH(25,$B$29:$GQ$29,0))</f>
        <v>37.6718724459</v>
      </c>
      <c r="AA7">
        <f>INDEX($B$21:$GQ$21,MATCH(26,$B$29:$GQ$29,0))</f>
        <v>358.93550539300003</v>
      </c>
      <c r="AB7">
        <f>INDEX($B$21:$GQ$21,MATCH(27,$B$29:$GQ$29,0))</f>
        <v>709.18679688875659</v>
      </c>
      <c r="AC7">
        <f>INDEX($B$21:$GQ$21,MATCH(28,$B$29:$GQ$29,0))</f>
        <v>1038.6668066899999</v>
      </c>
      <c r="AD7">
        <f>INDEX($B$21:$GQ$21,MATCH(29,$B$29:$GQ$29,0))</f>
        <v>1145.74717822</v>
      </c>
      <c r="AE7">
        <f>INDEX($B$21:$GQ$21,MATCH(30,$B$29:$GQ$29,0))</f>
        <v>95.863337095600002</v>
      </c>
      <c r="AF7">
        <f>INDEX($B$21:$GQ$21,MATCH(31,$B$29:$GQ$29,0))</f>
        <v>2604.55483714</v>
      </c>
      <c r="AG7">
        <f>INDEX($B$21:$GQ$21,MATCH(32,$B$29:$GQ$29,0))</f>
        <v>5070.0672428300004</v>
      </c>
      <c r="AH7">
        <f>INDEX($B$21:$GQ$21,MATCH(33,$B$29:$GQ$29,0))</f>
        <v>262.48153199278192</v>
      </c>
      <c r="AI7">
        <f>INDEX($B$21:$GQ$21,MATCH(34,$B$29:$GQ$29,0))</f>
        <v>393.41683792647649</v>
      </c>
      <c r="AJ7">
        <f>INDEX($B$21:$GQ$21,MATCH(35,$B$29:$GQ$29,0))</f>
        <v>596.45047547599995</v>
      </c>
      <c r="AK7">
        <f>INDEX($B$21:$GQ$21,MATCH(36,$B$29:$GQ$29,0))</f>
        <v>3107.3829579702092</v>
      </c>
      <c r="AL7">
        <f>INDEX($B$21:$GQ$21,MATCH(37,$B$29:$GQ$29,0))</f>
        <v>262.19233730575002</v>
      </c>
      <c r="AM7">
        <f>INDEX($B$21:$GQ$21,MATCH(38,$B$29:$GQ$29,0))</f>
        <v>7198.1551780506543</v>
      </c>
      <c r="AN7">
        <f>INDEX($B$21:$GQ$21,MATCH(39,$B$29:$GQ$29,0))</f>
        <v>1317.5141081675199</v>
      </c>
      <c r="AO7">
        <f>INDEX($B$21:$GQ$21,MATCH(40,$B$29:$GQ$29,0))</f>
        <v>0</v>
      </c>
      <c r="AP7">
        <f>INDEX($B$21:$GQ$21,MATCH(41,$B$29:$GQ$29,0))</f>
        <v>652.78120585600004</v>
      </c>
      <c r="AQ7">
        <f>INDEX($B$21:$GQ$21,MATCH(42,$B$29:$GQ$29,0))</f>
        <v>854.20888969679993</v>
      </c>
      <c r="AR7">
        <f>INDEX($B$21:$GQ$21,MATCH(43,$B$29:$GQ$29,0))</f>
        <v>12.589531046076591</v>
      </c>
      <c r="AS7">
        <f>INDEX($B$21:$GQ$21,MATCH(44,$B$29:$GQ$29,0))</f>
        <v>1220.2376179299999</v>
      </c>
      <c r="AT7">
        <f>INDEX($B$21:$GQ$21,MATCH(45,$B$29:$GQ$29,0))</f>
        <v>0</v>
      </c>
      <c r="AU7">
        <f>INDEX($B$21:$GQ$21,MATCH(46,$B$29:$GQ$29,0))</f>
        <v>191.524540960959</v>
      </c>
      <c r="AV7">
        <f>INDEX($B$21:$GQ$21,MATCH(47,$B$29:$GQ$29,0))</f>
        <v>1803.7615754999999</v>
      </c>
      <c r="AW7">
        <f>INDEX($B$21:$GQ$21,MATCH(48,$B$29:$GQ$29,0))</f>
        <v>0</v>
      </c>
      <c r="AX7">
        <f>INDEX($B$21:$GQ$21,MATCH(49,$B$29:$GQ$29,0))</f>
        <v>20.421948832948161</v>
      </c>
      <c r="AY7">
        <f>INDEX($B$21:$GQ$21,MATCH(50,$B$29:$GQ$29,0))</f>
        <v>418.35490823388932</v>
      </c>
      <c r="AZ7">
        <f>INDEX($B$21:$GQ$21,MATCH(51,$B$29:$GQ$29,0))</f>
        <v>1766.04037623</v>
      </c>
      <c r="BA7">
        <f>INDEX($B$21:$GQ$21,MATCH(52,$B$29:$GQ$29,0))</f>
        <v>6.1707335051997774</v>
      </c>
      <c r="BB7">
        <f>INDEX($B$21:$GQ$21,MATCH(53,$B$29:$GQ$29,0))</f>
        <v>0</v>
      </c>
      <c r="BC7">
        <f>INDEX($B$21:$GQ$21,MATCH(54,$B$29:$GQ$29,0))</f>
        <v>1559.8370236600001</v>
      </c>
      <c r="BD7">
        <f>INDEX($B$21:$GQ$21,MATCH(55,$B$29:$GQ$29,0))</f>
        <v>4696.7749308100001</v>
      </c>
      <c r="BE7">
        <f>INDEX($B$21:$GQ$21,MATCH(56,$B$29:$GQ$29,0))</f>
        <v>1749.27710897</v>
      </c>
      <c r="BF7">
        <f>INDEX($B$21:$GQ$21,MATCH(57,$B$29:$GQ$29,0))</f>
        <v>2010.42848448</v>
      </c>
      <c r="BG7">
        <f>INDEX($B$21:$GQ$21,MATCH(58,$B$29:$GQ$29,0))</f>
        <v>152.52438610900001</v>
      </c>
      <c r="BH7">
        <f>INDEX($B$21:$GQ$21,MATCH(59,$B$29:$GQ$29,0))</f>
        <v>243.82395424985501</v>
      </c>
      <c r="BI7">
        <f>INDEX($B$21:$GQ$21,MATCH(60,$B$29:$GQ$29,0))</f>
        <v>0</v>
      </c>
      <c r="BJ7">
        <f>INDEX($B$21:$GQ$21,MATCH(61,$B$29:$GQ$29,0))</f>
        <v>4669.9064481400001</v>
      </c>
      <c r="BK7">
        <f>INDEX($B$21:$GQ$21,MATCH(62,$B$29:$GQ$29,0))</f>
        <v>2577.2612739800002</v>
      </c>
      <c r="BL7">
        <f>INDEX($B$21:$GQ$21,MATCH(63,$B$29:$GQ$29,0))</f>
        <v>2813.8265550279998</v>
      </c>
      <c r="BM7">
        <f>INDEX($B$21:$GQ$21,MATCH(64,$B$29:$GQ$29,0))</f>
        <v>107.8362040536</v>
      </c>
      <c r="BN7">
        <f>INDEX($B$21:$GQ$21,MATCH(65,$B$29:$GQ$29,0))</f>
        <v>627.28953437057316</v>
      </c>
      <c r="BO7">
        <f>INDEX($B$21:$GQ$21,MATCH(66,$B$29:$GQ$29,0))</f>
        <v>324.71811889076042</v>
      </c>
      <c r="BP7">
        <f>INDEX($B$21:$GQ$21,MATCH(67,$B$29:$GQ$29,0))</f>
        <v>0</v>
      </c>
      <c r="BQ7">
        <f>INDEX($B$21:$GQ$21,MATCH(68,$B$29:$GQ$29,0))</f>
        <v>92.726657253900001</v>
      </c>
      <c r="BR7">
        <f>INDEX($B$21:$GQ$21,MATCH(69,$B$29:$GQ$29,0))</f>
        <v>0</v>
      </c>
      <c r="BS7">
        <f>INDEX($B$21:$GQ$21,MATCH(70,$B$29:$GQ$29,0))</f>
        <v>0</v>
      </c>
      <c r="BT7">
        <f>INDEX($B$21:$GQ$21,MATCH(71,$B$29:$GQ$29,0))</f>
        <v>895.25021162600001</v>
      </c>
      <c r="BU7">
        <f>INDEX($B$21:$GQ$21,MATCH(72,$B$29:$GQ$29,0))</f>
        <v>791.25578928899995</v>
      </c>
      <c r="BV7">
        <f>INDEX($B$21:$GQ$21,MATCH(73,$B$29:$GQ$29,0))</f>
        <v>130.97256975400001</v>
      </c>
      <c r="BW7">
        <f>INDEX($B$21:$GQ$21,MATCH(74,$B$29:$GQ$29,0))</f>
        <v>286.21616942958212</v>
      </c>
      <c r="BX7">
        <f>INDEX($B$21:$GQ$21,MATCH(75,$B$29:$GQ$29,0))</f>
        <v>0</v>
      </c>
      <c r="BY7">
        <f>INDEX($B$21:$GQ$21,MATCH(76,$B$29:$GQ$29,0))</f>
        <v>44.522949826820003</v>
      </c>
      <c r="BZ7">
        <f>INDEX($B$21:$GQ$21,MATCH(77,$B$29:$GQ$29,0))</f>
        <v>34.973120821718787</v>
      </c>
      <c r="CA7">
        <f>INDEX($B$21:$GQ$21,MATCH(78,$B$29:$GQ$29,0))</f>
        <v>0</v>
      </c>
      <c r="CB7">
        <f>INDEX($B$21:$GQ$21,MATCH(79,$B$29:$GQ$29,0))</f>
        <v>612.42607809052072</v>
      </c>
      <c r="CC7">
        <f>INDEX($B$21:$GQ$21,MATCH(80,$B$29:$GQ$29,0))</f>
        <v>0.66543467202200002</v>
      </c>
      <c r="CD7">
        <f>INDEX($B$21:$GQ$21,MATCH(81,$B$29:$GQ$29,0))</f>
        <v>10.798532357499999</v>
      </c>
      <c r="CE7">
        <f>INDEX($B$21:$GQ$21,MATCH(82,$B$29:$GQ$29,0))</f>
        <v>10172.62054431125</v>
      </c>
      <c r="CF7">
        <f>INDEX($B$21:$GQ$21,MATCH(83,$B$29:$GQ$29,0))</f>
        <v>63.361211080935377</v>
      </c>
      <c r="CG7">
        <f>INDEX($B$21:$GQ$21,MATCH(84,$B$29:$GQ$29,0))</f>
        <v>0</v>
      </c>
      <c r="CH7">
        <f>INDEX($B$21:$GQ$21,MATCH(85,$B$29:$GQ$29,0))</f>
        <v>520.47413446200005</v>
      </c>
      <c r="CI7">
        <f>INDEX($B$21:$GQ$21,MATCH(86,$B$29:$GQ$29,0))</f>
        <v>12.452825049199999</v>
      </c>
      <c r="CJ7">
        <f>INDEX($B$21:$GQ$21,MATCH(87,$B$29:$GQ$29,0))</f>
        <v>7.2681283026200001</v>
      </c>
      <c r="CK7">
        <f>INDEX($B$21:$GQ$21,MATCH(88,$B$29:$GQ$29,0))</f>
        <v>50.540358367452967</v>
      </c>
      <c r="CL7">
        <f>INDEX($B$21:$GQ$21,MATCH(89,$B$29:$GQ$29,0))</f>
        <v>6.2167013558799988</v>
      </c>
      <c r="CM7">
        <f>INDEX($B$21:$GQ$21,MATCH(90,$B$29:$GQ$29,0))</f>
        <v>7.47894238651</v>
      </c>
      <c r="CN7">
        <f>INDEX($B$21:$GQ$21,MATCH(91,$B$29:$GQ$29,0))</f>
        <v>7.1772939881199997</v>
      </c>
      <c r="CO7">
        <f>INDEX($B$21:$GQ$21,MATCH(92,$B$29:$GQ$29,0))</f>
        <v>64.052776141426875</v>
      </c>
      <c r="CP7">
        <f>INDEX($B$21:$GQ$21,MATCH(93,$B$29:$GQ$29,0))</f>
        <v>5.4780863341700003</v>
      </c>
      <c r="CQ7">
        <f>INDEX($B$21:$GQ$21,MATCH(94,$B$29:$GQ$29,0))</f>
        <v>6.6187806119300001</v>
      </c>
      <c r="CR7">
        <f>INDEX($B$21:$GQ$21,MATCH(95,$B$29:$GQ$29,0))</f>
        <v>0</v>
      </c>
      <c r="CS7">
        <f>INDEX($B$21:$GQ$21,MATCH(96,$B$29:$GQ$29,0))</f>
        <v>8.3376501952699993</v>
      </c>
      <c r="CT7">
        <f>INDEX($B$21:$GQ$21,MATCH(97,$B$29:$GQ$29,0))</f>
        <v>0</v>
      </c>
      <c r="CU7">
        <f>INDEX($B$21:$GQ$21,MATCH(98,$B$29:$GQ$29,0))</f>
        <v>4.2866716676400003</v>
      </c>
      <c r="CV7">
        <f>INDEX($B$21:$GQ$21,MATCH(99,$B$29:$GQ$29,0))</f>
        <v>3.4561336392499999</v>
      </c>
      <c r="CW7">
        <f>INDEX($B$21:$GQ$21,MATCH(100,$B$29:$GQ$29,0))</f>
        <v>2.8579230598600001</v>
      </c>
      <c r="CX7">
        <f>INDEX($B$21:$GQ$21,MATCH(101,$B$29:$GQ$29,0))</f>
        <v>7.7745748429250057</v>
      </c>
      <c r="CY7">
        <f>INDEX($B$21:$GQ$21,MATCH(102,$B$29:$GQ$29,0))</f>
        <v>4.4869937232399604</v>
      </c>
      <c r="CZ7">
        <f>INDEX($B$21:$GQ$21,MATCH(103,$B$29:$GQ$29,0))</f>
        <v>52.290447045240562</v>
      </c>
      <c r="DA7">
        <f>INDEX($B$21:$GQ$21,MATCH(104,$B$29:$GQ$29,0))</f>
        <v>2.5196803371600001</v>
      </c>
      <c r="DB7">
        <f>INDEX($B$21:$GQ$21,MATCH(105,$B$29:$GQ$29,0))</f>
        <v>1.5981500333700001</v>
      </c>
      <c r="DC7">
        <f>INDEX($B$21:$GQ$21,MATCH(106,$B$29:$GQ$29,0))</f>
        <v>7.7841592984684684</v>
      </c>
      <c r="DD7">
        <f>INDEX($B$21:$GQ$21,MATCH(107,$B$29:$GQ$29,0))</f>
        <v>157.13671563599999</v>
      </c>
      <c r="DE7">
        <f>INDEX($B$21:$GQ$21,MATCH(108,$B$29:$GQ$29,0))</f>
        <v>1.4328711332499999</v>
      </c>
      <c r="DF7">
        <f>INDEX($B$21:$GQ$21,MATCH(109,$B$29:$GQ$29,0))</f>
        <v>0.91095341557300002</v>
      </c>
      <c r="DG7">
        <f>INDEX($B$21:$GQ$21,MATCH(110,$B$29:$GQ$29,0))</f>
        <v>1.81215275413</v>
      </c>
      <c r="DH7">
        <f>INDEX($B$21:$GQ$21,MATCH(111,$B$29:$GQ$29,0))</f>
        <v>1.6789142170569999</v>
      </c>
      <c r="DI7">
        <f>INDEX($B$21:$GQ$21,MATCH(112,$B$29:$GQ$29,0))</f>
        <v>0.63557573159500003</v>
      </c>
      <c r="DJ7">
        <f>INDEX($B$21:$GQ$21,MATCH(113,$B$29:$GQ$29,0))</f>
        <v>0.47988633069100001</v>
      </c>
      <c r="DK7">
        <f>INDEX($B$21:$GQ$21,MATCH(114,$B$29:$GQ$29,0))</f>
        <v>0.91886879222690554</v>
      </c>
      <c r="DL7">
        <f>INDEX($B$21:$GQ$21,MATCH(115,$B$29:$GQ$29,0))</f>
        <v>5.4250360592692362</v>
      </c>
      <c r="DM7">
        <f>INDEX($B$21:$GQ$21,MATCH(116,$B$29:$GQ$29,0))</f>
        <v>7.4935930203748713</v>
      </c>
      <c r="DN7">
        <f>INDEX($B$21:$GQ$21,MATCH(117,$B$29:$GQ$29,0))</f>
        <v>2.2862877476796539</v>
      </c>
      <c r="DO7">
        <f>INDEX($B$21:$GQ$21,MATCH(118,$B$29:$GQ$29,0))</f>
        <v>4.9947555776570151E-3</v>
      </c>
      <c r="DP7">
        <f>INDEX($B$21:$GQ$21,MATCH(119,$B$29:$GQ$29,0))</f>
        <v>0</v>
      </c>
      <c r="DQ7">
        <f>INDEX($B$21:$GQ$21,MATCH(120,$B$29:$GQ$29,0))</f>
        <v>1.056828588528105</v>
      </c>
      <c r="DR7">
        <f>INDEX($B$21:$GQ$21,MATCH(121,$B$29:$GQ$29,0))</f>
        <v>5.55902005850945E-2</v>
      </c>
      <c r="DS7">
        <f>INDEX($B$21:$GQ$21,MATCH(122,$B$29:$GQ$29,0))</f>
        <v>14.903983972800001</v>
      </c>
      <c r="DT7">
        <f>INDEX($B$21:$GQ$21,MATCH(123,$B$29:$GQ$29,0))</f>
        <v>0.112600342789</v>
      </c>
      <c r="DU7">
        <f>INDEX($B$21:$GQ$21,MATCH(124,$B$29:$GQ$29,0))</f>
        <v>1.3261887457802539</v>
      </c>
      <c r="DV7">
        <f>INDEX($B$21:$GQ$21,MATCH(125,$B$29:$GQ$29,0))</f>
        <v>4.31870936057E-2</v>
      </c>
      <c r="DW7">
        <f>INDEX($B$21:$GQ$21,MATCH(126,$B$29:$GQ$29,0))</f>
        <v>14.5218305376</v>
      </c>
      <c r="DX7">
        <f>INDEX($B$21:$GQ$21,MATCH(127,$B$29:$GQ$29,0))</f>
        <v>6.3533008602000001</v>
      </c>
      <c r="DY7">
        <f>INDEX($B$21:$GQ$21,MATCH(128,$B$29:$GQ$29,0))</f>
        <v>0.102340521859746</v>
      </c>
      <c r="DZ7">
        <f>INDEX($B$21:$GQ$21,MATCH(129,$B$29:$GQ$29,0))</f>
        <v>0.1066507278430744</v>
      </c>
      <c r="EA7">
        <f>INDEX($B$21:$GQ$21,MATCH(130,$B$29:$GQ$29,0))</f>
        <v>0</v>
      </c>
      <c r="EB7">
        <f>INDEX($B$21:$GQ$21,MATCH(131,$B$29:$GQ$29,0))</f>
        <v>0.26273048669999999</v>
      </c>
      <c r="EC7">
        <f>INDEX($B$21:$GQ$21,MATCH(132,$B$29:$GQ$29,0))</f>
        <v>6.1700262321527496E-3</v>
      </c>
      <c r="ED7">
        <f>INDEX($B$21:$GQ$21,MATCH(133,$B$29:$GQ$29,0))</f>
        <v>3.9625614194724822E-4</v>
      </c>
      <c r="EE7">
        <f>INDEX($B$21:$GQ$21,MATCH(134,$B$29:$GQ$29,0))</f>
        <v>0</v>
      </c>
      <c r="EF7">
        <f>INDEX($B$21:$GQ$21,MATCH(135,$B$29:$GQ$29,0))</f>
        <v>0</v>
      </c>
      <c r="EG7">
        <f>INDEX($B$21:$GQ$21,MATCH(136,$B$29:$GQ$29,0))</f>
        <v>0</v>
      </c>
      <c r="EH7">
        <f>INDEX($B$21:$GQ$21,MATCH(137,$B$29:$GQ$29,0))</f>
        <v>0</v>
      </c>
      <c r="EI7">
        <f>INDEX($B$21:$GQ$21,MATCH(138,$B$29:$GQ$29,0))</f>
        <v>0</v>
      </c>
      <c r="EJ7">
        <f>INDEX($B$21:$GQ$21,MATCH(139,$B$29:$GQ$29,0))</f>
        <v>0</v>
      </c>
      <c r="EK7">
        <f>INDEX($B$21:$GQ$21,MATCH(140,$B$29:$GQ$29,0))</f>
        <v>0</v>
      </c>
      <c r="EL7">
        <f>INDEX($B$21:$GQ$21,MATCH(141,$B$29:$GQ$29,0))</f>
        <v>0</v>
      </c>
      <c r="EM7">
        <f>INDEX($B$21:$GQ$21,MATCH(142,$B$29:$GQ$29,0))</f>
        <v>0</v>
      </c>
      <c r="EN7">
        <f>INDEX($B$21:$GQ$21,MATCH(143,$B$29:$GQ$29,0))</f>
        <v>0</v>
      </c>
      <c r="EO7">
        <f>INDEX($B$21:$GQ$21,MATCH(144,$B$29:$GQ$29,0))</f>
        <v>0</v>
      </c>
      <c r="EP7">
        <f>INDEX($B$21:$GQ$21,MATCH(145,$B$29:$GQ$29,0))</f>
        <v>0</v>
      </c>
      <c r="EQ7">
        <f>INDEX($B$21:$GQ$21,MATCH(146,$B$29:$GQ$29,0))</f>
        <v>0</v>
      </c>
      <c r="ER7">
        <f>INDEX($B$21:$GQ$21,MATCH(147,$B$29:$GQ$29,0))</f>
        <v>0</v>
      </c>
      <c r="ES7">
        <f>INDEX($B$21:$GQ$21,MATCH(148,$B$29:$GQ$29,0))</f>
        <v>0</v>
      </c>
      <c r="ET7">
        <f>INDEX($B$21:$GQ$21,MATCH(149,$B$29:$GQ$29,0))</f>
        <v>0</v>
      </c>
      <c r="EU7">
        <f>INDEX($B$21:$GQ$21,MATCH(150,$B$29:$GQ$29,0))</f>
        <v>0</v>
      </c>
      <c r="EV7">
        <f>INDEX($B$21:$GQ$21,MATCH(151,$B$29:$GQ$29,0))</f>
        <v>0</v>
      </c>
      <c r="EW7">
        <f>INDEX($B$21:$GQ$21,MATCH(152,$B$29:$GQ$29,0))</f>
        <v>0</v>
      </c>
      <c r="EX7">
        <f>INDEX($B$21:$GQ$21,MATCH(153,$B$29:$GQ$29,0))</f>
        <v>0</v>
      </c>
      <c r="EY7">
        <f>INDEX($B$21:$GQ$21,MATCH(154,$B$29:$GQ$29,0))</f>
        <v>0</v>
      </c>
      <c r="EZ7">
        <f>INDEX($B$21:$GQ$21,MATCH(155,$B$29:$GQ$29,0))</f>
        <v>0</v>
      </c>
      <c r="FA7">
        <f>INDEX($B$21:$GQ$21,MATCH(156,$B$29:$GQ$29,0))</f>
        <v>0</v>
      </c>
      <c r="FB7">
        <f>INDEX($B$21:$GQ$21,MATCH(157,$B$29:$GQ$29,0))</f>
        <v>0</v>
      </c>
      <c r="FC7">
        <f>INDEX($B$21:$GQ$21,MATCH(158,$B$29:$GQ$29,0))</f>
        <v>0</v>
      </c>
      <c r="FD7">
        <f>INDEX($B$21:$GQ$21,MATCH(159,$B$29:$GQ$29,0))</f>
        <v>0</v>
      </c>
      <c r="FE7">
        <f>INDEX($B$21:$GQ$21,MATCH(160,$B$29:$GQ$29,0))</f>
        <v>0</v>
      </c>
      <c r="FF7">
        <f>INDEX($B$21:$GQ$21,MATCH(161,$B$29:$GQ$29,0))</f>
        <v>0</v>
      </c>
      <c r="FG7">
        <f>INDEX($B$21:$GQ$21,MATCH(162,$B$29:$GQ$29,0))</f>
        <v>0</v>
      </c>
      <c r="FH7">
        <f>INDEX($B$21:$GQ$21,MATCH(163,$B$29:$GQ$29,0))</f>
        <v>0</v>
      </c>
      <c r="FI7">
        <f>INDEX($B$21:$GQ$21,MATCH(164,$B$29:$GQ$29,0))</f>
        <v>0</v>
      </c>
      <c r="FJ7">
        <f>INDEX($B$21:$GQ$21,MATCH(165,$B$29:$GQ$29,0))</f>
        <v>0</v>
      </c>
      <c r="FK7">
        <f>INDEX($B$21:$GQ$21,MATCH(166,$B$29:$GQ$29,0))</f>
        <v>0</v>
      </c>
      <c r="FL7">
        <f>INDEX($B$21:$GQ$21,MATCH(167,$B$29:$GQ$29,0))</f>
        <v>0</v>
      </c>
      <c r="FM7">
        <f>INDEX($B$21:$GQ$21,MATCH(168,$B$29:$GQ$29,0))</f>
        <v>0</v>
      </c>
      <c r="FN7">
        <f>INDEX($B$21:$GQ$21,MATCH(169,$B$29:$GQ$29,0))</f>
        <v>0</v>
      </c>
      <c r="FO7">
        <f>INDEX($B$21:$GQ$21,MATCH(170,$B$29:$GQ$29,0))</f>
        <v>0</v>
      </c>
      <c r="FP7">
        <f>INDEX($B$21:$GQ$21,MATCH(171,$B$29:$GQ$29,0))</f>
        <v>0</v>
      </c>
      <c r="FQ7">
        <f>INDEX($B$21:$GQ$21,MATCH(172,$B$29:$GQ$29,0))</f>
        <v>0</v>
      </c>
      <c r="FR7">
        <f>INDEX($B$21:$GQ$21,MATCH(173,$B$29:$GQ$29,0))</f>
        <v>0</v>
      </c>
      <c r="FS7">
        <f>INDEX($B$21:$GQ$21,MATCH(174,$B$29:$GQ$29,0))</f>
        <v>0</v>
      </c>
      <c r="FT7">
        <f>INDEX($B$21:$GQ$21,MATCH(175,$B$29:$GQ$29,0))</f>
        <v>0</v>
      </c>
      <c r="FU7">
        <f>INDEX($B$21:$GQ$21,MATCH(176,$B$29:$GQ$29,0))</f>
        <v>0</v>
      </c>
      <c r="FV7">
        <f>INDEX($B$21:$GQ$21,MATCH(177,$B$29:$GQ$29,0))</f>
        <v>0</v>
      </c>
      <c r="FW7">
        <f>INDEX($B$21:$GQ$21,MATCH(178,$B$29:$GQ$29,0))</f>
        <v>0</v>
      </c>
      <c r="FX7">
        <f>INDEX($B$21:$GQ$21,MATCH(179,$B$29:$GQ$29,0))</f>
        <v>0</v>
      </c>
      <c r="FY7">
        <f>INDEX($B$21:$GQ$21,MATCH(180,$B$29:$GQ$29,0))</f>
        <v>3.0458495076355003E-4</v>
      </c>
      <c r="FZ7">
        <f>INDEX($B$21:$GQ$21,MATCH(181,$B$29:$GQ$29,0))</f>
        <v>0</v>
      </c>
      <c r="GA7">
        <f>INDEX($B$21:$GQ$21,MATCH(182,$B$29:$GQ$29,0))</f>
        <v>0</v>
      </c>
      <c r="GB7">
        <f>INDEX($B$21:$GQ$21,MATCH(183,$B$29:$GQ$29,0))</f>
        <v>0</v>
      </c>
      <c r="GC7">
        <f>INDEX($B$21:$GQ$21,MATCH(184,$B$29:$GQ$29,0))</f>
        <v>0</v>
      </c>
      <c r="GD7">
        <f>INDEX($B$21:$GQ$21,MATCH(185,$B$29:$GQ$29,0))</f>
        <v>6.0997008595128847E-2</v>
      </c>
      <c r="GE7">
        <f>INDEX($B$21:$GQ$21,MATCH(186,$B$29:$GQ$29,0))</f>
        <v>0</v>
      </c>
      <c r="GF7">
        <f>INDEX($B$21:$GQ$21,MATCH(187,$B$29:$GQ$29,0))</f>
        <v>0</v>
      </c>
      <c r="GG7">
        <f>INDEX($B$21:$GQ$21,MATCH(188,$B$29:$GQ$29,0))</f>
        <v>0</v>
      </c>
      <c r="GH7">
        <f>INDEX($B$21:$GQ$21,MATCH(189,$B$29:$GQ$29,0))</f>
        <v>0</v>
      </c>
      <c r="GI7">
        <f>INDEX($B$21:$GQ$21,MATCH(190,$B$29:$GQ$29,0))</f>
        <v>0</v>
      </c>
      <c r="GJ7">
        <f>INDEX($B$21:$GQ$21,MATCH(191,$B$29:$GQ$29,0))</f>
        <v>0</v>
      </c>
      <c r="GK7">
        <f>INDEX($B$21:$GQ$21,MATCH(192,$B$29:$GQ$29,0))</f>
        <v>0</v>
      </c>
      <c r="GL7">
        <f>INDEX($B$21:$GQ$21,MATCH(193,$B$29:$GQ$29,0))</f>
        <v>0</v>
      </c>
      <c r="GM7">
        <f>INDEX($B$21:$GQ$21,MATCH(194,$B$29:$GQ$29,0))</f>
        <v>0</v>
      </c>
      <c r="GN7">
        <f>INDEX($B$21:$GQ$21,MATCH(195,$B$29:$GQ$29,0))</f>
        <v>0</v>
      </c>
      <c r="GO7">
        <f>INDEX($B$21:$GQ$21,MATCH(196,$B$29:$GQ$29,0))</f>
        <v>0</v>
      </c>
      <c r="GP7">
        <f>INDEX($B$21:$GQ$21,MATCH(197,$B$29:$GQ$29,0))</f>
        <v>0</v>
      </c>
      <c r="GQ7">
        <f>INDEX($B$21:$GQ$21,MATCH(198,$B$29:$GQ$29,0))</f>
        <v>0</v>
      </c>
      <c r="GR7">
        <f>INDEX($GR$21:$HC$21,MATCH(1,$GR$30:$HC$30,0))</f>
        <v>1038.4943145499999</v>
      </c>
      <c r="GS7">
        <f>INDEX($GR$21:$HC$21,MATCH(2,$GR$30:$HC$30,0))</f>
        <v>17903.873458744751</v>
      </c>
      <c r="GT7">
        <f>INDEX($GR$21:$HC$21,MATCH(3,$GR$30:$HC$30,0))</f>
        <v>14392.991685798401</v>
      </c>
      <c r="GU7">
        <f>INDEX($GR$21:$HC$21,MATCH(4,$GR$30:$HC$30,0))</f>
        <v>22808.071933269999</v>
      </c>
      <c r="GV7">
        <f>INDEX($GR$21:$HC$21,MATCH(5,$GR$30:$HC$30,0))</f>
        <v>3828.2993022389001</v>
      </c>
      <c r="GW7">
        <f>INDEX($GR$21:$HC$21,MATCH(6,$GR$30:$HC$30,0))</f>
        <v>2356.4986623639588</v>
      </c>
      <c r="GX7">
        <f>INDEX($GR$21:$HC$21,MATCH(7,$GR$30:$HC$30,0))</f>
        <v>1806.0386160099999</v>
      </c>
      <c r="GY7">
        <f>INDEX($GR$21:$HC$21,MATCH(8,$GR$30:$HC$30,0))</f>
        <v>26463.523517716021</v>
      </c>
      <c r="GZ7">
        <f>INDEX($GR$21:$HC$21,MATCH(9,$GR$30:$HC$30,0))</f>
        <v>58120.83281466164</v>
      </c>
      <c r="HA7">
        <f>INDEX($GR$21:$HC$21,MATCH(10,$GR$30:$HC$30,0))</f>
        <v>0</v>
      </c>
      <c r="HB7">
        <f>INDEX($GR$21:$HC$21,MATCH(11,$GR$30:$HC$30,0))</f>
        <v>52451.491819216943</v>
      </c>
      <c r="HC7">
        <f>INDEX($GR$21:$HC$21,MATCH(12,$GR$30:$HC$30,0))</f>
        <v>6818.9374820032835</v>
      </c>
    </row>
    <row r="8" spans="1:211" x14ac:dyDescent="0.45">
      <c r="A8" s="1" t="s">
        <v>7</v>
      </c>
      <c r="B8">
        <f>INDEX($B$22:$GQ$22,MATCH(1,$B$29:$GQ$29,0))</f>
        <v>5050.4413716326299</v>
      </c>
      <c r="C8">
        <f>INDEX($B$22:$GQ$22,MATCH(2,$B$29:$GQ$29,0))</f>
        <v>23360.725289119</v>
      </c>
      <c r="D8">
        <f>INDEX($B$22:$GQ$22,MATCH(3,$B$29:$GQ$29,0))</f>
        <v>128.12948849290001</v>
      </c>
      <c r="E8">
        <f>INDEX($B$22:$GQ$22,MATCH(4,$B$29:$GQ$29,0))</f>
        <v>8488.2230403558297</v>
      </c>
      <c r="F8">
        <f>INDEX($B$22:$GQ$22,MATCH(5,$B$29:$GQ$29,0))</f>
        <v>83954.164852629998</v>
      </c>
      <c r="G8">
        <f>INDEX($B$22:$GQ$22,MATCH(6,$B$29:$GQ$29,0))</f>
        <v>15949.9837150327</v>
      </c>
      <c r="H8">
        <f>INDEX($B$22:$GQ$22,MATCH(7,$B$29:$GQ$29,0))</f>
        <v>258670.86586419999</v>
      </c>
      <c r="I8">
        <f>INDEX($B$22:$GQ$22,MATCH(8,$B$29:$GQ$29,0))</f>
        <v>10280.107604815599</v>
      </c>
      <c r="J8">
        <f>INDEX($B$22:$GQ$22,MATCH(9,$B$29:$GQ$29,0))</f>
        <v>1889.7566549799999</v>
      </c>
      <c r="K8">
        <f>INDEX($B$22:$GQ$22,MATCH(10,$B$29:$GQ$29,0))</f>
        <v>186753.73804475501</v>
      </c>
      <c r="L8">
        <f>INDEX($B$22:$GQ$22,MATCH(11,$B$29:$GQ$29,0))</f>
        <v>3273.5352910359002</v>
      </c>
      <c r="M8">
        <f>INDEX($B$22:$GQ$22,MATCH(12,$B$29:$GQ$29,0))</f>
        <v>242143.13257310001</v>
      </c>
      <c r="N8">
        <f>INDEX($B$22:$GQ$22,MATCH(13,$B$29:$GQ$29,0))</f>
        <v>71885.084968099996</v>
      </c>
      <c r="O8">
        <f>INDEX($B$22:$GQ$22,MATCH(14,$B$29:$GQ$29,0))</f>
        <v>130808.66813279</v>
      </c>
      <c r="P8">
        <f>INDEX($B$22:$GQ$22,MATCH(15,$B$29:$GQ$29,0))</f>
        <v>26547.7846919</v>
      </c>
      <c r="Q8">
        <f>INDEX($B$22:$GQ$22,MATCH(16,$B$29:$GQ$29,0))</f>
        <v>37588.165323314177</v>
      </c>
      <c r="R8">
        <f>INDEX($B$22:$GQ$22,MATCH(17,$B$29:$GQ$29,0))</f>
        <v>2215.3406393403002</v>
      </c>
      <c r="S8">
        <f>INDEX($B$22:$GQ$22,MATCH(18,$B$29:$GQ$29,0))</f>
        <v>7010.4418690136599</v>
      </c>
      <c r="T8">
        <f>INDEX($B$22:$GQ$22,MATCH(19,$B$29:$GQ$29,0))</f>
        <v>8018.0444478146992</v>
      </c>
      <c r="U8">
        <f>INDEX($B$22:$GQ$22,MATCH(20,$B$29:$GQ$29,0))</f>
        <v>2468.4934124624001</v>
      </c>
      <c r="V8">
        <f>INDEX($B$22:$GQ$22,MATCH(21,$B$29:$GQ$29,0))</f>
        <v>9071.7807908699997</v>
      </c>
      <c r="W8">
        <f>INDEX($B$22:$GQ$22,MATCH(22,$B$29:$GQ$29,0))</f>
        <v>514.07430814345184</v>
      </c>
      <c r="X8">
        <f>INDEX($B$22:$GQ$22,MATCH(23,$B$29:$GQ$29,0))</f>
        <v>7391.2707397499989</v>
      </c>
      <c r="Y8">
        <f>INDEX($B$22:$GQ$22,MATCH(24,$B$29:$GQ$29,0))</f>
        <v>11302.3998226312</v>
      </c>
      <c r="Z8">
        <f>INDEX($B$22:$GQ$22,MATCH(25,$B$29:$GQ$29,0))</f>
        <v>3117.9127895699999</v>
      </c>
      <c r="AA8">
        <f>INDEX($B$22:$GQ$22,MATCH(26,$B$29:$GQ$29,0))</f>
        <v>139.24546536700001</v>
      </c>
      <c r="AB8">
        <f>INDEX($B$22:$GQ$22,MATCH(27,$B$29:$GQ$29,0))</f>
        <v>726.07848723778375</v>
      </c>
      <c r="AC8">
        <f>INDEX($B$22:$GQ$22,MATCH(28,$B$29:$GQ$29,0))</f>
        <v>11126.0696009</v>
      </c>
      <c r="AD8">
        <f>INDEX($B$22:$GQ$22,MATCH(29,$B$29:$GQ$29,0))</f>
        <v>31909.8454513</v>
      </c>
      <c r="AE8">
        <f>INDEX($B$22:$GQ$22,MATCH(30,$B$29:$GQ$29,0))</f>
        <v>22590.5100676</v>
      </c>
      <c r="AF8">
        <f>INDEX($B$22:$GQ$22,MATCH(31,$B$29:$GQ$29,0))</f>
        <v>42904.638546299997</v>
      </c>
      <c r="AG8">
        <f>INDEX($B$22:$GQ$22,MATCH(32,$B$29:$GQ$29,0))</f>
        <v>30950.3724516</v>
      </c>
      <c r="AH8">
        <f>INDEX($B$22:$GQ$22,MATCH(33,$B$29:$GQ$29,0))</f>
        <v>4666.4618214472184</v>
      </c>
      <c r="AI8">
        <f>INDEX($B$22:$GQ$22,MATCH(34,$B$29:$GQ$29,0))</f>
        <v>6143.0077963115054</v>
      </c>
      <c r="AJ8">
        <f>INDEX($B$22:$GQ$22,MATCH(35,$B$29:$GQ$29,0))</f>
        <v>2108.0791581456701</v>
      </c>
      <c r="AK8">
        <f>INDEX($B$22:$GQ$22,MATCH(36,$B$29:$GQ$29,0))</f>
        <v>1190.0860007440001</v>
      </c>
      <c r="AL8">
        <f>INDEX($B$22:$GQ$22,MATCH(37,$B$29:$GQ$29,0))</f>
        <v>11238.476071223</v>
      </c>
      <c r="AM8">
        <f>INDEX($B$22:$GQ$22,MATCH(38,$B$29:$GQ$29,0))</f>
        <v>7435.9329311493466</v>
      </c>
      <c r="AN8">
        <f>INDEX($B$22:$GQ$22,MATCH(39,$B$29:$GQ$29,0))</f>
        <v>15294.563008583</v>
      </c>
      <c r="AO8">
        <f>INDEX($B$22:$GQ$22,MATCH(40,$B$29:$GQ$29,0))</f>
        <v>137.460607966</v>
      </c>
      <c r="AP8">
        <f>INDEX($B$22:$GQ$22,MATCH(41,$B$29:$GQ$29,0))</f>
        <v>15846.2651147</v>
      </c>
      <c r="AQ8">
        <f>INDEX($B$22:$GQ$22,MATCH(42,$B$29:$GQ$29,0))</f>
        <v>16771.579081532</v>
      </c>
      <c r="AR8">
        <f>INDEX($B$22:$GQ$22,MATCH(43,$B$29:$GQ$29,0))</f>
        <v>111.1237859411297</v>
      </c>
      <c r="AS8">
        <f>INDEX($B$22:$GQ$22,MATCH(44,$B$29:$GQ$29,0))</f>
        <v>13529.354277</v>
      </c>
      <c r="AT8">
        <f>INDEX($B$22:$GQ$22,MATCH(45,$B$29:$GQ$29,0))</f>
        <v>30296.038247430999</v>
      </c>
      <c r="AU8">
        <f>INDEX($B$22:$GQ$22,MATCH(46,$B$29:$GQ$29,0))</f>
        <v>235.5104379290872</v>
      </c>
      <c r="AV8">
        <f>INDEX($B$22:$GQ$22,MATCH(47,$B$29:$GQ$29,0))</f>
        <v>0</v>
      </c>
      <c r="AW8">
        <f>INDEX($B$22:$GQ$22,MATCH(48,$B$29:$GQ$29,0))</f>
        <v>8925.8146115100008</v>
      </c>
      <c r="AX8">
        <f>INDEX($B$22:$GQ$22,MATCH(49,$B$29:$GQ$29,0))</f>
        <v>10186.75299786705</v>
      </c>
      <c r="AY8">
        <f>INDEX($B$22:$GQ$22,MATCH(50,$B$29:$GQ$29,0))</f>
        <v>0</v>
      </c>
      <c r="AZ8">
        <f>INDEX($B$22:$GQ$22,MATCH(51,$B$29:$GQ$29,0))</f>
        <v>1585.4834509899999</v>
      </c>
      <c r="BA8">
        <f>INDEX($B$22:$GQ$22,MATCH(52,$B$29:$GQ$29,0))</f>
        <v>370.68346562429832</v>
      </c>
      <c r="BB8">
        <f>INDEX($B$22:$GQ$22,MATCH(53,$B$29:$GQ$29,0))</f>
        <v>8796.4664476500002</v>
      </c>
      <c r="BC8">
        <f>INDEX($B$22:$GQ$22,MATCH(54,$B$29:$GQ$29,0))</f>
        <v>5484.6488585699999</v>
      </c>
      <c r="BD8">
        <f>INDEX($B$22:$GQ$22,MATCH(55,$B$29:$GQ$29,0))</f>
        <v>1956.93538405</v>
      </c>
      <c r="BE8">
        <f>INDEX($B$22:$GQ$22,MATCH(56,$B$29:$GQ$29,0))</f>
        <v>874.53301648599995</v>
      </c>
      <c r="BF8">
        <f>INDEX($B$22:$GQ$22,MATCH(57,$B$29:$GQ$29,0))</f>
        <v>3671.05667554</v>
      </c>
      <c r="BG8">
        <f>INDEX($B$22:$GQ$22,MATCH(58,$B$29:$GQ$29,0))</f>
        <v>26.960627056900002</v>
      </c>
      <c r="BH8">
        <f>INDEX($B$22:$GQ$22,MATCH(59,$B$29:$GQ$29,0))</f>
        <v>749.58537190106574</v>
      </c>
      <c r="BI8">
        <f>INDEX($B$22:$GQ$22,MATCH(60,$B$29:$GQ$29,0))</f>
        <v>1377.8064414299999</v>
      </c>
      <c r="BJ8">
        <f>INDEX($B$22:$GQ$22,MATCH(61,$B$29:$GQ$29,0))</f>
        <v>2869.1544762899998</v>
      </c>
      <c r="BK8">
        <f>INDEX($B$22:$GQ$22,MATCH(62,$B$29:$GQ$29,0))</f>
        <v>1938.44845799</v>
      </c>
      <c r="BL8">
        <f>INDEX($B$22:$GQ$22,MATCH(63,$B$29:$GQ$29,0))</f>
        <v>1501.0289734744999</v>
      </c>
      <c r="BM8">
        <f>INDEX($B$22:$GQ$22,MATCH(64,$B$29:$GQ$29,0))</f>
        <v>9886.4385954099998</v>
      </c>
      <c r="BN8">
        <f>INDEX($B$22:$GQ$22,MATCH(65,$B$29:$GQ$29,0))</f>
        <v>710.2622544142647</v>
      </c>
      <c r="BO8">
        <f>INDEX($B$22:$GQ$22,MATCH(66,$B$29:$GQ$29,0))</f>
        <v>4983.7269113496177</v>
      </c>
      <c r="BP8">
        <f>INDEX($B$22:$GQ$22,MATCH(67,$B$29:$GQ$29,0))</f>
        <v>9539.4035679999997</v>
      </c>
      <c r="BQ8">
        <f>INDEX($B$22:$GQ$22,MATCH(68,$B$29:$GQ$29,0))</f>
        <v>662.143368282305</v>
      </c>
      <c r="BR8">
        <f>INDEX($B$22:$GQ$22,MATCH(69,$B$29:$GQ$29,0))</f>
        <v>7198.7452669800005</v>
      </c>
      <c r="BS8">
        <f>INDEX($B$22:$GQ$22,MATCH(70,$B$29:$GQ$29,0))</f>
        <v>5628.20353823</v>
      </c>
      <c r="BT8">
        <f>INDEX($B$22:$GQ$22,MATCH(71,$B$29:$GQ$29,0))</f>
        <v>689.76229474199999</v>
      </c>
      <c r="BU8">
        <f>INDEX($B$22:$GQ$22,MATCH(72,$B$29:$GQ$29,0))</f>
        <v>967.10634446200015</v>
      </c>
      <c r="BV8">
        <f>INDEX($B$22:$GQ$22,MATCH(73,$B$29:$GQ$29,0))</f>
        <v>26.83840954758</v>
      </c>
      <c r="BW8">
        <f>INDEX($B$22:$GQ$22,MATCH(74,$B$29:$GQ$29,0))</f>
        <v>1908.1984372858201</v>
      </c>
      <c r="BX8">
        <f>INDEX($B$22:$GQ$22,MATCH(75,$B$29:$GQ$29,0))</f>
        <v>3328.271032657</v>
      </c>
      <c r="BY8">
        <f>INDEX($B$22:$GQ$22,MATCH(76,$B$29:$GQ$29,0))</f>
        <v>43.787168113900002</v>
      </c>
      <c r="BZ8">
        <f>INDEX($B$22:$GQ$22,MATCH(77,$B$29:$GQ$29,0))</f>
        <v>1235.3526669582809</v>
      </c>
      <c r="CA8">
        <f>INDEX($B$22:$GQ$22,MATCH(78,$B$29:$GQ$29,0))</f>
        <v>2459.8227431700002</v>
      </c>
      <c r="CB8">
        <f>INDEX($B$22:$GQ$22,MATCH(79,$B$29:$GQ$29,0))</f>
        <v>301.73270808747918</v>
      </c>
      <c r="CC8">
        <f>INDEX($B$22:$GQ$22,MATCH(80,$B$29:$GQ$29,0))</f>
        <v>308.12175901199998</v>
      </c>
      <c r="CD8">
        <f>INDEX($B$22:$GQ$22,MATCH(81,$B$29:$GQ$29,0))</f>
        <v>1333.3558007900001</v>
      </c>
      <c r="CE8">
        <f>INDEX($B$22:$GQ$22,MATCH(82,$B$29:$GQ$29,0))</f>
        <v>7.5170467887461898</v>
      </c>
      <c r="CF8">
        <f>INDEX($B$22:$GQ$22,MATCH(83,$B$29:$GQ$29,0))</f>
        <v>160.53293276706461</v>
      </c>
      <c r="CG8">
        <f>INDEX($B$22:$GQ$22,MATCH(84,$B$29:$GQ$29,0))</f>
        <v>769.05730232869996</v>
      </c>
      <c r="CH8">
        <f>INDEX($B$22:$GQ$22,MATCH(85,$B$29:$GQ$29,0))</f>
        <v>310.99962491299999</v>
      </c>
      <c r="CI8">
        <f>INDEX($B$22:$GQ$22,MATCH(86,$B$29:$GQ$29,0))</f>
        <v>949.25281436</v>
      </c>
      <c r="CJ8">
        <f>INDEX($B$22:$GQ$22,MATCH(87,$B$29:$GQ$29,0))</f>
        <v>919.98164076199998</v>
      </c>
      <c r="CK8">
        <f>INDEX($B$22:$GQ$22,MATCH(88,$B$29:$GQ$29,0))</f>
        <v>458.08197929454701</v>
      </c>
      <c r="CL8">
        <f>INDEX($B$22:$GQ$22,MATCH(89,$B$29:$GQ$29,0))</f>
        <v>773.51984684800004</v>
      </c>
      <c r="CM8">
        <f>INDEX($B$22:$GQ$22,MATCH(90,$B$29:$GQ$29,0))</f>
        <v>804.795130685</v>
      </c>
      <c r="CN8">
        <f>INDEX($B$22:$GQ$22,MATCH(91,$B$29:$GQ$29,0))</f>
        <v>767.06281134100004</v>
      </c>
      <c r="CO8">
        <f>INDEX($B$22:$GQ$22,MATCH(92,$B$29:$GQ$29,0))</f>
        <v>438.23633378573538</v>
      </c>
      <c r="CP8">
        <f>INDEX($B$22:$GQ$22,MATCH(93,$B$29:$GQ$29,0))</f>
        <v>472.33991311599999</v>
      </c>
      <c r="CQ8">
        <f>INDEX($B$22:$GQ$22,MATCH(94,$B$29:$GQ$29,0))</f>
        <v>460.33404258299998</v>
      </c>
      <c r="CR8">
        <f>INDEX($B$22:$GQ$22,MATCH(95,$B$29:$GQ$29,0))</f>
        <v>984.28394153700003</v>
      </c>
      <c r="CS8">
        <f>INDEX($B$22:$GQ$22,MATCH(96,$B$29:$GQ$29,0))</f>
        <v>479.80123612099999</v>
      </c>
      <c r="CT8">
        <f>INDEX($B$22:$GQ$22,MATCH(97,$B$29:$GQ$29,0))</f>
        <v>347.92681815999998</v>
      </c>
      <c r="CU8">
        <f>INDEX($B$22:$GQ$22,MATCH(98,$B$29:$GQ$29,0))</f>
        <v>317.56515019599999</v>
      </c>
      <c r="CV8">
        <f>INDEX($B$22:$GQ$22,MATCH(99,$B$29:$GQ$29,0))</f>
        <v>332.70708407199999</v>
      </c>
      <c r="CW8">
        <f>INDEX($B$22:$GQ$22,MATCH(100,$B$29:$GQ$29,0))</f>
        <v>266.24321473499998</v>
      </c>
      <c r="CX8">
        <f>INDEX($B$22:$GQ$22,MATCH(101,$B$29:$GQ$29,0))</f>
        <v>488.06950732907501</v>
      </c>
      <c r="CY8">
        <f>INDEX($B$22:$GQ$22,MATCH(102,$B$29:$GQ$29,0))</f>
        <v>213.02996467476001</v>
      </c>
      <c r="CZ8">
        <f>INDEX($B$22:$GQ$22,MATCH(103,$B$29:$GQ$29,0))</f>
        <v>43.24791175475945</v>
      </c>
      <c r="DA8">
        <f>INDEX($B$22:$GQ$22,MATCH(104,$B$29:$GQ$29,0))</f>
        <v>222.57871309000001</v>
      </c>
      <c r="DB8">
        <f>INDEX($B$22:$GQ$22,MATCH(105,$B$29:$GQ$29,0))</f>
        <v>192.22371685499999</v>
      </c>
      <c r="DC8">
        <f>INDEX($B$22:$GQ$22,MATCH(106,$B$29:$GQ$29,0))</f>
        <v>36.951677209631541</v>
      </c>
      <c r="DD8">
        <f>INDEX($B$22:$GQ$22,MATCH(107,$B$29:$GQ$29,0))</f>
        <v>0</v>
      </c>
      <c r="DE8">
        <f>INDEX($B$22:$GQ$22,MATCH(108,$B$29:$GQ$29,0))</f>
        <v>167.74187124900001</v>
      </c>
      <c r="DF8">
        <f>INDEX($B$22:$GQ$22,MATCH(109,$B$29:$GQ$29,0))</f>
        <v>84.577913012400003</v>
      </c>
      <c r="DG8">
        <f>INDEX($B$22:$GQ$22,MATCH(110,$B$29:$GQ$29,0))</f>
        <v>70.890308732400001</v>
      </c>
      <c r="DH8">
        <f>INDEX($B$22:$GQ$22,MATCH(111,$B$29:$GQ$29,0))</f>
        <v>8.0925708148400002</v>
      </c>
      <c r="DI8">
        <f>INDEX($B$22:$GQ$22,MATCH(112,$B$29:$GQ$29,0))</f>
        <v>70.537428166500007</v>
      </c>
      <c r="DJ8">
        <f>INDEX($B$22:$GQ$22,MATCH(113,$B$29:$GQ$29,0))</f>
        <v>52.302272047400002</v>
      </c>
      <c r="DK8">
        <f>INDEX($B$22:$GQ$22,MATCH(114,$B$29:$GQ$29,0))</f>
        <v>50.515630950077558</v>
      </c>
      <c r="DL8">
        <f>INDEX($B$22:$GQ$22,MATCH(115,$B$29:$GQ$29,0))</f>
        <v>0</v>
      </c>
      <c r="DM8">
        <f>INDEX($B$22:$GQ$22,MATCH(116,$B$29:$GQ$29,0))</f>
        <v>0</v>
      </c>
      <c r="DN8">
        <f>INDEX($B$22:$GQ$22,MATCH(117,$B$29:$GQ$29,0))</f>
        <v>167.10322240432029</v>
      </c>
      <c r="DO8">
        <f>INDEX($B$22:$GQ$22,MATCH(118,$B$29:$GQ$29,0))</f>
        <v>11.36406994162234</v>
      </c>
      <c r="DP8">
        <f>INDEX($B$22:$GQ$22,MATCH(119,$B$29:$GQ$29,0))</f>
        <v>1.8890696923700001</v>
      </c>
      <c r="DQ8">
        <f>INDEX($B$22:$GQ$22,MATCH(120,$B$29:$GQ$29,0))</f>
        <v>2.1437064312718959</v>
      </c>
      <c r="DR8">
        <f>INDEX($B$22:$GQ$22,MATCH(121,$B$29:$GQ$29,0))</f>
        <v>11.094501610822441</v>
      </c>
      <c r="DS8">
        <f>INDEX($B$22:$GQ$22,MATCH(122,$B$29:$GQ$29,0))</f>
        <v>0</v>
      </c>
      <c r="DT8">
        <f>INDEX($B$22:$GQ$22,MATCH(123,$B$29:$GQ$29,0))</f>
        <v>7.7309901311899996</v>
      </c>
      <c r="DU8">
        <f>INDEX($B$22:$GQ$22,MATCH(124,$B$29:$GQ$29,0))</f>
        <v>0.46723417790522082</v>
      </c>
      <c r="DV8">
        <f>INDEX($B$22:$GQ$22,MATCH(125,$B$29:$GQ$29,0))</f>
        <v>6.1009405066999998</v>
      </c>
      <c r="DW8">
        <f>INDEX($B$22:$GQ$22,MATCH(126,$B$29:$GQ$29,0))</f>
        <v>0</v>
      </c>
      <c r="DX8">
        <f>INDEX($B$22:$GQ$22,MATCH(127,$B$29:$GQ$29,0))</f>
        <v>0</v>
      </c>
      <c r="DY8">
        <f>INDEX($B$22:$GQ$22,MATCH(128,$B$29:$GQ$29,0))</f>
        <v>0.26654030710377918</v>
      </c>
      <c r="DZ8">
        <f>INDEX($B$22:$GQ$22,MATCH(129,$B$29:$GQ$29,0))</f>
        <v>0.72930991165692571</v>
      </c>
      <c r="EA8">
        <f>INDEX($B$22:$GQ$22,MATCH(130,$B$29:$GQ$29,0))</f>
        <v>0.14561557168100001</v>
      </c>
      <c r="EB8">
        <f>INDEX($B$22:$GQ$22,MATCH(131,$B$29:$GQ$29,0))</f>
        <v>0</v>
      </c>
      <c r="EC8">
        <f>INDEX($B$22:$GQ$22,MATCH(132,$B$29:$GQ$29,0))</f>
        <v>4.0624645841598698E-3</v>
      </c>
      <c r="ED8">
        <f>INDEX($B$22:$GQ$22,MATCH(133,$B$29:$GQ$29,0))</f>
        <v>1.8210031991701299E-3</v>
      </c>
      <c r="EE8">
        <f>INDEX($B$22:$GQ$22,MATCH(134,$B$29:$GQ$29,0))</f>
        <v>0</v>
      </c>
      <c r="EF8">
        <f>INDEX($B$22:$GQ$22,MATCH(135,$B$29:$GQ$29,0))</f>
        <v>0</v>
      </c>
      <c r="EG8">
        <f>INDEX($B$22:$GQ$22,MATCH(136,$B$29:$GQ$29,0))</f>
        <v>0</v>
      </c>
      <c r="EH8">
        <f>INDEX($B$22:$GQ$22,MATCH(137,$B$29:$GQ$29,0))</f>
        <v>0</v>
      </c>
      <c r="EI8">
        <f>INDEX($B$22:$GQ$22,MATCH(138,$B$29:$GQ$29,0))</f>
        <v>0</v>
      </c>
      <c r="EJ8">
        <f>INDEX($B$22:$GQ$22,MATCH(139,$B$29:$GQ$29,0))</f>
        <v>0</v>
      </c>
      <c r="EK8">
        <f>INDEX($B$22:$GQ$22,MATCH(140,$B$29:$GQ$29,0))</f>
        <v>0</v>
      </c>
      <c r="EL8">
        <f>INDEX($B$22:$GQ$22,MATCH(141,$B$29:$GQ$29,0))</f>
        <v>0</v>
      </c>
      <c r="EM8">
        <f>INDEX($B$22:$GQ$22,MATCH(142,$B$29:$GQ$29,0))</f>
        <v>0</v>
      </c>
      <c r="EN8">
        <f>INDEX($B$22:$GQ$22,MATCH(143,$B$29:$GQ$29,0))</f>
        <v>0</v>
      </c>
      <c r="EO8">
        <f>INDEX($B$22:$GQ$22,MATCH(144,$B$29:$GQ$29,0))</f>
        <v>0</v>
      </c>
      <c r="EP8">
        <f>INDEX($B$22:$GQ$22,MATCH(145,$B$29:$GQ$29,0))</f>
        <v>0</v>
      </c>
      <c r="EQ8">
        <f>INDEX($B$22:$GQ$22,MATCH(146,$B$29:$GQ$29,0))</f>
        <v>0</v>
      </c>
      <c r="ER8">
        <f>INDEX($B$22:$GQ$22,MATCH(147,$B$29:$GQ$29,0))</f>
        <v>0</v>
      </c>
      <c r="ES8">
        <f>INDEX($B$22:$GQ$22,MATCH(148,$B$29:$GQ$29,0))</f>
        <v>0</v>
      </c>
      <c r="ET8">
        <f>INDEX($B$22:$GQ$22,MATCH(149,$B$29:$GQ$29,0))</f>
        <v>0</v>
      </c>
      <c r="EU8">
        <f>INDEX($B$22:$GQ$22,MATCH(150,$B$29:$GQ$29,0))</f>
        <v>0</v>
      </c>
      <c r="EV8">
        <f>INDEX($B$22:$GQ$22,MATCH(151,$B$29:$GQ$29,0))</f>
        <v>0</v>
      </c>
      <c r="EW8">
        <f>INDEX($B$22:$GQ$22,MATCH(152,$B$29:$GQ$29,0))</f>
        <v>0</v>
      </c>
      <c r="EX8">
        <f>INDEX($B$22:$GQ$22,MATCH(153,$B$29:$GQ$29,0))</f>
        <v>0</v>
      </c>
      <c r="EY8">
        <f>INDEX($B$22:$GQ$22,MATCH(154,$B$29:$GQ$29,0))</f>
        <v>0</v>
      </c>
      <c r="EZ8">
        <f>INDEX($B$22:$GQ$22,MATCH(155,$B$29:$GQ$29,0))</f>
        <v>0</v>
      </c>
      <c r="FA8">
        <f>INDEX($B$22:$GQ$22,MATCH(156,$B$29:$GQ$29,0))</f>
        <v>0</v>
      </c>
      <c r="FB8">
        <f>INDEX($B$22:$GQ$22,MATCH(157,$B$29:$GQ$29,0))</f>
        <v>0</v>
      </c>
      <c r="FC8">
        <f>INDEX($B$22:$GQ$22,MATCH(158,$B$29:$GQ$29,0))</f>
        <v>0</v>
      </c>
      <c r="FD8">
        <f>INDEX($B$22:$GQ$22,MATCH(159,$B$29:$GQ$29,0))</f>
        <v>0</v>
      </c>
      <c r="FE8">
        <f>INDEX($B$22:$GQ$22,MATCH(160,$B$29:$GQ$29,0))</f>
        <v>0</v>
      </c>
      <c r="FF8">
        <f>INDEX($B$22:$GQ$22,MATCH(161,$B$29:$GQ$29,0))</f>
        <v>0</v>
      </c>
      <c r="FG8">
        <f>INDEX($B$22:$GQ$22,MATCH(162,$B$29:$GQ$29,0))</f>
        <v>0</v>
      </c>
      <c r="FH8">
        <f>INDEX($B$22:$GQ$22,MATCH(163,$B$29:$GQ$29,0))</f>
        <v>0</v>
      </c>
      <c r="FI8">
        <f>INDEX($B$22:$GQ$22,MATCH(164,$B$29:$GQ$29,0))</f>
        <v>0</v>
      </c>
      <c r="FJ8">
        <f>INDEX($B$22:$GQ$22,MATCH(165,$B$29:$GQ$29,0))</f>
        <v>0</v>
      </c>
      <c r="FK8">
        <f>INDEX($B$22:$GQ$22,MATCH(166,$B$29:$GQ$29,0))</f>
        <v>0</v>
      </c>
      <c r="FL8">
        <f>INDEX($B$22:$GQ$22,MATCH(167,$B$29:$GQ$29,0))</f>
        <v>0</v>
      </c>
      <c r="FM8">
        <f>INDEX($B$22:$GQ$22,MATCH(168,$B$29:$GQ$29,0))</f>
        <v>0</v>
      </c>
      <c r="FN8">
        <f>INDEX($B$22:$GQ$22,MATCH(169,$B$29:$GQ$29,0))</f>
        <v>0</v>
      </c>
      <c r="FO8">
        <f>INDEX($B$22:$GQ$22,MATCH(170,$B$29:$GQ$29,0))</f>
        <v>0</v>
      </c>
      <c r="FP8">
        <f>INDEX($B$22:$GQ$22,MATCH(171,$B$29:$GQ$29,0))</f>
        <v>0</v>
      </c>
      <c r="FQ8">
        <f>INDEX($B$22:$GQ$22,MATCH(172,$B$29:$GQ$29,0))</f>
        <v>0</v>
      </c>
      <c r="FR8">
        <f>INDEX($B$22:$GQ$22,MATCH(173,$B$29:$GQ$29,0))</f>
        <v>0</v>
      </c>
      <c r="FS8">
        <f>INDEX($B$22:$GQ$22,MATCH(174,$B$29:$GQ$29,0))</f>
        <v>0</v>
      </c>
      <c r="FT8">
        <f>INDEX($B$22:$GQ$22,MATCH(175,$B$29:$GQ$29,0))</f>
        <v>0</v>
      </c>
      <c r="FU8">
        <f>INDEX($B$22:$GQ$22,MATCH(176,$B$29:$GQ$29,0))</f>
        <v>0</v>
      </c>
      <c r="FV8">
        <f>INDEX($B$22:$GQ$22,MATCH(177,$B$29:$GQ$29,0))</f>
        <v>0</v>
      </c>
      <c r="FW8">
        <f>INDEX($B$22:$GQ$22,MATCH(178,$B$29:$GQ$29,0))</f>
        <v>0</v>
      </c>
      <c r="FX8">
        <f>INDEX($B$22:$GQ$22,MATCH(179,$B$29:$GQ$29,0))</f>
        <v>0</v>
      </c>
      <c r="FY8">
        <f>INDEX($B$22:$GQ$22,MATCH(180,$B$29:$GQ$29,0))</f>
        <v>0</v>
      </c>
      <c r="FZ8">
        <f>INDEX($B$22:$GQ$22,MATCH(181,$B$29:$GQ$29,0))</f>
        <v>0</v>
      </c>
      <c r="GA8">
        <f>INDEX($B$22:$GQ$22,MATCH(182,$B$29:$GQ$29,0))</f>
        <v>0</v>
      </c>
      <c r="GB8">
        <f>INDEX($B$22:$GQ$22,MATCH(183,$B$29:$GQ$29,0))</f>
        <v>0</v>
      </c>
      <c r="GC8">
        <f>INDEX($B$22:$GQ$22,MATCH(184,$B$29:$GQ$29,0))</f>
        <v>0</v>
      </c>
      <c r="GD8">
        <f>INDEX($B$22:$GQ$22,MATCH(185,$B$29:$GQ$29,0))</f>
        <v>0</v>
      </c>
      <c r="GE8">
        <f>INDEX($B$22:$GQ$22,MATCH(186,$B$29:$GQ$29,0))</f>
        <v>0</v>
      </c>
      <c r="GF8">
        <f>INDEX($B$22:$GQ$22,MATCH(187,$B$29:$GQ$29,0))</f>
        <v>0</v>
      </c>
      <c r="GG8">
        <f>INDEX($B$22:$GQ$22,MATCH(188,$B$29:$GQ$29,0))</f>
        <v>0</v>
      </c>
      <c r="GH8">
        <f>INDEX($B$22:$GQ$22,MATCH(189,$B$29:$GQ$29,0))</f>
        <v>0</v>
      </c>
      <c r="GI8">
        <f>INDEX($B$22:$GQ$22,MATCH(190,$B$29:$GQ$29,0))</f>
        <v>0</v>
      </c>
      <c r="GJ8">
        <f>INDEX($B$22:$GQ$22,MATCH(191,$B$29:$GQ$29,0))</f>
        <v>0</v>
      </c>
      <c r="GK8">
        <f>INDEX($B$22:$GQ$22,MATCH(192,$B$29:$GQ$29,0))</f>
        <v>0</v>
      </c>
      <c r="GL8">
        <f>INDEX($B$22:$GQ$22,MATCH(193,$B$29:$GQ$29,0))</f>
        <v>0</v>
      </c>
      <c r="GM8">
        <f>INDEX($B$22:$GQ$22,MATCH(194,$B$29:$GQ$29,0))</f>
        <v>0</v>
      </c>
      <c r="GN8">
        <f>INDEX($B$22:$GQ$22,MATCH(195,$B$29:$GQ$29,0))</f>
        <v>0</v>
      </c>
      <c r="GO8">
        <f>INDEX($B$22:$GQ$22,MATCH(196,$B$29:$GQ$29,0))</f>
        <v>0</v>
      </c>
      <c r="GP8">
        <f>INDEX($B$22:$GQ$22,MATCH(197,$B$29:$GQ$29,0))</f>
        <v>0</v>
      </c>
      <c r="GQ8">
        <f>INDEX($B$22:$GQ$22,MATCH(198,$B$29:$GQ$29,0))</f>
        <v>0</v>
      </c>
      <c r="GR8">
        <f>INDEX($GR$22:$HC$22,MATCH(1,$GR$30:$HC$30,0))</f>
        <v>5050.4413716326299</v>
      </c>
      <c r="GS8">
        <f>INDEX($GR$22:$HC$22,MATCH(2,$GR$30:$HC$30,0))</f>
        <v>35754.451946233312</v>
      </c>
      <c r="GT8">
        <f>INDEX($GR$22:$HC$22,MATCH(3,$GR$30:$HC$30,0))</f>
        <v>879887.65012239758</v>
      </c>
      <c r="GU8">
        <f>INDEX($GR$22:$HC$22,MATCH(4,$GR$30:$HC$30,0))</f>
        <v>5617.0054188691001</v>
      </c>
      <c r="GV8">
        <f>INDEX($GR$22:$HC$22,MATCH(5,$GR$30:$HC$30,0))</f>
        <v>31083.776765543069</v>
      </c>
      <c r="GW8">
        <f>INDEX($GR$22:$HC$22,MATCH(6,$GR$30:$HC$30,0))</f>
        <v>8862.9789436519168</v>
      </c>
      <c r="GX8">
        <f>INDEX($GR$22:$HC$22,MATCH(7,$GR$30:$HC$30,0))</f>
        <v>8625.6836483218303</v>
      </c>
      <c r="GY8">
        <f>INDEX($GR$22:$HC$22,MATCH(8,$GR$30:$HC$30,0))</f>
        <v>348068.80637080298</v>
      </c>
      <c r="GZ8">
        <f>INDEX($GR$22:$HC$22,MATCH(9,$GR$30:$HC$30,0))</f>
        <v>115961.4466882009</v>
      </c>
      <c r="HA8">
        <f>INDEX($GR$22:$HC$22,MATCH(10,$GR$30:$HC$30,0))</f>
        <v>83954.164852629998</v>
      </c>
      <c r="HB8">
        <f>INDEX($GR$22:$HC$22,MATCH(11,$GR$30:$HC$30,0))</f>
        <v>76311.734081727249</v>
      </c>
      <c r="HC8">
        <f>INDEX($GR$22:$HC$22,MATCH(12,$GR$30:$HC$30,0))</f>
        <v>10307.068231872499</v>
      </c>
    </row>
    <row r="9" spans="1:211" x14ac:dyDescent="0.45">
      <c r="A9" s="1" t="s">
        <v>8</v>
      </c>
      <c r="B9">
        <f>INDEX($B$23:$GQ$23,MATCH(1,$B$29:$GQ$29,0))</f>
        <v>3.4193429179477618E-4</v>
      </c>
      <c r="C9">
        <f>INDEX($B$23:$GQ$23,MATCH(2,$B$29:$GQ$29,0))</f>
        <v>1.131537892334666E-3</v>
      </c>
      <c r="D9">
        <f>INDEX($B$23:$GQ$23,MATCH(3,$B$29:$GQ$29,0))</f>
        <v>1.0735915017990879E-5</v>
      </c>
      <c r="E9">
        <f>INDEX($B$23:$GQ$23,MATCH(4,$B$29:$GQ$29,0))</f>
        <v>3.2468646859935911E-4</v>
      </c>
      <c r="F9">
        <f>INDEX($B$23:$GQ$23,MATCH(5,$B$29:$GQ$29,0))</f>
        <v>1.1613962207792281E-3</v>
      </c>
      <c r="G9">
        <f>INDEX($B$23:$GQ$23,MATCH(6,$B$29:$GQ$29,0))</f>
        <v>1.0874681535009119E-3</v>
      </c>
      <c r="H9">
        <f>INDEX($B$23:$GQ$23,MATCH(7,$B$29:$GQ$29,0))</f>
        <v>1.721117004014233E-3</v>
      </c>
      <c r="I9">
        <f>INDEX($B$23:$GQ$23,MATCH(8,$B$29:$GQ$29,0))</f>
        <v>2.1809557835288039E-4</v>
      </c>
      <c r="J9">
        <f>INDEX($B$23:$GQ$23,MATCH(9,$B$29:$GQ$29,0))</f>
        <v>5.9946880710024649E-5</v>
      </c>
      <c r="K9">
        <f>INDEX($B$23:$GQ$23,MATCH(10,$B$29:$GQ$29,0))</f>
        <v>1.832510391930648E-3</v>
      </c>
      <c r="L9">
        <f>INDEX($B$23:$GQ$23,MATCH(11,$B$29:$GQ$29,0))</f>
        <v>7.7659109443919418E-5</v>
      </c>
      <c r="M9">
        <f>INDEX($B$23:$GQ$23,MATCH(12,$B$29:$GQ$29,0))</f>
        <v>1.6555960351515031E-3</v>
      </c>
      <c r="N9">
        <f>INDEX($B$23:$GQ$23,MATCH(13,$B$29:$GQ$29,0))</f>
        <v>9.9653928186133446E-4</v>
      </c>
      <c r="O9">
        <f>INDEX($B$23:$GQ$23,MATCH(14,$B$29:$GQ$29,0))</f>
        <v>7.9075103945958178E-4</v>
      </c>
      <c r="P9">
        <f>INDEX($B$23:$GQ$23,MATCH(15,$B$29:$GQ$29,0))</f>
        <v>3.9012101379417641E-4</v>
      </c>
      <c r="Q9">
        <f>INDEX($B$23:$GQ$23,MATCH(16,$B$29:$GQ$29,0))</f>
        <v>7.101631111662949E-4</v>
      </c>
      <c r="R9">
        <f>INDEX($B$23:$GQ$23,MATCH(17,$B$29:$GQ$29,0))</f>
        <v>8.2968244822338911E-5</v>
      </c>
      <c r="S9">
        <f>INDEX($B$23:$GQ$23,MATCH(18,$B$29:$GQ$29,0))</f>
        <v>2.312956226985743E-4</v>
      </c>
      <c r="T9">
        <f>INDEX($B$23:$GQ$23,MATCH(19,$B$29:$GQ$29,0))</f>
        <v>3.1354487436281291E-4</v>
      </c>
      <c r="U9">
        <f>INDEX($B$23:$GQ$23,MATCH(20,$B$29:$GQ$29,0))</f>
        <v>1.2588226695431251E-4</v>
      </c>
      <c r="V9">
        <f>INDEX($B$23:$GQ$23,MATCH(21,$B$29:$GQ$29,0))</f>
        <v>2.0898747996959979E-4</v>
      </c>
      <c r="W9">
        <f>INDEX($B$23:$GQ$23,MATCH(22,$B$29:$GQ$29,0))</f>
        <v>2.5472899060192909E-6</v>
      </c>
      <c r="X9">
        <f>INDEX($B$23:$GQ$23,MATCH(23,$B$29:$GQ$29,0))</f>
        <v>1.120142115360165E-4</v>
      </c>
      <c r="Y9">
        <f>INDEX($B$23:$GQ$23,MATCH(24,$B$29:$GQ$29,0))</f>
        <v>2.2738061019459541E-4</v>
      </c>
      <c r="Z9">
        <f>INDEX($B$23:$GQ$23,MATCH(25,$B$29:$GQ$29,0))</f>
        <v>1.138396452991804E-4</v>
      </c>
      <c r="AA9">
        <f>INDEX($B$23:$GQ$23,MATCH(26,$B$29:$GQ$29,0))</f>
        <v>5.9836618483482454E-6</v>
      </c>
      <c r="AB9">
        <f>INDEX($B$23:$GQ$23,MATCH(27,$B$29:$GQ$29,0))</f>
        <v>9.7132067838082754E-6</v>
      </c>
      <c r="AC9">
        <f>INDEX($B$23:$GQ$23,MATCH(28,$B$29:$GQ$29,0))</f>
        <v>2.6981953016781842E-4</v>
      </c>
      <c r="AD9">
        <f>INDEX($B$23:$GQ$23,MATCH(29,$B$29:$GQ$29,0))</f>
        <v>3.4016338333382832E-4</v>
      </c>
      <c r="AE9">
        <f>INDEX($B$23:$GQ$23,MATCH(30,$B$29:$GQ$29,0))</f>
        <v>3.0387319549006117E-4</v>
      </c>
      <c r="AF9">
        <f>INDEX($B$23:$GQ$23,MATCH(31,$B$29:$GQ$29,0))</f>
        <v>2.5016352992914313E-4</v>
      </c>
      <c r="AG9">
        <f>INDEX($B$23:$GQ$23,MATCH(32,$B$29:$GQ$29,0))</f>
        <v>2.2714367086095291E-4</v>
      </c>
      <c r="AH9">
        <f>INDEX($B$23:$GQ$23,MATCH(33,$B$29:$GQ$29,0))</f>
        <v>2.0239822595990531E-4</v>
      </c>
      <c r="AI9">
        <f>INDEX($B$23:$GQ$23,MATCH(34,$B$29:$GQ$29,0))</f>
        <v>4.9307725883632039E-5</v>
      </c>
      <c r="AJ9">
        <f>INDEX($B$23:$GQ$23,MATCH(35,$B$29:$GQ$29,0))</f>
        <v>5.1665225821330562E-5</v>
      </c>
      <c r="AK9">
        <f>INDEX($B$23:$GQ$23,MATCH(36,$B$29:$GQ$29,0))</f>
        <v>6.1441777095106955E-5</v>
      </c>
      <c r="AL9">
        <f>INDEX($B$23:$GQ$23,MATCH(37,$B$29:$GQ$29,0))</f>
        <v>2.4427334001826272E-4</v>
      </c>
      <c r="AM9">
        <f>INDEX($B$23:$GQ$23,MATCH(38,$B$29:$GQ$29,0))</f>
        <v>1.4381624879554651E-4</v>
      </c>
      <c r="AN9">
        <f>INDEX($B$23:$GQ$23,MATCH(39,$B$29:$GQ$29,0))</f>
        <v>1.581026796677326E-4</v>
      </c>
      <c r="AO9">
        <f>INDEX($B$23:$GQ$23,MATCH(40,$B$29:$GQ$29,0))</f>
        <v>7.1667969551148803E-6</v>
      </c>
      <c r="AP9">
        <f>INDEX($B$23:$GQ$23,MATCH(41,$B$29:$GQ$29,0))</f>
        <v>1.2516293056310919E-4</v>
      </c>
      <c r="AQ9">
        <f>INDEX($B$23:$GQ$23,MATCH(42,$B$29:$GQ$29,0))</f>
        <v>1.3655816318851381E-4</v>
      </c>
      <c r="AR9">
        <f>INDEX($B$23:$GQ$23,MATCH(43,$B$29:$GQ$29,0))</f>
        <v>1.087116054254862E-6</v>
      </c>
      <c r="AS9">
        <f>INDEX($B$23:$GQ$23,MATCH(44,$B$29:$GQ$29,0))</f>
        <v>1.191115316823169E-4</v>
      </c>
      <c r="AT9">
        <f>INDEX($B$23:$GQ$23,MATCH(45,$B$29:$GQ$29,0))</f>
        <v>1.20224757670094E-4</v>
      </c>
      <c r="AU9">
        <f>INDEX($B$23:$GQ$23,MATCH(46,$B$29:$GQ$29,0))</f>
        <v>3.1416656144471491E-5</v>
      </c>
      <c r="AV9">
        <f>INDEX($B$23:$GQ$23,MATCH(47,$B$29:$GQ$29,0))</f>
        <v>0</v>
      </c>
      <c r="AW9">
        <f>INDEX($B$23:$GQ$23,MATCH(48,$B$29:$GQ$29,0))</f>
        <v>1.096655998615806E-4</v>
      </c>
      <c r="AX9">
        <f>INDEX($B$23:$GQ$23,MATCH(49,$B$29:$GQ$29,0))</f>
        <v>1.030931894223222E-4</v>
      </c>
      <c r="AY9">
        <f>INDEX($B$23:$GQ$23,MATCH(50,$B$29:$GQ$29,0))</f>
        <v>0</v>
      </c>
      <c r="AZ9">
        <f>INDEX($B$23:$GQ$23,MATCH(51,$B$29:$GQ$29,0))</f>
        <v>5.1344402134585148E-5</v>
      </c>
      <c r="BA9">
        <f>INDEX($B$23:$GQ$23,MATCH(52,$B$29:$GQ$29,0))</f>
        <v>1.897749782923415E-6</v>
      </c>
      <c r="BB9">
        <f>INDEX($B$23:$GQ$23,MATCH(53,$B$29:$GQ$29,0))</f>
        <v>8.6198529873105669E-5</v>
      </c>
      <c r="BC9">
        <f>INDEX($B$23:$GQ$23,MATCH(54,$B$29:$GQ$29,0))</f>
        <v>5.7603299729470129E-5</v>
      </c>
      <c r="BD9">
        <f>INDEX($B$23:$GQ$23,MATCH(55,$B$29:$GQ$29,0))</f>
        <v>2.2932320138789789E-5</v>
      </c>
      <c r="BE9">
        <f>INDEX($B$23:$GQ$23,MATCH(56,$B$29:$GQ$29,0))</f>
        <v>1.169015714660198E-5</v>
      </c>
      <c r="BF9">
        <f>INDEX($B$23:$GQ$23,MATCH(57,$B$29:$GQ$29,0))</f>
        <v>3.9402393793560911E-5</v>
      </c>
      <c r="BG9">
        <f>INDEX($B$23:$GQ$23,MATCH(58,$B$29:$GQ$29,0))</f>
        <v>8.7483224899142555E-7</v>
      </c>
      <c r="BH9">
        <f>INDEX($B$23:$GQ$23,MATCH(59,$B$29:$GQ$29,0))</f>
        <v>5.0622697092697711E-5</v>
      </c>
      <c r="BI9">
        <f>INDEX($B$23:$GQ$23,MATCH(60,$B$29:$GQ$29,0))</f>
        <v>6.7970281104812131E-5</v>
      </c>
      <c r="BJ9">
        <f>INDEX($B$23:$GQ$23,MATCH(61,$B$29:$GQ$29,0))</f>
        <v>2.5950350103480041E-5</v>
      </c>
      <c r="BK9">
        <f>INDEX($B$23:$GQ$23,MATCH(62,$B$29:$GQ$29,0))</f>
        <v>2.1058956086853531E-5</v>
      </c>
      <c r="BL9">
        <f>INDEX($B$23:$GQ$23,MATCH(63,$B$29:$GQ$29,0))</f>
        <v>1.8668019057313631E-5</v>
      </c>
      <c r="BM9">
        <f>INDEX($B$23:$GQ$23,MATCH(64,$B$29:$GQ$29,0))</f>
        <v>4.9229314391656391E-5</v>
      </c>
      <c r="BN9">
        <f>INDEX($B$23:$GQ$23,MATCH(65,$B$29:$GQ$29,0))</f>
        <v>9.8261669691476505E-6</v>
      </c>
      <c r="BO9">
        <f>INDEX($B$23:$GQ$23,MATCH(66,$B$29:$GQ$29,0))</f>
        <v>1.7745098275583699E-5</v>
      </c>
      <c r="BP9">
        <f>INDEX($B$23:$GQ$23,MATCH(67,$B$29:$GQ$29,0))</f>
        <v>5.4520184699524331E-5</v>
      </c>
      <c r="BQ9">
        <f>INDEX($B$23:$GQ$23,MATCH(68,$B$29:$GQ$29,0))</f>
        <v>1.0203025240550779E-5</v>
      </c>
      <c r="BR9">
        <f>INDEX($B$23:$GQ$23,MATCH(69,$B$29:$GQ$29,0))</f>
        <v>3.8857903923588843E-5</v>
      </c>
      <c r="BS9">
        <f>INDEX($B$23:$GQ$23,MATCH(70,$B$29:$GQ$29,0))</f>
        <v>4.063662538296952E-5</v>
      </c>
      <c r="BT9">
        <f>INDEX($B$23:$GQ$23,MATCH(71,$B$29:$GQ$29,0))</f>
        <v>9.5431908862939032E-6</v>
      </c>
      <c r="BU9">
        <f>INDEX($B$23:$GQ$23,MATCH(72,$B$29:$GQ$29,0))</f>
        <v>1.245391267870691E-5</v>
      </c>
      <c r="BV9">
        <f>INDEX($B$23:$GQ$23,MATCH(73,$B$29:$GQ$29,0))</f>
        <v>2.3671508844399401E-7</v>
      </c>
      <c r="BW9">
        <f>INDEX($B$23:$GQ$23,MATCH(74,$B$29:$GQ$29,0))</f>
        <v>3.1827394265889243E-5</v>
      </c>
      <c r="BX9">
        <f>INDEX($B$23:$GQ$23,MATCH(75,$B$29:$GQ$29,0))</f>
        <v>2.664454396407724E-5</v>
      </c>
      <c r="BY9">
        <f>INDEX($B$23:$GQ$23,MATCH(76,$B$29:$GQ$29,0))</f>
        <v>4.9809797596390783E-7</v>
      </c>
      <c r="BZ9">
        <f>INDEX($B$23:$GQ$23,MATCH(77,$B$29:$GQ$29,0))</f>
        <v>1.558896269800378E-5</v>
      </c>
      <c r="CA9">
        <f>INDEX($B$23:$GQ$23,MATCH(78,$B$29:$GQ$29,0))</f>
        <v>1.42480764982641E-5</v>
      </c>
      <c r="CB9">
        <f>INDEX($B$23:$GQ$23,MATCH(79,$B$29:$GQ$29,0))</f>
        <v>3.4191536914221791E-6</v>
      </c>
      <c r="CC9">
        <f>INDEX($B$23:$GQ$23,MATCH(80,$B$29:$GQ$29,0))</f>
        <v>1.1572652185908261E-5</v>
      </c>
      <c r="CD9">
        <f>INDEX($B$23:$GQ$23,MATCH(81,$B$29:$GQ$29,0))</f>
        <v>1.010374510762532E-5</v>
      </c>
      <c r="CE9">
        <f>INDEX($B$23:$GQ$23,MATCH(82,$B$29:$GQ$29,0))</f>
        <v>4.6030060911470923E-6</v>
      </c>
      <c r="CF9">
        <f>INDEX($B$23:$GQ$23,MATCH(83,$B$29:$GQ$29,0))</f>
        <v>1.0168742856305479E-5</v>
      </c>
      <c r="CG9">
        <f>INDEX($B$23:$GQ$23,MATCH(84,$B$29:$GQ$29,0))</f>
        <v>7.2516479182676384E-6</v>
      </c>
      <c r="CH9">
        <f>INDEX($B$23:$GQ$23,MATCH(85,$B$29:$GQ$29,0))</f>
        <v>3.7438993689024078E-6</v>
      </c>
      <c r="CI9">
        <f>INDEX($B$23:$GQ$23,MATCH(86,$B$29:$GQ$29,0))</f>
        <v>7.4388839988344458E-6</v>
      </c>
      <c r="CJ9">
        <f>INDEX($B$23:$GQ$23,MATCH(87,$B$29:$GQ$29,0))</f>
        <v>6.7670936649837753E-6</v>
      </c>
      <c r="CK9">
        <f>INDEX($B$23:$GQ$23,MATCH(88,$B$29:$GQ$29,0))</f>
        <v>6.0357521739322749E-6</v>
      </c>
      <c r="CL9">
        <f>INDEX($B$23:$GQ$23,MATCH(89,$B$29:$GQ$29,0))</f>
        <v>6.3967019468778778E-6</v>
      </c>
      <c r="CM9">
        <f>INDEX($B$23:$GQ$23,MATCH(90,$B$29:$GQ$29,0))</f>
        <v>6.1975277669175396E-6</v>
      </c>
      <c r="CN9">
        <f>INDEX($B$23:$GQ$23,MATCH(91,$B$29:$GQ$29,0))</f>
        <v>5.8359073509050666E-6</v>
      </c>
      <c r="CO9">
        <f>INDEX($B$23:$GQ$23,MATCH(92,$B$29:$GQ$29,0))</f>
        <v>4.9744187967564438E-6</v>
      </c>
      <c r="CP9">
        <f>INDEX($B$23:$GQ$23,MATCH(93,$B$29:$GQ$29,0))</f>
        <v>4.7032447242400654E-6</v>
      </c>
      <c r="CQ9">
        <f>INDEX($B$23:$GQ$23,MATCH(94,$B$29:$GQ$29,0))</f>
        <v>4.3781542433813241E-6</v>
      </c>
      <c r="CR9">
        <f>INDEX($B$23:$GQ$23,MATCH(95,$B$29:$GQ$29,0))</f>
        <v>3.8481219309917547E-6</v>
      </c>
      <c r="CS9">
        <f>INDEX($B$23:$GQ$23,MATCH(96,$B$29:$GQ$29,0))</f>
        <v>3.7077124588162219E-6</v>
      </c>
      <c r="CT9">
        <f>INDEX($B$23:$GQ$23,MATCH(97,$B$29:$GQ$29,0))</f>
        <v>3.2792428389195691E-6</v>
      </c>
      <c r="CU9">
        <f>INDEX($B$23:$GQ$23,MATCH(98,$B$29:$GQ$29,0))</f>
        <v>2.9286083813650162E-6</v>
      </c>
      <c r="CV9">
        <f>INDEX($B$23:$GQ$23,MATCH(99,$B$29:$GQ$29,0))</f>
        <v>2.8908675515210971E-6</v>
      </c>
      <c r="CW9">
        <f>INDEX($B$23:$GQ$23,MATCH(100,$B$29:$GQ$29,0))</f>
        <v>2.552927601362895E-6</v>
      </c>
      <c r="CX9">
        <f>INDEX($B$23:$GQ$23,MATCH(101,$B$29:$GQ$29,0))</f>
        <v>2.45143282385068E-6</v>
      </c>
      <c r="CY9">
        <f>INDEX($B$23:$GQ$23,MATCH(102,$B$29:$GQ$29,0))</f>
        <v>2.243872375198376E-6</v>
      </c>
      <c r="CZ9">
        <f>INDEX($B$23:$GQ$23,MATCH(103,$B$29:$GQ$29,0))</f>
        <v>4.8347399739179511E-7</v>
      </c>
      <c r="DA9">
        <f>INDEX($B$23:$GQ$23,MATCH(104,$B$29:$GQ$29,0))</f>
        <v>1.7764657316890651E-6</v>
      </c>
      <c r="DB9">
        <f>INDEX($B$23:$GQ$23,MATCH(105,$B$29:$GQ$29,0))</f>
        <v>1.590235036018962E-6</v>
      </c>
      <c r="DC9">
        <f>INDEX($B$23:$GQ$23,MATCH(106,$B$29:$GQ$29,0))</f>
        <v>1.642233373020581E-6</v>
      </c>
      <c r="DD9">
        <f>INDEX($B$23:$GQ$23,MATCH(107,$B$29:$GQ$29,0))</f>
        <v>0</v>
      </c>
      <c r="DE9">
        <f>INDEX($B$23:$GQ$23,MATCH(108,$B$29:$GQ$29,0))</f>
        <v>1.295418410028202E-6</v>
      </c>
      <c r="DF9">
        <f>INDEX($B$23:$GQ$23,MATCH(109,$B$29:$GQ$29,0))</f>
        <v>9.5333105360079913E-7</v>
      </c>
      <c r="DG9">
        <f>INDEX($B$23:$GQ$23,MATCH(110,$B$29:$GQ$29,0))</f>
        <v>6.1680685146024566E-7</v>
      </c>
      <c r="DH9">
        <f>INDEX($B$23:$GQ$23,MATCH(111,$B$29:$GQ$29,0))</f>
        <v>5.718199921013217E-8</v>
      </c>
      <c r="DI9">
        <f>INDEX($B$23:$GQ$23,MATCH(112,$B$29:$GQ$29,0))</f>
        <v>4.9949433550960608E-7</v>
      </c>
      <c r="DJ9">
        <f>INDEX($B$23:$GQ$23,MATCH(113,$B$29:$GQ$29,0))</f>
        <v>4.9939679841164516E-7</v>
      </c>
      <c r="DK9">
        <f>INDEX($B$23:$GQ$23,MATCH(114,$B$29:$GQ$29,0))</f>
        <v>4.5641606034592101E-7</v>
      </c>
      <c r="DL9">
        <f>INDEX($B$23:$GQ$23,MATCH(115,$B$29:$GQ$29,0))</f>
        <v>0</v>
      </c>
      <c r="DM9">
        <f>INDEX($B$23:$GQ$23,MATCH(116,$B$29:$GQ$29,0))</f>
        <v>0</v>
      </c>
      <c r="DN9">
        <f>INDEX($B$23:$GQ$23,MATCH(117,$B$29:$GQ$29,0))</f>
        <v>1.8121654619369041E-7</v>
      </c>
      <c r="DO9">
        <f>INDEX($B$23:$GQ$23,MATCH(118,$B$29:$GQ$29,0))</f>
        <v>1.706422497413139E-7</v>
      </c>
      <c r="DP9">
        <f>INDEX($B$23:$GQ$23,MATCH(119,$B$29:$GQ$29,0))</f>
        <v>1.603619571309645E-7</v>
      </c>
      <c r="DQ9">
        <f>INDEX($B$23:$GQ$23,MATCH(120,$B$29:$GQ$29,0))</f>
        <v>1.4306909269915189E-8</v>
      </c>
      <c r="DR9">
        <f>INDEX($B$23:$GQ$23,MATCH(121,$B$29:$GQ$29,0))</f>
        <v>8.9346331276438249E-8</v>
      </c>
      <c r="DS9">
        <f>INDEX($B$23:$GQ$23,MATCH(122,$B$29:$GQ$29,0))</f>
        <v>0</v>
      </c>
      <c r="DT9">
        <f>INDEX($B$23:$GQ$23,MATCH(123,$B$29:$GQ$29,0))</f>
        <v>7.6746344280319342E-8</v>
      </c>
      <c r="DU9">
        <f>INDEX($B$23:$GQ$23,MATCH(124,$B$29:$GQ$29,0))</f>
        <v>7.5384258428288523E-9</v>
      </c>
      <c r="DV9">
        <f>INDEX($B$23:$GQ$23,MATCH(125,$B$29:$GQ$29,0))</f>
        <v>4.218993869281253E-8</v>
      </c>
      <c r="DW9">
        <f>INDEX($B$23:$GQ$23,MATCH(126,$B$29:$GQ$29,0))</f>
        <v>0</v>
      </c>
      <c r="DX9">
        <f>INDEX($B$23:$GQ$23,MATCH(127,$B$29:$GQ$29,0))</f>
        <v>0</v>
      </c>
      <c r="DY9">
        <f>INDEX($B$23:$GQ$23,MATCH(128,$B$29:$GQ$29,0))</f>
        <v>4.1718290546318584E-9</v>
      </c>
      <c r="DZ9">
        <f>INDEX($B$23:$GQ$23,MATCH(129,$B$29:$GQ$29,0))</f>
        <v>6.7641017238607194E-10</v>
      </c>
      <c r="EA9">
        <f>INDEX($B$23:$GQ$23,MATCH(130,$B$29:$GQ$29,0))</f>
        <v>2.0153576352437009E-9</v>
      </c>
      <c r="EB9">
        <f>INDEX($B$23:$GQ$23,MATCH(131,$B$29:$GQ$29,0))</f>
        <v>0</v>
      </c>
      <c r="EC9">
        <f>INDEX($B$23:$GQ$23,MATCH(132,$B$29:$GQ$29,0))</f>
        <v>4.7277920489520393E-11</v>
      </c>
      <c r="ED9">
        <f>INDEX($B$23:$GQ$23,MATCH(133,$B$29:$GQ$29,0))</f>
        <v>1.7689191116507721E-11</v>
      </c>
      <c r="EE9">
        <f>INDEX($B$23:$GQ$23,MATCH(134,$B$29:$GQ$29,0))</f>
        <v>0</v>
      </c>
      <c r="EF9">
        <f>INDEX($B$23:$GQ$23,MATCH(135,$B$29:$GQ$29,0))</f>
        <v>0</v>
      </c>
      <c r="EG9">
        <f>INDEX($B$23:$GQ$23,MATCH(136,$B$29:$GQ$29,0))</f>
        <v>0</v>
      </c>
      <c r="EH9">
        <f>INDEX($B$23:$GQ$23,MATCH(137,$B$29:$GQ$29,0))</f>
        <v>0</v>
      </c>
      <c r="EI9">
        <f>INDEX($B$23:$GQ$23,MATCH(138,$B$29:$GQ$29,0))</f>
        <v>0</v>
      </c>
      <c r="EJ9">
        <f>INDEX($B$23:$GQ$23,MATCH(139,$B$29:$GQ$29,0))</f>
        <v>0</v>
      </c>
      <c r="EK9">
        <f>INDEX($B$23:$GQ$23,MATCH(140,$B$29:$GQ$29,0))</f>
        <v>0</v>
      </c>
      <c r="EL9">
        <f>INDEX($B$23:$GQ$23,MATCH(141,$B$29:$GQ$29,0))</f>
        <v>0</v>
      </c>
      <c r="EM9">
        <f>INDEX($B$23:$GQ$23,MATCH(142,$B$29:$GQ$29,0))</f>
        <v>0</v>
      </c>
      <c r="EN9">
        <f>INDEX($B$23:$GQ$23,MATCH(143,$B$29:$GQ$29,0))</f>
        <v>0</v>
      </c>
      <c r="EO9">
        <f>INDEX($B$23:$GQ$23,MATCH(144,$B$29:$GQ$29,0))</f>
        <v>0</v>
      </c>
      <c r="EP9">
        <f>INDEX($B$23:$GQ$23,MATCH(145,$B$29:$GQ$29,0))</f>
        <v>0</v>
      </c>
      <c r="EQ9">
        <f>INDEX($B$23:$GQ$23,MATCH(146,$B$29:$GQ$29,0))</f>
        <v>0</v>
      </c>
      <c r="ER9">
        <f>INDEX($B$23:$GQ$23,MATCH(147,$B$29:$GQ$29,0))</f>
        <v>0</v>
      </c>
      <c r="ES9">
        <f>INDEX($B$23:$GQ$23,MATCH(148,$B$29:$GQ$29,0))</f>
        <v>0</v>
      </c>
      <c r="ET9">
        <f>INDEX($B$23:$GQ$23,MATCH(149,$B$29:$GQ$29,0))</f>
        <v>0</v>
      </c>
      <c r="EU9">
        <f>INDEX($B$23:$GQ$23,MATCH(150,$B$29:$GQ$29,0))</f>
        <v>0</v>
      </c>
      <c r="EV9">
        <f>INDEX($B$23:$GQ$23,MATCH(151,$B$29:$GQ$29,0))</f>
        <v>0</v>
      </c>
      <c r="EW9">
        <f>INDEX($B$23:$GQ$23,MATCH(152,$B$29:$GQ$29,0))</f>
        <v>0</v>
      </c>
      <c r="EX9">
        <f>INDEX($B$23:$GQ$23,MATCH(153,$B$29:$GQ$29,0))</f>
        <v>0</v>
      </c>
      <c r="EY9">
        <f>INDEX($B$23:$GQ$23,MATCH(154,$B$29:$GQ$29,0))</f>
        <v>0</v>
      </c>
      <c r="EZ9">
        <f>INDEX($B$23:$GQ$23,MATCH(155,$B$29:$GQ$29,0))</f>
        <v>0</v>
      </c>
      <c r="FA9">
        <f>INDEX($B$23:$GQ$23,MATCH(156,$B$29:$GQ$29,0))</f>
        <v>0</v>
      </c>
      <c r="FB9">
        <f>INDEX($B$23:$GQ$23,MATCH(157,$B$29:$GQ$29,0))</f>
        <v>0</v>
      </c>
      <c r="FC9">
        <f>INDEX($B$23:$GQ$23,MATCH(158,$B$29:$GQ$29,0))</f>
        <v>0</v>
      </c>
      <c r="FD9">
        <f>INDEX($B$23:$GQ$23,MATCH(159,$B$29:$GQ$29,0))</f>
        <v>0</v>
      </c>
      <c r="FE9">
        <f>INDEX($B$23:$GQ$23,MATCH(160,$B$29:$GQ$29,0))</f>
        <v>0</v>
      </c>
      <c r="FF9">
        <f>INDEX($B$23:$GQ$23,MATCH(161,$B$29:$GQ$29,0))</f>
        <v>0</v>
      </c>
      <c r="FG9">
        <f>INDEX($B$23:$GQ$23,MATCH(162,$B$29:$GQ$29,0))</f>
        <v>0</v>
      </c>
      <c r="FH9">
        <f>INDEX($B$23:$GQ$23,MATCH(163,$B$29:$GQ$29,0))</f>
        <v>0</v>
      </c>
      <c r="FI9">
        <f>INDEX($B$23:$GQ$23,MATCH(164,$B$29:$GQ$29,0))</f>
        <v>0</v>
      </c>
      <c r="FJ9">
        <f>INDEX($B$23:$GQ$23,MATCH(165,$B$29:$GQ$29,0))</f>
        <v>0</v>
      </c>
      <c r="FK9">
        <f>INDEX($B$23:$GQ$23,MATCH(166,$B$29:$GQ$29,0))</f>
        <v>0</v>
      </c>
      <c r="FL9">
        <f>INDEX($B$23:$GQ$23,MATCH(167,$B$29:$GQ$29,0))</f>
        <v>0</v>
      </c>
      <c r="FM9">
        <f>INDEX($B$23:$GQ$23,MATCH(168,$B$29:$GQ$29,0))</f>
        <v>0</v>
      </c>
      <c r="FN9">
        <f>INDEX($B$23:$GQ$23,MATCH(169,$B$29:$GQ$29,0))</f>
        <v>0</v>
      </c>
      <c r="FO9">
        <f>INDEX($B$23:$GQ$23,MATCH(170,$B$29:$GQ$29,0))</f>
        <v>0</v>
      </c>
      <c r="FP9">
        <f>INDEX($B$23:$GQ$23,MATCH(171,$B$29:$GQ$29,0))</f>
        <v>0</v>
      </c>
      <c r="FQ9">
        <f>INDEX($B$23:$GQ$23,MATCH(172,$B$29:$GQ$29,0))</f>
        <v>0</v>
      </c>
      <c r="FR9">
        <f>INDEX($B$23:$GQ$23,MATCH(173,$B$29:$GQ$29,0))</f>
        <v>0</v>
      </c>
      <c r="FS9">
        <f>INDEX($B$23:$GQ$23,MATCH(174,$B$29:$GQ$29,0))</f>
        <v>0</v>
      </c>
      <c r="FT9">
        <f>INDEX($B$23:$GQ$23,MATCH(175,$B$29:$GQ$29,0))</f>
        <v>0</v>
      </c>
      <c r="FU9">
        <f>INDEX($B$23:$GQ$23,MATCH(176,$B$29:$GQ$29,0))</f>
        <v>0</v>
      </c>
      <c r="FV9">
        <f>INDEX($B$23:$GQ$23,MATCH(177,$B$29:$GQ$29,0))</f>
        <v>0</v>
      </c>
      <c r="FW9">
        <f>INDEX($B$23:$GQ$23,MATCH(178,$B$29:$GQ$29,0))</f>
        <v>0</v>
      </c>
      <c r="FX9">
        <f>INDEX($B$23:$GQ$23,MATCH(179,$B$29:$GQ$29,0))</f>
        <v>0</v>
      </c>
      <c r="FY9">
        <f>INDEX($B$23:$GQ$23,MATCH(180,$B$29:$GQ$29,0))</f>
        <v>0</v>
      </c>
      <c r="FZ9">
        <f>INDEX($B$23:$GQ$23,MATCH(181,$B$29:$GQ$29,0))</f>
        <v>0</v>
      </c>
      <c r="GA9">
        <f>INDEX($B$23:$GQ$23,MATCH(182,$B$29:$GQ$29,0))</f>
        <v>0</v>
      </c>
      <c r="GB9">
        <f>INDEX($B$23:$GQ$23,MATCH(183,$B$29:$GQ$29,0))</f>
        <v>0</v>
      </c>
      <c r="GC9">
        <f>INDEX($B$23:$GQ$23,MATCH(184,$B$29:$GQ$29,0))</f>
        <v>0</v>
      </c>
      <c r="GD9">
        <f>INDEX($B$23:$GQ$23,MATCH(185,$B$29:$GQ$29,0))</f>
        <v>0</v>
      </c>
      <c r="GE9">
        <f>INDEX($B$23:$GQ$23,MATCH(186,$B$29:$GQ$29,0))</f>
        <v>0</v>
      </c>
      <c r="GF9">
        <f>INDEX($B$23:$GQ$23,MATCH(187,$B$29:$GQ$29,0))</f>
        <v>0</v>
      </c>
      <c r="GG9">
        <f>INDEX($B$23:$GQ$23,MATCH(188,$B$29:$GQ$29,0))</f>
        <v>0</v>
      </c>
      <c r="GH9">
        <f>INDEX($B$23:$GQ$23,MATCH(189,$B$29:$GQ$29,0))</f>
        <v>0</v>
      </c>
      <c r="GI9">
        <f>INDEX($B$23:$GQ$23,MATCH(190,$B$29:$GQ$29,0))</f>
        <v>0</v>
      </c>
      <c r="GJ9">
        <f>INDEX($B$23:$GQ$23,MATCH(191,$B$29:$GQ$29,0))</f>
        <v>0</v>
      </c>
      <c r="GK9">
        <f>INDEX($B$23:$GQ$23,MATCH(192,$B$29:$GQ$29,0))</f>
        <v>0</v>
      </c>
      <c r="GL9">
        <f>INDEX($B$23:$GQ$23,MATCH(193,$B$29:$GQ$29,0))</f>
        <v>0</v>
      </c>
      <c r="GM9">
        <f>INDEX($B$23:$GQ$23,MATCH(194,$B$29:$GQ$29,0))</f>
        <v>0</v>
      </c>
      <c r="GN9">
        <f>INDEX($B$23:$GQ$23,MATCH(195,$B$29:$GQ$29,0))</f>
        <v>0</v>
      </c>
      <c r="GO9">
        <f>INDEX($B$23:$GQ$23,MATCH(196,$B$29:$GQ$29,0))</f>
        <v>0</v>
      </c>
      <c r="GP9">
        <f>INDEX($B$23:$GQ$23,MATCH(197,$B$29:$GQ$29,0))</f>
        <v>0</v>
      </c>
      <c r="GQ9">
        <f>INDEX($B$23:$GQ$23,MATCH(198,$B$29:$GQ$29,0))</f>
        <v>0</v>
      </c>
      <c r="GR9">
        <f>INDEX($GR$23:$HC$23,MATCH(1,$GR$30:$HC$30,0))</f>
        <v>3.4193429179477618E-4</v>
      </c>
      <c r="GS9">
        <f>INDEX($GR$23:$HC$23,MATCH(2,$GR$30:$HC$30,0))</f>
        <v>1.524193292207232E-3</v>
      </c>
      <c r="GT9">
        <f>INDEX($GR$23:$HC$23,MATCH(3,$GR$30:$HC$30,0))</f>
        <v>7.4842231897988771E-3</v>
      </c>
      <c r="GU9">
        <f>INDEX($GR$23:$HC$23,MATCH(4,$GR$30:$HC$30,0))</f>
        <v>1.713632692842492E-4</v>
      </c>
      <c r="GV9">
        <f>INDEX($GR$23:$HC$23,MATCH(5,$GR$30:$HC$30,0))</f>
        <v>1.626464779694261E-3</v>
      </c>
      <c r="GW9">
        <f>INDEX($GR$23:$HC$23,MATCH(6,$GR$30:$HC$30,0))</f>
        <v>3.6208678659217878E-4</v>
      </c>
      <c r="GX9">
        <f>INDEX($GR$23:$HC$23,MATCH(7,$GR$30:$HC$30,0))</f>
        <v>3.3185326555447398E-4</v>
      </c>
      <c r="GY9">
        <f>INDEX($GR$23:$HC$23,MATCH(8,$GR$30:$HC$30,0))</f>
        <v>3.1843092854546922E-3</v>
      </c>
      <c r="GZ9">
        <f>INDEX($GR$23:$HC$23,MATCH(9,$GR$30:$HC$30,0))</f>
        <v>1.711858896105484E-3</v>
      </c>
      <c r="HA9">
        <f>INDEX($GR$23:$HC$23,MATCH(10,$GR$30:$HC$30,0))</f>
        <v>1.1613962207792281E-3</v>
      </c>
      <c r="HB9">
        <f>INDEX($GR$23:$HC$23,MATCH(11,$GR$30:$HC$30,0))</f>
        <v>1.1844895496375279E-3</v>
      </c>
      <c r="HC9">
        <f>INDEX($GR$23:$HC$23,MATCH(12,$GR$30:$HC$30,0))</f>
        <v>2.1897041060187181E-4</v>
      </c>
    </row>
    <row r="10" spans="1:211" x14ac:dyDescent="0.45">
      <c r="A10" s="1" t="s">
        <v>9</v>
      </c>
      <c r="B10">
        <f>INDEX($B$24:$GQ$24,MATCH(1,$B$29:$GQ$29,0))</f>
        <v>1.118243177219576E-2</v>
      </c>
      <c r="C10">
        <f>INDEX($B$24:$GQ$24,MATCH(2,$B$29:$GQ$29,0))</f>
        <v>4.206829260141755E-3</v>
      </c>
      <c r="D10">
        <f>INDEX($B$24:$GQ$24,MATCH(3,$B$29:$GQ$29,0))</f>
        <v>4.3572697564304551E-6</v>
      </c>
      <c r="E10">
        <f>INDEX($B$24:$GQ$24,MATCH(4,$B$29:$GQ$29,0))</f>
        <v>3.6339859586497982E-3</v>
      </c>
      <c r="F10">
        <f>INDEX($B$24:$GQ$24,MATCH(5,$B$29:$GQ$29,0))</f>
        <v>2.3843468444293219E-3</v>
      </c>
      <c r="G10">
        <f>INDEX($B$24:$GQ$24,MATCH(6,$B$29:$GQ$29,0))</f>
        <v>2.059626411196073E-3</v>
      </c>
      <c r="H10">
        <f>INDEX($B$24:$GQ$24,MATCH(7,$B$29:$GQ$29,0))</f>
        <v>9.0998534776639466E-4</v>
      </c>
      <c r="I10">
        <f>INDEX($B$24:$GQ$24,MATCH(8,$B$29:$GQ$29,0))</f>
        <v>2.8760888860793671E-4</v>
      </c>
      <c r="J10">
        <f>INDEX($B$24:$GQ$24,MATCH(9,$B$29:$GQ$29,0))</f>
        <v>1.9364711662467459E-3</v>
      </c>
      <c r="K10">
        <f>INDEX($B$24:$GQ$24,MATCH(10,$B$29:$GQ$29,0))</f>
        <v>3.0456401555155349E-4</v>
      </c>
      <c r="L10">
        <f>INDEX($B$24:$GQ$24,MATCH(11,$B$29:$GQ$29,0))</f>
        <v>5.012475680184619E-6</v>
      </c>
      <c r="M10">
        <f>INDEX($B$24:$GQ$24,MATCH(12,$B$29:$GQ$29,0))</f>
        <v>2.3618704024945501E-4</v>
      </c>
      <c r="N10">
        <f>INDEX($B$24:$GQ$24,MATCH(13,$B$29:$GQ$29,0))</f>
        <v>6.3731381104075683E-4</v>
      </c>
      <c r="O10">
        <f>INDEX($B$24:$GQ$24,MATCH(14,$B$29:$GQ$29,0))</f>
        <v>7.4742650757187443E-4</v>
      </c>
      <c r="P10">
        <f>INDEX($B$24:$GQ$24,MATCH(15,$B$29:$GQ$29,0))</f>
        <v>3.0200348679878209E-5</v>
      </c>
      <c r="Q10">
        <f>INDEX($B$24:$GQ$24,MATCH(16,$B$29:$GQ$29,0))</f>
        <v>1.292136540000113E-4</v>
      </c>
      <c r="R10">
        <f>INDEX($B$24:$GQ$24,MATCH(17,$B$29:$GQ$29,0))</f>
        <v>6.3658926225089643E-6</v>
      </c>
      <c r="S10">
        <f>INDEX($B$24:$GQ$24,MATCH(18,$B$29:$GQ$29,0))</f>
        <v>5.2038858424166849E-4</v>
      </c>
      <c r="T10">
        <f>INDEX($B$24:$GQ$24,MATCH(19,$B$29:$GQ$29,0))</f>
        <v>5.4174961100485642E-4</v>
      </c>
      <c r="U10">
        <f>INDEX($B$24:$GQ$24,MATCH(20,$B$29:$GQ$29,0))</f>
        <v>4.9107386710142795E-4</v>
      </c>
      <c r="V10">
        <f>INDEX($B$24:$GQ$24,MATCH(21,$B$29:$GQ$29,0))</f>
        <v>4.3894836664661797E-5</v>
      </c>
      <c r="W10">
        <f>INDEX($B$24:$GQ$24,MATCH(22,$B$29:$GQ$29,0))</f>
        <v>4.1228447293000702E-4</v>
      </c>
      <c r="X10">
        <f>INDEX($B$24:$GQ$24,MATCH(23,$B$29:$GQ$29,0))</f>
        <v>1.101457758391046E-5</v>
      </c>
      <c r="Y10">
        <f>INDEX($B$24:$GQ$24,MATCH(24,$B$29:$GQ$29,0))</f>
        <v>3.1678178828674881E-5</v>
      </c>
      <c r="Z10">
        <f>INDEX($B$24:$GQ$24,MATCH(25,$B$29:$GQ$29,0))</f>
        <v>4.3010467292973109E-4</v>
      </c>
      <c r="AA10">
        <f>INDEX($B$24:$GQ$24,MATCH(26,$B$29:$GQ$29,0))</f>
        <v>1.6320252248252761E-4</v>
      </c>
      <c r="AB10">
        <f>INDEX($B$24:$GQ$24,MATCH(27,$B$29:$GQ$29,0))</f>
        <v>1.6534977696285491E-5</v>
      </c>
      <c r="AC10">
        <f>INDEX($B$24:$GQ$24,MATCH(28,$B$29:$GQ$29,0))</f>
        <v>7.0248998121856686E-5</v>
      </c>
      <c r="AD10">
        <f>INDEX($B$24:$GQ$24,MATCH(29,$B$29:$GQ$29,0))</f>
        <v>4.5769245673215998E-5</v>
      </c>
      <c r="AE10">
        <f>INDEX($B$24:$GQ$24,MATCH(30,$B$29:$GQ$29,0))</f>
        <v>5.4026150516363859E-5</v>
      </c>
      <c r="AF10">
        <f>INDEX($B$24:$GQ$24,MATCH(31,$B$29:$GQ$29,0))</f>
        <v>6.6456889480199662E-5</v>
      </c>
      <c r="AG10">
        <f>INDEX($B$24:$GQ$24,MATCH(32,$B$29:$GQ$29,0))</f>
        <v>2.461594137043375E-5</v>
      </c>
      <c r="AH10">
        <f>INDEX($B$24:$GQ$24,MATCH(33,$B$29:$GQ$29,0))</f>
        <v>6.2278917534433431E-6</v>
      </c>
      <c r="AI10">
        <f>INDEX($B$24:$GQ$24,MATCH(34,$B$29:$GQ$29,0))</f>
        <v>1.077611548139297E-4</v>
      </c>
      <c r="AJ10">
        <f>INDEX($B$24:$GQ$24,MATCH(35,$B$29:$GQ$29,0))</f>
        <v>1.2047703434383421E-4</v>
      </c>
      <c r="AK10">
        <f>INDEX($B$24:$GQ$24,MATCH(36,$B$29:$GQ$29,0))</f>
        <v>1.5091440578843889E-6</v>
      </c>
      <c r="AL10">
        <f>INDEX($B$24:$GQ$24,MATCH(37,$B$29:$GQ$29,0))</f>
        <v>4.9628269579204203E-6</v>
      </c>
      <c r="AM10">
        <f>INDEX($B$24:$GQ$24,MATCH(38,$B$29:$GQ$29,0))</f>
        <v>4.4253224190076207E-6</v>
      </c>
      <c r="AN10">
        <f>INDEX($B$24:$GQ$24,MATCH(39,$B$29:$GQ$29,0))</f>
        <v>1.535395379995403E-5</v>
      </c>
      <c r="AO10">
        <f>INDEX($B$24:$GQ$24,MATCH(40,$B$29:$GQ$29,0))</f>
        <v>1.9248576019943031E-4</v>
      </c>
      <c r="AP10">
        <f>INDEX($B$24:$GQ$24,MATCH(41,$B$29:$GQ$29,0))</f>
        <v>4.6054835721203717E-5</v>
      </c>
      <c r="AQ10">
        <f>INDEX($B$24:$GQ$24,MATCH(42,$B$29:$GQ$29,0))</f>
        <v>1.8665181325652838E-5</v>
      </c>
      <c r="AR10">
        <f>INDEX($B$24:$GQ$24,MATCH(43,$B$29:$GQ$29,0))</f>
        <v>1.4365348002675149E-4</v>
      </c>
      <c r="AS10">
        <f>INDEX($B$24:$GQ$24,MATCH(44,$B$29:$GQ$29,0))</f>
        <v>1.4126427838843221E-5</v>
      </c>
      <c r="AT10">
        <f>INDEX($B$24:$GQ$24,MATCH(45,$B$29:$GQ$29,0))</f>
        <v>8.3023303667764899E-6</v>
      </c>
      <c r="AU10">
        <f>INDEX($B$24:$GQ$24,MATCH(46,$B$29:$GQ$29,0))</f>
        <v>1.8194488453619991E-5</v>
      </c>
      <c r="AV10">
        <f>INDEX($B$24:$GQ$24,MATCH(47,$B$29:$GQ$29,0))</f>
        <v>0</v>
      </c>
      <c r="AW10">
        <f>INDEX($B$24:$GQ$24,MATCH(48,$B$29:$GQ$29,0))</f>
        <v>7.5325033871877347E-6</v>
      </c>
      <c r="AX10">
        <f>INDEX($B$24:$GQ$24,MATCH(49,$B$29:$GQ$29,0))</f>
        <v>1.0426711451692071E-5</v>
      </c>
      <c r="AY10">
        <f>INDEX($B$24:$GQ$24,MATCH(50,$B$29:$GQ$29,0))</f>
        <v>0</v>
      </c>
      <c r="AZ10">
        <f>INDEX($B$24:$GQ$24,MATCH(51,$B$29:$GQ$29,0))</f>
        <v>5.8964423519679892E-6</v>
      </c>
      <c r="BA10">
        <f>INDEX($B$24:$GQ$24,MATCH(52,$B$29:$GQ$29,0))</f>
        <v>1.02016809770789E-4</v>
      </c>
      <c r="BB10">
        <f>INDEX($B$24:$GQ$24,MATCH(53,$B$29:$GQ$29,0))</f>
        <v>1.023242480487227E-5</v>
      </c>
      <c r="BC10">
        <f>INDEX($B$24:$GQ$24,MATCH(54,$B$29:$GQ$29,0))</f>
        <v>8.1008049005370739E-6</v>
      </c>
      <c r="BD10">
        <f>INDEX($B$24:$GQ$24,MATCH(55,$B$29:$GQ$29,0))</f>
        <v>2.4262354262197539E-6</v>
      </c>
      <c r="BE10">
        <f>INDEX($B$24:$GQ$24,MATCH(56,$B$29:$GQ$29,0))</f>
        <v>1.45550678271051E-6</v>
      </c>
      <c r="BF10">
        <f>INDEX($B$24:$GQ$24,MATCH(57,$B$29:$GQ$29,0))</f>
        <v>3.04354635029748E-6</v>
      </c>
      <c r="BG10">
        <f>INDEX($B$24:$GQ$24,MATCH(58,$B$29:$GQ$29,0))</f>
        <v>1.847226556875434E-6</v>
      </c>
      <c r="BH10">
        <f>INDEX($B$24:$GQ$24,MATCH(59,$B$29:$GQ$29,0))</f>
        <v>2.657368577206599E-6</v>
      </c>
      <c r="BI10">
        <f>INDEX($B$24:$GQ$24,MATCH(60,$B$29:$GQ$29,0))</f>
        <v>5.7637644914201798E-6</v>
      </c>
      <c r="BJ10">
        <f>INDEX($B$24:$GQ$24,MATCH(61,$B$29:$GQ$29,0))</f>
        <v>2.8196308514764449E-6</v>
      </c>
      <c r="BK10">
        <f>INDEX($B$24:$GQ$24,MATCH(62,$B$29:$GQ$29,0))</f>
        <v>1.741815154349235E-6</v>
      </c>
      <c r="BL10">
        <f>INDEX($B$24:$GQ$24,MATCH(63,$B$29:$GQ$29,0))</f>
        <v>1.30327299853288E-6</v>
      </c>
      <c r="BM10">
        <f>INDEX($B$24:$GQ$24,MATCH(64,$B$29:$GQ$29,0))</f>
        <v>1.023839404362939E-5</v>
      </c>
      <c r="BN10">
        <f>INDEX($B$24:$GQ$24,MATCH(65,$B$29:$GQ$29,0))</f>
        <v>2.3316515806169061E-6</v>
      </c>
      <c r="BO10">
        <f>INDEX($B$24:$GQ$24,MATCH(66,$B$29:$GQ$29,0))</f>
        <v>2.6399115482888259E-5</v>
      </c>
      <c r="BP10">
        <f>INDEX($B$24:$GQ$24,MATCH(67,$B$29:$GQ$29,0))</f>
        <v>3.071257929024123E-6</v>
      </c>
      <c r="BQ10">
        <f>INDEX($B$24:$GQ$24,MATCH(68,$B$29:$GQ$29,0))</f>
        <v>2.1716600753064201E-5</v>
      </c>
      <c r="BR10">
        <f>INDEX($B$24:$GQ$24,MATCH(69,$B$29:$GQ$29,0))</f>
        <v>8.4266041554796102E-6</v>
      </c>
      <c r="BS10">
        <f>INDEX($B$24:$GQ$24,MATCH(70,$B$29:$GQ$29,0))</f>
        <v>6.3360788451205358E-6</v>
      </c>
      <c r="BT10">
        <f>INDEX($B$24:$GQ$24,MATCH(71,$B$29:$GQ$29,0))</f>
        <v>9.8126115094168097E-7</v>
      </c>
      <c r="BU10">
        <f>INDEX($B$24:$GQ$24,MATCH(72,$B$29:$GQ$29,0))</f>
        <v>2.1528671832761359E-6</v>
      </c>
      <c r="BV10">
        <f>INDEX($B$24:$GQ$24,MATCH(73,$B$29:$GQ$29,0))</f>
        <v>2.075338192861144E-7</v>
      </c>
      <c r="BW10">
        <f>INDEX($B$24:$GQ$24,MATCH(74,$B$29:$GQ$29,0))</f>
        <v>7.2123625862363614E-6</v>
      </c>
      <c r="BX10">
        <f>INDEX($B$24:$GQ$24,MATCH(75,$B$29:$GQ$29,0))</f>
        <v>1.1893359256977001E-5</v>
      </c>
      <c r="BY10">
        <f>INDEX($B$24:$GQ$24,MATCH(76,$B$29:$GQ$29,0))</f>
        <v>4.978674003678642E-8</v>
      </c>
      <c r="BZ10">
        <f>INDEX($B$24:$GQ$24,MATCH(77,$B$29:$GQ$29,0))</f>
        <v>1.428869790683258E-6</v>
      </c>
      <c r="CA10">
        <f>INDEX($B$24:$GQ$24,MATCH(78,$B$29:$GQ$29,0))</f>
        <v>8.5456809942090628E-7</v>
      </c>
      <c r="CB10">
        <f>INDEX($B$24:$GQ$24,MATCH(79,$B$29:$GQ$29,0))</f>
        <v>1.052088314269328E-7</v>
      </c>
      <c r="CC10">
        <f>INDEX($B$24:$GQ$24,MATCH(80,$B$29:$GQ$29,0))</f>
        <v>4.2950400134493027E-7</v>
      </c>
      <c r="CD10">
        <f>INDEX($B$24:$GQ$24,MATCH(81,$B$29:$GQ$29,0))</f>
        <v>1.816432394574901E-6</v>
      </c>
      <c r="CE10">
        <f>INDEX($B$24:$GQ$24,MATCH(82,$B$29:$GQ$29,0))</f>
        <v>1.745958229205413E-7</v>
      </c>
      <c r="CF10">
        <f>INDEX($B$24:$GQ$24,MATCH(83,$B$29:$GQ$29,0))</f>
        <v>5.1505010260829808E-7</v>
      </c>
      <c r="CG10">
        <f>INDEX($B$24:$GQ$24,MATCH(84,$B$29:$GQ$29,0))</f>
        <v>1.978572840115444E-6</v>
      </c>
      <c r="CH10">
        <f>INDEX($B$24:$GQ$24,MATCH(85,$B$29:$GQ$29,0))</f>
        <v>2.9326619113575353E-7</v>
      </c>
      <c r="CI10">
        <f>INDEX($B$24:$GQ$24,MATCH(86,$B$29:$GQ$29,0))</f>
        <v>1.305379724956023E-6</v>
      </c>
      <c r="CJ10">
        <f>INDEX($B$24:$GQ$24,MATCH(87,$B$29:$GQ$29,0))</f>
        <v>1.251261509063072E-6</v>
      </c>
      <c r="CK10">
        <f>INDEX($B$24:$GQ$24,MATCH(88,$B$29:$GQ$29,0))</f>
        <v>6.0474242707310018E-7</v>
      </c>
      <c r="CL10">
        <f>INDEX($B$24:$GQ$24,MATCH(89,$B$29:$GQ$29,0))</f>
        <v>1.000712158821244E-6</v>
      </c>
      <c r="CM10">
        <f>INDEX($B$24:$GQ$24,MATCH(90,$B$29:$GQ$29,0))</f>
        <v>1.100006634648589E-6</v>
      </c>
      <c r="CN10">
        <f>INDEX($B$24:$GQ$24,MATCH(91,$B$29:$GQ$29,0))</f>
        <v>1.0528762885467861E-6</v>
      </c>
      <c r="CO10">
        <f>INDEX($B$24:$GQ$24,MATCH(92,$B$29:$GQ$29,0))</f>
        <v>6.4250690803682355E-7</v>
      </c>
      <c r="CP10">
        <f>INDEX($B$24:$GQ$24,MATCH(93,$B$29:$GQ$29,0))</f>
        <v>6.36887887903904E-7</v>
      </c>
      <c r="CQ10">
        <f>INDEX($B$24:$GQ$24,MATCH(94,$B$29:$GQ$29,0))</f>
        <v>6.1667473154685091E-7</v>
      </c>
      <c r="CR10">
        <f>INDEX($B$24:$GQ$24,MATCH(95,$B$29:$GQ$29,0))</f>
        <v>8.0686246008614128E-7</v>
      </c>
      <c r="CS10">
        <f>INDEX($B$24:$GQ$24,MATCH(96,$B$29:$GQ$29,0))</f>
        <v>6.3611007492015026E-7</v>
      </c>
      <c r="CT10">
        <f>INDEX($B$24:$GQ$24,MATCH(97,$B$29:$GQ$29,0))</f>
        <v>6.8762541072444149E-7</v>
      </c>
      <c r="CU10">
        <f>INDEX($B$24:$GQ$24,MATCH(98,$B$29:$GQ$29,0))</f>
        <v>4.2810171227180159E-7</v>
      </c>
      <c r="CV10">
        <f>INDEX($B$24:$GQ$24,MATCH(99,$B$29:$GQ$29,0))</f>
        <v>4.5183635276301512E-7</v>
      </c>
      <c r="CW10">
        <f>INDEX($B$24:$GQ$24,MATCH(100,$B$29:$GQ$29,0))</f>
        <v>3.6163957122166379E-7</v>
      </c>
      <c r="CX10">
        <f>INDEX($B$24:$GQ$24,MATCH(101,$B$29:$GQ$29,0))</f>
        <v>2.2465707252869149E-7</v>
      </c>
      <c r="CY10">
        <f>INDEX($B$24:$GQ$24,MATCH(102,$B$29:$GQ$29,0))</f>
        <v>1.9353948752863709E-7</v>
      </c>
      <c r="CZ10">
        <f>INDEX($B$24:$GQ$24,MATCH(103,$B$29:$GQ$29,0))</f>
        <v>1.487669110626168E-8</v>
      </c>
      <c r="DA10">
        <f>INDEX($B$24:$GQ$24,MATCH(104,$B$29:$GQ$29,0))</f>
        <v>3.0326163706873602E-7</v>
      </c>
      <c r="DB10">
        <f>INDEX($B$24:$GQ$24,MATCH(105,$B$29:$GQ$29,0))</f>
        <v>2.5891502399131478E-7</v>
      </c>
      <c r="DC10">
        <f>INDEX($B$24:$GQ$24,MATCH(106,$B$29:$GQ$29,0))</f>
        <v>7.8065300289612285E-8</v>
      </c>
      <c r="DD10">
        <f>INDEX($B$24:$GQ$24,MATCH(107,$B$29:$GQ$29,0))</f>
        <v>0</v>
      </c>
      <c r="DE10">
        <f>INDEX($B$24:$GQ$24,MATCH(108,$B$29:$GQ$29,0))</f>
        <v>2.2546054580048859E-7</v>
      </c>
      <c r="DF10">
        <f>INDEX($B$24:$GQ$24,MATCH(109,$B$29:$GQ$29,0))</f>
        <v>1.117990003859737E-7</v>
      </c>
      <c r="DG10">
        <f>INDEX($B$24:$GQ$24,MATCH(110,$B$29:$GQ$29,0))</f>
        <v>1.4906944571401711E-7</v>
      </c>
      <c r="DH10">
        <f>INDEX($B$24:$GQ$24,MATCH(111,$B$29:$GQ$29,0))</f>
        <v>6.5370239148560019E-9</v>
      </c>
      <c r="DI10">
        <f>INDEX($B$24:$GQ$24,MATCH(112,$B$29:$GQ$29,0))</f>
        <v>9.3163048566233254E-8</v>
      </c>
      <c r="DJ10">
        <f>INDEX($B$24:$GQ$24,MATCH(113,$B$29:$GQ$29,0))</f>
        <v>6.933695553101581E-8</v>
      </c>
      <c r="DK10">
        <f>INDEX($B$24:$GQ$24,MATCH(114,$B$29:$GQ$29,0))</f>
        <v>7.5421818835975541E-8</v>
      </c>
      <c r="DL10">
        <f>INDEX($B$24:$GQ$24,MATCH(115,$B$29:$GQ$29,0))</f>
        <v>0</v>
      </c>
      <c r="DM10">
        <f>INDEX($B$24:$GQ$24,MATCH(116,$B$29:$GQ$29,0))</f>
        <v>0</v>
      </c>
      <c r="DN10">
        <f>INDEX($B$24:$GQ$24,MATCH(117,$B$29:$GQ$29,0))</f>
        <v>1.585192995629835E-8</v>
      </c>
      <c r="DO10">
        <f>INDEX($B$24:$GQ$24,MATCH(118,$B$29:$GQ$29,0))</f>
        <v>1.8616921096879901E-8</v>
      </c>
      <c r="DP10">
        <f>INDEX($B$24:$GQ$24,MATCH(119,$B$29:$GQ$29,0))</f>
        <v>1.085082844499189E-9</v>
      </c>
      <c r="DQ10">
        <f>INDEX($B$24:$GQ$24,MATCH(120,$B$29:$GQ$29,0))</f>
        <v>4.4022991001665999E-10</v>
      </c>
      <c r="DR10">
        <f>INDEX($B$24:$GQ$24,MATCH(121,$B$29:$GQ$29,0))</f>
        <v>1.643057495843612E-8</v>
      </c>
      <c r="DS10">
        <f>INDEX($B$24:$GQ$24,MATCH(122,$B$29:$GQ$29,0))</f>
        <v>0</v>
      </c>
      <c r="DT10">
        <f>INDEX($B$24:$GQ$24,MATCH(123,$B$29:$GQ$29,0))</f>
        <v>1.696855717127736E-8</v>
      </c>
      <c r="DU10">
        <f>INDEX($B$24:$GQ$24,MATCH(124,$B$29:$GQ$29,0))</f>
        <v>5.214798379369019E-10</v>
      </c>
      <c r="DV10">
        <f>INDEX($B$24:$GQ$24,MATCH(125,$B$29:$GQ$29,0))</f>
        <v>7.3568651685128598E-9</v>
      </c>
      <c r="DW10">
        <f>INDEX($B$24:$GQ$24,MATCH(126,$B$29:$GQ$29,0))</f>
        <v>0</v>
      </c>
      <c r="DX10">
        <f>INDEX($B$24:$GQ$24,MATCH(127,$B$29:$GQ$29,0))</f>
        <v>0</v>
      </c>
      <c r="DY10">
        <f>INDEX($B$24:$GQ$24,MATCH(128,$B$29:$GQ$29,0))</f>
        <v>3.2093139973504059E-10</v>
      </c>
      <c r="DZ10">
        <f>INDEX($B$24:$GQ$24,MATCH(129,$B$29:$GQ$29,0))</f>
        <v>1.8571524944444361E-11</v>
      </c>
      <c r="EA10">
        <f>INDEX($B$24:$GQ$24,MATCH(130,$B$29:$GQ$29,0))</f>
        <v>2.17143174237845E-10</v>
      </c>
      <c r="EB10">
        <f>INDEX($B$24:$GQ$24,MATCH(131,$B$29:$GQ$29,0))</f>
        <v>0</v>
      </c>
      <c r="EC10">
        <f>INDEX($B$24:$GQ$24,MATCH(132,$B$29:$GQ$29,0))</f>
        <v>5.9231342356578381E-12</v>
      </c>
      <c r="ED10">
        <f>INDEX($B$24:$GQ$24,MATCH(133,$B$29:$GQ$29,0))</f>
        <v>2.7808073560250691E-12</v>
      </c>
      <c r="EE10">
        <f>INDEX($B$24:$GQ$24,MATCH(134,$B$29:$GQ$29,0))</f>
        <v>0</v>
      </c>
      <c r="EF10">
        <f>INDEX($B$24:$GQ$24,MATCH(135,$B$29:$GQ$29,0))</f>
        <v>0</v>
      </c>
      <c r="EG10">
        <f>INDEX($B$24:$GQ$24,MATCH(136,$B$29:$GQ$29,0))</f>
        <v>0</v>
      </c>
      <c r="EH10">
        <f>INDEX($B$24:$GQ$24,MATCH(137,$B$29:$GQ$29,0))</f>
        <v>0</v>
      </c>
      <c r="EI10">
        <f>INDEX($B$24:$GQ$24,MATCH(138,$B$29:$GQ$29,0))</f>
        <v>0</v>
      </c>
      <c r="EJ10">
        <f>INDEX($B$24:$GQ$24,MATCH(139,$B$29:$GQ$29,0))</f>
        <v>0</v>
      </c>
      <c r="EK10">
        <f>INDEX($B$24:$GQ$24,MATCH(140,$B$29:$GQ$29,0))</f>
        <v>0</v>
      </c>
      <c r="EL10">
        <f>INDEX($B$24:$GQ$24,MATCH(141,$B$29:$GQ$29,0))</f>
        <v>0</v>
      </c>
      <c r="EM10">
        <f>INDEX($B$24:$GQ$24,MATCH(142,$B$29:$GQ$29,0))</f>
        <v>0</v>
      </c>
      <c r="EN10">
        <f>INDEX($B$24:$GQ$24,MATCH(143,$B$29:$GQ$29,0))</f>
        <v>0</v>
      </c>
      <c r="EO10">
        <f>INDEX($B$24:$GQ$24,MATCH(144,$B$29:$GQ$29,0))</f>
        <v>0</v>
      </c>
      <c r="EP10">
        <f>INDEX($B$24:$GQ$24,MATCH(145,$B$29:$GQ$29,0))</f>
        <v>0</v>
      </c>
      <c r="EQ10">
        <f>INDEX($B$24:$GQ$24,MATCH(146,$B$29:$GQ$29,0))</f>
        <v>0</v>
      </c>
      <c r="ER10">
        <f>INDEX($B$24:$GQ$24,MATCH(147,$B$29:$GQ$29,0))</f>
        <v>0</v>
      </c>
      <c r="ES10">
        <f>INDEX($B$24:$GQ$24,MATCH(148,$B$29:$GQ$29,0))</f>
        <v>0</v>
      </c>
      <c r="ET10">
        <f>INDEX($B$24:$GQ$24,MATCH(149,$B$29:$GQ$29,0))</f>
        <v>0</v>
      </c>
      <c r="EU10">
        <f>INDEX($B$24:$GQ$24,MATCH(150,$B$29:$GQ$29,0))</f>
        <v>0</v>
      </c>
      <c r="EV10">
        <f>INDEX($B$24:$GQ$24,MATCH(151,$B$29:$GQ$29,0))</f>
        <v>0</v>
      </c>
      <c r="EW10">
        <f>INDEX($B$24:$GQ$24,MATCH(152,$B$29:$GQ$29,0))</f>
        <v>0</v>
      </c>
      <c r="EX10">
        <f>INDEX($B$24:$GQ$24,MATCH(153,$B$29:$GQ$29,0))</f>
        <v>0</v>
      </c>
      <c r="EY10">
        <f>INDEX($B$24:$GQ$24,MATCH(154,$B$29:$GQ$29,0))</f>
        <v>0</v>
      </c>
      <c r="EZ10">
        <f>INDEX($B$24:$GQ$24,MATCH(155,$B$29:$GQ$29,0))</f>
        <v>0</v>
      </c>
      <c r="FA10">
        <f>INDEX($B$24:$GQ$24,MATCH(156,$B$29:$GQ$29,0))</f>
        <v>0</v>
      </c>
      <c r="FB10">
        <f>INDEX($B$24:$GQ$24,MATCH(157,$B$29:$GQ$29,0))</f>
        <v>0</v>
      </c>
      <c r="FC10">
        <f>INDEX($B$24:$GQ$24,MATCH(158,$B$29:$GQ$29,0))</f>
        <v>0</v>
      </c>
      <c r="FD10">
        <f>INDEX($B$24:$GQ$24,MATCH(159,$B$29:$GQ$29,0))</f>
        <v>0</v>
      </c>
      <c r="FE10">
        <f>INDEX($B$24:$GQ$24,MATCH(160,$B$29:$GQ$29,0))</f>
        <v>0</v>
      </c>
      <c r="FF10">
        <f>INDEX($B$24:$GQ$24,MATCH(161,$B$29:$GQ$29,0))</f>
        <v>0</v>
      </c>
      <c r="FG10">
        <f>INDEX($B$24:$GQ$24,MATCH(162,$B$29:$GQ$29,0))</f>
        <v>0</v>
      </c>
      <c r="FH10">
        <f>INDEX($B$24:$GQ$24,MATCH(163,$B$29:$GQ$29,0))</f>
        <v>0</v>
      </c>
      <c r="FI10">
        <f>INDEX($B$24:$GQ$24,MATCH(164,$B$29:$GQ$29,0))</f>
        <v>0</v>
      </c>
      <c r="FJ10">
        <f>INDEX($B$24:$GQ$24,MATCH(165,$B$29:$GQ$29,0))</f>
        <v>0</v>
      </c>
      <c r="FK10">
        <f>INDEX($B$24:$GQ$24,MATCH(166,$B$29:$GQ$29,0))</f>
        <v>0</v>
      </c>
      <c r="FL10">
        <f>INDEX($B$24:$GQ$24,MATCH(167,$B$29:$GQ$29,0))</f>
        <v>0</v>
      </c>
      <c r="FM10">
        <f>INDEX($B$24:$GQ$24,MATCH(168,$B$29:$GQ$29,0))</f>
        <v>0</v>
      </c>
      <c r="FN10">
        <f>INDEX($B$24:$GQ$24,MATCH(169,$B$29:$GQ$29,0))</f>
        <v>0</v>
      </c>
      <c r="FO10">
        <f>INDEX($B$24:$GQ$24,MATCH(170,$B$29:$GQ$29,0))</f>
        <v>0</v>
      </c>
      <c r="FP10">
        <f>INDEX($B$24:$GQ$24,MATCH(171,$B$29:$GQ$29,0))</f>
        <v>0</v>
      </c>
      <c r="FQ10">
        <f>INDEX($B$24:$GQ$24,MATCH(172,$B$29:$GQ$29,0))</f>
        <v>0</v>
      </c>
      <c r="FR10">
        <f>INDEX($B$24:$GQ$24,MATCH(173,$B$29:$GQ$29,0))</f>
        <v>0</v>
      </c>
      <c r="FS10">
        <f>INDEX($B$24:$GQ$24,MATCH(174,$B$29:$GQ$29,0))</f>
        <v>0</v>
      </c>
      <c r="FT10">
        <f>INDEX($B$24:$GQ$24,MATCH(175,$B$29:$GQ$29,0))</f>
        <v>0</v>
      </c>
      <c r="FU10">
        <f>INDEX($B$24:$GQ$24,MATCH(176,$B$29:$GQ$29,0))</f>
        <v>0</v>
      </c>
      <c r="FV10">
        <f>INDEX($B$24:$GQ$24,MATCH(177,$B$29:$GQ$29,0))</f>
        <v>0</v>
      </c>
      <c r="FW10">
        <f>INDEX($B$24:$GQ$24,MATCH(178,$B$29:$GQ$29,0))</f>
        <v>0</v>
      </c>
      <c r="FX10">
        <f>INDEX($B$24:$GQ$24,MATCH(179,$B$29:$GQ$29,0))</f>
        <v>0</v>
      </c>
      <c r="FY10">
        <f>INDEX($B$24:$GQ$24,MATCH(180,$B$29:$GQ$29,0))</f>
        <v>0</v>
      </c>
      <c r="FZ10">
        <f>INDEX($B$24:$GQ$24,MATCH(181,$B$29:$GQ$29,0))</f>
        <v>0</v>
      </c>
      <c r="GA10">
        <f>INDEX($B$24:$GQ$24,MATCH(182,$B$29:$GQ$29,0))</f>
        <v>0</v>
      </c>
      <c r="GB10">
        <f>INDEX($B$24:$GQ$24,MATCH(183,$B$29:$GQ$29,0))</f>
        <v>0</v>
      </c>
      <c r="GC10">
        <f>INDEX($B$24:$GQ$24,MATCH(184,$B$29:$GQ$29,0))</f>
        <v>0</v>
      </c>
      <c r="GD10">
        <f>INDEX($B$24:$GQ$24,MATCH(185,$B$29:$GQ$29,0))</f>
        <v>0</v>
      </c>
      <c r="GE10">
        <f>INDEX($B$24:$GQ$24,MATCH(186,$B$29:$GQ$29,0))</f>
        <v>0</v>
      </c>
      <c r="GF10">
        <f>INDEX($B$24:$GQ$24,MATCH(187,$B$29:$GQ$29,0))</f>
        <v>0</v>
      </c>
      <c r="GG10">
        <f>INDEX($B$24:$GQ$24,MATCH(188,$B$29:$GQ$29,0))</f>
        <v>0</v>
      </c>
      <c r="GH10">
        <f>INDEX($B$24:$GQ$24,MATCH(189,$B$29:$GQ$29,0))</f>
        <v>0</v>
      </c>
      <c r="GI10">
        <f>INDEX($B$24:$GQ$24,MATCH(190,$B$29:$GQ$29,0))</f>
        <v>0</v>
      </c>
      <c r="GJ10">
        <f>INDEX($B$24:$GQ$24,MATCH(191,$B$29:$GQ$29,0))</f>
        <v>0</v>
      </c>
      <c r="GK10">
        <f>INDEX($B$24:$GQ$24,MATCH(192,$B$29:$GQ$29,0))</f>
        <v>0</v>
      </c>
      <c r="GL10">
        <f>INDEX($B$24:$GQ$24,MATCH(193,$B$29:$GQ$29,0))</f>
        <v>0</v>
      </c>
      <c r="GM10">
        <f>INDEX($B$24:$GQ$24,MATCH(194,$B$29:$GQ$29,0))</f>
        <v>0</v>
      </c>
      <c r="GN10">
        <f>INDEX($B$24:$GQ$24,MATCH(195,$B$29:$GQ$29,0))</f>
        <v>0</v>
      </c>
      <c r="GO10">
        <f>INDEX($B$24:$GQ$24,MATCH(196,$B$29:$GQ$29,0))</f>
        <v>0</v>
      </c>
      <c r="GP10">
        <f>INDEX($B$24:$GQ$24,MATCH(197,$B$29:$GQ$29,0))</f>
        <v>0</v>
      </c>
      <c r="GQ10">
        <f>INDEX($B$24:$GQ$24,MATCH(198,$B$29:$GQ$29,0))</f>
        <v>0</v>
      </c>
      <c r="GR10">
        <f>INDEX($GR$24:$HC$24,MATCH(1,$GR$30:$HC$30,0))</f>
        <v>1.118243177219576E-2</v>
      </c>
      <c r="GS10">
        <f>INDEX($GR$24:$HC$24,MATCH(2,$GR$30:$HC$30,0))</f>
        <v>5.8141442834929559E-3</v>
      </c>
      <c r="GT10">
        <f>INDEX($GR$24:$HC$24,MATCH(3,$GR$30:$HC$30,0))</f>
        <v>2.978652943720243E-3</v>
      </c>
      <c r="GU10">
        <f>INDEX($GR$24:$HC$24,MATCH(4,$GR$30:$HC$30,0))</f>
        <v>1.5735638059124041E-5</v>
      </c>
      <c r="GV10">
        <f>INDEX($GR$24:$HC$24,MATCH(5,$GR$30:$HC$30,0))</f>
        <v>5.088428895721241E-3</v>
      </c>
      <c r="GW10">
        <f>INDEX($GR$24:$HC$24,MATCH(6,$GR$30:$HC$30,0))</f>
        <v>3.8153829695859449E-3</v>
      </c>
      <c r="GX10">
        <f>INDEX($GR$24:$HC$24,MATCH(7,$GR$30:$HC$30,0))</f>
        <v>3.8264717188492281E-3</v>
      </c>
      <c r="GY10">
        <f>INDEX($GR$24:$HC$24,MATCH(8,$GR$30:$HC$30,0))</f>
        <v>4.647879198974227E-4</v>
      </c>
      <c r="GZ10">
        <f>INDEX($GR$24:$HC$24,MATCH(9,$GR$30:$HC$30,0))</f>
        <v>1.392858276560164E-4</v>
      </c>
      <c r="HA10">
        <f>INDEX($GR$24:$HC$24,MATCH(10,$GR$30:$HC$30,0))</f>
        <v>2.3843468444293219E-3</v>
      </c>
      <c r="HB10">
        <f>INDEX($GR$24:$HC$24,MATCH(11,$GR$30:$HC$30,0))</f>
        <v>1.084614897098368E-4</v>
      </c>
      <c r="HC10">
        <f>INDEX($GR$24:$HC$24,MATCH(12,$GR$30:$HC$30,0))</f>
        <v>2.894561151648121E-4</v>
      </c>
    </row>
    <row r="11" spans="1:211" x14ac:dyDescent="0.45">
      <c r="A11" s="1" t="s">
        <v>10</v>
      </c>
      <c r="B11">
        <f>INDEX($B$25:$GQ$25,MATCH(1,$B$29:$GQ$29,0))</f>
        <v>1.152436606399054E-2</v>
      </c>
      <c r="C11">
        <f>INDEX($B$25:$GQ$25,MATCH(2,$B$29:$GQ$29,0))</f>
        <v>5.3383671524764196E-3</v>
      </c>
      <c r="D11">
        <f>INDEX($B$25:$GQ$25,MATCH(3,$B$29:$GQ$29,0))</f>
        <v>1.509318477442134E-5</v>
      </c>
      <c r="E11">
        <f>INDEX($B$25:$GQ$25,MATCH(4,$B$29:$GQ$29,0))</f>
        <v>3.9586724272491569E-3</v>
      </c>
      <c r="F11">
        <f>INDEX($B$25:$GQ$25,MATCH(5,$B$29:$GQ$29,0))</f>
        <v>3.54574306520855E-3</v>
      </c>
      <c r="G11">
        <f>INDEX($B$25:$GQ$25,MATCH(6,$B$29:$GQ$29,0))</f>
        <v>3.1470945646969849E-3</v>
      </c>
      <c r="H11">
        <f>INDEX($B$25:$GQ$25,MATCH(7,$B$29:$GQ$29,0))</f>
        <v>2.6311023517806278E-3</v>
      </c>
      <c r="I11">
        <f>INDEX($B$25:$GQ$25,MATCH(8,$B$29:$GQ$29,0))</f>
        <v>5.0570446696081707E-4</v>
      </c>
      <c r="J11">
        <f>INDEX($B$25:$GQ$25,MATCH(9,$B$29:$GQ$29,0))</f>
        <v>1.9964180469567712E-3</v>
      </c>
      <c r="K11">
        <f>INDEX($B$25:$GQ$25,MATCH(10,$B$29:$GQ$29,0))</f>
        <v>2.1370744074822009E-3</v>
      </c>
      <c r="L11">
        <f>INDEX($B$25:$GQ$25,MATCH(11,$B$29:$GQ$29,0))</f>
        <v>8.2671585124104044E-5</v>
      </c>
      <c r="M11">
        <f>INDEX($B$25:$GQ$25,MATCH(12,$B$29:$GQ$29,0))</f>
        <v>1.891783075400958E-3</v>
      </c>
      <c r="N11">
        <f>INDEX($B$25:$GQ$25,MATCH(13,$B$29:$GQ$29,0))</f>
        <v>1.633853092902091E-3</v>
      </c>
      <c r="O11">
        <f>INDEX($B$25:$GQ$25,MATCH(14,$B$29:$GQ$29,0))</f>
        <v>1.5381775470314561E-3</v>
      </c>
      <c r="P11">
        <f>INDEX($B$25:$GQ$25,MATCH(15,$B$29:$GQ$29,0))</f>
        <v>4.2032136247405449E-4</v>
      </c>
      <c r="Q11">
        <f>INDEX($B$25:$GQ$25,MATCH(16,$B$29:$GQ$29,0))</f>
        <v>8.3937676516630626E-4</v>
      </c>
      <c r="R11">
        <f>INDEX($B$25:$GQ$25,MATCH(17,$B$29:$GQ$29,0))</f>
        <v>8.933413744484787E-5</v>
      </c>
      <c r="S11">
        <f>INDEX($B$25:$GQ$25,MATCH(18,$B$29:$GQ$29,0))</f>
        <v>7.516842069402428E-4</v>
      </c>
      <c r="T11">
        <f>INDEX($B$25:$GQ$25,MATCH(19,$B$29:$GQ$29,0))</f>
        <v>8.5529448536766927E-4</v>
      </c>
      <c r="U11">
        <f>INDEX($B$25:$GQ$25,MATCH(20,$B$29:$GQ$29,0))</f>
        <v>6.1695613405574046E-4</v>
      </c>
      <c r="V11">
        <f>INDEX($B$25:$GQ$25,MATCH(21,$B$29:$GQ$29,0))</f>
        <v>2.5288231663426163E-4</v>
      </c>
      <c r="W11">
        <f>INDEX($B$25:$GQ$25,MATCH(22,$B$29:$GQ$29,0))</f>
        <v>4.1483176283602628E-4</v>
      </c>
      <c r="X11">
        <f>INDEX($B$25:$GQ$25,MATCH(23,$B$29:$GQ$29,0))</f>
        <v>1.23028789119927E-4</v>
      </c>
      <c r="Y11">
        <f>INDEX($B$25:$GQ$25,MATCH(24,$B$29:$GQ$29,0))</f>
        <v>2.5905878902327028E-4</v>
      </c>
      <c r="Z11">
        <f>INDEX($B$25:$GQ$25,MATCH(25,$B$29:$GQ$29,0))</f>
        <v>5.4394431822891163E-4</v>
      </c>
      <c r="AA11">
        <f>INDEX($B$25:$GQ$25,MATCH(26,$B$29:$GQ$29,0))</f>
        <v>1.6918618433087591E-4</v>
      </c>
      <c r="AB11">
        <f>INDEX($B$25:$GQ$25,MATCH(27,$B$29:$GQ$29,0))</f>
        <v>2.6248184480093768E-5</v>
      </c>
      <c r="AC11">
        <f>INDEX($B$25:$GQ$25,MATCH(28,$B$29:$GQ$29,0))</f>
        <v>3.4006852828967509E-4</v>
      </c>
      <c r="AD11">
        <f>INDEX($B$25:$GQ$25,MATCH(29,$B$29:$GQ$29,0))</f>
        <v>3.8593262900704428E-4</v>
      </c>
      <c r="AE11">
        <f>INDEX($B$25:$GQ$25,MATCH(30,$B$29:$GQ$29,0))</f>
        <v>3.5789934600642507E-4</v>
      </c>
      <c r="AF11">
        <f>INDEX($B$25:$GQ$25,MATCH(31,$B$29:$GQ$29,0))</f>
        <v>3.166204194093428E-4</v>
      </c>
      <c r="AG11">
        <f>INDEX($B$25:$GQ$25,MATCH(32,$B$29:$GQ$29,0))</f>
        <v>2.5175961223138668E-4</v>
      </c>
      <c r="AH11">
        <f>INDEX($B$25:$GQ$25,MATCH(33,$B$29:$GQ$29,0))</f>
        <v>2.0862611771334859E-4</v>
      </c>
      <c r="AI11">
        <f>INDEX($B$25:$GQ$25,MATCH(34,$B$29:$GQ$29,0))</f>
        <v>1.5706888069756179E-4</v>
      </c>
      <c r="AJ11">
        <f>INDEX($B$25:$GQ$25,MATCH(35,$B$29:$GQ$29,0))</f>
        <v>1.7214226016516469E-4</v>
      </c>
      <c r="AK11">
        <f>INDEX($B$25:$GQ$25,MATCH(36,$B$29:$GQ$29,0))</f>
        <v>6.295092115299134E-5</v>
      </c>
      <c r="AL11">
        <f>INDEX($B$25:$GQ$25,MATCH(37,$B$29:$GQ$29,0))</f>
        <v>2.4923616697618311E-4</v>
      </c>
      <c r="AM11">
        <f>INDEX($B$25:$GQ$25,MATCH(38,$B$29:$GQ$29,0))</f>
        <v>1.4824157121455411E-4</v>
      </c>
      <c r="AN11">
        <f>INDEX($B$25:$GQ$25,MATCH(39,$B$29:$GQ$29,0))</f>
        <v>1.7345663346768659E-4</v>
      </c>
      <c r="AO11">
        <f>INDEX($B$25:$GQ$25,MATCH(40,$B$29:$GQ$29,0))</f>
        <v>1.9965255715454519E-4</v>
      </c>
      <c r="AP11">
        <f>INDEX($B$25:$GQ$25,MATCH(41,$B$29:$GQ$29,0))</f>
        <v>1.712177662843129E-4</v>
      </c>
      <c r="AQ11">
        <f>INDEX($B$25:$GQ$25,MATCH(42,$B$29:$GQ$29,0))</f>
        <v>1.5522334451416661E-4</v>
      </c>
      <c r="AR11">
        <f>INDEX($B$25:$GQ$25,MATCH(43,$B$29:$GQ$29,0))</f>
        <v>1.4474059608100641E-4</v>
      </c>
      <c r="AS11">
        <f>INDEX($B$25:$GQ$25,MATCH(44,$B$29:$GQ$29,0))</f>
        <v>1.3323795952116009E-4</v>
      </c>
      <c r="AT11">
        <f>INDEX($B$25:$GQ$25,MATCH(45,$B$29:$GQ$29,0))</f>
        <v>1.2852708803687049E-4</v>
      </c>
      <c r="AU11">
        <f>INDEX($B$25:$GQ$25,MATCH(46,$B$29:$GQ$29,0))</f>
        <v>4.9611144598091479E-5</v>
      </c>
      <c r="AV11">
        <f>INDEX($B$25:$GQ$25,MATCH(47,$B$29:$GQ$29,0))</f>
        <v>0</v>
      </c>
      <c r="AW11">
        <f>INDEX($B$25:$GQ$25,MATCH(48,$B$29:$GQ$29,0))</f>
        <v>1.1719810324876841E-4</v>
      </c>
      <c r="AX11">
        <f>INDEX($B$25:$GQ$25,MATCH(49,$B$29:$GQ$29,0))</f>
        <v>1.135199008740142E-4</v>
      </c>
      <c r="AY11">
        <f>INDEX($B$25:$GQ$25,MATCH(50,$B$29:$GQ$29,0))</f>
        <v>0</v>
      </c>
      <c r="AZ11">
        <f>INDEX($B$25:$GQ$25,MATCH(51,$B$29:$GQ$29,0))</f>
        <v>5.7240844486553143E-5</v>
      </c>
      <c r="BA11">
        <f>INDEX($B$25:$GQ$25,MATCH(52,$B$29:$GQ$29,0))</f>
        <v>1.039145595537125E-4</v>
      </c>
      <c r="BB11">
        <f>INDEX($B$25:$GQ$25,MATCH(53,$B$29:$GQ$29,0))</f>
        <v>9.643095467797793E-5</v>
      </c>
      <c r="BC11">
        <f>INDEX($B$25:$GQ$25,MATCH(54,$B$29:$GQ$29,0))</f>
        <v>6.5704104630007207E-5</v>
      </c>
      <c r="BD11">
        <f>INDEX($B$25:$GQ$25,MATCH(55,$B$29:$GQ$29,0))</f>
        <v>2.5358555565009551E-5</v>
      </c>
      <c r="BE11">
        <f>INDEX($B$25:$GQ$25,MATCH(56,$B$29:$GQ$29,0))</f>
        <v>1.314566392931249E-5</v>
      </c>
      <c r="BF11">
        <f>INDEX($B$25:$GQ$25,MATCH(57,$B$29:$GQ$29,0))</f>
        <v>4.2445940143858391E-5</v>
      </c>
      <c r="BG11">
        <f>INDEX($B$25:$GQ$25,MATCH(58,$B$29:$GQ$29,0))</f>
        <v>2.72205880586686E-6</v>
      </c>
      <c r="BH11">
        <f>INDEX($B$25:$GQ$25,MATCH(59,$B$29:$GQ$29,0))</f>
        <v>5.3280065669904307E-5</v>
      </c>
      <c r="BI11">
        <f>INDEX($B$25:$GQ$25,MATCH(60,$B$29:$GQ$29,0))</f>
        <v>7.3734045596232311E-5</v>
      </c>
      <c r="BJ11">
        <f>INDEX($B$25:$GQ$25,MATCH(61,$B$29:$GQ$29,0))</f>
        <v>2.8769980954956481E-5</v>
      </c>
      <c r="BK11">
        <f>INDEX($B$25:$GQ$25,MATCH(62,$B$29:$GQ$29,0))</f>
        <v>2.280077124120277E-5</v>
      </c>
      <c r="BL11">
        <f>INDEX($B$25:$GQ$25,MATCH(63,$B$29:$GQ$29,0))</f>
        <v>1.997129205584651E-5</v>
      </c>
      <c r="BM11">
        <f>INDEX($B$25:$GQ$25,MATCH(64,$B$29:$GQ$29,0))</f>
        <v>5.9467708435285781E-5</v>
      </c>
      <c r="BN11">
        <f>INDEX($B$25:$GQ$25,MATCH(65,$B$29:$GQ$29,0))</f>
        <v>1.2157818549764559E-5</v>
      </c>
      <c r="BO11">
        <f>INDEX($B$25:$GQ$25,MATCH(66,$B$29:$GQ$29,0))</f>
        <v>4.4144213758471958E-5</v>
      </c>
      <c r="BP11">
        <f>INDEX($B$25:$GQ$25,MATCH(67,$B$29:$GQ$29,0))</f>
        <v>5.7591442628548463E-5</v>
      </c>
      <c r="BQ11">
        <f>INDEX($B$25:$GQ$25,MATCH(68,$B$29:$GQ$29,0))</f>
        <v>3.1919625993614981E-5</v>
      </c>
      <c r="BR11">
        <f>INDEX($B$25:$GQ$25,MATCH(69,$B$29:$GQ$29,0))</f>
        <v>4.7284508079068438E-5</v>
      </c>
      <c r="BS11">
        <f>INDEX($B$25:$GQ$25,MATCH(70,$B$29:$GQ$29,0))</f>
        <v>4.6972704228090058E-5</v>
      </c>
      <c r="BT11">
        <f>INDEX($B$25:$GQ$25,MATCH(71,$B$29:$GQ$29,0))</f>
        <v>1.052445203723558E-5</v>
      </c>
      <c r="BU11">
        <f>INDEX($B$25:$GQ$25,MATCH(72,$B$29:$GQ$29,0))</f>
        <v>1.460677986198305E-5</v>
      </c>
      <c r="BV11">
        <f>INDEX($B$25:$GQ$25,MATCH(73,$B$29:$GQ$29,0))</f>
        <v>4.4424890773010839E-7</v>
      </c>
      <c r="BW11">
        <f>INDEX($B$25:$GQ$25,MATCH(74,$B$29:$GQ$29,0))</f>
        <v>3.9039756852125599E-5</v>
      </c>
      <c r="BX11">
        <f>INDEX($B$25:$GQ$25,MATCH(75,$B$29:$GQ$29,0))</f>
        <v>3.8537903221054238E-5</v>
      </c>
      <c r="BY11">
        <f>INDEX($B$25:$GQ$25,MATCH(76,$B$29:$GQ$29,0))</f>
        <v>5.4788471600069426E-7</v>
      </c>
      <c r="BZ11">
        <f>INDEX($B$25:$GQ$25,MATCH(77,$B$29:$GQ$29,0))</f>
        <v>1.7017832488687039E-5</v>
      </c>
      <c r="CA11">
        <f>INDEX($B$25:$GQ$25,MATCH(78,$B$29:$GQ$29,0))</f>
        <v>1.510264459768501E-5</v>
      </c>
      <c r="CB11">
        <f>INDEX($B$25:$GQ$25,MATCH(79,$B$29:$GQ$29,0))</f>
        <v>3.5243625228491119E-6</v>
      </c>
      <c r="CC11">
        <f>INDEX($B$25:$GQ$25,MATCH(80,$B$29:$GQ$29,0))</f>
        <v>1.200215618725319E-5</v>
      </c>
      <c r="CD11">
        <f>INDEX($B$25:$GQ$25,MATCH(81,$B$29:$GQ$29,0))</f>
        <v>1.1920177502200231E-5</v>
      </c>
      <c r="CE11">
        <f>INDEX($B$25:$GQ$25,MATCH(82,$B$29:$GQ$29,0))</f>
        <v>4.7776019140676336E-6</v>
      </c>
      <c r="CF11">
        <f>INDEX($B$25:$GQ$25,MATCH(83,$B$29:$GQ$29,0))</f>
        <v>1.0683792958913779E-5</v>
      </c>
      <c r="CG11">
        <f>INDEX($B$25:$GQ$25,MATCH(84,$B$29:$GQ$29,0))</f>
        <v>9.2302207583830819E-6</v>
      </c>
      <c r="CH11">
        <f>INDEX($B$25:$GQ$25,MATCH(85,$B$29:$GQ$29,0))</f>
        <v>4.037165560038161E-6</v>
      </c>
      <c r="CI11">
        <f>INDEX($B$25:$GQ$25,MATCH(86,$B$29:$GQ$29,0))</f>
        <v>8.744263723790469E-6</v>
      </c>
      <c r="CJ11">
        <f>INDEX($B$25:$GQ$25,MATCH(87,$B$29:$GQ$29,0))</f>
        <v>8.0183551740468473E-6</v>
      </c>
      <c r="CK11">
        <f>INDEX($B$25:$GQ$25,MATCH(88,$B$29:$GQ$29,0))</f>
        <v>6.6404946010053748E-6</v>
      </c>
      <c r="CL11">
        <f>INDEX($B$25:$GQ$25,MATCH(89,$B$29:$GQ$29,0))</f>
        <v>7.3974141056991219E-6</v>
      </c>
      <c r="CM11">
        <f>INDEX($B$25:$GQ$25,MATCH(90,$B$29:$GQ$29,0))</f>
        <v>7.2975344015661286E-6</v>
      </c>
      <c r="CN11">
        <f>INDEX($B$25:$GQ$25,MATCH(91,$B$29:$GQ$29,0))</f>
        <v>6.8887836394518528E-6</v>
      </c>
      <c r="CO11">
        <f>INDEX($B$25:$GQ$25,MATCH(92,$B$29:$GQ$29,0))</f>
        <v>5.6169257047932671E-6</v>
      </c>
      <c r="CP11">
        <f>INDEX($B$25:$GQ$25,MATCH(93,$B$29:$GQ$29,0))</f>
        <v>5.3401326121439694E-6</v>
      </c>
      <c r="CQ11">
        <f>INDEX($B$25:$GQ$25,MATCH(94,$B$29:$GQ$29,0))</f>
        <v>4.9948289749281748E-6</v>
      </c>
      <c r="CR11">
        <f>INDEX($B$25:$GQ$25,MATCH(95,$B$29:$GQ$29,0))</f>
        <v>4.6549843910778958E-6</v>
      </c>
      <c r="CS11">
        <f>INDEX($B$25:$GQ$25,MATCH(96,$B$29:$GQ$29,0))</f>
        <v>4.3438225337363716E-6</v>
      </c>
      <c r="CT11">
        <f>INDEX($B$25:$GQ$25,MATCH(97,$B$29:$GQ$29,0))</f>
        <v>3.9668682496440097E-6</v>
      </c>
      <c r="CU11">
        <f>INDEX($B$25:$GQ$25,MATCH(98,$B$29:$GQ$29,0))</f>
        <v>3.3567100936368181E-6</v>
      </c>
      <c r="CV11">
        <f>INDEX($B$25:$GQ$25,MATCH(99,$B$29:$GQ$29,0))</f>
        <v>3.342703904284113E-6</v>
      </c>
      <c r="CW11">
        <f>INDEX($B$25:$GQ$25,MATCH(100,$B$29:$GQ$29,0))</f>
        <v>2.914567172584559E-6</v>
      </c>
      <c r="CX11">
        <f>INDEX($B$25:$GQ$25,MATCH(101,$B$29:$GQ$29,0))</f>
        <v>2.6760898963793719E-6</v>
      </c>
      <c r="CY11">
        <f>INDEX($B$25:$GQ$25,MATCH(102,$B$29:$GQ$29,0))</f>
        <v>2.4374118627270128E-6</v>
      </c>
      <c r="CZ11">
        <f>INDEX($B$25:$GQ$25,MATCH(103,$B$29:$GQ$29,0))</f>
        <v>4.9835068849805677E-7</v>
      </c>
      <c r="DA11">
        <f>INDEX($B$25:$GQ$25,MATCH(104,$B$29:$GQ$29,0))</f>
        <v>2.0797273687578001E-6</v>
      </c>
      <c r="DB11">
        <f>INDEX($B$25:$GQ$25,MATCH(105,$B$29:$GQ$29,0))</f>
        <v>1.849150060010277E-6</v>
      </c>
      <c r="DC11">
        <f>INDEX($B$25:$GQ$25,MATCH(106,$B$29:$GQ$29,0))</f>
        <v>1.720298673310193E-6</v>
      </c>
      <c r="DD11">
        <f>INDEX($B$25:$GQ$25,MATCH(107,$B$29:$GQ$29,0))</f>
        <v>0</v>
      </c>
      <c r="DE11">
        <f>INDEX($B$25:$GQ$25,MATCH(108,$B$29:$GQ$29,0))</f>
        <v>1.520878955828691E-6</v>
      </c>
      <c r="DF11">
        <f>INDEX($B$25:$GQ$25,MATCH(109,$B$29:$GQ$29,0))</f>
        <v>1.0651300539867731E-6</v>
      </c>
      <c r="DG11">
        <f>INDEX($B$25:$GQ$25,MATCH(110,$B$29:$GQ$29,0))</f>
        <v>7.6587629717426267E-7</v>
      </c>
      <c r="DH11">
        <f>INDEX($B$25:$GQ$25,MATCH(111,$B$29:$GQ$29,0))</f>
        <v>6.3719023124988175E-8</v>
      </c>
      <c r="DI11">
        <f>INDEX($B$25:$GQ$25,MATCH(112,$B$29:$GQ$29,0))</f>
        <v>5.9265738407583936E-7</v>
      </c>
      <c r="DJ11">
        <f>INDEX($B$25:$GQ$25,MATCH(113,$B$29:$GQ$29,0))</f>
        <v>5.6873375394266095E-7</v>
      </c>
      <c r="DK11">
        <f>INDEX($B$25:$GQ$25,MATCH(114,$B$29:$GQ$29,0))</f>
        <v>5.3183787918189653E-7</v>
      </c>
      <c r="DL11">
        <f>INDEX($B$25:$GQ$25,MATCH(115,$B$29:$GQ$29,0))</f>
        <v>0</v>
      </c>
      <c r="DM11">
        <f>INDEX($B$25:$GQ$25,MATCH(116,$B$29:$GQ$29,0))</f>
        <v>0</v>
      </c>
      <c r="DN11">
        <f>INDEX($B$25:$GQ$25,MATCH(117,$B$29:$GQ$29,0))</f>
        <v>1.9706847614998879E-7</v>
      </c>
      <c r="DO11">
        <f>INDEX($B$25:$GQ$25,MATCH(118,$B$29:$GQ$29,0))</f>
        <v>1.8925917083819381E-7</v>
      </c>
      <c r="DP11">
        <f>INDEX($B$25:$GQ$25,MATCH(119,$B$29:$GQ$29,0))</f>
        <v>1.6144703997546369E-7</v>
      </c>
      <c r="DQ11">
        <f>INDEX($B$25:$GQ$25,MATCH(120,$B$29:$GQ$29,0))</f>
        <v>1.474713917993185E-8</v>
      </c>
      <c r="DR11">
        <f>INDEX($B$25:$GQ$25,MATCH(121,$B$29:$GQ$29,0))</f>
        <v>1.057769062348744E-7</v>
      </c>
      <c r="DS11">
        <f>INDEX($B$25:$GQ$25,MATCH(122,$B$29:$GQ$29,0))</f>
        <v>0</v>
      </c>
      <c r="DT11">
        <f>INDEX($B$25:$GQ$25,MATCH(123,$B$29:$GQ$29,0))</f>
        <v>9.3714901451596702E-8</v>
      </c>
      <c r="DU11">
        <f>INDEX($B$25:$GQ$25,MATCH(124,$B$29:$GQ$29,0))</f>
        <v>8.0599056807657549E-9</v>
      </c>
      <c r="DV11">
        <f>INDEX($B$25:$GQ$25,MATCH(125,$B$29:$GQ$29,0))</f>
        <v>4.9546803861325391E-8</v>
      </c>
      <c r="DW11">
        <f>INDEX($B$25:$GQ$25,MATCH(126,$B$29:$GQ$29,0))</f>
        <v>0</v>
      </c>
      <c r="DX11">
        <f>INDEX($B$25:$GQ$25,MATCH(127,$B$29:$GQ$29,0))</f>
        <v>0</v>
      </c>
      <c r="DY11">
        <f>INDEX($B$25:$GQ$25,MATCH(128,$B$29:$GQ$29,0))</f>
        <v>4.4927604543668989E-9</v>
      </c>
      <c r="DZ11">
        <f>INDEX($B$25:$GQ$25,MATCH(129,$B$29:$GQ$29,0))</f>
        <v>6.9498169733051625E-10</v>
      </c>
      <c r="EA11">
        <f>INDEX($B$25:$GQ$25,MATCH(130,$B$29:$GQ$29,0))</f>
        <v>2.2325008094815459E-9</v>
      </c>
      <c r="EB11">
        <f>INDEX($B$25:$GQ$25,MATCH(131,$B$29:$GQ$29,0))</f>
        <v>0</v>
      </c>
      <c r="EC11">
        <f>INDEX($B$25:$GQ$25,MATCH(132,$B$29:$GQ$29,0))</f>
        <v>5.3201054725178227E-11</v>
      </c>
      <c r="ED11">
        <f>INDEX($B$25:$GQ$25,MATCH(133,$B$29:$GQ$29,0))</f>
        <v>2.046999847253279E-11</v>
      </c>
      <c r="EE11">
        <f>INDEX($B$25:$GQ$25,MATCH(134,$B$29:$GQ$29,0))</f>
        <v>0</v>
      </c>
      <c r="EF11">
        <f>INDEX($B$25:$GQ$25,MATCH(135,$B$29:$GQ$29,0))</f>
        <v>0</v>
      </c>
      <c r="EG11">
        <f>INDEX($B$25:$GQ$25,MATCH(136,$B$29:$GQ$29,0))</f>
        <v>0</v>
      </c>
      <c r="EH11">
        <f>INDEX($B$25:$GQ$25,MATCH(137,$B$29:$GQ$29,0))</f>
        <v>0</v>
      </c>
      <c r="EI11">
        <f>INDEX($B$25:$GQ$25,MATCH(138,$B$29:$GQ$29,0))</f>
        <v>0</v>
      </c>
      <c r="EJ11">
        <f>INDEX($B$25:$GQ$25,MATCH(139,$B$29:$GQ$29,0))</f>
        <v>0</v>
      </c>
      <c r="EK11">
        <f>INDEX($B$25:$GQ$25,MATCH(140,$B$29:$GQ$29,0))</f>
        <v>0</v>
      </c>
      <c r="EL11">
        <f>INDEX($B$25:$GQ$25,MATCH(141,$B$29:$GQ$29,0))</f>
        <v>0</v>
      </c>
      <c r="EM11">
        <f>INDEX($B$25:$GQ$25,MATCH(142,$B$29:$GQ$29,0))</f>
        <v>0</v>
      </c>
      <c r="EN11">
        <f>INDEX($B$25:$GQ$25,MATCH(143,$B$29:$GQ$29,0))</f>
        <v>0</v>
      </c>
      <c r="EO11">
        <f>INDEX($B$25:$GQ$25,MATCH(144,$B$29:$GQ$29,0))</f>
        <v>0</v>
      </c>
      <c r="EP11">
        <f>INDEX($B$25:$GQ$25,MATCH(145,$B$29:$GQ$29,0))</f>
        <v>0</v>
      </c>
      <c r="EQ11">
        <f>INDEX($B$25:$GQ$25,MATCH(146,$B$29:$GQ$29,0))</f>
        <v>0</v>
      </c>
      <c r="ER11">
        <f>INDEX($B$25:$GQ$25,MATCH(147,$B$29:$GQ$29,0))</f>
        <v>0</v>
      </c>
      <c r="ES11">
        <f>INDEX($B$25:$GQ$25,MATCH(148,$B$29:$GQ$29,0))</f>
        <v>0</v>
      </c>
      <c r="ET11">
        <f>INDEX($B$25:$GQ$25,MATCH(149,$B$29:$GQ$29,0))</f>
        <v>0</v>
      </c>
      <c r="EU11">
        <f>INDEX($B$25:$GQ$25,MATCH(150,$B$29:$GQ$29,0))</f>
        <v>0</v>
      </c>
      <c r="EV11">
        <f>INDEX($B$25:$GQ$25,MATCH(151,$B$29:$GQ$29,0))</f>
        <v>0</v>
      </c>
      <c r="EW11">
        <f>INDEX($B$25:$GQ$25,MATCH(152,$B$29:$GQ$29,0))</f>
        <v>0</v>
      </c>
      <c r="EX11">
        <f>INDEX($B$25:$GQ$25,MATCH(153,$B$29:$GQ$29,0))</f>
        <v>0</v>
      </c>
      <c r="EY11">
        <f>INDEX($B$25:$GQ$25,MATCH(154,$B$29:$GQ$29,0))</f>
        <v>0</v>
      </c>
      <c r="EZ11">
        <f>INDEX($B$25:$GQ$25,MATCH(155,$B$29:$GQ$29,0))</f>
        <v>0</v>
      </c>
      <c r="FA11">
        <f>INDEX($B$25:$GQ$25,MATCH(156,$B$29:$GQ$29,0))</f>
        <v>0</v>
      </c>
      <c r="FB11">
        <f>INDEX($B$25:$GQ$25,MATCH(157,$B$29:$GQ$29,0))</f>
        <v>0</v>
      </c>
      <c r="FC11">
        <f>INDEX($B$25:$GQ$25,MATCH(158,$B$29:$GQ$29,0))</f>
        <v>0</v>
      </c>
      <c r="FD11">
        <f>INDEX($B$25:$GQ$25,MATCH(159,$B$29:$GQ$29,0))</f>
        <v>0</v>
      </c>
      <c r="FE11">
        <f>INDEX($B$25:$GQ$25,MATCH(160,$B$29:$GQ$29,0))</f>
        <v>0</v>
      </c>
      <c r="FF11">
        <f>INDEX($B$25:$GQ$25,MATCH(161,$B$29:$GQ$29,0))</f>
        <v>0</v>
      </c>
      <c r="FG11">
        <f>INDEX($B$25:$GQ$25,MATCH(162,$B$29:$GQ$29,0))</f>
        <v>0</v>
      </c>
      <c r="FH11">
        <f>INDEX($B$25:$GQ$25,MATCH(163,$B$29:$GQ$29,0))</f>
        <v>0</v>
      </c>
      <c r="FI11">
        <f>INDEX($B$25:$GQ$25,MATCH(164,$B$29:$GQ$29,0))</f>
        <v>0</v>
      </c>
      <c r="FJ11">
        <f>INDEX($B$25:$GQ$25,MATCH(165,$B$29:$GQ$29,0))</f>
        <v>0</v>
      </c>
      <c r="FK11">
        <f>INDEX($B$25:$GQ$25,MATCH(166,$B$29:$GQ$29,0))</f>
        <v>0</v>
      </c>
      <c r="FL11">
        <f>INDEX($B$25:$GQ$25,MATCH(167,$B$29:$GQ$29,0))</f>
        <v>0</v>
      </c>
      <c r="FM11">
        <f>INDEX($B$25:$GQ$25,MATCH(168,$B$29:$GQ$29,0))</f>
        <v>0</v>
      </c>
      <c r="FN11">
        <f>INDEX($B$25:$GQ$25,MATCH(169,$B$29:$GQ$29,0))</f>
        <v>0</v>
      </c>
      <c r="FO11">
        <f>INDEX($B$25:$GQ$25,MATCH(170,$B$29:$GQ$29,0))</f>
        <v>0</v>
      </c>
      <c r="FP11">
        <f>INDEX($B$25:$GQ$25,MATCH(171,$B$29:$GQ$29,0))</f>
        <v>0</v>
      </c>
      <c r="FQ11">
        <f>INDEX($B$25:$GQ$25,MATCH(172,$B$29:$GQ$29,0))</f>
        <v>0</v>
      </c>
      <c r="FR11">
        <f>INDEX($B$25:$GQ$25,MATCH(173,$B$29:$GQ$29,0))</f>
        <v>0</v>
      </c>
      <c r="FS11">
        <f>INDEX($B$25:$GQ$25,MATCH(174,$B$29:$GQ$29,0))</f>
        <v>0</v>
      </c>
      <c r="FT11">
        <f>INDEX($B$25:$GQ$25,MATCH(175,$B$29:$GQ$29,0))</f>
        <v>0</v>
      </c>
      <c r="FU11">
        <f>INDEX($B$25:$GQ$25,MATCH(176,$B$29:$GQ$29,0))</f>
        <v>0</v>
      </c>
      <c r="FV11">
        <f>INDEX($B$25:$GQ$25,MATCH(177,$B$29:$GQ$29,0))</f>
        <v>0</v>
      </c>
      <c r="FW11">
        <f>INDEX($B$25:$GQ$25,MATCH(178,$B$29:$GQ$29,0))</f>
        <v>0</v>
      </c>
      <c r="FX11">
        <f>INDEX($B$25:$GQ$25,MATCH(179,$B$29:$GQ$29,0))</f>
        <v>0</v>
      </c>
      <c r="FY11">
        <f>INDEX($B$25:$GQ$25,MATCH(180,$B$29:$GQ$29,0))</f>
        <v>0</v>
      </c>
      <c r="FZ11">
        <f>INDEX($B$25:$GQ$25,MATCH(181,$B$29:$GQ$29,0))</f>
        <v>0</v>
      </c>
      <c r="GA11">
        <f>INDEX($B$25:$GQ$25,MATCH(182,$B$29:$GQ$29,0))</f>
        <v>0</v>
      </c>
      <c r="GB11">
        <f>INDEX($B$25:$GQ$25,MATCH(183,$B$29:$GQ$29,0))</f>
        <v>0</v>
      </c>
      <c r="GC11">
        <f>INDEX($B$25:$GQ$25,MATCH(184,$B$29:$GQ$29,0))</f>
        <v>0</v>
      </c>
      <c r="GD11">
        <f>INDEX($B$25:$GQ$25,MATCH(185,$B$29:$GQ$29,0))</f>
        <v>0</v>
      </c>
      <c r="GE11">
        <f>INDEX($B$25:$GQ$25,MATCH(186,$B$29:$GQ$29,0))</f>
        <v>0</v>
      </c>
      <c r="GF11">
        <f>INDEX($B$25:$GQ$25,MATCH(187,$B$29:$GQ$29,0))</f>
        <v>0</v>
      </c>
      <c r="GG11">
        <f>INDEX($B$25:$GQ$25,MATCH(188,$B$29:$GQ$29,0))</f>
        <v>0</v>
      </c>
      <c r="GH11">
        <f>INDEX($B$25:$GQ$25,MATCH(189,$B$29:$GQ$29,0))</f>
        <v>0</v>
      </c>
      <c r="GI11">
        <f>INDEX($B$25:$GQ$25,MATCH(190,$B$29:$GQ$29,0))</f>
        <v>0</v>
      </c>
      <c r="GJ11">
        <f>INDEX($B$25:$GQ$25,MATCH(191,$B$29:$GQ$29,0))</f>
        <v>0</v>
      </c>
      <c r="GK11">
        <f>INDEX($B$25:$GQ$25,MATCH(192,$B$29:$GQ$29,0))</f>
        <v>0</v>
      </c>
      <c r="GL11">
        <f>INDEX($B$25:$GQ$25,MATCH(193,$B$29:$GQ$29,0))</f>
        <v>0</v>
      </c>
      <c r="GM11">
        <f>INDEX($B$25:$GQ$25,MATCH(194,$B$29:$GQ$29,0))</f>
        <v>0</v>
      </c>
      <c r="GN11">
        <f>INDEX($B$25:$GQ$25,MATCH(195,$B$29:$GQ$29,0))</f>
        <v>0</v>
      </c>
      <c r="GO11">
        <f>INDEX($B$25:$GQ$25,MATCH(196,$B$29:$GQ$29,0))</f>
        <v>0</v>
      </c>
      <c r="GP11">
        <f>INDEX($B$25:$GQ$25,MATCH(197,$B$29:$GQ$29,0))</f>
        <v>0</v>
      </c>
      <c r="GQ11">
        <f>INDEX($B$25:$GQ$25,MATCH(198,$B$29:$GQ$29,0))</f>
        <v>0</v>
      </c>
      <c r="GR11">
        <f>INDEX($GR$25:$HC$25,MATCH(1,$GR$30:$HC$30,0))</f>
        <v>1.152436606399054E-2</v>
      </c>
      <c r="GS11">
        <f>INDEX($GR$25:$HC$25,MATCH(2,$GR$30:$HC$30,0))</f>
        <v>7.3383375757001884E-3</v>
      </c>
      <c r="GT11">
        <f>INDEX($GR$25:$HC$25,MATCH(3,$GR$30:$HC$30,0))</f>
        <v>1.0462876133519121E-2</v>
      </c>
      <c r="GU11">
        <f>INDEX($GR$25:$HC$25,MATCH(4,$GR$30:$HC$30,0))</f>
        <v>1.870989073433732E-4</v>
      </c>
      <c r="GV11">
        <f>INDEX($GR$25:$HC$25,MATCH(5,$GR$30:$HC$30,0))</f>
        <v>6.7148936754155017E-3</v>
      </c>
      <c r="GW11">
        <f>INDEX($GR$25:$HC$25,MATCH(6,$GR$30:$HC$30,0))</f>
        <v>4.1774697561781241E-3</v>
      </c>
      <c r="GX11">
        <f>INDEX($GR$25:$HC$25,MATCH(7,$GR$30:$HC$30,0))</f>
        <v>4.1583249844037024E-3</v>
      </c>
      <c r="GY11">
        <f>INDEX($GR$25:$HC$25,MATCH(8,$GR$30:$HC$30,0))</f>
        <v>3.6490972053521138E-3</v>
      </c>
      <c r="GZ11">
        <f>INDEX($GR$25:$HC$25,MATCH(9,$GR$30:$HC$30,0))</f>
        <v>1.8511447237615E-3</v>
      </c>
      <c r="HA11">
        <f>INDEX($GR$25:$HC$25,MATCH(10,$GR$30:$HC$30,0))</f>
        <v>3.54574306520855E-3</v>
      </c>
      <c r="HB11">
        <f>INDEX($GR$25:$HC$25,MATCH(11,$GR$30:$HC$30,0))</f>
        <v>1.2929510393473651E-3</v>
      </c>
      <c r="HC11">
        <f>INDEX($GR$25:$HC$25,MATCH(12,$GR$30:$HC$30,0))</f>
        <v>5.0842652576668396E-4</v>
      </c>
    </row>
    <row r="12" spans="1:211" x14ac:dyDescent="0.45">
      <c r="A12" s="1" t="s">
        <v>11</v>
      </c>
      <c r="B12">
        <f>INDEX($B$26:$GQ$26,MATCH(1,$B$29:$GQ$29,0))</f>
        <v>1.428521231741626E-3</v>
      </c>
      <c r="C12">
        <f>INDEX($B$26:$GQ$26,MATCH(2,$B$29:$GQ$29,0))</f>
        <v>3.0904516606435999E-3</v>
      </c>
      <c r="D12">
        <f>INDEX($B$26:$GQ$26,MATCH(3,$B$29:$GQ$29,0))</f>
        <v>7.2330472194400272E-3</v>
      </c>
      <c r="E12">
        <f>INDEX($B$26:$GQ$26,MATCH(4,$B$29:$GQ$29,0))</f>
        <v>7.3017975360684811E-4</v>
      </c>
      <c r="F12">
        <f>INDEX($B$26:$GQ$26,MATCH(5,$B$29:$GQ$29,0))</f>
        <v>0</v>
      </c>
      <c r="G12">
        <f>INDEX($B$26:$GQ$26,MATCH(6,$B$29:$GQ$29,0))</f>
        <v>2.302307148579296E-4</v>
      </c>
      <c r="H12">
        <f>INDEX($B$26:$GQ$26,MATCH(7,$B$29:$GQ$29,0))</f>
        <v>9.2380698475372585E-5</v>
      </c>
      <c r="I12">
        <f>INDEX($B$26:$GQ$26,MATCH(8,$B$29:$GQ$29,0))</f>
        <v>2.1161522881837998E-3</v>
      </c>
      <c r="J12">
        <f>INDEX($B$26:$GQ$26,MATCH(9,$B$29:$GQ$29,0))</f>
        <v>5.8053906516295764E-4</v>
      </c>
      <c r="K12">
        <f>INDEX($B$26:$GQ$26,MATCH(10,$B$29:$GQ$29,0))</f>
        <v>5.9602778127872347E-5</v>
      </c>
      <c r="L12">
        <f>INDEX($B$26:$GQ$26,MATCH(11,$B$29:$GQ$29,0))</f>
        <v>1.8221865094807551E-3</v>
      </c>
      <c r="M12">
        <f>INDEX($B$26:$GQ$26,MATCH(12,$B$29:$GQ$29,0))</f>
        <v>0</v>
      </c>
      <c r="N12">
        <f>INDEX($B$26:$GQ$26,MATCH(13,$B$29:$GQ$29,0))</f>
        <v>1.152367406535194E-4</v>
      </c>
      <c r="O12">
        <f>INDEX($B$26:$GQ$26,MATCH(14,$B$29:$GQ$29,0))</f>
        <v>3.4558133900598573E-5</v>
      </c>
      <c r="P12">
        <f>INDEX($B$26:$GQ$26,MATCH(15,$B$29:$GQ$29,0))</f>
        <v>7.3081342384877256E-4</v>
      </c>
      <c r="Q12">
        <f>INDEX($B$26:$GQ$26,MATCH(16,$B$29:$GQ$29,0))</f>
        <v>3.1049658989448613E-4</v>
      </c>
      <c r="R12">
        <f>INDEX($B$26:$GQ$26,MATCH(17,$B$29:$GQ$29,0))</f>
        <v>9.6618064092610816E-4</v>
      </c>
      <c r="S12">
        <f>INDEX($B$26:$GQ$26,MATCH(18,$B$29:$GQ$29,0))</f>
        <v>2.3255721920877821E-4</v>
      </c>
      <c r="T12">
        <f>INDEX($B$26:$GQ$26,MATCH(19,$B$29:$GQ$29,0))</f>
        <v>1.239220228239423E-4</v>
      </c>
      <c r="U12">
        <f>INDEX($B$26:$GQ$26,MATCH(20,$B$29:$GQ$29,0))</f>
        <v>2.4547477192762672E-4</v>
      </c>
      <c r="V12">
        <f>INDEX($B$26:$GQ$26,MATCH(21,$B$29:$GQ$29,0))</f>
        <v>5.8764303021415529E-4</v>
      </c>
      <c r="W12">
        <f>INDEX($B$26:$GQ$26,MATCH(22,$B$29:$GQ$29,0))</f>
        <v>3.6390235685644867E-4</v>
      </c>
      <c r="X12">
        <f>INDEX($B$26:$GQ$26,MATCH(23,$B$29:$GQ$29,0))</f>
        <v>6.1135704981458538E-4</v>
      </c>
      <c r="Y12">
        <f>INDEX($B$26:$GQ$26,MATCH(24,$B$29:$GQ$29,0))</f>
        <v>3.0318632893656532E-4</v>
      </c>
      <c r="Z12">
        <f>INDEX($B$26:$GQ$26,MATCH(25,$B$29:$GQ$29,0))</f>
        <v>8.3394826838719089E-6</v>
      </c>
      <c r="AA12">
        <f>INDEX($B$26:$GQ$26,MATCH(26,$B$29:$GQ$29,0))</f>
        <v>3.5704068594231498E-4</v>
      </c>
      <c r="AB12">
        <f>INDEX($B$26:$GQ$26,MATCH(27,$B$29:$GQ$29,0))</f>
        <v>4.2590425949983618E-4</v>
      </c>
      <c r="AC12">
        <f>INDEX($B$26:$GQ$26,MATCH(28,$B$29:$GQ$29,0))</f>
        <v>8.0732608595449968E-5</v>
      </c>
      <c r="AD12">
        <f>INDEX($B$26:$GQ$26,MATCH(29,$B$29:$GQ$29,0))</f>
        <v>1.747451116374657E-5</v>
      </c>
      <c r="AE12">
        <f>INDEX($B$26:$GQ$26,MATCH(30,$B$29:$GQ$29,0))</f>
        <v>8.3155136829091913E-6</v>
      </c>
      <c r="AF12">
        <f>INDEX($B$26:$GQ$26,MATCH(31,$B$29:$GQ$29,0))</f>
        <v>4.6738745643486353E-5</v>
      </c>
      <c r="AG12">
        <f>INDEX($B$26:$GQ$26,MATCH(32,$B$29:$GQ$29,0))</f>
        <v>1.072718237138617E-4</v>
      </c>
      <c r="AH12">
        <f>INDEX($B$26:$GQ$26,MATCH(33,$B$29:$GQ$29,0))</f>
        <v>1.441624683261223E-4</v>
      </c>
      <c r="AI12">
        <f>INDEX($B$26:$GQ$26,MATCH(34,$B$29:$GQ$29,0))</f>
        <v>1.317166902765649E-4</v>
      </c>
      <c r="AJ12">
        <f>INDEX($B$26:$GQ$26,MATCH(35,$B$29:$GQ$29,0))</f>
        <v>1.033591106263352E-4</v>
      </c>
      <c r="AK12">
        <f>INDEX($B$26:$GQ$26,MATCH(36,$B$29:$GQ$29,0))</f>
        <v>2.111378687773671E-4</v>
      </c>
      <c r="AL12">
        <f>INDEX($B$26:$GQ$26,MATCH(37,$B$29:$GQ$29,0))</f>
        <v>2.2699717203635789E-5</v>
      </c>
      <c r="AM12">
        <f>INDEX($B$26:$GQ$26,MATCH(38,$B$29:$GQ$29,0))</f>
        <v>9.7542615401217624E-5</v>
      </c>
      <c r="AN12">
        <f>INDEX($B$26:$GQ$26,MATCH(39,$B$29:$GQ$29,0))</f>
        <v>3.511048299046626E-5</v>
      </c>
      <c r="AO12">
        <f>INDEX($B$26:$GQ$26,MATCH(40,$B$29:$GQ$29,0))</f>
        <v>0</v>
      </c>
      <c r="AP12">
        <f>INDEX($B$26:$GQ$26,MATCH(41,$B$29:$GQ$29,0))</f>
        <v>1.2420324167574931E-5</v>
      </c>
      <c r="AQ12">
        <f>INDEX($B$26:$GQ$26,MATCH(42,$B$29:$GQ$29,0))</f>
        <v>2.531487998260963E-5</v>
      </c>
      <c r="AR12">
        <f>INDEX($B$26:$GQ$26,MATCH(43,$B$29:$GQ$29,0))</f>
        <v>5.4032773967018703E-6</v>
      </c>
      <c r="AS12">
        <f>INDEX($B$26:$GQ$26,MATCH(44,$B$29:$GQ$29,0))</f>
        <v>1.343495964944214E-5</v>
      </c>
      <c r="AT12">
        <f>INDEX($B$26:$GQ$26,MATCH(45,$B$29:$GQ$29,0))</f>
        <v>0</v>
      </c>
      <c r="AU12">
        <f>INDEX($B$26:$GQ$26,MATCH(46,$B$29:$GQ$29,0))</f>
        <v>7.4524058118042395E-5</v>
      </c>
      <c r="AV12">
        <f>INDEX($B$26:$GQ$26,MATCH(47,$B$29:$GQ$29,0))</f>
        <v>1.2372759078856411E-4</v>
      </c>
      <c r="AW12">
        <f>INDEX($B$26:$GQ$26,MATCH(48,$B$29:$GQ$29,0))</f>
        <v>0</v>
      </c>
      <c r="AX12">
        <f>INDEX($B$26:$GQ$26,MATCH(49,$B$29:$GQ$29,0))</f>
        <v>2.2480933519222142E-6</v>
      </c>
      <c r="AY12">
        <f>INDEX($B$26:$GQ$26,MATCH(50,$B$29:$GQ$29,0))</f>
        <v>1.138879991885836E-4</v>
      </c>
      <c r="AZ12">
        <f>INDEX($B$26:$GQ$26,MATCH(51,$B$29:$GQ$29,0))</f>
        <v>5.1216421236729917E-5</v>
      </c>
      <c r="BA12">
        <f>INDEX($B$26:$GQ$26,MATCH(52,$B$29:$GQ$29,0))</f>
        <v>3.9878030720808623E-6</v>
      </c>
      <c r="BB12">
        <f>INDEX($B$26:$GQ$26,MATCH(53,$B$29:$GQ$29,0))</f>
        <v>0</v>
      </c>
      <c r="BC12">
        <f>INDEX($B$26:$GQ$26,MATCH(54,$B$29:$GQ$29,0))</f>
        <v>2.8192328603030671E-5</v>
      </c>
      <c r="BD12">
        <f>INDEX($B$26:$GQ$26,MATCH(55,$B$29:$GQ$29,0))</f>
        <v>6.7529556646440202E-5</v>
      </c>
      <c r="BE12">
        <f>INDEX($B$26:$GQ$26,MATCH(56,$B$29:$GQ$29,0))</f>
        <v>7.8951063728447768E-5</v>
      </c>
      <c r="BF12">
        <f>INDEX($B$26:$GQ$26,MATCH(57,$B$29:$GQ$29,0))</f>
        <v>4.5936392007735072E-5</v>
      </c>
      <c r="BG12">
        <f>INDEX($B$26:$GQ$26,MATCH(58,$B$29:$GQ$29,0))</f>
        <v>8.0168790982828155E-5</v>
      </c>
      <c r="BH12">
        <f>INDEX($B$26:$GQ$26,MATCH(59,$B$29:$GQ$29,0))</f>
        <v>2.422433033463112E-5</v>
      </c>
      <c r="BI12">
        <f>INDEX($B$26:$GQ$26,MATCH(60,$B$29:$GQ$29,0))</f>
        <v>0</v>
      </c>
      <c r="BJ12">
        <f>INDEX($B$26:$GQ$26,MATCH(61,$B$29:$GQ$29,0))</f>
        <v>4.4268953400020753E-5</v>
      </c>
      <c r="BK12">
        <f>INDEX($B$26:$GQ$26,MATCH(62,$B$29:$GQ$29,0))</f>
        <v>4.3645596966321102E-5</v>
      </c>
      <c r="BL12">
        <f>INDEX($B$26:$GQ$26,MATCH(63,$B$29:$GQ$29,0))</f>
        <v>4.5258306225437327E-5</v>
      </c>
      <c r="BM12">
        <f>INDEX($B$26:$GQ$26,MATCH(64,$B$29:$GQ$29,0))</f>
        <v>5.0070704936668482E-6</v>
      </c>
      <c r="BN12">
        <f>INDEX($B$26:$GQ$26,MATCH(65,$B$29:$GQ$29,0))</f>
        <v>5.1587047637648159E-5</v>
      </c>
      <c r="BO12">
        <f>INDEX($B$26:$GQ$26,MATCH(66,$B$29:$GQ$29,0))</f>
        <v>1.8472661083184761E-5</v>
      </c>
      <c r="BP12">
        <f>INDEX($B$26:$GQ$26,MATCH(67,$B$29:$GQ$29,0))</f>
        <v>0</v>
      </c>
      <c r="BQ12">
        <f>INDEX($B$26:$GQ$26,MATCH(68,$B$29:$GQ$29,0))</f>
        <v>1.8668749234346329E-5</v>
      </c>
      <c r="BR12">
        <f>INDEX($B$26:$GQ$26,MATCH(69,$B$29:$GQ$29,0))</f>
        <v>0</v>
      </c>
      <c r="BS12">
        <f>INDEX($B$26:$GQ$26,MATCH(70,$B$29:$GQ$29,0))</f>
        <v>0</v>
      </c>
      <c r="BT12">
        <f>INDEX($B$26:$GQ$26,MATCH(71,$B$29:$GQ$29,0))</f>
        <v>3.4486336727254371E-5</v>
      </c>
      <c r="BU12">
        <f>INDEX($B$26:$GQ$26,MATCH(72,$B$29:$GQ$29,0))</f>
        <v>2.5710029472621449E-5</v>
      </c>
      <c r="BV12">
        <f>INDEX($B$26:$GQ$26,MATCH(73,$B$29:$GQ$29,0))</f>
        <v>3.9204015142044017E-5</v>
      </c>
      <c r="BW12">
        <f>INDEX($B$26:$GQ$26,MATCH(74,$B$29:$GQ$29,0))</f>
        <v>0</v>
      </c>
      <c r="BX12">
        <f>INDEX($B$26:$GQ$26,MATCH(75,$B$29:$GQ$29,0))</f>
        <v>0</v>
      </c>
      <c r="BY12">
        <f>INDEX($B$26:$GQ$26,MATCH(76,$B$29:$GQ$29,0))</f>
        <v>3.7586074279800737E-5</v>
      </c>
      <c r="BZ12">
        <f>INDEX($B$26:$GQ$26,MATCH(77,$B$29:$GQ$29,0))</f>
        <v>2.898212488983476E-6</v>
      </c>
      <c r="CA12">
        <f>INDEX($B$26:$GQ$26,MATCH(78,$B$29:$GQ$29,0))</f>
        <v>0</v>
      </c>
      <c r="CB12">
        <f>INDEX($B$26:$GQ$26,MATCH(79,$B$29:$GQ$29,0))</f>
        <v>1.1028409471637431E-5</v>
      </c>
      <c r="CC12">
        <f>INDEX($B$26:$GQ$26,MATCH(80,$B$29:$GQ$29,0))</f>
        <v>5.8035726910046107E-8</v>
      </c>
      <c r="CD12">
        <f>INDEX($B$26:$GQ$26,MATCH(81,$B$29:$GQ$29,0))</f>
        <v>1.187271628426165E-7</v>
      </c>
      <c r="CE12">
        <f>INDEX($B$26:$GQ$26,MATCH(82,$B$29:$GQ$29,0))</f>
        <v>7.0967744362242371E-6</v>
      </c>
      <c r="CF12">
        <f>INDEX($B$26:$GQ$26,MATCH(83,$B$29:$GQ$29,0))</f>
        <v>2.770001230902101E-7</v>
      </c>
      <c r="CG12">
        <f>INDEX($B$26:$GQ$26,MATCH(84,$B$29:$GQ$29,0))</f>
        <v>0</v>
      </c>
      <c r="CH12">
        <f>INDEX($B$26:$GQ$26,MATCH(85,$B$29:$GQ$29,0))</f>
        <v>4.9677463684690932E-6</v>
      </c>
      <c r="CI12">
        <f>INDEX($B$26:$GQ$26,MATCH(86,$B$29:$GQ$29,0))</f>
        <v>1.7675352715535061E-7</v>
      </c>
      <c r="CJ12">
        <f>INDEX($B$26:$GQ$26,MATCH(87,$B$29:$GQ$29,0))</f>
        <v>8.8203044026119253E-8</v>
      </c>
      <c r="CK12">
        <f>INDEX($B$26:$GQ$26,MATCH(88,$B$29:$GQ$29,0))</f>
        <v>1.139588720615156E-6</v>
      </c>
      <c r="CL12">
        <f>INDEX($B$26:$GQ$26,MATCH(89,$B$29:$GQ$29,0))</f>
        <v>7.5137345348165098E-8</v>
      </c>
      <c r="CM12">
        <f>INDEX($B$26:$GQ$26,MATCH(90,$B$29:$GQ$29,0))</f>
        <v>7.8668574627558351E-8</v>
      </c>
      <c r="CN12">
        <f>INDEX($B$26:$GQ$26,MATCH(91,$B$29:$GQ$29,0))</f>
        <v>1.016380448503537E-7</v>
      </c>
      <c r="CO12">
        <f>INDEX($B$26:$GQ$26,MATCH(92,$B$29:$GQ$29,0))</f>
        <v>0</v>
      </c>
      <c r="CP12">
        <f>INDEX($B$26:$GQ$26,MATCH(93,$B$29:$GQ$29,0))</f>
        <v>4.8868190262189439E-8</v>
      </c>
      <c r="CQ12">
        <f>INDEX($B$26:$GQ$26,MATCH(94,$B$29:$GQ$29,0))</f>
        <v>4.8765688531900991E-8</v>
      </c>
      <c r="CR12">
        <f>INDEX($B$26:$GQ$26,MATCH(95,$B$29:$GQ$29,0))</f>
        <v>0</v>
      </c>
      <c r="CS12">
        <f>INDEX($B$26:$GQ$26,MATCH(96,$B$29:$GQ$29,0))</f>
        <v>9.947602922195688E-8</v>
      </c>
      <c r="CT12">
        <f>INDEX($B$26:$GQ$26,MATCH(97,$B$29:$GQ$29,0))</f>
        <v>0</v>
      </c>
      <c r="CU12">
        <f>INDEX($B$26:$GQ$26,MATCH(98,$B$29:$GQ$29,0))</f>
        <v>3.0006337662785549E-8</v>
      </c>
      <c r="CV12">
        <f>INDEX($B$26:$GQ$26,MATCH(99,$B$29:$GQ$29,0))</f>
        <v>3.8013031933719739E-8</v>
      </c>
      <c r="CW12">
        <f>INDEX($B$26:$GQ$26,MATCH(100,$B$29:$GQ$29,0))</f>
        <v>2.469744656074444E-8</v>
      </c>
      <c r="CX12">
        <f>INDEX($B$26:$GQ$26,MATCH(101,$B$29:$GQ$29,0))</f>
        <v>1.4738362289106251E-7</v>
      </c>
      <c r="CY12">
        <f>INDEX($B$26:$GQ$26,MATCH(102,$B$29:$GQ$29,0))</f>
        <v>1.5982663854867009E-7</v>
      </c>
      <c r="CZ12">
        <f>INDEX($B$26:$GQ$26,MATCH(103,$B$29:$GQ$29,0))</f>
        <v>1.6558630672677161E-6</v>
      </c>
      <c r="DA12">
        <f>INDEX($B$26:$GQ$26,MATCH(104,$B$29:$GQ$29,0))</f>
        <v>2.6035347756960102E-8</v>
      </c>
      <c r="DB12">
        <f>INDEX($B$26:$GQ$26,MATCH(105,$B$29:$GQ$29,0))</f>
        <v>1.328552363242812E-8</v>
      </c>
      <c r="DC12">
        <f>INDEX($B$26:$GQ$26,MATCH(106,$B$29:$GQ$29,0))</f>
        <v>9.8356213602002465E-8</v>
      </c>
      <c r="DD12">
        <f>INDEX($B$26:$GQ$26,MATCH(107,$B$29:$GQ$29,0))</f>
        <v>1.619805396166427E-6</v>
      </c>
      <c r="DE12">
        <f>INDEX($B$26:$GQ$26,MATCH(108,$B$29:$GQ$29,0))</f>
        <v>1.294284138605562E-8</v>
      </c>
      <c r="DF12">
        <f>INDEX($B$26:$GQ$26,MATCH(109,$B$29:$GQ$29,0))</f>
        <v>5.8597813789541692E-9</v>
      </c>
      <c r="DG12">
        <f>INDEX($B$26:$GQ$26,MATCH(110,$B$29:$GQ$29,0))</f>
        <v>4.7924111555997507E-8</v>
      </c>
      <c r="DH12">
        <f>INDEX($B$26:$GQ$26,MATCH(111,$B$29:$GQ$29,0))</f>
        <v>5.7981104695257832E-7</v>
      </c>
      <c r="DI12">
        <f>INDEX($B$26:$GQ$26,MATCH(112,$B$29:$GQ$29,0))</f>
        <v>3.6990216381045241E-9</v>
      </c>
      <c r="DJ12">
        <f>INDEX($B$26:$GQ$26,MATCH(113,$B$29:$GQ$29,0))</f>
        <v>2.9324756593545612E-9</v>
      </c>
      <c r="DK12">
        <f>INDEX($B$26:$GQ$26,MATCH(114,$B$29:$GQ$29,0))</f>
        <v>2.3393606261258608E-8</v>
      </c>
      <c r="DL12">
        <f>INDEX($B$26:$GQ$26,MATCH(115,$B$29:$GQ$29,0))</f>
        <v>3.797748934588472E-7</v>
      </c>
      <c r="DM12">
        <f>INDEX($B$26:$GQ$26,MATCH(116,$B$29:$GQ$29,0))</f>
        <v>3.4588973639695392E-7</v>
      </c>
      <c r="DN12">
        <f>INDEX($B$26:$GQ$26,MATCH(117,$B$29:$GQ$29,0))</f>
        <v>1.2775098318743101E-7</v>
      </c>
      <c r="DO12">
        <f>INDEX($B$26:$GQ$26,MATCH(118,$B$29:$GQ$29,0))</f>
        <v>0</v>
      </c>
      <c r="DP12">
        <f>INDEX($B$26:$GQ$26,MATCH(119,$B$29:$GQ$29,0))</f>
        <v>0</v>
      </c>
      <c r="DQ12">
        <f>INDEX($B$26:$GQ$26,MATCH(120,$B$29:$GQ$29,0))</f>
        <v>1.3170783026420191E-7</v>
      </c>
      <c r="DR12">
        <f>INDEX($B$26:$GQ$26,MATCH(121,$B$29:$GQ$29,0))</f>
        <v>0</v>
      </c>
      <c r="DS12">
        <f>INDEX($B$26:$GQ$26,MATCH(122,$B$29:$GQ$29,0))</f>
        <v>1.051372408775937E-7</v>
      </c>
      <c r="DT12">
        <f>INDEX($B$26:$GQ$26,MATCH(123,$B$29:$GQ$29,0))</f>
        <v>2.872520664126132E-9</v>
      </c>
      <c r="DU12">
        <f>INDEX($B$26:$GQ$26,MATCH(124,$B$29:$GQ$29,0))</f>
        <v>5.9092529164847002E-8</v>
      </c>
      <c r="DV12">
        <f>INDEX($B$26:$GQ$26,MATCH(125,$B$29:$GQ$29,0))</f>
        <v>3.1656276294398562E-10</v>
      </c>
      <c r="DW12">
        <f>INDEX($B$26:$GQ$26,MATCH(126,$B$29:$GQ$29,0))</f>
        <v>3.6384998618586723E-8</v>
      </c>
      <c r="DX12">
        <f>INDEX($B$26:$GQ$26,MATCH(127,$B$29:$GQ$29,0))</f>
        <v>7.179098216575194E-9</v>
      </c>
      <c r="DY12">
        <f>INDEX($B$26:$GQ$26,MATCH(128,$B$29:$GQ$29,0))</f>
        <v>0</v>
      </c>
      <c r="DZ12">
        <f>INDEX($B$26:$GQ$26,MATCH(129,$B$29:$GQ$29,0))</f>
        <v>2.1186432497109039E-9</v>
      </c>
      <c r="EA12">
        <f>INDEX($B$26:$GQ$26,MATCH(130,$B$29:$GQ$29,0))</f>
        <v>0</v>
      </c>
      <c r="EB12">
        <f>INDEX($B$26:$GQ$26,MATCH(131,$B$29:$GQ$29,0))</f>
        <v>9.153353202794548E-10</v>
      </c>
      <c r="EC12">
        <f>INDEX($B$26:$GQ$26,MATCH(132,$B$29:$GQ$29,0))</f>
        <v>1.343229250301387E-10</v>
      </c>
      <c r="ED12">
        <f>INDEX($B$26:$GQ$26,MATCH(133,$B$29:$GQ$29,0))</f>
        <v>0</v>
      </c>
      <c r="EE12">
        <f>INDEX($B$26:$GQ$26,MATCH(134,$B$29:$GQ$29,0))</f>
        <v>0</v>
      </c>
      <c r="EF12">
        <f>INDEX($B$26:$GQ$26,MATCH(135,$B$29:$GQ$29,0))</f>
        <v>0</v>
      </c>
      <c r="EG12">
        <f>INDEX($B$26:$GQ$26,MATCH(136,$B$29:$GQ$29,0))</f>
        <v>0</v>
      </c>
      <c r="EH12">
        <f>INDEX($B$26:$GQ$26,MATCH(137,$B$29:$GQ$29,0))</f>
        <v>0</v>
      </c>
      <c r="EI12">
        <f>INDEX($B$26:$GQ$26,MATCH(138,$B$29:$GQ$29,0))</f>
        <v>0</v>
      </c>
      <c r="EJ12">
        <f>INDEX($B$26:$GQ$26,MATCH(139,$B$29:$GQ$29,0))</f>
        <v>0</v>
      </c>
      <c r="EK12">
        <f>INDEX($B$26:$GQ$26,MATCH(140,$B$29:$GQ$29,0))</f>
        <v>0</v>
      </c>
      <c r="EL12">
        <f>INDEX($B$26:$GQ$26,MATCH(141,$B$29:$GQ$29,0))</f>
        <v>0</v>
      </c>
      <c r="EM12">
        <f>INDEX($B$26:$GQ$26,MATCH(142,$B$29:$GQ$29,0))</f>
        <v>0</v>
      </c>
      <c r="EN12">
        <f>INDEX($B$26:$GQ$26,MATCH(143,$B$29:$GQ$29,0))</f>
        <v>0</v>
      </c>
      <c r="EO12">
        <f>INDEX($B$26:$GQ$26,MATCH(144,$B$29:$GQ$29,0))</f>
        <v>0</v>
      </c>
      <c r="EP12">
        <f>INDEX($B$26:$GQ$26,MATCH(145,$B$29:$GQ$29,0))</f>
        <v>0</v>
      </c>
      <c r="EQ12">
        <f>INDEX($B$26:$GQ$26,MATCH(146,$B$29:$GQ$29,0))</f>
        <v>0</v>
      </c>
      <c r="ER12">
        <f>INDEX($B$26:$GQ$26,MATCH(147,$B$29:$GQ$29,0))</f>
        <v>0</v>
      </c>
      <c r="ES12">
        <f>INDEX($B$26:$GQ$26,MATCH(148,$B$29:$GQ$29,0))</f>
        <v>0</v>
      </c>
      <c r="ET12">
        <f>INDEX($B$26:$GQ$26,MATCH(149,$B$29:$GQ$29,0))</f>
        <v>0</v>
      </c>
      <c r="EU12">
        <f>INDEX($B$26:$GQ$26,MATCH(150,$B$29:$GQ$29,0))</f>
        <v>0</v>
      </c>
      <c r="EV12">
        <f>INDEX($B$26:$GQ$26,MATCH(151,$B$29:$GQ$29,0))</f>
        <v>0</v>
      </c>
      <c r="EW12">
        <f>INDEX($B$26:$GQ$26,MATCH(152,$B$29:$GQ$29,0))</f>
        <v>0</v>
      </c>
      <c r="EX12">
        <f>INDEX($B$26:$GQ$26,MATCH(153,$B$29:$GQ$29,0))</f>
        <v>0</v>
      </c>
      <c r="EY12">
        <f>INDEX($B$26:$GQ$26,MATCH(154,$B$29:$GQ$29,0))</f>
        <v>0</v>
      </c>
      <c r="EZ12">
        <f>INDEX($B$26:$GQ$26,MATCH(155,$B$29:$GQ$29,0))</f>
        <v>0</v>
      </c>
      <c r="FA12">
        <f>INDEX($B$26:$GQ$26,MATCH(156,$B$29:$GQ$29,0))</f>
        <v>0</v>
      </c>
      <c r="FB12">
        <f>INDEX($B$26:$GQ$26,MATCH(157,$B$29:$GQ$29,0))</f>
        <v>0</v>
      </c>
      <c r="FC12">
        <f>INDEX($B$26:$GQ$26,MATCH(158,$B$29:$GQ$29,0))</f>
        <v>0</v>
      </c>
      <c r="FD12">
        <f>INDEX($B$26:$GQ$26,MATCH(159,$B$29:$GQ$29,0))</f>
        <v>0</v>
      </c>
      <c r="FE12">
        <f>INDEX($B$26:$GQ$26,MATCH(160,$B$29:$GQ$29,0))</f>
        <v>0</v>
      </c>
      <c r="FF12">
        <f>INDEX($B$26:$GQ$26,MATCH(161,$B$29:$GQ$29,0))</f>
        <v>0</v>
      </c>
      <c r="FG12">
        <f>INDEX($B$26:$GQ$26,MATCH(162,$B$29:$GQ$29,0))</f>
        <v>0</v>
      </c>
      <c r="FH12">
        <f>INDEX($B$26:$GQ$26,MATCH(163,$B$29:$GQ$29,0))</f>
        <v>0</v>
      </c>
      <c r="FI12">
        <f>INDEX($B$26:$GQ$26,MATCH(164,$B$29:$GQ$29,0))</f>
        <v>0</v>
      </c>
      <c r="FJ12">
        <f>INDEX($B$26:$GQ$26,MATCH(165,$B$29:$GQ$29,0))</f>
        <v>0</v>
      </c>
      <c r="FK12">
        <f>INDEX($B$26:$GQ$26,MATCH(166,$B$29:$GQ$29,0))</f>
        <v>0</v>
      </c>
      <c r="FL12">
        <f>INDEX($B$26:$GQ$26,MATCH(167,$B$29:$GQ$29,0))</f>
        <v>0</v>
      </c>
      <c r="FM12">
        <f>INDEX($B$26:$GQ$26,MATCH(168,$B$29:$GQ$29,0))</f>
        <v>0</v>
      </c>
      <c r="FN12">
        <f>INDEX($B$26:$GQ$26,MATCH(169,$B$29:$GQ$29,0))</f>
        <v>0</v>
      </c>
      <c r="FO12">
        <f>INDEX($B$26:$GQ$26,MATCH(170,$B$29:$GQ$29,0))</f>
        <v>0</v>
      </c>
      <c r="FP12">
        <f>INDEX($B$26:$GQ$26,MATCH(171,$B$29:$GQ$29,0))</f>
        <v>0</v>
      </c>
      <c r="FQ12">
        <f>INDEX($B$26:$GQ$26,MATCH(172,$B$29:$GQ$29,0))</f>
        <v>0</v>
      </c>
      <c r="FR12">
        <f>INDEX($B$26:$GQ$26,MATCH(173,$B$29:$GQ$29,0))</f>
        <v>0</v>
      </c>
      <c r="FS12">
        <f>INDEX($B$26:$GQ$26,MATCH(174,$B$29:$GQ$29,0))</f>
        <v>0</v>
      </c>
      <c r="FT12">
        <f>INDEX($B$26:$GQ$26,MATCH(175,$B$29:$GQ$29,0))</f>
        <v>0</v>
      </c>
      <c r="FU12">
        <f>INDEX($B$26:$GQ$26,MATCH(176,$B$29:$GQ$29,0))</f>
        <v>0</v>
      </c>
      <c r="FV12">
        <f>INDEX($B$26:$GQ$26,MATCH(177,$B$29:$GQ$29,0))</f>
        <v>0</v>
      </c>
      <c r="FW12">
        <f>INDEX($B$26:$GQ$26,MATCH(178,$B$29:$GQ$29,0))</f>
        <v>0</v>
      </c>
      <c r="FX12">
        <f>INDEX($B$26:$GQ$26,MATCH(179,$B$29:$GQ$29,0))</f>
        <v>0</v>
      </c>
      <c r="FY12">
        <f>INDEX($B$26:$GQ$26,MATCH(180,$B$29:$GQ$29,0))</f>
        <v>0</v>
      </c>
      <c r="FZ12">
        <f>INDEX($B$26:$GQ$26,MATCH(181,$B$29:$GQ$29,0))</f>
        <v>0</v>
      </c>
      <c r="GA12">
        <f>INDEX($B$26:$GQ$26,MATCH(182,$B$29:$GQ$29,0))</f>
        <v>0</v>
      </c>
      <c r="GB12">
        <f>INDEX($B$26:$GQ$26,MATCH(183,$B$29:$GQ$29,0))</f>
        <v>0</v>
      </c>
      <c r="GC12">
        <f>INDEX($B$26:$GQ$26,MATCH(184,$B$29:$GQ$29,0))</f>
        <v>0</v>
      </c>
      <c r="GD12">
        <f>INDEX($B$26:$GQ$26,MATCH(185,$B$29:$GQ$29,0))</f>
        <v>0</v>
      </c>
      <c r="GE12">
        <f>INDEX($B$26:$GQ$26,MATCH(186,$B$29:$GQ$29,0))</f>
        <v>0</v>
      </c>
      <c r="GF12">
        <f>INDEX($B$26:$GQ$26,MATCH(187,$B$29:$GQ$29,0))</f>
        <v>0</v>
      </c>
      <c r="GG12">
        <f>INDEX($B$26:$GQ$26,MATCH(188,$B$29:$GQ$29,0))</f>
        <v>0</v>
      </c>
      <c r="GH12">
        <f>INDEX($B$26:$GQ$26,MATCH(189,$B$29:$GQ$29,0))</f>
        <v>0</v>
      </c>
      <c r="GI12">
        <f>INDEX($B$26:$GQ$26,MATCH(190,$B$29:$GQ$29,0))</f>
        <v>0</v>
      </c>
      <c r="GJ12">
        <f>INDEX($B$26:$GQ$26,MATCH(191,$B$29:$GQ$29,0))</f>
        <v>0</v>
      </c>
      <c r="GK12">
        <f>INDEX($B$26:$GQ$26,MATCH(192,$B$29:$GQ$29,0))</f>
        <v>0</v>
      </c>
      <c r="GL12">
        <f>INDEX($B$26:$GQ$26,MATCH(193,$B$29:$GQ$29,0))</f>
        <v>0</v>
      </c>
      <c r="GM12">
        <f>INDEX($B$26:$GQ$26,MATCH(194,$B$29:$GQ$29,0))</f>
        <v>0</v>
      </c>
      <c r="GN12">
        <f>INDEX($B$26:$GQ$26,MATCH(195,$B$29:$GQ$29,0))</f>
        <v>0</v>
      </c>
      <c r="GO12">
        <f>INDEX($B$26:$GQ$26,MATCH(196,$B$29:$GQ$29,0))</f>
        <v>0</v>
      </c>
      <c r="GP12">
        <f>INDEX($B$26:$GQ$26,MATCH(197,$B$29:$GQ$29,0))</f>
        <v>0</v>
      </c>
      <c r="GQ12">
        <f>INDEX($B$26:$GQ$26,MATCH(198,$B$29:$GQ$29,0))</f>
        <v>0</v>
      </c>
      <c r="GR12">
        <f>INDEX($GR$26:$HC$26,MATCH(1,$GR$30:$HC$30,0))</f>
        <v>1.428521231741626E-3</v>
      </c>
      <c r="GS12">
        <f>INDEX($GR$26:$HC$26,MATCH(2,$GR$30:$HC$30,0))</f>
        <v>4.6144053728264132E-3</v>
      </c>
      <c r="GT12">
        <f>INDEX($GR$26:$HC$26,MATCH(3,$GR$30:$HC$30,0))</f>
        <v>5.3495863182867866E-4</v>
      </c>
      <c r="GU12">
        <f>INDEX($GR$26:$HC$26,MATCH(4,$GR$30:$HC$30,0))</f>
        <v>1.002141436984689E-2</v>
      </c>
      <c r="GV12">
        <f>INDEX($GR$26:$HC$26,MATCH(5,$GR$30:$HC$30,0))</f>
        <v>1.0463903961550371E-3</v>
      </c>
      <c r="GW12">
        <f>INDEX($GR$26:$HC$26,MATCH(6,$GR$30:$HC$30,0))</f>
        <v>1.161744497667206E-3</v>
      </c>
      <c r="GX12">
        <f>INDEX($GR$26:$HC$26,MATCH(7,$GR$30:$HC$30,0))</f>
        <v>7.3017975360684811E-4</v>
      </c>
      <c r="GY12">
        <f>INDEX($GR$26:$HC$26,MATCH(8,$GR$30:$HC$30,0))</f>
        <v>6.3447668097798768E-4</v>
      </c>
      <c r="GZ12">
        <f>INDEX($GR$26:$HC$26,MATCH(9,$GR$30:$HC$30,0))</f>
        <v>1.720300716168097E-3</v>
      </c>
      <c r="HA12">
        <f>INDEX($GR$26:$HC$26,MATCH(10,$GR$30:$HC$30,0))</f>
        <v>0</v>
      </c>
      <c r="HB12">
        <f>INDEX($GR$26:$HC$26,MATCH(11,$GR$30:$HC$30,0))</f>
        <v>1.8377273929210669E-3</v>
      </c>
      <c r="HC12">
        <f>INDEX($GR$26:$HC$26,MATCH(12,$GR$30:$HC$30,0))</f>
        <v>2.1963210791666279E-3</v>
      </c>
    </row>
    <row r="13" spans="1:211" x14ac:dyDescent="0.45">
      <c r="A13" s="1" t="s">
        <v>1</v>
      </c>
      <c r="B13">
        <f>INDEX($B$27:$GQ$27,MATCH(1,$B$29:$GQ$29,0))</f>
        <v>1.2952887295732169E-2</v>
      </c>
      <c r="C13">
        <f>INDEX($B$27:$GQ$27,MATCH(2,$B$29:$GQ$29,0))</f>
        <v>8.4288188131200203E-3</v>
      </c>
      <c r="D13">
        <f>INDEX($B$27:$GQ$27,MATCH(3,$B$29:$GQ$29,0))</f>
        <v>7.2481404042144494E-3</v>
      </c>
      <c r="E13">
        <f>INDEX($B$27:$GQ$27,MATCH(4,$B$29:$GQ$29,0))</f>
        <v>4.6888521808560049E-3</v>
      </c>
      <c r="F13">
        <f>INDEX($B$27:$GQ$27,MATCH(5,$B$29:$GQ$29,0))</f>
        <v>3.54574306520855E-3</v>
      </c>
      <c r="G13">
        <f>INDEX($B$27:$GQ$27,MATCH(6,$B$29:$GQ$29,0))</f>
        <v>3.3773252795549148E-3</v>
      </c>
      <c r="H13">
        <f>INDEX($B$27:$GQ$27,MATCH(7,$B$29:$GQ$29,0))</f>
        <v>2.7234830502559999E-3</v>
      </c>
      <c r="I13">
        <f>INDEX($B$27:$GQ$27,MATCH(8,$B$29:$GQ$29,0))</f>
        <v>2.6218567551446171E-3</v>
      </c>
      <c r="J13">
        <f>INDEX($B$27:$GQ$27,MATCH(9,$B$29:$GQ$29,0))</f>
        <v>2.5769571121197288E-3</v>
      </c>
      <c r="K13">
        <f>INDEX($B$27:$GQ$27,MATCH(10,$B$29:$GQ$29,0))</f>
        <v>2.1966771856100731E-3</v>
      </c>
      <c r="L13">
        <f>INDEX($B$27:$GQ$27,MATCH(11,$B$29:$GQ$29,0))</f>
        <v>1.904858094604859E-3</v>
      </c>
      <c r="M13">
        <f>INDEX($B$27:$GQ$27,MATCH(12,$B$29:$GQ$29,0))</f>
        <v>1.891783075400958E-3</v>
      </c>
      <c r="N13">
        <f>INDEX($B$27:$GQ$27,MATCH(13,$B$29:$GQ$29,0))</f>
        <v>1.7490898335556101E-3</v>
      </c>
      <c r="O13">
        <f>INDEX($B$27:$GQ$27,MATCH(14,$B$29:$GQ$29,0))</f>
        <v>1.5727356809320549E-3</v>
      </c>
      <c r="P13">
        <f>INDEX($B$27:$GQ$27,MATCH(15,$B$29:$GQ$29,0))</f>
        <v>1.151134786322827E-3</v>
      </c>
      <c r="Q13">
        <f>INDEX($B$27:$GQ$27,MATCH(16,$B$29:$GQ$29,0))</f>
        <v>1.149873355060792E-3</v>
      </c>
      <c r="R13">
        <f>INDEX($B$27:$GQ$27,MATCH(17,$B$29:$GQ$29,0))</f>
        <v>1.055514778370956E-3</v>
      </c>
      <c r="S13">
        <f>INDEX($B$27:$GQ$27,MATCH(18,$B$29:$GQ$29,0))</f>
        <v>9.8424142614902087E-4</v>
      </c>
      <c r="T13">
        <f>INDEX($B$27:$GQ$27,MATCH(19,$B$29:$GQ$29,0))</f>
        <v>9.7921650819161161E-4</v>
      </c>
      <c r="U13">
        <f>INDEX($B$27:$GQ$27,MATCH(20,$B$29:$GQ$29,0))</f>
        <v>8.6243090598336718E-4</v>
      </c>
      <c r="V13">
        <f>INDEX($B$27:$GQ$27,MATCH(21,$B$29:$GQ$29,0))</f>
        <v>8.4052534684841691E-4</v>
      </c>
      <c r="W13">
        <f>INDEX($B$27:$GQ$27,MATCH(22,$B$29:$GQ$29,0))</f>
        <v>7.7873411969247501E-4</v>
      </c>
      <c r="X13">
        <f>INDEX($B$27:$GQ$27,MATCH(23,$B$29:$GQ$29,0))</f>
        <v>7.343858389345124E-4</v>
      </c>
      <c r="Y13">
        <f>INDEX($B$27:$GQ$27,MATCH(24,$B$29:$GQ$29,0))</f>
        <v>5.6224511795983554E-4</v>
      </c>
      <c r="Z13">
        <f>INDEX($B$27:$GQ$27,MATCH(25,$B$29:$GQ$29,0))</f>
        <v>5.5228380091278356E-4</v>
      </c>
      <c r="AA13">
        <f>INDEX($B$27:$GQ$27,MATCH(26,$B$29:$GQ$29,0))</f>
        <v>5.2622687027319083E-4</v>
      </c>
      <c r="AB13">
        <f>INDEX($B$27:$GQ$27,MATCH(27,$B$29:$GQ$29,0))</f>
        <v>4.5215244397993001E-4</v>
      </c>
      <c r="AC13">
        <f>INDEX($B$27:$GQ$27,MATCH(28,$B$29:$GQ$29,0))</f>
        <v>4.2080113688512498E-4</v>
      </c>
      <c r="AD13">
        <f>INDEX($B$27:$GQ$27,MATCH(29,$B$29:$GQ$29,0))</f>
        <v>4.0340714017079088E-4</v>
      </c>
      <c r="AE13">
        <f>INDEX($B$27:$GQ$27,MATCH(30,$B$29:$GQ$29,0))</f>
        <v>3.6621485968933427E-4</v>
      </c>
      <c r="AF13">
        <f>INDEX($B$27:$GQ$27,MATCH(31,$B$29:$GQ$29,0))</f>
        <v>3.6335916505282921E-4</v>
      </c>
      <c r="AG13">
        <f>INDEX($B$27:$GQ$27,MATCH(32,$B$29:$GQ$29,0))</f>
        <v>3.5903143594524838E-4</v>
      </c>
      <c r="AH13">
        <f>INDEX($B$27:$GQ$27,MATCH(33,$B$29:$GQ$29,0))</f>
        <v>3.527885860394709E-4</v>
      </c>
      <c r="AI13">
        <f>INDEX($B$27:$GQ$27,MATCH(34,$B$29:$GQ$29,0))</f>
        <v>2.8878557097412671E-4</v>
      </c>
      <c r="AJ13">
        <f>INDEX($B$27:$GQ$27,MATCH(35,$B$29:$GQ$29,0))</f>
        <v>2.7550137079149992E-4</v>
      </c>
      <c r="AK13">
        <f>INDEX($B$27:$GQ$27,MATCH(36,$B$29:$GQ$29,0))</f>
        <v>2.7408878993035851E-4</v>
      </c>
      <c r="AL13">
        <f>INDEX($B$27:$GQ$27,MATCH(37,$B$29:$GQ$29,0))</f>
        <v>2.7193588417981888E-4</v>
      </c>
      <c r="AM13">
        <f>INDEX($B$27:$GQ$27,MATCH(38,$B$29:$GQ$29,0))</f>
        <v>2.4578418661577169E-4</v>
      </c>
      <c r="AN13">
        <f>INDEX($B$27:$GQ$27,MATCH(39,$B$29:$GQ$29,0))</f>
        <v>2.0856711645815291E-4</v>
      </c>
      <c r="AO13">
        <f>INDEX($B$27:$GQ$27,MATCH(40,$B$29:$GQ$29,0))</f>
        <v>1.9965255715454519E-4</v>
      </c>
      <c r="AP13">
        <f>INDEX($B$27:$GQ$27,MATCH(41,$B$29:$GQ$29,0))</f>
        <v>1.8363809045188781E-4</v>
      </c>
      <c r="AQ13">
        <f>INDEX($B$27:$GQ$27,MATCH(42,$B$29:$GQ$29,0))</f>
        <v>1.805382244967762E-4</v>
      </c>
      <c r="AR13">
        <f>INDEX($B$27:$GQ$27,MATCH(43,$B$29:$GQ$29,0))</f>
        <v>1.501438734777082E-4</v>
      </c>
      <c r="AS13">
        <f>INDEX($B$27:$GQ$27,MATCH(44,$B$29:$GQ$29,0))</f>
        <v>1.466729191706023E-4</v>
      </c>
      <c r="AT13">
        <f>INDEX($B$27:$GQ$27,MATCH(45,$B$29:$GQ$29,0))</f>
        <v>1.2852708803687049E-4</v>
      </c>
      <c r="AU13">
        <f>INDEX($B$27:$GQ$27,MATCH(46,$B$29:$GQ$29,0))</f>
        <v>1.2413520271613391E-4</v>
      </c>
      <c r="AV13">
        <f>INDEX($B$27:$GQ$27,MATCH(47,$B$29:$GQ$29,0))</f>
        <v>1.2372759078856411E-4</v>
      </c>
      <c r="AW13">
        <f>INDEX($B$27:$GQ$27,MATCH(48,$B$29:$GQ$29,0))</f>
        <v>1.1719810324876841E-4</v>
      </c>
      <c r="AX13">
        <f>INDEX($B$27:$GQ$27,MATCH(49,$B$29:$GQ$29,0))</f>
        <v>1.157679942259365E-4</v>
      </c>
      <c r="AY13">
        <f>INDEX($B$27:$GQ$27,MATCH(50,$B$29:$GQ$29,0))</f>
        <v>1.138879991885836E-4</v>
      </c>
      <c r="AZ13">
        <f>INDEX($B$27:$GQ$27,MATCH(51,$B$29:$GQ$29,0))</f>
        <v>1.0845726572328309E-4</v>
      </c>
      <c r="BA13">
        <f>INDEX($B$27:$GQ$27,MATCH(52,$B$29:$GQ$29,0))</f>
        <v>1.079023626257933E-4</v>
      </c>
      <c r="BB13">
        <f>INDEX($B$27:$GQ$27,MATCH(53,$B$29:$GQ$29,0))</f>
        <v>9.643095467797793E-5</v>
      </c>
      <c r="BC13">
        <f>INDEX($B$27:$GQ$27,MATCH(54,$B$29:$GQ$29,0))</f>
        <v>9.3896433233037874E-5</v>
      </c>
      <c r="BD13">
        <f>INDEX($B$27:$GQ$27,MATCH(55,$B$29:$GQ$29,0))</f>
        <v>9.288811221144975E-5</v>
      </c>
      <c r="BE13">
        <f>INDEX($B$27:$GQ$27,MATCH(56,$B$29:$GQ$29,0))</f>
        <v>9.2096727657760253E-5</v>
      </c>
      <c r="BF13">
        <f>INDEX($B$27:$GQ$27,MATCH(57,$B$29:$GQ$29,0))</f>
        <v>8.8382332151593456E-5</v>
      </c>
      <c r="BG13">
        <f>INDEX($B$27:$GQ$27,MATCH(58,$B$29:$GQ$29,0))</f>
        <v>8.289084978869502E-5</v>
      </c>
      <c r="BH13">
        <f>INDEX($B$27:$GQ$27,MATCH(59,$B$29:$GQ$29,0))</f>
        <v>7.7504396004535419E-5</v>
      </c>
      <c r="BI13">
        <f>INDEX($B$27:$GQ$27,MATCH(60,$B$29:$GQ$29,0))</f>
        <v>7.3734045596232311E-5</v>
      </c>
      <c r="BJ13">
        <f>INDEX($B$27:$GQ$27,MATCH(61,$B$29:$GQ$29,0))</f>
        <v>7.3038934354977233E-5</v>
      </c>
      <c r="BK13">
        <f>INDEX($B$27:$GQ$27,MATCH(62,$B$29:$GQ$29,0))</f>
        <v>6.6446368207523872E-5</v>
      </c>
      <c r="BL13">
        <f>INDEX($B$27:$GQ$27,MATCH(63,$B$29:$GQ$29,0))</f>
        <v>6.522959828128383E-5</v>
      </c>
      <c r="BM13">
        <f>INDEX($B$27:$GQ$27,MATCH(64,$B$29:$GQ$29,0))</f>
        <v>6.4474778928952635E-5</v>
      </c>
      <c r="BN13">
        <f>INDEX($B$27:$GQ$27,MATCH(65,$B$29:$GQ$29,0))</f>
        <v>6.3744866187412721E-5</v>
      </c>
      <c r="BO13">
        <f>INDEX($B$27:$GQ$27,MATCH(66,$B$29:$GQ$29,0))</f>
        <v>6.2616874841656716E-5</v>
      </c>
      <c r="BP13">
        <f>INDEX($B$27:$GQ$27,MATCH(67,$B$29:$GQ$29,0))</f>
        <v>5.7591442628548463E-5</v>
      </c>
      <c r="BQ13">
        <f>INDEX($B$27:$GQ$27,MATCH(68,$B$29:$GQ$29,0))</f>
        <v>5.0588375227961323E-5</v>
      </c>
      <c r="BR13">
        <f>INDEX($B$27:$GQ$27,MATCH(69,$B$29:$GQ$29,0))</f>
        <v>4.7284508079068438E-5</v>
      </c>
      <c r="BS13">
        <f>INDEX($B$27:$GQ$27,MATCH(70,$B$29:$GQ$29,0))</f>
        <v>4.6972704228090058E-5</v>
      </c>
      <c r="BT13">
        <f>INDEX($B$27:$GQ$27,MATCH(71,$B$29:$GQ$29,0))</f>
        <v>4.5010788764489952E-5</v>
      </c>
      <c r="BU13">
        <f>INDEX($B$27:$GQ$27,MATCH(72,$B$29:$GQ$29,0))</f>
        <v>4.0316809334604487E-5</v>
      </c>
      <c r="BV13">
        <f>INDEX($B$27:$GQ$27,MATCH(73,$B$29:$GQ$29,0))</f>
        <v>3.9648264049774142E-5</v>
      </c>
      <c r="BW13">
        <f>INDEX($B$27:$GQ$27,MATCH(74,$B$29:$GQ$29,0))</f>
        <v>3.9039756852125599E-5</v>
      </c>
      <c r="BX13">
        <f>INDEX($B$27:$GQ$27,MATCH(75,$B$29:$GQ$29,0))</f>
        <v>3.8537903221054238E-5</v>
      </c>
      <c r="BY13">
        <f>INDEX($B$27:$GQ$27,MATCH(76,$B$29:$GQ$29,0))</f>
        <v>3.8133958995801433E-5</v>
      </c>
      <c r="BZ13">
        <f>INDEX($B$27:$GQ$27,MATCH(77,$B$29:$GQ$29,0))</f>
        <v>1.9916044977670511E-5</v>
      </c>
      <c r="CA13">
        <f>INDEX($B$27:$GQ$27,MATCH(78,$B$29:$GQ$29,0))</f>
        <v>1.510264459768501E-5</v>
      </c>
      <c r="CB13">
        <f>INDEX($B$27:$GQ$27,MATCH(79,$B$29:$GQ$29,0))</f>
        <v>1.455277199448654E-5</v>
      </c>
      <c r="CC13">
        <f>INDEX($B$27:$GQ$27,MATCH(80,$B$29:$GQ$29,0))</f>
        <v>1.206019191416324E-5</v>
      </c>
      <c r="CD13">
        <f>INDEX($B$27:$GQ$27,MATCH(81,$B$29:$GQ$29,0))</f>
        <v>1.203890466504284E-5</v>
      </c>
      <c r="CE13">
        <f>INDEX($B$27:$GQ$27,MATCH(82,$B$29:$GQ$29,0))</f>
        <v>1.187437635029187E-5</v>
      </c>
      <c r="CF13">
        <f>INDEX($B$27:$GQ$27,MATCH(83,$B$29:$GQ$29,0))</f>
        <v>1.096079308200399E-5</v>
      </c>
      <c r="CG13">
        <f>INDEX($B$27:$GQ$27,MATCH(84,$B$29:$GQ$29,0))</f>
        <v>9.2302207583830819E-6</v>
      </c>
      <c r="CH13">
        <f>INDEX($B$27:$GQ$27,MATCH(85,$B$29:$GQ$29,0))</f>
        <v>9.0049119285072533E-6</v>
      </c>
      <c r="CI13">
        <f>INDEX($B$27:$GQ$27,MATCH(86,$B$29:$GQ$29,0))</f>
        <v>8.9210172509458193E-6</v>
      </c>
      <c r="CJ13">
        <f>INDEX($B$27:$GQ$27,MATCH(87,$B$29:$GQ$29,0))</f>
        <v>8.1065582180729671E-6</v>
      </c>
      <c r="CK13">
        <f>INDEX($B$27:$GQ$27,MATCH(88,$B$29:$GQ$29,0))</f>
        <v>7.7800833216205315E-6</v>
      </c>
      <c r="CL13">
        <f>INDEX($B$27:$GQ$27,MATCH(89,$B$29:$GQ$29,0))</f>
        <v>7.4725514510472869E-6</v>
      </c>
      <c r="CM13">
        <f>INDEX($B$27:$GQ$27,MATCH(90,$B$29:$GQ$29,0))</f>
        <v>7.3762029761936872E-6</v>
      </c>
      <c r="CN13">
        <f>INDEX($B$27:$GQ$27,MATCH(91,$B$29:$GQ$29,0))</f>
        <v>6.9904216843022056E-6</v>
      </c>
      <c r="CO13">
        <f>INDEX($B$27:$GQ$27,MATCH(92,$B$29:$GQ$29,0))</f>
        <v>5.6169257047932671E-6</v>
      </c>
      <c r="CP13">
        <f>INDEX($B$27:$GQ$27,MATCH(93,$B$29:$GQ$29,0))</f>
        <v>5.3890008024061588E-6</v>
      </c>
      <c r="CQ13">
        <f>INDEX($B$27:$GQ$27,MATCH(94,$B$29:$GQ$29,0))</f>
        <v>5.0435946634600754E-6</v>
      </c>
      <c r="CR13">
        <f>INDEX($B$27:$GQ$27,MATCH(95,$B$29:$GQ$29,0))</f>
        <v>4.6549843910778958E-6</v>
      </c>
      <c r="CS13">
        <f>INDEX($B$27:$GQ$27,MATCH(96,$B$29:$GQ$29,0))</f>
        <v>4.4432985629583296E-6</v>
      </c>
      <c r="CT13">
        <f>INDEX($B$27:$GQ$27,MATCH(97,$B$29:$GQ$29,0))</f>
        <v>3.9668682496440097E-6</v>
      </c>
      <c r="CU13">
        <f>INDEX($B$27:$GQ$27,MATCH(98,$B$29:$GQ$29,0))</f>
        <v>3.3867164312996029E-6</v>
      </c>
      <c r="CV13">
        <f>INDEX($B$27:$GQ$27,MATCH(99,$B$29:$GQ$29,0))</f>
        <v>3.380716936217832E-6</v>
      </c>
      <c r="CW13">
        <f>INDEX($B$27:$GQ$27,MATCH(100,$B$29:$GQ$29,0))</f>
        <v>2.9392646191453039E-6</v>
      </c>
      <c r="CX13">
        <f>INDEX($B$27:$GQ$27,MATCH(101,$B$29:$GQ$29,0))</f>
        <v>2.8234735192704338E-6</v>
      </c>
      <c r="CY13">
        <f>INDEX($B$27:$GQ$27,MATCH(102,$B$29:$GQ$29,0))</f>
        <v>2.5972385012756831E-6</v>
      </c>
      <c r="CZ13">
        <f>INDEX($B$27:$GQ$27,MATCH(103,$B$29:$GQ$29,0))</f>
        <v>2.1542137557657729E-6</v>
      </c>
      <c r="DA13">
        <f>INDEX($B$27:$GQ$27,MATCH(104,$B$29:$GQ$29,0))</f>
        <v>2.1057627165147611E-6</v>
      </c>
      <c r="DB13">
        <f>INDEX($B$27:$GQ$27,MATCH(105,$B$29:$GQ$29,0))</f>
        <v>1.8624355836427051E-6</v>
      </c>
      <c r="DC13">
        <f>INDEX($B$27:$GQ$27,MATCH(106,$B$29:$GQ$29,0))</f>
        <v>1.8186548869121959E-6</v>
      </c>
      <c r="DD13">
        <f>INDEX($B$27:$GQ$27,MATCH(107,$B$29:$GQ$29,0))</f>
        <v>1.619805396166427E-6</v>
      </c>
      <c r="DE13">
        <f>INDEX($B$27:$GQ$27,MATCH(108,$B$29:$GQ$29,0))</f>
        <v>1.533821797214747E-6</v>
      </c>
      <c r="DF13">
        <f>INDEX($B$27:$GQ$27,MATCH(109,$B$29:$GQ$29,0))</f>
        <v>1.0709898353657271E-6</v>
      </c>
      <c r="DG13">
        <f>INDEX($B$27:$GQ$27,MATCH(110,$B$29:$GQ$29,0))</f>
        <v>8.1380040873026018E-7</v>
      </c>
      <c r="DH13">
        <f>INDEX($B$27:$GQ$27,MATCH(111,$B$29:$GQ$29,0))</f>
        <v>6.4353007007756649E-7</v>
      </c>
      <c r="DI13">
        <f>INDEX($B$27:$GQ$27,MATCH(112,$B$29:$GQ$29,0))</f>
        <v>5.9635640571394391E-7</v>
      </c>
      <c r="DJ13">
        <f>INDEX($B$27:$GQ$27,MATCH(113,$B$29:$GQ$29,0))</f>
        <v>5.716662296020155E-7</v>
      </c>
      <c r="DK13">
        <f>INDEX($B$27:$GQ$27,MATCH(114,$B$29:$GQ$29,0))</f>
        <v>5.5523148544315511E-7</v>
      </c>
      <c r="DL13">
        <f>INDEX($B$27:$GQ$27,MATCH(115,$B$29:$GQ$29,0))</f>
        <v>3.797748934588472E-7</v>
      </c>
      <c r="DM13">
        <f>INDEX($B$27:$GQ$27,MATCH(116,$B$29:$GQ$29,0))</f>
        <v>3.4588973639695392E-7</v>
      </c>
      <c r="DN13">
        <f>INDEX($B$27:$GQ$27,MATCH(117,$B$29:$GQ$29,0))</f>
        <v>3.2481945933741983E-7</v>
      </c>
      <c r="DO13">
        <f>INDEX($B$27:$GQ$27,MATCH(118,$B$29:$GQ$29,0))</f>
        <v>1.8925917083819381E-7</v>
      </c>
      <c r="DP13">
        <f>INDEX($B$27:$GQ$27,MATCH(119,$B$29:$GQ$29,0))</f>
        <v>1.6144703997546369E-7</v>
      </c>
      <c r="DQ13">
        <f>INDEX($B$27:$GQ$27,MATCH(120,$B$29:$GQ$29,0))</f>
        <v>1.464549694441337E-7</v>
      </c>
      <c r="DR13">
        <f>INDEX($B$27:$GQ$27,MATCH(121,$B$29:$GQ$29,0))</f>
        <v>1.057769062348744E-7</v>
      </c>
      <c r="DS13">
        <f>INDEX($B$27:$GQ$27,MATCH(122,$B$29:$GQ$29,0))</f>
        <v>1.051372408775937E-7</v>
      </c>
      <c r="DT13">
        <f>INDEX($B$27:$GQ$27,MATCH(123,$B$29:$GQ$29,0))</f>
        <v>9.6587422115722831E-8</v>
      </c>
      <c r="DU13">
        <f>INDEX($B$27:$GQ$27,MATCH(124,$B$29:$GQ$29,0))</f>
        <v>6.7152434845612755E-8</v>
      </c>
      <c r="DV13">
        <f>INDEX($B$27:$GQ$27,MATCH(125,$B$29:$GQ$29,0))</f>
        <v>4.9863366624269382E-8</v>
      </c>
      <c r="DW13">
        <f>INDEX($B$27:$GQ$27,MATCH(126,$B$29:$GQ$29,0))</f>
        <v>3.6384998618586723E-8</v>
      </c>
      <c r="DX13">
        <f>INDEX($B$27:$GQ$27,MATCH(127,$B$29:$GQ$29,0))</f>
        <v>7.179098216575194E-9</v>
      </c>
      <c r="DY13">
        <f>INDEX($B$27:$GQ$27,MATCH(128,$B$29:$GQ$29,0))</f>
        <v>4.4927604543668989E-9</v>
      </c>
      <c r="DZ13">
        <f>INDEX($B$27:$GQ$27,MATCH(129,$B$29:$GQ$29,0))</f>
        <v>2.8136249470414202E-9</v>
      </c>
      <c r="EA13">
        <f>INDEX($B$27:$GQ$27,MATCH(130,$B$29:$GQ$29,0))</f>
        <v>2.2325008094815459E-9</v>
      </c>
      <c r="EB13">
        <f>INDEX($B$27:$GQ$27,MATCH(131,$B$29:$GQ$29,0))</f>
        <v>9.153353202794548E-10</v>
      </c>
      <c r="EC13">
        <f>INDEX($B$27:$GQ$27,MATCH(132,$B$29:$GQ$29,0))</f>
        <v>1.8752397975531691E-10</v>
      </c>
      <c r="ED13">
        <f>INDEX($B$27:$GQ$27,MATCH(133,$B$29:$GQ$29,0))</f>
        <v>2.046999847253279E-11</v>
      </c>
      <c r="EE13">
        <f>INDEX($B$27:$GQ$27,MATCH(134,$B$29:$GQ$29,0))</f>
        <v>0</v>
      </c>
      <c r="EF13">
        <f>INDEX($B$27:$GQ$27,MATCH(135,$B$29:$GQ$29,0))</f>
        <v>0</v>
      </c>
      <c r="EG13">
        <f>INDEX($B$27:$GQ$27,MATCH(136,$B$29:$GQ$29,0))</f>
        <v>0</v>
      </c>
      <c r="EH13">
        <f>INDEX($B$27:$GQ$27,MATCH(137,$B$29:$GQ$29,0))</f>
        <v>0</v>
      </c>
      <c r="EI13">
        <f>INDEX($B$27:$GQ$27,MATCH(138,$B$29:$GQ$29,0))</f>
        <v>0</v>
      </c>
      <c r="EJ13">
        <f>INDEX($B$27:$GQ$27,MATCH(139,$B$29:$GQ$29,0))</f>
        <v>0</v>
      </c>
      <c r="EK13">
        <f>INDEX($B$27:$GQ$27,MATCH(140,$B$29:$GQ$29,0))</f>
        <v>0</v>
      </c>
      <c r="EL13">
        <f>INDEX($B$27:$GQ$27,MATCH(141,$B$29:$GQ$29,0))</f>
        <v>0</v>
      </c>
      <c r="EM13">
        <f>INDEX($B$27:$GQ$27,MATCH(142,$B$29:$GQ$29,0))</f>
        <v>0</v>
      </c>
      <c r="EN13">
        <f>INDEX($B$27:$GQ$27,MATCH(143,$B$29:$GQ$29,0))</f>
        <v>0</v>
      </c>
      <c r="EO13">
        <f>INDEX($B$27:$GQ$27,MATCH(144,$B$29:$GQ$29,0))</f>
        <v>0</v>
      </c>
      <c r="EP13">
        <f>INDEX($B$27:$GQ$27,MATCH(145,$B$29:$GQ$29,0))</f>
        <v>0</v>
      </c>
      <c r="EQ13">
        <f>INDEX($B$27:$GQ$27,MATCH(146,$B$29:$GQ$29,0))</f>
        <v>0</v>
      </c>
      <c r="ER13">
        <f>INDEX($B$27:$GQ$27,MATCH(147,$B$29:$GQ$29,0))</f>
        <v>0</v>
      </c>
      <c r="ES13">
        <f>INDEX($B$27:$GQ$27,MATCH(148,$B$29:$GQ$29,0))</f>
        <v>0</v>
      </c>
      <c r="ET13">
        <f>INDEX($B$27:$GQ$27,MATCH(149,$B$29:$GQ$29,0))</f>
        <v>0</v>
      </c>
      <c r="EU13">
        <f>INDEX($B$27:$GQ$27,MATCH(150,$B$29:$GQ$29,0))</f>
        <v>0</v>
      </c>
      <c r="EV13">
        <f>INDEX($B$27:$GQ$27,MATCH(151,$B$29:$GQ$29,0))</f>
        <v>0</v>
      </c>
      <c r="EW13">
        <f>INDEX($B$27:$GQ$27,MATCH(152,$B$29:$GQ$29,0))</f>
        <v>0</v>
      </c>
      <c r="EX13">
        <f>INDEX($B$27:$GQ$27,MATCH(153,$B$29:$GQ$29,0))</f>
        <v>0</v>
      </c>
      <c r="EY13">
        <f>INDEX($B$27:$GQ$27,MATCH(154,$B$29:$GQ$29,0))</f>
        <v>0</v>
      </c>
      <c r="EZ13">
        <f>INDEX($B$27:$GQ$27,MATCH(155,$B$29:$GQ$29,0))</f>
        <v>0</v>
      </c>
      <c r="FA13">
        <f>INDEX($B$27:$GQ$27,MATCH(156,$B$29:$GQ$29,0))</f>
        <v>0</v>
      </c>
      <c r="FB13">
        <f>INDEX($B$27:$GQ$27,MATCH(157,$B$29:$GQ$29,0))</f>
        <v>0</v>
      </c>
      <c r="FC13">
        <f>INDEX($B$27:$GQ$27,MATCH(158,$B$29:$GQ$29,0))</f>
        <v>0</v>
      </c>
      <c r="FD13">
        <f>INDEX($B$27:$GQ$27,MATCH(159,$B$29:$GQ$29,0))</f>
        <v>0</v>
      </c>
      <c r="FE13">
        <f>INDEX($B$27:$GQ$27,MATCH(160,$B$29:$GQ$29,0))</f>
        <v>0</v>
      </c>
      <c r="FF13">
        <f>INDEX($B$27:$GQ$27,MATCH(161,$B$29:$GQ$29,0))</f>
        <v>0</v>
      </c>
      <c r="FG13">
        <f>INDEX($B$27:$GQ$27,MATCH(162,$B$29:$GQ$29,0))</f>
        <v>0</v>
      </c>
      <c r="FH13">
        <f>INDEX($B$27:$GQ$27,MATCH(163,$B$29:$GQ$29,0))</f>
        <v>0</v>
      </c>
      <c r="FI13">
        <f>INDEX($B$27:$GQ$27,MATCH(164,$B$29:$GQ$29,0))</f>
        <v>0</v>
      </c>
      <c r="FJ13">
        <f>INDEX($B$27:$GQ$27,MATCH(165,$B$29:$GQ$29,0))</f>
        <v>0</v>
      </c>
      <c r="FK13">
        <f>INDEX($B$27:$GQ$27,MATCH(166,$B$29:$GQ$29,0))</f>
        <v>0</v>
      </c>
      <c r="FL13">
        <f>INDEX($B$27:$GQ$27,MATCH(167,$B$29:$GQ$29,0))</f>
        <v>0</v>
      </c>
      <c r="FM13">
        <f>INDEX($B$27:$GQ$27,MATCH(168,$B$29:$GQ$29,0))</f>
        <v>0</v>
      </c>
      <c r="FN13">
        <f>INDEX($B$27:$GQ$27,MATCH(169,$B$29:$GQ$29,0))</f>
        <v>0</v>
      </c>
      <c r="FO13">
        <f>INDEX($B$27:$GQ$27,MATCH(170,$B$29:$GQ$29,0))</f>
        <v>0</v>
      </c>
      <c r="FP13">
        <f>INDEX($B$27:$GQ$27,MATCH(171,$B$29:$GQ$29,0))</f>
        <v>0</v>
      </c>
      <c r="FQ13">
        <f>INDEX($B$27:$GQ$27,MATCH(172,$B$29:$GQ$29,0))</f>
        <v>0</v>
      </c>
      <c r="FR13">
        <f>INDEX($B$27:$GQ$27,MATCH(173,$B$29:$GQ$29,0))</f>
        <v>0</v>
      </c>
      <c r="FS13">
        <f>INDEX($B$27:$GQ$27,MATCH(174,$B$29:$GQ$29,0))</f>
        <v>0</v>
      </c>
      <c r="FT13">
        <f>INDEX($B$27:$GQ$27,MATCH(175,$B$29:$GQ$29,0))</f>
        <v>0</v>
      </c>
      <c r="FU13">
        <f>INDEX($B$27:$GQ$27,MATCH(176,$B$29:$GQ$29,0))</f>
        <v>0</v>
      </c>
      <c r="FV13">
        <f>INDEX($B$27:$GQ$27,MATCH(177,$B$29:$GQ$29,0))</f>
        <v>0</v>
      </c>
      <c r="FW13">
        <f>INDEX($B$27:$GQ$27,MATCH(178,$B$29:$GQ$29,0))</f>
        <v>0</v>
      </c>
      <c r="FX13">
        <f>INDEX($B$27:$GQ$27,MATCH(179,$B$29:$GQ$29,0))</f>
        <v>0</v>
      </c>
      <c r="FY13">
        <f>INDEX($B$27:$GQ$27,MATCH(180,$B$29:$GQ$29,0))</f>
        <v>0</v>
      </c>
      <c r="FZ13">
        <f>INDEX($B$27:$GQ$27,MATCH(181,$B$29:$GQ$29,0))</f>
        <v>0</v>
      </c>
      <c r="GA13">
        <f>INDEX($B$27:$GQ$27,MATCH(182,$B$29:$GQ$29,0))</f>
        <v>0</v>
      </c>
      <c r="GB13">
        <f>INDEX($B$27:$GQ$27,MATCH(183,$B$29:$GQ$29,0))</f>
        <v>0</v>
      </c>
      <c r="GC13">
        <f>INDEX($B$27:$GQ$27,MATCH(184,$B$29:$GQ$29,0))</f>
        <v>0</v>
      </c>
      <c r="GD13">
        <f>INDEX($B$27:$GQ$27,MATCH(185,$B$29:$GQ$29,0))</f>
        <v>0</v>
      </c>
      <c r="GE13">
        <f>INDEX($B$27:$GQ$27,MATCH(186,$B$29:$GQ$29,0))</f>
        <v>0</v>
      </c>
      <c r="GF13">
        <f>INDEX($B$27:$GQ$27,MATCH(187,$B$29:$GQ$29,0))</f>
        <v>0</v>
      </c>
      <c r="GG13">
        <f>INDEX($B$27:$GQ$27,MATCH(188,$B$29:$GQ$29,0))</f>
        <v>0</v>
      </c>
      <c r="GH13">
        <f>INDEX($B$27:$GQ$27,MATCH(189,$B$29:$GQ$29,0))</f>
        <v>0</v>
      </c>
      <c r="GI13">
        <f>INDEX($B$27:$GQ$27,MATCH(190,$B$29:$GQ$29,0))</f>
        <v>0</v>
      </c>
      <c r="GJ13">
        <f>INDEX($B$27:$GQ$27,MATCH(191,$B$29:$GQ$29,0))</f>
        <v>0</v>
      </c>
      <c r="GK13">
        <f>INDEX($B$27:$GQ$27,MATCH(192,$B$29:$GQ$29,0))</f>
        <v>0</v>
      </c>
      <c r="GL13">
        <f>INDEX($B$27:$GQ$27,MATCH(193,$B$29:$GQ$29,0))</f>
        <v>0</v>
      </c>
      <c r="GM13">
        <f>INDEX($B$27:$GQ$27,MATCH(194,$B$29:$GQ$29,0))</f>
        <v>0</v>
      </c>
      <c r="GN13">
        <f>INDEX($B$27:$GQ$27,MATCH(195,$B$29:$GQ$29,0))</f>
        <v>0</v>
      </c>
      <c r="GO13">
        <f>INDEX($B$27:$GQ$27,MATCH(196,$B$29:$GQ$29,0))</f>
        <v>0</v>
      </c>
      <c r="GP13">
        <f>INDEX($B$27:$GQ$27,MATCH(197,$B$29:$GQ$29,0))</f>
        <v>0</v>
      </c>
      <c r="GQ13">
        <f>INDEX($B$27:$GQ$27,MATCH(198,$B$29:$GQ$29,0))</f>
        <v>0</v>
      </c>
      <c r="GR13">
        <f>INDEX($GR$27:$HC$27,MATCH(1,$GR$30:$HC$30,0))</f>
        <v>1.2952887295732169E-2</v>
      </c>
      <c r="GS13">
        <f>INDEX($GR$27:$HC$27,MATCH(2,$GR$30:$HC$30,0))</f>
        <v>1.19527429485266E-2</v>
      </c>
      <c r="GT13">
        <f>INDEX($GR$27:$HC$27,MATCH(3,$GR$30:$HC$30,0))</f>
        <v>1.09978347653478E-2</v>
      </c>
      <c r="GU13">
        <f>INDEX($GR$27:$HC$27,MATCH(4,$GR$30:$HC$30,0))</f>
        <v>1.0208513277190259E-2</v>
      </c>
      <c r="GV13">
        <f>INDEX($GR$27:$HC$27,MATCH(5,$GR$30:$HC$30,0))</f>
        <v>7.7612840715705379E-3</v>
      </c>
      <c r="GW13">
        <f>INDEX($GR$27:$HC$27,MATCH(6,$GR$30:$HC$30,0))</f>
        <v>5.3392142538453303E-3</v>
      </c>
      <c r="GX13">
        <f>INDEX($GR$27:$HC$27,MATCH(7,$GR$30:$HC$30,0))</f>
        <v>4.8885047380105504E-3</v>
      </c>
      <c r="GY13">
        <f>INDEX($GR$27:$HC$27,MATCH(8,$GR$30:$HC$30,0))</f>
        <v>4.2835738863301019E-3</v>
      </c>
      <c r="GZ13">
        <f>INDEX($GR$27:$HC$27,MATCH(9,$GR$30:$HC$30,0))</f>
        <v>3.571445439929597E-3</v>
      </c>
      <c r="HA13">
        <f>INDEX($GR$27:$HC$27,MATCH(10,$GR$30:$HC$30,0))</f>
        <v>3.54574306520855E-3</v>
      </c>
      <c r="HB13">
        <f>INDEX($GR$27:$HC$27,MATCH(11,$GR$30:$HC$30,0))</f>
        <v>3.130678432268432E-3</v>
      </c>
      <c r="HC13">
        <f>INDEX($GR$27:$HC$27,MATCH(12,$GR$30:$HC$30,0))</f>
        <v>2.7047476049333122E-3</v>
      </c>
    </row>
    <row r="14" spans="1:211" x14ac:dyDescent="0.45">
      <c r="A14" s="2" t="str">
        <f>"Part de "&amp;$B$1&amp;" (%)"</f>
        <v>Part de M_imp*Y_dom+M_dom*Y_dom+M_row*Y_imp (%)</v>
      </c>
      <c r="B14" s="3">
        <f>IFERROR(INDEX($B$28:$GQ$28,MATCH(1,$B$29:$GQ$29,0))/SUM($B$28:$GQ$28)*100,0)</f>
        <v>17.156553448714128</v>
      </c>
      <c r="C14" s="3">
        <f>IFERROR(INDEX($B$28:$GQ$28,MATCH(2,$B$29:$GQ$29,0))/SUM($B$28:$GQ$28)*100,0)</f>
        <v>11.164266095673355</v>
      </c>
      <c r="D14" s="3">
        <f>IFERROR(INDEX($B$28:$GQ$28,MATCH(3,$B$29:$GQ$29,0))/SUM($B$28:$GQ$28)*100,0)</f>
        <v>9.6004161396249135</v>
      </c>
      <c r="E14" s="3">
        <f>IFERROR(INDEX($B$28:$GQ$28,MATCH(4,$B$29:$GQ$29,0))/SUM($B$28:$GQ$28)*100,0)</f>
        <v>6.210549139918899</v>
      </c>
      <c r="F14" s="3">
        <f>IFERROR(INDEX($B$28:$GQ$28,MATCH(5,$B$29:$GQ$29,0))/SUM($B$28:$GQ$28)*100,0)</f>
        <v>4.6964610302524328</v>
      </c>
      <c r="G14" s="3">
        <f>IFERROR(INDEX($B$28:$GQ$28,MATCH(6,$B$29:$GQ$29,0))/SUM($B$28:$GQ$28)*100,0)</f>
        <v>4.4733857671616528</v>
      </c>
      <c r="H14" s="3">
        <f>IFERROR(INDEX($B$28:$GQ$28,MATCH(7,$B$29:$GQ$29,0))/SUM($B$28:$GQ$28)*100,0)</f>
        <v>3.6073488058357155</v>
      </c>
      <c r="I14" s="3">
        <f>IFERROR(INDEX($B$28:$GQ$28,MATCH(8,$B$29:$GQ$29,0))/SUM($B$28:$GQ$28)*100,0)</f>
        <v>3.4727412141794733</v>
      </c>
      <c r="J14" s="3">
        <f>IFERROR(INDEX($B$28:$GQ$28,MATCH(9,$B$29:$GQ$29,0))/SUM($B$28:$GQ$28)*100,0)</f>
        <v>3.4132700624742864</v>
      </c>
      <c r="K14" s="3">
        <f>IFERROR(INDEX($B$28:$GQ$28,MATCH(10,$B$29:$GQ$29,0))/SUM($B$28:$GQ$28)*100,0)</f>
        <v>2.9095759643417667</v>
      </c>
      <c r="L14" s="3">
        <f>IFERROR(INDEX($B$28:$GQ$28,MATCH(11,$B$29:$GQ$29,0))/SUM($B$28:$GQ$28)*100,0)</f>
        <v>2.5230513449361962</v>
      </c>
      <c r="M14" s="3">
        <f>IFERROR(INDEX($B$28:$GQ$28,MATCH(12,$B$29:$GQ$29,0))/SUM($B$28:$GQ$28)*100,0)</f>
        <v>2.5057330234922501</v>
      </c>
      <c r="N14" s="3">
        <f>IFERROR(INDEX($B$28:$GQ$28,MATCH(13,$B$29:$GQ$29,0))/SUM($B$28:$GQ$28)*100,0)</f>
        <v>2.316730820771268</v>
      </c>
      <c r="O14" s="3">
        <f>IFERROR(INDEX($B$28:$GQ$28,MATCH(14,$B$29:$GQ$29,0))/SUM($B$28:$GQ$28)*100,0)</f>
        <v>2.0831435613201941</v>
      </c>
      <c r="P14" s="3">
        <f>IFERROR(INDEX($B$28:$GQ$28,MATCH(15,$B$29:$GQ$29,0))/SUM($B$28:$GQ$28)*100,0)</f>
        <v>1.5247183919162901</v>
      </c>
      <c r="Q14" s="3">
        <f>IFERROR(INDEX($B$28:$GQ$28,MATCH(16,$B$29:$GQ$29,0))/SUM($B$28:$GQ$28)*100,0)</f>
        <v>1.5230475819744702</v>
      </c>
      <c r="R14" s="3">
        <f>IFERROR(INDEX($B$28:$GQ$28,MATCH(17,$B$29:$GQ$29,0))/SUM($B$28:$GQ$28)*100,0)</f>
        <v>1.3980663382283627</v>
      </c>
      <c r="S14" s="3">
        <f>IFERROR(INDEX($B$28:$GQ$28,MATCH(18,$B$29:$GQ$29,0))/SUM($B$28:$GQ$28)*100,0)</f>
        <v>1.3036622838313512</v>
      </c>
      <c r="T14" s="3">
        <f>IFERROR(INDEX($B$28:$GQ$28,MATCH(19,$B$29:$GQ$29,0))/SUM($B$28:$GQ$28)*100,0)</f>
        <v>1.2970066037853973</v>
      </c>
      <c r="U14" s="3">
        <f>IFERROR(INDEX($B$28:$GQ$28,MATCH(20,$B$29:$GQ$29,0))/SUM($B$28:$GQ$28)*100,0)</f>
        <v>1.1423199782801952</v>
      </c>
      <c r="V14" s="3">
        <f>IFERROR(INDEX($B$28:$GQ$28,MATCH(21,$B$29:$GQ$29,0))/SUM($B$28:$GQ$28)*100,0)</f>
        <v>1.113305297032519</v>
      </c>
      <c r="W14" s="3">
        <f>IFERROR(INDEX($B$28:$GQ$28,MATCH(22,$B$29:$GQ$29,0))/SUM($B$28:$GQ$28)*100,0)</f>
        <v>1.0314606497999401</v>
      </c>
      <c r="X14" s="3">
        <f>IFERROR(INDEX($B$28:$GQ$28,MATCH(23,$B$29:$GQ$29,0))/SUM($B$28:$GQ$28)*100,0)</f>
        <v>0.97271979675219822</v>
      </c>
      <c r="Y14" s="3">
        <f>IFERROR(INDEX($B$28:$GQ$28,MATCH(24,$B$29:$GQ$29,0))/SUM($B$28:$GQ$28)*100,0)</f>
        <v>0.74471337527462378</v>
      </c>
      <c r="Z14" s="3">
        <f>IFERROR(INDEX($B$28:$GQ$28,MATCH(25,$B$29:$GQ$29,0))/SUM($B$28:$GQ$28)*100,0)</f>
        <v>0.73151926152720903</v>
      </c>
      <c r="AA14" s="3">
        <f>IFERROR(INDEX($B$28:$GQ$28,MATCH(26,$B$29:$GQ$29,0))/SUM($B$28:$GQ$28)*100,0)</f>
        <v>0.69700594314336828</v>
      </c>
      <c r="AB14" s="3">
        <f>IFERROR(INDEX($B$28:$GQ$28,MATCH(27,$B$29:$GQ$29,0))/SUM($B$28:$GQ$28)*100,0)</f>
        <v>0.59889176791219034</v>
      </c>
      <c r="AC14" s="3">
        <f>IFERROR(INDEX($B$28:$GQ$28,MATCH(28,$B$29:$GQ$29,0))/SUM($B$28:$GQ$28)*100,0)</f>
        <v>0.5573658622528167</v>
      </c>
      <c r="AD14" s="3">
        <f>IFERROR(INDEX($B$28:$GQ$28,MATCH(29,$B$29:$GQ$29,0))/SUM($B$28:$GQ$28)*100,0)</f>
        <v>0.53432690364051127</v>
      </c>
      <c r="AE14" s="3">
        <f>IFERROR(INDEX($B$28:$GQ$28,MATCH(30,$B$29:$GQ$29,0))/SUM($B$28:$GQ$28)*100,0)</f>
        <v>0.48506442390211957</v>
      </c>
      <c r="AF14" s="3">
        <f>IFERROR(INDEX($B$28:$GQ$28,MATCH(31,$B$29:$GQ$29,0))/SUM($B$28:$GQ$28)*100,0)</f>
        <v>0.48128195621396574</v>
      </c>
      <c r="AG14" s="3">
        <f>IFERROR(INDEX($B$28:$GQ$28,MATCH(32,$B$29:$GQ$29,0))/SUM($B$28:$GQ$28)*100,0)</f>
        <v>0.47554972724828715</v>
      </c>
      <c r="AH14" s="3">
        <f>IFERROR(INDEX($B$28:$GQ$28,MATCH(33,$B$29:$GQ$29,0))/SUM($B$28:$GQ$28)*100,0)</f>
        <v>0.46728085362687755</v>
      </c>
      <c r="AI14" s="3">
        <f>IFERROR(INDEX($B$28:$GQ$28,MATCH(34,$B$29:$GQ$29,0))/SUM($B$28:$GQ$28)*100,0)</f>
        <v>0.38250661574639855</v>
      </c>
      <c r="AJ14" s="3">
        <f>IFERROR(INDEX($B$28:$GQ$28,MATCH(35,$B$29:$GQ$29,0))/SUM($B$28:$GQ$28)*100,0)</f>
        <v>0.36491122676067417</v>
      </c>
      <c r="AK14" s="3">
        <f>IFERROR(INDEX($B$28:$GQ$28,MATCH(36,$B$29:$GQ$29,0))/SUM($B$28:$GQ$28)*100,0)</f>
        <v>0.36304021387439761</v>
      </c>
      <c r="AL14" s="3">
        <f>IFERROR(INDEX($B$28:$GQ$28,MATCH(37,$B$29:$GQ$29,0))/SUM($B$28:$GQ$28)*100,0)</f>
        <v>0.36018861471076191</v>
      </c>
      <c r="AM14" s="3">
        <f>IFERROR(INDEX($B$28:$GQ$28,MATCH(38,$B$29:$GQ$29,0))/SUM($B$28:$GQ$28)*100,0)</f>
        <v>0.32554977421224118</v>
      </c>
      <c r="AN14" s="3">
        <f>IFERROR(INDEX($B$28:$GQ$28,MATCH(39,$B$29:$GQ$29,0))/SUM($B$28:$GQ$28)*100,0)</f>
        <v>0.27625445967846041</v>
      </c>
      <c r="AO14" s="3">
        <f>IFERROR(INDEX($B$28:$GQ$28,MATCH(40,$B$29:$GQ$29,0))/SUM($B$28:$GQ$28)*100,0)</f>
        <v>0.2644468132694261</v>
      </c>
      <c r="AP14" s="3">
        <f>IFERROR(INDEX($B$28:$GQ$28,MATCH(41,$B$29:$GQ$29,0))/SUM($B$28:$GQ$28)*100,0)</f>
        <v>0.2432350905342702</v>
      </c>
      <c r="AQ14" s="3">
        <f>IFERROR(INDEX($B$28:$GQ$28,MATCH(42,$B$29:$GQ$29,0))/SUM($B$28:$GQ$28)*100,0)</f>
        <v>0.23912920937214163</v>
      </c>
      <c r="AR14" s="3">
        <f>IFERROR(INDEX($B$28:$GQ$28,MATCH(43,$B$29:$GQ$29,0))/SUM($B$28:$GQ$28)*100,0)</f>
        <v>0.19887082559314934</v>
      </c>
      <c r="AS14" s="3">
        <f>IFERROR(INDEX($B$28:$GQ$28,MATCH(44,$B$29:$GQ$29,0))/SUM($B$28:$GQ$28)*100,0)</f>
        <v>0.19427342489565946</v>
      </c>
      <c r="AT14" s="3">
        <f>IFERROR(INDEX($B$28:$GQ$28,MATCH(45,$B$29:$GQ$29,0))/SUM($B$28:$GQ$28)*100,0)</f>
        <v>0.17023863522990001</v>
      </c>
      <c r="AU14" s="3">
        <f>IFERROR(INDEX($B$28:$GQ$28,MATCH(46,$B$29:$GQ$29,0))/SUM($B$28:$GQ$28)*100,0)</f>
        <v>0.16442142911009791</v>
      </c>
      <c r="AV14" s="3">
        <f>IFERROR(INDEX($B$28:$GQ$28,MATCH(47,$B$29:$GQ$29,0))/SUM($B$28:$GQ$28)*100,0)</f>
        <v>0.16388153281809598</v>
      </c>
      <c r="AW14" s="3">
        <f>IFERROR(INDEX($B$28:$GQ$28,MATCH(48,$B$29:$GQ$29,0))/SUM($B$28:$GQ$28)*100,0)</f>
        <v>0.15523299759876089</v>
      </c>
      <c r="AX14" s="3">
        <f>IFERROR(INDEX($B$28:$GQ$28,MATCH(49,$B$29:$GQ$29,0))/SUM($B$28:$GQ$28)*100,0)</f>
        <v>0.15333876804765623</v>
      </c>
      <c r="AY14" s="3">
        <f>IFERROR(INDEX($B$28:$GQ$28,MATCH(50,$B$29:$GQ$29,0))/SUM($B$28:$GQ$28)*100,0)</f>
        <v>0.15084864869393577</v>
      </c>
      <c r="AZ14" s="3">
        <f>IFERROR(INDEX($B$28:$GQ$28,MATCH(51,$B$29:$GQ$29,0))/SUM($B$28:$GQ$28)*100,0)</f>
        <v>0.14365545177684008</v>
      </c>
      <c r="BA14" s="3">
        <f>IFERROR(INDEX($B$28:$GQ$28,MATCH(52,$B$29:$GQ$29,0))/SUM($B$28:$GQ$28)*100,0)</f>
        <v>0.1429204631651444</v>
      </c>
      <c r="BB14" s="3">
        <f>IFERROR(INDEX($B$28:$GQ$28,MATCH(53,$B$29:$GQ$29,0))/SUM($B$28:$GQ$28)*100,0)</f>
        <v>0.12772618106453931</v>
      </c>
      <c r="BC14" s="3">
        <f>IFERROR(INDEX($B$28:$GQ$28,MATCH(54,$B$29:$GQ$29,0))/SUM($B$28:$GQ$28)*100,0)</f>
        <v>0.12436911853135774</v>
      </c>
      <c r="BD14" s="3">
        <f>IFERROR(INDEX($B$28:$GQ$28,MATCH(55,$B$29:$GQ$29,0))/SUM($B$28:$GQ$28)*100,0)</f>
        <v>0.12303356197895579</v>
      </c>
      <c r="BE14" s="3">
        <f>IFERROR(INDEX($B$28:$GQ$28,MATCH(56,$B$29:$GQ$29,0))/SUM($B$28:$GQ$28)*100,0)</f>
        <v>0.12198534538570757</v>
      </c>
      <c r="BF14" s="3">
        <f>IFERROR(INDEX($B$28:$GQ$28,MATCH(57,$B$29:$GQ$29,0))/SUM($B$28:$GQ$28)*100,0)</f>
        <v>0.11706549828318462</v>
      </c>
      <c r="BG14" s="3">
        <f>IFERROR(INDEX($B$28:$GQ$28,MATCH(58,$B$29:$GQ$29,0))/SUM($B$28:$GQ$28)*100,0)</f>
        <v>0.10979183732090785</v>
      </c>
      <c r="BH14" s="3">
        <f>IFERROR(INDEX($B$28:$GQ$28,MATCH(59,$B$29:$GQ$29,0))/SUM($B$28:$GQ$28)*100,0)</f>
        <v>0.10265729039426148</v>
      </c>
      <c r="BI14" s="3">
        <f>IFERROR(INDEX($B$28:$GQ$28,MATCH(60,$B$29:$GQ$29,0))/SUM($B$28:$GQ$28)*100,0)</f>
        <v>9.7663329061659851E-2</v>
      </c>
      <c r="BJ14" s="3">
        <f>IFERROR(INDEX($B$28:$GQ$28,MATCH(61,$B$29:$GQ$29,0))/SUM($B$28:$GQ$28)*100,0)</f>
        <v>9.6742629846796435E-2</v>
      </c>
      <c r="BK14" s="3">
        <f>IFERROR(INDEX($B$28:$GQ$28,MATCH(62,$B$29:$GQ$29,0))/SUM($B$28:$GQ$28)*100,0)</f>
        <v>8.8010544799609E-2</v>
      </c>
      <c r="BL14" s="3">
        <f>IFERROR(INDEX($B$28:$GQ$28,MATCH(63,$B$29:$GQ$29,0))/SUM($B$28:$GQ$28)*100,0)</f>
        <v>8.6398890363211384E-2</v>
      </c>
      <c r="BM14" s="3">
        <f>IFERROR(INDEX($B$28:$GQ$28,MATCH(64,$B$29:$GQ$29,0))/SUM($B$28:$GQ$28)*100,0)</f>
        <v>8.5399105661412816E-2</v>
      </c>
      <c r="BN14" s="3">
        <f>IFERROR(INDEX($B$28:$GQ$28,MATCH(65,$B$29:$GQ$29,0))/SUM($B$28:$GQ$28)*100,0)</f>
        <v>8.4432310639020153E-2</v>
      </c>
      <c r="BO14" s="3">
        <f>IFERROR(INDEX($B$28:$GQ$28,MATCH(66,$B$29:$GQ$29,0))/SUM($B$28:$GQ$28)*100,0)</f>
        <v>8.2938246545717478E-2</v>
      </c>
      <c r="BP14" s="3">
        <f>IFERROR(INDEX($B$28:$GQ$28,MATCH(67,$B$29:$GQ$29,0))/SUM($B$28:$GQ$28)*100,0)</f>
        <v>7.6281885350056519E-2</v>
      </c>
      <c r="BQ14" s="3">
        <f>IFERROR(INDEX($B$28:$GQ$28,MATCH(68,$B$29:$GQ$29,0))/SUM($B$28:$GQ$28)*100,0)</f>
        <v>6.7006076997836214E-2</v>
      </c>
      <c r="BR14" s="3">
        <f>IFERROR(INDEX($B$28:$GQ$28,MATCH(69,$B$29:$GQ$29,0))/SUM($B$28:$GQ$28)*100,0)</f>
        <v>6.2629989100730227E-2</v>
      </c>
      <c r="BS14" s="3">
        <f>IFERROR(INDEX($B$28:$GQ$28,MATCH(70,$B$29:$GQ$29,0))/SUM($B$28:$GQ$28)*100,0)</f>
        <v>6.2216993965924394E-2</v>
      </c>
      <c r="BT14" s="3">
        <f>IFERROR(INDEX($B$28:$GQ$28,MATCH(71,$B$29:$GQ$29,0))/SUM($B$28:$GQ$28)*100,0)</f>
        <v>5.961836813489408E-2</v>
      </c>
      <c r="BU14" s="3">
        <f>IFERROR(INDEX($B$28:$GQ$28,MATCH(72,$B$29:$GQ$29,0))/SUM($B$28:$GQ$28)*100,0)</f>
        <v>5.3401027773835805E-2</v>
      </c>
      <c r="BV14" s="3">
        <f>IFERROR(INDEX($B$28:$GQ$28,MATCH(73,$B$29:$GQ$29,0))/SUM($B$28:$GQ$28)*100,0)</f>
        <v>5.2515516099858925E-2</v>
      </c>
      <c r="BW14" s="3">
        <f>IFERROR(INDEX($B$28:$GQ$28,MATCH(74,$B$29:$GQ$29,0))/SUM($B$28:$GQ$28)*100,0)</f>
        <v>5.1709526977740623E-2</v>
      </c>
      <c r="BX14" s="3">
        <f>IFERROR(INDEX($B$28:$GQ$28,MATCH(75,$B$29:$GQ$29,0))/SUM($B$28:$GQ$28)*100,0)</f>
        <v>5.1044804244628914E-2</v>
      </c>
      <c r="BY14" s="3">
        <f>IFERROR(INDEX($B$28:$GQ$28,MATCH(76,$B$29:$GQ$29,0))/SUM($B$28:$GQ$28)*100,0)</f>
        <v>5.050976595296304E-2</v>
      </c>
      <c r="BZ14" s="3">
        <f>IFERROR(INDEX($B$28:$GQ$28,MATCH(77,$B$29:$GQ$29,0))/SUM($B$28:$GQ$28)*100,0)</f>
        <v>2.6379499979049609E-2</v>
      </c>
      <c r="CA14" s="3">
        <f>IFERROR(INDEX($B$28:$GQ$28,MATCH(78,$B$29:$GQ$29,0))/SUM($B$28:$GQ$28)*100,0)</f>
        <v>2.0003982381788358E-2</v>
      </c>
      <c r="CB14" s="3">
        <f>IFERROR(INDEX($B$28:$GQ$28,MATCH(79,$B$29:$GQ$29,0))/SUM($B$28:$GQ$28)*100,0)</f>
        <v>1.9275656836188457E-2</v>
      </c>
      <c r="CC14" s="3">
        <f>IFERROR(INDEX($B$28:$GQ$28,MATCH(80,$B$29:$GQ$29,0))/SUM($B$28:$GQ$28)*100,0)</f>
        <v>1.5974147111221026E-2</v>
      </c>
      <c r="CD14" s="3">
        <f>IFERROR(INDEX($B$28:$GQ$28,MATCH(81,$B$29:$GQ$29,0))/SUM($B$28:$GQ$28)*100,0)</f>
        <v>1.5945951403270216E-2</v>
      </c>
      <c r="CE14" s="3">
        <f>IFERROR(INDEX($B$28:$GQ$28,MATCH(82,$B$29:$GQ$29,0))/SUM($B$28:$GQ$28)*100,0)</f>
        <v>1.572802788078408E-2</v>
      </c>
      <c r="CF14" s="3">
        <f>IFERROR(INDEX($B$28:$GQ$28,MATCH(83,$B$29:$GQ$29,0))/SUM($B$28:$GQ$28)*100,0)</f>
        <v>1.4517954804845534E-2</v>
      </c>
      <c r="CG14" s="3">
        <f>IFERROR(INDEX($B$28:$GQ$28,MATCH(84,$B$29:$GQ$29,0))/SUM($B$28:$GQ$28)*100,0)</f>
        <v>1.2225751075345759E-2</v>
      </c>
      <c r="CH14" s="3">
        <f>IFERROR(INDEX($B$28:$GQ$28,MATCH(85,$B$29:$GQ$29,0))/SUM($B$28:$GQ$28)*100,0)</f>
        <v>1.1927321629155368E-2</v>
      </c>
      <c r="CI14" s="3">
        <f>IFERROR(INDEX($B$28:$GQ$28,MATCH(86,$B$29:$GQ$29,0))/SUM($B$28:$GQ$28)*100,0)</f>
        <v>1.1816200186747727E-2</v>
      </c>
      <c r="CJ14" s="3">
        <f>IFERROR(INDEX($B$28:$GQ$28,MATCH(87,$B$29:$GQ$29,0))/SUM($B$28:$GQ$28)*100,0)</f>
        <v>1.0737420636656595E-2</v>
      </c>
      <c r="CK14" s="3">
        <f>IFERROR(INDEX($B$28:$GQ$28,MATCH(88,$B$29:$GQ$29,0))/SUM($B$28:$GQ$28)*100,0)</f>
        <v>1.0304993187643342E-2</v>
      </c>
      <c r="CL14" s="3">
        <f>IFERROR(INDEX($B$28:$GQ$28,MATCH(89,$B$29:$GQ$29,0))/SUM($B$28:$GQ$28)*100,0)</f>
        <v>9.8976564406918453E-3</v>
      </c>
      <c r="CM14" s="3">
        <f>IFERROR(INDEX($B$28:$GQ$28,MATCH(90,$B$29:$GQ$29,0))/SUM($B$28:$GQ$28)*100,0)</f>
        <v>9.7700395070470583E-3</v>
      </c>
      <c r="CN14" s="3">
        <f>IFERROR(INDEX($B$28:$GQ$28,MATCH(91,$B$29:$GQ$29,0))/SUM($B$28:$GQ$28)*100,0)</f>
        <v>9.259058657547118E-3</v>
      </c>
      <c r="CO14" s="3">
        <f>IFERROR(INDEX($B$28:$GQ$28,MATCH(92,$B$29:$GQ$29,0))/SUM($B$28:$GQ$28)*100,0)</f>
        <v>7.4398150676022509E-3</v>
      </c>
      <c r="CP14" s="3">
        <f>IFERROR(INDEX($B$28:$GQ$28,MATCH(93,$B$29:$GQ$29,0))/SUM($B$28:$GQ$28)*100,0)</f>
        <v>7.137920541631519E-3</v>
      </c>
      <c r="CQ14" s="3">
        <f>IFERROR(INDEX($B$28:$GQ$28,MATCH(94,$B$29:$GQ$29,0))/SUM($B$28:$GQ$28)*100,0)</f>
        <v>6.6804179980638773E-3</v>
      </c>
      <c r="CR14" s="3">
        <f>IFERROR(INDEX($B$28:$GQ$28,MATCH(95,$B$29:$GQ$29,0))/SUM($B$28:$GQ$28)*100,0)</f>
        <v>6.1656900646987053E-3</v>
      </c>
      <c r="CS14" s="3">
        <f>IFERROR(INDEX($B$28:$GQ$28,MATCH(96,$B$29:$GQ$29,0))/SUM($B$28:$GQ$28)*100,0)</f>
        <v>5.8853047620592465E-3</v>
      </c>
      <c r="CT14" s="3">
        <f>IFERROR(INDEX($B$28:$GQ$28,MATCH(97,$B$29:$GQ$29,0))/SUM($B$28:$GQ$28)*100,0)</f>
        <v>5.2542561048492089E-3</v>
      </c>
      <c r="CU14" s="3">
        <f>IFERROR(INDEX($B$28:$GQ$28,MATCH(98,$B$29:$GQ$29,0))/SUM($B$28:$GQ$28)*100,0)</f>
        <v>4.4858246769718087E-3</v>
      </c>
      <c r="CV14" s="3">
        <f>IFERROR(INDEX($B$28:$GQ$28,MATCH(99,$B$29:$GQ$29,0))/SUM($B$28:$GQ$28)*100,0)</f>
        <v>4.477878135348644E-3</v>
      </c>
      <c r="CW14" s="3">
        <f>IFERROR(INDEX($B$28:$GQ$28,MATCH(100,$B$29:$GQ$29,0))/SUM($B$28:$GQ$28)*100,0)</f>
        <v>3.8931590607521249E-3</v>
      </c>
      <c r="CX14" s="3">
        <f>IFERROR(INDEX($B$28:$GQ$28,MATCH(101,$B$29:$GQ$29,0))/SUM($B$28:$GQ$28)*100,0)</f>
        <v>3.7397896884621986E-3</v>
      </c>
      <c r="CY14" s="3">
        <f>IFERROR(INDEX($B$28:$GQ$28,MATCH(102,$B$29:$GQ$29,0))/SUM($B$28:$GQ$28)*100,0)</f>
        <v>3.4401334736291838E-3</v>
      </c>
      <c r="CZ14" s="3">
        <f>IFERROR(INDEX($B$28:$GQ$28,MATCH(103,$B$29:$GQ$29,0))/SUM($B$28:$GQ$28)*100,0)</f>
        <v>2.8533316624262004E-3</v>
      </c>
      <c r="DA14" s="3">
        <f>IFERROR(INDEX($B$28:$GQ$28,MATCH(104,$B$29:$GQ$29,0))/SUM($B$28:$GQ$28)*100,0)</f>
        <v>2.789156561880887E-3</v>
      </c>
      <c r="DB14" s="3">
        <f>IFERROR(INDEX($B$28:$GQ$28,MATCH(105,$B$29:$GQ$29,0))/SUM($B$28:$GQ$28)*100,0)</f>
        <v>2.4668612415149559E-3</v>
      </c>
      <c r="DC14" s="3">
        <f>IFERROR(INDEX($B$28:$GQ$28,MATCH(106,$B$29:$GQ$29,0))/SUM($B$28:$GQ$28)*100,0)</f>
        <v>2.4088721734153353E-3</v>
      </c>
      <c r="DD14" s="3">
        <f>IFERROR(INDEX($B$28:$GQ$28,MATCH(107,$B$29:$GQ$29,0))/SUM($B$28:$GQ$28)*100,0)</f>
        <v>2.1454890497658733E-3</v>
      </c>
      <c r="DE14" s="3">
        <f>IFERROR(INDEX($B$28:$GQ$28,MATCH(108,$B$29:$GQ$29,0))/SUM($B$28:$GQ$28)*100,0)</f>
        <v>2.0316007577235768E-3</v>
      </c>
      <c r="DF14" s="3">
        <f>IFERROR(INDEX($B$28:$GQ$28,MATCH(109,$B$29:$GQ$29,0))/SUM($B$28:$GQ$28)*100,0)</f>
        <v>1.4185635938896673E-3</v>
      </c>
      <c r="DG14" s="3">
        <f>IFERROR(INDEX($B$28:$GQ$28,MATCH(110,$B$29:$GQ$29,0))/SUM($B$28:$GQ$28)*100,0)</f>
        <v>1.0779071793179608E-3</v>
      </c>
      <c r="DH14" s="3">
        <f>IFERROR(INDEX($B$28:$GQ$28,MATCH(111,$B$29:$GQ$29,0))/SUM($B$28:$GQ$28)*100,0)</f>
        <v>8.523781448155055E-4</v>
      </c>
      <c r="DI14" s="3">
        <f>IFERROR(INDEX($B$28:$GQ$28,MATCH(112,$B$29:$GQ$29,0))/SUM($B$28:$GQ$28)*100,0)</f>
        <v>7.8989497210289674E-4</v>
      </c>
      <c r="DJ14" s="3">
        <f>IFERROR(INDEX($B$28:$GQ$28,MATCH(113,$B$29:$GQ$29,0))/SUM($B$28:$GQ$28)*100,0)</f>
        <v>7.5719196801962664E-4</v>
      </c>
      <c r="DK14" s="3">
        <f>IFERROR(INDEX($B$28:$GQ$28,MATCH(114,$B$29:$GQ$29,0))/SUM($B$28:$GQ$28)*100,0)</f>
        <v>7.354235730556456E-4</v>
      </c>
      <c r="DL14" s="3">
        <f>IFERROR(INDEX($B$28:$GQ$28,MATCH(115,$B$29:$GQ$29,0))/SUM($B$28:$GQ$28)*100,0)</f>
        <v>5.0302516414647196E-4</v>
      </c>
      <c r="DM14" s="3">
        <f>IFERROR(INDEX($B$28:$GQ$28,MATCH(116,$B$29:$GQ$29,0))/SUM($B$28:$GQ$28)*100,0)</f>
        <v>4.5814308534987853E-4</v>
      </c>
      <c r="DN14" s="3">
        <f>IFERROR(INDEX($B$28:$GQ$28,MATCH(117,$B$29:$GQ$29,0))/SUM($B$28:$GQ$28)*100,0)</f>
        <v>4.3023476450235442E-4</v>
      </c>
      <c r="DO14" s="3">
        <f>IFERROR(INDEX($B$28:$GQ$28,MATCH(118,$B$29:$GQ$29,0))/SUM($B$28:$GQ$28)*100,0)</f>
        <v>2.5068040862323045E-4</v>
      </c>
      <c r="DP14" s="3">
        <f>IFERROR(INDEX($B$28:$GQ$28,MATCH(119,$B$29:$GQ$29,0))/SUM($B$28:$GQ$28)*100,0)</f>
        <v>2.1384226599334123E-4</v>
      </c>
      <c r="DQ14" s="3">
        <f>IFERROR(INDEX($B$28:$GQ$28,MATCH(120,$B$29:$GQ$29,0))/SUM($B$28:$GQ$28)*100,0)</f>
        <v>1.9398474283999738E-4</v>
      </c>
      <c r="DR14" s="3">
        <f>IFERROR(INDEX($B$28:$GQ$28,MATCH(121,$B$29:$GQ$29,0))/SUM($B$28:$GQ$28)*100,0)</f>
        <v>1.4010522164090709E-4</v>
      </c>
      <c r="DS14" s="3">
        <f>IFERROR(INDEX($B$28:$GQ$28,MATCH(122,$B$29:$GQ$29,0))/SUM($B$28:$GQ$28)*100,0)</f>
        <v>1.392579624437169E-4</v>
      </c>
      <c r="DT14" s="3">
        <f>IFERROR(INDEX($B$28:$GQ$28,MATCH(123,$B$29:$GQ$29,0))/SUM($B$28:$GQ$28)*100,0)</f>
        <v>1.2793342767275601E-4</v>
      </c>
      <c r="DU14" s="3">
        <f>IFERROR(INDEX($B$28:$GQ$28,MATCH(124,$B$29:$GQ$29,0))/SUM($B$28:$GQ$28)*100,0)</f>
        <v>8.8945754821757286E-5</v>
      </c>
      <c r="DV14" s="3">
        <f>IFERROR(INDEX($B$28:$GQ$28,MATCH(125,$B$29:$GQ$29,0))/SUM($B$28:$GQ$28)*100,0)</f>
        <v>6.6045777677999087E-5</v>
      </c>
      <c r="DW14" s="3">
        <f>IFERROR(INDEX($B$28:$GQ$28,MATCH(126,$B$29:$GQ$29,0))/SUM($B$28:$GQ$28)*100,0)</f>
        <v>4.8193206601655005E-5</v>
      </c>
      <c r="DX14" s="3">
        <f>IFERROR(INDEX($B$28:$GQ$28,MATCH(127,$B$29:$GQ$29,0))/SUM($B$28:$GQ$28)*100,0)</f>
        <v>9.5089673409590501E-6</v>
      </c>
      <c r="DY14" s="3">
        <f>IFERROR(INDEX($B$28:$GQ$28,MATCH(128,$B$29:$GQ$29,0))/SUM($B$28:$GQ$28)*100,0)</f>
        <v>5.9508187717353147E-6</v>
      </c>
      <c r="DZ14" s="3">
        <f>IFERROR(INDEX($B$28:$GQ$28,MATCH(129,$B$29:$GQ$29,0))/SUM($B$28:$GQ$28)*100,0)</f>
        <v>3.7267449091799551E-6</v>
      </c>
      <c r="EA14" s="3">
        <f>IFERROR(INDEX($B$28:$GQ$28,MATCH(130,$B$29:$GQ$29,0))/SUM($B$28:$GQ$28)*100,0)</f>
        <v>2.9570256104048544E-6</v>
      </c>
      <c r="EB14" s="3">
        <f>IFERROR(INDEX($B$28:$GQ$28,MATCH(131,$B$29:$GQ$29,0))/SUM($B$28:$GQ$28)*100,0)</f>
        <v>1.2123937302414901E-6</v>
      </c>
      <c r="EC14" s="3">
        <f>IFERROR(INDEX($B$28:$GQ$28,MATCH(132,$B$29:$GQ$29,0))/SUM($B$28:$GQ$28)*100,0)</f>
        <v>2.4838208718512768E-7</v>
      </c>
      <c r="ED14" s="3">
        <f>IFERROR(INDEX($B$28:$GQ$28,MATCH(133,$B$29:$GQ$29,0))/SUM($B$28:$GQ$28)*100,0)</f>
        <v>2.7113230808764935E-8</v>
      </c>
      <c r="EE14" s="3">
        <f>IFERROR(INDEX($B$28:$GQ$28,MATCH(134,$B$29:$GQ$29,0))/SUM($B$28:$GQ$28)*100,0)</f>
        <v>0</v>
      </c>
      <c r="EF14" s="3">
        <f>IFERROR(INDEX($B$28:$GQ$28,MATCH(135,$B$29:$GQ$29,0))/SUM($B$28:$GQ$28)*100,0)</f>
        <v>0</v>
      </c>
      <c r="EG14" s="3">
        <f>IFERROR(INDEX($B$28:$GQ$28,MATCH(136,$B$29:$GQ$29,0))/SUM($B$28:$GQ$28)*100,0)</f>
        <v>0</v>
      </c>
      <c r="EH14" s="3">
        <f>IFERROR(INDEX($B$28:$GQ$28,MATCH(137,$B$29:$GQ$29,0))/SUM($B$28:$GQ$28)*100,0)</f>
        <v>0</v>
      </c>
      <c r="EI14" s="3">
        <f>IFERROR(INDEX($B$28:$GQ$28,MATCH(138,$B$29:$GQ$29,0))/SUM($B$28:$GQ$28)*100,0)</f>
        <v>0</v>
      </c>
      <c r="EJ14" s="3">
        <f>IFERROR(INDEX($B$28:$GQ$28,MATCH(139,$B$29:$GQ$29,0))/SUM($B$28:$GQ$28)*100,0)</f>
        <v>0</v>
      </c>
      <c r="EK14" s="3">
        <f>IFERROR(INDEX($B$28:$GQ$28,MATCH(140,$B$29:$GQ$29,0))/SUM($B$28:$GQ$28)*100,0)</f>
        <v>0</v>
      </c>
      <c r="EL14" s="3">
        <f>IFERROR(INDEX($B$28:$GQ$28,MATCH(141,$B$29:$GQ$29,0))/SUM($B$28:$GQ$28)*100,0)</f>
        <v>0</v>
      </c>
      <c r="EM14" s="3">
        <f>IFERROR(INDEX($B$28:$GQ$28,MATCH(142,$B$29:$GQ$29,0))/SUM($B$28:$GQ$28)*100,0)</f>
        <v>0</v>
      </c>
      <c r="EN14" s="3">
        <f>IFERROR(INDEX($B$28:$GQ$28,MATCH(143,$B$29:$GQ$29,0))/SUM($B$28:$GQ$28)*100,0)</f>
        <v>0</v>
      </c>
      <c r="EO14" s="3">
        <f>IFERROR(INDEX($B$28:$GQ$28,MATCH(144,$B$29:$GQ$29,0))/SUM($B$28:$GQ$28)*100,0)</f>
        <v>0</v>
      </c>
      <c r="EP14" s="3">
        <f>IFERROR(INDEX($B$28:$GQ$28,MATCH(145,$B$29:$GQ$29,0))/SUM($B$28:$GQ$28)*100,0)</f>
        <v>0</v>
      </c>
      <c r="EQ14" s="3">
        <f>IFERROR(INDEX($B$28:$GQ$28,MATCH(146,$B$29:$GQ$29,0))/SUM($B$28:$GQ$28)*100,0)</f>
        <v>0</v>
      </c>
      <c r="ER14" s="3">
        <f>IFERROR(INDEX($B$28:$GQ$28,MATCH(147,$B$29:$GQ$29,0))/SUM($B$28:$GQ$28)*100,0)</f>
        <v>0</v>
      </c>
      <c r="ES14" s="3">
        <f>IFERROR(INDEX($B$28:$GQ$28,MATCH(148,$B$29:$GQ$29,0))/SUM($B$28:$GQ$28)*100,0)</f>
        <v>0</v>
      </c>
      <c r="ET14" s="3">
        <f>IFERROR(INDEX($B$28:$GQ$28,MATCH(149,$B$29:$GQ$29,0))/SUM($B$28:$GQ$28)*100,0)</f>
        <v>0</v>
      </c>
      <c r="EU14" s="3">
        <f>IFERROR(INDEX($B$28:$GQ$28,MATCH(150,$B$29:$GQ$29,0))/SUM($B$28:$GQ$28)*100,0)</f>
        <v>0</v>
      </c>
      <c r="EV14" s="3">
        <f>IFERROR(INDEX($B$28:$GQ$28,MATCH(151,$B$29:$GQ$29,0))/SUM($B$28:$GQ$28)*100,0)</f>
        <v>0</v>
      </c>
      <c r="EW14" s="3">
        <f>IFERROR(INDEX($B$28:$GQ$28,MATCH(152,$B$29:$GQ$29,0))/SUM($B$28:$GQ$28)*100,0)</f>
        <v>0</v>
      </c>
      <c r="EX14" s="3">
        <f>IFERROR(INDEX($B$28:$GQ$28,MATCH(153,$B$29:$GQ$29,0))/SUM($B$28:$GQ$28)*100,0)</f>
        <v>0</v>
      </c>
      <c r="EY14" s="3">
        <f>IFERROR(INDEX($B$28:$GQ$28,MATCH(154,$B$29:$GQ$29,0))/SUM($B$28:$GQ$28)*100,0)</f>
        <v>0</v>
      </c>
      <c r="EZ14" s="3">
        <f>IFERROR(INDEX($B$28:$GQ$28,MATCH(155,$B$29:$GQ$29,0))/SUM($B$28:$GQ$28)*100,0)</f>
        <v>0</v>
      </c>
      <c r="FA14" s="3">
        <f>IFERROR(INDEX($B$28:$GQ$28,MATCH(156,$B$29:$GQ$29,0))/SUM($B$28:$GQ$28)*100,0)</f>
        <v>0</v>
      </c>
      <c r="FB14" s="3">
        <f>IFERROR(INDEX($B$28:$GQ$28,MATCH(157,$B$29:$GQ$29,0))/SUM($B$28:$GQ$28)*100,0)</f>
        <v>0</v>
      </c>
      <c r="FC14" s="3">
        <f>IFERROR(INDEX($B$28:$GQ$28,MATCH(158,$B$29:$GQ$29,0))/SUM($B$28:$GQ$28)*100,0)</f>
        <v>0</v>
      </c>
      <c r="FD14" s="3">
        <f>IFERROR(INDEX($B$28:$GQ$28,MATCH(159,$B$29:$GQ$29,0))/SUM($B$28:$GQ$28)*100,0)</f>
        <v>0</v>
      </c>
      <c r="FE14" s="3">
        <f>IFERROR(INDEX($B$28:$GQ$28,MATCH(160,$B$29:$GQ$29,0))/SUM($B$28:$GQ$28)*100,0)</f>
        <v>0</v>
      </c>
      <c r="FF14" s="3">
        <f>IFERROR(INDEX($B$28:$GQ$28,MATCH(161,$B$29:$GQ$29,0))/SUM($B$28:$GQ$28)*100,0)</f>
        <v>0</v>
      </c>
      <c r="FG14" s="3">
        <f>IFERROR(INDEX($B$28:$GQ$28,MATCH(162,$B$29:$GQ$29,0))/SUM($B$28:$GQ$28)*100,0)</f>
        <v>0</v>
      </c>
      <c r="FH14" s="3">
        <f>IFERROR(INDEX($B$28:$GQ$28,MATCH(163,$B$29:$GQ$29,0))/SUM($B$28:$GQ$28)*100,0)</f>
        <v>0</v>
      </c>
      <c r="FI14" s="3">
        <f>IFERROR(INDEX($B$28:$GQ$28,MATCH(164,$B$29:$GQ$29,0))/SUM($B$28:$GQ$28)*100,0)</f>
        <v>0</v>
      </c>
      <c r="FJ14" s="3">
        <f>IFERROR(INDEX($B$28:$GQ$28,MATCH(165,$B$29:$GQ$29,0))/SUM($B$28:$GQ$28)*100,0)</f>
        <v>0</v>
      </c>
      <c r="FK14" s="3">
        <f>IFERROR(INDEX($B$28:$GQ$28,MATCH(166,$B$29:$GQ$29,0))/SUM($B$28:$GQ$28)*100,0)</f>
        <v>0</v>
      </c>
      <c r="FL14" s="3">
        <f>IFERROR(INDEX($B$28:$GQ$28,MATCH(167,$B$29:$GQ$29,0))/SUM($B$28:$GQ$28)*100,0)</f>
        <v>0</v>
      </c>
      <c r="FM14" s="3">
        <f>IFERROR(INDEX($B$28:$GQ$28,MATCH(168,$B$29:$GQ$29,0))/SUM($B$28:$GQ$28)*100,0)</f>
        <v>0</v>
      </c>
      <c r="FN14" s="3">
        <f>IFERROR(INDEX($B$28:$GQ$28,MATCH(169,$B$29:$GQ$29,0))/SUM($B$28:$GQ$28)*100,0)</f>
        <v>0</v>
      </c>
      <c r="FO14" s="3">
        <f>IFERROR(INDEX($B$28:$GQ$28,MATCH(170,$B$29:$GQ$29,0))/SUM($B$28:$GQ$28)*100,0)</f>
        <v>0</v>
      </c>
      <c r="FP14" s="3">
        <f>IFERROR(INDEX($B$28:$GQ$28,MATCH(171,$B$29:$GQ$29,0))/SUM($B$28:$GQ$28)*100,0)</f>
        <v>0</v>
      </c>
      <c r="FQ14" s="3">
        <f>IFERROR(INDEX($B$28:$GQ$28,MATCH(172,$B$29:$GQ$29,0))/SUM($B$28:$GQ$28)*100,0)</f>
        <v>0</v>
      </c>
      <c r="FR14" s="3">
        <f>IFERROR(INDEX($B$28:$GQ$28,MATCH(173,$B$29:$GQ$29,0))/SUM($B$28:$GQ$28)*100,0)</f>
        <v>0</v>
      </c>
      <c r="FS14" s="3">
        <f>IFERROR(INDEX($B$28:$GQ$28,MATCH(174,$B$29:$GQ$29,0))/SUM($B$28:$GQ$28)*100,0)</f>
        <v>0</v>
      </c>
      <c r="FT14" s="3">
        <f>IFERROR(INDEX($B$28:$GQ$28,MATCH(175,$B$29:$GQ$29,0))/SUM($B$28:$GQ$28)*100,0)</f>
        <v>0</v>
      </c>
      <c r="FU14" s="3">
        <f>IFERROR(INDEX($B$28:$GQ$28,MATCH(176,$B$29:$GQ$29,0))/SUM($B$28:$GQ$28)*100,0)</f>
        <v>0</v>
      </c>
      <c r="FV14" s="3">
        <f>IFERROR(INDEX($B$28:$GQ$28,MATCH(177,$B$29:$GQ$29,0))/SUM($B$28:$GQ$28)*100,0)</f>
        <v>0</v>
      </c>
      <c r="FW14" s="3">
        <f>IFERROR(INDEX($B$28:$GQ$28,MATCH(178,$B$29:$GQ$29,0))/SUM($B$28:$GQ$28)*100,0)</f>
        <v>0</v>
      </c>
      <c r="FX14" s="3">
        <f>IFERROR(INDEX($B$28:$GQ$28,MATCH(179,$B$29:$GQ$29,0))/SUM($B$28:$GQ$28)*100,0)</f>
        <v>0</v>
      </c>
      <c r="FY14" s="3">
        <f>IFERROR(INDEX($B$28:$GQ$28,MATCH(180,$B$29:$GQ$29,0))/SUM($B$28:$GQ$28)*100,0)</f>
        <v>0</v>
      </c>
      <c r="FZ14" s="3">
        <f>IFERROR(INDEX($B$28:$GQ$28,MATCH(181,$B$29:$GQ$29,0))/SUM($B$28:$GQ$28)*100,0)</f>
        <v>0</v>
      </c>
      <c r="GA14" s="3">
        <f>IFERROR(INDEX($B$28:$GQ$28,MATCH(182,$B$29:$GQ$29,0))/SUM($B$28:$GQ$28)*100,0)</f>
        <v>0</v>
      </c>
      <c r="GB14" s="3">
        <f>IFERROR(INDEX($B$28:$GQ$28,MATCH(183,$B$29:$GQ$29,0))/SUM($B$28:$GQ$28)*100,0)</f>
        <v>0</v>
      </c>
      <c r="GC14" s="3">
        <f>IFERROR(INDEX($B$28:$GQ$28,MATCH(184,$B$29:$GQ$29,0))/SUM($B$28:$GQ$28)*100,0)</f>
        <v>0</v>
      </c>
      <c r="GD14" s="3">
        <f>IFERROR(INDEX($B$28:$GQ$28,MATCH(185,$B$29:$GQ$29,0))/SUM($B$28:$GQ$28)*100,0)</f>
        <v>0</v>
      </c>
      <c r="GE14" s="3">
        <f>IFERROR(INDEX($B$28:$GQ$28,MATCH(186,$B$29:$GQ$29,0))/SUM($B$28:$GQ$28)*100,0)</f>
        <v>0</v>
      </c>
      <c r="GF14" s="3">
        <f>IFERROR(INDEX($B$28:$GQ$28,MATCH(187,$B$29:$GQ$29,0))/SUM($B$28:$GQ$28)*100,0)</f>
        <v>0</v>
      </c>
      <c r="GG14" s="3">
        <f>IFERROR(INDEX($B$28:$GQ$28,MATCH(188,$B$29:$GQ$29,0))/SUM($B$28:$GQ$28)*100,0)</f>
        <v>0</v>
      </c>
      <c r="GH14" s="3">
        <f>IFERROR(INDEX($B$28:$GQ$28,MATCH(189,$B$29:$GQ$29,0))/SUM($B$28:$GQ$28)*100,0)</f>
        <v>0</v>
      </c>
      <c r="GI14" s="3">
        <f>IFERROR(INDEX($B$28:$GQ$28,MATCH(190,$B$29:$GQ$29,0))/SUM($B$28:$GQ$28)*100,0)</f>
        <v>0</v>
      </c>
      <c r="GJ14" s="3">
        <f>IFERROR(INDEX($B$28:$GQ$28,MATCH(191,$B$29:$GQ$29,0))/SUM($B$28:$GQ$28)*100,0)</f>
        <v>0</v>
      </c>
      <c r="GK14" s="3">
        <f>IFERROR(INDEX($B$28:$GQ$28,MATCH(192,$B$29:$GQ$29,0))/SUM($B$28:$GQ$28)*100,0)</f>
        <v>0</v>
      </c>
      <c r="GL14" s="3">
        <f>IFERROR(INDEX($B$28:$GQ$28,MATCH(193,$B$29:$GQ$29,0))/SUM($B$28:$GQ$28)*100,0)</f>
        <v>0</v>
      </c>
      <c r="GM14" s="3">
        <f>IFERROR(INDEX($B$28:$GQ$28,MATCH(194,$B$29:$GQ$29,0))/SUM($B$28:$GQ$28)*100,0)</f>
        <v>0</v>
      </c>
      <c r="GN14" s="3">
        <f>IFERROR(INDEX($B$28:$GQ$28,MATCH(195,$B$29:$GQ$29,0))/SUM($B$28:$GQ$28)*100,0)</f>
        <v>0</v>
      </c>
      <c r="GO14" s="3">
        <f>IFERROR(INDEX($B$28:$GQ$28,MATCH(196,$B$29:$GQ$29,0))/SUM($B$28:$GQ$28)*100,0)</f>
        <v>0</v>
      </c>
      <c r="GP14" s="3">
        <f>IFERROR(INDEX($B$28:$GQ$28,MATCH(197,$B$29:$GQ$29,0))/SUM($B$28:$GQ$28)*100,0)</f>
        <v>0</v>
      </c>
      <c r="GQ14" s="3">
        <f>IFERROR(INDEX($B$28:$GQ$28,MATCH(198,$B$29:$GQ$29,0))/SUM($B$28:$GQ$28)*100,0)</f>
        <v>0</v>
      </c>
      <c r="GR14" s="3">
        <f>IFERROR(INDEX($GR$28:$HC$28,MATCH(1,$GR$30:$HC$30,0))/SUM($GR$28:$HC$28)*100,0)</f>
        <v>15.92492993171912</v>
      </c>
      <c r="GS14" s="3">
        <f>IFERROR(INDEX($GR$28:$HC$28,MATCH(2,$GR$30:$HC$30,0))/SUM($GR$28:$HC$28)*100,0)</f>
        <v>14.695302259740419</v>
      </c>
      <c r="GT14" s="3">
        <f>IFERROR(INDEX($GR$28:$HC$28,MATCH(3,$GR$30:$HC$30,0))/SUM($GR$28:$HC$28)*100,0)</f>
        <v>13.521290198865152</v>
      </c>
      <c r="GU14" s="3">
        <f>IFERROR(INDEX($GR$28:$HC$28,MATCH(4,$GR$30:$HC$30,0))/SUM($GR$28:$HC$28)*100,0)</f>
        <v>12.550858734009379</v>
      </c>
      <c r="GV14" s="3">
        <f>IFERROR(INDEX($GR$28:$HC$28,MATCH(5,$GR$30:$HC$30,0))/SUM($GR$28:$HC$28)*100,0)</f>
        <v>9.5421122872467699</v>
      </c>
      <c r="GW14" s="3">
        <f>IFERROR(INDEX($GR$28:$HC$28,MATCH(6,$GR$30:$HC$30,0))/SUM($GR$28:$HC$28)*100,0)</f>
        <v>6.5642980550705623</v>
      </c>
      <c r="GX14" s="3">
        <f>IFERROR(INDEX($GR$28:$HC$28,MATCH(7,$GR$30:$HC$30,0))/SUM($GR$28:$HC$28)*100,0)</f>
        <v>6.0101731487577563</v>
      </c>
      <c r="GY14" s="3">
        <f>IFERROR(INDEX($GR$28:$HC$28,MATCH(8,$GR$30:$HC$30,0))/SUM($GR$28:$HC$28)*100,0)</f>
        <v>5.2664407895855714</v>
      </c>
      <c r="GZ14" s="3">
        <f>IFERROR(INDEX($GR$28:$HC$28,MATCH(9,$GR$30:$HC$30,0))/SUM($GR$28:$HC$28)*100,0)</f>
        <v>4.390914325686774</v>
      </c>
      <c r="HA14" s="3">
        <f>IFERROR(INDEX($GR$28:$HC$28,MATCH(10,$GR$30:$HC$30,0))/SUM($GR$28:$HC$28)*100,0)</f>
        <v>4.3593145358355709</v>
      </c>
      <c r="HB14" s="3">
        <f>IFERROR(INDEX($GR$28:$HC$28,MATCH(11,$GR$30:$HC$30,0))/SUM($GR$28:$HC$28)*100,0)</f>
        <v>3.8490132380790487</v>
      </c>
      <c r="HC14" s="3">
        <f>IFERROR(INDEX($GR$28:$HC$28,MATCH(12,$GR$30:$HC$30,0))/SUM($GR$28:$HC$28)*100,0)</f>
        <v>3.3253524954038745</v>
      </c>
    </row>
    <row r="16" spans="1:211" x14ac:dyDescent="0.45">
      <c r="A16" s="1" t="s">
        <v>12</v>
      </c>
    </row>
    <row r="17" spans="1:211" x14ac:dyDescent="0.45">
      <c r="A17" s="1" t="s">
        <v>224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19</v>
      </c>
      <c r="I17" s="1" t="s">
        <v>20</v>
      </c>
      <c r="J17" s="1" t="s">
        <v>21</v>
      </c>
      <c r="K17" s="1" t="s">
        <v>22</v>
      </c>
      <c r="L17" s="1" t="s">
        <v>23</v>
      </c>
      <c r="M17" s="1" t="s">
        <v>24</v>
      </c>
      <c r="N17" s="1" t="s">
        <v>25</v>
      </c>
      <c r="O17" s="1" t="s">
        <v>26</v>
      </c>
      <c r="P17" s="1" t="s">
        <v>27</v>
      </c>
      <c r="Q17" s="1" t="s">
        <v>28</v>
      </c>
      <c r="R17" s="1" t="s">
        <v>29</v>
      </c>
      <c r="S17" s="1" t="s">
        <v>30</v>
      </c>
      <c r="T17" s="1" t="s">
        <v>31</v>
      </c>
      <c r="U17" s="1" t="s">
        <v>32</v>
      </c>
      <c r="V17" s="1" t="s">
        <v>33</v>
      </c>
      <c r="W17" s="1" t="s">
        <v>34</v>
      </c>
      <c r="X17" s="1" t="s">
        <v>35</v>
      </c>
      <c r="Y17" s="1" t="s">
        <v>36</v>
      </c>
      <c r="Z17" s="1" t="s">
        <v>37</v>
      </c>
      <c r="AA17" s="1" t="s">
        <v>38</v>
      </c>
      <c r="AB17" s="1" t="s">
        <v>39</v>
      </c>
      <c r="AC17" s="1" t="s">
        <v>40</v>
      </c>
      <c r="AD17" s="1" t="s">
        <v>41</v>
      </c>
      <c r="AE17" s="1" t="s">
        <v>42</v>
      </c>
      <c r="AF17" s="1" t="s">
        <v>43</v>
      </c>
      <c r="AG17" s="1" t="s">
        <v>44</v>
      </c>
      <c r="AH17" s="1" t="s">
        <v>45</v>
      </c>
      <c r="AI17" s="1" t="s">
        <v>46</v>
      </c>
      <c r="AJ17" s="1" t="s">
        <v>47</v>
      </c>
      <c r="AK17" s="1" t="s">
        <v>48</v>
      </c>
      <c r="AL17" s="1" t="s">
        <v>49</v>
      </c>
      <c r="AM17" s="1" t="s">
        <v>50</v>
      </c>
      <c r="AN17" s="1" t="s">
        <v>51</v>
      </c>
      <c r="AO17" s="1" t="s">
        <v>52</v>
      </c>
      <c r="AP17" s="1" t="s">
        <v>53</v>
      </c>
      <c r="AQ17" s="1" t="s">
        <v>54</v>
      </c>
      <c r="AR17" s="1" t="s">
        <v>55</v>
      </c>
      <c r="AS17" s="1" t="s">
        <v>56</v>
      </c>
      <c r="AT17" s="1" t="s">
        <v>57</v>
      </c>
      <c r="AU17" s="1" t="s">
        <v>58</v>
      </c>
      <c r="AV17" s="1" t="s">
        <v>59</v>
      </c>
      <c r="AW17" s="1" t="s">
        <v>60</v>
      </c>
      <c r="AX17" s="1" t="s">
        <v>61</v>
      </c>
      <c r="AY17" s="1" t="s">
        <v>62</v>
      </c>
      <c r="AZ17" s="1" t="s">
        <v>63</v>
      </c>
      <c r="BA17" s="1" t="s">
        <v>64</v>
      </c>
      <c r="BB17" s="1" t="s">
        <v>65</v>
      </c>
      <c r="BC17" s="1" t="s">
        <v>66</v>
      </c>
      <c r="BD17" s="1" t="s">
        <v>67</v>
      </c>
      <c r="BE17" s="1" t="s">
        <v>68</v>
      </c>
      <c r="BF17" s="1" t="s">
        <v>69</v>
      </c>
      <c r="BG17" s="1" t="s">
        <v>70</v>
      </c>
      <c r="BH17" s="1" t="s">
        <v>71</v>
      </c>
      <c r="BI17" s="1" t="s">
        <v>72</v>
      </c>
      <c r="BJ17" s="1" t="s">
        <v>73</v>
      </c>
      <c r="BK17" s="1" t="s">
        <v>74</v>
      </c>
      <c r="BL17" s="1" t="s">
        <v>75</v>
      </c>
      <c r="BM17" s="1" t="s">
        <v>76</v>
      </c>
      <c r="BN17" s="1" t="s">
        <v>77</v>
      </c>
      <c r="BO17" s="1" t="s">
        <v>78</v>
      </c>
      <c r="BP17" s="1" t="s">
        <v>79</v>
      </c>
      <c r="BQ17" s="1" t="s">
        <v>80</v>
      </c>
      <c r="BR17" s="1" t="s">
        <v>81</v>
      </c>
      <c r="BS17" s="1" t="s">
        <v>82</v>
      </c>
      <c r="BT17" s="1" t="s">
        <v>83</v>
      </c>
      <c r="BU17" s="1" t="s">
        <v>84</v>
      </c>
      <c r="BV17" s="1" t="s">
        <v>85</v>
      </c>
      <c r="BW17" s="1" t="s">
        <v>86</v>
      </c>
      <c r="BX17" s="1" t="s">
        <v>87</v>
      </c>
      <c r="BY17" s="1" t="s">
        <v>88</v>
      </c>
      <c r="BZ17" s="1" t="s">
        <v>89</v>
      </c>
      <c r="CA17" s="1" t="s">
        <v>90</v>
      </c>
      <c r="CB17" s="1" t="s">
        <v>91</v>
      </c>
      <c r="CC17" s="1" t="s">
        <v>92</v>
      </c>
      <c r="CD17" s="1" t="s">
        <v>93</v>
      </c>
      <c r="CE17" s="1" t="s">
        <v>94</v>
      </c>
      <c r="CF17" s="1" t="s">
        <v>95</v>
      </c>
      <c r="CG17" s="1" t="s">
        <v>96</v>
      </c>
      <c r="CH17" s="1" t="s">
        <v>97</v>
      </c>
      <c r="CI17" s="1" t="s">
        <v>98</v>
      </c>
      <c r="CJ17" s="1" t="s">
        <v>99</v>
      </c>
      <c r="CK17" s="1" t="s">
        <v>100</v>
      </c>
      <c r="CL17" s="1" t="s">
        <v>101</v>
      </c>
      <c r="CM17" s="1" t="s">
        <v>102</v>
      </c>
      <c r="CN17" s="1" t="s">
        <v>103</v>
      </c>
      <c r="CO17" s="1" t="s">
        <v>104</v>
      </c>
      <c r="CP17" s="1" t="s">
        <v>105</v>
      </c>
      <c r="CQ17" s="1" t="s">
        <v>106</v>
      </c>
      <c r="CR17" s="1" t="s">
        <v>107</v>
      </c>
      <c r="CS17" s="1" t="s">
        <v>108</v>
      </c>
      <c r="CT17" s="1" t="s">
        <v>109</v>
      </c>
      <c r="CU17" s="1" t="s">
        <v>110</v>
      </c>
      <c r="CV17" s="1" t="s">
        <v>111</v>
      </c>
      <c r="CW17" s="1" t="s">
        <v>112</v>
      </c>
      <c r="CX17" s="1" t="s">
        <v>113</v>
      </c>
      <c r="CY17" s="1" t="s">
        <v>114</v>
      </c>
      <c r="CZ17" s="1" t="s">
        <v>115</v>
      </c>
      <c r="DA17" s="1" t="s">
        <v>116</v>
      </c>
      <c r="DB17" s="1" t="s">
        <v>117</v>
      </c>
      <c r="DC17" s="1" t="s">
        <v>118</v>
      </c>
      <c r="DD17" s="1" t="s">
        <v>119</v>
      </c>
      <c r="DE17" s="1" t="s">
        <v>120</v>
      </c>
      <c r="DF17" s="1" t="s">
        <v>121</v>
      </c>
      <c r="DG17" s="1" t="s">
        <v>122</v>
      </c>
      <c r="DH17" s="1" t="s">
        <v>123</v>
      </c>
      <c r="DI17" s="1" t="s">
        <v>124</v>
      </c>
      <c r="DJ17" s="1" t="s">
        <v>125</v>
      </c>
      <c r="DK17" s="1" t="s">
        <v>126</v>
      </c>
      <c r="DL17" s="1" t="s">
        <v>127</v>
      </c>
      <c r="DM17" s="1" t="s">
        <v>128</v>
      </c>
      <c r="DN17" s="1" t="s">
        <v>129</v>
      </c>
      <c r="DO17" s="1" t="s">
        <v>130</v>
      </c>
      <c r="DP17" s="1" t="s">
        <v>131</v>
      </c>
      <c r="DQ17" s="1" t="s">
        <v>132</v>
      </c>
      <c r="DR17" s="1" t="s">
        <v>133</v>
      </c>
      <c r="DS17" s="1" t="s">
        <v>134</v>
      </c>
      <c r="DT17" s="1" t="s">
        <v>135</v>
      </c>
      <c r="DU17" s="1" t="s">
        <v>136</v>
      </c>
      <c r="DV17" s="1" t="s">
        <v>137</v>
      </c>
      <c r="DW17" s="1" t="s">
        <v>138</v>
      </c>
      <c r="DX17" s="1" t="s">
        <v>139</v>
      </c>
      <c r="DY17" s="1" t="s">
        <v>140</v>
      </c>
      <c r="DZ17" s="1" t="s">
        <v>141</v>
      </c>
      <c r="EA17" s="1" t="s">
        <v>142</v>
      </c>
      <c r="EB17" s="1" t="s">
        <v>143</v>
      </c>
      <c r="EC17" s="1" t="s">
        <v>144</v>
      </c>
      <c r="ED17" s="1" t="s">
        <v>145</v>
      </c>
      <c r="EE17" s="1" t="s">
        <v>146</v>
      </c>
      <c r="EF17" s="1" t="s">
        <v>147</v>
      </c>
      <c r="EG17" s="1" t="s">
        <v>148</v>
      </c>
      <c r="EH17" s="1" t="s">
        <v>149</v>
      </c>
      <c r="EI17" s="1" t="s">
        <v>150</v>
      </c>
      <c r="EJ17" s="1" t="s">
        <v>151</v>
      </c>
      <c r="EK17" s="1" t="s">
        <v>152</v>
      </c>
      <c r="EL17" s="1" t="s">
        <v>153</v>
      </c>
      <c r="EM17" s="1" t="s">
        <v>154</v>
      </c>
      <c r="EN17" s="1" t="s">
        <v>155</v>
      </c>
      <c r="EO17" s="1" t="s">
        <v>156</v>
      </c>
      <c r="EP17" s="1" t="s">
        <v>157</v>
      </c>
      <c r="EQ17" s="1" t="s">
        <v>158</v>
      </c>
      <c r="ER17" s="1" t="s">
        <v>159</v>
      </c>
      <c r="ES17" s="1" t="s">
        <v>160</v>
      </c>
      <c r="ET17" s="1" t="s">
        <v>161</v>
      </c>
      <c r="EU17" s="1" t="s">
        <v>162</v>
      </c>
      <c r="EV17" s="1" t="s">
        <v>163</v>
      </c>
      <c r="EW17" s="1" t="s">
        <v>164</v>
      </c>
      <c r="EX17" s="1" t="s">
        <v>165</v>
      </c>
      <c r="EY17" s="1" t="s">
        <v>166</v>
      </c>
      <c r="EZ17" s="1" t="s">
        <v>167</v>
      </c>
      <c r="FA17" s="1" t="s">
        <v>168</v>
      </c>
      <c r="FB17" s="1" t="s">
        <v>169</v>
      </c>
      <c r="FC17" s="1" t="s">
        <v>170</v>
      </c>
      <c r="FD17" s="1" t="s">
        <v>171</v>
      </c>
      <c r="FE17" s="1" t="s">
        <v>172</v>
      </c>
      <c r="FF17" s="1" t="s">
        <v>173</v>
      </c>
      <c r="FG17" s="1" t="s">
        <v>174</v>
      </c>
      <c r="FH17" s="1" t="s">
        <v>175</v>
      </c>
      <c r="FI17" s="1" t="s">
        <v>176</v>
      </c>
      <c r="FJ17" s="1" t="s">
        <v>177</v>
      </c>
      <c r="FK17" s="1" t="s">
        <v>178</v>
      </c>
      <c r="FL17" s="1" t="s">
        <v>179</v>
      </c>
      <c r="FM17" s="1" t="s">
        <v>180</v>
      </c>
      <c r="FN17" s="1" t="s">
        <v>181</v>
      </c>
      <c r="FO17" s="1" t="s">
        <v>182</v>
      </c>
      <c r="FP17" s="1" t="s">
        <v>183</v>
      </c>
      <c r="FQ17" s="1" t="s">
        <v>184</v>
      </c>
      <c r="FR17" s="1" t="s">
        <v>185</v>
      </c>
      <c r="FS17" s="1" t="s">
        <v>186</v>
      </c>
      <c r="FT17" s="1" t="s">
        <v>187</v>
      </c>
      <c r="FU17" s="1" t="s">
        <v>188</v>
      </c>
      <c r="FV17" s="1" t="s">
        <v>189</v>
      </c>
      <c r="FW17" s="1" t="s">
        <v>190</v>
      </c>
      <c r="FX17" s="1" t="s">
        <v>191</v>
      </c>
      <c r="FY17" s="1" t="s">
        <v>192</v>
      </c>
      <c r="FZ17" s="1" t="s">
        <v>193</v>
      </c>
      <c r="GA17" s="1" t="s">
        <v>194</v>
      </c>
      <c r="GB17" s="1" t="s">
        <v>195</v>
      </c>
      <c r="GC17" s="1" t="s">
        <v>196</v>
      </c>
      <c r="GD17" s="1" t="s">
        <v>197</v>
      </c>
      <c r="GE17" s="1" t="s">
        <v>198</v>
      </c>
      <c r="GF17" s="1" t="s">
        <v>199</v>
      </c>
      <c r="GG17" s="1" t="s">
        <v>200</v>
      </c>
      <c r="GH17" s="1" t="s">
        <v>201</v>
      </c>
      <c r="GI17" s="1" t="s">
        <v>202</v>
      </c>
      <c r="GJ17" s="1" t="s">
        <v>203</v>
      </c>
      <c r="GK17" s="1" t="s">
        <v>204</v>
      </c>
      <c r="GL17" s="1" t="s">
        <v>205</v>
      </c>
      <c r="GM17" s="1" t="s">
        <v>206</v>
      </c>
      <c r="GN17" s="1" t="s">
        <v>207</v>
      </c>
      <c r="GO17" s="1" t="s">
        <v>208</v>
      </c>
      <c r="GP17" s="1" t="s">
        <v>209</v>
      </c>
      <c r="GQ17" s="1" t="s">
        <v>210</v>
      </c>
      <c r="GR17" s="1" t="s">
        <v>211</v>
      </c>
      <c r="GS17" s="1" t="s">
        <v>21</v>
      </c>
      <c r="GT17" s="1" t="s">
        <v>212</v>
      </c>
      <c r="GU17" s="1" t="s">
        <v>213</v>
      </c>
      <c r="GV17" s="1" t="s">
        <v>60</v>
      </c>
      <c r="GW17" s="1" t="s">
        <v>214</v>
      </c>
      <c r="GX17" s="1" t="s">
        <v>215</v>
      </c>
      <c r="GY17" s="1" t="s">
        <v>216</v>
      </c>
      <c r="GZ17" s="1" t="s">
        <v>217</v>
      </c>
      <c r="HA17" s="1" t="s">
        <v>218</v>
      </c>
      <c r="HB17" s="1" t="s">
        <v>219</v>
      </c>
      <c r="HC17" s="1" t="s">
        <v>220</v>
      </c>
    </row>
    <row r="18" spans="1:211" x14ac:dyDescent="0.45">
      <c r="A18" s="1" t="s">
        <v>3</v>
      </c>
      <c r="B18">
        <v>9.7829285156895724E-9</v>
      </c>
      <c r="C18">
        <v>8.0266422440873781E-9</v>
      </c>
      <c r="D18">
        <v>5.119596526182413E-9</v>
      </c>
      <c r="E18">
        <v>2.1215301117151339E-8</v>
      </c>
      <c r="F18">
        <v>1.337762646123861E-8</v>
      </c>
      <c r="G18">
        <v>6.761315000067808E-10</v>
      </c>
      <c r="H18">
        <v>4.9551005869534189E-9</v>
      </c>
      <c r="I18">
        <v>1.00340779395936E-9</v>
      </c>
      <c r="J18">
        <v>4.48784674281547E-8</v>
      </c>
      <c r="K18">
        <v>3.9917246766032422E-8</v>
      </c>
      <c r="L18">
        <v>3.6511491174479062E-8</v>
      </c>
      <c r="M18">
        <v>3.1722010636686497E-8</v>
      </c>
      <c r="N18">
        <v>4.2972041011012499E-8</v>
      </c>
      <c r="O18">
        <v>5.2137096300982037E-8</v>
      </c>
      <c r="P18">
        <v>7.2118946755660964E-8</v>
      </c>
      <c r="Q18">
        <v>0</v>
      </c>
      <c r="R18">
        <v>0</v>
      </c>
      <c r="S18">
        <v>3.5606080732818958E-9</v>
      </c>
      <c r="T18">
        <v>1.3339814753319389E-7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4.2769941555497722E-8</v>
      </c>
      <c r="AD18">
        <v>6.1234234939687712E-7</v>
      </c>
      <c r="AE18">
        <v>3.0217611188458669E-9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5.2003624939830493E-9</v>
      </c>
      <c r="AO18">
        <v>2.9595571626979879E-9</v>
      </c>
      <c r="AP18">
        <v>8.7552234855041356E-11</v>
      </c>
      <c r="AQ18">
        <v>1.8942036153193691E-9</v>
      </c>
      <c r="AR18">
        <v>6.7703843413638304E-8</v>
      </c>
      <c r="AS18">
        <v>2.450820009376538E-8</v>
      </c>
      <c r="AT18">
        <v>3.9104905990920133E-8</v>
      </c>
      <c r="AU18">
        <v>6.8179891147850164E-8</v>
      </c>
      <c r="AV18">
        <v>3.2448512682776449E-8</v>
      </c>
      <c r="AW18">
        <v>3.8251406337426791E-8</v>
      </c>
      <c r="AX18">
        <v>8.8200117829015855E-9</v>
      </c>
      <c r="AY18">
        <v>1.5409087713162319E-8</v>
      </c>
      <c r="AZ18">
        <v>4.8437618195943408E-8</v>
      </c>
      <c r="BA18">
        <v>3.2993016277748067E-8</v>
      </c>
      <c r="BB18">
        <v>5.0995585533583011E-8</v>
      </c>
      <c r="BC18">
        <v>1.336731367052866E-8</v>
      </c>
      <c r="BD18">
        <v>3.74516872705616E-8</v>
      </c>
      <c r="BE18">
        <v>2.37233151744469E-8</v>
      </c>
      <c r="BF18">
        <v>8.3789572129492961E-8</v>
      </c>
      <c r="BG18">
        <v>1.3834561682080429E-8</v>
      </c>
      <c r="BH18">
        <v>1.1350995828631039E-8</v>
      </c>
      <c r="BI18">
        <v>1.2930800448985821E-8</v>
      </c>
      <c r="BJ18">
        <v>1.2327372053968681E-8</v>
      </c>
      <c r="BK18">
        <v>3.2384066892987703E-8</v>
      </c>
      <c r="BL18">
        <v>1.050264132032126E-8</v>
      </c>
      <c r="BM18">
        <v>9.2746603545991803E-10</v>
      </c>
      <c r="BN18">
        <v>0</v>
      </c>
      <c r="BO18">
        <v>2.0794191900037571E-8</v>
      </c>
      <c r="BP18">
        <v>4.3372952293250547E-8</v>
      </c>
      <c r="BQ18">
        <v>0</v>
      </c>
      <c r="BR18">
        <v>0</v>
      </c>
      <c r="BS18">
        <v>1.1179129298389499E-8</v>
      </c>
      <c r="BT18">
        <v>0</v>
      </c>
      <c r="BU18">
        <v>1.9340713549620101E-8</v>
      </c>
      <c r="BV18">
        <v>6.6739125568731282E-9</v>
      </c>
      <c r="BW18">
        <v>5.6927560912983118E-11</v>
      </c>
      <c r="BX18">
        <v>1.133173036855815E-8</v>
      </c>
      <c r="BY18">
        <v>1.086596190507767E-8</v>
      </c>
      <c r="BZ18">
        <v>0</v>
      </c>
      <c r="CA18">
        <v>5.9688867657369406E-9</v>
      </c>
      <c r="CB18">
        <v>1.22154389382958E-8</v>
      </c>
      <c r="CC18">
        <v>2.0647532201048458E-8</v>
      </c>
      <c r="CD18">
        <v>2.2584748216531721E-9</v>
      </c>
      <c r="CE18">
        <v>2.5162938317717631E-9</v>
      </c>
      <c r="CF18">
        <v>3.7855210722660348E-9</v>
      </c>
      <c r="CG18">
        <v>2.409149890394474E-9</v>
      </c>
      <c r="CH18">
        <v>7.3639887987814418E-11</v>
      </c>
      <c r="CI18">
        <v>1.8893263479550939E-8</v>
      </c>
      <c r="CJ18">
        <v>1.667928955604839E-8</v>
      </c>
      <c r="CK18">
        <v>7.0659868808652157E-9</v>
      </c>
      <c r="CL18">
        <v>1.1375432516399459E-8</v>
      </c>
      <c r="CM18">
        <v>2.3037095448771039E-8</v>
      </c>
      <c r="CN18">
        <v>0</v>
      </c>
      <c r="CO18">
        <v>4.9823847801000939E-9</v>
      </c>
      <c r="CP18">
        <v>9.4250936339479126E-9</v>
      </c>
      <c r="CQ18">
        <v>3.9095648812300578E-9</v>
      </c>
      <c r="CR18">
        <v>0</v>
      </c>
      <c r="CS18">
        <v>1.2685873888555949E-8</v>
      </c>
      <c r="CT18">
        <v>9.9127106553860033E-9</v>
      </c>
      <c r="CU18">
        <v>1.383547775667189E-8</v>
      </c>
      <c r="CV18">
        <v>9.9271041584561031E-9</v>
      </c>
      <c r="CW18">
        <v>9.0351451968793084E-9</v>
      </c>
      <c r="CX18">
        <v>8.0532081936229466E-9</v>
      </c>
      <c r="CY18">
        <v>1.2877500752655079E-8</v>
      </c>
      <c r="CZ18">
        <v>1.163774342153376E-8</v>
      </c>
      <c r="DA18">
        <v>9.7139813508120515E-9</v>
      </c>
      <c r="DB18">
        <v>2.8113795300233191E-8</v>
      </c>
      <c r="DC18">
        <v>0</v>
      </c>
      <c r="DD18">
        <v>1.6134148997032561E-8</v>
      </c>
      <c r="DE18">
        <v>1.5651775523045109E-8</v>
      </c>
      <c r="DF18">
        <v>2.127719021856284E-8</v>
      </c>
      <c r="DG18">
        <v>2.4253106393842199E-8</v>
      </c>
      <c r="DH18">
        <v>2.350912131300539E-8</v>
      </c>
      <c r="DI18">
        <v>0</v>
      </c>
      <c r="DJ18">
        <v>2.3177529209438931E-8</v>
      </c>
      <c r="DK18">
        <v>0</v>
      </c>
      <c r="DL18">
        <v>1.384026180701844E-8</v>
      </c>
      <c r="DM18">
        <v>1.0733256736703729E-8</v>
      </c>
      <c r="DN18">
        <v>1.2038276155316059E-8</v>
      </c>
      <c r="DO18">
        <v>1.5256807417932958E-8</v>
      </c>
      <c r="DP18">
        <v>1.086382049522731E-8</v>
      </c>
      <c r="DQ18">
        <v>1.17184861215652E-8</v>
      </c>
      <c r="DR18">
        <v>9.0445984410834143E-9</v>
      </c>
      <c r="DS18">
        <v>1.4695049636785941E-8</v>
      </c>
      <c r="DT18">
        <v>1.243681460331969E-8</v>
      </c>
      <c r="DU18">
        <v>1.5154932822797029E-8</v>
      </c>
      <c r="DV18">
        <v>0</v>
      </c>
      <c r="DW18">
        <v>0</v>
      </c>
      <c r="DX18">
        <v>6.3343655915515251E-8</v>
      </c>
      <c r="DY18">
        <v>1.3176139745177099E-8</v>
      </c>
      <c r="DZ18">
        <v>1.012031895186899E-8</v>
      </c>
      <c r="EA18">
        <v>1.261903836447559E-8</v>
      </c>
      <c r="EB18">
        <v>5.0227125174567211E-9</v>
      </c>
      <c r="EC18">
        <v>4.4442728910625172E-8</v>
      </c>
      <c r="ED18">
        <v>1.05331302975343E-8</v>
      </c>
      <c r="EE18">
        <v>1.0844587171109229E-9</v>
      </c>
      <c r="EF18">
        <v>0</v>
      </c>
      <c r="EG18">
        <v>1.5015945045913099E-8</v>
      </c>
      <c r="EH18">
        <v>0</v>
      </c>
      <c r="EI18">
        <v>0</v>
      </c>
      <c r="EJ18">
        <v>5.7923183846582593E-9</v>
      </c>
      <c r="EK18">
        <v>5.7152613694227914E-9</v>
      </c>
      <c r="EL18">
        <v>1.3397183022729431E-9</v>
      </c>
      <c r="EM18">
        <v>2.7471235997779349E-9</v>
      </c>
      <c r="EN18">
        <v>2.3217146262881869E-16</v>
      </c>
      <c r="EO18">
        <v>0</v>
      </c>
      <c r="EP18">
        <v>5.6975610371781312E-9</v>
      </c>
      <c r="EQ18">
        <v>1.22863407582054E-8</v>
      </c>
      <c r="ER18">
        <v>4.9332242222838658E-8</v>
      </c>
      <c r="ES18">
        <v>7.2201769369110683E-9</v>
      </c>
      <c r="ET18">
        <v>9.7992222656784916E-9</v>
      </c>
      <c r="EU18">
        <v>0</v>
      </c>
      <c r="EV18">
        <v>3.9683326475958828E-9</v>
      </c>
      <c r="EW18">
        <v>9.4292686595780319E-9</v>
      </c>
      <c r="EX18">
        <v>4.9794791032750868E-9</v>
      </c>
      <c r="EY18">
        <v>5.3978717793816872E-9</v>
      </c>
      <c r="EZ18">
        <v>1.383369393070492E-8</v>
      </c>
      <c r="FA18">
        <v>1.033718188476575E-8</v>
      </c>
      <c r="FB18">
        <v>7.3389640533779944E-9</v>
      </c>
      <c r="FC18">
        <v>3.7558698298413772E-8</v>
      </c>
      <c r="FD18">
        <v>5.1628014325599758E-8</v>
      </c>
      <c r="FE18">
        <v>6.7534264928770733E-8</v>
      </c>
      <c r="FF18">
        <v>2.0117905379643629E-8</v>
      </c>
      <c r="FG18">
        <v>8.1422364897581163E-9</v>
      </c>
      <c r="FH18">
        <v>5.8306872731064341E-9</v>
      </c>
      <c r="FI18">
        <v>8.8039332287134632E-9</v>
      </c>
      <c r="FJ18">
        <v>1.0660138854416491E-8</v>
      </c>
      <c r="FK18">
        <v>1.323127489490455E-8</v>
      </c>
      <c r="FL18">
        <v>6.8372619845070323E-9</v>
      </c>
      <c r="FM18">
        <v>8.0055210956802894E-9</v>
      </c>
      <c r="FN18">
        <v>8.7008628187612576E-9</v>
      </c>
      <c r="FO18">
        <v>2.4251109317704832E-8</v>
      </c>
      <c r="FP18">
        <v>7.8985760781573768E-9</v>
      </c>
      <c r="FQ18">
        <v>9.8124429053810508E-9</v>
      </c>
      <c r="FR18">
        <v>6.0450966342448603E-9</v>
      </c>
      <c r="FS18">
        <v>6.6536948344148071E-9</v>
      </c>
      <c r="FT18">
        <v>7.6081218703623174E-9</v>
      </c>
      <c r="FU18">
        <v>7.7007520679735281E-9</v>
      </c>
      <c r="FV18">
        <v>8.688926956828773E-9</v>
      </c>
      <c r="FW18">
        <v>7.8365677576103359E-9</v>
      </c>
      <c r="FX18">
        <v>7.7226896324845004E-9</v>
      </c>
      <c r="FY18">
        <v>7.9812921326881257E-9</v>
      </c>
      <c r="FZ18">
        <v>7.3556833801365263E-9</v>
      </c>
      <c r="GA18">
        <v>7.0812666196246206E-9</v>
      </c>
      <c r="GB18">
        <v>6.9153171787988931E-9</v>
      </c>
      <c r="GC18">
        <v>8.2696028717862455E-9</v>
      </c>
      <c r="GD18">
        <v>7.7276008890506118E-9</v>
      </c>
      <c r="GE18">
        <v>8.4889381148123066E-8</v>
      </c>
      <c r="GF18">
        <v>9.5887048385586182E-9</v>
      </c>
      <c r="GG18">
        <v>9.9573307138349223E-9</v>
      </c>
      <c r="GH18">
        <v>9.5108200532267303E-9</v>
      </c>
      <c r="GI18">
        <v>9.2220710602454029E-9</v>
      </c>
      <c r="GJ18">
        <v>1.127163132366521E-8</v>
      </c>
      <c r="GK18">
        <v>7.5776811423019679E-9</v>
      </c>
      <c r="GL18">
        <v>9.5482811522806627E-9</v>
      </c>
      <c r="GM18">
        <v>8.2728347055037084E-9</v>
      </c>
      <c r="GN18">
        <v>1.3451364957265201E-8</v>
      </c>
      <c r="GO18">
        <v>1.386294920988913E-8</v>
      </c>
      <c r="GP18">
        <v>2.1735450471238151E-8</v>
      </c>
      <c r="GQ18">
        <v>0</v>
      </c>
      <c r="GR18">
        <v>2.12446842958457E-8</v>
      </c>
      <c r="GS18">
        <v>6.7703843413638304E-8</v>
      </c>
      <c r="GT18">
        <v>5.2325198188182409E-8</v>
      </c>
      <c r="GU18">
        <v>4.0853847097484357E-8</v>
      </c>
      <c r="GV18">
        <v>3.8472691450843749E-8</v>
      </c>
      <c r="GW18">
        <v>4.2629468758164071E-8</v>
      </c>
      <c r="GX18">
        <v>9.1485052011882921E-9</v>
      </c>
      <c r="GY18">
        <v>1.4762310621290879E-8</v>
      </c>
      <c r="GZ18">
        <v>3.0507940887611012E-8</v>
      </c>
      <c r="HA18">
        <v>1.5521722365383291E-8</v>
      </c>
      <c r="HB18">
        <v>1.383369393070492E-8</v>
      </c>
      <c r="HC18">
        <v>8.5058850283417174E-9</v>
      </c>
    </row>
    <row r="19" spans="1:211" x14ac:dyDescent="0.45">
      <c r="A19" s="1" t="s">
        <v>4</v>
      </c>
      <c r="B19">
        <v>1.29273385360408E-6</v>
      </c>
      <c r="C19">
        <v>1.7542083355100669E-8</v>
      </c>
      <c r="D19">
        <v>2.7521273331944868E-7</v>
      </c>
      <c r="E19">
        <v>2.7977225498418871E-8</v>
      </c>
      <c r="F19">
        <v>2.2772989403927141E-8</v>
      </c>
      <c r="G19">
        <v>1.5438312703572389E-9</v>
      </c>
      <c r="H19">
        <v>8.0199392655693549E-7</v>
      </c>
      <c r="I19">
        <v>4.5043000070372703E-9</v>
      </c>
      <c r="J19">
        <v>5.6648904204780969E-6</v>
      </c>
      <c r="K19">
        <v>1.3450136234927921E-7</v>
      </c>
      <c r="L19">
        <v>1.379463448652289E-7</v>
      </c>
      <c r="M19">
        <v>1.024719855407648E-6</v>
      </c>
      <c r="N19">
        <v>1.172049100862176E-6</v>
      </c>
      <c r="O19">
        <v>1.4002976056023301E-6</v>
      </c>
      <c r="P19">
        <v>4.9695003974264747E-8</v>
      </c>
      <c r="Q19">
        <v>0</v>
      </c>
      <c r="R19">
        <v>0</v>
      </c>
      <c r="S19">
        <v>5.2970630117731016E-9</v>
      </c>
      <c r="T19">
        <v>7.7255550172678091E-8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1.416722069130173E-9</v>
      </c>
      <c r="AD19">
        <v>2.322665108083797E-8</v>
      </c>
      <c r="AE19">
        <v>1.14627312727984E-10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6.7745000015934926E-12</v>
      </c>
      <c r="AO19">
        <v>2.2295403479039039E-9</v>
      </c>
      <c r="AP19">
        <v>5.5052673231001093E-11</v>
      </c>
      <c r="AQ19">
        <v>1.0359116851844399E-9</v>
      </c>
      <c r="AR19">
        <v>2.214149407813218E-6</v>
      </c>
      <c r="AS19">
        <v>5.7150147269521592E-8</v>
      </c>
      <c r="AT19">
        <v>6.7566301799749825E-8</v>
      </c>
      <c r="AU19">
        <v>1.2913031436232101E-7</v>
      </c>
      <c r="AV19">
        <v>6.8515711929729595E-8</v>
      </c>
      <c r="AW19">
        <v>4.2812093195155479E-7</v>
      </c>
      <c r="AX19">
        <v>7.732716758725654E-9</v>
      </c>
      <c r="AY19">
        <v>3.2797429972605761E-8</v>
      </c>
      <c r="AZ19">
        <v>1.800812777889743E-7</v>
      </c>
      <c r="BA19">
        <v>7.4230497016429157E-8</v>
      </c>
      <c r="BB19">
        <v>1.9893667312304719E-7</v>
      </c>
      <c r="BC19">
        <v>1.6643245655366409E-9</v>
      </c>
      <c r="BD19">
        <v>2.87355023848822E-9</v>
      </c>
      <c r="BE19">
        <v>1.5312117434354699E-9</v>
      </c>
      <c r="BF19">
        <v>3.4006767744740527E-8</v>
      </c>
      <c r="BG19">
        <v>3.2828037335867719E-9</v>
      </c>
      <c r="BH19">
        <v>1.466119667637967E-9</v>
      </c>
      <c r="BI19">
        <v>1.2547195841991389E-9</v>
      </c>
      <c r="BJ19">
        <v>1.102776278207653E-9</v>
      </c>
      <c r="BK19">
        <v>3.719018541812064E-9</v>
      </c>
      <c r="BL19">
        <v>1.4769960866098511E-9</v>
      </c>
      <c r="BM19">
        <v>2.5464517412428349E-11</v>
      </c>
      <c r="BN19">
        <v>0</v>
      </c>
      <c r="BO19">
        <v>5.7090963993289218E-10</v>
      </c>
      <c r="BP19">
        <v>1.3346068159863091E-9</v>
      </c>
      <c r="BQ19">
        <v>0</v>
      </c>
      <c r="BR19">
        <v>0</v>
      </c>
      <c r="BS19">
        <v>3.4398634529734229E-10</v>
      </c>
      <c r="BT19">
        <v>0</v>
      </c>
      <c r="BU19">
        <v>5.9512672585706249E-10</v>
      </c>
      <c r="BV19">
        <v>2.0535923370601839E-10</v>
      </c>
      <c r="BW19">
        <v>1.7517137429232939E-12</v>
      </c>
      <c r="BX19">
        <v>3.4868222306356782E-10</v>
      </c>
      <c r="BY19">
        <v>3.3435630524268058E-10</v>
      </c>
      <c r="BZ19">
        <v>0</v>
      </c>
      <c r="CA19">
        <v>1.836650225541459E-10</v>
      </c>
      <c r="CB19">
        <v>3.7588127959511589E-10</v>
      </c>
      <c r="CC19">
        <v>6.353447628875712E-10</v>
      </c>
      <c r="CD19">
        <v>6.9495581212600469E-11</v>
      </c>
      <c r="CE19">
        <v>7.7428424422032931E-11</v>
      </c>
      <c r="CF19">
        <v>1.164830206725643E-10</v>
      </c>
      <c r="CG19">
        <v>7.4130564643837086E-11</v>
      </c>
      <c r="CH19">
        <v>9.7604256689837956E-12</v>
      </c>
      <c r="CI19">
        <v>3.4376153475058318E-9</v>
      </c>
      <c r="CJ19">
        <v>3.7796711522807173E-9</v>
      </c>
      <c r="CK19">
        <v>8.0778087265773857E-10</v>
      </c>
      <c r="CL19">
        <v>1.1370166690679841E-9</v>
      </c>
      <c r="CM19">
        <v>4.8386130216945224E-9</v>
      </c>
      <c r="CN19">
        <v>0</v>
      </c>
      <c r="CO19">
        <v>1.044751991922908E-9</v>
      </c>
      <c r="CP19">
        <v>1.9763507003022269E-9</v>
      </c>
      <c r="CQ19">
        <v>8.1974563033731118E-10</v>
      </c>
      <c r="CR19">
        <v>0</v>
      </c>
      <c r="CS19">
        <v>1.4128455569064041E-9</v>
      </c>
      <c r="CT19">
        <v>1.081362947289959E-9</v>
      </c>
      <c r="CU19">
        <v>1.4226076989446251E-9</v>
      </c>
      <c r="CV19">
        <v>2.1948750267859241E-9</v>
      </c>
      <c r="CW19">
        <v>1.493039231965878E-9</v>
      </c>
      <c r="CX19">
        <v>1.480965575092482E-9</v>
      </c>
      <c r="CY19">
        <v>2.226091469262125E-9</v>
      </c>
      <c r="CZ19">
        <v>1.4580149839959189E-9</v>
      </c>
      <c r="DA19">
        <v>1.527074393549854E-9</v>
      </c>
      <c r="DB19">
        <v>1.7298372450123181E-9</v>
      </c>
      <c r="DC19">
        <v>0</v>
      </c>
      <c r="DD19">
        <v>1.1160995119725269E-9</v>
      </c>
      <c r="DE19">
        <v>1.20406329242385E-9</v>
      </c>
      <c r="DF19">
        <v>6.7176707360652011E-10</v>
      </c>
      <c r="DG19">
        <v>8.1239140747042802E-10</v>
      </c>
      <c r="DH19">
        <v>8.2783524402926056E-10</v>
      </c>
      <c r="DI19">
        <v>0</v>
      </c>
      <c r="DJ19">
        <v>1.099857296291997E-9</v>
      </c>
      <c r="DK19">
        <v>0</v>
      </c>
      <c r="DL19">
        <v>1.4912084726319E-9</v>
      </c>
      <c r="DM19">
        <v>8.2906547604574512E-10</v>
      </c>
      <c r="DN19">
        <v>9.4297924384247306E-10</v>
      </c>
      <c r="DO19">
        <v>1.5936597608457101E-9</v>
      </c>
      <c r="DP19">
        <v>8.9856150013673503E-10</v>
      </c>
      <c r="DQ19">
        <v>1.2398137649279501E-9</v>
      </c>
      <c r="DR19">
        <v>9.8273929646423492E-10</v>
      </c>
      <c r="DS19">
        <v>1.137584511490055E-9</v>
      </c>
      <c r="DT19">
        <v>8.6825305944370621E-10</v>
      </c>
      <c r="DU19">
        <v>1.4902143314375489E-9</v>
      </c>
      <c r="DV19">
        <v>0</v>
      </c>
      <c r="DW19">
        <v>0</v>
      </c>
      <c r="DX19">
        <v>3.20837658498174E-9</v>
      </c>
      <c r="DY19">
        <v>1.3201620111850121E-9</v>
      </c>
      <c r="DZ19">
        <v>1.0235559313036509E-9</v>
      </c>
      <c r="EA19">
        <v>1.1566492944896941E-9</v>
      </c>
      <c r="EB19">
        <v>4.6029729199455841E-10</v>
      </c>
      <c r="EC19">
        <v>2.1126321234821892E-9</v>
      </c>
      <c r="ED19">
        <v>9.085082834432249E-10</v>
      </c>
      <c r="EE19">
        <v>9.4863101550150054E-11</v>
      </c>
      <c r="EF19">
        <v>0</v>
      </c>
      <c r="EG19">
        <v>1.6382265502162281E-9</v>
      </c>
      <c r="EH19">
        <v>0</v>
      </c>
      <c r="EI19">
        <v>0</v>
      </c>
      <c r="EJ19">
        <v>3.474104391439259E-10</v>
      </c>
      <c r="EK19">
        <v>3.2195492172347972E-10</v>
      </c>
      <c r="EL19">
        <v>9.2218648868561073E-11</v>
      </c>
      <c r="EM19">
        <v>1.887363084198312E-10</v>
      </c>
      <c r="EN19">
        <v>3.9191270705606548E-17</v>
      </c>
      <c r="EO19">
        <v>0</v>
      </c>
      <c r="EP19">
        <v>3.9168228989364138E-10</v>
      </c>
      <c r="EQ19">
        <v>8.4390094518369605E-10</v>
      </c>
      <c r="ER19">
        <v>4.1832904231729926E-9</v>
      </c>
      <c r="ES19">
        <v>1.125772869101524E-9</v>
      </c>
      <c r="ET19">
        <v>1.163242634501935E-9</v>
      </c>
      <c r="EU19">
        <v>0</v>
      </c>
      <c r="EV19">
        <v>2.7404013353067711E-10</v>
      </c>
      <c r="EW19">
        <v>2.5727248595447168E-9</v>
      </c>
      <c r="EX19">
        <v>1.0355998213940049E-9</v>
      </c>
      <c r="EY19">
        <v>1.170565680957165E-9</v>
      </c>
      <c r="EZ19">
        <v>2.840057844199529E-8</v>
      </c>
      <c r="FA19">
        <v>1.0038831309752169E-9</v>
      </c>
      <c r="FB19">
        <v>7.9533586902477533E-10</v>
      </c>
      <c r="FC19">
        <v>1.393942455483006E-9</v>
      </c>
      <c r="FD19">
        <v>1.268096639184837E-9</v>
      </c>
      <c r="FE19">
        <v>3.5451179769785209E-9</v>
      </c>
      <c r="FF19">
        <v>2.802783419964009E-9</v>
      </c>
      <c r="FG19">
        <v>1.112905423807468E-9</v>
      </c>
      <c r="FH19">
        <v>1.5489441638922919E-9</v>
      </c>
      <c r="FI19">
        <v>1.0441317116559101E-9</v>
      </c>
      <c r="FJ19">
        <v>1.4343299074596859E-9</v>
      </c>
      <c r="FK19">
        <v>1.501253466693308E-9</v>
      </c>
      <c r="FL19">
        <v>9.7540259655372648E-10</v>
      </c>
      <c r="FM19">
        <v>3.5734347173891021E-9</v>
      </c>
      <c r="FN19">
        <v>2.102818401831642E-9</v>
      </c>
      <c r="FO19">
        <v>6.3139096412064659E-9</v>
      </c>
      <c r="FP19">
        <v>2.9063527202053651E-9</v>
      </c>
      <c r="FQ19">
        <v>1.630832232544473E-9</v>
      </c>
      <c r="FR19">
        <v>5.7138912752565207E-9</v>
      </c>
      <c r="FS19">
        <v>3.517927481806665E-9</v>
      </c>
      <c r="FT19">
        <v>1.372607657391341E-9</v>
      </c>
      <c r="FU19">
        <v>1.366815718321158E-9</v>
      </c>
      <c r="FV19">
        <v>1.3580605114654991E-9</v>
      </c>
      <c r="FW19">
        <v>1.375165504077151E-9</v>
      </c>
      <c r="FX19">
        <v>1.344092230053936E-9</v>
      </c>
      <c r="FY19">
        <v>1.362491645578487E-9</v>
      </c>
      <c r="FZ19">
        <v>1.360093999296204E-9</v>
      </c>
      <c r="GA19">
        <v>1.320760495354702E-9</v>
      </c>
      <c r="GB19">
        <v>1.2058575494112121E-9</v>
      </c>
      <c r="GC19">
        <v>1.293712324123325E-9</v>
      </c>
      <c r="GD19">
        <v>1.325778316168679E-9</v>
      </c>
      <c r="GE19">
        <v>5.7440064222186509E-10</v>
      </c>
      <c r="GF19">
        <v>1.3583053058520749E-9</v>
      </c>
      <c r="GG19">
        <v>1.3483677119352249E-9</v>
      </c>
      <c r="GH19">
        <v>1.3396244346531509E-9</v>
      </c>
      <c r="GI19">
        <v>1.348075228051878E-9</v>
      </c>
      <c r="GJ19">
        <v>1.321846288280758E-9</v>
      </c>
      <c r="GK19">
        <v>1.3623013403464271E-9</v>
      </c>
      <c r="GL19">
        <v>1.325696816157007E-9</v>
      </c>
      <c r="GM19">
        <v>1.346946298965918E-9</v>
      </c>
      <c r="GN19">
        <v>2.3915418622552399E-9</v>
      </c>
      <c r="GO19">
        <v>8.8657307885714212E-9</v>
      </c>
      <c r="GP19">
        <v>4.415925189917989E-10</v>
      </c>
      <c r="GQ19">
        <v>0</v>
      </c>
      <c r="GR19">
        <v>2.80832637034194E-8</v>
      </c>
      <c r="GS19">
        <v>2.214149407813218E-6</v>
      </c>
      <c r="GT19">
        <v>1.637004709595604E-7</v>
      </c>
      <c r="GU19">
        <v>4.304853925348319E-7</v>
      </c>
      <c r="GV19">
        <v>4.436137325293268E-7</v>
      </c>
      <c r="GW19">
        <v>1.626131563206766E-7</v>
      </c>
      <c r="GX19">
        <v>1.335333449565937E-9</v>
      </c>
      <c r="GY19">
        <v>1.2011390995365079E-9</v>
      </c>
      <c r="GZ19">
        <v>2.801428320909858E-9</v>
      </c>
      <c r="HA19">
        <v>1.421295047412739E-9</v>
      </c>
      <c r="HB19">
        <v>2.840057844199529E-8</v>
      </c>
      <c r="HC19">
        <v>3.3852650884529341E-9</v>
      </c>
    </row>
    <row r="20" spans="1:211" x14ac:dyDescent="0.45">
      <c r="A20" s="1" t="s">
        <v>5</v>
      </c>
      <c r="B20">
        <v>4.2918813869447132E-7</v>
      </c>
      <c r="C20">
        <v>3.3480186300816322E-7</v>
      </c>
      <c r="D20">
        <v>6.4624457833425061E-7</v>
      </c>
      <c r="E20">
        <v>3.17434917060135E-7</v>
      </c>
      <c r="F20">
        <v>6.0055300150581302E-7</v>
      </c>
      <c r="G20">
        <v>4.9065125304780328E-8</v>
      </c>
      <c r="H20">
        <v>2.002348569051114E-5</v>
      </c>
      <c r="I20">
        <v>2.7222818938438841E-7</v>
      </c>
      <c r="J20">
        <v>1.0635427267640501E-5</v>
      </c>
      <c r="K20">
        <v>2.4765692869861378E-7</v>
      </c>
      <c r="L20">
        <v>2.2137160014671721E-7</v>
      </c>
      <c r="M20">
        <v>4.301291299493487E-6</v>
      </c>
      <c r="N20">
        <v>9.9472100301526209E-7</v>
      </c>
      <c r="O20">
        <v>0</v>
      </c>
      <c r="P20">
        <v>5.6996894901245499E-6</v>
      </c>
      <c r="Q20">
        <v>0</v>
      </c>
      <c r="R20">
        <v>0</v>
      </c>
      <c r="S20">
        <v>5.6888297906773762E-8</v>
      </c>
      <c r="T20">
        <v>3.8910970752950991E-7</v>
      </c>
      <c r="U20">
        <v>1.1299792618902039E-9</v>
      </c>
      <c r="V20">
        <v>6.4571389479530084E-10</v>
      </c>
      <c r="W20">
        <v>7.0543044778812691E-9</v>
      </c>
      <c r="X20">
        <v>0</v>
      </c>
      <c r="Y20">
        <v>2.5055380259657001E-9</v>
      </c>
      <c r="Z20">
        <v>7.949381410677755E-9</v>
      </c>
      <c r="AA20">
        <v>2.7201231792486389E-8</v>
      </c>
      <c r="AB20">
        <v>0</v>
      </c>
      <c r="AC20">
        <v>1.2581421325322261E-8</v>
      </c>
      <c r="AD20">
        <v>6.9763483315937758E-10</v>
      </c>
      <c r="AE20">
        <v>1.186536043262268E-7</v>
      </c>
      <c r="AF20">
        <v>0</v>
      </c>
      <c r="AG20">
        <v>6.6222090313058283E-9</v>
      </c>
      <c r="AH20">
        <v>3.199292629496272E-12</v>
      </c>
      <c r="AI20">
        <v>2.3996397227944431E-5</v>
      </c>
      <c r="AJ20">
        <v>7.167149146560173E-8</v>
      </c>
      <c r="AK20">
        <v>4.5149664452905241E-10</v>
      </c>
      <c r="AL20">
        <v>1.206054843472856E-7</v>
      </c>
      <c r="AM20">
        <v>4.4573512250265059E-9</v>
      </c>
      <c r="AN20">
        <v>2.8655495774731709E-10</v>
      </c>
      <c r="AO20">
        <v>2.4955267344664371E-9</v>
      </c>
      <c r="AP20">
        <v>5.6534129276234369E-10</v>
      </c>
      <c r="AQ20">
        <v>1.744105651058135E-9</v>
      </c>
      <c r="AR20">
        <v>1.375569622025935E-6</v>
      </c>
      <c r="AS20">
        <v>1.732903482788726E-7</v>
      </c>
      <c r="AT20">
        <v>1.3880517715122639E-7</v>
      </c>
      <c r="AU20">
        <v>1.062718528423252E-7</v>
      </c>
      <c r="AV20">
        <v>5.2561293985826198E-7</v>
      </c>
      <c r="AW20">
        <v>4.0429908150026241E-7</v>
      </c>
      <c r="AX20">
        <v>2.9932996821914077E-7</v>
      </c>
      <c r="AY20">
        <v>2.0133098493164049E-7</v>
      </c>
      <c r="AZ20">
        <v>2.6908973590383929E-7</v>
      </c>
      <c r="BA20">
        <v>1.3381227412771819E-7</v>
      </c>
      <c r="BB20">
        <v>1.5838930799265239E-7</v>
      </c>
      <c r="BC20">
        <v>4.513353734728474E-8</v>
      </c>
      <c r="BD20">
        <v>1.8609676679107851E-7</v>
      </c>
      <c r="BE20">
        <v>1.672284527841607E-7</v>
      </c>
      <c r="BF20">
        <v>1.076368256488481E-6</v>
      </c>
      <c r="BG20">
        <v>8.2238017392416687E-8</v>
      </c>
      <c r="BH20">
        <v>0</v>
      </c>
      <c r="BI20">
        <v>1.9669660558945341E-7</v>
      </c>
      <c r="BJ20">
        <v>0</v>
      </c>
      <c r="BK20">
        <v>2.900070798271475E-8</v>
      </c>
      <c r="BL20">
        <v>1.807389373082081E-8</v>
      </c>
      <c r="BM20">
        <v>1.986524886007596E-8</v>
      </c>
      <c r="BN20">
        <v>0</v>
      </c>
      <c r="BO20">
        <v>0</v>
      </c>
      <c r="BP20">
        <v>5.4922899615690567E-7</v>
      </c>
      <c r="BQ20">
        <v>3.4839326481537511E-9</v>
      </c>
      <c r="BR20">
        <v>0</v>
      </c>
      <c r="BS20">
        <v>3.1666645837529348E-8</v>
      </c>
      <c r="BT20">
        <v>1.030825539155745E-8</v>
      </c>
      <c r="BU20">
        <v>1.355105759579267E-8</v>
      </c>
      <c r="BV20">
        <v>1.24625536907208E-7</v>
      </c>
      <c r="BW20">
        <v>0</v>
      </c>
      <c r="BX20">
        <v>1.800773981738798E-8</v>
      </c>
      <c r="BY20">
        <v>8.2415153467534208E-9</v>
      </c>
      <c r="BZ20">
        <v>0</v>
      </c>
      <c r="CA20">
        <v>1.345145802389844E-8</v>
      </c>
      <c r="CB20">
        <v>0</v>
      </c>
      <c r="CC20">
        <v>0</v>
      </c>
      <c r="CD20">
        <v>6.4211561995823063E-9</v>
      </c>
      <c r="CE20">
        <v>0</v>
      </c>
      <c r="CF20">
        <v>5.6754266427335598E-9</v>
      </c>
      <c r="CG20">
        <v>3.9239762564047726E-9</v>
      </c>
      <c r="CH20">
        <v>0</v>
      </c>
      <c r="CI20">
        <v>1.3056848588728749E-7</v>
      </c>
      <c r="CJ20">
        <v>0</v>
      </c>
      <c r="CK20">
        <v>3.4534882191237849E-7</v>
      </c>
      <c r="CL20">
        <v>8.4419550874321044E-7</v>
      </c>
      <c r="CM20">
        <v>8.8456049941375213E-8</v>
      </c>
      <c r="CN20">
        <v>0</v>
      </c>
      <c r="CO20">
        <v>1.464681606975122E-6</v>
      </c>
      <c r="CP20">
        <v>0</v>
      </c>
      <c r="CQ20">
        <v>0</v>
      </c>
      <c r="CR20">
        <v>0</v>
      </c>
      <c r="CS20">
        <v>3.3281700826786852E-8</v>
      </c>
      <c r="CT20">
        <v>0</v>
      </c>
      <c r="CU20">
        <v>3.8521450516742683E-8</v>
      </c>
      <c r="CV20">
        <v>2.551076304899802E-8</v>
      </c>
      <c r="CW20">
        <v>2.5459136776822641E-8</v>
      </c>
      <c r="CX20">
        <v>0</v>
      </c>
      <c r="CY20">
        <v>3.2492690506218923E-8</v>
      </c>
      <c r="CZ20">
        <v>2.177023564829688E-8</v>
      </c>
      <c r="DA20">
        <v>0</v>
      </c>
      <c r="DB20">
        <v>7.000412334770797E-8</v>
      </c>
      <c r="DC20">
        <v>0</v>
      </c>
      <c r="DD20">
        <v>4.4558159125442068E-8</v>
      </c>
      <c r="DE20">
        <v>0</v>
      </c>
      <c r="DF20">
        <v>8.9413372009175849E-8</v>
      </c>
      <c r="DG20">
        <v>0</v>
      </c>
      <c r="DH20">
        <v>5.9625271462190181E-8</v>
      </c>
      <c r="DI20">
        <v>0</v>
      </c>
      <c r="DJ20">
        <v>4.6158062688551311E-8</v>
      </c>
      <c r="DK20">
        <v>0</v>
      </c>
      <c r="DL20">
        <v>0</v>
      </c>
      <c r="DM20">
        <v>2.284905549356886E-8</v>
      </c>
      <c r="DN20">
        <v>9.5446556121451023E-9</v>
      </c>
      <c r="DO20">
        <v>6.8594204727011658E-8</v>
      </c>
      <c r="DP20">
        <v>1.693487478625723E-8</v>
      </c>
      <c r="DQ20">
        <v>1.437785664445159E-8</v>
      </c>
      <c r="DR20">
        <v>9.479623176959541E-9</v>
      </c>
      <c r="DS20">
        <v>2.5188284828033259E-8</v>
      </c>
      <c r="DT20">
        <v>1.6084255848877999E-8</v>
      </c>
      <c r="DU20">
        <v>5.6610277962835587E-8</v>
      </c>
      <c r="DV20">
        <v>0</v>
      </c>
      <c r="DW20">
        <v>0</v>
      </c>
      <c r="DX20">
        <v>4.3717618139650127E-9</v>
      </c>
      <c r="DY20">
        <v>2.25480933935963E-8</v>
      </c>
      <c r="DZ20">
        <v>1.100822144992944E-7</v>
      </c>
      <c r="EA20">
        <v>8.2869713107891859E-8</v>
      </c>
      <c r="EB20">
        <v>1.8957129601136209E-8</v>
      </c>
      <c r="EC20">
        <v>1.263543175707543E-8</v>
      </c>
      <c r="ED20">
        <v>3.561998264469662E-8</v>
      </c>
      <c r="EE20">
        <v>5.5877036176695178E-8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4.6960860122854507E-8</v>
      </c>
      <c r="EU20">
        <v>0</v>
      </c>
      <c r="EV20">
        <v>3.2364849588912502E-8</v>
      </c>
      <c r="EW20">
        <v>2.7777492837298642E-7</v>
      </c>
      <c r="EX20">
        <v>4.6432184233581552E-8</v>
      </c>
      <c r="EY20">
        <v>5.3579579531169923E-8</v>
      </c>
      <c r="EZ20">
        <v>1.6697690328367821E-7</v>
      </c>
      <c r="FA20">
        <v>2.6649037587384991E-8</v>
      </c>
      <c r="FB20">
        <v>2.1157870019488129E-8</v>
      </c>
      <c r="FC20">
        <v>8.7214762545657355E-8</v>
      </c>
      <c r="FD20">
        <v>6.7947166999746198E-8</v>
      </c>
      <c r="FE20">
        <v>9.935172452255283E-8</v>
      </c>
      <c r="FF20">
        <v>3.7532435280233457E-8</v>
      </c>
      <c r="FG20">
        <v>2.9635467726863751E-8</v>
      </c>
      <c r="FH20">
        <v>1.79450034904272E-8</v>
      </c>
      <c r="FI20">
        <v>1.1010117580404621E-8</v>
      </c>
      <c r="FJ20">
        <v>1.52516292389168E-8</v>
      </c>
      <c r="FK20">
        <v>1.4952461476685571E-8</v>
      </c>
      <c r="FL20">
        <v>1.271383583434497E-8</v>
      </c>
      <c r="FM20">
        <v>3.4949791125196732E-8</v>
      </c>
      <c r="FN20">
        <v>2.6445955754433899E-8</v>
      </c>
      <c r="FO20">
        <v>7.7727147989572163E-8</v>
      </c>
      <c r="FP20">
        <v>1.9026779656267831E-8</v>
      </c>
      <c r="FQ20">
        <v>4.7023199512140523E-8</v>
      </c>
      <c r="FR20">
        <v>3.3737330859194261E-8</v>
      </c>
      <c r="FS20">
        <v>5.9765204307289119E-8</v>
      </c>
      <c r="FT20">
        <v>1.416105359744034E-8</v>
      </c>
      <c r="FU20">
        <v>1.051867637989234E-8</v>
      </c>
      <c r="FV20">
        <v>1.099871587777166E-8</v>
      </c>
      <c r="FW20">
        <v>1.4193849705349039E-8</v>
      </c>
      <c r="FX20">
        <v>9.032802103214272E-9</v>
      </c>
      <c r="FY20">
        <v>1.0332797924003819E-8</v>
      </c>
      <c r="FZ20">
        <v>1.2135592597384941E-8</v>
      </c>
      <c r="GA20">
        <v>5.8199541836213553E-9</v>
      </c>
      <c r="GB20">
        <v>7.330031648673028E-9</v>
      </c>
      <c r="GC20">
        <v>1.20863688066819E-8</v>
      </c>
      <c r="GD20">
        <v>1.193094299859093E-8</v>
      </c>
      <c r="GE20">
        <v>8.427994074666329E-9</v>
      </c>
      <c r="GF20">
        <v>8.6417464863292315E-9</v>
      </c>
      <c r="GG20">
        <v>8.9206681459856166E-9</v>
      </c>
      <c r="GH20">
        <v>7.3677753337228662E-9</v>
      </c>
      <c r="GI20">
        <v>6.9999150831407969E-9</v>
      </c>
      <c r="GJ20">
        <v>6.4325807212307344E-9</v>
      </c>
      <c r="GK20">
        <v>1.099474992637827E-8</v>
      </c>
      <c r="GL20">
        <v>6.1107713885744942E-9</v>
      </c>
      <c r="GM20">
        <v>8.3130640772275278E-9</v>
      </c>
      <c r="GN20">
        <v>8.6743419693563556E-8</v>
      </c>
      <c r="GO20">
        <v>4.6438934695964067E-8</v>
      </c>
      <c r="GP20">
        <v>8.6576585101207571E-8</v>
      </c>
      <c r="GQ20">
        <v>0</v>
      </c>
      <c r="GR20">
        <v>3.2209139399843682E-7</v>
      </c>
      <c r="GS20">
        <v>1.375569622025935E-6</v>
      </c>
      <c r="GT20">
        <v>2.7333035208168741E-7</v>
      </c>
      <c r="GU20">
        <v>4.9299603527115229E-7</v>
      </c>
      <c r="GV20">
        <v>4.0429908150026241E-7</v>
      </c>
      <c r="GW20">
        <v>2.5773223785675332E-7</v>
      </c>
      <c r="GX20">
        <v>2.3975517869086371E-8</v>
      </c>
      <c r="GY20">
        <v>2.959869349522004E-8</v>
      </c>
      <c r="GZ20">
        <v>4.3938016326705431E-7</v>
      </c>
      <c r="HA20">
        <v>3.5036703994142049E-8</v>
      </c>
      <c r="HB20">
        <v>0</v>
      </c>
      <c r="HC20">
        <v>3.7167994222946983E-8</v>
      </c>
    </row>
    <row r="21" spans="1:211" x14ac:dyDescent="0.45">
      <c r="A21" s="1" t="s">
        <v>6</v>
      </c>
      <c r="B21">
        <v>12.589531046076591</v>
      </c>
      <c r="C21">
        <v>393.41683792647649</v>
      </c>
      <c r="D21">
        <v>6.1707335051997774</v>
      </c>
      <c r="E21">
        <v>6666.4130958942833</v>
      </c>
      <c r="F21">
        <v>709.18679688875659</v>
      </c>
      <c r="G21">
        <v>0</v>
      </c>
      <c r="H21">
        <v>18.17377665812187</v>
      </c>
      <c r="I21">
        <v>418.35490823388932</v>
      </c>
      <c r="J21">
        <v>0</v>
      </c>
      <c r="K21">
        <v>0</v>
      </c>
      <c r="L21">
        <v>37.6718724459</v>
      </c>
      <c r="M21">
        <v>134.96855356699999</v>
      </c>
      <c r="N21">
        <v>358.93550539300003</v>
      </c>
      <c r="O21">
        <v>0</v>
      </c>
      <c r="P21">
        <v>0</v>
      </c>
      <c r="Q21">
        <v>0</v>
      </c>
      <c r="R21">
        <v>0</v>
      </c>
      <c r="S21">
        <v>324.71811889076042</v>
      </c>
      <c r="T21">
        <v>191.524540960959</v>
      </c>
      <c r="U21">
        <v>6.3533008602000001</v>
      </c>
      <c r="V21">
        <v>0</v>
      </c>
      <c r="W21">
        <v>14.903983972800001</v>
      </c>
      <c r="X21">
        <v>0</v>
      </c>
      <c r="Y21">
        <v>14.5218305376</v>
      </c>
      <c r="Z21">
        <v>0</v>
      </c>
      <c r="AA21">
        <v>0</v>
      </c>
      <c r="AB21">
        <v>0</v>
      </c>
      <c r="AC21">
        <v>0</v>
      </c>
      <c r="AD21">
        <v>10172.62054431125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1038.4943145499999</v>
      </c>
      <c r="AS21">
        <v>596.45047547599995</v>
      </c>
      <c r="AT21">
        <v>892.77666270999998</v>
      </c>
      <c r="AU21">
        <v>2166.4317380399998</v>
      </c>
      <c r="AV21">
        <v>152.52438610900001</v>
      </c>
      <c r="AW21">
        <v>1806.0386160099999</v>
      </c>
      <c r="AX21">
        <v>130.97256975400001</v>
      </c>
      <c r="AY21">
        <v>92.726657253900001</v>
      </c>
      <c r="AZ21">
        <v>11484.836648500001</v>
      </c>
      <c r="BA21">
        <v>1737.93637934</v>
      </c>
      <c r="BB21">
        <v>1549.8190821000001</v>
      </c>
      <c r="BC21">
        <v>1749.27710897</v>
      </c>
      <c r="BD21">
        <v>5191.81852316</v>
      </c>
      <c r="BE21">
        <v>10896.3904117</v>
      </c>
      <c r="BF21">
        <v>6719.8629984099998</v>
      </c>
      <c r="BG21">
        <v>627.28953437057316</v>
      </c>
      <c r="BH21">
        <v>64.052776141426875</v>
      </c>
      <c r="BI21">
        <v>0</v>
      </c>
      <c r="BJ21">
        <v>0</v>
      </c>
      <c r="BK21">
        <v>1766.04037623</v>
      </c>
      <c r="BL21">
        <v>1559.8370236600001</v>
      </c>
      <c r="BM21">
        <v>0.1066507278430744</v>
      </c>
      <c r="BN21">
        <v>0</v>
      </c>
      <c r="BO21">
        <v>0</v>
      </c>
      <c r="BP21">
        <v>262.48153199278192</v>
      </c>
      <c r="BQ21">
        <v>0.26273048669999999</v>
      </c>
      <c r="BR21">
        <v>0</v>
      </c>
      <c r="BS21">
        <v>52.290447045240562</v>
      </c>
      <c r="BT21">
        <v>157.13671563599999</v>
      </c>
      <c r="BU21">
        <v>7198.1551780506543</v>
      </c>
      <c r="BV21">
        <v>1.056828588528105</v>
      </c>
      <c r="BW21">
        <v>0</v>
      </c>
      <c r="BX21">
        <v>612.42607809052072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2378.0362296804178</v>
      </c>
      <c r="CJ21">
        <v>286.21616942958212</v>
      </c>
      <c r="CK21">
        <v>1.6789142170569999</v>
      </c>
      <c r="CL21">
        <v>44.522949826820003</v>
      </c>
      <c r="CM21">
        <v>6643.3333910300007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895.25021162600001</v>
      </c>
      <c r="CV21">
        <v>0.112600342789</v>
      </c>
      <c r="CW21">
        <v>0.91886879222690554</v>
      </c>
      <c r="CX21">
        <v>5.55902005850945E-2</v>
      </c>
      <c r="CY21">
        <v>791.25578928899995</v>
      </c>
      <c r="CZ21">
        <v>6.1700262321527496E-3</v>
      </c>
      <c r="DA21">
        <v>3.9625614194724822E-4</v>
      </c>
      <c r="DB21">
        <v>5.4250360592692362</v>
      </c>
      <c r="DC21">
        <v>3.0458495076355003E-4</v>
      </c>
      <c r="DD21">
        <v>1.3261887457802539</v>
      </c>
      <c r="DE21">
        <v>0.102340521859746</v>
      </c>
      <c r="DF21">
        <v>0</v>
      </c>
      <c r="DG21">
        <v>0</v>
      </c>
      <c r="DH21">
        <v>0</v>
      </c>
      <c r="DI21">
        <v>0</v>
      </c>
      <c r="DJ21">
        <v>7.4935930203748713</v>
      </c>
      <c r="DK21">
        <v>6.0997008595128847E-2</v>
      </c>
      <c r="DL21">
        <v>0</v>
      </c>
      <c r="DM21">
        <v>2010.42848448</v>
      </c>
      <c r="DN21">
        <v>520.47413446200005</v>
      </c>
      <c r="DO21">
        <v>1803.7615754999999</v>
      </c>
      <c r="DP21">
        <v>2577.2612739800002</v>
      </c>
      <c r="DQ21">
        <v>4696.7749308100001</v>
      </c>
      <c r="DR21">
        <v>4669.9064481400001</v>
      </c>
      <c r="DS21">
        <v>29014.020956100001</v>
      </c>
      <c r="DT21">
        <v>2813.8265550279998</v>
      </c>
      <c r="DU21">
        <v>10799.400247</v>
      </c>
      <c r="DV21">
        <v>0</v>
      </c>
      <c r="DW21">
        <v>0</v>
      </c>
      <c r="DX21">
        <v>63.361211080935377</v>
      </c>
      <c r="DY21">
        <v>50.540358367452967</v>
      </c>
      <c r="DZ21">
        <v>20.421948832948161</v>
      </c>
      <c r="EA21">
        <v>34.973120821718787</v>
      </c>
      <c r="EB21">
        <v>7.7745748429250057</v>
      </c>
      <c r="EC21">
        <v>7.7841592984684684</v>
      </c>
      <c r="ED21">
        <v>4.4869937232399604</v>
      </c>
      <c r="EE21">
        <v>2.2862877476796539</v>
      </c>
      <c r="EF21">
        <v>0</v>
      </c>
      <c r="EG21">
        <v>4.9947555776570151E-3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107.8362040536</v>
      </c>
      <c r="EY21">
        <v>0</v>
      </c>
      <c r="EZ21">
        <v>0</v>
      </c>
      <c r="FA21">
        <v>1317.5141081675199</v>
      </c>
      <c r="FB21">
        <v>5070.0672428300004</v>
      </c>
      <c r="FC21">
        <v>0.66543467202200002</v>
      </c>
      <c r="FD21">
        <v>3107.3829579702092</v>
      </c>
      <c r="FE21">
        <v>243.82395424985501</v>
      </c>
      <c r="FF21">
        <v>8077.9817955548197</v>
      </c>
      <c r="FG21">
        <v>854.20888969679993</v>
      </c>
      <c r="FH21">
        <v>2604.55483714</v>
      </c>
      <c r="FI21">
        <v>1220.2376179299999</v>
      </c>
      <c r="FJ21">
        <v>1145.74717822</v>
      </c>
      <c r="FK21">
        <v>0</v>
      </c>
      <c r="FL21">
        <v>0</v>
      </c>
      <c r="FM21">
        <v>0</v>
      </c>
      <c r="FN21">
        <v>1.81215275413</v>
      </c>
      <c r="FO21">
        <v>1038.6668066899999</v>
      </c>
      <c r="FP21">
        <v>652.78120585600004</v>
      </c>
      <c r="FQ21">
        <v>1267.5185599075201</v>
      </c>
      <c r="FR21">
        <v>1024.3292228667999</v>
      </c>
      <c r="FS21">
        <v>1545.727142509</v>
      </c>
      <c r="FT21">
        <v>7.1772939881199997</v>
      </c>
      <c r="FU21">
        <v>7.47894238651</v>
      </c>
      <c r="FV21">
        <v>3.4561336392499999</v>
      </c>
      <c r="FW21">
        <v>12.452825049199999</v>
      </c>
      <c r="FX21">
        <v>1.4328711332499999</v>
      </c>
      <c r="FY21">
        <v>2.5196803371600001</v>
      </c>
      <c r="FZ21">
        <v>7.2681283026200001</v>
      </c>
      <c r="GA21">
        <v>0.63557573159500003</v>
      </c>
      <c r="GB21">
        <v>4.31870936057E-2</v>
      </c>
      <c r="GC21">
        <v>6.2167013558799988</v>
      </c>
      <c r="GD21">
        <v>8.3376501952699993</v>
      </c>
      <c r="GE21">
        <v>0</v>
      </c>
      <c r="GF21">
        <v>2.8579230598600001</v>
      </c>
      <c r="GG21">
        <v>5.4780863341700003</v>
      </c>
      <c r="GH21">
        <v>6.6187806119300001</v>
      </c>
      <c r="GI21">
        <v>4.2866716676400003</v>
      </c>
      <c r="GJ21">
        <v>0.91095341557300002</v>
      </c>
      <c r="GK21">
        <v>10.798532357499999</v>
      </c>
      <c r="GL21">
        <v>0.47988633069100001</v>
      </c>
      <c r="GM21">
        <v>1.5981500333700001</v>
      </c>
      <c r="GN21">
        <v>95.863337095600002</v>
      </c>
      <c r="GO21">
        <v>2481.46822075</v>
      </c>
      <c r="GP21">
        <v>262.19233730575002</v>
      </c>
      <c r="GQ21">
        <v>0</v>
      </c>
      <c r="GR21">
        <v>6818.9374820032835</v>
      </c>
      <c r="GS21">
        <v>1038.4943145499999</v>
      </c>
      <c r="GT21">
        <v>3828.2993022389001</v>
      </c>
      <c r="GU21">
        <v>2356.4986623639588</v>
      </c>
      <c r="GV21">
        <v>1806.0386160099999</v>
      </c>
      <c r="GW21">
        <v>17903.873458744751</v>
      </c>
      <c r="GX21">
        <v>26463.523517716021</v>
      </c>
      <c r="GY21">
        <v>58120.83281466164</v>
      </c>
      <c r="GZ21">
        <v>22808.071933269999</v>
      </c>
      <c r="HA21">
        <v>52451.491819216943</v>
      </c>
      <c r="HB21">
        <v>0</v>
      </c>
      <c r="HC21">
        <v>14392.991685798401</v>
      </c>
    </row>
    <row r="22" spans="1:211" x14ac:dyDescent="0.45">
      <c r="A22" s="1" t="s">
        <v>7</v>
      </c>
      <c r="B22">
        <v>111.1237859411297</v>
      </c>
      <c r="C22">
        <v>6143.0077963115054</v>
      </c>
      <c r="D22">
        <v>370.68346562429832</v>
      </c>
      <c r="E22">
        <v>10280.107604815599</v>
      </c>
      <c r="F22">
        <v>726.07848723778375</v>
      </c>
      <c r="G22">
        <v>0</v>
      </c>
      <c r="H22">
        <v>514.07430814345184</v>
      </c>
      <c r="I22">
        <v>0</v>
      </c>
      <c r="J22">
        <v>0</v>
      </c>
      <c r="K22">
        <v>0</v>
      </c>
      <c r="L22">
        <v>3117.9127895699999</v>
      </c>
      <c r="M22">
        <v>1889.7566549799999</v>
      </c>
      <c r="N22">
        <v>139.24546536700001</v>
      </c>
      <c r="O22">
        <v>137.460607966</v>
      </c>
      <c r="P22">
        <v>0</v>
      </c>
      <c r="Q22">
        <v>0</v>
      </c>
      <c r="R22">
        <v>0</v>
      </c>
      <c r="S22">
        <v>4983.7269113496177</v>
      </c>
      <c r="T22">
        <v>235.5104379290872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7.5170467887461898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5050.4413716326299</v>
      </c>
      <c r="AS22">
        <v>2108.0791581456701</v>
      </c>
      <c r="AT22">
        <v>8018.0444478146992</v>
      </c>
      <c r="AU22">
        <v>15949.9837150327</v>
      </c>
      <c r="AV22">
        <v>26.960627056900002</v>
      </c>
      <c r="AW22">
        <v>8488.2230403558297</v>
      </c>
      <c r="AX22">
        <v>26.83840954758</v>
      </c>
      <c r="AY22">
        <v>662.143368282305</v>
      </c>
      <c r="AZ22">
        <v>23360.725289119</v>
      </c>
      <c r="BA22">
        <v>7010.4418690136599</v>
      </c>
      <c r="BB22">
        <v>2468.4934124624001</v>
      </c>
      <c r="BC22">
        <v>874.53301648599995</v>
      </c>
      <c r="BD22">
        <v>2215.3406393403002</v>
      </c>
      <c r="BE22">
        <v>3273.5352910359002</v>
      </c>
      <c r="BF22">
        <v>128.12948849290001</v>
      </c>
      <c r="BG22">
        <v>710.2622544142647</v>
      </c>
      <c r="BH22">
        <v>438.23633378573538</v>
      </c>
      <c r="BI22">
        <v>0</v>
      </c>
      <c r="BJ22">
        <v>0</v>
      </c>
      <c r="BK22">
        <v>1585.4834509899999</v>
      </c>
      <c r="BL22">
        <v>5484.6488585699999</v>
      </c>
      <c r="BM22">
        <v>0.72930991165692571</v>
      </c>
      <c r="BN22">
        <v>0</v>
      </c>
      <c r="BO22">
        <v>0</v>
      </c>
      <c r="BP22">
        <v>4666.4618214472184</v>
      </c>
      <c r="BQ22">
        <v>0</v>
      </c>
      <c r="BR22">
        <v>0</v>
      </c>
      <c r="BS22">
        <v>43.24791175475945</v>
      </c>
      <c r="BT22">
        <v>0</v>
      </c>
      <c r="BU22">
        <v>7435.9329311493466</v>
      </c>
      <c r="BV22">
        <v>2.1437064312718959</v>
      </c>
      <c r="BW22">
        <v>0</v>
      </c>
      <c r="BX22">
        <v>301.73270808747918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37588.165323314177</v>
      </c>
      <c r="CJ22">
        <v>1908.1984372858201</v>
      </c>
      <c r="CK22">
        <v>8.0925708148400002</v>
      </c>
      <c r="CL22">
        <v>43.787168113900002</v>
      </c>
      <c r="CM22">
        <v>9071.7807908699997</v>
      </c>
      <c r="CN22">
        <v>0</v>
      </c>
      <c r="CO22">
        <v>0</v>
      </c>
      <c r="CP22">
        <v>347.92681815999998</v>
      </c>
      <c r="CQ22">
        <v>984.28394153700003</v>
      </c>
      <c r="CR22">
        <v>0</v>
      </c>
      <c r="CS22">
        <v>0</v>
      </c>
      <c r="CT22">
        <v>0</v>
      </c>
      <c r="CU22">
        <v>689.76229474199999</v>
      </c>
      <c r="CV22">
        <v>7.7309901311899996</v>
      </c>
      <c r="CW22">
        <v>50.515630950077558</v>
      </c>
      <c r="CX22">
        <v>11.094501610822441</v>
      </c>
      <c r="CY22">
        <v>967.10634446200015</v>
      </c>
      <c r="CZ22">
        <v>4.0624645841598698E-3</v>
      </c>
      <c r="DA22">
        <v>1.8210031991701299E-3</v>
      </c>
      <c r="DB22">
        <v>0</v>
      </c>
      <c r="DC22">
        <v>0</v>
      </c>
      <c r="DD22">
        <v>0.46723417790522082</v>
      </c>
      <c r="DE22">
        <v>0.26654030710377918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0.14561557168100001</v>
      </c>
      <c r="DM22">
        <v>3671.05667554</v>
      </c>
      <c r="DN22">
        <v>310.99962491299999</v>
      </c>
      <c r="DO22">
        <v>0</v>
      </c>
      <c r="DP22">
        <v>1938.44845799</v>
      </c>
      <c r="DQ22">
        <v>1956.93538405</v>
      </c>
      <c r="DR22">
        <v>2869.1544762899998</v>
      </c>
      <c r="DS22">
        <v>26547.7846919</v>
      </c>
      <c r="DT22">
        <v>1501.0289734744999</v>
      </c>
      <c r="DU22">
        <v>7391.2707397499989</v>
      </c>
      <c r="DV22">
        <v>0</v>
      </c>
      <c r="DW22">
        <v>0</v>
      </c>
      <c r="DX22">
        <v>160.53293276706461</v>
      </c>
      <c r="DY22">
        <v>458.08197929454701</v>
      </c>
      <c r="DZ22">
        <v>10186.75299786705</v>
      </c>
      <c r="EA22">
        <v>1235.3526669582809</v>
      </c>
      <c r="EB22">
        <v>488.06950732907501</v>
      </c>
      <c r="EC22">
        <v>36.951677209631541</v>
      </c>
      <c r="ED22">
        <v>213.02996467476001</v>
      </c>
      <c r="EE22">
        <v>167.10322240432029</v>
      </c>
      <c r="EF22">
        <v>0</v>
      </c>
      <c r="EG22">
        <v>11.36406994162234</v>
      </c>
      <c r="EH22">
        <v>0</v>
      </c>
      <c r="EI22">
        <v>0</v>
      </c>
      <c r="EJ22">
        <v>2459.8227431700002</v>
      </c>
      <c r="EK22">
        <v>9539.4035679999997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8925.8146115100008</v>
      </c>
      <c r="ER22">
        <v>1377.8064414299999</v>
      </c>
      <c r="ES22">
        <v>5628.20353823</v>
      </c>
      <c r="ET22">
        <v>8796.4664476500002</v>
      </c>
      <c r="EU22">
        <v>0</v>
      </c>
      <c r="EV22">
        <v>30296.038247430999</v>
      </c>
      <c r="EW22">
        <v>769.05730232869996</v>
      </c>
      <c r="EX22">
        <v>9886.4385954099998</v>
      </c>
      <c r="EY22">
        <v>7198.7452669800005</v>
      </c>
      <c r="EZ22">
        <v>83954.164852629998</v>
      </c>
      <c r="FA22">
        <v>15294.563008583</v>
      </c>
      <c r="FB22">
        <v>30950.3724516</v>
      </c>
      <c r="FC22">
        <v>308.12175901199998</v>
      </c>
      <c r="FD22">
        <v>1190.0860007440001</v>
      </c>
      <c r="FE22">
        <v>749.58537190106574</v>
      </c>
      <c r="FF22">
        <v>11302.3998226312</v>
      </c>
      <c r="FG22">
        <v>16771.579081532</v>
      </c>
      <c r="FH22">
        <v>42904.638546299997</v>
      </c>
      <c r="FI22">
        <v>13529.354277</v>
      </c>
      <c r="FJ22">
        <v>31909.8454513</v>
      </c>
      <c r="FK22">
        <v>0</v>
      </c>
      <c r="FL22">
        <v>242143.13257310001</v>
      </c>
      <c r="FM22">
        <v>3328.271032657</v>
      </c>
      <c r="FN22">
        <v>70.890308732400001</v>
      </c>
      <c r="FO22">
        <v>11126.0696009</v>
      </c>
      <c r="FP22">
        <v>15846.2651147</v>
      </c>
      <c r="FQ22">
        <v>186753.73804475501</v>
      </c>
      <c r="FR22">
        <v>130808.66813279</v>
      </c>
      <c r="FS22">
        <v>258670.86586419999</v>
      </c>
      <c r="FT22">
        <v>767.06281134100004</v>
      </c>
      <c r="FU22">
        <v>804.795130685</v>
      </c>
      <c r="FV22">
        <v>332.70708407199999</v>
      </c>
      <c r="FW22">
        <v>949.25281436</v>
      </c>
      <c r="FX22">
        <v>167.74187124900001</v>
      </c>
      <c r="FY22">
        <v>222.57871309000001</v>
      </c>
      <c r="FZ22">
        <v>919.98164076199998</v>
      </c>
      <c r="GA22">
        <v>70.537428166500007</v>
      </c>
      <c r="GB22">
        <v>6.1009405066999998</v>
      </c>
      <c r="GC22">
        <v>773.51984684800004</v>
      </c>
      <c r="GD22">
        <v>479.80123612099999</v>
      </c>
      <c r="GE22">
        <v>1.8890696923700001</v>
      </c>
      <c r="GF22">
        <v>266.24321473499998</v>
      </c>
      <c r="GG22">
        <v>472.33991311599999</v>
      </c>
      <c r="GH22">
        <v>460.33404258299998</v>
      </c>
      <c r="GI22">
        <v>317.56515019599999</v>
      </c>
      <c r="GJ22">
        <v>84.577913012400003</v>
      </c>
      <c r="GK22">
        <v>1333.3558007900001</v>
      </c>
      <c r="GL22">
        <v>52.302272047400002</v>
      </c>
      <c r="GM22">
        <v>192.22371685499999</v>
      </c>
      <c r="GN22">
        <v>22590.5100676</v>
      </c>
      <c r="GO22">
        <v>71885.084968099996</v>
      </c>
      <c r="GP22">
        <v>11238.476071223</v>
      </c>
      <c r="GQ22">
        <v>0</v>
      </c>
      <c r="GR22">
        <v>10307.068231872499</v>
      </c>
      <c r="GS22">
        <v>5050.4413716326299</v>
      </c>
      <c r="GT22">
        <v>31083.776765543069</v>
      </c>
      <c r="GU22">
        <v>8862.9789436519168</v>
      </c>
      <c r="GV22">
        <v>8625.6836483218303</v>
      </c>
      <c r="GW22">
        <v>35754.451946233312</v>
      </c>
      <c r="GX22">
        <v>348068.80637080298</v>
      </c>
      <c r="GY22">
        <v>115961.4466882009</v>
      </c>
      <c r="GZ22">
        <v>5617.0054188691001</v>
      </c>
      <c r="HA22">
        <v>76311.734081727249</v>
      </c>
      <c r="HB22">
        <v>83954.164852629998</v>
      </c>
      <c r="HC22">
        <v>879887.65012239758</v>
      </c>
    </row>
    <row r="23" spans="1:211" x14ac:dyDescent="0.45">
      <c r="A23" s="1" t="s">
        <v>8</v>
      </c>
      <c r="B23">
        <v>1.087116054254862E-6</v>
      </c>
      <c r="C23">
        <v>4.9307725883632039E-5</v>
      </c>
      <c r="D23">
        <v>1.897749782923415E-6</v>
      </c>
      <c r="E23">
        <v>2.1809557835288039E-4</v>
      </c>
      <c r="F23">
        <v>9.7132067838082754E-6</v>
      </c>
      <c r="G23">
        <v>0</v>
      </c>
      <c r="H23">
        <v>2.5472899060192909E-6</v>
      </c>
      <c r="I23">
        <v>0</v>
      </c>
      <c r="J23">
        <v>0</v>
      </c>
      <c r="K23">
        <v>0</v>
      </c>
      <c r="L23">
        <v>1.138396452991804E-4</v>
      </c>
      <c r="M23">
        <v>5.9946880710024649E-5</v>
      </c>
      <c r="N23">
        <v>5.9836618483482454E-6</v>
      </c>
      <c r="O23">
        <v>7.1667969551148803E-6</v>
      </c>
      <c r="P23">
        <v>0</v>
      </c>
      <c r="Q23">
        <v>0</v>
      </c>
      <c r="R23">
        <v>0</v>
      </c>
      <c r="S23">
        <v>1.7745098275583699E-5</v>
      </c>
      <c r="T23">
        <v>3.1416656144471491E-5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4.6030060911470923E-6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3.4193429179477618E-4</v>
      </c>
      <c r="AS23">
        <v>5.1665225821330562E-5</v>
      </c>
      <c r="AT23">
        <v>3.1354487436281291E-4</v>
      </c>
      <c r="AU23">
        <v>1.0874681535009119E-3</v>
      </c>
      <c r="AV23">
        <v>8.7483224899142555E-7</v>
      </c>
      <c r="AW23">
        <v>3.2468646859935911E-4</v>
      </c>
      <c r="AX23">
        <v>2.3671508844399401E-7</v>
      </c>
      <c r="AY23">
        <v>1.0203025240550779E-5</v>
      </c>
      <c r="AZ23">
        <v>1.131537892334666E-3</v>
      </c>
      <c r="BA23">
        <v>2.312956226985743E-4</v>
      </c>
      <c r="BB23">
        <v>1.2588226695431251E-4</v>
      </c>
      <c r="BC23">
        <v>1.169015714660198E-5</v>
      </c>
      <c r="BD23">
        <v>8.2968244822338911E-5</v>
      </c>
      <c r="BE23">
        <v>7.7659109443919418E-5</v>
      </c>
      <c r="BF23">
        <v>1.0735915017990879E-5</v>
      </c>
      <c r="BG23">
        <v>9.8261669691476505E-6</v>
      </c>
      <c r="BH23">
        <v>4.9744187967564438E-6</v>
      </c>
      <c r="BI23">
        <v>0</v>
      </c>
      <c r="BJ23">
        <v>0</v>
      </c>
      <c r="BK23">
        <v>5.1344402134585148E-5</v>
      </c>
      <c r="BL23">
        <v>5.7603299729470129E-5</v>
      </c>
      <c r="BM23">
        <v>6.7641017238607194E-10</v>
      </c>
      <c r="BN23">
        <v>0</v>
      </c>
      <c r="BO23">
        <v>0</v>
      </c>
      <c r="BP23">
        <v>2.0239822595990531E-4</v>
      </c>
      <c r="BQ23">
        <v>0</v>
      </c>
      <c r="BR23">
        <v>0</v>
      </c>
      <c r="BS23">
        <v>4.8347399739179511E-7</v>
      </c>
      <c r="BT23">
        <v>0</v>
      </c>
      <c r="BU23">
        <v>1.4381624879554651E-4</v>
      </c>
      <c r="BV23">
        <v>1.4306909269915189E-8</v>
      </c>
      <c r="BW23">
        <v>0</v>
      </c>
      <c r="BX23">
        <v>3.4191536914221791E-6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7.101631111662949E-4</v>
      </c>
      <c r="CJ23">
        <v>3.1827394265889243E-5</v>
      </c>
      <c r="CK23">
        <v>5.718199921013217E-8</v>
      </c>
      <c r="CL23">
        <v>4.9809797596390783E-7</v>
      </c>
      <c r="CM23">
        <v>2.0898747996959979E-4</v>
      </c>
      <c r="CN23">
        <v>0</v>
      </c>
      <c r="CO23">
        <v>0</v>
      </c>
      <c r="CP23">
        <v>3.2792428389195691E-6</v>
      </c>
      <c r="CQ23">
        <v>3.8481219309917547E-6</v>
      </c>
      <c r="CR23">
        <v>0</v>
      </c>
      <c r="CS23">
        <v>0</v>
      </c>
      <c r="CT23">
        <v>0</v>
      </c>
      <c r="CU23">
        <v>9.5431908862939032E-6</v>
      </c>
      <c r="CV23">
        <v>7.6746344280319342E-8</v>
      </c>
      <c r="CW23">
        <v>4.5641606034592101E-7</v>
      </c>
      <c r="CX23">
        <v>8.9346331276438249E-8</v>
      </c>
      <c r="CY23">
        <v>1.245391267870691E-5</v>
      </c>
      <c r="CZ23">
        <v>4.7277920489520393E-11</v>
      </c>
      <c r="DA23">
        <v>1.7689191116507721E-11</v>
      </c>
      <c r="DB23">
        <v>0</v>
      </c>
      <c r="DC23">
        <v>0</v>
      </c>
      <c r="DD23">
        <v>7.5384258428288523E-9</v>
      </c>
      <c r="DE23">
        <v>4.1718290546318584E-9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2.0153576352437009E-9</v>
      </c>
      <c r="DM23">
        <v>3.9402393793560911E-5</v>
      </c>
      <c r="DN23">
        <v>3.7438993689024078E-6</v>
      </c>
      <c r="DO23">
        <v>0</v>
      </c>
      <c r="DP23">
        <v>2.1058956086853531E-5</v>
      </c>
      <c r="DQ23">
        <v>2.2932320138789789E-5</v>
      </c>
      <c r="DR23">
        <v>2.5950350103480041E-5</v>
      </c>
      <c r="DS23">
        <v>3.9012101379417641E-4</v>
      </c>
      <c r="DT23">
        <v>1.8668019057313631E-5</v>
      </c>
      <c r="DU23">
        <v>1.120142115360165E-4</v>
      </c>
      <c r="DV23">
        <v>0</v>
      </c>
      <c r="DW23">
        <v>0</v>
      </c>
      <c r="DX23">
        <v>1.0168742856305479E-5</v>
      </c>
      <c r="DY23">
        <v>6.0357521739322749E-6</v>
      </c>
      <c r="DZ23">
        <v>1.030931894223222E-4</v>
      </c>
      <c r="EA23">
        <v>1.558896269800378E-5</v>
      </c>
      <c r="EB23">
        <v>2.45143282385068E-6</v>
      </c>
      <c r="EC23">
        <v>1.642233373020581E-6</v>
      </c>
      <c r="ED23">
        <v>2.243872375198376E-6</v>
      </c>
      <c r="EE23">
        <v>1.8121654619369041E-7</v>
      </c>
      <c r="EF23">
        <v>0</v>
      </c>
      <c r="EG23">
        <v>1.706422497413139E-7</v>
      </c>
      <c r="EH23">
        <v>0</v>
      </c>
      <c r="EI23">
        <v>0</v>
      </c>
      <c r="EJ23">
        <v>1.42480764982641E-5</v>
      </c>
      <c r="EK23">
        <v>5.4520184699524331E-5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1.096655998615806E-4</v>
      </c>
      <c r="ER23">
        <v>6.7970281104812131E-5</v>
      </c>
      <c r="ES23">
        <v>4.063662538296952E-5</v>
      </c>
      <c r="ET23">
        <v>8.6198529873105669E-5</v>
      </c>
      <c r="EU23">
        <v>0</v>
      </c>
      <c r="EV23">
        <v>1.20224757670094E-4</v>
      </c>
      <c r="EW23">
        <v>7.2516479182676384E-6</v>
      </c>
      <c r="EX23">
        <v>4.9229314391656391E-5</v>
      </c>
      <c r="EY23">
        <v>3.8857903923588843E-5</v>
      </c>
      <c r="EZ23">
        <v>1.1613962207792281E-3</v>
      </c>
      <c r="FA23">
        <v>1.581026796677326E-4</v>
      </c>
      <c r="FB23">
        <v>2.2714367086095291E-4</v>
      </c>
      <c r="FC23">
        <v>1.1572652185908261E-5</v>
      </c>
      <c r="FD23">
        <v>6.1441777095106955E-5</v>
      </c>
      <c r="FE23">
        <v>5.0622697092697711E-5</v>
      </c>
      <c r="FF23">
        <v>2.2738061019459541E-4</v>
      </c>
      <c r="FG23">
        <v>1.3655816318851381E-4</v>
      </c>
      <c r="FH23">
        <v>2.5016352992914313E-4</v>
      </c>
      <c r="FI23">
        <v>1.191115316823169E-4</v>
      </c>
      <c r="FJ23">
        <v>3.4016338333382832E-4</v>
      </c>
      <c r="FK23">
        <v>0</v>
      </c>
      <c r="FL23">
        <v>1.6555960351515031E-3</v>
      </c>
      <c r="FM23">
        <v>2.664454396407724E-5</v>
      </c>
      <c r="FN23">
        <v>6.1680685146024566E-7</v>
      </c>
      <c r="FO23">
        <v>2.6981953016781842E-4</v>
      </c>
      <c r="FP23">
        <v>1.2516293056310919E-4</v>
      </c>
      <c r="FQ23">
        <v>1.832510391930648E-3</v>
      </c>
      <c r="FR23">
        <v>7.9075103945958178E-4</v>
      </c>
      <c r="FS23">
        <v>1.721117004014233E-3</v>
      </c>
      <c r="FT23">
        <v>5.8359073509050666E-6</v>
      </c>
      <c r="FU23">
        <v>6.1975277669175396E-6</v>
      </c>
      <c r="FV23">
        <v>2.8908675515210971E-6</v>
      </c>
      <c r="FW23">
        <v>7.4388839988344458E-6</v>
      </c>
      <c r="FX23">
        <v>1.295418410028202E-6</v>
      </c>
      <c r="FY23">
        <v>1.7764657316890651E-6</v>
      </c>
      <c r="FZ23">
        <v>6.7670936649837753E-6</v>
      </c>
      <c r="GA23">
        <v>4.9949433550960608E-7</v>
      </c>
      <c r="GB23">
        <v>4.218993869281253E-8</v>
      </c>
      <c r="GC23">
        <v>6.3967019468778778E-6</v>
      </c>
      <c r="GD23">
        <v>3.7077124588162219E-6</v>
      </c>
      <c r="GE23">
        <v>1.603619571309645E-7</v>
      </c>
      <c r="GF23">
        <v>2.552927601362895E-6</v>
      </c>
      <c r="GG23">
        <v>4.7032447242400654E-6</v>
      </c>
      <c r="GH23">
        <v>4.3781542433813241E-6</v>
      </c>
      <c r="GI23">
        <v>2.9286083813650162E-6</v>
      </c>
      <c r="GJ23">
        <v>9.5333105360079913E-7</v>
      </c>
      <c r="GK23">
        <v>1.010374510762532E-5</v>
      </c>
      <c r="GL23">
        <v>4.9939679841164516E-7</v>
      </c>
      <c r="GM23">
        <v>1.590235036018962E-6</v>
      </c>
      <c r="GN23">
        <v>3.0387319549006117E-4</v>
      </c>
      <c r="GO23">
        <v>9.9653928186133446E-4</v>
      </c>
      <c r="GP23">
        <v>2.4427334001826272E-4</v>
      </c>
      <c r="GQ23">
        <v>0</v>
      </c>
      <c r="GR23">
        <v>2.1897041060187181E-4</v>
      </c>
      <c r="GS23">
        <v>3.4193429179477618E-4</v>
      </c>
      <c r="GT23">
        <v>1.626464779694261E-3</v>
      </c>
      <c r="GU23">
        <v>3.6208678659217878E-4</v>
      </c>
      <c r="GV23">
        <v>3.3185326555447398E-4</v>
      </c>
      <c r="GW23">
        <v>1.524193292207232E-3</v>
      </c>
      <c r="GX23">
        <v>3.1843092854546922E-3</v>
      </c>
      <c r="GY23">
        <v>1.711858896105484E-3</v>
      </c>
      <c r="GZ23">
        <v>1.713632692842492E-4</v>
      </c>
      <c r="HA23">
        <v>1.1844895496375279E-3</v>
      </c>
      <c r="HB23">
        <v>1.1613962207792281E-3</v>
      </c>
      <c r="HC23">
        <v>7.4842231897988771E-3</v>
      </c>
    </row>
    <row r="24" spans="1:211" x14ac:dyDescent="0.45">
      <c r="A24" s="1" t="s">
        <v>9</v>
      </c>
      <c r="B24">
        <v>1.4365348002675149E-4</v>
      </c>
      <c r="C24">
        <v>1.077611548139297E-4</v>
      </c>
      <c r="D24">
        <v>1.02016809770789E-4</v>
      </c>
      <c r="E24">
        <v>2.8760888860793671E-4</v>
      </c>
      <c r="F24">
        <v>1.6534977696285491E-5</v>
      </c>
      <c r="G24">
        <v>0</v>
      </c>
      <c r="H24">
        <v>4.1228447293000702E-4</v>
      </c>
      <c r="I24">
        <v>0</v>
      </c>
      <c r="J24">
        <v>0</v>
      </c>
      <c r="K24">
        <v>0</v>
      </c>
      <c r="L24">
        <v>4.3010467292973109E-4</v>
      </c>
      <c r="M24">
        <v>1.9364711662467459E-3</v>
      </c>
      <c r="N24">
        <v>1.6320252248252761E-4</v>
      </c>
      <c r="O24">
        <v>1.9248576019943031E-4</v>
      </c>
      <c r="P24">
        <v>0</v>
      </c>
      <c r="Q24">
        <v>0</v>
      </c>
      <c r="R24">
        <v>0</v>
      </c>
      <c r="S24">
        <v>2.6399115482888259E-5</v>
      </c>
      <c r="T24">
        <v>1.8194488453619991E-5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1.745958229205413E-7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1.118243177219576E-2</v>
      </c>
      <c r="AS24">
        <v>1.2047703434383421E-4</v>
      </c>
      <c r="AT24">
        <v>5.4174961100485642E-4</v>
      </c>
      <c r="AU24">
        <v>2.059626411196073E-3</v>
      </c>
      <c r="AV24">
        <v>1.847226556875434E-6</v>
      </c>
      <c r="AW24">
        <v>3.6339859586497982E-3</v>
      </c>
      <c r="AX24">
        <v>2.075338192861144E-7</v>
      </c>
      <c r="AY24">
        <v>2.1716600753064201E-5</v>
      </c>
      <c r="AZ24">
        <v>4.206829260141755E-3</v>
      </c>
      <c r="BA24">
        <v>5.2038858424166849E-4</v>
      </c>
      <c r="BB24">
        <v>4.9107386710142795E-4</v>
      </c>
      <c r="BC24">
        <v>1.45550678271051E-6</v>
      </c>
      <c r="BD24">
        <v>6.3658926225089643E-6</v>
      </c>
      <c r="BE24">
        <v>5.012475680184619E-6</v>
      </c>
      <c r="BF24">
        <v>4.3572697564304551E-6</v>
      </c>
      <c r="BG24">
        <v>2.3316515806169061E-6</v>
      </c>
      <c r="BH24">
        <v>6.4250690803682355E-7</v>
      </c>
      <c r="BI24">
        <v>0</v>
      </c>
      <c r="BJ24">
        <v>0</v>
      </c>
      <c r="BK24">
        <v>5.8964423519679892E-6</v>
      </c>
      <c r="BL24">
        <v>8.1008049005370739E-6</v>
      </c>
      <c r="BM24">
        <v>1.8571524944444361E-11</v>
      </c>
      <c r="BN24">
        <v>0</v>
      </c>
      <c r="BO24">
        <v>0</v>
      </c>
      <c r="BP24">
        <v>6.2278917534433431E-6</v>
      </c>
      <c r="BQ24">
        <v>0</v>
      </c>
      <c r="BR24">
        <v>0</v>
      </c>
      <c r="BS24">
        <v>1.487669110626168E-8</v>
      </c>
      <c r="BT24">
        <v>0</v>
      </c>
      <c r="BU24">
        <v>4.4253224190076207E-6</v>
      </c>
      <c r="BV24">
        <v>4.4022991001665999E-10</v>
      </c>
      <c r="BW24">
        <v>0</v>
      </c>
      <c r="BX24">
        <v>1.052088314269328E-7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1.292136540000113E-4</v>
      </c>
      <c r="CJ24">
        <v>7.2123625862363614E-6</v>
      </c>
      <c r="CK24">
        <v>6.5370239148560019E-9</v>
      </c>
      <c r="CL24">
        <v>4.978674003678642E-8</v>
      </c>
      <c r="CM24">
        <v>4.3894836664661797E-5</v>
      </c>
      <c r="CN24">
        <v>0</v>
      </c>
      <c r="CO24">
        <v>0</v>
      </c>
      <c r="CP24">
        <v>6.8762541072444149E-7</v>
      </c>
      <c r="CQ24">
        <v>8.0686246008614128E-7</v>
      </c>
      <c r="CR24">
        <v>0</v>
      </c>
      <c r="CS24">
        <v>0</v>
      </c>
      <c r="CT24">
        <v>0</v>
      </c>
      <c r="CU24">
        <v>9.8126115094168097E-7</v>
      </c>
      <c r="CV24">
        <v>1.696855717127736E-8</v>
      </c>
      <c r="CW24">
        <v>7.5421818835975541E-8</v>
      </c>
      <c r="CX24">
        <v>1.643057495843612E-8</v>
      </c>
      <c r="CY24">
        <v>2.1528671832761359E-6</v>
      </c>
      <c r="CZ24">
        <v>5.9231342356578381E-12</v>
      </c>
      <c r="DA24">
        <v>2.7808073560250691E-12</v>
      </c>
      <c r="DB24">
        <v>0</v>
      </c>
      <c r="DC24">
        <v>0</v>
      </c>
      <c r="DD24">
        <v>5.214798379369019E-10</v>
      </c>
      <c r="DE24">
        <v>3.2093139973504059E-10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2.17143174237845E-10</v>
      </c>
      <c r="DM24">
        <v>3.04354635029748E-6</v>
      </c>
      <c r="DN24">
        <v>2.9326619113575353E-7</v>
      </c>
      <c r="DO24">
        <v>0</v>
      </c>
      <c r="DP24">
        <v>1.741815154349235E-6</v>
      </c>
      <c r="DQ24">
        <v>2.4262354262197539E-6</v>
      </c>
      <c r="DR24">
        <v>2.8196308514764449E-6</v>
      </c>
      <c r="DS24">
        <v>3.0200348679878209E-5</v>
      </c>
      <c r="DT24">
        <v>1.30327299853288E-6</v>
      </c>
      <c r="DU24">
        <v>1.101457758391046E-5</v>
      </c>
      <c r="DV24">
        <v>0</v>
      </c>
      <c r="DW24">
        <v>0</v>
      </c>
      <c r="DX24">
        <v>5.1505010260829808E-7</v>
      </c>
      <c r="DY24">
        <v>6.0474242707310018E-7</v>
      </c>
      <c r="DZ24">
        <v>1.0426711451692071E-5</v>
      </c>
      <c r="EA24">
        <v>1.428869790683258E-6</v>
      </c>
      <c r="EB24">
        <v>2.2465707252869149E-7</v>
      </c>
      <c r="EC24">
        <v>7.8065300289612285E-8</v>
      </c>
      <c r="ED24">
        <v>1.9353948752863709E-7</v>
      </c>
      <c r="EE24">
        <v>1.585192995629835E-8</v>
      </c>
      <c r="EF24">
        <v>0</v>
      </c>
      <c r="EG24">
        <v>1.8616921096879901E-8</v>
      </c>
      <c r="EH24">
        <v>0</v>
      </c>
      <c r="EI24">
        <v>0</v>
      </c>
      <c r="EJ24">
        <v>8.5456809942090628E-7</v>
      </c>
      <c r="EK24">
        <v>3.071257929024123E-6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7.5325033871877347E-6</v>
      </c>
      <c r="ER24">
        <v>5.7637644914201798E-6</v>
      </c>
      <c r="ES24">
        <v>6.3360788451205358E-6</v>
      </c>
      <c r="ET24">
        <v>1.023242480487227E-5</v>
      </c>
      <c r="EU24">
        <v>0</v>
      </c>
      <c r="EV24">
        <v>8.3023303667764899E-6</v>
      </c>
      <c r="EW24">
        <v>1.978572840115444E-6</v>
      </c>
      <c r="EX24">
        <v>1.023839404362939E-5</v>
      </c>
      <c r="EY24">
        <v>8.4266041554796102E-6</v>
      </c>
      <c r="EZ24">
        <v>2.3843468444293219E-3</v>
      </c>
      <c r="FA24">
        <v>1.535395379995403E-5</v>
      </c>
      <c r="FB24">
        <v>2.461594137043375E-5</v>
      </c>
      <c r="FC24">
        <v>4.2950400134493027E-7</v>
      </c>
      <c r="FD24">
        <v>1.5091440578843889E-6</v>
      </c>
      <c r="FE24">
        <v>2.657368577206599E-6</v>
      </c>
      <c r="FF24">
        <v>3.1678178828674881E-5</v>
      </c>
      <c r="FG24">
        <v>1.8665181325652838E-5</v>
      </c>
      <c r="FH24">
        <v>6.6456889480199662E-5</v>
      </c>
      <c r="FI24">
        <v>1.4126427838843221E-5</v>
      </c>
      <c r="FJ24">
        <v>4.5769245673215998E-5</v>
      </c>
      <c r="FK24">
        <v>0</v>
      </c>
      <c r="FL24">
        <v>2.3618704024945501E-4</v>
      </c>
      <c r="FM24">
        <v>1.1893359256977001E-5</v>
      </c>
      <c r="FN24">
        <v>1.4906944571401711E-7</v>
      </c>
      <c r="FO24">
        <v>7.0248998121856686E-5</v>
      </c>
      <c r="FP24">
        <v>4.6054835721203717E-5</v>
      </c>
      <c r="FQ24">
        <v>3.0456401555155349E-4</v>
      </c>
      <c r="FR24">
        <v>7.4742650757187443E-4</v>
      </c>
      <c r="FS24">
        <v>9.0998534776639466E-4</v>
      </c>
      <c r="FT24">
        <v>1.0528762885467861E-6</v>
      </c>
      <c r="FU24">
        <v>1.100006634648589E-6</v>
      </c>
      <c r="FV24">
        <v>4.5183635276301512E-7</v>
      </c>
      <c r="FW24">
        <v>1.305379724956023E-6</v>
      </c>
      <c r="FX24">
        <v>2.2546054580048859E-7</v>
      </c>
      <c r="FY24">
        <v>3.0326163706873602E-7</v>
      </c>
      <c r="FZ24">
        <v>1.251261509063072E-6</v>
      </c>
      <c r="GA24">
        <v>9.3163048566233254E-8</v>
      </c>
      <c r="GB24">
        <v>7.3568651685128598E-9</v>
      </c>
      <c r="GC24">
        <v>1.000712158821244E-6</v>
      </c>
      <c r="GD24">
        <v>6.3611007492015026E-7</v>
      </c>
      <c r="GE24">
        <v>1.085082844499189E-9</v>
      </c>
      <c r="GF24">
        <v>3.6163957122166379E-7</v>
      </c>
      <c r="GG24">
        <v>6.36887887903904E-7</v>
      </c>
      <c r="GH24">
        <v>6.1667473154685091E-7</v>
      </c>
      <c r="GI24">
        <v>4.2810171227180159E-7</v>
      </c>
      <c r="GJ24">
        <v>1.117990003859737E-7</v>
      </c>
      <c r="GK24">
        <v>1.816432394574901E-6</v>
      </c>
      <c r="GL24">
        <v>6.933695553101581E-8</v>
      </c>
      <c r="GM24">
        <v>2.5891502399131478E-7</v>
      </c>
      <c r="GN24">
        <v>5.4026150516363859E-5</v>
      </c>
      <c r="GO24">
        <v>6.3731381104075683E-4</v>
      </c>
      <c r="GP24">
        <v>4.9628269579204203E-6</v>
      </c>
      <c r="GQ24">
        <v>0</v>
      </c>
      <c r="GR24">
        <v>2.894561151648121E-4</v>
      </c>
      <c r="GS24">
        <v>1.118243177219576E-2</v>
      </c>
      <c r="GT24">
        <v>5.088428895721241E-3</v>
      </c>
      <c r="GU24">
        <v>3.8153829695859449E-3</v>
      </c>
      <c r="GV24">
        <v>3.8264717188492281E-3</v>
      </c>
      <c r="GW24">
        <v>5.8141442834929559E-3</v>
      </c>
      <c r="GX24">
        <v>4.647879198974227E-4</v>
      </c>
      <c r="GY24">
        <v>1.392858276560164E-4</v>
      </c>
      <c r="GZ24">
        <v>1.5735638059124041E-5</v>
      </c>
      <c r="HA24">
        <v>1.084614897098368E-4</v>
      </c>
      <c r="HB24">
        <v>2.3843468444293219E-3</v>
      </c>
      <c r="HC24">
        <v>2.978652943720243E-3</v>
      </c>
    </row>
    <row r="25" spans="1:211" x14ac:dyDescent="0.45">
      <c r="A25" s="1" t="s">
        <v>10</v>
      </c>
      <c r="B25">
        <v>1.4474059608100641E-4</v>
      </c>
      <c r="C25">
        <v>1.5706888069756179E-4</v>
      </c>
      <c r="D25">
        <v>1.039145595537125E-4</v>
      </c>
      <c r="E25">
        <v>5.0570446696081707E-4</v>
      </c>
      <c r="F25">
        <v>2.6248184480093768E-5</v>
      </c>
      <c r="G25">
        <v>0</v>
      </c>
      <c r="H25">
        <v>4.1483176283602628E-4</v>
      </c>
      <c r="I25">
        <v>0</v>
      </c>
      <c r="J25">
        <v>0</v>
      </c>
      <c r="K25">
        <v>0</v>
      </c>
      <c r="L25">
        <v>5.4394431822891163E-4</v>
      </c>
      <c r="M25">
        <v>1.9964180469567712E-3</v>
      </c>
      <c r="N25">
        <v>1.6918618433087591E-4</v>
      </c>
      <c r="O25">
        <v>1.9965255715454519E-4</v>
      </c>
      <c r="P25">
        <v>0</v>
      </c>
      <c r="Q25">
        <v>0</v>
      </c>
      <c r="R25">
        <v>0</v>
      </c>
      <c r="S25">
        <v>4.4144213758471958E-5</v>
      </c>
      <c r="T25">
        <v>4.9611144598091479E-5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4.7776019140676336E-6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1.152436606399054E-2</v>
      </c>
      <c r="AS25">
        <v>1.7214226016516469E-4</v>
      </c>
      <c r="AT25">
        <v>8.5529448536766927E-4</v>
      </c>
      <c r="AU25">
        <v>3.1470945646969849E-3</v>
      </c>
      <c r="AV25">
        <v>2.72205880586686E-6</v>
      </c>
      <c r="AW25">
        <v>3.9586724272491569E-3</v>
      </c>
      <c r="AX25">
        <v>4.4424890773010839E-7</v>
      </c>
      <c r="AY25">
        <v>3.1919625993614981E-5</v>
      </c>
      <c r="AZ25">
        <v>5.3383671524764196E-3</v>
      </c>
      <c r="BA25">
        <v>7.516842069402428E-4</v>
      </c>
      <c r="BB25">
        <v>6.1695613405574046E-4</v>
      </c>
      <c r="BC25">
        <v>1.314566392931249E-5</v>
      </c>
      <c r="BD25">
        <v>8.933413744484787E-5</v>
      </c>
      <c r="BE25">
        <v>8.2671585124104044E-5</v>
      </c>
      <c r="BF25">
        <v>1.509318477442134E-5</v>
      </c>
      <c r="BG25">
        <v>1.2157818549764559E-5</v>
      </c>
      <c r="BH25">
        <v>5.6169257047932671E-6</v>
      </c>
      <c r="BI25">
        <v>0</v>
      </c>
      <c r="BJ25">
        <v>0</v>
      </c>
      <c r="BK25">
        <v>5.7240844486553143E-5</v>
      </c>
      <c r="BL25">
        <v>6.5704104630007207E-5</v>
      </c>
      <c r="BM25">
        <v>6.9498169733051625E-10</v>
      </c>
      <c r="BN25">
        <v>0</v>
      </c>
      <c r="BO25">
        <v>0</v>
      </c>
      <c r="BP25">
        <v>2.0862611771334859E-4</v>
      </c>
      <c r="BQ25">
        <v>0</v>
      </c>
      <c r="BR25">
        <v>0</v>
      </c>
      <c r="BS25">
        <v>4.9835068849805677E-7</v>
      </c>
      <c r="BT25">
        <v>0</v>
      </c>
      <c r="BU25">
        <v>1.4824157121455411E-4</v>
      </c>
      <c r="BV25">
        <v>1.474713917993185E-8</v>
      </c>
      <c r="BW25">
        <v>0</v>
      </c>
      <c r="BX25">
        <v>3.5243625228491119E-6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8.3937676516630626E-4</v>
      </c>
      <c r="CJ25">
        <v>3.9039756852125599E-5</v>
      </c>
      <c r="CK25">
        <v>6.3719023124988175E-8</v>
      </c>
      <c r="CL25">
        <v>5.4788471600069426E-7</v>
      </c>
      <c r="CM25">
        <v>2.5288231663426163E-4</v>
      </c>
      <c r="CN25">
        <v>0</v>
      </c>
      <c r="CO25">
        <v>0</v>
      </c>
      <c r="CP25">
        <v>3.9668682496440097E-6</v>
      </c>
      <c r="CQ25">
        <v>4.6549843910778958E-6</v>
      </c>
      <c r="CR25">
        <v>0</v>
      </c>
      <c r="CS25">
        <v>0</v>
      </c>
      <c r="CT25">
        <v>0</v>
      </c>
      <c r="CU25">
        <v>1.052445203723558E-5</v>
      </c>
      <c r="CV25">
        <v>9.3714901451596702E-8</v>
      </c>
      <c r="CW25">
        <v>5.3183787918189653E-7</v>
      </c>
      <c r="CX25">
        <v>1.057769062348744E-7</v>
      </c>
      <c r="CY25">
        <v>1.460677986198305E-5</v>
      </c>
      <c r="CZ25">
        <v>5.3201054725178227E-11</v>
      </c>
      <c r="DA25">
        <v>2.046999847253279E-11</v>
      </c>
      <c r="DB25">
        <v>0</v>
      </c>
      <c r="DC25">
        <v>0</v>
      </c>
      <c r="DD25">
        <v>8.0599056807657549E-9</v>
      </c>
      <c r="DE25">
        <v>4.4927604543668989E-9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2.2325008094815459E-9</v>
      </c>
      <c r="DM25">
        <v>4.2445940143858391E-5</v>
      </c>
      <c r="DN25">
        <v>4.037165560038161E-6</v>
      </c>
      <c r="DO25">
        <v>0</v>
      </c>
      <c r="DP25">
        <v>2.280077124120277E-5</v>
      </c>
      <c r="DQ25">
        <v>2.5358555565009551E-5</v>
      </c>
      <c r="DR25">
        <v>2.8769980954956481E-5</v>
      </c>
      <c r="DS25">
        <v>4.2032136247405449E-4</v>
      </c>
      <c r="DT25">
        <v>1.997129205584651E-5</v>
      </c>
      <c r="DU25">
        <v>1.23028789119927E-4</v>
      </c>
      <c r="DV25">
        <v>0</v>
      </c>
      <c r="DW25">
        <v>0</v>
      </c>
      <c r="DX25">
        <v>1.0683792958913779E-5</v>
      </c>
      <c r="DY25">
        <v>6.6404946010053748E-6</v>
      </c>
      <c r="DZ25">
        <v>1.135199008740142E-4</v>
      </c>
      <c r="EA25">
        <v>1.7017832488687039E-5</v>
      </c>
      <c r="EB25">
        <v>2.6760898963793719E-6</v>
      </c>
      <c r="EC25">
        <v>1.720298673310193E-6</v>
      </c>
      <c r="ED25">
        <v>2.4374118627270128E-6</v>
      </c>
      <c r="EE25">
        <v>1.9706847614998879E-7</v>
      </c>
      <c r="EF25">
        <v>0</v>
      </c>
      <c r="EG25">
        <v>1.8925917083819381E-7</v>
      </c>
      <c r="EH25">
        <v>0</v>
      </c>
      <c r="EI25">
        <v>0</v>
      </c>
      <c r="EJ25">
        <v>1.510264459768501E-5</v>
      </c>
      <c r="EK25">
        <v>5.7591442628548463E-5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1.1719810324876841E-4</v>
      </c>
      <c r="ER25">
        <v>7.3734045596232311E-5</v>
      </c>
      <c r="ES25">
        <v>4.6972704228090058E-5</v>
      </c>
      <c r="ET25">
        <v>9.643095467797793E-5</v>
      </c>
      <c r="EU25">
        <v>0</v>
      </c>
      <c r="EV25">
        <v>1.2852708803687049E-4</v>
      </c>
      <c r="EW25">
        <v>9.2302207583830819E-6</v>
      </c>
      <c r="EX25">
        <v>5.9467708435285781E-5</v>
      </c>
      <c r="EY25">
        <v>4.7284508079068438E-5</v>
      </c>
      <c r="EZ25">
        <v>3.54574306520855E-3</v>
      </c>
      <c r="FA25">
        <v>1.7345663346768659E-4</v>
      </c>
      <c r="FB25">
        <v>2.5175961223138668E-4</v>
      </c>
      <c r="FC25">
        <v>1.200215618725319E-5</v>
      </c>
      <c r="FD25">
        <v>6.295092115299134E-5</v>
      </c>
      <c r="FE25">
        <v>5.3280065669904307E-5</v>
      </c>
      <c r="FF25">
        <v>2.5905878902327028E-4</v>
      </c>
      <c r="FG25">
        <v>1.5522334451416661E-4</v>
      </c>
      <c r="FH25">
        <v>3.166204194093428E-4</v>
      </c>
      <c r="FI25">
        <v>1.3323795952116009E-4</v>
      </c>
      <c r="FJ25">
        <v>3.8593262900704428E-4</v>
      </c>
      <c r="FK25">
        <v>0</v>
      </c>
      <c r="FL25">
        <v>1.891783075400958E-3</v>
      </c>
      <c r="FM25">
        <v>3.8537903221054238E-5</v>
      </c>
      <c r="FN25">
        <v>7.6587629717426267E-7</v>
      </c>
      <c r="FO25">
        <v>3.4006852828967509E-4</v>
      </c>
      <c r="FP25">
        <v>1.712177662843129E-4</v>
      </c>
      <c r="FQ25">
        <v>2.1370744074822009E-3</v>
      </c>
      <c r="FR25">
        <v>1.5381775470314561E-3</v>
      </c>
      <c r="FS25">
        <v>2.6311023517806278E-3</v>
      </c>
      <c r="FT25">
        <v>6.8887836394518528E-6</v>
      </c>
      <c r="FU25">
        <v>7.2975344015661286E-6</v>
      </c>
      <c r="FV25">
        <v>3.342703904284113E-6</v>
      </c>
      <c r="FW25">
        <v>8.744263723790469E-6</v>
      </c>
      <c r="FX25">
        <v>1.520878955828691E-6</v>
      </c>
      <c r="FY25">
        <v>2.0797273687578001E-6</v>
      </c>
      <c r="FZ25">
        <v>8.0183551740468473E-6</v>
      </c>
      <c r="GA25">
        <v>5.9265738407583936E-7</v>
      </c>
      <c r="GB25">
        <v>4.9546803861325391E-8</v>
      </c>
      <c r="GC25">
        <v>7.3974141056991219E-6</v>
      </c>
      <c r="GD25">
        <v>4.3438225337363716E-6</v>
      </c>
      <c r="GE25">
        <v>1.6144703997546369E-7</v>
      </c>
      <c r="GF25">
        <v>2.914567172584559E-6</v>
      </c>
      <c r="GG25">
        <v>5.3401326121439694E-6</v>
      </c>
      <c r="GH25">
        <v>4.9948289749281748E-6</v>
      </c>
      <c r="GI25">
        <v>3.3567100936368181E-6</v>
      </c>
      <c r="GJ25">
        <v>1.0651300539867731E-6</v>
      </c>
      <c r="GK25">
        <v>1.1920177502200231E-5</v>
      </c>
      <c r="GL25">
        <v>5.6873375394266095E-7</v>
      </c>
      <c r="GM25">
        <v>1.849150060010277E-6</v>
      </c>
      <c r="GN25">
        <v>3.5789934600642507E-4</v>
      </c>
      <c r="GO25">
        <v>1.633853092902091E-3</v>
      </c>
      <c r="GP25">
        <v>2.4923616697618311E-4</v>
      </c>
      <c r="GQ25">
        <v>0</v>
      </c>
      <c r="GR25">
        <v>5.0842652576668396E-4</v>
      </c>
      <c r="GS25">
        <v>1.152436606399054E-2</v>
      </c>
      <c r="GT25">
        <v>6.7148936754155017E-3</v>
      </c>
      <c r="GU25">
        <v>4.1774697561781241E-3</v>
      </c>
      <c r="GV25">
        <v>4.1583249844037024E-3</v>
      </c>
      <c r="GW25">
        <v>7.3383375757001884E-3</v>
      </c>
      <c r="GX25">
        <v>3.6490972053521138E-3</v>
      </c>
      <c r="GY25">
        <v>1.8511447237615E-3</v>
      </c>
      <c r="GZ25">
        <v>1.870989073433732E-4</v>
      </c>
      <c r="HA25">
        <v>1.2929510393473651E-3</v>
      </c>
      <c r="HB25">
        <v>3.54574306520855E-3</v>
      </c>
      <c r="HC25">
        <v>1.0462876133519121E-2</v>
      </c>
    </row>
    <row r="26" spans="1:211" x14ac:dyDescent="0.45">
      <c r="A26" s="1" t="s">
        <v>11</v>
      </c>
      <c r="B26">
        <v>5.4032773967018703E-6</v>
      </c>
      <c r="C26">
        <v>1.317166902765649E-4</v>
      </c>
      <c r="D26">
        <v>3.9878030720808623E-6</v>
      </c>
      <c r="E26">
        <v>2.1161522881837998E-3</v>
      </c>
      <c r="F26">
        <v>4.2590425949983618E-4</v>
      </c>
      <c r="G26">
        <v>0</v>
      </c>
      <c r="H26">
        <v>3.6390235685644867E-4</v>
      </c>
      <c r="I26">
        <v>1.138879991885836E-4</v>
      </c>
      <c r="J26">
        <v>0</v>
      </c>
      <c r="K26">
        <v>0</v>
      </c>
      <c r="L26">
        <v>8.3394826838719089E-6</v>
      </c>
      <c r="M26">
        <v>5.8053906516295764E-4</v>
      </c>
      <c r="N26">
        <v>3.5704068594231498E-4</v>
      </c>
      <c r="O26">
        <v>0</v>
      </c>
      <c r="P26">
        <v>0</v>
      </c>
      <c r="Q26">
        <v>0</v>
      </c>
      <c r="R26">
        <v>0</v>
      </c>
      <c r="S26">
        <v>1.8472661083184761E-5</v>
      </c>
      <c r="T26">
        <v>7.4524058118042395E-5</v>
      </c>
      <c r="U26">
        <v>7.179098216575194E-9</v>
      </c>
      <c r="V26">
        <v>0</v>
      </c>
      <c r="W26">
        <v>1.051372408775937E-7</v>
      </c>
      <c r="X26">
        <v>0</v>
      </c>
      <c r="Y26">
        <v>3.6384998618586723E-8</v>
      </c>
      <c r="Z26">
        <v>0</v>
      </c>
      <c r="AA26">
        <v>0</v>
      </c>
      <c r="AB26">
        <v>0</v>
      </c>
      <c r="AC26">
        <v>0</v>
      </c>
      <c r="AD26">
        <v>7.0967744362242371E-6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1.428521231741626E-3</v>
      </c>
      <c r="AS26">
        <v>1.033591106263352E-4</v>
      </c>
      <c r="AT26">
        <v>1.239220228239423E-4</v>
      </c>
      <c r="AU26">
        <v>2.302307148579296E-4</v>
      </c>
      <c r="AV26">
        <v>8.0168790982828155E-5</v>
      </c>
      <c r="AW26">
        <v>7.3017975360684811E-4</v>
      </c>
      <c r="AX26">
        <v>3.9204015142044017E-5</v>
      </c>
      <c r="AY26">
        <v>1.8668749234346329E-5</v>
      </c>
      <c r="AZ26">
        <v>3.0904516606435999E-3</v>
      </c>
      <c r="BA26">
        <v>2.3255721920877821E-4</v>
      </c>
      <c r="BB26">
        <v>2.4547477192762672E-4</v>
      </c>
      <c r="BC26">
        <v>7.8951063728447768E-5</v>
      </c>
      <c r="BD26">
        <v>9.6618064092610816E-4</v>
      </c>
      <c r="BE26">
        <v>1.8221865094807551E-3</v>
      </c>
      <c r="BF26">
        <v>7.2330472194400272E-3</v>
      </c>
      <c r="BG26">
        <v>5.1587047637648159E-5</v>
      </c>
      <c r="BH26">
        <v>0</v>
      </c>
      <c r="BI26">
        <v>0</v>
      </c>
      <c r="BJ26">
        <v>0</v>
      </c>
      <c r="BK26">
        <v>5.1216421236729917E-5</v>
      </c>
      <c r="BL26">
        <v>2.8192328603030671E-5</v>
      </c>
      <c r="BM26">
        <v>2.1186432497109039E-9</v>
      </c>
      <c r="BN26">
        <v>0</v>
      </c>
      <c r="BO26">
        <v>0</v>
      </c>
      <c r="BP26">
        <v>1.441624683261223E-4</v>
      </c>
      <c r="BQ26">
        <v>9.153353202794548E-10</v>
      </c>
      <c r="BR26">
        <v>0</v>
      </c>
      <c r="BS26">
        <v>1.6558630672677161E-6</v>
      </c>
      <c r="BT26">
        <v>1.619805396166427E-6</v>
      </c>
      <c r="BU26">
        <v>9.7542615401217624E-5</v>
      </c>
      <c r="BV26">
        <v>1.3170783026420191E-7</v>
      </c>
      <c r="BW26">
        <v>0</v>
      </c>
      <c r="BX26">
        <v>1.1028409471637431E-5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3.1049658989448613E-4</v>
      </c>
      <c r="CJ26">
        <v>0</v>
      </c>
      <c r="CK26">
        <v>5.7981104695257832E-7</v>
      </c>
      <c r="CL26">
        <v>3.7586074279800737E-5</v>
      </c>
      <c r="CM26">
        <v>5.8764303021415529E-4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3.4486336727254371E-5</v>
      </c>
      <c r="CV26">
        <v>2.872520664126132E-9</v>
      </c>
      <c r="CW26">
        <v>2.3393606261258608E-8</v>
      </c>
      <c r="CX26">
        <v>0</v>
      </c>
      <c r="CY26">
        <v>2.5710029472621449E-5</v>
      </c>
      <c r="CZ26">
        <v>1.343229250301387E-10</v>
      </c>
      <c r="DA26">
        <v>0</v>
      </c>
      <c r="DB26">
        <v>3.797748934588472E-7</v>
      </c>
      <c r="DC26">
        <v>0</v>
      </c>
      <c r="DD26">
        <v>5.9092529164847002E-8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3.4588973639695392E-7</v>
      </c>
      <c r="DK26">
        <v>0</v>
      </c>
      <c r="DL26">
        <v>0</v>
      </c>
      <c r="DM26">
        <v>4.5936392007735072E-5</v>
      </c>
      <c r="DN26">
        <v>4.9677463684690932E-6</v>
      </c>
      <c r="DO26">
        <v>1.2372759078856411E-4</v>
      </c>
      <c r="DP26">
        <v>4.3645596966321102E-5</v>
      </c>
      <c r="DQ26">
        <v>6.7529556646440202E-5</v>
      </c>
      <c r="DR26">
        <v>4.4268953400020753E-5</v>
      </c>
      <c r="DS26">
        <v>7.3081342384877256E-4</v>
      </c>
      <c r="DT26">
        <v>4.5258306225437327E-5</v>
      </c>
      <c r="DU26">
        <v>6.1135704981458538E-4</v>
      </c>
      <c r="DV26">
        <v>0</v>
      </c>
      <c r="DW26">
        <v>0</v>
      </c>
      <c r="DX26">
        <v>2.770001230902101E-7</v>
      </c>
      <c r="DY26">
        <v>1.139588720615156E-6</v>
      </c>
      <c r="DZ26">
        <v>2.2480933519222142E-6</v>
      </c>
      <c r="EA26">
        <v>2.898212488983476E-6</v>
      </c>
      <c r="EB26">
        <v>1.4738362289106251E-7</v>
      </c>
      <c r="EC26">
        <v>9.8356213602002465E-8</v>
      </c>
      <c r="ED26">
        <v>1.5982663854867009E-7</v>
      </c>
      <c r="EE26">
        <v>1.2775098318743101E-7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5.0070704936668482E-6</v>
      </c>
      <c r="EY26">
        <v>0</v>
      </c>
      <c r="EZ26">
        <v>0</v>
      </c>
      <c r="FA26">
        <v>3.511048299046626E-5</v>
      </c>
      <c r="FB26">
        <v>1.072718237138617E-4</v>
      </c>
      <c r="FC26">
        <v>5.8035726910046107E-8</v>
      </c>
      <c r="FD26">
        <v>2.111378687773671E-4</v>
      </c>
      <c r="FE26">
        <v>2.422433033463112E-5</v>
      </c>
      <c r="FF26">
        <v>3.0318632893656532E-4</v>
      </c>
      <c r="FG26">
        <v>2.531487998260963E-5</v>
      </c>
      <c r="FH26">
        <v>4.6738745643486353E-5</v>
      </c>
      <c r="FI26">
        <v>1.343495964944214E-5</v>
      </c>
      <c r="FJ26">
        <v>1.747451116374657E-5</v>
      </c>
      <c r="FK26">
        <v>0</v>
      </c>
      <c r="FL26">
        <v>0</v>
      </c>
      <c r="FM26">
        <v>0</v>
      </c>
      <c r="FN26">
        <v>4.7924111555997507E-8</v>
      </c>
      <c r="FO26">
        <v>8.0732608595449968E-5</v>
      </c>
      <c r="FP26">
        <v>1.2420324167574931E-5</v>
      </c>
      <c r="FQ26">
        <v>5.9602778127872347E-5</v>
      </c>
      <c r="FR26">
        <v>3.4558133900598573E-5</v>
      </c>
      <c r="FS26">
        <v>9.2380698475372585E-5</v>
      </c>
      <c r="FT26">
        <v>1.016380448503537E-7</v>
      </c>
      <c r="FU26">
        <v>7.8668574627558351E-8</v>
      </c>
      <c r="FV26">
        <v>3.8013031933719739E-8</v>
      </c>
      <c r="FW26">
        <v>1.7675352715535061E-7</v>
      </c>
      <c r="FX26">
        <v>1.294284138605562E-8</v>
      </c>
      <c r="FY26">
        <v>2.6035347756960102E-8</v>
      </c>
      <c r="FZ26">
        <v>8.8203044026119253E-8</v>
      </c>
      <c r="GA26">
        <v>3.6990216381045241E-9</v>
      </c>
      <c r="GB26">
        <v>3.1656276294398562E-10</v>
      </c>
      <c r="GC26">
        <v>7.5137345348165098E-8</v>
      </c>
      <c r="GD26">
        <v>9.947602922195688E-8</v>
      </c>
      <c r="GE26">
        <v>0</v>
      </c>
      <c r="GF26">
        <v>2.469744656074444E-8</v>
      </c>
      <c r="GG26">
        <v>4.8868190262189439E-8</v>
      </c>
      <c r="GH26">
        <v>4.8765688531900991E-8</v>
      </c>
      <c r="GI26">
        <v>3.0006337662785549E-8</v>
      </c>
      <c r="GJ26">
        <v>5.8597813789541692E-9</v>
      </c>
      <c r="GK26">
        <v>1.187271628426165E-7</v>
      </c>
      <c r="GL26">
        <v>2.9324756593545612E-9</v>
      </c>
      <c r="GM26">
        <v>1.328552363242812E-8</v>
      </c>
      <c r="GN26">
        <v>8.3155136829091913E-6</v>
      </c>
      <c r="GO26">
        <v>1.152367406535194E-4</v>
      </c>
      <c r="GP26">
        <v>2.2699717203635789E-5</v>
      </c>
      <c r="GQ26">
        <v>0</v>
      </c>
      <c r="GR26">
        <v>2.1963210791666279E-3</v>
      </c>
      <c r="GS26">
        <v>1.428521231741626E-3</v>
      </c>
      <c r="GT26">
        <v>1.0463903961550371E-3</v>
      </c>
      <c r="GU26">
        <v>1.161744497667206E-3</v>
      </c>
      <c r="GV26">
        <v>7.3017975360684811E-4</v>
      </c>
      <c r="GW26">
        <v>4.6144053728264132E-3</v>
      </c>
      <c r="GX26">
        <v>6.3447668097798768E-4</v>
      </c>
      <c r="GY26">
        <v>1.720300716168097E-3</v>
      </c>
      <c r="GZ26">
        <v>1.002141436984689E-2</v>
      </c>
      <c r="HA26">
        <v>1.8377273929210669E-3</v>
      </c>
      <c r="HB26">
        <v>0</v>
      </c>
      <c r="HC26">
        <v>5.3495863182867866E-4</v>
      </c>
    </row>
    <row r="27" spans="1:211" x14ac:dyDescent="0.45">
      <c r="A27" s="1" t="s">
        <v>1</v>
      </c>
      <c r="B27">
        <v>1.501438734777082E-4</v>
      </c>
      <c r="C27">
        <v>2.8878557097412671E-4</v>
      </c>
      <c r="D27">
        <v>1.079023626257933E-4</v>
      </c>
      <c r="E27">
        <v>2.6218567551446171E-3</v>
      </c>
      <c r="F27">
        <v>4.5215244397993001E-4</v>
      </c>
      <c r="G27">
        <v>0</v>
      </c>
      <c r="H27">
        <v>7.7873411969247501E-4</v>
      </c>
      <c r="I27">
        <v>1.138879991885836E-4</v>
      </c>
      <c r="J27">
        <v>0</v>
      </c>
      <c r="K27">
        <v>0</v>
      </c>
      <c r="L27">
        <v>5.5228380091278356E-4</v>
      </c>
      <c r="M27">
        <v>2.5769571121197288E-3</v>
      </c>
      <c r="N27">
        <v>5.2622687027319083E-4</v>
      </c>
      <c r="O27">
        <v>1.9965255715454519E-4</v>
      </c>
      <c r="P27">
        <v>0</v>
      </c>
      <c r="Q27">
        <v>0</v>
      </c>
      <c r="R27">
        <v>0</v>
      </c>
      <c r="S27">
        <v>6.2616874841656716E-5</v>
      </c>
      <c r="T27">
        <v>1.2413520271613391E-4</v>
      </c>
      <c r="U27">
        <v>7.179098216575194E-9</v>
      </c>
      <c r="V27">
        <v>0</v>
      </c>
      <c r="W27">
        <v>1.051372408775937E-7</v>
      </c>
      <c r="X27">
        <v>0</v>
      </c>
      <c r="Y27">
        <v>3.6384998618586723E-8</v>
      </c>
      <c r="Z27">
        <v>0</v>
      </c>
      <c r="AA27">
        <v>0</v>
      </c>
      <c r="AB27">
        <v>0</v>
      </c>
      <c r="AC27">
        <v>0</v>
      </c>
      <c r="AD27">
        <v>1.187437635029187E-5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1.2952887295732169E-2</v>
      </c>
      <c r="AS27">
        <v>2.7550137079149992E-4</v>
      </c>
      <c r="AT27">
        <v>9.7921650819161161E-4</v>
      </c>
      <c r="AU27">
        <v>3.3773252795549148E-3</v>
      </c>
      <c r="AV27">
        <v>8.289084978869502E-5</v>
      </c>
      <c r="AW27">
        <v>4.6888521808560049E-3</v>
      </c>
      <c r="AX27">
        <v>3.9648264049774142E-5</v>
      </c>
      <c r="AY27">
        <v>5.0588375227961323E-5</v>
      </c>
      <c r="AZ27">
        <v>8.4288188131200203E-3</v>
      </c>
      <c r="BA27">
        <v>9.8424142614902087E-4</v>
      </c>
      <c r="BB27">
        <v>8.6243090598336718E-4</v>
      </c>
      <c r="BC27">
        <v>9.2096727657760253E-5</v>
      </c>
      <c r="BD27">
        <v>1.055514778370956E-3</v>
      </c>
      <c r="BE27">
        <v>1.904858094604859E-3</v>
      </c>
      <c r="BF27">
        <v>7.2481404042144494E-3</v>
      </c>
      <c r="BG27">
        <v>6.3744866187412721E-5</v>
      </c>
      <c r="BH27">
        <v>5.6169257047932671E-6</v>
      </c>
      <c r="BI27">
        <v>0</v>
      </c>
      <c r="BJ27">
        <v>0</v>
      </c>
      <c r="BK27">
        <v>1.0845726572328309E-4</v>
      </c>
      <c r="BL27">
        <v>9.3896433233037874E-5</v>
      </c>
      <c r="BM27">
        <v>2.8136249470414202E-9</v>
      </c>
      <c r="BN27">
        <v>0</v>
      </c>
      <c r="BO27">
        <v>0</v>
      </c>
      <c r="BP27">
        <v>3.527885860394709E-4</v>
      </c>
      <c r="BQ27">
        <v>9.153353202794548E-10</v>
      </c>
      <c r="BR27">
        <v>0</v>
      </c>
      <c r="BS27">
        <v>2.1542137557657729E-6</v>
      </c>
      <c r="BT27">
        <v>1.619805396166427E-6</v>
      </c>
      <c r="BU27">
        <v>2.4578418661577169E-4</v>
      </c>
      <c r="BV27">
        <v>1.464549694441337E-7</v>
      </c>
      <c r="BW27">
        <v>0</v>
      </c>
      <c r="BX27">
        <v>1.455277199448654E-5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1.149873355060792E-3</v>
      </c>
      <c r="CJ27">
        <v>3.9039756852125599E-5</v>
      </c>
      <c r="CK27">
        <v>6.4353007007756649E-7</v>
      </c>
      <c r="CL27">
        <v>3.8133958995801433E-5</v>
      </c>
      <c r="CM27">
        <v>8.4052534684841691E-4</v>
      </c>
      <c r="CN27">
        <v>0</v>
      </c>
      <c r="CO27">
        <v>0</v>
      </c>
      <c r="CP27">
        <v>3.9668682496440097E-6</v>
      </c>
      <c r="CQ27">
        <v>4.6549843910778958E-6</v>
      </c>
      <c r="CR27">
        <v>0</v>
      </c>
      <c r="CS27">
        <v>0</v>
      </c>
      <c r="CT27">
        <v>0</v>
      </c>
      <c r="CU27">
        <v>4.5010788764489952E-5</v>
      </c>
      <c r="CV27">
        <v>9.6587422115722831E-8</v>
      </c>
      <c r="CW27">
        <v>5.5523148544315511E-7</v>
      </c>
      <c r="CX27">
        <v>1.057769062348744E-7</v>
      </c>
      <c r="CY27">
        <v>4.0316809334604487E-5</v>
      </c>
      <c r="CZ27">
        <v>1.8752397975531691E-10</v>
      </c>
      <c r="DA27">
        <v>2.046999847253279E-11</v>
      </c>
      <c r="DB27">
        <v>3.797748934588472E-7</v>
      </c>
      <c r="DC27">
        <v>0</v>
      </c>
      <c r="DD27">
        <v>6.7152434845612755E-8</v>
      </c>
      <c r="DE27">
        <v>4.4927604543668989E-9</v>
      </c>
      <c r="DF27">
        <v>0</v>
      </c>
      <c r="DG27">
        <v>0</v>
      </c>
      <c r="DH27">
        <v>0</v>
      </c>
      <c r="DI27">
        <v>0</v>
      </c>
      <c r="DJ27">
        <v>3.4588973639695392E-7</v>
      </c>
      <c r="DK27">
        <v>0</v>
      </c>
      <c r="DL27">
        <v>2.2325008094815459E-9</v>
      </c>
      <c r="DM27">
        <v>8.8382332151593456E-5</v>
      </c>
      <c r="DN27">
        <v>9.0049119285072533E-6</v>
      </c>
      <c r="DO27">
        <v>1.2372759078856411E-4</v>
      </c>
      <c r="DP27">
        <v>6.6446368207523872E-5</v>
      </c>
      <c r="DQ27">
        <v>9.288811221144975E-5</v>
      </c>
      <c r="DR27">
        <v>7.3038934354977233E-5</v>
      </c>
      <c r="DS27">
        <v>1.151134786322827E-3</v>
      </c>
      <c r="DT27">
        <v>6.522959828128383E-5</v>
      </c>
      <c r="DU27">
        <v>7.343858389345124E-4</v>
      </c>
      <c r="DV27">
        <v>0</v>
      </c>
      <c r="DW27">
        <v>0</v>
      </c>
      <c r="DX27">
        <v>1.096079308200399E-5</v>
      </c>
      <c r="DY27">
        <v>7.7800833216205315E-6</v>
      </c>
      <c r="DZ27">
        <v>1.157679942259365E-4</v>
      </c>
      <c r="EA27">
        <v>1.9916044977670511E-5</v>
      </c>
      <c r="EB27">
        <v>2.8234735192704338E-6</v>
      </c>
      <c r="EC27">
        <v>1.8186548869121959E-6</v>
      </c>
      <c r="ED27">
        <v>2.5972385012756831E-6</v>
      </c>
      <c r="EE27">
        <v>3.2481945933741983E-7</v>
      </c>
      <c r="EF27">
        <v>0</v>
      </c>
      <c r="EG27">
        <v>1.8925917083819381E-7</v>
      </c>
      <c r="EH27">
        <v>0</v>
      </c>
      <c r="EI27">
        <v>0</v>
      </c>
      <c r="EJ27">
        <v>1.510264459768501E-5</v>
      </c>
      <c r="EK27">
        <v>5.7591442628548463E-5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1.1719810324876841E-4</v>
      </c>
      <c r="ER27">
        <v>7.3734045596232311E-5</v>
      </c>
      <c r="ES27">
        <v>4.6972704228090058E-5</v>
      </c>
      <c r="ET27">
        <v>9.643095467797793E-5</v>
      </c>
      <c r="EU27">
        <v>0</v>
      </c>
      <c r="EV27">
        <v>1.2852708803687049E-4</v>
      </c>
      <c r="EW27">
        <v>9.2302207583830819E-6</v>
      </c>
      <c r="EX27">
        <v>6.4474778928952635E-5</v>
      </c>
      <c r="EY27">
        <v>4.7284508079068438E-5</v>
      </c>
      <c r="EZ27">
        <v>3.54574306520855E-3</v>
      </c>
      <c r="FA27">
        <v>2.0856711645815291E-4</v>
      </c>
      <c r="FB27">
        <v>3.5903143594524838E-4</v>
      </c>
      <c r="FC27">
        <v>1.206019191416324E-5</v>
      </c>
      <c r="FD27">
        <v>2.7408878993035851E-4</v>
      </c>
      <c r="FE27">
        <v>7.7504396004535419E-5</v>
      </c>
      <c r="FF27">
        <v>5.6224511795983554E-4</v>
      </c>
      <c r="FG27">
        <v>1.805382244967762E-4</v>
      </c>
      <c r="FH27">
        <v>3.6335916505282921E-4</v>
      </c>
      <c r="FI27">
        <v>1.466729191706023E-4</v>
      </c>
      <c r="FJ27">
        <v>4.0340714017079088E-4</v>
      </c>
      <c r="FK27">
        <v>0</v>
      </c>
      <c r="FL27">
        <v>1.891783075400958E-3</v>
      </c>
      <c r="FM27">
        <v>3.8537903221054238E-5</v>
      </c>
      <c r="FN27">
        <v>8.1380040873026018E-7</v>
      </c>
      <c r="FO27">
        <v>4.2080113688512498E-4</v>
      </c>
      <c r="FP27">
        <v>1.8363809045188781E-4</v>
      </c>
      <c r="FQ27">
        <v>2.1966771856100731E-3</v>
      </c>
      <c r="FR27">
        <v>1.5727356809320549E-3</v>
      </c>
      <c r="FS27">
        <v>2.7234830502559999E-3</v>
      </c>
      <c r="FT27">
        <v>6.9904216843022056E-6</v>
      </c>
      <c r="FU27">
        <v>7.3762029761936872E-6</v>
      </c>
      <c r="FV27">
        <v>3.380716936217832E-6</v>
      </c>
      <c r="FW27">
        <v>8.9210172509458193E-6</v>
      </c>
      <c r="FX27">
        <v>1.533821797214747E-6</v>
      </c>
      <c r="FY27">
        <v>2.1057627165147611E-6</v>
      </c>
      <c r="FZ27">
        <v>8.1065582180729671E-6</v>
      </c>
      <c r="GA27">
        <v>5.9635640571394391E-7</v>
      </c>
      <c r="GB27">
        <v>4.9863366624269382E-8</v>
      </c>
      <c r="GC27">
        <v>7.4725514510472869E-6</v>
      </c>
      <c r="GD27">
        <v>4.4432985629583296E-6</v>
      </c>
      <c r="GE27">
        <v>1.6144703997546369E-7</v>
      </c>
      <c r="GF27">
        <v>2.9392646191453039E-6</v>
      </c>
      <c r="GG27">
        <v>5.3890008024061588E-6</v>
      </c>
      <c r="GH27">
        <v>5.0435946634600754E-6</v>
      </c>
      <c r="GI27">
        <v>3.3867164312996029E-6</v>
      </c>
      <c r="GJ27">
        <v>1.0709898353657271E-6</v>
      </c>
      <c r="GK27">
        <v>1.203890466504284E-5</v>
      </c>
      <c r="GL27">
        <v>5.716662296020155E-7</v>
      </c>
      <c r="GM27">
        <v>1.8624355836427051E-6</v>
      </c>
      <c r="GN27">
        <v>3.6621485968933427E-4</v>
      </c>
      <c r="GO27">
        <v>1.7490898335556101E-3</v>
      </c>
      <c r="GP27">
        <v>2.7193588417981888E-4</v>
      </c>
      <c r="GQ27">
        <v>0</v>
      </c>
      <c r="GR27">
        <v>2.7047476049333122E-3</v>
      </c>
      <c r="GS27">
        <v>1.2952887295732169E-2</v>
      </c>
      <c r="GT27">
        <v>7.7612840715705379E-3</v>
      </c>
      <c r="GU27">
        <v>5.3392142538453303E-3</v>
      </c>
      <c r="GV27">
        <v>4.8885047380105504E-3</v>
      </c>
      <c r="GW27">
        <v>1.19527429485266E-2</v>
      </c>
      <c r="GX27">
        <v>4.2835738863301019E-3</v>
      </c>
      <c r="GY27">
        <v>3.571445439929597E-3</v>
      </c>
      <c r="GZ27">
        <v>1.0208513277190259E-2</v>
      </c>
      <c r="HA27">
        <v>3.130678432268432E-3</v>
      </c>
      <c r="HB27">
        <v>3.54574306520855E-3</v>
      </c>
      <c r="HC27">
        <v>1.09978347653478E-2</v>
      </c>
    </row>
    <row r="28" spans="1:211" x14ac:dyDescent="0.45">
      <c r="A28" s="1" t="s">
        <v>221</v>
      </c>
      <c r="B28">
        <f t="shared" ref="B28:BM28" si="0">INDEX(B$18:B$27,MATCH($B$1,$A$18:$A$27,0))</f>
        <v>1.501438734777082E-4</v>
      </c>
      <c r="C28">
        <f t="shared" si="0"/>
        <v>2.8878557097412671E-4</v>
      </c>
      <c r="D28">
        <f t="shared" si="0"/>
        <v>1.079023626257933E-4</v>
      </c>
      <c r="E28">
        <f t="shared" si="0"/>
        <v>2.6218567551446171E-3</v>
      </c>
      <c r="F28">
        <f t="shared" si="0"/>
        <v>4.5215244397993001E-4</v>
      </c>
      <c r="G28">
        <f t="shared" si="0"/>
        <v>0</v>
      </c>
      <c r="H28">
        <f t="shared" si="0"/>
        <v>7.7873411969247501E-4</v>
      </c>
      <c r="I28">
        <f t="shared" si="0"/>
        <v>1.138879991885836E-4</v>
      </c>
      <c r="J28">
        <f t="shared" si="0"/>
        <v>0</v>
      </c>
      <c r="K28">
        <f t="shared" si="0"/>
        <v>0</v>
      </c>
      <c r="L28">
        <f t="shared" si="0"/>
        <v>5.5228380091278356E-4</v>
      </c>
      <c r="M28">
        <f t="shared" si="0"/>
        <v>2.5769571121197288E-3</v>
      </c>
      <c r="N28">
        <f t="shared" si="0"/>
        <v>5.2622687027319083E-4</v>
      </c>
      <c r="O28">
        <f t="shared" si="0"/>
        <v>1.9965255715454519E-4</v>
      </c>
      <c r="P28">
        <f t="shared" si="0"/>
        <v>0</v>
      </c>
      <c r="Q28">
        <f t="shared" si="0"/>
        <v>0</v>
      </c>
      <c r="R28">
        <f t="shared" si="0"/>
        <v>0</v>
      </c>
      <c r="S28">
        <f t="shared" si="0"/>
        <v>6.2616874841656716E-5</v>
      </c>
      <c r="T28">
        <f t="shared" si="0"/>
        <v>1.2413520271613391E-4</v>
      </c>
      <c r="U28">
        <f t="shared" si="0"/>
        <v>7.179098216575194E-9</v>
      </c>
      <c r="V28">
        <f t="shared" si="0"/>
        <v>0</v>
      </c>
      <c r="W28">
        <f t="shared" si="0"/>
        <v>1.051372408775937E-7</v>
      </c>
      <c r="X28">
        <f t="shared" si="0"/>
        <v>0</v>
      </c>
      <c r="Y28">
        <f t="shared" si="0"/>
        <v>3.6384998618586723E-8</v>
      </c>
      <c r="Z28">
        <f t="shared" si="0"/>
        <v>0</v>
      </c>
      <c r="AA28">
        <f t="shared" si="0"/>
        <v>0</v>
      </c>
      <c r="AB28">
        <f t="shared" si="0"/>
        <v>0</v>
      </c>
      <c r="AC28">
        <f t="shared" si="0"/>
        <v>0</v>
      </c>
      <c r="AD28">
        <f t="shared" si="0"/>
        <v>1.187437635029187E-5</v>
      </c>
      <c r="AE28">
        <f t="shared" si="0"/>
        <v>0</v>
      </c>
      <c r="AF28">
        <f t="shared" si="0"/>
        <v>0</v>
      </c>
      <c r="AG28">
        <f t="shared" si="0"/>
        <v>0</v>
      </c>
      <c r="AH28">
        <f t="shared" si="0"/>
        <v>0</v>
      </c>
      <c r="AI28">
        <f t="shared" si="0"/>
        <v>0</v>
      </c>
      <c r="AJ28">
        <f t="shared" si="0"/>
        <v>0</v>
      </c>
      <c r="AK28">
        <f t="shared" si="0"/>
        <v>0</v>
      </c>
      <c r="AL28">
        <f t="shared" si="0"/>
        <v>0</v>
      </c>
      <c r="AM28">
        <f t="shared" si="0"/>
        <v>0</v>
      </c>
      <c r="AN28">
        <f t="shared" si="0"/>
        <v>0</v>
      </c>
      <c r="AO28">
        <f t="shared" si="0"/>
        <v>0</v>
      </c>
      <c r="AP28">
        <f t="shared" si="0"/>
        <v>0</v>
      </c>
      <c r="AQ28">
        <f t="shared" si="0"/>
        <v>0</v>
      </c>
      <c r="AR28">
        <f t="shared" si="0"/>
        <v>1.2952887295732169E-2</v>
      </c>
      <c r="AS28">
        <f t="shared" si="0"/>
        <v>2.7550137079149992E-4</v>
      </c>
      <c r="AT28">
        <f t="shared" si="0"/>
        <v>9.7921650819161161E-4</v>
      </c>
      <c r="AU28">
        <f t="shared" si="0"/>
        <v>3.3773252795549148E-3</v>
      </c>
      <c r="AV28">
        <f t="shared" si="0"/>
        <v>8.289084978869502E-5</v>
      </c>
      <c r="AW28">
        <f t="shared" si="0"/>
        <v>4.6888521808560049E-3</v>
      </c>
      <c r="AX28">
        <f t="shared" si="0"/>
        <v>3.9648264049774142E-5</v>
      </c>
      <c r="AY28">
        <f t="shared" si="0"/>
        <v>5.0588375227961323E-5</v>
      </c>
      <c r="AZ28">
        <f t="shared" si="0"/>
        <v>8.4288188131200203E-3</v>
      </c>
      <c r="BA28">
        <f t="shared" si="0"/>
        <v>9.8424142614902087E-4</v>
      </c>
      <c r="BB28">
        <f t="shared" si="0"/>
        <v>8.6243090598336718E-4</v>
      </c>
      <c r="BC28">
        <f t="shared" si="0"/>
        <v>9.2096727657760253E-5</v>
      </c>
      <c r="BD28">
        <f t="shared" si="0"/>
        <v>1.055514778370956E-3</v>
      </c>
      <c r="BE28">
        <f t="shared" si="0"/>
        <v>1.904858094604859E-3</v>
      </c>
      <c r="BF28">
        <f t="shared" si="0"/>
        <v>7.2481404042144494E-3</v>
      </c>
      <c r="BG28">
        <f t="shared" si="0"/>
        <v>6.3744866187412721E-5</v>
      </c>
      <c r="BH28">
        <f t="shared" si="0"/>
        <v>5.6169257047932671E-6</v>
      </c>
      <c r="BI28">
        <f t="shared" si="0"/>
        <v>0</v>
      </c>
      <c r="BJ28">
        <f t="shared" si="0"/>
        <v>0</v>
      </c>
      <c r="BK28">
        <f t="shared" si="0"/>
        <v>1.0845726572328309E-4</v>
      </c>
      <c r="BL28">
        <f t="shared" si="0"/>
        <v>9.3896433233037874E-5</v>
      </c>
      <c r="BM28">
        <f t="shared" si="0"/>
        <v>2.8136249470414202E-9</v>
      </c>
      <c r="BN28">
        <f t="shared" ref="BN28:DY28" si="1">INDEX(BN$18:BN$27,MATCH($B$1,$A$18:$A$27,0))</f>
        <v>0</v>
      </c>
      <c r="BO28">
        <f t="shared" si="1"/>
        <v>0</v>
      </c>
      <c r="BP28">
        <f t="shared" si="1"/>
        <v>3.527885860394709E-4</v>
      </c>
      <c r="BQ28">
        <f t="shared" si="1"/>
        <v>9.153353202794548E-10</v>
      </c>
      <c r="BR28">
        <f t="shared" si="1"/>
        <v>0</v>
      </c>
      <c r="BS28">
        <f t="shared" si="1"/>
        <v>2.1542137557657729E-6</v>
      </c>
      <c r="BT28">
        <f t="shared" si="1"/>
        <v>1.619805396166427E-6</v>
      </c>
      <c r="BU28">
        <f t="shared" si="1"/>
        <v>2.4578418661577169E-4</v>
      </c>
      <c r="BV28">
        <f t="shared" si="1"/>
        <v>1.464549694441337E-7</v>
      </c>
      <c r="BW28">
        <f t="shared" si="1"/>
        <v>0</v>
      </c>
      <c r="BX28">
        <f t="shared" si="1"/>
        <v>1.455277199448654E-5</v>
      </c>
      <c r="BY28">
        <f t="shared" si="1"/>
        <v>0</v>
      </c>
      <c r="BZ28">
        <f t="shared" si="1"/>
        <v>0</v>
      </c>
      <c r="CA28">
        <f t="shared" si="1"/>
        <v>0</v>
      </c>
      <c r="CB28">
        <f t="shared" si="1"/>
        <v>0</v>
      </c>
      <c r="CC28">
        <f t="shared" si="1"/>
        <v>0</v>
      </c>
      <c r="CD28">
        <f t="shared" si="1"/>
        <v>0</v>
      </c>
      <c r="CE28">
        <f t="shared" si="1"/>
        <v>0</v>
      </c>
      <c r="CF28">
        <f t="shared" si="1"/>
        <v>0</v>
      </c>
      <c r="CG28">
        <f t="shared" si="1"/>
        <v>0</v>
      </c>
      <c r="CH28">
        <f t="shared" si="1"/>
        <v>0</v>
      </c>
      <c r="CI28">
        <f t="shared" si="1"/>
        <v>1.149873355060792E-3</v>
      </c>
      <c r="CJ28">
        <f t="shared" si="1"/>
        <v>3.9039756852125599E-5</v>
      </c>
      <c r="CK28">
        <f t="shared" si="1"/>
        <v>6.4353007007756649E-7</v>
      </c>
      <c r="CL28">
        <f t="shared" si="1"/>
        <v>3.8133958995801433E-5</v>
      </c>
      <c r="CM28">
        <f t="shared" si="1"/>
        <v>8.4052534684841691E-4</v>
      </c>
      <c r="CN28">
        <f t="shared" si="1"/>
        <v>0</v>
      </c>
      <c r="CO28">
        <f t="shared" si="1"/>
        <v>0</v>
      </c>
      <c r="CP28">
        <f t="shared" si="1"/>
        <v>3.9668682496440097E-6</v>
      </c>
      <c r="CQ28">
        <f t="shared" si="1"/>
        <v>4.6549843910778958E-6</v>
      </c>
      <c r="CR28">
        <f t="shared" si="1"/>
        <v>0</v>
      </c>
      <c r="CS28">
        <f t="shared" si="1"/>
        <v>0</v>
      </c>
      <c r="CT28">
        <f t="shared" si="1"/>
        <v>0</v>
      </c>
      <c r="CU28">
        <f t="shared" si="1"/>
        <v>4.5010788764489952E-5</v>
      </c>
      <c r="CV28">
        <f t="shared" si="1"/>
        <v>9.6587422115722831E-8</v>
      </c>
      <c r="CW28">
        <f t="shared" si="1"/>
        <v>5.5523148544315511E-7</v>
      </c>
      <c r="CX28">
        <f t="shared" si="1"/>
        <v>1.057769062348744E-7</v>
      </c>
      <c r="CY28">
        <f t="shared" si="1"/>
        <v>4.0316809334604487E-5</v>
      </c>
      <c r="CZ28">
        <f t="shared" si="1"/>
        <v>1.8752397975531691E-10</v>
      </c>
      <c r="DA28">
        <f t="shared" si="1"/>
        <v>2.046999847253279E-11</v>
      </c>
      <c r="DB28">
        <f t="shared" si="1"/>
        <v>3.797748934588472E-7</v>
      </c>
      <c r="DC28">
        <f t="shared" si="1"/>
        <v>0</v>
      </c>
      <c r="DD28">
        <f t="shared" si="1"/>
        <v>6.7152434845612755E-8</v>
      </c>
      <c r="DE28">
        <f t="shared" si="1"/>
        <v>4.4927604543668989E-9</v>
      </c>
      <c r="DF28">
        <f t="shared" si="1"/>
        <v>0</v>
      </c>
      <c r="DG28">
        <f t="shared" si="1"/>
        <v>0</v>
      </c>
      <c r="DH28">
        <f t="shared" si="1"/>
        <v>0</v>
      </c>
      <c r="DI28">
        <f t="shared" si="1"/>
        <v>0</v>
      </c>
      <c r="DJ28">
        <f t="shared" si="1"/>
        <v>3.4588973639695392E-7</v>
      </c>
      <c r="DK28">
        <f t="shared" si="1"/>
        <v>0</v>
      </c>
      <c r="DL28">
        <f t="shared" si="1"/>
        <v>2.2325008094815459E-9</v>
      </c>
      <c r="DM28">
        <f t="shared" si="1"/>
        <v>8.8382332151593456E-5</v>
      </c>
      <c r="DN28">
        <f t="shared" si="1"/>
        <v>9.0049119285072533E-6</v>
      </c>
      <c r="DO28">
        <f t="shared" si="1"/>
        <v>1.2372759078856411E-4</v>
      </c>
      <c r="DP28">
        <f t="shared" si="1"/>
        <v>6.6446368207523872E-5</v>
      </c>
      <c r="DQ28">
        <f t="shared" si="1"/>
        <v>9.288811221144975E-5</v>
      </c>
      <c r="DR28">
        <f t="shared" si="1"/>
        <v>7.3038934354977233E-5</v>
      </c>
      <c r="DS28">
        <f t="shared" si="1"/>
        <v>1.151134786322827E-3</v>
      </c>
      <c r="DT28">
        <f t="shared" si="1"/>
        <v>6.522959828128383E-5</v>
      </c>
      <c r="DU28">
        <f t="shared" si="1"/>
        <v>7.343858389345124E-4</v>
      </c>
      <c r="DV28">
        <f t="shared" si="1"/>
        <v>0</v>
      </c>
      <c r="DW28">
        <f t="shared" si="1"/>
        <v>0</v>
      </c>
      <c r="DX28">
        <f t="shared" si="1"/>
        <v>1.096079308200399E-5</v>
      </c>
      <c r="DY28">
        <f t="shared" si="1"/>
        <v>7.7800833216205315E-6</v>
      </c>
      <c r="DZ28">
        <f t="shared" ref="DZ28:GK28" si="2">INDEX(DZ$18:DZ$27,MATCH($B$1,$A$18:$A$27,0))</f>
        <v>1.157679942259365E-4</v>
      </c>
      <c r="EA28">
        <f t="shared" si="2"/>
        <v>1.9916044977670511E-5</v>
      </c>
      <c r="EB28">
        <f t="shared" si="2"/>
        <v>2.8234735192704338E-6</v>
      </c>
      <c r="EC28">
        <f t="shared" si="2"/>
        <v>1.8186548869121959E-6</v>
      </c>
      <c r="ED28">
        <f t="shared" si="2"/>
        <v>2.5972385012756831E-6</v>
      </c>
      <c r="EE28">
        <f t="shared" si="2"/>
        <v>3.2481945933741983E-7</v>
      </c>
      <c r="EF28">
        <f t="shared" si="2"/>
        <v>0</v>
      </c>
      <c r="EG28">
        <f t="shared" si="2"/>
        <v>1.8925917083819381E-7</v>
      </c>
      <c r="EH28">
        <f t="shared" si="2"/>
        <v>0</v>
      </c>
      <c r="EI28">
        <f t="shared" si="2"/>
        <v>0</v>
      </c>
      <c r="EJ28">
        <f t="shared" si="2"/>
        <v>1.510264459768501E-5</v>
      </c>
      <c r="EK28">
        <f t="shared" si="2"/>
        <v>5.7591442628548463E-5</v>
      </c>
      <c r="EL28">
        <f t="shared" si="2"/>
        <v>0</v>
      </c>
      <c r="EM28">
        <f t="shared" si="2"/>
        <v>0</v>
      </c>
      <c r="EN28">
        <f t="shared" si="2"/>
        <v>0</v>
      </c>
      <c r="EO28">
        <f t="shared" si="2"/>
        <v>0</v>
      </c>
      <c r="EP28">
        <f t="shared" si="2"/>
        <v>0</v>
      </c>
      <c r="EQ28">
        <f t="shared" si="2"/>
        <v>1.1719810324876841E-4</v>
      </c>
      <c r="ER28">
        <f t="shared" si="2"/>
        <v>7.3734045596232311E-5</v>
      </c>
      <c r="ES28">
        <f t="shared" si="2"/>
        <v>4.6972704228090058E-5</v>
      </c>
      <c r="ET28">
        <f t="shared" si="2"/>
        <v>9.643095467797793E-5</v>
      </c>
      <c r="EU28">
        <f t="shared" si="2"/>
        <v>0</v>
      </c>
      <c r="EV28">
        <f t="shared" si="2"/>
        <v>1.2852708803687049E-4</v>
      </c>
      <c r="EW28">
        <f t="shared" si="2"/>
        <v>9.2302207583830819E-6</v>
      </c>
      <c r="EX28">
        <f t="shared" si="2"/>
        <v>6.4474778928952635E-5</v>
      </c>
      <c r="EY28">
        <f t="shared" si="2"/>
        <v>4.7284508079068438E-5</v>
      </c>
      <c r="EZ28">
        <f t="shared" si="2"/>
        <v>3.54574306520855E-3</v>
      </c>
      <c r="FA28">
        <f t="shared" si="2"/>
        <v>2.0856711645815291E-4</v>
      </c>
      <c r="FB28">
        <f t="shared" si="2"/>
        <v>3.5903143594524838E-4</v>
      </c>
      <c r="FC28">
        <f t="shared" si="2"/>
        <v>1.206019191416324E-5</v>
      </c>
      <c r="FD28">
        <f t="shared" si="2"/>
        <v>2.7408878993035851E-4</v>
      </c>
      <c r="FE28">
        <f t="shared" si="2"/>
        <v>7.7504396004535419E-5</v>
      </c>
      <c r="FF28">
        <f t="shared" si="2"/>
        <v>5.6224511795983554E-4</v>
      </c>
      <c r="FG28">
        <f t="shared" si="2"/>
        <v>1.805382244967762E-4</v>
      </c>
      <c r="FH28">
        <f t="shared" si="2"/>
        <v>3.6335916505282921E-4</v>
      </c>
      <c r="FI28">
        <f t="shared" si="2"/>
        <v>1.466729191706023E-4</v>
      </c>
      <c r="FJ28">
        <f t="shared" si="2"/>
        <v>4.0340714017079088E-4</v>
      </c>
      <c r="FK28">
        <f t="shared" si="2"/>
        <v>0</v>
      </c>
      <c r="FL28">
        <f t="shared" si="2"/>
        <v>1.891783075400958E-3</v>
      </c>
      <c r="FM28">
        <f t="shared" si="2"/>
        <v>3.8537903221054238E-5</v>
      </c>
      <c r="FN28">
        <f t="shared" si="2"/>
        <v>8.1380040873026018E-7</v>
      </c>
      <c r="FO28">
        <f t="shared" si="2"/>
        <v>4.2080113688512498E-4</v>
      </c>
      <c r="FP28">
        <f t="shared" si="2"/>
        <v>1.8363809045188781E-4</v>
      </c>
      <c r="FQ28">
        <f t="shared" si="2"/>
        <v>2.1966771856100731E-3</v>
      </c>
      <c r="FR28">
        <f t="shared" si="2"/>
        <v>1.5727356809320549E-3</v>
      </c>
      <c r="FS28">
        <f t="shared" si="2"/>
        <v>2.7234830502559999E-3</v>
      </c>
      <c r="FT28">
        <f t="shared" si="2"/>
        <v>6.9904216843022056E-6</v>
      </c>
      <c r="FU28">
        <f t="shared" si="2"/>
        <v>7.3762029761936872E-6</v>
      </c>
      <c r="FV28">
        <f t="shared" si="2"/>
        <v>3.380716936217832E-6</v>
      </c>
      <c r="FW28">
        <f t="shared" si="2"/>
        <v>8.9210172509458193E-6</v>
      </c>
      <c r="FX28">
        <f t="shared" si="2"/>
        <v>1.533821797214747E-6</v>
      </c>
      <c r="FY28">
        <f t="shared" si="2"/>
        <v>2.1057627165147611E-6</v>
      </c>
      <c r="FZ28">
        <f t="shared" si="2"/>
        <v>8.1065582180729671E-6</v>
      </c>
      <c r="GA28">
        <f t="shared" si="2"/>
        <v>5.9635640571394391E-7</v>
      </c>
      <c r="GB28">
        <f t="shared" si="2"/>
        <v>4.9863366624269382E-8</v>
      </c>
      <c r="GC28">
        <f t="shared" si="2"/>
        <v>7.4725514510472869E-6</v>
      </c>
      <c r="GD28">
        <f t="shared" si="2"/>
        <v>4.4432985629583296E-6</v>
      </c>
      <c r="GE28">
        <f t="shared" si="2"/>
        <v>1.6144703997546369E-7</v>
      </c>
      <c r="GF28">
        <f t="shared" si="2"/>
        <v>2.9392646191453039E-6</v>
      </c>
      <c r="GG28">
        <f t="shared" si="2"/>
        <v>5.3890008024061588E-6</v>
      </c>
      <c r="GH28">
        <f t="shared" si="2"/>
        <v>5.0435946634600754E-6</v>
      </c>
      <c r="GI28">
        <f t="shared" si="2"/>
        <v>3.3867164312996029E-6</v>
      </c>
      <c r="GJ28">
        <f t="shared" si="2"/>
        <v>1.0709898353657271E-6</v>
      </c>
      <c r="GK28">
        <f t="shared" si="2"/>
        <v>1.203890466504284E-5</v>
      </c>
      <c r="GL28">
        <f t="shared" ref="GL28:HC28" si="3">INDEX(GL$18:GL$27,MATCH($B$1,$A$18:$A$27,0))</f>
        <v>5.716662296020155E-7</v>
      </c>
      <c r="GM28">
        <f t="shared" si="3"/>
        <v>1.8624355836427051E-6</v>
      </c>
      <c r="GN28">
        <f t="shared" si="3"/>
        <v>3.6621485968933427E-4</v>
      </c>
      <c r="GO28">
        <f t="shared" si="3"/>
        <v>1.7490898335556101E-3</v>
      </c>
      <c r="GP28">
        <f t="shared" si="3"/>
        <v>2.7193588417981888E-4</v>
      </c>
      <c r="GQ28">
        <f t="shared" si="3"/>
        <v>0</v>
      </c>
      <c r="GR28">
        <f t="shared" si="3"/>
        <v>2.7047476049333122E-3</v>
      </c>
      <c r="GS28">
        <f t="shared" si="3"/>
        <v>1.2952887295732169E-2</v>
      </c>
      <c r="GT28">
        <f t="shared" si="3"/>
        <v>7.7612840715705379E-3</v>
      </c>
      <c r="GU28">
        <f t="shared" si="3"/>
        <v>5.3392142538453303E-3</v>
      </c>
      <c r="GV28">
        <f t="shared" si="3"/>
        <v>4.8885047380105504E-3</v>
      </c>
      <c r="GW28">
        <f t="shared" si="3"/>
        <v>1.19527429485266E-2</v>
      </c>
      <c r="GX28">
        <f t="shared" si="3"/>
        <v>4.2835738863301019E-3</v>
      </c>
      <c r="GY28">
        <f t="shared" si="3"/>
        <v>3.571445439929597E-3</v>
      </c>
      <c r="GZ28">
        <f t="shared" si="3"/>
        <v>1.0208513277190259E-2</v>
      </c>
      <c r="HA28">
        <f t="shared" si="3"/>
        <v>3.130678432268432E-3</v>
      </c>
      <c r="HB28">
        <f t="shared" si="3"/>
        <v>3.54574306520855E-3</v>
      </c>
      <c r="HC28">
        <f t="shared" si="3"/>
        <v>1.09978347653478E-2</v>
      </c>
    </row>
    <row r="29" spans="1:211" x14ac:dyDescent="0.45">
      <c r="A29" s="1" t="s">
        <v>222</v>
      </c>
      <c r="B29">
        <f>RANK(B28,$B$28:$GQ$28,0)+COUNTIF($B$28:B28,B28)-1</f>
        <v>43</v>
      </c>
      <c r="C29">
        <f>RANK(C28,$B$28:$GQ$28,0)+COUNTIF($B$28:C28,C28)-1</f>
        <v>34</v>
      </c>
      <c r="D29">
        <f>RANK(D28,$B$28:$GQ$28,0)+COUNTIF($B$28:D28,D28)-1</f>
        <v>52</v>
      </c>
      <c r="E29">
        <f>RANK(E28,$B$28:$GQ$28,0)+COUNTIF($B$28:E28,E28)-1</f>
        <v>8</v>
      </c>
      <c r="F29">
        <f>RANK(F28,$B$28:$GQ$28,0)+COUNTIF($B$28:F28,F28)-1</f>
        <v>27</v>
      </c>
      <c r="G29">
        <f>RANK(G28,$B$28:$GQ$28,0)+COUNTIF($B$28:G28,G28)-1</f>
        <v>134</v>
      </c>
      <c r="H29">
        <f>RANK(H28,$B$28:$GQ$28,0)+COUNTIF($B$28:H28,H28)-1</f>
        <v>22</v>
      </c>
      <c r="I29">
        <f>RANK(I28,$B$28:$GQ$28,0)+COUNTIF($B$28:I28,I28)-1</f>
        <v>50</v>
      </c>
      <c r="J29">
        <f>RANK(J28,$B$28:$GQ$28,0)+COUNTIF($B$28:J28,J28)-1</f>
        <v>135</v>
      </c>
      <c r="K29">
        <f>RANK(K28,$B$28:$GQ$28,0)+COUNTIF($B$28:K28,K28)-1</f>
        <v>136</v>
      </c>
      <c r="L29">
        <f>RANK(L28,$B$28:$GQ$28,0)+COUNTIF($B$28:L28,L28)-1</f>
        <v>25</v>
      </c>
      <c r="M29">
        <f>RANK(M28,$B$28:$GQ$28,0)+COUNTIF($B$28:M28,M28)-1</f>
        <v>9</v>
      </c>
      <c r="N29">
        <f>RANK(N28,$B$28:$GQ$28,0)+COUNTIF($B$28:N28,N28)-1</f>
        <v>26</v>
      </c>
      <c r="O29">
        <f>RANK(O28,$B$28:$GQ$28,0)+COUNTIF($B$28:O28,O28)-1</f>
        <v>40</v>
      </c>
      <c r="P29">
        <f>RANK(P28,$B$28:$GQ$28,0)+COUNTIF($B$28:P28,P28)-1</f>
        <v>137</v>
      </c>
      <c r="Q29">
        <f>RANK(Q28,$B$28:$GQ$28,0)+COUNTIF($B$28:Q28,Q28)-1</f>
        <v>138</v>
      </c>
      <c r="R29">
        <f>RANK(R28,$B$28:$GQ$28,0)+COUNTIF($B$28:R28,R28)-1</f>
        <v>139</v>
      </c>
      <c r="S29">
        <f>RANK(S28,$B$28:$GQ$28,0)+COUNTIF($B$28:S28,S28)-1</f>
        <v>66</v>
      </c>
      <c r="T29">
        <f>RANK(T28,$B$28:$GQ$28,0)+COUNTIF($B$28:T28,T28)-1</f>
        <v>46</v>
      </c>
      <c r="U29">
        <f>RANK(U28,$B$28:$GQ$28,0)+COUNTIF($B$28:U28,U28)-1</f>
        <v>127</v>
      </c>
      <c r="V29">
        <f>RANK(V28,$B$28:$GQ$28,0)+COUNTIF($B$28:V28,V28)-1</f>
        <v>140</v>
      </c>
      <c r="W29">
        <f>RANK(W28,$B$28:$GQ$28,0)+COUNTIF($B$28:W28,W28)-1</f>
        <v>122</v>
      </c>
      <c r="X29">
        <f>RANK(X28,$B$28:$GQ$28,0)+COUNTIF($B$28:X28,X28)-1</f>
        <v>141</v>
      </c>
      <c r="Y29">
        <f>RANK(Y28,$B$28:$GQ$28,0)+COUNTIF($B$28:Y28,Y28)-1</f>
        <v>126</v>
      </c>
      <c r="Z29">
        <f>RANK(Z28,$B$28:$GQ$28,0)+COUNTIF($B$28:Z28,Z28)-1</f>
        <v>142</v>
      </c>
      <c r="AA29">
        <f>RANK(AA28,$B$28:$GQ$28,0)+COUNTIF($B$28:AA28,AA28)-1</f>
        <v>143</v>
      </c>
      <c r="AB29">
        <f>RANK(AB28,$B$28:$GQ$28,0)+COUNTIF($B$28:AB28,AB28)-1</f>
        <v>144</v>
      </c>
      <c r="AC29">
        <f>RANK(AC28,$B$28:$GQ$28,0)+COUNTIF($B$28:AC28,AC28)-1</f>
        <v>145</v>
      </c>
      <c r="AD29">
        <f>RANK(AD28,$B$28:$GQ$28,0)+COUNTIF($B$28:AD28,AD28)-1</f>
        <v>82</v>
      </c>
      <c r="AE29">
        <f>RANK(AE28,$B$28:$GQ$28,0)+COUNTIF($B$28:AE28,AE28)-1</f>
        <v>146</v>
      </c>
      <c r="AF29">
        <f>RANK(AF28,$B$28:$GQ$28,0)+COUNTIF($B$28:AF28,AF28)-1</f>
        <v>147</v>
      </c>
      <c r="AG29">
        <f>RANK(AG28,$B$28:$GQ$28,0)+COUNTIF($B$28:AG28,AG28)-1</f>
        <v>148</v>
      </c>
      <c r="AH29">
        <f>RANK(AH28,$B$28:$GQ$28,0)+COUNTIF($B$28:AH28,AH28)-1</f>
        <v>149</v>
      </c>
      <c r="AI29">
        <f>RANK(AI28,$B$28:$GQ$28,0)+COUNTIF($B$28:AI28,AI28)-1</f>
        <v>150</v>
      </c>
      <c r="AJ29">
        <f>RANK(AJ28,$B$28:$GQ$28,0)+COUNTIF($B$28:AJ28,AJ28)-1</f>
        <v>151</v>
      </c>
      <c r="AK29">
        <f>RANK(AK28,$B$28:$GQ$28,0)+COUNTIF($B$28:AK28,AK28)-1</f>
        <v>152</v>
      </c>
      <c r="AL29">
        <f>RANK(AL28,$B$28:$GQ$28,0)+COUNTIF($B$28:AL28,AL28)-1</f>
        <v>153</v>
      </c>
      <c r="AM29">
        <f>RANK(AM28,$B$28:$GQ$28,0)+COUNTIF($B$28:AM28,AM28)-1</f>
        <v>154</v>
      </c>
      <c r="AN29">
        <f>RANK(AN28,$B$28:$GQ$28,0)+COUNTIF($B$28:AN28,AN28)-1</f>
        <v>155</v>
      </c>
      <c r="AO29">
        <f>RANK(AO28,$B$28:$GQ$28,0)+COUNTIF($B$28:AO28,AO28)-1</f>
        <v>156</v>
      </c>
      <c r="AP29">
        <f>RANK(AP28,$B$28:$GQ$28,0)+COUNTIF($B$28:AP28,AP28)-1</f>
        <v>157</v>
      </c>
      <c r="AQ29">
        <f>RANK(AQ28,$B$28:$GQ$28,0)+COUNTIF($B$28:AQ28,AQ28)-1</f>
        <v>158</v>
      </c>
      <c r="AR29">
        <f>RANK(AR28,$B$28:$GQ$28,0)+COUNTIF($B$28:AR28,AR28)-1</f>
        <v>1</v>
      </c>
      <c r="AS29">
        <f>RANK(AS28,$B$28:$GQ$28,0)+COUNTIF($B$28:AS28,AS28)-1</f>
        <v>35</v>
      </c>
      <c r="AT29">
        <f>RANK(AT28,$B$28:$GQ$28,0)+COUNTIF($B$28:AT28,AT28)-1</f>
        <v>19</v>
      </c>
      <c r="AU29">
        <f>RANK(AU28,$B$28:$GQ$28,0)+COUNTIF($B$28:AU28,AU28)-1</f>
        <v>6</v>
      </c>
      <c r="AV29">
        <f>RANK(AV28,$B$28:$GQ$28,0)+COUNTIF($B$28:AV28,AV28)-1</f>
        <v>58</v>
      </c>
      <c r="AW29">
        <f>RANK(AW28,$B$28:$GQ$28,0)+COUNTIF($B$28:AW28,AW28)-1</f>
        <v>4</v>
      </c>
      <c r="AX29">
        <f>RANK(AX28,$B$28:$GQ$28,0)+COUNTIF($B$28:AX28,AX28)-1</f>
        <v>73</v>
      </c>
      <c r="AY29">
        <f>RANK(AY28,$B$28:$GQ$28,0)+COUNTIF($B$28:AY28,AY28)-1</f>
        <v>68</v>
      </c>
      <c r="AZ29">
        <f>RANK(AZ28,$B$28:$GQ$28,0)+COUNTIF($B$28:AZ28,AZ28)-1</f>
        <v>2</v>
      </c>
      <c r="BA29">
        <f>RANK(BA28,$B$28:$GQ$28,0)+COUNTIF($B$28:BA28,BA28)-1</f>
        <v>18</v>
      </c>
      <c r="BB29">
        <f>RANK(BB28,$B$28:$GQ$28,0)+COUNTIF($B$28:BB28,BB28)-1</f>
        <v>20</v>
      </c>
      <c r="BC29">
        <f>RANK(BC28,$B$28:$GQ$28,0)+COUNTIF($B$28:BC28,BC28)-1</f>
        <v>56</v>
      </c>
      <c r="BD29">
        <f>RANK(BD28,$B$28:$GQ$28,0)+COUNTIF($B$28:BD28,BD28)-1</f>
        <v>17</v>
      </c>
      <c r="BE29">
        <f>RANK(BE28,$B$28:$GQ$28,0)+COUNTIF($B$28:BE28,BE28)-1</f>
        <v>11</v>
      </c>
      <c r="BF29">
        <f>RANK(BF28,$B$28:$GQ$28,0)+COUNTIF($B$28:BF28,BF28)-1</f>
        <v>3</v>
      </c>
      <c r="BG29">
        <f>RANK(BG28,$B$28:$GQ$28,0)+COUNTIF($B$28:BG28,BG28)-1</f>
        <v>65</v>
      </c>
      <c r="BH29">
        <f>RANK(BH28,$B$28:$GQ$28,0)+COUNTIF($B$28:BH28,BH28)-1</f>
        <v>92</v>
      </c>
      <c r="BI29">
        <f>RANK(BI28,$B$28:$GQ$28,0)+COUNTIF($B$28:BI28,BI28)-1</f>
        <v>159</v>
      </c>
      <c r="BJ29">
        <f>RANK(BJ28,$B$28:$GQ$28,0)+COUNTIF($B$28:BJ28,BJ28)-1</f>
        <v>160</v>
      </c>
      <c r="BK29">
        <f>RANK(BK28,$B$28:$GQ$28,0)+COUNTIF($B$28:BK28,BK28)-1</f>
        <v>51</v>
      </c>
      <c r="BL29">
        <f>RANK(BL28,$B$28:$GQ$28,0)+COUNTIF($B$28:BL28,BL28)-1</f>
        <v>54</v>
      </c>
      <c r="BM29">
        <f>RANK(BM28,$B$28:$GQ$28,0)+COUNTIF($B$28:BM28,BM28)-1</f>
        <v>129</v>
      </c>
      <c r="BN29">
        <f>RANK(BN28,$B$28:$GQ$28,0)+COUNTIF($B$28:BN28,BN28)-1</f>
        <v>161</v>
      </c>
      <c r="BO29">
        <f>RANK(BO28,$B$28:$GQ$28,0)+COUNTIF($B$28:BO28,BO28)-1</f>
        <v>162</v>
      </c>
      <c r="BP29">
        <f>RANK(BP28,$B$28:$GQ$28,0)+COUNTIF($B$28:BP28,BP28)-1</f>
        <v>33</v>
      </c>
      <c r="BQ29">
        <f>RANK(BQ28,$B$28:$GQ$28,0)+COUNTIF($B$28:BQ28,BQ28)-1</f>
        <v>131</v>
      </c>
      <c r="BR29">
        <f>RANK(BR28,$B$28:$GQ$28,0)+COUNTIF($B$28:BR28,BR28)-1</f>
        <v>163</v>
      </c>
      <c r="BS29">
        <f>RANK(BS28,$B$28:$GQ$28,0)+COUNTIF($B$28:BS28,BS28)-1</f>
        <v>103</v>
      </c>
      <c r="BT29">
        <f>RANK(BT28,$B$28:$GQ$28,0)+COUNTIF($B$28:BT28,BT28)-1</f>
        <v>107</v>
      </c>
      <c r="BU29">
        <f>RANK(BU28,$B$28:$GQ$28,0)+COUNTIF($B$28:BU28,BU28)-1</f>
        <v>38</v>
      </c>
      <c r="BV29">
        <f>RANK(BV28,$B$28:$GQ$28,0)+COUNTIF($B$28:BV28,BV28)-1</f>
        <v>120</v>
      </c>
      <c r="BW29">
        <f>RANK(BW28,$B$28:$GQ$28,0)+COUNTIF($B$28:BW28,BW28)-1</f>
        <v>164</v>
      </c>
      <c r="BX29">
        <f>RANK(BX28,$B$28:$GQ$28,0)+COUNTIF($B$28:BX28,BX28)-1</f>
        <v>79</v>
      </c>
      <c r="BY29">
        <f>RANK(BY28,$B$28:$GQ$28,0)+COUNTIF($B$28:BY28,BY28)-1</f>
        <v>165</v>
      </c>
      <c r="BZ29">
        <f>RANK(BZ28,$B$28:$GQ$28,0)+COUNTIF($B$28:BZ28,BZ28)-1</f>
        <v>166</v>
      </c>
      <c r="CA29">
        <f>RANK(CA28,$B$28:$GQ$28,0)+COUNTIF($B$28:CA28,CA28)-1</f>
        <v>167</v>
      </c>
      <c r="CB29">
        <f>RANK(CB28,$B$28:$GQ$28,0)+COUNTIF($B$28:CB28,CB28)-1</f>
        <v>168</v>
      </c>
      <c r="CC29">
        <f>RANK(CC28,$B$28:$GQ$28,0)+COUNTIF($B$28:CC28,CC28)-1</f>
        <v>169</v>
      </c>
      <c r="CD29">
        <f>RANK(CD28,$B$28:$GQ$28,0)+COUNTIF($B$28:CD28,CD28)-1</f>
        <v>170</v>
      </c>
      <c r="CE29">
        <f>RANK(CE28,$B$28:$GQ$28,0)+COUNTIF($B$28:CE28,CE28)-1</f>
        <v>171</v>
      </c>
      <c r="CF29">
        <f>RANK(CF28,$B$28:$GQ$28,0)+COUNTIF($B$28:CF28,CF28)-1</f>
        <v>172</v>
      </c>
      <c r="CG29">
        <f>RANK(CG28,$B$28:$GQ$28,0)+COUNTIF($B$28:CG28,CG28)-1</f>
        <v>173</v>
      </c>
      <c r="CH29">
        <f>RANK(CH28,$B$28:$GQ$28,0)+COUNTIF($B$28:CH28,CH28)-1</f>
        <v>174</v>
      </c>
      <c r="CI29">
        <f>RANK(CI28,$B$28:$GQ$28,0)+COUNTIF($B$28:CI28,CI28)-1</f>
        <v>16</v>
      </c>
      <c r="CJ29">
        <f>RANK(CJ28,$B$28:$GQ$28,0)+COUNTIF($B$28:CJ28,CJ28)-1</f>
        <v>74</v>
      </c>
      <c r="CK29">
        <f>RANK(CK28,$B$28:$GQ$28,0)+COUNTIF($B$28:CK28,CK28)-1</f>
        <v>111</v>
      </c>
      <c r="CL29">
        <f>RANK(CL28,$B$28:$GQ$28,0)+COUNTIF($B$28:CL28,CL28)-1</f>
        <v>76</v>
      </c>
      <c r="CM29">
        <f>RANK(CM28,$B$28:$GQ$28,0)+COUNTIF($B$28:CM28,CM28)-1</f>
        <v>21</v>
      </c>
      <c r="CN29">
        <f>RANK(CN28,$B$28:$GQ$28,0)+COUNTIF($B$28:CN28,CN28)-1</f>
        <v>175</v>
      </c>
      <c r="CO29">
        <f>RANK(CO28,$B$28:$GQ$28,0)+COUNTIF($B$28:CO28,CO28)-1</f>
        <v>176</v>
      </c>
      <c r="CP29">
        <f>RANK(CP28,$B$28:$GQ$28,0)+COUNTIF($B$28:CP28,CP28)-1</f>
        <v>97</v>
      </c>
      <c r="CQ29">
        <f>RANK(CQ28,$B$28:$GQ$28,0)+COUNTIF($B$28:CQ28,CQ28)-1</f>
        <v>95</v>
      </c>
      <c r="CR29">
        <f>RANK(CR28,$B$28:$GQ$28,0)+COUNTIF($B$28:CR28,CR28)-1</f>
        <v>177</v>
      </c>
      <c r="CS29">
        <f>RANK(CS28,$B$28:$GQ$28,0)+COUNTIF($B$28:CS28,CS28)-1</f>
        <v>178</v>
      </c>
      <c r="CT29">
        <f>RANK(CT28,$B$28:$GQ$28,0)+COUNTIF($B$28:CT28,CT28)-1</f>
        <v>179</v>
      </c>
      <c r="CU29">
        <f>RANK(CU28,$B$28:$GQ$28,0)+COUNTIF($B$28:CU28,CU28)-1</f>
        <v>71</v>
      </c>
      <c r="CV29">
        <f>RANK(CV28,$B$28:$GQ$28,0)+COUNTIF($B$28:CV28,CV28)-1</f>
        <v>123</v>
      </c>
      <c r="CW29">
        <f>RANK(CW28,$B$28:$GQ$28,0)+COUNTIF($B$28:CW28,CW28)-1</f>
        <v>114</v>
      </c>
      <c r="CX29">
        <f>RANK(CX28,$B$28:$GQ$28,0)+COUNTIF($B$28:CX28,CX28)-1</f>
        <v>121</v>
      </c>
      <c r="CY29">
        <f>RANK(CY28,$B$28:$GQ$28,0)+COUNTIF($B$28:CY28,CY28)-1</f>
        <v>72</v>
      </c>
      <c r="CZ29">
        <f>RANK(CZ28,$B$28:$GQ$28,0)+COUNTIF($B$28:CZ28,CZ28)-1</f>
        <v>132</v>
      </c>
      <c r="DA29">
        <f>RANK(DA28,$B$28:$GQ$28,0)+COUNTIF($B$28:DA28,DA28)-1</f>
        <v>133</v>
      </c>
      <c r="DB29">
        <f>RANK(DB28,$B$28:$GQ$28,0)+COUNTIF($B$28:DB28,DB28)-1</f>
        <v>115</v>
      </c>
      <c r="DC29">
        <f>RANK(DC28,$B$28:$GQ$28,0)+COUNTIF($B$28:DC28,DC28)-1</f>
        <v>180</v>
      </c>
      <c r="DD29">
        <f>RANK(DD28,$B$28:$GQ$28,0)+COUNTIF($B$28:DD28,DD28)-1</f>
        <v>124</v>
      </c>
      <c r="DE29">
        <f>RANK(DE28,$B$28:$GQ$28,0)+COUNTIF($B$28:DE28,DE28)-1</f>
        <v>128</v>
      </c>
      <c r="DF29">
        <f>RANK(DF28,$B$28:$GQ$28,0)+COUNTIF($B$28:DF28,DF28)-1</f>
        <v>181</v>
      </c>
      <c r="DG29">
        <f>RANK(DG28,$B$28:$GQ$28,0)+COUNTIF($B$28:DG28,DG28)-1</f>
        <v>182</v>
      </c>
      <c r="DH29">
        <f>RANK(DH28,$B$28:$GQ$28,0)+COUNTIF($B$28:DH28,DH28)-1</f>
        <v>183</v>
      </c>
      <c r="DI29">
        <f>RANK(DI28,$B$28:$GQ$28,0)+COUNTIF($B$28:DI28,DI28)-1</f>
        <v>184</v>
      </c>
      <c r="DJ29">
        <f>RANK(DJ28,$B$28:$GQ$28,0)+COUNTIF($B$28:DJ28,DJ28)-1</f>
        <v>116</v>
      </c>
      <c r="DK29">
        <f>RANK(DK28,$B$28:$GQ$28,0)+COUNTIF($B$28:DK28,DK28)-1</f>
        <v>185</v>
      </c>
      <c r="DL29">
        <f>RANK(DL28,$B$28:$GQ$28,0)+COUNTIF($B$28:DL28,DL28)-1</f>
        <v>130</v>
      </c>
      <c r="DM29">
        <f>RANK(DM28,$B$28:$GQ$28,0)+COUNTIF($B$28:DM28,DM28)-1</f>
        <v>57</v>
      </c>
      <c r="DN29">
        <f>RANK(DN28,$B$28:$GQ$28,0)+COUNTIF($B$28:DN28,DN28)-1</f>
        <v>85</v>
      </c>
      <c r="DO29">
        <f>RANK(DO28,$B$28:$GQ$28,0)+COUNTIF($B$28:DO28,DO28)-1</f>
        <v>47</v>
      </c>
      <c r="DP29">
        <f>RANK(DP28,$B$28:$GQ$28,0)+COUNTIF($B$28:DP28,DP28)-1</f>
        <v>62</v>
      </c>
      <c r="DQ29">
        <f>RANK(DQ28,$B$28:$GQ$28,0)+COUNTIF($B$28:DQ28,DQ28)-1</f>
        <v>55</v>
      </c>
      <c r="DR29">
        <f>RANK(DR28,$B$28:$GQ$28,0)+COUNTIF($B$28:DR28,DR28)-1</f>
        <v>61</v>
      </c>
      <c r="DS29">
        <f>RANK(DS28,$B$28:$GQ$28,0)+COUNTIF($B$28:DS28,DS28)-1</f>
        <v>15</v>
      </c>
      <c r="DT29">
        <f>RANK(DT28,$B$28:$GQ$28,0)+COUNTIF($B$28:DT28,DT28)-1</f>
        <v>63</v>
      </c>
      <c r="DU29">
        <f>RANK(DU28,$B$28:$GQ$28,0)+COUNTIF($B$28:DU28,DU28)-1</f>
        <v>23</v>
      </c>
      <c r="DV29">
        <f>RANK(DV28,$B$28:$GQ$28,0)+COUNTIF($B$28:DV28,DV28)-1</f>
        <v>186</v>
      </c>
      <c r="DW29">
        <f>RANK(DW28,$B$28:$GQ$28,0)+COUNTIF($B$28:DW28,DW28)-1</f>
        <v>187</v>
      </c>
      <c r="DX29">
        <f>RANK(DX28,$B$28:$GQ$28,0)+COUNTIF($B$28:DX28,DX28)-1</f>
        <v>83</v>
      </c>
      <c r="DY29">
        <f>RANK(DY28,$B$28:$GQ$28,0)+COUNTIF($B$28:DY28,DY28)-1</f>
        <v>88</v>
      </c>
      <c r="DZ29">
        <f>RANK(DZ28,$B$28:$GQ$28,0)+COUNTIF($B$28:DZ28,DZ28)-1</f>
        <v>49</v>
      </c>
      <c r="EA29">
        <f>RANK(EA28,$B$28:$GQ$28,0)+COUNTIF($B$28:EA28,EA28)-1</f>
        <v>77</v>
      </c>
      <c r="EB29">
        <f>RANK(EB28,$B$28:$GQ$28,0)+COUNTIF($B$28:EB28,EB28)-1</f>
        <v>101</v>
      </c>
      <c r="EC29">
        <f>RANK(EC28,$B$28:$GQ$28,0)+COUNTIF($B$28:EC28,EC28)-1</f>
        <v>106</v>
      </c>
      <c r="ED29">
        <f>RANK(ED28,$B$28:$GQ$28,0)+COUNTIF($B$28:ED28,ED28)-1</f>
        <v>102</v>
      </c>
      <c r="EE29">
        <f>RANK(EE28,$B$28:$GQ$28,0)+COUNTIF($B$28:EE28,EE28)-1</f>
        <v>117</v>
      </c>
      <c r="EF29">
        <f>RANK(EF28,$B$28:$GQ$28,0)+COUNTIF($B$28:EF28,EF28)-1</f>
        <v>188</v>
      </c>
      <c r="EG29">
        <f>RANK(EG28,$B$28:$GQ$28,0)+COUNTIF($B$28:EG28,EG28)-1</f>
        <v>118</v>
      </c>
      <c r="EH29">
        <f>RANK(EH28,$B$28:$GQ$28,0)+COUNTIF($B$28:EH28,EH28)-1</f>
        <v>189</v>
      </c>
      <c r="EI29">
        <f>RANK(EI28,$B$28:$GQ$28,0)+COUNTIF($B$28:EI28,EI28)-1</f>
        <v>190</v>
      </c>
      <c r="EJ29">
        <f>RANK(EJ28,$B$28:$GQ$28,0)+COUNTIF($B$28:EJ28,EJ28)-1</f>
        <v>78</v>
      </c>
      <c r="EK29">
        <f>RANK(EK28,$B$28:$GQ$28,0)+COUNTIF($B$28:EK28,EK28)-1</f>
        <v>67</v>
      </c>
      <c r="EL29">
        <f>RANK(EL28,$B$28:$GQ$28,0)+COUNTIF($B$28:EL28,EL28)-1</f>
        <v>191</v>
      </c>
      <c r="EM29">
        <f>RANK(EM28,$B$28:$GQ$28,0)+COUNTIF($B$28:EM28,EM28)-1</f>
        <v>192</v>
      </c>
      <c r="EN29">
        <f>RANK(EN28,$B$28:$GQ$28,0)+COUNTIF($B$28:EN28,EN28)-1</f>
        <v>193</v>
      </c>
      <c r="EO29">
        <f>RANK(EO28,$B$28:$GQ$28,0)+COUNTIF($B$28:EO28,EO28)-1</f>
        <v>194</v>
      </c>
      <c r="EP29">
        <f>RANK(EP28,$B$28:$GQ$28,0)+COUNTIF($B$28:EP28,EP28)-1</f>
        <v>195</v>
      </c>
      <c r="EQ29">
        <f>RANK(EQ28,$B$28:$GQ$28,0)+COUNTIF($B$28:EQ28,EQ28)-1</f>
        <v>48</v>
      </c>
      <c r="ER29">
        <f>RANK(ER28,$B$28:$GQ$28,0)+COUNTIF($B$28:ER28,ER28)-1</f>
        <v>60</v>
      </c>
      <c r="ES29">
        <f>RANK(ES28,$B$28:$GQ$28,0)+COUNTIF($B$28:ES28,ES28)-1</f>
        <v>70</v>
      </c>
      <c r="ET29">
        <f>RANK(ET28,$B$28:$GQ$28,0)+COUNTIF($B$28:ET28,ET28)-1</f>
        <v>53</v>
      </c>
      <c r="EU29">
        <f>RANK(EU28,$B$28:$GQ$28,0)+COUNTIF($B$28:EU28,EU28)-1</f>
        <v>196</v>
      </c>
      <c r="EV29">
        <f>RANK(EV28,$B$28:$GQ$28,0)+COUNTIF($B$28:EV28,EV28)-1</f>
        <v>45</v>
      </c>
      <c r="EW29">
        <f>RANK(EW28,$B$28:$GQ$28,0)+COUNTIF($B$28:EW28,EW28)-1</f>
        <v>84</v>
      </c>
      <c r="EX29">
        <f>RANK(EX28,$B$28:$GQ$28,0)+COUNTIF($B$28:EX28,EX28)-1</f>
        <v>64</v>
      </c>
      <c r="EY29">
        <f>RANK(EY28,$B$28:$GQ$28,0)+COUNTIF($B$28:EY28,EY28)-1</f>
        <v>69</v>
      </c>
      <c r="EZ29">
        <f>RANK(EZ28,$B$28:$GQ$28,0)+COUNTIF($B$28:EZ28,EZ28)-1</f>
        <v>5</v>
      </c>
      <c r="FA29">
        <f>RANK(FA28,$B$28:$GQ$28,0)+COUNTIF($B$28:FA28,FA28)-1</f>
        <v>39</v>
      </c>
      <c r="FB29">
        <f>RANK(FB28,$B$28:$GQ$28,0)+COUNTIF($B$28:FB28,FB28)-1</f>
        <v>32</v>
      </c>
      <c r="FC29">
        <f>RANK(FC28,$B$28:$GQ$28,0)+COUNTIF($B$28:FC28,FC28)-1</f>
        <v>80</v>
      </c>
      <c r="FD29">
        <f>RANK(FD28,$B$28:$GQ$28,0)+COUNTIF($B$28:FD28,FD28)-1</f>
        <v>36</v>
      </c>
      <c r="FE29">
        <f>RANK(FE28,$B$28:$GQ$28,0)+COUNTIF($B$28:FE28,FE28)-1</f>
        <v>59</v>
      </c>
      <c r="FF29">
        <f>RANK(FF28,$B$28:$GQ$28,0)+COUNTIF($B$28:FF28,FF28)-1</f>
        <v>24</v>
      </c>
      <c r="FG29">
        <f>RANK(FG28,$B$28:$GQ$28,0)+COUNTIF($B$28:FG28,FG28)-1</f>
        <v>42</v>
      </c>
      <c r="FH29">
        <f>RANK(FH28,$B$28:$GQ$28,0)+COUNTIF($B$28:FH28,FH28)-1</f>
        <v>31</v>
      </c>
      <c r="FI29">
        <f>RANK(FI28,$B$28:$GQ$28,0)+COUNTIF($B$28:FI28,FI28)-1</f>
        <v>44</v>
      </c>
      <c r="FJ29">
        <f>RANK(FJ28,$B$28:$GQ$28,0)+COUNTIF($B$28:FJ28,FJ28)-1</f>
        <v>29</v>
      </c>
      <c r="FK29">
        <f>RANK(FK28,$B$28:$GQ$28,0)+COUNTIF($B$28:FK28,FK28)-1</f>
        <v>197</v>
      </c>
      <c r="FL29">
        <f>RANK(FL28,$B$28:$GQ$28,0)+COUNTIF($B$28:FL28,FL28)-1</f>
        <v>12</v>
      </c>
      <c r="FM29">
        <f>RANK(FM28,$B$28:$GQ$28,0)+COUNTIF($B$28:FM28,FM28)-1</f>
        <v>75</v>
      </c>
      <c r="FN29">
        <f>RANK(FN28,$B$28:$GQ$28,0)+COUNTIF($B$28:FN28,FN28)-1</f>
        <v>110</v>
      </c>
      <c r="FO29">
        <f>RANK(FO28,$B$28:$GQ$28,0)+COUNTIF($B$28:FO28,FO28)-1</f>
        <v>28</v>
      </c>
      <c r="FP29">
        <f>RANK(FP28,$B$28:$GQ$28,0)+COUNTIF($B$28:FP28,FP28)-1</f>
        <v>41</v>
      </c>
      <c r="FQ29">
        <f>RANK(FQ28,$B$28:$GQ$28,0)+COUNTIF($B$28:FQ28,FQ28)-1</f>
        <v>10</v>
      </c>
      <c r="FR29">
        <f>RANK(FR28,$B$28:$GQ$28,0)+COUNTIF($B$28:FR28,FR28)-1</f>
        <v>14</v>
      </c>
      <c r="FS29">
        <f>RANK(FS28,$B$28:$GQ$28,0)+COUNTIF($B$28:FS28,FS28)-1</f>
        <v>7</v>
      </c>
      <c r="FT29">
        <f>RANK(FT28,$B$28:$GQ$28,0)+COUNTIF($B$28:FT28,FT28)-1</f>
        <v>91</v>
      </c>
      <c r="FU29">
        <f>RANK(FU28,$B$28:$GQ$28,0)+COUNTIF($B$28:FU28,FU28)-1</f>
        <v>90</v>
      </c>
      <c r="FV29">
        <f>RANK(FV28,$B$28:$GQ$28,0)+COUNTIF($B$28:FV28,FV28)-1</f>
        <v>99</v>
      </c>
      <c r="FW29">
        <f>RANK(FW28,$B$28:$GQ$28,0)+COUNTIF($B$28:FW28,FW28)-1</f>
        <v>86</v>
      </c>
      <c r="FX29">
        <f>RANK(FX28,$B$28:$GQ$28,0)+COUNTIF($B$28:FX28,FX28)-1</f>
        <v>108</v>
      </c>
      <c r="FY29">
        <f>RANK(FY28,$B$28:$GQ$28,0)+COUNTIF($B$28:FY28,FY28)-1</f>
        <v>104</v>
      </c>
      <c r="FZ29">
        <f>RANK(FZ28,$B$28:$GQ$28,0)+COUNTIF($B$28:FZ28,FZ28)-1</f>
        <v>87</v>
      </c>
      <c r="GA29">
        <f>RANK(GA28,$B$28:$GQ$28,0)+COUNTIF($B$28:GA28,GA28)-1</f>
        <v>112</v>
      </c>
      <c r="GB29">
        <f>RANK(GB28,$B$28:$GQ$28,0)+COUNTIF($B$28:GB28,GB28)-1</f>
        <v>125</v>
      </c>
      <c r="GC29">
        <f>RANK(GC28,$B$28:$GQ$28,0)+COUNTIF($B$28:GC28,GC28)-1</f>
        <v>89</v>
      </c>
      <c r="GD29">
        <f>RANK(GD28,$B$28:$GQ$28,0)+COUNTIF($B$28:GD28,GD28)-1</f>
        <v>96</v>
      </c>
      <c r="GE29">
        <f>RANK(GE28,$B$28:$GQ$28,0)+COUNTIF($B$28:GE28,GE28)-1</f>
        <v>119</v>
      </c>
      <c r="GF29">
        <f>RANK(GF28,$B$28:$GQ$28,0)+COUNTIF($B$28:GF28,GF28)-1</f>
        <v>100</v>
      </c>
      <c r="GG29">
        <f>RANK(GG28,$B$28:$GQ$28,0)+COUNTIF($B$28:GG28,GG28)-1</f>
        <v>93</v>
      </c>
      <c r="GH29">
        <f>RANK(GH28,$B$28:$GQ$28,0)+COUNTIF($B$28:GH28,GH28)-1</f>
        <v>94</v>
      </c>
      <c r="GI29">
        <f>RANK(GI28,$B$28:$GQ$28,0)+COUNTIF($B$28:GI28,GI28)-1</f>
        <v>98</v>
      </c>
      <c r="GJ29">
        <f>RANK(GJ28,$B$28:$GQ$28,0)+COUNTIF($B$28:GJ28,GJ28)-1</f>
        <v>109</v>
      </c>
      <c r="GK29">
        <f>RANK(GK28,$B$28:$GQ$28,0)+COUNTIF($B$28:GK28,GK28)-1</f>
        <v>81</v>
      </c>
      <c r="GL29">
        <f>RANK(GL28,$B$28:$GQ$28,0)+COUNTIF($B$28:GL28,GL28)-1</f>
        <v>113</v>
      </c>
      <c r="GM29">
        <f>RANK(GM28,$B$28:$GQ$28,0)+COUNTIF($B$28:GM28,GM28)-1</f>
        <v>105</v>
      </c>
      <c r="GN29">
        <f>RANK(GN28,$B$28:$GQ$28,0)+COUNTIF($B$28:GN28,GN28)-1</f>
        <v>30</v>
      </c>
      <c r="GO29">
        <f>RANK(GO28,$B$28:$GQ$28,0)+COUNTIF($B$28:GO28,GO28)-1</f>
        <v>13</v>
      </c>
      <c r="GP29">
        <f>RANK(GP28,$B$28:$GQ$28,0)+COUNTIF($B$28:GP28,GP28)-1</f>
        <v>37</v>
      </c>
      <c r="GQ29">
        <f>RANK(GQ28,$B$28:$GQ$28,0)+COUNTIF($B$28:GQ28,GQ28)-1</f>
        <v>198</v>
      </c>
    </row>
    <row r="30" spans="1:211" x14ac:dyDescent="0.45">
      <c r="A30" s="1" t="s">
        <v>223</v>
      </c>
      <c r="GR30">
        <f>RANK(GR28,$GR$28:$HC$28,0)+COUNTIF($GR$28:GR28,GR28)-1</f>
        <v>12</v>
      </c>
      <c r="GS30">
        <f>RANK(GS28,$GR$28:$HC$28,0)+COUNTIF($GR$28:GS28,GS28)-1</f>
        <v>1</v>
      </c>
      <c r="GT30">
        <f>RANK(GT28,$GR$28:$HC$28,0)+COUNTIF($GR$28:GT28,GT28)-1</f>
        <v>5</v>
      </c>
      <c r="GU30">
        <f>RANK(GU28,$GR$28:$HC$28,0)+COUNTIF($GR$28:GU28,GU28)-1</f>
        <v>6</v>
      </c>
      <c r="GV30">
        <f>RANK(GV28,$GR$28:$HC$28,0)+COUNTIF($GR$28:GV28,GV28)-1</f>
        <v>7</v>
      </c>
      <c r="GW30">
        <f>RANK(GW28,$GR$28:$HC$28,0)+COUNTIF($GR$28:GW28,GW28)-1</f>
        <v>2</v>
      </c>
      <c r="GX30">
        <f>RANK(GX28,$GR$28:$HC$28,0)+COUNTIF($GR$28:GX28,GX28)-1</f>
        <v>8</v>
      </c>
      <c r="GY30">
        <f>RANK(GY28,$GR$28:$HC$28,0)+COUNTIF($GR$28:GY28,GY28)-1</f>
        <v>9</v>
      </c>
      <c r="GZ30">
        <f>RANK(GZ28,$GR$28:$HC$28,0)+COUNTIF($GR$28:GZ28,GZ28)-1</f>
        <v>4</v>
      </c>
      <c r="HA30">
        <f>RANK(HA28,$GR$28:$HC$28,0)+COUNTIF($GR$28:HA28,HA28)-1</f>
        <v>11</v>
      </c>
      <c r="HB30">
        <f>RANK(HB28,$GR$28:$HC$28,0)+COUNTIF($GR$28:HB28,HB28)-1</f>
        <v>10</v>
      </c>
      <c r="HC30">
        <f>RANK(HC28,$GR$28:$HC$28,0)+COUNTIF($GR$28:HC28,HC28)-1</f>
        <v>3</v>
      </c>
    </row>
  </sheetData>
  <dataValidations count="1">
    <dataValidation type="list" sqref="B1" xr:uid="{00000000-0002-0000-0100-000000000000}">
      <formula1>$A$18:$A$27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46" customWidth="1"/>
  </cols>
  <sheetData>
    <row r="1" spans="1:211" x14ac:dyDescent="0.45">
      <c r="A1" s="1" t="s">
        <v>0</v>
      </c>
      <c r="B1" s="2" t="s">
        <v>1</v>
      </c>
    </row>
    <row r="3" spans="1:211" x14ac:dyDescent="0.45">
      <c r="A3" s="1" t="s">
        <v>225</v>
      </c>
      <c r="B3" s="1" t="str">
        <f>INDEX($B$17:$GQ$17,MATCH(1,$B$29:$GQ$29,0))</f>
        <v>Vegetables, fruit, nuts</v>
      </c>
      <c r="C3" s="1" t="str">
        <f>INDEX($B$17:$GQ$17,MATCH(2,$B$29:$GQ$29,0))</f>
        <v>Food products nec</v>
      </c>
      <c r="D3" s="1" t="str">
        <f>INDEX($B$17:$GQ$17,MATCH(3,$B$29:$GQ$29,0))</f>
        <v>Meat products nec</v>
      </c>
      <c r="E3" s="1" t="str">
        <f>INDEX($B$17:$GQ$17,MATCH(4,$B$29:$GQ$29,0))</f>
        <v>Crops nec</v>
      </c>
      <c r="F3" s="1" t="str">
        <f>INDEX($B$17:$GQ$17,MATCH(5,$B$29:$GQ$29,0))</f>
        <v>Products of meat cattle</v>
      </c>
      <c r="G3" s="1" t="str">
        <f>INDEX($B$17:$GQ$17,MATCH(6,$B$29:$GQ$29,0))</f>
        <v>Health and social work services (85)</v>
      </c>
      <c r="H3" s="1" t="str">
        <f>INDEX($B$17:$GQ$17,MATCH(7,$B$29:$GQ$29,0))</f>
        <v>Hotel and restaurant services (55)</v>
      </c>
      <c r="I3" s="1" t="str">
        <f>INDEX($B$17:$GQ$17,MATCH(8,$B$29:$GQ$29,0))</f>
        <v>Public administration and defence services; compulsory social security services (75)</v>
      </c>
      <c r="J3" s="1" t="str">
        <f>INDEX($B$17:$GQ$17,MATCH(9,$B$29:$GQ$29,0))</f>
        <v>Real estate services (70)</v>
      </c>
      <c r="K3" s="1" t="str">
        <f>INDEX($B$17:$GQ$17,MATCH(10,$B$29:$GQ$29,0))</f>
        <v>Leather and leather products (19)</v>
      </c>
      <c r="L3" s="1" t="str">
        <f>INDEX($B$17:$GQ$17,MATCH(11,$B$29:$GQ$29,0))</f>
        <v>Paddy rice</v>
      </c>
      <c r="M3" s="1" t="str">
        <f>INDEX($B$17:$GQ$17,MATCH(12,$B$29:$GQ$29,0))</f>
        <v>Wearing apparel; furs (18)</v>
      </c>
      <c r="N3" s="1" t="str">
        <f>INDEX($B$17:$GQ$17,MATCH(13,$B$29:$GQ$29,0))</f>
        <v>Dairy products</v>
      </c>
      <c r="O3" s="1" t="str">
        <f>INDEX($B$17:$GQ$17,MATCH(14,$B$29:$GQ$29,0))</f>
        <v>Plastics, basic</v>
      </c>
      <c r="P3" s="1" t="str">
        <f>INDEX($B$17:$GQ$17,MATCH(15,$B$29:$GQ$29,0))</f>
        <v>Recreational, cultural and sporting services (92)</v>
      </c>
      <c r="Q3" s="1" t="str">
        <f>INDEX($B$17:$GQ$17,MATCH(16,$B$29:$GQ$29,0))</f>
        <v>Motor vehicles, trailers and semi-trailers (34)</v>
      </c>
      <c r="R3" s="1" t="str">
        <f>INDEX($B$17:$GQ$17,MATCH(17,$B$29:$GQ$29,0))</f>
        <v>Beverages</v>
      </c>
      <c r="S3" s="1" t="str">
        <f>INDEX($B$17:$GQ$17,MATCH(18,$B$29:$GQ$29,0))</f>
        <v>Fish products</v>
      </c>
      <c r="T3" s="1" t="str">
        <f>INDEX($B$17:$GQ$17,MATCH(19,$B$29:$GQ$29,0))</f>
        <v>Education services (80)</v>
      </c>
      <c r="U3" s="1" t="str">
        <f>INDEX($B$17:$GQ$17,MATCH(20,$B$29:$GQ$29,0))</f>
        <v>Products of meat poultry</v>
      </c>
      <c r="V3" s="1" t="str">
        <f>INDEX($B$17:$GQ$17,MATCH(21,$B$29:$GQ$29,0))</f>
        <v>Chemicals nec</v>
      </c>
      <c r="W3" s="1" t="str">
        <f>INDEX($B$17:$GQ$17,MATCH(22,$B$29:$GQ$29,0))</f>
        <v>Furniture; other manufactured goods n.e.c. (36)</v>
      </c>
      <c r="X3" s="1" t="str">
        <f>INDEX($B$17:$GQ$17,MATCH(23,$B$29:$GQ$29,0))</f>
        <v>Tobacco products (16)</v>
      </c>
      <c r="Y3" s="1" t="str">
        <f>INDEX($B$17:$GQ$17,MATCH(24,$B$29:$GQ$29,0))</f>
        <v>Textiles (17)</v>
      </c>
      <c r="Z3" s="1" t="str">
        <f>INDEX($B$17:$GQ$17,MATCH(25,$B$29:$GQ$29,0))</f>
        <v>Poultry</v>
      </c>
      <c r="AA3" s="1" t="str">
        <f>INDEX($B$17:$GQ$17,MATCH(26,$B$29:$GQ$29,0))</f>
        <v>Meat animals nec</v>
      </c>
      <c r="AB3" s="1" t="str">
        <f>INDEX($B$17:$GQ$17,MATCH(27,$B$29:$GQ$29,0))</f>
        <v>Air transport services (62)</v>
      </c>
      <c r="AC3" s="1" t="str">
        <f>INDEX($B$17:$GQ$17,MATCH(28,$B$29:$GQ$29,0))</f>
        <v>Products of meat pigs</v>
      </c>
      <c r="AD3" s="1" t="str">
        <f>INDEX($B$17:$GQ$17,MATCH(29,$B$29:$GQ$29,0))</f>
        <v>Motor Gasoline</v>
      </c>
      <c r="AE3" s="1" t="str">
        <f>INDEX($B$17:$GQ$17,MATCH(30,$B$29:$GQ$29,0))</f>
        <v>Oil seeds</v>
      </c>
      <c r="AF3" s="1" t="str">
        <f>INDEX($B$17:$GQ$17,MATCH(31,$B$29:$GQ$29,0))</f>
        <v>Research and development services (73)</v>
      </c>
      <c r="AG3" s="1" t="str">
        <f>INDEX($B$17:$GQ$17,MATCH(32,$B$29:$GQ$29,0))</f>
        <v>Other land transportation services</v>
      </c>
      <c r="AH3" s="1" t="str">
        <f>INDEX($B$17:$GQ$17,MATCH(33,$B$29:$GQ$29,0))</f>
        <v>Insurance and pension funding services, except compulsory social security services (66)</v>
      </c>
      <c r="AI3" s="1" t="str">
        <f>INDEX($B$17:$GQ$17,MATCH(34,$B$29:$GQ$29,0))</f>
        <v>Post and telecommunication services (64)</v>
      </c>
      <c r="AJ3" s="1" t="str">
        <f>INDEX($B$17:$GQ$17,MATCH(35,$B$29:$GQ$29,0))</f>
        <v>Gas/Diesel Oil</v>
      </c>
      <c r="AK3" s="1" t="str">
        <f>INDEX($B$17:$GQ$17,MATCH(36,$B$29:$GQ$29,0))</f>
        <v>Membership organisation services n.e.c. (91)</v>
      </c>
      <c r="AL3" s="1" t="str">
        <f>INDEX($B$17:$GQ$17,MATCH(37,$B$29:$GQ$29,0))</f>
        <v>Animal products nec</v>
      </c>
      <c r="AM3" s="1" t="str">
        <f>INDEX($B$17:$GQ$17,MATCH(38,$B$29:$GQ$29,0))</f>
        <v>Sugar</v>
      </c>
      <c r="AN3" s="1" t="str">
        <f>INDEX($B$17:$GQ$17,MATCH(39,$B$29:$GQ$29,0))</f>
        <v>Sea and coastal water transportation services</v>
      </c>
      <c r="AO3" s="1" t="str">
        <f>INDEX($B$17:$GQ$17,MATCH(40,$B$29:$GQ$29,0))</f>
        <v>Wheat</v>
      </c>
      <c r="AP3" s="1" t="str">
        <f>INDEX($B$17:$GQ$17,MATCH(41,$B$29:$GQ$29,0))</f>
        <v>Other services (93)</v>
      </c>
      <c r="AQ3" s="1" t="str">
        <f>INDEX($B$17:$GQ$17,MATCH(42,$B$29:$GQ$29,0))</f>
        <v>Railway transportation services</v>
      </c>
      <c r="AR3" s="1" t="str">
        <f>INDEX($B$17:$GQ$17,MATCH(43,$B$29:$GQ$29,0))</f>
        <v>Electricity by nuclear</v>
      </c>
      <c r="AS3" s="1" t="str">
        <f>INDEX($B$17:$GQ$17,MATCH(44,$B$29:$GQ$29,0))</f>
        <v>Supporting and auxiliary transport services; travel agency services (63)</v>
      </c>
      <c r="AT3" s="1" t="str">
        <f>INDEX($B$17:$GQ$17,MATCH(45,$B$29:$GQ$29,0))</f>
        <v>Paper and paper products</v>
      </c>
      <c r="AU3" s="1" t="str">
        <f>INDEX($B$17:$GQ$17,MATCH(46,$B$29:$GQ$29,0))</f>
        <v>Other business services (74)</v>
      </c>
      <c r="AV3" s="1" t="str">
        <f>INDEX($B$17:$GQ$17,MATCH(47,$B$29:$GQ$29,0))</f>
        <v>Fabricated metal products, except machinery and equipment (28)</v>
      </c>
      <c r="AW3" s="1" t="str">
        <f>INDEX($B$17:$GQ$17,MATCH(48,$B$29:$GQ$29,0))</f>
        <v>Office machinery and computers (30)</v>
      </c>
      <c r="AX3" s="1" t="str">
        <f>INDEX($B$17:$GQ$17,MATCH(49,$B$29:$GQ$29,0))</f>
        <v>Plant-based fibers</v>
      </c>
      <c r="AY3" s="1" t="str">
        <f>INDEX($B$17:$GQ$17,MATCH(50,$B$29:$GQ$29,0))</f>
        <v>Financial intermediation services, except insurance and pension funding services (65)</v>
      </c>
      <c r="AZ3" s="1" t="str">
        <f>INDEX($B$17:$GQ$17,MATCH(51,$B$29:$GQ$29,0))</f>
        <v>Processed rice</v>
      </c>
      <c r="BA3" s="1" t="str">
        <f>INDEX($B$17:$GQ$17,MATCH(52,$B$29:$GQ$29,0))</f>
        <v>Distribution services of gaseous fuels through mains</v>
      </c>
      <c r="BB3" s="1" t="str">
        <f>INDEX($B$17:$GQ$17,MATCH(53,$B$29:$GQ$29,0))</f>
        <v>Sale, maintenance, repair of motor vehicles, motor vehicles parts, motorcycles, motor cycles parts and accessoiries</v>
      </c>
      <c r="BC3" s="1" t="str">
        <f>INDEX($B$17:$GQ$17,MATCH(54,$B$29:$GQ$29,0))</f>
        <v>Construction work (45)</v>
      </c>
      <c r="BD3" s="1" t="str">
        <f>INDEX($B$17:$GQ$17,MATCH(55,$B$29:$GQ$29,0))</f>
        <v>Radio, television and communication equipment and apparatus (32)</v>
      </c>
      <c r="BE3" s="1" t="str">
        <f>INDEX($B$17:$GQ$17,MATCH(56,$B$29:$GQ$29,0))</f>
        <v>Cereal grains nec</v>
      </c>
      <c r="BF3" s="1" t="str">
        <f>INDEX($B$17:$GQ$17,MATCH(57,$B$29:$GQ$29,0))</f>
        <v>Printed matter and recorded media (22)</v>
      </c>
      <c r="BG3" s="1" t="str">
        <f>INDEX($B$17:$GQ$17,MATCH(58,$B$29:$GQ$29,0))</f>
        <v>Fish and other fishing products; services incidental of fishing (05)</v>
      </c>
      <c r="BH3" s="1" t="str">
        <f>INDEX($B$17:$GQ$17,MATCH(59,$B$29:$GQ$29,0))</f>
        <v>Electrical machinery and apparatus n.e.c. (31)</v>
      </c>
      <c r="BI3" s="1" t="str">
        <f>INDEX($B$17:$GQ$17,MATCH(60,$B$29:$GQ$29,0))</f>
        <v>products of Vegetable oils and fats</v>
      </c>
      <c r="BJ3" s="1" t="str">
        <f>INDEX($B$17:$GQ$17,MATCH(61,$B$29:$GQ$29,0))</f>
        <v>Steam and hot water supply services</v>
      </c>
      <c r="BK3" s="1" t="str">
        <f>INDEX($B$17:$GQ$17,MATCH(62,$B$29:$GQ$29,0))</f>
        <v>Products of forestry, logging and related services (02)</v>
      </c>
      <c r="BL3" s="1" t="str">
        <f>INDEX($B$17:$GQ$17,MATCH(63,$B$29:$GQ$29,0))</f>
        <v>Inland water transportation services</v>
      </c>
      <c r="BM3" s="1" t="str">
        <f>INDEX($B$17:$GQ$17,MATCH(64,$B$29:$GQ$29,0))</f>
        <v>Medical, precision and optical instruments, watches and clocks (33)</v>
      </c>
      <c r="BN3" s="1" t="str">
        <f>INDEX($B$17:$GQ$17,MATCH(65,$B$29:$GQ$29,0))</f>
        <v>Other transport equipment (35)</v>
      </c>
      <c r="BO3" s="1" t="str">
        <f>INDEX($B$17:$GQ$17,MATCH(66,$B$29:$GQ$29,0))</f>
        <v>Ceramic goods</v>
      </c>
      <c r="BP3" s="1" t="str">
        <f>INDEX($B$17:$GQ$17,MATCH(67,$B$29:$GQ$29,0))</f>
        <v>N-fertiliser</v>
      </c>
      <c r="BQ3" s="1" t="str">
        <f>INDEX($B$17:$GQ$17,MATCH(68,$B$29:$GQ$29,0))</f>
        <v>Distribution and trade services of electricity</v>
      </c>
      <c r="BR3" s="1" t="str">
        <f>INDEX($B$17:$GQ$17,MATCH(69,$B$29:$GQ$29,0))</f>
        <v>Raw milk</v>
      </c>
      <c r="BS3" s="1" t="str">
        <f>INDEX($B$17:$GQ$17,MATCH(70,$B$29:$GQ$29,0))</f>
        <v>Wholesale trade and commission trade services, except of motor vehicles and motorcycles (51)</v>
      </c>
      <c r="BT3" s="1" t="str">
        <f>INDEX($B$17:$GQ$17,MATCH(71,$B$29:$GQ$29,0))</f>
        <v>Other non-metallic mineral products</v>
      </c>
      <c r="BU3" s="1" t="str">
        <f>INDEX($B$17:$GQ$17,MATCH(72,$B$29:$GQ$29,0))</f>
        <v>Collected and purified water, distribution services of water (41)</v>
      </c>
      <c r="BV3" s="1" t="str">
        <f>INDEX($B$17:$GQ$17,MATCH(73,$B$29:$GQ$29,0))</f>
        <v>Wood and products of wood and cork (except furniture); articles of straw and plaiting materials (20)</v>
      </c>
      <c r="BW3" s="1" t="str">
        <f>INDEX($B$17:$GQ$17,MATCH(74,$B$29:$GQ$29,0))</f>
        <v>P- and other fertiliser</v>
      </c>
      <c r="BX3" s="1" t="str">
        <f>INDEX($B$17:$GQ$17,MATCH(75,$B$29:$GQ$29,0))</f>
        <v>Retail  trade services, except of motor vehicles and motorcycles; repair services of personal and household goods (52)</v>
      </c>
      <c r="BY3" s="1" t="str">
        <f>INDEX($B$17:$GQ$17,MATCH(76,$B$29:$GQ$29,0))</f>
        <v>Secondary plastic for treatment, Re-processing of secondary plastic into new plastic</v>
      </c>
      <c r="BZ3" s="1" t="str">
        <f>INDEX($B$17:$GQ$17,MATCH(77,$B$29:$GQ$29,0))</f>
        <v>Renting services of machinery and equipment without operator and of personal and household goods (71)</v>
      </c>
      <c r="CA3" s="1" t="str">
        <f>INDEX($B$17:$GQ$17,MATCH(78,$B$29:$GQ$29,0))</f>
        <v>Electricity by hydro</v>
      </c>
      <c r="CB3" s="1" t="str">
        <f>INDEX($B$17:$GQ$17,MATCH(79,$B$29:$GQ$29,0))</f>
        <v>Transmission services of electricity</v>
      </c>
      <c r="CC3" s="1" t="str">
        <f>INDEX($B$17:$GQ$17,MATCH(80,$B$29:$GQ$29,0))</f>
        <v>Liquefied Petroleum Gases (LPG)</v>
      </c>
      <c r="CD3" s="1" t="str">
        <f>INDEX($B$17:$GQ$17,MATCH(81,$B$29:$GQ$29,0))</f>
        <v>Electricity by coal</v>
      </c>
      <c r="CE3" s="1" t="str">
        <f>INDEX($B$17:$GQ$17,MATCH(82,$B$29:$GQ$29,0))</f>
        <v>Natural gas and services related to natural gas extraction, excluding surveying</v>
      </c>
      <c r="CF3" s="1" t="str">
        <f>INDEX($B$17:$GQ$17,MATCH(83,$B$29:$GQ$29,0))</f>
        <v>Inert/metal/hazardous waste for treatment: landfill</v>
      </c>
      <c r="CG3" s="1" t="str">
        <f>INDEX($B$17:$GQ$17,MATCH(84,$B$29:$GQ$29,0))</f>
        <v>Machinery and equipment n.e.c. (29)</v>
      </c>
      <c r="CH3" s="1" t="str">
        <f>INDEX($B$17:$GQ$17,MATCH(85,$B$29:$GQ$29,0))</f>
        <v>Electricity by gas</v>
      </c>
      <c r="CI3" s="1" t="str">
        <f>INDEX($B$17:$GQ$17,MATCH(86,$B$29:$GQ$29,0))</f>
        <v>Intert/metal waste for treatment: incineration</v>
      </c>
      <c r="CJ3" s="1" t="str">
        <f>INDEX($B$17:$GQ$17,MATCH(87,$B$29:$GQ$29,0))</f>
        <v>Transportation services via pipelines</v>
      </c>
      <c r="CK3" s="1" t="str">
        <f>INDEX($B$17:$GQ$17,MATCH(88,$B$29:$GQ$29,0))</f>
        <v>Retail trade services of motor fuel</v>
      </c>
      <c r="CL3" s="1" t="str">
        <f>INDEX($B$17:$GQ$17,MATCH(89,$B$29:$GQ$29,0))</f>
        <v>Oil/hazardous waste for treatment: incineration</v>
      </c>
      <c r="CM3" s="1" t="str">
        <f>INDEX($B$17:$GQ$17,MATCH(90,$B$29:$GQ$29,0))</f>
        <v>Paper waste for treatment: incineration</v>
      </c>
      <c r="CN3" s="1" t="str">
        <f>INDEX($B$17:$GQ$17,MATCH(91,$B$29:$GQ$29,0))</f>
        <v>Sewage sludge for treatment: biogasification and land application</v>
      </c>
      <c r="CO3" s="1" t="str">
        <f>INDEX($B$17:$GQ$17,MATCH(92,$B$29:$GQ$29,0))</f>
        <v>Food waste for treatment: incineration</v>
      </c>
      <c r="CP3" s="1" t="str">
        <f>INDEX($B$17:$GQ$17,MATCH(93,$B$29:$GQ$29,0))</f>
        <v>Wood material for treatment, Re-processing of secondary wood material into new wood material</v>
      </c>
      <c r="CQ3" s="1" t="str">
        <f>INDEX($B$17:$GQ$17,MATCH(94,$B$29:$GQ$29,0))</f>
        <v>Other waste for treatment: waste water treatment</v>
      </c>
      <c r="CR3" s="1" t="str">
        <f>INDEX($B$17:$GQ$17,MATCH(95,$B$29:$GQ$29,0))</f>
        <v>Biodiesels</v>
      </c>
      <c r="CS3" s="1" t="str">
        <f>INDEX($B$17:$GQ$17,MATCH(96,$B$29:$GQ$29,0))</f>
        <v>Food waste for treatment: landfill</v>
      </c>
      <c r="CT3" s="1" t="str">
        <f>INDEX($B$17:$GQ$17,MATCH(97,$B$29:$GQ$29,0))</f>
        <v>Food waste for treatment: composting and land application</v>
      </c>
      <c r="CU3" s="1" t="str">
        <f>INDEX($B$17:$GQ$17,MATCH(98,$B$29:$GQ$29,0))</f>
        <v>Biogasoline</v>
      </c>
      <c r="CV3" s="1" t="str">
        <f>INDEX($B$17:$GQ$17,MATCH(99,$B$29:$GQ$29,0))</f>
        <v>Electricity by wind</v>
      </c>
      <c r="CW3" s="1" t="str">
        <f>INDEX($B$17:$GQ$17,MATCH(100,$B$29:$GQ$29,0))</f>
        <v>Plastic waste for treatment: incineration</v>
      </c>
      <c r="CX3" s="1" t="str">
        <f>INDEX($B$17:$GQ$17,MATCH(101,$B$29:$GQ$29,0))</f>
        <v>Kerosene Type Jet Fuel</v>
      </c>
      <c r="CY3" s="1" t="str">
        <f>INDEX($B$17:$GQ$17,MATCH(102,$B$29:$GQ$29,0))</f>
        <v>Electricity by biomass and waste</v>
      </c>
      <c r="CZ3" s="1" t="str">
        <f>INDEX($B$17:$GQ$17,MATCH(103,$B$29:$GQ$29,0))</f>
        <v>Paper for treatment: landfill</v>
      </c>
      <c r="DA3" s="1" t="str">
        <f>INDEX($B$17:$GQ$17,MATCH(104,$B$29:$GQ$29,0))</f>
        <v>Food waste for treatment: waste water treatment</v>
      </c>
      <c r="DB3" s="1" t="str">
        <f>INDEX($B$17:$GQ$17,MATCH(105,$B$29:$GQ$29,0))</f>
        <v>Electricity by petroleum and other oil derivatives</v>
      </c>
      <c r="DC3" s="1" t="str">
        <f>INDEX($B$17:$GQ$17,MATCH(106,$B$29:$GQ$29,0))</f>
        <v>Wood waste for treatment: incineration</v>
      </c>
      <c r="DD3" s="1" t="str">
        <f>INDEX($B$17:$GQ$17,MATCH(107,$B$29:$GQ$29,0))</f>
        <v>Wood waste for treatment: landfill</v>
      </c>
      <c r="DE3" s="1" t="str">
        <f>INDEX($B$17:$GQ$17,MATCH(108,$B$29:$GQ$29,0))</f>
        <v>Kerosene</v>
      </c>
      <c r="DF3" s="1" t="str">
        <f>INDEX($B$17:$GQ$17,MATCH(109,$B$29:$GQ$29,0))</f>
        <v>Textiles waste for treatment: incineration</v>
      </c>
      <c r="DG3" s="1" t="str">
        <f>INDEX($B$17:$GQ$17,MATCH(110,$B$29:$GQ$29,0))</f>
        <v>Cement, lime and plaster</v>
      </c>
      <c r="DH3" s="1" t="str">
        <f>INDEX($B$17:$GQ$17,MATCH(111,$B$29:$GQ$29,0))</f>
        <v>Plastic waste for treatment: landfill</v>
      </c>
      <c r="DI3" s="1" t="str">
        <f>INDEX($B$17:$GQ$17,MATCH(112,$B$29:$GQ$29,0))</f>
        <v>Computer and related services (72)</v>
      </c>
      <c r="DJ3" s="1" t="str">
        <f>INDEX($B$17:$GQ$17,MATCH(113,$B$29:$GQ$29,0))</f>
        <v>Food waste for treatment: biogasification and land application</v>
      </c>
      <c r="DK3" s="1" t="str">
        <f>INDEX($B$17:$GQ$17,MATCH(114,$B$29:$GQ$29,0))</f>
        <v>Textiles waste for treatment: landfill</v>
      </c>
      <c r="DL3" s="1" t="str">
        <f>INDEX($B$17:$GQ$17,MATCH(115,$B$29:$GQ$29,0))</f>
        <v>Other non-ferrous metal products</v>
      </c>
      <c r="DM3" s="1" t="str">
        <f>INDEX($B$17:$GQ$17,MATCH(116,$B$29:$GQ$29,0))</f>
        <v>Electricity by solar photovoltaic</v>
      </c>
      <c r="DN3" s="1" t="str">
        <f>INDEX($B$17:$GQ$17,MATCH(117,$B$29:$GQ$29,0))</f>
        <v>Bricks, tiles and construction products, in baked clay</v>
      </c>
      <c r="DO3" s="1" t="str">
        <f>INDEX($B$17:$GQ$17,MATCH(118,$B$29:$GQ$29,0))</f>
        <v>Heavy Fuel Oil</v>
      </c>
      <c r="DP3" s="1" t="str">
        <f>INDEX($B$17:$GQ$17,MATCH(119,$B$29:$GQ$29,0))</f>
        <v>Electricity by tide, wave, ocean</v>
      </c>
      <c r="DQ3" s="1" t="str">
        <f>INDEX($B$17:$GQ$17,MATCH(120,$B$29:$GQ$29,0))</f>
        <v>Precious metals</v>
      </c>
      <c r="DR3" s="1" t="str">
        <f>INDEX($B$17:$GQ$17,MATCH(121,$B$29:$GQ$29,0))</f>
        <v>Other Bituminous Coal</v>
      </c>
      <c r="DS3" s="1" t="str">
        <f>INDEX($B$17:$GQ$17,MATCH(122,$B$29:$GQ$29,0))</f>
        <v>Ash for treatment, Re-processing of ash into clinker</v>
      </c>
      <c r="DT3" s="1" t="str">
        <f>INDEX($B$17:$GQ$17,MATCH(123,$B$29:$GQ$29,0))</f>
        <v>Paper and wood waste for treatment: composting and land application</v>
      </c>
      <c r="DU3" s="1" t="str">
        <f>INDEX($B$17:$GQ$17,MATCH(124,$B$29:$GQ$29,0))</f>
        <v>Aluminium and aluminium products</v>
      </c>
      <c r="DV3" s="1" t="str">
        <f>INDEX($B$17:$GQ$17,MATCH(125,$B$29:$GQ$29,0))</f>
        <v>Paper waste for treatment: biogasification and land application</v>
      </c>
      <c r="DW3" s="1" t="str">
        <f>INDEX($B$17:$GQ$17,MATCH(126,$B$29:$GQ$29,0))</f>
        <v>Patent Fuel</v>
      </c>
      <c r="DX3" s="1" t="str">
        <f>INDEX($B$17:$GQ$17,MATCH(127,$B$29:$GQ$29,0))</f>
        <v>Anthracite</v>
      </c>
      <c r="DY3" s="1" t="str">
        <f>INDEX($B$17:$GQ$17,MATCH(128,$B$29:$GQ$29,0))</f>
        <v>Secondary aluminium for treatment, Re-processing of secondary aluminium into new aluminium</v>
      </c>
      <c r="DZ3" s="1" t="str">
        <f>INDEX($B$17:$GQ$17,MATCH(129,$B$29:$GQ$29,0))</f>
        <v>Foundry work services</v>
      </c>
      <c r="EA3" s="1" t="str">
        <f>INDEX($B$17:$GQ$17,MATCH(130,$B$29:$GQ$29,0))</f>
        <v>Coke Oven Coke</v>
      </c>
      <c r="EB3" s="1" t="str">
        <f>INDEX($B$17:$GQ$17,MATCH(131,$B$29:$GQ$29,0))</f>
        <v>Aviation Gasoline</v>
      </c>
      <c r="EC3" s="1" t="str">
        <f>INDEX($B$17:$GQ$17,MATCH(132,$B$29:$GQ$29,0))</f>
        <v>Basic iron and steel and of ferro-alloys and first products thereof</v>
      </c>
      <c r="ED3" s="1" t="str">
        <f>INDEX($B$17:$GQ$17,MATCH(133,$B$29:$GQ$29,0))</f>
        <v>Secondary steel for treatment, Re-processing of secondary steel into new steel</v>
      </c>
      <c r="EE3" s="1" t="str">
        <f>INDEX($B$17:$GQ$17,MATCH(134,$B$29:$GQ$29,0))</f>
        <v>Sugar cane, sugar beet</v>
      </c>
      <c r="EF3" s="1" t="str">
        <f>INDEX($B$17:$GQ$17,MATCH(135,$B$29:$GQ$29,0))</f>
        <v>Cattle</v>
      </c>
      <c r="EG3" s="1" t="str">
        <f>INDEX($B$17:$GQ$17,MATCH(136,$B$29:$GQ$29,0))</f>
        <v>Pigs</v>
      </c>
      <c r="EH3" s="1" t="str">
        <f>INDEX($B$17:$GQ$17,MATCH(137,$B$29:$GQ$29,0))</f>
        <v>Wool, silk-worm cocoons</v>
      </c>
      <c r="EI3" s="1" t="str">
        <f>INDEX($B$17:$GQ$17,MATCH(138,$B$29:$GQ$29,0))</f>
        <v>Manure (conventional treatment)</v>
      </c>
      <c r="EJ3" s="1" t="str">
        <f>INDEX($B$17:$GQ$17,MATCH(139,$B$29:$GQ$29,0))</f>
        <v>Manure (biogas treatment)</v>
      </c>
      <c r="EK3" s="1" t="str">
        <f>INDEX($B$17:$GQ$17,MATCH(140,$B$29:$GQ$29,0))</f>
        <v>Coking Coal</v>
      </c>
      <c r="EL3" s="1" t="str">
        <f>INDEX($B$17:$GQ$17,MATCH(141,$B$29:$GQ$29,0))</f>
        <v>Sub-Bituminous Coal</v>
      </c>
      <c r="EM3" s="1" t="str">
        <f>INDEX($B$17:$GQ$17,MATCH(142,$B$29:$GQ$29,0))</f>
        <v>Lignite/Brown Coal</v>
      </c>
      <c r="EN3" s="1" t="str">
        <f>INDEX($B$17:$GQ$17,MATCH(143,$B$29:$GQ$29,0))</f>
        <v>BKB/Peat Briquettes</v>
      </c>
      <c r="EO3" s="1" t="str">
        <f>INDEX($B$17:$GQ$17,MATCH(144,$B$29:$GQ$29,0))</f>
        <v>Peat</v>
      </c>
      <c r="EP3" s="1" t="str">
        <f>INDEX($B$17:$GQ$17,MATCH(145,$B$29:$GQ$29,0))</f>
        <v>Crude petroleum and services related to crude oil extraction, excluding surveying</v>
      </c>
      <c r="EQ3" s="1" t="str">
        <f>INDEX($B$17:$GQ$17,MATCH(146,$B$29:$GQ$29,0))</f>
        <v>Natural Gas Liquids</v>
      </c>
      <c r="ER3" s="1" t="str">
        <f>INDEX($B$17:$GQ$17,MATCH(147,$B$29:$GQ$29,0))</f>
        <v>Other Hydrocarbons</v>
      </c>
      <c r="ES3" s="1" t="str">
        <f>INDEX($B$17:$GQ$17,MATCH(148,$B$29:$GQ$29,0))</f>
        <v>Uranium and thorium ores (12)</v>
      </c>
      <c r="ET3" s="1" t="str">
        <f>INDEX($B$17:$GQ$17,MATCH(149,$B$29:$GQ$29,0))</f>
        <v>Iron ores</v>
      </c>
      <c r="EU3" s="1" t="str">
        <f>INDEX($B$17:$GQ$17,MATCH(150,$B$29:$GQ$29,0))</f>
        <v>Copper ores and concentrates</v>
      </c>
      <c r="EV3" s="1" t="str">
        <f>INDEX($B$17:$GQ$17,MATCH(151,$B$29:$GQ$29,0))</f>
        <v>Nickel ores and concentrates</v>
      </c>
      <c r="EW3" s="1" t="str">
        <f>INDEX($B$17:$GQ$17,MATCH(152,$B$29:$GQ$29,0))</f>
        <v>Aluminium ores and concentrates</v>
      </c>
      <c r="EX3" s="1" t="str">
        <f>INDEX($B$17:$GQ$17,MATCH(153,$B$29:$GQ$29,0))</f>
        <v>Precious metal ores and concentrates</v>
      </c>
      <c r="EY3" s="1" t="str">
        <f>INDEX($B$17:$GQ$17,MATCH(154,$B$29:$GQ$29,0))</f>
        <v>Lead, zinc and tin ores and concentrates</v>
      </c>
      <c r="EZ3" s="1" t="str">
        <f>INDEX($B$17:$GQ$17,MATCH(155,$B$29:$GQ$29,0))</f>
        <v>Other non-ferrous metal ores and concentrates</v>
      </c>
      <c r="FA3" s="1" t="str">
        <f>INDEX($B$17:$GQ$17,MATCH(156,$B$29:$GQ$29,0))</f>
        <v>Stone</v>
      </c>
      <c r="FB3" s="1" t="str">
        <f>INDEX($B$17:$GQ$17,MATCH(157,$B$29:$GQ$29,0))</f>
        <v>Sand and clay</v>
      </c>
      <c r="FC3" s="1" t="str">
        <f>INDEX($B$17:$GQ$17,MATCH(158,$B$29:$GQ$29,0))</f>
        <v>Chemical and fertilizer minerals, salt and other mining and quarrying products n.e.c.</v>
      </c>
      <c r="FD3" s="1" t="str">
        <f>INDEX($B$17:$GQ$17,MATCH(159,$B$29:$GQ$29,0))</f>
        <v>Pulp</v>
      </c>
      <c r="FE3" s="1" t="str">
        <f>INDEX($B$17:$GQ$17,MATCH(160,$B$29:$GQ$29,0))</f>
        <v>Secondary paper for treatment, Re-processing of secondary paper into new pulp</v>
      </c>
      <c r="FF3" s="1" t="str">
        <f>INDEX($B$17:$GQ$17,MATCH(161,$B$29:$GQ$29,0))</f>
        <v>Gas Coke</v>
      </c>
      <c r="FG3" s="1" t="str">
        <f>INDEX($B$17:$GQ$17,MATCH(162,$B$29:$GQ$29,0))</f>
        <v>Coal Tar</v>
      </c>
      <c r="FH3" s="1" t="str">
        <f>INDEX($B$17:$GQ$17,MATCH(163,$B$29:$GQ$29,0))</f>
        <v>Gasoline Type Jet Fuel</v>
      </c>
      <c r="FI3" s="1" t="str">
        <f>INDEX($B$17:$GQ$17,MATCH(164,$B$29:$GQ$29,0))</f>
        <v>Refinery Gas</v>
      </c>
      <c r="FJ3" s="1" t="str">
        <f>INDEX($B$17:$GQ$17,MATCH(165,$B$29:$GQ$29,0))</f>
        <v>Refinery Feedstocks</v>
      </c>
      <c r="FK3" s="1" t="str">
        <f>INDEX($B$17:$GQ$17,MATCH(166,$B$29:$GQ$29,0))</f>
        <v>Ethane</v>
      </c>
      <c r="FL3" s="1" t="str">
        <f>INDEX($B$17:$GQ$17,MATCH(167,$B$29:$GQ$29,0))</f>
        <v>Naphtha</v>
      </c>
      <c r="FM3" s="1" t="str">
        <f>INDEX($B$17:$GQ$17,MATCH(168,$B$29:$GQ$29,0))</f>
        <v>White Spirit &amp; SBP</v>
      </c>
      <c r="FN3" s="1" t="str">
        <f>INDEX($B$17:$GQ$17,MATCH(169,$B$29:$GQ$29,0))</f>
        <v>Lubricants</v>
      </c>
      <c r="FO3" s="1" t="str">
        <f>INDEX($B$17:$GQ$17,MATCH(170,$B$29:$GQ$29,0))</f>
        <v>Bitumen</v>
      </c>
      <c r="FP3" s="1" t="str">
        <f>INDEX($B$17:$GQ$17,MATCH(171,$B$29:$GQ$29,0))</f>
        <v>Paraffin Waxes</v>
      </c>
      <c r="FQ3" s="1" t="str">
        <f>INDEX($B$17:$GQ$17,MATCH(172,$B$29:$GQ$29,0))</f>
        <v>Petroleum Coke</v>
      </c>
      <c r="FR3" s="1" t="str">
        <f>INDEX($B$17:$GQ$17,MATCH(173,$B$29:$GQ$29,0))</f>
        <v>Non-specified Petroleum Products</v>
      </c>
      <c r="FS3" s="1" t="str">
        <f>INDEX($B$17:$GQ$17,MATCH(174,$B$29:$GQ$29,0))</f>
        <v>Nuclear fuel</v>
      </c>
      <c r="FT3" s="1" t="str">
        <f>INDEX($B$17:$GQ$17,MATCH(175,$B$29:$GQ$29,0))</f>
        <v>Charcoal</v>
      </c>
      <c r="FU3" s="1" t="str">
        <f>INDEX($B$17:$GQ$17,MATCH(176,$B$29:$GQ$29,0))</f>
        <v>Additives/Blending Components</v>
      </c>
      <c r="FV3" s="1" t="str">
        <f>INDEX($B$17:$GQ$17,MATCH(177,$B$29:$GQ$29,0))</f>
        <v>Other Liquid Biofuels</v>
      </c>
      <c r="FW3" s="1" t="str">
        <f>INDEX($B$17:$GQ$17,MATCH(178,$B$29:$GQ$29,0))</f>
        <v>Glass and glass products</v>
      </c>
      <c r="FX3" s="1" t="str">
        <f>INDEX($B$17:$GQ$17,MATCH(179,$B$29:$GQ$29,0))</f>
        <v>Secondary glass for treatment, Re-processing of secondary glass into new glass</v>
      </c>
      <c r="FY3" s="1" t="str">
        <f>INDEX($B$17:$GQ$17,MATCH(180,$B$29:$GQ$29,0))</f>
        <v>Secondary preciuos metals for treatment, Re-processing of secondary preciuos metals into new preciuos metals</v>
      </c>
      <c r="FZ3" s="1" t="str">
        <f>INDEX($B$17:$GQ$17,MATCH(181,$B$29:$GQ$29,0))</f>
        <v>Lead, zinc and tin and products thereof</v>
      </c>
      <c r="GA3" s="1" t="str">
        <f>INDEX($B$17:$GQ$17,MATCH(182,$B$29:$GQ$29,0))</f>
        <v>Secondary lead for treatment, Re-processing of secondary lead into new lead</v>
      </c>
      <c r="GB3" s="1" t="str">
        <f>INDEX($B$17:$GQ$17,MATCH(183,$B$29:$GQ$29,0))</f>
        <v>Copper products</v>
      </c>
      <c r="GC3" s="1" t="str">
        <f>INDEX($B$17:$GQ$17,MATCH(184,$B$29:$GQ$29,0))</f>
        <v>Secondary copper for treatment, Re-processing of secondary copper into new copper</v>
      </c>
      <c r="GD3" s="1" t="str">
        <f>INDEX($B$17:$GQ$17,MATCH(185,$B$29:$GQ$29,0))</f>
        <v>Secondary other non-ferrous metals for treatment, Re-processing of secondary other non-ferrous metals into new other non-ferrous metals</v>
      </c>
      <c r="GE3" s="1" t="str">
        <f>INDEX($B$17:$GQ$17,MATCH(186,$B$29:$GQ$29,0))</f>
        <v>Secondary raw materials</v>
      </c>
      <c r="GF3" s="1" t="str">
        <f>INDEX($B$17:$GQ$17,MATCH(187,$B$29:$GQ$29,0))</f>
        <v>Bottles for treatment, Recycling of bottles by direct reuse</v>
      </c>
      <c r="GG3" s="1" t="str">
        <f>INDEX($B$17:$GQ$17,MATCH(188,$B$29:$GQ$29,0))</f>
        <v>Electricity by solar thermal</v>
      </c>
      <c r="GH3" s="1" t="str">
        <f>INDEX($B$17:$GQ$17,MATCH(189,$B$29:$GQ$29,0))</f>
        <v>Electricity by Geothermal</v>
      </c>
      <c r="GI3" s="1" t="str">
        <f>INDEX($B$17:$GQ$17,MATCH(190,$B$29:$GQ$29,0))</f>
        <v>Electricity nec</v>
      </c>
      <c r="GJ3" s="1" t="str">
        <f>INDEX($B$17:$GQ$17,MATCH(191,$B$29:$GQ$29,0))</f>
        <v>Coke oven gas</v>
      </c>
      <c r="GK3" s="1" t="str">
        <f>INDEX($B$17:$GQ$17,MATCH(192,$B$29:$GQ$29,0))</f>
        <v>Blast Furnace Gas</v>
      </c>
      <c r="GL3" s="1" t="str">
        <f>INDEX($B$17:$GQ$17,MATCH(193,$B$29:$GQ$29,0))</f>
        <v>Oxygen Steel Furnace Gas</v>
      </c>
      <c r="GM3" s="1" t="str">
        <f>INDEX($B$17:$GQ$17,MATCH(194,$B$29:$GQ$29,0))</f>
        <v>Gas Works Gas</v>
      </c>
      <c r="GN3" s="1" t="str">
        <f>INDEX($B$17:$GQ$17,MATCH(195,$B$29:$GQ$29,0))</f>
        <v>Biogas</v>
      </c>
      <c r="GO3" s="1" t="str">
        <f>INDEX($B$17:$GQ$17,MATCH(196,$B$29:$GQ$29,0))</f>
        <v>Secondary construction material for treatment, Re-processing of secondary construction material into aggregates</v>
      </c>
      <c r="GP3" s="1" t="str">
        <f>INDEX($B$17:$GQ$17,MATCH(197,$B$29:$GQ$29,0))</f>
        <v>Services auxiliary to financial intermediation (67)</v>
      </c>
      <c r="GQ3" s="1" t="str">
        <f>INDEX($B$17:$GQ$17,MATCH(198,$B$29:$GQ$29,0))</f>
        <v>Extra-territorial organizations and bodies</v>
      </c>
      <c r="GR3" s="1" t="str">
        <f>INDEX($GR$17:$HC$17,MATCH(1,$GR$30:$HC$30,0))</f>
        <v>Food nec</v>
      </c>
      <c r="GS3" s="1" t="str">
        <f>INDEX($GR$17:$HC$17,MATCH(2,$GR$30:$HC$30,0))</f>
        <v>Vegetables, fruits, nuts</v>
      </c>
      <c r="GT3" s="1" t="str">
        <f>INDEX($GR$17:$HC$17,MATCH(3,$GR$30:$HC$30,0))</f>
        <v>Final services</v>
      </c>
      <c r="GU3" s="1" t="str">
        <f>INDEX($GR$17:$HC$17,MATCH(4,$GR$30:$HC$30,0))</f>
        <v>Meat nec</v>
      </c>
      <c r="GV3" s="1" t="str">
        <f>INDEX($GR$17:$HC$17,MATCH(5,$GR$30:$HC$30,0))</f>
        <v>Housing</v>
      </c>
      <c r="GW3" s="1" t="str">
        <f>INDEX($GR$17:$HC$17,MATCH(6,$GR$30:$HC$30,0))</f>
        <v>Textiles</v>
      </c>
      <c r="GX3" s="1" t="str">
        <f>INDEX($GR$17:$HC$17,MATCH(7,$GR$30:$HC$30,0))</f>
        <v>Mobility</v>
      </c>
      <c r="GY3" s="1" t="str">
        <f>INDEX($GR$17:$HC$17,MATCH(8,$GR$30:$HC$30,0))</f>
        <v>Final goods nec</v>
      </c>
      <c r="GZ3" s="1" t="str">
        <f>INDEX($GR$17:$HC$17,MATCH(9,$GR$30:$HC$30,0))</f>
        <v>Cattle</v>
      </c>
      <c r="HA3" s="1" t="str">
        <f>INDEX($GR$17:$HC$17,MATCH(10,$GR$30:$HC$30,0))</f>
        <v>Hotel &amp; restaurant</v>
      </c>
      <c r="HB3" s="1" t="str">
        <f>INDEX($GR$17:$HC$17,MATCH(11,$GR$30:$HC$30,0))</f>
        <v>Animal nec</v>
      </c>
      <c r="HC3" s="1" t="str">
        <f>INDEX($GR$17:$HC$17,MATCH(12,$GR$30:$HC$30,0))</f>
        <v>Dairy products</v>
      </c>
    </row>
    <row r="4" spans="1:211" x14ac:dyDescent="0.45">
      <c r="A4" s="1" t="s">
        <v>3</v>
      </c>
      <c r="B4">
        <f>INDEX($B$18:$GQ$18,MATCH(1,$B$29:$GQ$29,0))</f>
        <v>6.9506398818430116E-3</v>
      </c>
      <c r="C4">
        <f>INDEX($B$18:$GQ$18,MATCH(2,$B$29:$GQ$29,0))</f>
        <v>1.217139475052278E-2</v>
      </c>
      <c r="D4">
        <f>INDEX($B$18:$GQ$18,MATCH(3,$B$29:$GQ$29,0))</f>
        <v>1.6063867667062151E-2</v>
      </c>
      <c r="E4">
        <f>INDEX($B$18:$GQ$18,MATCH(4,$B$29:$GQ$29,0))</f>
        <v>2.6544512798406248E-4</v>
      </c>
      <c r="F4">
        <f>INDEX($B$18:$GQ$18,MATCH(5,$B$29:$GQ$29,0))</f>
        <v>1.8808786740729909E-2</v>
      </c>
      <c r="G4">
        <f>INDEX($B$18:$GQ$18,MATCH(6,$B$29:$GQ$29,0))</f>
        <v>1.111331431886019E-3</v>
      </c>
      <c r="H4">
        <f>INDEX($B$18:$GQ$18,MATCH(7,$B$29:$GQ$29,0))</f>
        <v>2.7173541302136319E-3</v>
      </c>
      <c r="I4">
        <f>INDEX($B$18:$GQ$18,MATCH(8,$B$29:$GQ$29,0))</f>
        <v>1.607748772694416E-3</v>
      </c>
      <c r="J4">
        <f>INDEX($B$18:$GQ$18,MATCH(9,$B$29:$GQ$29,0))</f>
        <v>1.2448809519580251E-3</v>
      </c>
      <c r="K4">
        <f>INDEX($B$18:$GQ$18,MATCH(10,$B$29:$GQ$29,0))</f>
        <v>5.6687198859695373E-3</v>
      </c>
      <c r="L4">
        <f>INDEX($B$18:$GQ$18,MATCH(11,$B$29:$GQ$29,0))</f>
        <v>2.6648763588897348E-3</v>
      </c>
      <c r="M4">
        <f>INDEX($B$18:$GQ$18,MATCH(12,$B$29:$GQ$29,0))</f>
        <v>3.1189156220116001E-3</v>
      </c>
      <c r="N4">
        <f>INDEX($B$18:$GQ$18,MATCH(13,$B$29:$GQ$29,0))</f>
        <v>1.270533454436353E-2</v>
      </c>
      <c r="O4">
        <f>INDEX($B$18:$GQ$18,MATCH(14,$B$29:$GQ$29,0))</f>
        <v>3.562284486416305E-3</v>
      </c>
      <c r="P4">
        <f>INDEX($B$18:$GQ$18,MATCH(15,$B$29:$GQ$29,0))</f>
        <v>2.3072882530133839E-3</v>
      </c>
      <c r="Q4">
        <f>INDEX($B$18:$GQ$18,MATCH(16,$B$29:$GQ$29,0))</f>
        <v>2.7672618568921259E-3</v>
      </c>
      <c r="R4">
        <f>INDEX($B$18:$GQ$18,MATCH(17,$B$29:$GQ$29,0))</f>
        <v>9.7694251371234636E-3</v>
      </c>
      <c r="S4">
        <f>INDEX($B$18:$GQ$18,MATCH(18,$B$29:$GQ$29,0))</f>
        <v>1.195780283320063E-2</v>
      </c>
      <c r="T4">
        <f>INDEX($B$18:$GQ$18,MATCH(19,$B$29:$GQ$29,0))</f>
        <v>1.0801043037492119E-3</v>
      </c>
      <c r="U4">
        <f>INDEX($B$18:$GQ$18,MATCH(20,$B$29:$GQ$29,0))</f>
        <v>9.7225207984697609E-3</v>
      </c>
      <c r="V4">
        <f>INDEX($B$18:$GQ$18,MATCH(21,$B$29:$GQ$29,0))</f>
        <v>4.2194792752880024E-3</v>
      </c>
      <c r="W4">
        <f>INDEX($B$18:$GQ$18,MATCH(22,$B$29:$GQ$29,0))</f>
        <v>2.3837460207045062E-3</v>
      </c>
      <c r="X4">
        <f>INDEX($B$18:$GQ$18,MATCH(23,$B$29:$GQ$29,0))</f>
        <v>2.5985127037466038E-3</v>
      </c>
      <c r="Y4">
        <f>INDEX($B$18:$GQ$18,MATCH(24,$B$29:$GQ$29,0))</f>
        <v>5.4158943309958567E-3</v>
      </c>
      <c r="Z4">
        <f>INDEX($B$18:$GQ$18,MATCH(25,$B$29:$GQ$29,0))</f>
        <v>1.400316401424042E-2</v>
      </c>
      <c r="AA4">
        <f>INDEX($B$18:$GQ$18,MATCH(26,$B$29:$GQ$29,0))</f>
        <v>2.1621970697855701E-2</v>
      </c>
      <c r="AB4">
        <f>INDEX($B$18:$GQ$18,MATCH(27,$B$29:$GQ$29,0))</f>
        <v>3.8057941064595911E-3</v>
      </c>
      <c r="AC4">
        <f>INDEX($B$18:$GQ$18,MATCH(28,$B$29:$GQ$29,0))</f>
        <v>7.0202975565978416E-3</v>
      </c>
      <c r="AD4">
        <f>INDEX($B$18:$GQ$18,MATCH(29,$B$29:$GQ$29,0))</f>
        <v>8.3221519747118475E-3</v>
      </c>
      <c r="AE4">
        <f>INDEX($B$18:$GQ$18,MATCH(30,$B$29:$GQ$29,0))</f>
        <v>2.7420083257974391E-3</v>
      </c>
      <c r="AF4">
        <f>INDEX($B$18:$GQ$18,MATCH(31,$B$29:$GQ$29,0))</f>
        <v>4.3556704009729951E-3</v>
      </c>
      <c r="AG4">
        <f>INDEX($B$18:$GQ$18,MATCH(32,$B$29:$GQ$29,0))</f>
        <v>1.325119187609464E-3</v>
      </c>
      <c r="AH4">
        <f>INDEX($B$18:$GQ$18,MATCH(33,$B$29:$GQ$29,0))</f>
        <v>1.643974664511019E-3</v>
      </c>
      <c r="AI4">
        <f>INDEX($B$18:$GQ$18,MATCH(34,$B$29:$GQ$29,0))</f>
        <v>1.022448264043117E-3</v>
      </c>
      <c r="AJ4">
        <f>INDEX($B$18:$GQ$18,MATCH(35,$B$29:$GQ$29,0))</f>
        <v>3.7109843680179209E-3</v>
      </c>
      <c r="AK4">
        <f>INDEX($B$18:$GQ$18,MATCH(36,$B$29:$GQ$29,0))</f>
        <v>1.8883065436050761E-3</v>
      </c>
      <c r="AL4">
        <f>INDEX($B$18:$GQ$18,MATCH(37,$B$29:$GQ$29,0))</f>
        <v>3.242408450216782E-2</v>
      </c>
      <c r="AM4">
        <f>INDEX($B$18:$GQ$18,MATCH(38,$B$29:$GQ$29,0))</f>
        <v>3.4347232445019358E-3</v>
      </c>
      <c r="AN4">
        <f>INDEX($B$18:$GQ$18,MATCH(39,$B$29:$GQ$29,0))</f>
        <v>7.9402037354143508E-3</v>
      </c>
      <c r="AO4">
        <f>INDEX($B$18:$GQ$18,MATCH(40,$B$29:$GQ$29,0))</f>
        <v>1.6541826059354599E-3</v>
      </c>
      <c r="AP4">
        <f>INDEX($B$18:$GQ$18,MATCH(41,$B$29:$GQ$29,0))</f>
        <v>2.6539336455774932E-3</v>
      </c>
      <c r="AQ4">
        <f>INDEX($B$18:$GQ$18,MATCH(42,$B$29:$GQ$29,0))</f>
        <v>1.7652703158731399E-3</v>
      </c>
      <c r="AR4">
        <f>INDEX($B$18:$GQ$18,MATCH(43,$B$29:$GQ$29,0))</f>
        <v>1.875601666230523E-3</v>
      </c>
      <c r="AS4">
        <f>INDEX($B$18:$GQ$18,MATCH(44,$B$29:$GQ$29,0))</f>
        <v>1.331144754307799E-3</v>
      </c>
      <c r="AT4">
        <f>INDEX($B$18:$GQ$18,MATCH(45,$B$29:$GQ$29,0))</f>
        <v>4.7740478253850286E-3</v>
      </c>
      <c r="AU4">
        <f>INDEX($B$18:$GQ$18,MATCH(46,$B$29:$GQ$29,0))</f>
        <v>1.276331941023385E-3</v>
      </c>
      <c r="AV4">
        <f>INDEX($B$18:$GQ$18,MATCH(47,$B$29:$GQ$29,0))</f>
        <v>2.4542197685356489E-3</v>
      </c>
      <c r="AW4">
        <f>INDEX($B$18:$GQ$18,MATCH(48,$B$29:$GQ$29,0))</f>
        <v>2.4393015031832438E-3</v>
      </c>
      <c r="AX4">
        <f>INDEX($B$18:$GQ$18,MATCH(49,$B$29:$GQ$29,0))</f>
        <v>1.2718301353939071E-3</v>
      </c>
      <c r="AY4">
        <f>INDEX($B$18:$GQ$18,MATCH(50,$B$29:$GQ$29,0))</f>
        <v>1.429583759293498E-3</v>
      </c>
      <c r="AZ4">
        <f>INDEX($B$18:$GQ$18,MATCH(51,$B$29:$GQ$29,0))</f>
        <v>1.4561650999263191E-3</v>
      </c>
      <c r="BA4">
        <f>INDEX($B$18:$GQ$18,MATCH(52,$B$29:$GQ$29,0))</f>
        <v>2.1802185906662089E-3</v>
      </c>
      <c r="BB4">
        <f>INDEX($B$18:$GQ$18,MATCH(53,$B$29:$GQ$29,0))</f>
        <v>6.2145670467201241E-4</v>
      </c>
      <c r="BC4">
        <f>INDEX($B$18:$GQ$18,MATCH(54,$B$29:$GQ$29,0))</f>
        <v>1.8734190928365771E-3</v>
      </c>
      <c r="BD4">
        <f>INDEX($B$18:$GQ$18,MATCH(55,$B$29:$GQ$29,0))</f>
        <v>2.2004641347070941E-3</v>
      </c>
      <c r="BE4">
        <f>INDEX($B$18:$GQ$18,MATCH(56,$B$29:$GQ$29,0))</f>
        <v>1.08628554756109E-3</v>
      </c>
      <c r="BF4">
        <f>INDEX($B$18:$GQ$18,MATCH(57,$B$29:$GQ$29,0))</f>
        <v>1.789867526915667E-3</v>
      </c>
      <c r="BG4">
        <f>INDEX($B$18:$GQ$18,MATCH(58,$B$29:$GQ$29,0))</f>
        <v>2.413025744047562E-2</v>
      </c>
      <c r="BH4">
        <f>INDEX($B$18:$GQ$18,MATCH(59,$B$29:$GQ$29,0))</f>
        <v>2.16077695809026E-3</v>
      </c>
      <c r="BI4">
        <f>INDEX($B$18:$GQ$18,MATCH(60,$B$29:$GQ$29,0))</f>
        <v>7.1058517603726336E-3</v>
      </c>
      <c r="BJ4">
        <f>INDEX($B$18:$GQ$18,MATCH(61,$B$29:$GQ$29,0))</f>
        <v>9.2146355626794556E-3</v>
      </c>
      <c r="BK4">
        <f>INDEX($B$18:$GQ$18,MATCH(62,$B$29:$GQ$29,0))</f>
        <v>1.541640966322314E-3</v>
      </c>
      <c r="BL4">
        <f>INDEX($B$18:$GQ$18,MATCH(63,$B$29:$GQ$29,0))</f>
        <v>1.425995210814048E-2</v>
      </c>
      <c r="BM4">
        <f>INDEX($B$18:$GQ$18,MATCH(64,$B$29:$GQ$29,0))</f>
        <v>1.6525301199127511E-3</v>
      </c>
      <c r="BN4">
        <f>INDEX($B$18:$GQ$18,MATCH(65,$B$29:$GQ$29,0))</f>
        <v>2.2244115437708742E-3</v>
      </c>
      <c r="BO4">
        <f>INDEX($B$18:$GQ$18,MATCH(66,$B$29:$GQ$29,0))</f>
        <v>2.3539556379565721E-3</v>
      </c>
      <c r="BP4">
        <f>INDEX($B$18:$GQ$18,MATCH(67,$B$29:$GQ$29,0))</f>
        <v>1.141261497208041E-3</v>
      </c>
      <c r="BQ4">
        <f>INDEX($B$18:$GQ$18,MATCH(68,$B$29:$GQ$29,0))</f>
        <v>9.1767205178947822E-4</v>
      </c>
      <c r="BR4">
        <f>INDEX($B$18:$GQ$18,MATCH(69,$B$29:$GQ$29,0))</f>
        <v>3.098015328101536E-2</v>
      </c>
      <c r="BS4">
        <f>INDEX($B$18:$GQ$18,MATCH(70,$B$29:$GQ$29,0))</f>
        <v>8.1247621736066583E-4</v>
      </c>
      <c r="BT4">
        <f>INDEX($B$18:$GQ$18,MATCH(71,$B$29:$GQ$29,0))</f>
        <v>2.2960796511431129E-3</v>
      </c>
      <c r="BU4">
        <f>INDEX($B$18:$GQ$18,MATCH(72,$B$29:$GQ$29,0))</f>
        <v>1.3569692783646249E-3</v>
      </c>
      <c r="BV4">
        <f>INDEX($B$18:$GQ$18,MATCH(73,$B$29:$GQ$29,0))</f>
        <v>2.485264077689888E-3</v>
      </c>
      <c r="BW4">
        <f>INDEX($B$18:$GQ$18,MATCH(74,$B$29:$GQ$29,0))</f>
        <v>1.8916319052249069E-3</v>
      </c>
      <c r="BX4">
        <f>INDEX($B$18:$GQ$18,MATCH(75,$B$29:$GQ$29,0))</f>
        <v>9.3664701245265737E-4</v>
      </c>
      <c r="BY4">
        <f>INDEX($B$18:$GQ$18,MATCH(76,$B$29:$GQ$29,0))</f>
        <v>3.1433095819681628E-3</v>
      </c>
      <c r="BZ4">
        <f>INDEX($B$18:$GQ$18,MATCH(77,$B$29:$GQ$29,0))</f>
        <v>1.3548878771244639E-3</v>
      </c>
      <c r="CA4">
        <f>INDEX($B$18:$GQ$18,MATCH(78,$B$29:$GQ$29,0))</f>
        <v>2.325823795040329E-3</v>
      </c>
      <c r="CB4">
        <f>INDEX($B$18:$GQ$18,MATCH(79,$B$29:$GQ$29,0))</f>
        <v>9.6286870149418151E-4</v>
      </c>
      <c r="CC4">
        <f>INDEX($B$18:$GQ$18,MATCH(80,$B$29:$GQ$29,0))</f>
        <v>2.1742671171458209E-3</v>
      </c>
      <c r="CD4">
        <f>INDEX($B$18:$GQ$18,MATCH(81,$B$29:$GQ$29,0))</f>
        <v>1.093749763187034E-2</v>
      </c>
      <c r="CE4">
        <f>INDEX($B$18:$GQ$18,MATCH(82,$B$29:$GQ$29,0))</f>
        <v>8.646089589359518E-2</v>
      </c>
      <c r="CF4">
        <f>INDEX($B$18:$GQ$18,MATCH(83,$B$29:$GQ$29,0))</f>
        <v>1.288764923159366E-3</v>
      </c>
      <c r="CG4">
        <f>INDEX($B$18:$GQ$18,MATCH(84,$B$29:$GQ$29,0))</f>
        <v>2.3257939301966168E-3</v>
      </c>
      <c r="CH4">
        <f>INDEX($B$18:$GQ$18,MATCH(85,$B$29:$GQ$29,0))</f>
        <v>2.362880363654308E-3</v>
      </c>
      <c r="CI4">
        <f>INDEX($B$18:$GQ$18,MATCH(86,$B$29:$GQ$29,0))</f>
        <v>1.347157616417559E-3</v>
      </c>
      <c r="CJ4">
        <f>INDEX($B$18:$GQ$18,MATCH(87,$B$29:$GQ$29,0))</f>
        <v>4.1009676148304622E-3</v>
      </c>
      <c r="CK4">
        <f>INDEX($B$18:$GQ$18,MATCH(88,$B$29:$GQ$29,0))</f>
        <v>1.4711349187973869E-3</v>
      </c>
      <c r="CL4">
        <f>INDEX($B$18:$GQ$18,MATCH(89,$B$29:$GQ$29,0))</f>
        <v>1.2740909433971361E-3</v>
      </c>
      <c r="CM4">
        <f>INDEX($B$18:$GQ$18,MATCH(90,$B$29:$GQ$29,0))</f>
        <v>1.321888333322865E-3</v>
      </c>
      <c r="CN4">
        <f>INDEX($B$18:$GQ$18,MATCH(91,$B$29:$GQ$29,0))</f>
        <v>1.373191262746468E-3</v>
      </c>
      <c r="CO4">
        <f>INDEX($B$18:$GQ$18,MATCH(92,$B$29:$GQ$29,0))</f>
        <v>1.3105725554927469E-3</v>
      </c>
      <c r="CP4">
        <f>INDEX($B$18:$GQ$18,MATCH(93,$B$29:$GQ$29,0))</f>
        <v>1.9055175464224861E-3</v>
      </c>
      <c r="CQ4">
        <f>INDEX($B$18:$GQ$18,MATCH(94,$B$29:$GQ$29,0))</f>
        <v>1.6198869429561421E-3</v>
      </c>
      <c r="CR4">
        <f>INDEX($B$18:$GQ$18,MATCH(95,$B$29:$GQ$29,0))</f>
        <v>7.1612193429211341E-4</v>
      </c>
      <c r="CS4">
        <f>INDEX($B$18:$GQ$18,MATCH(96,$B$29:$GQ$29,0))</f>
        <v>1.538358081523566E-3</v>
      </c>
      <c r="CT4">
        <f>INDEX($B$18:$GQ$18,MATCH(97,$B$29:$GQ$29,0))</f>
        <v>1.3321126761405759E-3</v>
      </c>
      <c r="CU4">
        <f>INDEX($B$18:$GQ$18,MATCH(98,$B$29:$GQ$29,0))</f>
        <v>1.726406832391841E-3</v>
      </c>
      <c r="CV4">
        <f>INDEX($B$18:$GQ$18,MATCH(99,$B$29:$GQ$29,0))</f>
        <v>9.5811447529266865E-4</v>
      </c>
      <c r="CW4">
        <f>INDEX($B$18:$GQ$18,MATCH(100,$B$29:$GQ$29,0))</f>
        <v>1.44735037098832E-3</v>
      </c>
      <c r="CX4">
        <f>INDEX($B$18:$GQ$18,MATCH(101,$B$29:$GQ$29,0))</f>
        <v>2.1449869200731659E-3</v>
      </c>
      <c r="CY4">
        <f>INDEX($B$18:$GQ$18,MATCH(102,$B$29:$GQ$29,0))</f>
        <v>1.8850112353233041E-3</v>
      </c>
      <c r="CZ4">
        <f>INDEX($B$18:$GQ$18,MATCH(103,$B$29:$GQ$29,0))</f>
        <v>1.4899996731355741E-3</v>
      </c>
      <c r="DA4">
        <f>INDEX($B$18:$GQ$18,MATCH(104,$B$29:$GQ$29,0))</f>
        <v>1.5675057593587519E-3</v>
      </c>
      <c r="DB4">
        <f>INDEX($B$18:$GQ$18,MATCH(105,$B$29:$GQ$29,0))</f>
        <v>9.5400834292084027E-3</v>
      </c>
      <c r="DC4">
        <f>INDEX($B$18:$GQ$18,MATCH(106,$B$29:$GQ$29,0))</f>
        <v>1.3588969750517961E-3</v>
      </c>
      <c r="DD4">
        <f>INDEX($B$18:$GQ$18,MATCH(107,$B$29:$GQ$29,0))</f>
        <v>1.3662841963145099E-3</v>
      </c>
      <c r="DE4">
        <f>INDEX($B$18:$GQ$18,MATCH(108,$B$29:$GQ$29,0))</f>
        <v>0</v>
      </c>
      <c r="DF4">
        <f>INDEX($B$18:$GQ$18,MATCH(109,$B$29:$GQ$29,0))</f>
        <v>1.313532039428077E-3</v>
      </c>
      <c r="DG4">
        <f>INDEX($B$18:$GQ$18,MATCH(110,$B$29:$GQ$29,0))</f>
        <v>1.837567022539783E-3</v>
      </c>
      <c r="DH4">
        <f>INDEX($B$18:$GQ$18,MATCH(111,$B$29:$GQ$29,0))</f>
        <v>1.7180871738990721E-3</v>
      </c>
      <c r="DI4">
        <f>INDEX($B$18:$GQ$18,MATCH(112,$B$29:$GQ$29,0))</f>
        <v>1.3769328862979231E-3</v>
      </c>
      <c r="DJ4">
        <f>INDEX($B$18:$GQ$18,MATCH(113,$B$29:$GQ$29,0))</f>
        <v>1.1947098866292791E-3</v>
      </c>
      <c r="DK4">
        <f>INDEX($B$18:$GQ$18,MATCH(114,$B$29:$GQ$29,0))</f>
        <v>1.502160117714963E-3</v>
      </c>
      <c r="DL4">
        <f>INDEX($B$18:$GQ$18,MATCH(115,$B$29:$GQ$29,0))</f>
        <v>3.3662341830919739E-3</v>
      </c>
      <c r="DM4">
        <f>INDEX($B$18:$GQ$18,MATCH(116,$B$29:$GQ$29,0))</f>
        <v>2.1443782059508531E-4</v>
      </c>
      <c r="DN4">
        <f>INDEX($B$18:$GQ$18,MATCH(117,$B$29:$GQ$29,0))</f>
        <v>1.885804351305367E-3</v>
      </c>
      <c r="DO4">
        <f>INDEX($B$18:$GQ$18,MATCH(118,$B$29:$GQ$29,0))</f>
        <v>1.2805518741468981E-3</v>
      </c>
      <c r="DP4">
        <f>INDEX($B$18:$GQ$18,MATCH(119,$B$29:$GQ$29,0))</f>
        <v>2.7961132896252229E-3</v>
      </c>
      <c r="DQ4">
        <f>INDEX($B$18:$GQ$18,MATCH(120,$B$29:$GQ$29,0))</f>
        <v>3.4329414791366961E-3</v>
      </c>
      <c r="DR4">
        <f>INDEX($B$18:$GQ$18,MATCH(121,$B$29:$GQ$29,0))</f>
        <v>0</v>
      </c>
      <c r="DS4">
        <f>INDEX($B$18:$GQ$18,MATCH(122,$B$29:$GQ$29,0))</f>
        <v>1.578493797857519E-3</v>
      </c>
      <c r="DT4">
        <f>INDEX($B$18:$GQ$18,MATCH(123,$B$29:$GQ$29,0))</f>
        <v>1.01673990768755E-2</v>
      </c>
      <c r="DU4">
        <f>INDEX($B$18:$GQ$18,MATCH(124,$B$29:$GQ$29,0))</f>
        <v>3.1232507357359688E-3</v>
      </c>
      <c r="DV4">
        <f>INDEX($B$18:$GQ$18,MATCH(125,$B$29:$GQ$29,0))</f>
        <v>1.153003124257279E-3</v>
      </c>
      <c r="DW4">
        <f>INDEX($B$18:$GQ$18,MATCH(126,$B$29:$GQ$29,0))</f>
        <v>0</v>
      </c>
      <c r="DX4">
        <f>INDEX($B$18:$GQ$18,MATCH(127,$B$29:$GQ$29,0))</f>
        <v>0</v>
      </c>
      <c r="DY4">
        <f>INDEX($B$18:$GQ$18,MATCH(128,$B$29:$GQ$29,0))</f>
        <v>3.0464066764519329E-3</v>
      </c>
      <c r="DZ4">
        <f>INDEX($B$18:$GQ$18,MATCH(129,$B$29:$GQ$29,0))</f>
        <v>2.3993813791640681E-3</v>
      </c>
      <c r="EA4">
        <f>INDEX($B$18:$GQ$18,MATCH(130,$B$29:$GQ$29,0))</f>
        <v>1.55940498152596E-4</v>
      </c>
      <c r="EB4">
        <f>INDEX($B$18:$GQ$18,MATCH(131,$B$29:$GQ$29,0))</f>
        <v>0</v>
      </c>
      <c r="EC4">
        <f>INDEX($B$18:$GQ$18,MATCH(132,$B$29:$GQ$29,0))</f>
        <v>2.4879818631716719E-3</v>
      </c>
      <c r="ED4">
        <f>INDEX($B$18:$GQ$18,MATCH(133,$B$29:$GQ$29,0))</f>
        <v>2.1162773680316058E-3</v>
      </c>
      <c r="EE4">
        <f>INDEX($B$18:$GQ$18,MATCH(134,$B$29:$GQ$29,0))</f>
        <v>1.5195012512501019E-4</v>
      </c>
      <c r="EF4">
        <f>INDEX($B$18:$GQ$18,MATCH(135,$B$29:$GQ$29,0))</f>
        <v>3.947949030816196E-2</v>
      </c>
      <c r="EG4">
        <f>INDEX($B$18:$GQ$18,MATCH(136,$B$29:$GQ$29,0))</f>
        <v>1.6458150596952971E-2</v>
      </c>
      <c r="EH4">
        <f>INDEX($B$18:$GQ$18,MATCH(137,$B$29:$GQ$29,0))</f>
        <v>1.468179816441623E-2</v>
      </c>
      <c r="EI4">
        <f>INDEX($B$18:$GQ$18,MATCH(138,$B$29:$GQ$29,0))</f>
        <v>0</v>
      </c>
      <c r="EJ4">
        <f>INDEX($B$18:$GQ$18,MATCH(139,$B$29:$GQ$29,0))</f>
        <v>0</v>
      </c>
      <c r="EK4">
        <f>INDEX($B$18:$GQ$18,MATCH(140,$B$29:$GQ$29,0))</f>
        <v>0</v>
      </c>
      <c r="EL4">
        <f>INDEX($B$18:$GQ$18,MATCH(141,$B$29:$GQ$29,0))</f>
        <v>0</v>
      </c>
      <c r="EM4">
        <f>INDEX($B$18:$GQ$18,MATCH(142,$B$29:$GQ$29,0))</f>
        <v>0</v>
      </c>
      <c r="EN4">
        <f>INDEX($B$18:$GQ$18,MATCH(143,$B$29:$GQ$29,0))</f>
        <v>0</v>
      </c>
      <c r="EO4">
        <f>INDEX($B$18:$GQ$18,MATCH(144,$B$29:$GQ$29,0))</f>
        <v>0</v>
      </c>
      <c r="EP4">
        <f>INDEX($B$18:$GQ$18,MATCH(145,$B$29:$GQ$29,0))</f>
        <v>5.6890621410482858E-3</v>
      </c>
      <c r="EQ4">
        <f>INDEX($B$18:$GQ$18,MATCH(146,$B$29:$GQ$29,0))</f>
        <v>4.2666830431556499E-4</v>
      </c>
      <c r="ER4">
        <f>INDEX($B$18:$GQ$18,MATCH(147,$B$29:$GQ$29,0))</f>
        <v>0</v>
      </c>
      <c r="ES4">
        <f>INDEX($B$18:$GQ$18,MATCH(148,$B$29:$GQ$29,0))</f>
        <v>0</v>
      </c>
      <c r="ET4">
        <f>INDEX($B$18:$GQ$18,MATCH(149,$B$29:$GQ$29,0))</f>
        <v>0</v>
      </c>
      <c r="EU4">
        <f>INDEX($B$18:$GQ$18,MATCH(150,$B$29:$GQ$29,0))</f>
        <v>0</v>
      </c>
      <c r="EV4">
        <f>INDEX($B$18:$GQ$18,MATCH(151,$B$29:$GQ$29,0))</f>
        <v>0</v>
      </c>
      <c r="EW4">
        <f>INDEX($B$18:$GQ$18,MATCH(152,$B$29:$GQ$29,0))</f>
        <v>0</v>
      </c>
      <c r="EX4">
        <f>INDEX($B$18:$GQ$18,MATCH(153,$B$29:$GQ$29,0))</f>
        <v>0</v>
      </c>
      <c r="EY4">
        <f>INDEX($B$18:$GQ$18,MATCH(154,$B$29:$GQ$29,0))</f>
        <v>0</v>
      </c>
      <c r="EZ4">
        <f>INDEX($B$18:$GQ$18,MATCH(155,$B$29:$GQ$29,0))</f>
        <v>6.6206978170191202E-4</v>
      </c>
      <c r="FA4">
        <f>INDEX($B$18:$GQ$18,MATCH(156,$B$29:$GQ$29,0))</f>
        <v>5.5379710088123162E-4</v>
      </c>
      <c r="FB4">
        <f>INDEX($B$18:$GQ$18,MATCH(157,$B$29:$GQ$29,0))</f>
        <v>1.570808187531631E-5</v>
      </c>
      <c r="FC4">
        <f>INDEX($B$18:$GQ$18,MATCH(158,$B$29:$GQ$29,0))</f>
        <v>3.4882573802196909E-4</v>
      </c>
      <c r="FD4">
        <f>INDEX($B$18:$GQ$18,MATCH(159,$B$29:$GQ$29,0))</f>
        <v>2.1422509499777662E-3</v>
      </c>
      <c r="FE4">
        <f>INDEX($B$18:$GQ$18,MATCH(160,$B$29:$GQ$29,0))</f>
        <v>2.0260887364259498E-3</v>
      </c>
      <c r="FF4">
        <f>INDEX($B$18:$GQ$18,MATCH(161,$B$29:$GQ$29,0))</f>
        <v>0</v>
      </c>
      <c r="FG4">
        <f>INDEX($B$18:$GQ$18,MATCH(162,$B$29:$GQ$29,0))</f>
        <v>3.4962506375163511E-3</v>
      </c>
      <c r="FH4">
        <f>INDEX($B$18:$GQ$18,MATCH(163,$B$29:$GQ$29,0))</f>
        <v>0</v>
      </c>
      <c r="FI4">
        <f>INDEX($B$18:$GQ$18,MATCH(164,$B$29:$GQ$29,0))</f>
        <v>1.092291120578391E-5</v>
      </c>
      <c r="FJ4">
        <f>INDEX($B$18:$GQ$18,MATCH(165,$B$29:$GQ$29,0))</f>
        <v>2.084897781482175E-3</v>
      </c>
      <c r="FK4">
        <f>INDEX($B$18:$GQ$18,MATCH(166,$B$29:$GQ$29,0))</f>
        <v>0</v>
      </c>
      <c r="FL4">
        <f>INDEX($B$18:$GQ$18,MATCH(167,$B$29:$GQ$29,0))</f>
        <v>1.145275605147002E-3</v>
      </c>
      <c r="FM4">
        <f>INDEX($B$18:$GQ$18,MATCH(168,$B$29:$GQ$29,0))</f>
        <v>2.343826719594697E-3</v>
      </c>
      <c r="FN4">
        <f>INDEX($B$18:$GQ$18,MATCH(169,$B$29:$GQ$29,0))</f>
        <v>3.9617287910940586E-3</v>
      </c>
      <c r="FO4">
        <f>INDEX($B$18:$GQ$18,MATCH(170,$B$29:$GQ$29,0))</f>
        <v>4.3334304902413988E-4</v>
      </c>
      <c r="FP4">
        <f>INDEX($B$18:$GQ$18,MATCH(171,$B$29:$GQ$29,0))</f>
        <v>4.8281122311862908E-4</v>
      </c>
      <c r="FQ4">
        <f>INDEX($B$18:$GQ$18,MATCH(172,$B$29:$GQ$29,0))</f>
        <v>7.2634363808385979E-4</v>
      </c>
      <c r="FR4">
        <f>INDEX($B$18:$GQ$18,MATCH(173,$B$29:$GQ$29,0))</f>
        <v>4.6225379569752928E-4</v>
      </c>
      <c r="FS4">
        <f>INDEX($B$18:$GQ$18,MATCH(174,$B$29:$GQ$29,0))</f>
        <v>1.27003318856124E-5</v>
      </c>
      <c r="FT4">
        <f>INDEX($B$18:$GQ$18,MATCH(175,$B$29:$GQ$29,0))</f>
        <v>0</v>
      </c>
      <c r="FU4">
        <f>INDEX($B$18:$GQ$18,MATCH(176,$B$29:$GQ$29,0))</f>
        <v>9.126306263259542E-4</v>
      </c>
      <c r="FV4">
        <f>INDEX($B$18:$GQ$18,MATCH(177,$B$29:$GQ$29,0))</f>
        <v>0</v>
      </c>
      <c r="FW4">
        <f>INDEX($B$18:$GQ$18,MATCH(178,$B$29:$GQ$29,0))</f>
        <v>2.1585354408848261E-3</v>
      </c>
      <c r="FX4">
        <f>INDEX($B$18:$GQ$18,MATCH(179,$B$29:$GQ$29,0))</f>
        <v>1.729482391244781E-3</v>
      </c>
      <c r="FY4">
        <f>INDEX($B$18:$GQ$18,MATCH(180,$B$29:$GQ$29,0))</f>
        <v>0</v>
      </c>
      <c r="FZ4">
        <f>INDEX($B$18:$GQ$18,MATCH(181,$B$29:$GQ$29,0))</f>
        <v>4.1772396262115836E-3</v>
      </c>
      <c r="GA4">
        <f>INDEX($B$18:$GQ$18,MATCH(182,$B$29:$GQ$29,0))</f>
        <v>5.0859510096835127E-3</v>
      </c>
      <c r="GB4">
        <f>INDEX($B$18:$GQ$18,MATCH(183,$B$29:$GQ$29,0))</f>
        <v>3.9904927564874118E-3</v>
      </c>
      <c r="GC4">
        <f>INDEX($B$18:$GQ$18,MATCH(184,$B$29:$GQ$29,0))</f>
        <v>0</v>
      </c>
      <c r="GD4">
        <f>INDEX($B$18:$GQ$18,MATCH(185,$B$29:$GQ$29,0))</f>
        <v>0</v>
      </c>
      <c r="GE4">
        <f>INDEX($B$18:$GQ$18,MATCH(186,$B$29:$GQ$29,0))</f>
        <v>0</v>
      </c>
      <c r="GF4">
        <f>INDEX($B$18:$GQ$18,MATCH(187,$B$29:$GQ$29,0))</f>
        <v>0</v>
      </c>
      <c r="GG4">
        <f>INDEX($B$18:$GQ$18,MATCH(188,$B$29:$GQ$29,0))</f>
        <v>0</v>
      </c>
      <c r="GH4">
        <f>INDEX($B$18:$GQ$18,MATCH(189,$B$29:$GQ$29,0))</f>
        <v>0</v>
      </c>
      <c r="GI4">
        <f>INDEX($B$18:$GQ$18,MATCH(190,$B$29:$GQ$29,0))</f>
        <v>0</v>
      </c>
      <c r="GJ4">
        <f>INDEX($B$18:$GQ$18,MATCH(191,$B$29:$GQ$29,0))</f>
        <v>2.3770649885491689E-4</v>
      </c>
      <c r="GK4">
        <f>INDEX($B$18:$GQ$18,MATCH(192,$B$29:$GQ$29,0))</f>
        <v>4.874587233665493E-4</v>
      </c>
      <c r="GL4">
        <f>INDEX($B$18:$GQ$18,MATCH(193,$B$29:$GQ$29,0))</f>
        <v>4.2540104595836288E-11</v>
      </c>
      <c r="GM4">
        <f>INDEX($B$18:$GQ$18,MATCH(194,$B$29:$GQ$29,0))</f>
        <v>0</v>
      </c>
      <c r="GN4">
        <f>INDEX($B$18:$GQ$18,MATCH(195,$B$29:$GQ$29,0))</f>
        <v>1.011014623964139E-3</v>
      </c>
      <c r="GO4">
        <f>INDEX($B$18:$GQ$18,MATCH(196,$B$29:$GQ$29,0))</f>
        <v>0</v>
      </c>
      <c r="GP4">
        <f>INDEX($B$18:$GQ$18,MATCH(197,$B$29:$GQ$29,0))</f>
        <v>2.0489890958752068E-3</v>
      </c>
      <c r="GQ4">
        <f>INDEX($B$18:$GQ$18,MATCH(198,$B$29:$GQ$29,0))</f>
        <v>0</v>
      </c>
      <c r="GR4">
        <f>INDEX($GR$18:$HC$18,MATCH(1,$GR$30:$HC$30,0))</f>
        <v>1.090395846112651E-2</v>
      </c>
      <c r="GS4">
        <f>INDEX($GR$18:$HC$18,MATCH(2,$GR$30:$HC$30,0))</f>
        <v>6.9510458760091206E-3</v>
      </c>
      <c r="GT4">
        <f>INDEX($GR$18:$HC$18,MATCH(3,$GR$30:$HC$30,0))</f>
        <v>1.4012202425833121E-3</v>
      </c>
      <c r="GU4">
        <f>INDEX($GR$18:$HC$18,MATCH(4,$GR$30:$HC$30,0))</f>
        <v>1.394599777962304E-2</v>
      </c>
      <c r="GV4">
        <f>INDEX($GR$18:$HC$18,MATCH(5,$GR$30:$HC$30,0))</f>
        <v>1.6867002870050449E-3</v>
      </c>
      <c r="GW4">
        <f>INDEX($GR$18:$HC$18,MATCH(6,$GR$30:$HC$30,0))</f>
        <v>4.0830050244570187E-3</v>
      </c>
      <c r="GX4">
        <f>INDEX($GR$18:$HC$18,MATCH(7,$GR$30:$HC$30,0))</f>
        <v>2.729546819647041E-3</v>
      </c>
      <c r="GY4">
        <f>INDEX($GR$18:$HC$18,MATCH(8,$GR$30:$HC$30,0))</f>
        <v>2.849903264649093E-3</v>
      </c>
      <c r="GZ4">
        <f>INDEX($GR$18:$HC$18,MATCH(9,$GR$30:$HC$30,0))</f>
        <v>1.8808786740729909E-2</v>
      </c>
      <c r="HA4">
        <f>INDEX($GR$18:$HC$18,MATCH(10,$GR$30:$HC$30,0))</f>
        <v>2.7173541302136319E-3</v>
      </c>
      <c r="HB4">
        <f>INDEX($GR$18:$HC$18,MATCH(11,$GR$30:$HC$30,0))</f>
        <v>1.331872143645281E-2</v>
      </c>
      <c r="HC4">
        <f>INDEX($GR$18:$HC$18,MATCH(12,$GR$30:$HC$30,0))</f>
        <v>1.299656568573484E-2</v>
      </c>
    </row>
    <row r="5" spans="1:211" x14ac:dyDescent="0.45">
      <c r="A5" s="1" t="s">
        <v>4</v>
      </c>
      <c r="B5">
        <f>INDEX($B$19:$GQ$19,MATCH(1,$B$29:$GQ$29,0))</f>
        <v>1.234526811096269E-2</v>
      </c>
      <c r="C5">
        <f>INDEX($B$19:$GQ$19,MATCH(2,$B$29:$GQ$29,0))</f>
        <v>1.197568644668176E-2</v>
      </c>
      <c r="D5">
        <f>INDEX($B$19:$GQ$19,MATCH(3,$B$29:$GQ$29,0))</f>
        <v>7.2383169954463528E-3</v>
      </c>
      <c r="E5">
        <f>INDEX($B$19:$GQ$19,MATCH(4,$B$29:$GQ$29,0))</f>
        <v>3.8814846163342481E-3</v>
      </c>
      <c r="F5">
        <f>INDEX($B$19:$GQ$19,MATCH(5,$B$29:$GQ$29,0))</f>
        <v>3.9129674109826082E-2</v>
      </c>
      <c r="G5">
        <f>INDEX($B$19:$GQ$19,MATCH(6,$B$29:$GQ$29,0))</f>
        <v>1.478395386265327E-4</v>
      </c>
      <c r="H5">
        <f>INDEX($B$19:$GQ$19,MATCH(7,$B$29:$GQ$29,0))</f>
        <v>1.2488870590321791E-3</v>
      </c>
      <c r="I5">
        <f>INDEX($B$19:$GQ$19,MATCH(8,$B$29:$GQ$29,0))</f>
        <v>1.080180089515019E-4</v>
      </c>
      <c r="J5">
        <f>INDEX($B$19:$GQ$19,MATCH(9,$B$29:$GQ$29,0))</f>
        <v>9.4847696386020811E-5</v>
      </c>
      <c r="K5">
        <f>INDEX($B$19:$GQ$19,MATCH(10,$B$29:$GQ$29,0))</f>
        <v>6.7207154962268343E-3</v>
      </c>
      <c r="L5">
        <f>INDEX($B$19:$GQ$19,MATCH(11,$B$29:$GQ$29,0))</f>
        <v>2.4222793764983099</v>
      </c>
      <c r="M5">
        <f>INDEX($B$19:$GQ$19,MATCH(12,$B$29:$GQ$29,0))</f>
        <v>1.013034347946113E-3</v>
      </c>
      <c r="N5">
        <f>INDEX($B$19:$GQ$19,MATCH(13,$B$29:$GQ$29,0))</f>
        <v>1.231884629023784E-2</v>
      </c>
      <c r="O5">
        <f>INDEX($B$19:$GQ$19,MATCH(14,$B$29:$GQ$29,0))</f>
        <v>7.3519052564317757E-4</v>
      </c>
      <c r="P5">
        <f>INDEX($B$19:$GQ$19,MATCH(15,$B$29:$GQ$29,0))</f>
        <v>4.0252217615569018E-4</v>
      </c>
      <c r="Q5">
        <f>INDEX($B$19:$GQ$19,MATCH(16,$B$29:$GQ$29,0))</f>
        <v>1.260608836889162E-4</v>
      </c>
      <c r="R5">
        <f>INDEX($B$19:$GQ$19,MATCH(17,$B$29:$GQ$29,0))</f>
        <v>9.3055141181992759E-3</v>
      </c>
      <c r="S5">
        <f>INDEX($B$19:$GQ$19,MATCH(18,$B$29:$GQ$29,0))</f>
        <v>1.768109500653128E-2</v>
      </c>
      <c r="T5">
        <f>INDEX($B$19:$GQ$19,MATCH(19,$B$29:$GQ$29,0))</f>
        <v>2.3334338378871021E-4</v>
      </c>
      <c r="U5">
        <f>INDEX($B$19:$GQ$19,MATCH(20,$B$29:$GQ$29,0))</f>
        <v>5.8364085995432522E-3</v>
      </c>
      <c r="V5">
        <f>INDEX($B$19:$GQ$19,MATCH(21,$B$29:$GQ$29,0))</f>
        <v>5.2390484172702115E-4</v>
      </c>
      <c r="W5">
        <f>INDEX($B$19:$GQ$19,MATCH(22,$B$29:$GQ$29,0))</f>
        <v>1.1472930585297889E-4</v>
      </c>
      <c r="X5">
        <f>INDEX($B$19:$GQ$19,MATCH(23,$B$29:$GQ$29,0))</f>
        <v>2.9770031685991301E-4</v>
      </c>
      <c r="Y5">
        <f>INDEX($B$19:$GQ$19,MATCH(24,$B$29:$GQ$29,0))</f>
        <v>2.7867349458730252E-3</v>
      </c>
      <c r="Z5">
        <f>INDEX($B$19:$GQ$19,MATCH(25,$B$29:$GQ$29,0))</f>
        <v>2.0322879803886331E-2</v>
      </c>
      <c r="AA5">
        <f>INDEX($B$19:$GQ$19,MATCH(26,$B$29:$GQ$29,0))</f>
        <v>2.555488337831888E-2</v>
      </c>
      <c r="AB5">
        <f>INDEX($B$19:$GQ$19,MATCH(27,$B$29:$GQ$29,0))</f>
        <v>1.220216222582799E-4</v>
      </c>
      <c r="AC5">
        <f>INDEX($B$19:$GQ$19,MATCH(28,$B$29:$GQ$29,0))</f>
        <v>1.087403116834253E-2</v>
      </c>
      <c r="AD5">
        <f>INDEX($B$19:$GQ$19,MATCH(29,$B$29:$GQ$29,0))</f>
        <v>8.9558922844381694E-5</v>
      </c>
      <c r="AE5">
        <f>INDEX($B$19:$GQ$19,MATCH(30,$B$29:$GQ$29,0))</f>
        <v>2.5801520281541611E-2</v>
      </c>
      <c r="AF5">
        <f>INDEX($B$19:$GQ$19,MATCH(31,$B$29:$GQ$29,0))</f>
        <v>2.984424523801578E-4</v>
      </c>
      <c r="AG5">
        <f>INDEX($B$19:$GQ$19,MATCH(32,$B$29:$GQ$29,0))</f>
        <v>4.117434911303527E-5</v>
      </c>
      <c r="AH5">
        <f>INDEX($B$19:$GQ$19,MATCH(33,$B$29:$GQ$29,0))</f>
        <v>7.8444669342692258E-5</v>
      </c>
      <c r="AI5">
        <f>INDEX($B$19:$GQ$19,MATCH(34,$B$29:$GQ$29,0))</f>
        <v>7.6532084715098101E-5</v>
      </c>
      <c r="AJ5">
        <f>INDEX($B$19:$GQ$19,MATCH(35,$B$29:$GQ$29,0))</f>
        <v>3.9936016670404713E-5</v>
      </c>
      <c r="AK5">
        <f>INDEX($B$19:$GQ$19,MATCH(36,$B$29:$GQ$29,0))</f>
        <v>1.5770961872333129E-4</v>
      </c>
      <c r="AL5">
        <f>INDEX($B$19:$GQ$19,MATCH(37,$B$29:$GQ$29,0))</f>
        <v>2.9232514726646699E-2</v>
      </c>
      <c r="AM5">
        <f>INDEX($B$19:$GQ$19,MATCH(38,$B$29:$GQ$29,0))</f>
        <v>1.384392548323978E-2</v>
      </c>
      <c r="AN5">
        <f>INDEX($B$19:$GQ$19,MATCH(39,$B$29:$GQ$29,0))</f>
        <v>6.4267755613160054E-5</v>
      </c>
      <c r="AO5">
        <f>INDEX($B$19:$GQ$19,MATCH(40,$B$29:$GQ$29,0))</f>
        <v>2.7524140007376299E-3</v>
      </c>
      <c r="AP5">
        <f>INDEX($B$19:$GQ$19,MATCH(41,$B$29:$GQ$29,0))</f>
        <v>2.220805526716634E-5</v>
      </c>
      <c r="AQ5">
        <f>INDEX($B$19:$GQ$19,MATCH(42,$B$29:$GQ$29,0))</f>
        <v>6.998242125007815E-5</v>
      </c>
      <c r="AR5">
        <f>INDEX($B$19:$GQ$19,MATCH(43,$B$29:$GQ$29,0))</f>
        <v>4.6485377144521157E-4</v>
      </c>
      <c r="AS5">
        <f>INDEX($B$19:$GQ$19,MATCH(44,$B$29:$GQ$29,0))</f>
        <v>5.4612478812186438E-5</v>
      </c>
      <c r="AT5">
        <f>INDEX($B$19:$GQ$19,MATCH(45,$B$29:$GQ$29,0))</f>
        <v>2.058460997564585E-3</v>
      </c>
      <c r="AU5">
        <f>INDEX($B$19:$GQ$19,MATCH(46,$B$29:$GQ$29,0))</f>
        <v>1.252484871190408E-4</v>
      </c>
      <c r="AV5">
        <f>INDEX($B$19:$GQ$19,MATCH(47,$B$29:$GQ$29,0))</f>
        <v>1.107235157638454E-4</v>
      </c>
      <c r="AW5">
        <f>INDEX($B$19:$GQ$19,MATCH(48,$B$29:$GQ$29,0))</f>
        <v>9.7118997039244922E-5</v>
      </c>
      <c r="AX5">
        <f>INDEX($B$19:$GQ$19,MATCH(49,$B$29:$GQ$29,0))</f>
        <v>4.1228438079267078E-2</v>
      </c>
      <c r="AY5">
        <f>INDEX($B$19:$GQ$19,MATCH(50,$B$29:$GQ$29,0))</f>
        <v>6.179522575539192E-5</v>
      </c>
      <c r="AZ5">
        <f>INDEX($B$19:$GQ$19,MATCH(51,$B$29:$GQ$29,0))</f>
        <v>3.581956571377169E-3</v>
      </c>
      <c r="BA5">
        <f>INDEX($B$19:$GQ$19,MATCH(52,$B$29:$GQ$29,0))</f>
        <v>1.00289472609345E-4</v>
      </c>
      <c r="BB5">
        <f>INDEX($B$19:$GQ$19,MATCH(53,$B$29:$GQ$29,0))</f>
        <v>1.9596064824829759E-5</v>
      </c>
      <c r="BC5">
        <f>INDEX($B$19:$GQ$19,MATCH(54,$B$29:$GQ$29,0))</f>
        <v>1.5703951485139471E-4</v>
      </c>
      <c r="BD5">
        <f>INDEX($B$19:$GQ$19,MATCH(55,$B$29:$GQ$29,0))</f>
        <v>8.8187799162584444E-5</v>
      </c>
      <c r="BE5">
        <f>INDEX($B$19:$GQ$19,MATCH(56,$B$29:$GQ$29,0))</f>
        <v>4.2116380997074751E-2</v>
      </c>
      <c r="BF5">
        <f>INDEX($B$19:$GQ$19,MATCH(57,$B$29:$GQ$29,0))</f>
        <v>1.917905249532315E-4</v>
      </c>
      <c r="BG5">
        <f>INDEX($B$19:$GQ$19,MATCH(58,$B$29:$GQ$29,0))</f>
        <v>4.4857609664669378E-3</v>
      </c>
      <c r="BH5">
        <f>INDEX($B$19:$GQ$19,MATCH(59,$B$29:$GQ$29,0))</f>
        <v>1.144779975264786E-4</v>
      </c>
      <c r="BI5">
        <f>INDEX($B$19:$GQ$19,MATCH(60,$B$29:$GQ$29,0))</f>
        <v>2.2518643526033201E-2</v>
      </c>
      <c r="BJ5">
        <f>INDEX($B$19:$GQ$19,MATCH(61,$B$29:$GQ$29,0))</f>
        <v>5.8483513451459404E-4</v>
      </c>
      <c r="BK5">
        <f>INDEX($B$19:$GQ$19,MATCH(62,$B$29:$GQ$29,0))</f>
        <v>7.2248615920604293E-4</v>
      </c>
      <c r="BL5">
        <f>INDEX($B$19:$GQ$19,MATCH(63,$B$29:$GQ$29,0))</f>
        <v>1.855641022160248E-4</v>
      </c>
      <c r="BM5">
        <f>INDEX($B$19:$GQ$19,MATCH(64,$B$29:$GQ$29,0))</f>
        <v>7.307962760508205E-5</v>
      </c>
      <c r="BN5">
        <f>INDEX($B$19:$GQ$19,MATCH(65,$B$29:$GQ$29,0))</f>
        <v>6.1519126993090948E-5</v>
      </c>
      <c r="BO5">
        <f>INDEX($B$19:$GQ$19,MATCH(66,$B$29:$GQ$29,0))</f>
        <v>3.0981973205026629E-4</v>
      </c>
      <c r="BP5">
        <f>INDEX($B$19:$GQ$19,MATCH(67,$B$29:$GQ$29,0))</f>
        <v>1.134080294575273</v>
      </c>
      <c r="BQ5">
        <f>INDEX($B$19:$GQ$19,MATCH(68,$B$29:$GQ$29,0))</f>
        <v>7.1702864547450989E-5</v>
      </c>
      <c r="BR5">
        <f>INDEX($B$19:$GQ$19,MATCH(69,$B$29:$GQ$29,0))</f>
        <v>3.6253457991708517E-2</v>
      </c>
      <c r="BS5">
        <f>INDEX($B$19:$GQ$19,MATCH(70,$B$29:$GQ$29,0))</f>
        <v>4.5528035715962328E-5</v>
      </c>
      <c r="BT5">
        <f>INDEX($B$19:$GQ$19,MATCH(71,$B$29:$GQ$29,0))</f>
        <v>3.117107364919618E-4</v>
      </c>
      <c r="BU5">
        <f>INDEX($B$19:$GQ$19,MATCH(72,$B$29:$GQ$29,0))</f>
        <v>9.0876003946614467E-5</v>
      </c>
      <c r="BV5">
        <f>INDEX($B$19:$GQ$19,MATCH(73,$B$29:$GQ$29,0))</f>
        <v>3.8820018307380482E-4</v>
      </c>
      <c r="BW5">
        <f>INDEX($B$19:$GQ$19,MATCH(74,$B$29:$GQ$29,0))</f>
        <v>5.453916752319073E-3</v>
      </c>
      <c r="BX5">
        <f>INDEX($B$19:$GQ$19,MATCH(75,$B$29:$GQ$29,0))</f>
        <v>5.9744233690166701E-5</v>
      </c>
      <c r="BY5">
        <f>INDEX($B$19:$GQ$19,MATCH(76,$B$29:$GQ$29,0))</f>
        <v>4.3405895712267519E-4</v>
      </c>
      <c r="BZ5">
        <f>INDEX($B$19:$GQ$19,MATCH(77,$B$29:$GQ$29,0))</f>
        <v>1.5589142813570209E-4</v>
      </c>
      <c r="CA5">
        <f>INDEX($B$19:$GQ$19,MATCH(78,$B$29:$GQ$29,0))</f>
        <v>5.3369721062798301E-4</v>
      </c>
      <c r="CB5">
        <f>INDEX($B$19:$GQ$19,MATCH(79,$B$29:$GQ$29,0))</f>
        <v>3.6325488298800327E-4</v>
      </c>
      <c r="CC5">
        <f>INDEX($B$19:$GQ$19,MATCH(80,$B$29:$GQ$29,0))</f>
        <v>2.339835892120534E-5</v>
      </c>
      <c r="CD5">
        <f>INDEX($B$19:$GQ$19,MATCH(81,$B$29:$GQ$29,0))</f>
        <v>1.3664888287284219E-3</v>
      </c>
      <c r="CE5">
        <f>INDEX($B$19:$GQ$19,MATCH(82,$B$29:$GQ$29,0))</f>
        <v>1.3501796864790849E-3</v>
      </c>
      <c r="CF5">
        <f>INDEX($B$19:$GQ$19,MATCH(83,$B$29:$GQ$29,0))</f>
        <v>8.214090743470207E-5</v>
      </c>
      <c r="CG5">
        <f>INDEX($B$19:$GQ$19,MATCH(84,$B$29:$GQ$29,0))</f>
        <v>1.0902362148702669E-4</v>
      </c>
      <c r="CH5">
        <f>INDEX($B$19:$GQ$19,MATCH(85,$B$29:$GQ$29,0))</f>
        <v>1.9319154770311791E-4</v>
      </c>
      <c r="CI5">
        <f>INDEX($B$19:$GQ$19,MATCH(86,$B$29:$GQ$29,0))</f>
        <v>9.0436351969976113E-5</v>
      </c>
      <c r="CJ5">
        <f>INDEX($B$19:$GQ$19,MATCH(87,$B$29:$GQ$29,0))</f>
        <v>1.632155511336506E-4</v>
      </c>
      <c r="CK5">
        <f>INDEX($B$19:$GQ$19,MATCH(88,$B$29:$GQ$29,0))</f>
        <v>2.322072241194175E-4</v>
      </c>
      <c r="CL5">
        <f>INDEX($B$19:$GQ$19,MATCH(89,$B$29:$GQ$29,0))</f>
        <v>8.9635527641273574E-5</v>
      </c>
      <c r="CM5">
        <f>INDEX($B$19:$GQ$19,MATCH(90,$B$29:$GQ$29,0))</f>
        <v>9.0355446252347776E-5</v>
      </c>
      <c r="CN5">
        <f>INDEX($B$19:$GQ$19,MATCH(91,$B$29:$GQ$29,0))</f>
        <v>8.0971795348099739E-5</v>
      </c>
      <c r="CO5">
        <f>INDEX($B$19:$GQ$19,MATCH(92,$B$29:$GQ$29,0))</f>
        <v>9.0500198758612681E-5</v>
      </c>
      <c r="CP5">
        <f>INDEX($B$19:$GQ$19,MATCH(93,$B$29:$GQ$29,0))</f>
        <v>1.3299414083744969E-4</v>
      </c>
      <c r="CQ5">
        <f>INDEX($B$19:$GQ$19,MATCH(94,$B$29:$GQ$29,0))</f>
        <v>9.0087382492481623E-5</v>
      </c>
      <c r="CR5">
        <f>INDEX($B$19:$GQ$19,MATCH(95,$B$29:$GQ$29,0))</f>
        <v>6.7188710153786628E-5</v>
      </c>
      <c r="CS5">
        <f>INDEX($B$19:$GQ$19,MATCH(96,$B$29:$GQ$29,0))</f>
        <v>8.0450736984268132E-5</v>
      </c>
      <c r="CT5">
        <f>INDEX($B$19:$GQ$19,MATCH(97,$B$29:$GQ$29,0))</f>
        <v>9.5657255434873579E-5</v>
      </c>
      <c r="CU5">
        <f>INDEX($B$19:$GQ$19,MATCH(98,$B$29:$GQ$29,0))</f>
        <v>1.6198572358998341E-4</v>
      </c>
      <c r="CV5">
        <f>INDEX($B$19:$GQ$19,MATCH(99,$B$29:$GQ$29,0))</f>
        <v>1.3519142309723401E-4</v>
      </c>
      <c r="CW5">
        <f>INDEX($B$19:$GQ$19,MATCH(100,$B$29:$GQ$29,0))</f>
        <v>8.9221538050500453E-5</v>
      </c>
      <c r="CX5">
        <f>INDEX($B$19:$GQ$19,MATCH(101,$B$29:$GQ$29,0))</f>
        <v>2.3083243183582601E-5</v>
      </c>
      <c r="CY5">
        <f>INDEX($B$19:$GQ$19,MATCH(102,$B$29:$GQ$29,0))</f>
        <v>2.1673086144702531E-4</v>
      </c>
      <c r="CZ5">
        <f>INDEX($B$19:$GQ$19,MATCH(103,$B$29:$GQ$29,0))</f>
        <v>7.9992246099470991E-5</v>
      </c>
      <c r="DA5">
        <f>INDEX($B$19:$GQ$19,MATCH(104,$B$29:$GQ$29,0))</f>
        <v>9.0347870337448779E-5</v>
      </c>
      <c r="DB5">
        <f>INDEX($B$19:$GQ$19,MATCH(105,$B$29:$GQ$29,0))</f>
        <v>4.3302354674847651E-4</v>
      </c>
      <c r="DC5">
        <f>INDEX($B$19:$GQ$19,MATCH(106,$B$29:$GQ$29,0))</f>
        <v>8.8384697408481916E-5</v>
      </c>
      <c r="DD5">
        <f>INDEX($B$19:$GQ$19,MATCH(107,$B$29:$GQ$29,0))</f>
        <v>7.9285196444785146E-5</v>
      </c>
      <c r="DE5">
        <f>INDEX($B$19:$GQ$19,MATCH(108,$B$29:$GQ$29,0))</f>
        <v>0</v>
      </c>
      <c r="DF5">
        <f>INDEX($B$19:$GQ$19,MATCH(109,$B$29:$GQ$29,0))</f>
        <v>8.6488571144091293E-5</v>
      </c>
      <c r="DG5">
        <f>INDEX($B$19:$GQ$19,MATCH(110,$B$29:$GQ$29,0))</f>
        <v>1.0095973112462661E-3</v>
      </c>
      <c r="DH5">
        <f>INDEX($B$19:$GQ$19,MATCH(111,$B$29:$GQ$29,0))</f>
        <v>7.8094230073115929E-5</v>
      </c>
      <c r="DI5">
        <f>INDEX($B$19:$GQ$19,MATCH(112,$B$29:$GQ$29,0))</f>
        <v>9.0596047329517758E-5</v>
      </c>
      <c r="DJ5">
        <f>INDEX($B$19:$GQ$19,MATCH(113,$B$29:$GQ$29,0))</f>
        <v>7.9123584563904763E-5</v>
      </c>
      <c r="DK5">
        <f>INDEX($B$19:$GQ$19,MATCH(114,$B$29:$GQ$29,0))</f>
        <v>7.7792404202682423E-5</v>
      </c>
      <c r="DL5">
        <f>INDEX($B$19:$GQ$19,MATCH(115,$B$29:$GQ$29,0))</f>
        <v>8.1375811201956762E-5</v>
      </c>
      <c r="DM5">
        <f>INDEX($B$19:$GQ$19,MATCH(116,$B$29:$GQ$29,0))</f>
        <v>3.44858653237819E-5</v>
      </c>
      <c r="DN5">
        <f>INDEX($B$19:$GQ$19,MATCH(117,$B$29:$GQ$29,0))</f>
        <v>4.2672764037678286E-3</v>
      </c>
      <c r="DO5">
        <f>INDEX($B$19:$GQ$19,MATCH(118,$B$29:$GQ$29,0))</f>
        <v>1.378065354321601E-5</v>
      </c>
      <c r="DP5">
        <f>INDEX($B$19:$GQ$19,MATCH(119,$B$29:$GQ$29,0))</f>
        <v>1.9395977857352141E-4</v>
      </c>
      <c r="DQ5">
        <f>INDEX($B$19:$GQ$19,MATCH(120,$B$29:$GQ$29,0))</f>
        <v>1.167326945474084E-4</v>
      </c>
      <c r="DR5">
        <f>INDEX($B$19:$GQ$19,MATCH(121,$B$29:$GQ$29,0))</f>
        <v>0</v>
      </c>
      <c r="DS5">
        <f>INDEX($B$19:$GQ$19,MATCH(122,$B$29:$GQ$29,0))</f>
        <v>2.0699329188010051E-4</v>
      </c>
      <c r="DT5">
        <f>INDEX($B$19:$GQ$19,MATCH(123,$B$29:$GQ$29,0))</f>
        <v>3.6537385047357408E-5</v>
      </c>
      <c r="DU5">
        <f>INDEX($B$19:$GQ$19,MATCH(124,$B$29:$GQ$29,0))</f>
        <v>2.7014327846846062E-4</v>
      </c>
      <c r="DV5">
        <f>INDEX($B$19:$GQ$19,MATCH(125,$B$29:$GQ$29,0))</f>
        <v>7.1975320010934677E-5</v>
      </c>
      <c r="DW5">
        <f>INDEX($B$19:$GQ$19,MATCH(126,$B$29:$GQ$29,0))</f>
        <v>0</v>
      </c>
      <c r="DX5">
        <f>INDEX($B$19:$GQ$19,MATCH(127,$B$29:$GQ$29,0))</f>
        <v>0</v>
      </c>
      <c r="DY5">
        <f>INDEX($B$19:$GQ$19,MATCH(128,$B$29:$GQ$29,0))</f>
        <v>8.1220967299511619E-5</v>
      </c>
      <c r="DZ5">
        <f>INDEX($B$19:$GQ$19,MATCH(129,$B$29:$GQ$29,0))</f>
        <v>1.054473122584327E-4</v>
      </c>
      <c r="EA5">
        <f>INDEX($B$19:$GQ$19,MATCH(130,$B$29:$GQ$29,0))</f>
        <v>1.717646944000203E-6</v>
      </c>
      <c r="EB5">
        <f>INDEX($B$19:$GQ$19,MATCH(131,$B$29:$GQ$29,0))</f>
        <v>0</v>
      </c>
      <c r="EC5">
        <f>INDEX($B$19:$GQ$19,MATCH(132,$B$29:$GQ$29,0))</f>
        <v>1.594506055051496E-3</v>
      </c>
      <c r="ED5">
        <f>INDEX($B$19:$GQ$19,MATCH(133,$B$29:$GQ$29,0))</f>
        <v>1.5620152129272439E-4</v>
      </c>
      <c r="EE5">
        <f>INDEX($B$19:$GQ$19,MATCH(134,$B$29:$GQ$29,0))</f>
        <v>1.3551931768308149E-3</v>
      </c>
      <c r="EF5">
        <f>INDEX($B$19:$GQ$19,MATCH(135,$B$29:$GQ$29,0))</f>
        <v>9.8252277382161093E-2</v>
      </c>
      <c r="EG5">
        <f>INDEX($B$19:$GQ$19,MATCH(136,$B$29:$GQ$29,0))</f>
        <v>3.6881984584527787E-2</v>
      </c>
      <c r="EH5">
        <f>INDEX($B$19:$GQ$19,MATCH(137,$B$29:$GQ$29,0))</f>
        <v>4.1039916409251077E-3</v>
      </c>
      <c r="EI5">
        <f>INDEX($B$19:$GQ$19,MATCH(138,$B$29:$GQ$29,0))</f>
        <v>0</v>
      </c>
      <c r="EJ5">
        <f>INDEX($B$19:$GQ$19,MATCH(139,$B$29:$GQ$29,0))</f>
        <v>0</v>
      </c>
      <c r="EK5">
        <f>INDEX($B$19:$GQ$19,MATCH(140,$B$29:$GQ$29,0))</f>
        <v>0</v>
      </c>
      <c r="EL5">
        <f>INDEX($B$19:$GQ$19,MATCH(141,$B$29:$GQ$29,0))</f>
        <v>0</v>
      </c>
      <c r="EM5">
        <f>INDEX($B$19:$GQ$19,MATCH(142,$B$29:$GQ$29,0))</f>
        <v>0</v>
      </c>
      <c r="EN5">
        <f>INDEX($B$19:$GQ$19,MATCH(143,$B$29:$GQ$29,0))</f>
        <v>0</v>
      </c>
      <c r="EO5">
        <f>INDEX($B$19:$GQ$19,MATCH(144,$B$29:$GQ$29,0))</f>
        <v>0</v>
      </c>
      <c r="EP5">
        <f>INDEX($B$19:$GQ$19,MATCH(145,$B$29:$GQ$29,0))</f>
        <v>9.0346722678967523E-5</v>
      </c>
      <c r="EQ5">
        <f>INDEX($B$19:$GQ$19,MATCH(146,$B$29:$GQ$29,0))</f>
        <v>6.6634937843997387E-6</v>
      </c>
      <c r="ER5">
        <f>INDEX($B$19:$GQ$19,MATCH(147,$B$29:$GQ$29,0))</f>
        <v>0</v>
      </c>
      <c r="ES5">
        <f>INDEX($B$19:$GQ$19,MATCH(148,$B$29:$GQ$29,0))</f>
        <v>0</v>
      </c>
      <c r="ET5">
        <f>INDEX($B$19:$GQ$19,MATCH(149,$B$29:$GQ$29,0))</f>
        <v>0</v>
      </c>
      <c r="EU5">
        <f>INDEX($B$19:$GQ$19,MATCH(150,$B$29:$GQ$29,0))</f>
        <v>0</v>
      </c>
      <c r="EV5">
        <f>INDEX($B$19:$GQ$19,MATCH(151,$B$29:$GQ$29,0))</f>
        <v>0</v>
      </c>
      <c r="EW5">
        <f>INDEX($B$19:$GQ$19,MATCH(152,$B$29:$GQ$29,0))</f>
        <v>0</v>
      </c>
      <c r="EX5">
        <f>INDEX($B$19:$GQ$19,MATCH(153,$B$29:$GQ$29,0))</f>
        <v>0</v>
      </c>
      <c r="EY5">
        <f>INDEX($B$19:$GQ$19,MATCH(154,$B$29:$GQ$29,0))</f>
        <v>0</v>
      </c>
      <c r="EZ5">
        <f>INDEX($B$19:$GQ$19,MATCH(155,$B$29:$GQ$29,0))</f>
        <v>7.327556890458557E-7</v>
      </c>
      <c r="FA5">
        <f>INDEX($B$19:$GQ$19,MATCH(156,$B$29:$GQ$29,0))</f>
        <v>7.9679431036980232E-5</v>
      </c>
      <c r="FB5">
        <f>INDEX($B$19:$GQ$19,MATCH(157,$B$29:$GQ$29,0))</f>
        <v>2.3233715986949229E-6</v>
      </c>
      <c r="FC5">
        <f>INDEX($B$19:$GQ$19,MATCH(158,$B$29:$GQ$29,0))</f>
        <v>4.7602314734739589E-5</v>
      </c>
      <c r="FD5">
        <f>INDEX($B$19:$GQ$19,MATCH(159,$B$29:$GQ$29,0))</f>
        <v>5.6013387069963618E-4</v>
      </c>
      <c r="FE5">
        <f>INDEX($B$19:$GQ$19,MATCH(160,$B$29:$GQ$29,0))</f>
        <v>1.058179593737934E-4</v>
      </c>
      <c r="FF5">
        <f>INDEX($B$19:$GQ$19,MATCH(161,$B$29:$GQ$29,0))</f>
        <v>0</v>
      </c>
      <c r="FG5">
        <f>INDEX($B$19:$GQ$19,MATCH(162,$B$29:$GQ$29,0))</f>
        <v>3.8509417009827169E-5</v>
      </c>
      <c r="FH5">
        <f>INDEX($B$19:$GQ$19,MATCH(163,$B$29:$GQ$29,0))</f>
        <v>0</v>
      </c>
      <c r="FI5">
        <f>INDEX($B$19:$GQ$19,MATCH(164,$B$29:$GQ$29,0))</f>
        <v>1.175485039046506E-7</v>
      </c>
      <c r="FJ5">
        <f>INDEX($B$19:$GQ$19,MATCH(165,$B$29:$GQ$29,0))</f>
        <v>2.2436980936109609E-5</v>
      </c>
      <c r="FK5">
        <f>INDEX($B$19:$GQ$19,MATCH(166,$B$29:$GQ$29,0))</f>
        <v>0</v>
      </c>
      <c r="FL5">
        <f>INDEX($B$19:$GQ$19,MATCH(167,$B$29:$GQ$29,0))</f>
        <v>1.2324862690640079E-5</v>
      </c>
      <c r="FM5">
        <f>INDEX($B$19:$GQ$19,MATCH(168,$B$29:$GQ$29,0))</f>
        <v>2.5223512597619139E-5</v>
      </c>
      <c r="FN5">
        <f>INDEX($B$19:$GQ$19,MATCH(169,$B$29:$GQ$29,0))</f>
        <v>4.2634812670484508E-5</v>
      </c>
      <c r="FO5">
        <f>INDEX($B$19:$GQ$19,MATCH(170,$B$29:$GQ$29,0))</f>
        <v>4.6635005461595484E-6</v>
      </c>
      <c r="FP5">
        <f>INDEX($B$19:$GQ$19,MATCH(171,$B$29:$GQ$29,0))</f>
        <v>5.1958319819247094E-6</v>
      </c>
      <c r="FQ5">
        <f>INDEX($B$19:$GQ$19,MATCH(172,$B$29:$GQ$29,0))</f>
        <v>7.8166003726634469E-6</v>
      </c>
      <c r="FR5">
        <f>INDEX($B$19:$GQ$19,MATCH(173,$B$29:$GQ$29,0))</f>
        <v>4.9745396949216724E-6</v>
      </c>
      <c r="FS5">
        <f>INDEX($B$19:$GQ$19,MATCH(174,$B$29:$GQ$29,0))</f>
        <v>3.739364169821556E-6</v>
      </c>
      <c r="FT5">
        <f>INDEX($B$19:$GQ$19,MATCH(175,$B$29:$GQ$29,0))</f>
        <v>0</v>
      </c>
      <c r="FU5">
        <f>INDEX($B$19:$GQ$19,MATCH(176,$B$29:$GQ$29,0))</f>
        <v>8.5631182758821932E-5</v>
      </c>
      <c r="FV5">
        <f>INDEX($B$19:$GQ$19,MATCH(177,$B$29:$GQ$29,0))</f>
        <v>0</v>
      </c>
      <c r="FW5">
        <f>INDEX($B$19:$GQ$19,MATCH(178,$B$29:$GQ$29,0))</f>
        <v>1.271332380515861E-3</v>
      </c>
      <c r="FX5">
        <f>INDEX($B$19:$GQ$19,MATCH(179,$B$29:$GQ$29,0))</f>
        <v>1.0577072644274089E-4</v>
      </c>
      <c r="FY5">
        <f>INDEX($B$19:$GQ$19,MATCH(180,$B$29:$GQ$29,0))</f>
        <v>0</v>
      </c>
      <c r="FZ5">
        <f>INDEX($B$19:$GQ$19,MATCH(181,$B$29:$GQ$29,0))</f>
        <v>4.2323623939680127E-3</v>
      </c>
      <c r="GA5">
        <f>INDEX($B$19:$GQ$19,MATCH(182,$B$29:$GQ$29,0))</f>
        <v>4.6454047917265363E-5</v>
      </c>
      <c r="GB5">
        <f>INDEX($B$19:$GQ$19,MATCH(183,$B$29:$GQ$29,0))</f>
        <v>2.0469280727319539E-4</v>
      </c>
      <c r="GC5">
        <f>INDEX($B$19:$GQ$19,MATCH(184,$B$29:$GQ$29,0))</f>
        <v>0</v>
      </c>
      <c r="GD5">
        <f>INDEX($B$19:$GQ$19,MATCH(185,$B$29:$GQ$29,0))</f>
        <v>0</v>
      </c>
      <c r="GE5">
        <f>INDEX($B$19:$GQ$19,MATCH(186,$B$29:$GQ$29,0))</f>
        <v>0</v>
      </c>
      <c r="GF5">
        <f>INDEX($B$19:$GQ$19,MATCH(187,$B$29:$GQ$29,0))</f>
        <v>0</v>
      </c>
      <c r="GG5">
        <f>INDEX($B$19:$GQ$19,MATCH(188,$B$29:$GQ$29,0))</f>
        <v>0</v>
      </c>
      <c r="GH5">
        <f>INDEX($B$19:$GQ$19,MATCH(189,$B$29:$GQ$29,0))</f>
        <v>0</v>
      </c>
      <c r="GI5">
        <f>INDEX($B$19:$GQ$19,MATCH(190,$B$29:$GQ$29,0))</f>
        <v>0</v>
      </c>
      <c r="GJ5">
        <f>INDEX($B$19:$GQ$19,MATCH(191,$B$29:$GQ$29,0))</f>
        <v>1.093986015984023E-5</v>
      </c>
      <c r="GK5">
        <f>INDEX($B$19:$GQ$19,MATCH(192,$B$29:$GQ$29,0))</f>
        <v>2.2424539123469979E-5</v>
      </c>
      <c r="GL5">
        <f>INDEX($B$19:$GQ$19,MATCH(193,$B$29:$GQ$29,0))</f>
        <v>2.295518873107448E-12</v>
      </c>
      <c r="GM5">
        <f>INDEX($B$19:$GQ$19,MATCH(194,$B$29:$GQ$29,0))</f>
        <v>0</v>
      </c>
      <c r="GN5">
        <f>INDEX($B$19:$GQ$19,MATCH(195,$B$29:$GQ$29,0))</f>
        <v>4.6519363759577499E-5</v>
      </c>
      <c r="GO5">
        <f>INDEX($B$19:$GQ$19,MATCH(196,$B$29:$GQ$29,0))</f>
        <v>0</v>
      </c>
      <c r="GP5">
        <f>INDEX($B$19:$GQ$19,MATCH(197,$B$29:$GQ$29,0))</f>
        <v>8.8914823546730427E-5</v>
      </c>
      <c r="GQ5">
        <f>INDEX($B$19:$GQ$19,MATCH(198,$B$29:$GQ$29,0))</f>
        <v>0</v>
      </c>
      <c r="GR5">
        <f>INDEX($GR$19:$HC$19,MATCH(1,$GR$30:$HC$30,0))</f>
        <v>1.978121676628062E-2</v>
      </c>
      <c r="GS5">
        <f>INDEX($GR$19:$HC$19,MATCH(2,$GR$30:$HC$30,0))</f>
        <v>1.237187903215824E-2</v>
      </c>
      <c r="GT5">
        <f>INDEX($GR$19:$HC$19,MATCH(3,$GR$30:$HC$30,0))</f>
        <v>1.568064955543976E-4</v>
      </c>
      <c r="GU5">
        <f>INDEX($GR$19:$HC$19,MATCH(4,$GR$30:$HC$30,0))</f>
        <v>9.5493034926584404E-3</v>
      </c>
      <c r="GV5">
        <f>INDEX($GR$19:$HC$19,MATCH(5,$GR$30:$HC$30,0))</f>
        <v>2.0423242577591341E-4</v>
      </c>
      <c r="GW5">
        <f>INDEX($GR$19:$HC$19,MATCH(6,$GR$30:$HC$30,0))</f>
        <v>1.842777767271105E-3</v>
      </c>
      <c r="GX5">
        <f>INDEX($GR$19:$HC$19,MATCH(7,$GR$30:$HC$30,0))</f>
        <v>1.2865132778527321E-4</v>
      </c>
      <c r="GY5">
        <f>INDEX($GR$19:$HC$19,MATCH(8,$GR$30:$HC$30,0))</f>
        <v>3.4115978911623932E-4</v>
      </c>
      <c r="GZ5">
        <f>INDEX($GR$19:$HC$19,MATCH(9,$GR$30:$HC$30,0))</f>
        <v>3.9129674109826082E-2</v>
      </c>
      <c r="HA5">
        <f>INDEX($GR$19:$HC$19,MATCH(10,$GR$30:$HC$30,0))</f>
        <v>1.2488870590321791E-3</v>
      </c>
      <c r="HB5">
        <f>INDEX($GR$19:$HC$19,MATCH(11,$GR$30:$HC$30,0))</f>
        <v>1.2376431700380251E-2</v>
      </c>
      <c r="HC5">
        <f>INDEX($GR$19:$HC$19,MATCH(12,$GR$30:$HC$30,0))</f>
        <v>1.270027301651877E-2</v>
      </c>
    </row>
    <row r="6" spans="1:211" x14ac:dyDescent="0.45">
      <c r="A6" s="1" t="s">
        <v>5</v>
      </c>
      <c r="B6">
        <f>INDEX($B$20:$GQ$20,MATCH(1,$B$29:$GQ$29,0))</f>
        <v>0.2277439410874586</v>
      </c>
      <c r="C6">
        <f>INDEX($B$20:$GQ$20,MATCH(2,$B$29:$GQ$29,0))</f>
        <v>6.2028916632749877E-2</v>
      </c>
      <c r="D6">
        <f>INDEX($B$20:$GQ$20,MATCH(3,$B$29:$GQ$29,0))</f>
        <v>1.816476571257717E-2</v>
      </c>
      <c r="E6">
        <f>INDEX($B$20:$GQ$20,MATCH(4,$B$29:$GQ$29,0))</f>
        <v>0.95028472143175513</v>
      </c>
      <c r="F6">
        <f>INDEX($B$20:$GQ$20,MATCH(5,$B$29:$GQ$29,0))</f>
        <v>5.2310988068181533E-2</v>
      </c>
      <c r="G6">
        <f>INDEX($B$20:$GQ$20,MATCH(6,$B$29:$GQ$29,0))</f>
        <v>8.173820988230442E-3</v>
      </c>
      <c r="H6">
        <f>INDEX($B$20:$GQ$20,MATCH(7,$B$29:$GQ$29,0))</f>
        <v>1.966754482242326E-2</v>
      </c>
      <c r="I6">
        <f>INDEX($B$20:$GQ$20,MATCH(8,$B$29:$GQ$29,0))</f>
        <v>5.8368765944619852E-3</v>
      </c>
      <c r="J6">
        <f>INDEX($B$20:$GQ$20,MATCH(9,$B$29:$GQ$29,0))</f>
        <v>2.3362082702972969E-3</v>
      </c>
      <c r="K6">
        <f>INDEX($B$20:$GQ$20,MATCH(10,$B$29:$GQ$29,0))</f>
        <v>4.3219236369606569E-2</v>
      </c>
      <c r="L6">
        <f>INDEX($B$20:$GQ$20,MATCH(11,$B$29:$GQ$29,0))</f>
        <v>1.3328171225564049</v>
      </c>
      <c r="M6">
        <f>INDEX($B$20:$GQ$20,MATCH(12,$B$29:$GQ$29,0))</f>
        <v>2.4685327101498782E-2</v>
      </c>
      <c r="N6">
        <f>INDEX($B$20:$GQ$20,MATCH(13,$B$29:$GQ$29,0))</f>
        <v>3.038463206928195E-2</v>
      </c>
      <c r="O6">
        <f>INDEX($B$20:$GQ$20,MATCH(14,$B$29:$GQ$29,0))</f>
        <v>2.9378939665925131E-2</v>
      </c>
      <c r="P6">
        <f>INDEX($B$20:$GQ$20,MATCH(15,$B$29:$GQ$29,0))</f>
        <v>6.903261776447624E-3</v>
      </c>
      <c r="Q6">
        <f>INDEX($B$20:$GQ$20,MATCH(16,$B$29:$GQ$29,0))</f>
        <v>4.2430717392266514E-3</v>
      </c>
      <c r="R6">
        <f>INDEX($B$20:$GQ$20,MATCH(17,$B$29:$GQ$29,0))</f>
        <v>3.3511526911392427E-2</v>
      </c>
      <c r="S6">
        <f>INDEX($B$20:$GQ$20,MATCH(18,$B$29:$GQ$29,0))</f>
        <v>6.7486711966965374E-2</v>
      </c>
      <c r="T6">
        <f>INDEX($B$20:$GQ$20,MATCH(19,$B$29:$GQ$29,0))</f>
        <v>5.1513452291485004E-3</v>
      </c>
      <c r="U6">
        <f>INDEX($B$20:$GQ$20,MATCH(20,$B$29:$GQ$29,0))</f>
        <v>3.2491936668038318E-2</v>
      </c>
      <c r="V6">
        <f>INDEX($B$20:$GQ$20,MATCH(21,$B$29:$GQ$29,0))</f>
        <v>1.548081210731005E-2</v>
      </c>
      <c r="W6">
        <f>INDEX($B$20:$GQ$20,MATCH(22,$B$29:$GQ$29,0))</f>
        <v>1.0867868679712881E-2</v>
      </c>
      <c r="X6">
        <f>INDEX($B$20:$GQ$20,MATCH(23,$B$29:$GQ$29,0))</f>
        <v>7.1978698553291559E-2</v>
      </c>
      <c r="Y6">
        <f>INDEX($B$20:$GQ$20,MATCH(24,$B$29:$GQ$29,0))</f>
        <v>2.107529901001624E-2</v>
      </c>
      <c r="Z6">
        <f>INDEX($B$20:$GQ$20,MATCH(25,$B$29:$GQ$29,0))</f>
        <v>3.4344639361272557E-2</v>
      </c>
      <c r="AA6">
        <f>INDEX($B$20:$GQ$20,MATCH(26,$B$29:$GQ$29,0))</f>
        <v>0.13417933798355369</v>
      </c>
      <c r="AB6">
        <f>INDEX($B$20:$GQ$20,MATCH(27,$B$29:$GQ$29,0))</f>
        <v>5.8343623444973014E-3</v>
      </c>
      <c r="AC6">
        <f>INDEX($B$20:$GQ$20,MATCH(28,$B$29:$GQ$29,0))</f>
        <v>7.7872545737435975E-2</v>
      </c>
      <c r="AD6">
        <f>INDEX($B$20:$GQ$20,MATCH(29,$B$29:$GQ$29,0))</f>
        <v>0.13924386970785119</v>
      </c>
      <c r="AE6">
        <f>INDEX($B$20:$GQ$20,MATCH(30,$B$29:$GQ$29,0))</f>
        <v>7.2206490229433234E-2</v>
      </c>
      <c r="AF6">
        <f>INDEX($B$20:$GQ$20,MATCH(31,$B$29:$GQ$29,0))</f>
        <v>1.6859394072887071E-2</v>
      </c>
      <c r="AG6">
        <f>INDEX($B$20:$GQ$20,MATCH(32,$B$29:$GQ$29,0))</f>
        <v>3.1434734555306379E-3</v>
      </c>
      <c r="AH6">
        <f>INDEX($B$20:$GQ$20,MATCH(33,$B$29:$GQ$29,0))</f>
        <v>2.382556509411468E-3</v>
      </c>
      <c r="AI6">
        <f>INDEX($B$20:$GQ$20,MATCH(34,$B$29:$GQ$29,0))</f>
        <v>2.6926962903046818E-3</v>
      </c>
      <c r="AJ6">
        <f>INDEX($B$20:$GQ$20,MATCH(35,$B$29:$GQ$29,0))</f>
        <v>3.4677886932704791E-3</v>
      </c>
      <c r="AK6">
        <f>INDEX($B$20:$GQ$20,MATCH(36,$B$29:$GQ$29,0))</f>
        <v>9.3101209797600004E-3</v>
      </c>
      <c r="AL6">
        <f>INDEX($B$20:$GQ$20,MATCH(37,$B$29:$GQ$29,0))</f>
        <v>0.10169582871506</v>
      </c>
      <c r="AM6">
        <f>INDEX($B$20:$GQ$20,MATCH(38,$B$29:$GQ$29,0))</f>
        <v>0.32124295191833291</v>
      </c>
      <c r="AN6">
        <f>INDEX($B$20:$GQ$20,MATCH(39,$B$29:$GQ$29,0))</f>
        <v>8.7823521270002664E-3</v>
      </c>
      <c r="AO6">
        <f>INDEX($B$20:$GQ$20,MATCH(40,$B$29:$GQ$29,0))</f>
        <v>2.3780195329551661E-2</v>
      </c>
      <c r="AP6">
        <f>INDEX($B$20:$GQ$20,MATCH(41,$B$29:$GQ$29,0))</f>
        <v>1.393940322693993E-2</v>
      </c>
      <c r="AQ6">
        <f>INDEX($B$20:$GQ$20,MATCH(42,$B$29:$GQ$29,0))</f>
        <v>4.0907091654631411E-3</v>
      </c>
      <c r="AR6">
        <f>INDEX($B$20:$GQ$20,MATCH(43,$B$29:$GQ$29,0))</f>
        <v>0.1737185317119328</v>
      </c>
      <c r="AS6">
        <f>INDEX($B$20:$GQ$20,MATCH(44,$B$29:$GQ$29,0))</f>
        <v>4.5083026335289624E-3</v>
      </c>
      <c r="AT6">
        <f>INDEX($B$20:$GQ$20,MATCH(45,$B$29:$GQ$29,0))</f>
        <v>8.6106801854329961E-3</v>
      </c>
      <c r="AU6">
        <f>INDEX($B$20:$GQ$20,MATCH(46,$B$29:$GQ$29,0))</f>
        <v>4.6428429504051074E-3</v>
      </c>
      <c r="AV6">
        <f>INDEX($B$20:$GQ$20,MATCH(47,$B$29:$GQ$29,0))</f>
        <v>7.7669589290511633E-3</v>
      </c>
      <c r="AW6">
        <f>INDEX($B$20:$GQ$20,MATCH(48,$B$29:$GQ$29,0))</f>
        <v>1.368426348838871E-2</v>
      </c>
      <c r="AX6">
        <f>INDEX($B$20:$GQ$20,MATCH(49,$B$29:$GQ$29,0))</f>
        <v>0.13533524278948619</v>
      </c>
      <c r="AY6">
        <f>INDEX($B$20:$GQ$20,MATCH(50,$B$29:$GQ$29,0))</f>
        <v>2.0282539385726751E-3</v>
      </c>
      <c r="AZ6">
        <f>INDEX($B$20:$GQ$20,MATCH(51,$B$29:$GQ$29,0))</f>
        <v>0.1690485249701402</v>
      </c>
      <c r="BA6">
        <f>INDEX($B$20:$GQ$20,MATCH(52,$B$29:$GQ$29,0))</f>
        <v>0</v>
      </c>
      <c r="BB6">
        <f>INDEX($B$20:$GQ$20,MATCH(53,$B$29:$GQ$29,0))</f>
        <v>4.1480873332004628E-3</v>
      </c>
      <c r="BC6">
        <f>INDEX($B$20:$GQ$20,MATCH(54,$B$29:$GQ$29,0))</f>
        <v>8.2407750526811516E-3</v>
      </c>
      <c r="BD6">
        <f>INDEX($B$20:$GQ$20,MATCH(55,$B$29:$GQ$29,0))</f>
        <v>2.767051336813799E-3</v>
      </c>
      <c r="BE6">
        <f>INDEX($B$20:$GQ$20,MATCH(56,$B$29:$GQ$29,0))</f>
        <v>0.14532585305569881</v>
      </c>
      <c r="BF6">
        <f>INDEX($B$20:$GQ$20,MATCH(57,$B$29:$GQ$29,0))</f>
        <v>3.660415895035424E-3</v>
      </c>
      <c r="BG6">
        <f>INDEX($B$20:$GQ$20,MATCH(58,$B$29:$GQ$29,0))</f>
        <v>4.9977694090506369E-2</v>
      </c>
      <c r="BH6">
        <f>INDEX($B$20:$GQ$20,MATCH(59,$B$29:$GQ$29,0))</f>
        <v>4.2507236364966042E-3</v>
      </c>
      <c r="BI6">
        <f>INDEX($B$20:$GQ$20,MATCH(60,$B$29:$GQ$29,0))</f>
        <v>9.0829635285740909E-2</v>
      </c>
      <c r="BJ6">
        <f>INDEX($B$20:$GQ$20,MATCH(61,$B$29:$GQ$29,0))</f>
        <v>0</v>
      </c>
      <c r="BK6">
        <f>INDEX($B$20:$GQ$20,MATCH(62,$B$29:$GQ$29,0))</f>
        <v>5.8458870664931679E-3</v>
      </c>
      <c r="BL6">
        <f>INDEX($B$20:$GQ$20,MATCH(63,$B$29:$GQ$29,0))</f>
        <v>9.4380751139946789E-3</v>
      </c>
      <c r="BM6">
        <f>INDEX($B$20:$GQ$20,MATCH(64,$B$29:$GQ$29,0))</f>
        <v>1.747498950746188E-3</v>
      </c>
      <c r="BN6">
        <f>INDEX($B$20:$GQ$20,MATCH(65,$B$29:$GQ$29,0))</f>
        <v>2.661843165069002E-3</v>
      </c>
      <c r="BO6">
        <f>INDEX($B$20:$GQ$20,MATCH(66,$B$29:$GQ$29,0))</f>
        <v>9.0846419726033738E-3</v>
      </c>
      <c r="BP6">
        <f>INDEX($B$20:$GQ$20,MATCH(67,$B$29:$GQ$29,0))</f>
        <v>0.29509998725286279</v>
      </c>
      <c r="BQ6">
        <f>INDEX($B$20:$GQ$20,MATCH(68,$B$29:$GQ$29,0))</f>
        <v>0</v>
      </c>
      <c r="BR6">
        <f>INDEX($B$20:$GQ$20,MATCH(69,$B$29:$GQ$29,0))</f>
        <v>0</v>
      </c>
      <c r="BS6">
        <f>INDEX($B$20:$GQ$20,MATCH(70,$B$29:$GQ$29,0))</f>
        <v>6.1155659117204299E-3</v>
      </c>
      <c r="BT6">
        <f>INDEX($B$20:$GQ$20,MATCH(71,$B$29:$GQ$29,0))</f>
        <v>7.1340040042048017E-3</v>
      </c>
      <c r="BU6">
        <f>INDEX($B$20:$GQ$20,MATCH(72,$B$29:$GQ$29,0))</f>
        <v>0</v>
      </c>
      <c r="BV6">
        <f>INDEX($B$20:$GQ$20,MATCH(73,$B$29:$GQ$29,0))</f>
        <v>9.3696900412643513E-3</v>
      </c>
      <c r="BW6">
        <f>INDEX($B$20:$GQ$20,MATCH(74,$B$29:$GQ$29,0))</f>
        <v>0.15511745796326321</v>
      </c>
      <c r="BX6">
        <f>INDEX($B$20:$GQ$20,MATCH(75,$B$29:$GQ$29,0))</f>
        <v>7.3599839437301874E-3</v>
      </c>
      <c r="BY6">
        <f>INDEX($B$20:$GQ$20,MATCH(76,$B$29:$GQ$29,0))</f>
        <v>0</v>
      </c>
      <c r="BZ6">
        <f>INDEX($B$20:$GQ$20,MATCH(77,$B$29:$GQ$29,0))</f>
        <v>2.9523727784776781E-3</v>
      </c>
      <c r="CA6">
        <f>INDEX($B$20:$GQ$20,MATCH(78,$B$29:$GQ$29,0))</f>
        <v>7.5954269857209421E-3</v>
      </c>
      <c r="CB6">
        <f>INDEX($B$20:$GQ$20,MATCH(79,$B$29:$GQ$29,0))</f>
        <v>0</v>
      </c>
      <c r="CC6">
        <f>INDEX($B$20:$GQ$20,MATCH(80,$B$29:$GQ$29,0))</f>
        <v>3.110992549584113E-3</v>
      </c>
      <c r="CD6">
        <f>INDEX($B$20:$GQ$20,MATCH(81,$B$29:$GQ$29,0))</f>
        <v>7.8678619764657731E-3</v>
      </c>
      <c r="CE6">
        <f>INDEX($B$20:$GQ$20,MATCH(82,$B$29:$GQ$29,0))</f>
        <v>1.2342523449062839E-4</v>
      </c>
      <c r="CF6">
        <f>INDEX($B$20:$GQ$20,MATCH(83,$B$29:$GQ$29,0))</f>
        <v>1.9024452400450761E-3</v>
      </c>
      <c r="CG6">
        <f>INDEX($B$20:$GQ$20,MATCH(84,$B$29:$GQ$29,0))</f>
        <v>2.0364963747496719E-3</v>
      </c>
      <c r="CH6">
        <f>INDEX($B$20:$GQ$20,MATCH(85,$B$29:$GQ$29,0))</f>
        <v>6.1325261524439326E-3</v>
      </c>
      <c r="CI6">
        <f>INDEX($B$20:$GQ$20,MATCH(86,$B$29:$GQ$29,0))</f>
        <v>2.3038472140370601E-3</v>
      </c>
      <c r="CJ6">
        <f>INDEX($B$20:$GQ$20,MATCH(87,$B$29:$GQ$29,0))</f>
        <v>7.6361329373238439E-3</v>
      </c>
      <c r="CK6">
        <f>INDEX($B$20:$GQ$20,MATCH(88,$B$29:$GQ$29,0))</f>
        <v>2.657056243704211E-2</v>
      </c>
      <c r="CL6">
        <f>INDEX($B$20:$GQ$20,MATCH(89,$B$29:$GQ$29,0))</f>
        <v>2.460183802492345E-3</v>
      </c>
      <c r="CM6">
        <f>INDEX($B$20:$GQ$20,MATCH(90,$B$29:$GQ$29,0))</f>
        <v>2.1304550895752542E-3</v>
      </c>
      <c r="CN6">
        <f>INDEX($B$20:$GQ$20,MATCH(91,$B$29:$GQ$29,0))</f>
        <v>4.1362984888101808E-3</v>
      </c>
      <c r="CO6">
        <f>INDEX($B$20:$GQ$20,MATCH(92,$B$29:$GQ$29,0))</f>
        <v>2.3470818008991421E-3</v>
      </c>
      <c r="CP6">
        <f>INDEX($B$20:$GQ$20,MATCH(93,$B$29:$GQ$29,0))</f>
        <v>0</v>
      </c>
      <c r="CQ6">
        <f>INDEX($B$20:$GQ$20,MATCH(94,$B$29:$GQ$29,0))</f>
        <v>1.6202547840275471E-3</v>
      </c>
      <c r="CR6">
        <f>INDEX($B$20:$GQ$20,MATCH(95,$B$29:$GQ$29,0))</f>
        <v>0</v>
      </c>
      <c r="CS6">
        <f>INDEX($B$20:$GQ$20,MATCH(96,$B$29:$GQ$29,0))</f>
        <v>1.3655953741062441E-3</v>
      </c>
      <c r="CT6">
        <f>INDEX($B$20:$GQ$20,MATCH(97,$B$29:$GQ$29,0))</f>
        <v>2.1126075533331279E-3</v>
      </c>
      <c r="CU6">
        <f>INDEX($B$20:$GQ$20,MATCH(98,$B$29:$GQ$29,0))</f>
        <v>0</v>
      </c>
      <c r="CV6">
        <f>INDEX($B$20:$GQ$20,MATCH(99,$B$29:$GQ$29,0))</f>
        <v>2.7172076511127298E-3</v>
      </c>
      <c r="CW6">
        <f>INDEX($B$20:$GQ$20,MATCH(100,$B$29:$GQ$29,0))</f>
        <v>2.0810455191841489E-3</v>
      </c>
      <c r="CX6">
        <f>INDEX($B$20:$GQ$20,MATCH(101,$B$29:$GQ$29,0))</f>
        <v>8.1002264821440906E-3</v>
      </c>
      <c r="CY6">
        <f>INDEX($B$20:$GQ$20,MATCH(102,$B$29:$GQ$29,0))</f>
        <v>1.53167643870128E-2</v>
      </c>
      <c r="CZ6">
        <f>INDEX($B$20:$GQ$20,MATCH(103,$B$29:$GQ$29,0))</f>
        <v>1.411361159170309E-3</v>
      </c>
      <c r="DA6">
        <f>INDEX($B$20:$GQ$20,MATCH(104,$B$29:$GQ$29,0))</f>
        <v>1.5773107540157851E-3</v>
      </c>
      <c r="DB6">
        <f>INDEX($B$20:$GQ$20,MATCH(105,$B$29:$GQ$29,0))</f>
        <v>3.9795437556197381E-3</v>
      </c>
      <c r="DC6">
        <f>INDEX($B$20:$GQ$20,MATCH(106,$B$29:$GQ$29,0))</f>
        <v>1.8479925295142789E-3</v>
      </c>
      <c r="DD6">
        <f>INDEX($B$20:$GQ$20,MATCH(107,$B$29:$GQ$29,0))</f>
        <v>1.3798011173519829E-3</v>
      </c>
      <c r="DE6">
        <f>INDEX($B$20:$GQ$20,MATCH(108,$B$29:$GQ$29,0))</f>
        <v>1.640436650517621E-3</v>
      </c>
      <c r="DF6">
        <f>INDEX($B$20:$GQ$20,MATCH(109,$B$29:$GQ$29,0))</f>
        <v>2.0327265766874499E-3</v>
      </c>
      <c r="DG6">
        <f>INDEX($B$20:$GQ$20,MATCH(110,$B$29:$GQ$29,0))</f>
        <v>1.567878618518596E-2</v>
      </c>
      <c r="DH6">
        <f>INDEX($B$20:$GQ$20,MATCH(111,$B$29:$GQ$29,0))</f>
        <v>1.1488541373127961E-3</v>
      </c>
      <c r="DI6">
        <f>INDEX($B$20:$GQ$20,MATCH(112,$B$29:$GQ$29,0))</f>
        <v>4.46416672227879E-3</v>
      </c>
      <c r="DJ6">
        <f>INDEX($B$20:$GQ$20,MATCH(113,$B$29:$GQ$29,0))</f>
        <v>1.192201836208995E-3</v>
      </c>
      <c r="DK6">
        <f>INDEX($B$20:$GQ$20,MATCH(114,$B$29:$GQ$29,0))</f>
        <v>1.267617058305447E-3</v>
      </c>
      <c r="DL6">
        <f>INDEX($B$20:$GQ$20,MATCH(115,$B$29:$GQ$29,0))</f>
        <v>8.9977840935338976E-3</v>
      </c>
      <c r="DM6">
        <f>INDEX($B$20:$GQ$20,MATCH(116,$B$29:$GQ$29,0))</f>
        <v>8.9605670269419183E-3</v>
      </c>
      <c r="DN6">
        <f>INDEX($B$20:$GQ$20,MATCH(117,$B$29:$GQ$29,0))</f>
        <v>1.157796877989919E-2</v>
      </c>
      <c r="DO6">
        <f>INDEX($B$20:$GQ$20,MATCH(118,$B$29:$GQ$29,0))</f>
        <v>3.4968681463331389E-2</v>
      </c>
      <c r="DP6">
        <f>INDEX($B$20:$GQ$20,MATCH(119,$B$29:$GQ$29,0))</f>
        <v>0</v>
      </c>
      <c r="DQ6">
        <f>INDEX($B$20:$GQ$20,MATCH(120,$B$29:$GQ$29,0))</f>
        <v>4.0646280806528393E-3</v>
      </c>
      <c r="DR6">
        <f>INDEX($B$20:$GQ$20,MATCH(121,$B$29:$GQ$29,0))</f>
        <v>1.4218305110376981E-3</v>
      </c>
      <c r="DS6">
        <f>INDEX($B$20:$GQ$20,MATCH(122,$B$29:$GQ$29,0))</f>
        <v>0</v>
      </c>
      <c r="DT6">
        <f>INDEX($B$20:$GQ$20,MATCH(123,$B$29:$GQ$29,0))</f>
        <v>1.5156189463594991E-3</v>
      </c>
      <c r="DU6">
        <f>INDEX($B$20:$GQ$20,MATCH(124,$B$29:$GQ$29,0))</f>
        <v>1.079074235347352E-2</v>
      </c>
      <c r="DV6">
        <f>INDEX($B$20:$GQ$20,MATCH(125,$B$29:$GQ$29,0))</f>
        <v>3.067377249918003E-3</v>
      </c>
      <c r="DW6">
        <f>INDEX($B$20:$GQ$20,MATCH(126,$B$29:$GQ$29,0))</f>
        <v>4.4692912474541651E-4</v>
      </c>
      <c r="DX6">
        <f>INDEX($B$20:$GQ$20,MATCH(127,$B$29:$GQ$29,0))</f>
        <v>2.3104992716100359E-4</v>
      </c>
      <c r="DY6">
        <f>INDEX($B$20:$GQ$20,MATCH(128,$B$29:$GQ$29,0))</f>
        <v>0</v>
      </c>
      <c r="DZ6">
        <f>INDEX($B$20:$GQ$20,MATCH(129,$B$29:$GQ$29,0))</f>
        <v>0</v>
      </c>
      <c r="EA6">
        <f>INDEX($B$20:$GQ$20,MATCH(130,$B$29:$GQ$29,0))</f>
        <v>2.2565994555850742E-3</v>
      </c>
      <c r="EB6">
        <f>INDEX($B$20:$GQ$20,MATCH(131,$B$29:$GQ$29,0))</f>
        <v>3.8933078744683692E-4</v>
      </c>
      <c r="EC6">
        <f>INDEX($B$20:$GQ$20,MATCH(132,$B$29:$GQ$29,0))</f>
        <v>1.226741099660718E-2</v>
      </c>
      <c r="ED6">
        <f>INDEX($B$20:$GQ$20,MATCH(133,$B$29:$GQ$29,0))</f>
        <v>0</v>
      </c>
      <c r="EE6">
        <f>INDEX($B$20:$GQ$20,MATCH(134,$B$29:$GQ$29,0))</f>
        <v>0.26174363252870209</v>
      </c>
      <c r="EF6">
        <f>INDEX($B$20:$GQ$20,MATCH(135,$B$29:$GQ$29,0))</f>
        <v>0.37157045529758698</v>
      </c>
      <c r="EG6">
        <f>INDEX($B$20:$GQ$20,MATCH(136,$B$29:$GQ$29,0))</f>
        <v>7.8157035265077418E-2</v>
      </c>
      <c r="EH6">
        <f>INDEX($B$20:$GQ$20,MATCH(137,$B$29:$GQ$29,0))</f>
        <v>1.746367418796192</v>
      </c>
      <c r="EI6">
        <f>INDEX($B$20:$GQ$20,MATCH(138,$B$29:$GQ$29,0))</f>
        <v>0</v>
      </c>
      <c r="EJ6">
        <f>INDEX($B$20:$GQ$20,MATCH(139,$B$29:$GQ$29,0))</f>
        <v>0</v>
      </c>
      <c r="EK6">
        <f>INDEX($B$20:$GQ$20,MATCH(140,$B$29:$GQ$29,0))</f>
        <v>1.0831177289372621E-4</v>
      </c>
      <c r="EL6">
        <f>INDEX($B$20:$GQ$20,MATCH(141,$B$29:$GQ$29,0))</f>
        <v>0</v>
      </c>
      <c r="EM6">
        <f>INDEX($B$20:$GQ$20,MATCH(142,$B$29:$GQ$29,0))</f>
        <v>1.755587583594638E-3</v>
      </c>
      <c r="EN6">
        <f>INDEX($B$20:$GQ$20,MATCH(143,$B$29:$GQ$29,0))</f>
        <v>6.011791892276048E-3</v>
      </c>
      <c r="EO6">
        <f>INDEX($B$20:$GQ$20,MATCH(144,$B$29:$GQ$29,0))</f>
        <v>0</v>
      </c>
      <c r="EP6">
        <f>INDEX($B$20:$GQ$20,MATCH(145,$B$29:$GQ$29,0))</f>
        <v>2.7199466641556931E-3</v>
      </c>
      <c r="EQ6">
        <f>INDEX($B$20:$GQ$20,MATCH(146,$B$29:$GQ$29,0))</f>
        <v>2.311177145717928E-2</v>
      </c>
      <c r="ER6">
        <f>INDEX($B$20:$GQ$20,MATCH(147,$B$29:$GQ$29,0))</f>
        <v>0</v>
      </c>
      <c r="ES6">
        <f>INDEX($B$20:$GQ$20,MATCH(148,$B$29:$GQ$29,0))</f>
        <v>8.6555863269921821E-4</v>
      </c>
      <c r="ET6">
        <f>INDEX($B$20:$GQ$20,MATCH(149,$B$29:$GQ$29,0))</f>
        <v>6.7545092418710915E-7</v>
      </c>
      <c r="EU6">
        <f>INDEX($B$20:$GQ$20,MATCH(150,$B$29:$GQ$29,0))</f>
        <v>4.7475250097905084</v>
      </c>
      <c r="EV6">
        <f>INDEX($B$20:$GQ$20,MATCH(151,$B$29:$GQ$29,0))</f>
        <v>4.1617875119775664E-3</v>
      </c>
      <c r="EW6">
        <f>INDEX($B$20:$GQ$20,MATCH(152,$B$29:$GQ$29,0))</f>
        <v>3.5365584268559288E-4</v>
      </c>
      <c r="EX6">
        <f>INDEX($B$20:$GQ$20,MATCH(153,$B$29:$GQ$29,0))</f>
        <v>3.2187051236840902E-2</v>
      </c>
      <c r="EY6">
        <f>INDEX($B$20:$GQ$20,MATCH(154,$B$29:$GQ$29,0))</f>
        <v>7.4563739043426646E-4</v>
      </c>
      <c r="EZ6">
        <f>INDEX($B$20:$GQ$20,MATCH(155,$B$29:$GQ$29,0))</f>
        <v>3.7471923651241748E-5</v>
      </c>
      <c r="FA6">
        <f>INDEX($B$20:$GQ$20,MATCH(156,$B$29:$GQ$29,0))</f>
        <v>4.8408927639800148E-4</v>
      </c>
      <c r="FB6">
        <f>INDEX($B$20:$GQ$20,MATCH(157,$B$29:$GQ$29,0))</f>
        <v>1.2458503067905251E-4</v>
      </c>
      <c r="FC6">
        <f>INDEX($B$20:$GQ$20,MATCH(158,$B$29:$GQ$29,0))</f>
        <v>6.1796318351910575E-4</v>
      </c>
      <c r="FD6">
        <f>INDEX($B$20:$GQ$20,MATCH(159,$B$29:$GQ$29,0))</f>
        <v>3.2165243804934261E-2</v>
      </c>
      <c r="FE6">
        <f>INDEX($B$20:$GQ$20,MATCH(160,$B$29:$GQ$29,0))</f>
        <v>0</v>
      </c>
      <c r="FF6">
        <f>INDEX($B$20:$GQ$20,MATCH(161,$B$29:$GQ$29,0))</f>
        <v>0</v>
      </c>
      <c r="FG6">
        <f>INDEX($B$20:$GQ$20,MATCH(162,$B$29:$GQ$29,0))</f>
        <v>0</v>
      </c>
      <c r="FH6">
        <f>INDEX($B$20:$GQ$20,MATCH(163,$B$29:$GQ$29,0))</f>
        <v>0</v>
      </c>
      <c r="FI6">
        <f>INDEX($B$20:$GQ$20,MATCH(164,$B$29:$GQ$29,0))</f>
        <v>0</v>
      </c>
      <c r="FJ6">
        <f>INDEX($B$20:$GQ$20,MATCH(165,$B$29:$GQ$29,0))</f>
        <v>2.2359988933741502E-3</v>
      </c>
      <c r="FK6">
        <f>INDEX($B$20:$GQ$20,MATCH(166,$B$29:$GQ$29,0))</f>
        <v>0</v>
      </c>
      <c r="FL6">
        <f>INDEX($B$20:$GQ$20,MATCH(167,$B$29:$GQ$29,0))</f>
        <v>2.04009858908199E-3</v>
      </c>
      <c r="FM6">
        <f>INDEX($B$20:$GQ$20,MATCH(168,$B$29:$GQ$29,0))</f>
        <v>0</v>
      </c>
      <c r="FN6">
        <f>INDEX($B$20:$GQ$20,MATCH(169,$B$29:$GQ$29,0))</f>
        <v>0</v>
      </c>
      <c r="FO6">
        <f>INDEX($B$20:$GQ$20,MATCH(170,$B$29:$GQ$29,0))</f>
        <v>1.0658242654791989E-3</v>
      </c>
      <c r="FP6">
        <f>INDEX($B$20:$GQ$20,MATCH(171,$B$29:$GQ$29,0))</f>
        <v>0</v>
      </c>
      <c r="FQ6">
        <f>INDEX($B$20:$GQ$20,MATCH(172,$B$29:$GQ$29,0))</f>
        <v>1.00368006807506E-3</v>
      </c>
      <c r="FR6">
        <f>INDEX($B$20:$GQ$20,MATCH(173,$B$29:$GQ$29,0))</f>
        <v>1.281640358661666E-3</v>
      </c>
      <c r="FS6">
        <f>INDEX($B$20:$GQ$20,MATCH(174,$B$29:$GQ$29,0))</f>
        <v>0</v>
      </c>
      <c r="FT6">
        <f>INDEX($B$20:$GQ$20,MATCH(175,$B$29:$GQ$29,0))</f>
        <v>0</v>
      </c>
      <c r="FU6">
        <f>INDEX($B$20:$GQ$20,MATCH(176,$B$29:$GQ$29,0))</f>
        <v>8.9389268566038071E-2</v>
      </c>
      <c r="FV6">
        <f>INDEX($B$20:$GQ$20,MATCH(177,$B$29:$GQ$29,0))</f>
        <v>0</v>
      </c>
      <c r="FW6">
        <f>INDEX($B$20:$GQ$20,MATCH(178,$B$29:$GQ$29,0))</f>
        <v>8.3007812495351704E-3</v>
      </c>
      <c r="FX6">
        <f>INDEX($B$20:$GQ$20,MATCH(179,$B$29:$GQ$29,0))</f>
        <v>0</v>
      </c>
      <c r="FY6">
        <f>INDEX($B$20:$GQ$20,MATCH(180,$B$29:$GQ$29,0))</f>
        <v>0</v>
      </c>
      <c r="FZ6">
        <f>INDEX($B$20:$GQ$20,MATCH(181,$B$29:$GQ$29,0))</f>
        <v>2.223147234250079E-2</v>
      </c>
      <c r="GA6">
        <f>INDEX($B$20:$GQ$20,MATCH(182,$B$29:$GQ$29,0))</f>
        <v>0</v>
      </c>
      <c r="GB6">
        <f>INDEX($B$20:$GQ$20,MATCH(183,$B$29:$GQ$29,0))</f>
        <v>9.5909550046651745E-3</v>
      </c>
      <c r="GC6">
        <f>INDEX($B$20:$GQ$20,MATCH(184,$B$29:$GQ$29,0))</f>
        <v>0</v>
      </c>
      <c r="GD6">
        <f>INDEX($B$20:$GQ$20,MATCH(185,$B$29:$GQ$29,0))</f>
        <v>0</v>
      </c>
      <c r="GE6">
        <f>INDEX($B$20:$GQ$20,MATCH(186,$B$29:$GQ$29,0))</f>
        <v>0</v>
      </c>
      <c r="GF6">
        <f>INDEX($B$20:$GQ$20,MATCH(187,$B$29:$GQ$29,0))</f>
        <v>0</v>
      </c>
      <c r="GG6">
        <f>INDEX($B$20:$GQ$20,MATCH(188,$B$29:$GQ$29,0))</f>
        <v>0</v>
      </c>
      <c r="GH6">
        <f>INDEX($B$20:$GQ$20,MATCH(189,$B$29:$GQ$29,0))</f>
        <v>0</v>
      </c>
      <c r="GI6">
        <f>INDEX($B$20:$GQ$20,MATCH(190,$B$29:$GQ$29,0))</f>
        <v>0</v>
      </c>
      <c r="GJ6">
        <f>INDEX($B$20:$GQ$20,MATCH(191,$B$29:$GQ$29,0))</f>
        <v>0</v>
      </c>
      <c r="GK6">
        <f>INDEX($B$20:$GQ$20,MATCH(192,$B$29:$GQ$29,0))</f>
        <v>0</v>
      </c>
      <c r="GL6">
        <f>INDEX($B$20:$GQ$20,MATCH(193,$B$29:$GQ$29,0))</f>
        <v>0</v>
      </c>
      <c r="GM6">
        <f>INDEX($B$20:$GQ$20,MATCH(194,$B$29:$GQ$29,0))</f>
        <v>0</v>
      </c>
      <c r="GN6">
        <f>INDEX($B$20:$GQ$20,MATCH(195,$B$29:$GQ$29,0))</f>
        <v>0</v>
      </c>
      <c r="GO6">
        <f>INDEX($B$20:$GQ$20,MATCH(196,$B$29:$GQ$29,0))</f>
        <v>0</v>
      </c>
      <c r="GP6">
        <f>INDEX($B$20:$GQ$20,MATCH(197,$B$29:$GQ$29,0))</f>
        <v>2.1889237586671401E-3</v>
      </c>
      <c r="GQ6">
        <f>INDEX($B$20:$GQ$20,MATCH(198,$B$29:$GQ$29,0))</f>
        <v>0</v>
      </c>
      <c r="GR6">
        <f>INDEX($GR$20:$HC$20,MATCH(1,$GR$30:$HC$30,0))</f>
        <v>8.49574551990782E-2</v>
      </c>
      <c r="GS6">
        <f>INDEX($GR$20:$HC$20,MATCH(2,$GR$30:$HC$30,0))</f>
        <v>0.22468147417130621</v>
      </c>
      <c r="GT6">
        <f>INDEX($GR$20:$HC$20,MATCH(3,$GR$30:$HC$30,0))</f>
        <v>5.8679213513525034E-3</v>
      </c>
      <c r="GU6">
        <f>INDEX($GR$20:$HC$20,MATCH(4,$GR$30:$HC$30,0))</f>
        <v>3.5057787312979788E-2</v>
      </c>
      <c r="GV6">
        <f>INDEX($GR$20:$HC$20,MATCH(5,$GR$30:$HC$30,0))</f>
        <v>5.4309125196538542E-3</v>
      </c>
      <c r="GW6">
        <f>INDEX($GR$20:$HC$20,MATCH(6,$GR$30:$HC$30,0))</f>
        <v>2.9324154999872121E-2</v>
      </c>
      <c r="GX6">
        <f>INDEX($GR$20:$HC$20,MATCH(7,$GR$30:$HC$30,0))</f>
        <v>5.1195005271982667E-3</v>
      </c>
      <c r="GY6">
        <f>INDEX($GR$20:$HC$20,MATCH(8,$GR$30:$HC$30,0))</f>
        <v>7.0782505767687407E-3</v>
      </c>
      <c r="GZ6">
        <f>INDEX($GR$20:$HC$20,MATCH(9,$GR$30:$HC$30,0))</f>
        <v>5.2310988068181533E-2</v>
      </c>
      <c r="HA6">
        <f>INDEX($GR$20:$HC$20,MATCH(10,$GR$30:$HC$30,0))</f>
        <v>0</v>
      </c>
      <c r="HB6">
        <f>INDEX($GR$20:$HC$20,MATCH(11,$GR$30:$HC$30,0))</f>
        <v>4.2838987799076828E-2</v>
      </c>
      <c r="HC6">
        <f>INDEX($GR$20:$HC$20,MATCH(12,$GR$30:$HC$30,0))</f>
        <v>3.038463206928195E-2</v>
      </c>
    </row>
    <row r="7" spans="1:211" x14ac:dyDescent="0.45">
      <c r="A7" s="1" t="s">
        <v>6</v>
      </c>
      <c r="B7">
        <f>INDEX($B$21:$GQ$21,MATCH(1,$B$29:$GQ$29,0))</f>
        <v>6666.4130958942833</v>
      </c>
      <c r="C7">
        <f>INDEX($B$21:$GQ$21,MATCH(2,$B$29:$GQ$29,0))</f>
        <v>11484.836648500001</v>
      </c>
      <c r="D7">
        <f>INDEX($B$21:$GQ$21,MATCH(3,$B$29:$GQ$29,0))</f>
        <v>2166.4317380399998</v>
      </c>
      <c r="E7">
        <f>INDEX($B$21:$GQ$21,MATCH(4,$B$29:$GQ$29,0))</f>
        <v>418.35490823388932</v>
      </c>
      <c r="F7">
        <f>INDEX($B$21:$GQ$21,MATCH(5,$B$29:$GQ$29,0))</f>
        <v>1038.4943145499999</v>
      </c>
      <c r="G7">
        <f>INDEX($B$21:$GQ$21,MATCH(6,$B$29:$GQ$29,0))</f>
        <v>1545.727142509</v>
      </c>
      <c r="H7">
        <f>INDEX($B$21:$GQ$21,MATCH(7,$B$29:$GQ$29,0))</f>
        <v>0</v>
      </c>
      <c r="I7">
        <f>INDEX($B$21:$GQ$21,MATCH(8,$B$29:$GQ$29,0))</f>
        <v>1267.5185599075201</v>
      </c>
      <c r="J7">
        <f>INDEX($B$21:$GQ$21,MATCH(9,$B$29:$GQ$29,0))</f>
        <v>0</v>
      </c>
      <c r="K7">
        <f>INDEX($B$21:$GQ$21,MATCH(10,$B$29:$GQ$29,0))</f>
        <v>6719.8629984099998</v>
      </c>
      <c r="L7">
        <f>INDEX($B$21:$GQ$21,MATCH(11,$B$29:$GQ$29,0))</f>
        <v>12.589531046076591</v>
      </c>
      <c r="M7">
        <f>INDEX($B$21:$GQ$21,MATCH(12,$B$29:$GQ$29,0))</f>
        <v>10896.3904117</v>
      </c>
      <c r="N7">
        <f>INDEX($B$21:$GQ$21,MATCH(13,$B$29:$GQ$29,0))</f>
        <v>1806.0386160099999</v>
      </c>
      <c r="O7">
        <f>INDEX($B$21:$GQ$21,MATCH(14,$B$29:$GQ$29,0))</f>
        <v>2378.0362296804178</v>
      </c>
      <c r="P7">
        <f>INDEX($B$21:$GQ$21,MATCH(15,$B$29:$GQ$29,0))</f>
        <v>2481.46822075</v>
      </c>
      <c r="Q7">
        <f>INDEX($B$21:$GQ$21,MATCH(16,$B$29:$GQ$29,0))</f>
        <v>29014.020956100001</v>
      </c>
      <c r="R7">
        <f>INDEX($B$21:$GQ$21,MATCH(17,$B$29:$GQ$29,0))</f>
        <v>1737.93637934</v>
      </c>
      <c r="S7">
        <f>INDEX($B$21:$GQ$21,MATCH(18,$B$29:$GQ$29,0))</f>
        <v>1549.8190821000001</v>
      </c>
      <c r="T7">
        <f>INDEX($B$21:$GQ$21,MATCH(19,$B$29:$GQ$29,0))</f>
        <v>1024.3292228667999</v>
      </c>
      <c r="U7">
        <f>INDEX($B$21:$GQ$21,MATCH(20,$B$29:$GQ$29,0))</f>
        <v>892.77666270999998</v>
      </c>
      <c r="V7">
        <f>INDEX($B$21:$GQ$21,MATCH(21,$B$29:$GQ$29,0))</f>
        <v>6643.3333910300007</v>
      </c>
      <c r="W7">
        <f>INDEX($B$21:$GQ$21,MATCH(22,$B$29:$GQ$29,0))</f>
        <v>10799.400247</v>
      </c>
      <c r="X7">
        <f>INDEX($B$21:$GQ$21,MATCH(23,$B$29:$GQ$29,0))</f>
        <v>1749.27710897</v>
      </c>
      <c r="Y7">
        <f>INDEX($B$21:$GQ$21,MATCH(24,$B$29:$GQ$29,0))</f>
        <v>5191.81852316</v>
      </c>
      <c r="Z7">
        <f>INDEX($B$21:$GQ$21,MATCH(25,$B$29:$GQ$29,0))</f>
        <v>37.6718724459</v>
      </c>
      <c r="AA7">
        <f>INDEX($B$21:$GQ$21,MATCH(26,$B$29:$GQ$29,0))</f>
        <v>134.96855356699999</v>
      </c>
      <c r="AB7">
        <f>INDEX($B$21:$GQ$21,MATCH(27,$B$29:$GQ$29,0))</f>
        <v>8077.9817955548197</v>
      </c>
      <c r="AC7">
        <f>INDEX($B$21:$GQ$21,MATCH(28,$B$29:$GQ$29,0))</f>
        <v>596.45047547599995</v>
      </c>
      <c r="AD7">
        <f>INDEX($B$21:$GQ$21,MATCH(29,$B$29:$GQ$29,0))</f>
        <v>262.48153199278192</v>
      </c>
      <c r="AE7">
        <f>INDEX($B$21:$GQ$21,MATCH(30,$B$29:$GQ$29,0))</f>
        <v>709.18679688875659</v>
      </c>
      <c r="AF7">
        <f>INDEX($B$21:$GQ$21,MATCH(31,$B$29:$GQ$29,0))</f>
        <v>1038.6668066899999</v>
      </c>
      <c r="AG7">
        <f>INDEX($B$21:$GQ$21,MATCH(32,$B$29:$GQ$29,0))</f>
        <v>5070.0672428300004</v>
      </c>
      <c r="AH7">
        <f>INDEX($B$21:$GQ$21,MATCH(33,$B$29:$GQ$29,0))</f>
        <v>1145.74717822</v>
      </c>
      <c r="AI7">
        <f>INDEX($B$21:$GQ$21,MATCH(34,$B$29:$GQ$29,0))</f>
        <v>2604.55483714</v>
      </c>
      <c r="AJ7">
        <f>INDEX($B$21:$GQ$21,MATCH(35,$B$29:$GQ$29,0))</f>
        <v>7198.1551780506543</v>
      </c>
      <c r="AK7">
        <f>INDEX($B$21:$GQ$21,MATCH(36,$B$29:$GQ$29,0))</f>
        <v>95.863337095600002</v>
      </c>
      <c r="AL7">
        <f>INDEX($B$21:$GQ$21,MATCH(37,$B$29:$GQ$29,0))</f>
        <v>358.93550539300003</v>
      </c>
      <c r="AM7">
        <f>INDEX($B$21:$GQ$21,MATCH(38,$B$29:$GQ$29,0))</f>
        <v>92.726657253900001</v>
      </c>
      <c r="AN7">
        <f>INDEX($B$21:$GQ$21,MATCH(39,$B$29:$GQ$29,0))</f>
        <v>3107.3829579702092</v>
      </c>
      <c r="AO7">
        <f>INDEX($B$21:$GQ$21,MATCH(40,$B$29:$GQ$29,0))</f>
        <v>393.41683792647649</v>
      </c>
      <c r="AP7">
        <f>INDEX($B$21:$GQ$21,MATCH(41,$B$29:$GQ$29,0))</f>
        <v>262.19233730575002</v>
      </c>
      <c r="AQ7">
        <f>INDEX($B$21:$GQ$21,MATCH(42,$B$29:$GQ$29,0))</f>
        <v>1317.5141081675199</v>
      </c>
      <c r="AR7">
        <f>INDEX($B$21:$GQ$21,MATCH(43,$B$29:$GQ$29,0))</f>
        <v>20.421948832948161</v>
      </c>
      <c r="AS7">
        <f>INDEX($B$21:$GQ$21,MATCH(44,$B$29:$GQ$29,0))</f>
        <v>854.20888969679993</v>
      </c>
      <c r="AT7">
        <f>INDEX($B$21:$GQ$21,MATCH(45,$B$29:$GQ$29,0))</f>
        <v>1766.04037623</v>
      </c>
      <c r="AU7">
        <f>INDEX($B$21:$GQ$21,MATCH(46,$B$29:$GQ$29,0))</f>
        <v>652.78120585600004</v>
      </c>
      <c r="AV7">
        <f>INDEX($B$21:$GQ$21,MATCH(47,$B$29:$GQ$29,0))</f>
        <v>2010.42848448</v>
      </c>
      <c r="AW7">
        <f>INDEX($B$21:$GQ$21,MATCH(48,$B$29:$GQ$29,0))</f>
        <v>1803.7615754999999</v>
      </c>
      <c r="AX7">
        <f>INDEX($B$21:$GQ$21,MATCH(49,$B$29:$GQ$29,0))</f>
        <v>18.17377665812187</v>
      </c>
      <c r="AY7">
        <f>INDEX($B$21:$GQ$21,MATCH(50,$B$29:$GQ$29,0))</f>
        <v>1220.2376179299999</v>
      </c>
      <c r="AZ7">
        <f>INDEX($B$21:$GQ$21,MATCH(51,$B$29:$GQ$29,0))</f>
        <v>130.97256975400001</v>
      </c>
      <c r="BA7">
        <f>INDEX($B$21:$GQ$21,MATCH(52,$B$29:$GQ$29,0))</f>
        <v>0</v>
      </c>
      <c r="BB7">
        <f>INDEX($B$21:$GQ$21,MATCH(53,$B$29:$GQ$29,0))</f>
        <v>0</v>
      </c>
      <c r="BC7">
        <f>INDEX($B$21:$GQ$21,MATCH(54,$B$29:$GQ$29,0))</f>
        <v>0</v>
      </c>
      <c r="BD7">
        <f>INDEX($B$21:$GQ$21,MATCH(55,$B$29:$GQ$29,0))</f>
        <v>4696.7749308100001</v>
      </c>
      <c r="BE7">
        <f>INDEX($B$21:$GQ$21,MATCH(56,$B$29:$GQ$29,0))</f>
        <v>6.1707335051997774</v>
      </c>
      <c r="BF7">
        <f>INDEX($B$21:$GQ$21,MATCH(57,$B$29:$GQ$29,0))</f>
        <v>1559.8370236600001</v>
      </c>
      <c r="BG7">
        <f>INDEX($B$21:$GQ$21,MATCH(58,$B$29:$GQ$29,0))</f>
        <v>191.524540960959</v>
      </c>
      <c r="BH7">
        <f>INDEX($B$21:$GQ$21,MATCH(59,$B$29:$GQ$29,0))</f>
        <v>2577.2612739800002</v>
      </c>
      <c r="BI7">
        <f>INDEX($B$21:$GQ$21,MATCH(60,$B$29:$GQ$29,0))</f>
        <v>152.52438610900001</v>
      </c>
      <c r="BJ7">
        <f>INDEX($B$21:$GQ$21,MATCH(61,$B$29:$GQ$29,0))</f>
        <v>0</v>
      </c>
      <c r="BK7">
        <f>INDEX($B$21:$GQ$21,MATCH(62,$B$29:$GQ$29,0))</f>
        <v>324.71811889076042</v>
      </c>
      <c r="BL7">
        <f>INDEX($B$21:$GQ$21,MATCH(63,$B$29:$GQ$29,0))</f>
        <v>243.82395424985501</v>
      </c>
      <c r="BM7">
        <f>INDEX($B$21:$GQ$21,MATCH(64,$B$29:$GQ$29,0))</f>
        <v>4669.9064481400001</v>
      </c>
      <c r="BN7">
        <f>INDEX($B$21:$GQ$21,MATCH(65,$B$29:$GQ$29,0))</f>
        <v>2813.8265550279998</v>
      </c>
      <c r="BO7">
        <f>INDEX($B$21:$GQ$21,MATCH(66,$B$29:$GQ$29,0))</f>
        <v>895.25021162600001</v>
      </c>
      <c r="BP7">
        <f>INDEX($B$21:$GQ$21,MATCH(67,$B$29:$GQ$29,0))</f>
        <v>1.6789142170569999</v>
      </c>
      <c r="BQ7">
        <f>INDEX($B$21:$GQ$21,MATCH(68,$B$29:$GQ$29,0))</f>
        <v>0</v>
      </c>
      <c r="BR7">
        <f>INDEX($B$21:$GQ$21,MATCH(69,$B$29:$GQ$29,0))</f>
        <v>0</v>
      </c>
      <c r="BS7">
        <f>INDEX($B$21:$GQ$21,MATCH(70,$B$29:$GQ$29,0))</f>
        <v>107.8362040536</v>
      </c>
      <c r="BT7">
        <f>INDEX($B$21:$GQ$21,MATCH(71,$B$29:$GQ$29,0))</f>
        <v>791.25578928899995</v>
      </c>
      <c r="BU7">
        <f>INDEX($B$21:$GQ$21,MATCH(72,$B$29:$GQ$29,0))</f>
        <v>0</v>
      </c>
      <c r="BV7">
        <f>INDEX($B$21:$GQ$21,MATCH(73,$B$29:$GQ$29,0))</f>
        <v>627.28953437057316</v>
      </c>
      <c r="BW7">
        <f>INDEX($B$21:$GQ$21,MATCH(74,$B$29:$GQ$29,0))</f>
        <v>44.522949826820003</v>
      </c>
      <c r="BX7">
        <f>INDEX($B$21:$GQ$21,MATCH(75,$B$29:$GQ$29,0))</f>
        <v>0</v>
      </c>
      <c r="BY7">
        <f>INDEX($B$21:$GQ$21,MATCH(76,$B$29:$GQ$29,0))</f>
        <v>286.21616942958212</v>
      </c>
      <c r="BZ7">
        <f>INDEX($B$21:$GQ$21,MATCH(77,$B$29:$GQ$29,0))</f>
        <v>0</v>
      </c>
      <c r="CA7">
        <f>INDEX($B$21:$GQ$21,MATCH(78,$B$29:$GQ$29,0))</f>
        <v>34.973120821718787</v>
      </c>
      <c r="CB7">
        <f>INDEX($B$21:$GQ$21,MATCH(79,$B$29:$GQ$29,0))</f>
        <v>0</v>
      </c>
      <c r="CC7">
        <f>INDEX($B$21:$GQ$21,MATCH(80,$B$29:$GQ$29,0))</f>
        <v>612.42607809052072</v>
      </c>
      <c r="CD7">
        <f>INDEX($B$21:$GQ$21,MATCH(81,$B$29:$GQ$29,0))</f>
        <v>63.361211080935377</v>
      </c>
      <c r="CE7">
        <f>INDEX($B$21:$GQ$21,MATCH(82,$B$29:$GQ$29,0))</f>
        <v>10172.62054431125</v>
      </c>
      <c r="CF7">
        <f>INDEX($B$21:$GQ$21,MATCH(83,$B$29:$GQ$29,0))</f>
        <v>10.798532357499999</v>
      </c>
      <c r="CG7">
        <f>INDEX($B$21:$GQ$21,MATCH(84,$B$29:$GQ$29,0))</f>
        <v>520.47413446200005</v>
      </c>
      <c r="CH7">
        <f>INDEX($B$21:$GQ$21,MATCH(85,$B$29:$GQ$29,0))</f>
        <v>50.540358367452967</v>
      </c>
      <c r="CI7">
        <f>INDEX($B$21:$GQ$21,MATCH(86,$B$29:$GQ$29,0))</f>
        <v>12.452825049199999</v>
      </c>
      <c r="CJ7">
        <f>INDEX($B$21:$GQ$21,MATCH(87,$B$29:$GQ$29,0))</f>
        <v>0.66543467202200002</v>
      </c>
      <c r="CK7">
        <f>INDEX($B$21:$GQ$21,MATCH(88,$B$29:$GQ$29,0))</f>
        <v>0</v>
      </c>
      <c r="CL7">
        <f>INDEX($B$21:$GQ$21,MATCH(89,$B$29:$GQ$29,0))</f>
        <v>7.2681283026200001</v>
      </c>
      <c r="CM7">
        <f>INDEX($B$21:$GQ$21,MATCH(90,$B$29:$GQ$29,0))</f>
        <v>7.47894238651</v>
      </c>
      <c r="CN7">
        <f>INDEX($B$21:$GQ$21,MATCH(91,$B$29:$GQ$29,0))</f>
        <v>6.2167013558799988</v>
      </c>
      <c r="CO7">
        <f>INDEX($B$21:$GQ$21,MATCH(92,$B$29:$GQ$29,0))</f>
        <v>7.1772939881199997</v>
      </c>
      <c r="CP7">
        <f>INDEX($B$21:$GQ$21,MATCH(93,$B$29:$GQ$29,0))</f>
        <v>64.052776141426875</v>
      </c>
      <c r="CQ7">
        <f>INDEX($B$21:$GQ$21,MATCH(94,$B$29:$GQ$29,0))</f>
        <v>5.4780863341700003</v>
      </c>
      <c r="CR7">
        <f>INDEX($B$21:$GQ$21,MATCH(95,$B$29:$GQ$29,0))</f>
        <v>0</v>
      </c>
      <c r="CS7">
        <f>INDEX($B$21:$GQ$21,MATCH(96,$B$29:$GQ$29,0))</f>
        <v>6.6187806119300001</v>
      </c>
      <c r="CT7">
        <f>INDEX($B$21:$GQ$21,MATCH(97,$B$29:$GQ$29,0))</f>
        <v>8.3376501952699993</v>
      </c>
      <c r="CU7">
        <f>INDEX($B$21:$GQ$21,MATCH(98,$B$29:$GQ$29,0))</f>
        <v>0</v>
      </c>
      <c r="CV7">
        <f>INDEX($B$21:$GQ$21,MATCH(99,$B$29:$GQ$29,0))</f>
        <v>7.7745748429250057</v>
      </c>
      <c r="CW7">
        <f>INDEX($B$21:$GQ$21,MATCH(100,$B$29:$GQ$29,0))</f>
        <v>3.4561336392499999</v>
      </c>
      <c r="CX7">
        <f>INDEX($B$21:$GQ$21,MATCH(101,$B$29:$GQ$29,0))</f>
        <v>52.290447045240562</v>
      </c>
      <c r="CY7">
        <f>INDEX($B$21:$GQ$21,MATCH(102,$B$29:$GQ$29,0))</f>
        <v>4.4869937232399604</v>
      </c>
      <c r="CZ7">
        <f>INDEX($B$21:$GQ$21,MATCH(103,$B$29:$GQ$29,0))</f>
        <v>4.2866716676400003</v>
      </c>
      <c r="DA7">
        <f>INDEX($B$21:$GQ$21,MATCH(104,$B$29:$GQ$29,0))</f>
        <v>2.8579230598600001</v>
      </c>
      <c r="DB7">
        <f>INDEX($B$21:$GQ$21,MATCH(105,$B$29:$GQ$29,0))</f>
        <v>7.7841592984684684</v>
      </c>
      <c r="DC7">
        <f>INDEX($B$21:$GQ$21,MATCH(106,$B$29:$GQ$29,0))</f>
        <v>2.5196803371600001</v>
      </c>
      <c r="DD7">
        <f>INDEX($B$21:$GQ$21,MATCH(107,$B$29:$GQ$29,0))</f>
        <v>1.5981500333700001</v>
      </c>
      <c r="DE7">
        <f>INDEX($B$21:$GQ$21,MATCH(108,$B$29:$GQ$29,0))</f>
        <v>157.13671563599999</v>
      </c>
      <c r="DF7">
        <f>INDEX($B$21:$GQ$21,MATCH(109,$B$29:$GQ$29,0))</f>
        <v>1.4328711332499999</v>
      </c>
      <c r="DG7">
        <f>INDEX($B$21:$GQ$21,MATCH(110,$B$29:$GQ$29,0))</f>
        <v>0.91886879222690554</v>
      </c>
      <c r="DH7">
        <f>INDEX($B$21:$GQ$21,MATCH(111,$B$29:$GQ$29,0))</f>
        <v>0.91095341557300002</v>
      </c>
      <c r="DI7">
        <f>INDEX($B$21:$GQ$21,MATCH(112,$B$29:$GQ$29,0))</f>
        <v>1.81215275413</v>
      </c>
      <c r="DJ7">
        <f>INDEX($B$21:$GQ$21,MATCH(113,$B$29:$GQ$29,0))</f>
        <v>0.63557573159500003</v>
      </c>
      <c r="DK7">
        <f>INDEX($B$21:$GQ$21,MATCH(114,$B$29:$GQ$29,0))</f>
        <v>0.47988633069100001</v>
      </c>
      <c r="DL7">
        <f>INDEX($B$21:$GQ$21,MATCH(115,$B$29:$GQ$29,0))</f>
        <v>7.4935930203748713</v>
      </c>
      <c r="DM7">
        <f>INDEX($B$21:$GQ$21,MATCH(116,$B$29:$GQ$29,0))</f>
        <v>2.2862877476796539</v>
      </c>
      <c r="DN7">
        <f>INDEX($B$21:$GQ$21,MATCH(117,$B$29:$GQ$29,0))</f>
        <v>0.112600342789</v>
      </c>
      <c r="DO7">
        <f>INDEX($B$21:$GQ$21,MATCH(118,$B$29:$GQ$29,0))</f>
        <v>1.056828588528105</v>
      </c>
      <c r="DP7">
        <f>INDEX($B$21:$GQ$21,MATCH(119,$B$29:$GQ$29,0))</f>
        <v>4.9947555776570151E-3</v>
      </c>
      <c r="DQ7">
        <f>INDEX($B$21:$GQ$21,MATCH(120,$B$29:$GQ$29,0))</f>
        <v>5.4250360592692362</v>
      </c>
      <c r="DR7">
        <f>INDEX($B$21:$GQ$21,MATCH(121,$B$29:$GQ$29,0))</f>
        <v>14.903983972800001</v>
      </c>
      <c r="DS7">
        <f>INDEX($B$21:$GQ$21,MATCH(122,$B$29:$GQ$29,0))</f>
        <v>5.55902005850945E-2</v>
      </c>
      <c r="DT7">
        <f>INDEX($B$21:$GQ$21,MATCH(123,$B$29:$GQ$29,0))</f>
        <v>0</v>
      </c>
      <c r="DU7">
        <f>INDEX($B$21:$GQ$21,MATCH(124,$B$29:$GQ$29,0))</f>
        <v>1.3261887457802539</v>
      </c>
      <c r="DV7">
        <f>INDEX($B$21:$GQ$21,MATCH(125,$B$29:$GQ$29,0))</f>
        <v>4.31870936057E-2</v>
      </c>
      <c r="DW7">
        <f>INDEX($B$21:$GQ$21,MATCH(126,$B$29:$GQ$29,0))</f>
        <v>14.5218305376</v>
      </c>
      <c r="DX7">
        <f>INDEX($B$21:$GQ$21,MATCH(127,$B$29:$GQ$29,0))</f>
        <v>6.3533008602000001</v>
      </c>
      <c r="DY7">
        <f>INDEX($B$21:$GQ$21,MATCH(128,$B$29:$GQ$29,0))</f>
        <v>0.102340521859746</v>
      </c>
      <c r="DZ7">
        <f>INDEX($B$21:$GQ$21,MATCH(129,$B$29:$GQ$29,0))</f>
        <v>0</v>
      </c>
      <c r="EA7">
        <f>INDEX($B$21:$GQ$21,MATCH(130,$B$29:$GQ$29,0))</f>
        <v>0.1066507278430744</v>
      </c>
      <c r="EB7">
        <f>INDEX($B$21:$GQ$21,MATCH(131,$B$29:$GQ$29,0))</f>
        <v>0.26273048669999999</v>
      </c>
      <c r="EC7">
        <f>INDEX($B$21:$GQ$21,MATCH(132,$B$29:$GQ$29,0))</f>
        <v>6.1700262321527496E-3</v>
      </c>
      <c r="ED7">
        <f>INDEX($B$21:$GQ$21,MATCH(133,$B$29:$GQ$29,0))</f>
        <v>3.9625614194724822E-4</v>
      </c>
      <c r="EE7">
        <f>INDEX($B$21:$GQ$21,MATCH(134,$B$29:$GQ$29,0))</f>
        <v>0</v>
      </c>
      <c r="EF7">
        <f>INDEX($B$21:$GQ$21,MATCH(135,$B$29:$GQ$29,0))</f>
        <v>0</v>
      </c>
      <c r="EG7">
        <f>INDEX($B$21:$GQ$21,MATCH(136,$B$29:$GQ$29,0))</f>
        <v>0</v>
      </c>
      <c r="EH7">
        <f>INDEX($B$21:$GQ$21,MATCH(137,$B$29:$GQ$29,0))</f>
        <v>0</v>
      </c>
      <c r="EI7">
        <f>INDEX($B$21:$GQ$21,MATCH(138,$B$29:$GQ$29,0))</f>
        <v>0</v>
      </c>
      <c r="EJ7">
        <f>INDEX($B$21:$GQ$21,MATCH(139,$B$29:$GQ$29,0))</f>
        <v>0</v>
      </c>
      <c r="EK7">
        <f>INDEX($B$21:$GQ$21,MATCH(140,$B$29:$GQ$29,0))</f>
        <v>0</v>
      </c>
      <c r="EL7">
        <f>INDEX($B$21:$GQ$21,MATCH(141,$B$29:$GQ$29,0))</f>
        <v>0</v>
      </c>
      <c r="EM7">
        <f>INDEX($B$21:$GQ$21,MATCH(142,$B$29:$GQ$29,0))</f>
        <v>0</v>
      </c>
      <c r="EN7">
        <f>INDEX($B$21:$GQ$21,MATCH(143,$B$29:$GQ$29,0))</f>
        <v>0</v>
      </c>
      <c r="EO7">
        <f>INDEX($B$21:$GQ$21,MATCH(144,$B$29:$GQ$29,0))</f>
        <v>0</v>
      </c>
      <c r="EP7">
        <f>INDEX($B$21:$GQ$21,MATCH(145,$B$29:$GQ$29,0))</f>
        <v>0</v>
      </c>
      <c r="EQ7">
        <f>INDEX($B$21:$GQ$21,MATCH(146,$B$29:$GQ$29,0))</f>
        <v>0</v>
      </c>
      <c r="ER7">
        <f>INDEX($B$21:$GQ$21,MATCH(147,$B$29:$GQ$29,0))</f>
        <v>0</v>
      </c>
      <c r="ES7">
        <f>INDEX($B$21:$GQ$21,MATCH(148,$B$29:$GQ$29,0))</f>
        <v>0</v>
      </c>
      <c r="ET7">
        <f>INDEX($B$21:$GQ$21,MATCH(149,$B$29:$GQ$29,0))</f>
        <v>0</v>
      </c>
      <c r="EU7">
        <f>INDEX($B$21:$GQ$21,MATCH(150,$B$29:$GQ$29,0))</f>
        <v>0</v>
      </c>
      <c r="EV7">
        <f>INDEX($B$21:$GQ$21,MATCH(151,$B$29:$GQ$29,0))</f>
        <v>0</v>
      </c>
      <c r="EW7">
        <f>INDEX($B$21:$GQ$21,MATCH(152,$B$29:$GQ$29,0))</f>
        <v>0</v>
      </c>
      <c r="EX7">
        <f>INDEX($B$21:$GQ$21,MATCH(153,$B$29:$GQ$29,0))</f>
        <v>0</v>
      </c>
      <c r="EY7">
        <f>INDEX($B$21:$GQ$21,MATCH(154,$B$29:$GQ$29,0))</f>
        <v>0</v>
      </c>
      <c r="EZ7">
        <f>INDEX($B$21:$GQ$21,MATCH(155,$B$29:$GQ$29,0))</f>
        <v>0</v>
      </c>
      <c r="FA7">
        <f>INDEX($B$21:$GQ$21,MATCH(156,$B$29:$GQ$29,0))</f>
        <v>0</v>
      </c>
      <c r="FB7">
        <f>INDEX($B$21:$GQ$21,MATCH(157,$B$29:$GQ$29,0))</f>
        <v>0</v>
      </c>
      <c r="FC7">
        <f>INDEX($B$21:$GQ$21,MATCH(158,$B$29:$GQ$29,0))</f>
        <v>0</v>
      </c>
      <c r="FD7">
        <f>INDEX($B$21:$GQ$21,MATCH(159,$B$29:$GQ$29,0))</f>
        <v>0</v>
      </c>
      <c r="FE7">
        <f>INDEX($B$21:$GQ$21,MATCH(160,$B$29:$GQ$29,0))</f>
        <v>0</v>
      </c>
      <c r="FF7">
        <f>INDEX($B$21:$GQ$21,MATCH(161,$B$29:$GQ$29,0))</f>
        <v>0</v>
      </c>
      <c r="FG7">
        <f>INDEX($B$21:$GQ$21,MATCH(162,$B$29:$GQ$29,0))</f>
        <v>0</v>
      </c>
      <c r="FH7">
        <f>INDEX($B$21:$GQ$21,MATCH(163,$B$29:$GQ$29,0))</f>
        <v>0</v>
      </c>
      <c r="FI7">
        <f>INDEX($B$21:$GQ$21,MATCH(164,$B$29:$GQ$29,0))</f>
        <v>0</v>
      </c>
      <c r="FJ7">
        <f>INDEX($B$21:$GQ$21,MATCH(165,$B$29:$GQ$29,0))</f>
        <v>0</v>
      </c>
      <c r="FK7">
        <f>INDEX($B$21:$GQ$21,MATCH(166,$B$29:$GQ$29,0))</f>
        <v>0</v>
      </c>
      <c r="FL7">
        <f>INDEX($B$21:$GQ$21,MATCH(167,$B$29:$GQ$29,0))</f>
        <v>0</v>
      </c>
      <c r="FM7">
        <f>INDEX($B$21:$GQ$21,MATCH(168,$B$29:$GQ$29,0))</f>
        <v>0</v>
      </c>
      <c r="FN7">
        <f>INDEX($B$21:$GQ$21,MATCH(169,$B$29:$GQ$29,0))</f>
        <v>0</v>
      </c>
      <c r="FO7">
        <f>INDEX($B$21:$GQ$21,MATCH(170,$B$29:$GQ$29,0))</f>
        <v>0</v>
      </c>
      <c r="FP7">
        <f>INDEX($B$21:$GQ$21,MATCH(171,$B$29:$GQ$29,0))</f>
        <v>0</v>
      </c>
      <c r="FQ7">
        <f>INDEX($B$21:$GQ$21,MATCH(172,$B$29:$GQ$29,0))</f>
        <v>0</v>
      </c>
      <c r="FR7">
        <f>INDEX($B$21:$GQ$21,MATCH(173,$B$29:$GQ$29,0))</f>
        <v>0</v>
      </c>
      <c r="FS7">
        <f>INDEX($B$21:$GQ$21,MATCH(174,$B$29:$GQ$29,0))</f>
        <v>0</v>
      </c>
      <c r="FT7">
        <f>INDEX($B$21:$GQ$21,MATCH(175,$B$29:$GQ$29,0))</f>
        <v>0</v>
      </c>
      <c r="FU7">
        <f>INDEX($B$21:$GQ$21,MATCH(176,$B$29:$GQ$29,0))</f>
        <v>0</v>
      </c>
      <c r="FV7">
        <f>INDEX($B$21:$GQ$21,MATCH(177,$B$29:$GQ$29,0))</f>
        <v>0</v>
      </c>
      <c r="FW7">
        <f>INDEX($B$21:$GQ$21,MATCH(178,$B$29:$GQ$29,0))</f>
        <v>0</v>
      </c>
      <c r="FX7">
        <f>INDEX($B$21:$GQ$21,MATCH(179,$B$29:$GQ$29,0))</f>
        <v>0</v>
      </c>
      <c r="FY7">
        <f>INDEX($B$21:$GQ$21,MATCH(180,$B$29:$GQ$29,0))</f>
        <v>3.0458495076355003E-4</v>
      </c>
      <c r="FZ7">
        <f>INDEX($B$21:$GQ$21,MATCH(181,$B$29:$GQ$29,0))</f>
        <v>0</v>
      </c>
      <c r="GA7">
        <f>INDEX($B$21:$GQ$21,MATCH(182,$B$29:$GQ$29,0))</f>
        <v>0</v>
      </c>
      <c r="GB7">
        <f>INDEX($B$21:$GQ$21,MATCH(183,$B$29:$GQ$29,0))</f>
        <v>0</v>
      </c>
      <c r="GC7">
        <f>INDEX($B$21:$GQ$21,MATCH(184,$B$29:$GQ$29,0))</f>
        <v>0</v>
      </c>
      <c r="GD7">
        <f>INDEX($B$21:$GQ$21,MATCH(185,$B$29:$GQ$29,0))</f>
        <v>6.0997008595128847E-2</v>
      </c>
      <c r="GE7">
        <f>INDEX($B$21:$GQ$21,MATCH(186,$B$29:$GQ$29,0))</f>
        <v>0</v>
      </c>
      <c r="GF7">
        <f>INDEX($B$21:$GQ$21,MATCH(187,$B$29:$GQ$29,0))</f>
        <v>0</v>
      </c>
      <c r="GG7">
        <f>INDEX($B$21:$GQ$21,MATCH(188,$B$29:$GQ$29,0))</f>
        <v>0</v>
      </c>
      <c r="GH7">
        <f>INDEX($B$21:$GQ$21,MATCH(189,$B$29:$GQ$29,0))</f>
        <v>0</v>
      </c>
      <c r="GI7">
        <f>INDEX($B$21:$GQ$21,MATCH(190,$B$29:$GQ$29,0))</f>
        <v>0</v>
      </c>
      <c r="GJ7">
        <f>INDEX($B$21:$GQ$21,MATCH(191,$B$29:$GQ$29,0))</f>
        <v>0</v>
      </c>
      <c r="GK7">
        <f>INDEX($B$21:$GQ$21,MATCH(192,$B$29:$GQ$29,0))</f>
        <v>0</v>
      </c>
      <c r="GL7">
        <f>INDEX($B$21:$GQ$21,MATCH(193,$B$29:$GQ$29,0))</f>
        <v>0</v>
      </c>
      <c r="GM7">
        <f>INDEX($B$21:$GQ$21,MATCH(194,$B$29:$GQ$29,0))</f>
        <v>0</v>
      </c>
      <c r="GN7">
        <f>INDEX($B$21:$GQ$21,MATCH(195,$B$29:$GQ$29,0))</f>
        <v>0</v>
      </c>
      <c r="GO7">
        <f>INDEX($B$21:$GQ$21,MATCH(196,$B$29:$GQ$29,0))</f>
        <v>0</v>
      </c>
      <c r="GP7">
        <f>INDEX($B$21:$GQ$21,MATCH(197,$B$29:$GQ$29,0))</f>
        <v>0</v>
      </c>
      <c r="GQ7">
        <f>INDEX($B$21:$GQ$21,MATCH(198,$B$29:$GQ$29,0))</f>
        <v>0</v>
      </c>
      <c r="GR7">
        <f>INDEX($GR$21:$HC$21,MATCH(1,$GR$30:$HC$30,0))</f>
        <v>17903.873458744751</v>
      </c>
      <c r="GS7">
        <f>INDEX($GR$21:$HC$21,MATCH(2,$GR$30:$HC$30,0))</f>
        <v>6818.9374820032835</v>
      </c>
      <c r="GT7">
        <f>INDEX($GR$21:$HC$21,MATCH(3,$GR$30:$HC$30,0))</f>
        <v>14392.991685798401</v>
      </c>
      <c r="GU7">
        <f>INDEX($GR$21:$HC$21,MATCH(4,$GR$30:$HC$30,0))</f>
        <v>3828.2993022389001</v>
      </c>
      <c r="GV7">
        <f>INDEX($GR$21:$HC$21,MATCH(5,$GR$30:$HC$30,0))</f>
        <v>26463.523517716021</v>
      </c>
      <c r="GW7">
        <f>INDEX($GR$21:$HC$21,MATCH(6,$GR$30:$HC$30,0))</f>
        <v>22808.071933269999</v>
      </c>
      <c r="GX7">
        <f>INDEX($GR$21:$HC$21,MATCH(7,$GR$30:$HC$30,0))</f>
        <v>58120.83281466164</v>
      </c>
      <c r="GY7">
        <f>INDEX($GR$21:$HC$21,MATCH(8,$GR$30:$HC$30,0))</f>
        <v>52451.491819216943</v>
      </c>
      <c r="GZ7">
        <f>INDEX($GR$21:$HC$21,MATCH(9,$GR$30:$HC$30,0))</f>
        <v>1038.4943145499999</v>
      </c>
      <c r="HA7">
        <f>INDEX($GR$21:$HC$21,MATCH(10,$GR$30:$HC$30,0))</f>
        <v>0</v>
      </c>
      <c r="HB7">
        <f>INDEX($GR$21:$HC$21,MATCH(11,$GR$30:$HC$30,0))</f>
        <v>2356.4986623639588</v>
      </c>
      <c r="HC7">
        <f>INDEX($GR$21:$HC$21,MATCH(12,$GR$30:$HC$30,0))</f>
        <v>1806.0386160099999</v>
      </c>
    </row>
    <row r="8" spans="1:211" x14ac:dyDescent="0.45">
      <c r="A8" s="1" t="s">
        <v>7</v>
      </c>
      <c r="B8">
        <f>INDEX($B$22:$GQ$22,MATCH(1,$B$29:$GQ$29,0))</f>
        <v>10280.107604815599</v>
      </c>
      <c r="C8">
        <f>INDEX($B$22:$GQ$22,MATCH(2,$B$29:$GQ$29,0))</f>
        <v>23360.725289119</v>
      </c>
      <c r="D8">
        <f>INDEX($B$22:$GQ$22,MATCH(3,$B$29:$GQ$29,0))</f>
        <v>15949.9837150327</v>
      </c>
      <c r="E8">
        <f>INDEX($B$22:$GQ$22,MATCH(4,$B$29:$GQ$29,0))</f>
        <v>0</v>
      </c>
      <c r="F8">
        <f>INDEX($B$22:$GQ$22,MATCH(5,$B$29:$GQ$29,0))</f>
        <v>5050.4413716326299</v>
      </c>
      <c r="G8">
        <f>INDEX($B$22:$GQ$22,MATCH(6,$B$29:$GQ$29,0))</f>
        <v>258670.86586419999</v>
      </c>
      <c r="H8">
        <f>INDEX($B$22:$GQ$22,MATCH(7,$B$29:$GQ$29,0))</f>
        <v>83954.164852629998</v>
      </c>
      <c r="I8">
        <f>INDEX($B$22:$GQ$22,MATCH(8,$B$29:$GQ$29,0))</f>
        <v>186753.73804475501</v>
      </c>
      <c r="J8">
        <f>INDEX($B$22:$GQ$22,MATCH(9,$B$29:$GQ$29,0))</f>
        <v>242143.13257310001</v>
      </c>
      <c r="K8">
        <f>INDEX($B$22:$GQ$22,MATCH(10,$B$29:$GQ$29,0))</f>
        <v>128.12948849290001</v>
      </c>
      <c r="L8">
        <f>INDEX($B$22:$GQ$22,MATCH(11,$B$29:$GQ$29,0))</f>
        <v>111.1237859411297</v>
      </c>
      <c r="M8">
        <f>INDEX($B$22:$GQ$22,MATCH(12,$B$29:$GQ$29,0))</f>
        <v>3273.5352910359002</v>
      </c>
      <c r="N8">
        <f>INDEX($B$22:$GQ$22,MATCH(13,$B$29:$GQ$29,0))</f>
        <v>8488.2230403558297</v>
      </c>
      <c r="O8">
        <f>INDEX($B$22:$GQ$22,MATCH(14,$B$29:$GQ$29,0))</f>
        <v>37588.165323314177</v>
      </c>
      <c r="P8">
        <f>INDEX($B$22:$GQ$22,MATCH(15,$B$29:$GQ$29,0))</f>
        <v>71885.084968099996</v>
      </c>
      <c r="Q8">
        <f>INDEX($B$22:$GQ$22,MATCH(16,$B$29:$GQ$29,0))</f>
        <v>26547.7846919</v>
      </c>
      <c r="R8">
        <f>INDEX($B$22:$GQ$22,MATCH(17,$B$29:$GQ$29,0))</f>
        <v>7010.4418690136599</v>
      </c>
      <c r="S8">
        <f>INDEX($B$22:$GQ$22,MATCH(18,$B$29:$GQ$29,0))</f>
        <v>2468.4934124624001</v>
      </c>
      <c r="T8">
        <f>INDEX($B$22:$GQ$22,MATCH(19,$B$29:$GQ$29,0))</f>
        <v>130808.66813279</v>
      </c>
      <c r="U8">
        <f>INDEX($B$22:$GQ$22,MATCH(20,$B$29:$GQ$29,0))</f>
        <v>8018.0444478146992</v>
      </c>
      <c r="V8">
        <f>INDEX($B$22:$GQ$22,MATCH(21,$B$29:$GQ$29,0))</f>
        <v>9071.7807908699997</v>
      </c>
      <c r="W8">
        <f>INDEX($B$22:$GQ$22,MATCH(22,$B$29:$GQ$29,0))</f>
        <v>7391.2707397499989</v>
      </c>
      <c r="X8">
        <f>INDEX($B$22:$GQ$22,MATCH(23,$B$29:$GQ$29,0))</f>
        <v>874.53301648599995</v>
      </c>
      <c r="Y8">
        <f>INDEX($B$22:$GQ$22,MATCH(24,$B$29:$GQ$29,0))</f>
        <v>2215.3406393403002</v>
      </c>
      <c r="Z8">
        <f>INDEX($B$22:$GQ$22,MATCH(25,$B$29:$GQ$29,0))</f>
        <v>3117.9127895699999</v>
      </c>
      <c r="AA8">
        <f>INDEX($B$22:$GQ$22,MATCH(26,$B$29:$GQ$29,0))</f>
        <v>1889.7566549799999</v>
      </c>
      <c r="AB8">
        <f>INDEX($B$22:$GQ$22,MATCH(27,$B$29:$GQ$29,0))</f>
        <v>11302.3998226312</v>
      </c>
      <c r="AC8">
        <f>INDEX($B$22:$GQ$22,MATCH(28,$B$29:$GQ$29,0))</f>
        <v>2108.0791581456701</v>
      </c>
      <c r="AD8">
        <f>INDEX($B$22:$GQ$22,MATCH(29,$B$29:$GQ$29,0))</f>
        <v>4666.4618214472184</v>
      </c>
      <c r="AE8">
        <f>INDEX($B$22:$GQ$22,MATCH(30,$B$29:$GQ$29,0))</f>
        <v>726.07848723778375</v>
      </c>
      <c r="AF8">
        <f>INDEX($B$22:$GQ$22,MATCH(31,$B$29:$GQ$29,0))</f>
        <v>11126.0696009</v>
      </c>
      <c r="AG8">
        <f>INDEX($B$22:$GQ$22,MATCH(32,$B$29:$GQ$29,0))</f>
        <v>30950.3724516</v>
      </c>
      <c r="AH8">
        <f>INDEX($B$22:$GQ$22,MATCH(33,$B$29:$GQ$29,0))</f>
        <v>31909.8454513</v>
      </c>
      <c r="AI8">
        <f>INDEX($B$22:$GQ$22,MATCH(34,$B$29:$GQ$29,0))</f>
        <v>42904.638546299997</v>
      </c>
      <c r="AJ8">
        <f>INDEX($B$22:$GQ$22,MATCH(35,$B$29:$GQ$29,0))</f>
        <v>7435.9329311493466</v>
      </c>
      <c r="AK8">
        <f>INDEX($B$22:$GQ$22,MATCH(36,$B$29:$GQ$29,0))</f>
        <v>22590.5100676</v>
      </c>
      <c r="AL8">
        <f>INDEX($B$22:$GQ$22,MATCH(37,$B$29:$GQ$29,0))</f>
        <v>139.24546536700001</v>
      </c>
      <c r="AM8">
        <f>INDEX($B$22:$GQ$22,MATCH(38,$B$29:$GQ$29,0))</f>
        <v>662.143368282305</v>
      </c>
      <c r="AN8">
        <f>INDEX($B$22:$GQ$22,MATCH(39,$B$29:$GQ$29,0))</f>
        <v>1190.0860007440001</v>
      </c>
      <c r="AO8">
        <f>INDEX($B$22:$GQ$22,MATCH(40,$B$29:$GQ$29,0))</f>
        <v>6143.0077963115054</v>
      </c>
      <c r="AP8">
        <f>INDEX($B$22:$GQ$22,MATCH(41,$B$29:$GQ$29,0))</f>
        <v>11238.476071223</v>
      </c>
      <c r="AQ8">
        <f>INDEX($B$22:$GQ$22,MATCH(42,$B$29:$GQ$29,0))</f>
        <v>15294.563008583</v>
      </c>
      <c r="AR8">
        <f>INDEX($B$22:$GQ$22,MATCH(43,$B$29:$GQ$29,0))</f>
        <v>10186.75299786705</v>
      </c>
      <c r="AS8">
        <f>INDEX($B$22:$GQ$22,MATCH(44,$B$29:$GQ$29,0))</f>
        <v>16771.579081532</v>
      </c>
      <c r="AT8">
        <f>INDEX($B$22:$GQ$22,MATCH(45,$B$29:$GQ$29,0))</f>
        <v>1585.4834509899999</v>
      </c>
      <c r="AU8">
        <f>INDEX($B$22:$GQ$22,MATCH(46,$B$29:$GQ$29,0))</f>
        <v>15846.2651147</v>
      </c>
      <c r="AV8">
        <f>INDEX($B$22:$GQ$22,MATCH(47,$B$29:$GQ$29,0))</f>
        <v>3671.05667554</v>
      </c>
      <c r="AW8">
        <f>INDEX($B$22:$GQ$22,MATCH(48,$B$29:$GQ$29,0))</f>
        <v>0</v>
      </c>
      <c r="AX8">
        <f>INDEX($B$22:$GQ$22,MATCH(49,$B$29:$GQ$29,0))</f>
        <v>514.07430814345184</v>
      </c>
      <c r="AY8">
        <f>INDEX($B$22:$GQ$22,MATCH(50,$B$29:$GQ$29,0))</f>
        <v>13529.354277</v>
      </c>
      <c r="AZ8">
        <f>INDEX($B$22:$GQ$22,MATCH(51,$B$29:$GQ$29,0))</f>
        <v>26.83840954758</v>
      </c>
      <c r="BA8">
        <f>INDEX($B$22:$GQ$22,MATCH(52,$B$29:$GQ$29,0))</f>
        <v>8925.8146115100008</v>
      </c>
      <c r="BB8">
        <f>INDEX($B$22:$GQ$22,MATCH(53,$B$29:$GQ$29,0))</f>
        <v>30296.038247430999</v>
      </c>
      <c r="BC8">
        <f>INDEX($B$22:$GQ$22,MATCH(54,$B$29:$GQ$29,0))</f>
        <v>8796.4664476500002</v>
      </c>
      <c r="BD8">
        <f>INDEX($B$22:$GQ$22,MATCH(55,$B$29:$GQ$29,0))</f>
        <v>1956.93538405</v>
      </c>
      <c r="BE8">
        <f>INDEX($B$22:$GQ$22,MATCH(56,$B$29:$GQ$29,0))</f>
        <v>370.68346562429832</v>
      </c>
      <c r="BF8">
        <f>INDEX($B$22:$GQ$22,MATCH(57,$B$29:$GQ$29,0))</f>
        <v>5484.6488585699999</v>
      </c>
      <c r="BG8">
        <f>INDEX($B$22:$GQ$22,MATCH(58,$B$29:$GQ$29,0))</f>
        <v>235.5104379290872</v>
      </c>
      <c r="BH8">
        <f>INDEX($B$22:$GQ$22,MATCH(59,$B$29:$GQ$29,0))</f>
        <v>1938.44845799</v>
      </c>
      <c r="BI8">
        <f>INDEX($B$22:$GQ$22,MATCH(60,$B$29:$GQ$29,0))</f>
        <v>26.960627056900002</v>
      </c>
      <c r="BJ8">
        <f>INDEX($B$22:$GQ$22,MATCH(61,$B$29:$GQ$29,0))</f>
        <v>1377.8064414299999</v>
      </c>
      <c r="BK8">
        <f>INDEX($B$22:$GQ$22,MATCH(62,$B$29:$GQ$29,0))</f>
        <v>4983.7269113496177</v>
      </c>
      <c r="BL8">
        <f>INDEX($B$22:$GQ$22,MATCH(63,$B$29:$GQ$29,0))</f>
        <v>749.58537190106574</v>
      </c>
      <c r="BM8">
        <f>INDEX($B$22:$GQ$22,MATCH(64,$B$29:$GQ$29,0))</f>
        <v>2869.1544762899998</v>
      </c>
      <c r="BN8">
        <f>INDEX($B$22:$GQ$22,MATCH(65,$B$29:$GQ$29,0))</f>
        <v>1501.0289734744999</v>
      </c>
      <c r="BO8">
        <f>INDEX($B$22:$GQ$22,MATCH(66,$B$29:$GQ$29,0))</f>
        <v>689.76229474199999</v>
      </c>
      <c r="BP8">
        <f>INDEX($B$22:$GQ$22,MATCH(67,$B$29:$GQ$29,0))</f>
        <v>8.0925708148400002</v>
      </c>
      <c r="BQ8">
        <f>INDEX($B$22:$GQ$22,MATCH(68,$B$29:$GQ$29,0))</f>
        <v>9539.4035679999997</v>
      </c>
      <c r="BR8">
        <f>INDEX($B$22:$GQ$22,MATCH(69,$B$29:$GQ$29,0))</f>
        <v>137.460607966</v>
      </c>
      <c r="BS8">
        <f>INDEX($B$22:$GQ$22,MATCH(70,$B$29:$GQ$29,0))</f>
        <v>9886.4385954099998</v>
      </c>
      <c r="BT8">
        <f>INDEX($B$22:$GQ$22,MATCH(71,$B$29:$GQ$29,0))</f>
        <v>967.10634446200015</v>
      </c>
      <c r="BU8">
        <f>INDEX($B$22:$GQ$22,MATCH(72,$B$29:$GQ$29,0))</f>
        <v>5628.20353823</v>
      </c>
      <c r="BV8">
        <f>INDEX($B$22:$GQ$22,MATCH(73,$B$29:$GQ$29,0))</f>
        <v>710.2622544142647</v>
      </c>
      <c r="BW8">
        <f>INDEX($B$22:$GQ$22,MATCH(74,$B$29:$GQ$29,0))</f>
        <v>43.787168113900002</v>
      </c>
      <c r="BX8">
        <f>INDEX($B$22:$GQ$22,MATCH(75,$B$29:$GQ$29,0))</f>
        <v>7198.7452669800005</v>
      </c>
      <c r="BY8">
        <f>INDEX($B$22:$GQ$22,MATCH(76,$B$29:$GQ$29,0))</f>
        <v>1908.1984372858201</v>
      </c>
      <c r="BZ8">
        <f>INDEX($B$22:$GQ$22,MATCH(77,$B$29:$GQ$29,0))</f>
        <v>3328.271032657</v>
      </c>
      <c r="CA8">
        <f>INDEX($B$22:$GQ$22,MATCH(78,$B$29:$GQ$29,0))</f>
        <v>1235.3526669582809</v>
      </c>
      <c r="CB8">
        <f>INDEX($B$22:$GQ$22,MATCH(79,$B$29:$GQ$29,0))</f>
        <v>2459.8227431700002</v>
      </c>
      <c r="CC8">
        <f>INDEX($B$22:$GQ$22,MATCH(80,$B$29:$GQ$29,0))</f>
        <v>301.73270808747918</v>
      </c>
      <c r="CD8">
        <f>INDEX($B$22:$GQ$22,MATCH(81,$B$29:$GQ$29,0))</f>
        <v>160.53293276706461</v>
      </c>
      <c r="CE8">
        <f>INDEX($B$22:$GQ$22,MATCH(82,$B$29:$GQ$29,0))</f>
        <v>7.5170467887461898</v>
      </c>
      <c r="CF8">
        <f>INDEX($B$22:$GQ$22,MATCH(83,$B$29:$GQ$29,0))</f>
        <v>1333.3558007900001</v>
      </c>
      <c r="CG8">
        <f>INDEX($B$22:$GQ$22,MATCH(84,$B$29:$GQ$29,0))</f>
        <v>310.99962491299999</v>
      </c>
      <c r="CH8">
        <f>INDEX($B$22:$GQ$22,MATCH(85,$B$29:$GQ$29,0))</f>
        <v>458.08197929454701</v>
      </c>
      <c r="CI8">
        <f>INDEX($B$22:$GQ$22,MATCH(86,$B$29:$GQ$29,0))</f>
        <v>949.25281436</v>
      </c>
      <c r="CJ8">
        <f>INDEX($B$22:$GQ$22,MATCH(87,$B$29:$GQ$29,0))</f>
        <v>308.12175901199998</v>
      </c>
      <c r="CK8">
        <f>INDEX($B$22:$GQ$22,MATCH(88,$B$29:$GQ$29,0))</f>
        <v>769.05730232869996</v>
      </c>
      <c r="CL8">
        <f>INDEX($B$22:$GQ$22,MATCH(89,$B$29:$GQ$29,0))</f>
        <v>919.98164076199998</v>
      </c>
      <c r="CM8">
        <f>INDEX($B$22:$GQ$22,MATCH(90,$B$29:$GQ$29,0))</f>
        <v>804.795130685</v>
      </c>
      <c r="CN8">
        <f>INDEX($B$22:$GQ$22,MATCH(91,$B$29:$GQ$29,0))</f>
        <v>773.51984684800004</v>
      </c>
      <c r="CO8">
        <f>INDEX($B$22:$GQ$22,MATCH(92,$B$29:$GQ$29,0))</f>
        <v>767.06281134100004</v>
      </c>
      <c r="CP8">
        <f>INDEX($B$22:$GQ$22,MATCH(93,$B$29:$GQ$29,0))</f>
        <v>438.23633378573538</v>
      </c>
      <c r="CQ8">
        <f>INDEX($B$22:$GQ$22,MATCH(94,$B$29:$GQ$29,0))</f>
        <v>472.33991311599999</v>
      </c>
      <c r="CR8">
        <f>INDEX($B$22:$GQ$22,MATCH(95,$B$29:$GQ$29,0))</f>
        <v>984.28394153700003</v>
      </c>
      <c r="CS8">
        <f>INDEX($B$22:$GQ$22,MATCH(96,$B$29:$GQ$29,0))</f>
        <v>460.33404258299998</v>
      </c>
      <c r="CT8">
        <f>INDEX($B$22:$GQ$22,MATCH(97,$B$29:$GQ$29,0))</f>
        <v>479.80123612099999</v>
      </c>
      <c r="CU8">
        <f>INDEX($B$22:$GQ$22,MATCH(98,$B$29:$GQ$29,0))</f>
        <v>347.92681815999998</v>
      </c>
      <c r="CV8">
        <f>INDEX($B$22:$GQ$22,MATCH(99,$B$29:$GQ$29,0))</f>
        <v>488.06950732907501</v>
      </c>
      <c r="CW8">
        <f>INDEX($B$22:$GQ$22,MATCH(100,$B$29:$GQ$29,0))</f>
        <v>332.70708407199999</v>
      </c>
      <c r="CX8">
        <f>INDEX($B$22:$GQ$22,MATCH(101,$B$29:$GQ$29,0))</f>
        <v>43.24791175475945</v>
      </c>
      <c r="CY8">
        <f>INDEX($B$22:$GQ$22,MATCH(102,$B$29:$GQ$29,0))</f>
        <v>213.02996467476001</v>
      </c>
      <c r="CZ8">
        <f>INDEX($B$22:$GQ$22,MATCH(103,$B$29:$GQ$29,0))</f>
        <v>317.56515019599999</v>
      </c>
      <c r="DA8">
        <f>INDEX($B$22:$GQ$22,MATCH(104,$B$29:$GQ$29,0))</f>
        <v>266.24321473499998</v>
      </c>
      <c r="DB8">
        <f>INDEX($B$22:$GQ$22,MATCH(105,$B$29:$GQ$29,0))</f>
        <v>36.951677209631541</v>
      </c>
      <c r="DC8">
        <f>INDEX($B$22:$GQ$22,MATCH(106,$B$29:$GQ$29,0))</f>
        <v>222.57871309000001</v>
      </c>
      <c r="DD8">
        <f>INDEX($B$22:$GQ$22,MATCH(107,$B$29:$GQ$29,0))</f>
        <v>192.22371685499999</v>
      </c>
      <c r="DE8">
        <f>INDEX($B$22:$GQ$22,MATCH(108,$B$29:$GQ$29,0))</f>
        <v>0</v>
      </c>
      <c r="DF8">
        <f>INDEX($B$22:$GQ$22,MATCH(109,$B$29:$GQ$29,0))</f>
        <v>167.74187124900001</v>
      </c>
      <c r="DG8">
        <f>INDEX($B$22:$GQ$22,MATCH(110,$B$29:$GQ$29,0))</f>
        <v>50.515630950077558</v>
      </c>
      <c r="DH8">
        <f>INDEX($B$22:$GQ$22,MATCH(111,$B$29:$GQ$29,0))</f>
        <v>84.577913012400003</v>
      </c>
      <c r="DI8">
        <f>INDEX($B$22:$GQ$22,MATCH(112,$B$29:$GQ$29,0))</f>
        <v>70.890308732400001</v>
      </c>
      <c r="DJ8">
        <f>INDEX($B$22:$GQ$22,MATCH(113,$B$29:$GQ$29,0))</f>
        <v>70.537428166500007</v>
      </c>
      <c r="DK8">
        <f>INDEX($B$22:$GQ$22,MATCH(114,$B$29:$GQ$29,0))</f>
        <v>52.302272047400002</v>
      </c>
      <c r="DL8">
        <f>INDEX($B$22:$GQ$22,MATCH(115,$B$29:$GQ$29,0))</f>
        <v>0</v>
      </c>
      <c r="DM8">
        <f>INDEX($B$22:$GQ$22,MATCH(116,$B$29:$GQ$29,0))</f>
        <v>167.10322240432029</v>
      </c>
      <c r="DN8">
        <f>INDEX($B$22:$GQ$22,MATCH(117,$B$29:$GQ$29,0))</f>
        <v>7.7309901311899996</v>
      </c>
      <c r="DO8">
        <f>INDEX($B$22:$GQ$22,MATCH(118,$B$29:$GQ$29,0))</f>
        <v>2.1437064312718959</v>
      </c>
      <c r="DP8">
        <f>INDEX($B$22:$GQ$22,MATCH(119,$B$29:$GQ$29,0))</f>
        <v>11.36406994162234</v>
      </c>
      <c r="DQ8">
        <f>INDEX($B$22:$GQ$22,MATCH(120,$B$29:$GQ$29,0))</f>
        <v>0</v>
      </c>
      <c r="DR8">
        <f>INDEX($B$22:$GQ$22,MATCH(121,$B$29:$GQ$29,0))</f>
        <v>0</v>
      </c>
      <c r="DS8">
        <f>INDEX($B$22:$GQ$22,MATCH(122,$B$29:$GQ$29,0))</f>
        <v>11.094501610822441</v>
      </c>
      <c r="DT8">
        <f>INDEX($B$22:$GQ$22,MATCH(123,$B$29:$GQ$29,0))</f>
        <v>1.8890696923700001</v>
      </c>
      <c r="DU8">
        <f>INDEX($B$22:$GQ$22,MATCH(124,$B$29:$GQ$29,0))</f>
        <v>0.46723417790522082</v>
      </c>
      <c r="DV8">
        <f>INDEX($B$22:$GQ$22,MATCH(125,$B$29:$GQ$29,0))</f>
        <v>6.1009405066999998</v>
      </c>
      <c r="DW8">
        <f>INDEX($B$22:$GQ$22,MATCH(126,$B$29:$GQ$29,0))</f>
        <v>0</v>
      </c>
      <c r="DX8">
        <f>INDEX($B$22:$GQ$22,MATCH(127,$B$29:$GQ$29,0))</f>
        <v>0</v>
      </c>
      <c r="DY8">
        <f>INDEX($B$22:$GQ$22,MATCH(128,$B$29:$GQ$29,0))</f>
        <v>0.26654030710377918</v>
      </c>
      <c r="DZ8">
        <f>INDEX($B$22:$GQ$22,MATCH(129,$B$29:$GQ$29,0))</f>
        <v>0.14561557168100001</v>
      </c>
      <c r="EA8">
        <f>INDEX($B$22:$GQ$22,MATCH(130,$B$29:$GQ$29,0))</f>
        <v>0.72930991165692571</v>
      </c>
      <c r="EB8">
        <f>INDEX($B$22:$GQ$22,MATCH(131,$B$29:$GQ$29,0))</f>
        <v>0</v>
      </c>
      <c r="EC8">
        <f>INDEX($B$22:$GQ$22,MATCH(132,$B$29:$GQ$29,0))</f>
        <v>4.0624645841598698E-3</v>
      </c>
      <c r="ED8">
        <f>INDEX($B$22:$GQ$22,MATCH(133,$B$29:$GQ$29,0))</f>
        <v>1.8210031991701299E-3</v>
      </c>
      <c r="EE8">
        <f>INDEX($B$22:$GQ$22,MATCH(134,$B$29:$GQ$29,0))</f>
        <v>0</v>
      </c>
      <c r="EF8">
        <f>INDEX($B$22:$GQ$22,MATCH(135,$B$29:$GQ$29,0))</f>
        <v>0</v>
      </c>
      <c r="EG8">
        <f>INDEX($B$22:$GQ$22,MATCH(136,$B$29:$GQ$29,0))</f>
        <v>0</v>
      </c>
      <c r="EH8">
        <f>INDEX($B$22:$GQ$22,MATCH(137,$B$29:$GQ$29,0))</f>
        <v>0</v>
      </c>
      <c r="EI8">
        <f>INDEX($B$22:$GQ$22,MATCH(138,$B$29:$GQ$29,0))</f>
        <v>0</v>
      </c>
      <c r="EJ8">
        <f>INDEX($B$22:$GQ$22,MATCH(139,$B$29:$GQ$29,0))</f>
        <v>0</v>
      </c>
      <c r="EK8">
        <f>INDEX($B$22:$GQ$22,MATCH(140,$B$29:$GQ$29,0))</f>
        <v>0</v>
      </c>
      <c r="EL8">
        <f>INDEX($B$22:$GQ$22,MATCH(141,$B$29:$GQ$29,0))</f>
        <v>0</v>
      </c>
      <c r="EM8">
        <f>INDEX($B$22:$GQ$22,MATCH(142,$B$29:$GQ$29,0))</f>
        <v>0</v>
      </c>
      <c r="EN8">
        <f>INDEX($B$22:$GQ$22,MATCH(143,$B$29:$GQ$29,0))</f>
        <v>0</v>
      </c>
      <c r="EO8">
        <f>INDEX($B$22:$GQ$22,MATCH(144,$B$29:$GQ$29,0))</f>
        <v>0</v>
      </c>
      <c r="EP8">
        <f>INDEX($B$22:$GQ$22,MATCH(145,$B$29:$GQ$29,0))</f>
        <v>0</v>
      </c>
      <c r="EQ8">
        <f>INDEX($B$22:$GQ$22,MATCH(146,$B$29:$GQ$29,0))</f>
        <v>0</v>
      </c>
      <c r="ER8">
        <f>INDEX($B$22:$GQ$22,MATCH(147,$B$29:$GQ$29,0))</f>
        <v>0</v>
      </c>
      <c r="ES8">
        <f>INDEX($B$22:$GQ$22,MATCH(148,$B$29:$GQ$29,0))</f>
        <v>0</v>
      </c>
      <c r="ET8">
        <f>INDEX($B$22:$GQ$22,MATCH(149,$B$29:$GQ$29,0))</f>
        <v>0</v>
      </c>
      <c r="EU8">
        <f>INDEX($B$22:$GQ$22,MATCH(150,$B$29:$GQ$29,0))</f>
        <v>0</v>
      </c>
      <c r="EV8">
        <f>INDEX($B$22:$GQ$22,MATCH(151,$B$29:$GQ$29,0))</f>
        <v>0</v>
      </c>
      <c r="EW8">
        <f>INDEX($B$22:$GQ$22,MATCH(152,$B$29:$GQ$29,0))</f>
        <v>0</v>
      </c>
      <c r="EX8">
        <f>INDEX($B$22:$GQ$22,MATCH(153,$B$29:$GQ$29,0))</f>
        <v>0</v>
      </c>
      <c r="EY8">
        <f>INDEX($B$22:$GQ$22,MATCH(154,$B$29:$GQ$29,0))</f>
        <v>0</v>
      </c>
      <c r="EZ8">
        <f>INDEX($B$22:$GQ$22,MATCH(155,$B$29:$GQ$29,0))</f>
        <v>0</v>
      </c>
      <c r="FA8">
        <f>INDEX($B$22:$GQ$22,MATCH(156,$B$29:$GQ$29,0))</f>
        <v>0</v>
      </c>
      <c r="FB8">
        <f>INDEX($B$22:$GQ$22,MATCH(157,$B$29:$GQ$29,0))</f>
        <v>0</v>
      </c>
      <c r="FC8">
        <f>INDEX($B$22:$GQ$22,MATCH(158,$B$29:$GQ$29,0))</f>
        <v>0</v>
      </c>
      <c r="FD8">
        <f>INDEX($B$22:$GQ$22,MATCH(159,$B$29:$GQ$29,0))</f>
        <v>0</v>
      </c>
      <c r="FE8">
        <f>INDEX($B$22:$GQ$22,MATCH(160,$B$29:$GQ$29,0))</f>
        <v>0</v>
      </c>
      <c r="FF8">
        <f>INDEX($B$22:$GQ$22,MATCH(161,$B$29:$GQ$29,0))</f>
        <v>0</v>
      </c>
      <c r="FG8">
        <f>INDEX($B$22:$GQ$22,MATCH(162,$B$29:$GQ$29,0))</f>
        <v>0</v>
      </c>
      <c r="FH8">
        <f>INDEX($B$22:$GQ$22,MATCH(163,$B$29:$GQ$29,0))</f>
        <v>0</v>
      </c>
      <c r="FI8">
        <f>INDEX($B$22:$GQ$22,MATCH(164,$B$29:$GQ$29,0))</f>
        <v>0</v>
      </c>
      <c r="FJ8">
        <f>INDEX($B$22:$GQ$22,MATCH(165,$B$29:$GQ$29,0))</f>
        <v>0</v>
      </c>
      <c r="FK8">
        <f>INDEX($B$22:$GQ$22,MATCH(166,$B$29:$GQ$29,0))</f>
        <v>0</v>
      </c>
      <c r="FL8">
        <f>INDEX($B$22:$GQ$22,MATCH(167,$B$29:$GQ$29,0))</f>
        <v>0</v>
      </c>
      <c r="FM8">
        <f>INDEX($B$22:$GQ$22,MATCH(168,$B$29:$GQ$29,0))</f>
        <v>0</v>
      </c>
      <c r="FN8">
        <f>INDEX($B$22:$GQ$22,MATCH(169,$B$29:$GQ$29,0))</f>
        <v>0</v>
      </c>
      <c r="FO8">
        <f>INDEX($B$22:$GQ$22,MATCH(170,$B$29:$GQ$29,0))</f>
        <v>0</v>
      </c>
      <c r="FP8">
        <f>INDEX($B$22:$GQ$22,MATCH(171,$B$29:$GQ$29,0))</f>
        <v>0</v>
      </c>
      <c r="FQ8">
        <f>INDEX($B$22:$GQ$22,MATCH(172,$B$29:$GQ$29,0))</f>
        <v>0</v>
      </c>
      <c r="FR8">
        <f>INDEX($B$22:$GQ$22,MATCH(173,$B$29:$GQ$29,0))</f>
        <v>0</v>
      </c>
      <c r="FS8">
        <f>INDEX($B$22:$GQ$22,MATCH(174,$B$29:$GQ$29,0))</f>
        <v>0</v>
      </c>
      <c r="FT8">
        <f>INDEX($B$22:$GQ$22,MATCH(175,$B$29:$GQ$29,0))</f>
        <v>0</v>
      </c>
      <c r="FU8">
        <f>INDEX($B$22:$GQ$22,MATCH(176,$B$29:$GQ$29,0))</f>
        <v>0</v>
      </c>
      <c r="FV8">
        <f>INDEX($B$22:$GQ$22,MATCH(177,$B$29:$GQ$29,0))</f>
        <v>0</v>
      </c>
      <c r="FW8">
        <f>INDEX($B$22:$GQ$22,MATCH(178,$B$29:$GQ$29,0))</f>
        <v>0</v>
      </c>
      <c r="FX8">
        <f>INDEX($B$22:$GQ$22,MATCH(179,$B$29:$GQ$29,0))</f>
        <v>0</v>
      </c>
      <c r="FY8">
        <f>INDEX($B$22:$GQ$22,MATCH(180,$B$29:$GQ$29,0))</f>
        <v>0</v>
      </c>
      <c r="FZ8">
        <f>INDEX($B$22:$GQ$22,MATCH(181,$B$29:$GQ$29,0))</f>
        <v>0</v>
      </c>
      <c r="GA8">
        <f>INDEX($B$22:$GQ$22,MATCH(182,$B$29:$GQ$29,0))</f>
        <v>0</v>
      </c>
      <c r="GB8">
        <f>INDEX($B$22:$GQ$22,MATCH(183,$B$29:$GQ$29,0))</f>
        <v>0</v>
      </c>
      <c r="GC8">
        <f>INDEX($B$22:$GQ$22,MATCH(184,$B$29:$GQ$29,0))</f>
        <v>0</v>
      </c>
      <c r="GD8">
        <f>INDEX($B$22:$GQ$22,MATCH(185,$B$29:$GQ$29,0))</f>
        <v>0</v>
      </c>
      <c r="GE8">
        <f>INDEX($B$22:$GQ$22,MATCH(186,$B$29:$GQ$29,0))</f>
        <v>0</v>
      </c>
      <c r="GF8">
        <f>INDEX($B$22:$GQ$22,MATCH(187,$B$29:$GQ$29,0))</f>
        <v>0</v>
      </c>
      <c r="GG8">
        <f>INDEX($B$22:$GQ$22,MATCH(188,$B$29:$GQ$29,0))</f>
        <v>0</v>
      </c>
      <c r="GH8">
        <f>INDEX($B$22:$GQ$22,MATCH(189,$B$29:$GQ$29,0))</f>
        <v>0</v>
      </c>
      <c r="GI8">
        <f>INDEX($B$22:$GQ$22,MATCH(190,$B$29:$GQ$29,0))</f>
        <v>0</v>
      </c>
      <c r="GJ8">
        <f>INDEX($B$22:$GQ$22,MATCH(191,$B$29:$GQ$29,0))</f>
        <v>0</v>
      </c>
      <c r="GK8">
        <f>INDEX($B$22:$GQ$22,MATCH(192,$B$29:$GQ$29,0))</f>
        <v>0</v>
      </c>
      <c r="GL8">
        <f>INDEX($B$22:$GQ$22,MATCH(193,$B$29:$GQ$29,0))</f>
        <v>0</v>
      </c>
      <c r="GM8">
        <f>INDEX($B$22:$GQ$22,MATCH(194,$B$29:$GQ$29,0))</f>
        <v>0</v>
      </c>
      <c r="GN8">
        <f>INDEX($B$22:$GQ$22,MATCH(195,$B$29:$GQ$29,0))</f>
        <v>0</v>
      </c>
      <c r="GO8">
        <f>INDEX($B$22:$GQ$22,MATCH(196,$B$29:$GQ$29,0))</f>
        <v>0</v>
      </c>
      <c r="GP8">
        <f>INDEX($B$22:$GQ$22,MATCH(197,$B$29:$GQ$29,0))</f>
        <v>0</v>
      </c>
      <c r="GQ8">
        <f>INDEX($B$22:$GQ$22,MATCH(198,$B$29:$GQ$29,0))</f>
        <v>0</v>
      </c>
      <c r="GR8">
        <f>INDEX($GR$22:$HC$22,MATCH(1,$GR$30:$HC$30,0))</f>
        <v>35754.451946233312</v>
      </c>
      <c r="GS8">
        <f>INDEX($GR$22:$HC$22,MATCH(2,$GR$30:$HC$30,0))</f>
        <v>10307.068231872499</v>
      </c>
      <c r="GT8">
        <f>INDEX($GR$22:$HC$22,MATCH(3,$GR$30:$HC$30,0))</f>
        <v>879887.65012239758</v>
      </c>
      <c r="GU8">
        <f>INDEX($GR$22:$HC$22,MATCH(4,$GR$30:$HC$30,0))</f>
        <v>31083.776765543069</v>
      </c>
      <c r="GV8">
        <f>INDEX($GR$22:$HC$22,MATCH(5,$GR$30:$HC$30,0))</f>
        <v>348068.80637080298</v>
      </c>
      <c r="GW8">
        <f>INDEX($GR$22:$HC$22,MATCH(6,$GR$30:$HC$30,0))</f>
        <v>5617.0054188691001</v>
      </c>
      <c r="GX8">
        <f>INDEX($GR$22:$HC$22,MATCH(7,$GR$30:$HC$30,0))</f>
        <v>115961.4466882009</v>
      </c>
      <c r="GY8">
        <f>INDEX($GR$22:$HC$22,MATCH(8,$GR$30:$HC$30,0))</f>
        <v>76311.734081727249</v>
      </c>
      <c r="GZ8">
        <f>INDEX($GR$22:$HC$22,MATCH(9,$GR$30:$HC$30,0))</f>
        <v>5050.4413716326299</v>
      </c>
      <c r="HA8">
        <f>INDEX($GR$22:$HC$22,MATCH(10,$GR$30:$HC$30,0))</f>
        <v>83954.164852629998</v>
      </c>
      <c r="HB8">
        <f>INDEX($GR$22:$HC$22,MATCH(11,$GR$30:$HC$30,0))</f>
        <v>8862.9789436519168</v>
      </c>
      <c r="HC8">
        <f>INDEX($GR$22:$HC$22,MATCH(12,$GR$30:$HC$30,0))</f>
        <v>8625.6836483218303</v>
      </c>
    </row>
    <row r="9" spans="1:211" x14ac:dyDescent="0.45">
      <c r="A9" s="1" t="s">
        <v>8</v>
      </c>
      <c r="B9">
        <f>INDEX($B$23:$GQ$23,MATCH(1,$B$29:$GQ$29,0))</f>
        <v>71.45332590766894</v>
      </c>
      <c r="C9">
        <f>INDEX($B$23:$GQ$23,MATCH(2,$B$29:$GQ$29,0))</f>
        <v>284.33260915238782</v>
      </c>
      <c r="D9">
        <f>INDEX($B$23:$GQ$23,MATCH(3,$B$29:$GQ$29,0))</f>
        <v>256.21842769008168</v>
      </c>
      <c r="E9">
        <f>INDEX($B$23:$GQ$23,MATCH(4,$B$29:$GQ$29,0))</f>
        <v>0</v>
      </c>
      <c r="F9">
        <f>INDEX($B$23:$GQ$23,MATCH(5,$B$29:$GQ$29,0))</f>
        <v>94.99267470559758</v>
      </c>
      <c r="G9">
        <f>INDEX($B$23:$GQ$23,MATCH(6,$B$29:$GQ$29,0))</f>
        <v>287.46906374805792</v>
      </c>
      <c r="H9">
        <f>INDEX($B$23:$GQ$23,MATCH(7,$B$29:$GQ$29,0))</f>
        <v>228.1331966109303</v>
      </c>
      <c r="I9">
        <f>INDEX($B$23:$GQ$23,MATCH(8,$B$29:$GQ$29,0))</f>
        <v>300.2530931375494</v>
      </c>
      <c r="J9">
        <f>INDEX($B$23:$GQ$23,MATCH(9,$B$29:$GQ$29,0))</f>
        <v>301.43937338769899</v>
      </c>
      <c r="K9">
        <f>INDEX($B$23:$GQ$23,MATCH(10,$B$29:$GQ$29,0))</f>
        <v>0.72633017939880729</v>
      </c>
      <c r="L9">
        <f>INDEX($B$23:$GQ$23,MATCH(11,$B$29:$GQ$29,0))</f>
        <v>0.29613115006483998</v>
      </c>
      <c r="M9">
        <f>INDEX($B$23:$GQ$23,MATCH(12,$B$29:$GQ$29,0))</f>
        <v>10.209880358418159</v>
      </c>
      <c r="N9">
        <f>INDEX($B$23:$GQ$23,MATCH(13,$B$29:$GQ$29,0))</f>
        <v>107.8457134148953</v>
      </c>
      <c r="O9">
        <f>INDEX($B$23:$GQ$23,MATCH(14,$B$29:$GQ$29,0))</f>
        <v>133.89973820409341</v>
      </c>
      <c r="P9">
        <f>INDEX($B$23:$GQ$23,MATCH(15,$B$29:$GQ$29,0))</f>
        <v>165.8596121137661</v>
      </c>
      <c r="Q9">
        <f>INDEX($B$23:$GQ$23,MATCH(16,$B$29:$GQ$29,0))</f>
        <v>73.464671962879564</v>
      </c>
      <c r="R9">
        <f>INDEX($B$23:$GQ$23,MATCH(17,$B$29:$GQ$29,0))</f>
        <v>68.487987017484841</v>
      </c>
      <c r="S9">
        <f>INDEX($B$23:$GQ$23,MATCH(18,$B$29:$GQ$29,0))</f>
        <v>29.517757521279972</v>
      </c>
      <c r="T9">
        <f>INDEX($B$23:$GQ$23,MATCH(19,$B$29:$GQ$29,0))</f>
        <v>141.28700541792881</v>
      </c>
      <c r="U9">
        <f>INDEX($B$23:$GQ$23,MATCH(20,$B$29:$GQ$29,0))</f>
        <v>77.955603906933405</v>
      </c>
      <c r="V9">
        <f>INDEX($B$23:$GQ$23,MATCH(21,$B$29:$GQ$29,0))</f>
        <v>38.278191037031768</v>
      </c>
      <c r="W9">
        <f>INDEX($B$23:$GQ$23,MATCH(22,$B$29:$GQ$29,0))</f>
        <v>17.618912213828711</v>
      </c>
      <c r="X9">
        <f>INDEX($B$23:$GQ$23,MATCH(23,$B$29:$GQ$29,0))</f>
        <v>2.272485153184709</v>
      </c>
      <c r="Y9">
        <f>INDEX($B$23:$GQ$23,MATCH(24,$B$29:$GQ$29,0))</f>
        <v>11.99805080982787</v>
      </c>
      <c r="Z9">
        <f>INDEX($B$23:$GQ$23,MATCH(25,$B$29:$GQ$29,0))</f>
        <v>43.660644174446581</v>
      </c>
      <c r="AA9">
        <f>INDEX($B$23:$GQ$23,MATCH(26,$B$29:$GQ$29,0))</f>
        <v>40.86026302005537</v>
      </c>
      <c r="AB9">
        <f>INDEX($B$23:$GQ$23,MATCH(27,$B$29:$GQ$29,0))</f>
        <v>43.014606633819753</v>
      </c>
      <c r="AC9">
        <f>INDEX($B$23:$GQ$23,MATCH(28,$B$29:$GQ$29,0))</f>
        <v>14.799342963044881</v>
      </c>
      <c r="AD9">
        <f>INDEX($B$23:$GQ$23,MATCH(29,$B$29:$GQ$29,0))</f>
        <v>38.835004462274412</v>
      </c>
      <c r="AE9">
        <f>INDEX($B$23:$GQ$23,MATCH(30,$B$29:$GQ$29,0))</f>
        <v>1.9909132571884129</v>
      </c>
      <c r="AF9">
        <f>INDEX($B$23:$GQ$23,MATCH(31,$B$29:$GQ$29,0))</f>
        <v>48.461492039805563</v>
      </c>
      <c r="AG9">
        <f>INDEX($B$23:$GQ$23,MATCH(32,$B$29:$GQ$29,0))</f>
        <v>41.012932399274519</v>
      </c>
      <c r="AH9">
        <f>INDEX($B$23:$GQ$23,MATCH(33,$B$29:$GQ$29,0))</f>
        <v>52.458977470399383</v>
      </c>
      <c r="AI9">
        <f>INDEX($B$23:$GQ$23,MATCH(34,$B$29:$GQ$29,0))</f>
        <v>43.867773201061837</v>
      </c>
      <c r="AJ9">
        <f>INDEX($B$23:$GQ$23,MATCH(35,$B$29:$GQ$29,0))</f>
        <v>27.594630869124909</v>
      </c>
      <c r="AK9">
        <f>INDEX($B$23:$GQ$23,MATCH(36,$B$29:$GQ$29,0))</f>
        <v>42.657807984025432</v>
      </c>
      <c r="AL9">
        <f>INDEX($B$23:$GQ$23,MATCH(37,$B$29:$GQ$29,0))</f>
        <v>4.514906735603291</v>
      </c>
      <c r="AM9">
        <f>INDEX($B$23:$GQ$23,MATCH(38,$B$29:$GQ$29,0))</f>
        <v>2.274279218232039</v>
      </c>
      <c r="AN9">
        <f>INDEX($B$23:$GQ$23,MATCH(39,$B$29:$GQ$29,0))</f>
        <v>9.4495253085718343</v>
      </c>
      <c r="AO9">
        <f>INDEX($B$23:$GQ$23,MATCH(40,$B$29:$GQ$29,0))</f>
        <v>10.16165664478441</v>
      </c>
      <c r="AP9">
        <f>INDEX($B$23:$GQ$23,MATCH(41,$B$29:$GQ$29,0))</f>
        <v>29.82616977043627</v>
      </c>
      <c r="AQ9">
        <f>INDEX($B$23:$GQ$23,MATCH(42,$B$29:$GQ$29,0))</f>
        <v>26.999038073302948</v>
      </c>
      <c r="AR9">
        <f>INDEX($B$23:$GQ$23,MATCH(43,$B$29:$GQ$29,0))</f>
        <v>19.10629089627821</v>
      </c>
      <c r="AS9">
        <f>INDEX($B$23:$GQ$23,MATCH(44,$B$29:$GQ$29,0))</f>
        <v>22.325399515839731</v>
      </c>
      <c r="AT9">
        <f>INDEX($B$23:$GQ$23,MATCH(45,$B$29:$GQ$29,0))</f>
        <v>7.5691738213827611</v>
      </c>
      <c r="AU9">
        <f>INDEX($B$23:$GQ$23,MATCH(46,$B$29:$GQ$29,0))</f>
        <v>20.2250943118162</v>
      </c>
      <c r="AV9">
        <f>INDEX($B$23:$GQ$23,MATCH(47,$B$29:$GQ$29,0))</f>
        <v>9.009579864525028</v>
      </c>
      <c r="AW9">
        <f>INDEX($B$23:$GQ$23,MATCH(48,$B$29:$GQ$29,0))</f>
        <v>0</v>
      </c>
      <c r="AX9">
        <f>INDEX($B$23:$GQ$23,MATCH(49,$B$29:$GQ$29,0))</f>
        <v>0.65381519692861534</v>
      </c>
      <c r="AY9">
        <f>INDEX($B$23:$GQ$23,MATCH(50,$B$29:$GQ$29,0))</f>
        <v>19.341345148127228</v>
      </c>
      <c r="AZ9">
        <f>INDEX($B$23:$GQ$23,MATCH(51,$B$29:$GQ$29,0))</f>
        <v>3.9081155320715308E-2</v>
      </c>
      <c r="BA9">
        <f>INDEX($B$23:$GQ$23,MATCH(52,$B$29:$GQ$29,0))</f>
        <v>19.460226952854189</v>
      </c>
      <c r="BB9">
        <f>INDEX($B$23:$GQ$23,MATCH(53,$B$29:$GQ$29,0))</f>
        <v>18.827676093865719</v>
      </c>
      <c r="BC9">
        <f>INDEX($B$23:$GQ$23,MATCH(54,$B$29:$GQ$29,0))</f>
        <v>16.47946819252385</v>
      </c>
      <c r="BD9">
        <f>INDEX($B$23:$GQ$23,MATCH(55,$B$29:$GQ$29,0))</f>
        <v>4.3061661265412772</v>
      </c>
      <c r="BE9">
        <f>INDEX($B$23:$GQ$23,MATCH(56,$B$29:$GQ$29,0))</f>
        <v>0.40266809142753318</v>
      </c>
      <c r="BF9">
        <f>INDEX($B$23:$GQ$23,MATCH(57,$B$29:$GQ$29,0))</f>
        <v>9.81679488848952</v>
      </c>
      <c r="BG9">
        <f>INDEX($B$23:$GQ$23,MATCH(58,$B$29:$GQ$29,0))</f>
        <v>5.6829274971480288</v>
      </c>
      <c r="BH9">
        <f>INDEX($B$23:$GQ$23,MATCH(59,$B$29:$GQ$29,0))</f>
        <v>4.1885547624703872</v>
      </c>
      <c r="BI9">
        <f>INDEX($B$23:$GQ$23,MATCH(60,$B$29:$GQ$29,0))</f>
        <v>0.1915782192330229</v>
      </c>
      <c r="BJ9">
        <f>INDEX($B$23:$GQ$23,MATCH(61,$B$29:$GQ$29,0))</f>
        <v>12.69598423368971</v>
      </c>
      <c r="BK9">
        <f>INDEX($B$23:$GQ$23,MATCH(62,$B$29:$GQ$29,0))</f>
        <v>7.6831175714995457</v>
      </c>
      <c r="BL9">
        <f>INDEX($B$23:$GQ$23,MATCH(63,$B$29:$GQ$29,0))</f>
        <v>10.68905150427187</v>
      </c>
      <c r="BM9">
        <f>INDEX($B$23:$GQ$23,MATCH(64,$B$29:$GQ$29,0))</f>
        <v>4.741364190751721</v>
      </c>
      <c r="BN9">
        <f>INDEX($B$23:$GQ$23,MATCH(65,$B$29:$GQ$29,0))</f>
        <v>3.3389061761312231</v>
      </c>
      <c r="BO9">
        <f>INDEX($B$23:$GQ$23,MATCH(66,$B$29:$GQ$29,0))</f>
        <v>1.6236698425577929</v>
      </c>
      <c r="BP9">
        <f>INDEX($B$23:$GQ$23,MATCH(67,$B$29:$GQ$29,0))</f>
        <v>9.235739484406395E-3</v>
      </c>
      <c r="BQ9">
        <f>INDEX($B$23:$GQ$23,MATCH(68,$B$29:$GQ$29,0))</f>
        <v>8.7540440450944299</v>
      </c>
      <c r="BR9">
        <f>INDEX($B$23:$GQ$23,MATCH(69,$B$29:$GQ$29,0))</f>
        <v>4.2585507048882407</v>
      </c>
      <c r="BS9">
        <f>INDEX($B$23:$GQ$23,MATCH(70,$B$29:$GQ$29,0))</f>
        <v>8.0324962331672101</v>
      </c>
      <c r="BT9">
        <f>INDEX($B$23:$GQ$23,MATCH(71,$B$29:$GQ$29,0))</f>
        <v>2.220553198010601</v>
      </c>
      <c r="BU9">
        <f>INDEX($B$23:$GQ$23,MATCH(72,$B$29:$GQ$29,0))</f>
        <v>7.6372992937611928</v>
      </c>
      <c r="BV9">
        <f>INDEX($B$23:$GQ$23,MATCH(73,$B$29:$GQ$29,0))</f>
        <v>1.7651892666348079</v>
      </c>
      <c r="BW9">
        <f>INDEX($B$23:$GQ$23,MATCH(74,$B$29:$GQ$29,0))</f>
        <v>8.2829204243699966E-2</v>
      </c>
      <c r="BX9">
        <f>INDEX($B$23:$GQ$23,MATCH(75,$B$29:$GQ$29,0))</f>
        <v>6.7426832477245249</v>
      </c>
      <c r="BY9">
        <f>INDEX($B$23:$GQ$23,MATCH(76,$B$29:$GQ$29,0))</f>
        <v>5.9980584322171939</v>
      </c>
      <c r="BZ9">
        <f>INDEX($B$23:$GQ$23,MATCH(77,$B$29:$GQ$29,0))</f>
        <v>4.5094340739314918</v>
      </c>
      <c r="CA9">
        <f>INDEX($B$23:$GQ$23,MATCH(78,$B$29:$GQ$29,0))</f>
        <v>2.8732126280781012</v>
      </c>
      <c r="CB9">
        <f>INDEX($B$23:$GQ$23,MATCH(79,$B$29:$GQ$29,0))</f>
        <v>2.3684863306219541</v>
      </c>
      <c r="CC9">
        <f>INDEX($B$23:$GQ$23,MATCH(80,$B$29:$GQ$29,0))</f>
        <v>0.65604750536196499</v>
      </c>
      <c r="CD9">
        <f>INDEX($B$23:$GQ$23,MATCH(81,$B$29:$GQ$29,0))</f>
        <v>1.75582857197697</v>
      </c>
      <c r="CE9">
        <f>INDEX($B$23:$GQ$23,MATCH(82,$B$29:$GQ$29,0))</f>
        <v>0.64993059982906831</v>
      </c>
      <c r="CF9">
        <f>INDEX($B$23:$GQ$23,MATCH(83,$B$29:$GQ$29,0))</f>
        <v>1.7183821861492199</v>
      </c>
      <c r="CG9">
        <f>INDEX($B$23:$GQ$23,MATCH(84,$B$29:$GQ$29,0))</f>
        <v>0.7233210399160801</v>
      </c>
      <c r="CH9">
        <f>INDEX($B$23:$GQ$23,MATCH(85,$B$29:$GQ$29,0))</f>
        <v>1.0823929138189841</v>
      </c>
      <c r="CI9">
        <f>INDEX($B$23:$GQ$23,MATCH(86,$B$29:$GQ$29,0))</f>
        <v>1.278793158770877</v>
      </c>
      <c r="CJ9">
        <f>INDEX($B$23:$GQ$23,MATCH(87,$B$29:$GQ$29,0))</f>
        <v>1.2635973551328079</v>
      </c>
      <c r="CK9">
        <f>INDEX($B$23:$GQ$23,MATCH(88,$B$29:$GQ$29,0))</f>
        <v>1.131387052011869</v>
      </c>
      <c r="CL9">
        <f>INDEX($B$23:$GQ$23,MATCH(89,$B$29:$GQ$29,0))</f>
        <v>1.172140276586501</v>
      </c>
      <c r="CM9">
        <f>INDEX($B$23:$GQ$23,MATCH(90,$B$29:$GQ$29,0))</f>
        <v>1.0638492939675519</v>
      </c>
      <c r="CN9">
        <f>INDEX($B$23:$GQ$23,MATCH(91,$B$29:$GQ$29,0))</f>
        <v>1.0621906952526601</v>
      </c>
      <c r="CO9">
        <f>INDEX($B$23:$GQ$23,MATCH(92,$B$29:$GQ$29,0))</f>
        <v>1.0052914688826251</v>
      </c>
      <c r="CP9">
        <f>INDEX($B$23:$GQ$23,MATCH(93,$B$29:$GQ$29,0))</f>
        <v>0.83506702350858031</v>
      </c>
      <c r="CQ9">
        <f>INDEX($B$23:$GQ$23,MATCH(94,$B$29:$GQ$29,0))</f>
        <v>0.76513725789364717</v>
      </c>
      <c r="CR9">
        <f>INDEX($B$23:$GQ$23,MATCH(95,$B$29:$GQ$29,0))</f>
        <v>0.70486732010614195</v>
      </c>
      <c r="CS9">
        <f>INDEX($B$23:$GQ$23,MATCH(96,$B$29:$GQ$29,0))</f>
        <v>0.70815859460797126</v>
      </c>
      <c r="CT9">
        <f>INDEX($B$23:$GQ$23,MATCH(97,$B$29:$GQ$29,0))</f>
        <v>0.63914930866470154</v>
      </c>
      <c r="CU9">
        <f>INDEX($B$23:$GQ$23,MATCH(98,$B$29:$GQ$29,0))</f>
        <v>0.60066323604377747</v>
      </c>
      <c r="CV9">
        <f>INDEX($B$23:$GQ$23,MATCH(99,$B$29:$GQ$29,0))</f>
        <v>0.46762645992094798</v>
      </c>
      <c r="CW9">
        <f>INDEX($B$23:$GQ$23,MATCH(100,$B$29:$GQ$29,0))</f>
        <v>0.48154372156205139</v>
      </c>
      <c r="CX9">
        <f>INDEX($B$23:$GQ$23,MATCH(101,$B$29:$GQ$29,0))</f>
        <v>9.2766205034437541E-2</v>
      </c>
      <c r="CY9">
        <f>INDEX($B$23:$GQ$23,MATCH(102,$B$29:$GQ$29,0))</f>
        <v>0.40156387687244932</v>
      </c>
      <c r="CZ9">
        <f>INDEX($B$23:$GQ$23,MATCH(103,$B$29:$GQ$29,0))</f>
        <v>0.47317196999128952</v>
      </c>
      <c r="DA9">
        <f>INDEX($B$23:$GQ$23,MATCH(104,$B$29:$GQ$29,0))</f>
        <v>0.41733777248730147</v>
      </c>
      <c r="DB9">
        <f>INDEX($B$23:$GQ$23,MATCH(105,$B$29:$GQ$29,0))</f>
        <v>0.35252208342906372</v>
      </c>
      <c r="DC9">
        <f>INDEX($B$23:$GQ$23,MATCH(106,$B$29:$GQ$29,0))</f>
        <v>0.30246153992892261</v>
      </c>
      <c r="DD9">
        <f>INDEX($B$23:$GQ$23,MATCH(107,$B$29:$GQ$29,0))</f>
        <v>0.26263222649582157</v>
      </c>
      <c r="DE9">
        <f>INDEX($B$23:$GQ$23,MATCH(108,$B$29:$GQ$29,0))</f>
        <v>0</v>
      </c>
      <c r="DF9">
        <f>INDEX($B$23:$GQ$23,MATCH(109,$B$29:$GQ$29,0))</f>
        <v>0.2203343222391809</v>
      </c>
      <c r="DG9">
        <f>INDEX($B$23:$GQ$23,MATCH(110,$B$29:$GQ$29,0))</f>
        <v>9.2825857556652513E-2</v>
      </c>
      <c r="DH9">
        <f>INDEX($B$23:$GQ$23,MATCH(111,$B$29:$GQ$29,0))</f>
        <v>0.14531222754175591</v>
      </c>
      <c r="DI9">
        <f>INDEX($B$23:$GQ$23,MATCH(112,$B$29:$GQ$29,0))</f>
        <v>9.7611197413454392E-2</v>
      </c>
      <c r="DJ9">
        <f>INDEX($B$23:$GQ$23,MATCH(113,$B$29:$GQ$29,0))</f>
        <v>8.4271762807920134E-2</v>
      </c>
      <c r="DK9">
        <f>INDEX($B$23:$GQ$23,MATCH(114,$B$29:$GQ$29,0))</f>
        <v>7.8566387135482391E-2</v>
      </c>
      <c r="DL9">
        <f>INDEX($B$23:$GQ$23,MATCH(115,$B$29:$GQ$29,0))</f>
        <v>0</v>
      </c>
      <c r="DM9">
        <f>INDEX($B$23:$GQ$23,MATCH(116,$B$29:$GQ$29,0))</f>
        <v>3.5833250826798287E-2</v>
      </c>
      <c r="DN9">
        <f>INDEX($B$23:$GQ$23,MATCH(117,$B$29:$GQ$29,0))</f>
        <v>1.4579134829296949E-2</v>
      </c>
      <c r="DO9">
        <f>INDEX($B$23:$GQ$23,MATCH(118,$B$29:$GQ$29,0))</f>
        <v>2.745127288185985E-3</v>
      </c>
      <c r="DP9">
        <f>INDEX($B$23:$GQ$23,MATCH(119,$B$29:$GQ$29,0))</f>
        <v>3.1775226988000768E-2</v>
      </c>
      <c r="DQ9">
        <f>INDEX($B$23:$GQ$23,MATCH(120,$B$29:$GQ$29,0))</f>
        <v>0</v>
      </c>
      <c r="DR9">
        <f>INDEX($B$23:$GQ$23,MATCH(121,$B$29:$GQ$29,0))</f>
        <v>0</v>
      </c>
      <c r="DS9">
        <f>INDEX($B$23:$GQ$23,MATCH(122,$B$29:$GQ$29,0))</f>
        <v>1.751260198300348E-2</v>
      </c>
      <c r="DT9">
        <f>INDEX($B$23:$GQ$23,MATCH(123,$B$29:$GQ$29,0))</f>
        <v>1.9206925446356219E-2</v>
      </c>
      <c r="DU9">
        <f>INDEX($B$23:$GQ$23,MATCH(124,$B$29:$GQ$29,0))</f>
        <v>1.459289489903471E-3</v>
      </c>
      <c r="DV9">
        <f>INDEX($B$23:$GQ$23,MATCH(125,$B$29:$GQ$29,0))</f>
        <v>7.0344034651328904E-3</v>
      </c>
      <c r="DW9">
        <f>INDEX($B$23:$GQ$23,MATCH(126,$B$29:$GQ$29,0))</f>
        <v>0</v>
      </c>
      <c r="DX9">
        <f>INDEX($B$23:$GQ$23,MATCH(127,$B$29:$GQ$29,0))</f>
        <v>0</v>
      </c>
      <c r="DY9">
        <f>INDEX($B$23:$GQ$23,MATCH(128,$B$29:$GQ$29,0))</f>
        <v>8.1199017110450151E-4</v>
      </c>
      <c r="DZ9">
        <f>INDEX($B$23:$GQ$23,MATCH(129,$B$29:$GQ$29,0))</f>
        <v>3.4938729120772188E-4</v>
      </c>
      <c r="EA9">
        <f>INDEX($B$23:$GQ$23,MATCH(130,$B$29:$GQ$29,0))</f>
        <v>1.137289509314068E-4</v>
      </c>
      <c r="EB9">
        <f>INDEX($B$23:$GQ$23,MATCH(131,$B$29:$GQ$29,0))</f>
        <v>0</v>
      </c>
      <c r="EC9">
        <f>INDEX($B$23:$GQ$23,MATCH(132,$B$29:$GQ$29,0))</f>
        <v>1.0107338205167E-5</v>
      </c>
      <c r="ED9">
        <f>INDEX($B$23:$GQ$23,MATCH(133,$B$29:$GQ$29,0))</f>
        <v>3.8537478575168971E-6</v>
      </c>
      <c r="EE9">
        <f>INDEX($B$23:$GQ$23,MATCH(134,$B$29:$GQ$29,0))</f>
        <v>0</v>
      </c>
      <c r="EF9">
        <f>INDEX($B$23:$GQ$23,MATCH(135,$B$29:$GQ$29,0))</f>
        <v>0</v>
      </c>
      <c r="EG9">
        <f>INDEX($B$23:$GQ$23,MATCH(136,$B$29:$GQ$29,0))</f>
        <v>0</v>
      </c>
      <c r="EH9">
        <f>INDEX($B$23:$GQ$23,MATCH(137,$B$29:$GQ$29,0))</f>
        <v>0</v>
      </c>
      <c r="EI9">
        <f>INDEX($B$23:$GQ$23,MATCH(138,$B$29:$GQ$29,0))</f>
        <v>0</v>
      </c>
      <c r="EJ9">
        <f>INDEX($B$23:$GQ$23,MATCH(139,$B$29:$GQ$29,0))</f>
        <v>0</v>
      </c>
      <c r="EK9">
        <f>INDEX($B$23:$GQ$23,MATCH(140,$B$29:$GQ$29,0))</f>
        <v>0</v>
      </c>
      <c r="EL9">
        <f>INDEX($B$23:$GQ$23,MATCH(141,$B$29:$GQ$29,0))</f>
        <v>0</v>
      </c>
      <c r="EM9">
        <f>INDEX($B$23:$GQ$23,MATCH(142,$B$29:$GQ$29,0))</f>
        <v>0</v>
      </c>
      <c r="EN9">
        <f>INDEX($B$23:$GQ$23,MATCH(143,$B$29:$GQ$29,0))</f>
        <v>0</v>
      </c>
      <c r="EO9">
        <f>INDEX($B$23:$GQ$23,MATCH(144,$B$29:$GQ$29,0))</f>
        <v>0</v>
      </c>
      <c r="EP9">
        <f>INDEX($B$23:$GQ$23,MATCH(145,$B$29:$GQ$29,0))</f>
        <v>0</v>
      </c>
      <c r="EQ9">
        <f>INDEX($B$23:$GQ$23,MATCH(146,$B$29:$GQ$29,0))</f>
        <v>0</v>
      </c>
      <c r="ER9">
        <f>INDEX($B$23:$GQ$23,MATCH(147,$B$29:$GQ$29,0))</f>
        <v>0</v>
      </c>
      <c r="ES9">
        <f>INDEX($B$23:$GQ$23,MATCH(148,$B$29:$GQ$29,0))</f>
        <v>0</v>
      </c>
      <c r="ET9">
        <f>INDEX($B$23:$GQ$23,MATCH(149,$B$29:$GQ$29,0))</f>
        <v>0</v>
      </c>
      <c r="EU9">
        <f>INDEX($B$23:$GQ$23,MATCH(150,$B$29:$GQ$29,0))</f>
        <v>0</v>
      </c>
      <c r="EV9">
        <f>INDEX($B$23:$GQ$23,MATCH(151,$B$29:$GQ$29,0))</f>
        <v>0</v>
      </c>
      <c r="EW9">
        <f>INDEX($B$23:$GQ$23,MATCH(152,$B$29:$GQ$29,0))</f>
        <v>0</v>
      </c>
      <c r="EX9">
        <f>INDEX($B$23:$GQ$23,MATCH(153,$B$29:$GQ$29,0))</f>
        <v>0</v>
      </c>
      <c r="EY9">
        <f>INDEX($B$23:$GQ$23,MATCH(154,$B$29:$GQ$29,0))</f>
        <v>0</v>
      </c>
      <c r="EZ9">
        <f>INDEX($B$23:$GQ$23,MATCH(155,$B$29:$GQ$29,0))</f>
        <v>0</v>
      </c>
      <c r="FA9">
        <f>INDEX($B$23:$GQ$23,MATCH(156,$B$29:$GQ$29,0))</f>
        <v>0</v>
      </c>
      <c r="FB9">
        <f>INDEX($B$23:$GQ$23,MATCH(157,$B$29:$GQ$29,0))</f>
        <v>0</v>
      </c>
      <c r="FC9">
        <f>INDEX($B$23:$GQ$23,MATCH(158,$B$29:$GQ$29,0))</f>
        <v>0</v>
      </c>
      <c r="FD9">
        <f>INDEX($B$23:$GQ$23,MATCH(159,$B$29:$GQ$29,0))</f>
        <v>0</v>
      </c>
      <c r="FE9">
        <f>INDEX($B$23:$GQ$23,MATCH(160,$B$29:$GQ$29,0))</f>
        <v>0</v>
      </c>
      <c r="FF9">
        <f>INDEX($B$23:$GQ$23,MATCH(161,$B$29:$GQ$29,0))</f>
        <v>0</v>
      </c>
      <c r="FG9">
        <f>INDEX($B$23:$GQ$23,MATCH(162,$B$29:$GQ$29,0))</f>
        <v>0</v>
      </c>
      <c r="FH9">
        <f>INDEX($B$23:$GQ$23,MATCH(163,$B$29:$GQ$29,0))</f>
        <v>0</v>
      </c>
      <c r="FI9">
        <f>INDEX($B$23:$GQ$23,MATCH(164,$B$29:$GQ$29,0))</f>
        <v>0</v>
      </c>
      <c r="FJ9">
        <f>INDEX($B$23:$GQ$23,MATCH(165,$B$29:$GQ$29,0))</f>
        <v>0</v>
      </c>
      <c r="FK9">
        <f>INDEX($B$23:$GQ$23,MATCH(166,$B$29:$GQ$29,0))</f>
        <v>0</v>
      </c>
      <c r="FL9">
        <f>INDEX($B$23:$GQ$23,MATCH(167,$B$29:$GQ$29,0))</f>
        <v>0</v>
      </c>
      <c r="FM9">
        <f>INDEX($B$23:$GQ$23,MATCH(168,$B$29:$GQ$29,0))</f>
        <v>0</v>
      </c>
      <c r="FN9">
        <f>INDEX($B$23:$GQ$23,MATCH(169,$B$29:$GQ$29,0))</f>
        <v>0</v>
      </c>
      <c r="FO9">
        <f>INDEX($B$23:$GQ$23,MATCH(170,$B$29:$GQ$29,0))</f>
        <v>0</v>
      </c>
      <c r="FP9">
        <f>INDEX($B$23:$GQ$23,MATCH(171,$B$29:$GQ$29,0))</f>
        <v>0</v>
      </c>
      <c r="FQ9">
        <f>INDEX($B$23:$GQ$23,MATCH(172,$B$29:$GQ$29,0))</f>
        <v>0</v>
      </c>
      <c r="FR9">
        <f>INDEX($B$23:$GQ$23,MATCH(173,$B$29:$GQ$29,0))</f>
        <v>0</v>
      </c>
      <c r="FS9">
        <f>INDEX($B$23:$GQ$23,MATCH(174,$B$29:$GQ$29,0))</f>
        <v>0</v>
      </c>
      <c r="FT9">
        <f>INDEX($B$23:$GQ$23,MATCH(175,$B$29:$GQ$29,0))</f>
        <v>0</v>
      </c>
      <c r="FU9">
        <f>INDEX($B$23:$GQ$23,MATCH(176,$B$29:$GQ$29,0))</f>
        <v>0</v>
      </c>
      <c r="FV9">
        <f>INDEX($B$23:$GQ$23,MATCH(177,$B$29:$GQ$29,0))</f>
        <v>0</v>
      </c>
      <c r="FW9">
        <f>INDEX($B$23:$GQ$23,MATCH(178,$B$29:$GQ$29,0))</f>
        <v>0</v>
      </c>
      <c r="FX9">
        <f>INDEX($B$23:$GQ$23,MATCH(179,$B$29:$GQ$29,0))</f>
        <v>0</v>
      </c>
      <c r="FY9">
        <f>INDEX($B$23:$GQ$23,MATCH(180,$B$29:$GQ$29,0))</f>
        <v>0</v>
      </c>
      <c r="FZ9">
        <f>INDEX($B$23:$GQ$23,MATCH(181,$B$29:$GQ$29,0))</f>
        <v>0</v>
      </c>
      <c r="GA9">
        <f>INDEX($B$23:$GQ$23,MATCH(182,$B$29:$GQ$29,0))</f>
        <v>0</v>
      </c>
      <c r="GB9">
        <f>INDEX($B$23:$GQ$23,MATCH(183,$B$29:$GQ$29,0))</f>
        <v>0</v>
      </c>
      <c r="GC9">
        <f>INDEX($B$23:$GQ$23,MATCH(184,$B$29:$GQ$29,0))</f>
        <v>0</v>
      </c>
      <c r="GD9">
        <f>INDEX($B$23:$GQ$23,MATCH(185,$B$29:$GQ$29,0))</f>
        <v>0</v>
      </c>
      <c r="GE9">
        <f>INDEX($B$23:$GQ$23,MATCH(186,$B$29:$GQ$29,0))</f>
        <v>0</v>
      </c>
      <c r="GF9">
        <f>INDEX($B$23:$GQ$23,MATCH(187,$B$29:$GQ$29,0))</f>
        <v>0</v>
      </c>
      <c r="GG9">
        <f>INDEX($B$23:$GQ$23,MATCH(188,$B$29:$GQ$29,0))</f>
        <v>0</v>
      </c>
      <c r="GH9">
        <f>INDEX($B$23:$GQ$23,MATCH(189,$B$29:$GQ$29,0))</f>
        <v>0</v>
      </c>
      <c r="GI9">
        <f>INDEX($B$23:$GQ$23,MATCH(190,$B$29:$GQ$29,0))</f>
        <v>0</v>
      </c>
      <c r="GJ9">
        <f>INDEX($B$23:$GQ$23,MATCH(191,$B$29:$GQ$29,0))</f>
        <v>0</v>
      </c>
      <c r="GK9">
        <f>INDEX($B$23:$GQ$23,MATCH(192,$B$29:$GQ$29,0))</f>
        <v>0</v>
      </c>
      <c r="GL9">
        <f>INDEX($B$23:$GQ$23,MATCH(193,$B$29:$GQ$29,0))</f>
        <v>0</v>
      </c>
      <c r="GM9">
        <f>INDEX($B$23:$GQ$23,MATCH(194,$B$29:$GQ$29,0))</f>
        <v>0</v>
      </c>
      <c r="GN9">
        <f>INDEX($B$23:$GQ$23,MATCH(195,$B$29:$GQ$29,0))</f>
        <v>0</v>
      </c>
      <c r="GO9">
        <f>INDEX($B$23:$GQ$23,MATCH(196,$B$29:$GQ$29,0))</f>
        <v>0</v>
      </c>
      <c r="GP9">
        <f>INDEX($B$23:$GQ$23,MATCH(197,$B$29:$GQ$29,0))</f>
        <v>0</v>
      </c>
      <c r="GQ9">
        <f>INDEX($B$23:$GQ$23,MATCH(198,$B$29:$GQ$29,0))</f>
        <v>0</v>
      </c>
      <c r="GR9">
        <f>INDEX($GR$23:$HC$23,MATCH(1,$GR$30:$HC$30,0))</f>
        <v>389.86505882207189</v>
      </c>
      <c r="GS9">
        <f>INDEX($GR$23:$HC$23,MATCH(2,$GR$30:$HC$30,0))</f>
        <v>71.644904126901963</v>
      </c>
      <c r="GT9">
        <f>INDEX($GR$23:$HC$23,MATCH(3,$GR$30:$HC$30,0))</f>
        <v>1232.9163865505659</v>
      </c>
      <c r="GU9">
        <f>INDEX($GR$23:$HC$23,MATCH(4,$GR$30:$HC$30,0))</f>
        <v>433.49428175456188</v>
      </c>
      <c r="GV9">
        <f>INDEX($GR$23:$HC$23,MATCH(5,$GR$30:$HC$30,0))</f>
        <v>587.08775560313688</v>
      </c>
      <c r="GW9">
        <f>INDEX($GR$23:$HC$23,MATCH(6,$GR$30:$HC$30,0))</f>
        <v>22.934261347644831</v>
      </c>
      <c r="GX9">
        <f>INDEX($GR$23:$HC$23,MATCH(7,$GR$30:$HC$30,0))</f>
        <v>316.52219800944852</v>
      </c>
      <c r="GY9">
        <f>INDEX($GR$23:$HC$23,MATCH(8,$GR$30:$HC$30,0))</f>
        <v>217.48106009054791</v>
      </c>
      <c r="GZ9">
        <f>INDEX($GR$23:$HC$23,MATCH(9,$GR$30:$HC$30,0))</f>
        <v>94.99267470559758</v>
      </c>
      <c r="HA9">
        <f>INDEX($GR$23:$HC$23,MATCH(10,$GR$30:$HC$30,0))</f>
        <v>228.1331966109303</v>
      </c>
      <c r="HB9">
        <f>INDEX($GR$23:$HC$23,MATCH(11,$GR$30:$HC$30,0))</f>
        <v>118.0435476476467</v>
      </c>
      <c r="HC9">
        <f>INDEX($GR$23:$HC$23,MATCH(12,$GR$30:$HC$30,0))</f>
        <v>112.10426411978359</v>
      </c>
    </row>
    <row r="10" spans="1:211" x14ac:dyDescent="0.45">
      <c r="A10" s="1" t="s">
        <v>9</v>
      </c>
      <c r="B10">
        <f>INDEX($B$24:$GQ$24,MATCH(1,$B$29:$GQ$29,0))</f>
        <v>126.910684590995</v>
      </c>
      <c r="C10">
        <f>INDEX($B$24:$GQ$24,MATCH(2,$B$29:$GQ$29,0))</f>
        <v>279.76072122955833</v>
      </c>
      <c r="D10">
        <f>INDEX($B$24:$GQ$24,MATCH(3,$B$29:$GQ$29,0))</f>
        <v>115.4510382016138</v>
      </c>
      <c r="E10">
        <f>INDEX($B$24:$GQ$24,MATCH(4,$B$29:$GQ$29,0))</f>
        <v>0</v>
      </c>
      <c r="F10">
        <f>INDEX($B$24:$GQ$24,MATCH(5,$B$29:$GQ$29,0))</f>
        <v>197.62212498276779</v>
      </c>
      <c r="G10">
        <f>INDEX($B$24:$GQ$24,MATCH(6,$B$29:$GQ$29,0))</f>
        <v>38.241781465489048</v>
      </c>
      <c r="H10">
        <f>INDEX($B$24:$GQ$24,MATCH(7,$B$29:$GQ$29,0))</f>
        <v>104.84927003630381</v>
      </c>
      <c r="I10">
        <f>INDEX($B$24:$GQ$24,MATCH(8,$B$29:$GQ$29,0))</f>
        <v>20.172766947844789</v>
      </c>
      <c r="J10">
        <f>INDEX($B$24:$GQ$24,MATCH(9,$B$29:$GQ$29,0))</f>
        <v>22.966718320253371</v>
      </c>
      <c r="K10">
        <f>INDEX($B$24:$GQ$24,MATCH(10,$B$29:$GQ$29,0))</f>
        <v>0.86112183883785098</v>
      </c>
      <c r="L10">
        <f>INDEX($B$24:$GQ$24,MATCH(11,$B$29:$GQ$29,0))</f>
        <v>269.17285492361128</v>
      </c>
      <c r="M10">
        <f>INDEX($B$24:$GQ$24,MATCH(12,$B$29:$GQ$29,0))</f>
        <v>3.3162036890331441</v>
      </c>
      <c r="N10">
        <f>INDEX($B$24:$GQ$24,MATCH(13,$B$29:$GQ$29,0))</f>
        <v>104.56511491139879</v>
      </c>
      <c r="O10">
        <f>INDEX($B$24:$GQ$24,MATCH(14,$B$29:$GQ$29,0))</f>
        <v>27.63446302201001</v>
      </c>
      <c r="P10">
        <f>INDEX($B$24:$GQ$24,MATCH(15,$B$29:$GQ$29,0))</f>
        <v>28.935340834496309</v>
      </c>
      <c r="Q10">
        <f>INDEX($B$24:$GQ$24,MATCH(16,$B$29:$GQ$29,0))</f>
        <v>3.3466371982439949</v>
      </c>
      <c r="R10">
        <f>INDEX($B$24:$GQ$24,MATCH(17,$B$29:$GQ$29,0))</f>
        <v>65.235765786921931</v>
      </c>
      <c r="S10">
        <f>INDEX($B$24:$GQ$24,MATCH(18,$B$29:$GQ$29,0))</f>
        <v>43.645666548744309</v>
      </c>
      <c r="T10">
        <f>INDEX($B$24:$GQ$24,MATCH(19,$B$29:$GQ$29,0))</f>
        <v>30.523337250999639</v>
      </c>
      <c r="U10">
        <f>INDEX($B$24:$GQ$24,MATCH(20,$B$29:$GQ$29,0))</f>
        <v>46.796583566745738</v>
      </c>
      <c r="V10">
        <f>INDEX($B$24:$GQ$24,MATCH(21,$B$29:$GQ$29,0))</f>
        <v>4.7527498794229777</v>
      </c>
      <c r="W10">
        <f>INDEX($B$24:$GQ$24,MATCH(22,$B$29:$GQ$29,0))</f>
        <v>0.84799536134295117</v>
      </c>
      <c r="X10">
        <f>INDEX($B$24:$GQ$24,MATCH(23,$B$29:$GQ$29,0))</f>
        <v>0.26034875611233771</v>
      </c>
      <c r="Y10">
        <f>INDEX($B$24:$GQ$24,MATCH(24,$B$29:$GQ$29,0))</f>
        <v>6.1735671766623037</v>
      </c>
      <c r="Z10">
        <f>INDEX($B$24:$GQ$24,MATCH(25,$B$29:$GQ$29,0))</f>
        <v>63.364966861431043</v>
      </c>
      <c r="AA10">
        <f>INDEX($B$24:$GQ$24,MATCH(26,$B$29:$GQ$29,0))</f>
        <v>48.292510931415883</v>
      </c>
      <c r="AB10">
        <f>INDEX($B$24:$GQ$24,MATCH(27,$B$29:$GQ$29,0))</f>
        <v>1.379137161769155</v>
      </c>
      <c r="AC10">
        <f>INDEX($B$24:$GQ$24,MATCH(28,$B$29:$GQ$29,0))</f>
        <v>22.92331847100931</v>
      </c>
      <c r="AD10">
        <f>INDEX($B$24:$GQ$24,MATCH(29,$B$29:$GQ$29,0))</f>
        <v>0.41792329422324431</v>
      </c>
      <c r="AE10">
        <f>INDEX($B$24:$GQ$24,MATCH(30,$B$29:$GQ$29,0))</f>
        <v>18.733928814456721</v>
      </c>
      <c r="AF10">
        <f>INDEX($B$24:$GQ$24,MATCH(31,$B$29:$GQ$29,0))</f>
        <v>3.32049149704492</v>
      </c>
      <c r="AG10">
        <f>INDEX($B$24:$GQ$24,MATCH(32,$B$29:$GQ$29,0))</f>
        <v>1.274361440500648</v>
      </c>
      <c r="AH10">
        <f>INDEX($B$24:$GQ$24,MATCH(33,$B$29:$GQ$29,0))</f>
        <v>2.5031572752036411</v>
      </c>
      <c r="AI10">
        <f>INDEX($B$24:$GQ$24,MATCH(34,$B$29:$GQ$29,0))</f>
        <v>3.2835814318960952</v>
      </c>
      <c r="AJ10">
        <f>INDEX($B$24:$GQ$24,MATCH(35,$B$29:$GQ$29,0))</f>
        <v>0.29696154149839171</v>
      </c>
      <c r="AK10">
        <f>INDEX($B$24:$GQ$24,MATCH(36,$B$29:$GQ$29,0))</f>
        <v>3.5627407295267739</v>
      </c>
      <c r="AL10">
        <f>INDEX($B$24:$GQ$24,MATCH(37,$B$29:$GQ$29,0))</f>
        <v>4.0704951169596004</v>
      </c>
      <c r="AM10">
        <f>INDEX($B$24:$GQ$24,MATCH(38,$B$29:$GQ$29,0))</f>
        <v>9.1666634497216251</v>
      </c>
      <c r="AN10">
        <f>INDEX($B$24:$GQ$24,MATCH(39,$B$29:$GQ$29,0))</f>
        <v>7.6484156254458396E-2</v>
      </c>
      <c r="AO10">
        <f>INDEX($B$24:$GQ$24,MATCH(40,$B$29:$GQ$29,0))</f>
        <v>16.90810066520821</v>
      </c>
      <c r="AP10">
        <f>INDEX($B$24:$GQ$24,MATCH(41,$B$29:$GQ$29,0))</f>
        <v>0.24958469770844691</v>
      </c>
      <c r="AQ10">
        <f>INDEX($B$24:$GQ$24,MATCH(42,$B$29:$GQ$29,0))</f>
        <v>1.070350551302518</v>
      </c>
      <c r="AR10">
        <f>INDEX($B$24:$GQ$24,MATCH(43,$B$29:$GQ$29,0))</f>
        <v>4.735350549839314</v>
      </c>
      <c r="AS10">
        <f>INDEX($B$24:$GQ$24,MATCH(44,$B$29:$GQ$29,0))</f>
        <v>0.91593750723707568</v>
      </c>
      <c r="AT10">
        <f>INDEX($B$24:$GQ$24,MATCH(45,$B$29:$GQ$29,0))</f>
        <v>3.263655846147016</v>
      </c>
      <c r="AU10">
        <f>INDEX($B$24:$GQ$24,MATCH(46,$B$29:$GQ$29,0))</f>
        <v>1.984720732103409</v>
      </c>
      <c r="AV10">
        <f>INDEX($B$24:$GQ$24,MATCH(47,$B$29:$GQ$29,0))</f>
        <v>0.40647230168412313</v>
      </c>
      <c r="AW10">
        <f>INDEX($B$24:$GQ$24,MATCH(48,$B$29:$GQ$29,0))</f>
        <v>0</v>
      </c>
      <c r="AX10">
        <f>INDEX($B$24:$GQ$24,MATCH(49,$B$29:$GQ$29,0))</f>
        <v>21.194480781434368</v>
      </c>
      <c r="AY10">
        <f>INDEX($B$24:$GQ$24,MATCH(50,$B$29:$GQ$29,0))</f>
        <v>0.8360495018718922</v>
      </c>
      <c r="AZ10">
        <f>INDEX($B$24:$GQ$24,MATCH(51,$B$29:$GQ$29,0))</f>
        <v>9.6134017444265904E-2</v>
      </c>
      <c r="BA10">
        <f>INDEX($B$24:$GQ$24,MATCH(52,$B$29:$GQ$29,0))</f>
        <v>0.89516523999712339</v>
      </c>
      <c r="BB10">
        <f>INDEX($B$24:$GQ$24,MATCH(53,$B$29:$GQ$29,0))</f>
        <v>0.59368312943217949</v>
      </c>
      <c r="BC10">
        <f>INDEX($B$24:$GQ$24,MATCH(54,$B$29:$GQ$29,0))</f>
        <v>1.381392823345527</v>
      </c>
      <c r="BD10">
        <f>INDEX($B$24:$GQ$24,MATCH(55,$B$29:$GQ$29,0))</f>
        <v>0.17257782462275639</v>
      </c>
      <c r="BE10">
        <f>INDEX($B$24:$GQ$24,MATCH(56,$B$29:$GQ$29,0))</f>
        <v>15.61184606754901</v>
      </c>
      <c r="BF10">
        <f>INDEX($B$24:$GQ$24,MATCH(57,$B$29:$GQ$29,0))</f>
        <v>1.0519036837692819</v>
      </c>
      <c r="BG10">
        <f>INDEX($B$24:$GQ$24,MATCH(58,$B$29:$GQ$29,0))</f>
        <v>1.0564435296578341</v>
      </c>
      <c r="BH10">
        <f>INDEX($B$24:$GQ$24,MATCH(59,$B$29:$GQ$29,0))</f>
        <v>0.2219096977789855</v>
      </c>
      <c r="BI10">
        <f>INDEX($B$24:$GQ$24,MATCH(60,$B$29:$GQ$29,0))</f>
        <v>0.60711674993265674</v>
      </c>
      <c r="BJ10">
        <f>INDEX($B$24:$GQ$24,MATCH(61,$B$29:$GQ$29,0))</f>
        <v>0.80578961550878814</v>
      </c>
      <c r="BK10">
        <f>INDEX($B$24:$GQ$24,MATCH(62,$B$29:$GQ$29,0))</f>
        <v>3.600673714712781</v>
      </c>
      <c r="BL10">
        <f>INDEX($B$24:$GQ$24,MATCH(63,$B$29:$GQ$29,0))</f>
        <v>0.1390961365710863</v>
      </c>
      <c r="BM10">
        <f>INDEX($B$24:$GQ$24,MATCH(64,$B$29:$GQ$29,0))</f>
        <v>0.20967674066872741</v>
      </c>
      <c r="BN10">
        <f>INDEX($B$24:$GQ$24,MATCH(65,$B$29:$GQ$29,0))</f>
        <v>9.2341992039486703E-2</v>
      </c>
      <c r="BO10">
        <f>INDEX($B$24:$GQ$24,MATCH(66,$B$29:$GQ$29,0))</f>
        <v>0.2137019693353433</v>
      </c>
      <c r="BP10">
        <f>INDEX($B$24:$GQ$24,MATCH(67,$B$29:$GQ$29,0))</f>
        <v>9.177625093565009</v>
      </c>
      <c r="BQ10">
        <f>INDEX($B$24:$GQ$24,MATCH(68,$B$29:$GQ$29,0))</f>
        <v>0.68400256189977471</v>
      </c>
      <c r="BR10">
        <f>INDEX($B$24:$GQ$24,MATCH(69,$B$29:$GQ$29,0))</f>
        <v>4.9834223764100951</v>
      </c>
      <c r="BS10">
        <f>INDEX($B$24:$GQ$24,MATCH(70,$B$29:$GQ$29,0))</f>
        <v>0.45011012947549489</v>
      </c>
      <c r="BT10">
        <f>INDEX($B$24:$GQ$24,MATCH(71,$B$29:$GQ$29,0))</f>
        <v>0.30145743089829902</v>
      </c>
      <c r="BU10">
        <f>INDEX($B$24:$GQ$24,MATCH(72,$B$29:$GQ$29,0))</f>
        <v>0.51146864695253902</v>
      </c>
      <c r="BV10">
        <f>INDEX($B$24:$GQ$24,MATCH(73,$B$29:$GQ$29,0))</f>
        <v>0.27572393719403088</v>
      </c>
      <c r="BW10">
        <f>INDEX($B$24:$GQ$24,MATCH(74,$B$29:$GQ$29,0))</f>
        <v>0.23881156971301079</v>
      </c>
      <c r="BX10">
        <f>INDEX($B$24:$GQ$24,MATCH(75,$B$29:$GQ$29,0))</f>
        <v>0.43008351950643459</v>
      </c>
      <c r="BY10">
        <f>INDEX($B$24:$GQ$24,MATCH(76,$B$29:$GQ$29,0))</f>
        <v>0.8282706236714017</v>
      </c>
      <c r="BZ10">
        <f>INDEX($B$24:$GQ$24,MATCH(77,$B$29:$GQ$29,0))</f>
        <v>0.51884892450358799</v>
      </c>
      <c r="CA10">
        <f>INDEX($B$24:$GQ$24,MATCH(78,$B$29:$GQ$29,0))</f>
        <v>0.65930427249747436</v>
      </c>
      <c r="CB10">
        <f>INDEX($B$24:$GQ$24,MATCH(79,$B$29:$GQ$29,0))</f>
        <v>0.89354262274144769</v>
      </c>
      <c r="CC10">
        <f>INDEX($B$24:$GQ$24,MATCH(80,$B$29:$GQ$29,0))</f>
        <v>7.0600502020981152E-3</v>
      </c>
      <c r="CD10">
        <f>INDEX($B$24:$GQ$24,MATCH(81,$B$29:$GQ$29,0))</f>
        <v>0.21936645926920459</v>
      </c>
      <c r="CE10">
        <f>INDEX($B$24:$GQ$24,MATCH(82,$B$29:$GQ$29,0))</f>
        <v>1.0149363876477951E-2</v>
      </c>
      <c r="CF10">
        <f>INDEX($B$24:$GQ$24,MATCH(83,$B$29:$GQ$29,0))</f>
        <v>0.1095230554102145</v>
      </c>
      <c r="CG10">
        <f>INDEX($B$24:$GQ$24,MATCH(84,$B$29:$GQ$29,0))</f>
        <v>3.3906305389122177E-2</v>
      </c>
      <c r="CH10">
        <f>INDEX($B$24:$GQ$24,MATCH(85,$B$29:$GQ$29,0))</f>
        <v>8.8497566554821147E-2</v>
      </c>
      <c r="CI10">
        <f>INDEX($B$24:$GQ$24,MATCH(86,$B$29:$GQ$29,0))</f>
        <v>8.5846961627951357E-2</v>
      </c>
      <c r="CJ10">
        <f>INDEX($B$24:$GQ$24,MATCH(87,$B$29:$GQ$29,0))</f>
        <v>5.0290262713413442E-2</v>
      </c>
      <c r="CK10">
        <f>INDEX($B$24:$GQ$24,MATCH(88,$B$29:$GQ$29,0))</f>
        <v>0.17858066136251499</v>
      </c>
      <c r="CL10">
        <f>INDEX($B$24:$GQ$24,MATCH(89,$B$29:$GQ$29,0))</f>
        <v>8.2463039789986467E-2</v>
      </c>
      <c r="CM10">
        <f>INDEX($B$24:$GQ$24,MATCH(90,$B$29:$GQ$29,0))</f>
        <v>7.2717623174759716E-2</v>
      </c>
      <c r="CN10">
        <f>INDEX($B$24:$GQ$24,MATCH(91,$B$29:$GQ$29,0))</f>
        <v>6.2633290736669706E-2</v>
      </c>
      <c r="CO10">
        <f>INDEX($B$24:$GQ$24,MATCH(92,$B$29:$GQ$29,0))</f>
        <v>6.9419336886700725E-2</v>
      </c>
      <c r="CP10">
        <f>INDEX($B$24:$GQ$24,MATCH(93,$B$29:$GQ$29,0))</f>
        <v>5.8282864695587737E-2</v>
      </c>
      <c r="CQ10">
        <f>INDEX($B$24:$GQ$24,MATCH(94,$B$29:$GQ$29,0))</f>
        <v>4.2551866419346628E-2</v>
      </c>
      <c r="CR10">
        <f>INDEX($B$24:$GQ$24,MATCH(95,$B$29:$GQ$29,0))</f>
        <v>6.6132768456956162E-2</v>
      </c>
      <c r="CS10">
        <f>INDEX($B$24:$GQ$24,MATCH(96,$B$29:$GQ$29,0))</f>
        <v>3.703421298474982E-2</v>
      </c>
      <c r="CT10">
        <f>INDEX($B$24:$GQ$24,MATCH(97,$B$29:$GQ$29,0))</f>
        <v>4.5896469401594593E-2</v>
      </c>
      <c r="CU10">
        <f>INDEX($B$24:$GQ$24,MATCH(98,$B$29:$GQ$29,0))</f>
        <v>5.6359177396008188E-2</v>
      </c>
      <c r="CV10">
        <f>INDEX($B$24:$GQ$24,MATCH(99,$B$29:$GQ$29,0))</f>
        <v>6.598281126618355E-2</v>
      </c>
      <c r="CW10">
        <f>INDEX($B$24:$GQ$24,MATCH(100,$B$29:$GQ$29,0))</f>
        <v>2.9684637761201001E-2</v>
      </c>
      <c r="CX10">
        <f>INDEX($B$24:$GQ$24,MATCH(101,$B$29:$GQ$29,0))</f>
        <v>9.9830206421723283E-4</v>
      </c>
      <c r="CY10">
        <f>INDEX($B$24:$GQ$24,MATCH(102,$B$29:$GQ$29,0))</f>
        <v>4.6170167757990113E-2</v>
      </c>
      <c r="CZ10">
        <f>INDEX($B$24:$GQ$24,MATCH(103,$B$29:$GQ$29,0))</f>
        <v>2.5402749647093902E-2</v>
      </c>
      <c r="DA10">
        <f>INDEX($B$24:$GQ$24,MATCH(104,$B$29:$GQ$29,0))</f>
        <v>2.405450744310331E-2</v>
      </c>
      <c r="DB10">
        <f>INDEX($B$24:$GQ$24,MATCH(105,$B$29:$GQ$29,0))</f>
        <v>1.6000946323619501E-2</v>
      </c>
      <c r="DC10">
        <f>INDEX($B$24:$GQ$24,MATCH(106,$B$29:$GQ$29,0))</f>
        <v>1.9672552206028961E-2</v>
      </c>
      <c r="DD10">
        <f>INDEX($B$24:$GQ$24,MATCH(107,$B$29:$GQ$29,0))</f>
        <v>1.524049515219543E-2</v>
      </c>
      <c r="DE10">
        <f>INDEX($B$24:$GQ$24,MATCH(108,$B$29:$GQ$29,0))</f>
        <v>0</v>
      </c>
      <c r="DF10">
        <f>INDEX($B$24:$GQ$24,MATCH(109,$B$29:$GQ$29,0))</f>
        <v>1.4507754765362139E-2</v>
      </c>
      <c r="DG10">
        <f>INDEX($B$24:$GQ$24,MATCH(110,$B$29:$GQ$29,0))</f>
        <v>5.1000445183106972E-2</v>
      </c>
      <c r="DH10">
        <f>INDEX($B$24:$GQ$24,MATCH(111,$B$29:$GQ$29,0))</f>
        <v>6.6050469978943512E-3</v>
      </c>
      <c r="DI10">
        <f>INDEX($B$24:$GQ$24,MATCH(112,$B$29:$GQ$29,0))</f>
        <v>6.4223817651246368E-3</v>
      </c>
      <c r="DJ10">
        <f>INDEX($B$24:$GQ$24,MATCH(113,$B$29:$GQ$29,0))</f>
        <v>5.5811741624524208E-3</v>
      </c>
      <c r="DK10">
        <f>INDEX($B$24:$GQ$24,MATCH(114,$B$29:$GQ$29,0))</f>
        <v>4.0687194878299996E-3</v>
      </c>
      <c r="DL10">
        <f>INDEX($B$24:$GQ$24,MATCH(115,$B$29:$GQ$29,0))</f>
        <v>0</v>
      </c>
      <c r="DM10">
        <f>INDEX($B$24:$GQ$24,MATCH(116,$B$29:$GQ$29,0))</f>
        <v>5.7626992230053664E-3</v>
      </c>
      <c r="DN10">
        <f>INDEX($B$24:$GQ$24,MATCH(117,$B$29:$GQ$29,0))</f>
        <v>3.2990271764589033E-2</v>
      </c>
      <c r="DO10">
        <f>INDEX($B$24:$GQ$24,MATCH(118,$B$29:$GQ$29,0))</f>
        <v>2.9541675627721999E-5</v>
      </c>
      <c r="DP10">
        <f>INDEX($B$24:$GQ$24,MATCH(119,$B$29:$GQ$29,0))</f>
        <v>2.2041724895710789E-3</v>
      </c>
      <c r="DQ10">
        <f>INDEX($B$24:$GQ$24,MATCH(120,$B$29:$GQ$29,0))</f>
        <v>0</v>
      </c>
      <c r="DR10">
        <f>INDEX($B$24:$GQ$24,MATCH(121,$B$29:$GQ$29,0))</f>
        <v>0</v>
      </c>
      <c r="DS10">
        <f>INDEX($B$24:$GQ$24,MATCH(122,$B$29:$GQ$29,0))</f>
        <v>2.2964874101932152E-3</v>
      </c>
      <c r="DT10">
        <f>INDEX($B$24:$GQ$24,MATCH(123,$B$29:$GQ$29,0))</f>
        <v>6.9021666731415698E-5</v>
      </c>
      <c r="DU10">
        <f>INDEX($B$24:$GQ$24,MATCH(124,$B$29:$GQ$29,0))</f>
        <v>1.262201726318323E-4</v>
      </c>
      <c r="DV10">
        <f>INDEX($B$24:$GQ$24,MATCH(125,$B$29:$GQ$29,0))</f>
        <v>4.3911714533740638E-4</v>
      </c>
      <c r="DW10">
        <f>INDEX($B$24:$GQ$24,MATCH(126,$B$29:$GQ$29,0))</f>
        <v>0</v>
      </c>
      <c r="DX10">
        <f>INDEX($B$24:$GQ$24,MATCH(127,$B$29:$GQ$29,0))</f>
        <v>0</v>
      </c>
      <c r="DY10">
        <f>INDEX($B$24:$GQ$24,MATCH(128,$B$29:$GQ$29,0))</f>
        <v>2.1648661567277831E-5</v>
      </c>
      <c r="DZ10">
        <f>INDEX($B$24:$GQ$24,MATCH(129,$B$29:$GQ$29,0))</f>
        <v>1.53547706567366E-5</v>
      </c>
      <c r="EA10">
        <f>INDEX($B$24:$GQ$24,MATCH(130,$B$29:$GQ$29,0))</f>
        <v>1.252696940986577E-6</v>
      </c>
      <c r="EB10">
        <f>INDEX($B$24:$GQ$24,MATCH(131,$B$29:$GQ$29,0))</f>
        <v>0</v>
      </c>
      <c r="EC10">
        <f>INDEX($B$24:$GQ$24,MATCH(132,$B$29:$GQ$29,0))</f>
        <v>6.4776243778751716E-6</v>
      </c>
      <c r="ED10">
        <f>INDEX($B$24:$GQ$24,MATCH(133,$B$29:$GQ$29,0))</f>
        <v>2.844434699892924E-7</v>
      </c>
      <c r="EE10">
        <f>INDEX($B$24:$GQ$24,MATCH(134,$B$29:$GQ$29,0))</f>
        <v>0</v>
      </c>
      <c r="EF10">
        <f>INDEX($B$24:$GQ$24,MATCH(135,$B$29:$GQ$29,0))</f>
        <v>0</v>
      </c>
      <c r="EG10">
        <f>INDEX($B$24:$GQ$24,MATCH(136,$B$29:$GQ$29,0))</f>
        <v>0</v>
      </c>
      <c r="EH10">
        <f>INDEX($B$24:$GQ$24,MATCH(137,$B$29:$GQ$29,0))</f>
        <v>0</v>
      </c>
      <c r="EI10">
        <f>INDEX($B$24:$GQ$24,MATCH(138,$B$29:$GQ$29,0))</f>
        <v>0</v>
      </c>
      <c r="EJ10">
        <f>INDEX($B$24:$GQ$24,MATCH(139,$B$29:$GQ$29,0))</f>
        <v>0</v>
      </c>
      <c r="EK10">
        <f>INDEX($B$24:$GQ$24,MATCH(140,$B$29:$GQ$29,0))</f>
        <v>0</v>
      </c>
      <c r="EL10">
        <f>INDEX($B$24:$GQ$24,MATCH(141,$B$29:$GQ$29,0))</f>
        <v>0</v>
      </c>
      <c r="EM10">
        <f>INDEX($B$24:$GQ$24,MATCH(142,$B$29:$GQ$29,0))</f>
        <v>0</v>
      </c>
      <c r="EN10">
        <f>INDEX($B$24:$GQ$24,MATCH(143,$B$29:$GQ$29,0))</f>
        <v>0</v>
      </c>
      <c r="EO10">
        <f>INDEX($B$24:$GQ$24,MATCH(144,$B$29:$GQ$29,0))</f>
        <v>0</v>
      </c>
      <c r="EP10">
        <f>INDEX($B$24:$GQ$24,MATCH(145,$B$29:$GQ$29,0))</f>
        <v>0</v>
      </c>
      <c r="EQ10">
        <f>INDEX($B$24:$GQ$24,MATCH(146,$B$29:$GQ$29,0))</f>
        <v>0</v>
      </c>
      <c r="ER10">
        <f>INDEX($B$24:$GQ$24,MATCH(147,$B$29:$GQ$29,0))</f>
        <v>0</v>
      </c>
      <c r="ES10">
        <f>INDEX($B$24:$GQ$24,MATCH(148,$B$29:$GQ$29,0))</f>
        <v>0</v>
      </c>
      <c r="ET10">
        <f>INDEX($B$24:$GQ$24,MATCH(149,$B$29:$GQ$29,0))</f>
        <v>0</v>
      </c>
      <c r="EU10">
        <f>INDEX($B$24:$GQ$24,MATCH(150,$B$29:$GQ$29,0))</f>
        <v>0</v>
      </c>
      <c r="EV10">
        <f>INDEX($B$24:$GQ$24,MATCH(151,$B$29:$GQ$29,0))</f>
        <v>0</v>
      </c>
      <c r="EW10">
        <f>INDEX($B$24:$GQ$24,MATCH(152,$B$29:$GQ$29,0))</f>
        <v>0</v>
      </c>
      <c r="EX10">
        <f>INDEX($B$24:$GQ$24,MATCH(153,$B$29:$GQ$29,0))</f>
        <v>0</v>
      </c>
      <c r="EY10">
        <f>INDEX($B$24:$GQ$24,MATCH(154,$B$29:$GQ$29,0))</f>
        <v>0</v>
      </c>
      <c r="EZ10">
        <f>INDEX($B$24:$GQ$24,MATCH(155,$B$29:$GQ$29,0))</f>
        <v>0</v>
      </c>
      <c r="FA10">
        <f>INDEX($B$24:$GQ$24,MATCH(156,$B$29:$GQ$29,0))</f>
        <v>0</v>
      </c>
      <c r="FB10">
        <f>INDEX($B$24:$GQ$24,MATCH(157,$B$29:$GQ$29,0))</f>
        <v>0</v>
      </c>
      <c r="FC10">
        <f>INDEX($B$24:$GQ$24,MATCH(158,$B$29:$GQ$29,0))</f>
        <v>0</v>
      </c>
      <c r="FD10">
        <f>INDEX($B$24:$GQ$24,MATCH(159,$B$29:$GQ$29,0))</f>
        <v>0</v>
      </c>
      <c r="FE10">
        <f>INDEX($B$24:$GQ$24,MATCH(160,$B$29:$GQ$29,0))</f>
        <v>0</v>
      </c>
      <c r="FF10">
        <f>INDEX($B$24:$GQ$24,MATCH(161,$B$29:$GQ$29,0))</f>
        <v>0</v>
      </c>
      <c r="FG10">
        <f>INDEX($B$24:$GQ$24,MATCH(162,$B$29:$GQ$29,0))</f>
        <v>0</v>
      </c>
      <c r="FH10">
        <f>INDEX($B$24:$GQ$24,MATCH(163,$B$29:$GQ$29,0))</f>
        <v>0</v>
      </c>
      <c r="FI10">
        <f>INDEX($B$24:$GQ$24,MATCH(164,$B$29:$GQ$29,0))</f>
        <v>0</v>
      </c>
      <c r="FJ10">
        <f>INDEX($B$24:$GQ$24,MATCH(165,$B$29:$GQ$29,0))</f>
        <v>0</v>
      </c>
      <c r="FK10">
        <f>INDEX($B$24:$GQ$24,MATCH(166,$B$29:$GQ$29,0))</f>
        <v>0</v>
      </c>
      <c r="FL10">
        <f>INDEX($B$24:$GQ$24,MATCH(167,$B$29:$GQ$29,0))</f>
        <v>0</v>
      </c>
      <c r="FM10">
        <f>INDEX($B$24:$GQ$24,MATCH(168,$B$29:$GQ$29,0))</f>
        <v>0</v>
      </c>
      <c r="FN10">
        <f>INDEX($B$24:$GQ$24,MATCH(169,$B$29:$GQ$29,0))</f>
        <v>0</v>
      </c>
      <c r="FO10">
        <f>INDEX($B$24:$GQ$24,MATCH(170,$B$29:$GQ$29,0))</f>
        <v>0</v>
      </c>
      <c r="FP10">
        <f>INDEX($B$24:$GQ$24,MATCH(171,$B$29:$GQ$29,0))</f>
        <v>0</v>
      </c>
      <c r="FQ10">
        <f>INDEX($B$24:$GQ$24,MATCH(172,$B$29:$GQ$29,0))</f>
        <v>0</v>
      </c>
      <c r="FR10">
        <f>INDEX($B$24:$GQ$24,MATCH(173,$B$29:$GQ$29,0))</f>
        <v>0</v>
      </c>
      <c r="FS10">
        <f>INDEX($B$24:$GQ$24,MATCH(174,$B$29:$GQ$29,0))</f>
        <v>0</v>
      </c>
      <c r="FT10">
        <f>INDEX($B$24:$GQ$24,MATCH(175,$B$29:$GQ$29,0))</f>
        <v>0</v>
      </c>
      <c r="FU10">
        <f>INDEX($B$24:$GQ$24,MATCH(176,$B$29:$GQ$29,0))</f>
        <v>0</v>
      </c>
      <c r="FV10">
        <f>INDEX($B$24:$GQ$24,MATCH(177,$B$29:$GQ$29,0))</f>
        <v>0</v>
      </c>
      <c r="FW10">
        <f>INDEX($B$24:$GQ$24,MATCH(178,$B$29:$GQ$29,0))</f>
        <v>0</v>
      </c>
      <c r="FX10">
        <f>INDEX($B$24:$GQ$24,MATCH(179,$B$29:$GQ$29,0))</f>
        <v>0</v>
      </c>
      <c r="FY10">
        <f>INDEX($B$24:$GQ$24,MATCH(180,$B$29:$GQ$29,0))</f>
        <v>0</v>
      </c>
      <c r="FZ10">
        <f>INDEX($B$24:$GQ$24,MATCH(181,$B$29:$GQ$29,0))</f>
        <v>0</v>
      </c>
      <c r="GA10">
        <f>INDEX($B$24:$GQ$24,MATCH(182,$B$29:$GQ$29,0))</f>
        <v>0</v>
      </c>
      <c r="GB10">
        <f>INDEX($B$24:$GQ$24,MATCH(183,$B$29:$GQ$29,0))</f>
        <v>0</v>
      </c>
      <c r="GC10">
        <f>INDEX($B$24:$GQ$24,MATCH(184,$B$29:$GQ$29,0))</f>
        <v>0</v>
      </c>
      <c r="GD10">
        <f>INDEX($B$24:$GQ$24,MATCH(185,$B$29:$GQ$29,0))</f>
        <v>0</v>
      </c>
      <c r="GE10">
        <f>INDEX($B$24:$GQ$24,MATCH(186,$B$29:$GQ$29,0))</f>
        <v>0</v>
      </c>
      <c r="GF10">
        <f>INDEX($B$24:$GQ$24,MATCH(187,$B$29:$GQ$29,0))</f>
        <v>0</v>
      </c>
      <c r="GG10">
        <f>INDEX($B$24:$GQ$24,MATCH(188,$B$29:$GQ$29,0))</f>
        <v>0</v>
      </c>
      <c r="GH10">
        <f>INDEX($B$24:$GQ$24,MATCH(189,$B$29:$GQ$29,0))</f>
        <v>0</v>
      </c>
      <c r="GI10">
        <f>INDEX($B$24:$GQ$24,MATCH(190,$B$29:$GQ$29,0))</f>
        <v>0</v>
      </c>
      <c r="GJ10">
        <f>INDEX($B$24:$GQ$24,MATCH(191,$B$29:$GQ$29,0))</f>
        <v>0</v>
      </c>
      <c r="GK10">
        <f>INDEX($B$24:$GQ$24,MATCH(192,$B$29:$GQ$29,0))</f>
        <v>0</v>
      </c>
      <c r="GL10">
        <f>INDEX($B$24:$GQ$24,MATCH(193,$B$29:$GQ$29,0))</f>
        <v>0</v>
      </c>
      <c r="GM10">
        <f>INDEX($B$24:$GQ$24,MATCH(194,$B$29:$GQ$29,0))</f>
        <v>0</v>
      </c>
      <c r="GN10">
        <f>INDEX($B$24:$GQ$24,MATCH(195,$B$29:$GQ$29,0))</f>
        <v>0</v>
      </c>
      <c r="GO10">
        <f>INDEX($B$24:$GQ$24,MATCH(196,$B$29:$GQ$29,0))</f>
        <v>0</v>
      </c>
      <c r="GP10">
        <f>INDEX($B$24:$GQ$24,MATCH(197,$B$29:$GQ$29,0))</f>
        <v>0</v>
      </c>
      <c r="GQ10">
        <f>INDEX($B$24:$GQ$24,MATCH(198,$B$29:$GQ$29,0))</f>
        <v>0</v>
      </c>
      <c r="GR10">
        <f>INDEX($GR$24:$HC$24,MATCH(1,$GR$30:$HC$30,0))</f>
        <v>707.26656430800517</v>
      </c>
      <c r="GS10">
        <f>INDEX($GR$24:$HC$24,MATCH(2,$GR$30:$HC$30,0))</f>
        <v>127.5178013409277</v>
      </c>
      <c r="GT10">
        <f>INDEX($GR$24:$HC$24,MATCH(3,$GR$30:$HC$30,0))</f>
        <v>137.97209889728711</v>
      </c>
      <c r="GU10">
        <f>INDEX($GR$24:$HC$24,MATCH(4,$GR$30:$HC$30,0))</f>
        <v>296.82841803221572</v>
      </c>
      <c r="GV10">
        <f>INDEX($GR$24:$HC$24,MATCH(5,$GR$30:$HC$30,0))</f>
        <v>71.086936662035782</v>
      </c>
      <c r="GW10">
        <f>INDEX($GR$24:$HC$24,MATCH(6,$GR$30:$HC$30,0))</f>
        <v>10.350892704533299</v>
      </c>
      <c r="GX10">
        <f>INDEX($GR$24:$HC$24,MATCH(7,$GR$30:$HC$30,0))</f>
        <v>14.918594088338221</v>
      </c>
      <c r="GY10">
        <f>INDEX($GR$24:$HC$24,MATCH(8,$GR$30:$HC$30,0))</f>
        <v>26.0344951064166</v>
      </c>
      <c r="GZ10">
        <f>INDEX($GR$24:$HC$24,MATCH(9,$GR$30:$HC$30,0))</f>
        <v>197.62212498276779</v>
      </c>
      <c r="HA10">
        <f>INDEX($GR$24:$HC$24,MATCH(10,$GR$30:$HC$30,0))</f>
        <v>104.84927003630381</v>
      </c>
      <c r="HB10">
        <f>INDEX($GR$24:$HC$24,MATCH(11,$GR$30:$HC$30,0))</f>
        <v>109.6920535580162</v>
      </c>
      <c r="HC10">
        <f>INDEX($GR$24:$HC$24,MATCH(12,$GR$30:$HC$30,0))</f>
        <v>109.5485372878089</v>
      </c>
    </row>
    <row r="11" spans="1:211" x14ac:dyDescent="0.45">
      <c r="A11" s="1" t="s">
        <v>10</v>
      </c>
      <c r="B11">
        <f>INDEX($B$25:$GQ$25,MATCH(1,$B$29:$GQ$29,0))</f>
        <v>198.36401049866399</v>
      </c>
      <c r="C11">
        <f>INDEX($B$25:$GQ$25,MATCH(2,$B$29:$GQ$29,0))</f>
        <v>564.09333038194609</v>
      </c>
      <c r="D11">
        <f>INDEX($B$25:$GQ$25,MATCH(3,$B$29:$GQ$29,0))</f>
        <v>371.66946589169538</v>
      </c>
      <c r="E11">
        <f>INDEX($B$25:$GQ$25,MATCH(4,$B$29:$GQ$29,0))</f>
        <v>0</v>
      </c>
      <c r="F11">
        <f>INDEX($B$25:$GQ$25,MATCH(5,$B$29:$GQ$29,0))</f>
        <v>292.61479968836551</v>
      </c>
      <c r="G11">
        <f>INDEX($B$25:$GQ$25,MATCH(6,$B$29:$GQ$29,0))</f>
        <v>325.71084521354692</v>
      </c>
      <c r="H11">
        <f>INDEX($B$25:$GQ$25,MATCH(7,$B$29:$GQ$29,0))</f>
        <v>332.98246664723411</v>
      </c>
      <c r="I11">
        <f>INDEX($B$25:$GQ$25,MATCH(8,$B$29:$GQ$29,0))</f>
        <v>320.42586008539422</v>
      </c>
      <c r="J11">
        <f>INDEX($B$25:$GQ$25,MATCH(9,$B$29:$GQ$29,0))</f>
        <v>324.40609170795238</v>
      </c>
      <c r="K11">
        <f>INDEX($B$25:$GQ$25,MATCH(10,$B$29:$GQ$29,0))</f>
        <v>1.587452018236658</v>
      </c>
      <c r="L11">
        <f>INDEX($B$25:$GQ$25,MATCH(11,$B$29:$GQ$29,0))</f>
        <v>269.46898607367621</v>
      </c>
      <c r="M11">
        <f>INDEX($B$25:$GQ$25,MATCH(12,$B$29:$GQ$29,0))</f>
        <v>13.526084047451301</v>
      </c>
      <c r="N11">
        <f>INDEX($B$25:$GQ$25,MATCH(13,$B$29:$GQ$29,0))</f>
        <v>212.41082832629411</v>
      </c>
      <c r="O11">
        <f>INDEX($B$25:$GQ$25,MATCH(14,$B$29:$GQ$29,0))</f>
        <v>161.53420122610339</v>
      </c>
      <c r="P11">
        <f>INDEX($B$25:$GQ$25,MATCH(15,$B$29:$GQ$29,0))</f>
        <v>194.79495294826239</v>
      </c>
      <c r="Q11">
        <f>INDEX($B$25:$GQ$25,MATCH(16,$B$29:$GQ$29,0))</f>
        <v>76.81130916112356</v>
      </c>
      <c r="R11">
        <f>INDEX($B$25:$GQ$25,MATCH(17,$B$29:$GQ$29,0))</f>
        <v>133.72375280440679</v>
      </c>
      <c r="S11">
        <f>INDEX($B$25:$GQ$25,MATCH(18,$B$29:$GQ$29,0))</f>
        <v>73.163424070024277</v>
      </c>
      <c r="T11">
        <f>INDEX($B$25:$GQ$25,MATCH(19,$B$29:$GQ$29,0))</f>
        <v>171.81034266892851</v>
      </c>
      <c r="U11">
        <f>INDEX($B$25:$GQ$25,MATCH(20,$B$29:$GQ$29,0))</f>
        <v>124.7521874736791</v>
      </c>
      <c r="V11">
        <f>INDEX($B$25:$GQ$25,MATCH(21,$B$29:$GQ$29,0))</f>
        <v>43.030940916454753</v>
      </c>
      <c r="W11">
        <f>INDEX($B$25:$GQ$25,MATCH(22,$B$29:$GQ$29,0))</f>
        <v>18.46690757517166</v>
      </c>
      <c r="X11">
        <f>INDEX($B$25:$GQ$25,MATCH(23,$B$29:$GQ$29,0))</f>
        <v>2.5328339092970471</v>
      </c>
      <c r="Y11">
        <f>INDEX($B$25:$GQ$25,MATCH(24,$B$29:$GQ$29,0))</f>
        <v>18.171617986490169</v>
      </c>
      <c r="Z11">
        <f>INDEX($B$25:$GQ$25,MATCH(25,$B$29:$GQ$29,0))</f>
        <v>107.0256110358776</v>
      </c>
      <c r="AA11">
        <f>INDEX($B$25:$GQ$25,MATCH(26,$B$29:$GQ$29,0))</f>
        <v>89.152773951471247</v>
      </c>
      <c r="AB11">
        <f>INDEX($B$25:$GQ$25,MATCH(27,$B$29:$GQ$29,0))</f>
        <v>44.393743795588897</v>
      </c>
      <c r="AC11">
        <f>INDEX($B$25:$GQ$25,MATCH(28,$B$29:$GQ$29,0))</f>
        <v>37.722661434054189</v>
      </c>
      <c r="AD11">
        <f>INDEX($B$25:$GQ$25,MATCH(29,$B$29:$GQ$29,0))</f>
        <v>39.252927756497662</v>
      </c>
      <c r="AE11">
        <f>INDEX($B$25:$GQ$25,MATCH(30,$B$29:$GQ$29,0))</f>
        <v>20.724842071645138</v>
      </c>
      <c r="AF11">
        <f>INDEX($B$25:$GQ$25,MATCH(31,$B$29:$GQ$29,0))</f>
        <v>51.781983536850483</v>
      </c>
      <c r="AG11">
        <f>INDEX($B$25:$GQ$25,MATCH(32,$B$29:$GQ$29,0))</f>
        <v>42.287293839775167</v>
      </c>
      <c r="AH11">
        <f>INDEX($B$25:$GQ$25,MATCH(33,$B$29:$GQ$29,0))</f>
        <v>54.962134745603016</v>
      </c>
      <c r="AI11">
        <f>INDEX($B$25:$GQ$25,MATCH(34,$B$29:$GQ$29,0))</f>
        <v>47.15135463295794</v>
      </c>
      <c r="AJ11">
        <f>INDEX($B$25:$GQ$25,MATCH(35,$B$29:$GQ$29,0))</f>
        <v>27.8915924106233</v>
      </c>
      <c r="AK11">
        <f>INDEX($B$25:$GQ$25,MATCH(36,$B$29:$GQ$29,0))</f>
        <v>46.220548713552198</v>
      </c>
      <c r="AL11">
        <f>INDEX($B$25:$GQ$25,MATCH(37,$B$29:$GQ$29,0))</f>
        <v>8.5854018525628923</v>
      </c>
      <c r="AM11">
        <f>INDEX($B$25:$GQ$25,MATCH(38,$B$29:$GQ$29,0))</f>
        <v>11.44094266795366</v>
      </c>
      <c r="AN11">
        <f>INDEX($B$25:$GQ$25,MATCH(39,$B$29:$GQ$29,0))</f>
        <v>9.5260094648262932</v>
      </c>
      <c r="AO11">
        <f>INDEX($B$25:$GQ$25,MATCH(40,$B$29:$GQ$29,0))</f>
        <v>27.069757309992621</v>
      </c>
      <c r="AP11">
        <f>INDEX($B$25:$GQ$25,MATCH(41,$B$29:$GQ$29,0))</f>
        <v>30.075754468144719</v>
      </c>
      <c r="AQ11">
        <f>INDEX($B$25:$GQ$25,MATCH(42,$B$29:$GQ$29,0))</f>
        <v>28.06938862460547</v>
      </c>
      <c r="AR11">
        <f>INDEX($B$25:$GQ$25,MATCH(43,$B$29:$GQ$29,0))</f>
        <v>23.841641446117531</v>
      </c>
      <c r="AS11">
        <f>INDEX($B$25:$GQ$25,MATCH(44,$B$29:$GQ$29,0))</f>
        <v>23.241337023076809</v>
      </c>
      <c r="AT11">
        <f>INDEX($B$25:$GQ$25,MATCH(45,$B$29:$GQ$29,0))</f>
        <v>10.832829667529779</v>
      </c>
      <c r="AU11">
        <f>INDEX($B$25:$GQ$25,MATCH(46,$B$29:$GQ$29,0))</f>
        <v>22.209815043919601</v>
      </c>
      <c r="AV11">
        <f>INDEX($B$25:$GQ$25,MATCH(47,$B$29:$GQ$29,0))</f>
        <v>9.4160521662091519</v>
      </c>
      <c r="AW11">
        <f>INDEX($B$25:$GQ$25,MATCH(48,$B$29:$GQ$29,0))</f>
        <v>0</v>
      </c>
      <c r="AX11">
        <f>INDEX($B$25:$GQ$25,MATCH(49,$B$29:$GQ$29,0))</f>
        <v>21.84829597836298</v>
      </c>
      <c r="AY11">
        <f>INDEX($B$25:$GQ$25,MATCH(50,$B$29:$GQ$29,0))</f>
        <v>20.177394649999119</v>
      </c>
      <c r="AZ11">
        <f>INDEX($B$25:$GQ$25,MATCH(51,$B$29:$GQ$29,0))</f>
        <v>0.13521517276498121</v>
      </c>
      <c r="BA11">
        <f>INDEX($B$25:$GQ$25,MATCH(52,$B$29:$GQ$29,0))</f>
        <v>20.355392192851319</v>
      </c>
      <c r="BB11">
        <f>INDEX($B$25:$GQ$25,MATCH(53,$B$29:$GQ$29,0))</f>
        <v>19.421359223297902</v>
      </c>
      <c r="BC11">
        <f>INDEX($B$25:$GQ$25,MATCH(54,$B$29:$GQ$29,0))</f>
        <v>17.860861015869379</v>
      </c>
      <c r="BD11">
        <f>INDEX($B$25:$GQ$25,MATCH(55,$B$29:$GQ$29,0))</f>
        <v>4.4787439511640326</v>
      </c>
      <c r="BE11">
        <f>INDEX($B$25:$GQ$25,MATCH(56,$B$29:$GQ$29,0))</f>
        <v>16.014514158976539</v>
      </c>
      <c r="BF11">
        <f>INDEX($B$25:$GQ$25,MATCH(57,$B$29:$GQ$29,0))</f>
        <v>10.868698572258801</v>
      </c>
      <c r="BG11">
        <f>INDEX($B$25:$GQ$25,MATCH(58,$B$29:$GQ$29,0))</f>
        <v>6.7393710268058626</v>
      </c>
      <c r="BH11">
        <f>INDEX($B$25:$GQ$25,MATCH(59,$B$29:$GQ$29,0))</f>
        <v>4.410464460249373</v>
      </c>
      <c r="BI11">
        <f>INDEX($B$25:$GQ$25,MATCH(60,$B$29:$GQ$29,0))</f>
        <v>0.79869496916567972</v>
      </c>
      <c r="BJ11">
        <f>INDEX($B$25:$GQ$25,MATCH(61,$B$29:$GQ$29,0))</f>
        <v>13.501773849198489</v>
      </c>
      <c r="BK11">
        <f>INDEX($B$25:$GQ$25,MATCH(62,$B$29:$GQ$29,0))</f>
        <v>11.283791286212329</v>
      </c>
      <c r="BL11">
        <f>INDEX($B$25:$GQ$25,MATCH(63,$B$29:$GQ$29,0))</f>
        <v>10.82814764084295</v>
      </c>
      <c r="BM11">
        <f>INDEX($B$25:$GQ$25,MATCH(64,$B$29:$GQ$29,0))</f>
        <v>4.9510409314204482</v>
      </c>
      <c r="BN11">
        <f>INDEX($B$25:$GQ$25,MATCH(65,$B$29:$GQ$29,0))</f>
        <v>3.4312481681707099</v>
      </c>
      <c r="BO11">
        <f>INDEX($B$25:$GQ$25,MATCH(66,$B$29:$GQ$29,0))</f>
        <v>1.837371811893137</v>
      </c>
      <c r="BP11">
        <f>INDEX($B$25:$GQ$25,MATCH(67,$B$29:$GQ$29,0))</f>
        <v>9.1868608330494155</v>
      </c>
      <c r="BQ11">
        <f>INDEX($B$25:$GQ$25,MATCH(68,$B$29:$GQ$29,0))</f>
        <v>9.4380466069942042</v>
      </c>
      <c r="BR11">
        <f>INDEX($B$25:$GQ$25,MATCH(69,$B$29:$GQ$29,0))</f>
        <v>9.2419730812983367</v>
      </c>
      <c r="BS11">
        <f>INDEX($B$25:$GQ$25,MATCH(70,$B$29:$GQ$29,0))</f>
        <v>8.4826063626427057</v>
      </c>
      <c r="BT11">
        <f>INDEX($B$25:$GQ$25,MATCH(71,$B$29:$GQ$29,0))</f>
        <v>2.5220106289088999</v>
      </c>
      <c r="BU11">
        <f>INDEX($B$25:$GQ$25,MATCH(72,$B$29:$GQ$29,0))</f>
        <v>8.1487679407137321</v>
      </c>
      <c r="BV11">
        <f>INDEX($B$25:$GQ$25,MATCH(73,$B$29:$GQ$29,0))</f>
        <v>2.0409132038288389</v>
      </c>
      <c r="BW11">
        <f>INDEX($B$25:$GQ$25,MATCH(74,$B$29:$GQ$29,0))</f>
        <v>0.32164077395671081</v>
      </c>
      <c r="BX11">
        <f>INDEX($B$25:$GQ$25,MATCH(75,$B$29:$GQ$29,0))</f>
        <v>7.1727667672309599</v>
      </c>
      <c r="BY11">
        <f>INDEX($B$25:$GQ$25,MATCH(76,$B$29:$GQ$29,0))</f>
        <v>6.8263290558885954</v>
      </c>
      <c r="BZ11">
        <f>INDEX($B$25:$GQ$25,MATCH(77,$B$29:$GQ$29,0))</f>
        <v>5.0282829984350794</v>
      </c>
      <c r="CA11">
        <f>INDEX($B$25:$GQ$25,MATCH(78,$B$29:$GQ$29,0))</f>
        <v>3.5325169005755752</v>
      </c>
      <c r="CB11">
        <f>INDEX($B$25:$GQ$25,MATCH(79,$B$29:$GQ$29,0))</f>
        <v>3.262028953363401</v>
      </c>
      <c r="CC11">
        <f>INDEX($B$25:$GQ$25,MATCH(80,$B$29:$GQ$29,0))</f>
        <v>0.66310755556406309</v>
      </c>
      <c r="CD11">
        <f>INDEX($B$25:$GQ$25,MATCH(81,$B$29:$GQ$29,0))</f>
        <v>1.975195031246175</v>
      </c>
      <c r="CE11">
        <f>INDEX($B$25:$GQ$25,MATCH(82,$B$29:$GQ$29,0))</f>
        <v>0.66007996370554622</v>
      </c>
      <c r="CF11">
        <f>INDEX($B$25:$GQ$25,MATCH(83,$B$29:$GQ$29,0))</f>
        <v>1.8279052415594339</v>
      </c>
      <c r="CG11">
        <f>INDEX($B$25:$GQ$25,MATCH(84,$B$29:$GQ$29,0))</f>
        <v>0.7572273453052023</v>
      </c>
      <c r="CH11">
        <f>INDEX($B$25:$GQ$25,MATCH(85,$B$29:$GQ$29,0))</f>
        <v>1.1708904803738049</v>
      </c>
      <c r="CI11">
        <f>INDEX($B$25:$GQ$25,MATCH(86,$B$29:$GQ$29,0))</f>
        <v>1.3646401203988281</v>
      </c>
      <c r="CJ11">
        <f>INDEX($B$25:$GQ$25,MATCH(87,$B$29:$GQ$29,0))</f>
        <v>1.313887617846222</v>
      </c>
      <c r="CK11">
        <f>INDEX($B$25:$GQ$25,MATCH(88,$B$29:$GQ$29,0))</f>
        <v>1.3099677133743839</v>
      </c>
      <c r="CL11">
        <f>INDEX($B$25:$GQ$25,MATCH(89,$B$29:$GQ$29,0))</f>
        <v>1.254603316376488</v>
      </c>
      <c r="CM11">
        <f>INDEX($B$25:$GQ$25,MATCH(90,$B$29:$GQ$29,0))</f>
        <v>1.1365669171423121</v>
      </c>
      <c r="CN11">
        <f>INDEX($B$25:$GQ$25,MATCH(91,$B$29:$GQ$29,0))</f>
        <v>1.124823985989329</v>
      </c>
      <c r="CO11">
        <f>INDEX($B$25:$GQ$25,MATCH(92,$B$29:$GQ$29,0))</f>
        <v>1.074710805769326</v>
      </c>
      <c r="CP11">
        <f>INDEX($B$25:$GQ$25,MATCH(93,$B$29:$GQ$29,0))</f>
        <v>0.89334988820416805</v>
      </c>
      <c r="CQ11">
        <f>INDEX($B$25:$GQ$25,MATCH(94,$B$29:$GQ$29,0))</f>
        <v>0.80768912431299378</v>
      </c>
      <c r="CR11">
        <f>INDEX($B$25:$GQ$25,MATCH(95,$B$29:$GQ$29,0))</f>
        <v>0.7710000885630981</v>
      </c>
      <c r="CS11">
        <f>INDEX($B$25:$GQ$25,MATCH(96,$B$29:$GQ$29,0))</f>
        <v>0.74519280759272111</v>
      </c>
      <c r="CT11">
        <f>INDEX($B$25:$GQ$25,MATCH(97,$B$29:$GQ$29,0))</f>
        <v>0.68504577806629618</v>
      </c>
      <c r="CU11">
        <f>INDEX($B$25:$GQ$25,MATCH(98,$B$29:$GQ$29,0))</f>
        <v>0.65702241343978562</v>
      </c>
      <c r="CV11">
        <f>INDEX($B$25:$GQ$25,MATCH(99,$B$29:$GQ$29,0))</f>
        <v>0.53360927118713153</v>
      </c>
      <c r="CW11">
        <f>INDEX($B$25:$GQ$25,MATCH(100,$B$29:$GQ$29,0))</f>
        <v>0.51122835932325239</v>
      </c>
      <c r="CX11">
        <f>INDEX($B$25:$GQ$25,MATCH(101,$B$29:$GQ$29,0))</f>
        <v>9.3764507098654776E-2</v>
      </c>
      <c r="CY11">
        <f>INDEX($B$25:$GQ$25,MATCH(102,$B$29:$GQ$29,0))</f>
        <v>0.44773404463043942</v>
      </c>
      <c r="CZ11">
        <f>INDEX($B$25:$GQ$25,MATCH(103,$B$29:$GQ$29,0))</f>
        <v>0.49857471963838329</v>
      </c>
      <c r="DA11">
        <f>INDEX($B$25:$GQ$25,MATCH(104,$B$29:$GQ$29,0))</f>
        <v>0.44139227993040492</v>
      </c>
      <c r="DB11">
        <f>INDEX($B$25:$GQ$25,MATCH(105,$B$29:$GQ$29,0))</f>
        <v>0.36852302975268308</v>
      </c>
      <c r="DC11">
        <f>INDEX($B$25:$GQ$25,MATCH(106,$B$29:$GQ$29,0))</f>
        <v>0.32213409213495148</v>
      </c>
      <c r="DD11">
        <f>INDEX($B$25:$GQ$25,MATCH(107,$B$29:$GQ$29,0))</f>
        <v>0.27787272164801702</v>
      </c>
      <c r="DE11">
        <f>INDEX($B$25:$GQ$25,MATCH(108,$B$29:$GQ$29,0))</f>
        <v>0</v>
      </c>
      <c r="DF11">
        <f>INDEX($B$25:$GQ$25,MATCH(109,$B$29:$GQ$29,0))</f>
        <v>0.23484207700454299</v>
      </c>
      <c r="DG11">
        <f>INDEX($B$25:$GQ$25,MATCH(110,$B$29:$GQ$29,0))</f>
        <v>0.14382630273975949</v>
      </c>
      <c r="DH11">
        <f>INDEX($B$25:$GQ$25,MATCH(111,$B$29:$GQ$29,0))</f>
        <v>0.1519172745396502</v>
      </c>
      <c r="DI11">
        <f>INDEX($B$25:$GQ$25,MATCH(112,$B$29:$GQ$29,0))</f>
        <v>0.104033579178579</v>
      </c>
      <c r="DJ11">
        <f>INDEX($B$25:$GQ$25,MATCH(113,$B$29:$GQ$29,0))</f>
        <v>8.9852936970372554E-2</v>
      </c>
      <c r="DK11">
        <f>INDEX($B$25:$GQ$25,MATCH(114,$B$29:$GQ$29,0))</f>
        <v>8.2635106623312388E-2</v>
      </c>
      <c r="DL11">
        <f>INDEX($B$25:$GQ$25,MATCH(115,$B$29:$GQ$29,0))</f>
        <v>0</v>
      </c>
      <c r="DM11">
        <f>INDEX($B$25:$GQ$25,MATCH(116,$B$29:$GQ$29,0))</f>
        <v>4.1595950049803647E-2</v>
      </c>
      <c r="DN11">
        <f>INDEX($B$25:$GQ$25,MATCH(117,$B$29:$GQ$29,0))</f>
        <v>4.7569406593885977E-2</v>
      </c>
      <c r="DO11">
        <f>INDEX($B$25:$GQ$25,MATCH(118,$B$29:$GQ$29,0))</f>
        <v>2.7746689638137069E-3</v>
      </c>
      <c r="DP11">
        <f>INDEX($B$25:$GQ$25,MATCH(119,$B$29:$GQ$29,0))</f>
        <v>3.3979399477571851E-2</v>
      </c>
      <c r="DQ11">
        <f>INDEX($B$25:$GQ$25,MATCH(120,$B$29:$GQ$29,0))</f>
        <v>0</v>
      </c>
      <c r="DR11">
        <f>INDEX($B$25:$GQ$25,MATCH(121,$B$29:$GQ$29,0))</f>
        <v>0</v>
      </c>
      <c r="DS11">
        <f>INDEX($B$25:$GQ$25,MATCH(122,$B$29:$GQ$29,0))</f>
        <v>1.9809089393196689E-2</v>
      </c>
      <c r="DT11">
        <f>INDEX($B$25:$GQ$25,MATCH(123,$B$29:$GQ$29,0))</f>
        <v>1.9275947113087631E-2</v>
      </c>
      <c r="DU11">
        <f>INDEX($B$25:$GQ$25,MATCH(124,$B$29:$GQ$29,0))</f>
        <v>1.5855096625353041E-3</v>
      </c>
      <c r="DV11">
        <f>INDEX($B$25:$GQ$25,MATCH(125,$B$29:$GQ$29,0))</f>
        <v>7.4735206104702958E-3</v>
      </c>
      <c r="DW11">
        <f>INDEX($B$25:$GQ$25,MATCH(126,$B$29:$GQ$29,0))</f>
        <v>0</v>
      </c>
      <c r="DX11">
        <f>INDEX($B$25:$GQ$25,MATCH(127,$B$29:$GQ$29,0))</f>
        <v>0</v>
      </c>
      <c r="DY11">
        <f>INDEX($B$25:$GQ$25,MATCH(128,$B$29:$GQ$29,0))</f>
        <v>8.3363883267177934E-4</v>
      </c>
      <c r="DZ11">
        <f>INDEX($B$25:$GQ$25,MATCH(129,$B$29:$GQ$29,0))</f>
        <v>3.6474206186445847E-4</v>
      </c>
      <c r="EA11">
        <f>INDEX($B$25:$GQ$25,MATCH(130,$B$29:$GQ$29,0))</f>
        <v>1.149816478723933E-4</v>
      </c>
      <c r="EB11">
        <f>INDEX($B$25:$GQ$25,MATCH(131,$B$29:$GQ$29,0))</f>
        <v>0</v>
      </c>
      <c r="EC11">
        <f>INDEX($B$25:$GQ$25,MATCH(132,$B$29:$GQ$29,0))</f>
        <v>1.658496258304217E-5</v>
      </c>
      <c r="ED11">
        <f>INDEX($B$25:$GQ$25,MATCH(133,$B$29:$GQ$29,0))</f>
        <v>4.1381913275061886E-6</v>
      </c>
      <c r="EE11">
        <f>INDEX($B$25:$GQ$25,MATCH(134,$B$29:$GQ$29,0))</f>
        <v>0</v>
      </c>
      <c r="EF11">
        <f>INDEX($B$25:$GQ$25,MATCH(135,$B$29:$GQ$29,0))</f>
        <v>0</v>
      </c>
      <c r="EG11">
        <f>INDEX($B$25:$GQ$25,MATCH(136,$B$29:$GQ$29,0))</f>
        <v>0</v>
      </c>
      <c r="EH11">
        <f>INDEX($B$25:$GQ$25,MATCH(137,$B$29:$GQ$29,0))</f>
        <v>0</v>
      </c>
      <c r="EI11">
        <f>INDEX($B$25:$GQ$25,MATCH(138,$B$29:$GQ$29,0))</f>
        <v>0</v>
      </c>
      <c r="EJ11">
        <f>INDEX($B$25:$GQ$25,MATCH(139,$B$29:$GQ$29,0))</f>
        <v>0</v>
      </c>
      <c r="EK11">
        <f>INDEX($B$25:$GQ$25,MATCH(140,$B$29:$GQ$29,0))</f>
        <v>0</v>
      </c>
      <c r="EL11">
        <f>INDEX($B$25:$GQ$25,MATCH(141,$B$29:$GQ$29,0))</f>
        <v>0</v>
      </c>
      <c r="EM11">
        <f>INDEX($B$25:$GQ$25,MATCH(142,$B$29:$GQ$29,0))</f>
        <v>0</v>
      </c>
      <c r="EN11">
        <f>INDEX($B$25:$GQ$25,MATCH(143,$B$29:$GQ$29,0))</f>
        <v>0</v>
      </c>
      <c r="EO11">
        <f>INDEX($B$25:$GQ$25,MATCH(144,$B$29:$GQ$29,0))</f>
        <v>0</v>
      </c>
      <c r="EP11">
        <f>INDEX($B$25:$GQ$25,MATCH(145,$B$29:$GQ$29,0))</f>
        <v>0</v>
      </c>
      <c r="EQ11">
        <f>INDEX($B$25:$GQ$25,MATCH(146,$B$29:$GQ$29,0))</f>
        <v>0</v>
      </c>
      <c r="ER11">
        <f>INDEX($B$25:$GQ$25,MATCH(147,$B$29:$GQ$29,0))</f>
        <v>0</v>
      </c>
      <c r="ES11">
        <f>INDEX($B$25:$GQ$25,MATCH(148,$B$29:$GQ$29,0))</f>
        <v>0</v>
      </c>
      <c r="ET11">
        <f>INDEX($B$25:$GQ$25,MATCH(149,$B$29:$GQ$29,0))</f>
        <v>0</v>
      </c>
      <c r="EU11">
        <f>INDEX($B$25:$GQ$25,MATCH(150,$B$29:$GQ$29,0))</f>
        <v>0</v>
      </c>
      <c r="EV11">
        <f>INDEX($B$25:$GQ$25,MATCH(151,$B$29:$GQ$29,0))</f>
        <v>0</v>
      </c>
      <c r="EW11">
        <f>INDEX($B$25:$GQ$25,MATCH(152,$B$29:$GQ$29,0))</f>
        <v>0</v>
      </c>
      <c r="EX11">
        <f>INDEX($B$25:$GQ$25,MATCH(153,$B$29:$GQ$29,0))</f>
        <v>0</v>
      </c>
      <c r="EY11">
        <f>INDEX($B$25:$GQ$25,MATCH(154,$B$29:$GQ$29,0))</f>
        <v>0</v>
      </c>
      <c r="EZ11">
        <f>INDEX($B$25:$GQ$25,MATCH(155,$B$29:$GQ$29,0))</f>
        <v>0</v>
      </c>
      <c r="FA11">
        <f>INDEX($B$25:$GQ$25,MATCH(156,$B$29:$GQ$29,0))</f>
        <v>0</v>
      </c>
      <c r="FB11">
        <f>INDEX($B$25:$GQ$25,MATCH(157,$B$29:$GQ$29,0))</f>
        <v>0</v>
      </c>
      <c r="FC11">
        <f>INDEX($B$25:$GQ$25,MATCH(158,$B$29:$GQ$29,0))</f>
        <v>0</v>
      </c>
      <c r="FD11">
        <f>INDEX($B$25:$GQ$25,MATCH(159,$B$29:$GQ$29,0))</f>
        <v>0</v>
      </c>
      <c r="FE11">
        <f>INDEX($B$25:$GQ$25,MATCH(160,$B$29:$GQ$29,0))</f>
        <v>0</v>
      </c>
      <c r="FF11">
        <f>INDEX($B$25:$GQ$25,MATCH(161,$B$29:$GQ$29,0))</f>
        <v>0</v>
      </c>
      <c r="FG11">
        <f>INDEX($B$25:$GQ$25,MATCH(162,$B$29:$GQ$29,0))</f>
        <v>0</v>
      </c>
      <c r="FH11">
        <f>INDEX($B$25:$GQ$25,MATCH(163,$B$29:$GQ$29,0))</f>
        <v>0</v>
      </c>
      <c r="FI11">
        <f>INDEX($B$25:$GQ$25,MATCH(164,$B$29:$GQ$29,0))</f>
        <v>0</v>
      </c>
      <c r="FJ11">
        <f>INDEX($B$25:$GQ$25,MATCH(165,$B$29:$GQ$29,0))</f>
        <v>0</v>
      </c>
      <c r="FK11">
        <f>INDEX($B$25:$GQ$25,MATCH(166,$B$29:$GQ$29,0))</f>
        <v>0</v>
      </c>
      <c r="FL11">
        <f>INDEX($B$25:$GQ$25,MATCH(167,$B$29:$GQ$29,0))</f>
        <v>0</v>
      </c>
      <c r="FM11">
        <f>INDEX($B$25:$GQ$25,MATCH(168,$B$29:$GQ$29,0))</f>
        <v>0</v>
      </c>
      <c r="FN11">
        <f>INDEX($B$25:$GQ$25,MATCH(169,$B$29:$GQ$29,0))</f>
        <v>0</v>
      </c>
      <c r="FO11">
        <f>INDEX($B$25:$GQ$25,MATCH(170,$B$29:$GQ$29,0))</f>
        <v>0</v>
      </c>
      <c r="FP11">
        <f>INDEX($B$25:$GQ$25,MATCH(171,$B$29:$GQ$29,0))</f>
        <v>0</v>
      </c>
      <c r="FQ11">
        <f>INDEX($B$25:$GQ$25,MATCH(172,$B$29:$GQ$29,0))</f>
        <v>0</v>
      </c>
      <c r="FR11">
        <f>INDEX($B$25:$GQ$25,MATCH(173,$B$29:$GQ$29,0))</f>
        <v>0</v>
      </c>
      <c r="FS11">
        <f>INDEX($B$25:$GQ$25,MATCH(174,$B$29:$GQ$29,0))</f>
        <v>0</v>
      </c>
      <c r="FT11">
        <f>INDEX($B$25:$GQ$25,MATCH(175,$B$29:$GQ$29,0))</f>
        <v>0</v>
      </c>
      <c r="FU11">
        <f>INDEX($B$25:$GQ$25,MATCH(176,$B$29:$GQ$29,0))</f>
        <v>0</v>
      </c>
      <c r="FV11">
        <f>INDEX($B$25:$GQ$25,MATCH(177,$B$29:$GQ$29,0))</f>
        <v>0</v>
      </c>
      <c r="FW11">
        <f>INDEX($B$25:$GQ$25,MATCH(178,$B$29:$GQ$29,0))</f>
        <v>0</v>
      </c>
      <c r="FX11">
        <f>INDEX($B$25:$GQ$25,MATCH(179,$B$29:$GQ$29,0))</f>
        <v>0</v>
      </c>
      <c r="FY11">
        <f>INDEX($B$25:$GQ$25,MATCH(180,$B$29:$GQ$29,0))</f>
        <v>0</v>
      </c>
      <c r="FZ11">
        <f>INDEX($B$25:$GQ$25,MATCH(181,$B$29:$GQ$29,0))</f>
        <v>0</v>
      </c>
      <c r="GA11">
        <f>INDEX($B$25:$GQ$25,MATCH(182,$B$29:$GQ$29,0))</f>
        <v>0</v>
      </c>
      <c r="GB11">
        <f>INDEX($B$25:$GQ$25,MATCH(183,$B$29:$GQ$29,0))</f>
        <v>0</v>
      </c>
      <c r="GC11">
        <f>INDEX($B$25:$GQ$25,MATCH(184,$B$29:$GQ$29,0))</f>
        <v>0</v>
      </c>
      <c r="GD11">
        <f>INDEX($B$25:$GQ$25,MATCH(185,$B$29:$GQ$29,0))</f>
        <v>0</v>
      </c>
      <c r="GE11">
        <f>INDEX($B$25:$GQ$25,MATCH(186,$B$29:$GQ$29,0))</f>
        <v>0</v>
      </c>
      <c r="GF11">
        <f>INDEX($B$25:$GQ$25,MATCH(187,$B$29:$GQ$29,0))</f>
        <v>0</v>
      </c>
      <c r="GG11">
        <f>INDEX($B$25:$GQ$25,MATCH(188,$B$29:$GQ$29,0))</f>
        <v>0</v>
      </c>
      <c r="GH11">
        <f>INDEX($B$25:$GQ$25,MATCH(189,$B$29:$GQ$29,0))</f>
        <v>0</v>
      </c>
      <c r="GI11">
        <f>INDEX($B$25:$GQ$25,MATCH(190,$B$29:$GQ$29,0))</f>
        <v>0</v>
      </c>
      <c r="GJ11">
        <f>INDEX($B$25:$GQ$25,MATCH(191,$B$29:$GQ$29,0))</f>
        <v>0</v>
      </c>
      <c r="GK11">
        <f>INDEX($B$25:$GQ$25,MATCH(192,$B$29:$GQ$29,0))</f>
        <v>0</v>
      </c>
      <c r="GL11">
        <f>INDEX($B$25:$GQ$25,MATCH(193,$B$29:$GQ$29,0))</f>
        <v>0</v>
      </c>
      <c r="GM11">
        <f>INDEX($B$25:$GQ$25,MATCH(194,$B$29:$GQ$29,0))</f>
        <v>0</v>
      </c>
      <c r="GN11">
        <f>INDEX($B$25:$GQ$25,MATCH(195,$B$29:$GQ$29,0))</f>
        <v>0</v>
      </c>
      <c r="GO11">
        <f>INDEX($B$25:$GQ$25,MATCH(196,$B$29:$GQ$29,0))</f>
        <v>0</v>
      </c>
      <c r="GP11">
        <f>INDEX($B$25:$GQ$25,MATCH(197,$B$29:$GQ$29,0))</f>
        <v>0</v>
      </c>
      <c r="GQ11">
        <f>INDEX($B$25:$GQ$25,MATCH(198,$B$29:$GQ$29,0))</f>
        <v>0</v>
      </c>
      <c r="GR11">
        <f>INDEX($GR$25:$HC$25,MATCH(1,$GR$30:$HC$30,0))</f>
        <v>1097.1316231300771</v>
      </c>
      <c r="GS11">
        <f>INDEX($GR$25:$HC$25,MATCH(2,$GR$30:$HC$30,0))</f>
        <v>199.16270546782971</v>
      </c>
      <c r="GT11">
        <f>INDEX($GR$25:$HC$25,MATCH(3,$GR$30:$HC$30,0))</f>
        <v>1370.888485447854</v>
      </c>
      <c r="GU11">
        <f>INDEX($GR$25:$HC$25,MATCH(4,$GR$30:$HC$30,0))</f>
        <v>730.32269978677766</v>
      </c>
      <c r="GV11">
        <f>INDEX($GR$25:$HC$25,MATCH(5,$GR$30:$HC$30,0))</f>
        <v>658.17469226517267</v>
      </c>
      <c r="GW11">
        <f>INDEX($GR$25:$HC$25,MATCH(6,$GR$30:$HC$30,0))</f>
        <v>33.285154052178143</v>
      </c>
      <c r="GX11">
        <f>INDEX($GR$25:$HC$25,MATCH(7,$GR$30:$HC$30,0))</f>
        <v>331.44079209778681</v>
      </c>
      <c r="GY11">
        <f>INDEX($GR$25:$HC$25,MATCH(8,$GR$30:$HC$30,0))</f>
        <v>243.5155551969645</v>
      </c>
      <c r="GZ11">
        <f>INDEX($GR$25:$HC$25,MATCH(9,$GR$30:$HC$30,0))</f>
        <v>292.61479968836551</v>
      </c>
      <c r="HA11">
        <f>INDEX($GR$25:$HC$25,MATCH(10,$GR$30:$HC$30,0))</f>
        <v>332.98246664723411</v>
      </c>
      <c r="HB11">
        <f>INDEX($GR$25:$HC$25,MATCH(11,$GR$30:$HC$30,0))</f>
        <v>227.7356012056629</v>
      </c>
      <c r="HC11">
        <f>INDEX($GR$25:$HC$25,MATCH(12,$GR$30:$HC$30,0))</f>
        <v>221.65280140759239</v>
      </c>
    </row>
    <row r="12" spans="1:211" x14ac:dyDescent="0.45">
      <c r="A12" s="1" t="s">
        <v>11</v>
      </c>
      <c r="B12">
        <f>INDEX($B$26:$GQ$26,MATCH(1,$B$29:$GQ$29,0))</f>
        <v>1518.2351913760101</v>
      </c>
      <c r="C12">
        <f>INDEX($B$26:$GQ$26,MATCH(2,$B$29:$GQ$29,0))</f>
        <v>712.39197501055708</v>
      </c>
      <c r="D12">
        <f>INDEX($B$26:$GQ$26,MATCH(3,$B$29:$GQ$29,0))</f>
        <v>39.352724953787963</v>
      </c>
      <c r="E12">
        <f>INDEX($B$26:$GQ$26,MATCH(4,$B$29:$GQ$29,0))</f>
        <v>397.556277430649</v>
      </c>
      <c r="F12">
        <f>INDEX($B$26:$GQ$26,MATCH(5,$B$29:$GQ$29,0))</f>
        <v>54.324663697299407</v>
      </c>
      <c r="G12">
        <f>INDEX($B$26:$GQ$26,MATCH(6,$B$29:$GQ$29,0))</f>
        <v>12.634496959517531</v>
      </c>
      <c r="H12">
        <f>INDEX($B$26:$GQ$26,MATCH(7,$B$29:$GQ$29,0))</f>
        <v>0</v>
      </c>
      <c r="I12">
        <f>INDEX($B$26:$GQ$26,MATCH(8,$B$29:$GQ$29,0))</f>
        <v>7.3983494153703653</v>
      </c>
      <c r="J12">
        <f>INDEX($B$26:$GQ$26,MATCH(9,$B$29:$GQ$29,0))</f>
        <v>0</v>
      </c>
      <c r="K12">
        <f>INDEX($B$26:$GQ$26,MATCH(10,$B$29:$GQ$29,0))</f>
        <v>290.42734729965491</v>
      </c>
      <c r="L12">
        <f>INDEX($B$26:$GQ$26,MATCH(11,$B$29:$GQ$29,0))</f>
        <v>16.779542543166329</v>
      </c>
      <c r="M12">
        <f>INDEX($B$26:$GQ$26,MATCH(12,$B$29:$GQ$29,0))</f>
        <v>268.98096153844949</v>
      </c>
      <c r="N12">
        <f>INDEX($B$26:$GQ$26,MATCH(13,$B$29:$GQ$29,0))</f>
        <v>54.875818850379027</v>
      </c>
      <c r="O12">
        <f>INDEX($B$26:$GQ$26,MATCH(14,$B$29:$GQ$29,0))</f>
        <v>69.864182915165074</v>
      </c>
      <c r="P12">
        <f>INDEX($B$26:$GQ$26,MATCH(15,$B$29:$GQ$29,0))</f>
        <v>17.130224717772968</v>
      </c>
      <c r="Q12">
        <f>INDEX($B$26:$GQ$26,MATCH(16,$B$29:$GQ$29,0))</f>
        <v>123.10857236015769</v>
      </c>
      <c r="R12">
        <f>INDEX($B$26:$GQ$26,MATCH(17,$B$29:$GQ$29,0))</f>
        <v>58.240901746540331</v>
      </c>
      <c r="S12">
        <f>INDEX($B$26:$GQ$26,MATCH(18,$B$29:$GQ$29,0))</f>
        <v>104.59219399458939</v>
      </c>
      <c r="T12">
        <f>INDEX($B$26:$GQ$26,MATCH(19,$B$29:$GQ$29,0))</f>
        <v>5.27667345529228</v>
      </c>
      <c r="U12">
        <f>INDEX($B$26:$GQ$26,MATCH(20,$B$29:$GQ$29,0))</f>
        <v>29.008042783475929</v>
      </c>
      <c r="V12">
        <f>INDEX($B$26:$GQ$26,MATCH(21,$B$29:$GQ$29,0))</f>
        <v>102.84419599275439</v>
      </c>
      <c r="W12">
        <f>INDEX($B$26:$GQ$26,MATCH(22,$B$29:$GQ$29,0))</f>
        <v>117.36646370405479</v>
      </c>
      <c r="X12">
        <f>INDEX($B$26:$GQ$26,MATCH(23,$B$29:$GQ$29,0))</f>
        <v>125.910689712725</v>
      </c>
      <c r="Y12">
        <f>INDEX($B$26:$GQ$26,MATCH(24,$B$29:$GQ$29,0))</f>
        <v>109.41912778133791</v>
      </c>
      <c r="Z12">
        <f>INDEX($B$26:$GQ$26,MATCH(25,$B$29:$GQ$29,0))</f>
        <v>1.293826873218296</v>
      </c>
      <c r="AA12">
        <f>INDEX($B$26:$GQ$26,MATCH(26,$B$29:$GQ$29,0))</f>
        <v>18.109991166217871</v>
      </c>
      <c r="AB12">
        <f>INDEX($B$26:$GQ$26,MATCH(27,$B$29:$GQ$29,0))</f>
        <v>47.129872807519732</v>
      </c>
      <c r="AC12">
        <f>INDEX($B$26:$GQ$26,MATCH(28,$B$29:$GQ$29,0))</f>
        <v>46.447116931620243</v>
      </c>
      <c r="AD12">
        <f>INDEX($B$26:$GQ$26,MATCH(29,$B$29:$GQ$29,0))</f>
        <v>36.54894424152009</v>
      </c>
      <c r="AE12">
        <f>INDEX($B$26:$GQ$26,MATCH(30,$B$29:$GQ$29,0))</f>
        <v>51.207889520391063</v>
      </c>
      <c r="AF12">
        <f>INDEX($B$26:$GQ$26,MATCH(31,$B$29:$GQ$29,0))</f>
        <v>17.511293004413929</v>
      </c>
      <c r="AG12">
        <f>INDEX($B$26:$GQ$26,MATCH(32,$B$29:$GQ$29,0))</f>
        <v>15.937621795591509</v>
      </c>
      <c r="AH12">
        <f>INDEX($B$26:$GQ$26,MATCH(33,$B$29:$GQ$29,0))</f>
        <v>2.7298073976078832</v>
      </c>
      <c r="AI12">
        <f>INDEX($B$26:$GQ$26,MATCH(34,$B$29:$GQ$29,0))</f>
        <v>7.013275147861993</v>
      </c>
      <c r="AJ12">
        <f>INDEX($B$26:$GQ$26,MATCH(35,$B$29:$GQ$29,0))</f>
        <v>24.961681138850409</v>
      </c>
      <c r="AK12">
        <f>INDEX($B$26:$GQ$26,MATCH(36,$B$29:$GQ$29,0))</f>
        <v>0.89249926588355066</v>
      </c>
      <c r="AL12">
        <f>INDEX($B$26:$GQ$26,MATCH(37,$B$29:$GQ$29,0))</f>
        <v>36.502243676200017</v>
      </c>
      <c r="AM12">
        <f>INDEX($B$26:$GQ$26,MATCH(38,$B$29:$GQ$29,0))</f>
        <v>29.787785097762331</v>
      </c>
      <c r="AN12">
        <f>INDEX($B$26:$GQ$26,MATCH(39,$B$29:$GQ$29,0))</f>
        <v>27.290131330334042</v>
      </c>
      <c r="AO12">
        <f>INDEX($B$26:$GQ$26,MATCH(40,$B$29:$GQ$29,0))</f>
        <v>9.3555292518261801</v>
      </c>
      <c r="AP12">
        <f>INDEX($B$26:$GQ$26,MATCH(41,$B$29:$GQ$29,0))</f>
        <v>3.6548047127186938</v>
      </c>
      <c r="AQ12">
        <f>INDEX($B$26:$GQ$26,MATCH(42,$B$29:$GQ$29,0))</f>
        <v>5.3895670379078702</v>
      </c>
      <c r="AR12">
        <f>INDEX($B$26:$GQ$26,MATCH(43,$B$29:$GQ$29,0))</f>
        <v>3.547670965955974</v>
      </c>
      <c r="AS12">
        <f>INDEX($B$26:$GQ$26,MATCH(44,$B$29:$GQ$29,0))</f>
        <v>3.8510321870039328</v>
      </c>
      <c r="AT12">
        <f>INDEX($B$26:$GQ$26,MATCH(45,$B$29:$GQ$29,0))</f>
        <v>15.206808874278289</v>
      </c>
      <c r="AU12">
        <f>INDEX($B$26:$GQ$26,MATCH(46,$B$29:$GQ$29,0))</f>
        <v>3.0307606197654748</v>
      </c>
      <c r="AV12">
        <f>INDEX($B$26:$GQ$26,MATCH(47,$B$29:$GQ$29,0))</f>
        <v>15.614915468750731</v>
      </c>
      <c r="AW12">
        <f>INDEX($B$26:$GQ$26,MATCH(48,$B$29:$GQ$29,0))</f>
        <v>24.683148669373139</v>
      </c>
      <c r="AX12">
        <f>INDEX($B$26:$GQ$26,MATCH(49,$B$29:$GQ$29,0))</f>
        <v>2.4595524764288208</v>
      </c>
      <c r="AY12">
        <f>INDEX($B$26:$GQ$26,MATCH(50,$B$29:$GQ$29,0))</f>
        <v>2.474951754561062</v>
      </c>
      <c r="AZ12">
        <f>INDEX($B$26:$GQ$26,MATCH(51,$B$29:$GQ$29,0))</f>
        <v>22.1407197284625</v>
      </c>
      <c r="BA12">
        <f>INDEX($B$26:$GQ$26,MATCH(52,$B$29:$GQ$29,0))</f>
        <v>0</v>
      </c>
      <c r="BB12">
        <f>INDEX($B$26:$GQ$26,MATCH(53,$B$29:$GQ$29,0))</f>
        <v>0</v>
      </c>
      <c r="BC12">
        <f>INDEX($B$26:$GQ$26,MATCH(54,$B$29:$GQ$29,0))</f>
        <v>0</v>
      </c>
      <c r="BD12">
        <f>INDEX($B$26:$GQ$26,MATCH(55,$B$29:$GQ$29,0))</f>
        <v>12.996217351011349</v>
      </c>
      <c r="BE12">
        <f>INDEX($B$26:$GQ$26,MATCH(56,$B$29:$GQ$29,0))</f>
        <v>0.89676711062254011</v>
      </c>
      <c r="BF12">
        <f>INDEX($B$26:$GQ$26,MATCH(57,$B$29:$GQ$29,0))</f>
        <v>5.7096522350698118</v>
      </c>
      <c r="BG12">
        <f>INDEX($B$26:$GQ$26,MATCH(58,$B$29:$GQ$29,0))</f>
        <v>9.5719549189714659</v>
      </c>
      <c r="BH12">
        <f>INDEX($B$26:$GQ$26,MATCH(59,$B$29:$GQ$29,0))</f>
        <v>10.955225414734141</v>
      </c>
      <c r="BI12">
        <f>INDEX($B$26:$GQ$26,MATCH(60,$B$29:$GQ$29,0))</f>
        <v>13.853734362461999</v>
      </c>
      <c r="BJ12">
        <f>INDEX($B$26:$GQ$26,MATCH(61,$B$29:$GQ$29,0))</f>
        <v>0</v>
      </c>
      <c r="BK12">
        <f>INDEX($B$26:$GQ$26,MATCH(62,$B$29:$GQ$29,0))</f>
        <v>1.898265451479487</v>
      </c>
      <c r="BL12">
        <f>INDEX($B$26:$GQ$26,MATCH(63,$B$29:$GQ$29,0))</f>
        <v>2.3012287948013328</v>
      </c>
      <c r="BM12">
        <f>INDEX($B$26:$GQ$26,MATCH(64,$B$29:$GQ$29,0))</f>
        <v>8.1606566182075095</v>
      </c>
      <c r="BN12">
        <f>INDEX($B$26:$GQ$26,MATCH(65,$B$29:$GQ$29,0))</f>
        <v>7.4899649831909363</v>
      </c>
      <c r="BO12">
        <f>INDEX($B$26:$GQ$26,MATCH(66,$B$29:$GQ$29,0))</f>
        <v>8.1330276485196134</v>
      </c>
      <c r="BP12">
        <f>INDEX($B$26:$GQ$26,MATCH(67,$B$29:$GQ$29,0))</f>
        <v>0.49544756405217089</v>
      </c>
      <c r="BQ12">
        <f>INDEX($B$26:$GQ$26,MATCH(68,$B$29:$GQ$29,0))</f>
        <v>0</v>
      </c>
      <c r="BR12">
        <f>INDEX($B$26:$GQ$26,MATCH(69,$B$29:$GQ$29,0))</f>
        <v>0</v>
      </c>
      <c r="BS12">
        <f>INDEX($B$26:$GQ$26,MATCH(70,$B$29:$GQ$29,0))</f>
        <v>0.65947941355952455</v>
      </c>
      <c r="BT12">
        <f>INDEX($B$26:$GQ$26,MATCH(71,$B$29:$GQ$29,0))</f>
        <v>5.6448219691379569</v>
      </c>
      <c r="BU12">
        <f>INDEX($B$26:$GQ$26,MATCH(72,$B$29:$GQ$29,0))</f>
        <v>0</v>
      </c>
      <c r="BV12">
        <f>INDEX($B$26:$GQ$26,MATCH(73,$B$29:$GQ$29,0))</f>
        <v>5.8775085031813106</v>
      </c>
      <c r="BW12">
        <f>INDEX($B$26:$GQ$26,MATCH(74,$B$29:$GQ$29,0))</f>
        <v>6.9062867981622276</v>
      </c>
      <c r="BX12">
        <f>INDEX($B$26:$GQ$26,MATCH(75,$B$29:$GQ$29,0))</f>
        <v>0</v>
      </c>
      <c r="BY12">
        <f>INDEX($B$26:$GQ$26,MATCH(76,$B$29:$GQ$29,0))</f>
        <v>0</v>
      </c>
      <c r="BZ12">
        <f>INDEX($B$26:$GQ$26,MATCH(77,$B$29:$GQ$29,0))</f>
        <v>0</v>
      </c>
      <c r="CA12">
        <f>INDEX($B$26:$GQ$26,MATCH(78,$B$29:$GQ$29,0))</f>
        <v>0.26563578566416191</v>
      </c>
      <c r="CB12">
        <f>INDEX($B$26:$GQ$26,MATCH(79,$B$29:$GQ$29,0))</f>
        <v>0</v>
      </c>
      <c r="CC12">
        <f>INDEX($B$26:$GQ$26,MATCH(80,$B$29:$GQ$29,0))</f>
        <v>1.9052529661106281</v>
      </c>
      <c r="CD12">
        <f>INDEX($B$26:$GQ$26,MATCH(81,$B$29:$GQ$29,0))</f>
        <v>0.49851726344651331</v>
      </c>
      <c r="CE12">
        <f>INDEX($B$26:$GQ$26,MATCH(82,$B$29:$GQ$29,0))</f>
        <v>1.2555580760658009</v>
      </c>
      <c r="CF12">
        <f>INDEX($B$26:$GQ$26,MATCH(83,$B$29:$GQ$29,0))</f>
        <v>2.05436164829986E-2</v>
      </c>
      <c r="CG12">
        <f>INDEX($B$26:$GQ$26,MATCH(84,$B$29:$GQ$29,0))</f>
        <v>1.0599436879828359</v>
      </c>
      <c r="CH12">
        <f>INDEX($B$26:$GQ$26,MATCH(85,$B$29:$GQ$29,0))</f>
        <v>0.30994006944229391</v>
      </c>
      <c r="CI12">
        <f>INDEX($B$26:$GQ$26,MATCH(86,$B$29:$GQ$29,0))</f>
        <v>2.8689406296490329E-2</v>
      </c>
      <c r="CJ12">
        <f>INDEX($B$26:$GQ$26,MATCH(87,$B$29:$GQ$29,0))</f>
        <v>5.0813476166644833E-3</v>
      </c>
      <c r="CK12">
        <f>INDEX($B$26:$GQ$26,MATCH(88,$B$29:$GQ$29,0))</f>
        <v>0</v>
      </c>
      <c r="CL12">
        <f>INDEX($B$26:$GQ$26,MATCH(89,$B$29:$GQ$29,0))</f>
        <v>1.7880931524541899E-2</v>
      </c>
      <c r="CM12">
        <f>INDEX($B$26:$GQ$26,MATCH(90,$B$29:$GQ$29,0))</f>
        <v>1.5933550871980329E-2</v>
      </c>
      <c r="CN12">
        <f>INDEX($B$26:$GQ$26,MATCH(91,$B$29:$GQ$29,0))</f>
        <v>2.571413242371064E-2</v>
      </c>
      <c r="CO12">
        <f>INDEX($B$26:$GQ$26,MATCH(92,$B$29:$GQ$29,0))</f>
        <v>1.6845696099219279E-2</v>
      </c>
      <c r="CP12">
        <f>INDEX($B$26:$GQ$26,MATCH(93,$B$29:$GQ$29,0))</f>
        <v>0</v>
      </c>
      <c r="CQ12">
        <f>INDEX($B$26:$GQ$26,MATCH(94,$B$29:$GQ$29,0))</f>
        <v>8.875895590254871E-3</v>
      </c>
      <c r="CR12">
        <f>INDEX($B$26:$GQ$26,MATCH(95,$B$29:$GQ$29,0))</f>
        <v>0</v>
      </c>
      <c r="CS12">
        <f>INDEX($B$26:$GQ$26,MATCH(96,$B$29:$GQ$29,0))</f>
        <v>9.0385761858757015E-3</v>
      </c>
      <c r="CT12">
        <f>INDEX($B$26:$GQ$26,MATCH(97,$B$29:$GQ$29,0))</f>
        <v>1.7614182779576829E-2</v>
      </c>
      <c r="CU12">
        <f>INDEX($B$26:$GQ$26,MATCH(98,$B$29:$GQ$29,0))</f>
        <v>0</v>
      </c>
      <c r="CV12">
        <f>INDEX($B$26:$GQ$26,MATCH(99,$B$29:$GQ$29,0))</f>
        <v>2.1125134247344381E-2</v>
      </c>
      <c r="CW12">
        <f>INDEX($B$26:$GQ$26,MATCH(100,$B$29:$GQ$29,0))</f>
        <v>7.1923714236628196E-3</v>
      </c>
      <c r="CX12">
        <f>INDEX($B$26:$GQ$26,MATCH(101,$B$29:$GQ$29,0))</f>
        <v>0.42356446391901081</v>
      </c>
      <c r="CY12">
        <f>INDEX($B$26:$GQ$26,MATCH(102,$B$29:$GQ$29,0))</f>
        <v>6.8726225664871798E-2</v>
      </c>
      <c r="CZ12">
        <f>INDEX($B$26:$GQ$26,MATCH(103,$B$29:$GQ$29,0))</f>
        <v>6.0500418938229123E-3</v>
      </c>
      <c r="DA12">
        <f>INDEX($B$26:$GQ$26,MATCH(104,$B$29:$GQ$29,0))</f>
        <v>4.5078327764668767E-3</v>
      </c>
      <c r="DB12">
        <f>INDEX($B$26:$GQ$26,MATCH(105,$B$29:$GQ$29,0))</f>
        <v>3.0977402528969519E-2</v>
      </c>
      <c r="DC12">
        <f>INDEX($B$26:$GQ$26,MATCH(106,$B$29:$GQ$29,0))</f>
        <v>4.6563504398357001E-3</v>
      </c>
      <c r="DD12">
        <f>INDEX($B$26:$GQ$26,MATCH(107,$B$29:$GQ$29,0))</f>
        <v>2.205129201740035E-3</v>
      </c>
      <c r="DE12">
        <f>INDEX($B$26:$GQ$26,MATCH(108,$B$29:$GQ$29,0))</f>
        <v>0.25777282747125968</v>
      </c>
      <c r="DF12">
        <f>INDEX($B$26:$GQ$26,MATCH(109,$B$29:$GQ$29,0))</f>
        <v>2.9126352335255398E-3</v>
      </c>
      <c r="DG12">
        <f>INDEX($B$26:$GQ$26,MATCH(110,$B$29:$GQ$29,0))</f>
        <v>1.4406747325565719E-2</v>
      </c>
      <c r="DH12">
        <f>INDEX($B$26:$GQ$26,MATCH(111,$B$29:$GQ$29,0))</f>
        <v>1.046552600380264E-3</v>
      </c>
      <c r="DI12">
        <f>INDEX($B$26:$GQ$26,MATCH(112,$B$29:$GQ$29,0))</f>
        <v>8.0897520206730036E-3</v>
      </c>
      <c r="DJ12">
        <f>INDEX($B$26:$GQ$26,MATCH(113,$B$29:$GQ$29,0))</f>
        <v>7.5773455425743458E-4</v>
      </c>
      <c r="DK12">
        <f>INDEX($B$26:$GQ$26,MATCH(114,$B$29:$GQ$29,0))</f>
        <v>6.0831209883152029E-4</v>
      </c>
      <c r="DL12">
        <f>INDEX($B$26:$GQ$26,MATCH(115,$B$29:$GQ$29,0))</f>
        <v>6.7425732082145654E-2</v>
      </c>
      <c r="DM12">
        <f>INDEX($B$26:$GQ$26,MATCH(116,$B$29:$GQ$29,0))</f>
        <v>2.048643460595961E-2</v>
      </c>
      <c r="DN12">
        <f>INDEX($B$26:$GQ$26,MATCH(117,$B$29:$GQ$29,0))</f>
        <v>1.3036832534169881E-3</v>
      </c>
      <c r="DO12">
        <f>INDEX($B$26:$GQ$26,MATCH(118,$B$29:$GQ$29,0))</f>
        <v>3.6955902273581413E-2</v>
      </c>
      <c r="DP12">
        <f>INDEX($B$26:$GQ$26,MATCH(119,$B$29:$GQ$29,0))</f>
        <v>0</v>
      </c>
      <c r="DQ12">
        <f>INDEX($B$26:$GQ$26,MATCH(120,$B$29:$GQ$29,0))</f>
        <v>2.205075390505996E-2</v>
      </c>
      <c r="DR12">
        <f>INDEX($B$26:$GQ$26,MATCH(121,$B$29:$GQ$29,0))</f>
        <v>2.1190939148543881E-2</v>
      </c>
      <c r="DS12">
        <f>INDEX($B$26:$GQ$26,MATCH(122,$B$29:$GQ$29,0))</f>
        <v>0</v>
      </c>
      <c r="DT12">
        <f>INDEX($B$26:$GQ$26,MATCH(123,$B$29:$GQ$29,0))</f>
        <v>0</v>
      </c>
      <c r="DU12">
        <f>INDEX($B$26:$GQ$26,MATCH(124,$B$29:$GQ$29,0))</f>
        <v>1.431056106779092E-2</v>
      </c>
      <c r="DV12">
        <f>INDEX($B$26:$GQ$26,MATCH(125,$B$29:$GQ$29,0))</f>
        <v>1.324711084162035E-4</v>
      </c>
      <c r="DW12">
        <f>INDEX($B$26:$GQ$26,MATCH(126,$B$29:$GQ$29,0))</f>
        <v>6.4902290118708282E-3</v>
      </c>
      <c r="DX12">
        <f>INDEX($B$26:$GQ$26,MATCH(127,$B$29:$GQ$29,0))</f>
        <v>1.467929700981152E-3</v>
      </c>
      <c r="DY12">
        <f>INDEX($B$26:$GQ$26,MATCH(128,$B$29:$GQ$29,0))</f>
        <v>0</v>
      </c>
      <c r="DZ12">
        <f>INDEX($B$26:$GQ$26,MATCH(129,$B$29:$GQ$29,0))</f>
        <v>0</v>
      </c>
      <c r="EA12">
        <f>INDEX($B$26:$GQ$26,MATCH(130,$B$29:$GQ$29,0))</f>
        <v>2.4066797438843351E-4</v>
      </c>
      <c r="EB12">
        <f>INDEX($B$26:$GQ$26,MATCH(131,$B$29:$GQ$29,0))</f>
        <v>1.0228906727320169E-4</v>
      </c>
      <c r="EC12">
        <f>INDEX($B$26:$GQ$26,MATCH(132,$B$29:$GQ$29,0))</f>
        <v>7.5690247649665412E-5</v>
      </c>
      <c r="ED12">
        <f>INDEX($B$26:$GQ$26,MATCH(133,$B$29:$GQ$29,0))</f>
        <v>0</v>
      </c>
      <c r="EE12">
        <f>INDEX($B$26:$GQ$26,MATCH(134,$B$29:$GQ$29,0))</f>
        <v>0</v>
      </c>
      <c r="EF12">
        <f>INDEX($B$26:$GQ$26,MATCH(135,$B$29:$GQ$29,0))</f>
        <v>0</v>
      </c>
      <c r="EG12">
        <f>INDEX($B$26:$GQ$26,MATCH(136,$B$29:$GQ$29,0))</f>
        <v>0</v>
      </c>
      <c r="EH12">
        <f>INDEX($B$26:$GQ$26,MATCH(137,$B$29:$GQ$29,0))</f>
        <v>0</v>
      </c>
      <c r="EI12">
        <f>INDEX($B$26:$GQ$26,MATCH(138,$B$29:$GQ$29,0))</f>
        <v>0</v>
      </c>
      <c r="EJ12">
        <f>INDEX($B$26:$GQ$26,MATCH(139,$B$29:$GQ$29,0))</f>
        <v>0</v>
      </c>
      <c r="EK12">
        <f>INDEX($B$26:$GQ$26,MATCH(140,$B$29:$GQ$29,0))</f>
        <v>0</v>
      </c>
      <c r="EL12">
        <f>INDEX($B$26:$GQ$26,MATCH(141,$B$29:$GQ$29,0))</f>
        <v>0</v>
      </c>
      <c r="EM12">
        <f>INDEX($B$26:$GQ$26,MATCH(142,$B$29:$GQ$29,0))</f>
        <v>0</v>
      </c>
      <c r="EN12">
        <f>INDEX($B$26:$GQ$26,MATCH(143,$B$29:$GQ$29,0))</f>
        <v>0</v>
      </c>
      <c r="EO12">
        <f>INDEX($B$26:$GQ$26,MATCH(144,$B$29:$GQ$29,0))</f>
        <v>0</v>
      </c>
      <c r="EP12">
        <f>INDEX($B$26:$GQ$26,MATCH(145,$B$29:$GQ$29,0))</f>
        <v>0</v>
      </c>
      <c r="EQ12">
        <f>INDEX($B$26:$GQ$26,MATCH(146,$B$29:$GQ$29,0))</f>
        <v>0</v>
      </c>
      <c r="ER12">
        <f>INDEX($B$26:$GQ$26,MATCH(147,$B$29:$GQ$29,0))</f>
        <v>0</v>
      </c>
      <c r="ES12">
        <f>INDEX($B$26:$GQ$26,MATCH(148,$B$29:$GQ$29,0))</f>
        <v>0</v>
      </c>
      <c r="ET12">
        <f>INDEX($B$26:$GQ$26,MATCH(149,$B$29:$GQ$29,0))</f>
        <v>0</v>
      </c>
      <c r="EU12">
        <f>INDEX($B$26:$GQ$26,MATCH(150,$B$29:$GQ$29,0))</f>
        <v>0</v>
      </c>
      <c r="EV12">
        <f>INDEX($B$26:$GQ$26,MATCH(151,$B$29:$GQ$29,0))</f>
        <v>0</v>
      </c>
      <c r="EW12">
        <f>INDEX($B$26:$GQ$26,MATCH(152,$B$29:$GQ$29,0))</f>
        <v>0</v>
      </c>
      <c r="EX12">
        <f>INDEX($B$26:$GQ$26,MATCH(153,$B$29:$GQ$29,0))</f>
        <v>0</v>
      </c>
      <c r="EY12">
        <f>INDEX($B$26:$GQ$26,MATCH(154,$B$29:$GQ$29,0))</f>
        <v>0</v>
      </c>
      <c r="EZ12">
        <f>INDEX($B$26:$GQ$26,MATCH(155,$B$29:$GQ$29,0))</f>
        <v>0</v>
      </c>
      <c r="FA12">
        <f>INDEX($B$26:$GQ$26,MATCH(156,$B$29:$GQ$29,0))</f>
        <v>0</v>
      </c>
      <c r="FB12">
        <f>INDEX($B$26:$GQ$26,MATCH(157,$B$29:$GQ$29,0))</f>
        <v>0</v>
      </c>
      <c r="FC12">
        <f>INDEX($B$26:$GQ$26,MATCH(158,$B$29:$GQ$29,0))</f>
        <v>0</v>
      </c>
      <c r="FD12">
        <f>INDEX($B$26:$GQ$26,MATCH(159,$B$29:$GQ$29,0))</f>
        <v>0</v>
      </c>
      <c r="FE12">
        <f>INDEX($B$26:$GQ$26,MATCH(160,$B$29:$GQ$29,0))</f>
        <v>0</v>
      </c>
      <c r="FF12">
        <f>INDEX($B$26:$GQ$26,MATCH(161,$B$29:$GQ$29,0))</f>
        <v>0</v>
      </c>
      <c r="FG12">
        <f>INDEX($B$26:$GQ$26,MATCH(162,$B$29:$GQ$29,0))</f>
        <v>0</v>
      </c>
      <c r="FH12">
        <f>INDEX($B$26:$GQ$26,MATCH(163,$B$29:$GQ$29,0))</f>
        <v>0</v>
      </c>
      <c r="FI12">
        <f>INDEX($B$26:$GQ$26,MATCH(164,$B$29:$GQ$29,0))</f>
        <v>0</v>
      </c>
      <c r="FJ12">
        <f>INDEX($B$26:$GQ$26,MATCH(165,$B$29:$GQ$29,0))</f>
        <v>0</v>
      </c>
      <c r="FK12">
        <f>INDEX($B$26:$GQ$26,MATCH(166,$B$29:$GQ$29,0))</f>
        <v>0</v>
      </c>
      <c r="FL12">
        <f>INDEX($B$26:$GQ$26,MATCH(167,$B$29:$GQ$29,0))</f>
        <v>0</v>
      </c>
      <c r="FM12">
        <f>INDEX($B$26:$GQ$26,MATCH(168,$B$29:$GQ$29,0))</f>
        <v>0</v>
      </c>
      <c r="FN12">
        <f>INDEX($B$26:$GQ$26,MATCH(169,$B$29:$GQ$29,0))</f>
        <v>0</v>
      </c>
      <c r="FO12">
        <f>INDEX($B$26:$GQ$26,MATCH(170,$B$29:$GQ$29,0))</f>
        <v>0</v>
      </c>
      <c r="FP12">
        <f>INDEX($B$26:$GQ$26,MATCH(171,$B$29:$GQ$29,0))</f>
        <v>0</v>
      </c>
      <c r="FQ12">
        <f>INDEX($B$26:$GQ$26,MATCH(172,$B$29:$GQ$29,0))</f>
        <v>0</v>
      </c>
      <c r="FR12">
        <f>INDEX($B$26:$GQ$26,MATCH(173,$B$29:$GQ$29,0))</f>
        <v>0</v>
      </c>
      <c r="FS12">
        <f>INDEX($B$26:$GQ$26,MATCH(174,$B$29:$GQ$29,0))</f>
        <v>0</v>
      </c>
      <c r="FT12">
        <f>INDEX($B$26:$GQ$26,MATCH(175,$B$29:$GQ$29,0))</f>
        <v>0</v>
      </c>
      <c r="FU12">
        <f>INDEX($B$26:$GQ$26,MATCH(176,$B$29:$GQ$29,0))</f>
        <v>0</v>
      </c>
      <c r="FV12">
        <f>INDEX($B$26:$GQ$26,MATCH(177,$B$29:$GQ$29,0))</f>
        <v>0</v>
      </c>
      <c r="FW12">
        <f>INDEX($B$26:$GQ$26,MATCH(178,$B$29:$GQ$29,0))</f>
        <v>0</v>
      </c>
      <c r="FX12">
        <f>INDEX($B$26:$GQ$26,MATCH(179,$B$29:$GQ$29,0))</f>
        <v>0</v>
      </c>
      <c r="FY12">
        <f>INDEX($B$26:$GQ$26,MATCH(180,$B$29:$GQ$29,0))</f>
        <v>0</v>
      </c>
      <c r="FZ12">
        <f>INDEX($B$26:$GQ$26,MATCH(181,$B$29:$GQ$29,0))</f>
        <v>0</v>
      </c>
      <c r="GA12">
        <f>INDEX($B$26:$GQ$26,MATCH(182,$B$29:$GQ$29,0))</f>
        <v>0</v>
      </c>
      <c r="GB12">
        <f>INDEX($B$26:$GQ$26,MATCH(183,$B$29:$GQ$29,0))</f>
        <v>0</v>
      </c>
      <c r="GC12">
        <f>INDEX($B$26:$GQ$26,MATCH(184,$B$29:$GQ$29,0))</f>
        <v>0</v>
      </c>
      <c r="GD12">
        <f>INDEX($B$26:$GQ$26,MATCH(185,$B$29:$GQ$29,0))</f>
        <v>0</v>
      </c>
      <c r="GE12">
        <f>INDEX($B$26:$GQ$26,MATCH(186,$B$29:$GQ$29,0))</f>
        <v>0</v>
      </c>
      <c r="GF12">
        <f>INDEX($B$26:$GQ$26,MATCH(187,$B$29:$GQ$29,0))</f>
        <v>0</v>
      </c>
      <c r="GG12">
        <f>INDEX($B$26:$GQ$26,MATCH(188,$B$29:$GQ$29,0))</f>
        <v>0</v>
      </c>
      <c r="GH12">
        <f>INDEX($B$26:$GQ$26,MATCH(189,$B$29:$GQ$29,0))</f>
        <v>0</v>
      </c>
      <c r="GI12">
        <f>INDEX($B$26:$GQ$26,MATCH(190,$B$29:$GQ$29,0))</f>
        <v>0</v>
      </c>
      <c r="GJ12">
        <f>INDEX($B$26:$GQ$26,MATCH(191,$B$29:$GQ$29,0))</f>
        <v>0</v>
      </c>
      <c r="GK12">
        <f>INDEX($B$26:$GQ$26,MATCH(192,$B$29:$GQ$29,0))</f>
        <v>0</v>
      </c>
      <c r="GL12">
        <f>INDEX($B$26:$GQ$26,MATCH(193,$B$29:$GQ$29,0))</f>
        <v>0</v>
      </c>
      <c r="GM12">
        <f>INDEX($B$26:$GQ$26,MATCH(194,$B$29:$GQ$29,0))</f>
        <v>0</v>
      </c>
      <c r="GN12">
        <f>INDEX($B$26:$GQ$26,MATCH(195,$B$29:$GQ$29,0))</f>
        <v>0</v>
      </c>
      <c r="GO12">
        <f>INDEX($B$26:$GQ$26,MATCH(196,$B$29:$GQ$29,0))</f>
        <v>0</v>
      </c>
      <c r="GP12">
        <f>INDEX($B$26:$GQ$26,MATCH(197,$B$29:$GQ$29,0))</f>
        <v>0</v>
      </c>
      <c r="GQ12">
        <f>INDEX($B$26:$GQ$26,MATCH(198,$B$29:$GQ$29,0))</f>
        <v>0</v>
      </c>
      <c r="GR12">
        <f>INDEX($GR$26:$HC$26,MATCH(1,$GR$30:$HC$30,0))</f>
        <v>1521.0675272612721</v>
      </c>
      <c r="GS12">
        <f>INDEX($GR$26:$HC$26,MATCH(2,$GR$30:$HC$30,0))</f>
        <v>1532.088925738472</v>
      </c>
      <c r="GT12">
        <f>INDEX($GR$26:$HC$26,MATCH(3,$GR$30:$HC$30,0))</f>
        <v>84.456943222935465</v>
      </c>
      <c r="GU12">
        <f>INDEX($GR$26:$HC$26,MATCH(4,$GR$30:$HC$30,0))</f>
        <v>134.2117027083203</v>
      </c>
      <c r="GV12">
        <f>INDEX($GR$26:$HC$26,MATCH(5,$GR$30:$HC$30,0))</f>
        <v>143.72108118651809</v>
      </c>
      <c r="GW12">
        <f>INDEX($GR$26:$HC$26,MATCH(6,$GR$30:$HC$30,0))</f>
        <v>668.82743661944232</v>
      </c>
      <c r="GX12">
        <f>INDEX($GR$26:$HC$26,MATCH(7,$GR$30:$HC$30,0))</f>
        <v>297.54963423586258</v>
      </c>
      <c r="GY12">
        <f>INDEX($GR$26:$HC$26,MATCH(8,$GR$30:$HC$30,0))</f>
        <v>371.2648022217532</v>
      </c>
      <c r="GZ12">
        <f>INDEX($GR$26:$HC$26,MATCH(9,$GR$30:$HC$30,0))</f>
        <v>54.324663697299407</v>
      </c>
      <c r="HA12">
        <f>INDEX($GR$26:$HC$26,MATCH(10,$GR$30:$HC$30,0))</f>
        <v>0</v>
      </c>
      <c r="HB12">
        <f>INDEX($GR$26:$HC$26,MATCH(11,$GR$30:$HC$30,0))</f>
        <v>100.9500174455505</v>
      </c>
      <c r="HC12">
        <f>INDEX($GR$26:$HC$26,MATCH(12,$GR$30:$HC$30,0))</f>
        <v>54.875818850379027</v>
      </c>
    </row>
    <row r="13" spans="1:211" x14ac:dyDescent="0.45">
      <c r="A13" s="1" t="s">
        <v>1</v>
      </c>
      <c r="B13">
        <f>INDEX($B$27:$GQ$27,MATCH(1,$B$29:$GQ$29,0))</f>
        <v>1716.599201874674</v>
      </c>
      <c r="C13">
        <f>INDEX($B$27:$GQ$27,MATCH(2,$B$29:$GQ$29,0))</f>
        <v>1276.4853053925031</v>
      </c>
      <c r="D13">
        <f>INDEX($B$27:$GQ$27,MATCH(3,$B$29:$GQ$29,0))</f>
        <v>411.02219084548341</v>
      </c>
      <c r="E13">
        <f>INDEX($B$27:$GQ$27,MATCH(4,$B$29:$GQ$29,0))</f>
        <v>397.556277430649</v>
      </c>
      <c r="F13">
        <f>INDEX($B$27:$GQ$27,MATCH(5,$B$29:$GQ$29,0))</f>
        <v>346.93946338566491</v>
      </c>
      <c r="G13">
        <f>INDEX($B$27:$GQ$27,MATCH(6,$B$29:$GQ$29,0))</f>
        <v>338.34534217306452</v>
      </c>
      <c r="H13">
        <f>INDEX($B$27:$GQ$27,MATCH(7,$B$29:$GQ$29,0))</f>
        <v>332.98246664723411</v>
      </c>
      <c r="I13">
        <f>INDEX($B$27:$GQ$27,MATCH(8,$B$29:$GQ$29,0))</f>
        <v>327.82420950076448</v>
      </c>
      <c r="J13">
        <f>INDEX($B$27:$GQ$27,MATCH(9,$B$29:$GQ$29,0))</f>
        <v>324.40609170795238</v>
      </c>
      <c r="K13">
        <f>INDEX($B$27:$GQ$27,MATCH(10,$B$29:$GQ$29,0))</f>
        <v>292.01479931789157</v>
      </c>
      <c r="L13">
        <f>INDEX($B$27:$GQ$27,MATCH(11,$B$29:$GQ$29,0))</f>
        <v>286.24852861684252</v>
      </c>
      <c r="M13">
        <f>INDEX($B$27:$GQ$27,MATCH(12,$B$29:$GQ$29,0))</f>
        <v>282.50704558590081</v>
      </c>
      <c r="N13">
        <f>INDEX($B$27:$GQ$27,MATCH(13,$B$29:$GQ$29,0))</f>
        <v>267.28664717667323</v>
      </c>
      <c r="O13">
        <f>INDEX($B$27:$GQ$27,MATCH(14,$B$29:$GQ$29,0))</f>
        <v>231.39838414126851</v>
      </c>
      <c r="P13">
        <f>INDEX($B$27:$GQ$27,MATCH(15,$B$29:$GQ$29,0))</f>
        <v>211.92517766603541</v>
      </c>
      <c r="Q13">
        <f>INDEX($B$27:$GQ$27,MATCH(16,$B$29:$GQ$29,0))</f>
        <v>199.9198815212813</v>
      </c>
      <c r="R13">
        <f>INDEX($B$27:$GQ$27,MATCH(17,$B$29:$GQ$29,0))</f>
        <v>191.9646545509471</v>
      </c>
      <c r="S13">
        <f>INDEX($B$27:$GQ$27,MATCH(18,$B$29:$GQ$29,0))</f>
        <v>177.75561806461371</v>
      </c>
      <c r="T13">
        <f>INDEX($B$27:$GQ$27,MATCH(19,$B$29:$GQ$29,0))</f>
        <v>177.08701612422081</v>
      </c>
      <c r="U13">
        <f>INDEX($B$27:$GQ$27,MATCH(20,$B$29:$GQ$29,0))</f>
        <v>153.76023025715509</v>
      </c>
      <c r="V13">
        <f>INDEX($B$27:$GQ$27,MATCH(21,$B$29:$GQ$29,0))</f>
        <v>145.87513690920909</v>
      </c>
      <c r="W13">
        <f>INDEX($B$27:$GQ$27,MATCH(22,$B$29:$GQ$29,0))</f>
        <v>135.8333712792265</v>
      </c>
      <c r="X13">
        <f>INDEX($B$27:$GQ$27,MATCH(23,$B$29:$GQ$29,0))</f>
        <v>128.44352362202201</v>
      </c>
      <c r="Y13">
        <f>INDEX($B$27:$GQ$27,MATCH(24,$B$29:$GQ$29,0))</f>
        <v>127.5907457678281</v>
      </c>
      <c r="Z13">
        <f>INDEX($B$27:$GQ$27,MATCH(25,$B$29:$GQ$29,0))</f>
        <v>108.3194379090959</v>
      </c>
      <c r="AA13">
        <f>INDEX($B$27:$GQ$27,MATCH(26,$B$29:$GQ$29,0))</f>
        <v>107.2627651176891</v>
      </c>
      <c r="AB13">
        <f>INDEX($B$27:$GQ$27,MATCH(27,$B$29:$GQ$29,0))</f>
        <v>91.523616603108636</v>
      </c>
      <c r="AC13">
        <f>INDEX($B$27:$GQ$27,MATCH(28,$B$29:$GQ$29,0))</f>
        <v>84.169778365674432</v>
      </c>
      <c r="AD13">
        <f>INDEX($B$27:$GQ$27,MATCH(29,$B$29:$GQ$29,0))</f>
        <v>75.801871998017745</v>
      </c>
      <c r="AE13">
        <f>INDEX($B$27:$GQ$27,MATCH(30,$B$29:$GQ$29,0))</f>
        <v>71.932731592036191</v>
      </c>
      <c r="AF13">
        <f>INDEX($B$27:$GQ$27,MATCH(31,$B$29:$GQ$29,0))</f>
        <v>69.293276541264404</v>
      </c>
      <c r="AG13">
        <f>INDEX($B$27:$GQ$27,MATCH(32,$B$29:$GQ$29,0))</f>
        <v>58.224915635366678</v>
      </c>
      <c r="AH13">
        <f>INDEX($B$27:$GQ$27,MATCH(33,$B$29:$GQ$29,0))</f>
        <v>57.691942143210909</v>
      </c>
      <c r="AI13">
        <f>INDEX($B$27:$GQ$27,MATCH(34,$B$29:$GQ$29,0))</f>
        <v>54.164629780819944</v>
      </c>
      <c r="AJ13">
        <f>INDEX($B$27:$GQ$27,MATCH(35,$B$29:$GQ$29,0))</f>
        <v>52.853273549473712</v>
      </c>
      <c r="AK13">
        <f>INDEX($B$27:$GQ$27,MATCH(36,$B$29:$GQ$29,0))</f>
        <v>47.113047979435763</v>
      </c>
      <c r="AL13">
        <f>INDEX($B$27:$GQ$27,MATCH(37,$B$29:$GQ$29,0))</f>
        <v>45.08764552876292</v>
      </c>
      <c r="AM13">
        <f>INDEX($B$27:$GQ$27,MATCH(38,$B$29:$GQ$29,0))</f>
        <v>41.228727765715988</v>
      </c>
      <c r="AN13">
        <f>INDEX($B$27:$GQ$27,MATCH(39,$B$29:$GQ$29,0))</f>
        <v>36.816140795160337</v>
      </c>
      <c r="AO13">
        <f>INDEX($B$27:$GQ$27,MATCH(40,$B$29:$GQ$29,0))</f>
        <v>36.425286561818801</v>
      </c>
      <c r="AP13">
        <f>INDEX($B$27:$GQ$27,MATCH(41,$B$29:$GQ$29,0))</f>
        <v>33.730559180863423</v>
      </c>
      <c r="AQ13">
        <f>INDEX($B$27:$GQ$27,MATCH(42,$B$29:$GQ$29,0))</f>
        <v>33.45895566251334</v>
      </c>
      <c r="AR13">
        <f>INDEX($B$27:$GQ$27,MATCH(43,$B$29:$GQ$29,0))</f>
        <v>27.389312412073501</v>
      </c>
      <c r="AS13">
        <f>INDEX($B$27:$GQ$27,MATCH(44,$B$29:$GQ$29,0))</f>
        <v>27.09236921008074</v>
      </c>
      <c r="AT13">
        <f>INDEX($B$27:$GQ$27,MATCH(45,$B$29:$GQ$29,0))</f>
        <v>26.03963854180807</v>
      </c>
      <c r="AU13">
        <f>INDEX($B$27:$GQ$27,MATCH(46,$B$29:$GQ$29,0))</f>
        <v>25.240575663685082</v>
      </c>
      <c r="AV13">
        <f>INDEX($B$27:$GQ$27,MATCH(47,$B$29:$GQ$29,0))</f>
        <v>25.03096763495989</v>
      </c>
      <c r="AW13">
        <f>INDEX($B$27:$GQ$27,MATCH(48,$B$29:$GQ$29,0))</f>
        <v>24.683148669373139</v>
      </c>
      <c r="AX13">
        <f>INDEX($B$27:$GQ$27,MATCH(49,$B$29:$GQ$29,0))</f>
        <v>24.307848454791809</v>
      </c>
      <c r="AY13">
        <f>INDEX($B$27:$GQ$27,MATCH(50,$B$29:$GQ$29,0))</f>
        <v>22.652346404560181</v>
      </c>
      <c r="AZ13">
        <f>INDEX($B$27:$GQ$27,MATCH(51,$B$29:$GQ$29,0))</f>
        <v>22.27593490122748</v>
      </c>
      <c r="BA13">
        <f>INDEX($B$27:$GQ$27,MATCH(52,$B$29:$GQ$29,0))</f>
        <v>20.355392192851319</v>
      </c>
      <c r="BB13">
        <f>INDEX($B$27:$GQ$27,MATCH(53,$B$29:$GQ$29,0))</f>
        <v>19.421359223297902</v>
      </c>
      <c r="BC13">
        <f>INDEX($B$27:$GQ$27,MATCH(54,$B$29:$GQ$29,0))</f>
        <v>17.860861015869379</v>
      </c>
      <c r="BD13">
        <f>INDEX($B$27:$GQ$27,MATCH(55,$B$29:$GQ$29,0))</f>
        <v>17.47496130217538</v>
      </c>
      <c r="BE13">
        <f>INDEX($B$27:$GQ$27,MATCH(56,$B$29:$GQ$29,0))</f>
        <v>16.91128126959908</v>
      </c>
      <c r="BF13">
        <f>INDEX($B$27:$GQ$27,MATCH(57,$B$29:$GQ$29,0))</f>
        <v>16.578350807328611</v>
      </c>
      <c r="BG13">
        <f>INDEX($B$27:$GQ$27,MATCH(58,$B$29:$GQ$29,0))</f>
        <v>16.31132594577733</v>
      </c>
      <c r="BH13">
        <f>INDEX($B$27:$GQ$27,MATCH(59,$B$29:$GQ$29,0))</f>
        <v>15.365689874983509</v>
      </c>
      <c r="BI13">
        <f>INDEX($B$27:$GQ$27,MATCH(60,$B$29:$GQ$29,0))</f>
        <v>14.65242933162768</v>
      </c>
      <c r="BJ13">
        <f>INDEX($B$27:$GQ$27,MATCH(61,$B$29:$GQ$29,0))</f>
        <v>13.501773849198489</v>
      </c>
      <c r="BK13">
        <f>INDEX($B$27:$GQ$27,MATCH(62,$B$29:$GQ$29,0))</f>
        <v>13.182056737691809</v>
      </c>
      <c r="BL13">
        <f>INDEX($B$27:$GQ$27,MATCH(63,$B$29:$GQ$29,0))</f>
        <v>13.129376435644289</v>
      </c>
      <c r="BM13">
        <f>INDEX($B$27:$GQ$27,MATCH(64,$B$29:$GQ$29,0))</f>
        <v>13.11169754962796</v>
      </c>
      <c r="BN13">
        <f>INDEX($B$27:$GQ$27,MATCH(65,$B$29:$GQ$29,0))</f>
        <v>10.92121315136165</v>
      </c>
      <c r="BO13">
        <f>INDEX($B$27:$GQ$27,MATCH(66,$B$29:$GQ$29,0))</f>
        <v>9.9703994604127502</v>
      </c>
      <c r="BP13">
        <f>INDEX($B$27:$GQ$27,MATCH(67,$B$29:$GQ$29,0))</f>
        <v>9.6823083971015862</v>
      </c>
      <c r="BQ13">
        <f>INDEX($B$27:$GQ$27,MATCH(68,$B$29:$GQ$29,0))</f>
        <v>9.4380466069942042</v>
      </c>
      <c r="BR13">
        <f>INDEX($B$27:$GQ$27,MATCH(69,$B$29:$GQ$29,0))</f>
        <v>9.2419730812983367</v>
      </c>
      <c r="BS13">
        <f>INDEX($B$27:$GQ$27,MATCH(70,$B$29:$GQ$29,0))</f>
        <v>9.1420857762022294</v>
      </c>
      <c r="BT13">
        <f>INDEX($B$27:$GQ$27,MATCH(71,$B$29:$GQ$29,0))</f>
        <v>8.1668325980468559</v>
      </c>
      <c r="BU13">
        <f>INDEX($B$27:$GQ$27,MATCH(72,$B$29:$GQ$29,0))</f>
        <v>8.1487679407137321</v>
      </c>
      <c r="BV13">
        <f>INDEX($B$27:$GQ$27,MATCH(73,$B$29:$GQ$29,0))</f>
        <v>7.9184217070101504</v>
      </c>
      <c r="BW13">
        <f>INDEX($B$27:$GQ$27,MATCH(74,$B$29:$GQ$29,0))</f>
        <v>7.2279275721189382</v>
      </c>
      <c r="BX13">
        <f>INDEX($B$27:$GQ$27,MATCH(75,$B$29:$GQ$29,0))</f>
        <v>7.1727667672309599</v>
      </c>
      <c r="BY13">
        <f>INDEX($B$27:$GQ$27,MATCH(76,$B$29:$GQ$29,0))</f>
        <v>6.8263290558885954</v>
      </c>
      <c r="BZ13">
        <f>INDEX($B$27:$GQ$27,MATCH(77,$B$29:$GQ$29,0))</f>
        <v>5.0282829984350794</v>
      </c>
      <c r="CA13">
        <f>INDEX($B$27:$GQ$27,MATCH(78,$B$29:$GQ$29,0))</f>
        <v>3.798152686239737</v>
      </c>
      <c r="CB13">
        <f>INDEX($B$27:$GQ$27,MATCH(79,$B$29:$GQ$29,0))</f>
        <v>3.262028953363401</v>
      </c>
      <c r="CC13">
        <f>INDEX($B$27:$GQ$27,MATCH(80,$B$29:$GQ$29,0))</f>
        <v>2.5683605216746912</v>
      </c>
      <c r="CD13">
        <f>INDEX($B$27:$GQ$27,MATCH(81,$B$29:$GQ$29,0))</f>
        <v>2.4737122946926879</v>
      </c>
      <c r="CE13">
        <f>INDEX($B$27:$GQ$27,MATCH(82,$B$29:$GQ$29,0))</f>
        <v>1.9156380397713471</v>
      </c>
      <c r="CF13">
        <f>INDEX($B$27:$GQ$27,MATCH(83,$B$29:$GQ$29,0))</f>
        <v>1.848448858042433</v>
      </c>
      <c r="CG13">
        <f>INDEX($B$27:$GQ$27,MATCH(84,$B$29:$GQ$29,0))</f>
        <v>1.8171710332880391</v>
      </c>
      <c r="CH13">
        <f>INDEX($B$27:$GQ$27,MATCH(85,$B$29:$GQ$29,0))</f>
        <v>1.480830549816099</v>
      </c>
      <c r="CI13">
        <f>INDEX($B$27:$GQ$27,MATCH(86,$B$29:$GQ$29,0))</f>
        <v>1.393329526695319</v>
      </c>
      <c r="CJ13">
        <f>INDEX($B$27:$GQ$27,MATCH(87,$B$29:$GQ$29,0))</f>
        <v>1.318968965462886</v>
      </c>
      <c r="CK13">
        <f>INDEX($B$27:$GQ$27,MATCH(88,$B$29:$GQ$29,0))</f>
        <v>1.3099677133743839</v>
      </c>
      <c r="CL13">
        <f>INDEX($B$27:$GQ$27,MATCH(89,$B$29:$GQ$29,0))</f>
        <v>1.272484247901029</v>
      </c>
      <c r="CM13">
        <f>INDEX($B$27:$GQ$27,MATCH(90,$B$29:$GQ$29,0))</f>
        <v>1.1525004680142921</v>
      </c>
      <c r="CN13">
        <f>INDEX($B$27:$GQ$27,MATCH(91,$B$29:$GQ$29,0))</f>
        <v>1.1505381184130401</v>
      </c>
      <c r="CO13">
        <f>INDEX($B$27:$GQ$27,MATCH(92,$B$29:$GQ$29,0))</f>
        <v>1.0915565018685449</v>
      </c>
      <c r="CP13">
        <f>INDEX($B$27:$GQ$27,MATCH(93,$B$29:$GQ$29,0))</f>
        <v>0.89334988820416805</v>
      </c>
      <c r="CQ13">
        <f>INDEX($B$27:$GQ$27,MATCH(94,$B$29:$GQ$29,0))</f>
        <v>0.8165650199032487</v>
      </c>
      <c r="CR13">
        <f>INDEX($B$27:$GQ$27,MATCH(95,$B$29:$GQ$29,0))</f>
        <v>0.7710000885630981</v>
      </c>
      <c r="CS13">
        <f>INDEX($B$27:$GQ$27,MATCH(96,$B$29:$GQ$29,0))</f>
        <v>0.75423138377859678</v>
      </c>
      <c r="CT13">
        <f>INDEX($B$27:$GQ$27,MATCH(97,$B$29:$GQ$29,0))</f>
        <v>0.70265996084587301</v>
      </c>
      <c r="CU13">
        <f>INDEX($B$27:$GQ$27,MATCH(98,$B$29:$GQ$29,0))</f>
        <v>0.65702241343978562</v>
      </c>
      <c r="CV13">
        <f>INDEX($B$27:$GQ$27,MATCH(99,$B$29:$GQ$29,0))</f>
        <v>0.55473440543447594</v>
      </c>
      <c r="CW13">
        <f>INDEX($B$27:$GQ$27,MATCH(100,$B$29:$GQ$29,0))</f>
        <v>0.51842073074691519</v>
      </c>
      <c r="CX13">
        <f>INDEX($B$27:$GQ$27,MATCH(101,$B$29:$GQ$29,0))</f>
        <v>0.51732897101766562</v>
      </c>
      <c r="CY13">
        <f>INDEX($B$27:$GQ$27,MATCH(102,$B$29:$GQ$29,0))</f>
        <v>0.51646027029531116</v>
      </c>
      <c r="CZ13">
        <f>INDEX($B$27:$GQ$27,MATCH(103,$B$29:$GQ$29,0))</f>
        <v>0.50462476153220626</v>
      </c>
      <c r="DA13">
        <f>INDEX($B$27:$GQ$27,MATCH(104,$B$29:$GQ$29,0))</f>
        <v>0.44590011270687169</v>
      </c>
      <c r="DB13">
        <f>INDEX($B$27:$GQ$27,MATCH(105,$B$29:$GQ$29,0))</f>
        <v>0.39950043228165272</v>
      </c>
      <c r="DC13">
        <f>INDEX($B$27:$GQ$27,MATCH(106,$B$29:$GQ$29,0))</f>
        <v>0.32679044257478718</v>
      </c>
      <c r="DD13">
        <f>INDEX($B$27:$GQ$27,MATCH(107,$B$29:$GQ$29,0))</f>
        <v>0.28007785084975712</v>
      </c>
      <c r="DE13">
        <f>INDEX($B$27:$GQ$27,MATCH(108,$B$29:$GQ$29,0))</f>
        <v>0.25777282747125968</v>
      </c>
      <c r="DF13">
        <f>INDEX($B$27:$GQ$27,MATCH(109,$B$29:$GQ$29,0))</f>
        <v>0.2377547122380686</v>
      </c>
      <c r="DG13">
        <f>INDEX($B$27:$GQ$27,MATCH(110,$B$29:$GQ$29,0))</f>
        <v>0.1582330500653252</v>
      </c>
      <c r="DH13">
        <f>INDEX($B$27:$GQ$27,MATCH(111,$B$29:$GQ$29,0))</f>
        <v>0.15296382714003051</v>
      </c>
      <c r="DI13">
        <f>INDEX($B$27:$GQ$27,MATCH(112,$B$29:$GQ$29,0))</f>
        <v>0.112123331199252</v>
      </c>
      <c r="DJ13">
        <f>INDEX($B$27:$GQ$27,MATCH(113,$B$29:$GQ$29,0))</f>
        <v>9.0610671524629982E-2</v>
      </c>
      <c r="DK13">
        <f>INDEX($B$27:$GQ$27,MATCH(114,$B$29:$GQ$29,0))</f>
        <v>8.3243418722143914E-2</v>
      </c>
      <c r="DL13">
        <f>INDEX($B$27:$GQ$27,MATCH(115,$B$29:$GQ$29,0))</f>
        <v>6.7425732082145654E-2</v>
      </c>
      <c r="DM13">
        <f>INDEX($B$27:$GQ$27,MATCH(116,$B$29:$GQ$29,0))</f>
        <v>6.2082384655763267E-2</v>
      </c>
      <c r="DN13">
        <f>INDEX($B$27:$GQ$27,MATCH(117,$B$29:$GQ$29,0))</f>
        <v>4.8873089847302972E-2</v>
      </c>
      <c r="DO13">
        <f>INDEX($B$27:$GQ$27,MATCH(118,$B$29:$GQ$29,0))</f>
        <v>3.9730571237395117E-2</v>
      </c>
      <c r="DP13">
        <f>INDEX($B$27:$GQ$27,MATCH(119,$B$29:$GQ$29,0))</f>
        <v>3.3979399477571851E-2</v>
      </c>
      <c r="DQ13">
        <f>INDEX($B$27:$GQ$27,MATCH(120,$B$29:$GQ$29,0))</f>
        <v>2.205075390505996E-2</v>
      </c>
      <c r="DR13">
        <f>INDEX($B$27:$GQ$27,MATCH(121,$B$29:$GQ$29,0))</f>
        <v>2.1190939148543881E-2</v>
      </c>
      <c r="DS13">
        <f>INDEX($B$27:$GQ$27,MATCH(122,$B$29:$GQ$29,0))</f>
        <v>1.9809089393196689E-2</v>
      </c>
      <c r="DT13">
        <f>INDEX($B$27:$GQ$27,MATCH(123,$B$29:$GQ$29,0))</f>
        <v>1.9275947113087631E-2</v>
      </c>
      <c r="DU13">
        <f>INDEX($B$27:$GQ$27,MATCH(124,$B$29:$GQ$29,0))</f>
        <v>1.5896070730326221E-2</v>
      </c>
      <c r="DV13">
        <f>INDEX($B$27:$GQ$27,MATCH(125,$B$29:$GQ$29,0))</f>
        <v>7.6059917188864993E-3</v>
      </c>
      <c r="DW13">
        <f>INDEX($B$27:$GQ$27,MATCH(126,$B$29:$GQ$29,0))</f>
        <v>6.4902290118708282E-3</v>
      </c>
      <c r="DX13">
        <f>INDEX($B$27:$GQ$27,MATCH(127,$B$29:$GQ$29,0))</f>
        <v>1.467929700981152E-3</v>
      </c>
      <c r="DY13">
        <f>INDEX($B$27:$GQ$27,MATCH(128,$B$29:$GQ$29,0))</f>
        <v>8.3363883267177934E-4</v>
      </c>
      <c r="DZ13">
        <f>INDEX($B$27:$GQ$27,MATCH(129,$B$29:$GQ$29,0))</f>
        <v>3.6474206186445847E-4</v>
      </c>
      <c r="EA13">
        <f>INDEX($B$27:$GQ$27,MATCH(130,$B$29:$GQ$29,0))</f>
        <v>3.5564962226082678E-4</v>
      </c>
      <c r="EB13">
        <f>INDEX($B$27:$GQ$27,MATCH(131,$B$29:$GQ$29,0))</f>
        <v>1.0228906727320169E-4</v>
      </c>
      <c r="EC13">
        <f>INDEX($B$27:$GQ$27,MATCH(132,$B$29:$GQ$29,0))</f>
        <v>9.2275210232707579E-5</v>
      </c>
      <c r="ED13">
        <f>INDEX($B$27:$GQ$27,MATCH(133,$B$29:$GQ$29,0))</f>
        <v>4.1381913275061886E-6</v>
      </c>
      <c r="EE13">
        <f>INDEX($B$27:$GQ$27,MATCH(134,$B$29:$GQ$29,0))</f>
        <v>0</v>
      </c>
      <c r="EF13">
        <f>INDEX($B$27:$GQ$27,MATCH(135,$B$29:$GQ$29,0))</f>
        <v>0</v>
      </c>
      <c r="EG13">
        <f>INDEX($B$27:$GQ$27,MATCH(136,$B$29:$GQ$29,0))</f>
        <v>0</v>
      </c>
      <c r="EH13">
        <f>INDEX($B$27:$GQ$27,MATCH(137,$B$29:$GQ$29,0))</f>
        <v>0</v>
      </c>
      <c r="EI13">
        <f>INDEX($B$27:$GQ$27,MATCH(138,$B$29:$GQ$29,0))</f>
        <v>0</v>
      </c>
      <c r="EJ13">
        <f>INDEX($B$27:$GQ$27,MATCH(139,$B$29:$GQ$29,0))</f>
        <v>0</v>
      </c>
      <c r="EK13">
        <f>INDEX($B$27:$GQ$27,MATCH(140,$B$29:$GQ$29,0))</f>
        <v>0</v>
      </c>
      <c r="EL13">
        <f>INDEX($B$27:$GQ$27,MATCH(141,$B$29:$GQ$29,0))</f>
        <v>0</v>
      </c>
      <c r="EM13">
        <f>INDEX($B$27:$GQ$27,MATCH(142,$B$29:$GQ$29,0))</f>
        <v>0</v>
      </c>
      <c r="EN13">
        <f>INDEX($B$27:$GQ$27,MATCH(143,$B$29:$GQ$29,0))</f>
        <v>0</v>
      </c>
      <c r="EO13">
        <f>INDEX($B$27:$GQ$27,MATCH(144,$B$29:$GQ$29,0))</f>
        <v>0</v>
      </c>
      <c r="EP13">
        <f>INDEX($B$27:$GQ$27,MATCH(145,$B$29:$GQ$29,0))</f>
        <v>0</v>
      </c>
      <c r="EQ13">
        <f>INDEX($B$27:$GQ$27,MATCH(146,$B$29:$GQ$29,0))</f>
        <v>0</v>
      </c>
      <c r="ER13">
        <f>INDEX($B$27:$GQ$27,MATCH(147,$B$29:$GQ$29,0))</f>
        <v>0</v>
      </c>
      <c r="ES13">
        <f>INDEX($B$27:$GQ$27,MATCH(148,$B$29:$GQ$29,0))</f>
        <v>0</v>
      </c>
      <c r="ET13">
        <f>INDEX($B$27:$GQ$27,MATCH(149,$B$29:$GQ$29,0))</f>
        <v>0</v>
      </c>
      <c r="EU13">
        <f>INDEX($B$27:$GQ$27,MATCH(150,$B$29:$GQ$29,0))</f>
        <v>0</v>
      </c>
      <c r="EV13">
        <f>INDEX($B$27:$GQ$27,MATCH(151,$B$29:$GQ$29,0))</f>
        <v>0</v>
      </c>
      <c r="EW13">
        <f>INDEX($B$27:$GQ$27,MATCH(152,$B$29:$GQ$29,0))</f>
        <v>0</v>
      </c>
      <c r="EX13">
        <f>INDEX($B$27:$GQ$27,MATCH(153,$B$29:$GQ$29,0))</f>
        <v>0</v>
      </c>
      <c r="EY13">
        <f>INDEX($B$27:$GQ$27,MATCH(154,$B$29:$GQ$29,0))</f>
        <v>0</v>
      </c>
      <c r="EZ13">
        <f>INDEX($B$27:$GQ$27,MATCH(155,$B$29:$GQ$29,0))</f>
        <v>0</v>
      </c>
      <c r="FA13">
        <f>INDEX($B$27:$GQ$27,MATCH(156,$B$29:$GQ$29,0))</f>
        <v>0</v>
      </c>
      <c r="FB13">
        <f>INDEX($B$27:$GQ$27,MATCH(157,$B$29:$GQ$29,0))</f>
        <v>0</v>
      </c>
      <c r="FC13">
        <f>INDEX($B$27:$GQ$27,MATCH(158,$B$29:$GQ$29,0))</f>
        <v>0</v>
      </c>
      <c r="FD13">
        <f>INDEX($B$27:$GQ$27,MATCH(159,$B$29:$GQ$29,0))</f>
        <v>0</v>
      </c>
      <c r="FE13">
        <f>INDEX($B$27:$GQ$27,MATCH(160,$B$29:$GQ$29,0))</f>
        <v>0</v>
      </c>
      <c r="FF13">
        <f>INDEX($B$27:$GQ$27,MATCH(161,$B$29:$GQ$29,0))</f>
        <v>0</v>
      </c>
      <c r="FG13">
        <f>INDEX($B$27:$GQ$27,MATCH(162,$B$29:$GQ$29,0))</f>
        <v>0</v>
      </c>
      <c r="FH13">
        <f>INDEX($B$27:$GQ$27,MATCH(163,$B$29:$GQ$29,0))</f>
        <v>0</v>
      </c>
      <c r="FI13">
        <f>INDEX($B$27:$GQ$27,MATCH(164,$B$29:$GQ$29,0))</f>
        <v>0</v>
      </c>
      <c r="FJ13">
        <f>INDEX($B$27:$GQ$27,MATCH(165,$B$29:$GQ$29,0))</f>
        <v>0</v>
      </c>
      <c r="FK13">
        <f>INDEX($B$27:$GQ$27,MATCH(166,$B$29:$GQ$29,0))</f>
        <v>0</v>
      </c>
      <c r="FL13">
        <f>INDEX($B$27:$GQ$27,MATCH(167,$B$29:$GQ$29,0))</f>
        <v>0</v>
      </c>
      <c r="FM13">
        <f>INDEX($B$27:$GQ$27,MATCH(168,$B$29:$GQ$29,0))</f>
        <v>0</v>
      </c>
      <c r="FN13">
        <f>INDEX($B$27:$GQ$27,MATCH(169,$B$29:$GQ$29,0))</f>
        <v>0</v>
      </c>
      <c r="FO13">
        <f>INDEX($B$27:$GQ$27,MATCH(170,$B$29:$GQ$29,0))</f>
        <v>0</v>
      </c>
      <c r="FP13">
        <f>INDEX($B$27:$GQ$27,MATCH(171,$B$29:$GQ$29,0))</f>
        <v>0</v>
      </c>
      <c r="FQ13">
        <f>INDEX($B$27:$GQ$27,MATCH(172,$B$29:$GQ$29,0))</f>
        <v>0</v>
      </c>
      <c r="FR13">
        <f>INDEX($B$27:$GQ$27,MATCH(173,$B$29:$GQ$29,0))</f>
        <v>0</v>
      </c>
      <c r="FS13">
        <f>INDEX($B$27:$GQ$27,MATCH(174,$B$29:$GQ$29,0))</f>
        <v>0</v>
      </c>
      <c r="FT13">
        <f>INDEX($B$27:$GQ$27,MATCH(175,$B$29:$GQ$29,0))</f>
        <v>0</v>
      </c>
      <c r="FU13">
        <f>INDEX($B$27:$GQ$27,MATCH(176,$B$29:$GQ$29,0))</f>
        <v>0</v>
      </c>
      <c r="FV13">
        <f>INDEX($B$27:$GQ$27,MATCH(177,$B$29:$GQ$29,0))</f>
        <v>0</v>
      </c>
      <c r="FW13">
        <f>INDEX($B$27:$GQ$27,MATCH(178,$B$29:$GQ$29,0))</f>
        <v>0</v>
      </c>
      <c r="FX13">
        <f>INDEX($B$27:$GQ$27,MATCH(179,$B$29:$GQ$29,0))</f>
        <v>0</v>
      </c>
      <c r="FY13">
        <f>INDEX($B$27:$GQ$27,MATCH(180,$B$29:$GQ$29,0))</f>
        <v>0</v>
      </c>
      <c r="FZ13">
        <f>INDEX($B$27:$GQ$27,MATCH(181,$B$29:$GQ$29,0))</f>
        <v>0</v>
      </c>
      <c r="GA13">
        <f>INDEX($B$27:$GQ$27,MATCH(182,$B$29:$GQ$29,0))</f>
        <v>0</v>
      </c>
      <c r="GB13">
        <f>INDEX($B$27:$GQ$27,MATCH(183,$B$29:$GQ$29,0))</f>
        <v>0</v>
      </c>
      <c r="GC13">
        <f>INDEX($B$27:$GQ$27,MATCH(184,$B$29:$GQ$29,0))</f>
        <v>0</v>
      </c>
      <c r="GD13">
        <f>INDEX($B$27:$GQ$27,MATCH(185,$B$29:$GQ$29,0))</f>
        <v>0</v>
      </c>
      <c r="GE13">
        <f>INDEX($B$27:$GQ$27,MATCH(186,$B$29:$GQ$29,0))</f>
        <v>0</v>
      </c>
      <c r="GF13">
        <f>INDEX($B$27:$GQ$27,MATCH(187,$B$29:$GQ$29,0))</f>
        <v>0</v>
      </c>
      <c r="GG13">
        <f>INDEX($B$27:$GQ$27,MATCH(188,$B$29:$GQ$29,0))</f>
        <v>0</v>
      </c>
      <c r="GH13">
        <f>INDEX($B$27:$GQ$27,MATCH(189,$B$29:$GQ$29,0))</f>
        <v>0</v>
      </c>
      <c r="GI13">
        <f>INDEX($B$27:$GQ$27,MATCH(190,$B$29:$GQ$29,0))</f>
        <v>0</v>
      </c>
      <c r="GJ13">
        <f>INDEX($B$27:$GQ$27,MATCH(191,$B$29:$GQ$29,0))</f>
        <v>0</v>
      </c>
      <c r="GK13">
        <f>INDEX($B$27:$GQ$27,MATCH(192,$B$29:$GQ$29,0))</f>
        <v>0</v>
      </c>
      <c r="GL13">
        <f>INDEX($B$27:$GQ$27,MATCH(193,$B$29:$GQ$29,0))</f>
        <v>0</v>
      </c>
      <c r="GM13">
        <f>INDEX($B$27:$GQ$27,MATCH(194,$B$29:$GQ$29,0))</f>
        <v>0</v>
      </c>
      <c r="GN13">
        <f>INDEX($B$27:$GQ$27,MATCH(195,$B$29:$GQ$29,0))</f>
        <v>0</v>
      </c>
      <c r="GO13">
        <f>INDEX($B$27:$GQ$27,MATCH(196,$B$29:$GQ$29,0))</f>
        <v>0</v>
      </c>
      <c r="GP13">
        <f>INDEX($B$27:$GQ$27,MATCH(197,$B$29:$GQ$29,0))</f>
        <v>0</v>
      </c>
      <c r="GQ13">
        <f>INDEX($B$27:$GQ$27,MATCH(198,$B$29:$GQ$29,0))</f>
        <v>0</v>
      </c>
      <c r="GR13">
        <f>INDEX($GR$27:$HC$27,MATCH(1,$GR$30:$HC$30,0))</f>
        <v>2618.1991503913491</v>
      </c>
      <c r="GS13">
        <f>INDEX($GR$27:$HC$27,MATCH(2,$GR$30:$HC$30,0))</f>
        <v>1731.2516312063019</v>
      </c>
      <c r="GT13">
        <f>INDEX($GR$27:$HC$27,MATCH(3,$GR$30:$HC$30,0))</f>
        <v>1455.345428670789</v>
      </c>
      <c r="GU13">
        <f>INDEX($GR$27:$HC$27,MATCH(4,$GR$30:$HC$30,0))</f>
        <v>864.53440249509799</v>
      </c>
      <c r="GV13">
        <f>INDEX($GR$27:$HC$27,MATCH(5,$GR$30:$HC$30,0))</f>
        <v>801.89577345169073</v>
      </c>
      <c r="GW13">
        <f>INDEX($GR$27:$HC$27,MATCH(6,$GR$30:$HC$30,0))</f>
        <v>702.11259067162041</v>
      </c>
      <c r="GX13">
        <f>INDEX($GR$27:$HC$27,MATCH(7,$GR$30:$HC$30,0))</f>
        <v>628.99042633364934</v>
      </c>
      <c r="GY13">
        <f>INDEX($GR$27:$HC$27,MATCH(8,$GR$30:$HC$30,0))</f>
        <v>614.7803574187177</v>
      </c>
      <c r="GZ13">
        <f>INDEX($GR$27:$HC$27,MATCH(9,$GR$30:$HC$30,0))</f>
        <v>346.93946338566491</v>
      </c>
      <c r="HA13">
        <f>INDEX($GR$27:$HC$27,MATCH(10,$GR$30:$HC$30,0))</f>
        <v>332.98246664723411</v>
      </c>
      <c r="HB13">
        <f>INDEX($GR$27:$HC$27,MATCH(11,$GR$30:$HC$30,0))</f>
        <v>328.68561865121342</v>
      </c>
      <c r="HC13">
        <f>INDEX($GR$27:$HC$27,MATCH(12,$GR$30:$HC$30,0))</f>
        <v>276.52862025797151</v>
      </c>
    </row>
    <row r="14" spans="1:211" x14ac:dyDescent="0.45">
      <c r="A14" s="2" t="str">
        <f>"Part de "&amp;$B$1&amp;" (%)"</f>
        <v>Part de M_imp*Y_dom+M_dom*Y_dom+M_row*Y_imp (%)</v>
      </c>
      <c r="B14" s="3">
        <f>IFERROR(INDEX($B$28:$GQ$28,MATCH(1,$B$29:$GQ$29,0))/SUM($B$28:$GQ$28)*100,0)</f>
        <v>16.885196847126629</v>
      </c>
      <c r="C14" s="3">
        <f>IFERROR(INDEX($B$28:$GQ$28,MATCH(2,$B$29:$GQ$29,0))/SUM($B$28:$GQ$28)*100,0)</f>
        <v>12.556050142909575</v>
      </c>
      <c r="D14" s="3">
        <f>IFERROR(INDEX($B$28:$GQ$28,MATCH(3,$B$29:$GQ$29,0))/SUM($B$28:$GQ$28)*100,0)</f>
        <v>4.042988365242131</v>
      </c>
      <c r="E14" s="3">
        <f>IFERROR(INDEX($B$28:$GQ$28,MATCH(4,$B$29:$GQ$29,0))/SUM($B$28:$GQ$28)*100,0)</f>
        <v>3.9105319371559895</v>
      </c>
      <c r="F14" s="3">
        <f>IFERROR(INDEX($B$28:$GQ$28,MATCH(5,$B$29:$GQ$29,0))/SUM($B$28:$GQ$28)*100,0)</f>
        <v>3.4126435145174479</v>
      </c>
      <c r="G14" s="3">
        <f>IFERROR(INDEX($B$28:$GQ$28,MATCH(6,$B$29:$GQ$29,0))/SUM($B$28:$GQ$28)*100,0)</f>
        <v>3.3281080980705875</v>
      </c>
      <c r="H14" s="3">
        <f>IFERROR(INDEX($B$28:$GQ$28,MATCH(7,$B$29:$GQ$29,0))/SUM($B$28:$GQ$28)*100,0)</f>
        <v>3.275356582852945</v>
      </c>
      <c r="I14" s="3">
        <f>IFERROR(INDEX($B$28:$GQ$28,MATCH(8,$B$29:$GQ$29,0))/SUM($B$28:$GQ$28)*100,0)</f>
        <v>3.2246177806846119</v>
      </c>
      <c r="J14" s="3">
        <f>IFERROR(INDEX($B$28:$GQ$28,MATCH(9,$B$29:$GQ$29,0))/SUM($B$28:$GQ$28)*100,0)</f>
        <v>3.1909957262672108</v>
      </c>
      <c r="K14" s="3">
        <f>IFERROR(INDEX($B$28:$GQ$28,MATCH(10,$B$29:$GQ$29,0))/SUM($B$28:$GQ$28)*100,0)</f>
        <v>2.8723812543848322</v>
      </c>
      <c r="L14" s="3">
        <f>IFERROR(INDEX($B$28:$GQ$28,MATCH(11,$B$29:$GQ$29,0))/SUM($B$28:$GQ$28)*100,0)</f>
        <v>2.8156617733582174</v>
      </c>
      <c r="M14" s="3">
        <f>IFERROR(INDEX($B$28:$GQ$28,MATCH(12,$B$29:$GQ$29,0))/SUM($B$28:$GQ$28)*100,0)</f>
        <v>2.7788589614912187</v>
      </c>
      <c r="N14" s="3">
        <f>IFERROR(INDEX($B$28:$GQ$28,MATCH(13,$B$29:$GQ$29,0))/SUM($B$28:$GQ$28)*100,0)</f>
        <v>2.6291446758555064</v>
      </c>
      <c r="O14" s="3">
        <f>IFERROR(INDEX($B$28:$GQ$28,MATCH(14,$B$29:$GQ$29,0))/SUM($B$28:$GQ$28)*100,0)</f>
        <v>2.2761325194986326</v>
      </c>
      <c r="P14" s="3">
        <f>IFERROR(INDEX($B$28:$GQ$28,MATCH(15,$B$29:$GQ$29,0))/SUM($B$28:$GQ$28)*100,0)</f>
        <v>2.0845858123698142</v>
      </c>
      <c r="Q14" s="3">
        <f>IFERROR(INDEX($B$28:$GQ$28,MATCH(16,$B$29:$GQ$29,0))/SUM($B$28:$GQ$28)*100,0)</f>
        <v>1.9664966344237651</v>
      </c>
      <c r="R14" s="3">
        <f>IFERROR(INDEX($B$28:$GQ$28,MATCH(17,$B$29:$GQ$29,0))/SUM($B$28:$GQ$28)*100,0)</f>
        <v>1.8882456523593623</v>
      </c>
      <c r="S14" s="3">
        <f>IFERROR(INDEX($B$28:$GQ$28,MATCH(18,$B$29:$GQ$29,0))/SUM($B$28:$GQ$28)*100,0)</f>
        <v>1.7484795509783713</v>
      </c>
      <c r="T14" s="3">
        <f>IFERROR(INDEX($B$28:$GQ$28,MATCH(19,$B$29:$GQ$29,0))/SUM($B$28:$GQ$28)*100,0)</f>
        <v>1.7419028990938918</v>
      </c>
      <c r="U14" s="3">
        <f>IFERROR(INDEX($B$28:$GQ$28,MATCH(20,$B$29:$GQ$29,0))/SUM($B$28:$GQ$28)*100,0)</f>
        <v>1.5124507528118547</v>
      </c>
      <c r="V14" s="3">
        <f>IFERROR(INDEX($B$28:$GQ$28,MATCH(21,$B$29:$GQ$29,0))/SUM($B$28:$GQ$28)*100,0)</f>
        <v>1.4348896347636608</v>
      </c>
      <c r="W14" s="3">
        <f>IFERROR(INDEX($B$28:$GQ$28,MATCH(22,$B$29:$GQ$29,0))/SUM($B$28:$GQ$28)*100,0)</f>
        <v>1.3361145746507379</v>
      </c>
      <c r="X14" s="3">
        <f>IFERROR(INDEX($B$28:$GQ$28,MATCH(23,$B$29:$GQ$29,0))/SUM($B$28:$GQ$28)*100,0)</f>
        <v>1.2634249029871918</v>
      </c>
      <c r="Y14" s="3">
        <f>IFERROR(INDEX($B$28:$GQ$28,MATCH(24,$B$29:$GQ$29,0))/SUM($B$28:$GQ$28)*100,0)</f>
        <v>1.255036618803435</v>
      </c>
      <c r="Z14" s="3">
        <f>IFERROR(INDEX($B$28:$GQ$28,MATCH(25,$B$29:$GQ$29,0))/SUM($B$28:$GQ$28)*100,0)</f>
        <v>1.0654758719844299</v>
      </c>
      <c r="AA14" s="3">
        <f>IFERROR(INDEX($B$28:$GQ$28,MATCH(26,$B$29:$GQ$29,0))/SUM($B$28:$GQ$28)*100,0)</f>
        <v>1.0550819908347582</v>
      </c>
      <c r="AB14" s="3">
        <f>IFERROR(INDEX($B$28:$GQ$28,MATCH(27,$B$29:$GQ$29,0))/SUM($B$28:$GQ$28)*100,0)</f>
        <v>0.90026505943654922</v>
      </c>
      <c r="AC14" s="3">
        <f>IFERROR(INDEX($B$28:$GQ$28,MATCH(28,$B$29:$GQ$29,0))/SUM($B$28:$GQ$28)*100,0)</f>
        <v>0.82792959167832247</v>
      </c>
      <c r="AD14" s="3">
        <f>IFERROR(INDEX($B$28:$GQ$28,MATCH(29,$B$29:$GQ$29,0))/SUM($B$28:$GQ$28)*100,0)</f>
        <v>0.74561932026382882</v>
      </c>
      <c r="AE14" s="3">
        <f>IFERROR(INDEX($B$28:$GQ$28,MATCH(30,$B$29:$GQ$29,0))/SUM($B$28:$GQ$28)*100,0)</f>
        <v>0.70756081638428447</v>
      </c>
      <c r="AF14" s="3">
        <f>IFERROR(INDEX($B$28:$GQ$28,MATCH(31,$B$29:$GQ$29,0))/SUM($B$28:$GQ$28)*100,0)</f>
        <v>0.68159801851466384</v>
      </c>
      <c r="AG14" s="3">
        <f>IFERROR(INDEX($B$28:$GQ$28,MATCH(32,$B$29:$GQ$29,0))/SUM($B$28:$GQ$28)*100,0)</f>
        <v>0.57272493243433575</v>
      </c>
      <c r="AH14" s="3">
        <f>IFERROR(INDEX($B$28:$GQ$28,MATCH(33,$B$29:$GQ$29,0))/SUM($B$28:$GQ$28)*100,0)</f>
        <v>0.56748237941466606</v>
      </c>
      <c r="AI14" s="3">
        <f>IFERROR(INDEX($B$28:$GQ$28,MATCH(34,$B$29:$GQ$29,0))/SUM($B$28:$GQ$28)*100,0)</f>
        <v>0.532786240959498</v>
      </c>
      <c r="AJ14" s="3">
        <f>IFERROR(INDEX($B$28:$GQ$28,MATCH(35,$B$29:$GQ$29,0))/SUM($B$28:$GQ$28)*100,0)</f>
        <v>0.51988718561867897</v>
      </c>
      <c r="AK14" s="3">
        <f>IFERROR(INDEX($B$28:$GQ$28,MATCH(36,$B$29:$GQ$29,0))/SUM($B$28:$GQ$28)*100,0)</f>
        <v>0.46342389553258884</v>
      </c>
      <c r="AL14" s="3">
        <f>IFERROR(INDEX($B$28:$GQ$28,MATCH(37,$B$29:$GQ$29,0))/SUM($B$28:$GQ$28)*100,0)</f>
        <v>0.44350117913092968</v>
      </c>
      <c r="AM14" s="3">
        <f>IFERROR(INDEX($B$28:$GQ$28,MATCH(38,$B$29:$GQ$29,0))/SUM($B$28:$GQ$28)*100,0)</f>
        <v>0.40554322949728061</v>
      </c>
      <c r="AN14" s="3">
        <f>IFERROR(INDEX($B$28:$GQ$28,MATCH(39,$B$29:$GQ$29,0))/SUM($B$28:$GQ$28)*100,0)</f>
        <v>0.36213915502169552</v>
      </c>
      <c r="AO14" s="3">
        <f>IFERROR(INDEX($B$28:$GQ$28,MATCH(40,$B$29:$GQ$29,0))/SUM($B$28:$GQ$28)*100,0)</f>
        <v>0.35829454722897536</v>
      </c>
      <c r="AP14" s="3">
        <f>IFERROR(INDEX($B$28:$GQ$28,MATCH(41,$B$29:$GQ$29,0))/SUM($B$28:$GQ$28)*100,0)</f>
        <v>0.3317880673080465</v>
      </c>
      <c r="AQ14" s="3">
        <f>IFERROR(INDEX($B$28:$GQ$28,MATCH(42,$B$29:$GQ$29,0))/SUM($B$28:$GQ$28)*100,0)</f>
        <v>0.32911646005883832</v>
      </c>
      <c r="AR14" s="3">
        <f>IFERROR(INDEX($B$28:$GQ$28,MATCH(43,$B$29:$GQ$29,0))/SUM($B$28:$GQ$28)*100,0)</f>
        <v>0.269412878137336</v>
      </c>
      <c r="AS14" s="3">
        <f>IFERROR(INDEX($B$28:$GQ$28,MATCH(44,$B$29:$GQ$29,0))/SUM($B$28:$GQ$28)*100,0)</f>
        <v>0.26649201902672459</v>
      </c>
      <c r="AT14" s="3">
        <f>IFERROR(INDEX($B$28:$GQ$28,MATCH(45,$B$29:$GQ$29,0))/SUM($B$28:$GQ$28)*100,0)</f>
        <v>0.25613691426995971</v>
      </c>
      <c r="AU14" s="3">
        <f>IFERROR(INDEX($B$28:$GQ$28,MATCH(46,$B$29:$GQ$29,0))/SUM($B$28:$GQ$28)*100,0)</f>
        <v>0.24827699334281297</v>
      </c>
      <c r="AV14" s="3">
        <f>IFERROR(INDEX($B$28:$GQ$28,MATCH(47,$B$29:$GQ$29,0))/SUM($B$28:$GQ$28)*100,0)</f>
        <v>0.24621519998889674</v>
      </c>
      <c r="AW14" s="3">
        <f>IFERROR(INDEX($B$28:$GQ$28,MATCH(48,$B$29:$GQ$29,0))/SUM($B$28:$GQ$28)*100,0)</f>
        <v>0.24279390531819992</v>
      </c>
      <c r="AX14" s="3">
        <f>IFERROR(INDEX($B$28:$GQ$28,MATCH(49,$B$29:$GQ$29,0))/SUM($B$28:$GQ$28)*100,0)</f>
        <v>0.23910229344219877</v>
      </c>
      <c r="AY14" s="3">
        <f>IFERROR(INDEX($B$28:$GQ$28,MATCH(50,$B$29:$GQ$29,0))/SUM($B$28:$GQ$28)*100,0)</f>
        <v>0.22281807405746695</v>
      </c>
      <c r="AZ14" s="3">
        <f>IFERROR(INDEX($B$28:$GQ$28,MATCH(51,$B$29:$GQ$29,0))/SUM($B$28:$GQ$28)*100,0)</f>
        <v>0.21911553107460033</v>
      </c>
      <c r="BA14" s="3">
        <f>IFERROR(INDEX($B$28:$GQ$28,MATCH(52,$B$29:$GQ$29,0))/SUM($B$28:$GQ$28)*100,0)</f>
        <v>0.20022425951346351</v>
      </c>
      <c r="BB14" s="3">
        <f>IFERROR(INDEX($B$28:$GQ$28,MATCH(53,$B$29:$GQ$29,0))/SUM($B$28:$GQ$28)*100,0)</f>
        <v>0.19103671559791699</v>
      </c>
      <c r="BC14" s="3">
        <f>IFERROR(INDEX($B$28:$GQ$28,MATCH(54,$B$29:$GQ$29,0))/SUM($B$28:$GQ$28)*100,0)</f>
        <v>0.17568699425163933</v>
      </c>
      <c r="BD14" s="3">
        <f>IFERROR(INDEX($B$28:$GQ$28,MATCH(55,$B$29:$GQ$29,0))/SUM($B$28:$GQ$28)*100,0)</f>
        <v>0.17189112121275121</v>
      </c>
      <c r="BE14" s="3">
        <f>IFERROR(INDEX($B$28:$GQ$28,MATCH(56,$B$29:$GQ$29,0))/SUM($B$28:$GQ$28)*100,0)</f>
        <v>0.16634652565517941</v>
      </c>
      <c r="BF14" s="3">
        <f>IFERROR(INDEX($B$28:$GQ$28,MATCH(57,$B$29:$GQ$29,0))/SUM($B$28:$GQ$28)*100,0)</f>
        <v>0.16307168060940375</v>
      </c>
      <c r="BG14" s="3">
        <f>IFERROR(INDEX($B$28:$GQ$28,MATCH(58,$B$29:$GQ$29,0))/SUM($B$28:$GQ$28)*100,0)</f>
        <v>0.16044511096784378</v>
      </c>
      <c r="BH14" s="3">
        <f>IFERROR(INDEX($B$28:$GQ$28,MATCH(59,$B$29:$GQ$29,0))/SUM($B$28:$GQ$28)*100,0)</f>
        <v>0.15114343403378755</v>
      </c>
      <c r="BI14" s="3">
        <f>IFERROR(INDEX($B$28:$GQ$28,MATCH(60,$B$29:$GQ$29,0))/SUM($B$28:$GQ$28)*100,0)</f>
        <v>0.14412750121458368</v>
      </c>
      <c r="BJ14" s="3">
        <f>IFERROR(INDEX($B$28:$GQ$28,MATCH(61,$B$29:$GQ$29,0))/SUM($B$28:$GQ$28)*100,0)</f>
        <v>0.13280916650790076</v>
      </c>
      <c r="BK14" s="3">
        <f>IFERROR(INDEX($B$28:$GQ$28,MATCH(62,$B$29:$GQ$29,0))/SUM($B$28:$GQ$28)*100,0)</f>
        <v>0.12966429357699794</v>
      </c>
      <c r="BL14" s="3">
        <f>IFERROR(INDEX($B$28:$GQ$28,MATCH(63,$B$29:$GQ$29,0))/SUM($B$28:$GQ$28)*100,0)</f>
        <v>0.12914610781233776</v>
      </c>
      <c r="BM14" s="3">
        <f>IFERROR(INDEX($B$28:$GQ$28,MATCH(64,$B$29:$GQ$29,0))/SUM($B$28:$GQ$28)*100,0)</f>
        <v>0.12897221080126051</v>
      </c>
      <c r="BN14" s="3">
        <f>IFERROR(INDEX($B$28:$GQ$28,MATCH(65,$B$29:$GQ$29,0))/SUM($B$28:$GQ$28)*100,0)</f>
        <v>0.10742567843954574</v>
      </c>
      <c r="BO14" s="3">
        <f>IFERROR(INDEX($B$28:$GQ$28,MATCH(66,$B$29:$GQ$29,0))/SUM($B$28:$GQ$28)*100,0)</f>
        <v>9.8073072240566911E-2</v>
      </c>
      <c r="BP14" s="3">
        <f>IFERROR(INDEX($B$28:$GQ$28,MATCH(67,$B$29:$GQ$29,0))/SUM($B$28:$GQ$28)*100,0)</f>
        <v>9.5239286515515539E-2</v>
      </c>
      <c r="BQ14" s="3">
        <f>IFERROR(INDEX($B$28:$GQ$28,MATCH(68,$B$29:$GQ$29,0))/SUM($B$28:$GQ$28)*100,0)</f>
        <v>9.2836624086399602E-2</v>
      </c>
      <c r="BR14" s="3">
        <f>IFERROR(INDEX($B$28:$GQ$28,MATCH(69,$B$29:$GQ$29,0))/SUM($B$28:$GQ$28)*100,0)</f>
        <v>9.0907961837070089E-2</v>
      </c>
      <c r="BS14" s="3">
        <f>IFERROR(INDEX($B$28:$GQ$28,MATCH(70,$B$29:$GQ$29,0))/SUM($B$28:$GQ$28)*100,0)</f>
        <v>8.9925427995020749E-2</v>
      </c>
      <c r="BT14" s="3">
        <f>IFERROR(INDEX($B$28:$GQ$28,MATCH(71,$B$29:$GQ$29,0))/SUM($B$28:$GQ$28)*100,0)</f>
        <v>8.0332424648080131E-2</v>
      </c>
      <c r="BU14" s="3">
        <f>IFERROR(INDEX($B$28:$GQ$28,MATCH(72,$B$29:$GQ$29,0))/SUM($B$28:$GQ$28)*100,0)</f>
        <v>8.0154733026930255E-2</v>
      </c>
      <c r="BV14" s="3">
        <f>IFERROR(INDEX($B$28:$GQ$28,MATCH(73,$B$29:$GQ$29,0))/SUM($B$28:$GQ$28)*100,0)</f>
        <v>7.7888949904794585E-2</v>
      </c>
      <c r="BW14" s="3">
        <f>IFERROR(INDEX($B$28:$GQ$28,MATCH(74,$B$29:$GQ$29,0))/SUM($B$28:$GQ$28)*100,0)</f>
        <v>7.1096957122384008E-2</v>
      </c>
      <c r="BX14" s="3">
        <f>IFERROR(INDEX($B$28:$GQ$28,MATCH(75,$B$29:$GQ$29,0))/SUM($B$28:$GQ$28)*100,0)</f>
        <v>7.055437208112203E-2</v>
      </c>
      <c r="BY14" s="3">
        <f>IFERROR(INDEX($B$28:$GQ$28,MATCH(76,$B$29:$GQ$29,0))/SUM($B$28:$GQ$28)*100,0)</f>
        <v>6.7146664012228879E-2</v>
      </c>
      <c r="BZ14" s="3">
        <f>IFERROR(INDEX($B$28:$GQ$28,MATCH(77,$B$29:$GQ$29,0))/SUM($B$28:$GQ$28)*100,0)</f>
        <v>4.946032139529976E-2</v>
      </c>
      <c r="CA14" s="3">
        <f>IFERROR(INDEX($B$28:$GQ$28,MATCH(78,$B$29:$GQ$29,0))/SUM($B$28:$GQ$28)*100,0)</f>
        <v>3.7360238599996126E-2</v>
      </c>
      <c r="CB14" s="3">
        <f>IFERROR(INDEX($B$28:$GQ$28,MATCH(79,$B$29:$GQ$29,0))/SUM($B$28:$GQ$28)*100,0)</f>
        <v>3.2086698478255946E-2</v>
      </c>
      <c r="CC14" s="3">
        <f>IFERROR(INDEX($B$28:$GQ$28,MATCH(80,$B$29:$GQ$29,0))/SUM($B$28:$GQ$28)*100,0)</f>
        <v>2.5263481968012803E-2</v>
      </c>
      <c r="CD14" s="3">
        <f>IFERROR(INDEX($B$28:$GQ$28,MATCH(81,$B$29:$GQ$29,0))/SUM($B$28:$GQ$28)*100,0)</f>
        <v>2.4332481917402667E-2</v>
      </c>
      <c r="CE14" s="3">
        <f>IFERROR(INDEX($B$28:$GQ$28,MATCH(82,$B$29:$GQ$29,0))/SUM($B$28:$GQ$28)*100,0)</f>
        <v>1.8843027163276349E-2</v>
      </c>
      <c r="CF14" s="3">
        <f>IFERROR(INDEX($B$28:$GQ$28,MATCH(83,$B$29:$GQ$29,0))/SUM($B$28:$GQ$28)*100,0)</f>
        <v>1.8182125912564417E-2</v>
      </c>
      <c r="CG14" s="3">
        <f>IFERROR(INDEX($B$28:$GQ$28,MATCH(84,$B$29:$GQ$29,0))/SUM($B$28:$GQ$28)*100,0)</f>
        <v>1.7874463979976364E-2</v>
      </c>
      <c r="CH14" s="3">
        <f>IFERROR(INDEX($B$28:$GQ$28,MATCH(85,$B$29:$GQ$29,0))/SUM($B$28:$GQ$28)*100,0)</f>
        <v>1.4566076521285191E-2</v>
      </c>
      <c r="CI14" s="3">
        <f>IFERROR(INDEX($B$28:$GQ$28,MATCH(86,$B$29:$GQ$29,0))/SUM($B$28:$GQ$28)*100,0)</f>
        <v>1.3705379395185038E-2</v>
      </c>
      <c r="CJ14" s="3">
        <f>IFERROR(INDEX($B$28:$GQ$28,MATCH(87,$B$29:$GQ$29,0))/SUM($B$28:$GQ$28)*100,0)</f>
        <v>1.2973937418105454E-2</v>
      </c>
      <c r="CK14" s="3">
        <f>IFERROR(INDEX($B$28:$GQ$28,MATCH(88,$B$29:$GQ$29,0))/SUM($B$28:$GQ$28)*100,0)</f>
        <v>1.2885397289915376E-2</v>
      </c>
      <c r="CL14" s="3">
        <f>IFERROR(INDEX($B$28:$GQ$28,MATCH(89,$B$29:$GQ$29,0))/SUM($B$28:$GQ$28)*100,0)</f>
        <v>1.2516694046701195E-2</v>
      </c>
      <c r="CM14" s="3">
        <f>IFERROR(INDEX($B$28:$GQ$28,MATCH(90,$B$29:$GQ$29,0))/SUM($B$28:$GQ$28)*100,0)</f>
        <v>1.1336482766375913E-2</v>
      </c>
      <c r="CN14" s="3">
        <f>IFERROR(INDEX($B$28:$GQ$28,MATCH(91,$B$29:$GQ$29,0))/SUM($B$28:$GQ$28)*100,0)</f>
        <v>1.1317180264508363E-2</v>
      </c>
      <c r="CO14" s="3">
        <f>IFERROR(INDEX($B$28:$GQ$28,MATCH(92,$B$29:$GQ$29,0))/SUM($B$28:$GQ$28)*100,0)</f>
        <v>1.073701210141711E-2</v>
      </c>
      <c r="CP14" s="3">
        <f>IFERROR(INDEX($B$28:$GQ$28,MATCH(93,$B$29:$GQ$29,0))/SUM($B$28:$GQ$28)*100,0)</f>
        <v>8.7873678953202909E-3</v>
      </c>
      <c r="CQ14" s="3">
        <f>IFERROR(INDEX($B$28:$GQ$28,MATCH(94,$B$29:$GQ$29,0))/SUM($B$28:$GQ$28)*100,0)</f>
        <v>8.0320794070547728E-3</v>
      </c>
      <c r="CR14" s="3">
        <f>IFERROR(INDEX($B$28:$GQ$28,MATCH(95,$B$29:$GQ$29,0))/SUM($B$28:$GQ$28)*100,0)</f>
        <v>7.58388344251976E-3</v>
      </c>
      <c r="CS14" s="3">
        <f>IFERROR(INDEX($B$28:$GQ$28,MATCH(96,$B$29:$GQ$29,0))/SUM($B$28:$GQ$28)*100,0)</f>
        <v>7.4189393595629214E-3</v>
      </c>
      <c r="CT14" s="3">
        <f>IFERROR(INDEX($B$28:$GQ$28,MATCH(97,$B$29:$GQ$29,0))/SUM($B$28:$GQ$28)*100,0)</f>
        <v>6.9116609995622403E-3</v>
      </c>
      <c r="CU14" s="3">
        <f>IFERROR(INDEX($B$28:$GQ$28,MATCH(98,$B$29:$GQ$29,0))/SUM($B$28:$GQ$28)*100,0)</f>
        <v>6.46275075264479E-3</v>
      </c>
      <c r="CV14" s="3">
        <f>IFERROR(INDEX($B$28:$GQ$28,MATCH(99,$B$29:$GQ$29,0))/SUM($B$28:$GQ$28)*100,0)</f>
        <v>5.4566025799182051E-3</v>
      </c>
      <c r="CW14" s="3">
        <f>IFERROR(INDEX($B$28:$GQ$28,MATCH(100,$B$29:$GQ$29,0))/SUM($B$28:$GQ$28)*100,0)</f>
        <v>5.0994058943597152E-3</v>
      </c>
      <c r="CX14" s="3">
        <f>IFERROR(INDEX($B$28:$GQ$28,MATCH(101,$B$29:$GQ$29,0))/SUM($B$28:$GQ$28)*100,0)</f>
        <v>5.0886668832276979E-3</v>
      </c>
      <c r="CY14" s="3">
        <f>IFERROR(INDEX($B$28:$GQ$28,MATCH(102,$B$29:$GQ$29,0))/SUM($B$28:$GQ$28)*100,0)</f>
        <v>5.0801219749682875E-3</v>
      </c>
      <c r="CZ14" s="3">
        <f>IFERROR(INDEX($B$28:$GQ$28,MATCH(103,$B$29:$GQ$29,0))/SUM($B$28:$GQ$28)*100,0)</f>
        <v>4.9637028976247397E-3</v>
      </c>
      <c r="DA14" s="3">
        <f>IFERROR(INDEX($B$28:$GQ$28,MATCH(104,$B$29:$GQ$29,0))/SUM($B$28:$GQ$28)*100,0)</f>
        <v>4.3860623778626028E-3</v>
      </c>
      <c r="DB14" s="3">
        <f>IFERROR(INDEX($B$28:$GQ$28,MATCH(105,$B$29:$GQ$29,0))/SUM($B$28:$GQ$28)*100,0)</f>
        <v>3.9296554677533723E-3</v>
      </c>
      <c r="DC14" s="3">
        <f>IFERROR(INDEX($B$28:$GQ$28,MATCH(106,$B$29:$GQ$29,0))/SUM($B$28:$GQ$28)*100,0)</f>
        <v>3.2144492113295097E-3</v>
      </c>
      <c r="DD14" s="3">
        <f>IFERROR(INDEX($B$28:$GQ$28,MATCH(107,$B$29:$GQ$29,0))/SUM($B$28:$GQ$28)*100,0)</f>
        <v>2.7549643731359427E-3</v>
      </c>
      <c r="DE14" s="3">
        <f>IFERROR(INDEX($B$28:$GQ$28,MATCH(108,$B$29:$GQ$29,0))/SUM($B$28:$GQ$28)*100,0)</f>
        <v>2.5355627154779502E-3</v>
      </c>
      <c r="DF14" s="3">
        <f>IFERROR(INDEX($B$28:$GQ$28,MATCH(109,$B$29:$GQ$29,0))/SUM($B$28:$GQ$28)*100,0)</f>
        <v>2.3386560549996278E-3</v>
      </c>
      <c r="DG14" s="3">
        <f>IFERROR(INDEX($B$28:$GQ$28,MATCH(110,$B$29:$GQ$29,0))/SUM($B$28:$GQ$28)*100,0)</f>
        <v>1.5564473029909532E-3</v>
      </c>
      <c r="DH14" s="3">
        <f>IFERROR(INDEX($B$28:$GQ$28,MATCH(111,$B$29:$GQ$29,0))/SUM($B$28:$GQ$28)*100,0)</f>
        <v>1.5046169944204794E-3</v>
      </c>
      <c r="DI14" s="3">
        <f>IFERROR(INDEX($B$28:$GQ$28,MATCH(112,$B$29:$GQ$29,0))/SUM($B$28:$GQ$28)*100,0)</f>
        <v>1.1028925775960867E-3</v>
      </c>
      <c r="DJ14" s="3">
        <f>IFERROR(INDEX($B$28:$GQ$28,MATCH(113,$B$29:$GQ$29,0))/SUM($B$28:$GQ$28)*100,0)</f>
        <v>8.9128494494978216E-4</v>
      </c>
      <c r="DK14" s="3">
        <f>IFERROR(INDEX($B$28:$GQ$28,MATCH(114,$B$29:$GQ$29,0))/SUM($B$28:$GQ$28)*100,0)</f>
        <v>8.1881752584771694E-4</v>
      </c>
      <c r="DL14" s="3">
        <f>IFERROR(INDEX($B$28:$GQ$28,MATCH(115,$B$29:$GQ$29,0))/SUM($B$28:$GQ$28)*100,0)</f>
        <v>6.6322806018161617E-4</v>
      </c>
      <c r="DM14" s="3">
        <f>IFERROR(INDEX($B$28:$GQ$28,MATCH(116,$B$29:$GQ$29,0))/SUM($B$28:$GQ$28)*100,0)</f>
        <v>6.106686316216342E-4</v>
      </c>
      <c r="DN14" s="3">
        <f>IFERROR(INDEX($B$28:$GQ$28,MATCH(117,$B$29:$GQ$29,0))/SUM($B$28:$GQ$28)*100,0)</f>
        <v>4.8073641284336643E-4</v>
      </c>
      <c r="DO14" s="3">
        <f>IFERROR(INDEX($B$28:$GQ$28,MATCH(118,$B$29:$GQ$29,0))/SUM($B$28:$GQ$28)*100,0)</f>
        <v>3.9080672731268236E-4</v>
      </c>
      <c r="DP14" s="3">
        <f>IFERROR(INDEX($B$28:$GQ$28,MATCH(119,$B$29:$GQ$29,0))/SUM($B$28:$GQ$28)*100,0)</f>
        <v>3.3423576586740183E-4</v>
      </c>
      <c r="DQ14" s="3">
        <f>IFERROR(INDEX($B$28:$GQ$28,MATCH(120,$B$29:$GQ$29,0))/SUM($B$28:$GQ$28)*100,0)</f>
        <v>2.1690055541670171E-4</v>
      </c>
      <c r="DR14" s="3">
        <f>IFERROR(INDEX($B$28:$GQ$28,MATCH(121,$B$29:$GQ$29,0))/SUM($B$28:$GQ$28)*100,0)</f>
        <v>2.0844305328109359E-4</v>
      </c>
      <c r="DS14" s="3">
        <f>IFERROR(INDEX($B$28:$GQ$28,MATCH(122,$B$29:$GQ$29,0))/SUM($B$28:$GQ$28)*100,0)</f>
        <v>1.9485059377935917E-4</v>
      </c>
      <c r="DT14" s="3">
        <f>IFERROR(INDEX($B$28:$GQ$28,MATCH(123,$B$29:$GQ$29,0))/SUM($B$28:$GQ$28)*100,0)</f>
        <v>1.8960638048988766E-4</v>
      </c>
      <c r="DU14" s="3">
        <f>IFERROR(INDEX($B$28:$GQ$28,MATCH(124,$B$29:$GQ$29,0))/SUM($B$28:$GQ$28)*100,0)</f>
        <v>1.5636048477960451E-4</v>
      </c>
      <c r="DV14" s="3">
        <f>IFERROR(INDEX($B$28:$GQ$28,MATCH(125,$B$29:$GQ$29,0))/SUM($B$28:$GQ$28)*100,0)</f>
        <v>7.4815756206083749E-5</v>
      </c>
      <c r="DW14" s="3">
        <f>IFERROR(INDEX($B$28:$GQ$28,MATCH(126,$B$29:$GQ$29,0))/SUM($B$28:$GQ$28)*100,0)</f>
        <v>6.3840641617851553E-5</v>
      </c>
      <c r="DX14" s="3">
        <f>IFERROR(INDEX($B$28:$GQ$28,MATCH(127,$B$29:$GQ$29,0))/SUM($B$28:$GQ$28)*100,0)</f>
        <v>1.4439178307750423E-5</v>
      </c>
      <c r="DY14" s="3">
        <f>IFERROR(INDEX($B$28:$GQ$28,MATCH(128,$B$29:$GQ$29,0))/SUM($B$28:$GQ$28)*100,0)</f>
        <v>8.2000246613766796E-6</v>
      </c>
      <c r="DZ14" s="3">
        <f>IFERROR(INDEX($B$28:$GQ$28,MATCH(129,$B$29:$GQ$29,0))/SUM($B$28:$GQ$28)*100,0)</f>
        <v>3.5877574137762292E-6</v>
      </c>
      <c r="EA14" s="3">
        <f>IFERROR(INDEX($B$28:$GQ$28,MATCH(130,$B$29:$GQ$29,0))/SUM($B$28:$GQ$28)*100,0)</f>
        <v>3.4983203265631713E-6</v>
      </c>
      <c r="EB14" s="3">
        <f>IFERROR(INDEX($B$28:$GQ$28,MATCH(131,$B$29:$GQ$29,0))/SUM($B$28:$GQ$28)*100,0)</f>
        <v>1.0061585921342438E-6</v>
      </c>
      <c r="EC14" s="3">
        <f>IFERROR(INDEX($B$28:$GQ$28,MATCH(132,$B$29:$GQ$29,0))/SUM($B$28:$GQ$28)*100,0)</f>
        <v>9.0765805272873134E-7</v>
      </c>
      <c r="ED14" s="3">
        <f>IFERROR(INDEX($B$28:$GQ$28,MATCH(133,$B$29:$GQ$29,0))/SUM($B$28:$GQ$28)*100,0)</f>
        <v>4.070500270517756E-8</v>
      </c>
      <c r="EE14" s="3">
        <f>IFERROR(INDEX($B$28:$GQ$28,MATCH(134,$B$29:$GQ$29,0))/SUM($B$28:$GQ$28)*100,0)</f>
        <v>0</v>
      </c>
      <c r="EF14" s="3">
        <f>IFERROR(INDEX($B$28:$GQ$28,MATCH(135,$B$29:$GQ$29,0))/SUM($B$28:$GQ$28)*100,0)</f>
        <v>0</v>
      </c>
      <c r="EG14" s="3">
        <f>IFERROR(INDEX($B$28:$GQ$28,MATCH(136,$B$29:$GQ$29,0))/SUM($B$28:$GQ$28)*100,0)</f>
        <v>0</v>
      </c>
      <c r="EH14" s="3">
        <f>IFERROR(INDEX($B$28:$GQ$28,MATCH(137,$B$29:$GQ$29,0))/SUM($B$28:$GQ$28)*100,0)</f>
        <v>0</v>
      </c>
      <c r="EI14" s="3">
        <f>IFERROR(INDEX($B$28:$GQ$28,MATCH(138,$B$29:$GQ$29,0))/SUM($B$28:$GQ$28)*100,0)</f>
        <v>0</v>
      </c>
      <c r="EJ14" s="3">
        <f>IFERROR(INDEX($B$28:$GQ$28,MATCH(139,$B$29:$GQ$29,0))/SUM($B$28:$GQ$28)*100,0)</f>
        <v>0</v>
      </c>
      <c r="EK14" s="3">
        <f>IFERROR(INDEX($B$28:$GQ$28,MATCH(140,$B$29:$GQ$29,0))/SUM($B$28:$GQ$28)*100,0)</f>
        <v>0</v>
      </c>
      <c r="EL14" s="3">
        <f>IFERROR(INDEX($B$28:$GQ$28,MATCH(141,$B$29:$GQ$29,0))/SUM($B$28:$GQ$28)*100,0)</f>
        <v>0</v>
      </c>
      <c r="EM14" s="3">
        <f>IFERROR(INDEX($B$28:$GQ$28,MATCH(142,$B$29:$GQ$29,0))/SUM($B$28:$GQ$28)*100,0)</f>
        <v>0</v>
      </c>
      <c r="EN14" s="3">
        <f>IFERROR(INDEX($B$28:$GQ$28,MATCH(143,$B$29:$GQ$29,0))/SUM($B$28:$GQ$28)*100,0)</f>
        <v>0</v>
      </c>
      <c r="EO14" s="3">
        <f>IFERROR(INDEX($B$28:$GQ$28,MATCH(144,$B$29:$GQ$29,0))/SUM($B$28:$GQ$28)*100,0)</f>
        <v>0</v>
      </c>
      <c r="EP14" s="3">
        <f>IFERROR(INDEX($B$28:$GQ$28,MATCH(145,$B$29:$GQ$29,0))/SUM($B$28:$GQ$28)*100,0)</f>
        <v>0</v>
      </c>
      <c r="EQ14" s="3">
        <f>IFERROR(INDEX($B$28:$GQ$28,MATCH(146,$B$29:$GQ$29,0))/SUM($B$28:$GQ$28)*100,0)</f>
        <v>0</v>
      </c>
      <c r="ER14" s="3">
        <f>IFERROR(INDEX($B$28:$GQ$28,MATCH(147,$B$29:$GQ$29,0))/SUM($B$28:$GQ$28)*100,0)</f>
        <v>0</v>
      </c>
      <c r="ES14" s="3">
        <f>IFERROR(INDEX($B$28:$GQ$28,MATCH(148,$B$29:$GQ$29,0))/SUM($B$28:$GQ$28)*100,0)</f>
        <v>0</v>
      </c>
      <c r="ET14" s="3">
        <f>IFERROR(INDEX($B$28:$GQ$28,MATCH(149,$B$29:$GQ$29,0))/SUM($B$28:$GQ$28)*100,0)</f>
        <v>0</v>
      </c>
      <c r="EU14" s="3">
        <f>IFERROR(INDEX($B$28:$GQ$28,MATCH(150,$B$29:$GQ$29,0))/SUM($B$28:$GQ$28)*100,0)</f>
        <v>0</v>
      </c>
      <c r="EV14" s="3">
        <f>IFERROR(INDEX($B$28:$GQ$28,MATCH(151,$B$29:$GQ$29,0))/SUM($B$28:$GQ$28)*100,0)</f>
        <v>0</v>
      </c>
      <c r="EW14" s="3">
        <f>IFERROR(INDEX($B$28:$GQ$28,MATCH(152,$B$29:$GQ$29,0))/SUM($B$28:$GQ$28)*100,0)</f>
        <v>0</v>
      </c>
      <c r="EX14" s="3">
        <f>IFERROR(INDEX($B$28:$GQ$28,MATCH(153,$B$29:$GQ$29,0))/SUM($B$28:$GQ$28)*100,0)</f>
        <v>0</v>
      </c>
      <c r="EY14" s="3">
        <f>IFERROR(INDEX($B$28:$GQ$28,MATCH(154,$B$29:$GQ$29,0))/SUM($B$28:$GQ$28)*100,0)</f>
        <v>0</v>
      </c>
      <c r="EZ14" s="3">
        <f>IFERROR(INDEX($B$28:$GQ$28,MATCH(155,$B$29:$GQ$29,0))/SUM($B$28:$GQ$28)*100,0)</f>
        <v>0</v>
      </c>
      <c r="FA14" s="3">
        <f>IFERROR(INDEX($B$28:$GQ$28,MATCH(156,$B$29:$GQ$29,0))/SUM($B$28:$GQ$28)*100,0)</f>
        <v>0</v>
      </c>
      <c r="FB14" s="3">
        <f>IFERROR(INDEX($B$28:$GQ$28,MATCH(157,$B$29:$GQ$29,0))/SUM($B$28:$GQ$28)*100,0)</f>
        <v>0</v>
      </c>
      <c r="FC14" s="3">
        <f>IFERROR(INDEX($B$28:$GQ$28,MATCH(158,$B$29:$GQ$29,0))/SUM($B$28:$GQ$28)*100,0)</f>
        <v>0</v>
      </c>
      <c r="FD14" s="3">
        <f>IFERROR(INDEX($B$28:$GQ$28,MATCH(159,$B$29:$GQ$29,0))/SUM($B$28:$GQ$28)*100,0)</f>
        <v>0</v>
      </c>
      <c r="FE14" s="3">
        <f>IFERROR(INDEX($B$28:$GQ$28,MATCH(160,$B$29:$GQ$29,0))/SUM($B$28:$GQ$28)*100,0)</f>
        <v>0</v>
      </c>
      <c r="FF14" s="3">
        <f>IFERROR(INDEX($B$28:$GQ$28,MATCH(161,$B$29:$GQ$29,0))/SUM($B$28:$GQ$28)*100,0)</f>
        <v>0</v>
      </c>
      <c r="FG14" s="3">
        <f>IFERROR(INDEX($B$28:$GQ$28,MATCH(162,$B$29:$GQ$29,0))/SUM($B$28:$GQ$28)*100,0)</f>
        <v>0</v>
      </c>
      <c r="FH14" s="3">
        <f>IFERROR(INDEX($B$28:$GQ$28,MATCH(163,$B$29:$GQ$29,0))/SUM($B$28:$GQ$28)*100,0)</f>
        <v>0</v>
      </c>
      <c r="FI14" s="3">
        <f>IFERROR(INDEX($B$28:$GQ$28,MATCH(164,$B$29:$GQ$29,0))/SUM($B$28:$GQ$28)*100,0)</f>
        <v>0</v>
      </c>
      <c r="FJ14" s="3">
        <f>IFERROR(INDEX($B$28:$GQ$28,MATCH(165,$B$29:$GQ$29,0))/SUM($B$28:$GQ$28)*100,0)</f>
        <v>0</v>
      </c>
      <c r="FK14" s="3">
        <f>IFERROR(INDEX($B$28:$GQ$28,MATCH(166,$B$29:$GQ$29,0))/SUM($B$28:$GQ$28)*100,0)</f>
        <v>0</v>
      </c>
      <c r="FL14" s="3">
        <f>IFERROR(INDEX($B$28:$GQ$28,MATCH(167,$B$29:$GQ$29,0))/SUM($B$28:$GQ$28)*100,0)</f>
        <v>0</v>
      </c>
      <c r="FM14" s="3">
        <f>IFERROR(INDEX($B$28:$GQ$28,MATCH(168,$B$29:$GQ$29,0))/SUM($B$28:$GQ$28)*100,0)</f>
        <v>0</v>
      </c>
      <c r="FN14" s="3">
        <f>IFERROR(INDEX($B$28:$GQ$28,MATCH(169,$B$29:$GQ$29,0))/SUM($B$28:$GQ$28)*100,0)</f>
        <v>0</v>
      </c>
      <c r="FO14" s="3">
        <f>IFERROR(INDEX($B$28:$GQ$28,MATCH(170,$B$29:$GQ$29,0))/SUM($B$28:$GQ$28)*100,0)</f>
        <v>0</v>
      </c>
      <c r="FP14" s="3">
        <f>IFERROR(INDEX($B$28:$GQ$28,MATCH(171,$B$29:$GQ$29,0))/SUM($B$28:$GQ$28)*100,0)</f>
        <v>0</v>
      </c>
      <c r="FQ14" s="3">
        <f>IFERROR(INDEX($B$28:$GQ$28,MATCH(172,$B$29:$GQ$29,0))/SUM($B$28:$GQ$28)*100,0)</f>
        <v>0</v>
      </c>
      <c r="FR14" s="3">
        <f>IFERROR(INDEX($B$28:$GQ$28,MATCH(173,$B$29:$GQ$29,0))/SUM($B$28:$GQ$28)*100,0)</f>
        <v>0</v>
      </c>
      <c r="FS14" s="3">
        <f>IFERROR(INDEX($B$28:$GQ$28,MATCH(174,$B$29:$GQ$29,0))/SUM($B$28:$GQ$28)*100,0)</f>
        <v>0</v>
      </c>
      <c r="FT14" s="3">
        <f>IFERROR(INDEX($B$28:$GQ$28,MATCH(175,$B$29:$GQ$29,0))/SUM($B$28:$GQ$28)*100,0)</f>
        <v>0</v>
      </c>
      <c r="FU14" s="3">
        <f>IFERROR(INDEX($B$28:$GQ$28,MATCH(176,$B$29:$GQ$29,0))/SUM($B$28:$GQ$28)*100,0)</f>
        <v>0</v>
      </c>
      <c r="FV14" s="3">
        <f>IFERROR(INDEX($B$28:$GQ$28,MATCH(177,$B$29:$GQ$29,0))/SUM($B$28:$GQ$28)*100,0)</f>
        <v>0</v>
      </c>
      <c r="FW14" s="3">
        <f>IFERROR(INDEX($B$28:$GQ$28,MATCH(178,$B$29:$GQ$29,0))/SUM($B$28:$GQ$28)*100,0)</f>
        <v>0</v>
      </c>
      <c r="FX14" s="3">
        <f>IFERROR(INDEX($B$28:$GQ$28,MATCH(179,$B$29:$GQ$29,0))/SUM($B$28:$GQ$28)*100,0)</f>
        <v>0</v>
      </c>
      <c r="FY14" s="3">
        <f>IFERROR(INDEX($B$28:$GQ$28,MATCH(180,$B$29:$GQ$29,0))/SUM($B$28:$GQ$28)*100,0)</f>
        <v>0</v>
      </c>
      <c r="FZ14" s="3">
        <f>IFERROR(INDEX($B$28:$GQ$28,MATCH(181,$B$29:$GQ$29,0))/SUM($B$28:$GQ$28)*100,0)</f>
        <v>0</v>
      </c>
      <c r="GA14" s="3">
        <f>IFERROR(INDEX($B$28:$GQ$28,MATCH(182,$B$29:$GQ$29,0))/SUM($B$28:$GQ$28)*100,0)</f>
        <v>0</v>
      </c>
      <c r="GB14" s="3">
        <f>IFERROR(INDEX($B$28:$GQ$28,MATCH(183,$B$29:$GQ$29,0))/SUM($B$28:$GQ$28)*100,0)</f>
        <v>0</v>
      </c>
      <c r="GC14" s="3">
        <f>IFERROR(INDEX($B$28:$GQ$28,MATCH(184,$B$29:$GQ$29,0))/SUM($B$28:$GQ$28)*100,0)</f>
        <v>0</v>
      </c>
      <c r="GD14" s="3">
        <f>IFERROR(INDEX($B$28:$GQ$28,MATCH(185,$B$29:$GQ$29,0))/SUM($B$28:$GQ$28)*100,0)</f>
        <v>0</v>
      </c>
      <c r="GE14" s="3">
        <f>IFERROR(INDEX($B$28:$GQ$28,MATCH(186,$B$29:$GQ$29,0))/SUM($B$28:$GQ$28)*100,0)</f>
        <v>0</v>
      </c>
      <c r="GF14" s="3">
        <f>IFERROR(INDEX($B$28:$GQ$28,MATCH(187,$B$29:$GQ$29,0))/SUM($B$28:$GQ$28)*100,0)</f>
        <v>0</v>
      </c>
      <c r="GG14" s="3">
        <f>IFERROR(INDEX($B$28:$GQ$28,MATCH(188,$B$29:$GQ$29,0))/SUM($B$28:$GQ$28)*100,0)</f>
        <v>0</v>
      </c>
      <c r="GH14" s="3">
        <f>IFERROR(INDEX($B$28:$GQ$28,MATCH(189,$B$29:$GQ$29,0))/SUM($B$28:$GQ$28)*100,0)</f>
        <v>0</v>
      </c>
      <c r="GI14" s="3">
        <f>IFERROR(INDEX($B$28:$GQ$28,MATCH(190,$B$29:$GQ$29,0))/SUM($B$28:$GQ$28)*100,0)</f>
        <v>0</v>
      </c>
      <c r="GJ14" s="3">
        <f>IFERROR(INDEX($B$28:$GQ$28,MATCH(191,$B$29:$GQ$29,0))/SUM($B$28:$GQ$28)*100,0)</f>
        <v>0</v>
      </c>
      <c r="GK14" s="3">
        <f>IFERROR(INDEX($B$28:$GQ$28,MATCH(192,$B$29:$GQ$29,0))/SUM($B$28:$GQ$28)*100,0)</f>
        <v>0</v>
      </c>
      <c r="GL14" s="3">
        <f>IFERROR(INDEX($B$28:$GQ$28,MATCH(193,$B$29:$GQ$29,0))/SUM($B$28:$GQ$28)*100,0)</f>
        <v>0</v>
      </c>
      <c r="GM14" s="3">
        <f>IFERROR(INDEX($B$28:$GQ$28,MATCH(194,$B$29:$GQ$29,0))/SUM($B$28:$GQ$28)*100,0)</f>
        <v>0</v>
      </c>
      <c r="GN14" s="3">
        <f>IFERROR(INDEX($B$28:$GQ$28,MATCH(195,$B$29:$GQ$29,0))/SUM($B$28:$GQ$28)*100,0)</f>
        <v>0</v>
      </c>
      <c r="GO14" s="3">
        <f>IFERROR(INDEX($B$28:$GQ$28,MATCH(196,$B$29:$GQ$29,0))/SUM($B$28:$GQ$28)*100,0)</f>
        <v>0</v>
      </c>
      <c r="GP14" s="3">
        <f>IFERROR(INDEX($B$28:$GQ$28,MATCH(197,$B$29:$GQ$29,0))/SUM($B$28:$GQ$28)*100,0)</f>
        <v>0</v>
      </c>
      <c r="GQ14" s="3">
        <f>IFERROR(INDEX($B$28:$GQ$28,MATCH(198,$B$29:$GQ$29,0))/SUM($B$28:$GQ$28)*100,0)</f>
        <v>0</v>
      </c>
      <c r="GR14" s="3">
        <f>IFERROR(INDEX($GR$28:$HC$28,MATCH(1,$GR$30:$HC$30,0))/SUM($GR$28:$HC$28)*100,0)</f>
        <v>24.464015942247926</v>
      </c>
      <c r="GS14" s="3">
        <f>IFERROR(INDEX($GR$28:$HC$28,MATCH(2,$GR$30:$HC$30,0))/SUM($GR$28:$HC$28)*100,0)</f>
        <v>16.176526334730124</v>
      </c>
      <c r="GT14" s="3">
        <f>IFERROR(INDEX($GR$28:$HC$28,MATCH(3,$GR$30:$HC$30,0))/SUM($GR$28:$HC$28)*100,0)</f>
        <v>13.598504820826202</v>
      </c>
      <c r="GU14" s="3">
        <f>IFERROR(INDEX($GR$28:$HC$28,MATCH(4,$GR$30:$HC$30,0))/SUM($GR$28:$HC$28)*100,0)</f>
        <v>8.0780651854159071</v>
      </c>
      <c r="GV14" s="3">
        <f>IFERROR(INDEX($GR$28:$HC$28,MATCH(5,$GR$30:$HC$30,0))/SUM($GR$28:$HC$28)*100,0)</f>
        <v>7.4927802886236146</v>
      </c>
      <c r="GW14" s="3">
        <f>IFERROR(INDEX($GR$28:$HC$28,MATCH(6,$GR$30:$HC$30,0))/SUM($GR$28:$HC$28)*100,0)</f>
        <v>6.5604228803130189</v>
      </c>
      <c r="GX14" s="3">
        <f>IFERROR(INDEX($GR$28:$HC$28,MATCH(7,$GR$30:$HC$30,0))/SUM($GR$28:$HC$28)*100,0)</f>
        <v>5.8771815791964057</v>
      </c>
      <c r="GY14" s="3">
        <f>IFERROR(INDEX($GR$28:$HC$28,MATCH(8,$GR$30:$HC$30,0))/SUM($GR$28:$HC$28)*100,0)</f>
        <v>5.7444050665986657</v>
      </c>
      <c r="GZ14" s="3">
        <f>IFERROR(INDEX($GR$28:$HC$28,MATCH(9,$GR$30:$HC$30,0))/SUM($GR$28:$HC$28)*100,0)</f>
        <v>3.2417444494217311</v>
      </c>
      <c r="HA14" s="3">
        <f>IFERROR(INDEX($GR$28:$HC$28,MATCH(10,$GR$30:$HC$30,0))/SUM($GR$28:$HC$28)*100,0)</f>
        <v>3.1113326010091158</v>
      </c>
      <c r="HB14" s="3">
        <f>IFERROR(INDEX($GR$28:$HC$28,MATCH(11,$GR$30:$HC$30,0))/SUM($GR$28:$HC$28)*100,0)</f>
        <v>3.0711835703823378</v>
      </c>
      <c r="HC14" s="3">
        <f>IFERROR(INDEX($GR$28:$HC$28,MATCH(12,$GR$30:$HC$30,0))/SUM($GR$28:$HC$28)*100,0)</f>
        <v>2.5838372812349495</v>
      </c>
    </row>
    <row r="16" spans="1:211" x14ac:dyDescent="0.45">
      <c r="A16" s="1" t="s">
        <v>12</v>
      </c>
    </row>
    <row r="17" spans="1:211" x14ac:dyDescent="0.45">
      <c r="A17" s="1" t="s">
        <v>225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19</v>
      </c>
      <c r="I17" s="1" t="s">
        <v>20</v>
      </c>
      <c r="J17" s="1" t="s">
        <v>21</v>
      </c>
      <c r="K17" s="1" t="s">
        <v>22</v>
      </c>
      <c r="L17" s="1" t="s">
        <v>23</v>
      </c>
      <c r="M17" s="1" t="s">
        <v>24</v>
      </c>
      <c r="N17" s="1" t="s">
        <v>25</v>
      </c>
      <c r="O17" s="1" t="s">
        <v>26</v>
      </c>
      <c r="P17" s="1" t="s">
        <v>27</v>
      </c>
      <c r="Q17" s="1" t="s">
        <v>28</v>
      </c>
      <c r="R17" s="1" t="s">
        <v>29</v>
      </c>
      <c r="S17" s="1" t="s">
        <v>30</v>
      </c>
      <c r="T17" s="1" t="s">
        <v>31</v>
      </c>
      <c r="U17" s="1" t="s">
        <v>32</v>
      </c>
      <c r="V17" s="1" t="s">
        <v>33</v>
      </c>
      <c r="W17" s="1" t="s">
        <v>34</v>
      </c>
      <c r="X17" s="1" t="s">
        <v>35</v>
      </c>
      <c r="Y17" s="1" t="s">
        <v>36</v>
      </c>
      <c r="Z17" s="1" t="s">
        <v>37</v>
      </c>
      <c r="AA17" s="1" t="s">
        <v>38</v>
      </c>
      <c r="AB17" s="1" t="s">
        <v>39</v>
      </c>
      <c r="AC17" s="1" t="s">
        <v>40</v>
      </c>
      <c r="AD17" s="1" t="s">
        <v>41</v>
      </c>
      <c r="AE17" s="1" t="s">
        <v>42</v>
      </c>
      <c r="AF17" s="1" t="s">
        <v>43</v>
      </c>
      <c r="AG17" s="1" t="s">
        <v>44</v>
      </c>
      <c r="AH17" s="1" t="s">
        <v>45</v>
      </c>
      <c r="AI17" s="1" t="s">
        <v>46</v>
      </c>
      <c r="AJ17" s="1" t="s">
        <v>47</v>
      </c>
      <c r="AK17" s="1" t="s">
        <v>48</v>
      </c>
      <c r="AL17" s="1" t="s">
        <v>49</v>
      </c>
      <c r="AM17" s="1" t="s">
        <v>50</v>
      </c>
      <c r="AN17" s="1" t="s">
        <v>51</v>
      </c>
      <c r="AO17" s="1" t="s">
        <v>52</v>
      </c>
      <c r="AP17" s="1" t="s">
        <v>53</v>
      </c>
      <c r="AQ17" s="1" t="s">
        <v>54</v>
      </c>
      <c r="AR17" s="1" t="s">
        <v>55</v>
      </c>
      <c r="AS17" s="1" t="s">
        <v>56</v>
      </c>
      <c r="AT17" s="1" t="s">
        <v>57</v>
      </c>
      <c r="AU17" s="1" t="s">
        <v>58</v>
      </c>
      <c r="AV17" s="1" t="s">
        <v>59</v>
      </c>
      <c r="AW17" s="1" t="s">
        <v>60</v>
      </c>
      <c r="AX17" s="1" t="s">
        <v>61</v>
      </c>
      <c r="AY17" s="1" t="s">
        <v>62</v>
      </c>
      <c r="AZ17" s="1" t="s">
        <v>63</v>
      </c>
      <c r="BA17" s="1" t="s">
        <v>64</v>
      </c>
      <c r="BB17" s="1" t="s">
        <v>65</v>
      </c>
      <c r="BC17" s="1" t="s">
        <v>66</v>
      </c>
      <c r="BD17" s="1" t="s">
        <v>67</v>
      </c>
      <c r="BE17" s="1" t="s">
        <v>68</v>
      </c>
      <c r="BF17" s="1" t="s">
        <v>69</v>
      </c>
      <c r="BG17" s="1" t="s">
        <v>70</v>
      </c>
      <c r="BH17" s="1" t="s">
        <v>71</v>
      </c>
      <c r="BI17" s="1" t="s">
        <v>72</v>
      </c>
      <c r="BJ17" s="1" t="s">
        <v>73</v>
      </c>
      <c r="BK17" s="1" t="s">
        <v>74</v>
      </c>
      <c r="BL17" s="1" t="s">
        <v>75</v>
      </c>
      <c r="BM17" s="1" t="s">
        <v>76</v>
      </c>
      <c r="BN17" s="1" t="s">
        <v>77</v>
      </c>
      <c r="BO17" s="1" t="s">
        <v>78</v>
      </c>
      <c r="BP17" s="1" t="s">
        <v>79</v>
      </c>
      <c r="BQ17" s="1" t="s">
        <v>80</v>
      </c>
      <c r="BR17" s="1" t="s">
        <v>81</v>
      </c>
      <c r="BS17" s="1" t="s">
        <v>82</v>
      </c>
      <c r="BT17" s="1" t="s">
        <v>83</v>
      </c>
      <c r="BU17" s="1" t="s">
        <v>84</v>
      </c>
      <c r="BV17" s="1" t="s">
        <v>85</v>
      </c>
      <c r="BW17" s="1" t="s">
        <v>86</v>
      </c>
      <c r="BX17" s="1" t="s">
        <v>87</v>
      </c>
      <c r="BY17" s="1" t="s">
        <v>88</v>
      </c>
      <c r="BZ17" s="1" t="s">
        <v>89</v>
      </c>
      <c r="CA17" s="1" t="s">
        <v>90</v>
      </c>
      <c r="CB17" s="1" t="s">
        <v>91</v>
      </c>
      <c r="CC17" s="1" t="s">
        <v>92</v>
      </c>
      <c r="CD17" s="1" t="s">
        <v>93</v>
      </c>
      <c r="CE17" s="1" t="s">
        <v>94</v>
      </c>
      <c r="CF17" s="1" t="s">
        <v>95</v>
      </c>
      <c r="CG17" s="1" t="s">
        <v>96</v>
      </c>
      <c r="CH17" s="1" t="s">
        <v>97</v>
      </c>
      <c r="CI17" s="1" t="s">
        <v>98</v>
      </c>
      <c r="CJ17" s="1" t="s">
        <v>99</v>
      </c>
      <c r="CK17" s="1" t="s">
        <v>100</v>
      </c>
      <c r="CL17" s="1" t="s">
        <v>101</v>
      </c>
      <c r="CM17" s="1" t="s">
        <v>102</v>
      </c>
      <c r="CN17" s="1" t="s">
        <v>103</v>
      </c>
      <c r="CO17" s="1" t="s">
        <v>104</v>
      </c>
      <c r="CP17" s="1" t="s">
        <v>105</v>
      </c>
      <c r="CQ17" s="1" t="s">
        <v>106</v>
      </c>
      <c r="CR17" s="1" t="s">
        <v>107</v>
      </c>
      <c r="CS17" s="1" t="s">
        <v>108</v>
      </c>
      <c r="CT17" s="1" t="s">
        <v>109</v>
      </c>
      <c r="CU17" s="1" t="s">
        <v>110</v>
      </c>
      <c r="CV17" s="1" t="s">
        <v>111</v>
      </c>
      <c r="CW17" s="1" t="s">
        <v>112</v>
      </c>
      <c r="CX17" s="1" t="s">
        <v>113</v>
      </c>
      <c r="CY17" s="1" t="s">
        <v>114</v>
      </c>
      <c r="CZ17" s="1" t="s">
        <v>115</v>
      </c>
      <c r="DA17" s="1" t="s">
        <v>116</v>
      </c>
      <c r="DB17" s="1" t="s">
        <v>117</v>
      </c>
      <c r="DC17" s="1" t="s">
        <v>118</v>
      </c>
      <c r="DD17" s="1" t="s">
        <v>119</v>
      </c>
      <c r="DE17" s="1" t="s">
        <v>120</v>
      </c>
      <c r="DF17" s="1" t="s">
        <v>121</v>
      </c>
      <c r="DG17" s="1" t="s">
        <v>122</v>
      </c>
      <c r="DH17" s="1" t="s">
        <v>123</v>
      </c>
      <c r="DI17" s="1" t="s">
        <v>124</v>
      </c>
      <c r="DJ17" s="1" t="s">
        <v>125</v>
      </c>
      <c r="DK17" s="1" t="s">
        <v>126</v>
      </c>
      <c r="DL17" s="1" t="s">
        <v>127</v>
      </c>
      <c r="DM17" s="1" t="s">
        <v>128</v>
      </c>
      <c r="DN17" s="1" t="s">
        <v>129</v>
      </c>
      <c r="DO17" s="1" t="s">
        <v>130</v>
      </c>
      <c r="DP17" s="1" t="s">
        <v>131</v>
      </c>
      <c r="DQ17" s="1" t="s">
        <v>132</v>
      </c>
      <c r="DR17" s="1" t="s">
        <v>133</v>
      </c>
      <c r="DS17" s="1" t="s">
        <v>134</v>
      </c>
      <c r="DT17" s="1" t="s">
        <v>135</v>
      </c>
      <c r="DU17" s="1" t="s">
        <v>136</v>
      </c>
      <c r="DV17" s="1" t="s">
        <v>137</v>
      </c>
      <c r="DW17" s="1" t="s">
        <v>138</v>
      </c>
      <c r="DX17" s="1" t="s">
        <v>139</v>
      </c>
      <c r="DY17" s="1" t="s">
        <v>140</v>
      </c>
      <c r="DZ17" s="1" t="s">
        <v>141</v>
      </c>
      <c r="EA17" s="1" t="s">
        <v>142</v>
      </c>
      <c r="EB17" s="1" t="s">
        <v>143</v>
      </c>
      <c r="EC17" s="1" t="s">
        <v>144</v>
      </c>
      <c r="ED17" s="1" t="s">
        <v>145</v>
      </c>
      <c r="EE17" s="1" t="s">
        <v>146</v>
      </c>
      <c r="EF17" s="1" t="s">
        <v>147</v>
      </c>
      <c r="EG17" s="1" t="s">
        <v>148</v>
      </c>
      <c r="EH17" s="1" t="s">
        <v>149</v>
      </c>
      <c r="EI17" s="1" t="s">
        <v>150</v>
      </c>
      <c r="EJ17" s="1" t="s">
        <v>151</v>
      </c>
      <c r="EK17" s="1" t="s">
        <v>152</v>
      </c>
      <c r="EL17" s="1" t="s">
        <v>153</v>
      </c>
      <c r="EM17" s="1" t="s">
        <v>154</v>
      </c>
      <c r="EN17" s="1" t="s">
        <v>155</v>
      </c>
      <c r="EO17" s="1" t="s">
        <v>156</v>
      </c>
      <c r="EP17" s="1" t="s">
        <v>157</v>
      </c>
      <c r="EQ17" s="1" t="s">
        <v>158</v>
      </c>
      <c r="ER17" s="1" t="s">
        <v>159</v>
      </c>
      <c r="ES17" s="1" t="s">
        <v>160</v>
      </c>
      <c r="ET17" s="1" t="s">
        <v>161</v>
      </c>
      <c r="EU17" s="1" t="s">
        <v>162</v>
      </c>
      <c r="EV17" s="1" t="s">
        <v>163</v>
      </c>
      <c r="EW17" s="1" t="s">
        <v>164</v>
      </c>
      <c r="EX17" s="1" t="s">
        <v>165</v>
      </c>
      <c r="EY17" s="1" t="s">
        <v>166</v>
      </c>
      <c r="EZ17" s="1" t="s">
        <v>167</v>
      </c>
      <c r="FA17" s="1" t="s">
        <v>168</v>
      </c>
      <c r="FB17" s="1" t="s">
        <v>169</v>
      </c>
      <c r="FC17" s="1" t="s">
        <v>170</v>
      </c>
      <c r="FD17" s="1" t="s">
        <v>171</v>
      </c>
      <c r="FE17" s="1" t="s">
        <v>172</v>
      </c>
      <c r="FF17" s="1" t="s">
        <v>173</v>
      </c>
      <c r="FG17" s="1" t="s">
        <v>174</v>
      </c>
      <c r="FH17" s="1" t="s">
        <v>175</v>
      </c>
      <c r="FI17" s="1" t="s">
        <v>176</v>
      </c>
      <c r="FJ17" s="1" t="s">
        <v>177</v>
      </c>
      <c r="FK17" s="1" t="s">
        <v>178</v>
      </c>
      <c r="FL17" s="1" t="s">
        <v>179</v>
      </c>
      <c r="FM17" s="1" t="s">
        <v>180</v>
      </c>
      <c r="FN17" s="1" t="s">
        <v>181</v>
      </c>
      <c r="FO17" s="1" t="s">
        <v>182</v>
      </c>
      <c r="FP17" s="1" t="s">
        <v>183</v>
      </c>
      <c r="FQ17" s="1" t="s">
        <v>184</v>
      </c>
      <c r="FR17" s="1" t="s">
        <v>185</v>
      </c>
      <c r="FS17" s="1" t="s">
        <v>186</v>
      </c>
      <c r="FT17" s="1" t="s">
        <v>187</v>
      </c>
      <c r="FU17" s="1" t="s">
        <v>188</v>
      </c>
      <c r="FV17" s="1" t="s">
        <v>189</v>
      </c>
      <c r="FW17" s="1" t="s">
        <v>190</v>
      </c>
      <c r="FX17" s="1" t="s">
        <v>191</v>
      </c>
      <c r="FY17" s="1" t="s">
        <v>192</v>
      </c>
      <c r="FZ17" s="1" t="s">
        <v>193</v>
      </c>
      <c r="GA17" s="1" t="s">
        <v>194</v>
      </c>
      <c r="GB17" s="1" t="s">
        <v>195</v>
      </c>
      <c r="GC17" s="1" t="s">
        <v>196</v>
      </c>
      <c r="GD17" s="1" t="s">
        <v>197</v>
      </c>
      <c r="GE17" s="1" t="s">
        <v>198</v>
      </c>
      <c r="GF17" s="1" t="s">
        <v>199</v>
      </c>
      <c r="GG17" s="1" t="s">
        <v>200</v>
      </c>
      <c r="GH17" s="1" t="s">
        <v>201</v>
      </c>
      <c r="GI17" s="1" t="s">
        <v>202</v>
      </c>
      <c r="GJ17" s="1" t="s">
        <v>203</v>
      </c>
      <c r="GK17" s="1" t="s">
        <v>204</v>
      </c>
      <c r="GL17" s="1" t="s">
        <v>205</v>
      </c>
      <c r="GM17" s="1" t="s">
        <v>206</v>
      </c>
      <c r="GN17" s="1" t="s">
        <v>207</v>
      </c>
      <c r="GO17" s="1" t="s">
        <v>208</v>
      </c>
      <c r="GP17" s="1" t="s">
        <v>209</v>
      </c>
      <c r="GQ17" s="1" t="s">
        <v>210</v>
      </c>
      <c r="GR17" s="1" t="s">
        <v>211</v>
      </c>
      <c r="GS17" s="1" t="s">
        <v>21</v>
      </c>
      <c r="GT17" s="1" t="s">
        <v>212</v>
      </c>
      <c r="GU17" s="1" t="s">
        <v>213</v>
      </c>
      <c r="GV17" s="1" t="s">
        <v>60</v>
      </c>
      <c r="GW17" s="1" t="s">
        <v>214</v>
      </c>
      <c r="GX17" s="1" t="s">
        <v>215</v>
      </c>
      <c r="GY17" s="1" t="s">
        <v>216</v>
      </c>
      <c r="GZ17" s="1" t="s">
        <v>217</v>
      </c>
      <c r="HA17" s="1" t="s">
        <v>218</v>
      </c>
      <c r="HB17" s="1" t="s">
        <v>219</v>
      </c>
      <c r="HC17" s="1" t="s">
        <v>220</v>
      </c>
    </row>
    <row r="18" spans="1:211" x14ac:dyDescent="0.45">
      <c r="A18" s="1" t="s">
        <v>3</v>
      </c>
      <c r="B18">
        <v>2.6648763588897348E-3</v>
      </c>
      <c r="C18">
        <v>1.6541826059354599E-3</v>
      </c>
      <c r="D18">
        <v>1.08628554756109E-3</v>
      </c>
      <c r="E18">
        <v>6.9506398818430116E-3</v>
      </c>
      <c r="F18">
        <v>2.7420083257974391E-3</v>
      </c>
      <c r="G18">
        <v>1.5195012512501019E-4</v>
      </c>
      <c r="H18">
        <v>1.2718301353939071E-3</v>
      </c>
      <c r="I18">
        <v>2.6544512798406248E-4</v>
      </c>
      <c r="J18">
        <v>3.947949030816196E-2</v>
      </c>
      <c r="K18">
        <v>1.6458150596952971E-2</v>
      </c>
      <c r="L18">
        <v>1.400316401424042E-2</v>
      </c>
      <c r="M18">
        <v>2.1621970697855701E-2</v>
      </c>
      <c r="N18">
        <v>3.242408450216782E-2</v>
      </c>
      <c r="O18">
        <v>3.098015328101536E-2</v>
      </c>
      <c r="P18">
        <v>1.468179816441623E-2</v>
      </c>
      <c r="Q18">
        <v>0</v>
      </c>
      <c r="R18">
        <v>0</v>
      </c>
      <c r="S18">
        <v>1.541640966322314E-3</v>
      </c>
      <c r="T18">
        <v>2.413025744047562E-2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5.6890621410482858E-3</v>
      </c>
      <c r="AD18">
        <v>8.646089589359518E-2</v>
      </c>
      <c r="AE18">
        <v>4.2666830431556499E-4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6.6206978170191202E-4</v>
      </c>
      <c r="AO18">
        <v>5.5379710088123162E-4</v>
      </c>
      <c r="AP18">
        <v>1.570808187531631E-5</v>
      </c>
      <c r="AQ18">
        <v>3.4882573802196909E-4</v>
      </c>
      <c r="AR18">
        <v>1.8808786740729909E-2</v>
      </c>
      <c r="AS18">
        <v>7.0202975565978416E-3</v>
      </c>
      <c r="AT18">
        <v>9.7225207984697609E-3</v>
      </c>
      <c r="AU18">
        <v>1.6063867667062151E-2</v>
      </c>
      <c r="AV18">
        <v>7.1058517603726336E-3</v>
      </c>
      <c r="AW18">
        <v>1.270533454436353E-2</v>
      </c>
      <c r="AX18">
        <v>1.4561650999263191E-3</v>
      </c>
      <c r="AY18">
        <v>3.4347232445019358E-3</v>
      </c>
      <c r="AZ18">
        <v>1.217139475052278E-2</v>
      </c>
      <c r="BA18">
        <v>9.7694251371234636E-3</v>
      </c>
      <c r="BB18">
        <v>1.195780283320063E-2</v>
      </c>
      <c r="BC18">
        <v>2.5985127037466038E-3</v>
      </c>
      <c r="BD18">
        <v>5.4158943309958567E-3</v>
      </c>
      <c r="BE18">
        <v>3.1189156220116001E-3</v>
      </c>
      <c r="BF18">
        <v>5.6687198859695373E-3</v>
      </c>
      <c r="BG18">
        <v>2.485264077689888E-3</v>
      </c>
      <c r="BH18">
        <v>1.9055175464224861E-3</v>
      </c>
      <c r="BI18">
        <v>2.1422509499777662E-3</v>
      </c>
      <c r="BJ18">
        <v>2.0260887364259498E-3</v>
      </c>
      <c r="BK18">
        <v>4.7740478253850286E-3</v>
      </c>
      <c r="BL18">
        <v>1.789867526915667E-3</v>
      </c>
      <c r="BM18">
        <v>1.55940498152596E-4</v>
      </c>
      <c r="BN18">
        <v>0</v>
      </c>
      <c r="BO18">
        <v>3.4962506375163511E-3</v>
      </c>
      <c r="BP18">
        <v>8.3221519747118475E-3</v>
      </c>
      <c r="BQ18">
        <v>0</v>
      </c>
      <c r="BR18">
        <v>0</v>
      </c>
      <c r="BS18">
        <v>2.1449869200731659E-3</v>
      </c>
      <c r="BT18">
        <v>0</v>
      </c>
      <c r="BU18">
        <v>3.7109843680179209E-3</v>
      </c>
      <c r="BV18">
        <v>1.2805518741468981E-3</v>
      </c>
      <c r="BW18">
        <v>1.092291120578391E-5</v>
      </c>
      <c r="BX18">
        <v>2.1742671171458209E-3</v>
      </c>
      <c r="BY18">
        <v>2.084897781482175E-3</v>
      </c>
      <c r="BZ18">
        <v>0</v>
      </c>
      <c r="CA18">
        <v>1.145275605147002E-3</v>
      </c>
      <c r="CB18">
        <v>2.343826719594697E-3</v>
      </c>
      <c r="CC18">
        <v>3.9617287910940586E-3</v>
      </c>
      <c r="CD18">
        <v>4.3334304902413988E-4</v>
      </c>
      <c r="CE18">
        <v>4.8281122311862908E-4</v>
      </c>
      <c r="CF18">
        <v>7.2634363808385979E-4</v>
      </c>
      <c r="CG18">
        <v>4.6225379569752928E-4</v>
      </c>
      <c r="CH18">
        <v>1.27003318856124E-5</v>
      </c>
      <c r="CI18">
        <v>3.562284486416305E-3</v>
      </c>
      <c r="CJ18">
        <v>3.1433095819681628E-3</v>
      </c>
      <c r="CK18">
        <v>1.141261497208041E-3</v>
      </c>
      <c r="CL18">
        <v>1.8916319052249069E-3</v>
      </c>
      <c r="CM18">
        <v>4.2194792752880024E-3</v>
      </c>
      <c r="CN18">
        <v>0</v>
      </c>
      <c r="CO18">
        <v>9.126306263259542E-4</v>
      </c>
      <c r="CP18">
        <v>1.726406832391841E-3</v>
      </c>
      <c r="CQ18">
        <v>7.1612193429211341E-4</v>
      </c>
      <c r="CR18">
        <v>0</v>
      </c>
      <c r="CS18">
        <v>2.1585354408848261E-3</v>
      </c>
      <c r="CT18">
        <v>1.729482391244781E-3</v>
      </c>
      <c r="CU18">
        <v>2.3539556379565721E-3</v>
      </c>
      <c r="CV18">
        <v>1.885804351305367E-3</v>
      </c>
      <c r="CW18">
        <v>1.837567022539783E-3</v>
      </c>
      <c r="CX18">
        <v>1.578493797857519E-3</v>
      </c>
      <c r="CY18">
        <v>2.2960796511431129E-3</v>
      </c>
      <c r="CZ18">
        <v>2.4879818631716719E-3</v>
      </c>
      <c r="DA18">
        <v>2.1162773680316058E-3</v>
      </c>
      <c r="DB18">
        <v>3.4329414791366961E-3</v>
      </c>
      <c r="DC18">
        <v>0</v>
      </c>
      <c r="DD18">
        <v>3.1232507357359688E-3</v>
      </c>
      <c r="DE18">
        <v>3.0464066764519329E-3</v>
      </c>
      <c r="DF18">
        <v>4.1772396262115836E-3</v>
      </c>
      <c r="DG18">
        <v>5.0859510096835127E-3</v>
      </c>
      <c r="DH18">
        <v>3.9904927564874118E-3</v>
      </c>
      <c r="DI18">
        <v>0</v>
      </c>
      <c r="DJ18">
        <v>3.3662341830919739E-3</v>
      </c>
      <c r="DK18">
        <v>0</v>
      </c>
      <c r="DL18">
        <v>2.3993813791640681E-3</v>
      </c>
      <c r="DM18">
        <v>2.4542197685356489E-3</v>
      </c>
      <c r="DN18">
        <v>2.3257939301966168E-3</v>
      </c>
      <c r="DO18">
        <v>2.4393015031832438E-3</v>
      </c>
      <c r="DP18">
        <v>2.16077695809026E-3</v>
      </c>
      <c r="DQ18">
        <v>2.2004641347070941E-3</v>
      </c>
      <c r="DR18">
        <v>1.6525301199127511E-3</v>
      </c>
      <c r="DS18">
        <v>2.7672618568921259E-3</v>
      </c>
      <c r="DT18">
        <v>2.2244115437708742E-3</v>
      </c>
      <c r="DU18">
        <v>2.3837460207045062E-3</v>
      </c>
      <c r="DV18">
        <v>0</v>
      </c>
      <c r="DW18">
        <v>0</v>
      </c>
      <c r="DX18">
        <v>1.093749763187034E-2</v>
      </c>
      <c r="DY18">
        <v>2.362880363654308E-3</v>
      </c>
      <c r="DZ18">
        <v>1.875601666230523E-3</v>
      </c>
      <c r="EA18">
        <v>2.325823795040329E-3</v>
      </c>
      <c r="EB18">
        <v>9.5811447529266865E-4</v>
      </c>
      <c r="EC18">
        <v>9.5400834292084027E-3</v>
      </c>
      <c r="ED18">
        <v>1.8850112353233041E-3</v>
      </c>
      <c r="EE18">
        <v>2.1443782059508531E-4</v>
      </c>
      <c r="EF18">
        <v>0</v>
      </c>
      <c r="EG18">
        <v>2.7961132896252229E-3</v>
      </c>
      <c r="EH18">
        <v>0</v>
      </c>
      <c r="EI18">
        <v>0</v>
      </c>
      <c r="EJ18">
        <v>9.6286870149418151E-4</v>
      </c>
      <c r="EK18">
        <v>9.1767205178947822E-4</v>
      </c>
      <c r="EL18">
        <v>2.3770649885491689E-4</v>
      </c>
      <c r="EM18">
        <v>4.874587233665493E-4</v>
      </c>
      <c r="EN18">
        <v>4.2540104595836288E-11</v>
      </c>
      <c r="EO18">
        <v>0</v>
      </c>
      <c r="EP18">
        <v>1.011014623964139E-3</v>
      </c>
      <c r="EQ18">
        <v>2.1802185906662089E-3</v>
      </c>
      <c r="ER18">
        <v>9.2146355626794556E-3</v>
      </c>
      <c r="ES18">
        <v>1.3569692783646249E-3</v>
      </c>
      <c r="ET18">
        <v>1.8734190928365771E-3</v>
      </c>
      <c r="EU18">
        <v>0</v>
      </c>
      <c r="EV18">
        <v>6.2145670467201241E-4</v>
      </c>
      <c r="EW18">
        <v>1.4711349187973869E-3</v>
      </c>
      <c r="EX18">
        <v>8.1247621736066583E-4</v>
      </c>
      <c r="EY18">
        <v>9.3664701245265737E-4</v>
      </c>
      <c r="EZ18">
        <v>2.7173541302136319E-3</v>
      </c>
      <c r="FA18">
        <v>1.7652703158731399E-3</v>
      </c>
      <c r="FB18">
        <v>1.325119187609464E-3</v>
      </c>
      <c r="FC18">
        <v>4.1009676148304622E-3</v>
      </c>
      <c r="FD18">
        <v>7.9402037354143508E-3</v>
      </c>
      <c r="FE18">
        <v>1.425995210814048E-2</v>
      </c>
      <c r="FF18">
        <v>3.8057941064595911E-3</v>
      </c>
      <c r="FG18">
        <v>1.331144754307799E-3</v>
      </c>
      <c r="FH18">
        <v>1.022448264043117E-3</v>
      </c>
      <c r="FI18">
        <v>1.429583759293498E-3</v>
      </c>
      <c r="FJ18">
        <v>1.643974664511019E-3</v>
      </c>
      <c r="FK18">
        <v>2.0489890958752068E-3</v>
      </c>
      <c r="FL18">
        <v>1.2448809519580251E-3</v>
      </c>
      <c r="FM18">
        <v>1.3548878771244639E-3</v>
      </c>
      <c r="FN18">
        <v>1.3769328862979231E-3</v>
      </c>
      <c r="FO18">
        <v>4.3556704009729951E-3</v>
      </c>
      <c r="FP18">
        <v>1.276331941023385E-3</v>
      </c>
      <c r="FQ18">
        <v>1.607748772694416E-3</v>
      </c>
      <c r="FR18">
        <v>1.0801043037492119E-3</v>
      </c>
      <c r="FS18">
        <v>1.111331431886019E-3</v>
      </c>
      <c r="FT18">
        <v>1.3105725554927469E-3</v>
      </c>
      <c r="FU18">
        <v>1.321888333322865E-3</v>
      </c>
      <c r="FV18">
        <v>1.44735037098832E-3</v>
      </c>
      <c r="FW18">
        <v>1.347157616417559E-3</v>
      </c>
      <c r="FX18">
        <v>1.313532039428077E-3</v>
      </c>
      <c r="FY18">
        <v>1.3588969750517961E-3</v>
      </c>
      <c r="FZ18">
        <v>1.2740909433971361E-3</v>
      </c>
      <c r="GA18">
        <v>1.1947098866292791E-3</v>
      </c>
      <c r="GB18">
        <v>1.153003124257279E-3</v>
      </c>
      <c r="GC18">
        <v>1.373191262746468E-3</v>
      </c>
      <c r="GD18">
        <v>1.3321126761405759E-3</v>
      </c>
      <c r="GE18">
        <v>1.01673990768755E-2</v>
      </c>
      <c r="GF18">
        <v>1.5675057593587519E-3</v>
      </c>
      <c r="GG18">
        <v>1.6198869429561421E-3</v>
      </c>
      <c r="GH18">
        <v>1.538358081523566E-3</v>
      </c>
      <c r="GI18">
        <v>1.4899996731355741E-3</v>
      </c>
      <c r="GJ18">
        <v>1.7180871738990721E-3</v>
      </c>
      <c r="GK18">
        <v>1.288764923159366E-3</v>
      </c>
      <c r="GL18">
        <v>1.502160117714963E-3</v>
      </c>
      <c r="GM18">
        <v>1.3662841963145099E-3</v>
      </c>
      <c r="GN18">
        <v>1.8883065436050761E-3</v>
      </c>
      <c r="GO18">
        <v>2.3072882530133839E-3</v>
      </c>
      <c r="GP18">
        <v>2.6539336455774932E-3</v>
      </c>
      <c r="GQ18">
        <v>0</v>
      </c>
      <c r="GR18">
        <v>6.9510458760091206E-3</v>
      </c>
      <c r="GS18">
        <v>1.8808786740729909E-2</v>
      </c>
      <c r="GT18">
        <v>1.394599777962304E-2</v>
      </c>
      <c r="GU18">
        <v>1.331872143645281E-2</v>
      </c>
      <c r="GV18">
        <v>1.299656568573484E-2</v>
      </c>
      <c r="GW18">
        <v>1.090395846112651E-2</v>
      </c>
      <c r="GX18">
        <v>1.6867002870050449E-3</v>
      </c>
      <c r="GY18">
        <v>2.729546819647041E-3</v>
      </c>
      <c r="GZ18">
        <v>4.0830050244570187E-3</v>
      </c>
      <c r="HA18">
        <v>2.849903264649093E-3</v>
      </c>
      <c r="HB18">
        <v>2.7173541302136319E-3</v>
      </c>
      <c r="HC18">
        <v>1.4012202425833121E-3</v>
      </c>
    </row>
    <row r="19" spans="1:211" x14ac:dyDescent="0.45">
      <c r="A19" s="1" t="s">
        <v>4</v>
      </c>
      <c r="B19">
        <v>2.4222793764983099</v>
      </c>
      <c r="C19">
        <v>2.7524140007376299E-3</v>
      </c>
      <c r="D19">
        <v>4.2116380997074751E-2</v>
      </c>
      <c r="E19">
        <v>1.234526811096269E-2</v>
      </c>
      <c r="F19">
        <v>2.5801520281541611E-2</v>
      </c>
      <c r="G19">
        <v>1.3551931768308149E-3</v>
      </c>
      <c r="H19">
        <v>4.1228438079267078E-2</v>
      </c>
      <c r="I19">
        <v>3.8814846163342481E-3</v>
      </c>
      <c r="J19">
        <v>9.8252277382161093E-2</v>
      </c>
      <c r="K19">
        <v>3.6881984584527787E-2</v>
      </c>
      <c r="L19">
        <v>2.0322879803886331E-2</v>
      </c>
      <c r="M19">
        <v>2.555488337831888E-2</v>
      </c>
      <c r="N19">
        <v>2.9232514726646699E-2</v>
      </c>
      <c r="O19">
        <v>3.6253457991708517E-2</v>
      </c>
      <c r="P19">
        <v>4.1039916409251077E-3</v>
      </c>
      <c r="Q19">
        <v>0</v>
      </c>
      <c r="R19">
        <v>0</v>
      </c>
      <c r="S19">
        <v>7.2248615920604293E-4</v>
      </c>
      <c r="T19">
        <v>4.4857609664669378E-3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9.0346722678967523E-5</v>
      </c>
      <c r="AD19">
        <v>1.3501796864790849E-3</v>
      </c>
      <c r="AE19">
        <v>6.6634937843997387E-6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7.327556890458557E-7</v>
      </c>
      <c r="AO19">
        <v>7.9679431036980232E-5</v>
      </c>
      <c r="AP19">
        <v>2.3233715986949229E-6</v>
      </c>
      <c r="AQ19">
        <v>4.7602314734739589E-5</v>
      </c>
      <c r="AR19">
        <v>3.9129674109826082E-2</v>
      </c>
      <c r="AS19">
        <v>1.087403116834253E-2</v>
      </c>
      <c r="AT19">
        <v>5.8364085995432522E-3</v>
      </c>
      <c r="AU19">
        <v>7.2383169954463528E-3</v>
      </c>
      <c r="AV19">
        <v>2.2518643526033201E-2</v>
      </c>
      <c r="AW19">
        <v>1.231884629023784E-2</v>
      </c>
      <c r="AX19">
        <v>3.581956571377169E-3</v>
      </c>
      <c r="AY19">
        <v>1.384392548323978E-2</v>
      </c>
      <c r="AZ19">
        <v>1.197568644668176E-2</v>
      </c>
      <c r="BA19">
        <v>9.3055141181992759E-3</v>
      </c>
      <c r="BB19">
        <v>1.768109500653128E-2</v>
      </c>
      <c r="BC19">
        <v>2.9770031685991301E-4</v>
      </c>
      <c r="BD19">
        <v>2.7867349458730252E-3</v>
      </c>
      <c r="BE19">
        <v>1.013034347946113E-3</v>
      </c>
      <c r="BF19">
        <v>6.7207154962268343E-3</v>
      </c>
      <c r="BG19">
        <v>3.8820018307380482E-4</v>
      </c>
      <c r="BH19">
        <v>1.3299414083744969E-4</v>
      </c>
      <c r="BI19">
        <v>5.6013387069963618E-4</v>
      </c>
      <c r="BJ19">
        <v>1.058179593737934E-4</v>
      </c>
      <c r="BK19">
        <v>2.058460997564585E-3</v>
      </c>
      <c r="BL19">
        <v>1.917905249532315E-4</v>
      </c>
      <c r="BM19">
        <v>1.717646944000203E-6</v>
      </c>
      <c r="BN19">
        <v>0</v>
      </c>
      <c r="BO19">
        <v>3.8509417009827169E-5</v>
      </c>
      <c r="BP19">
        <v>8.9558922844381694E-5</v>
      </c>
      <c r="BQ19">
        <v>0</v>
      </c>
      <c r="BR19">
        <v>0</v>
      </c>
      <c r="BS19">
        <v>2.3083243183582601E-5</v>
      </c>
      <c r="BT19">
        <v>0</v>
      </c>
      <c r="BU19">
        <v>3.9936016670404713E-5</v>
      </c>
      <c r="BV19">
        <v>1.378065354321601E-5</v>
      </c>
      <c r="BW19">
        <v>1.175485039046506E-7</v>
      </c>
      <c r="BX19">
        <v>2.339835892120534E-5</v>
      </c>
      <c r="BY19">
        <v>2.2436980936109609E-5</v>
      </c>
      <c r="BZ19">
        <v>0</v>
      </c>
      <c r="CA19">
        <v>1.2324862690640079E-5</v>
      </c>
      <c r="CB19">
        <v>2.5223512597619139E-5</v>
      </c>
      <c r="CC19">
        <v>4.2634812670484508E-5</v>
      </c>
      <c r="CD19">
        <v>4.6635005461595484E-6</v>
      </c>
      <c r="CE19">
        <v>5.1958319819247094E-6</v>
      </c>
      <c r="CF19">
        <v>7.8166003726634469E-6</v>
      </c>
      <c r="CG19">
        <v>4.9745396949216724E-6</v>
      </c>
      <c r="CH19">
        <v>3.739364169821556E-6</v>
      </c>
      <c r="CI19">
        <v>7.3519052564317757E-4</v>
      </c>
      <c r="CJ19">
        <v>4.3405895712267519E-4</v>
      </c>
      <c r="CK19">
        <v>1.134080294575273</v>
      </c>
      <c r="CL19">
        <v>5.453916752319073E-3</v>
      </c>
      <c r="CM19">
        <v>5.2390484172702115E-4</v>
      </c>
      <c r="CN19">
        <v>0</v>
      </c>
      <c r="CO19">
        <v>8.5631182758821932E-5</v>
      </c>
      <c r="CP19">
        <v>1.6198572358998341E-4</v>
      </c>
      <c r="CQ19">
        <v>6.7188710153786628E-5</v>
      </c>
      <c r="CR19">
        <v>0</v>
      </c>
      <c r="CS19">
        <v>1.271332380515861E-3</v>
      </c>
      <c r="CT19">
        <v>1.0577072644274089E-4</v>
      </c>
      <c r="CU19">
        <v>3.0981973205026629E-4</v>
      </c>
      <c r="CV19">
        <v>4.2672764037678286E-3</v>
      </c>
      <c r="CW19">
        <v>1.0095973112462661E-3</v>
      </c>
      <c r="CX19">
        <v>2.0699329188010051E-4</v>
      </c>
      <c r="CY19">
        <v>3.117107364919618E-4</v>
      </c>
      <c r="CZ19">
        <v>1.594506055051496E-3</v>
      </c>
      <c r="DA19">
        <v>1.5620152129272439E-4</v>
      </c>
      <c r="DB19">
        <v>1.167326945474084E-4</v>
      </c>
      <c r="DC19">
        <v>0</v>
      </c>
      <c r="DD19">
        <v>2.7014327846846062E-4</v>
      </c>
      <c r="DE19">
        <v>8.1220967299511619E-5</v>
      </c>
      <c r="DF19">
        <v>4.2323623939680127E-3</v>
      </c>
      <c r="DG19">
        <v>4.6454047917265363E-5</v>
      </c>
      <c r="DH19">
        <v>2.0469280727319539E-4</v>
      </c>
      <c r="DI19">
        <v>0</v>
      </c>
      <c r="DJ19">
        <v>8.1375811201956762E-5</v>
      </c>
      <c r="DK19">
        <v>0</v>
      </c>
      <c r="DL19">
        <v>1.054473122584327E-4</v>
      </c>
      <c r="DM19">
        <v>1.107235157638454E-4</v>
      </c>
      <c r="DN19">
        <v>1.0902362148702669E-4</v>
      </c>
      <c r="DO19">
        <v>9.7118997039244922E-5</v>
      </c>
      <c r="DP19">
        <v>1.144779975264786E-4</v>
      </c>
      <c r="DQ19">
        <v>8.8187799162584444E-5</v>
      </c>
      <c r="DR19">
        <v>7.307962760508205E-5</v>
      </c>
      <c r="DS19">
        <v>1.260608836889162E-4</v>
      </c>
      <c r="DT19">
        <v>6.1519126993090948E-5</v>
      </c>
      <c r="DU19">
        <v>1.1472930585297889E-4</v>
      </c>
      <c r="DV19">
        <v>0</v>
      </c>
      <c r="DW19">
        <v>0</v>
      </c>
      <c r="DX19">
        <v>1.3664888287284219E-3</v>
      </c>
      <c r="DY19">
        <v>1.9319154770311791E-4</v>
      </c>
      <c r="DZ19">
        <v>4.6485377144521157E-4</v>
      </c>
      <c r="EA19">
        <v>5.3369721062798301E-4</v>
      </c>
      <c r="EB19">
        <v>1.3519142309723401E-4</v>
      </c>
      <c r="EC19">
        <v>4.3302354674847651E-4</v>
      </c>
      <c r="ED19">
        <v>2.1673086144702531E-4</v>
      </c>
      <c r="EE19">
        <v>3.44858653237819E-5</v>
      </c>
      <c r="EF19">
        <v>0</v>
      </c>
      <c r="EG19">
        <v>1.9395977857352141E-4</v>
      </c>
      <c r="EH19">
        <v>0</v>
      </c>
      <c r="EI19">
        <v>0</v>
      </c>
      <c r="EJ19">
        <v>3.6325488298800327E-4</v>
      </c>
      <c r="EK19">
        <v>7.1702864547450989E-5</v>
      </c>
      <c r="EL19">
        <v>1.093986015984023E-5</v>
      </c>
      <c r="EM19">
        <v>2.2424539123469979E-5</v>
      </c>
      <c r="EN19">
        <v>2.295518873107448E-12</v>
      </c>
      <c r="EO19">
        <v>0</v>
      </c>
      <c r="EP19">
        <v>4.6519363759577499E-5</v>
      </c>
      <c r="EQ19">
        <v>1.00289472609345E-4</v>
      </c>
      <c r="ER19">
        <v>5.8483513451459404E-4</v>
      </c>
      <c r="ES19">
        <v>9.0876003946614467E-5</v>
      </c>
      <c r="ET19">
        <v>1.5703951485139471E-4</v>
      </c>
      <c r="EU19">
        <v>0</v>
      </c>
      <c r="EV19">
        <v>1.9596064824829759E-5</v>
      </c>
      <c r="EW19">
        <v>2.322072241194175E-4</v>
      </c>
      <c r="EX19">
        <v>4.5528035715962328E-5</v>
      </c>
      <c r="EY19">
        <v>5.9744233690166701E-5</v>
      </c>
      <c r="EZ19">
        <v>1.2488870590321791E-3</v>
      </c>
      <c r="FA19">
        <v>6.998242125007815E-5</v>
      </c>
      <c r="FB19">
        <v>4.117434911303527E-5</v>
      </c>
      <c r="FC19">
        <v>1.632155511336506E-4</v>
      </c>
      <c r="FD19">
        <v>6.4267755613160054E-5</v>
      </c>
      <c r="FE19">
        <v>1.855641022160248E-4</v>
      </c>
      <c r="FF19">
        <v>1.220216222582799E-4</v>
      </c>
      <c r="FG19">
        <v>5.4612478812186438E-5</v>
      </c>
      <c r="FH19">
        <v>7.6532084715098101E-5</v>
      </c>
      <c r="FI19">
        <v>6.179522575539192E-5</v>
      </c>
      <c r="FJ19">
        <v>7.8444669342692258E-5</v>
      </c>
      <c r="FK19">
        <v>8.8914823546730427E-5</v>
      </c>
      <c r="FL19">
        <v>9.4847696386020811E-5</v>
      </c>
      <c r="FM19">
        <v>1.5589142813570209E-4</v>
      </c>
      <c r="FN19">
        <v>9.0596047329517758E-5</v>
      </c>
      <c r="FO19">
        <v>2.984424523801578E-4</v>
      </c>
      <c r="FP19">
        <v>1.252484871190408E-4</v>
      </c>
      <c r="FQ19">
        <v>1.080180089515019E-4</v>
      </c>
      <c r="FR19">
        <v>2.3334338378871021E-4</v>
      </c>
      <c r="FS19">
        <v>1.478395386265327E-4</v>
      </c>
      <c r="FT19">
        <v>9.0500198758612681E-5</v>
      </c>
      <c r="FU19">
        <v>9.0355446252347776E-5</v>
      </c>
      <c r="FV19">
        <v>8.9221538050500453E-5</v>
      </c>
      <c r="FW19">
        <v>9.0436351969976113E-5</v>
      </c>
      <c r="FX19">
        <v>8.6488571144091293E-5</v>
      </c>
      <c r="FY19">
        <v>8.8384697408481916E-5</v>
      </c>
      <c r="FZ19">
        <v>8.9635527641273574E-5</v>
      </c>
      <c r="GA19">
        <v>7.9123584563904763E-5</v>
      </c>
      <c r="GB19">
        <v>7.1975320010934677E-5</v>
      </c>
      <c r="GC19">
        <v>8.0971795348099739E-5</v>
      </c>
      <c r="GD19">
        <v>9.5657255434873579E-5</v>
      </c>
      <c r="GE19">
        <v>3.6537385047357408E-5</v>
      </c>
      <c r="GF19">
        <v>9.0347870337448779E-5</v>
      </c>
      <c r="GG19">
        <v>9.0087382492481623E-5</v>
      </c>
      <c r="GH19">
        <v>8.0450736984268132E-5</v>
      </c>
      <c r="GI19">
        <v>7.9992246099470991E-5</v>
      </c>
      <c r="GJ19">
        <v>7.8094230073115929E-5</v>
      </c>
      <c r="GK19">
        <v>8.214090743470207E-5</v>
      </c>
      <c r="GL19">
        <v>7.7792404202682423E-5</v>
      </c>
      <c r="GM19">
        <v>7.9285196444785146E-5</v>
      </c>
      <c r="GN19">
        <v>1.5770961872333129E-4</v>
      </c>
      <c r="GO19">
        <v>4.0252217615569018E-4</v>
      </c>
      <c r="GP19">
        <v>2.220805526716634E-5</v>
      </c>
      <c r="GQ19">
        <v>0</v>
      </c>
      <c r="GR19">
        <v>1.237187903215824E-2</v>
      </c>
      <c r="GS19">
        <v>3.9129674109826082E-2</v>
      </c>
      <c r="GT19">
        <v>9.5493034926584404E-3</v>
      </c>
      <c r="GU19">
        <v>1.2376431700380251E-2</v>
      </c>
      <c r="GV19">
        <v>1.270027301651877E-2</v>
      </c>
      <c r="GW19">
        <v>1.978121676628062E-2</v>
      </c>
      <c r="GX19">
        <v>2.0423242577591341E-4</v>
      </c>
      <c r="GY19">
        <v>1.2865132778527321E-4</v>
      </c>
      <c r="GZ19">
        <v>1.842777767271105E-3</v>
      </c>
      <c r="HA19">
        <v>3.4115978911623932E-4</v>
      </c>
      <c r="HB19">
        <v>1.2488870590321791E-3</v>
      </c>
      <c r="HC19">
        <v>1.568064955543976E-4</v>
      </c>
    </row>
    <row r="20" spans="1:211" x14ac:dyDescent="0.45">
      <c r="A20" s="1" t="s">
        <v>5</v>
      </c>
      <c r="B20">
        <v>1.3328171225564049</v>
      </c>
      <c r="C20">
        <v>2.3780195329551661E-2</v>
      </c>
      <c r="D20">
        <v>0.14532585305569881</v>
      </c>
      <c r="E20">
        <v>0.2277439410874586</v>
      </c>
      <c r="F20">
        <v>7.2206490229433234E-2</v>
      </c>
      <c r="G20">
        <v>0.26174363252870209</v>
      </c>
      <c r="H20">
        <v>0.13533524278948619</v>
      </c>
      <c r="I20">
        <v>0.95028472143175513</v>
      </c>
      <c r="J20">
        <v>0.37157045529758698</v>
      </c>
      <c r="K20">
        <v>7.8157035265077418E-2</v>
      </c>
      <c r="L20">
        <v>3.4344639361272557E-2</v>
      </c>
      <c r="M20">
        <v>0.13417933798355369</v>
      </c>
      <c r="N20">
        <v>0.10169582871506</v>
      </c>
      <c r="O20">
        <v>0</v>
      </c>
      <c r="P20">
        <v>1.746367418796192</v>
      </c>
      <c r="Q20">
        <v>0</v>
      </c>
      <c r="R20">
        <v>0</v>
      </c>
      <c r="S20">
        <v>5.8458870664931679E-3</v>
      </c>
      <c r="T20">
        <v>4.9977694090506369E-2</v>
      </c>
      <c r="U20">
        <v>2.3104992716100359E-4</v>
      </c>
      <c r="V20">
        <v>1.0831177289372621E-4</v>
      </c>
      <c r="W20">
        <v>1.4218305110376981E-3</v>
      </c>
      <c r="X20">
        <v>0</v>
      </c>
      <c r="Y20">
        <v>4.4692912474541651E-4</v>
      </c>
      <c r="Z20">
        <v>1.755587583594638E-3</v>
      </c>
      <c r="AA20">
        <v>6.011791892276048E-3</v>
      </c>
      <c r="AB20">
        <v>0</v>
      </c>
      <c r="AC20">
        <v>2.7199466641556931E-3</v>
      </c>
      <c r="AD20">
        <v>1.2342523449062839E-4</v>
      </c>
      <c r="AE20">
        <v>2.311177145717928E-2</v>
      </c>
      <c r="AF20">
        <v>0</v>
      </c>
      <c r="AG20">
        <v>8.6555863269921821E-4</v>
      </c>
      <c r="AH20">
        <v>6.7545092418710915E-7</v>
      </c>
      <c r="AI20">
        <v>4.7475250097905084</v>
      </c>
      <c r="AJ20">
        <v>4.1617875119775664E-3</v>
      </c>
      <c r="AK20">
        <v>3.5365584268559288E-4</v>
      </c>
      <c r="AL20">
        <v>3.2187051236840902E-2</v>
      </c>
      <c r="AM20">
        <v>7.4563739043426646E-4</v>
      </c>
      <c r="AN20">
        <v>3.7471923651241748E-5</v>
      </c>
      <c r="AO20">
        <v>4.8408927639800148E-4</v>
      </c>
      <c r="AP20">
        <v>1.2458503067905251E-4</v>
      </c>
      <c r="AQ20">
        <v>6.1796318351910575E-4</v>
      </c>
      <c r="AR20">
        <v>5.2310988068181533E-2</v>
      </c>
      <c r="AS20">
        <v>7.7872545737435975E-2</v>
      </c>
      <c r="AT20">
        <v>3.2491936668038318E-2</v>
      </c>
      <c r="AU20">
        <v>1.816476571257717E-2</v>
      </c>
      <c r="AV20">
        <v>9.0829635285740909E-2</v>
      </c>
      <c r="AW20">
        <v>3.038463206928195E-2</v>
      </c>
      <c r="AX20">
        <v>0.1690485249701402</v>
      </c>
      <c r="AY20">
        <v>0.32124295191833291</v>
      </c>
      <c r="AZ20">
        <v>6.2028916632749877E-2</v>
      </c>
      <c r="BA20">
        <v>3.3511526911392427E-2</v>
      </c>
      <c r="BB20">
        <v>6.7486711966965374E-2</v>
      </c>
      <c r="BC20">
        <v>7.1978698553291559E-2</v>
      </c>
      <c r="BD20">
        <v>2.107529901001624E-2</v>
      </c>
      <c r="BE20">
        <v>2.4685327101498782E-2</v>
      </c>
      <c r="BF20">
        <v>4.3219236369606569E-2</v>
      </c>
      <c r="BG20">
        <v>9.3696900412643513E-3</v>
      </c>
      <c r="BH20">
        <v>0</v>
      </c>
      <c r="BI20">
        <v>3.2165243804934261E-2</v>
      </c>
      <c r="BJ20">
        <v>0</v>
      </c>
      <c r="BK20">
        <v>8.6106801854329961E-3</v>
      </c>
      <c r="BL20">
        <v>3.660415895035424E-3</v>
      </c>
      <c r="BM20">
        <v>2.2565994555850742E-3</v>
      </c>
      <c r="BN20">
        <v>0</v>
      </c>
      <c r="BO20">
        <v>0</v>
      </c>
      <c r="BP20">
        <v>0.13924386970785119</v>
      </c>
      <c r="BQ20">
        <v>3.8933078744683692E-4</v>
      </c>
      <c r="BR20">
        <v>0</v>
      </c>
      <c r="BS20">
        <v>8.1002264821440906E-3</v>
      </c>
      <c r="BT20">
        <v>1.640436650517621E-3</v>
      </c>
      <c r="BU20">
        <v>3.4677886932704791E-3</v>
      </c>
      <c r="BV20">
        <v>3.4968681463331389E-2</v>
      </c>
      <c r="BW20">
        <v>0</v>
      </c>
      <c r="BX20">
        <v>3.110992549584113E-3</v>
      </c>
      <c r="BY20">
        <v>2.2359988933741502E-3</v>
      </c>
      <c r="BZ20">
        <v>0</v>
      </c>
      <c r="CA20">
        <v>2.04009858908199E-3</v>
      </c>
      <c r="CB20">
        <v>0</v>
      </c>
      <c r="CC20">
        <v>0</v>
      </c>
      <c r="CD20">
        <v>1.0658242654791989E-3</v>
      </c>
      <c r="CE20">
        <v>0</v>
      </c>
      <c r="CF20">
        <v>1.00368006807506E-3</v>
      </c>
      <c r="CG20">
        <v>1.281640358661666E-3</v>
      </c>
      <c r="CH20">
        <v>0</v>
      </c>
      <c r="CI20">
        <v>2.9378939665925131E-2</v>
      </c>
      <c r="CJ20">
        <v>0</v>
      </c>
      <c r="CK20">
        <v>0.29509998725286279</v>
      </c>
      <c r="CL20">
        <v>0.15511745796326321</v>
      </c>
      <c r="CM20">
        <v>1.548081210731005E-2</v>
      </c>
      <c r="CN20">
        <v>0</v>
      </c>
      <c r="CO20">
        <v>8.9389268566038071E-2</v>
      </c>
      <c r="CP20">
        <v>0</v>
      </c>
      <c r="CQ20">
        <v>0</v>
      </c>
      <c r="CR20">
        <v>0</v>
      </c>
      <c r="CS20">
        <v>8.3007812495351704E-3</v>
      </c>
      <c r="CT20">
        <v>0</v>
      </c>
      <c r="CU20">
        <v>9.0846419726033738E-3</v>
      </c>
      <c r="CV20">
        <v>1.157796877989919E-2</v>
      </c>
      <c r="CW20">
        <v>1.567878618518596E-2</v>
      </c>
      <c r="CX20">
        <v>0</v>
      </c>
      <c r="CY20">
        <v>7.1340040042048017E-3</v>
      </c>
      <c r="CZ20">
        <v>1.226741099660718E-2</v>
      </c>
      <c r="DA20">
        <v>0</v>
      </c>
      <c r="DB20">
        <v>4.0646280806528393E-3</v>
      </c>
      <c r="DC20">
        <v>0</v>
      </c>
      <c r="DD20">
        <v>1.079074235347352E-2</v>
      </c>
      <c r="DE20">
        <v>0</v>
      </c>
      <c r="DF20">
        <v>2.223147234250079E-2</v>
      </c>
      <c r="DG20">
        <v>0</v>
      </c>
      <c r="DH20">
        <v>9.5909550046651745E-3</v>
      </c>
      <c r="DI20">
        <v>0</v>
      </c>
      <c r="DJ20">
        <v>8.9977840935338976E-3</v>
      </c>
      <c r="DK20">
        <v>0</v>
      </c>
      <c r="DL20">
        <v>0</v>
      </c>
      <c r="DM20">
        <v>7.7669589290511633E-3</v>
      </c>
      <c r="DN20">
        <v>2.0364963747496719E-3</v>
      </c>
      <c r="DO20">
        <v>1.368426348838871E-2</v>
      </c>
      <c r="DP20">
        <v>4.2507236364966042E-3</v>
      </c>
      <c r="DQ20">
        <v>2.767051336813799E-3</v>
      </c>
      <c r="DR20">
        <v>1.747498950746188E-3</v>
      </c>
      <c r="DS20">
        <v>4.2430717392266514E-3</v>
      </c>
      <c r="DT20">
        <v>2.661843165069002E-3</v>
      </c>
      <c r="DU20">
        <v>1.0867868679712881E-2</v>
      </c>
      <c r="DV20">
        <v>0</v>
      </c>
      <c r="DW20">
        <v>0</v>
      </c>
      <c r="DX20">
        <v>7.8678619764657731E-3</v>
      </c>
      <c r="DY20">
        <v>6.1325261524439326E-3</v>
      </c>
      <c r="DZ20">
        <v>0.1737185317119328</v>
      </c>
      <c r="EA20">
        <v>7.5954269857209421E-3</v>
      </c>
      <c r="EB20">
        <v>2.7172076511127298E-3</v>
      </c>
      <c r="EC20">
        <v>3.9795437556197381E-3</v>
      </c>
      <c r="ED20">
        <v>1.53167643870128E-2</v>
      </c>
      <c r="EE20">
        <v>8.9605670269419183E-3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8.2407750526811516E-3</v>
      </c>
      <c r="EU20">
        <v>0</v>
      </c>
      <c r="EV20">
        <v>4.1480873332004628E-3</v>
      </c>
      <c r="EW20">
        <v>2.657056243704211E-2</v>
      </c>
      <c r="EX20">
        <v>6.1155659117204299E-3</v>
      </c>
      <c r="EY20">
        <v>7.3599839437301874E-3</v>
      </c>
      <c r="EZ20">
        <v>1.966754482242326E-2</v>
      </c>
      <c r="FA20">
        <v>4.0907091654631411E-3</v>
      </c>
      <c r="FB20">
        <v>3.1434734555306379E-3</v>
      </c>
      <c r="FC20">
        <v>7.6361329373238439E-3</v>
      </c>
      <c r="FD20">
        <v>8.7823521270002664E-3</v>
      </c>
      <c r="FE20">
        <v>9.4380751139946789E-3</v>
      </c>
      <c r="FF20">
        <v>5.8343623444973014E-3</v>
      </c>
      <c r="FG20">
        <v>4.5083026335289624E-3</v>
      </c>
      <c r="FH20">
        <v>2.6926962903046818E-3</v>
      </c>
      <c r="FI20">
        <v>2.0282539385726751E-3</v>
      </c>
      <c r="FJ20">
        <v>2.382556509411468E-3</v>
      </c>
      <c r="FK20">
        <v>2.1889237586671401E-3</v>
      </c>
      <c r="FL20">
        <v>2.3362082702972969E-3</v>
      </c>
      <c r="FM20">
        <v>2.9523727784776781E-3</v>
      </c>
      <c r="FN20">
        <v>4.46416672227879E-3</v>
      </c>
      <c r="FO20">
        <v>1.6859394072887071E-2</v>
      </c>
      <c r="FP20">
        <v>4.6428429504051074E-3</v>
      </c>
      <c r="FQ20">
        <v>5.8368765944619852E-3</v>
      </c>
      <c r="FR20">
        <v>5.1513452291485004E-3</v>
      </c>
      <c r="FS20">
        <v>8.173820988230442E-3</v>
      </c>
      <c r="FT20">
        <v>2.3470818008991421E-3</v>
      </c>
      <c r="FU20">
        <v>2.1304550895752542E-3</v>
      </c>
      <c r="FV20">
        <v>2.0810455191841489E-3</v>
      </c>
      <c r="FW20">
        <v>2.3038472140370601E-3</v>
      </c>
      <c r="FX20">
        <v>2.0327265766874499E-3</v>
      </c>
      <c r="FY20">
        <v>1.8479925295142789E-3</v>
      </c>
      <c r="FZ20">
        <v>2.460183802492345E-3</v>
      </c>
      <c r="GA20">
        <v>1.192201836208995E-3</v>
      </c>
      <c r="GB20">
        <v>3.067377249918003E-3</v>
      </c>
      <c r="GC20">
        <v>4.1362984888101808E-3</v>
      </c>
      <c r="GD20">
        <v>2.1126075533331279E-3</v>
      </c>
      <c r="GE20">
        <v>1.5156189463594991E-3</v>
      </c>
      <c r="GF20">
        <v>1.5773107540157851E-3</v>
      </c>
      <c r="GG20">
        <v>1.6202547840275471E-3</v>
      </c>
      <c r="GH20">
        <v>1.3655953741062441E-3</v>
      </c>
      <c r="GI20">
        <v>1.411361159170309E-3</v>
      </c>
      <c r="GJ20">
        <v>1.1488541373127961E-3</v>
      </c>
      <c r="GK20">
        <v>1.9024452400450761E-3</v>
      </c>
      <c r="GL20">
        <v>1.267617058305447E-3</v>
      </c>
      <c r="GM20">
        <v>1.3798011173519829E-3</v>
      </c>
      <c r="GN20">
        <v>9.3101209797600004E-3</v>
      </c>
      <c r="GO20">
        <v>6.903261776447624E-3</v>
      </c>
      <c r="GP20">
        <v>1.393940322693993E-2</v>
      </c>
      <c r="GQ20">
        <v>0</v>
      </c>
      <c r="GR20">
        <v>0.22468147417130621</v>
      </c>
      <c r="GS20">
        <v>5.2310988068181533E-2</v>
      </c>
      <c r="GT20">
        <v>3.5057787312979788E-2</v>
      </c>
      <c r="GU20">
        <v>4.2838987799076828E-2</v>
      </c>
      <c r="GV20">
        <v>3.038463206928195E-2</v>
      </c>
      <c r="GW20">
        <v>8.49574551990782E-2</v>
      </c>
      <c r="GX20">
        <v>5.4309125196538542E-3</v>
      </c>
      <c r="GY20">
        <v>5.1195005271982667E-3</v>
      </c>
      <c r="GZ20">
        <v>2.9324154999872121E-2</v>
      </c>
      <c r="HA20">
        <v>7.0782505767687407E-3</v>
      </c>
      <c r="HB20">
        <v>0</v>
      </c>
      <c r="HC20">
        <v>5.8679213513525034E-3</v>
      </c>
    </row>
    <row r="21" spans="1:211" x14ac:dyDescent="0.45">
      <c r="A21" s="1" t="s">
        <v>6</v>
      </c>
      <c r="B21">
        <v>12.589531046076591</v>
      </c>
      <c r="C21">
        <v>393.41683792647649</v>
      </c>
      <c r="D21">
        <v>6.1707335051997774</v>
      </c>
      <c r="E21">
        <v>6666.4130958942833</v>
      </c>
      <c r="F21">
        <v>709.18679688875659</v>
      </c>
      <c r="G21">
        <v>0</v>
      </c>
      <c r="H21">
        <v>18.17377665812187</v>
      </c>
      <c r="I21">
        <v>418.35490823388932</v>
      </c>
      <c r="J21">
        <v>0</v>
      </c>
      <c r="K21">
        <v>0</v>
      </c>
      <c r="L21">
        <v>37.6718724459</v>
      </c>
      <c r="M21">
        <v>134.96855356699999</v>
      </c>
      <c r="N21">
        <v>358.93550539300003</v>
      </c>
      <c r="O21">
        <v>0</v>
      </c>
      <c r="P21">
        <v>0</v>
      </c>
      <c r="Q21">
        <v>0</v>
      </c>
      <c r="R21">
        <v>0</v>
      </c>
      <c r="S21">
        <v>324.71811889076042</v>
      </c>
      <c r="T21">
        <v>191.524540960959</v>
      </c>
      <c r="U21">
        <v>6.3533008602000001</v>
      </c>
      <c r="V21">
        <v>0</v>
      </c>
      <c r="W21">
        <v>14.903983972800001</v>
      </c>
      <c r="X21">
        <v>0</v>
      </c>
      <c r="Y21">
        <v>14.5218305376</v>
      </c>
      <c r="Z21">
        <v>0</v>
      </c>
      <c r="AA21">
        <v>0</v>
      </c>
      <c r="AB21">
        <v>0</v>
      </c>
      <c r="AC21">
        <v>0</v>
      </c>
      <c r="AD21">
        <v>10172.62054431125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1038.4943145499999</v>
      </c>
      <c r="AS21">
        <v>596.45047547599995</v>
      </c>
      <c r="AT21">
        <v>892.77666270999998</v>
      </c>
      <c r="AU21">
        <v>2166.4317380399998</v>
      </c>
      <c r="AV21">
        <v>152.52438610900001</v>
      </c>
      <c r="AW21">
        <v>1806.0386160099999</v>
      </c>
      <c r="AX21">
        <v>130.97256975400001</v>
      </c>
      <c r="AY21">
        <v>92.726657253900001</v>
      </c>
      <c r="AZ21">
        <v>11484.836648500001</v>
      </c>
      <c r="BA21">
        <v>1737.93637934</v>
      </c>
      <c r="BB21">
        <v>1549.8190821000001</v>
      </c>
      <c r="BC21">
        <v>1749.27710897</v>
      </c>
      <c r="BD21">
        <v>5191.81852316</v>
      </c>
      <c r="BE21">
        <v>10896.3904117</v>
      </c>
      <c r="BF21">
        <v>6719.8629984099998</v>
      </c>
      <c r="BG21">
        <v>627.28953437057316</v>
      </c>
      <c r="BH21">
        <v>64.052776141426875</v>
      </c>
      <c r="BI21">
        <v>0</v>
      </c>
      <c r="BJ21">
        <v>0</v>
      </c>
      <c r="BK21">
        <v>1766.04037623</v>
      </c>
      <c r="BL21">
        <v>1559.8370236600001</v>
      </c>
      <c r="BM21">
        <v>0.1066507278430744</v>
      </c>
      <c r="BN21">
        <v>0</v>
      </c>
      <c r="BO21">
        <v>0</v>
      </c>
      <c r="BP21">
        <v>262.48153199278192</v>
      </c>
      <c r="BQ21">
        <v>0.26273048669999999</v>
      </c>
      <c r="BR21">
        <v>0</v>
      </c>
      <c r="BS21">
        <v>52.290447045240562</v>
      </c>
      <c r="BT21">
        <v>157.13671563599999</v>
      </c>
      <c r="BU21">
        <v>7198.1551780506543</v>
      </c>
      <c r="BV21">
        <v>1.056828588528105</v>
      </c>
      <c r="BW21">
        <v>0</v>
      </c>
      <c r="BX21">
        <v>612.42607809052072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2378.0362296804178</v>
      </c>
      <c r="CJ21">
        <v>286.21616942958212</v>
      </c>
      <c r="CK21">
        <v>1.6789142170569999</v>
      </c>
      <c r="CL21">
        <v>44.522949826820003</v>
      </c>
      <c r="CM21">
        <v>6643.3333910300007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895.25021162600001</v>
      </c>
      <c r="CV21">
        <v>0.112600342789</v>
      </c>
      <c r="CW21">
        <v>0.91886879222690554</v>
      </c>
      <c r="CX21">
        <v>5.55902005850945E-2</v>
      </c>
      <c r="CY21">
        <v>791.25578928899995</v>
      </c>
      <c r="CZ21">
        <v>6.1700262321527496E-3</v>
      </c>
      <c r="DA21">
        <v>3.9625614194724822E-4</v>
      </c>
      <c r="DB21">
        <v>5.4250360592692362</v>
      </c>
      <c r="DC21">
        <v>3.0458495076355003E-4</v>
      </c>
      <c r="DD21">
        <v>1.3261887457802539</v>
      </c>
      <c r="DE21">
        <v>0.102340521859746</v>
      </c>
      <c r="DF21">
        <v>0</v>
      </c>
      <c r="DG21">
        <v>0</v>
      </c>
      <c r="DH21">
        <v>0</v>
      </c>
      <c r="DI21">
        <v>0</v>
      </c>
      <c r="DJ21">
        <v>7.4935930203748713</v>
      </c>
      <c r="DK21">
        <v>6.0997008595128847E-2</v>
      </c>
      <c r="DL21">
        <v>0</v>
      </c>
      <c r="DM21">
        <v>2010.42848448</v>
      </c>
      <c r="DN21">
        <v>520.47413446200005</v>
      </c>
      <c r="DO21">
        <v>1803.7615754999999</v>
      </c>
      <c r="DP21">
        <v>2577.2612739800002</v>
      </c>
      <c r="DQ21">
        <v>4696.7749308100001</v>
      </c>
      <c r="DR21">
        <v>4669.9064481400001</v>
      </c>
      <c r="DS21">
        <v>29014.020956100001</v>
      </c>
      <c r="DT21">
        <v>2813.8265550279998</v>
      </c>
      <c r="DU21">
        <v>10799.400247</v>
      </c>
      <c r="DV21">
        <v>0</v>
      </c>
      <c r="DW21">
        <v>0</v>
      </c>
      <c r="DX21">
        <v>63.361211080935377</v>
      </c>
      <c r="DY21">
        <v>50.540358367452967</v>
      </c>
      <c r="DZ21">
        <v>20.421948832948161</v>
      </c>
      <c r="EA21">
        <v>34.973120821718787</v>
      </c>
      <c r="EB21">
        <v>7.7745748429250057</v>
      </c>
      <c r="EC21">
        <v>7.7841592984684684</v>
      </c>
      <c r="ED21">
        <v>4.4869937232399604</v>
      </c>
      <c r="EE21">
        <v>2.2862877476796539</v>
      </c>
      <c r="EF21">
        <v>0</v>
      </c>
      <c r="EG21">
        <v>4.9947555776570151E-3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107.8362040536</v>
      </c>
      <c r="EY21">
        <v>0</v>
      </c>
      <c r="EZ21">
        <v>0</v>
      </c>
      <c r="FA21">
        <v>1317.5141081675199</v>
      </c>
      <c r="FB21">
        <v>5070.0672428300004</v>
      </c>
      <c r="FC21">
        <v>0.66543467202200002</v>
      </c>
      <c r="FD21">
        <v>3107.3829579702092</v>
      </c>
      <c r="FE21">
        <v>243.82395424985501</v>
      </c>
      <c r="FF21">
        <v>8077.9817955548197</v>
      </c>
      <c r="FG21">
        <v>854.20888969679993</v>
      </c>
      <c r="FH21">
        <v>2604.55483714</v>
      </c>
      <c r="FI21">
        <v>1220.2376179299999</v>
      </c>
      <c r="FJ21">
        <v>1145.74717822</v>
      </c>
      <c r="FK21">
        <v>0</v>
      </c>
      <c r="FL21">
        <v>0</v>
      </c>
      <c r="FM21">
        <v>0</v>
      </c>
      <c r="FN21">
        <v>1.81215275413</v>
      </c>
      <c r="FO21">
        <v>1038.6668066899999</v>
      </c>
      <c r="FP21">
        <v>652.78120585600004</v>
      </c>
      <c r="FQ21">
        <v>1267.5185599075201</v>
      </c>
      <c r="FR21">
        <v>1024.3292228667999</v>
      </c>
      <c r="FS21">
        <v>1545.727142509</v>
      </c>
      <c r="FT21">
        <v>7.1772939881199997</v>
      </c>
      <c r="FU21">
        <v>7.47894238651</v>
      </c>
      <c r="FV21">
        <v>3.4561336392499999</v>
      </c>
      <c r="FW21">
        <v>12.452825049199999</v>
      </c>
      <c r="FX21">
        <v>1.4328711332499999</v>
      </c>
      <c r="FY21">
        <v>2.5196803371600001</v>
      </c>
      <c r="FZ21">
        <v>7.2681283026200001</v>
      </c>
      <c r="GA21">
        <v>0.63557573159500003</v>
      </c>
      <c r="GB21">
        <v>4.31870936057E-2</v>
      </c>
      <c r="GC21">
        <v>6.2167013558799988</v>
      </c>
      <c r="GD21">
        <v>8.3376501952699993</v>
      </c>
      <c r="GE21">
        <v>0</v>
      </c>
      <c r="GF21">
        <v>2.8579230598600001</v>
      </c>
      <c r="GG21">
        <v>5.4780863341700003</v>
      </c>
      <c r="GH21">
        <v>6.6187806119300001</v>
      </c>
      <c r="GI21">
        <v>4.2866716676400003</v>
      </c>
      <c r="GJ21">
        <v>0.91095341557300002</v>
      </c>
      <c r="GK21">
        <v>10.798532357499999</v>
      </c>
      <c r="GL21">
        <v>0.47988633069100001</v>
      </c>
      <c r="GM21">
        <v>1.5981500333700001</v>
      </c>
      <c r="GN21">
        <v>95.863337095600002</v>
      </c>
      <c r="GO21">
        <v>2481.46822075</v>
      </c>
      <c r="GP21">
        <v>262.19233730575002</v>
      </c>
      <c r="GQ21">
        <v>0</v>
      </c>
      <c r="GR21">
        <v>6818.9374820032835</v>
      </c>
      <c r="GS21">
        <v>1038.4943145499999</v>
      </c>
      <c r="GT21">
        <v>3828.2993022389001</v>
      </c>
      <c r="GU21">
        <v>2356.4986623639588</v>
      </c>
      <c r="GV21">
        <v>1806.0386160099999</v>
      </c>
      <c r="GW21">
        <v>17903.873458744751</v>
      </c>
      <c r="GX21">
        <v>26463.523517716021</v>
      </c>
      <c r="GY21">
        <v>58120.83281466164</v>
      </c>
      <c r="GZ21">
        <v>22808.071933269999</v>
      </c>
      <c r="HA21">
        <v>52451.491819216943</v>
      </c>
      <c r="HB21">
        <v>0</v>
      </c>
      <c r="HC21">
        <v>14392.991685798401</v>
      </c>
    </row>
    <row r="22" spans="1:211" x14ac:dyDescent="0.45">
      <c r="A22" s="1" t="s">
        <v>7</v>
      </c>
      <c r="B22">
        <v>111.1237859411297</v>
      </c>
      <c r="C22">
        <v>6143.0077963115054</v>
      </c>
      <c r="D22">
        <v>370.68346562429832</v>
      </c>
      <c r="E22">
        <v>10280.107604815599</v>
      </c>
      <c r="F22">
        <v>726.07848723778375</v>
      </c>
      <c r="G22">
        <v>0</v>
      </c>
      <c r="H22">
        <v>514.07430814345184</v>
      </c>
      <c r="I22">
        <v>0</v>
      </c>
      <c r="J22">
        <v>0</v>
      </c>
      <c r="K22">
        <v>0</v>
      </c>
      <c r="L22">
        <v>3117.9127895699999</v>
      </c>
      <c r="M22">
        <v>1889.7566549799999</v>
      </c>
      <c r="N22">
        <v>139.24546536700001</v>
      </c>
      <c r="O22">
        <v>137.460607966</v>
      </c>
      <c r="P22">
        <v>0</v>
      </c>
      <c r="Q22">
        <v>0</v>
      </c>
      <c r="R22">
        <v>0</v>
      </c>
      <c r="S22">
        <v>4983.7269113496177</v>
      </c>
      <c r="T22">
        <v>235.5104379290872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7.5170467887461898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5050.4413716326299</v>
      </c>
      <c r="AS22">
        <v>2108.0791581456701</v>
      </c>
      <c r="AT22">
        <v>8018.0444478146992</v>
      </c>
      <c r="AU22">
        <v>15949.9837150327</v>
      </c>
      <c r="AV22">
        <v>26.960627056900002</v>
      </c>
      <c r="AW22">
        <v>8488.2230403558297</v>
      </c>
      <c r="AX22">
        <v>26.83840954758</v>
      </c>
      <c r="AY22">
        <v>662.143368282305</v>
      </c>
      <c r="AZ22">
        <v>23360.725289119</v>
      </c>
      <c r="BA22">
        <v>7010.4418690136599</v>
      </c>
      <c r="BB22">
        <v>2468.4934124624001</v>
      </c>
      <c r="BC22">
        <v>874.53301648599995</v>
      </c>
      <c r="BD22">
        <v>2215.3406393403002</v>
      </c>
      <c r="BE22">
        <v>3273.5352910359002</v>
      </c>
      <c r="BF22">
        <v>128.12948849290001</v>
      </c>
      <c r="BG22">
        <v>710.2622544142647</v>
      </c>
      <c r="BH22">
        <v>438.23633378573538</v>
      </c>
      <c r="BI22">
        <v>0</v>
      </c>
      <c r="BJ22">
        <v>0</v>
      </c>
      <c r="BK22">
        <v>1585.4834509899999</v>
      </c>
      <c r="BL22">
        <v>5484.6488585699999</v>
      </c>
      <c r="BM22">
        <v>0.72930991165692571</v>
      </c>
      <c r="BN22">
        <v>0</v>
      </c>
      <c r="BO22">
        <v>0</v>
      </c>
      <c r="BP22">
        <v>4666.4618214472184</v>
      </c>
      <c r="BQ22">
        <v>0</v>
      </c>
      <c r="BR22">
        <v>0</v>
      </c>
      <c r="BS22">
        <v>43.24791175475945</v>
      </c>
      <c r="BT22">
        <v>0</v>
      </c>
      <c r="BU22">
        <v>7435.9329311493466</v>
      </c>
      <c r="BV22">
        <v>2.1437064312718959</v>
      </c>
      <c r="BW22">
        <v>0</v>
      </c>
      <c r="BX22">
        <v>301.73270808747918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37588.165323314177</v>
      </c>
      <c r="CJ22">
        <v>1908.1984372858201</v>
      </c>
      <c r="CK22">
        <v>8.0925708148400002</v>
      </c>
      <c r="CL22">
        <v>43.787168113900002</v>
      </c>
      <c r="CM22">
        <v>9071.7807908699997</v>
      </c>
      <c r="CN22">
        <v>0</v>
      </c>
      <c r="CO22">
        <v>0</v>
      </c>
      <c r="CP22">
        <v>347.92681815999998</v>
      </c>
      <c r="CQ22">
        <v>984.28394153700003</v>
      </c>
      <c r="CR22">
        <v>0</v>
      </c>
      <c r="CS22">
        <v>0</v>
      </c>
      <c r="CT22">
        <v>0</v>
      </c>
      <c r="CU22">
        <v>689.76229474199999</v>
      </c>
      <c r="CV22">
        <v>7.7309901311899996</v>
      </c>
      <c r="CW22">
        <v>50.515630950077558</v>
      </c>
      <c r="CX22">
        <v>11.094501610822441</v>
      </c>
      <c r="CY22">
        <v>967.10634446200015</v>
      </c>
      <c r="CZ22">
        <v>4.0624645841598698E-3</v>
      </c>
      <c r="DA22">
        <v>1.8210031991701299E-3</v>
      </c>
      <c r="DB22">
        <v>0</v>
      </c>
      <c r="DC22">
        <v>0</v>
      </c>
      <c r="DD22">
        <v>0.46723417790522082</v>
      </c>
      <c r="DE22">
        <v>0.26654030710377918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0.14561557168100001</v>
      </c>
      <c r="DM22">
        <v>3671.05667554</v>
      </c>
      <c r="DN22">
        <v>310.99962491299999</v>
      </c>
      <c r="DO22">
        <v>0</v>
      </c>
      <c r="DP22">
        <v>1938.44845799</v>
      </c>
      <c r="DQ22">
        <v>1956.93538405</v>
      </c>
      <c r="DR22">
        <v>2869.1544762899998</v>
      </c>
      <c r="DS22">
        <v>26547.7846919</v>
      </c>
      <c r="DT22">
        <v>1501.0289734744999</v>
      </c>
      <c r="DU22">
        <v>7391.2707397499989</v>
      </c>
      <c r="DV22">
        <v>0</v>
      </c>
      <c r="DW22">
        <v>0</v>
      </c>
      <c r="DX22">
        <v>160.53293276706461</v>
      </c>
      <c r="DY22">
        <v>458.08197929454701</v>
      </c>
      <c r="DZ22">
        <v>10186.75299786705</v>
      </c>
      <c r="EA22">
        <v>1235.3526669582809</v>
      </c>
      <c r="EB22">
        <v>488.06950732907501</v>
      </c>
      <c r="EC22">
        <v>36.951677209631541</v>
      </c>
      <c r="ED22">
        <v>213.02996467476001</v>
      </c>
      <c r="EE22">
        <v>167.10322240432029</v>
      </c>
      <c r="EF22">
        <v>0</v>
      </c>
      <c r="EG22">
        <v>11.36406994162234</v>
      </c>
      <c r="EH22">
        <v>0</v>
      </c>
      <c r="EI22">
        <v>0</v>
      </c>
      <c r="EJ22">
        <v>2459.8227431700002</v>
      </c>
      <c r="EK22">
        <v>9539.4035679999997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8925.8146115100008</v>
      </c>
      <c r="ER22">
        <v>1377.8064414299999</v>
      </c>
      <c r="ES22">
        <v>5628.20353823</v>
      </c>
      <c r="ET22">
        <v>8796.4664476500002</v>
      </c>
      <c r="EU22">
        <v>0</v>
      </c>
      <c r="EV22">
        <v>30296.038247430999</v>
      </c>
      <c r="EW22">
        <v>769.05730232869996</v>
      </c>
      <c r="EX22">
        <v>9886.4385954099998</v>
      </c>
      <c r="EY22">
        <v>7198.7452669800005</v>
      </c>
      <c r="EZ22">
        <v>83954.164852629998</v>
      </c>
      <c r="FA22">
        <v>15294.563008583</v>
      </c>
      <c r="FB22">
        <v>30950.3724516</v>
      </c>
      <c r="FC22">
        <v>308.12175901199998</v>
      </c>
      <c r="FD22">
        <v>1190.0860007440001</v>
      </c>
      <c r="FE22">
        <v>749.58537190106574</v>
      </c>
      <c r="FF22">
        <v>11302.3998226312</v>
      </c>
      <c r="FG22">
        <v>16771.579081532</v>
      </c>
      <c r="FH22">
        <v>42904.638546299997</v>
      </c>
      <c r="FI22">
        <v>13529.354277</v>
      </c>
      <c r="FJ22">
        <v>31909.8454513</v>
      </c>
      <c r="FK22">
        <v>0</v>
      </c>
      <c r="FL22">
        <v>242143.13257310001</v>
      </c>
      <c r="FM22">
        <v>3328.271032657</v>
      </c>
      <c r="FN22">
        <v>70.890308732400001</v>
      </c>
      <c r="FO22">
        <v>11126.0696009</v>
      </c>
      <c r="FP22">
        <v>15846.2651147</v>
      </c>
      <c r="FQ22">
        <v>186753.73804475501</v>
      </c>
      <c r="FR22">
        <v>130808.66813279</v>
      </c>
      <c r="FS22">
        <v>258670.86586419999</v>
      </c>
      <c r="FT22">
        <v>767.06281134100004</v>
      </c>
      <c r="FU22">
        <v>804.795130685</v>
      </c>
      <c r="FV22">
        <v>332.70708407199999</v>
      </c>
      <c r="FW22">
        <v>949.25281436</v>
      </c>
      <c r="FX22">
        <v>167.74187124900001</v>
      </c>
      <c r="FY22">
        <v>222.57871309000001</v>
      </c>
      <c r="FZ22">
        <v>919.98164076199998</v>
      </c>
      <c r="GA22">
        <v>70.537428166500007</v>
      </c>
      <c r="GB22">
        <v>6.1009405066999998</v>
      </c>
      <c r="GC22">
        <v>773.51984684800004</v>
      </c>
      <c r="GD22">
        <v>479.80123612099999</v>
      </c>
      <c r="GE22">
        <v>1.8890696923700001</v>
      </c>
      <c r="GF22">
        <v>266.24321473499998</v>
      </c>
      <c r="GG22">
        <v>472.33991311599999</v>
      </c>
      <c r="GH22">
        <v>460.33404258299998</v>
      </c>
      <c r="GI22">
        <v>317.56515019599999</v>
      </c>
      <c r="GJ22">
        <v>84.577913012400003</v>
      </c>
      <c r="GK22">
        <v>1333.3558007900001</v>
      </c>
      <c r="GL22">
        <v>52.302272047400002</v>
      </c>
      <c r="GM22">
        <v>192.22371685499999</v>
      </c>
      <c r="GN22">
        <v>22590.5100676</v>
      </c>
      <c r="GO22">
        <v>71885.084968099996</v>
      </c>
      <c r="GP22">
        <v>11238.476071223</v>
      </c>
      <c r="GQ22">
        <v>0</v>
      </c>
      <c r="GR22">
        <v>10307.068231872499</v>
      </c>
      <c r="GS22">
        <v>5050.4413716326299</v>
      </c>
      <c r="GT22">
        <v>31083.776765543069</v>
      </c>
      <c r="GU22">
        <v>8862.9789436519168</v>
      </c>
      <c r="GV22">
        <v>8625.6836483218303</v>
      </c>
      <c r="GW22">
        <v>35754.451946233312</v>
      </c>
      <c r="GX22">
        <v>348068.80637080298</v>
      </c>
      <c r="GY22">
        <v>115961.4466882009</v>
      </c>
      <c r="GZ22">
        <v>5617.0054188691001</v>
      </c>
      <c r="HA22">
        <v>76311.734081727249</v>
      </c>
      <c r="HB22">
        <v>83954.164852629998</v>
      </c>
      <c r="HC22">
        <v>879887.65012239758</v>
      </c>
    </row>
    <row r="23" spans="1:211" x14ac:dyDescent="0.45">
      <c r="A23" s="1" t="s">
        <v>8</v>
      </c>
      <c r="B23">
        <v>0.29613115006483998</v>
      </c>
      <c r="C23">
        <v>10.16165664478441</v>
      </c>
      <c r="D23">
        <v>0.40266809142753318</v>
      </c>
      <c r="E23">
        <v>71.45332590766894</v>
      </c>
      <c r="F23">
        <v>1.9909132571884129</v>
      </c>
      <c r="G23">
        <v>0</v>
      </c>
      <c r="H23">
        <v>0.65381519692861534</v>
      </c>
      <c r="I23">
        <v>0</v>
      </c>
      <c r="J23">
        <v>0</v>
      </c>
      <c r="K23">
        <v>0</v>
      </c>
      <c r="L23">
        <v>43.660644174446581</v>
      </c>
      <c r="M23">
        <v>40.86026302005537</v>
      </c>
      <c r="N23">
        <v>4.514906735603291</v>
      </c>
      <c r="O23">
        <v>4.2585507048882407</v>
      </c>
      <c r="P23">
        <v>0</v>
      </c>
      <c r="Q23">
        <v>0</v>
      </c>
      <c r="R23">
        <v>0</v>
      </c>
      <c r="S23">
        <v>7.6831175714995457</v>
      </c>
      <c r="T23">
        <v>5.6829274971480288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0.64993059982906831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94.99267470559758</v>
      </c>
      <c r="AS23">
        <v>14.799342963044881</v>
      </c>
      <c r="AT23">
        <v>77.955603906933405</v>
      </c>
      <c r="AU23">
        <v>256.21842769008168</v>
      </c>
      <c r="AV23">
        <v>0.1915782192330229</v>
      </c>
      <c r="AW23">
        <v>107.8457134148953</v>
      </c>
      <c r="AX23">
        <v>3.9081155320715308E-2</v>
      </c>
      <c r="AY23">
        <v>2.274279218232039</v>
      </c>
      <c r="AZ23">
        <v>284.33260915238782</v>
      </c>
      <c r="BA23">
        <v>68.487987017484841</v>
      </c>
      <c r="BB23">
        <v>29.517757521279972</v>
      </c>
      <c r="BC23">
        <v>2.272485153184709</v>
      </c>
      <c r="BD23">
        <v>11.99805080982787</v>
      </c>
      <c r="BE23">
        <v>10.209880358418159</v>
      </c>
      <c r="BF23">
        <v>0.72633017939880729</v>
      </c>
      <c r="BG23">
        <v>1.7651892666348079</v>
      </c>
      <c r="BH23">
        <v>0.83506702350858031</v>
      </c>
      <c r="BI23">
        <v>0</v>
      </c>
      <c r="BJ23">
        <v>0</v>
      </c>
      <c r="BK23">
        <v>7.5691738213827611</v>
      </c>
      <c r="BL23">
        <v>9.81679488848952</v>
      </c>
      <c r="BM23">
        <v>1.137289509314068E-4</v>
      </c>
      <c r="BN23">
        <v>0</v>
      </c>
      <c r="BO23">
        <v>0</v>
      </c>
      <c r="BP23">
        <v>38.835004462274412</v>
      </c>
      <c r="BQ23">
        <v>0</v>
      </c>
      <c r="BR23">
        <v>0</v>
      </c>
      <c r="BS23">
        <v>9.2766205034437541E-2</v>
      </c>
      <c r="BT23">
        <v>0</v>
      </c>
      <c r="BU23">
        <v>27.594630869124909</v>
      </c>
      <c r="BV23">
        <v>2.745127288185985E-3</v>
      </c>
      <c r="BW23">
        <v>0</v>
      </c>
      <c r="BX23">
        <v>0.65604750536196499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133.89973820409341</v>
      </c>
      <c r="CJ23">
        <v>5.9980584322171939</v>
      </c>
      <c r="CK23">
        <v>9.235739484406395E-3</v>
      </c>
      <c r="CL23">
        <v>8.2829204243699966E-2</v>
      </c>
      <c r="CM23">
        <v>38.278191037031768</v>
      </c>
      <c r="CN23">
        <v>0</v>
      </c>
      <c r="CO23">
        <v>0</v>
      </c>
      <c r="CP23">
        <v>0.60066323604377747</v>
      </c>
      <c r="CQ23">
        <v>0.70486732010614195</v>
      </c>
      <c r="CR23">
        <v>0</v>
      </c>
      <c r="CS23">
        <v>0</v>
      </c>
      <c r="CT23">
        <v>0</v>
      </c>
      <c r="CU23">
        <v>1.6236698425577929</v>
      </c>
      <c r="CV23">
        <v>1.4579134829296949E-2</v>
      </c>
      <c r="CW23">
        <v>9.2825857556652513E-2</v>
      </c>
      <c r="CX23">
        <v>1.751260198300348E-2</v>
      </c>
      <c r="CY23">
        <v>2.220553198010601</v>
      </c>
      <c r="CZ23">
        <v>1.0107338205167E-5</v>
      </c>
      <c r="DA23">
        <v>3.8537478575168971E-6</v>
      </c>
      <c r="DB23">
        <v>0</v>
      </c>
      <c r="DC23">
        <v>0</v>
      </c>
      <c r="DD23">
        <v>1.459289489903471E-3</v>
      </c>
      <c r="DE23">
        <v>8.1199017110450151E-4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3.4938729120772188E-4</v>
      </c>
      <c r="DM23">
        <v>9.009579864525028</v>
      </c>
      <c r="DN23">
        <v>0.7233210399160801</v>
      </c>
      <c r="DO23">
        <v>0</v>
      </c>
      <c r="DP23">
        <v>4.1885547624703872</v>
      </c>
      <c r="DQ23">
        <v>4.3061661265412772</v>
      </c>
      <c r="DR23">
        <v>4.741364190751721</v>
      </c>
      <c r="DS23">
        <v>73.464671962879564</v>
      </c>
      <c r="DT23">
        <v>3.3389061761312231</v>
      </c>
      <c r="DU23">
        <v>17.618912213828711</v>
      </c>
      <c r="DV23">
        <v>0</v>
      </c>
      <c r="DW23">
        <v>0</v>
      </c>
      <c r="DX23">
        <v>1.75582857197697</v>
      </c>
      <c r="DY23">
        <v>1.0823929138189841</v>
      </c>
      <c r="DZ23">
        <v>19.10629089627821</v>
      </c>
      <c r="EA23">
        <v>2.8732126280781012</v>
      </c>
      <c r="EB23">
        <v>0.46762645992094798</v>
      </c>
      <c r="EC23">
        <v>0.35252208342906372</v>
      </c>
      <c r="ED23">
        <v>0.40156387687244932</v>
      </c>
      <c r="EE23">
        <v>3.5833250826798287E-2</v>
      </c>
      <c r="EF23">
        <v>0</v>
      </c>
      <c r="EG23">
        <v>3.1775226988000768E-2</v>
      </c>
      <c r="EH23">
        <v>0</v>
      </c>
      <c r="EI23">
        <v>0</v>
      </c>
      <c r="EJ23">
        <v>2.3684863306219541</v>
      </c>
      <c r="EK23">
        <v>8.7540440450944299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19.460226952854189</v>
      </c>
      <c r="ER23">
        <v>12.69598423368971</v>
      </c>
      <c r="ES23">
        <v>7.6372992937611928</v>
      </c>
      <c r="ET23">
        <v>16.47946819252385</v>
      </c>
      <c r="EU23">
        <v>0</v>
      </c>
      <c r="EV23">
        <v>18.827676093865719</v>
      </c>
      <c r="EW23">
        <v>1.131387052011869</v>
      </c>
      <c r="EX23">
        <v>8.0324962331672101</v>
      </c>
      <c r="EY23">
        <v>6.7426832477245249</v>
      </c>
      <c r="EZ23">
        <v>228.1331966109303</v>
      </c>
      <c r="FA23">
        <v>26.999038073302948</v>
      </c>
      <c r="FB23">
        <v>41.012932399274519</v>
      </c>
      <c r="FC23">
        <v>1.2635973551328079</v>
      </c>
      <c r="FD23">
        <v>9.4495253085718343</v>
      </c>
      <c r="FE23">
        <v>10.68905150427187</v>
      </c>
      <c r="FF23">
        <v>43.014606633819753</v>
      </c>
      <c r="FG23">
        <v>22.325399515839731</v>
      </c>
      <c r="FH23">
        <v>43.867773201061837</v>
      </c>
      <c r="FI23">
        <v>19.341345148127228</v>
      </c>
      <c r="FJ23">
        <v>52.458977470399383</v>
      </c>
      <c r="FK23">
        <v>0</v>
      </c>
      <c r="FL23">
        <v>301.43937338769899</v>
      </c>
      <c r="FM23">
        <v>4.5094340739314918</v>
      </c>
      <c r="FN23">
        <v>9.7611197413454392E-2</v>
      </c>
      <c r="FO23">
        <v>48.461492039805563</v>
      </c>
      <c r="FP23">
        <v>20.2250943118162</v>
      </c>
      <c r="FQ23">
        <v>300.2530931375494</v>
      </c>
      <c r="FR23">
        <v>141.28700541792881</v>
      </c>
      <c r="FS23">
        <v>287.46906374805792</v>
      </c>
      <c r="FT23">
        <v>1.0052914688826251</v>
      </c>
      <c r="FU23">
        <v>1.0638492939675519</v>
      </c>
      <c r="FV23">
        <v>0.48154372156205139</v>
      </c>
      <c r="FW23">
        <v>1.278793158770877</v>
      </c>
      <c r="FX23">
        <v>0.2203343222391809</v>
      </c>
      <c r="FY23">
        <v>0.30246153992892261</v>
      </c>
      <c r="FZ23">
        <v>1.172140276586501</v>
      </c>
      <c r="GA23">
        <v>8.4271762807920134E-2</v>
      </c>
      <c r="GB23">
        <v>7.0344034651328904E-3</v>
      </c>
      <c r="GC23">
        <v>1.0621906952526601</v>
      </c>
      <c r="GD23">
        <v>0.63914930866470154</v>
      </c>
      <c r="GE23">
        <v>1.9206925446356219E-2</v>
      </c>
      <c r="GF23">
        <v>0.41733777248730147</v>
      </c>
      <c r="GG23">
        <v>0.76513725789364717</v>
      </c>
      <c r="GH23">
        <v>0.70815859460797126</v>
      </c>
      <c r="GI23">
        <v>0.47317196999128952</v>
      </c>
      <c r="GJ23">
        <v>0.14531222754175591</v>
      </c>
      <c r="GK23">
        <v>1.7183821861492199</v>
      </c>
      <c r="GL23">
        <v>7.8566387135482391E-2</v>
      </c>
      <c r="GM23">
        <v>0.26263222649582157</v>
      </c>
      <c r="GN23">
        <v>42.657807984025432</v>
      </c>
      <c r="GO23">
        <v>165.8596121137661</v>
      </c>
      <c r="GP23">
        <v>29.82616977043627</v>
      </c>
      <c r="GQ23">
        <v>0</v>
      </c>
      <c r="GR23">
        <v>71.644904126901963</v>
      </c>
      <c r="GS23">
        <v>94.99267470559758</v>
      </c>
      <c r="GT23">
        <v>433.49428175456188</v>
      </c>
      <c r="GU23">
        <v>118.0435476476467</v>
      </c>
      <c r="GV23">
        <v>112.10426411978359</v>
      </c>
      <c r="GW23">
        <v>389.86505882207189</v>
      </c>
      <c r="GX23">
        <v>587.08775560313688</v>
      </c>
      <c r="GY23">
        <v>316.52219800944852</v>
      </c>
      <c r="GZ23">
        <v>22.934261347644831</v>
      </c>
      <c r="HA23">
        <v>217.48106009054791</v>
      </c>
      <c r="HB23">
        <v>228.1331966109303</v>
      </c>
      <c r="HC23">
        <v>1232.9163865505659</v>
      </c>
    </row>
    <row r="24" spans="1:211" x14ac:dyDescent="0.45">
      <c r="A24" s="1" t="s">
        <v>9</v>
      </c>
      <c r="B24">
        <v>269.17285492361128</v>
      </c>
      <c r="C24">
        <v>16.90810066520821</v>
      </c>
      <c r="D24">
        <v>15.61184606754901</v>
      </c>
      <c r="E24">
        <v>126.910684590995</v>
      </c>
      <c r="F24">
        <v>18.733928814456721</v>
      </c>
      <c r="G24">
        <v>0</v>
      </c>
      <c r="H24">
        <v>21.194480781434368</v>
      </c>
      <c r="I24">
        <v>0</v>
      </c>
      <c r="J24">
        <v>0</v>
      </c>
      <c r="K24">
        <v>0</v>
      </c>
      <c r="L24">
        <v>63.364966861431043</v>
      </c>
      <c r="M24">
        <v>48.292510931415883</v>
      </c>
      <c r="N24">
        <v>4.0704951169596004</v>
      </c>
      <c r="O24">
        <v>4.9834223764100951</v>
      </c>
      <c r="P24">
        <v>0</v>
      </c>
      <c r="Q24">
        <v>0</v>
      </c>
      <c r="R24">
        <v>0</v>
      </c>
      <c r="S24">
        <v>3.600673714712781</v>
      </c>
      <c r="T24">
        <v>1.0564435296578341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1.0149363876477951E-2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197.62212498276779</v>
      </c>
      <c r="AS24">
        <v>22.92331847100931</v>
      </c>
      <c r="AT24">
        <v>46.796583566745738</v>
      </c>
      <c r="AU24">
        <v>115.4510382016138</v>
      </c>
      <c r="AV24">
        <v>0.60711674993265674</v>
      </c>
      <c r="AW24">
        <v>104.56511491139879</v>
      </c>
      <c r="AX24">
        <v>9.6134017444265904E-2</v>
      </c>
      <c r="AY24">
        <v>9.1666634497216251</v>
      </c>
      <c r="AZ24">
        <v>279.76072122955833</v>
      </c>
      <c r="BA24">
        <v>65.235765786921931</v>
      </c>
      <c r="BB24">
        <v>43.645666548744309</v>
      </c>
      <c r="BC24">
        <v>0.26034875611233771</v>
      </c>
      <c r="BD24">
        <v>6.1735671766623037</v>
      </c>
      <c r="BE24">
        <v>3.3162036890331441</v>
      </c>
      <c r="BF24">
        <v>0.86112183883785098</v>
      </c>
      <c r="BG24">
        <v>0.27572393719403088</v>
      </c>
      <c r="BH24">
        <v>5.8282864695587737E-2</v>
      </c>
      <c r="BI24">
        <v>0</v>
      </c>
      <c r="BJ24">
        <v>0</v>
      </c>
      <c r="BK24">
        <v>3.263655846147016</v>
      </c>
      <c r="BL24">
        <v>1.0519036837692819</v>
      </c>
      <c r="BM24">
        <v>1.252696940986577E-6</v>
      </c>
      <c r="BN24">
        <v>0</v>
      </c>
      <c r="BO24">
        <v>0</v>
      </c>
      <c r="BP24">
        <v>0.41792329422324431</v>
      </c>
      <c r="BQ24">
        <v>0</v>
      </c>
      <c r="BR24">
        <v>0</v>
      </c>
      <c r="BS24">
        <v>9.9830206421723283E-4</v>
      </c>
      <c r="BT24">
        <v>0</v>
      </c>
      <c r="BU24">
        <v>0.29696154149839171</v>
      </c>
      <c r="BV24">
        <v>2.9541675627721999E-5</v>
      </c>
      <c r="BW24">
        <v>0</v>
      </c>
      <c r="BX24">
        <v>7.0600502020981152E-3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27.63446302201001</v>
      </c>
      <c r="CJ24">
        <v>0.8282706236714017</v>
      </c>
      <c r="CK24">
        <v>9.177625093565009</v>
      </c>
      <c r="CL24">
        <v>0.23881156971301079</v>
      </c>
      <c r="CM24">
        <v>4.7527498794229777</v>
      </c>
      <c r="CN24">
        <v>0</v>
      </c>
      <c r="CO24">
        <v>0</v>
      </c>
      <c r="CP24">
        <v>5.6359177396008188E-2</v>
      </c>
      <c r="CQ24">
        <v>6.6132768456956162E-2</v>
      </c>
      <c r="CR24">
        <v>0</v>
      </c>
      <c r="CS24">
        <v>0</v>
      </c>
      <c r="CT24">
        <v>0</v>
      </c>
      <c r="CU24">
        <v>0.2137019693353433</v>
      </c>
      <c r="CV24">
        <v>3.2990271764589033E-2</v>
      </c>
      <c r="CW24">
        <v>5.1000445183106972E-2</v>
      </c>
      <c r="CX24">
        <v>2.2964874101932152E-3</v>
      </c>
      <c r="CY24">
        <v>0.30145743089829902</v>
      </c>
      <c r="CZ24">
        <v>6.4776243778751716E-6</v>
      </c>
      <c r="DA24">
        <v>2.844434699892924E-7</v>
      </c>
      <c r="DB24">
        <v>0</v>
      </c>
      <c r="DC24">
        <v>0</v>
      </c>
      <c r="DD24">
        <v>1.262201726318323E-4</v>
      </c>
      <c r="DE24">
        <v>2.1648661567277831E-5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1.53547706567366E-5</v>
      </c>
      <c r="DM24">
        <v>0.40647230168412313</v>
      </c>
      <c r="DN24">
        <v>3.3906305389122177E-2</v>
      </c>
      <c r="DO24">
        <v>0</v>
      </c>
      <c r="DP24">
        <v>0.2219096977789855</v>
      </c>
      <c r="DQ24">
        <v>0.17257782462275639</v>
      </c>
      <c r="DR24">
        <v>0.20967674066872741</v>
      </c>
      <c r="DS24">
        <v>3.3466371982439949</v>
      </c>
      <c r="DT24">
        <v>9.2341992039486703E-2</v>
      </c>
      <c r="DU24">
        <v>0.84799536134295117</v>
      </c>
      <c r="DV24">
        <v>0</v>
      </c>
      <c r="DW24">
        <v>0</v>
      </c>
      <c r="DX24">
        <v>0.21936645926920459</v>
      </c>
      <c r="DY24">
        <v>8.8497566554821147E-2</v>
      </c>
      <c r="DZ24">
        <v>4.735350549839314</v>
      </c>
      <c r="EA24">
        <v>0.65930427249747436</v>
      </c>
      <c r="EB24">
        <v>6.598281126618355E-2</v>
      </c>
      <c r="EC24">
        <v>1.6000946323619501E-2</v>
      </c>
      <c r="ED24">
        <v>4.6170167757990113E-2</v>
      </c>
      <c r="EE24">
        <v>5.7626992230053664E-3</v>
      </c>
      <c r="EF24">
        <v>0</v>
      </c>
      <c r="EG24">
        <v>2.2041724895710789E-3</v>
      </c>
      <c r="EH24">
        <v>0</v>
      </c>
      <c r="EI24">
        <v>0</v>
      </c>
      <c r="EJ24">
        <v>0.89354262274144769</v>
      </c>
      <c r="EK24">
        <v>0.68400256189977471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0.89516523999712339</v>
      </c>
      <c r="ER24">
        <v>0.80578961550878814</v>
      </c>
      <c r="ES24">
        <v>0.51146864695253902</v>
      </c>
      <c r="ET24">
        <v>1.381392823345527</v>
      </c>
      <c r="EU24">
        <v>0</v>
      </c>
      <c r="EV24">
        <v>0.59368312943217949</v>
      </c>
      <c r="EW24">
        <v>0.17858066136251499</v>
      </c>
      <c r="EX24">
        <v>0.45011012947549489</v>
      </c>
      <c r="EY24">
        <v>0.43008351950643459</v>
      </c>
      <c r="EZ24">
        <v>104.84927003630381</v>
      </c>
      <c r="FA24">
        <v>1.070350551302518</v>
      </c>
      <c r="FB24">
        <v>1.274361440500648</v>
      </c>
      <c r="FC24">
        <v>5.0290262713413442E-2</v>
      </c>
      <c r="FD24">
        <v>7.6484156254458396E-2</v>
      </c>
      <c r="FE24">
        <v>0.1390961365710863</v>
      </c>
      <c r="FF24">
        <v>1.379137161769155</v>
      </c>
      <c r="FG24">
        <v>0.91593750723707568</v>
      </c>
      <c r="FH24">
        <v>3.2835814318960952</v>
      </c>
      <c r="FI24">
        <v>0.8360495018718922</v>
      </c>
      <c r="FJ24">
        <v>2.5031572752036411</v>
      </c>
      <c r="FK24">
        <v>0</v>
      </c>
      <c r="FL24">
        <v>22.966718320253371</v>
      </c>
      <c r="FM24">
        <v>0.51884892450358799</v>
      </c>
      <c r="FN24">
        <v>6.4223817651246368E-3</v>
      </c>
      <c r="FO24">
        <v>3.32049149704492</v>
      </c>
      <c r="FP24">
        <v>1.984720732103409</v>
      </c>
      <c r="FQ24">
        <v>20.172766947844789</v>
      </c>
      <c r="FR24">
        <v>30.523337250999639</v>
      </c>
      <c r="FS24">
        <v>38.241781465489048</v>
      </c>
      <c r="FT24">
        <v>6.9419336886700725E-2</v>
      </c>
      <c r="FU24">
        <v>7.2717623174759716E-2</v>
      </c>
      <c r="FV24">
        <v>2.9684637761201001E-2</v>
      </c>
      <c r="FW24">
        <v>8.5846961627951357E-2</v>
      </c>
      <c r="FX24">
        <v>1.4507754765362139E-2</v>
      </c>
      <c r="FY24">
        <v>1.9672552206028961E-2</v>
      </c>
      <c r="FZ24">
        <v>8.2463039789986467E-2</v>
      </c>
      <c r="GA24">
        <v>5.5811741624524208E-3</v>
      </c>
      <c r="GB24">
        <v>4.3911714533740638E-4</v>
      </c>
      <c r="GC24">
        <v>6.2633290736669706E-2</v>
      </c>
      <c r="GD24">
        <v>4.5896469401594593E-2</v>
      </c>
      <c r="GE24">
        <v>6.9021666731415698E-5</v>
      </c>
      <c r="GF24">
        <v>2.405450744310331E-2</v>
      </c>
      <c r="GG24">
        <v>4.2551866419346628E-2</v>
      </c>
      <c r="GH24">
        <v>3.703421298474982E-2</v>
      </c>
      <c r="GI24">
        <v>2.5402749647093902E-2</v>
      </c>
      <c r="GJ24">
        <v>6.6050469978943512E-3</v>
      </c>
      <c r="GK24">
        <v>0.1095230554102145</v>
      </c>
      <c r="GL24">
        <v>4.0687194878299996E-3</v>
      </c>
      <c r="GM24">
        <v>1.524049515219543E-2</v>
      </c>
      <c r="GN24">
        <v>3.5627407295267739</v>
      </c>
      <c r="GO24">
        <v>28.935340834496309</v>
      </c>
      <c r="GP24">
        <v>0.24958469770844691</v>
      </c>
      <c r="GQ24">
        <v>0</v>
      </c>
      <c r="GR24">
        <v>127.5178013409277</v>
      </c>
      <c r="GS24">
        <v>197.62212498276779</v>
      </c>
      <c r="GT24">
        <v>296.82841803221572</v>
      </c>
      <c r="GU24">
        <v>109.6920535580162</v>
      </c>
      <c r="GV24">
        <v>109.5485372878089</v>
      </c>
      <c r="GW24">
        <v>707.26656430800517</v>
      </c>
      <c r="GX24">
        <v>71.086936662035782</v>
      </c>
      <c r="GY24">
        <v>14.918594088338221</v>
      </c>
      <c r="GZ24">
        <v>10.350892704533299</v>
      </c>
      <c r="HA24">
        <v>26.0344951064166</v>
      </c>
      <c r="HB24">
        <v>104.84927003630381</v>
      </c>
      <c r="HC24">
        <v>137.97209889728711</v>
      </c>
    </row>
    <row r="25" spans="1:211" x14ac:dyDescent="0.45">
      <c r="A25" s="1" t="s">
        <v>10</v>
      </c>
      <c r="B25">
        <v>269.46898607367621</v>
      </c>
      <c r="C25">
        <v>27.069757309992621</v>
      </c>
      <c r="D25">
        <v>16.014514158976539</v>
      </c>
      <c r="E25">
        <v>198.36401049866399</v>
      </c>
      <c r="F25">
        <v>20.724842071645138</v>
      </c>
      <c r="G25">
        <v>0</v>
      </c>
      <c r="H25">
        <v>21.84829597836298</v>
      </c>
      <c r="I25">
        <v>0</v>
      </c>
      <c r="J25">
        <v>0</v>
      </c>
      <c r="K25">
        <v>0</v>
      </c>
      <c r="L25">
        <v>107.0256110358776</v>
      </c>
      <c r="M25">
        <v>89.152773951471247</v>
      </c>
      <c r="N25">
        <v>8.5854018525628923</v>
      </c>
      <c r="O25">
        <v>9.2419730812983367</v>
      </c>
      <c r="P25">
        <v>0</v>
      </c>
      <c r="Q25">
        <v>0</v>
      </c>
      <c r="R25">
        <v>0</v>
      </c>
      <c r="S25">
        <v>11.283791286212329</v>
      </c>
      <c r="T25">
        <v>6.7393710268058626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0.66007996370554622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292.61479968836551</v>
      </c>
      <c r="AS25">
        <v>37.722661434054189</v>
      </c>
      <c r="AT25">
        <v>124.7521874736791</v>
      </c>
      <c r="AU25">
        <v>371.66946589169538</v>
      </c>
      <c r="AV25">
        <v>0.79869496916567972</v>
      </c>
      <c r="AW25">
        <v>212.41082832629411</v>
      </c>
      <c r="AX25">
        <v>0.13521517276498121</v>
      </c>
      <c r="AY25">
        <v>11.44094266795366</v>
      </c>
      <c r="AZ25">
        <v>564.09333038194609</v>
      </c>
      <c r="BA25">
        <v>133.72375280440679</v>
      </c>
      <c r="BB25">
        <v>73.163424070024277</v>
      </c>
      <c r="BC25">
        <v>2.5328339092970471</v>
      </c>
      <c r="BD25">
        <v>18.171617986490169</v>
      </c>
      <c r="BE25">
        <v>13.526084047451301</v>
      </c>
      <c r="BF25">
        <v>1.587452018236658</v>
      </c>
      <c r="BG25">
        <v>2.0409132038288389</v>
      </c>
      <c r="BH25">
        <v>0.89334988820416805</v>
      </c>
      <c r="BI25">
        <v>0</v>
      </c>
      <c r="BJ25">
        <v>0</v>
      </c>
      <c r="BK25">
        <v>10.832829667529779</v>
      </c>
      <c r="BL25">
        <v>10.868698572258801</v>
      </c>
      <c r="BM25">
        <v>1.149816478723933E-4</v>
      </c>
      <c r="BN25">
        <v>0</v>
      </c>
      <c r="BO25">
        <v>0</v>
      </c>
      <c r="BP25">
        <v>39.252927756497662</v>
      </c>
      <c r="BQ25">
        <v>0</v>
      </c>
      <c r="BR25">
        <v>0</v>
      </c>
      <c r="BS25">
        <v>9.3764507098654776E-2</v>
      </c>
      <c r="BT25">
        <v>0</v>
      </c>
      <c r="BU25">
        <v>27.8915924106233</v>
      </c>
      <c r="BV25">
        <v>2.7746689638137069E-3</v>
      </c>
      <c r="BW25">
        <v>0</v>
      </c>
      <c r="BX25">
        <v>0.66310755556406309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161.53420122610339</v>
      </c>
      <c r="CJ25">
        <v>6.8263290558885954</v>
      </c>
      <c r="CK25">
        <v>9.1868608330494155</v>
      </c>
      <c r="CL25">
        <v>0.32164077395671081</v>
      </c>
      <c r="CM25">
        <v>43.030940916454753</v>
      </c>
      <c r="CN25">
        <v>0</v>
      </c>
      <c r="CO25">
        <v>0</v>
      </c>
      <c r="CP25">
        <v>0.65702241343978562</v>
      </c>
      <c r="CQ25">
        <v>0.7710000885630981</v>
      </c>
      <c r="CR25">
        <v>0</v>
      </c>
      <c r="CS25">
        <v>0</v>
      </c>
      <c r="CT25">
        <v>0</v>
      </c>
      <c r="CU25">
        <v>1.837371811893137</v>
      </c>
      <c r="CV25">
        <v>4.7569406593885977E-2</v>
      </c>
      <c r="CW25">
        <v>0.14382630273975949</v>
      </c>
      <c r="CX25">
        <v>1.9809089393196689E-2</v>
      </c>
      <c r="CY25">
        <v>2.5220106289088999</v>
      </c>
      <c r="CZ25">
        <v>1.658496258304217E-5</v>
      </c>
      <c r="DA25">
        <v>4.1381913275061886E-6</v>
      </c>
      <c r="DB25">
        <v>0</v>
      </c>
      <c r="DC25">
        <v>0</v>
      </c>
      <c r="DD25">
        <v>1.5855096625353041E-3</v>
      </c>
      <c r="DE25">
        <v>8.3363883267177934E-4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3.6474206186445847E-4</v>
      </c>
      <c r="DM25">
        <v>9.4160521662091519</v>
      </c>
      <c r="DN25">
        <v>0.7572273453052023</v>
      </c>
      <c r="DO25">
        <v>0</v>
      </c>
      <c r="DP25">
        <v>4.410464460249373</v>
      </c>
      <c r="DQ25">
        <v>4.4787439511640326</v>
      </c>
      <c r="DR25">
        <v>4.9510409314204482</v>
      </c>
      <c r="DS25">
        <v>76.81130916112356</v>
      </c>
      <c r="DT25">
        <v>3.4312481681707099</v>
      </c>
      <c r="DU25">
        <v>18.46690757517166</v>
      </c>
      <c r="DV25">
        <v>0</v>
      </c>
      <c r="DW25">
        <v>0</v>
      </c>
      <c r="DX25">
        <v>1.975195031246175</v>
      </c>
      <c r="DY25">
        <v>1.1708904803738049</v>
      </c>
      <c r="DZ25">
        <v>23.841641446117531</v>
      </c>
      <c r="EA25">
        <v>3.5325169005755752</v>
      </c>
      <c r="EB25">
        <v>0.53360927118713153</v>
      </c>
      <c r="EC25">
        <v>0.36852302975268308</v>
      </c>
      <c r="ED25">
        <v>0.44773404463043942</v>
      </c>
      <c r="EE25">
        <v>4.1595950049803647E-2</v>
      </c>
      <c r="EF25">
        <v>0</v>
      </c>
      <c r="EG25">
        <v>3.3979399477571851E-2</v>
      </c>
      <c r="EH25">
        <v>0</v>
      </c>
      <c r="EI25">
        <v>0</v>
      </c>
      <c r="EJ25">
        <v>3.262028953363401</v>
      </c>
      <c r="EK25">
        <v>9.4380466069942042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20.355392192851319</v>
      </c>
      <c r="ER25">
        <v>13.501773849198489</v>
      </c>
      <c r="ES25">
        <v>8.1487679407137321</v>
      </c>
      <c r="ET25">
        <v>17.860861015869379</v>
      </c>
      <c r="EU25">
        <v>0</v>
      </c>
      <c r="EV25">
        <v>19.421359223297902</v>
      </c>
      <c r="EW25">
        <v>1.3099677133743839</v>
      </c>
      <c r="EX25">
        <v>8.4826063626427057</v>
      </c>
      <c r="EY25">
        <v>7.1727667672309599</v>
      </c>
      <c r="EZ25">
        <v>332.98246664723411</v>
      </c>
      <c r="FA25">
        <v>28.06938862460547</v>
      </c>
      <c r="FB25">
        <v>42.287293839775167</v>
      </c>
      <c r="FC25">
        <v>1.313887617846222</v>
      </c>
      <c r="FD25">
        <v>9.5260094648262932</v>
      </c>
      <c r="FE25">
        <v>10.82814764084295</v>
      </c>
      <c r="FF25">
        <v>44.393743795588897</v>
      </c>
      <c r="FG25">
        <v>23.241337023076809</v>
      </c>
      <c r="FH25">
        <v>47.15135463295794</v>
      </c>
      <c r="FI25">
        <v>20.177394649999119</v>
      </c>
      <c r="FJ25">
        <v>54.962134745603016</v>
      </c>
      <c r="FK25">
        <v>0</v>
      </c>
      <c r="FL25">
        <v>324.40609170795238</v>
      </c>
      <c r="FM25">
        <v>5.0282829984350794</v>
      </c>
      <c r="FN25">
        <v>0.104033579178579</v>
      </c>
      <c r="FO25">
        <v>51.781983536850483</v>
      </c>
      <c r="FP25">
        <v>22.209815043919601</v>
      </c>
      <c r="FQ25">
        <v>320.42586008539422</v>
      </c>
      <c r="FR25">
        <v>171.81034266892851</v>
      </c>
      <c r="FS25">
        <v>325.71084521354692</v>
      </c>
      <c r="FT25">
        <v>1.074710805769326</v>
      </c>
      <c r="FU25">
        <v>1.1365669171423121</v>
      </c>
      <c r="FV25">
        <v>0.51122835932325239</v>
      </c>
      <c r="FW25">
        <v>1.3646401203988281</v>
      </c>
      <c r="FX25">
        <v>0.23484207700454299</v>
      </c>
      <c r="FY25">
        <v>0.32213409213495148</v>
      </c>
      <c r="FZ25">
        <v>1.254603316376488</v>
      </c>
      <c r="GA25">
        <v>8.9852936970372554E-2</v>
      </c>
      <c r="GB25">
        <v>7.4735206104702958E-3</v>
      </c>
      <c r="GC25">
        <v>1.124823985989329</v>
      </c>
      <c r="GD25">
        <v>0.68504577806629618</v>
      </c>
      <c r="GE25">
        <v>1.9275947113087631E-2</v>
      </c>
      <c r="GF25">
        <v>0.44139227993040492</v>
      </c>
      <c r="GG25">
        <v>0.80768912431299378</v>
      </c>
      <c r="GH25">
        <v>0.74519280759272111</v>
      </c>
      <c r="GI25">
        <v>0.49857471963838329</v>
      </c>
      <c r="GJ25">
        <v>0.1519172745396502</v>
      </c>
      <c r="GK25">
        <v>1.8279052415594339</v>
      </c>
      <c r="GL25">
        <v>8.2635106623312388E-2</v>
      </c>
      <c r="GM25">
        <v>0.27787272164801702</v>
      </c>
      <c r="GN25">
        <v>46.220548713552198</v>
      </c>
      <c r="GO25">
        <v>194.79495294826239</v>
      </c>
      <c r="GP25">
        <v>30.075754468144719</v>
      </c>
      <c r="GQ25">
        <v>0</v>
      </c>
      <c r="GR25">
        <v>199.16270546782971</v>
      </c>
      <c r="GS25">
        <v>292.61479968836551</v>
      </c>
      <c r="GT25">
        <v>730.32269978677766</v>
      </c>
      <c r="GU25">
        <v>227.7356012056629</v>
      </c>
      <c r="GV25">
        <v>221.65280140759239</v>
      </c>
      <c r="GW25">
        <v>1097.1316231300771</v>
      </c>
      <c r="GX25">
        <v>658.17469226517267</v>
      </c>
      <c r="GY25">
        <v>331.44079209778681</v>
      </c>
      <c r="GZ25">
        <v>33.285154052178143</v>
      </c>
      <c r="HA25">
        <v>243.5155551969645</v>
      </c>
      <c r="HB25">
        <v>332.98246664723411</v>
      </c>
      <c r="HC25">
        <v>1370.888485447854</v>
      </c>
    </row>
    <row r="26" spans="1:211" x14ac:dyDescent="0.45">
      <c r="A26" s="1" t="s">
        <v>11</v>
      </c>
      <c r="B26">
        <v>16.779542543166329</v>
      </c>
      <c r="C26">
        <v>9.3555292518261801</v>
      </c>
      <c r="D26">
        <v>0.89676711062254011</v>
      </c>
      <c r="E26">
        <v>1518.2351913760101</v>
      </c>
      <c r="F26">
        <v>51.207889520391063</v>
      </c>
      <c r="G26">
        <v>0</v>
      </c>
      <c r="H26">
        <v>2.4595524764288208</v>
      </c>
      <c r="I26">
        <v>397.556277430649</v>
      </c>
      <c r="J26">
        <v>0</v>
      </c>
      <c r="K26">
        <v>0</v>
      </c>
      <c r="L26">
        <v>1.293826873218296</v>
      </c>
      <c r="M26">
        <v>18.109991166217871</v>
      </c>
      <c r="N26">
        <v>36.502243676200017</v>
      </c>
      <c r="O26">
        <v>0</v>
      </c>
      <c r="P26">
        <v>0</v>
      </c>
      <c r="Q26">
        <v>0</v>
      </c>
      <c r="R26">
        <v>0</v>
      </c>
      <c r="S26">
        <v>1.898265451479487</v>
      </c>
      <c r="T26">
        <v>9.5719549189714659</v>
      </c>
      <c r="U26">
        <v>1.467929700981152E-3</v>
      </c>
      <c r="V26">
        <v>0</v>
      </c>
      <c r="W26">
        <v>2.1190939148543881E-2</v>
      </c>
      <c r="X26">
        <v>0</v>
      </c>
      <c r="Y26">
        <v>6.4902290118708282E-3</v>
      </c>
      <c r="Z26">
        <v>0</v>
      </c>
      <c r="AA26">
        <v>0</v>
      </c>
      <c r="AB26">
        <v>0</v>
      </c>
      <c r="AC26">
        <v>0</v>
      </c>
      <c r="AD26">
        <v>1.2555580760658009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54.324663697299407</v>
      </c>
      <c r="AS26">
        <v>46.447116931620243</v>
      </c>
      <c r="AT26">
        <v>29.008042783475929</v>
      </c>
      <c r="AU26">
        <v>39.352724953787963</v>
      </c>
      <c r="AV26">
        <v>13.853734362461999</v>
      </c>
      <c r="AW26">
        <v>54.875818850379027</v>
      </c>
      <c r="AX26">
        <v>22.1407197284625</v>
      </c>
      <c r="AY26">
        <v>29.787785097762331</v>
      </c>
      <c r="AZ26">
        <v>712.39197501055708</v>
      </c>
      <c r="BA26">
        <v>58.240901746540331</v>
      </c>
      <c r="BB26">
        <v>104.59219399458939</v>
      </c>
      <c r="BC26">
        <v>125.910689712725</v>
      </c>
      <c r="BD26">
        <v>109.41912778133791</v>
      </c>
      <c r="BE26">
        <v>268.98096153844949</v>
      </c>
      <c r="BF26">
        <v>290.42734729965491</v>
      </c>
      <c r="BG26">
        <v>5.8775085031813106</v>
      </c>
      <c r="BH26">
        <v>0</v>
      </c>
      <c r="BI26">
        <v>0</v>
      </c>
      <c r="BJ26">
        <v>0</v>
      </c>
      <c r="BK26">
        <v>15.206808874278289</v>
      </c>
      <c r="BL26">
        <v>5.7096522350698118</v>
      </c>
      <c r="BM26">
        <v>2.4066797438843351E-4</v>
      </c>
      <c r="BN26">
        <v>0</v>
      </c>
      <c r="BO26">
        <v>0</v>
      </c>
      <c r="BP26">
        <v>36.54894424152009</v>
      </c>
      <c r="BQ26">
        <v>1.0228906727320169E-4</v>
      </c>
      <c r="BR26">
        <v>0</v>
      </c>
      <c r="BS26">
        <v>0.42356446391901081</v>
      </c>
      <c r="BT26">
        <v>0.25777282747125968</v>
      </c>
      <c r="BU26">
        <v>24.961681138850409</v>
      </c>
      <c r="BV26">
        <v>3.6955902273581413E-2</v>
      </c>
      <c r="BW26">
        <v>0</v>
      </c>
      <c r="BX26">
        <v>1.9052529661106281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69.864182915165074</v>
      </c>
      <c r="CJ26">
        <v>0</v>
      </c>
      <c r="CK26">
        <v>0.49544756405217089</v>
      </c>
      <c r="CL26">
        <v>6.9062867981622276</v>
      </c>
      <c r="CM26">
        <v>102.84419599275439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8.1330276485196134</v>
      </c>
      <c r="CV26">
        <v>1.3036832534169881E-3</v>
      </c>
      <c r="CW26">
        <v>1.4406747325565719E-2</v>
      </c>
      <c r="CX26">
        <v>0</v>
      </c>
      <c r="CY26">
        <v>5.6448219691379569</v>
      </c>
      <c r="CZ26">
        <v>7.5690247649665412E-5</v>
      </c>
      <c r="DA26">
        <v>0</v>
      </c>
      <c r="DB26">
        <v>2.205075390505996E-2</v>
      </c>
      <c r="DC26">
        <v>0</v>
      </c>
      <c r="DD26">
        <v>1.431056106779092E-2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6.7425732082145654E-2</v>
      </c>
      <c r="DK26">
        <v>0</v>
      </c>
      <c r="DL26">
        <v>0</v>
      </c>
      <c r="DM26">
        <v>15.614915468750731</v>
      </c>
      <c r="DN26">
        <v>1.0599436879828359</v>
      </c>
      <c r="DO26">
        <v>24.683148669373139</v>
      </c>
      <c r="DP26">
        <v>10.955225414734141</v>
      </c>
      <c r="DQ26">
        <v>12.996217351011349</v>
      </c>
      <c r="DR26">
        <v>8.1606566182075095</v>
      </c>
      <c r="DS26">
        <v>123.10857236015769</v>
      </c>
      <c r="DT26">
        <v>7.4899649831909363</v>
      </c>
      <c r="DU26">
        <v>117.36646370405479</v>
      </c>
      <c r="DV26">
        <v>0</v>
      </c>
      <c r="DW26">
        <v>0</v>
      </c>
      <c r="DX26">
        <v>0.49851726344651331</v>
      </c>
      <c r="DY26">
        <v>0.30994006944229391</v>
      </c>
      <c r="DZ26">
        <v>3.547670965955974</v>
      </c>
      <c r="EA26">
        <v>0.26563578566416191</v>
      </c>
      <c r="EB26">
        <v>2.1125134247344381E-2</v>
      </c>
      <c r="EC26">
        <v>3.0977402528969519E-2</v>
      </c>
      <c r="ED26">
        <v>6.8726225664871798E-2</v>
      </c>
      <c r="EE26">
        <v>2.048643460595961E-2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0.65947941355952455</v>
      </c>
      <c r="EY26">
        <v>0</v>
      </c>
      <c r="EZ26">
        <v>0</v>
      </c>
      <c r="FA26">
        <v>5.3895670379078702</v>
      </c>
      <c r="FB26">
        <v>15.937621795591509</v>
      </c>
      <c r="FC26">
        <v>5.0813476166644833E-3</v>
      </c>
      <c r="FD26">
        <v>27.290131330334042</v>
      </c>
      <c r="FE26">
        <v>2.3012287948013328</v>
      </c>
      <c r="FF26">
        <v>47.129872807519732</v>
      </c>
      <c r="FG26">
        <v>3.8510321870039328</v>
      </c>
      <c r="FH26">
        <v>7.013275147861993</v>
      </c>
      <c r="FI26">
        <v>2.474951754561062</v>
      </c>
      <c r="FJ26">
        <v>2.7298073976078832</v>
      </c>
      <c r="FK26">
        <v>0</v>
      </c>
      <c r="FL26">
        <v>0</v>
      </c>
      <c r="FM26">
        <v>0</v>
      </c>
      <c r="FN26">
        <v>8.0897520206730036E-3</v>
      </c>
      <c r="FO26">
        <v>17.511293004413929</v>
      </c>
      <c r="FP26">
        <v>3.0307606197654748</v>
      </c>
      <c r="FQ26">
        <v>7.3983494153703653</v>
      </c>
      <c r="FR26">
        <v>5.27667345529228</v>
      </c>
      <c r="FS26">
        <v>12.634496959517531</v>
      </c>
      <c r="FT26">
        <v>1.6845696099219279E-2</v>
      </c>
      <c r="FU26">
        <v>1.5933550871980329E-2</v>
      </c>
      <c r="FV26">
        <v>7.1923714236628196E-3</v>
      </c>
      <c r="FW26">
        <v>2.8689406296490329E-2</v>
      </c>
      <c r="FX26">
        <v>2.9126352335255398E-3</v>
      </c>
      <c r="FY26">
        <v>4.6563504398357001E-3</v>
      </c>
      <c r="FZ26">
        <v>1.7880931524541899E-2</v>
      </c>
      <c r="GA26">
        <v>7.5773455425743458E-4</v>
      </c>
      <c r="GB26">
        <v>1.324711084162035E-4</v>
      </c>
      <c r="GC26">
        <v>2.571413242371064E-2</v>
      </c>
      <c r="GD26">
        <v>1.7614182779576829E-2</v>
      </c>
      <c r="GE26">
        <v>0</v>
      </c>
      <c r="GF26">
        <v>4.5078327764668767E-3</v>
      </c>
      <c r="GG26">
        <v>8.875895590254871E-3</v>
      </c>
      <c r="GH26">
        <v>9.0385761858757015E-3</v>
      </c>
      <c r="GI26">
        <v>6.0500418938229123E-3</v>
      </c>
      <c r="GJ26">
        <v>1.046552600380264E-3</v>
      </c>
      <c r="GK26">
        <v>2.05436164829986E-2</v>
      </c>
      <c r="GL26">
        <v>6.0831209883152029E-4</v>
      </c>
      <c r="GM26">
        <v>2.205129201740035E-3</v>
      </c>
      <c r="GN26">
        <v>0.89249926588355066</v>
      </c>
      <c r="GO26">
        <v>17.130224717772968</v>
      </c>
      <c r="GP26">
        <v>3.6548047127186938</v>
      </c>
      <c r="GQ26">
        <v>0</v>
      </c>
      <c r="GR26">
        <v>1532.088925738472</v>
      </c>
      <c r="GS26">
        <v>54.324663697299407</v>
      </c>
      <c r="GT26">
        <v>134.2117027083203</v>
      </c>
      <c r="GU26">
        <v>100.9500174455505</v>
      </c>
      <c r="GV26">
        <v>54.875818850379027</v>
      </c>
      <c r="GW26">
        <v>1521.0675272612721</v>
      </c>
      <c r="GX26">
        <v>143.72108118651809</v>
      </c>
      <c r="GY26">
        <v>297.54963423586258</v>
      </c>
      <c r="GZ26">
        <v>668.82743661944232</v>
      </c>
      <c r="HA26">
        <v>371.2648022217532</v>
      </c>
      <c r="HB26">
        <v>0</v>
      </c>
      <c r="HC26">
        <v>84.456943222935465</v>
      </c>
    </row>
    <row r="27" spans="1:211" x14ac:dyDescent="0.45">
      <c r="A27" s="1" t="s">
        <v>1</v>
      </c>
      <c r="B27">
        <v>286.24852861684252</v>
      </c>
      <c r="C27">
        <v>36.425286561818801</v>
      </c>
      <c r="D27">
        <v>16.91128126959908</v>
      </c>
      <c r="E27">
        <v>1716.599201874674</v>
      </c>
      <c r="F27">
        <v>71.932731592036191</v>
      </c>
      <c r="G27">
        <v>0</v>
      </c>
      <c r="H27">
        <v>24.307848454791809</v>
      </c>
      <c r="I27">
        <v>397.556277430649</v>
      </c>
      <c r="J27">
        <v>0</v>
      </c>
      <c r="K27">
        <v>0</v>
      </c>
      <c r="L27">
        <v>108.3194379090959</v>
      </c>
      <c r="M27">
        <v>107.2627651176891</v>
      </c>
      <c r="N27">
        <v>45.08764552876292</v>
      </c>
      <c r="O27">
        <v>9.2419730812983367</v>
      </c>
      <c r="P27">
        <v>0</v>
      </c>
      <c r="Q27">
        <v>0</v>
      </c>
      <c r="R27">
        <v>0</v>
      </c>
      <c r="S27">
        <v>13.182056737691809</v>
      </c>
      <c r="T27">
        <v>16.31132594577733</v>
      </c>
      <c r="U27">
        <v>1.467929700981152E-3</v>
      </c>
      <c r="V27">
        <v>0</v>
      </c>
      <c r="W27">
        <v>2.1190939148543881E-2</v>
      </c>
      <c r="X27">
        <v>0</v>
      </c>
      <c r="Y27">
        <v>6.4902290118708282E-3</v>
      </c>
      <c r="Z27">
        <v>0</v>
      </c>
      <c r="AA27">
        <v>0</v>
      </c>
      <c r="AB27">
        <v>0</v>
      </c>
      <c r="AC27">
        <v>0</v>
      </c>
      <c r="AD27">
        <v>1.9156380397713471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346.93946338566491</v>
      </c>
      <c r="AS27">
        <v>84.169778365674432</v>
      </c>
      <c r="AT27">
        <v>153.76023025715509</v>
      </c>
      <c r="AU27">
        <v>411.02219084548341</v>
      </c>
      <c r="AV27">
        <v>14.65242933162768</v>
      </c>
      <c r="AW27">
        <v>267.28664717667323</v>
      </c>
      <c r="AX27">
        <v>22.27593490122748</v>
      </c>
      <c r="AY27">
        <v>41.228727765715988</v>
      </c>
      <c r="AZ27">
        <v>1276.4853053925031</v>
      </c>
      <c r="BA27">
        <v>191.9646545509471</v>
      </c>
      <c r="BB27">
        <v>177.75561806461371</v>
      </c>
      <c r="BC27">
        <v>128.44352362202201</v>
      </c>
      <c r="BD27">
        <v>127.5907457678281</v>
      </c>
      <c r="BE27">
        <v>282.50704558590081</v>
      </c>
      <c r="BF27">
        <v>292.01479931789157</v>
      </c>
      <c r="BG27">
        <v>7.9184217070101504</v>
      </c>
      <c r="BH27">
        <v>0.89334988820416805</v>
      </c>
      <c r="BI27">
        <v>0</v>
      </c>
      <c r="BJ27">
        <v>0</v>
      </c>
      <c r="BK27">
        <v>26.03963854180807</v>
      </c>
      <c r="BL27">
        <v>16.578350807328611</v>
      </c>
      <c r="BM27">
        <v>3.5564962226082678E-4</v>
      </c>
      <c r="BN27">
        <v>0</v>
      </c>
      <c r="BO27">
        <v>0</v>
      </c>
      <c r="BP27">
        <v>75.801871998017745</v>
      </c>
      <c r="BQ27">
        <v>1.0228906727320169E-4</v>
      </c>
      <c r="BR27">
        <v>0</v>
      </c>
      <c r="BS27">
        <v>0.51732897101766562</v>
      </c>
      <c r="BT27">
        <v>0.25777282747125968</v>
      </c>
      <c r="BU27">
        <v>52.853273549473712</v>
      </c>
      <c r="BV27">
        <v>3.9730571237395117E-2</v>
      </c>
      <c r="BW27">
        <v>0</v>
      </c>
      <c r="BX27">
        <v>2.5683605216746912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231.39838414126851</v>
      </c>
      <c r="CJ27">
        <v>6.8263290558885954</v>
      </c>
      <c r="CK27">
        <v>9.6823083971015862</v>
      </c>
      <c r="CL27">
        <v>7.2279275721189382</v>
      </c>
      <c r="CM27">
        <v>145.87513690920909</v>
      </c>
      <c r="CN27">
        <v>0</v>
      </c>
      <c r="CO27">
        <v>0</v>
      </c>
      <c r="CP27">
        <v>0.65702241343978562</v>
      </c>
      <c r="CQ27">
        <v>0.7710000885630981</v>
      </c>
      <c r="CR27">
        <v>0</v>
      </c>
      <c r="CS27">
        <v>0</v>
      </c>
      <c r="CT27">
        <v>0</v>
      </c>
      <c r="CU27">
        <v>9.9703994604127502</v>
      </c>
      <c r="CV27">
        <v>4.8873089847302972E-2</v>
      </c>
      <c r="CW27">
        <v>0.1582330500653252</v>
      </c>
      <c r="CX27">
        <v>1.9809089393196689E-2</v>
      </c>
      <c r="CY27">
        <v>8.1668325980468559</v>
      </c>
      <c r="CZ27">
        <v>9.2275210232707579E-5</v>
      </c>
      <c r="DA27">
        <v>4.1381913275061886E-6</v>
      </c>
      <c r="DB27">
        <v>2.205075390505996E-2</v>
      </c>
      <c r="DC27">
        <v>0</v>
      </c>
      <c r="DD27">
        <v>1.5896070730326221E-2</v>
      </c>
      <c r="DE27">
        <v>8.3363883267177934E-4</v>
      </c>
      <c r="DF27">
        <v>0</v>
      </c>
      <c r="DG27">
        <v>0</v>
      </c>
      <c r="DH27">
        <v>0</v>
      </c>
      <c r="DI27">
        <v>0</v>
      </c>
      <c r="DJ27">
        <v>6.7425732082145654E-2</v>
      </c>
      <c r="DK27">
        <v>0</v>
      </c>
      <c r="DL27">
        <v>3.6474206186445847E-4</v>
      </c>
      <c r="DM27">
        <v>25.03096763495989</v>
      </c>
      <c r="DN27">
        <v>1.8171710332880391</v>
      </c>
      <c r="DO27">
        <v>24.683148669373139</v>
      </c>
      <c r="DP27">
        <v>15.365689874983509</v>
      </c>
      <c r="DQ27">
        <v>17.47496130217538</v>
      </c>
      <c r="DR27">
        <v>13.11169754962796</v>
      </c>
      <c r="DS27">
        <v>199.9198815212813</v>
      </c>
      <c r="DT27">
        <v>10.92121315136165</v>
      </c>
      <c r="DU27">
        <v>135.8333712792265</v>
      </c>
      <c r="DV27">
        <v>0</v>
      </c>
      <c r="DW27">
        <v>0</v>
      </c>
      <c r="DX27">
        <v>2.4737122946926879</v>
      </c>
      <c r="DY27">
        <v>1.480830549816099</v>
      </c>
      <c r="DZ27">
        <v>27.389312412073501</v>
      </c>
      <c r="EA27">
        <v>3.798152686239737</v>
      </c>
      <c r="EB27">
        <v>0.55473440543447594</v>
      </c>
      <c r="EC27">
        <v>0.39950043228165272</v>
      </c>
      <c r="ED27">
        <v>0.51646027029531116</v>
      </c>
      <c r="EE27">
        <v>6.2082384655763267E-2</v>
      </c>
      <c r="EF27">
        <v>0</v>
      </c>
      <c r="EG27">
        <v>3.3979399477571851E-2</v>
      </c>
      <c r="EH27">
        <v>0</v>
      </c>
      <c r="EI27">
        <v>0</v>
      </c>
      <c r="EJ27">
        <v>3.262028953363401</v>
      </c>
      <c r="EK27">
        <v>9.4380466069942042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20.355392192851319</v>
      </c>
      <c r="ER27">
        <v>13.501773849198489</v>
      </c>
      <c r="ES27">
        <v>8.1487679407137321</v>
      </c>
      <c r="ET27">
        <v>17.860861015869379</v>
      </c>
      <c r="EU27">
        <v>0</v>
      </c>
      <c r="EV27">
        <v>19.421359223297902</v>
      </c>
      <c r="EW27">
        <v>1.3099677133743839</v>
      </c>
      <c r="EX27">
        <v>9.1420857762022294</v>
      </c>
      <c r="EY27">
        <v>7.1727667672309599</v>
      </c>
      <c r="EZ27">
        <v>332.98246664723411</v>
      </c>
      <c r="FA27">
        <v>33.45895566251334</v>
      </c>
      <c r="FB27">
        <v>58.224915635366678</v>
      </c>
      <c r="FC27">
        <v>1.318968965462886</v>
      </c>
      <c r="FD27">
        <v>36.816140795160337</v>
      </c>
      <c r="FE27">
        <v>13.129376435644289</v>
      </c>
      <c r="FF27">
        <v>91.523616603108636</v>
      </c>
      <c r="FG27">
        <v>27.09236921008074</v>
      </c>
      <c r="FH27">
        <v>54.164629780819944</v>
      </c>
      <c r="FI27">
        <v>22.652346404560181</v>
      </c>
      <c r="FJ27">
        <v>57.691942143210909</v>
      </c>
      <c r="FK27">
        <v>0</v>
      </c>
      <c r="FL27">
        <v>324.40609170795238</v>
      </c>
      <c r="FM27">
        <v>5.0282829984350794</v>
      </c>
      <c r="FN27">
        <v>0.112123331199252</v>
      </c>
      <c r="FO27">
        <v>69.293276541264404</v>
      </c>
      <c r="FP27">
        <v>25.240575663685082</v>
      </c>
      <c r="FQ27">
        <v>327.82420950076448</v>
      </c>
      <c r="FR27">
        <v>177.08701612422081</v>
      </c>
      <c r="FS27">
        <v>338.34534217306452</v>
      </c>
      <c r="FT27">
        <v>1.0915565018685449</v>
      </c>
      <c r="FU27">
        <v>1.1525004680142921</v>
      </c>
      <c r="FV27">
        <v>0.51842073074691519</v>
      </c>
      <c r="FW27">
        <v>1.393329526695319</v>
      </c>
      <c r="FX27">
        <v>0.2377547122380686</v>
      </c>
      <c r="FY27">
        <v>0.32679044257478718</v>
      </c>
      <c r="FZ27">
        <v>1.272484247901029</v>
      </c>
      <c r="GA27">
        <v>9.0610671524629982E-2</v>
      </c>
      <c r="GB27">
        <v>7.6059917188864993E-3</v>
      </c>
      <c r="GC27">
        <v>1.1505381184130401</v>
      </c>
      <c r="GD27">
        <v>0.70265996084587301</v>
      </c>
      <c r="GE27">
        <v>1.9275947113087631E-2</v>
      </c>
      <c r="GF27">
        <v>0.44590011270687169</v>
      </c>
      <c r="GG27">
        <v>0.8165650199032487</v>
      </c>
      <c r="GH27">
        <v>0.75423138377859678</v>
      </c>
      <c r="GI27">
        <v>0.50462476153220626</v>
      </c>
      <c r="GJ27">
        <v>0.15296382714003051</v>
      </c>
      <c r="GK27">
        <v>1.848448858042433</v>
      </c>
      <c r="GL27">
        <v>8.3243418722143914E-2</v>
      </c>
      <c r="GM27">
        <v>0.28007785084975712</v>
      </c>
      <c r="GN27">
        <v>47.113047979435763</v>
      </c>
      <c r="GO27">
        <v>211.92517766603541</v>
      </c>
      <c r="GP27">
        <v>33.730559180863423</v>
      </c>
      <c r="GQ27">
        <v>0</v>
      </c>
      <c r="GR27">
        <v>1731.2516312063019</v>
      </c>
      <c r="GS27">
        <v>346.93946338566491</v>
      </c>
      <c r="GT27">
        <v>864.53440249509799</v>
      </c>
      <c r="GU27">
        <v>328.68561865121342</v>
      </c>
      <c r="GV27">
        <v>276.52862025797151</v>
      </c>
      <c r="GW27">
        <v>2618.1991503913491</v>
      </c>
      <c r="GX27">
        <v>801.89577345169073</v>
      </c>
      <c r="GY27">
        <v>628.99042633364934</v>
      </c>
      <c r="GZ27">
        <v>702.11259067162041</v>
      </c>
      <c r="HA27">
        <v>614.7803574187177</v>
      </c>
      <c r="HB27">
        <v>332.98246664723411</v>
      </c>
      <c r="HC27">
        <v>1455.345428670789</v>
      </c>
    </row>
    <row r="28" spans="1:211" x14ac:dyDescent="0.45">
      <c r="A28" s="1" t="s">
        <v>221</v>
      </c>
      <c r="B28">
        <f t="shared" ref="B28:BM28" si="0">INDEX(B$18:B$27,MATCH($B$1,$A$18:$A$27,0))</f>
        <v>286.24852861684252</v>
      </c>
      <c r="C28">
        <f t="shared" si="0"/>
        <v>36.425286561818801</v>
      </c>
      <c r="D28">
        <f t="shared" si="0"/>
        <v>16.91128126959908</v>
      </c>
      <c r="E28">
        <f t="shared" si="0"/>
        <v>1716.599201874674</v>
      </c>
      <c r="F28">
        <f t="shared" si="0"/>
        <v>71.932731592036191</v>
      </c>
      <c r="G28">
        <f t="shared" si="0"/>
        <v>0</v>
      </c>
      <c r="H28">
        <f t="shared" si="0"/>
        <v>24.307848454791809</v>
      </c>
      <c r="I28">
        <f t="shared" si="0"/>
        <v>397.556277430649</v>
      </c>
      <c r="J28">
        <f t="shared" si="0"/>
        <v>0</v>
      </c>
      <c r="K28">
        <f t="shared" si="0"/>
        <v>0</v>
      </c>
      <c r="L28">
        <f t="shared" si="0"/>
        <v>108.3194379090959</v>
      </c>
      <c r="M28">
        <f t="shared" si="0"/>
        <v>107.2627651176891</v>
      </c>
      <c r="N28">
        <f t="shared" si="0"/>
        <v>45.08764552876292</v>
      </c>
      <c r="O28">
        <f t="shared" si="0"/>
        <v>9.2419730812983367</v>
      </c>
      <c r="P28">
        <f t="shared" si="0"/>
        <v>0</v>
      </c>
      <c r="Q28">
        <f t="shared" si="0"/>
        <v>0</v>
      </c>
      <c r="R28">
        <f t="shared" si="0"/>
        <v>0</v>
      </c>
      <c r="S28">
        <f t="shared" si="0"/>
        <v>13.182056737691809</v>
      </c>
      <c r="T28">
        <f t="shared" si="0"/>
        <v>16.31132594577733</v>
      </c>
      <c r="U28">
        <f t="shared" si="0"/>
        <v>1.467929700981152E-3</v>
      </c>
      <c r="V28">
        <f t="shared" si="0"/>
        <v>0</v>
      </c>
      <c r="W28">
        <f t="shared" si="0"/>
        <v>2.1190939148543881E-2</v>
      </c>
      <c r="X28">
        <f t="shared" si="0"/>
        <v>0</v>
      </c>
      <c r="Y28">
        <f t="shared" si="0"/>
        <v>6.4902290118708282E-3</v>
      </c>
      <c r="Z28">
        <f t="shared" si="0"/>
        <v>0</v>
      </c>
      <c r="AA28">
        <f t="shared" si="0"/>
        <v>0</v>
      </c>
      <c r="AB28">
        <f t="shared" si="0"/>
        <v>0</v>
      </c>
      <c r="AC28">
        <f t="shared" si="0"/>
        <v>0</v>
      </c>
      <c r="AD28">
        <f t="shared" si="0"/>
        <v>1.9156380397713471</v>
      </c>
      <c r="AE28">
        <f t="shared" si="0"/>
        <v>0</v>
      </c>
      <c r="AF28">
        <f t="shared" si="0"/>
        <v>0</v>
      </c>
      <c r="AG28">
        <f t="shared" si="0"/>
        <v>0</v>
      </c>
      <c r="AH28">
        <f t="shared" si="0"/>
        <v>0</v>
      </c>
      <c r="AI28">
        <f t="shared" si="0"/>
        <v>0</v>
      </c>
      <c r="AJ28">
        <f t="shared" si="0"/>
        <v>0</v>
      </c>
      <c r="AK28">
        <f t="shared" si="0"/>
        <v>0</v>
      </c>
      <c r="AL28">
        <f t="shared" si="0"/>
        <v>0</v>
      </c>
      <c r="AM28">
        <f t="shared" si="0"/>
        <v>0</v>
      </c>
      <c r="AN28">
        <f t="shared" si="0"/>
        <v>0</v>
      </c>
      <c r="AO28">
        <f t="shared" si="0"/>
        <v>0</v>
      </c>
      <c r="AP28">
        <f t="shared" si="0"/>
        <v>0</v>
      </c>
      <c r="AQ28">
        <f t="shared" si="0"/>
        <v>0</v>
      </c>
      <c r="AR28">
        <f t="shared" si="0"/>
        <v>346.93946338566491</v>
      </c>
      <c r="AS28">
        <f t="shared" si="0"/>
        <v>84.169778365674432</v>
      </c>
      <c r="AT28">
        <f t="shared" si="0"/>
        <v>153.76023025715509</v>
      </c>
      <c r="AU28">
        <f t="shared" si="0"/>
        <v>411.02219084548341</v>
      </c>
      <c r="AV28">
        <f t="shared" si="0"/>
        <v>14.65242933162768</v>
      </c>
      <c r="AW28">
        <f t="shared" si="0"/>
        <v>267.28664717667323</v>
      </c>
      <c r="AX28">
        <f t="shared" si="0"/>
        <v>22.27593490122748</v>
      </c>
      <c r="AY28">
        <f t="shared" si="0"/>
        <v>41.228727765715988</v>
      </c>
      <c r="AZ28">
        <f t="shared" si="0"/>
        <v>1276.4853053925031</v>
      </c>
      <c r="BA28">
        <f t="shared" si="0"/>
        <v>191.9646545509471</v>
      </c>
      <c r="BB28">
        <f t="shared" si="0"/>
        <v>177.75561806461371</v>
      </c>
      <c r="BC28">
        <f t="shared" si="0"/>
        <v>128.44352362202201</v>
      </c>
      <c r="BD28">
        <f t="shared" si="0"/>
        <v>127.5907457678281</v>
      </c>
      <c r="BE28">
        <f t="shared" si="0"/>
        <v>282.50704558590081</v>
      </c>
      <c r="BF28">
        <f t="shared" si="0"/>
        <v>292.01479931789157</v>
      </c>
      <c r="BG28">
        <f t="shared" si="0"/>
        <v>7.9184217070101504</v>
      </c>
      <c r="BH28">
        <f t="shared" si="0"/>
        <v>0.89334988820416805</v>
      </c>
      <c r="BI28">
        <f t="shared" si="0"/>
        <v>0</v>
      </c>
      <c r="BJ28">
        <f t="shared" si="0"/>
        <v>0</v>
      </c>
      <c r="BK28">
        <f t="shared" si="0"/>
        <v>26.03963854180807</v>
      </c>
      <c r="BL28">
        <f t="shared" si="0"/>
        <v>16.578350807328611</v>
      </c>
      <c r="BM28">
        <f t="shared" si="0"/>
        <v>3.5564962226082678E-4</v>
      </c>
      <c r="BN28">
        <f t="shared" ref="BN28:DY28" si="1">INDEX(BN$18:BN$27,MATCH($B$1,$A$18:$A$27,0))</f>
        <v>0</v>
      </c>
      <c r="BO28">
        <f t="shared" si="1"/>
        <v>0</v>
      </c>
      <c r="BP28">
        <f t="shared" si="1"/>
        <v>75.801871998017745</v>
      </c>
      <c r="BQ28">
        <f t="shared" si="1"/>
        <v>1.0228906727320169E-4</v>
      </c>
      <c r="BR28">
        <f t="shared" si="1"/>
        <v>0</v>
      </c>
      <c r="BS28">
        <f t="shared" si="1"/>
        <v>0.51732897101766562</v>
      </c>
      <c r="BT28">
        <f t="shared" si="1"/>
        <v>0.25777282747125968</v>
      </c>
      <c r="BU28">
        <f t="shared" si="1"/>
        <v>52.853273549473712</v>
      </c>
      <c r="BV28">
        <f t="shared" si="1"/>
        <v>3.9730571237395117E-2</v>
      </c>
      <c r="BW28">
        <f t="shared" si="1"/>
        <v>0</v>
      </c>
      <c r="BX28">
        <f t="shared" si="1"/>
        <v>2.5683605216746912</v>
      </c>
      <c r="BY28">
        <f t="shared" si="1"/>
        <v>0</v>
      </c>
      <c r="BZ28">
        <f t="shared" si="1"/>
        <v>0</v>
      </c>
      <c r="CA28">
        <f t="shared" si="1"/>
        <v>0</v>
      </c>
      <c r="CB28">
        <f t="shared" si="1"/>
        <v>0</v>
      </c>
      <c r="CC28">
        <f t="shared" si="1"/>
        <v>0</v>
      </c>
      <c r="CD28">
        <f t="shared" si="1"/>
        <v>0</v>
      </c>
      <c r="CE28">
        <f t="shared" si="1"/>
        <v>0</v>
      </c>
      <c r="CF28">
        <f t="shared" si="1"/>
        <v>0</v>
      </c>
      <c r="CG28">
        <f t="shared" si="1"/>
        <v>0</v>
      </c>
      <c r="CH28">
        <f t="shared" si="1"/>
        <v>0</v>
      </c>
      <c r="CI28">
        <f t="shared" si="1"/>
        <v>231.39838414126851</v>
      </c>
      <c r="CJ28">
        <f t="shared" si="1"/>
        <v>6.8263290558885954</v>
      </c>
      <c r="CK28">
        <f t="shared" si="1"/>
        <v>9.6823083971015862</v>
      </c>
      <c r="CL28">
        <f t="shared" si="1"/>
        <v>7.2279275721189382</v>
      </c>
      <c r="CM28">
        <f t="shared" si="1"/>
        <v>145.87513690920909</v>
      </c>
      <c r="CN28">
        <f t="shared" si="1"/>
        <v>0</v>
      </c>
      <c r="CO28">
        <f t="shared" si="1"/>
        <v>0</v>
      </c>
      <c r="CP28">
        <f t="shared" si="1"/>
        <v>0.65702241343978562</v>
      </c>
      <c r="CQ28">
        <f t="shared" si="1"/>
        <v>0.7710000885630981</v>
      </c>
      <c r="CR28">
        <f t="shared" si="1"/>
        <v>0</v>
      </c>
      <c r="CS28">
        <f t="shared" si="1"/>
        <v>0</v>
      </c>
      <c r="CT28">
        <f t="shared" si="1"/>
        <v>0</v>
      </c>
      <c r="CU28">
        <f t="shared" si="1"/>
        <v>9.9703994604127502</v>
      </c>
      <c r="CV28">
        <f t="shared" si="1"/>
        <v>4.8873089847302972E-2</v>
      </c>
      <c r="CW28">
        <f t="shared" si="1"/>
        <v>0.1582330500653252</v>
      </c>
      <c r="CX28">
        <f t="shared" si="1"/>
        <v>1.9809089393196689E-2</v>
      </c>
      <c r="CY28">
        <f t="shared" si="1"/>
        <v>8.1668325980468559</v>
      </c>
      <c r="CZ28">
        <f t="shared" si="1"/>
        <v>9.2275210232707579E-5</v>
      </c>
      <c r="DA28">
        <f t="shared" si="1"/>
        <v>4.1381913275061886E-6</v>
      </c>
      <c r="DB28">
        <f t="shared" si="1"/>
        <v>2.205075390505996E-2</v>
      </c>
      <c r="DC28">
        <f t="shared" si="1"/>
        <v>0</v>
      </c>
      <c r="DD28">
        <f t="shared" si="1"/>
        <v>1.5896070730326221E-2</v>
      </c>
      <c r="DE28">
        <f t="shared" si="1"/>
        <v>8.3363883267177934E-4</v>
      </c>
      <c r="DF28">
        <f t="shared" si="1"/>
        <v>0</v>
      </c>
      <c r="DG28">
        <f t="shared" si="1"/>
        <v>0</v>
      </c>
      <c r="DH28">
        <f t="shared" si="1"/>
        <v>0</v>
      </c>
      <c r="DI28">
        <f t="shared" si="1"/>
        <v>0</v>
      </c>
      <c r="DJ28">
        <f t="shared" si="1"/>
        <v>6.7425732082145654E-2</v>
      </c>
      <c r="DK28">
        <f t="shared" si="1"/>
        <v>0</v>
      </c>
      <c r="DL28">
        <f t="shared" si="1"/>
        <v>3.6474206186445847E-4</v>
      </c>
      <c r="DM28">
        <f t="shared" si="1"/>
        <v>25.03096763495989</v>
      </c>
      <c r="DN28">
        <f t="shared" si="1"/>
        <v>1.8171710332880391</v>
      </c>
      <c r="DO28">
        <f t="shared" si="1"/>
        <v>24.683148669373139</v>
      </c>
      <c r="DP28">
        <f t="shared" si="1"/>
        <v>15.365689874983509</v>
      </c>
      <c r="DQ28">
        <f t="shared" si="1"/>
        <v>17.47496130217538</v>
      </c>
      <c r="DR28">
        <f t="shared" si="1"/>
        <v>13.11169754962796</v>
      </c>
      <c r="DS28">
        <f t="shared" si="1"/>
        <v>199.9198815212813</v>
      </c>
      <c r="DT28">
        <f t="shared" si="1"/>
        <v>10.92121315136165</v>
      </c>
      <c r="DU28">
        <f t="shared" si="1"/>
        <v>135.8333712792265</v>
      </c>
      <c r="DV28">
        <f t="shared" si="1"/>
        <v>0</v>
      </c>
      <c r="DW28">
        <f t="shared" si="1"/>
        <v>0</v>
      </c>
      <c r="DX28">
        <f t="shared" si="1"/>
        <v>2.4737122946926879</v>
      </c>
      <c r="DY28">
        <f t="shared" si="1"/>
        <v>1.480830549816099</v>
      </c>
      <c r="DZ28">
        <f t="shared" ref="DZ28:GK28" si="2">INDEX(DZ$18:DZ$27,MATCH($B$1,$A$18:$A$27,0))</f>
        <v>27.389312412073501</v>
      </c>
      <c r="EA28">
        <f t="shared" si="2"/>
        <v>3.798152686239737</v>
      </c>
      <c r="EB28">
        <f t="shared" si="2"/>
        <v>0.55473440543447594</v>
      </c>
      <c r="EC28">
        <f t="shared" si="2"/>
        <v>0.39950043228165272</v>
      </c>
      <c r="ED28">
        <f t="shared" si="2"/>
        <v>0.51646027029531116</v>
      </c>
      <c r="EE28">
        <f t="shared" si="2"/>
        <v>6.2082384655763267E-2</v>
      </c>
      <c r="EF28">
        <f t="shared" si="2"/>
        <v>0</v>
      </c>
      <c r="EG28">
        <f t="shared" si="2"/>
        <v>3.3979399477571851E-2</v>
      </c>
      <c r="EH28">
        <f t="shared" si="2"/>
        <v>0</v>
      </c>
      <c r="EI28">
        <f t="shared" si="2"/>
        <v>0</v>
      </c>
      <c r="EJ28">
        <f t="shared" si="2"/>
        <v>3.262028953363401</v>
      </c>
      <c r="EK28">
        <f t="shared" si="2"/>
        <v>9.4380466069942042</v>
      </c>
      <c r="EL28">
        <f t="shared" si="2"/>
        <v>0</v>
      </c>
      <c r="EM28">
        <f t="shared" si="2"/>
        <v>0</v>
      </c>
      <c r="EN28">
        <f t="shared" si="2"/>
        <v>0</v>
      </c>
      <c r="EO28">
        <f t="shared" si="2"/>
        <v>0</v>
      </c>
      <c r="EP28">
        <f t="shared" si="2"/>
        <v>0</v>
      </c>
      <c r="EQ28">
        <f t="shared" si="2"/>
        <v>20.355392192851319</v>
      </c>
      <c r="ER28">
        <f t="shared" si="2"/>
        <v>13.501773849198489</v>
      </c>
      <c r="ES28">
        <f t="shared" si="2"/>
        <v>8.1487679407137321</v>
      </c>
      <c r="ET28">
        <f t="shared" si="2"/>
        <v>17.860861015869379</v>
      </c>
      <c r="EU28">
        <f t="shared" si="2"/>
        <v>0</v>
      </c>
      <c r="EV28">
        <f t="shared" si="2"/>
        <v>19.421359223297902</v>
      </c>
      <c r="EW28">
        <f t="shared" si="2"/>
        <v>1.3099677133743839</v>
      </c>
      <c r="EX28">
        <f t="shared" si="2"/>
        <v>9.1420857762022294</v>
      </c>
      <c r="EY28">
        <f t="shared" si="2"/>
        <v>7.1727667672309599</v>
      </c>
      <c r="EZ28">
        <f t="shared" si="2"/>
        <v>332.98246664723411</v>
      </c>
      <c r="FA28">
        <f t="shared" si="2"/>
        <v>33.45895566251334</v>
      </c>
      <c r="FB28">
        <f t="shared" si="2"/>
        <v>58.224915635366678</v>
      </c>
      <c r="FC28">
        <f t="shared" si="2"/>
        <v>1.318968965462886</v>
      </c>
      <c r="FD28">
        <f t="shared" si="2"/>
        <v>36.816140795160337</v>
      </c>
      <c r="FE28">
        <f t="shared" si="2"/>
        <v>13.129376435644289</v>
      </c>
      <c r="FF28">
        <f t="shared" si="2"/>
        <v>91.523616603108636</v>
      </c>
      <c r="FG28">
        <f t="shared" si="2"/>
        <v>27.09236921008074</v>
      </c>
      <c r="FH28">
        <f t="shared" si="2"/>
        <v>54.164629780819944</v>
      </c>
      <c r="FI28">
        <f t="shared" si="2"/>
        <v>22.652346404560181</v>
      </c>
      <c r="FJ28">
        <f t="shared" si="2"/>
        <v>57.691942143210909</v>
      </c>
      <c r="FK28">
        <f t="shared" si="2"/>
        <v>0</v>
      </c>
      <c r="FL28">
        <f t="shared" si="2"/>
        <v>324.40609170795238</v>
      </c>
      <c r="FM28">
        <f t="shared" si="2"/>
        <v>5.0282829984350794</v>
      </c>
      <c r="FN28">
        <f t="shared" si="2"/>
        <v>0.112123331199252</v>
      </c>
      <c r="FO28">
        <f t="shared" si="2"/>
        <v>69.293276541264404</v>
      </c>
      <c r="FP28">
        <f t="shared" si="2"/>
        <v>25.240575663685082</v>
      </c>
      <c r="FQ28">
        <f t="shared" si="2"/>
        <v>327.82420950076448</v>
      </c>
      <c r="FR28">
        <f t="shared" si="2"/>
        <v>177.08701612422081</v>
      </c>
      <c r="FS28">
        <f t="shared" si="2"/>
        <v>338.34534217306452</v>
      </c>
      <c r="FT28">
        <f t="shared" si="2"/>
        <v>1.0915565018685449</v>
      </c>
      <c r="FU28">
        <f t="shared" si="2"/>
        <v>1.1525004680142921</v>
      </c>
      <c r="FV28">
        <f t="shared" si="2"/>
        <v>0.51842073074691519</v>
      </c>
      <c r="FW28">
        <f t="shared" si="2"/>
        <v>1.393329526695319</v>
      </c>
      <c r="FX28">
        <f t="shared" si="2"/>
        <v>0.2377547122380686</v>
      </c>
      <c r="FY28">
        <f t="shared" si="2"/>
        <v>0.32679044257478718</v>
      </c>
      <c r="FZ28">
        <f t="shared" si="2"/>
        <v>1.272484247901029</v>
      </c>
      <c r="GA28">
        <f t="shared" si="2"/>
        <v>9.0610671524629982E-2</v>
      </c>
      <c r="GB28">
        <f t="shared" si="2"/>
        <v>7.6059917188864993E-3</v>
      </c>
      <c r="GC28">
        <f t="shared" si="2"/>
        <v>1.1505381184130401</v>
      </c>
      <c r="GD28">
        <f t="shared" si="2"/>
        <v>0.70265996084587301</v>
      </c>
      <c r="GE28">
        <f t="shared" si="2"/>
        <v>1.9275947113087631E-2</v>
      </c>
      <c r="GF28">
        <f t="shared" si="2"/>
        <v>0.44590011270687169</v>
      </c>
      <c r="GG28">
        <f t="shared" si="2"/>
        <v>0.8165650199032487</v>
      </c>
      <c r="GH28">
        <f t="shared" si="2"/>
        <v>0.75423138377859678</v>
      </c>
      <c r="GI28">
        <f t="shared" si="2"/>
        <v>0.50462476153220626</v>
      </c>
      <c r="GJ28">
        <f t="shared" si="2"/>
        <v>0.15296382714003051</v>
      </c>
      <c r="GK28">
        <f t="shared" si="2"/>
        <v>1.848448858042433</v>
      </c>
      <c r="GL28">
        <f t="shared" ref="GL28:HC28" si="3">INDEX(GL$18:GL$27,MATCH($B$1,$A$18:$A$27,0))</f>
        <v>8.3243418722143914E-2</v>
      </c>
      <c r="GM28">
        <f t="shared" si="3"/>
        <v>0.28007785084975712</v>
      </c>
      <c r="GN28">
        <f t="shared" si="3"/>
        <v>47.113047979435763</v>
      </c>
      <c r="GO28">
        <f t="shared" si="3"/>
        <v>211.92517766603541</v>
      </c>
      <c r="GP28">
        <f t="shared" si="3"/>
        <v>33.730559180863423</v>
      </c>
      <c r="GQ28">
        <f t="shared" si="3"/>
        <v>0</v>
      </c>
      <c r="GR28">
        <f t="shared" si="3"/>
        <v>1731.2516312063019</v>
      </c>
      <c r="GS28">
        <f t="shared" si="3"/>
        <v>346.93946338566491</v>
      </c>
      <c r="GT28">
        <f t="shared" si="3"/>
        <v>864.53440249509799</v>
      </c>
      <c r="GU28">
        <f t="shared" si="3"/>
        <v>328.68561865121342</v>
      </c>
      <c r="GV28">
        <f t="shared" si="3"/>
        <v>276.52862025797151</v>
      </c>
      <c r="GW28">
        <f t="shared" si="3"/>
        <v>2618.1991503913491</v>
      </c>
      <c r="GX28">
        <f t="shared" si="3"/>
        <v>801.89577345169073</v>
      </c>
      <c r="GY28">
        <f t="shared" si="3"/>
        <v>628.99042633364934</v>
      </c>
      <c r="GZ28">
        <f t="shared" si="3"/>
        <v>702.11259067162041</v>
      </c>
      <c r="HA28">
        <f t="shared" si="3"/>
        <v>614.7803574187177</v>
      </c>
      <c r="HB28">
        <f t="shared" si="3"/>
        <v>332.98246664723411</v>
      </c>
      <c r="HC28">
        <f t="shared" si="3"/>
        <v>1455.345428670789</v>
      </c>
    </row>
    <row r="29" spans="1:211" x14ac:dyDescent="0.45">
      <c r="A29" s="1" t="s">
        <v>222</v>
      </c>
      <c r="B29">
        <f>RANK(B28,$B$28:$GQ$28,0)+COUNTIF($B$28:B28,B28)-1</f>
        <v>11</v>
      </c>
      <c r="C29">
        <f>RANK(C28,$B$28:$GQ$28,0)+COUNTIF($B$28:C28,C28)-1</f>
        <v>40</v>
      </c>
      <c r="D29">
        <f>RANK(D28,$B$28:$GQ$28,0)+COUNTIF($B$28:D28,D28)-1</f>
        <v>56</v>
      </c>
      <c r="E29">
        <f>RANK(E28,$B$28:$GQ$28,0)+COUNTIF($B$28:E28,E28)-1</f>
        <v>1</v>
      </c>
      <c r="F29">
        <f>RANK(F28,$B$28:$GQ$28,0)+COUNTIF($B$28:F28,F28)-1</f>
        <v>30</v>
      </c>
      <c r="G29">
        <f>RANK(G28,$B$28:$GQ$28,0)+COUNTIF($B$28:G28,G28)-1</f>
        <v>134</v>
      </c>
      <c r="H29">
        <f>RANK(H28,$B$28:$GQ$28,0)+COUNTIF($B$28:H28,H28)-1</f>
        <v>49</v>
      </c>
      <c r="I29">
        <f>RANK(I28,$B$28:$GQ$28,0)+COUNTIF($B$28:I28,I28)-1</f>
        <v>4</v>
      </c>
      <c r="J29">
        <f>RANK(J28,$B$28:$GQ$28,0)+COUNTIF($B$28:J28,J28)-1</f>
        <v>135</v>
      </c>
      <c r="K29">
        <f>RANK(K28,$B$28:$GQ$28,0)+COUNTIF($B$28:K28,K28)-1</f>
        <v>136</v>
      </c>
      <c r="L29">
        <f>RANK(L28,$B$28:$GQ$28,0)+COUNTIF($B$28:L28,L28)-1</f>
        <v>25</v>
      </c>
      <c r="M29">
        <f>RANK(M28,$B$28:$GQ$28,0)+COUNTIF($B$28:M28,M28)-1</f>
        <v>26</v>
      </c>
      <c r="N29">
        <f>RANK(N28,$B$28:$GQ$28,0)+COUNTIF($B$28:N28,N28)-1</f>
        <v>37</v>
      </c>
      <c r="O29">
        <f>RANK(O28,$B$28:$GQ$28,0)+COUNTIF($B$28:O28,O28)-1</f>
        <v>69</v>
      </c>
      <c r="P29">
        <f>RANK(P28,$B$28:$GQ$28,0)+COUNTIF($B$28:P28,P28)-1</f>
        <v>137</v>
      </c>
      <c r="Q29">
        <f>RANK(Q28,$B$28:$GQ$28,0)+COUNTIF($B$28:Q28,Q28)-1</f>
        <v>138</v>
      </c>
      <c r="R29">
        <f>RANK(R28,$B$28:$GQ$28,0)+COUNTIF($B$28:R28,R28)-1</f>
        <v>139</v>
      </c>
      <c r="S29">
        <f>RANK(S28,$B$28:$GQ$28,0)+COUNTIF($B$28:S28,S28)-1</f>
        <v>62</v>
      </c>
      <c r="T29">
        <f>RANK(T28,$B$28:$GQ$28,0)+COUNTIF($B$28:T28,T28)-1</f>
        <v>58</v>
      </c>
      <c r="U29">
        <f>RANK(U28,$B$28:$GQ$28,0)+COUNTIF($B$28:U28,U28)-1</f>
        <v>127</v>
      </c>
      <c r="V29">
        <f>RANK(V28,$B$28:$GQ$28,0)+COUNTIF($B$28:V28,V28)-1</f>
        <v>140</v>
      </c>
      <c r="W29">
        <f>RANK(W28,$B$28:$GQ$28,0)+COUNTIF($B$28:W28,W28)-1</f>
        <v>121</v>
      </c>
      <c r="X29">
        <f>RANK(X28,$B$28:$GQ$28,0)+COUNTIF($B$28:X28,X28)-1</f>
        <v>141</v>
      </c>
      <c r="Y29">
        <f>RANK(Y28,$B$28:$GQ$28,0)+COUNTIF($B$28:Y28,Y28)-1</f>
        <v>126</v>
      </c>
      <c r="Z29">
        <f>RANK(Z28,$B$28:$GQ$28,0)+COUNTIF($B$28:Z28,Z28)-1</f>
        <v>142</v>
      </c>
      <c r="AA29">
        <f>RANK(AA28,$B$28:$GQ$28,0)+COUNTIF($B$28:AA28,AA28)-1</f>
        <v>143</v>
      </c>
      <c r="AB29">
        <f>RANK(AB28,$B$28:$GQ$28,0)+COUNTIF($B$28:AB28,AB28)-1</f>
        <v>144</v>
      </c>
      <c r="AC29">
        <f>RANK(AC28,$B$28:$GQ$28,0)+COUNTIF($B$28:AC28,AC28)-1</f>
        <v>145</v>
      </c>
      <c r="AD29">
        <f>RANK(AD28,$B$28:$GQ$28,0)+COUNTIF($B$28:AD28,AD28)-1</f>
        <v>82</v>
      </c>
      <c r="AE29">
        <f>RANK(AE28,$B$28:$GQ$28,0)+COUNTIF($B$28:AE28,AE28)-1</f>
        <v>146</v>
      </c>
      <c r="AF29">
        <f>RANK(AF28,$B$28:$GQ$28,0)+COUNTIF($B$28:AF28,AF28)-1</f>
        <v>147</v>
      </c>
      <c r="AG29">
        <f>RANK(AG28,$B$28:$GQ$28,0)+COUNTIF($B$28:AG28,AG28)-1</f>
        <v>148</v>
      </c>
      <c r="AH29">
        <f>RANK(AH28,$B$28:$GQ$28,0)+COUNTIF($B$28:AH28,AH28)-1</f>
        <v>149</v>
      </c>
      <c r="AI29">
        <f>RANK(AI28,$B$28:$GQ$28,0)+COUNTIF($B$28:AI28,AI28)-1</f>
        <v>150</v>
      </c>
      <c r="AJ29">
        <f>RANK(AJ28,$B$28:$GQ$28,0)+COUNTIF($B$28:AJ28,AJ28)-1</f>
        <v>151</v>
      </c>
      <c r="AK29">
        <f>RANK(AK28,$B$28:$GQ$28,0)+COUNTIF($B$28:AK28,AK28)-1</f>
        <v>152</v>
      </c>
      <c r="AL29">
        <f>RANK(AL28,$B$28:$GQ$28,0)+COUNTIF($B$28:AL28,AL28)-1</f>
        <v>153</v>
      </c>
      <c r="AM29">
        <f>RANK(AM28,$B$28:$GQ$28,0)+COUNTIF($B$28:AM28,AM28)-1</f>
        <v>154</v>
      </c>
      <c r="AN29">
        <f>RANK(AN28,$B$28:$GQ$28,0)+COUNTIF($B$28:AN28,AN28)-1</f>
        <v>155</v>
      </c>
      <c r="AO29">
        <f>RANK(AO28,$B$28:$GQ$28,0)+COUNTIF($B$28:AO28,AO28)-1</f>
        <v>156</v>
      </c>
      <c r="AP29">
        <f>RANK(AP28,$B$28:$GQ$28,0)+COUNTIF($B$28:AP28,AP28)-1</f>
        <v>157</v>
      </c>
      <c r="AQ29">
        <f>RANK(AQ28,$B$28:$GQ$28,0)+COUNTIF($B$28:AQ28,AQ28)-1</f>
        <v>158</v>
      </c>
      <c r="AR29">
        <f>RANK(AR28,$B$28:$GQ$28,0)+COUNTIF($B$28:AR28,AR28)-1</f>
        <v>5</v>
      </c>
      <c r="AS29">
        <f>RANK(AS28,$B$28:$GQ$28,0)+COUNTIF($B$28:AS28,AS28)-1</f>
        <v>28</v>
      </c>
      <c r="AT29">
        <f>RANK(AT28,$B$28:$GQ$28,0)+COUNTIF($B$28:AT28,AT28)-1</f>
        <v>20</v>
      </c>
      <c r="AU29">
        <f>RANK(AU28,$B$28:$GQ$28,0)+COUNTIF($B$28:AU28,AU28)-1</f>
        <v>3</v>
      </c>
      <c r="AV29">
        <f>RANK(AV28,$B$28:$GQ$28,0)+COUNTIF($B$28:AV28,AV28)-1</f>
        <v>60</v>
      </c>
      <c r="AW29">
        <f>RANK(AW28,$B$28:$GQ$28,0)+COUNTIF($B$28:AW28,AW28)-1</f>
        <v>13</v>
      </c>
      <c r="AX29">
        <f>RANK(AX28,$B$28:$GQ$28,0)+COUNTIF($B$28:AX28,AX28)-1</f>
        <v>51</v>
      </c>
      <c r="AY29">
        <f>RANK(AY28,$B$28:$GQ$28,0)+COUNTIF($B$28:AY28,AY28)-1</f>
        <v>38</v>
      </c>
      <c r="AZ29">
        <f>RANK(AZ28,$B$28:$GQ$28,0)+COUNTIF($B$28:AZ28,AZ28)-1</f>
        <v>2</v>
      </c>
      <c r="BA29">
        <f>RANK(BA28,$B$28:$GQ$28,0)+COUNTIF($B$28:BA28,BA28)-1</f>
        <v>17</v>
      </c>
      <c r="BB29">
        <f>RANK(BB28,$B$28:$GQ$28,0)+COUNTIF($B$28:BB28,BB28)-1</f>
        <v>18</v>
      </c>
      <c r="BC29">
        <f>RANK(BC28,$B$28:$GQ$28,0)+COUNTIF($B$28:BC28,BC28)-1</f>
        <v>23</v>
      </c>
      <c r="BD29">
        <f>RANK(BD28,$B$28:$GQ$28,0)+COUNTIF($B$28:BD28,BD28)-1</f>
        <v>24</v>
      </c>
      <c r="BE29">
        <f>RANK(BE28,$B$28:$GQ$28,0)+COUNTIF($B$28:BE28,BE28)-1</f>
        <v>12</v>
      </c>
      <c r="BF29">
        <f>RANK(BF28,$B$28:$GQ$28,0)+COUNTIF($B$28:BF28,BF28)-1</f>
        <v>10</v>
      </c>
      <c r="BG29">
        <f>RANK(BG28,$B$28:$GQ$28,0)+COUNTIF($B$28:BG28,BG28)-1</f>
        <v>73</v>
      </c>
      <c r="BH29">
        <f>RANK(BH28,$B$28:$GQ$28,0)+COUNTIF($B$28:BH28,BH28)-1</f>
        <v>93</v>
      </c>
      <c r="BI29">
        <f>RANK(BI28,$B$28:$GQ$28,0)+COUNTIF($B$28:BI28,BI28)-1</f>
        <v>159</v>
      </c>
      <c r="BJ29">
        <f>RANK(BJ28,$B$28:$GQ$28,0)+COUNTIF($B$28:BJ28,BJ28)-1</f>
        <v>160</v>
      </c>
      <c r="BK29">
        <f>RANK(BK28,$B$28:$GQ$28,0)+COUNTIF($B$28:BK28,BK28)-1</f>
        <v>45</v>
      </c>
      <c r="BL29">
        <f>RANK(BL28,$B$28:$GQ$28,0)+COUNTIF($B$28:BL28,BL28)-1</f>
        <v>57</v>
      </c>
      <c r="BM29">
        <f>RANK(BM28,$B$28:$GQ$28,0)+COUNTIF($B$28:BM28,BM28)-1</f>
        <v>130</v>
      </c>
      <c r="BN29">
        <f>RANK(BN28,$B$28:$GQ$28,0)+COUNTIF($B$28:BN28,BN28)-1</f>
        <v>161</v>
      </c>
      <c r="BO29">
        <f>RANK(BO28,$B$28:$GQ$28,0)+COUNTIF($B$28:BO28,BO28)-1</f>
        <v>162</v>
      </c>
      <c r="BP29">
        <f>RANK(BP28,$B$28:$GQ$28,0)+COUNTIF($B$28:BP28,BP28)-1</f>
        <v>29</v>
      </c>
      <c r="BQ29">
        <f>RANK(BQ28,$B$28:$GQ$28,0)+COUNTIF($B$28:BQ28,BQ28)-1</f>
        <v>131</v>
      </c>
      <c r="BR29">
        <f>RANK(BR28,$B$28:$GQ$28,0)+COUNTIF($B$28:BR28,BR28)-1</f>
        <v>163</v>
      </c>
      <c r="BS29">
        <f>RANK(BS28,$B$28:$GQ$28,0)+COUNTIF($B$28:BS28,BS28)-1</f>
        <v>101</v>
      </c>
      <c r="BT29">
        <f>RANK(BT28,$B$28:$GQ$28,0)+COUNTIF($B$28:BT28,BT28)-1</f>
        <v>108</v>
      </c>
      <c r="BU29">
        <f>RANK(BU28,$B$28:$GQ$28,0)+COUNTIF($B$28:BU28,BU28)-1</f>
        <v>35</v>
      </c>
      <c r="BV29">
        <f>RANK(BV28,$B$28:$GQ$28,0)+COUNTIF($B$28:BV28,BV28)-1</f>
        <v>118</v>
      </c>
      <c r="BW29">
        <f>RANK(BW28,$B$28:$GQ$28,0)+COUNTIF($B$28:BW28,BW28)-1</f>
        <v>164</v>
      </c>
      <c r="BX29">
        <f>RANK(BX28,$B$28:$GQ$28,0)+COUNTIF($B$28:BX28,BX28)-1</f>
        <v>80</v>
      </c>
      <c r="BY29">
        <f>RANK(BY28,$B$28:$GQ$28,0)+COUNTIF($B$28:BY28,BY28)-1</f>
        <v>165</v>
      </c>
      <c r="BZ29">
        <f>RANK(BZ28,$B$28:$GQ$28,0)+COUNTIF($B$28:BZ28,BZ28)-1</f>
        <v>166</v>
      </c>
      <c r="CA29">
        <f>RANK(CA28,$B$28:$GQ$28,0)+COUNTIF($B$28:CA28,CA28)-1</f>
        <v>167</v>
      </c>
      <c r="CB29">
        <f>RANK(CB28,$B$28:$GQ$28,0)+COUNTIF($B$28:CB28,CB28)-1</f>
        <v>168</v>
      </c>
      <c r="CC29">
        <f>RANK(CC28,$B$28:$GQ$28,0)+COUNTIF($B$28:CC28,CC28)-1</f>
        <v>169</v>
      </c>
      <c r="CD29">
        <f>RANK(CD28,$B$28:$GQ$28,0)+COUNTIF($B$28:CD28,CD28)-1</f>
        <v>170</v>
      </c>
      <c r="CE29">
        <f>RANK(CE28,$B$28:$GQ$28,0)+COUNTIF($B$28:CE28,CE28)-1</f>
        <v>171</v>
      </c>
      <c r="CF29">
        <f>RANK(CF28,$B$28:$GQ$28,0)+COUNTIF($B$28:CF28,CF28)-1</f>
        <v>172</v>
      </c>
      <c r="CG29">
        <f>RANK(CG28,$B$28:$GQ$28,0)+COUNTIF($B$28:CG28,CG28)-1</f>
        <v>173</v>
      </c>
      <c r="CH29">
        <f>RANK(CH28,$B$28:$GQ$28,0)+COUNTIF($B$28:CH28,CH28)-1</f>
        <v>174</v>
      </c>
      <c r="CI29">
        <f>RANK(CI28,$B$28:$GQ$28,0)+COUNTIF($B$28:CI28,CI28)-1</f>
        <v>14</v>
      </c>
      <c r="CJ29">
        <f>RANK(CJ28,$B$28:$GQ$28,0)+COUNTIF($B$28:CJ28,CJ28)-1</f>
        <v>76</v>
      </c>
      <c r="CK29">
        <f>RANK(CK28,$B$28:$GQ$28,0)+COUNTIF($B$28:CK28,CK28)-1</f>
        <v>67</v>
      </c>
      <c r="CL29">
        <f>RANK(CL28,$B$28:$GQ$28,0)+COUNTIF($B$28:CL28,CL28)-1</f>
        <v>74</v>
      </c>
      <c r="CM29">
        <f>RANK(CM28,$B$28:$GQ$28,0)+COUNTIF($B$28:CM28,CM28)-1</f>
        <v>21</v>
      </c>
      <c r="CN29">
        <f>RANK(CN28,$B$28:$GQ$28,0)+COUNTIF($B$28:CN28,CN28)-1</f>
        <v>175</v>
      </c>
      <c r="CO29">
        <f>RANK(CO28,$B$28:$GQ$28,0)+COUNTIF($B$28:CO28,CO28)-1</f>
        <v>176</v>
      </c>
      <c r="CP29">
        <f>RANK(CP28,$B$28:$GQ$28,0)+COUNTIF($B$28:CP28,CP28)-1</f>
        <v>98</v>
      </c>
      <c r="CQ29">
        <f>RANK(CQ28,$B$28:$GQ$28,0)+COUNTIF($B$28:CQ28,CQ28)-1</f>
        <v>95</v>
      </c>
      <c r="CR29">
        <f>RANK(CR28,$B$28:$GQ$28,0)+COUNTIF($B$28:CR28,CR28)-1</f>
        <v>177</v>
      </c>
      <c r="CS29">
        <f>RANK(CS28,$B$28:$GQ$28,0)+COUNTIF($B$28:CS28,CS28)-1</f>
        <v>178</v>
      </c>
      <c r="CT29">
        <f>RANK(CT28,$B$28:$GQ$28,0)+COUNTIF($B$28:CT28,CT28)-1</f>
        <v>179</v>
      </c>
      <c r="CU29">
        <f>RANK(CU28,$B$28:$GQ$28,0)+COUNTIF($B$28:CU28,CU28)-1</f>
        <v>66</v>
      </c>
      <c r="CV29">
        <f>RANK(CV28,$B$28:$GQ$28,0)+COUNTIF($B$28:CV28,CV28)-1</f>
        <v>117</v>
      </c>
      <c r="CW29">
        <f>RANK(CW28,$B$28:$GQ$28,0)+COUNTIF($B$28:CW28,CW28)-1</f>
        <v>110</v>
      </c>
      <c r="CX29">
        <f>RANK(CX28,$B$28:$GQ$28,0)+COUNTIF($B$28:CX28,CX28)-1</f>
        <v>122</v>
      </c>
      <c r="CY29">
        <f>RANK(CY28,$B$28:$GQ$28,0)+COUNTIF($B$28:CY28,CY28)-1</f>
        <v>71</v>
      </c>
      <c r="CZ29">
        <f>RANK(CZ28,$B$28:$GQ$28,0)+COUNTIF($B$28:CZ28,CZ28)-1</f>
        <v>132</v>
      </c>
      <c r="DA29">
        <f>RANK(DA28,$B$28:$GQ$28,0)+COUNTIF($B$28:DA28,DA28)-1</f>
        <v>133</v>
      </c>
      <c r="DB29">
        <f>RANK(DB28,$B$28:$GQ$28,0)+COUNTIF($B$28:DB28,DB28)-1</f>
        <v>120</v>
      </c>
      <c r="DC29">
        <f>RANK(DC28,$B$28:$GQ$28,0)+COUNTIF($B$28:DC28,DC28)-1</f>
        <v>180</v>
      </c>
      <c r="DD29">
        <f>RANK(DD28,$B$28:$GQ$28,0)+COUNTIF($B$28:DD28,DD28)-1</f>
        <v>124</v>
      </c>
      <c r="DE29">
        <f>RANK(DE28,$B$28:$GQ$28,0)+COUNTIF($B$28:DE28,DE28)-1</f>
        <v>128</v>
      </c>
      <c r="DF29">
        <f>RANK(DF28,$B$28:$GQ$28,0)+COUNTIF($B$28:DF28,DF28)-1</f>
        <v>181</v>
      </c>
      <c r="DG29">
        <f>RANK(DG28,$B$28:$GQ$28,0)+COUNTIF($B$28:DG28,DG28)-1</f>
        <v>182</v>
      </c>
      <c r="DH29">
        <f>RANK(DH28,$B$28:$GQ$28,0)+COUNTIF($B$28:DH28,DH28)-1</f>
        <v>183</v>
      </c>
      <c r="DI29">
        <f>RANK(DI28,$B$28:$GQ$28,0)+COUNTIF($B$28:DI28,DI28)-1</f>
        <v>184</v>
      </c>
      <c r="DJ29">
        <f>RANK(DJ28,$B$28:$GQ$28,0)+COUNTIF($B$28:DJ28,DJ28)-1</f>
        <v>115</v>
      </c>
      <c r="DK29">
        <f>RANK(DK28,$B$28:$GQ$28,0)+COUNTIF($B$28:DK28,DK28)-1</f>
        <v>185</v>
      </c>
      <c r="DL29">
        <f>RANK(DL28,$B$28:$GQ$28,0)+COUNTIF($B$28:DL28,DL28)-1</f>
        <v>129</v>
      </c>
      <c r="DM29">
        <f>RANK(DM28,$B$28:$GQ$28,0)+COUNTIF($B$28:DM28,DM28)-1</f>
        <v>47</v>
      </c>
      <c r="DN29">
        <f>RANK(DN28,$B$28:$GQ$28,0)+COUNTIF($B$28:DN28,DN28)-1</f>
        <v>84</v>
      </c>
      <c r="DO29">
        <f>RANK(DO28,$B$28:$GQ$28,0)+COUNTIF($B$28:DO28,DO28)-1</f>
        <v>48</v>
      </c>
      <c r="DP29">
        <f>RANK(DP28,$B$28:$GQ$28,0)+COUNTIF($B$28:DP28,DP28)-1</f>
        <v>59</v>
      </c>
      <c r="DQ29">
        <f>RANK(DQ28,$B$28:$GQ$28,0)+COUNTIF($B$28:DQ28,DQ28)-1</f>
        <v>55</v>
      </c>
      <c r="DR29">
        <f>RANK(DR28,$B$28:$GQ$28,0)+COUNTIF($B$28:DR28,DR28)-1</f>
        <v>64</v>
      </c>
      <c r="DS29">
        <f>RANK(DS28,$B$28:$GQ$28,0)+COUNTIF($B$28:DS28,DS28)-1</f>
        <v>16</v>
      </c>
      <c r="DT29">
        <f>RANK(DT28,$B$28:$GQ$28,0)+COUNTIF($B$28:DT28,DT28)-1</f>
        <v>65</v>
      </c>
      <c r="DU29">
        <f>RANK(DU28,$B$28:$GQ$28,0)+COUNTIF($B$28:DU28,DU28)-1</f>
        <v>22</v>
      </c>
      <c r="DV29">
        <f>RANK(DV28,$B$28:$GQ$28,0)+COUNTIF($B$28:DV28,DV28)-1</f>
        <v>186</v>
      </c>
      <c r="DW29">
        <f>RANK(DW28,$B$28:$GQ$28,0)+COUNTIF($B$28:DW28,DW28)-1</f>
        <v>187</v>
      </c>
      <c r="DX29">
        <f>RANK(DX28,$B$28:$GQ$28,0)+COUNTIF($B$28:DX28,DX28)-1</f>
        <v>81</v>
      </c>
      <c r="DY29">
        <f>RANK(DY28,$B$28:$GQ$28,0)+COUNTIF($B$28:DY28,DY28)-1</f>
        <v>85</v>
      </c>
      <c r="DZ29">
        <f>RANK(DZ28,$B$28:$GQ$28,0)+COUNTIF($B$28:DZ28,DZ28)-1</f>
        <v>43</v>
      </c>
      <c r="EA29">
        <f>RANK(EA28,$B$28:$GQ$28,0)+COUNTIF($B$28:EA28,EA28)-1</f>
        <v>78</v>
      </c>
      <c r="EB29">
        <f>RANK(EB28,$B$28:$GQ$28,0)+COUNTIF($B$28:EB28,EB28)-1</f>
        <v>99</v>
      </c>
      <c r="EC29">
        <f>RANK(EC28,$B$28:$GQ$28,0)+COUNTIF($B$28:EC28,EC28)-1</f>
        <v>105</v>
      </c>
      <c r="ED29">
        <f>RANK(ED28,$B$28:$GQ$28,0)+COUNTIF($B$28:ED28,ED28)-1</f>
        <v>102</v>
      </c>
      <c r="EE29">
        <f>RANK(EE28,$B$28:$GQ$28,0)+COUNTIF($B$28:EE28,EE28)-1</f>
        <v>116</v>
      </c>
      <c r="EF29">
        <f>RANK(EF28,$B$28:$GQ$28,0)+COUNTIF($B$28:EF28,EF28)-1</f>
        <v>188</v>
      </c>
      <c r="EG29">
        <f>RANK(EG28,$B$28:$GQ$28,0)+COUNTIF($B$28:EG28,EG28)-1</f>
        <v>119</v>
      </c>
      <c r="EH29">
        <f>RANK(EH28,$B$28:$GQ$28,0)+COUNTIF($B$28:EH28,EH28)-1</f>
        <v>189</v>
      </c>
      <c r="EI29">
        <f>RANK(EI28,$B$28:$GQ$28,0)+COUNTIF($B$28:EI28,EI28)-1</f>
        <v>190</v>
      </c>
      <c r="EJ29">
        <f>RANK(EJ28,$B$28:$GQ$28,0)+COUNTIF($B$28:EJ28,EJ28)-1</f>
        <v>79</v>
      </c>
      <c r="EK29">
        <f>RANK(EK28,$B$28:$GQ$28,0)+COUNTIF($B$28:EK28,EK28)-1</f>
        <v>68</v>
      </c>
      <c r="EL29">
        <f>RANK(EL28,$B$28:$GQ$28,0)+COUNTIF($B$28:EL28,EL28)-1</f>
        <v>191</v>
      </c>
      <c r="EM29">
        <f>RANK(EM28,$B$28:$GQ$28,0)+COUNTIF($B$28:EM28,EM28)-1</f>
        <v>192</v>
      </c>
      <c r="EN29">
        <f>RANK(EN28,$B$28:$GQ$28,0)+COUNTIF($B$28:EN28,EN28)-1</f>
        <v>193</v>
      </c>
      <c r="EO29">
        <f>RANK(EO28,$B$28:$GQ$28,0)+COUNTIF($B$28:EO28,EO28)-1</f>
        <v>194</v>
      </c>
      <c r="EP29">
        <f>RANK(EP28,$B$28:$GQ$28,0)+COUNTIF($B$28:EP28,EP28)-1</f>
        <v>195</v>
      </c>
      <c r="EQ29">
        <f>RANK(EQ28,$B$28:$GQ$28,0)+COUNTIF($B$28:EQ28,EQ28)-1</f>
        <v>52</v>
      </c>
      <c r="ER29">
        <f>RANK(ER28,$B$28:$GQ$28,0)+COUNTIF($B$28:ER28,ER28)-1</f>
        <v>61</v>
      </c>
      <c r="ES29">
        <f>RANK(ES28,$B$28:$GQ$28,0)+COUNTIF($B$28:ES28,ES28)-1</f>
        <v>72</v>
      </c>
      <c r="ET29">
        <f>RANK(ET28,$B$28:$GQ$28,0)+COUNTIF($B$28:ET28,ET28)-1</f>
        <v>54</v>
      </c>
      <c r="EU29">
        <f>RANK(EU28,$B$28:$GQ$28,0)+COUNTIF($B$28:EU28,EU28)-1</f>
        <v>196</v>
      </c>
      <c r="EV29">
        <f>RANK(EV28,$B$28:$GQ$28,0)+COUNTIF($B$28:EV28,EV28)-1</f>
        <v>53</v>
      </c>
      <c r="EW29">
        <f>RANK(EW28,$B$28:$GQ$28,0)+COUNTIF($B$28:EW28,EW28)-1</f>
        <v>88</v>
      </c>
      <c r="EX29">
        <f>RANK(EX28,$B$28:$GQ$28,0)+COUNTIF($B$28:EX28,EX28)-1</f>
        <v>70</v>
      </c>
      <c r="EY29">
        <f>RANK(EY28,$B$28:$GQ$28,0)+COUNTIF($B$28:EY28,EY28)-1</f>
        <v>75</v>
      </c>
      <c r="EZ29">
        <f>RANK(EZ28,$B$28:$GQ$28,0)+COUNTIF($B$28:EZ28,EZ28)-1</f>
        <v>7</v>
      </c>
      <c r="FA29">
        <f>RANK(FA28,$B$28:$GQ$28,0)+COUNTIF($B$28:FA28,FA28)-1</f>
        <v>42</v>
      </c>
      <c r="FB29">
        <f>RANK(FB28,$B$28:$GQ$28,0)+COUNTIF($B$28:FB28,FB28)-1</f>
        <v>32</v>
      </c>
      <c r="FC29">
        <f>RANK(FC28,$B$28:$GQ$28,0)+COUNTIF($B$28:FC28,FC28)-1</f>
        <v>87</v>
      </c>
      <c r="FD29">
        <f>RANK(FD28,$B$28:$GQ$28,0)+COUNTIF($B$28:FD28,FD28)-1</f>
        <v>39</v>
      </c>
      <c r="FE29">
        <f>RANK(FE28,$B$28:$GQ$28,0)+COUNTIF($B$28:FE28,FE28)-1</f>
        <v>63</v>
      </c>
      <c r="FF29">
        <f>RANK(FF28,$B$28:$GQ$28,0)+COUNTIF($B$28:FF28,FF28)-1</f>
        <v>27</v>
      </c>
      <c r="FG29">
        <f>RANK(FG28,$B$28:$GQ$28,0)+COUNTIF($B$28:FG28,FG28)-1</f>
        <v>44</v>
      </c>
      <c r="FH29">
        <f>RANK(FH28,$B$28:$GQ$28,0)+COUNTIF($B$28:FH28,FH28)-1</f>
        <v>34</v>
      </c>
      <c r="FI29">
        <f>RANK(FI28,$B$28:$GQ$28,0)+COUNTIF($B$28:FI28,FI28)-1</f>
        <v>50</v>
      </c>
      <c r="FJ29">
        <f>RANK(FJ28,$B$28:$GQ$28,0)+COUNTIF($B$28:FJ28,FJ28)-1</f>
        <v>33</v>
      </c>
      <c r="FK29">
        <f>RANK(FK28,$B$28:$GQ$28,0)+COUNTIF($B$28:FK28,FK28)-1</f>
        <v>197</v>
      </c>
      <c r="FL29">
        <f>RANK(FL28,$B$28:$GQ$28,0)+COUNTIF($B$28:FL28,FL28)-1</f>
        <v>9</v>
      </c>
      <c r="FM29">
        <f>RANK(FM28,$B$28:$GQ$28,0)+COUNTIF($B$28:FM28,FM28)-1</f>
        <v>77</v>
      </c>
      <c r="FN29">
        <f>RANK(FN28,$B$28:$GQ$28,0)+COUNTIF($B$28:FN28,FN28)-1</f>
        <v>112</v>
      </c>
      <c r="FO29">
        <f>RANK(FO28,$B$28:$GQ$28,0)+COUNTIF($B$28:FO28,FO28)-1</f>
        <v>31</v>
      </c>
      <c r="FP29">
        <f>RANK(FP28,$B$28:$GQ$28,0)+COUNTIF($B$28:FP28,FP28)-1</f>
        <v>46</v>
      </c>
      <c r="FQ29">
        <f>RANK(FQ28,$B$28:$GQ$28,0)+COUNTIF($B$28:FQ28,FQ28)-1</f>
        <v>8</v>
      </c>
      <c r="FR29">
        <f>RANK(FR28,$B$28:$GQ$28,0)+COUNTIF($B$28:FR28,FR28)-1</f>
        <v>19</v>
      </c>
      <c r="FS29">
        <f>RANK(FS28,$B$28:$GQ$28,0)+COUNTIF($B$28:FS28,FS28)-1</f>
        <v>6</v>
      </c>
      <c r="FT29">
        <f>RANK(FT28,$B$28:$GQ$28,0)+COUNTIF($B$28:FT28,FT28)-1</f>
        <v>92</v>
      </c>
      <c r="FU29">
        <f>RANK(FU28,$B$28:$GQ$28,0)+COUNTIF($B$28:FU28,FU28)-1</f>
        <v>90</v>
      </c>
      <c r="FV29">
        <f>RANK(FV28,$B$28:$GQ$28,0)+COUNTIF($B$28:FV28,FV28)-1</f>
        <v>100</v>
      </c>
      <c r="FW29">
        <f>RANK(FW28,$B$28:$GQ$28,0)+COUNTIF($B$28:FW28,FW28)-1</f>
        <v>86</v>
      </c>
      <c r="FX29">
        <f>RANK(FX28,$B$28:$GQ$28,0)+COUNTIF($B$28:FX28,FX28)-1</f>
        <v>109</v>
      </c>
      <c r="FY29">
        <f>RANK(FY28,$B$28:$GQ$28,0)+COUNTIF($B$28:FY28,FY28)-1</f>
        <v>106</v>
      </c>
      <c r="FZ29">
        <f>RANK(FZ28,$B$28:$GQ$28,0)+COUNTIF($B$28:FZ28,FZ28)-1</f>
        <v>89</v>
      </c>
      <c r="GA29">
        <f>RANK(GA28,$B$28:$GQ$28,0)+COUNTIF($B$28:GA28,GA28)-1</f>
        <v>113</v>
      </c>
      <c r="GB29">
        <f>RANK(GB28,$B$28:$GQ$28,0)+COUNTIF($B$28:GB28,GB28)-1</f>
        <v>125</v>
      </c>
      <c r="GC29">
        <f>RANK(GC28,$B$28:$GQ$28,0)+COUNTIF($B$28:GC28,GC28)-1</f>
        <v>91</v>
      </c>
      <c r="GD29">
        <f>RANK(GD28,$B$28:$GQ$28,0)+COUNTIF($B$28:GD28,GD28)-1</f>
        <v>97</v>
      </c>
      <c r="GE29">
        <f>RANK(GE28,$B$28:$GQ$28,0)+COUNTIF($B$28:GE28,GE28)-1</f>
        <v>123</v>
      </c>
      <c r="GF29">
        <f>RANK(GF28,$B$28:$GQ$28,0)+COUNTIF($B$28:GF28,GF28)-1</f>
        <v>104</v>
      </c>
      <c r="GG29">
        <f>RANK(GG28,$B$28:$GQ$28,0)+COUNTIF($B$28:GG28,GG28)-1</f>
        <v>94</v>
      </c>
      <c r="GH29">
        <f>RANK(GH28,$B$28:$GQ$28,0)+COUNTIF($B$28:GH28,GH28)-1</f>
        <v>96</v>
      </c>
      <c r="GI29">
        <f>RANK(GI28,$B$28:$GQ$28,0)+COUNTIF($B$28:GI28,GI28)-1</f>
        <v>103</v>
      </c>
      <c r="GJ29">
        <f>RANK(GJ28,$B$28:$GQ$28,0)+COUNTIF($B$28:GJ28,GJ28)-1</f>
        <v>111</v>
      </c>
      <c r="GK29">
        <f>RANK(GK28,$B$28:$GQ$28,0)+COUNTIF($B$28:GK28,GK28)-1</f>
        <v>83</v>
      </c>
      <c r="GL29">
        <f>RANK(GL28,$B$28:$GQ$28,0)+COUNTIF($B$28:GL28,GL28)-1</f>
        <v>114</v>
      </c>
      <c r="GM29">
        <f>RANK(GM28,$B$28:$GQ$28,0)+COUNTIF($B$28:GM28,GM28)-1</f>
        <v>107</v>
      </c>
      <c r="GN29">
        <f>RANK(GN28,$B$28:$GQ$28,0)+COUNTIF($B$28:GN28,GN28)-1</f>
        <v>36</v>
      </c>
      <c r="GO29">
        <f>RANK(GO28,$B$28:$GQ$28,0)+COUNTIF($B$28:GO28,GO28)-1</f>
        <v>15</v>
      </c>
      <c r="GP29">
        <f>RANK(GP28,$B$28:$GQ$28,0)+COUNTIF($B$28:GP28,GP28)-1</f>
        <v>41</v>
      </c>
      <c r="GQ29">
        <f>RANK(GQ28,$B$28:$GQ$28,0)+COUNTIF($B$28:GQ28,GQ28)-1</f>
        <v>198</v>
      </c>
    </row>
    <row r="30" spans="1:211" x14ac:dyDescent="0.45">
      <c r="A30" s="1" t="s">
        <v>223</v>
      </c>
      <c r="GR30">
        <f>RANK(GR28,$GR$28:$HC$28,0)+COUNTIF($GR$28:GR28,GR28)-1</f>
        <v>2</v>
      </c>
      <c r="GS30">
        <f>RANK(GS28,$GR$28:$HC$28,0)+COUNTIF($GR$28:GS28,GS28)-1</f>
        <v>9</v>
      </c>
      <c r="GT30">
        <f>RANK(GT28,$GR$28:$HC$28,0)+COUNTIF($GR$28:GT28,GT28)-1</f>
        <v>4</v>
      </c>
      <c r="GU30">
        <f>RANK(GU28,$GR$28:$HC$28,0)+COUNTIF($GR$28:GU28,GU28)-1</f>
        <v>11</v>
      </c>
      <c r="GV30">
        <f>RANK(GV28,$GR$28:$HC$28,0)+COUNTIF($GR$28:GV28,GV28)-1</f>
        <v>12</v>
      </c>
      <c r="GW30">
        <f>RANK(GW28,$GR$28:$HC$28,0)+COUNTIF($GR$28:GW28,GW28)-1</f>
        <v>1</v>
      </c>
      <c r="GX30">
        <f>RANK(GX28,$GR$28:$HC$28,0)+COUNTIF($GR$28:GX28,GX28)-1</f>
        <v>5</v>
      </c>
      <c r="GY30">
        <f>RANK(GY28,$GR$28:$HC$28,0)+COUNTIF($GR$28:GY28,GY28)-1</f>
        <v>7</v>
      </c>
      <c r="GZ30">
        <f>RANK(GZ28,$GR$28:$HC$28,0)+COUNTIF($GR$28:GZ28,GZ28)-1</f>
        <v>6</v>
      </c>
      <c r="HA30">
        <f>RANK(HA28,$GR$28:$HC$28,0)+COUNTIF($GR$28:HA28,HA28)-1</f>
        <v>8</v>
      </c>
      <c r="HB30">
        <f>RANK(HB28,$GR$28:$HC$28,0)+COUNTIF($GR$28:HB28,HB28)-1</f>
        <v>10</v>
      </c>
      <c r="HC30">
        <f>RANK(HC28,$GR$28:$HC$28,0)+COUNTIF($GR$28:HC28,HC28)-1</f>
        <v>3</v>
      </c>
    </row>
  </sheetData>
  <dataValidations count="1">
    <dataValidation type="list" sqref="B1" xr:uid="{00000000-0002-0000-0200-000000000000}">
      <formula1>$A$18:$A$27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46" customWidth="1"/>
  </cols>
  <sheetData>
    <row r="1" spans="1:211" x14ac:dyDescent="0.45">
      <c r="A1" s="1" t="s">
        <v>0</v>
      </c>
      <c r="B1" s="2" t="s">
        <v>1</v>
      </c>
    </row>
    <row r="3" spans="1:211" x14ac:dyDescent="0.45">
      <c r="A3" s="1" t="s">
        <v>226</v>
      </c>
      <c r="B3" s="1" t="str">
        <f>INDEX($B$17:$GQ$17,MATCH(1,$B$29:$GQ$29,0))</f>
        <v>Food products nec</v>
      </c>
      <c r="C3" s="1" t="str">
        <f>INDEX($B$17:$GQ$17,MATCH(2,$B$29:$GQ$29,0))</f>
        <v>Vegetables, fruit, nuts</v>
      </c>
      <c r="D3" s="1" t="str">
        <f>INDEX($B$17:$GQ$17,MATCH(3,$B$29:$GQ$29,0))</f>
        <v>Wheat</v>
      </c>
      <c r="E3" s="1" t="str">
        <f>INDEX($B$17:$GQ$17,MATCH(4,$B$29:$GQ$29,0))</f>
        <v>Meat products nec</v>
      </c>
      <c r="F3" s="1" t="str">
        <f>INDEX($B$17:$GQ$17,MATCH(5,$B$29:$GQ$29,0))</f>
        <v>Products of meat cattle</v>
      </c>
      <c r="G3" s="1" t="str">
        <f>INDEX($B$17:$GQ$17,MATCH(6,$B$29:$GQ$29,0))</f>
        <v>Hotel and restaurant services (55)</v>
      </c>
      <c r="H3" s="1" t="str">
        <f>INDEX($B$17:$GQ$17,MATCH(7,$B$29:$GQ$29,0))</f>
        <v>Dairy products</v>
      </c>
      <c r="I3" s="1" t="str">
        <f>INDEX($B$17:$GQ$17,MATCH(8,$B$29:$GQ$29,0))</f>
        <v>Oil seeds</v>
      </c>
      <c r="J3" s="1" t="str">
        <f>INDEX($B$17:$GQ$17,MATCH(9,$B$29:$GQ$29,0))</f>
        <v>Beverages</v>
      </c>
      <c r="K3" s="1" t="str">
        <f>INDEX($B$17:$GQ$17,MATCH(10,$B$29:$GQ$29,0))</f>
        <v>Health and social work services (85)</v>
      </c>
      <c r="L3" s="1" t="str">
        <f>INDEX($B$17:$GQ$17,MATCH(11,$B$29:$GQ$29,0))</f>
        <v>Products of meat poultry</v>
      </c>
      <c r="M3" s="1" t="str">
        <f>INDEX($B$17:$GQ$17,MATCH(12,$B$29:$GQ$29,0))</f>
        <v>Public administration and defence services; compulsory social security services (75)</v>
      </c>
      <c r="N3" s="1" t="str">
        <f>INDEX($B$17:$GQ$17,MATCH(13,$B$29:$GQ$29,0))</f>
        <v>Fish products</v>
      </c>
      <c r="O3" s="1" t="str">
        <f>INDEX($B$17:$GQ$17,MATCH(14,$B$29:$GQ$29,0))</f>
        <v>Real estate services (70)</v>
      </c>
      <c r="P3" s="1" t="str">
        <f>INDEX($B$17:$GQ$17,MATCH(15,$B$29:$GQ$29,0))</f>
        <v>Recreational, cultural and sporting services (92)</v>
      </c>
      <c r="Q3" s="1" t="str">
        <f>INDEX($B$17:$GQ$17,MATCH(16,$B$29:$GQ$29,0))</f>
        <v>Education services (80)</v>
      </c>
      <c r="R3" s="1" t="str">
        <f>INDEX($B$17:$GQ$17,MATCH(17,$B$29:$GQ$29,0))</f>
        <v>Plastics, basic</v>
      </c>
      <c r="S3" s="1" t="str">
        <f>INDEX($B$17:$GQ$17,MATCH(18,$B$29:$GQ$29,0))</f>
        <v>Poultry</v>
      </c>
      <c r="T3" s="1" t="str">
        <f>INDEX($B$17:$GQ$17,MATCH(19,$B$29:$GQ$29,0))</f>
        <v>Wearing apparel; furs (18)</v>
      </c>
      <c r="U3" s="1" t="str">
        <f>INDEX($B$17:$GQ$17,MATCH(20,$B$29:$GQ$29,0))</f>
        <v>Meat animals nec</v>
      </c>
      <c r="V3" s="1" t="str">
        <f>INDEX($B$17:$GQ$17,MATCH(21,$B$29:$GQ$29,0))</f>
        <v>Crops nec</v>
      </c>
      <c r="W3" s="1" t="str">
        <f>INDEX($B$17:$GQ$17,MATCH(22,$B$29:$GQ$29,0))</f>
        <v>Leather and leather products (19)</v>
      </c>
      <c r="X3" s="1" t="str">
        <f>INDEX($B$17:$GQ$17,MATCH(23,$B$29:$GQ$29,0))</f>
        <v>Motor vehicles, trailers and semi-trailers (34)</v>
      </c>
      <c r="Y3" s="1" t="str">
        <f>INDEX($B$17:$GQ$17,MATCH(24,$B$29:$GQ$29,0))</f>
        <v>Products of meat pigs</v>
      </c>
      <c r="Z3" s="1" t="str">
        <f>INDEX($B$17:$GQ$17,MATCH(25,$B$29:$GQ$29,0))</f>
        <v>Chemicals nec</v>
      </c>
      <c r="AA3" s="1" t="str">
        <f>INDEX($B$17:$GQ$17,MATCH(26,$B$29:$GQ$29,0))</f>
        <v>Textiles (17)</v>
      </c>
      <c r="AB3" s="1" t="str">
        <f>INDEX($B$17:$GQ$17,MATCH(27,$B$29:$GQ$29,0))</f>
        <v>Air transport services (62)</v>
      </c>
      <c r="AC3" s="1" t="str">
        <f>INDEX($B$17:$GQ$17,MATCH(28,$B$29:$GQ$29,0))</f>
        <v>Furniture; other manufactured goods n.e.c. (36)</v>
      </c>
      <c r="AD3" s="1" t="str">
        <f>INDEX($B$17:$GQ$17,MATCH(29,$B$29:$GQ$29,0))</f>
        <v>Tobacco products (16)</v>
      </c>
      <c r="AE3" s="1" t="str">
        <f>INDEX($B$17:$GQ$17,MATCH(30,$B$29:$GQ$29,0))</f>
        <v>Motor Gasoline</v>
      </c>
      <c r="AF3" s="1" t="str">
        <f>INDEX($B$17:$GQ$17,MATCH(31,$B$29:$GQ$29,0))</f>
        <v>Sugar</v>
      </c>
      <c r="AG3" s="1" t="str">
        <f>INDEX($B$17:$GQ$17,MATCH(32,$B$29:$GQ$29,0))</f>
        <v>Research and development services (73)</v>
      </c>
      <c r="AH3" s="1" t="str">
        <f>INDEX($B$17:$GQ$17,MATCH(33,$B$29:$GQ$29,0))</f>
        <v>Insurance and pension funding services, except compulsory social security services (66)</v>
      </c>
      <c r="AI3" s="1" t="str">
        <f>INDEX($B$17:$GQ$17,MATCH(34,$B$29:$GQ$29,0))</f>
        <v>Other land transportation services</v>
      </c>
      <c r="AJ3" s="1" t="str">
        <f>INDEX($B$17:$GQ$17,MATCH(35,$B$29:$GQ$29,0))</f>
        <v>Post and telecommunication services (64)</v>
      </c>
      <c r="AK3" s="1" t="str">
        <f>INDEX($B$17:$GQ$17,MATCH(36,$B$29:$GQ$29,0))</f>
        <v>Membership organisation services n.e.c. (91)</v>
      </c>
      <c r="AL3" s="1" t="str">
        <f>INDEX($B$17:$GQ$17,MATCH(37,$B$29:$GQ$29,0))</f>
        <v>Plant-based fibers</v>
      </c>
      <c r="AM3" s="1" t="str">
        <f>INDEX($B$17:$GQ$17,MATCH(38,$B$29:$GQ$29,0))</f>
        <v>Gas/Diesel Oil</v>
      </c>
      <c r="AN3" s="1" t="str">
        <f>INDEX($B$17:$GQ$17,MATCH(39,$B$29:$GQ$29,0))</f>
        <v>Paddy rice</v>
      </c>
      <c r="AO3" s="1" t="str">
        <f>INDEX($B$17:$GQ$17,MATCH(40,$B$29:$GQ$29,0))</f>
        <v>Railway transportation services</v>
      </c>
      <c r="AP3" s="1" t="str">
        <f>INDEX($B$17:$GQ$17,MATCH(41,$B$29:$GQ$29,0))</f>
        <v>Cereal grains nec</v>
      </c>
      <c r="AQ3" s="1" t="str">
        <f>INDEX($B$17:$GQ$17,MATCH(42,$B$29:$GQ$29,0))</f>
        <v>Other services (93)</v>
      </c>
      <c r="AR3" s="1" t="str">
        <f>INDEX($B$17:$GQ$17,MATCH(43,$B$29:$GQ$29,0))</f>
        <v>Animal products nec</v>
      </c>
      <c r="AS3" s="1" t="str">
        <f>INDEX($B$17:$GQ$17,MATCH(44,$B$29:$GQ$29,0))</f>
        <v>products of Vegetable oils and fats</v>
      </c>
      <c r="AT3" s="1" t="str">
        <f>INDEX($B$17:$GQ$17,MATCH(45,$B$29:$GQ$29,0))</f>
        <v>Fish and other fishing products; services incidental of fishing (05)</v>
      </c>
      <c r="AU3" s="1" t="str">
        <f>INDEX($B$17:$GQ$17,MATCH(46,$B$29:$GQ$29,0))</f>
        <v>Sea and coastal water transportation services</v>
      </c>
      <c r="AV3" s="1" t="str">
        <f>INDEX($B$17:$GQ$17,MATCH(47,$B$29:$GQ$29,0))</f>
        <v>Raw milk</v>
      </c>
      <c r="AW3" s="1" t="str">
        <f>INDEX($B$17:$GQ$17,MATCH(48,$B$29:$GQ$29,0))</f>
        <v>Other business services (74)</v>
      </c>
      <c r="AX3" s="1" t="str">
        <f>INDEX($B$17:$GQ$17,MATCH(49,$B$29:$GQ$29,0))</f>
        <v>Supporting and auxiliary transport services; travel agency services (63)</v>
      </c>
      <c r="AY3" s="1" t="str">
        <f>INDEX($B$17:$GQ$17,MATCH(50,$B$29:$GQ$29,0))</f>
        <v>Financial intermediation services, except insurance and pension funding services (65)</v>
      </c>
      <c r="AZ3" s="1" t="str">
        <f>INDEX($B$17:$GQ$17,MATCH(51,$B$29:$GQ$29,0))</f>
        <v>Sale, maintenance, repair of motor vehicles, motor vehicles parts, motorcycles, motor cycles parts and accessoiries</v>
      </c>
      <c r="BA3" s="1" t="str">
        <f>INDEX($B$17:$GQ$17,MATCH(52,$B$29:$GQ$29,0))</f>
        <v>Electricity by nuclear</v>
      </c>
      <c r="BB3" s="1" t="str">
        <f>INDEX($B$17:$GQ$17,MATCH(53,$B$29:$GQ$29,0))</f>
        <v>Distribution services of gaseous fuels through mains</v>
      </c>
      <c r="BC3" s="1" t="str">
        <f>INDEX($B$17:$GQ$17,MATCH(54,$B$29:$GQ$29,0))</f>
        <v>Paper and paper products</v>
      </c>
      <c r="BD3" s="1" t="str">
        <f>INDEX($B$17:$GQ$17,MATCH(55,$B$29:$GQ$29,0))</f>
        <v>Office machinery and computers (30)</v>
      </c>
      <c r="BE3" s="1" t="str">
        <f>INDEX($B$17:$GQ$17,MATCH(56,$B$29:$GQ$29,0))</f>
        <v>Construction work (45)</v>
      </c>
      <c r="BF3" s="1" t="str">
        <f>INDEX($B$17:$GQ$17,MATCH(57,$B$29:$GQ$29,0))</f>
        <v>Printed matter and recorded media (22)</v>
      </c>
      <c r="BG3" s="1" t="str">
        <f>INDEX($B$17:$GQ$17,MATCH(58,$B$29:$GQ$29,0))</f>
        <v>Inland water transportation services</v>
      </c>
      <c r="BH3" s="1" t="str">
        <f>INDEX($B$17:$GQ$17,MATCH(59,$B$29:$GQ$29,0))</f>
        <v>Radio, television and communication equipment and apparatus (32)</v>
      </c>
      <c r="BI3" s="1" t="str">
        <f>INDEX($B$17:$GQ$17,MATCH(60,$B$29:$GQ$29,0))</f>
        <v>Fabricated metal products, except machinery and equipment (28)</v>
      </c>
      <c r="BJ3" s="1" t="str">
        <f>INDEX($B$17:$GQ$17,MATCH(61,$B$29:$GQ$29,0))</f>
        <v>Steam and hot water supply services</v>
      </c>
      <c r="BK3" s="1" t="str">
        <f>INDEX($B$17:$GQ$17,MATCH(62,$B$29:$GQ$29,0))</f>
        <v>Medical, precision and optical instruments, watches and clocks (33)</v>
      </c>
      <c r="BL3" s="1" t="str">
        <f>INDEX($B$17:$GQ$17,MATCH(63,$B$29:$GQ$29,0))</f>
        <v>Wholesale trade and commission trade services, except of motor vehicles and motorcycles (51)</v>
      </c>
      <c r="BM3" s="1" t="str">
        <f>INDEX($B$17:$GQ$17,MATCH(64,$B$29:$GQ$29,0))</f>
        <v>Products of forestry, logging and related services (02)</v>
      </c>
      <c r="BN3" s="1" t="str">
        <f>INDEX($B$17:$GQ$17,MATCH(65,$B$29:$GQ$29,0))</f>
        <v>P- and other fertiliser</v>
      </c>
      <c r="BO3" s="1" t="str">
        <f>INDEX($B$17:$GQ$17,MATCH(66,$B$29:$GQ$29,0))</f>
        <v>Processed rice</v>
      </c>
      <c r="BP3" s="1" t="str">
        <f>INDEX($B$17:$GQ$17,MATCH(67,$B$29:$GQ$29,0))</f>
        <v>Electrical machinery and apparatus n.e.c. (31)</v>
      </c>
      <c r="BQ3" s="1" t="str">
        <f>INDEX($B$17:$GQ$17,MATCH(68,$B$29:$GQ$29,0))</f>
        <v>Secondary plastic for treatment, Re-processing of secondary plastic into new plastic</v>
      </c>
      <c r="BR3" s="1" t="str">
        <f>INDEX($B$17:$GQ$17,MATCH(69,$B$29:$GQ$29,0))</f>
        <v>Distribution and trade services of electricity</v>
      </c>
      <c r="BS3" s="1" t="str">
        <f>INDEX($B$17:$GQ$17,MATCH(70,$B$29:$GQ$29,0))</f>
        <v>Ceramic goods</v>
      </c>
      <c r="BT3" s="1" t="str">
        <f>INDEX($B$17:$GQ$17,MATCH(71,$B$29:$GQ$29,0))</f>
        <v>Other transport equipment (35)</v>
      </c>
      <c r="BU3" s="1" t="str">
        <f>INDEX($B$17:$GQ$17,MATCH(72,$B$29:$GQ$29,0))</f>
        <v>Collected and purified water, distribution services of water (41)</v>
      </c>
      <c r="BV3" s="1" t="str">
        <f>INDEX($B$17:$GQ$17,MATCH(73,$B$29:$GQ$29,0))</f>
        <v>Wood and products of wood and cork (except furniture); articles of straw and plaiting materials (20)</v>
      </c>
      <c r="BW3" s="1" t="str">
        <f>INDEX($B$17:$GQ$17,MATCH(74,$B$29:$GQ$29,0))</f>
        <v>Retail  trade services, except of motor vehicles and motorcycles; repair services of personal and household goods (52)</v>
      </c>
      <c r="BX3" s="1" t="str">
        <f>INDEX($B$17:$GQ$17,MATCH(75,$B$29:$GQ$29,0))</f>
        <v>Renting services of machinery and equipment without operator and of personal and household goods (71)</v>
      </c>
      <c r="BY3" s="1" t="str">
        <f>INDEX($B$17:$GQ$17,MATCH(76,$B$29:$GQ$29,0))</f>
        <v>Other non-metallic mineral products</v>
      </c>
      <c r="BZ3" s="1" t="str">
        <f>INDEX($B$17:$GQ$17,MATCH(77,$B$29:$GQ$29,0))</f>
        <v>Liquefied Petroleum Gases (LPG)</v>
      </c>
      <c r="CA3" s="1" t="str">
        <f>INDEX($B$17:$GQ$17,MATCH(78,$B$29:$GQ$29,0))</f>
        <v>Electricity by hydro</v>
      </c>
      <c r="CB3" s="1" t="str">
        <f>INDEX($B$17:$GQ$17,MATCH(79,$B$29:$GQ$29,0))</f>
        <v>Transmission services of electricity</v>
      </c>
      <c r="CC3" s="1" t="str">
        <f>INDEX($B$17:$GQ$17,MATCH(80,$B$29:$GQ$29,0))</f>
        <v>Retail trade services of motor fuel</v>
      </c>
      <c r="CD3" s="1" t="str">
        <f>INDEX($B$17:$GQ$17,MATCH(81,$B$29:$GQ$29,0))</f>
        <v>Transportation services via pipelines</v>
      </c>
      <c r="CE3" s="1" t="str">
        <f>INDEX($B$17:$GQ$17,MATCH(82,$B$29:$GQ$29,0))</f>
        <v>Natural gas and services related to natural gas extraction, excluding surveying</v>
      </c>
      <c r="CF3" s="1" t="str">
        <f>INDEX($B$17:$GQ$17,MATCH(83,$B$29:$GQ$29,0))</f>
        <v>Inert/metal/hazardous waste for treatment: landfill</v>
      </c>
      <c r="CG3" s="1" t="str">
        <f>INDEX($B$17:$GQ$17,MATCH(84,$B$29:$GQ$29,0))</f>
        <v>Electricity by coal</v>
      </c>
      <c r="CH3" s="1" t="str">
        <f>INDEX($B$17:$GQ$17,MATCH(85,$B$29:$GQ$29,0))</f>
        <v>Machinery and equipment n.e.c. (29)</v>
      </c>
      <c r="CI3" s="1" t="str">
        <f>INDEX($B$17:$GQ$17,MATCH(86,$B$29:$GQ$29,0))</f>
        <v>Intert/metal waste for treatment: incineration</v>
      </c>
      <c r="CJ3" s="1" t="str">
        <f>INDEX($B$17:$GQ$17,MATCH(87,$B$29:$GQ$29,0))</f>
        <v>Oil/hazardous waste for treatment: incineration</v>
      </c>
      <c r="CK3" s="1" t="str">
        <f>INDEX($B$17:$GQ$17,MATCH(88,$B$29:$GQ$29,0))</f>
        <v>Electricity by gas</v>
      </c>
      <c r="CL3" s="1" t="str">
        <f>INDEX($B$17:$GQ$17,MATCH(89,$B$29:$GQ$29,0))</f>
        <v>Paper waste for treatment: incineration</v>
      </c>
      <c r="CM3" s="1" t="str">
        <f>INDEX($B$17:$GQ$17,MATCH(90,$B$29:$GQ$29,0))</f>
        <v>Sewage sludge for treatment: biogasification and land application</v>
      </c>
      <c r="CN3" s="1" t="str">
        <f>INDEX($B$17:$GQ$17,MATCH(91,$B$29:$GQ$29,0))</f>
        <v>Food waste for treatment: incineration</v>
      </c>
      <c r="CO3" s="1" t="str">
        <f>INDEX($B$17:$GQ$17,MATCH(92,$B$29:$GQ$29,0))</f>
        <v>Biodiesels</v>
      </c>
      <c r="CP3" s="1" t="str">
        <f>INDEX($B$17:$GQ$17,MATCH(93,$B$29:$GQ$29,0))</f>
        <v>Wood material for treatment, Re-processing of secondary wood material into new wood material</v>
      </c>
      <c r="CQ3" s="1" t="str">
        <f>INDEX($B$17:$GQ$17,MATCH(94,$B$29:$GQ$29,0))</f>
        <v>Other waste for treatment: waste water treatment</v>
      </c>
      <c r="CR3" s="1" t="str">
        <f>INDEX($B$17:$GQ$17,MATCH(95,$B$29:$GQ$29,0))</f>
        <v>Biogasoline</v>
      </c>
      <c r="CS3" s="1" t="str">
        <f>INDEX($B$17:$GQ$17,MATCH(96,$B$29:$GQ$29,0))</f>
        <v>Food waste for treatment: landfill</v>
      </c>
      <c r="CT3" s="1" t="str">
        <f>INDEX($B$17:$GQ$17,MATCH(97,$B$29:$GQ$29,0))</f>
        <v>Food waste for treatment: composting and land application</v>
      </c>
      <c r="CU3" s="1" t="str">
        <f>INDEX($B$17:$GQ$17,MATCH(98,$B$29:$GQ$29,0))</f>
        <v>Plastic waste for treatment: incineration</v>
      </c>
      <c r="CV3" s="1" t="str">
        <f>INDEX($B$17:$GQ$17,MATCH(99,$B$29:$GQ$29,0))</f>
        <v>Paper for treatment: landfill</v>
      </c>
      <c r="CW3" s="1" t="str">
        <f>INDEX($B$17:$GQ$17,MATCH(100,$B$29:$GQ$29,0))</f>
        <v>Kerosene Type Jet Fuel</v>
      </c>
      <c r="CX3" s="1" t="str">
        <f>INDEX($B$17:$GQ$17,MATCH(101,$B$29:$GQ$29,0))</f>
        <v>Food waste for treatment: waste water treatment</v>
      </c>
      <c r="CY3" s="1" t="str">
        <f>INDEX($B$17:$GQ$17,MATCH(102,$B$29:$GQ$29,0))</f>
        <v>Electricity by wind</v>
      </c>
      <c r="CZ3" s="1" t="str">
        <f>INDEX($B$17:$GQ$17,MATCH(103,$B$29:$GQ$29,0))</f>
        <v>Electricity by biomass and waste</v>
      </c>
      <c r="DA3" s="1" t="str">
        <f>INDEX($B$17:$GQ$17,MATCH(104,$B$29:$GQ$29,0))</f>
        <v>Electricity by petroleum and other oil derivatives</v>
      </c>
      <c r="DB3" s="1" t="str">
        <f>INDEX($B$17:$GQ$17,MATCH(105,$B$29:$GQ$29,0))</f>
        <v>Kerosene</v>
      </c>
      <c r="DC3" s="1" t="str">
        <f>INDEX($B$17:$GQ$17,MATCH(106,$B$29:$GQ$29,0))</f>
        <v>Wood waste for treatment: incineration</v>
      </c>
      <c r="DD3" s="1" t="str">
        <f>INDEX($B$17:$GQ$17,MATCH(107,$B$29:$GQ$29,0))</f>
        <v>Wood waste for treatment: landfill</v>
      </c>
      <c r="DE3" s="1" t="str">
        <f>INDEX($B$17:$GQ$17,MATCH(108,$B$29:$GQ$29,0))</f>
        <v>Textiles waste for treatment: incineration</v>
      </c>
      <c r="DF3" s="1" t="str">
        <f>INDEX($B$17:$GQ$17,MATCH(109,$B$29:$GQ$29,0))</f>
        <v>N-fertiliser</v>
      </c>
      <c r="DG3" s="1" t="str">
        <f>INDEX($B$17:$GQ$17,MATCH(110,$B$29:$GQ$29,0))</f>
        <v>Plastic waste for treatment: landfill</v>
      </c>
      <c r="DH3" s="1" t="str">
        <f>INDEX($B$17:$GQ$17,MATCH(111,$B$29:$GQ$29,0))</f>
        <v>Computer and related services (72)</v>
      </c>
      <c r="DI3" s="1" t="str">
        <f>INDEX($B$17:$GQ$17,MATCH(112,$B$29:$GQ$29,0))</f>
        <v>Food waste for treatment: biogasification and land application</v>
      </c>
      <c r="DJ3" s="1" t="str">
        <f>INDEX($B$17:$GQ$17,MATCH(113,$B$29:$GQ$29,0))</f>
        <v>Cement, lime and plaster</v>
      </c>
      <c r="DK3" s="1" t="str">
        <f>INDEX($B$17:$GQ$17,MATCH(114,$B$29:$GQ$29,0))</f>
        <v>Textiles waste for treatment: landfill</v>
      </c>
      <c r="DL3" s="1" t="str">
        <f>INDEX($B$17:$GQ$17,MATCH(115,$B$29:$GQ$29,0))</f>
        <v>Other non-ferrous metal products</v>
      </c>
      <c r="DM3" s="1" t="str">
        <f>INDEX($B$17:$GQ$17,MATCH(116,$B$29:$GQ$29,0))</f>
        <v>Electricity by solar photovoltaic</v>
      </c>
      <c r="DN3" s="1" t="str">
        <f>INDEX($B$17:$GQ$17,MATCH(117,$B$29:$GQ$29,0))</f>
        <v>Heavy Fuel Oil</v>
      </c>
      <c r="DO3" s="1" t="str">
        <f>INDEX($B$17:$GQ$17,MATCH(118,$B$29:$GQ$29,0))</f>
        <v>Electricity by tide, wave, ocean</v>
      </c>
      <c r="DP3" s="1" t="str">
        <f>INDEX($B$17:$GQ$17,MATCH(119,$B$29:$GQ$29,0))</f>
        <v>Precious metals</v>
      </c>
      <c r="DQ3" s="1" t="str">
        <f>INDEX($B$17:$GQ$17,MATCH(120,$B$29:$GQ$29,0))</f>
        <v>Other Bituminous Coal</v>
      </c>
      <c r="DR3" s="1" t="str">
        <f>INDEX($B$17:$GQ$17,MATCH(121,$B$29:$GQ$29,0))</f>
        <v>Paper and wood waste for treatment: composting and land application</v>
      </c>
      <c r="DS3" s="1" t="str">
        <f>INDEX($B$17:$GQ$17,MATCH(122,$B$29:$GQ$29,0))</f>
        <v>Bricks, tiles and construction products, in baked clay</v>
      </c>
      <c r="DT3" s="1" t="str">
        <f>INDEX($B$17:$GQ$17,MATCH(123,$B$29:$GQ$29,0))</f>
        <v>Ash for treatment, Re-processing of ash into clinker</v>
      </c>
      <c r="DU3" s="1" t="str">
        <f>INDEX($B$17:$GQ$17,MATCH(124,$B$29:$GQ$29,0))</f>
        <v>Aluminium and aluminium products</v>
      </c>
      <c r="DV3" s="1" t="str">
        <f>INDEX($B$17:$GQ$17,MATCH(125,$B$29:$GQ$29,0))</f>
        <v>Paper waste for treatment: biogasification and land application</v>
      </c>
      <c r="DW3" s="1" t="str">
        <f>INDEX($B$17:$GQ$17,MATCH(126,$B$29:$GQ$29,0))</f>
        <v>Patent Fuel</v>
      </c>
      <c r="DX3" s="1" t="str">
        <f>INDEX($B$17:$GQ$17,MATCH(127,$B$29:$GQ$29,0))</f>
        <v>Anthracite</v>
      </c>
      <c r="DY3" s="1" t="str">
        <f>INDEX($B$17:$GQ$17,MATCH(128,$B$29:$GQ$29,0))</f>
        <v>Secondary aluminium for treatment, Re-processing of secondary aluminium into new aluminium</v>
      </c>
      <c r="DZ3" s="1" t="str">
        <f>INDEX($B$17:$GQ$17,MATCH(129,$B$29:$GQ$29,0))</f>
        <v>Coke Oven Coke</v>
      </c>
      <c r="EA3" s="1" t="str">
        <f>INDEX($B$17:$GQ$17,MATCH(130,$B$29:$GQ$29,0))</f>
        <v>Foundry work services</v>
      </c>
      <c r="EB3" s="1" t="str">
        <f>INDEX($B$17:$GQ$17,MATCH(131,$B$29:$GQ$29,0))</f>
        <v>Aviation Gasoline</v>
      </c>
      <c r="EC3" s="1" t="str">
        <f>INDEX($B$17:$GQ$17,MATCH(132,$B$29:$GQ$29,0))</f>
        <v>Basic iron and steel and of ferro-alloys and first products thereof</v>
      </c>
      <c r="ED3" s="1" t="str">
        <f>INDEX($B$17:$GQ$17,MATCH(133,$B$29:$GQ$29,0))</f>
        <v>Secondary steel for treatment, Re-processing of secondary steel into new steel</v>
      </c>
      <c r="EE3" s="1" t="str">
        <f>INDEX($B$17:$GQ$17,MATCH(134,$B$29:$GQ$29,0))</f>
        <v>Sugar cane, sugar beet</v>
      </c>
      <c r="EF3" s="1" t="str">
        <f>INDEX($B$17:$GQ$17,MATCH(135,$B$29:$GQ$29,0))</f>
        <v>Cattle</v>
      </c>
      <c r="EG3" s="1" t="str">
        <f>INDEX($B$17:$GQ$17,MATCH(136,$B$29:$GQ$29,0))</f>
        <v>Pigs</v>
      </c>
      <c r="EH3" s="1" t="str">
        <f>INDEX($B$17:$GQ$17,MATCH(137,$B$29:$GQ$29,0))</f>
        <v>Wool, silk-worm cocoons</v>
      </c>
      <c r="EI3" s="1" t="str">
        <f>INDEX($B$17:$GQ$17,MATCH(138,$B$29:$GQ$29,0))</f>
        <v>Manure (conventional treatment)</v>
      </c>
      <c r="EJ3" s="1" t="str">
        <f>INDEX($B$17:$GQ$17,MATCH(139,$B$29:$GQ$29,0))</f>
        <v>Manure (biogas treatment)</v>
      </c>
      <c r="EK3" s="1" t="str">
        <f>INDEX($B$17:$GQ$17,MATCH(140,$B$29:$GQ$29,0))</f>
        <v>Coking Coal</v>
      </c>
      <c r="EL3" s="1" t="str">
        <f>INDEX($B$17:$GQ$17,MATCH(141,$B$29:$GQ$29,0))</f>
        <v>Sub-Bituminous Coal</v>
      </c>
      <c r="EM3" s="1" t="str">
        <f>INDEX($B$17:$GQ$17,MATCH(142,$B$29:$GQ$29,0))</f>
        <v>Lignite/Brown Coal</v>
      </c>
      <c r="EN3" s="1" t="str">
        <f>INDEX($B$17:$GQ$17,MATCH(143,$B$29:$GQ$29,0))</f>
        <v>BKB/Peat Briquettes</v>
      </c>
      <c r="EO3" s="1" t="str">
        <f>INDEX($B$17:$GQ$17,MATCH(144,$B$29:$GQ$29,0))</f>
        <v>Peat</v>
      </c>
      <c r="EP3" s="1" t="str">
        <f>INDEX($B$17:$GQ$17,MATCH(145,$B$29:$GQ$29,0))</f>
        <v>Crude petroleum and services related to crude oil extraction, excluding surveying</v>
      </c>
      <c r="EQ3" s="1" t="str">
        <f>INDEX($B$17:$GQ$17,MATCH(146,$B$29:$GQ$29,0))</f>
        <v>Natural Gas Liquids</v>
      </c>
      <c r="ER3" s="1" t="str">
        <f>INDEX($B$17:$GQ$17,MATCH(147,$B$29:$GQ$29,0))</f>
        <v>Other Hydrocarbons</v>
      </c>
      <c r="ES3" s="1" t="str">
        <f>INDEX($B$17:$GQ$17,MATCH(148,$B$29:$GQ$29,0))</f>
        <v>Uranium and thorium ores (12)</v>
      </c>
      <c r="ET3" s="1" t="str">
        <f>INDEX($B$17:$GQ$17,MATCH(149,$B$29:$GQ$29,0))</f>
        <v>Iron ores</v>
      </c>
      <c r="EU3" s="1" t="str">
        <f>INDEX($B$17:$GQ$17,MATCH(150,$B$29:$GQ$29,0))</f>
        <v>Copper ores and concentrates</v>
      </c>
      <c r="EV3" s="1" t="str">
        <f>INDEX($B$17:$GQ$17,MATCH(151,$B$29:$GQ$29,0))</f>
        <v>Nickel ores and concentrates</v>
      </c>
      <c r="EW3" s="1" t="str">
        <f>INDEX($B$17:$GQ$17,MATCH(152,$B$29:$GQ$29,0))</f>
        <v>Aluminium ores and concentrates</v>
      </c>
      <c r="EX3" s="1" t="str">
        <f>INDEX($B$17:$GQ$17,MATCH(153,$B$29:$GQ$29,0))</f>
        <v>Precious metal ores and concentrates</v>
      </c>
      <c r="EY3" s="1" t="str">
        <f>INDEX($B$17:$GQ$17,MATCH(154,$B$29:$GQ$29,0))</f>
        <v>Lead, zinc and tin ores and concentrates</v>
      </c>
      <c r="EZ3" s="1" t="str">
        <f>INDEX($B$17:$GQ$17,MATCH(155,$B$29:$GQ$29,0))</f>
        <v>Other non-ferrous metal ores and concentrates</v>
      </c>
      <c r="FA3" s="1" t="str">
        <f>INDEX($B$17:$GQ$17,MATCH(156,$B$29:$GQ$29,0))</f>
        <v>Stone</v>
      </c>
      <c r="FB3" s="1" t="str">
        <f>INDEX($B$17:$GQ$17,MATCH(157,$B$29:$GQ$29,0))</f>
        <v>Sand and clay</v>
      </c>
      <c r="FC3" s="1" t="str">
        <f>INDEX($B$17:$GQ$17,MATCH(158,$B$29:$GQ$29,0))</f>
        <v>Chemical and fertilizer minerals, salt and other mining and quarrying products n.e.c.</v>
      </c>
      <c r="FD3" s="1" t="str">
        <f>INDEX($B$17:$GQ$17,MATCH(159,$B$29:$GQ$29,0))</f>
        <v>Pulp</v>
      </c>
      <c r="FE3" s="1" t="str">
        <f>INDEX($B$17:$GQ$17,MATCH(160,$B$29:$GQ$29,0))</f>
        <v>Secondary paper for treatment, Re-processing of secondary paper into new pulp</v>
      </c>
      <c r="FF3" s="1" t="str">
        <f>INDEX($B$17:$GQ$17,MATCH(161,$B$29:$GQ$29,0))</f>
        <v>Gas Coke</v>
      </c>
      <c r="FG3" s="1" t="str">
        <f>INDEX($B$17:$GQ$17,MATCH(162,$B$29:$GQ$29,0))</f>
        <v>Coal Tar</v>
      </c>
      <c r="FH3" s="1" t="str">
        <f>INDEX($B$17:$GQ$17,MATCH(163,$B$29:$GQ$29,0))</f>
        <v>Gasoline Type Jet Fuel</v>
      </c>
      <c r="FI3" s="1" t="str">
        <f>INDEX($B$17:$GQ$17,MATCH(164,$B$29:$GQ$29,0))</f>
        <v>Refinery Gas</v>
      </c>
      <c r="FJ3" s="1" t="str">
        <f>INDEX($B$17:$GQ$17,MATCH(165,$B$29:$GQ$29,0))</f>
        <v>Refinery Feedstocks</v>
      </c>
      <c r="FK3" s="1" t="str">
        <f>INDEX($B$17:$GQ$17,MATCH(166,$B$29:$GQ$29,0))</f>
        <v>Ethane</v>
      </c>
      <c r="FL3" s="1" t="str">
        <f>INDEX($B$17:$GQ$17,MATCH(167,$B$29:$GQ$29,0))</f>
        <v>Naphtha</v>
      </c>
      <c r="FM3" s="1" t="str">
        <f>INDEX($B$17:$GQ$17,MATCH(168,$B$29:$GQ$29,0))</f>
        <v>White Spirit &amp; SBP</v>
      </c>
      <c r="FN3" s="1" t="str">
        <f>INDEX($B$17:$GQ$17,MATCH(169,$B$29:$GQ$29,0))</f>
        <v>Lubricants</v>
      </c>
      <c r="FO3" s="1" t="str">
        <f>INDEX($B$17:$GQ$17,MATCH(170,$B$29:$GQ$29,0))</f>
        <v>Bitumen</v>
      </c>
      <c r="FP3" s="1" t="str">
        <f>INDEX($B$17:$GQ$17,MATCH(171,$B$29:$GQ$29,0))</f>
        <v>Paraffin Waxes</v>
      </c>
      <c r="FQ3" s="1" t="str">
        <f>INDEX($B$17:$GQ$17,MATCH(172,$B$29:$GQ$29,0))</f>
        <v>Petroleum Coke</v>
      </c>
      <c r="FR3" s="1" t="str">
        <f>INDEX($B$17:$GQ$17,MATCH(173,$B$29:$GQ$29,0))</f>
        <v>Non-specified Petroleum Products</v>
      </c>
      <c r="FS3" s="1" t="str">
        <f>INDEX($B$17:$GQ$17,MATCH(174,$B$29:$GQ$29,0))</f>
        <v>Nuclear fuel</v>
      </c>
      <c r="FT3" s="1" t="str">
        <f>INDEX($B$17:$GQ$17,MATCH(175,$B$29:$GQ$29,0))</f>
        <v>Charcoal</v>
      </c>
      <c r="FU3" s="1" t="str">
        <f>INDEX($B$17:$GQ$17,MATCH(176,$B$29:$GQ$29,0))</f>
        <v>Additives/Blending Components</v>
      </c>
      <c r="FV3" s="1" t="str">
        <f>INDEX($B$17:$GQ$17,MATCH(177,$B$29:$GQ$29,0))</f>
        <v>Other Liquid Biofuels</v>
      </c>
      <c r="FW3" s="1" t="str">
        <f>INDEX($B$17:$GQ$17,MATCH(178,$B$29:$GQ$29,0))</f>
        <v>Glass and glass products</v>
      </c>
      <c r="FX3" s="1" t="str">
        <f>INDEX($B$17:$GQ$17,MATCH(179,$B$29:$GQ$29,0))</f>
        <v>Secondary glass for treatment, Re-processing of secondary glass into new glass</v>
      </c>
      <c r="FY3" s="1" t="str">
        <f>INDEX($B$17:$GQ$17,MATCH(180,$B$29:$GQ$29,0))</f>
        <v>Secondary preciuos metals for treatment, Re-processing of secondary preciuos metals into new preciuos metals</v>
      </c>
      <c r="FZ3" s="1" t="str">
        <f>INDEX($B$17:$GQ$17,MATCH(181,$B$29:$GQ$29,0))</f>
        <v>Lead, zinc and tin and products thereof</v>
      </c>
      <c r="GA3" s="1" t="str">
        <f>INDEX($B$17:$GQ$17,MATCH(182,$B$29:$GQ$29,0))</f>
        <v>Secondary lead for treatment, Re-processing of secondary lead into new lead</v>
      </c>
      <c r="GB3" s="1" t="str">
        <f>INDEX($B$17:$GQ$17,MATCH(183,$B$29:$GQ$29,0))</f>
        <v>Copper products</v>
      </c>
      <c r="GC3" s="1" t="str">
        <f>INDEX($B$17:$GQ$17,MATCH(184,$B$29:$GQ$29,0))</f>
        <v>Secondary copper for treatment, Re-processing of secondary copper into new copper</v>
      </c>
      <c r="GD3" s="1" t="str">
        <f>INDEX($B$17:$GQ$17,MATCH(185,$B$29:$GQ$29,0))</f>
        <v>Secondary other non-ferrous metals for treatment, Re-processing of secondary other non-ferrous metals into new other non-ferrous metals</v>
      </c>
      <c r="GE3" s="1" t="str">
        <f>INDEX($B$17:$GQ$17,MATCH(186,$B$29:$GQ$29,0))</f>
        <v>Secondary raw materials</v>
      </c>
      <c r="GF3" s="1" t="str">
        <f>INDEX($B$17:$GQ$17,MATCH(187,$B$29:$GQ$29,0))</f>
        <v>Bottles for treatment, Recycling of bottles by direct reuse</v>
      </c>
      <c r="GG3" s="1" t="str">
        <f>INDEX($B$17:$GQ$17,MATCH(188,$B$29:$GQ$29,0))</f>
        <v>Electricity by solar thermal</v>
      </c>
      <c r="GH3" s="1" t="str">
        <f>INDEX($B$17:$GQ$17,MATCH(189,$B$29:$GQ$29,0))</f>
        <v>Electricity by Geothermal</v>
      </c>
      <c r="GI3" s="1" t="str">
        <f>INDEX($B$17:$GQ$17,MATCH(190,$B$29:$GQ$29,0))</f>
        <v>Electricity nec</v>
      </c>
      <c r="GJ3" s="1" t="str">
        <f>INDEX($B$17:$GQ$17,MATCH(191,$B$29:$GQ$29,0))</f>
        <v>Coke oven gas</v>
      </c>
      <c r="GK3" s="1" t="str">
        <f>INDEX($B$17:$GQ$17,MATCH(192,$B$29:$GQ$29,0))</f>
        <v>Blast Furnace Gas</v>
      </c>
      <c r="GL3" s="1" t="str">
        <f>INDEX($B$17:$GQ$17,MATCH(193,$B$29:$GQ$29,0))</f>
        <v>Oxygen Steel Furnace Gas</v>
      </c>
      <c r="GM3" s="1" t="str">
        <f>INDEX($B$17:$GQ$17,MATCH(194,$B$29:$GQ$29,0))</f>
        <v>Gas Works Gas</v>
      </c>
      <c r="GN3" s="1" t="str">
        <f>INDEX($B$17:$GQ$17,MATCH(195,$B$29:$GQ$29,0))</f>
        <v>Biogas</v>
      </c>
      <c r="GO3" s="1" t="str">
        <f>INDEX($B$17:$GQ$17,MATCH(196,$B$29:$GQ$29,0))</f>
        <v>Secondary construction material for treatment, Re-processing of secondary construction material into aggregates</v>
      </c>
      <c r="GP3" s="1" t="str">
        <f>INDEX($B$17:$GQ$17,MATCH(197,$B$29:$GQ$29,0))</f>
        <v>Services auxiliary to financial intermediation (67)</v>
      </c>
      <c r="GQ3" s="1" t="str">
        <f>INDEX($B$17:$GQ$17,MATCH(198,$B$29:$GQ$29,0))</f>
        <v>Extra-territorial organizations and bodies</v>
      </c>
      <c r="GR3" s="1" t="str">
        <f>INDEX($GR$17:$HC$17,MATCH(1,$GR$30:$HC$30,0))</f>
        <v>Food nec</v>
      </c>
      <c r="GS3" s="1" t="str">
        <f>INDEX($GR$17:$HC$17,MATCH(2,$GR$30:$HC$30,0))</f>
        <v>Vegetables, fruits, nuts</v>
      </c>
      <c r="GT3" s="1" t="str">
        <f>INDEX($GR$17:$HC$17,MATCH(3,$GR$30:$HC$30,0))</f>
        <v>Meat nec</v>
      </c>
      <c r="GU3" s="1" t="str">
        <f>INDEX($GR$17:$HC$17,MATCH(4,$GR$30:$HC$30,0))</f>
        <v>Final services</v>
      </c>
      <c r="GV3" s="1" t="str">
        <f>INDEX($GR$17:$HC$17,MATCH(5,$GR$30:$HC$30,0))</f>
        <v>Cattle</v>
      </c>
      <c r="GW3" s="1" t="str">
        <f>INDEX($GR$17:$HC$17,MATCH(6,$GR$30:$HC$30,0))</f>
        <v>Hotel &amp; restaurant</v>
      </c>
      <c r="GX3" s="1" t="str">
        <f>INDEX($GR$17:$HC$17,MATCH(7,$GR$30:$HC$30,0))</f>
        <v>Animal nec</v>
      </c>
      <c r="GY3" s="1" t="str">
        <f>INDEX($GR$17:$HC$17,MATCH(8,$GR$30:$HC$30,0))</f>
        <v>Dairy products</v>
      </c>
      <c r="GZ3" s="1" t="str">
        <f>INDEX($GR$17:$HC$17,MATCH(9,$GR$30:$HC$30,0))</f>
        <v>Housing</v>
      </c>
      <c r="HA3" s="1" t="str">
        <f>INDEX($GR$17:$HC$17,MATCH(10,$GR$30:$HC$30,0))</f>
        <v>Mobility</v>
      </c>
      <c r="HB3" s="1" t="str">
        <f>INDEX($GR$17:$HC$17,MATCH(11,$GR$30:$HC$30,0))</f>
        <v>Textiles</v>
      </c>
      <c r="HC3" s="1" t="str">
        <f>INDEX($GR$17:$HC$17,MATCH(12,$GR$30:$HC$30,0))</f>
        <v>Final goods nec</v>
      </c>
    </row>
    <row r="4" spans="1:211" x14ac:dyDescent="0.45">
      <c r="A4" s="1" t="s">
        <v>3</v>
      </c>
      <c r="B4">
        <f>INDEX($B$18:$GQ$18,MATCH(1,$B$29:$GQ$29,0))</f>
        <v>0.30641342597544441</v>
      </c>
      <c r="C4">
        <f>INDEX($B$18:$GQ$18,MATCH(2,$B$29:$GQ$29,0))</f>
        <v>7.9841871603893305E-2</v>
      </c>
      <c r="D4">
        <f>INDEX($B$18:$GQ$18,MATCH(3,$B$29:$GQ$29,0))</f>
        <v>2.0513592140084781E-2</v>
      </c>
      <c r="E4">
        <f>INDEX($B$18:$GQ$18,MATCH(4,$B$29:$GQ$29,0))</f>
        <v>0.36134859023736993</v>
      </c>
      <c r="F4">
        <f>INDEX($B$18:$GQ$18,MATCH(5,$B$29:$GQ$29,0))</f>
        <v>0.2059044155485753</v>
      </c>
      <c r="G4">
        <f>INDEX($B$18:$GQ$18,MATCH(6,$B$29:$GQ$29,0))</f>
        <v>4.6487400867612612E-2</v>
      </c>
      <c r="H4">
        <f>INDEX($B$18:$GQ$18,MATCH(7,$B$29:$GQ$29,0))</f>
        <v>0.17172963015957909</v>
      </c>
      <c r="I4">
        <f>INDEX($B$18:$GQ$18,MATCH(8,$B$29:$GQ$29,0))</f>
        <v>3.5894981711871103E-2</v>
      </c>
      <c r="J4">
        <f>INDEX($B$18:$GQ$18,MATCH(9,$B$29:$GQ$29,0))</f>
        <v>0.17247263600021351</v>
      </c>
      <c r="K4">
        <f>INDEX($B$18:$GQ$18,MATCH(10,$B$29:$GQ$29,0))</f>
        <v>1.3559383689746541E-2</v>
      </c>
      <c r="L4">
        <f>INDEX($B$18:$GQ$18,MATCH(11,$B$29:$GQ$29,0))</f>
        <v>0.21659066176022701</v>
      </c>
      <c r="M4">
        <f>INDEX($B$18:$GQ$18,MATCH(12,$B$29:$GQ$29,0))</f>
        <v>1.7384341992481511E-2</v>
      </c>
      <c r="N4">
        <f>INDEX($B$18:$GQ$18,MATCH(13,$B$29:$GQ$29,0))</f>
        <v>0.39461549289650838</v>
      </c>
      <c r="O4">
        <f>INDEX($B$18:$GQ$18,MATCH(14,$B$29:$GQ$29,0))</f>
        <v>1.246692484514389E-2</v>
      </c>
      <c r="P4">
        <f>INDEX($B$18:$GQ$18,MATCH(15,$B$29:$GQ$29,0))</f>
        <v>2.9885687321514039E-2</v>
      </c>
      <c r="Q4">
        <f>INDEX($B$18:$GQ$18,MATCH(16,$B$29:$GQ$29,0))</f>
        <v>1.468346672513896E-2</v>
      </c>
      <c r="R4">
        <f>INDEX($B$18:$GQ$18,MATCH(17,$B$29:$GQ$29,0))</f>
        <v>4.2627999598967702E-2</v>
      </c>
      <c r="S4">
        <f>INDEX($B$18:$GQ$18,MATCH(18,$B$29:$GQ$29,0))</f>
        <v>0.19681580854445169</v>
      </c>
      <c r="T4">
        <f>INDEX($B$18:$GQ$18,MATCH(19,$B$29:$GQ$29,0))</f>
        <v>3.1710085982463873E-2</v>
      </c>
      <c r="U4">
        <f>INDEX($B$18:$GQ$18,MATCH(20,$B$29:$GQ$29,0))</f>
        <v>0.2137088118350744</v>
      </c>
      <c r="V4">
        <f>INDEX($B$18:$GQ$18,MATCH(21,$B$29:$GQ$29,0))</f>
        <v>2.7252769522771681E-3</v>
      </c>
      <c r="W4">
        <f>INDEX($B$18:$GQ$18,MATCH(22,$B$29:$GQ$29,0))</f>
        <v>5.9297251070028999E-2</v>
      </c>
      <c r="X4">
        <f>INDEX($B$18:$GQ$18,MATCH(23,$B$29:$GQ$29,0))</f>
        <v>2.5773372611402119E-2</v>
      </c>
      <c r="Y4">
        <f>INDEX($B$18:$GQ$18,MATCH(24,$B$29:$GQ$29,0))</f>
        <v>0.12820886709323409</v>
      </c>
      <c r="Z4">
        <f>INDEX($B$18:$GQ$18,MATCH(25,$B$29:$GQ$29,0))</f>
        <v>5.0101105409262173E-2</v>
      </c>
      <c r="AA4">
        <f>INDEX($B$18:$GQ$18,MATCH(26,$B$29:$GQ$29,0))</f>
        <v>5.5898882050680311E-2</v>
      </c>
      <c r="AB4">
        <f>INDEX($B$18:$GQ$18,MATCH(27,$B$29:$GQ$29,0))</f>
        <v>4.4742429232973523E-2</v>
      </c>
      <c r="AC4">
        <f>INDEX($B$18:$GQ$18,MATCH(28,$B$29:$GQ$29,0))</f>
        <v>2.4147442371733111E-2</v>
      </c>
      <c r="AD4">
        <f>INDEX($B$18:$GQ$18,MATCH(29,$B$29:$GQ$29,0))</f>
        <v>2.6100623630305238E-2</v>
      </c>
      <c r="AE4">
        <f>INDEX($B$18:$GQ$18,MATCH(30,$B$29:$GQ$29,0))</f>
        <v>9.8848711687705634E-2</v>
      </c>
      <c r="AF4">
        <f>INDEX($B$18:$GQ$18,MATCH(31,$B$29:$GQ$29,0))</f>
        <v>7.4359280847996187E-2</v>
      </c>
      <c r="AG4">
        <f>INDEX($B$18:$GQ$18,MATCH(32,$B$29:$GQ$29,0))</f>
        <v>4.6392506223874433E-2</v>
      </c>
      <c r="AH4">
        <f>INDEX($B$18:$GQ$18,MATCH(33,$B$29:$GQ$29,0))</f>
        <v>1.8358182800315561E-2</v>
      </c>
      <c r="AI4">
        <f>INDEX($B$18:$GQ$18,MATCH(34,$B$29:$GQ$29,0))</f>
        <v>1.5167974866945729E-2</v>
      </c>
      <c r="AJ4">
        <f>INDEX($B$18:$GQ$18,MATCH(35,$B$29:$GQ$29,0))</f>
        <v>1.118873275724919E-2</v>
      </c>
      <c r="AK4">
        <f>INDEX($B$18:$GQ$18,MATCH(36,$B$29:$GQ$29,0))</f>
        <v>2.337006539845269E-2</v>
      </c>
      <c r="AL4">
        <f>INDEX($B$18:$GQ$18,MATCH(37,$B$29:$GQ$29,0))</f>
        <v>1.180486074853024E-2</v>
      </c>
      <c r="AM4">
        <f>INDEX($B$18:$GQ$18,MATCH(38,$B$29:$GQ$29,0))</f>
        <v>4.4078248072520268E-2</v>
      </c>
      <c r="AN4">
        <f>INDEX($B$18:$GQ$18,MATCH(39,$B$29:$GQ$29,0))</f>
        <v>2.419907152978228E-2</v>
      </c>
      <c r="AO4">
        <f>INDEX($B$18:$GQ$18,MATCH(40,$B$29:$GQ$29,0))</f>
        <v>2.2012621604614129E-2</v>
      </c>
      <c r="AP4">
        <f>INDEX($B$18:$GQ$18,MATCH(41,$B$29:$GQ$29,0))</f>
        <v>1.3551430170476841E-2</v>
      </c>
      <c r="AQ4">
        <f>INDEX($B$18:$GQ$18,MATCH(42,$B$29:$GQ$29,0))</f>
        <v>3.3598085653462229E-2</v>
      </c>
      <c r="AR4">
        <f>INDEX($B$18:$GQ$18,MATCH(43,$B$29:$GQ$29,0))</f>
        <v>0.3149403180290738</v>
      </c>
      <c r="AS4">
        <f>INDEX($B$18:$GQ$18,MATCH(44,$B$29:$GQ$29,0))</f>
        <v>0.20059142776392841</v>
      </c>
      <c r="AT4">
        <f>INDEX($B$18:$GQ$18,MATCH(45,$B$29:$GQ$29,0))</f>
        <v>0.32245689971043218</v>
      </c>
      <c r="AU4">
        <f>INDEX($B$18:$GQ$18,MATCH(46,$B$29:$GQ$29,0))</f>
        <v>8.2600773349098155E-2</v>
      </c>
      <c r="AV4">
        <f>INDEX($B$18:$GQ$18,MATCH(47,$B$29:$GQ$29,0))</f>
        <v>0.34858258727516978</v>
      </c>
      <c r="AW4">
        <f>INDEX($B$18:$GQ$18,MATCH(48,$B$29:$GQ$29,0))</f>
        <v>1.5083009408752049E-2</v>
      </c>
      <c r="AX4">
        <f>INDEX($B$18:$GQ$18,MATCH(49,$B$29:$GQ$29,0))</f>
        <v>1.503756350546756E-2</v>
      </c>
      <c r="AY4">
        <f>INDEX($B$18:$GQ$18,MATCH(50,$B$29:$GQ$29,0))</f>
        <v>1.5218764493518409E-2</v>
      </c>
      <c r="AZ4">
        <f>INDEX($B$18:$GQ$18,MATCH(51,$B$29:$GQ$29,0))</f>
        <v>6.5649133883197812E-3</v>
      </c>
      <c r="BA4">
        <f>INDEX($B$18:$GQ$18,MATCH(52,$B$29:$GQ$29,0))</f>
        <v>1.758202474805623E-2</v>
      </c>
      <c r="BB4">
        <f>INDEX($B$18:$GQ$18,MATCH(53,$B$29:$GQ$29,0))</f>
        <v>2.0386545797517749E-2</v>
      </c>
      <c r="BC4">
        <f>INDEX($B$18:$GQ$18,MATCH(54,$B$29:$GQ$29,0))</f>
        <v>5.0091278479499457E-2</v>
      </c>
      <c r="BD4">
        <f>INDEX($B$18:$GQ$18,MATCH(55,$B$29:$GQ$29,0))</f>
        <v>2.617827931529039E-2</v>
      </c>
      <c r="BE4">
        <f>INDEX($B$18:$GQ$18,MATCH(56,$B$29:$GQ$29,0))</f>
        <v>1.790259118935103E-2</v>
      </c>
      <c r="BF4">
        <f>INDEX($B$18:$GQ$18,MATCH(57,$B$29:$GQ$29,0))</f>
        <v>1.8455851862358302E-2</v>
      </c>
      <c r="BG4">
        <f>INDEX($B$18:$GQ$18,MATCH(58,$B$29:$GQ$29,0))</f>
        <v>0.1626604480465324</v>
      </c>
      <c r="BH4">
        <f>INDEX($B$18:$GQ$18,MATCH(59,$B$29:$GQ$29,0))</f>
        <v>2.16691041691763E-2</v>
      </c>
      <c r="BI4">
        <f>INDEX($B$18:$GQ$18,MATCH(60,$B$29:$GQ$29,0))</f>
        <v>1.966038134713715E-2</v>
      </c>
      <c r="BJ4">
        <f>INDEX($B$18:$GQ$18,MATCH(61,$B$29:$GQ$29,0))</f>
        <v>9.3110979914497835E-2</v>
      </c>
      <c r="BK4">
        <f>INDEX($B$18:$GQ$18,MATCH(62,$B$29:$GQ$29,0))</f>
        <v>1.662727771041703E-2</v>
      </c>
      <c r="BL4">
        <f>INDEX($B$18:$GQ$18,MATCH(63,$B$29:$GQ$29,0))</f>
        <v>9.2211463638662942E-3</v>
      </c>
      <c r="BM4">
        <f>INDEX($B$18:$GQ$18,MATCH(64,$B$29:$GQ$29,0))</f>
        <v>1.1987192674273259E-2</v>
      </c>
      <c r="BN4">
        <f>INDEX($B$18:$GQ$18,MATCH(65,$B$29:$GQ$29,0))</f>
        <v>2.036214504444105E-2</v>
      </c>
      <c r="BO4">
        <f>INDEX($B$18:$GQ$18,MATCH(66,$B$29:$GQ$29,0))</f>
        <v>2.7634382701201731E-2</v>
      </c>
      <c r="BP4">
        <f>INDEX($B$18:$GQ$18,MATCH(67,$B$29:$GQ$29,0))</f>
        <v>1.976222586198716E-2</v>
      </c>
      <c r="BQ4">
        <f>INDEX($B$18:$GQ$18,MATCH(68,$B$29:$GQ$29,0))</f>
        <v>3.596284738143922E-2</v>
      </c>
      <c r="BR4">
        <f>INDEX($B$18:$GQ$18,MATCH(69,$B$29:$GQ$29,0))</f>
        <v>9.4051141199359926E-3</v>
      </c>
      <c r="BS4">
        <f>INDEX($B$18:$GQ$18,MATCH(70,$B$29:$GQ$29,0))</f>
        <v>2.608121647366736E-2</v>
      </c>
      <c r="BT4">
        <f>INDEX($B$18:$GQ$18,MATCH(71,$B$29:$GQ$29,0))</f>
        <v>2.0358561759396109E-2</v>
      </c>
      <c r="BU4">
        <f>INDEX($B$18:$GQ$18,MATCH(72,$B$29:$GQ$29,0))</f>
        <v>1.3549557600542999E-2</v>
      </c>
      <c r="BV4">
        <f>INDEX($B$18:$GQ$18,MATCH(73,$B$29:$GQ$29,0))</f>
        <v>2.5749332177526969E-2</v>
      </c>
      <c r="BW4">
        <f>INDEX($B$18:$GQ$18,MATCH(74,$B$29:$GQ$29,0))</f>
        <v>1.004930676716803E-2</v>
      </c>
      <c r="BX4">
        <f>INDEX($B$18:$GQ$18,MATCH(75,$B$29:$GQ$29,0))</f>
        <v>1.610809209904826E-2</v>
      </c>
      <c r="BY4">
        <f>INDEX($B$18:$GQ$18,MATCH(76,$B$29:$GQ$29,0))</f>
        <v>2.5376916583125259E-2</v>
      </c>
      <c r="BZ4">
        <f>INDEX($B$18:$GQ$18,MATCH(77,$B$29:$GQ$29,0))</f>
        <v>2.5825475109820511E-2</v>
      </c>
      <c r="CA4">
        <f>INDEX($B$18:$GQ$18,MATCH(78,$B$29:$GQ$29,0))</f>
        <v>2.2237159976903668E-2</v>
      </c>
      <c r="CB4">
        <f>INDEX($B$18:$GQ$18,MATCH(79,$B$29:$GQ$29,0))</f>
        <v>9.9757347404264961E-3</v>
      </c>
      <c r="CC4">
        <f>INDEX($B$18:$GQ$18,MATCH(80,$B$29:$GQ$29,0))</f>
        <v>2.284273782775539E-2</v>
      </c>
      <c r="CD4">
        <f>INDEX($B$18:$GQ$18,MATCH(81,$B$29:$GQ$29,0))</f>
        <v>7.3727715001629487E-2</v>
      </c>
      <c r="CE4">
        <f>INDEX($B$18:$GQ$18,MATCH(82,$B$29:$GQ$29,0))</f>
        <v>1.0013368740049831</v>
      </c>
      <c r="CF4">
        <f>INDEX($B$18:$GQ$18,MATCH(83,$B$29:$GQ$29,0))</f>
        <v>1.3659993520716011E-2</v>
      </c>
      <c r="CG4">
        <f>INDEX($B$18:$GQ$18,MATCH(84,$B$29:$GQ$29,0))</f>
        <v>0.1230276698147269</v>
      </c>
      <c r="CH4">
        <f>INDEX($B$18:$GQ$18,MATCH(85,$B$29:$GQ$29,0))</f>
        <v>2.136243435104165E-2</v>
      </c>
      <c r="CI4">
        <f>INDEX($B$18:$GQ$18,MATCH(86,$B$29:$GQ$29,0))</f>
        <v>1.406646543625059E-2</v>
      </c>
      <c r="CJ4">
        <f>INDEX($B$18:$GQ$18,MATCH(87,$B$29:$GQ$29,0))</f>
        <v>1.3346123245421559E-2</v>
      </c>
      <c r="CK4">
        <f>INDEX($B$18:$GQ$18,MATCH(88,$B$29:$GQ$29,0))</f>
        <v>2.3800540491008569E-2</v>
      </c>
      <c r="CL4">
        <f>INDEX($B$18:$GQ$18,MATCH(89,$B$29:$GQ$29,0))</f>
        <v>1.38928831322453E-2</v>
      </c>
      <c r="CM4">
        <f>INDEX($B$18:$GQ$18,MATCH(90,$B$29:$GQ$29,0))</f>
        <v>1.4620158454493271E-2</v>
      </c>
      <c r="CN4">
        <f>INDEX($B$18:$GQ$18,MATCH(91,$B$29:$GQ$29,0))</f>
        <v>1.375419891514411E-2</v>
      </c>
      <c r="CO4">
        <f>INDEX($B$18:$GQ$18,MATCH(92,$B$29:$GQ$29,0))</f>
        <v>8.5027306488918656E-3</v>
      </c>
      <c r="CP4">
        <f>INDEX($B$18:$GQ$18,MATCH(93,$B$29:$GQ$29,0))</f>
        <v>2.0202913926154021E-2</v>
      </c>
      <c r="CQ4">
        <f>INDEX($B$18:$GQ$18,MATCH(94,$B$29:$GQ$29,0))</f>
        <v>1.722161546007684E-2</v>
      </c>
      <c r="CR4">
        <f>INDEX($B$18:$GQ$18,MATCH(95,$B$29:$GQ$29,0))</f>
        <v>2.0498516149240621E-2</v>
      </c>
      <c r="CS4">
        <f>INDEX($B$18:$GQ$18,MATCH(96,$B$29:$GQ$29,0))</f>
        <v>1.650670288064781E-2</v>
      </c>
      <c r="CT4">
        <f>INDEX($B$18:$GQ$18,MATCH(97,$B$29:$GQ$29,0))</f>
        <v>1.385630110171973E-2</v>
      </c>
      <c r="CU4">
        <f>INDEX($B$18:$GQ$18,MATCH(98,$B$29:$GQ$29,0))</f>
        <v>1.5346739428700471E-2</v>
      </c>
      <c r="CV4">
        <f>INDEX($B$18:$GQ$18,MATCH(99,$B$29:$GQ$29,0))</f>
        <v>1.607464647741225E-2</v>
      </c>
      <c r="CW4">
        <f>INDEX($B$18:$GQ$18,MATCH(100,$B$29:$GQ$29,0))</f>
        <v>2.5477692606310151E-2</v>
      </c>
      <c r="CX4">
        <f>INDEX($B$18:$GQ$18,MATCH(101,$B$29:$GQ$29,0))</f>
        <v>1.669841154695104E-2</v>
      </c>
      <c r="CY4">
        <f>INDEX($B$18:$GQ$18,MATCH(102,$B$29:$GQ$29,0))</f>
        <v>9.2386934302542065E-3</v>
      </c>
      <c r="CZ4">
        <f>INDEX($B$18:$GQ$18,MATCH(103,$B$29:$GQ$29,0))</f>
        <v>1.8367983052453001E-2</v>
      </c>
      <c r="DA4">
        <f>INDEX($B$18:$GQ$18,MATCH(104,$B$29:$GQ$29,0))</f>
        <v>0.1002740598963784</v>
      </c>
      <c r="DB4">
        <f>INDEX($B$18:$GQ$18,MATCH(105,$B$29:$GQ$29,0))</f>
        <v>0</v>
      </c>
      <c r="DC4">
        <f>INDEX($B$18:$GQ$18,MATCH(106,$B$29:$GQ$29,0))</f>
        <v>1.4265219286471851E-2</v>
      </c>
      <c r="DD4">
        <f>INDEX($B$18:$GQ$18,MATCH(107,$B$29:$GQ$29,0))</f>
        <v>1.464923220177919E-2</v>
      </c>
      <c r="DE4">
        <f>INDEX($B$18:$GQ$18,MATCH(108,$B$29:$GQ$29,0))</f>
        <v>1.384416918888978E-2</v>
      </c>
      <c r="DF4">
        <f>INDEX($B$18:$GQ$18,MATCH(109,$B$29:$GQ$29,0))</f>
        <v>1.319506087847388E-2</v>
      </c>
      <c r="DG4">
        <f>INDEX($B$18:$GQ$18,MATCH(110,$B$29:$GQ$29,0))</f>
        <v>1.91533839410402E-2</v>
      </c>
      <c r="DH4">
        <f>INDEX($B$18:$GQ$18,MATCH(111,$B$29:$GQ$29,0))</f>
        <v>1.581976139806069E-2</v>
      </c>
      <c r="DI4">
        <f>INDEX($B$18:$GQ$18,MATCH(112,$B$29:$GQ$29,0))</f>
        <v>1.280497710808604E-2</v>
      </c>
      <c r="DJ4">
        <f>INDEX($B$18:$GQ$18,MATCH(113,$B$29:$GQ$29,0))</f>
        <v>1.6999020919749849E-2</v>
      </c>
      <c r="DK4">
        <f>INDEX($B$18:$GQ$18,MATCH(114,$B$29:$GQ$29,0))</f>
        <v>1.6571579579202789E-2</v>
      </c>
      <c r="DL4">
        <f>INDEX($B$18:$GQ$18,MATCH(115,$B$29:$GQ$29,0))</f>
        <v>3.8326557970469369E-2</v>
      </c>
      <c r="DM4">
        <f>INDEX($B$18:$GQ$18,MATCH(116,$B$29:$GQ$29,0))</f>
        <v>1.9152363084348951E-3</v>
      </c>
      <c r="DN4">
        <f>INDEX($B$18:$GQ$18,MATCH(117,$B$29:$GQ$29,0))</f>
        <v>1.5210118190457689E-2</v>
      </c>
      <c r="DO4">
        <f>INDEX($B$18:$GQ$18,MATCH(118,$B$29:$GQ$29,0))</f>
        <v>2.6606689129699899E-2</v>
      </c>
      <c r="DP4">
        <f>INDEX($B$18:$GQ$18,MATCH(119,$B$29:$GQ$29,0))</f>
        <v>4.1684960581475583E-2</v>
      </c>
      <c r="DQ4">
        <f>INDEX($B$18:$GQ$18,MATCH(120,$B$29:$GQ$29,0))</f>
        <v>0</v>
      </c>
      <c r="DR4">
        <f>INDEX($B$18:$GQ$18,MATCH(121,$B$29:$GQ$29,0))</f>
        <v>0.12924897636836921</v>
      </c>
      <c r="DS4">
        <f>INDEX($B$18:$GQ$18,MATCH(122,$B$29:$GQ$29,0))</f>
        <v>2.2302317268050521E-2</v>
      </c>
      <c r="DT4">
        <f>INDEX($B$18:$GQ$18,MATCH(123,$B$29:$GQ$29,0))</f>
        <v>1.528693096058273E-2</v>
      </c>
      <c r="DU4">
        <f>INDEX($B$18:$GQ$18,MATCH(124,$B$29:$GQ$29,0))</f>
        <v>2.9692677678154089E-2</v>
      </c>
      <c r="DV4">
        <f>INDEX($B$18:$GQ$18,MATCH(125,$B$29:$GQ$29,0))</f>
        <v>1.2516476790179899E-2</v>
      </c>
      <c r="DW4">
        <f>INDEX($B$18:$GQ$18,MATCH(126,$B$29:$GQ$29,0))</f>
        <v>0</v>
      </c>
      <c r="DX4">
        <f>INDEX($B$18:$GQ$18,MATCH(127,$B$29:$GQ$29,0))</f>
        <v>0</v>
      </c>
      <c r="DY4">
        <f>INDEX($B$18:$GQ$18,MATCH(128,$B$29:$GQ$29,0))</f>
        <v>2.8848322319257338E-2</v>
      </c>
      <c r="DZ4">
        <f>INDEX($B$18:$GQ$18,MATCH(129,$B$29:$GQ$29,0))</f>
        <v>2.0992257199725609E-3</v>
      </c>
      <c r="EA4">
        <f>INDEX($B$18:$GQ$18,MATCH(130,$B$29:$GQ$29,0))</f>
        <v>2.2696558025626559E-2</v>
      </c>
      <c r="EB4">
        <f>INDEX($B$18:$GQ$18,MATCH(131,$B$29:$GQ$29,0))</f>
        <v>0</v>
      </c>
      <c r="EC4">
        <f>INDEX($B$18:$GQ$18,MATCH(132,$B$29:$GQ$29,0))</f>
        <v>2.3196796077538179E-2</v>
      </c>
      <c r="ED4">
        <f>INDEX($B$18:$GQ$18,MATCH(133,$B$29:$GQ$29,0))</f>
        <v>1.9148344263024589E-2</v>
      </c>
      <c r="EE4">
        <f>INDEX($B$18:$GQ$18,MATCH(134,$B$29:$GQ$29,0))</f>
        <v>1.7378756602347081E-3</v>
      </c>
      <c r="EF4">
        <f>INDEX($B$18:$GQ$18,MATCH(135,$B$29:$GQ$29,0))</f>
        <v>0.35819783260711541</v>
      </c>
      <c r="EG4">
        <f>INDEX($B$18:$GQ$18,MATCH(136,$B$29:$GQ$29,0))</f>
        <v>0.206889728397399</v>
      </c>
      <c r="EH4">
        <f>INDEX($B$18:$GQ$18,MATCH(137,$B$29:$GQ$29,0))</f>
        <v>0.1604422851004671</v>
      </c>
      <c r="EI4">
        <f>INDEX($B$18:$GQ$18,MATCH(138,$B$29:$GQ$29,0))</f>
        <v>0</v>
      </c>
      <c r="EJ4">
        <f>INDEX($B$18:$GQ$18,MATCH(139,$B$29:$GQ$29,0))</f>
        <v>0</v>
      </c>
      <c r="EK4">
        <f>INDEX($B$18:$GQ$18,MATCH(140,$B$29:$GQ$29,0))</f>
        <v>0</v>
      </c>
      <c r="EL4">
        <f>INDEX($B$18:$GQ$18,MATCH(141,$B$29:$GQ$29,0))</f>
        <v>0</v>
      </c>
      <c r="EM4">
        <f>INDEX($B$18:$GQ$18,MATCH(142,$B$29:$GQ$29,0))</f>
        <v>0</v>
      </c>
      <c r="EN4">
        <f>INDEX($B$18:$GQ$18,MATCH(143,$B$29:$GQ$29,0))</f>
        <v>0</v>
      </c>
      <c r="EO4">
        <f>INDEX($B$18:$GQ$18,MATCH(144,$B$29:$GQ$29,0))</f>
        <v>0</v>
      </c>
      <c r="EP4">
        <f>INDEX($B$18:$GQ$18,MATCH(145,$B$29:$GQ$29,0))</f>
        <v>6.7105071185505502E-2</v>
      </c>
      <c r="EQ4">
        <f>INDEX($B$18:$GQ$18,MATCH(146,$B$29:$GQ$29,0))</f>
        <v>4.9413705772523879E-3</v>
      </c>
      <c r="ER4">
        <f>INDEX($B$18:$GQ$18,MATCH(147,$B$29:$GQ$29,0))</f>
        <v>0</v>
      </c>
      <c r="ES4">
        <f>INDEX($B$18:$GQ$18,MATCH(148,$B$29:$GQ$29,0))</f>
        <v>0</v>
      </c>
      <c r="ET4">
        <f>INDEX($B$18:$GQ$18,MATCH(149,$B$29:$GQ$29,0))</f>
        <v>0</v>
      </c>
      <c r="EU4">
        <f>INDEX($B$18:$GQ$18,MATCH(150,$B$29:$GQ$29,0))</f>
        <v>0</v>
      </c>
      <c r="EV4">
        <f>INDEX($B$18:$GQ$18,MATCH(151,$B$29:$GQ$29,0))</f>
        <v>0</v>
      </c>
      <c r="EW4">
        <f>INDEX($B$18:$GQ$18,MATCH(152,$B$29:$GQ$29,0))</f>
        <v>0</v>
      </c>
      <c r="EX4">
        <f>INDEX($B$18:$GQ$18,MATCH(153,$B$29:$GQ$29,0))</f>
        <v>0</v>
      </c>
      <c r="EY4">
        <f>INDEX($B$18:$GQ$18,MATCH(154,$B$29:$GQ$29,0))</f>
        <v>0</v>
      </c>
      <c r="EZ4">
        <f>INDEX($B$18:$GQ$18,MATCH(155,$B$29:$GQ$29,0))</f>
        <v>7.1890092455282511E-3</v>
      </c>
      <c r="FA4">
        <f>INDEX($B$18:$GQ$18,MATCH(156,$B$29:$GQ$29,0))</f>
        <v>6.9377106427847409E-3</v>
      </c>
      <c r="FB4">
        <f>INDEX($B$18:$GQ$18,MATCH(157,$B$29:$GQ$29,0))</f>
        <v>1.941234995645838E-4</v>
      </c>
      <c r="FC4">
        <f>INDEX($B$18:$GQ$18,MATCH(158,$B$29:$GQ$29,0))</f>
        <v>3.9706887351467126E-3</v>
      </c>
      <c r="FD4">
        <f>INDEX($B$18:$GQ$18,MATCH(159,$B$29:$GQ$29,0))</f>
        <v>2.0715453774886119E-2</v>
      </c>
      <c r="FE4">
        <f>INDEX($B$18:$GQ$18,MATCH(160,$B$29:$GQ$29,0))</f>
        <v>1.919859759253377E-2</v>
      </c>
      <c r="FF4">
        <f>INDEX($B$18:$GQ$18,MATCH(161,$B$29:$GQ$29,0))</f>
        <v>0</v>
      </c>
      <c r="FG4">
        <f>INDEX($B$18:$GQ$18,MATCH(162,$B$29:$GQ$29,0))</f>
        <v>4.7065636880041541E-2</v>
      </c>
      <c r="FH4">
        <f>INDEX($B$18:$GQ$18,MATCH(163,$B$29:$GQ$29,0))</f>
        <v>0</v>
      </c>
      <c r="FI4">
        <f>INDEX($B$18:$GQ$18,MATCH(164,$B$29:$GQ$29,0))</f>
        <v>1.297400516705341E-4</v>
      </c>
      <c r="FJ4">
        <f>INDEX($B$18:$GQ$18,MATCH(165,$B$29:$GQ$29,0))</f>
        <v>2.4763936376245702E-2</v>
      </c>
      <c r="FK4">
        <f>INDEX($B$18:$GQ$18,MATCH(166,$B$29:$GQ$29,0))</f>
        <v>0</v>
      </c>
      <c r="FL4">
        <f>INDEX($B$18:$GQ$18,MATCH(167,$B$29:$GQ$29,0))</f>
        <v>1.3603337165068081E-2</v>
      </c>
      <c r="FM4">
        <f>INDEX($B$18:$GQ$18,MATCH(168,$B$29:$GQ$29,0))</f>
        <v>2.783944135487176E-2</v>
      </c>
      <c r="FN4">
        <f>INDEX($B$18:$GQ$18,MATCH(169,$B$29:$GQ$29,0))</f>
        <v>4.7056503735999511E-2</v>
      </c>
      <c r="FO4">
        <f>INDEX($B$18:$GQ$18,MATCH(170,$B$29:$GQ$29,0))</f>
        <v>5.1471485932508606E-3</v>
      </c>
      <c r="FP4">
        <f>INDEX($B$18:$GQ$18,MATCH(171,$B$29:$GQ$29,0))</f>
        <v>5.7347295832096499E-3</v>
      </c>
      <c r="FQ4">
        <f>INDEX($B$18:$GQ$18,MATCH(172,$B$29:$GQ$29,0))</f>
        <v>8.6273508472606807E-3</v>
      </c>
      <c r="FR4">
        <f>INDEX($B$18:$GQ$18,MATCH(173,$B$29:$GQ$29,0))</f>
        <v>5.4905507795001088E-3</v>
      </c>
      <c r="FS4">
        <f>INDEX($B$18:$GQ$18,MATCH(174,$B$29:$GQ$29,0))</f>
        <v>1.3677657779278231E-4</v>
      </c>
      <c r="FT4">
        <f>INDEX($B$18:$GQ$18,MATCH(175,$B$29:$GQ$29,0))</f>
        <v>0</v>
      </c>
      <c r="FU4">
        <f>INDEX($B$18:$GQ$18,MATCH(176,$B$29:$GQ$29,0))</f>
        <v>1.0836169351700561E-2</v>
      </c>
      <c r="FV4">
        <f>INDEX($B$18:$GQ$18,MATCH(177,$B$29:$GQ$29,0))</f>
        <v>0</v>
      </c>
      <c r="FW4">
        <f>INDEX($B$18:$GQ$18,MATCH(178,$B$29:$GQ$29,0))</f>
        <v>2.301532733048316E-2</v>
      </c>
      <c r="FX4">
        <f>INDEX($B$18:$GQ$18,MATCH(179,$B$29:$GQ$29,0))</f>
        <v>1.7418158927912129E-2</v>
      </c>
      <c r="FY4">
        <f>INDEX($B$18:$GQ$18,MATCH(180,$B$29:$GQ$29,0))</f>
        <v>0</v>
      </c>
      <c r="FZ4">
        <f>INDEX($B$18:$GQ$18,MATCH(181,$B$29:$GQ$29,0))</f>
        <v>4.8513542972400472E-2</v>
      </c>
      <c r="GA4">
        <f>INDEX($B$18:$GQ$18,MATCH(182,$B$29:$GQ$29,0))</f>
        <v>6.0871513684644128E-2</v>
      </c>
      <c r="GB4">
        <f>INDEX($B$18:$GQ$18,MATCH(183,$B$29:$GQ$29,0))</f>
        <v>3.8998796124293862E-2</v>
      </c>
      <c r="GC4">
        <f>INDEX($B$18:$GQ$18,MATCH(184,$B$29:$GQ$29,0))</f>
        <v>0</v>
      </c>
      <c r="GD4">
        <f>INDEX($B$18:$GQ$18,MATCH(185,$B$29:$GQ$29,0))</f>
        <v>0</v>
      </c>
      <c r="GE4">
        <f>INDEX($B$18:$GQ$18,MATCH(186,$B$29:$GQ$29,0))</f>
        <v>0</v>
      </c>
      <c r="GF4">
        <f>INDEX($B$18:$GQ$18,MATCH(187,$B$29:$GQ$29,0))</f>
        <v>0</v>
      </c>
      <c r="GG4">
        <f>INDEX($B$18:$GQ$18,MATCH(188,$B$29:$GQ$29,0))</f>
        <v>0</v>
      </c>
      <c r="GH4">
        <f>INDEX($B$18:$GQ$18,MATCH(189,$B$29:$GQ$29,0))</f>
        <v>0</v>
      </c>
      <c r="GI4">
        <f>INDEX($B$18:$GQ$18,MATCH(190,$B$29:$GQ$29,0))</f>
        <v>0</v>
      </c>
      <c r="GJ4">
        <f>INDEX($B$18:$GQ$18,MATCH(191,$B$29:$GQ$29,0))</f>
        <v>2.2231661958660429E-3</v>
      </c>
      <c r="GK4">
        <f>INDEX($B$18:$GQ$18,MATCH(192,$B$29:$GQ$29,0))</f>
        <v>4.5582762340093024E-3</v>
      </c>
      <c r="GL4">
        <f>INDEX($B$18:$GQ$18,MATCH(193,$B$29:$GQ$29,0))</f>
        <v>4.197858026340177E-10</v>
      </c>
      <c r="GM4">
        <f>INDEX($B$18:$GQ$18,MATCH(194,$B$29:$GQ$29,0))</f>
        <v>0</v>
      </c>
      <c r="GN4">
        <f>INDEX($B$18:$GQ$18,MATCH(195,$B$29:$GQ$29,0))</f>
        <v>9.4540851576910296E-3</v>
      </c>
      <c r="GO4">
        <f>INDEX($B$18:$GQ$18,MATCH(196,$B$29:$GQ$29,0))</f>
        <v>0</v>
      </c>
      <c r="GP4">
        <f>INDEX($B$18:$GQ$18,MATCH(197,$B$29:$GQ$29,0))</f>
        <v>2.2375427989331679E-2</v>
      </c>
      <c r="GQ4">
        <f>INDEX($B$18:$GQ$18,MATCH(198,$B$29:$GQ$29,0))</f>
        <v>0</v>
      </c>
      <c r="GR4">
        <f>INDEX($GR$18:$HC$18,MATCH(1,$GR$30:$HC$30,0))</f>
        <v>0.26427140551426009</v>
      </c>
      <c r="GS4">
        <f>INDEX($GR$18:$HC$18,MATCH(2,$GR$30:$HC$30,0))</f>
        <v>8.0157721240053673E-2</v>
      </c>
      <c r="GT4">
        <f>INDEX($GR$18:$HC$18,MATCH(3,$GR$30:$HC$30,0))</f>
        <v>0.282717391958141</v>
      </c>
      <c r="GU4">
        <f>INDEX($GR$18:$HC$18,MATCH(4,$GR$30:$HC$30,0))</f>
        <v>1.6643761745026912E-2</v>
      </c>
      <c r="GV4">
        <f>INDEX($GR$18:$HC$18,MATCH(5,$GR$30:$HC$30,0))</f>
        <v>0.2059044155485753</v>
      </c>
      <c r="GW4">
        <f>INDEX($GR$18:$HC$18,MATCH(6,$GR$30:$HC$30,0))</f>
        <v>4.6487400867612612E-2</v>
      </c>
      <c r="GX4">
        <f>INDEX($GR$18:$HC$18,MATCH(7,$GR$30:$HC$30,0))</f>
        <v>0.17798478257392639</v>
      </c>
      <c r="GY4">
        <f>INDEX($GR$18:$HC$18,MATCH(8,$GR$30:$HC$30,0))</f>
        <v>0.17454799401302559</v>
      </c>
      <c r="GZ4">
        <f>INDEX($GR$18:$HC$18,MATCH(9,$GR$30:$HC$30,0))</f>
        <v>1.7721360573005121E-2</v>
      </c>
      <c r="HA4">
        <f>INDEX($GR$18:$HC$18,MATCH(10,$GR$30:$HC$30,0))</f>
        <v>2.9848612836871569E-2</v>
      </c>
      <c r="HB4">
        <f>INDEX($GR$18:$HC$18,MATCH(11,$GR$30:$HC$30,0))</f>
        <v>4.1879410745154617E-2</v>
      </c>
      <c r="HC4">
        <f>INDEX($GR$18:$HC$18,MATCH(12,$GR$30:$HC$30,0))</f>
        <v>3.0620570056910209E-2</v>
      </c>
    </row>
    <row r="5" spans="1:211" x14ac:dyDescent="0.45">
      <c r="A5" s="1" t="s">
        <v>4</v>
      </c>
      <c r="B5">
        <f>INDEX($B$19:$GQ$19,MATCH(1,$B$29:$GQ$29,0))</f>
        <v>0.66718373498775796</v>
      </c>
      <c r="C5">
        <f>INDEX($B$19:$GQ$19,MATCH(2,$B$29:$GQ$29,0))</f>
        <v>0.89536545665396772</v>
      </c>
      <c r="D5">
        <f>INDEX($B$19:$GQ$19,MATCH(3,$B$29:$GQ$29,0))</f>
        <v>2.0178881419140362</v>
      </c>
      <c r="E5">
        <f>INDEX($B$19:$GQ$19,MATCH(4,$B$29:$GQ$29,0))</f>
        <v>0.4031216502816472</v>
      </c>
      <c r="F5">
        <f>INDEX($B$19:$GQ$19,MATCH(5,$B$29:$GQ$29,0))</f>
        <v>1.691388082229619</v>
      </c>
      <c r="G5">
        <f>INDEX($B$19:$GQ$19,MATCH(6,$B$29:$GQ$29,0))</f>
        <v>6.9978419623365207E-2</v>
      </c>
      <c r="H5">
        <f>INDEX($B$19:$GQ$19,MATCH(7,$B$29:$GQ$29,0))</f>
        <v>0.72504129725246158</v>
      </c>
      <c r="I5">
        <f>INDEX($B$19:$GQ$19,MATCH(8,$B$29:$GQ$29,0))</f>
        <v>3.5812274697004631</v>
      </c>
      <c r="J5">
        <f>INDEX($B$19:$GQ$19,MATCH(9,$B$29:$GQ$29,0))</f>
        <v>0.47620137253437811</v>
      </c>
      <c r="K5">
        <f>INDEX($B$19:$GQ$19,MATCH(10,$B$29:$GQ$29,0))</f>
        <v>6.8970577400434404E-3</v>
      </c>
      <c r="L5">
        <f>INDEX($B$19:$GQ$19,MATCH(11,$B$29:$GQ$29,0))</f>
        <v>0.2966309692091233</v>
      </c>
      <c r="M5">
        <f>INDEX($B$19:$GQ$19,MATCH(12,$B$29:$GQ$29,0))</f>
        <v>4.1275487019775368E-3</v>
      </c>
      <c r="N5">
        <f>INDEX($B$19:$GQ$19,MATCH(13,$B$29:$GQ$29,0))</f>
        <v>0.85585433205420358</v>
      </c>
      <c r="O5">
        <f>INDEX($B$19:$GQ$19,MATCH(14,$B$29:$GQ$29,0))</f>
        <v>2.1978070724859469E-3</v>
      </c>
      <c r="P5">
        <f>INDEX($B$19:$GQ$19,MATCH(15,$B$29:$GQ$29,0))</f>
        <v>1.696931077230384E-2</v>
      </c>
      <c r="Q5">
        <f>INDEX($B$19:$GQ$19,MATCH(16,$B$29:$GQ$29,0))</f>
        <v>1.116152955972851E-2</v>
      </c>
      <c r="R5">
        <f>INDEX($B$19:$GQ$19,MATCH(17,$B$29:$GQ$29,0))</f>
        <v>1.5306402362013799E-2</v>
      </c>
      <c r="S5">
        <f>INDEX($B$19:$GQ$19,MATCH(18,$B$29:$GQ$29,0))</f>
        <v>0.70730143589003569</v>
      </c>
      <c r="T5">
        <f>INDEX($B$19:$GQ$19,MATCH(19,$B$29:$GQ$29,0))</f>
        <v>5.0729173464986134E-3</v>
      </c>
      <c r="U5">
        <f>INDEX($B$19:$GQ$19,MATCH(20,$B$29:$GQ$29,0))</f>
        <v>0.91843551313330141</v>
      </c>
      <c r="V5">
        <f>INDEX($B$19:$GQ$19,MATCH(21,$B$29:$GQ$29,0))</f>
        <v>5.427398279789949E-3</v>
      </c>
      <c r="W5">
        <f>INDEX($B$19:$GQ$19,MATCH(22,$B$29:$GQ$29,0))</f>
        <v>4.3669698072716437E-2</v>
      </c>
      <c r="X5">
        <f>INDEX($B$19:$GQ$19,MATCH(23,$B$29:$GQ$29,0))</f>
        <v>2.956432476725271E-3</v>
      </c>
      <c r="Y5">
        <f>INDEX($B$19:$GQ$19,MATCH(24,$B$29:$GQ$29,0))</f>
        <v>0.44380263827016231</v>
      </c>
      <c r="Z5">
        <f>INDEX($B$19:$GQ$19,MATCH(25,$B$29:$GQ$29,0))</f>
        <v>1.701533186586662E-2</v>
      </c>
      <c r="AA5">
        <f>INDEX($B$19:$GQ$19,MATCH(26,$B$29:$GQ$29,0))</f>
        <v>9.6278244244035801E-3</v>
      </c>
      <c r="AB5">
        <f>INDEX($B$19:$GQ$19,MATCH(27,$B$29:$GQ$29,0))</f>
        <v>5.6163944777514897E-3</v>
      </c>
      <c r="AC5">
        <f>INDEX($B$19:$GQ$19,MATCH(28,$B$29:$GQ$29,0))</f>
        <v>3.723561669175408E-3</v>
      </c>
      <c r="AD5">
        <f>INDEX($B$19:$GQ$19,MATCH(29,$B$29:$GQ$29,0))</f>
        <v>4.2781448056695669E-3</v>
      </c>
      <c r="AE5">
        <f>INDEX($B$19:$GQ$19,MATCH(30,$B$29:$GQ$29,0))</f>
        <v>3.6299658911969849E-3</v>
      </c>
      <c r="AF5">
        <f>INDEX($B$19:$GQ$19,MATCH(31,$B$29:$GQ$29,0))</f>
        <v>0.97122511796989563</v>
      </c>
      <c r="AG5">
        <f>INDEX($B$19:$GQ$19,MATCH(32,$B$29:$GQ$29,0))</f>
        <v>1.211402041309813E-2</v>
      </c>
      <c r="AH5">
        <f>INDEX($B$19:$GQ$19,MATCH(33,$B$29:$GQ$29,0))</f>
        <v>2.983839075403978E-3</v>
      </c>
      <c r="AI5">
        <f>INDEX($B$19:$GQ$19,MATCH(34,$B$29:$GQ$29,0))</f>
        <v>1.6465553008446041E-3</v>
      </c>
      <c r="AJ5">
        <f>INDEX($B$19:$GQ$19,MATCH(35,$B$29:$GQ$29,0))</f>
        <v>3.0807036966022019E-3</v>
      </c>
      <c r="AK5">
        <f>INDEX($B$19:$GQ$19,MATCH(36,$B$29:$GQ$29,0))</f>
        <v>5.0578369501200152E-3</v>
      </c>
      <c r="AL5">
        <f>INDEX($B$19:$GQ$19,MATCH(37,$B$29:$GQ$29,0))</f>
        <v>0.26279970129714919</v>
      </c>
      <c r="AM5">
        <f>INDEX($B$19:$GQ$19,MATCH(38,$B$29:$GQ$29,0))</f>
        <v>1.618668135399508E-3</v>
      </c>
      <c r="AN5">
        <f>INDEX($B$19:$GQ$19,MATCH(39,$B$29:$GQ$29,0))</f>
        <v>4.0470527599485431</v>
      </c>
      <c r="AO5">
        <f>INDEX($B$19:$GQ$19,MATCH(40,$B$29:$GQ$29,0))</f>
        <v>2.0524798288778711E-3</v>
      </c>
      <c r="AP5">
        <f>INDEX($B$19:$GQ$19,MATCH(41,$B$29:$GQ$29,0))</f>
        <v>1.1141630809294989</v>
      </c>
      <c r="AQ5">
        <f>INDEX($B$19:$GQ$19,MATCH(42,$B$29:$GQ$29,0))</f>
        <v>8.7358848503044562E-4</v>
      </c>
      <c r="AR5">
        <f>INDEX($B$19:$GQ$19,MATCH(43,$B$29:$GQ$29,0))</f>
        <v>0.55547134427914679</v>
      </c>
      <c r="AS5">
        <f>INDEX($B$19:$GQ$19,MATCH(44,$B$29:$GQ$29,0))</f>
        <v>0.33254410419125319</v>
      </c>
      <c r="AT5">
        <f>INDEX($B$19:$GQ$19,MATCH(45,$B$29:$GQ$29,0))</f>
        <v>0.138319329306657</v>
      </c>
      <c r="AU5">
        <f>INDEX($B$19:$GQ$19,MATCH(46,$B$29:$GQ$29,0))</f>
        <v>2.7613365570988879E-3</v>
      </c>
      <c r="AV5">
        <f>INDEX($B$19:$GQ$19,MATCH(47,$B$29:$GQ$29,0))</f>
        <v>2.2463369540997542</v>
      </c>
      <c r="AW5">
        <f>INDEX($B$19:$GQ$19,MATCH(48,$B$29:$GQ$29,0))</f>
        <v>5.5750998083846579E-3</v>
      </c>
      <c r="AX5">
        <f>INDEX($B$19:$GQ$19,MATCH(49,$B$29:$GQ$29,0))</f>
        <v>1.979624238453328E-3</v>
      </c>
      <c r="AY5">
        <f>INDEX($B$19:$GQ$19,MATCH(50,$B$29:$GQ$29,0))</f>
        <v>2.1923021133921261E-3</v>
      </c>
      <c r="AZ5">
        <f>INDEX($B$19:$GQ$19,MATCH(51,$B$29:$GQ$29,0))</f>
        <v>5.8660520339871684E-4</v>
      </c>
      <c r="BA5">
        <f>INDEX($B$19:$GQ$19,MATCH(52,$B$29:$GQ$29,0))</f>
        <v>2.2981983395803131E-3</v>
      </c>
      <c r="BB5">
        <f>INDEX($B$19:$GQ$19,MATCH(53,$B$29:$GQ$29,0))</f>
        <v>2.072064189060903E-3</v>
      </c>
      <c r="BC5">
        <f>INDEX($B$19:$GQ$19,MATCH(54,$B$29:$GQ$29,0))</f>
        <v>1.4134752963138941E-2</v>
      </c>
      <c r="BD5">
        <f>INDEX($B$19:$GQ$19,MATCH(55,$B$29:$GQ$29,0))</f>
        <v>3.4705561530030721E-3</v>
      </c>
      <c r="BE5">
        <f>INDEX($B$19:$GQ$19,MATCH(56,$B$29:$GQ$29,0))</f>
        <v>2.901962637818565E-3</v>
      </c>
      <c r="BF5">
        <f>INDEX($B$19:$GQ$19,MATCH(57,$B$29:$GQ$29,0))</f>
        <v>3.5779524345190142E-3</v>
      </c>
      <c r="BG5">
        <f>INDEX($B$19:$GQ$19,MATCH(58,$B$29:$GQ$29,0))</f>
        <v>7.6948413857869744E-3</v>
      </c>
      <c r="BH5">
        <f>INDEX($B$19:$GQ$19,MATCH(59,$B$29:$GQ$29,0))</f>
        <v>3.1845386548559548E-3</v>
      </c>
      <c r="BI5">
        <f>INDEX($B$19:$GQ$19,MATCH(60,$B$29:$GQ$29,0))</f>
        <v>2.1237418581267829E-3</v>
      </c>
      <c r="BJ5">
        <f>INDEX($B$19:$GQ$19,MATCH(61,$B$29:$GQ$29,0))</f>
        <v>1.2696630076415491E-2</v>
      </c>
      <c r="BK5">
        <f>INDEX($B$19:$GQ$19,MATCH(62,$B$29:$GQ$29,0))</f>
        <v>2.5627747364161671E-3</v>
      </c>
      <c r="BL5">
        <f>INDEX($B$19:$GQ$19,MATCH(63,$B$29:$GQ$29,0))</f>
        <v>1.7826061247071159E-3</v>
      </c>
      <c r="BM5">
        <f>INDEX($B$19:$GQ$19,MATCH(64,$B$29:$GQ$29,0))</f>
        <v>5.8606336991606804E-3</v>
      </c>
      <c r="BN5">
        <f>INDEX($B$19:$GQ$19,MATCH(65,$B$29:$GQ$29,0))</f>
        <v>2.3513289150104161E-3</v>
      </c>
      <c r="BO5">
        <f>INDEX($B$19:$GQ$19,MATCH(66,$B$29:$GQ$29,0))</f>
        <v>3.2881622219946997E-2</v>
      </c>
      <c r="BP5">
        <f>INDEX($B$19:$GQ$19,MATCH(67,$B$29:$GQ$29,0))</f>
        <v>2.4199766274522602E-3</v>
      </c>
      <c r="BQ5">
        <f>INDEX($B$19:$GQ$19,MATCH(68,$B$29:$GQ$29,0))</f>
        <v>1.627245458268874E-2</v>
      </c>
      <c r="BR5">
        <f>INDEX($B$19:$GQ$19,MATCH(69,$B$29:$GQ$29,0))</f>
        <v>7.1497127735498567E-4</v>
      </c>
      <c r="BS5">
        <f>INDEX($B$19:$GQ$19,MATCH(70,$B$29:$GQ$29,0))</f>
        <v>3.857252744044264E-3</v>
      </c>
      <c r="BT5">
        <f>INDEX($B$19:$GQ$19,MATCH(71,$B$29:$GQ$29,0))</f>
        <v>1.8479484326504271E-3</v>
      </c>
      <c r="BU5">
        <f>INDEX($B$19:$GQ$19,MATCH(72,$B$29:$GQ$29,0))</f>
        <v>2.8422107672911581E-3</v>
      </c>
      <c r="BV5">
        <f>INDEX($B$19:$GQ$19,MATCH(73,$B$29:$GQ$29,0))</f>
        <v>5.7567194250627354E-3</v>
      </c>
      <c r="BW5">
        <f>INDEX($B$19:$GQ$19,MATCH(74,$B$29:$GQ$29,0))</f>
        <v>2.096657296294584E-3</v>
      </c>
      <c r="BX5">
        <f>INDEX($B$19:$GQ$19,MATCH(75,$B$29:$GQ$29,0))</f>
        <v>7.1456956732146356E-3</v>
      </c>
      <c r="BY5">
        <f>INDEX($B$19:$GQ$19,MATCH(76,$B$29:$GQ$29,0))</f>
        <v>5.882748582939243E-3</v>
      </c>
      <c r="BZ5">
        <f>INDEX($B$19:$GQ$19,MATCH(77,$B$29:$GQ$29,0))</f>
        <v>9.4837317915360782E-4</v>
      </c>
      <c r="CA5">
        <f>INDEX($B$19:$GQ$19,MATCH(78,$B$29:$GQ$29,0))</f>
        <v>2.535307139901165E-3</v>
      </c>
      <c r="CB5">
        <f>INDEX($B$19:$GQ$19,MATCH(79,$B$29:$GQ$29,0))</f>
        <v>7.642074913104842E-4</v>
      </c>
      <c r="CC5">
        <f>INDEX($B$19:$GQ$19,MATCH(80,$B$29:$GQ$29,0))</f>
        <v>9.6158715524284656E-3</v>
      </c>
      <c r="CD5">
        <f>INDEX($B$19:$GQ$19,MATCH(81,$B$29:$GQ$29,0))</f>
        <v>2.8797878555097099E-3</v>
      </c>
      <c r="CE5">
        <f>INDEX($B$19:$GQ$19,MATCH(82,$B$29:$GQ$29,0))</f>
        <v>5.066428824860273E-2</v>
      </c>
      <c r="CF5">
        <f>INDEX($B$19:$GQ$19,MATCH(83,$B$29:$GQ$29,0))</f>
        <v>2.9135383725372699E-3</v>
      </c>
      <c r="CG5">
        <f>INDEX($B$19:$GQ$19,MATCH(84,$B$29:$GQ$29,0))</f>
        <v>1.018528939380158E-2</v>
      </c>
      <c r="CH5">
        <f>INDEX($B$19:$GQ$19,MATCH(85,$B$29:$GQ$29,0))</f>
        <v>2.4367347805752939E-3</v>
      </c>
      <c r="CI5">
        <f>INDEX($B$19:$GQ$19,MATCH(86,$B$29:$GQ$29,0))</f>
        <v>2.9489756093514399E-3</v>
      </c>
      <c r="CJ5">
        <f>INDEX($B$19:$GQ$19,MATCH(87,$B$29:$GQ$29,0))</f>
        <v>2.9281565954245151E-3</v>
      </c>
      <c r="CK5">
        <f>INDEX($B$19:$GQ$19,MATCH(88,$B$29:$GQ$29,0))</f>
        <v>4.2724129798064519E-3</v>
      </c>
      <c r="CL5">
        <f>INDEX($B$19:$GQ$19,MATCH(89,$B$29:$GQ$29,0))</f>
        <v>2.9447229835875702E-3</v>
      </c>
      <c r="CM5">
        <f>INDEX($B$19:$GQ$19,MATCH(90,$B$29:$GQ$29,0))</f>
        <v>2.7802675206295689E-3</v>
      </c>
      <c r="CN5">
        <f>INDEX($B$19:$GQ$19,MATCH(91,$B$29:$GQ$29,0))</f>
        <v>2.9555064998417748E-3</v>
      </c>
      <c r="CO5">
        <f>INDEX($B$19:$GQ$19,MATCH(92,$B$29:$GQ$29,0))</f>
        <v>2.8859707282440769E-3</v>
      </c>
      <c r="CP5">
        <f>INDEX($B$19:$GQ$19,MATCH(93,$B$29:$GQ$29,0))</f>
        <v>4.0380891410420044E-3</v>
      </c>
      <c r="CQ5">
        <f>INDEX($B$19:$GQ$19,MATCH(94,$B$29:$GQ$29,0))</f>
        <v>2.905443930009975E-3</v>
      </c>
      <c r="CR5">
        <f>INDEX($B$19:$GQ$19,MATCH(95,$B$29:$GQ$29,0))</f>
        <v>6.9578911608599251E-3</v>
      </c>
      <c r="CS5">
        <f>INDEX($B$19:$GQ$19,MATCH(96,$B$29:$GQ$29,0))</f>
        <v>2.8647399015239291E-3</v>
      </c>
      <c r="CT5">
        <f>INDEX($B$19:$GQ$19,MATCH(97,$B$29:$GQ$29,0))</f>
        <v>2.8566903983755169E-3</v>
      </c>
      <c r="CU5">
        <f>INDEX($B$19:$GQ$19,MATCH(98,$B$29:$GQ$29,0))</f>
        <v>2.923288628586965E-3</v>
      </c>
      <c r="CV5">
        <f>INDEX($B$19:$GQ$19,MATCH(99,$B$29:$GQ$29,0))</f>
        <v>2.8820267209948101E-3</v>
      </c>
      <c r="CW5">
        <f>INDEX($B$19:$GQ$19,MATCH(100,$B$29:$GQ$29,0))</f>
        <v>9.3560120778516103E-4</v>
      </c>
      <c r="CX5">
        <f>INDEX($B$19:$GQ$19,MATCH(101,$B$29:$GQ$29,0))</f>
        <v>2.9238804309028961E-3</v>
      </c>
      <c r="CY5">
        <f>INDEX($B$19:$GQ$19,MATCH(102,$B$29:$GQ$29,0))</f>
        <v>1.0333550398434991E-3</v>
      </c>
      <c r="CZ5">
        <f>INDEX($B$19:$GQ$19,MATCH(103,$B$29:$GQ$29,0))</f>
        <v>2.6013132089568189E-3</v>
      </c>
      <c r="DA5">
        <f>INDEX($B$19:$GQ$19,MATCH(104,$B$29:$GQ$29,0))</f>
        <v>6.3573055665016344E-3</v>
      </c>
      <c r="DB5">
        <f>INDEX($B$19:$GQ$19,MATCH(105,$B$29:$GQ$29,0))</f>
        <v>0</v>
      </c>
      <c r="DC5">
        <f>INDEX($B$19:$GQ$19,MATCH(106,$B$29:$GQ$29,0))</f>
        <v>2.926286668365008E-3</v>
      </c>
      <c r="DD5">
        <f>INDEX($B$19:$GQ$19,MATCH(107,$B$29:$GQ$29,0))</f>
        <v>2.8704130049445561E-3</v>
      </c>
      <c r="DE5">
        <f>INDEX($B$19:$GQ$19,MATCH(108,$B$29:$GQ$29,0))</f>
        <v>2.8811545727566298E-3</v>
      </c>
      <c r="DF5">
        <f>INDEX($B$19:$GQ$19,MATCH(109,$B$29:$GQ$29,0))</f>
        <v>1.495148896745777E-3</v>
      </c>
      <c r="DG5">
        <f>INDEX($B$19:$GQ$19,MATCH(110,$B$29:$GQ$29,0))</f>
        <v>2.845243211836615E-3</v>
      </c>
      <c r="DH5">
        <f>INDEX($B$19:$GQ$19,MATCH(111,$B$29:$GQ$29,0))</f>
        <v>3.9965689429372446E-3</v>
      </c>
      <c r="DI5">
        <f>INDEX($B$19:$GQ$19,MATCH(112,$B$29:$GQ$29,0))</f>
        <v>2.8422183619580431E-3</v>
      </c>
      <c r="DJ5">
        <f>INDEX($B$19:$GQ$19,MATCH(113,$B$29:$GQ$29,0))</f>
        <v>2.8569532795333879E-3</v>
      </c>
      <c r="DK5">
        <f>INDEX($B$19:$GQ$19,MATCH(114,$B$29:$GQ$29,0))</f>
        <v>2.8556358131411308E-3</v>
      </c>
      <c r="DL5">
        <f>INDEX($B$19:$GQ$19,MATCH(115,$B$29:$GQ$29,0))</f>
        <v>2.2563923124028279E-3</v>
      </c>
      <c r="DM5">
        <f>INDEX($B$19:$GQ$19,MATCH(116,$B$29:$GQ$29,0))</f>
        <v>2.2552925754464891E-4</v>
      </c>
      <c r="DN5">
        <f>INDEX($B$19:$GQ$19,MATCH(117,$B$29:$GQ$29,0))</f>
        <v>5.5855204407202915E-4</v>
      </c>
      <c r="DO5">
        <f>INDEX($B$19:$GQ$19,MATCH(118,$B$29:$GQ$29,0))</f>
        <v>3.6570836134991089E-3</v>
      </c>
      <c r="DP5">
        <f>INDEX($B$19:$GQ$19,MATCH(119,$B$29:$GQ$29,0))</f>
        <v>4.1626777255982447E-3</v>
      </c>
      <c r="DQ5">
        <f>INDEX($B$19:$GQ$19,MATCH(120,$B$29:$GQ$29,0))</f>
        <v>0</v>
      </c>
      <c r="DR5">
        <f>INDEX($B$19:$GQ$19,MATCH(121,$B$29:$GQ$29,0))</f>
        <v>1.2350204670956871E-3</v>
      </c>
      <c r="DS5">
        <f>INDEX($B$19:$GQ$19,MATCH(122,$B$29:$GQ$29,0))</f>
        <v>7.2302606903659906E-3</v>
      </c>
      <c r="DT5">
        <f>INDEX($B$19:$GQ$19,MATCH(123,$B$29:$GQ$29,0))</f>
        <v>2.8258508315252701E-3</v>
      </c>
      <c r="DU5">
        <f>INDEX($B$19:$GQ$19,MATCH(124,$B$29:$GQ$29,0))</f>
        <v>2.3816778893163862E-3</v>
      </c>
      <c r="DV5">
        <f>INDEX($B$19:$GQ$19,MATCH(125,$B$29:$GQ$29,0))</f>
        <v>2.6771678565618469E-3</v>
      </c>
      <c r="DW5">
        <f>INDEX($B$19:$GQ$19,MATCH(126,$B$29:$GQ$29,0))</f>
        <v>0</v>
      </c>
      <c r="DX5">
        <f>INDEX($B$19:$GQ$19,MATCH(127,$B$29:$GQ$29,0))</f>
        <v>0</v>
      </c>
      <c r="DY5">
        <f>INDEX($B$19:$GQ$19,MATCH(128,$B$29:$GQ$29,0))</f>
        <v>2.5234694376236049E-3</v>
      </c>
      <c r="DZ5">
        <f>INDEX($B$19:$GQ$19,MATCH(129,$B$29:$GQ$29,0))</f>
        <v>5.8157669547408313E-5</v>
      </c>
      <c r="EA5">
        <f>INDEX($B$19:$GQ$19,MATCH(130,$B$29:$GQ$29,0))</f>
        <v>2.8213963656805491E-3</v>
      </c>
      <c r="EB5">
        <f>INDEX($B$19:$GQ$19,MATCH(131,$B$29:$GQ$29,0))</f>
        <v>0</v>
      </c>
      <c r="EC5">
        <f>INDEX($B$19:$GQ$19,MATCH(132,$B$29:$GQ$29,0))</f>
        <v>4.2140777316160014E-3</v>
      </c>
      <c r="ED5">
        <f>INDEX($B$19:$GQ$19,MATCH(133,$B$29:$GQ$29,0))</f>
        <v>4.4587726312868177E-3</v>
      </c>
      <c r="EE5">
        <f>INDEX($B$19:$GQ$19,MATCH(134,$B$29:$GQ$29,0))</f>
        <v>0.1163870039537666</v>
      </c>
      <c r="EF5">
        <f>INDEX($B$19:$GQ$19,MATCH(135,$B$29:$GQ$29,0))</f>
        <v>4.2223018145838704</v>
      </c>
      <c r="EG5">
        <f>INDEX($B$19:$GQ$19,MATCH(136,$B$29:$GQ$29,0))</f>
        <v>1.4650301957317691</v>
      </c>
      <c r="EH5">
        <f>INDEX($B$19:$GQ$19,MATCH(137,$B$29:$GQ$29,0))</f>
        <v>7.6821775743441956E-2</v>
      </c>
      <c r="EI5">
        <f>INDEX($B$19:$GQ$19,MATCH(138,$B$29:$GQ$29,0))</f>
        <v>0</v>
      </c>
      <c r="EJ5">
        <f>INDEX($B$19:$GQ$19,MATCH(139,$B$29:$GQ$29,0))</f>
        <v>0</v>
      </c>
      <c r="EK5">
        <f>INDEX($B$19:$GQ$19,MATCH(140,$B$29:$GQ$29,0))</f>
        <v>0</v>
      </c>
      <c r="EL5">
        <f>INDEX($B$19:$GQ$19,MATCH(141,$B$29:$GQ$29,0))</f>
        <v>0</v>
      </c>
      <c r="EM5">
        <f>INDEX($B$19:$GQ$19,MATCH(142,$B$29:$GQ$29,0))</f>
        <v>0</v>
      </c>
      <c r="EN5">
        <f>INDEX($B$19:$GQ$19,MATCH(143,$B$29:$GQ$29,0))</f>
        <v>0</v>
      </c>
      <c r="EO5">
        <f>INDEX($B$19:$GQ$19,MATCH(144,$B$29:$GQ$29,0))</f>
        <v>0</v>
      </c>
      <c r="EP5">
        <f>INDEX($B$19:$GQ$19,MATCH(145,$B$29:$GQ$29,0))</f>
        <v>2.9854941554838992E-3</v>
      </c>
      <c r="EQ5">
        <f>INDEX($B$19:$GQ$19,MATCH(146,$B$29:$GQ$29,0))</f>
        <v>2.5003535809240438E-4</v>
      </c>
      <c r="ER5">
        <f>INDEX($B$19:$GQ$19,MATCH(147,$B$29:$GQ$29,0))</f>
        <v>0</v>
      </c>
      <c r="ES5">
        <f>INDEX($B$19:$GQ$19,MATCH(148,$B$29:$GQ$29,0))</f>
        <v>0</v>
      </c>
      <c r="ET5">
        <f>INDEX($B$19:$GQ$19,MATCH(149,$B$29:$GQ$29,0))</f>
        <v>0</v>
      </c>
      <c r="EU5">
        <f>INDEX($B$19:$GQ$19,MATCH(150,$B$29:$GQ$29,0))</f>
        <v>0</v>
      </c>
      <c r="EV5">
        <f>INDEX($B$19:$GQ$19,MATCH(151,$B$29:$GQ$29,0))</f>
        <v>0</v>
      </c>
      <c r="EW5">
        <f>INDEX($B$19:$GQ$19,MATCH(152,$B$29:$GQ$29,0))</f>
        <v>0</v>
      </c>
      <c r="EX5">
        <f>INDEX($B$19:$GQ$19,MATCH(153,$B$29:$GQ$29,0))</f>
        <v>0</v>
      </c>
      <c r="EY5">
        <f>INDEX($B$19:$GQ$19,MATCH(154,$B$29:$GQ$29,0))</f>
        <v>0</v>
      </c>
      <c r="EZ5">
        <f>INDEX($B$19:$GQ$19,MATCH(155,$B$29:$GQ$29,0))</f>
        <v>1.7650770078469659E-5</v>
      </c>
      <c r="FA5">
        <f>INDEX($B$19:$GQ$19,MATCH(156,$B$29:$GQ$29,0))</f>
        <v>3.413948584555375E-3</v>
      </c>
      <c r="FB5">
        <f>INDEX($B$19:$GQ$19,MATCH(157,$B$29:$GQ$29,0))</f>
        <v>1.0834259081029E-4</v>
      </c>
      <c r="FC5">
        <f>INDEX($B$19:$GQ$19,MATCH(158,$B$29:$GQ$29,0))</f>
        <v>2.003537034075679E-3</v>
      </c>
      <c r="FD5">
        <f>INDEX($B$19:$GQ$19,MATCH(159,$B$29:$GQ$29,0))</f>
        <v>2.4605290735940808E-3</v>
      </c>
      <c r="FE5">
        <f>INDEX($B$19:$GQ$19,MATCH(160,$B$29:$GQ$29,0))</f>
        <v>2.2689726787155562E-3</v>
      </c>
      <c r="FF5">
        <f>INDEX($B$19:$GQ$19,MATCH(161,$B$29:$GQ$29,0))</f>
        <v>0</v>
      </c>
      <c r="FG5">
        <f>INDEX($B$19:$GQ$19,MATCH(162,$B$29:$GQ$29,0))</f>
        <v>1.3038883671537319E-3</v>
      </c>
      <c r="FH5">
        <f>INDEX($B$19:$GQ$19,MATCH(163,$B$29:$GQ$29,0))</f>
        <v>0</v>
      </c>
      <c r="FI5">
        <f>INDEX($B$19:$GQ$19,MATCH(164,$B$29:$GQ$29,0))</f>
        <v>4.7644215766837826E-6</v>
      </c>
      <c r="FJ5">
        <f>INDEX($B$19:$GQ$19,MATCH(165,$B$29:$GQ$29,0))</f>
        <v>9.0940317667837216E-4</v>
      </c>
      <c r="FK5">
        <f>INDEX($B$19:$GQ$19,MATCH(166,$B$29:$GQ$29,0))</f>
        <v>0</v>
      </c>
      <c r="FL5">
        <f>INDEX($B$19:$GQ$19,MATCH(167,$B$29:$GQ$29,0))</f>
        <v>4.9954666199464781E-4</v>
      </c>
      <c r="FM5">
        <f>INDEX($B$19:$GQ$19,MATCH(168,$B$29:$GQ$29,0))</f>
        <v>1.022345162062823E-3</v>
      </c>
      <c r="FN5">
        <f>INDEX($B$19:$GQ$19,MATCH(169,$B$29:$GQ$29,0))</f>
        <v>1.728050440920886E-3</v>
      </c>
      <c r="FO5">
        <f>INDEX($B$19:$GQ$19,MATCH(170,$B$29:$GQ$29,0))</f>
        <v>1.8901833765605351E-4</v>
      </c>
      <c r="FP5">
        <f>INDEX($B$19:$GQ$19,MATCH(171,$B$29:$GQ$29,0))</f>
        <v>2.1059495819346349E-4</v>
      </c>
      <c r="FQ5">
        <f>INDEX($B$19:$GQ$19,MATCH(172,$B$29:$GQ$29,0))</f>
        <v>3.1681883077659201E-4</v>
      </c>
      <c r="FR5">
        <f>INDEX($B$19:$GQ$19,MATCH(173,$B$29:$GQ$29,0))</f>
        <v>2.0162611710384799E-4</v>
      </c>
      <c r="FS5">
        <f>INDEX($B$19:$GQ$19,MATCH(174,$B$29:$GQ$29,0))</f>
        <v>3.3023967638538597E-5</v>
      </c>
      <c r="FT5">
        <f>INDEX($B$19:$GQ$19,MATCH(175,$B$29:$GQ$29,0))</f>
        <v>0</v>
      </c>
      <c r="FU5">
        <f>INDEX($B$19:$GQ$19,MATCH(176,$B$29:$GQ$29,0))</f>
        <v>3.6781822049904468E-3</v>
      </c>
      <c r="FV5">
        <f>INDEX($B$19:$GQ$19,MATCH(177,$B$29:$GQ$29,0))</f>
        <v>0</v>
      </c>
      <c r="FW5">
        <f>INDEX($B$19:$GQ$19,MATCH(178,$B$29:$GQ$29,0))</f>
        <v>2.79279629894382E-3</v>
      </c>
      <c r="FX5">
        <f>INDEX($B$19:$GQ$19,MATCH(179,$B$29:$GQ$29,0))</f>
        <v>2.3577093555677332E-3</v>
      </c>
      <c r="FY5">
        <f>INDEX($B$19:$GQ$19,MATCH(180,$B$29:$GQ$29,0))</f>
        <v>0</v>
      </c>
      <c r="FZ5">
        <f>INDEX($B$19:$GQ$19,MATCH(181,$B$29:$GQ$29,0))</f>
        <v>1.3842085351882E-3</v>
      </c>
      <c r="GA5">
        <f>INDEX($B$19:$GQ$19,MATCH(182,$B$29:$GQ$29,0))</f>
        <v>1.650214085096095E-3</v>
      </c>
      <c r="GB5">
        <f>INDEX($B$19:$GQ$19,MATCH(183,$B$29:$GQ$29,0))</f>
        <v>1.8264677934158599E-3</v>
      </c>
      <c r="GC5">
        <f>INDEX($B$19:$GQ$19,MATCH(184,$B$29:$GQ$29,0))</f>
        <v>0</v>
      </c>
      <c r="GD5">
        <f>INDEX($B$19:$GQ$19,MATCH(185,$B$29:$GQ$29,0))</f>
        <v>0</v>
      </c>
      <c r="GE5">
        <f>INDEX($B$19:$GQ$19,MATCH(186,$B$29:$GQ$29,0))</f>
        <v>0</v>
      </c>
      <c r="GF5">
        <f>INDEX($B$19:$GQ$19,MATCH(187,$B$29:$GQ$29,0))</f>
        <v>0</v>
      </c>
      <c r="GG5">
        <f>INDEX($B$19:$GQ$19,MATCH(188,$B$29:$GQ$29,0))</f>
        <v>0</v>
      </c>
      <c r="GH5">
        <f>INDEX($B$19:$GQ$19,MATCH(189,$B$29:$GQ$29,0))</f>
        <v>0</v>
      </c>
      <c r="GI5">
        <f>INDEX($B$19:$GQ$19,MATCH(190,$B$29:$GQ$29,0))</f>
        <v>0</v>
      </c>
      <c r="GJ5">
        <f>INDEX($B$19:$GQ$19,MATCH(191,$B$29:$GQ$29,0))</f>
        <v>2.264338881067521E-4</v>
      </c>
      <c r="GK5">
        <f>INDEX($B$19:$GQ$19,MATCH(192,$B$29:$GQ$29,0))</f>
        <v>4.6345560426068721E-4</v>
      </c>
      <c r="GL5">
        <f>INDEX($B$19:$GQ$19,MATCH(193,$B$29:$GQ$29,0))</f>
        <v>7.9437466578509063E-11</v>
      </c>
      <c r="GM5">
        <f>INDEX($B$19:$GQ$19,MATCH(194,$B$29:$GQ$29,0))</f>
        <v>0</v>
      </c>
      <c r="GN5">
        <f>INDEX($B$19:$GQ$19,MATCH(195,$B$29:$GQ$29,0))</f>
        <v>9.6158124049209757E-4</v>
      </c>
      <c r="GO5">
        <f>INDEX($B$19:$GQ$19,MATCH(196,$B$29:$GQ$29,0))</f>
        <v>0</v>
      </c>
      <c r="GP5">
        <f>INDEX($B$19:$GQ$19,MATCH(197,$B$29:$GQ$29,0))</f>
        <v>3.1804424913305092E-3</v>
      </c>
      <c r="GQ5">
        <f>INDEX($B$19:$GQ$19,MATCH(198,$B$29:$GQ$29,0))</f>
        <v>0</v>
      </c>
      <c r="GR5">
        <f>INDEX($GR$19:$HC$19,MATCH(1,$GR$30:$HC$30,0))</f>
        <v>0.6955703746146793</v>
      </c>
      <c r="GS5">
        <f>INDEX($GR$19:$HC$19,MATCH(2,$GR$30:$HC$30,0))</f>
        <v>0.89389326143394521</v>
      </c>
      <c r="GT5">
        <f>INDEX($GR$19:$HC$19,MATCH(3,$GR$30:$HC$30,0))</f>
        <v>0.4402514875952907</v>
      </c>
      <c r="GU5">
        <f>INDEX($GR$19:$HC$19,MATCH(4,$GR$30:$HC$30,0))</f>
        <v>6.8137777459562872E-3</v>
      </c>
      <c r="GV5">
        <f>INDEX($GR$19:$HC$19,MATCH(5,$GR$30:$HC$30,0))</f>
        <v>1.691388082229619</v>
      </c>
      <c r="GW5">
        <f>INDEX($GR$19:$HC$19,MATCH(6,$GR$30:$HC$30,0))</f>
        <v>6.9978419623365207E-2</v>
      </c>
      <c r="GX5">
        <f>INDEX($GR$19:$HC$19,MATCH(7,$GR$30:$HC$30,0))</f>
        <v>0.70678660030957374</v>
      </c>
      <c r="GY5">
        <f>INDEX($GR$19:$HC$19,MATCH(8,$GR$30:$HC$30,0))</f>
        <v>0.74928496701966296</v>
      </c>
      <c r="GZ5">
        <f>INDEX($GR$19:$HC$19,MATCH(9,$GR$30:$HC$30,0))</f>
        <v>3.8452138010872279E-3</v>
      </c>
      <c r="HA5">
        <f>INDEX($GR$19:$HC$19,MATCH(10,$GR$30:$HC$30,0))</f>
        <v>2.764714685065609E-3</v>
      </c>
      <c r="HB5">
        <f>INDEX($GR$19:$HC$19,MATCH(11,$GR$30:$HC$30,0))</f>
        <v>7.7497986041727158E-3</v>
      </c>
      <c r="HC5">
        <f>INDEX($GR$19:$HC$19,MATCH(12,$GR$30:$HC$30,0))</f>
        <v>4.1929198157160501E-3</v>
      </c>
    </row>
    <row r="6" spans="1:211" x14ac:dyDescent="0.45">
      <c r="A6" s="1" t="s">
        <v>5</v>
      </c>
      <c r="B6">
        <f>INDEX($B$20:$GQ$20,MATCH(1,$B$29:$GQ$29,0))</f>
        <v>1.489079765139552</v>
      </c>
      <c r="C6">
        <f>INDEX($B$20:$GQ$20,MATCH(2,$B$29:$GQ$29,0))</f>
        <v>2.4357618007676578</v>
      </c>
      <c r="D6">
        <f>INDEX($B$20:$GQ$20,MATCH(3,$B$29:$GQ$29,0))</f>
        <v>4.9543510399273574</v>
      </c>
      <c r="E6">
        <f>INDEX($B$20:$GQ$20,MATCH(4,$B$29:$GQ$29,0))</f>
        <v>0.28276252991103529</v>
      </c>
      <c r="F6">
        <f>INDEX($B$20:$GQ$20,MATCH(5,$B$29:$GQ$29,0))</f>
        <v>1.093413749969965</v>
      </c>
      <c r="G6">
        <f>INDEX($B$20:$GQ$20,MATCH(6,$B$29:$GQ$29,0))</f>
        <v>0.25317203140339423</v>
      </c>
      <c r="H6">
        <f>INDEX($B$20:$GQ$20,MATCH(7,$B$29:$GQ$29,0))</f>
        <v>0.65183824237294319</v>
      </c>
      <c r="I6">
        <f>INDEX($B$20:$GQ$20,MATCH(8,$B$29:$GQ$29,0))</f>
        <v>8.6633189942429798</v>
      </c>
      <c r="J6">
        <f>INDEX($B$20:$GQ$20,MATCH(9,$B$29:$GQ$29,0))</f>
        <v>0.55297485274835312</v>
      </c>
      <c r="K6">
        <f>INDEX($B$20:$GQ$20,MATCH(10,$B$29:$GQ$29,0))</f>
        <v>0.13032867224970471</v>
      </c>
      <c r="L6">
        <f>INDEX($B$20:$GQ$20,MATCH(11,$B$29:$GQ$29,0))</f>
        <v>0.73791661969002298</v>
      </c>
      <c r="M6">
        <f>INDEX($B$20:$GQ$20,MATCH(12,$B$29:$GQ$29,0))</f>
        <v>7.2279859339673805E-2</v>
      </c>
      <c r="N6">
        <f>INDEX($B$20:$GQ$20,MATCH(13,$B$29:$GQ$29,0))</f>
        <v>0.31859487714851031</v>
      </c>
      <c r="O6">
        <f>INDEX($B$20:$GQ$20,MATCH(14,$B$29:$GQ$29,0))</f>
        <v>2.8867607326409701E-2</v>
      </c>
      <c r="P6">
        <f>INDEX($B$20:$GQ$20,MATCH(15,$B$29:$GQ$29,0))</f>
        <v>6.745425407528724E-2</v>
      </c>
      <c r="Q6">
        <f>INDEX($B$20:$GQ$20,MATCH(16,$B$29:$GQ$29,0))</f>
        <v>6.0036461662414803E-2</v>
      </c>
      <c r="R6">
        <f>INDEX($B$20:$GQ$20,MATCH(17,$B$29:$GQ$29,0))</f>
        <v>0.38250768663862922</v>
      </c>
      <c r="S6">
        <f>INDEX($B$20:$GQ$20,MATCH(18,$B$29:$GQ$29,0))</f>
        <v>0.76553919755102684</v>
      </c>
      <c r="T6">
        <f>INDEX($B$20:$GQ$20,MATCH(19,$B$29:$GQ$29,0))</f>
        <v>0.23365134692492201</v>
      </c>
      <c r="U6">
        <f>INDEX($B$20:$GQ$20,MATCH(20,$B$29:$GQ$29,0))</f>
        <v>2.5880479448714402</v>
      </c>
      <c r="V6">
        <f>INDEX($B$20:$GQ$20,MATCH(21,$B$29:$GQ$29,0))</f>
        <v>5.7235675073791397</v>
      </c>
      <c r="W6">
        <f>INDEX($B$20:$GQ$20,MATCH(22,$B$29:$GQ$29,0))</f>
        <v>0.33826149194465549</v>
      </c>
      <c r="X6">
        <f>INDEX($B$20:$GQ$20,MATCH(23,$B$29:$GQ$29,0))</f>
        <v>4.9390709080710013E-2</v>
      </c>
      <c r="Y6">
        <f>INDEX($B$20:$GQ$20,MATCH(24,$B$29:$GQ$29,0))</f>
        <v>1.1466257215876841</v>
      </c>
      <c r="Z6">
        <f>INDEX($B$20:$GQ$20,MATCH(25,$B$29:$GQ$29,0))</f>
        <v>0.12673088575600749</v>
      </c>
      <c r="AA6">
        <f>INDEX($B$20:$GQ$20,MATCH(26,$B$29:$GQ$29,0))</f>
        <v>0.21548620460257401</v>
      </c>
      <c r="AB6">
        <f>INDEX($B$20:$GQ$20,MATCH(27,$B$29:$GQ$29,0))</f>
        <v>7.686271919934401E-2</v>
      </c>
      <c r="AC6">
        <f>INDEX($B$20:$GQ$20,MATCH(28,$B$29:$GQ$29,0))</f>
        <v>7.7667366953049849E-2</v>
      </c>
      <c r="AD6">
        <f>INDEX($B$20:$GQ$20,MATCH(29,$B$29:$GQ$29,0))</f>
        <v>0.55903656612103603</v>
      </c>
      <c r="AE6">
        <f>INDEX($B$20:$GQ$20,MATCH(30,$B$29:$GQ$29,0))</f>
        <v>1.4713507415166609</v>
      </c>
      <c r="AF6">
        <f>INDEX($B$20:$GQ$20,MATCH(31,$B$29:$GQ$29,0))</f>
        <v>1.25042721951544</v>
      </c>
      <c r="AG6">
        <f>INDEX($B$20:$GQ$20,MATCH(32,$B$29:$GQ$29,0))</f>
        <v>0.14144658654983791</v>
      </c>
      <c r="AH6">
        <f>INDEX($B$20:$GQ$20,MATCH(33,$B$29:$GQ$29,0))</f>
        <v>3.1880530831312572E-2</v>
      </c>
      <c r="AI6">
        <f>INDEX($B$20:$GQ$20,MATCH(34,$B$29:$GQ$29,0))</f>
        <v>3.7604729176357647E-2</v>
      </c>
      <c r="AJ6">
        <f>INDEX($B$20:$GQ$20,MATCH(35,$B$29:$GQ$29,0))</f>
        <v>2.9960194561640958E-2</v>
      </c>
      <c r="AK6">
        <f>INDEX($B$20:$GQ$20,MATCH(36,$B$29:$GQ$29,0))</f>
        <v>0.120597553720725</v>
      </c>
      <c r="AL6">
        <f>INDEX($B$20:$GQ$20,MATCH(37,$B$29:$GQ$29,0))</f>
        <v>26.935606830713109</v>
      </c>
      <c r="AM6">
        <f>INDEX($B$20:$GQ$20,MATCH(38,$B$29:$GQ$29,0))</f>
        <v>4.0356220355926543E-2</v>
      </c>
      <c r="AN6">
        <f>INDEX($B$20:$GQ$20,MATCH(39,$B$29:$GQ$29,0))</f>
        <v>4.0512278454017494</v>
      </c>
      <c r="AO6">
        <f>INDEX($B$20:$GQ$20,MATCH(40,$B$29:$GQ$29,0))</f>
        <v>8.2049997736801633E-2</v>
      </c>
      <c r="AP6">
        <f>INDEX($B$20:$GQ$20,MATCH(41,$B$29:$GQ$29,0))</f>
        <v>5.1215447146732096</v>
      </c>
      <c r="AQ6">
        <f>INDEX($B$20:$GQ$20,MATCH(42,$B$29:$GQ$29,0))</f>
        <v>0.1404246064009656</v>
      </c>
      <c r="AR6">
        <f>INDEX($B$20:$GQ$20,MATCH(43,$B$29:$GQ$29,0))</f>
        <v>0.80688477256637459</v>
      </c>
      <c r="AS6">
        <f>INDEX($B$20:$GQ$20,MATCH(44,$B$29:$GQ$29,0))</f>
        <v>2.485789493403161</v>
      </c>
      <c r="AT6">
        <f>INDEX($B$20:$GQ$20,MATCH(45,$B$29:$GQ$29,0))</f>
        <v>1.3977048875260689</v>
      </c>
      <c r="AU6">
        <f>INDEX($B$20:$GQ$20,MATCH(46,$B$29:$GQ$29,0))</f>
        <v>8.7773685368686252E-2</v>
      </c>
      <c r="AV6">
        <f>INDEX($B$20:$GQ$20,MATCH(47,$B$29:$GQ$29,0))</f>
        <v>0</v>
      </c>
      <c r="AW6">
        <f>INDEX($B$20:$GQ$20,MATCH(48,$B$29:$GQ$29,0))</f>
        <v>3.2416982930970152E-2</v>
      </c>
      <c r="AX6">
        <f>INDEX($B$20:$GQ$20,MATCH(49,$B$29:$GQ$29,0))</f>
        <v>5.847878853147765E-2</v>
      </c>
      <c r="AY6">
        <f>INDEX($B$20:$GQ$20,MATCH(50,$B$29:$GQ$29,0))</f>
        <v>2.003361212110924E-2</v>
      </c>
      <c r="AZ6">
        <f>INDEX($B$20:$GQ$20,MATCH(51,$B$29:$GQ$29,0))</f>
        <v>5.0928240306146691E-2</v>
      </c>
      <c r="BA6">
        <f>INDEX($B$20:$GQ$20,MATCH(52,$B$29:$GQ$29,0))</f>
        <v>0.1243452642390709</v>
      </c>
      <c r="BB6">
        <f>INDEX($B$20:$GQ$20,MATCH(53,$B$29:$GQ$29,0))</f>
        <v>0</v>
      </c>
      <c r="BC6">
        <f>INDEX($B$20:$GQ$20,MATCH(54,$B$29:$GQ$29,0))</f>
        <v>5.3114807046231283E-2</v>
      </c>
      <c r="BD6">
        <f>INDEX($B$20:$GQ$20,MATCH(55,$B$29:$GQ$29,0))</f>
        <v>0.1018248581162471</v>
      </c>
      <c r="BE6">
        <f>INDEX($B$20:$GQ$20,MATCH(56,$B$29:$GQ$29,0))</f>
        <v>6.1523269874519518E-2</v>
      </c>
      <c r="BF6">
        <f>INDEX($B$20:$GQ$20,MATCH(57,$B$29:$GQ$29,0))</f>
        <v>3.2316270390658208E-2</v>
      </c>
      <c r="BG6">
        <f>INDEX($B$20:$GQ$20,MATCH(58,$B$29:$GQ$29,0))</f>
        <v>0.1771471744193637</v>
      </c>
      <c r="BH6">
        <f>INDEX($B$20:$GQ$20,MATCH(59,$B$29:$GQ$29,0))</f>
        <v>2.551077564742691E-2</v>
      </c>
      <c r="BI6">
        <f>INDEX($B$20:$GQ$20,MATCH(60,$B$29:$GQ$29,0))</f>
        <v>3.7316776875245428E-2</v>
      </c>
      <c r="BJ6">
        <f>INDEX($B$20:$GQ$20,MATCH(61,$B$29:$GQ$29,0))</f>
        <v>0</v>
      </c>
      <c r="BK6">
        <f>INDEX($B$20:$GQ$20,MATCH(62,$B$29:$GQ$29,0))</f>
        <v>1.6088270669690069E-2</v>
      </c>
      <c r="BL6">
        <f>INDEX($B$20:$GQ$20,MATCH(63,$B$29:$GQ$29,0))</f>
        <v>8.3172419610115844E-2</v>
      </c>
      <c r="BM6">
        <f>INDEX($B$20:$GQ$20,MATCH(64,$B$29:$GQ$29,0))</f>
        <v>7.7171556198777622E-2</v>
      </c>
      <c r="BN6">
        <f>INDEX($B$20:$GQ$20,MATCH(65,$B$29:$GQ$29,0))</f>
        <v>2.5145802291101069</v>
      </c>
      <c r="BO6">
        <f>INDEX($B$20:$GQ$20,MATCH(66,$B$29:$GQ$29,0))</f>
        <v>0.80258165248141466</v>
      </c>
      <c r="BP6">
        <f>INDEX($B$20:$GQ$20,MATCH(67,$B$29:$GQ$29,0))</f>
        <v>2.4247219713016549E-2</v>
      </c>
      <c r="BQ6">
        <f>INDEX($B$20:$GQ$20,MATCH(68,$B$29:$GQ$29,0))</f>
        <v>0</v>
      </c>
      <c r="BR6">
        <f>INDEX($B$20:$GQ$20,MATCH(69,$B$29:$GQ$29,0))</f>
        <v>0</v>
      </c>
      <c r="BS6">
        <f>INDEX($B$20:$GQ$20,MATCH(70,$B$29:$GQ$29,0))</f>
        <v>8.3779133338650308E-2</v>
      </c>
      <c r="BT6">
        <f>INDEX($B$20:$GQ$20,MATCH(71,$B$29:$GQ$29,0))</f>
        <v>2.126525429923188E-2</v>
      </c>
      <c r="BU6">
        <f>INDEX($B$20:$GQ$20,MATCH(72,$B$29:$GQ$29,0))</f>
        <v>0</v>
      </c>
      <c r="BV6">
        <f>INDEX($B$20:$GQ$20,MATCH(73,$B$29:$GQ$29,0))</f>
        <v>0.11006388186816329</v>
      </c>
      <c r="BW6">
        <f>INDEX($B$20:$GQ$20,MATCH(74,$B$29:$GQ$29,0))</f>
        <v>6.7944991313548503E-2</v>
      </c>
      <c r="BX6">
        <f>INDEX($B$20:$GQ$20,MATCH(75,$B$29:$GQ$29,0))</f>
        <v>3.0489116224550729E-2</v>
      </c>
      <c r="BY6">
        <f>INDEX($B$20:$GQ$20,MATCH(76,$B$29:$GQ$29,0))</f>
        <v>5.5884317742166387E-2</v>
      </c>
      <c r="BZ6">
        <f>INDEX($B$20:$GQ$20,MATCH(77,$B$29:$GQ$29,0))</f>
        <v>9.3652562380368759E-2</v>
      </c>
      <c r="CA6">
        <f>INDEX($B$20:$GQ$20,MATCH(78,$B$29:$GQ$29,0))</f>
        <v>8.4464175279910125E-2</v>
      </c>
      <c r="CB6">
        <f>INDEX($B$20:$GQ$20,MATCH(79,$B$29:$GQ$29,0))</f>
        <v>0</v>
      </c>
      <c r="CC6">
        <f>INDEX($B$20:$GQ$20,MATCH(80,$B$29:$GQ$29,0))</f>
        <v>0.37637385081175528</v>
      </c>
      <c r="CD6">
        <f>INDEX($B$20:$GQ$20,MATCH(81,$B$29:$GQ$29,0))</f>
        <v>0.17557246742848179</v>
      </c>
      <c r="CE6">
        <f>INDEX($B$20:$GQ$20,MATCH(82,$B$29:$GQ$29,0))</f>
        <v>1.5232540130910781E-3</v>
      </c>
      <c r="CF6">
        <f>INDEX($B$20:$GQ$20,MATCH(83,$B$29:$GQ$29,0))</f>
        <v>4.353267040251714E-2</v>
      </c>
      <c r="CG6">
        <f>INDEX($B$20:$GQ$20,MATCH(84,$B$29:$GQ$29,0))</f>
        <v>8.3374939127926883E-3</v>
      </c>
      <c r="CH6">
        <f>INDEX($B$20:$GQ$20,MATCH(85,$B$29:$GQ$29,0))</f>
        <v>1.933989538842203E-2</v>
      </c>
      <c r="CI6">
        <f>INDEX($B$20:$GQ$20,MATCH(86,$B$29:$GQ$29,0))</f>
        <v>5.5272690129331323E-2</v>
      </c>
      <c r="CJ6">
        <f>INDEX($B$20:$GQ$20,MATCH(87,$B$29:$GQ$29,0))</f>
        <v>4.0264271810574473E-2</v>
      </c>
      <c r="CK6">
        <f>INDEX($B$20:$GQ$20,MATCH(88,$B$29:$GQ$29,0))</f>
        <v>3.4492345456666462E-2</v>
      </c>
      <c r="CL6">
        <f>INDEX($B$20:$GQ$20,MATCH(89,$B$29:$GQ$29,0))</f>
        <v>3.8090189748385177E-2</v>
      </c>
      <c r="CM6">
        <f>INDEX($B$20:$GQ$20,MATCH(90,$B$29:$GQ$29,0))</f>
        <v>3.2510443415478818E-2</v>
      </c>
      <c r="CN6">
        <f>INDEX($B$20:$GQ$20,MATCH(91,$B$29:$GQ$29,0))</f>
        <v>4.7222591353284417E-2</v>
      </c>
      <c r="CO6">
        <f>INDEX($B$20:$GQ$20,MATCH(92,$B$29:$GQ$29,0))</f>
        <v>0</v>
      </c>
      <c r="CP6">
        <f>INDEX($B$20:$GQ$20,MATCH(93,$B$29:$GQ$29,0))</f>
        <v>0</v>
      </c>
      <c r="CQ6">
        <f>INDEX($B$20:$GQ$20,MATCH(94,$B$29:$GQ$29,0))</f>
        <v>3.002018175786202E-2</v>
      </c>
      <c r="CR6">
        <f>INDEX($B$20:$GQ$20,MATCH(95,$B$29:$GQ$29,0))</f>
        <v>0</v>
      </c>
      <c r="CS6">
        <f>INDEX($B$20:$GQ$20,MATCH(96,$B$29:$GQ$29,0))</f>
        <v>2.7580270544718531E-2</v>
      </c>
      <c r="CT6">
        <f>INDEX($B$20:$GQ$20,MATCH(97,$B$29:$GQ$29,0))</f>
        <v>3.2371839978247767E-2</v>
      </c>
      <c r="CU6">
        <f>INDEX($B$20:$GQ$20,MATCH(98,$B$29:$GQ$29,0))</f>
        <v>2.8560560247791071E-2</v>
      </c>
      <c r="CV6">
        <f>INDEX($B$20:$GQ$20,MATCH(99,$B$29:$GQ$29,0))</f>
        <v>2.1995076919076269E-2</v>
      </c>
      <c r="CW6">
        <f>INDEX($B$20:$GQ$20,MATCH(100,$B$29:$GQ$29,0))</f>
        <v>9.1419569153753044E-2</v>
      </c>
      <c r="CX6">
        <f>INDEX($B$20:$GQ$20,MATCH(101,$B$29:$GQ$29,0))</f>
        <v>2.218981305519728E-2</v>
      </c>
      <c r="CY6">
        <f>INDEX($B$20:$GQ$20,MATCH(102,$B$29:$GQ$29,0))</f>
        <v>2.80727910701827E-2</v>
      </c>
      <c r="CZ6">
        <f>INDEX($B$20:$GQ$20,MATCH(103,$B$29:$GQ$29,0))</f>
        <v>4.4677079676050203E-2</v>
      </c>
      <c r="DA6">
        <f>INDEX($B$20:$GQ$20,MATCH(104,$B$29:$GQ$29,0))</f>
        <v>1.897372137437596E-2</v>
      </c>
      <c r="DB6">
        <f>INDEX($B$20:$GQ$20,MATCH(105,$B$29:$GQ$29,0))</f>
        <v>2.4956033711193541E-2</v>
      </c>
      <c r="DC6">
        <f>INDEX($B$20:$GQ$20,MATCH(106,$B$29:$GQ$29,0))</f>
        <v>3.4478027639453977E-2</v>
      </c>
      <c r="DD6">
        <f>INDEX($B$20:$GQ$20,MATCH(107,$B$29:$GQ$29,0))</f>
        <v>2.2136212756528141E-2</v>
      </c>
      <c r="DE6">
        <f>INDEX($B$20:$GQ$20,MATCH(108,$B$29:$GQ$29,0))</f>
        <v>2.539551972023682E-2</v>
      </c>
      <c r="DF6">
        <f>INDEX($B$20:$GQ$20,MATCH(109,$B$29:$GQ$29,0))</f>
        <v>1.101536028149902</v>
      </c>
      <c r="DG6">
        <f>INDEX($B$20:$GQ$20,MATCH(110,$B$29:$GQ$29,0))</f>
        <v>1.7360784195545039E-2</v>
      </c>
      <c r="DH6">
        <f>INDEX($B$20:$GQ$20,MATCH(111,$B$29:$GQ$29,0))</f>
        <v>4.2255648183933757E-2</v>
      </c>
      <c r="DI6">
        <f>INDEX($B$20:$GQ$20,MATCH(112,$B$29:$GQ$29,0))</f>
        <v>1.7817542626291719E-2</v>
      </c>
      <c r="DJ6">
        <f>INDEX($B$20:$GQ$20,MATCH(113,$B$29:$GQ$29,0))</f>
        <v>4.986181003118053E-2</v>
      </c>
      <c r="DK6">
        <f>INDEX($B$20:$GQ$20,MATCH(114,$B$29:$GQ$29,0))</f>
        <v>1.9949983988233461E-2</v>
      </c>
      <c r="DL6">
        <f>INDEX($B$20:$GQ$20,MATCH(115,$B$29:$GQ$29,0))</f>
        <v>8.8885763749499178E-2</v>
      </c>
      <c r="DM6">
        <f>INDEX($B$20:$GQ$20,MATCH(116,$B$29:$GQ$29,0))</f>
        <v>9.0990597661825864E-2</v>
      </c>
      <c r="DN6">
        <f>INDEX($B$20:$GQ$20,MATCH(117,$B$29:$GQ$29,0))</f>
        <v>0.37056631356880848</v>
      </c>
      <c r="DO6">
        <f>INDEX($B$20:$GQ$20,MATCH(118,$B$29:$GQ$29,0))</f>
        <v>0</v>
      </c>
      <c r="DP6">
        <f>INDEX($B$20:$GQ$20,MATCH(119,$B$29:$GQ$29,0))</f>
        <v>6.1482660041349058E-2</v>
      </c>
      <c r="DQ6">
        <f>INDEX($B$20:$GQ$20,MATCH(120,$B$29:$GQ$29,0))</f>
        <v>1.7144923343497272E-2</v>
      </c>
      <c r="DR6">
        <f>INDEX($B$20:$GQ$20,MATCH(121,$B$29:$GQ$29,0))</f>
        <v>1.4413915577861669E-2</v>
      </c>
      <c r="DS6">
        <f>INDEX($B$20:$GQ$20,MATCH(122,$B$29:$GQ$29,0))</f>
        <v>5.3890992511599532E-2</v>
      </c>
      <c r="DT6">
        <f>INDEX($B$20:$GQ$20,MATCH(123,$B$29:$GQ$29,0))</f>
        <v>0</v>
      </c>
      <c r="DU6">
        <f>INDEX($B$20:$GQ$20,MATCH(124,$B$29:$GQ$29,0))</f>
        <v>9.6166331120813769E-2</v>
      </c>
      <c r="DV6">
        <f>INDEX($B$20:$GQ$20,MATCH(125,$B$29:$GQ$29,0))</f>
        <v>2.554063360888463E-2</v>
      </c>
      <c r="DW6">
        <f>INDEX($B$20:$GQ$20,MATCH(126,$B$29:$GQ$29,0))</f>
        <v>3.211814774190103E-3</v>
      </c>
      <c r="DX6">
        <f>INDEX($B$20:$GQ$20,MATCH(127,$B$29:$GQ$29,0))</f>
        <v>4.1836264263664389E-3</v>
      </c>
      <c r="DY6">
        <f>INDEX($B$20:$GQ$20,MATCH(128,$B$29:$GQ$29,0))</f>
        <v>0</v>
      </c>
      <c r="DZ6">
        <f>INDEX($B$20:$GQ$20,MATCH(129,$B$29:$GQ$29,0))</f>
        <v>3.2134138979183692E-2</v>
      </c>
      <c r="EA6">
        <f>INDEX($B$20:$GQ$20,MATCH(130,$B$29:$GQ$29,0))</f>
        <v>0</v>
      </c>
      <c r="EB6">
        <f>INDEX($B$20:$GQ$20,MATCH(131,$B$29:$GQ$29,0))</f>
        <v>4.18360318355308E-3</v>
      </c>
      <c r="EC6">
        <f>INDEX($B$20:$GQ$20,MATCH(132,$B$29:$GQ$29,0))</f>
        <v>4.2867376379297911E-2</v>
      </c>
      <c r="ED6">
        <f>INDEX($B$20:$GQ$20,MATCH(133,$B$29:$GQ$29,0))</f>
        <v>0</v>
      </c>
      <c r="EE6">
        <f>INDEX($B$20:$GQ$20,MATCH(134,$B$29:$GQ$29,0))</f>
        <v>0.81881529216266646</v>
      </c>
      <c r="EF6">
        <f>INDEX($B$20:$GQ$20,MATCH(135,$B$29:$GQ$29,0))</f>
        <v>6.31254231030145</v>
      </c>
      <c r="EG6">
        <f>INDEX($B$20:$GQ$20,MATCH(136,$B$29:$GQ$29,0))</f>
        <v>1.7521288309009859</v>
      </c>
      <c r="EH6">
        <f>INDEX($B$20:$GQ$20,MATCH(137,$B$29:$GQ$29,0))</f>
        <v>20.316710408993149</v>
      </c>
      <c r="EI6">
        <f>INDEX($B$20:$GQ$20,MATCH(138,$B$29:$GQ$29,0))</f>
        <v>0</v>
      </c>
      <c r="EJ6">
        <f>INDEX($B$20:$GQ$20,MATCH(139,$B$29:$GQ$29,0))</f>
        <v>0</v>
      </c>
      <c r="EK6">
        <f>INDEX($B$20:$GQ$20,MATCH(140,$B$29:$GQ$29,0))</f>
        <v>1.659538957999452E-3</v>
      </c>
      <c r="EL6">
        <f>INDEX($B$20:$GQ$20,MATCH(141,$B$29:$GQ$29,0))</f>
        <v>0</v>
      </c>
      <c r="EM6">
        <f>INDEX($B$20:$GQ$20,MATCH(142,$B$29:$GQ$29,0))</f>
        <v>2.2441623402477E-2</v>
      </c>
      <c r="EN6">
        <f>INDEX($B$20:$GQ$20,MATCH(143,$B$29:$GQ$29,0))</f>
        <v>7.7854879686876197E-2</v>
      </c>
      <c r="EO6">
        <f>INDEX($B$20:$GQ$20,MATCH(144,$B$29:$GQ$29,0))</f>
        <v>0</v>
      </c>
      <c r="EP6">
        <f>INDEX($B$20:$GQ$20,MATCH(145,$B$29:$GQ$29,0))</f>
        <v>3.1580965988591031E-2</v>
      </c>
      <c r="EQ6">
        <f>INDEX($B$20:$GQ$20,MATCH(146,$B$29:$GQ$29,0))</f>
        <v>0.49603731294184927</v>
      </c>
      <c r="ER6">
        <f>INDEX($B$20:$GQ$20,MATCH(147,$B$29:$GQ$29,0))</f>
        <v>0</v>
      </c>
      <c r="ES6">
        <f>INDEX($B$20:$GQ$20,MATCH(148,$B$29:$GQ$29,0))</f>
        <v>7.5239750463287798E-3</v>
      </c>
      <c r="ET6">
        <f>INDEX($B$20:$GQ$20,MATCH(149,$B$29:$GQ$29,0))</f>
        <v>1.8341836165839649E-5</v>
      </c>
      <c r="EU6">
        <f>INDEX($B$20:$GQ$20,MATCH(150,$B$29:$GQ$29,0))</f>
        <v>59.823439440042051</v>
      </c>
      <c r="EV6">
        <f>INDEX($B$20:$GQ$20,MATCH(151,$B$29:$GQ$29,0))</f>
        <v>0.18846438055303411</v>
      </c>
      <c r="EW6">
        <f>INDEX($B$20:$GQ$20,MATCH(152,$B$29:$GQ$29,0))</f>
        <v>3.066153543407224E-3</v>
      </c>
      <c r="EX6">
        <f>INDEX($B$20:$GQ$20,MATCH(153,$B$29:$GQ$29,0))</f>
        <v>0.28618736102357578</v>
      </c>
      <c r="EY6">
        <f>INDEX($B$20:$GQ$20,MATCH(154,$B$29:$GQ$29,0))</f>
        <v>6.385897388109369E-3</v>
      </c>
      <c r="EZ6">
        <f>INDEX($B$20:$GQ$20,MATCH(155,$B$29:$GQ$29,0))</f>
        <v>5.0652508724348172E-4</v>
      </c>
      <c r="FA6">
        <f>INDEX($B$20:$GQ$20,MATCH(156,$B$29:$GQ$29,0))</f>
        <v>5.4238340955965808E-3</v>
      </c>
      <c r="FB6">
        <f>INDEX($B$20:$GQ$20,MATCH(157,$B$29:$GQ$29,0))</f>
        <v>1.2769456606317731E-3</v>
      </c>
      <c r="FC6">
        <f>INDEX($B$20:$GQ$20,MATCH(158,$B$29:$GQ$29,0))</f>
        <v>1.191692767512758E-2</v>
      </c>
      <c r="FD6">
        <f>INDEX($B$20:$GQ$20,MATCH(159,$B$29:$GQ$29,0))</f>
        <v>0.2047549422077711</v>
      </c>
      <c r="FE6">
        <f>INDEX($B$20:$GQ$20,MATCH(160,$B$29:$GQ$29,0))</f>
        <v>0</v>
      </c>
      <c r="FF6">
        <f>INDEX($B$20:$GQ$20,MATCH(161,$B$29:$GQ$29,0))</f>
        <v>0</v>
      </c>
      <c r="FG6">
        <f>INDEX($B$20:$GQ$20,MATCH(162,$B$29:$GQ$29,0))</f>
        <v>0</v>
      </c>
      <c r="FH6">
        <f>INDEX($B$20:$GQ$20,MATCH(163,$B$29:$GQ$29,0))</f>
        <v>0</v>
      </c>
      <c r="FI6">
        <f>INDEX($B$20:$GQ$20,MATCH(164,$B$29:$GQ$29,0))</f>
        <v>0</v>
      </c>
      <c r="FJ6">
        <f>INDEX($B$20:$GQ$20,MATCH(165,$B$29:$GQ$29,0))</f>
        <v>2.677530512349623E-2</v>
      </c>
      <c r="FK6">
        <f>INDEX($B$20:$GQ$20,MATCH(166,$B$29:$GQ$29,0))</f>
        <v>0</v>
      </c>
      <c r="FL6">
        <f>INDEX($B$20:$GQ$20,MATCH(167,$B$29:$GQ$29,0))</f>
        <v>4.2987301177807337E-2</v>
      </c>
      <c r="FM6">
        <f>INDEX($B$20:$GQ$20,MATCH(168,$B$29:$GQ$29,0))</f>
        <v>0</v>
      </c>
      <c r="FN6">
        <f>INDEX($B$20:$GQ$20,MATCH(169,$B$29:$GQ$29,0))</f>
        <v>0</v>
      </c>
      <c r="FO6">
        <f>INDEX($B$20:$GQ$20,MATCH(170,$B$29:$GQ$29,0))</f>
        <v>1.2925519956516571E-2</v>
      </c>
      <c r="FP6">
        <f>INDEX($B$20:$GQ$20,MATCH(171,$B$29:$GQ$29,0))</f>
        <v>0</v>
      </c>
      <c r="FQ6">
        <f>INDEX($B$20:$GQ$20,MATCH(172,$B$29:$GQ$29,0))</f>
        <v>1.6921215591890779E-2</v>
      </c>
      <c r="FR6">
        <f>INDEX($B$20:$GQ$20,MATCH(173,$B$29:$GQ$29,0))</f>
        <v>1.1989674672190011E-2</v>
      </c>
      <c r="FS6">
        <f>INDEX($B$20:$GQ$20,MATCH(174,$B$29:$GQ$29,0))</f>
        <v>0</v>
      </c>
      <c r="FT6">
        <f>INDEX($B$20:$GQ$20,MATCH(175,$B$29:$GQ$29,0))</f>
        <v>0</v>
      </c>
      <c r="FU6">
        <f>INDEX($B$20:$GQ$20,MATCH(176,$B$29:$GQ$29,0))</f>
        <v>1.0435033768283359</v>
      </c>
      <c r="FV6">
        <f>INDEX($B$20:$GQ$20,MATCH(177,$B$29:$GQ$29,0))</f>
        <v>0</v>
      </c>
      <c r="FW6">
        <f>INDEX($B$20:$GQ$20,MATCH(178,$B$29:$GQ$29,0))</f>
        <v>8.2234356317034227E-2</v>
      </c>
      <c r="FX6">
        <f>INDEX($B$20:$GQ$20,MATCH(179,$B$29:$GQ$29,0))</f>
        <v>0</v>
      </c>
      <c r="FY6">
        <f>INDEX($B$20:$GQ$20,MATCH(180,$B$29:$GQ$29,0))</f>
        <v>0</v>
      </c>
      <c r="FZ6">
        <f>INDEX($B$20:$GQ$20,MATCH(181,$B$29:$GQ$29,0))</f>
        <v>0.28270786440229501</v>
      </c>
      <c r="GA6">
        <f>INDEX($B$20:$GQ$20,MATCH(182,$B$29:$GQ$29,0))</f>
        <v>0</v>
      </c>
      <c r="GB6">
        <f>INDEX($B$20:$GQ$20,MATCH(183,$B$29:$GQ$29,0))</f>
        <v>8.9117915193086802E-2</v>
      </c>
      <c r="GC6">
        <f>INDEX($B$20:$GQ$20,MATCH(184,$B$29:$GQ$29,0))</f>
        <v>0</v>
      </c>
      <c r="GD6">
        <f>INDEX($B$20:$GQ$20,MATCH(185,$B$29:$GQ$29,0))</f>
        <v>0</v>
      </c>
      <c r="GE6">
        <f>INDEX($B$20:$GQ$20,MATCH(186,$B$29:$GQ$29,0))</f>
        <v>0</v>
      </c>
      <c r="GF6">
        <f>INDEX($B$20:$GQ$20,MATCH(187,$B$29:$GQ$29,0))</f>
        <v>0</v>
      </c>
      <c r="GG6">
        <f>INDEX($B$20:$GQ$20,MATCH(188,$B$29:$GQ$29,0))</f>
        <v>0</v>
      </c>
      <c r="GH6">
        <f>INDEX($B$20:$GQ$20,MATCH(189,$B$29:$GQ$29,0))</f>
        <v>0</v>
      </c>
      <c r="GI6">
        <f>INDEX($B$20:$GQ$20,MATCH(190,$B$29:$GQ$29,0))</f>
        <v>0</v>
      </c>
      <c r="GJ6">
        <f>INDEX($B$20:$GQ$20,MATCH(191,$B$29:$GQ$29,0))</f>
        <v>0</v>
      </c>
      <c r="GK6">
        <f>INDEX($B$20:$GQ$20,MATCH(192,$B$29:$GQ$29,0))</f>
        <v>0</v>
      </c>
      <c r="GL6">
        <f>INDEX($B$20:$GQ$20,MATCH(193,$B$29:$GQ$29,0))</f>
        <v>0</v>
      </c>
      <c r="GM6">
        <f>INDEX($B$20:$GQ$20,MATCH(194,$B$29:$GQ$29,0))</f>
        <v>0</v>
      </c>
      <c r="GN6">
        <f>INDEX($B$20:$GQ$20,MATCH(195,$B$29:$GQ$29,0))</f>
        <v>0</v>
      </c>
      <c r="GO6">
        <f>INDEX($B$20:$GQ$20,MATCH(196,$B$29:$GQ$29,0))</f>
        <v>0</v>
      </c>
      <c r="GP6">
        <f>INDEX($B$20:$GQ$20,MATCH(197,$B$29:$GQ$29,0))</f>
        <v>2.9212503544457979E-2</v>
      </c>
      <c r="GQ6">
        <f>INDEX($B$20:$GQ$20,MATCH(198,$B$29:$GQ$29,0))</f>
        <v>0</v>
      </c>
      <c r="GR6">
        <f>INDEX($GR$20:$HC$20,MATCH(1,$GR$30:$HC$30,0))</f>
        <v>1.610519098771146</v>
      </c>
      <c r="GS6">
        <f>INDEX($GR$20:$HC$20,MATCH(2,$GR$30:$HC$30,0))</f>
        <v>2.4368808084030582</v>
      </c>
      <c r="GT6">
        <f>INDEX($GR$20:$HC$20,MATCH(3,$GR$30:$HC$30,0))</f>
        <v>0.60952138574066228</v>
      </c>
      <c r="GU6">
        <f>INDEX($GR$20:$HC$20,MATCH(4,$GR$30:$HC$30,0))</f>
        <v>6.5292797357149851E-2</v>
      </c>
      <c r="GV6">
        <f>INDEX($GR$20:$HC$20,MATCH(5,$GR$30:$HC$30,0))</f>
        <v>1.093413749969965</v>
      </c>
      <c r="GW6">
        <f>INDEX($GR$20:$HC$20,MATCH(6,$GR$30:$HC$30,0))</f>
        <v>0</v>
      </c>
      <c r="GX6">
        <f>INDEX($GR$20:$HC$20,MATCH(7,$GR$30:$HC$30,0))</f>
        <v>0.73607485777009396</v>
      </c>
      <c r="GY6">
        <f>INDEX($GR$20:$HC$20,MATCH(8,$GR$30:$HC$30,0))</f>
        <v>0.65183824237294319</v>
      </c>
      <c r="GZ6">
        <f>INDEX($GR$20:$HC$20,MATCH(9,$GR$30:$HC$30,0))</f>
        <v>5.9973338424728219E-2</v>
      </c>
      <c r="HA6">
        <f>INDEX($GR$20:$HC$20,MATCH(10,$GR$30:$HC$30,0))</f>
        <v>5.9879688353730177E-2</v>
      </c>
      <c r="HB6">
        <f>INDEX($GR$20:$HC$20,MATCH(11,$GR$30:$HC$30,0))</f>
        <v>0.26033732556319372</v>
      </c>
      <c r="HC6">
        <f>INDEX($GR$20:$HC$20,MATCH(12,$GR$30:$HC$30,0))</f>
        <v>5.8877046380706261E-2</v>
      </c>
    </row>
    <row r="7" spans="1:211" x14ac:dyDescent="0.45">
      <c r="A7" s="1" t="s">
        <v>6</v>
      </c>
      <c r="B7">
        <f>INDEX($B$21:$GQ$21,MATCH(1,$B$29:$GQ$29,0))</f>
        <v>11484.836648500001</v>
      </c>
      <c r="C7">
        <f>INDEX($B$21:$GQ$21,MATCH(2,$B$29:$GQ$29,0))</f>
        <v>6666.4130958942833</v>
      </c>
      <c r="D7">
        <f>INDEX($B$21:$GQ$21,MATCH(3,$B$29:$GQ$29,0))</f>
        <v>393.41683792647649</v>
      </c>
      <c r="E7">
        <f>INDEX($B$21:$GQ$21,MATCH(4,$B$29:$GQ$29,0))</f>
        <v>2166.4317380399998</v>
      </c>
      <c r="F7">
        <f>INDEX($B$21:$GQ$21,MATCH(5,$B$29:$GQ$29,0))</f>
        <v>1038.4943145499999</v>
      </c>
      <c r="G7">
        <f>INDEX($B$21:$GQ$21,MATCH(6,$B$29:$GQ$29,0))</f>
        <v>0</v>
      </c>
      <c r="H7">
        <f>INDEX($B$21:$GQ$21,MATCH(7,$B$29:$GQ$29,0))</f>
        <v>1806.0386160099999</v>
      </c>
      <c r="I7">
        <f>INDEX($B$21:$GQ$21,MATCH(8,$B$29:$GQ$29,0))</f>
        <v>709.18679688875659</v>
      </c>
      <c r="J7">
        <f>INDEX($B$21:$GQ$21,MATCH(9,$B$29:$GQ$29,0))</f>
        <v>1737.93637934</v>
      </c>
      <c r="K7">
        <f>INDEX($B$21:$GQ$21,MATCH(10,$B$29:$GQ$29,0))</f>
        <v>1545.727142509</v>
      </c>
      <c r="L7">
        <f>INDEX($B$21:$GQ$21,MATCH(11,$B$29:$GQ$29,0))</f>
        <v>892.77666270999998</v>
      </c>
      <c r="M7">
        <f>INDEX($B$21:$GQ$21,MATCH(12,$B$29:$GQ$29,0))</f>
        <v>1267.5185599075201</v>
      </c>
      <c r="N7">
        <f>INDEX($B$21:$GQ$21,MATCH(13,$B$29:$GQ$29,0))</f>
        <v>1549.8190821000001</v>
      </c>
      <c r="O7">
        <f>INDEX($B$21:$GQ$21,MATCH(14,$B$29:$GQ$29,0))</f>
        <v>0</v>
      </c>
      <c r="P7">
        <f>INDEX($B$21:$GQ$21,MATCH(15,$B$29:$GQ$29,0))</f>
        <v>2481.46822075</v>
      </c>
      <c r="Q7">
        <f>INDEX($B$21:$GQ$21,MATCH(16,$B$29:$GQ$29,0))</f>
        <v>1024.3292228667999</v>
      </c>
      <c r="R7">
        <f>INDEX($B$21:$GQ$21,MATCH(17,$B$29:$GQ$29,0))</f>
        <v>2378.0362296804178</v>
      </c>
      <c r="S7">
        <f>INDEX($B$21:$GQ$21,MATCH(18,$B$29:$GQ$29,0))</f>
        <v>37.6718724459</v>
      </c>
      <c r="T7">
        <f>INDEX($B$21:$GQ$21,MATCH(19,$B$29:$GQ$29,0))</f>
        <v>10896.3904117</v>
      </c>
      <c r="U7">
        <f>INDEX($B$21:$GQ$21,MATCH(20,$B$29:$GQ$29,0))</f>
        <v>134.96855356699999</v>
      </c>
      <c r="V7">
        <f>INDEX($B$21:$GQ$21,MATCH(21,$B$29:$GQ$29,0))</f>
        <v>418.35490823388932</v>
      </c>
      <c r="W7">
        <f>INDEX($B$21:$GQ$21,MATCH(22,$B$29:$GQ$29,0))</f>
        <v>6719.8629984099998</v>
      </c>
      <c r="X7">
        <f>INDEX($B$21:$GQ$21,MATCH(23,$B$29:$GQ$29,0))</f>
        <v>29014.020956100001</v>
      </c>
      <c r="Y7">
        <f>INDEX($B$21:$GQ$21,MATCH(24,$B$29:$GQ$29,0))</f>
        <v>596.45047547599995</v>
      </c>
      <c r="Z7">
        <f>INDEX($B$21:$GQ$21,MATCH(25,$B$29:$GQ$29,0))</f>
        <v>6643.3333910300007</v>
      </c>
      <c r="AA7">
        <f>INDEX($B$21:$GQ$21,MATCH(26,$B$29:$GQ$29,0))</f>
        <v>5191.81852316</v>
      </c>
      <c r="AB7">
        <f>INDEX($B$21:$GQ$21,MATCH(27,$B$29:$GQ$29,0))</f>
        <v>8077.9817955548197</v>
      </c>
      <c r="AC7">
        <f>INDEX($B$21:$GQ$21,MATCH(28,$B$29:$GQ$29,0))</f>
        <v>10799.400247</v>
      </c>
      <c r="AD7">
        <f>INDEX($B$21:$GQ$21,MATCH(29,$B$29:$GQ$29,0))</f>
        <v>1749.27710897</v>
      </c>
      <c r="AE7">
        <f>INDEX($B$21:$GQ$21,MATCH(30,$B$29:$GQ$29,0))</f>
        <v>262.48153199278192</v>
      </c>
      <c r="AF7">
        <f>INDEX($B$21:$GQ$21,MATCH(31,$B$29:$GQ$29,0))</f>
        <v>92.726657253900001</v>
      </c>
      <c r="AG7">
        <f>INDEX($B$21:$GQ$21,MATCH(32,$B$29:$GQ$29,0))</f>
        <v>1038.6668066899999</v>
      </c>
      <c r="AH7">
        <f>INDEX($B$21:$GQ$21,MATCH(33,$B$29:$GQ$29,0))</f>
        <v>1145.74717822</v>
      </c>
      <c r="AI7">
        <f>INDEX($B$21:$GQ$21,MATCH(34,$B$29:$GQ$29,0))</f>
        <v>5070.0672428300004</v>
      </c>
      <c r="AJ7">
        <f>INDEX($B$21:$GQ$21,MATCH(35,$B$29:$GQ$29,0))</f>
        <v>2604.55483714</v>
      </c>
      <c r="AK7">
        <f>INDEX($B$21:$GQ$21,MATCH(36,$B$29:$GQ$29,0))</f>
        <v>95.863337095600002</v>
      </c>
      <c r="AL7">
        <f>INDEX($B$21:$GQ$21,MATCH(37,$B$29:$GQ$29,0))</f>
        <v>18.17377665812187</v>
      </c>
      <c r="AM7">
        <f>INDEX($B$21:$GQ$21,MATCH(38,$B$29:$GQ$29,0))</f>
        <v>7198.1551780506543</v>
      </c>
      <c r="AN7">
        <f>INDEX($B$21:$GQ$21,MATCH(39,$B$29:$GQ$29,0))</f>
        <v>12.589531046076591</v>
      </c>
      <c r="AO7">
        <f>INDEX($B$21:$GQ$21,MATCH(40,$B$29:$GQ$29,0))</f>
        <v>1317.5141081675199</v>
      </c>
      <c r="AP7">
        <f>INDEX($B$21:$GQ$21,MATCH(41,$B$29:$GQ$29,0))</f>
        <v>6.1707335051997774</v>
      </c>
      <c r="AQ7">
        <f>INDEX($B$21:$GQ$21,MATCH(42,$B$29:$GQ$29,0))</f>
        <v>262.19233730575002</v>
      </c>
      <c r="AR7">
        <f>INDEX($B$21:$GQ$21,MATCH(43,$B$29:$GQ$29,0))</f>
        <v>358.93550539300003</v>
      </c>
      <c r="AS7">
        <f>INDEX($B$21:$GQ$21,MATCH(44,$B$29:$GQ$29,0))</f>
        <v>152.52438610900001</v>
      </c>
      <c r="AT7">
        <f>INDEX($B$21:$GQ$21,MATCH(45,$B$29:$GQ$29,0))</f>
        <v>191.524540960959</v>
      </c>
      <c r="AU7">
        <f>INDEX($B$21:$GQ$21,MATCH(46,$B$29:$GQ$29,0))</f>
        <v>3107.3829579702092</v>
      </c>
      <c r="AV7">
        <f>INDEX($B$21:$GQ$21,MATCH(47,$B$29:$GQ$29,0))</f>
        <v>0</v>
      </c>
      <c r="AW7">
        <f>INDEX($B$21:$GQ$21,MATCH(48,$B$29:$GQ$29,0))</f>
        <v>652.78120585600004</v>
      </c>
      <c r="AX7">
        <f>INDEX($B$21:$GQ$21,MATCH(49,$B$29:$GQ$29,0))</f>
        <v>854.20888969679993</v>
      </c>
      <c r="AY7">
        <f>INDEX($B$21:$GQ$21,MATCH(50,$B$29:$GQ$29,0))</f>
        <v>1220.2376179299999</v>
      </c>
      <c r="AZ7">
        <f>INDEX($B$21:$GQ$21,MATCH(51,$B$29:$GQ$29,0))</f>
        <v>0</v>
      </c>
      <c r="BA7">
        <f>INDEX($B$21:$GQ$21,MATCH(52,$B$29:$GQ$29,0))</f>
        <v>20.421948832948161</v>
      </c>
      <c r="BB7">
        <f>INDEX($B$21:$GQ$21,MATCH(53,$B$29:$GQ$29,0))</f>
        <v>0</v>
      </c>
      <c r="BC7">
        <f>INDEX($B$21:$GQ$21,MATCH(54,$B$29:$GQ$29,0))</f>
        <v>1766.04037623</v>
      </c>
      <c r="BD7">
        <f>INDEX($B$21:$GQ$21,MATCH(55,$B$29:$GQ$29,0))</f>
        <v>1803.7615754999999</v>
      </c>
      <c r="BE7">
        <f>INDEX($B$21:$GQ$21,MATCH(56,$B$29:$GQ$29,0))</f>
        <v>0</v>
      </c>
      <c r="BF7">
        <f>INDEX($B$21:$GQ$21,MATCH(57,$B$29:$GQ$29,0))</f>
        <v>1559.8370236600001</v>
      </c>
      <c r="BG7">
        <f>INDEX($B$21:$GQ$21,MATCH(58,$B$29:$GQ$29,0))</f>
        <v>243.82395424985501</v>
      </c>
      <c r="BH7">
        <f>INDEX($B$21:$GQ$21,MATCH(59,$B$29:$GQ$29,0))</f>
        <v>4696.7749308100001</v>
      </c>
      <c r="BI7">
        <f>INDEX($B$21:$GQ$21,MATCH(60,$B$29:$GQ$29,0))</f>
        <v>2010.42848448</v>
      </c>
      <c r="BJ7">
        <f>INDEX($B$21:$GQ$21,MATCH(61,$B$29:$GQ$29,0))</f>
        <v>0</v>
      </c>
      <c r="BK7">
        <f>INDEX($B$21:$GQ$21,MATCH(62,$B$29:$GQ$29,0))</f>
        <v>4669.9064481400001</v>
      </c>
      <c r="BL7">
        <f>INDEX($B$21:$GQ$21,MATCH(63,$B$29:$GQ$29,0))</f>
        <v>107.8362040536</v>
      </c>
      <c r="BM7">
        <f>INDEX($B$21:$GQ$21,MATCH(64,$B$29:$GQ$29,0))</f>
        <v>324.71811889076042</v>
      </c>
      <c r="BN7">
        <f>INDEX($B$21:$GQ$21,MATCH(65,$B$29:$GQ$29,0))</f>
        <v>44.522949826820003</v>
      </c>
      <c r="BO7">
        <f>INDEX($B$21:$GQ$21,MATCH(66,$B$29:$GQ$29,0))</f>
        <v>130.97256975400001</v>
      </c>
      <c r="BP7">
        <f>INDEX($B$21:$GQ$21,MATCH(67,$B$29:$GQ$29,0))</f>
        <v>2577.2612739800002</v>
      </c>
      <c r="BQ7">
        <f>INDEX($B$21:$GQ$21,MATCH(68,$B$29:$GQ$29,0))</f>
        <v>286.21616942958212</v>
      </c>
      <c r="BR7">
        <f>INDEX($B$21:$GQ$21,MATCH(69,$B$29:$GQ$29,0))</f>
        <v>0</v>
      </c>
      <c r="BS7">
        <f>INDEX($B$21:$GQ$21,MATCH(70,$B$29:$GQ$29,0))</f>
        <v>895.25021162600001</v>
      </c>
      <c r="BT7">
        <f>INDEX($B$21:$GQ$21,MATCH(71,$B$29:$GQ$29,0))</f>
        <v>2813.8265550279998</v>
      </c>
      <c r="BU7">
        <f>INDEX($B$21:$GQ$21,MATCH(72,$B$29:$GQ$29,0))</f>
        <v>0</v>
      </c>
      <c r="BV7">
        <f>INDEX($B$21:$GQ$21,MATCH(73,$B$29:$GQ$29,0))</f>
        <v>627.28953437057316</v>
      </c>
      <c r="BW7">
        <f>INDEX($B$21:$GQ$21,MATCH(74,$B$29:$GQ$29,0))</f>
        <v>0</v>
      </c>
      <c r="BX7">
        <f>INDEX($B$21:$GQ$21,MATCH(75,$B$29:$GQ$29,0))</f>
        <v>0</v>
      </c>
      <c r="BY7">
        <f>INDEX($B$21:$GQ$21,MATCH(76,$B$29:$GQ$29,0))</f>
        <v>791.25578928899995</v>
      </c>
      <c r="BZ7">
        <f>INDEX($B$21:$GQ$21,MATCH(77,$B$29:$GQ$29,0))</f>
        <v>612.42607809052072</v>
      </c>
      <c r="CA7">
        <f>INDEX($B$21:$GQ$21,MATCH(78,$B$29:$GQ$29,0))</f>
        <v>34.973120821718787</v>
      </c>
      <c r="CB7">
        <f>INDEX($B$21:$GQ$21,MATCH(79,$B$29:$GQ$29,0))</f>
        <v>0</v>
      </c>
      <c r="CC7">
        <f>INDEX($B$21:$GQ$21,MATCH(80,$B$29:$GQ$29,0))</f>
        <v>0</v>
      </c>
      <c r="CD7">
        <f>INDEX($B$21:$GQ$21,MATCH(81,$B$29:$GQ$29,0))</f>
        <v>0.66543467202200002</v>
      </c>
      <c r="CE7">
        <f>INDEX($B$21:$GQ$21,MATCH(82,$B$29:$GQ$29,0))</f>
        <v>10172.62054431125</v>
      </c>
      <c r="CF7">
        <f>INDEX($B$21:$GQ$21,MATCH(83,$B$29:$GQ$29,0))</f>
        <v>10.798532357499999</v>
      </c>
      <c r="CG7">
        <f>INDEX($B$21:$GQ$21,MATCH(84,$B$29:$GQ$29,0))</f>
        <v>63.361211080935377</v>
      </c>
      <c r="CH7">
        <f>INDEX($B$21:$GQ$21,MATCH(85,$B$29:$GQ$29,0))</f>
        <v>520.47413446200005</v>
      </c>
      <c r="CI7">
        <f>INDEX($B$21:$GQ$21,MATCH(86,$B$29:$GQ$29,0))</f>
        <v>12.452825049199999</v>
      </c>
      <c r="CJ7">
        <f>INDEX($B$21:$GQ$21,MATCH(87,$B$29:$GQ$29,0))</f>
        <v>7.2681283026200001</v>
      </c>
      <c r="CK7">
        <f>INDEX($B$21:$GQ$21,MATCH(88,$B$29:$GQ$29,0))</f>
        <v>50.540358367452967</v>
      </c>
      <c r="CL7">
        <f>INDEX($B$21:$GQ$21,MATCH(89,$B$29:$GQ$29,0))</f>
        <v>7.47894238651</v>
      </c>
      <c r="CM7">
        <f>INDEX($B$21:$GQ$21,MATCH(90,$B$29:$GQ$29,0))</f>
        <v>6.2167013558799988</v>
      </c>
      <c r="CN7">
        <f>INDEX($B$21:$GQ$21,MATCH(91,$B$29:$GQ$29,0))</f>
        <v>7.1772939881199997</v>
      </c>
      <c r="CO7">
        <f>INDEX($B$21:$GQ$21,MATCH(92,$B$29:$GQ$29,0))</f>
        <v>0</v>
      </c>
      <c r="CP7">
        <f>INDEX($B$21:$GQ$21,MATCH(93,$B$29:$GQ$29,0))</f>
        <v>64.052776141426875</v>
      </c>
      <c r="CQ7">
        <f>INDEX($B$21:$GQ$21,MATCH(94,$B$29:$GQ$29,0))</f>
        <v>5.4780863341700003</v>
      </c>
      <c r="CR7">
        <f>INDEX($B$21:$GQ$21,MATCH(95,$B$29:$GQ$29,0))</f>
        <v>0</v>
      </c>
      <c r="CS7">
        <f>INDEX($B$21:$GQ$21,MATCH(96,$B$29:$GQ$29,0))</f>
        <v>6.6187806119300001</v>
      </c>
      <c r="CT7">
        <f>INDEX($B$21:$GQ$21,MATCH(97,$B$29:$GQ$29,0))</f>
        <v>8.3376501952699993</v>
      </c>
      <c r="CU7">
        <f>INDEX($B$21:$GQ$21,MATCH(98,$B$29:$GQ$29,0))</f>
        <v>3.4561336392499999</v>
      </c>
      <c r="CV7">
        <f>INDEX($B$21:$GQ$21,MATCH(99,$B$29:$GQ$29,0))</f>
        <v>4.2866716676400003</v>
      </c>
      <c r="CW7">
        <f>INDEX($B$21:$GQ$21,MATCH(100,$B$29:$GQ$29,0))</f>
        <v>52.290447045240562</v>
      </c>
      <c r="CX7">
        <f>INDEX($B$21:$GQ$21,MATCH(101,$B$29:$GQ$29,0))</f>
        <v>2.8579230598600001</v>
      </c>
      <c r="CY7">
        <f>INDEX($B$21:$GQ$21,MATCH(102,$B$29:$GQ$29,0))</f>
        <v>7.7745748429250057</v>
      </c>
      <c r="CZ7">
        <f>INDEX($B$21:$GQ$21,MATCH(103,$B$29:$GQ$29,0))</f>
        <v>4.4869937232399604</v>
      </c>
      <c r="DA7">
        <f>INDEX($B$21:$GQ$21,MATCH(104,$B$29:$GQ$29,0))</f>
        <v>7.7841592984684684</v>
      </c>
      <c r="DB7">
        <f>INDEX($B$21:$GQ$21,MATCH(105,$B$29:$GQ$29,0))</f>
        <v>157.13671563599999</v>
      </c>
      <c r="DC7">
        <f>INDEX($B$21:$GQ$21,MATCH(106,$B$29:$GQ$29,0))</f>
        <v>2.5196803371600001</v>
      </c>
      <c r="DD7">
        <f>INDEX($B$21:$GQ$21,MATCH(107,$B$29:$GQ$29,0))</f>
        <v>1.5981500333700001</v>
      </c>
      <c r="DE7">
        <f>INDEX($B$21:$GQ$21,MATCH(108,$B$29:$GQ$29,0))</f>
        <v>1.4328711332499999</v>
      </c>
      <c r="DF7">
        <f>INDEX($B$21:$GQ$21,MATCH(109,$B$29:$GQ$29,0))</f>
        <v>1.6789142170569999</v>
      </c>
      <c r="DG7">
        <f>INDEX($B$21:$GQ$21,MATCH(110,$B$29:$GQ$29,0))</f>
        <v>0.91095341557300002</v>
      </c>
      <c r="DH7">
        <f>INDEX($B$21:$GQ$21,MATCH(111,$B$29:$GQ$29,0))</f>
        <v>1.81215275413</v>
      </c>
      <c r="DI7">
        <f>INDEX($B$21:$GQ$21,MATCH(112,$B$29:$GQ$29,0))</f>
        <v>0.63557573159500003</v>
      </c>
      <c r="DJ7">
        <f>INDEX($B$21:$GQ$21,MATCH(113,$B$29:$GQ$29,0))</f>
        <v>0.91886879222690554</v>
      </c>
      <c r="DK7">
        <f>INDEX($B$21:$GQ$21,MATCH(114,$B$29:$GQ$29,0))</f>
        <v>0.47988633069100001</v>
      </c>
      <c r="DL7">
        <f>INDEX($B$21:$GQ$21,MATCH(115,$B$29:$GQ$29,0))</f>
        <v>7.4935930203748713</v>
      </c>
      <c r="DM7">
        <f>INDEX($B$21:$GQ$21,MATCH(116,$B$29:$GQ$29,0))</f>
        <v>2.2862877476796539</v>
      </c>
      <c r="DN7">
        <f>INDEX($B$21:$GQ$21,MATCH(117,$B$29:$GQ$29,0))</f>
        <v>1.056828588528105</v>
      </c>
      <c r="DO7">
        <f>INDEX($B$21:$GQ$21,MATCH(118,$B$29:$GQ$29,0))</f>
        <v>4.9947555776570151E-3</v>
      </c>
      <c r="DP7">
        <f>INDEX($B$21:$GQ$21,MATCH(119,$B$29:$GQ$29,0))</f>
        <v>5.4250360592692362</v>
      </c>
      <c r="DQ7">
        <f>INDEX($B$21:$GQ$21,MATCH(120,$B$29:$GQ$29,0))</f>
        <v>14.903983972800001</v>
      </c>
      <c r="DR7">
        <f>INDEX($B$21:$GQ$21,MATCH(121,$B$29:$GQ$29,0))</f>
        <v>0</v>
      </c>
      <c r="DS7">
        <f>INDEX($B$21:$GQ$21,MATCH(122,$B$29:$GQ$29,0))</f>
        <v>0.112600342789</v>
      </c>
      <c r="DT7">
        <f>INDEX($B$21:$GQ$21,MATCH(123,$B$29:$GQ$29,0))</f>
        <v>5.55902005850945E-2</v>
      </c>
      <c r="DU7">
        <f>INDEX($B$21:$GQ$21,MATCH(124,$B$29:$GQ$29,0))</f>
        <v>1.3261887457802539</v>
      </c>
      <c r="DV7">
        <f>INDEX($B$21:$GQ$21,MATCH(125,$B$29:$GQ$29,0))</f>
        <v>4.31870936057E-2</v>
      </c>
      <c r="DW7">
        <f>INDEX($B$21:$GQ$21,MATCH(126,$B$29:$GQ$29,0))</f>
        <v>14.5218305376</v>
      </c>
      <c r="DX7">
        <f>INDEX($B$21:$GQ$21,MATCH(127,$B$29:$GQ$29,0))</f>
        <v>6.3533008602000001</v>
      </c>
      <c r="DY7">
        <f>INDEX($B$21:$GQ$21,MATCH(128,$B$29:$GQ$29,0))</f>
        <v>0.102340521859746</v>
      </c>
      <c r="DZ7">
        <f>INDEX($B$21:$GQ$21,MATCH(129,$B$29:$GQ$29,0))</f>
        <v>0.1066507278430744</v>
      </c>
      <c r="EA7">
        <f>INDEX($B$21:$GQ$21,MATCH(130,$B$29:$GQ$29,0))</f>
        <v>0</v>
      </c>
      <c r="EB7">
        <f>INDEX($B$21:$GQ$21,MATCH(131,$B$29:$GQ$29,0))</f>
        <v>0.26273048669999999</v>
      </c>
      <c r="EC7">
        <f>INDEX($B$21:$GQ$21,MATCH(132,$B$29:$GQ$29,0))</f>
        <v>6.1700262321527496E-3</v>
      </c>
      <c r="ED7">
        <f>INDEX($B$21:$GQ$21,MATCH(133,$B$29:$GQ$29,0))</f>
        <v>3.9625614194724822E-4</v>
      </c>
      <c r="EE7">
        <f>INDEX($B$21:$GQ$21,MATCH(134,$B$29:$GQ$29,0))</f>
        <v>0</v>
      </c>
      <c r="EF7">
        <f>INDEX($B$21:$GQ$21,MATCH(135,$B$29:$GQ$29,0))</f>
        <v>0</v>
      </c>
      <c r="EG7">
        <f>INDEX($B$21:$GQ$21,MATCH(136,$B$29:$GQ$29,0))</f>
        <v>0</v>
      </c>
      <c r="EH7">
        <f>INDEX($B$21:$GQ$21,MATCH(137,$B$29:$GQ$29,0))</f>
        <v>0</v>
      </c>
      <c r="EI7">
        <f>INDEX($B$21:$GQ$21,MATCH(138,$B$29:$GQ$29,0))</f>
        <v>0</v>
      </c>
      <c r="EJ7">
        <f>INDEX($B$21:$GQ$21,MATCH(139,$B$29:$GQ$29,0))</f>
        <v>0</v>
      </c>
      <c r="EK7">
        <f>INDEX($B$21:$GQ$21,MATCH(140,$B$29:$GQ$29,0))</f>
        <v>0</v>
      </c>
      <c r="EL7">
        <f>INDEX($B$21:$GQ$21,MATCH(141,$B$29:$GQ$29,0))</f>
        <v>0</v>
      </c>
      <c r="EM7">
        <f>INDEX($B$21:$GQ$21,MATCH(142,$B$29:$GQ$29,0))</f>
        <v>0</v>
      </c>
      <c r="EN7">
        <f>INDEX($B$21:$GQ$21,MATCH(143,$B$29:$GQ$29,0))</f>
        <v>0</v>
      </c>
      <c r="EO7">
        <f>INDEX($B$21:$GQ$21,MATCH(144,$B$29:$GQ$29,0))</f>
        <v>0</v>
      </c>
      <c r="EP7">
        <f>INDEX($B$21:$GQ$21,MATCH(145,$B$29:$GQ$29,0))</f>
        <v>0</v>
      </c>
      <c r="EQ7">
        <f>INDEX($B$21:$GQ$21,MATCH(146,$B$29:$GQ$29,0))</f>
        <v>0</v>
      </c>
      <c r="ER7">
        <f>INDEX($B$21:$GQ$21,MATCH(147,$B$29:$GQ$29,0))</f>
        <v>0</v>
      </c>
      <c r="ES7">
        <f>INDEX($B$21:$GQ$21,MATCH(148,$B$29:$GQ$29,0))</f>
        <v>0</v>
      </c>
      <c r="ET7">
        <f>INDEX($B$21:$GQ$21,MATCH(149,$B$29:$GQ$29,0))</f>
        <v>0</v>
      </c>
      <c r="EU7">
        <f>INDEX($B$21:$GQ$21,MATCH(150,$B$29:$GQ$29,0))</f>
        <v>0</v>
      </c>
      <c r="EV7">
        <f>INDEX($B$21:$GQ$21,MATCH(151,$B$29:$GQ$29,0))</f>
        <v>0</v>
      </c>
      <c r="EW7">
        <f>INDEX($B$21:$GQ$21,MATCH(152,$B$29:$GQ$29,0))</f>
        <v>0</v>
      </c>
      <c r="EX7">
        <f>INDEX($B$21:$GQ$21,MATCH(153,$B$29:$GQ$29,0))</f>
        <v>0</v>
      </c>
      <c r="EY7">
        <f>INDEX($B$21:$GQ$21,MATCH(154,$B$29:$GQ$29,0))</f>
        <v>0</v>
      </c>
      <c r="EZ7">
        <f>INDEX($B$21:$GQ$21,MATCH(155,$B$29:$GQ$29,0))</f>
        <v>0</v>
      </c>
      <c r="FA7">
        <f>INDEX($B$21:$GQ$21,MATCH(156,$B$29:$GQ$29,0))</f>
        <v>0</v>
      </c>
      <c r="FB7">
        <f>INDEX($B$21:$GQ$21,MATCH(157,$B$29:$GQ$29,0))</f>
        <v>0</v>
      </c>
      <c r="FC7">
        <f>INDEX($B$21:$GQ$21,MATCH(158,$B$29:$GQ$29,0))</f>
        <v>0</v>
      </c>
      <c r="FD7">
        <f>INDEX($B$21:$GQ$21,MATCH(159,$B$29:$GQ$29,0))</f>
        <v>0</v>
      </c>
      <c r="FE7">
        <f>INDEX($B$21:$GQ$21,MATCH(160,$B$29:$GQ$29,0))</f>
        <v>0</v>
      </c>
      <c r="FF7">
        <f>INDEX($B$21:$GQ$21,MATCH(161,$B$29:$GQ$29,0))</f>
        <v>0</v>
      </c>
      <c r="FG7">
        <f>INDEX($B$21:$GQ$21,MATCH(162,$B$29:$GQ$29,0))</f>
        <v>0</v>
      </c>
      <c r="FH7">
        <f>INDEX($B$21:$GQ$21,MATCH(163,$B$29:$GQ$29,0))</f>
        <v>0</v>
      </c>
      <c r="FI7">
        <f>INDEX($B$21:$GQ$21,MATCH(164,$B$29:$GQ$29,0))</f>
        <v>0</v>
      </c>
      <c r="FJ7">
        <f>INDEX($B$21:$GQ$21,MATCH(165,$B$29:$GQ$29,0))</f>
        <v>0</v>
      </c>
      <c r="FK7">
        <f>INDEX($B$21:$GQ$21,MATCH(166,$B$29:$GQ$29,0))</f>
        <v>0</v>
      </c>
      <c r="FL7">
        <f>INDEX($B$21:$GQ$21,MATCH(167,$B$29:$GQ$29,0))</f>
        <v>0</v>
      </c>
      <c r="FM7">
        <f>INDEX($B$21:$GQ$21,MATCH(168,$B$29:$GQ$29,0))</f>
        <v>0</v>
      </c>
      <c r="FN7">
        <f>INDEX($B$21:$GQ$21,MATCH(169,$B$29:$GQ$29,0))</f>
        <v>0</v>
      </c>
      <c r="FO7">
        <f>INDEX($B$21:$GQ$21,MATCH(170,$B$29:$GQ$29,0))</f>
        <v>0</v>
      </c>
      <c r="FP7">
        <f>INDEX($B$21:$GQ$21,MATCH(171,$B$29:$GQ$29,0))</f>
        <v>0</v>
      </c>
      <c r="FQ7">
        <f>INDEX($B$21:$GQ$21,MATCH(172,$B$29:$GQ$29,0))</f>
        <v>0</v>
      </c>
      <c r="FR7">
        <f>INDEX($B$21:$GQ$21,MATCH(173,$B$29:$GQ$29,0))</f>
        <v>0</v>
      </c>
      <c r="FS7">
        <f>INDEX($B$21:$GQ$21,MATCH(174,$B$29:$GQ$29,0))</f>
        <v>0</v>
      </c>
      <c r="FT7">
        <f>INDEX($B$21:$GQ$21,MATCH(175,$B$29:$GQ$29,0))</f>
        <v>0</v>
      </c>
      <c r="FU7">
        <f>INDEX($B$21:$GQ$21,MATCH(176,$B$29:$GQ$29,0))</f>
        <v>0</v>
      </c>
      <c r="FV7">
        <f>INDEX($B$21:$GQ$21,MATCH(177,$B$29:$GQ$29,0))</f>
        <v>0</v>
      </c>
      <c r="FW7">
        <f>INDEX($B$21:$GQ$21,MATCH(178,$B$29:$GQ$29,0))</f>
        <v>0</v>
      </c>
      <c r="FX7">
        <f>INDEX($B$21:$GQ$21,MATCH(179,$B$29:$GQ$29,0))</f>
        <v>0</v>
      </c>
      <c r="FY7">
        <f>INDEX($B$21:$GQ$21,MATCH(180,$B$29:$GQ$29,0))</f>
        <v>3.0458495076355003E-4</v>
      </c>
      <c r="FZ7">
        <f>INDEX($B$21:$GQ$21,MATCH(181,$B$29:$GQ$29,0))</f>
        <v>0</v>
      </c>
      <c r="GA7">
        <f>INDEX($B$21:$GQ$21,MATCH(182,$B$29:$GQ$29,0))</f>
        <v>0</v>
      </c>
      <c r="GB7">
        <f>INDEX($B$21:$GQ$21,MATCH(183,$B$29:$GQ$29,0))</f>
        <v>0</v>
      </c>
      <c r="GC7">
        <f>INDEX($B$21:$GQ$21,MATCH(184,$B$29:$GQ$29,0))</f>
        <v>0</v>
      </c>
      <c r="GD7">
        <f>INDEX($B$21:$GQ$21,MATCH(185,$B$29:$GQ$29,0))</f>
        <v>6.0997008595128847E-2</v>
      </c>
      <c r="GE7">
        <f>INDEX($B$21:$GQ$21,MATCH(186,$B$29:$GQ$29,0))</f>
        <v>0</v>
      </c>
      <c r="GF7">
        <f>INDEX($B$21:$GQ$21,MATCH(187,$B$29:$GQ$29,0))</f>
        <v>0</v>
      </c>
      <c r="GG7">
        <f>INDEX($B$21:$GQ$21,MATCH(188,$B$29:$GQ$29,0))</f>
        <v>0</v>
      </c>
      <c r="GH7">
        <f>INDEX($B$21:$GQ$21,MATCH(189,$B$29:$GQ$29,0))</f>
        <v>0</v>
      </c>
      <c r="GI7">
        <f>INDEX($B$21:$GQ$21,MATCH(190,$B$29:$GQ$29,0))</f>
        <v>0</v>
      </c>
      <c r="GJ7">
        <f>INDEX($B$21:$GQ$21,MATCH(191,$B$29:$GQ$29,0))</f>
        <v>0</v>
      </c>
      <c r="GK7">
        <f>INDEX($B$21:$GQ$21,MATCH(192,$B$29:$GQ$29,0))</f>
        <v>0</v>
      </c>
      <c r="GL7">
        <f>INDEX($B$21:$GQ$21,MATCH(193,$B$29:$GQ$29,0))</f>
        <v>0</v>
      </c>
      <c r="GM7">
        <f>INDEX($B$21:$GQ$21,MATCH(194,$B$29:$GQ$29,0))</f>
        <v>0</v>
      </c>
      <c r="GN7">
        <f>INDEX($B$21:$GQ$21,MATCH(195,$B$29:$GQ$29,0))</f>
        <v>0</v>
      </c>
      <c r="GO7">
        <f>INDEX($B$21:$GQ$21,MATCH(196,$B$29:$GQ$29,0))</f>
        <v>0</v>
      </c>
      <c r="GP7">
        <f>INDEX($B$21:$GQ$21,MATCH(197,$B$29:$GQ$29,0))</f>
        <v>0</v>
      </c>
      <c r="GQ7">
        <f>INDEX($B$21:$GQ$21,MATCH(198,$B$29:$GQ$29,0))</f>
        <v>0</v>
      </c>
      <c r="GR7">
        <f>INDEX($GR$21:$HC$21,MATCH(1,$GR$30:$HC$30,0))</f>
        <v>17903.873458744751</v>
      </c>
      <c r="GS7">
        <f>INDEX($GR$21:$HC$21,MATCH(2,$GR$30:$HC$30,0))</f>
        <v>6818.9374820032835</v>
      </c>
      <c r="GT7">
        <f>INDEX($GR$21:$HC$21,MATCH(3,$GR$30:$HC$30,0))</f>
        <v>3828.2993022389001</v>
      </c>
      <c r="GU7">
        <f>INDEX($GR$21:$HC$21,MATCH(4,$GR$30:$HC$30,0))</f>
        <v>14392.991685798401</v>
      </c>
      <c r="GV7">
        <f>INDEX($GR$21:$HC$21,MATCH(5,$GR$30:$HC$30,0))</f>
        <v>1038.4943145499999</v>
      </c>
      <c r="GW7">
        <f>INDEX($GR$21:$HC$21,MATCH(6,$GR$30:$HC$30,0))</f>
        <v>0</v>
      </c>
      <c r="GX7">
        <f>INDEX($GR$21:$HC$21,MATCH(7,$GR$30:$HC$30,0))</f>
        <v>2356.4986623639588</v>
      </c>
      <c r="GY7">
        <f>INDEX($GR$21:$HC$21,MATCH(8,$GR$30:$HC$30,0))</f>
        <v>1806.0386160099999</v>
      </c>
      <c r="GZ7">
        <f>INDEX($GR$21:$HC$21,MATCH(9,$GR$30:$HC$30,0))</f>
        <v>26463.523517716021</v>
      </c>
      <c r="HA7">
        <f>INDEX($GR$21:$HC$21,MATCH(10,$GR$30:$HC$30,0))</f>
        <v>58120.83281466164</v>
      </c>
      <c r="HB7">
        <f>INDEX($GR$21:$HC$21,MATCH(11,$GR$30:$HC$30,0))</f>
        <v>22808.071933269999</v>
      </c>
      <c r="HC7">
        <f>INDEX($GR$21:$HC$21,MATCH(12,$GR$30:$HC$30,0))</f>
        <v>52451.491819216943</v>
      </c>
    </row>
    <row r="8" spans="1:211" x14ac:dyDescent="0.45">
      <c r="A8" s="1" t="s">
        <v>7</v>
      </c>
      <c r="B8">
        <f>INDEX($B$22:$GQ$22,MATCH(1,$B$29:$GQ$29,0))</f>
        <v>23360.725289119</v>
      </c>
      <c r="C8">
        <f>INDEX($B$22:$GQ$22,MATCH(2,$B$29:$GQ$29,0))</f>
        <v>10280.107604815599</v>
      </c>
      <c r="D8">
        <f>INDEX($B$22:$GQ$22,MATCH(3,$B$29:$GQ$29,0))</f>
        <v>6143.0077963115054</v>
      </c>
      <c r="E8">
        <f>INDEX($B$22:$GQ$22,MATCH(4,$B$29:$GQ$29,0))</f>
        <v>15949.9837150327</v>
      </c>
      <c r="F8">
        <f>INDEX($B$22:$GQ$22,MATCH(5,$B$29:$GQ$29,0))</f>
        <v>5050.4413716326299</v>
      </c>
      <c r="G8">
        <f>INDEX($B$22:$GQ$22,MATCH(6,$B$29:$GQ$29,0))</f>
        <v>83954.164852629998</v>
      </c>
      <c r="H8">
        <f>INDEX($B$22:$GQ$22,MATCH(7,$B$29:$GQ$29,0))</f>
        <v>8488.2230403558297</v>
      </c>
      <c r="I8">
        <f>INDEX($B$22:$GQ$22,MATCH(8,$B$29:$GQ$29,0))</f>
        <v>726.07848723778375</v>
      </c>
      <c r="J8">
        <f>INDEX($B$22:$GQ$22,MATCH(9,$B$29:$GQ$29,0))</f>
        <v>7010.4418690136599</v>
      </c>
      <c r="K8">
        <f>INDEX($B$22:$GQ$22,MATCH(10,$B$29:$GQ$29,0))</f>
        <v>258670.86586419999</v>
      </c>
      <c r="L8">
        <f>INDEX($B$22:$GQ$22,MATCH(11,$B$29:$GQ$29,0))</f>
        <v>8018.0444478146992</v>
      </c>
      <c r="M8">
        <f>INDEX($B$22:$GQ$22,MATCH(12,$B$29:$GQ$29,0))</f>
        <v>186753.73804475501</v>
      </c>
      <c r="N8">
        <f>INDEX($B$22:$GQ$22,MATCH(13,$B$29:$GQ$29,0))</f>
        <v>2468.4934124624001</v>
      </c>
      <c r="O8">
        <f>INDEX($B$22:$GQ$22,MATCH(14,$B$29:$GQ$29,0))</f>
        <v>242143.13257310001</v>
      </c>
      <c r="P8">
        <f>INDEX($B$22:$GQ$22,MATCH(15,$B$29:$GQ$29,0))</f>
        <v>71885.084968099996</v>
      </c>
      <c r="Q8">
        <f>INDEX($B$22:$GQ$22,MATCH(16,$B$29:$GQ$29,0))</f>
        <v>130808.66813279</v>
      </c>
      <c r="R8">
        <f>INDEX($B$22:$GQ$22,MATCH(17,$B$29:$GQ$29,0))</f>
        <v>37588.165323314177</v>
      </c>
      <c r="S8">
        <f>INDEX($B$22:$GQ$22,MATCH(18,$B$29:$GQ$29,0))</f>
        <v>3117.9127895699999</v>
      </c>
      <c r="T8">
        <f>INDEX($B$22:$GQ$22,MATCH(19,$B$29:$GQ$29,0))</f>
        <v>3273.5352910359002</v>
      </c>
      <c r="U8">
        <f>INDEX($B$22:$GQ$22,MATCH(20,$B$29:$GQ$29,0))</f>
        <v>1889.7566549799999</v>
      </c>
      <c r="V8">
        <f>INDEX($B$22:$GQ$22,MATCH(21,$B$29:$GQ$29,0))</f>
        <v>0</v>
      </c>
      <c r="W8">
        <f>INDEX($B$22:$GQ$22,MATCH(22,$B$29:$GQ$29,0))</f>
        <v>128.12948849290001</v>
      </c>
      <c r="X8">
        <f>INDEX($B$22:$GQ$22,MATCH(23,$B$29:$GQ$29,0))</f>
        <v>26547.7846919</v>
      </c>
      <c r="Y8">
        <f>INDEX($B$22:$GQ$22,MATCH(24,$B$29:$GQ$29,0))</f>
        <v>2108.0791581456701</v>
      </c>
      <c r="Z8">
        <f>INDEX($B$22:$GQ$22,MATCH(25,$B$29:$GQ$29,0))</f>
        <v>9071.7807908699997</v>
      </c>
      <c r="AA8">
        <f>INDEX($B$22:$GQ$22,MATCH(26,$B$29:$GQ$29,0))</f>
        <v>2215.3406393403002</v>
      </c>
      <c r="AB8">
        <f>INDEX($B$22:$GQ$22,MATCH(27,$B$29:$GQ$29,0))</f>
        <v>11302.3998226312</v>
      </c>
      <c r="AC8">
        <f>INDEX($B$22:$GQ$22,MATCH(28,$B$29:$GQ$29,0))</f>
        <v>7391.2707397499989</v>
      </c>
      <c r="AD8">
        <f>INDEX($B$22:$GQ$22,MATCH(29,$B$29:$GQ$29,0))</f>
        <v>874.53301648599995</v>
      </c>
      <c r="AE8">
        <f>INDEX($B$22:$GQ$22,MATCH(30,$B$29:$GQ$29,0))</f>
        <v>4666.4618214472184</v>
      </c>
      <c r="AF8">
        <f>INDEX($B$22:$GQ$22,MATCH(31,$B$29:$GQ$29,0))</f>
        <v>662.143368282305</v>
      </c>
      <c r="AG8">
        <f>INDEX($B$22:$GQ$22,MATCH(32,$B$29:$GQ$29,0))</f>
        <v>11126.0696009</v>
      </c>
      <c r="AH8">
        <f>INDEX($B$22:$GQ$22,MATCH(33,$B$29:$GQ$29,0))</f>
        <v>31909.8454513</v>
      </c>
      <c r="AI8">
        <f>INDEX($B$22:$GQ$22,MATCH(34,$B$29:$GQ$29,0))</f>
        <v>30950.3724516</v>
      </c>
      <c r="AJ8">
        <f>INDEX($B$22:$GQ$22,MATCH(35,$B$29:$GQ$29,0))</f>
        <v>42904.638546299997</v>
      </c>
      <c r="AK8">
        <f>INDEX($B$22:$GQ$22,MATCH(36,$B$29:$GQ$29,0))</f>
        <v>22590.5100676</v>
      </c>
      <c r="AL8">
        <f>INDEX($B$22:$GQ$22,MATCH(37,$B$29:$GQ$29,0))</f>
        <v>514.07430814345184</v>
      </c>
      <c r="AM8">
        <f>INDEX($B$22:$GQ$22,MATCH(38,$B$29:$GQ$29,0))</f>
        <v>7435.9329311493466</v>
      </c>
      <c r="AN8">
        <f>INDEX($B$22:$GQ$22,MATCH(39,$B$29:$GQ$29,0))</f>
        <v>111.1237859411297</v>
      </c>
      <c r="AO8">
        <f>INDEX($B$22:$GQ$22,MATCH(40,$B$29:$GQ$29,0))</f>
        <v>15294.563008583</v>
      </c>
      <c r="AP8">
        <f>INDEX($B$22:$GQ$22,MATCH(41,$B$29:$GQ$29,0))</f>
        <v>370.68346562429832</v>
      </c>
      <c r="AQ8">
        <f>INDEX($B$22:$GQ$22,MATCH(42,$B$29:$GQ$29,0))</f>
        <v>11238.476071223</v>
      </c>
      <c r="AR8">
        <f>INDEX($B$22:$GQ$22,MATCH(43,$B$29:$GQ$29,0))</f>
        <v>139.24546536700001</v>
      </c>
      <c r="AS8">
        <f>INDEX($B$22:$GQ$22,MATCH(44,$B$29:$GQ$29,0))</f>
        <v>26.960627056900002</v>
      </c>
      <c r="AT8">
        <f>INDEX($B$22:$GQ$22,MATCH(45,$B$29:$GQ$29,0))</f>
        <v>235.5104379290872</v>
      </c>
      <c r="AU8">
        <f>INDEX($B$22:$GQ$22,MATCH(46,$B$29:$GQ$29,0))</f>
        <v>1190.0860007440001</v>
      </c>
      <c r="AV8">
        <f>INDEX($B$22:$GQ$22,MATCH(47,$B$29:$GQ$29,0))</f>
        <v>137.460607966</v>
      </c>
      <c r="AW8">
        <f>INDEX($B$22:$GQ$22,MATCH(48,$B$29:$GQ$29,0))</f>
        <v>15846.2651147</v>
      </c>
      <c r="AX8">
        <f>INDEX($B$22:$GQ$22,MATCH(49,$B$29:$GQ$29,0))</f>
        <v>16771.579081532</v>
      </c>
      <c r="AY8">
        <f>INDEX($B$22:$GQ$22,MATCH(50,$B$29:$GQ$29,0))</f>
        <v>13529.354277</v>
      </c>
      <c r="AZ8">
        <f>INDEX($B$22:$GQ$22,MATCH(51,$B$29:$GQ$29,0))</f>
        <v>30296.038247430999</v>
      </c>
      <c r="BA8">
        <f>INDEX($B$22:$GQ$22,MATCH(52,$B$29:$GQ$29,0))</f>
        <v>10186.75299786705</v>
      </c>
      <c r="BB8">
        <f>INDEX($B$22:$GQ$22,MATCH(53,$B$29:$GQ$29,0))</f>
        <v>8925.8146115100008</v>
      </c>
      <c r="BC8">
        <f>INDEX($B$22:$GQ$22,MATCH(54,$B$29:$GQ$29,0))</f>
        <v>1585.4834509899999</v>
      </c>
      <c r="BD8">
        <f>INDEX($B$22:$GQ$22,MATCH(55,$B$29:$GQ$29,0))</f>
        <v>0</v>
      </c>
      <c r="BE8">
        <f>INDEX($B$22:$GQ$22,MATCH(56,$B$29:$GQ$29,0))</f>
        <v>8796.4664476500002</v>
      </c>
      <c r="BF8">
        <f>INDEX($B$22:$GQ$22,MATCH(57,$B$29:$GQ$29,0))</f>
        <v>5484.6488585699999</v>
      </c>
      <c r="BG8">
        <f>INDEX($B$22:$GQ$22,MATCH(58,$B$29:$GQ$29,0))</f>
        <v>749.58537190106574</v>
      </c>
      <c r="BH8">
        <f>INDEX($B$22:$GQ$22,MATCH(59,$B$29:$GQ$29,0))</f>
        <v>1956.93538405</v>
      </c>
      <c r="BI8">
        <f>INDEX($B$22:$GQ$22,MATCH(60,$B$29:$GQ$29,0))</f>
        <v>3671.05667554</v>
      </c>
      <c r="BJ8">
        <f>INDEX($B$22:$GQ$22,MATCH(61,$B$29:$GQ$29,0))</f>
        <v>1377.8064414299999</v>
      </c>
      <c r="BK8">
        <f>INDEX($B$22:$GQ$22,MATCH(62,$B$29:$GQ$29,0))</f>
        <v>2869.1544762899998</v>
      </c>
      <c r="BL8">
        <f>INDEX($B$22:$GQ$22,MATCH(63,$B$29:$GQ$29,0))</f>
        <v>9886.4385954099998</v>
      </c>
      <c r="BM8">
        <f>INDEX($B$22:$GQ$22,MATCH(64,$B$29:$GQ$29,0))</f>
        <v>4983.7269113496177</v>
      </c>
      <c r="BN8">
        <f>INDEX($B$22:$GQ$22,MATCH(65,$B$29:$GQ$29,0))</f>
        <v>43.787168113900002</v>
      </c>
      <c r="BO8">
        <f>INDEX($B$22:$GQ$22,MATCH(66,$B$29:$GQ$29,0))</f>
        <v>26.83840954758</v>
      </c>
      <c r="BP8">
        <f>INDEX($B$22:$GQ$22,MATCH(67,$B$29:$GQ$29,0))</f>
        <v>1938.44845799</v>
      </c>
      <c r="BQ8">
        <f>INDEX($B$22:$GQ$22,MATCH(68,$B$29:$GQ$29,0))</f>
        <v>1908.1984372858201</v>
      </c>
      <c r="BR8">
        <f>INDEX($B$22:$GQ$22,MATCH(69,$B$29:$GQ$29,0))</f>
        <v>9539.4035679999997</v>
      </c>
      <c r="BS8">
        <f>INDEX($B$22:$GQ$22,MATCH(70,$B$29:$GQ$29,0))</f>
        <v>689.76229474199999</v>
      </c>
      <c r="BT8">
        <f>INDEX($B$22:$GQ$22,MATCH(71,$B$29:$GQ$29,0))</f>
        <v>1501.0289734744999</v>
      </c>
      <c r="BU8">
        <f>INDEX($B$22:$GQ$22,MATCH(72,$B$29:$GQ$29,0))</f>
        <v>5628.20353823</v>
      </c>
      <c r="BV8">
        <f>INDEX($B$22:$GQ$22,MATCH(73,$B$29:$GQ$29,0))</f>
        <v>710.2622544142647</v>
      </c>
      <c r="BW8">
        <f>INDEX($B$22:$GQ$22,MATCH(74,$B$29:$GQ$29,0))</f>
        <v>7198.7452669800005</v>
      </c>
      <c r="BX8">
        <f>INDEX($B$22:$GQ$22,MATCH(75,$B$29:$GQ$29,0))</f>
        <v>3328.271032657</v>
      </c>
      <c r="BY8">
        <f>INDEX($B$22:$GQ$22,MATCH(76,$B$29:$GQ$29,0))</f>
        <v>967.10634446200015</v>
      </c>
      <c r="BZ8">
        <f>INDEX($B$22:$GQ$22,MATCH(77,$B$29:$GQ$29,0))</f>
        <v>301.73270808747918</v>
      </c>
      <c r="CA8">
        <f>INDEX($B$22:$GQ$22,MATCH(78,$B$29:$GQ$29,0))</f>
        <v>1235.3526669582809</v>
      </c>
      <c r="CB8">
        <f>INDEX($B$22:$GQ$22,MATCH(79,$B$29:$GQ$29,0))</f>
        <v>2459.8227431700002</v>
      </c>
      <c r="CC8">
        <f>INDEX($B$22:$GQ$22,MATCH(80,$B$29:$GQ$29,0))</f>
        <v>769.05730232869996</v>
      </c>
      <c r="CD8">
        <f>INDEX($B$22:$GQ$22,MATCH(81,$B$29:$GQ$29,0))</f>
        <v>308.12175901199998</v>
      </c>
      <c r="CE8">
        <f>INDEX($B$22:$GQ$22,MATCH(82,$B$29:$GQ$29,0))</f>
        <v>7.5170467887461898</v>
      </c>
      <c r="CF8">
        <f>INDEX($B$22:$GQ$22,MATCH(83,$B$29:$GQ$29,0))</f>
        <v>1333.3558007900001</v>
      </c>
      <c r="CG8">
        <f>INDEX($B$22:$GQ$22,MATCH(84,$B$29:$GQ$29,0))</f>
        <v>160.53293276706461</v>
      </c>
      <c r="CH8">
        <f>INDEX($B$22:$GQ$22,MATCH(85,$B$29:$GQ$29,0))</f>
        <v>310.99962491299999</v>
      </c>
      <c r="CI8">
        <f>INDEX($B$22:$GQ$22,MATCH(86,$B$29:$GQ$29,0))</f>
        <v>949.25281436</v>
      </c>
      <c r="CJ8">
        <f>INDEX($B$22:$GQ$22,MATCH(87,$B$29:$GQ$29,0))</f>
        <v>919.98164076199998</v>
      </c>
      <c r="CK8">
        <f>INDEX($B$22:$GQ$22,MATCH(88,$B$29:$GQ$29,0))</f>
        <v>458.08197929454701</v>
      </c>
      <c r="CL8">
        <f>INDEX($B$22:$GQ$22,MATCH(89,$B$29:$GQ$29,0))</f>
        <v>804.795130685</v>
      </c>
      <c r="CM8">
        <f>INDEX($B$22:$GQ$22,MATCH(90,$B$29:$GQ$29,0))</f>
        <v>773.51984684800004</v>
      </c>
      <c r="CN8">
        <f>INDEX($B$22:$GQ$22,MATCH(91,$B$29:$GQ$29,0))</f>
        <v>767.06281134100004</v>
      </c>
      <c r="CO8">
        <f>INDEX($B$22:$GQ$22,MATCH(92,$B$29:$GQ$29,0))</f>
        <v>984.28394153700003</v>
      </c>
      <c r="CP8">
        <f>INDEX($B$22:$GQ$22,MATCH(93,$B$29:$GQ$29,0))</f>
        <v>438.23633378573538</v>
      </c>
      <c r="CQ8">
        <f>INDEX($B$22:$GQ$22,MATCH(94,$B$29:$GQ$29,0))</f>
        <v>472.33991311599999</v>
      </c>
      <c r="CR8">
        <f>INDEX($B$22:$GQ$22,MATCH(95,$B$29:$GQ$29,0))</f>
        <v>347.92681815999998</v>
      </c>
      <c r="CS8">
        <f>INDEX($B$22:$GQ$22,MATCH(96,$B$29:$GQ$29,0))</f>
        <v>460.33404258299998</v>
      </c>
      <c r="CT8">
        <f>INDEX($B$22:$GQ$22,MATCH(97,$B$29:$GQ$29,0))</f>
        <v>479.80123612099999</v>
      </c>
      <c r="CU8">
        <f>INDEX($B$22:$GQ$22,MATCH(98,$B$29:$GQ$29,0))</f>
        <v>332.70708407199999</v>
      </c>
      <c r="CV8">
        <f>INDEX($B$22:$GQ$22,MATCH(99,$B$29:$GQ$29,0))</f>
        <v>317.56515019599999</v>
      </c>
      <c r="CW8">
        <f>INDEX($B$22:$GQ$22,MATCH(100,$B$29:$GQ$29,0))</f>
        <v>43.24791175475945</v>
      </c>
      <c r="CX8">
        <f>INDEX($B$22:$GQ$22,MATCH(101,$B$29:$GQ$29,0))</f>
        <v>266.24321473499998</v>
      </c>
      <c r="CY8">
        <f>INDEX($B$22:$GQ$22,MATCH(102,$B$29:$GQ$29,0))</f>
        <v>488.06950732907501</v>
      </c>
      <c r="CZ8">
        <f>INDEX($B$22:$GQ$22,MATCH(103,$B$29:$GQ$29,0))</f>
        <v>213.02996467476001</v>
      </c>
      <c r="DA8">
        <f>INDEX($B$22:$GQ$22,MATCH(104,$B$29:$GQ$29,0))</f>
        <v>36.951677209631541</v>
      </c>
      <c r="DB8">
        <f>INDEX($B$22:$GQ$22,MATCH(105,$B$29:$GQ$29,0))</f>
        <v>0</v>
      </c>
      <c r="DC8">
        <f>INDEX($B$22:$GQ$22,MATCH(106,$B$29:$GQ$29,0))</f>
        <v>222.57871309000001</v>
      </c>
      <c r="DD8">
        <f>INDEX($B$22:$GQ$22,MATCH(107,$B$29:$GQ$29,0))</f>
        <v>192.22371685499999</v>
      </c>
      <c r="DE8">
        <f>INDEX($B$22:$GQ$22,MATCH(108,$B$29:$GQ$29,0))</f>
        <v>167.74187124900001</v>
      </c>
      <c r="DF8">
        <f>INDEX($B$22:$GQ$22,MATCH(109,$B$29:$GQ$29,0))</f>
        <v>8.0925708148400002</v>
      </c>
      <c r="DG8">
        <f>INDEX($B$22:$GQ$22,MATCH(110,$B$29:$GQ$29,0))</f>
        <v>84.577913012400003</v>
      </c>
      <c r="DH8">
        <f>INDEX($B$22:$GQ$22,MATCH(111,$B$29:$GQ$29,0))</f>
        <v>70.890308732400001</v>
      </c>
      <c r="DI8">
        <f>INDEX($B$22:$GQ$22,MATCH(112,$B$29:$GQ$29,0))</f>
        <v>70.537428166500007</v>
      </c>
      <c r="DJ8">
        <f>INDEX($B$22:$GQ$22,MATCH(113,$B$29:$GQ$29,0))</f>
        <v>50.515630950077558</v>
      </c>
      <c r="DK8">
        <f>INDEX($B$22:$GQ$22,MATCH(114,$B$29:$GQ$29,0))</f>
        <v>52.302272047400002</v>
      </c>
      <c r="DL8">
        <f>INDEX($B$22:$GQ$22,MATCH(115,$B$29:$GQ$29,0))</f>
        <v>0</v>
      </c>
      <c r="DM8">
        <f>INDEX($B$22:$GQ$22,MATCH(116,$B$29:$GQ$29,0))</f>
        <v>167.10322240432029</v>
      </c>
      <c r="DN8">
        <f>INDEX($B$22:$GQ$22,MATCH(117,$B$29:$GQ$29,0))</f>
        <v>2.1437064312718959</v>
      </c>
      <c r="DO8">
        <f>INDEX($B$22:$GQ$22,MATCH(118,$B$29:$GQ$29,0))</f>
        <v>11.36406994162234</v>
      </c>
      <c r="DP8">
        <f>INDEX($B$22:$GQ$22,MATCH(119,$B$29:$GQ$29,0))</f>
        <v>0</v>
      </c>
      <c r="DQ8">
        <f>INDEX($B$22:$GQ$22,MATCH(120,$B$29:$GQ$29,0))</f>
        <v>0</v>
      </c>
      <c r="DR8">
        <f>INDEX($B$22:$GQ$22,MATCH(121,$B$29:$GQ$29,0))</f>
        <v>1.8890696923700001</v>
      </c>
      <c r="DS8">
        <f>INDEX($B$22:$GQ$22,MATCH(122,$B$29:$GQ$29,0))</f>
        <v>7.7309901311899996</v>
      </c>
      <c r="DT8">
        <f>INDEX($B$22:$GQ$22,MATCH(123,$B$29:$GQ$29,0))</f>
        <v>11.094501610822441</v>
      </c>
      <c r="DU8">
        <f>INDEX($B$22:$GQ$22,MATCH(124,$B$29:$GQ$29,0))</f>
        <v>0.46723417790522082</v>
      </c>
      <c r="DV8">
        <f>INDEX($B$22:$GQ$22,MATCH(125,$B$29:$GQ$29,0))</f>
        <v>6.1009405066999998</v>
      </c>
      <c r="DW8">
        <f>INDEX($B$22:$GQ$22,MATCH(126,$B$29:$GQ$29,0))</f>
        <v>0</v>
      </c>
      <c r="DX8">
        <f>INDEX($B$22:$GQ$22,MATCH(127,$B$29:$GQ$29,0))</f>
        <v>0</v>
      </c>
      <c r="DY8">
        <f>INDEX($B$22:$GQ$22,MATCH(128,$B$29:$GQ$29,0))</f>
        <v>0.26654030710377918</v>
      </c>
      <c r="DZ8">
        <f>INDEX($B$22:$GQ$22,MATCH(129,$B$29:$GQ$29,0))</f>
        <v>0.72930991165692571</v>
      </c>
      <c r="EA8">
        <f>INDEX($B$22:$GQ$22,MATCH(130,$B$29:$GQ$29,0))</f>
        <v>0.14561557168100001</v>
      </c>
      <c r="EB8">
        <f>INDEX($B$22:$GQ$22,MATCH(131,$B$29:$GQ$29,0))</f>
        <v>0</v>
      </c>
      <c r="EC8">
        <f>INDEX($B$22:$GQ$22,MATCH(132,$B$29:$GQ$29,0))</f>
        <v>4.0624645841598698E-3</v>
      </c>
      <c r="ED8">
        <f>INDEX($B$22:$GQ$22,MATCH(133,$B$29:$GQ$29,0))</f>
        <v>1.8210031991701299E-3</v>
      </c>
      <c r="EE8">
        <f>INDEX($B$22:$GQ$22,MATCH(134,$B$29:$GQ$29,0))</f>
        <v>0</v>
      </c>
      <c r="EF8">
        <f>INDEX($B$22:$GQ$22,MATCH(135,$B$29:$GQ$29,0))</f>
        <v>0</v>
      </c>
      <c r="EG8">
        <f>INDEX($B$22:$GQ$22,MATCH(136,$B$29:$GQ$29,0))</f>
        <v>0</v>
      </c>
      <c r="EH8">
        <f>INDEX($B$22:$GQ$22,MATCH(137,$B$29:$GQ$29,0))</f>
        <v>0</v>
      </c>
      <c r="EI8">
        <f>INDEX($B$22:$GQ$22,MATCH(138,$B$29:$GQ$29,0))</f>
        <v>0</v>
      </c>
      <c r="EJ8">
        <f>INDEX($B$22:$GQ$22,MATCH(139,$B$29:$GQ$29,0))</f>
        <v>0</v>
      </c>
      <c r="EK8">
        <f>INDEX($B$22:$GQ$22,MATCH(140,$B$29:$GQ$29,0))</f>
        <v>0</v>
      </c>
      <c r="EL8">
        <f>INDEX($B$22:$GQ$22,MATCH(141,$B$29:$GQ$29,0))</f>
        <v>0</v>
      </c>
      <c r="EM8">
        <f>INDEX($B$22:$GQ$22,MATCH(142,$B$29:$GQ$29,0))</f>
        <v>0</v>
      </c>
      <c r="EN8">
        <f>INDEX($B$22:$GQ$22,MATCH(143,$B$29:$GQ$29,0))</f>
        <v>0</v>
      </c>
      <c r="EO8">
        <f>INDEX($B$22:$GQ$22,MATCH(144,$B$29:$GQ$29,0))</f>
        <v>0</v>
      </c>
      <c r="EP8">
        <f>INDEX($B$22:$GQ$22,MATCH(145,$B$29:$GQ$29,0))</f>
        <v>0</v>
      </c>
      <c r="EQ8">
        <f>INDEX($B$22:$GQ$22,MATCH(146,$B$29:$GQ$29,0))</f>
        <v>0</v>
      </c>
      <c r="ER8">
        <f>INDEX($B$22:$GQ$22,MATCH(147,$B$29:$GQ$29,0))</f>
        <v>0</v>
      </c>
      <c r="ES8">
        <f>INDEX($B$22:$GQ$22,MATCH(148,$B$29:$GQ$29,0))</f>
        <v>0</v>
      </c>
      <c r="ET8">
        <f>INDEX($B$22:$GQ$22,MATCH(149,$B$29:$GQ$29,0))</f>
        <v>0</v>
      </c>
      <c r="EU8">
        <f>INDEX($B$22:$GQ$22,MATCH(150,$B$29:$GQ$29,0))</f>
        <v>0</v>
      </c>
      <c r="EV8">
        <f>INDEX($B$22:$GQ$22,MATCH(151,$B$29:$GQ$29,0))</f>
        <v>0</v>
      </c>
      <c r="EW8">
        <f>INDEX($B$22:$GQ$22,MATCH(152,$B$29:$GQ$29,0))</f>
        <v>0</v>
      </c>
      <c r="EX8">
        <f>INDEX($B$22:$GQ$22,MATCH(153,$B$29:$GQ$29,0))</f>
        <v>0</v>
      </c>
      <c r="EY8">
        <f>INDEX($B$22:$GQ$22,MATCH(154,$B$29:$GQ$29,0))</f>
        <v>0</v>
      </c>
      <c r="EZ8">
        <f>INDEX($B$22:$GQ$22,MATCH(155,$B$29:$GQ$29,0))</f>
        <v>0</v>
      </c>
      <c r="FA8">
        <f>INDEX($B$22:$GQ$22,MATCH(156,$B$29:$GQ$29,0))</f>
        <v>0</v>
      </c>
      <c r="FB8">
        <f>INDEX($B$22:$GQ$22,MATCH(157,$B$29:$GQ$29,0))</f>
        <v>0</v>
      </c>
      <c r="FC8">
        <f>INDEX($B$22:$GQ$22,MATCH(158,$B$29:$GQ$29,0))</f>
        <v>0</v>
      </c>
      <c r="FD8">
        <f>INDEX($B$22:$GQ$22,MATCH(159,$B$29:$GQ$29,0))</f>
        <v>0</v>
      </c>
      <c r="FE8">
        <f>INDEX($B$22:$GQ$22,MATCH(160,$B$29:$GQ$29,0))</f>
        <v>0</v>
      </c>
      <c r="FF8">
        <f>INDEX($B$22:$GQ$22,MATCH(161,$B$29:$GQ$29,0))</f>
        <v>0</v>
      </c>
      <c r="FG8">
        <f>INDEX($B$22:$GQ$22,MATCH(162,$B$29:$GQ$29,0))</f>
        <v>0</v>
      </c>
      <c r="FH8">
        <f>INDEX($B$22:$GQ$22,MATCH(163,$B$29:$GQ$29,0))</f>
        <v>0</v>
      </c>
      <c r="FI8">
        <f>INDEX($B$22:$GQ$22,MATCH(164,$B$29:$GQ$29,0))</f>
        <v>0</v>
      </c>
      <c r="FJ8">
        <f>INDEX($B$22:$GQ$22,MATCH(165,$B$29:$GQ$29,0))</f>
        <v>0</v>
      </c>
      <c r="FK8">
        <f>INDEX($B$22:$GQ$22,MATCH(166,$B$29:$GQ$29,0))</f>
        <v>0</v>
      </c>
      <c r="FL8">
        <f>INDEX($B$22:$GQ$22,MATCH(167,$B$29:$GQ$29,0))</f>
        <v>0</v>
      </c>
      <c r="FM8">
        <f>INDEX($B$22:$GQ$22,MATCH(168,$B$29:$GQ$29,0))</f>
        <v>0</v>
      </c>
      <c r="FN8">
        <f>INDEX($B$22:$GQ$22,MATCH(169,$B$29:$GQ$29,0))</f>
        <v>0</v>
      </c>
      <c r="FO8">
        <f>INDEX($B$22:$GQ$22,MATCH(170,$B$29:$GQ$29,0))</f>
        <v>0</v>
      </c>
      <c r="FP8">
        <f>INDEX($B$22:$GQ$22,MATCH(171,$B$29:$GQ$29,0))</f>
        <v>0</v>
      </c>
      <c r="FQ8">
        <f>INDEX($B$22:$GQ$22,MATCH(172,$B$29:$GQ$29,0))</f>
        <v>0</v>
      </c>
      <c r="FR8">
        <f>INDEX($B$22:$GQ$22,MATCH(173,$B$29:$GQ$29,0))</f>
        <v>0</v>
      </c>
      <c r="FS8">
        <f>INDEX($B$22:$GQ$22,MATCH(174,$B$29:$GQ$29,0))</f>
        <v>0</v>
      </c>
      <c r="FT8">
        <f>INDEX($B$22:$GQ$22,MATCH(175,$B$29:$GQ$29,0))</f>
        <v>0</v>
      </c>
      <c r="FU8">
        <f>INDEX($B$22:$GQ$22,MATCH(176,$B$29:$GQ$29,0))</f>
        <v>0</v>
      </c>
      <c r="FV8">
        <f>INDEX($B$22:$GQ$22,MATCH(177,$B$29:$GQ$29,0))</f>
        <v>0</v>
      </c>
      <c r="FW8">
        <f>INDEX($B$22:$GQ$22,MATCH(178,$B$29:$GQ$29,0))</f>
        <v>0</v>
      </c>
      <c r="FX8">
        <f>INDEX($B$22:$GQ$22,MATCH(179,$B$29:$GQ$29,0))</f>
        <v>0</v>
      </c>
      <c r="FY8">
        <f>INDEX($B$22:$GQ$22,MATCH(180,$B$29:$GQ$29,0))</f>
        <v>0</v>
      </c>
      <c r="FZ8">
        <f>INDEX($B$22:$GQ$22,MATCH(181,$B$29:$GQ$29,0))</f>
        <v>0</v>
      </c>
      <c r="GA8">
        <f>INDEX($B$22:$GQ$22,MATCH(182,$B$29:$GQ$29,0))</f>
        <v>0</v>
      </c>
      <c r="GB8">
        <f>INDEX($B$22:$GQ$22,MATCH(183,$B$29:$GQ$29,0))</f>
        <v>0</v>
      </c>
      <c r="GC8">
        <f>INDEX($B$22:$GQ$22,MATCH(184,$B$29:$GQ$29,0))</f>
        <v>0</v>
      </c>
      <c r="GD8">
        <f>INDEX($B$22:$GQ$22,MATCH(185,$B$29:$GQ$29,0))</f>
        <v>0</v>
      </c>
      <c r="GE8">
        <f>INDEX($B$22:$GQ$22,MATCH(186,$B$29:$GQ$29,0))</f>
        <v>0</v>
      </c>
      <c r="GF8">
        <f>INDEX($B$22:$GQ$22,MATCH(187,$B$29:$GQ$29,0))</f>
        <v>0</v>
      </c>
      <c r="GG8">
        <f>INDEX($B$22:$GQ$22,MATCH(188,$B$29:$GQ$29,0))</f>
        <v>0</v>
      </c>
      <c r="GH8">
        <f>INDEX($B$22:$GQ$22,MATCH(189,$B$29:$GQ$29,0))</f>
        <v>0</v>
      </c>
      <c r="GI8">
        <f>INDEX($B$22:$GQ$22,MATCH(190,$B$29:$GQ$29,0))</f>
        <v>0</v>
      </c>
      <c r="GJ8">
        <f>INDEX($B$22:$GQ$22,MATCH(191,$B$29:$GQ$29,0))</f>
        <v>0</v>
      </c>
      <c r="GK8">
        <f>INDEX($B$22:$GQ$22,MATCH(192,$B$29:$GQ$29,0))</f>
        <v>0</v>
      </c>
      <c r="GL8">
        <f>INDEX($B$22:$GQ$22,MATCH(193,$B$29:$GQ$29,0))</f>
        <v>0</v>
      </c>
      <c r="GM8">
        <f>INDEX($B$22:$GQ$22,MATCH(194,$B$29:$GQ$29,0))</f>
        <v>0</v>
      </c>
      <c r="GN8">
        <f>INDEX($B$22:$GQ$22,MATCH(195,$B$29:$GQ$29,0))</f>
        <v>0</v>
      </c>
      <c r="GO8">
        <f>INDEX($B$22:$GQ$22,MATCH(196,$B$29:$GQ$29,0))</f>
        <v>0</v>
      </c>
      <c r="GP8">
        <f>INDEX($B$22:$GQ$22,MATCH(197,$B$29:$GQ$29,0))</f>
        <v>0</v>
      </c>
      <c r="GQ8">
        <f>INDEX($B$22:$GQ$22,MATCH(198,$B$29:$GQ$29,0))</f>
        <v>0</v>
      </c>
      <c r="GR8">
        <f>INDEX($GR$22:$HC$22,MATCH(1,$GR$30:$HC$30,0))</f>
        <v>35754.451946233312</v>
      </c>
      <c r="GS8">
        <f>INDEX($GR$22:$HC$22,MATCH(2,$GR$30:$HC$30,0))</f>
        <v>10307.068231872499</v>
      </c>
      <c r="GT8">
        <f>INDEX($GR$22:$HC$22,MATCH(3,$GR$30:$HC$30,0))</f>
        <v>31083.776765543069</v>
      </c>
      <c r="GU8">
        <f>INDEX($GR$22:$HC$22,MATCH(4,$GR$30:$HC$30,0))</f>
        <v>879887.65012239758</v>
      </c>
      <c r="GV8">
        <f>INDEX($GR$22:$HC$22,MATCH(5,$GR$30:$HC$30,0))</f>
        <v>5050.4413716326299</v>
      </c>
      <c r="GW8">
        <f>INDEX($GR$22:$HC$22,MATCH(6,$GR$30:$HC$30,0))</f>
        <v>83954.164852629998</v>
      </c>
      <c r="GX8">
        <f>INDEX($GR$22:$HC$22,MATCH(7,$GR$30:$HC$30,0))</f>
        <v>8862.9789436519168</v>
      </c>
      <c r="GY8">
        <f>INDEX($GR$22:$HC$22,MATCH(8,$GR$30:$HC$30,0))</f>
        <v>8625.6836483218303</v>
      </c>
      <c r="GZ8">
        <f>INDEX($GR$22:$HC$22,MATCH(9,$GR$30:$HC$30,0))</f>
        <v>348068.80637080298</v>
      </c>
      <c r="HA8">
        <f>INDEX($GR$22:$HC$22,MATCH(10,$GR$30:$HC$30,0))</f>
        <v>115961.4466882009</v>
      </c>
      <c r="HB8">
        <f>INDEX($GR$22:$HC$22,MATCH(11,$GR$30:$HC$30,0))</f>
        <v>5617.0054188691001</v>
      </c>
      <c r="HC8">
        <f>INDEX($GR$22:$HC$22,MATCH(12,$GR$30:$HC$30,0))</f>
        <v>76311.734081727249</v>
      </c>
    </row>
    <row r="9" spans="1:211" x14ac:dyDescent="0.45">
      <c r="A9" s="1" t="s">
        <v>8</v>
      </c>
      <c r="B9">
        <f>INDEX($B$23:$GQ$23,MATCH(1,$B$29:$GQ$29,0))</f>
        <v>7158.0398691101555</v>
      </c>
      <c r="C9">
        <f>INDEX($B$23:$GQ$23,MATCH(2,$B$29:$GQ$29,0))</f>
        <v>820.78303145789425</v>
      </c>
      <c r="D9">
        <f>INDEX($B$23:$GQ$23,MATCH(3,$B$29:$GQ$29,0))</f>
        <v>126.0151564468952</v>
      </c>
      <c r="E9">
        <f>INDEX($B$23:$GQ$23,MATCH(4,$B$29:$GQ$29,0))</f>
        <v>5763.5041297360749</v>
      </c>
      <c r="F9">
        <f>INDEX($B$23:$GQ$23,MATCH(5,$B$29:$GQ$29,0))</f>
        <v>1039.908178888362</v>
      </c>
      <c r="G9">
        <f>INDEX($B$23:$GQ$23,MATCH(6,$B$29:$GQ$29,0))</f>
        <v>3902.8109160098438</v>
      </c>
      <c r="H9">
        <f>INDEX($B$23:$GQ$23,MATCH(7,$B$29:$GQ$29,0))</f>
        <v>1457.679403432325</v>
      </c>
      <c r="I9">
        <f>INDEX($B$23:$GQ$23,MATCH(8,$B$29:$GQ$29,0))</f>
        <v>26.062574020783281</v>
      </c>
      <c r="J9">
        <f>INDEX($B$23:$GQ$23,MATCH(9,$B$29:$GQ$29,0))</f>
        <v>1209.1093886750491</v>
      </c>
      <c r="K9">
        <f>INDEX($B$23:$GQ$23,MATCH(10,$B$29:$GQ$29,0))</f>
        <v>3507.4175196116471</v>
      </c>
      <c r="L9">
        <f>INDEX($B$23:$GQ$23,MATCH(11,$B$29:$GQ$29,0))</f>
        <v>1736.6335529751</v>
      </c>
      <c r="M9">
        <f>INDEX($B$23:$GQ$23,MATCH(12,$B$29:$GQ$29,0))</f>
        <v>3246.5908505443272</v>
      </c>
      <c r="N9">
        <f>INDEX($B$23:$GQ$23,MATCH(13,$B$29:$GQ$29,0))</f>
        <v>974.10574467063407</v>
      </c>
      <c r="O9">
        <f>INDEX($B$23:$GQ$23,MATCH(14,$B$29:$GQ$29,0))</f>
        <v>3018.78023555655</v>
      </c>
      <c r="P9">
        <f>INDEX($B$23:$GQ$23,MATCH(15,$B$29:$GQ$29,0))</f>
        <v>2148.3351724371059</v>
      </c>
      <c r="Q9">
        <f>INDEX($B$23:$GQ$23,MATCH(16,$B$29:$GQ$29,0))</f>
        <v>1920.724725887567</v>
      </c>
      <c r="R9">
        <f>INDEX($B$23:$GQ$23,MATCH(17,$B$29:$GQ$29,0))</f>
        <v>1602.3082963281679</v>
      </c>
      <c r="S9">
        <f>INDEX($B$23:$GQ$23,MATCH(18,$B$29:$GQ$29,0))</f>
        <v>613.65452665030659</v>
      </c>
      <c r="T9">
        <f>INDEX($B$23:$GQ$23,MATCH(19,$B$29:$GQ$29,0))</f>
        <v>103.8040855453783</v>
      </c>
      <c r="U9">
        <f>INDEX($B$23:$GQ$23,MATCH(20,$B$29:$GQ$29,0))</f>
        <v>403.8576493932004</v>
      </c>
      <c r="V9">
        <f>INDEX($B$23:$GQ$23,MATCH(21,$B$29:$GQ$29,0))</f>
        <v>0</v>
      </c>
      <c r="W9">
        <f>INDEX($B$23:$GQ$23,MATCH(22,$B$29:$GQ$29,0))</f>
        <v>7.597726448637883</v>
      </c>
      <c r="X9">
        <f>INDEX($B$23:$GQ$23,MATCH(23,$B$29:$GQ$29,0))</f>
        <v>684.22594687161597</v>
      </c>
      <c r="Y9">
        <f>INDEX($B$23:$GQ$23,MATCH(24,$B$29:$GQ$29,0))</f>
        <v>270.274440608715</v>
      </c>
      <c r="Z9">
        <f>INDEX($B$23:$GQ$23,MATCH(25,$B$29:$GQ$29,0))</f>
        <v>454.50624565309761</v>
      </c>
      <c r="AA9">
        <f>INDEX($B$23:$GQ$23,MATCH(26,$B$29:$GQ$29,0))</f>
        <v>123.8350651005621</v>
      </c>
      <c r="AB9">
        <f>INDEX($B$23:$GQ$23,MATCH(27,$B$29:$GQ$29,0))</f>
        <v>505.69682422684889</v>
      </c>
      <c r="AC9">
        <f>INDEX($B$23:$GQ$23,MATCH(28,$B$29:$GQ$29,0))</f>
        <v>178.48028424199029</v>
      </c>
      <c r="AD9">
        <f>INDEX($B$23:$GQ$23,MATCH(29,$B$29:$GQ$29,0))</f>
        <v>22.825857115576611</v>
      </c>
      <c r="AE9">
        <f>INDEX($B$23:$GQ$23,MATCH(30,$B$29:$GQ$29,0))</f>
        <v>461.2737391899218</v>
      </c>
      <c r="AF9">
        <f>INDEX($B$23:$GQ$23,MATCH(31,$B$29:$GQ$29,0))</f>
        <v>49.236504683742091</v>
      </c>
      <c r="AG9">
        <f>INDEX($B$23:$GQ$23,MATCH(32,$B$29:$GQ$29,0))</f>
        <v>516.16625320701337</v>
      </c>
      <c r="AH9">
        <f>INDEX($B$23:$GQ$23,MATCH(33,$B$29:$GQ$29,0))</f>
        <v>585.80677592478355</v>
      </c>
      <c r="AI9">
        <f>INDEX($B$23:$GQ$23,MATCH(34,$B$29:$GQ$29,0))</f>
        <v>469.45447146847818</v>
      </c>
      <c r="AJ9">
        <f>INDEX($B$23:$GQ$23,MATCH(35,$B$29:$GQ$29,0))</f>
        <v>480.04853474092289</v>
      </c>
      <c r="AK9">
        <f>INDEX($B$23:$GQ$23,MATCH(36,$B$29:$GQ$29,0))</f>
        <v>527.94169766421589</v>
      </c>
      <c r="AL9">
        <f>INDEX($B$23:$GQ$23,MATCH(37,$B$29:$GQ$29,0))</f>
        <v>6.0685756220304761</v>
      </c>
      <c r="AM9">
        <f>INDEX($B$23:$GQ$23,MATCH(38,$B$29:$GQ$29,0))</f>
        <v>327.76289638982371</v>
      </c>
      <c r="AN9">
        <f>INDEX($B$23:$GQ$23,MATCH(39,$B$29:$GQ$29,0))</f>
        <v>2.6890924446496118</v>
      </c>
      <c r="AO9">
        <f>INDEX($B$23:$GQ$23,MATCH(40,$B$29:$GQ$29,0))</f>
        <v>336.67342811586622</v>
      </c>
      <c r="AP9">
        <f>INDEX($B$23:$GQ$23,MATCH(41,$B$29:$GQ$29,0))</f>
        <v>5.0232910997580289</v>
      </c>
      <c r="AQ9">
        <f>INDEX($B$23:$GQ$23,MATCH(42,$B$29:$GQ$29,0))</f>
        <v>377.59128165533599</v>
      </c>
      <c r="AR9">
        <f>INDEX($B$23:$GQ$23,MATCH(43,$B$29:$GQ$29,0))</f>
        <v>43.854011146789361</v>
      </c>
      <c r="AS9">
        <f>INDEX($B$23:$GQ$23,MATCH(44,$B$29:$GQ$29,0))</f>
        <v>5.4080706747543692</v>
      </c>
      <c r="AT9">
        <f>INDEX($B$23:$GQ$23,MATCH(45,$B$29:$GQ$29,0))</f>
        <v>75.941965664059651</v>
      </c>
      <c r="AU9">
        <f>INDEX($B$23:$GQ$23,MATCH(46,$B$29:$GQ$29,0))</f>
        <v>98.302024013389797</v>
      </c>
      <c r="AV9">
        <f>INDEX($B$23:$GQ$23,MATCH(47,$B$29:$GQ$29,0))</f>
        <v>47.916374373206096</v>
      </c>
      <c r="AW9">
        <f>INDEX($B$23:$GQ$23,MATCH(48,$B$29:$GQ$29,0))</f>
        <v>239.00936581859949</v>
      </c>
      <c r="AX9">
        <f>INDEX($B$23:$GQ$23,MATCH(49,$B$29:$GQ$29,0))</f>
        <v>252.2036855255088</v>
      </c>
      <c r="AY9">
        <f>INDEX($B$23:$GQ$23,MATCH(50,$B$29:$GQ$29,0))</f>
        <v>205.90005649103901</v>
      </c>
      <c r="AZ9">
        <f>INDEX($B$23:$GQ$23,MATCH(51,$B$29:$GQ$29,0))</f>
        <v>198.89086710360789</v>
      </c>
      <c r="BA9">
        <f>INDEX($B$23:$GQ$23,MATCH(52,$B$29:$GQ$29,0))</f>
        <v>179.10374331083449</v>
      </c>
      <c r="BB9">
        <f>INDEX($B$23:$GQ$23,MATCH(53,$B$29:$GQ$29,0))</f>
        <v>181.96652835770169</v>
      </c>
      <c r="BC9">
        <f>INDEX($B$23:$GQ$23,MATCH(54,$B$29:$GQ$29,0))</f>
        <v>79.418893068177923</v>
      </c>
      <c r="BD9">
        <f>INDEX($B$23:$GQ$23,MATCH(55,$B$29:$GQ$29,0))</f>
        <v>0</v>
      </c>
      <c r="BE9">
        <f>INDEX($B$23:$GQ$23,MATCH(56,$B$29:$GQ$29,0))</f>
        <v>157.47954272312089</v>
      </c>
      <c r="BF9">
        <f>INDEX($B$23:$GQ$23,MATCH(57,$B$29:$GQ$29,0))</f>
        <v>101.2238668508205</v>
      </c>
      <c r="BG9">
        <f>INDEX($B$23:$GQ$23,MATCH(58,$B$29:$GQ$29,0))</f>
        <v>121.927892442554</v>
      </c>
      <c r="BH9">
        <f>INDEX($B$23:$GQ$23,MATCH(59,$B$29:$GQ$29,0))</f>
        <v>42.405036689326472</v>
      </c>
      <c r="BI9">
        <f>INDEX($B$23:$GQ$23,MATCH(60,$B$29:$GQ$29,0))</f>
        <v>72.174374188069933</v>
      </c>
      <c r="BJ9">
        <f>INDEX($B$23:$GQ$23,MATCH(61,$B$29:$GQ$29,0))</f>
        <v>128.28890789405449</v>
      </c>
      <c r="BK9">
        <f>INDEX($B$23:$GQ$23,MATCH(62,$B$29:$GQ$29,0))</f>
        <v>47.706228271359969</v>
      </c>
      <c r="BL9">
        <f>INDEX($B$23:$GQ$23,MATCH(63,$B$29:$GQ$29,0))</f>
        <v>91.164297305652312</v>
      </c>
      <c r="BM9">
        <f>INDEX($B$23:$GQ$23,MATCH(64,$B$29:$GQ$29,0))</f>
        <v>59.740894722308639</v>
      </c>
      <c r="BN9">
        <f>INDEX($B$23:$GQ$23,MATCH(65,$B$29:$GQ$29,0))</f>
        <v>0.89160066822055595</v>
      </c>
      <c r="BO9">
        <f>INDEX($B$23:$GQ$23,MATCH(66,$B$29:$GQ$29,0))</f>
        <v>0.74166288052941198</v>
      </c>
      <c r="BP9">
        <f>INDEX($B$23:$GQ$23,MATCH(67,$B$29:$GQ$29,0))</f>
        <v>38.30805624861911</v>
      </c>
      <c r="BQ9">
        <f>INDEX($B$23:$GQ$23,MATCH(68,$B$29:$GQ$29,0))</f>
        <v>68.624249173610778</v>
      </c>
      <c r="BR9">
        <f>INDEX($B$23:$GQ$23,MATCH(69,$B$29:$GQ$29,0))</f>
        <v>89.719179193164578</v>
      </c>
      <c r="BS9">
        <f>INDEX($B$23:$GQ$23,MATCH(70,$B$29:$GQ$29,0))</f>
        <v>17.98983972453965</v>
      </c>
      <c r="BT9">
        <f>INDEX($B$23:$GQ$23,MATCH(71,$B$29:$GQ$29,0))</f>
        <v>30.55879105912355</v>
      </c>
      <c r="BU9">
        <f>INDEX($B$23:$GQ$23,MATCH(72,$B$29:$GQ$29,0))</f>
        <v>76.259668028827321</v>
      </c>
      <c r="BV9">
        <f>INDEX($B$23:$GQ$23,MATCH(73,$B$29:$GQ$29,0))</f>
        <v>18.28877872207207</v>
      </c>
      <c r="BW9">
        <f>INDEX($B$23:$GQ$23,MATCH(74,$B$29:$GQ$29,0))</f>
        <v>72.342399526580948</v>
      </c>
      <c r="BX9">
        <f>INDEX($B$23:$GQ$23,MATCH(75,$B$29:$GQ$29,0))</f>
        <v>53.61209632463342</v>
      </c>
      <c r="BY9">
        <f>INDEX($B$23:$GQ$23,MATCH(76,$B$29:$GQ$29,0))</f>
        <v>24.542177030423389</v>
      </c>
      <c r="BZ9">
        <f>INDEX($B$23:$GQ$23,MATCH(77,$B$29:$GQ$29,0))</f>
        <v>7.7923905425319342</v>
      </c>
      <c r="CA9">
        <f>INDEX($B$23:$GQ$23,MATCH(78,$B$29:$GQ$29,0))</f>
        <v>27.4707348830459</v>
      </c>
      <c r="CB9">
        <f>INDEX($B$23:$GQ$23,MATCH(79,$B$29:$GQ$29,0))</f>
        <v>24.53853919433217</v>
      </c>
      <c r="CC9">
        <f>INDEX($B$23:$GQ$23,MATCH(80,$B$29:$GQ$29,0))</f>
        <v>17.567374331615309</v>
      </c>
      <c r="CD9">
        <f>INDEX($B$23:$GQ$23,MATCH(81,$B$29:$GQ$29,0))</f>
        <v>22.717113234237502</v>
      </c>
      <c r="CE9">
        <f>INDEX($B$23:$GQ$23,MATCH(82,$B$29:$GQ$29,0))</f>
        <v>7.5270961331923028</v>
      </c>
      <c r="CF9">
        <f>INDEX($B$23:$GQ$23,MATCH(83,$B$29:$GQ$29,0))</f>
        <v>18.213631599600511</v>
      </c>
      <c r="CG9">
        <f>INDEX($B$23:$GQ$23,MATCH(84,$B$29:$GQ$29,0))</f>
        <v>19.749992646856189</v>
      </c>
      <c r="CH9">
        <f>INDEX($B$23:$GQ$23,MATCH(85,$B$29:$GQ$29,0))</f>
        <v>6.643709070402541</v>
      </c>
      <c r="CI9">
        <f>INDEX($B$23:$GQ$23,MATCH(86,$B$29:$GQ$29,0))</f>
        <v>13.352631903458541</v>
      </c>
      <c r="CJ9">
        <f>INDEX($B$23:$GQ$23,MATCH(87,$B$29:$GQ$29,0))</f>
        <v>12.27818836113479</v>
      </c>
      <c r="CK9">
        <f>INDEX($B$23:$GQ$23,MATCH(88,$B$29:$GQ$29,0))</f>
        <v>10.90259869640121</v>
      </c>
      <c r="CL9">
        <f>INDEX($B$23:$GQ$23,MATCH(89,$B$29:$GQ$29,0))</f>
        <v>11.180924696006789</v>
      </c>
      <c r="CM9">
        <f>INDEX($B$23:$GQ$23,MATCH(90,$B$29:$GQ$29,0))</f>
        <v>11.30898272861312</v>
      </c>
      <c r="CN9">
        <f>INDEX($B$23:$GQ$23,MATCH(91,$B$29:$GQ$29,0))</f>
        <v>10.550334487593769</v>
      </c>
      <c r="CO9">
        <f>INDEX($B$23:$GQ$23,MATCH(92,$B$29:$GQ$29,0))</f>
        <v>8.3691012369187394</v>
      </c>
      <c r="CP9">
        <f>INDEX($B$23:$GQ$23,MATCH(93,$B$29:$GQ$29,0))</f>
        <v>8.8536509307865146</v>
      </c>
      <c r="CQ9">
        <f>INDEX($B$23:$GQ$23,MATCH(94,$B$29:$GQ$29,0))</f>
        <v>8.1344563501298595</v>
      </c>
      <c r="CR9">
        <f>INDEX($B$23:$GQ$23,MATCH(95,$B$29:$GQ$29,0))</f>
        <v>7.1319835008066654</v>
      </c>
      <c r="CS9">
        <f>INDEX($B$23:$GQ$23,MATCH(96,$B$29:$GQ$29,0))</f>
        <v>7.598597266765057</v>
      </c>
      <c r="CT9">
        <f>INDEX($B$23:$GQ$23,MATCH(97,$B$29:$GQ$29,0))</f>
        <v>6.6482703966698997</v>
      </c>
      <c r="CU9">
        <f>INDEX($B$23:$GQ$23,MATCH(98,$B$29:$GQ$29,0))</f>
        <v>5.1059689253357261</v>
      </c>
      <c r="CV9">
        <f>INDEX($B$23:$GQ$23,MATCH(99,$B$29:$GQ$29,0))</f>
        <v>5.1047475229470241</v>
      </c>
      <c r="CW9">
        <f>INDEX($B$23:$GQ$23,MATCH(100,$B$29:$GQ$29,0))</f>
        <v>1.101857001552589</v>
      </c>
      <c r="CX9">
        <f>INDEX($B$23:$GQ$23,MATCH(101,$B$29:$GQ$29,0))</f>
        <v>4.4458387712282894</v>
      </c>
      <c r="CY9">
        <f>INDEX($B$23:$GQ$23,MATCH(102,$B$29:$GQ$29,0))</f>
        <v>4.5091245508685329</v>
      </c>
      <c r="CZ9">
        <f>INDEX($B$23:$GQ$23,MATCH(103,$B$29:$GQ$29,0))</f>
        <v>3.9129307808106528</v>
      </c>
      <c r="DA9">
        <f>INDEX($B$23:$GQ$23,MATCH(104,$B$29:$GQ$29,0))</f>
        <v>3.705294693790234</v>
      </c>
      <c r="DB9">
        <f>INDEX($B$23:$GQ$23,MATCH(105,$B$29:$GQ$29,0))</f>
        <v>0</v>
      </c>
      <c r="DC9">
        <f>INDEX($B$23:$GQ$23,MATCH(106,$B$29:$GQ$29,0))</f>
        <v>3.175134150729551</v>
      </c>
      <c r="DD9">
        <f>INDEX($B$23:$GQ$23,MATCH(107,$B$29:$GQ$29,0))</f>
        <v>2.8159298628979501</v>
      </c>
      <c r="DE9">
        <f>INDEX($B$23:$GQ$23,MATCH(108,$B$29:$GQ$29,0))</f>
        <v>2.3222468456321228</v>
      </c>
      <c r="DF9">
        <f>INDEX($B$23:$GQ$23,MATCH(109,$B$29:$GQ$29,0))</f>
        <v>0.1067819645651748</v>
      </c>
      <c r="DG9">
        <f>INDEX($B$23:$GQ$23,MATCH(110,$B$29:$GQ$29,0))</f>
        <v>1.619953240858397</v>
      </c>
      <c r="DH9">
        <f>INDEX($B$23:$GQ$23,MATCH(111,$B$29:$GQ$29,0))</f>
        <v>1.1214677695814259</v>
      </c>
      <c r="DI9">
        <f>INDEX($B$23:$GQ$23,MATCH(112,$B$29:$GQ$29,0))</f>
        <v>0.90323015293529596</v>
      </c>
      <c r="DJ9">
        <f>INDEX($B$23:$GQ$23,MATCH(113,$B$29:$GQ$29,0))</f>
        <v>0.85871626729473149</v>
      </c>
      <c r="DK9">
        <f>INDEX($B$23:$GQ$23,MATCH(114,$B$29:$GQ$29,0))</f>
        <v>0.86673126340660289</v>
      </c>
      <c r="DL9">
        <f>INDEX($B$23:$GQ$23,MATCH(115,$B$29:$GQ$29,0))</f>
        <v>0</v>
      </c>
      <c r="DM9">
        <f>INDEX($B$23:$GQ$23,MATCH(116,$B$29:$GQ$29,0))</f>
        <v>0.32004215880522568</v>
      </c>
      <c r="DN9">
        <f>INDEX($B$23:$GQ$23,MATCH(117,$B$29:$GQ$29,0))</f>
        <v>3.26060281852898E-2</v>
      </c>
      <c r="DO9">
        <f>INDEX($B$23:$GQ$23,MATCH(118,$B$29:$GQ$29,0))</f>
        <v>0.30236027618491251</v>
      </c>
      <c r="DP9">
        <f>INDEX($B$23:$GQ$23,MATCH(119,$B$29:$GQ$29,0))</f>
        <v>0</v>
      </c>
      <c r="DQ9">
        <f>INDEX($B$23:$GQ$23,MATCH(120,$B$29:$GQ$29,0))</f>
        <v>0</v>
      </c>
      <c r="DR9">
        <f>INDEX($B$23:$GQ$23,MATCH(121,$B$29:$GQ$29,0))</f>
        <v>0.24416032402733251</v>
      </c>
      <c r="DS9">
        <f>INDEX($B$23:$GQ$23,MATCH(122,$B$29:$GQ$29,0))</f>
        <v>0.17241899470196689</v>
      </c>
      <c r="DT9">
        <f>INDEX($B$23:$GQ$23,MATCH(123,$B$29:$GQ$29,0))</f>
        <v>0.16960088016671651</v>
      </c>
      <c r="DU9">
        <f>INDEX($B$23:$GQ$23,MATCH(124,$B$29:$GQ$29,0))</f>
        <v>1.3873433844757029E-2</v>
      </c>
      <c r="DV9">
        <f>INDEX($B$23:$GQ$23,MATCH(125,$B$29:$GQ$29,0))</f>
        <v>7.6362280250378944E-2</v>
      </c>
      <c r="DW9">
        <f>INDEX($B$23:$GQ$23,MATCH(126,$B$29:$GQ$29,0))</f>
        <v>0</v>
      </c>
      <c r="DX9">
        <f>INDEX($B$23:$GQ$23,MATCH(127,$B$29:$GQ$29,0))</f>
        <v>0</v>
      </c>
      <c r="DY9">
        <f>INDEX($B$23:$GQ$23,MATCH(128,$B$29:$GQ$29,0))</f>
        <v>7.6892406904036587E-3</v>
      </c>
      <c r="DZ9">
        <f>INDEX($B$23:$GQ$23,MATCH(129,$B$29:$GQ$29,0))</f>
        <v>1.530986124381135E-3</v>
      </c>
      <c r="EA9">
        <f>INDEX($B$23:$GQ$23,MATCH(130,$B$29:$GQ$29,0))</f>
        <v>3.3049722720926E-3</v>
      </c>
      <c r="EB9">
        <f>INDEX($B$23:$GQ$23,MATCH(131,$B$29:$GQ$29,0))</f>
        <v>0</v>
      </c>
      <c r="EC9">
        <f>INDEX($B$23:$GQ$23,MATCH(132,$B$29:$GQ$29,0))</f>
        <v>9.4236162530977443E-5</v>
      </c>
      <c r="ED9">
        <f>INDEX($B$23:$GQ$23,MATCH(133,$B$29:$GQ$29,0))</f>
        <v>3.4869196161778777E-5</v>
      </c>
      <c r="EE9">
        <f>INDEX($B$23:$GQ$23,MATCH(134,$B$29:$GQ$29,0))</f>
        <v>0</v>
      </c>
      <c r="EF9">
        <f>INDEX($B$23:$GQ$23,MATCH(135,$B$29:$GQ$29,0))</f>
        <v>0</v>
      </c>
      <c r="EG9">
        <f>INDEX($B$23:$GQ$23,MATCH(136,$B$29:$GQ$29,0))</f>
        <v>0</v>
      </c>
      <c r="EH9">
        <f>INDEX($B$23:$GQ$23,MATCH(137,$B$29:$GQ$29,0))</f>
        <v>0</v>
      </c>
      <c r="EI9">
        <f>INDEX($B$23:$GQ$23,MATCH(138,$B$29:$GQ$29,0))</f>
        <v>0</v>
      </c>
      <c r="EJ9">
        <f>INDEX($B$23:$GQ$23,MATCH(139,$B$29:$GQ$29,0))</f>
        <v>0</v>
      </c>
      <c r="EK9">
        <f>INDEX($B$23:$GQ$23,MATCH(140,$B$29:$GQ$29,0))</f>
        <v>0</v>
      </c>
      <c r="EL9">
        <f>INDEX($B$23:$GQ$23,MATCH(141,$B$29:$GQ$29,0))</f>
        <v>0</v>
      </c>
      <c r="EM9">
        <f>INDEX($B$23:$GQ$23,MATCH(142,$B$29:$GQ$29,0))</f>
        <v>0</v>
      </c>
      <c r="EN9">
        <f>INDEX($B$23:$GQ$23,MATCH(143,$B$29:$GQ$29,0))</f>
        <v>0</v>
      </c>
      <c r="EO9">
        <f>INDEX($B$23:$GQ$23,MATCH(144,$B$29:$GQ$29,0))</f>
        <v>0</v>
      </c>
      <c r="EP9">
        <f>INDEX($B$23:$GQ$23,MATCH(145,$B$29:$GQ$29,0))</f>
        <v>0</v>
      </c>
      <c r="EQ9">
        <f>INDEX($B$23:$GQ$23,MATCH(146,$B$29:$GQ$29,0))</f>
        <v>0</v>
      </c>
      <c r="ER9">
        <f>INDEX($B$23:$GQ$23,MATCH(147,$B$29:$GQ$29,0))</f>
        <v>0</v>
      </c>
      <c r="ES9">
        <f>INDEX($B$23:$GQ$23,MATCH(148,$B$29:$GQ$29,0))</f>
        <v>0</v>
      </c>
      <c r="ET9">
        <f>INDEX($B$23:$GQ$23,MATCH(149,$B$29:$GQ$29,0))</f>
        <v>0</v>
      </c>
      <c r="EU9">
        <f>INDEX($B$23:$GQ$23,MATCH(150,$B$29:$GQ$29,0))</f>
        <v>0</v>
      </c>
      <c r="EV9">
        <f>INDEX($B$23:$GQ$23,MATCH(151,$B$29:$GQ$29,0))</f>
        <v>0</v>
      </c>
      <c r="EW9">
        <f>INDEX($B$23:$GQ$23,MATCH(152,$B$29:$GQ$29,0))</f>
        <v>0</v>
      </c>
      <c r="EX9">
        <f>INDEX($B$23:$GQ$23,MATCH(153,$B$29:$GQ$29,0))</f>
        <v>0</v>
      </c>
      <c r="EY9">
        <f>INDEX($B$23:$GQ$23,MATCH(154,$B$29:$GQ$29,0))</f>
        <v>0</v>
      </c>
      <c r="EZ9">
        <f>INDEX($B$23:$GQ$23,MATCH(155,$B$29:$GQ$29,0))</f>
        <v>0</v>
      </c>
      <c r="FA9">
        <f>INDEX($B$23:$GQ$23,MATCH(156,$B$29:$GQ$29,0))</f>
        <v>0</v>
      </c>
      <c r="FB9">
        <f>INDEX($B$23:$GQ$23,MATCH(157,$B$29:$GQ$29,0))</f>
        <v>0</v>
      </c>
      <c r="FC9">
        <f>INDEX($B$23:$GQ$23,MATCH(158,$B$29:$GQ$29,0))</f>
        <v>0</v>
      </c>
      <c r="FD9">
        <f>INDEX($B$23:$GQ$23,MATCH(159,$B$29:$GQ$29,0))</f>
        <v>0</v>
      </c>
      <c r="FE9">
        <f>INDEX($B$23:$GQ$23,MATCH(160,$B$29:$GQ$29,0))</f>
        <v>0</v>
      </c>
      <c r="FF9">
        <f>INDEX($B$23:$GQ$23,MATCH(161,$B$29:$GQ$29,0))</f>
        <v>0</v>
      </c>
      <c r="FG9">
        <f>INDEX($B$23:$GQ$23,MATCH(162,$B$29:$GQ$29,0))</f>
        <v>0</v>
      </c>
      <c r="FH9">
        <f>INDEX($B$23:$GQ$23,MATCH(163,$B$29:$GQ$29,0))</f>
        <v>0</v>
      </c>
      <c r="FI9">
        <f>INDEX($B$23:$GQ$23,MATCH(164,$B$29:$GQ$29,0))</f>
        <v>0</v>
      </c>
      <c r="FJ9">
        <f>INDEX($B$23:$GQ$23,MATCH(165,$B$29:$GQ$29,0))</f>
        <v>0</v>
      </c>
      <c r="FK9">
        <f>INDEX($B$23:$GQ$23,MATCH(166,$B$29:$GQ$29,0))</f>
        <v>0</v>
      </c>
      <c r="FL9">
        <f>INDEX($B$23:$GQ$23,MATCH(167,$B$29:$GQ$29,0))</f>
        <v>0</v>
      </c>
      <c r="FM9">
        <f>INDEX($B$23:$GQ$23,MATCH(168,$B$29:$GQ$29,0))</f>
        <v>0</v>
      </c>
      <c r="FN9">
        <f>INDEX($B$23:$GQ$23,MATCH(169,$B$29:$GQ$29,0))</f>
        <v>0</v>
      </c>
      <c r="FO9">
        <f>INDEX($B$23:$GQ$23,MATCH(170,$B$29:$GQ$29,0))</f>
        <v>0</v>
      </c>
      <c r="FP9">
        <f>INDEX($B$23:$GQ$23,MATCH(171,$B$29:$GQ$29,0))</f>
        <v>0</v>
      </c>
      <c r="FQ9">
        <f>INDEX($B$23:$GQ$23,MATCH(172,$B$29:$GQ$29,0))</f>
        <v>0</v>
      </c>
      <c r="FR9">
        <f>INDEX($B$23:$GQ$23,MATCH(173,$B$29:$GQ$29,0))</f>
        <v>0</v>
      </c>
      <c r="FS9">
        <f>INDEX($B$23:$GQ$23,MATCH(174,$B$29:$GQ$29,0))</f>
        <v>0</v>
      </c>
      <c r="FT9">
        <f>INDEX($B$23:$GQ$23,MATCH(175,$B$29:$GQ$29,0))</f>
        <v>0</v>
      </c>
      <c r="FU9">
        <f>INDEX($B$23:$GQ$23,MATCH(176,$B$29:$GQ$29,0))</f>
        <v>0</v>
      </c>
      <c r="FV9">
        <f>INDEX($B$23:$GQ$23,MATCH(177,$B$29:$GQ$29,0))</f>
        <v>0</v>
      </c>
      <c r="FW9">
        <f>INDEX($B$23:$GQ$23,MATCH(178,$B$29:$GQ$29,0))</f>
        <v>0</v>
      </c>
      <c r="FX9">
        <f>INDEX($B$23:$GQ$23,MATCH(179,$B$29:$GQ$29,0))</f>
        <v>0</v>
      </c>
      <c r="FY9">
        <f>INDEX($B$23:$GQ$23,MATCH(180,$B$29:$GQ$29,0))</f>
        <v>0</v>
      </c>
      <c r="FZ9">
        <f>INDEX($B$23:$GQ$23,MATCH(181,$B$29:$GQ$29,0))</f>
        <v>0</v>
      </c>
      <c r="GA9">
        <f>INDEX($B$23:$GQ$23,MATCH(182,$B$29:$GQ$29,0))</f>
        <v>0</v>
      </c>
      <c r="GB9">
        <f>INDEX($B$23:$GQ$23,MATCH(183,$B$29:$GQ$29,0))</f>
        <v>0</v>
      </c>
      <c r="GC9">
        <f>INDEX($B$23:$GQ$23,MATCH(184,$B$29:$GQ$29,0))</f>
        <v>0</v>
      </c>
      <c r="GD9">
        <f>INDEX($B$23:$GQ$23,MATCH(185,$B$29:$GQ$29,0))</f>
        <v>0</v>
      </c>
      <c r="GE9">
        <f>INDEX($B$23:$GQ$23,MATCH(186,$B$29:$GQ$29,0))</f>
        <v>0</v>
      </c>
      <c r="GF9">
        <f>INDEX($B$23:$GQ$23,MATCH(187,$B$29:$GQ$29,0))</f>
        <v>0</v>
      </c>
      <c r="GG9">
        <f>INDEX($B$23:$GQ$23,MATCH(188,$B$29:$GQ$29,0))</f>
        <v>0</v>
      </c>
      <c r="GH9">
        <f>INDEX($B$23:$GQ$23,MATCH(189,$B$29:$GQ$29,0))</f>
        <v>0</v>
      </c>
      <c r="GI9">
        <f>INDEX($B$23:$GQ$23,MATCH(190,$B$29:$GQ$29,0))</f>
        <v>0</v>
      </c>
      <c r="GJ9">
        <f>INDEX($B$23:$GQ$23,MATCH(191,$B$29:$GQ$29,0))</f>
        <v>0</v>
      </c>
      <c r="GK9">
        <f>INDEX($B$23:$GQ$23,MATCH(192,$B$29:$GQ$29,0))</f>
        <v>0</v>
      </c>
      <c r="GL9">
        <f>INDEX($B$23:$GQ$23,MATCH(193,$B$29:$GQ$29,0))</f>
        <v>0</v>
      </c>
      <c r="GM9">
        <f>INDEX($B$23:$GQ$23,MATCH(194,$B$29:$GQ$29,0))</f>
        <v>0</v>
      </c>
      <c r="GN9">
        <f>INDEX($B$23:$GQ$23,MATCH(195,$B$29:$GQ$29,0))</f>
        <v>0</v>
      </c>
      <c r="GO9">
        <f>INDEX($B$23:$GQ$23,MATCH(196,$B$29:$GQ$29,0))</f>
        <v>0</v>
      </c>
      <c r="GP9">
        <f>INDEX($B$23:$GQ$23,MATCH(197,$B$29:$GQ$29,0))</f>
        <v>0</v>
      </c>
      <c r="GQ9">
        <f>INDEX($B$23:$GQ$23,MATCH(198,$B$29:$GQ$29,0))</f>
        <v>0</v>
      </c>
      <c r="GR9">
        <f>INDEX($GR$23:$HC$23,MATCH(1,$GR$30:$HC$30,0))</f>
        <v>9448.8792692231509</v>
      </c>
      <c r="GS9">
        <f>INDEX($GR$23:$HC$23,MATCH(2,$GR$30:$HC$30,0))</f>
        <v>826.19110213264867</v>
      </c>
      <c r="GT9">
        <f>INDEX($GR$23:$HC$23,MATCH(3,$GR$30:$HC$30,0))</f>
        <v>8787.9242993633961</v>
      </c>
      <c r="GU9">
        <f>INDEX($GR$23:$HC$23,MATCH(4,$GR$30:$HC$30,0))</f>
        <v>14644.64041102878</v>
      </c>
      <c r="GV9">
        <f>INDEX($GR$23:$HC$23,MATCH(5,$GR$30:$HC$30,0))</f>
        <v>1039.908178888362</v>
      </c>
      <c r="GW9">
        <f>INDEX($GR$23:$HC$23,MATCH(6,$GR$30:$HC$30,0))</f>
        <v>3902.8109160098438</v>
      </c>
      <c r="GX9">
        <f>INDEX($GR$23:$HC$23,MATCH(7,$GR$30:$HC$30,0))</f>
        <v>1577.475380243174</v>
      </c>
      <c r="GY9">
        <f>INDEX($GR$23:$HC$23,MATCH(8,$GR$30:$HC$30,0))</f>
        <v>1505.595777805531</v>
      </c>
      <c r="GZ9">
        <f>INDEX($GR$23:$HC$23,MATCH(9,$GR$30:$HC$30,0))</f>
        <v>6168.2528219125024</v>
      </c>
      <c r="HA9">
        <f>INDEX($GR$23:$HC$23,MATCH(10,$GR$30:$HC$30,0))</f>
        <v>3461.2883261996308</v>
      </c>
      <c r="HB9">
        <f>INDEX($GR$23:$HC$23,MATCH(11,$GR$30:$HC$30,0))</f>
        <v>235.23687709457829</v>
      </c>
      <c r="HC9">
        <f>INDEX($GR$23:$HC$23,MATCH(12,$GR$30:$HC$30,0))</f>
        <v>2336.7087996138321</v>
      </c>
    </row>
    <row r="10" spans="1:211" x14ac:dyDescent="0.45">
      <c r="A10" s="1" t="s">
        <v>9</v>
      </c>
      <c r="B10">
        <f>INDEX($B$24:$GQ$24,MATCH(1,$B$29:$GQ$29,0))</f>
        <v>15585.895950417391</v>
      </c>
      <c r="C10">
        <f>INDEX($B$24:$GQ$24,MATCH(2,$B$29:$GQ$29,0))</f>
        <v>9204.4532400376447</v>
      </c>
      <c r="D10">
        <f>INDEX($B$24:$GQ$24,MATCH(3,$B$29:$GQ$29,0))</f>
        <v>12395.90258786246</v>
      </c>
      <c r="E10">
        <f>INDEX($B$24:$GQ$24,MATCH(4,$B$29:$GQ$29,0))</f>
        <v>6429.7837571693808</v>
      </c>
      <c r="F10">
        <f>INDEX($B$24:$GQ$24,MATCH(5,$B$29:$GQ$29,0))</f>
        <v>8542.2563459788398</v>
      </c>
      <c r="G10">
        <f>INDEX($B$24:$GQ$24,MATCH(6,$B$29:$GQ$29,0))</f>
        <v>5874.9797771865206</v>
      </c>
      <c r="H10">
        <f>INDEX($B$24:$GQ$24,MATCH(7,$B$29:$GQ$29,0))</f>
        <v>6154.3122445478239</v>
      </c>
      <c r="I10">
        <f>INDEX($B$24:$GQ$24,MATCH(8,$B$29:$GQ$29,0))</f>
        <v>2600.2522236545078</v>
      </c>
      <c r="J10">
        <f>INDEX($B$24:$GQ$24,MATCH(9,$B$29:$GQ$29,0))</f>
        <v>3338.3820400967752</v>
      </c>
      <c r="K10">
        <f>INDEX($B$24:$GQ$24,MATCH(10,$B$29:$GQ$29,0))</f>
        <v>1784.067897532419</v>
      </c>
      <c r="L10">
        <f>INDEX($B$24:$GQ$24,MATCH(11,$B$29:$GQ$29,0))</f>
        <v>2378.4002957171042</v>
      </c>
      <c r="M10">
        <f>INDEX($B$24:$GQ$24,MATCH(12,$B$29:$GQ$29,0))</f>
        <v>770.83514905608149</v>
      </c>
      <c r="N10">
        <f>INDEX($B$24:$GQ$24,MATCH(13,$B$29:$GQ$29,0))</f>
        <v>2112.6707807032089</v>
      </c>
      <c r="O10">
        <f>INDEX($B$24:$GQ$24,MATCH(14,$B$29:$GQ$29,0))</f>
        <v>532.18388932306152</v>
      </c>
      <c r="P10">
        <f>INDEX($B$24:$GQ$24,MATCH(15,$B$29:$GQ$29,0))</f>
        <v>1219.8403467171561</v>
      </c>
      <c r="Q10">
        <f>INDEX($B$24:$GQ$24,MATCH(16,$B$29:$GQ$29,0))</f>
        <v>1460.024816032852</v>
      </c>
      <c r="R10">
        <f>INDEX($B$24:$GQ$24,MATCH(17,$B$29:$GQ$29,0))</f>
        <v>575.33958248854128</v>
      </c>
      <c r="S10">
        <f>INDEX($B$24:$GQ$24,MATCH(18,$B$29:$GQ$29,0))</f>
        <v>2205.304193042768</v>
      </c>
      <c r="T10">
        <f>INDEX($B$24:$GQ$24,MATCH(19,$B$29:$GQ$29,0))</f>
        <v>16.606373962271409</v>
      </c>
      <c r="U10">
        <f>INDEX($B$24:$GQ$24,MATCH(20,$B$29:$GQ$29,0))</f>
        <v>1735.619623113628</v>
      </c>
      <c r="V10">
        <f>INDEX($B$24:$GQ$24,MATCH(21,$B$29:$GQ$29,0))</f>
        <v>0</v>
      </c>
      <c r="W10">
        <f>INDEX($B$24:$GQ$24,MATCH(22,$B$29:$GQ$29,0))</f>
        <v>5.5953760766965388</v>
      </c>
      <c r="X10">
        <f>INDEX($B$24:$GQ$24,MATCH(23,$B$29:$GQ$29,0))</f>
        <v>78.486732848243136</v>
      </c>
      <c r="Y10">
        <f>INDEX($B$24:$GQ$24,MATCH(24,$B$29:$GQ$29,0))</f>
        <v>935.57109206739108</v>
      </c>
      <c r="Z10">
        <f>INDEX($B$24:$GQ$24,MATCH(25,$B$29:$GQ$29,0))</f>
        <v>154.35936077104699</v>
      </c>
      <c r="AA10">
        <f>INDEX($B$24:$GQ$24,MATCH(26,$B$29:$GQ$29,0))</f>
        <v>21.328910715814381</v>
      </c>
      <c r="AB10">
        <f>INDEX($B$24:$GQ$24,MATCH(27,$B$29:$GQ$29,0))</f>
        <v>63.478735949165298</v>
      </c>
      <c r="AC10">
        <f>INDEX($B$24:$GQ$24,MATCH(28,$B$29:$GQ$29,0))</f>
        <v>27.52185241303086</v>
      </c>
      <c r="AD10">
        <f>INDEX($B$24:$GQ$24,MATCH(29,$B$29:$GQ$29,0))</f>
        <v>3.741378881866118</v>
      </c>
      <c r="AE10">
        <f>INDEX($B$24:$GQ$24,MATCH(30,$B$29:$GQ$29,0))</f>
        <v>16.93909724442636</v>
      </c>
      <c r="AF10">
        <f>INDEX($B$24:$GQ$24,MATCH(31,$B$29:$GQ$29,0))</f>
        <v>643.09027097296575</v>
      </c>
      <c r="AG10">
        <f>INDEX($B$24:$GQ$24,MATCH(32,$B$29:$GQ$29,0))</f>
        <v>134.7814342628532</v>
      </c>
      <c r="AH10">
        <f>INDEX($B$24:$GQ$24,MATCH(33,$B$29:$GQ$29,0))</f>
        <v>95.213843747690817</v>
      </c>
      <c r="AI10">
        <f>INDEX($B$24:$GQ$24,MATCH(34,$B$29:$GQ$29,0))</f>
        <v>50.961499823296769</v>
      </c>
      <c r="AJ10">
        <f>INDEX($B$24:$GQ$24,MATCH(35,$B$29:$GQ$29,0))</f>
        <v>132.1764785709677</v>
      </c>
      <c r="AK10">
        <f>INDEX($B$24:$GQ$24,MATCH(36,$B$29:$GQ$29,0))</f>
        <v>114.2591165419655</v>
      </c>
      <c r="AL10">
        <f>INDEX($B$24:$GQ$24,MATCH(37,$B$29:$GQ$29,0))</f>
        <v>135.09857462463779</v>
      </c>
      <c r="AM10">
        <f>INDEX($B$24:$GQ$24,MATCH(38,$B$29:$GQ$29,0))</f>
        <v>12.03630769261931</v>
      </c>
      <c r="AN10">
        <f>INDEX($B$24:$GQ$24,MATCH(39,$B$29:$GQ$29,0))</f>
        <v>449.72382458898011</v>
      </c>
      <c r="AO10">
        <f>INDEX($B$24:$GQ$24,MATCH(40,$B$29:$GQ$29,0))</f>
        <v>31.391782066618251</v>
      </c>
      <c r="AP10">
        <f>INDEX($B$24:$GQ$24,MATCH(41,$B$29:$GQ$29,0))</f>
        <v>413.00183210959233</v>
      </c>
      <c r="AQ10">
        <f>INDEX($B$24:$GQ$24,MATCH(42,$B$29:$GQ$29,0))</f>
        <v>9.8178032851106156</v>
      </c>
      <c r="AR10">
        <f>INDEX($B$24:$GQ$24,MATCH(43,$B$29:$GQ$29,0))</f>
        <v>77.346865832182871</v>
      </c>
      <c r="AS10">
        <f>INDEX($B$24:$GQ$24,MATCH(44,$B$29:$GQ$29,0))</f>
        <v>8.9655975730712747</v>
      </c>
      <c r="AT10">
        <f>INDEX($B$24:$GQ$24,MATCH(45,$B$29:$GQ$29,0))</f>
        <v>32.57564581906842</v>
      </c>
      <c r="AU10">
        <f>INDEX($B$24:$GQ$24,MATCH(46,$B$29:$GQ$29,0))</f>
        <v>3.286227979946021</v>
      </c>
      <c r="AV10">
        <f>INDEX($B$24:$GQ$24,MATCH(47,$B$29:$GQ$29,0))</f>
        <v>308.78284340704482</v>
      </c>
      <c r="AW10">
        <f>INDEX($B$24:$GQ$24,MATCH(48,$B$29:$GQ$29,0))</f>
        <v>88.344509604576459</v>
      </c>
      <c r="AX10">
        <f>INDEX($B$24:$GQ$24,MATCH(49,$B$29:$GQ$29,0))</f>
        <v>33.20142446693756</v>
      </c>
      <c r="AY10">
        <f>INDEX($B$24:$GQ$24,MATCH(50,$B$29:$GQ$29,0))</f>
        <v>29.6604319742979</v>
      </c>
      <c r="AZ10">
        <f>INDEX($B$24:$GQ$24,MATCH(51,$B$29:$GQ$29,0))</f>
        <v>17.77181367830957</v>
      </c>
      <c r="BA10">
        <f>INDEX($B$24:$GQ$24,MATCH(52,$B$29:$GQ$29,0))</f>
        <v>23.411178825412829</v>
      </c>
      <c r="BB10">
        <f>INDEX($B$24:$GQ$24,MATCH(53,$B$29:$GQ$29,0))</f>
        <v>18.494860814706431</v>
      </c>
      <c r="BC10">
        <f>INDEX($B$24:$GQ$24,MATCH(54,$B$29:$GQ$29,0))</f>
        <v>22.41041690688866</v>
      </c>
      <c r="BD10">
        <f>INDEX($B$24:$GQ$24,MATCH(55,$B$29:$GQ$29,0))</f>
        <v>0</v>
      </c>
      <c r="BE10">
        <f>INDEX($B$24:$GQ$24,MATCH(56,$B$29:$GQ$29,0))</f>
        <v>25.527016975904889</v>
      </c>
      <c r="BF10">
        <f>INDEX($B$24:$GQ$24,MATCH(57,$B$29:$GQ$29,0))</f>
        <v>19.62381273600246</v>
      </c>
      <c r="BG10">
        <f>INDEX($B$24:$GQ$24,MATCH(58,$B$29:$GQ$29,0))</f>
        <v>5.7679405418848404</v>
      </c>
      <c r="BH10">
        <f>INDEX($B$24:$GQ$24,MATCH(59,$B$29:$GQ$29,0))</f>
        <v>6.2319363755626087</v>
      </c>
      <c r="BI10">
        <f>INDEX($B$24:$GQ$24,MATCH(60,$B$29:$GQ$29,0))</f>
        <v>7.7963767254000524</v>
      </c>
      <c r="BJ10">
        <f>INDEX($B$24:$GQ$24,MATCH(61,$B$29:$GQ$29,0))</f>
        <v>17.493498703739132</v>
      </c>
      <c r="BK10">
        <f>INDEX($B$24:$GQ$24,MATCH(62,$B$29:$GQ$29,0))</f>
        <v>7.3529966067113701</v>
      </c>
      <c r="BL10">
        <f>INDEX($B$24:$GQ$24,MATCH(63,$B$29:$GQ$29,0))</f>
        <v>17.623625991718679</v>
      </c>
      <c r="BM10">
        <f>INDEX($B$24:$GQ$24,MATCH(64,$B$29:$GQ$29,0))</f>
        <v>29.207797884069539</v>
      </c>
      <c r="BN10">
        <f>INDEX($B$24:$GQ$24,MATCH(65,$B$29:$GQ$29,0))</f>
        <v>0.1029580344926352</v>
      </c>
      <c r="BO10">
        <f>INDEX($B$24:$GQ$24,MATCH(66,$B$29:$GQ$29,0))</f>
        <v>0.88249044372774399</v>
      </c>
      <c r="BP10">
        <f>INDEX($B$24:$GQ$24,MATCH(67,$B$29:$GQ$29,0))</f>
        <v>4.6909999618566731</v>
      </c>
      <c r="BQ10">
        <f>INDEX($B$24:$GQ$24,MATCH(68,$B$29:$GQ$29,0))</f>
        <v>31.051072405491141</v>
      </c>
      <c r="BR10">
        <f>INDEX($B$24:$GQ$24,MATCH(69,$B$29:$GQ$29,0))</f>
        <v>6.8203995542176674</v>
      </c>
      <c r="BS10">
        <f>INDEX($B$24:$GQ$24,MATCH(70,$B$29:$GQ$29,0))</f>
        <v>2.6605875041318479</v>
      </c>
      <c r="BT10">
        <f>INDEX($B$24:$GQ$24,MATCH(71,$B$29:$GQ$29,0))</f>
        <v>2.7738241388950811</v>
      </c>
      <c r="BU10">
        <f>INDEX($B$24:$GQ$24,MATCH(72,$B$29:$GQ$29,0))</f>
        <v>15.9965406968635</v>
      </c>
      <c r="BV10">
        <f>INDEX($B$24:$GQ$24,MATCH(73,$B$29:$GQ$29,0))</f>
        <v>4.0887805168754481</v>
      </c>
      <c r="BW10">
        <f>INDEX($B$24:$GQ$24,MATCH(74,$B$29:$GQ$29,0))</f>
        <v>15.093301788179719</v>
      </c>
      <c r="BX10">
        <f>INDEX($B$24:$GQ$24,MATCH(75,$B$29:$GQ$29,0))</f>
        <v>23.78281191734273</v>
      </c>
      <c r="BY10">
        <f>INDEX($B$24:$GQ$24,MATCH(76,$B$29:$GQ$29,0))</f>
        <v>5.6892434774353831</v>
      </c>
      <c r="BZ10">
        <f>INDEX($B$24:$GQ$24,MATCH(77,$B$29:$GQ$29,0))</f>
        <v>0.28615520762355018</v>
      </c>
      <c r="CA10">
        <f>INDEX($B$24:$GQ$24,MATCH(78,$B$29:$GQ$29,0))</f>
        <v>3.1319984368352758</v>
      </c>
      <c r="CB10">
        <f>INDEX($B$24:$GQ$24,MATCH(79,$B$29:$GQ$29,0))</f>
        <v>1.8798149676264191</v>
      </c>
      <c r="CC10">
        <f>INDEX($B$24:$GQ$24,MATCH(80,$B$29:$GQ$29,0))</f>
        <v>7.3951562356499236</v>
      </c>
      <c r="CD10">
        <f>INDEX($B$24:$GQ$24,MATCH(81,$B$29:$GQ$29,0))</f>
        <v>0.88732529962104711</v>
      </c>
      <c r="CE10">
        <f>INDEX($B$24:$GQ$24,MATCH(82,$B$29:$GQ$29,0))</f>
        <v>0.38084582528327049</v>
      </c>
      <c r="CF10">
        <f>INDEX($B$24:$GQ$24,MATCH(83,$B$29:$GQ$29,0))</f>
        <v>3.884783289846824</v>
      </c>
      <c r="CG10">
        <f>INDEX($B$24:$GQ$24,MATCH(84,$B$29:$GQ$29,0))</f>
        <v>1.635074377468245</v>
      </c>
      <c r="CH10">
        <f>INDEX($B$24:$GQ$24,MATCH(85,$B$29:$GQ$29,0))</f>
        <v>0.75782360277137772</v>
      </c>
      <c r="CI10">
        <f>INDEX($B$24:$GQ$24,MATCH(86,$B$29:$GQ$29,0))</f>
        <v>2.7993233966558511</v>
      </c>
      <c r="CJ10">
        <f>INDEX($B$24:$GQ$24,MATCH(87,$B$29:$GQ$29,0))</f>
        <v>2.693850309066717</v>
      </c>
      <c r="CK10">
        <f>INDEX($B$24:$GQ$24,MATCH(88,$B$29:$GQ$29,0))</f>
        <v>1.9571153941534529</v>
      </c>
      <c r="CL10">
        <f>INDEX($B$24:$GQ$24,MATCH(89,$B$29:$GQ$29,0))</f>
        <v>2.369898718407482</v>
      </c>
      <c r="CM10">
        <f>INDEX($B$24:$GQ$24,MATCH(90,$B$29:$GQ$29,0))</f>
        <v>2.1505921067538529</v>
      </c>
      <c r="CN10">
        <f>INDEX($B$24:$GQ$24,MATCH(91,$B$29:$GQ$29,0))</f>
        <v>2.2670591247052312</v>
      </c>
      <c r="CO10">
        <f>INDEX($B$24:$GQ$24,MATCH(92,$B$29:$GQ$29,0))</f>
        <v>2.8406146435564859</v>
      </c>
      <c r="CP10">
        <f>INDEX($B$24:$GQ$24,MATCH(93,$B$29:$GQ$29,0))</f>
        <v>1.769637380670237</v>
      </c>
      <c r="CQ10">
        <f>INDEX($B$24:$GQ$24,MATCH(94,$B$29:$GQ$29,0))</f>
        <v>1.372357133464321</v>
      </c>
      <c r="CR10">
        <f>INDEX($B$24:$GQ$24,MATCH(95,$B$29:$GQ$29,0))</f>
        <v>2.4208369327015822</v>
      </c>
      <c r="CS10">
        <f>INDEX($B$24:$GQ$24,MATCH(96,$B$29:$GQ$29,0))</f>
        <v>1.318737299817335</v>
      </c>
      <c r="CT10">
        <f>INDEX($B$24:$GQ$24,MATCH(97,$B$29:$GQ$29,0))</f>
        <v>1.3706435843555651</v>
      </c>
      <c r="CU10">
        <f>INDEX($B$24:$GQ$24,MATCH(98,$B$29:$GQ$29,0))</f>
        <v>0.97259883551800508</v>
      </c>
      <c r="CV10">
        <f>INDEX($B$24:$GQ$24,MATCH(99,$B$29:$GQ$29,0))</f>
        <v>0.91523124852160209</v>
      </c>
      <c r="CW10">
        <f>INDEX($B$24:$GQ$24,MATCH(100,$B$29:$GQ$29,0))</f>
        <v>4.0462798471939003E-2</v>
      </c>
      <c r="CX10">
        <f>INDEX($B$24:$GQ$24,MATCH(101,$B$29:$GQ$29,0))</f>
        <v>0.77846332542434404</v>
      </c>
      <c r="CY10">
        <f>INDEX($B$24:$GQ$24,MATCH(102,$B$29:$GQ$29,0))</f>
        <v>0.50434908519243304</v>
      </c>
      <c r="CZ10">
        <f>INDEX($B$24:$GQ$24,MATCH(103,$B$29:$GQ$29,0))</f>
        <v>0.55415766101205788</v>
      </c>
      <c r="DA10">
        <f>INDEX($B$24:$GQ$24,MATCH(104,$B$29:$GQ$29,0))</f>
        <v>0.23491310321636211</v>
      </c>
      <c r="DB10">
        <f>INDEX($B$24:$GQ$24,MATCH(105,$B$29:$GQ$29,0))</f>
        <v>0</v>
      </c>
      <c r="DC10">
        <f>INDEX($B$24:$GQ$24,MATCH(106,$B$29:$GQ$29,0))</f>
        <v>0.65132912077710714</v>
      </c>
      <c r="DD10">
        <f>INDEX($B$24:$GQ$24,MATCH(107,$B$29:$GQ$29,0))</f>
        <v>0.55176145671937205</v>
      </c>
      <c r="DE10">
        <f>INDEX($B$24:$GQ$24,MATCH(108,$B$29:$GQ$29,0))</f>
        <v>0.48329025939181031</v>
      </c>
      <c r="DF10">
        <f>INDEX($B$24:$GQ$24,MATCH(109,$B$29:$GQ$29,0))</f>
        <v>1.2099598325645101E-2</v>
      </c>
      <c r="DG10">
        <f>INDEX($B$24:$GQ$24,MATCH(110,$B$29:$GQ$29,0))</f>
        <v>0.24064473286983881</v>
      </c>
      <c r="DH10">
        <f>INDEX($B$24:$GQ$24,MATCH(111,$B$29:$GQ$29,0))</f>
        <v>0.28331800623514281</v>
      </c>
      <c r="DI10">
        <f>INDEX($B$24:$GQ$24,MATCH(112,$B$29:$GQ$29,0))</f>
        <v>0.20048277354012281</v>
      </c>
      <c r="DJ10">
        <f>INDEX($B$24:$GQ$24,MATCH(113,$B$29:$GQ$29,0))</f>
        <v>0.1443207975105224</v>
      </c>
      <c r="DK10">
        <f>INDEX($B$24:$GQ$24,MATCH(114,$B$29:$GQ$29,0))</f>
        <v>0.14935624116720581</v>
      </c>
      <c r="DL10">
        <f>INDEX($B$24:$GQ$24,MATCH(115,$B$29:$GQ$29,0))</f>
        <v>0</v>
      </c>
      <c r="DM10">
        <f>INDEX($B$24:$GQ$24,MATCH(116,$B$29:$GQ$29,0))</f>
        <v>3.7686665682164708E-2</v>
      </c>
      <c r="DN10">
        <f>INDEX($B$24:$GQ$24,MATCH(117,$B$29:$GQ$29,0))</f>
        <v>1.1973716090772719E-3</v>
      </c>
      <c r="DO10">
        <f>INDEX($B$24:$GQ$24,MATCH(118,$B$29:$GQ$29,0))</f>
        <v>4.155935396616485E-2</v>
      </c>
      <c r="DP10">
        <f>INDEX($B$24:$GQ$24,MATCH(119,$B$29:$GQ$29,0))</f>
        <v>0</v>
      </c>
      <c r="DQ10">
        <f>INDEX($B$24:$GQ$24,MATCH(120,$B$29:$GQ$29,0))</f>
        <v>0</v>
      </c>
      <c r="DR10">
        <f>INDEX($B$24:$GQ$24,MATCH(121,$B$29:$GQ$29,0))</f>
        <v>2.3330397338471032E-3</v>
      </c>
      <c r="DS10">
        <f>INDEX($B$24:$GQ$24,MATCH(122,$B$29:$GQ$29,0))</f>
        <v>5.5897074043150467E-2</v>
      </c>
      <c r="DT10">
        <f>INDEX($B$24:$GQ$24,MATCH(123,$B$29:$GQ$29,0))</f>
        <v>3.1351406602301041E-2</v>
      </c>
      <c r="DU10">
        <f>INDEX($B$24:$GQ$24,MATCH(124,$B$29:$GQ$29,0))</f>
        <v>1.1128013106497831E-3</v>
      </c>
      <c r="DV10">
        <f>INDEX($B$24:$GQ$24,MATCH(125,$B$29:$GQ$29,0))</f>
        <v>1.6333241819333391E-2</v>
      </c>
      <c r="DW10">
        <f>INDEX($B$24:$GQ$24,MATCH(126,$B$29:$GQ$29,0))</f>
        <v>0</v>
      </c>
      <c r="DX10">
        <f>INDEX($B$24:$GQ$24,MATCH(127,$B$29:$GQ$29,0))</f>
        <v>0</v>
      </c>
      <c r="DY10">
        <f>INDEX($B$24:$GQ$24,MATCH(128,$B$29:$GQ$29,0))</f>
        <v>6.7260631887119666E-4</v>
      </c>
      <c r="DZ10">
        <f>INDEX($B$24:$GQ$24,MATCH(129,$B$29:$GQ$29,0))</f>
        <v>4.2414964839793033E-5</v>
      </c>
      <c r="EA10">
        <f>INDEX($B$24:$GQ$24,MATCH(130,$B$29:$GQ$29,0))</f>
        <v>4.1083924472726891E-4</v>
      </c>
      <c r="EB10">
        <f>INDEX($B$24:$GQ$24,MATCH(131,$B$29:$GQ$29,0))</f>
        <v>0</v>
      </c>
      <c r="EC10">
        <f>INDEX($B$24:$GQ$24,MATCH(132,$B$29:$GQ$29,0))</f>
        <v>1.711954153958676E-5</v>
      </c>
      <c r="ED10">
        <f>INDEX($B$24:$GQ$24,MATCH(133,$B$29:$GQ$29,0))</f>
        <v>8.1194392259455124E-6</v>
      </c>
      <c r="EE10">
        <f>INDEX($B$24:$GQ$24,MATCH(134,$B$29:$GQ$29,0))</f>
        <v>0</v>
      </c>
      <c r="EF10">
        <f>INDEX($B$24:$GQ$24,MATCH(135,$B$29:$GQ$29,0))</f>
        <v>0</v>
      </c>
      <c r="EG10">
        <f>INDEX($B$24:$GQ$24,MATCH(136,$B$29:$GQ$29,0))</f>
        <v>0</v>
      </c>
      <c r="EH10">
        <f>INDEX($B$24:$GQ$24,MATCH(137,$B$29:$GQ$29,0))</f>
        <v>0</v>
      </c>
      <c r="EI10">
        <f>INDEX($B$24:$GQ$24,MATCH(138,$B$29:$GQ$29,0))</f>
        <v>0</v>
      </c>
      <c r="EJ10">
        <f>INDEX($B$24:$GQ$24,MATCH(139,$B$29:$GQ$29,0))</f>
        <v>0</v>
      </c>
      <c r="EK10">
        <f>INDEX($B$24:$GQ$24,MATCH(140,$B$29:$GQ$29,0))</f>
        <v>0</v>
      </c>
      <c r="EL10">
        <f>INDEX($B$24:$GQ$24,MATCH(141,$B$29:$GQ$29,0))</f>
        <v>0</v>
      </c>
      <c r="EM10">
        <f>INDEX($B$24:$GQ$24,MATCH(142,$B$29:$GQ$29,0))</f>
        <v>0</v>
      </c>
      <c r="EN10">
        <f>INDEX($B$24:$GQ$24,MATCH(143,$B$29:$GQ$29,0))</f>
        <v>0</v>
      </c>
      <c r="EO10">
        <f>INDEX($B$24:$GQ$24,MATCH(144,$B$29:$GQ$29,0))</f>
        <v>0</v>
      </c>
      <c r="EP10">
        <f>INDEX($B$24:$GQ$24,MATCH(145,$B$29:$GQ$29,0))</f>
        <v>0</v>
      </c>
      <c r="EQ10">
        <f>INDEX($B$24:$GQ$24,MATCH(146,$B$29:$GQ$29,0))</f>
        <v>0</v>
      </c>
      <c r="ER10">
        <f>INDEX($B$24:$GQ$24,MATCH(147,$B$29:$GQ$29,0))</f>
        <v>0</v>
      </c>
      <c r="ES10">
        <f>INDEX($B$24:$GQ$24,MATCH(148,$B$29:$GQ$29,0))</f>
        <v>0</v>
      </c>
      <c r="ET10">
        <f>INDEX($B$24:$GQ$24,MATCH(149,$B$29:$GQ$29,0))</f>
        <v>0</v>
      </c>
      <c r="EU10">
        <f>INDEX($B$24:$GQ$24,MATCH(150,$B$29:$GQ$29,0))</f>
        <v>0</v>
      </c>
      <c r="EV10">
        <f>INDEX($B$24:$GQ$24,MATCH(151,$B$29:$GQ$29,0))</f>
        <v>0</v>
      </c>
      <c r="EW10">
        <f>INDEX($B$24:$GQ$24,MATCH(152,$B$29:$GQ$29,0))</f>
        <v>0</v>
      </c>
      <c r="EX10">
        <f>INDEX($B$24:$GQ$24,MATCH(153,$B$29:$GQ$29,0))</f>
        <v>0</v>
      </c>
      <c r="EY10">
        <f>INDEX($B$24:$GQ$24,MATCH(154,$B$29:$GQ$29,0))</f>
        <v>0</v>
      </c>
      <c r="EZ10">
        <f>INDEX($B$24:$GQ$24,MATCH(155,$B$29:$GQ$29,0))</f>
        <v>0</v>
      </c>
      <c r="FA10">
        <f>INDEX($B$24:$GQ$24,MATCH(156,$B$29:$GQ$29,0))</f>
        <v>0</v>
      </c>
      <c r="FB10">
        <f>INDEX($B$24:$GQ$24,MATCH(157,$B$29:$GQ$29,0))</f>
        <v>0</v>
      </c>
      <c r="FC10">
        <f>INDEX($B$24:$GQ$24,MATCH(158,$B$29:$GQ$29,0))</f>
        <v>0</v>
      </c>
      <c r="FD10">
        <f>INDEX($B$24:$GQ$24,MATCH(159,$B$29:$GQ$29,0))</f>
        <v>0</v>
      </c>
      <c r="FE10">
        <f>INDEX($B$24:$GQ$24,MATCH(160,$B$29:$GQ$29,0))</f>
        <v>0</v>
      </c>
      <c r="FF10">
        <f>INDEX($B$24:$GQ$24,MATCH(161,$B$29:$GQ$29,0))</f>
        <v>0</v>
      </c>
      <c r="FG10">
        <f>INDEX($B$24:$GQ$24,MATCH(162,$B$29:$GQ$29,0))</f>
        <v>0</v>
      </c>
      <c r="FH10">
        <f>INDEX($B$24:$GQ$24,MATCH(163,$B$29:$GQ$29,0))</f>
        <v>0</v>
      </c>
      <c r="FI10">
        <f>INDEX($B$24:$GQ$24,MATCH(164,$B$29:$GQ$29,0))</f>
        <v>0</v>
      </c>
      <c r="FJ10">
        <f>INDEX($B$24:$GQ$24,MATCH(165,$B$29:$GQ$29,0))</f>
        <v>0</v>
      </c>
      <c r="FK10">
        <f>INDEX($B$24:$GQ$24,MATCH(166,$B$29:$GQ$29,0))</f>
        <v>0</v>
      </c>
      <c r="FL10">
        <f>INDEX($B$24:$GQ$24,MATCH(167,$B$29:$GQ$29,0))</f>
        <v>0</v>
      </c>
      <c r="FM10">
        <f>INDEX($B$24:$GQ$24,MATCH(168,$B$29:$GQ$29,0))</f>
        <v>0</v>
      </c>
      <c r="FN10">
        <f>INDEX($B$24:$GQ$24,MATCH(169,$B$29:$GQ$29,0))</f>
        <v>0</v>
      </c>
      <c r="FO10">
        <f>INDEX($B$24:$GQ$24,MATCH(170,$B$29:$GQ$29,0))</f>
        <v>0</v>
      </c>
      <c r="FP10">
        <f>INDEX($B$24:$GQ$24,MATCH(171,$B$29:$GQ$29,0))</f>
        <v>0</v>
      </c>
      <c r="FQ10">
        <f>INDEX($B$24:$GQ$24,MATCH(172,$B$29:$GQ$29,0))</f>
        <v>0</v>
      </c>
      <c r="FR10">
        <f>INDEX($B$24:$GQ$24,MATCH(173,$B$29:$GQ$29,0))</f>
        <v>0</v>
      </c>
      <c r="FS10">
        <f>INDEX($B$24:$GQ$24,MATCH(174,$B$29:$GQ$29,0))</f>
        <v>0</v>
      </c>
      <c r="FT10">
        <f>INDEX($B$24:$GQ$24,MATCH(175,$B$29:$GQ$29,0))</f>
        <v>0</v>
      </c>
      <c r="FU10">
        <f>INDEX($B$24:$GQ$24,MATCH(176,$B$29:$GQ$29,0))</f>
        <v>0</v>
      </c>
      <c r="FV10">
        <f>INDEX($B$24:$GQ$24,MATCH(177,$B$29:$GQ$29,0))</f>
        <v>0</v>
      </c>
      <c r="FW10">
        <f>INDEX($B$24:$GQ$24,MATCH(178,$B$29:$GQ$29,0))</f>
        <v>0</v>
      </c>
      <c r="FX10">
        <f>INDEX($B$24:$GQ$24,MATCH(179,$B$29:$GQ$29,0))</f>
        <v>0</v>
      </c>
      <c r="FY10">
        <f>INDEX($B$24:$GQ$24,MATCH(180,$B$29:$GQ$29,0))</f>
        <v>0</v>
      </c>
      <c r="FZ10">
        <f>INDEX($B$24:$GQ$24,MATCH(181,$B$29:$GQ$29,0))</f>
        <v>0</v>
      </c>
      <c r="GA10">
        <f>INDEX($B$24:$GQ$24,MATCH(182,$B$29:$GQ$29,0))</f>
        <v>0</v>
      </c>
      <c r="GB10">
        <f>INDEX($B$24:$GQ$24,MATCH(183,$B$29:$GQ$29,0))</f>
        <v>0</v>
      </c>
      <c r="GC10">
        <f>INDEX($B$24:$GQ$24,MATCH(184,$B$29:$GQ$29,0))</f>
        <v>0</v>
      </c>
      <c r="GD10">
        <f>INDEX($B$24:$GQ$24,MATCH(185,$B$29:$GQ$29,0))</f>
        <v>0</v>
      </c>
      <c r="GE10">
        <f>INDEX($B$24:$GQ$24,MATCH(186,$B$29:$GQ$29,0))</f>
        <v>0</v>
      </c>
      <c r="GF10">
        <f>INDEX($B$24:$GQ$24,MATCH(187,$B$29:$GQ$29,0))</f>
        <v>0</v>
      </c>
      <c r="GG10">
        <f>INDEX($B$24:$GQ$24,MATCH(188,$B$29:$GQ$29,0))</f>
        <v>0</v>
      </c>
      <c r="GH10">
        <f>INDEX($B$24:$GQ$24,MATCH(189,$B$29:$GQ$29,0))</f>
        <v>0</v>
      </c>
      <c r="GI10">
        <f>INDEX($B$24:$GQ$24,MATCH(190,$B$29:$GQ$29,0))</f>
        <v>0</v>
      </c>
      <c r="GJ10">
        <f>INDEX($B$24:$GQ$24,MATCH(191,$B$29:$GQ$29,0))</f>
        <v>0</v>
      </c>
      <c r="GK10">
        <f>INDEX($B$24:$GQ$24,MATCH(192,$B$29:$GQ$29,0))</f>
        <v>0</v>
      </c>
      <c r="GL10">
        <f>INDEX($B$24:$GQ$24,MATCH(193,$B$29:$GQ$29,0))</f>
        <v>0</v>
      </c>
      <c r="GM10">
        <f>INDEX($B$24:$GQ$24,MATCH(194,$B$29:$GQ$29,0))</f>
        <v>0</v>
      </c>
      <c r="GN10">
        <f>INDEX($B$24:$GQ$24,MATCH(195,$B$29:$GQ$29,0))</f>
        <v>0</v>
      </c>
      <c r="GO10">
        <f>INDEX($B$24:$GQ$24,MATCH(196,$B$29:$GQ$29,0))</f>
        <v>0</v>
      </c>
      <c r="GP10">
        <f>INDEX($B$24:$GQ$24,MATCH(197,$B$29:$GQ$29,0))</f>
        <v>0</v>
      </c>
      <c r="GQ10">
        <f>INDEX($B$24:$GQ$24,MATCH(198,$B$29:$GQ$29,0))</f>
        <v>0</v>
      </c>
      <c r="GR10">
        <f>INDEX($GR$24:$HC$24,MATCH(1,$GR$30:$HC$30,0))</f>
        <v>24869.73753438405</v>
      </c>
      <c r="GS10">
        <f>INDEX($GR$24:$HC$24,MATCH(2,$GR$30:$HC$30,0))</f>
        <v>9213.4188376107159</v>
      </c>
      <c r="GT10">
        <f>INDEX($GR$24:$HC$24,MATCH(3,$GR$30:$HC$30,0))</f>
        <v>13684.67896111027</v>
      </c>
      <c r="GU10">
        <f>INDEX($GR$24:$HC$24,MATCH(4,$GR$30:$HC$30,0))</f>
        <v>5995.3588893457654</v>
      </c>
      <c r="GV10">
        <f>INDEX($GR$24:$HC$24,MATCH(5,$GR$30:$HC$30,0))</f>
        <v>8542.2563459788398</v>
      </c>
      <c r="GW10">
        <f>INDEX($GR$24:$HC$24,MATCH(6,$GR$30:$HC$30,0))</f>
        <v>5874.9797771865206</v>
      </c>
      <c r="GX10">
        <f>INDEX($GR$24:$HC$24,MATCH(7,$GR$30:$HC$30,0))</f>
        <v>6264.2347561990746</v>
      </c>
      <c r="GY10">
        <f>INDEX($GR$24:$HC$24,MATCH(8,$GR$30:$HC$30,0))</f>
        <v>6463.0950879548691</v>
      </c>
      <c r="GZ10">
        <f>INDEX($GR$24:$HC$24,MATCH(9,$GR$30:$HC$30,0))</f>
        <v>1338.3989779849701</v>
      </c>
      <c r="HA10">
        <f>INDEX($GR$24:$HC$24,MATCH(10,$GR$30:$HC$30,0))</f>
        <v>320.60031456032169</v>
      </c>
      <c r="HB10">
        <f>INDEX($GR$24:$HC$24,MATCH(11,$GR$30:$HC$30,0))</f>
        <v>43.530660754782332</v>
      </c>
      <c r="HC10">
        <f>INDEX($GR$24:$HC$24,MATCH(12,$GR$30:$HC$30,0))</f>
        <v>319.96898200292799</v>
      </c>
    </row>
    <row r="11" spans="1:211" x14ac:dyDescent="0.45">
      <c r="A11" s="1" t="s">
        <v>10</v>
      </c>
      <c r="B11">
        <f>INDEX($B$25:$GQ$25,MATCH(1,$B$29:$GQ$29,0))</f>
        <v>22743.935819527542</v>
      </c>
      <c r="C11">
        <f>INDEX($B$25:$GQ$25,MATCH(2,$B$29:$GQ$29,0))</f>
        <v>10025.23627149554</v>
      </c>
      <c r="D11">
        <f>INDEX($B$25:$GQ$25,MATCH(3,$B$29:$GQ$29,0))</f>
        <v>12521.917744309359</v>
      </c>
      <c r="E11">
        <f>INDEX($B$25:$GQ$25,MATCH(4,$B$29:$GQ$29,0))</f>
        <v>12193.287886905449</v>
      </c>
      <c r="F11">
        <f>INDEX($B$25:$GQ$25,MATCH(5,$B$29:$GQ$29,0))</f>
        <v>9582.1645248672012</v>
      </c>
      <c r="G11">
        <f>INDEX($B$25:$GQ$25,MATCH(6,$B$29:$GQ$29,0))</f>
        <v>9777.7906931963644</v>
      </c>
      <c r="H11">
        <f>INDEX($B$25:$GQ$25,MATCH(7,$B$29:$GQ$29,0))</f>
        <v>7611.9916479801486</v>
      </c>
      <c r="I11">
        <f>INDEX($B$25:$GQ$25,MATCH(8,$B$29:$GQ$29,0))</f>
        <v>2626.3147976752912</v>
      </c>
      <c r="J11">
        <f>INDEX($B$25:$GQ$25,MATCH(9,$B$29:$GQ$29,0))</f>
        <v>4547.4914287718248</v>
      </c>
      <c r="K11">
        <f>INDEX($B$25:$GQ$25,MATCH(10,$B$29:$GQ$29,0))</f>
        <v>5291.4854171440666</v>
      </c>
      <c r="L11">
        <f>INDEX($B$25:$GQ$25,MATCH(11,$B$29:$GQ$29,0))</f>
        <v>4115.0338486922046</v>
      </c>
      <c r="M11">
        <f>INDEX($B$25:$GQ$25,MATCH(12,$B$29:$GQ$29,0))</f>
        <v>4017.425999600408</v>
      </c>
      <c r="N11">
        <f>INDEX($B$25:$GQ$25,MATCH(13,$B$29:$GQ$29,0))</f>
        <v>3086.776525373843</v>
      </c>
      <c r="O11">
        <f>INDEX($B$25:$GQ$25,MATCH(14,$B$29:$GQ$29,0))</f>
        <v>3550.964124879612</v>
      </c>
      <c r="P11">
        <f>INDEX($B$25:$GQ$25,MATCH(15,$B$29:$GQ$29,0))</f>
        <v>3368.175519154262</v>
      </c>
      <c r="Q11">
        <f>INDEX($B$25:$GQ$25,MATCH(16,$B$29:$GQ$29,0))</f>
        <v>3380.7495419204201</v>
      </c>
      <c r="R11">
        <f>INDEX($B$25:$GQ$25,MATCH(17,$B$29:$GQ$29,0))</f>
        <v>2177.6478788167101</v>
      </c>
      <c r="S11">
        <f>INDEX($B$25:$GQ$25,MATCH(18,$B$29:$GQ$29,0))</f>
        <v>2818.9587196930738</v>
      </c>
      <c r="T11">
        <f>INDEX($B$25:$GQ$25,MATCH(19,$B$29:$GQ$29,0))</f>
        <v>120.4104595076497</v>
      </c>
      <c r="U11">
        <f>INDEX($B$25:$GQ$25,MATCH(20,$B$29:$GQ$29,0))</f>
        <v>2139.4772725068278</v>
      </c>
      <c r="V11">
        <f>INDEX($B$25:$GQ$25,MATCH(21,$B$29:$GQ$29,0))</f>
        <v>0</v>
      </c>
      <c r="W11">
        <f>INDEX($B$25:$GQ$25,MATCH(22,$B$29:$GQ$29,0))</f>
        <v>13.193102525334419</v>
      </c>
      <c r="X11">
        <f>INDEX($B$25:$GQ$25,MATCH(23,$B$29:$GQ$29,0))</f>
        <v>762.71267971985912</v>
      </c>
      <c r="Y11">
        <f>INDEX($B$25:$GQ$25,MATCH(24,$B$29:$GQ$29,0))</f>
        <v>1205.8455326761059</v>
      </c>
      <c r="Z11">
        <f>INDEX($B$25:$GQ$25,MATCH(25,$B$29:$GQ$29,0))</f>
        <v>608.86560642414463</v>
      </c>
      <c r="AA11">
        <f>INDEX($B$25:$GQ$25,MATCH(26,$B$29:$GQ$29,0))</f>
        <v>145.16397581637651</v>
      </c>
      <c r="AB11">
        <f>INDEX($B$25:$GQ$25,MATCH(27,$B$29:$GQ$29,0))</f>
        <v>569.17556017601419</v>
      </c>
      <c r="AC11">
        <f>INDEX($B$25:$GQ$25,MATCH(28,$B$29:$GQ$29,0))</f>
        <v>206.0021366550211</v>
      </c>
      <c r="AD11">
        <f>INDEX($B$25:$GQ$25,MATCH(29,$B$29:$GQ$29,0))</f>
        <v>26.567235997442729</v>
      </c>
      <c r="AE11">
        <f>INDEX($B$25:$GQ$25,MATCH(30,$B$29:$GQ$29,0))</f>
        <v>478.21283643434822</v>
      </c>
      <c r="AF11">
        <f>INDEX($B$25:$GQ$25,MATCH(31,$B$29:$GQ$29,0))</f>
        <v>692.32677565670781</v>
      </c>
      <c r="AG11">
        <f>INDEX($B$25:$GQ$25,MATCH(32,$B$29:$GQ$29,0))</f>
        <v>650.94768746986654</v>
      </c>
      <c r="AH11">
        <f>INDEX($B$25:$GQ$25,MATCH(33,$B$29:$GQ$29,0))</f>
        <v>681.02061967247437</v>
      </c>
      <c r="AI11">
        <f>INDEX($B$25:$GQ$25,MATCH(34,$B$29:$GQ$29,0))</f>
        <v>520.41597129177489</v>
      </c>
      <c r="AJ11">
        <f>INDEX($B$25:$GQ$25,MATCH(35,$B$29:$GQ$29,0))</f>
        <v>612.22501331189062</v>
      </c>
      <c r="AK11">
        <f>INDEX($B$25:$GQ$25,MATCH(36,$B$29:$GQ$29,0))</f>
        <v>642.20081420618135</v>
      </c>
      <c r="AL11">
        <f>INDEX($B$25:$GQ$25,MATCH(37,$B$29:$GQ$29,0))</f>
        <v>141.16715024666831</v>
      </c>
      <c r="AM11">
        <f>INDEX($B$25:$GQ$25,MATCH(38,$B$29:$GQ$29,0))</f>
        <v>339.799204082443</v>
      </c>
      <c r="AN11">
        <f>INDEX($B$25:$GQ$25,MATCH(39,$B$29:$GQ$29,0))</f>
        <v>452.41291703362958</v>
      </c>
      <c r="AO11">
        <f>INDEX($B$25:$GQ$25,MATCH(40,$B$29:$GQ$29,0))</f>
        <v>368.06521018248441</v>
      </c>
      <c r="AP11">
        <f>INDEX($B$25:$GQ$25,MATCH(41,$B$29:$GQ$29,0))</f>
        <v>418.02512320935028</v>
      </c>
      <c r="AQ11">
        <f>INDEX($B$25:$GQ$25,MATCH(42,$B$29:$GQ$29,0))</f>
        <v>387.40908494044669</v>
      </c>
      <c r="AR11">
        <f>INDEX($B$25:$GQ$25,MATCH(43,$B$29:$GQ$29,0))</f>
        <v>121.2008769789722</v>
      </c>
      <c r="AS11">
        <f>INDEX($B$25:$GQ$25,MATCH(44,$B$29:$GQ$29,0))</f>
        <v>14.373668247825639</v>
      </c>
      <c r="AT11">
        <f>INDEX($B$25:$GQ$25,MATCH(45,$B$29:$GQ$29,0))</f>
        <v>108.51761148312811</v>
      </c>
      <c r="AU11">
        <f>INDEX($B$25:$GQ$25,MATCH(46,$B$29:$GQ$29,0))</f>
        <v>101.5882519933358</v>
      </c>
      <c r="AV11">
        <f>INDEX($B$25:$GQ$25,MATCH(47,$B$29:$GQ$29,0))</f>
        <v>356.69921778025088</v>
      </c>
      <c r="AW11">
        <f>INDEX($B$25:$GQ$25,MATCH(48,$B$29:$GQ$29,0))</f>
        <v>327.35387542317602</v>
      </c>
      <c r="AX11">
        <f>INDEX($B$25:$GQ$25,MATCH(49,$B$29:$GQ$29,0))</f>
        <v>285.40510999244628</v>
      </c>
      <c r="AY11">
        <f>INDEX($B$25:$GQ$25,MATCH(50,$B$29:$GQ$29,0))</f>
        <v>235.5604884653369</v>
      </c>
      <c r="AZ11">
        <f>INDEX($B$25:$GQ$25,MATCH(51,$B$29:$GQ$29,0))</f>
        <v>216.66268078191749</v>
      </c>
      <c r="BA11">
        <f>INDEX($B$25:$GQ$25,MATCH(52,$B$29:$GQ$29,0))</f>
        <v>202.51492213624729</v>
      </c>
      <c r="BB11">
        <f>INDEX($B$25:$GQ$25,MATCH(53,$B$29:$GQ$29,0))</f>
        <v>200.46138917240819</v>
      </c>
      <c r="BC11">
        <f>INDEX($B$25:$GQ$25,MATCH(54,$B$29:$GQ$29,0))</f>
        <v>101.82930997506659</v>
      </c>
      <c r="BD11">
        <f>INDEX($B$25:$GQ$25,MATCH(55,$B$29:$GQ$29,0))</f>
        <v>0</v>
      </c>
      <c r="BE11">
        <f>INDEX($B$25:$GQ$25,MATCH(56,$B$29:$GQ$29,0))</f>
        <v>183.00655969902579</v>
      </c>
      <c r="BF11">
        <f>INDEX($B$25:$GQ$25,MATCH(57,$B$29:$GQ$29,0))</f>
        <v>120.84767958682291</v>
      </c>
      <c r="BG11">
        <f>INDEX($B$25:$GQ$25,MATCH(58,$B$29:$GQ$29,0))</f>
        <v>127.69583298443879</v>
      </c>
      <c r="BH11">
        <f>INDEX($B$25:$GQ$25,MATCH(59,$B$29:$GQ$29,0))</f>
        <v>48.636973064889077</v>
      </c>
      <c r="BI11">
        <f>INDEX($B$25:$GQ$25,MATCH(60,$B$29:$GQ$29,0))</f>
        <v>79.970750913469985</v>
      </c>
      <c r="BJ11">
        <f>INDEX($B$25:$GQ$25,MATCH(61,$B$29:$GQ$29,0))</f>
        <v>145.7824065977936</v>
      </c>
      <c r="BK11">
        <f>INDEX($B$25:$GQ$25,MATCH(62,$B$29:$GQ$29,0))</f>
        <v>55.05922487807134</v>
      </c>
      <c r="BL11">
        <f>INDEX($B$25:$GQ$25,MATCH(63,$B$29:$GQ$29,0))</f>
        <v>108.78792329737099</v>
      </c>
      <c r="BM11">
        <f>INDEX($B$25:$GQ$25,MATCH(64,$B$29:$GQ$29,0))</f>
        <v>88.948692606378174</v>
      </c>
      <c r="BN11">
        <f>INDEX($B$25:$GQ$25,MATCH(65,$B$29:$GQ$29,0))</f>
        <v>0.99455870271319113</v>
      </c>
      <c r="BO11">
        <f>INDEX($B$25:$GQ$25,MATCH(66,$B$29:$GQ$29,0))</f>
        <v>1.624153324257156</v>
      </c>
      <c r="BP11">
        <f>INDEX($B$25:$GQ$25,MATCH(67,$B$29:$GQ$29,0))</f>
        <v>42.999056210475793</v>
      </c>
      <c r="BQ11">
        <f>INDEX($B$25:$GQ$25,MATCH(68,$B$29:$GQ$29,0))</f>
        <v>99.675321579101919</v>
      </c>
      <c r="BR11">
        <f>INDEX($B$25:$GQ$25,MATCH(69,$B$29:$GQ$29,0))</f>
        <v>96.539578747382251</v>
      </c>
      <c r="BS11">
        <f>INDEX($B$25:$GQ$25,MATCH(70,$B$29:$GQ$29,0))</f>
        <v>20.6504272286715</v>
      </c>
      <c r="BT11">
        <f>INDEX($B$25:$GQ$25,MATCH(71,$B$29:$GQ$29,0))</f>
        <v>33.33261519801863</v>
      </c>
      <c r="BU11">
        <f>INDEX($B$25:$GQ$25,MATCH(72,$B$29:$GQ$29,0))</f>
        <v>92.256208725690811</v>
      </c>
      <c r="BV11">
        <f>INDEX($B$25:$GQ$25,MATCH(73,$B$29:$GQ$29,0))</f>
        <v>22.377559238947519</v>
      </c>
      <c r="BW11">
        <f>INDEX($B$25:$GQ$25,MATCH(74,$B$29:$GQ$29,0))</f>
        <v>87.435701314760678</v>
      </c>
      <c r="BX11">
        <f>INDEX($B$25:$GQ$25,MATCH(75,$B$29:$GQ$29,0))</f>
        <v>77.394908241976154</v>
      </c>
      <c r="BY11">
        <f>INDEX($B$25:$GQ$25,MATCH(76,$B$29:$GQ$29,0))</f>
        <v>30.231420507858768</v>
      </c>
      <c r="BZ11">
        <f>INDEX($B$25:$GQ$25,MATCH(77,$B$29:$GQ$29,0))</f>
        <v>8.0785457501554845</v>
      </c>
      <c r="CA11">
        <f>INDEX($B$25:$GQ$25,MATCH(78,$B$29:$GQ$29,0))</f>
        <v>30.602733319881171</v>
      </c>
      <c r="CB11">
        <f>INDEX($B$25:$GQ$25,MATCH(79,$B$29:$GQ$29,0))</f>
        <v>26.41835416195859</v>
      </c>
      <c r="CC11">
        <f>INDEX($B$25:$GQ$25,MATCH(80,$B$29:$GQ$29,0))</f>
        <v>24.96253056726524</v>
      </c>
      <c r="CD11">
        <f>INDEX($B$25:$GQ$25,MATCH(81,$B$29:$GQ$29,0))</f>
        <v>23.604438533858541</v>
      </c>
      <c r="CE11">
        <f>INDEX($B$25:$GQ$25,MATCH(82,$B$29:$GQ$29,0))</f>
        <v>7.9079419584755737</v>
      </c>
      <c r="CF11">
        <f>INDEX($B$25:$GQ$25,MATCH(83,$B$29:$GQ$29,0))</f>
        <v>22.098414889447341</v>
      </c>
      <c r="CG11">
        <f>INDEX($B$25:$GQ$25,MATCH(84,$B$29:$GQ$29,0))</f>
        <v>21.385067024324432</v>
      </c>
      <c r="CH11">
        <f>INDEX($B$25:$GQ$25,MATCH(85,$B$29:$GQ$29,0))</f>
        <v>7.4015326731739188</v>
      </c>
      <c r="CI11">
        <f>INDEX($B$25:$GQ$25,MATCH(86,$B$29:$GQ$29,0))</f>
        <v>16.151955300114391</v>
      </c>
      <c r="CJ11">
        <f>INDEX($B$25:$GQ$25,MATCH(87,$B$29:$GQ$29,0))</f>
        <v>14.97203867020151</v>
      </c>
      <c r="CK11">
        <f>INDEX($B$25:$GQ$25,MATCH(88,$B$29:$GQ$29,0))</f>
        <v>12.859714090554659</v>
      </c>
      <c r="CL11">
        <f>INDEX($B$25:$GQ$25,MATCH(89,$B$29:$GQ$29,0))</f>
        <v>13.550823414414269</v>
      </c>
      <c r="CM11">
        <f>INDEX($B$25:$GQ$25,MATCH(90,$B$29:$GQ$29,0))</f>
        <v>13.459574835366981</v>
      </c>
      <c r="CN11">
        <f>INDEX($B$25:$GQ$25,MATCH(91,$B$29:$GQ$29,0))</f>
        <v>12.817393612299</v>
      </c>
      <c r="CO11">
        <f>INDEX($B$25:$GQ$25,MATCH(92,$B$29:$GQ$29,0))</f>
        <v>11.20971588047523</v>
      </c>
      <c r="CP11">
        <f>INDEX($B$25:$GQ$25,MATCH(93,$B$29:$GQ$29,0))</f>
        <v>10.623288311456751</v>
      </c>
      <c r="CQ11">
        <f>INDEX($B$25:$GQ$25,MATCH(94,$B$29:$GQ$29,0))</f>
        <v>9.5068134835941809</v>
      </c>
      <c r="CR11">
        <f>INDEX($B$25:$GQ$25,MATCH(95,$B$29:$GQ$29,0))</f>
        <v>9.5528204335082467</v>
      </c>
      <c r="CS11">
        <f>INDEX($B$25:$GQ$25,MATCH(96,$B$29:$GQ$29,0))</f>
        <v>8.917334566582392</v>
      </c>
      <c r="CT11">
        <f>INDEX($B$25:$GQ$25,MATCH(97,$B$29:$GQ$29,0))</f>
        <v>8.0189139810254648</v>
      </c>
      <c r="CU11">
        <f>INDEX($B$25:$GQ$25,MATCH(98,$B$29:$GQ$29,0))</f>
        <v>6.0785677608537316</v>
      </c>
      <c r="CV11">
        <f>INDEX($B$25:$GQ$25,MATCH(99,$B$29:$GQ$29,0))</f>
        <v>6.0199787714686259</v>
      </c>
      <c r="CW11">
        <f>INDEX($B$25:$GQ$25,MATCH(100,$B$29:$GQ$29,0))</f>
        <v>1.142319800024528</v>
      </c>
      <c r="CX11">
        <f>INDEX($B$25:$GQ$25,MATCH(101,$B$29:$GQ$29,0))</f>
        <v>5.2243020966526332</v>
      </c>
      <c r="CY11">
        <f>INDEX($B$25:$GQ$25,MATCH(102,$B$29:$GQ$29,0))</f>
        <v>5.013473636060966</v>
      </c>
      <c r="CZ11">
        <f>INDEX($B$25:$GQ$25,MATCH(103,$B$29:$GQ$29,0))</f>
        <v>4.4670884418227113</v>
      </c>
      <c r="DA11">
        <f>INDEX($B$25:$GQ$25,MATCH(104,$B$29:$GQ$29,0))</f>
        <v>3.9402077970065972</v>
      </c>
      <c r="DB11">
        <f>INDEX($B$25:$GQ$25,MATCH(105,$B$29:$GQ$29,0))</f>
        <v>0</v>
      </c>
      <c r="DC11">
        <f>INDEX($B$25:$GQ$25,MATCH(106,$B$29:$GQ$29,0))</f>
        <v>3.826463271506658</v>
      </c>
      <c r="DD11">
        <f>INDEX($B$25:$GQ$25,MATCH(107,$B$29:$GQ$29,0))</f>
        <v>3.3676913196173222</v>
      </c>
      <c r="DE11">
        <f>INDEX($B$25:$GQ$25,MATCH(108,$B$29:$GQ$29,0))</f>
        <v>2.8055371050239328</v>
      </c>
      <c r="DF11">
        <f>INDEX($B$25:$GQ$25,MATCH(109,$B$29:$GQ$29,0))</f>
        <v>0.1188815628908199</v>
      </c>
      <c r="DG11">
        <f>INDEX($B$25:$GQ$25,MATCH(110,$B$29:$GQ$29,0))</f>
        <v>1.8605979737282361</v>
      </c>
      <c r="DH11">
        <f>INDEX($B$25:$GQ$25,MATCH(111,$B$29:$GQ$29,0))</f>
        <v>1.4047857758165689</v>
      </c>
      <c r="DI11">
        <f>INDEX($B$25:$GQ$25,MATCH(112,$B$29:$GQ$29,0))</f>
        <v>1.1037129264754191</v>
      </c>
      <c r="DJ11">
        <f>INDEX($B$25:$GQ$25,MATCH(113,$B$29:$GQ$29,0))</f>
        <v>1.003037064805254</v>
      </c>
      <c r="DK11">
        <f>INDEX($B$25:$GQ$25,MATCH(114,$B$29:$GQ$29,0))</f>
        <v>1.0160875045738089</v>
      </c>
      <c r="DL11">
        <f>INDEX($B$25:$GQ$25,MATCH(115,$B$29:$GQ$29,0))</f>
        <v>0</v>
      </c>
      <c r="DM11">
        <f>INDEX($B$25:$GQ$25,MATCH(116,$B$29:$GQ$29,0))</f>
        <v>0.35772882448739052</v>
      </c>
      <c r="DN11">
        <f>INDEX($B$25:$GQ$25,MATCH(117,$B$29:$GQ$29,0))</f>
        <v>3.380339979436707E-2</v>
      </c>
      <c r="DO11">
        <f>INDEX($B$25:$GQ$25,MATCH(118,$B$29:$GQ$29,0))</f>
        <v>0.34391963015107729</v>
      </c>
      <c r="DP11">
        <f>INDEX($B$25:$GQ$25,MATCH(119,$B$29:$GQ$29,0))</f>
        <v>0</v>
      </c>
      <c r="DQ11">
        <f>INDEX($B$25:$GQ$25,MATCH(120,$B$29:$GQ$29,0))</f>
        <v>0</v>
      </c>
      <c r="DR11">
        <f>INDEX($B$25:$GQ$25,MATCH(121,$B$29:$GQ$29,0))</f>
        <v>0.24649336376117961</v>
      </c>
      <c r="DS11">
        <f>INDEX($B$25:$GQ$25,MATCH(122,$B$29:$GQ$29,0))</f>
        <v>0.2283160687451174</v>
      </c>
      <c r="DT11">
        <f>INDEX($B$25:$GQ$25,MATCH(123,$B$29:$GQ$29,0))</f>
        <v>0.2009522867690175</v>
      </c>
      <c r="DU11">
        <f>INDEX($B$25:$GQ$25,MATCH(124,$B$29:$GQ$29,0))</f>
        <v>1.4986235155406809E-2</v>
      </c>
      <c r="DV11">
        <f>INDEX($B$25:$GQ$25,MATCH(125,$B$29:$GQ$29,0))</f>
        <v>9.2695522069712336E-2</v>
      </c>
      <c r="DW11">
        <f>INDEX($B$25:$GQ$25,MATCH(126,$B$29:$GQ$29,0))</f>
        <v>0</v>
      </c>
      <c r="DX11">
        <f>INDEX($B$25:$GQ$25,MATCH(127,$B$29:$GQ$29,0))</f>
        <v>0</v>
      </c>
      <c r="DY11">
        <f>INDEX($B$25:$GQ$25,MATCH(128,$B$29:$GQ$29,0))</f>
        <v>8.3618470092748556E-3</v>
      </c>
      <c r="DZ11">
        <f>INDEX($B$25:$GQ$25,MATCH(129,$B$29:$GQ$29,0))</f>
        <v>1.5734010892209281E-3</v>
      </c>
      <c r="EA11">
        <f>INDEX($B$25:$GQ$25,MATCH(130,$B$29:$GQ$29,0))</f>
        <v>3.7158115168198689E-3</v>
      </c>
      <c r="EB11">
        <f>INDEX($B$25:$GQ$25,MATCH(131,$B$29:$GQ$29,0))</f>
        <v>0</v>
      </c>
      <c r="EC11">
        <f>INDEX($B$25:$GQ$25,MATCH(132,$B$29:$GQ$29,0))</f>
        <v>1.113557040705642E-4</v>
      </c>
      <c r="ED11">
        <f>INDEX($B$25:$GQ$25,MATCH(133,$B$29:$GQ$29,0))</f>
        <v>4.2988635387724303E-5</v>
      </c>
      <c r="EE11">
        <f>INDEX($B$25:$GQ$25,MATCH(134,$B$29:$GQ$29,0))</f>
        <v>0</v>
      </c>
      <c r="EF11">
        <f>INDEX($B$25:$GQ$25,MATCH(135,$B$29:$GQ$29,0))</f>
        <v>0</v>
      </c>
      <c r="EG11">
        <f>INDEX($B$25:$GQ$25,MATCH(136,$B$29:$GQ$29,0))</f>
        <v>0</v>
      </c>
      <c r="EH11">
        <f>INDEX($B$25:$GQ$25,MATCH(137,$B$29:$GQ$29,0))</f>
        <v>0</v>
      </c>
      <c r="EI11">
        <f>INDEX($B$25:$GQ$25,MATCH(138,$B$29:$GQ$29,0))</f>
        <v>0</v>
      </c>
      <c r="EJ11">
        <f>INDEX($B$25:$GQ$25,MATCH(139,$B$29:$GQ$29,0))</f>
        <v>0</v>
      </c>
      <c r="EK11">
        <f>INDEX($B$25:$GQ$25,MATCH(140,$B$29:$GQ$29,0))</f>
        <v>0</v>
      </c>
      <c r="EL11">
        <f>INDEX($B$25:$GQ$25,MATCH(141,$B$29:$GQ$29,0))</f>
        <v>0</v>
      </c>
      <c r="EM11">
        <f>INDEX($B$25:$GQ$25,MATCH(142,$B$29:$GQ$29,0))</f>
        <v>0</v>
      </c>
      <c r="EN11">
        <f>INDEX($B$25:$GQ$25,MATCH(143,$B$29:$GQ$29,0))</f>
        <v>0</v>
      </c>
      <c r="EO11">
        <f>INDEX($B$25:$GQ$25,MATCH(144,$B$29:$GQ$29,0))</f>
        <v>0</v>
      </c>
      <c r="EP11">
        <f>INDEX($B$25:$GQ$25,MATCH(145,$B$29:$GQ$29,0))</f>
        <v>0</v>
      </c>
      <c r="EQ11">
        <f>INDEX($B$25:$GQ$25,MATCH(146,$B$29:$GQ$29,0))</f>
        <v>0</v>
      </c>
      <c r="ER11">
        <f>INDEX($B$25:$GQ$25,MATCH(147,$B$29:$GQ$29,0))</f>
        <v>0</v>
      </c>
      <c r="ES11">
        <f>INDEX($B$25:$GQ$25,MATCH(148,$B$29:$GQ$29,0))</f>
        <v>0</v>
      </c>
      <c r="ET11">
        <f>INDEX($B$25:$GQ$25,MATCH(149,$B$29:$GQ$29,0))</f>
        <v>0</v>
      </c>
      <c r="EU11">
        <f>INDEX($B$25:$GQ$25,MATCH(150,$B$29:$GQ$29,0))</f>
        <v>0</v>
      </c>
      <c r="EV11">
        <f>INDEX($B$25:$GQ$25,MATCH(151,$B$29:$GQ$29,0))</f>
        <v>0</v>
      </c>
      <c r="EW11">
        <f>INDEX($B$25:$GQ$25,MATCH(152,$B$29:$GQ$29,0))</f>
        <v>0</v>
      </c>
      <c r="EX11">
        <f>INDEX($B$25:$GQ$25,MATCH(153,$B$29:$GQ$29,0))</f>
        <v>0</v>
      </c>
      <c r="EY11">
        <f>INDEX($B$25:$GQ$25,MATCH(154,$B$29:$GQ$29,0))</f>
        <v>0</v>
      </c>
      <c r="EZ11">
        <f>INDEX($B$25:$GQ$25,MATCH(155,$B$29:$GQ$29,0))</f>
        <v>0</v>
      </c>
      <c r="FA11">
        <f>INDEX($B$25:$GQ$25,MATCH(156,$B$29:$GQ$29,0))</f>
        <v>0</v>
      </c>
      <c r="FB11">
        <f>INDEX($B$25:$GQ$25,MATCH(157,$B$29:$GQ$29,0))</f>
        <v>0</v>
      </c>
      <c r="FC11">
        <f>INDEX($B$25:$GQ$25,MATCH(158,$B$29:$GQ$29,0))</f>
        <v>0</v>
      </c>
      <c r="FD11">
        <f>INDEX($B$25:$GQ$25,MATCH(159,$B$29:$GQ$29,0))</f>
        <v>0</v>
      </c>
      <c r="FE11">
        <f>INDEX($B$25:$GQ$25,MATCH(160,$B$29:$GQ$29,0))</f>
        <v>0</v>
      </c>
      <c r="FF11">
        <f>INDEX($B$25:$GQ$25,MATCH(161,$B$29:$GQ$29,0))</f>
        <v>0</v>
      </c>
      <c r="FG11">
        <f>INDEX($B$25:$GQ$25,MATCH(162,$B$29:$GQ$29,0))</f>
        <v>0</v>
      </c>
      <c r="FH11">
        <f>INDEX($B$25:$GQ$25,MATCH(163,$B$29:$GQ$29,0))</f>
        <v>0</v>
      </c>
      <c r="FI11">
        <f>INDEX($B$25:$GQ$25,MATCH(164,$B$29:$GQ$29,0))</f>
        <v>0</v>
      </c>
      <c r="FJ11">
        <f>INDEX($B$25:$GQ$25,MATCH(165,$B$29:$GQ$29,0))</f>
        <v>0</v>
      </c>
      <c r="FK11">
        <f>INDEX($B$25:$GQ$25,MATCH(166,$B$29:$GQ$29,0))</f>
        <v>0</v>
      </c>
      <c r="FL11">
        <f>INDEX($B$25:$GQ$25,MATCH(167,$B$29:$GQ$29,0))</f>
        <v>0</v>
      </c>
      <c r="FM11">
        <f>INDEX($B$25:$GQ$25,MATCH(168,$B$29:$GQ$29,0))</f>
        <v>0</v>
      </c>
      <c r="FN11">
        <f>INDEX($B$25:$GQ$25,MATCH(169,$B$29:$GQ$29,0))</f>
        <v>0</v>
      </c>
      <c r="FO11">
        <f>INDEX($B$25:$GQ$25,MATCH(170,$B$29:$GQ$29,0))</f>
        <v>0</v>
      </c>
      <c r="FP11">
        <f>INDEX($B$25:$GQ$25,MATCH(171,$B$29:$GQ$29,0))</f>
        <v>0</v>
      </c>
      <c r="FQ11">
        <f>INDEX($B$25:$GQ$25,MATCH(172,$B$29:$GQ$29,0))</f>
        <v>0</v>
      </c>
      <c r="FR11">
        <f>INDEX($B$25:$GQ$25,MATCH(173,$B$29:$GQ$29,0))</f>
        <v>0</v>
      </c>
      <c r="FS11">
        <f>INDEX($B$25:$GQ$25,MATCH(174,$B$29:$GQ$29,0))</f>
        <v>0</v>
      </c>
      <c r="FT11">
        <f>INDEX($B$25:$GQ$25,MATCH(175,$B$29:$GQ$29,0))</f>
        <v>0</v>
      </c>
      <c r="FU11">
        <f>INDEX($B$25:$GQ$25,MATCH(176,$B$29:$GQ$29,0))</f>
        <v>0</v>
      </c>
      <c r="FV11">
        <f>INDEX($B$25:$GQ$25,MATCH(177,$B$29:$GQ$29,0))</f>
        <v>0</v>
      </c>
      <c r="FW11">
        <f>INDEX($B$25:$GQ$25,MATCH(178,$B$29:$GQ$29,0))</f>
        <v>0</v>
      </c>
      <c r="FX11">
        <f>INDEX($B$25:$GQ$25,MATCH(179,$B$29:$GQ$29,0))</f>
        <v>0</v>
      </c>
      <c r="FY11">
        <f>INDEX($B$25:$GQ$25,MATCH(180,$B$29:$GQ$29,0))</f>
        <v>0</v>
      </c>
      <c r="FZ11">
        <f>INDEX($B$25:$GQ$25,MATCH(181,$B$29:$GQ$29,0))</f>
        <v>0</v>
      </c>
      <c r="GA11">
        <f>INDEX($B$25:$GQ$25,MATCH(182,$B$29:$GQ$29,0))</f>
        <v>0</v>
      </c>
      <c r="GB11">
        <f>INDEX($B$25:$GQ$25,MATCH(183,$B$29:$GQ$29,0))</f>
        <v>0</v>
      </c>
      <c r="GC11">
        <f>INDEX($B$25:$GQ$25,MATCH(184,$B$29:$GQ$29,0))</f>
        <v>0</v>
      </c>
      <c r="GD11">
        <f>INDEX($B$25:$GQ$25,MATCH(185,$B$29:$GQ$29,0))</f>
        <v>0</v>
      </c>
      <c r="GE11">
        <f>INDEX($B$25:$GQ$25,MATCH(186,$B$29:$GQ$29,0))</f>
        <v>0</v>
      </c>
      <c r="GF11">
        <f>INDEX($B$25:$GQ$25,MATCH(187,$B$29:$GQ$29,0))</f>
        <v>0</v>
      </c>
      <c r="GG11">
        <f>INDEX($B$25:$GQ$25,MATCH(188,$B$29:$GQ$29,0))</f>
        <v>0</v>
      </c>
      <c r="GH11">
        <f>INDEX($B$25:$GQ$25,MATCH(189,$B$29:$GQ$29,0))</f>
        <v>0</v>
      </c>
      <c r="GI11">
        <f>INDEX($B$25:$GQ$25,MATCH(190,$B$29:$GQ$29,0))</f>
        <v>0</v>
      </c>
      <c r="GJ11">
        <f>INDEX($B$25:$GQ$25,MATCH(191,$B$29:$GQ$29,0))</f>
        <v>0</v>
      </c>
      <c r="GK11">
        <f>INDEX($B$25:$GQ$25,MATCH(192,$B$29:$GQ$29,0))</f>
        <v>0</v>
      </c>
      <c r="GL11">
        <f>INDEX($B$25:$GQ$25,MATCH(193,$B$29:$GQ$29,0))</f>
        <v>0</v>
      </c>
      <c r="GM11">
        <f>INDEX($B$25:$GQ$25,MATCH(194,$B$29:$GQ$29,0))</f>
        <v>0</v>
      </c>
      <c r="GN11">
        <f>INDEX($B$25:$GQ$25,MATCH(195,$B$29:$GQ$29,0))</f>
        <v>0</v>
      </c>
      <c r="GO11">
        <f>INDEX($B$25:$GQ$25,MATCH(196,$B$29:$GQ$29,0))</f>
        <v>0</v>
      </c>
      <c r="GP11">
        <f>INDEX($B$25:$GQ$25,MATCH(197,$B$29:$GQ$29,0))</f>
        <v>0</v>
      </c>
      <c r="GQ11">
        <f>INDEX($B$25:$GQ$25,MATCH(198,$B$29:$GQ$29,0))</f>
        <v>0</v>
      </c>
      <c r="GR11">
        <f>INDEX($GR$25:$HC$25,MATCH(1,$GR$30:$HC$30,0))</f>
        <v>34318.616803607198</v>
      </c>
      <c r="GS11">
        <f>INDEX($GR$25:$HC$25,MATCH(2,$GR$30:$HC$30,0))</f>
        <v>10039.609939743361</v>
      </c>
      <c r="GT11">
        <f>INDEX($GR$25:$HC$25,MATCH(3,$GR$30:$HC$30,0))</f>
        <v>22472.603260473668</v>
      </c>
      <c r="GU11">
        <f>INDEX($GR$25:$HC$25,MATCH(4,$GR$30:$HC$30,0))</f>
        <v>20639.999300374551</v>
      </c>
      <c r="GV11">
        <f>INDEX($GR$25:$HC$25,MATCH(5,$GR$30:$HC$30,0))</f>
        <v>9582.1645248672012</v>
      </c>
      <c r="GW11">
        <f>INDEX($GR$25:$HC$25,MATCH(6,$GR$30:$HC$30,0))</f>
        <v>9777.7906931963644</v>
      </c>
      <c r="GX11">
        <f>INDEX($GR$25:$HC$25,MATCH(7,$GR$30:$HC$30,0))</f>
        <v>7841.7101364422497</v>
      </c>
      <c r="GY11">
        <f>INDEX($GR$25:$HC$25,MATCH(8,$GR$30:$HC$30,0))</f>
        <v>7968.6908657603999</v>
      </c>
      <c r="GZ11">
        <f>INDEX($GR$25:$HC$25,MATCH(9,$GR$30:$HC$30,0))</f>
        <v>7506.6517998974723</v>
      </c>
      <c r="HA11">
        <f>INDEX($GR$25:$HC$25,MATCH(10,$GR$30:$HC$30,0))</f>
        <v>3781.888640759953</v>
      </c>
      <c r="HB11">
        <f>INDEX($GR$25:$HC$25,MATCH(11,$GR$30:$HC$30,0))</f>
        <v>278.76753784936068</v>
      </c>
      <c r="HC11">
        <f>INDEX($GR$25:$HC$25,MATCH(12,$GR$30:$HC$30,0))</f>
        <v>2656.6777816167601</v>
      </c>
    </row>
    <row r="12" spans="1:211" x14ac:dyDescent="0.45">
      <c r="A12" s="1" t="s">
        <v>11</v>
      </c>
      <c r="B12">
        <f>INDEX($B$26:$GQ$26,MATCH(1,$B$29:$GQ$29,0))</f>
        <v>17101.837859214491</v>
      </c>
      <c r="C12">
        <f>INDEX($B$26:$GQ$26,MATCH(2,$B$29:$GQ$29,0))</f>
        <v>16237.794367116559</v>
      </c>
      <c r="D12">
        <f>INDEX($B$26:$GQ$26,MATCH(3,$B$29:$GQ$29,0))</f>
        <v>1949.125120105972</v>
      </c>
      <c r="E12">
        <f>INDEX($B$26:$GQ$26,MATCH(4,$B$29:$GQ$29,0))</f>
        <v>612.58571912775164</v>
      </c>
      <c r="F12">
        <f>INDEX($B$26:$GQ$26,MATCH(5,$B$29:$GQ$29,0))</f>
        <v>1135.503962794603</v>
      </c>
      <c r="G12">
        <f>INDEX($B$26:$GQ$26,MATCH(6,$B$29:$GQ$29,0))</f>
        <v>0</v>
      </c>
      <c r="H12">
        <f>INDEX($B$26:$GQ$26,MATCH(7,$B$29:$GQ$29,0))</f>
        <v>1177.245037117621</v>
      </c>
      <c r="I12">
        <f>INDEX($B$26:$GQ$26,MATCH(8,$B$29:$GQ$29,0))</f>
        <v>6143.9114479527034</v>
      </c>
      <c r="J12">
        <f>INDEX($B$26:$GQ$26,MATCH(9,$B$29:$GQ$29,0))</f>
        <v>961.03511345154243</v>
      </c>
      <c r="K12">
        <f>INDEX($B$26:$GQ$26,MATCH(10,$B$29:$GQ$29,0))</f>
        <v>201.452566143528</v>
      </c>
      <c r="L12">
        <f>INDEX($B$26:$GQ$26,MATCH(11,$B$29:$GQ$29,0))</f>
        <v>658.79473708510295</v>
      </c>
      <c r="M12">
        <f>INDEX($B$26:$GQ$26,MATCH(12,$B$29:$GQ$29,0))</f>
        <v>91.616063220541449</v>
      </c>
      <c r="N12">
        <f>INDEX($B$26:$GQ$26,MATCH(13,$B$29:$GQ$29,0))</f>
        <v>493.76442006406643</v>
      </c>
      <c r="O12">
        <f>INDEX($B$26:$GQ$26,MATCH(14,$B$29:$GQ$29,0))</f>
        <v>0</v>
      </c>
      <c r="P12">
        <f>INDEX($B$26:$GQ$26,MATCH(15,$B$29:$GQ$29,0))</f>
        <v>167.3855878422215</v>
      </c>
      <c r="Q12">
        <f>INDEX($B$26:$GQ$26,MATCH(16,$B$29:$GQ$29,0))</f>
        <v>61.497102118333778</v>
      </c>
      <c r="R12">
        <f>INDEX($B$26:$GQ$26,MATCH(17,$B$29:$GQ$29,0))</f>
        <v>909.61713695790445</v>
      </c>
      <c r="S12">
        <f>INDEX($B$26:$GQ$26,MATCH(18,$B$29:$GQ$29,0))</f>
        <v>28.83929500247892</v>
      </c>
      <c r="T12">
        <f>INDEX($B$26:$GQ$26,MATCH(19,$B$29:$GQ$29,0))</f>
        <v>2545.9562963135099</v>
      </c>
      <c r="U12">
        <f>INDEX($B$26:$GQ$26,MATCH(20,$B$29:$GQ$29,0))</f>
        <v>349.30508768134513</v>
      </c>
      <c r="V12">
        <f>INDEX($B$26:$GQ$26,MATCH(21,$B$29:$GQ$29,0))</f>
        <v>2394.4825593200708</v>
      </c>
      <c r="W12">
        <f>INDEX($B$26:$GQ$26,MATCH(22,$B$29:$GQ$29,0))</f>
        <v>2273.0708835058531</v>
      </c>
      <c r="X12">
        <f>INDEX($B$26:$GQ$26,MATCH(23,$B$29:$GQ$29,0))</f>
        <v>1433.023068304359</v>
      </c>
      <c r="Y12">
        <f>INDEX($B$26:$GQ$26,MATCH(24,$B$29:$GQ$29,0))</f>
        <v>683.90545683398568</v>
      </c>
      <c r="Z12">
        <f>INDEX($B$26:$GQ$26,MATCH(25,$B$29:$GQ$29,0))</f>
        <v>841.91552501769286</v>
      </c>
      <c r="AA12">
        <f>INDEX($B$26:$GQ$26,MATCH(26,$B$29:$GQ$29,0))</f>
        <v>1118.765268541089</v>
      </c>
      <c r="AB12">
        <f>INDEX($B$26:$GQ$26,MATCH(27,$B$29:$GQ$29,0))</f>
        <v>620.89564644914287</v>
      </c>
      <c r="AC12">
        <f>INDEX($B$26:$GQ$26,MATCH(28,$B$29:$GQ$29,0))</f>
        <v>838.76098185660612</v>
      </c>
      <c r="AD12">
        <f>INDEX($B$26:$GQ$26,MATCH(29,$B$29:$GQ$29,0))</f>
        <v>977.90986819272212</v>
      </c>
      <c r="AE12">
        <f>INDEX($B$26:$GQ$26,MATCH(30,$B$29:$GQ$29,0))</f>
        <v>386.20239673200882</v>
      </c>
      <c r="AF12">
        <f>INDEX($B$26:$GQ$26,MATCH(31,$B$29:$GQ$29,0))</f>
        <v>115.9479362049554</v>
      </c>
      <c r="AG12">
        <f>INDEX($B$26:$GQ$26,MATCH(32,$B$29:$GQ$29,0))</f>
        <v>146.91587436892081</v>
      </c>
      <c r="AH12">
        <f>INDEX($B$26:$GQ$26,MATCH(33,$B$29:$GQ$29,0))</f>
        <v>36.52702824013209</v>
      </c>
      <c r="AI12">
        <f>INDEX($B$26:$GQ$26,MATCH(34,$B$29:$GQ$29,0))</f>
        <v>190.6585055725445</v>
      </c>
      <c r="AJ12">
        <f>INDEX($B$26:$GQ$26,MATCH(35,$B$29:$GQ$29,0))</f>
        <v>78.032969667177497</v>
      </c>
      <c r="AK12">
        <f>INDEX($B$26:$GQ$26,MATCH(36,$B$29:$GQ$29,0))</f>
        <v>11.56088394523459</v>
      </c>
      <c r="AL12">
        <f>INDEX($B$26:$GQ$26,MATCH(37,$B$29:$GQ$29,0))</f>
        <v>489.52170269236183</v>
      </c>
      <c r="AM12">
        <f>INDEX($B$26:$GQ$26,MATCH(38,$B$29:$GQ$29,0))</f>
        <v>290.49033652156589</v>
      </c>
      <c r="AN12">
        <f>INDEX($B$26:$GQ$26,MATCH(39,$B$29:$GQ$29,0))</f>
        <v>51.003058734415262</v>
      </c>
      <c r="AO12">
        <f>INDEX($B$26:$GQ$26,MATCH(40,$B$29:$GQ$29,0))</f>
        <v>108.1020295933492</v>
      </c>
      <c r="AP12">
        <f>INDEX($B$26:$GQ$26,MATCH(41,$B$29:$GQ$29,0))</f>
        <v>31.603687569212809</v>
      </c>
      <c r="AQ12">
        <f>INDEX($B$26:$GQ$26,MATCH(42,$B$29:$GQ$29,0))</f>
        <v>36.81825576750915</v>
      </c>
      <c r="AR12">
        <f>INDEX($B$26:$GQ$26,MATCH(43,$B$29:$GQ$29,0))</f>
        <v>289.61959363502763</v>
      </c>
      <c r="AS12">
        <f>INDEX($B$26:$GQ$26,MATCH(44,$B$29:$GQ$29,0))</f>
        <v>379.14351647751931</v>
      </c>
      <c r="AT12">
        <f>INDEX($B$26:$GQ$26,MATCH(45,$B$29:$GQ$29,0))</f>
        <v>267.69478698231921</v>
      </c>
      <c r="AU12">
        <f>INDEX($B$26:$GQ$26,MATCH(46,$B$29:$GQ$29,0))</f>
        <v>272.74645407289472</v>
      </c>
      <c r="AV12">
        <f>INDEX($B$26:$GQ$26,MATCH(47,$B$29:$GQ$29,0))</f>
        <v>0</v>
      </c>
      <c r="AW12">
        <f>INDEX($B$26:$GQ$26,MATCH(48,$B$29:$GQ$29,0))</f>
        <v>21.161197207892069</v>
      </c>
      <c r="AX12">
        <f>INDEX($B$26:$GQ$26,MATCH(49,$B$29:$GQ$29,0))</f>
        <v>49.953101022287477</v>
      </c>
      <c r="AY12">
        <f>INDEX($B$26:$GQ$26,MATCH(50,$B$29:$GQ$29,0))</f>
        <v>24.445767133195911</v>
      </c>
      <c r="AZ12">
        <f>INDEX($B$26:$GQ$26,MATCH(51,$B$29:$GQ$29,0))</f>
        <v>0</v>
      </c>
      <c r="BA12">
        <f>INDEX($B$26:$GQ$26,MATCH(52,$B$29:$GQ$29,0))</f>
        <v>2.5393726239097241</v>
      </c>
      <c r="BB12">
        <f>INDEX($B$26:$GQ$26,MATCH(53,$B$29:$GQ$29,0))</f>
        <v>0</v>
      </c>
      <c r="BC12">
        <f>INDEX($B$26:$GQ$26,MATCH(54,$B$29:$GQ$29,0))</f>
        <v>93.802893819310128</v>
      </c>
      <c r="BD12">
        <f>INDEX($B$26:$GQ$26,MATCH(55,$B$29:$GQ$29,0))</f>
        <v>183.66776650082579</v>
      </c>
      <c r="BE12">
        <f>INDEX($B$26:$GQ$26,MATCH(56,$B$29:$GQ$29,0))</f>
        <v>0</v>
      </c>
      <c r="BF12">
        <f>INDEX($B$26:$GQ$26,MATCH(57,$B$29:$GQ$29,0))</f>
        <v>50.408115021956093</v>
      </c>
      <c r="BG12">
        <f>INDEX($B$26:$GQ$26,MATCH(58,$B$29:$GQ$29,0))</f>
        <v>43.192724551118012</v>
      </c>
      <c r="BH12">
        <f>INDEX($B$26:$GQ$26,MATCH(59,$B$29:$GQ$29,0))</f>
        <v>119.818371526353</v>
      </c>
      <c r="BI12">
        <f>INDEX($B$26:$GQ$26,MATCH(60,$B$29:$GQ$29,0))</f>
        <v>75.022711178977971</v>
      </c>
      <c r="BJ12">
        <f>INDEX($B$26:$GQ$26,MATCH(61,$B$29:$GQ$29,0))</f>
        <v>0</v>
      </c>
      <c r="BK12">
        <f>INDEX($B$26:$GQ$26,MATCH(62,$B$29:$GQ$29,0))</f>
        <v>75.130718939807295</v>
      </c>
      <c r="BL12">
        <f>INDEX($B$26:$GQ$26,MATCH(63,$B$29:$GQ$29,0))</f>
        <v>8.968998012708095</v>
      </c>
      <c r="BM12">
        <f>INDEX($B$26:$GQ$26,MATCH(64,$B$29:$GQ$29,0))</f>
        <v>25.059002560739671</v>
      </c>
      <c r="BN12">
        <f>INDEX($B$26:$GQ$26,MATCH(65,$B$29:$GQ$29,0))</f>
        <v>111.9565293761828</v>
      </c>
      <c r="BO12">
        <f>INDEX($B$26:$GQ$26,MATCH(66,$B$29:$GQ$29,0))</f>
        <v>105.1161814629027</v>
      </c>
      <c r="BP12">
        <f>INDEX($B$26:$GQ$26,MATCH(67,$B$29:$GQ$29,0))</f>
        <v>62.491420368042007</v>
      </c>
      <c r="BQ12">
        <f>INDEX($B$26:$GQ$26,MATCH(68,$B$29:$GQ$29,0))</f>
        <v>0</v>
      </c>
      <c r="BR12">
        <f>INDEX($B$26:$GQ$26,MATCH(69,$B$29:$GQ$29,0))</f>
        <v>0</v>
      </c>
      <c r="BS12">
        <f>INDEX($B$26:$GQ$26,MATCH(70,$B$29:$GQ$29,0))</f>
        <v>75.003286851269564</v>
      </c>
      <c r="BT12">
        <f>INDEX($B$26:$GQ$26,MATCH(71,$B$29:$GQ$29,0))</f>
        <v>59.836737246601992</v>
      </c>
      <c r="BU12">
        <f>INDEX($B$26:$GQ$26,MATCH(72,$B$29:$GQ$29,0))</f>
        <v>0</v>
      </c>
      <c r="BV12">
        <f>INDEX($B$26:$GQ$26,MATCH(73,$B$29:$GQ$29,0))</f>
        <v>69.041921208097904</v>
      </c>
      <c r="BW12">
        <f>INDEX($B$26:$GQ$26,MATCH(74,$B$29:$GQ$29,0))</f>
        <v>0</v>
      </c>
      <c r="BX12">
        <f>INDEX($B$26:$GQ$26,MATCH(75,$B$29:$GQ$29,0))</f>
        <v>0</v>
      </c>
      <c r="BY12">
        <f>INDEX($B$26:$GQ$26,MATCH(76,$B$29:$GQ$29,0))</f>
        <v>44.21878994395513</v>
      </c>
      <c r="BZ12">
        <f>INDEX($B$26:$GQ$26,MATCH(77,$B$29:$GQ$29,0))</f>
        <v>57.355271481737077</v>
      </c>
      <c r="CA12">
        <f>INDEX($B$26:$GQ$26,MATCH(78,$B$29:$GQ$29,0))</f>
        <v>2.9539758071711311</v>
      </c>
      <c r="CB12">
        <f>INDEX($B$26:$GQ$26,MATCH(79,$B$29:$GQ$29,0))</f>
        <v>0</v>
      </c>
      <c r="CC12">
        <f>INDEX($B$26:$GQ$26,MATCH(80,$B$29:$GQ$29,0))</f>
        <v>0</v>
      </c>
      <c r="CD12">
        <f>INDEX($B$26:$GQ$26,MATCH(81,$B$29:$GQ$29,0))</f>
        <v>0.1168320072793651</v>
      </c>
      <c r="CE12">
        <f>INDEX($B$26:$GQ$26,MATCH(82,$B$29:$GQ$29,0))</f>
        <v>15.49548506777486</v>
      </c>
      <c r="CF12">
        <f>INDEX($B$26:$GQ$26,MATCH(83,$B$29:$GQ$29,0))</f>
        <v>0.47008894994996392</v>
      </c>
      <c r="CG12">
        <f>INDEX($B$26:$GQ$26,MATCH(84,$B$29:$GQ$29,0))</f>
        <v>0.52827371169447135</v>
      </c>
      <c r="CH12">
        <f>INDEX($B$26:$GQ$26,MATCH(85,$B$29:$GQ$29,0))</f>
        <v>10.06591531287458</v>
      </c>
      <c r="CI12">
        <f>INDEX($B$26:$GQ$26,MATCH(86,$B$29:$GQ$29,0))</f>
        <v>0.68830114017920663</v>
      </c>
      <c r="CJ12">
        <f>INDEX($B$26:$GQ$26,MATCH(87,$B$29:$GQ$29,0))</f>
        <v>0.29264589353082099</v>
      </c>
      <c r="CK12">
        <f>INDEX($B$26:$GQ$26,MATCH(88,$B$29:$GQ$29,0))</f>
        <v>1.743255500313911</v>
      </c>
      <c r="CL12">
        <f>INDEX($B$26:$GQ$26,MATCH(89,$B$29:$GQ$29,0))</f>
        <v>0.28487433461940659</v>
      </c>
      <c r="CM12">
        <f>INDEX($B$26:$GQ$26,MATCH(90,$B$29:$GQ$29,0))</f>
        <v>0.20210771766126709</v>
      </c>
      <c r="CN12">
        <f>INDEX($B$26:$GQ$26,MATCH(91,$B$29:$GQ$29,0))</f>
        <v>0.33893042102337578</v>
      </c>
      <c r="CO12">
        <f>INDEX($B$26:$GQ$26,MATCH(92,$B$29:$GQ$29,0))</f>
        <v>0</v>
      </c>
      <c r="CP12">
        <f>INDEX($B$26:$GQ$26,MATCH(93,$B$29:$GQ$29,0))</f>
        <v>0</v>
      </c>
      <c r="CQ12">
        <f>INDEX($B$26:$GQ$26,MATCH(94,$B$29:$GQ$29,0))</f>
        <v>0.16445314743704351</v>
      </c>
      <c r="CR12">
        <f>INDEX($B$26:$GQ$26,MATCH(95,$B$29:$GQ$29,0))</f>
        <v>0</v>
      </c>
      <c r="CS12">
        <f>INDEX($B$26:$GQ$26,MATCH(96,$B$29:$GQ$29,0))</f>
        <v>0.18254775995316699</v>
      </c>
      <c r="CT12">
        <f>INDEX($B$26:$GQ$26,MATCH(97,$B$29:$GQ$29,0))</f>
        <v>0.26990507791588669</v>
      </c>
      <c r="CU12">
        <f>INDEX($B$26:$GQ$26,MATCH(98,$B$29:$GQ$29,0))</f>
        <v>9.8709113028217055E-2</v>
      </c>
      <c r="CV12">
        <f>INDEX($B$26:$GQ$26,MATCH(99,$B$29:$GQ$29,0))</f>
        <v>9.4285673056566766E-2</v>
      </c>
      <c r="CW12">
        <f>INDEX($B$26:$GQ$26,MATCH(100,$B$29:$GQ$29,0))</f>
        <v>4.7803701397330309</v>
      </c>
      <c r="CX12">
        <f>INDEX($B$26:$GQ$26,MATCH(101,$B$29:$GQ$29,0))</f>
        <v>6.3416778424430775E-2</v>
      </c>
      <c r="CY12">
        <f>INDEX($B$26:$GQ$26,MATCH(102,$B$29:$GQ$29,0))</f>
        <v>0.21825401522493221</v>
      </c>
      <c r="CZ12">
        <f>INDEX($B$26:$GQ$26,MATCH(103,$B$29:$GQ$29,0))</f>
        <v>0.2004657760791288</v>
      </c>
      <c r="DA12">
        <f>INDEX($B$26:$GQ$26,MATCH(104,$B$29:$GQ$29,0))</f>
        <v>0.14769446966289859</v>
      </c>
      <c r="DB12">
        <f>INDEX($B$26:$GQ$26,MATCH(105,$B$29:$GQ$29,0))</f>
        <v>3.9215091726782489</v>
      </c>
      <c r="DC12">
        <f>INDEX($B$26:$GQ$26,MATCH(106,$B$29:$GQ$29,0))</f>
        <v>8.6873608307191222E-2</v>
      </c>
      <c r="DD12">
        <f>INDEX($B$26:$GQ$26,MATCH(107,$B$29:$GQ$29,0))</f>
        <v>3.5376989155530857E-2</v>
      </c>
      <c r="DE12">
        <f>INDEX($B$26:$GQ$26,MATCH(108,$B$29:$GQ$29,0))</f>
        <v>3.6388507121008461E-2</v>
      </c>
      <c r="DF12">
        <f>INDEX($B$26:$GQ$26,MATCH(109,$B$29:$GQ$29,0))</f>
        <v>1.849384498261371</v>
      </c>
      <c r="DG12">
        <f>INDEX($B$26:$GQ$26,MATCH(110,$B$29:$GQ$29,0))</f>
        <v>1.581486565995751E-2</v>
      </c>
      <c r="DH12">
        <f>INDEX($B$26:$GQ$26,MATCH(111,$B$29:$GQ$29,0))</f>
        <v>7.6573689234063907E-2</v>
      </c>
      <c r="DI12">
        <f>INDEX($B$26:$GQ$26,MATCH(112,$B$29:$GQ$29,0))</f>
        <v>1.132439768993046E-2</v>
      </c>
      <c r="DJ12">
        <f>INDEX($B$26:$GQ$26,MATCH(113,$B$29:$GQ$29,0))</f>
        <v>4.5816461161598258E-2</v>
      </c>
      <c r="DK12">
        <f>INDEX($B$26:$GQ$26,MATCH(114,$B$29:$GQ$29,0))</f>
        <v>9.5737246134575595E-3</v>
      </c>
      <c r="DL12">
        <f>INDEX($B$26:$GQ$26,MATCH(115,$B$29:$GQ$29,0))</f>
        <v>0.66607373884393684</v>
      </c>
      <c r="DM12">
        <f>INDEX($B$26:$GQ$26,MATCH(116,$B$29:$GQ$29,0))</f>
        <v>0.2080306885882815</v>
      </c>
      <c r="DN12">
        <f>INDEX($B$26:$GQ$26,MATCH(117,$B$29:$GQ$29,0))</f>
        <v>0.39162507412498693</v>
      </c>
      <c r="DO12">
        <f>INDEX($B$26:$GQ$26,MATCH(118,$B$29:$GQ$29,0))</f>
        <v>0</v>
      </c>
      <c r="DP12">
        <f>INDEX($B$26:$GQ$26,MATCH(119,$B$29:$GQ$29,0))</f>
        <v>0.33354564774411039</v>
      </c>
      <c r="DQ12">
        <f>INDEX($B$26:$GQ$26,MATCH(120,$B$29:$GQ$29,0))</f>
        <v>0.2555276627263679</v>
      </c>
      <c r="DR12">
        <f>INDEX($B$26:$GQ$26,MATCH(121,$B$29:$GQ$29,0))</f>
        <v>0</v>
      </c>
      <c r="DS12">
        <f>INDEX($B$26:$GQ$26,MATCH(122,$B$29:$GQ$29,0))</f>
        <v>6.0681442300455392E-3</v>
      </c>
      <c r="DT12">
        <f>INDEX($B$26:$GQ$26,MATCH(123,$B$29:$GQ$29,0))</f>
        <v>0</v>
      </c>
      <c r="DU12">
        <f>INDEX($B$26:$GQ$26,MATCH(124,$B$29:$GQ$29,0))</f>
        <v>0.1275347060554006</v>
      </c>
      <c r="DV12">
        <f>INDEX($B$26:$GQ$26,MATCH(125,$B$29:$GQ$29,0))</f>
        <v>1.103025734415788E-3</v>
      </c>
      <c r="DW12">
        <f>INDEX($B$26:$GQ$26,MATCH(126,$B$29:$GQ$29,0))</f>
        <v>4.6641429868948682E-2</v>
      </c>
      <c r="DX12">
        <f>INDEX($B$26:$GQ$26,MATCH(127,$B$29:$GQ$29,0))</f>
        <v>2.6579837373389349E-2</v>
      </c>
      <c r="DY12">
        <f>INDEX($B$26:$GQ$26,MATCH(128,$B$29:$GQ$29,0))</f>
        <v>0</v>
      </c>
      <c r="DZ12">
        <f>INDEX($B$26:$GQ$26,MATCH(129,$B$29:$GQ$29,0))</f>
        <v>3.4271293107404469E-3</v>
      </c>
      <c r="EA12">
        <f>INDEX($B$26:$GQ$26,MATCH(130,$B$29:$GQ$29,0))</f>
        <v>0</v>
      </c>
      <c r="EB12">
        <f>INDEX($B$26:$GQ$26,MATCH(131,$B$29:$GQ$29,0))</f>
        <v>1.09916010057457E-3</v>
      </c>
      <c r="EC12">
        <f>INDEX($B$26:$GQ$26,MATCH(132,$B$29:$GQ$29,0))</f>
        <v>2.6449283676383331E-4</v>
      </c>
      <c r="ED12">
        <f>INDEX($B$26:$GQ$26,MATCH(133,$B$29:$GQ$29,0))</f>
        <v>0</v>
      </c>
      <c r="EE12">
        <f>INDEX($B$26:$GQ$26,MATCH(134,$B$29:$GQ$29,0))</f>
        <v>0</v>
      </c>
      <c r="EF12">
        <f>INDEX($B$26:$GQ$26,MATCH(135,$B$29:$GQ$29,0))</f>
        <v>0</v>
      </c>
      <c r="EG12">
        <f>INDEX($B$26:$GQ$26,MATCH(136,$B$29:$GQ$29,0))</f>
        <v>0</v>
      </c>
      <c r="EH12">
        <f>INDEX($B$26:$GQ$26,MATCH(137,$B$29:$GQ$29,0))</f>
        <v>0</v>
      </c>
      <c r="EI12">
        <f>INDEX($B$26:$GQ$26,MATCH(138,$B$29:$GQ$29,0))</f>
        <v>0</v>
      </c>
      <c r="EJ12">
        <f>INDEX($B$26:$GQ$26,MATCH(139,$B$29:$GQ$29,0))</f>
        <v>0</v>
      </c>
      <c r="EK12">
        <f>INDEX($B$26:$GQ$26,MATCH(140,$B$29:$GQ$29,0))</f>
        <v>0</v>
      </c>
      <c r="EL12">
        <f>INDEX($B$26:$GQ$26,MATCH(141,$B$29:$GQ$29,0))</f>
        <v>0</v>
      </c>
      <c r="EM12">
        <f>INDEX($B$26:$GQ$26,MATCH(142,$B$29:$GQ$29,0))</f>
        <v>0</v>
      </c>
      <c r="EN12">
        <f>INDEX($B$26:$GQ$26,MATCH(143,$B$29:$GQ$29,0))</f>
        <v>0</v>
      </c>
      <c r="EO12">
        <f>INDEX($B$26:$GQ$26,MATCH(144,$B$29:$GQ$29,0))</f>
        <v>0</v>
      </c>
      <c r="EP12">
        <f>INDEX($B$26:$GQ$26,MATCH(145,$B$29:$GQ$29,0))</f>
        <v>0</v>
      </c>
      <c r="EQ12">
        <f>INDEX($B$26:$GQ$26,MATCH(146,$B$29:$GQ$29,0))</f>
        <v>0</v>
      </c>
      <c r="ER12">
        <f>INDEX($B$26:$GQ$26,MATCH(147,$B$29:$GQ$29,0))</f>
        <v>0</v>
      </c>
      <c r="ES12">
        <f>INDEX($B$26:$GQ$26,MATCH(148,$B$29:$GQ$29,0))</f>
        <v>0</v>
      </c>
      <c r="ET12">
        <f>INDEX($B$26:$GQ$26,MATCH(149,$B$29:$GQ$29,0))</f>
        <v>0</v>
      </c>
      <c r="EU12">
        <f>INDEX($B$26:$GQ$26,MATCH(150,$B$29:$GQ$29,0))</f>
        <v>0</v>
      </c>
      <c r="EV12">
        <f>INDEX($B$26:$GQ$26,MATCH(151,$B$29:$GQ$29,0))</f>
        <v>0</v>
      </c>
      <c r="EW12">
        <f>INDEX($B$26:$GQ$26,MATCH(152,$B$29:$GQ$29,0))</f>
        <v>0</v>
      </c>
      <c r="EX12">
        <f>INDEX($B$26:$GQ$26,MATCH(153,$B$29:$GQ$29,0))</f>
        <v>0</v>
      </c>
      <c r="EY12">
        <f>INDEX($B$26:$GQ$26,MATCH(154,$B$29:$GQ$29,0))</f>
        <v>0</v>
      </c>
      <c r="EZ12">
        <f>INDEX($B$26:$GQ$26,MATCH(155,$B$29:$GQ$29,0))</f>
        <v>0</v>
      </c>
      <c r="FA12">
        <f>INDEX($B$26:$GQ$26,MATCH(156,$B$29:$GQ$29,0))</f>
        <v>0</v>
      </c>
      <c r="FB12">
        <f>INDEX($B$26:$GQ$26,MATCH(157,$B$29:$GQ$29,0))</f>
        <v>0</v>
      </c>
      <c r="FC12">
        <f>INDEX($B$26:$GQ$26,MATCH(158,$B$29:$GQ$29,0))</f>
        <v>0</v>
      </c>
      <c r="FD12">
        <f>INDEX($B$26:$GQ$26,MATCH(159,$B$29:$GQ$29,0))</f>
        <v>0</v>
      </c>
      <c r="FE12">
        <f>INDEX($B$26:$GQ$26,MATCH(160,$B$29:$GQ$29,0))</f>
        <v>0</v>
      </c>
      <c r="FF12">
        <f>INDEX($B$26:$GQ$26,MATCH(161,$B$29:$GQ$29,0))</f>
        <v>0</v>
      </c>
      <c r="FG12">
        <f>INDEX($B$26:$GQ$26,MATCH(162,$B$29:$GQ$29,0))</f>
        <v>0</v>
      </c>
      <c r="FH12">
        <f>INDEX($B$26:$GQ$26,MATCH(163,$B$29:$GQ$29,0))</f>
        <v>0</v>
      </c>
      <c r="FI12">
        <f>INDEX($B$26:$GQ$26,MATCH(164,$B$29:$GQ$29,0))</f>
        <v>0</v>
      </c>
      <c r="FJ12">
        <f>INDEX($B$26:$GQ$26,MATCH(165,$B$29:$GQ$29,0))</f>
        <v>0</v>
      </c>
      <c r="FK12">
        <f>INDEX($B$26:$GQ$26,MATCH(166,$B$29:$GQ$29,0))</f>
        <v>0</v>
      </c>
      <c r="FL12">
        <f>INDEX($B$26:$GQ$26,MATCH(167,$B$29:$GQ$29,0))</f>
        <v>0</v>
      </c>
      <c r="FM12">
        <f>INDEX($B$26:$GQ$26,MATCH(168,$B$29:$GQ$29,0))</f>
        <v>0</v>
      </c>
      <c r="FN12">
        <f>INDEX($B$26:$GQ$26,MATCH(169,$B$29:$GQ$29,0))</f>
        <v>0</v>
      </c>
      <c r="FO12">
        <f>INDEX($B$26:$GQ$26,MATCH(170,$B$29:$GQ$29,0))</f>
        <v>0</v>
      </c>
      <c r="FP12">
        <f>INDEX($B$26:$GQ$26,MATCH(171,$B$29:$GQ$29,0))</f>
        <v>0</v>
      </c>
      <c r="FQ12">
        <f>INDEX($B$26:$GQ$26,MATCH(172,$B$29:$GQ$29,0))</f>
        <v>0</v>
      </c>
      <c r="FR12">
        <f>INDEX($B$26:$GQ$26,MATCH(173,$B$29:$GQ$29,0))</f>
        <v>0</v>
      </c>
      <c r="FS12">
        <f>INDEX($B$26:$GQ$26,MATCH(174,$B$29:$GQ$29,0))</f>
        <v>0</v>
      </c>
      <c r="FT12">
        <f>INDEX($B$26:$GQ$26,MATCH(175,$B$29:$GQ$29,0))</f>
        <v>0</v>
      </c>
      <c r="FU12">
        <f>INDEX($B$26:$GQ$26,MATCH(176,$B$29:$GQ$29,0))</f>
        <v>0</v>
      </c>
      <c r="FV12">
        <f>INDEX($B$26:$GQ$26,MATCH(177,$B$29:$GQ$29,0))</f>
        <v>0</v>
      </c>
      <c r="FW12">
        <f>INDEX($B$26:$GQ$26,MATCH(178,$B$29:$GQ$29,0))</f>
        <v>0</v>
      </c>
      <c r="FX12">
        <f>INDEX($B$26:$GQ$26,MATCH(179,$B$29:$GQ$29,0))</f>
        <v>0</v>
      </c>
      <c r="FY12">
        <f>INDEX($B$26:$GQ$26,MATCH(180,$B$29:$GQ$29,0))</f>
        <v>0</v>
      </c>
      <c r="FZ12">
        <f>INDEX($B$26:$GQ$26,MATCH(181,$B$29:$GQ$29,0))</f>
        <v>0</v>
      </c>
      <c r="GA12">
        <f>INDEX($B$26:$GQ$26,MATCH(182,$B$29:$GQ$29,0))</f>
        <v>0</v>
      </c>
      <c r="GB12">
        <f>INDEX($B$26:$GQ$26,MATCH(183,$B$29:$GQ$29,0))</f>
        <v>0</v>
      </c>
      <c r="GC12">
        <f>INDEX($B$26:$GQ$26,MATCH(184,$B$29:$GQ$29,0))</f>
        <v>0</v>
      </c>
      <c r="GD12">
        <f>INDEX($B$26:$GQ$26,MATCH(185,$B$29:$GQ$29,0))</f>
        <v>0</v>
      </c>
      <c r="GE12">
        <f>INDEX($B$26:$GQ$26,MATCH(186,$B$29:$GQ$29,0))</f>
        <v>0</v>
      </c>
      <c r="GF12">
        <f>INDEX($B$26:$GQ$26,MATCH(187,$B$29:$GQ$29,0))</f>
        <v>0</v>
      </c>
      <c r="GG12">
        <f>INDEX($B$26:$GQ$26,MATCH(188,$B$29:$GQ$29,0))</f>
        <v>0</v>
      </c>
      <c r="GH12">
        <f>INDEX($B$26:$GQ$26,MATCH(189,$B$29:$GQ$29,0))</f>
        <v>0</v>
      </c>
      <c r="GI12">
        <f>INDEX($B$26:$GQ$26,MATCH(190,$B$29:$GQ$29,0))</f>
        <v>0</v>
      </c>
      <c r="GJ12">
        <f>INDEX($B$26:$GQ$26,MATCH(191,$B$29:$GQ$29,0))</f>
        <v>0</v>
      </c>
      <c r="GK12">
        <f>INDEX($B$26:$GQ$26,MATCH(192,$B$29:$GQ$29,0))</f>
        <v>0</v>
      </c>
      <c r="GL12">
        <f>INDEX($B$26:$GQ$26,MATCH(193,$B$29:$GQ$29,0))</f>
        <v>0</v>
      </c>
      <c r="GM12">
        <f>INDEX($B$26:$GQ$26,MATCH(194,$B$29:$GQ$29,0))</f>
        <v>0</v>
      </c>
      <c r="GN12">
        <f>INDEX($B$26:$GQ$26,MATCH(195,$B$29:$GQ$29,0))</f>
        <v>0</v>
      </c>
      <c r="GO12">
        <f>INDEX($B$26:$GQ$26,MATCH(196,$B$29:$GQ$29,0))</f>
        <v>0</v>
      </c>
      <c r="GP12">
        <f>INDEX($B$26:$GQ$26,MATCH(197,$B$29:$GQ$29,0))</f>
        <v>0</v>
      </c>
      <c r="GQ12">
        <f>INDEX($B$26:$GQ$26,MATCH(198,$B$29:$GQ$29,0))</f>
        <v>0</v>
      </c>
      <c r="GR12">
        <f>INDEX($GR$26:$HC$26,MATCH(1,$GR$30:$HC$30,0))</f>
        <v>28834.530147290239</v>
      </c>
      <c r="GS12">
        <f>INDEX($GR$26:$HC$26,MATCH(2,$GR$30:$HC$30,0))</f>
        <v>16616.937883594081</v>
      </c>
      <c r="GT12">
        <f>INDEX($GR$26:$HC$26,MATCH(3,$GR$30:$HC$30,0))</f>
        <v>2333.430295730665</v>
      </c>
      <c r="GU12">
        <f>INDEX($GR$26:$HC$26,MATCH(4,$GR$30:$HC$30,0))</f>
        <v>939.75868950397728</v>
      </c>
      <c r="GV12">
        <f>INDEX($GR$26:$HC$26,MATCH(5,$GR$30:$HC$30,0))</f>
        <v>1135.503962794603</v>
      </c>
      <c r="GW12">
        <f>INDEX($GR$26:$HC$26,MATCH(6,$GR$30:$HC$30,0))</f>
        <v>0</v>
      </c>
      <c r="GX12">
        <f>INDEX($GR$26:$HC$26,MATCH(7,$GR$30:$HC$30,0))</f>
        <v>1734.5594177349681</v>
      </c>
      <c r="GY12">
        <f>INDEX($GR$26:$HC$26,MATCH(8,$GR$30:$HC$30,0))</f>
        <v>1177.245037117621</v>
      </c>
      <c r="GZ12">
        <f>INDEX($GR$26:$HC$26,MATCH(9,$GR$30:$HC$30,0))</f>
        <v>1587.105851838737</v>
      </c>
      <c r="HA12">
        <f>INDEX($GR$26:$HC$26,MATCH(10,$GR$30:$HC$30,0))</f>
        <v>3480.2573558011932</v>
      </c>
      <c r="HB12">
        <f>INDEX($GR$26:$HC$26,MATCH(11,$GR$30:$HC$30,0))</f>
        <v>5937.792448360452</v>
      </c>
      <c r="HC12">
        <f>INDEX($GR$26:$HC$26,MATCH(12,$GR$30:$HC$30,0))</f>
        <v>3088.1889165772709</v>
      </c>
    </row>
    <row r="13" spans="1:211" x14ac:dyDescent="0.45">
      <c r="A13" s="1" t="s">
        <v>1</v>
      </c>
      <c r="B13">
        <f>INDEX($B$27:$GQ$27,MATCH(1,$B$29:$GQ$29,0))</f>
        <v>39845.773678742044</v>
      </c>
      <c r="C13">
        <f>INDEX($B$27:$GQ$27,MATCH(2,$B$29:$GQ$29,0))</f>
        <v>26263.030638612101</v>
      </c>
      <c r="D13">
        <f>INDEX($B$27:$GQ$27,MATCH(3,$B$29:$GQ$29,0))</f>
        <v>14471.042864415331</v>
      </c>
      <c r="E13">
        <f>INDEX($B$27:$GQ$27,MATCH(4,$B$29:$GQ$29,0))</f>
        <v>12805.87360603321</v>
      </c>
      <c r="F13">
        <f>INDEX($B$27:$GQ$27,MATCH(5,$B$29:$GQ$29,0))</f>
        <v>10717.668487661809</v>
      </c>
      <c r="G13">
        <f>INDEX($B$27:$GQ$27,MATCH(6,$B$29:$GQ$29,0))</f>
        <v>9777.7906931963644</v>
      </c>
      <c r="H13">
        <f>INDEX($B$27:$GQ$27,MATCH(7,$B$29:$GQ$29,0))</f>
        <v>8789.2366850977705</v>
      </c>
      <c r="I13">
        <f>INDEX($B$27:$GQ$27,MATCH(8,$B$29:$GQ$29,0))</f>
        <v>8770.226245627995</v>
      </c>
      <c r="J13">
        <f>INDEX($B$27:$GQ$27,MATCH(9,$B$29:$GQ$29,0))</f>
        <v>5508.526542223367</v>
      </c>
      <c r="K13">
        <f>INDEX($B$27:$GQ$27,MATCH(10,$B$29:$GQ$29,0))</f>
        <v>5492.9379832875948</v>
      </c>
      <c r="L13">
        <f>INDEX($B$27:$GQ$27,MATCH(11,$B$29:$GQ$29,0))</f>
        <v>4773.828585777308</v>
      </c>
      <c r="M13">
        <f>INDEX($B$27:$GQ$27,MATCH(12,$B$29:$GQ$29,0))</f>
        <v>4109.0420628209486</v>
      </c>
      <c r="N13">
        <f>INDEX($B$27:$GQ$27,MATCH(13,$B$29:$GQ$29,0))</f>
        <v>3580.5409454379101</v>
      </c>
      <c r="O13">
        <f>INDEX($B$27:$GQ$27,MATCH(14,$B$29:$GQ$29,0))</f>
        <v>3550.964124879612</v>
      </c>
      <c r="P13">
        <f>INDEX($B$27:$GQ$27,MATCH(15,$B$29:$GQ$29,0))</f>
        <v>3535.5611069964839</v>
      </c>
      <c r="Q13">
        <f>INDEX($B$27:$GQ$27,MATCH(16,$B$29:$GQ$29,0))</f>
        <v>3442.2466440387529</v>
      </c>
      <c r="R13">
        <f>INDEX($B$27:$GQ$27,MATCH(17,$B$29:$GQ$29,0))</f>
        <v>3087.2650157746139</v>
      </c>
      <c r="S13">
        <f>INDEX($B$27:$GQ$27,MATCH(18,$B$29:$GQ$29,0))</f>
        <v>2847.7980146955529</v>
      </c>
      <c r="T13">
        <f>INDEX($B$27:$GQ$27,MATCH(19,$B$29:$GQ$29,0))</f>
        <v>2666.36675582116</v>
      </c>
      <c r="U13">
        <f>INDEX($B$27:$GQ$27,MATCH(20,$B$29:$GQ$29,0))</f>
        <v>2488.7823601881728</v>
      </c>
      <c r="V13">
        <f>INDEX($B$27:$GQ$27,MATCH(21,$B$29:$GQ$29,0))</f>
        <v>2394.4825593200708</v>
      </c>
      <c r="W13">
        <f>INDEX($B$27:$GQ$27,MATCH(22,$B$29:$GQ$29,0))</f>
        <v>2286.263986031187</v>
      </c>
      <c r="X13">
        <f>INDEX($B$27:$GQ$27,MATCH(23,$B$29:$GQ$29,0))</f>
        <v>2195.7357480242181</v>
      </c>
      <c r="Y13">
        <f>INDEX($B$27:$GQ$27,MATCH(24,$B$29:$GQ$29,0))</f>
        <v>1889.750989510092</v>
      </c>
      <c r="Z13">
        <f>INDEX($B$27:$GQ$27,MATCH(25,$B$29:$GQ$29,0))</f>
        <v>1450.781131441837</v>
      </c>
      <c r="AA13">
        <f>INDEX($B$27:$GQ$27,MATCH(26,$B$29:$GQ$29,0))</f>
        <v>1263.9292443574659</v>
      </c>
      <c r="AB13">
        <f>INDEX($B$27:$GQ$27,MATCH(27,$B$29:$GQ$29,0))</f>
        <v>1190.0712066251569</v>
      </c>
      <c r="AC13">
        <f>INDEX($B$27:$GQ$27,MATCH(28,$B$29:$GQ$29,0))</f>
        <v>1044.763118511627</v>
      </c>
      <c r="AD13">
        <f>INDEX($B$27:$GQ$27,MATCH(29,$B$29:$GQ$29,0))</f>
        <v>1004.4771041901651</v>
      </c>
      <c r="AE13">
        <f>INDEX($B$27:$GQ$27,MATCH(30,$B$29:$GQ$29,0))</f>
        <v>864.41523316635698</v>
      </c>
      <c r="AF13">
        <f>INDEX($B$27:$GQ$27,MATCH(31,$B$29:$GQ$29,0))</f>
        <v>808.27471186166326</v>
      </c>
      <c r="AG13">
        <f>INDEX($B$27:$GQ$27,MATCH(32,$B$29:$GQ$29,0))</f>
        <v>797.86356183878729</v>
      </c>
      <c r="AH13">
        <f>INDEX($B$27:$GQ$27,MATCH(33,$B$29:$GQ$29,0))</f>
        <v>717.54764791260641</v>
      </c>
      <c r="AI13">
        <f>INDEX($B$27:$GQ$27,MATCH(34,$B$29:$GQ$29,0))</f>
        <v>711.07447686431942</v>
      </c>
      <c r="AJ13">
        <f>INDEX($B$27:$GQ$27,MATCH(35,$B$29:$GQ$29,0))</f>
        <v>690.25798297906817</v>
      </c>
      <c r="AK13">
        <f>INDEX($B$27:$GQ$27,MATCH(36,$B$29:$GQ$29,0))</f>
        <v>653.76169815141589</v>
      </c>
      <c r="AL13">
        <f>INDEX($B$27:$GQ$27,MATCH(37,$B$29:$GQ$29,0))</f>
        <v>630.68885293903008</v>
      </c>
      <c r="AM13">
        <f>INDEX($B$27:$GQ$27,MATCH(38,$B$29:$GQ$29,0))</f>
        <v>630.28954060400883</v>
      </c>
      <c r="AN13">
        <f>INDEX($B$27:$GQ$27,MATCH(39,$B$29:$GQ$29,0))</f>
        <v>503.41597576804492</v>
      </c>
      <c r="AO13">
        <f>INDEX($B$27:$GQ$27,MATCH(40,$B$29:$GQ$29,0))</f>
        <v>476.16723977583371</v>
      </c>
      <c r="AP13">
        <f>INDEX($B$27:$GQ$27,MATCH(41,$B$29:$GQ$29,0))</f>
        <v>449.62881077856309</v>
      </c>
      <c r="AQ13">
        <f>INDEX($B$27:$GQ$27,MATCH(42,$B$29:$GQ$29,0))</f>
        <v>424.22734070795582</v>
      </c>
      <c r="AR13">
        <f>INDEX($B$27:$GQ$27,MATCH(43,$B$29:$GQ$29,0))</f>
        <v>410.82047061399982</v>
      </c>
      <c r="AS13">
        <f>INDEX($B$27:$GQ$27,MATCH(44,$B$29:$GQ$29,0))</f>
        <v>393.51718472534498</v>
      </c>
      <c r="AT13">
        <f>INDEX($B$27:$GQ$27,MATCH(45,$B$29:$GQ$29,0))</f>
        <v>376.21239846544722</v>
      </c>
      <c r="AU13">
        <f>INDEX($B$27:$GQ$27,MATCH(46,$B$29:$GQ$29,0))</f>
        <v>374.33470606623052</v>
      </c>
      <c r="AV13">
        <f>INDEX($B$27:$GQ$27,MATCH(47,$B$29:$GQ$29,0))</f>
        <v>356.69921778025088</v>
      </c>
      <c r="AW13">
        <f>INDEX($B$27:$GQ$27,MATCH(48,$B$29:$GQ$29,0))</f>
        <v>348.51507263106811</v>
      </c>
      <c r="AX13">
        <f>INDEX($B$27:$GQ$27,MATCH(49,$B$29:$GQ$29,0))</f>
        <v>335.3582110147338</v>
      </c>
      <c r="AY13">
        <f>INDEX($B$27:$GQ$27,MATCH(50,$B$29:$GQ$29,0))</f>
        <v>260.00625559853279</v>
      </c>
      <c r="AZ13">
        <f>INDEX($B$27:$GQ$27,MATCH(51,$B$29:$GQ$29,0))</f>
        <v>216.66268078191749</v>
      </c>
      <c r="BA13">
        <f>INDEX($B$27:$GQ$27,MATCH(52,$B$29:$GQ$29,0))</f>
        <v>205.05429476015701</v>
      </c>
      <c r="BB13">
        <f>INDEX($B$27:$GQ$27,MATCH(53,$B$29:$GQ$29,0))</f>
        <v>200.46138917240819</v>
      </c>
      <c r="BC13">
        <f>INDEX($B$27:$GQ$27,MATCH(54,$B$29:$GQ$29,0))</f>
        <v>195.63220379437669</v>
      </c>
      <c r="BD13">
        <f>INDEX($B$27:$GQ$27,MATCH(55,$B$29:$GQ$29,0))</f>
        <v>183.66776650082579</v>
      </c>
      <c r="BE13">
        <f>INDEX($B$27:$GQ$27,MATCH(56,$B$29:$GQ$29,0))</f>
        <v>183.00655969902579</v>
      </c>
      <c r="BF13">
        <f>INDEX($B$27:$GQ$27,MATCH(57,$B$29:$GQ$29,0))</f>
        <v>171.25579460877901</v>
      </c>
      <c r="BG13">
        <f>INDEX($B$27:$GQ$27,MATCH(58,$B$29:$GQ$29,0))</f>
        <v>170.8885575355568</v>
      </c>
      <c r="BH13">
        <f>INDEX($B$27:$GQ$27,MATCH(59,$B$29:$GQ$29,0))</f>
        <v>168.4553445912421</v>
      </c>
      <c r="BI13">
        <f>INDEX($B$27:$GQ$27,MATCH(60,$B$29:$GQ$29,0))</f>
        <v>154.99346209244791</v>
      </c>
      <c r="BJ13">
        <f>INDEX($B$27:$GQ$27,MATCH(61,$B$29:$GQ$29,0))</f>
        <v>145.7824065977936</v>
      </c>
      <c r="BK13">
        <f>INDEX($B$27:$GQ$27,MATCH(62,$B$29:$GQ$29,0))</f>
        <v>130.1899438178786</v>
      </c>
      <c r="BL13">
        <f>INDEX($B$27:$GQ$27,MATCH(63,$B$29:$GQ$29,0))</f>
        <v>117.75692131007909</v>
      </c>
      <c r="BM13">
        <f>INDEX($B$27:$GQ$27,MATCH(64,$B$29:$GQ$29,0))</f>
        <v>114.0076951671178</v>
      </c>
      <c r="BN13">
        <f>INDEX($B$27:$GQ$27,MATCH(65,$B$29:$GQ$29,0))</f>
        <v>112.95108807889601</v>
      </c>
      <c r="BO13">
        <f>INDEX($B$27:$GQ$27,MATCH(66,$B$29:$GQ$29,0))</f>
        <v>106.7403347871598</v>
      </c>
      <c r="BP13">
        <f>INDEX($B$27:$GQ$27,MATCH(67,$B$29:$GQ$29,0))</f>
        <v>105.4904765785178</v>
      </c>
      <c r="BQ13">
        <f>INDEX($B$27:$GQ$27,MATCH(68,$B$29:$GQ$29,0))</f>
        <v>99.675321579101919</v>
      </c>
      <c r="BR13">
        <f>INDEX($B$27:$GQ$27,MATCH(69,$B$29:$GQ$29,0))</f>
        <v>96.539578747382251</v>
      </c>
      <c r="BS13">
        <f>INDEX($B$27:$GQ$27,MATCH(70,$B$29:$GQ$29,0))</f>
        <v>95.653714079941068</v>
      </c>
      <c r="BT13">
        <f>INDEX($B$27:$GQ$27,MATCH(71,$B$29:$GQ$29,0))</f>
        <v>93.169352444620614</v>
      </c>
      <c r="BU13">
        <f>INDEX($B$27:$GQ$27,MATCH(72,$B$29:$GQ$29,0))</f>
        <v>92.256208725690811</v>
      </c>
      <c r="BV13">
        <f>INDEX($B$27:$GQ$27,MATCH(73,$B$29:$GQ$29,0))</f>
        <v>91.41948044704543</v>
      </c>
      <c r="BW13">
        <f>INDEX($B$27:$GQ$27,MATCH(74,$B$29:$GQ$29,0))</f>
        <v>87.435701314760678</v>
      </c>
      <c r="BX13">
        <f>INDEX($B$27:$GQ$27,MATCH(75,$B$29:$GQ$29,0))</f>
        <v>77.394908241976154</v>
      </c>
      <c r="BY13">
        <f>INDEX($B$27:$GQ$27,MATCH(76,$B$29:$GQ$29,0))</f>
        <v>74.450210451813902</v>
      </c>
      <c r="BZ13">
        <f>INDEX($B$27:$GQ$27,MATCH(77,$B$29:$GQ$29,0))</f>
        <v>65.433817231892561</v>
      </c>
      <c r="CA13">
        <f>INDEX($B$27:$GQ$27,MATCH(78,$B$29:$GQ$29,0))</f>
        <v>33.556709127052301</v>
      </c>
      <c r="CB13">
        <f>INDEX($B$27:$GQ$27,MATCH(79,$B$29:$GQ$29,0))</f>
        <v>26.41835416195859</v>
      </c>
      <c r="CC13">
        <f>INDEX($B$27:$GQ$27,MATCH(80,$B$29:$GQ$29,0))</f>
        <v>24.96253056726524</v>
      </c>
      <c r="CD13">
        <f>INDEX($B$27:$GQ$27,MATCH(81,$B$29:$GQ$29,0))</f>
        <v>23.721270541137908</v>
      </c>
      <c r="CE13">
        <f>INDEX($B$27:$GQ$27,MATCH(82,$B$29:$GQ$29,0))</f>
        <v>23.403427026250441</v>
      </c>
      <c r="CF13">
        <f>INDEX($B$27:$GQ$27,MATCH(83,$B$29:$GQ$29,0))</f>
        <v>22.568503839397309</v>
      </c>
      <c r="CG13">
        <f>INDEX($B$27:$GQ$27,MATCH(84,$B$29:$GQ$29,0))</f>
        <v>21.913340736018899</v>
      </c>
      <c r="CH13">
        <f>INDEX($B$27:$GQ$27,MATCH(85,$B$29:$GQ$29,0))</f>
        <v>17.467447986048501</v>
      </c>
      <c r="CI13">
        <f>INDEX($B$27:$GQ$27,MATCH(86,$B$29:$GQ$29,0))</f>
        <v>16.84025644029359</v>
      </c>
      <c r="CJ13">
        <f>INDEX($B$27:$GQ$27,MATCH(87,$B$29:$GQ$29,0))</f>
        <v>15.264684563732329</v>
      </c>
      <c r="CK13">
        <f>INDEX($B$27:$GQ$27,MATCH(88,$B$29:$GQ$29,0))</f>
        <v>14.602969590868581</v>
      </c>
      <c r="CL13">
        <f>INDEX($B$27:$GQ$27,MATCH(89,$B$29:$GQ$29,0))</f>
        <v>13.835697749033679</v>
      </c>
      <c r="CM13">
        <f>INDEX($B$27:$GQ$27,MATCH(90,$B$29:$GQ$29,0))</f>
        <v>13.661682553028241</v>
      </c>
      <c r="CN13">
        <f>INDEX($B$27:$GQ$27,MATCH(91,$B$29:$GQ$29,0))</f>
        <v>13.156324033322379</v>
      </c>
      <c r="CO13">
        <f>INDEX($B$27:$GQ$27,MATCH(92,$B$29:$GQ$29,0))</f>
        <v>11.20971588047523</v>
      </c>
      <c r="CP13">
        <f>INDEX($B$27:$GQ$27,MATCH(93,$B$29:$GQ$29,0))</f>
        <v>10.623288311456751</v>
      </c>
      <c r="CQ13">
        <f>INDEX($B$27:$GQ$27,MATCH(94,$B$29:$GQ$29,0))</f>
        <v>9.6712666310312247</v>
      </c>
      <c r="CR13">
        <f>INDEX($B$27:$GQ$27,MATCH(95,$B$29:$GQ$29,0))</f>
        <v>9.5528204335082467</v>
      </c>
      <c r="CS13">
        <f>INDEX($B$27:$GQ$27,MATCH(96,$B$29:$GQ$29,0))</f>
        <v>9.0998823265355586</v>
      </c>
      <c r="CT13">
        <f>INDEX($B$27:$GQ$27,MATCH(97,$B$29:$GQ$29,0))</f>
        <v>8.2888190589413515</v>
      </c>
      <c r="CU13">
        <f>INDEX($B$27:$GQ$27,MATCH(98,$B$29:$GQ$29,0))</f>
        <v>6.177276873881949</v>
      </c>
      <c r="CV13">
        <f>INDEX($B$27:$GQ$27,MATCH(99,$B$29:$GQ$29,0))</f>
        <v>6.114264444525193</v>
      </c>
      <c r="CW13">
        <f>INDEX($B$27:$GQ$27,MATCH(100,$B$29:$GQ$29,0))</f>
        <v>5.922689939757559</v>
      </c>
      <c r="CX13">
        <f>INDEX($B$27:$GQ$27,MATCH(101,$B$29:$GQ$29,0))</f>
        <v>5.2877188750770641</v>
      </c>
      <c r="CY13">
        <f>INDEX($B$27:$GQ$27,MATCH(102,$B$29:$GQ$29,0))</f>
        <v>5.2317276512858983</v>
      </c>
      <c r="CZ13">
        <f>INDEX($B$27:$GQ$27,MATCH(103,$B$29:$GQ$29,0))</f>
        <v>4.6675542179018397</v>
      </c>
      <c r="DA13">
        <f>INDEX($B$27:$GQ$27,MATCH(104,$B$29:$GQ$29,0))</f>
        <v>4.0879022666694951</v>
      </c>
      <c r="DB13">
        <f>INDEX($B$27:$GQ$27,MATCH(105,$B$29:$GQ$29,0))</f>
        <v>3.9215091726782489</v>
      </c>
      <c r="DC13">
        <f>INDEX($B$27:$GQ$27,MATCH(106,$B$29:$GQ$29,0))</f>
        <v>3.913336879813849</v>
      </c>
      <c r="DD13">
        <f>INDEX($B$27:$GQ$27,MATCH(107,$B$29:$GQ$29,0))</f>
        <v>3.4030683087728528</v>
      </c>
      <c r="DE13">
        <f>INDEX($B$27:$GQ$27,MATCH(108,$B$29:$GQ$29,0))</f>
        <v>2.8419256121449412</v>
      </c>
      <c r="DF13">
        <f>INDEX($B$27:$GQ$27,MATCH(109,$B$29:$GQ$29,0))</f>
        <v>1.9682660611521909</v>
      </c>
      <c r="DG13">
        <f>INDEX($B$27:$GQ$27,MATCH(110,$B$29:$GQ$29,0))</f>
        <v>1.8764128393881929</v>
      </c>
      <c r="DH13">
        <f>INDEX($B$27:$GQ$27,MATCH(111,$B$29:$GQ$29,0))</f>
        <v>1.481359465050633</v>
      </c>
      <c r="DI13">
        <f>INDEX($B$27:$GQ$27,MATCH(112,$B$29:$GQ$29,0))</f>
        <v>1.1150373241653491</v>
      </c>
      <c r="DJ13">
        <f>INDEX($B$27:$GQ$27,MATCH(113,$B$29:$GQ$29,0))</f>
        <v>1.0488535259668521</v>
      </c>
      <c r="DK13">
        <f>INDEX($B$27:$GQ$27,MATCH(114,$B$29:$GQ$29,0))</f>
        <v>1.025661229187266</v>
      </c>
      <c r="DL13">
        <f>INDEX($B$27:$GQ$27,MATCH(115,$B$29:$GQ$29,0))</f>
        <v>0.66607373884393684</v>
      </c>
      <c r="DM13">
        <f>INDEX($B$27:$GQ$27,MATCH(116,$B$29:$GQ$29,0))</f>
        <v>0.56575951307567196</v>
      </c>
      <c r="DN13">
        <f>INDEX($B$27:$GQ$27,MATCH(117,$B$29:$GQ$29,0))</f>
        <v>0.42542847391935401</v>
      </c>
      <c r="DO13">
        <f>INDEX($B$27:$GQ$27,MATCH(118,$B$29:$GQ$29,0))</f>
        <v>0.34391963015107729</v>
      </c>
      <c r="DP13">
        <f>INDEX($B$27:$GQ$27,MATCH(119,$B$29:$GQ$29,0))</f>
        <v>0.33354564774411039</v>
      </c>
      <c r="DQ13">
        <f>INDEX($B$27:$GQ$27,MATCH(120,$B$29:$GQ$29,0))</f>
        <v>0.2555276627263679</v>
      </c>
      <c r="DR13">
        <f>INDEX($B$27:$GQ$27,MATCH(121,$B$29:$GQ$29,0))</f>
        <v>0.24649336376117961</v>
      </c>
      <c r="DS13">
        <f>INDEX($B$27:$GQ$27,MATCH(122,$B$29:$GQ$29,0))</f>
        <v>0.2343842129751629</v>
      </c>
      <c r="DT13">
        <f>INDEX($B$27:$GQ$27,MATCH(123,$B$29:$GQ$29,0))</f>
        <v>0.2009522867690175</v>
      </c>
      <c r="DU13">
        <f>INDEX($B$27:$GQ$27,MATCH(124,$B$29:$GQ$29,0))</f>
        <v>0.14252094121080741</v>
      </c>
      <c r="DV13">
        <f>INDEX($B$27:$GQ$27,MATCH(125,$B$29:$GQ$29,0))</f>
        <v>9.3798547804128121E-2</v>
      </c>
      <c r="DW13">
        <f>INDEX($B$27:$GQ$27,MATCH(126,$B$29:$GQ$29,0))</f>
        <v>4.6641429868948682E-2</v>
      </c>
      <c r="DX13">
        <f>INDEX($B$27:$GQ$27,MATCH(127,$B$29:$GQ$29,0))</f>
        <v>2.6579837373389349E-2</v>
      </c>
      <c r="DY13">
        <f>INDEX($B$27:$GQ$27,MATCH(128,$B$29:$GQ$29,0))</f>
        <v>8.3618470092748556E-3</v>
      </c>
      <c r="DZ13">
        <f>INDEX($B$27:$GQ$27,MATCH(129,$B$29:$GQ$29,0))</f>
        <v>5.0005303999613743E-3</v>
      </c>
      <c r="EA13">
        <f>INDEX($B$27:$GQ$27,MATCH(130,$B$29:$GQ$29,0))</f>
        <v>3.7158115168198689E-3</v>
      </c>
      <c r="EB13">
        <f>INDEX($B$27:$GQ$27,MATCH(131,$B$29:$GQ$29,0))</f>
        <v>1.09916010057457E-3</v>
      </c>
      <c r="EC13">
        <f>INDEX($B$27:$GQ$27,MATCH(132,$B$29:$GQ$29,0))</f>
        <v>3.7584854083439747E-4</v>
      </c>
      <c r="ED13">
        <f>INDEX($B$27:$GQ$27,MATCH(133,$B$29:$GQ$29,0))</f>
        <v>4.2988635387724303E-5</v>
      </c>
      <c r="EE13">
        <f>INDEX($B$27:$GQ$27,MATCH(134,$B$29:$GQ$29,0))</f>
        <v>0</v>
      </c>
      <c r="EF13">
        <f>INDEX($B$27:$GQ$27,MATCH(135,$B$29:$GQ$29,0))</f>
        <v>0</v>
      </c>
      <c r="EG13">
        <f>INDEX($B$27:$GQ$27,MATCH(136,$B$29:$GQ$29,0))</f>
        <v>0</v>
      </c>
      <c r="EH13">
        <f>INDEX($B$27:$GQ$27,MATCH(137,$B$29:$GQ$29,0))</f>
        <v>0</v>
      </c>
      <c r="EI13">
        <f>INDEX($B$27:$GQ$27,MATCH(138,$B$29:$GQ$29,0))</f>
        <v>0</v>
      </c>
      <c r="EJ13">
        <f>INDEX($B$27:$GQ$27,MATCH(139,$B$29:$GQ$29,0))</f>
        <v>0</v>
      </c>
      <c r="EK13">
        <f>INDEX($B$27:$GQ$27,MATCH(140,$B$29:$GQ$29,0))</f>
        <v>0</v>
      </c>
      <c r="EL13">
        <f>INDEX($B$27:$GQ$27,MATCH(141,$B$29:$GQ$29,0))</f>
        <v>0</v>
      </c>
      <c r="EM13">
        <f>INDEX($B$27:$GQ$27,MATCH(142,$B$29:$GQ$29,0))</f>
        <v>0</v>
      </c>
      <c r="EN13">
        <f>INDEX($B$27:$GQ$27,MATCH(143,$B$29:$GQ$29,0))</f>
        <v>0</v>
      </c>
      <c r="EO13">
        <f>INDEX($B$27:$GQ$27,MATCH(144,$B$29:$GQ$29,0))</f>
        <v>0</v>
      </c>
      <c r="EP13">
        <f>INDEX($B$27:$GQ$27,MATCH(145,$B$29:$GQ$29,0))</f>
        <v>0</v>
      </c>
      <c r="EQ13">
        <f>INDEX($B$27:$GQ$27,MATCH(146,$B$29:$GQ$29,0))</f>
        <v>0</v>
      </c>
      <c r="ER13">
        <f>INDEX($B$27:$GQ$27,MATCH(147,$B$29:$GQ$29,0))</f>
        <v>0</v>
      </c>
      <c r="ES13">
        <f>INDEX($B$27:$GQ$27,MATCH(148,$B$29:$GQ$29,0))</f>
        <v>0</v>
      </c>
      <c r="ET13">
        <f>INDEX($B$27:$GQ$27,MATCH(149,$B$29:$GQ$29,0))</f>
        <v>0</v>
      </c>
      <c r="EU13">
        <f>INDEX($B$27:$GQ$27,MATCH(150,$B$29:$GQ$29,0))</f>
        <v>0</v>
      </c>
      <c r="EV13">
        <f>INDEX($B$27:$GQ$27,MATCH(151,$B$29:$GQ$29,0))</f>
        <v>0</v>
      </c>
      <c r="EW13">
        <f>INDEX($B$27:$GQ$27,MATCH(152,$B$29:$GQ$29,0))</f>
        <v>0</v>
      </c>
      <c r="EX13">
        <f>INDEX($B$27:$GQ$27,MATCH(153,$B$29:$GQ$29,0))</f>
        <v>0</v>
      </c>
      <c r="EY13">
        <f>INDEX($B$27:$GQ$27,MATCH(154,$B$29:$GQ$29,0))</f>
        <v>0</v>
      </c>
      <c r="EZ13">
        <f>INDEX($B$27:$GQ$27,MATCH(155,$B$29:$GQ$29,0))</f>
        <v>0</v>
      </c>
      <c r="FA13">
        <f>INDEX($B$27:$GQ$27,MATCH(156,$B$29:$GQ$29,0))</f>
        <v>0</v>
      </c>
      <c r="FB13">
        <f>INDEX($B$27:$GQ$27,MATCH(157,$B$29:$GQ$29,0))</f>
        <v>0</v>
      </c>
      <c r="FC13">
        <f>INDEX($B$27:$GQ$27,MATCH(158,$B$29:$GQ$29,0))</f>
        <v>0</v>
      </c>
      <c r="FD13">
        <f>INDEX($B$27:$GQ$27,MATCH(159,$B$29:$GQ$29,0))</f>
        <v>0</v>
      </c>
      <c r="FE13">
        <f>INDEX($B$27:$GQ$27,MATCH(160,$B$29:$GQ$29,0))</f>
        <v>0</v>
      </c>
      <c r="FF13">
        <f>INDEX($B$27:$GQ$27,MATCH(161,$B$29:$GQ$29,0))</f>
        <v>0</v>
      </c>
      <c r="FG13">
        <f>INDEX($B$27:$GQ$27,MATCH(162,$B$29:$GQ$29,0))</f>
        <v>0</v>
      </c>
      <c r="FH13">
        <f>INDEX($B$27:$GQ$27,MATCH(163,$B$29:$GQ$29,0))</f>
        <v>0</v>
      </c>
      <c r="FI13">
        <f>INDEX($B$27:$GQ$27,MATCH(164,$B$29:$GQ$29,0))</f>
        <v>0</v>
      </c>
      <c r="FJ13">
        <f>INDEX($B$27:$GQ$27,MATCH(165,$B$29:$GQ$29,0))</f>
        <v>0</v>
      </c>
      <c r="FK13">
        <f>INDEX($B$27:$GQ$27,MATCH(166,$B$29:$GQ$29,0))</f>
        <v>0</v>
      </c>
      <c r="FL13">
        <f>INDEX($B$27:$GQ$27,MATCH(167,$B$29:$GQ$29,0))</f>
        <v>0</v>
      </c>
      <c r="FM13">
        <f>INDEX($B$27:$GQ$27,MATCH(168,$B$29:$GQ$29,0))</f>
        <v>0</v>
      </c>
      <c r="FN13">
        <f>INDEX($B$27:$GQ$27,MATCH(169,$B$29:$GQ$29,0))</f>
        <v>0</v>
      </c>
      <c r="FO13">
        <f>INDEX($B$27:$GQ$27,MATCH(170,$B$29:$GQ$29,0))</f>
        <v>0</v>
      </c>
      <c r="FP13">
        <f>INDEX($B$27:$GQ$27,MATCH(171,$B$29:$GQ$29,0))</f>
        <v>0</v>
      </c>
      <c r="FQ13">
        <f>INDEX($B$27:$GQ$27,MATCH(172,$B$29:$GQ$29,0))</f>
        <v>0</v>
      </c>
      <c r="FR13">
        <f>INDEX($B$27:$GQ$27,MATCH(173,$B$29:$GQ$29,0))</f>
        <v>0</v>
      </c>
      <c r="FS13">
        <f>INDEX($B$27:$GQ$27,MATCH(174,$B$29:$GQ$29,0))</f>
        <v>0</v>
      </c>
      <c r="FT13">
        <f>INDEX($B$27:$GQ$27,MATCH(175,$B$29:$GQ$29,0))</f>
        <v>0</v>
      </c>
      <c r="FU13">
        <f>INDEX($B$27:$GQ$27,MATCH(176,$B$29:$GQ$29,0))</f>
        <v>0</v>
      </c>
      <c r="FV13">
        <f>INDEX($B$27:$GQ$27,MATCH(177,$B$29:$GQ$29,0))</f>
        <v>0</v>
      </c>
      <c r="FW13">
        <f>INDEX($B$27:$GQ$27,MATCH(178,$B$29:$GQ$29,0))</f>
        <v>0</v>
      </c>
      <c r="FX13">
        <f>INDEX($B$27:$GQ$27,MATCH(179,$B$29:$GQ$29,0))</f>
        <v>0</v>
      </c>
      <c r="FY13">
        <f>INDEX($B$27:$GQ$27,MATCH(180,$B$29:$GQ$29,0))</f>
        <v>0</v>
      </c>
      <c r="FZ13">
        <f>INDEX($B$27:$GQ$27,MATCH(181,$B$29:$GQ$29,0))</f>
        <v>0</v>
      </c>
      <c r="GA13">
        <f>INDEX($B$27:$GQ$27,MATCH(182,$B$29:$GQ$29,0))</f>
        <v>0</v>
      </c>
      <c r="GB13">
        <f>INDEX($B$27:$GQ$27,MATCH(183,$B$29:$GQ$29,0))</f>
        <v>0</v>
      </c>
      <c r="GC13">
        <f>INDEX($B$27:$GQ$27,MATCH(184,$B$29:$GQ$29,0))</f>
        <v>0</v>
      </c>
      <c r="GD13">
        <f>INDEX($B$27:$GQ$27,MATCH(185,$B$29:$GQ$29,0))</f>
        <v>0</v>
      </c>
      <c r="GE13">
        <f>INDEX($B$27:$GQ$27,MATCH(186,$B$29:$GQ$29,0))</f>
        <v>0</v>
      </c>
      <c r="GF13">
        <f>INDEX($B$27:$GQ$27,MATCH(187,$B$29:$GQ$29,0))</f>
        <v>0</v>
      </c>
      <c r="GG13">
        <f>INDEX($B$27:$GQ$27,MATCH(188,$B$29:$GQ$29,0))</f>
        <v>0</v>
      </c>
      <c r="GH13">
        <f>INDEX($B$27:$GQ$27,MATCH(189,$B$29:$GQ$29,0))</f>
        <v>0</v>
      </c>
      <c r="GI13">
        <f>INDEX($B$27:$GQ$27,MATCH(190,$B$29:$GQ$29,0))</f>
        <v>0</v>
      </c>
      <c r="GJ13">
        <f>INDEX($B$27:$GQ$27,MATCH(191,$B$29:$GQ$29,0))</f>
        <v>0</v>
      </c>
      <c r="GK13">
        <f>INDEX($B$27:$GQ$27,MATCH(192,$B$29:$GQ$29,0))</f>
        <v>0</v>
      </c>
      <c r="GL13">
        <f>INDEX($B$27:$GQ$27,MATCH(193,$B$29:$GQ$29,0))</f>
        <v>0</v>
      </c>
      <c r="GM13">
        <f>INDEX($B$27:$GQ$27,MATCH(194,$B$29:$GQ$29,0))</f>
        <v>0</v>
      </c>
      <c r="GN13">
        <f>INDEX($B$27:$GQ$27,MATCH(195,$B$29:$GQ$29,0))</f>
        <v>0</v>
      </c>
      <c r="GO13">
        <f>INDEX($B$27:$GQ$27,MATCH(196,$B$29:$GQ$29,0))</f>
        <v>0</v>
      </c>
      <c r="GP13">
        <f>INDEX($B$27:$GQ$27,MATCH(197,$B$29:$GQ$29,0))</f>
        <v>0</v>
      </c>
      <c r="GQ13">
        <f>INDEX($B$27:$GQ$27,MATCH(198,$B$29:$GQ$29,0))</f>
        <v>0</v>
      </c>
      <c r="GR13">
        <f>INDEX($GR$27:$HC$27,MATCH(1,$GR$30:$HC$30,0))</f>
        <v>63153.146950897441</v>
      </c>
      <c r="GS13">
        <f>INDEX($GR$27:$HC$27,MATCH(2,$GR$30:$HC$30,0))</f>
        <v>26656.547823337442</v>
      </c>
      <c r="GT13">
        <f>INDEX($GR$27:$HC$27,MATCH(3,$GR$30:$HC$30,0))</f>
        <v>24806.033556204329</v>
      </c>
      <c r="GU13">
        <f>INDEX($GR$27:$HC$27,MATCH(4,$GR$30:$HC$30,0))</f>
        <v>21579.75798987853</v>
      </c>
      <c r="GV13">
        <f>INDEX($GR$27:$HC$27,MATCH(5,$GR$30:$HC$30,0))</f>
        <v>10717.668487661809</v>
      </c>
      <c r="GW13">
        <f>INDEX($GR$27:$HC$27,MATCH(6,$GR$30:$HC$30,0))</f>
        <v>9777.7906931963644</v>
      </c>
      <c r="GX13">
        <f>INDEX($GR$27:$HC$27,MATCH(7,$GR$30:$HC$30,0))</f>
        <v>9576.2695541772173</v>
      </c>
      <c r="GY13">
        <f>INDEX($GR$27:$HC$27,MATCH(8,$GR$30:$HC$30,0))</f>
        <v>9145.9359028780218</v>
      </c>
      <c r="GZ13">
        <f>INDEX($GR$27:$HC$27,MATCH(9,$GR$30:$HC$30,0))</f>
        <v>9093.7576517362086</v>
      </c>
      <c r="HA13">
        <f>INDEX($GR$27:$HC$27,MATCH(10,$GR$30:$HC$30,0))</f>
        <v>7262.1459965611457</v>
      </c>
      <c r="HB13">
        <f>INDEX($GR$27:$HC$27,MATCH(11,$GR$30:$HC$30,0))</f>
        <v>6216.5599862098125</v>
      </c>
      <c r="HC13">
        <f>INDEX($GR$27:$HC$27,MATCH(12,$GR$30:$HC$30,0))</f>
        <v>5744.8666981940314</v>
      </c>
    </row>
    <row r="14" spans="1:211" x14ac:dyDescent="0.45">
      <c r="A14" s="2" t="str">
        <f>"Part de "&amp;$B$1&amp;" (%)"</f>
        <v>Part de M_imp*Y_dom+M_dom*Y_dom+M_row*Y_imp (%)</v>
      </c>
      <c r="B14" s="3">
        <f>IFERROR(INDEX($B$28:$GQ$28,MATCH(1,$B$29:$GQ$29,0))/SUM($B$28:$GQ$28)*100,0)</f>
        <v>19.303461563820338</v>
      </c>
      <c r="C14" s="3">
        <f>IFERROR(INDEX($B$28:$GQ$28,MATCH(2,$B$29:$GQ$29,0))/SUM($B$28:$GQ$28)*100,0)</f>
        <v>12.723241530440019</v>
      </c>
      <c r="D14" s="3">
        <f>IFERROR(INDEX($B$28:$GQ$28,MATCH(3,$B$29:$GQ$29,0))/SUM($B$28:$GQ$28)*100,0)</f>
        <v>7.0105608181644641</v>
      </c>
      <c r="E14" s="3">
        <f>IFERROR(INDEX($B$28:$GQ$28,MATCH(4,$B$29:$GQ$29,0))/SUM($B$28:$GQ$28)*100,0)</f>
        <v>6.2038621947271873</v>
      </c>
      <c r="F14" s="3">
        <f>IFERROR(INDEX($B$28:$GQ$28,MATCH(5,$B$29:$GQ$29,0))/SUM($B$28:$GQ$28)*100,0)</f>
        <v>5.1922219749926501</v>
      </c>
      <c r="G14" s="3">
        <f>IFERROR(INDEX($B$28:$GQ$28,MATCH(6,$B$29:$GQ$29,0))/SUM($B$28:$GQ$28)*100,0)</f>
        <v>4.7368940140794136</v>
      </c>
      <c r="H14" s="3">
        <f>IFERROR(INDEX($B$28:$GQ$28,MATCH(7,$B$29:$GQ$29,0))/SUM($B$28:$GQ$28)*100,0)</f>
        <v>4.2579846458501702</v>
      </c>
      <c r="I14" s="3">
        <f>IFERROR(INDEX($B$28:$GQ$28,MATCH(8,$B$29:$GQ$29,0))/SUM($B$28:$GQ$28)*100,0)</f>
        <v>4.2487749542383364</v>
      </c>
      <c r="J14" s="3">
        <f>IFERROR(INDEX($B$28:$GQ$28,MATCH(9,$B$29:$GQ$29,0))/SUM($B$28:$GQ$28)*100,0)</f>
        <v>2.668630084545768</v>
      </c>
      <c r="K14" s="3">
        <f>IFERROR(INDEX($B$28:$GQ$28,MATCH(10,$B$29:$GQ$29,0))/SUM($B$28:$GQ$28)*100,0)</f>
        <v>2.6610781381165642</v>
      </c>
      <c r="L14" s="3">
        <f>IFERROR(INDEX($B$28:$GQ$28,MATCH(11,$B$29:$GQ$29,0))/SUM($B$28:$GQ$28)*100,0)</f>
        <v>2.3127024050478506</v>
      </c>
      <c r="M14" s="3">
        <f>IFERROR(INDEX($B$28:$GQ$28,MATCH(12,$B$29:$GQ$29,0))/SUM($B$28:$GQ$28)*100,0)</f>
        <v>1.9906436291912744</v>
      </c>
      <c r="N14" s="3">
        <f>IFERROR(INDEX($B$28:$GQ$28,MATCH(13,$B$29:$GQ$29,0))/SUM($B$28:$GQ$28)*100,0)</f>
        <v>1.7346089217692835</v>
      </c>
      <c r="O14" s="3">
        <f>IFERROR(INDEX($B$28:$GQ$28,MATCH(14,$B$29:$GQ$29,0))/SUM($B$28:$GQ$28)*100,0)</f>
        <v>1.720280300033129</v>
      </c>
      <c r="P14" s="3">
        <f>IFERROR(INDEX($B$28:$GQ$28,MATCH(15,$B$29:$GQ$29,0))/SUM($B$28:$GQ$28)*100,0)</f>
        <v>1.7128182397887715</v>
      </c>
      <c r="Q14" s="3">
        <f>IFERROR(INDEX($B$28:$GQ$28,MATCH(16,$B$29:$GQ$29,0))/SUM($B$28:$GQ$28)*100,0)</f>
        <v>1.667611634853049</v>
      </c>
      <c r="R14" s="3">
        <f>IFERROR(INDEX($B$28:$GQ$28,MATCH(17,$B$29:$GQ$29,0))/SUM($B$28:$GQ$28)*100,0)</f>
        <v>1.4956392125754276</v>
      </c>
      <c r="S14" s="3">
        <f>IFERROR(INDEX($B$28:$GQ$28,MATCH(18,$B$29:$GQ$29,0))/SUM($B$28:$GQ$28)*100,0)</f>
        <v>1.3796283631337181</v>
      </c>
      <c r="T14" s="3">
        <f>IFERROR(INDEX($B$28:$GQ$28,MATCH(19,$B$29:$GQ$29,0))/SUM($B$28:$GQ$28)*100,0)</f>
        <v>1.2917331860844679</v>
      </c>
      <c r="U14" s="3">
        <f>IFERROR(INDEX($B$28:$GQ$28,MATCH(20,$B$29:$GQ$29,0))/SUM($B$28:$GQ$28)*100,0)</f>
        <v>1.2057016389729989</v>
      </c>
      <c r="V14" s="3">
        <f>IFERROR(INDEX($B$28:$GQ$28,MATCH(21,$B$29:$GQ$29,0))/SUM($B$28:$GQ$28)*100,0)</f>
        <v>1.1600176827218376</v>
      </c>
      <c r="W14" s="3">
        <f>IFERROR(INDEX($B$28:$GQ$28,MATCH(22,$B$29:$GQ$29,0))/SUM($B$28:$GQ$28)*100,0)</f>
        <v>1.1075907155153273</v>
      </c>
      <c r="X14" s="3">
        <f>IFERROR(INDEX($B$28:$GQ$28,MATCH(23,$B$29:$GQ$29,0))/SUM($B$28:$GQ$28)*100,0)</f>
        <v>1.0637339095991654</v>
      </c>
      <c r="Y14" s="3">
        <f>IFERROR(INDEX($B$28:$GQ$28,MATCH(24,$B$29:$GQ$29,0))/SUM($B$28:$GQ$28)*100,0)</f>
        <v>0.91549823791377738</v>
      </c>
      <c r="Z14" s="3">
        <f>IFERROR(INDEX($B$28:$GQ$28,MATCH(25,$B$29:$GQ$29,0))/SUM($B$28:$GQ$28)*100,0)</f>
        <v>0.70283734566419442</v>
      </c>
      <c r="AA14" s="3">
        <f>IFERROR(INDEX($B$28:$GQ$28,MATCH(26,$B$29:$GQ$29,0))/SUM($B$28:$GQ$28)*100,0)</f>
        <v>0.61231612126681867</v>
      </c>
      <c r="AB14" s="3">
        <f>IFERROR(INDEX($B$28:$GQ$28,MATCH(27,$B$29:$GQ$29,0))/SUM($B$28:$GQ$28)*100,0)</f>
        <v>0.57653526771784003</v>
      </c>
      <c r="AC14" s="3">
        <f>IFERROR(INDEX($B$28:$GQ$28,MATCH(28,$B$29:$GQ$29,0))/SUM($B$28:$GQ$28)*100,0)</f>
        <v>0.50614012075879877</v>
      </c>
      <c r="AD14" s="3">
        <f>IFERROR(INDEX($B$28:$GQ$28,MATCH(29,$B$29:$GQ$29,0))/SUM($B$28:$GQ$28)*100,0)</f>
        <v>0.48662338266547517</v>
      </c>
      <c r="AE14" s="3">
        <f>IFERROR(INDEX($B$28:$GQ$28,MATCH(30,$B$29:$GQ$29,0))/SUM($B$28:$GQ$28)*100,0)</f>
        <v>0.41876978881476101</v>
      </c>
      <c r="AF14" s="3">
        <f>IFERROR(INDEX($B$28:$GQ$28,MATCH(31,$B$29:$GQ$29,0))/SUM($B$28:$GQ$28)*100,0)</f>
        <v>0.39157226458256977</v>
      </c>
      <c r="AG14" s="3">
        <f>IFERROR(INDEX($B$28:$GQ$28,MATCH(32,$B$29:$GQ$29,0))/SUM($B$28:$GQ$28)*100,0)</f>
        <v>0.38652853683563004</v>
      </c>
      <c r="AH14" s="3">
        <f>IFERROR(INDEX($B$28:$GQ$28,MATCH(33,$B$29:$GQ$29,0))/SUM($B$28:$GQ$28)*100,0)</f>
        <v>0.3476191365580224</v>
      </c>
      <c r="AI14" s="3">
        <f>IFERROR(INDEX($B$28:$GQ$28,MATCH(34,$B$29:$GQ$29,0))/SUM($B$28:$GQ$28)*100,0)</f>
        <v>0.34448318016942037</v>
      </c>
      <c r="AJ14" s="3">
        <f>IFERROR(INDEX($B$28:$GQ$28,MATCH(35,$B$29:$GQ$29,0))/SUM($B$28:$GQ$28)*100,0)</f>
        <v>0.33439853749571496</v>
      </c>
      <c r="AK14" s="3">
        <f>IFERROR(INDEX($B$28:$GQ$28,MATCH(36,$B$29:$GQ$29,0))/SUM($B$28:$GQ$28)*100,0)</f>
        <v>0.31671775064306357</v>
      </c>
      <c r="AL14" s="3">
        <f>IFERROR(INDEX($B$28:$GQ$28,MATCH(37,$B$29:$GQ$29,0))/SUM($B$28:$GQ$28)*100,0)</f>
        <v>0.30554000857394975</v>
      </c>
      <c r="AM14" s="3">
        <f>IFERROR(INDEX($B$28:$GQ$28,MATCH(38,$B$29:$GQ$29,0))/SUM($B$28:$GQ$28)*100,0)</f>
        <v>0.30534655994441157</v>
      </c>
      <c r="AN14" s="3">
        <f>IFERROR(INDEX($B$28:$GQ$28,MATCH(39,$B$29:$GQ$29,0))/SUM($B$28:$GQ$28)*100,0)</f>
        <v>0.24388209944674763</v>
      </c>
      <c r="AO14" s="3">
        <f>IFERROR(INDEX($B$28:$GQ$28,MATCH(40,$B$29:$GQ$29,0))/SUM($B$28:$GQ$28)*100,0)</f>
        <v>0.23068132859136933</v>
      </c>
      <c r="AP14" s="3">
        <f>IFERROR(INDEX($B$28:$GQ$28,MATCH(41,$B$29:$GQ$29,0))/SUM($B$28:$GQ$28)*100,0)</f>
        <v>0.21782466910614282</v>
      </c>
      <c r="AQ14" s="3">
        <f>IFERROR(INDEX($B$28:$GQ$28,MATCH(42,$B$29:$GQ$29,0))/SUM($B$28:$GQ$28)*100,0)</f>
        <v>0.2055188144093347</v>
      </c>
      <c r="AR14" s="3">
        <f>IFERROR(INDEX($B$28:$GQ$28,MATCH(43,$B$29:$GQ$29,0))/SUM($B$28:$GQ$28)*100,0)</f>
        <v>0.1990237968037942</v>
      </c>
      <c r="AS14" s="3">
        <f>IFERROR(INDEX($B$28:$GQ$28,MATCH(44,$B$29:$GQ$29,0))/SUM($B$28:$GQ$28)*100,0)</f>
        <v>0.19064114330652654</v>
      </c>
      <c r="AT14" s="3">
        <f>IFERROR(INDEX($B$28:$GQ$28,MATCH(45,$B$29:$GQ$29,0))/SUM($B$28:$GQ$28)*100,0)</f>
        <v>0.182257762947764</v>
      </c>
      <c r="AU14" s="3">
        <f>IFERROR(INDEX($B$28:$GQ$28,MATCH(46,$B$29:$GQ$29,0))/SUM($B$28:$GQ$28)*100,0)</f>
        <v>0.18134810654733391</v>
      </c>
      <c r="AV14" s="3">
        <f>IFERROR(INDEX($B$28:$GQ$28,MATCH(47,$B$29:$GQ$29,0))/SUM($B$28:$GQ$28)*100,0)</f>
        <v>0.1728045161271225</v>
      </c>
      <c r="AW14" s="3">
        <f>IFERROR(INDEX($B$28:$GQ$28,MATCH(48,$B$29:$GQ$29,0))/SUM($B$28:$GQ$28)*100,0)</f>
        <v>0.16883967075622533</v>
      </c>
      <c r="AX14" s="3">
        <f>IFERROR(INDEX($B$28:$GQ$28,MATCH(49,$B$29:$GQ$29,0))/SUM($B$28:$GQ$28)*100,0)</f>
        <v>0.16246577086513331</v>
      </c>
      <c r="AY14" s="3">
        <f>IFERROR(INDEX($B$28:$GQ$28,MATCH(50,$B$29:$GQ$29,0))/SUM($B$28:$GQ$28)*100,0)</f>
        <v>0.12596118227657357</v>
      </c>
      <c r="AZ14" s="3">
        <f>IFERROR(INDEX($B$28:$GQ$28,MATCH(51,$B$29:$GQ$29,0))/SUM($B$28:$GQ$28)*100,0)</f>
        <v>0.10496319545727185</v>
      </c>
      <c r="BA14" s="3">
        <f>IFERROR(INDEX($B$28:$GQ$28,MATCH(52,$B$29:$GQ$29,0))/SUM($B$28:$GQ$28)*100,0)</f>
        <v>9.9339461427266282E-2</v>
      </c>
      <c r="BB14" s="3">
        <f>IFERROR(INDEX($B$28:$GQ$28,MATCH(53,$B$29:$GQ$29,0))/SUM($B$28:$GQ$28)*100,0)</f>
        <v>9.7114407970049416E-2</v>
      </c>
      <c r="BC14" s="3">
        <f>IFERROR(INDEX($B$28:$GQ$28,MATCH(54,$B$29:$GQ$29,0))/SUM($B$28:$GQ$28)*100,0)</f>
        <v>9.4774887721779597E-2</v>
      </c>
      <c r="BD14" s="3">
        <f>IFERROR(INDEX($B$28:$GQ$28,MATCH(55,$B$29:$GQ$29,0))/SUM($B$28:$GQ$28)*100,0)</f>
        <v>8.8978663075951855E-2</v>
      </c>
      <c r="BE14" s="3">
        <f>IFERROR(INDEX($B$28:$GQ$28,MATCH(56,$B$29:$GQ$29,0))/SUM($B$28:$GQ$28)*100,0)</f>
        <v>8.8658338511866608E-2</v>
      </c>
      <c r="BF14" s="3">
        <f>IFERROR(INDEX($B$28:$GQ$28,MATCH(57,$B$29:$GQ$29,0))/SUM($B$28:$GQ$28)*100,0)</f>
        <v>8.2965628311435086E-2</v>
      </c>
      <c r="BG14" s="3">
        <f>IFERROR(INDEX($B$28:$GQ$28,MATCH(58,$B$29:$GQ$29,0))/SUM($B$28:$GQ$28)*100,0)</f>
        <v>8.2787718684559475E-2</v>
      </c>
      <c r="BH14" s="3">
        <f>IFERROR(INDEX($B$28:$GQ$28,MATCH(59,$B$29:$GQ$29,0))/SUM($B$28:$GQ$28)*100,0)</f>
        <v>8.160893789526269E-2</v>
      </c>
      <c r="BI14" s="3">
        <f>IFERROR(INDEX($B$28:$GQ$28,MATCH(60,$B$29:$GQ$29,0))/SUM($B$28:$GQ$28)*100,0)</f>
        <v>7.5087269286509412E-2</v>
      </c>
      <c r="BJ14" s="3">
        <f>IFERROR(INDEX($B$28:$GQ$28,MATCH(61,$B$29:$GQ$29,0))/SUM($B$28:$GQ$28)*100,0)</f>
        <v>7.0624932649835298E-2</v>
      </c>
      <c r="BK14" s="3">
        <f>IFERROR(INDEX($B$28:$GQ$28,MATCH(62,$B$29:$GQ$29,0))/SUM($B$28:$GQ$28)*100,0)</f>
        <v>6.3071094986043935E-2</v>
      </c>
      <c r="BL14" s="3">
        <f>IFERROR(INDEX($B$28:$GQ$28,MATCH(63,$B$29:$GQ$29,0))/SUM($B$28:$GQ$28)*100,0)</f>
        <v>5.7047862157477661E-2</v>
      </c>
      <c r="BM14" s="3">
        <f>IFERROR(INDEX($B$28:$GQ$28,MATCH(64,$B$29:$GQ$29,0))/SUM($B$28:$GQ$28)*100,0)</f>
        <v>5.5231532944541958E-2</v>
      </c>
      <c r="BN14" s="3">
        <f>IFERROR(INDEX($B$28:$GQ$28,MATCH(65,$B$29:$GQ$29,0))/SUM($B$28:$GQ$28)*100,0)</f>
        <v>5.4719654960191738E-2</v>
      </c>
      <c r="BO14" s="3">
        <f>IFERROR(INDEX($B$28:$GQ$28,MATCH(66,$B$29:$GQ$29,0))/SUM($B$28:$GQ$28)*100,0)</f>
        <v>5.1710828016184818E-2</v>
      </c>
      <c r="BP14" s="3">
        <f>IFERROR(INDEX($B$28:$GQ$28,MATCH(67,$B$29:$GQ$29,0))/SUM($B$28:$GQ$28)*100,0)</f>
        <v>5.1105328670500945E-2</v>
      </c>
      <c r="BQ14" s="3">
        <f>IFERROR(INDEX($B$28:$GQ$28,MATCH(68,$B$29:$GQ$29,0))/SUM($B$28:$GQ$28)*100,0)</f>
        <v>4.8288151071593649E-2</v>
      </c>
      <c r="BR14" s="3">
        <f>IFERROR(INDEX($B$28:$GQ$28,MATCH(69,$B$29:$GQ$29,0))/SUM($B$28:$GQ$28)*100,0)</f>
        <v>4.6769026566341056E-2</v>
      </c>
      <c r="BS14" s="3">
        <f>IFERROR(INDEX($B$28:$GQ$28,MATCH(70,$B$29:$GQ$29,0))/SUM($B$28:$GQ$28)*100,0)</f>
        <v>4.6339865504077128E-2</v>
      </c>
      <c r="BT14" s="3">
        <f>IFERROR(INDEX($B$28:$GQ$28,MATCH(71,$B$29:$GQ$29,0))/SUM($B$28:$GQ$28)*100,0)</f>
        <v>4.513630550484881E-2</v>
      </c>
      <c r="BU14" s="3">
        <f>IFERROR(INDEX($B$28:$GQ$28,MATCH(72,$B$29:$GQ$29,0))/SUM($B$28:$GQ$28)*100,0)</f>
        <v>4.469392898525297E-2</v>
      </c>
      <c r="BV14" s="3">
        <f>IFERROR(INDEX($B$28:$GQ$28,MATCH(73,$B$29:$GQ$29,0))/SUM($B$28:$GQ$28)*100,0)</f>
        <v>4.4288572264201034E-2</v>
      </c>
      <c r="BW14" s="3">
        <f>IFERROR(INDEX($B$28:$GQ$28,MATCH(74,$B$29:$GQ$29,0))/SUM($B$28:$GQ$28)*100,0)</f>
        <v>4.2358612816586261E-2</v>
      </c>
      <c r="BX14" s="3">
        <f>IFERROR(INDEX($B$28:$GQ$28,MATCH(75,$B$29:$GQ$29,0))/SUM($B$28:$GQ$28)*100,0)</f>
        <v>3.7494306134691541E-2</v>
      </c>
      <c r="BY14" s="3">
        <f>IFERROR(INDEX($B$28:$GQ$28,MATCH(76,$B$29:$GQ$29,0))/SUM($B$28:$GQ$28)*100,0)</f>
        <v>3.6067734246095245E-2</v>
      </c>
      <c r="BZ14" s="3">
        <f>IFERROR(INDEX($B$28:$GQ$28,MATCH(77,$B$29:$GQ$29,0))/SUM($B$28:$GQ$28)*100,0)</f>
        <v>3.1699702610712609E-2</v>
      </c>
      <c r="CA14" s="3">
        <f>IFERROR(INDEX($B$28:$GQ$28,MATCH(78,$B$29:$GQ$29,0))/SUM($B$28:$GQ$28)*100,0)</f>
        <v>1.6256696383032898E-2</v>
      </c>
      <c r="CB14" s="3">
        <f>IFERROR(INDEX($B$28:$GQ$28,MATCH(79,$B$29:$GQ$29,0))/SUM($B$28:$GQ$28)*100,0)</f>
        <v>1.2798488699363125E-2</v>
      </c>
      <c r="CC14" s="3">
        <f>IFERROR(INDEX($B$28:$GQ$28,MATCH(80,$B$29:$GQ$29,0))/SUM($B$28:$GQ$28)*100,0)</f>
        <v>1.2093208510040095E-2</v>
      </c>
      <c r="CD14" s="3">
        <f>IFERROR(INDEX($B$28:$GQ$28,MATCH(81,$B$29:$GQ$29,0))/SUM($B$28:$GQ$28)*100,0)</f>
        <v>1.1491874591962886E-2</v>
      </c>
      <c r="CE14" s="3">
        <f>IFERROR(INDEX($B$28:$GQ$28,MATCH(82,$B$29:$GQ$29,0))/SUM($B$28:$GQ$28)*100,0)</f>
        <v>1.1337893893221603E-2</v>
      </c>
      <c r="CF14" s="3">
        <f>IFERROR(INDEX($B$28:$GQ$28,MATCH(83,$B$29:$GQ$29,0))/SUM($B$28:$GQ$28)*100,0)</f>
        <v>1.0933411656884445E-2</v>
      </c>
      <c r="CG14" s="3">
        <f>IFERROR(INDEX($B$28:$GQ$28,MATCH(84,$B$29:$GQ$29,0))/SUM($B$28:$GQ$28)*100,0)</f>
        <v>1.0616014989271347E-2</v>
      </c>
      <c r="CH14" s="3">
        <f>IFERROR(INDEX($B$28:$GQ$28,MATCH(85,$B$29:$GQ$29,0))/SUM($B$28:$GQ$28)*100,0)</f>
        <v>8.4621825525402431E-3</v>
      </c>
      <c r="CI14" s="3">
        <f>IFERROR(INDEX($B$28:$GQ$28,MATCH(86,$B$29:$GQ$29,0))/SUM($B$28:$GQ$28)*100,0)</f>
        <v>8.1583368299236909E-3</v>
      </c>
      <c r="CJ14" s="3">
        <f>IFERROR(INDEX($B$28:$GQ$28,MATCH(87,$B$29:$GQ$29,0))/SUM($B$28:$GQ$28)*100,0)</f>
        <v>7.3950440549997937E-3</v>
      </c>
      <c r="CK14" s="3">
        <f>IFERROR(INDEX($B$28:$GQ$28,MATCH(88,$B$29:$GQ$29,0))/SUM($B$28:$GQ$28)*100,0)</f>
        <v>7.0744733051916545E-3</v>
      </c>
      <c r="CL14" s="3">
        <f>IFERROR(INDEX($B$28:$GQ$28,MATCH(89,$B$29:$GQ$29,0))/SUM($B$28:$GQ$28)*100,0)</f>
        <v>6.7027650626243019E-3</v>
      </c>
      <c r="CM14" s="3">
        <f>IFERROR(INDEX($B$28:$GQ$28,MATCH(90,$B$29:$GQ$29,0))/SUM($B$28:$GQ$28)*100,0)</f>
        <v>6.6184626300829124E-3</v>
      </c>
      <c r="CN14" s="3">
        <f>IFERROR(INDEX($B$28:$GQ$28,MATCH(91,$B$29:$GQ$29,0))/SUM($B$28:$GQ$28)*100,0)</f>
        <v>6.3736394566205863E-3</v>
      </c>
      <c r="CO14" s="3">
        <f>IFERROR(INDEX($B$28:$GQ$28,MATCH(92,$B$29:$GQ$29,0))/SUM($B$28:$GQ$28)*100,0)</f>
        <v>5.430596514067524E-3</v>
      </c>
      <c r="CP14" s="3">
        <f>IFERROR(INDEX($B$28:$GQ$28,MATCH(93,$B$29:$GQ$29,0))/SUM($B$28:$GQ$28)*100,0)</f>
        <v>5.146499080553462E-3</v>
      </c>
      <c r="CQ14" s="3">
        <f>IFERROR(INDEX($B$28:$GQ$28,MATCH(94,$B$29:$GQ$29,0))/SUM($B$28:$GQ$28)*100,0)</f>
        <v>4.6852879602929907E-3</v>
      </c>
      <c r="CR14" s="3">
        <f>IFERROR(INDEX($B$28:$GQ$28,MATCH(95,$B$29:$GQ$29,0))/SUM($B$28:$GQ$28)*100,0)</f>
        <v>4.6279061752208814E-3</v>
      </c>
      <c r="CS14" s="3">
        <f>IFERROR(INDEX($B$28:$GQ$28,MATCH(96,$B$29:$GQ$29,0))/SUM($B$28:$GQ$28)*100,0)</f>
        <v>4.4084783029142783E-3</v>
      </c>
      <c r="CT14" s="3">
        <f>IFERROR(INDEX($B$28:$GQ$28,MATCH(97,$B$29:$GQ$29,0))/SUM($B$28:$GQ$28)*100,0)</f>
        <v>4.0155551101545891E-3</v>
      </c>
      <c r="CU14" s="3">
        <f>IFERROR(INDEX($B$28:$GQ$28,MATCH(98,$B$29:$GQ$29,0))/SUM($B$28:$GQ$28)*100,0)</f>
        <v>2.9926091450866521E-3</v>
      </c>
      <c r="CV14" s="3">
        <f>IFERROR(INDEX($B$28:$GQ$28,MATCH(99,$B$29:$GQ$29,0))/SUM($B$28:$GQ$28)*100,0)</f>
        <v>2.9620824945580911E-3</v>
      </c>
      <c r="CW14" s="3">
        <f>IFERROR(INDEX($B$28:$GQ$28,MATCH(100,$B$29:$GQ$29,0))/SUM($B$28:$GQ$28)*100,0)</f>
        <v>2.8692733771042405E-3</v>
      </c>
      <c r="CX14" s="3">
        <f>IFERROR(INDEX($B$28:$GQ$28,MATCH(101,$B$29:$GQ$29,0))/SUM($B$28:$GQ$28)*100,0)</f>
        <v>2.5616588320831893E-3</v>
      </c>
      <c r="CY14" s="3">
        <f>IFERROR(INDEX($B$28:$GQ$28,MATCH(102,$B$29:$GQ$29,0))/SUM($B$28:$GQ$28)*100,0)</f>
        <v>2.5345336356927708E-3</v>
      </c>
      <c r="CZ14" s="3">
        <f>IFERROR(INDEX($B$28:$GQ$28,MATCH(103,$B$29:$GQ$29,0))/SUM($B$28:$GQ$28)*100,0)</f>
        <v>2.2612173167661322E-3</v>
      </c>
      <c r="DA14" s="3">
        <f>IFERROR(INDEX($B$28:$GQ$28,MATCH(104,$B$29:$GQ$29,0))/SUM($B$28:$GQ$28)*100,0)</f>
        <v>1.9804023613025725E-3</v>
      </c>
      <c r="DB14" s="3">
        <f>IFERROR(INDEX($B$28:$GQ$28,MATCH(105,$B$29:$GQ$29,0))/SUM($B$28:$GQ$28)*100,0)</f>
        <v>1.8997924898456464E-3</v>
      </c>
      <c r="DC14" s="3">
        <f>IFERROR(INDEX($B$28:$GQ$28,MATCH(106,$B$29:$GQ$29,0))/SUM($B$28:$GQ$28)*100,0)</f>
        <v>1.8958333863666145E-3</v>
      </c>
      <c r="DD14" s="3">
        <f>IFERROR(INDEX($B$28:$GQ$28,MATCH(107,$B$29:$GQ$29,0))/SUM($B$28:$GQ$28)*100,0)</f>
        <v>1.6486315167848875E-3</v>
      </c>
      <c r="DE14" s="3">
        <f>IFERROR(INDEX($B$28:$GQ$28,MATCH(108,$B$29:$GQ$29,0))/SUM($B$28:$GQ$28)*100,0)</f>
        <v>1.3767834517050439E-3</v>
      </c>
      <c r="DF14" s="3">
        <f>IFERROR(INDEX($B$28:$GQ$28,MATCH(109,$B$29:$GQ$29,0))/SUM($B$28:$GQ$28)*100,0)</f>
        <v>9.5353521216965547E-4</v>
      </c>
      <c r="DG14" s="3">
        <f>IFERROR(INDEX($B$28:$GQ$28,MATCH(110,$B$29:$GQ$29,0))/SUM($B$28:$GQ$28)*100,0)</f>
        <v>9.0903651200310918E-4</v>
      </c>
      <c r="DH14" s="3">
        <f>IFERROR(INDEX($B$28:$GQ$28,MATCH(111,$B$29:$GQ$29,0))/SUM($B$28:$GQ$28)*100,0)</f>
        <v>7.1765115483407333E-4</v>
      </c>
      <c r="DI14" s="3">
        <f>IFERROR(INDEX($B$28:$GQ$28,MATCH(112,$B$29:$GQ$29,0))/SUM($B$28:$GQ$28)*100,0)</f>
        <v>5.401847709819754E-4</v>
      </c>
      <c r="DJ14" s="3">
        <f>IFERROR(INDEX($B$28:$GQ$28,MATCH(113,$B$29:$GQ$29,0))/SUM($B$28:$GQ$28)*100,0)</f>
        <v>5.0812173676979442E-4</v>
      </c>
      <c r="DK14" s="3">
        <f>IFERROR(INDEX($B$28:$GQ$28,MATCH(114,$B$29:$GQ$29,0))/SUM($B$28:$GQ$28)*100,0)</f>
        <v>4.9688612585981474E-4</v>
      </c>
      <c r="DL14" s="3">
        <f>IFERROR(INDEX($B$28:$GQ$28,MATCH(115,$B$29:$GQ$29,0))/SUM($B$28:$GQ$28)*100,0)</f>
        <v>3.2268237329530404E-4</v>
      </c>
      <c r="DM14" s="3">
        <f>IFERROR(INDEX($B$28:$GQ$28,MATCH(116,$B$29:$GQ$29,0))/SUM($B$28:$GQ$28)*100,0)</f>
        <v>2.7408470225911117E-4</v>
      </c>
      <c r="DN14" s="3">
        <f>IFERROR(INDEX($B$28:$GQ$28,MATCH(117,$B$29:$GQ$29,0))/SUM($B$28:$GQ$28)*100,0)</f>
        <v>2.061007087142663E-4</v>
      </c>
      <c r="DO14" s="3">
        <f>IFERROR(INDEX($B$28:$GQ$28,MATCH(118,$B$29:$GQ$29,0))/SUM($B$28:$GQ$28)*100,0)</f>
        <v>1.6661338829032418E-4</v>
      </c>
      <c r="DP14" s="3">
        <f>IFERROR(INDEX($B$28:$GQ$28,MATCH(119,$B$29:$GQ$29,0))/SUM($B$28:$GQ$28)*100,0)</f>
        <v>1.6158766655955325E-4</v>
      </c>
      <c r="DQ14" s="3">
        <f>IFERROR(INDEX($B$28:$GQ$28,MATCH(120,$B$29:$GQ$29,0))/SUM($B$28:$GQ$28)*100,0)</f>
        <v>1.2379150812079335E-4</v>
      </c>
      <c r="DR14" s="3">
        <f>IFERROR(INDEX($B$28:$GQ$28,MATCH(121,$B$29:$GQ$29,0))/SUM($B$28:$GQ$28)*100,0)</f>
        <v>1.1941480196779891E-4</v>
      </c>
      <c r="DS14" s="3">
        <f>IFERROR(INDEX($B$28:$GQ$28,MATCH(122,$B$29:$GQ$29,0))/SUM($B$28:$GQ$28)*100,0)</f>
        <v>1.1354847022950757E-4</v>
      </c>
      <c r="DT14" s="3">
        <f>IFERROR(INDEX($B$28:$GQ$28,MATCH(123,$B$29:$GQ$29,0))/SUM($B$28:$GQ$28)*100,0)</f>
        <v>9.7352225485259952E-5</v>
      </c>
      <c r="DU14" s="3">
        <f>IFERROR(INDEX($B$28:$GQ$28,MATCH(124,$B$29:$GQ$29,0))/SUM($B$28:$GQ$28)*100,0)</f>
        <v>6.9044901295769597E-5</v>
      </c>
      <c r="DV14" s="3">
        <f>IFERROR(INDEX($B$28:$GQ$28,MATCH(125,$B$29:$GQ$29,0))/SUM($B$28:$GQ$28)*100,0)</f>
        <v>4.544112198391412E-5</v>
      </c>
      <c r="DW14" s="3">
        <f>IFERROR(INDEX($B$28:$GQ$28,MATCH(126,$B$29:$GQ$29,0))/SUM($B$28:$GQ$28)*100,0)</f>
        <v>2.2595647307940467E-5</v>
      </c>
      <c r="DX14" s="3">
        <f>IFERROR(INDEX($B$28:$GQ$28,MATCH(127,$B$29:$GQ$29,0))/SUM($B$28:$GQ$28)*100,0)</f>
        <v>1.2876719956464276E-5</v>
      </c>
      <c r="DY14" s="3">
        <f>IFERROR(INDEX($B$28:$GQ$28,MATCH(128,$B$29:$GQ$29,0))/SUM($B$28:$GQ$28)*100,0)</f>
        <v>4.0509338241861723E-6</v>
      </c>
      <c r="DZ14" s="3">
        <f>IFERROR(INDEX($B$28:$GQ$28,MATCH(129,$B$29:$GQ$29,0))/SUM($B$28:$GQ$28)*100,0)</f>
        <v>2.4225291031522257E-6</v>
      </c>
      <c r="EA14" s="3">
        <f>IFERROR(INDEX($B$28:$GQ$28,MATCH(130,$B$29:$GQ$29,0))/SUM($B$28:$GQ$28)*100,0)</f>
        <v>1.8001413492844439E-6</v>
      </c>
      <c r="EB14" s="3">
        <f>IFERROR(INDEX($B$28:$GQ$28,MATCH(131,$B$29:$GQ$29,0))/SUM($B$28:$GQ$28)*100,0)</f>
        <v>5.3249297968195356E-7</v>
      </c>
      <c r="EC14" s="3">
        <f>IFERROR(INDEX($B$28:$GQ$28,MATCH(132,$B$29:$GQ$29,0))/SUM($B$28:$GQ$28)*100,0)</f>
        <v>1.820814905066188E-7</v>
      </c>
      <c r="ED14" s="3">
        <f>IFERROR(INDEX($B$28:$GQ$28,MATCH(133,$B$29:$GQ$29,0))/SUM($B$28:$GQ$28)*100,0)</f>
        <v>2.0826034840697341E-8</v>
      </c>
      <c r="EE14" s="3">
        <f>IFERROR(INDEX($B$28:$GQ$28,MATCH(134,$B$29:$GQ$29,0))/SUM($B$28:$GQ$28)*100,0)</f>
        <v>0</v>
      </c>
      <c r="EF14" s="3">
        <f>IFERROR(INDEX($B$28:$GQ$28,MATCH(135,$B$29:$GQ$29,0))/SUM($B$28:$GQ$28)*100,0)</f>
        <v>0</v>
      </c>
      <c r="EG14" s="3">
        <f>IFERROR(INDEX($B$28:$GQ$28,MATCH(136,$B$29:$GQ$29,0))/SUM($B$28:$GQ$28)*100,0)</f>
        <v>0</v>
      </c>
      <c r="EH14" s="3">
        <f>IFERROR(INDEX($B$28:$GQ$28,MATCH(137,$B$29:$GQ$29,0))/SUM($B$28:$GQ$28)*100,0)</f>
        <v>0</v>
      </c>
      <c r="EI14" s="3">
        <f>IFERROR(INDEX($B$28:$GQ$28,MATCH(138,$B$29:$GQ$29,0))/SUM($B$28:$GQ$28)*100,0)</f>
        <v>0</v>
      </c>
      <c r="EJ14" s="3">
        <f>IFERROR(INDEX($B$28:$GQ$28,MATCH(139,$B$29:$GQ$29,0))/SUM($B$28:$GQ$28)*100,0)</f>
        <v>0</v>
      </c>
      <c r="EK14" s="3">
        <f>IFERROR(INDEX($B$28:$GQ$28,MATCH(140,$B$29:$GQ$29,0))/SUM($B$28:$GQ$28)*100,0)</f>
        <v>0</v>
      </c>
      <c r="EL14" s="3">
        <f>IFERROR(INDEX($B$28:$GQ$28,MATCH(141,$B$29:$GQ$29,0))/SUM($B$28:$GQ$28)*100,0)</f>
        <v>0</v>
      </c>
      <c r="EM14" s="3">
        <f>IFERROR(INDEX($B$28:$GQ$28,MATCH(142,$B$29:$GQ$29,0))/SUM($B$28:$GQ$28)*100,0)</f>
        <v>0</v>
      </c>
      <c r="EN14" s="3">
        <f>IFERROR(INDEX($B$28:$GQ$28,MATCH(143,$B$29:$GQ$29,0))/SUM($B$28:$GQ$28)*100,0)</f>
        <v>0</v>
      </c>
      <c r="EO14" s="3">
        <f>IFERROR(INDEX($B$28:$GQ$28,MATCH(144,$B$29:$GQ$29,0))/SUM($B$28:$GQ$28)*100,0)</f>
        <v>0</v>
      </c>
      <c r="EP14" s="3">
        <f>IFERROR(INDEX($B$28:$GQ$28,MATCH(145,$B$29:$GQ$29,0))/SUM($B$28:$GQ$28)*100,0)</f>
        <v>0</v>
      </c>
      <c r="EQ14" s="3">
        <f>IFERROR(INDEX($B$28:$GQ$28,MATCH(146,$B$29:$GQ$29,0))/SUM($B$28:$GQ$28)*100,0)</f>
        <v>0</v>
      </c>
      <c r="ER14" s="3">
        <f>IFERROR(INDEX($B$28:$GQ$28,MATCH(147,$B$29:$GQ$29,0))/SUM($B$28:$GQ$28)*100,0)</f>
        <v>0</v>
      </c>
      <c r="ES14" s="3">
        <f>IFERROR(INDEX($B$28:$GQ$28,MATCH(148,$B$29:$GQ$29,0))/SUM($B$28:$GQ$28)*100,0)</f>
        <v>0</v>
      </c>
      <c r="ET14" s="3">
        <f>IFERROR(INDEX($B$28:$GQ$28,MATCH(149,$B$29:$GQ$29,0))/SUM($B$28:$GQ$28)*100,0)</f>
        <v>0</v>
      </c>
      <c r="EU14" s="3">
        <f>IFERROR(INDEX($B$28:$GQ$28,MATCH(150,$B$29:$GQ$29,0))/SUM($B$28:$GQ$28)*100,0)</f>
        <v>0</v>
      </c>
      <c r="EV14" s="3">
        <f>IFERROR(INDEX($B$28:$GQ$28,MATCH(151,$B$29:$GQ$29,0))/SUM($B$28:$GQ$28)*100,0)</f>
        <v>0</v>
      </c>
      <c r="EW14" s="3">
        <f>IFERROR(INDEX($B$28:$GQ$28,MATCH(152,$B$29:$GQ$29,0))/SUM($B$28:$GQ$28)*100,0)</f>
        <v>0</v>
      </c>
      <c r="EX14" s="3">
        <f>IFERROR(INDEX($B$28:$GQ$28,MATCH(153,$B$29:$GQ$29,0))/SUM($B$28:$GQ$28)*100,0)</f>
        <v>0</v>
      </c>
      <c r="EY14" s="3">
        <f>IFERROR(INDEX($B$28:$GQ$28,MATCH(154,$B$29:$GQ$29,0))/SUM($B$28:$GQ$28)*100,0)</f>
        <v>0</v>
      </c>
      <c r="EZ14" s="3">
        <f>IFERROR(INDEX($B$28:$GQ$28,MATCH(155,$B$29:$GQ$29,0))/SUM($B$28:$GQ$28)*100,0)</f>
        <v>0</v>
      </c>
      <c r="FA14" s="3">
        <f>IFERROR(INDEX($B$28:$GQ$28,MATCH(156,$B$29:$GQ$29,0))/SUM($B$28:$GQ$28)*100,0)</f>
        <v>0</v>
      </c>
      <c r="FB14" s="3">
        <f>IFERROR(INDEX($B$28:$GQ$28,MATCH(157,$B$29:$GQ$29,0))/SUM($B$28:$GQ$28)*100,0)</f>
        <v>0</v>
      </c>
      <c r="FC14" s="3">
        <f>IFERROR(INDEX($B$28:$GQ$28,MATCH(158,$B$29:$GQ$29,0))/SUM($B$28:$GQ$28)*100,0)</f>
        <v>0</v>
      </c>
      <c r="FD14" s="3">
        <f>IFERROR(INDEX($B$28:$GQ$28,MATCH(159,$B$29:$GQ$29,0))/SUM($B$28:$GQ$28)*100,0)</f>
        <v>0</v>
      </c>
      <c r="FE14" s="3">
        <f>IFERROR(INDEX($B$28:$GQ$28,MATCH(160,$B$29:$GQ$29,0))/SUM($B$28:$GQ$28)*100,0)</f>
        <v>0</v>
      </c>
      <c r="FF14" s="3">
        <f>IFERROR(INDEX($B$28:$GQ$28,MATCH(161,$B$29:$GQ$29,0))/SUM($B$28:$GQ$28)*100,0)</f>
        <v>0</v>
      </c>
      <c r="FG14" s="3">
        <f>IFERROR(INDEX($B$28:$GQ$28,MATCH(162,$B$29:$GQ$29,0))/SUM($B$28:$GQ$28)*100,0)</f>
        <v>0</v>
      </c>
      <c r="FH14" s="3">
        <f>IFERROR(INDEX($B$28:$GQ$28,MATCH(163,$B$29:$GQ$29,0))/SUM($B$28:$GQ$28)*100,0)</f>
        <v>0</v>
      </c>
      <c r="FI14" s="3">
        <f>IFERROR(INDEX($B$28:$GQ$28,MATCH(164,$B$29:$GQ$29,0))/SUM($B$28:$GQ$28)*100,0)</f>
        <v>0</v>
      </c>
      <c r="FJ14" s="3">
        <f>IFERROR(INDEX($B$28:$GQ$28,MATCH(165,$B$29:$GQ$29,0))/SUM($B$28:$GQ$28)*100,0)</f>
        <v>0</v>
      </c>
      <c r="FK14" s="3">
        <f>IFERROR(INDEX($B$28:$GQ$28,MATCH(166,$B$29:$GQ$29,0))/SUM($B$28:$GQ$28)*100,0)</f>
        <v>0</v>
      </c>
      <c r="FL14" s="3">
        <f>IFERROR(INDEX($B$28:$GQ$28,MATCH(167,$B$29:$GQ$29,0))/SUM($B$28:$GQ$28)*100,0)</f>
        <v>0</v>
      </c>
      <c r="FM14" s="3">
        <f>IFERROR(INDEX($B$28:$GQ$28,MATCH(168,$B$29:$GQ$29,0))/SUM($B$28:$GQ$28)*100,0)</f>
        <v>0</v>
      </c>
      <c r="FN14" s="3">
        <f>IFERROR(INDEX($B$28:$GQ$28,MATCH(169,$B$29:$GQ$29,0))/SUM($B$28:$GQ$28)*100,0)</f>
        <v>0</v>
      </c>
      <c r="FO14" s="3">
        <f>IFERROR(INDEX($B$28:$GQ$28,MATCH(170,$B$29:$GQ$29,0))/SUM($B$28:$GQ$28)*100,0)</f>
        <v>0</v>
      </c>
      <c r="FP14" s="3">
        <f>IFERROR(INDEX($B$28:$GQ$28,MATCH(171,$B$29:$GQ$29,0))/SUM($B$28:$GQ$28)*100,0)</f>
        <v>0</v>
      </c>
      <c r="FQ14" s="3">
        <f>IFERROR(INDEX($B$28:$GQ$28,MATCH(172,$B$29:$GQ$29,0))/SUM($B$28:$GQ$28)*100,0)</f>
        <v>0</v>
      </c>
      <c r="FR14" s="3">
        <f>IFERROR(INDEX($B$28:$GQ$28,MATCH(173,$B$29:$GQ$29,0))/SUM($B$28:$GQ$28)*100,0)</f>
        <v>0</v>
      </c>
      <c r="FS14" s="3">
        <f>IFERROR(INDEX($B$28:$GQ$28,MATCH(174,$B$29:$GQ$29,0))/SUM($B$28:$GQ$28)*100,0)</f>
        <v>0</v>
      </c>
      <c r="FT14" s="3">
        <f>IFERROR(INDEX($B$28:$GQ$28,MATCH(175,$B$29:$GQ$29,0))/SUM($B$28:$GQ$28)*100,0)</f>
        <v>0</v>
      </c>
      <c r="FU14" s="3">
        <f>IFERROR(INDEX($B$28:$GQ$28,MATCH(176,$B$29:$GQ$29,0))/SUM($B$28:$GQ$28)*100,0)</f>
        <v>0</v>
      </c>
      <c r="FV14" s="3">
        <f>IFERROR(INDEX($B$28:$GQ$28,MATCH(177,$B$29:$GQ$29,0))/SUM($B$28:$GQ$28)*100,0)</f>
        <v>0</v>
      </c>
      <c r="FW14" s="3">
        <f>IFERROR(INDEX($B$28:$GQ$28,MATCH(178,$B$29:$GQ$29,0))/SUM($B$28:$GQ$28)*100,0)</f>
        <v>0</v>
      </c>
      <c r="FX14" s="3">
        <f>IFERROR(INDEX($B$28:$GQ$28,MATCH(179,$B$29:$GQ$29,0))/SUM($B$28:$GQ$28)*100,0)</f>
        <v>0</v>
      </c>
      <c r="FY14" s="3">
        <f>IFERROR(INDEX($B$28:$GQ$28,MATCH(180,$B$29:$GQ$29,0))/SUM($B$28:$GQ$28)*100,0)</f>
        <v>0</v>
      </c>
      <c r="FZ14" s="3">
        <f>IFERROR(INDEX($B$28:$GQ$28,MATCH(181,$B$29:$GQ$29,0))/SUM($B$28:$GQ$28)*100,0)</f>
        <v>0</v>
      </c>
      <c r="GA14" s="3">
        <f>IFERROR(INDEX($B$28:$GQ$28,MATCH(182,$B$29:$GQ$29,0))/SUM($B$28:$GQ$28)*100,0)</f>
        <v>0</v>
      </c>
      <c r="GB14" s="3">
        <f>IFERROR(INDEX($B$28:$GQ$28,MATCH(183,$B$29:$GQ$29,0))/SUM($B$28:$GQ$28)*100,0)</f>
        <v>0</v>
      </c>
      <c r="GC14" s="3">
        <f>IFERROR(INDEX($B$28:$GQ$28,MATCH(184,$B$29:$GQ$29,0))/SUM($B$28:$GQ$28)*100,0)</f>
        <v>0</v>
      </c>
      <c r="GD14" s="3">
        <f>IFERROR(INDEX($B$28:$GQ$28,MATCH(185,$B$29:$GQ$29,0))/SUM($B$28:$GQ$28)*100,0)</f>
        <v>0</v>
      </c>
      <c r="GE14" s="3">
        <f>IFERROR(INDEX($B$28:$GQ$28,MATCH(186,$B$29:$GQ$29,0))/SUM($B$28:$GQ$28)*100,0)</f>
        <v>0</v>
      </c>
      <c r="GF14" s="3">
        <f>IFERROR(INDEX($B$28:$GQ$28,MATCH(187,$B$29:$GQ$29,0))/SUM($B$28:$GQ$28)*100,0)</f>
        <v>0</v>
      </c>
      <c r="GG14" s="3">
        <f>IFERROR(INDEX($B$28:$GQ$28,MATCH(188,$B$29:$GQ$29,0))/SUM($B$28:$GQ$28)*100,0)</f>
        <v>0</v>
      </c>
      <c r="GH14" s="3">
        <f>IFERROR(INDEX($B$28:$GQ$28,MATCH(189,$B$29:$GQ$29,0))/SUM($B$28:$GQ$28)*100,0)</f>
        <v>0</v>
      </c>
      <c r="GI14" s="3">
        <f>IFERROR(INDEX($B$28:$GQ$28,MATCH(190,$B$29:$GQ$29,0))/SUM($B$28:$GQ$28)*100,0)</f>
        <v>0</v>
      </c>
      <c r="GJ14" s="3">
        <f>IFERROR(INDEX($B$28:$GQ$28,MATCH(191,$B$29:$GQ$29,0))/SUM($B$28:$GQ$28)*100,0)</f>
        <v>0</v>
      </c>
      <c r="GK14" s="3">
        <f>IFERROR(INDEX($B$28:$GQ$28,MATCH(192,$B$29:$GQ$29,0))/SUM($B$28:$GQ$28)*100,0)</f>
        <v>0</v>
      </c>
      <c r="GL14" s="3">
        <f>IFERROR(INDEX($B$28:$GQ$28,MATCH(193,$B$29:$GQ$29,0))/SUM($B$28:$GQ$28)*100,0)</f>
        <v>0</v>
      </c>
      <c r="GM14" s="3">
        <f>IFERROR(INDEX($B$28:$GQ$28,MATCH(194,$B$29:$GQ$29,0))/SUM($B$28:$GQ$28)*100,0)</f>
        <v>0</v>
      </c>
      <c r="GN14" s="3">
        <f>IFERROR(INDEX($B$28:$GQ$28,MATCH(195,$B$29:$GQ$29,0))/SUM($B$28:$GQ$28)*100,0)</f>
        <v>0</v>
      </c>
      <c r="GO14" s="3">
        <f>IFERROR(INDEX($B$28:$GQ$28,MATCH(196,$B$29:$GQ$29,0))/SUM($B$28:$GQ$28)*100,0)</f>
        <v>0</v>
      </c>
      <c r="GP14" s="3">
        <f>IFERROR(INDEX($B$28:$GQ$28,MATCH(197,$B$29:$GQ$29,0))/SUM($B$28:$GQ$28)*100,0)</f>
        <v>0</v>
      </c>
      <c r="GQ14" s="3">
        <f>IFERROR(INDEX($B$28:$GQ$28,MATCH(198,$B$29:$GQ$29,0))/SUM($B$28:$GQ$28)*100,0)</f>
        <v>0</v>
      </c>
      <c r="GR14" s="3">
        <f>IFERROR(INDEX($GR$28:$HC$28,MATCH(1,$GR$30:$HC$30,0))/SUM($GR$28:$HC$28)*100,0)</f>
        <v>30.998379108874303</v>
      </c>
      <c r="GS14" s="3">
        <f>IFERROR(INDEX($GR$28:$HC$28,MATCH(2,$GR$30:$HC$30,0))/SUM($GR$28:$HC$28)*100,0)</f>
        <v>13.084221690553614</v>
      </c>
      <c r="GT14" s="3">
        <f>IFERROR(INDEX($GR$28:$HC$28,MATCH(3,$GR$30:$HC$30,0))/SUM($GR$28:$HC$28)*100,0)</f>
        <v>12.175906815230402</v>
      </c>
      <c r="GU14" s="3">
        <f>IFERROR(INDEX($GR$28:$HC$28,MATCH(4,$GR$30:$HC$30,0))/SUM($GR$28:$HC$28)*100,0)</f>
        <v>10.592306979858396</v>
      </c>
      <c r="GV14" s="3">
        <f>IFERROR(INDEX($GR$28:$HC$28,MATCH(5,$GR$30:$HC$30,0))/SUM($GR$28:$HC$28)*100,0)</f>
        <v>5.2607093547070676</v>
      </c>
      <c r="GW14" s="3">
        <f>IFERROR(INDEX($GR$28:$HC$28,MATCH(6,$GR$30:$HC$30,0))/SUM($GR$28:$HC$28)*100,0)</f>
        <v>4.7993754450682466</v>
      </c>
      <c r="GX14" s="3">
        <f>IFERROR(INDEX($GR$28:$HC$28,MATCH(7,$GR$30:$HC$30,0))/SUM($GR$28:$HC$28)*100,0)</f>
        <v>4.7004598887203626</v>
      </c>
      <c r="GY14" s="3">
        <f>IFERROR(INDEX($GR$28:$HC$28,MATCH(8,$GR$30:$HC$30,0))/SUM($GR$28:$HC$28)*100,0)</f>
        <v>4.4892329537166269</v>
      </c>
      <c r="GZ14" s="3">
        <f>IFERROR(INDEX($GR$28:$HC$28,MATCH(9,$GR$30:$HC$30,0))/SUM($GR$28:$HC$28)*100,0)</f>
        <v>4.4636215425958223</v>
      </c>
      <c r="HA14" s="3">
        <f>IFERROR(INDEX($GR$28:$HC$28,MATCH(10,$GR$30:$HC$30,0))/SUM($GR$28:$HC$28)*100,0)</f>
        <v>3.5645849116660235</v>
      </c>
      <c r="HB14" s="3">
        <f>IFERROR(INDEX($GR$28:$HC$28,MATCH(11,$GR$30:$HC$30,0))/SUM($GR$28:$HC$28)*100,0)</f>
        <v>3.0513646985069482</v>
      </c>
      <c r="HC14" s="3">
        <f>IFERROR(INDEX($GR$28:$HC$28,MATCH(12,$GR$30:$HC$30,0))/SUM($GR$28:$HC$28)*100,0)</f>
        <v>2.8198366105021933</v>
      </c>
    </row>
    <row r="16" spans="1:211" x14ac:dyDescent="0.45">
      <c r="A16" s="1" t="s">
        <v>12</v>
      </c>
    </row>
    <row r="17" spans="1:211" x14ac:dyDescent="0.45">
      <c r="A17" s="1" t="s">
        <v>226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19</v>
      </c>
      <c r="I17" s="1" t="s">
        <v>20</v>
      </c>
      <c r="J17" s="1" t="s">
        <v>21</v>
      </c>
      <c r="K17" s="1" t="s">
        <v>22</v>
      </c>
      <c r="L17" s="1" t="s">
        <v>23</v>
      </c>
      <c r="M17" s="1" t="s">
        <v>24</v>
      </c>
      <c r="N17" s="1" t="s">
        <v>25</v>
      </c>
      <c r="O17" s="1" t="s">
        <v>26</v>
      </c>
      <c r="P17" s="1" t="s">
        <v>27</v>
      </c>
      <c r="Q17" s="1" t="s">
        <v>28</v>
      </c>
      <c r="R17" s="1" t="s">
        <v>29</v>
      </c>
      <c r="S17" s="1" t="s">
        <v>30</v>
      </c>
      <c r="T17" s="1" t="s">
        <v>31</v>
      </c>
      <c r="U17" s="1" t="s">
        <v>32</v>
      </c>
      <c r="V17" s="1" t="s">
        <v>33</v>
      </c>
      <c r="W17" s="1" t="s">
        <v>34</v>
      </c>
      <c r="X17" s="1" t="s">
        <v>35</v>
      </c>
      <c r="Y17" s="1" t="s">
        <v>36</v>
      </c>
      <c r="Z17" s="1" t="s">
        <v>37</v>
      </c>
      <c r="AA17" s="1" t="s">
        <v>38</v>
      </c>
      <c r="AB17" s="1" t="s">
        <v>39</v>
      </c>
      <c r="AC17" s="1" t="s">
        <v>40</v>
      </c>
      <c r="AD17" s="1" t="s">
        <v>41</v>
      </c>
      <c r="AE17" s="1" t="s">
        <v>42</v>
      </c>
      <c r="AF17" s="1" t="s">
        <v>43</v>
      </c>
      <c r="AG17" s="1" t="s">
        <v>44</v>
      </c>
      <c r="AH17" s="1" t="s">
        <v>45</v>
      </c>
      <c r="AI17" s="1" t="s">
        <v>46</v>
      </c>
      <c r="AJ17" s="1" t="s">
        <v>47</v>
      </c>
      <c r="AK17" s="1" t="s">
        <v>48</v>
      </c>
      <c r="AL17" s="1" t="s">
        <v>49</v>
      </c>
      <c r="AM17" s="1" t="s">
        <v>50</v>
      </c>
      <c r="AN17" s="1" t="s">
        <v>51</v>
      </c>
      <c r="AO17" s="1" t="s">
        <v>52</v>
      </c>
      <c r="AP17" s="1" t="s">
        <v>53</v>
      </c>
      <c r="AQ17" s="1" t="s">
        <v>54</v>
      </c>
      <c r="AR17" s="1" t="s">
        <v>55</v>
      </c>
      <c r="AS17" s="1" t="s">
        <v>56</v>
      </c>
      <c r="AT17" s="1" t="s">
        <v>57</v>
      </c>
      <c r="AU17" s="1" t="s">
        <v>58</v>
      </c>
      <c r="AV17" s="1" t="s">
        <v>59</v>
      </c>
      <c r="AW17" s="1" t="s">
        <v>60</v>
      </c>
      <c r="AX17" s="1" t="s">
        <v>61</v>
      </c>
      <c r="AY17" s="1" t="s">
        <v>62</v>
      </c>
      <c r="AZ17" s="1" t="s">
        <v>63</v>
      </c>
      <c r="BA17" s="1" t="s">
        <v>64</v>
      </c>
      <c r="BB17" s="1" t="s">
        <v>65</v>
      </c>
      <c r="BC17" s="1" t="s">
        <v>66</v>
      </c>
      <c r="BD17" s="1" t="s">
        <v>67</v>
      </c>
      <c r="BE17" s="1" t="s">
        <v>68</v>
      </c>
      <c r="BF17" s="1" t="s">
        <v>69</v>
      </c>
      <c r="BG17" s="1" t="s">
        <v>70</v>
      </c>
      <c r="BH17" s="1" t="s">
        <v>71</v>
      </c>
      <c r="BI17" s="1" t="s">
        <v>72</v>
      </c>
      <c r="BJ17" s="1" t="s">
        <v>73</v>
      </c>
      <c r="BK17" s="1" t="s">
        <v>74</v>
      </c>
      <c r="BL17" s="1" t="s">
        <v>75</v>
      </c>
      <c r="BM17" s="1" t="s">
        <v>76</v>
      </c>
      <c r="BN17" s="1" t="s">
        <v>77</v>
      </c>
      <c r="BO17" s="1" t="s">
        <v>78</v>
      </c>
      <c r="BP17" s="1" t="s">
        <v>79</v>
      </c>
      <c r="BQ17" s="1" t="s">
        <v>80</v>
      </c>
      <c r="BR17" s="1" t="s">
        <v>81</v>
      </c>
      <c r="BS17" s="1" t="s">
        <v>82</v>
      </c>
      <c r="BT17" s="1" t="s">
        <v>83</v>
      </c>
      <c r="BU17" s="1" t="s">
        <v>84</v>
      </c>
      <c r="BV17" s="1" t="s">
        <v>85</v>
      </c>
      <c r="BW17" s="1" t="s">
        <v>86</v>
      </c>
      <c r="BX17" s="1" t="s">
        <v>87</v>
      </c>
      <c r="BY17" s="1" t="s">
        <v>88</v>
      </c>
      <c r="BZ17" s="1" t="s">
        <v>89</v>
      </c>
      <c r="CA17" s="1" t="s">
        <v>90</v>
      </c>
      <c r="CB17" s="1" t="s">
        <v>91</v>
      </c>
      <c r="CC17" s="1" t="s">
        <v>92</v>
      </c>
      <c r="CD17" s="1" t="s">
        <v>93</v>
      </c>
      <c r="CE17" s="1" t="s">
        <v>94</v>
      </c>
      <c r="CF17" s="1" t="s">
        <v>95</v>
      </c>
      <c r="CG17" s="1" t="s">
        <v>96</v>
      </c>
      <c r="CH17" s="1" t="s">
        <v>97</v>
      </c>
      <c r="CI17" s="1" t="s">
        <v>98</v>
      </c>
      <c r="CJ17" s="1" t="s">
        <v>99</v>
      </c>
      <c r="CK17" s="1" t="s">
        <v>100</v>
      </c>
      <c r="CL17" s="1" t="s">
        <v>101</v>
      </c>
      <c r="CM17" s="1" t="s">
        <v>102</v>
      </c>
      <c r="CN17" s="1" t="s">
        <v>103</v>
      </c>
      <c r="CO17" s="1" t="s">
        <v>104</v>
      </c>
      <c r="CP17" s="1" t="s">
        <v>105</v>
      </c>
      <c r="CQ17" s="1" t="s">
        <v>106</v>
      </c>
      <c r="CR17" s="1" t="s">
        <v>107</v>
      </c>
      <c r="CS17" s="1" t="s">
        <v>108</v>
      </c>
      <c r="CT17" s="1" t="s">
        <v>109</v>
      </c>
      <c r="CU17" s="1" t="s">
        <v>110</v>
      </c>
      <c r="CV17" s="1" t="s">
        <v>111</v>
      </c>
      <c r="CW17" s="1" t="s">
        <v>112</v>
      </c>
      <c r="CX17" s="1" t="s">
        <v>113</v>
      </c>
      <c r="CY17" s="1" t="s">
        <v>114</v>
      </c>
      <c r="CZ17" s="1" t="s">
        <v>115</v>
      </c>
      <c r="DA17" s="1" t="s">
        <v>116</v>
      </c>
      <c r="DB17" s="1" t="s">
        <v>117</v>
      </c>
      <c r="DC17" s="1" t="s">
        <v>118</v>
      </c>
      <c r="DD17" s="1" t="s">
        <v>119</v>
      </c>
      <c r="DE17" s="1" t="s">
        <v>120</v>
      </c>
      <c r="DF17" s="1" t="s">
        <v>121</v>
      </c>
      <c r="DG17" s="1" t="s">
        <v>122</v>
      </c>
      <c r="DH17" s="1" t="s">
        <v>123</v>
      </c>
      <c r="DI17" s="1" t="s">
        <v>124</v>
      </c>
      <c r="DJ17" s="1" t="s">
        <v>125</v>
      </c>
      <c r="DK17" s="1" t="s">
        <v>126</v>
      </c>
      <c r="DL17" s="1" t="s">
        <v>127</v>
      </c>
      <c r="DM17" s="1" t="s">
        <v>128</v>
      </c>
      <c r="DN17" s="1" t="s">
        <v>129</v>
      </c>
      <c r="DO17" s="1" t="s">
        <v>130</v>
      </c>
      <c r="DP17" s="1" t="s">
        <v>131</v>
      </c>
      <c r="DQ17" s="1" t="s">
        <v>132</v>
      </c>
      <c r="DR17" s="1" t="s">
        <v>133</v>
      </c>
      <c r="DS17" s="1" t="s">
        <v>134</v>
      </c>
      <c r="DT17" s="1" t="s">
        <v>135</v>
      </c>
      <c r="DU17" s="1" t="s">
        <v>136</v>
      </c>
      <c r="DV17" s="1" t="s">
        <v>137</v>
      </c>
      <c r="DW17" s="1" t="s">
        <v>138</v>
      </c>
      <c r="DX17" s="1" t="s">
        <v>139</v>
      </c>
      <c r="DY17" s="1" t="s">
        <v>140</v>
      </c>
      <c r="DZ17" s="1" t="s">
        <v>141</v>
      </c>
      <c r="EA17" s="1" t="s">
        <v>142</v>
      </c>
      <c r="EB17" s="1" t="s">
        <v>143</v>
      </c>
      <c r="EC17" s="1" t="s">
        <v>144</v>
      </c>
      <c r="ED17" s="1" t="s">
        <v>145</v>
      </c>
      <c r="EE17" s="1" t="s">
        <v>146</v>
      </c>
      <c r="EF17" s="1" t="s">
        <v>147</v>
      </c>
      <c r="EG17" s="1" t="s">
        <v>148</v>
      </c>
      <c r="EH17" s="1" t="s">
        <v>149</v>
      </c>
      <c r="EI17" s="1" t="s">
        <v>150</v>
      </c>
      <c r="EJ17" s="1" t="s">
        <v>151</v>
      </c>
      <c r="EK17" s="1" t="s">
        <v>152</v>
      </c>
      <c r="EL17" s="1" t="s">
        <v>153</v>
      </c>
      <c r="EM17" s="1" t="s">
        <v>154</v>
      </c>
      <c r="EN17" s="1" t="s">
        <v>155</v>
      </c>
      <c r="EO17" s="1" t="s">
        <v>156</v>
      </c>
      <c r="EP17" s="1" t="s">
        <v>157</v>
      </c>
      <c r="EQ17" s="1" t="s">
        <v>158</v>
      </c>
      <c r="ER17" s="1" t="s">
        <v>159</v>
      </c>
      <c r="ES17" s="1" t="s">
        <v>160</v>
      </c>
      <c r="ET17" s="1" t="s">
        <v>161</v>
      </c>
      <c r="EU17" s="1" t="s">
        <v>162</v>
      </c>
      <c r="EV17" s="1" t="s">
        <v>163</v>
      </c>
      <c r="EW17" s="1" t="s">
        <v>164</v>
      </c>
      <c r="EX17" s="1" t="s">
        <v>165</v>
      </c>
      <c r="EY17" s="1" t="s">
        <v>166</v>
      </c>
      <c r="EZ17" s="1" t="s">
        <v>167</v>
      </c>
      <c r="FA17" s="1" t="s">
        <v>168</v>
      </c>
      <c r="FB17" s="1" t="s">
        <v>169</v>
      </c>
      <c r="FC17" s="1" t="s">
        <v>170</v>
      </c>
      <c r="FD17" s="1" t="s">
        <v>171</v>
      </c>
      <c r="FE17" s="1" t="s">
        <v>172</v>
      </c>
      <c r="FF17" s="1" t="s">
        <v>173</v>
      </c>
      <c r="FG17" s="1" t="s">
        <v>174</v>
      </c>
      <c r="FH17" s="1" t="s">
        <v>175</v>
      </c>
      <c r="FI17" s="1" t="s">
        <v>176</v>
      </c>
      <c r="FJ17" s="1" t="s">
        <v>177</v>
      </c>
      <c r="FK17" s="1" t="s">
        <v>178</v>
      </c>
      <c r="FL17" s="1" t="s">
        <v>179</v>
      </c>
      <c r="FM17" s="1" t="s">
        <v>180</v>
      </c>
      <c r="FN17" s="1" t="s">
        <v>181</v>
      </c>
      <c r="FO17" s="1" t="s">
        <v>182</v>
      </c>
      <c r="FP17" s="1" t="s">
        <v>183</v>
      </c>
      <c r="FQ17" s="1" t="s">
        <v>184</v>
      </c>
      <c r="FR17" s="1" t="s">
        <v>185</v>
      </c>
      <c r="FS17" s="1" t="s">
        <v>186</v>
      </c>
      <c r="FT17" s="1" t="s">
        <v>187</v>
      </c>
      <c r="FU17" s="1" t="s">
        <v>188</v>
      </c>
      <c r="FV17" s="1" t="s">
        <v>189</v>
      </c>
      <c r="FW17" s="1" t="s">
        <v>190</v>
      </c>
      <c r="FX17" s="1" t="s">
        <v>191</v>
      </c>
      <c r="FY17" s="1" t="s">
        <v>192</v>
      </c>
      <c r="FZ17" s="1" t="s">
        <v>193</v>
      </c>
      <c r="GA17" s="1" t="s">
        <v>194</v>
      </c>
      <c r="GB17" s="1" t="s">
        <v>195</v>
      </c>
      <c r="GC17" s="1" t="s">
        <v>196</v>
      </c>
      <c r="GD17" s="1" t="s">
        <v>197</v>
      </c>
      <c r="GE17" s="1" t="s">
        <v>198</v>
      </c>
      <c r="GF17" s="1" t="s">
        <v>199</v>
      </c>
      <c r="GG17" s="1" t="s">
        <v>200</v>
      </c>
      <c r="GH17" s="1" t="s">
        <v>201</v>
      </c>
      <c r="GI17" s="1" t="s">
        <v>202</v>
      </c>
      <c r="GJ17" s="1" t="s">
        <v>203</v>
      </c>
      <c r="GK17" s="1" t="s">
        <v>204</v>
      </c>
      <c r="GL17" s="1" t="s">
        <v>205</v>
      </c>
      <c r="GM17" s="1" t="s">
        <v>206</v>
      </c>
      <c r="GN17" s="1" t="s">
        <v>207</v>
      </c>
      <c r="GO17" s="1" t="s">
        <v>208</v>
      </c>
      <c r="GP17" s="1" t="s">
        <v>209</v>
      </c>
      <c r="GQ17" s="1" t="s">
        <v>210</v>
      </c>
      <c r="GR17" s="1" t="s">
        <v>211</v>
      </c>
      <c r="GS17" s="1" t="s">
        <v>21</v>
      </c>
      <c r="GT17" s="1" t="s">
        <v>212</v>
      </c>
      <c r="GU17" s="1" t="s">
        <v>213</v>
      </c>
      <c r="GV17" s="1" t="s">
        <v>60</v>
      </c>
      <c r="GW17" s="1" t="s">
        <v>214</v>
      </c>
      <c r="GX17" s="1" t="s">
        <v>215</v>
      </c>
      <c r="GY17" s="1" t="s">
        <v>216</v>
      </c>
      <c r="GZ17" s="1" t="s">
        <v>217</v>
      </c>
      <c r="HA17" s="1" t="s">
        <v>218</v>
      </c>
      <c r="HB17" s="1" t="s">
        <v>219</v>
      </c>
      <c r="HC17" s="1" t="s">
        <v>220</v>
      </c>
    </row>
    <row r="18" spans="1:211" x14ac:dyDescent="0.45">
      <c r="A18" s="1" t="s">
        <v>3</v>
      </c>
      <c r="B18">
        <v>2.419907152978228E-2</v>
      </c>
      <c r="C18">
        <v>2.0513592140084781E-2</v>
      </c>
      <c r="D18">
        <v>1.3551430170476841E-2</v>
      </c>
      <c r="E18">
        <v>7.9841871603893305E-2</v>
      </c>
      <c r="F18">
        <v>3.5894981711871103E-2</v>
      </c>
      <c r="G18">
        <v>1.7378756602347081E-3</v>
      </c>
      <c r="H18">
        <v>1.180486074853024E-2</v>
      </c>
      <c r="I18">
        <v>2.7252769522771681E-3</v>
      </c>
      <c r="J18">
        <v>0.35819783260711541</v>
      </c>
      <c r="K18">
        <v>0.206889728397399</v>
      </c>
      <c r="L18">
        <v>0.19681580854445169</v>
      </c>
      <c r="M18">
        <v>0.2137088118350744</v>
      </c>
      <c r="N18">
        <v>0.3149403180290738</v>
      </c>
      <c r="O18">
        <v>0.34858258727516978</v>
      </c>
      <c r="P18">
        <v>0.1604422851004671</v>
      </c>
      <c r="Q18">
        <v>0</v>
      </c>
      <c r="R18">
        <v>0</v>
      </c>
      <c r="S18">
        <v>1.1987192674273259E-2</v>
      </c>
      <c r="T18">
        <v>0.32245689971043218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6.7105071185505502E-2</v>
      </c>
      <c r="AD18">
        <v>1.0013368740049831</v>
      </c>
      <c r="AE18">
        <v>4.9413705772523879E-3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7.1890092455282511E-3</v>
      </c>
      <c r="AO18">
        <v>6.9377106427847409E-3</v>
      </c>
      <c r="AP18">
        <v>1.941234995645838E-4</v>
      </c>
      <c r="AQ18">
        <v>3.9706887351467126E-3</v>
      </c>
      <c r="AR18">
        <v>0.2059044155485753</v>
      </c>
      <c r="AS18">
        <v>0.12820886709323409</v>
      </c>
      <c r="AT18">
        <v>0.21659066176022701</v>
      </c>
      <c r="AU18">
        <v>0.36134859023736993</v>
      </c>
      <c r="AV18">
        <v>0.20059142776392841</v>
      </c>
      <c r="AW18">
        <v>0.17172963015957909</v>
      </c>
      <c r="AX18">
        <v>2.7634382701201731E-2</v>
      </c>
      <c r="AY18">
        <v>7.4359280847996187E-2</v>
      </c>
      <c r="AZ18">
        <v>0.30641342597544441</v>
      </c>
      <c r="BA18">
        <v>0.17247263600021351</v>
      </c>
      <c r="BB18">
        <v>0.39461549289650838</v>
      </c>
      <c r="BC18">
        <v>2.6100623630305238E-2</v>
      </c>
      <c r="BD18">
        <v>5.5898882050680311E-2</v>
      </c>
      <c r="BE18">
        <v>3.1710085982463873E-2</v>
      </c>
      <c r="BF18">
        <v>5.9297251070028999E-2</v>
      </c>
      <c r="BG18">
        <v>2.5749332177526969E-2</v>
      </c>
      <c r="BH18">
        <v>2.0202913926154021E-2</v>
      </c>
      <c r="BI18">
        <v>2.0715453774886119E-2</v>
      </c>
      <c r="BJ18">
        <v>1.919859759253377E-2</v>
      </c>
      <c r="BK18">
        <v>5.0091278479499457E-2</v>
      </c>
      <c r="BL18">
        <v>1.8455851862358302E-2</v>
      </c>
      <c r="BM18">
        <v>2.0992257199725609E-3</v>
      </c>
      <c r="BN18">
        <v>0</v>
      </c>
      <c r="BO18">
        <v>4.7065636880041541E-2</v>
      </c>
      <c r="BP18">
        <v>9.8848711687705634E-2</v>
      </c>
      <c r="BQ18">
        <v>0</v>
      </c>
      <c r="BR18">
        <v>0</v>
      </c>
      <c r="BS18">
        <v>2.5477692606310151E-2</v>
      </c>
      <c r="BT18">
        <v>0</v>
      </c>
      <c r="BU18">
        <v>4.4078248072520268E-2</v>
      </c>
      <c r="BV18">
        <v>1.5210118190457689E-2</v>
      </c>
      <c r="BW18">
        <v>1.297400516705341E-4</v>
      </c>
      <c r="BX18">
        <v>2.5825475109820511E-2</v>
      </c>
      <c r="BY18">
        <v>2.4763936376245702E-2</v>
      </c>
      <c r="BZ18">
        <v>0</v>
      </c>
      <c r="CA18">
        <v>1.3603337165068081E-2</v>
      </c>
      <c r="CB18">
        <v>2.783944135487176E-2</v>
      </c>
      <c r="CC18">
        <v>4.7056503735999511E-2</v>
      </c>
      <c r="CD18">
        <v>5.1471485932508606E-3</v>
      </c>
      <c r="CE18">
        <v>5.7347295832096499E-3</v>
      </c>
      <c r="CF18">
        <v>8.6273508472606807E-3</v>
      </c>
      <c r="CG18">
        <v>5.4905507795001088E-3</v>
      </c>
      <c r="CH18">
        <v>1.3677657779278231E-4</v>
      </c>
      <c r="CI18">
        <v>4.2627999598967702E-2</v>
      </c>
      <c r="CJ18">
        <v>3.596284738143922E-2</v>
      </c>
      <c r="CK18">
        <v>1.319506087847388E-2</v>
      </c>
      <c r="CL18">
        <v>2.036214504444105E-2</v>
      </c>
      <c r="CM18">
        <v>5.0101105409262173E-2</v>
      </c>
      <c r="CN18">
        <v>0</v>
      </c>
      <c r="CO18">
        <v>1.0836169351700561E-2</v>
      </c>
      <c r="CP18">
        <v>2.0498516149240621E-2</v>
      </c>
      <c r="CQ18">
        <v>8.5027306488918656E-3</v>
      </c>
      <c r="CR18">
        <v>0</v>
      </c>
      <c r="CS18">
        <v>2.301532733048316E-2</v>
      </c>
      <c r="CT18">
        <v>1.7418158927912129E-2</v>
      </c>
      <c r="CU18">
        <v>2.608121647366736E-2</v>
      </c>
      <c r="CV18">
        <v>2.2302317268050521E-2</v>
      </c>
      <c r="CW18">
        <v>1.6999020919749849E-2</v>
      </c>
      <c r="CX18">
        <v>1.528693096058273E-2</v>
      </c>
      <c r="CY18">
        <v>2.5376916583125259E-2</v>
      </c>
      <c r="CZ18">
        <v>2.3196796077538179E-2</v>
      </c>
      <c r="DA18">
        <v>1.9148344263024589E-2</v>
      </c>
      <c r="DB18">
        <v>4.1684960581475583E-2</v>
      </c>
      <c r="DC18">
        <v>0</v>
      </c>
      <c r="DD18">
        <v>2.9692677678154089E-2</v>
      </c>
      <c r="DE18">
        <v>2.8848322319257338E-2</v>
      </c>
      <c r="DF18">
        <v>4.8513542972400472E-2</v>
      </c>
      <c r="DG18">
        <v>6.0871513684644128E-2</v>
      </c>
      <c r="DH18">
        <v>3.8998796124293862E-2</v>
      </c>
      <c r="DI18">
        <v>0</v>
      </c>
      <c r="DJ18">
        <v>3.8326557970469369E-2</v>
      </c>
      <c r="DK18">
        <v>0</v>
      </c>
      <c r="DL18">
        <v>2.2696558025626559E-2</v>
      </c>
      <c r="DM18">
        <v>1.966038134713715E-2</v>
      </c>
      <c r="DN18">
        <v>2.136243435104165E-2</v>
      </c>
      <c r="DO18">
        <v>2.617827931529039E-2</v>
      </c>
      <c r="DP18">
        <v>1.976222586198716E-2</v>
      </c>
      <c r="DQ18">
        <v>2.16691041691763E-2</v>
      </c>
      <c r="DR18">
        <v>1.662727771041703E-2</v>
      </c>
      <c r="DS18">
        <v>2.5773372611402119E-2</v>
      </c>
      <c r="DT18">
        <v>2.0358561759396109E-2</v>
      </c>
      <c r="DU18">
        <v>2.4147442371733111E-2</v>
      </c>
      <c r="DV18">
        <v>0</v>
      </c>
      <c r="DW18">
        <v>0</v>
      </c>
      <c r="DX18">
        <v>0.1230276698147269</v>
      </c>
      <c r="DY18">
        <v>2.3800540491008569E-2</v>
      </c>
      <c r="DZ18">
        <v>1.758202474805623E-2</v>
      </c>
      <c r="EA18">
        <v>2.2237159976903668E-2</v>
      </c>
      <c r="EB18">
        <v>9.2386934302542065E-3</v>
      </c>
      <c r="EC18">
        <v>0.1002740598963784</v>
      </c>
      <c r="ED18">
        <v>1.8367983052453001E-2</v>
      </c>
      <c r="EE18">
        <v>1.9152363084348951E-3</v>
      </c>
      <c r="EF18">
        <v>0</v>
      </c>
      <c r="EG18">
        <v>2.6606689129699899E-2</v>
      </c>
      <c r="EH18">
        <v>0</v>
      </c>
      <c r="EI18">
        <v>0</v>
      </c>
      <c r="EJ18">
        <v>9.9757347404264961E-3</v>
      </c>
      <c r="EK18">
        <v>9.4051141199359926E-3</v>
      </c>
      <c r="EL18">
        <v>2.2231661958660429E-3</v>
      </c>
      <c r="EM18">
        <v>4.5582762340093024E-3</v>
      </c>
      <c r="EN18">
        <v>4.197858026340177E-10</v>
      </c>
      <c r="EO18">
        <v>0</v>
      </c>
      <c r="EP18">
        <v>9.4540851576910296E-3</v>
      </c>
      <c r="EQ18">
        <v>2.0386545797517749E-2</v>
      </c>
      <c r="ER18">
        <v>9.3110979914497835E-2</v>
      </c>
      <c r="ES18">
        <v>1.3549557600542999E-2</v>
      </c>
      <c r="ET18">
        <v>1.790259118935103E-2</v>
      </c>
      <c r="EU18">
        <v>0</v>
      </c>
      <c r="EV18">
        <v>6.5649133883197812E-3</v>
      </c>
      <c r="EW18">
        <v>2.284273782775539E-2</v>
      </c>
      <c r="EX18">
        <v>9.2211463638662942E-3</v>
      </c>
      <c r="EY18">
        <v>1.004930676716803E-2</v>
      </c>
      <c r="EZ18">
        <v>4.6487400867612612E-2</v>
      </c>
      <c r="FA18">
        <v>2.2012621604614129E-2</v>
      </c>
      <c r="FB18">
        <v>1.5167974866945729E-2</v>
      </c>
      <c r="FC18">
        <v>7.3727715001629487E-2</v>
      </c>
      <c r="FD18">
        <v>8.2600773349098155E-2</v>
      </c>
      <c r="FE18">
        <v>0.1626604480465324</v>
      </c>
      <c r="FF18">
        <v>4.4742429232973523E-2</v>
      </c>
      <c r="FG18">
        <v>1.503756350546756E-2</v>
      </c>
      <c r="FH18">
        <v>1.118873275724919E-2</v>
      </c>
      <c r="FI18">
        <v>1.5218764493518409E-2</v>
      </c>
      <c r="FJ18">
        <v>1.8358182800315561E-2</v>
      </c>
      <c r="FK18">
        <v>2.2375427989331679E-2</v>
      </c>
      <c r="FL18">
        <v>1.246692484514389E-2</v>
      </c>
      <c r="FM18">
        <v>1.610809209904826E-2</v>
      </c>
      <c r="FN18">
        <v>1.581976139806069E-2</v>
      </c>
      <c r="FO18">
        <v>4.6392506223874433E-2</v>
      </c>
      <c r="FP18">
        <v>1.5083009408752049E-2</v>
      </c>
      <c r="FQ18">
        <v>1.7384341992481511E-2</v>
      </c>
      <c r="FR18">
        <v>1.468346672513896E-2</v>
      </c>
      <c r="FS18">
        <v>1.3559383689746541E-2</v>
      </c>
      <c r="FT18">
        <v>1.375419891514411E-2</v>
      </c>
      <c r="FU18">
        <v>1.38928831322453E-2</v>
      </c>
      <c r="FV18">
        <v>1.5346739428700471E-2</v>
      </c>
      <c r="FW18">
        <v>1.406646543625059E-2</v>
      </c>
      <c r="FX18">
        <v>1.384416918888978E-2</v>
      </c>
      <c r="FY18">
        <v>1.4265219286471851E-2</v>
      </c>
      <c r="FZ18">
        <v>1.3346123245421559E-2</v>
      </c>
      <c r="GA18">
        <v>1.280497710808604E-2</v>
      </c>
      <c r="GB18">
        <v>1.2516476790179899E-2</v>
      </c>
      <c r="GC18">
        <v>1.4620158454493271E-2</v>
      </c>
      <c r="GD18">
        <v>1.385630110171973E-2</v>
      </c>
      <c r="GE18">
        <v>0.12924897636836921</v>
      </c>
      <c r="GF18">
        <v>1.669841154695104E-2</v>
      </c>
      <c r="GG18">
        <v>1.722161546007684E-2</v>
      </c>
      <c r="GH18">
        <v>1.650670288064781E-2</v>
      </c>
      <c r="GI18">
        <v>1.607464647741225E-2</v>
      </c>
      <c r="GJ18">
        <v>1.91533839410402E-2</v>
      </c>
      <c r="GK18">
        <v>1.3659993520716011E-2</v>
      </c>
      <c r="GL18">
        <v>1.6571579579202789E-2</v>
      </c>
      <c r="GM18">
        <v>1.464923220177919E-2</v>
      </c>
      <c r="GN18">
        <v>2.337006539845269E-2</v>
      </c>
      <c r="GO18">
        <v>2.9885687321514039E-2</v>
      </c>
      <c r="GP18">
        <v>3.3598085653462229E-2</v>
      </c>
      <c r="GQ18">
        <v>0</v>
      </c>
      <c r="GR18">
        <v>8.0157721240053673E-2</v>
      </c>
      <c r="GS18">
        <v>0.2059044155485753</v>
      </c>
      <c r="GT18">
        <v>0.282717391958141</v>
      </c>
      <c r="GU18">
        <v>0.17798478257392639</v>
      </c>
      <c r="GV18">
        <v>0.17454799401302559</v>
      </c>
      <c r="GW18">
        <v>0.26427140551426009</v>
      </c>
      <c r="GX18">
        <v>1.7721360573005121E-2</v>
      </c>
      <c r="GY18">
        <v>2.9848612836871569E-2</v>
      </c>
      <c r="GZ18">
        <v>4.1879410745154617E-2</v>
      </c>
      <c r="HA18">
        <v>3.0620570056910209E-2</v>
      </c>
      <c r="HB18">
        <v>4.6487400867612612E-2</v>
      </c>
      <c r="HC18">
        <v>1.6643761745026912E-2</v>
      </c>
    </row>
    <row r="19" spans="1:211" x14ac:dyDescent="0.45">
      <c r="A19" s="1" t="s">
        <v>4</v>
      </c>
      <c r="B19">
        <v>4.0470527599485431</v>
      </c>
      <c r="C19">
        <v>2.0178881419140362</v>
      </c>
      <c r="D19">
        <v>1.1141630809294989</v>
      </c>
      <c r="E19">
        <v>0.89536545665396772</v>
      </c>
      <c r="F19">
        <v>3.5812274697004631</v>
      </c>
      <c r="G19">
        <v>0.1163870039537666</v>
      </c>
      <c r="H19">
        <v>0.26279970129714919</v>
      </c>
      <c r="I19">
        <v>5.427398279789949E-3</v>
      </c>
      <c r="J19">
        <v>4.2223018145838704</v>
      </c>
      <c r="K19">
        <v>1.4650301957317691</v>
      </c>
      <c r="L19">
        <v>0.70730143589003569</v>
      </c>
      <c r="M19">
        <v>0.91843551313330141</v>
      </c>
      <c r="N19">
        <v>0.55547134427914679</v>
      </c>
      <c r="O19">
        <v>2.2463369540997542</v>
      </c>
      <c r="P19">
        <v>7.6821775743441956E-2</v>
      </c>
      <c r="Q19">
        <v>0</v>
      </c>
      <c r="R19">
        <v>0</v>
      </c>
      <c r="S19">
        <v>5.8606336991606804E-3</v>
      </c>
      <c r="T19">
        <v>0.138319329306657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2.9854941554838992E-3</v>
      </c>
      <c r="AD19">
        <v>5.066428824860273E-2</v>
      </c>
      <c r="AE19">
        <v>2.5003535809240438E-4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1.7650770078469659E-5</v>
      </c>
      <c r="AO19">
        <v>3.413948584555375E-3</v>
      </c>
      <c r="AP19">
        <v>1.0834259081029E-4</v>
      </c>
      <c r="AQ19">
        <v>2.003537034075679E-3</v>
      </c>
      <c r="AR19">
        <v>1.691388082229619</v>
      </c>
      <c r="AS19">
        <v>0.44380263827016231</v>
      </c>
      <c r="AT19">
        <v>0.2966309692091233</v>
      </c>
      <c r="AU19">
        <v>0.4031216502816472</v>
      </c>
      <c r="AV19">
        <v>0.33254410419125319</v>
      </c>
      <c r="AW19">
        <v>0.72504129725246158</v>
      </c>
      <c r="AX19">
        <v>3.2881622219946997E-2</v>
      </c>
      <c r="AY19">
        <v>0.97122511796989563</v>
      </c>
      <c r="AZ19">
        <v>0.66718373498775796</v>
      </c>
      <c r="BA19">
        <v>0.47620137253437811</v>
      </c>
      <c r="BB19">
        <v>0.85585433205420358</v>
      </c>
      <c r="BC19">
        <v>4.2781448056695669E-3</v>
      </c>
      <c r="BD19">
        <v>9.6278244244035801E-3</v>
      </c>
      <c r="BE19">
        <v>5.0729173464986134E-3</v>
      </c>
      <c r="BF19">
        <v>4.3669698072716437E-2</v>
      </c>
      <c r="BG19">
        <v>5.7567194250627354E-3</v>
      </c>
      <c r="BH19">
        <v>4.0380891410420044E-3</v>
      </c>
      <c r="BI19">
        <v>2.4605290735940808E-3</v>
      </c>
      <c r="BJ19">
        <v>2.2689726787155562E-3</v>
      </c>
      <c r="BK19">
        <v>1.4134752963138941E-2</v>
      </c>
      <c r="BL19">
        <v>3.5779524345190142E-3</v>
      </c>
      <c r="BM19">
        <v>5.8157669547408313E-5</v>
      </c>
      <c r="BN19">
        <v>0</v>
      </c>
      <c r="BO19">
        <v>1.3038883671537319E-3</v>
      </c>
      <c r="BP19">
        <v>3.6299658911969849E-3</v>
      </c>
      <c r="BQ19">
        <v>0</v>
      </c>
      <c r="BR19">
        <v>0</v>
      </c>
      <c r="BS19">
        <v>9.3560120778516103E-4</v>
      </c>
      <c r="BT19">
        <v>0</v>
      </c>
      <c r="BU19">
        <v>1.618668135399508E-3</v>
      </c>
      <c r="BV19">
        <v>5.5855204407202915E-4</v>
      </c>
      <c r="BW19">
        <v>4.7644215766837826E-6</v>
      </c>
      <c r="BX19">
        <v>9.4837317915360782E-4</v>
      </c>
      <c r="BY19">
        <v>9.0940317667837216E-4</v>
      </c>
      <c r="BZ19">
        <v>0</v>
      </c>
      <c r="CA19">
        <v>4.9954666199464781E-4</v>
      </c>
      <c r="CB19">
        <v>1.022345162062823E-3</v>
      </c>
      <c r="CC19">
        <v>1.728050440920886E-3</v>
      </c>
      <c r="CD19">
        <v>1.8901833765605351E-4</v>
      </c>
      <c r="CE19">
        <v>2.1059495819346349E-4</v>
      </c>
      <c r="CF19">
        <v>3.1681883077659201E-4</v>
      </c>
      <c r="CG19">
        <v>2.0162611710384799E-4</v>
      </c>
      <c r="CH19">
        <v>3.3023967638538597E-5</v>
      </c>
      <c r="CI19">
        <v>1.5306402362013799E-2</v>
      </c>
      <c r="CJ19">
        <v>1.627245458268874E-2</v>
      </c>
      <c r="CK19">
        <v>1.495148896745777E-3</v>
      </c>
      <c r="CL19">
        <v>2.3513289150104161E-3</v>
      </c>
      <c r="CM19">
        <v>1.701533186586662E-2</v>
      </c>
      <c r="CN19">
        <v>0</v>
      </c>
      <c r="CO19">
        <v>3.6781822049904468E-3</v>
      </c>
      <c r="CP19">
        <v>6.9578911608599251E-3</v>
      </c>
      <c r="CQ19">
        <v>2.8859707282440769E-3</v>
      </c>
      <c r="CR19">
        <v>0</v>
      </c>
      <c r="CS19">
        <v>2.79279629894382E-3</v>
      </c>
      <c r="CT19">
        <v>2.3577093555677332E-3</v>
      </c>
      <c r="CU19">
        <v>3.857252744044264E-3</v>
      </c>
      <c r="CV19">
        <v>7.2302606903659906E-3</v>
      </c>
      <c r="CW19">
        <v>2.8569532795333879E-3</v>
      </c>
      <c r="CX19">
        <v>2.8258508315252701E-3</v>
      </c>
      <c r="CY19">
        <v>5.882748582939243E-3</v>
      </c>
      <c r="CZ19">
        <v>4.2140777316160014E-3</v>
      </c>
      <c r="DA19">
        <v>4.4587726312868177E-3</v>
      </c>
      <c r="DB19">
        <v>4.1626777255982447E-3</v>
      </c>
      <c r="DC19">
        <v>0</v>
      </c>
      <c r="DD19">
        <v>2.3816778893163862E-3</v>
      </c>
      <c r="DE19">
        <v>2.5234694376236049E-3</v>
      </c>
      <c r="DF19">
        <v>1.3842085351882E-3</v>
      </c>
      <c r="DG19">
        <v>1.650214085096095E-3</v>
      </c>
      <c r="DH19">
        <v>1.8264677934158599E-3</v>
      </c>
      <c r="DI19">
        <v>0</v>
      </c>
      <c r="DJ19">
        <v>2.2563923124028279E-3</v>
      </c>
      <c r="DK19">
        <v>0</v>
      </c>
      <c r="DL19">
        <v>2.8213963656805491E-3</v>
      </c>
      <c r="DM19">
        <v>2.1237418581267829E-3</v>
      </c>
      <c r="DN19">
        <v>2.4367347805752939E-3</v>
      </c>
      <c r="DO19">
        <v>3.4705561530030721E-3</v>
      </c>
      <c r="DP19">
        <v>2.4199766274522602E-3</v>
      </c>
      <c r="DQ19">
        <v>3.1845386548559548E-3</v>
      </c>
      <c r="DR19">
        <v>2.5627747364161671E-3</v>
      </c>
      <c r="DS19">
        <v>2.956432476725271E-3</v>
      </c>
      <c r="DT19">
        <v>1.8479484326504271E-3</v>
      </c>
      <c r="DU19">
        <v>3.723561669175408E-3</v>
      </c>
      <c r="DV19">
        <v>0</v>
      </c>
      <c r="DW19">
        <v>0</v>
      </c>
      <c r="DX19">
        <v>1.018528939380158E-2</v>
      </c>
      <c r="DY19">
        <v>4.2724129798064519E-3</v>
      </c>
      <c r="DZ19">
        <v>2.2981983395803131E-3</v>
      </c>
      <c r="EA19">
        <v>2.535307139901165E-3</v>
      </c>
      <c r="EB19">
        <v>1.0333550398434991E-3</v>
      </c>
      <c r="EC19">
        <v>6.3573055665016344E-3</v>
      </c>
      <c r="ED19">
        <v>2.6013132089568189E-3</v>
      </c>
      <c r="EE19">
        <v>2.2552925754464891E-4</v>
      </c>
      <c r="EF19">
        <v>0</v>
      </c>
      <c r="EG19">
        <v>3.6570836134991089E-3</v>
      </c>
      <c r="EH19">
        <v>0</v>
      </c>
      <c r="EI19">
        <v>0</v>
      </c>
      <c r="EJ19">
        <v>7.642074913104842E-4</v>
      </c>
      <c r="EK19">
        <v>7.1497127735498567E-4</v>
      </c>
      <c r="EL19">
        <v>2.264338881067521E-4</v>
      </c>
      <c r="EM19">
        <v>4.6345560426068721E-4</v>
      </c>
      <c r="EN19">
        <v>7.9437466578509063E-11</v>
      </c>
      <c r="EO19">
        <v>0</v>
      </c>
      <c r="EP19">
        <v>9.6158124049209757E-4</v>
      </c>
      <c r="EQ19">
        <v>2.072064189060903E-3</v>
      </c>
      <c r="ER19">
        <v>1.2696630076415491E-2</v>
      </c>
      <c r="ES19">
        <v>2.8422107672911581E-3</v>
      </c>
      <c r="ET19">
        <v>2.901962637818565E-3</v>
      </c>
      <c r="EU19">
        <v>0</v>
      </c>
      <c r="EV19">
        <v>5.8660520339871684E-4</v>
      </c>
      <c r="EW19">
        <v>9.6158715524284656E-3</v>
      </c>
      <c r="EX19">
        <v>1.7826061247071159E-3</v>
      </c>
      <c r="EY19">
        <v>2.096657296294584E-3</v>
      </c>
      <c r="EZ19">
        <v>6.9978419623365207E-2</v>
      </c>
      <c r="FA19">
        <v>2.0524798288778711E-3</v>
      </c>
      <c r="FB19">
        <v>1.6465553008446041E-3</v>
      </c>
      <c r="FC19">
        <v>2.8797878555097099E-3</v>
      </c>
      <c r="FD19">
        <v>2.7613365570988879E-3</v>
      </c>
      <c r="FE19">
        <v>7.6948413857869744E-3</v>
      </c>
      <c r="FF19">
        <v>5.6163944777514897E-3</v>
      </c>
      <c r="FG19">
        <v>1.979624238453328E-3</v>
      </c>
      <c r="FH19">
        <v>3.0807036966022019E-3</v>
      </c>
      <c r="FI19">
        <v>2.1923021133921261E-3</v>
      </c>
      <c r="FJ19">
        <v>2.983839075403978E-3</v>
      </c>
      <c r="FK19">
        <v>3.1804424913305092E-3</v>
      </c>
      <c r="FL19">
        <v>2.1978070724859469E-3</v>
      </c>
      <c r="FM19">
        <v>7.1456956732146356E-3</v>
      </c>
      <c r="FN19">
        <v>3.9965689429372446E-3</v>
      </c>
      <c r="FO19">
        <v>1.211402041309813E-2</v>
      </c>
      <c r="FP19">
        <v>5.5750998083846579E-3</v>
      </c>
      <c r="FQ19">
        <v>4.1275487019775368E-3</v>
      </c>
      <c r="FR19">
        <v>1.116152955972851E-2</v>
      </c>
      <c r="FS19">
        <v>6.8970577400434404E-3</v>
      </c>
      <c r="FT19">
        <v>2.9555064998417748E-3</v>
      </c>
      <c r="FU19">
        <v>2.9447229835875702E-3</v>
      </c>
      <c r="FV19">
        <v>2.923288628586965E-3</v>
      </c>
      <c r="FW19">
        <v>2.9489756093514399E-3</v>
      </c>
      <c r="FX19">
        <v>2.8811545727566298E-3</v>
      </c>
      <c r="FY19">
        <v>2.926286668365008E-3</v>
      </c>
      <c r="FZ19">
        <v>2.9281565954245151E-3</v>
      </c>
      <c r="GA19">
        <v>2.8422183619580431E-3</v>
      </c>
      <c r="GB19">
        <v>2.6771678565618469E-3</v>
      </c>
      <c r="GC19">
        <v>2.7802675206295689E-3</v>
      </c>
      <c r="GD19">
        <v>2.8566903983755169E-3</v>
      </c>
      <c r="GE19">
        <v>1.2350204670956871E-3</v>
      </c>
      <c r="GF19">
        <v>2.9238804309028961E-3</v>
      </c>
      <c r="GG19">
        <v>2.905443930009975E-3</v>
      </c>
      <c r="GH19">
        <v>2.8647399015239291E-3</v>
      </c>
      <c r="GI19">
        <v>2.8820267209948101E-3</v>
      </c>
      <c r="GJ19">
        <v>2.845243211836615E-3</v>
      </c>
      <c r="GK19">
        <v>2.9135383725372699E-3</v>
      </c>
      <c r="GL19">
        <v>2.8556358131411308E-3</v>
      </c>
      <c r="GM19">
        <v>2.8704130049445561E-3</v>
      </c>
      <c r="GN19">
        <v>5.0578369501200152E-3</v>
      </c>
      <c r="GO19">
        <v>1.696931077230384E-2</v>
      </c>
      <c r="GP19">
        <v>8.7358848503044562E-4</v>
      </c>
      <c r="GQ19">
        <v>0</v>
      </c>
      <c r="GR19">
        <v>0.89389326143394521</v>
      </c>
      <c r="GS19">
        <v>1.691388082229619</v>
      </c>
      <c r="GT19">
        <v>0.4402514875952907</v>
      </c>
      <c r="GU19">
        <v>0.70678660030957374</v>
      </c>
      <c r="GV19">
        <v>0.74928496701966296</v>
      </c>
      <c r="GW19">
        <v>0.6955703746146793</v>
      </c>
      <c r="GX19">
        <v>3.8452138010872279E-3</v>
      </c>
      <c r="GY19">
        <v>2.764714685065609E-3</v>
      </c>
      <c r="GZ19">
        <v>7.7497986041727158E-3</v>
      </c>
      <c r="HA19">
        <v>4.1929198157160501E-3</v>
      </c>
      <c r="HB19">
        <v>6.9978419623365207E-2</v>
      </c>
      <c r="HC19">
        <v>6.8137777459562872E-3</v>
      </c>
    </row>
    <row r="20" spans="1:211" x14ac:dyDescent="0.45">
      <c r="A20" s="1" t="s">
        <v>5</v>
      </c>
      <c r="B20">
        <v>4.0512278454017494</v>
      </c>
      <c r="C20">
        <v>4.9543510399273574</v>
      </c>
      <c r="D20">
        <v>5.1215447146732096</v>
      </c>
      <c r="E20">
        <v>2.4357618007676578</v>
      </c>
      <c r="F20">
        <v>8.6633189942429798</v>
      </c>
      <c r="G20">
        <v>0.81881529216266646</v>
      </c>
      <c r="H20">
        <v>26.935606830713109</v>
      </c>
      <c r="I20">
        <v>5.7235675073791397</v>
      </c>
      <c r="J20">
        <v>6.31254231030145</v>
      </c>
      <c r="K20">
        <v>1.7521288309009859</v>
      </c>
      <c r="L20">
        <v>0.76553919755102684</v>
      </c>
      <c r="M20">
        <v>2.5880479448714402</v>
      </c>
      <c r="N20">
        <v>0.80688477256637459</v>
      </c>
      <c r="O20">
        <v>0</v>
      </c>
      <c r="P20">
        <v>20.316710408993149</v>
      </c>
      <c r="Q20">
        <v>0</v>
      </c>
      <c r="R20">
        <v>0</v>
      </c>
      <c r="S20">
        <v>7.7171556198777622E-2</v>
      </c>
      <c r="T20">
        <v>1.3977048875260689</v>
      </c>
      <c r="U20">
        <v>4.1836264263664389E-3</v>
      </c>
      <c r="V20">
        <v>1.659538957999452E-3</v>
      </c>
      <c r="W20">
        <v>1.7144923343497272E-2</v>
      </c>
      <c r="X20">
        <v>0</v>
      </c>
      <c r="Y20">
        <v>3.211814774190103E-3</v>
      </c>
      <c r="Z20">
        <v>2.2441623402477E-2</v>
      </c>
      <c r="AA20">
        <v>7.7854879686876197E-2</v>
      </c>
      <c r="AB20">
        <v>0</v>
      </c>
      <c r="AC20">
        <v>3.1580965988591031E-2</v>
      </c>
      <c r="AD20">
        <v>1.5232540130910781E-3</v>
      </c>
      <c r="AE20">
        <v>0.49603731294184927</v>
      </c>
      <c r="AF20">
        <v>0</v>
      </c>
      <c r="AG20">
        <v>7.5239750463287798E-3</v>
      </c>
      <c r="AH20">
        <v>1.8341836165839649E-5</v>
      </c>
      <c r="AI20">
        <v>59.823439440042051</v>
      </c>
      <c r="AJ20">
        <v>0.18846438055303411</v>
      </c>
      <c r="AK20">
        <v>3.066153543407224E-3</v>
      </c>
      <c r="AL20">
        <v>0.28618736102357578</v>
      </c>
      <c r="AM20">
        <v>6.385897388109369E-3</v>
      </c>
      <c r="AN20">
        <v>5.0652508724348172E-4</v>
      </c>
      <c r="AO20">
        <v>5.4238340955965808E-3</v>
      </c>
      <c r="AP20">
        <v>1.2769456606317731E-3</v>
      </c>
      <c r="AQ20">
        <v>1.191692767512758E-2</v>
      </c>
      <c r="AR20">
        <v>1.093413749969965</v>
      </c>
      <c r="AS20">
        <v>1.1466257215876841</v>
      </c>
      <c r="AT20">
        <v>0.73791661969002298</v>
      </c>
      <c r="AU20">
        <v>0.28276252991103529</v>
      </c>
      <c r="AV20">
        <v>2.485789493403161</v>
      </c>
      <c r="AW20">
        <v>0.65183824237294319</v>
      </c>
      <c r="AX20">
        <v>0.80258165248141466</v>
      </c>
      <c r="AY20">
        <v>1.25042721951544</v>
      </c>
      <c r="AZ20">
        <v>1.489079765139552</v>
      </c>
      <c r="BA20">
        <v>0.55297485274835312</v>
      </c>
      <c r="BB20">
        <v>0.31859487714851031</v>
      </c>
      <c r="BC20">
        <v>0.55903656612103603</v>
      </c>
      <c r="BD20">
        <v>0.21548620460257401</v>
      </c>
      <c r="BE20">
        <v>0.23365134692492201</v>
      </c>
      <c r="BF20">
        <v>0.33826149194465549</v>
      </c>
      <c r="BG20">
        <v>0.11006388186816329</v>
      </c>
      <c r="BH20">
        <v>0</v>
      </c>
      <c r="BI20">
        <v>0.2047549422077711</v>
      </c>
      <c r="BJ20">
        <v>0</v>
      </c>
      <c r="BK20">
        <v>5.3114807046231283E-2</v>
      </c>
      <c r="BL20">
        <v>3.2316270390658208E-2</v>
      </c>
      <c r="BM20">
        <v>3.2134138979183692E-2</v>
      </c>
      <c r="BN20">
        <v>0</v>
      </c>
      <c r="BO20">
        <v>0</v>
      </c>
      <c r="BP20">
        <v>1.4713507415166609</v>
      </c>
      <c r="BQ20">
        <v>4.18360318355308E-3</v>
      </c>
      <c r="BR20">
        <v>0</v>
      </c>
      <c r="BS20">
        <v>9.1419569153753044E-2</v>
      </c>
      <c r="BT20">
        <v>2.4956033711193541E-2</v>
      </c>
      <c r="BU20">
        <v>4.0356220355926543E-2</v>
      </c>
      <c r="BV20">
        <v>0.37056631356880848</v>
      </c>
      <c r="BW20">
        <v>0</v>
      </c>
      <c r="BX20">
        <v>9.3652562380368759E-2</v>
      </c>
      <c r="BY20">
        <v>2.677530512349623E-2</v>
      </c>
      <c r="BZ20">
        <v>0</v>
      </c>
      <c r="CA20">
        <v>4.2987301177807337E-2</v>
      </c>
      <c r="CB20">
        <v>0</v>
      </c>
      <c r="CC20">
        <v>0</v>
      </c>
      <c r="CD20">
        <v>1.2925519956516571E-2</v>
      </c>
      <c r="CE20">
        <v>0</v>
      </c>
      <c r="CF20">
        <v>1.6921215591890779E-2</v>
      </c>
      <c r="CG20">
        <v>1.1989674672190011E-2</v>
      </c>
      <c r="CH20">
        <v>0</v>
      </c>
      <c r="CI20">
        <v>0.38250768663862922</v>
      </c>
      <c r="CJ20">
        <v>0</v>
      </c>
      <c r="CK20">
        <v>1.101536028149902</v>
      </c>
      <c r="CL20">
        <v>2.5145802291101069</v>
      </c>
      <c r="CM20">
        <v>0.12673088575600749</v>
      </c>
      <c r="CN20">
        <v>0</v>
      </c>
      <c r="CO20">
        <v>1.0435033768283359</v>
      </c>
      <c r="CP20">
        <v>0</v>
      </c>
      <c r="CQ20">
        <v>0</v>
      </c>
      <c r="CR20">
        <v>0</v>
      </c>
      <c r="CS20">
        <v>8.2234356317034227E-2</v>
      </c>
      <c r="CT20">
        <v>0</v>
      </c>
      <c r="CU20">
        <v>8.3779133338650308E-2</v>
      </c>
      <c r="CV20">
        <v>5.3890992511599532E-2</v>
      </c>
      <c r="CW20">
        <v>4.986181003118053E-2</v>
      </c>
      <c r="CX20">
        <v>0</v>
      </c>
      <c r="CY20">
        <v>5.5884317742166387E-2</v>
      </c>
      <c r="CZ20">
        <v>4.2867376379297911E-2</v>
      </c>
      <c r="DA20">
        <v>0</v>
      </c>
      <c r="DB20">
        <v>6.1482660041349058E-2</v>
      </c>
      <c r="DC20">
        <v>0</v>
      </c>
      <c r="DD20">
        <v>9.6166331120813769E-2</v>
      </c>
      <c r="DE20">
        <v>0</v>
      </c>
      <c r="DF20">
        <v>0.28270786440229501</v>
      </c>
      <c r="DG20">
        <v>0</v>
      </c>
      <c r="DH20">
        <v>8.9117915193086802E-2</v>
      </c>
      <c r="DI20">
        <v>0</v>
      </c>
      <c r="DJ20">
        <v>8.8885763749499178E-2</v>
      </c>
      <c r="DK20">
        <v>0</v>
      </c>
      <c r="DL20">
        <v>0</v>
      </c>
      <c r="DM20">
        <v>3.7316776875245428E-2</v>
      </c>
      <c r="DN20">
        <v>1.933989538842203E-2</v>
      </c>
      <c r="DO20">
        <v>0.1018248581162471</v>
      </c>
      <c r="DP20">
        <v>2.4247219713016549E-2</v>
      </c>
      <c r="DQ20">
        <v>2.551077564742691E-2</v>
      </c>
      <c r="DR20">
        <v>1.6088270669690069E-2</v>
      </c>
      <c r="DS20">
        <v>4.9390709080710013E-2</v>
      </c>
      <c r="DT20">
        <v>2.126525429923188E-2</v>
      </c>
      <c r="DU20">
        <v>7.7667366953049849E-2</v>
      </c>
      <c r="DV20">
        <v>0</v>
      </c>
      <c r="DW20">
        <v>0</v>
      </c>
      <c r="DX20">
        <v>8.3374939127926883E-3</v>
      </c>
      <c r="DY20">
        <v>3.4492345456666462E-2</v>
      </c>
      <c r="DZ20">
        <v>0.1243452642390709</v>
      </c>
      <c r="EA20">
        <v>8.4464175279910125E-2</v>
      </c>
      <c r="EB20">
        <v>2.80727910701827E-2</v>
      </c>
      <c r="EC20">
        <v>1.897372137437596E-2</v>
      </c>
      <c r="ED20">
        <v>4.4677079676050203E-2</v>
      </c>
      <c r="EE20">
        <v>9.0990597661825864E-2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6.1523269874519518E-2</v>
      </c>
      <c r="EU20">
        <v>0</v>
      </c>
      <c r="EV20">
        <v>5.0928240306146691E-2</v>
      </c>
      <c r="EW20">
        <v>0.37637385081175528</v>
      </c>
      <c r="EX20">
        <v>8.3172419610115844E-2</v>
      </c>
      <c r="EY20">
        <v>6.7944991313548503E-2</v>
      </c>
      <c r="EZ20">
        <v>0.25317203140339423</v>
      </c>
      <c r="FA20">
        <v>8.2049997736801633E-2</v>
      </c>
      <c r="FB20">
        <v>3.7604729176357647E-2</v>
      </c>
      <c r="FC20">
        <v>0.17557246742848179</v>
      </c>
      <c r="FD20">
        <v>8.7773685368686252E-2</v>
      </c>
      <c r="FE20">
        <v>0.1771471744193637</v>
      </c>
      <c r="FF20">
        <v>7.686271919934401E-2</v>
      </c>
      <c r="FG20">
        <v>5.847878853147765E-2</v>
      </c>
      <c r="FH20">
        <v>2.9960194561640958E-2</v>
      </c>
      <c r="FI20">
        <v>2.003361212110924E-2</v>
      </c>
      <c r="FJ20">
        <v>3.1880530831312572E-2</v>
      </c>
      <c r="FK20">
        <v>2.9212503544457979E-2</v>
      </c>
      <c r="FL20">
        <v>2.8867607326409701E-2</v>
      </c>
      <c r="FM20">
        <v>3.0489116224550729E-2</v>
      </c>
      <c r="FN20">
        <v>4.2255648183933757E-2</v>
      </c>
      <c r="FO20">
        <v>0.14144658654983791</v>
      </c>
      <c r="FP20">
        <v>3.2416982930970152E-2</v>
      </c>
      <c r="FQ20">
        <v>7.2279859339673805E-2</v>
      </c>
      <c r="FR20">
        <v>6.0036461662414803E-2</v>
      </c>
      <c r="FS20">
        <v>0.13032867224970471</v>
      </c>
      <c r="FT20">
        <v>4.7222591353284417E-2</v>
      </c>
      <c r="FU20">
        <v>3.8090189748385177E-2</v>
      </c>
      <c r="FV20">
        <v>2.8560560247791071E-2</v>
      </c>
      <c r="FW20">
        <v>5.5272690129331323E-2</v>
      </c>
      <c r="FX20">
        <v>2.539551972023682E-2</v>
      </c>
      <c r="FY20">
        <v>3.4478027639453977E-2</v>
      </c>
      <c r="FZ20">
        <v>4.0264271810574473E-2</v>
      </c>
      <c r="GA20">
        <v>1.7817542626291719E-2</v>
      </c>
      <c r="GB20">
        <v>2.554063360888463E-2</v>
      </c>
      <c r="GC20">
        <v>3.2510443415478818E-2</v>
      </c>
      <c r="GD20">
        <v>3.2371839978247767E-2</v>
      </c>
      <c r="GE20">
        <v>1.4413915577861669E-2</v>
      </c>
      <c r="GF20">
        <v>2.218981305519728E-2</v>
      </c>
      <c r="GG20">
        <v>3.002018175786202E-2</v>
      </c>
      <c r="GH20">
        <v>2.7580270544718531E-2</v>
      </c>
      <c r="GI20">
        <v>2.1995076919076269E-2</v>
      </c>
      <c r="GJ20">
        <v>1.7360784195545039E-2</v>
      </c>
      <c r="GK20">
        <v>4.353267040251714E-2</v>
      </c>
      <c r="GL20">
        <v>1.9949983988233461E-2</v>
      </c>
      <c r="GM20">
        <v>2.2136212756528141E-2</v>
      </c>
      <c r="GN20">
        <v>0.120597553720725</v>
      </c>
      <c r="GO20">
        <v>6.745425407528724E-2</v>
      </c>
      <c r="GP20">
        <v>0.1404246064009656</v>
      </c>
      <c r="GQ20">
        <v>0</v>
      </c>
      <c r="GR20">
        <v>2.4368808084030582</v>
      </c>
      <c r="GS20">
        <v>1.093413749969965</v>
      </c>
      <c r="GT20">
        <v>0.60952138574066228</v>
      </c>
      <c r="GU20">
        <v>0.73607485777009396</v>
      </c>
      <c r="GV20">
        <v>0.65183824237294319</v>
      </c>
      <c r="GW20">
        <v>1.610519098771146</v>
      </c>
      <c r="GX20">
        <v>5.9973338424728219E-2</v>
      </c>
      <c r="GY20">
        <v>5.9879688353730177E-2</v>
      </c>
      <c r="GZ20">
        <v>0.26033732556319372</v>
      </c>
      <c r="HA20">
        <v>5.8877046380706261E-2</v>
      </c>
      <c r="HB20">
        <v>0</v>
      </c>
      <c r="HC20">
        <v>6.5292797357149851E-2</v>
      </c>
    </row>
    <row r="21" spans="1:211" x14ac:dyDescent="0.45">
      <c r="A21" s="1" t="s">
        <v>6</v>
      </c>
      <c r="B21">
        <v>12.589531046076591</v>
      </c>
      <c r="C21">
        <v>393.41683792647649</v>
      </c>
      <c r="D21">
        <v>6.1707335051997774</v>
      </c>
      <c r="E21">
        <v>6666.4130958942833</v>
      </c>
      <c r="F21">
        <v>709.18679688875659</v>
      </c>
      <c r="G21">
        <v>0</v>
      </c>
      <c r="H21">
        <v>18.17377665812187</v>
      </c>
      <c r="I21">
        <v>418.35490823388932</v>
      </c>
      <c r="J21">
        <v>0</v>
      </c>
      <c r="K21">
        <v>0</v>
      </c>
      <c r="L21">
        <v>37.6718724459</v>
      </c>
      <c r="M21">
        <v>134.96855356699999</v>
      </c>
      <c r="N21">
        <v>358.93550539300003</v>
      </c>
      <c r="O21">
        <v>0</v>
      </c>
      <c r="P21">
        <v>0</v>
      </c>
      <c r="Q21">
        <v>0</v>
      </c>
      <c r="R21">
        <v>0</v>
      </c>
      <c r="S21">
        <v>324.71811889076042</v>
      </c>
      <c r="T21">
        <v>191.524540960959</v>
      </c>
      <c r="U21">
        <v>6.3533008602000001</v>
      </c>
      <c r="V21">
        <v>0</v>
      </c>
      <c r="W21">
        <v>14.903983972800001</v>
      </c>
      <c r="X21">
        <v>0</v>
      </c>
      <c r="Y21">
        <v>14.5218305376</v>
      </c>
      <c r="Z21">
        <v>0</v>
      </c>
      <c r="AA21">
        <v>0</v>
      </c>
      <c r="AB21">
        <v>0</v>
      </c>
      <c r="AC21">
        <v>0</v>
      </c>
      <c r="AD21">
        <v>10172.62054431125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1038.4943145499999</v>
      </c>
      <c r="AS21">
        <v>596.45047547599995</v>
      </c>
      <c r="AT21">
        <v>892.77666270999998</v>
      </c>
      <c r="AU21">
        <v>2166.4317380399998</v>
      </c>
      <c r="AV21">
        <v>152.52438610900001</v>
      </c>
      <c r="AW21">
        <v>1806.0386160099999</v>
      </c>
      <c r="AX21">
        <v>130.97256975400001</v>
      </c>
      <c r="AY21">
        <v>92.726657253900001</v>
      </c>
      <c r="AZ21">
        <v>11484.836648500001</v>
      </c>
      <c r="BA21">
        <v>1737.93637934</v>
      </c>
      <c r="BB21">
        <v>1549.8190821000001</v>
      </c>
      <c r="BC21">
        <v>1749.27710897</v>
      </c>
      <c r="BD21">
        <v>5191.81852316</v>
      </c>
      <c r="BE21">
        <v>10896.3904117</v>
      </c>
      <c r="BF21">
        <v>6719.8629984099998</v>
      </c>
      <c r="BG21">
        <v>627.28953437057316</v>
      </c>
      <c r="BH21">
        <v>64.052776141426875</v>
      </c>
      <c r="BI21">
        <v>0</v>
      </c>
      <c r="BJ21">
        <v>0</v>
      </c>
      <c r="BK21">
        <v>1766.04037623</v>
      </c>
      <c r="BL21">
        <v>1559.8370236600001</v>
      </c>
      <c r="BM21">
        <v>0.1066507278430744</v>
      </c>
      <c r="BN21">
        <v>0</v>
      </c>
      <c r="BO21">
        <v>0</v>
      </c>
      <c r="BP21">
        <v>262.48153199278192</v>
      </c>
      <c r="BQ21">
        <v>0.26273048669999999</v>
      </c>
      <c r="BR21">
        <v>0</v>
      </c>
      <c r="BS21">
        <v>52.290447045240562</v>
      </c>
      <c r="BT21">
        <v>157.13671563599999</v>
      </c>
      <c r="BU21">
        <v>7198.1551780506543</v>
      </c>
      <c r="BV21">
        <v>1.056828588528105</v>
      </c>
      <c r="BW21">
        <v>0</v>
      </c>
      <c r="BX21">
        <v>612.42607809052072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2378.0362296804178</v>
      </c>
      <c r="CJ21">
        <v>286.21616942958212</v>
      </c>
      <c r="CK21">
        <v>1.6789142170569999</v>
      </c>
      <c r="CL21">
        <v>44.522949826820003</v>
      </c>
      <c r="CM21">
        <v>6643.3333910300007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895.25021162600001</v>
      </c>
      <c r="CV21">
        <v>0.112600342789</v>
      </c>
      <c r="CW21">
        <v>0.91886879222690554</v>
      </c>
      <c r="CX21">
        <v>5.55902005850945E-2</v>
      </c>
      <c r="CY21">
        <v>791.25578928899995</v>
      </c>
      <c r="CZ21">
        <v>6.1700262321527496E-3</v>
      </c>
      <c r="DA21">
        <v>3.9625614194724822E-4</v>
      </c>
      <c r="DB21">
        <v>5.4250360592692362</v>
      </c>
      <c r="DC21">
        <v>3.0458495076355003E-4</v>
      </c>
      <c r="DD21">
        <v>1.3261887457802539</v>
      </c>
      <c r="DE21">
        <v>0.102340521859746</v>
      </c>
      <c r="DF21">
        <v>0</v>
      </c>
      <c r="DG21">
        <v>0</v>
      </c>
      <c r="DH21">
        <v>0</v>
      </c>
      <c r="DI21">
        <v>0</v>
      </c>
      <c r="DJ21">
        <v>7.4935930203748713</v>
      </c>
      <c r="DK21">
        <v>6.0997008595128847E-2</v>
      </c>
      <c r="DL21">
        <v>0</v>
      </c>
      <c r="DM21">
        <v>2010.42848448</v>
      </c>
      <c r="DN21">
        <v>520.47413446200005</v>
      </c>
      <c r="DO21">
        <v>1803.7615754999999</v>
      </c>
      <c r="DP21">
        <v>2577.2612739800002</v>
      </c>
      <c r="DQ21">
        <v>4696.7749308100001</v>
      </c>
      <c r="DR21">
        <v>4669.9064481400001</v>
      </c>
      <c r="DS21">
        <v>29014.020956100001</v>
      </c>
      <c r="DT21">
        <v>2813.8265550279998</v>
      </c>
      <c r="DU21">
        <v>10799.400247</v>
      </c>
      <c r="DV21">
        <v>0</v>
      </c>
      <c r="DW21">
        <v>0</v>
      </c>
      <c r="DX21">
        <v>63.361211080935377</v>
      </c>
      <c r="DY21">
        <v>50.540358367452967</v>
      </c>
      <c r="DZ21">
        <v>20.421948832948161</v>
      </c>
      <c r="EA21">
        <v>34.973120821718787</v>
      </c>
      <c r="EB21">
        <v>7.7745748429250057</v>
      </c>
      <c r="EC21">
        <v>7.7841592984684684</v>
      </c>
      <c r="ED21">
        <v>4.4869937232399604</v>
      </c>
      <c r="EE21">
        <v>2.2862877476796539</v>
      </c>
      <c r="EF21">
        <v>0</v>
      </c>
      <c r="EG21">
        <v>4.9947555776570151E-3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107.8362040536</v>
      </c>
      <c r="EY21">
        <v>0</v>
      </c>
      <c r="EZ21">
        <v>0</v>
      </c>
      <c r="FA21">
        <v>1317.5141081675199</v>
      </c>
      <c r="FB21">
        <v>5070.0672428300004</v>
      </c>
      <c r="FC21">
        <v>0.66543467202200002</v>
      </c>
      <c r="FD21">
        <v>3107.3829579702092</v>
      </c>
      <c r="FE21">
        <v>243.82395424985501</v>
      </c>
      <c r="FF21">
        <v>8077.9817955548197</v>
      </c>
      <c r="FG21">
        <v>854.20888969679993</v>
      </c>
      <c r="FH21">
        <v>2604.55483714</v>
      </c>
      <c r="FI21">
        <v>1220.2376179299999</v>
      </c>
      <c r="FJ21">
        <v>1145.74717822</v>
      </c>
      <c r="FK21">
        <v>0</v>
      </c>
      <c r="FL21">
        <v>0</v>
      </c>
      <c r="FM21">
        <v>0</v>
      </c>
      <c r="FN21">
        <v>1.81215275413</v>
      </c>
      <c r="FO21">
        <v>1038.6668066899999</v>
      </c>
      <c r="FP21">
        <v>652.78120585600004</v>
      </c>
      <c r="FQ21">
        <v>1267.5185599075201</v>
      </c>
      <c r="FR21">
        <v>1024.3292228667999</v>
      </c>
      <c r="FS21">
        <v>1545.727142509</v>
      </c>
      <c r="FT21">
        <v>7.1772939881199997</v>
      </c>
      <c r="FU21">
        <v>7.47894238651</v>
      </c>
      <c r="FV21">
        <v>3.4561336392499999</v>
      </c>
      <c r="FW21">
        <v>12.452825049199999</v>
      </c>
      <c r="FX21">
        <v>1.4328711332499999</v>
      </c>
      <c r="FY21">
        <v>2.5196803371600001</v>
      </c>
      <c r="FZ21">
        <v>7.2681283026200001</v>
      </c>
      <c r="GA21">
        <v>0.63557573159500003</v>
      </c>
      <c r="GB21">
        <v>4.31870936057E-2</v>
      </c>
      <c r="GC21">
        <v>6.2167013558799988</v>
      </c>
      <c r="GD21">
        <v>8.3376501952699993</v>
      </c>
      <c r="GE21">
        <v>0</v>
      </c>
      <c r="GF21">
        <v>2.8579230598600001</v>
      </c>
      <c r="GG21">
        <v>5.4780863341700003</v>
      </c>
      <c r="GH21">
        <v>6.6187806119300001</v>
      </c>
      <c r="GI21">
        <v>4.2866716676400003</v>
      </c>
      <c r="GJ21">
        <v>0.91095341557300002</v>
      </c>
      <c r="GK21">
        <v>10.798532357499999</v>
      </c>
      <c r="GL21">
        <v>0.47988633069100001</v>
      </c>
      <c r="GM21">
        <v>1.5981500333700001</v>
      </c>
      <c r="GN21">
        <v>95.863337095600002</v>
      </c>
      <c r="GO21">
        <v>2481.46822075</v>
      </c>
      <c r="GP21">
        <v>262.19233730575002</v>
      </c>
      <c r="GQ21">
        <v>0</v>
      </c>
      <c r="GR21">
        <v>6818.9374820032835</v>
      </c>
      <c r="GS21">
        <v>1038.4943145499999</v>
      </c>
      <c r="GT21">
        <v>3828.2993022389001</v>
      </c>
      <c r="GU21">
        <v>2356.4986623639588</v>
      </c>
      <c r="GV21">
        <v>1806.0386160099999</v>
      </c>
      <c r="GW21">
        <v>17903.873458744751</v>
      </c>
      <c r="GX21">
        <v>26463.523517716021</v>
      </c>
      <c r="GY21">
        <v>58120.83281466164</v>
      </c>
      <c r="GZ21">
        <v>22808.071933269999</v>
      </c>
      <c r="HA21">
        <v>52451.491819216943</v>
      </c>
      <c r="HB21">
        <v>0</v>
      </c>
      <c r="HC21">
        <v>14392.991685798401</v>
      </c>
    </row>
    <row r="22" spans="1:211" x14ac:dyDescent="0.45">
      <c r="A22" s="1" t="s">
        <v>7</v>
      </c>
      <c r="B22">
        <v>111.1237859411297</v>
      </c>
      <c r="C22">
        <v>6143.0077963115054</v>
      </c>
      <c r="D22">
        <v>370.68346562429832</v>
      </c>
      <c r="E22">
        <v>10280.107604815599</v>
      </c>
      <c r="F22">
        <v>726.07848723778375</v>
      </c>
      <c r="G22">
        <v>0</v>
      </c>
      <c r="H22">
        <v>514.07430814345184</v>
      </c>
      <c r="I22">
        <v>0</v>
      </c>
      <c r="J22">
        <v>0</v>
      </c>
      <c r="K22">
        <v>0</v>
      </c>
      <c r="L22">
        <v>3117.9127895699999</v>
      </c>
      <c r="M22">
        <v>1889.7566549799999</v>
      </c>
      <c r="N22">
        <v>139.24546536700001</v>
      </c>
      <c r="O22">
        <v>137.460607966</v>
      </c>
      <c r="P22">
        <v>0</v>
      </c>
      <c r="Q22">
        <v>0</v>
      </c>
      <c r="R22">
        <v>0</v>
      </c>
      <c r="S22">
        <v>4983.7269113496177</v>
      </c>
      <c r="T22">
        <v>235.5104379290872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7.5170467887461898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5050.4413716326299</v>
      </c>
      <c r="AS22">
        <v>2108.0791581456701</v>
      </c>
      <c r="AT22">
        <v>8018.0444478146992</v>
      </c>
      <c r="AU22">
        <v>15949.9837150327</v>
      </c>
      <c r="AV22">
        <v>26.960627056900002</v>
      </c>
      <c r="AW22">
        <v>8488.2230403558297</v>
      </c>
      <c r="AX22">
        <v>26.83840954758</v>
      </c>
      <c r="AY22">
        <v>662.143368282305</v>
      </c>
      <c r="AZ22">
        <v>23360.725289119</v>
      </c>
      <c r="BA22">
        <v>7010.4418690136599</v>
      </c>
      <c r="BB22">
        <v>2468.4934124624001</v>
      </c>
      <c r="BC22">
        <v>874.53301648599995</v>
      </c>
      <c r="BD22">
        <v>2215.3406393403002</v>
      </c>
      <c r="BE22">
        <v>3273.5352910359002</v>
      </c>
      <c r="BF22">
        <v>128.12948849290001</v>
      </c>
      <c r="BG22">
        <v>710.2622544142647</v>
      </c>
      <c r="BH22">
        <v>438.23633378573538</v>
      </c>
      <c r="BI22">
        <v>0</v>
      </c>
      <c r="BJ22">
        <v>0</v>
      </c>
      <c r="BK22">
        <v>1585.4834509899999</v>
      </c>
      <c r="BL22">
        <v>5484.6488585699999</v>
      </c>
      <c r="BM22">
        <v>0.72930991165692571</v>
      </c>
      <c r="BN22">
        <v>0</v>
      </c>
      <c r="BO22">
        <v>0</v>
      </c>
      <c r="BP22">
        <v>4666.4618214472184</v>
      </c>
      <c r="BQ22">
        <v>0</v>
      </c>
      <c r="BR22">
        <v>0</v>
      </c>
      <c r="BS22">
        <v>43.24791175475945</v>
      </c>
      <c r="BT22">
        <v>0</v>
      </c>
      <c r="BU22">
        <v>7435.9329311493466</v>
      </c>
      <c r="BV22">
        <v>2.1437064312718959</v>
      </c>
      <c r="BW22">
        <v>0</v>
      </c>
      <c r="BX22">
        <v>301.73270808747918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37588.165323314177</v>
      </c>
      <c r="CJ22">
        <v>1908.1984372858201</v>
      </c>
      <c r="CK22">
        <v>8.0925708148400002</v>
      </c>
      <c r="CL22">
        <v>43.787168113900002</v>
      </c>
      <c r="CM22">
        <v>9071.7807908699997</v>
      </c>
      <c r="CN22">
        <v>0</v>
      </c>
      <c r="CO22">
        <v>0</v>
      </c>
      <c r="CP22">
        <v>347.92681815999998</v>
      </c>
      <c r="CQ22">
        <v>984.28394153700003</v>
      </c>
      <c r="CR22">
        <v>0</v>
      </c>
      <c r="CS22">
        <v>0</v>
      </c>
      <c r="CT22">
        <v>0</v>
      </c>
      <c r="CU22">
        <v>689.76229474199999</v>
      </c>
      <c r="CV22">
        <v>7.7309901311899996</v>
      </c>
      <c r="CW22">
        <v>50.515630950077558</v>
      </c>
      <c r="CX22">
        <v>11.094501610822441</v>
      </c>
      <c r="CY22">
        <v>967.10634446200015</v>
      </c>
      <c r="CZ22">
        <v>4.0624645841598698E-3</v>
      </c>
      <c r="DA22">
        <v>1.8210031991701299E-3</v>
      </c>
      <c r="DB22">
        <v>0</v>
      </c>
      <c r="DC22">
        <v>0</v>
      </c>
      <c r="DD22">
        <v>0.46723417790522082</v>
      </c>
      <c r="DE22">
        <v>0.26654030710377918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0.14561557168100001</v>
      </c>
      <c r="DM22">
        <v>3671.05667554</v>
      </c>
      <c r="DN22">
        <v>310.99962491299999</v>
      </c>
      <c r="DO22">
        <v>0</v>
      </c>
      <c r="DP22">
        <v>1938.44845799</v>
      </c>
      <c r="DQ22">
        <v>1956.93538405</v>
      </c>
      <c r="DR22">
        <v>2869.1544762899998</v>
      </c>
      <c r="DS22">
        <v>26547.7846919</v>
      </c>
      <c r="DT22">
        <v>1501.0289734744999</v>
      </c>
      <c r="DU22">
        <v>7391.2707397499989</v>
      </c>
      <c r="DV22">
        <v>0</v>
      </c>
      <c r="DW22">
        <v>0</v>
      </c>
      <c r="DX22">
        <v>160.53293276706461</v>
      </c>
      <c r="DY22">
        <v>458.08197929454701</v>
      </c>
      <c r="DZ22">
        <v>10186.75299786705</v>
      </c>
      <c r="EA22">
        <v>1235.3526669582809</v>
      </c>
      <c r="EB22">
        <v>488.06950732907501</v>
      </c>
      <c r="EC22">
        <v>36.951677209631541</v>
      </c>
      <c r="ED22">
        <v>213.02996467476001</v>
      </c>
      <c r="EE22">
        <v>167.10322240432029</v>
      </c>
      <c r="EF22">
        <v>0</v>
      </c>
      <c r="EG22">
        <v>11.36406994162234</v>
      </c>
      <c r="EH22">
        <v>0</v>
      </c>
      <c r="EI22">
        <v>0</v>
      </c>
      <c r="EJ22">
        <v>2459.8227431700002</v>
      </c>
      <c r="EK22">
        <v>9539.4035679999997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8925.8146115100008</v>
      </c>
      <c r="ER22">
        <v>1377.8064414299999</v>
      </c>
      <c r="ES22">
        <v>5628.20353823</v>
      </c>
      <c r="ET22">
        <v>8796.4664476500002</v>
      </c>
      <c r="EU22">
        <v>0</v>
      </c>
      <c r="EV22">
        <v>30296.038247430999</v>
      </c>
      <c r="EW22">
        <v>769.05730232869996</v>
      </c>
      <c r="EX22">
        <v>9886.4385954099998</v>
      </c>
      <c r="EY22">
        <v>7198.7452669800005</v>
      </c>
      <c r="EZ22">
        <v>83954.164852629998</v>
      </c>
      <c r="FA22">
        <v>15294.563008583</v>
      </c>
      <c r="FB22">
        <v>30950.3724516</v>
      </c>
      <c r="FC22">
        <v>308.12175901199998</v>
      </c>
      <c r="FD22">
        <v>1190.0860007440001</v>
      </c>
      <c r="FE22">
        <v>749.58537190106574</v>
      </c>
      <c r="FF22">
        <v>11302.3998226312</v>
      </c>
      <c r="FG22">
        <v>16771.579081532</v>
      </c>
      <c r="FH22">
        <v>42904.638546299997</v>
      </c>
      <c r="FI22">
        <v>13529.354277</v>
      </c>
      <c r="FJ22">
        <v>31909.8454513</v>
      </c>
      <c r="FK22">
        <v>0</v>
      </c>
      <c r="FL22">
        <v>242143.13257310001</v>
      </c>
      <c r="FM22">
        <v>3328.271032657</v>
      </c>
      <c r="FN22">
        <v>70.890308732400001</v>
      </c>
      <c r="FO22">
        <v>11126.0696009</v>
      </c>
      <c r="FP22">
        <v>15846.2651147</v>
      </c>
      <c r="FQ22">
        <v>186753.73804475501</v>
      </c>
      <c r="FR22">
        <v>130808.66813279</v>
      </c>
      <c r="FS22">
        <v>258670.86586419999</v>
      </c>
      <c r="FT22">
        <v>767.06281134100004</v>
      </c>
      <c r="FU22">
        <v>804.795130685</v>
      </c>
      <c r="FV22">
        <v>332.70708407199999</v>
      </c>
      <c r="FW22">
        <v>949.25281436</v>
      </c>
      <c r="FX22">
        <v>167.74187124900001</v>
      </c>
      <c r="FY22">
        <v>222.57871309000001</v>
      </c>
      <c r="FZ22">
        <v>919.98164076199998</v>
      </c>
      <c r="GA22">
        <v>70.537428166500007</v>
      </c>
      <c r="GB22">
        <v>6.1009405066999998</v>
      </c>
      <c r="GC22">
        <v>773.51984684800004</v>
      </c>
      <c r="GD22">
        <v>479.80123612099999</v>
      </c>
      <c r="GE22">
        <v>1.8890696923700001</v>
      </c>
      <c r="GF22">
        <v>266.24321473499998</v>
      </c>
      <c r="GG22">
        <v>472.33991311599999</v>
      </c>
      <c r="GH22">
        <v>460.33404258299998</v>
      </c>
      <c r="GI22">
        <v>317.56515019599999</v>
      </c>
      <c r="GJ22">
        <v>84.577913012400003</v>
      </c>
      <c r="GK22">
        <v>1333.3558007900001</v>
      </c>
      <c r="GL22">
        <v>52.302272047400002</v>
      </c>
      <c r="GM22">
        <v>192.22371685499999</v>
      </c>
      <c r="GN22">
        <v>22590.5100676</v>
      </c>
      <c r="GO22">
        <v>71885.084968099996</v>
      </c>
      <c r="GP22">
        <v>11238.476071223</v>
      </c>
      <c r="GQ22">
        <v>0</v>
      </c>
      <c r="GR22">
        <v>10307.068231872499</v>
      </c>
      <c r="GS22">
        <v>5050.4413716326299</v>
      </c>
      <c r="GT22">
        <v>31083.776765543069</v>
      </c>
      <c r="GU22">
        <v>8862.9789436519168</v>
      </c>
      <c r="GV22">
        <v>8625.6836483218303</v>
      </c>
      <c r="GW22">
        <v>35754.451946233312</v>
      </c>
      <c r="GX22">
        <v>348068.80637080298</v>
      </c>
      <c r="GY22">
        <v>115961.4466882009</v>
      </c>
      <c r="GZ22">
        <v>5617.0054188691001</v>
      </c>
      <c r="HA22">
        <v>76311.734081727249</v>
      </c>
      <c r="HB22">
        <v>83954.164852629998</v>
      </c>
      <c r="HC22">
        <v>879887.65012239758</v>
      </c>
    </row>
    <row r="23" spans="1:211" x14ac:dyDescent="0.45">
      <c r="A23" s="1" t="s">
        <v>8</v>
      </c>
      <c r="B23">
        <v>2.6890924446496118</v>
      </c>
      <c r="C23">
        <v>126.0151564468952</v>
      </c>
      <c r="D23">
        <v>5.0232910997580289</v>
      </c>
      <c r="E23">
        <v>820.78303145789425</v>
      </c>
      <c r="F23">
        <v>26.062574020783281</v>
      </c>
      <c r="G23">
        <v>0</v>
      </c>
      <c r="H23">
        <v>6.0685756220304761</v>
      </c>
      <c r="I23">
        <v>0</v>
      </c>
      <c r="J23">
        <v>0</v>
      </c>
      <c r="K23">
        <v>0</v>
      </c>
      <c r="L23">
        <v>613.65452665030659</v>
      </c>
      <c r="M23">
        <v>403.8576493932004</v>
      </c>
      <c r="N23">
        <v>43.854011146789361</v>
      </c>
      <c r="O23">
        <v>47.916374373206096</v>
      </c>
      <c r="P23">
        <v>0</v>
      </c>
      <c r="Q23">
        <v>0</v>
      </c>
      <c r="R23">
        <v>0</v>
      </c>
      <c r="S23">
        <v>59.740894722308639</v>
      </c>
      <c r="T23">
        <v>75.941965664059651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7.5270961331923028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1039.908178888362</v>
      </c>
      <c r="AS23">
        <v>270.274440608715</v>
      </c>
      <c r="AT23">
        <v>1736.6335529751</v>
      </c>
      <c r="AU23">
        <v>5763.5041297360749</v>
      </c>
      <c r="AV23">
        <v>5.4080706747543692</v>
      </c>
      <c r="AW23">
        <v>1457.679403432325</v>
      </c>
      <c r="AX23">
        <v>0.74166288052941198</v>
      </c>
      <c r="AY23">
        <v>49.236504683742091</v>
      </c>
      <c r="AZ23">
        <v>7158.0398691101555</v>
      </c>
      <c r="BA23">
        <v>1209.1093886750491</v>
      </c>
      <c r="BB23">
        <v>974.10574467063407</v>
      </c>
      <c r="BC23">
        <v>22.825857115576611</v>
      </c>
      <c r="BD23">
        <v>123.8350651005621</v>
      </c>
      <c r="BE23">
        <v>103.8040855453783</v>
      </c>
      <c r="BF23">
        <v>7.597726448637883</v>
      </c>
      <c r="BG23">
        <v>18.28877872207207</v>
      </c>
      <c r="BH23">
        <v>8.8536509307865146</v>
      </c>
      <c r="BI23">
        <v>0</v>
      </c>
      <c r="BJ23">
        <v>0</v>
      </c>
      <c r="BK23">
        <v>79.418893068177923</v>
      </c>
      <c r="BL23">
        <v>101.2238668508205</v>
      </c>
      <c r="BM23">
        <v>1.530986124381135E-3</v>
      </c>
      <c r="BN23">
        <v>0</v>
      </c>
      <c r="BO23">
        <v>0</v>
      </c>
      <c r="BP23">
        <v>461.2737391899218</v>
      </c>
      <c r="BQ23">
        <v>0</v>
      </c>
      <c r="BR23">
        <v>0</v>
      </c>
      <c r="BS23">
        <v>1.101857001552589</v>
      </c>
      <c r="BT23">
        <v>0</v>
      </c>
      <c r="BU23">
        <v>327.76289638982371</v>
      </c>
      <c r="BV23">
        <v>3.26060281852898E-2</v>
      </c>
      <c r="BW23">
        <v>0</v>
      </c>
      <c r="BX23">
        <v>7.7923905425319342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1602.3082963281679</v>
      </c>
      <c r="CJ23">
        <v>68.624249173610778</v>
      </c>
      <c r="CK23">
        <v>0.1067819645651748</v>
      </c>
      <c r="CL23">
        <v>0.89160066822055595</v>
      </c>
      <c r="CM23">
        <v>454.50624565309761</v>
      </c>
      <c r="CN23">
        <v>0</v>
      </c>
      <c r="CO23">
        <v>0</v>
      </c>
      <c r="CP23">
        <v>7.1319835008066654</v>
      </c>
      <c r="CQ23">
        <v>8.3691012369187394</v>
      </c>
      <c r="CR23">
        <v>0</v>
      </c>
      <c r="CS23">
        <v>0</v>
      </c>
      <c r="CT23">
        <v>0</v>
      </c>
      <c r="CU23">
        <v>17.98983972453965</v>
      </c>
      <c r="CV23">
        <v>0.17241899470196689</v>
      </c>
      <c r="CW23">
        <v>0.85871626729473149</v>
      </c>
      <c r="CX23">
        <v>0.16960088016671651</v>
      </c>
      <c r="CY23">
        <v>24.542177030423389</v>
      </c>
      <c r="CZ23">
        <v>9.4236162530977443E-5</v>
      </c>
      <c r="DA23">
        <v>3.4869196161778777E-5</v>
      </c>
      <c r="DB23">
        <v>0</v>
      </c>
      <c r="DC23">
        <v>0</v>
      </c>
      <c r="DD23">
        <v>1.3873433844757029E-2</v>
      </c>
      <c r="DE23">
        <v>7.6892406904036587E-3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3.3049722720926E-3</v>
      </c>
      <c r="DM23">
        <v>72.174374188069933</v>
      </c>
      <c r="DN23">
        <v>6.643709070402541</v>
      </c>
      <c r="DO23">
        <v>0</v>
      </c>
      <c r="DP23">
        <v>38.30805624861911</v>
      </c>
      <c r="DQ23">
        <v>42.405036689326472</v>
      </c>
      <c r="DR23">
        <v>47.706228271359969</v>
      </c>
      <c r="DS23">
        <v>684.22594687161597</v>
      </c>
      <c r="DT23">
        <v>30.55879105912355</v>
      </c>
      <c r="DU23">
        <v>178.48028424199029</v>
      </c>
      <c r="DV23">
        <v>0</v>
      </c>
      <c r="DW23">
        <v>0</v>
      </c>
      <c r="DX23">
        <v>19.749992646856189</v>
      </c>
      <c r="DY23">
        <v>10.90259869640121</v>
      </c>
      <c r="DZ23">
        <v>179.10374331083449</v>
      </c>
      <c r="EA23">
        <v>27.4707348830459</v>
      </c>
      <c r="EB23">
        <v>4.5091245508685329</v>
      </c>
      <c r="EC23">
        <v>3.705294693790234</v>
      </c>
      <c r="ED23">
        <v>3.9129307808106528</v>
      </c>
      <c r="EE23">
        <v>0.32004215880522568</v>
      </c>
      <c r="EF23">
        <v>0</v>
      </c>
      <c r="EG23">
        <v>0.30236027618491251</v>
      </c>
      <c r="EH23">
        <v>0</v>
      </c>
      <c r="EI23">
        <v>0</v>
      </c>
      <c r="EJ23">
        <v>24.53853919433217</v>
      </c>
      <c r="EK23">
        <v>89.719179193164578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181.96652835770169</v>
      </c>
      <c r="ER23">
        <v>128.28890789405449</v>
      </c>
      <c r="ES23">
        <v>76.259668028827321</v>
      </c>
      <c r="ET23">
        <v>157.47954272312089</v>
      </c>
      <c r="EU23">
        <v>0</v>
      </c>
      <c r="EV23">
        <v>198.89086710360789</v>
      </c>
      <c r="EW23">
        <v>17.567374331615309</v>
      </c>
      <c r="EX23">
        <v>91.164297305652312</v>
      </c>
      <c r="EY23">
        <v>72.342399526580948</v>
      </c>
      <c r="EZ23">
        <v>3902.8109160098438</v>
      </c>
      <c r="FA23">
        <v>336.67342811586622</v>
      </c>
      <c r="FB23">
        <v>469.45447146847818</v>
      </c>
      <c r="FC23">
        <v>22.717113234237502</v>
      </c>
      <c r="FD23">
        <v>98.302024013389797</v>
      </c>
      <c r="FE23">
        <v>121.927892442554</v>
      </c>
      <c r="FF23">
        <v>505.69682422684889</v>
      </c>
      <c r="FG23">
        <v>252.2036855255088</v>
      </c>
      <c r="FH23">
        <v>480.04853474092289</v>
      </c>
      <c r="FI23">
        <v>205.90005649103901</v>
      </c>
      <c r="FJ23">
        <v>585.80677592478355</v>
      </c>
      <c r="FK23">
        <v>0</v>
      </c>
      <c r="FL23">
        <v>3018.78023555655</v>
      </c>
      <c r="FM23">
        <v>53.61209632463342</v>
      </c>
      <c r="FN23">
        <v>1.1214677695814259</v>
      </c>
      <c r="FO23">
        <v>516.16625320701337</v>
      </c>
      <c r="FP23">
        <v>239.00936581859949</v>
      </c>
      <c r="FQ23">
        <v>3246.5908505443272</v>
      </c>
      <c r="FR23">
        <v>1920.724725887567</v>
      </c>
      <c r="FS23">
        <v>3507.4175196116471</v>
      </c>
      <c r="FT23">
        <v>10.550334487593769</v>
      </c>
      <c r="FU23">
        <v>11.180924696006789</v>
      </c>
      <c r="FV23">
        <v>5.1059689253357261</v>
      </c>
      <c r="FW23">
        <v>13.352631903458541</v>
      </c>
      <c r="FX23">
        <v>2.3222468456321228</v>
      </c>
      <c r="FY23">
        <v>3.175134150729551</v>
      </c>
      <c r="FZ23">
        <v>12.27818836113479</v>
      </c>
      <c r="GA23">
        <v>0.90323015293529596</v>
      </c>
      <c r="GB23">
        <v>7.6362280250378944E-2</v>
      </c>
      <c r="GC23">
        <v>11.30898272861312</v>
      </c>
      <c r="GD23">
        <v>6.6482703966698997</v>
      </c>
      <c r="GE23">
        <v>0.24416032402733251</v>
      </c>
      <c r="GF23">
        <v>4.4458387712282894</v>
      </c>
      <c r="GG23">
        <v>8.1344563501298595</v>
      </c>
      <c r="GH23">
        <v>7.598597266765057</v>
      </c>
      <c r="GI23">
        <v>5.1047475229470241</v>
      </c>
      <c r="GJ23">
        <v>1.619953240858397</v>
      </c>
      <c r="GK23">
        <v>18.213631599600511</v>
      </c>
      <c r="GL23">
        <v>0.86673126340660289</v>
      </c>
      <c r="GM23">
        <v>2.8159298628979501</v>
      </c>
      <c r="GN23">
        <v>527.94169766421589</v>
      </c>
      <c r="GO23">
        <v>2148.3351724371059</v>
      </c>
      <c r="GP23">
        <v>377.59128165533599</v>
      </c>
      <c r="GQ23">
        <v>0</v>
      </c>
      <c r="GR23">
        <v>826.19110213264867</v>
      </c>
      <c r="GS23">
        <v>1039.908178888362</v>
      </c>
      <c r="GT23">
        <v>8787.9242993633961</v>
      </c>
      <c r="GU23">
        <v>1577.475380243174</v>
      </c>
      <c r="GV23">
        <v>1505.595777805531</v>
      </c>
      <c r="GW23">
        <v>9448.8792692231509</v>
      </c>
      <c r="GX23">
        <v>6168.2528219125024</v>
      </c>
      <c r="GY23">
        <v>3461.2883261996308</v>
      </c>
      <c r="GZ23">
        <v>235.23687709457829</v>
      </c>
      <c r="HA23">
        <v>2336.7087996138321</v>
      </c>
      <c r="HB23">
        <v>3902.8109160098438</v>
      </c>
      <c r="HC23">
        <v>14644.64041102878</v>
      </c>
    </row>
    <row r="24" spans="1:211" x14ac:dyDescent="0.45">
      <c r="A24" s="1" t="s">
        <v>9</v>
      </c>
      <c r="B24">
        <v>449.72382458898011</v>
      </c>
      <c r="C24">
        <v>12395.90258786246</v>
      </c>
      <c r="D24">
        <v>413.00183210959233</v>
      </c>
      <c r="E24">
        <v>9204.4532400376447</v>
      </c>
      <c r="F24">
        <v>2600.2522236545078</v>
      </c>
      <c r="G24">
        <v>0</v>
      </c>
      <c r="H24">
        <v>135.09857462463779</v>
      </c>
      <c r="I24">
        <v>0</v>
      </c>
      <c r="J24">
        <v>0</v>
      </c>
      <c r="K24">
        <v>0</v>
      </c>
      <c r="L24">
        <v>2205.304193042768</v>
      </c>
      <c r="M24">
        <v>1735.619623113628</v>
      </c>
      <c r="N24">
        <v>77.346865832182871</v>
      </c>
      <c r="O24">
        <v>308.78284340704482</v>
      </c>
      <c r="P24">
        <v>0</v>
      </c>
      <c r="Q24">
        <v>0</v>
      </c>
      <c r="R24">
        <v>0</v>
      </c>
      <c r="S24">
        <v>29.207797884069539</v>
      </c>
      <c r="T24">
        <v>32.57564581906842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0.38084582528327049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8542.2563459788398</v>
      </c>
      <c r="AS24">
        <v>935.57109206739108</v>
      </c>
      <c r="AT24">
        <v>2378.4002957171042</v>
      </c>
      <c r="AU24">
        <v>6429.7837571693808</v>
      </c>
      <c r="AV24">
        <v>8.9655975730712747</v>
      </c>
      <c r="AW24">
        <v>6154.3122445478239</v>
      </c>
      <c r="AX24">
        <v>0.88249044372774399</v>
      </c>
      <c r="AY24">
        <v>643.09027097296575</v>
      </c>
      <c r="AZ24">
        <v>15585.895950417391</v>
      </c>
      <c r="BA24">
        <v>3338.3820400967752</v>
      </c>
      <c r="BB24">
        <v>2112.6707807032089</v>
      </c>
      <c r="BC24">
        <v>3.741378881866118</v>
      </c>
      <c r="BD24">
        <v>21.328910715814381</v>
      </c>
      <c r="BE24">
        <v>16.606373962271409</v>
      </c>
      <c r="BF24">
        <v>5.5953760766965388</v>
      </c>
      <c r="BG24">
        <v>4.0887805168754481</v>
      </c>
      <c r="BH24">
        <v>1.769637380670237</v>
      </c>
      <c r="BI24">
        <v>0</v>
      </c>
      <c r="BJ24">
        <v>0</v>
      </c>
      <c r="BK24">
        <v>22.41041690688866</v>
      </c>
      <c r="BL24">
        <v>19.62381273600246</v>
      </c>
      <c r="BM24">
        <v>4.2414964839793033E-5</v>
      </c>
      <c r="BN24">
        <v>0</v>
      </c>
      <c r="BO24">
        <v>0</v>
      </c>
      <c r="BP24">
        <v>16.93909724442636</v>
      </c>
      <c r="BQ24">
        <v>0</v>
      </c>
      <c r="BR24">
        <v>0</v>
      </c>
      <c r="BS24">
        <v>4.0462798471939003E-2</v>
      </c>
      <c r="BT24">
        <v>0</v>
      </c>
      <c r="BU24">
        <v>12.03630769261931</v>
      </c>
      <c r="BV24">
        <v>1.1973716090772719E-3</v>
      </c>
      <c r="BW24">
        <v>0</v>
      </c>
      <c r="BX24">
        <v>0.28615520762355018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575.33958248854128</v>
      </c>
      <c r="CJ24">
        <v>31.051072405491141</v>
      </c>
      <c r="CK24">
        <v>1.2099598325645101E-2</v>
      </c>
      <c r="CL24">
        <v>0.1029580344926352</v>
      </c>
      <c r="CM24">
        <v>154.35936077104699</v>
      </c>
      <c r="CN24">
        <v>0</v>
      </c>
      <c r="CO24">
        <v>0</v>
      </c>
      <c r="CP24">
        <v>2.4208369327015822</v>
      </c>
      <c r="CQ24">
        <v>2.8406146435564859</v>
      </c>
      <c r="CR24">
        <v>0</v>
      </c>
      <c r="CS24">
        <v>0</v>
      </c>
      <c r="CT24">
        <v>0</v>
      </c>
      <c r="CU24">
        <v>2.6605875041318479</v>
      </c>
      <c r="CV24">
        <v>5.5897074043150467E-2</v>
      </c>
      <c r="CW24">
        <v>0.1443207975105224</v>
      </c>
      <c r="CX24">
        <v>3.1351406602301041E-2</v>
      </c>
      <c r="CY24">
        <v>5.6892434774353831</v>
      </c>
      <c r="CZ24">
        <v>1.711954153958676E-5</v>
      </c>
      <c r="DA24">
        <v>8.1194392259455124E-6</v>
      </c>
      <c r="DB24">
        <v>0</v>
      </c>
      <c r="DC24">
        <v>0</v>
      </c>
      <c r="DD24">
        <v>1.1128013106497831E-3</v>
      </c>
      <c r="DE24">
        <v>6.7260631887119666E-4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4.1083924472726891E-4</v>
      </c>
      <c r="DM24">
        <v>7.7963767254000524</v>
      </c>
      <c r="DN24">
        <v>0.75782360277137772</v>
      </c>
      <c r="DO24">
        <v>0</v>
      </c>
      <c r="DP24">
        <v>4.6909999618566731</v>
      </c>
      <c r="DQ24">
        <v>6.2319363755626087</v>
      </c>
      <c r="DR24">
        <v>7.3529966067113701</v>
      </c>
      <c r="DS24">
        <v>78.486732848243136</v>
      </c>
      <c r="DT24">
        <v>2.7738241388950811</v>
      </c>
      <c r="DU24">
        <v>27.52185241303086</v>
      </c>
      <c r="DV24">
        <v>0</v>
      </c>
      <c r="DW24">
        <v>0</v>
      </c>
      <c r="DX24">
        <v>1.635074377468245</v>
      </c>
      <c r="DY24">
        <v>1.9571153941534529</v>
      </c>
      <c r="DZ24">
        <v>23.411178825412829</v>
      </c>
      <c r="EA24">
        <v>3.1319984368352758</v>
      </c>
      <c r="EB24">
        <v>0.50434908519243304</v>
      </c>
      <c r="EC24">
        <v>0.23491310321636211</v>
      </c>
      <c r="ED24">
        <v>0.55415766101205788</v>
      </c>
      <c r="EE24">
        <v>3.7686665682164708E-2</v>
      </c>
      <c r="EF24">
        <v>0</v>
      </c>
      <c r="EG24">
        <v>4.155935396616485E-2</v>
      </c>
      <c r="EH24">
        <v>0</v>
      </c>
      <c r="EI24">
        <v>0</v>
      </c>
      <c r="EJ24">
        <v>1.8798149676264191</v>
      </c>
      <c r="EK24">
        <v>6.8203995542176674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18.494860814706431</v>
      </c>
      <c r="ER24">
        <v>17.493498703739132</v>
      </c>
      <c r="ES24">
        <v>15.9965406968635</v>
      </c>
      <c r="ET24">
        <v>25.527016975904889</v>
      </c>
      <c r="EU24">
        <v>0</v>
      </c>
      <c r="EV24">
        <v>17.77181367830957</v>
      </c>
      <c r="EW24">
        <v>7.3951562356499236</v>
      </c>
      <c r="EX24">
        <v>17.623625991718679</v>
      </c>
      <c r="EY24">
        <v>15.093301788179719</v>
      </c>
      <c r="EZ24">
        <v>5874.9797771865206</v>
      </c>
      <c r="FA24">
        <v>31.391782066618251</v>
      </c>
      <c r="FB24">
        <v>50.961499823296769</v>
      </c>
      <c r="FC24">
        <v>0.88732529962104711</v>
      </c>
      <c r="FD24">
        <v>3.286227979946021</v>
      </c>
      <c r="FE24">
        <v>5.7679405418848404</v>
      </c>
      <c r="FF24">
        <v>63.478735949165298</v>
      </c>
      <c r="FG24">
        <v>33.20142446693756</v>
      </c>
      <c r="FH24">
        <v>132.1764785709677</v>
      </c>
      <c r="FI24">
        <v>29.6604319742979</v>
      </c>
      <c r="FJ24">
        <v>95.213843747690817</v>
      </c>
      <c r="FK24">
        <v>0</v>
      </c>
      <c r="FL24">
        <v>532.18388932306152</v>
      </c>
      <c r="FM24">
        <v>23.78281191734273</v>
      </c>
      <c r="FN24">
        <v>0.28331800623514281</v>
      </c>
      <c r="FO24">
        <v>134.7814342628532</v>
      </c>
      <c r="FP24">
        <v>88.344509604576459</v>
      </c>
      <c r="FQ24">
        <v>770.83514905608149</v>
      </c>
      <c r="FR24">
        <v>1460.024816032852</v>
      </c>
      <c r="FS24">
        <v>1784.067897532419</v>
      </c>
      <c r="FT24">
        <v>2.2670591247052312</v>
      </c>
      <c r="FU24">
        <v>2.369898718407482</v>
      </c>
      <c r="FV24">
        <v>0.97259883551800508</v>
      </c>
      <c r="FW24">
        <v>2.7993233966558511</v>
      </c>
      <c r="FX24">
        <v>0.48329025939181031</v>
      </c>
      <c r="FY24">
        <v>0.65132912077710714</v>
      </c>
      <c r="FZ24">
        <v>2.693850309066717</v>
      </c>
      <c r="GA24">
        <v>0.20048277354012281</v>
      </c>
      <c r="GB24">
        <v>1.6333241819333391E-2</v>
      </c>
      <c r="GC24">
        <v>2.1505921067538529</v>
      </c>
      <c r="GD24">
        <v>1.3706435843555651</v>
      </c>
      <c r="GE24">
        <v>2.3330397338471032E-3</v>
      </c>
      <c r="GF24">
        <v>0.77846332542434404</v>
      </c>
      <c r="GG24">
        <v>1.372357133464321</v>
      </c>
      <c r="GH24">
        <v>1.318737299817335</v>
      </c>
      <c r="GI24">
        <v>0.91523124852160209</v>
      </c>
      <c r="GJ24">
        <v>0.24064473286983881</v>
      </c>
      <c r="GK24">
        <v>3.884783289846824</v>
      </c>
      <c r="GL24">
        <v>0.14935624116720581</v>
      </c>
      <c r="GM24">
        <v>0.55176145671937205</v>
      </c>
      <c r="GN24">
        <v>114.2591165419655</v>
      </c>
      <c r="GO24">
        <v>1219.8403467171561</v>
      </c>
      <c r="GP24">
        <v>9.8178032851106156</v>
      </c>
      <c r="GQ24">
        <v>0</v>
      </c>
      <c r="GR24">
        <v>9213.4188376107159</v>
      </c>
      <c r="GS24">
        <v>8542.2563459788398</v>
      </c>
      <c r="GT24">
        <v>13684.67896111027</v>
      </c>
      <c r="GU24">
        <v>6264.2347561990746</v>
      </c>
      <c r="GV24">
        <v>6463.0950879548691</v>
      </c>
      <c r="GW24">
        <v>24869.73753438405</v>
      </c>
      <c r="GX24">
        <v>1338.3989779849701</v>
      </c>
      <c r="GY24">
        <v>320.60031456032169</v>
      </c>
      <c r="GZ24">
        <v>43.530660754782332</v>
      </c>
      <c r="HA24">
        <v>319.96898200292799</v>
      </c>
      <c r="HB24">
        <v>5874.9797771865206</v>
      </c>
      <c r="HC24">
        <v>5995.3588893457654</v>
      </c>
    </row>
    <row r="25" spans="1:211" x14ac:dyDescent="0.45">
      <c r="A25" s="1" t="s">
        <v>10</v>
      </c>
      <c r="B25">
        <v>452.41291703362958</v>
      </c>
      <c r="C25">
        <v>12521.917744309359</v>
      </c>
      <c r="D25">
        <v>418.02512320935028</v>
      </c>
      <c r="E25">
        <v>10025.23627149554</v>
      </c>
      <c r="F25">
        <v>2626.3147976752912</v>
      </c>
      <c r="G25">
        <v>0</v>
      </c>
      <c r="H25">
        <v>141.16715024666831</v>
      </c>
      <c r="I25">
        <v>0</v>
      </c>
      <c r="J25">
        <v>0</v>
      </c>
      <c r="K25">
        <v>0</v>
      </c>
      <c r="L25">
        <v>2818.9587196930738</v>
      </c>
      <c r="M25">
        <v>2139.4772725068278</v>
      </c>
      <c r="N25">
        <v>121.2008769789722</v>
      </c>
      <c r="O25">
        <v>356.69921778025088</v>
      </c>
      <c r="P25">
        <v>0</v>
      </c>
      <c r="Q25">
        <v>0</v>
      </c>
      <c r="R25">
        <v>0</v>
      </c>
      <c r="S25">
        <v>88.948692606378174</v>
      </c>
      <c r="T25">
        <v>108.51761148312811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7.9079419584755737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9582.1645248672012</v>
      </c>
      <c r="AS25">
        <v>1205.8455326761059</v>
      </c>
      <c r="AT25">
        <v>4115.0338486922046</v>
      </c>
      <c r="AU25">
        <v>12193.287886905449</v>
      </c>
      <c r="AV25">
        <v>14.373668247825639</v>
      </c>
      <c r="AW25">
        <v>7611.9916479801486</v>
      </c>
      <c r="AX25">
        <v>1.624153324257156</v>
      </c>
      <c r="AY25">
        <v>692.32677565670781</v>
      </c>
      <c r="AZ25">
        <v>22743.935819527542</v>
      </c>
      <c r="BA25">
        <v>4547.4914287718248</v>
      </c>
      <c r="BB25">
        <v>3086.776525373843</v>
      </c>
      <c r="BC25">
        <v>26.567235997442729</v>
      </c>
      <c r="BD25">
        <v>145.16397581637651</v>
      </c>
      <c r="BE25">
        <v>120.4104595076497</v>
      </c>
      <c r="BF25">
        <v>13.193102525334419</v>
      </c>
      <c r="BG25">
        <v>22.377559238947519</v>
      </c>
      <c r="BH25">
        <v>10.623288311456751</v>
      </c>
      <c r="BI25">
        <v>0</v>
      </c>
      <c r="BJ25">
        <v>0</v>
      </c>
      <c r="BK25">
        <v>101.82930997506659</v>
      </c>
      <c r="BL25">
        <v>120.84767958682291</v>
      </c>
      <c r="BM25">
        <v>1.5734010892209281E-3</v>
      </c>
      <c r="BN25">
        <v>0</v>
      </c>
      <c r="BO25">
        <v>0</v>
      </c>
      <c r="BP25">
        <v>478.21283643434822</v>
      </c>
      <c r="BQ25">
        <v>0</v>
      </c>
      <c r="BR25">
        <v>0</v>
      </c>
      <c r="BS25">
        <v>1.142319800024528</v>
      </c>
      <c r="BT25">
        <v>0</v>
      </c>
      <c r="BU25">
        <v>339.799204082443</v>
      </c>
      <c r="BV25">
        <v>3.380339979436707E-2</v>
      </c>
      <c r="BW25">
        <v>0</v>
      </c>
      <c r="BX25">
        <v>8.0785457501554845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2177.6478788167101</v>
      </c>
      <c r="CJ25">
        <v>99.675321579101919</v>
      </c>
      <c r="CK25">
        <v>0.1188815628908199</v>
      </c>
      <c r="CL25">
        <v>0.99455870271319113</v>
      </c>
      <c r="CM25">
        <v>608.86560642414463</v>
      </c>
      <c r="CN25">
        <v>0</v>
      </c>
      <c r="CO25">
        <v>0</v>
      </c>
      <c r="CP25">
        <v>9.5528204335082467</v>
      </c>
      <c r="CQ25">
        <v>11.20971588047523</v>
      </c>
      <c r="CR25">
        <v>0</v>
      </c>
      <c r="CS25">
        <v>0</v>
      </c>
      <c r="CT25">
        <v>0</v>
      </c>
      <c r="CU25">
        <v>20.6504272286715</v>
      </c>
      <c r="CV25">
        <v>0.2283160687451174</v>
      </c>
      <c r="CW25">
        <v>1.003037064805254</v>
      </c>
      <c r="CX25">
        <v>0.2009522867690175</v>
      </c>
      <c r="CY25">
        <v>30.231420507858768</v>
      </c>
      <c r="CZ25">
        <v>1.113557040705642E-4</v>
      </c>
      <c r="DA25">
        <v>4.2988635387724303E-5</v>
      </c>
      <c r="DB25">
        <v>0</v>
      </c>
      <c r="DC25">
        <v>0</v>
      </c>
      <c r="DD25">
        <v>1.4986235155406809E-2</v>
      </c>
      <c r="DE25">
        <v>8.3618470092748556E-3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3.7158115168198689E-3</v>
      </c>
      <c r="DM25">
        <v>79.970750913469985</v>
      </c>
      <c r="DN25">
        <v>7.4015326731739188</v>
      </c>
      <c r="DO25">
        <v>0</v>
      </c>
      <c r="DP25">
        <v>42.999056210475793</v>
      </c>
      <c r="DQ25">
        <v>48.636973064889077</v>
      </c>
      <c r="DR25">
        <v>55.05922487807134</v>
      </c>
      <c r="DS25">
        <v>762.71267971985912</v>
      </c>
      <c r="DT25">
        <v>33.33261519801863</v>
      </c>
      <c r="DU25">
        <v>206.0021366550211</v>
      </c>
      <c r="DV25">
        <v>0</v>
      </c>
      <c r="DW25">
        <v>0</v>
      </c>
      <c r="DX25">
        <v>21.385067024324432</v>
      </c>
      <c r="DY25">
        <v>12.859714090554659</v>
      </c>
      <c r="DZ25">
        <v>202.51492213624729</v>
      </c>
      <c r="EA25">
        <v>30.602733319881171</v>
      </c>
      <c r="EB25">
        <v>5.013473636060966</v>
      </c>
      <c r="EC25">
        <v>3.9402077970065972</v>
      </c>
      <c r="ED25">
        <v>4.4670884418227113</v>
      </c>
      <c r="EE25">
        <v>0.35772882448739052</v>
      </c>
      <c r="EF25">
        <v>0</v>
      </c>
      <c r="EG25">
        <v>0.34391963015107729</v>
      </c>
      <c r="EH25">
        <v>0</v>
      </c>
      <c r="EI25">
        <v>0</v>
      </c>
      <c r="EJ25">
        <v>26.41835416195859</v>
      </c>
      <c r="EK25">
        <v>96.539578747382251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200.46138917240819</v>
      </c>
      <c r="ER25">
        <v>145.7824065977936</v>
      </c>
      <c r="ES25">
        <v>92.256208725690811</v>
      </c>
      <c r="ET25">
        <v>183.00655969902579</v>
      </c>
      <c r="EU25">
        <v>0</v>
      </c>
      <c r="EV25">
        <v>216.66268078191749</v>
      </c>
      <c r="EW25">
        <v>24.96253056726524</v>
      </c>
      <c r="EX25">
        <v>108.78792329737099</v>
      </c>
      <c r="EY25">
        <v>87.435701314760678</v>
      </c>
      <c r="EZ25">
        <v>9777.7906931963644</v>
      </c>
      <c r="FA25">
        <v>368.06521018248441</v>
      </c>
      <c r="FB25">
        <v>520.41597129177489</v>
      </c>
      <c r="FC25">
        <v>23.604438533858541</v>
      </c>
      <c r="FD25">
        <v>101.5882519933358</v>
      </c>
      <c r="FE25">
        <v>127.69583298443879</v>
      </c>
      <c r="FF25">
        <v>569.17556017601419</v>
      </c>
      <c r="FG25">
        <v>285.40510999244628</v>
      </c>
      <c r="FH25">
        <v>612.22501331189062</v>
      </c>
      <c r="FI25">
        <v>235.5604884653369</v>
      </c>
      <c r="FJ25">
        <v>681.02061967247437</v>
      </c>
      <c r="FK25">
        <v>0</v>
      </c>
      <c r="FL25">
        <v>3550.964124879612</v>
      </c>
      <c r="FM25">
        <v>77.394908241976154</v>
      </c>
      <c r="FN25">
        <v>1.4047857758165689</v>
      </c>
      <c r="FO25">
        <v>650.94768746986654</v>
      </c>
      <c r="FP25">
        <v>327.35387542317602</v>
      </c>
      <c r="FQ25">
        <v>4017.425999600408</v>
      </c>
      <c r="FR25">
        <v>3380.7495419204201</v>
      </c>
      <c r="FS25">
        <v>5291.4854171440666</v>
      </c>
      <c r="FT25">
        <v>12.817393612299</v>
      </c>
      <c r="FU25">
        <v>13.550823414414269</v>
      </c>
      <c r="FV25">
        <v>6.0785677608537316</v>
      </c>
      <c r="FW25">
        <v>16.151955300114391</v>
      </c>
      <c r="FX25">
        <v>2.8055371050239328</v>
      </c>
      <c r="FY25">
        <v>3.826463271506658</v>
      </c>
      <c r="FZ25">
        <v>14.97203867020151</v>
      </c>
      <c r="GA25">
        <v>1.1037129264754191</v>
      </c>
      <c r="GB25">
        <v>9.2695522069712336E-2</v>
      </c>
      <c r="GC25">
        <v>13.459574835366981</v>
      </c>
      <c r="GD25">
        <v>8.0189139810254648</v>
      </c>
      <c r="GE25">
        <v>0.24649336376117961</v>
      </c>
      <c r="GF25">
        <v>5.2243020966526332</v>
      </c>
      <c r="GG25">
        <v>9.5068134835941809</v>
      </c>
      <c r="GH25">
        <v>8.917334566582392</v>
      </c>
      <c r="GI25">
        <v>6.0199787714686259</v>
      </c>
      <c r="GJ25">
        <v>1.8605979737282361</v>
      </c>
      <c r="GK25">
        <v>22.098414889447341</v>
      </c>
      <c r="GL25">
        <v>1.0160875045738089</v>
      </c>
      <c r="GM25">
        <v>3.3676913196173222</v>
      </c>
      <c r="GN25">
        <v>642.20081420618135</v>
      </c>
      <c r="GO25">
        <v>3368.175519154262</v>
      </c>
      <c r="GP25">
        <v>387.40908494044669</v>
      </c>
      <c r="GQ25">
        <v>0</v>
      </c>
      <c r="GR25">
        <v>10039.609939743361</v>
      </c>
      <c r="GS25">
        <v>9582.1645248672012</v>
      </c>
      <c r="GT25">
        <v>22472.603260473668</v>
      </c>
      <c r="GU25">
        <v>7841.7101364422497</v>
      </c>
      <c r="GV25">
        <v>7968.6908657603999</v>
      </c>
      <c r="GW25">
        <v>34318.616803607198</v>
      </c>
      <c r="GX25">
        <v>7506.6517998974723</v>
      </c>
      <c r="GY25">
        <v>3781.888640759953</v>
      </c>
      <c r="GZ25">
        <v>278.76753784936068</v>
      </c>
      <c r="HA25">
        <v>2656.6777816167601</v>
      </c>
      <c r="HB25">
        <v>9777.7906931963644</v>
      </c>
      <c r="HC25">
        <v>20639.999300374551</v>
      </c>
    </row>
    <row r="26" spans="1:211" x14ac:dyDescent="0.45">
      <c r="A26" s="1" t="s">
        <v>11</v>
      </c>
      <c r="B26">
        <v>51.003058734415262</v>
      </c>
      <c r="C26">
        <v>1949.125120105972</v>
      </c>
      <c r="D26">
        <v>31.603687569212809</v>
      </c>
      <c r="E26">
        <v>16237.794367116559</v>
      </c>
      <c r="F26">
        <v>6143.9114479527034</v>
      </c>
      <c r="G26">
        <v>0</v>
      </c>
      <c r="H26">
        <v>489.52170269236183</v>
      </c>
      <c r="I26">
        <v>2394.4825593200708</v>
      </c>
      <c r="J26">
        <v>0</v>
      </c>
      <c r="K26">
        <v>0</v>
      </c>
      <c r="L26">
        <v>28.83929500247892</v>
      </c>
      <c r="M26">
        <v>349.30508768134513</v>
      </c>
      <c r="N26">
        <v>289.61959363502763</v>
      </c>
      <c r="O26">
        <v>0</v>
      </c>
      <c r="P26">
        <v>0</v>
      </c>
      <c r="Q26">
        <v>0</v>
      </c>
      <c r="R26">
        <v>0</v>
      </c>
      <c r="S26">
        <v>25.059002560739671</v>
      </c>
      <c r="T26">
        <v>267.69478698231921</v>
      </c>
      <c r="U26">
        <v>2.6579837373389349E-2</v>
      </c>
      <c r="V26">
        <v>0</v>
      </c>
      <c r="W26">
        <v>0.2555276627263679</v>
      </c>
      <c r="X26">
        <v>0</v>
      </c>
      <c r="Y26">
        <v>4.6641429868948682E-2</v>
      </c>
      <c r="Z26">
        <v>0</v>
      </c>
      <c r="AA26">
        <v>0</v>
      </c>
      <c r="AB26">
        <v>0</v>
      </c>
      <c r="AC26">
        <v>0</v>
      </c>
      <c r="AD26">
        <v>15.49548506777486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1135.503962794603</v>
      </c>
      <c r="AS26">
        <v>683.90545683398568</v>
      </c>
      <c r="AT26">
        <v>658.79473708510295</v>
      </c>
      <c r="AU26">
        <v>612.58571912775164</v>
      </c>
      <c r="AV26">
        <v>379.14351647751931</v>
      </c>
      <c r="AW26">
        <v>1177.245037117621</v>
      </c>
      <c r="AX26">
        <v>105.1161814629027</v>
      </c>
      <c r="AY26">
        <v>115.9479362049554</v>
      </c>
      <c r="AZ26">
        <v>17101.837859214491</v>
      </c>
      <c r="BA26">
        <v>961.03511345154243</v>
      </c>
      <c r="BB26">
        <v>493.76442006406643</v>
      </c>
      <c r="BC26">
        <v>977.90986819272212</v>
      </c>
      <c r="BD26">
        <v>1118.765268541089</v>
      </c>
      <c r="BE26">
        <v>2545.9562963135099</v>
      </c>
      <c r="BF26">
        <v>2273.0708835058531</v>
      </c>
      <c r="BG26">
        <v>69.041921208097904</v>
      </c>
      <c r="BH26">
        <v>0</v>
      </c>
      <c r="BI26">
        <v>0</v>
      </c>
      <c r="BJ26">
        <v>0</v>
      </c>
      <c r="BK26">
        <v>93.802893819310128</v>
      </c>
      <c r="BL26">
        <v>50.408115021956093</v>
      </c>
      <c r="BM26">
        <v>3.4271293107404469E-3</v>
      </c>
      <c r="BN26">
        <v>0</v>
      </c>
      <c r="BO26">
        <v>0</v>
      </c>
      <c r="BP26">
        <v>386.20239673200882</v>
      </c>
      <c r="BQ26">
        <v>1.09916010057457E-3</v>
      </c>
      <c r="BR26">
        <v>0</v>
      </c>
      <c r="BS26">
        <v>4.7803701397330309</v>
      </c>
      <c r="BT26">
        <v>3.9215091726782489</v>
      </c>
      <c r="BU26">
        <v>290.49033652156589</v>
      </c>
      <c r="BV26">
        <v>0.39162507412498693</v>
      </c>
      <c r="BW26">
        <v>0</v>
      </c>
      <c r="BX26">
        <v>57.355271481737077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909.61713695790445</v>
      </c>
      <c r="CJ26">
        <v>0</v>
      </c>
      <c r="CK26">
        <v>1.849384498261371</v>
      </c>
      <c r="CL26">
        <v>111.9565293761828</v>
      </c>
      <c r="CM26">
        <v>841.91552501769286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75.003286851269564</v>
      </c>
      <c r="CV26">
        <v>6.0681442300455392E-3</v>
      </c>
      <c r="CW26">
        <v>4.5816461161598258E-2</v>
      </c>
      <c r="CX26">
        <v>0</v>
      </c>
      <c r="CY26">
        <v>44.21878994395513</v>
      </c>
      <c r="CZ26">
        <v>2.6449283676383331E-4</v>
      </c>
      <c r="DA26">
        <v>0</v>
      </c>
      <c r="DB26">
        <v>0.33354564774411039</v>
      </c>
      <c r="DC26">
        <v>0</v>
      </c>
      <c r="DD26">
        <v>0.1275347060554006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0.66607373884393684</v>
      </c>
      <c r="DK26">
        <v>0</v>
      </c>
      <c r="DL26">
        <v>0</v>
      </c>
      <c r="DM26">
        <v>75.022711178977971</v>
      </c>
      <c r="DN26">
        <v>10.06591531287458</v>
      </c>
      <c r="DO26">
        <v>183.66776650082579</v>
      </c>
      <c r="DP26">
        <v>62.491420368042007</v>
      </c>
      <c r="DQ26">
        <v>119.818371526353</v>
      </c>
      <c r="DR26">
        <v>75.130718939807295</v>
      </c>
      <c r="DS26">
        <v>1433.023068304359</v>
      </c>
      <c r="DT26">
        <v>59.836737246601992</v>
      </c>
      <c r="DU26">
        <v>838.76098185660612</v>
      </c>
      <c r="DV26">
        <v>0</v>
      </c>
      <c r="DW26">
        <v>0</v>
      </c>
      <c r="DX26">
        <v>0.52827371169447135</v>
      </c>
      <c r="DY26">
        <v>1.743255500313911</v>
      </c>
      <c r="DZ26">
        <v>2.5393726239097241</v>
      </c>
      <c r="EA26">
        <v>2.9539758071711311</v>
      </c>
      <c r="EB26">
        <v>0.21825401522493221</v>
      </c>
      <c r="EC26">
        <v>0.14769446966289859</v>
      </c>
      <c r="ED26">
        <v>0.2004657760791288</v>
      </c>
      <c r="EE26">
        <v>0.2080306885882815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8.968998012708095</v>
      </c>
      <c r="EY26">
        <v>0</v>
      </c>
      <c r="EZ26">
        <v>0</v>
      </c>
      <c r="FA26">
        <v>108.1020295933492</v>
      </c>
      <c r="FB26">
        <v>190.6585055725445</v>
      </c>
      <c r="FC26">
        <v>0.1168320072793651</v>
      </c>
      <c r="FD26">
        <v>272.74645407289472</v>
      </c>
      <c r="FE26">
        <v>43.192724551118012</v>
      </c>
      <c r="FF26">
        <v>620.89564644914287</v>
      </c>
      <c r="FG26">
        <v>49.953101022287477</v>
      </c>
      <c r="FH26">
        <v>78.032969667177497</v>
      </c>
      <c r="FI26">
        <v>24.445767133195911</v>
      </c>
      <c r="FJ26">
        <v>36.52702824013209</v>
      </c>
      <c r="FK26">
        <v>0</v>
      </c>
      <c r="FL26">
        <v>0</v>
      </c>
      <c r="FM26">
        <v>0</v>
      </c>
      <c r="FN26">
        <v>7.6573689234063907E-2</v>
      </c>
      <c r="FO26">
        <v>146.91587436892081</v>
      </c>
      <c r="FP26">
        <v>21.161197207892069</v>
      </c>
      <c r="FQ26">
        <v>91.616063220541449</v>
      </c>
      <c r="FR26">
        <v>61.497102118333778</v>
      </c>
      <c r="FS26">
        <v>201.452566143528</v>
      </c>
      <c r="FT26">
        <v>0.33893042102337578</v>
      </c>
      <c r="FU26">
        <v>0.28487433461940659</v>
      </c>
      <c r="FV26">
        <v>9.8709113028217055E-2</v>
      </c>
      <c r="FW26">
        <v>0.68830114017920663</v>
      </c>
      <c r="FX26">
        <v>3.6388507121008461E-2</v>
      </c>
      <c r="FY26">
        <v>8.6873608307191222E-2</v>
      </c>
      <c r="FZ26">
        <v>0.29264589353082099</v>
      </c>
      <c r="GA26">
        <v>1.132439768993046E-2</v>
      </c>
      <c r="GB26">
        <v>1.103025734415788E-3</v>
      </c>
      <c r="GC26">
        <v>0.20210771766126709</v>
      </c>
      <c r="GD26">
        <v>0.26990507791588669</v>
      </c>
      <c r="GE26">
        <v>0</v>
      </c>
      <c r="GF26">
        <v>6.3416778424430775E-2</v>
      </c>
      <c r="GG26">
        <v>0.16445314743704351</v>
      </c>
      <c r="GH26">
        <v>0.18254775995316699</v>
      </c>
      <c r="GI26">
        <v>9.4285673056566766E-2</v>
      </c>
      <c r="GJ26">
        <v>1.581486565995751E-2</v>
      </c>
      <c r="GK26">
        <v>0.47008894994996392</v>
      </c>
      <c r="GL26">
        <v>9.5737246134575595E-3</v>
      </c>
      <c r="GM26">
        <v>3.5376989155530857E-2</v>
      </c>
      <c r="GN26">
        <v>11.56088394523459</v>
      </c>
      <c r="GO26">
        <v>167.3855878422215</v>
      </c>
      <c r="GP26">
        <v>36.81825576750915</v>
      </c>
      <c r="GQ26">
        <v>0</v>
      </c>
      <c r="GR26">
        <v>16616.937883594081</v>
      </c>
      <c r="GS26">
        <v>1135.503962794603</v>
      </c>
      <c r="GT26">
        <v>2333.430295730665</v>
      </c>
      <c r="GU26">
        <v>1734.5594177349681</v>
      </c>
      <c r="GV26">
        <v>1177.245037117621</v>
      </c>
      <c r="GW26">
        <v>28834.530147290239</v>
      </c>
      <c r="GX26">
        <v>1587.105851838737</v>
      </c>
      <c r="GY26">
        <v>3480.2573558011932</v>
      </c>
      <c r="GZ26">
        <v>5937.792448360452</v>
      </c>
      <c r="HA26">
        <v>3088.1889165772709</v>
      </c>
      <c r="HB26">
        <v>0</v>
      </c>
      <c r="HC26">
        <v>939.75868950397728</v>
      </c>
    </row>
    <row r="27" spans="1:211" x14ac:dyDescent="0.45">
      <c r="A27" s="1" t="s">
        <v>1</v>
      </c>
      <c r="B27">
        <v>503.41597576804492</v>
      </c>
      <c r="C27">
        <v>14471.042864415331</v>
      </c>
      <c r="D27">
        <v>449.62881077856309</v>
      </c>
      <c r="E27">
        <v>26263.030638612101</v>
      </c>
      <c r="F27">
        <v>8770.226245627995</v>
      </c>
      <c r="G27">
        <v>0</v>
      </c>
      <c r="H27">
        <v>630.68885293903008</v>
      </c>
      <c r="I27">
        <v>2394.4825593200708</v>
      </c>
      <c r="J27">
        <v>0</v>
      </c>
      <c r="K27">
        <v>0</v>
      </c>
      <c r="L27">
        <v>2847.7980146955529</v>
      </c>
      <c r="M27">
        <v>2488.7823601881728</v>
      </c>
      <c r="N27">
        <v>410.82047061399982</v>
      </c>
      <c r="O27">
        <v>356.69921778025088</v>
      </c>
      <c r="P27">
        <v>0</v>
      </c>
      <c r="Q27">
        <v>0</v>
      </c>
      <c r="R27">
        <v>0</v>
      </c>
      <c r="S27">
        <v>114.0076951671178</v>
      </c>
      <c r="T27">
        <v>376.21239846544722</v>
      </c>
      <c r="U27">
        <v>2.6579837373389349E-2</v>
      </c>
      <c r="V27">
        <v>0</v>
      </c>
      <c r="W27">
        <v>0.2555276627263679</v>
      </c>
      <c r="X27">
        <v>0</v>
      </c>
      <c r="Y27">
        <v>4.6641429868948682E-2</v>
      </c>
      <c r="Z27">
        <v>0</v>
      </c>
      <c r="AA27">
        <v>0</v>
      </c>
      <c r="AB27">
        <v>0</v>
      </c>
      <c r="AC27">
        <v>0</v>
      </c>
      <c r="AD27">
        <v>23.403427026250441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10717.668487661809</v>
      </c>
      <c r="AS27">
        <v>1889.750989510092</v>
      </c>
      <c r="AT27">
        <v>4773.828585777308</v>
      </c>
      <c r="AU27">
        <v>12805.87360603321</v>
      </c>
      <c r="AV27">
        <v>393.51718472534498</v>
      </c>
      <c r="AW27">
        <v>8789.2366850977705</v>
      </c>
      <c r="AX27">
        <v>106.7403347871598</v>
      </c>
      <c r="AY27">
        <v>808.27471186166326</v>
      </c>
      <c r="AZ27">
        <v>39845.773678742044</v>
      </c>
      <c r="BA27">
        <v>5508.526542223367</v>
      </c>
      <c r="BB27">
        <v>3580.5409454379101</v>
      </c>
      <c r="BC27">
        <v>1004.4771041901651</v>
      </c>
      <c r="BD27">
        <v>1263.9292443574659</v>
      </c>
      <c r="BE27">
        <v>2666.36675582116</v>
      </c>
      <c r="BF27">
        <v>2286.263986031187</v>
      </c>
      <c r="BG27">
        <v>91.41948044704543</v>
      </c>
      <c r="BH27">
        <v>10.623288311456751</v>
      </c>
      <c r="BI27">
        <v>0</v>
      </c>
      <c r="BJ27">
        <v>0</v>
      </c>
      <c r="BK27">
        <v>195.63220379437669</v>
      </c>
      <c r="BL27">
        <v>171.25579460877901</v>
      </c>
      <c r="BM27">
        <v>5.0005303999613743E-3</v>
      </c>
      <c r="BN27">
        <v>0</v>
      </c>
      <c r="BO27">
        <v>0</v>
      </c>
      <c r="BP27">
        <v>864.41523316635698</v>
      </c>
      <c r="BQ27">
        <v>1.09916010057457E-3</v>
      </c>
      <c r="BR27">
        <v>0</v>
      </c>
      <c r="BS27">
        <v>5.922689939757559</v>
      </c>
      <c r="BT27">
        <v>3.9215091726782489</v>
      </c>
      <c r="BU27">
        <v>630.28954060400883</v>
      </c>
      <c r="BV27">
        <v>0.42542847391935401</v>
      </c>
      <c r="BW27">
        <v>0</v>
      </c>
      <c r="BX27">
        <v>65.433817231892561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3087.2650157746139</v>
      </c>
      <c r="CJ27">
        <v>99.675321579101919</v>
      </c>
      <c r="CK27">
        <v>1.9682660611521909</v>
      </c>
      <c r="CL27">
        <v>112.95108807889601</v>
      </c>
      <c r="CM27">
        <v>1450.781131441837</v>
      </c>
      <c r="CN27">
        <v>0</v>
      </c>
      <c r="CO27">
        <v>0</v>
      </c>
      <c r="CP27">
        <v>9.5528204335082467</v>
      </c>
      <c r="CQ27">
        <v>11.20971588047523</v>
      </c>
      <c r="CR27">
        <v>0</v>
      </c>
      <c r="CS27">
        <v>0</v>
      </c>
      <c r="CT27">
        <v>0</v>
      </c>
      <c r="CU27">
        <v>95.653714079941068</v>
      </c>
      <c r="CV27">
        <v>0.2343842129751629</v>
      </c>
      <c r="CW27">
        <v>1.0488535259668521</v>
      </c>
      <c r="CX27">
        <v>0.2009522867690175</v>
      </c>
      <c r="CY27">
        <v>74.450210451813902</v>
      </c>
      <c r="CZ27">
        <v>3.7584854083439747E-4</v>
      </c>
      <c r="DA27">
        <v>4.2988635387724303E-5</v>
      </c>
      <c r="DB27">
        <v>0.33354564774411039</v>
      </c>
      <c r="DC27">
        <v>0</v>
      </c>
      <c r="DD27">
        <v>0.14252094121080741</v>
      </c>
      <c r="DE27">
        <v>8.3618470092748556E-3</v>
      </c>
      <c r="DF27">
        <v>0</v>
      </c>
      <c r="DG27">
        <v>0</v>
      </c>
      <c r="DH27">
        <v>0</v>
      </c>
      <c r="DI27">
        <v>0</v>
      </c>
      <c r="DJ27">
        <v>0.66607373884393684</v>
      </c>
      <c r="DK27">
        <v>0</v>
      </c>
      <c r="DL27">
        <v>3.7158115168198689E-3</v>
      </c>
      <c r="DM27">
        <v>154.99346209244791</v>
      </c>
      <c r="DN27">
        <v>17.467447986048501</v>
      </c>
      <c r="DO27">
        <v>183.66776650082579</v>
      </c>
      <c r="DP27">
        <v>105.4904765785178</v>
      </c>
      <c r="DQ27">
        <v>168.4553445912421</v>
      </c>
      <c r="DR27">
        <v>130.1899438178786</v>
      </c>
      <c r="DS27">
        <v>2195.7357480242181</v>
      </c>
      <c r="DT27">
        <v>93.169352444620614</v>
      </c>
      <c r="DU27">
        <v>1044.763118511627</v>
      </c>
      <c r="DV27">
        <v>0</v>
      </c>
      <c r="DW27">
        <v>0</v>
      </c>
      <c r="DX27">
        <v>21.913340736018899</v>
      </c>
      <c r="DY27">
        <v>14.602969590868581</v>
      </c>
      <c r="DZ27">
        <v>205.05429476015701</v>
      </c>
      <c r="EA27">
        <v>33.556709127052301</v>
      </c>
      <c r="EB27">
        <v>5.2317276512858983</v>
      </c>
      <c r="EC27">
        <v>4.0879022666694951</v>
      </c>
      <c r="ED27">
        <v>4.6675542179018397</v>
      </c>
      <c r="EE27">
        <v>0.56575951307567196</v>
      </c>
      <c r="EF27">
        <v>0</v>
      </c>
      <c r="EG27">
        <v>0.34391963015107729</v>
      </c>
      <c r="EH27">
        <v>0</v>
      </c>
      <c r="EI27">
        <v>0</v>
      </c>
      <c r="EJ27">
        <v>26.41835416195859</v>
      </c>
      <c r="EK27">
        <v>96.539578747382251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200.46138917240819</v>
      </c>
      <c r="ER27">
        <v>145.7824065977936</v>
      </c>
      <c r="ES27">
        <v>92.256208725690811</v>
      </c>
      <c r="ET27">
        <v>183.00655969902579</v>
      </c>
      <c r="EU27">
        <v>0</v>
      </c>
      <c r="EV27">
        <v>216.66268078191749</v>
      </c>
      <c r="EW27">
        <v>24.96253056726524</v>
      </c>
      <c r="EX27">
        <v>117.75692131007909</v>
      </c>
      <c r="EY27">
        <v>87.435701314760678</v>
      </c>
      <c r="EZ27">
        <v>9777.7906931963644</v>
      </c>
      <c r="FA27">
        <v>476.16723977583371</v>
      </c>
      <c r="FB27">
        <v>711.07447686431942</v>
      </c>
      <c r="FC27">
        <v>23.721270541137908</v>
      </c>
      <c r="FD27">
        <v>374.33470606623052</v>
      </c>
      <c r="FE27">
        <v>170.8885575355568</v>
      </c>
      <c r="FF27">
        <v>1190.0712066251569</v>
      </c>
      <c r="FG27">
        <v>335.3582110147338</v>
      </c>
      <c r="FH27">
        <v>690.25798297906817</v>
      </c>
      <c r="FI27">
        <v>260.00625559853279</v>
      </c>
      <c r="FJ27">
        <v>717.54764791260641</v>
      </c>
      <c r="FK27">
        <v>0</v>
      </c>
      <c r="FL27">
        <v>3550.964124879612</v>
      </c>
      <c r="FM27">
        <v>77.394908241976154</v>
      </c>
      <c r="FN27">
        <v>1.481359465050633</v>
      </c>
      <c r="FO27">
        <v>797.86356183878729</v>
      </c>
      <c r="FP27">
        <v>348.51507263106811</v>
      </c>
      <c r="FQ27">
        <v>4109.0420628209486</v>
      </c>
      <c r="FR27">
        <v>3442.2466440387529</v>
      </c>
      <c r="FS27">
        <v>5492.9379832875948</v>
      </c>
      <c r="FT27">
        <v>13.156324033322379</v>
      </c>
      <c r="FU27">
        <v>13.835697749033679</v>
      </c>
      <c r="FV27">
        <v>6.177276873881949</v>
      </c>
      <c r="FW27">
        <v>16.84025644029359</v>
      </c>
      <c r="FX27">
        <v>2.8419256121449412</v>
      </c>
      <c r="FY27">
        <v>3.913336879813849</v>
      </c>
      <c r="FZ27">
        <v>15.264684563732329</v>
      </c>
      <c r="GA27">
        <v>1.1150373241653491</v>
      </c>
      <c r="GB27">
        <v>9.3798547804128121E-2</v>
      </c>
      <c r="GC27">
        <v>13.661682553028241</v>
      </c>
      <c r="GD27">
        <v>8.2888190589413515</v>
      </c>
      <c r="GE27">
        <v>0.24649336376117961</v>
      </c>
      <c r="GF27">
        <v>5.2877188750770641</v>
      </c>
      <c r="GG27">
        <v>9.6712666310312247</v>
      </c>
      <c r="GH27">
        <v>9.0998823265355586</v>
      </c>
      <c r="GI27">
        <v>6.114264444525193</v>
      </c>
      <c r="GJ27">
        <v>1.8764128393881929</v>
      </c>
      <c r="GK27">
        <v>22.568503839397309</v>
      </c>
      <c r="GL27">
        <v>1.025661229187266</v>
      </c>
      <c r="GM27">
        <v>3.4030683087728528</v>
      </c>
      <c r="GN27">
        <v>653.76169815141589</v>
      </c>
      <c r="GO27">
        <v>3535.5611069964839</v>
      </c>
      <c r="GP27">
        <v>424.22734070795582</v>
      </c>
      <c r="GQ27">
        <v>0</v>
      </c>
      <c r="GR27">
        <v>26656.547823337442</v>
      </c>
      <c r="GS27">
        <v>10717.668487661809</v>
      </c>
      <c r="GT27">
        <v>24806.033556204329</v>
      </c>
      <c r="GU27">
        <v>9576.2695541772173</v>
      </c>
      <c r="GV27">
        <v>9145.9359028780218</v>
      </c>
      <c r="GW27">
        <v>63153.146950897441</v>
      </c>
      <c r="GX27">
        <v>9093.7576517362086</v>
      </c>
      <c r="GY27">
        <v>7262.1459965611457</v>
      </c>
      <c r="GZ27">
        <v>6216.5599862098125</v>
      </c>
      <c r="HA27">
        <v>5744.8666981940314</v>
      </c>
      <c r="HB27">
        <v>9777.7906931963644</v>
      </c>
      <c r="HC27">
        <v>21579.75798987853</v>
      </c>
    </row>
    <row r="28" spans="1:211" x14ac:dyDescent="0.45">
      <c r="A28" s="1" t="s">
        <v>221</v>
      </c>
      <c r="B28">
        <f t="shared" ref="B28:BM28" si="0">INDEX(B$18:B$27,MATCH($B$1,$A$18:$A$27,0))</f>
        <v>503.41597576804492</v>
      </c>
      <c r="C28">
        <f t="shared" si="0"/>
        <v>14471.042864415331</v>
      </c>
      <c r="D28">
        <f t="shared" si="0"/>
        <v>449.62881077856309</v>
      </c>
      <c r="E28">
        <f t="shared" si="0"/>
        <v>26263.030638612101</v>
      </c>
      <c r="F28">
        <f t="shared" si="0"/>
        <v>8770.226245627995</v>
      </c>
      <c r="G28">
        <f t="shared" si="0"/>
        <v>0</v>
      </c>
      <c r="H28">
        <f t="shared" si="0"/>
        <v>630.68885293903008</v>
      </c>
      <c r="I28">
        <f t="shared" si="0"/>
        <v>2394.4825593200708</v>
      </c>
      <c r="J28">
        <f t="shared" si="0"/>
        <v>0</v>
      </c>
      <c r="K28">
        <f t="shared" si="0"/>
        <v>0</v>
      </c>
      <c r="L28">
        <f t="shared" si="0"/>
        <v>2847.7980146955529</v>
      </c>
      <c r="M28">
        <f t="shared" si="0"/>
        <v>2488.7823601881728</v>
      </c>
      <c r="N28">
        <f t="shared" si="0"/>
        <v>410.82047061399982</v>
      </c>
      <c r="O28">
        <f t="shared" si="0"/>
        <v>356.69921778025088</v>
      </c>
      <c r="P28">
        <f t="shared" si="0"/>
        <v>0</v>
      </c>
      <c r="Q28">
        <f t="shared" si="0"/>
        <v>0</v>
      </c>
      <c r="R28">
        <f t="shared" si="0"/>
        <v>0</v>
      </c>
      <c r="S28">
        <f t="shared" si="0"/>
        <v>114.0076951671178</v>
      </c>
      <c r="T28">
        <f t="shared" si="0"/>
        <v>376.21239846544722</v>
      </c>
      <c r="U28">
        <f t="shared" si="0"/>
        <v>2.6579837373389349E-2</v>
      </c>
      <c r="V28">
        <f t="shared" si="0"/>
        <v>0</v>
      </c>
      <c r="W28">
        <f t="shared" si="0"/>
        <v>0.2555276627263679</v>
      </c>
      <c r="X28">
        <f t="shared" si="0"/>
        <v>0</v>
      </c>
      <c r="Y28">
        <f t="shared" si="0"/>
        <v>4.6641429868948682E-2</v>
      </c>
      <c r="Z28">
        <f t="shared" si="0"/>
        <v>0</v>
      </c>
      <c r="AA28">
        <f t="shared" si="0"/>
        <v>0</v>
      </c>
      <c r="AB28">
        <f t="shared" si="0"/>
        <v>0</v>
      </c>
      <c r="AC28">
        <f t="shared" si="0"/>
        <v>0</v>
      </c>
      <c r="AD28">
        <f t="shared" si="0"/>
        <v>23.403427026250441</v>
      </c>
      <c r="AE28">
        <f t="shared" si="0"/>
        <v>0</v>
      </c>
      <c r="AF28">
        <f t="shared" si="0"/>
        <v>0</v>
      </c>
      <c r="AG28">
        <f t="shared" si="0"/>
        <v>0</v>
      </c>
      <c r="AH28">
        <f t="shared" si="0"/>
        <v>0</v>
      </c>
      <c r="AI28">
        <f t="shared" si="0"/>
        <v>0</v>
      </c>
      <c r="AJ28">
        <f t="shared" si="0"/>
        <v>0</v>
      </c>
      <c r="AK28">
        <f t="shared" si="0"/>
        <v>0</v>
      </c>
      <c r="AL28">
        <f t="shared" si="0"/>
        <v>0</v>
      </c>
      <c r="AM28">
        <f t="shared" si="0"/>
        <v>0</v>
      </c>
      <c r="AN28">
        <f t="shared" si="0"/>
        <v>0</v>
      </c>
      <c r="AO28">
        <f t="shared" si="0"/>
        <v>0</v>
      </c>
      <c r="AP28">
        <f t="shared" si="0"/>
        <v>0</v>
      </c>
      <c r="AQ28">
        <f t="shared" si="0"/>
        <v>0</v>
      </c>
      <c r="AR28">
        <f t="shared" si="0"/>
        <v>10717.668487661809</v>
      </c>
      <c r="AS28">
        <f t="shared" si="0"/>
        <v>1889.750989510092</v>
      </c>
      <c r="AT28">
        <f t="shared" si="0"/>
        <v>4773.828585777308</v>
      </c>
      <c r="AU28">
        <f t="shared" si="0"/>
        <v>12805.87360603321</v>
      </c>
      <c r="AV28">
        <f t="shared" si="0"/>
        <v>393.51718472534498</v>
      </c>
      <c r="AW28">
        <f t="shared" si="0"/>
        <v>8789.2366850977705</v>
      </c>
      <c r="AX28">
        <f t="shared" si="0"/>
        <v>106.7403347871598</v>
      </c>
      <c r="AY28">
        <f t="shared" si="0"/>
        <v>808.27471186166326</v>
      </c>
      <c r="AZ28">
        <f t="shared" si="0"/>
        <v>39845.773678742044</v>
      </c>
      <c r="BA28">
        <f t="shared" si="0"/>
        <v>5508.526542223367</v>
      </c>
      <c r="BB28">
        <f t="shared" si="0"/>
        <v>3580.5409454379101</v>
      </c>
      <c r="BC28">
        <f t="shared" si="0"/>
        <v>1004.4771041901651</v>
      </c>
      <c r="BD28">
        <f t="shared" si="0"/>
        <v>1263.9292443574659</v>
      </c>
      <c r="BE28">
        <f t="shared" si="0"/>
        <v>2666.36675582116</v>
      </c>
      <c r="BF28">
        <f t="shared" si="0"/>
        <v>2286.263986031187</v>
      </c>
      <c r="BG28">
        <f t="shared" si="0"/>
        <v>91.41948044704543</v>
      </c>
      <c r="BH28">
        <f t="shared" si="0"/>
        <v>10.623288311456751</v>
      </c>
      <c r="BI28">
        <f t="shared" si="0"/>
        <v>0</v>
      </c>
      <c r="BJ28">
        <f t="shared" si="0"/>
        <v>0</v>
      </c>
      <c r="BK28">
        <f t="shared" si="0"/>
        <v>195.63220379437669</v>
      </c>
      <c r="BL28">
        <f t="shared" si="0"/>
        <v>171.25579460877901</v>
      </c>
      <c r="BM28">
        <f t="shared" si="0"/>
        <v>5.0005303999613743E-3</v>
      </c>
      <c r="BN28">
        <f t="shared" ref="BN28:DY28" si="1">INDEX(BN$18:BN$27,MATCH($B$1,$A$18:$A$27,0))</f>
        <v>0</v>
      </c>
      <c r="BO28">
        <f t="shared" si="1"/>
        <v>0</v>
      </c>
      <c r="BP28">
        <f t="shared" si="1"/>
        <v>864.41523316635698</v>
      </c>
      <c r="BQ28">
        <f t="shared" si="1"/>
        <v>1.09916010057457E-3</v>
      </c>
      <c r="BR28">
        <f t="shared" si="1"/>
        <v>0</v>
      </c>
      <c r="BS28">
        <f t="shared" si="1"/>
        <v>5.922689939757559</v>
      </c>
      <c r="BT28">
        <f t="shared" si="1"/>
        <v>3.9215091726782489</v>
      </c>
      <c r="BU28">
        <f t="shared" si="1"/>
        <v>630.28954060400883</v>
      </c>
      <c r="BV28">
        <f t="shared" si="1"/>
        <v>0.42542847391935401</v>
      </c>
      <c r="BW28">
        <f t="shared" si="1"/>
        <v>0</v>
      </c>
      <c r="BX28">
        <f t="shared" si="1"/>
        <v>65.433817231892561</v>
      </c>
      <c r="BY28">
        <f t="shared" si="1"/>
        <v>0</v>
      </c>
      <c r="BZ28">
        <f t="shared" si="1"/>
        <v>0</v>
      </c>
      <c r="CA28">
        <f t="shared" si="1"/>
        <v>0</v>
      </c>
      <c r="CB28">
        <f t="shared" si="1"/>
        <v>0</v>
      </c>
      <c r="CC28">
        <f t="shared" si="1"/>
        <v>0</v>
      </c>
      <c r="CD28">
        <f t="shared" si="1"/>
        <v>0</v>
      </c>
      <c r="CE28">
        <f t="shared" si="1"/>
        <v>0</v>
      </c>
      <c r="CF28">
        <f t="shared" si="1"/>
        <v>0</v>
      </c>
      <c r="CG28">
        <f t="shared" si="1"/>
        <v>0</v>
      </c>
      <c r="CH28">
        <f t="shared" si="1"/>
        <v>0</v>
      </c>
      <c r="CI28">
        <f t="shared" si="1"/>
        <v>3087.2650157746139</v>
      </c>
      <c r="CJ28">
        <f t="shared" si="1"/>
        <v>99.675321579101919</v>
      </c>
      <c r="CK28">
        <f t="shared" si="1"/>
        <v>1.9682660611521909</v>
      </c>
      <c r="CL28">
        <f t="shared" si="1"/>
        <v>112.95108807889601</v>
      </c>
      <c r="CM28">
        <f t="shared" si="1"/>
        <v>1450.781131441837</v>
      </c>
      <c r="CN28">
        <f t="shared" si="1"/>
        <v>0</v>
      </c>
      <c r="CO28">
        <f t="shared" si="1"/>
        <v>0</v>
      </c>
      <c r="CP28">
        <f t="shared" si="1"/>
        <v>9.5528204335082467</v>
      </c>
      <c r="CQ28">
        <f t="shared" si="1"/>
        <v>11.20971588047523</v>
      </c>
      <c r="CR28">
        <f t="shared" si="1"/>
        <v>0</v>
      </c>
      <c r="CS28">
        <f t="shared" si="1"/>
        <v>0</v>
      </c>
      <c r="CT28">
        <f t="shared" si="1"/>
        <v>0</v>
      </c>
      <c r="CU28">
        <f t="shared" si="1"/>
        <v>95.653714079941068</v>
      </c>
      <c r="CV28">
        <f t="shared" si="1"/>
        <v>0.2343842129751629</v>
      </c>
      <c r="CW28">
        <f t="shared" si="1"/>
        <v>1.0488535259668521</v>
      </c>
      <c r="CX28">
        <f t="shared" si="1"/>
        <v>0.2009522867690175</v>
      </c>
      <c r="CY28">
        <f t="shared" si="1"/>
        <v>74.450210451813902</v>
      </c>
      <c r="CZ28">
        <f t="shared" si="1"/>
        <v>3.7584854083439747E-4</v>
      </c>
      <c r="DA28">
        <f t="shared" si="1"/>
        <v>4.2988635387724303E-5</v>
      </c>
      <c r="DB28">
        <f t="shared" si="1"/>
        <v>0.33354564774411039</v>
      </c>
      <c r="DC28">
        <f t="shared" si="1"/>
        <v>0</v>
      </c>
      <c r="DD28">
        <f t="shared" si="1"/>
        <v>0.14252094121080741</v>
      </c>
      <c r="DE28">
        <f t="shared" si="1"/>
        <v>8.3618470092748556E-3</v>
      </c>
      <c r="DF28">
        <f t="shared" si="1"/>
        <v>0</v>
      </c>
      <c r="DG28">
        <f t="shared" si="1"/>
        <v>0</v>
      </c>
      <c r="DH28">
        <f t="shared" si="1"/>
        <v>0</v>
      </c>
      <c r="DI28">
        <f t="shared" si="1"/>
        <v>0</v>
      </c>
      <c r="DJ28">
        <f t="shared" si="1"/>
        <v>0.66607373884393684</v>
      </c>
      <c r="DK28">
        <f t="shared" si="1"/>
        <v>0</v>
      </c>
      <c r="DL28">
        <f t="shared" si="1"/>
        <v>3.7158115168198689E-3</v>
      </c>
      <c r="DM28">
        <f t="shared" si="1"/>
        <v>154.99346209244791</v>
      </c>
      <c r="DN28">
        <f t="shared" si="1"/>
        <v>17.467447986048501</v>
      </c>
      <c r="DO28">
        <f t="shared" si="1"/>
        <v>183.66776650082579</v>
      </c>
      <c r="DP28">
        <f t="shared" si="1"/>
        <v>105.4904765785178</v>
      </c>
      <c r="DQ28">
        <f t="shared" si="1"/>
        <v>168.4553445912421</v>
      </c>
      <c r="DR28">
        <f t="shared" si="1"/>
        <v>130.1899438178786</v>
      </c>
      <c r="DS28">
        <f t="shared" si="1"/>
        <v>2195.7357480242181</v>
      </c>
      <c r="DT28">
        <f t="shared" si="1"/>
        <v>93.169352444620614</v>
      </c>
      <c r="DU28">
        <f t="shared" si="1"/>
        <v>1044.763118511627</v>
      </c>
      <c r="DV28">
        <f t="shared" si="1"/>
        <v>0</v>
      </c>
      <c r="DW28">
        <f t="shared" si="1"/>
        <v>0</v>
      </c>
      <c r="DX28">
        <f t="shared" si="1"/>
        <v>21.913340736018899</v>
      </c>
      <c r="DY28">
        <f t="shared" si="1"/>
        <v>14.602969590868581</v>
      </c>
      <c r="DZ28">
        <f t="shared" ref="DZ28:GK28" si="2">INDEX(DZ$18:DZ$27,MATCH($B$1,$A$18:$A$27,0))</f>
        <v>205.05429476015701</v>
      </c>
      <c r="EA28">
        <f t="shared" si="2"/>
        <v>33.556709127052301</v>
      </c>
      <c r="EB28">
        <f t="shared" si="2"/>
        <v>5.2317276512858983</v>
      </c>
      <c r="EC28">
        <f t="shared" si="2"/>
        <v>4.0879022666694951</v>
      </c>
      <c r="ED28">
        <f t="shared" si="2"/>
        <v>4.6675542179018397</v>
      </c>
      <c r="EE28">
        <f t="shared" si="2"/>
        <v>0.56575951307567196</v>
      </c>
      <c r="EF28">
        <f t="shared" si="2"/>
        <v>0</v>
      </c>
      <c r="EG28">
        <f t="shared" si="2"/>
        <v>0.34391963015107729</v>
      </c>
      <c r="EH28">
        <f t="shared" si="2"/>
        <v>0</v>
      </c>
      <c r="EI28">
        <f t="shared" si="2"/>
        <v>0</v>
      </c>
      <c r="EJ28">
        <f t="shared" si="2"/>
        <v>26.41835416195859</v>
      </c>
      <c r="EK28">
        <f t="shared" si="2"/>
        <v>96.539578747382251</v>
      </c>
      <c r="EL28">
        <f t="shared" si="2"/>
        <v>0</v>
      </c>
      <c r="EM28">
        <f t="shared" si="2"/>
        <v>0</v>
      </c>
      <c r="EN28">
        <f t="shared" si="2"/>
        <v>0</v>
      </c>
      <c r="EO28">
        <f t="shared" si="2"/>
        <v>0</v>
      </c>
      <c r="EP28">
        <f t="shared" si="2"/>
        <v>0</v>
      </c>
      <c r="EQ28">
        <f t="shared" si="2"/>
        <v>200.46138917240819</v>
      </c>
      <c r="ER28">
        <f t="shared" si="2"/>
        <v>145.7824065977936</v>
      </c>
      <c r="ES28">
        <f t="shared" si="2"/>
        <v>92.256208725690811</v>
      </c>
      <c r="ET28">
        <f t="shared" si="2"/>
        <v>183.00655969902579</v>
      </c>
      <c r="EU28">
        <f t="shared" si="2"/>
        <v>0</v>
      </c>
      <c r="EV28">
        <f t="shared" si="2"/>
        <v>216.66268078191749</v>
      </c>
      <c r="EW28">
        <f t="shared" si="2"/>
        <v>24.96253056726524</v>
      </c>
      <c r="EX28">
        <f t="shared" si="2"/>
        <v>117.75692131007909</v>
      </c>
      <c r="EY28">
        <f t="shared" si="2"/>
        <v>87.435701314760678</v>
      </c>
      <c r="EZ28">
        <f t="shared" si="2"/>
        <v>9777.7906931963644</v>
      </c>
      <c r="FA28">
        <f t="shared" si="2"/>
        <v>476.16723977583371</v>
      </c>
      <c r="FB28">
        <f t="shared" si="2"/>
        <v>711.07447686431942</v>
      </c>
      <c r="FC28">
        <f t="shared" si="2"/>
        <v>23.721270541137908</v>
      </c>
      <c r="FD28">
        <f t="shared" si="2"/>
        <v>374.33470606623052</v>
      </c>
      <c r="FE28">
        <f t="shared" si="2"/>
        <v>170.8885575355568</v>
      </c>
      <c r="FF28">
        <f t="shared" si="2"/>
        <v>1190.0712066251569</v>
      </c>
      <c r="FG28">
        <f t="shared" si="2"/>
        <v>335.3582110147338</v>
      </c>
      <c r="FH28">
        <f t="shared" si="2"/>
        <v>690.25798297906817</v>
      </c>
      <c r="FI28">
        <f t="shared" si="2"/>
        <v>260.00625559853279</v>
      </c>
      <c r="FJ28">
        <f t="shared" si="2"/>
        <v>717.54764791260641</v>
      </c>
      <c r="FK28">
        <f t="shared" si="2"/>
        <v>0</v>
      </c>
      <c r="FL28">
        <f t="shared" si="2"/>
        <v>3550.964124879612</v>
      </c>
      <c r="FM28">
        <f t="shared" si="2"/>
        <v>77.394908241976154</v>
      </c>
      <c r="FN28">
        <f t="shared" si="2"/>
        <v>1.481359465050633</v>
      </c>
      <c r="FO28">
        <f t="shared" si="2"/>
        <v>797.86356183878729</v>
      </c>
      <c r="FP28">
        <f t="shared" si="2"/>
        <v>348.51507263106811</v>
      </c>
      <c r="FQ28">
        <f t="shared" si="2"/>
        <v>4109.0420628209486</v>
      </c>
      <c r="FR28">
        <f t="shared" si="2"/>
        <v>3442.2466440387529</v>
      </c>
      <c r="FS28">
        <f t="shared" si="2"/>
        <v>5492.9379832875948</v>
      </c>
      <c r="FT28">
        <f t="shared" si="2"/>
        <v>13.156324033322379</v>
      </c>
      <c r="FU28">
        <f t="shared" si="2"/>
        <v>13.835697749033679</v>
      </c>
      <c r="FV28">
        <f t="shared" si="2"/>
        <v>6.177276873881949</v>
      </c>
      <c r="FW28">
        <f t="shared" si="2"/>
        <v>16.84025644029359</v>
      </c>
      <c r="FX28">
        <f t="shared" si="2"/>
        <v>2.8419256121449412</v>
      </c>
      <c r="FY28">
        <f t="shared" si="2"/>
        <v>3.913336879813849</v>
      </c>
      <c r="FZ28">
        <f t="shared" si="2"/>
        <v>15.264684563732329</v>
      </c>
      <c r="GA28">
        <f t="shared" si="2"/>
        <v>1.1150373241653491</v>
      </c>
      <c r="GB28">
        <f t="shared" si="2"/>
        <v>9.3798547804128121E-2</v>
      </c>
      <c r="GC28">
        <f t="shared" si="2"/>
        <v>13.661682553028241</v>
      </c>
      <c r="GD28">
        <f t="shared" si="2"/>
        <v>8.2888190589413515</v>
      </c>
      <c r="GE28">
        <f t="shared" si="2"/>
        <v>0.24649336376117961</v>
      </c>
      <c r="GF28">
        <f t="shared" si="2"/>
        <v>5.2877188750770641</v>
      </c>
      <c r="GG28">
        <f t="shared" si="2"/>
        <v>9.6712666310312247</v>
      </c>
      <c r="GH28">
        <f t="shared" si="2"/>
        <v>9.0998823265355586</v>
      </c>
      <c r="GI28">
        <f t="shared" si="2"/>
        <v>6.114264444525193</v>
      </c>
      <c r="GJ28">
        <f t="shared" si="2"/>
        <v>1.8764128393881929</v>
      </c>
      <c r="GK28">
        <f t="shared" si="2"/>
        <v>22.568503839397309</v>
      </c>
      <c r="GL28">
        <f t="shared" ref="GL28:HC28" si="3">INDEX(GL$18:GL$27,MATCH($B$1,$A$18:$A$27,0))</f>
        <v>1.025661229187266</v>
      </c>
      <c r="GM28">
        <f t="shared" si="3"/>
        <v>3.4030683087728528</v>
      </c>
      <c r="GN28">
        <f t="shared" si="3"/>
        <v>653.76169815141589</v>
      </c>
      <c r="GO28">
        <f t="shared" si="3"/>
        <v>3535.5611069964839</v>
      </c>
      <c r="GP28">
        <f t="shared" si="3"/>
        <v>424.22734070795582</v>
      </c>
      <c r="GQ28">
        <f t="shared" si="3"/>
        <v>0</v>
      </c>
      <c r="GR28">
        <f t="shared" si="3"/>
        <v>26656.547823337442</v>
      </c>
      <c r="GS28">
        <f t="shared" si="3"/>
        <v>10717.668487661809</v>
      </c>
      <c r="GT28">
        <f t="shared" si="3"/>
        <v>24806.033556204329</v>
      </c>
      <c r="GU28">
        <f t="shared" si="3"/>
        <v>9576.2695541772173</v>
      </c>
      <c r="GV28">
        <f t="shared" si="3"/>
        <v>9145.9359028780218</v>
      </c>
      <c r="GW28">
        <f t="shared" si="3"/>
        <v>63153.146950897441</v>
      </c>
      <c r="GX28">
        <f t="shared" si="3"/>
        <v>9093.7576517362086</v>
      </c>
      <c r="GY28">
        <f t="shared" si="3"/>
        <v>7262.1459965611457</v>
      </c>
      <c r="GZ28">
        <f t="shared" si="3"/>
        <v>6216.5599862098125</v>
      </c>
      <c r="HA28">
        <f t="shared" si="3"/>
        <v>5744.8666981940314</v>
      </c>
      <c r="HB28">
        <f t="shared" si="3"/>
        <v>9777.7906931963644</v>
      </c>
      <c r="HC28">
        <f t="shared" si="3"/>
        <v>21579.75798987853</v>
      </c>
    </row>
    <row r="29" spans="1:211" x14ac:dyDescent="0.45">
      <c r="A29" s="1" t="s">
        <v>222</v>
      </c>
      <c r="B29">
        <f>RANK(B28,$B$28:$GQ$28,0)+COUNTIF($B$28:B28,B28)-1</f>
        <v>39</v>
      </c>
      <c r="C29">
        <f>RANK(C28,$B$28:$GQ$28,0)+COUNTIF($B$28:C28,C28)-1</f>
        <v>3</v>
      </c>
      <c r="D29">
        <f>RANK(D28,$B$28:$GQ$28,0)+COUNTIF($B$28:D28,D28)-1</f>
        <v>41</v>
      </c>
      <c r="E29">
        <f>RANK(E28,$B$28:$GQ$28,0)+COUNTIF($B$28:E28,E28)-1</f>
        <v>2</v>
      </c>
      <c r="F29">
        <f>RANK(F28,$B$28:$GQ$28,0)+COUNTIF($B$28:F28,F28)-1</f>
        <v>8</v>
      </c>
      <c r="G29">
        <f>RANK(G28,$B$28:$GQ$28,0)+COUNTIF($B$28:G28,G28)-1</f>
        <v>134</v>
      </c>
      <c r="H29">
        <f>RANK(H28,$B$28:$GQ$28,0)+COUNTIF($B$28:H28,H28)-1</f>
        <v>37</v>
      </c>
      <c r="I29">
        <f>RANK(I28,$B$28:$GQ$28,0)+COUNTIF($B$28:I28,I28)-1</f>
        <v>21</v>
      </c>
      <c r="J29">
        <f>RANK(J28,$B$28:$GQ$28,0)+COUNTIF($B$28:J28,J28)-1</f>
        <v>135</v>
      </c>
      <c r="K29">
        <f>RANK(K28,$B$28:$GQ$28,0)+COUNTIF($B$28:K28,K28)-1</f>
        <v>136</v>
      </c>
      <c r="L29">
        <f>RANK(L28,$B$28:$GQ$28,0)+COUNTIF($B$28:L28,L28)-1</f>
        <v>18</v>
      </c>
      <c r="M29">
        <f>RANK(M28,$B$28:$GQ$28,0)+COUNTIF($B$28:M28,M28)-1</f>
        <v>20</v>
      </c>
      <c r="N29">
        <f>RANK(N28,$B$28:$GQ$28,0)+COUNTIF($B$28:N28,N28)-1</f>
        <v>43</v>
      </c>
      <c r="O29">
        <f>RANK(O28,$B$28:$GQ$28,0)+COUNTIF($B$28:O28,O28)-1</f>
        <v>47</v>
      </c>
      <c r="P29">
        <f>RANK(P28,$B$28:$GQ$28,0)+COUNTIF($B$28:P28,P28)-1</f>
        <v>137</v>
      </c>
      <c r="Q29">
        <f>RANK(Q28,$B$28:$GQ$28,0)+COUNTIF($B$28:Q28,Q28)-1</f>
        <v>138</v>
      </c>
      <c r="R29">
        <f>RANK(R28,$B$28:$GQ$28,0)+COUNTIF($B$28:R28,R28)-1</f>
        <v>139</v>
      </c>
      <c r="S29">
        <f>RANK(S28,$B$28:$GQ$28,0)+COUNTIF($B$28:S28,S28)-1</f>
        <v>64</v>
      </c>
      <c r="T29">
        <f>RANK(T28,$B$28:$GQ$28,0)+COUNTIF($B$28:T28,T28)-1</f>
        <v>45</v>
      </c>
      <c r="U29">
        <f>RANK(U28,$B$28:$GQ$28,0)+COUNTIF($B$28:U28,U28)-1</f>
        <v>127</v>
      </c>
      <c r="V29">
        <f>RANK(V28,$B$28:$GQ$28,0)+COUNTIF($B$28:V28,V28)-1</f>
        <v>140</v>
      </c>
      <c r="W29">
        <f>RANK(W28,$B$28:$GQ$28,0)+COUNTIF($B$28:W28,W28)-1</f>
        <v>120</v>
      </c>
      <c r="X29">
        <f>RANK(X28,$B$28:$GQ$28,0)+COUNTIF($B$28:X28,X28)-1</f>
        <v>141</v>
      </c>
      <c r="Y29">
        <f>RANK(Y28,$B$28:$GQ$28,0)+COUNTIF($B$28:Y28,Y28)-1</f>
        <v>126</v>
      </c>
      <c r="Z29">
        <f>RANK(Z28,$B$28:$GQ$28,0)+COUNTIF($B$28:Z28,Z28)-1</f>
        <v>142</v>
      </c>
      <c r="AA29">
        <f>RANK(AA28,$B$28:$GQ$28,0)+COUNTIF($B$28:AA28,AA28)-1</f>
        <v>143</v>
      </c>
      <c r="AB29">
        <f>RANK(AB28,$B$28:$GQ$28,0)+COUNTIF($B$28:AB28,AB28)-1</f>
        <v>144</v>
      </c>
      <c r="AC29">
        <f>RANK(AC28,$B$28:$GQ$28,0)+COUNTIF($B$28:AC28,AC28)-1</f>
        <v>145</v>
      </c>
      <c r="AD29">
        <f>RANK(AD28,$B$28:$GQ$28,0)+COUNTIF($B$28:AD28,AD28)-1</f>
        <v>82</v>
      </c>
      <c r="AE29">
        <f>RANK(AE28,$B$28:$GQ$28,0)+COUNTIF($B$28:AE28,AE28)-1</f>
        <v>146</v>
      </c>
      <c r="AF29">
        <f>RANK(AF28,$B$28:$GQ$28,0)+COUNTIF($B$28:AF28,AF28)-1</f>
        <v>147</v>
      </c>
      <c r="AG29">
        <f>RANK(AG28,$B$28:$GQ$28,0)+COUNTIF($B$28:AG28,AG28)-1</f>
        <v>148</v>
      </c>
      <c r="AH29">
        <f>RANK(AH28,$B$28:$GQ$28,0)+COUNTIF($B$28:AH28,AH28)-1</f>
        <v>149</v>
      </c>
      <c r="AI29">
        <f>RANK(AI28,$B$28:$GQ$28,0)+COUNTIF($B$28:AI28,AI28)-1</f>
        <v>150</v>
      </c>
      <c r="AJ29">
        <f>RANK(AJ28,$B$28:$GQ$28,0)+COUNTIF($B$28:AJ28,AJ28)-1</f>
        <v>151</v>
      </c>
      <c r="AK29">
        <f>RANK(AK28,$B$28:$GQ$28,0)+COUNTIF($B$28:AK28,AK28)-1</f>
        <v>152</v>
      </c>
      <c r="AL29">
        <f>RANK(AL28,$B$28:$GQ$28,0)+COUNTIF($B$28:AL28,AL28)-1</f>
        <v>153</v>
      </c>
      <c r="AM29">
        <f>RANK(AM28,$B$28:$GQ$28,0)+COUNTIF($B$28:AM28,AM28)-1</f>
        <v>154</v>
      </c>
      <c r="AN29">
        <f>RANK(AN28,$B$28:$GQ$28,0)+COUNTIF($B$28:AN28,AN28)-1</f>
        <v>155</v>
      </c>
      <c r="AO29">
        <f>RANK(AO28,$B$28:$GQ$28,0)+COUNTIF($B$28:AO28,AO28)-1</f>
        <v>156</v>
      </c>
      <c r="AP29">
        <f>RANK(AP28,$B$28:$GQ$28,0)+COUNTIF($B$28:AP28,AP28)-1</f>
        <v>157</v>
      </c>
      <c r="AQ29">
        <f>RANK(AQ28,$B$28:$GQ$28,0)+COUNTIF($B$28:AQ28,AQ28)-1</f>
        <v>158</v>
      </c>
      <c r="AR29">
        <f>RANK(AR28,$B$28:$GQ$28,0)+COUNTIF($B$28:AR28,AR28)-1</f>
        <v>5</v>
      </c>
      <c r="AS29">
        <f>RANK(AS28,$B$28:$GQ$28,0)+COUNTIF($B$28:AS28,AS28)-1</f>
        <v>24</v>
      </c>
      <c r="AT29">
        <f>RANK(AT28,$B$28:$GQ$28,0)+COUNTIF($B$28:AT28,AT28)-1</f>
        <v>11</v>
      </c>
      <c r="AU29">
        <f>RANK(AU28,$B$28:$GQ$28,0)+COUNTIF($B$28:AU28,AU28)-1</f>
        <v>4</v>
      </c>
      <c r="AV29">
        <f>RANK(AV28,$B$28:$GQ$28,0)+COUNTIF($B$28:AV28,AV28)-1</f>
        <v>44</v>
      </c>
      <c r="AW29">
        <f>RANK(AW28,$B$28:$GQ$28,0)+COUNTIF($B$28:AW28,AW28)-1</f>
        <v>7</v>
      </c>
      <c r="AX29">
        <f>RANK(AX28,$B$28:$GQ$28,0)+COUNTIF($B$28:AX28,AX28)-1</f>
        <v>66</v>
      </c>
      <c r="AY29">
        <f>RANK(AY28,$B$28:$GQ$28,0)+COUNTIF($B$28:AY28,AY28)-1</f>
        <v>31</v>
      </c>
      <c r="AZ29">
        <f>RANK(AZ28,$B$28:$GQ$28,0)+COUNTIF($B$28:AZ28,AZ28)-1</f>
        <v>1</v>
      </c>
      <c r="BA29">
        <f>RANK(BA28,$B$28:$GQ$28,0)+COUNTIF($B$28:BA28,BA28)-1</f>
        <v>9</v>
      </c>
      <c r="BB29">
        <f>RANK(BB28,$B$28:$GQ$28,0)+COUNTIF($B$28:BB28,BB28)-1</f>
        <v>13</v>
      </c>
      <c r="BC29">
        <f>RANK(BC28,$B$28:$GQ$28,0)+COUNTIF($B$28:BC28,BC28)-1</f>
        <v>29</v>
      </c>
      <c r="BD29">
        <f>RANK(BD28,$B$28:$GQ$28,0)+COUNTIF($B$28:BD28,BD28)-1</f>
        <v>26</v>
      </c>
      <c r="BE29">
        <f>RANK(BE28,$B$28:$GQ$28,0)+COUNTIF($B$28:BE28,BE28)-1</f>
        <v>19</v>
      </c>
      <c r="BF29">
        <f>RANK(BF28,$B$28:$GQ$28,0)+COUNTIF($B$28:BF28,BF28)-1</f>
        <v>22</v>
      </c>
      <c r="BG29">
        <f>RANK(BG28,$B$28:$GQ$28,0)+COUNTIF($B$28:BG28,BG28)-1</f>
        <v>73</v>
      </c>
      <c r="BH29">
        <f>RANK(BH28,$B$28:$GQ$28,0)+COUNTIF($B$28:BH28,BH28)-1</f>
        <v>93</v>
      </c>
      <c r="BI29">
        <f>RANK(BI28,$B$28:$GQ$28,0)+COUNTIF($B$28:BI28,BI28)-1</f>
        <v>159</v>
      </c>
      <c r="BJ29">
        <f>RANK(BJ28,$B$28:$GQ$28,0)+COUNTIF($B$28:BJ28,BJ28)-1</f>
        <v>160</v>
      </c>
      <c r="BK29">
        <f>RANK(BK28,$B$28:$GQ$28,0)+COUNTIF($B$28:BK28,BK28)-1</f>
        <v>54</v>
      </c>
      <c r="BL29">
        <f>RANK(BL28,$B$28:$GQ$28,0)+COUNTIF($B$28:BL28,BL28)-1</f>
        <v>57</v>
      </c>
      <c r="BM29">
        <f>RANK(BM28,$B$28:$GQ$28,0)+COUNTIF($B$28:BM28,BM28)-1</f>
        <v>129</v>
      </c>
      <c r="BN29">
        <f>RANK(BN28,$B$28:$GQ$28,0)+COUNTIF($B$28:BN28,BN28)-1</f>
        <v>161</v>
      </c>
      <c r="BO29">
        <f>RANK(BO28,$B$28:$GQ$28,0)+COUNTIF($B$28:BO28,BO28)-1</f>
        <v>162</v>
      </c>
      <c r="BP29">
        <f>RANK(BP28,$B$28:$GQ$28,0)+COUNTIF($B$28:BP28,BP28)-1</f>
        <v>30</v>
      </c>
      <c r="BQ29">
        <f>RANK(BQ28,$B$28:$GQ$28,0)+COUNTIF($B$28:BQ28,BQ28)-1</f>
        <v>131</v>
      </c>
      <c r="BR29">
        <f>RANK(BR28,$B$28:$GQ$28,0)+COUNTIF($B$28:BR28,BR28)-1</f>
        <v>163</v>
      </c>
      <c r="BS29">
        <f>RANK(BS28,$B$28:$GQ$28,0)+COUNTIF($B$28:BS28,BS28)-1</f>
        <v>100</v>
      </c>
      <c r="BT29">
        <f>RANK(BT28,$B$28:$GQ$28,0)+COUNTIF($B$28:BT28,BT28)-1</f>
        <v>105</v>
      </c>
      <c r="BU29">
        <f>RANK(BU28,$B$28:$GQ$28,0)+COUNTIF($B$28:BU28,BU28)-1</f>
        <v>38</v>
      </c>
      <c r="BV29">
        <f>RANK(BV28,$B$28:$GQ$28,0)+COUNTIF($B$28:BV28,BV28)-1</f>
        <v>117</v>
      </c>
      <c r="BW29">
        <f>RANK(BW28,$B$28:$GQ$28,0)+COUNTIF($B$28:BW28,BW28)-1</f>
        <v>164</v>
      </c>
      <c r="BX29">
        <f>RANK(BX28,$B$28:$GQ$28,0)+COUNTIF($B$28:BX28,BX28)-1</f>
        <v>77</v>
      </c>
      <c r="BY29">
        <f>RANK(BY28,$B$28:$GQ$28,0)+COUNTIF($B$28:BY28,BY28)-1</f>
        <v>165</v>
      </c>
      <c r="BZ29">
        <f>RANK(BZ28,$B$28:$GQ$28,0)+COUNTIF($B$28:BZ28,BZ28)-1</f>
        <v>166</v>
      </c>
      <c r="CA29">
        <f>RANK(CA28,$B$28:$GQ$28,0)+COUNTIF($B$28:CA28,CA28)-1</f>
        <v>167</v>
      </c>
      <c r="CB29">
        <f>RANK(CB28,$B$28:$GQ$28,0)+COUNTIF($B$28:CB28,CB28)-1</f>
        <v>168</v>
      </c>
      <c r="CC29">
        <f>RANK(CC28,$B$28:$GQ$28,0)+COUNTIF($B$28:CC28,CC28)-1</f>
        <v>169</v>
      </c>
      <c r="CD29">
        <f>RANK(CD28,$B$28:$GQ$28,0)+COUNTIF($B$28:CD28,CD28)-1</f>
        <v>170</v>
      </c>
      <c r="CE29">
        <f>RANK(CE28,$B$28:$GQ$28,0)+COUNTIF($B$28:CE28,CE28)-1</f>
        <v>171</v>
      </c>
      <c r="CF29">
        <f>RANK(CF28,$B$28:$GQ$28,0)+COUNTIF($B$28:CF28,CF28)-1</f>
        <v>172</v>
      </c>
      <c r="CG29">
        <f>RANK(CG28,$B$28:$GQ$28,0)+COUNTIF($B$28:CG28,CG28)-1</f>
        <v>173</v>
      </c>
      <c r="CH29">
        <f>RANK(CH28,$B$28:$GQ$28,0)+COUNTIF($B$28:CH28,CH28)-1</f>
        <v>174</v>
      </c>
      <c r="CI29">
        <f>RANK(CI28,$B$28:$GQ$28,0)+COUNTIF($B$28:CI28,CI28)-1</f>
        <v>17</v>
      </c>
      <c r="CJ29">
        <f>RANK(CJ28,$B$28:$GQ$28,0)+COUNTIF($B$28:CJ28,CJ28)-1</f>
        <v>68</v>
      </c>
      <c r="CK29">
        <f>RANK(CK28,$B$28:$GQ$28,0)+COUNTIF($B$28:CK28,CK28)-1</f>
        <v>109</v>
      </c>
      <c r="CL29">
        <f>RANK(CL28,$B$28:$GQ$28,0)+COUNTIF($B$28:CL28,CL28)-1</f>
        <v>65</v>
      </c>
      <c r="CM29">
        <f>RANK(CM28,$B$28:$GQ$28,0)+COUNTIF($B$28:CM28,CM28)-1</f>
        <v>25</v>
      </c>
      <c r="CN29">
        <f>RANK(CN28,$B$28:$GQ$28,0)+COUNTIF($B$28:CN28,CN28)-1</f>
        <v>175</v>
      </c>
      <c r="CO29">
        <f>RANK(CO28,$B$28:$GQ$28,0)+COUNTIF($B$28:CO28,CO28)-1</f>
        <v>176</v>
      </c>
      <c r="CP29">
        <f>RANK(CP28,$B$28:$GQ$28,0)+COUNTIF($B$28:CP28,CP28)-1</f>
        <v>95</v>
      </c>
      <c r="CQ29">
        <f>RANK(CQ28,$B$28:$GQ$28,0)+COUNTIF($B$28:CQ28,CQ28)-1</f>
        <v>92</v>
      </c>
      <c r="CR29">
        <f>RANK(CR28,$B$28:$GQ$28,0)+COUNTIF($B$28:CR28,CR28)-1</f>
        <v>177</v>
      </c>
      <c r="CS29">
        <f>RANK(CS28,$B$28:$GQ$28,0)+COUNTIF($B$28:CS28,CS28)-1</f>
        <v>178</v>
      </c>
      <c r="CT29">
        <f>RANK(CT28,$B$28:$GQ$28,0)+COUNTIF($B$28:CT28,CT28)-1</f>
        <v>179</v>
      </c>
      <c r="CU29">
        <f>RANK(CU28,$B$28:$GQ$28,0)+COUNTIF($B$28:CU28,CU28)-1</f>
        <v>70</v>
      </c>
      <c r="CV29">
        <f>RANK(CV28,$B$28:$GQ$28,0)+COUNTIF($B$28:CV28,CV28)-1</f>
        <v>122</v>
      </c>
      <c r="CW29">
        <f>RANK(CW28,$B$28:$GQ$28,0)+COUNTIF($B$28:CW28,CW28)-1</f>
        <v>113</v>
      </c>
      <c r="CX29">
        <f>RANK(CX28,$B$28:$GQ$28,0)+COUNTIF($B$28:CX28,CX28)-1</f>
        <v>123</v>
      </c>
      <c r="CY29">
        <f>RANK(CY28,$B$28:$GQ$28,0)+COUNTIF($B$28:CY28,CY28)-1</f>
        <v>76</v>
      </c>
      <c r="CZ29">
        <f>RANK(CZ28,$B$28:$GQ$28,0)+COUNTIF($B$28:CZ28,CZ28)-1</f>
        <v>132</v>
      </c>
      <c r="DA29">
        <f>RANK(DA28,$B$28:$GQ$28,0)+COUNTIF($B$28:DA28,DA28)-1</f>
        <v>133</v>
      </c>
      <c r="DB29">
        <f>RANK(DB28,$B$28:$GQ$28,0)+COUNTIF($B$28:DB28,DB28)-1</f>
        <v>119</v>
      </c>
      <c r="DC29">
        <f>RANK(DC28,$B$28:$GQ$28,0)+COUNTIF($B$28:DC28,DC28)-1</f>
        <v>180</v>
      </c>
      <c r="DD29">
        <f>RANK(DD28,$B$28:$GQ$28,0)+COUNTIF($B$28:DD28,DD28)-1</f>
        <v>124</v>
      </c>
      <c r="DE29">
        <f>RANK(DE28,$B$28:$GQ$28,0)+COUNTIF($B$28:DE28,DE28)-1</f>
        <v>128</v>
      </c>
      <c r="DF29">
        <f>RANK(DF28,$B$28:$GQ$28,0)+COUNTIF($B$28:DF28,DF28)-1</f>
        <v>181</v>
      </c>
      <c r="DG29">
        <f>RANK(DG28,$B$28:$GQ$28,0)+COUNTIF($B$28:DG28,DG28)-1</f>
        <v>182</v>
      </c>
      <c r="DH29">
        <f>RANK(DH28,$B$28:$GQ$28,0)+COUNTIF($B$28:DH28,DH28)-1</f>
        <v>183</v>
      </c>
      <c r="DI29">
        <f>RANK(DI28,$B$28:$GQ$28,0)+COUNTIF($B$28:DI28,DI28)-1</f>
        <v>184</v>
      </c>
      <c r="DJ29">
        <f>RANK(DJ28,$B$28:$GQ$28,0)+COUNTIF($B$28:DJ28,DJ28)-1</f>
        <v>115</v>
      </c>
      <c r="DK29">
        <f>RANK(DK28,$B$28:$GQ$28,0)+COUNTIF($B$28:DK28,DK28)-1</f>
        <v>185</v>
      </c>
      <c r="DL29">
        <f>RANK(DL28,$B$28:$GQ$28,0)+COUNTIF($B$28:DL28,DL28)-1</f>
        <v>130</v>
      </c>
      <c r="DM29">
        <f>RANK(DM28,$B$28:$GQ$28,0)+COUNTIF($B$28:DM28,DM28)-1</f>
        <v>60</v>
      </c>
      <c r="DN29">
        <f>RANK(DN28,$B$28:$GQ$28,0)+COUNTIF($B$28:DN28,DN28)-1</f>
        <v>85</v>
      </c>
      <c r="DO29">
        <f>RANK(DO28,$B$28:$GQ$28,0)+COUNTIF($B$28:DO28,DO28)-1</f>
        <v>55</v>
      </c>
      <c r="DP29">
        <f>RANK(DP28,$B$28:$GQ$28,0)+COUNTIF($B$28:DP28,DP28)-1</f>
        <v>67</v>
      </c>
      <c r="DQ29">
        <f>RANK(DQ28,$B$28:$GQ$28,0)+COUNTIF($B$28:DQ28,DQ28)-1</f>
        <v>59</v>
      </c>
      <c r="DR29">
        <f>RANK(DR28,$B$28:$GQ$28,0)+COUNTIF($B$28:DR28,DR28)-1</f>
        <v>62</v>
      </c>
      <c r="DS29">
        <f>RANK(DS28,$B$28:$GQ$28,0)+COUNTIF($B$28:DS28,DS28)-1</f>
        <v>23</v>
      </c>
      <c r="DT29">
        <f>RANK(DT28,$B$28:$GQ$28,0)+COUNTIF($B$28:DT28,DT28)-1</f>
        <v>71</v>
      </c>
      <c r="DU29">
        <f>RANK(DU28,$B$28:$GQ$28,0)+COUNTIF($B$28:DU28,DU28)-1</f>
        <v>28</v>
      </c>
      <c r="DV29">
        <f>RANK(DV28,$B$28:$GQ$28,0)+COUNTIF($B$28:DV28,DV28)-1</f>
        <v>186</v>
      </c>
      <c r="DW29">
        <f>RANK(DW28,$B$28:$GQ$28,0)+COUNTIF($B$28:DW28,DW28)-1</f>
        <v>187</v>
      </c>
      <c r="DX29">
        <f>RANK(DX28,$B$28:$GQ$28,0)+COUNTIF($B$28:DX28,DX28)-1</f>
        <v>84</v>
      </c>
      <c r="DY29">
        <f>RANK(DY28,$B$28:$GQ$28,0)+COUNTIF($B$28:DY28,DY28)-1</f>
        <v>88</v>
      </c>
      <c r="DZ29">
        <f>RANK(DZ28,$B$28:$GQ$28,0)+COUNTIF($B$28:DZ28,DZ28)-1</f>
        <v>52</v>
      </c>
      <c r="EA29">
        <f>RANK(EA28,$B$28:$GQ$28,0)+COUNTIF($B$28:EA28,EA28)-1</f>
        <v>78</v>
      </c>
      <c r="EB29">
        <f>RANK(EB28,$B$28:$GQ$28,0)+COUNTIF($B$28:EB28,EB28)-1</f>
        <v>102</v>
      </c>
      <c r="EC29">
        <f>RANK(EC28,$B$28:$GQ$28,0)+COUNTIF($B$28:EC28,EC28)-1</f>
        <v>104</v>
      </c>
      <c r="ED29">
        <f>RANK(ED28,$B$28:$GQ$28,0)+COUNTIF($B$28:ED28,ED28)-1</f>
        <v>103</v>
      </c>
      <c r="EE29">
        <f>RANK(EE28,$B$28:$GQ$28,0)+COUNTIF($B$28:EE28,EE28)-1</f>
        <v>116</v>
      </c>
      <c r="EF29">
        <f>RANK(EF28,$B$28:$GQ$28,0)+COUNTIF($B$28:EF28,EF28)-1</f>
        <v>188</v>
      </c>
      <c r="EG29">
        <f>RANK(EG28,$B$28:$GQ$28,0)+COUNTIF($B$28:EG28,EG28)-1</f>
        <v>118</v>
      </c>
      <c r="EH29">
        <f>RANK(EH28,$B$28:$GQ$28,0)+COUNTIF($B$28:EH28,EH28)-1</f>
        <v>189</v>
      </c>
      <c r="EI29">
        <f>RANK(EI28,$B$28:$GQ$28,0)+COUNTIF($B$28:EI28,EI28)-1</f>
        <v>190</v>
      </c>
      <c r="EJ29">
        <f>RANK(EJ28,$B$28:$GQ$28,0)+COUNTIF($B$28:EJ28,EJ28)-1</f>
        <v>79</v>
      </c>
      <c r="EK29">
        <f>RANK(EK28,$B$28:$GQ$28,0)+COUNTIF($B$28:EK28,EK28)-1</f>
        <v>69</v>
      </c>
      <c r="EL29">
        <f>RANK(EL28,$B$28:$GQ$28,0)+COUNTIF($B$28:EL28,EL28)-1</f>
        <v>191</v>
      </c>
      <c r="EM29">
        <f>RANK(EM28,$B$28:$GQ$28,0)+COUNTIF($B$28:EM28,EM28)-1</f>
        <v>192</v>
      </c>
      <c r="EN29">
        <f>RANK(EN28,$B$28:$GQ$28,0)+COUNTIF($B$28:EN28,EN28)-1</f>
        <v>193</v>
      </c>
      <c r="EO29">
        <f>RANK(EO28,$B$28:$GQ$28,0)+COUNTIF($B$28:EO28,EO28)-1</f>
        <v>194</v>
      </c>
      <c r="EP29">
        <f>RANK(EP28,$B$28:$GQ$28,0)+COUNTIF($B$28:EP28,EP28)-1</f>
        <v>195</v>
      </c>
      <c r="EQ29">
        <f>RANK(EQ28,$B$28:$GQ$28,0)+COUNTIF($B$28:EQ28,EQ28)-1</f>
        <v>53</v>
      </c>
      <c r="ER29">
        <f>RANK(ER28,$B$28:$GQ$28,0)+COUNTIF($B$28:ER28,ER28)-1</f>
        <v>61</v>
      </c>
      <c r="ES29">
        <f>RANK(ES28,$B$28:$GQ$28,0)+COUNTIF($B$28:ES28,ES28)-1</f>
        <v>72</v>
      </c>
      <c r="ET29">
        <f>RANK(ET28,$B$28:$GQ$28,0)+COUNTIF($B$28:ET28,ET28)-1</f>
        <v>56</v>
      </c>
      <c r="EU29">
        <f>RANK(EU28,$B$28:$GQ$28,0)+COUNTIF($B$28:EU28,EU28)-1</f>
        <v>196</v>
      </c>
      <c r="EV29">
        <f>RANK(EV28,$B$28:$GQ$28,0)+COUNTIF($B$28:EV28,EV28)-1</f>
        <v>51</v>
      </c>
      <c r="EW29">
        <f>RANK(EW28,$B$28:$GQ$28,0)+COUNTIF($B$28:EW28,EW28)-1</f>
        <v>80</v>
      </c>
      <c r="EX29">
        <f>RANK(EX28,$B$28:$GQ$28,0)+COUNTIF($B$28:EX28,EX28)-1</f>
        <v>63</v>
      </c>
      <c r="EY29">
        <f>RANK(EY28,$B$28:$GQ$28,0)+COUNTIF($B$28:EY28,EY28)-1</f>
        <v>74</v>
      </c>
      <c r="EZ29">
        <f>RANK(EZ28,$B$28:$GQ$28,0)+COUNTIF($B$28:EZ28,EZ28)-1</f>
        <v>6</v>
      </c>
      <c r="FA29">
        <f>RANK(FA28,$B$28:$GQ$28,0)+COUNTIF($B$28:FA28,FA28)-1</f>
        <v>40</v>
      </c>
      <c r="FB29">
        <f>RANK(FB28,$B$28:$GQ$28,0)+COUNTIF($B$28:FB28,FB28)-1</f>
        <v>34</v>
      </c>
      <c r="FC29">
        <f>RANK(FC28,$B$28:$GQ$28,0)+COUNTIF($B$28:FC28,FC28)-1</f>
        <v>81</v>
      </c>
      <c r="FD29">
        <f>RANK(FD28,$B$28:$GQ$28,0)+COUNTIF($B$28:FD28,FD28)-1</f>
        <v>46</v>
      </c>
      <c r="FE29">
        <f>RANK(FE28,$B$28:$GQ$28,0)+COUNTIF($B$28:FE28,FE28)-1</f>
        <v>58</v>
      </c>
      <c r="FF29">
        <f>RANK(FF28,$B$28:$GQ$28,0)+COUNTIF($B$28:FF28,FF28)-1</f>
        <v>27</v>
      </c>
      <c r="FG29">
        <f>RANK(FG28,$B$28:$GQ$28,0)+COUNTIF($B$28:FG28,FG28)-1</f>
        <v>49</v>
      </c>
      <c r="FH29">
        <f>RANK(FH28,$B$28:$GQ$28,0)+COUNTIF($B$28:FH28,FH28)-1</f>
        <v>35</v>
      </c>
      <c r="FI29">
        <f>RANK(FI28,$B$28:$GQ$28,0)+COUNTIF($B$28:FI28,FI28)-1</f>
        <v>50</v>
      </c>
      <c r="FJ29">
        <f>RANK(FJ28,$B$28:$GQ$28,0)+COUNTIF($B$28:FJ28,FJ28)-1</f>
        <v>33</v>
      </c>
      <c r="FK29">
        <f>RANK(FK28,$B$28:$GQ$28,0)+COUNTIF($B$28:FK28,FK28)-1</f>
        <v>197</v>
      </c>
      <c r="FL29">
        <f>RANK(FL28,$B$28:$GQ$28,0)+COUNTIF($B$28:FL28,FL28)-1</f>
        <v>14</v>
      </c>
      <c r="FM29">
        <f>RANK(FM28,$B$28:$GQ$28,0)+COUNTIF($B$28:FM28,FM28)-1</f>
        <v>75</v>
      </c>
      <c r="FN29">
        <f>RANK(FN28,$B$28:$GQ$28,0)+COUNTIF($B$28:FN28,FN28)-1</f>
        <v>111</v>
      </c>
      <c r="FO29">
        <f>RANK(FO28,$B$28:$GQ$28,0)+COUNTIF($B$28:FO28,FO28)-1</f>
        <v>32</v>
      </c>
      <c r="FP29">
        <f>RANK(FP28,$B$28:$GQ$28,0)+COUNTIF($B$28:FP28,FP28)-1</f>
        <v>48</v>
      </c>
      <c r="FQ29">
        <f>RANK(FQ28,$B$28:$GQ$28,0)+COUNTIF($B$28:FQ28,FQ28)-1</f>
        <v>12</v>
      </c>
      <c r="FR29">
        <f>RANK(FR28,$B$28:$GQ$28,0)+COUNTIF($B$28:FR28,FR28)-1</f>
        <v>16</v>
      </c>
      <c r="FS29">
        <f>RANK(FS28,$B$28:$GQ$28,0)+COUNTIF($B$28:FS28,FS28)-1</f>
        <v>10</v>
      </c>
      <c r="FT29">
        <f>RANK(FT28,$B$28:$GQ$28,0)+COUNTIF($B$28:FT28,FT28)-1</f>
        <v>91</v>
      </c>
      <c r="FU29">
        <f>RANK(FU28,$B$28:$GQ$28,0)+COUNTIF($B$28:FU28,FU28)-1</f>
        <v>89</v>
      </c>
      <c r="FV29">
        <f>RANK(FV28,$B$28:$GQ$28,0)+COUNTIF($B$28:FV28,FV28)-1</f>
        <v>98</v>
      </c>
      <c r="FW29">
        <f>RANK(FW28,$B$28:$GQ$28,0)+COUNTIF($B$28:FW28,FW28)-1</f>
        <v>86</v>
      </c>
      <c r="FX29">
        <f>RANK(FX28,$B$28:$GQ$28,0)+COUNTIF($B$28:FX28,FX28)-1</f>
        <v>108</v>
      </c>
      <c r="FY29">
        <f>RANK(FY28,$B$28:$GQ$28,0)+COUNTIF($B$28:FY28,FY28)-1</f>
        <v>106</v>
      </c>
      <c r="FZ29">
        <f>RANK(FZ28,$B$28:$GQ$28,0)+COUNTIF($B$28:FZ28,FZ28)-1</f>
        <v>87</v>
      </c>
      <c r="GA29">
        <f>RANK(GA28,$B$28:$GQ$28,0)+COUNTIF($B$28:GA28,GA28)-1</f>
        <v>112</v>
      </c>
      <c r="GB29">
        <f>RANK(GB28,$B$28:$GQ$28,0)+COUNTIF($B$28:GB28,GB28)-1</f>
        <v>125</v>
      </c>
      <c r="GC29">
        <f>RANK(GC28,$B$28:$GQ$28,0)+COUNTIF($B$28:GC28,GC28)-1</f>
        <v>90</v>
      </c>
      <c r="GD29">
        <f>RANK(GD28,$B$28:$GQ$28,0)+COUNTIF($B$28:GD28,GD28)-1</f>
        <v>97</v>
      </c>
      <c r="GE29">
        <f>RANK(GE28,$B$28:$GQ$28,0)+COUNTIF($B$28:GE28,GE28)-1</f>
        <v>121</v>
      </c>
      <c r="GF29">
        <f>RANK(GF28,$B$28:$GQ$28,0)+COUNTIF($B$28:GF28,GF28)-1</f>
        <v>101</v>
      </c>
      <c r="GG29">
        <f>RANK(GG28,$B$28:$GQ$28,0)+COUNTIF($B$28:GG28,GG28)-1</f>
        <v>94</v>
      </c>
      <c r="GH29">
        <f>RANK(GH28,$B$28:$GQ$28,0)+COUNTIF($B$28:GH28,GH28)-1</f>
        <v>96</v>
      </c>
      <c r="GI29">
        <f>RANK(GI28,$B$28:$GQ$28,0)+COUNTIF($B$28:GI28,GI28)-1</f>
        <v>99</v>
      </c>
      <c r="GJ29">
        <f>RANK(GJ28,$B$28:$GQ$28,0)+COUNTIF($B$28:GJ28,GJ28)-1</f>
        <v>110</v>
      </c>
      <c r="GK29">
        <f>RANK(GK28,$B$28:$GQ$28,0)+COUNTIF($B$28:GK28,GK28)-1</f>
        <v>83</v>
      </c>
      <c r="GL29">
        <f>RANK(GL28,$B$28:$GQ$28,0)+COUNTIF($B$28:GL28,GL28)-1</f>
        <v>114</v>
      </c>
      <c r="GM29">
        <f>RANK(GM28,$B$28:$GQ$28,0)+COUNTIF($B$28:GM28,GM28)-1</f>
        <v>107</v>
      </c>
      <c r="GN29">
        <f>RANK(GN28,$B$28:$GQ$28,0)+COUNTIF($B$28:GN28,GN28)-1</f>
        <v>36</v>
      </c>
      <c r="GO29">
        <f>RANK(GO28,$B$28:$GQ$28,0)+COUNTIF($B$28:GO28,GO28)-1</f>
        <v>15</v>
      </c>
      <c r="GP29">
        <f>RANK(GP28,$B$28:$GQ$28,0)+COUNTIF($B$28:GP28,GP28)-1</f>
        <v>42</v>
      </c>
      <c r="GQ29">
        <f>RANK(GQ28,$B$28:$GQ$28,0)+COUNTIF($B$28:GQ28,GQ28)-1</f>
        <v>198</v>
      </c>
    </row>
    <row r="30" spans="1:211" x14ac:dyDescent="0.45">
      <c r="A30" s="1" t="s">
        <v>223</v>
      </c>
      <c r="GR30">
        <f>RANK(GR28,$GR$28:$HC$28,0)+COUNTIF($GR$28:GR28,GR28)-1</f>
        <v>2</v>
      </c>
      <c r="GS30">
        <f>RANK(GS28,$GR$28:$HC$28,0)+COUNTIF($GR$28:GS28,GS28)-1</f>
        <v>5</v>
      </c>
      <c r="GT30">
        <f>RANK(GT28,$GR$28:$HC$28,0)+COUNTIF($GR$28:GT28,GT28)-1</f>
        <v>3</v>
      </c>
      <c r="GU30">
        <f>RANK(GU28,$GR$28:$HC$28,0)+COUNTIF($GR$28:GU28,GU28)-1</f>
        <v>7</v>
      </c>
      <c r="GV30">
        <f>RANK(GV28,$GR$28:$HC$28,0)+COUNTIF($GR$28:GV28,GV28)-1</f>
        <v>8</v>
      </c>
      <c r="GW30">
        <f>RANK(GW28,$GR$28:$HC$28,0)+COUNTIF($GR$28:GW28,GW28)-1</f>
        <v>1</v>
      </c>
      <c r="GX30">
        <f>RANK(GX28,$GR$28:$HC$28,0)+COUNTIF($GR$28:GX28,GX28)-1</f>
        <v>9</v>
      </c>
      <c r="GY30">
        <f>RANK(GY28,$GR$28:$HC$28,0)+COUNTIF($GR$28:GY28,GY28)-1</f>
        <v>10</v>
      </c>
      <c r="GZ30">
        <f>RANK(GZ28,$GR$28:$HC$28,0)+COUNTIF($GR$28:GZ28,GZ28)-1</f>
        <v>11</v>
      </c>
      <c r="HA30">
        <f>RANK(HA28,$GR$28:$HC$28,0)+COUNTIF($GR$28:HA28,HA28)-1</f>
        <v>12</v>
      </c>
      <c r="HB30">
        <f>RANK(HB28,$GR$28:$HC$28,0)+COUNTIF($GR$28:HB28,HB28)-1</f>
        <v>6</v>
      </c>
      <c r="HC30">
        <f>RANK(HC28,$GR$28:$HC$28,0)+COUNTIF($GR$28:HC28,HC28)-1</f>
        <v>4</v>
      </c>
    </row>
  </sheetData>
  <dataValidations count="1">
    <dataValidation type="list" sqref="B1" xr:uid="{00000000-0002-0000-0300-000000000000}">
      <formula1>$A$18:$A$27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46" customWidth="1"/>
  </cols>
  <sheetData>
    <row r="1" spans="1:211" x14ac:dyDescent="0.45">
      <c r="A1" s="1" t="s">
        <v>0</v>
      </c>
      <c r="B1" s="2" t="s">
        <v>1</v>
      </c>
    </row>
    <row r="3" spans="1:211" x14ac:dyDescent="0.45">
      <c r="A3" s="1" t="s">
        <v>227</v>
      </c>
      <c r="B3" s="1" t="str">
        <f>INDEX($B$17:$GQ$17,MATCH(1,$B$29:$GQ$29,0))</f>
        <v>Real estate services (70)</v>
      </c>
      <c r="C3" s="1" t="str">
        <f>INDEX($B$17:$GQ$17,MATCH(2,$B$29:$GQ$29,0))</f>
        <v>Public administration and defence services; compulsory social security services (75)</v>
      </c>
      <c r="D3" s="1" t="str">
        <f>INDEX($B$17:$GQ$17,MATCH(3,$B$29:$GQ$29,0))</f>
        <v>Health and social work services (85)</v>
      </c>
      <c r="E3" s="1" t="str">
        <f>INDEX($B$17:$GQ$17,MATCH(4,$B$29:$GQ$29,0))</f>
        <v>Other land transportation services</v>
      </c>
      <c r="F3" s="1" t="str">
        <f>INDEX($B$17:$GQ$17,MATCH(5,$B$29:$GQ$29,0))</f>
        <v>Air transport services (62)</v>
      </c>
      <c r="G3" s="1" t="str">
        <f>INDEX($B$17:$GQ$17,MATCH(6,$B$29:$GQ$29,0))</f>
        <v>Motor vehicles, trailers and semi-trailers (34)</v>
      </c>
      <c r="H3" s="1" t="str">
        <f>INDEX($B$17:$GQ$17,MATCH(7,$B$29:$GQ$29,0))</f>
        <v>Plastics, basic</v>
      </c>
      <c r="I3" s="1" t="str">
        <f>INDEX($B$17:$GQ$17,MATCH(8,$B$29:$GQ$29,0))</f>
        <v>Recreational, cultural and sporting services (92)</v>
      </c>
      <c r="J3" s="1" t="str">
        <f>INDEX($B$17:$GQ$17,MATCH(9,$B$29:$GQ$29,0))</f>
        <v>Products of meat cattle</v>
      </c>
      <c r="K3" s="1" t="str">
        <f>INDEX($B$17:$GQ$17,MATCH(10,$B$29:$GQ$29,0))</f>
        <v>Food products nec</v>
      </c>
      <c r="L3" s="1" t="str">
        <f>INDEX($B$17:$GQ$17,MATCH(11,$B$29:$GQ$29,0))</f>
        <v>Radio, television and communication equipment and apparatus (32)</v>
      </c>
      <c r="M3" s="1" t="str">
        <f>INDEX($B$17:$GQ$17,MATCH(12,$B$29:$GQ$29,0))</f>
        <v>Dairy products</v>
      </c>
      <c r="N3" s="1" t="str">
        <f>INDEX($B$17:$GQ$17,MATCH(13,$B$29:$GQ$29,0))</f>
        <v>Education services (80)</v>
      </c>
      <c r="O3" s="1" t="str">
        <f>INDEX($B$17:$GQ$17,MATCH(14,$B$29:$GQ$29,0))</f>
        <v>Gas/Diesel Oil</v>
      </c>
      <c r="P3" s="1" t="str">
        <f>INDEX($B$17:$GQ$17,MATCH(15,$B$29:$GQ$29,0))</f>
        <v>Electrical machinery and apparatus n.e.c. (31)</v>
      </c>
      <c r="Q3" s="1" t="str">
        <f>INDEX($B$17:$GQ$17,MATCH(16,$B$29:$GQ$29,0))</f>
        <v>Hotel and restaurant services (55)</v>
      </c>
      <c r="R3" s="1" t="str">
        <f>INDEX($B$17:$GQ$17,MATCH(17,$B$29:$GQ$29,0))</f>
        <v>Meat products nec</v>
      </c>
      <c r="S3" s="1" t="str">
        <f>INDEX($B$17:$GQ$17,MATCH(18,$B$29:$GQ$29,0))</f>
        <v>Motor Gasoline</v>
      </c>
      <c r="T3" s="1" t="str">
        <f>INDEX($B$17:$GQ$17,MATCH(19,$B$29:$GQ$29,0))</f>
        <v>Other transport equipment (35)</v>
      </c>
      <c r="U3" s="1" t="str">
        <f>INDEX($B$17:$GQ$17,MATCH(20,$B$29:$GQ$29,0))</f>
        <v>Supporting and auxiliary transport services; travel agency services (63)</v>
      </c>
      <c r="V3" s="1" t="str">
        <f>INDEX($B$17:$GQ$17,MATCH(21,$B$29:$GQ$29,0))</f>
        <v>Steam and hot water supply services</v>
      </c>
      <c r="W3" s="1" t="str">
        <f>INDEX($B$17:$GQ$17,MATCH(22,$B$29:$GQ$29,0))</f>
        <v>Wearing apparel; furs (18)</v>
      </c>
      <c r="X3" s="1" t="str">
        <f>INDEX($B$17:$GQ$17,MATCH(23,$B$29:$GQ$29,0))</f>
        <v>Inland water transportation services</v>
      </c>
      <c r="Y3" s="1" t="str">
        <f>INDEX($B$17:$GQ$17,MATCH(24,$B$29:$GQ$29,0))</f>
        <v>Sea and coastal water transportation services</v>
      </c>
      <c r="Z3" s="1" t="str">
        <f>INDEX($B$17:$GQ$17,MATCH(25,$B$29:$GQ$29,0))</f>
        <v>Railway transportation services</v>
      </c>
      <c r="AA3" s="1" t="str">
        <f>INDEX($B$17:$GQ$17,MATCH(26,$B$29:$GQ$29,0))</f>
        <v>Products of meat poultry</v>
      </c>
      <c r="AB3" s="1" t="str">
        <f>INDEX($B$17:$GQ$17,MATCH(27,$B$29:$GQ$29,0))</f>
        <v>Insurance and pension funding services, except compulsory social security services (66)</v>
      </c>
      <c r="AC3" s="1" t="str">
        <f>INDEX($B$17:$GQ$17,MATCH(28,$B$29:$GQ$29,0))</f>
        <v>Research and development services (73)</v>
      </c>
      <c r="AD3" s="1" t="str">
        <f>INDEX($B$17:$GQ$17,MATCH(29,$B$29:$GQ$29,0))</f>
        <v>Furniture; other manufactured goods n.e.c. (36)</v>
      </c>
      <c r="AE3" s="1" t="str">
        <f>INDEX($B$17:$GQ$17,MATCH(30,$B$29:$GQ$29,0))</f>
        <v>Post and telecommunication services (64)</v>
      </c>
      <c r="AF3" s="1" t="str">
        <f>INDEX($B$17:$GQ$17,MATCH(31,$B$29:$GQ$29,0))</f>
        <v>Distribution services of gaseous fuels through mains</v>
      </c>
      <c r="AG3" s="1" t="str">
        <f>INDEX($B$17:$GQ$17,MATCH(32,$B$29:$GQ$29,0))</f>
        <v>Chemicals nec</v>
      </c>
      <c r="AH3" s="1" t="str">
        <f>INDEX($B$17:$GQ$17,MATCH(33,$B$29:$GQ$29,0))</f>
        <v>Beverages</v>
      </c>
      <c r="AI3" s="1" t="str">
        <f>INDEX($B$17:$GQ$17,MATCH(34,$B$29:$GQ$29,0))</f>
        <v>Food waste for treatment: landfill</v>
      </c>
      <c r="AJ3" s="1" t="str">
        <f>INDEX($B$17:$GQ$17,MATCH(35,$B$29:$GQ$29,0))</f>
        <v>Membership organisation services n.e.c. (91)</v>
      </c>
      <c r="AK3" s="1" t="str">
        <f>INDEX($B$17:$GQ$17,MATCH(36,$B$29:$GQ$29,0))</f>
        <v>Vegetables, fruit, nuts</v>
      </c>
      <c r="AL3" s="1" t="str">
        <f>INDEX($B$17:$GQ$17,MATCH(37,$B$29:$GQ$29,0))</f>
        <v>Electricity by nuclear</v>
      </c>
      <c r="AM3" s="1" t="str">
        <f>INDEX($B$17:$GQ$17,MATCH(38,$B$29:$GQ$29,0))</f>
        <v>Wheat</v>
      </c>
      <c r="AN3" s="1" t="str">
        <f>INDEX($B$17:$GQ$17,MATCH(39,$B$29:$GQ$29,0))</f>
        <v>Medical, precision and optical instruments, watches and clocks (33)</v>
      </c>
      <c r="AO3" s="1" t="str">
        <f>INDEX($B$17:$GQ$17,MATCH(40,$B$29:$GQ$29,0))</f>
        <v>Fish and other fishing products; services incidental of fishing (05)</v>
      </c>
      <c r="AP3" s="1" t="str">
        <f>INDEX($B$17:$GQ$17,MATCH(41,$B$29:$GQ$29,0))</f>
        <v>Products of meat pigs</v>
      </c>
      <c r="AQ3" s="1" t="str">
        <f>INDEX($B$17:$GQ$17,MATCH(42,$B$29:$GQ$29,0))</f>
        <v>Poultry</v>
      </c>
      <c r="AR3" s="1" t="str">
        <f>INDEX($B$17:$GQ$17,MATCH(43,$B$29:$GQ$29,0))</f>
        <v>Wood and products of wood and cork (except furniture); articles of straw and plaiting materials (20)</v>
      </c>
      <c r="AS3" s="1" t="str">
        <f>INDEX($B$17:$GQ$17,MATCH(44,$B$29:$GQ$29,0))</f>
        <v>Meat animals nec</v>
      </c>
      <c r="AT3" s="1" t="str">
        <f>INDEX($B$17:$GQ$17,MATCH(45,$B$29:$GQ$29,0))</f>
        <v>Sale, maintenance, repair of motor vehicles, motor vehicles parts, motorcycles, motor cycles parts and accessoiries</v>
      </c>
      <c r="AU3" s="1" t="str">
        <f>INDEX($B$17:$GQ$17,MATCH(46,$B$29:$GQ$29,0))</f>
        <v>Electricity by coal</v>
      </c>
      <c r="AV3" s="1" t="str">
        <f>INDEX($B$17:$GQ$17,MATCH(47,$B$29:$GQ$29,0))</f>
        <v>Financial intermediation services, except insurance and pension funding services (65)</v>
      </c>
      <c r="AW3" s="1" t="str">
        <f>INDEX($B$17:$GQ$17,MATCH(48,$B$29:$GQ$29,0))</f>
        <v>Construction work (45)</v>
      </c>
      <c r="AX3" s="1" t="str">
        <f>INDEX($B$17:$GQ$17,MATCH(49,$B$29:$GQ$29,0))</f>
        <v>Other business services (74)</v>
      </c>
      <c r="AY3" s="1" t="str">
        <f>INDEX($B$17:$GQ$17,MATCH(50,$B$29:$GQ$29,0))</f>
        <v>Fish products</v>
      </c>
      <c r="AZ3" s="1" t="str">
        <f>INDEX($B$17:$GQ$17,MATCH(51,$B$29:$GQ$29,0))</f>
        <v>Oil seeds</v>
      </c>
      <c r="BA3" s="1" t="str">
        <f>INDEX($B$17:$GQ$17,MATCH(52,$B$29:$GQ$29,0))</f>
        <v>Fabricated metal products, except machinery and equipment (28)</v>
      </c>
      <c r="BB3" s="1" t="str">
        <f>INDEX($B$17:$GQ$17,MATCH(53,$B$29:$GQ$29,0))</f>
        <v>Printed matter and recorded media (22)</v>
      </c>
      <c r="BC3" s="1" t="str">
        <f>INDEX($B$17:$GQ$17,MATCH(54,$B$29:$GQ$29,0))</f>
        <v>Leather and leather products (19)</v>
      </c>
      <c r="BD3" s="1" t="str">
        <f>INDEX($B$17:$GQ$17,MATCH(55,$B$29:$GQ$29,0))</f>
        <v>Other services (93)</v>
      </c>
      <c r="BE3" s="1" t="str">
        <f>INDEX($B$17:$GQ$17,MATCH(56,$B$29:$GQ$29,0))</f>
        <v>Paper for treatment: landfill</v>
      </c>
      <c r="BF3" s="1" t="str">
        <f>INDEX($B$17:$GQ$17,MATCH(57,$B$29:$GQ$29,0))</f>
        <v>Paper and paper products</v>
      </c>
      <c r="BG3" s="1" t="str">
        <f>INDEX($B$17:$GQ$17,MATCH(58,$B$29:$GQ$29,0))</f>
        <v>Wholesale trade and commission trade services, except of motor vehicles and motorcycles (51)</v>
      </c>
      <c r="BH3" s="1" t="str">
        <f>INDEX($B$17:$GQ$17,MATCH(59,$B$29:$GQ$29,0))</f>
        <v>Products of forestry, logging and related services (02)</v>
      </c>
      <c r="BI3" s="1" t="str">
        <f>INDEX($B$17:$GQ$17,MATCH(60,$B$29:$GQ$29,0))</f>
        <v>Collected and purified water, distribution services of water (41)</v>
      </c>
      <c r="BJ3" s="1" t="str">
        <f>INDEX($B$17:$GQ$17,MATCH(61,$B$29:$GQ$29,0))</f>
        <v>Transportation services via pipelines</v>
      </c>
      <c r="BK3" s="1" t="str">
        <f>INDEX($B$17:$GQ$17,MATCH(62,$B$29:$GQ$29,0))</f>
        <v>Natural gas and services related to natural gas extraction, excluding surveying</v>
      </c>
      <c r="BL3" s="1" t="str">
        <f>INDEX($B$17:$GQ$17,MATCH(63,$B$29:$GQ$29,0))</f>
        <v>Electricity by gas</v>
      </c>
      <c r="BM3" s="1" t="str">
        <f>INDEX($B$17:$GQ$17,MATCH(64,$B$29:$GQ$29,0))</f>
        <v>Distribution and trade services of electricity</v>
      </c>
      <c r="BN3" s="1" t="str">
        <f>INDEX($B$17:$GQ$17,MATCH(65,$B$29:$GQ$29,0))</f>
        <v>Secondary plastic for treatment, Re-processing of secondary plastic into new plastic</v>
      </c>
      <c r="BO3" s="1" t="str">
        <f>INDEX($B$17:$GQ$17,MATCH(66,$B$29:$GQ$29,0))</f>
        <v>Ceramic goods</v>
      </c>
      <c r="BP3" s="1" t="str">
        <f>INDEX($B$17:$GQ$17,MATCH(67,$B$29:$GQ$29,0))</f>
        <v>Other waste for treatment: waste water treatment</v>
      </c>
      <c r="BQ3" s="1" t="str">
        <f>INDEX($B$17:$GQ$17,MATCH(68,$B$29:$GQ$29,0))</f>
        <v>Other non-metallic mineral products</v>
      </c>
      <c r="BR3" s="1" t="str">
        <f>INDEX($B$17:$GQ$17,MATCH(69,$B$29:$GQ$29,0))</f>
        <v>Retail  trade services, except of motor vehicles and motorcycles; repair services of personal and household goods (52)</v>
      </c>
      <c r="BS3" s="1" t="str">
        <f>INDEX($B$17:$GQ$17,MATCH(70,$B$29:$GQ$29,0))</f>
        <v>Textiles (17)</v>
      </c>
      <c r="BT3" s="1" t="str">
        <f>INDEX($B$17:$GQ$17,MATCH(71,$B$29:$GQ$29,0))</f>
        <v>Food waste for treatment: composting and land application</v>
      </c>
      <c r="BU3" s="1" t="str">
        <f>INDEX($B$17:$GQ$17,MATCH(72,$B$29:$GQ$29,0))</f>
        <v>Raw milk</v>
      </c>
      <c r="BV3" s="1" t="str">
        <f>INDEX($B$17:$GQ$17,MATCH(73,$B$29:$GQ$29,0))</f>
        <v>Renting services of machinery and equipment without operator and of personal and household goods (71)</v>
      </c>
      <c r="BW3" s="1" t="str">
        <f>INDEX($B$17:$GQ$17,MATCH(74,$B$29:$GQ$29,0))</f>
        <v>Electricity by hydro</v>
      </c>
      <c r="BX3" s="1" t="str">
        <f>INDEX($B$17:$GQ$17,MATCH(75,$B$29:$GQ$29,0))</f>
        <v>Food waste for treatment: waste water treatment</v>
      </c>
      <c r="BY3" s="1" t="str">
        <f>INDEX($B$17:$GQ$17,MATCH(76,$B$29:$GQ$29,0))</f>
        <v>Machinery and equipment n.e.c. (29)</v>
      </c>
      <c r="BZ3" s="1" t="str">
        <f>INDEX($B$17:$GQ$17,MATCH(77,$B$29:$GQ$29,0))</f>
        <v>Liquefied Petroleum Gases (LPG)</v>
      </c>
      <c r="CA3" s="1" t="str">
        <f>INDEX($B$17:$GQ$17,MATCH(78,$B$29:$GQ$29,0))</f>
        <v>Sugar</v>
      </c>
      <c r="CB3" s="1" t="str">
        <f>INDEX($B$17:$GQ$17,MATCH(79,$B$29:$GQ$29,0))</f>
        <v>Inert/metal/hazardous waste for treatment: landfill</v>
      </c>
      <c r="CC3" s="1" t="str">
        <f>INDEX($B$17:$GQ$17,MATCH(80,$B$29:$GQ$29,0))</f>
        <v>Transmission services of electricity</v>
      </c>
      <c r="CD3" s="1" t="str">
        <f>INDEX($B$17:$GQ$17,MATCH(81,$B$29:$GQ$29,0))</f>
        <v>Intert/metal waste for treatment: incineration</v>
      </c>
      <c r="CE3" s="1" t="str">
        <f>INDEX($B$17:$GQ$17,MATCH(82,$B$29:$GQ$29,0))</f>
        <v>Wood waste for treatment: landfill</v>
      </c>
      <c r="CF3" s="1" t="str">
        <f>INDEX($B$17:$GQ$17,MATCH(83,$B$29:$GQ$29,0))</f>
        <v>Oil/hazardous waste for treatment: incineration</v>
      </c>
      <c r="CG3" s="1" t="str">
        <f>INDEX($B$17:$GQ$17,MATCH(84,$B$29:$GQ$29,0))</f>
        <v>Animal products nec</v>
      </c>
      <c r="CH3" s="1" t="str">
        <f>INDEX($B$17:$GQ$17,MATCH(85,$B$29:$GQ$29,0))</f>
        <v>Tobacco products (16)</v>
      </c>
      <c r="CI3" s="1" t="str">
        <f>INDEX($B$17:$GQ$17,MATCH(86,$B$29:$GQ$29,0))</f>
        <v>Paper waste for treatment: incineration</v>
      </c>
      <c r="CJ3" s="1" t="str">
        <f>INDEX($B$17:$GQ$17,MATCH(87,$B$29:$GQ$29,0))</f>
        <v>Food waste for treatment: incineration</v>
      </c>
      <c r="CK3" s="1" t="str">
        <f>INDEX($B$17:$GQ$17,MATCH(88,$B$29:$GQ$29,0))</f>
        <v>Sewage sludge for treatment: biogasification and land application</v>
      </c>
      <c r="CL3" s="1" t="str">
        <f>INDEX($B$17:$GQ$17,MATCH(89,$B$29:$GQ$29,0))</f>
        <v>Electricity by wind</v>
      </c>
      <c r="CM3" s="1" t="str">
        <f>INDEX($B$17:$GQ$17,MATCH(90,$B$29:$GQ$29,0))</f>
        <v>products of Vegetable oils and fats</v>
      </c>
      <c r="CN3" s="1" t="str">
        <f>INDEX($B$17:$GQ$17,MATCH(91,$B$29:$GQ$29,0))</f>
        <v>Retail trade services of motor fuel</v>
      </c>
      <c r="CO3" s="1" t="str">
        <f>INDEX($B$17:$GQ$17,MATCH(92,$B$29:$GQ$29,0))</f>
        <v>Wood material for treatment, Re-processing of secondary wood material into new wood material</v>
      </c>
      <c r="CP3" s="1" t="str">
        <f>INDEX($B$17:$GQ$17,MATCH(93,$B$29:$GQ$29,0))</f>
        <v>Biodiesels</v>
      </c>
      <c r="CQ3" s="1" t="str">
        <f>INDEX($B$17:$GQ$17,MATCH(94,$B$29:$GQ$29,0))</f>
        <v>Electricity by petroleum and other oil derivatives</v>
      </c>
      <c r="CR3" s="1" t="str">
        <f>INDEX($B$17:$GQ$17,MATCH(95,$B$29:$GQ$29,0))</f>
        <v>Plant-based fibers</v>
      </c>
      <c r="CS3" s="1" t="str">
        <f>INDEX($B$17:$GQ$17,MATCH(96,$B$29:$GQ$29,0))</f>
        <v>Cereal grains nec</v>
      </c>
      <c r="CT3" s="1" t="str">
        <f>INDEX($B$17:$GQ$17,MATCH(97,$B$29:$GQ$29,0))</f>
        <v>Paddy rice</v>
      </c>
      <c r="CU3" s="1" t="str">
        <f>INDEX($B$17:$GQ$17,MATCH(98,$B$29:$GQ$29,0))</f>
        <v>Processed rice</v>
      </c>
      <c r="CV3" s="1" t="str">
        <f>INDEX($B$17:$GQ$17,MATCH(99,$B$29:$GQ$29,0))</f>
        <v>Electricity by biomass and waste</v>
      </c>
      <c r="CW3" s="1" t="str">
        <f>INDEX($B$17:$GQ$17,MATCH(100,$B$29:$GQ$29,0))</f>
        <v>Plastic waste for treatment: landfill</v>
      </c>
      <c r="CX3" s="1" t="str">
        <f>INDEX($B$17:$GQ$17,MATCH(101,$B$29:$GQ$29,0))</f>
        <v>Plastic waste for treatment: incineration</v>
      </c>
      <c r="CY3" s="1" t="str">
        <f>INDEX($B$17:$GQ$17,MATCH(102,$B$29:$GQ$29,0))</f>
        <v>Biogasoline</v>
      </c>
      <c r="CZ3" s="1" t="str">
        <f>INDEX($B$17:$GQ$17,MATCH(103,$B$29:$GQ$29,0))</f>
        <v>Textiles waste for treatment: landfill</v>
      </c>
      <c r="DA3" s="1" t="str">
        <f>INDEX($B$17:$GQ$17,MATCH(104,$B$29:$GQ$29,0))</f>
        <v>Cement, lime and plaster</v>
      </c>
      <c r="DB3" s="1" t="str">
        <f>INDEX($B$17:$GQ$17,MATCH(105,$B$29:$GQ$29,0))</f>
        <v>Wood waste for treatment: incineration</v>
      </c>
      <c r="DC3" s="1" t="str">
        <f>INDEX($B$17:$GQ$17,MATCH(106,$B$29:$GQ$29,0))</f>
        <v>Kerosene Type Jet Fuel</v>
      </c>
      <c r="DD3" s="1" t="str">
        <f>INDEX($B$17:$GQ$17,MATCH(107,$B$29:$GQ$29,0))</f>
        <v>Textiles waste for treatment: incineration</v>
      </c>
      <c r="DE3" s="1" t="str">
        <f>INDEX($B$17:$GQ$17,MATCH(108,$B$29:$GQ$29,0))</f>
        <v>P- and other fertiliser</v>
      </c>
      <c r="DF3" s="1" t="str">
        <f>INDEX($B$17:$GQ$17,MATCH(109,$B$29:$GQ$29,0))</f>
        <v>Anthracite</v>
      </c>
      <c r="DG3" s="1" t="str">
        <f>INDEX($B$17:$GQ$17,MATCH(110,$B$29:$GQ$29,0))</f>
        <v>Crops nec</v>
      </c>
      <c r="DH3" s="1" t="str">
        <f>INDEX($B$17:$GQ$17,MATCH(111,$B$29:$GQ$29,0))</f>
        <v>Food waste for treatment: biogasification and land application</v>
      </c>
      <c r="DI3" s="1" t="str">
        <f>INDEX($B$17:$GQ$17,MATCH(112,$B$29:$GQ$29,0))</f>
        <v>Electricity by solar photovoltaic</v>
      </c>
      <c r="DJ3" s="1" t="str">
        <f>INDEX($B$17:$GQ$17,MATCH(113,$B$29:$GQ$29,0))</f>
        <v>Other Bituminous Coal</v>
      </c>
      <c r="DK3" s="1" t="str">
        <f>INDEX($B$17:$GQ$17,MATCH(114,$B$29:$GQ$29,0))</f>
        <v>Computer and related services (72)</v>
      </c>
      <c r="DL3" s="1" t="str">
        <f>INDEX($B$17:$GQ$17,MATCH(115,$B$29:$GQ$29,0))</f>
        <v>Other non-ferrous metal products</v>
      </c>
      <c r="DM3" s="1" t="str">
        <f>INDEX($B$17:$GQ$17,MATCH(116,$B$29:$GQ$29,0))</f>
        <v>Ash for treatment, Re-processing of ash into clinker</v>
      </c>
      <c r="DN3" s="1" t="str">
        <f>INDEX($B$17:$GQ$17,MATCH(117,$B$29:$GQ$29,0))</f>
        <v>Bricks, tiles and construction products, in baked clay</v>
      </c>
      <c r="DO3" s="1" t="str">
        <f>INDEX($B$17:$GQ$17,MATCH(118,$B$29:$GQ$29,0))</f>
        <v>N-fertiliser</v>
      </c>
      <c r="DP3" s="1" t="str">
        <f>INDEX($B$17:$GQ$17,MATCH(119,$B$29:$GQ$29,0))</f>
        <v>Precious metals</v>
      </c>
      <c r="DQ3" s="1" t="str">
        <f>INDEX($B$17:$GQ$17,MATCH(120,$B$29:$GQ$29,0))</f>
        <v>Electricity by tide, wave, ocean</v>
      </c>
      <c r="DR3" s="1" t="str">
        <f>INDEX($B$17:$GQ$17,MATCH(121,$B$29:$GQ$29,0))</f>
        <v>Aluminium and aluminium products</v>
      </c>
      <c r="DS3" s="1" t="str">
        <f>INDEX($B$17:$GQ$17,MATCH(122,$B$29:$GQ$29,0))</f>
        <v>Paper waste for treatment: biogasification and land application</v>
      </c>
      <c r="DT3" s="1" t="str">
        <f>INDEX($B$17:$GQ$17,MATCH(123,$B$29:$GQ$29,0))</f>
        <v>Heavy Fuel Oil</v>
      </c>
      <c r="DU3" s="1" t="str">
        <f>INDEX($B$17:$GQ$17,MATCH(124,$B$29:$GQ$29,0))</f>
        <v>Coke Oven Coke</v>
      </c>
      <c r="DV3" s="1" t="str">
        <f>INDEX($B$17:$GQ$17,MATCH(125,$B$29:$GQ$29,0))</f>
        <v>Paper and wood waste for treatment: composting and land application</v>
      </c>
      <c r="DW3" s="1" t="str">
        <f>INDEX($B$17:$GQ$17,MATCH(126,$B$29:$GQ$29,0))</f>
        <v>Patent Fuel</v>
      </c>
      <c r="DX3" s="1" t="str">
        <f>INDEX($B$17:$GQ$17,MATCH(127,$B$29:$GQ$29,0))</f>
        <v>Secondary aluminium for treatment, Re-processing of secondary aluminium into new aluminium</v>
      </c>
      <c r="DY3" s="1" t="str">
        <f>INDEX($B$17:$GQ$17,MATCH(128,$B$29:$GQ$29,0))</f>
        <v>Foundry work services</v>
      </c>
      <c r="DZ3" s="1" t="str">
        <f>INDEX($B$17:$GQ$17,MATCH(129,$B$29:$GQ$29,0))</f>
        <v>Secondary other non-ferrous metals for treatment, Re-processing of secondary other non-ferrous metals into new other non-ferrous metals</v>
      </c>
      <c r="EA3" s="1" t="str">
        <f>INDEX($B$17:$GQ$17,MATCH(130,$B$29:$GQ$29,0))</f>
        <v>Basic iron and steel and of ferro-alloys and first products thereof</v>
      </c>
      <c r="EB3" s="1" t="str">
        <f>INDEX($B$17:$GQ$17,MATCH(131,$B$29:$GQ$29,0))</f>
        <v>Secondary steel for treatment, Re-processing of secondary steel into new steel</v>
      </c>
      <c r="EC3" s="1" t="str">
        <f>INDEX($B$17:$GQ$17,MATCH(132,$B$29:$GQ$29,0))</f>
        <v>Secondary preciuos metals for treatment, Re-processing of secondary preciuos metals into new preciuos metals</v>
      </c>
      <c r="ED3" s="1" t="str">
        <f>INDEX($B$17:$GQ$17,MATCH(133,$B$29:$GQ$29,0))</f>
        <v>Sugar cane, sugar beet</v>
      </c>
      <c r="EE3" s="1" t="str">
        <f>INDEX($B$17:$GQ$17,MATCH(134,$B$29:$GQ$29,0))</f>
        <v>Cattle</v>
      </c>
      <c r="EF3" s="1" t="str">
        <f>INDEX($B$17:$GQ$17,MATCH(135,$B$29:$GQ$29,0))</f>
        <v>Pigs</v>
      </c>
      <c r="EG3" s="1" t="str">
        <f>INDEX($B$17:$GQ$17,MATCH(136,$B$29:$GQ$29,0))</f>
        <v>Wool, silk-worm cocoons</v>
      </c>
      <c r="EH3" s="1" t="str">
        <f>INDEX($B$17:$GQ$17,MATCH(137,$B$29:$GQ$29,0))</f>
        <v>Manure (conventional treatment)</v>
      </c>
      <c r="EI3" s="1" t="str">
        <f>INDEX($B$17:$GQ$17,MATCH(138,$B$29:$GQ$29,0))</f>
        <v>Manure (biogas treatment)</v>
      </c>
      <c r="EJ3" s="1" t="str">
        <f>INDEX($B$17:$GQ$17,MATCH(139,$B$29:$GQ$29,0))</f>
        <v>Coking Coal</v>
      </c>
      <c r="EK3" s="1" t="str">
        <f>INDEX($B$17:$GQ$17,MATCH(140,$B$29:$GQ$29,0))</f>
        <v>Sub-Bituminous Coal</v>
      </c>
      <c r="EL3" s="1" t="str">
        <f>INDEX($B$17:$GQ$17,MATCH(141,$B$29:$GQ$29,0))</f>
        <v>Lignite/Brown Coal</v>
      </c>
      <c r="EM3" s="1" t="str">
        <f>INDEX($B$17:$GQ$17,MATCH(142,$B$29:$GQ$29,0))</f>
        <v>BKB/Peat Briquettes</v>
      </c>
      <c r="EN3" s="1" t="str">
        <f>INDEX($B$17:$GQ$17,MATCH(143,$B$29:$GQ$29,0))</f>
        <v>Peat</v>
      </c>
      <c r="EO3" s="1" t="str">
        <f>INDEX($B$17:$GQ$17,MATCH(144,$B$29:$GQ$29,0))</f>
        <v>Crude petroleum and services related to crude oil extraction, excluding surveying</v>
      </c>
      <c r="EP3" s="1" t="str">
        <f>INDEX($B$17:$GQ$17,MATCH(145,$B$29:$GQ$29,0))</f>
        <v>Natural Gas Liquids</v>
      </c>
      <c r="EQ3" s="1" t="str">
        <f>INDEX($B$17:$GQ$17,MATCH(146,$B$29:$GQ$29,0))</f>
        <v>Other Hydrocarbons</v>
      </c>
      <c r="ER3" s="1" t="str">
        <f>INDEX($B$17:$GQ$17,MATCH(147,$B$29:$GQ$29,0))</f>
        <v>Uranium and thorium ores (12)</v>
      </c>
      <c r="ES3" s="1" t="str">
        <f>INDEX($B$17:$GQ$17,MATCH(148,$B$29:$GQ$29,0))</f>
        <v>Iron ores</v>
      </c>
      <c r="ET3" s="1" t="str">
        <f>INDEX($B$17:$GQ$17,MATCH(149,$B$29:$GQ$29,0))</f>
        <v>Copper ores and concentrates</v>
      </c>
      <c r="EU3" s="1" t="str">
        <f>INDEX($B$17:$GQ$17,MATCH(150,$B$29:$GQ$29,0))</f>
        <v>Nickel ores and concentrates</v>
      </c>
      <c r="EV3" s="1" t="str">
        <f>INDEX($B$17:$GQ$17,MATCH(151,$B$29:$GQ$29,0))</f>
        <v>Aluminium ores and concentrates</v>
      </c>
      <c r="EW3" s="1" t="str">
        <f>INDEX($B$17:$GQ$17,MATCH(152,$B$29:$GQ$29,0))</f>
        <v>Precious metal ores and concentrates</v>
      </c>
      <c r="EX3" s="1" t="str">
        <f>INDEX($B$17:$GQ$17,MATCH(153,$B$29:$GQ$29,0))</f>
        <v>Lead, zinc and tin ores and concentrates</v>
      </c>
      <c r="EY3" s="1" t="str">
        <f>INDEX($B$17:$GQ$17,MATCH(154,$B$29:$GQ$29,0))</f>
        <v>Other non-ferrous metal ores and concentrates</v>
      </c>
      <c r="EZ3" s="1" t="str">
        <f>INDEX($B$17:$GQ$17,MATCH(155,$B$29:$GQ$29,0))</f>
        <v>Stone</v>
      </c>
      <c r="FA3" s="1" t="str">
        <f>INDEX($B$17:$GQ$17,MATCH(156,$B$29:$GQ$29,0))</f>
        <v>Sand and clay</v>
      </c>
      <c r="FB3" s="1" t="str">
        <f>INDEX($B$17:$GQ$17,MATCH(157,$B$29:$GQ$29,0))</f>
        <v>Chemical and fertilizer minerals, salt and other mining and quarrying products n.e.c.</v>
      </c>
      <c r="FC3" s="1" t="str">
        <f>INDEX($B$17:$GQ$17,MATCH(158,$B$29:$GQ$29,0))</f>
        <v>Pulp</v>
      </c>
      <c r="FD3" s="1" t="str">
        <f>INDEX($B$17:$GQ$17,MATCH(159,$B$29:$GQ$29,0))</f>
        <v>Secondary paper for treatment, Re-processing of secondary paper into new pulp</v>
      </c>
      <c r="FE3" s="1" t="str">
        <f>INDEX($B$17:$GQ$17,MATCH(160,$B$29:$GQ$29,0))</f>
        <v>Gas Coke</v>
      </c>
      <c r="FF3" s="1" t="str">
        <f>INDEX($B$17:$GQ$17,MATCH(161,$B$29:$GQ$29,0))</f>
        <v>Coal Tar</v>
      </c>
      <c r="FG3" s="1" t="str">
        <f>INDEX($B$17:$GQ$17,MATCH(162,$B$29:$GQ$29,0))</f>
        <v>Aviation Gasoline</v>
      </c>
      <c r="FH3" s="1" t="str">
        <f>INDEX($B$17:$GQ$17,MATCH(163,$B$29:$GQ$29,0))</f>
        <v>Gasoline Type Jet Fuel</v>
      </c>
      <c r="FI3" s="1" t="str">
        <f>INDEX($B$17:$GQ$17,MATCH(164,$B$29:$GQ$29,0))</f>
        <v>Kerosene</v>
      </c>
      <c r="FJ3" s="1" t="str">
        <f>INDEX($B$17:$GQ$17,MATCH(165,$B$29:$GQ$29,0))</f>
        <v>Refinery Gas</v>
      </c>
      <c r="FK3" s="1" t="str">
        <f>INDEX($B$17:$GQ$17,MATCH(166,$B$29:$GQ$29,0))</f>
        <v>Refinery Feedstocks</v>
      </c>
      <c r="FL3" s="1" t="str">
        <f>INDEX($B$17:$GQ$17,MATCH(167,$B$29:$GQ$29,0))</f>
        <v>Ethane</v>
      </c>
      <c r="FM3" s="1" t="str">
        <f>INDEX($B$17:$GQ$17,MATCH(168,$B$29:$GQ$29,0))</f>
        <v>Naphtha</v>
      </c>
      <c r="FN3" s="1" t="str">
        <f>INDEX($B$17:$GQ$17,MATCH(169,$B$29:$GQ$29,0))</f>
        <v>White Spirit &amp; SBP</v>
      </c>
      <c r="FO3" s="1" t="str">
        <f>INDEX($B$17:$GQ$17,MATCH(170,$B$29:$GQ$29,0))</f>
        <v>Lubricants</v>
      </c>
      <c r="FP3" s="1" t="str">
        <f>INDEX($B$17:$GQ$17,MATCH(171,$B$29:$GQ$29,0))</f>
        <v>Bitumen</v>
      </c>
      <c r="FQ3" s="1" t="str">
        <f>INDEX($B$17:$GQ$17,MATCH(172,$B$29:$GQ$29,0))</f>
        <v>Paraffin Waxes</v>
      </c>
      <c r="FR3" s="1" t="str">
        <f>INDEX($B$17:$GQ$17,MATCH(173,$B$29:$GQ$29,0))</f>
        <v>Petroleum Coke</v>
      </c>
      <c r="FS3" s="1" t="str">
        <f>INDEX($B$17:$GQ$17,MATCH(174,$B$29:$GQ$29,0))</f>
        <v>Non-specified Petroleum Products</v>
      </c>
      <c r="FT3" s="1" t="str">
        <f>INDEX($B$17:$GQ$17,MATCH(175,$B$29:$GQ$29,0))</f>
        <v>Nuclear fuel</v>
      </c>
      <c r="FU3" s="1" t="str">
        <f>INDEX($B$17:$GQ$17,MATCH(176,$B$29:$GQ$29,0))</f>
        <v>Charcoal</v>
      </c>
      <c r="FV3" s="1" t="str">
        <f>INDEX($B$17:$GQ$17,MATCH(177,$B$29:$GQ$29,0))</f>
        <v>Additives/Blending Components</v>
      </c>
      <c r="FW3" s="1" t="str">
        <f>INDEX($B$17:$GQ$17,MATCH(178,$B$29:$GQ$29,0))</f>
        <v>Other Liquid Biofuels</v>
      </c>
      <c r="FX3" s="1" t="str">
        <f>INDEX($B$17:$GQ$17,MATCH(179,$B$29:$GQ$29,0))</f>
        <v>Glass and glass products</v>
      </c>
      <c r="FY3" s="1" t="str">
        <f>INDEX($B$17:$GQ$17,MATCH(180,$B$29:$GQ$29,0))</f>
        <v>Secondary glass for treatment, Re-processing of secondary glass into new glass</v>
      </c>
      <c r="FZ3" s="1" t="str">
        <f>INDEX($B$17:$GQ$17,MATCH(181,$B$29:$GQ$29,0))</f>
        <v>Lead, zinc and tin and products thereof</v>
      </c>
      <c r="GA3" s="1" t="str">
        <f>INDEX($B$17:$GQ$17,MATCH(182,$B$29:$GQ$29,0))</f>
        <v>Secondary lead for treatment, Re-processing of secondary lead into new lead</v>
      </c>
      <c r="GB3" s="1" t="str">
        <f>INDEX($B$17:$GQ$17,MATCH(183,$B$29:$GQ$29,0))</f>
        <v>Copper products</v>
      </c>
      <c r="GC3" s="1" t="str">
        <f>INDEX($B$17:$GQ$17,MATCH(184,$B$29:$GQ$29,0))</f>
        <v>Secondary copper for treatment, Re-processing of secondary copper into new copper</v>
      </c>
      <c r="GD3" s="1" t="str">
        <f>INDEX($B$17:$GQ$17,MATCH(185,$B$29:$GQ$29,0))</f>
        <v>Office machinery and computers (30)</v>
      </c>
      <c r="GE3" s="1" t="str">
        <f>INDEX($B$17:$GQ$17,MATCH(186,$B$29:$GQ$29,0))</f>
        <v>Secondary raw materials</v>
      </c>
      <c r="GF3" s="1" t="str">
        <f>INDEX($B$17:$GQ$17,MATCH(187,$B$29:$GQ$29,0))</f>
        <v>Bottles for treatment, Recycling of bottles by direct reuse</v>
      </c>
      <c r="GG3" s="1" t="str">
        <f>INDEX($B$17:$GQ$17,MATCH(188,$B$29:$GQ$29,0))</f>
        <v>Electricity by solar thermal</v>
      </c>
      <c r="GH3" s="1" t="str">
        <f>INDEX($B$17:$GQ$17,MATCH(189,$B$29:$GQ$29,0))</f>
        <v>Electricity by Geothermal</v>
      </c>
      <c r="GI3" s="1" t="str">
        <f>INDEX($B$17:$GQ$17,MATCH(190,$B$29:$GQ$29,0))</f>
        <v>Electricity nec</v>
      </c>
      <c r="GJ3" s="1" t="str">
        <f>INDEX($B$17:$GQ$17,MATCH(191,$B$29:$GQ$29,0))</f>
        <v>Coke oven gas</v>
      </c>
      <c r="GK3" s="1" t="str">
        <f>INDEX($B$17:$GQ$17,MATCH(192,$B$29:$GQ$29,0))</f>
        <v>Blast Furnace Gas</v>
      </c>
      <c r="GL3" s="1" t="str">
        <f>INDEX($B$17:$GQ$17,MATCH(193,$B$29:$GQ$29,0))</f>
        <v>Oxygen Steel Furnace Gas</v>
      </c>
      <c r="GM3" s="1" t="str">
        <f>INDEX($B$17:$GQ$17,MATCH(194,$B$29:$GQ$29,0))</f>
        <v>Gas Works Gas</v>
      </c>
      <c r="GN3" s="1" t="str">
        <f>INDEX($B$17:$GQ$17,MATCH(195,$B$29:$GQ$29,0))</f>
        <v>Biogas</v>
      </c>
      <c r="GO3" s="1" t="str">
        <f>INDEX($B$17:$GQ$17,MATCH(196,$B$29:$GQ$29,0))</f>
        <v>Secondary construction material for treatment, Re-processing of secondary construction material into aggregates</v>
      </c>
      <c r="GP3" s="1" t="str">
        <f>INDEX($B$17:$GQ$17,MATCH(197,$B$29:$GQ$29,0))</f>
        <v>Services auxiliary to financial intermediation (67)</v>
      </c>
      <c r="GQ3" s="1" t="str">
        <f>INDEX($B$17:$GQ$17,MATCH(198,$B$29:$GQ$29,0))</f>
        <v>Extra-territorial organizations and bodies</v>
      </c>
      <c r="GR3" s="1" t="str">
        <f>INDEX($GR$17:$HC$17,MATCH(1,$GR$30:$HC$30,0))</f>
        <v>Final services</v>
      </c>
      <c r="GS3" s="1" t="str">
        <f>INDEX($GR$17:$HC$17,MATCH(2,$GR$30:$HC$30,0))</f>
        <v>Mobility</v>
      </c>
      <c r="GT3" s="1" t="str">
        <f>INDEX($GR$17:$HC$17,MATCH(3,$GR$30:$HC$30,0))</f>
        <v>Housing</v>
      </c>
      <c r="GU3" s="1" t="str">
        <f>INDEX($GR$17:$HC$17,MATCH(4,$GR$30:$HC$30,0))</f>
        <v>Final goods nec</v>
      </c>
      <c r="GV3" s="1" t="str">
        <f>INDEX($GR$17:$HC$17,MATCH(5,$GR$30:$HC$30,0))</f>
        <v>Meat nec</v>
      </c>
      <c r="GW3" s="1" t="str">
        <f>INDEX($GR$17:$HC$17,MATCH(6,$GR$30:$HC$30,0))</f>
        <v>Food nec</v>
      </c>
      <c r="GX3" s="1" t="str">
        <f>INDEX($GR$17:$HC$17,MATCH(7,$GR$30:$HC$30,0))</f>
        <v>Animal nec</v>
      </c>
      <c r="GY3" s="1" t="str">
        <f>INDEX($GR$17:$HC$17,MATCH(8,$GR$30:$HC$30,0))</f>
        <v>Cattle</v>
      </c>
      <c r="GZ3" s="1" t="str">
        <f>INDEX($GR$17:$HC$17,MATCH(9,$GR$30:$HC$30,0))</f>
        <v>Dairy products</v>
      </c>
      <c r="HA3" s="1" t="str">
        <f>INDEX($GR$17:$HC$17,MATCH(10,$GR$30:$HC$30,0))</f>
        <v>Hotel &amp; restaurant</v>
      </c>
      <c r="HB3" s="1" t="str">
        <f>INDEX($GR$17:$HC$17,MATCH(11,$GR$30:$HC$30,0))</f>
        <v>Textiles</v>
      </c>
      <c r="HC3" s="1" t="str">
        <f>INDEX($GR$17:$HC$17,MATCH(12,$GR$30:$HC$30,0))</f>
        <v>Vegetables, fruits, nuts</v>
      </c>
    </row>
    <row r="4" spans="1:211" x14ac:dyDescent="0.45">
      <c r="A4" s="1" t="s">
        <v>3</v>
      </c>
      <c r="B4">
        <f>INDEX($B$18:$GQ$18,MATCH(1,$B$29:$GQ$29,0))</f>
        <v>8.3006368910382058E-5</v>
      </c>
      <c r="C4">
        <f>INDEX($B$18:$GQ$18,MATCH(2,$B$29:$GQ$29,0))</f>
        <v>8.8593040657989789E-5</v>
      </c>
      <c r="D4">
        <f>INDEX($B$18:$GQ$18,MATCH(3,$B$29:$GQ$29,0))</f>
        <v>4.6850245910274918E-5</v>
      </c>
      <c r="E4">
        <f>INDEX($B$18:$GQ$18,MATCH(4,$B$29:$GQ$29,0))</f>
        <v>1.400634163798512E-4</v>
      </c>
      <c r="F4">
        <f>INDEX($B$18:$GQ$18,MATCH(5,$B$29:$GQ$29,0))</f>
        <v>4.3513604577337259E-4</v>
      </c>
      <c r="G4">
        <f>INDEX($B$18:$GQ$18,MATCH(6,$B$29:$GQ$29,0))</f>
        <v>1.8344939347163551E-4</v>
      </c>
      <c r="H4">
        <f>INDEX($B$18:$GQ$18,MATCH(7,$B$29:$GQ$29,0))</f>
        <v>2.1108416760602251E-4</v>
      </c>
      <c r="I4">
        <f>INDEX($B$18:$GQ$18,MATCH(8,$B$29:$GQ$29,0))</f>
        <v>9.7439986306801612E-5</v>
      </c>
      <c r="J4">
        <f>INDEX($B$18:$GQ$18,MATCH(9,$B$29:$GQ$29,0))</f>
        <v>1.9810320209852629E-4</v>
      </c>
      <c r="K4">
        <f>INDEX($B$18:$GQ$18,MATCH(10,$B$29:$GQ$29,0))</f>
        <v>1.5663454509063301E-4</v>
      </c>
      <c r="L4">
        <f>INDEX($B$18:$GQ$18,MATCH(11,$B$29:$GQ$29,0))</f>
        <v>1.3142963973966119E-4</v>
      </c>
      <c r="M4">
        <f>INDEX($B$18:$GQ$18,MATCH(12,$B$29:$GQ$29,0))</f>
        <v>1.889138580246378E-4</v>
      </c>
      <c r="N4">
        <f>INDEX($B$18:$GQ$18,MATCH(13,$B$29:$GQ$29,0))</f>
        <v>4.561422179472902E-5</v>
      </c>
      <c r="O4">
        <f>INDEX($B$18:$GQ$18,MATCH(14,$B$29:$GQ$29,0))</f>
        <v>5.9233363415441573E-4</v>
      </c>
      <c r="P4">
        <f>INDEX($B$18:$GQ$18,MATCH(15,$B$29:$GQ$29,0))</f>
        <v>1.468577597604323E-4</v>
      </c>
      <c r="Q4">
        <f>INDEX($B$18:$GQ$18,MATCH(16,$B$29:$GQ$29,0))</f>
        <v>5.5585605925459158E-5</v>
      </c>
      <c r="R4">
        <f>INDEX($B$18:$GQ$18,MATCH(17,$B$29:$GQ$29,0))</f>
        <v>1.9992289382867701E-4</v>
      </c>
      <c r="S4">
        <f>INDEX($B$18:$GQ$18,MATCH(18,$B$29:$GQ$29,0))</f>
        <v>1.328352770171248E-3</v>
      </c>
      <c r="T4">
        <f>INDEX($B$18:$GQ$18,MATCH(19,$B$29:$GQ$29,0))</f>
        <v>1.5949008996659511E-4</v>
      </c>
      <c r="U4">
        <f>INDEX($B$18:$GQ$18,MATCH(20,$B$29:$GQ$29,0))</f>
        <v>1.144733215891669E-4</v>
      </c>
      <c r="V4">
        <f>INDEX($B$18:$GQ$18,MATCH(21,$B$29:$GQ$29,0))</f>
        <v>8.8215967934977791E-4</v>
      </c>
      <c r="W4">
        <f>INDEX($B$18:$GQ$18,MATCH(22,$B$29:$GQ$29,0))</f>
        <v>1.185318123348231E-4</v>
      </c>
      <c r="X4">
        <f>INDEX($B$18:$GQ$18,MATCH(23,$B$29:$GQ$29,0))</f>
        <v>1.9243385281249941E-3</v>
      </c>
      <c r="Y4">
        <f>INDEX($B$18:$GQ$18,MATCH(24,$B$29:$GQ$29,0))</f>
        <v>1.9257385178218661E-3</v>
      </c>
      <c r="Z4">
        <f>INDEX($B$18:$GQ$18,MATCH(25,$B$29:$GQ$29,0))</f>
        <v>1.8319009652809131E-4</v>
      </c>
      <c r="AA4">
        <f>INDEX($B$18:$GQ$18,MATCH(26,$B$29:$GQ$29,0))</f>
        <v>1.5203485056921399E-4</v>
      </c>
      <c r="AB4">
        <f>INDEX($B$18:$GQ$18,MATCH(27,$B$29:$GQ$29,0))</f>
        <v>9.0778052772565984E-5</v>
      </c>
      <c r="AC4">
        <f>INDEX($B$18:$GQ$18,MATCH(28,$B$29:$GQ$29,0))</f>
        <v>2.7769872257206159E-4</v>
      </c>
      <c r="AD4">
        <f>INDEX($B$18:$GQ$18,MATCH(29,$B$29:$GQ$29,0))</f>
        <v>1.4214911317658279E-4</v>
      </c>
      <c r="AE4">
        <f>INDEX($B$18:$GQ$18,MATCH(30,$B$29:$GQ$29,0))</f>
        <v>5.5990978051589043E-5</v>
      </c>
      <c r="AF4">
        <f>INDEX($B$18:$GQ$18,MATCH(31,$B$29:$GQ$29,0))</f>
        <v>1.44440867703932E-4</v>
      </c>
      <c r="AG4">
        <f>INDEX($B$18:$GQ$18,MATCH(32,$B$29:$GQ$29,0))</f>
        <v>1.9871924270324881E-4</v>
      </c>
      <c r="AH4">
        <f>INDEX($B$18:$GQ$18,MATCH(33,$B$29:$GQ$29,0))</f>
        <v>1.5800627365510119E-4</v>
      </c>
      <c r="AI4">
        <f>INDEX($B$18:$GQ$18,MATCH(34,$B$29:$GQ$29,0))</f>
        <v>8.4465660116311695E-5</v>
      </c>
      <c r="AJ4">
        <f>INDEX($B$18:$GQ$18,MATCH(35,$B$29:$GQ$29,0))</f>
        <v>7.1814544359188653E-5</v>
      </c>
      <c r="AK4">
        <f>INDEX($B$18:$GQ$18,MATCH(36,$B$29:$GQ$29,0))</f>
        <v>1.301952403134604E-4</v>
      </c>
      <c r="AL4">
        <f>INDEX($B$18:$GQ$18,MATCH(37,$B$29:$GQ$29,0))</f>
        <v>1.2772290581958021E-4</v>
      </c>
      <c r="AM4">
        <f>INDEX($B$18:$GQ$18,MATCH(38,$B$29:$GQ$29,0))</f>
        <v>6.8603189392792065E-5</v>
      </c>
      <c r="AN4">
        <f>INDEX($B$18:$GQ$18,MATCH(39,$B$29:$GQ$29,0))</f>
        <v>1.135860549834162E-4</v>
      </c>
      <c r="AO4">
        <f>INDEX($B$18:$GQ$18,MATCH(40,$B$29:$GQ$29,0))</f>
        <v>1.025437769055104E-3</v>
      </c>
      <c r="AP4">
        <f>INDEX($B$18:$GQ$18,MATCH(41,$B$29:$GQ$29,0))</f>
        <v>1.162851788018796E-4</v>
      </c>
      <c r="AQ4">
        <f>INDEX($B$18:$GQ$18,MATCH(42,$B$29:$GQ$29,0))</f>
        <v>1.8673546621537281E-4</v>
      </c>
      <c r="AR4">
        <f>INDEX($B$18:$GQ$18,MATCH(43,$B$29:$GQ$29,0))</f>
        <v>1.2793746374684589E-4</v>
      </c>
      <c r="AS4">
        <f>INDEX($B$18:$GQ$18,MATCH(44,$B$29:$GQ$29,0))</f>
        <v>1.663104093002127E-4</v>
      </c>
      <c r="AT4">
        <f>INDEX($B$18:$GQ$18,MATCH(45,$B$29:$GQ$29,0))</f>
        <v>4.2592638913179031E-5</v>
      </c>
      <c r="AU4">
        <f>INDEX($B$18:$GQ$18,MATCH(46,$B$29:$GQ$29,0))</f>
        <v>2.6030434262787109E-3</v>
      </c>
      <c r="AV4">
        <f>INDEX($B$18:$GQ$18,MATCH(47,$B$29:$GQ$29,0))</f>
        <v>8.3768495137132956E-5</v>
      </c>
      <c r="AW4">
        <f>INDEX($B$18:$GQ$18,MATCH(48,$B$29:$GQ$29,0))</f>
        <v>1.3185825115137411E-4</v>
      </c>
      <c r="AX4">
        <f>INDEX($B$18:$GQ$18,MATCH(49,$B$29:$GQ$29,0))</f>
        <v>5.8769044394963087E-5</v>
      </c>
      <c r="AY4">
        <f>INDEX($B$18:$GQ$18,MATCH(50,$B$29:$GQ$29,0))</f>
        <v>1.7711003911079359E-4</v>
      </c>
      <c r="AZ4">
        <f>INDEX($B$18:$GQ$18,MATCH(51,$B$29:$GQ$29,0))</f>
        <v>1.114008559473893E-4</v>
      </c>
      <c r="BA4">
        <f>INDEX($B$18:$GQ$18,MATCH(52,$B$29:$GQ$29,0))</f>
        <v>1.966957330558599E-4</v>
      </c>
      <c r="BB4">
        <f>INDEX($B$18:$GQ$18,MATCH(53,$B$29:$GQ$29,0))</f>
        <v>9.1615820511428545E-5</v>
      </c>
      <c r="BC4">
        <f>INDEX($B$18:$GQ$18,MATCH(54,$B$29:$GQ$29,0))</f>
        <v>1.532460026965968E-4</v>
      </c>
      <c r="BD4">
        <f>INDEX($B$18:$GQ$18,MATCH(55,$B$29:$GQ$29,0))</f>
        <v>6.3227997821798857E-5</v>
      </c>
      <c r="BE4">
        <f>INDEX($B$18:$GQ$18,MATCH(56,$B$29:$GQ$29,0))</f>
        <v>8.2051515423630091E-5</v>
      </c>
      <c r="BF4">
        <f>INDEX($B$18:$GQ$18,MATCH(57,$B$29:$GQ$29,0))</f>
        <v>1.9779372167304311E-4</v>
      </c>
      <c r="BG4">
        <f>INDEX($B$18:$GQ$18,MATCH(58,$B$29:$GQ$29,0))</f>
        <v>5.5899291658404623E-5</v>
      </c>
      <c r="BH4">
        <f>INDEX($B$18:$GQ$18,MATCH(59,$B$29:$GQ$29,0))</f>
        <v>3.2647386524976503E-5</v>
      </c>
      <c r="BI4">
        <f>INDEX($B$18:$GQ$18,MATCH(60,$B$29:$GQ$29,0))</f>
        <v>8.8683553126949033E-5</v>
      </c>
      <c r="BJ4">
        <f>INDEX($B$18:$GQ$18,MATCH(61,$B$29:$GQ$29,0))</f>
        <v>3.1568989837506968E-3</v>
      </c>
      <c r="BK4">
        <f>INDEX($B$18:$GQ$18,MATCH(62,$B$29:$GQ$29,0))</f>
        <v>9.7821131345142854E-3</v>
      </c>
      <c r="BL4">
        <f>INDEX($B$18:$GQ$18,MATCH(63,$B$29:$GQ$29,0))</f>
        <v>1.7628702537578E-4</v>
      </c>
      <c r="BM4">
        <f>INDEX($B$18:$GQ$18,MATCH(64,$B$29:$GQ$29,0))</f>
        <v>4.8051707027047468E-5</v>
      </c>
      <c r="BN4">
        <f>INDEX($B$18:$GQ$18,MATCH(65,$B$29:$GQ$29,0))</f>
        <v>1.5650970388666869E-4</v>
      </c>
      <c r="BO4">
        <f>INDEX($B$18:$GQ$18,MATCH(66,$B$29:$GQ$29,0))</f>
        <v>1.64707064202098E-4</v>
      </c>
      <c r="BP4">
        <f>INDEX($B$18:$GQ$18,MATCH(67,$B$29:$GQ$29,0))</f>
        <v>8.8804739316259863E-5</v>
      </c>
      <c r="BQ4">
        <f>INDEX($B$18:$GQ$18,MATCH(68,$B$29:$GQ$29,0))</f>
        <v>1.498725551070431E-4</v>
      </c>
      <c r="BR4">
        <f>INDEX($B$18:$GQ$18,MATCH(69,$B$29:$GQ$29,0))</f>
        <v>5.7064345876298171E-5</v>
      </c>
      <c r="BS4">
        <f>INDEX($B$18:$GQ$18,MATCH(70,$B$29:$GQ$29,0))</f>
        <v>1.6391801457190411E-4</v>
      </c>
      <c r="BT4">
        <f>INDEX($B$18:$GQ$18,MATCH(71,$B$29:$GQ$29,0))</f>
        <v>8.1963372086877207E-5</v>
      </c>
      <c r="BU4">
        <f>INDEX($B$18:$GQ$18,MATCH(72,$B$29:$GQ$29,0))</f>
        <v>2.4230891470347941E-4</v>
      </c>
      <c r="BV4">
        <f>INDEX($B$18:$GQ$18,MATCH(73,$B$29:$GQ$29,0))</f>
        <v>6.9904610218919042E-5</v>
      </c>
      <c r="BW4">
        <f>INDEX($B$18:$GQ$18,MATCH(74,$B$29:$GQ$29,0))</f>
        <v>1.5161696789716791E-4</v>
      </c>
      <c r="BX4">
        <f>INDEX($B$18:$GQ$18,MATCH(75,$B$29:$GQ$29,0))</f>
        <v>8.8102027242513276E-5</v>
      </c>
      <c r="BY4">
        <f>INDEX($B$18:$GQ$18,MATCH(76,$B$29:$GQ$29,0))</f>
        <v>1.5886671635288721E-4</v>
      </c>
      <c r="BZ4">
        <f>INDEX($B$18:$GQ$18,MATCH(77,$B$29:$GQ$29,0))</f>
        <v>3.4704903008283411E-4</v>
      </c>
      <c r="CA4">
        <f>INDEX($B$18:$GQ$18,MATCH(78,$B$29:$GQ$29,0))</f>
        <v>7.7316630805352089E-5</v>
      </c>
      <c r="CB4">
        <f>INDEX($B$18:$GQ$18,MATCH(79,$B$29:$GQ$29,0))</f>
        <v>7.6099389760013141E-5</v>
      </c>
      <c r="CC4">
        <f>INDEX($B$18:$GQ$18,MATCH(80,$B$29:$GQ$29,0))</f>
        <v>5.1656875990432598E-5</v>
      </c>
      <c r="CD4">
        <f>INDEX($B$18:$GQ$18,MATCH(81,$B$29:$GQ$29,0))</f>
        <v>8.038402526332852E-5</v>
      </c>
      <c r="CE4">
        <f>INDEX($B$18:$GQ$18,MATCH(82,$B$29:$GQ$29,0))</f>
        <v>7.8471993222399794E-5</v>
      </c>
      <c r="CF4">
        <f>INDEX($B$18:$GQ$18,MATCH(83,$B$29:$GQ$29,0))</f>
        <v>7.7785908718060287E-5</v>
      </c>
      <c r="CG4">
        <f>INDEX($B$18:$GQ$18,MATCH(84,$B$29:$GQ$29,0))</f>
        <v>2.136387368599757E-4</v>
      </c>
      <c r="CH4">
        <f>INDEX($B$18:$GQ$18,MATCH(85,$B$29:$GQ$29,0))</f>
        <v>1.213451594553805E-4</v>
      </c>
      <c r="CI4">
        <f>INDEX($B$18:$GQ$18,MATCH(86,$B$29:$GQ$29,0))</f>
        <v>8.0213569120112473E-5</v>
      </c>
      <c r="CJ4">
        <f>INDEX($B$18:$GQ$18,MATCH(87,$B$29:$GQ$29,0))</f>
        <v>7.9609557617374627E-5</v>
      </c>
      <c r="CK4">
        <f>INDEX($B$18:$GQ$18,MATCH(88,$B$29:$GQ$29,0))</f>
        <v>7.8463263900639593E-5</v>
      </c>
      <c r="CL4">
        <f>INDEX($B$18:$GQ$18,MATCH(89,$B$29:$GQ$29,0))</f>
        <v>7.664811352790286E-5</v>
      </c>
      <c r="CM4">
        <f>INDEX($B$18:$GQ$18,MATCH(90,$B$29:$GQ$29,0))</f>
        <v>9.0631608265479482E-5</v>
      </c>
      <c r="CN4">
        <f>INDEX($B$18:$GQ$18,MATCH(91,$B$29:$GQ$29,0))</f>
        <v>1.581907635509267E-4</v>
      </c>
      <c r="CO4">
        <f>INDEX($B$18:$GQ$18,MATCH(92,$B$29:$GQ$29,0))</f>
        <v>1.235124778783384E-4</v>
      </c>
      <c r="CP4">
        <f>INDEX($B$18:$GQ$18,MATCH(93,$B$29:$GQ$29,0))</f>
        <v>3.3725662653732681E-5</v>
      </c>
      <c r="CQ4">
        <f>INDEX($B$18:$GQ$18,MATCH(94,$B$29:$GQ$29,0))</f>
        <v>8.4164961912880246E-4</v>
      </c>
      <c r="CR4">
        <f>INDEX($B$18:$GQ$18,MATCH(95,$B$29:$GQ$29,0))</f>
        <v>4.2071690545818177E-5</v>
      </c>
      <c r="CS4">
        <f>INDEX($B$18:$GQ$18,MATCH(96,$B$29:$GQ$29,0))</f>
        <v>4.0328169717427643E-5</v>
      </c>
      <c r="CT4">
        <f>INDEX($B$18:$GQ$18,MATCH(97,$B$29:$GQ$29,0))</f>
        <v>8.4196879275713117E-5</v>
      </c>
      <c r="CU4">
        <f>INDEX($B$18:$GQ$18,MATCH(98,$B$29:$GQ$29,0))</f>
        <v>3.9608359552577982E-5</v>
      </c>
      <c r="CV4">
        <f>INDEX($B$18:$GQ$18,MATCH(99,$B$29:$GQ$29,0))</f>
        <v>1.218284928526998E-4</v>
      </c>
      <c r="CW4">
        <f>INDEX($B$18:$GQ$18,MATCH(100,$B$29:$GQ$29,0))</f>
        <v>8.8299577842182377E-5</v>
      </c>
      <c r="CX4">
        <f>INDEX($B$18:$GQ$18,MATCH(101,$B$29:$GQ$29,0))</f>
        <v>8.4166547846306454E-5</v>
      </c>
      <c r="CY4">
        <f>INDEX($B$18:$GQ$18,MATCH(102,$B$29:$GQ$29,0))</f>
        <v>8.1301835780710237E-5</v>
      </c>
      <c r="CZ4">
        <f>INDEX($B$18:$GQ$18,MATCH(103,$B$29:$GQ$29,0))</f>
        <v>8.2308602266571195E-5</v>
      </c>
      <c r="DA4">
        <f>INDEX($B$18:$GQ$18,MATCH(104,$B$29:$GQ$29,0))</f>
        <v>1.698433972263166E-4</v>
      </c>
      <c r="DB4">
        <f>INDEX($B$18:$GQ$18,MATCH(105,$B$29:$GQ$29,0))</f>
        <v>8.1777849533599419E-5</v>
      </c>
      <c r="DC4">
        <f>INDEX($B$18:$GQ$18,MATCH(106,$B$29:$GQ$29,0))</f>
        <v>3.4237548037361232E-4</v>
      </c>
      <c r="DD4">
        <f>INDEX($B$18:$GQ$18,MATCH(107,$B$29:$GQ$29,0))</f>
        <v>8.0059370699947871E-5</v>
      </c>
      <c r="DE4">
        <f>INDEX($B$18:$GQ$18,MATCH(108,$B$29:$GQ$29,0))</f>
        <v>1.3341474056419801E-4</v>
      </c>
      <c r="DF4">
        <f>INDEX($B$18:$GQ$18,MATCH(109,$B$29:$GQ$29,0))</f>
        <v>0</v>
      </c>
      <c r="DG4">
        <f>INDEX($B$18:$GQ$18,MATCH(110,$B$29:$GQ$29,0))</f>
        <v>7.7082807273814465E-6</v>
      </c>
      <c r="DH4">
        <f>INDEX($B$18:$GQ$18,MATCH(111,$B$29:$GQ$29,0))</f>
        <v>7.2350307219815434E-5</v>
      </c>
      <c r="DI4">
        <f>INDEX($B$18:$GQ$18,MATCH(112,$B$29:$GQ$29,0))</f>
        <v>1.832188569925897E-5</v>
      </c>
      <c r="DJ4">
        <f>INDEX($B$18:$GQ$18,MATCH(113,$B$29:$GQ$29,0))</f>
        <v>0</v>
      </c>
      <c r="DK4">
        <f>INDEX($B$18:$GQ$18,MATCH(114,$B$29:$GQ$29,0))</f>
        <v>6.5444666827512064E-5</v>
      </c>
      <c r="DL4">
        <f>INDEX($B$18:$GQ$18,MATCH(115,$B$29:$GQ$29,0))</f>
        <v>1.9051800481939961E-4</v>
      </c>
      <c r="DM4">
        <f>INDEX($B$18:$GQ$18,MATCH(116,$B$29:$GQ$29,0))</f>
        <v>1.375402156115161E-4</v>
      </c>
      <c r="DN4">
        <f>INDEX($B$18:$GQ$18,MATCH(117,$B$29:$GQ$29,0))</f>
        <v>1.5239738293245931E-4</v>
      </c>
      <c r="DO4">
        <f>INDEX($B$18:$GQ$18,MATCH(118,$B$29:$GQ$29,0))</f>
        <v>1.712737606847269E-4</v>
      </c>
      <c r="DP4">
        <f>INDEX($B$18:$GQ$18,MATCH(119,$B$29:$GQ$29,0))</f>
        <v>2.4067256729969289E-4</v>
      </c>
      <c r="DQ4">
        <f>INDEX($B$18:$GQ$18,MATCH(120,$B$29:$GQ$29,0))</f>
        <v>1.946819135970664E-4</v>
      </c>
      <c r="DR4">
        <f>INDEX($B$18:$GQ$18,MATCH(121,$B$29:$GQ$29,0))</f>
        <v>2.3394659333139889E-4</v>
      </c>
      <c r="DS4">
        <f>INDEX($B$18:$GQ$18,MATCH(122,$B$29:$GQ$29,0))</f>
        <v>7.3915441176884277E-5</v>
      </c>
      <c r="DT4">
        <f>INDEX($B$18:$GQ$18,MATCH(123,$B$29:$GQ$29,0))</f>
        <v>2.0439726686912501E-4</v>
      </c>
      <c r="DU4">
        <f>INDEX($B$18:$GQ$18,MATCH(124,$B$29:$GQ$29,0))</f>
        <v>2.8750756911328751E-5</v>
      </c>
      <c r="DV4">
        <f>INDEX($B$18:$GQ$18,MATCH(125,$B$29:$GQ$29,0))</f>
        <v>2.3952798860925019E-4</v>
      </c>
      <c r="DW4">
        <f>INDEX($B$18:$GQ$18,MATCH(126,$B$29:$GQ$29,0))</f>
        <v>0</v>
      </c>
      <c r="DX4">
        <f>INDEX($B$18:$GQ$18,MATCH(127,$B$29:$GQ$29,0))</f>
        <v>2.4623258409966071E-4</v>
      </c>
      <c r="DY4">
        <f>INDEX($B$18:$GQ$18,MATCH(128,$B$29:$GQ$29,0))</f>
        <v>2.065243906637767E-4</v>
      </c>
      <c r="DZ4">
        <f>INDEX($B$18:$GQ$18,MATCH(129,$B$29:$GQ$29,0))</f>
        <v>0</v>
      </c>
      <c r="EA4">
        <f>INDEX($B$18:$GQ$18,MATCH(130,$B$29:$GQ$29,0))</f>
        <v>2.309094266264623E-4</v>
      </c>
      <c r="EB4">
        <f>INDEX($B$18:$GQ$18,MATCH(131,$B$29:$GQ$29,0))</f>
        <v>1.644678887399236E-4</v>
      </c>
      <c r="EC4">
        <f>INDEX($B$18:$GQ$18,MATCH(132,$B$29:$GQ$29,0))</f>
        <v>0</v>
      </c>
      <c r="ED4">
        <f>INDEX($B$18:$GQ$18,MATCH(133,$B$29:$GQ$29,0))</f>
        <v>5.4193873908036576E-6</v>
      </c>
      <c r="EE4">
        <f>INDEX($B$18:$GQ$18,MATCH(134,$B$29:$GQ$29,0))</f>
        <v>2.243562887686054E-4</v>
      </c>
      <c r="EF4">
        <f>INDEX($B$18:$GQ$18,MATCH(135,$B$29:$GQ$29,0))</f>
        <v>1.9959606455645211E-4</v>
      </c>
      <c r="EG4">
        <f>INDEX($B$18:$GQ$18,MATCH(136,$B$29:$GQ$29,0))</f>
        <v>2.7779744862380432E-3</v>
      </c>
      <c r="EH4">
        <f>INDEX($B$18:$GQ$18,MATCH(137,$B$29:$GQ$29,0))</f>
        <v>0</v>
      </c>
      <c r="EI4">
        <f>INDEX($B$18:$GQ$18,MATCH(138,$B$29:$GQ$29,0))</f>
        <v>0</v>
      </c>
      <c r="EJ4">
        <f>INDEX($B$18:$GQ$18,MATCH(139,$B$29:$GQ$29,0))</f>
        <v>0</v>
      </c>
      <c r="EK4">
        <f>INDEX($B$18:$GQ$18,MATCH(140,$B$29:$GQ$29,0))</f>
        <v>0</v>
      </c>
      <c r="EL4">
        <f>INDEX($B$18:$GQ$18,MATCH(141,$B$29:$GQ$29,0))</f>
        <v>0</v>
      </c>
      <c r="EM4">
        <f>INDEX($B$18:$GQ$18,MATCH(142,$B$29:$GQ$29,0))</f>
        <v>0</v>
      </c>
      <c r="EN4">
        <f>INDEX($B$18:$GQ$18,MATCH(143,$B$29:$GQ$29,0))</f>
        <v>0</v>
      </c>
      <c r="EO4">
        <f>INDEX($B$18:$GQ$18,MATCH(144,$B$29:$GQ$29,0))</f>
        <v>2.7577962146100113E-4</v>
      </c>
      <c r="EP4">
        <f>INDEX($B$18:$GQ$18,MATCH(145,$B$29:$GQ$29,0))</f>
        <v>4.8271973766690348E-5</v>
      </c>
      <c r="EQ4">
        <f>INDEX($B$18:$GQ$18,MATCH(146,$B$29:$GQ$29,0))</f>
        <v>0</v>
      </c>
      <c r="ER4">
        <f>INDEX($B$18:$GQ$18,MATCH(147,$B$29:$GQ$29,0))</f>
        <v>0</v>
      </c>
      <c r="ES4">
        <f>INDEX($B$18:$GQ$18,MATCH(148,$B$29:$GQ$29,0))</f>
        <v>0</v>
      </c>
      <c r="ET4">
        <f>INDEX($B$18:$GQ$18,MATCH(149,$B$29:$GQ$29,0))</f>
        <v>0</v>
      </c>
      <c r="EU4">
        <f>INDEX($B$18:$GQ$18,MATCH(150,$B$29:$GQ$29,0))</f>
        <v>0</v>
      </c>
      <c r="EV4">
        <f>INDEX($B$18:$GQ$18,MATCH(151,$B$29:$GQ$29,0))</f>
        <v>0</v>
      </c>
      <c r="EW4">
        <f>INDEX($B$18:$GQ$18,MATCH(152,$B$29:$GQ$29,0))</f>
        <v>0</v>
      </c>
      <c r="EX4">
        <f>INDEX($B$18:$GQ$18,MATCH(153,$B$29:$GQ$29,0))</f>
        <v>0</v>
      </c>
      <c r="EY4">
        <f>INDEX($B$18:$GQ$18,MATCH(154,$B$29:$GQ$29,0))</f>
        <v>3.7409209900778793E-5</v>
      </c>
      <c r="EZ4">
        <f>INDEX($B$18:$GQ$18,MATCH(155,$B$29:$GQ$29,0))</f>
        <v>3.3385126010562112E-5</v>
      </c>
      <c r="FA4">
        <f>INDEX($B$18:$GQ$18,MATCH(156,$B$29:$GQ$29,0))</f>
        <v>9.161067088975594E-7</v>
      </c>
      <c r="FB4">
        <f>INDEX($B$18:$GQ$18,MATCH(157,$B$29:$GQ$29,0))</f>
        <v>1.772600638783153E-5</v>
      </c>
      <c r="FC4">
        <f>INDEX($B$18:$GQ$18,MATCH(158,$B$29:$GQ$29,0))</f>
        <v>1.3104010065448141E-4</v>
      </c>
      <c r="FD4">
        <f>INDEX($B$18:$GQ$18,MATCH(159,$B$29:$GQ$29,0))</f>
        <v>1.2171984101168289E-4</v>
      </c>
      <c r="FE4">
        <f>INDEX($B$18:$GQ$18,MATCH(160,$B$29:$GQ$29,0))</f>
        <v>0</v>
      </c>
      <c r="FF4">
        <f>INDEX($B$18:$GQ$18,MATCH(161,$B$29:$GQ$29,0))</f>
        <v>6.4460770643565363E-4</v>
      </c>
      <c r="FG4">
        <f>INDEX($B$18:$GQ$18,MATCH(162,$B$29:$GQ$29,0))</f>
        <v>0</v>
      </c>
      <c r="FH4">
        <f>INDEX($B$18:$GQ$18,MATCH(163,$B$29:$GQ$29,0))</f>
        <v>0</v>
      </c>
      <c r="FI4">
        <f>INDEX($B$18:$GQ$18,MATCH(164,$B$29:$GQ$29,0))</f>
        <v>0</v>
      </c>
      <c r="FJ4">
        <f>INDEX($B$18:$GQ$18,MATCH(165,$B$29:$GQ$29,0))</f>
        <v>1.7434750612769179E-6</v>
      </c>
      <c r="FK4">
        <f>INDEX($B$18:$GQ$18,MATCH(166,$B$29:$GQ$29,0))</f>
        <v>3.3278302997267551E-4</v>
      </c>
      <c r="FL4">
        <f>INDEX($B$18:$GQ$18,MATCH(167,$B$29:$GQ$29,0))</f>
        <v>0</v>
      </c>
      <c r="FM4">
        <f>INDEX($B$18:$GQ$18,MATCH(168,$B$29:$GQ$29,0))</f>
        <v>1.8280498632719931E-4</v>
      </c>
      <c r="FN4">
        <f>INDEX($B$18:$GQ$18,MATCH(169,$B$29:$GQ$29,0))</f>
        <v>3.7411233341993322E-4</v>
      </c>
      <c r="FO4">
        <f>INDEX($B$18:$GQ$18,MATCH(170,$B$29:$GQ$29,0))</f>
        <v>6.3235528591992622E-4</v>
      </c>
      <c r="FP4">
        <f>INDEX($B$18:$GQ$18,MATCH(171,$B$29:$GQ$29,0))</f>
        <v>6.9168463830608144E-5</v>
      </c>
      <c r="FQ4">
        <f>INDEX($B$18:$GQ$18,MATCH(172,$B$29:$GQ$29,0))</f>
        <v>7.7064601340501326E-5</v>
      </c>
      <c r="FR4">
        <f>INDEX($B$18:$GQ$18,MATCH(173,$B$29:$GQ$29,0))</f>
        <v>1.159363395308736E-4</v>
      </c>
      <c r="FS4">
        <f>INDEX($B$18:$GQ$18,MATCH(174,$B$29:$GQ$29,0))</f>
        <v>7.3783363690643568E-5</v>
      </c>
      <c r="FT4">
        <f>INDEX($B$18:$GQ$18,MATCH(175,$B$29:$GQ$29,0))</f>
        <v>7.6839087509287416E-7</v>
      </c>
      <c r="FU4">
        <f>INDEX($B$18:$GQ$18,MATCH(176,$B$29:$GQ$29,0))</f>
        <v>0</v>
      </c>
      <c r="FV4">
        <f>INDEX($B$18:$GQ$18,MATCH(177,$B$29:$GQ$29,0))</f>
        <v>4.2978314494962598E-5</v>
      </c>
      <c r="FW4">
        <f>INDEX($B$18:$GQ$18,MATCH(178,$B$29:$GQ$29,0))</f>
        <v>0</v>
      </c>
      <c r="FX4">
        <f>INDEX($B$18:$GQ$18,MATCH(179,$B$29:$GQ$29,0))</f>
        <v>1.419452177395696E-4</v>
      </c>
      <c r="FY4">
        <f>INDEX($B$18:$GQ$18,MATCH(180,$B$29:$GQ$29,0))</f>
        <v>1.177747845586118E-4</v>
      </c>
      <c r="FZ4">
        <f>INDEX($B$18:$GQ$18,MATCH(181,$B$29:$GQ$29,0))</f>
        <v>2.9088201112309622E-4</v>
      </c>
      <c r="GA4">
        <f>INDEX($B$18:$GQ$18,MATCH(182,$B$29:$GQ$29,0))</f>
        <v>3.5255151780492848E-4</v>
      </c>
      <c r="GB4">
        <f>INDEX($B$18:$GQ$18,MATCH(183,$B$29:$GQ$29,0))</f>
        <v>3.6374125743521101E-4</v>
      </c>
      <c r="GC4">
        <f>INDEX($B$18:$GQ$18,MATCH(184,$B$29:$GQ$29,0))</f>
        <v>0</v>
      </c>
      <c r="GD4">
        <f>INDEX($B$18:$GQ$18,MATCH(185,$B$29:$GQ$29,0))</f>
        <v>1.3029890238010301E-4</v>
      </c>
      <c r="GE4">
        <f>INDEX($B$18:$GQ$18,MATCH(186,$B$29:$GQ$29,0))</f>
        <v>0</v>
      </c>
      <c r="GF4">
        <f>INDEX($B$18:$GQ$18,MATCH(187,$B$29:$GQ$29,0))</f>
        <v>0</v>
      </c>
      <c r="GG4">
        <f>INDEX($B$18:$GQ$18,MATCH(188,$B$29:$GQ$29,0))</f>
        <v>0</v>
      </c>
      <c r="GH4">
        <f>INDEX($B$18:$GQ$18,MATCH(189,$B$29:$GQ$29,0))</f>
        <v>0</v>
      </c>
      <c r="GI4">
        <f>INDEX($B$18:$GQ$18,MATCH(190,$B$29:$GQ$29,0))</f>
        <v>0</v>
      </c>
      <c r="GJ4">
        <f>INDEX($B$18:$GQ$18,MATCH(191,$B$29:$GQ$29,0))</f>
        <v>1.5744686618270521E-5</v>
      </c>
      <c r="GK4">
        <f>INDEX($B$18:$GQ$18,MATCH(192,$B$29:$GQ$29,0))</f>
        <v>3.2292587058378182E-5</v>
      </c>
      <c r="GL4">
        <f>INDEX($B$18:$GQ$18,MATCH(193,$B$29:$GQ$29,0))</f>
        <v>2.7324922498198918E-12</v>
      </c>
      <c r="GM4">
        <f>INDEX($B$18:$GQ$18,MATCH(194,$B$29:$GQ$29,0))</f>
        <v>0</v>
      </c>
      <c r="GN4">
        <f>INDEX($B$18:$GQ$18,MATCH(195,$B$29:$GQ$29,0))</f>
        <v>6.6977381193468683E-5</v>
      </c>
      <c r="GO4">
        <f>INDEX($B$18:$GQ$18,MATCH(196,$B$29:$GQ$29,0))</f>
        <v>0</v>
      </c>
      <c r="GP4">
        <f>INDEX($B$18:$GQ$18,MATCH(197,$B$29:$GQ$29,0))</f>
        <v>1.174646500944615E-4</v>
      </c>
      <c r="GQ4">
        <f>INDEX($B$18:$GQ$18,MATCH(198,$B$29:$GQ$29,0))</f>
        <v>0</v>
      </c>
      <c r="GR4">
        <f>INDEX($GR$18:$HC$18,MATCH(1,$GR$30:$HC$30,0))</f>
        <v>6.836204144706409E-5</v>
      </c>
      <c r="GS4">
        <f>INDEX($GR$18:$HC$18,MATCH(2,$GR$30:$HC$30,0))</f>
        <v>3.1008893181304608E-4</v>
      </c>
      <c r="GT4">
        <f>INDEX($GR$18:$HC$18,MATCH(3,$GR$30:$HC$30,0))</f>
        <v>1.164741042657035E-4</v>
      </c>
      <c r="GU4">
        <f>INDEX($GR$18:$HC$18,MATCH(4,$GR$30:$HC$30,0))</f>
        <v>2.6909456243390787E-4</v>
      </c>
      <c r="GV4">
        <f>INDEX($GR$18:$HC$18,MATCH(5,$GR$30:$HC$30,0))</f>
        <v>1.7853166927393209E-4</v>
      </c>
      <c r="GW4">
        <f>INDEX($GR$18:$HC$18,MATCH(6,$GR$30:$HC$30,0))</f>
        <v>1.531063441364694E-4</v>
      </c>
      <c r="GX4">
        <f>INDEX($GR$18:$HC$18,MATCH(7,$GR$30:$HC$30,0))</f>
        <v>2.1153073900324841E-4</v>
      </c>
      <c r="GY4">
        <f>INDEX($GR$18:$HC$18,MATCH(8,$GR$30:$HC$30,0))</f>
        <v>1.9810320209852629E-4</v>
      </c>
      <c r="GZ4">
        <f>INDEX($GR$18:$HC$18,MATCH(9,$GR$30:$HC$30,0))</f>
        <v>1.897647722538978E-4</v>
      </c>
      <c r="HA4">
        <f>INDEX($GR$18:$HC$18,MATCH(10,$GR$30:$HC$30,0))</f>
        <v>5.5585605925459158E-5</v>
      </c>
      <c r="HB4">
        <f>INDEX($GR$18:$HC$18,MATCH(11,$GR$30:$HC$30,0))</f>
        <v>1.372239448691658E-4</v>
      </c>
      <c r="HC4">
        <f>INDEX($GR$18:$HC$18,MATCH(12,$GR$30:$HC$30,0))</f>
        <v>1.3009175207561561E-4</v>
      </c>
    </row>
    <row r="5" spans="1:211" x14ac:dyDescent="0.45">
      <c r="A5" s="1" t="s">
        <v>4</v>
      </c>
      <c r="B5">
        <f>INDEX($B$19:$GQ$19,MATCH(1,$B$29:$GQ$29,0))</f>
        <v>7.397880825937939E-5</v>
      </c>
      <c r="C5">
        <f>INDEX($B$19:$GQ$19,MATCH(2,$B$29:$GQ$29,0))</f>
        <v>7.904517491885784E-5</v>
      </c>
      <c r="D5">
        <f>INDEX($B$19:$GQ$19,MATCH(3,$B$29:$GQ$29,0))</f>
        <v>3.7646424722845352E-5</v>
      </c>
      <c r="E5">
        <f>INDEX($B$19:$GQ$19,MATCH(4,$B$29:$GQ$29,0))</f>
        <v>4.5525461268997589E-4</v>
      </c>
      <c r="F5">
        <f>INDEX($B$19:$GQ$19,MATCH(5,$B$29:$GQ$29,0))</f>
        <v>1.122979185813224E-3</v>
      </c>
      <c r="G5">
        <f>INDEX($B$19:$GQ$19,MATCH(6,$B$29:$GQ$29,0))</f>
        <v>7.9074309134417075E-5</v>
      </c>
      <c r="H5">
        <f>INDEX($B$19:$GQ$19,MATCH(7,$B$29:$GQ$29,0))</f>
        <v>1.6309224585935139E-4</v>
      </c>
      <c r="I5">
        <f>INDEX($B$19:$GQ$19,MATCH(8,$B$29:$GQ$29,0))</f>
        <v>1.039805508917634E-4</v>
      </c>
      <c r="J5">
        <f>INDEX($B$19:$GQ$19,MATCH(9,$B$29:$GQ$29,0))</f>
        <v>2.4300755865650421E-3</v>
      </c>
      <c r="K5">
        <f>INDEX($B$19:$GQ$19,MATCH(10,$B$29:$GQ$29,0))</f>
        <v>4.4940425572179003E-4</v>
      </c>
      <c r="L5">
        <f>INDEX($B$19:$GQ$19,MATCH(11,$B$29:$GQ$29,0))</f>
        <v>8.6335215514982738E-5</v>
      </c>
      <c r="M5">
        <f>INDEX($B$19:$GQ$19,MATCH(12,$B$29:$GQ$29,0))</f>
        <v>1.104413344759175E-3</v>
      </c>
      <c r="N5">
        <f>INDEX($B$19:$GQ$19,MATCH(13,$B$29:$GQ$29,0))</f>
        <v>5.1921667563718957E-5</v>
      </c>
      <c r="O5">
        <f>INDEX($B$19:$GQ$19,MATCH(14,$B$29:$GQ$29,0))</f>
        <v>2.4951719398953791E-4</v>
      </c>
      <c r="P5">
        <f>INDEX($B$19:$GQ$19,MATCH(15,$B$29:$GQ$29,0))</f>
        <v>8.185986425378211E-5</v>
      </c>
      <c r="Q5">
        <f>INDEX($B$19:$GQ$19,MATCH(16,$B$29:$GQ$29,0))</f>
        <v>8.2914200359246066E-5</v>
      </c>
      <c r="R5">
        <f>INDEX($B$19:$GQ$19,MATCH(17,$B$29:$GQ$29,0))</f>
        <v>3.0183519636710077E-4</v>
      </c>
      <c r="S5">
        <f>INDEX($B$19:$GQ$19,MATCH(18,$B$29:$GQ$29,0))</f>
        <v>5.4558976241981605E-4</v>
      </c>
      <c r="T5">
        <f>INDEX($B$19:$GQ$19,MATCH(19,$B$29:$GQ$29,0))</f>
        <v>5.2421267645104157E-5</v>
      </c>
      <c r="U5">
        <f>INDEX($B$19:$GQ$19,MATCH(20,$B$29:$GQ$29,0))</f>
        <v>2.1954206744849981E-4</v>
      </c>
      <c r="V5">
        <f>INDEX($B$19:$GQ$19,MATCH(21,$B$29:$GQ$29,0))</f>
        <v>4.9675523621926501E-3</v>
      </c>
      <c r="W5">
        <f>INDEX($B$19:$GQ$19,MATCH(22,$B$29:$GQ$29,0))</f>
        <v>7.0217373538101189E-5</v>
      </c>
      <c r="X5">
        <f>INDEX($B$19:$GQ$19,MATCH(23,$B$29:$GQ$29,0))</f>
        <v>6.644109082364044E-3</v>
      </c>
      <c r="Y5">
        <f>INDEX($B$19:$GQ$19,MATCH(24,$B$29:$GQ$29,0))</f>
        <v>7.5304206835604445E-4</v>
      </c>
      <c r="Z5">
        <f>INDEX($B$19:$GQ$19,MATCH(25,$B$29:$GQ$29,0))</f>
        <v>9.9013169254583068E-5</v>
      </c>
      <c r="AA5">
        <f>INDEX($B$19:$GQ$19,MATCH(26,$B$29:$GQ$29,0))</f>
        <v>2.6745926422811731E-4</v>
      </c>
      <c r="AB5">
        <f>INDEX($B$19:$GQ$19,MATCH(27,$B$29:$GQ$29,0))</f>
        <v>6.4889367289871106E-5</v>
      </c>
      <c r="AC5">
        <f>INDEX($B$19:$GQ$19,MATCH(28,$B$29:$GQ$29,0))</f>
        <v>1.4000745376329719E-4</v>
      </c>
      <c r="AD5">
        <f>INDEX($B$19:$GQ$19,MATCH(29,$B$29:$GQ$29,0))</f>
        <v>1.1669360558181119E-4</v>
      </c>
      <c r="AE5">
        <f>INDEX($B$19:$GQ$19,MATCH(30,$B$29:$GQ$29,0))</f>
        <v>4.4174920446280292E-5</v>
      </c>
      <c r="AF5">
        <f>INDEX($B$19:$GQ$19,MATCH(31,$B$29:$GQ$29,0))</f>
        <v>3.2583952282498033E-4</v>
      </c>
      <c r="AG5">
        <f>INDEX($B$19:$GQ$19,MATCH(32,$B$29:$GQ$29,0))</f>
        <v>2.5643416416090199E-4</v>
      </c>
      <c r="AH5">
        <f>INDEX($B$19:$GQ$19,MATCH(33,$B$29:$GQ$29,0))</f>
        <v>2.9530684003524921E-4</v>
      </c>
      <c r="AI5">
        <f>INDEX($B$19:$GQ$19,MATCH(34,$B$29:$GQ$29,0))</f>
        <v>7.6790147781503719E-3</v>
      </c>
      <c r="AJ5">
        <f>INDEX($B$19:$GQ$19,MATCH(35,$B$29:$GQ$29,0))</f>
        <v>6.9217874672726864E-5</v>
      </c>
      <c r="AK5">
        <f>INDEX($B$19:$GQ$19,MATCH(36,$B$29:$GQ$29,0))</f>
        <v>1.6725776209800111E-4</v>
      </c>
      <c r="AL5">
        <f>INDEX($B$19:$GQ$19,MATCH(37,$B$29:$GQ$29,0))</f>
        <v>1.6172839512561439E-4</v>
      </c>
      <c r="AM5">
        <f>INDEX($B$19:$GQ$19,MATCH(38,$B$29:$GQ$29,0))</f>
        <v>2.9124613473847612E-4</v>
      </c>
      <c r="AN5">
        <f>INDEX($B$19:$GQ$19,MATCH(39,$B$29:$GQ$29,0))</f>
        <v>1.0614710205723601E-4</v>
      </c>
      <c r="AO5">
        <f>INDEX($B$19:$GQ$19,MATCH(40,$B$29:$GQ$29,0))</f>
        <v>1.1535631118069791E-3</v>
      </c>
      <c r="AP5">
        <f>INDEX($B$19:$GQ$19,MATCH(41,$B$29:$GQ$29,0))</f>
        <v>3.4455053920964671E-4</v>
      </c>
      <c r="AQ5">
        <f>INDEX($B$19:$GQ$19,MATCH(42,$B$29:$GQ$29,0))</f>
        <v>6.4401597991266485E-4</v>
      </c>
      <c r="AR5">
        <f>INDEX($B$19:$GQ$19,MATCH(43,$B$29:$GQ$29,0))</f>
        <v>1.234504269517179E-4</v>
      </c>
      <c r="AS5">
        <f>INDEX($B$19:$GQ$19,MATCH(44,$B$29:$GQ$29,0))</f>
        <v>1.195691160408811E-3</v>
      </c>
      <c r="AT5">
        <f>INDEX($B$19:$GQ$19,MATCH(45,$B$29:$GQ$29,0))</f>
        <v>3.1634781542522372E-5</v>
      </c>
      <c r="AU5">
        <f>INDEX($B$19:$GQ$19,MATCH(46,$B$29:$GQ$29,0))</f>
        <v>1.103666389270782E-2</v>
      </c>
      <c r="AV5">
        <f>INDEX($B$19:$GQ$19,MATCH(47,$B$29:$GQ$29,0))</f>
        <v>7.7077270313212888E-5</v>
      </c>
      <c r="AW5">
        <f>INDEX($B$19:$GQ$19,MATCH(48,$B$29:$GQ$29,0))</f>
        <v>1.083944430988738E-4</v>
      </c>
      <c r="AX5">
        <f>INDEX($B$19:$GQ$19,MATCH(49,$B$29:$GQ$29,0))</f>
        <v>5.5305002385866088E-5</v>
      </c>
      <c r="AY5">
        <f>INDEX($B$19:$GQ$19,MATCH(50,$B$29:$GQ$29,0))</f>
        <v>4.8261371246307352E-4</v>
      </c>
      <c r="AZ5">
        <f>INDEX($B$19:$GQ$19,MATCH(51,$B$29:$GQ$29,0))</f>
        <v>7.6082825267602015E-4</v>
      </c>
      <c r="BA5">
        <f>INDEX($B$19:$GQ$19,MATCH(52,$B$29:$GQ$29,0))</f>
        <v>8.8404410555418752E-5</v>
      </c>
      <c r="BB5">
        <f>INDEX($B$19:$GQ$19,MATCH(53,$B$29:$GQ$29,0))</f>
        <v>9.9232059458067133E-5</v>
      </c>
      <c r="BC5">
        <f>INDEX($B$19:$GQ$19,MATCH(54,$B$29:$GQ$29,0))</f>
        <v>9.7035807892692261E-5</v>
      </c>
      <c r="BD5">
        <f>INDEX($B$19:$GQ$19,MATCH(55,$B$29:$GQ$29,0))</f>
        <v>1.8913062943350371E-5</v>
      </c>
      <c r="BE5">
        <f>INDEX($B$19:$GQ$19,MATCH(56,$B$29:$GQ$29,0))</f>
        <v>3.9146578368303856E-3</v>
      </c>
      <c r="BF5">
        <f>INDEX($B$19:$GQ$19,MATCH(57,$B$29:$GQ$29,0))</f>
        <v>1.444241535753611E-4</v>
      </c>
      <c r="BG5">
        <f>INDEX($B$19:$GQ$19,MATCH(58,$B$29:$GQ$29,0))</f>
        <v>5.6381063350117437E-5</v>
      </c>
      <c r="BH5">
        <f>INDEX($B$19:$GQ$19,MATCH(59,$B$29:$GQ$29,0))</f>
        <v>9.0854880209887583E-5</v>
      </c>
      <c r="BI5">
        <f>INDEX($B$19:$GQ$19,MATCH(60,$B$29:$GQ$29,0))</f>
        <v>9.8166662002145303E-5</v>
      </c>
      <c r="BJ5">
        <f>INDEX($B$19:$GQ$19,MATCH(61,$B$29:$GQ$29,0))</f>
        <v>1.032540181094837E-4</v>
      </c>
      <c r="BK5">
        <f>INDEX($B$19:$GQ$19,MATCH(62,$B$29:$GQ$29,0))</f>
        <v>8.7677778371038934E-2</v>
      </c>
      <c r="BL5">
        <f>INDEX($B$19:$GQ$19,MATCH(63,$B$29:$GQ$29,0))</f>
        <v>1.9153109543467699E-3</v>
      </c>
      <c r="BM5">
        <f>INDEX($B$19:$GQ$19,MATCH(64,$B$29:$GQ$29,0))</f>
        <v>4.873073958988266E-5</v>
      </c>
      <c r="BN5">
        <f>INDEX($B$19:$GQ$19,MATCH(65,$B$29:$GQ$29,0))</f>
        <v>2.202473662118097E-4</v>
      </c>
      <c r="BO5">
        <f>INDEX($B$19:$GQ$19,MATCH(66,$B$29:$GQ$29,0))</f>
        <v>4.2290031694565362E-4</v>
      </c>
      <c r="BP5">
        <f>INDEX($B$19:$GQ$19,MATCH(67,$B$29:$GQ$29,0))</f>
        <v>1.4420788835154501E-3</v>
      </c>
      <c r="BQ5">
        <f>INDEX($B$19:$GQ$19,MATCH(68,$B$29:$GQ$29,0))</f>
        <v>4.6109630262024801E-4</v>
      </c>
      <c r="BR5">
        <f>INDEX($B$19:$GQ$19,MATCH(69,$B$29:$GQ$29,0))</f>
        <v>4.1325560854435439E-5</v>
      </c>
      <c r="BS5">
        <f>INDEX($B$19:$GQ$19,MATCH(70,$B$29:$GQ$29,0))</f>
        <v>8.2479190160682889E-5</v>
      </c>
      <c r="BT5">
        <f>INDEX($B$19:$GQ$19,MATCH(71,$B$29:$GQ$29,0))</f>
        <v>1.0431296396210201E-3</v>
      </c>
      <c r="BU5">
        <f>INDEX($B$19:$GQ$19,MATCH(72,$B$29:$GQ$29,0))</f>
        <v>3.2303099806671011E-3</v>
      </c>
      <c r="BV5">
        <f>INDEX($B$19:$GQ$19,MATCH(73,$B$29:$GQ$29,0))</f>
        <v>6.9398933441294449E-5</v>
      </c>
      <c r="BW5">
        <f>INDEX($B$19:$GQ$19,MATCH(74,$B$29:$GQ$29,0))</f>
        <v>1.5731864411781639E-4</v>
      </c>
      <c r="BX5">
        <f>INDEX($B$19:$GQ$19,MATCH(75,$B$29:$GQ$29,0))</f>
        <v>1.3350064376528459E-3</v>
      </c>
      <c r="BY5">
        <f>INDEX($B$19:$GQ$19,MATCH(76,$B$29:$GQ$29,0))</f>
        <v>7.186804814981001E-5</v>
      </c>
      <c r="BZ5">
        <f>INDEX($B$19:$GQ$19,MATCH(77,$B$29:$GQ$29,0))</f>
        <v>1.5092109164300429E-4</v>
      </c>
      <c r="CA5">
        <f>INDEX($B$19:$GQ$19,MATCH(78,$B$29:$GQ$29,0))</f>
        <v>4.1189548430653391E-4</v>
      </c>
      <c r="CB5">
        <f>INDEX($B$19:$GQ$19,MATCH(79,$B$29:$GQ$29,0))</f>
        <v>1.6357513913729991E-4</v>
      </c>
      <c r="CC5">
        <f>INDEX($B$19:$GQ$19,MATCH(80,$B$29:$GQ$29,0))</f>
        <v>5.0260382937172487E-5</v>
      </c>
      <c r="CD5">
        <f>INDEX($B$19:$GQ$19,MATCH(81,$B$29:$GQ$29,0))</f>
        <v>1.7213529196506651E-4</v>
      </c>
      <c r="CE5">
        <f>INDEX($B$19:$GQ$19,MATCH(82,$B$29:$GQ$29,0))</f>
        <v>1.1323712351101231E-3</v>
      </c>
      <c r="CF5">
        <f>INDEX($B$19:$GQ$19,MATCH(83,$B$29:$GQ$29,0))</f>
        <v>1.6395176461947341E-4</v>
      </c>
      <c r="CG5">
        <f>INDEX($B$19:$GQ$19,MATCH(84,$B$29:$GQ$29,0))</f>
        <v>1.33475021510432E-3</v>
      </c>
      <c r="CH5">
        <f>INDEX($B$19:$GQ$19,MATCH(85,$B$29:$GQ$29,0))</f>
        <v>1.108667995328262E-4</v>
      </c>
      <c r="CI5">
        <f>INDEX($B$19:$GQ$19,MATCH(86,$B$29:$GQ$29,0))</f>
        <v>1.6555159769854829E-4</v>
      </c>
      <c r="CJ5">
        <f>INDEX($B$19:$GQ$19,MATCH(87,$B$29:$GQ$29,0))</f>
        <v>1.6609104083422591E-4</v>
      </c>
      <c r="CK5">
        <f>INDEX($B$19:$GQ$19,MATCH(88,$B$29:$GQ$29,0))</f>
        <v>1.5555225063751849E-4</v>
      </c>
      <c r="CL5">
        <f>INDEX($B$19:$GQ$19,MATCH(89,$B$29:$GQ$29,0))</f>
        <v>1.696217871831835E-4</v>
      </c>
      <c r="CM5">
        <f>INDEX($B$19:$GQ$19,MATCH(90,$B$29:$GQ$29,0))</f>
        <v>1.9485323618286969E-4</v>
      </c>
      <c r="CN5">
        <f>INDEX($B$19:$GQ$19,MATCH(91,$B$29:$GQ$29,0))</f>
        <v>4.6873716548248643E-5</v>
      </c>
      <c r="CO5">
        <f>INDEX($B$19:$GQ$19,MATCH(92,$B$29:$GQ$29,0))</f>
        <v>1.053173967849582E-4</v>
      </c>
      <c r="CP5">
        <f>INDEX($B$19:$GQ$19,MATCH(93,$B$29:$GQ$29,0))</f>
        <v>9.9302652625354304E-5</v>
      </c>
      <c r="CQ5">
        <f>INDEX($B$19:$GQ$19,MATCH(94,$B$29:$GQ$29,0))</f>
        <v>2.2609109167214749E-3</v>
      </c>
      <c r="CR5">
        <f>INDEX($B$19:$GQ$19,MATCH(95,$B$29:$GQ$29,0))</f>
        <v>1.79751276644558E-4</v>
      </c>
      <c r="CS5">
        <f>INDEX($B$19:$GQ$19,MATCH(96,$B$29:$GQ$29,0))</f>
        <v>2.0991657355544379E-4</v>
      </c>
      <c r="CT5">
        <f>INDEX($B$19:$GQ$19,MATCH(97,$B$29:$GQ$29,0))</f>
        <v>3.7618367963598907E-4</v>
      </c>
      <c r="CU5">
        <f>INDEX($B$19:$GQ$19,MATCH(98,$B$29:$GQ$29,0))</f>
        <v>8.8704796239150402E-5</v>
      </c>
      <c r="CV5">
        <f>INDEX($B$19:$GQ$19,MATCH(99,$B$29:$GQ$29,0))</f>
        <v>2.5653182541443261E-4</v>
      </c>
      <c r="CW5">
        <f>INDEX($B$19:$GQ$19,MATCH(100,$B$29:$GQ$29,0))</f>
        <v>8.7970721353681537E-4</v>
      </c>
      <c r="CX5">
        <f>INDEX($B$19:$GQ$19,MATCH(101,$B$29:$GQ$29,0))</f>
        <v>1.6027015477339151E-4</v>
      </c>
      <c r="CY5">
        <f>INDEX($B$19:$GQ$19,MATCH(102,$B$29:$GQ$29,0))</f>
        <v>1.4961659594676019E-4</v>
      </c>
      <c r="CZ5">
        <f>INDEX($B$19:$GQ$19,MATCH(103,$B$29:$GQ$29,0))</f>
        <v>1.3511988028466931E-3</v>
      </c>
      <c r="DA5">
        <f>INDEX($B$19:$GQ$19,MATCH(104,$B$29:$GQ$29,0))</f>
        <v>9.4179667317131964E-4</v>
      </c>
      <c r="DB5">
        <f>INDEX($B$19:$GQ$19,MATCH(105,$B$29:$GQ$29,0))</f>
        <v>1.6497756087175769E-4</v>
      </c>
      <c r="DC5">
        <f>INDEX($B$19:$GQ$19,MATCH(106,$B$29:$GQ$29,0))</f>
        <v>1.5341396869804309E-4</v>
      </c>
      <c r="DD5">
        <f>INDEX($B$19:$GQ$19,MATCH(107,$B$29:$GQ$29,0))</f>
        <v>1.8030922460545259E-4</v>
      </c>
      <c r="DE5">
        <f>INDEX($B$19:$GQ$19,MATCH(108,$B$29:$GQ$29,0))</f>
        <v>6.0084748690598889E-4</v>
      </c>
      <c r="DF5">
        <f>INDEX($B$19:$GQ$19,MATCH(109,$B$29:$GQ$29,0))</f>
        <v>0</v>
      </c>
      <c r="DG5">
        <f>INDEX($B$19:$GQ$19,MATCH(110,$B$29:$GQ$29,0))</f>
        <v>9.4192476155775062E-6</v>
      </c>
      <c r="DH5">
        <f>INDEX($B$19:$GQ$19,MATCH(111,$B$29:$GQ$29,0))</f>
        <v>1.500861663504467E-4</v>
      </c>
      <c r="DI5">
        <f>INDEX($B$19:$GQ$19,MATCH(112,$B$29:$GQ$29,0))</f>
        <v>3.5568605637546423E-5</v>
      </c>
      <c r="DJ5">
        <f>INDEX($B$19:$GQ$19,MATCH(113,$B$29:$GQ$29,0))</f>
        <v>0</v>
      </c>
      <c r="DK5">
        <f>INDEX($B$19:$GQ$19,MATCH(114,$B$29:$GQ$29,0))</f>
        <v>5.4493919046223803E-5</v>
      </c>
      <c r="DL5">
        <f>INDEX($B$19:$GQ$19,MATCH(115,$B$29:$GQ$29,0))</f>
        <v>1.9496897360029279E-4</v>
      </c>
      <c r="DM5">
        <f>INDEX($B$19:$GQ$19,MATCH(116,$B$29:$GQ$29,0))</f>
        <v>4.4106037496088538E-4</v>
      </c>
      <c r="DN5">
        <f>INDEX($B$19:$GQ$19,MATCH(117,$B$29:$GQ$29,0))</f>
        <v>4.9243244580072577E-4</v>
      </c>
      <c r="DO5">
        <f>INDEX($B$19:$GQ$19,MATCH(118,$B$29:$GQ$29,0))</f>
        <v>4.4210455984158929E-4</v>
      </c>
      <c r="DP5">
        <f>INDEX($B$19:$GQ$19,MATCH(119,$B$29:$GQ$29,0))</f>
        <v>5.6980639639130212E-4</v>
      </c>
      <c r="DQ5">
        <f>INDEX($B$19:$GQ$19,MATCH(120,$B$29:$GQ$29,0))</f>
        <v>1.875847761395074E-4</v>
      </c>
      <c r="DR5">
        <f>INDEX($B$19:$GQ$19,MATCH(121,$B$29:$GQ$29,0))</f>
        <v>1.8468572604716661E-4</v>
      </c>
      <c r="DS5">
        <f>INDEX($B$19:$GQ$19,MATCH(122,$B$29:$GQ$29,0))</f>
        <v>1.1993520739452671E-4</v>
      </c>
      <c r="DT5">
        <f>INDEX($B$19:$GQ$19,MATCH(123,$B$29:$GQ$29,0))</f>
        <v>8.4456063746843449E-5</v>
      </c>
      <c r="DU5">
        <f>INDEX($B$19:$GQ$19,MATCH(124,$B$29:$GQ$29,0))</f>
        <v>2.7191522746272152E-4</v>
      </c>
      <c r="DV5">
        <f>INDEX($B$19:$GQ$19,MATCH(125,$B$29:$GQ$29,0))</f>
        <v>7.5881747642156641E-5</v>
      </c>
      <c r="DW5">
        <f>INDEX($B$19:$GQ$19,MATCH(126,$B$29:$GQ$29,0))</f>
        <v>0</v>
      </c>
      <c r="DX5">
        <f>INDEX($B$19:$GQ$19,MATCH(127,$B$29:$GQ$29,0))</f>
        <v>1.1945374795236E-4</v>
      </c>
      <c r="DY5">
        <f>INDEX($B$19:$GQ$19,MATCH(128,$B$29:$GQ$29,0))</f>
        <v>3.754009331439714E-4</v>
      </c>
      <c r="DZ5">
        <f>INDEX($B$19:$GQ$19,MATCH(129,$B$29:$GQ$29,0))</f>
        <v>0</v>
      </c>
      <c r="EA5">
        <f>INDEX($B$19:$GQ$19,MATCH(130,$B$29:$GQ$29,0))</f>
        <v>6.9372028855188539E-4</v>
      </c>
      <c r="EB5">
        <f>INDEX($B$19:$GQ$19,MATCH(131,$B$29:$GQ$29,0))</f>
        <v>2.8574723742589111E-4</v>
      </c>
      <c r="EC5">
        <f>INDEX($B$19:$GQ$19,MATCH(132,$B$29:$GQ$29,0))</f>
        <v>0</v>
      </c>
      <c r="ED5">
        <f>INDEX($B$19:$GQ$19,MATCH(133,$B$29:$GQ$29,0))</f>
        <v>3.9762986398949747E-5</v>
      </c>
      <c r="EE5">
        <f>INDEX($B$19:$GQ$19,MATCH(134,$B$29:$GQ$29,0))</f>
        <v>5.9381618304223923E-3</v>
      </c>
      <c r="EF5">
        <f>INDEX($B$19:$GQ$19,MATCH(135,$B$29:$GQ$29,0))</f>
        <v>8.6146383963855956E-4</v>
      </c>
      <c r="EG5">
        <f>INDEX($B$19:$GQ$19,MATCH(136,$B$29:$GQ$29,0))</f>
        <v>4.767205212014463E-2</v>
      </c>
      <c r="EH5">
        <f>INDEX($B$19:$GQ$19,MATCH(137,$B$29:$GQ$29,0))</f>
        <v>0</v>
      </c>
      <c r="EI5">
        <f>INDEX($B$19:$GQ$19,MATCH(138,$B$29:$GQ$29,0))</f>
        <v>0</v>
      </c>
      <c r="EJ5">
        <f>INDEX($B$19:$GQ$19,MATCH(139,$B$29:$GQ$29,0))</f>
        <v>0</v>
      </c>
      <c r="EK5">
        <f>INDEX($B$19:$GQ$19,MATCH(140,$B$29:$GQ$29,0))</f>
        <v>0</v>
      </c>
      <c r="EL5">
        <f>INDEX($B$19:$GQ$19,MATCH(141,$B$29:$GQ$29,0))</f>
        <v>0</v>
      </c>
      <c r="EM5">
        <f>INDEX($B$19:$GQ$19,MATCH(142,$B$29:$GQ$29,0))</f>
        <v>0</v>
      </c>
      <c r="EN5">
        <f>INDEX($B$19:$GQ$19,MATCH(143,$B$29:$GQ$29,0))</f>
        <v>0</v>
      </c>
      <c r="EO5">
        <f>INDEX($B$19:$GQ$19,MATCH(144,$B$29:$GQ$29,0))</f>
        <v>2.9638464382852709E-3</v>
      </c>
      <c r="EP5">
        <f>INDEX($B$19:$GQ$19,MATCH(145,$B$29:$GQ$29,0))</f>
        <v>3.7392184250524709E-4</v>
      </c>
      <c r="EQ5">
        <f>INDEX($B$19:$GQ$19,MATCH(146,$B$29:$GQ$29,0))</f>
        <v>0</v>
      </c>
      <c r="ER5">
        <f>INDEX($B$19:$GQ$19,MATCH(147,$B$29:$GQ$29,0))</f>
        <v>0</v>
      </c>
      <c r="ES5">
        <f>INDEX($B$19:$GQ$19,MATCH(148,$B$29:$GQ$29,0))</f>
        <v>0</v>
      </c>
      <c r="ET5">
        <f>INDEX($B$19:$GQ$19,MATCH(149,$B$29:$GQ$29,0))</f>
        <v>0</v>
      </c>
      <c r="EU5">
        <f>INDEX($B$19:$GQ$19,MATCH(150,$B$29:$GQ$29,0))</f>
        <v>0</v>
      </c>
      <c r="EV5">
        <f>INDEX($B$19:$GQ$19,MATCH(151,$B$29:$GQ$29,0))</f>
        <v>0</v>
      </c>
      <c r="EW5">
        <f>INDEX($B$19:$GQ$19,MATCH(152,$B$29:$GQ$29,0))</f>
        <v>0</v>
      </c>
      <c r="EX5">
        <f>INDEX($B$19:$GQ$19,MATCH(153,$B$29:$GQ$29,0))</f>
        <v>0</v>
      </c>
      <c r="EY5">
        <f>INDEX($B$19:$GQ$19,MATCH(154,$B$29:$GQ$29,0))</f>
        <v>5.6331197651111569E-5</v>
      </c>
      <c r="EZ5">
        <f>INDEX($B$19:$GQ$19,MATCH(155,$B$29:$GQ$29,0))</f>
        <v>1.7691172042286939E-4</v>
      </c>
      <c r="FA5">
        <f>INDEX($B$19:$GQ$19,MATCH(156,$B$29:$GQ$29,0))</f>
        <v>4.7326931622047067E-6</v>
      </c>
      <c r="FB5">
        <f>INDEX($B$19:$GQ$19,MATCH(157,$B$29:$GQ$29,0))</f>
        <v>2.480673974056357E-5</v>
      </c>
      <c r="FC5">
        <f>INDEX($B$19:$GQ$19,MATCH(158,$B$29:$GQ$29,0))</f>
        <v>2.1362383354041301E-4</v>
      </c>
      <c r="FD5">
        <f>INDEX($B$19:$GQ$19,MATCH(159,$B$29:$GQ$29,0))</f>
        <v>1.6090014762656441E-4</v>
      </c>
      <c r="FE5">
        <f>INDEX($B$19:$GQ$19,MATCH(160,$B$29:$GQ$29,0))</f>
        <v>0</v>
      </c>
      <c r="FF5">
        <f>INDEX($B$19:$GQ$19,MATCH(161,$B$29:$GQ$29,0))</f>
        <v>5.8894162992997913E-3</v>
      </c>
      <c r="FG5">
        <f>INDEX($B$19:$GQ$19,MATCH(162,$B$29:$GQ$29,0))</f>
        <v>0</v>
      </c>
      <c r="FH5">
        <f>INDEX($B$19:$GQ$19,MATCH(163,$B$29:$GQ$29,0))</f>
        <v>0</v>
      </c>
      <c r="FI5">
        <f>INDEX($B$19:$GQ$19,MATCH(164,$B$29:$GQ$29,0))</f>
        <v>0</v>
      </c>
      <c r="FJ5">
        <f>INDEX($B$19:$GQ$19,MATCH(165,$B$29:$GQ$29,0))</f>
        <v>9.3319552273266473E-7</v>
      </c>
      <c r="FK5">
        <f>INDEX($B$19:$GQ$19,MATCH(166,$B$29:$GQ$29,0))</f>
        <v>1.3390323990047391E-4</v>
      </c>
      <c r="FL5">
        <f>INDEX($B$19:$GQ$19,MATCH(167,$B$29:$GQ$29,0))</f>
        <v>2.0606537652433491E-6</v>
      </c>
      <c r="FM5">
        <f>INDEX($B$19:$GQ$19,MATCH(168,$B$29:$GQ$29,0))</f>
        <v>7.6432108808503117E-5</v>
      </c>
      <c r="FN5">
        <f>INDEX($B$19:$GQ$19,MATCH(169,$B$29:$GQ$29,0))</f>
        <v>1.6675305093666489E-4</v>
      </c>
      <c r="FO5">
        <f>INDEX($B$19:$GQ$19,MATCH(170,$B$29:$GQ$29,0))</f>
        <v>2.5954493661751858E-4</v>
      </c>
      <c r="FP5">
        <f>INDEX($B$19:$GQ$19,MATCH(171,$B$29:$GQ$29,0))</f>
        <v>3.2061304935945767E-5</v>
      </c>
      <c r="FQ5">
        <f>INDEX($B$19:$GQ$19,MATCH(172,$B$29:$GQ$29,0))</f>
        <v>4.0114899865335088E-5</v>
      </c>
      <c r="FR5">
        <f>INDEX($B$19:$GQ$19,MATCH(173,$B$29:$GQ$29,0))</f>
        <v>4.7792882020269653E-5</v>
      </c>
      <c r="FS5">
        <f>INDEX($B$19:$GQ$19,MATCH(174,$B$29:$GQ$29,0))</f>
        <v>3.0555874207093239E-5</v>
      </c>
      <c r="FT5">
        <f>INDEX($B$19:$GQ$19,MATCH(175,$B$29:$GQ$29,0))</f>
        <v>6.3073817691523154E-7</v>
      </c>
      <c r="FU5">
        <f>INDEX($B$19:$GQ$19,MATCH(176,$B$29:$GQ$29,0))</f>
        <v>0</v>
      </c>
      <c r="FV5">
        <f>INDEX($B$19:$GQ$19,MATCH(177,$B$29:$GQ$29,0))</f>
        <v>5.0020322277991117E-5</v>
      </c>
      <c r="FW5">
        <f>INDEX($B$19:$GQ$19,MATCH(178,$B$29:$GQ$29,0))</f>
        <v>0</v>
      </c>
      <c r="FX5">
        <f>INDEX($B$19:$GQ$19,MATCH(179,$B$29:$GQ$29,0))</f>
        <v>3.5036618872557479E-4</v>
      </c>
      <c r="FY5">
        <f>INDEX($B$19:$GQ$19,MATCH(180,$B$29:$GQ$29,0))</f>
        <v>2.5913059049125251E-4</v>
      </c>
      <c r="FZ5">
        <f>INDEX($B$19:$GQ$19,MATCH(181,$B$29:$GQ$29,0))</f>
        <v>2.0077628318300881E-4</v>
      </c>
      <c r="GA5">
        <f>INDEX($B$19:$GQ$19,MATCH(182,$B$29:$GQ$29,0))</f>
        <v>1.6264700270204139E-4</v>
      </c>
      <c r="GB5">
        <f>INDEX($B$19:$GQ$19,MATCH(183,$B$29:$GQ$29,0))</f>
        <v>4.5561139695135468E-4</v>
      </c>
      <c r="GC5">
        <f>INDEX($B$19:$GQ$19,MATCH(184,$B$29:$GQ$29,0))</f>
        <v>0</v>
      </c>
      <c r="GD5">
        <f>INDEX($B$19:$GQ$19,MATCH(185,$B$29:$GQ$29,0))</f>
        <v>1.0770919337159439E-4</v>
      </c>
      <c r="GE5">
        <f>INDEX($B$19:$GQ$19,MATCH(186,$B$29:$GQ$29,0))</f>
        <v>0</v>
      </c>
      <c r="GF5">
        <f>INDEX($B$19:$GQ$19,MATCH(187,$B$29:$GQ$29,0))</f>
        <v>0</v>
      </c>
      <c r="GG5">
        <f>INDEX($B$19:$GQ$19,MATCH(188,$B$29:$GQ$29,0))</f>
        <v>0</v>
      </c>
      <c r="GH5">
        <f>INDEX($B$19:$GQ$19,MATCH(189,$B$29:$GQ$29,0))</f>
        <v>0</v>
      </c>
      <c r="GI5">
        <f>INDEX($B$19:$GQ$19,MATCH(190,$B$29:$GQ$29,0))</f>
        <v>0</v>
      </c>
      <c r="GJ5">
        <f>INDEX($B$19:$GQ$19,MATCH(191,$B$29:$GQ$29,0))</f>
        <v>3.5478401638738877E-5</v>
      </c>
      <c r="GK5">
        <f>INDEX($B$19:$GQ$19,MATCH(192,$B$29:$GQ$29,0))</f>
        <v>7.2770415991042783E-5</v>
      </c>
      <c r="GL5">
        <f>INDEX($B$19:$GQ$19,MATCH(193,$B$29:$GQ$29,0))</f>
        <v>1.306855692147191E-12</v>
      </c>
      <c r="GM5">
        <f>INDEX($B$19:$GQ$19,MATCH(194,$B$29:$GQ$29,0))</f>
        <v>0</v>
      </c>
      <c r="GN5">
        <f>INDEX($B$19:$GQ$19,MATCH(195,$B$29:$GQ$29,0))</f>
        <v>1.5092294805402149E-4</v>
      </c>
      <c r="GO5">
        <f>INDEX($B$19:$GQ$19,MATCH(196,$B$29:$GQ$29,0))</f>
        <v>0</v>
      </c>
      <c r="GP5">
        <f>INDEX($B$19:$GQ$19,MATCH(197,$B$29:$GQ$29,0))</f>
        <v>7.3214344067278948E-5</v>
      </c>
      <c r="GQ5">
        <f>INDEX($B$19:$GQ$19,MATCH(198,$B$29:$GQ$29,0))</f>
        <v>0</v>
      </c>
      <c r="GR5">
        <f>INDEX($GR$19:$HC$19,MATCH(1,$GR$30:$HC$30,0))</f>
        <v>7.0494497490554712E-5</v>
      </c>
      <c r="GS5">
        <f>INDEX($GR$19:$HC$19,MATCH(2,$GR$30:$HC$30,0))</f>
        <v>4.531793220925833E-4</v>
      </c>
      <c r="GT5">
        <f>INDEX($GR$19:$HC$19,MATCH(3,$GR$30:$HC$30,0))</f>
        <v>1.2970750099274079E-4</v>
      </c>
      <c r="GU5">
        <f>INDEX($GR$19:$HC$19,MATCH(4,$GR$30:$HC$30,0))</f>
        <v>3.2133782660186279E-4</v>
      </c>
      <c r="GV5">
        <f>INDEX($GR$19:$HC$19,MATCH(5,$GR$30:$HC$30,0))</f>
        <v>3.8453041353924929E-4</v>
      </c>
      <c r="GW5">
        <f>INDEX($GR$19:$HC$19,MATCH(6,$GR$30:$HC$30,0))</f>
        <v>4.1445664779823959E-4</v>
      </c>
      <c r="GX5">
        <f>INDEX($GR$19:$HC$19,MATCH(7,$GR$30:$HC$30,0))</f>
        <v>1.109338172871871E-3</v>
      </c>
      <c r="GY5">
        <f>INDEX($GR$19:$HC$19,MATCH(8,$GR$30:$HC$30,0))</f>
        <v>2.4300755865650421E-3</v>
      </c>
      <c r="GZ5">
        <f>INDEX($GR$19:$HC$19,MATCH(9,$GR$30:$HC$30,0))</f>
        <v>1.1382920558224579E-3</v>
      </c>
      <c r="HA5">
        <f>INDEX($GR$19:$HC$19,MATCH(10,$GR$30:$HC$30,0))</f>
        <v>8.2914200359246066E-5</v>
      </c>
      <c r="HB5">
        <f>INDEX($GR$19:$HC$19,MATCH(11,$GR$30:$HC$30,0))</f>
        <v>7.5665175466399631E-5</v>
      </c>
      <c r="HC5">
        <f>INDEX($GR$19:$HC$19,MATCH(12,$GR$30:$HC$30,0))</f>
        <v>1.673299447272924E-4</v>
      </c>
    </row>
    <row r="6" spans="1:211" x14ac:dyDescent="0.45">
      <c r="A6" s="1" t="s">
        <v>5</v>
      </c>
      <c r="B6">
        <f>INDEX($B$20:$GQ$20,MATCH(1,$B$29:$GQ$29,0))</f>
        <v>0</v>
      </c>
      <c r="C6">
        <f>INDEX($B$20:$GQ$20,MATCH(2,$B$29:$GQ$29,0))</f>
        <v>0</v>
      </c>
      <c r="D6">
        <f>INDEX($B$20:$GQ$20,MATCH(3,$B$29:$GQ$29,0))</f>
        <v>1.754764601042225E-4</v>
      </c>
      <c r="E6">
        <f>INDEX($B$20:$GQ$20,MATCH(4,$B$29:$GQ$29,0))</f>
        <v>3.084380141167732E-4</v>
      </c>
      <c r="F6">
        <f>INDEX($B$20:$GQ$20,MATCH(5,$B$29:$GQ$29,0))</f>
        <v>1.964191518150716E-5</v>
      </c>
      <c r="G6">
        <f>INDEX($B$20:$GQ$20,MATCH(6,$B$29:$GQ$29,0))</f>
        <v>3.4025634676877091E-4</v>
      </c>
      <c r="H6">
        <f>INDEX($B$20:$GQ$20,MATCH(7,$B$29:$GQ$29,0))</f>
        <v>6.7071661137935417E-4</v>
      </c>
      <c r="I6">
        <f>INDEX($B$20:$GQ$20,MATCH(8,$B$29:$GQ$29,0))</f>
        <v>2.9245765554483958E-4</v>
      </c>
      <c r="J6">
        <f>INDEX($B$20:$GQ$20,MATCH(9,$B$29:$GQ$29,0))</f>
        <v>1.7855476362052521E-3</v>
      </c>
      <c r="K6">
        <f>INDEX($B$20:$GQ$20,MATCH(10,$B$29:$GQ$29,0))</f>
        <v>0</v>
      </c>
      <c r="L6">
        <f>INDEX($B$20:$GQ$20,MATCH(11,$B$29:$GQ$29,0))</f>
        <v>2.912065583821271E-3</v>
      </c>
      <c r="M6">
        <f>INDEX($B$20:$GQ$20,MATCH(12,$B$29:$GQ$29,0))</f>
        <v>1.421024074694796E-3</v>
      </c>
      <c r="N6">
        <f>INDEX($B$20:$GQ$20,MATCH(13,$B$29:$GQ$29,0))</f>
        <v>0</v>
      </c>
      <c r="O6">
        <f>INDEX($B$20:$GQ$20,MATCH(14,$B$29:$GQ$29,0))</f>
        <v>8.0473328394956099E-4</v>
      </c>
      <c r="P6">
        <f>INDEX($B$20:$GQ$20,MATCH(15,$B$29:$GQ$29,0))</f>
        <v>4.4648610143015726E-3</v>
      </c>
      <c r="Q6">
        <f>INDEX($B$20:$GQ$20,MATCH(16,$B$29:$GQ$29,0))</f>
        <v>2.086806838016158E-4</v>
      </c>
      <c r="R6">
        <f>INDEX($B$20:$GQ$20,MATCH(17,$B$29:$GQ$29,0))</f>
        <v>6.3848484387846606E-4</v>
      </c>
      <c r="S6">
        <f>INDEX($B$20:$GQ$20,MATCH(18,$B$29:$GQ$29,0))</f>
        <v>8.0593601879555131E-4</v>
      </c>
      <c r="T6">
        <f>INDEX($B$20:$GQ$20,MATCH(19,$B$29:$GQ$29,0))</f>
        <v>2.80211930256243E-3</v>
      </c>
      <c r="U6">
        <f>INDEX($B$20:$GQ$20,MATCH(20,$B$29:$GQ$29,0))</f>
        <v>2.8808232544301508E-3</v>
      </c>
      <c r="V6">
        <f>INDEX($B$20:$GQ$20,MATCH(21,$B$29:$GQ$29,0))</f>
        <v>1.676608556465958E-3</v>
      </c>
      <c r="W6">
        <f>INDEX($B$20:$GQ$20,MATCH(22,$B$29:$GQ$29,0))</f>
        <v>5.7683733720485613E-4</v>
      </c>
      <c r="X6">
        <f>INDEX($B$20:$GQ$20,MATCH(23,$B$29:$GQ$29,0))</f>
        <v>3.6065749600453341E-4</v>
      </c>
      <c r="Y6">
        <f>INDEX($B$20:$GQ$20,MATCH(24,$B$29:$GQ$29,0))</f>
        <v>6.2871238666290397E-4</v>
      </c>
      <c r="Z6">
        <f>INDEX($B$20:$GQ$20,MATCH(25,$B$29:$GQ$29,0))</f>
        <v>6.1419825971156014E-4</v>
      </c>
      <c r="AA6">
        <f>INDEX($B$20:$GQ$20,MATCH(26,$B$29:$GQ$29,0))</f>
        <v>1.971523162560487E-3</v>
      </c>
      <c r="AB6">
        <f>INDEX($B$20:$GQ$20,MATCH(27,$B$29:$GQ$29,0))</f>
        <v>0</v>
      </c>
      <c r="AC6">
        <f>INDEX($B$20:$GQ$20,MATCH(28,$B$29:$GQ$29,0))</f>
        <v>0</v>
      </c>
      <c r="AD6">
        <f>INDEX($B$20:$GQ$20,MATCH(29,$B$29:$GQ$29,0))</f>
        <v>2.318144045771276E-4</v>
      </c>
      <c r="AE6">
        <f>INDEX($B$20:$GQ$20,MATCH(30,$B$29:$GQ$29,0))</f>
        <v>0</v>
      </c>
      <c r="AF6">
        <f>INDEX($B$20:$GQ$20,MATCH(31,$B$29:$GQ$29,0))</f>
        <v>5.7267984981499592E-4</v>
      </c>
      <c r="AG6">
        <f>INDEX($B$20:$GQ$20,MATCH(32,$B$29:$GQ$29,0))</f>
        <v>0</v>
      </c>
      <c r="AH6">
        <f>INDEX($B$20:$GQ$20,MATCH(33,$B$29:$GQ$29,0))</f>
        <v>2.7151194454457357E-4</v>
      </c>
      <c r="AI6">
        <f>INDEX($B$20:$GQ$20,MATCH(34,$B$29:$GQ$29,0))</f>
        <v>4.9514811057936494E-4</v>
      </c>
      <c r="AJ6">
        <f>INDEX($B$20:$GQ$20,MATCH(35,$B$29:$GQ$29,0))</f>
        <v>0</v>
      </c>
      <c r="AK6">
        <f>INDEX($B$20:$GQ$20,MATCH(36,$B$29:$GQ$29,0))</f>
        <v>9.676690699242023E-6</v>
      </c>
      <c r="AL6">
        <f>INDEX($B$20:$GQ$20,MATCH(37,$B$29:$GQ$29,0))</f>
        <v>2.6234574109397518E-4</v>
      </c>
      <c r="AM6">
        <f>INDEX($B$20:$GQ$20,MATCH(38,$B$29:$GQ$29,0))</f>
        <v>1.811228763339297E-3</v>
      </c>
      <c r="AN6">
        <f>INDEX($B$20:$GQ$20,MATCH(39,$B$29:$GQ$29,0))</f>
        <v>4.8384744315090278E-4</v>
      </c>
      <c r="AO6">
        <f>INDEX($B$20:$GQ$20,MATCH(40,$B$29:$GQ$29,0))</f>
        <v>1.212900757386895E-2</v>
      </c>
      <c r="AP6">
        <f>INDEX($B$20:$GQ$20,MATCH(41,$B$29:$GQ$29,0))</f>
        <v>2.9112601692935941E-3</v>
      </c>
      <c r="AQ6">
        <f>INDEX($B$20:$GQ$20,MATCH(42,$B$29:$GQ$29,0))</f>
        <v>4.9383923764108112E-4</v>
      </c>
      <c r="AR6">
        <f>INDEX($B$20:$GQ$20,MATCH(43,$B$29:$GQ$29,0))</f>
        <v>3.8412271842819001E-3</v>
      </c>
      <c r="AS6">
        <f>INDEX($B$20:$GQ$20,MATCH(44,$B$29:$GQ$29,0))</f>
        <v>0</v>
      </c>
      <c r="AT6">
        <f>INDEX($B$20:$GQ$20,MATCH(45,$B$29:$GQ$29,0))</f>
        <v>1.985469729680503E-4</v>
      </c>
      <c r="AU6">
        <f>INDEX($B$20:$GQ$20,MATCH(46,$B$29:$GQ$29,0))</f>
        <v>1.3271096375134389E-4</v>
      </c>
      <c r="AV6">
        <f>INDEX($B$20:$GQ$20,MATCH(47,$B$29:$GQ$29,0))</f>
        <v>0</v>
      </c>
      <c r="AW6">
        <f>INDEX($B$20:$GQ$20,MATCH(48,$B$29:$GQ$29,0))</f>
        <v>8.2907307309452679E-4</v>
      </c>
      <c r="AX6">
        <f>INDEX($B$20:$GQ$20,MATCH(49,$B$29:$GQ$29,0))</f>
        <v>0</v>
      </c>
      <c r="AY6">
        <f>INDEX($B$20:$GQ$20,MATCH(50,$B$29:$GQ$29,0))</f>
        <v>0</v>
      </c>
      <c r="AZ6">
        <f>INDEX($B$20:$GQ$20,MATCH(51,$B$29:$GQ$29,0))</f>
        <v>1.401099669234383E-3</v>
      </c>
      <c r="BA6">
        <f>INDEX($B$20:$GQ$20,MATCH(52,$B$29:$GQ$29,0))</f>
        <v>2.5562293079100981E-4</v>
      </c>
      <c r="BB6">
        <f>INDEX($B$20:$GQ$20,MATCH(53,$B$29:$GQ$29,0))</f>
        <v>2.5047917227251359E-4</v>
      </c>
      <c r="BC6">
        <f>INDEX($B$20:$GQ$20,MATCH(54,$B$29:$GQ$29,0))</f>
        <v>2.0658228806527871E-4</v>
      </c>
      <c r="BD6">
        <f>INDEX($B$20:$GQ$20,MATCH(55,$B$29:$GQ$29,0))</f>
        <v>1.3599724709691321E-3</v>
      </c>
      <c r="BE6">
        <f>INDEX($B$20:$GQ$20,MATCH(56,$B$29:$GQ$29,0))</f>
        <v>6.6316172627263329E-4</v>
      </c>
      <c r="BF6">
        <f>INDEX($B$20:$GQ$20,MATCH(57,$B$29:$GQ$29,0))</f>
        <v>3.9906959541152E-4</v>
      </c>
      <c r="BG6">
        <f>INDEX($B$20:$GQ$20,MATCH(58,$B$29:$GQ$29,0))</f>
        <v>3.1865596373943222E-4</v>
      </c>
      <c r="BH6">
        <f>INDEX($B$20:$GQ$20,MATCH(59,$B$29:$GQ$29,0))</f>
        <v>1.5427594831169491E-3</v>
      </c>
      <c r="BI6">
        <f>INDEX($B$20:$GQ$20,MATCH(60,$B$29:$GQ$29,0))</f>
        <v>1.199837800882966E-4</v>
      </c>
      <c r="BJ6">
        <f>INDEX($B$20:$GQ$20,MATCH(61,$B$29:$GQ$29,0))</f>
        <v>6.1517477562794806E-4</v>
      </c>
      <c r="BK6">
        <f>INDEX($B$20:$GQ$20,MATCH(62,$B$29:$GQ$29,0))</f>
        <v>2.6542721455461491E-5</v>
      </c>
      <c r="BL6">
        <f>INDEX($B$20:$GQ$20,MATCH(63,$B$29:$GQ$29,0))</f>
        <v>0</v>
      </c>
      <c r="BM6">
        <f>INDEX($B$20:$GQ$20,MATCH(64,$B$29:$GQ$29,0))</f>
        <v>1.5820357205031211E-4</v>
      </c>
      <c r="BN6">
        <f>INDEX($B$20:$GQ$20,MATCH(65,$B$29:$GQ$29,0))</f>
        <v>6.9317385546315295E-4</v>
      </c>
      <c r="BO6">
        <f>INDEX($B$20:$GQ$20,MATCH(66,$B$29:$GQ$29,0))</f>
        <v>5.0572984032001649E-4</v>
      </c>
      <c r="BP6">
        <f>INDEX($B$20:$GQ$20,MATCH(67,$B$29:$GQ$29,0))</f>
        <v>4.7231606870503434E-3</v>
      </c>
      <c r="BQ6">
        <f>INDEX($B$20:$GQ$20,MATCH(68,$B$29:$GQ$29,0))</f>
        <v>1.805177969786232E-4</v>
      </c>
      <c r="BR6">
        <f>INDEX($B$20:$GQ$20,MATCH(69,$B$29:$GQ$29,0))</f>
        <v>0</v>
      </c>
      <c r="BS6">
        <f>INDEX($B$20:$GQ$20,MATCH(70,$B$29:$GQ$29,0))</f>
        <v>0</v>
      </c>
      <c r="BT6">
        <f>INDEX($B$20:$GQ$20,MATCH(71,$B$29:$GQ$29,0))</f>
        <v>3.2841740929609952E-4</v>
      </c>
      <c r="BU6">
        <f>INDEX($B$20:$GQ$20,MATCH(72,$B$29:$GQ$29,0))</f>
        <v>0</v>
      </c>
      <c r="BV6">
        <f>INDEX($B$20:$GQ$20,MATCH(73,$B$29:$GQ$29,0))</f>
        <v>0</v>
      </c>
      <c r="BW6">
        <f>INDEX($B$20:$GQ$20,MATCH(74,$B$29:$GQ$29,0))</f>
        <v>1.7888033015320769E-3</v>
      </c>
      <c r="BX6">
        <f>INDEX($B$20:$GQ$20,MATCH(75,$B$29:$GQ$29,0))</f>
        <v>9.3222545795521982E-3</v>
      </c>
      <c r="BY6">
        <f>INDEX($B$20:$GQ$20,MATCH(76,$B$29:$GQ$29,0))</f>
        <v>6.1580806860986196E-4</v>
      </c>
      <c r="BZ6">
        <f>INDEX($B$20:$GQ$20,MATCH(77,$B$29:$GQ$29,0))</f>
        <v>3.7274123290072372E-4</v>
      </c>
      <c r="CA6">
        <f>INDEX($B$20:$GQ$20,MATCH(78,$B$29:$GQ$29,0))</f>
        <v>0</v>
      </c>
      <c r="CB6">
        <f>INDEX($B$20:$GQ$20,MATCH(79,$B$29:$GQ$29,0))</f>
        <v>0</v>
      </c>
      <c r="CC6">
        <f>INDEX($B$20:$GQ$20,MATCH(80,$B$29:$GQ$29,0))</f>
        <v>2.200508930113836E-4</v>
      </c>
      <c r="CD6">
        <f>INDEX($B$20:$GQ$20,MATCH(81,$B$29:$GQ$29,0))</f>
        <v>0</v>
      </c>
      <c r="CE6">
        <f>INDEX($B$20:$GQ$20,MATCH(82,$B$29:$GQ$29,0))</f>
        <v>8.1918685782398238E-4</v>
      </c>
      <c r="CF6">
        <f>INDEX($B$20:$GQ$20,MATCH(83,$B$29:$GQ$29,0))</f>
        <v>3.9082560137480279E-4</v>
      </c>
      <c r="CG6">
        <f>INDEX($B$20:$GQ$20,MATCH(84,$B$29:$GQ$29,0))</f>
        <v>0</v>
      </c>
      <c r="CH6">
        <f>INDEX($B$20:$GQ$20,MATCH(85,$B$29:$GQ$29,0))</f>
        <v>0</v>
      </c>
      <c r="CI6">
        <f>INDEX($B$20:$GQ$20,MATCH(86,$B$29:$GQ$29,0))</f>
        <v>0</v>
      </c>
      <c r="CJ6">
        <f>INDEX($B$20:$GQ$20,MATCH(87,$B$29:$GQ$29,0))</f>
        <v>4.0114459181221201E-4</v>
      </c>
      <c r="CK6">
        <f>INDEX($B$20:$GQ$20,MATCH(88,$B$29:$GQ$29,0))</f>
        <v>1.041783322823361E-3</v>
      </c>
      <c r="CL6">
        <f>INDEX($B$20:$GQ$20,MATCH(89,$B$29:$GQ$29,0))</f>
        <v>5.1875752305167062E-3</v>
      </c>
      <c r="CM6">
        <f>INDEX($B$20:$GQ$20,MATCH(90,$B$29:$GQ$29,0))</f>
        <v>9.8381439440348791E-4</v>
      </c>
      <c r="CN6">
        <f>INDEX($B$20:$GQ$20,MATCH(91,$B$29:$GQ$29,0))</f>
        <v>3.3530922487285092E-4</v>
      </c>
      <c r="CO6">
        <f>INDEX($B$20:$GQ$20,MATCH(92,$B$29:$GQ$29,0))</f>
        <v>6.3938173759779486E-4</v>
      </c>
      <c r="CP6">
        <f>INDEX($B$20:$GQ$20,MATCH(93,$B$29:$GQ$29,0))</f>
        <v>9.7078814946632442E-5</v>
      </c>
      <c r="CQ6">
        <f>INDEX($B$20:$GQ$20,MATCH(94,$B$29:$GQ$29,0))</f>
        <v>3.0467865889747463E-4</v>
      </c>
      <c r="CR6">
        <f>INDEX($B$20:$GQ$20,MATCH(95,$B$29:$GQ$29,0))</f>
        <v>0</v>
      </c>
      <c r="CS6">
        <f>INDEX($B$20:$GQ$20,MATCH(96,$B$29:$GQ$29,0))</f>
        <v>1.189483448114157E-3</v>
      </c>
      <c r="CT6">
        <f>INDEX($B$20:$GQ$20,MATCH(97,$B$29:$GQ$29,0))</f>
        <v>3.7516475525644672E-3</v>
      </c>
      <c r="CU6">
        <f>INDEX($B$20:$GQ$20,MATCH(98,$B$29:$GQ$29,0))</f>
        <v>6.3236563480949248E-4</v>
      </c>
      <c r="CV6">
        <f>INDEX($B$20:$GQ$20,MATCH(99,$B$29:$GQ$29,0))</f>
        <v>1.2275422521000781E-3</v>
      </c>
      <c r="CW6">
        <f>INDEX($B$20:$GQ$20,MATCH(100,$B$29:$GQ$29,0))</f>
        <v>9.0006446243132859E-4</v>
      </c>
      <c r="CX6">
        <f>INDEX($B$20:$GQ$20,MATCH(101,$B$29:$GQ$29,0))</f>
        <v>8.2223498129417775E-5</v>
      </c>
      <c r="CY6">
        <f>INDEX($B$20:$GQ$20,MATCH(102,$B$29:$GQ$29,0))</f>
        <v>3.8462398292089919E-4</v>
      </c>
      <c r="CZ6">
        <f>INDEX($B$20:$GQ$20,MATCH(103,$B$29:$GQ$29,0))</f>
        <v>4.2374109340047713E-4</v>
      </c>
      <c r="DA6">
        <f>INDEX($B$20:$GQ$20,MATCH(104,$B$29:$GQ$29,0))</f>
        <v>1.07352659045294E-4</v>
      </c>
      <c r="DB6">
        <f>INDEX($B$20:$GQ$20,MATCH(105,$B$29:$GQ$29,0))</f>
        <v>3.2696357933741419E-4</v>
      </c>
      <c r="DC6">
        <f>INDEX($B$20:$GQ$20,MATCH(106,$B$29:$GQ$29,0))</f>
        <v>5.7188586687961112E-4</v>
      </c>
      <c r="DD6">
        <f>INDEX($B$20:$GQ$20,MATCH(107,$B$29:$GQ$29,0))</f>
        <v>9.7174620370911891E-4</v>
      </c>
      <c r="DE6">
        <f>INDEX($B$20:$GQ$20,MATCH(108,$B$29:$GQ$29,0))</f>
        <v>2.4105856799894849E-4</v>
      </c>
      <c r="DF6">
        <f>INDEX($B$20:$GQ$20,MATCH(109,$B$29:$GQ$29,0))</f>
        <v>2.7805150145326341E-3</v>
      </c>
      <c r="DG6">
        <f>INDEX($B$20:$GQ$20,MATCH(110,$B$29:$GQ$29,0))</f>
        <v>4.1661057694896413E-5</v>
      </c>
      <c r="DH6">
        <f>INDEX($B$20:$GQ$20,MATCH(111,$B$29:$GQ$29,0))</f>
        <v>5.7794580303748315E-4</v>
      </c>
      <c r="DI6">
        <f>INDEX($B$20:$GQ$20,MATCH(112,$B$29:$GQ$29,0))</f>
        <v>1.7920454362061009E-3</v>
      </c>
      <c r="DJ6">
        <f>INDEX($B$20:$GQ$20,MATCH(113,$B$29:$GQ$29,0))</f>
        <v>7.0207591975421271E-4</v>
      </c>
      <c r="DK6">
        <f>INDEX($B$20:$GQ$20,MATCH(114,$B$29:$GQ$29,0))</f>
        <v>0</v>
      </c>
      <c r="DL6">
        <f>INDEX($B$20:$GQ$20,MATCH(115,$B$29:$GQ$29,0))</f>
        <v>9.528847548238719E-4</v>
      </c>
      <c r="DM6">
        <f>INDEX($B$20:$GQ$20,MATCH(116,$B$29:$GQ$29,0))</f>
        <v>7.0518978667583737E-4</v>
      </c>
      <c r="DN6">
        <f>INDEX($B$20:$GQ$20,MATCH(117,$B$29:$GQ$29,0))</f>
        <v>4.4541756885689886E-3</v>
      </c>
      <c r="DO6">
        <f>INDEX($B$20:$GQ$20,MATCH(118,$B$29:$GQ$29,0))</f>
        <v>0</v>
      </c>
      <c r="DP6">
        <f>INDEX($B$20:$GQ$20,MATCH(119,$B$29:$GQ$29,0))</f>
        <v>8.6068239506976107E-4</v>
      </c>
      <c r="DQ6">
        <f>INDEX($B$20:$GQ$20,MATCH(120,$B$29:$GQ$29,0))</f>
        <v>1.0568998707410271E-3</v>
      </c>
      <c r="DR6">
        <f>INDEX($B$20:$GQ$20,MATCH(121,$B$29:$GQ$29,0))</f>
        <v>8.380507761552538E-4</v>
      </c>
      <c r="DS6">
        <f>INDEX($B$20:$GQ$20,MATCH(122,$B$29:$GQ$29,0))</f>
        <v>2.5938727935815979E-4</v>
      </c>
      <c r="DT6">
        <f>INDEX($B$20:$GQ$20,MATCH(123,$B$29:$GQ$29,0))</f>
        <v>3.62868735004757E-4</v>
      </c>
      <c r="DU6">
        <f>INDEX($B$20:$GQ$20,MATCH(124,$B$29:$GQ$29,0))</f>
        <v>3.7263569165508952E-3</v>
      </c>
      <c r="DV6">
        <f>INDEX($B$20:$GQ$20,MATCH(125,$B$29:$GQ$29,0))</f>
        <v>0</v>
      </c>
      <c r="DW6">
        <f>INDEX($B$20:$GQ$20,MATCH(126,$B$29:$GQ$29,0))</f>
        <v>2.597477311626481E-5</v>
      </c>
      <c r="DX6">
        <f>INDEX($B$20:$GQ$20,MATCH(127,$B$29:$GQ$29,0))</f>
        <v>0</v>
      </c>
      <c r="DY6">
        <f>INDEX($B$20:$GQ$20,MATCH(128,$B$29:$GQ$29,0))</f>
        <v>9.5284058820224238E-4</v>
      </c>
      <c r="DZ6">
        <f>INDEX($B$20:$GQ$20,MATCH(129,$B$29:$GQ$29,0))</f>
        <v>1.136091949839424E-3</v>
      </c>
      <c r="EA6">
        <f>INDEX($B$20:$GQ$20,MATCH(130,$B$29:$GQ$29,0))</f>
        <v>0</v>
      </c>
      <c r="EB6">
        <f>INDEX($B$20:$GQ$20,MATCH(131,$B$29:$GQ$29,0))</f>
        <v>8.4056742278966511E-4</v>
      </c>
      <c r="EC6">
        <f>INDEX($B$20:$GQ$20,MATCH(132,$B$29:$GQ$29,0))</f>
        <v>3.5514958756717322E-4</v>
      </c>
      <c r="ED6">
        <f>INDEX($B$20:$GQ$20,MATCH(133,$B$29:$GQ$29,0))</f>
        <v>1.3785737457628331E-4</v>
      </c>
      <c r="EE6">
        <f>INDEX($B$20:$GQ$20,MATCH(134,$B$29:$GQ$29,0))</f>
        <v>2.39933125744912E-3</v>
      </c>
      <c r="EF6">
        <f>INDEX($B$20:$GQ$20,MATCH(135,$B$29:$GQ$29,0))</f>
        <v>1.4083214679640689E-3</v>
      </c>
      <c r="EG6">
        <f>INDEX($B$20:$GQ$20,MATCH(136,$B$29:$GQ$29,0))</f>
        <v>2.6305499531118067E-4</v>
      </c>
      <c r="EH6">
        <f>INDEX($B$20:$GQ$20,MATCH(137,$B$29:$GQ$29,0))</f>
        <v>0</v>
      </c>
      <c r="EI6">
        <f>INDEX($B$20:$GQ$20,MATCH(138,$B$29:$GQ$29,0))</f>
        <v>0</v>
      </c>
      <c r="EJ6">
        <f>INDEX($B$20:$GQ$20,MATCH(139,$B$29:$GQ$29,0))</f>
        <v>1.360684944526832E-3</v>
      </c>
      <c r="EK6">
        <f>INDEX($B$20:$GQ$20,MATCH(140,$B$29:$GQ$29,0))</f>
        <v>0</v>
      </c>
      <c r="EL6">
        <f>INDEX($B$20:$GQ$20,MATCH(141,$B$29:$GQ$29,0))</f>
        <v>5.7543069421103668E-4</v>
      </c>
      <c r="EM6">
        <f>INDEX($B$20:$GQ$20,MATCH(142,$B$29:$GQ$29,0))</f>
        <v>0</v>
      </c>
      <c r="EN6">
        <f>INDEX($B$20:$GQ$20,MATCH(143,$B$29:$GQ$29,0))</f>
        <v>2.6012706115337079E-3</v>
      </c>
      <c r="EO6">
        <f>INDEX($B$20:$GQ$20,MATCH(144,$B$29:$GQ$29,0))</f>
        <v>0</v>
      </c>
      <c r="EP6">
        <f>INDEX($B$20:$GQ$20,MATCH(145,$B$29:$GQ$29,0))</f>
        <v>0</v>
      </c>
      <c r="EQ6">
        <f>INDEX($B$20:$GQ$20,MATCH(146,$B$29:$GQ$29,0))</f>
        <v>2.4024569808097569E-4</v>
      </c>
      <c r="ER6">
        <f>INDEX($B$20:$GQ$20,MATCH(147,$B$29:$GQ$29,0))</f>
        <v>9.2714758986194772E-4</v>
      </c>
      <c r="ES6">
        <f>INDEX($B$20:$GQ$20,MATCH(148,$B$29:$GQ$29,0))</f>
        <v>0.73153841469341707</v>
      </c>
      <c r="ET6">
        <f>INDEX($B$20:$GQ$20,MATCH(149,$B$29:$GQ$29,0))</f>
        <v>9.1098267848534588E-4</v>
      </c>
      <c r="EU6">
        <f>INDEX($B$20:$GQ$20,MATCH(150,$B$29:$GQ$29,0))</f>
        <v>8.9332205308776844E-4</v>
      </c>
      <c r="EV6">
        <f>INDEX($B$20:$GQ$20,MATCH(151,$B$29:$GQ$29,0))</f>
        <v>5.1225388778569788E-4</v>
      </c>
      <c r="EW6">
        <f>INDEX($B$20:$GQ$20,MATCH(152,$B$29:$GQ$29,0))</f>
        <v>1.1670273970952199E-3</v>
      </c>
      <c r="EX6">
        <f>INDEX($B$20:$GQ$20,MATCH(153,$B$29:$GQ$29,0))</f>
        <v>0</v>
      </c>
      <c r="EY6">
        <f>INDEX($B$20:$GQ$20,MATCH(154,$B$29:$GQ$29,0))</f>
        <v>0</v>
      </c>
      <c r="EZ6">
        <f>INDEX($B$20:$GQ$20,MATCH(155,$B$29:$GQ$29,0))</f>
        <v>3.2942279758548638E-4</v>
      </c>
      <c r="FA6">
        <f>INDEX($B$20:$GQ$20,MATCH(156,$B$29:$GQ$29,0))</f>
        <v>2.4585296720889562E-4</v>
      </c>
      <c r="FB6">
        <f>INDEX($B$20:$GQ$20,MATCH(157,$B$29:$GQ$29,0))</f>
        <v>0</v>
      </c>
      <c r="FC6">
        <f>INDEX($B$20:$GQ$20,MATCH(158,$B$29:$GQ$29,0))</f>
        <v>6.6129389109544372E-4</v>
      </c>
      <c r="FD6">
        <f>INDEX($B$20:$GQ$20,MATCH(159,$B$29:$GQ$29,0))</f>
        <v>1.9355213233212919E-4</v>
      </c>
      <c r="FE6">
        <f>INDEX($B$20:$GQ$20,MATCH(160,$B$29:$GQ$29,0))</f>
        <v>7.0504279975642386E-4</v>
      </c>
      <c r="FF6">
        <f>INDEX($B$20:$GQ$20,MATCH(161,$B$29:$GQ$29,0))</f>
        <v>0</v>
      </c>
      <c r="FG6">
        <f>INDEX($B$20:$GQ$20,MATCH(162,$B$29:$GQ$29,0))</f>
        <v>0</v>
      </c>
      <c r="FH6">
        <f>INDEX($B$20:$GQ$20,MATCH(163,$B$29:$GQ$29,0))</f>
        <v>0</v>
      </c>
      <c r="FI6">
        <f>INDEX($B$20:$GQ$20,MATCH(164,$B$29:$GQ$29,0))</f>
        <v>0</v>
      </c>
      <c r="FJ6">
        <f>INDEX($B$20:$GQ$20,MATCH(165,$B$29:$GQ$29,0))</f>
        <v>3.4621348410646419E-3</v>
      </c>
      <c r="FK6">
        <f>INDEX($B$20:$GQ$20,MATCH(166,$B$29:$GQ$29,0))</f>
        <v>2.8803935166018689E-4</v>
      </c>
      <c r="FL6">
        <f>INDEX($B$20:$GQ$20,MATCH(167,$B$29:$GQ$29,0))</f>
        <v>1.381979741349861E-3</v>
      </c>
      <c r="FM6">
        <f>INDEX($B$20:$GQ$20,MATCH(168,$B$29:$GQ$29,0))</f>
        <v>1.8171956864828799E-4</v>
      </c>
      <c r="FN6">
        <f>INDEX($B$20:$GQ$20,MATCH(169,$B$29:$GQ$29,0))</f>
        <v>2.9102749964008388E-4</v>
      </c>
      <c r="FO6">
        <f>INDEX($B$20:$GQ$20,MATCH(170,$B$29:$GQ$29,0))</f>
        <v>9.9461403908209226E-8</v>
      </c>
      <c r="FP6">
        <f>INDEX($B$20:$GQ$20,MATCH(171,$B$29:$GQ$29,0))</f>
        <v>2.0563358685964981E-4</v>
      </c>
      <c r="FQ6">
        <f>INDEX($B$20:$GQ$20,MATCH(172,$B$29:$GQ$29,0))</f>
        <v>1.1274906231318689E-3</v>
      </c>
      <c r="FR6">
        <f>INDEX($B$20:$GQ$20,MATCH(173,$B$29:$GQ$29,0))</f>
        <v>1.3332444347204119E-3</v>
      </c>
      <c r="FS6">
        <f>INDEX($B$20:$GQ$20,MATCH(174,$B$29:$GQ$29,0))</f>
        <v>7.2074086085227883E-5</v>
      </c>
      <c r="FT6">
        <f>INDEX($B$20:$GQ$20,MATCH(175,$B$29:$GQ$29,0))</f>
        <v>8.634814816461825E-4</v>
      </c>
      <c r="FU6">
        <f>INDEX($B$20:$GQ$20,MATCH(176,$B$29:$GQ$29,0))</f>
        <v>0</v>
      </c>
      <c r="FV6">
        <f>INDEX($B$20:$GQ$20,MATCH(177,$B$29:$GQ$29,0))</f>
        <v>3.900988684497599E-3</v>
      </c>
      <c r="FW6">
        <f>INDEX($B$20:$GQ$20,MATCH(178,$B$29:$GQ$29,0))</f>
        <v>7.2642924722419924E-4</v>
      </c>
      <c r="FX6">
        <f>INDEX($B$20:$GQ$20,MATCH(179,$B$29:$GQ$29,0))</f>
        <v>4.0464915900854329E-4</v>
      </c>
      <c r="FY6">
        <f>INDEX($B$20:$GQ$20,MATCH(180,$B$29:$GQ$29,0))</f>
        <v>1.991975391557915E-3</v>
      </c>
      <c r="FZ6">
        <f>INDEX($B$20:$GQ$20,MATCH(181,$B$29:$GQ$29,0))</f>
        <v>0</v>
      </c>
      <c r="GA6">
        <f>INDEX($B$20:$GQ$20,MATCH(182,$B$29:$GQ$29,0))</f>
        <v>2.1088425775288221E-4</v>
      </c>
      <c r="GB6">
        <f>INDEX($B$20:$GQ$20,MATCH(183,$B$29:$GQ$29,0))</f>
        <v>4.8912998819893049E-4</v>
      </c>
      <c r="GC6">
        <f>INDEX($B$20:$GQ$20,MATCH(184,$B$29:$GQ$29,0))</f>
        <v>1.5309821498455099E-5</v>
      </c>
      <c r="GD6">
        <f>INDEX($B$20:$GQ$20,MATCH(185,$B$29:$GQ$29,0))</f>
        <v>0</v>
      </c>
      <c r="GE6">
        <f>INDEX($B$20:$GQ$20,MATCH(186,$B$29:$GQ$29,0))</f>
        <v>2.5340862846810839E-4</v>
      </c>
      <c r="GF6">
        <f>INDEX($B$20:$GQ$20,MATCH(187,$B$29:$GQ$29,0))</f>
        <v>0</v>
      </c>
      <c r="GG6">
        <f>INDEX($B$20:$GQ$20,MATCH(188,$B$29:$GQ$29,0))</f>
        <v>2.4533880443513998E-4</v>
      </c>
      <c r="GH6">
        <f>INDEX($B$20:$GQ$20,MATCH(189,$B$29:$GQ$29,0))</f>
        <v>7.6562073559661107E-3</v>
      </c>
      <c r="GI6">
        <f>INDEX($B$20:$GQ$20,MATCH(190,$B$29:$GQ$29,0))</f>
        <v>4.7971305410443132E-4</v>
      </c>
      <c r="GJ6">
        <f>INDEX($B$20:$GQ$20,MATCH(191,$B$29:$GQ$29,0))</f>
        <v>8.7748287246617218E-4</v>
      </c>
      <c r="GK6">
        <f>INDEX($B$20:$GQ$20,MATCH(192,$B$29:$GQ$29,0))</f>
        <v>2.4960462983412849E-4</v>
      </c>
      <c r="GL6">
        <f>INDEX($B$20:$GQ$20,MATCH(193,$B$29:$GQ$29,0))</f>
        <v>1.599037261111446E-3</v>
      </c>
      <c r="GM6">
        <f>INDEX($B$20:$GQ$20,MATCH(194,$B$29:$GQ$29,0))</f>
        <v>7.8775732274983092E-4</v>
      </c>
      <c r="GN6">
        <f>INDEX($B$20:$GQ$20,MATCH(195,$B$29:$GQ$29,0))</f>
        <v>6.9959301915804254E-4</v>
      </c>
      <c r="GO6">
        <f>INDEX($B$20:$GQ$20,MATCH(196,$B$29:$GQ$29,0))</f>
        <v>0</v>
      </c>
      <c r="GP6">
        <f>INDEX($B$20:$GQ$20,MATCH(197,$B$29:$GQ$29,0))</f>
        <v>0</v>
      </c>
      <c r="GQ6">
        <f>INDEX($B$20:$GQ$20,MATCH(198,$B$29:$GQ$29,0))</f>
        <v>4.37789456335963E-4</v>
      </c>
      <c r="GR6">
        <f>INDEX($GR$20:$HC$20,MATCH(1,$GR$30:$HC$30,0))</f>
        <v>2.7287634216954749E-4</v>
      </c>
      <c r="GS6">
        <f>INDEX($GR$20:$HC$20,MATCH(2,$GR$30:$HC$30,0))</f>
        <v>4.9418255791167434E-4</v>
      </c>
      <c r="GT6">
        <f>INDEX($GR$20:$HC$20,MATCH(3,$GR$30:$HC$30,0))</f>
        <v>4.7874631254835558E-4</v>
      </c>
      <c r="GU6">
        <f>INDEX($GR$20:$HC$20,MATCH(4,$GR$30:$HC$30,0))</f>
        <v>7.1461876321432592E-4</v>
      </c>
      <c r="GV6">
        <f>INDEX($GR$20:$HC$20,MATCH(5,$GR$30:$HC$30,0))</f>
        <v>1.2795211852103671E-3</v>
      </c>
      <c r="GW6">
        <f>INDEX($GR$20:$HC$20,MATCH(6,$GR$30:$HC$30,0))</f>
        <v>9.0091958013068847E-5</v>
      </c>
      <c r="GX6">
        <f>INDEX($GR$20:$HC$20,MATCH(7,$GR$30:$HC$30,0))</f>
        <v>2.07486939804626E-3</v>
      </c>
      <c r="GY6">
        <f>INDEX($GR$20:$HC$20,MATCH(8,$GR$30:$HC$30,0))</f>
        <v>1.7855476362052521E-3</v>
      </c>
      <c r="GZ6">
        <f>INDEX($GR$20:$HC$20,MATCH(9,$GR$30:$HC$30,0))</f>
        <v>1.421024074694796E-3</v>
      </c>
      <c r="HA6">
        <f>INDEX($GR$20:$HC$20,MATCH(10,$GR$30:$HC$30,0))</f>
        <v>0</v>
      </c>
      <c r="HB6">
        <f>INDEX($GR$20:$HC$20,MATCH(11,$GR$30:$HC$30,0))</f>
        <v>3.3644446257347988E-4</v>
      </c>
      <c r="HC6">
        <f>INDEX($GR$20:$HC$20,MATCH(12,$GR$30:$HC$30,0))</f>
        <v>3.146597321360098E-5</v>
      </c>
    </row>
    <row r="7" spans="1:211" x14ac:dyDescent="0.45">
      <c r="A7" s="1" t="s">
        <v>6</v>
      </c>
      <c r="B7">
        <f>INDEX($B$21:$GQ$21,MATCH(1,$B$29:$GQ$29,0))</f>
        <v>0</v>
      </c>
      <c r="C7">
        <f>INDEX($B$21:$GQ$21,MATCH(2,$B$29:$GQ$29,0))</f>
        <v>1267.5185599075201</v>
      </c>
      <c r="D7">
        <f>INDEX($B$21:$GQ$21,MATCH(3,$B$29:$GQ$29,0))</f>
        <v>1545.727142509</v>
      </c>
      <c r="E7">
        <f>INDEX($B$21:$GQ$21,MATCH(4,$B$29:$GQ$29,0))</f>
        <v>5070.0672428300004</v>
      </c>
      <c r="F7">
        <f>INDEX($B$21:$GQ$21,MATCH(5,$B$29:$GQ$29,0))</f>
        <v>8077.9817955548197</v>
      </c>
      <c r="G7">
        <f>INDEX($B$21:$GQ$21,MATCH(6,$B$29:$GQ$29,0))</f>
        <v>29014.020956100001</v>
      </c>
      <c r="H7">
        <f>INDEX($B$21:$GQ$21,MATCH(7,$B$29:$GQ$29,0))</f>
        <v>2378.0362296804178</v>
      </c>
      <c r="I7">
        <f>INDEX($B$21:$GQ$21,MATCH(8,$B$29:$GQ$29,0))</f>
        <v>2481.46822075</v>
      </c>
      <c r="J7">
        <f>INDEX($B$21:$GQ$21,MATCH(9,$B$29:$GQ$29,0))</f>
        <v>1038.4943145499999</v>
      </c>
      <c r="K7">
        <f>INDEX($B$21:$GQ$21,MATCH(10,$B$29:$GQ$29,0))</f>
        <v>11484.836648500001</v>
      </c>
      <c r="L7">
        <f>INDEX($B$21:$GQ$21,MATCH(11,$B$29:$GQ$29,0))</f>
        <v>4696.7749308100001</v>
      </c>
      <c r="M7">
        <f>INDEX($B$21:$GQ$21,MATCH(12,$B$29:$GQ$29,0))</f>
        <v>1806.0386160099999</v>
      </c>
      <c r="N7">
        <f>INDEX($B$21:$GQ$21,MATCH(13,$B$29:$GQ$29,0))</f>
        <v>1024.3292228667999</v>
      </c>
      <c r="O7">
        <f>INDEX($B$21:$GQ$21,MATCH(14,$B$29:$GQ$29,0))</f>
        <v>7198.1551780506543</v>
      </c>
      <c r="P7">
        <f>INDEX($B$21:$GQ$21,MATCH(15,$B$29:$GQ$29,0))</f>
        <v>2577.2612739800002</v>
      </c>
      <c r="Q7">
        <f>INDEX($B$21:$GQ$21,MATCH(16,$B$29:$GQ$29,0))</f>
        <v>0</v>
      </c>
      <c r="R7">
        <f>INDEX($B$21:$GQ$21,MATCH(17,$B$29:$GQ$29,0))</f>
        <v>2166.4317380399998</v>
      </c>
      <c r="S7">
        <f>INDEX($B$21:$GQ$21,MATCH(18,$B$29:$GQ$29,0))</f>
        <v>262.48153199278192</v>
      </c>
      <c r="T7">
        <f>INDEX($B$21:$GQ$21,MATCH(19,$B$29:$GQ$29,0))</f>
        <v>2813.8265550279998</v>
      </c>
      <c r="U7">
        <f>INDEX($B$21:$GQ$21,MATCH(20,$B$29:$GQ$29,0))</f>
        <v>854.20888969679993</v>
      </c>
      <c r="V7">
        <f>INDEX($B$21:$GQ$21,MATCH(21,$B$29:$GQ$29,0))</f>
        <v>0</v>
      </c>
      <c r="W7">
        <f>INDEX($B$21:$GQ$21,MATCH(22,$B$29:$GQ$29,0))</f>
        <v>10896.3904117</v>
      </c>
      <c r="X7">
        <f>INDEX($B$21:$GQ$21,MATCH(23,$B$29:$GQ$29,0))</f>
        <v>243.82395424985501</v>
      </c>
      <c r="Y7">
        <f>INDEX($B$21:$GQ$21,MATCH(24,$B$29:$GQ$29,0))</f>
        <v>3107.3829579702092</v>
      </c>
      <c r="Z7">
        <f>INDEX($B$21:$GQ$21,MATCH(25,$B$29:$GQ$29,0))</f>
        <v>1317.5141081675199</v>
      </c>
      <c r="AA7">
        <f>INDEX($B$21:$GQ$21,MATCH(26,$B$29:$GQ$29,0))</f>
        <v>892.77666270999998</v>
      </c>
      <c r="AB7">
        <f>INDEX($B$21:$GQ$21,MATCH(27,$B$29:$GQ$29,0))</f>
        <v>1145.74717822</v>
      </c>
      <c r="AC7">
        <f>INDEX($B$21:$GQ$21,MATCH(28,$B$29:$GQ$29,0))</f>
        <v>1038.6668066899999</v>
      </c>
      <c r="AD7">
        <f>INDEX($B$21:$GQ$21,MATCH(29,$B$29:$GQ$29,0))</f>
        <v>10799.400247</v>
      </c>
      <c r="AE7">
        <f>INDEX($B$21:$GQ$21,MATCH(30,$B$29:$GQ$29,0))</f>
        <v>2604.55483714</v>
      </c>
      <c r="AF7">
        <f>INDEX($B$21:$GQ$21,MATCH(31,$B$29:$GQ$29,0))</f>
        <v>0</v>
      </c>
      <c r="AG7">
        <f>INDEX($B$21:$GQ$21,MATCH(32,$B$29:$GQ$29,0))</f>
        <v>6643.3333910300007</v>
      </c>
      <c r="AH7">
        <f>INDEX($B$21:$GQ$21,MATCH(33,$B$29:$GQ$29,0))</f>
        <v>1737.93637934</v>
      </c>
      <c r="AI7">
        <f>INDEX($B$21:$GQ$21,MATCH(34,$B$29:$GQ$29,0))</f>
        <v>6.6187806119300001</v>
      </c>
      <c r="AJ7">
        <f>INDEX($B$21:$GQ$21,MATCH(35,$B$29:$GQ$29,0))</f>
        <v>95.863337095600002</v>
      </c>
      <c r="AK7">
        <f>INDEX($B$21:$GQ$21,MATCH(36,$B$29:$GQ$29,0))</f>
        <v>6666.4130958942833</v>
      </c>
      <c r="AL7">
        <f>INDEX($B$21:$GQ$21,MATCH(37,$B$29:$GQ$29,0))</f>
        <v>20.421948832948161</v>
      </c>
      <c r="AM7">
        <f>INDEX($B$21:$GQ$21,MATCH(38,$B$29:$GQ$29,0))</f>
        <v>393.41683792647649</v>
      </c>
      <c r="AN7">
        <f>INDEX($B$21:$GQ$21,MATCH(39,$B$29:$GQ$29,0))</f>
        <v>4669.9064481400001</v>
      </c>
      <c r="AO7">
        <f>INDEX($B$21:$GQ$21,MATCH(40,$B$29:$GQ$29,0))</f>
        <v>191.524540960959</v>
      </c>
      <c r="AP7">
        <f>INDEX($B$21:$GQ$21,MATCH(41,$B$29:$GQ$29,0))</f>
        <v>596.45047547599995</v>
      </c>
      <c r="AQ7">
        <f>INDEX($B$21:$GQ$21,MATCH(42,$B$29:$GQ$29,0))</f>
        <v>37.6718724459</v>
      </c>
      <c r="AR7">
        <f>INDEX($B$21:$GQ$21,MATCH(43,$B$29:$GQ$29,0))</f>
        <v>627.28953437057316</v>
      </c>
      <c r="AS7">
        <f>INDEX($B$21:$GQ$21,MATCH(44,$B$29:$GQ$29,0))</f>
        <v>134.96855356699999</v>
      </c>
      <c r="AT7">
        <f>INDEX($B$21:$GQ$21,MATCH(45,$B$29:$GQ$29,0))</f>
        <v>0</v>
      </c>
      <c r="AU7">
        <f>INDEX($B$21:$GQ$21,MATCH(46,$B$29:$GQ$29,0))</f>
        <v>63.361211080935377</v>
      </c>
      <c r="AV7">
        <f>INDEX($B$21:$GQ$21,MATCH(47,$B$29:$GQ$29,0))</f>
        <v>1220.2376179299999</v>
      </c>
      <c r="AW7">
        <f>INDEX($B$21:$GQ$21,MATCH(48,$B$29:$GQ$29,0))</f>
        <v>0</v>
      </c>
      <c r="AX7">
        <f>INDEX($B$21:$GQ$21,MATCH(49,$B$29:$GQ$29,0))</f>
        <v>652.78120585600004</v>
      </c>
      <c r="AY7">
        <f>INDEX($B$21:$GQ$21,MATCH(50,$B$29:$GQ$29,0))</f>
        <v>1549.8190821000001</v>
      </c>
      <c r="AZ7">
        <f>INDEX($B$21:$GQ$21,MATCH(51,$B$29:$GQ$29,0))</f>
        <v>709.18679688875659</v>
      </c>
      <c r="BA7">
        <f>INDEX($B$21:$GQ$21,MATCH(52,$B$29:$GQ$29,0))</f>
        <v>2010.42848448</v>
      </c>
      <c r="BB7">
        <f>INDEX($B$21:$GQ$21,MATCH(53,$B$29:$GQ$29,0))</f>
        <v>1559.8370236600001</v>
      </c>
      <c r="BC7">
        <f>INDEX($B$21:$GQ$21,MATCH(54,$B$29:$GQ$29,0))</f>
        <v>6719.8629984099998</v>
      </c>
      <c r="BD7">
        <f>INDEX($B$21:$GQ$21,MATCH(55,$B$29:$GQ$29,0))</f>
        <v>262.19233730575002</v>
      </c>
      <c r="BE7">
        <f>INDEX($B$21:$GQ$21,MATCH(56,$B$29:$GQ$29,0))</f>
        <v>4.2866716676400003</v>
      </c>
      <c r="BF7">
        <f>INDEX($B$21:$GQ$21,MATCH(57,$B$29:$GQ$29,0))</f>
        <v>1766.04037623</v>
      </c>
      <c r="BG7">
        <f>INDEX($B$21:$GQ$21,MATCH(58,$B$29:$GQ$29,0))</f>
        <v>107.8362040536</v>
      </c>
      <c r="BH7">
        <f>INDEX($B$21:$GQ$21,MATCH(59,$B$29:$GQ$29,0))</f>
        <v>324.71811889076042</v>
      </c>
      <c r="BI7">
        <f>INDEX($B$21:$GQ$21,MATCH(60,$B$29:$GQ$29,0))</f>
        <v>0</v>
      </c>
      <c r="BJ7">
        <f>INDEX($B$21:$GQ$21,MATCH(61,$B$29:$GQ$29,0))</f>
        <v>0.66543467202200002</v>
      </c>
      <c r="BK7">
        <f>INDEX($B$21:$GQ$21,MATCH(62,$B$29:$GQ$29,0))</f>
        <v>10172.62054431125</v>
      </c>
      <c r="BL7">
        <f>INDEX($B$21:$GQ$21,MATCH(63,$B$29:$GQ$29,0))</f>
        <v>50.540358367452967</v>
      </c>
      <c r="BM7">
        <f>INDEX($B$21:$GQ$21,MATCH(64,$B$29:$GQ$29,0))</f>
        <v>0</v>
      </c>
      <c r="BN7">
        <f>INDEX($B$21:$GQ$21,MATCH(65,$B$29:$GQ$29,0))</f>
        <v>286.21616942958212</v>
      </c>
      <c r="BO7">
        <f>INDEX($B$21:$GQ$21,MATCH(66,$B$29:$GQ$29,0))</f>
        <v>895.25021162600001</v>
      </c>
      <c r="BP7">
        <f>INDEX($B$21:$GQ$21,MATCH(67,$B$29:$GQ$29,0))</f>
        <v>5.4780863341700003</v>
      </c>
      <c r="BQ7">
        <f>INDEX($B$21:$GQ$21,MATCH(68,$B$29:$GQ$29,0))</f>
        <v>791.25578928899995</v>
      </c>
      <c r="BR7">
        <f>INDEX($B$21:$GQ$21,MATCH(69,$B$29:$GQ$29,0))</f>
        <v>0</v>
      </c>
      <c r="BS7">
        <f>INDEX($B$21:$GQ$21,MATCH(70,$B$29:$GQ$29,0))</f>
        <v>5191.81852316</v>
      </c>
      <c r="BT7">
        <f>INDEX($B$21:$GQ$21,MATCH(71,$B$29:$GQ$29,0))</f>
        <v>8.3376501952699993</v>
      </c>
      <c r="BU7">
        <f>INDEX($B$21:$GQ$21,MATCH(72,$B$29:$GQ$29,0))</f>
        <v>0</v>
      </c>
      <c r="BV7">
        <f>INDEX($B$21:$GQ$21,MATCH(73,$B$29:$GQ$29,0))</f>
        <v>0</v>
      </c>
      <c r="BW7">
        <f>INDEX($B$21:$GQ$21,MATCH(74,$B$29:$GQ$29,0))</f>
        <v>34.973120821718787</v>
      </c>
      <c r="BX7">
        <f>INDEX($B$21:$GQ$21,MATCH(75,$B$29:$GQ$29,0))</f>
        <v>2.8579230598600001</v>
      </c>
      <c r="BY7">
        <f>INDEX($B$21:$GQ$21,MATCH(76,$B$29:$GQ$29,0))</f>
        <v>520.47413446200005</v>
      </c>
      <c r="BZ7">
        <f>INDEX($B$21:$GQ$21,MATCH(77,$B$29:$GQ$29,0))</f>
        <v>612.42607809052072</v>
      </c>
      <c r="CA7">
        <f>INDEX($B$21:$GQ$21,MATCH(78,$B$29:$GQ$29,0))</f>
        <v>92.726657253900001</v>
      </c>
      <c r="CB7">
        <f>INDEX($B$21:$GQ$21,MATCH(79,$B$29:$GQ$29,0))</f>
        <v>10.798532357499999</v>
      </c>
      <c r="CC7">
        <f>INDEX($B$21:$GQ$21,MATCH(80,$B$29:$GQ$29,0))</f>
        <v>0</v>
      </c>
      <c r="CD7">
        <f>INDEX($B$21:$GQ$21,MATCH(81,$B$29:$GQ$29,0))</f>
        <v>12.452825049199999</v>
      </c>
      <c r="CE7">
        <f>INDEX($B$21:$GQ$21,MATCH(82,$B$29:$GQ$29,0))</f>
        <v>1.5981500333700001</v>
      </c>
      <c r="CF7">
        <f>INDEX($B$21:$GQ$21,MATCH(83,$B$29:$GQ$29,0))</f>
        <v>7.2681283026200001</v>
      </c>
      <c r="CG7">
        <f>INDEX($B$21:$GQ$21,MATCH(84,$B$29:$GQ$29,0))</f>
        <v>358.93550539300003</v>
      </c>
      <c r="CH7">
        <f>INDEX($B$21:$GQ$21,MATCH(85,$B$29:$GQ$29,0))</f>
        <v>1749.27710897</v>
      </c>
      <c r="CI7">
        <f>INDEX($B$21:$GQ$21,MATCH(86,$B$29:$GQ$29,0))</f>
        <v>7.47894238651</v>
      </c>
      <c r="CJ7">
        <f>INDEX($B$21:$GQ$21,MATCH(87,$B$29:$GQ$29,0))</f>
        <v>7.1772939881199997</v>
      </c>
      <c r="CK7">
        <f>INDEX($B$21:$GQ$21,MATCH(88,$B$29:$GQ$29,0))</f>
        <v>6.2167013558799988</v>
      </c>
      <c r="CL7">
        <f>INDEX($B$21:$GQ$21,MATCH(89,$B$29:$GQ$29,0))</f>
        <v>7.7745748429250057</v>
      </c>
      <c r="CM7">
        <f>INDEX($B$21:$GQ$21,MATCH(90,$B$29:$GQ$29,0))</f>
        <v>152.52438610900001</v>
      </c>
      <c r="CN7">
        <f>INDEX($B$21:$GQ$21,MATCH(91,$B$29:$GQ$29,0))</f>
        <v>0</v>
      </c>
      <c r="CO7">
        <f>INDEX($B$21:$GQ$21,MATCH(92,$B$29:$GQ$29,0))</f>
        <v>64.052776141426875</v>
      </c>
      <c r="CP7">
        <f>INDEX($B$21:$GQ$21,MATCH(93,$B$29:$GQ$29,0))</f>
        <v>0</v>
      </c>
      <c r="CQ7">
        <f>INDEX($B$21:$GQ$21,MATCH(94,$B$29:$GQ$29,0))</f>
        <v>7.7841592984684684</v>
      </c>
      <c r="CR7">
        <f>INDEX($B$21:$GQ$21,MATCH(95,$B$29:$GQ$29,0))</f>
        <v>18.17377665812187</v>
      </c>
      <c r="CS7">
        <f>INDEX($B$21:$GQ$21,MATCH(96,$B$29:$GQ$29,0))</f>
        <v>6.1707335051997774</v>
      </c>
      <c r="CT7">
        <f>INDEX($B$21:$GQ$21,MATCH(97,$B$29:$GQ$29,0))</f>
        <v>12.589531046076591</v>
      </c>
      <c r="CU7">
        <f>INDEX($B$21:$GQ$21,MATCH(98,$B$29:$GQ$29,0))</f>
        <v>130.97256975400001</v>
      </c>
      <c r="CV7">
        <f>INDEX($B$21:$GQ$21,MATCH(99,$B$29:$GQ$29,0))</f>
        <v>4.4869937232399604</v>
      </c>
      <c r="CW7">
        <f>INDEX($B$21:$GQ$21,MATCH(100,$B$29:$GQ$29,0))</f>
        <v>0.91095341557300002</v>
      </c>
      <c r="CX7">
        <f>INDEX($B$21:$GQ$21,MATCH(101,$B$29:$GQ$29,0))</f>
        <v>3.4561336392499999</v>
      </c>
      <c r="CY7">
        <f>INDEX($B$21:$GQ$21,MATCH(102,$B$29:$GQ$29,0))</f>
        <v>0</v>
      </c>
      <c r="CZ7">
        <f>INDEX($B$21:$GQ$21,MATCH(103,$B$29:$GQ$29,0))</f>
        <v>0.47988633069100001</v>
      </c>
      <c r="DA7">
        <f>INDEX($B$21:$GQ$21,MATCH(104,$B$29:$GQ$29,0))</f>
        <v>0.91886879222690554</v>
      </c>
      <c r="DB7">
        <f>INDEX($B$21:$GQ$21,MATCH(105,$B$29:$GQ$29,0))</f>
        <v>2.5196803371600001</v>
      </c>
      <c r="DC7">
        <f>INDEX($B$21:$GQ$21,MATCH(106,$B$29:$GQ$29,0))</f>
        <v>52.290447045240562</v>
      </c>
      <c r="DD7">
        <f>INDEX($B$21:$GQ$21,MATCH(107,$B$29:$GQ$29,0))</f>
        <v>1.4328711332499999</v>
      </c>
      <c r="DE7">
        <f>INDEX($B$21:$GQ$21,MATCH(108,$B$29:$GQ$29,0))</f>
        <v>44.522949826820003</v>
      </c>
      <c r="DF7">
        <f>INDEX($B$21:$GQ$21,MATCH(109,$B$29:$GQ$29,0))</f>
        <v>6.3533008602000001</v>
      </c>
      <c r="DG7">
        <f>INDEX($B$21:$GQ$21,MATCH(110,$B$29:$GQ$29,0))</f>
        <v>418.35490823388932</v>
      </c>
      <c r="DH7">
        <f>INDEX($B$21:$GQ$21,MATCH(111,$B$29:$GQ$29,0))</f>
        <v>0.63557573159500003</v>
      </c>
      <c r="DI7">
        <f>INDEX($B$21:$GQ$21,MATCH(112,$B$29:$GQ$29,0))</f>
        <v>2.2862877476796539</v>
      </c>
      <c r="DJ7">
        <f>INDEX($B$21:$GQ$21,MATCH(113,$B$29:$GQ$29,0))</f>
        <v>14.903983972800001</v>
      </c>
      <c r="DK7">
        <f>INDEX($B$21:$GQ$21,MATCH(114,$B$29:$GQ$29,0))</f>
        <v>1.81215275413</v>
      </c>
      <c r="DL7">
        <f>INDEX($B$21:$GQ$21,MATCH(115,$B$29:$GQ$29,0))</f>
        <v>7.4935930203748713</v>
      </c>
      <c r="DM7">
        <f>INDEX($B$21:$GQ$21,MATCH(116,$B$29:$GQ$29,0))</f>
        <v>5.55902005850945E-2</v>
      </c>
      <c r="DN7">
        <f>INDEX($B$21:$GQ$21,MATCH(117,$B$29:$GQ$29,0))</f>
        <v>0.112600342789</v>
      </c>
      <c r="DO7">
        <f>INDEX($B$21:$GQ$21,MATCH(118,$B$29:$GQ$29,0))</f>
        <v>1.6789142170569999</v>
      </c>
      <c r="DP7">
        <f>INDEX($B$21:$GQ$21,MATCH(119,$B$29:$GQ$29,0))</f>
        <v>5.4250360592692362</v>
      </c>
      <c r="DQ7">
        <f>INDEX($B$21:$GQ$21,MATCH(120,$B$29:$GQ$29,0))</f>
        <v>4.9947555776570151E-3</v>
      </c>
      <c r="DR7">
        <f>INDEX($B$21:$GQ$21,MATCH(121,$B$29:$GQ$29,0))</f>
        <v>1.3261887457802539</v>
      </c>
      <c r="DS7">
        <f>INDEX($B$21:$GQ$21,MATCH(122,$B$29:$GQ$29,0))</f>
        <v>4.31870936057E-2</v>
      </c>
      <c r="DT7">
        <f>INDEX($B$21:$GQ$21,MATCH(123,$B$29:$GQ$29,0))</f>
        <v>1.056828588528105</v>
      </c>
      <c r="DU7">
        <f>INDEX($B$21:$GQ$21,MATCH(124,$B$29:$GQ$29,0))</f>
        <v>0.1066507278430744</v>
      </c>
      <c r="DV7">
        <f>INDEX($B$21:$GQ$21,MATCH(125,$B$29:$GQ$29,0))</f>
        <v>0</v>
      </c>
      <c r="DW7">
        <f>INDEX($B$21:$GQ$21,MATCH(126,$B$29:$GQ$29,0))</f>
        <v>14.5218305376</v>
      </c>
      <c r="DX7">
        <f>INDEX($B$21:$GQ$21,MATCH(127,$B$29:$GQ$29,0))</f>
        <v>0.102340521859746</v>
      </c>
      <c r="DY7">
        <f>INDEX($B$21:$GQ$21,MATCH(128,$B$29:$GQ$29,0))</f>
        <v>0</v>
      </c>
      <c r="DZ7">
        <f>INDEX($B$21:$GQ$21,MATCH(129,$B$29:$GQ$29,0))</f>
        <v>6.0997008595128847E-2</v>
      </c>
      <c r="EA7">
        <f>INDEX($B$21:$GQ$21,MATCH(130,$B$29:$GQ$29,0))</f>
        <v>6.1700262321527496E-3</v>
      </c>
      <c r="EB7">
        <f>INDEX($B$21:$GQ$21,MATCH(131,$B$29:$GQ$29,0))</f>
        <v>3.9625614194724822E-4</v>
      </c>
      <c r="EC7">
        <f>INDEX($B$21:$GQ$21,MATCH(132,$B$29:$GQ$29,0))</f>
        <v>3.0458495076355003E-4</v>
      </c>
      <c r="ED7">
        <f>INDEX($B$21:$GQ$21,MATCH(133,$B$29:$GQ$29,0))</f>
        <v>0</v>
      </c>
      <c r="EE7">
        <f>INDEX($B$21:$GQ$21,MATCH(134,$B$29:$GQ$29,0))</f>
        <v>0</v>
      </c>
      <c r="EF7">
        <f>INDEX($B$21:$GQ$21,MATCH(135,$B$29:$GQ$29,0))</f>
        <v>0</v>
      </c>
      <c r="EG7">
        <f>INDEX($B$21:$GQ$21,MATCH(136,$B$29:$GQ$29,0))</f>
        <v>0</v>
      </c>
      <c r="EH7">
        <f>INDEX($B$21:$GQ$21,MATCH(137,$B$29:$GQ$29,0))</f>
        <v>0</v>
      </c>
      <c r="EI7">
        <f>INDEX($B$21:$GQ$21,MATCH(138,$B$29:$GQ$29,0))</f>
        <v>0</v>
      </c>
      <c r="EJ7">
        <f>INDEX($B$21:$GQ$21,MATCH(139,$B$29:$GQ$29,0))</f>
        <v>0</v>
      </c>
      <c r="EK7">
        <f>INDEX($B$21:$GQ$21,MATCH(140,$B$29:$GQ$29,0))</f>
        <v>0</v>
      </c>
      <c r="EL7">
        <f>INDEX($B$21:$GQ$21,MATCH(141,$B$29:$GQ$29,0))</f>
        <v>0</v>
      </c>
      <c r="EM7">
        <f>INDEX($B$21:$GQ$21,MATCH(142,$B$29:$GQ$29,0))</f>
        <v>0</v>
      </c>
      <c r="EN7">
        <f>INDEX($B$21:$GQ$21,MATCH(143,$B$29:$GQ$29,0))</f>
        <v>0</v>
      </c>
      <c r="EO7">
        <f>INDEX($B$21:$GQ$21,MATCH(144,$B$29:$GQ$29,0))</f>
        <v>0</v>
      </c>
      <c r="EP7">
        <f>INDEX($B$21:$GQ$21,MATCH(145,$B$29:$GQ$29,0))</f>
        <v>0</v>
      </c>
      <c r="EQ7">
        <f>INDEX($B$21:$GQ$21,MATCH(146,$B$29:$GQ$29,0))</f>
        <v>0</v>
      </c>
      <c r="ER7">
        <f>INDEX($B$21:$GQ$21,MATCH(147,$B$29:$GQ$29,0))</f>
        <v>0</v>
      </c>
      <c r="ES7">
        <f>INDEX($B$21:$GQ$21,MATCH(148,$B$29:$GQ$29,0))</f>
        <v>0</v>
      </c>
      <c r="ET7">
        <f>INDEX($B$21:$GQ$21,MATCH(149,$B$29:$GQ$29,0))</f>
        <v>0</v>
      </c>
      <c r="EU7">
        <f>INDEX($B$21:$GQ$21,MATCH(150,$B$29:$GQ$29,0))</f>
        <v>0</v>
      </c>
      <c r="EV7">
        <f>INDEX($B$21:$GQ$21,MATCH(151,$B$29:$GQ$29,0))</f>
        <v>0</v>
      </c>
      <c r="EW7">
        <f>INDEX($B$21:$GQ$21,MATCH(152,$B$29:$GQ$29,0))</f>
        <v>0</v>
      </c>
      <c r="EX7">
        <f>INDEX($B$21:$GQ$21,MATCH(153,$B$29:$GQ$29,0))</f>
        <v>0</v>
      </c>
      <c r="EY7">
        <f>INDEX($B$21:$GQ$21,MATCH(154,$B$29:$GQ$29,0))</f>
        <v>0</v>
      </c>
      <c r="EZ7">
        <f>INDEX($B$21:$GQ$21,MATCH(155,$B$29:$GQ$29,0))</f>
        <v>0</v>
      </c>
      <c r="FA7">
        <f>INDEX($B$21:$GQ$21,MATCH(156,$B$29:$GQ$29,0))</f>
        <v>0</v>
      </c>
      <c r="FB7">
        <f>INDEX($B$21:$GQ$21,MATCH(157,$B$29:$GQ$29,0))</f>
        <v>0</v>
      </c>
      <c r="FC7">
        <f>INDEX($B$21:$GQ$21,MATCH(158,$B$29:$GQ$29,0))</f>
        <v>0</v>
      </c>
      <c r="FD7">
        <f>INDEX($B$21:$GQ$21,MATCH(159,$B$29:$GQ$29,0))</f>
        <v>0</v>
      </c>
      <c r="FE7">
        <f>INDEX($B$21:$GQ$21,MATCH(160,$B$29:$GQ$29,0))</f>
        <v>0</v>
      </c>
      <c r="FF7">
        <f>INDEX($B$21:$GQ$21,MATCH(161,$B$29:$GQ$29,0))</f>
        <v>0</v>
      </c>
      <c r="FG7">
        <f>INDEX($B$21:$GQ$21,MATCH(162,$B$29:$GQ$29,0))</f>
        <v>0.26273048669999999</v>
      </c>
      <c r="FH7">
        <f>INDEX($B$21:$GQ$21,MATCH(163,$B$29:$GQ$29,0))</f>
        <v>0</v>
      </c>
      <c r="FI7">
        <f>INDEX($B$21:$GQ$21,MATCH(164,$B$29:$GQ$29,0))</f>
        <v>157.13671563599999</v>
      </c>
      <c r="FJ7">
        <f>INDEX($B$21:$GQ$21,MATCH(165,$B$29:$GQ$29,0))</f>
        <v>0</v>
      </c>
      <c r="FK7">
        <f>INDEX($B$21:$GQ$21,MATCH(166,$B$29:$GQ$29,0))</f>
        <v>0</v>
      </c>
      <c r="FL7">
        <f>INDEX($B$21:$GQ$21,MATCH(167,$B$29:$GQ$29,0))</f>
        <v>0</v>
      </c>
      <c r="FM7">
        <f>INDEX($B$21:$GQ$21,MATCH(168,$B$29:$GQ$29,0))</f>
        <v>0</v>
      </c>
      <c r="FN7">
        <f>INDEX($B$21:$GQ$21,MATCH(169,$B$29:$GQ$29,0))</f>
        <v>0</v>
      </c>
      <c r="FO7">
        <f>INDEX($B$21:$GQ$21,MATCH(170,$B$29:$GQ$29,0))</f>
        <v>0</v>
      </c>
      <c r="FP7">
        <f>INDEX($B$21:$GQ$21,MATCH(171,$B$29:$GQ$29,0))</f>
        <v>0</v>
      </c>
      <c r="FQ7">
        <f>INDEX($B$21:$GQ$21,MATCH(172,$B$29:$GQ$29,0))</f>
        <v>0</v>
      </c>
      <c r="FR7">
        <f>INDEX($B$21:$GQ$21,MATCH(173,$B$29:$GQ$29,0))</f>
        <v>0</v>
      </c>
      <c r="FS7">
        <f>INDEX($B$21:$GQ$21,MATCH(174,$B$29:$GQ$29,0))</f>
        <v>0</v>
      </c>
      <c r="FT7">
        <f>INDEX($B$21:$GQ$21,MATCH(175,$B$29:$GQ$29,0))</f>
        <v>0</v>
      </c>
      <c r="FU7">
        <f>INDEX($B$21:$GQ$21,MATCH(176,$B$29:$GQ$29,0))</f>
        <v>0</v>
      </c>
      <c r="FV7">
        <f>INDEX($B$21:$GQ$21,MATCH(177,$B$29:$GQ$29,0))</f>
        <v>0</v>
      </c>
      <c r="FW7">
        <f>INDEX($B$21:$GQ$21,MATCH(178,$B$29:$GQ$29,0))</f>
        <v>0</v>
      </c>
      <c r="FX7">
        <f>INDEX($B$21:$GQ$21,MATCH(179,$B$29:$GQ$29,0))</f>
        <v>0</v>
      </c>
      <c r="FY7">
        <f>INDEX($B$21:$GQ$21,MATCH(180,$B$29:$GQ$29,0))</f>
        <v>0</v>
      </c>
      <c r="FZ7">
        <f>INDEX($B$21:$GQ$21,MATCH(181,$B$29:$GQ$29,0))</f>
        <v>0</v>
      </c>
      <c r="GA7">
        <f>INDEX($B$21:$GQ$21,MATCH(182,$B$29:$GQ$29,0))</f>
        <v>0</v>
      </c>
      <c r="GB7">
        <f>INDEX($B$21:$GQ$21,MATCH(183,$B$29:$GQ$29,0))</f>
        <v>0</v>
      </c>
      <c r="GC7">
        <f>INDEX($B$21:$GQ$21,MATCH(184,$B$29:$GQ$29,0))</f>
        <v>0</v>
      </c>
      <c r="GD7">
        <f>INDEX($B$21:$GQ$21,MATCH(185,$B$29:$GQ$29,0))</f>
        <v>1803.7615754999999</v>
      </c>
      <c r="GE7">
        <f>INDEX($B$21:$GQ$21,MATCH(186,$B$29:$GQ$29,0))</f>
        <v>0</v>
      </c>
      <c r="GF7">
        <f>INDEX($B$21:$GQ$21,MATCH(187,$B$29:$GQ$29,0))</f>
        <v>0</v>
      </c>
      <c r="GG7">
        <f>INDEX($B$21:$GQ$21,MATCH(188,$B$29:$GQ$29,0))</f>
        <v>0</v>
      </c>
      <c r="GH7">
        <f>INDEX($B$21:$GQ$21,MATCH(189,$B$29:$GQ$29,0))</f>
        <v>0</v>
      </c>
      <c r="GI7">
        <f>INDEX($B$21:$GQ$21,MATCH(190,$B$29:$GQ$29,0))</f>
        <v>0</v>
      </c>
      <c r="GJ7">
        <f>INDEX($B$21:$GQ$21,MATCH(191,$B$29:$GQ$29,0))</f>
        <v>0</v>
      </c>
      <c r="GK7">
        <f>INDEX($B$21:$GQ$21,MATCH(192,$B$29:$GQ$29,0))</f>
        <v>0</v>
      </c>
      <c r="GL7">
        <f>INDEX($B$21:$GQ$21,MATCH(193,$B$29:$GQ$29,0))</f>
        <v>0</v>
      </c>
      <c r="GM7">
        <f>INDEX($B$21:$GQ$21,MATCH(194,$B$29:$GQ$29,0))</f>
        <v>0</v>
      </c>
      <c r="GN7">
        <f>INDEX($B$21:$GQ$21,MATCH(195,$B$29:$GQ$29,0))</f>
        <v>0</v>
      </c>
      <c r="GO7">
        <f>INDEX($B$21:$GQ$21,MATCH(196,$B$29:$GQ$29,0))</f>
        <v>0</v>
      </c>
      <c r="GP7">
        <f>INDEX($B$21:$GQ$21,MATCH(197,$B$29:$GQ$29,0))</f>
        <v>0</v>
      </c>
      <c r="GQ7">
        <f>INDEX($B$21:$GQ$21,MATCH(198,$B$29:$GQ$29,0))</f>
        <v>0</v>
      </c>
      <c r="GR7">
        <f>INDEX($GR$21:$HC$21,MATCH(1,$GR$30:$HC$30,0))</f>
        <v>14392.991685798401</v>
      </c>
      <c r="GS7">
        <f>INDEX($GR$21:$HC$21,MATCH(2,$GR$30:$HC$30,0))</f>
        <v>58120.83281466164</v>
      </c>
      <c r="GT7">
        <f>INDEX($GR$21:$HC$21,MATCH(3,$GR$30:$HC$30,0))</f>
        <v>26463.523517716021</v>
      </c>
      <c r="GU7">
        <f>INDEX($GR$21:$HC$21,MATCH(4,$GR$30:$HC$30,0))</f>
        <v>52451.491819216943</v>
      </c>
      <c r="GV7">
        <f>INDEX($GR$21:$HC$21,MATCH(5,$GR$30:$HC$30,0))</f>
        <v>3828.2993022389001</v>
      </c>
      <c r="GW7">
        <f>INDEX($GR$21:$HC$21,MATCH(6,$GR$30:$HC$30,0))</f>
        <v>17903.873458744751</v>
      </c>
      <c r="GX7">
        <f>INDEX($GR$21:$HC$21,MATCH(7,$GR$30:$HC$30,0))</f>
        <v>2356.4986623639588</v>
      </c>
      <c r="GY7">
        <f>INDEX($GR$21:$HC$21,MATCH(8,$GR$30:$HC$30,0))</f>
        <v>1038.4943145499999</v>
      </c>
      <c r="GZ7">
        <f>INDEX($GR$21:$HC$21,MATCH(9,$GR$30:$HC$30,0))</f>
        <v>1806.0386160099999</v>
      </c>
      <c r="HA7">
        <f>INDEX($GR$21:$HC$21,MATCH(10,$GR$30:$HC$30,0))</f>
        <v>0</v>
      </c>
      <c r="HB7">
        <f>INDEX($GR$21:$HC$21,MATCH(11,$GR$30:$HC$30,0))</f>
        <v>22808.071933269999</v>
      </c>
      <c r="HC7">
        <f>INDEX($GR$21:$HC$21,MATCH(12,$GR$30:$HC$30,0))</f>
        <v>6818.9374820032835</v>
      </c>
    </row>
    <row r="8" spans="1:211" x14ac:dyDescent="0.45">
      <c r="A8" s="1" t="s">
        <v>7</v>
      </c>
      <c r="B8">
        <f>INDEX($B$22:$GQ$22,MATCH(1,$B$29:$GQ$29,0))</f>
        <v>242143.13257310001</v>
      </c>
      <c r="C8">
        <f>INDEX($B$22:$GQ$22,MATCH(2,$B$29:$GQ$29,0))</f>
        <v>186753.73804475501</v>
      </c>
      <c r="D8">
        <f>INDEX($B$22:$GQ$22,MATCH(3,$B$29:$GQ$29,0))</f>
        <v>258670.86586419999</v>
      </c>
      <c r="E8">
        <f>INDEX($B$22:$GQ$22,MATCH(4,$B$29:$GQ$29,0))</f>
        <v>30950.3724516</v>
      </c>
      <c r="F8">
        <f>INDEX($B$22:$GQ$22,MATCH(5,$B$29:$GQ$29,0))</f>
        <v>11302.3998226312</v>
      </c>
      <c r="G8">
        <f>INDEX($B$22:$GQ$22,MATCH(6,$B$29:$GQ$29,0))</f>
        <v>26547.7846919</v>
      </c>
      <c r="H8">
        <f>INDEX($B$22:$GQ$22,MATCH(7,$B$29:$GQ$29,0))</f>
        <v>37588.165323314177</v>
      </c>
      <c r="I8">
        <f>INDEX($B$22:$GQ$22,MATCH(8,$B$29:$GQ$29,0))</f>
        <v>71885.084968099996</v>
      </c>
      <c r="J8">
        <f>INDEX($B$22:$GQ$22,MATCH(9,$B$29:$GQ$29,0))</f>
        <v>5050.4413716326299</v>
      </c>
      <c r="K8">
        <f>INDEX($B$22:$GQ$22,MATCH(10,$B$29:$GQ$29,0))</f>
        <v>23360.725289119</v>
      </c>
      <c r="L8">
        <f>INDEX($B$22:$GQ$22,MATCH(11,$B$29:$GQ$29,0))</f>
        <v>1956.93538405</v>
      </c>
      <c r="M8">
        <f>INDEX($B$22:$GQ$22,MATCH(12,$B$29:$GQ$29,0))</f>
        <v>8488.2230403558297</v>
      </c>
      <c r="N8">
        <f>INDEX($B$22:$GQ$22,MATCH(13,$B$29:$GQ$29,0))</f>
        <v>130808.66813279</v>
      </c>
      <c r="O8">
        <f>INDEX($B$22:$GQ$22,MATCH(14,$B$29:$GQ$29,0))</f>
        <v>7435.9329311493466</v>
      </c>
      <c r="P8">
        <f>INDEX($B$22:$GQ$22,MATCH(15,$B$29:$GQ$29,0))</f>
        <v>1938.44845799</v>
      </c>
      <c r="Q8">
        <f>INDEX($B$22:$GQ$22,MATCH(16,$B$29:$GQ$29,0))</f>
        <v>83954.164852629998</v>
      </c>
      <c r="R8">
        <f>INDEX($B$22:$GQ$22,MATCH(17,$B$29:$GQ$29,0))</f>
        <v>15949.9837150327</v>
      </c>
      <c r="S8">
        <f>INDEX($B$22:$GQ$22,MATCH(18,$B$29:$GQ$29,0))</f>
        <v>4666.4618214472184</v>
      </c>
      <c r="T8">
        <f>INDEX($B$22:$GQ$22,MATCH(19,$B$29:$GQ$29,0))</f>
        <v>1501.0289734744999</v>
      </c>
      <c r="U8">
        <f>INDEX($B$22:$GQ$22,MATCH(20,$B$29:$GQ$29,0))</f>
        <v>16771.579081532</v>
      </c>
      <c r="V8">
        <f>INDEX($B$22:$GQ$22,MATCH(21,$B$29:$GQ$29,0))</f>
        <v>1377.8064414299999</v>
      </c>
      <c r="W8">
        <f>INDEX($B$22:$GQ$22,MATCH(22,$B$29:$GQ$29,0))</f>
        <v>3273.5352910359002</v>
      </c>
      <c r="X8">
        <f>INDEX($B$22:$GQ$22,MATCH(23,$B$29:$GQ$29,0))</f>
        <v>749.58537190106574</v>
      </c>
      <c r="Y8">
        <f>INDEX($B$22:$GQ$22,MATCH(24,$B$29:$GQ$29,0))</f>
        <v>1190.0860007440001</v>
      </c>
      <c r="Z8">
        <f>INDEX($B$22:$GQ$22,MATCH(25,$B$29:$GQ$29,0))</f>
        <v>15294.563008583</v>
      </c>
      <c r="AA8">
        <f>INDEX($B$22:$GQ$22,MATCH(26,$B$29:$GQ$29,0))</f>
        <v>8018.0444478146992</v>
      </c>
      <c r="AB8">
        <f>INDEX($B$22:$GQ$22,MATCH(27,$B$29:$GQ$29,0))</f>
        <v>31909.8454513</v>
      </c>
      <c r="AC8">
        <f>INDEX($B$22:$GQ$22,MATCH(28,$B$29:$GQ$29,0))</f>
        <v>11126.0696009</v>
      </c>
      <c r="AD8">
        <f>INDEX($B$22:$GQ$22,MATCH(29,$B$29:$GQ$29,0))</f>
        <v>7391.2707397499989</v>
      </c>
      <c r="AE8">
        <f>INDEX($B$22:$GQ$22,MATCH(30,$B$29:$GQ$29,0))</f>
        <v>42904.638546299997</v>
      </c>
      <c r="AF8">
        <f>INDEX($B$22:$GQ$22,MATCH(31,$B$29:$GQ$29,0))</f>
        <v>8925.8146115100008</v>
      </c>
      <c r="AG8">
        <f>INDEX($B$22:$GQ$22,MATCH(32,$B$29:$GQ$29,0))</f>
        <v>9071.7807908699997</v>
      </c>
      <c r="AH8">
        <f>INDEX($B$22:$GQ$22,MATCH(33,$B$29:$GQ$29,0))</f>
        <v>7010.4418690136599</v>
      </c>
      <c r="AI8">
        <f>INDEX($B$22:$GQ$22,MATCH(34,$B$29:$GQ$29,0))</f>
        <v>460.33404258299998</v>
      </c>
      <c r="AJ8">
        <f>INDEX($B$22:$GQ$22,MATCH(35,$B$29:$GQ$29,0))</f>
        <v>22590.5100676</v>
      </c>
      <c r="AK8">
        <f>INDEX($B$22:$GQ$22,MATCH(36,$B$29:$GQ$29,0))</f>
        <v>10280.107604815599</v>
      </c>
      <c r="AL8">
        <f>INDEX($B$22:$GQ$22,MATCH(37,$B$29:$GQ$29,0))</f>
        <v>10186.75299786705</v>
      </c>
      <c r="AM8">
        <f>INDEX($B$22:$GQ$22,MATCH(38,$B$29:$GQ$29,0))</f>
        <v>6143.0077963115054</v>
      </c>
      <c r="AN8">
        <f>INDEX($B$22:$GQ$22,MATCH(39,$B$29:$GQ$29,0))</f>
        <v>2869.1544762899998</v>
      </c>
      <c r="AO8">
        <f>INDEX($B$22:$GQ$22,MATCH(40,$B$29:$GQ$29,0))</f>
        <v>235.5104379290872</v>
      </c>
      <c r="AP8">
        <f>INDEX($B$22:$GQ$22,MATCH(41,$B$29:$GQ$29,0))</f>
        <v>2108.0791581456701</v>
      </c>
      <c r="AQ8">
        <f>INDEX($B$22:$GQ$22,MATCH(42,$B$29:$GQ$29,0))</f>
        <v>3117.9127895699999</v>
      </c>
      <c r="AR8">
        <f>INDEX($B$22:$GQ$22,MATCH(43,$B$29:$GQ$29,0))</f>
        <v>710.2622544142647</v>
      </c>
      <c r="AS8">
        <f>INDEX($B$22:$GQ$22,MATCH(44,$B$29:$GQ$29,0))</f>
        <v>1889.7566549799999</v>
      </c>
      <c r="AT8">
        <f>INDEX($B$22:$GQ$22,MATCH(45,$B$29:$GQ$29,0))</f>
        <v>30296.038247430999</v>
      </c>
      <c r="AU8">
        <f>INDEX($B$22:$GQ$22,MATCH(46,$B$29:$GQ$29,0))</f>
        <v>160.53293276706461</v>
      </c>
      <c r="AV8">
        <f>INDEX($B$22:$GQ$22,MATCH(47,$B$29:$GQ$29,0))</f>
        <v>13529.354277</v>
      </c>
      <c r="AW8">
        <f>INDEX($B$22:$GQ$22,MATCH(48,$B$29:$GQ$29,0))</f>
        <v>8796.4664476500002</v>
      </c>
      <c r="AX8">
        <f>INDEX($B$22:$GQ$22,MATCH(49,$B$29:$GQ$29,0))</f>
        <v>15846.2651147</v>
      </c>
      <c r="AY8">
        <f>INDEX($B$22:$GQ$22,MATCH(50,$B$29:$GQ$29,0))</f>
        <v>2468.4934124624001</v>
      </c>
      <c r="AZ8">
        <f>INDEX($B$22:$GQ$22,MATCH(51,$B$29:$GQ$29,0))</f>
        <v>726.07848723778375</v>
      </c>
      <c r="BA8">
        <f>INDEX($B$22:$GQ$22,MATCH(52,$B$29:$GQ$29,0))</f>
        <v>3671.05667554</v>
      </c>
      <c r="BB8">
        <f>INDEX($B$22:$GQ$22,MATCH(53,$B$29:$GQ$29,0))</f>
        <v>5484.6488585699999</v>
      </c>
      <c r="BC8">
        <f>INDEX($B$22:$GQ$22,MATCH(54,$B$29:$GQ$29,0))</f>
        <v>128.12948849290001</v>
      </c>
      <c r="BD8">
        <f>INDEX($B$22:$GQ$22,MATCH(55,$B$29:$GQ$29,0))</f>
        <v>11238.476071223</v>
      </c>
      <c r="BE8">
        <f>INDEX($B$22:$GQ$22,MATCH(56,$B$29:$GQ$29,0))</f>
        <v>317.56515019599999</v>
      </c>
      <c r="BF8">
        <f>INDEX($B$22:$GQ$22,MATCH(57,$B$29:$GQ$29,0))</f>
        <v>1585.4834509899999</v>
      </c>
      <c r="BG8">
        <f>INDEX($B$22:$GQ$22,MATCH(58,$B$29:$GQ$29,0))</f>
        <v>9886.4385954099998</v>
      </c>
      <c r="BH8">
        <f>INDEX($B$22:$GQ$22,MATCH(59,$B$29:$GQ$29,0))</f>
        <v>4983.7269113496177</v>
      </c>
      <c r="BI8">
        <f>INDEX($B$22:$GQ$22,MATCH(60,$B$29:$GQ$29,0))</f>
        <v>5628.20353823</v>
      </c>
      <c r="BJ8">
        <f>INDEX($B$22:$GQ$22,MATCH(61,$B$29:$GQ$29,0))</f>
        <v>308.12175901199998</v>
      </c>
      <c r="BK8">
        <f>INDEX($B$22:$GQ$22,MATCH(62,$B$29:$GQ$29,0))</f>
        <v>7.5170467887461898</v>
      </c>
      <c r="BL8">
        <f>INDEX($B$22:$GQ$22,MATCH(63,$B$29:$GQ$29,0))</f>
        <v>458.08197929454701</v>
      </c>
      <c r="BM8">
        <f>INDEX($B$22:$GQ$22,MATCH(64,$B$29:$GQ$29,0))</f>
        <v>9539.4035679999997</v>
      </c>
      <c r="BN8">
        <f>INDEX($B$22:$GQ$22,MATCH(65,$B$29:$GQ$29,0))</f>
        <v>1908.1984372858201</v>
      </c>
      <c r="BO8">
        <f>INDEX($B$22:$GQ$22,MATCH(66,$B$29:$GQ$29,0))</f>
        <v>689.76229474199999</v>
      </c>
      <c r="BP8">
        <f>INDEX($B$22:$GQ$22,MATCH(67,$B$29:$GQ$29,0))</f>
        <v>472.33991311599999</v>
      </c>
      <c r="BQ8">
        <f>INDEX($B$22:$GQ$22,MATCH(68,$B$29:$GQ$29,0))</f>
        <v>967.10634446200015</v>
      </c>
      <c r="BR8">
        <f>INDEX($B$22:$GQ$22,MATCH(69,$B$29:$GQ$29,0))</f>
        <v>7198.7452669800005</v>
      </c>
      <c r="BS8">
        <f>INDEX($B$22:$GQ$22,MATCH(70,$B$29:$GQ$29,0))</f>
        <v>2215.3406393403002</v>
      </c>
      <c r="BT8">
        <f>INDEX($B$22:$GQ$22,MATCH(71,$B$29:$GQ$29,0))</f>
        <v>479.80123612099999</v>
      </c>
      <c r="BU8">
        <f>INDEX($B$22:$GQ$22,MATCH(72,$B$29:$GQ$29,0))</f>
        <v>137.460607966</v>
      </c>
      <c r="BV8">
        <f>INDEX($B$22:$GQ$22,MATCH(73,$B$29:$GQ$29,0))</f>
        <v>3328.271032657</v>
      </c>
      <c r="BW8">
        <f>INDEX($B$22:$GQ$22,MATCH(74,$B$29:$GQ$29,0))</f>
        <v>1235.3526669582809</v>
      </c>
      <c r="BX8">
        <f>INDEX($B$22:$GQ$22,MATCH(75,$B$29:$GQ$29,0))</f>
        <v>266.24321473499998</v>
      </c>
      <c r="BY8">
        <f>INDEX($B$22:$GQ$22,MATCH(76,$B$29:$GQ$29,0))</f>
        <v>310.99962491299999</v>
      </c>
      <c r="BZ8">
        <f>INDEX($B$22:$GQ$22,MATCH(77,$B$29:$GQ$29,0))</f>
        <v>301.73270808747918</v>
      </c>
      <c r="CA8">
        <f>INDEX($B$22:$GQ$22,MATCH(78,$B$29:$GQ$29,0))</f>
        <v>662.143368282305</v>
      </c>
      <c r="CB8">
        <f>INDEX($B$22:$GQ$22,MATCH(79,$B$29:$GQ$29,0))</f>
        <v>1333.3558007900001</v>
      </c>
      <c r="CC8">
        <f>INDEX($B$22:$GQ$22,MATCH(80,$B$29:$GQ$29,0))</f>
        <v>2459.8227431700002</v>
      </c>
      <c r="CD8">
        <f>INDEX($B$22:$GQ$22,MATCH(81,$B$29:$GQ$29,0))</f>
        <v>949.25281436</v>
      </c>
      <c r="CE8">
        <f>INDEX($B$22:$GQ$22,MATCH(82,$B$29:$GQ$29,0))</f>
        <v>192.22371685499999</v>
      </c>
      <c r="CF8">
        <f>INDEX($B$22:$GQ$22,MATCH(83,$B$29:$GQ$29,0))</f>
        <v>919.98164076199998</v>
      </c>
      <c r="CG8">
        <f>INDEX($B$22:$GQ$22,MATCH(84,$B$29:$GQ$29,0))</f>
        <v>139.24546536700001</v>
      </c>
      <c r="CH8">
        <f>INDEX($B$22:$GQ$22,MATCH(85,$B$29:$GQ$29,0))</f>
        <v>874.53301648599995</v>
      </c>
      <c r="CI8">
        <f>INDEX($B$22:$GQ$22,MATCH(86,$B$29:$GQ$29,0))</f>
        <v>804.795130685</v>
      </c>
      <c r="CJ8">
        <f>INDEX($B$22:$GQ$22,MATCH(87,$B$29:$GQ$29,0))</f>
        <v>767.06281134100004</v>
      </c>
      <c r="CK8">
        <f>INDEX($B$22:$GQ$22,MATCH(88,$B$29:$GQ$29,0))</f>
        <v>773.51984684800004</v>
      </c>
      <c r="CL8">
        <f>INDEX($B$22:$GQ$22,MATCH(89,$B$29:$GQ$29,0))</f>
        <v>488.06950732907501</v>
      </c>
      <c r="CM8">
        <f>INDEX($B$22:$GQ$22,MATCH(90,$B$29:$GQ$29,0))</f>
        <v>26.960627056900002</v>
      </c>
      <c r="CN8">
        <f>INDEX($B$22:$GQ$22,MATCH(91,$B$29:$GQ$29,0))</f>
        <v>769.05730232869996</v>
      </c>
      <c r="CO8">
        <f>INDEX($B$22:$GQ$22,MATCH(92,$B$29:$GQ$29,0))</f>
        <v>438.23633378573538</v>
      </c>
      <c r="CP8">
        <f>INDEX($B$22:$GQ$22,MATCH(93,$B$29:$GQ$29,0))</f>
        <v>984.28394153700003</v>
      </c>
      <c r="CQ8">
        <f>INDEX($B$22:$GQ$22,MATCH(94,$B$29:$GQ$29,0))</f>
        <v>36.951677209631541</v>
      </c>
      <c r="CR8">
        <f>INDEX($B$22:$GQ$22,MATCH(95,$B$29:$GQ$29,0))</f>
        <v>514.07430814345184</v>
      </c>
      <c r="CS8">
        <f>INDEX($B$22:$GQ$22,MATCH(96,$B$29:$GQ$29,0))</f>
        <v>370.68346562429832</v>
      </c>
      <c r="CT8">
        <f>INDEX($B$22:$GQ$22,MATCH(97,$B$29:$GQ$29,0))</f>
        <v>111.1237859411297</v>
      </c>
      <c r="CU8">
        <f>INDEX($B$22:$GQ$22,MATCH(98,$B$29:$GQ$29,0))</f>
        <v>26.83840954758</v>
      </c>
      <c r="CV8">
        <f>INDEX($B$22:$GQ$22,MATCH(99,$B$29:$GQ$29,0))</f>
        <v>213.02996467476001</v>
      </c>
      <c r="CW8">
        <f>INDEX($B$22:$GQ$22,MATCH(100,$B$29:$GQ$29,0))</f>
        <v>84.577913012400003</v>
      </c>
      <c r="CX8">
        <f>INDEX($B$22:$GQ$22,MATCH(101,$B$29:$GQ$29,0))</f>
        <v>332.70708407199999</v>
      </c>
      <c r="CY8">
        <f>INDEX($B$22:$GQ$22,MATCH(102,$B$29:$GQ$29,0))</f>
        <v>347.92681815999998</v>
      </c>
      <c r="CZ8">
        <f>INDEX($B$22:$GQ$22,MATCH(103,$B$29:$GQ$29,0))</f>
        <v>52.302272047400002</v>
      </c>
      <c r="DA8">
        <f>INDEX($B$22:$GQ$22,MATCH(104,$B$29:$GQ$29,0))</f>
        <v>50.515630950077558</v>
      </c>
      <c r="DB8">
        <f>INDEX($B$22:$GQ$22,MATCH(105,$B$29:$GQ$29,0))</f>
        <v>222.57871309000001</v>
      </c>
      <c r="DC8">
        <f>INDEX($B$22:$GQ$22,MATCH(106,$B$29:$GQ$29,0))</f>
        <v>43.24791175475945</v>
      </c>
      <c r="DD8">
        <f>INDEX($B$22:$GQ$22,MATCH(107,$B$29:$GQ$29,0))</f>
        <v>167.74187124900001</v>
      </c>
      <c r="DE8">
        <f>INDEX($B$22:$GQ$22,MATCH(108,$B$29:$GQ$29,0))</f>
        <v>43.787168113900002</v>
      </c>
      <c r="DF8">
        <f>INDEX($B$22:$GQ$22,MATCH(109,$B$29:$GQ$29,0))</f>
        <v>0</v>
      </c>
      <c r="DG8">
        <f>INDEX($B$22:$GQ$22,MATCH(110,$B$29:$GQ$29,0))</f>
        <v>0</v>
      </c>
      <c r="DH8">
        <f>INDEX($B$22:$GQ$22,MATCH(111,$B$29:$GQ$29,0))</f>
        <v>70.537428166500007</v>
      </c>
      <c r="DI8">
        <f>INDEX($B$22:$GQ$22,MATCH(112,$B$29:$GQ$29,0))</f>
        <v>167.10322240432029</v>
      </c>
      <c r="DJ8">
        <f>INDEX($B$22:$GQ$22,MATCH(113,$B$29:$GQ$29,0))</f>
        <v>0</v>
      </c>
      <c r="DK8">
        <f>INDEX($B$22:$GQ$22,MATCH(114,$B$29:$GQ$29,0))</f>
        <v>70.890308732400001</v>
      </c>
      <c r="DL8">
        <f>INDEX($B$22:$GQ$22,MATCH(115,$B$29:$GQ$29,0))</f>
        <v>0</v>
      </c>
      <c r="DM8">
        <f>INDEX($B$22:$GQ$22,MATCH(116,$B$29:$GQ$29,0))</f>
        <v>11.094501610822441</v>
      </c>
      <c r="DN8">
        <f>INDEX($B$22:$GQ$22,MATCH(117,$B$29:$GQ$29,0))</f>
        <v>7.7309901311899996</v>
      </c>
      <c r="DO8">
        <f>INDEX($B$22:$GQ$22,MATCH(118,$B$29:$GQ$29,0))</f>
        <v>8.0925708148400002</v>
      </c>
      <c r="DP8">
        <f>INDEX($B$22:$GQ$22,MATCH(119,$B$29:$GQ$29,0))</f>
        <v>0</v>
      </c>
      <c r="DQ8">
        <f>INDEX($B$22:$GQ$22,MATCH(120,$B$29:$GQ$29,0))</f>
        <v>11.36406994162234</v>
      </c>
      <c r="DR8">
        <f>INDEX($B$22:$GQ$22,MATCH(121,$B$29:$GQ$29,0))</f>
        <v>0.46723417790522082</v>
      </c>
      <c r="DS8">
        <f>INDEX($B$22:$GQ$22,MATCH(122,$B$29:$GQ$29,0))</f>
        <v>6.1009405066999998</v>
      </c>
      <c r="DT8">
        <f>INDEX($B$22:$GQ$22,MATCH(123,$B$29:$GQ$29,0))</f>
        <v>2.1437064312718959</v>
      </c>
      <c r="DU8">
        <f>INDEX($B$22:$GQ$22,MATCH(124,$B$29:$GQ$29,0))</f>
        <v>0.72930991165692571</v>
      </c>
      <c r="DV8">
        <f>INDEX($B$22:$GQ$22,MATCH(125,$B$29:$GQ$29,0))</f>
        <v>1.8890696923700001</v>
      </c>
      <c r="DW8">
        <f>INDEX($B$22:$GQ$22,MATCH(126,$B$29:$GQ$29,0))</f>
        <v>0</v>
      </c>
      <c r="DX8">
        <f>INDEX($B$22:$GQ$22,MATCH(127,$B$29:$GQ$29,0))</f>
        <v>0.26654030710377918</v>
      </c>
      <c r="DY8">
        <f>INDEX($B$22:$GQ$22,MATCH(128,$B$29:$GQ$29,0))</f>
        <v>0.14561557168100001</v>
      </c>
      <c r="DZ8">
        <f>INDEX($B$22:$GQ$22,MATCH(129,$B$29:$GQ$29,0))</f>
        <v>0</v>
      </c>
      <c r="EA8">
        <f>INDEX($B$22:$GQ$22,MATCH(130,$B$29:$GQ$29,0))</f>
        <v>4.0624645841598698E-3</v>
      </c>
      <c r="EB8">
        <f>INDEX($B$22:$GQ$22,MATCH(131,$B$29:$GQ$29,0))</f>
        <v>1.8210031991701299E-3</v>
      </c>
      <c r="EC8">
        <f>INDEX($B$22:$GQ$22,MATCH(132,$B$29:$GQ$29,0))</f>
        <v>0</v>
      </c>
      <c r="ED8">
        <f>INDEX($B$22:$GQ$22,MATCH(133,$B$29:$GQ$29,0))</f>
        <v>0</v>
      </c>
      <c r="EE8">
        <f>INDEX($B$22:$GQ$22,MATCH(134,$B$29:$GQ$29,0))</f>
        <v>0</v>
      </c>
      <c r="EF8">
        <f>INDEX($B$22:$GQ$22,MATCH(135,$B$29:$GQ$29,0))</f>
        <v>0</v>
      </c>
      <c r="EG8">
        <f>INDEX($B$22:$GQ$22,MATCH(136,$B$29:$GQ$29,0))</f>
        <v>0</v>
      </c>
      <c r="EH8">
        <f>INDEX($B$22:$GQ$22,MATCH(137,$B$29:$GQ$29,0))</f>
        <v>0</v>
      </c>
      <c r="EI8">
        <f>INDEX($B$22:$GQ$22,MATCH(138,$B$29:$GQ$29,0))</f>
        <v>0</v>
      </c>
      <c r="EJ8">
        <f>INDEX($B$22:$GQ$22,MATCH(139,$B$29:$GQ$29,0))</f>
        <v>0</v>
      </c>
      <c r="EK8">
        <f>INDEX($B$22:$GQ$22,MATCH(140,$B$29:$GQ$29,0))</f>
        <v>0</v>
      </c>
      <c r="EL8">
        <f>INDEX($B$22:$GQ$22,MATCH(141,$B$29:$GQ$29,0))</f>
        <v>0</v>
      </c>
      <c r="EM8">
        <f>INDEX($B$22:$GQ$22,MATCH(142,$B$29:$GQ$29,0))</f>
        <v>0</v>
      </c>
      <c r="EN8">
        <f>INDEX($B$22:$GQ$22,MATCH(143,$B$29:$GQ$29,0))</f>
        <v>0</v>
      </c>
      <c r="EO8">
        <f>INDEX($B$22:$GQ$22,MATCH(144,$B$29:$GQ$29,0))</f>
        <v>0</v>
      </c>
      <c r="EP8">
        <f>INDEX($B$22:$GQ$22,MATCH(145,$B$29:$GQ$29,0))</f>
        <v>0</v>
      </c>
      <c r="EQ8">
        <f>INDEX($B$22:$GQ$22,MATCH(146,$B$29:$GQ$29,0))</f>
        <v>0</v>
      </c>
      <c r="ER8">
        <f>INDEX($B$22:$GQ$22,MATCH(147,$B$29:$GQ$29,0))</f>
        <v>0</v>
      </c>
      <c r="ES8">
        <f>INDEX($B$22:$GQ$22,MATCH(148,$B$29:$GQ$29,0))</f>
        <v>0</v>
      </c>
      <c r="ET8">
        <f>INDEX($B$22:$GQ$22,MATCH(149,$B$29:$GQ$29,0))</f>
        <v>0</v>
      </c>
      <c r="EU8">
        <f>INDEX($B$22:$GQ$22,MATCH(150,$B$29:$GQ$29,0))</f>
        <v>0</v>
      </c>
      <c r="EV8">
        <f>INDEX($B$22:$GQ$22,MATCH(151,$B$29:$GQ$29,0))</f>
        <v>0</v>
      </c>
      <c r="EW8">
        <f>INDEX($B$22:$GQ$22,MATCH(152,$B$29:$GQ$29,0))</f>
        <v>0</v>
      </c>
      <c r="EX8">
        <f>INDEX($B$22:$GQ$22,MATCH(153,$B$29:$GQ$29,0))</f>
        <v>0</v>
      </c>
      <c r="EY8">
        <f>INDEX($B$22:$GQ$22,MATCH(154,$B$29:$GQ$29,0))</f>
        <v>0</v>
      </c>
      <c r="EZ8">
        <f>INDEX($B$22:$GQ$22,MATCH(155,$B$29:$GQ$29,0))</f>
        <v>0</v>
      </c>
      <c r="FA8">
        <f>INDEX($B$22:$GQ$22,MATCH(156,$B$29:$GQ$29,0))</f>
        <v>0</v>
      </c>
      <c r="FB8">
        <f>INDEX($B$22:$GQ$22,MATCH(157,$B$29:$GQ$29,0))</f>
        <v>0</v>
      </c>
      <c r="FC8">
        <f>INDEX($B$22:$GQ$22,MATCH(158,$B$29:$GQ$29,0))</f>
        <v>0</v>
      </c>
      <c r="FD8">
        <f>INDEX($B$22:$GQ$22,MATCH(159,$B$29:$GQ$29,0))</f>
        <v>0</v>
      </c>
      <c r="FE8">
        <f>INDEX($B$22:$GQ$22,MATCH(160,$B$29:$GQ$29,0))</f>
        <v>0</v>
      </c>
      <c r="FF8">
        <f>INDEX($B$22:$GQ$22,MATCH(161,$B$29:$GQ$29,0))</f>
        <v>0</v>
      </c>
      <c r="FG8">
        <f>INDEX($B$22:$GQ$22,MATCH(162,$B$29:$GQ$29,0))</f>
        <v>0</v>
      </c>
      <c r="FH8">
        <f>INDEX($B$22:$GQ$22,MATCH(163,$B$29:$GQ$29,0))</f>
        <v>0</v>
      </c>
      <c r="FI8">
        <f>INDEX($B$22:$GQ$22,MATCH(164,$B$29:$GQ$29,0))</f>
        <v>0</v>
      </c>
      <c r="FJ8">
        <f>INDEX($B$22:$GQ$22,MATCH(165,$B$29:$GQ$29,0))</f>
        <v>0</v>
      </c>
      <c r="FK8">
        <f>INDEX($B$22:$GQ$22,MATCH(166,$B$29:$GQ$29,0))</f>
        <v>0</v>
      </c>
      <c r="FL8">
        <f>INDEX($B$22:$GQ$22,MATCH(167,$B$29:$GQ$29,0))</f>
        <v>0</v>
      </c>
      <c r="FM8">
        <f>INDEX($B$22:$GQ$22,MATCH(168,$B$29:$GQ$29,0))</f>
        <v>0</v>
      </c>
      <c r="FN8">
        <f>INDEX($B$22:$GQ$22,MATCH(169,$B$29:$GQ$29,0))</f>
        <v>0</v>
      </c>
      <c r="FO8">
        <f>INDEX($B$22:$GQ$22,MATCH(170,$B$29:$GQ$29,0))</f>
        <v>0</v>
      </c>
      <c r="FP8">
        <f>INDEX($B$22:$GQ$22,MATCH(171,$B$29:$GQ$29,0))</f>
        <v>0</v>
      </c>
      <c r="FQ8">
        <f>INDEX($B$22:$GQ$22,MATCH(172,$B$29:$GQ$29,0))</f>
        <v>0</v>
      </c>
      <c r="FR8">
        <f>INDEX($B$22:$GQ$22,MATCH(173,$B$29:$GQ$29,0))</f>
        <v>0</v>
      </c>
      <c r="FS8">
        <f>INDEX($B$22:$GQ$22,MATCH(174,$B$29:$GQ$29,0))</f>
        <v>0</v>
      </c>
      <c r="FT8">
        <f>INDEX($B$22:$GQ$22,MATCH(175,$B$29:$GQ$29,0))</f>
        <v>0</v>
      </c>
      <c r="FU8">
        <f>INDEX($B$22:$GQ$22,MATCH(176,$B$29:$GQ$29,0))</f>
        <v>0</v>
      </c>
      <c r="FV8">
        <f>INDEX($B$22:$GQ$22,MATCH(177,$B$29:$GQ$29,0))</f>
        <v>0</v>
      </c>
      <c r="FW8">
        <f>INDEX($B$22:$GQ$22,MATCH(178,$B$29:$GQ$29,0))</f>
        <v>0</v>
      </c>
      <c r="FX8">
        <f>INDEX($B$22:$GQ$22,MATCH(179,$B$29:$GQ$29,0))</f>
        <v>0</v>
      </c>
      <c r="FY8">
        <f>INDEX($B$22:$GQ$22,MATCH(180,$B$29:$GQ$29,0))</f>
        <v>0</v>
      </c>
      <c r="FZ8">
        <f>INDEX($B$22:$GQ$22,MATCH(181,$B$29:$GQ$29,0))</f>
        <v>0</v>
      </c>
      <c r="GA8">
        <f>INDEX($B$22:$GQ$22,MATCH(182,$B$29:$GQ$29,0))</f>
        <v>0</v>
      </c>
      <c r="GB8">
        <f>INDEX($B$22:$GQ$22,MATCH(183,$B$29:$GQ$29,0))</f>
        <v>0</v>
      </c>
      <c r="GC8">
        <f>INDEX($B$22:$GQ$22,MATCH(184,$B$29:$GQ$29,0))</f>
        <v>0</v>
      </c>
      <c r="GD8">
        <f>INDEX($B$22:$GQ$22,MATCH(185,$B$29:$GQ$29,0))</f>
        <v>0</v>
      </c>
      <c r="GE8">
        <f>INDEX($B$22:$GQ$22,MATCH(186,$B$29:$GQ$29,0))</f>
        <v>0</v>
      </c>
      <c r="GF8">
        <f>INDEX($B$22:$GQ$22,MATCH(187,$B$29:$GQ$29,0))</f>
        <v>0</v>
      </c>
      <c r="GG8">
        <f>INDEX($B$22:$GQ$22,MATCH(188,$B$29:$GQ$29,0))</f>
        <v>0</v>
      </c>
      <c r="GH8">
        <f>INDEX($B$22:$GQ$22,MATCH(189,$B$29:$GQ$29,0))</f>
        <v>0</v>
      </c>
      <c r="GI8">
        <f>INDEX($B$22:$GQ$22,MATCH(190,$B$29:$GQ$29,0))</f>
        <v>0</v>
      </c>
      <c r="GJ8">
        <f>INDEX($B$22:$GQ$22,MATCH(191,$B$29:$GQ$29,0))</f>
        <v>0</v>
      </c>
      <c r="GK8">
        <f>INDEX($B$22:$GQ$22,MATCH(192,$B$29:$GQ$29,0))</f>
        <v>0</v>
      </c>
      <c r="GL8">
        <f>INDEX($B$22:$GQ$22,MATCH(193,$B$29:$GQ$29,0))</f>
        <v>0</v>
      </c>
      <c r="GM8">
        <f>INDEX($B$22:$GQ$22,MATCH(194,$B$29:$GQ$29,0))</f>
        <v>0</v>
      </c>
      <c r="GN8">
        <f>INDEX($B$22:$GQ$22,MATCH(195,$B$29:$GQ$29,0))</f>
        <v>0</v>
      </c>
      <c r="GO8">
        <f>INDEX($B$22:$GQ$22,MATCH(196,$B$29:$GQ$29,0))</f>
        <v>0</v>
      </c>
      <c r="GP8">
        <f>INDEX($B$22:$GQ$22,MATCH(197,$B$29:$GQ$29,0))</f>
        <v>0</v>
      </c>
      <c r="GQ8">
        <f>INDEX($B$22:$GQ$22,MATCH(198,$B$29:$GQ$29,0))</f>
        <v>0</v>
      </c>
      <c r="GR8">
        <f>INDEX($GR$22:$HC$22,MATCH(1,$GR$30:$HC$30,0))</f>
        <v>879887.65012239758</v>
      </c>
      <c r="GS8">
        <f>INDEX($GR$22:$HC$22,MATCH(2,$GR$30:$HC$30,0))</f>
        <v>115961.4466882009</v>
      </c>
      <c r="GT8">
        <f>INDEX($GR$22:$HC$22,MATCH(3,$GR$30:$HC$30,0))</f>
        <v>348068.80637080298</v>
      </c>
      <c r="GU8">
        <f>INDEX($GR$22:$HC$22,MATCH(4,$GR$30:$HC$30,0))</f>
        <v>76311.734081727249</v>
      </c>
      <c r="GV8">
        <f>INDEX($GR$22:$HC$22,MATCH(5,$GR$30:$HC$30,0))</f>
        <v>31083.776765543069</v>
      </c>
      <c r="GW8">
        <f>INDEX($GR$22:$HC$22,MATCH(6,$GR$30:$HC$30,0))</f>
        <v>35754.451946233312</v>
      </c>
      <c r="GX8">
        <f>INDEX($GR$22:$HC$22,MATCH(7,$GR$30:$HC$30,0))</f>
        <v>8862.9789436519168</v>
      </c>
      <c r="GY8">
        <f>INDEX($GR$22:$HC$22,MATCH(8,$GR$30:$HC$30,0))</f>
        <v>5050.4413716326299</v>
      </c>
      <c r="GZ8">
        <f>INDEX($GR$22:$HC$22,MATCH(9,$GR$30:$HC$30,0))</f>
        <v>8625.6836483218303</v>
      </c>
      <c r="HA8">
        <f>INDEX($GR$22:$HC$22,MATCH(10,$GR$30:$HC$30,0))</f>
        <v>83954.164852629998</v>
      </c>
      <c r="HB8">
        <f>INDEX($GR$22:$HC$22,MATCH(11,$GR$30:$HC$30,0))</f>
        <v>5617.0054188691001</v>
      </c>
      <c r="HC8">
        <f>INDEX($GR$22:$HC$22,MATCH(12,$GR$30:$HC$30,0))</f>
        <v>10307.068231872499</v>
      </c>
    </row>
    <row r="9" spans="1:211" x14ac:dyDescent="0.45">
      <c r="A9" s="1" t="s">
        <v>8</v>
      </c>
      <c r="B9">
        <f>INDEX($B$23:$GQ$23,MATCH(1,$B$29:$GQ$29,0))</f>
        <v>20.09942219147829</v>
      </c>
      <c r="C9">
        <f>INDEX($B$23:$GQ$23,MATCH(2,$B$29:$GQ$29,0))</f>
        <v>16.54508150763056</v>
      </c>
      <c r="D9">
        <f>INDEX($B$23:$GQ$23,MATCH(3,$B$29:$GQ$29,0))</f>
        <v>12.118793675561511</v>
      </c>
      <c r="E9">
        <f>INDEX($B$23:$GQ$23,MATCH(4,$B$29:$GQ$29,0))</f>
        <v>4.3350149037999257</v>
      </c>
      <c r="F9">
        <f>INDEX($B$23:$GQ$23,MATCH(5,$B$29:$GQ$29,0))</f>
        <v>4.9180815665694091</v>
      </c>
      <c r="G9">
        <f>INDEX($B$23:$GQ$23,MATCH(6,$B$29:$GQ$29,0))</f>
        <v>4.8701749997446253</v>
      </c>
      <c r="H9">
        <f>INDEX($B$23:$GQ$23,MATCH(7,$B$29:$GQ$29,0))</f>
        <v>7.934266589109332</v>
      </c>
      <c r="I9">
        <f>INDEX($B$23:$GQ$23,MATCH(8,$B$29:$GQ$29,0))</f>
        <v>7.0044816949549338</v>
      </c>
      <c r="J9">
        <f>INDEX($B$23:$GQ$23,MATCH(9,$B$29:$GQ$29,0))</f>
        <v>1.000508607731297</v>
      </c>
      <c r="K9">
        <f>INDEX($B$23:$GQ$23,MATCH(10,$B$29:$GQ$29,0))</f>
        <v>3.659096578648402</v>
      </c>
      <c r="L9">
        <f>INDEX($B$23:$GQ$23,MATCH(11,$B$29:$GQ$29,0))</f>
        <v>0.25719931251948708</v>
      </c>
      <c r="M9">
        <f>INDEX($B$23:$GQ$23,MATCH(12,$B$29:$GQ$29,0))</f>
        <v>1.603542962327241</v>
      </c>
      <c r="N9">
        <f>INDEX($B$23:$GQ$23,MATCH(13,$B$29:$GQ$29,0))</f>
        <v>5.9667356008821848</v>
      </c>
      <c r="O9">
        <f>INDEX($B$23:$GQ$23,MATCH(14,$B$29:$GQ$29,0))</f>
        <v>4.40455317643619</v>
      </c>
      <c r="P9">
        <f>INDEX($B$23:$GQ$23,MATCH(15,$B$29:$GQ$29,0))</f>
        <v>0.28467619795147597</v>
      </c>
      <c r="Q9">
        <f>INDEX($B$23:$GQ$23,MATCH(16,$B$29:$GQ$29,0))</f>
        <v>4.6666431232993251</v>
      </c>
      <c r="R9">
        <f>INDEX($B$23:$GQ$23,MATCH(17,$B$29:$GQ$29,0))</f>
        <v>3.1887669008296111</v>
      </c>
      <c r="S9">
        <f>INDEX($B$23:$GQ$23,MATCH(18,$B$29:$GQ$29,0))</f>
        <v>6.1987074874177823</v>
      </c>
      <c r="T9">
        <f>INDEX($B$23:$GQ$23,MATCH(19,$B$29:$GQ$29,0))</f>
        <v>0.23939924602191379</v>
      </c>
      <c r="U9">
        <f>INDEX($B$23:$GQ$23,MATCH(20,$B$29:$GQ$29,0))</f>
        <v>1.919898365758357</v>
      </c>
      <c r="V9">
        <f>INDEX($B$23:$GQ$23,MATCH(21,$B$29:$GQ$29,0))</f>
        <v>1.215445288577947</v>
      </c>
      <c r="W9">
        <f>INDEX($B$23:$GQ$23,MATCH(22,$B$29:$GQ$29,0))</f>
        <v>0.38801807078848782</v>
      </c>
      <c r="X9">
        <f>INDEX($B$23:$GQ$23,MATCH(23,$B$29:$GQ$29,0))</f>
        <v>1.4424560112681231</v>
      </c>
      <c r="Y9">
        <f>INDEX($B$23:$GQ$23,MATCH(24,$B$29:$GQ$29,0))</f>
        <v>2.2917944511533022</v>
      </c>
      <c r="Z9">
        <f>INDEX($B$23:$GQ$23,MATCH(25,$B$29:$GQ$29,0))</f>
        <v>2.8018124738972938</v>
      </c>
      <c r="AA9">
        <f>INDEX($B$23:$GQ$23,MATCH(26,$B$29:$GQ$29,0))</f>
        <v>1.219022189480824</v>
      </c>
      <c r="AB9">
        <f>INDEX($B$23:$GQ$23,MATCH(27,$B$29:$GQ$29,0))</f>
        <v>2.8967136343425359</v>
      </c>
      <c r="AC9">
        <f>INDEX($B$23:$GQ$23,MATCH(28,$B$29:$GQ$29,0))</f>
        <v>3.0896953154177771</v>
      </c>
      <c r="AD9">
        <f>INDEX($B$23:$GQ$23,MATCH(29,$B$29:$GQ$29,0))</f>
        <v>1.0506625809034871</v>
      </c>
      <c r="AE9">
        <f>INDEX($B$23:$GQ$23,MATCH(30,$B$29:$GQ$29,0))</f>
        <v>2.4022726751572439</v>
      </c>
      <c r="AF9">
        <f>INDEX($B$23:$GQ$23,MATCH(31,$B$29:$GQ$29,0))</f>
        <v>1.2892524074509391</v>
      </c>
      <c r="AG9">
        <f>INDEX($B$23:$GQ$23,MATCH(32,$B$29:$GQ$29,0))</f>
        <v>1.802737408731566</v>
      </c>
      <c r="AH9">
        <f>INDEX($B$23:$GQ$23,MATCH(33,$B$29:$GQ$29,0))</f>
        <v>1.1076937963985509</v>
      </c>
      <c r="AI9">
        <f>INDEX($B$23:$GQ$23,MATCH(34,$B$29:$GQ$29,0))</f>
        <v>3.8882418780783433E-2</v>
      </c>
      <c r="AJ9">
        <f>INDEX($B$23:$GQ$23,MATCH(35,$B$29:$GQ$29,0))</f>
        <v>1.6223271873463581</v>
      </c>
      <c r="AK9">
        <f>INDEX($B$23:$GQ$23,MATCH(36,$B$29:$GQ$29,0))</f>
        <v>1.338421080057199</v>
      </c>
      <c r="AL9">
        <f>INDEX($B$23:$GQ$23,MATCH(37,$B$29:$GQ$29,0))</f>
        <v>1.3010816937539</v>
      </c>
      <c r="AM9">
        <f>INDEX($B$23:$GQ$23,MATCH(38,$B$29:$GQ$29,0))</f>
        <v>0.42142992729175638</v>
      </c>
      <c r="AN9">
        <f>INDEX($B$23:$GQ$23,MATCH(39,$B$29:$GQ$29,0))</f>
        <v>0.32589593809979073</v>
      </c>
      <c r="AO9">
        <f>INDEX($B$23:$GQ$23,MATCH(40,$B$29:$GQ$29,0))</f>
        <v>0.24150129805919371</v>
      </c>
      <c r="AP9">
        <f>INDEX($B$23:$GQ$23,MATCH(41,$B$29:$GQ$29,0))</f>
        <v>0.245138361833485</v>
      </c>
      <c r="AQ9">
        <f>INDEX($B$23:$GQ$23,MATCH(42,$B$29:$GQ$29,0))</f>
        <v>0.58222489837922753</v>
      </c>
      <c r="AR9">
        <f>INDEX($B$23:$GQ$23,MATCH(43,$B$29:$GQ$29,0))</f>
        <v>9.0869151424878017E-2</v>
      </c>
      <c r="AS9">
        <f>INDEX($B$23:$GQ$23,MATCH(44,$B$29:$GQ$29,0))</f>
        <v>0.31428620276752472</v>
      </c>
      <c r="AT9">
        <f>INDEX($B$23:$GQ$23,MATCH(45,$B$29:$GQ$29,0))</f>
        <v>1.29038821757269</v>
      </c>
      <c r="AU9">
        <f>INDEX($B$23:$GQ$23,MATCH(46,$B$29:$GQ$29,0))</f>
        <v>0.41787419534054981</v>
      </c>
      <c r="AV9">
        <f>INDEX($B$23:$GQ$23,MATCH(47,$B$29:$GQ$29,0))</f>
        <v>1.133333647961424</v>
      </c>
      <c r="AW9">
        <f>INDEX($B$23:$GQ$23,MATCH(48,$B$29:$GQ$29,0))</f>
        <v>1.1598866820988689</v>
      </c>
      <c r="AX9">
        <f>INDEX($B$23:$GQ$23,MATCH(49,$B$29:$GQ$29,0))</f>
        <v>0.93126985802015916</v>
      </c>
      <c r="AY9">
        <f>INDEX($B$23:$GQ$23,MATCH(50,$B$29:$GQ$29,0))</f>
        <v>0.43719496482595221</v>
      </c>
      <c r="AZ9">
        <f>INDEX($B$23:$GQ$23,MATCH(51,$B$29:$GQ$29,0))</f>
        <v>8.0885764963274709E-2</v>
      </c>
      <c r="BA9">
        <f>INDEX($B$23:$GQ$23,MATCH(52,$B$29:$GQ$29,0))</f>
        <v>0.72208118388494824</v>
      </c>
      <c r="BB9">
        <f>INDEX($B$23:$GQ$23,MATCH(53,$B$29:$GQ$29,0))</f>
        <v>0.50248060539496053</v>
      </c>
      <c r="BC9">
        <f>INDEX($B$23:$GQ$23,MATCH(54,$B$29:$GQ$29,0))</f>
        <v>1.9635331939096529E-2</v>
      </c>
      <c r="BD9">
        <f>INDEX($B$23:$GQ$23,MATCH(55,$B$29:$GQ$29,0))</f>
        <v>0.71058634055162639</v>
      </c>
      <c r="BE9">
        <f>INDEX($B$23:$GQ$23,MATCH(56,$B$29:$GQ$29,0))</f>
        <v>2.60567018193145E-2</v>
      </c>
      <c r="BF9">
        <f>INDEX($B$23:$GQ$23,MATCH(57,$B$29:$GQ$29,0))</f>
        <v>0.31359867242233191</v>
      </c>
      <c r="BG9">
        <f>INDEX($B$23:$GQ$23,MATCH(58,$B$29:$GQ$29,0))</f>
        <v>0.55264491450773168</v>
      </c>
      <c r="BH9">
        <f>INDEX($B$23:$GQ$23,MATCH(59,$B$29:$GQ$29,0))</f>
        <v>0.16270565880975821</v>
      </c>
      <c r="BI9">
        <f>INDEX($B$23:$GQ$23,MATCH(60,$B$29:$GQ$29,0))</f>
        <v>0.49912908749190271</v>
      </c>
      <c r="BJ9">
        <f>INDEX($B$23:$GQ$23,MATCH(61,$B$29:$GQ$29,0))</f>
        <v>0.97270926789645984</v>
      </c>
      <c r="BK9">
        <f>INDEX($B$23:$GQ$23,MATCH(62,$B$29:$GQ$29,0))</f>
        <v>7.3532602124952537E-2</v>
      </c>
      <c r="BL9">
        <f>INDEX($B$23:$GQ$23,MATCH(63,$B$29:$GQ$29,0))</f>
        <v>8.0753909508085336E-2</v>
      </c>
      <c r="BM9">
        <f>INDEX($B$23:$GQ$23,MATCH(64,$B$29:$GQ$29,0))</f>
        <v>0.45838462546230729</v>
      </c>
      <c r="BN9">
        <f>INDEX($B$23:$GQ$23,MATCH(65,$B$29:$GQ$29,0))</f>
        <v>0.29865157237660772</v>
      </c>
      <c r="BO9">
        <f>INDEX($B$23:$GQ$23,MATCH(66,$B$29:$GQ$29,0))</f>
        <v>0.113608722564257</v>
      </c>
      <c r="BP9">
        <f>INDEX($B$23:$GQ$23,MATCH(67,$B$29:$GQ$29,0))</f>
        <v>4.1946022852931211E-2</v>
      </c>
      <c r="BQ9">
        <f>INDEX($B$23:$GQ$23,MATCH(68,$B$29:$GQ$29,0))</f>
        <v>0.14494269890475209</v>
      </c>
      <c r="BR9">
        <f>INDEX($B$23:$GQ$23,MATCH(69,$B$29:$GQ$29,0))</f>
        <v>0.41079168979031122</v>
      </c>
      <c r="BS9">
        <f>INDEX($B$23:$GQ$23,MATCH(70,$B$29:$GQ$29,0))</f>
        <v>0.36313423920111482</v>
      </c>
      <c r="BT9">
        <f>INDEX($B$23:$GQ$23,MATCH(71,$B$29:$GQ$29,0))</f>
        <v>3.932612724392915E-2</v>
      </c>
      <c r="BU9">
        <f>INDEX($B$23:$GQ$23,MATCH(72,$B$29:$GQ$29,0))</f>
        <v>3.3307930730721913E-2</v>
      </c>
      <c r="BV9">
        <f>INDEX($B$23:$GQ$23,MATCH(73,$B$29:$GQ$29,0))</f>
        <v>0.23266148924080679</v>
      </c>
      <c r="BW9">
        <f>INDEX($B$23:$GQ$23,MATCH(74,$B$29:$GQ$29,0))</f>
        <v>0.18730042564789451</v>
      </c>
      <c r="BX9">
        <f>INDEX($B$23:$GQ$23,MATCH(75,$B$29:$GQ$29,0))</f>
        <v>2.3456566957717279E-2</v>
      </c>
      <c r="BY9">
        <f>INDEX($B$23:$GQ$23,MATCH(76,$B$29:$GQ$29,0))</f>
        <v>4.9407489196907878E-2</v>
      </c>
      <c r="BZ9">
        <f>INDEX($B$23:$GQ$23,MATCH(77,$B$29:$GQ$29,0))</f>
        <v>0.10471604368602661</v>
      </c>
      <c r="CA9">
        <f>INDEX($B$23:$GQ$23,MATCH(78,$B$29:$GQ$29,0))</f>
        <v>5.1194694345695263E-2</v>
      </c>
      <c r="CB9">
        <f>INDEX($B$23:$GQ$23,MATCH(79,$B$29:$GQ$29,0))</f>
        <v>0.1014675627730927</v>
      </c>
      <c r="CC9">
        <f>INDEX($B$23:$GQ$23,MATCH(80,$B$29:$GQ$29,0))</f>
        <v>0.12706675840237841</v>
      </c>
      <c r="CD9">
        <f>INDEX($B$23:$GQ$23,MATCH(81,$B$29:$GQ$29,0))</f>
        <v>7.6304762210799931E-2</v>
      </c>
      <c r="CE9">
        <f>INDEX($B$23:$GQ$23,MATCH(82,$B$29:$GQ$29,0))</f>
        <v>1.5084178206230059E-2</v>
      </c>
      <c r="CF9">
        <f>INDEX($B$23:$GQ$23,MATCH(83,$B$29:$GQ$29,0))</f>
        <v>7.156160793060426E-2</v>
      </c>
      <c r="CG9">
        <f>INDEX($B$23:$GQ$23,MATCH(84,$B$29:$GQ$29,0))</f>
        <v>2.974822533448538E-2</v>
      </c>
      <c r="CH9">
        <f>INDEX($B$23:$GQ$23,MATCH(85,$B$29:$GQ$29,0))</f>
        <v>0.10612034833448861</v>
      </c>
      <c r="CI9">
        <f>INDEX($B$23:$GQ$23,MATCH(86,$B$29:$GQ$29,0))</f>
        <v>6.4555489842731198E-2</v>
      </c>
      <c r="CJ9">
        <f>INDEX($B$23:$GQ$23,MATCH(87,$B$29:$GQ$29,0))</f>
        <v>6.1065531075596709E-2</v>
      </c>
      <c r="CK9">
        <f>INDEX($B$23:$GQ$23,MATCH(88,$B$29:$GQ$29,0))</f>
        <v>6.0692891875616953E-2</v>
      </c>
      <c r="CL9">
        <f>INDEX($B$23:$GQ$23,MATCH(89,$B$29:$GQ$29,0))</f>
        <v>3.740960700726656E-2</v>
      </c>
      <c r="CM9">
        <f>INDEX($B$23:$GQ$23,MATCH(90,$B$29:$GQ$29,0))</f>
        <v>2.4434849900126479E-3</v>
      </c>
      <c r="CN9">
        <f>INDEX($B$23:$GQ$23,MATCH(91,$B$29:$GQ$29,0))</f>
        <v>0.12165776186979289</v>
      </c>
      <c r="CO9">
        <f>INDEX($B$23:$GQ$23,MATCH(92,$B$29:$GQ$29,0))</f>
        <v>5.4127655482194767E-2</v>
      </c>
      <c r="CP9">
        <f>INDEX($B$23:$GQ$23,MATCH(93,$B$29:$GQ$29,0))</f>
        <v>3.3195628167763197E-2</v>
      </c>
      <c r="CQ9">
        <f>INDEX($B$23:$GQ$23,MATCH(94,$B$29:$GQ$29,0))</f>
        <v>3.1100365049656839E-2</v>
      </c>
      <c r="CR9">
        <f>INDEX($B$23:$GQ$23,MATCH(95,$B$29:$GQ$29,0))</f>
        <v>2.1627975209766882E-2</v>
      </c>
      <c r="CS9">
        <f>INDEX($B$23:$GQ$23,MATCH(96,$B$29:$GQ$29,0))</f>
        <v>1.4948985713140951E-2</v>
      </c>
      <c r="CT9">
        <f>INDEX($B$23:$GQ$23,MATCH(97,$B$29:$GQ$29,0))</f>
        <v>9.3562759895454827E-3</v>
      </c>
      <c r="CU9">
        <f>INDEX($B$23:$GQ$23,MATCH(98,$B$29:$GQ$29,0))</f>
        <v>1.06302537517989E-3</v>
      </c>
      <c r="CV9">
        <f>INDEX($B$23:$GQ$23,MATCH(99,$B$29:$GQ$29,0))</f>
        <v>2.5953119528789901E-2</v>
      </c>
      <c r="CW9">
        <f>INDEX($B$23:$GQ$23,MATCH(100,$B$29:$GQ$29,0))</f>
        <v>7.4681940137677439E-3</v>
      </c>
      <c r="CX9">
        <f>INDEX($B$23:$GQ$23,MATCH(101,$B$29:$GQ$29,0))</f>
        <v>2.8002806710351089E-2</v>
      </c>
      <c r="CY9">
        <f>INDEX($B$23:$GQ$23,MATCH(102,$B$29:$GQ$29,0))</f>
        <v>2.8287089033749348E-2</v>
      </c>
      <c r="CZ9">
        <f>INDEX($B$23:$GQ$23,MATCH(103,$B$29:$GQ$29,0))</f>
        <v>4.3049269075874511E-3</v>
      </c>
      <c r="DA9">
        <f>INDEX($B$23:$GQ$23,MATCH(104,$B$29:$GQ$29,0))</f>
        <v>8.579746373592035E-3</v>
      </c>
      <c r="DB9">
        <f>INDEX($B$23:$GQ$23,MATCH(105,$B$29:$GQ$29,0))</f>
        <v>1.820200850845622E-2</v>
      </c>
      <c r="DC9">
        <f>INDEX($B$23:$GQ$23,MATCH(106,$B$29:$GQ$29,0))</f>
        <v>1.480702456219136E-2</v>
      </c>
      <c r="DD9">
        <f>INDEX($B$23:$GQ$23,MATCH(107,$B$29:$GQ$29,0))</f>
        <v>1.3429308652226621E-2</v>
      </c>
      <c r="DE9">
        <f>INDEX($B$23:$GQ$23,MATCH(108,$B$29:$GQ$29,0))</f>
        <v>5.8418536739568922E-3</v>
      </c>
      <c r="DF9">
        <f>INDEX($B$23:$GQ$23,MATCH(109,$B$29:$GQ$29,0))</f>
        <v>0</v>
      </c>
      <c r="DG9">
        <f>INDEX($B$23:$GQ$23,MATCH(110,$B$29:$GQ$29,0))</f>
        <v>0</v>
      </c>
      <c r="DH9">
        <f>INDEX($B$23:$GQ$23,MATCH(111,$B$29:$GQ$29,0))</f>
        <v>5.1034045983419382E-3</v>
      </c>
      <c r="DI9">
        <f>INDEX($B$23:$GQ$23,MATCH(112,$B$29:$GQ$29,0))</f>
        <v>3.0616461408698092E-3</v>
      </c>
      <c r="DJ9">
        <f>INDEX($B$23:$GQ$23,MATCH(113,$B$29:$GQ$29,0))</f>
        <v>0</v>
      </c>
      <c r="DK9">
        <f>INDEX($B$23:$GQ$23,MATCH(114,$B$29:$GQ$29,0))</f>
        <v>4.6393926362913868E-3</v>
      </c>
      <c r="DL9">
        <f>INDEX($B$23:$GQ$23,MATCH(115,$B$29:$GQ$29,0))</f>
        <v>0</v>
      </c>
      <c r="DM9">
        <f>INDEX($B$23:$GQ$23,MATCH(116,$B$29:$GQ$29,0))</f>
        <v>1.525940143654831E-3</v>
      </c>
      <c r="DN9">
        <f>INDEX($B$23:$GQ$23,MATCH(117,$B$29:$GQ$29,0))</f>
        <v>1.1781826634700259E-3</v>
      </c>
      <c r="DO9">
        <f>INDEX($B$23:$GQ$23,MATCH(118,$B$29:$GQ$29,0))</f>
        <v>1.3860450370651121E-3</v>
      </c>
      <c r="DP9">
        <f>INDEX($B$23:$GQ$23,MATCH(119,$B$29:$GQ$29,0))</f>
        <v>0</v>
      </c>
      <c r="DQ9">
        <f>INDEX($B$23:$GQ$23,MATCH(120,$B$29:$GQ$29,0))</f>
        <v>2.2123788824859399E-3</v>
      </c>
      <c r="DR9">
        <f>INDEX($B$23:$GQ$23,MATCH(121,$B$29:$GQ$29,0))</f>
        <v>1.093078442089232E-4</v>
      </c>
      <c r="DS9">
        <f>INDEX($B$23:$GQ$23,MATCH(122,$B$29:$GQ$29,0))</f>
        <v>4.5095370914665441E-4</v>
      </c>
      <c r="DT9">
        <f>INDEX($B$23:$GQ$23,MATCH(123,$B$29:$GQ$29,0))</f>
        <v>4.3816773552174122E-4</v>
      </c>
      <c r="DU9">
        <f>INDEX($B$23:$GQ$23,MATCH(124,$B$29:$GQ$29,0))</f>
        <v>2.0968211983070911E-5</v>
      </c>
      <c r="DV9">
        <f>INDEX($B$23:$GQ$23,MATCH(125,$B$29:$GQ$29,0))</f>
        <v>4.5248506375608128E-4</v>
      </c>
      <c r="DW9">
        <f>INDEX($B$23:$GQ$23,MATCH(126,$B$29:$GQ$29,0))</f>
        <v>0</v>
      </c>
      <c r="DX9">
        <f>INDEX($B$23:$GQ$23,MATCH(127,$B$29:$GQ$29,0))</f>
        <v>6.5630908584880706E-5</v>
      </c>
      <c r="DY9">
        <f>INDEX($B$23:$GQ$23,MATCH(128,$B$29:$GQ$29,0))</f>
        <v>3.0073167212576029E-5</v>
      </c>
      <c r="DZ9">
        <f>INDEX($B$23:$GQ$23,MATCH(129,$B$29:$GQ$29,0))</f>
        <v>0</v>
      </c>
      <c r="EA9">
        <f>INDEX($B$23:$GQ$23,MATCH(130,$B$29:$GQ$29,0))</f>
        <v>9.3806136781866529E-7</v>
      </c>
      <c r="EB9">
        <f>INDEX($B$23:$GQ$23,MATCH(131,$B$29:$GQ$29,0))</f>
        <v>2.9949655155615779E-7</v>
      </c>
      <c r="EC9">
        <f>INDEX($B$23:$GQ$23,MATCH(132,$B$29:$GQ$29,0))</f>
        <v>0</v>
      </c>
      <c r="ED9">
        <f>INDEX($B$23:$GQ$23,MATCH(133,$B$29:$GQ$29,0))</f>
        <v>0</v>
      </c>
      <c r="EE9">
        <f>INDEX($B$23:$GQ$23,MATCH(134,$B$29:$GQ$29,0))</f>
        <v>0</v>
      </c>
      <c r="EF9">
        <f>INDEX($B$23:$GQ$23,MATCH(135,$B$29:$GQ$29,0))</f>
        <v>0</v>
      </c>
      <c r="EG9">
        <f>INDEX($B$23:$GQ$23,MATCH(136,$B$29:$GQ$29,0))</f>
        <v>0</v>
      </c>
      <c r="EH9">
        <f>INDEX($B$23:$GQ$23,MATCH(137,$B$29:$GQ$29,0))</f>
        <v>0</v>
      </c>
      <c r="EI9">
        <f>INDEX($B$23:$GQ$23,MATCH(138,$B$29:$GQ$29,0))</f>
        <v>0</v>
      </c>
      <c r="EJ9">
        <f>INDEX($B$23:$GQ$23,MATCH(139,$B$29:$GQ$29,0))</f>
        <v>0</v>
      </c>
      <c r="EK9">
        <f>INDEX($B$23:$GQ$23,MATCH(140,$B$29:$GQ$29,0))</f>
        <v>0</v>
      </c>
      <c r="EL9">
        <f>INDEX($B$23:$GQ$23,MATCH(141,$B$29:$GQ$29,0))</f>
        <v>0</v>
      </c>
      <c r="EM9">
        <f>INDEX($B$23:$GQ$23,MATCH(142,$B$29:$GQ$29,0))</f>
        <v>0</v>
      </c>
      <c r="EN9">
        <f>INDEX($B$23:$GQ$23,MATCH(143,$B$29:$GQ$29,0))</f>
        <v>0</v>
      </c>
      <c r="EO9">
        <f>INDEX($B$23:$GQ$23,MATCH(144,$B$29:$GQ$29,0))</f>
        <v>0</v>
      </c>
      <c r="EP9">
        <f>INDEX($B$23:$GQ$23,MATCH(145,$B$29:$GQ$29,0))</f>
        <v>0</v>
      </c>
      <c r="EQ9">
        <f>INDEX($B$23:$GQ$23,MATCH(146,$B$29:$GQ$29,0))</f>
        <v>0</v>
      </c>
      <c r="ER9">
        <f>INDEX($B$23:$GQ$23,MATCH(147,$B$29:$GQ$29,0))</f>
        <v>0</v>
      </c>
      <c r="ES9">
        <f>INDEX($B$23:$GQ$23,MATCH(148,$B$29:$GQ$29,0))</f>
        <v>0</v>
      </c>
      <c r="ET9">
        <f>INDEX($B$23:$GQ$23,MATCH(149,$B$29:$GQ$29,0))</f>
        <v>0</v>
      </c>
      <c r="EU9">
        <f>INDEX($B$23:$GQ$23,MATCH(150,$B$29:$GQ$29,0))</f>
        <v>0</v>
      </c>
      <c r="EV9">
        <f>INDEX($B$23:$GQ$23,MATCH(151,$B$29:$GQ$29,0))</f>
        <v>0</v>
      </c>
      <c r="EW9">
        <f>INDEX($B$23:$GQ$23,MATCH(152,$B$29:$GQ$29,0))</f>
        <v>0</v>
      </c>
      <c r="EX9">
        <f>INDEX($B$23:$GQ$23,MATCH(153,$B$29:$GQ$29,0))</f>
        <v>0</v>
      </c>
      <c r="EY9">
        <f>INDEX($B$23:$GQ$23,MATCH(154,$B$29:$GQ$29,0))</f>
        <v>0</v>
      </c>
      <c r="EZ9">
        <f>INDEX($B$23:$GQ$23,MATCH(155,$B$29:$GQ$29,0))</f>
        <v>0</v>
      </c>
      <c r="FA9">
        <f>INDEX($B$23:$GQ$23,MATCH(156,$B$29:$GQ$29,0))</f>
        <v>0</v>
      </c>
      <c r="FB9">
        <f>INDEX($B$23:$GQ$23,MATCH(157,$B$29:$GQ$29,0))</f>
        <v>0</v>
      </c>
      <c r="FC9">
        <f>INDEX($B$23:$GQ$23,MATCH(158,$B$29:$GQ$29,0))</f>
        <v>0</v>
      </c>
      <c r="FD9">
        <f>INDEX($B$23:$GQ$23,MATCH(159,$B$29:$GQ$29,0))</f>
        <v>0</v>
      </c>
      <c r="FE9">
        <f>INDEX($B$23:$GQ$23,MATCH(160,$B$29:$GQ$29,0))</f>
        <v>0</v>
      </c>
      <c r="FF9">
        <f>INDEX($B$23:$GQ$23,MATCH(161,$B$29:$GQ$29,0))</f>
        <v>0</v>
      </c>
      <c r="FG9">
        <f>INDEX($B$23:$GQ$23,MATCH(162,$B$29:$GQ$29,0))</f>
        <v>0</v>
      </c>
      <c r="FH9">
        <f>INDEX($B$23:$GQ$23,MATCH(163,$B$29:$GQ$29,0))</f>
        <v>0</v>
      </c>
      <c r="FI9">
        <f>INDEX($B$23:$GQ$23,MATCH(164,$B$29:$GQ$29,0))</f>
        <v>0</v>
      </c>
      <c r="FJ9">
        <f>INDEX($B$23:$GQ$23,MATCH(165,$B$29:$GQ$29,0))</f>
        <v>0</v>
      </c>
      <c r="FK9">
        <f>INDEX($B$23:$GQ$23,MATCH(166,$B$29:$GQ$29,0))</f>
        <v>0</v>
      </c>
      <c r="FL9">
        <f>INDEX($B$23:$GQ$23,MATCH(167,$B$29:$GQ$29,0))</f>
        <v>0</v>
      </c>
      <c r="FM9">
        <f>INDEX($B$23:$GQ$23,MATCH(168,$B$29:$GQ$29,0))</f>
        <v>0</v>
      </c>
      <c r="FN9">
        <f>INDEX($B$23:$GQ$23,MATCH(169,$B$29:$GQ$29,0))</f>
        <v>0</v>
      </c>
      <c r="FO9">
        <f>INDEX($B$23:$GQ$23,MATCH(170,$B$29:$GQ$29,0))</f>
        <v>0</v>
      </c>
      <c r="FP9">
        <f>INDEX($B$23:$GQ$23,MATCH(171,$B$29:$GQ$29,0))</f>
        <v>0</v>
      </c>
      <c r="FQ9">
        <f>INDEX($B$23:$GQ$23,MATCH(172,$B$29:$GQ$29,0))</f>
        <v>0</v>
      </c>
      <c r="FR9">
        <f>INDEX($B$23:$GQ$23,MATCH(173,$B$29:$GQ$29,0))</f>
        <v>0</v>
      </c>
      <c r="FS9">
        <f>INDEX($B$23:$GQ$23,MATCH(174,$B$29:$GQ$29,0))</f>
        <v>0</v>
      </c>
      <c r="FT9">
        <f>INDEX($B$23:$GQ$23,MATCH(175,$B$29:$GQ$29,0))</f>
        <v>0</v>
      </c>
      <c r="FU9">
        <f>INDEX($B$23:$GQ$23,MATCH(176,$B$29:$GQ$29,0))</f>
        <v>0</v>
      </c>
      <c r="FV9">
        <f>INDEX($B$23:$GQ$23,MATCH(177,$B$29:$GQ$29,0))</f>
        <v>0</v>
      </c>
      <c r="FW9">
        <f>INDEX($B$23:$GQ$23,MATCH(178,$B$29:$GQ$29,0))</f>
        <v>0</v>
      </c>
      <c r="FX9">
        <f>INDEX($B$23:$GQ$23,MATCH(179,$B$29:$GQ$29,0))</f>
        <v>0</v>
      </c>
      <c r="FY9">
        <f>INDEX($B$23:$GQ$23,MATCH(180,$B$29:$GQ$29,0))</f>
        <v>0</v>
      </c>
      <c r="FZ9">
        <f>INDEX($B$23:$GQ$23,MATCH(181,$B$29:$GQ$29,0))</f>
        <v>0</v>
      </c>
      <c r="GA9">
        <f>INDEX($B$23:$GQ$23,MATCH(182,$B$29:$GQ$29,0))</f>
        <v>0</v>
      </c>
      <c r="GB9">
        <f>INDEX($B$23:$GQ$23,MATCH(183,$B$29:$GQ$29,0))</f>
        <v>0</v>
      </c>
      <c r="GC9">
        <f>INDEX($B$23:$GQ$23,MATCH(184,$B$29:$GQ$29,0))</f>
        <v>0</v>
      </c>
      <c r="GD9">
        <f>INDEX($B$23:$GQ$23,MATCH(185,$B$29:$GQ$29,0))</f>
        <v>0</v>
      </c>
      <c r="GE9">
        <f>INDEX($B$23:$GQ$23,MATCH(186,$B$29:$GQ$29,0))</f>
        <v>0</v>
      </c>
      <c r="GF9">
        <f>INDEX($B$23:$GQ$23,MATCH(187,$B$29:$GQ$29,0))</f>
        <v>0</v>
      </c>
      <c r="GG9">
        <f>INDEX($B$23:$GQ$23,MATCH(188,$B$29:$GQ$29,0))</f>
        <v>0</v>
      </c>
      <c r="GH9">
        <f>INDEX($B$23:$GQ$23,MATCH(189,$B$29:$GQ$29,0))</f>
        <v>0</v>
      </c>
      <c r="GI9">
        <f>INDEX($B$23:$GQ$23,MATCH(190,$B$29:$GQ$29,0))</f>
        <v>0</v>
      </c>
      <c r="GJ9">
        <f>INDEX($B$23:$GQ$23,MATCH(191,$B$29:$GQ$29,0))</f>
        <v>0</v>
      </c>
      <c r="GK9">
        <f>INDEX($B$23:$GQ$23,MATCH(192,$B$29:$GQ$29,0))</f>
        <v>0</v>
      </c>
      <c r="GL9">
        <f>INDEX($B$23:$GQ$23,MATCH(193,$B$29:$GQ$29,0))</f>
        <v>0</v>
      </c>
      <c r="GM9">
        <f>INDEX($B$23:$GQ$23,MATCH(194,$B$29:$GQ$29,0))</f>
        <v>0</v>
      </c>
      <c r="GN9">
        <f>INDEX($B$23:$GQ$23,MATCH(195,$B$29:$GQ$29,0))</f>
        <v>0</v>
      </c>
      <c r="GO9">
        <f>INDEX($B$23:$GQ$23,MATCH(196,$B$29:$GQ$29,0))</f>
        <v>0</v>
      </c>
      <c r="GP9">
        <f>INDEX($B$23:$GQ$23,MATCH(197,$B$29:$GQ$29,0))</f>
        <v>0</v>
      </c>
      <c r="GQ9">
        <f>INDEX($B$23:$GQ$23,MATCH(198,$B$29:$GQ$29,0))</f>
        <v>0</v>
      </c>
      <c r="GR9">
        <f>INDEX($GR$23:$HC$23,MATCH(1,$GR$30:$HC$30,0))</f>
        <v>60.150916006427167</v>
      </c>
      <c r="GS9">
        <f>INDEX($GR$23:$HC$23,MATCH(2,$GR$30:$HC$30,0))</f>
        <v>35.958361135039702</v>
      </c>
      <c r="GT9">
        <f>INDEX($GR$23:$HC$23,MATCH(3,$GR$30:$HC$30,0))</f>
        <v>40.541002444871879</v>
      </c>
      <c r="GU9">
        <f>INDEX($GR$23:$HC$23,MATCH(4,$GR$30:$HC$30,0))</f>
        <v>20.535072691295131</v>
      </c>
      <c r="GV9">
        <f>INDEX($GR$23:$HC$23,MATCH(5,$GR$30:$HC$30,0))</f>
        <v>5.5494385532906723</v>
      </c>
      <c r="GW9">
        <f>INDEX($GR$23:$HC$23,MATCH(6,$GR$30:$HC$30,0))</f>
        <v>5.4742334240908557</v>
      </c>
      <c r="GX9">
        <f>INDEX($GR$23:$HC$23,MATCH(7,$GR$30:$HC$30,0))</f>
        <v>1.8747924857209199</v>
      </c>
      <c r="GY9">
        <f>INDEX($GR$23:$HC$23,MATCH(8,$GR$30:$HC$30,0))</f>
        <v>1.000508607731297</v>
      </c>
      <c r="GZ9">
        <f>INDEX($GR$23:$HC$23,MATCH(9,$GR$30:$HC$30,0))</f>
        <v>1.6368508930579631</v>
      </c>
      <c r="HA9">
        <f>INDEX($GR$23:$HC$23,MATCH(10,$GR$30:$HC$30,0))</f>
        <v>4.6666431232993251</v>
      </c>
      <c r="HB9">
        <f>INDEX($GR$23:$HC$23,MATCH(11,$GR$30:$HC$30,0))</f>
        <v>0.77078764192869909</v>
      </c>
      <c r="HC9">
        <f>INDEX($GR$23:$HC$23,MATCH(12,$GR$30:$HC$30,0))</f>
        <v>1.3408645650472111</v>
      </c>
    </row>
    <row r="10" spans="1:211" x14ac:dyDescent="0.45">
      <c r="A10" s="1" t="s">
        <v>9</v>
      </c>
      <c r="B10">
        <f>INDEX($B$24:$GQ$24,MATCH(1,$B$29:$GQ$29,0))</f>
        <v>17.913460375950851</v>
      </c>
      <c r="C10">
        <f>INDEX($B$24:$GQ$24,MATCH(2,$B$29:$GQ$29,0))</f>
        <v>14.76198189049822</v>
      </c>
      <c r="D10">
        <f>INDEX($B$24:$GQ$24,MATCH(3,$B$29:$GQ$29,0))</f>
        <v>9.7380332797498319</v>
      </c>
      <c r="E10">
        <f>INDEX($B$24:$GQ$24,MATCH(4,$B$29:$GQ$29,0))</f>
        <v>14.09029982306366</v>
      </c>
      <c r="F10">
        <f>INDEX($B$24:$GQ$24,MATCH(5,$B$29:$GQ$29,0))</f>
        <v>12.692359750553919</v>
      </c>
      <c r="G10">
        <f>INDEX($B$24:$GQ$24,MATCH(6,$B$29:$GQ$29,0))</f>
        <v>2.0992477335612461</v>
      </c>
      <c r="H10">
        <f>INDEX($B$24:$GQ$24,MATCH(7,$B$29:$GQ$29,0))</f>
        <v>6.1303383003119034</v>
      </c>
      <c r="I10">
        <f>INDEX($B$24:$GQ$24,MATCH(8,$B$29:$GQ$29,0))</f>
        <v>7.4746507358842553</v>
      </c>
      <c r="J10">
        <f>INDEX($B$24:$GQ$24,MATCH(9,$B$29:$GQ$29,0))</f>
        <v>12.272954278582519</v>
      </c>
      <c r="K10">
        <f>INDEX($B$24:$GQ$24,MATCH(10,$B$29:$GQ$29,0))</f>
        <v>10.498409361677719</v>
      </c>
      <c r="L10">
        <f>INDEX($B$24:$GQ$24,MATCH(11,$B$29:$GQ$29,0))</f>
        <v>0.16895243813085231</v>
      </c>
      <c r="M10">
        <f>INDEX($B$24:$GQ$24,MATCH(12,$B$29:$GQ$29,0))</f>
        <v>9.3745067990612743</v>
      </c>
      <c r="N10">
        <f>INDEX($B$24:$GQ$24,MATCH(13,$B$29:$GQ$29,0))</f>
        <v>6.7918041812435606</v>
      </c>
      <c r="O10">
        <f>INDEX($B$24:$GQ$24,MATCH(14,$B$29:$GQ$29,0))</f>
        <v>1.855393119674785</v>
      </c>
      <c r="P10">
        <f>INDEX($B$24:$GQ$24,MATCH(15,$B$29:$GQ$29,0))</f>
        <v>0.15868112763401471</v>
      </c>
      <c r="Q10">
        <f>INDEX($B$24:$GQ$24,MATCH(16,$B$29:$GQ$29,0))</f>
        <v>6.9609924455841377</v>
      </c>
      <c r="R10">
        <f>INDEX($B$24:$GQ$24,MATCH(17,$B$29:$GQ$29,0))</f>
        <v>4.814266466678955</v>
      </c>
      <c r="S10">
        <f>INDEX($B$24:$GQ$24,MATCH(18,$B$29:$GQ$29,0))</f>
        <v>2.5459737965045299</v>
      </c>
      <c r="T10">
        <f>INDEX($B$24:$GQ$24,MATCH(19,$B$29:$GQ$29,0))</f>
        <v>7.8685841561562705E-2</v>
      </c>
      <c r="U10">
        <f>INDEX($B$24:$GQ$24,MATCH(20,$B$29:$GQ$29,0))</f>
        <v>3.6820671459355472</v>
      </c>
      <c r="V10">
        <f>INDEX($B$24:$GQ$24,MATCH(21,$B$29:$GQ$29,0))</f>
        <v>6.8443256427698458</v>
      </c>
      <c r="W10">
        <f>INDEX($B$24:$GQ$24,MATCH(22,$B$29:$GQ$29,0))</f>
        <v>0.2298590503208246</v>
      </c>
      <c r="X10">
        <f>INDEX($B$24:$GQ$24,MATCH(23,$B$29:$GQ$29,0))</f>
        <v>4.9803269774551007</v>
      </c>
      <c r="Y10">
        <f>INDEX($B$24:$GQ$24,MATCH(24,$B$29:$GQ$29,0))</f>
        <v>0.89618482352183471</v>
      </c>
      <c r="Z10">
        <f>INDEX($B$24:$GQ$24,MATCH(25,$B$29:$GQ$29,0))</f>
        <v>1.5143631558437141</v>
      </c>
      <c r="AA10">
        <f>INDEX($B$24:$GQ$24,MATCH(26,$B$29:$GQ$29,0))</f>
        <v>2.144500268560861</v>
      </c>
      <c r="AB10">
        <f>INDEX($B$24:$GQ$24,MATCH(27,$B$29:$GQ$29,0))</f>
        <v>2.070609681652428</v>
      </c>
      <c r="AC10">
        <f>INDEX($B$24:$GQ$24,MATCH(28,$B$29:$GQ$29,0))</f>
        <v>1.5577326752152341</v>
      </c>
      <c r="AD10">
        <f>INDEX($B$24:$GQ$24,MATCH(29,$B$29:$GQ$29,0))</f>
        <v>0.86251403245276814</v>
      </c>
      <c r="AE10">
        <f>INDEX($B$24:$GQ$24,MATCH(30,$B$29:$GQ$29,0))</f>
        <v>1.895308994559213</v>
      </c>
      <c r="AF10">
        <f>INDEX($B$24:$GQ$24,MATCH(31,$B$29:$GQ$29,0))</f>
        <v>2.9083831738386561</v>
      </c>
      <c r="AG10">
        <f>INDEX($B$24:$GQ$24,MATCH(32,$B$29:$GQ$29,0))</f>
        <v>2.3263145245576751</v>
      </c>
      <c r="AH10">
        <f>INDEX($B$24:$GQ$24,MATCH(33,$B$29:$GQ$29,0))</f>
        <v>2.0702314355892311</v>
      </c>
      <c r="AI10">
        <f>INDEX($B$24:$GQ$24,MATCH(34,$B$29:$GQ$29,0))</f>
        <v>3.53491191588056</v>
      </c>
      <c r="AJ10">
        <f>INDEX($B$24:$GQ$24,MATCH(35,$B$29:$GQ$29,0))</f>
        <v>1.563667094652111</v>
      </c>
      <c r="AK10">
        <f>INDEX($B$24:$GQ$24,MATCH(36,$B$29:$GQ$29,0))</f>
        <v>1.7194277921081</v>
      </c>
      <c r="AL10">
        <f>INDEX($B$24:$GQ$24,MATCH(37,$B$29:$GQ$29,0))</f>
        <v>1.647487213886079</v>
      </c>
      <c r="AM10">
        <f>INDEX($B$24:$GQ$24,MATCH(38,$B$29:$GQ$29,0))</f>
        <v>1.78912727634405</v>
      </c>
      <c r="AN10">
        <f>INDEX($B$24:$GQ$24,MATCH(39,$B$29:$GQ$29,0))</f>
        <v>0.30455243301273022</v>
      </c>
      <c r="AO10">
        <f>INDEX($B$24:$GQ$24,MATCH(40,$B$29:$GQ$29,0))</f>
        <v>0.27167615364050218</v>
      </c>
      <c r="AP10">
        <f>INDEX($B$24:$GQ$24,MATCH(41,$B$29:$GQ$29,0))</f>
        <v>0.72633981063570863</v>
      </c>
      <c r="AQ10">
        <f>INDEX($B$24:$GQ$24,MATCH(42,$B$29:$GQ$29,0))</f>
        <v>2.007985660457154</v>
      </c>
      <c r="AR10">
        <f>INDEX($B$24:$GQ$24,MATCH(43,$B$29:$GQ$29,0))</f>
        <v>8.7682178555130635E-2</v>
      </c>
      <c r="AS10">
        <f>INDEX($B$24:$GQ$24,MATCH(44,$B$29:$GQ$29,0))</f>
        <v>2.2595653276833092</v>
      </c>
      <c r="AT10">
        <f>INDEX($B$24:$GQ$24,MATCH(45,$B$29:$GQ$29,0))</f>
        <v>0.95840855156138183</v>
      </c>
      <c r="AU10">
        <f>INDEX($B$24:$GQ$24,MATCH(46,$B$29:$GQ$29,0))</f>
        <v>1.771748022660754</v>
      </c>
      <c r="AV10">
        <f>INDEX($B$24:$GQ$24,MATCH(47,$B$29:$GQ$29,0))</f>
        <v>1.042805696771552</v>
      </c>
      <c r="AW10">
        <f>INDEX($B$24:$GQ$24,MATCH(48,$B$29:$GQ$29,0))</f>
        <v>0.95348808183095024</v>
      </c>
      <c r="AX10">
        <f>INDEX($B$24:$GQ$24,MATCH(49,$B$29:$GQ$29,0))</f>
        <v>0.87637772997555019</v>
      </c>
      <c r="AY10">
        <f>INDEX($B$24:$GQ$24,MATCH(50,$B$29:$GQ$29,0))</f>
        <v>1.19132876997912</v>
      </c>
      <c r="AZ10">
        <f>INDEX($B$24:$GQ$24,MATCH(51,$B$29:$GQ$29,0))</f>
        <v>0.55242102675077098</v>
      </c>
      <c r="BA10">
        <f>INDEX($B$24:$GQ$24,MATCH(52,$B$29:$GQ$29,0))</f>
        <v>0.32453760151664879</v>
      </c>
      <c r="BB10">
        <f>INDEX($B$24:$GQ$24,MATCH(53,$B$29:$GQ$29,0))</f>
        <v>0.54425300164023827</v>
      </c>
      <c r="BC10">
        <f>INDEX($B$24:$GQ$24,MATCH(54,$B$29:$GQ$29,0))</f>
        <v>1.2433148430785969E-2</v>
      </c>
      <c r="BD10">
        <f>INDEX($B$24:$GQ$24,MATCH(55,$B$29:$GQ$29,0))</f>
        <v>0.21255400532237759</v>
      </c>
      <c r="BE10">
        <f>INDEX($B$24:$GQ$24,MATCH(56,$B$29:$GQ$29,0))</f>
        <v>1.2431589039189901</v>
      </c>
      <c r="BF10">
        <f>INDEX($B$24:$GQ$24,MATCH(57,$B$29:$GQ$29,0))</f>
        <v>0.22898210541697331</v>
      </c>
      <c r="BG10">
        <f>INDEX($B$24:$GQ$24,MATCH(58,$B$29:$GQ$29,0))</f>
        <v>0.55740792075485723</v>
      </c>
      <c r="BH10">
        <f>INDEX($B$24:$GQ$24,MATCH(59,$B$29:$GQ$29,0))</f>
        <v>0.45279591152946252</v>
      </c>
      <c r="BI10">
        <f>INDEX($B$24:$GQ$24,MATCH(60,$B$29:$GQ$29,0))</f>
        <v>0.55250195441670269</v>
      </c>
      <c r="BJ10">
        <f>INDEX($B$24:$GQ$24,MATCH(61,$B$29:$GQ$29,0))</f>
        <v>3.1814809684951012E-2</v>
      </c>
      <c r="BK10">
        <f>INDEX($B$24:$GQ$24,MATCH(62,$B$29:$GQ$29,0))</f>
        <v>0.65907796234841831</v>
      </c>
      <c r="BL10">
        <f>INDEX($B$24:$GQ$24,MATCH(63,$B$29:$GQ$29,0))</f>
        <v>0.87736943293169589</v>
      </c>
      <c r="BM10">
        <f>INDEX($B$24:$GQ$24,MATCH(64,$B$29:$GQ$29,0))</f>
        <v>0.46486219111500549</v>
      </c>
      <c r="BN10">
        <f>INDEX($B$24:$GQ$24,MATCH(65,$B$29:$GQ$29,0))</f>
        <v>0.42027568002169302</v>
      </c>
      <c r="BO10">
        <f>INDEX($B$24:$GQ$24,MATCH(66,$B$29:$GQ$29,0))</f>
        <v>0.29170069306355312</v>
      </c>
      <c r="BP10">
        <f>INDEX($B$24:$GQ$24,MATCH(67,$B$29:$GQ$29,0))</f>
        <v>0.68115141454610573</v>
      </c>
      <c r="BQ10">
        <f>INDEX($B$24:$GQ$24,MATCH(68,$B$29:$GQ$29,0))</f>
        <v>0.44592915967201219</v>
      </c>
      <c r="BR10">
        <f>INDEX($B$24:$GQ$24,MATCH(69,$B$29:$GQ$29,0))</f>
        <v>0.29749218560616109</v>
      </c>
      <c r="BS10">
        <f>INDEX($B$24:$GQ$24,MATCH(70,$B$29:$GQ$29,0))</f>
        <v>0.18271950186283739</v>
      </c>
      <c r="BT10">
        <f>INDEX($B$24:$GQ$24,MATCH(71,$B$29:$GQ$29,0))</f>
        <v>0.50049489052461893</v>
      </c>
      <c r="BU10">
        <f>INDEX($B$24:$GQ$24,MATCH(72,$B$29:$GQ$29,0))</f>
        <v>0.44404037386113743</v>
      </c>
      <c r="BV10">
        <f>INDEX($B$24:$GQ$24,MATCH(73,$B$29:$GQ$29,0))</f>
        <v>0.2309784598699515</v>
      </c>
      <c r="BW10">
        <f>INDEX($B$24:$GQ$24,MATCH(74,$B$29:$GQ$29,0))</f>
        <v>0.19434400657320519</v>
      </c>
      <c r="BX10">
        <f>INDEX($B$24:$GQ$24,MATCH(75,$B$29:$GQ$29,0))</f>
        <v>0.35543640565261397</v>
      </c>
      <c r="BY10">
        <f>INDEX($B$24:$GQ$24,MATCH(76,$B$29:$GQ$29,0))</f>
        <v>2.2350936017820341E-2</v>
      </c>
      <c r="BZ10">
        <f>INDEX($B$24:$GQ$24,MATCH(77,$B$29:$GQ$29,0))</f>
        <v>4.5537829688962327E-2</v>
      </c>
      <c r="CA10">
        <f>INDEX($B$24:$GQ$24,MATCH(78,$B$29:$GQ$29,0))</f>
        <v>0.27273386335899968</v>
      </c>
      <c r="CB10">
        <f>INDEX($B$24:$GQ$24,MATCH(79,$B$29:$GQ$29,0))</f>
        <v>0.2181038606337502</v>
      </c>
      <c r="CC10">
        <f>INDEX($B$24:$GQ$24,MATCH(80,$B$29:$GQ$29,0))</f>
        <v>0.1236316330292903</v>
      </c>
      <c r="CD10">
        <f>INDEX($B$24:$GQ$24,MATCH(81,$B$29:$GQ$29,0))</f>
        <v>0.16339991034851961</v>
      </c>
      <c r="CE10">
        <f>INDEX($B$24:$GQ$24,MATCH(82,$B$29:$GQ$29,0))</f>
        <v>0.21766860767255489</v>
      </c>
      <c r="CF10">
        <f>INDEX($B$24:$GQ$24,MATCH(83,$B$29:$GQ$29,0))</f>
        <v>0.1508326134204484</v>
      </c>
      <c r="CG10">
        <f>INDEX($B$24:$GQ$24,MATCH(84,$B$29:$GQ$29,0))</f>
        <v>0.1858579148509045</v>
      </c>
      <c r="CH10">
        <f>INDEX($B$24:$GQ$24,MATCH(85,$B$29:$GQ$29,0))</f>
        <v>9.6956676623591184E-2</v>
      </c>
      <c r="CI10">
        <f>INDEX($B$24:$GQ$24,MATCH(86,$B$29:$GQ$29,0))</f>
        <v>0.1332351197049137</v>
      </c>
      <c r="CJ10">
        <f>INDEX($B$24:$GQ$24,MATCH(87,$B$29:$GQ$29,0))</f>
        <v>0.1274022607208542</v>
      </c>
      <c r="CK10">
        <f>INDEX($B$24:$GQ$24,MATCH(88,$B$29:$GQ$29,0))</f>
        <v>0.120322753089995</v>
      </c>
      <c r="CL10">
        <f>INDEX($B$24:$GQ$24,MATCH(89,$B$29:$GQ$29,0))</f>
        <v>8.2787222102773575E-2</v>
      </c>
      <c r="CM10">
        <f>INDEX($B$24:$GQ$24,MATCH(90,$B$29:$GQ$29,0))</f>
        <v>5.2533654315564038E-3</v>
      </c>
      <c r="CN10">
        <f>INDEX($B$24:$GQ$24,MATCH(91,$B$29:$GQ$29,0))</f>
        <v>3.6048573998716242E-2</v>
      </c>
      <c r="CO10">
        <f>INDEX($B$24:$GQ$24,MATCH(92,$B$29:$GQ$29,0))</f>
        <v>4.6153909850897672E-2</v>
      </c>
      <c r="CP10">
        <f>INDEX($B$24:$GQ$24,MATCH(93,$B$29:$GQ$29,0))</f>
        <v>9.7742006331163256E-2</v>
      </c>
      <c r="CQ10">
        <f>INDEX($B$24:$GQ$24,MATCH(94,$B$29:$GQ$29,0))</f>
        <v>8.3544450394424083E-2</v>
      </c>
      <c r="CR10">
        <f>INDEX($B$24:$GQ$24,MATCH(95,$B$29:$GQ$29,0))</f>
        <v>9.2405513178953375E-2</v>
      </c>
      <c r="CS10">
        <f>INDEX($B$24:$GQ$24,MATCH(96,$B$29:$GQ$29,0))</f>
        <v>7.7812602977509845E-2</v>
      </c>
      <c r="CT10">
        <f>INDEX($B$24:$GQ$24,MATCH(97,$B$29:$GQ$29,0))</f>
        <v>4.1802954690416172E-2</v>
      </c>
      <c r="CU10">
        <f>INDEX($B$24:$GQ$24,MATCH(98,$B$29:$GQ$29,0))</f>
        <v>2.3806956503009519E-3</v>
      </c>
      <c r="CV10">
        <f>INDEX($B$24:$GQ$24,MATCH(99,$B$29:$GQ$29,0))</f>
        <v>5.4648965705988289E-2</v>
      </c>
      <c r="CW10">
        <f>INDEX($B$24:$GQ$24,MATCH(100,$B$29:$GQ$29,0))</f>
        <v>7.4403800182897564E-2</v>
      </c>
      <c r="CX10">
        <f>INDEX($B$24:$GQ$24,MATCH(101,$B$29:$GQ$29,0))</f>
        <v>5.3323015858423202E-2</v>
      </c>
      <c r="CY10">
        <f>INDEX($B$24:$GQ$24,MATCH(102,$B$29:$GQ$29,0))</f>
        <v>5.2055626171686617E-2</v>
      </c>
      <c r="CZ10">
        <f>INDEX($B$24:$GQ$24,MATCH(103,$B$29:$GQ$29,0))</f>
        <v>7.0670767376608948E-2</v>
      </c>
      <c r="DA10">
        <f>INDEX($B$24:$GQ$24,MATCH(104,$B$29:$GQ$29,0))</f>
        <v>4.7575453171933187E-2</v>
      </c>
      <c r="DB10">
        <f>INDEX($B$24:$GQ$24,MATCH(105,$B$29:$GQ$29,0))</f>
        <v>3.6720493187562972E-2</v>
      </c>
      <c r="DC10">
        <f>INDEX($B$24:$GQ$24,MATCH(106,$B$29:$GQ$29,0))</f>
        <v>6.6348337802003962E-3</v>
      </c>
      <c r="DD10">
        <f>INDEX($B$24:$GQ$24,MATCH(107,$B$29:$GQ$29,0))</f>
        <v>3.0245406738774849E-2</v>
      </c>
      <c r="DE10">
        <f>INDEX($B$24:$GQ$24,MATCH(108,$B$29:$GQ$29,0))</f>
        <v>2.6309409919966869E-2</v>
      </c>
      <c r="DF10">
        <f>INDEX($B$24:$GQ$24,MATCH(109,$B$29:$GQ$29,0))</f>
        <v>0</v>
      </c>
      <c r="DG10">
        <f>INDEX($B$24:$GQ$24,MATCH(110,$B$29:$GQ$29,0))</f>
        <v>0</v>
      </c>
      <c r="DH10">
        <f>INDEX($B$24:$GQ$24,MATCH(111,$B$29:$GQ$29,0))</f>
        <v>1.0586692177730001E-2</v>
      </c>
      <c r="DI10">
        <f>INDEX($B$24:$GQ$24,MATCH(112,$B$29:$GQ$29,0))</f>
        <v>5.9436286184624812E-3</v>
      </c>
      <c r="DJ10">
        <f>INDEX($B$24:$GQ$24,MATCH(113,$B$29:$GQ$29,0))</f>
        <v>0</v>
      </c>
      <c r="DK10">
        <f>INDEX($B$24:$GQ$24,MATCH(114,$B$29:$GQ$29,0))</f>
        <v>3.8630907452252171E-3</v>
      </c>
      <c r="DL10">
        <f>INDEX($B$24:$GQ$24,MATCH(115,$B$29:$GQ$29,0))</f>
        <v>0</v>
      </c>
      <c r="DM10">
        <f>INDEX($B$24:$GQ$24,MATCH(116,$B$29:$GQ$29,0))</f>
        <v>4.8933450404734921E-3</v>
      </c>
      <c r="DN10">
        <f>INDEX($B$24:$GQ$24,MATCH(117,$B$29:$GQ$29,0))</f>
        <v>3.806990378763165E-3</v>
      </c>
      <c r="DO10">
        <f>INDEX($B$24:$GQ$24,MATCH(118,$B$29:$GQ$29,0))</f>
        <v>3.5777624580817301E-3</v>
      </c>
      <c r="DP10">
        <f>INDEX($B$24:$GQ$24,MATCH(119,$B$29:$GQ$29,0))</f>
        <v>0</v>
      </c>
      <c r="DQ10">
        <f>INDEX($B$24:$GQ$24,MATCH(120,$B$29:$GQ$29,0))</f>
        <v>2.131726516032933E-3</v>
      </c>
      <c r="DR10">
        <f>INDEX($B$24:$GQ$24,MATCH(121,$B$29:$GQ$29,0))</f>
        <v>8.6291483380476709E-5</v>
      </c>
      <c r="DS10">
        <f>INDEX($B$24:$GQ$24,MATCH(122,$B$29:$GQ$29,0))</f>
        <v>7.317175649727332E-4</v>
      </c>
      <c r="DT10">
        <f>INDEX($B$24:$GQ$24,MATCH(123,$B$29:$GQ$29,0))</f>
        <v>1.8104900701401751E-4</v>
      </c>
      <c r="DU10">
        <f>INDEX($B$24:$GQ$24,MATCH(124,$B$29:$GQ$29,0))</f>
        <v>1.983104705190103E-4</v>
      </c>
      <c r="DV10">
        <f>INDEX($B$24:$GQ$24,MATCH(125,$B$29:$GQ$29,0))</f>
        <v>1.4334590967486681E-4</v>
      </c>
      <c r="DW10">
        <f>INDEX($B$24:$GQ$24,MATCH(126,$B$29:$GQ$29,0))</f>
        <v>0</v>
      </c>
      <c r="DX10">
        <f>INDEX($B$24:$GQ$24,MATCH(127,$B$29:$GQ$29,0))</f>
        <v>3.1839238663919463E-5</v>
      </c>
      <c r="DY10">
        <f>INDEX($B$24:$GQ$24,MATCH(128,$B$29:$GQ$29,0))</f>
        <v>5.4664221489340259E-5</v>
      </c>
      <c r="DZ10">
        <f>INDEX($B$24:$GQ$24,MATCH(129,$B$29:$GQ$29,0))</f>
        <v>0</v>
      </c>
      <c r="EA10">
        <f>INDEX($B$24:$GQ$24,MATCH(130,$B$29:$GQ$29,0))</f>
        <v>2.8182141035552E-6</v>
      </c>
      <c r="EB10">
        <f>INDEX($B$24:$GQ$24,MATCH(131,$B$29:$GQ$29,0))</f>
        <v>5.2034663350657429E-7</v>
      </c>
      <c r="EC10">
        <f>INDEX($B$24:$GQ$24,MATCH(132,$B$29:$GQ$29,0))</f>
        <v>0</v>
      </c>
      <c r="ED10">
        <f>INDEX($B$24:$GQ$24,MATCH(133,$B$29:$GQ$29,0))</f>
        <v>0</v>
      </c>
      <c r="EE10">
        <f>INDEX($B$24:$GQ$24,MATCH(134,$B$29:$GQ$29,0))</f>
        <v>0</v>
      </c>
      <c r="EF10">
        <f>INDEX($B$24:$GQ$24,MATCH(135,$B$29:$GQ$29,0))</f>
        <v>0</v>
      </c>
      <c r="EG10">
        <f>INDEX($B$24:$GQ$24,MATCH(136,$B$29:$GQ$29,0))</f>
        <v>0</v>
      </c>
      <c r="EH10">
        <f>INDEX($B$24:$GQ$24,MATCH(137,$B$29:$GQ$29,0))</f>
        <v>0</v>
      </c>
      <c r="EI10">
        <f>INDEX($B$24:$GQ$24,MATCH(138,$B$29:$GQ$29,0))</f>
        <v>0</v>
      </c>
      <c r="EJ10">
        <f>INDEX($B$24:$GQ$24,MATCH(139,$B$29:$GQ$29,0))</f>
        <v>0</v>
      </c>
      <c r="EK10">
        <f>INDEX($B$24:$GQ$24,MATCH(140,$B$29:$GQ$29,0))</f>
        <v>0</v>
      </c>
      <c r="EL10">
        <f>INDEX($B$24:$GQ$24,MATCH(141,$B$29:$GQ$29,0))</f>
        <v>0</v>
      </c>
      <c r="EM10">
        <f>INDEX($B$24:$GQ$24,MATCH(142,$B$29:$GQ$29,0))</f>
        <v>0</v>
      </c>
      <c r="EN10">
        <f>INDEX($B$24:$GQ$24,MATCH(143,$B$29:$GQ$29,0))</f>
        <v>0</v>
      </c>
      <c r="EO10">
        <f>INDEX($B$24:$GQ$24,MATCH(144,$B$29:$GQ$29,0))</f>
        <v>0</v>
      </c>
      <c r="EP10">
        <f>INDEX($B$24:$GQ$24,MATCH(145,$B$29:$GQ$29,0))</f>
        <v>0</v>
      </c>
      <c r="EQ10">
        <f>INDEX($B$24:$GQ$24,MATCH(146,$B$29:$GQ$29,0))</f>
        <v>0</v>
      </c>
      <c r="ER10">
        <f>INDEX($B$24:$GQ$24,MATCH(147,$B$29:$GQ$29,0))</f>
        <v>0</v>
      </c>
      <c r="ES10">
        <f>INDEX($B$24:$GQ$24,MATCH(148,$B$29:$GQ$29,0))</f>
        <v>0</v>
      </c>
      <c r="ET10">
        <f>INDEX($B$24:$GQ$24,MATCH(149,$B$29:$GQ$29,0))</f>
        <v>0</v>
      </c>
      <c r="EU10">
        <f>INDEX($B$24:$GQ$24,MATCH(150,$B$29:$GQ$29,0))</f>
        <v>0</v>
      </c>
      <c r="EV10">
        <f>INDEX($B$24:$GQ$24,MATCH(151,$B$29:$GQ$29,0))</f>
        <v>0</v>
      </c>
      <c r="EW10">
        <f>INDEX($B$24:$GQ$24,MATCH(152,$B$29:$GQ$29,0))</f>
        <v>0</v>
      </c>
      <c r="EX10">
        <f>INDEX($B$24:$GQ$24,MATCH(153,$B$29:$GQ$29,0))</f>
        <v>0</v>
      </c>
      <c r="EY10">
        <f>INDEX($B$24:$GQ$24,MATCH(154,$B$29:$GQ$29,0))</f>
        <v>0</v>
      </c>
      <c r="EZ10">
        <f>INDEX($B$24:$GQ$24,MATCH(155,$B$29:$GQ$29,0))</f>
        <v>0</v>
      </c>
      <c r="FA10">
        <f>INDEX($B$24:$GQ$24,MATCH(156,$B$29:$GQ$29,0))</f>
        <v>0</v>
      </c>
      <c r="FB10">
        <f>INDEX($B$24:$GQ$24,MATCH(157,$B$29:$GQ$29,0))</f>
        <v>0</v>
      </c>
      <c r="FC10">
        <f>INDEX($B$24:$GQ$24,MATCH(158,$B$29:$GQ$29,0))</f>
        <v>0</v>
      </c>
      <c r="FD10">
        <f>INDEX($B$24:$GQ$24,MATCH(159,$B$29:$GQ$29,0))</f>
        <v>0</v>
      </c>
      <c r="FE10">
        <f>INDEX($B$24:$GQ$24,MATCH(160,$B$29:$GQ$29,0))</f>
        <v>0</v>
      </c>
      <c r="FF10">
        <f>INDEX($B$24:$GQ$24,MATCH(161,$B$29:$GQ$29,0))</f>
        <v>0</v>
      </c>
      <c r="FG10">
        <f>INDEX($B$24:$GQ$24,MATCH(162,$B$29:$GQ$29,0))</f>
        <v>0</v>
      </c>
      <c r="FH10">
        <f>INDEX($B$24:$GQ$24,MATCH(163,$B$29:$GQ$29,0))</f>
        <v>0</v>
      </c>
      <c r="FI10">
        <f>INDEX($B$24:$GQ$24,MATCH(164,$B$29:$GQ$29,0))</f>
        <v>0</v>
      </c>
      <c r="FJ10">
        <f>INDEX($B$24:$GQ$24,MATCH(165,$B$29:$GQ$29,0))</f>
        <v>0</v>
      </c>
      <c r="FK10">
        <f>INDEX($B$24:$GQ$24,MATCH(166,$B$29:$GQ$29,0))</f>
        <v>0</v>
      </c>
      <c r="FL10">
        <f>INDEX($B$24:$GQ$24,MATCH(167,$B$29:$GQ$29,0))</f>
        <v>0</v>
      </c>
      <c r="FM10">
        <f>INDEX($B$24:$GQ$24,MATCH(168,$B$29:$GQ$29,0))</f>
        <v>0</v>
      </c>
      <c r="FN10">
        <f>INDEX($B$24:$GQ$24,MATCH(169,$B$29:$GQ$29,0))</f>
        <v>0</v>
      </c>
      <c r="FO10">
        <f>INDEX($B$24:$GQ$24,MATCH(170,$B$29:$GQ$29,0))</f>
        <v>0</v>
      </c>
      <c r="FP10">
        <f>INDEX($B$24:$GQ$24,MATCH(171,$B$29:$GQ$29,0))</f>
        <v>0</v>
      </c>
      <c r="FQ10">
        <f>INDEX($B$24:$GQ$24,MATCH(172,$B$29:$GQ$29,0))</f>
        <v>0</v>
      </c>
      <c r="FR10">
        <f>INDEX($B$24:$GQ$24,MATCH(173,$B$29:$GQ$29,0))</f>
        <v>0</v>
      </c>
      <c r="FS10">
        <f>INDEX($B$24:$GQ$24,MATCH(174,$B$29:$GQ$29,0))</f>
        <v>0</v>
      </c>
      <c r="FT10">
        <f>INDEX($B$24:$GQ$24,MATCH(175,$B$29:$GQ$29,0))</f>
        <v>0</v>
      </c>
      <c r="FU10">
        <f>INDEX($B$24:$GQ$24,MATCH(176,$B$29:$GQ$29,0))</f>
        <v>0</v>
      </c>
      <c r="FV10">
        <f>INDEX($B$24:$GQ$24,MATCH(177,$B$29:$GQ$29,0))</f>
        <v>0</v>
      </c>
      <c r="FW10">
        <f>INDEX($B$24:$GQ$24,MATCH(178,$B$29:$GQ$29,0))</f>
        <v>0</v>
      </c>
      <c r="FX10">
        <f>INDEX($B$24:$GQ$24,MATCH(179,$B$29:$GQ$29,0))</f>
        <v>0</v>
      </c>
      <c r="FY10">
        <f>INDEX($B$24:$GQ$24,MATCH(180,$B$29:$GQ$29,0))</f>
        <v>0</v>
      </c>
      <c r="FZ10">
        <f>INDEX($B$24:$GQ$24,MATCH(181,$B$29:$GQ$29,0))</f>
        <v>0</v>
      </c>
      <c r="GA10">
        <f>INDEX($B$24:$GQ$24,MATCH(182,$B$29:$GQ$29,0))</f>
        <v>0</v>
      </c>
      <c r="GB10">
        <f>INDEX($B$24:$GQ$24,MATCH(183,$B$29:$GQ$29,0))</f>
        <v>0</v>
      </c>
      <c r="GC10">
        <f>INDEX($B$24:$GQ$24,MATCH(184,$B$29:$GQ$29,0))</f>
        <v>0</v>
      </c>
      <c r="GD10">
        <f>INDEX($B$24:$GQ$24,MATCH(185,$B$29:$GQ$29,0))</f>
        <v>0</v>
      </c>
      <c r="GE10">
        <f>INDEX($B$24:$GQ$24,MATCH(186,$B$29:$GQ$29,0))</f>
        <v>0</v>
      </c>
      <c r="GF10">
        <f>INDEX($B$24:$GQ$24,MATCH(187,$B$29:$GQ$29,0))</f>
        <v>0</v>
      </c>
      <c r="GG10">
        <f>INDEX($B$24:$GQ$24,MATCH(188,$B$29:$GQ$29,0))</f>
        <v>0</v>
      </c>
      <c r="GH10">
        <f>INDEX($B$24:$GQ$24,MATCH(189,$B$29:$GQ$29,0))</f>
        <v>0</v>
      </c>
      <c r="GI10">
        <f>INDEX($B$24:$GQ$24,MATCH(190,$B$29:$GQ$29,0))</f>
        <v>0</v>
      </c>
      <c r="GJ10">
        <f>INDEX($B$24:$GQ$24,MATCH(191,$B$29:$GQ$29,0))</f>
        <v>0</v>
      </c>
      <c r="GK10">
        <f>INDEX($B$24:$GQ$24,MATCH(192,$B$29:$GQ$29,0))</f>
        <v>0</v>
      </c>
      <c r="GL10">
        <f>INDEX($B$24:$GQ$24,MATCH(193,$B$29:$GQ$29,0))</f>
        <v>0</v>
      </c>
      <c r="GM10">
        <f>INDEX($B$24:$GQ$24,MATCH(194,$B$29:$GQ$29,0))</f>
        <v>0</v>
      </c>
      <c r="GN10">
        <f>INDEX($B$24:$GQ$24,MATCH(195,$B$29:$GQ$29,0))</f>
        <v>0</v>
      </c>
      <c r="GO10">
        <f>INDEX($B$24:$GQ$24,MATCH(196,$B$29:$GQ$29,0))</f>
        <v>0</v>
      </c>
      <c r="GP10">
        <f>INDEX($B$24:$GQ$24,MATCH(197,$B$29:$GQ$29,0))</f>
        <v>0</v>
      </c>
      <c r="GQ10">
        <f>INDEX($B$24:$GQ$24,MATCH(198,$B$29:$GQ$29,0))</f>
        <v>0</v>
      </c>
      <c r="GR10">
        <f>INDEX($GR$24:$HC$24,MATCH(1,$GR$30:$HC$30,0))</f>
        <v>62.027237743523443</v>
      </c>
      <c r="GS10">
        <f>INDEX($GR$24:$HC$24,MATCH(2,$GR$30:$HC$30,0))</f>
        <v>52.551329799034107</v>
      </c>
      <c r="GT10">
        <f>INDEX($GR$24:$HC$24,MATCH(3,$GR$30:$HC$30,0))</f>
        <v>45.147135047883033</v>
      </c>
      <c r="GU10">
        <f>INDEX($GR$24:$HC$24,MATCH(4,$GR$30:$HC$30,0))</f>
        <v>24.521846774041538</v>
      </c>
      <c r="GV10">
        <f>INDEX($GR$24:$HC$24,MATCH(5,$GR$30:$HC$30,0))</f>
        <v>11.952657534015991</v>
      </c>
      <c r="GW10">
        <f>INDEX($GR$24:$HC$24,MATCH(6,$GR$30:$HC$30,0))</f>
        <v>14.8186702974991</v>
      </c>
      <c r="GX10">
        <f>INDEX($GR$24:$HC$24,MATCH(7,$GR$30:$HC$30,0))</f>
        <v>9.8320408675526814</v>
      </c>
      <c r="GY10">
        <f>INDEX($GR$24:$HC$24,MATCH(8,$GR$30:$HC$30,0))</f>
        <v>12.272954278582519</v>
      </c>
      <c r="GZ10">
        <f>INDEX($GR$24:$HC$24,MATCH(9,$GR$30:$HC$30,0))</f>
        <v>9.8185471729224112</v>
      </c>
      <c r="HA10">
        <f>INDEX($GR$24:$HC$24,MATCH(10,$GR$30:$HC$30,0))</f>
        <v>6.9609924455841377</v>
      </c>
      <c r="HB10">
        <f>INDEX($GR$24:$HC$24,MATCH(11,$GR$30:$HC$30,0))</f>
        <v>0.42501170061444798</v>
      </c>
      <c r="HC10">
        <f>INDEX($GR$24:$HC$24,MATCH(12,$GR$30:$HC$30,0))</f>
        <v>1.7246811575396559</v>
      </c>
    </row>
    <row r="11" spans="1:211" x14ac:dyDescent="0.45">
      <c r="A11" s="1" t="s">
        <v>10</v>
      </c>
      <c r="B11">
        <f>INDEX($B$25:$GQ$25,MATCH(1,$B$29:$GQ$29,0))</f>
        <v>38.012882567429138</v>
      </c>
      <c r="C11">
        <f>INDEX($B$25:$GQ$25,MATCH(2,$B$29:$GQ$29,0))</f>
        <v>31.307063398128768</v>
      </c>
      <c r="D11">
        <f>INDEX($B$25:$GQ$25,MATCH(3,$B$29:$GQ$29,0))</f>
        <v>21.856826955311341</v>
      </c>
      <c r="E11">
        <f>INDEX($B$25:$GQ$25,MATCH(4,$B$29:$GQ$29,0))</f>
        <v>18.425314726863579</v>
      </c>
      <c r="F11">
        <f>INDEX($B$25:$GQ$25,MATCH(5,$B$29:$GQ$29,0))</f>
        <v>17.610441317123321</v>
      </c>
      <c r="G11">
        <f>INDEX($B$25:$GQ$25,MATCH(6,$B$29:$GQ$29,0))</f>
        <v>6.9694227333058709</v>
      </c>
      <c r="H11">
        <f>INDEX($B$25:$GQ$25,MATCH(7,$B$29:$GQ$29,0))</f>
        <v>14.064604889421229</v>
      </c>
      <c r="I11">
        <f>INDEX($B$25:$GQ$25,MATCH(8,$B$29:$GQ$29,0))</f>
        <v>14.47913243083919</v>
      </c>
      <c r="J11">
        <f>INDEX($B$25:$GQ$25,MATCH(9,$B$29:$GQ$29,0))</f>
        <v>13.273462886313821</v>
      </c>
      <c r="K11">
        <f>INDEX($B$25:$GQ$25,MATCH(10,$B$29:$GQ$29,0))</f>
        <v>14.15750594032612</v>
      </c>
      <c r="L11">
        <f>INDEX($B$25:$GQ$25,MATCH(11,$B$29:$GQ$29,0))</f>
        <v>0.42615175065033939</v>
      </c>
      <c r="M11">
        <f>INDEX($B$25:$GQ$25,MATCH(12,$B$29:$GQ$29,0))</f>
        <v>10.978049761388521</v>
      </c>
      <c r="N11">
        <f>INDEX($B$25:$GQ$25,MATCH(13,$B$29:$GQ$29,0))</f>
        <v>12.75853978212575</v>
      </c>
      <c r="O11">
        <f>INDEX($B$25:$GQ$25,MATCH(14,$B$29:$GQ$29,0))</f>
        <v>6.2599462961109751</v>
      </c>
      <c r="P11">
        <f>INDEX($B$25:$GQ$25,MATCH(15,$B$29:$GQ$29,0))</f>
        <v>0.44335732558549062</v>
      </c>
      <c r="Q11">
        <f>INDEX($B$25:$GQ$25,MATCH(16,$B$29:$GQ$29,0))</f>
        <v>11.627635568883459</v>
      </c>
      <c r="R11">
        <f>INDEX($B$25:$GQ$25,MATCH(17,$B$29:$GQ$29,0))</f>
        <v>8.0030333675085661</v>
      </c>
      <c r="S11">
        <f>INDEX($B$25:$GQ$25,MATCH(18,$B$29:$GQ$29,0))</f>
        <v>8.7446812839223114</v>
      </c>
      <c r="T11">
        <f>INDEX($B$25:$GQ$25,MATCH(19,$B$29:$GQ$29,0))</f>
        <v>0.31808508758347648</v>
      </c>
      <c r="U11">
        <f>INDEX($B$25:$GQ$25,MATCH(20,$B$29:$GQ$29,0))</f>
        <v>5.601965511693904</v>
      </c>
      <c r="V11">
        <f>INDEX($B$25:$GQ$25,MATCH(21,$B$29:$GQ$29,0))</f>
        <v>8.0597709313477939</v>
      </c>
      <c r="W11">
        <f>INDEX($B$25:$GQ$25,MATCH(22,$B$29:$GQ$29,0))</f>
        <v>0.61787712110931237</v>
      </c>
      <c r="X11">
        <f>INDEX($B$25:$GQ$25,MATCH(23,$B$29:$GQ$29,0))</f>
        <v>6.422782988723224</v>
      </c>
      <c r="Y11">
        <f>INDEX($B$25:$GQ$25,MATCH(24,$B$29:$GQ$29,0))</f>
        <v>3.1879792746751372</v>
      </c>
      <c r="Z11">
        <f>INDEX($B$25:$GQ$25,MATCH(25,$B$29:$GQ$29,0))</f>
        <v>4.3161756297410081</v>
      </c>
      <c r="AA11">
        <f>INDEX($B$25:$GQ$25,MATCH(26,$B$29:$GQ$29,0))</f>
        <v>3.3635224580416851</v>
      </c>
      <c r="AB11">
        <f>INDEX($B$25:$GQ$25,MATCH(27,$B$29:$GQ$29,0))</f>
        <v>4.9673233159949639</v>
      </c>
      <c r="AC11">
        <f>INDEX($B$25:$GQ$25,MATCH(28,$B$29:$GQ$29,0))</f>
        <v>4.6474279906330107</v>
      </c>
      <c r="AD11">
        <f>INDEX($B$25:$GQ$25,MATCH(29,$B$29:$GQ$29,0))</f>
        <v>1.913176613356256</v>
      </c>
      <c r="AE11">
        <f>INDEX($B$25:$GQ$25,MATCH(30,$B$29:$GQ$29,0))</f>
        <v>4.2975816697164566</v>
      </c>
      <c r="AF11">
        <f>INDEX($B$25:$GQ$25,MATCH(31,$B$29:$GQ$29,0))</f>
        <v>4.1976355812895951</v>
      </c>
      <c r="AG11">
        <f>INDEX($B$25:$GQ$25,MATCH(32,$B$29:$GQ$29,0))</f>
        <v>4.129051933289241</v>
      </c>
      <c r="AH11">
        <f>INDEX($B$25:$GQ$25,MATCH(33,$B$29:$GQ$29,0))</f>
        <v>3.177925231987782</v>
      </c>
      <c r="AI11">
        <f>INDEX($B$25:$GQ$25,MATCH(34,$B$29:$GQ$29,0))</f>
        <v>3.573794334661343</v>
      </c>
      <c r="AJ11">
        <f>INDEX($B$25:$GQ$25,MATCH(35,$B$29:$GQ$29,0))</f>
        <v>3.185994281998469</v>
      </c>
      <c r="AK11">
        <f>INDEX($B$25:$GQ$25,MATCH(36,$B$29:$GQ$29,0))</f>
        <v>3.057848872165299</v>
      </c>
      <c r="AL11">
        <f>INDEX($B$25:$GQ$25,MATCH(37,$B$29:$GQ$29,0))</f>
        <v>2.948568907639979</v>
      </c>
      <c r="AM11">
        <f>INDEX($B$25:$GQ$25,MATCH(38,$B$29:$GQ$29,0))</f>
        <v>2.210557203635807</v>
      </c>
      <c r="AN11">
        <f>INDEX($B$25:$GQ$25,MATCH(39,$B$29:$GQ$29,0))</f>
        <v>0.63044837111252083</v>
      </c>
      <c r="AO11">
        <f>INDEX($B$25:$GQ$25,MATCH(40,$B$29:$GQ$29,0))</f>
        <v>0.51317745169969586</v>
      </c>
      <c r="AP11">
        <f>INDEX($B$25:$GQ$25,MATCH(41,$B$29:$GQ$29,0))</f>
        <v>0.97147817246919366</v>
      </c>
      <c r="AQ11">
        <f>INDEX($B$25:$GQ$25,MATCH(42,$B$29:$GQ$29,0))</f>
        <v>2.590210558836382</v>
      </c>
      <c r="AR11">
        <f>INDEX($B$25:$GQ$25,MATCH(43,$B$29:$GQ$29,0))</f>
        <v>0.17855132998000869</v>
      </c>
      <c r="AS11">
        <f>INDEX($B$25:$GQ$25,MATCH(44,$B$29:$GQ$29,0))</f>
        <v>2.5738515304508338</v>
      </c>
      <c r="AT11">
        <f>INDEX($B$25:$GQ$25,MATCH(45,$B$29:$GQ$29,0))</f>
        <v>2.248796769134072</v>
      </c>
      <c r="AU11">
        <f>INDEX($B$25:$GQ$25,MATCH(46,$B$29:$GQ$29,0))</f>
        <v>2.1896222180013041</v>
      </c>
      <c r="AV11">
        <f>INDEX($B$25:$GQ$25,MATCH(47,$B$29:$GQ$29,0))</f>
        <v>2.176139344732976</v>
      </c>
      <c r="AW11">
        <f>INDEX($B$25:$GQ$25,MATCH(48,$B$29:$GQ$29,0))</f>
        <v>2.1133747639298202</v>
      </c>
      <c r="AX11">
        <f>INDEX($B$25:$GQ$25,MATCH(49,$B$29:$GQ$29,0))</f>
        <v>1.807647587995709</v>
      </c>
      <c r="AY11">
        <f>INDEX($B$25:$GQ$25,MATCH(50,$B$29:$GQ$29,0))</f>
        <v>1.6285237348050721</v>
      </c>
      <c r="AZ11">
        <f>INDEX($B$25:$GQ$25,MATCH(51,$B$29:$GQ$29,0))</f>
        <v>0.63330679171404569</v>
      </c>
      <c r="BA11">
        <f>INDEX($B$25:$GQ$25,MATCH(52,$B$29:$GQ$29,0))</f>
        <v>1.0466187854015969</v>
      </c>
      <c r="BB11">
        <f>INDEX($B$25:$GQ$25,MATCH(53,$B$29:$GQ$29,0))</f>
        <v>1.0467336070351989</v>
      </c>
      <c r="BC11">
        <f>INDEX($B$25:$GQ$25,MATCH(54,$B$29:$GQ$29,0))</f>
        <v>3.2068480369882503E-2</v>
      </c>
      <c r="BD11">
        <f>INDEX($B$25:$GQ$25,MATCH(55,$B$29:$GQ$29,0))</f>
        <v>0.92314034587400395</v>
      </c>
      <c r="BE11">
        <f>INDEX($B$25:$GQ$25,MATCH(56,$B$29:$GQ$29,0))</f>
        <v>1.2692156057383039</v>
      </c>
      <c r="BF11">
        <f>INDEX($B$25:$GQ$25,MATCH(57,$B$29:$GQ$29,0))</f>
        <v>0.54258077783930514</v>
      </c>
      <c r="BG11">
        <f>INDEX($B$25:$GQ$25,MATCH(58,$B$29:$GQ$29,0))</f>
        <v>1.1100528352625889</v>
      </c>
      <c r="BH11">
        <f>INDEX($B$25:$GQ$25,MATCH(59,$B$29:$GQ$29,0))</f>
        <v>0.61550157033922082</v>
      </c>
      <c r="BI11">
        <f>INDEX($B$25:$GQ$25,MATCH(60,$B$29:$GQ$29,0))</f>
        <v>1.051631041908605</v>
      </c>
      <c r="BJ11">
        <f>INDEX($B$25:$GQ$25,MATCH(61,$B$29:$GQ$29,0))</f>
        <v>1.004524077581411</v>
      </c>
      <c r="BK11">
        <f>INDEX($B$25:$GQ$25,MATCH(62,$B$29:$GQ$29,0))</f>
        <v>0.73261056447337081</v>
      </c>
      <c r="BL11">
        <f>INDEX($B$25:$GQ$25,MATCH(63,$B$29:$GQ$29,0))</f>
        <v>0.95812334243978126</v>
      </c>
      <c r="BM11">
        <f>INDEX($B$25:$GQ$25,MATCH(64,$B$29:$GQ$29,0))</f>
        <v>0.92324681657731278</v>
      </c>
      <c r="BN11">
        <f>INDEX($B$25:$GQ$25,MATCH(65,$B$29:$GQ$29,0))</f>
        <v>0.71892725239830069</v>
      </c>
      <c r="BO11">
        <f>INDEX($B$25:$GQ$25,MATCH(66,$B$29:$GQ$29,0))</f>
        <v>0.40530941562781009</v>
      </c>
      <c r="BP11">
        <f>INDEX($B$25:$GQ$25,MATCH(67,$B$29:$GQ$29,0))</f>
        <v>0.72309743739903698</v>
      </c>
      <c r="BQ11">
        <f>INDEX($B$25:$GQ$25,MATCH(68,$B$29:$GQ$29,0))</f>
        <v>0.59087185857676428</v>
      </c>
      <c r="BR11">
        <f>INDEX($B$25:$GQ$25,MATCH(69,$B$29:$GQ$29,0))</f>
        <v>0.7082838753964722</v>
      </c>
      <c r="BS11">
        <f>INDEX($B$25:$GQ$25,MATCH(70,$B$29:$GQ$29,0))</f>
        <v>0.54585374106395212</v>
      </c>
      <c r="BT11">
        <f>INDEX($B$25:$GQ$25,MATCH(71,$B$29:$GQ$29,0))</f>
        <v>0.53982101776854807</v>
      </c>
      <c r="BU11">
        <f>INDEX($B$25:$GQ$25,MATCH(72,$B$29:$GQ$29,0))</f>
        <v>0.47734830459185928</v>
      </c>
      <c r="BV11">
        <f>INDEX($B$25:$GQ$25,MATCH(73,$B$29:$GQ$29,0))</f>
        <v>0.46363994911075829</v>
      </c>
      <c r="BW11">
        <f>INDEX($B$25:$GQ$25,MATCH(74,$B$29:$GQ$29,0))</f>
        <v>0.38164443222109973</v>
      </c>
      <c r="BX11">
        <f>INDEX($B$25:$GQ$25,MATCH(75,$B$29:$GQ$29,0))</f>
        <v>0.37889297261033128</v>
      </c>
      <c r="BY11">
        <f>INDEX($B$25:$GQ$25,MATCH(76,$B$29:$GQ$29,0))</f>
        <v>7.1758425214728222E-2</v>
      </c>
      <c r="BZ11">
        <f>INDEX($B$25:$GQ$25,MATCH(77,$B$29:$GQ$29,0))</f>
        <v>0.15025387337498891</v>
      </c>
      <c r="CA11">
        <f>INDEX($B$25:$GQ$25,MATCH(78,$B$29:$GQ$29,0))</f>
        <v>0.32392855770469492</v>
      </c>
      <c r="CB11">
        <f>INDEX($B$25:$GQ$25,MATCH(79,$B$29:$GQ$29,0))</f>
        <v>0.31957142340684291</v>
      </c>
      <c r="CC11">
        <f>INDEX($B$25:$GQ$25,MATCH(80,$B$29:$GQ$29,0))</f>
        <v>0.25069839143166872</v>
      </c>
      <c r="CD11">
        <f>INDEX($B$25:$GQ$25,MATCH(81,$B$29:$GQ$29,0))</f>
        <v>0.2397046725593196</v>
      </c>
      <c r="CE11">
        <f>INDEX($B$25:$GQ$25,MATCH(82,$B$29:$GQ$29,0))</f>
        <v>0.23275278587878501</v>
      </c>
      <c r="CF11">
        <f>INDEX($B$25:$GQ$25,MATCH(83,$B$29:$GQ$29,0))</f>
        <v>0.22239422135105261</v>
      </c>
      <c r="CG11">
        <f>INDEX($B$25:$GQ$25,MATCH(84,$B$29:$GQ$29,0))</f>
        <v>0.21560614018538979</v>
      </c>
      <c r="CH11">
        <f>INDEX($B$25:$GQ$25,MATCH(85,$B$29:$GQ$29,0))</f>
        <v>0.20307702495807969</v>
      </c>
      <c r="CI11">
        <f>INDEX($B$25:$GQ$25,MATCH(86,$B$29:$GQ$29,0))</f>
        <v>0.19779060954764491</v>
      </c>
      <c r="CJ11">
        <f>INDEX($B$25:$GQ$25,MATCH(87,$B$29:$GQ$29,0))</f>
        <v>0.1884677917964509</v>
      </c>
      <c r="CK11">
        <f>INDEX($B$25:$GQ$25,MATCH(88,$B$29:$GQ$29,0))</f>
        <v>0.18101564496561201</v>
      </c>
      <c r="CL11">
        <f>INDEX($B$25:$GQ$25,MATCH(89,$B$29:$GQ$29,0))</f>
        <v>0.12019682911004009</v>
      </c>
      <c r="CM11">
        <f>INDEX($B$25:$GQ$25,MATCH(90,$B$29:$GQ$29,0))</f>
        <v>7.6968504215690521E-3</v>
      </c>
      <c r="CN11">
        <f>INDEX($B$25:$GQ$25,MATCH(91,$B$29:$GQ$29,0))</f>
        <v>0.15770633586850921</v>
      </c>
      <c r="CO11">
        <f>INDEX($B$25:$GQ$25,MATCH(92,$B$29:$GQ$29,0))</f>
        <v>0.1002815653330924</v>
      </c>
      <c r="CP11">
        <f>INDEX($B$25:$GQ$25,MATCH(93,$B$29:$GQ$29,0))</f>
        <v>0.13093763449892651</v>
      </c>
      <c r="CQ11">
        <f>INDEX($B$25:$GQ$25,MATCH(94,$B$29:$GQ$29,0))</f>
        <v>0.11464481544408089</v>
      </c>
      <c r="CR11">
        <f>INDEX($B$25:$GQ$25,MATCH(95,$B$29:$GQ$29,0))</f>
        <v>0.11403348838872029</v>
      </c>
      <c r="CS11">
        <f>INDEX($B$25:$GQ$25,MATCH(96,$B$29:$GQ$29,0))</f>
        <v>9.2761588690650792E-2</v>
      </c>
      <c r="CT11">
        <f>INDEX($B$25:$GQ$25,MATCH(97,$B$29:$GQ$29,0))</f>
        <v>5.1159230679961649E-2</v>
      </c>
      <c r="CU11">
        <f>INDEX($B$25:$GQ$25,MATCH(98,$B$29:$GQ$29,0))</f>
        <v>3.443721025480843E-3</v>
      </c>
      <c r="CV11">
        <f>INDEX($B$25:$GQ$25,MATCH(99,$B$29:$GQ$29,0))</f>
        <v>8.0602085234778187E-2</v>
      </c>
      <c r="CW11">
        <f>INDEX($B$25:$GQ$25,MATCH(100,$B$29:$GQ$29,0))</f>
        <v>8.1871994196665313E-2</v>
      </c>
      <c r="CX11">
        <f>INDEX($B$25:$GQ$25,MATCH(101,$B$29:$GQ$29,0))</f>
        <v>8.1325822568774297E-2</v>
      </c>
      <c r="CY11">
        <f>INDEX($B$25:$GQ$25,MATCH(102,$B$29:$GQ$29,0))</f>
        <v>8.0342715205435983E-2</v>
      </c>
      <c r="CZ11">
        <f>INDEX($B$25:$GQ$25,MATCH(103,$B$29:$GQ$29,0))</f>
        <v>7.4975694284196398E-2</v>
      </c>
      <c r="DA11">
        <f>INDEX($B$25:$GQ$25,MATCH(104,$B$29:$GQ$29,0))</f>
        <v>5.6155199545525232E-2</v>
      </c>
      <c r="DB11">
        <f>INDEX($B$25:$GQ$25,MATCH(105,$B$29:$GQ$29,0))</f>
        <v>5.4922501696019192E-2</v>
      </c>
      <c r="DC11">
        <f>INDEX($B$25:$GQ$25,MATCH(106,$B$29:$GQ$29,0))</f>
        <v>2.1441858342391752E-2</v>
      </c>
      <c r="DD11">
        <f>INDEX($B$25:$GQ$25,MATCH(107,$B$29:$GQ$29,0))</f>
        <v>4.367471539100147E-2</v>
      </c>
      <c r="DE11">
        <f>INDEX($B$25:$GQ$25,MATCH(108,$B$29:$GQ$29,0))</f>
        <v>3.2151263593923757E-2</v>
      </c>
      <c r="DF11">
        <f>INDEX($B$25:$GQ$25,MATCH(109,$B$29:$GQ$29,0))</f>
        <v>0</v>
      </c>
      <c r="DG11">
        <f>INDEX($B$25:$GQ$25,MATCH(110,$B$29:$GQ$29,0))</f>
        <v>0</v>
      </c>
      <c r="DH11">
        <f>INDEX($B$25:$GQ$25,MATCH(111,$B$29:$GQ$29,0))</f>
        <v>1.569009677607194E-2</v>
      </c>
      <c r="DI11">
        <f>INDEX($B$25:$GQ$25,MATCH(112,$B$29:$GQ$29,0))</f>
        <v>9.0052747593322904E-3</v>
      </c>
      <c r="DJ11">
        <f>INDEX($B$25:$GQ$25,MATCH(113,$B$29:$GQ$29,0))</f>
        <v>0</v>
      </c>
      <c r="DK11">
        <f>INDEX($B$25:$GQ$25,MATCH(114,$B$29:$GQ$29,0))</f>
        <v>8.5024833815166047E-3</v>
      </c>
      <c r="DL11">
        <f>INDEX($B$25:$GQ$25,MATCH(115,$B$29:$GQ$29,0))</f>
        <v>0</v>
      </c>
      <c r="DM11">
        <f>INDEX($B$25:$GQ$25,MATCH(116,$B$29:$GQ$29,0))</f>
        <v>6.4192851841283231E-3</v>
      </c>
      <c r="DN11">
        <f>INDEX($B$25:$GQ$25,MATCH(117,$B$29:$GQ$29,0))</f>
        <v>4.9851730422331908E-3</v>
      </c>
      <c r="DO11">
        <f>INDEX($B$25:$GQ$25,MATCH(118,$B$29:$GQ$29,0))</f>
        <v>4.9638074951468434E-3</v>
      </c>
      <c r="DP11">
        <f>INDEX($B$25:$GQ$25,MATCH(119,$B$29:$GQ$29,0))</f>
        <v>0</v>
      </c>
      <c r="DQ11">
        <f>INDEX($B$25:$GQ$25,MATCH(120,$B$29:$GQ$29,0))</f>
        <v>4.3441053985188733E-3</v>
      </c>
      <c r="DR11">
        <f>INDEX($B$25:$GQ$25,MATCH(121,$B$29:$GQ$29,0))</f>
        <v>1.9559932758939991E-4</v>
      </c>
      <c r="DS11">
        <f>INDEX($B$25:$GQ$25,MATCH(122,$B$29:$GQ$29,0))</f>
        <v>1.1826712741193879E-3</v>
      </c>
      <c r="DT11">
        <f>INDEX($B$25:$GQ$25,MATCH(123,$B$29:$GQ$29,0))</f>
        <v>6.192167425357587E-4</v>
      </c>
      <c r="DU11">
        <f>INDEX($B$25:$GQ$25,MATCH(124,$B$29:$GQ$29,0))</f>
        <v>2.1927868250208119E-4</v>
      </c>
      <c r="DV11">
        <f>INDEX($B$25:$GQ$25,MATCH(125,$B$29:$GQ$29,0))</f>
        <v>5.9583097343094815E-4</v>
      </c>
      <c r="DW11">
        <f>INDEX($B$25:$GQ$25,MATCH(126,$B$29:$GQ$29,0))</f>
        <v>0</v>
      </c>
      <c r="DX11">
        <f>INDEX($B$25:$GQ$25,MATCH(127,$B$29:$GQ$29,0))</f>
        <v>9.7470147248800176E-5</v>
      </c>
      <c r="DY11">
        <f>INDEX($B$25:$GQ$25,MATCH(128,$B$29:$GQ$29,0))</f>
        <v>8.4737388701916288E-5</v>
      </c>
      <c r="DZ11">
        <f>INDEX($B$25:$GQ$25,MATCH(129,$B$29:$GQ$29,0))</f>
        <v>0</v>
      </c>
      <c r="EA11">
        <f>INDEX($B$25:$GQ$25,MATCH(130,$B$29:$GQ$29,0))</f>
        <v>3.7562754713738659E-6</v>
      </c>
      <c r="EB11">
        <f>INDEX($B$25:$GQ$25,MATCH(131,$B$29:$GQ$29,0))</f>
        <v>8.1984318506273213E-7</v>
      </c>
      <c r="EC11">
        <f>INDEX($B$25:$GQ$25,MATCH(132,$B$29:$GQ$29,0))</f>
        <v>0</v>
      </c>
      <c r="ED11">
        <f>INDEX($B$25:$GQ$25,MATCH(133,$B$29:$GQ$29,0))</f>
        <v>0</v>
      </c>
      <c r="EE11">
        <f>INDEX($B$25:$GQ$25,MATCH(134,$B$29:$GQ$29,0))</f>
        <v>0</v>
      </c>
      <c r="EF11">
        <f>INDEX($B$25:$GQ$25,MATCH(135,$B$29:$GQ$29,0))</f>
        <v>0</v>
      </c>
      <c r="EG11">
        <f>INDEX($B$25:$GQ$25,MATCH(136,$B$29:$GQ$29,0))</f>
        <v>0</v>
      </c>
      <c r="EH11">
        <f>INDEX($B$25:$GQ$25,MATCH(137,$B$29:$GQ$29,0))</f>
        <v>0</v>
      </c>
      <c r="EI11">
        <f>INDEX($B$25:$GQ$25,MATCH(138,$B$29:$GQ$29,0))</f>
        <v>0</v>
      </c>
      <c r="EJ11">
        <f>INDEX($B$25:$GQ$25,MATCH(139,$B$29:$GQ$29,0))</f>
        <v>0</v>
      </c>
      <c r="EK11">
        <f>INDEX($B$25:$GQ$25,MATCH(140,$B$29:$GQ$29,0))</f>
        <v>0</v>
      </c>
      <c r="EL11">
        <f>INDEX($B$25:$GQ$25,MATCH(141,$B$29:$GQ$29,0))</f>
        <v>0</v>
      </c>
      <c r="EM11">
        <f>INDEX($B$25:$GQ$25,MATCH(142,$B$29:$GQ$29,0))</f>
        <v>0</v>
      </c>
      <c r="EN11">
        <f>INDEX($B$25:$GQ$25,MATCH(143,$B$29:$GQ$29,0))</f>
        <v>0</v>
      </c>
      <c r="EO11">
        <f>INDEX($B$25:$GQ$25,MATCH(144,$B$29:$GQ$29,0))</f>
        <v>0</v>
      </c>
      <c r="EP11">
        <f>INDEX($B$25:$GQ$25,MATCH(145,$B$29:$GQ$29,0))</f>
        <v>0</v>
      </c>
      <c r="EQ11">
        <f>INDEX($B$25:$GQ$25,MATCH(146,$B$29:$GQ$29,0))</f>
        <v>0</v>
      </c>
      <c r="ER11">
        <f>INDEX($B$25:$GQ$25,MATCH(147,$B$29:$GQ$29,0))</f>
        <v>0</v>
      </c>
      <c r="ES11">
        <f>INDEX($B$25:$GQ$25,MATCH(148,$B$29:$GQ$29,0))</f>
        <v>0</v>
      </c>
      <c r="ET11">
        <f>INDEX($B$25:$GQ$25,MATCH(149,$B$29:$GQ$29,0))</f>
        <v>0</v>
      </c>
      <c r="EU11">
        <f>INDEX($B$25:$GQ$25,MATCH(150,$B$29:$GQ$29,0))</f>
        <v>0</v>
      </c>
      <c r="EV11">
        <f>INDEX($B$25:$GQ$25,MATCH(151,$B$29:$GQ$29,0))</f>
        <v>0</v>
      </c>
      <c r="EW11">
        <f>INDEX($B$25:$GQ$25,MATCH(152,$B$29:$GQ$29,0))</f>
        <v>0</v>
      </c>
      <c r="EX11">
        <f>INDEX($B$25:$GQ$25,MATCH(153,$B$29:$GQ$29,0))</f>
        <v>0</v>
      </c>
      <c r="EY11">
        <f>INDEX($B$25:$GQ$25,MATCH(154,$B$29:$GQ$29,0))</f>
        <v>0</v>
      </c>
      <c r="EZ11">
        <f>INDEX($B$25:$GQ$25,MATCH(155,$B$29:$GQ$29,0))</f>
        <v>0</v>
      </c>
      <c r="FA11">
        <f>INDEX($B$25:$GQ$25,MATCH(156,$B$29:$GQ$29,0))</f>
        <v>0</v>
      </c>
      <c r="FB11">
        <f>INDEX($B$25:$GQ$25,MATCH(157,$B$29:$GQ$29,0))</f>
        <v>0</v>
      </c>
      <c r="FC11">
        <f>INDEX($B$25:$GQ$25,MATCH(158,$B$29:$GQ$29,0))</f>
        <v>0</v>
      </c>
      <c r="FD11">
        <f>INDEX($B$25:$GQ$25,MATCH(159,$B$29:$GQ$29,0))</f>
        <v>0</v>
      </c>
      <c r="FE11">
        <f>INDEX($B$25:$GQ$25,MATCH(160,$B$29:$GQ$29,0))</f>
        <v>0</v>
      </c>
      <c r="FF11">
        <f>INDEX($B$25:$GQ$25,MATCH(161,$B$29:$GQ$29,0))</f>
        <v>0</v>
      </c>
      <c r="FG11">
        <f>INDEX($B$25:$GQ$25,MATCH(162,$B$29:$GQ$29,0))</f>
        <v>0</v>
      </c>
      <c r="FH11">
        <f>INDEX($B$25:$GQ$25,MATCH(163,$B$29:$GQ$29,0))</f>
        <v>0</v>
      </c>
      <c r="FI11">
        <f>INDEX($B$25:$GQ$25,MATCH(164,$B$29:$GQ$29,0))</f>
        <v>0</v>
      </c>
      <c r="FJ11">
        <f>INDEX($B$25:$GQ$25,MATCH(165,$B$29:$GQ$29,0))</f>
        <v>0</v>
      </c>
      <c r="FK11">
        <f>INDEX($B$25:$GQ$25,MATCH(166,$B$29:$GQ$29,0))</f>
        <v>0</v>
      </c>
      <c r="FL11">
        <f>INDEX($B$25:$GQ$25,MATCH(167,$B$29:$GQ$29,0))</f>
        <v>0</v>
      </c>
      <c r="FM11">
        <f>INDEX($B$25:$GQ$25,MATCH(168,$B$29:$GQ$29,0))</f>
        <v>0</v>
      </c>
      <c r="FN11">
        <f>INDEX($B$25:$GQ$25,MATCH(169,$B$29:$GQ$29,0))</f>
        <v>0</v>
      </c>
      <c r="FO11">
        <f>INDEX($B$25:$GQ$25,MATCH(170,$B$29:$GQ$29,0))</f>
        <v>0</v>
      </c>
      <c r="FP11">
        <f>INDEX($B$25:$GQ$25,MATCH(171,$B$29:$GQ$29,0))</f>
        <v>0</v>
      </c>
      <c r="FQ11">
        <f>INDEX($B$25:$GQ$25,MATCH(172,$B$29:$GQ$29,0))</f>
        <v>0</v>
      </c>
      <c r="FR11">
        <f>INDEX($B$25:$GQ$25,MATCH(173,$B$29:$GQ$29,0))</f>
        <v>0</v>
      </c>
      <c r="FS11">
        <f>INDEX($B$25:$GQ$25,MATCH(174,$B$29:$GQ$29,0))</f>
        <v>0</v>
      </c>
      <c r="FT11">
        <f>INDEX($B$25:$GQ$25,MATCH(175,$B$29:$GQ$29,0))</f>
        <v>0</v>
      </c>
      <c r="FU11">
        <f>INDEX($B$25:$GQ$25,MATCH(176,$B$29:$GQ$29,0))</f>
        <v>0</v>
      </c>
      <c r="FV11">
        <f>INDEX($B$25:$GQ$25,MATCH(177,$B$29:$GQ$29,0))</f>
        <v>0</v>
      </c>
      <c r="FW11">
        <f>INDEX($B$25:$GQ$25,MATCH(178,$B$29:$GQ$29,0))</f>
        <v>0</v>
      </c>
      <c r="FX11">
        <f>INDEX($B$25:$GQ$25,MATCH(179,$B$29:$GQ$29,0))</f>
        <v>0</v>
      </c>
      <c r="FY11">
        <f>INDEX($B$25:$GQ$25,MATCH(180,$B$29:$GQ$29,0))</f>
        <v>0</v>
      </c>
      <c r="FZ11">
        <f>INDEX($B$25:$GQ$25,MATCH(181,$B$29:$GQ$29,0))</f>
        <v>0</v>
      </c>
      <c r="GA11">
        <f>INDEX($B$25:$GQ$25,MATCH(182,$B$29:$GQ$29,0))</f>
        <v>0</v>
      </c>
      <c r="GB11">
        <f>INDEX($B$25:$GQ$25,MATCH(183,$B$29:$GQ$29,0))</f>
        <v>0</v>
      </c>
      <c r="GC11">
        <f>INDEX($B$25:$GQ$25,MATCH(184,$B$29:$GQ$29,0))</f>
        <v>0</v>
      </c>
      <c r="GD11">
        <f>INDEX($B$25:$GQ$25,MATCH(185,$B$29:$GQ$29,0))</f>
        <v>0</v>
      </c>
      <c r="GE11">
        <f>INDEX($B$25:$GQ$25,MATCH(186,$B$29:$GQ$29,0))</f>
        <v>0</v>
      </c>
      <c r="GF11">
        <f>INDEX($B$25:$GQ$25,MATCH(187,$B$29:$GQ$29,0))</f>
        <v>0</v>
      </c>
      <c r="GG11">
        <f>INDEX($B$25:$GQ$25,MATCH(188,$B$29:$GQ$29,0))</f>
        <v>0</v>
      </c>
      <c r="GH11">
        <f>INDEX($B$25:$GQ$25,MATCH(189,$B$29:$GQ$29,0))</f>
        <v>0</v>
      </c>
      <c r="GI11">
        <f>INDEX($B$25:$GQ$25,MATCH(190,$B$29:$GQ$29,0))</f>
        <v>0</v>
      </c>
      <c r="GJ11">
        <f>INDEX($B$25:$GQ$25,MATCH(191,$B$29:$GQ$29,0))</f>
        <v>0</v>
      </c>
      <c r="GK11">
        <f>INDEX($B$25:$GQ$25,MATCH(192,$B$29:$GQ$29,0))</f>
        <v>0</v>
      </c>
      <c r="GL11">
        <f>INDEX($B$25:$GQ$25,MATCH(193,$B$29:$GQ$29,0))</f>
        <v>0</v>
      </c>
      <c r="GM11">
        <f>INDEX($B$25:$GQ$25,MATCH(194,$B$29:$GQ$29,0))</f>
        <v>0</v>
      </c>
      <c r="GN11">
        <f>INDEX($B$25:$GQ$25,MATCH(195,$B$29:$GQ$29,0))</f>
        <v>0</v>
      </c>
      <c r="GO11">
        <f>INDEX($B$25:$GQ$25,MATCH(196,$B$29:$GQ$29,0))</f>
        <v>0</v>
      </c>
      <c r="GP11">
        <f>INDEX($B$25:$GQ$25,MATCH(197,$B$29:$GQ$29,0))</f>
        <v>0</v>
      </c>
      <c r="GQ11">
        <f>INDEX($B$25:$GQ$25,MATCH(198,$B$29:$GQ$29,0))</f>
        <v>0</v>
      </c>
      <c r="GR11">
        <f>INDEX($GR$25:$HC$25,MATCH(1,$GR$30:$HC$30,0))</f>
        <v>122.1781537499506</v>
      </c>
      <c r="GS11">
        <f>INDEX($GR$25:$HC$25,MATCH(2,$GR$30:$HC$30,0))</f>
        <v>88.509690934073802</v>
      </c>
      <c r="GT11">
        <f>INDEX($GR$25:$HC$25,MATCH(3,$GR$30:$HC$30,0))</f>
        <v>85.688137492754919</v>
      </c>
      <c r="GU11">
        <f>INDEX($GR$25:$HC$25,MATCH(4,$GR$30:$HC$30,0))</f>
        <v>45.056919465336662</v>
      </c>
      <c r="GV11">
        <f>INDEX($GR$25:$HC$25,MATCH(5,$GR$30:$HC$30,0))</f>
        <v>17.502096087306661</v>
      </c>
      <c r="GW11">
        <f>INDEX($GR$25:$HC$25,MATCH(6,$GR$30:$HC$30,0))</f>
        <v>20.292903721589958</v>
      </c>
      <c r="GX11">
        <f>INDEX($GR$25:$HC$25,MATCH(7,$GR$30:$HC$30,0))</f>
        <v>11.7068333532736</v>
      </c>
      <c r="GY11">
        <f>INDEX($GR$25:$HC$25,MATCH(8,$GR$30:$HC$30,0))</f>
        <v>13.273462886313821</v>
      </c>
      <c r="GZ11">
        <f>INDEX($GR$25:$HC$25,MATCH(9,$GR$30:$HC$30,0))</f>
        <v>11.45539806598037</v>
      </c>
      <c r="HA11">
        <f>INDEX($GR$25:$HC$25,MATCH(10,$GR$30:$HC$30,0))</f>
        <v>11.627635568883459</v>
      </c>
      <c r="HB11">
        <f>INDEX($GR$25:$HC$25,MATCH(11,$GR$30:$HC$30,0))</f>
        <v>1.195799342543147</v>
      </c>
      <c r="HC11">
        <f>INDEX($GR$25:$HC$25,MATCH(12,$GR$30:$HC$30,0))</f>
        <v>3.065545722586867</v>
      </c>
    </row>
    <row r="12" spans="1:211" x14ac:dyDescent="0.45">
      <c r="A12" s="1" t="s">
        <v>11</v>
      </c>
      <c r="B12">
        <f>INDEX($B$26:$GQ$26,MATCH(1,$B$29:$GQ$29,0))</f>
        <v>0</v>
      </c>
      <c r="C12">
        <f>INDEX($B$26:$GQ$26,MATCH(2,$B$29:$GQ$29,0))</f>
        <v>0</v>
      </c>
      <c r="D12">
        <f>INDEX($B$26:$GQ$26,MATCH(3,$B$29:$GQ$29,0))</f>
        <v>0.27123872725449438</v>
      </c>
      <c r="E12">
        <f>INDEX($B$26:$GQ$26,MATCH(4,$B$29:$GQ$29,0))</f>
        <v>1.563801471816989</v>
      </c>
      <c r="F12">
        <f>INDEX($B$26:$GQ$26,MATCH(5,$B$29:$GQ$29,0))</f>
        <v>0.1586670332660467</v>
      </c>
      <c r="G12">
        <f>INDEX($B$26:$GQ$26,MATCH(6,$B$29:$GQ$29,0))</f>
        <v>9.872204775595149</v>
      </c>
      <c r="H12">
        <f>INDEX($B$26:$GQ$26,MATCH(7,$B$29:$GQ$29,0))</f>
        <v>1.5949884017085849</v>
      </c>
      <c r="I12">
        <f>INDEX($B$26:$GQ$26,MATCH(8,$B$29:$GQ$29,0))</f>
        <v>0.72572437814956958</v>
      </c>
      <c r="J12">
        <f>INDEX($B$26:$GQ$26,MATCH(9,$B$29:$GQ$29,0))</f>
        <v>1.8542810685573461</v>
      </c>
      <c r="K12">
        <f>INDEX($B$26:$GQ$26,MATCH(10,$B$29:$GQ$29,0))</f>
        <v>0</v>
      </c>
      <c r="L12">
        <f>INDEX($B$26:$GQ$26,MATCH(11,$B$29:$GQ$29,0))</f>
        <v>13.677316630966329</v>
      </c>
      <c r="M12">
        <f>INDEX($B$26:$GQ$26,MATCH(12,$B$29:$GQ$29,0))</f>
        <v>2.566424353178681</v>
      </c>
      <c r="N12">
        <f>INDEX($B$26:$GQ$26,MATCH(13,$B$29:$GQ$29,0))</f>
        <v>0</v>
      </c>
      <c r="O12">
        <f>INDEX($B$26:$GQ$26,MATCH(14,$B$29:$GQ$29,0))</f>
        <v>5.7925950548112386</v>
      </c>
      <c r="P12">
        <f>INDEX($B$26:$GQ$26,MATCH(15,$B$29:$GQ$29,0))</f>
        <v>11.50711338586251</v>
      </c>
      <c r="Q12">
        <f>INDEX($B$26:$GQ$26,MATCH(16,$B$29:$GQ$29,0))</f>
        <v>0</v>
      </c>
      <c r="R12">
        <f>INDEX($B$26:$GQ$26,MATCH(17,$B$29:$GQ$29,0))</f>
        <v>1.3832338300358229</v>
      </c>
      <c r="S12">
        <f>INDEX($B$26:$GQ$26,MATCH(18,$B$29:$GQ$29,0))</f>
        <v>0.21154332090161981</v>
      </c>
      <c r="T12">
        <f>INDEX($B$26:$GQ$26,MATCH(19,$B$29:$GQ$29,0))</f>
        <v>7.8846777039067044</v>
      </c>
      <c r="U12">
        <f>INDEX($B$26:$GQ$26,MATCH(20,$B$29:$GQ$29,0))</f>
        <v>2.4608248335795011</v>
      </c>
      <c r="V12">
        <f>INDEX($B$26:$GQ$26,MATCH(21,$B$29:$GQ$29,0))</f>
        <v>0</v>
      </c>
      <c r="W12">
        <f>INDEX($B$26:$GQ$26,MATCH(22,$B$29:$GQ$29,0))</f>
        <v>6.2854448302295536</v>
      </c>
      <c r="X12">
        <f>INDEX($B$26:$GQ$26,MATCH(23,$B$29:$GQ$29,0))</f>
        <v>8.7936936805676616E-2</v>
      </c>
      <c r="Y12">
        <f>INDEX($B$26:$GQ$26,MATCH(24,$B$29:$GQ$29,0))</f>
        <v>1.9536501557810839</v>
      </c>
      <c r="Z12">
        <f>INDEX($B$26:$GQ$26,MATCH(25,$B$29:$GQ$29,0))</f>
        <v>0.80921487238191891</v>
      </c>
      <c r="AA12">
        <f>INDEX($B$26:$GQ$26,MATCH(26,$B$29:$GQ$29,0))</f>
        <v>1.7601298695262171</v>
      </c>
      <c r="AB12">
        <f>INDEX($B$26:$GQ$26,MATCH(27,$B$29:$GQ$29,0))</f>
        <v>0</v>
      </c>
      <c r="AC12">
        <f>INDEX($B$26:$GQ$26,MATCH(28,$B$29:$GQ$29,0))</f>
        <v>0</v>
      </c>
      <c r="AD12">
        <f>INDEX($B$26:$GQ$26,MATCH(29,$B$29:$GQ$29,0))</f>
        <v>2.5034565380483902</v>
      </c>
      <c r="AE12">
        <f>INDEX($B$26:$GQ$26,MATCH(30,$B$29:$GQ$29,0))</f>
        <v>0</v>
      </c>
      <c r="AF12">
        <f>INDEX($B$26:$GQ$26,MATCH(31,$B$29:$GQ$29,0))</f>
        <v>0</v>
      </c>
      <c r="AG12">
        <f>INDEX($B$26:$GQ$26,MATCH(32,$B$29:$GQ$29,0))</f>
        <v>0</v>
      </c>
      <c r="AH12">
        <f>INDEX($B$26:$GQ$26,MATCH(33,$B$29:$GQ$29,0))</f>
        <v>0.47187048584935909</v>
      </c>
      <c r="AI12">
        <f>INDEX($B$26:$GQ$26,MATCH(34,$B$29:$GQ$29,0))</f>
        <v>3.2772767143364719E-3</v>
      </c>
      <c r="AJ12">
        <f>INDEX($B$26:$GQ$26,MATCH(35,$B$29:$GQ$29,0))</f>
        <v>0</v>
      </c>
      <c r="AK12">
        <f>INDEX($B$26:$GQ$26,MATCH(36,$B$29:$GQ$29,0))</f>
        <v>6.4508817602345433E-2</v>
      </c>
      <c r="AL12">
        <f>INDEX($B$26:$GQ$26,MATCH(37,$B$29:$GQ$29,0))</f>
        <v>5.3576113011630268E-3</v>
      </c>
      <c r="AM12">
        <f>INDEX($B$26:$GQ$26,MATCH(38,$B$29:$GQ$29,0))</f>
        <v>0.71256789283442867</v>
      </c>
      <c r="AN12">
        <f>INDEX($B$26:$GQ$26,MATCH(39,$B$29:$GQ$29,0))</f>
        <v>2.259522294686453</v>
      </c>
      <c r="AO12">
        <f>INDEX($B$26:$GQ$26,MATCH(40,$B$29:$GQ$29,0))</f>
        <v>2.3230026078972461</v>
      </c>
      <c r="AP12">
        <f>INDEX($B$26:$GQ$26,MATCH(41,$B$29:$GQ$29,0))</f>
        <v>1.7364225122095041</v>
      </c>
      <c r="AQ12">
        <f>INDEX($B$26:$GQ$26,MATCH(42,$B$29:$GQ$29,0))</f>
        <v>1.8603848769195311E-2</v>
      </c>
      <c r="AR12">
        <f>INDEX($B$26:$GQ$26,MATCH(43,$B$29:$GQ$29,0))</f>
        <v>2.4095616118397811</v>
      </c>
      <c r="AS12">
        <f>INDEX($B$26:$GQ$26,MATCH(44,$B$29:$GQ$29,0))</f>
        <v>0</v>
      </c>
      <c r="AT12">
        <f>INDEX($B$26:$GQ$26,MATCH(45,$B$29:$GQ$29,0))</f>
        <v>0</v>
      </c>
      <c r="AU12">
        <f>INDEX($B$26:$GQ$26,MATCH(46,$B$29:$GQ$29,0))</f>
        <v>8.4087273870032658E-3</v>
      </c>
      <c r="AV12">
        <f>INDEX($B$26:$GQ$26,MATCH(47,$B$29:$GQ$29,0))</f>
        <v>0</v>
      </c>
      <c r="AW12">
        <f>INDEX($B$26:$GQ$26,MATCH(48,$B$29:$GQ$29,0))</f>
        <v>0</v>
      </c>
      <c r="AX12">
        <f>INDEX($B$26:$GQ$26,MATCH(49,$B$29:$GQ$29,0))</f>
        <v>0</v>
      </c>
      <c r="AY12">
        <f>INDEX($B$26:$GQ$26,MATCH(50,$B$29:$GQ$29,0))</f>
        <v>0</v>
      </c>
      <c r="AZ12">
        <f>INDEX($B$26:$GQ$26,MATCH(51,$B$29:$GQ$29,0))</f>
        <v>0.99364138654622869</v>
      </c>
      <c r="BA12">
        <f>INDEX($B$26:$GQ$26,MATCH(52,$B$29:$GQ$29,0))</f>
        <v>0.51391162134850576</v>
      </c>
      <c r="BB12">
        <f>INDEX($B$26:$GQ$26,MATCH(53,$B$29:$GQ$29,0))</f>
        <v>0.39070668656637808</v>
      </c>
      <c r="BC12">
        <f>INDEX($B$26:$GQ$26,MATCH(54,$B$29:$GQ$29,0))</f>
        <v>1.3882046736967419</v>
      </c>
      <c r="BD12">
        <f>INDEX($B$26:$GQ$26,MATCH(55,$B$29:$GQ$29,0))</f>
        <v>0.35657436083487298</v>
      </c>
      <c r="BE12">
        <f>INDEX($B$26:$GQ$26,MATCH(56,$B$29:$GQ$29,0))</f>
        <v>2.84275658307613E-3</v>
      </c>
      <c r="BF12">
        <f>INDEX($B$26:$GQ$26,MATCH(57,$B$29:$GQ$29,0))</f>
        <v>0.70477301842251461</v>
      </c>
      <c r="BG12">
        <f>INDEX($B$26:$GQ$26,MATCH(58,$B$29:$GQ$29,0))</f>
        <v>3.4362649528701973E-2</v>
      </c>
      <c r="BH12">
        <f>INDEX($B$26:$GQ$26,MATCH(59,$B$29:$GQ$29,0))</f>
        <v>0.50096195725861747</v>
      </c>
      <c r="BI12">
        <f>INDEX($B$26:$GQ$26,MATCH(60,$B$29:$GQ$29,0))</f>
        <v>0</v>
      </c>
      <c r="BJ12">
        <f>INDEX($B$26:$GQ$26,MATCH(61,$B$29:$GQ$29,0))</f>
        <v>4.0935862505619112E-4</v>
      </c>
      <c r="BK12">
        <f>INDEX($B$26:$GQ$26,MATCH(62,$B$29:$GQ$29,0))</f>
        <v>0.27000903357975858</v>
      </c>
      <c r="BL12">
        <f>INDEX($B$26:$GQ$26,MATCH(63,$B$29:$GQ$29,0))</f>
        <v>0</v>
      </c>
      <c r="BM12">
        <f>INDEX($B$26:$GQ$26,MATCH(64,$B$29:$GQ$29,0))</f>
        <v>0</v>
      </c>
      <c r="BN12">
        <f>INDEX($B$26:$GQ$26,MATCH(65,$B$29:$GQ$29,0))</f>
        <v>0.19839756565939839</v>
      </c>
      <c r="BO12">
        <f>INDEX($B$26:$GQ$26,MATCH(66,$B$29:$GQ$29,0))</f>
        <v>0.45275474657207793</v>
      </c>
      <c r="BP12">
        <f>INDEX($B$26:$GQ$26,MATCH(67,$B$29:$GQ$29,0))</f>
        <v>2.5873882013819471E-2</v>
      </c>
      <c r="BQ12">
        <f>INDEX($B$26:$GQ$26,MATCH(68,$B$29:$GQ$29,0))</f>
        <v>0.142835751929032</v>
      </c>
      <c r="BR12">
        <f>INDEX($B$26:$GQ$26,MATCH(69,$B$29:$GQ$29,0))</f>
        <v>0</v>
      </c>
      <c r="BS12">
        <f>INDEX($B$26:$GQ$26,MATCH(70,$B$29:$GQ$29,0))</f>
        <v>0</v>
      </c>
      <c r="BT12">
        <f>INDEX($B$26:$GQ$26,MATCH(71,$B$29:$GQ$29,0))</f>
        <v>2.7382294767476908E-3</v>
      </c>
      <c r="BU12">
        <f>INDEX($B$26:$GQ$26,MATCH(72,$B$29:$GQ$29,0))</f>
        <v>0</v>
      </c>
      <c r="BV12">
        <f>INDEX($B$26:$GQ$26,MATCH(73,$B$29:$GQ$29,0))</f>
        <v>0</v>
      </c>
      <c r="BW12">
        <f>INDEX($B$26:$GQ$26,MATCH(74,$B$29:$GQ$29,0))</f>
        <v>6.25600339907708E-2</v>
      </c>
      <c r="BX12">
        <f>INDEX($B$26:$GQ$26,MATCH(75,$B$29:$GQ$29,0))</f>
        <v>2.6642286332787719E-2</v>
      </c>
      <c r="BY12">
        <f>INDEX($B$26:$GQ$26,MATCH(76,$B$29:$GQ$29,0))</f>
        <v>0.32051217150443378</v>
      </c>
      <c r="BZ12">
        <f>INDEX($B$26:$GQ$26,MATCH(77,$B$29:$GQ$29,0))</f>
        <v>0.22827645140801561</v>
      </c>
      <c r="CA12">
        <f>INDEX($B$26:$GQ$26,MATCH(78,$B$29:$GQ$29,0))</f>
        <v>0</v>
      </c>
      <c r="CB12">
        <f>INDEX($B$26:$GQ$26,MATCH(79,$B$29:$GQ$29,0))</f>
        <v>0</v>
      </c>
      <c r="CC12">
        <f>INDEX($B$26:$GQ$26,MATCH(80,$B$29:$GQ$29,0))</f>
        <v>0</v>
      </c>
      <c r="CD12">
        <f>INDEX($B$26:$GQ$26,MATCH(81,$B$29:$GQ$29,0))</f>
        <v>0</v>
      </c>
      <c r="CE12">
        <f>INDEX($B$26:$GQ$26,MATCH(82,$B$29:$GQ$29,0))</f>
        <v>1.3091835041676629E-3</v>
      </c>
      <c r="CF12">
        <f>INDEX($B$26:$GQ$26,MATCH(83,$B$29:$GQ$29,0))</f>
        <v>2.840570614740686E-3</v>
      </c>
      <c r="CG12">
        <f>INDEX($B$26:$GQ$26,MATCH(84,$B$29:$GQ$29,0))</f>
        <v>0</v>
      </c>
      <c r="CH12">
        <f>INDEX($B$26:$GQ$26,MATCH(85,$B$29:$GQ$29,0))</f>
        <v>0</v>
      </c>
      <c r="CI12">
        <f>INDEX($B$26:$GQ$26,MATCH(86,$B$29:$GQ$29,0))</f>
        <v>0</v>
      </c>
      <c r="CJ12">
        <f>INDEX($B$26:$GQ$26,MATCH(87,$B$29:$GQ$29,0))</f>
        <v>2.879132667180641E-3</v>
      </c>
      <c r="CK12">
        <f>INDEX($B$26:$GQ$26,MATCH(88,$B$29:$GQ$29,0))</f>
        <v>6.4764557955291607E-3</v>
      </c>
      <c r="CL12">
        <f>INDEX($B$26:$GQ$26,MATCH(89,$B$29:$GQ$29,0))</f>
        <v>4.0331191882956072E-2</v>
      </c>
      <c r="CM12">
        <f>INDEX($B$26:$GQ$26,MATCH(90,$B$29:$GQ$29,0))</f>
        <v>0.1500556865515896</v>
      </c>
      <c r="CN12">
        <f>INDEX($B$26:$GQ$26,MATCH(91,$B$29:$GQ$29,0))</f>
        <v>0</v>
      </c>
      <c r="CO12">
        <f>INDEX($B$26:$GQ$26,MATCH(92,$B$29:$GQ$29,0))</f>
        <v>4.0954175307268102E-2</v>
      </c>
      <c r="CP12">
        <f>INDEX($B$26:$GQ$26,MATCH(93,$B$29:$GQ$29,0))</f>
        <v>0</v>
      </c>
      <c r="CQ12">
        <f>INDEX($B$26:$GQ$26,MATCH(94,$B$29:$GQ$29,0))</f>
        <v>2.3716672157016801E-3</v>
      </c>
      <c r="CR12">
        <f>INDEX($B$26:$GQ$26,MATCH(95,$B$29:$GQ$29,0))</f>
        <v>0</v>
      </c>
      <c r="CS12">
        <f>INDEX($B$26:$GQ$26,MATCH(96,$B$29:$GQ$29,0))</f>
        <v>7.3399853671585894E-3</v>
      </c>
      <c r="CT12">
        <f>INDEX($B$26:$GQ$26,MATCH(97,$B$29:$GQ$29,0))</f>
        <v>4.7231483336947593E-2</v>
      </c>
      <c r="CU12">
        <f>INDEX($B$26:$GQ$26,MATCH(98,$B$29:$GQ$29,0))</f>
        <v>8.282255221511875E-2</v>
      </c>
      <c r="CV12">
        <f>INDEX($B$26:$GQ$26,MATCH(99,$B$29:$GQ$29,0))</f>
        <v>5.5079743801848963E-3</v>
      </c>
      <c r="CW12">
        <f>INDEX($B$26:$GQ$26,MATCH(100,$B$29:$GQ$29,0))</f>
        <v>8.1991679628769492E-4</v>
      </c>
      <c r="CX12">
        <f>INDEX($B$26:$GQ$26,MATCH(101,$B$29:$GQ$29,0))</f>
        <v>2.8417539782189019E-4</v>
      </c>
      <c r="CY12">
        <f>INDEX($B$26:$GQ$26,MATCH(102,$B$29:$GQ$29,0))</f>
        <v>0</v>
      </c>
      <c r="CZ12">
        <f>INDEX($B$26:$GQ$26,MATCH(103,$B$29:$GQ$29,0))</f>
        <v>2.0334755847494729E-4</v>
      </c>
      <c r="DA12">
        <f>INDEX($B$26:$GQ$26,MATCH(104,$B$29:$GQ$29,0))</f>
        <v>9.8643008159296085E-5</v>
      </c>
      <c r="DB12">
        <f>INDEX($B$26:$GQ$26,MATCH(105,$B$29:$GQ$29,0))</f>
        <v>8.238437018239362E-4</v>
      </c>
      <c r="DC12">
        <f>INDEX($B$26:$GQ$26,MATCH(106,$B$29:$GQ$29,0))</f>
        <v>2.9904167637989799E-2</v>
      </c>
      <c r="DD12">
        <f>INDEX($B$26:$GQ$26,MATCH(107,$B$29:$GQ$29,0))</f>
        <v>1.39238708414007E-3</v>
      </c>
      <c r="DE12">
        <f>INDEX($B$26:$GQ$26,MATCH(108,$B$29:$GQ$29,0))</f>
        <v>1.073263852834226E-2</v>
      </c>
      <c r="DF12">
        <f>INDEX($B$26:$GQ$26,MATCH(109,$B$29:$GQ$29,0))</f>
        <v>1.7665448433629199E-2</v>
      </c>
      <c r="DG12">
        <f>INDEX($B$26:$GQ$26,MATCH(110,$B$29:$GQ$29,0))</f>
        <v>1.7429107968875149E-2</v>
      </c>
      <c r="DH12">
        <f>INDEX($B$26:$GQ$26,MATCH(111,$B$29:$GQ$29,0))</f>
        <v>3.6732832658780822E-4</v>
      </c>
      <c r="DI12">
        <f>INDEX($B$26:$GQ$26,MATCH(112,$B$29:$GQ$29,0))</f>
        <v>4.0971315240832511E-3</v>
      </c>
      <c r="DJ12">
        <f>INDEX($B$26:$GQ$26,MATCH(113,$B$29:$GQ$29,0))</f>
        <v>1.046372825570561E-2</v>
      </c>
      <c r="DK12">
        <f>INDEX($B$26:$GQ$26,MATCH(114,$B$29:$GQ$29,0))</f>
        <v>0</v>
      </c>
      <c r="DL12">
        <f>INDEX($B$26:$GQ$26,MATCH(115,$B$29:$GQ$29,0))</f>
        <v>7.1405305479697867E-3</v>
      </c>
      <c r="DM12">
        <f>INDEX($B$26:$GQ$26,MATCH(116,$B$29:$GQ$29,0))</f>
        <v>3.9201641691869799E-5</v>
      </c>
      <c r="DN12">
        <f>INDEX($B$26:$GQ$26,MATCH(117,$B$29:$GQ$29,0))</f>
        <v>5.0154170937529829E-4</v>
      </c>
      <c r="DO12">
        <f>INDEX($B$26:$GQ$26,MATCH(118,$B$29:$GQ$29,0))</f>
        <v>0</v>
      </c>
      <c r="DP12">
        <f>INDEX($B$26:$GQ$26,MATCH(119,$B$29:$GQ$29,0))</f>
        <v>4.6692330288316654E-3</v>
      </c>
      <c r="DQ12">
        <f>INDEX($B$26:$GQ$26,MATCH(120,$B$29:$GQ$29,0))</f>
        <v>5.2789565244087231E-6</v>
      </c>
      <c r="DR12">
        <f>INDEX($B$26:$GQ$26,MATCH(121,$B$29:$GQ$29,0))</f>
        <v>1.111413507729505E-3</v>
      </c>
      <c r="DS12">
        <f>INDEX($B$26:$GQ$26,MATCH(122,$B$29:$GQ$29,0))</f>
        <v>1.12021827137687E-5</v>
      </c>
      <c r="DT12">
        <f>INDEX($B$26:$GQ$26,MATCH(123,$B$29:$GQ$29,0))</f>
        <v>3.8349005303605618E-4</v>
      </c>
      <c r="DU12">
        <f>INDEX($B$26:$GQ$26,MATCH(124,$B$29:$GQ$29,0))</f>
        <v>3.9741867735322719E-4</v>
      </c>
      <c r="DV12">
        <f>INDEX($B$26:$GQ$26,MATCH(125,$B$29:$GQ$29,0))</f>
        <v>0</v>
      </c>
      <c r="DW12">
        <f>INDEX($B$26:$GQ$26,MATCH(126,$B$29:$GQ$29,0))</f>
        <v>3.7720125344700592E-4</v>
      </c>
      <c r="DX12">
        <f>INDEX($B$26:$GQ$26,MATCH(127,$B$29:$GQ$29,0))</f>
        <v>0</v>
      </c>
      <c r="DY12">
        <f>INDEX($B$26:$GQ$26,MATCH(128,$B$29:$GQ$29,0))</f>
        <v>0</v>
      </c>
      <c r="DZ12">
        <f>INDEX($B$26:$GQ$26,MATCH(129,$B$29:$GQ$29,0))</f>
        <v>6.9298210429212046E-5</v>
      </c>
      <c r="EA12">
        <f>INDEX($B$26:$GQ$26,MATCH(130,$B$29:$GQ$29,0))</f>
        <v>0</v>
      </c>
      <c r="EB12">
        <f>INDEX($B$26:$GQ$26,MATCH(131,$B$29:$GQ$29,0))</f>
        <v>3.3308000400117412E-7</v>
      </c>
      <c r="EC12">
        <f>INDEX($B$26:$GQ$26,MATCH(132,$B$29:$GQ$29,0))</f>
        <v>1.081732196428425E-7</v>
      </c>
      <c r="ED12">
        <f>INDEX($B$26:$GQ$26,MATCH(133,$B$29:$GQ$29,0))</f>
        <v>0</v>
      </c>
      <c r="EE12">
        <f>INDEX($B$26:$GQ$26,MATCH(134,$B$29:$GQ$29,0))</f>
        <v>0</v>
      </c>
      <c r="EF12">
        <f>INDEX($B$26:$GQ$26,MATCH(135,$B$29:$GQ$29,0))</f>
        <v>0</v>
      </c>
      <c r="EG12">
        <f>INDEX($B$26:$GQ$26,MATCH(136,$B$29:$GQ$29,0))</f>
        <v>0</v>
      </c>
      <c r="EH12">
        <f>INDEX($B$26:$GQ$26,MATCH(137,$B$29:$GQ$29,0))</f>
        <v>0</v>
      </c>
      <c r="EI12">
        <f>INDEX($B$26:$GQ$26,MATCH(138,$B$29:$GQ$29,0))</f>
        <v>0</v>
      </c>
      <c r="EJ12">
        <f>INDEX($B$26:$GQ$26,MATCH(139,$B$29:$GQ$29,0))</f>
        <v>0</v>
      </c>
      <c r="EK12">
        <f>INDEX($B$26:$GQ$26,MATCH(140,$B$29:$GQ$29,0))</f>
        <v>0</v>
      </c>
      <c r="EL12">
        <f>INDEX($B$26:$GQ$26,MATCH(141,$B$29:$GQ$29,0))</f>
        <v>0</v>
      </c>
      <c r="EM12">
        <f>INDEX($B$26:$GQ$26,MATCH(142,$B$29:$GQ$29,0))</f>
        <v>0</v>
      </c>
      <c r="EN12">
        <f>INDEX($B$26:$GQ$26,MATCH(143,$B$29:$GQ$29,0))</f>
        <v>0</v>
      </c>
      <c r="EO12">
        <f>INDEX($B$26:$GQ$26,MATCH(144,$B$29:$GQ$29,0))</f>
        <v>0</v>
      </c>
      <c r="EP12">
        <f>INDEX($B$26:$GQ$26,MATCH(145,$B$29:$GQ$29,0))</f>
        <v>0</v>
      </c>
      <c r="EQ12">
        <f>INDEX($B$26:$GQ$26,MATCH(146,$B$29:$GQ$29,0))</f>
        <v>0</v>
      </c>
      <c r="ER12">
        <f>INDEX($B$26:$GQ$26,MATCH(147,$B$29:$GQ$29,0))</f>
        <v>0</v>
      </c>
      <c r="ES12">
        <f>INDEX($B$26:$GQ$26,MATCH(148,$B$29:$GQ$29,0))</f>
        <v>0</v>
      </c>
      <c r="ET12">
        <f>INDEX($B$26:$GQ$26,MATCH(149,$B$29:$GQ$29,0))</f>
        <v>0</v>
      </c>
      <c r="EU12">
        <f>INDEX($B$26:$GQ$26,MATCH(150,$B$29:$GQ$29,0))</f>
        <v>0</v>
      </c>
      <c r="EV12">
        <f>INDEX($B$26:$GQ$26,MATCH(151,$B$29:$GQ$29,0))</f>
        <v>0</v>
      </c>
      <c r="EW12">
        <f>INDEX($B$26:$GQ$26,MATCH(152,$B$29:$GQ$29,0))</f>
        <v>0</v>
      </c>
      <c r="EX12">
        <f>INDEX($B$26:$GQ$26,MATCH(153,$B$29:$GQ$29,0))</f>
        <v>0</v>
      </c>
      <c r="EY12">
        <f>INDEX($B$26:$GQ$26,MATCH(154,$B$29:$GQ$29,0))</f>
        <v>0</v>
      </c>
      <c r="EZ12">
        <f>INDEX($B$26:$GQ$26,MATCH(155,$B$29:$GQ$29,0))</f>
        <v>0</v>
      </c>
      <c r="FA12">
        <f>INDEX($B$26:$GQ$26,MATCH(156,$B$29:$GQ$29,0))</f>
        <v>0</v>
      </c>
      <c r="FB12">
        <f>INDEX($B$26:$GQ$26,MATCH(157,$B$29:$GQ$29,0))</f>
        <v>0</v>
      </c>
      <c r="FC12">
        <f>INDEX($B$26:$GQ$26,MATCH(158,$B$29:$GQ$29,0))</f>
        <v>0</v>
      </c>
      <c r="FD12">
        <f>INDEX($B$26:$GQ$26,MATCH(159,$B$29:$GQ$29,0))</f>
        <v>0</v>
      </c>
      <c r="FE12">
        <f>INDEX($B$26:$GQ$26,MATCH(160,$B$29:$GQ$29,0))</f>
        <v>0</v>
      </c>
      <c r="FF12">
        <f>INDEX($B$26:$GQ$26,MATCH(161,$B$29:$GQ$29,0))</f>
        <v>0</v>
      </c>
      <c r="FG12">
        <f>INDEX($B$26:$GQ$26,MATCH(162,$B$29:$GQ$29,0))</f>
        <v>0</v>
      </c>
      <c r="FH12">
        <f>INDEX($B$26:$GQ$26,MATCH(163,$B$29:$GQ$29,0))</f>
        <v>0</v>
      </c>
      <c r="FI12">
        <f>INDEX($B$26:$GQ$26,MATCH(164,$B$29:$GQ$29,0))</f>
        <v>0</v>
      </c>
      <c r="FJ12">
        <f>INDEX($B$26:$GQ$26,MATCH(165,$B$29:$GQ$29,0))</f>
        <v>0</v>
      </c>
      <c r="FK12">
        <f>INDEX($B$26:$GQ$26,MATCH(166,$B$29:$GQ$29,0))</f>
        <v>0</v>
      </c>
      <c r="FL12">
        <f>INDEX($B$26:$GQ$26,MATCH(167,$B$29:$GQ$29,0))</f>
        <v>0</v>
      </c>
      <c r="FM12">
        <f>INDEX($B$26:$GQ$26,MATCH(168,$B$29:$GQ$29,0))</f>
        <v>0</v>
      </c>
      <c r="FN12">
        <f>INDEX($B$26:$GQ$26,MATCH(169,$B$29:$GQ$29,0))</f>
        <v>0</v>
      </c>
      <c r="FO12">
        <f>INDEX($B$26:$GQ$26,MATCH(170,$B$29:$GQ$29,0))</f>
        <v>0</v>
      </c>
      <c r="FP12">
        <f>INDEX($B$26:$GQ$26,MATCH(171,$B$29:$GQ$29,0))</f>
        <v>0</v>
      </c>
      <c r="FQ12">
        <f>INDEX($B$26:$GQ$26,MATCH(172,$B$29:$GQ$29,0))</f>
        <v>0</v>
      </c>
      <c r="FR12">
        <f>INDEX($B$26:$GQ$26,MATCH(173,$B$29:$GQ$29,0))</f>
        <v>0</v>
      </c>
      <c r="FS12">
        <f>INDEX($B$26:$GQ$26,MATCH(174,$B$29:$GQ$29,0))</f>
        <v>0</v>
      </c>
      <c r="FT12">
        <f>INDEX($B$26:$GQ$26,MATCH(175,$B$29:$GQ$29,0))</f>
        <v>0</v>
      </c>
      <c r="FU12">
        <f>INDEX($B$26:$GQ$26,MATCH(176,$B$29:$GQ$29,0))</f>
        <v>0</v>
      </c>
      <c r="FV12">
        <f>INDEX($B$26:$GQ$26,MATCH(177,$B$29:$GQ$29,0))</f>
        <v>0</v>
      </c>
      <c r="FW12">
        <f>INDEX($B$26:$GQ$26,MATCH(178,$B$29:$GQ$29,0))</f>
        <v>0</v>
      </c>
      <c r="FX12">
        <f>INDEX($B$26:$GQ$26,MATCH(179,$B$29:$GQ$29,0))</f>
        <v>0</v>
      </c>
      <c r="FY12">
        <f>INDEX($B$26:$GQ$26,MATCH(180,$B$29:$GQ$29,0))</f>
        <v>0</v>
      </c>
      <c r="FZ12">
        <f>INDEX($B$26:$GQ$26,MATCH(181,$B$29:$GQ$29,0))</f>
        <v>0</v>
      </c>
      <c r="GA12">
        <f>INDEX($B$26:$GQ$26,MATCH(182,$B$29:$GQ$29,0))</f>
        <v>0</v>
      </c>
      <c r="GB12">
        <f>INDEX($B$26:$GQ$26,MATCH(183,$B$29:$GQ$29,0))</f>
        <v>0</v>
      </c>
      <c r="GC12">
        <f>INDEX($B$26:$GQ$26,MATCH(184,$B$29:$GQ$29,0))</f>
        <v>0</v>
      </c>
      <c r="GD12">
        <f>INDEX($B$26:$GQ$26,MATCH(185,$B$29:$GQ$29,0))</f>
        <v>0</v>
      </c>
      <c r="GE12">
        <f>INDEX($B$26:$GQ$26,MATCH(186,$B$29:$GQ$29,0))</f>
        <v>0</v>
      </c>
      <c r="GF12">
        <f>INDEX($B$26:$GQ$26,MATCH(187,$B$29:$GQ$29,0))</f>
        <v>0</v>
      </c>
      <c r="GG12">
        <f>INDEX($B$26:$GQ$26,MATCH(188,$B$29:$GQ$29,0))</f>
        <v>0</v>
      </c>
      <c r="GH12">
        <f>INDEX($B$26:$GQ$26,MATCH(189,$B$29:$GQ$29,0))</f>
        <v>0</v>
      </c>
      <c r="GI12">
        <f>INDEX($B$26:$GQ$26,MATCH(190,$B$29:$GQ$29,0))</f>
        <v>0</v>
      </c>
      <c r="GJ12">
        <f>INDEX($B$26:$GQ$26,MATCH(191,$B$29:$GQ$29,0))</f>
        <v>0</v>
      </c>
      <c r="GK12">
        <f>INDEX($B$26:$GQ$26,MATCH(192,$B$29:$GQ$29,0))</f>
        <v>0</v>
      </c>
      <c r="GL12">
        <f>INDEX($B$26:$GQ$26,MATCH(193,$B$29:$GQ$29,0))</f>
        <v>0</v>
      </c>
      <c r="GM12">
        <f>INDEX($B$26:$GQ$26,MATCH(194,$B$29:$GQ$29,0))</f>
        <v>0</v>
      </c>
      <c r="GN12">
        <f>INDEX($B$26:$GQ$26,MATCH(195,$B$29:$GQ$29,0))</f>
        <v>0</v>
      </c>
      <c r="GO12">
        <f>INDEX($B$26:$GQ$26,MATCH(196,$B$29:$GQ$29,0))</f>
        <v>0</v>
      </c>
      <c r="GP12">
        <f>INDEX($B$26:$GQ$26,MATCH(197,$B$29:$GQ$29,0))</f>
        <v>0</v>
      </c>
      <c r="GQ12">
        <f>INDEX($B$26:$GQ$26,MATCH(198,$B$29:$GQ$29,0))</f>
        <v>0</v>
      </c>
      <c r="GR12">
        <f>INDEX($GR$26:$HC$26,MATCH(1,$GR$30:$HC$30,0))</f>
        <v>3.9275069240973748</v>
      </c>
      <c r="GS12">
        <f>INDEX($GR$26:$HC$26,MATCH(2,$GR$30:$HC$30,0))</f>
        <v>28.722301828306271</v>
      </c>
      <c r="GT12">
        <f>INDEX($GR$26:$HC$26,MATCH(3,$GR$30:$HC$30,0))</f>
        <v>12.669314301143229</v>
      </c>
      <c r="GU12">
        <f>INDEX($GR$26:$HC$26,MATCH(4,$GR$30:$HC$30,0))</f>
        <v>37.482820212595144</v>
      </c>
      <c r="GV12">
        <f>INDEX($GR$26:$HC$26,MATCH(5,$GR$30:$HC$30,0))</f>
        <v>4.8983900605407404</v>
      </c>
      <c r="GW12">
        <f>INDEX($GR$26:$HC$26,MATCH(6,$GR$30:$HC$30,0))</f>
        <v>1.6129950159165289</v>
      </c>
      <c r="GX12">
        <f>INDEX($GR$26:$HC$26,MATCH(7,$GR$30:$HC$30,0))</f>
        <v>4.8894269610759258</v>
      </c>
      <c r="GY12">
        <f>INDEX($GR$26:$HC$26,MATCH(8,$GR$30:$HC$30,0))</f>
        <v>1.8542810685573461</v>
      </c>
      <c r="GZ12">
        <f>INDEX($GR$26:$HC$26,MATCH(9,$GR$30:$HC$30,0))</f>
        <v>2.566424353178681</v>
      </c>
      <c r="HA12">
        <f>INDEX($GR$26:$HC$26,MATCH(10,$GR$30:$HC$30,0))</f>
        <v>0</v>
      </c>
      <c r="HB12">
        <f>INDEX($GR$26:$HC$26,MATCH(11,$GR$30:$HC$30,0))</f>
        <v>7.6736495039262964</v>
      </c>
      <c r="HC12">
        <f>INDEX($GR$26:$HC$26,MATCH(12,$GR$30:$HC$30,0))</f>
        <v>0.21456450415393499</v>
      </c>
    </row>
    <row r="13" spans="1:211" x14ac:dyDescent="0.45">
      <c r="A13" s="1" t="s">
        <v>1</v>
      </c>
      <c r="B13">
        <f>INDEX($B$27:$GQ$27,MATCH(1,$B$29:$GQ$29,0))</f>
        <v>38.012882567429138</v>
      </c>
      <c r="C13">
        <f>INDEX($B$27:$GQ$27,MATCH(2,$B$29:$GQ$29,0))</f>
        <v>31.307063398128768</v>
      </c>
      <c r="D13">
        <f>INDEX($B$27:$GQ$27,MATCH(3,$B$29:$GQ$29,0))</f>
        <v>22.12806568256584</v>
      </c>
      <c r="E13">
        <f>INDEX($B$27:$GQ$27,MATCH(4,$B$29:$GQ$29,0))</f>
        <v>19.98911619868057</v>
      </c>
      <c r="F13">
        <f>INDEX($B$27:$GQ$27,MATCH(5,$B$29:$GQ$29,0))</f>
        <v>17.76910835038937</v>
      </c>
      <c r="G13">
        <f>INDEX($B$27:$GQ$27,MATCH(6,$B$29:$GQ$29,0))</f>
        <v>16.84162750890102</v>
      </c>
      <c r="H13">
        <f>INDEX($B$27:$GQ$27,MATCH(7,$B$29:$GQ$29,0))</f>
        <v>15.65959329112982</v>
      </c>
      <c r="I13">
        <f>INDEX($B$27:$GQ$27,MATCH(8,$B$29:$GQ$29,0))</f>
        <v>15.20485680898876</v>
      </c>
      <c r="J13">
        <f>INDEX($B$27:$GQ$27,MATCH(9,$B$29:$GQ$29,0))</f>
        <v>15.127743954871161</v>
      </c>
      <c r="K13">
        <f>INDEX($B$27:$GQ$27,MATCH(10,$B$29:$GQ$29,0))</f>
        <v>14.15750594032612</v>
      </c>
      <c r="L13">
        <f>INDEX($B$27:$GQ$27,MATCH(11,$B$29:$GQ$29,0))</f>
        <v>14.10346838161667</v>
      </c>
      <c r="M13">
        <f>INDEX($B$27:$GQ$27,MATCH(12,$B$29:$GQ$29,0))</f>
        <v>13.544474114567199</v>
      </c>
      <c r="N13">
        <f>INDEX($B$27:$GQ$27,MATCH(13,$B$29:$GQ$29,0))</f>
        <v>12.75853978212575</v>
      </c>
      <c r="O13">
        <f>INDEX($B$27:$GQ$27,MATCH(14,$B$29:$GQ$29,0))</f>
        <v>12.052541350922221</v>
      </c>
      <c r="P13">
        <f>INDEX($B$27:$GQ$27,MATCH(15,$B$29:$GQ$29,0))</f>
        <v>11.950470711448</v>
      </c>
      <c r="Q13">
        <f>INDEX($B$27:$GQ$27,MATCH(16,$B$29:$GQ$29,0))</f>
        <v>11.627635568883459</v>
      </c>
      <c r="R13">
        <f>INDEX($B$27:$GQ$27,MATCH(17,$B$29:$GQ$29,0))</f>
        <v>9.3862671975443899</v>
      </c>
      <c r="S13">
        <f>INDEX($B$27:$GQ$27,MATCH(18,$B$29:$GQ$29,0))</f>
        <v>8.9562246048239302</v>
      </c>
      <c r="T13">
        <f>INDEX($B$27:$GQ$27,MATCH(19,$B$29:$GQ$29,0))</f>
        <v>8.2027627914901799</v>
      </c>
      <c r="U13">
        <f>INDEX($B$27:$GQ$27,MATCH(20,$B$29:$GQ$29,0))</f>
        <v>8.0627903452734042</v>
      </c>
      <c r="V13">
        <f>INDEX($B$27:$GQ$27,MATCH(21,$B$29:$GQ$29,0))</f>
        <v>8.0597709313477939</v>
      </c>
      <c r="W13">
        <f>INDEX($B$27:$GQ$27,MATCH(22,$B$29:$GQ$29,0))</f>
        <v>6.9033219513388673</v>
      </c>
      <c r="X13">
        <f>INDEX($B$27:$GQ$27,MATCH(23,$B$29:$GQ$29,0))</f>
        <v>6.5107199255289014</v>
      </c>
      <c r="Y13">
        <f>INDEX($B$27:$GQ$27,MATCH(24,$B$29:$GQ$29,0))</f>
        <v>5.1416294304562209</v>
      </c>
      <c r="Z13">
        <f>INDEX($B$27:$GQ$27,MATCH(25,$B$29:$GQ$29,0))</f>
        <v>5.1253905021229267</v>
      </c>
      <c r="AA13">
        <f>INDEX($B$27:$GQ$27,MATCH(26,$B$29:$GQ$29,0))</f>
        <v>5.1236523275679016</v>
      </c>
      <c r="AB13">
        <f>INDEX($B$27:$GQ$27,MATCH(27,$B$29:$GQ$29,0))</f>
        <v>4.9673233159949639</v>
      </c>
      <c r="AC13">
        <f>INDEX($B$27:$GQ$27,MATCH(28,$B$29:$GQ$29,0))</f>
        <v>4.6474279906330107</v>
      </c>
      <c r="AD13">
        <f>INDEX($B$27:$GQ$27,MATCH(29,$B$29:$GQ$29,0))</f>
        <v>4.4166331514046453</v>
      </c>
      <c r="AE13">
        <f>INDEX($B$27:$GQ$27,MATCH(30,$B$29:$GQ$29,0))</f>
        <v>4.2975816697164566</v>
      </c>
      <c r="AF13">
        <f>INDEX($B$27:$GQ$27,MATCH(31,$B$29:$GQ$29,0))</f>
        <v>4.1976355812895951</v>
      </c>
      <c r="AG13">
        <f>INDEX($B$27:$GQ$27,MATCH(32,$B$29:$GQ$29,0))</f>
        <v>4.129051933289241</v>
      </c>
      <c r="AH13">
        <f>INDEX($B$27:$GQ$27,MATCH(33,$B$29:$GQ$29,0))</f>
        <v>3.649795717837141</v>
      </c>
      <c r="AI13">
        <f>INDEX($B$27:$GQ$27,MATCH(34,$B$29:$GQ$29,0))</f>
        <v>3.57707161137568</v>
      </c>
      <c r="AJ13">
        <f>INDEX($B$27:$GQ$27,MATCH(35,$B$29:$GQ$29,0))</f>
        <v>3.185994281998469</v>
      </c>
      <c r="AK13">
        <f>INDEX($B$27:$GQ$27,MATCH(36,$B$29:$GQ$29,0))</f>
        <v>3.1223576897676439</v>
      </c>
      <c r="AL13">
        <f>INDEX($B$27:$GQ$27,MATCH(37,$B$29:$GQ$29,0))</f>
        <v>2.9539265189411421</v>
      </c>
      <c r="AM13">
        <f>INDEX($B$27:$GQ$27,MATCH(38,$B$29:$GQ$29,0))</f>
        <v>2.9231250964702351</v>
      </c>
      <c r="AN13">
        <f>INDEX($B$27:$GQ$27,MATCH(39,$B$29:$GQ$29,0))</f>
        <v>2.8899706657989741</v>
      </c>
      <c r="AO13">
        <f>INDEX($B$27:$GQ$27,MATCH(40,$B$29:$GQ$29,0))</f>
        <v>2.8361800595969409</v>
      </c>
      <c r="AP13">
        <f>INDEX($B$27:$GQ$27,MATCH(41,$B$29:$GQ$29,0))</f>
        <v>2.7079006846786982</v>
      </c>
      <c r="AQ13">
        <f>INDEX($B$27:$GQ$27,MATCH(42,$B$29:$GQ$29,0))</f>
        <v>2.608814407605577</v>
      </c>
      <c r="AR13">
        <f>INDEX($B$27:$GQ$27,MATCH(43,$B$29:$GQ$29,0))</f>
        <v>2.588112941819789</v>
      </c>
      <c r="AS13">
        <f>INDEX($B$27:$GQ$27,MATCH(44,$B$29:$GQ$29,0))</f>
        <v>2.5738515304508338</v>
      </c>
      <c r="AT13">
        <f>INDEX($B$27:$GQ$27,MATCH(45,$B$29:$GQ$29,0))</f>
        <v>2.248796769134072</v>
      </c>
      <c r="AU13">
        <f>INDEX($B$27:$GQ$27,MATCH(46,$B$29:$GQ$29,0))</f>
        <v>2.1980309453883069</v>
      </c>
      <c r="AV13">
        <f>INDEX($B$27:$GQ$27,MATCH(47,$B$29:$GQ$29,0))</f>
        <v>2.176139344732976</v>
      </c>
      <c r="AW13">
        <f>INDEX($B$27:$GQ$27,MATCH(48,$B$29:$GQ$29,0))</f>
        <v>2.1133747639298202</v>
      </c>
      <c r="AX13">
        <f>INDEX($B$27:$GQ$27,MATCH(49,$B$29:$GQ$29,0))</f>
        <v>1.807647587995709</v>
      </c>
      <c r="AY13">
        <f>INDEX($B$27:$GQ$27,MATCH(50,$B$29:$GQ$29,0))</f>
        <v>1.6285237348050721</v>
      </c>
      <c r="AZ13">
        <f>INDEX($B$27:$GQ$27,MATCH(51,$B$29:$GQ$29,0))</f>
        <v>1.6269481782602739</v>
      </c>
      <c r="BA13">
        <f>INDEX($B$27:$GQ$27,MATCH(52,$B$29:$GQ$29,0))</f>
        <v>1.5605304067501029</v>
      </c>
      <c r="BB13">
        <f>INDEX($B$27:$GQ$27,MATCH(53,$B$29:$GQ$29,0))</f>
        <v>1.4374402936015771</v>
      </c>
      <c r="BC13">
        <f>INDEX($B$27:$GQ$27,MATCH(54,$B$29:$GQ$29,0))</f>
        <v>1.4202731540666249</v>
      </c>
      <c r="BD13">
        <f>INDEX($B$27:$GQ$27,MATCH(55,$B$29:$GQ$29,0))</f>
        <v>1.279714706708877</v>
      </c>
      <c r="BE13">
        <f>INDEX($B$27:$GQ$27,MATCH(56,$B$29:$GQ$29,0))</f>
        <v>1.272058362321381</v>
      </c>
      <c r="BF13">
        <f>INDEX($B$27:$GQ$27,MATCH(57,$B$29:$GQ$29,0))</f>
        <v>1.24735379626182</v>
      </c>
      <c r="BG13">
        <f>INDEX($B$27:$GQ$27,MATCH(58,$B$29:$GQ$29,0))</f>
        <v>1.1444154847912911</v>
      </c>
      <c r="BH13">
        <f>INDEX($B$27:$GQ$27,MATCH(59,$B$29:$GQ$29,0))</f>
        <v>1.1164635275978381</v>
      </c>
      <c r="BI13">
        <f>INDEX($B$27:$GQ$27,MATCH(60,$B$29:$GQ$29,0))</f>
        <v>1.051631041908605</v>
      </c>
      <c r="BJ13">
        <f>INDEX($B$27:$GQ$27,MATCH(61,$B$29:$GQ$29,0))</f>
        <v>1.004933436206467</v>
      </c>
      <c r="BK13">
        <f>INDEX($B$27:$GQ$27,MATCH(62,$B$29:$GQ$29,0))</f>
        <v>1.0026195980531289</v>
      </c>
      <c r="BL13">
        <f>INDEX($B$27:$GQ$27,MATCH(63,$B$29:$GQ$29,0))</f>
        <v>0.95812334243978126</v>
      </c>
      <c r="BM13">
        <f>INDEX($B$27:$GQ$27,MATCH(64,$B$29:$GQ$29,0))</f>
        <v>0.92324681657731278</v>
      </c>
      <c r="BN13">
        <f>INDEX($B$27:$GQ$27,MATCH(65,$B$29:$GQ$29,0))</f>
        <v>0.91732481805769917</v>
      </c>
      <c r="BO13">
        <f>INDEX($B$27:$GQ$27,MATCH(66,$B$29:$GQ$29,0))</f>
        <v>0.85806416219988813</v>
      </c>
      <c r="BP13">
        <f>INDEX($B$27:$GQ$27,MATCH(67,$B$29:$GQ$29,0))</f>
        <v>0.74897131941285644</v>
      </c>
      <c r="BQ13">
        <f>INDEX($B$27:$GQ$27,MATCH(68,$B$29:$GQ$29,0))</f>
        <v>0.73370761050579625</v>
      </c>
      <c r="BR13">
        <f>INDEX($B$27:$GQ$27,MATCH(69,$B$29:$GQ$29,0))</f>
        <v>0.7082838753964722</v>
      </c>
      <c r="BS13">
        <f>INDEX($B$27:$GQ$27,MATCH(70,$B$29:$GQ$29,0))</f>
        <v>0.54585374106395212</v>
      </c>
      <c r="BT13">
        <f>INDEX($B$27:$GQ$27,MATCH(71,$B$29:$GQ$29,0))</f>
        <v>0.54255924724529581</v>
      </c>
      <c r="BU13">
        <f>INDEX($B$27:$GQ$27,MATCH(72,$B$29:$GQ$29,0))</f>
        <v>0.47734830459185928</v>
      </c>
      <c r="BV13">
        <f>INDEX($B$27:$GQ$27,MATCH(73,$B$29:$GQ$29,0))</f>
        <v>0.46363994911075829</v>
      </c>
      <c r="BW13">
        <f>INDEX($B$27:$GQ$27,MATCH(74,$B$29:$GQ$29,0))</f>
        <v>0.44420446621187049</v>
      </c>
      <c r="BX13">
        <f>INDEX($B$27:$GQ$27,MATCH(75,$B$29:$GQ$29,0))</f>
        <v>0.40553525894311898</v>
      </c>
      <c r="BY13">
        <f>INDEX($B$27:$GQ$27,MATCH(76,$B$29:$GQ$29,0))</f>
        <v>0.39227059671916209</v>
      </c>
      <c r="BZ13">
        <f>INDEX($B$27:$GQ$27,MATCH(77,$B$29:$GQ$29,0))</f>
        <v>0.37853032478300452</v>
      </c>
      <c r="CA13">
        <f>INDEX($B$27:$GQ$27,MATCH(78,$B$29:$GQ$29,0))</f>
        <v>0.32392855770469492</v>
      </c>
      <c r="CB13">
        <f>INDEX($B$27:$GQ$27,MATCH(79,$B$29:$GQ$29,0))</f>
        <v>0.31957142340684291</v>
      </c>
      <c r="CC13">
        <f>INDEX($B$27:$GQ$27,MATCH(80,$B$29:$GQ$29,0))</f>
        <v>0.25069839143166872</v>
      </c>
      <c r="CD13">
        <f>INDEX($B$27:$GQ$27,MATCH(81,$B$29:$GQ$29,0))</f>
        <v>0.2397046725593196</v>
      </c>
      <c r="CE13">
        <f>INDEX($B$27:$GQ$27,MATCH(82,$B$29:$GQ$29,0))</f>
        <v>0.23406196938295259</v>
      </c>
      <c r="CF13">
        <f>INDEX($B$27:$GQ$27,MATCH(83,$B$29:$GQ$29,0))</f>
        <v>0.2252347919657933</v>
      </c>
      <c r="CG13">
        <f>INDEX($B$27:$GQ$27,MATCH(84,$B$29:$GQ$29,0))</f>
        <v>0.21560614018538979</v>
      </c>
      <c r="CH13">
        <f>INDEX($B$27:$GQ$27,MATCH(85,$B$29:$GQ$29,0))</f>
        <v>0.20307702495807969</v>
      </c>
      <c r="CI13">
        <f>INDEX($B$27:$GQ$27,MATCH(86,$B$29:$GQ$29,0))</f>
        <v>0.19779060954764491</v>
      </c>
      <c r="CJ13">
        <f>INDEX($B$27:$GQ$27,MATCH(87,$B$29:$GQ$29,0))</f>
        <v>0.1913469244636315</v>
      </c>
      <c r="CK13">
        <f>INDEX($B$27:$GQ$27,MATCH(88,$B$29:$GQ$29,0))</f>
        <v>0.18749210076114109</v>
      </c>
      <c r="CL13">
        <f>INDEX($B$27:$GQ$27,MATCH(89,$B$29:$GQ$29,0))</f>
        <v>0.16052802099299621</v>
      </c>
      <c r="CM13">
        <f>INDEX($B$27:$GQ$27,MATCH(90,$B$29:$GQ$29,0))</f>
        <v>0.15775253697315869</v>
      </c>
      <c r="CN13">
        <f>INDEX($B$27:$GQ$27,MATCH(91,$B$29:$GQ$29,0))</f>
        <v>0.15770633586850921</v>
      </c>
      <c r="CO13">
        <f>INDEX($B$27:$GQ$27,MATCH(92,$B$29:$GQ$29,0))</f>
        <v>0.14123574064036051</v>
      </c>
      <c r="CP13">
        <f>INDEX($B$27:$GQ$27,MATCH(93,$B$29:$GQ$29,0))</f>
        <v>0.13093763449892651</v>
      </c>
      <c r="CQ13">
        <f>INDEX($B$27:$GQ$27,MATCH(94,$B$29:$GQ$29,0))</f>
        <v>0.11701648265978259</v>
      </c>
      <c r="CR13">
        <f>INDEX($B$27:$GQ$27,MATCH(95,$B$29:$GQ$29,0))</f>
        <v>0.11403348838872029</v>
      </c>
      <c r="CS13">
        <f>INDEX($B$27:$GQ$27,MATCH(96,$B$29:$GQ$29,0))</f>
        <v>0.10010157405780939</v>
      </c>
      <c r="CT13">
        <f>INDEX($B$27:$GQ$27,MATCH(97,$B$29:$GQ$29,0))</f>
        <v>9.8390714016909242E-2</v>
      </c>
      <c r="CU13">
        <f>INDEX($B$27:$GQ$27,MATCH(98,$B$29:$GQ$29,0))</f>
        <v>8.6266273240599586E-2</v>
      </c>
      <c r="CV13">
        <f>INDEX($B$27:$GQ$27,MATCH(99,$B$29:$GQ$29,0))</f>
        <v>8.6110059614963083E-2</v>
      </c>
      <c r="CW13">
        <f>INDEX($B$27:$GQ$27,MATCH(100,$B$29:$GQ$29,0))</f>
        <v>8.2691910992953005E-2</v>
      </c>
      <c r="CX13">
        <f>INDEX($B$27:$GQ$27,MATCH(101,$B$29:$GQ$29,0))</f>
        <v>8.1609997966596182E-2</v>
      </c>
      <c r="CY13">
        <f>INDEX($B$27:$GQ$27,MATCH(102,$B$29:$GQ$29,0))</f>
        <v>8.0342715205435983E-2</v>
      </c>
      <c r="CZ13">
        <f>INDEX($B$27:$GQ$27,MATCH(103,$B$29:$GQ$29,0))</f>
        <v>7.5179041842671351E-2</v>
      </c>
      <c r="DA13">
        <f>INDEX($B$27:$GQ$27,MATCH(104,$B$29:$GQ$29,0))</f>
        <v>5.625384255368452E-2</v>
      </c>
      <c r="DB13">
        <f>INDEX($B$27:$GQ$27,MATCH(105,$B$29:$GQ$29,0))</f>
        <v>5.5746345397843122E-2</v>
      </c>
      <c r="DC13">
        <f>INDEX($B$27:$GQ$27,MATCH(106,$B$29:$GQ$29,0))</f>
        <v>5.1346025980381557E-2</v>
      </c>
      <c r="DD13">
        <f>INDEX($B$27:$GQ$27,MATCH(107,$B$29:$GQ$29,0))</f>
        <v>4.5067102475141542E-2</v>
      </c>
      <c r="DE13">
        <f>INDEX($B$27:$GQ$27,MATCH(108,$B$29:$GQ$29,0))</f>
        <v>4.2883902122266018E-2</v>
      </c>
      <c r="DF13">
        <f>INDEX($B$27:$GQ$27,MATCH(109,$B$29:$GQ$29,0))</f>
        <v>1.7665448433629199E-2</v>
      </c>
      <c r="DG13">
        <f>INDEX($B$27:$GQ$27,MATCH(110,$B$29:$GQ$29,0))</f>
        <v>1.7429107968875149E-2</v>
      </c>
      <c r="DH13">
        <f>INDEX($B$27:$GQ$27,MATCH(111,$B$29:$GQ$29,0))</f>
        <v>1.6057425102659749E-2</v>
      </c>
      <c r="DI13">
        <f>INDEX($B$27:$GQ$27,MATCH(112,$B$29:$GQ$29,0))</f>
        <v>1.310240628341554E-2</v>
      </c>
      <c r="DJ13">
        <f>INDEX($B$27:$GQ$27,MATCH(113,$B$29:$GQ$29,0))</f>
        <v>1.046372825570561E-2</v>
      </c>
      <c r="DK13">
        <f>INDEX($B$27:$GQ$27,MATCH(114,$B$29:$GQ$29,0))</f>
        <v>8.5024833815166047E-3</v>
      </c>
      <c r="DL13">
        <f>INDEX($B$27:$GQ$27,MATCH(115,$B$29:$GQ$29,0))</f>
        <v>7.1405305479697867E-3</v>
      </c>
      <c r="DM13">
        <f>INDEX($B$27:$GQ$27,MATCH(116,$B$29:$GQ$29,0))</f>
        <v>6.4584868258201929E-3</v>
      </c>
      <c r="DN13">
        <f>INDEX($B$27:$GQ$27,MATCH(117,$B$29:$GQ$29,0))</f>
        <v>5.4867147516084892E-3</v>
      </c>
      <c r="DO13">
        <f>INDEX($B$27:$GQ$27,MATCH(118,$B$29:$GQ$29,0))</f>
        <v>4.9638074951468434E-3</v>
      </c>
      <c r="DP13">
        <f>INDEX($B$27:$GQ$27,MATCH(119,$B$29:$GQ$29,0))</f>
        <v>4.6692330288316654E-3</v>
      </c>
      <c r="DQ13">
        <f>INDEX($B$27:$GQ$27,MATCH(120,$B$29:$GQ$29,0))</f>
        <v>4.3493843550432816E-3</v>
      </c>
      <c r="DR13">
        <f>INDEX($B$27:$GQ$27,MATCH(121,$B$29:$GQ$29,0))</f>
        <v>1.3070128353189049E-3</v>
      </c>
      <c r="DS13">
        <f>INDEX($B$27:$GQ$27,MATCH(122,$B$29:$GQ$29,0))</f>
        <v>1.193873456833156E-3</v>
      </c>
      <c r="DT13">
        <f>INDEX($B$27:$GQ$27,MATCH(123,$B$29:$GQ$29,0))</f>
        <v>1.0027067955718149E-3</v>
      </c>
      <c r="DU13">
        <f>INDEX($B$27:$GQ$27,MATCH(124,$B$29:$GQ$29,0))</f>
        <v>6.1669735985530846E-4</v>
      </c>
      <c r="DV13">
        <f>INDEX($B$27:$GQ$27,MATCH(125,$B$29:$GQ$29,0))</f>
        <v>5.9583097343094815E-4</v>
      </c>
      <c r="DW13">
        <f>INDEX($B$27:$GQ$27,MATCH(126,$B$29:$GQ$29,0))</f>
        <v>3.7720125344700592E-4</v>
      </c>
      <c r="DX13">
        <f>INDEX($B$27:$GQ$27,MATCH(127,$B$29:$GQ$29,0))</f>
        <v>9.7470147248800176E-5</v>
      </c>
      <c r="DY13">
        <f>INDEX($B$27:$GQ$27,MATCH(128,$B$29:$GQ$29,0))</f>
        <v>8.4737388701916288E-5</v>
      </c>
      <c r="DZ13">
        <f>INDEX($B$27:$GQ$27,MATCH(129,$B$29:$GQ$29,0))</f>
        <v>6.9298210429212046E-5</v>
      </c>
      <c r="EA13">
        <f>INDEX($B$27:$GQ$27,MATCH(130,$B$29:$GQ$29,0))</f>
        <v>3.7562754713738659E-6</v>
      </c>
      <c r="EB13">
        <f>INDEX($B$27:$GQ$27,MATCH(131,$B$29:$GQ$29,0))</f>
        <v>1.152923189063906E-6</v>
      </c>
      <c r="EC13">
        <f>INDEX($B$27:$GQ$27,MATCH(132,$B$29:$GQ$29,0))</f>
        <v>1.081732196428425E-7</v>
      </c>
      <c r="ED13">
        <f>INDEX($B$27:$GQ$27,MATCH(133,$B$29:$GQ$29,0))</f>
        <v>0</v>
      </c>
      <c r="EE13">
        <f>INDEX($B$27:$GQ$27,MATCH(134,$B$29:$GQ$29,0))</f>
        <v>0</v>
      </c>
      <c r="EF13">
        <f>INDEX($B$27:$GQ$27,MATCH(135,$B$29:$GQ$29,0))</f>
        <v>0</v>
      </c>
      <c r="EG13">
        <f>INDEX($B$27:$GQ$27,MATCH(136,$B$29:$GQ$29,0))</f>
        <v>0</v>
      </c>
      <c r="EH13">
        <f>INDEX($B$27:$GQ$27,MATCH(137,$B$29:$GQ$29,0))</f>
        <v>0</v>
      </c>
      <c r="EI13">
        <f>INDEX($B$27:$GQ$27,MATCH(138,$B$29:$GQ$29,0))</f>
        <v>0</v>
      </c>
      <c r="EJ13">
        <f>INDEX($B$27:$GQ$27,MATCH(139,$B$29:$GQ$29,0))</f>
        <v>0</v>
      </c>
      <c r="EK13">
        <f>INDEX($B$27:$GQ$27,MATCH(140,$B$29:$GQ$29,0))</f>
        <v>0</v>
      </c>
      <c r="EL13">
        <f>INDEX($B$27:$GQ$27,MATCH(141,$B$29:$GQ$29,0))</f>
        <v>0</v>
      </c>
      <c r="EM13">
        <f>INDEX($B$27:$GQ$27,MATCH(142,$B$29:$GQ$29,0))</f>
        <v>0</v>
      </c>
      <c r="EN13">
        <f>INDEX($B$27:$GQ$27,MATCH(143,$B$29:$GQ$29,0))</f>
        <v>0</v>
      </c>
      <c r="EO13">
        <f>INDEX($B$27:$GQ$27,MATCH(144,$B$29:$GQ$29,0))</f>
        <v>0</v>
      </c>
      <c r="EP13">
        <f>INDEX($B$27:$GQ$27,MATCH(145,$B$29:$GQ$29,0))</f>
        <v>0</v>
      </c>
      <c r="EQ13">
        <f>INDEX($B$27:$GQ$27,MATCH(146,$B$29:$GQ$29,0))</f>
        <v>0</v>
      </c>
      <c r="ER13">
        <f>INDEX($B$27:$GQ$27,MATCH(147,$B$29:$GQ$29,0))</f>
        <v>0</v>
      </c>
      <c r="ES13">
        <f>INDEX($B$27:$GQ$27,MATCH(148,$B$29:$GQ$29,0))</f>
        <v>0</v>
      </c>
      <c r="ET13">
        <f>INDEX($B$27:$GQ$27,MATCH(149,$B$29:$GQ$29,0))</f>
        <v>0</v>
      </c>
      <c r="EU13">
        <f>INDEX($B$27:$GQ$27,MATCH(150,$B$29:$GQ$29,0))</f>
        <v>0</v>
      </c>
      <c r="EV13">
        <f>INDEX($B$27:$GQ$27,MATCH(151,$B$29:$GQ$29,0))</f>
        <v>0</v>
      </c>
      <c r="EW13">
        <f>INDEX($B$27:$GQ$27,MATCH(152,$B$29:$GQ$29,0))</f>
        <v>0</v>
      </c>
      <c r="EX13">
        <f>INDEX($B$27:$GQ$27,MATCH(153,$B$29:$GQ$29,0))</f>
        <v>0</v>
      </c>
      <c r="EY13">
        <f>INDEX($B$27:$GQ$27,MATCH(154,$B$29:$GQ$29,0))</f>
        <v>0</v>
      </c>
      <c r="EZ13">
        <f>INDEX($B$27:$GQ$27,MATCH(155,$B$29:$GQ$29,0))</f>
        <v>0</v>
      </c>
      <c r="FA13">
        <f>INDEX($B$27:$GQ$27,MATCH(156,$B$29:$GQ$29,0))</f>
        <v>0</v>
      </c>
      <c r="FB13">
        <f>INDEX($B$27:$GQ$27,MATCH(157,$B$29:$GQ$29,0))</f>
        <v>0</v>
      </c>
      <c r="FC13">
        <f>INDEX($B$27:$GQ$27,MATCH(158,$B$29:$GQ$29,0))</f>
        <v>0</v>
      </c>
      <c r="FD13">
        <f>INDEX($B$27:$GQ$27,MATCH(159,$B$29:$GQ$29,0))</f>
        <v>0</v>
      </c>
      <c r="FE13">
        <f>INDEX($B$27:$GQ$27,MATCH(160,$B$29:$GQ$29,0))</f>
        <v>0</v>
      </c>
      <c r="FF13">
        <f>INDEX($B$27:$GQ$27,MATCH(161,$B$29:$GQ$29,0))</f>
        <v>0</v>
      </c>
      <c r="FG13">
        <f>INDEX($B$27:$GQ$27,MATCH(162,$B$29:$GQ$29,0))</f>
        <v>0</v>
      </c>
      <c r="FH13">
        <f>INDEX($B$27:$GQ$27,MATCH(163,$B$29:$GQ$29,0))</f>
        <v>0</v>
      </c>
      <c r="FI13">
        <f>INDEX($B$27:$GQ$27,MATCH(164,$B$29:$GQ$29,0))</f>
        <v>0</v>
      </c>
      <c r="FJ13">
        <f>INDEX($B$27:$GQ$27,MATCH(165,$B$29:$GQ$29,0))</f>
        <v>0</v>
      </c>
      <c r="FK13">
        <f>INDEX($B$27:$GQ$27,MATCH(166,$B$29:$GQ$29,0))</f>
        <v>0</v>
      </c>
      <c r="FL13">
        <f>INDEX($B$27:$GQ$27,MATCH(167,$B$29:$GQ$29,0))</f>
        <v>0</v>
      </c>
      <c r="FM13">
        <f>INDEX($B$27:$GQ$27,MATCH(168,$B$29:$GQ$29,0))</f>
        <v>0</v>
      </c>
      <c r="FN13">
        <f>INDEX($B$27:$GQ$27,MATCH(169,$B$29:$GQ$29,0))</f>
        <v>0</v>
      </c>
      <c r="FO13">
        <f>INDEX($B$27:$GQ$27,MATCH(170,$B$29:$GQ$29,0))</f>
        <v>0</v>
      </c>
      <c r="FP13">
        <f>INDEX($B$27:$GQ$27,MATCH(171,$B$29:$GQ$29,0))</f>
        <v>0</v>
      </c>
      <c r="FQ13">
        <f>INDEX($B$27:$GQ$27,MATCH(172,$B$29:$GQ$29,0))</f>
        <v>0</v>
      </c>
      <c r="FR13">
        <f>INDEX($B$27:$GQ$27,MATCH(173,$B$29:$GQ$29,0))</f>
        <v>0</v>
      </c>
      <c r="FS13">
        <f>INDEX($B$27:$GQ$27,MATCH(174,$B$29:$GQ$29,0))</f>
        <v>0</v>
      </c>
      <c r="FT13">
        <f>INDEX($B$27:$GQ$27,MATCH(175,$B$29:$GQ$29,0))</f>
        <v>0</v>
      </c>
      <c r="FU13">
        <f>INDEX($B$27:$GQ$27,MATCH(176,$B$29:$GQ$29,0))</f>
        <v>0</v>
      </c>
      <c r="FV13">
        <f>INDEX($B$27:$GQ$27,MATCH(177,$B$29:$GQ$29,0))</f>
        <v>0</v>
      </c>
      <c r="FW13">
        <f>INDEX($B$27:$GQ$27,MATCH(178,$B$29:$GQ$29,0))</f>
        <v>0</v>
      </c>
      <c r="FX13">
        <f>INDEX($B$27:$GQ$27,MATCH(179,$B$29:$GQ$29,0))</f>
        <v>0</v>
      </c>
      <c r="FY13">
        <f>INDEX($B$27:$GQ$27,MATCH(180,$B$29:$GQ$29,0))</f>
        <v>0</v>
      </c>
      <c r="FZ13">
        <f>INDEX($B$27:$GQ$27,MATCH(181,$B$29:$GQ$29,0))</f>
        <v>0</v>
      </c>
      <c r="GA13">
        <f>INDEX($B$27:$GQ$27,MATCH(182,$B$29:$GQ$29,0))</f>
        <v>0</v>
      </c>
      <c r="GB13">
        <f>INDEX($B$27:$GQ$27,MATCH(183,$B$29:$GQ$29,0))</f>
        <v>0</v>
      </c>
      <c r="GC13">
        <f>INDEX($B$27:$GQ$27,MATCH(184,$B$29:$GQ$29,0))</f>
        <v>0</v>
      </c>
      <c r="GD13">
        <f>INDEX($B$27:$GQ$27,MATCH(185,$B$29:$GQ$29,0))</f>
        <v>0</v>
      </c>
      <c r="GE13">
        <f>INDEX($B$27:$GQ$27,MATCH(186,$B$29:$GQ$29,0))</f>
        <v>0</v>
      </c>
      <c r="GF13">
        <f>INDEX($B$27:$GQ$27,MATCH(187,$B$29:$GQ$29,0))</f>
        <v>0</v>
      </c>
      <c r="GG13">
        <f>INDEX($B$27:$GQ$27,MATCH(188,$B$29:$GQ$29,0))</f>
        <v>0</v>
      </c>
      <c r="GH13">
        <f>INDEX($B$27:$GQ$27,MATCH(189,$B$29:$GQ$29,0))</f>
        <v>0</v>
      </c>
      <c r="GI13">
        <f>INDEX($B$27:$GQ$27,MATCH(190,$B$29:$GQ$29,0))</f>
        <v>0</v>
      </c>
      <c r="GJ13">
        <f>INDEX($B$27:$GQ$27,MATCH(191,$B$29:$GQ$29,0))</f>
        <v>0</v>
      </c>
      <c r="GK13">
        <f>INDEX($B$27:$GQ$27,MATCH(192,$B$29:$GQ$29,0))</f>
        <v>0</v>
      </c>
      <c r="GL13">
        <f>INDEX($B$27:$GQ$27,MATCH(193,$B$29:$GQ$29,0))</f>
        <v>0</v>
      </c>
      <c r="GM13">
        <f>INDEX($B$27:$GQ$27,MATCH(194,$B$29:$GQ$29,0))</f>
        <v>0</v>
      </c>
      <c r="GN13">
        <f>INDEX($B$27:$GQ$27,MATCH(195,$B$29:$GQ$29,0))</f>
        <v>0</v>
      </c>
      <c r="GO13">
        <f>INDEX($B$27:$GQ$27,MATCH(196,$B$29:$GQ$29,0))</f>
        <v>0</v>
      </c>
      <c r="GP13">
        <f>INDEX($B$27:$GQ$27,MATCH(197,$B$29:$GQ$29,0))</f>
        <v>0</v>
      </c>
      <c r="GQ13">
        <f>INDEX($B$27:$GQ$27,MATCH(198,$B$29:$GQ$29,0))</f>
        <v>0</v>
      </c>
      <c r="GR13">
        <f>INDEX($GR$27:$HC$27,MATCH(1,$GR$30:$HC$30,0))</f>
        <v>126.105660674048</v>
      </c>
      <c r="GS13">
        <f>INDEX($GR$27:$HC$27,MATCH(2,$GR$30:$HC$30,0))</f>
        <v>117.2319927623801</v>
      </c>
      <c r="GT13">
        <f>INDEX($GR$27:$HC$27,MATCH(3,$GR$30:$HC$30,0))</f>
        <v>98.35745179389815</v>
      </c>
      <c r="GU13">
        <f>INDEX($GR$27:$HC$27,MATCH(4,$GR$30:$HC$30,0))</f>
        <v>82.539739677931806</v>
      </c>
      <c r="GV13">
        <f>INDEX($GR$27:$HC$27,MATCH(5,$GR$30:$HC$30,0))</f>
        <v>22.400486147847399</v>
      </c>
      <c r="GW13">
        <f>INDEX($GR$27:$HC$27,MATCH(6,$GR$30:$HC$30,0))</f>
        <v>21.90589873750649</v>
      </c>
      <c r="GX13">
        <f>INDEX($GR$27:$HC$27,MATCH(7,$GR$30:$HC$30,0))</f>
        <v>16.596260314349529</v>
      </c>
      <c r="GY13">
        <f>INDEX($GR$27:$HC$27,MATCH(8,$GR$30:$HC$30,0))</f>
        <v>15.127743954871161</v>
      </c>
      <c r="GZ13">
        <f>INDEX($GR$27:$HC$27,MATCH(9,$GR$30:$HC$30,0))</f>
        <v>14.021822419159051</v>
      </c>
      <c r="HA13">
        <f>INDEX($GR$27:$HC$27,MATCH(10,$GR$30:$HC$30,0))</f>
        <v>11.627635568883459</v>
      </c>
      <c r="HB13">
        <f>INDEX($GR$27:$HC$27,MATCH(11,$GR$30:$HC$30,0))</f>
        <v>8.8694488464694441</v>
      </c>
      <c r="HC13">
        <f>INDEX($GR$27:$HC$27,MATCH(12,$GR$30:$HC$30,0))</f>
        <v>3.2801102267408031</v>
      </c>
    </row>
    <row r="14" spans="1:211" x14ac:dyDescent="0.45">
      <c r="A14" s="2" t="str">
        <f>"Part de "&amp;$B$1&amp;" (%)"</f>
        <v>Part de M_imp*Y_dom+M_dom*Y_dom+M_row*Y_imp (%)</v>
      </c>
      <c r="B14" s="3">
        <f>IFERROR(INDEX($B$28:$GQ$28,MATCH(1,$B$29:$GQ$29,0))/SUM($B$28:$GQ$28)*100,0)</f>
        <v>8.3098096479710861</v>
      </c>
      <c r="C14" s="3">
        <f>IFERROR(INDEX($B$28:$GQ$28,MATCH(2,$B$29:$GQ$29,0))/SUM($B$28:$GQ$28)*100,0)</f>
        <v>6.8438834390929379</v>
      </c>
      <c r="D14" s="3">
        <f>IFERROR(INDEX($B$28:$GQ$28,MATCH(3,$B$29:$GQ$29,0))/SUM($B$28:$GQ$28)*100,0)</f>
        <v>4.8373078093656279</v>
      </c>
      <c r="E14" s="3">
        <f>IFERROR(INDEX($B$28:$GQ$28,MATCH(4,$B$29:$GQ$29,0))/SUM($B$28:$GQ$28)*100,0)</f>
        <v>4.3697225630696197</v>
      </c>
      <c r="F14" s="3">
        <f>IFERROR(INDEX($B$28:$GQ$28,MATCH(5,$B$29:$GQ$29,0))/SUM($B$28:$GQ$28)*100,0)</f>
        <v>3.8844175456566932</v>
      </c>
      <c r="G14" s="3">
        <f>IFERROR(INDEX($B$28:$GQ$28,MATCH(6,$B$29:$GQ$29,0))/SUM($B$28:$GQ$28)*100,0)</f>
        <v>3.6816655120208104</v>
      </c>
      <c r="H14" s="3">
        <f>IFERROR(INDEX($B$28:$GQ$28,MATCH(7,$B$29:$GQ$29,0))/SUM($B$28:$GQ$28)*100,0)</f>
        <v>3.4232668144307645</v>
      </c>
      <c r="I14" s="3">
        <f>IFERROR(INDEX($B$28:$GQ$28,MATCH(8,$B$29:$GQ$29,0))/SUM($B$28:$GQ$28)*100,0)</f>
        <v>3.3238591044293657</v>
      </c>
      <c r="J14" s="3">
        <f>IFERROR(INDEX($B$28:$GQ$28,MATCH(9,$B$29:$GQ$29,0))/SUM($B$28:$GQ$28)*100,0)</f>
        <v>3.3070018419475646</v>
      </c>
      <c r="K14" s="3">
        <f>IFERROR(INDEX($B$28:$GQ$28,MATCH(10,$B$29:$GQ$29,0))/SUM($B$28:$GQ$28)*100,0)</f>
        <v>3.0949028726101822</v>
      </c>
      <c r="L14" s="3">
        <f>IFERROR(INDEX($B$28:$GQ$28,MATCH(11,$B$29:$GQ$29,0))/SUM($B$28:$GQ$28)*100,0)</f>
        <v>3.0830899871779853</v>
      </c>
      <c r="M14" s="3">
        <f>IFERROR(INDEX($B$28:$GQ$28,MATCH(12,$B$29:$GQ$29,0))/SUM($B$28:$GQ$28)*100,0)</f>
        <v>2.9608909946325386</v>
      </c>
      <c r="N14" s="3">
        <f>IFERROR(INDEX($B$28:$GQ$28,MATCH(13,$B$29:$GQ$29,0))/SUM($B$28:$GQ$28)*100,0)</f>
        <v>2.7890817484695116</v>
      </c>
      <c r="O14" s="3">
        <f>IFERROR(INDEX($B$28:$GQ$28,MATCH(14,$B$29:$GQ$29,0))/SUM($B$28:$GQ$28)*100,0)</f>
        <v>2.6347468972605594</v>
      </c>
      <c r="P14" s="3">
        <f>IFERROR(INDEX($B$28:$GQ$28,MATCH(15,$B$29:$GQ$29,0))/SUM($B$28:$GQ$28)*100,0)</f>
        <v>2.6124337358429033</v>
      </c>
      <c r="Q14" s="3">
        <f>IFERROR(INDEX($B$28:$GQ$28,MATCH(16,$B$29:$GQ$29,0))/SUM($B$28:$GQ$28)*100,0)</f>
        <v>2.5418603301658087</v>
      </c>
      <c r="R14" s="3">
        <f>IFERROR(INDEX($B$28:$GQ$28,MATCH(17,$B$29:$GQ$29,0))/SUM($B$28:$GQ$28)*100,0)</f>
        <v>2.0518857936709223</v>
      </c>
      <c r="S14" s="3">
        <f>IFERROR(INDEX($B$28:$GQ$28,MATCH(18,$B$29:$GQ$29,0))/SUM($B$28:$GQ$28)*100,0)</f>
        <v>1.9578762936103045</v>
      </c>
      <c r="T14" s="3">
        <f>IFERROR(INDEX($B$28:$GQ$28,MATCH(19,$B$29:$GQ$29,0))/SUM($B$28:$GQ$28)*100,0)</f>
        <v>1.7931657054376688</v>
      </c>
      <c r="U14" s="3">
        <f>IFERROR(INDEX($B$28:$GQ$28,MATCH(20,$B$29:$GQ$29,0))/SUM($B$28:$GQ$28)*100,0)</f>
        <v>1.762567016112832</v>
      </c>
      <c r="V14" s="3">
        <f>IFERROR(INDEX($B$28:$GQ$28,MATCH(21,$B$29:$GQ$29,0))/SUM($B$28:$GQ$28)*100,0)</f>
        <v>1.7619069568572425</v>
      </c>
      <c r="W14" s="3">
        <f>IFERROR(INDEX($B$28:$GQ$28,MATCH(22,$B$29:$GQ$29,0))/SUM($B$28:$GQ$28)*100,0)</f>
        <v>1.5091013224932075</v>
      </c>
      <c r="X14" s="3">
        <f>IFERROR(INDEX($B$28:$GQ$28,MATCH(23,$B$29:$GQ$29,0))/SUM($B$28:$GQ$28)*100,0)</f>
        <v>1.4232765209643692</v>
      </c>
      <c r="Y14" s="3">
        <f>IFERROR(INDEX($B$28:$GQ$28,MATCH(24,$B$29:$GQ$29,0))/SUM($B$28:$GQ$28)*100,0)</f>
        <v>1.1239863688765974</v>
      </c>
      <c r="Z14" s="3">
        <f>IFERROR(INDEX($B$28:$GQ$28,MATCH(25,$B$29:$GQ$29,0))/SUM($B$28:$GQ$28)*100,0)</f>
        <v>1.1204364564726288</v>
      </c>
      <c r="AA14" s="3">
        <f>IFERROR(INDEX($B$28:$GQ$28,MATCH(26,$B$29:$GQ$29,0))/SUM($B$28:$GQ$28)*100,0)</f>
        <v>1.1200564826660755</v>
      </c>
      <c r="AB14" s="3">
        <f>IFERROR(INDEX($B$28:$GQ$28,MATCH(27,$B$29:$GQ$29,0))/SUM($B$28:$GQ$28)*100,0)</f>
        <v>1.085882164885196</v>
      </c>
      <c r="AC14" s="3">
        <f>IFERROR(INDEX($B$28:$GQ$28,MATCH(28,$B$29:$GQ$29,0))/SUM($B$28:$GQ$28)*100,0)</f>
        <v>1.0159514182148208</v>
      </c>
      <c r="AD14" s="3">
        <f>IFERROR(INDEX($B$28:$GQ$28,MATCH(29,$B$29:$GQ$29,0))/SUM($B$28:$GQ$28)*100,0)</f>
        <v>0.96549849141244504</v>
      </c>
      <c r="AE14" s="3">
        <f>IFERROR(INDEX($B$28:$GQ$28,MATCH(30,$B$29:$GQ$29,0))/SUM($B$28:$GQ$28)*100,0)</f>
        <v>0.939473231439516</v>
      </c>
      <c r="AF14" s="3">
        <f>IFERROR(INDEX($B$28:$GQ$28,MATCH(31,$B$29:$GQ$29,0))/SUM($B$28:$GQ$28)*100,0)</f>
        <v>0.91762450769663062</v>
      </c>
      <c r="AG14" s="3">
        <f>IFERROR(INDEX($B$28:$GQ$28,MATCH(32,$B$29:$GQ$29,0))/SUM($B$28:$GQ$28)*100,0)</f>
        <v>0.90263177309315901</v>
      </c>
      <c r="AH14" s="3">
        <f>IFERROR(INDEX($B$28:$GQ$28,MATCH(33,$B$29:$GQ$29,0))/SUM($B$28:$GQ$28)*100,0)</f>
        <v>0.79786392456313604</v>
      </c>
      <c r="AI14" s="3">
        <f>IFERROR(INDEX($B$28:$GQ$28,MATCH(34,$B$29:$GQ$29,0))/SUM($B$28:$GQ$28)*100,0)</f>
        <v>0.78196606466152119</v>
      </c>
      <c r="AJ14" s="3">
        <f>IFERROR(INDEX($B$28:$GQ$28,MATCH(35,$B$29:$GQ$29,0))/SUM($B$28:$GQ$28)*100,0)</f>
        <v>0.69647456953491782</v>
      </c>
      <c r="AK14" s="3">
        <f>IFERROR(INDEX($B$28:$GQ$28,MATCH(36,$B$29:$GQ$29,0))/SUM($B$28:$GQ$28)*100,0)</f>
        <v>0.68256328650749454</v>
      </c>
      <c r="AL14" s="3">
        <f>IFERROR(INDEX($B$28:$GQ$28,MATCH(37,$B$29:$GQ$29,0))/SUM($B$28:$GQ$28)*100,0)</f>
        <v>0.64574337510323843</v>
      </c>
      <c r="AM14" s="3">
        <f>IFERROR(INDEX($B$28:$GQ$28,MATCH(38,$B$29:$GQ$29,0))/SUM($B$28:$GQ$28)*100,0)</f>
        <v>0.63901002734498957</v>
      </c>
      <c r="AN14" s="3">
        <f>IFERROR(INDEX($B$28:$GQ$28,MATCH(39,$B$29:$GQ$29,0))/SUM($B$28:$GQ$28)*100,0)</f>
        <v>0.63176230001527911</v>
      </c>
      <c r="AO14" s="3">
        <f>IFERROR(INDEX($B$28:$GQ$28,MATCH(40,$B$29:$GQ$29,0))/SUM($B$28:$GQ$28)*100,0)</f>
        <v>0.62000339965840723</v>
      </c>
      <c r="AP14" s="3">
        <f>IFERROR(INDEX($B$28:$GQ$28,MATCH(41,$B$29:$GQ$29,0))/SUM($B$28:$GQ$28)*100,0)</f>
        <v>0.59196087524736241</v>
      </c>
      <c r="AQ14" s="3">
        <f>IFERROR(INDEX($B$28:$GQ$28,MATCH(42,$B$29:$GQ$29,0))/SUM($B$28:$GQ$28)*100,0)</f>
        <v>0.57030011064359432</v>
      </c>
      <c r="AR14" s="3">
        <f>IFERROR(INDEX($B$28:$GQ$28,MATCH(43,$B$29:$GQ$29,0))/SUM($B$28:$GQ$28)*100,0)</f>
        <v>0.56577466483430228</v>
      </c>
      <c r="AS14" s="3">
        <f>IFERROR(INDEX($B$28:$GQ$28,MATCH(44,$B$29:$GQ$29,0))/SUM($B$28:$GQ$28)*100,0)</f>
        <v>0.56265704770602454</v>
      </c>
      <c r="AT14" s="3">
        <f>IFERROR(INDEX($B$28:$GQ$28,MATCH(45,$B$29:$GQ$29,0))/SUM($B$28:$GQ$28)*100,0)</f>
        <v>0.49159842206989862</v>
      </c>
      <c r="AU14" s="3">
        <f>IFERROR(INDEX($B$28:$GQ$28,MATCH(46,$B$29:$GQ$29,0))/SUM($B$28:$GQ$28)*100,0)</f>
        <v>0.48050075455674818</v>
      </c>
      <c r="AV14" s="3">
        <f>IFERROR(INDEX($B$28:$GQ$28,MATCH(47,$B$29:$GQ$29,0))/SUM($B$28:$GQ$28)*100,0)</f>
        <v>0.47571513920614938</v>
      </c>
      <c r="AW14" s="3">
        <f>IFERROR(INDEX($B$28:$GQ$28,MATCH(48,$B$29:$GQ$29,0))/SUM($B$28:$GQ$28)*100,0)</f>
        <v>0.4619944823161134</v>
      </c>
      <c r="AX14" s="3">
        <f>IFERROR(INDEX($B$28:$GQ$28,MATCH(49,$B$29:$GQ$29,0))/SUM($B$28:$GQ$28)*100,0)</f>
        <v>0.39516096523890404</v>
      </c>
      <c r="AY14" s="3">
        <f>IFERROR(INDEX($B$28:$GQ$28,MATCH(50,$B$29:$GQ$29,0))/SUM($B$28:$GQ$28)*100,0)</f>
        <v>0.35600357903476748</v>
      </c>
      <c r="AZ14" s="3">
        <f>IFERROR(INDEX($B$28:$GQ$28,MATCH(51,$B$29:$GQ$29,0))/SUM($B$28:$GQ$28)*100,0)</f>
        <v>0.35565915435311746</v>
      </c>
      <c r="BA14" s="3">
        <f>IFERROR(INDEX($B$28:$GQ$28,MATCH(52,$B$29:$GQ$29,0))/SUM($B$28:$GQ$28)*100,0)</f>
        <v>0.34113989137660056</v>
      </c>
      <c r="BB14" s="3">
        <f>IFERROR(INDEX($B$28:$GQ$28,MATCH(53,$B$29:$GQ$29,0))/SUM($B$28:$GQ$28)*100,0)</f>
        <v>0.31423176600628483</v>
      </c>
      <c r="BC14" s="3">
        <f>IFERROR(INDEX($B$28:$GQ$28,MATCH(54,$B$29:$GQ$29,0))/SUM($B$28:$GQ$28)*100,0)</f>
        <v>0.31047894190822906</v>
      </c>
      <c r="BD14" s="3">
        <f>IFERROR(INDEX($B$28:$GQ$28,MATCH(55,$B$29:$GQ$29,0))/SUM($B$28:$GQ$28)*100,0)</f>
        <v>0.27975214975071855</v>
      </c>
      <c r="BE14" s="3">
        <f>IFERROR(INDEX($B$28:$GQ$28,MATCH(56,$B$29:$GQ$29,0))/SUM($B$28:$GQ$28)*100,0)</f>
        <v>0.27807843389014031</v>
      </c>
      <c r="BF14" s="3">
        <f>IFERROR(INDEX($B$28:$GQ$28,MATCH(57,$B$29:$GQ$29,0))/SUM($B$28:$GQ$28)*100,0)</f>
        <v>0.27267788998172915</v>
      </c>
      <c r="BG14" s="3">
        <f>IFERROR(INDEX($B$28:$GQ$28,MATCH(58,$B$29:$GQ$29,0))/SUM($B$28:$GQ$28)*100,0)</f>
        <v>0.2501750510484726</v>
      </c>
      <c r="BH14" s="3">
        <f>IFERROR(INDEX($B$28:$GQ$28,MATCH(59,$B$29:$GQ$29,0))/SUM($B$28:$GQ$28)*100,0)</f>
        <v>0.24406461090613904</v>
      </c>
      <c r="BI14" s="3">
        <f>IFERROR(INDEX($B$28:$GQ$28,MATCH(60,$B$29:$GQ$29,0))/SUM($B$28:$GQ$28)*100,0)</f>
        <v>0.22989189948056685</v>
      </c>
      <c r="BJ14" s="3">
        <f>IFERROR(INDEX($B$28:$GQ$28,MATCH(61,$B$29:$GQ$29,0))/SUM($B$28:$GQ$28)*100,0)</f>
        <v>0.21968356514253193</v>
      </c>
      <c r="BK14" s="3">
        <f>IFERROR(INDEX($B$28:$GQ$28,MATCH(62,$B$29:$GQ$29,0))/SUM($B$28:$GQ$28)*100,0)</f>
        <v>0.21917774834275763</v>
      </c>
      <c r="BL14" s="3">
        <f>IFERROR(INDEX($B$28:$GQ$28,MATCH(63,$B$29:$GQ$29,0))/SUM($B$28:$GQ$28)*100,0)</f>
        <v>0.2094506403409245</v>
      </c>
      <c r="BM14" s="3">
        <f>IFERROR(INDEX($B$28:$GQ$28,MATCH(64,$B$29:$GQ$29,0))/SUM($B$28:$GQ$28)*100,0)</f>
        <v>0.20182645423544929</v>
      </c>
      <c r="BN14" s="3">
        <f>IFERROR(INDEX($B$28:$GQ$28,MATCH(65,$B$29:$GQ$29,0))/SUM($B$28:$GQ$28)*100,0)</f>
        <v>0.2005318752109235</v>
      </c>
      <c r="BO14" s="3">
        <f>IFERROR(INDEX($B$28:$GQ$28,MATCH(66,$B$29:$GQ$29,0))/SUM($B$28:$GQ$28)*100,0)</f>
        <v>0.18757719415197438</v>
      </c>
      <c r="BP14" s="3">
        <f>IFERROR(INDEX($B$28:$GQ$28,MATCH(67,$B$29:$GQ$29,0))/SUM($B$28:$GQ$28)*100,0)</f>
        <v>0.16372894334099727</v>
      </c>
      <c r="BQ14" s="3">
        <f>IFERROR(INDEX($B$28:$GQ$28,MATCH(68,$B$29:$GQ$29,0))/SUM($B$28:$GQ$28)*100,0)</f>
        <v>0.16039221886832097</v>
      </c>
      <c r="BR14" s="3">
        <f>IFERROR(INDEX($B$28:$GQ$28,MATCH(69,$B$29:$GQ$29,0))/SUM($B$28:$GQ$28)*100,0)</f>
        <v>0.15483446094443379</v>
      </c>
      <c r="BS14" s="3">
        <f>IFERROR(INDEX($B$28:$GQ$28,MATCH(70,$B$29:$GQ$29,0))/SUM($B$28:$GQ$28)*100,0)</f>
        <v>0.11932640666827263</v>
      </c>
      <c r="BT14" s="3">
        <f>IFERROR(INDEX($B$28:$GQ$28,MATCH(71,$B$29:$GQ$29,0))/SUM($B$28:$GQ$28)*100,0)</f>
        <v>0.11860621354766701</v>
      </c>
      <c r="BU14" s="3">
        <f>IFERROR(INDEX($B$28:$GQ$28,MATCH(72,$B$29:$GQ$29,0))/SUM($B$28:$GQ$28)*100,0)</f>
        <v>0.10435076950304388</v>
      </c>
      <c r="BV14" s="3">
        <f>IFERROR(INDEX($B$28:$GQ$28,MATCH(73,$B$29:$GQ$29,0))/SUM($B$28:$GQ$28)*100,0)</f>
        <v>0.10135405320738794</v>
      </c>
      <c r="BW14" s="3">
        <f>IFERROR(INDEX($B$28:$GQ$28,MATCH(74,$B$29:$GQ$29,0))/SUM($B$28:$GQ$28)*100,0)</f>
        <v>9.7105357702129455E-2</v>
      </c>
      <c r="BX14" s="3">
        <f>IFERROR(INDEX($B$28:$GQ$28,MATCH(75,$B$29:$GQ$29,0))/SUM($B$28:$GQ$28)*100,0)</f>
        <v>8.8652072133184059E-2</v>
      </c>
      <c r="BY14" s="3">
        <f>IFERROR(INDEX($B$28:$GQ$28,MATCH(76,$B$29:$GQ$29,0))/SUM($B$28:$GQ$28)*100,0)</f>
        <v>8.5752349442325543E-2</v>
      </c>
      <c r="BZ14" s="3">
        <f>IFERROR(INDEX($B$28:$GQ$28,MATCH(77,$B$29:$GQ$29,0))/SUM($B$28:$GQ$28)*100,0)</f>
        <v>8.2748656047111638E-2</v>
      </c>
      <c r="CA14" s="3">
        <f>IFERROR(INDEX($B$28:$GQ$28,MATCH(78,$B$29:$GQ$29,0))/SUM($B$28:$GQ$28)*100,0)</f>
        <v>7.0812431793169359E-2</v>
      </c>
      <c r="CB14" s="3">
        <f>IFERROR(INDEX($B$28:$GQ$28,MATCH(79,$B$29:$GQ$29,0))/SUM($B$28:$GQ$28)*100,0)</f>
        <v>6.9859940054044598E-2</v>
      </c>
      <c r="CC14" s="3">
        <f>IFERROR(INDEX($B$28:$GQ$28,MATCH(80,$B$29:$GQ$29,0))/SUM($B$28:$GQ$28)*100,0)</f>
        <v>5.4803944640460504E-2</v>
      </c>
      <c r="CD14" s="3">
        <f>IFERROR(INDEX($B$28:$GQ$28,MATCH(81,$B$29:$GQ$29,0))/SUM($B$28:$GQ$28)*100,0)</f>
        <v>5.240066172734606E-2</v>
      </c>
      <c r="CE14" s="3">
        <f>IFERROR(INDEX($B$28:$GQ$28,MATCH(82,$B$29:$GQ$29,0))/SUM($B$28:$GQ$28)*100,0)</f>
        <v>5.1167138086710903E-2</v>
      </c>
      <c r="CF14" s="3">
        <f>IFERROR(INDEX($B$28:$GQ$28,MATCH(83,$B$29:$GQ$29,0))/SUM($B$28:$GQ$28)*100,0)</f>
        <v>4.9237472165286837E-2</v>
      </c>
      <c r="CG14" s="3">
        <f>IFERROR(INDEX($B$28:$GQ$28,MATCH(84,$B$29:$GQ$29,0))/SUM($B$28:$GQ$28)*100,0)</f>
        <v>4.713259986785396E-2</v>
      </c>
      <c r="CH14" s="3">
        <f>IFERROR(INDEX($B$28:$GQ$28,MATCH(85,$B$29:$GQ$29,0))/SUM($B$28:$GQ$28)*100,0)</f>
        <v>4.4393671495038263E-2</v>
      </c>
      <c r="CI14" s="3">
        <f>IFERROR(INDEX($B$28:$GQ$28,MATCH(86,$B$29:$GQ$29,0))/SUM($B$28:$GQ$28)*100,0)</f>
        <v>4.3238034173851414E-2</v>
      </c>
      <c r="CJ14" s="3">
        <f>IFERROR(INDEX($B$28:$GQ$28,MATCH(87,$B$29:$GQ$29,0))/SUM($B$28:$GQ$28)*100,0)</f>
        <v>4.1829411810508151E-2</v>
      </c>
      <c r="CK14" s="3">
        <f>IFERROR(INDEX($B$28:$GQ$28,MATCH(88,$B$29:$GQ$29,0))/SUM($B$28:$GQ$28)*100,0)</f>
        <v>4.0986727724728521E-2</v>
      </c>
      <c r="CL14" s="3">
        <f>IFERROR(INDEX($B$28:$GQ$28,MATCH(89,$B$29:$GQ$29,0))/SUM($B$28:$GQ$28)*100,0)</f>
        <v>3.5092242616725139E-2</v>
      </c>
      <c r="CM14" s="3">
        <f>IFERROR(INDEX($B$28:$GQ$28,MATCH(90,$B$29:$GQ$29,0))/SUM($B$28:$GQ$28)*100,0)</f>
        <v>3.4485507680353931E-2</v>
      </c>
      <c r="CN14" s="3">
        <f>IFERROR(INDEX($B$28:$GQ$28,MATCH(91,$B$29:$GQ$29,0))/SUM($B$28:$GQ$28)*100,0)</f>
        <v>3.4475407883673634E-2</v>
      </c>
      <c r="CO14" s="3">
        <f>IFERROR(INDEX($B$28:$GQ$28,MATCH(92,$B$29:$GQ$29,0))/SUM($B$28:$GQ$28)*100,0)</f>
        <v>3.0874851917103242E-2</v>
      </c>
      <c r="CP14" s="3">
        <f>IFERROR(INDEX($B$28:$GQ$28,MATCH(93,$B$29:$GQ$29,0))/SUM($B$28:$GQ$28)*100,0)</f>
        <v>2.8623633488242418E-2</v>
      </c>
      <c r="CQ14" s="3">
        <f>IFERROR(INDEX($B$28:$GQ$28,MATCH(94,$B$29:$GQ$29,0))/SUM($B$28:$GQ$28)*100,0)</f>
        <v>2.5580398825399218E-2</v>
      </c>
      <c r="CR14" s="3">
        <f>IFERROR(INDEX($B$28:$GQ$28,MATCH(95,$B$29:$GQ$29,0))/SUM($B$28:$GQ$28)*100,0)</f>
        <v>2.492830109170208E-2</v>
      </c>
      <c r="CS14" s="3">
        <f>IFERROR(INDEX($B$28:$GQ$28,MATCH(96,$B$29:$GQ$29,0))/SUM($B$28:$GQ$28)*100,0)</f>
        <v>2.1882713693368139E-2</v>
      </c>
      <c r="CT14" s="3">
        <f>IFERROR(INDEX($B$28:$GQ$28,MATCH(97,$B$29:$GQ$29,0))/SUM($B$28:$GQ$28)*100,0)</f>
        <v>2.1508710978657371E-2</v>
      </c>
      <c r="CU14" s="3">
        <f>IFERROR(INDEX($B$28:$GQ$28,MATCH(98,$B$29:$GQ$29,0))/SUM($B$28:$GQ$28)*100,0)</f>
        <v>1.8858246500976322E-2</v>
      </c>
      <c r="CV14" s="3">
        <f>IFERROR(INDEX($B$28:$GQ$28,MATCH(99,$B$29:$GQ$29,0))/SUM($B$28:$GQ$28)*100,0)</f>
        <v>1.8824097407148559E-2</v>
      </c>
      <c r="CW14" s="3">
        <f>IFERROR(INDEX($B$28:$GQ$28,MATCH(100,$B$29:$GQ$29,0))/SUM($B$28:$GQ$28)*100,0)</f>
        <v>1.8076872717019007E-2</v>
      </c>
      <c r="CX14" s="3">
        <f>IFERROR(INDEX($B$28:$GQ$28,MATCH(101,$B$29:$GQ$29,0))/SUM($B$28:$GQ$28)*100,0)</f>
        <v>1.7840361021576344E-2</v>
      </c>
      <c r="CY14" s="3">
        <f>IFERROR(INDEX($B$28:$GQ$28,MATCH(102,$B$29:$GQ$29,0))/SUM($B$28:$GQ$28)*100,0)</f>
        <v>1.7563326558412015E-2</v>
      </c>
      <c r="CZ14" s="3">
        <f>IFERROR(INDEX($B$28:$GQ$28,MATCH(103,$B$29:$GQ$29,0))/SUM($B$28:$GQ$28)*100,0)</f>
        <v>1.6434521273709951E-2</v>
      </c>
      <c r="DA14" s="3">
        <f>IFERROR(INDEX($B$28:$GQ$28,MATCH(104,$B$29:$GQ$29,0))/SUM($B$28:$GQ$28)*100,0)</f>
        <v>1.2297376363364513E-2</v>
      </c>
      <c r="DB14" s="3">
        <f>IFERROR(INDEX($B$28:$GQ$28,MATCH(105,$B$29:$GQ$29,0))/SUM($B$28:$GQ$28)*100,0)</f>
        <v>1.218643490149437E-2</v>
      </c>
      <c r="DC14" s="3">
        <f>IFERROR(INDEX($B$28:$GQ$28,MATCH(106,$B$29:$GQ$29,0))/SUM($B$28:$GQ$28)*100,0)</f>
        <v>1.1224502675373019E-2</v>
      </c>
      <c r="DD14" s="3">
        <f>IFERROR(INDEX($B$28:$GQ$28,MATCH(107,$B$29:$GQ$29,0))/SUM($B$28:$GQ$28)*100,0)</f>
        <v>9.8518980319297744E-3</v>
      </c>
      <c r="DE14" s="3">
        <f>IFERROR(INDEX($B$28:$GQ$28,MATCH(108,$B$29:$GQ$29,0))/SUM($B$28:$GQ$28)*100,0)</f>
        <v>9.3746393203969752E-3</v>
      </c>
      <c r="DF14" s="3">
        <f>IFERROR(INDEX($B$28:$GQ$28,MATCH(109,$B$29:$GQ$29,0))/SUM($B$28:$GQ$28)*100,0)</f>
        <v>3.86175696013352E-3</v>
      </c>
      <c r="DG14" s="3">
        <f>IFERROR(INDEX($B$28:$GQ$28,MATCH(110,$B$29:$GQ$29,0))/SUM($B$28:$GQ$28)*100,0)</f>
        <v>3.8100917313591588E-3</v>
      </c>
      <c r="DH14" s="3">
        <f>IFERROR(INDEX($B$28:$GQ$28,MATCH(111,$B$29:$GQ$29,0))/SUM($B$28:$GQ$28)*100,0)</f>
        <v>3.5102348737421581E-3</v>
      </c>
      <c r="DI14" s="3">
        <f>IFERROR(INDEX($B$28:$GQ$28,MATCH(112,$B$29:$GQ$29,0))/SUM($B$28:$GQ$28)*100,0)</f>
        <v>2.8642527162319074E-3</v>
      </c>
      <c r="DJ14" s="3">
        <f>IFERROR(INDEX($B$28:$GQ$28,MATCH(113,$B$29:$GQ$29,0))/SUM($B$28:$GQ$28)*100,0)</f>
        <v>2.2874242662016247E-3</v>
      </c>
      <c r="DK14" s="3">
        <f>IFERROR(INDEX($B$28:$GQ$28,MATCH(114,$B$29:$GQ$29,0))/SUM($B$28:$GQ$28)*100,0)</f>
        <v>1.8586861522566962E-3</v>
      </c>
      <c r="DL14" s="3">
        <f>IFERROR(INDEX($B$28:$GQ$28,MATCH(115,$B$29:$GQ$29,0))/SUM($B$28:$GQ$28)*100,0)</f>
        <v>1.5609563293154012E-3</v>
      </c>
      <c r="DM14" s="3">
        <f>IFERROR(INDEX($B$28:$GQ$28,MATCH(116,$B$29:$GQ$29,0))/SUM($B$28:$GQ$28)*100,0)</f>
        <v>1.4118580994560046E-3</v>
      </c>
      <c r="DN14" s="3">
        <f>IFERROR(INDEX($B$28:$GQ$28,MATCH(117,$B$29:$GQ$29,0))/SUM($B$28:$GQ$28)*100,0)</f>
        <v>1.1994237768657874E-3</v>
      </c>
      <c r="DO14" s="3">
        <f>IFERROR(INDEX($B$28:$GQ$28,MATCH(118,$B$29:$GQ$29,0))/SUM($B$28:$GQ$28)*100,0)</f>
        <v>1.0851135885492017E-3</v>
      </c>
      <c r="DP14" s="3">
        <f>IFERROR(INDEX($B$28:$GQ$28,MATCH(119,$B$29:$GQ$29,0))/SUM($B$28:$GQ$28)*100,0)</f>
        <v>1.0207181105717118E-3</v>
      </c>
      <c r="DQ14" s="3">
        <f>IFERROR(INDEX($B$28:$GQ$28,MATCH(120,$B$29:$GQ$29,0))/SUM($B$28:$GQ$28)*100,0)</f>
        <v>9.5079756217281608E-4</v>
      </c>
      <c r="DR14" s="3">
        <f>IFERROR(INDEX($B$28:$GQ$28,MATCH(121,$B$29:$GQ$29,0))/SUM($B$28:$GQ$28)*100,0)</f>
        <v>2.8571965963615758E-4</v>
      </c>
      <c r="DS14" s="3">
        <f>IFERROR(INDEX($B$28:$GQ$28,MATCH(122,$B$29:$GQ$29,0))/SUM($B$28:$GQ$28)*100,0)</f>
        <v>2.6098681552104436E-4</v>
      </c>
      <c r="DT14" s="3">
        <f>IFERROR(INDEX($B$28:$GQ$28,MATCH(123,$B$29:$GQ$29,0))/SUM($B$28:$GQ$28)*100,0)</f>
        <v>2.1919681016425386E-4</v>
      </c>
      <c r="DU14" s="3">
        <f>IFERROR(INDEX($B$28:$GQ$28,MATCH(124,$B$29:$GQ$29,0))/SUM($B$28:$GQ$28)*100,0)</f>
        <v>1.3481318239187996E-4</v>
      </c>
      <c r="DV14" s="3">
        <f>IFERROR(INDEX($B$28:$GQ$28,MATCH(125,$B$29:$GQ$29,0))/SUM($B$28:$GQ$28)*100,0)</f>
        <v>1.3025168409140606E-4</v>
      </c>
      <c r="DW14" s="3">
        <f>IFERROR(INDEX($B$28:$GQ$28,MATCH(126,$B$29:$GQ$29,0))/SUM($B$28:$GQ$28)*100,0)</f>
        <v>8.2458114286929884E-5</v>
      </c>
      <c r="DX14" s="3">
        <f>IFERROR(INDEX($B$28:$GQ$28,MATCH(127,$B$29:$GQ$29,0))/SUM($B$28:$GQ$28)*100,0)</f>
        <v>2.1307470396660861E-5</v>
      </c>
      <c r="DY14" s="3">
        <f>IFERROR(INDEX($B$28:$GQ$28,MATCH(128,$B$29:$GQ$29,0))/SUM($B$28:$GQ$28)*100,0)</f>
        <v>1.8524024557464197E-5</v>
      </c>
      <c r="DZ14" s="3">
        <f>IFERROR(INDEX($B$28:$GQ$28,MATCH(129,$B$29:$GQ$29,0))/SUM($B$28:$GQ$28)*100,0)</f>
        <v>1.5148941588165977E-5</v>
      </c>
      <c r="EA14" s="3">
        <f>IFERROR(INDEX($B$28:$GQ$28,MATCH(130,$B$29:$GQ$29,0))/SUM($B$28:$GQ$28)*100,0)</f>
        <v>8.2114094076109227E-7</v>
      </c>
      <c r="EB14" s="3">
        <f>IFERROR(INDEX($B$28:$GQ$28,MATCH(131,$B$29:$GQ$29,0))/SUM($B$28:$GQ$28)*100,0)</f>
        <v>2.5203487851410228E-7</v>
      </c>
      <c r="EC14" s="3">
        <f>IFERROR(INDEX($B$28:$GQ$28,MATCH(132,$B$29:$GQ$29,0))/SUM($B$28:$GQ$28)*100,0)</f>
        <v>2.3647216509973338E-8</v>
      </c>
      <c r="ED14" s="3">
        <f>IFERROR(INDEX($B$28:$GQ$28,MATCH(133,$B$29:$GQ$29,0))/SUM($B$28:$GQ$28)*100,0)</f>
        <v>0</v>
      </c>
      <c r="EE14" s="3">
        <f>IFERROR(INDEX($B$28:$GQ$28,MATCH(134,$B$29:$GQ$29,0))/SUM($B$28:$GQ$28)*100,0)</f>
        <v>0</v>
      </c>
      <c r="EF14" s="3">
        <f>IFERROR(INDEX($B$28:$GQ$28,MATCH(135,$B$29:$GQ$29,0))/SUM($B$28:$GQ$28)*100,0)</f>
        <v>0</v>
      </c>
      <c r="EG14" s="3">
        <f>IFERROR(INDEX($B$28:$GQ$28,MATCH(136,$B$29:$GQ$29,0))/SUM($B$28:$GQ$28)*100,0)</f>
        <v>0</v>
      </c>
      <c r="EH14" s="3">
        <f>IFERROR(INDEX($B$28:$GQ$28,MATCH(137,$B$29:$GQ$29,0))/SUM($B$28:$GQ$28)*100,0)</f>
        <v>0</v>
      </c>
      <c r="EI14" s="3">
        <f>IFERROR(INDEX($B$28:$GQ$28,MATCH(138,$B$29:$GQ$29,0))/SUM($B$28:$GQ$28)*100,0)</f>
        <v>0</v>
      </c>
      <c r="EJ14" s="3">
        <f>IFERROR(INDEX($B$28:$GQ$28,MATCH(139,$B$29:$GQ$29,0))/SUM($B$28:$GQ$28)*100,0)</f>
        <v>0</v>
      </c>
      <c r="EK14" s="3">
        <f>IFERROR(INDEX($B$28:$GQ$28,MATCH(140,$B$29:$GQ$29,0))/SUM($B$28:$GQ$28)*100,0)</f>
        <v>0</v>
      </c>
      <c r="EL14" s="3">
        <f>IFERROR(INDEX($B$28:$GQ$28,MATCH(141,$B$29:$GQ$29,0))/SUM($B$28:$GQ$28)*100,0)</f>
        <v>0</v>
      </c>
      <c r="EM14" s="3">
        <f>IFERROR(INDEX($B$28:$GQ$28,MATCH(142,$B$29:$GQ$29,0))/SUM($B$28:$GQ$28)*100,0)</f>
        <v>0</v>
      </c>
      <c r="EN14" s="3">
        <f>IFERROR(INDEX($B$28:$GQ$28,MATCH(143,$B$29:$GQ$29,0))/SUM($B$28:$GQ$28)*100,0)</f>
        <v>0</v>
      </c>
      <c r="EO14" s="3">
        <f>IFERROR(INDEX($B$28:$GQ$28,MATCH(144,$B$29:$GQ$29,0))/SUM($B$28:$GQ$28)*100,0)</f>
        <v>0</v>
      </c>
      <c r="EP14" s="3">
        <f>IFERROR(INDEX($B$28:$GQ$28,MATCH(145,$B$29:$GQ$29,0))/SUM($B$28:$GQ$28)*100,0)</f>
        <v>0</v>
      </c>
      <c r="EQ14" s="3">
        <f>IFERROR(INDEX($B$28:$GQ$28,MATCH(146,$B$29:$GQ$29,0))/SUM($B$28:$GQ$28)*100,0)</f>
        <v>0</v>
      </c>
      <c r="ER14" s="3">
        <f>IFERROR(INDEX($B$28:$GQ$28,MATCH(147,$B$29:$GQ$29,0))/SUM($B$28:$GQ$28)*100,0)</f>
        <v>0</v>
      </c>
      <c r="ES14" s="3">
        <f>IFERROR(INDEX($B$28:$GQ$28,MATCH(148,$B$29:$GQ$29,0))/SUM($B$28:$GQ$28)*100,0)</f>
        <v>0</v>
      </c>
      <c r="ET14" s="3">
        <f>IFERROR(INDEX($B$28:$GQ$28,MATCH(149,$B$29:$GQ$29,0))/SUM($B$28:$GQ$28)*100,0)</f>
        <v>0</v>
      </c>
      <c r="EU14" s="3">
        <f>IFERROR(INDEX($B$28:$GQ$28,MATCH(150,$B$29:$GQ$29,0))/SUM($B$28:$GQ$28)*100,0)</f>
        <v>0</v>
      </c>
      <c r="EV14" s="3">
        <f>IFERROR(INDEX($B$28:$GQ$28,MATCH(151,$B$29:$GQ$29,0))/SUM($B$28:$GQ$28)*100,0)</f>
        <v>0</v>
      </c>
      <c r="EW14" s="3">
        <f>IFERROR(INDEX($B$28:$GQ$28,MATCH(152,$B$29:$GQ$29,0))/SUM($B$28:$GQ$28)*100,0)</f>
        <v>0</v>
      </c>
      <c r="EX14" s="3">
        <f>IFERROR(INDEX($B$28:$GQ$28,MATCH(153,$B$29:$GQ$29,0))/SUM($B$28:$GQ$28)*100,0)</f>
        <v>0</v>
      </c>
      <c r="EY14" s="3">
        <f>IFERROR(INDEX($B$28:$GQ$28,MATCH(154,$B$29:$GQ$29,0))/SUM($B$28:$GQ$28)*100,0)</f>
        <v>0</v>
      </c>
      <c r="EZ14" s="3">
        <f>IFERROR(INDEX($B$28:$GQ$28,MATCH(155,$B$29:$GQ$29,0))/SUM($B$28:$GQ$28)*100,0)</f>
        <v>0</v>
      </c>
      <c r="FA14" s="3">
        <f>IFERROR(INDEX($B$28:$GQ$28,MATCH(156,$B$29:$GQ$29,0))/SUM($B$28:$GQ$28)*100,0)</f>
        <v>0</v>
      </c>
      <c r="FB14" s="3">
        <f>IFERROR(INDEX($B$28:$GQ$28,MATCH(157,$B$29:$GQ$29,0))/SUM($B$28:$GQ$28)*100,0)</f>
        <v>0</v>
      </c>
      <c r="FC14" s="3">
        <f>IFERROR(INDEX($B$28:$GQ$28,MATCH(158,$B$29:$GQ$29,0))/SUM($B$28:$GQ$28)*100,0)</f>
        <v>0</v>
      </c>
      <c r="FD14" s="3">
        <f>IFERROR(INDEX($B$28:$GQ$28,MATCH(159,$B$29:$GQ$29,0))/SUM($B$28:$GQ$28)*100,0)</f>
        <v>0</v>
      </c>
      <c r="FE14" s="3">
        <f>IFERROR(INDEX($B$28:$GQ$28,MATCH(160,$B$29:$GQ$29,0))/SUM($B$28:$GQ$28)*100,0)</f>
        <v>0</v>
      </c>
      <c r="FF14" s="3">
        <f>IFERROR(INDEX($B$28:$GQ$28,MATCH(161,$B$29:$GQ$29,0))/SUM($B$28:$GQ$28)*100,0)</f>
        <v>0</v>
      </c>
      <c r="FG14" s="3">
        <f>IFERROR(INDEX($B$28:$GQ$28,MATCH(162,$B$29:$GQ$29,0))/SUM($B$28:$GQ$28)*100,0)</f>
        <v>0</v>
      </c>
      <c r="FH14" s="3">
        <f>IFERROR(INDEX($B$28:$GQ$28,MATCH(163,$B$29:$GQ$29,0))/SUM($B$28:$GQ$28)*100,0)</f>
        <v>0</v>
      </c>
      <c r="FI14" s="3">
        <f>IFERROR(INDEX($B$28:$GQ$28,MATCH(164,$B$29:$GQ$29,0))/SUM($B$28:$GQ$28)*100,0)</f>
        <v>0</v>
      </c>
      <c r="FJ14" s="3">
        <f>IFERROR(INDEX($B$28:$GQ$28,MATCH(165,$B$29:$GQ$29,0))/SUM($B$28:$GQ$28)*100,0)</f>
        <v>0</v>
      </c>
      <c r="FK14" s="3">
        <f>IFERROR(INDEX($B$28:$GQ$28,MATCH(166,$B$29:$GQ$29,0))/SUM($B$28:$GQ$28)*100,0)</f>
        <v>0</v>
      </c>
      <c r="FL14" s="3">
        <f>IFERROR(INDEX($B$28:$GQ$28,MATCH(167,$B$29:$GQ$29,0))/SUM($B$28:$GQ$28)*100,0)</f>
        <v>0</v>
      </c>
      <c r="FM14" s="3">
        <f>IFERROR(INDEX($B$28:$GQ$28,MATCH(168,$B$29:$GQ$29,0))/SUM($B$28:$GQ$28)*100,0)</f>
        <v>0</v>
      </c>
      <c r="FN14" s="3">
        <f>IFERROR(INDEX($B$28:$GQ$28,MATCH(169,$B$29:$GQ$29,0))/SUM($B$28:$GQ$28)*100,0)</f>
        <v>0</v>
      </c>
      <c r="FO14" s="3">
        <f>IFERROR(INDEX($B$28:$GQ$28,MATCH(170,$B$29:$GQ$29,0))/SUM($B$28:$GQ$28)*100,0)</f>
        <v>0</v>
      </c>
      <c r="FP14" s="3">
        <f>IFERROR(INDEX($B$28:$GQ$28,MATCH(171,$B$29:$GQ$29,0))/SUM($B$28:$GQ$28)*100,0)</f>
        <v>0</v>
      </c>
      <c r="FQ14" s="3">
        <f>IFERROR(INDEX($B$28:$GQ$28,MATCH(172,$B$29:$GQ$29,0))/SUM($B$28:$GQ$28)*100,0)</f>
        <v>0</v>
      </c>
      <c r="FR14" s="3">
        <f>IFERROR(INDEX($B$28:$GQ$28,MATCH(173,$B$29:$GQ$29,0))/SUM($B$28:$GQ$28)*100,0)</f>
        <v>0</v>
      </c>
      <c r="FS14" s="3">
        <f>IFERROR(INDEX($B$28:$GQ$28,MATCH(174,$B$29:$GQ$29,0))/SUM($B$28:$GQ$28)*100,0)</f>
        <v>0</v>
      </c>
      <c r="FT14" s="3">
        <f>IFERROR(INDEX($B$28:$GQ$28,MATCH(175,$B$29:$GQ$29,0))/SUM($B$28:$GQ$28)*100,0)</f>
        <v>0</v>
      </c>
      <c r="FU14" s="3">
        <f>IFERROR(INDEX($B$28:$GQ$28,MATCH(176,$B$29:$GQ$29,0))/SUM($B$28:$GQ$28)*100,0)</f>
        <v>0</v>
      </c>
      <c r="FV14" s="3">
        <f>IFERROR(INDEX($B$28:$GQ$28,MATCH(177,$B$29:$GQ$29,0))/SUM($B$28:$GQ$28)*100,0)</f>
        <v>0</v>
      </c>
      <c r="FW14" s="3">
        <f>IFERROR(INDEX($B$28:$GQ$28,MATCH(178,$B$29:$GQ$29,0))/SUM($B$28:$GQ$28)*100,0)</f>
        <v>0</v>
      </c>
      <c r="FX14" s="3">
        <f>IFERROR(INDEX($B$28:$GQ$28,MATCH(179,$B$29:$GQ$29,0))/SUM($B$28:$GQ$28)*100,0)</f>
        <v>0</v>
      </c>
      <c r="FY14" s="3">
        <f>IFERROR(INDEX($B$28:$GQ$28,MATCH(180,$B$29:$GQ$29,0))/SUM($B$28:$GQ$28)*100,0)</f>
        <v>0</v>
      </c>
      <c r="FZ14" s="3">
        <f>IFERROR(INDEX($B$28:$GQ$28,MATCH(181,$B$29:$GQ$29,0))/SUM($B$28:$GQ$28)*100,0)</f>
        <v>0</v>
      </c>
      <c r="GA14" s="3">
        <f>IFERROR(INDEX($B$28:$GQ$28,MATCH(182,$B$29:$GQ$29,0))/SUM($B$28:$GQ$28)*100,0)</f>
        <v>0</v>
      </c>
      <c r="GB14" s="3">
        <f>IFERROR(INDEX($B$28:$GQ$28,MATCH(183,$B$29:$GQ$29,0))/SUM($B$28:$GQ$28)*100,0)</f>
        <v>0</v>
      </c>
      <c r="GC14" s="3">
        <f>IFERROR(INDEX($B$28:$GQ$28,MATCH(184,$B$29:$GQ$29,0))/SUM($B$28:$GQ$28)*100,0)</f>
        <v>0</v>
      </c>
      <c r="GD14" s="3">
        <f>IFERROR(INDEX($B$28:$GQ$28,MATCH(185,$B$29:$GQ$29,0))/SUM($B$28:$GQ$28)*100,0)</f>
        <v>0</v>
      </c>
      <c r="GE14" s="3">
        <f>IFERROR(INDEX($B$28:$GQ$28,MATCH(186,$B$29:$GQ$29,0))/SUM($B$28:$GQ$28)*100,0)</f>
        <v>0</v>
      </c>
      <c r="GF14" s="3">
        <f>IFERROR(INDEX($B$28:$GQ$28,MATCH(187,$B$29:$GQ$29,0))/SUM($B$28:$GQ$28)*100,0)</f>
        <v>0</v>
      </c>
      <c r="GG14" s="3">
        <f>IFERROR(INDEX($B$28:$GQ$28,MATCH(188,$B$29:$GQ$29,0))/SUM($B$28:$GQ$28)*100,0)</f>
        <v>0</v>
      </c>
      <c r="GH14" s="3">
        <f>IFERROR(INDEX($B$28:$GQ$28,MATCH(189,$B$29:$GQ$29,0))/SUM($B$28:$GQ$28)*100,0)</f>
        <v>0</v>
      </c>
      <c r="GI14" s="3">
        <f>IFERROR(INDEX($B$28:$GQ$28,MATCH(190,$B$29:$GQ$29,0))/SUM($B$28:$GQ$28)*100,0)</f>
        <v>0</v>
      </c>
      <c r="GJ14" s="3">
        <f>IFERROR(INDEX($B$28:$GQ$28,MATCH(191,$B$29:$GQ$29,0))/SUM($B$28:$GQ$28)*100,0)</f>
        <v>0</v>
      </c>
      <c r="GK14" s="3">
        <f>IFERROR(INDEX($B$28:$GQ$28,MATCH(192,$B$29:$GQ$29,0))/SUM($B$28:$GQ$28)*100,0)</f>
        <v>0</v>
      </c>
      <c r="GL14" s="3">
        <f>IFERROR(INDEX($B$28:$GQ$28,MATCH(193,$B$29:$GQ$29,0))/SUM($B$28:$GQ$28)*100,0)</f>
        <v>0</v>
      </c>
      <c r="GM14" s="3">
        <f>IFERROR(INDEX($B$28:$GQ$28,MATCH(194,$B$29:$GQ$29,0))/SUM($B$28:$GQ$28)*100,0)</f>
        <v>0</v>
      </c>
      <c r="GN14" s="3">
        <f>IFERROR(INDEX($B$28:$GQ$28,MATCH(195,$B$29:$GQ$29,0))/SUM($B$28:$GQ$28)*100,0)</f>
        <v>0</v>
      </c>
      <c r="GO14" s="3">
        <f>IFERROR(INDEX($B$28:$GQ$28,MATCH(196,$B$29:$GQ$29,0))/SUM($B$28:$GQ$28)*100,0)</f>
        <v>0</v>
      </c>
      <c r="GP14" s="3">
        <f>IFERROR(INDEX($B$28:$GQ$28,MATCH(197,$B$29:$GQ$29,0))/SUM($B$28:$GQ$28)*100,0)</f>
        <v>0</v>
      </c>
      <c r="GQ14" s="3">
        <f>IFERROR(INDEX($B$28:$GQ$28,MATCH(198,$B$29:$GQ$29,0))/SUM($B$28:$GQ$28)*100,0)</f>
        <v>0</v>
      </c>
      <c r="GR14" s="3">
        <f>IFERROR(INDEX($GR$28:$HC$28,MATCH(1,$GR$30:$HC$30,0))/SUM($GR$28:$HC$28)*100,0)</f>
        <v>23.436914905719352</v>
      </c>
      <c r="GS14" s="3">
        <f>IFERROR(INDEX($GR$28:$HC$28,MATCH(2,$GR$30:$HC$30,0))/SUM($GR$28:$HC$28)*100,0)</f>
        <v>21.787731208209316</v>
      </c>
      <c r="GT14" s="3">
        <f>IFERROR(INDEX($GR$28:$HC$28,MATCH(3,$GR$30:$HC$30,0))/SUM($GR$28:$HC$28)*100,0)</f>
        <v>18.279871147064085</v>
      </c>
      <c r="GU14" s="3">
        <f>IFERROR(INDEX($GR$28:$HC$28,MATCH(4,$GR$30:$HC$30,0))/SUM($GR$28:$HC$28)*100,0)</f>
        <v>15.340127039753277</v>
      </c>
      <c r="GV14" s="3">
        <f>IFERROR(INDEX($GR$28:$HC$28,MATCH(5,$GR$30:$HC$30,0))/SUM($GR$28:$HC$28)*100,0)</f>
        <v>4.1631619460036422</v>
      </c>
      <c r="GW14" s="3">
        <f>IFERROR(INDEX($GR$28:$HC$28,MATCH(6,$GR$30:$HC$30,0))/SUM($GR$28:$HC$28)*100,0)</f>
        <v>4.0712421781863881</v>
      </c>
      <c r="GX14" s="3">
        <f>IFERROR(INDEX($GR$28:$HC$28,MATCH(7,$GR$30:$HC$30,0))/SUM($GR$28:$HC$28)*100,0)</f>
        <v>3.0844383881065887</v>
      </c>
      <c r="GY14" s="3">
        <f>IFERROR(INDEX($GR$28:$HC$28,MATCH(8,$GR$30:$HC$30,0))/SUM($GR$28:$HC$28)*100,0)</f>
        <v>2.8115125513853334</v>
      </c>
      <c r="GZ14" s="3">
        <f>IFERROR(INDEX($GR$28:$HC$28,MATCH(9,$GR$30:$HC$30,0))/SUM($GR$28:$HC$28)*100,0)</f>
        <v>2.6059754740935976</v>
      </c>
      <c r="HA14" s="3">
        <f>IFERROR(INDEX($GR$28:$HC$28,MATCH(10,$GR$30:$HC$30,0))/SUM($GR$28:$HC$28)*100,0)</f>
        <v>2.1610124710184393</v>
      </c>
      <c r="HB14" s="3">
        <f>IFERROR(INDEX($GR$28:$HC$28,MATCH(11,$GR$30:$HC$30,0))/SUM($GR$28:$HC$28)*100,0)</f>
        <v>1.6483995782920022</v>
      </c>
      <c r="HC14" s="3">
        <f>IFERROR(INDEX($GR$28:$HC$28,MATCH(12,$GR$30:$HC$30,0))/SUM($GR$28:$HC$28)*100,0)</f>
        <v>0.6096131121679671</v>
      </c>
    </row>
    <row r="16" spans="1:211" x14ac:dyDescent="0.45">
      <c r="A16" s="1" t="s">
        <v>12</v>
      </c>
    </row>
    <row r="17" spans="1:211" x14ac:dyDescent="0.45">
      <c r="A17" s="1" t="s">
        <v>227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19</v>
      </c>
      <c r="I17" s="1" t="s">
        <v>20</v>
      </c>
      <c r="J17" s="1" t="s">
        <v>21</v>
      </c>
      <c r="K17" s="1" t="s">
        <v>22</v>
      </c>
      <c r="L17" s="1" t="s">
        <v>23</v>
      </c>
      <c r="M17" s="1" t="s">
        <v>24</v>
      </c>
      <c r="N17" s="1" t="s">
        <v>25</v>
      </c>
      <c r="O17" s="1" t="s">
        <v>26</v>
      </c>
      <c r="P17" s="1" t="s">
        <v>27</v>
      </c>
      <c r="Q17" s="1" t="s">
        <v>28</v>
      </c>
      <c r="R17" s="1" t="s">
        <v>29</v>
      </c>
      <c r="S17" s="1" t="s">
        <v>30</v>
      </c>
      <c r="T17" s="1" t="s">
        <v>31</v>
      </c>
      <c r="U17" s="1" t="s">
        <v>32</v>
      </c>
      <c r="V17" s="1" t="s">
        <v>33</v>
      </c>
      <c r="W17" s="1" t="s">
        <v>34</v>
      </c>
      <c r="X17" s="1" t="s">
        <v>35</v>
      </c>
      <c r="Y17" s="1" t="s">
        <v>36</v>
      </c>
      <c r="Z17" s="1" t="s">
        <v>37</v>
      </c>
      <c r="AA17" s="1" t="s">
        <v>38</v>
      </c>
      <c r="AB17" s="1" t="s">
        <v>39</v>
      </c>
      <c r="AC17" s="1" t="s">
        <v>40</v>
      </c>
      <c r="AD17" s="1" t="s">
        <v>41</v>
      </c>
      <c r="AE17" s="1" t="s">
        <v>42</v>
      </c>
      <c r="AF17" s="1" t="s">
        <v>43</v>
      </c>
      <c r="AG17" s="1" t="s">
        <v>44</v>
      </c>
      <c r="AH17" s="1" t="s">
        <v>45</v>
      </c>
      <c r="AI17" s="1" t="s">
        <v>46</v>
      </c>
      <c r="AJ17" s="1" t="s">
        <v>47</v>
      </c>
      <c r="AK17" s="1" t="s">
        <v>48</v>
      </c>
      <c r="AL17" s="1" t="s">
        <v>49</v>
      </c>
      <c r="AM17" s="1" t="s">
        <v>50</v>
      </c>
      <c r="AN17" s="1" t="s">
        <v>51</v>
      </c>
      <c r="AO17" s="1" t="s">
        <v>52</v>
      </c>
      <c r="AP17" s="1" t="s">
        <v>53</v>
      </c>
      <c r="AQ17" s="1" t="s">
        <v>54</v>
      </c>
      <c r="AR17" s="1" t="s">
        <v>55</v>
      </c>
      <c r="AS17" s="1" t="s">
        <v>56</v>
      </c>
      <c r="AT17" s="1" t="s">
        <v>57</v>
      </c>
      <c r="AU17" s="1" t="s">
        <v>58</v>
      </c>
      <c r="AV17" s="1" t="s">
        <v>59</v>
      </c>
      <c r="AW17" s="1" t="s">
        <v>60</v>
      </c>
      <c r="AX17" s="1" t="s">
        <v>61</v>
      </c>
      <c r="AY17" s="1" t="s">
        <v>62</v>
      </c>
      <c r="AZ17" s="1" t="s">
        <v>63</v>
      </c>
      <c r="BA17" s="1" t="s">
        <v>64</v>
      </c>
      <c r="BB17" s="1" t="s">
        <v>65</v>
      </c>
      <c r="BC17" s="1" t="s">
        <v>66</v>
      </c>
      <c r="BD17" s="1" t="s">
        <v>67</v>
      </c>
      <c r="BE17" s="1" t="s">
        <v>68</v>
      </c>
      <c r="BF17" s="1" t="s">
        <v>69</v>
      </c>
      <c r="BG17" s="1" t="s">
        <v>70</v>
      </c>
      <c r="BH17" s="1" t="s">
        <v>71</v>
      </c>
      <c r="BI17" s="1" t="s">
        <v>72</v>
      </c>
      <c r="BJ17" s="1" t="s">
        <v>73</v>
      </c>
      <c r="BK17" s="1" t="s">
        <v>74</v>
      </c>
      <c r="BL17" s="1" t="s">
        <v>75</v>
      </c>
      <c r="BM17" s="1" t="s">
        <v>76</v>
      </c>
      <c r="BN17" s="1" t="s">
        <v>77</v>
      </c>
      <c r="BO17" s="1" t="s">
        <v>78</v>
      </c>
      <c r="BP17" s="1" t="s">
        <v>79</v>
      </c>
      <c r="BQ17" s="1" t="s">
        <v>80</v>
      </c>
      <c r="BR17" s="1" t="s">
        <v>81</v>
      </c>
      <c r="BS17" s="1" t="s">
        <v>82</v>
      </c>
      <c r="BT17" s="1" t="s">
        <v>83</v>
      </c>
      <c r="BU17" s="1" t="s">
        <v>84</v>
      </c>
      <c r="BV17" s="1" t="s">
        <v>85</v>
      </c>
      <c r="BW17" s="1" t="s">
        <v>86</v>
      </c>
      <c r="BX17" s="1" t="s">
        <v>87</v>
      </c>
      <c r="BY17" s="1" t="s">
        <v>88</v>
      </c>
      <c r="BZ17" s="1" t="s">
        <v>89</v>
      </c>
      <c r="CA17" s="1" t="s">
        <v>90</v>
      </c>
      <c r="CB17" s="1" t="s">
        <v>91</v>
      </c>
      <c r="CC17" s="1" t="s">
        <v>92</v>
      </c>
      <c r="CD17" s="1" t="s">
        <v>93</v>
      </c>
      <c r="CE17" s="1" t="s">
        <v>94</v>
      </c>
      <c r="CF17" s="1" t="s">
        <v>95</v>
      </c>
      <c r="CG17" s="1" t="s">
        <v>96</v>
      </c>
      <c r="CH17" s="1" t="s">
        <v>97</v>
      </c>
      <c r="CI17" s="1" t="s">
        <v>98</v>
      </c>
      <c r="CJ17" s="1" t="s">
        <v>99</v>
      </c>
      <c r="CK17" s="1" t="s">
        <v>100</v>
      </c>
      <c r="CL17" s="1" t="s">
        <v>101</v>
      </c>
      <c r="CM17" s="1" t="s">
        <v>102</v>
      </c>
      <c r="CN17" s="1" t="s">
        <v>103</v>
      </c>
      <c r="CO17" s="1" t="s">
        <v>104</v>
      </c>
      <c r="CP17" s="1" t="s">
        <v>105</v>
      </c>
      <c r="CQ17" s="1" t="s">
        <v>106</v>
      </c>
      <c r="CR17" s="1" t="s">
        <v>107</v>
      </c>
      <c r="CS17" s="1" t="s">
        <v>108</v>
      </c>
      <c r="CT17" s="1" t="s">
        <v>109</v>
      </c>
      <c r="CU17" s="1" t="s">
        <v>110</v>
      </c>
      <c r="CV17" s="1" t="s">
        <v>111</v>
      </c>
      <c r="CW17" s="1" t="s">
        <v>112</v>
      </c>
      <c r="CX17" s="1" t="s">
        <v>113</v>
      </c>
      <c r="CY17" s="1" t="s">
        <v>114</v>
      </c>
      <c r="CZ17" s="1" t="s">
        <v>115</v>
      </c>
      <c r="DA17" s="1" t="s">
        <v>116</v>
      </c>
      <c r="DB17" s="1" t="s">
        <v>117</v>
      </c>
      <c r="DC17" s="1" t="s">
        <v>118</v>
      </c>
      <c r="DD17" s="1" t="s">
        <v>119</v>
      </c>
      <c r="DE17" s="1" t="s">
        <v>120</v>
      </c>
      <c r="DF17" s="1" t="s">
        <v>121</v>
      </c>
      <c r="DG17" s="1" t="s">
        <v>122</v>
      </c>
      <c r="DH17" s="1" t="s">
        <v>123</v>
      </c>
      <c r="DI17" s="1" t="s">
        <v>124</v>
      </c>
      <c r="DJ17" s="1" t="s">
        <v>125</v>
      </c>
      <c r="DK17" s="1" t="s">
        <v>126</v>
      </c>
      <c r="DL17" s="1" t="s">
        <v>127</v>
      </c>
      <c r="DM17" s="1" t="s">
        <v>128</v>
      </c>
      <c r="DN17" s="1" t="s">
        <v>129</v>
      </c>
      <c r="DO17" s="1" t="s">
        <v>130</v>
      </c>
      <c r="DP17" s="1" t="s">
        <v>131</v>
      </c>
      <c r="DQ17" s="1" t="s">
        <v>132</v>
      </c>
      <c r="DR17" s="1" t="s">
        <v>133</v>
      </c>
      <c r="DS17" s="1" t="s">
        <v>134</v>
      </c>
      <c r="DT17" s="1" t="s">
        <v>135</v>
      </c>
      <c r="DU17" s="1" t="s">
        <v>136</v>
      </c>
      <c r="DV17" s="1" t="s">
        <v>137</v>
      </c>
      <c r="DW17" s="1" t="s">
        <v>138</v>
      </c>
      <c r="DX17" s="1" t="s">
        <v>139</v>
      </c>
      <c r="DY17" s="1" t="s">
        <v>140</v>
      </c>
      <c r="DZ17" s="1" t="s">
        <v>141</v>
      </c>
      <c r="EA17" s="1" t="s">
        <v>142</v>
      </c>
      <c r="EB17" s="1" t="s">
        <v>143</v>
      </c>
      <c r="EC17" s="1" t="s">
        <v>144</v>
      </c>
      <c r="ED17" s="1" t="s">
        <v>145</v>
      </c>
      <c r="EE17" s="1" t="s">
        <v>146</v>
      </c>
      <c r="EF17" s="1" t="s">
        <v>147</v>
      </c>
      <c r="EG17" s="1" t="s">
        <v>148</v>
      </c>
      <c r="EH17" s="1" t="s">
        <v>149</v>
      </c>
      <c r="EI17" s="1" t="s">
        <v>150</v>
      </c>
      <c r="EJ17" s="1" t="s">
        <v>151</v>
      </c>
      <c r="EK17" s="1" t="s">
        <v>152</v>
      </c>
      <c r="EL17" s="1" t="s">
        <v>153</v>
      </c>
      <c r="EM17" s="1" t="s">
        <v>154</v>
      </c>
      <c r="EN17" s="1" t="s">
        <v>155</v>
      </c>
      <c r="EO17" s="1" t="s">
        <v>156</v>
      </c>
      <c r="EP17" s="1" t="s">
        <v>157</v>
      </c>
      <c r="EQ17" s="1" t="s">
        <v>158</v>
      </c>
      <c r="ER17" s="1" t="s">
        <v>159</v>
      </c>
      <c r="ES17" s="1" t="s">
        <v>160</v>
      </c>
      <c r="ET17" s="1" t="s">
        <v>161</v>
      </c>
      <c r="EU17" s="1" t="s">
        <v>162</v>
      </c>
      <c r="EV17" s="1" t="s">
        <v>163</v>
      </c>
      <c r="EW17" s="1" t="s">
        <v>164</v>
      </c>
      <c r="EX17" s="1" t="s">
        <v>165</v>
      </c>
      <c r="EY17" s="1" t="s">
        <v>166</v>
      </c>
      <c r="EZ17" s="1" t="s">
        <v>167</v>
      </c>
      <c r="FA17" s="1" t="s">
        <v>168</v>
      </c>
      <c r="FB17" s="1" t="s">
        <v>169</v>
      </c>
      <c r="FC17" s="1" t="s">
        <v>170</v>
      </c>
      <c r="FD17" s="1" t="s">
        <v>171</v>
      </c>
      <c r="FE17" s="1" t="s">
        <v>172</v>
      </c>
      <c r="FF17" s="1" t="s">
        <v>173</v>
      </c>
      <c r="FG17" s="1" t="s">
        <v>174</v>
      </c>
      <c r="FH17" s="1" t="s">
        <v>175</v>
      </c>
      <c r="FI17" s="1" t="s">
        <v>176</v>
      </c>
      <c r="FJ17" s="1" t="s">
        <v>177</v>
      </c>
      <c r="FK17" s="1" t="s">
        <v>178</v>
      </c>
      <c r="FL17" s="1" t="s">
        <v>179</v>
      </c>
      <c r="FM17" s="1" t="s">
        <v>180</v>
      </c>
      <c r="FN17" s="1" t="s">
        <v>181</v>
      </c>
      <c r="FO17" s="1" t="s">
        <v>182</v>
      </c>
      <c r="FP17" s="1" t="s">
        <v>183</v>
      </c>
      <c r="FQ17" s="1" t="s">
        <v>184</v>
      </c>
      <c r="FR17" s="1" t="s">
        <v>185</v>
      </c>
      <c r="FS17" s="1" t="s">
        <v>186</v>
      </c>
      <c r="FT17" s="1" t="s">
        <v>187</v>
      </c>
      <c r="FU17" s="1" t="s">
        <v>188</v>
      </c>
      <c r="FV17" s="1" t="s">
        <v>189</v>
      </c>
      <c r="FW17" s="1" t="s">
        <v>190</v>
      </c>
      <c r="FX17" s="1" t="s">
        <v>191</v>
      </c>
      <c r="FY17" s="1" t="s">
        <v>192</v>
      </c>
      <c r="FZ17" s="1" t="s">
        <v>193</v>
      </c>
      <c r="GA17" s="1" t="s">
        <v>194</v>
      </c>
      <c r="GB17" s="1" t="s">
        <v>195</v>
      </c>
      <c r="GC17" s="1" t="s">
        <v>196</v>
      </c>
      <c r="GD17" s="1" t="s">
        <v>197</v>
      </c>
      <c r="GE17" s="1" t="s">
        <v>198</v>
      </c>
      <c r="GF17" s="1" t="s">
        <v>199</v>
      </c>
      <c r="GG17" s="1" t="s">
        <v>200</v>
      </c>
      <c r="GH17" s="1" t="s">
        <v>201</v>
      </c>
      <c r="GI17" s="1" t="s">
        <v>202</v>
      </c>
      <c r="GJ17" s="1" t="s">
        <v>203</v>
      </c>
      <c r="GK17" s="1" t="s">
        <v>204</v>
      </c>
      <c r="GL17" s="1" t="s">
        <v>205</v>
      </c>
      <c r="GM17" s="1" t="s">
        <v>206</v>
      </c>
      <c r="GN17" s="1" t="s">
        <v>207</v>
      </c>
      <c r="GO17" s="1" t="s">
        <v>208</v>
      </c>
      <c r="GP17" s="1" t="s">
        <v>209</v>
      </c>
      <c r="GQ17" s="1" t="s">
        <v>210</v>
      </c>
      <c r="GR17" s="1" t="s">
        <v>211</v>
      </c>
      <c r="GS17" s="1" t="s">
        <v>21</v>
      </c>
      <c r="GT17" s="1" t="s">
        <v>212</v>
      </c>
      <c r="GU17" s="1" t="s">
        <v>213</v>
      </c>
      <c r="GV17" s="1" t="s">
        <v>60</v>
      </c>
      <c r="GW17" s="1" t="s">
        <v>214</v>
      </c>
      <c r="GX17" s="1" t="s">
        <v>215</v>
      </c>
      <c r="GY17" s="1" t="s">
        <v>216</v>
      </c>
      <c r="GZ17" s="1" t="s">
        <v>217</v>
      </c>
      <c r="HA17" s="1" t="s">
        <v>218</v>
      </c>
      <c r="HB17" s="1" t="s">
        <v>219</v>
      </c>
      <c r="HC17" s="1" t="s">
        <v>220</v>
      </c>
    </row>
    <row r="18" spans="1:211" x14ac:dyDescent="0.45">
      <c r="A18" s="1" t="s">
        <v>3</v>
      </c>
      <c r="B18">
        <v>8.4196879275713117E-5</v>
      </c>
      <c r="C18">
        <v>6.8603189392792065E-5</v>
      </c>
      <c r="D18">
        <v>4.0328169717427643E-5</v>
      </c>
      <c r="E18">
        <v>1.301952403134604E-4</v>
      </c>
      <c r="F18">
        <v>1.114008559473893E-4</v>
      </c>
      <c r="G18">
        <v>5.4193873908036576E-6</v>
      </c>
      <c r="H18">
        <v>4.2071690545818177E-5</v>
      </c>
      <c r="I18">
        <v>7.7082807273814465E-6</v>
      </c>
      <c r="J18">
        <v>2.243562887686054E-4</v>
      </c>
      <c r="K18">
        <v>1.9959606455645211E-4</v>
      </c>
      <c r="L18">
        <v>1.8673546621537281E-4</v>
      </c>
      <c r="M18">
        <v>1.663104093002127E-4</v>
      </c>
      <c r="N18">
        <v>2.136387368599757E-4</v>
      </c>
      <c r="O18">
        <v>2.4230891470347941E-4</v>
      </c>
      <c r="P18">
        <v>2.7779744862380432E-3</v>
      </c>
      <c r="Q18">
        <v>0</v>
      </c>
      <c r="R18">
        <v>0</v>
      </c>
      <c r="S18">
        <v>3.2647386524976503E-5</v>
      </c>
      <c r="T18">
        <v>1.025437769055104E-3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2.7577962146100113E-4</v>
      </c>
      <c r="AD18">
        <v>9.7821131345142854E-3</v>
      </c>
      <c r="AE18">
        <v>4.8271973766690348E-5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3.7409209900778793E-5</v>
      </c>
      <c r="AO18">
        <v>3.3385126010562112E-5</v>
      </c>
      <c r="AP18">
        <v>9.161067088975594E-7</v>
      </c>
      <c r="AQ18">
        <v>1.772600638783153E-5</v>
      </c>
      <c r="AR18">
        <v>1.9810320209852629E-4</v>
      </c>
      <c r="AS18">
        <v>1.162851788018796E-4</v>
      </c>
      <c r="AT18">
        <v>1.5203485056921399E-4</v>
      </c>
      <c r="AU18">
        <v>1.9992289382867701E-4</v>
      </c>
      <c r="AV18">
        <v>9.0631608265479482E-5</v>
      </c>
      <c r="AW18">
        <v>1.889138580246378E-4</v>
      </c>
      <c r="AX18">
        <v>3.9608359552577982E-5</v>
      </c>
      <c r="AY18">
        <v>7.7316630805352089E-5</v>
      </c>
      <c r="AZ18">
        <v>1.5663454509063301E-4</v>
      </c>
      <c r="BA18">
        <v>1.5800627365510119E-4</v>
      </c>
      <c r="BB18">
        <v>1.7711003911079359E-4</v>
      </c>
      <c r="BC18">
        <v>1.213451594553805E-4</v>
      </c>
      <c r="BD18">
        <v>1.6391801457190411E-4</v>
      </c>
      <c r="BE18">
        <v>1.185318123348231E-4</v>
      </c>
      <c r="BF18">
        <v>1.532460026965968E-4</v>
      </c>
      <c r="BG18">
        <v>1.2793746374684589E-4</v>
      </c>
      <c r="BH18">
        <v>1.235124778783384E-4</v>
      </c>
      <c r="BI18">
        <v>1.3104010065448141E-4</v>
      </c>
      <c r="BJ18">
        <v>1.2171984101168289E-4</v>
      </c>
      <c r="BK18">
        <v>1.9779372167304311E-4</v>
      </c>
      <c r="BL18">
        <v>9.1615820511428545E-5</v>
      </c>
      <c r="BM18">
        <v>2.8750756911328751E-5</v>
      </c>
      <c r="BN18">
        <v>0</v>
      </c>
      <c r="BO18">
        <v>6.4460770643565363E-4</v>
      </c>
      <c r="BP18">
        <v>1.328352770171248E-3</v>
      </c>
      <c r="BQ18">
        <v>0</v>
      </c>
      <c r="BR18">
        <v>0</v>
      </c>
      <c r="BS18">
        <v>3.4237548037361232E-4</v>
      </c>
      <c r="BT18">
        <v>0</v>
      </c>
      <c r="BU18">
        <v>5.9233363415441573E-4</v>
      </c>
      <c r="BV18">
        <v>2.0439726686912501E-4</v>
      </c>
      <c r="BW18">
        <v>1.7434750612769179E-6</v>
      </c>
      <c r="BX18">
        <v>3.4704903008283411E-4</v>
      </c>
      <c r="BY18">
        <v>3.3278302997267551E-4</v>
      </c>
      <c r="BZ18">
        <v>0</v>
      </c>
      <c r="CA18">
        <v>1.8280498632719931E-4</v>
      </c>
      <c r="CB18">
        <v>3.7411233341993322E-4</v>
      </c>
      <c r="CC18">
        <v>6.3235528591992622E-4</v>
      </c>
      <c r="CD18">
        <v>6.9168463830608144E-5</v>
      </c>
      <c r="CE18">
        <v>7.7064601340501326E-5</v>
      </c>
      <c r="CF18">
        <v>1.159363395308736E-4</v>
      </c>
      <c r="CG18">
        <v>7.3783363690643568E-5</v>
      </c>
      <c r="CH18">
        <v>7.6839087509287416E-7</v>
      </c>
      <c r="CI18">
        <v>2.1108416760602251E-4</v>
      </c>
      <c r="CJ18">
        <v>1.5650970388666869E-4</v>
      </c>
      <c r="CK18">
        <v>1.712737606847269E-4</v>
      </c>
      <c r="CL18">
        <v>1.3341474056419801E-4</v>
      </c>
      <c r="CM18">
        <v>1.9871924270324881E-4</v>
      </c>
      <c r="CN18">
        <v>0</v>
      </c>
      <c r="CO18">
        <v>4.2978314494962598E-5</v>
      </c>
      <c r="CP18">
        <v>8.1301835780710237E-5</v>
      </c>
      <c r="CQ18">
        <v>3.3725662653732681E-5</v>
      </c>
      <c r="CR18">
        <v>0</v>
      </c>
      <c r="CS18">
        <v>1.419452177395696E-4</v>
      </c>
      <c r="CT18">
        <v>1.177747845586118E-4</v>
      </c>
      <c r="CU18">
        <v>1.64707064202098E-4</v>
      </c>
      <c r="CV18">
        <v>1.5239738293245931E-4</v>
      </c>
      <c r="CW18">
        <v>1.698433972263166E-4</v>
      </c>
      <c r="CX18">
        <v>1.375402156115161E-4</v>
      </c>
      <c r="CY18">
        <v>1.498725551070431E-4</v>
      </c>
      <c r="CZ18">
        <v>2.309094266264623E-4</v>
      </c>
      <c r="DA18">
        <v>1.644678887399236E-4</v>
      </c>
      <c r="DB18">
        <v>2.4067256729969289E-4</v>
      </c>
      <c r="DC18">
        <v>0</v>
      </c>
      <c r="DD18">
        <v>2.3394659333139889E-4</v>
      </c>
      <c r="DE18">
        <v>2.4623258409966071E-4</v>
      </c>
      <c r="DF18">
        <v>2.9088201112309622E-4</v>
      </c>
      <c r="DG18">
        <v>3.5255151780492848E-4</v>
      </c>
      <c r="DH18">
        <v>3.6374125743521101E-4</v>
      </c>
      <c r="DI18">
        <v>0</v>
      </c>
      <c r="DJ18">
        <v>1.9051800481939961E-4</v>
      </c>
      <c r="DK18">
        <v>0</v>
      </c>
      <c r="DL18">
        <v>2.065243906637767E-4</v>
      </c>
      <c r="DM18">
        <v>1.966957330558599E-4</v>
      </c>
      <c r="DN18">
        <v>1.5886671635288721E-4</v>
      </c>
      <c r="DO18">
        <v>1.3029890238010301E-4</v>
      </c>
      <c r="DP18">
        <v>1.468577597604323E-4</v>
      </c>
      <c r="DQ18">
        <v>1.3142963973966119E-4</v>
      </c>
      <c r="DR18">
        <v>1.135860549834162E-4</v>
      </c>
      <c r="DS18">
        <v>1.8344939347163551E-4</v>
      </c>
      <c r="DT18">
        <v>1.5949008996659511E-4</v>
      </c>
      <c r="DU18">
        <v>1.4214911317658279E-4</v>
      </c>
      <c r="DV18">
        <v>0</v>
      </c>
      <c r="DW18">
        <v>0</v>
      </c>
      <c r="DX18">
        <v>2.6030434262787109E-3</v>
      </c>
      <c r="DY18">
        <v>1.7628702537578E-4</v>
      </c>
      <c r="DZ18">
        <v>1.2772290581958021E-4</v>
      </c>
      <c r="EA18">
        <v>1.5161696789716791E-4</v>
      </c>
      <c r="EB18">
        <v>7.664811352790286E-5</v>
      </c>
      <c r="EC18">
        <v>8.4164961912880246E-4</v>
      </c>
      <c r="ED18">
        <v>1.218284928526998E-4</v>
      </c>
      <c r="EE18">
        <v>1.832188569925897E-5</v>
      </c>
      <c r="EF18">
        <v>0</v>
      </c>
      <c r="EG18">
        <v>1.946819135970664E-4</v>
      </c>
      <c r="EH18">
        <v>0</v>
      </c>
      <c r="EI18">
        <v>0</v>
      </c>
      <c r="EJ18">
        <v>5.1656875990432598E-5</v>
      </c>
      <c r="EK18">
        <v>4.8051707027047468E-5</v>
      </c>
      <c r="EL18">
        <v>1.5744686618270521E-5</v>
      </c>
      <c r="EM18">
        <v>3.2292587058378182E-5</v>
      </c>
      <c r="EN18">
        <v>2.7324922498198918E-12</v>
      </c>
      <c r="EO18">
        <v>0</v>
      </c>
      <c r="EP18">
        <v>6.6977381193468683E-5</v>
      </c>
      <c r="EQ18">
        <v>1.44440867703932E-4</v>
      </c>
      <c r="ER18">
        <v>8.8215967934977791E-4</v>
      </c>
      <c r="ES18">
        <v>8.8683553126949033E-5</v>
      </c>
      <c r="ET18">
        <v>1.3185825115137411E-4</v>
      </c>
      <c r="EU18">
        <v>0</v>
      </c>
      <c r="EV18">
        <v>4.2592638913179031E-5</v>
      </c>
      <c r="EW18">
        <v>1.581907635509267E-4</v>
      </c>
      <c r="EX18">
        <v>5.5899291658404623E-5</v>
      </c>
      <c r="EY18">
        <v>5.7064345876298171E-5</v>
      </c>
      <c r="EZ18">
        <v>5.5585605925459158E-5</v>
      </c>
      <c r="FA18">
        <v>1.8319009652809131E-4</v>
      </c>
      <c r="FB18">
        <v>1.400634163798512E-4</v>
      </c>
      <c r="FC18">
        <v>3.1568989837506968E-3</v>
      </c>
      <c r="FD18">
        <v>1.9257385178218661E-3</v>
      </c>
      <c r="FE18">
        <v>1.9243385281249941E-3</v>
      </c>
      <c r="FF18">
        <v>4.3513604577337259E-4</v>
      </c>
      <c r="FG18">
        <v>1.144733215891669E-4</v>
      </c>
      <c r="FH18">
        <v>5.5990978051589043E-5</v>
      </c>
      <c r="FI18">
        <v>8.3768495137132956E-5</v>
      </c>
      <c r="FJ18">
        <v>9.0778052772565984E-5</v>
      </c>
      <c r="FK18">
        <v>1.174646500944615E-4</v>
      </c>
      <c r="FL18">
        <v>8.3006368910382058E-5</v>
      </c>
      <c r="FM18">
        <v>6.9904610218919042E-5</v>
      </c>
      <c r="FN18">
        <v>6.5444666827512064E-5</v>
      </c>
      <c r="FO18">
        <v>2.7769872257206159E-4</v>
      </c>
      <c r="FP18">
        <v>5.8769044394963087E-5</v>
      </c>
      <c r="FQ18">
        <v>8.8593040657989789E-5</v>
      </c>
      <c r="FR18">
        <v>4.561422179472902E-5</v>
      </c>
      <c r="FS18">
        <v>4.6850245910274918E-5</v>
      </c>
      <c r="FT18">
        <v>7.9609557617374627E-5</v>
      </c>
      <c r="FU18">
        <v>8.0213569120112473E-5</v>
      </c>
      <c r="FV18">
        <v>8.4166547846306454E-5</v>
      </c>
      <c r="FW18">
        <v>8.038402526332852E-5</v>
      </c>
      <c r="FX18">
        <v>8.0059370699947871E-5</v>
      </c>
      <c r="FY18">
        <v>8.1777849533599419E-5</v>
      </c>
      <c r="FZ18">
        <v>7.7785908718060287E-5</v>
      </c>
      <c r="GA18">
        <v>7.2350307219815434E-5</v>
      </c>
      <c r="GB18">
        <v>7.3915441176884277E-5</v>
      </c>
      <c r="GC18">
        <v>7.8463263900639593E-5</v>
      </c>
      <c r="GD18">
        <v>8.1963372086877207E-5</v>
      </c>
      <c r="GE18">
        <v>2.3952798860925019E-4</v>
      </c>
      <c r="GF18">
        <v>8.8102027242513276E-5</v>
      </c>
      <c r="GG18">
        <v>8.8804739316259863E-5</v>
      </c>
      <c r="GH18">
        <v>8.4465660116311695E-5</v>
      </c>
      <c r="GI18">
        <v>8.2051515423630091E-5</v>
      </c>
      <c r="GJ18">
        <v>8.8299577842182377E-5</v>
      </c>
      <c r="GK18">
        <v>7.6099389760013141E-5</v>
      </c>
      <c r="GL18">
        <v>8.2308602266571195E-5</v>
      </c>
      <c r="GM18">
        <v>7.8471993222399794E-5</v>
      </c>
      <c r="GN18">
        <v>7.1814544359188653E-5</v>
      </c>
      <c r="GO18">
        <v>9.7439986306801612E-5</v>
      </c>
      <c r="GP18">
        <v>6.3227997821798857E-5</v>
      </c>
      <c r="GQ18">
        <v>0</v>
      </c>
      <c r="GR18">
        <v>1.3009175207561561E-4</v>
      </c>
      <c r="GS18">
        <v>1.9810320209852629E-4</v>
      </c>
      <c r="GT18">
        <v>1.7853166927393209E-4</v>
      </c>
      <c r="GU18">
        <v>2.1153073900324841E-4</v>
      </c>
      <c r="GV18">
        <v>1.897647722538978E-4</v>
      </c>
      <c r="GW18">
        <v>1.531063441364694E-4</v>
      </c>
      <c r="GX18">
        <v>1.164741042657035E-4</v>
      </c>
      <c r="GY18">
        <v>3.1008893181304608E-4</v>
      </c>
      <c r="GZ18">
        <v>1.372239448691658E-4</v>
      </c>
      <c r="HA18">
        <v>2.6909456243390787E-4</v>
      </c>
      <c r="HB18">
        <v>5.5585605925459158E-5</v>
      </c>
      <c r="HC18">
        <v>6.836204144706409E-5</v>
      </c>
    </row>
    <row r="19" spans="1:211" x14ac:dyDescent="0.45">
      <c r="A19" s="1" t="s">
        <v>4</v>
      </c>
      <c r="B19">
        <v>3.7618367963598907E-4</v>
      </c>
      <c r="C19">
        <v>2.9124613473847612E-4</v>
      </c>
      <c r="D19">
        <v>2.0991657355544379E-4</v>
      </c>
      <c r="E19">
        <v>1.6725776209800111E-4</v>
      </c>
      <c r="F19">
        <v>7.6082825267602015E-4</v>
      </c>
      <c r="G19">
        <v>3.9762986398949747E-5</v>
      </c>
      <c r="H19">
        <v>1.79751276644558E-4</v>
      </c>
      <c r="I19">
        <v>9.4192476155775062E-6</v>
      </c>
      <c r="J19">
        <v>5.9381618304223923E-3</v>
      </c>
      <c r="K19">
        <v>8.6146383963855956E-4</v>
      </c>
      <c r="L19">
        <v>6.4401597991266485E-4</v>
      </c>
      <c r="M19">
        <v>1.195691160408811E-3</v>
      </c>
      <c r="N19">
        <v>1.33475021510432E-3</v>
      </c>
      <c r="O19">
        <v>3.2303099806671011E-3</v>
      </c>
      <c r="P19">
        <v>4.767205212014463E-2</v>
      </c>
      <c r="Q19">
        <v>0</v>
      </c>
      <c r="R19">
        <v>0</v>
      </c>
      <c r="S19">
        <v>9.0854880209887583E-5</v>
      </c>
      <c r="T19">
        <v>1.1535631118069791E-3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2.9638464382852709E-3</v>
      </c>
      <c r="AD19">
        <v>8.7677778371038934E-2</v>
      </c>
      <c r="AE19">
        <v>3.7392184250524709E-4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5.6331197651111569E-5</v>
      </c>
      <c r="AO19">
        <v>1.7691172042286939E-4</v>
      </c>
      <c r="AP19">
        <v>4.7326931622047067E-6</v>
      </c>
      <c r="AQ19">
        <v>2.480673974056357E-5</v>
      </c>
      <c r="AR19">
        <v>2.4300755865650421E-3</v>
      </c>
      <c r="AS19">
        <v>3.4455053920964671E-4</v>
      </c>
      <c r="AT19">
        <v>2.6745926422811731E-4</v>
      </c>
      <c r="AU19">
        <v>3.0183519636710077E-4</v>
      </c>
      <c r="AV19">
        <v>1.9485323618286969E-4</v>
      </c>
      <c r="AW19">
        <v>1.104413344759175E-3</v>
      </c>
      <c r="AX19">
        <v>8.8704796239150402E-5</v>
      </c>
      <c r="AY19">
        <v>4.1189548430653391E-4</v>
      </c>
      <c r="AZ19">
        <v>4.4940425572179003E-4</v>
      </c>
      <c r="BA19">
        <v>2.9530684003524921E-4</v>
      </c>
      <c r="BB19">
        <v>4.8261371246307352E-4</v>
      </c>
      <c r="BC19">
        <v>1.108667995328262E-4</v>
      </c>
      <c r="BD19">
        <v>8.2479190160682889E-5</v>
      </c>
      <c r="BE19">
        <v>7.0217373538101189E-5</v>
      </c>
      <c r="BF19">
        <v>9.7035807892692261E-5</v>
      </c>
      <c r="BG19">
        <v>1.234504269517179E-4</v>
      </c>
      <c r="BH19">
        <v>1.053173967849582E-4</v>
      </c>
      <c r="BI19">
        <v>2.1362383354041301E-4</v>
      </c>
      <c r="BJ19">
        <v>1.6090014762656441E-4</v>
      </c>
      <c r="BK19">
        <v>1.444241535753611E-4</v>
      </c>
      <c r="BL19">
        <v>9.9232059458067133E-5</v>
      </c>
      <c r="BM19">
        <v>2.7191522746272152E-4</v>
      </c>
      <c r="BN19">
        <v>0</v>
      </c>
      <c r="BO19">
        <v>5.8894162992997913E-3</v>
      </c>
      <c r="BP19">
        <v>5.4558976241981605E-4</v>
      </c>
      <c r="BQ19">
        <v>0</v>
      </c>
      <c r="BR19">
        <v>0</v>
      </c>
      <c r="BS19">
        <v>1.5341396869804309E-4</v>
      </c>
      <c r="BT19">
        <v>0</v>
      </c>
      <c r="BU19">
        <v>2.4951719398953791E-4</v>
      </c>
      <c r="BV19">
        <v>8.4456063746843449E-5</v>
      </c>
      <c r="BW19">
        <v>9.3319552273266473E-7</v>
      </c>
      <c r="BX19">
        <v>1.5092109164300429E-4</v>
      </c>
      <c r="BY19">
        <v>1.3390323990047391E-4</v>
      </c>
      <c r="BZ19">
        <v>2.0606537652433491E-6</v>
      </c>
      <c r="CA19">
        <v>7.6432108808503117E-5</v>
      </c>
      <c r="CB19">
        <v>1.6675305093666489E-4</v>
      </c>
      <c r="CC19">
        <v>2.5954493661751858E-4</v>
      </c>
      <c r="CD19">
        <v>3.2061304935945767E-5</v>
      </c>
      <c r="CE19">
        <v>4.0114899865335088E-5</v>
      </c>
      <c r="CF19">
        <v>4.7792882020269653E-5</v>
      </c>
      <c r="CG19">
        <v>3.0555874207093239E-5</v>
      </c>
      <c r="CH19">
        <v>6.3073817691523154E-7</v>
      </c>
      <c r="CI19">
        <v>1.6309224585935139E-4</v>
      </c>
      <c r="CJ19">
        <v>2.202473662118097E-4</v>
      </c>
      <c r="CK19">
        <v>4.4210455984158929E-4</v>
      </c>
      <c r="CL19">
        <v>6.0084748690598889E-4</v>
      </c>
      <c r="CM19">
        <v>2.5643416416090199E-4</v>
      </c>
      <c r="CN19">
        <v>0</v>
      </c>
      <c r="CO19">
        <v>5.0020322277991117E-5</v>
      </c>
      <c r="CP19">
        <v>1.4961659594676019E-4</v>
      </c>
      <c r="CQ19">
        <v>9.9302652625354304E-5</v>
      </c>
      <c r="CR19">
        <v>0</v>
      </c>
      <c r="CS19">
        <v>3.5036618872557479E-4</v>
      </c>
      <c r="CT19">
        <v>2.5913059049125251E-4</v>
      </c>
      <c r="CU19">
        <v>4.2290031694565362E-4</v>
      </c>
      <c r="CV19">
        <v>4.9243244580072577E-4</v>
      </c>
      <c r="CW19">
        <v>9.4179667317131964E-4</v>
      </c>
      <c r="CX19">
        <v>4.4106037496088538E-4</v>
      </c>
      <c r="CY19">
        <v>4.6109630262024801E-4</v>
      </c>
      <c r="CZ19">
        <v>6.9372028855188539E-4</v>
      </c>
      <c r="DA19">
        <v>2.8574723742589111E-4</v>
      </c>
      <c r="DB19">
        <v>5.6980639639130212E-4</v>
      </c>
      <c r="DC19">
        <v>0</v>
      </c>
      <c r="DD19">
        <v>1.8468572604716661E-4</v>
      </c>
      <c r="DE19">
        <v>1.1945374795236E-4</v>
      </c>
      <c r="DF19">
        <v>2.0077628318300881E-4</v>
      </c>
      <c r="DG19">
        <v>1.6264700270204139E-4</v>
      </c>
      <c r="DH19">
        <v>4.5561139695135468E-4</v>
      </c>
      <c r="DI19">
        <v>0</v>
      </c>
      <c r="DJ19">
        <v>1.9496897360029279E-4</v>
      </c>
      <c r="DK19">
        <v>0</v>
      </c>
      <c r="DL19">
        <v>3.754009331439714E-4</v>
      </c>
      <c r="DM19">
        <v>8.8404410555418752E-5</v>
      </c>
      <c r="DN19">
        <v>7.186804814981001E-5</v>
      </c>
      <c r="DO19">
        <v>1.0770919337159439E-4</v>
      </c>
      <c r="DP19">
        <v>8.185986425378211E-5</v>
      </c>
      <c r="DQ19">
        <v>8.6335215514982738E-5</v>
      </c>
      <c r="DR19">
        <v>1.0614710205723601E-4</v>
      </c>
      <c r="DS19">
        <v>7.9074309134417075E-5</v>
      </c>
      <c r="DT19">
        <v>5.2421267645104157E-5</v>
      </c>
      <c r="DU19">
        <v>1.1669360558181119E-4</v>
      </c>
      <c r="DV19">
        <v>0</v>
      </c>
      <c r="DW19">
        <v>0</v>
      </c>
      <c r="DX19">
        <v>1.103666389270782E-2</v>
      </c>
      <c r="DY19">
        <v>1.9153109543467699E-3</v>
      </c>
      <c r="DZ19">
        <v>1.6172839512561439E-4</v>
      </c>
      <c r="EA19">
        <v>1.5731864411781639E-4</v>
      </c>
      <c r="EB19">
        <v>1.696217871831835E-4</v>
      </c>
      <c r="EC19">
        <v>2.2609109167214749E-3</v>
      </c>
      <c r="ED19">
        <v>2.5653182541443261E-4</v>
      </c>
      <c r="EE19">
        <v>3.5568605637546423E-5</v>
      </c>
      <c r="EF19">
        <v>0</v>
      </c>
      <c r="EG19">
        <v>1.875847761395074E-4</v>
      </c>
      <c r="EH19">
        <v>0</v>
      </c>
      <c r="EI19">
        <v>0</v>
      </c>
      <c r="EJ19">
        <v>5.0260382937172487E-5</v>
      </c>
      <c r="EK19">
        <v>4.873073958988266E-5</v>
      </c>
      <c r="EL19">
        <v>3.5478401638738877E-5</v>
      </c>
      <c r="EM19">
        <v>7.2770415991042783E-5</v>
      </c>
      <c r="EN19">
        <v>1.306855692147191E-12</v>
      </c>
      <c r="EO19">
        <v>0</v>
      </c>
      <c r="EP19">
        <v>1.5092294805402149E-4</v>
      </c>
      <c r="EQ19">
        <v>3.2583952282498033E-4</v>
      </c>
      <c r="ER19">
        <v>4.9675523621926501E-3</v>
      </c>
      <c r="ES19">
        <v>9.8166662002145303E-5</v>
      </c>
      <c r="ET19">
        <v>1.083944430988738E-4</v>
      </c>
      <c r="EU19">
        <v>0</v>
      </c>
      <c r="EV19">
        <v>3.1634781542522372E-5</v>
      </c>
      <c r="EW19">
        <v>4.6873716548248643E-5</v>
      </c>
      <c r="EX19">
        <v>5.6381063350117437E-5</v>
      </c>
      <c r="EY19">
        <v>4.1325560854435439E-5</v>
      </c>
      <c r="EZ19">
        <v>8.2914200359246066E-5</v>
      </c>
      <c r="FA19">
        <v>9.9013169254583068E-5</v>
      </c>
      <c r="FB19">
        <v>4.5525461268997589E-4</v>
      </c>
      <c r="FC19">
        <v>1.032540181094837E-4</v>
      </c>
      <c r="FD19">
        <v>7.5304206835604445E-4</v>
      </c>
      <c r="FE19">
        <v>6.644109082364044E-3</v>
      </c>
      <c r="FF19">
        <v>1.122979185813224E-3</v>
      </c>
      <c r="FG19">
        <v>2.1954206744849981E-4</v>
      </c>
      <c r="FH19">
        <v>4.4174920446280292E-5</v>
      </c>
      <c r="FI19">
        <v>7.7077270313212888E-5</v>
      </c>
      <c r="FJ19">
        <v>6.4889367289871106E-5</v>
      </c>
      <c r="FK19">
        <v>7.3214344067278948E-5</v>
      </c>
      <c r="FL19">
        <v>7.397880825937939E-5</v>
      </c>
      <c r="FM19">
        <v>6.9398933441294449E-5</v>
      </c>
      <c r="FN19">
        <v>5.4493919046223803E-5</v>
      </c>
      <c r="FO19">
        <v>1.4000745376329719E-4</v>
      </c>
      <c r="FP19">
        <v>5.5305002385866088E-5</v>
      </c>
      <c r="FQ19">
        <v>7.904517491885784E-5</v>
      </c>
      <c r="FR19">
        <v>5.1921667563718957E-5</v>
      </c>
      <c r="FS19">
        <v>3.7646424722845352E-5</v>
      </c>
      <c r="FT19">
        <v>1.6609104083422591E-4</v>
      </c>
      <c r="FU19">
        <v>1.6555159769854829E-4</v>
      </c>
      <c r="FV19">
        <v>1.6027015477339151E-4</v>
      </c>
      <c r="FW19">
        <v>1.7213529196506651E-4</v>
      </c>
      <c r="FX19">
        <v>1.8030922460545259E-4</v>
      </c>
      <c r="FY19">
        <v>1.6497756087175769E-4</v>
      </c>
      <c r="FZ19">
        <v>1.6395176461947341E-4</v>
      </c>
      <c r="GA19">
        <v>1.500861663504467E-4</v>
      </c>
      <c r="GB19">
        <v>1.1993520739452671E-4</v>
      </c>
      <c r="GC19">
        <v>1.5555225063751849E-4</v>
      </c>
      <c r="GD19">
        <v>1.0431296396210201E-3</v>
      </c>
      <c r="GE19">
        <v>7.5881747642156641E-5</v>
      </c>
      <c r="GF19">
        <v>1.3350064376528459E-3</v>
      </c>
      <c r="GG19">
        <v>1.4420788835154501E-3</v>
      </c>
      <c r="GH19">
        <v>7.6790147781503719E-3</v>
      </c>
      <c r="GI19">
        <v>3.9146578368303856E-3</v>
      </c>
      <c r="GJ19">
        <v>8.7970721353681537E-4</v>
      </c>
      <c r="GK19">
        <v>1.6357513913729991E-4</v>
      </c>
      <c r="GL19">
        <v>1.3511988028466931E-3</v>
      </c>
      <c r="GM19">
        <v>1.1323712351101231E-3</v>
      </c>
      <c r="GN19">
        <v>6.9217874672726864E-5</v>
      </c>
      <c r="GO19">
        <v>1.039805508917634E-4</v>
      </c>
      <c r="GP19">
        <v>1.8913062943350371E-5</v>
      </c>
      <c r="GQ19">
        <v>0</v>
      </c>
      <c r="GR19">
        <v>1.673299447272924E-4</v>
      </c>
      <c r="GS19">
        <v>2.4300755865650421E-3</v>
      </c>
      <c r="GT19">
        <v>3.8453041353924929E-4</v>
      </c>
      <c r="GU19">
        <v>1.109338172871871E-3</v>
      </c>
      <c r="GV19">
        <v>1.1382920558224579E-3</v>
      </c>
      <c r="GW19">
        <v>4.1445664779823959E-4</v>
      </c>
      <c r="GX19">
        <v>1.2970750099274079E-4</v>
      </c>
      <c r="GY19">
        <v>4.531793220925833E-4</v>
      </c>
      <c r="GZ19">
        <v>7.5665175466399631E-5</v>
      </c>
      <c r="HA19">
        <v>3.2133782660186279E-4</v>
      </c>
      <c r="HB19">
        <v>8.2914200359246066E-5</v>
      </c>
      <c r="HC19">
        <v>7.0494497490554712E-5</v>
      </c>
    </row>
    <row r="20" spans="1:211" x14ac:dyDescent="0.45">
      <c r="A20" s="1" t="s">
        <v>5</v>
      </c>
      <c r="B20">
        <v>3.7516475525644672E-3</v>
      </c>
      <c r="C20">
        <v>1.811228763339297E-3</v>
      </c>
      <c r="D20">
        <v>1.189483448114157E-3</v>
      </c>
      <c r="E20">
        <v>9.676690699242023E-6</v>
      </c>
      <c r="F20">
        <v>1.401099669234383E-3</v>
      </c>
      <c r="G20">
        <v>1.3785737457628331E-4</v>
      </c>
      <c r="H20">
        <v>0</v>
      </c>
      <c r="I20">
        <v>4.1661057694896413E-5</v>
      </c>
      <c r="J20">
        <v>2.39933125744912E-3</v>
      </c>
      <c r="K20">
        <v>1.4083214679640689E-3</v>
      </c>
      <c r="L20">
        <v>4.9383923764108112E-4</v>
      </c>
      <c r="M20">
        <v>0</v>
      </c>
      <c r="N20">
        <v>0</v>
      </c>
      <c r="O20">
        <v>0</v>
      </c>
      <c r="P20">
        <v>2.6305499531118067E-4</v>
      </c>
      <c r="Q20">
        <v>0</v>
      </c>
      <c r="R20">
        <v>0</v>
      </c>
      <c r="S20">
        <v>1.5427594831169491E-3</v>
      </c>
      <c r="T20">
        <v>1.212900757386895E-2</v>
      </c>
      <c r="U20">
        <v>2.7805150145326341E-3</v>
      </c>
      <c r="V20">
        <v>1.360684944526832E-3</v>
      </c>
      <c r="W20">
        <v>7.0207591975421271E-4</v>
      </c>
      <c r="X20">
        <v>0</v>
      </c>
      <c r="Y20">
        <v>2.597477311626481E-5</v>
      </c>
      <c r="Z20">
        <v>5.7543069421103668E-4</v>
      </c>
      <c r="AA20">
        <v>0</v>
      </c>
      <c r="AB20">
        <v>2.6012706115337079E-3</v>
      </c>
      <c r="AC20">
        <v>0</v>
      </c>
      <c r="AD20">
        <v>2.6542721455461491E-5</v>
      </c>
      <c r="AE20">
        <v>0</v>
      </c>
      <c r="AF20">
        <v>2.4024569808097569E-4</v>
      </c>
      <c r="AG20">
        <v>9.2714758986194772E-4</v>
      </c>
      <c r="AH20">
        <v>0.73153841469341707</v>
      </c>
      <c r="AI20">
        <v>9.1098267848534588E-4</v>
      </c>
      <c r="AJ20">
        <v>8.9332205308776844E-4</v>
      </c>
      <c r="AK20">
        <v>5.1225388778569788E-4</v>
      </c>
      <c r="AL20">
        <v>1.1670273970952199E-3</v>
      </c>
      <c r="AM20">
        <v>0</v>
      </c>
      <c r="AN20">
        <v>0</v>
      </c>
      <c r="AO20">
        <v>3.2942279758548638E-4</v>
      </c>
      <c r="AP20">
        <v>2.4585296720889562E-4</v>
      </c>
      <c r="AQ20">
        <v>0</v>
      </c>
      <c r="AR20">
        <v>1.7855476362052521E-3</v>
      </c>
      <c r="AS20">
        <v>2.9112601692935941E-3</v>
      </c>
      <c r="AT20">
        <v>1.971523162560487E-3</v>
      </c>
      <c r="AU20">
        <v>6.3848484387846606E-4</v>
      </c>
      <c r="AV20">
        <v>9.8381439440348791E-4</v>
      </c>
      <c r="AW20">
        <v>1.421024074694796E-3</v>
      </c>
      <c r="AX20">
        <v>6.3236563480949248E-4</v>
      </c>
      <c r="AY20">
        <v>0</v>
      </c>
      <c r="AZ20">
        <v>0</v>
      </c>
      <c r="BA20">
        <v>2.7151194454457357E-4</v>
      </c>
      <c r="BB20">
        <v>0</v>
      </c>
      <c r="BC20">
        <v>0</v>
      </c>
      <c r="BD20">
        <v>0</v>
      </c>
      <c r="BE20">
        <v>5.7683733720485613E-4</v>
      </c>
      <c r="BF20">
        <v>2.0658228806527871E-4</v>
      </c>
      <c r="BG20">
        <v>3.8412271842819001E-3</v>
      </c>
      <c r="BH20">
        <v>6.3938173759779486E-4</v>
      </c>
      <c r="BI20">
        <v>6.6129389109544372E-4</v>
      </c>
      <c r="BJ20">
        <v>1.9355213233212919E-4</v>
      </c>
      <c r="BK20">
        <v>3.9906959541152E-4</v>
      </c>
      <c r="BL20">
        <v>2.5047917227251359E-4</v>
      </c>
      <c r="BM20">
        <v>3.7263569165508952E-3</v>
      </c>
      <c r="BN20">
        <v>7.0504279975642386E-4</v>
      </c>
      <c r="BO20">
        <v>0</v>
      </c>
      <c r="BP20">
        <v>8.0593601879555131E-4</v>
      </c>
      <c r="BQ20">
        <v>0</v>
      </c>
      <c r="BR20">
        <v>0</v>
      </c>
      <c r="BS20">
        <v>5.7188586687961112E-4</v>
      </c>
      <c r="BT20">
        <v>0</v>
      </c>
      <c r="BU20">
        <v>8.0473328394956099E-4</v>
      </c>
      <c r="BV20">
        <v>3.62868735004757E-4</v>
      </c>
      <c r="BW20">
        <v>3.4621348410646419E-3</v>
      </c>
      <c r="BX20">
        <v>3.7274123290072372E-4</v>
      </c>
      <c r="BY20">
        <v>2.8803935166018689E-4</v>
      </c>
      <c r="BZ20">
        <v>1.381979741349861E-3</v>
      </c>
      <c r="CA20">
        <v>1.8171956864828799E-4</v>
      </c>
      <c r="CB20">
        <v>2.9102749964008388E-4</v>
      </c>
      <c r="CC20">
        <v>9.9461403908209226E-8</v>
      </c>
      <c r="CD20">
        <v>2.0563358685964981E-4</v>
      </c>
      <c r="CE20">
        <v>1.1274906231318689E-3</v>
      </c>
      <c r="CF20">
        <v>1.3332444347204119E-3</v>
      </c>
      <c r="CG20">
        <v>7.2074086085227883E-5</v>
      </c>
      <c r="CH20">
        <v>8.634814816461825E-4</v>
      </c>
      <c r="CI20">
        <v>6.7071661137935417E-4</v>
      </c>
      <c r="CJ20">
        <v>6.9317385546315295E-4</v>
      </c>
      <c r="CK20">
        <v>0</v>
      </c>
      <c r="CL20">
        <v>2.4105856799894849E-4</v>
      </c>
      <c r="CM20">
        <v>0</v>
      </c>
      <c r="CN20">
        <v>0</v>
      </c>
      <c r="CO20">
        <v>3.900988684497599E-3</v>
      </c>
      <c r="CP20">
        <v>3.8462398292089919E-4</v>
      </c>
      <c r="CQ20">
        <v>9.7078814946632442E-5</v>
      </c>
      <c r="CR20">
        <v>7.2642924722419924E-4</v>
      </c>
      <c r="CS20">
        <v>4.0464915900854329E-4</v>
      </c>
      <c r="CT20">
        <v>1.991975391557915E-3</v>
      </c>
      <c r="CU20">
        <v>5.0572984032001649E-4</v>
      </c>
      <c r="CV20">
        <v>4.4541756885689886E-3</v>
      </c>
      <c r="CW20">
        <v>1.07352659045294E-4</v>
      </c>
      <c r="CX20">
        <v>7.0518978667583737E-4</v>
      </c>
      <c r="CY20">
        <v>1.805177969786232E-4</v>
      </c>
      <c r="CZ20">
        <v>0</v>
      </c>
      <c r="DA20">
        <v>8.4056742278966511E-4</v>
      </c>
      <c r="DB20">
        <v>8.6068239506976107E-4</v>
      </c>
      <c r="DC20">
        <v>3.5514958756717322E-4</v>
      </c>
      <c r="DD20">
        <v>8.380507761552538E-4</v>
      </c>
      <c r="DE20">
        <v>0</v>
      </c>
      <c r="DF20">
        <v>0</v>
      </c>
      <c r="DG20">
        <v>2.1088425775288221E-4</v>
      </c>
      <c r="DH20">
        <v>4.8912998819893049E-4</v>
      </c>
      <c r="DI20">
        <v>1.5309821498455099E-5</v>
      </c>
      <c r="DJ20">
        <v>9.528847548238719E-4</v>
      </c>
      <c r="DK20">
        <v>1.136091949839424E-3</v>
      </c>
      <c r="DL20">
        <v>9.5284058820224238E-4</v>
      </c>
      <c r="DM20">
        <v>2.5562293079100981E-4</v>
      </c>
      <c r="DN20">
        <v>6.1580806860986196E-4</v>
      </c>
      <c r="DO20">
        <v>0</v>
      </c>
      <c r="DP20">
        <v>4.4648610143015726E-3</v>
      </c>
      <c r="DQ20">
        <v>2.912065583821271E-3</v>
      </c>
      <c r="DR20">
        <v>4.8384744315090278E-4</v>
      </c>
      <c r="DS20">
        <v>3.4025634676877091E-4</v>
      </c>
      <c r="DT20">
        <v>2.80211930256243E-3</v>
      </c>
      <c r="DU20">
        <v>2.318144045771276E-4</v>
      </c>
      <c r="DV20">
        <v>2.5340862846810839E-4</v>
      </c>
      <c r="DW20">
        <v>0</v>
      </c>
      <c r="DX20">
        <v>1.3271096375134389E-4</v>
      </c>
      <c r="DY20">
        <v>0</v>
      </c>
      <c r="DZ20">
        <v>2.6234574109397518E-4</v>
      </c>
      <c r="EA20">
        <v>1.7888033015320769E-3</v>
      </c>
      <c r="EB20">
        <v>5.1875752305167062E-3</v>
      </c>
      <c r="EC20">
        <v>3.0467865889747463E-4</v>
      </c>
      <c r="ED20">
        <v>1.2275422521000781E-3</v>
      </c>
      <c r="EE20">
        <v>1.7920454362061009E-3</v>
      </c>
      <c r="EF20">
        <v>2.4533880443513998E-4</v>
      </c>
      <c r="EG20">
        <v>1.0568998707410271E-3</v>
      </c>
      <c r="EH20">
        <v>7.6562073559661107E-3</v>
      </c>
      <c r="EI20">
        <v>4.7971305410443132E-4</v>
      </c>
      <c r="EJ20">
        <v>2.200508930113836E-4</v>
      </c>
      <c r="EK20">
        <v>1.5820357205031211E-4</v>
      </c>
      <c r="EL20">
        <v>8.7748287246617218E-4</v>
      </c>
      <c r="EM20">
        <v>2.4960462983412849E-4</v>
      </c>
      <c r="EN20">
        <v>1.599037261111446E-3</v>
      </c>
      <c r="EO20">
        <v>7.8775732274983092E-4</v>
      </c>
      <c r="EP20">
        <v>6.9959301915804254E-4</v>
      </c>
      <c r="EQ20">
        <v>5.7267984981499592E-4</v>
      </c>
      <c r="ER20">
        <v>1.676608556465958E-3</v>
      </c>
      <c r="ES20">
        <v>1.199837800882966E-4</v>
      </c>
      <c r="ET20">
        <v>8.2907307309452679E-4</v>
      </c>
      <c r="EU20">
        <v>0</v>
      </c>
      <c r="EV20">
        <v>1.985469729680503E-4</v>
      </c>
      <c r="EW20">
        <v>3.3530922487285092E-4</v>
      </c>
      <c r="EX20">
        <v>3.1865596373943222E-4</v>
      </c>
      <c r="EY20">
        <v>0</v>
      </c>
      <c r="EZ20">
        <v>2.086806838016158E-4</v>
      </c>
      <c r="FA20">
        <v>6.1419825971156014E-4</v>
      </c>
      <c r="FB20">
        <v>3.084380141167732E-4</v>
      </c>
      <c r="FC20">
        <v>6.1517477562794806E-4</v>
      </c>
      <c r="FD20">
        <v>6.2871238666290397E-4</v>
      </c>
      <c r="FE20">
        <v>3.6065749600453341E-4</v>
      </c>
      <c r="FF20">
        <v>1.964191518150716E-5</v>
      </c>
      <c r="FG20">
        <v>2.8808232544301508E-3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1.754764601042225E-4</v>
      </c>
      <c r="FT20">
        <v>4.0114459181221201E-4</v>
      </c>
      <c r="FU20">
        <v>0</v>
      </c>
      <c r="FV20">
        <v>8.2223498129417775E-5</v>
      </c>
      <c r="FW20">
        <v>0</v>
      </c>
      <c r="FX20">
        <v>9.7174620370911891E-4</v>
      </c>
      <c r="FY20">
        <v>3.2696357933741419E-4</v>
      </c>
      <c r="FZ20">
        <v>3.9082560137480279E-4</v>
      </c>
      <c r="GA20">
        <v>5.7794580303748315E-4</v>
      </c>
      <c r="GB20">
        <v>2.5938727935815979E-4</v>
      </c>
      <c r="GC20">
        <v>1.041783322823361E-3</v>
      </c>
      <c r="GD20">
        <v>3.2841740929609952E-4</v>
      </c>
      <c r="GE20">
        <v>0</v>
      </c>
      <c r="GF20">
        <v>9.3222545795521982E-3</v>
      </c>
      <c r="GG20">
        <v>4.7231606870503434E-3</v>
      </c>
      <c r="GH20">
        <v>4.9514811057936494E-4</v>
      </c>
      <c r="GI20">
        <v>6.6316172627263329E-4</v>
      </c>
      <c r="GJ20">
        <v>9.0006446243132859E-4</v>
      </c>
      <c r="GK20">
        <v>0</v>
      </c>
      <c r="GL20">
        <v>4.2374109340047713E-4</v>
      </c>
      <c r="GM20">
        <v>8.1918685782398238E-4</v>
      </c>
      <c r="GN20">
        <v>0</v>
      </c>
      <c r="GO20">
        <v>2.9245765554483958E-4</v>
      </c>
      <c r="GP20">
        <v>1.3599724709691321E-3</v>
      </c>
      <c r="GQ20">
        <v>4.37789456335963E-4</v>
      </c>
      <c r="GR20">
        <v>3.146597321360098E-5</v>
      </c>
      <c r="GS20">
        <v>1.7855476362052521E-3</v>
      </c>
      <c r="GT20">
        <v>1.2795211852103671E-3</v>
      </c>
      <c r="GU20">
        <v>2.07486939804626E-3</v>
      </c>
      <c r="GV20">
        <v>1.421024074694796E-3</v>
      </c>
      <c r="GW20">
        <v>9.0091958013068847E-5</v>
      </c>
      <c r="GX20">
        <v>4.7874631254835558E-4</v>
      </c>
      <c r="GY20">
        <v>4.9418255791167434E-4</v>
      </c>
      <c r="GZ20">
        <v>3.3644446257347988E-4</v>
      </c>
      <c r="HA20">
        <v>7.1461876321432592E-4</v>
      </c>
      <c r="HB20">
        <v>0</v>
      </c>
      <c r="HC20">
        <v>2.7287634216954749E-4</v>
      </c>
    </row>
    <row r="21" spans="1:211" x14ac:dyDescent="0.45">
      <c r="A21" s="1" t="s">
        <v>6</v>
      </c>
      <c r="B21">
        <v>12.589531046076591</v>
      </c>
      <c r="C21">
        <v>393.41683792647649</v>
      </c>
      <c r="D21">
        <v>6.1707335051997774</v>
      </c>
      <c r="E21">
        <v>6666.4130958942833</v>
      </c>
      <c r="F21">
        <v>709.18679688875659</v>
      </c>
      <c r="G21">
        <v>0</v>
      </c>
      <c r="H21">
        <v>18.17377665812187</v>
      </c>
      <c r="I21">
        <v>418.35490823388932</v>
      </c>
      <c r="J21">
        <v>0</v>
      </c>
      <c r="K21">
        <v>0</v>
      </c>
      <c r="L21">
        <v>37.6718724459</v>
      </c>
      <c r="M21">
        <v>134.96855356699999</v>
      </c>
      <c r="N21">
        <v>358.93550539300003</v>
      </c>
      <c r="O21">
        <v>0</v>
      </c>
      <c r="P21">
        <v>0</v>
      </c>
      <c r="Q21">
        <v>0</v>
      </c>
      <c r="R21">
        <v>0</v>
      </c>
      <c r="S21">
        <v>324.71811889076042</v>
      </c>
      <c r="T21">
        <v>191.524540960959</v>
      </c>
      <c r="U21">
        <v>6.3533008602000001</v>
      </c>
      <c r="V21">
        <v>0</v>
      </c>
      <c r="W21">
        <v>14.903983972800001</v>
      </c>
      <c r="X21">
        <v>0</v>
      </c>
      <c r="Y21">
        <v>14.5218305376</v>
      </c>
      <c r="Z21">
        <v>0</v>
      </c>
      <c r="AA21">
        <v>0</v>
      </c>
      <c r="AB21">
        <v>0</v>
      </c>
      <c r="AC21">
        <v>0</v>
      </c>
      <c r="AD21">
        <v>10172.62054431125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1038.4943145499999</v>
      </c>
      <c r="AS21">
        <v>596.45047547599995</v>
      </c>
      <c r="AT21">
        <v>892.77666270999998</v>
      </c>
      <c r="AU21">
        <v>2166.4317380399998</v>
      </c>
      <c r="AV21">
        <v>152.52438610900001</v>
      </c>
      <c r="AW21">
        <v>1806.0386160099999</v>
      </c>
      <c r="AX21">
        <v>130.97256975400001</v>
      </c>
      <c r="AY21">
        <v>92.726657253900001</v>
      </c>
      <c r="AZ21">
        <v>11484.836648500001</v>
      </c>
      <c r="BA21">
        <v>1737.93637934</v>
      </c>
      <c r="BB21">
        <v>1549.8190821000001</v>
      </c>
      <c r="BC21">
        <v>1749.27710897</v>
      </c>
      <c r="BD21">
        <v>5191.81852316</v>
      </c>
      <c r="BE21">
        <v>10896.3904117</v>
      </c>
      <c r="BF21">
        <v>6719.8629984099998</v>
      </c>
      <c r="BG21">
        <v>627.28953437057316</v>
      </c>
      <c r="BH21">
        <v>64.052776141426875</v>
      </c>
      <c r="BI21">
        <v>0</v>
      </c>
      <c r="BJ21">
        <v>0</v>
      </c>
      <c r="BK21">
        <v>1766.04037623</v>
      </c>
      <c r="BL21">
        <v>1559.8370236600001</v>
      </c>
      <c r="BM21">
        <v>0.1066507278430744</v>
      </c>
      <c r="BN21">
        <v>0</v>
      </c>
      <c r="BO21">
        <v>0</v>
      </c>
      <c r="BP21">
        <v>262.48153199278192</v>
      </c>
      <c r="BQ21">
        <v>0.26273048669999999</v>
      </c>
      <c r="BR21">
        <v>0</v>
      </c>
      <c r="BS21">
        <v>52.290447045240562</v>
      </c>
      <c r="BT21">
        <v>157.13671563599999</v>
      </c>
      <c r="BU21">
        <v>7198.1551780506543</v>
      </c>
      <c r="BV21">
        <v>1.056828588528105</v>
      </c>
      <c r="BW21">
        <v>0</v>
      </c>
      <c r="BX21">
        <v>612.42607809052072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2378.0362296804178</v>
      </c>
      <c r="CJ21">
        <v>286.21616942958212</v>
      </c>
      <c r="CK21">
        <v>1.6789142170569999</v>
      </c>
      <c r="CL21">
        <v>44.522949826820003</v>
      </c>
      <c r="CM21">
        <v>6643.3333910300007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895.25021162600001</v>
      </c>
      <c r="CV21">
        <v>0.112600342789</v>
      </c>
      <c r="CW21">
        <v>0.91886879222690554</v>
      </c>
      <c r="CX21">
        <v>5.55902005850945E-2</v>
      </c>
      <c r="CY21">
        <v>791.25578928899995</v>
      </c>
      <c r="CZ21">
        <v>6.1700262321527496E-3</v>
      </c>
      <c r="DA21">
        <v>3.9625614194724822E-4</v>
      </c>
      <c r="DB21">
        <v>5.4250360592692362</v>
      </c>
      <c r="DC21">
        <v>3.0458495076355003E-4</v>
      </c>
      <c r="DD21">
        <v>1.3261887457802539</v>
      </c>
      <c r="DE21">
        <v>0.102340521859746</v>
      </c>
      <c r="DF21">
        <v>0</v>
      </c>
      <c r="DG21">
        <v>0</v>
      </c>
      <c r="DH21">
        <v>0</v>
      </c>
      <c r="DI21">
        <v>0</v>
      </c>
      <c r="DJ21">
        <v>7.4935930203748713</v>
      </c>
      <c r="DK21">
        <v>6.0997008595128847E-2</v>
      </c>
      <c r="DL21">
        <v>0</v>
      </c>
      <c r="DM21">
        <v>2010.42848448</v>
      </c>
      <c r="DN21">
        <v>520.47413446200005</v>
      </c>
      <c r="DO21">
        <v>1803.7615754999999</v>
      </c>
      <c r="DP21">
        <v>2577.2612739800002</v>
      </c>
      <c r="DQ21">
        <v>4696.7749308100001</v>
      </c>
      <c r="DR21">
        <v>4669.9064481400001</v>
      </c>
      <c r="DS21">
        <v>29014.020956100001</v>
      </c>
      <c r="DT21">
        <v>2813.8265550279998</v>
      </c>
      <c r="DU21">
        <v>10799.400247</v>
      </c>
      <c r="DV21">
        <v>0</v>
      </c>
      <c r="DW21">
        <v>0</v>
      </c>
      <c r="DX21">
        <v>63.361211080935377</v>
      </c>
      <c r="DY21">
        <v>50.540358367452967</v>
      </c>
      <c r="DZ21">
        <v>20.421948832948161</v>
      </c>
      <c r="EA21">
        <v>34.973120821718787</v>
      </c>
      <c r="EB21">
        <v>7.7745748429250057</v>
      </c>
      <c r="EC21">
        <v>7.7841592984684684</v>
      </c>
      <c r="ED21">
        <v>4.4869937232399604</v>
      </c>
      <c r="EE21">
        <v>2.2862877476796539</v>
      </c>
      <c r="EF21">
        <v>0</v>
      </c>
      <c r="EG21">
        <v>4.9947555776570151E-3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107.8362040536</v>
      </c>
      <c r="EY21">
        <v>0</v>
      </c>
      <c r="EZ21">
        <v>0</v>
      </c>
      <c r="FA21">
        <v>1317.5141081675199</v>
      </c>
      <c r="FB21">
        <v>5070.0672428300004</v>
      </c>
      <c r="FC21">
        <v>0.66543467202200002</v>
      </c>
      <c r="FD21">
        <v>3107.3829579702092</v>
      </c>
      <c r="FE21">
        <v>243.82395424985501</v>
      </c>
      <c r="FF21">
        <v>8077.9817955548197</v>
      </c>
      <c r="FG21">
        <v>854.20888969679993</v>
      </c>
      <c r="FH21">
        <v>2604.55483714</v>
      </c>
      <c r="FI21">
        <v>1220.2376179299999</v>
      </c>
      <c r="FJ21">
        <v>1145.74717822</v>
      </c>
      <c r="FK21">
        <v>0</v>
      </c>
      <c r="FL21">
        <v>0</v>
      </c>
      <c r="FM21">
        <v>0</v>
      </c>
      <c r="FN21">
        <v>1.81215275413</v>
      </c>
      <c r="FO21">
        <v>1038.6668066899999</v>
      </c>
      <c r="FP21">
        <v>652.78120585600004</v>
      </c>
      <c r="FQ21">
        <v>1267.5185599075201</v>
      </c>
      <c r="FR21">
        <v>1024.3292228667999</v>
      </c>
      <c r="FS21">
        <v>1545.727142509</v>
      </c>
      <c r="FT21">
        <v>7.1772939881199997</v>
      </c>
      <c r="FU21">
        <v>7.47894238651</v>
      </c>
      <c r="FV21">
        <v>3.4561336392499999</v>
      </c>
      <c r="FW21">
        <v>12.452825049199999</v>
      </c>
      <c r="FX21">
        <v>1.4328711332499999</v>
      </c>
      <c r="FY21">
        <v>2.5196803371600001</v>
      </c>
      <c r="FZ21">
        <v>7.2681283026200001</v>
      </c>
      <c r="GA21">
        <v>0.63557573159500003</v>
      </c>
      <c r="GB21">
        <v>4.31870936057E-2</v>
      </c>
      <c r="GC21">
        <v>6.2167013558799988</v>
      </c>
      <c r="GD21">
        <v>8.3376501952699993</v>
      </c>
      <c r="GE21">
        <v>0</v>
      </c>
      <c r="GF21">
        <v>2.8579230598600001</v>
      </c>
      <c r="GG21">
        <v>5.4780863341700003</v>
      </c>
      <c r="GH21">
        <v>6.6187806119300001</v>
      </c>
      <c r="GI21">
        <v>4.2866716676400003</v>
      </c>
      <c r="GJ21">
        <v>0.91095341557300002</v>
      </c>
      <c r="GK21">
        <v>10.798532357499999</v>
      </c>
      <c r="GL21">
        <v>0.47988633069100001</v>
      </c>
      <c r="GM21">
        <v>1.5981500333700001</v>
      </c>
      <c r="GN21">
        <v>95.863337095600002</v>
      </c>
      <c r="GO21">
        <v>2481.46822075</v>
      </c>
      <c r="GP21">
        <v>262.19233730575002</v>
      </c>
      <c r="GQ21">
        <v>0</v>
      </c>
      <c r="GR21">
        <v>6818.9374820032835</v>
      </c>
      <c r="GS21">
        <v>1038.4943145499999</v>
      </c>
      <c r="GT21">
        <v>3828.2993022389001</v>
      </c>
      <c r="GU21">
        <v>2356.4986623639588</v>
      </c>
      <c r="GV21">
        <v>1806.0386160099999</v>
      </c>
      <c r="GW21">
        <v>17903.873458744751</v>
      </c>
      <c r="GX21">
        <v>26463.523517716021</v>
      </c>
      <c r="GY21">
        <v>58120.83281466164</v>
      </c>
      <c r="GZ21">
        <v>22808.071933269999</v>
      </c>
      <c r="HA21">
        <v>52451.491819216943</v>
      </c>
      <c r="HB21">
        <v>0</v>
      </c>
      <c r="HC21">
        <v>14392.991685798401</v>
      </c>
    </row>
    <row r="22" spans="1:211" x14ac:dyDescent="0.45">
      <c r="A22" s="1" t="s">
        <v>7</v>
      </c>
      <c r="B22">
        <v>111.1237859411297</v>
      </c>
      <c r="C22">
        <v>6143.0077963115054</v>
      </c>
      <c r="D22">
        <v>370.68346562429832</v>
      </c>
      <c r="E22">
        <v>10280.107604815599</v>
      </c>
      <c r="F22">
        <v>726.07848723778375</v>
      </c>
      <c r="G22">
        <v>0</v>
      </c>
      <c r="H22">
        <v>514.07430814345184</v>
      </c>
      <c r="I22">
        <v>0</v>
      </c>
      <c r="J22">
        <v>0</v>
      </c>
      <c r="K22">
        <v>0</v>
      </c>
      <c r="L22">
        <v>3117.9127895699999</v>
      </c>
      <c r="M22">
        <v>1889.7566549799999</v>
      </c>
      <c r="N22">
        <v>139.24546536700001</v>
      </c>
      <c r="O22">
        <v>137.460607966</v>
      </c>
      <c r="P22">
        <v>0</v>
      </c>
      <c r="Q22">
        <v>0</v>
      </c>
      <c r="R22">
        <v>0</v>
      </c>
      <c r="S22">
        <v>4983.7269113496177</v>
      </c>
      <c r="T22">
        <v>235.5104379290872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7.5170467887461898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5050.4413716326299</v>
      </c>
      <c r="AS22">
        <v>2108.0791581456701</v>
      </c>
      <c r="AT22">
        <v>8018.0444478146992</v>
      </c>
      <c r="AU22">
        <v>15949.9837150327</v>
      </c>
      <c r="AV22">
        <v>26.960627056900002</v>
      </c>
      <c r="AW22">
        <v>8488.2230403558297</v>
      </c>
      <c r="AX22">
        <v>26.83840954758</v>
      </c>
      <c r="AY22">
        <v>662.143368282305</v>
      </c>
      <c r="AZ22">
        <v>23360.725289119</v>
      </c>
      <c r="BA22">
        <v>7010.4418690136599</v>
      </c>
      <c r="BB22">
        <v>2468.4934124624001</v>
      </c>
      <c r="BC22">
        <v>874.53301648599995</v>
      </c>
      <c r="BD22">
        <v>2215.3406393403002</v>
      </c>
      <c r="BE22">
        <v>3273.5352910359002</v>
      </c>
      <c r="BF22">
        <v>128.12948849290001</v>
      </c>
      <c r="BG22">
        <v>710.2622544142647</v>
      </c>
      <c r="BH22">
        <v>438.23633378573538</v>
      </c>
      <c r="BI22">
        <v>0</v>
      </c>
      <c r="BJ22">
        <v>0</v>
      </c>
      <c r="BK22">
        <v>1585.4834509899999</v>
      </c>
      <c r="BL22">
        <v>5484.6488585699999</v>
      </c>
      <c r="BM22">
        <v>0.72930991165692571</v>
      </c>
      <c r="BN22">
        <v>0</v>
      </c>
      <c r="BO22">
        <v>0</v>
      </c>
      <c r="BP22">
        <v>4666.4618214472184</v>
      </c>
      <c r="BQ22">
        <v>0</v>
      </c>
      <c r="BR22">
        <v>0</v>
      </c>
      <c r="BS22">
        <v>43.24791175475945</v>
      </c>
      <c r="BT22">
        <v>0</v>
      </c>
      <c r="BU22">
        <v>7435.9329311493466</v>
      </c>
      <c r="BV22">
        <v>2.1437064312718959</v>
      </c>
      <c r="BW22">
        <v>0</v>
      </c>
      <c r="BX22">
        <v>301.73270808747918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37588.165323314177</v>
      </c>
      <c r="CJ22">
        <v>1908.1984372858201</v>
      </c>
      <c r="CK22">
        <v>8.0925708148400002</v>
      </c>
      <c r="CL22">
        <v>43.787168113900002</v>
      </c>
      <c r="CM22">
        <v>9071.7807908699997</v>
      </c>
      <c r="CN22">
        <v>0</v>
      </c>
      <c r="CO22">
        <v>0</v>
      </c>
      <c r="CP22">
        <v>347.92681815999998</v>
      </c>
      <c r="CQ22">
        <v>984.28394153700003</v>
      </c>
      <c r="CR22">
        <v>0</v>
      </c>
      <c r="CS22">
        <v>0</v>
      </c>
      <c r="CT22">
        <v>0</v>
      </c>
      <c r="CU22">
        <v>689.76229474199999</v>
      </c>
      <c r="CV22">
        <v>7.7309901311899996</v>
      </c>
      <c r="CW22">
        <v>50.515630950077558</v>
      </c>
      <c r="CX22">
        <v>11.094501610822441</v>
      </c>
      <c r="CY22">
        <v>967.10634446200015</v>
      </c>
      <c r="CZ22">
        <v>4.0624645841598698E-3</v>
      </c>
      <c r="DA22">
        <v>1.8210031991701299E-3</v>
      </c>
      <c r="DB22">
        <v>0</v>
      </c>
      <c r="DC22">
        <v>0</v>
      </c>
      <c r="DD22">
        <v>0.46723417790522082</v>
      </c>
      <c r="DE22">
        <v>0.26654030710377918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0.14561557168100001</v>
      </c>
      <c r="DM22">
        <v>3671.05667554</v>
      </c>
      <c r="DN22">
        <v>310.99962491299999</v>
      </c>
      <c r="DO22">
        <v>0</v>
      </c>
      <c r="DP22">
        <v>1938.44845799</v>
      </c>
      <c r="DQ22">
        <v>1956.93538405</v>
      </c>
      <c r="DR22">
        <v>2869.1544762899998</v>
      </c>
      <c r="DS22">
        <v>26547.7846919</v>
      </c>
      <c r="DT22">
        <v>1501.0289734744999</v>
      </c>
      <c r="DU22">
        <v>7391.2707397499989</v>
      </c>
      <c r="DV22">
        <v>0</v>
      </c>
      <c r="DW22">
        <v>0</v>
      </c>
      <c r="DX22">
        <v>160.53293276706461</v>
      </c>
      <c r="DY22">
        <v>458.08197929454701</v>
      </c>
      <c r="DZ22">
        <v>10186.75299786705</v>
      </c>
      <c r="EA22">
        <v>1235.3526669582809</v>
      </c>
      <c r="EB22">
        <v>488.06950732907501</v>
      </c>
      <c r="EC22">
        <v>36.951677209631541</v>
      </c>
      <c r="ED22">
        <v>213.02996467476001</v>
      </c>
      <c r="EE22">
        <v>167.10322240432029</v>
      </c>
      <c r="EF22">
        <v>0</v>
      </c>
      <c r="EG22">
        <v>11.36406994162234</v>
      </c>
      <c r="EH22">
        <v>0</v>
      </c>
      <c r="EI22">
        <v>0</v>
      </c>
      <c r="EJ22">
        <v>2459.8227431700002</v>
      </c>
      <c r="EK22">
        <v>9539.4035679999997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8925.8146115100008</v>
      </c>
      <c r="ER22">
        <v>1377.8064414299999</v>
      </c>
      <c r="ES22">
        <v>5628.20353823</v>
      </c>
      <c r="ET22">
        <v>8796.4664476500002</v>
      </c>
      <c r="EU22">
        <v>0</v>
      </c>
      <c r="EV22">
        <v>30296.038247430999</v>
      </c>
      <c r="EW22">
        <v>769.05730232869996</v>
      </c>
      <c r="EX22">
        <v>9886.4385954099998</v>
      </c>
      <c r="EY22">
        <v>7198.7452669800005</v>
      </c>
      <c r="EZ22">
        <v>83954.164852629998</v>
      </c>
      <c r="FA22">
        <v>15294.563008583</v>
      </c>
      <c r="FB22">
        <v>30950.3724516</v>
      </c>
      <c r="FC22">
        <v>308.12175901199998</v>
      </c>
      <c r="FD22">
        <v>1190.0860007440001</v>
      </c>
      <c r="FE22">
        <v>749.58537190106574</v>
      </c>
      <c r="FF22">
        <v>11302.3998226312</v>
      </c>
      <c r="FG22">
        <v>16771.579081532</v>
      </c>
      <c r="FH22">
        <v>42904.638546299997</v>
      </c>
      <c r="FI22">
        <v>13529.354277</v>
      </c>
      <c r="FJ22">
        <v>31909.8454513</v>
      </c>
      <c r="FK22">
        <v>0</v>
      </c>
      <c r="FL22">
        <v>242143.13257310001</v>
      </c>
      <c r="FM22">
        <v>3328.271032657</v>
      </c>
      <c r="FN22">
        <v>70.890308732400001</v>
      </c>
      <c r="FO22">
        <v>11126.0696009</v>
      </c>
      <c r="FP22">
        <v>15846.2651147</v>
      </c>
      <c r="FQ22">
        <v>186753.73804475501</v>
      </c>
      <c r="FR22">
        <v>130808.66813279</v>
      </c>
      <c r="FS22">
        <v>258670.86586419999</v>
      </c>
      <c r="FT22">
        <v>767.06281134100004</v>
      </c>
      <c r="FU22">
        <v>804.795130685</v>
      </c>
      <c r="FV22">
        <v>332.70708407199999</v>
      </c>
      <c r="FW22">
        <v>949.25281436</v>
      </c>
      <c r="FX22">
        <v>167.74187124900001</v>
      </c>
      <c r="FY22">
        <v>222.57871309000001</v>
      </c>
      <c r="FZ22">
        <v>919.98164076199998</v>
      </c>
      <c r="GA22">
        <v>70.537428166500007</v>
      </c>
      <c r="GB22">
        <v>6.1009405066999998</v>
      </c>
      <c r="GC22">
        <v>773.51984684800004</v>
      </c>
      <c r="GD22">
        <v>479.80123612099999</v>
      </c>
      <c r="GE22">
        <v>1.8890696923700001</v>
      </c>
      <c r="GF22">
        <v>266.24321473499998</v>
      </c>
      <c r="GG22">
        <v>472.33991311599999</v>
      </c>
      <c r="GH22">
        <v>460.33404258299998</v>
      </c>
      <c r="GI22">
        <v>317.56515019599999</v>
      </c>
      <c r="GJ22">
        <v>84.577913012400003</v>
      </c>
      <c r="GK22">
        <v>1333.3558007900001</v>
      </c>
      <c r="GL22">
        <v>52.302272047400002</v>
      </c>
      <c r="GM22">
        <v>192.22371685499999</v>
      </c>
      <c r="GN22">
        <v>22590.5100676</v>
      </c>
      <c r="GO22">
        <v>71885.084968099996</v>
      </c>
      <c r="GP22">
        <v>11238.476071223</v>
      </c>
      <c r="GQ22">
        <v>0</v>
      </c>
      <c r="GR22">
        <v>10307.068231872499</v>
      </c>
      <c r="GS22">
        <v>5050.4413716326299</v>
      </c>
      <c r="GT22">
        <v>31083.776765543069</v>
      </c>
      <c r="GU22">
        <v>8862.9789436519168</v>
      </c>
      <c r="GV22">
        <v>8625.6836483218303</v>
      </c>
      <c r="GW22">
        <v>35754.451946233312</v>
      </c>
      <c r="GX22">
        <v>348068.80637080298</v>
      </c>
      <c r="GY22">
        <v>115961.4466882009</v>
      </c>
      <c r="GZ22">
        <v>5617.0054188691001</v>
      </c>
      <c r="HA22">
        <v>76311.734081727249</v>
      </c>
      <c r="HB22">
        <v>83954.164852629998</v>
      </c>
      <c r="HC22">
        <v>879887.65012239758</v>
      </c>
    </row>
    <row r="23" spans="1:211" x14ac:dyDescent="0.45">
      <c r="A23" s="1" t="s">
        <v>8</v>
      </c>
      <c r="B23">
        <v>9.3562759895454827E-3</v>
      </c>
      <c r="C23">
        <v>0.42142992729175638</v>
      </c>
      <c r="D23">
        <v>1.4948985713140951E-2</v>
      </c>
      <c r="E23">
        <v>1.338421080057199</v>
      </c>
      <c r="F23">
        <v>8.0885764963274709E-2</v>
      </c>
      <c r="G23">
        <v>0</v>
      </c>
      <c r="H23">
        <v>2.1627975209766882E-2</v>
      </c>
      <c r="I23">
        <v>0</v>
      </c>
      <c r="J23">
        <v>0</v>
      </c>
      <c r="K23">
        <v>0</v>
      </c>
      <c r="L23">
        <v>0.58222489837922753</v>
      </c>
      <c r="M23">
        <v>0.31428620276752472</v>
      </c>
      <c r="N23">
        <v>2.974822533448538E-2</v>
      </c>
      <c r="O23">
        <v>3.3307930730721913E-2</v>
      </c>
      <c r="P23">
        <v>0</v>
      </c>
      <c r="Q23">
        <v>0</v>
      </c>
      <c r="R23">
        <v>0</v>
      </c>
      <c r="S23">
        <v>0.16270565880975821</v>
      </c>
      <c r="T23">
        <v>0.24150129805919371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7.3532602124952537E-2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1.000508607731297</v>
      </c>
      <c r="AS23">
        <v>0.245138361833485</v>
      </c>
      <c r="AT23">
        <v>1.219022189480824</v>
      </c>
      <c r="AU23">
        <v>3.1887669008296111</v>
      </c>
      <c r="AV23">
        <v>2.4434849900126479E-3</v>
      </c>
      <c r="AW23">
        <v>1.603542962327241</v>
      </c>
      <c r="AX23">
        <v>1.06302537517989E-3</v>
      </c>
      <c r="AY23">
        <v>5.1194694345695263E-2</v>
      </c>
      <c r="AZ23">
        <v>3.659096578648402</v>
      </c>
      <c r="BA23">
        <v>1.1076937963985509</v>
      </c>
      <c r="BB23">
        <v>0.43719496482595221</v>
      </c>
      <c r="BC23">
        <v>0.10612034833448861</v>
      </c>
      <c r="BD23">
        <v>0.36313423920111482</v>
      </c>
      <c r="BE23">
        <v>0.38801807078848782</v>
      </c>
      <c r="BF23">
        <v>1.9635331939096529E-2</v>
      </c>
      <c r="BG23">
        <v>9.0869151424878017E-2</v>
      </c>
      <c r="BH23">
        <v>5.4127655482194767E-2</v>
      </c>
      <c r="BI23">
        <v>0</v>
      </c>
      <c r="BJ23">
        <v>0</v>
      </c>
      <c r="BK23">
        <v>0.31359867242233191</v>
      </c>
      <c r="BL23">
        <v>0.50248060539496053</v>
      </c>
      <c r="BM23">
        <v>2.0968211983070911E-5</v>
      </c>
      <c r="BN23">
        <v>0</v>
      </c>
      <c r="BO23">
        <v>0</v>
      </c>
      <c r="BP23">
        <v>6.1987074874177823</v>
      </c>
      <c r="BQ23">
        <v>0</v>
      </c>
      <c r="BR23">
        <v>0</v>
      </c>
      <c r="BS23">
        <v>1.480702456219136E-2</v>
      </c>
      <c r="BT23">
        <v>0</v>
      </c>
      <c r="BU23">
        <v>4.40455317643619</v>
      </c>
      <c r="BV23">
        <v>4.3816773552174122E-4</v>
      </c>
      <c r="BW23">
        <v>0</v>
      </c>
      <c r="BX23">
        <v>0.10471604368602661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7.934266589109332</v>
      </c>
      <c r="CJ23">
        <v>0.29865157237660772</v>
      </c>
      <c r="CK23">
        <v>1.3860450370651121E-3</v>
      </c>
      <c r="CL23">
        <v>5.8418536739568922E-3</v>
      </c>
      <c r="CM23">
        <v>1.802737408731566</v>
      </c>
      <c r="CN23">
        <v>0</v>
      </c>
      <c r="CO23">
        <v>0</v>
      </c>
      <c r="CP23">
        <v>2.8287089033749348E-2</v>
      </c>
      <c r="CQ23">
        <v>3.3195628167763197E-2</v>
      </c>
      <c r="CR23">
        <v>0</v>
      </c>
      <c r="CS23">
        <v>0</v>
      </c>
      <c r="CT23">
        <v>0</v>
      </c>
      <c r="CU23">
        <v>0.113608722564257</v>
      </c>
      <c r="CV23">
        <v>1.1781826634700259E-3</v>
      </c>
      <c r="CW23">
        <v>8.579746373592035E-3</v>
      </c>
      <c r="CX23">
        <v>1.525940143654831E-3</v>
      </c>
      <c r="CY23">
        <v>0.14494269890475209</v>
      </c>
      <c r="CZ23">
        <v>9.3806136781866529E-7</v>
      </c>
      <c r="DA23">
        <v>2.9949655155615779E-7</v>
      </c>
      <c r="DB23">
        <v>0</v>
      </c>
      <c r="DC23">
        <v>0</v>
      </c>
      <c r="DD23">
        <v>1.093078442089232E-4</v>
      </c>
      <c r="DE23">
        <v>6.5630908584880706E-5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3.0073167212576029E-5</v>
      </c>
      <c r="DM23">
        <v>0.72208118388494824</v>
      </c>
      <c r="DN23">
        <v>4.9407489196907878E-2</v>
      </c>
      <c r="DO23">
        <v>0</v>
      </c>
      <c r="DP23">
        <v>0.28467619795147597</v>
      </c>
      <c r="DQ23">
        <v>0.25719931251948708</v>
      </c>
      <c r="DR23">
        <v>0.32589593809979073</v>
      </c>
      <c r="DS23">
        <v>4.8701749997446253</v>
      </c>
      <c r="DT23">
        <v>0.23939924602191379</v>
      </c>
      <c r="DU23">
        <v>1.0506625809034871</v>
      </c>
      <c r="DV23">
        <v>0</v>
      </c>
      <c r="DW23">
        <v>0</v>
      </c>
      <c r="DX23">
        <v>0.41787419534054981</v>
      </c>
      <c r="DY23">
        <v>8.0753909508085336E-2</v>
      </c>
      <c r="DZ23">
        <v>1.3010816937539</v>
      </c>
      <c r="EA23">
        <v>0.18730042564789451</v>
      </c>
      <c r="EB23">
        <v>3.740960700726656E-2</v>
      </c>
      <c r="EC23">
        <v>3.1100365049656839E-2</v>
      </c>
      <c r="ED23">
        <v>2.5953119528789901E-2</v>
      </c>
      <c r="EE23">
        <v>3.0616461408698092E-3</v>
      </c>
      <c r="EF23">
        <v>0</v>
      </c>
      <c r="EG23">
        <v>2.2123788824859399E-3</v>
      </c>
      <c r="EH23">
        <v>0</v>
      </c>
      <c r="EI23">
        <v>0</v>
      </c>
      <c r="EJ23">
        <v>0.12706675840237841</v>
      </c>
      <c r="EK23">
        <v>0.45838462546230729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1.2892524074509391</v>
      </c>
      <c r="ER23">
        <v>1.215445288577947</v>
      </c>
      <c r="ES23">
        <v>0.49912908749190271</v>
      </c>
      <c r="ET23">
        <v>1.1598866820988689</v>
      </c>
      <c r="EU23">
        <v>0</v>
      </c>
      <c r="EV23">
        <v>1.29038821757269</v>
      </c>
      <c r="EW23">
        <v>0.12165776186979289</v>
      </c>
      <c r="EX23">
        <v>0.55264491450773168</v>
      </c>
      <c r="EY23">
        <v>0.41079168979031122</v>
      </c>
      <c r="EZ23">
        <v>4.6666431232993251</v>
      </c>
      <c r="FA23">
        <v>2.8018124738972938</v>
      </c>
      <c r="FB23">
        <v>4.3350149037999257</v>
      </c>
      <c r="FC23">
        <v>0.97270926789645984</v>
      </c>
      <c r="FD23">
        <v>2.2917944511533022</v>
      </c>
      <c r="FE23">
        <v>1.4424560112681231</v>
      </c>
      <c r="FF23">
        <v>4.9180815665694091</v>
      </c>
      <c r="FG23">
        <v>1.919898365758357</v>
      </c>
      <c r="FH23">
        <v>2.4022726751572439</v>
      </c>
      <c r="FI23">
        <v>1.133333647961424</v>
      </c>
      <c r="FJ23">
        <v>2.8967136343425359</v>
      </c>
      <c r="FK23">
        <v>0</v>
      </c>
      <c r="FL23">
        <v>20.09942219147829</v>
      </c>
      <c r="FM23">
        <v>0.23266148924080679</v>
      </c>
      <c r="FN23">
        <v>4.6393926362913868E-3</v>
      </c>
      <c r="FO23">
        <v>3.0896953154177771</v>
      </c>
      <c r="FP23">
        <v>0.93126985802015916</v>
      </c>
      <c r="FQ23">
        <v>16.54508150763056</v>
      </c>
      <c r="FR23">
        <v>5.9667356008821848</v>
      </c>
      <c r="FS23">
        <v>12.118793675561511</v>
      </c>
      <c r="FT23">
        <v>6.1065531075596709E-2</v>
      </c>
      <c r="FU23">
        <v>6.4555489842731198E-2</v>
      </c>
      <c r="FV23">
        <v>2.8002806710351089E-2</v>
      </c>
      <c r="FW23">
        <v>7.6304762210799931E-2</v>
      </c>
      <c r="FX23">
        <v>1.3429308652226621E-2</v>
      </c>
      <c r="FY23">
        <v>1.820200850845622E-2</v>
      </c>
      <c r="FZ23">
        <v>7.156160793060426E-2</v>
      </c>
      <c r="GA23">
        <v>5.1034045983419382E-3</v>
      </c>
      <c r="GB23">
        <v>4.5095370914665441E-4</v>
      </c>
      <c r="GC23">
        <v>6.0692891875616953E-2</v>
      </c>
      <c r="GD23">
        <v>3.932612724392915E-2</v>
      </c>
      <c r="GE23">
        <v>4.5248506375608128E-4</v>
      </c>
      <c r="GF23">
        <v>2.3456566957717279E-2</v>
      </c>
      <c r="GG23">
        <v>4.1946022852931211E-2</v>
      </c>
      <c r="GH23">
        <v>3.8882418780783433E-2</v>
      </c>
      <c r="GI23">
        <v>2.60567018193145E-2</v>
      </c>
      <c r="GJ23">
        <v>7.4681940137677439E-3</v>
      </c>
      <c r="GK23">
        <v>0.1014675627730927</v>
      </c>
      <c r="GL23">
        <v>4.3049269075874511E-3</v>
      </c>
      <c r="GM23">
        <v>1.5084178206230059E-2</v>
      </c>
      <c r="GN23">
        <v>1.6223271873463581</v>
      </c>
      <c r="GO23">
        <v>7.0044816949549338</v>
      </c>
      <c r="GP23">
        <v>0.71058634055162639</v>
      </c>
      <c r="GQ23">
        <v>0</v>
      </c>
      <c r="GR23">
        <v>1.3408645650472111</v>
      </c>
      <c r="GS23">
        <v>1.000508607731297</v>
      </c>
      <c r="GT23">
        <v>5.5494385532906723</v>
      </c>
      <c r="GU23">
        <v>1.8747924857209199</v>
      </c>
      <c r="GV23">
        <v>1.6368508930579631</v>
      </c>
      <c r="GW23">
        <v>5.4742334240908557</v>
      </c>
      <c r="GX23">
        <v>40.541002444871879</v>
      </c>
      <c r="GY23">
        <v>35.958361135039702</v>
      </c>
      <c r="GZ23">
        <v>0.77078764192869909</v>
      </c>
      <c r="HA23">
        <v>20.535072691295131</v>
      </c>
      <c r="HB23">
        <v>4.6666431232993251</v>
      </c>
      <c r="HC23">
        <v>60.150916006427167</v>
      </c>
    </row>
    <row r="24" spans="1:211" x14ac:dyDescent="0.45">
      <c r="A24" s="1" t="s">
        <v>9</v>
      </c>
      <c r="B24">
        <v>4.1802954690416172E-2</v>
      </c>
      <c r="C24">
        <v>1.78912727634405</v>
      </c>
      <c r="D24">
        <v>7.7812602977509845E-2</v>
      </c>
      <c r="E24">
        <v>1.7194277921081</v>
      </c>
      <c r="F24">
        <v>0.55242102675077098</v>
      </c>
      <c r="G24">
        <v>0</v>
      </c>
      <c r="H24">
        <v>9.2405513178953375E-2</v>
      </c>
      <c r="I24">
        <v>0</v>
      </c>
      <c r="J24">
        <v>0</v>
      </c>
      <c r="K24">
        <v>0</v>
      </c>
      <c r="L24">
        <v>2.007985660457154</v>
      </c>
      <c r="M24">
        <v>2.2595653276833092</v>
      </c>
      <c r="N24">
        <v>0.1858579148509045</v>
      </c>
      <c r="O24">
        <v>0.44404037386113743</v>
      </c>
      <c r="P24">
        <v>0</v>
      </c>
      <c r="Q24">
        <v>0</v>
      </c>
      <c r="R24">
        <v>0</v>
      </c>
      <c r="S24">
        <v>0.45279591152946252</v>
      </c>
      <c r="T24">
        <v>0.27167615364050218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0.65907796234841831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12.272954278582519</v>
      </c>
      <c r="AS24">
        <v>0.72633981063570863</v>
      </c>
      <c r="AT24">
        <v>2.144500268560861</v>
      </c>
      <c r="AU24">
        <v>4.814266466678955</v>
      </c>
      <c r="AV24">
        <v>5.2533654315564038E-3</v>
      </c>
      <c r="AW24">
        <v>9.3745067990612743</v>
      </c>
      <c r="AX24">
        <v>2.3806956503009519E-3</v>
      </c>
      <c r="AY24">
        <v>0.27273386335899968</v>
      </c>
      <c r="AZ24">
        <v>10.498409361677719</v>
      </c>
      <c r="BA24">
        <v>2.0702314355892311</v>
      </c>
      <c r="BB24">
        <v>1.19132876997912</v>
      </c>
      <c r="BC24">
        <v>9.6956676623591184E-2</v>
      </c>
      <c r="BD24">
        <v>0.18271950186283739</v>
      </c>
      <c r="BE24">
        <v>0.2298590503208246</v>
      </c>
      <c r="BF24">
        <v>1.2433148430785969E-2</v>
      </c>
      <c r="BG24">
        <v>8.7682178555130635E-2</v>
      </c>
      <c r="BH24">
        <v>4.6153909850897672E-2</v>
      </c>
      <c r="BI24">
        <v>0</v>
      </c>
      <c r="BJ24">
        <v>0</v>
      </c>
      <c r="BK24">
        <v>0.22898210541697331</v>
      </c>
      <c r="BL24">
        <v>0.54425300164023827</v>
      </c>
      <c r="BM24">
        <v>1.983104705190103E-4</v>
      </c>
      <c r="BN24">
        <v>0</v>
      </c>
      <c r="BO24">
        <v>0</v>
      </c>
      <c r="BP24">
        <v>2.5459737965045299</v>
      </c>
      <c r="BQ24">
        <v>0</v>
      </c>
      <c r="BR24">
        <v>0</v>
      </c>
      <c r="BS24">
        <v>6.6348337802003962E-3</v>
      </c>
      <c r="BT24">
        <v>0</v>
      </c>
      <c r="BU24">
        <v>1.855393119674785</v>
      </c>
      <c r="BV24">
        <v>1.8104900701401751E-4</v>
      </c>
      <c r="BW24">
        <v>0</v>
      </c>
      <c r="BX24">
        <v>4.5537829688962327E-2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6.1303383003119034</v>
      </c>
      <c r="CJ24">
        <v>0.42027568002169302</v>
      </c>
      <c r="CK24">
        <v>3.5777624580817301E-3</v>
      </c>
      <c r="CL24">
        <v>2.6309409919966869E-2</v>
      </c>
      <c r="CM24">
        <v>2.3263145245576751</v>
      </c>
      <c r="CN24">
        <v>0</v>
      </c>
      <c r="CO24">
        <v>0</v>
      </c>
      <c r="CP24">
        <v>5.2055626171686617E-2</v>
      </c>
      <c r="CQ24">
        <v>9.7742006331163256E-2</v>
      </c>
      <c r="CR24">
        <v>0</v>
      </c>
      <c r="CS24">
        <v>0</v>
      </c>
      <c r="CT24">
        <v>0</v>
      </c>
      <c r="CU24">
        <v>0.29170069306355312</v>
      </c>
      <c r="CV24">
        <v>3.806990378763165E-3</v>
      </c>
      <c r="CW24">
        <v>4.7575453171933187E-2</v>
      </c>
      <c r="CX24">
        <v>4.8933450404734921E-3</v>
      </c>
      <c r="CY24">
        <v>0.44592915967201219</v>
      </c>
      <c r="CZ24">
        <v>2.8182141035552E-6</v>
      </c>
      <c r="DA24">
        <v>5.2034663350657429E-7</v>
      </c>
      <c r="DB24">
        <v>0</v>
      </c>
      <c r="DC24">
        <v>0</v>
      </c>
      <c r="DD24">
        <v>8.6291483380476709E-5</v>
      </c>
      <c r="DE24">
        <v>3.1839238663919463E-5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5.4664221489340259E-5</v>
      </c>
      <c r="DM24">
        <v>0.32453760151664879</v>
      </c>
      <c r="DN24">
        <v>2.2350936017820341E-2</v>
      </c>
      <c r="DO24">
        <v>0</v>
      </c>
      <c r="DP24">
        <v>0.15868112763401471</v>
      </c>
      <c r="DQ24">
        <v>0.16895243813085231</v>
      </c>
      <c r="DR24">
        <v>0.30455243301273022</v>
      </c>
      <c r="DS24">
        <v>2.0992477335612461</v>
      </c>
      <c r="DT24">
        <v>7.8685841561562705E-2</v>
      </c>
      <c r="DU24">
        <v>0.86251403245276814</v>
      </c>
      <c r="DV24">
        <v>0</v>
      </c>
      <c r="DW24">
        <v>0</v>
      </c>
      <c r="DX24">
        <v>1.771748022660754</v>
      </c>
      <c r="DY24">
        <v>0.87736943293169589</v>
      </c>
      <c r="DZ24">
        <v>1.647487213886079</v>
      </c>
      <c r="EA24">
        <v>0.19434400657320519</v>
      </c>
      <c r="EB24">
        <v>8.2787222102773575E-2</v>
      </c>
      <c r="EC24">
        <v>8.3544450394424083E-2</v>
      </c>
      <c r="ED24">
        <v>5.4648965705988289E-2</v>
      </c>
      <c r="EE24">
        <v>5.9436286184624812E-3</v>
      </c>
      <c r="EF24">
        <v>0</v>
      </c>
      <c r="EG24">
        <v>2.131726516032933E-3</v>
      </c>
      <c r="EH24">
        <v>0</v>
      </c>
      <c r="EI24">
        <v>0</v>
      </c>
      <c r="EJ24">
        <v>0.1236316330292903</v>
      </c>
      <c r="EK24">
        <v>0.46486219111500549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2.9083831738386561</v>
      </c>
      <c r="ER24">
        <v>6.8443256427698458</v>
      </c>
      <c r="ES24">
        <v>0.55250195441670269</v>
      </c>
      <c r="ET24">
        <v>0.95348808183095024</v>
      </c>
      <c r="EU24">
        <v>0</v>
      </c>
      <c r="EV24">
        <v>0.95840855156138183</v>
      </c>
      <c r="EW24">
        <v>3.6048573998716242E-2</v>
      </c>
      <c r="EX24">
        <v>0.55740792075485723</v>
      </c>
      <c r="EY24">
        <v>0.29749218560616109</v>
      </c>
      <c r="EZ24">
        <v>6.9609924455841377</v>
      </c>
      <c r="FA24">
        <v>1.5143631558437141</v>
      </c>
      <c r="FB24">
        <v>14.09029982306366</v>
      </c>
      <c r="FC24">
        <v>3.1814809684951012E-2</v>
      </c>
      <c r="FD24">
        <v>0.89618482352183471</v>
      </c>
      <c r="FE24">
        <v>4.9803269774551007</v>
      </c>
      <c r="FF24">
        <v>12.692359750553919</v>
      </c>
      <c r="FG24">
        <v>3.6820671459355472</v>
      </c>
      <c r="FH24">
        <v>1.895308994559213</v>
      </c>
      <c r="FI24">
        <v>1.042805696771552</v>
      </c>
      <c r="FJ24">
        <v>2.070609681652428</v>
      </c>
      <c r="FK24">
        <v>0</v>
      </c>
      <c r="FL24">
        <v>17.913460375950851</v>
      </c>
      <c r="FM24">
        <v>0.2309784598699515</v>
      </c>
      <c r="FN24">
        <v>3.8630907452252171E-3</v>
      </c>
      <c r="FO24">
        <v>1.5577326752152341</v>
      </c>
      <c r="FP24">
        <v>0.87637772997555019</v>
      </c>
      <c r="FQ24">
        <v>14.76198189049822</v>
      </c>
      <c r="FR24">
        <v>6.7918041812435606</v>
      </c>
      <c r="FS24">
        <v>9.7380332797498319</v>
      </c>
      <c r="FT24">
        <v>0.1274022607208542</v>
      </c>
      <c r="FU24">
        <v>0.1332351197049137</v>
      </c>
      <c r="FV24">
        <v>5.3323015858423202E-2</v>
      </c>
      <c r="FW24">
        <v>0.16339991034851961</v>
      </c>
      <c r="FX24">
        <v>3.0245406738774849E-2</v>
      </c>
      <c r="FY24">
        <v>3.6720493187562972E-2</v>
      </c>
      <c r="FZ24">
        <v>0.1508326134204484</v>
      </c>
      <c r="GA24">
        <v>1.0586692177730001E-2</v>
      </c>
      <c r="GB24">
        <v>7.317175649727332E-4</v>
      </c>
      <c r="GC24">
        <v>0.120322753089995</v>
      </c>
      <c r="GD24">
        <v>0.50049489052461893</v>
      </c>
      <c r="GE24">
        <v>1.4334590967486681E-4</v>
      </c>
      <c r="GF24">
        <v>0.35543640565261397</v>
      </c>
      <c r="GG24">
        <v>0.68115141454610573</v>
      </c>
      <c r="GH24">
        <v>3.53491191588056</v>
      </c>
      <c r="GI24">
        <v>1.2431589039189901</v>
      </c>
      <c r="GJ24">
        <v>7.4403800182897564E-2</v>
      </c>
      <c r="GK24">
        <v>0.2181038606337502</v>
      </c>
      <c r="GL24">
        <v>7.0670767376608948E-2</v>
      </c>
      <c r="GM24">
        <v>0.21766860767255489</v>
      </c>
      <c r="GN24">
        <v>1.563667094652111</v>
      </c>
      <c r="GO24">
        <v>7.4746507358842553</v>
      </c>
      <c r="GP24">
        <v>0.21255400532237759</v>
      </c>
      <c r="GQ24">
        <v>0</v>
      </c>
      <c r="GR24">
        <v>1.7246811575396559</v>
      </c>
      <c r="GS24">
        <v>12.272954278582519</v>
      </c>
      <c r="GT24">
        <v>11.952657534015991</v>
      </c>
      <c r="GU24">
        <v>9.8320408675526814</v>
      </c>
      <c r="GV24">
        <v>9.8185471729224112</v>
      </c>
      <c r="GW24">
        <v>14.8186702974991</v>
      </c>
      <c r="GX24">
        <v>45.147135047883033</v>
      </c>
      <c r="GY24">
        <v>52.551329799034107</v>
      </c>
      <c r="GZ24">
        <v>0.42501170061444798</v>
      </c>
      <c r="HA24">
        <v>24.521846774041538</v>
      </c>
      <c r="HB24">
        <v>6.9609924455841377</v>
      </c>
      <c r="HC24">
        <v>62.027237743523443</v>
      </c>
    </row>
    <row r="25" spans="1:211" x14ac:dyDescent="0.45">
      <c r="A25" s="1" t="s">
        <v>10</v>
      </c>
      <c r="B25">
        <v>5.1159230679961649E-2</v>
      </c>
      <c r="C25">
        <v>2.210557203635807</v>
      </c>
      <c r="D25">
        <v>9.2761588690650792E-2</v>
      </c>
      <c r="E25">
        <v>3.057848872165299</v>
      </c>
      <c r="F25">
        <v>0.63330679171404569</v>
      </c>
      <c r="G25">
        <v>0</v>
      </c>
      <c r="H25">
        <v>0.11403348838872029</v>
      </c>
      <c r="I25">
        <v>0</v>
      </c>
      <c r="J25">
        <v>0</v>
      </c>
      <c r="K25">
        <v>0</v>
      </c>
      <c r="L25">
        <v>2.590210558836382</v>
      </c>
      <c r="M25">
        <v>2.5738515304508338</v>
      </c>
      <c r="N25">
        <v>0.21560614018538979</v>
      </c>
      <c r="O25">
        <v>0.47734830459185928</v>
      </c>
      <c r="P25">
        <v>0</v>
      </c>
      <c r="Q25">
        <v>0</v>
      </c>
      <c r="R25">
        <v>0</v>
      </c>
      <c r="S25">
        <v>0.61550157033922082</v>
      </c>
      <c r="T25">
        <v>0.51317745169969586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0.73261056447337081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13.273462886313821</v>
      </c>
      <c r="AS25">
        <v>0.97147817246919366</v>
      </c>
      <c r="AT25">
        <v>3.3635224580416851</v>
      </c>
      <c r="AU25">
        <v>8.0030333675085661</v>
      </c>
      <c r="AV25">
        <v>7.6968504215690521E-3</v>
      </c>
      <c r="AW25">
        <v>10.978049761388521</v>
      </c>
      <c r="AX25">
        <v>3.443721025480843E-3</v>
      </c>
      <c r="AY25">
        <v>0.32392855770469492</v>
      </c>
      <c r="AZ25">
        <v>14.15750594032612</v>
      </c>
      <c r="BA25">
        <v>3.177925231987782</v>
      </c>
      <c r="BB25">
        <v>1.6285237348050721</v>
      </c>
      <c r="BC25">
        <v>0.20307702495807969</v>
      </c>
      <c r="BD25">
        <v>0.54585374106395212</v>
      </c>
      <c r="BE25">
        <v>0.61787712110931237</v>
      </c>
      <c r="BF25">
        <v>3.2068480369882503E-2</v>
      </c>
      <c r="BG25">
        <v>0.17855132998000869</v>
      </c>
      <c r="BH25">
        <v>0.1002815653330924</v>
      </c>
      <c r="BI25">
        <v>0</v>
      </c>
      <c r="BJ25">
        <v>0</v>
      </c>
      <c r="BK25">
        <v>0.54258077783930514</v>
      </c>
      <c r="BL25">
        <v>1.0467336070351989</v>
      </c>
      <c r="BM25">
        <v>2.1927868250208119E-4</v>
      </c>
      <c r="BN25">
        <v>0</v>
      </c>
      <c r="BO25">
        <v>0</v>
      </c>
      <c r="BP25">
        <v>8.7446812839223114</v>
      </c>
      <c r="BQ25">
        <v>0</v>
      </c>
      <c r="BR25">
        <v>0</v>
      </c>
      <c r="BS25">
        <v>2.1441858342391752E-2</v>
      </c>
      <c r="BT25">
        <v>0</v>
      </c>
      <c r="BU25">
        <v>6.2599462961109751</v>
      </c>
      <c r="BV25">
        <v>6.192167425357587E-4</v>
      </c>
      <c r="BW25">
        <v>0</v>
      </c>
      <c r="BX25">
        <v>0.15025387337498891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14.064604889421229</v>
      </c>
      <c r="CJ25">
        <v>0.71892725239830069</v>
      </c>
      <c r="CK25">
        <v>4.9638074951468434E-3</v>
      </c>
      <c r="CL25">
        <v>3.2151263593923757E-2</v>
      </c>
      <c r="CM25">
        <v>4.129051933289241</v>
      </c>
      <c r="CN25">
        <v>0</v>
      </c>
      <c r="CO25">
        <v>0</v>
      </c>
      <c r="CP25">
        <v>8.0342715205435983E-2</v>
      </c>
      <c r="CQ25">
        <v>0.13093763449892651</v>
      </c>
      <c r="CR25">
        <v>0</v>
      </c>
      <c r="CS25">
        <v>0</v>
      </c>
      <c r="CT25">
        <v>0</v>
      </c>
      <c r="CU25">
        <v>0.40530941562781009</v>
      </c>
      <c r="CV25">
        <v>4.9851730422331908E-3</v>
      </c>
      <c r="CW25">
        <v>5.6155199545525232E-2</v>
      </c>
      <c r="CX25">
        <v>6.4192851841283231E-3</v>
      </c>
      <c r="CY25">
        <v>0.59087185857676428</v>
      </c>
      <c r="CZ25">
        <v>3.7562754713738659E-6</v>
      </c>
      <c r="DA25">
        <v>8.1984318506273213E-7</v>
      </c>
      <c r="DB25">
        <v>0</v>
      </c>
      <c r="DC25">
        <v>0</v>
      </c>
      <c r="DD25">
        <v>1.9559932758939991E-4</v>
      </c>
      <c r="DE25">
        <v>9.7470147248800176E-5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8.4737388701916288E-5</v>
      </c>
      <c r="DM25">
        <v>1.0466187854015969</v>
      </c>
      <c r="DN25">
        <v>7.1758425214728222E-2</v>
      </c>
      <c r="DO25">
        <v>0</v>
      </c>
      <c r="DP25">
        <v>0.44335732558549062</v>
      </c>
      <c r="DQ25">
        <v>0.42615175065033939</v>
      </c>
      <c r="DR25">
        <v>0.63044837111252083</v>
      </c>
      <c r="DS25">
        <v>6.9694227333058709</v>
      </c>
      <c r="DT25">
        <v>0.31808508758347648</v>
      </c>
      <c r="DU25">
        <v>1.913176613356256</v>
      </c>
      <c r="DV25">
        <v>0</v>
      </c>
      <c r="DW25">
        <v>0</v>
      </c>
      <c r="DX25">
        <v>2.1896222180013041</v>
      </c>
      <c r="DY25">
        <v>0.95812334243978126</v>
      </c>
      <c r="DZ25">
        <v>2.948568907639979</v>
      </c>
      <c r="EA25">
        <v>0.38164443222109973</v>
      </c>
      <c r="EB25">
        <v>0.12019682911004009</v>
      </c>
      <c r="EC25">
        <v>0.11464481544408089</v>
      </c>
      <c r="ED25">
        <v>8.0602085234778187E-2</v>
      </c>
      <c r="EE25">
        <v>9.0052747593322904E-3</v>
      </c>
      <c r="EF25">
        <v>0</v>
      </c>
      <c r="EG25">
        <v>4.3441053985188733E-3</v>
      </c>
      <c r="EH25">
        <v>0</v>
      </c>
      <c r="EI25">
        <v>0</v>
      </c>
      <c r="EJ25">
        <v>0.25069839143166872</v>
      </c>
      <c r="EK25">
        <v>0.92324681657731278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4.1976355812895951</v>
      </c>
      <c r="ER25">
        <v>8.0597709313477939</v>
      </c>
      <c r="ES25">
        <v>1.051631041908605</v>
      </c>
      <c r="ET25">
        <v>2.1133747639298202</v>
      </c>
      <c r="EU25">
        <v>0</v>
      </c>
      <c r="EV25">
        <v>2.248796769134072</v>
      </c>
      <c r="EW25">
        <v>0.15770633586850921</v>
      </c>
      <c r="EX25">
        <v>1.1100528352625889</v>
      </c>
      <c r="EY25">
        <v>0.7082838753964722</v>
      </c>
      <c r="EZ25">
        <v>11.627635568883459</v>
      </c>
      <c r="FA25">
        <v>4.3161756297410081</v>
      </c>
      <c r="FB25">
        <v>18.425314726863579</v>
      </c>
      <c r="FC25">
        <v>1.004524077581411</v>
      </c>
      <c r="FD25">
        <v>3.1879792746751372</v>
      </c>
      <c r="FE25">
        <v>6.422782988723224</v>
      </c>
      <c r="FF25">
        <v>17.610441317123321</v>
      </c>
      <c r="FG25">
        <v>5.601965511693904</v>
      </c>
      <c r="FH25">
        <v>4.2975816697164566</v>
      </c>
      <c r="FI25">
        <v>2.176139344732976</v>
      </c>
      <c r="FJ25">
        <v>4.9673233159949639</v>
      </c>
      <c r="FK25">
        <v>0</v>
      </c>
      <c r="FL25">
        <v>38.012882567429138</v>
      </c>
      <c r="FM25">
        <v>0.46363994911075829</v>
      </c>
      <c r="FN25">
        <v>8.5024833815166047E-3</v>
      </c>
      <c r="FO25">
        <v>4.6474279906330107</v>
      </c>
      <c r="FP25">
        <v>1.807647587995709</v>
      </c>
      <c r="FQ25">
        <v>31.307063398128768</v>
      </c>
      <c r="FR25">
        <v>12.75853978212575</v>
      </c>
      <c r="FS25">
        <v>21.856826955311341</v>
      </c>
      <c r="FT25">
        <v>0.1884677917964509</v>
      </c>
      <c r="FU25">
        <v>0.19779060954764491</v>
      </c>
      <c r="FV25">
        <v>8.1325822568774297E-2</v>
      </c>
      <c r="FW25">
        <v>0.2397046725593196</v>
      </c>
      <c r="FX25">
        <v>4.367471539100147E-2</v>
      </c>
      <c r="FY25">
        <v>5.4922501696019192E-2</v>
      </c>
      <c r="FZ25">
        <v>0.22239422135105261</v>
      </c>
      <c r="GA25">
        <v>1.569009677607194E-2</v>
      </c>
      <c r="GB25">
        <v>1.1826712741193879E-3</v>
      </c>
      <c r="GC25">
        <v>0.18101564496561201</v>
      </c>
      <c r="GD25">
        <v>0.53982101776854807</v>
      </c>
      <c r="GE25">
        <v>5.9583097343094815E-4</v>
      </c>
      <c r="GF25">
        <v>0.37889297261033128</v>
      </c>
      <c r="GG25">
        <v>0.72309743739903698</v>
      </c>
      <c r="GH25">
        <v>3.573794334661343</v>
      </c>
      <c r="GI25">
        <v>1.2692156057383039</v>
      </c>
      <c r="GJ25">
        <v>8.1871994196665313E-2</v>
      </c>
      <c r="GK25">
        <v>0.31957142340684291</v>
      </c>
      <c r="GL25">
        <v>7.4975694284196398E-2</v>
      </c>
      <c r="GM25">
        <v>0.23275278587878501</v>
      </c>
      <c r="GN25">
        <v>3.185994281998469</v>
      </c>
      <c r="GO25">
        <v>14.47913243083919</v>
      </c>
      <c r="GP25">
        <v>0.92314034587400395</v>
      </c>
      <c r="GQ25">
        <v>0</v>
      </c>
      <c r="GR25">
        <v>3.065545722586867</v>
      </c>
      <c r="GS25">
        <v>13.273462886313821</v>
      </c>
      <c r="GT25">
        <v>17.502096087306661</v>
      </c>
      <c r="GU25">
        <v>11.7068333532736</v>
      </c>
      <c r="GV25">
        <v>11.45539806598037</v>
      </c>
      <c r="GW25">
        <v>20.292903721589958</v>
      </c>
      <c r="GX25">
        <v>85.688137492754919</v>
      </c>
      <c r="GY25">
        <v>88.509690934073802</v>
      </c>
      <c r="GZ25">
        <v>1.195799342543147</v>
      </c>
      <c r="HA25">
        <v>45.056919465336662</v>
      </c>
      <c r="HB25">
        <v>11.627635568883459</v>
      </c>
      <c r="HC25">
        <v>122.1781537499506</v>
      </c>
    </row>
    <row r="26" spans="1:211" x14ac:dyDescent="0.45">
      <c r="A26" s="1" t="s">
        <v>11</v>
      </c>
      <c r="B26">
        <v>4.7231483336947593E-2</v>
      </c>
      <c r="C26">
        <v>0.71256789283442867</v>
      </c>
      <c r="D26">
        <v>7.3399853671585894E-3</v>
      </c>
      <c r="E26">
        <v>6.4508817602345433E-2</v>
      </c>
      <c r="F26">
        <v>0.99364138654622869</v>
      </c>
      <c r="G26">
        <v>0</v>
      </c>
      <c r="H26">
        <v>0</v>
      </c>
      <c r="I26">
        <v>1.7429107968875149E-2</v>
      </c>
      <c r="J26">
        <v>0</v>
      </c>
      <c r="K26">
        <v>0</v>
      </c>
      <c r="L26">
        <v>1.8603848769195311E-2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0.50096195725861747</v>
      </c>
      <c r="T26">
        <v>2.3230026078972461</v>
      </c>
      <c r="U26">
        <v>1.7665448433629199E-2</v>
      </c>
      <c r="V26">
        <v>0</v>
      </c>
      <c r="W26">
        <v>1.046372825570561E-2</v>
      </c>
      <c r="X26">
        <v>0</v>
      </c>
      <c r="Y26">
        <v>3.7720125344700592E-4</v>
      </c>
      <c r="Z26">
        <v>0</v>
      </c>
      <c r="AA26">
        <v>0</v>
      </c>
      <c r="AB26">
        <v>0</v>
      </c>
      <c r="AC26">
        <v>0</v>
      </c>
      <c r="AD26">
        <v>0.27000903357975858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1.8542810685573461</v>
      </c>
      <c r="AS26">
        <v>1.7364225122095041</v>
      </c>
      <c r="AT26">
        <v>1.7601298695262171</v>
      </c>
      <c r="AU26">
        <v>1.3832338300358229</v>
      </c>
      <c r="AV26">
        <v>0.1500556865515896</v>
      </c>
      <c r="AW26">
        <v>2.566424353178681</v>
      </c>
      <c r="AX26">
        <v>8.282255221511875E-2</v>
      </c>
      <c r="AY26">
        <v>0</v>
      </c>
      <c r="AZ26">
        <v>0</v>
      </c>
      <c r="BA26">
        <v>0.47187048584935909</v>
      </c>
      <c r="BB26">
        <v>0</v>
      </c>
      <c r="BC26">
        <v>0</v>
      </c>
      <c r="BD26">
        <v>0</v>
      </c>
      <c r="BE26">
        <v>6.2854448302295536</v>
      </c>
      <c r="BF26">
        <v>1.3882046736967419</v>
      </c>
      <c r="BG26">
        <v>2.4095616118397811</v>
      </c>
      <c r="BH26">
        <v>4.0954175307268102E-2</v>
      </c>
      <c r="BI26">
        <v>0</v>
      </c>
      <c r="BJ26">
        <v>0</v>
      </c>
      <c r="BK26">
        <v>0.70477301842251461</v>
      </c>
      <c r="BL26">
        <v>0.39070668656637808</v>
      </c>
      <c r="BM26">
        <v>3.9741867735322719E-4</v>
      </c>
      <c r="BN26">
        <v>0</v>
      </c>
      <c r="BO26">
        <v>0</v>
      </c>
      <c r="BP26">
        <v>0.21154332090161981</v>
      </c>
      <c r="BQ26">
        <v>0</v>
      </c>
      <c r="BR26">
        <v>0</v>
      </c>
      <c r="BS26">
        <v>2.9904167637989799E-2</v>
      </c>
      <c r="BT26">
        <v>0</v>
      </c>
      <c r="BU26">
        <v>5.7925950548112386</v>
      </c>
      <c r="BV26">
        <v>3.8349005303605618E-4</v>
      </c>
      <c r="BW26">
        <v>0</v>
      </c>
      <c r="BX26">
        <v>0.22827645140801561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1.5949884017085849</v>
      </c>
      <c r="CJ26">
        <v>0.19839756565939839</v>
      </c>
      <c r="CK26">
        <v>0</v>
      </c>
      <c r="CL26">
        <v>1.073263852834226E-2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0.45275474657207793</v>
      </c>
      <c r="CV26">
        <v>5.0154170937529829E-4</v>
      </c>
      <c r="CW26">
        <v>9.8643008159296085E-5</v>
      </c>
      <c r="CX26">
        <v>3.9201641691869799E-5</v>
      </c>
      <c r="CY26">
        <v>0.142835751929032</v>
      </c>
      <c r="CZ26">
        <v>0</v>
      </c>
      <c r="DA26">
        <v>3.3308000400117412E-7</v>
      </c>
      <c r="DB26">
        <v>4.6692330288316654E-3</v>
      </c>
      <c r="DC26">
        <v>1.081732196428425E-7</v>
      </c>
      <c r="DD26">
        <v>1.111413507729505E-3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7.1405305479697867E-3</v>
      </c>
      <c r="DK26">
        <v>6.9298210429212046E-5</v>
      </c>
      <c r="DL26">
        <v>0</v>
      </c>
      <c r="DM26">
        <v>0.51391162134850576</v>
      </c>
      <c r="DN26">
        <v>0.32051217150443378</v>
      </c>
      <c r="DO26">
        <v>0</v>
      </c>
      <c r="DP26">
        <v>11.50711338586251</v>
      </c>
      <c r="DQ26">
        <v>13.677316630966329</v>
      </c>
      <c r="DR26">
        <v>2.259522294686453</v>
      </c>
      <c r="DS26">
        <v>9.872204775595149</v>
      </c>
      <c r="DT26">
        <v>7.8846777039067044</v>
      </c>
      <c r="DU26">
        <v>2.5034565380483902</v>
      </c>
      <c r="DV26">
        <v>0</v>
      </c>
      <c r="DW26">
        <v>0</v>
      </c>
      <c r="DX26">
        <v>8.4087273870032658E-3</v>
      </c>
      <c r="DY26">
        <v>0</v>
      </c>
      <c r="DZ26">
        <v>5.3576113011630268E-3</v>
      </c>
      <c r="EA26">
        <v>6.25600339907708E-2</v>
      </c>
      <c r="EB26">
        <v>4.0331191882956072E-2</v>
      </c>
      <c r="EC26">
        <v>2.3716672157016801E-3</v>
      </c>
      <c r="ED26">
        <v>5.5079743801848963E-3</v>
      </c>
      <c r="EE26">
        <v>4.0971315240832511E-3</v>
      </c>
      <c r="EF26">
        <v>0</v>
      </c>
      <c r="EG26">
        <v>5.2789565244087231E-6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3.4362649528701973E-2</v>
      </c>
      <c r="EY26">
        <v>0</v>
      </c>
      <c r="EZ26">
        <v>0</v>
      </c>
      <c r="FA26">
        <v>0.80921487238191891</v>
      </c>
      <c r="FB26">
        <v>1.563801471816989</v>
      </c>
      <c r="FC26">
        <v>4.0935862505619112E-4</v>
      </c>
      <c r="FD26">
        <v>1.9536501557810839</v>
      </c>
      <c r="FE26">
        <v>8.7936936805676616E-2</v>
      </c>
      <c r="FF26">
        <v>0.1586670332660467</v>
      </c>
      <c r="FG26">
        <v>2.4608248335795011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0.27123872725449438</v>
      </c>
      <c r="FT26">
        <v>2.879132667180641E-3</v>
      </c>
      <c r="FU26">
        <v>0</v>
      </c>
      <c r="FV26">
        <v>2.8417539782189019E-4</v>
      </c>
      <c r="FW26">
        <v>0</v>
      </c>
      <c r="FX26">
        <v>1.39238708414007E-3</v>
      </c>
      <c r="FY26">
        <v>8.238437018239362E-4</v>
      </c>
      <c r="FZ26">
        <v>2.840570614740686E-3</v>
      </c>
      <c r="GA26">
        <v>3.6732832658780822E-4</v>
      </c>
      <c r="GB26">
        <v>1.12021827137687E-5</v>
      </c>
      <c r="GC26">
        <v>6.4764557955291607E-3</v>
      </c>
      <c r="GD26">
        <v>2.7382294767476908E-3</v>
      </c>
      <c r="GE26">
        <v>0</v>
      </c>
      <c r="GF26">
        <v>2.6642286332787719E-2</v>
      </c>
      <c r="GG26">
        <v>2.5873882013819471E-2</v>
      </c>
      <c r="GH26">
        <v>3.2772767143364719E-3</v>
      </c>
      <c r="GI26">
        <v>2.84275658307613E-3</v>
      </c>
      <c r="GJ26">
        <v>8.1991679628769492E-4</v>
      </c>
      <c r="GK26">
        <v>0</v>
      </c>
      <c r="GL26">
        <v>2.0334755847494729E-4</v>
      </c>
      <c r="GM26">
        <v>1.3091835041676629E-3</v>
      </c>
      <c r="GN26">
        <v>0</v>
      </c>
      <c r="GO26">
        <v>0.72572437814956958</v>
      </c>
      <c r="GP26">
        <v>0.35657436083487298</v>
      </c>
      <c r="GQ26">
        <v>0</v>
      </c>
      <c r="GR26">
        <v>0.21456450415393499</v>
      </c>
      <c r="GS26">
        <v>1.8542810685573461</v>
      </c>
      <c r="GT26">
        <v>4.8983900605407404</v>
      </c>
      <c r="GU26">
        <v>4.8894269610759258</v>
      </c>
      <c r="GV26">
        <v>2.566424353178681</v>
      </c>
      <c r="GW26">
        <v>1.6129950159165289</v>
      </c>
      <c r="GX26">
        <v>12.669314301143229</v>
      </c>
      <c r="GY26">
        <v>28.722301828306271</v>
      </c>
      <c r="GZ26">
        <v>7.6736495039262964</v>
      </c>
      <c r="HA26">
        <v>37.482820212595144</v>
      </c>
      <c r="HB26">
        <v>0</v>
      </c>
      <c r="HC26">
        <v>3.9275069240973748</v>
      </c>
    </row>
    <row r="27" spans="1:211" x14ac:dyDescent="0.45">
      <c r="A27" s="1" t="s">
        <v>1</v>
      </c>
      <c r="B27">
        <v>9.8390714016909242E-2</v>
      </c>
      <c r="C27">
        <v>2.9231250964702351</v>
      </c>
      <c r="D27">
        <v>0.10010157405780939</v>
      </c>
      <c r="E27">
        <v>3.1223576897676439</v>
      </c>
      <c r="F27">
        <v>1.6269481782602739</v>
      </c>
      <c r="G27">
        <v>0</v>
      </c>
      <c r="H27">
        <v>0.11403348838872029</v>
      </c>
      <c r="I27">
        <v>1.7429107968875149E-2</v>
      </c>
      <c r="J27">
        <v>0</v>
      </c>
      <c r="K27">
        <v>0</v>
      </c>
      <c r="L27">
        <v>2.608814407605577</v>
      </c>
      <c r="M27">
        <v>2.5738515304508338</v>
      </c>
      <c r="N27">
        <v>0.21560614018538979</v>
      </c>
      <c r="O27">
        <v>0.47734830459185928</v>
      </c>
      <c r="P27">
        <v>0</v>
      </c>
      <c r="Q27">
        <v>0</v>
      </c>
      <c r="R27">
        <v>0</v>
      </c>
      <c r="S27">
        <v>1.1164635275978381</v>
      </c>
      <c r="T27">
        <v>2.8361800595969409</v>
      </c>
      <c r="U27">
        <v>1.7665448433629199E-2</v>
      </c>
      <c r="V27">
        <v>0</v>
      </c>
      <c r="W27">
        <v>1.046372825570561E-2</v>
      </c>
      <c r="X27">
        <v>0</v>
      </c>
      <c r="Y27">
        <v>3.7720125344700592E-4</v>
      </c>
      <c r="Z27">
        <v>0</v>
      </c>
      <c r="AA27">
        <v>0</v>
      </c>
      <c r="AB27">
        <v>0</v>
      </c>
      <c r="AC27">
        <v>0</v>
      </c>
      <c r="AD27">
        <v>1.0026195980531289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15.127743954871161</v>
      </c>
      <c r="AS27">
        <v>2.7079006846786982</v>
      </c>
      <c r="AT27">
        <v>5.1236523275679016</v>
      </c>
      <c r="AU27">
        <v>9.3862671975443899</v>
      </c>
      <c r="AV27">
        <v>0.15775253697315869</v>
      </c>
      <c r="AW27">
        <v>13.544474114567199</v>
      </c>
      <c r="AX27">
        <v>8.6266273240599586E-2</v>
      </c>
      <c r="AY27">
        <v>0.32392855770469492</v>
      </c>
      <c r="AZ27">
        <v>14.15750594032612</v>
      </c>
      <c r="BA27">
        <v>3.649795717837141</v>
      </c>
      <c r="BB27">
        <v>1.6285237348050721</v>
      </c>
      <c r="BC27">
        <v>0.20307702495807969</v>
      </c>
      <c r="BD27">
        <v>0.54585374106395212</v>
      </c>
      <c r="BE27">
        <v>6.9033219513388673</v>
      </c>
      <c r="BF27">
        <v>1.4202731540666249</v>
      </c>
      <c r="BG27">
        <v>2.588112941819789</v>
      </c>
      <c r="BH27">
        <v>0.14123574064036051</v>
      </c>
      <c r="BI27">
        <v>0</v>
      </c>
      <c r="BJ27">
        <v>0</v>
      </c>
      <c r="BK27">
        <v>1.24735379626182</v>
      </c>
      <c r="BL27">
        <v>1.4374402936015771</v>
      </c>
      <c r="BM27">
        <v>6.1669735985530846E-4</v>
      </c>
      <c r="BN27">
        <v>0</v>
      </c>
      <c r="BO27">
        <v>0</v>
      </c>
      <c r="BP27">
        <v>8.9562246048239302</v>
      </c>
      <c r="BQ27">
        <v>0</v>
      </c>
      <c r="BR27">
        <v>0</v>
      </c>
      <c r="BS27">
        <v>5.1346025980381557E-2</v>
      </c>
      <c r="BT27">
        <v>0</v>
      </c>
      <c r="BU27">
        <v>12.052541350922221</v>
      </c>
      <c r="BV27">
        <v>1.0027067955718149E-3</v>
      </c>
      <c r="BW27">
        <v>0</v>
      </c>
      <c r="BX27">
        <v>0.37853032478300452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15.65959329112982</v>
      </c>
      <c r="CJ27">
        <v>0.91732481805769917</v>
      </c>
      <c r="CK27">
        <v>4.9638074951468434E-3</v>
      </c>
      <c r="CL27">
        <v>4.2883902122266018E-2</v>
      </c>
      <c r="CM27">
        <v>4.129051933289241</v>
      </c>
      <c r="CN27">
        <v>0</v>
      </c>
      <c r="CO27">
        <v>0</v>
      </c>
      <c r="CP27">
        <v>8.0342715205435983E-2</v>
      </c>
      <c r="CQ27">
        <v>0.13093763449892651</v>
      </c>
      <c r="CR27">
        <v>0</v>
      </c>
      <c r="CS27">
        <v>0</v>
      </c>
      <c r="CT27">
        <v>0</v>
      </c>
      <c r="CU27">
        <v>0.85806416219988813</v>
      </c>
      <c r="CV27">
        <v>5.4867147516084892E-3</v>
      </c>
      <c r="CW27">
        <v>5.625384255368452E-2</v>
      </c>
      <c r="CX27">
        <v>6.4584868258201929E-3</v>
      </c>
      <c r="CY27">
        <v>0.73370761050579625</v>
      </c>
      <c r="CZ27">
        <v>3.7562754713738659E-6</v>
      </c>
      <c r="DA27">
        <v>1.152923189063906E-6</v>
      </c>
      <c r="DB27">
        <v>4.6692330288316654E-3</v>
      </c>
      <c r="DC27">
        <v>1.081732196428425E-7</v>
      </c>
      <c r="DD27">
        <v>1.3070128353189049E-3</v>
      </c>
      <c r="DE27">
        <v>9.7470147248800176E-5</v>
      </c>
      <c r="DF27">
        <v>0</v>
      </c>
      <c r="DG27">
        <v>0</v>
      </c>
      <c r="DH27">
        <v>0</v>
      </c>
      <c r="DI27">
        <v>0</v>
      </c>
      <c r="DJ27">
        <v>7.1405305479697867E-3</v>
      </c>
      <c r="DK27">
        <v>6.9298210429212046E-5</v>
      </c>
      <c r="DL27">
        <v>8.4737388701916288E-5</v>
      </c>
      <c r="DM27">
        <v>1.5605304067501029</v>
      </c>
      <c r="DN27">
        <v>0.39227059671916209</v>
      </c>
      <c r="DO27">
        <v>0</v>
      </c>
      <c r="DP27">
        <v>11.950470711448</v>
      </c>
      <c r="DQ27">
        <v>14.10346838161667</v>
      </c>
      <c r="DR27">
        <v>2.8899706657989741</v>
      </c>
      <c r="DS27">
        <v>16.84162750890102</v>
      </c>
      <c r="DT27">
        <v>8.2027627914901799</v>
      </c>
      <c r="DU27">
        <v>4.4166331514046453</v>
      </c>
      <c r="DV27">
        <v>0</v>
      </c>
      <c r="DW27">
        <v>0</v>
      </c>
      <c r="DX27">
        <v>2.1980309453883069</v>
      </c>
      <c r="DY27">
        <v>0.95812334243978126</v>
      </c>
      <c r="DZ27">
        <v>2.9539265189411421</v>
      </c>
      <c r="EA27">
        <v>0.44420446621187049</v>
      </c>
      <c r="EB27">
        <v>0.16052802099299621</v>
      </c>
      <c r="EC27">
        <v>0.11701648265978259</v>
      </c>
      <c r="ED27">
        <v>8.6110059614963083E-2</v>
      </c>
      <c r="EE27">
        <v>1.310240628341554E-2</v>
      </c>
      <c r="EF27">
        <v>0</v>
      </c>
      <c r="EG27">
        <v>4.3493843550432816E-3</v>
      </c>
      <c r="EH27">
        <v>0</v>
      </c>
      <c r="EI27">
        <v>0</v>
      </c>
      <c r="EJ27">
        <v>0.25069839143166872</v>
      </c>
      <c r="EK27">
        <v>0.92324681657731278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4.1976355812895951</v>
      </c>
      <c r="ER27">
        <v>8.0597709313477939</v>
      </c>
      <c r="ES27">
        <v>1.051631041908605</v>
      </c>
      <c r="ET27">
        <v>2.1133747639298202</v>
      </c>
      <c r="EU27">
        <v>0</v>
      </c>
      <c r="EV27">
        <v>2.248796769134072</v>
      </c>
      <c r="EW27">
        <v>0.15770633586850921</v>
      </c>
      <c r="EX27">
        <v>1.1444154847912911</v>
      </c>
      <c r="EY27">
        <v>0.7082838753964722</v>
      </c>
      <c r="EZ27">
        <v>11.627635568883459</v>
      </c>
      <c r="FA27">
        <v>5.1253905021229267</v>
      </c>
      <c r="FB27">
        <v>19.98911619868057</v>
      </c>
      <c r="FC27">
        <v>1.004933436206467</v>
      </c>
      <c r="FD27">
        <v>5.1416294304562209</v>
      </c>
      <c r="FE27">
        <v>6.5107199255289014</v>
      </c>
      <c r="FF27">
        <v>17.76910835038937</v>
      </c>
      <c r="FG27">
        <v>8.0627903452734042</v>
      </c>
      <c r="FH27">
        <v>4.2975816697164566</v>
      </c>
      <c r="FI27">
        <v>2.176139344732976</v>
      </c>
      <c r="FJ27">
        <v>4.9673233159949639</v>
      </c>
      <c r="FK27">
        <v>0</v>
      </c>
      <c r="FL27">
        <v>38.012882567429138</v>
      </c>
      <c r="FM27">
        <v>0.46363994911075829</v>
      </c>
      <c r="FN27">
        <v>8.5024833815166047E-3</v>
      </c>
      <c r="FO27">
        <v>4.6474279906330107</v>
      </c>
      <c r="FP27">
        <v>1.807647587995709</v>
      </c>
      <c r="FQ27">
        <v>31.307063398128768</v>
      </c>
      <c r="FR27">
        <v>12.75853978212575</v>
      </c>
      <c r="FS27">
        <v>22.12806568256584</v>
      </c>
      <c r="FT27">
        <v>0.1913469244636315</v>
      </c>
      <c r="FU27">
        <v>0.19779060954764491</v>
      </c>
      <c r="FV27">
        <v>8.1609997966596182E-2</v>
      </c>
      <c r="FW27">
        <v>0.2397046725593196</v>
      </c>
      <c r="FX27">
        <v>4.5067102475141542E-2</v>
      </c>
      <c r="FY27">
        <v>5.5746345397843122E-2</v>
      </c>
      <c r="FZ27">
        <v>0.2252347919657933</v>
      </c>
      <c r="GA27">
        <v>1.6057425102659749E-2</v>
      </c>
      <c r="GB27">
        <v>1.193873456833156E-3</v>
      </c>
      <c r="GC27">
        <v>0.18749210076114109</v>
      </c>
      <c r="GD27">
        <v>0.54255924724529581</v>
      </c>
      <c r="GE27">
        <v>5.9583097343094815E-4</v>
      </c>
      <c r="GF27">
        <v>0.40553525894311898</v>
      </c>
      <c r="GG27">
        <v>0.74897131941285644</v>
      </c>
      <c r="GH27">
        <v>3.57707161137568</v>
      </c>
      <c r="GI27">
        <v>1.272058362321381</v>
      </c>
      <c r="GJ27">
        <v>8.2691910992953005E-2</v>
      </c>
      <c r="GK27">
        <v>0.31957142340684291</v>
      </c>
      <c r="GL27">
        <v>7.5179041842671351E-2</v>
      </c>
      <c r="GM27">
        <v>0.23406196938295259</v>
      </c>
      <c r="GN27">
        <v>3.185994281998469</v>
      </c>
      <c r="GO27">
        <v>15.20485680898876</v>
      </c>
      <c r="GP27">
        <v>1.279714706708877</v>
      </c>
      <c r="GQ27">
        <v>0</v>
      </c>
      <c r="GR27">
        <v>3.2801102267408031</v>
      </c>
      <c r="GS27">
        <v>15.127743954871161</v>
      </c>
      <c r="GT27">
        <v>22.400486147847399</v>
      </c>
      <c r="GU27">
        <v>16.596260314349529</v>
      </c>
      <c r="GV27">
        <v>14.021822419159051</v>
      </c>
      <c r="GW27">
        <v>21.90589873750649</v>
      </c>
      <c r="GX27">
        <v>98.35745179389815</v>
      </c>
      <c r="GY27">
        <v>117.2319927623801</v>
      </c>
      <c r="GZ27">
        <v>8.8694488464694441</v>
      </c>
      <c r="HA27">
        <v>82.539739677931806</v>
      </c>
      <c r="HB27">
        <v>11.627635568883459</v>
      </c>
      <c r="HC27">
        <v>126.105660674048</v>
      </c>
    </row>
    <row r="28" spans="1:211" x14ac:dyDescent="0.45">
      <c r="A28" s="1" t="s">
        <v>221</v>
      </c>
      <c r="B28">
        <f t="shared" ref="B28:BM28" si="0">INDEX(B$18:B$27,MATCH($B$1,$A$18:$A$27,0))</f>
        <v>9.8390714016909242E-2</v>
      </c>
      <c r="C28">
        <f t="shared" si="0"/>
        <v>2.9231250964702351</v>
      </c>
      <c r="D28">
        <f t="shared" si="0"/>
        <v>0.10010157405780939</v>
      </c>
      <c r="E28">
        <f t="shared" si="0"/>
        <v>3.1223576897676439</v>
      </c>
      <c r="F28">
        <f t="shared" si="0"/>
        <v>1.6269481782602739</v>
      </c>
      <c r="G28">
        <f t="shared" si="0"/>
        <v>0</v>
      </c>
      <c r="H28">
        <f t="shared" si="0"/>
        <v>0.11403348838872029</v>
      </c>
      <c r="I28">
        <f t="shared" si="0"/>
        <v>1.7429107968875149E-2</v>
      </c>
      <c r="J28">
        <f t="shared" si="0"/>
        <v>0</v>
      </c>
      <c r="K28">
        <f t="shared" si="0"/>
        <v>0</v>
      </c>
      <c r="L28">
        <f t="shared" si="0"/>
        <v>2.608814407605577</v>
      </c>
      <c r="M28">
        <f t="shared" si="0"/>
        <v>2.5738515304508338</v>
      </c>
      <c r="N28">
        <f t="shared" si="0"/>
        <v>0.21560614018538979</v>
      </c>
      <c r="O28">
        <f t="shared" si="0"/>
        <v>0.47734830459185928</v>
      </c>
      <c r="P28">
        <f t="shared" si="0"/>
        <v>0</v>
      </c>
      <c r="Q28">
        <f t="shared" si="0"/>
        <v>0</v>
      </c>
      <c r="R28">
        <f t="shared" si="0"/>
        <v>0</v>
      </c>
      <c r="S28">
        <f t="shared" si="0"/>
        <v>1.1164635275978381</v>
      </c>
      <c r="T28">
        <f t="shared" si="0"/>
        <v>2.8361800595969409</v>
      </c>
      <c r="U28">
        <f t="shared" si="0"/>
        <v>1.7665448433629199E-2</v>
      </c>
      <c r="V28">
        <f t="shared" si="0"/>
        <v>0</v>
      </c>
      <c r="W28">
        <f t="shared" si="0"/>
        <v>1.046372825570561E-2</v>
      </c>
      <c r="X28">
        <f t="shared" si="0"/>
        <v>0</v>
      </c>
      <c r="Y28">
        <f t="shared" si="0"/>
        <v>3.7720125344700592E-4</v>
      </c>
      <c r="Z28">
        <f t="shared" si="0"/>
        <v>0</v>
      </c>
      <c r="AA28">
        <f t="shared" si="0"/>
        <v>0</v>
      </c>
      <c r="AB28">
        <f t="shared" si="0"/>
        <v>0</v>
      </c>
      <c r="AC28">
        <f t="shared" si="0"/>
        <v>0</v>
      </c>
      <c r="AD28">
        <f t="shared" si="0"/>
        <v>1.0026195980531289</v>
      </c>
      <c r="AE28">
        <f t="shared" si="0"/>
        <v>0</v>
      </c>
      <c r="AF28">
        <f t="shared" si="0"/>
        <v>0</v>
      </c>
      <c r="AG28">
        <f t="shared" si="0"/>
        <v>0</v>
      </c>
      <c r="AH28">
        <f t="shared" si="0"/>
        <v>0</v>
      </c>
      <c r="AI28">
        <f t="shared" si="0"/>
        <v>0</v>
      </c>
      <c r="AJ28">
        <f t="shared" si="0"/>
        <v>0</v>
      </c>
      <c r="AK28">
        <f t="shared" si="0"/>
        <v>0</v>
      </c>
      <c r="AL28">
        <f t="shared" si="0"/>
        <v>0</v>
      </c>
      <c r="AM28">
        <f t="shared" si="0"/>
        <v>0</v>
      </c>
      <c r="AN28">
        <f t="shared" si="0"/>
        <v>0</v>
      </c>
      <c r="AO28">
        <f t="shared" si="0"/>
        <v>0</v>
      </c>
      <c r="AP28">
        <f t="shared" si="0"/>
        <v>0</v>
      </c>
      <c r="AQ28">
        <f t="shared" si="0"/>
        <v>0</v>
      </c>
      <c r="AR28">
        <f t="shared" si="0"/>
        <v>15.127743954871161</v>
      </c>
      <c r="AS28">
        <f t="shared" si="0"/>
        <v>2.7079006846786982</v>
      </c>
      <c r="AT28">
        <f t="shared" si="0"/>
        <v>5.1236523275679016</v>
      </c>
      <c r="AU28">
        <f t="shared" si="0"/>
        <v>9.3862671975443899</v>
      </c>
      <c r="AV28">
        <f t="shared" si="0"/>
        <v>0.15775253697315869</v>
      </c>
      <c r="AW28">
        <f t="shared" si="0"/>
        <v>13.544474114567199</v>
      </c>
      <c r="AX28">
        <f t="shared" si="0"/>
        <v>8.6266273240599586E-2</v>
      </c>
      <c r="AY28">
        <f t="shared" si="0"/>
        <v>0.32392855770469492</v>
      </c>
      <c r="AZ28">
        <f t="shared" si="0"/>
        <v>14.15750594032612</v>
      </c>
      <c r="BA28">
        <f t="shared" si="0"/>
        <v>3.649795717837141</v>
      </c>
      <c r="BB28">
        <f t="shared" si="0"/>
        <v>1.6285237348050721</v>
      </c>
      <c r="BC28">
        <f t="shared" si="0"/>
        <v>0.20307702495807969</v>
      </c>
      <c r="BD28">
        <f t="shared" si="0"/>
        <v>0.54585374106395212</v>
      </c>
      <c r="BE28">
        <f t="shared" si="0"/>
        <v>6.9033219513388673</v>
      </c>
      <c r="BF28">
        <f t="shared" si="0"/>
        <v>1.4202731540666249</v>
      </c>
      <c r="BG28">
        <f t="shared" si="0"/>
        <v>2.588112941819789</v>
      </c>
      <c r="BH28">
        <f t="shared" si="0"/>
        <v>0.14123574064036051</v>
      </c>
      <c r="BI28">
        <f t="shared" si="0"/>
        <v>0</v>
      </c>
      <c r="BJ28">
        <f t="shared" si="0"/>
        <v>0</v>
      </c>
      <c r="BK28">
        <f t="shared" si="0"/>
        <v>1.24735379626182</v>
      </c>
      <c r="BL28">
        <f t="shared" si="0"/>
        <v>1.4374402936015771</v>
      </c>
      <c r="BM28">
        <f t="shared" si="0"/>
        <v>6.1669735985530846E-4</v>
      </c>
      <c r="BN28">
        <f t="shared" ref="BN28:DY28" si="1">INDEX(BN$18:BN$27,MATCH($B$1,$A$18:$A$27,0))</f>
        <v>0</v>
      </c>
      <c r="BO28">
        <f t="shared" si="1"/>
        <v>0</v>
      </c>
      <c r="BP28">
        <f t="shared" si="1"/>
        <v>8.9562246048239302</v>
      </c>
      <c r="BQ28">
        <f t="shared" si="1"/>
        <v>0</v>
      </c>
      <c r="BR28">
        <f t="shared" si="1"/>
        <v>0</v>
      </c>
      <c r="BS28">
        <f t="shared" si="1"/>
        <v>5.1346025980381557E-2</v>
      </c>
      <c r="BT28">
        <f t="shared" si="1"/>
        <v>0</v>
      </c>
      <c r="BU28">
        <f t="shared" si="1"/>
        <v>12.052541350922221</v>
      </c>
      <c r="BV28">
        <f t="shared" si="1"/>
        <v>1.0027067955718149E-3</v>
      </c>
      <c r="BW28">
        <f t="shared" si="1"/>
        <v>0</v>
      </c>
      <c r="BX28">
        <f t="shared" si="1"/>
        <v>0.37853032478300452</v>
      </c>
      <c r="BY28">
        <f t="shared" si="1"/>
        <v>0</v>
      </c>
      <c r="BZ28">
        <f t="shared" si="1"/>
        <v>0</v>
      </c>
      <c r="CA28">
        <f t="shared" si="1"/>
        <v>0</v>
      </c>
      <c r="CB28">
        <f t="shared" si="1"/>
        <v>0</v>
      </c>
      <c r="CC28">
        <f t="shared" si="1"/>
        <v>0</v>
      </c>
      <c r="CD28">
        <f t="shared" si="1"/>
        <v>0</v>
      </c>
      <c r="CE28">
        <f t="shared" si="1"/>
        <v>0</v>
      </c>
      <c r="CF28">
        <f t="shared" si="1"/>
        <v>0</v>
      </c>
      <c r="CG28">
        <f t="shared" si="1"/>
        <v>0</v>
      </c>
      <c r="CH28">
        <f t="shared" si="1"/>
        <v>0</v>
      </c>
      <c r="CI28">
        <f t="shared" si="1"/>
        <v>15.65959329112982</v>
      </c>
      <c r="CJ28">
        <f t="shared" si="1"/>
        <v>0.91732481805769917</v>
      </c>
      <c r="CK28">
        <f t="shared" si="1"/>
        <v>4.9638074951468434E-3</v>
      </c>
      <c r="CL28">
        <f t="shared" si="1"/>
        <v>4.2883902122266018E-2</v>
      </c>
      <c r="CM28">
        <f t="shared" si="1"/>
        <v>4.129051933289241</v>
      </c>
      <c r="CN28">
        <f t="shared" si="1"/>
        <v>0</v>
      </c>
      <c r="CO28">
        <f t="shared" si="1"/>
        <v>0</v>
      </c>
      <c r="CP28">
        <f t="shared" si="1"/>
        <v>8.0342715205435983E-2</v>
      </c>
      <c r="CQ28">
        <f t="shared" si="1"/>
        <v>0.13093763449892651</v>
      </c>
      <c r="CR28">
        <f t="shared" si="1"/>
        <v>0</v>
      </c>
      <c r="CS28">
        <f t="shared" si="1"/>
        <v>0</v>
      </c>
      <c r="CT28">
        <f t="shared" si="1"/>
        <v>0</v>
      </c>
      <c r="CU28">
        <f t="shared" si="1"/>
        <v>0.85806416219988813</v>
      </c>
      <c r="CV28">
        <f t="shared" si="1"/>
        <v>5.4867147516084892E-3</v>
      </c>
      <c r="CW28">
        <f t="shared" si="1"/>
        <v>5.625384255368452E-2</v>
      </c>
      <c r="CX28">
        <f t="shared" si="1"/>
        <v>6.4584868258201929E-3</v>
      </c>
      <c r="CY28">
        <f t="shared" si="1"/>
        <v>0.73370761050579625</v>
      </c>
      <c r="CZ28">
        <f t="shared" si="1"/>
        <v>3.7562754713738659E-6</v>
      </c>
      <c r="DA28">
        <f t="shared" si="1"/>
        <v>1.152923189063906E-6</v>
      </c>
      <c r="DB28">
        <f t="shared" si="1"/>
        <v>4.6692330288316654E-3</v>
      </c>
      <c r="DC28">
        <f t="shared" si="1"/>
        <v>1.081732196428425E-7</v>
      </c>
      <c r="DD28">
        <f t="shared" si="1"/>
        <v>1.3070128353189049E-3</v>
      </c>
      <c r="DE28">
        <f t="shared" si="1"/>
        <v>9.7470147248800176E-5</v>
      </c>
      <c r="DF28">
        <f t="shared" si="1"/>
        <v>0</v>
      </c>
      <c r="DG28">
        <f t="shared" si="1"/>
        <v>0</v>
      </c>
      <c r="DH28">
        <f t="shared" si="1"/>
        <v>0</v>
      </c>
      <c r="DI28">
        <f t="shared" si="1"/>
        <v>0</v>
      </c>
      <c r="DJ28">
        <f t="shared" si="1"/>
        <v>7.1405305479697867E-3</v>
      </c>
      <c r="DK28">
        <f t="shared" si="1"/>
        <v>6.9298210429212046E-5</v>
      </c>
      <c r="DL28">
        <f t="shared" si="1"/>
        <v>8.4737388701916288E-5</v>
      </c>
      <c r="DM28">
        <f t="shared" si="1"/>
        <v>1.5605304067501029</v>
      </c>
      <c r="DN28">
        <f t="shared" si="1"/>
        <v>0.39227059671916209</v>
      </c>
      <c r="DO28">
        <f t="shared" si="1"/>
        <v>0</v>
      </c>
      <c r="DP28">
        <f t="shared" si="1"/>
        <v>11.950470711448</v>
      </c>
      <c r="DQ28">
        <f t="shared" si="1"/>
        <v>14.10346838161667</v>
      </c>
      <c r="DR28">
        <f t="shared" si="1"/>
        <v>2.8899706657989741</v>
      </c>
      <c r="DS28">
        <f t="shared" si="1"/>
        <v>16.84162750890102</v>
      </c>
      <c r="DT28">
        <f t="shared" si="1"/>
        <v>8.2027627914901799</v>
      </c>
      <c r="DU28">
        <f t="shared" si="1"/>
        <v>4.4166331514046453</v>
      </c>
      <c r="DV28">
        <f t="shared" si="1"/>
        <v>0</v>
      </c>
      <c r="DW28">
        <f t="shared" si="1"/>
        <v>0</v>
      </c>
      <c r="DX28">
        <f t="shared" si="1"/>
        <v>2.1980309453883069</v>
      </c>
      <c r="DY28">
        <f t="shared" si="1"/>
        <v>0.95812334243978126</v>
      </c>
      <c r="DZ28">
        <f t="shared" ref="DZ28:GK28" si="2">INDEX(DZ$18:DZ$27,MATCH($B$1,$A$18:$A$27,0))</f>
        <v>2.9539265189411421</v>
      </c>
      <c r="EA28">
        <f t="shared" si="2"/>
        <v>0.44420446621187049</v>
      </c>
      <c r="EB28">
        <f t="shared" si="2"/>
        <v>0.16052802099299621</v>
      </c>
      <c r="EC28">
        <f t="shared" si="2"/>
        <v>0.11701648265978259</v>
      </c>
      <c r="ED28">
        <f t="shared" si="2"/>
        <v>8.6110059614963083E-2</v>
      </c>
      <c r="EE28">
        <f t="shared" si="2"/>
        <v>1.310240628341554E-2</v>
      </c>
      <c r="EF28">
        <f t="shared" si="2"/>
        <v>0</v>
      </c>
      <c r="EG28">
        <f t="shared" si="2"/>
        <v>4.3493843550432816E-3</v>
      </c>
      <c r="EH28">
        <f t="shared" si="2"/>
        <v>0</v>
      </c>
      <c r="EI28">
        <f t="shared" si="2"/>
        <v>0</v>
      </c>
      <c r="EJ28">
        <f t="shared" si="2"/>
        <v>0.25069839143166872</v>
      </c>
      <c r="EK28">
        <f t="shared" si="2"/>
        <v>0.92324681657731278</v>
      </c>
      <c r="EL28">
        <f t="shared" si="2"/>
        <v>0</v>
      </c>
      <c r="EM28">
        <f t="shared" si="2"/>
        <v>0</v>
      </c>
      <c r="EN28">
        <f t="shared" si="2"/>
        <v>0</v>
      </c>
      <c r="EO28">
        <f t="shared" si="2"/>
        <v>0</v>
      </c>
      <c r="EP28">
        <f t="shared" si="2"/>
        <v>0</v>
      </c>
      <c r="EQ28">
        <f t="shared" si="2"/>
        <v>4.1976355812895951</v>
      </c>
      <c r="ER28">
        <f t="shared" si="2"/>
        <v>8.0597709313477939</v>
      </c>
      <c r="ES28">
        <f t="shared" si="2"/>
        <v>1.051631041908605</v>
      </c>
      <c r="ET28">
        <f t="shared" si="2"/>
        <v>2.1133747639298202</v>
      </c>
      <c r="EU28">
        <f t="shared" si="2"/>
        <v>0</v>
      </c>
      <c r="EV28">
        <f t="shared" si="2"/>
        <v>2.248796769134072</v>
      </c>
      <c r="EW28">
        <f t="shared" si="2"/>
        <v>0.15770633586850921</v>
      </c>
      <c r="EX28">
        <f t="shared" si="2"/>
        <v>1.1444154847912911</v>
      </c>
      <c r="EY28">
        <f t="shared" si="2"/>
        <v>0.7082838753964722</v>
      </c>
      <c r="EZ28">
        <f t="shared" si="2"/>
        <v>11.627635568883459</v>
      </c>
      <c r="FA28">
        <f t="shared" si="2"/>
        <v>5.1253905021229267</v>
      </c>
      <c r="FB28">
        <f t="shared" si="2"/>
        <v>19.98911619868057</v>
      </c>
      <c r="FC28">
        <f t="shared" si="2"/>
        <v>1.004933436206467</v>
      </c>
      <c r="FD28">
        <f t="shared" si="2"/>
        <v>5.1416294304562209</v>
      </c>
      <c r="FE28">
        <f t="shared" si="2"/>
        <v>6.5107199255289014</v>
      </c>
      <c r="FF28">
        <f t="shared" si="2"/>
        <v>17.76910835038937</v>
      </c>
      <c r="FG28">
        <f t="shared" si="2"/>
        <v>8.0627903452734042</v>
      </c>
      <c r="FH28">
        <f t="shared" si="2"/>
        <v>4.2975816697164566</v>
      </c>
      <c r="FI28">
        <f t="shared" si="2"/>
        <v>2.176139344732976</v>
      </c>
      <c r="FJ28">
        <f t="shared" si="2"/>
        <v>4.9673233159949639</v>
      </c>
      <c r="FK28">
        <f t="shared" si="2"/>
        <v>0</v>
      </c>
      <c r="FL28">
        <f t="shared" si="2"/>
        <v>38.012882567429138</v>
      </c>
      <c r="FM28">
        <f t="shared" si="2"/>
        <v>0.46363994911075829</v>
      </c>
      <c r="FN28">
        <f t="shared" si="2"/>
        <v>8.5024833815166047E-3</v>
      </c>
      <c r="FO28">
        <f t="shared" si="2"/>
        <v>4.6474279906330107</v>
      </c>
      <c r="FP28">
        <f t="shared" si="2"/>
        <v>1.807647587995709</v>
      </c>
      <c r="FQ28">
        <f t="shared" si="2"/>
        <v>31.307063398128768</v>
      </c>
      <c r="FR28">
        <f t="shared" si="2"/>
        <v>12.75853978212575</v>
      </c>
      <c r="FS28">
        <f t="shared" si="2"/>
        <v>22.12806568256584</v>
      </c>
      <c r="FT28">
        <f t="shared" si="2"/>
        <v>0.1913469244636315</v>
      </c>
      <c r="FU28">
        <f t="shared" si="2"/>
        <v>0.19779060954764491</v>
      </c>
      <c r="FV28">
        <f t="shared" si="2"/>
        <v>8.1609997966596182E-2</v>
      </c>
      <c r="FW28">
        <f t="shared" si="2"/>
        <v>0.2397046725593196</v>
      </c>
      <c r="FX28">
        <f t="shared" si="2"/>
        <v>4.5067102475141542E-2</v>
      </c>
      <c r="FY28">
        <f t="shared" si="2"/>
        <v>5.5746345397843122E-2</v>
      </c>
      <c r="FZ28">
        <f t="shared" si="2"/>
        <v>0.2252347919657933</v>
      </c>
      <c r="GA28">
        <f t="shared" si="2"/>
        <v>1.6057425102659749E-2</v>
      </c>
      <c r="GB28">
        <f t="shared" si="2"/>
        <v>1.193873456833156E-3</v>
      </c>
      <c r="GC28">
        <f t="shared" si="2"/>
        <v>0.18749210076114109</v>
      </c>
      <c r="GD28">
        <f t="shared" si="2"/>
        <v>0.54255924724529581</v>
      </c>
      <c r="GE28">
        <f t="shared" si="2"/>
        <v>5.9583097343094815E-4</v>
      </c>
      <c r="GF28">
        <f t="shared" si="2"/>
        <v>0.40553525894311898</v>
      </c>
      <c r="GG28">
        <f t="shared" si="2"/>
        <v>0.74897131941285644</v>
      </c>
      <c r="GH28">
        <f t="shared" si="2"/>
        <v>3.57707161137568</v>
      </c>
      <c r="GI28">
        <f t="shared" si="2"/>
        <v>1.272058362321381</v>
      </c>
      <c r="GJ28">
        <f t="shared" si="2"/>
        <v>8.2691910992953005E-2</v>
      </c>
      <c r="GK28">
        <f t="shared" si="2"/>
        <v>0.31957142340684291</v>
      </c>
      <c r="GL28">
        <f t="shared" ref="GL28:HC28" si="3">INDEX(GL$18:GL$27,MATCH($B$1,$A$18:$A$27,0))</f>
        <v>7.5179041842671351E-2</v>
      </c>
      <c r="GM28">
        <f t="shared" si="3"/>
        <v>0.23406196938295259</v>
      </c>
      <c r="GN28">
        <f t="shared" si="3"/>
        <v>3.185994281998469</v>
      </c>
      <c r="GO28">
        <f t="shared" si="3"/>
        <v>15.20485680898876</v>
      </c>
      <c r="GP28">
        <f t="shared" si="3"/>
        <v>1.279714706708877</v>
      </c>
      <c r="GQ28">
        <f t="shared" si="3"/>
        <v>0</v>
      </c>
      <c r="GR28">
        <f t="shared" si="3"/>
        <v>3.2801102267408031</v>
      </c>
      <c r="GS28">
        <f t="shared" si="3"/>
        <v>15.127743954871161</v>
      </c>
      <c r="GT28">
        <f t="shared" si="3"/>
        <v>22.400486147847399</v>
      </c>
      <c r="GU28">
        <f t="shared" si="3"/>
        <v>16.596260314349529</v>
      </c>
      <c r="GV28">
        <f t="shared" si="3"/>
        <v>14.021822419159051</v>
      </c>
      <c r="GW28">
        <f t="shared" si="3"/>
        <v>21.90589873750649</v>
      </c>
      <c r="GX28">
        <f t="shared" si="3"/>
        <v>98.35745179389815</v>
      </c>
      <c r="GY28">
        <f t="shared" si="3"/>
        <v>117.2319927623801</v>
      </c>
      <c r="GZ28">
        <f t="shared" si="3"/>
        <v>8.8694488464694441</v>
      </c>
      <c r="HA28">
        <f t="shared" si="3"/>
        <v>82.539739677931806</v>
      </c>
      <c r="HB28">
        <f t="shared" si="3"/>
        <v>11.627635568883459</v>
      </c>
      <c r="HC28">
        <f t="shared" si="3"/>
        <v>126.105660674048</v>
      </c>
    </row>
    <row r="29" spans="1:211" x14ac:dyDescent="0.45">
      <c r="A29" s="1" t="s">
        <v>222</v>
      </c>
      <c r="B29">
        <f>RANK(B28,$B$28:$GQ$28,0)+COUNTIF($B$28:B28,B28)-1</f>
        <v>97</v>
      </c>
      <c r="C29">
        <f>RANK(C28,$B$28:$GQ$28,0)+COUNTIF($B$28:C28,C28)-1</f>
        <v>38</v>
      </c>
      <c r="D29">
        <f>RANK(D28,$B$28:$GQ$28,0)+COUNTIF($B$28:D28,D28)-1</f>
        <v>96</v>
      </c>
      <c r="E29">
        <f>RANK(E28,$B$28:$GQ$28,0)+COUNTIF($B$28:E28,E28)-1</f>
        <v>36</v>
      </c>
      <c r="F29">
        <f>RANK(F28,$B$28:$GQ$28,0)+COUNTIF($B$28:F28,F28)-1</f>
        <v>51</v>
      </c>
      <c r="G29">
        <f>RANK(G28,$B$28:$GQ$28,0)+COUNTIF($B$28:G28,G28)-1</f>
        <v>133</v>
      </c>
      <c r="H29">
        <f>RANK(H28,$B$28:$GQ$28,0)+COUNTIF($B$28:H28,H28)-1</f>
        <v>95</v>
      </c>
      <c r="I29">
        <f>RANK(I28,$B$28:$GQ$28,0)+COUNTIF($B$28:I28,I28)-1</f>
        <v>110</v>
      </c>
      <c r="J29">
        <f>RANK(J28,$B$28:$GQ$28,0)+COUNTIF($B$28:J28,J28)-1</f>
        <v>134</v>
      </c>
      <c r="K29">
        <f>RANK(K28,$B$28:$GQ$28,0)+COUNTIF($B$28:K28,K28)-1</f>
        <v>135</v>
      </c>
      <c r="L29">
        <f>RANK(L28,$B$28:$GQ$28,0)+COUNTIF($B$28:L28,L28)-1</f>
        <v>42</v>
      </c>
      <c r="M29">
        <f>RANK(M28,$B$28:$GQ$28,0)+COUNTIF($B$28:M28,M28)-1</f>
        <v>44</v>
      </c>
      <c r="N29">
        <f>RANK(N28,$B$28:$GQ$28,0)+COUNTIF($B$28:N28,N28)-1</f>
        <v>84</v>
      </c>
      <c r="O29">
        <f>RANK(O28,$B$28:$GQ$28,0)+COUNTIF($B$28:O28,O28)-1</f>
        <v>72</v>
      </c>
      <c r="P29">
        <f>RANK(P28,$B$28:$GQ$28,0)+COUNTIF($B$28:P28,P28)-1</f>
        <v>136</v>
      </c>
      <c r="Q29">
        <f>RANK(Q28,$B$28:$GQ$28,0)+COUNTIF($B$28:Q28,Q28)-1</f>
        <v>137</v>
      </c>
      <c r="R29">
        <f>RANK(R28,$B$28:$GQ$28,0)+COUNTIF($B$28:R28,R28)-1</f>
        <v>138</v>
      </c>
      <c r="S29">
        <f>RANK(S28,$B$28:$GQ$28,0)+COUNTIF($B$28:S28,S28)-1</f>
        <v>59</v>
      </c>
      <c r="T29">
        <f>RANK(T28,$B$28:$GQ$28,0)+COUNTIF($B$28:T28,T28)-1</f>
        <v>40</v>
      </c>
      <c r="U29">
        <f>RANK(U28,$B$28:$GQ$28,0)+COUNTIF($B$28:U28,U28)-1</f>
        <v>109</v>
      </c>
      <c r="V29">
        <f>RANK(V28,$B$28:$GQ$28,0)+COUNTIF($B$28:V28,V28)-1</f>
        <v>139</v>
      </c>
      <c r="W29">
        <f>RANK(W28,$B$28:$GQ$28,0)+COUNTIF($B$28:W28,W28)-1</f>
        <v>113</v>
      </c>
      <c r="X29">
        <f>RANK(X28,$B$28:$GQ$28,0)+COUNTIF($B$28:X28,X28)-1</f>
        <v>140</v>
      </c>
      <c r="Y29">
        <f>RANK(Y28,$B$28:$GQ$28,0)+COUNTIF($B$28:Y28,Y28)-1</f>
        <v>126</v>
      </c>
      <c r="Z29">
        <f>RANK(Z28,$B$28:$GQ$28,0)+COUNTIF($B$28:Z28,Z28)-1</f>
        <v>141</v>
      </c>
      <c r="AA29">
        <f>RANK(AA28,$B$28:$GQ$28,0)+COUNTIF($B$28:AA28,AA28)-1</f>
        <v>142</v>
      </c>
      <c r="AB29">
        <f>RANK(AB28,$B$28:$GQ$28,0)+COUNTIF($B$28:AB28,AB28)-1</f>
        <v>143</v>
      </c>
      <c r="AC29">
        <f>RANK(AC28,$B$28:$GQ$28,0)+COUNTIF($B$28:AC28,AC28)-1</f>
        <v>144</v>
      </c>
      <c r="AD29">
        <f>RANK(AD28,$B$28:$GQ$28,0)+COUNTIF($B$28:AD28,AD28)-1</f>
        <v>62</v>
      </c>
      <c r="AE29">
        <f>RANK(AE28,$B$28:$GQ$28,0)+COUNTIF($B$28:AE28,AE28)-1</f>
        <v>145</v>
      </c>
      <c r="AF29">
        <f>RANK(AF28,$B$28:$GQ$28,0)+COUNTIF($B$28:AF28,AF28)-1</f>
        <v>146</v>
      </c>
      <c r="AG29">
        <f>RANK(AG28,$B$28:$GQ$28,0)+COUNTIF($B$28:AG28,AG28)-1</f>
        <v>147</v>
      </c>
      <c r="AH29">
        <f>RANK(AH28,$B$28:$GQ$28,0)+COUNTIF($B$28:AH28,AH28)-1</f>
        <v>148</v>
      </c>
      <c r="AI29">
        <f>RANK(AI28,$B$28:$GQ$28,0)+COUNTIF($B$28:AI28,AI28)-1</f>
        <v>149</v>
      </c>
      <c r="AJ29">
        <f>RANK(AJ28,$B$28:$GQ$28,0)+COUNTIF($B$28:AJ28,AJ28)-1</f>
        <v>150</v>
      </c>
      <c r="AK29">
        <f>RANK(AK28,$B$28:$GQ$28,0)+COUNTIF($B$28:AK28,AK28)-1</f>
        <v>151</v>
      </c>
      <c r="AL29">
        <f>RANK(AL28,$B$28:$GQ$28,0)+COUNTIF($B$28:AL28,AL28)-1</f>
        <v>152</v>
      </c>
      <c r="AM29">
        <f>RANK(AM28,$B$28:$GQ$28,0)+COUNTIF($B$28:AM28,AM28)-1</f>
        <v>153</v>
      </c>
      <c r="AN29">
        <f>RANK(AN28,$B$28:$GQ$28,0)+COUNTIF($B$28:AN28,AN28)-1</f>
        <v>154</v>
      </c>
      <c r="AO29">
        <f>RANK(AO28,$B$28:$GQ$28,0)+COUNTIF($B$28:AO28,AO28)-1</f>
        <v>155</v>
      </c>
      <c r="AP29">
        <f>RANK(AP28,$B$28:$GQ$28,0)+COUNTIF($B$28:AP28,AP28)-1</f>
        <v>156</v>
      </c>
      <c r="AQ29">
        <f>RANK(AQ28,$B$28:$GQ$28,0)+COUNTIF($B$28:AQ28,AQ28)-1</f>
        <v>157</v>
      </c>
      <c r="AR29">
        <f>RANK(AR28,$B$28:$GQ$28,0)+COUNTIF($B$28:AR28,AR28)-1</f>
        <v>9</v>
      </c>
      <c r="AS29">
        <f>RANK(AS28,$B$28:$GQ$28,0)+COUNTIF($B$28:AS28,AS28)-1</f>
        <v>41</v>
      </c>
      <c r="AT29">
        <f>RANK(AT28,$B$28:$GQ$28,0)+COUNTIF($B$28:AT28,AT28)-1</f>
        <v>26</v>
      </c>
      <c r="AU29">
        <f>RANK(AU28,$B$28:$GQ$28,0)+COUNTIF($B$28:AU28,AU28)-1</f>
        <v>17</v>
      </c>
      <c r="AV29">
        <f>RANK(AV28,$B$28:$GQ$28,0)+COUNTIF($B$28:AV28,AV28)-1</f>
        <v>90</v>
      </c>
      <c r="AW29">
        <f>RANK(AW28,$B$28:$GQ$28,0)+COUNTIF($B$28:AW28,AW28)-1</f>
        <v>12</v>
      </c>
      <c r="AX29">
        <f>RANK(AX28,$B$28:$GQ$28,0)+COUNTIF($B$28:AX28,AX28)-1</f>
        <v>98</v>
      </c>
      <c r="AY29">
        <f>RANK(AY28,$B$28:$GQ$28,0)+COUNTIF($B$28:AY28,AY28)-1</f>
        <v>78</v>
      </c>
      <c r="AZ29">
        <f>RANK(AZ28,$B$28:$GQ$28,0)+COUNTIF($B$28:AZ28,AZ28)-1</f>
        <v>10</v>
      </c>
      <c r="BA29">
        <f>RANK(BA28,$B$28:$GQ$28,0)+COUNTIF($B$28:BA28,BA28)-1</f>
        <v>33</v>
      </c>
      <c r="BB29">
        <f>RANK(BB28,$B$28:$GQ$28,0)+COUNTIF($B$28:BB28,BB28)-1</f>
        <v>50</v>
      </c>
      <c r="BC29">
        <f>RANK(BC28,$B$28:$GQ$28,0)+COUNTIF($B$28:BC28,BC28)-1</f>
        <v>85</v>
      </c>
      <c r="BD29">
        <f>RANK(BD28,$B$28:$GQ$28,0)+COUNTIF($B$28:BD28,BD28)-1</f>
        <v>70</v>
      </c>
      <c r="BE29">
        <f>RANK(BE28,$B$28:$GQ$28,0)+COUNTIF($B$28:BE28,BE28)-1</f>
        <v>22</v>
      </c>
      <c r="BF29">
        <f>RANK(BF28,$B$28:$GQ$28,0)+COUNTIF($B$28:BF28,BF28)-1</f>
        <v>54</v>
      </c>
      <c r="BG29">
        <f>RANK(BG28,$B$28:$GQ$28,0)+COUNTIF($B$28:BG28,BG28)-1</f>
        <v>43</v>
      </c>
      <c r="BH29">
        <f>RANK(BH28,$B$28:$GQ$28,0)+COUNTIF($B$28:BH28,BH28)-1</f>
        <v>92</v>
      </c>
      <c r="BI29">
        <f>RANK(BI28,$B$28:$GQ$28,0)+COUNTIF($B$28:BI28,BI28)-1</f>
        <v>158</v>
      </c>
      <c r="BJ29">
        <f>RANK(BJ28,$B$28:$GQ$28,0)+COUNTIF($B$28:BJ28,BJ28)-1</f>
        <v>159</v>
      </c>
      <c r="BK29">
        <f>RANK(BK28,$B$28:$GQ$28,0)+COUNTIF($B$28:BK28,BK28)-1</f>
        <v>57</v>
      </c>
      <c r="BL29">
        <f>RANK(BL28,$B$28:$GQ$28,0)+COUNTIF($B$28:BL28,BL28)-1</f>
        <v>53</v>
      </c>
      <c r="BM29">
        <f>RANK(BM28,$B$28:$GQ$28,0)+COUNTIF($B$28:BM28,BM28)-1</f>
        <v>124</v>
      </c>
      <c r="BN29">
        <f>RANK(BN28,$B$28:$GQ$28,0)+COUNTIF($B$28:BN28,BN28)-1</f>
        <v>160</v>
      </c>
      <c r="BO29">
        <f>RANK(BO28,$B$28:$GQ$28,0)+COUNTIF($B$28:BO28,BO28)-1</f>
        <v>161</v>
      </c>
      <c r="BP29">
        <f>RANK(BP28,$B$28:$GQ$28,0)+COUNTIF($B$28:BP28,BP28)-1</f>
        <v>18</v>
      </c>
      <c r="BQ29">
        <f>RANK(BQ28,$B$28:$GQ$28,0)+COUNTIF($B$28:BQ28,BQ28)-1</f>
        <v>162</v>
      </c>
      <c r="BR29">
        <f>RANK(BR28,$B$28:$GQ$28,0)+COUNTIF($B$28:BR28,BR28)-1</f>
        <v>163</v>
      </c>
      <c r="BS29">
        <f>RANK(BS28,$B$28:$GQ$28,0)+COUNTIF($B$28:BS28,BS28)-1</f>
        <v>106</v>
      </c>
      <c r="BT29">
        <f>RANK(BT28,$B$28:$GQ$28,0)+COUNTIF($B$28:BT28,BT28)-1</f>
        <v>164</v>
      </c>
      <c r="BU29">
        <f>RANK(BU28,$B$28:$GQ$28,0)+COUNTIF($B$28:BU28,BU28)-1</f>
        <v>14</v>
      </c>
      <c r="BV29">
        <f>RANK(BV28,$B$28:$GQ$28,0)+COUNTIF($B$28:BV28,BV28)-1</f>
        <v>123</v>
      </c>
      <c r="BW29">
        <f>RANK(BW28,$B$28:$GQ$28,0)+COUNTIF($B$28:BW28,BW28)-1</f>
        <v>165</v>
      </c>
      <c r="BX29">
        <f>RANK(BX28,$B$28:$GQ$28,0)+COUNTIF($B$28:BX28,BX28)-1</f>
        <v>77</v>
      </c>
      <c r="BY29">
        <f>RANK(BY28,$B$28:$GQ$28,0)+COUNTIF($B$28:BY28,BY28)-1</f>
        <v>166</v>
      </c>
      <c r="BZ29">
        <f>RANK(BZ28,$B$28:$GQ$28,0)+COUNTIF($B$28:BZ28,BZ28)-1</f>
        <v>167</v>
      </c>
      <c r="CA29">
        <f>RANK(CA28,$B$28:$GQ$28,0)+COUNTIF($B$28:CA28,CA28)-1</f>
        <v>168</v>
      </c>
      <c r="CB29">
        <f>RANK(CB28,$B$28:$GQ$28,0)+COUNTIF($B$28:CB28,CB28)-1</f>
        <v>169</v>
      </c>
      <c r="CC29">
        <f>RANK(CC28,$B$28:$GQ$28,0)+COUNTIF($B$28:CC28,CC28)-1</f>
        <v>170</v>
      </c>
      <c r="CD29">
        <f>RANK(CD28,$B$28:$GQ$28,0)+COUNTIF($B$28:CD28,CD28)-1</f>
        <v>171</v>
      </c>
      <c r="CE29">
        <f>RANK(CE28,$B$28:$GQ$28,0)+COUNTIF($B$28:CE28,CE28)-1</f>
        <v>172</v>
      </c>
      <c r="CF29">
        <f>RANK(CF28,$B$28:$GQ$28,0)+COUNTIF($B$28:CF28,CF28)-1</f>
        <v>173</v>
      </c>
      <c r="CG29">
        <f>RANK(CG28,$B$28:$GQ$28,0)+COUNTIF($B$28:CG28,CG28)-1</f>
        <v>174</v>
      </c>
      <c r="CH29">
        <f>RANK(CH28,$B$28:$GQ$28,0)+COUNTIF($B$28:CH28,CH28)-1</f>
        <v>175</v>
      </c>
      <c r="CI29">
        <f>RANK(CI28,$B$28:$GQ$28,0)+COUNTIF($B$28:CI28,CI28)-1</f>
        <v>7</v>
      </c>
      <c r="CJ29">
        <f>RANK(CJ28,$B$28:$GQ$28,0)+COUNTIF($B$28:CJ28,CJ28)-1</f>
        <v>65</v>
      </c>
      <c r="CK29">
        <f>RANK(CK28,$B$28:$GQ$28,0)+COUNTIF($B$28:CK28,CK28)-1</f>
        <v>118</v>
      </c>
      <c r="CL29">
        <f>RANK(CL28,$B$28:$GQ$28,0)+COUNTIF($B$28:CL28,CL28)-1</f>
        <v>108</v>
      </c>
      <c r="CM29">
        <f>RANK(CM28,$B$28:$GQ$28,0)+COUNTIF($B$28:CM28,CM28)-1</f>
        <v>32</v>
      </c>
      <c r="CN29">
        <f>RANK(CN28,$B$28:$GQ$28,0)+COUNTIF($B$28:CN28,CN28)-1</f>
        <v>176</v>
      </c>
      <c r="CO29">
        <f>RANK(CO28,$B$28:$GQ$28,0)+COUNTIF($B$28:CO28,CO28)-1</f>
        <v>177</v>
      </c>
      <c r="CP29">
        <f>RANK(CP28,$B$28:$GQ$28,0)+COUNTIF($B$28:CP28,CP28)-1</f>
        <v>102</v>
      </c>
      <c r="CQ29">
        <f>RANK(CQ28,$B$28:$GQ$28,0)+COUNTIF($B$28:CQ28,CQ28)-1</f>
        <v>93</v>
      </c>
      <c r="CR29">
        <f>RANK(CR28,$B$28:$GQ$28,0)+COUNTIF($B$28:CR28,CR28)-1</f>
        <v>178</v>
      </c>
      <c r="CS29">
        <f>RANK(CS28,$B$28:$GQ$28,0)+COUNTIF($B$28:CS28,CS28)-1</f>
        <v>179</v>
      </c>
      <c r="CT29">
        <f>RANK(CT28,$B$28:$GQ$28,0)+COUNTIF($B$28:CT28,CT28)-1</f>
        <v>180</v>
      </c>
      <c r="CU29">
        <f>RANK(CU28,$B$28:$GQ$28,0)+COUNTIF($B$28:CU28,CU28)-1</f>
        <v>66</v>
      </c>
      <c r="CV29">
        <f>RANK(CV28,$B$28:$GQ$28,0)+COUNTIF($B$28:CV28,CV28)-1</f>
        <v>117</v>
      </c>
      <c r="CW29">
        <f>RANK(CW28,$B$28:$GQ$28,0)+COUNTIF($B$28:CW28,CW28)-1</f>
        <v>104</v>
      </c>
      <c r="CX29">
        <f>RANK(CX28,$B$28:$GQ$28,0)+COUNTIF($B$28:CX28,CX28)-1</f>
        <v>116</v>
      </c>
      <c r="CY29">
        <f>RANK(CY28,$B$28:$GQ$28,0)+COUNTIF($B$28:CY28,CY28)-1</f>
        <v>68</v>
      </c>
      <c r="CZ29">
        <f>RANK(CZ28,$B$28:$GQ$28,0)+COUNTIF($B$28:CZ28,CZ28)-1</f>
        <v>130</v>
      </c>
      <c r="DA29">
        <f>RANK(DA28,$B$28:$GQ$28,0)+COUNTIF($B$28:DA28,DA28)-1</f>
        <v>131</v>
      </c>
      <c r="DB29">
        <f>RANK(DB28,$B$28:$GQ$28,0)+COUNTIF($B$28:DB28,DB28)-1</f>
        <v>119</v>
      </c>
      <c r="DC29">
        <f>RANK(DC28,$B$28:$GQ$28,0)+COUNTIF($B$28:DC28,DC28)-1</f>
        <v>132</v>
      </c>
      <c r="DD29">
        <f>RANK(DD28,$B$28:$GQ$28,0)+COUNTIF($B$28:DD28,DD28)-1</f>
        <v>121</v>
      </c>
      <c r="DE29">
        <f>RANK(DE28,$B$28:$GQ$28,0)+COUNTIF($B$28:DE28,DE28)-1</f>
        <v>127</v>
      </c>
      <c r="DF29">
        <f>RANK(DF28,$B$28:$GQ$28,0)+COUNTIF($B$28:DF28,DF28)-1</f>
        <v>181</v>
      </c>
      <c r="DG29">
        <f>RANK(DG28,$B$28:$GQ$28,0)+COUNTIF($B$28:DG28,DG28)-1</f>
        <v>182</v>
      </c>
      <c r="DH29">
        <f>RANK(DH28,$B$28:$GQ$28,0)+COUNTIF($B$28:DH28,DH28)-1</f>
        <v>183</v>
      </c>
      <c r="DI29">
        <f>RANK(DI28,$B$28:$GQ$28,0)+COUNTIF($B$28:DI28,DI28)-1</f>
        <v>184</v>
      </c>
      <c r="DJ29">
        <f>RANK(DJ28,$B$28:$GQ$28,0)+COUNTIF($B$28:DJ28,DJ28)-1</f>
        <v>115</v>
      </c>
      <c r="DK29">
        <f>RANK(DK28,$B$28:$GQ$28,0)+COUNTIF($B$28:DK28,DK28)-1</f>
        <v>129</v>
      </c>
      <c r="DL29">
        <f>RANK(DL28,$B$28:$GQ$28,0)+COUNTIF($B$28:DL28,DL28)-1</f>
        <v>128</v>
      </c>
      <c r="DM29">
        <f>RANK(DM28,$B$28:$GQ$28,0)+COUNTIF($B$28:DM28,DM28)-1</f>
        <v>52</v>
      </c>
      <c r="DN29">
        <f>RANK(DN28,$B$28:$GQ$28,0)+COUNTIF($B$28:DN28,DN28)-1</f>
        <v>76</v>
      </c>
      <c r="DO29">
        <f>RANK(DO28,$B$28:$GQ$28,0)+COUNTIF($B$28:DO28,DO28)-1</f>
        <v>185</v>
      </c>
      <c r="DP29">
        <f>RANK(DP28,$B$28:$GQ$28,0)+COUNTIF($B$28:DP28,DP28)-1</f>
        <v>15</v>
      </c>
      <c r="DQ29">
        <f>RANK(DQ28,$B$28:$GQ$28,0)+COUNTIF($B$28:DQ28,DQ28)-1</f>
        <v>11</v>
      </c>
      <c r="DR29">
        <f>RANK(DR28,$B$28:$GQ$28,0)+COUNTIF($B$28:DR28,DR28)-1</f>
        <v>39</v>
      </c>
      <c r="DS29">
        <f>RANK(DS28,$B$28:$GQ$28,0)+COUNTIF($B$28:DS28,DS28)-1</f>
        <v>6</v>
      </c>
      <c r="DT29">
        <f>RANK(DT28,$B$28:$GQ$28,0)+COUNTIF($B$28:DT28,DT28)-1</f>
        <v>19</v>
      </c>
      <c r="DU29">
        <f>RANK(DU28,$B$28:$GQ$28,0)+COUNTIF($B$28:DU28,DU28)-1</f>
        <v>29</v>
      </c>
      <c r="DV29">
        <f>RANK(DV28,$B$28:$GQ$28,0)+COUNTIF($B$28:DV28,DV28)-1</f>
        <v>186</v>
      </c>
      <c r="DW29">
        <f>RANK(DW28,$B$28:$GQ$28,0)+COUNTIF($B$28:DW28,DW28)-1</f>
        <v>187</v>
      </c>
      <c r="DX29">
        <f>RANK(DX28,$B$28:$GQ$28,0)+COUNTIF($B$28:DX28,DX28)-1</f>
        <v>46</v>
      </c>
      <c r="DY29">
        <f>RANK(DY28,$B$28:$GQ$28,0)+COUNTIF($B$28:DY28,DY28)-1</f>
        <v>63</v>
      </c>
      <c r="DZ29">
        <f>RANK(DZ28,$B$28:$GQ$28,0)+COUNTIF($B$28:DZ28,DZ28)-1</f>
        <v>37</v>
      </c>
      <c r="EA29">
        <f>RANK(EA28,$B$28:$GQ$28,0)+COUNTIF($B$28:EA28,EA28)-1</f>
        <v>74</v>
      </c>
      <c r="EB29">
        <f>RANK(EB28,$B$28:$GQ$28,0)+COUNTIF($B$28:EB28,EB28)-1</f>
        <v>89</v>
      </c>
      <c r="EC29">
        <f>RANK(EC28,$B$28:$GQ$28,0)+COUNTIF($B$28:EC28,EC28)-1</f>
        <v>94</v>
      </c>
      <c r="ED29">
        <f>RANK(ED28,$B$28:$GQ$28,0)+COUNTIF($B$28:ED28,ED28)-1</f>
        <v>99</v>
      </c>
      <c r="EE29">
        <f>RANK(EE28,$B$28:$GQ$28,0)+COUNTIF($B$28:EE28,EE28)-1</f>
        <v>112</v>
      </c>
      <c r="EF29">
        <f>RANK(EF28,$B$28:$GQ$28,0)+COUNTIF($B$28:EF28,EF28)-1</f>
        <v>188</v>
      </c>
      <c r="EG29">
        <f>RANK(EG28,$B$28:$GQ$28,0)+COUNTIF($B$28:EG28,EG28)-1</f>
        <v>120</v>
      </c>
      <c r="EH29">
        <f>RANK(EH28,$B$28:$GQ$28,0)+COUNTIF($B$28:EH28,EH28)-1</f>
        <v>189</v>
      </c>
      <c r="EI29">
        <f>RANK(EI28,$B$28:$GQ$28,0)+COUNTIF($B$28:EI28,EI28)-1</f>
        <v>190</v>
      </c>
      <c r="EJ29">
        <f>RANK(EJ28,$B$28:$GQ$28,0)+COUNTIF($B$28:EJ28,EJ28)-1</f>
        <v>80</v>
      </c>
      <c r="EK29">
        <f>RANK(EK28,$B$28:$GQ$28,0)+COUNTIF($B$28:EK28,EK28)-1</f>
        <v>64</v>
      </c>
      <c r="EL29">
        <f>RANK(EL28,$B$28:$GQ$28,0)+COUNTIF($B$28:EL28,EL28)-1</f>
        <v>191</v>
      </c>
      <c r="EM29">
        <f>RANK(EM28,$B$28:$GQ$28,0)+COUNTIF($B$28:EM28,EM28)-1</f>
        <v>192</v>
      </c>
      <c r="EN29">
        <f>RANK(EN28,$B$28:$GQ$28,0)+COUNTIF($B$28:EN28,EN28)-1</f>
        <v>193</v>
      </c>
      <c r="EO29">
        <f>RANK(EO28,$B$28:$GQ$28,0)+COUNTIF($B$28:EO28,EO28)-1</f>
        <v>194</v>
      </c>
      <c r="EP29">
        <f>RANK(EP28,$B$28:$GQ$28,0)+COUNTIF($B$28:EP28,EP28)-1</f>
        <v>195</v>
      </c>
      <c r="EQ29">
        <f>RANK(EQ28,$B$28:$GQ$28,0)+COUNTIF($B$28:EQ28,EQ28)-1</f>
        <v>31</v>
      </c>
      <c r="ER29">
        <f>RANK(ER28,$B$28:$GQ$28,0)+COUNTIF($B$28:ER28,ER28)-1</f>
        <v>21</v>
      </c>
      <c r="ES29">
        <f>RANK(ES28,$B$28:$GQ$28,0)+COUNTIF($B$28:ES28,ES28)-1</f>
        <v>60</v>
      </c>
      <c r="ET29">
        <f>RANK(ET28,$B$28:$GQ$28,0)+COUNTIF($B$28:ET28,ET28)-1</f>
        <v>48</v>
      </c>
      <c r="EU29">
        <f>RANK(EU28,$B$28:$GQ$28,0)+COUNTIF($B$28:EU28,EU28)-1</f>
        <v>196</v>
      </c>
      <c r="EV29">
        <f>RANK(EV28,$B$28:$GQ$28,0)+COUNTIF($B$28:EV28,EV28)-1</f>
        <v>45</v>
      </c>
      <c r="EW29">
        <f>RANK(EW28,$B$28:$GQ$28,0)+COUNTIF($B$28:EW28,EW28)-1</f>
        <v>91</v>
      </c>
      <c r="EX29">
        <f>RANK(EX28,$B$28:$GQ$28,0)+COUNTIF($B$28:EX28,EX28)-1</f>
        <v>58</v>
      </c>
      <c r="EY29">
        <f>RANK(EY28,$B$28:$GQ$28,0)+COUNTIF($B$28:EY28,EY28)-1</f>
        <v>69</v>
      </c>
      <c r="EZ29">
        <f>RANK(EZ28,$B$28:$GQ$28,0)+COUNTIF($B$28:EZ28,EZ28)-1</f>
        <v>16</v>
      </c>
      <c r="FA29">
        <f>RANK(FA28,$B$28:$GQ$28,0)+COUNTIF($B$28:FA28,FA28)-1</f>
        <v>25</v>
      </c>
      <c r="FB29">
        <f>RANK(FB28,$B$28:$GQ$28,0)+COUNTIF($B$28:FB28,FB28)-1</f>
        <v>4</v>
      </c>
      <c r="FC29">
        <f>RANK(FC28,$B$28:$GQ$28,0)+COUNTIF($B$28:FC28,FC28)-1</f>
        <v>61</v>
      </c>
      <c r="FD29">
        <f>RANK(FD28,$B$28:$GQ$28,0)+COUNTIF($B$28:FD28,FD28)-1</f>
        <v>24</v>
      </c>
      <c r="FE29">
        <f>RANK(FE28,$B$28:$GQ$28,0)+COUNTIF($B$28:FE28,FE28)-1</f>
        <v>23</v>
      </c>
      <c r="FF29">
        <f>RANK(FF28,$B$28:$GQ$28,0)+COUNTIF($B$28:FF28,FF28)-1</f>
        <v>5</v>
      </c>
      <c r="FG29">
        <f>RANK(FG28,$B$28:$GQ$28,0)+COUNTIF($B$28:FG28,FG28)-1</f>
        <v>20</v>
      </c>
      <c r="FH29">
        <f>RANK(FH28,$B$28:$GQ$28,0)+COUNTIF($B$28:FH28,FH28)-1</f>
        <v>30</v>
      </c>
      <c r="FI29">
        <f>RANK(FI28,$B$28:$GQ$28,0)+COUNTIF($B$28:FI28,FI28)-1</f>
        <v>47</v>
      </c>
      <c r="FJ29">
        <f>RANK(FJ28,$B$28:$GQ$28,0)+COUNTIF($B$28:FJ28,FJ28)-1</f>
        <v>27</v>
      </c>
      <c r="FK29">
        <f>RANK(FK28,$B$28:$GQ$28,0)+COUNTIF($B$28:FK28,FK28)-1</f>
        <v>197</v>
      </c>
      <c r="FL29">
        <f>RANK(FL28,$B$28:$GQ$28,0)+COUNTIF($B$28:FL28,FL28)-1</f>
        <v>1</v>
      </c>
      <c r="FM29">
        <f>RANK(FM28,$B$28:$GQ$28,0)+COUNTIF($B$28:FM28,FM28)-1</f>
        <v>73</v>
      </c>
      <c r="FN29">
        <f>RANK(FN28,$B$28:$GQ$28,0)+COUNTIF($B$28:FN28,FN28)-1</f>
        <v>114</v>
      </c>
      <c r="FO29">
        <f>RANK(FO28,$B$28:$GQ$28,0)+COUNTIF($B$28:FO28,FO28)-1</f>
        <v>28</v>
      </c>
      <c r="FP29">
        <f>RANK(FP28,$B$28:$GQ$28,0)+COUNTIF($B$28:FP28,FP28)-1</f>
        <v>49</v>
      </c>
      <c r="FQ29">
        <f>RANK(FQ28,$B$28:$GQ$28,0)+COUNTIF($B$28:FQ28,FQ28)-1</f>
        <v>2</v>
      </c>
      <c r="FR29">
        <f>RANK(FR28,$B$28:$GQ$28,0)+COUNTIF($B$28:FR28,FR28)-1</f>
        <v>13</v>
      </c>
      <c r="FS29">
        <f>RANK(FS28,$B$28:$GQ$28,0)+COUNTIF($B$28:FS28,FS28)-1</f>
        <v>3</v>
      </c>
      <c r="FT29">
        <f>RANK(FT28,$B$28:$GQ$28,0)+COUNTIF($B$28:FT28,FT28)-1</f>
        <v>87</v>
      </c>
      <c r="FU29">
        <f>RANK(FU28,$B$28:$GQ$28,0)+COUNTIF($B$28:FU28,FU28)-1</f>
        <v>86</v>
      </c>
      <c r="FV29">
        <f>RANK(FV28,$B$28:$GQ$28,0)+COUNTIF($B$28:FV28,FV28)-1</f>
        <v>101</v>
      </c>
      <c r="FW29">
        <f>RANK(FW28,$B$28:$GQ$28,0)+COUNTIF($B$28:FW28,FW28)-1</f>
        <v>81</v>
      </c>
      <c r="FX29">
        <f>RANK(FX28,$B$28:$GQ$28,0)+COUNTIF($B$28:FX28,FX28)-1</f>
        <v>107</v>
      </c>
      <c r="FY29">
        <f>RANK(FY28,$B$28:$GQ$28,0)+COUNTIF($B$28:FY28,FY28)-1</f>
        <v>105</v>
      </c>
      <c r="FZ29">
        <f>RANK(FZ28,$B$28:$GQ$28,0)+COUNTIF($B$28:FZ28,FZ28)-1</f>
        <v>83</v>
      </c>
      <c r="GA29">
        <f>RANK(GA28,$B$28:$GQ$28,0)+COUNTIF($B$28:GA28,GA28)-1</f>
        <v>111</v>
      </c>
      <c r="GB29">
        <f>RANK(GB28,$B$28:$GQ$28,0)+COUNTIF($B$28:GB28,GB28)-1</f>
        <v>122</v>
      </c>
      <c r="GC29">
        <f>RANK(GC28,$B$28:$GQ$28,0)+COUNTIF($B$28:GC28,GC28)-1</f>
        <v>88</v>
      </c>
      <c r="GD29">
        <f>RANK(GD28,$B$28:$GQ$28,0)+COUNTIF($B$28:GD28,GD28)-1</f>
        <v>71</v>
      </c>
      <c r="GE29">
        <f>RANK(GE28,$B$28:$GQ$28,0)+COUNTIF($B$28:GE28,GE28)-1</f>
        <v>125</v>
      </c>
      <c r="GF29">
        <f>RANK(GF28,$B$28:$GQ$28,0)+COUNTIF($B$28:GF28,GF28)-1</f>
        <v>75</v>
      </c>
      <c r="GG29">
        <f>RANK(GG28,$B$28:$GQ$28,0)+COUNTIF($B$28:GG28,GG28)-1</f>
        <v>67</v>
      </c>
      <c r="GH29">
        <f>RANK(GH28,$B$28:$GQ$28,0)+COUNTIF($B$28:GH28,GH28)-1</f>
        <v>34</v>
      </c>
      <c r="GI29">
        <f>RANK(GI28,$B$28:$GQ$28,0)+COUNTIF($B$28:GI28,GI28)-1</f>
        <v>56</v>
      </c>
      <c r="GJ29">
        <f>RANK(GJ28,$B$28:$GQ$28,0)+COUNTIF($B$28:GJ28,GJ28)-1</f>
        <v>100</v>
      </c>
      <c r="GK29">
        <f>RANK(GK28,$B$28:$GQ$28,0)+COUNTIF($B$28:GK28,GK28)-1</f>
        <v>79</v>
      </c>
      <c r="GL29">
        <f>RANK(GL28,$B$28:$GQ$28,0)+COUNTIF($B$28:GL28,GL28)-1</f>
        <v>103</v>
      </c>
      <c r="GM29">
        <f>RANK(GM28,$B$28:$GQ$28,0)+COUNTIF($B$28:GM28,GM28)-1</f>
        <v>82</v>
      </c>
      <c r="GN29">
        <f>RANK(GN28,$B$28:$GQ$28,0)+COUNTIF($B$28:GN28,GN28)-1</f>
        <v>35</v>
      </c>
      <c r="GO29">
        <f>RANK(GO28,$B$28:$GQ$28,0)+COUNTIF($B$28:GO28,GO28)-1</f>
        <v>8</v>
      </c>
      <c r="GP29">
        <f>RANK(GP28,$B$28:$GQ$28,0)+COUNTIF($B$28:GP28,GP28)-1</f>
        <v>55</v>
      </c>
      <c r="GQ29">
        <f>RANK(GQ28,$B$28:$GQ$28,0)+COUNTIF($B$28:GQ28,GQ28)-1</f>
        <v>198</v>
      </c>
    </row>
    <row r="30" spans="1:211" x14ac:dyDescent="0.45">
      <c r="A30" s="1" t="s">
        <v>223</v>
      </c>
      <c r="GR30">
        <f>RANK(GR28,$GR$28:$HC$28,0)+COUNTIF($GR$28:GR28,GR28)-1</f>
        <v>12</v>
      </c>
      <c r="GS30">
        <f>RANK(GS28,$GR$28:$HC$28,0)+COUNTIF($GR$28:GS28,GS28)-1</f>
        <v>8</v>
      </c>
      <c r="GT30">
        <f>RANK(GT28,$GR$28:$HC$28,0)+COUNTIF($GR$28:GT28,GT28)-1</f>
        <v>5</v>
      </c>
      <c r="GU30">
        <f>RANK(GU28,$GR$28:$HC$28,0)+COUNTIF($GR$28:GU28,GU28)-1</f>
        <v>7</v>
      </c>
      <c r="GV30">
        <f>RANK(GV28,$GR$28:$HC$28,0)+COUNTIF($GR$28:GV28,GV28)-1</f>
        <v>9</v>
      </c>
      <c r="GW30">
        <f>RANK(GW28,$GR$28:$HC$28,0)+COUNTIF($GR$28:GW28,GW28)-1</f>
        <v>6</v>
      </c>
      <c r="GX30">
        <f>RANK(GX28,$GR$28:$HC$28,0)+COUNTIF($GR$28:GX28,GX28)-1</f>
        <v>3</v>
      </c>
      <c r="GY30">
        <f>RANK(GY28,$GR$28:$HC$28,0)+COUNTIF($GR$28:GY28,GY28)-1</f>
        <v>2</v>
      </c>
      <c r="GZ30">
        <f>RANK(GZ28,$GR$28:$HC$28,0)+COUNTIF($GR$28:GZ28,GZ28)-1</f>
        <v>11</v>
      </c>
      <c r="HA30">
        <f>RANK(HA28,$GR$28:$HC$28,0)+COUNTIF($GR$28:HA28,HA28)-1</f>
        <v>4</v>
      </c>
      <c r="HB30">
        <f>RANK(HB28,$GR$28:$HC$28,0)+COUNTIF($GR$28:HB28,HB28)-1</f>
        <v>10</v>
      </c>
      <c r="HC30">
        <f>RANK(HC28,$GR$28:$HC$28,0)+COUNTIF($GR$28:HC28,HC28)-1</f>
        <v>1</v>
      </c>
    </row>
  </sheetData>
  <dataValidations count="1">
    <dataValidation type="list" sqref="B1" xr:uid="{00000000-0002-0000-0400-000000000000}">
      <formula1>$A$18:$A$27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46" customWidth="1"/>
  </cols>
  <sheetData>
    <row r="1" spans="1:211" x14ac:dyDescent="0.45">
      <c r="A1" s="1" t="s">
        <v>0</v>
      </c>
      <c r="B1" s="2" t="s">
        <v>1</v>
      </c>
    </row>
    <row r="3" spans="1:211" x14ac:dyDescent="0.45">
      <c r="A3" s="1" t="s">
        <v>228</v>
      </c>
      <c r="B3" s="1" t="str">
        <f>INDEX($B$17:$GQ$17,MATCH(1,$B$29:$GQ$29,0))</f>
        <v>Food products nec</v>
      </c>
      <c r="C3" s="1" t="str">
        <f>INDEX($B$17:$GQ$17,MATCH(2,$B$29:$GQ$29,0))</f>
        <v>Real estate services (70)</v>
      </c>
      <c r="D3" s="1" t="str">
        <f>INDEX($B$17:$GQ$17,MATCH(3,$B$29:$GQ$29,0))</f>
        <v>Products of meat cattle</v>
      </c>
      <c r="E3" s="1" t="str">
        <f>INDEX($B$17:$GQ$17,MATCH(4,$B$29:$GQ$29,0))</f>
        <v>Public administration and defence services; compulsory social security services (75)</v>
      </c>
      <c r="F3" s="1" t="str">
        <f>INDEX($B$17:$GQ$17,MATCH(5,$B$29:$GQ$29,0))</f>
        <v>Meat products nec</v>
      </c>
      <c r="G3" s="1" t="str">
        <f>INDEX($B$17:$GQ$17,MATCH(6,$B$29:$GQ$29,0))</f>
        <v>Health and social work services (85)</v>
      </c>
      <c r="H3" s="1" t="str">
        <f>INDEX($B$17:$GQ$17,MATCH(7,$B$29:$GQ$29,0))</f>
        <v>Radio, television and communication equipment and apparatus (32)</v>
      </c>
      <c r="I3" s="1" t="str">
        <f>INDEX($B$17:$GQ$17,MATCH(8,$B$29:$GQ$29,0))</f>
        <v>Dairy products</v>
      </c>
      <c r="J3" s="1" t="str">
        <f>INDEX($B$17:$GQ$17,MATCH(9,$B$29:$GQ$29,0))</f>
        <v>Hotel and restaurant services (55)</v>
      </c>
      <c r="K3" s="1" t="str">
        <f>INDEX($B$17:$GQ$17,MATCH(10,$B$29:$GQ$29,0))</f>
        <v>Electrical machinery and apparatus n.e.c. (31)</v>
      </c>
      <c r="L3" s="1" t="str">
        <f>INDEX($B$17:$GQ$17,MATCH(11,$B$29:$GQ$29,0))</f>
        <v>Recreational, cultural and sporting services (92)</v>
      </c>
      <c r="M3" s="1" t="str">
        <f>INDEX($B$17:$GQ$17,MATCH(12,$B$29:$GQ$29,0))</f>
        <v>Wheat</v>
      </c>
      <c r="N3" s="1" t="str">
        <f>INDEX($B$17:$GQ$17,MATCH(13,$B$29:$GQ$29,0))</f>
        <v>Plastics, basic</v>
      </c>
      <c r="O3" s="1" t="str">
        <f>INDEX($B$17:$GQ$17,MATCH(14,$B$29:$GQ$29,0))</f>
        <v>Education services (80)</v>
      </c>
      <c r="P3" s="1" t="str">
        <f>INDEX($B$17:$GQ$17,MATCH(15,$B$29:$GQ$29,0))</f>
        <v>Vegetables, fruit, nuts</v>
      </c>
      <c r="Q3" s="1" t="str">
        <f>INDEX($B$17:$GQ$17,MATCH(16,$B$29:$GQ$29,0))</f>
        <v>Products of forestry, logging and related services (02)</v>
      </c>
      <c r="R3" s="1" t="str">
        <f>INDEX($B$17:$GQ$17,MATCH(17,$B$29:$GQ$29,0))</f>
        <v>Motor vehicles, trailers and semi-trailers (34)</v>
      </c>
      <c r="S3" s="1" t="str">
        <f>INDEX($B$17:$GQ$17,MATCH(18,$B$29:$GQ$29,0))</f>
        <v>Other land transportation services</v>
      </c>
      <c r="T3" s="1" t="str">
        <f>INDEX($B$17:$GQ$17,MATCH(19,$B$29:$GQ$29,0))</f>
        <v>Products of meat poultry</v>
      </c>
      <c r="U3" s="1" t="str">
        <f>INDEX($B$17:$GQ$17,MATCH(20,$B$29:$GQ$29,0))</f>
        <v>Air transport services (62)</v>
      </c>
      <c r="V3" s="1" t="str">
        <f>INDEX($B$17:$GQ$17,MATCH(21,$B$29:$GQ$29,0))</f>
        <v>Poultry</v>
      </c>
      <c r="W3" s="1" t="str">
        <f>INDEX($B$17:$GQ$17,MATCH(22,$B$29:$GQ$29,0))</f>
        <v>Sea and coastal water transportation services</v>
      </c>
      <c r="X3" s="1" t="str">
        <f>INDEX($B$17:$GQ$17,MATCH(23,$B$29:$GQ$29,0))</f>
        <v>Beverages</v>
      </c>
      <c r="Y3" s="1" t="str">
        <f>INDEX($B$17:$GQ$17,MATCH(24,$B$29:$GQ$29,0))</f>
        <v>Supporting and auxiliary transport services; travel agency services (63)</v>
      </c>
      <c r="Z3" s="1" t="str">
        <f>INDEX($B$17:$GQ$17,MATCH(25,$B$29:$GQ$29,0))</f>
        <v>Gas/Diesel Oil</v>
      </c>
      <c r="AA3" s="1" t="str">
        <f>INDEX($B$17:$GQ$17,MATCH(26,$B$29:$GQ$29,0))</f>
        <v>Fish and other fishing products; services incidental of fishing (05)</v>
      </c>
      <c r="AB3" s="1" t="str">
        <f>INDEX($B$17:$GQ$17,MATCH(27,$B$29:$GQ$29,0))</f>
        <v>Meat animals nec</v>
      </c>
      <c r="AC3" s="1" t="str">
        <f>INDEX($B$17:$GQ$17,MATCH(28,$B$29:$GQ$29,0))</f>
        <v>Wearing apparel; furs (18)</v>
      </c>
      <c r="AD3" s="1" t="str">
        <f>INDEX($B$17:$GQ$17,MATCH(29,$B$29:$GQ$29,0))</f>
        <v>Medical, precision and optical instruments, watches and clocks (33)</v>
      </c>
      <c r="AE3" s="1" t="str">
        <f>INDEX($B$17:$GQ$17,MATCH(30,$B$29:$GQ$29,0))</f>
        <v>Railway transportation services</v>
      </c>
      <c r="AF3" s="1" t="str">
        <f>INDEX($B$17:$GQ$17,MATCH(31,$B$29:$GQ$29,0))</f>
        <v>Oil seeds</v>
      </c>
      <c r="AG3" s="1" t="str">
        <f>INDEX($B$17:$GQ$17,MATCH(32,$B$29:$GQ$29,0))</f>
        <v>Fish products</v>
      </c>
      <c r="AH3" s="1" t="str">
        <f>INDEX($B$17:$GQ$17,MATCH(33,$B$29:$GQ$29,0))</f>
        <v>Motor Gasoline</v>
      </c>
      <c r="AI3" s="1" t="str">
        <f>INDEX($B$17:$GQ$17,MATCH(34,$B$29:$GQ$29,0))</f>
        <v>Insurance and pension funding services, except compulsory social security services (66)</v>
      </c>
      <c r="AJ3" s="1" t="str">
        <f>INDEX($B$17:$GQ$17,MATCH(35,$B$29:$GQ$29,0))</f>
        <v>Wood and products of wood and cork (except furniture); articles of straw and plaiting materials (20)</v>
      </c>
      <c r="AK3" s="1" t="str">
        <f>INDEX($B$17:$GQ$17,MATCH(36,$B$29:$GQ$29,0))</f>
        <v>Research and development services (73)</v>
      </c>
      <c r="AL3" s="1" t="str">
        <f>INDEX($B$17:$GQ$17,MATCH(37,$B$29:$GQ$29,0))</f>
        <v>Post and telecommunication services (64)</v>
      </c>
      <c r="AM3" s="1" t="str">
        <f>INDEX($B$17:$GQ$17,MATCH(38,$B$29:$GQ$29,0))</f>
        <v>Furniture; other manufactured goods n.e.c. (36)</v>
      </c>
      <c r="AN3" s="1" t="str">
        <f>INDEX($B$17:$GQ$17,MATCH(39,$B$29:$GQ$29,0))</f>
        <v>Products of meat pigs</v>
      </c>
      <c r="AO3" s="1" t="str">
        <f>INDEX($B$17:$GQ$17,MATCH(40,$B$29:$GQ$29,0))</f>
        <v>Chemicals nec</v>
      </c>
      <c r="AP3" s="1" t="str">
        <f>INDEX($B$17:$GQ$17,MATCH(41,$B$29:$GQ$29,0))</f>
        <v>Membership organisation services n.e.c. (91)</v>
      </c>
      <c r="AQ3" s="1" t="str">
        <f>INDEX($B$17:$GQ$17,MATCH(42,$B$29:$GQ$29,0))</f>
        <v>Steam and hot water supply services</v>
      </c>
      <c r="AR3" s="1" t="str">
        <f>INDEX($B$17:$GQ$17,MATCH(43,$B$29:$GQ$29,0))</f>
        <v>Inland water transportation services</v>
      </c>
      <c r="AS3" s="1" t="str">
        <f>INDEX($B$17:$GQ$17,MATCH(44,$B$29:$GQ$29,0))</f>
        <v>Other transport equipment (35)</v>
      </c>
      <c r="AT3" s="1" t="str">
        <f>INDEX($B$17:$GQ$17,MATCH(45,$B$29:$GQ$29,0))</f>
        <v>Construction work (45)</v>
      </c>
      <c r="AU3" s="1" t="str">
        <f>INDEX($B$17:$GQ$17,MATCH(46,$B$29:$GQ$29,0))</f>
        <v>Distribution services of gaseous fuels through mains</v>
      </c>
      <c r="AV3" s="1" t="str">
        <f>INDEX($B$17:$GQ$17,MATCH(47,$B$29:$GQ$29,0))</f>
        <v>Sale, maintenance, repair of motor vehicles, motor vehicles parts, motorcycles, motor cycles parts and accessoiries</v>
      </c>
      <c r="AW3" s="1" t="str">
        <f>INDEX($B$17:$GQ$17,MATCH(48,$B$29:$GQ$29,0))</f>
        <v>Electricity by nuclear</v>
      </c>
      <c r="AX3" s="1" t="str">
        <f>INDEX($B$17:$GQ$17,MATCH(49,$B$29:$GQ$29,0))</f>
        <v>Ceramic goods</v>
      </c>
      <c r="AY3" s="1" t="str">
        <f>INDEX($B$17:$GQ$17,MATCH(50,$B$29:$GQ$29,0))</f>
        <v>Financial intermediation services, except insurance and pension funding services (65)</v>
      </c>
      <c r="AZ3" s="1" t="str">
        <f>INDEX($B$17:$GQ$17,MATCH(51,$B$29:$GQ$29,0))</f>
        <v>Other business services (74)</v>
      </c>
      <c r="BA3" s="1" t="str">
        <f>INDEX($B$17:$GQ$17,MATCH(52,$B$29:$GQ$29,0))</f>
        <v>Other services (93)</v>
      </c>
      <c r="BB3" s="1" t="str">
        <f>INDEX($B$17:$GQ$17,MATCH(53,$B$29:$GQ$29,0))</f>
        <v>Printed matter and recorded media (22)</v>
      </c>
      <c r="BC3" s="1" t="str">
        <f>INDEX($B$17:$GQ$17,MATCH(54,$B$29:$GQ$29,0))</f>
        <v>Fabricated metal products, except machinery and equipment (28)</v>
      </c>
      <c r="BD3" s="1" t="str">
        <f>INDEX($B$17:$GQ$17,MATCH(55,$B$29:$GQ$29,0))</f>
        <v>Paper and paper products</v>
      </c>
      <c r="BE3" s="1" t="str">
        <f>INDEX($B$17:$GQ$17,MATCH(56,$B$29:$GQ$29,0))</f>
        <v>Leather and leather products (19)</v>
      </c>
      <c r="BF3" s="1" t="str">
        <f>INDEX($B$17:$GQ$17,MATCH(57,$B$29:$GQ$29,0))</f>
        <v>Sugar</v>
      </c>
      <c r="BG3" s="1" t="str">
        <f>INDEX($B$17:$GQ$17,MATCH(58,$B$29:$GQ$29,0))</f>
        <v>Wholesale trade and commission trade services, except of motor vehicles and motorcycles (51)</v>
      </c>
      <c r="BH3" s="1" t="str">
        <f>INDEX($B$17:$GQ$17,MATCH(59,$B$29:$GQ$29,0))</f>
        <v>Raw milk</v>
      </c>
      <c r="BI3" s="1" t="str">
        <f>INDEX($B$17:$GQ$17,MATCH(60,$B$29:$GQ$29,0))</f>
        <v>Food waste for treatment: landfill</v>
      </c>
      <c r="BJ3" s="1" t="str">
        <f>INDEX($B$17:$GQ$17,MATCH(61,$B$29:$GQ$29,0))</f>
        <v>Electricity by coal</v>
      </c>
      <c r="BK3" s="1" t="str">
        <f>INDEX($B$17:$GQ$17,MATCH(62,$B$29:$GQ$29,0))</f>
        <v>Collected and purified water, distribution services of water (41)</v>
      </c>
      <c r="BL3" s="1" t="str">
        <f>INDEX($B$17:$GQ$17,MATCH(63,$B$29:$GQ$29,0))</f>
        <v>Retail  trade services, except of motor vehicles and motorcycles; repair services of personal and household goods (52)</v>
      </c>
      <c r="BM3" s="1" t="str">
        <f>INDEX($B$17:$GQ$17,MATCH(64,$B$29:$GQ$29,0))</f>
        <v>Secondary plastic for treatment, Re-processing of secondary plastic into new plastic</v>
      </c>
      <c r="BN3" s="1" t="str">
        <f>INDEX($B$17:$GQ$17,MATCH(65,$B$29:$GQ$29,0))</f>
        <v>Distribution and trade services of electricity</v>
      </c>
      <c r="BO3" s="1" t="str">
        <f>INDEX($B$17:$GQ$17,MATCH(66,$B$29:$GQ$29,0))</f>
        <v>Paddy rice</v>
      </c>
      <c r="BP3" s="1" t="str">
        <f>INDEX($B$17:$GQ$17,MATCH(67,$B$29:$GQ$29,0))</f>
        <v>Textiles (17)</v>
      </c>
      <c r="BQ3" s="1" t="str">
        <f>INDEX($B$17:$GQ$17,MATCH(68,$B$29:$GQ$29,0))</f>
        <v>Cereal grains nec</v>
      </c>
      <c r="BR3" s="1" t="str">
        <f>INDEX($B$17:$GQ$17,MATCH(69,$B$29:$GQ$29,0))</f>
        <v>Liquefied Petroleum Gases (LPG)</v>
      </c>
      <c r="BS3" s="1" t="str">
        <f>INDEX($B$17:$GQ$17,MATCH(70,$B$29:$GQ$29,0))</f>
        <v>Animal products nec</v>
      </c>
      <c r="BT3" s="1" t="str">
        <f>INDEX($B$17:$GQ$17,MATCH(71,$B$29:$GQ$29,0))</f>
        <v>Transportation services via pipelines</v>
      </c>
      <c r="BU3" s="1" t="str">
        <f>INDEX($B$17:$GQ$17,MATCH(72,$B$29:$GQ$29,0))</f>
        <v>Natural gas and services related to natural gas extraction, excluding surveying</v>
      </c>
      <c r="BV3" s="1" t="str">
        <f>INDEX($B$17:$GQ$17,MATCH(73,$B$29:$GQ$29,0))</f>
        <v>Renting services of machinery and equipment without operator and of personal and household goods (71)</v>
      </c>
      <c r="BW3" s="1" t="str">
        <f>INDEX($B$17:$GQ$17,MATCH(74,$B$29:$GQ$29,0))</f>
        <v>Electricity by hydro</v>
      </c>
      <c r="BX3" s="1" t="str">
        <f>INDEX($B$17:$GQ$17,MATCH(75,$B$29:$GQ$29,0))</f>
        <v>Other non-metallic mineral products</v>
      </c>
      <c r="BY3" s="1" t="str">
        <f>INDEX($B$17:$GQ$17,MATCH(76,$B$29:$GQ$29,0))</f>
        <v>Plant-based fibers</v>
      </c>
      <c r="BZ3" s="1" t="str">
        <f>INDEX($B$17:$GQ$17,MATCH(77,$B$29:$GQ$29,0))</f>
        <v>Electricity by gas</v>
      </c>
      <c r="CA3" s="1" t="str">
        <f>INDEX($B$17:$GQ$17,MATCH(78,$B$29:$GQ$29,0))</f>
        <v>Electricity by wind</v>
      </c>
      <c r="CB3" s="1" t="str">
        <f>INDEX($B$17:$GQ$17,MATCH(79,$B$29:$GQ$29,0))</f>
        <v>Paper for treatment: landfill</v>
      </c>
      <c r="CC3" s="1" t="str">
        <f>INDEX($B$17:$GQ$17,MATCH(80,$B$29:$GQ$29,0))</f>
        <v>Tobacco products (16)</v>
      </c>
      <c r="CD3" s="1" t="str">
        <f>INDEX($B$17:$GQ$17,MATCH(81,$B$29:$GQ$29,0))</f>
        <v>Wood material for treatment, Re-processing of secondary wood material into new wood material</v>
      </c>
      <c r="CE3" s="1" t="str">
        <f>INDEX($B$17:$GQ$17,MATCH(82,$B$29:$GQ$29,0))</f>
        <v>Inert/metal/hazardous waste for treatment: landfill</v>
      </c>
      <c r="CF3" s="1" t="str">
        <f>INDEX($B$17:$GQ$17,MATCH(83,$B$29:$GQ$29,0))</f>
        <v>Other waste for treatment: waste water treatment</v>
      </c>
      <c r="CG3" s="1" t="str">
        <f>INDEX($B$17:$GQ$17,MATCH(84,$B$29:$GQ$29,0))</f>
        <v>Machinery and equipment n.e.c. (29)</v>
      </c>
      <c r="CH3" s="1" t="str">
        <f>INDEX($B$17:$GQ$17,MATCH(85,$B$29:$GQ$29,0))</f>
        <v>Electricity by petroleum and other oil derivatives</v>
      </c>
      <c r="CI3" s="1" t="str">
        <f>INDEX($B$17:$GQ$17,MATCH(86,$B$29:$GQ$29,0))</f>
        <v>Transmission services of electricity</v>
      </c>
      <c r="CJ3" s="1" t="str">
        <f>INDEX($B$17:$GQ$17,MATCH(87,$B$29:$GQ$29,0))</f>
        <v>products of Vegetable oils and fats</v>
      </c>
      <c r="CK3" s="1" t="str">
        <f>INDEX($B$17:$GQ$17,MATCH(88,$B$29:$GQ$29,0))</f>
        <v>Food waste for treatment: composting and land application</v>
      </c>
      <c r="CL3" s="1" t="str">
        <f>INDEX($B$17:$GQ$17,MATCH(89,$B$29:$GQ$29,0))</f>
        <v>Intert/metal waste for treatment: incineration</v>
      </c>
      <c r="CM3" s="1" t="str">
        <f>INDEX($B$17:$GQ$17,MATCH(90,$B$29:$GQ$29,0))</f>
        <v>Oil/hazardous waste for treatment: incineration</v>
      </c>
      <c r="CN3" s="1" t="str">
        <f>INDEX($B$17:$GQ$17,MATCH(91,$B$29:$GQ$29,0))</f>
        <v>Paper waste for treatment: incineration</v>
      </c>
      <c r="CO3" s="1" t="str">
        <f>INDEX($B$17:$GQ$17,MATCH(92,$B$29:$GQ$29,0))</f>
        <v>Retail trade services of motor fuel</v>
      </c>
      <c r="CP3" s="1" t="str">
        <f>INDEX($B$17:$GQ$17,MATCH(93,$B$29:$GQ$29,0))</f>
        <v>Food waste for treatment: waste water treatment</v>
      </c>
      <c r="CQ3" s="1" t="str">
        <f>INDEX($B$17:$GQ$17,MATCH(94,$B$29:$GQ$29,0))</f>
        <v>Food waste for treatment: incineration</v>
      </c>
      <c r="CR3" s="1" t="str">
        <f>INDEX($B$17:$GQ$17,MATCH(95,$B$29:$GQ$29,0))</f>
        <v>Sewage sludge for treatment: biogasification and land application</v>
      </c>
      <c r="CS3" s="1" t="str">
        <f>INDEX($B$17:$GQ$17,MATCH(96,$B$29:$GQ$29,0))</f>
        <v>Processed rice</v>
      </c>
      <c r="CT3" s="1" t="str">
        <f>INDEX($B$17:$GQ$17,MATCH(97,$B$29:$GQ$29,0))</f>
        <v>Biodiesels</v>
      </c>
      <c r="CU3" s="1" t="str">
        <f>INDEX($B$17:$GQ$17,MATCH(98,$B$29:$GQ$29,0))</f>
        <v>Other Bituminous Coal</v>
      </c>
      <c r="CV3" s="1" t="str">
        <f>INDEX($B$17:$GQ$17,MATCH(99,$B$29:$GQ$29,0))</f>
        <v>Wood waste for treatment: landfill</v>
      </c>
      <c r="CW3" s="1" t="str">
        <f>INDEX($B$17:$GQ$17,MATCH(100,$B$29:$GQ$29,0))</f>
        <v>Biogasoline</v>
      </c>
      <c r="CX3" s="1" t="str">
        <f>INDEX($B$17:$GQ$17,MATCH(101,$B$29:$GQ$29,0))</f>
        <v>Plastic waste for treatment: incineration</v>
      </c>
      <c r="CY3" s="1" t="str">
        <f>INDEX($B$17:$GQ$17,MATCH(102,$B$29:$GQ$29,0))</f>
        <v>Precious metals</v>
      </c>
      <c r="CZ3" s="1" t="str">
        <f>INDEX($B$17:$GQ$17,MATCH(103,$B$29:$GQ$29,0))</f>
        <v>Plastic waste for treatment: landfill</v>
      </c>
      <c r="DA3" s="1" t="str">
        <f>INDEX($B$17:$GQ$17,MATCH(104,$B$29:$GQ$29,0))</f>
        <v>Electricity by biomass and waste</v>
      </c>
      <c r="DB3" s="1" t="str">
        <f>INDEX($B$17:$GQ$17,MATCH(105,$B$29:$GQ$29,0))</f>
        <v>Kerosene Type Jet Fuel</v>
      </c>
      <c r="DC3" s="1" t="str">
        <f>INDEX($B$17:$GQ$17,MATCH(106,$B$29:$GQ$29,0))</f>
        <v>Textiles waste for treatment: landfill</v>
      </c>
      <c r="DD3" s="1" t="str">
        <f>INDEX($B$17:$GQ$17,MATCH(107,$B$29:$GQ$29,0))</f>
        <v>Wood waste for treatment: incineration</v>
      </c>
      <c r="DE3" s="1" t="str">
        <f>INDEX($B$17:$GQ$17,MATCH(108,$B$29:$GQ$29,0))</f>
        <v>Textiles waste for treatment: incineration</v>
      </c>
      <c r="DF3" s="1" t="str">
        <f>INDEX($B$17:$GQ$17,MATCH(109,$B$29:$GQ$29,0))</f>
        <v>Cement, lime and plaster</v>
      </c>
      <c r="DG3" s="1" t="str">
        <f>INDEX($B$17:$GQ$17,MATCH(110,$B$29:$GQ$29,0))</f>
        <v>P- and other fertiliser</v>
      </c>
      <c r="DH3" s="1" t="str">
        <f>INDEX($B$17:$GQ$17,MATCH(111,$B$29:$GQ$29,0))</f>
        <v>Crops nec</v>
      </c>
      <c r="DI3" s="1" t="str">
        <f>INDEX($B$17:$GQ$17,MATCH(112,$B$29:$GQ$29,0))</f>
        <v>Food waste for treatment: biogasification and land application</v>
      </c>
      <c r="DJ3" s="1" t="str">
        <f>INDEX($B$17:$GQ$17,MATCH(113,$B$29:$GQ$29,0))</f>
        <v>Anthracite</v>
      </c>
      <c r="DK3" s="1" t="str">
        <f>INDEX($B$17:$GQ$17,MATCH(114,$B$29:$GQ$29,0))</f>
        <v>Electricity by solar photovoltaic</v>
      </c>
      <c r="DL3" s="1" t="str">
        <f>INDEX($B$17:$GQ$17,MATCH(115,$B$29:$GQ$29,0))</f>
        <v>Computer and related services (72)</v>
      </c>
      <c r="DM3" s="1" t="str">
        <f>INDEX($B$17:$GQ$17,MATCH(116,$B$29:$GQ$29,0))</f>
        <v>Other non-ferrous metal products</v>
      </c>
      <c r="DN3" s="1" t="str">
        <f>INDEX($B$17:$GQ$17,MATCH(117,$B$29:$GQ$29,0))</f>
        <v>Bricks, tiles and construction products, in baked clay</v>
      </c>
      <c r="DO3" s="1" t="str">
        <f>INDEX($B$17:$GQ$17,MATCH(118,$B$29:$GQ$29,0))</f>
        <v>Electricity by tide, wave, ocean</v>
      </c>
      <c r="DP3" s="1" t="str">
        <f>INDEX($B$17:$GQ$17,MATCH(119,$B$29:$GQ$29,0))</f>
        <v>Ash for treatment, Re-processing of ash into clinker</v>
      </c>
      <c r="DQ3" s="1" t="str">
        <f>INDEX($B$17:$GQ$17,MATCH(120,$B$29:$GQ$29,0))</f>
        <v>N-fertiliser</v>
      </c>
      <c r="DR3" s="1" t="str">
        <f>INDEX($B$17:$GQ$17,MATCH(121,$B$29:$GQ$29,0))</f>
        <v>Paper and wood waste for treatment: composting and land application</v>
      </c>
      <c r="DS3" s="1" t="str">
        <f>INDEX($B$17:$GQ$17,MATCH(122,$B$29:$GQ$29,0))</f>
        <v>Paper waste for treatment: biogasification and land application</v>
      </c>
      <c r="DT3" s="1" t="str">
        <f>INDEX($B$17:$GQ$17,MATCH(123,$B$29:$GQ$29,0))</f>
        <v>Heavy Fuel Oil</v>
      </c>
      <c r="DU3" s="1" t="str">
        <f>INDEX($B$17:$GQ$17,MATCH(124,$B$29:$GQ$29,0))</f>
        <v>Aluminium and aluminium products</v>
      </c>
      <c r="DV3" s="1" t="str">
        <f>INDEX($B$17:$GQ$17,MATCH(125,$B$29:$GQ$29,0))</f>
        <v>Patent Fuel</v>
      </c>
      <c r="DW3" s="1" t="str">
        <f>INDEX($B$17:$GQ$17,MATCH(126,$B$29:$GQ$29,0))</f>
        <v>Coke Oven Coke</v>
      </c>
      <c r="DX3" s="1" t="str">
        <f>INDEX($B$17:$GQ$17,MATCH(127,$B$29:$GQ$29,0))</f>
        <v>Secondary aluminium for treatment, Re-processing of secondary aluminium into new aluminium</v>
      </c>
      <c r="DY3" s="1" t="str">
        <f>INDEX($B$17:$GQ$17,MATCH(128,$B$29:$GQ$29,0))</f>
        <v>Foundry work services</v>
      </c>
      <c r="DZ3" s="1" t="str">
        <f>INDEX($B$17:$GQ$17,MATCH(129,$B$29:$GQ$29,0))</f>
        <v>Secondary other non-ferrous metals for treatment, Re-processing of secondary other non-ferrous metals into new other non-ferrous metals</v>
      </c>
      <c r="EA3" s="1" t="str">
        <f>INDEX($B$17:$GQ$17,MATCH(130,$B$29:$GQ$29,0))</f>
        <v>Basic iron and steel and of ferro-alloys and first products thereof</v>
      </c>
      <c r="EB3" s="1" t="str">
        <f>INDEX($B$17:$GQ$17,MATCH(131,$B$29:$GQ$29,0))</f>
        <v>Secondary steel for treatment, Re-processing of secondary steel into new steel</v>
      </c>
      <c r="EC3" s="1" t="str">
        <f>INDEX($B$17:$GQ$17,MATCH(132,$B$29:$GQ$29,0))</f>
        <v>Secondary preciuos metals for treatment, Re-processing of secondary preciuos metals into new preciuos metals</v>
      </c>
      <c r="ED3" s="1" t="str">
        <f>INDEX($B$17:$GQ$17,MATCH(133,$B$29:$GQ$29,0))</f>
        <v>Sugar cane, sugar beet</v>
      </c>
      <c r="EE3" s="1" t="str">
        <f>INDEX($B$17:$GQ$17,MATCH(134,$B$29:$GQ$29,0))</f>
        <v>Cattle</v>
      </c>
      <c r="EF3" s="1" t="str">
        <f>INDEX($B$17:$GQ$17,MATCH(135,$B$29:$GQ$29,0))</f>
        <v>Pigs</v>
      </c>
      <c r="EG3" s="1" t="str">
        <f>INDEX($B$17:$GQ$17,MATCH(136,$B$29:$GQ$29,0))</f>
        <v>Wool, silk-worm cocoons</v>
      </c>
      <c r="EH3" s="1" t="str">
        <f>INDEX($B$17:$GQ$17,MATCH(137,$B$29:$GQ$29,0))</f>
        <v>Manure (conventional treatment)</v>
      </c>
      <c r="EI3" s="1" t="str">
        <f>INDEX($B$17:$GQ$17,MATCH(138,$B$29:$GQ$29,0))</f>
        <v>Manure (biogas treatment)</v>
      </c>
      <c r="EJ3" s="1" t="str">
        <f>INDEX($B$17:$GQ$17,MATCH(139,$B$29:$GQ$29,0))</f>
        <v>Coking Coal</v>
      </c>
      <c r="EK3" s="1" t="str">
        <f>INDEX($B$17:$GQ$17,MATCH(140,$B$29:$GQ$29,0))</f>
        <v>Sub-Bituminous Coal</v>
      </c>
      <c r="EL3" s="1" t="str">
        <f>INDEX($B$17:$GQ$17,MATCH(141,$B$29:$GQ$29,0))</f>
        <v>Lignite/Brown Coal</v>
      </c>
      <c r="EM3" s="1" t="str">
        <f>INDEX($B$17:$GQ$17,MATCH(142,$B$29:$GQ$29,0))</f>
        <v>BKB/Peat Briquettes</v>
      </c>
      <c r="EN3" s="1" t="str">
        <f>INDEX($B$17:$GQ$17,MATCH(143,$B$29:$GQ$29,0))</f>
        <v>Peat</v>
      </c>
      <c r="EO3" s="1" t="str">
        <f>INDEX($B$17:$GQ$17,MATCH(144,$B$29:$GQ$29,0))</f>
        <v>Crude petroleum and services related to crude oil extraction, excluding surveying</v>
      </c>
      <c r="EP3" s="1" t="str">
        <f>INDEX($B$17:$GQ$17,MATCH(145,$B$29:$GQ$29,0))</f>
        <v>Natural Gas Liquids</v>
      </c>
      <c r="EQ3" s="1" t="str">
        <f>INDEX($B$17:$GQ$17,MATCH(146,$B$29:$GQ$29,0))</f>
        <v>Other Hydrocarbons</v>
      </c>
      <c r="ER3" s="1" t="str">
        <f>INDEX($B$17:$GQ$17,MATCH(147,$B$29:$GQ$29,0))</f>
        <v>Uranium and thorium ores (12)</v>
      </c>
      <c r="ES3" s="1" t="str">
        <f>INDEX($B$17:$GQ$17,MATCH(148,$B$29:$GQ$29,0))</f>
        <v>Iron ores</v>
      </c>
      <c r="ET3" s="1" t="str">
        <f>INDEX($B$17:$GQ$17,MATCH(149,$B$29:$GQ$29,0))</f>
        <v>Copper ores and concentrates</v>
      </c>
      <c r="EU3" s="1" t="str">
        <f>INDEX($B$17:$GQ$17,MATCH(150,$B$29:$GQ$29,0))</f>
        <v>Nickel ores and concentrates</v>
      </c>
      <c r="EV3" s="1" t="str">
        <f>INDEX($B$17:$GQ$17,MATCH(151,$B$29:$GQ$29,0))</f>
        <v>Aluminium ores and concentrates</v>
      </c>
      <c r="EW3" s="1" t="str">
        <f>INDEX($B$17:$GQ$17,MATCH(152,$B$29:$GQ$29,0))</f>
        <v>Precious metal ores and concentrates</v>
      </c>
      <c r="EX3" s="1" t="str">
        <f>INDEX($B$17:$GQ$17,MATCH(153,$B$29:$GQ$29,0))</f>
        <v>Lead, zinc and tin ores and concentrates</v>
      </c>
      <c r="EY3" s="1" t="str">
        <f>INDEX($B$17:$GQ$17,MATCH(154,$B$29:$GQ$29,0))</f>
        <v>Other non-ferrous metal ores and concentrates</v>
      </c>
      <c r="EZ3" s="1" t="str">
        <f>INDEX($B$17:$GQ$17,MATCH(155,$B$29:$GQ$29,0))</f>
        <v>Stone</v>
      </c>
      <c r="FA3" s="1" t="str">
        <f>INDEX($B$17:$GQ$17,MATCH(156,$B$29:$GQ$29,0))</f>
        <v>Sand and clay</v>
      </c>
      <c r="FB3" s="1" t="str">
        <f>INDEX($B$17:$GQ$17,MATCH(157,$B$29:$GQ$29,0))</f>
        <v>Chemical and fertilizer minerals, salt and other mining and quarrying products n.e.c.</v>
      </c>
      <c r="FC3" s="1" t="str">
        <f>INDEX($B$17:$GQ$17,MATCH(158,$B$29:$GQ$29,0))</f>
        <v>Pulp</v>
      </c>
      <c r="FD3" s="1" t="str">
        <f>INDEX($B$17:$GQ$17,MATCH(159,$B$29:$GQ$29,0))</f>
        <v>Secondary paper for treatment, Re-processing of secondary paper into new pulp</v>
      </c>
      <c r="FE3" s="1" t="str">
        <f>INDEX($B$17:$GQ$17,MATCH(160,$B$29:$GQ$29,0))</f>
        <v>Gas Coke</v>
      </c>
      <c r="FF3" s="1" t="str">
        <f>INDEX($B$17:$GQ$17,MATCH(161,$B$29:$GQ$29,0))</f>
        <v>Coal Tar</v>
      </c>
      <c r="FG3" s="1" t="str">
        <f>INDEX($B$17:$GQ$17,MATCH(162,$B$29:$GQ$29,0))</f>
        <v>Aviation Gasoline</v>
      </c>
      <c r="FH3" s="1" t="str">
        <f>INDEX($B$17:$GQ$17,MATCH(163,$B$29:$GQ$29,0))</f>
        <v>Gasoline Type Jet Fuel</v>
      </c>
      <c r="FI3" s="1" t="str">
        <f>INDEX($B$17:$GQ$17,MATCH(164,$B$29:$GQ$29,0))</f>
        <v>Kerosene</v>
      </c>
      <c r="FJ3" s="1" t="str">
        <f>INDEX($B$17:$GQ$17,MATCH(165,$B$29:$GQ$29,0))</f>
        <v>Refinery Gas</v>
      </c>
      <c r="FK3" s="1" t="str">
        <f>INDEX($B$17:$GQ$17,MATCH(166,$B$29:$GQ$29,0))</f>
        <v>Refinery Feedstocks</v>
      </c>
      <c r="FL3" s="1" t="str">
        <f>INDEX($B$17:$GQ$17,MATCH(167,$B$29:$GQ$29,0))</f>
        <v>Ethane</v>
      </c>
      <c r="FM3" s="1" t="str">
        <f>INDEX($B$17:$GQ$17,MATCH(168,$B$29:$GQ$29,0))</f>
        <v>Naphtha</v>
      </c>
      <c r="FN3" s="1" t="str">
        <f>INDEX($B$17:$GQ$17,MATCH(169,$B$29:$GQ$29,0))</f>
        <v>White Spirit &amp; SBP</v>
      </c>
      <c r="FO3" s="1" t="str">
        <f>INDEX($B$17:$GQ$17,MATCH(170,$B$29:$GQ$29,0))</f>
        <v>Lubricants</v>
      </c>
      <c r="FP3" s="1" t="str">
        <f>INDEX($B$17:$GQ$17,MATCH(171,$B$29:$GQ$29,0))</f>
        <v>Bitumen</v>
      </c>
      <c r="FQ3" s="1" t="str">
        <f>INDEX($B$17:$GQ$17,MATCH(172,$B$29:$GQ$29,0))</f>
        <v>Paraffin Waxes</v>
      </c>
      <c r="FR3" s="1" t="str">
        <f>INDEX($B$17:$GQ$17,MATCH(173,$B$29:$GQ$29,0))</f>
        <v>Petroleum Coke</v>
      </c>
      <c r="FS3" s="1" t="str">
        <f>INDEX($B$17:$GQ$17,MATCH(174,$B$29:$GQ$29,0))</f>
        <v>Non-specified Petroleum Products</v>
      </c>
      <c r="FT3" s="1" t="str">
        <f>INDEX($B$17:$GQ$17,MATCH(175,$B$29:$GQ$29,0))</f>
        <v>Nuclear fuel</v>
      </c>
      <c r="FU3" s="1" t="str">
        <f>INDEX($B$17:$GQ$17,MATCH(176,$B$29:$GQ$29,0))</f>
        <v>Charcoal</v>
      </c>
      <c r="FV3" s="1" t="str">
        <f>INDEX($B$17:$GQ$17,MATCH(177,$B$29:$GQ$29,0))</f>
        <v>Additives/Blending Components</v>
      </c>
      <c r="FW3" s="1" t="str">
        <f>INDEX($B$17:$GQ$17,MATCH(178,$B$29:$GQ$29,0))</f>
        <v>Other Liquid Biofuels</v>
      </c>
      <c r="FX3" s="1" t="str">
        <f>INDEX($B$17:$GQ$17,MATCH(179,$B$29:$GQ$29,0))</f>
        <v>Glass and glass products</v>
      </c>
      <c r="FY3" s="1" t="str">
        <f>INDEX($B$17:$GQ$17,MATCH(180,$B$29:$GQ$29,0))</f>
        <v>Secondary glass for treatment, Re-processing of secondary glass into new glass</v>
      </c>
      <c r="FZ3" s="1" t="str">
        <f>INDEX($B$17:$GQ$17,MATCH(181,$B$29:$GQ$29,0))</f>
        <v>Lead, zinc and tin and products thereof</v>
      </c>
      <c r="GA3" s="1" t="str">
        <f>INDEX($B$17:$GQ$17,MATCH(182,$B$29:$GQ$29,0))</f>
        <v>Secondary lead for treatment, Re-processing of secondary lead into new lead</v>
      </c>
      <c r="GB3" s="1" t="str">
        <f>INDEX($B$17:$GQ$17,MATCH(183,$B$29:$GQ$29,0))</f>
        <v>Copper products</v>
      </c>
      <c r="GC3" s="1" t="str">
        <f>INDEX($B$17:$GQ$17,MATCH(184,$B$29:$GQ$29,0))</f>
        <v>Secondary copper for treatment, Re-processing of secondary copper into new copper</v>
      </c>
      <c r="GD3" s="1" t="str">
        <f>INDEX($B$17:$GQ$17,MATCH(185,$B$29:$GQ$29,0))</f>
        <v>Office machinery and computers (30)</v>
      </c>
      <c r="GE3" s="1" t="str">
        <f>INDEX($B$17:$GQ$17,MATCH(186,$B$29:$GQ$29,0))</f>
        <v>Secondary raw materials</v>
      </c>
      <c r="GF3" s="1" t="str">
        <f>INDEX($B$17:$GQ$17,MATCH(187,$B$29:$GQ$29,0))</f>
        <v>Bottles for treatment, Recycling of bottles by direct reuse</v>
      </c>
      <c r="GG3" s="1" t="str">
        <f>INDEX($B$17:$GQ$17,MATCH(188,$B$29:$GQ$29,0))</f>
        <v>Electricity by solar thermal</v>
      </c>
      <c r="GH3" s="1" t="str">
        <f>INDEX($B$17:$GQ$17,MATCH(189,$B$29:$GQ$29,0))</f>
        <v>Electricity by Geothermal</v>
      </c>
      <c r="GI3" s="1" t="str">
        <f>INDEX($B$17:$GQ$17,MATCH(190,$B$29:$GQ$29,0))</f>
        <v>Electricity nec</v>
      </c>
      <c r="GJ3" s="1" t="str">
        <f>INDEX($B$17:$GQ$17,MATCH(191,$B$29:$GQ$29,0))</f>
        <v>Coke oven gas</v>
      </c>
      <c r="GK3" s="1" t="str">
        <f>INDEX($B$17:$GQ$17,MATCH(192,$B$29:$GQ$29,0))</f>
        <v>Blast Furnace Gas</v>
      </c>
      <c r="GL3" s="1" t="str">
        <f>INDEX($B$17:$GQ$17,MATCH(193,$B$29:$GQ$29,0))</f>
        <v>Oxygen Steel Furnace Gas</v>
      </c>
      <c r="GM3" s="1" t="str">
        <f>INDEX($B$17:$GQ$17,MATCH(194,$B$29:$GQ$29,0))</f>
        <v>Gas Works Gas</v>
      </c>
      <c r="GN3" s="1" t="str">
        <f>INDEX($B$17:$GQ$17,MATCH(195,$B$29:$GQ$29,0))</f>
        <v>Biogas</v>
      </c>
      <c r="GO3" s="1" t="str">
        <f>INDEX($B$17:$GQ$17,MATCH(196,$B$29:$GQ$29,0))</f>
        <v>Secondary construction material for treatment, Re-processing of secondary construction material into aggregates</v>
      </c>
      <c r="GP3" s="1" t="str">
        <f>INDEX($B$17:$GQ$17,MATCH(197,$B$29:$GQ$29,0))</f>
        <v>Services auxiliary to financial intermediation (67)</v>
      </c>
      <c r="GQ3" s="1" t="str">
        <f>INDEX($B$17:$GQ$17,MATCH(198,$B$29:$GQ$29,0))</f>
        <v>Extra-territorial organizations and bodies</v>
      </c>
      <c r="GR3" s="1" t="str">
        <f>INDEX($GR$17:$HC$17,MATCH(1,$GR$30:$HC$30,0))</f>
        <v>Final services</v>
      </c>
      <c r="GS3" s="1" t="str">
        <f>INDEX($GR$17:$HC$17,MATCH(2,$GR$30:$HC$30,0))</f>
        <v>Housing</v>
      </c>
      <c r="GT3" s="1" t="str">
        <f>INDEX($GR$17:$HC$17,MATCH(3,$GR$30:$HC$30,0))</f>
        <v>Final goods nec</v>
      </c>
      <c r="GU3" s="1" t="str">
        <f>INDEX($GR$17:$HC$17,MATCH(4,$GR$30:$HC$30,0))</f>
        <v>Mobility</v>
      </c>
      <c r="GV3" s="1" t="str">
        <f>INDEX($GR$17:$HC$17,MATCH(5,$GR$30:$HC$30,0))</f>
        <v>Food nec</v>
      </c>
      <c r="GW3" s="1" t="str">
        <f>INDEX($GR$17:$HC$17,MATCH(6,$GR$30:$HC$30,0))</f>
        <v>Meat nec</v>
      </c>
      <c r="GX3" s="1" t="str">
        <f>INDEX($GR$17:$HC$17,MATCH(7,$GR$30:$HC$30,0))</f>
        <v>Cattle</v>
      </c>
      <c r="GY3" s="1" t="str">
        <f>INDEX($GR$17:$HC$17,MATCH(8,$GR$30:$HC$30,0))</f>
        <v>Animal nec</v>
      </c>
      <c r="GZ3" s="1" t="str">
        <f>INDEX($GR$17:$HC$17,MATCH(9,$GR$30:$HC$30,0))</f>
        <v>Dairy products</v>
      </c>
      <c r="HA3" s="1" t="str">
        <f>INDEX($GR$17:$HC$17,MATCH(10,$GR$30:$HC$30,0))</f>
        <v>Hotel &amp; restaurant</v>
      </c>
      <c r="HB3" s="1" t="str">
        <f>INDEX($GR$17:$HC$17,MATCH(11,$GR$30:$HC$30,0))</f>
        <v>Vegetables, fruits, nuts</v>
      </c>
      <c r="HC3" s="1" t="str">
        <f>INDEX($GR$17:$HC$17,MATCH(12,$GR$30:$HC$30,0))</f>
        <v>Textiles</v>
      </c>
    </row>
    <row r="4" spans="1:211" x14ac:dyDescent="0.45">
      <c r="A4" s="1" t="s">
        <v>3</v>
      </c>
      <c r="B4">
        <f>INDEX($B$18:$GQ$18,MATCH(1,$B$29:$GQ$29,0))</f>
        <v>301880.7131235557</v>
      </c>
      <c r="C4">
        <f>INDEX($B$18:$GQ$18,MATCH(2,$B$29:$GQ$29,0))</f>
        <v>67166.236680247297</v>
      </c>
      <c r="D4">
        <f>INDEX($B$18:$GQ$18,MATCH(3,$B$29:$GQ$29,0))</f>
        <v>311805.97809731122</v>
      </c>
      <c r="E4">
        <f>INDEX($B$18:$GQ$18,MATCH(4,$B$29:$GQ$29,0))</f>
        <v>69667.936495477727</v>
      </c>
      <c r="F4">
        <f>INDEX($B$18:$GQ$18,MATCH(5,$B$29:$GQ$29,0))</f>
        <v>377252.13385785109</v>
      </c>
      <c r="G4">
        <f>INDEX($B$18:$GQ$18,MATCH(6,$B$29:$GQ$29,0))</f>
        <v>37851.970783487392</v>
      </c>
      <c r="H4">
        <f>INDEX($B$18:$GQ$18,MATCH(7,$B$29:$GQ$29,0))</f>
        <v>91063.944698659121</v>
      </c>
      <c r="I4">
        <f>INDEX($B$18:$GQ$18,MATCH(8,$B$29:$GQ$29,0))</f>
        <v>267632.28373900952</v>
      </c>
      <c r="J4">
        <f>INDEX($B$18:$GQ$18,MATCH(9,$B$29:$GQ$29,0))</f>
        <v>69130.120091834571</v>
      </c>
      <c r="K4">
        <f>INDEX($B$18:$GQ$18,MATCH(10,$B$29:$GQ$29,0))</f>
        <v>98959.545005174921</v>
      </c>
      <c r="L4">
        <f>INDEX($B$18:$GQ$18,MATCH(11,$B$29:$GQ$29,0))</f>
        <v>92773.851565028628</v>
      </c>
      <c r="M4">
        <f>INDEX($B$18:$GQ$18,MATCH(12,$B$29:$GQ$29,0))</f>
        <v>83641.237320967324</v>
      </c>
      <c r="N4">
        <f>INDEX($B$18:$GQ$18,MATCH(13,$B$29:$GQ$29,0))</f>
        <v>171299.38596064539</v>
      </c>
      <c r="O4">
        <f>INDEX($B$18:$GQ$18,MATCH(14,$B$29:$GQ$29,0))</f>
        <v>40825.996423850949</v>
      </c>
      <c r="P4">
        <f>INDEX($B$18:$GQ$18,MATCH(15,$B$29:$GQ$29,0))</f>
        <v>174976.2719209069</v>
      </c>
      <c r="Q4">
        <f>INDEX($B$18:$GQ$18,MATCH(16,$B$29:$GQ$29,0))</f>
        <v>435635.16562859272</v>
      </c>
      <c r="R4">
        <f>INDEX($B$18:$GQ$18,MATCH(17,$B$29:$GQ$29,0))</f>
        <v>128209.2125939376</v>
      </c>
      <c r="S4">
        <f>INDEX($B$18:$GQ$18,MATCH(18,$B$29:$GQ$29,0))</f>
        <v>85396.681275425974</v>
      </c>
      <c r="T4">
        <f>INDEX($B$18:$GQ$18,MATCH(19,$B$29:$GQ$29,0))</f>
        <v>239387.2679456638</v>
      </c>
      <c r="U4">
        <f>INDEX($B$18:$GQ$18,MATCH(20,$B$29:$GQ$29,0))</f>
        <v>247984.58915264759</v>
      </c>
      <c r="V4">
        <f>INDEX($B$18:$GQ$18,MATCH(21,$B$29:$GQ$29,0))</f>
        <v>281222.01040163782</v>
      </c>
      <c r="W4">
        <f>INDEX($B$18:$GQ$18,MATCH(22,$B$29:$GQ$29,0))</f>
        <v>1873355.627172532</v>
      </c>
      <c r="X4">
        <f>INDEX($B$18:$GQ$18,MATCH(23,$B$29:$GQ$29,0))</f>
        <v>216880.06509786961</v>
      </c>
      <c r="Y4">
        <f>INDEX($B$18:$GQ$18,MATCH(24,$B$29:$GQ$29,0))</f>
        <v>83742.733417998912</v>
      </c>
      <c r="Z4">
        <f>INDEX($B$18:$GQ$18,MATCH(25,$B$29:$GQ$29,0))</f>
        <v>225355.3181229718</v>
      </c>
      <c r="AA4">
        <f>INDEX($B$18:$GQ$18,MATCH(26,$B$29:$GQ$29,0))</f>
        <v>917181.51356347534</v>
      </c>
      <c r="AB4">
        <f>INDEX($B$18:$GQ$18,MATCH(27,$B$29:$GQ$29,0))</f>
        <v>321763.7694426871</v>
      </c>
      <c r="AC4">
        <f>INDEX($B$18:$GQ$18,MATCH(28,$B$29:$GQ$29,0))</f>
        <v>96539.090221359496</v>
      </c>
      <c r="AD4">
        <f>INDEX($B$18:$GQ$18,MATCH(29,$B$29:$GQ$29,0))</f>
        <v>80504.049785013834</v>
      </c>
      <c r="AE4">
        <f>INDEX($B$18:$GQ$18,MATCH(30,$B$29:$GQ$29,0))</f>
        <v>170504.44352001059</v>
      </c>
      <c r="AF4">
        <f>INDEX($B$18:$GQ$18,MATCH(31,$B$29:$GQ$29,0))</f>
        <v>125964.8273384061</v>
      </c>
      <c r="AG4">
        <f>INDEX($B$18:$GQ$18,MATCH(32,$B$29:$GQ$29,0))</f>
        <v>376403.62583896372</v>
      </c>
      <c r="AH4">
        <f>INDEX($B$18:$GQ$18,MATCH(33,$B$29:$GQ$29,0))</f>
        <v>505375.93806255539</v>
      </c>
      <c r="AI4">
        <f>INDEX($B$18:$GQ$18,MATCH(34,$B$29:$GQ$29,0))</f>
        <v>68764.922696949448</v>
      </c>
      <c r="AJ4">
        <f>INDEX($B$18:$GQ$18,MATCH(35,$B$29:$GQ$29,0))</f>
        <v>748139.40622629668</v>
      </c>
      <c r="AK4">
        <f>INDEX($B$18:$GQ$18,MATCH(36,$B$29:$GQ$29,0))</f>
        <v>193613.71318521141</v>
      </c>
      <c r="AL4">
        <f>INDEX($B$18:$GQ$18,MATCH(37,$B$29:$GQ$29,0))</f>
        <v>43243.753023599478</v>
      </c>
      <c r="AM4">
        <f>INDEX($B$18:$GQ$18,MATCH(38,$B$29:$GQ$29,0))</f>
        <v>127822.1277685766</v>
      </c>
      <c r="AN4">
        <f>INDEX($B$18:$GQ$18,MATCH(39,$B$29:$GQ$29,0))</f>
        <v>167919.42000098381</v>
      </c>
      <c r="AO4">
        <f>INDEX($B$18:$GQ$18,MATCH(40,$B$29:$GQ$29,0))</f>
        <v>148078.86668722361</v>
      </c>
      <c r="AP4">
        <f>INDEX($B$18:$GQ$18,MATCH(41,$B$29:$GQ$29,0))</f>
        <v>64324.577094222273</v>
      </c>
      <c r="AQ4">
        <f>INDEX($B$18:$GQ$18,MATCH(42,$B$29:$GQ$29,0))</f>
        <v>464350.0828930409</v>
      </c>
      <c r="AR4">
        <f>INDEX($B$18:$GQ$18,MATCH(43,$B$29:$GQ$29,0))</f>
        <v>978411.26371489302</v>
      </c>
      <c r="AS4">
        <f>INDEX($B$18:$GQ$18,MATCH(44,$B$29:$GQ$29,0))</f>
        <v>103095.217090887</v>
      </c>
      <c r="AT4">
        <f>INDEX($B$18:$GQ$18,MATCH(45,$B$29:$GQ$29,0))</f>
        <v>109894.65717026631</v>
      </c>
      <c r="AU4">
        <f>INDEX($B$18:$GQ$18,MATCH(46,$B$29:$GQ$29,0))</f>
        <v>81444.266732492091</v>
      </c>
      <c r="AV4">
        <f>INDEX($B$18:$GQ$18,MATCH(47,$B$29:$GQ$29,0))</f>
        <v>30287.696775550961</v>
      </c>
      <c r="AW4">
        <f>INDEX($B$18:$GQ$18,MATCH(48,$B$29:$GQ$29,0))</f>
        <v>80178.035213542244</v>
      </c>
      <c r="AX4">
        <f>INDEX($B$18:$GQ$18,MATCH(49,$B$29:$GQ$29,0))</f>
        <v>156925.12287211721</v>
      </c>
      <c r="AY4">
        <f>INDEX($B$18:$GQ$18,MATCH(50,$B$29:$GQ$29,0))</f>
        <v>60466.895713103062</v>
      </c>
      <c r="AZ4">
        <f>INDEX($B$18:$GQ$18,MATCH(51,$B$29:$GQ$29,0))</f>
        <v>47841.01015018599</v>
      </c>
      <c r="BA4">
        <f>INDEX($B$18:$GQ$18,MATCH(52,$B$29:$GQ$29,0))</f>
        <v>69330.433792626704</v>
      </c>
      <c r="BB4">
        <f>INDEX($B$18:$GQ$18,MATCH(53,$B$29:$GQ$29,0))</f>
        <v>90138.958132165673</v>
      </c>
      <c r="BC4">
        <f>INDEX($B$18:$GQ$18,MATCH(54,$B$29:$GQ$29,0))</f>
        <v>128541.7453080393</v>
      </c>
      <c r="BD4">
        <f>INDEX($B$18:$GQ$18,MATCH(55,$B$29:$GQ$29,0))</f>
        <v>289605.38638909819</v>
      </c>
      <c r="BE4">
        <f>INDEX($B$18:$GQ$18,MATCH(56,$B$29:$GQ$29,0))</f>
        <v>138297.49436605131</v>
      </c>
      <c r="BF4">
        <f>INDEX($B$18:$GQ$18,MATCH(57,$B$29:$GQ$29,0))</f>
        <v>114658.49798889909</v>
      </c>
      <c r="BG4">
        <f>INDEX($B$18:$GQ$18,MATCH(58,$B$29:$GQ$29,0))</f>
        <v>43457.127346369431</v>
      </c>
      <c r="BH4">
        <f>INDEX($B$18:$GQ$18,MATCH(59,$B$29:$GQ$29,0))</f>
        <v>492821.7130988171</v>
      </c>
      <c r="BI4">
        <f>INDEX($B$18:$GQ$18,MATCH(60,$B$29:$GQ$29,0))</f>
        <v>62849.688538521659</v>
      </c>
      <c r="BJ4">
        <f>INDEX($B$18:$GQ$18,MATCH(61,$B$29:$GQ$29,0))</f>
        <v>886969.62383960932</v>
      </c>
      <c r="BK4">
        <f>INDEX($B$18:$GQ$18,MATCH(62,$B$29:$GQ$29,0))</f>
        <v>62801.720830660553</v>
      </c>
      <c r="BL4">
        <f>INDEX($B$18:$GQ$18,MATCH(63,$B$29:$GQ$29,0))</f>
        <v>43878.215439032007</v>
      </c>
      <c r="BM4">
        <f>INDEX($B$18:$GQ$18,MATCH(64,$B$29:$GQ$29,0))</f>
        <v>120843.7305791597</v>
      </c>
      <c r="BN4">
        <f>INDEX($B$18:$GQ$18,MATCH(65,$B$29:$GQ$29,0))</f>
        <v>33309.378539984158</v>
      </c>
      <c r="BO4">
        <f>INDEX($B$18:$GQ$18,MATCH(66,$B$29:$GQ$29,0))</f>
        <v>208211.94997053989</v>
      </c>
      <c r="BP4">
        <f>INDEX($B$18:$GQ$18,MATCH(67,$B$29:$GQ$29,0))</f>
        <v>140164.25676267489</v>
      </c>
      <c r="BQ4">
        <f>INDEX($B$18:$GQ$18,MATCH(68,$B$29:$GQ$29,0))</f>
        <v>54887.048928891731</v>
      </c>
      <c r="BR4">
        <f>INDEX($B$18:$GQ$18,MATCH(69,$B$29:$GQ$29,0))</f>
        <v>132035.85591952901</v>
      </c>
      <c r="BS4">
        <f>INDEX($B$18:$GQ$18,MATCH(70,$B$29:$GQ$29,0))</f>
        <v>405195.01636119792</v>
      </c>
      <c r="BT4">
        <f>INDEX($B$18:$GQ$18,MATCH(71,$B$29:$GQ$29,0))</f>
        <v>893434.35728739272</v>
      </c>
      <c r="BU4">
        <f>INDEX($B$18:$GQ$18,MATCH(72,$B$29:$GQ$29,0))</f>
        <v>4330205.1089862539</v>
      </c>
      <c r="BV4">
        <f>INDEX($B$18:$GQ$18,MATCH(73,$B$29:$GQ$29,0))</f>
        <v>55220.525345307848</v>
      </c>
      <c r="BW4">
        <f>INDEX($B$18:$GQ$18,MATCH(74,$B$29:$GQ$29,0))</f>
        <v>97328.207574286862</v>
      </c>
      <c r="BX4">
        <f>INDEX($B$18:$GQ$18,MATCH(75,$B$29:$GQ$29,0))</f>
        <v>106547.8256750866</v>
      </c>
      <c r="BY4">
        <f>INDEX($B$18:$GQ$18,MATCH(76,$B$29:$GQ$29,0))</f>
        <v>95920.266748571245</v>
      </c>
      <c r="BZ4">
        <f>INDEX($B$18:$GQ$18,MATCH(77,$B$29:$GQ$29,0))</f>
        <v>91939.507765442497</v>
      </c>
      <c r="CA4">
        <f>INDEX($B$18:$GQ$18,MATCH(78,$B$29:$GQ$29,0))</f>
        <v>45948.293883965547</v>
      </c>
      <c r="CB4">
        <f>INDEX($B$18:$GQ$18,MATCH(79,$B$29:$GQ$29,0))</f>
        <v>61409.657712172193</v>
      </c>
      <c r="CC4">
        <f>INDEX($B$18:$GQ$18,MATCH(80,$B$29:$GQ$29,0))</f>
        <v>91044.871210486192</v>
      </c>
      <c r="CD4">
        <f>INDEX($B$18:$GQ$18,MATCH(81,$B$29:$GQ$29,0))</f>
        <v>219142.6128253887</v>
      </c>
      <c r="CE4">
        <f>INDEX($B$18:$GQ$18,MATCH(82,$B$29:$GQ$29,0))</f>
        <v>55493.799403265679</v>
      </c>
      <c r="CF4">
        <f>INDEX($B$18:$GQ$18,MATCH(83,$B$29:$GQ$29,0))</f>
        <v>65042.378714889768</v>
      </c>
      <c r="CG4">
        <f>INDEX($B$18:$GQ$18,MATCH(84,$B$29:$GQ$29,0))</f>
        <v>107667.4602055992</v>
      </c>
      <c r="CH4">
        <f>INDEX($B$18:$GQ$18,MATCH(85,$B$29:$GQ$29,0))</f>
        <v>695652.51449503121</v>
      </c>
      <c r="CI4">
        <f>INDEX($B$18:$GQ$18,MATCH(86,$B$29:$GQ$29,0))</f>
        <v>35658.768387427292</v>
      </c>
      <c r="CJ4">
        <f>INDEX($B$18:$GQ$18,MATCH(87,$B$29:$GQ$29,0))</f>
        <v>188008.16814309719</v>
      </c>
      <c r="CK4">
        <f>INDEX($B$18:$GQ$18,MATCH(88,$B$29:$GQ$29,0))</f>
        <v>57610.681745457798</v>
      </c>
      <c r="CL4">
        <f>INDEX($B$18:$GQ$18,MATCH(89,$B$29:$GQ$29,0))</f>
        <v>57604.291087081867</v>
      </c>
      <c r="CM4">
        <f>INDEX($B$18:$GQ$18,MATCH(90,$B$29:$GQ$29,0))</f>
        <v>55645.426911507617</v>
      </c>
      <c r="CN4">
        <f>INDEX($B$18:$GQ$18,MATCH(91,$B$29:$GQ$29,0))</f>
        <v>57554.962642536862</v>
      </c>
      <c r="CO4">
        <f>INDEX($B$18:$GQ$18,MATCH(92,$B$29:$GQ$29,0))</f>
        <v>77996.469865654828</v>
      </c>
      <c r="CP4">
        <f>INDEX($B$18:$GQ$18,MATCH(93,$B$29:$GQ$29,0))</f>
        <v>64496.880315359682</v>
      </c>
      <c r="CQ4">
        <f>INDEX($B$18:$GQ$18,MATCH(94,$B$29:$GQ$29,0))</f>
        <v>57113.348844295499</v>
      </c>
      <c r="CR4">
        <f>INDEX($B$18:$GQ$18,MATCH(95,$B$29:$GQ$29,0))</f>
        <v>57748.910633602944</v>
      </c>
      <c r="CS4">
        <f>INDEX($B$18:$GQ$18,MATCH(96,$B$29:$GQ$29,0))</f>
        <v>42348.062862977968</v>
      </c>
      <c r="CT4">
        <f>INDEX($B$18:$GQ$18,MATCH(97,$B$29:$GQ$29,0))</f>
        <v>25128.863644077519</v>
      </c>
      <c r="CU4">
        <f>INDEX($B$18:$GQ$18,MATCH(98,$B$29:$GQ$29,0))</f>
        <v>0</v>
      </c>
      <c r="CV4">
        <f>INDEX($B$18:$GQ$18,MATCH(99,$B$29:$GQ$29,0))</f>
        <v>58383.449952964111</v>
      </c>
      <c r="CW4">
        <f>INDEX($B$18:$GQ$18,MATCH(100,$B$29:$GQ$29,0))</f>
        <v>60578.38523713217</v>
      </c>
      <c r="CX4">
        <f>INDEX($B$18:$GQ$18,MATCH(101,$B$29:$GQ$29,0))</f>
        <v>61366.501864613543</v>
      </c>
      <c r="CY4">
        <f>INDEX($B$18:$GQ$18,MATCH(102,$B$29:$GQ$29,0))</f>
        <v>165672.99379709849</v>
      </c>
      <c r="CZ4">
        <f>INDEX($B$18:$GQ$18,MATCH(103,$B$29:$GQ$29,0))</f>
        <v>68199.186434254152</v>
      </c>
      <c r="DA4">
        <f>INDEX($B$18:$GQ$18,MATCH(104,$B$29:$GQ$29,0))</f>
        <v>71451.433537517354</v>
      </c>
      <c r="DB4">
        <f>INDEX($B$18:$GQ$18,MATCH(105,$B$29:$GQ$29,0))</f>
        <v>130257.7783540286</v>
      </c>
      <c r="DC4">
        <f>INDEX($B$18:$GQ$18,MATCH(106,$B$29:$GQ$29,0))</f>
        <v>62566.17929312661</v>
      </c>
      <c r="DD4">
        <f>INDEX($B$18:$GQ$18,MATCH(107,$B$29:$GQ$29,0))</f>
        <v>59013.999997345571</v>
      </c>
      <c r="DE4">
        <f>INDEX($B$18:$GQ$18,MATCH(108,$B$29:$GQ$29,0))</f>
        <v>57500.576621374101</v>
      </c>
      <c r="DF4">
        <f>INDEX($B$18:$GQ$18,MATCH(109,$B$29:$GQ$29,0))</f>
        <v>97865.977304551954</v>
      </c>
      <c r="DG4">
        <f>INDEX($B$18:$GQ$18,MATCH(110,$B$29:$GQ$29,0))</f>
        <v>86375.469490205025</v>
      </c>
      <c r="DH4">
        <f>INDEX($B$18:$GQ$18,MATCH(111,$B$29:$GQ$29,0))</f>
        <v>13566.573737239551</v>
      </c>
      <c r="DI4">
        <f>INDEX($B$18:$GQ$18,MATCH(112,$B$29:$GQ$29,0))</f>
        <v>53177.199188088707</v>
      </c>
      <c r="DJ4">
        <f>INDEX($B$18:$GQ$18,MATCH(113,$B$29:$GQ$29,0))</f>
        <v>0</v>
      </c>
      <c r="DK4">
        <f>INDEX($B$18:$GQ$18,MATCH(114,$B$29:$GQ$29,0))</f>
        <v>10185.920236949631</v>
      </c>
      <c r="DL4">
        <f>INDEX($B$18:$GQ$18,MATCH(115,$B$29:$GQ$29,0))</f>
        <v>51193.977166441153</v>
      </c>
      <c r="DM4">
        <f>INDEX($B$18:$GQ$18,MATCH(116,$B$29:$GQ$29,0))</f>
        <v>141680.52877945919</v>
      </c>
      <c r="DN4">
        <f>INDEX($B$18:$GQ$18,MATCH(117,$B$29:$GQ$29,0))</f>
        <v>112510.1526386859</v>
      </c>
      <c r="DO4">
        <f>INDEX($B$18:$GQ$18,MATCH(118,$B$29:$GQ$29,0))</f>
        <v>126895.2557917042</v>
      </c>
      <c r="DP4">
        <f>INDEX($B$18:$GQ$18,MATCH(119,$B$29:$GQ$29,0))</f>
        <v>84770.493530749314</v>
      </c>
      <c r="DQ4">
        <f>INDEX($B$18:$GQ$18,MATCH(120,$B$29:$GQ$29,0))</f>
        <v>115847.163614315</v>
      </c>
      <c r="DR4">
        <f>INDEX($B$18:$GQ$18,MATCH(121,$B$29:$GQ$29,0))</f>
        <v>265701.00681241619</v>
      </c>
      <c r="DS4">
        <f>INDEX($B$18:$GQ$18,MATCH(122,$B$29:$GQ$29,0))</f>
        <v>54635.990603368293</v>
      </c>
      <c r="DT4">
        <f>INDEX($B$18:$GQ$18,MATCH(123,$B$29:$GQ$29,0))</f>
        <v>77763.56287343055</v>
      </c>
      <c r="DU4">
        <f>INDEX($B$18:$GQ$18,MATCH(124,$B$29:$GQ$29,0))</f>
        <v>138416.22339444541</v>
      </c>
      <c r="DV4">
        <f>INDEX($B$18:$GQ$18,MATCH(125,$B$29:$GQ$29,0))</f>
        <v>0</v>
      </c>
      <c r="DW4">
        <f>INDEX($B$18:$GQ$18,MATCH(126,$B$29:$GQ$29,0))</f>
        <v>16980.21514697489</v>
      </c>
      <c r="DX4">
        <f>INDEX($B$18:$GQ$18,MATCH(127,$B$29:$GQ$29,0))</f>
        <v>144038.5856805451</v>
      </c>
      <c r="DY4">
        <f>INDEX($B$18:$GQ$18,MATCH(128,$B$29:$GQ$29,0))</f>
        <v>132230.58076416291</v>
      </c>
      <c r="DZ4">
        <f>INDEX($B$18:$GQ$18,MATCH(129,$B$29:$GQ$29,0))</f>
        <v>0</v>
      </c>
      <c r="EA4">
        <f>INDEX($B$18:$GQ$18,MATCH(130,$B$29:$GQ$29,0))</f>
        <v>138888.44832555659</v>
      </c>
      <c r="EB4">
        <f>INDEX($B$18:$GQ$18,MATCH(131,$B$29:$GQ$29,0))</f>
        <v>108886.02792274109</v>
      </c>
      <c r="EC4">
        <f>INDEX($B$18:$GQ$18,MATCH(132,$B$29:$GQ$29,0))</f>
        <v>0</v>
      </c>
      <c r="ED4">
        <f>INDEX($B$18:$GQ$18,MATCH(133,$B$29:$GQ$29,0))</f>
        <v>6948.8144983034717</v>
      </c>
      <c r="EE4">
        <f>INDEX($B$18:$GQ$18,MATCH(134,$B$29:$GQ$29,0))</f>
        <v>429117.85124400537</v>
      </c>
      <c r="EF4">
        <f>INDEX($B$18:$GQ$18,MATCH(135,$B$29:$GQ$29,0))</f>
        <v>315382.72545149637</v>
      </c>
      <c r="EG4">
        <f>INDEX($B$18:$GQ$18,MATCH(136,$B$29:$GQ$29,0))</f>
        <v>954966.12727044243</v>
      </c>
      <c r="EH4">
        <f>INDEX($B$18:$GQ$18,MATCH(137,$B$29:$GQ$29,0))</f>
        <v>0</v>
      </c>
      <c r="EI4">
        <f>INDEX($B$18:$GQ$18,MATCH(138,$B$29:$GQ$29,0))</f>
        <v>0</v>
      </c>
      <c r="EJ4">
        <f>INDEX($B$18:$GQ$18,MATCH(139,$B$29:$GQ$29,0))</f>
        <v>0</v>
      </c>
      <c r="EK4">
        <f>INDEX($B$18:$GQ$18,MATCH(140,$B$29:$GQ$29,0))</f>
        <v>0</v>
      </c>
      <c r="EL4">
        <f>INDEX($B$18:$GQ$18,MATCH(141,$B$29:$GQ$29,0))</f>
        <v>0</v>
      </c>
      <c r="EM4">
        <f>INDEX($B$18:$GQ$18,MATCH(142,$B$29:$GQ$29,0))</f>
        <v>0</v>
      </c>
      <c r="EN4">
        <f>INDEX($B$18:$GQ$18,MATCH(143,$B$29:$GQ$29,0))</f>
        <v>0</v>
      </c>
      <c r="EO4">
        <f>INDEX($B$18:$GQ$18,MATCH(144,$B$29:$GQ$29,0))</f>
        <v>204496.38793387901</v>
      </c>
      <c r="EP4">
        <f>INDEX($B$18:$GQ$18,MATCH(145,$B$29:$GQ$29,0))</f>
        <v>21368.68547113004</v>
      </c>
      <c r="EQ4">
        <f>INDEX($B$18:$GQ$18,MATCH(146,$B$29:$GQ$29,0))</f>
        <v>0</v>
      </c>
      <c r="ER4">
        <f>INDEX($B$18:$GQ$18,MATCH(147,$B$29:$GQ$29,0))</f>
        <v>0</v>
      </c>
      <c r="ES4">
        <f>INDEX($B$18:$GQ$18,MATCH(148,$B$29:$GQ$29,0))</f>
        <v>0</v>
      </c>
      <c r="ET4">
        <f>INDEX($B$18:$GQ$18,MATCH(149,$B$29:$GQ$29,0))</f>
        <v>0</v>
      </c>
      <c r="EU4">
        <f>INDEX($B$18:$GQ$18,MATCH(150,$B$29:$GQ$29,0))</f>
        <v>0</v>
      </c>
      <c r="EV4">
        <f>INDEX($B$18:$GQ$18,MATCH(151,$B$29:$GQ$29,0))</f>
        <v>0</v>
      </c>
      <c r="EW4">
        <f>INDEX($B$18:$GQ$18,MATCH(152,$B$29:$GQ$29,0))</f>
        <v>0</v>
      </c>
      <c r="EX4">
        <f>INDEX($B$18:$GQ$18,MATCH(153,$B$29:$GQ$29,0))</f>
        <v>0</v>
      </c>
      <c r="EY4">
        <f>INDEX($B$18:$GQ$18,MATCH(154,$B$29:$GQ$29,0))</f>
        <v>25368.538443648889</v>
      </c>
      <c r="EZ4">
        <f>INDEX($B$18:$GQ$18,MATCH(155,$B$29:$GQ$29,0))</f>
        <v>24993.350575868109</v>
      </c>
      <c r="FA4">
        <f>INDEX($B$18:$GQ$18,MATCH(156,$B$29:$GQ$29,0))</f>
        <v>691.03645200977189</v>
      </c>
      <c r="FB4">
        <f>INDEX($B$18:$GQ$18,MATCH(157,$B$29:$GQ$29,0))</f>
        <v>15611.603578328049</v>
      </c>
      <c r="FC4">
        <f>INDEX($B$18:$GQ$18,MATCH(158,$B$29:$GQ$29,0))</f>
        <v>154597.70647723609</v>
      </c>
      <c r="FD4">
        <f>INDEX($B$18:$GQ$18,MATCH(159,$B$29:$GQ$29,0))</f>
        <v>81790.431782562315</v>
      </c>
      <c r="FE4">
        <f>INDEX($B$18:$GQ$18,MATCH(160,$B$29:$GQ$29,0))</f>
        <v>0</v>
      </c>
      <c r="FF4">
        <f>INDEX($B$18:$GQ$18,MATCH(161,$B$29:$GQ$29,0))</f>
        <v>380705.53455876932</v>
      </c>
      <c r="FG4">
        <f>INDEX($B$18:$GQ$18,MATCH(162,$B$29:$GQ$29,0))</f>
        <v>0</v>
      </c>
      <c r="FH4">
        <f>INDEX($B$18:$GQ$18,MATCH(163,$B$29:$GQ$29,0))</f>
        <v>0</v>
      </c>
      <c r="FI4">
        <f>INDEX($B$18:$GQ$18,MATCH(164,$B$29:$GQ$29,0))</f>
        <v>0</v>
      </c>
      <c r="FJ4">
        <f>INDEX($B$18:$GQ$18,MATCH(165,$B$29:$GQ$29,0))</f>
        <v>663.31141547525749</v>
      </c>
      <c r="FK4">
        <f>INDEX($B$18:$GQ$18,MATCH(166,$B$29:$GQ$29,0))</f>
        <v>126608.5586406072</v>
      </c>
      <c r="FL4">
        <f>INDEX($B$18:$GQ$18,MATCH(167,$B$29:$GQ$29,0))</f>
        <v>0</v>
      </c>
      <c r="FM4">
        <f>INDEX($B$18:$GQ$18,MATCH(168,$B$29:$GQ$29,0))</f>
        <v>69548.703447900421</v>
      </c>
      <c r="FN4">
        <f>INDEX($B$18:$GQ$18,MATCH(169,$B$29:$GQ$29,0))</f>
        <v>142332.45485754</v>
      </c>
      <c r="FO4">
        <f>INDEX($B$18:$GQ$18,MATCH(170,$B$29:$GQ$29,0))</f>
        <v>240581.9508910765</v>
      </c>
      <c r="FP4">
        <f>INDEX($B$18:$GQ$18,MATCH(171,$B$29:$GQ$29,0))</f>
        <v>26315.40664033451</v>
      </c>
      <c r="FQ4">
        <f>INDEX($B$18:$GQ$18,MATCH(172,$B$29:$GQ$29,0))</f>
        <v>29319.49768655029</v>
      </c>
      <c r="FR4">
        <f>INDEX($B$18:$GQ$18,MATCH(173,$B$29:$GQ$29,0))</f>
        <v>44108.368179889287</v>
      </c>
      <c r="FS4">
        <f>INDEX($B$18:$GQ$18,MATCH(174,$B$29:$GQ$29,0))</f>
        <v>28071.103637498469</v>
      </c>
      <c r="FT4">
        <f>INDEX($B$18:$GQ$18,MATCH(175,$B$29:$GQ$29,0))</f>
        <v>548.85037972306623</v>
      </c>
      <c r="FU4">
        <f>INDEX($B$18:$GQ$18,MATCH(176,$B$29:$GQ$29,0))</f>
        <v>0</v>
      </c>
      <c r="FV4">
        <f>INDEX($B$18:$GQ$18,MATCH(177,$B$29:$GQ$29,0))</f>
        <v>32023.40221956262</v>
      </c>
      <c r="FW4">
        <f>INDEX($B$18:$GQ$18,MATCH(178,$B$29:$GQ$29,0))</f>
        <v>0</v>
      </c>
      <c r="FX4">
        <f>INDEX($B$18:$GQ$18,MATCH(179,$B$29:$GQ$29,0))</f>
        <v>111311.70941341799</v>
      </c>
      <c r="FY4">
        <f>INDEX($B$18:$GQ$18,MATCH(180,$B$29:$GQ$29,0))</f>
        <v>95152.421007577184</v>
      </c>
      <c r="FZ4">
        <f>INDEX($B$18:$GQ$18,MATCH(181,$B$29:$GQ$29,0))</f>
        <v>358299.29961385927</v>
      </c>
      <c r="GA4">
        <f>INDEX($B$18:$GQ$18,MATCH(182,$B$29:$GQ$29,0))</f>
        <v>484766.83347017289</v>
      </c>
      <c r="GB4">
        <f>INDEX($B$18:$GQ$18,MATCH(183,$B$29:$GQ$29,0))</f>
        <v>412663.39273919398</v>
      </c>
      <c r="GC4">
        <f>INDEX($B$18:$GQ$18,MATCH(184,$B$29:$GQ$29,0))</f>
        <v>0</v>
      </c>
      <c r="GD4">
        <f>INDEX($B$18:$GQ$18,MATCH(185,$B$29:$GQ$29,0))</f>
        <v>91342.734440568893</v>
      </c>
      <c r="GE4">
        <f>INDEX($B$18:$GQ$18,MATCH(186,$B$29:$GQ$29,0))</f>
        <v>0</v>
      </c>
      <c r="GF4">
        <f>INDEX($B$18:$GQ$18,MATCH(187,$B$29:$GQ$29,0))</f>
        <v>0</v>
      </c>
      <c r="GG4">
        <f>INDEX($B$18:$GQ$18,MATCH(188,$B$29:$GQ$29,0))</f>
        <v>0</v>
      </c>
      <c r="GH4">
        <f>INDEX($B$18:$GQ$18,MATCH(189,$B$29:$GQ$29,0))</f>
        <v>0</v>
      </c>
      <c r="GI4">
        <f>INDEX($B$18:$GQ$18,MATCH(190,$B$29:$GQ$29,0))</f>
        <v>0</v>
      </c>
      <c r="GJ4">
        <f>INDEX($B$18:$GQ$18,MATCH(191,$B$29:$GQ$29,0))</f>
        <v>8880.8568678039937</v>
      </c>
      <c r="GK4">
        <f>INDEX($B$18:$GQ$18,MATCH(192,$B$29:$GQ$29,0))</f>
        <v>18209.413482609631</v>
      </c>
      <c r="GL4">
        <f>INDEX($B$18:$GQ$18,MATCH(193,$B$29:$GQ$29,0))</f>
        <v>1.915841237934323E-3</v>
      </c>
      <c r="GM4">
        <f>INDEX($B$18:$GQ$18,MATCH(194,$B$29:$GQ$29,0))</f>
        <v>0</v>
      </c>
      <c r="GN4">
        <f>INDEX($B$18:$GQ$18,MATCH(195,$B$29:$GQ$29,0))</f>
        <v>37765.943892259151</v>
      </c>
      <c r="GO4">
        <f>INDEX($B$18:$GQ$18,MATCH(196,$B$29:$GQ$29,0))</f>
        <v>0</v>
      </c>
      <c r="GP4">
        <f>INDEX($B$18:$GQ$18,MATCH(197,$B$29:$GQ$29,0))</f>
        <v>90444.92534840187</v>
      </c>
      <c r="GQ4">
        <f>INDEX($B$18:$GQ$18,MATCH(198,$B$29:$GQ$29,0))</f>
        <v>0</v>
      </c>
      <c r="GR4">
        <f>INDEX($GR$18:$HC$18,MATCH(1,$GR$30:$HC$30,0))</f>
        <v>55687.578378144477</v>
      </c>
      <c r="GS4">
        <f>INDEX($GR$18:$HC$18,MATCH(2,$GR$30:$HC$30,0))</f>
        <v>93483.268241495287</v>
      </c>
      <c r="GT4">
        <f>INDEX($GR$18:$HC$18,MATCH(3,$GR$30:$HC$30,0))</f>
        <v>137822.58983953929</v>
      </c>
      <c r="GU4">
        <f>INDEX($GR$18:$HC$18,MATCH(4,$GR$30:$HC$30,0))</f>
        <v>179400.27230378499</v>
      </c>
      <c r="GV4">
        <f>INDEX($GR$18:$HC$18,MATCH(5,$GR$30:$HC$30,0))</f>
        <v>274715.82684680523</v>
      </c>
      <c r="GW4">
        <f>INDEX($GR$18:$HC$18,MATCH(6,$GR$30:$HC$30,0))</f>
        <v>314487.2509214257</v>
      </c>
      <c r="GX4">
        <f>INDEX($GR$18:$HC$18,MATCH(7,$GR$30:$HC$30,0))</f>
        <v>311805.97809731122</v>
      </c>
      <c r="GY4">
        <f>INDEX($GR$18:$HC$18,MATCH(8,$GR$30:$HC$30,0))</f>
        <v>287053.58795150358</v>
      </c>
      <c r="GZ4">
        <f>INDEX($GR$18:$HC$18,MATCH(9,$GR$30:$HC$30,0))</f>
        <v>271220.94721536338</v>
      </c>
      <c r="HA4">
        <f>INDEX($GR$18:$HC$18,MATCH(10,$GR$30:$HC$30,0))</f>
        <v>69130.120091834571</v>
      </c>
      <c r="HB4">
        <f>INDEX($GR$18:$HC$18,MATCH(11,$GR$30:$HC$30,0))</f>
        <v>175010.35999386679</v>
      </c>
      <c r="HC4">
        <f>INDEX($GR$18:$HC$18,MATCH(12,$GR$30:$HC$30,0))</f>
        <v>114697.3577846547</v>
      </c>
    </row>
    <row r="5" spans="1:211" x14ac:dyDescent="0.45">
      <c r="A5" s="1" t="s">
        <v>4</v>
      </c>
      <c r="B5">
        <f>INDEX($B$19:$GQ$19,MATCH(1,$B$29:$GQ$29,0))</f>
        <v>749477.29702203558</v>
      </c>
      <c r="C5">
        <f>INDEX($B$19:$GQ$19,MATCH(2,$B$29:$GQ$29,0))</f>
        <v>27366.27228244262</v>
      </c>
      <c r="D5">
        <f>INDEX($B$19:$GQ$19,MATCH(3,$B$29:$GQ$29,0))</f>
        <v>3311556.353353377</v>
      </c>
      <c r="E5">
        <f>INDEX($B$19:$GQ$19,MATCH(4,$B$29:$GQ$29,0))</f>
        <v>24974.970707028941</v>
      </c>
      <c r="F5">
        <f>INDEX($B$19:$GQ$19,MATCH(5,$B$29:$GQ$29,0))</f>
        <v>480006.18788277882</v>
      </c>
      <c r="G5">
        <f>INDEX($B$19:$GQ$19,MATCH(6,$B$29:$GQ$29,0))</f>
        <v>16868.153278315051</v>
      </c>
      <c r="H5">
        <f>INDEX($B$19:$GQ$19,MATCH(7,$B$29:$GQ$29,0))</f>
        <v>20351.185138356279</v>
      </c>
      <c r="I5">
        <f>INDEX($B$19:$GQ$19,MATCH(8,$B$29:$GQ$29,0))</f>
        <v>1301275.5300622771</v>
      </c>
      <c r="J5">
        <f>INDEX($B$19:$GQ$19,MATCH(9,$B$29:$GQ$29,0))</f>
        <v>93652.794280005503</v>
      </c>
      <c r="K5">
        <f>INDEX($B$19:$GQ$19,MATCH(10,$B$29:$GQ$29,0))</f>
        <v>21237.785111606529</v>
      </c>
      <c r="L5">
        <f>INDEX($B$19:$GQ$19,MATCH(11,$B$29:$GQ$29,0))</f>
        <v>46119.369573550663</v>
      </c>
      <c r="M5">
        <f>INDEX($B$19:$GQ$19,MATCH(12,$B$29:$GQ$29,0))</f>
        <v>1463949.768796447</v>
      </c>
      <c r="N5">
        <f>INDEX($B$19:$GQ$19,MATCH(13,$B$29:$GQ$29,0))</f>
        <v>51147.986007052627</v>
      </c>
      <c r="O5">
        <f>INDEX($B$19:$GQ$19,MATCH(14,$B$29:$GQ$29,0))</f>
        <v>25815.18638759261</v>
      </c>
      <c r="P5">
        <f>INDEX($B$19:$GQ$19,MATCH(15,$B$29:$GQ$29,0))</f>
        <v>663380.79193713027</v>
      </c>
      <c r="Q5">
        <f>INDEX($B$19:$GQ$19,MATCH(16,$B$29:$GQ$29,0))</f>
        <v>1160226.8879697069</v>
      </c>
      <c r="R5">
        <f>INDEX($B$19:$GQ$19,MATCH(17,$B$29:$GQ$29,0))</f>
        <v>27959.473690078808</v>
      </c>
      <c r="S5">
        <f>INDEX($B$19:$GQ$19,MATCH(18,$B$29:$GQ$29,0))</f>
        <v>73469.933931933614</v>
      </c>
      <c r="T5">
        <f>INDEX($B$19:$GQ$19,MATCH(19,$B$29:$GQ$29,0))</f>
        <v>395904.73491117632</v>
      </c>
      <c r="U5">
        <f>INDEX($B$19:$GQ$19,MATCH(20,$B$29:$GQ$29,0))</f>
        <v>221074.95718068301</v>
      </c>
      <c r="V5">
        <f>INDEX($B$19:$GQ$19,MATCH(21,$B$29:$GQ$29,0))</f>
        <v>1391475.963096085</v>
      </c>
      <c r="W5">
        <f>INDEX($B$19:$GQ$19,MATCH(22,$B$29:$GQ$29,0))</f>
        <v>1366476.092336396</v>
      </c>
      <c r="X5">
        <f>INDEX($B$19:$GQ$19,MATCH(23,$B$29:$GQ$29,0))</f>
        <v>457295.33371941448</v>
      </c>
      <c r="Y5">
        <f>INDEX($B$19:$GQ$19,MATCH(24,$B$29:$GQ$29,0))</f>
        <v>39023.111167196686</v>
      </c>
      <c r="Z5">
        <f>INDEX($B$19:$GQ$19,MATCH(25,$B$29:$GQ$29,0))</f>
        <v>43681.366521621952</v>
      </c>
      <c r="AA5">
        <f>INDEX($B$19:$GQ$19,MATCH(26,$B$29:$GQ$29,0))</f>
        <v>912885.74257625546</v>
      </c>
      <c r="AB5">
        <f>INDEX($B$19:$GQ$19,MATCH(27,$B$29:$GQ$29,0))</f>
        <v>1804268.9289530171</v>
      </c>
      <c r="AC5">
        <f>INDEX($B$19:$GQ$19,MATCH(28,$B$29:$GQ$29,0))</f>
        <v>19809.297108062859</v>
      </c>
      <c r="AD5">
        <f>INDEX($B$19:$GQ$19,MATCH(29,$B$29:$GQ$29,0))</f>
        <v>20807.629061758591</v>
      </c>
      <c r="AE5">
        <f>INDEX($B$19:$GQ$19,MATCH(30,$B$29:$GQ$29,0))</f>
        <v>42216.753955039647</v>
      </c>
      <c r="AF5">
        <f>INDEX($B$19:$GQ$19,MATCH(31,$B$29:$GQ$29,0))</f>
        <v>2985879.3130990639</v>
      </c>
      <c r="AG5">
        <f>INDEX($B$19:$GQ$19,MATCH(32,$B$29:$GQ$29,0))</f>
        <v>927017.97737880913</v>
      </c>
      <c r="AH5">
        <f>INDEX($B$19:$GQ$19,MATCH(33,$B$29:$GQ$29,0))</f>
        <v>92047.453017988519</v>
      </c>
      <c r="AI5">
        <f>INDEX($B$19:$GQ$19,MATCH(34,$B$29:$GQ$29,0))</f>
        <v>18606.89695331666</v>
      </c>
      <c r="AJ5">
        <f>INDEX($B$19:$GQ$19,MATCH(35,$B$29:$GQ$29,0))</f>
        <v>551190.73776887858</v>
      </c>
      <c r="AK5">
        <f>INDEX($B$19:$GQ$19,MATCH(36,$B$29:$GQ$29,0))</f>
        <v>51101.587586653121</v>
      </c>
      <c r="AL5">
        <f>INDEX($B$19:$GQ$19,MATCH(37,$B$29:$GQ$29,0))</f>
        <v>13804.872520794899</v>
      </c>
      <c r="AM5">
        <f>INDEX($B$19:$GQ$19,MATCH(38,$B$29:$GQ$29,0))</f>
        <v>36267.56543483297</v>
      </c>
      <c r="AN5">
        <f>INDEX($B$19:$GQ$19,MATCH(39,$B$29:$GQ$29,0))</f>
        <v>679115.85530419613</v>
      </c>
      <c r="AO5">
        <f>INDEX($B$19:$GQ$19,MATCH(40,$B$29:$GQ$29,0))</f>
        <v>67155.099450493391</v>
      </c>
      <c r="AP5">
        <f>INDEX($B$19:$GQ$19,MATCH(41,$B$29:$GQ$29,0))</f>
        <v>20039.63760732931</v>
      </c>
      <c r="AQ5">
        <f>INDEX($B$19:$GQ$19,MATCH(42,$B$29:$GQ$29,0))</f>
        <v>814661.61312321934</v>
      </c>
      <c r="AR5">
        <f>INDEX($B$19:$GQ$19,MATCH(43,$B$29:$GQ$29,0))</f>
        <v>912532.24113531027</v>
      </c>
      <c r="AS5">
        <f>INDEX($B$19:$GQ$19,MATCH(44,$B$29:$GQ$29,0))</f>
        <v>15759.925411859</v>
      </c>
      <c r="AT5">
        <f>INDEX($B$19:$GQ$19,MATCH(45,$B$29:$GQ$29,0))</f>
        <v>46162.545276427132</v>
      </c>
      <c r="AU5">
        <f>INDEX($B$19:$GQ$19,MATCH(46,$B$29:$GQ$29,0))</f>
        <v>52459.692637128013</v>
      </c>
      <c r="AV5">
        <f>INDEX($B$19:$GQ$19,MATCH(47,$B$29:$GQ$29,0))</f>
        <v>8662.1218410889487</v>
      </c>
      <c r="AW5">
        <f>INDEX($B$19:$GQ$19,MATCH(48,$B$29:$GQ$29,0))</f>
        <v>33838.234617436887</v>
      </c>
      <c r="AX5">
        <f>INDEX($B$19:$GQ$19,MATCH(49,$B$29:$GQ$29,0))</f>
        <v>97725.086199049838</v>
      </c>
      <c r="AY5">
        <f>INDEX($B$19:$GQ$19,MATCH(50,$B$29:$GQ$29,0))</f>
        <v>18878.623509783571</v>
      </c>
      <c r="AZ5">
        <f>INDEX($B$19:$GQ$19,MATCH(51,$B$29:$GQ$29,0))</f>
        <v>19427.029931641729</v>
      </c>
      <c r="BA5">
        <f>INDEX($B$19:$GQ$19,MATCH(52,$B$29:$GQ$29,0))</f>
        <v>5911.6814178291861</v>
      </c>
      <c r="BB5">
        <f>INDEX($B$19:$GQ$19,MATCH(53,$B$29:$GQ$29,0))</f>
        <v>29555.001132027701</v>
      </c>
      <c r="BC5">
        <f>INDEX($B$19:$GQ$19,MATCH(54,$B$29:$GQ$29,0))</f>
        <v>28910.366464727951</v>
      </c>
      <c r="BD5">
        <f>INDEX($B$19:$GQ$19,MATCH(55,$B$29:$GQ$29,0))</f>
        <v>58707.69564088669</v>
      </c>
      <c r="BE5">
        <f>INDEX($B$19:$GQ$19,MATCH(56,$B$29:$GQ$29,0))</f>
        <v>87774.662485040026</v>
      </c>
      <c r="BF5">
        <f>INDEX($B$19:$GQ$19,MATCH(57,$B$29:$GQ$29,0))</f>
        <v>920853.1215255867</v>
      </c>
      <c r="BG5">
        <f>INDEX($B$19:$GQ$19,MATCH(58,$B$29:$GQ$29,0))</f>
        <v>20040.531187717199</v>
      </c>
      <c r="BH5">
        <f>INDEX($B$19:$GQ$19,MATCH(59,$B$29:$GQ$29,0))</f>
        <v>4090817.5397642562</v>
      </c>
      <c r="BI5">
        <f>INDEX($B$19:$GQ$19,MATCH(60,$B$29:$GQ$29,0))</f>
        <v>1040983.129486699</v>
      </c>
      <c r="BJ5">
        <f>INDEX($B$19:$GQ$19,MATCH(61,$B$29:$GQ$29,0))</f>
        <v>2252087.0124945738</v>
      </c>
      <c r="BK5">
        <f>INDEX($B$19:$GQ$19,MATCH(62,$B$29:$GQ$29,0))</f>
        <v>25779.316175289099</v>
      </c>
      <c r="BL5">
        <f>INDEX($B$19:$GQ$19,MATCH(63,$B$29:$GQ$29,0))</f>
        <v>18644.623529666958</v>
      </c>
      <c r="BM5">
        <f>INDEX($B$19:$GQ$19,MATCH(64,$B$29:$GQ$29,0))</f>
        <v>51994.449948499503</v>
      </c>
      <c r="BN5">
        <f>INDEX($B$19:$GQ$19,MATCH(65,$B$29:$GQ$29,0))</f>
        <v>10272.127607705241</v>
      </c>
      <c r="BO5">
        <f>INDEX($B$19:$GQ$19,MATCH(66,$B$29:$GQ$29,0))</f>
        <v>3030549.8844004818</v>
      </c>
      <c r="BP5">
        <f>INDEX($B$19:$GQ$19,MATCH(67,$B$29:$GQ$29,0))</f>
        <v>27486.909621580031</v>
      </c>
      <c r="BQ5">
        <f>INDEX($B$19:$GQ$19,MATCH(68,$B$29:$GQ$29,0))</f>
        <v>883289.34658041515</v>
      </c>
      <c r="BR5">
        <f>INDEX($B$19:$GQ$19,MATCH(69,$B$29:$GQ$29,0))</f>
        <v>26793.866189895711</v>
      </c>
      <c r="BS5">
        <f>INDEX($B$19:$GQ$19,MATCH(70,$B$29:$GQ$29,0))</f>
        <v>1953003.6862166601</v>
      </c>
      <c r="BT5">
        <f>INDEX($B$19:$GQ$19,MATCH(71,$B$29:$GQ$29,0))</f>
        <v>25832.986265285301</v>
      </c>
      <c r="BU5">
        <f>INDEX($B$19:$GQ$19,MATCH(72,$B$29:$GQ$29,0))</f>
        <v>11337795.87078153</v>
      </c>
      <c r="BV5">
        <f>INDEX($B$19:$GQ$19,MATCH(73,$B$29:$GQ$29,0))</f>
        <v>26784.895785562869</v>
      </c>
      <c r="BW5">
        <f>INDEX($B$19:$GQ$19,MATCH(74,$B$29:$GQ$29,0))</f>
        <v>35447.913271700898</v>
      </c>
      <c r="BX5">
        <f>INDEX($B$19:$GQ$19,MATCH(75,$B$29:$GQ$29,0))</f>
        <v>87816.958857317193</v>
      </c>
      <c r="BY5">
        <f>INDEX($B$19:$GQ$19,MATCH(76,$B$29:$GQ$29,0))</f>
        <v>395112.36800215492</v>
      </c>
      <c r="BZ5">
        <f>INDEX($B$19:$GQ$19,MATCH(77,$B$29:$GQ$29,0))</f>
        <v>359632.51848934928</v>
      </c>
      <c r="CA5">
        <f>INDEX($B$19:$GQ$19,MATCH(78,$B$29:$GQ$29,0))</f>
        <v>28898.536871427408</v>
      </c>
      <c r="CB5">
        <f>INDEX($B$19:$GQ$19,MATCH(79,$B$29:$GQ$29,0))</f>
        <v>538013.29844053823</v>
      </c>
      <c r="CC5">
        <f>INDEX($B$19:$GQ$19,MATCH(80,$B$29:$GQ$29,0))</f>
        <v>107703.03087839761</v>
      </c>
      <c r="CD5">
        <f>INDEX($B$19:$GQ$19,MATCH(81,$B$29:$GQ$29,0))</f>
        <v>63287.829224697998</v>
      </c>
      <c r="CE5">
        <f>INDEX($B$19:$GQ$19,MATCH(82,$B$29:$GQ$29,0))</f>
        <v>50447.171771005458</v>
      </c>
      <c r="CF5">
        <f>INDEX($B$19:$GQ$19,MATCH(83,$B$29:$GQ$29,0))</f>
        <v>204687.70601401001</v>
      </c>
      <c r="CG5">
        <f>INDEX($B$19:$GQ$19,MATCH(84,$B$29:$GQ$29,0))</f>
        <v>23016.35284607808</v>
      </c>
      <c r="CH5">
        <f>INDEX($B$19:$GQ$19,MATCH(85,$B$29:$GQ$29,0))</f>
        <v>2700283.9168628161</v>
      </c>
      <c r="CI5">
        <f>INDEX($B$19:$GQ$19,MATCH(86,$B$29:$GQ$29,0))</f>
        <v>10930.786003226491</v>
      </c>
      <c r="CJ5">
        <f>INDEX($B$19:$GQ$19,MATCH(87,$B$29:$GQ$29,0))</f>
        <v>355094.76748005318</v>
      </c>
      <c r="CK5">
        <f>INDEX($B$19:$GQ$19,MATCH(88,$B$29:$GQ$29,0))</f>
        <v>154678.0825533912</v>
      </c>
      <c r="CL5">
        <f>INDEX($B$19:$GQ$19,MATCH(89,$B$29:$GQ$29,0))</f>
        <v>37028.251205226778</v>
      </c>
      <c r="CM5">
        <f>INDEX($B$19:$GQ$19,MATCH(90,$B$29:$GQ$29,0))</f>
        <v>35990.993886283097</v>
      </c>
      <c r="CN5">
        <f>INDEX($B$19:$GQ$19,MATCH(91,$B$29:$GQ$29,0))</f>
        <v>36734.780503355163</v>
      </c>
      <c r="CO5">
        <f>INDEX($B$19:$GQ$19,MATCH(92,$B$29:$GQ$29,0))</f>
        <v>20489.94474861478</v>
      </c>
      <c r="CP5">
        <f>INDEX($B$19:$GQ$19,MATCH(93,$B$29:$GQ$29,0))</f>
        <v>190613.4437300617</v>
      </c>
      <c r="CQ5">
        <f>INDEX($B$19:$GQ$19,MATCH(94,$B$29:$GQ$29,0))</f>
        <v>36876.010210558787</v>
      </c>
      <c r="CR5">
        <f>INDEX($B$19:$GQ$19,MATCH(95,$B$29:$GQ$29,0))</f>
        <v>33522.367509295771</v>
      </c>
      <c r="CS5">
        <f>INDEX($B$19:$GQ$19,MATCH(96,$B$29:$GQ$29,0))</f>
        <v>45804.926609544389</v>
      </c>
      <c r="CT5">
        <f>INDEX($B$19:$GQ$19,MATCH(97,$B$29:$GQ$29,0))</f>
        <v>33425.901640193268</v>
      </c>
      <c r="CU5">
        <f>INDEX($B$19:$GQ$19,MATCH(98,$B$29:$GQ$29,0))</f>
        <v>0</v>
      </c>
      <c r="CV5">
        <f>INDEX($B$19:$GQ$19,MATCH(99,$B$29:$GQ$29,0))</f>
        <v>181767.23191578739</v>
      </c>
      <c r="CW5">
        <f>INDEX($B$19:$GQ$19,MATCH(100,$B$29:$GQ$29,0))</f>
        <v>42412.226372488192</v>
      </c>
      <c r="CX5">
        <f>INDEX($B$19:$GQ$19,MATCH(101,$B$29:$GQ$29,0))</f>
        <v>35779.643313416673</v>
      </c>
      <c r="CY5">
        <f>INDEX($B$19:$GQ$19,MATCH(102,$B$29:$GQ$29,0))</f>
        <v>98162.009761424226</v>
      </c>
      <c r="CZ5">
        <f>INDEX($B$19:$GQ$19,MATCH(103,$B$29:$GQ$29,0))</f>
        <v>259489.57803149431</v>
      </c>
      <c r="DA5">
        <f>INDEX($B$19:$GQ$19,MATCH(104,$B$29:$GQ$29,0))</f>
        <v>61120.384750175552</v>
      </c>
      <c r="DB5">
        <f>INDEX($B$19:$GQ$19,MATCH(105,$B$29:$GQ$29,0))</f>
        <v>33771.648865502502</v>
      </c>
      <c r="DC5">
        <f>INDEX($B$19:$GQ$19,MATCH(106,$B$29:$GQ$29,0))</f>
        <v>446633.957379881</v>
      </c>
      <c r="DD5">
        <f>INDEX($B$19:$GQ$19,MATCH(107,$B$29:$GQ$29,0))</f>
        <v>36596.647452065372</v>
      </c>
      <c r="DE5">
        <f>INDEX($B$19:$GQ$19,MATCH(108,$B$29:$GQ$29,0))</f>
        <v>38409.106641297782</v>
      </c>
      <c r="DF5">
        <f>INDEX($B$19:$GQ$19,MATCH(109,$B$29:$GQ$29,0))</f>
        <v>208811.67841218511</v>
      </c>
      <c r="DG5">
        <f>INDEX($B$19:$GQ$19,MATCH(110,$B$29:$GQ$29,0))</f>
        <v>96863.59107051749</v>
      </c>
      <c r="DH5">
        <f>INDEX($B$19:$GQ$19,MATCH(111,$B$29:$GQ$29,0))</f>
        <v>14107.304456418489</v>
      </c>
      <c r="DI5">
        <f>INDEX($B$19:$GQ$19,MATCH(112,$B$29:$GQ$29,0))</f>
        <v>32739.77784236419</v>
      </c>
      <c r="DJ5">
        <f>INDEX($B$19:$GQ$19,MATCH(113,$B$29:$GQ$29,0))</f>
        <v>0</v>
      </c>
      <c r="DK5">
        <f>INDEX($B$19:$GQ$19,MATCH(114,$B$29:$GQ$29,0))</f>
        <v>7885.9271175050053</v>
      </c>
      <c r="DL5">
        <f>INDEX($B$19:$GQ$19,MATCH(115,$B$29:$GQ$29,0))</f>
        <v>17132.382570222318</v>
      </c>
      <c r="DM5">
        <f>INDEX($B$19:$GQ$19,MATCH(116,$B$29:$GQ$29,0))</f>
        <v>47746.251851330257</v>
      </c>
      <c r="DN5">
        <f>INDEX($B$19:$GQ$19,MATCH(117,$B$29:$GQ$29,0))</f>
        <v>170294.971145249</v>
      </c>
      <c r="DO5">
        <f>INDEX($B$19:$GQ$19,MATCH(118,$B$29:$GQ$29,0))</f>
        <v>43283.16317651634</v>
      </c>
      <c r="DP5">
        <f>INDEX($B$19:$GQ$19,MATCH(119,$B$29:$GQ$29,0))</f>
        <v>78816.991124481719</v>
      </c>
      <c r="DQ5">
        <f>INDEX($B$19:$GQ$19,MATCH(120,$B$29:$GQ$29,0))</f>
        <v>78398.808310672044</v>
      </c>
      <c r="DR5">
        <f>INDEX($B$19:$GQ$19,MATCH(121,$B$29:$GQ$29,0))</f>
        <v>19170.467225032429</v>
      </c>
      <c r="DS5">
        <f>INDEX($B$19:$GQ$19,MATCH(122,$B$29:$GQ$29,0))</f>
        <v>28581.375676520111</v>
      </c>
      <c r="DT5">
        <f>INDEX($B$19:$GQ$19,MATCH(123,$B$29:$GQ$29,0))</f>
        <v>15553.7071966196</v>
      </c>
      <c r="DU5">
        <f>INDEX($B$19:$GQ$19,MATCH(124,$B$29:$GQ$29,0))</f>
        <v>44417.131630415279</v>
      </c>
      <c r="DV5">
        <f>INDEX($B$19:$GQ$19,MATCH(125,$B$29:$GQ$29,0))</f>
        <v>0</v>
      </c>
      <c r="DW5">
        <f>INDEX($B$19:$GQ$19,MATCH(126,$B$29:$GQ$29,0))</f>
        <v>50033.702678411049</v>
      </c>
      <c r="DX5">
        <f>INDEX($B$19:$GQ$19,MATCH(127,$B$29:$GQ$29,0))</f>
        <v>26323.606351672759</v>
      </c>
      <c r="DY5">
        <f>INDEX($B$19:$GQ$19,MATCH(128,$B$29:$GQ$29,0))</f>
        <v>73015.619103400706</v>
      </c>
      <c r="DZ5">
        <f>INDEX($B$19:$GQ$19,MATCH(129,$B$29:$GQ$29,0))</f>
        <v>0</v>
      </c>
      <c r="EA5">
        <f>INDEX($B$19:$GQ$19,MATCH(130,$B$29:$GQ$29,0))</f>
        <v>377138.38044084283</v>
      </c>
      <c r="EB5">
        <f>INDEX($B$19:$GQ$19,MATCH(131,$B$29:$GQ$29,0))</f>
        <v>58577.200053731307</v>
      </c>
      <c r="EC5">
        <f>INDEX($B$19:$GQ$19,MATCH(132,$B$29:$GQ$29,0))</f>
        <v>0</v>
      </c>
      <c r="ED5">
        <f>INDEX($B$19:$GQ$19,MATCH(133,$B$29:$GQ$29,0))</f>
        <v>107257.51762060569</v>
      </c>
      <c r="EE5">
        <f>INDEX($B$19:$GQ$19,MATCH(134,$B$29:$GQ$29,0))</f>
        <v>8328986.4841155373</v>
      </c>
      <c r="EF5">
        <f>INDEX($B$19:$GQ$19,MATCH(135,$B$29:$GQ$29,0))</f>
        <v>2396215.3835412771</v>
      </c>
      <c r="EG5">
        <f>INDEX($B$19:$GQ$19,MATCH(136,$B$29:$GQ$29,0))</f>
        <v>6266562.2170571703</v>
      </c>
      <c r="EH5">
        <f>INDEX($B$19:$GQ$19,MATCH(137,$B$29:$GQ$29,0))</f>
        <v>0</v>
      </c>
      <c r="EI5">
        <f>INDEX($B$19:$GQ$19,MATCH(138,$B$29:$GQ$29,0))</f>
        <v>0</v>
      </c>
      <c r="EJ5">
        <f>INDEX($B$19:$GQ$19,MATCH(139,$B$29:$GQ$29,0))</f>
        <v>0</v>
      </c>
      <c r="EK5">
        <f>INDEX($B$19:$GQ$19,MATCH(140,$B$29:$GQ$29,0))</f>
        <v>0</v>
      </c>
      <c r="EL5">
        <f>INDEX($B$19:$GQ$19,MATCH(141,$B$29:$GQ$29,0))</f>
        <v>0</v>
      </c>
      <c r="EM5">
        <f>INDEX($B$19:$GQ$19,MATCH(142,$B$29:$GQ$29,0))</f>
        <v>0</v>
      </c>
      <c r="EN5">
        <f>INDEX($B$19:$GQ$19,MATCH(143,$B$29:$GQ$29,0))</f>
        <v>0</v>
      </c>
      <c r="EO5">
        <f>INDEX($B$19:$GQ$19,MATCH(144,$B$29:$GQ$29,0))</f>
        <v>446385.11188296188</v>
      </c>
      <c r="EP5">
        <f>INDEX($B$19:$GQ$19,MATCH(145,$B$29:$GQ$29,0))</f>
        <v>48381.196099799847</v>
      </c>
      <c r="EQ5">
        <f>INDEX($B$19:$GQ$19,MATCH(146,$B$29:$GQ$29,0))</f>
        <v>0</v>
      </c>
      <c r="ER5">
        <f>INDEX($B$19:$GQ$19,MATCH(147,$B$29:$GQ$29,0))</f>
        <v>0</v>
      </c>
      <c r="ES5">
        <f>INDEX($B$19:$GQ$19,MATCH(148,$B$29:$GQ$29,0))</f>
        <v>0</v>
      </c>
      <c r="ET5">
        <f>INDEX($B$19:$GQ$19,MATCH(149,$B$29:$GQ$29,0))</f>
        <v>0</v>
      </c>
      <c r="EU5">
        <f>INDEX($B$19:$GQ$19,MATCH(150,$B$29:$GQ$29,0))</f>
        <v>0</v>
      </c>
      <c r="EV5">
        <f>INDEX($B$19:$GQ$19,MATCH(151,$B$29:$GQ$29,0))</f>
        <v>0</v>
      </c>
      <c r="EW5">
        <f>INDEX($B$19:$GQ$19,MATCH(152,$B$29:$GQ$29,0))</f>
        <v>0</v>
      </c>
      <c r="EX5">
        <f>INDEX($B$19:$GQ$19,MATCH(153,$B$29:$GQ$29,0))</f>
        <v>0</v>
      </c>
      <c r="EY5">
        <f>INDEX($B$19:$GQ$19,MATCH(154,$B$29:$GQ$29,0))</f>
        <v>48144.750338557293</v>
      </c>
      <c r="EZ5">
        <f>INDEX($B$19:$GQ$19,MATCH(155,$B$29:$GQ$29,0))</f>
        <v>30189.273951823969</v>
      </c>
      <c r="FA5">
        <f>INDEX($B$19:$GQ$19,MATCH(156,$B$29:$GQ$29,0))</f>
        <v>935.19187992191894</v>
      </c>
      <c r="FB5">
        <f>INDEX($B$19:$GQ$19,MATCH(157,$B$29:$GQ$29,0))</f>
        <v>7392.0471108091142</v>
      </c>
      <c r="FC5">
        <f>INDEX($B$19:$GQ$19,MATCH(158,$B$29:$GQ$29,0))</f>
        <v>148092.15332939831</v>
      </c>
      <c r="FD5">
        <f>INDEX($B$19:$GQ$19,MATCH(159,$B$29:$GQ$29,0))</f>
        <v>31463.879955791479</v>
      </c>
      <c r="FE5">
        <f>INDEX($B$19:$GQ$19,MATCH(160,$B$29:$GQ$29,0))</f>
        <v>0</v>
      </c>
      <c r="FF5">
        <f>INDEX($B$19:$GQ$19,MATCH(161,$B$29:$GQ$29,0))</f>
        <v>770315.44019557291</v>
      </c>
      <c r="FG5">
        <f>INDEX($B$19:$GQ$19,MATCH(162,$B$29:$GQ$29,0))</f>
        <v>0</v>
      </c>
      <c r="FH5">
        <f>INDEX($B$19:$GQ$19,MATCH(163,$B$29:$GQ$29,0))</f>
        <v>0</v>
      </c>
      <c r="FI5">
        <f>INDEX($B$19:$GQ$19,MATCH(164,$B$29:$GQ$29,0))</f>
        <v>0</v>
      </c>
      <c r="FJ5">
        <f>INDEX($B$19:$GQ$19,MATCH(165,$B$29:$GQ$29,0))</f>
        <v>324.52338387261062</v>
      </c>
      <c r="FK5">
        <f>INDEX($B$19:$GQ$19,MATCH(166,$B$29:$GQ$29,0))</f>
        <v>20832.663869182339</v>
      </c>
      <c r="FL5">
        <f>INDEX($B$19:$GQ$19,MATCH(167,$B$29:$GQ$29,0))</f>
        <v>1166.3636897936351</v>
      </c>
      <c r="FM5">
        <f>INDEX($B$19:$GQ$19,MATCH(168,$B$29:$GQ$29,0))</f>
        <v>12923.33862427737</v>
      </c>
      <c r="FN5">
        <f>INDEX($B$19:$GQ$19,MATCH(169,$B$29:$GQ$29,0))</f>
        <v>29437.991556614099</v>
      </c>
      <c r="FO5">
        <f>INDEX($B$19:$GQ$19,MATCH(170,$B$29:$GQ$29,0))</f>
        <v>41771.167673122407</v>
      </c>
      <c r="FP5">
        <f>INDEX($B$19:$GQ$19,MATCH(171,$B$29:$GQ$29,0))</f>
        <v>6062.5160587904793</v>
      </c>
      <c r="FQ5">
        <f>INDEX($B$19:$GQ$19,MATCH(172,$B$29:$GQ$29,0))</f>
        <v>9648.4111694725216</v>
      </c>
      <c r="FR5">
        <f>INDEX($B$19:$GQ$19,MATCH(173,$B$29:$GQ$29,0))</f>
        <v>7556.0273193396533</v>
      </c>
      <c r="FS5">
        <f>INDEX($B$19:$GQ$19,MATCH(174,$B$29:$GQ$29,0))</f>
        <v>4955.6088950496742</v>
      </c>
      <c r="FT5">
        <f>INDEX($B$19:$GQ$19,MATCH(175,$B$29:$GQ$29,0))</f>
        <v>174.58219488960751</v>
      </c>
      <c r="FU5">
        <f>INDEX($B$19:$GQ$19,MATCH(176,$B$29:$GQ$29,0))</f>
        <v>0</v>
      </c>
      <c r="FV5">
        <f>INDEX($B$19:$GQ$19,MATCH(177,$B$29:$GQ$29,0))</f>
        <v>18212.300224845669</v>
      </c>
      <c r="FW5">
        <f>INDEX($B$19:$GQ$19,MATCH(178,$B$29:$GQ$29,0))</f>
        <v>0</v>
      </c>
      <c r="FX5">
        <f>INDEX($B$19:$GQ$19,MATCH(179,$B$29:$GQ$29,0))</f>
        <v>71888.143061020863</v>
      </c>
      <c r="FY5">
        <f>INDEX($B$19:$GQ$19,MATCH(180,$B$29:$GQ$29,0))</f>
        <v>47378.290454753107</v>
      </c>
      <c r="FZ5">
        <f>INDEX($B$19:$GQ$19,MATCH(181,$B$29:$GQ$29,0))</f>
        <v>705442.51597439067</v>
      </c>
      <c r="GA5">
        <f>INDEX($B$19:$GQ$19,MATCH(182,$B$29:$GQ$29,0))</f>
        <v>32488.436910592991</v>
      </c>
      <c r="GB5">
        <f>INDEX($B$19:$GQ$19,MATCH(183,$B$29:$GQ$29,0))</f>
        <v>70259.868344043891</v>
      </c>
      <c r="GC5">
        <f>INDEX($B$19:$GQ$19,MATCH(184,$B$29:$GQ$29,0))</f>
        <v>0</v>
      </c>
      <c r="GD5">
        <f>INDEX($B$19:$GQ$19,MATCH(185,$B$29:$GQ$29,0))</f>
        <v>50416.925795049741</v>
      </c>
      <c r="GE5">
        <f>INDEX($B$19:$GQ$19,MATCH(186,$B$29:$GQ$29,0))</f>
        <v>0</v>
      </c>
      <c r="GF5">
        <f>INDEX($B$19:$GQ$19,MATCH(187,$B$29:$GQ$29,0))</f>
        <v>0</v>
      </c>
      <c r="GG5">
        <f>INDEX($B$19:$GQ$19,MATCH(188,$B$29:$GQ$29,0))</f>
        <v>0</v>
      </c>
      <c r="GH5">
        <f>INDEX($B$19:$GQ$19,MATCH(189,$B$29:$GQ$29,0))</f>
        <v>0</v>
      </c>
      <c r="GI5">
        <f>INDEX($B$19:$GQ$19,MATCH(190,$B$29:$GQ$29,0))</f>
        <v>0</v>
      </c>
      <c r="GJ5">
        <f>INDEX($B$19:$GQ$19,MATCH(191,$B$29:$GQ$29,0))</f>
        <v>5630.7072018643448</v>
      </c>
      <c r="GK5">
        <f>INDEX($B$19:$GQ$19,MATCH(192,$B$29:$GQ$29,0))</f>
        <v>11299.73641077616</v>
      </c>
      <c r="GL5">
        <f>INDEX($B$19:$GQ$19,MATCH(193,$B$29:$GQ$29,0))</f>
        <v>4.5187051848979862E-4</v>
      </c>
      <c r="GM5">
        <f>INDEX($B$19:$GQ$19,MATCH(194,$B$29:$GQ$29,0))</f>
        <v>0</v>
      </c>
      <c r="GN5">
        <f>INDEX($B$19:$GQ$19,MATCH(195,$B$29:$GQ$29,0))</f>
        <v>23584.772972624261</v>
      </c>
      <c r="GO5">
        <f>INDEX($B$19:$GQ$19,MATCH(196,$B$29:$GQ$29,0))</f>
        <v>0</v>
      </c>
      <c r="GP5">
        <f>INDEX($B$19:$GQ$19,MATCH(197,$B$29:$GQ$29,0))</f>
        <v>21867.3334150542</v>
      </c>
      <c r="GQ5">
        <f>INDEX($B$19:$GQ$19,MATCH(198,$B$29:$GQ$29,0))</f>
        <v>0</v>
      </c>
      <c r="GR5">
        <f>INDEX($GR$19:$HC$19,MATCH(1,$GR$30:$HC$30,0))</f>
        <v>24159.159348485198</v>
      </c>
      <c r="GS5">
        <f>INDEX($GR$19:$HC$19,MATCH(2,$GR$30:$HC$30,0))</f>
        <v>54142.308946859128</v>
      </c>
      <c r="GT5">
        <f>INDEX($GR$19:$HC$19,MATCH(3,$GR$30:$HC$30,0))</f>
        <v>62795.695014107972</v>
      </c>
      <c r="GU5">
        <f>INDEX($GR$19:$HC$19,MATCH(4,$GR$30:$HC$30,0))</f>
        <v>98998.04800205474</v>
      </c>
      <c r="GV5">
        <f>INDEX($GR$19:$HC$19,MATCH(5,$GR$30:$HC$30,0))</f>
        <v>738804.09114694584</v>
      </c>
      <c r="GW5">
        <f>INDEX($GR$19:$HC$19,MATCH(6,$GR$30:$HC$30,0))</f>
        <v>643751.64866571885</v>
      </c>
      <c r="GX5">
        <f>INDEX($GR$19:$HC$19,MATCH(7,$GR$30:$HC$30,0))</f>
        <v>3311556.353353377</v>
      </c>
      <c r="GY5">
        <f>INDEX($GR$19:$HC$19,MATCH(8,$GR$30:$HC$30,0))</f>
        <v>1301194.331794054</v>
      </c>
      <c r="GZ5">
        <f>INDEX($GR$19:$HC$19,MATCH(9,$GR$30:$HC$30,0))</f>
        <v>1345730.225624284</v>
      </c>
      <c r="HA5">
        <f>INDEX($GR$19:$HC$19,MATCH(10,$GR$30:$HC$30,0))</f>
        <v>93652.794280005503</v>
      </c>
      <c r="HB5">
        <f>INDEX($GR$19:$HC$19,MATCH(11,$GR$30:$HC$30,0))</f>
        <v>662574.39536098845</v>
      </c>
      <c r="HC5">
        <f>INDEX($GR$19:$HC$19,MATCH(12,$GR$30:$HC$30,0))</f>
        <v>24387.696557153129</v>
      </c>
    </row>
    <row r="6" spans="1:211" x14ac:dyDescent="0.45">
      <c r="A6" s="1" t="s">
        <v>5</v>
      </c>
      <c r="B6">
        <f>INDEX($B$20:$GQ$20,MATCH(1,$B$29:$GQ$29,0))</f>
        <v>0</v>
      </c>
      <c r="C6">
        <f>INDEX($B$20:$GQ$20,MATCH(2,$B$29:$GQ$29,0))</f>
        <v>0</v>
      </c>
      <c r="D6">
        <f>INDEX($B$20:$GQ$20,MATCH(3,$B$29:$GQ$29,0))</f>
        <v>661463.63622661016</v>
      </c>
      <c r="E6">
        <f>INDEX($B$20:$GQ$20,MATCH(4,$B$29:$GQ$29,0))</f>
        <v>0</v>
      </c>
      <c r="F6">
        <f>INDEX($B$20:$GQ$20,MATCH(5,$B$29:$GQ$29,0))</f>
        <v>419487.63801842718</v>
      </c>
      <c r="G6">
        <f>INDEX($B$20:$GQ$20,MATCH(6,$B$29:$GQ$29,0))</f>
        <v>123028.8760259203</v>
      </c>
      <c r="H6">
        <f>INDEX($B$20:$GQ$20,MATCH(7,$B$29:$GQ$29,0))</f>
        <v>2928712.9820338562</v>
      </c>
      <c r="I6">
        <f>INDEX($B$20:$GQ$20,MATCH(8,$B$29:$GQ$29,0))</f>
        <v>350667.09448966011</v>
      </c>
      <c r="J6">
        <f>INDEX($B$20:$GQ$20,MATCH(9,$B$29:$GQ$29,0))</f>
        <v>140460.30165391049</v>
      </c>
      <c r="K6">
        <f>INDEX($B$20:$GQ$20,MATCH(10,$B$29:$GQ$29,0))</f>
        <v>4457440.4388710558</v>
      </c>
      <c r="L6">
        <f>INDEX($B$20:$GQ$20,MATCH(11,$B$29:$GQ$29,0))</f>
        <v>141168.01098967591</v>
      </c>
      <c r="M6">
        <f>INDEX($B$20:$GQ$20,MATCH(12,$B$29:$GQ$29,0))</f>
        <v>770121.7593416865</v>
      </c>
      <c r="N6">
        <f>INDEX($B$20:$GQ$20,MATCH(13,$B$29:$GQ$29,0))</f>
        <v>224056.11441313251</v>
      </c>
      <c r="O6">
        <f>INDEX($B$20:$GQ$20,MATCH(14,$B$29:$GQ$29,0))</f>
        <v>0</v>
      </c>
      <c r="P6">
        <f>INDEX($B$20:$GQ$20,MATCH(15,$B$29:$GQ$29,0))</f>
        <v>8502.1782971371686</v>
      </c>
      <c r="Q6">
        <f>INDEX($B$20:$GQ$20,MATCH(16,$B$29:$GQ$29,0))</f>
        <v>489199.08435013797</v>
      </c>
      <c r="R6">
        <f>INDEX($B$20:$GQ$20,MATCH(17,$B$29:$GQ$29,0))</f>
        <v>109243.6448056403</v>
      </c>
      <c r="S6">
        <f>INDEX($B$20:$GQ$20,MATCH(18,$B$29:$GQ$29,0))</f>
        <v>240926.12819663729</v>
      </c>
      <c r="T6">
        <f>INDEX($B$20:$GQ$20,MATCH(19,$B$29:$GQ$29,0))</f>
        <v>381000.98132025142</v>
      </c>
      <c r="U6">
        <f>INDEX($B$20:$GQ$20,MATCH(20,$B$29:$GQ$29,0))</f>
        <v>9159.8141242923666</v>
      </c>
      <c r="V6">
        <f>INDEX($B$20:$GQ$20,MATCH(21,$B$29:$GQ$29,0))</f>
        <v>643527.11175470671</v>
      </c>
      <c r="W6">
        <f>INDEX($B$20:$GQ$20,MATCH(22,$B$29:$GQ$29,0))</f>
        <v>407981.86806116073</v>
      </c>
      <c r="X6">
        <f>INDEX($B$20:$GQ$20,MATCH(23,$B$29:$GQ$29,0))</f>
        <v>157984.3490882185</v>
      </c>
      <c r="Y6">
        <f>INDEX($B$20:$GQ$20,MATCH(24,$B$29:$GQ$29,0))</f>
        <v>2852266.4376474218</v>
      </c>
      <c r="Z6">
        <f>INDEX($B$20:$GQ$20,MATCH(25,$B$29:$GQ$29,0))</f>
        <v>336069.01012120058</v>
      </c>
      <c r="AA6">
        <f>INDEX($B$20:$GQ$20,MATCH(26,$B$29:$GQ$29,0))</f>
        <v>18837451.607702311</v>
      </c>
      <c r="AB6">
        <f>INDEX($B$20:$GQ$20,MATCH(27,$B$29:$GQ$29,0))</f>
        <v>0</v>
      </c>
      <c r="AC6">
        <f>INDEX($B$20:$GQ$20,MATCH(28,$B$29:$GQ$29,0))</f>
        <v>332702.82123380242</v>
      </c>
      <c r="AD6">
        <f>INDEX($B$20:$GQ$20,MATCH(29,$B$29:$GQ$29,0))</f>
        <v>776835.32771354518</v>
      </c>
      <c r="AE6">
        <f>INDEX($B$20:$GQ$20,MATCH(30,$B$29:$GQ$29,0))</f>
        <v>403226.97137035022</v>
      </c>
      <c r="AF6">
        <f>INDEX($B$20:$GQ$20,MATCH(31,$B$29:$GQ$29,0))</f>
        <v>1765615.927174852</v>
      </c>
      <c r="AG6">
        <f>INDEX($B$20:$GQ$20,MATCH(32,$B$29:$GQ$29,0))</f>
        <v>0</v>
      </c>
      <c r="AH6">
        <f>INDEX($B$20:$GQ$20,MATCH(33,$B$29:$GQ$29,0))</f>
        <v>511065.47503322258</v>
      </c>
      <c r="AI6">
        <f>INDEX($B$20:$GQ$20,MATCH(34,$B$29:$GQ$29,0))</f>
        <v>0</v>
      </c>
      <c r="AJ6">
        <f>INDEX($B$20:$GQ$20,MATCH(35,$B$29:$GQ$29,0))</f>
        <v>2897174.6810217812</v>
      </c>
      <c r="AK6">
        <f>INDEX($B$20:$GQ$20,MATCH(36,$B$29:$GQ$29,0))</f>
        <v>0</v>
      </c>
      <c r="AL6">
        <f>INDEX($B$20:$GQ$20,MATCH(37,$B$29:$GQ$29,0))</f>
        <v>0</v>
      </c>
      <c r="AM6">
        <f>INDEX($B$20:$GQ$20,MATCH(38,$B$29:$GQ$29,0))</f>
        <v>103901.41701804529</v>
      </c>
      <c r="AN6">
        <f>INDEX($B$20:$GQ$20,MATCH(39,$B$29:$GQ$29,0))</f>
        <v>489150.70821645821</v>
      </c>
      <c r="AO6">
        <f>INDEX($B$20:$GQ$20,MATCH(40,$B$29:$GQ$29,0))</f>
        <v>0</v>
      </c>
      <c r="AP6">
        <f>INDEX($B$20:$GQ$20,MATCH(41,$B$29:$GQ$29,0))</f>
        <v>0</v>
      </c>
      <c r="AQ6">
        <f>INDEX($B$20:$GQ$20,MATCH(42,$B$29:$GQ$29,0))</f>
        <v>6793475.1420266815</v>
      </c>
      <c r="AR6">
        <f>INDEX($B$20:$GQ$20,MATCH(43,$B$29:$GQ$29,0))</f>
        <v>241140.51147666029</v>
      </c>
      <c r="AS6">
        <f>INDEX($B$20:$GQ$20,MATCH(44,$B$29:$GQ$29,0))</f>
        <v>448111.56541674287</v>
      </c>
      <c r="AT6">
        <f>INDEX($B$20:$GQ$20,MATCH(45,$B$29:$GQ$29,0))</f>
        <v>1045980.877857696</v>
      </c>
      <c r="AU6">
        <f>INDEX($B$20:$GQ$20,MATCH(46,$B$29:$GQ$29,0))</f>
        <v>332800.59571412299</v>
      </c>
      <c r="AV6">
        <f>INDEX($B$20:$GQ$20,MATCH(47,$B$29:$GQ$29,0))</f>
        <v>102893.5205341012</v>
      </c>
      <c r="AW6">
        <f>INDEX($B$20:$GQ$20,MATCH(48,$B$29:$GQ$29,0))</f>
        <v>132319.50298794391</v>
      </c>
      <c r="AX6">
        <f>INDEX($B$20:$GQ$20,MATCH(49,$B$29:$GQ$29,0))</f>
        <v>1089862.282254817</v>
      </c>
      <c r="AY6">
        <f>INDEX($B$20:$GQ$20,MATCH(50,$B$29:$GQ$29,0))</f>
        <v>0</v>
      </c>
      <c r="AZ6">
        <f>INDEX($B$20:$GQ$20,MATCH(51,$B$29:$GQ$29,0))</f>
        <v>0</v>
      </c>
      <c r="BA6">
        <f>INDEX($B$20:$GQ$20,MATCH(52,$B$29:$GQ$29,0))</f>
        <v>271033.83472887572</v>
      </c>
      <c r="BB6">
        <f>INDEX($B$20:$GQ$20,MATCH(53,$B$29:$GQ$29,0))</f>
        <v>149345.88661761241</v>
      </c>
      <c r="BC6">
        <f>INDEX($B$20:$GQ$20,MATCH(54,$B$29:$GQ$29,0))</f>
        <v>143107.14472431981</v>
      </c>
      <c r="BD6">
        <f>INDEX($B$20:$GQ$20,MATCH(55,$B$29:$GQ$29,0))</f>
        <v>155314.71143645191</v>
      </c>
      <c r="BE6">
        <f>INDEX($B$20:$GQ$20,MATCH(56,$B$29:$GQ$29,0))</f>
        <v>109140.6431748726</v>
      </c>
      <c r="BF6">
        <f>INDEX($B$20:$GQ$20,MATCH(57,$B$29:$GQ$29,0))</f>
        <v>0</v>
      </c>
      <c r="BG6">
        <f>INDEX($B$20:$GQ$20,MATCH(58,$B$29:$GQ$29,0))</f>
        <v>221235.854561696</v>
      </c>
      <c r="BH6">
        <f>INDEX($B$20:$GQ$20,MATCH(59,$B$29:$GQ$29,0))</f>
        <v>0</v>
      </c>
      <c r="BI6">
        <f>INDEX($B$20:$GQ$20,MATCH(60,$B$29:$GQ$29,0))</f>
        <v>1702345.2513942509</v>
      </c>
      <c r="BJ6">
        <f>INDEX($B$20:$GQ$20,MATCH(61,$B$29:$GQ$29,0))</f>
        <v>68086.176341361657</v>
      </c>
      <c r="BK6">
        <f>INDEX($B$20:$GQ$20,MATCH(62,$B$29:$GQ$29,0))</f>
        <v>87994.403520008462</v>
      </c>
      <c r="BL6">
        <f>INDEX($B$20:$GQ$20,MATCH(63,$B$29:$GQ$29,0))</f>
        <v>0</v>
      </c>
      <c r="BM6">
        <f>INDEX($B$20:$GQ$20,MATCH(64,$B$29:$GQ$29,0))</f>
        <v>360143.60469531949</v>
      </c>
      <c r="BN6">
        <f>INDEX($B$20:$GQ$20,MATCH(65,$B$29:$GQ$29,0))</f>
        <v>175996.09326849991</v>
      </c>
      <c r="BO6">
        <f>INDEX($B$20:$GQ$20,MATCH(66,$B$29:$GQ$29,0))</f>
        <v>3158752.435851607</v>
      </c>
      <c r="BP6">
        <f>INDEX($B$20:$GQ$20,MATCH(67,$B$29:$GQ$29,0))</f>
        <v>0</v>
      </c>
      <c r="BQ6">
        <f>INDEX($B$20:$GQ$20,MATCH(68,$B$29:$GQ$29,0))</f>
        <v>597470.88137796824</v>
      </c>
      <c r="BR6">
        <f>INDEX($B$20:$GQ$20,MATCH(69,$B$29:$GQ$29,0))</f>
        <v>468347.46895894001</v>
      </c>
      <c r="BS6">
        <f>INDEX($B$20:$GQ$20,MATCH(70,$B$29:$GQ$29,0))</f>
        <v>0</v>
      </c>
      <c r="BT6">
        <f>INDEX($B$20:$GQ$20,MATCH(71,$B$29:$GQ$29,0))</f>
        <v>776516.54942387575</v>
      </c>
      <c r="BU6">
        <f>INDEX($B$20:$GQ$20,MATCH(72,$B$29:$GQ$29,0))</f>
        <v>15376.413284695431</v>
      </c>
      <c r="BV6">
        <f>INDEX($B$20:$GQ$20,MATCH(73,$B$29:$GQ$29,0))</f>
        <v>0</v>
      </c>
      <c r="BW6">
        <f>INDEX($B$20:$GQ$20,MATCH(74,$B$29:$GQ$29,0))</f>
        <v>3110811.4109669649</v>
      </c>
      <c r="BX6">
        <f>INDEX($B$20:$GQ$20,MATCH(75,$B$29:$GQ$29,0))</f>
        <v>83268.851193034774</v>
      </c>
      <c r="BY6">
        <f>INDEX($B$20:$GQ$20,MATCH(76,$B$29:$GQ$29,0))</f>
        <v>0</v>
      </c>
      <c r="BZ6">
        <f>INDEX($B$20:$GQ$20,MATCH(77,$B$29:$GQ$29,0))</f>
        <v>0</v>
      </c>
      <c r="CA6">
        <f>INDEX($B$20:$GQ$20,MATCH(78,$B$29:$GQ$29,0))</f>
        <v>20486614.57911196</v>
      </c>
      <c r="CB6">
        <f>INDEX($B$20:$GQ$20,MATCH(79,$B$29:$GQ$29,0))</f>
        <v>592923.6966451765</v>
      </c>
      <c r="CC6">
        <f>INDEX($B$20:$GQ$20,MATCH(80,$B$29:$GQ$29,0))</f>
        <v>0</v>
      </c>
      <c r="CD6">
        <f>INDEX($B$20:$GQ$20,MATCH(81,$B$29:$GQ$29,0))</f>
        <v>708001.3451688448</v>
      </c>
      <c r="CE6">
        <f>INDEX($B$20:$GQ$20,MATCH(82,$B$29:$GQ$29,0))</f>
        <v>0</v>
      </c>
      <c r="CF6">
        <f>INDEX($B$20:$GQ$20,MATCH(83,$B$29:$GQ$29,0))</f>
        <v>1000877.653305392</v>
      </c>
      <c r="CG6">
        <f>INDEX($B$20:$GQ$20,MATCH(84,$B$29:$GQ$29,0))</f>
        <v>176585.72857888081</v>
      </c>
      <c r="CH6">
        <f>INDEX($B$20:$GQ$20,MATCH(85,$B$29:$GQ$29,0))</f>
        <v>171326.72441476211</v>
      </c>
      <c r="CI6">
        <f>INDEX($B$20:$GQ$20,MATCH(86,$B$29:$GQ$29,0))</f>
        <v>182218.29588213499</v>
      </c>
      <c r="CJ6">
        <f>INDEX($B$20:$GQ$20,MATCH(87,$B$29:$GQ$29,0))</f>
        <v>608399.61671974498</v>
      </c>
      <c r="CK6">
        <f>INDEX($B$20:$GQ$20,MATCH(88,$B$29:$GQ$29,0))</f>
        <v>565015.81479842286</v>
      </c>
      <c r="CL6">
        <f>INDEX($B$20:$GQ$20,MATCH(89,$B$29:$GQ$29,0))</f>
        <v>0</v>
      </c>
      <c r="CM6">
        <f>INDEX($B$20:$GQ$20,MATCH(90,$B$29:$GQ$29,0))</f>
        <v>403819.77091949427</v>
      </c>
      <c r="CN6">
        <f>INDEX($B$20:$GQ$20,MATCH(91,$B$29:$GQ$29,0))</f>
        <v>0</v>
      </c>
      <c r="CO6">
        <f>INDEX($B$20:$GQ$20,MATCH(92,$B$29:$GQ$29,0))</f>
        <v>212350.89545178591</v>
      </c>
      <c r="CP6">
        <f>INDEX($B$20:$GQ$20,MATCH(93,$B$29:$GQ$29,0))</f>
        <v>2490698.2991751619</v>
      </c>
      <c r="CQ6">
        <f>INDEX($B$20:$GQ$20,MATCH(94,$B$29:$GQ$29,0))</f>
        <v>176089.58778230581</v>
      </c>
      <c r="CR6">
        <f>INDEX($B$20:$GQ$20,MATCH(95,$B$29:$GQ$29,0))</f>
        <v>386231.53455606551</v>
      </c>
      <c r="CS6">
        <f>INDEX($B$20:$GQ$20,MATCH(96,$B$29:$GQ$29,0))</f>
        <v>426458.4132210653</v>
      </c>
      <c r="CT6">
        <f>INDEX($B$20:$GQ$20,MATCH(97,$B$29:$GQ$29,0))</f>
        <v>58207.793290098904</v>
      </c>
      <c r="CU6">
        <f>INDEX($B$20:$GQ$20,MATCH(98,$B$29:$GQ$29,0))</f>
        <v>3506679.6593305198</v>
      </c>
      <c r="CV6">
        <f>INDEX($B$20:$GQ$20,MATCH(99,$B$29:$GQ$29,0))</f>
        <v>2700078.946433879</v>
      </c>
      <c r="CW6">
        <f>INDEX($B$20:$GQ$20,MATCH(100,$B$29:$GQ$29,0))</f>
        <v>448710.9991868877</v>
      </c>
      <c r="CX6">
        <f>INDEX($B$20:$GQ$20,MATCH(101,$B$29:$GQ$29,0))</f>
        <v>33003.348703178017</v>
      </c>
      <c r="CY6">
        <f>INDEX($B$20:$GQ$20,MATCH(102,$B$29:$GQ$29,0))</f>
        <v>5736522.3601323292</v>
      </c>
      <c r="CZ6">
        <f>INDEX($B$20:$GQ$20,MATCH(103,$B$29:$GQ$29,0))</f>
        <v>3685800.3651015242</v>
      </c>
      <c r="DA6">
        <f>INDEX($B$20:$GQ$20,MATCH(104,$B$29:$GQ$29,0))</f>
        <v>302995.99269892531</v>
      </c>
      <c r="DB6">
        <f>INDEX($B$20:$GQ$20,MATCH(105,$B$29:$GQ$29,0))</f>
        <v>394819.61739775928</v>
      </c>
      <c r="DC6">
        <f>INDEX($B$20:$GQ$20,MATCH(106,$B$29:$GQ$29,0))</f>
        <v>315494.65771684691</v>
      </c>
      <c r="DD6">
        <f>INDEX($B$20:$GQ$20,MATCH(107,$B$29:$GQ$29,0))</f>
        <v>705779.04798997857</v>
      </c>
      <c r="DE6">
        <f>INDEX($B$20:$GQ$20,MATCH(108,$B$29:$GQ$29,0))</f>
        <v>1299547.044865896</v>
      </c>
      <c r="DF6">
        <f>INDEX($B$20:$GQ$20,MATCH(109,$B$29:$GQ$29,0))</f>
        <v>22905.205379970412</v>
      </c>
      <c r="DG6">
        <f>INDEX($B$20:$GQ$20,MATCH(110,$B$29:$GQ$29,0))</f>
        <v>124414.7241613869</v>
      </c>
      <c r="DH6">
        <f>INDEX($B$20:$GQ$20,MATCH(111,$B$29:$GQ$29,0))</f>
        <v>27874.058329364721</v>
      </c>
      <c r="DI6">
        <f>INDEX($B$20:$GQ$20,MATCH(112,$B$29:$GQ$29,0))</f>
        <v>458743.03384161007</v>
      </c>
      <c r="DJ6">
        <f>INDEX($B$20:$GQ$20,MATCH(113,$B$29:$GQ$29,0))</f>
        <v>914188.32034385414</v>
      </c>
      <c r="DK6">
        <f>INDEX($B$20:$GQ$20,MATCH(114,$B$29:$GQ$29,0))</f>
        <v>1028260.410344463</v>
      </c>
      <c r="DL6">
        <f>INDEX($B$20:$GQ$20,MATCH(115,$B$29:$GQ$29,0))</f>
        <v>0</v>
      </c>
      <c r="DM6">
        <f>INDEX($B$20:$GQ$20,MATCH(116,$B$29:$GQ$29,0))</f>
        <v>536114.82227565453</v>
      </c>
      <c r="DN6">
        <f>INDEX($B$20:$GQ$20,MATCH(117,$B$29:$GQ$29,0))</f>
        <v>1782071.37064629</v>
      </c>
      <c r="DO6">
        <f>INDEX($B$20:$GQ$20,MATCH(118,$B$29:$GQ$29,0))</f>
        <v>2332872.800475982</v>
      </c>
      <c r="DP6">
        <f>INDEX($B$20:$GQ$20,MATCH(119,$B$29:$GQ$29,0))</f>
        <v>490977.05276535638</v>
      </c>
      <c r="DQ6">
        <f>INDEX($B$20:$GQ$20,MATCH(120,$B$29:$GQ$29,0))</f>
        <v>0</v>
      </c>
      <c r="DR6">
        <f>INDEX($B$20:$GQ$20,MATCH(121,$B$29:$GQ$29,0))</f>
        <v>0</v>
      </c>
      <c r="DS6">
        <f>INDEX($B$20:$GQ$20,MATCH(122,$B$29:$GQ$29,0))</f>
        <v>121267.80634170549</v>
      </c>
      <c r="DT6">
        <f>INDEX($B$20:$GQ$20,MATCH(123,$B$29:$GQ$29,0))</f>
        <v>291743.68335772632</v>
      </c>
      <c r="DU6">
        <f>INDEX($B$20:$GQ$20,MATCH(124,$B$29:$GQ$29,0))</f>
        <v>239559.98128998821</v>
      </c>
      <c r="DV6">
        <f>INDEX($B$20:$GQ$20,MATCH(125,$B$29:$GQ$29,0))</f>
        <v>19619.616810132891</v>
      </c>
      <c r="DW6">
        <f>INDEX($B$20:$GQ$20,MATCH(126,$B$29:$GQ$29,0))</f>
        <v>595102.65349572396</v>
      </c>
      <c r="DX6">
        <f>INDEX($B$20:$GQ$20,MATCH(127,$B$29:$GQ$29,0))</f>
        <v>0</v>
      </c>
      <c r="DY6">
        <f>INDEX($B$20:$GQ$20,MATCH(128,$B$29:$GQ$29,0))</f>
        <v>744209.03539937478</v>
      </c>
      <c r="DZ6">
        <f>INDEX($B$20:$GQ$20,MATCH(129,$B$29:$GQ$29,0))</f>
        <v>415958.3613738612</v>
      </c>
      <c r="EA6">
        <f>INDEX($B$20:$GQ$20,MATCH(130,$B$29:$GQ$29,0))</f>
        <v>0</v>
      </c>
      <c r="EB6">
        <f>INDEX($B$20:$GQ$20,MATCH(131,$B$29:$GQ$29,0))</f>
        <v>474731.49751119787</v>
      </c>
      <c r="EC6">
        <f>INDEX($B$20:$GQ$20,MATCH(132,$B$29:$GQ$29,0))</f>
        <v>176460.17838907501</v>
      </c>
      <c r="ED6">
        <f>INDEX($B$20:$GQ$20,MATCH(133,$B$29:$GQ$29,0))</f>
        <v>113078.2497347539</v>
      </c>
      <c r="EE6">
        <f>INDEX($B$20:$GQ$20,MATCH(134,$B$29:$GQ$29,0))</f>
        <v>775549.02733946778</v>
      </c>
      <c r="EF6">
        <f>INDEX($B$20:$GQ$20,MATCH(135,$B$29:$GQ$29,0))</f>
        <v>824523.16957540065</v>
      </c>
      <c r="EG6">
        <f>INDEX($B$20:$GQ$20,MATCH(136,$B$29:$GQ$29,0))</f>
        <v>108925.3813605578</v>
      </c>
      <c r="EH6">
        <f>INDEX($B$20:$GQ$20,MATCH(137,$B$29:$GQ$29,0))</f>
        <v>0</v>
      </c>
      <c r="EI6">
        <f>INDEX($B$20:$GQ$20,MATCH(138,$B$29:$GQ$29,0))</f>
        <v>0</v>
      </c>
      <c r="EJ6">
        <f>INDEX($B$20:$GQ$20,MATCH(139,$B$29:$GQ$29,0))</f>
        <v>519674.90304328798</v>
      </c>
      <c r="EK6">
        <f>INDEX($B$20:$GQ$20,MATCH(140,$B$29:$GQ$29,0))</f>
        <v>0</v>
      </c>
      <c r="EL6">
        <f>INDEX($B$20:$GQ$20,MATCH(141,$B$29:$GQ$29,0))</f>
        <v>365316.88765285088</v>
      </c>
      <c r="EM6">
        <f>INDEX($B$20:$GQ$20,MATCH(142,$B$29:$GQ$29,0))</f>
        <v>0</v>
      </c>
      <c r="EN6">
        <f>INDEX($B$20:$GQ$20,MATCH(143,$B$29:$GQ$29,0))</f>
        <v>599061.95480458753</v>
      </c>
      <c r="EO6">
        <f>INDEX($B$20:$GQ$20,MATCH(144,$B$29:$GQ$29,0))</f>
        <v>0</v>
      </c>
      <c r="EP6">
        <f>INDEX($B$20:$GQ$20,MATCH(145,$B$29:$GQ$29,0))</f>
        <v>0</v>
      </c>
      <c r="EQ6">
        <f>INDEX($B$20:$GQ$20,MATCH(146,$B$29:$GQ$29,0))</f>
        <v>158359.60379984221</v>
      </c>
      <c r="ER6">
        <f>INDEX($B$20:$GQ$20,MATCH(147,$B$29:$GQ$29,0))</f>
        <v>484800.69842721481</v>
      </c>
      <c r="ES6">
        <f>INDEX($B$20:$GQ$20,MATCH(148,$B$29:$GQ$29,0))</f>
        <v>278756690.06092459</v>
      </c>
      <c r="ET6">
        <f>INDEX($B$20:$GQ$20,MATCH(149,$B$29:$GQ$29,0))</f>
        <v>1342530.628579881</v>
      </c>
      <c r="EU6">
        <f>INDEX($B$20:$GQ$20,MATCH(150,$B$29:$GQ$29,0))</f>
        <v>4011209.2593977652</v>
      </c>
      <c r="EV6">
        <f>INDEX($B$20:$GQ$20,MATCH(151,$B$29:$GQ$29,0))</f>
        <v>166997.15460489641</v>
      </c>
      <c r="EW6">
        <f>INDEX($B$20:$GQ$20,MATCH(152,$B$29:$GQ$29,0))</f>
        <v>1245413.0776715169</v>
      </c>
      <c r="EX6">
        <f>INDEX($B$20:$GQ$20,MATCH(153,$B$29:$GQ$29,0))</f>
        <v>0</v>
      </c>
      <c r="EY6">
        <f>INDEX($B$20:$GQ$20,MATCH(154,$B$29:$GQ$29,0))</f>
        <v>0</v>
      </c>
      <c r="EZ6">
        <f>INDEX($B$20:$GQ$20,MATCH(155,$B$29:$GQ$29,0))</f>
        <v>210097.74668797469</v>
      </c>
      <c r="FA6">
        <f>INDEX($B$20:$GQ$20,MATCH(156,$B$29:$GQ$29,0))</f>
        <v>136960.79686906771</v>
      </c>
      <c r="FB6">
        <f>INDEX($B$20:$GQ$20,MATCH(157,$B$29:$GQ$29,0))</f>
        <v>0</v>
      </c>
      <c r="FC6">
        <f>INDEX($B$20:$GQ$20,MATCH(158,$B$29:$GQ$29,0))</f>
        <v>1383095.6387918771</v>
      </c>
      <c r="FD6">
        <f>INDEX($B$20:$GQ$20,MATCH(159,$B$29:$GQ$29,0))</f>
        <v>78822.147091576204</v>
      </c>
      <c r="FE6">
        <f>INDEX($B$20:$GQ$20,MATCH(160,$B$29:$GQ$29,0))</f>
        <v>180303.97055595031</v>
      </c>
      <c r="FF6">
        <f>INDEX($B$20:$GQ$20,MATCH(161,$B$29:$GQ$29,0))</f>
        <v>0</v>
      </c>
      <c r="FG6">
        <f>INDEX($B$20:$GQ$20,MATCH(162,$B$29:$GQ$29,0))</f>
        <v>0</v>
      </c>
      <c r="FH6">
        <f>INDEX($B$20:$GQ$20,MATCH(163,$B$29:$GQ$29,0))</f>
        <v>0</v>
      </c>
      <c r="FI6">
        <f>INDEX($B$20:$GQ$20,MATCH(164,$B$29:$GQ$29,0))</f>
        <v>0</v>
      </c>
      <c r="FJ6">
        <f>INDEX($B$20:$GQ$20,MATCH(165,$B$29:$GQ$29,0))</f>
        <v>3653927.845904598</v>
      </c>
      <c r="FK6">
        <f>INDEX($B$20:$GQ$20,MATCH(166,$B$29:$GQ$29,0))</f>
        <v>157799.7499372829</v>
      </c>
      <c r="FL6">
        <f>INDEX($B$20:$GQ$20,MATCH(167,$B$29:$GQ$29,0))</f>
        <v>1053672.1490335001</v>
      </c>
      <c r="FM6">
        <f>INDEX($B$20:$GQ$20,MATCH(168,$B$29:$GQ$29,0))</f>
        <v>117454.4635218809</v>
      </c>
      <c r="FN6">
        <f>INDEX($B$20:$GQ$20,MATCH(169,$B$29:$GQ$29,0))</f>
        <v>177566.344663961</v>
      </c>
      <c r="FO6">
        <f>INDEX($B$20:$GQ$20,MATCH(170,$B$29:$GQ$29,0))</f>
        <v>56.833732591030483</v>
      </c>
      <c r="FP6">
        <f>INDEX($B$20:$GQ$20,MATCH(171,$B$29:$GQ$29,0))</f>
        <v>117497.4986593568</v>
      </c>
      <c r="FQ6">
        <f>INDEX($B$20:$GQ$20,MATCH(172,$B$29:$GQ$29,0))</f>
        <v>671385.08136174618</v>
      </c>
      <c r="FR6">
        <f>INDEX($B$20:$GQ$20,MATCH(173,$B$29:$GQ$29,0))</f>
        <v>2676897.4959521978</v>
      </c>
      <c r="FS6">
        <f>INDEX($B$20:$GQ$20,MATCH(174,$B$29:$GQ$29,0))</f>
        <v>36285.169649217103</v>
      </c>
      <c r="FT6">
        <f>INDEX($B$20:$GQ$20,MATCH(175,$B$29:$GQ$29,0))</f>
        <v>738843.41821691173</v>
      </c>
      <c r="FU6">
        <f>INDEX($B$20:$GQ$20,MATCH(176,$B$29:$GQ$29,0))</f>
        <v>0</v>
      </c>
      <c r="FV6">
        <f>INDEX($B$20:$GQ$20,MATCH(177,$B$29:$GQ$29,0))</f>
        <v>10624451.65384545</v>
      </c>
      <c r="FW6">
        <f>INDEX($B$20:$GQ$20,MATCH(178,$B$29:$GQ$29,0))</f>
        <v>453952.50478550768</v>
      </c>
      <c r="FX6">
        <f>INDEX($B$20:$GQ$20,MATCH(179,$B$29:$GQ$29,0))</f>
        <v>244796.26224936411</v>
      </c>
      <c r="FY6">
        <f>INDEX($B$20:$GQ$20,MATCH(180,$B$29:$GQ$29,0))</f>
        <v>1954415.377388098</v>
      </c>
      <c r="FZ6">
        <f>INDEX($B$20:$GQ$20,MATCH(181,$B$29:$GQ$29,0))</f>
        <v>0</v>
      </c>
      <c r="GA6">
        <f>INDEX($B$20:$GQ$20,MATCH(182,$B$29:$GQ$29,0))</f>
        <v>125429.1624751803</v>
      </c>
      <c r="GB6">
        <f>INDEX($B$20:$GQ$20,MATCH(183,$B$29:$GQ$29,0))</f>
        <v>408718.57259378152</v>
      </c>
      <c r="GC6">
        <f>INDEX($B$20:$GQ$20,MATCH(184,$B$29:$GQ$29,0))</f>
        <v>8586.2746878814905</v>
      </c>
      <c r="GD6">
        <f>INDEX($B$20:$GQ$20,MATCH(185,$B$29:$GQ$29,0))</f>
        <v>0</v>
      </c>
      <c r="GE6">
        <f>INDEX($B$20:$GQ$20,MATCH(186,$B$29:$GQ$29,0))</f>
        <v>124907.7458183268</v>
      </c>
      <c r="GF6">
        <f>INDEX($B$20:$GQ$20,MATCH(187,$B$29:$GQ$29,0))</f>
        <v>0</v>
      </c>
      <c r="GG6">
        <f>INDEX($B$20:$GQ$20,MATCH(188,$B$29:$GQ$29,0))</f>
        <v>286936.71051406441</v>
      </c>
      <c r="GH6">
        <f>INDEX($B$20:$GQ$20,MATCH(189,$B$29:$GQ$29,0))</f>
        <v>6125815.5004111566</v>
      </c>
      <c r="GI6">
        <f>INDEX($B$20:$GQ$20,MATCH(190,$B$29:$GQ$29,0))</f>
        <v>314591.88868758827</v>
      </c>
      <c r="GJ6">
        <f>INDEX($B$20:$GQ$20,MATCH(191,$B$29:$GQ$29,0))</f>
        <v>783163.46645441884</v>
      </c>
      <c r="GK6">
        <f>INDEX($B$20:$GQ$20,MATCH(192,$B$29:$GQ$29,0))</f>
        <v>20875027.319894399</v>
      </c>
      <c r="GL6">
        <f>INDEX($B$20:$GQ$20,MATCH(193,$B$29:$GQ$29,0))</f>
        <v>2438827.0373925469</v>
      </c>
      <c r="GM6">
        <f>INDEX($B$20:$GQ$20,MATCH(194,$B$29:$GQ$29,0))</f>
        <v>1650337.779724055</v>
      </c>
      <c r="GN6">
        <f>INDEX($B$20:$GQ$20,MATCH(195,$B$29:$GQ$29,0))</f>
        <v>1056001.6499589949</v>
      </c>
      <c r="GO6">
        <f>INDEX($B$20:$GQ$20,MATCH(196,$B$29:$GQ$29,0))</f>
        <v>0</v>
      </c>
      <c r="GP6">
        <f>INDEX($B$20:$GQ$20,MATCH(197,$B$29:$GQ$29,0))</f>
        <v>0</v>
      </c>
      <c r="GQ6">
        <f>INDEX($B$20:$GQ$20,MATCH(198,$B$29:$GQ$29,0))</f>
        <v>1705298.858066126</v>
      </c>
      <c r="GR6">
        <f>INDEX($GR$20:$HC$20,MATCH(1,$GR$30:$HC$30,0))</f>
        <v>216870.90161872891</v>
      </c>
      <c r="GS6">
        <f>INDEX($GR$20:$HC$20,MATCH(2,$GR$30:$HC$30,0))</f>
        <v>270410.65297355171</v>
      </c>
      <c r="GT6">
        <f>INDEX($GR$20:$HC$20,MATCH(3,$GR$30:$HC$30,0))</f>
        <v>643155.27728773037</v>
      </c>
      <c r="GU6">
        <f>INDEX($GR$20:$HC$20,MATCH(4,$GR$30:$HC$30,0))</f>
        <v>184538.73014505961</v>
      </c>
      <c r="GV6">
        <f>INDEX($GR$20:$HC$20,MATCH(5,$GR$30:$HC$30,0))</f>
        <v>91265.226521295976</v>
      </c>
      <c r="GW6">
        <f>INDEX($GR$20:$HC$20,MATCH(6,$GR$30:$HC$30,0))</f>
        <v>408781.29882903729</v>
      </c>
      <c r="GX6">
        <f>INDEX($GR$20:$HC$20,MATCH(7,$GR$30:$HC$30,0))</f>
        <v>661463.63622661016</v>
      </c>
      <c r="GY6">
        <f>INDEX($GR$20:$HC$20,MATCH(8,$GR$30:$HC$30,0))</f>
        <v>1799768.7220400269</v>
      </c>
      <c r="GZ6">
        <f>INDEX($GR$20:$HC$20,MATCH(9,$GR$30:$HC$30,0))</f>
        <v>350667.09448966011</v>
      </c>
      <c r="HA6">
        <f>INDEX($GR$20:$HC$20,MATCH(10,$GR$30:$HC$30,0))</f>
        <v>0</v>
      </c>
      <c r="HB6">
        <f>INDEX($GR$20:$HC$20,MATCH(11,$GR$30:$HC$30,0))</f>
        <v>21920.542780644519</v>
      </c>
      <c r="HC6">
        <f>INDEX($GR$20:$HC$20,MATCH(12,$GR$30:$HC$30,0))</f>
        <v>191102.08060038049</v>
      </c>
    </row>
    <row r="7" spans="1:211" x14ac:dyDescent="0.45">
      <c r="A7" s="1" t="s">
        <v>6</v>
      </c>
      <c r="B7">
        <f>INDEX($B$21:$GQ$21,MATCH(1,$B$29:$GQ$29,0))</f>
        <v>11484.836648500001</v>
      </c>
      <c r="C7">
        <f>INDEX($B$21:$GQ$21,MATCH(2,$B$29:$GQ$29,0))</f>
        <v>0</v>
      </c>
      <c r="D7">
        <f>INDEX($B$21:$GQ$21,MATCH(3,$B$29:$GQ$29,0))</f>
        <v>1038.4943145499999</v>
      </c>
      <c r="E7">
        <f>INDEX($B$21:$GQ$21,MATCH(4,$B$29:$GQ$29,0))</f>
        <v>1267.5185599075201</v>
      </c>
      <c r="F7">
        <f>INDEX($B$21:$GQ$21,MATCH(5,$B$29:$GQ$29,0))</f>
        <v>2166.4317380399998</v>
      </c>
      <c r="G7">
        <f>INDEX($B$21:$GQ$21,MATCH(6,$B$29:$GQ$29,0))</f>
        <v>1545.727142509</v>
      </c>
      <c r="H7">
        <f>INDEX($B$21:$GQ$21,MATCH(7,$B$29:$GQ$29,0))</f>
        <v>4696.7749308100001</v>
      </c>
      <c r="I7">
        <f>INDEX($B$21:$GQ$21,MATCH(8,$B$29:$GQ$29,0))</f>
        <v>1806.0386160099999</v>
      </c>
      <c r="J7">
        <f>INDEX($B$21:$GQ$21,MATCH(9,$B$29:$GQ$29,0))</f>
        <v>0</v>
      </c>
      <c r="K7">
        <f>INDEX($B$21:$GQ$21,MATCH(10,$B$29:$GQ$29,0))</f>
        <v>2577.2612739800002</v>
      </c>
      <c r="L7">
        <f>INDEX($B$21:$GQ$21,MATCH(11,$B$29:$GQ$29,0))</f>
        <v>2481.46822075</v>
      </c>
      <c r="M7">
        <f>INDEX($B$21:$GQ$21,MATCH(12,$B$29:$GQ$29,0))</f>
        <v>393.41683792647649</v>
      </c>
      <c r="N7">
        <f>INDEX($B$21:$GQ$21,MATCH(13,$B$29:$GQ$29,0))</f>
        <v>2378.0362296804178</v>
      </c>
      <c r="O7">
        <f>INDEX($B$21:$GQ$21,MATCH(14,$B$29:$GQ$29,0))</f>
        <v>1024.3292228667999</v>
      </c>
      <c r="P7">
        <f>INDEX($B$21:$GQ$21,MATCH(15,$B$29:$GQ$29,0))</f>
        <v>6666.4130958942833</v>
      </c>
      <c r="Q7">
        <f>INDEX($B$21:$GQ$21,MATCH(16,$B$29:$GQ$29,0))</f>
        <v>324.71811889076042</v>
      </c>
      <c r="R7">
        <f>INDEX($B$21:$GQ$21,MATCH(17,$B$29:$GQ$29,0))</f>
        <v>29014.020956100001</v>
      </c>
      <c r="S7">
        <f>INDEX($B$21:$GQ$21,MATCH(18,$B$29:$GQ$29,0))</f>
        <v>5070.0672428300004</v>
      </c>
      <c r="T7">
        <f>INDEX($B$21:$GQ$21,MATCH(19,$B$29:$GQ$29,0))</f>
        <v>892.77666270999998</v>
      </c>
      <c r="U7">
        <f>INDEX($B$21:$GQ$21,MATCH(20,$B$29:$GQ$29,0))</f>
        <v>8077.9817955548197</v>
      </c>
      <c r="V7">
        <f>INDEX($B$21:$GQ$21,MATCH(21,$B$29:$GQ$29,0))</f>
        <v>37.6718724459</v>
      </c>
      <c r="W7">
        <f>INDEX($B$21:$GQ$21,MATCH(22,$B$29:$GQ$29,0))</f>
        <v>3107.3829579702092</v>
      </c>
      <c r="X7">
        <f>INDEX($B$21:$GQ$21,MATCH(23,$B$29:$GQ$29,0))</f>
        <v>1737.93637934</v>
      </c>
      <c r="Y7">
        <f>INDEX($B$21:$GQ$21,MATCH(24,$B$29:$GQ$29,0))</f>
        <v>854.20888969679993</v>
      </c>
      <c r="Z7">
        <f>INDEX($B$21:$GQ$21,MATCH(25,$B$29:$GQ$29,0))</f>
        <v>7198.1551780506543</v>
      </c>
      <c r="AA7">
        <f>INDEX($B$21:$GQ$21,MATCH(26,$B$29:$GQ$29,0))</f>
        <v>191.524540960959</v>
      </c>
      <c r="AB7">
        <f>INDEX($B$21:$GQ$21,MATCH(27,$B$29:$GQ$29,0))</f>
        <v>134.96855356699999</v>
      </c>
      <c r="AC7">
        <f>INDEX($B$21:$GQ$21,MATCH(28,$B$29:$GQ$29,0))</f>
        <v>10896.3904117</v>
      </c>
      <c r="AD7">
        <f>INDEX($B$21:$GQ$21,MATCH(29,$B$29:$GQ$29,0))</f>
        <v>4669.9064481400001</v>
      </c>
      <c r="AE7">
        <f>INDEX($B$21:$GQ$21,MATCH(30,$B$29:$GQ$29,0))</f>
        <v>1317.5141081675199</v>
      </c>
      <c r="AF7">
        <f>INDEX($B$21:$GQ$21,MATCH(31,$B$29:$GQ$29,0))</f>
        <v>709.18679688875659</v>
      </c>
      <c r="AG7">
        <f>INDEX($B$21:$GQ$21,MATCH(32,$B$29:$GQ$29,0))</f>
        <v>1549.8190821000001</v>
      </c>
      <c r="AH7">
        <f>INDEX($B$21:$GQ$21,MATCH(33,$B$29:$GQ$29,0))</f>
        <v>262.48153199278192</v>
      </c>
      <c r="AI7">
        <f>INDEX($B$21:$GQ$21,MATCH(34,$B$29:$GQ$29,0))</f>
        <v>1145.74717822</v>
      </c>
      <c r="AJ7">
        <f>INDEX($B$21:$GQ$21,MATCH(35,$B$29:$GQ$29,0))</f>
        <v>627.28953437057316</v>
      </c>
      <c r="AK7">
        <f>INDEX($B$21:$GQ$21,MATCH(36,$B$29:$GQ$29,0))</f>
        <v>1038.6668066899999</v>
      </c>
      <c r="AL7">
        <f>INDEX($B$21:$GQ$21,MATCH(37,$B$29:$GQ$29,0))</f>
        <v>2604.55483714</v>
      </c>
      <c r="AM7">
        <f>INDEX($B$21:$GQ$21,MATCH(38,$B$29:$GQ$29,0))</f>
        <v>10799.400247</v>
      </c>
      <c r="AN7">
        <f>INDEX($B$21:$GQ$21,MATCH(39,$B$29:$GQ$29,0))</f>
        <v>596.45047547599995</v>
      </c>
      <c r="AO7">
        <f>INDEX($B$21:$GQ$21,MATCH(40,$B$29:$GQ$29,0))</f>
        <v>6643.3333910300007</v>
      </c>
      <c r="AP7">
        <f>INDEX($B$21:$GQ$21,MATCH(41,$B$29:$GQ$29,0))</f>
        <v>95.863337095600002</v>
      </c>
      <c r="AQ7">
        <f>INDEX($B$21:$GQ$21,MATCH(42,$B$29:$GQ$29,0))</f>
        <v>0</v>
      </c>
      <c r="AR7">
        <f>INDEX($B$21:$GQ$21,MATCH(43,$B$29:$GQ$29,0))</f>
        <v>243.82395424985501</v>
      </c>
      <c r="AS7">
        <f>INDEX($B$21:$GQ$21,MATCH(44,$B$29:$GQ$29,0))</f>
        <v>2813.8265550279998</v>
      </c>
      <c r="AT7">
        <f>INDEX($B$21:$GQ$21,MATCH(45,$B$29:$GQ$29,0))</f>
        <v>0</v>
      </c>
      <c r="AU7">
        <f>INDEX($B$21:$GQ$21,MATCH(46,$B$29:$GQ$29,0))</f>
        <v>0</v>
      </c>
      <c r="AV7">
        <f>INDEX($B$21:$GQ$21,MATCH(47,$B$29:$GQ$29,0))</f>
        <v>0</v>
      </c>
      <c r="AW7">
        <f>INDEX($B$21:$GQ$21,MATCH(48,$B$29:$GQ$29,0))</f>
        <v>20.421948832948161</v>
      </c>
      <c r="AX7">
        <f>INDEX($B$21:$GQ$21,MATCH(49,$B$29:$GQ$29,0))</f>
        <v>895.25021162600001</v>
      </c>
      <c r="AY7">
        <f>INDEX($B$21:$GQ$21,MATCH(50,$B$29:$GQ$29,0))</f>
        <v>1220.2376179299999</v>
      </c>
      <c r="AZ7">
        <f>INDEX($B$21:$GQ$21,MATCH(51,$B$29:$GQ$29,0))</f>
        <v>652.78120585600004</v>
      </c>
      <c r="BA7">
        <f>INDEX($B$21:$GQ$21,MATCH(52,$B$29:$GQ$29,0))</f>
        <v>262.19233730575002</v>
      </c>
      <c r="BB7">
        <f>INDEX($B$21:$GQ$21,MATCH(53,$B$29:$GQ$29,0))</f>
        <v>1559.8370236600001</v>
      </c>
      <c r="BC7">
        <f>INDEX($B$21:$GQ$21,MATCH(54,$B$29:$GQ$29,0))</f>
        <v>2010.42848448</v>
      </c>
      <c r="BD7">
        <f>INDEX($B$21:$GQ$21,MATCH(55,$B$29:$GQ$29,0))</f>
        <v>1766.04037623</v>
      </c>
      <c r="BE7">
        <f>INDEX($B$21:$GQ$21,MATCH(56,$B$29:$GQ$29,0))</f>
        <v>6719.8629984099998</v>
      </c>
      <c r="BF7">
        <f>INDEX($B$21:$GQ$21,MATCH(57,$B$29:$GQ$29,0))</f>
        <v>92.726657253900001</v>
      </c>
      <c r="BG7">
        <f>INDEX($B$21:$GQ$21,MATCH(58,$B$29:$GQ$29,0))</f>
        <v>107.8362040536</v>
      </c>
      <c r="BH7">
        <f>INDEX($B$21:$GQ$21,MATCH(59,$B$29:$GQ$29,0))</f>
        <v>0</v>
      </c>
      <c r="BI7">
        <f>INDEX($B$21:$GQ$21,MATCH(60,$B$29:$GQ$29,0))</f>
        <v>6.6187806119300001</v>
      </c>
      <c r="BJ7">
        <f>INDEX($B$21:$GQ$21,MATCH(61,$B$29:$GQ$29,0))</f>
        <v>63.361211080935377</v>
      </c>
      <c r="BK7">
        <f>INDEX($B$21:$GQ$21,MATCH(62,$B$29:$GQ$29,0))</f>
        <v>0</v>
      </c>
      <c r="BL7">
        <f>INDEX($B$21:$GQ$21,MATCH(63,$B$29:$GQ$29,0))</f>
        <v>0</v>
      </c>
      <c r="BM7">
        <f>INDEX($B$21:$GQ$21,MATCH(64,$B$29:$GQ$29,0))</f>
        <v>286.21616942958212</v>
      </c>
      <c r="BN7">
        <f>INDEX($B$21:$GQ$21,MATCH(65,$B$29:$GQ$29,0))</f>
        <v>0</v>
      </c>
      <c r="BO7">
        <f>INDEX($B$21:$GQ$21,MATCH(66,$B$29:$GQ$29,0))</f>
        <v>12.589531046076591</v>
      </c>
      <c r="BP7">
        <f>INDEX($B$21:$GQ$21,MATCH(67,$B$29:$GQ$29,0))</f>
        <v>5191.81852316</v>
      </c>
      <c r="BQ7">
        <f>INDEX($B$21:$GQ$21,MATCH(68,$B$29:$GQ$29,0))</f>
        <v>6.1707335051997774</v>
      </c>
      <c r="BR7">
        <f>INDEX($B$21:$GQ$21,MATCH(69,$B$29:$GQ$29,0))</f>
        <v>612.42607809052072</v>
      </c>
      <c r="BS7">
        <f>INDEX($B$21:$GQ$21,MATCH(70,$B$29:$GQ$29,0))</f>
        <v>358.93550539300003</v>
      </c>
      <c r="BT7">
        <f>INDEX($B$21:$GQ$21,MATCH(71,$B$29:$GQ$29,0))</f>
        <v>0.66543467202200002</v>
      </c>
      <c r="BU7">
        <f>INDEX($B$21:$GQ$21,MATCH(72,$B$29:$GQ$29,0))</f>
        <v>10172.62054431125</v>
      </c>
      <c r="BV7">
        <f>INDEX($B$21:$GQ$21,MATCH(73,$B$29:$GQ$29,0))</f>
        <v>0</v>
      </c>
      <c r="BW7">
        <f>INDEX($B$21:$GQ$21,MATCH(74,$B$29:$GQ$29,0))</f>
        <v>34.973120821718787</v>
      </c>
      <c r="BX7">
        <f>INDEX($B$21:$GQ$21,MATCH(75,$B$29:$GQ$29,0))</f>
        <v>791.25578928899995</v>
      </c>
      <c r="BY7">
        <f>INDEX($B$21:$GQ$21,MATCH(76,$B$29:$GQ$29,0))</f>
        <v>18.17377665812187</v>
      </c>
      <c r="BZ7">
        <f>INDEX($B$21:$GQ$21,MATCH(77,$B$29:$GQ$29,0))</f>
        <v>50.540358367452967</v>
      </c>
      <c r="CA7">
        <f>INDEX($B$21:$GQ$21,MATCH(78,$B$29:$GQ$29,0))</f>
        <v>7.7745748429250057</v>
      </c>
      <c r="CB7">
        <f>INDEX($B$21:$GQ$21,MATCH(79,$B$29:$GQ$29,0))</f>
        <v>4.2866716676400003</v>
      </c>
      <c r="CC7">
        <f>INDEX($B$21:$GQ$21,MATCH(80,$B$29:$GQ$29,0))</f>
        <v>1749.27710897</v>
      </c>
      <c r="CD7">
        <f>INDEX($B$21:$GQ$21,MATCH(81,$B$29:$GQ$29,0))</f>
        <v>64.052776141426875</v>
      </c>
      <c r="CE7">
        <f>INDEX($B$21:$GQ$21,MATCH(82,$B$29:$GQ$29,0))</f>
        <v>10.798532357499999</v>
      </c>
      <c r="CF7">
        <f>INDEX($B$21:$GQ$21,MATCH(83,$B$29:$GQ$29,0))</f>
        <v>5.4780863341700003</v>
      </c>
      <c r="CG7">
        <f>INDEX($B$21:$GQ$21,MATCH(84,$B$29:$GQ$29,0))</f>
        <v>520.47413446200005</v>
      </c>
      <c r="CH7">
        <f>INDEX($B$21:$GQ$21,MATCH(85,$B$29:$GQ$29,0))</f>
        <v>7.7841592984684684</v>
      </c>
      <c r="CI7">
        <f>INDEX($B$21:$GQ$21,MATCH(86,$B$29:$GQ$29,0))</f>
        <v>0</v>
      </c>
      <c r="CJ7">
        <f>INDEX($B$21:$GQ$21,MATCH(87,$B$29:$GQ$29,0))</f>
        <v>152.52438610900001</v>
      </c>
      <c r="CK7">
        <f>INDEX($B$21:$GQ$21,MATCH(88,$B$29:$GQ$29,0))</f>
        <v>8.3376501952699993</v>
      </c>
      <c r="CL7">
        <f>INDEX($B$21:$GQ$21,MATCH(89,$B$29:$GQ$29,0))</f>
        <v>12.452825049199999</v>
      </c>
      <c r="CM7">
        <f>INDEX($B$21:$GQ$21,MATCH(90,$B$29:$GQ$29,0))</f>
        <v>7.2681283026200001</v>
      </c>
      <c r="CN7">
        <f>INDEX($B$21:$GQ$21,MATCH(91,$B$29:$GQ$29,0))</f>
        <v>7.47894238651</v>
      </c>
      <c r="CO7">
        <f>INDEX($B$21:$GQ$21,MATCH(92,$B$29:$GQ$29,0))</f>
        <v>0</v>
      </c>
      <c r="CP7">
        <f>INDEX($B$21:$GQ$21,MATCH(93,$B$29:$GQ$29,0))</f>
        <v>2.8579230598600001</v>
      </c>
      <c r="CQ7">
        <f>INDEX($B$21:$GQ$21,MATCH(94,$B$29:$GQ$29,0))</f>
        <v>7.1772939881199997</v>
      </c>
      <c r="CR7">
        <f>INDEX($B$21:$GQ$21,MATCH(95,$B$29:$GQ$29,0))</f>
        <v>6.2167013558799988</v>
      </c>
      <c r="CS7">
        <f>INDEX($B$21:$GQ$21,MATCH(96,$B$29:$GQ$29,0))</f>
        <v>130.97256975400001</v>
      </c>
      <c r="CT7">
        <f>INDEX($B$21:$GQ$21,MATCH(97,$B$29:$GQ$29,0))</f>
        <v>0</v>
      </c>
      <c r="CU7">
        <f>INDEX($B$21:$GQ$21,MATCH(98,$B$29:$GQ$29,0))</f>
        <v>14.903983972800001</v>
      </c>
      <c r="CV7">
        <f>INDEX($B$21:$GQ$21,MATCH(99,$B$29:$GQ$29,0))</f>
        <v>1.5981500333700001</v>
      </c>
      <c r="CW7">
        <f>INDEX($B$21:$GQ$21,MATCH(100,$B$29:$GQ$29,0))</f>
        <v>0</v>
      </c>
      <c r="CX7">
        <f>INDEX($B$21:$GQ$21,MATCH(101,$B$29:$GQ$29,0))</f>
        <v>3.4561336392499999</v>
      </c>
      <c r="CY7">
        <f>INDEX($B$21:$GQ$21,MATCH(102,$B$29:$GQ$29,0))</f>
        <v>5.4250360592692362</v>
      </c>
      <c r="CZ7">
        <f>INDEX($B$21:$GQ$21,MATCH(103,$B$29:$GQ$29,0))</f>
        <v>0.91095341557300002</v>
      </c>
      <c r="DA7">
        <f>INDEX($B$21:$GQ$21,MATCH(104,$B$29:$GQ$29,0))</f>
        <v>4.4869937232399604</v>
      </c>
      <c r="DB7">
        <f>INDEX($B$21:$GQ$21,MATCH(105,$B$29:$GQ$29,0))</f>
        <v>52.290447045240562</v>
      </c>
      <c r="DC7">
        <f>INDEX($B$21:$GQ$21,MATCH(106,$B$29:$GQ$29,0))</f>
        <v>0.47988633069100001</v>
      </c>
      <c r="DD7">
        <f>INDEX($B$21:$GQ$21,MATCH(107,$B$29:$GQ$29,0))</f>
        <v>2.5196803371600001</v>
      </c>
      <c r="DE7">
        <f>INDEX($B$21:$GQ$21,MATCH(108,$B$29:$GQ$29,0))</f>
        <v>1.4328711332499999</v>
      </c>
      <c r="DF7">
        <f>INDEX($B$21:$GQ$21,MATCH(109,$B$29:$GQ$29,0))</f>
        <v>0.91886879222690554</v>
      </c>
      <c r="DG7">
        <f>INDEX($B$21:$GQ$21,MATCH(110,$B$29:$GQ$29,0))</f>
        <v>44.522949826820003</v>
      </c>
      <c r="DH7">
        <f>INDEX($B$21:$GQ$21,MATCH(111,$B$29:$GQ$29,0))</f>
        <v>418.35490823388932</v>
      </c>
      <c r="DI7">
        <f>INDEX($B$21:$GQ$21,MATCH(112,$B$29:$GQ$29,0))</f>
        <v>0.63557573159500003</v>
      </c>
      <c r="DJ7">
        <f>INDEX($B$21:$GQ$21,MATCH(113,$B$29:$GQ$29,0))</f>
        <v>6.3533008602000001</v>
      </c>
      <c r="DK7">
        <f>INDEX($B$21:$GQ$21,MATCH(114,$B$29:$GQ$29,0))</f>
        <v>2.2862877476796539</v>
      </c>
      <c r="DL7">
        <f>INDEX($B$21:$GQ$21,MATCH(115,$B$29:$GQ$29,0))</f>
        <v>1.81215275413</v>
      </c>
      <c r="DM7">
        <f>INDEX($B$21:$GQ$21,MATCH(116,$B$29:$GQ$29,0))</f>
        <v>7.4935930203748713</v>
      </c>
      <c r="DN7">
        <f>INDEX($B$21:$GQ$21,MATCH(117,$B$29:$GQ$29,0))</f>
        <v>0.112600342789</v>
      </c>
      <c r="DO7">
        <f>INDEX($B$21:$GQ$21,MATCH(118,$B$29:$GQ$29,0))</f>
        <v>4.9947555776570151E-3</v>
      </c>
      <c r="DP7">
        <f>INDEX($B$21:$GQ$21,MATCH(119,$B$29:$GQ$29,0))</f>
        <v>5.55902005850945E-2</v>
      </c>
      <c r="DQ7">
        <f>INDEX($B$21:$GQ$21,MATCH(120,$B$29:$GQ$29,0))</f>
        <v>1.6789142170569999</v>
      </c>
      <c r="DR7">
        <f>INDEX($B$21:$GQ$21,MATCH(121,$B$29:$GQ$29,0))</f>
        <v>0</v>
      </c>
      <c r="DS7">
        <f>INDEX($B$21:$GQ$21,MATCH(122,$B$29:$GQ$29,0))</f>
        <v>4.31870936057E-2</v>
      </c>
      <c r="DT7">
        <f>INDEX($B$21:$GQ$21,MATCH(123,$B$29:$GQ$29,0))</f>
        <v>1.056828588528105</v>
      </c>
      <c r="DU7">
        <f>INDEX($B$21:$GQ$21,MATCH(124,$B$29:$GQ$29,0))</f>
        <v>1.3261887457802539</v>
      </c>
      <c r="DV7">
        <f>INDEX($B$21:$GQ$21,MATCH(125,$B$29:$GQ$29,0))</f>
        <v>14.5218305376</v>
      </c>
      <c r="DW7">
        <f>INDEX($B$21:$GQ$21,MATCH(126,$B$29:$GQ$29,0))</f>
        <v>0.1066507278430744</v>
      </c>
      <c r="DX7">
        <f>INDEX($B$21:$GQ$21,MATCH(127,$B$29:$GQ$29,0))</f>
        <v>0.102340521859746</v>
      </c>
      <c r="DY7">
        <f>INDEX($B$21:$GQ$21,MATCH(128,$B$29:$GQ$29,0))</f>
        <v>0</v>
      </c>
      <c r="DZ7">
        <f>INDEX($B$21:$GQ$21,MATCH(129,$B$29:$GQ$29,0))</f>
        <v>6.0997008595128847E-2</v>
      </c>
      <c r="EA7">
        <f>INDEX($B$21:$GQ$21,MATCH(130,$B$29:$GQ$29,0))</f>
        <v>6.1700262321527496E-3</v>
      </c>
      <c r="EB7">
        <f>INDEX($B$21:$GQ$21,MATCH(131,$B$29:$GQ$29,0))</f>
        <v>3.9625614194724822E-4</v>
      </c>
      <c r="EC7">
        <f>INDEX($B$21:$GQ$21,MATCH(132,$B$29:$GQ$29,0))</f>
        <v>3.0458495076355003E-4</v>
      </c>
      <c r="ED7">
        <f>INDEX($B$21:$GQ$21,MATCH(133,$B$29:$GQ$29,0))</f>
        <v>0</v>
      </c>
      <c r="EE7">
        <f>INDEX($B$21:$GQ$21,MATCH(134,$B$29:$GQ$29,0))</f>
        <v>0</v>
      </c>
      <c r="EF7">
        <f>INDEX($B$21:$GQ$21,MATCH(135,$B$29:$GQ$29,0))</f>
        <v>0</v>
      </c>
      <c r="EG7">
        <f>INDEX($B$21:$GQ$21,MATCH(136,$B$29:$GQ$29,0))</f>
        <v>0</v>
      </c>
      <c r="EH7">
        <f>INDEX($B$21:$GQ$21,MATCH(137,$B$29:$GQ$29,0))</f>
        <v>0</v>
      </c>
      <c r="EI7">
        <f>INDEX($B$21:$GQ$21,MATCH(138,$B$29:$GQ$29,0))</f>
        <v>0</v>
      </c>
      <c r="EJ7">
        <f>INDEX($B$21:$GQ$21,MATCH(139,$B$29:$GQ$29,0))</f>
        <v>0</v>
      </c>
      <c r="EK7">
        <f>INDEX($B$21:$GQ$21,MATCH(140,$B$29:$GQ$29,0))</f>
        <v>0</v>
      </c>
      <c r="EL7">
        <f>INDEX($B$21:$GQ$21,MATCH(141,$B$29:$GQ$29,0))</f>
        <v>0</v>
      </c>
      <c r="EM7">
        <f>INDEX($B$21:$GQ$21,MATCH(142,$B$29:$GQ$29,0))</f>
        <v>0</v>
      </c>
      <c r="EN7">
        <f>INDEX($B$21:$GQ$21,MATCH(143,$B$29:$GQ$29,0))</f>
        <v>0</v>
      </c>
      <c r="EO7">
        <f>INDEX($B$21:$GQ$21,MATCH(144,$B$29:$GQ$29,0))</f>
        <v>0</v>
      </c>
      <c r="EP7">
        <f>INDEX($B$21:$GQ$21,MATCH(145,$B$29:$GQ$29,0))</f>
        <v>0</v>
      </c>
      <c r="EQ7">
        <f>INDEX($B$21:$GQ$21,MATCH(146,$B$29:$GQ$29,0))</f>
        <v>0</v>
      </c>
      <c r="ER7">
        <f>INDEX($B$21:$GQ$21,MATCH(147,$B$29:$GQ$29,0))</f>
        <v>0</v>
      </c>
      <c r="ES7">
        <f>INDEX($B$21:$GQ$21,MATCH(148,$B$29:$GQ$29,0))</f>
        <v>0</v>
      </c>
      <c r="ET7">
        <f>INDEX($B$21:$GQ$21,MATCH(149,$B$29:$GQ$29,0))</f>
        <v>0</v>
      </c>
      <c r="EU7">
        <f>INDEX($B$21:$GQ$21,MATCH(150,$B$29:$GQ$29,0))</f>
        <v>0</v>
      </c>
      <c r="EV7">
        <f>INDEX($B$21:$GQ$21,MATCH(151,$B$29:$GQ$29,0))</f>
        <v>0</v>
      </c>
      <c r="EW7">
        <f>INDEX($B$21:$GQ$21,MATCH(152,$B$29:$GQ$29,0))</f>
        <v>0</v>
      </c>
      <c r="EX7">
        <f>INDEX($B$21:$GQ$21,MATCH(153,$B$29:$GQ$29,0))</f>
        <v>0</v>
      </c>
      <c r="EY7">
        <f>INDEX($B$21:$GQ$21,MATCH(154,$B$29:$GQ$29,0))</f>
        <v>0</v>
      </c>
      <c r="EZ7">
        <f>INDEX($B$21:$GQ$21,MATCH(155,$B$29:$GQ$29,0))</f>
        <v>0</v>
      </c>
      <c r="FA7">
        <f>INDEX($B$21:$GQ$21,MATCH(156,$B$29:$GQ$29,0))</f>
        <v>0</v>
      </c>
      <c r="FB7">
        <f>INDEX($B$21:$GQ$21,MATCH(157,$B$29:$GQ$29,0))</f>
        <v>0</v>
      </c>
      <c r="FC7">
        <f>INDEX($B$21:$GQ$21,MATCH(158,$B$29:$GQ$29,0))</f>
        <v>0</v>
      </c>
      <c r="FD7">
        <f>INDEX($B$21:$GQ$21,MATCH(159,$B$29:$GQ$29,0))</f>
        <v>0</v>
      </c>
      <c r="FE7">
        <f>INDEX($B$21:$GQ$21,MATCH(160,$B$29:$GQ$29,0))</f>
        <v>0</v>
      </c>
      <c r="FF7">
        <f>INDEX($B$21:$GQ$21,MATCH(161,$B$29:$GQ$29,0))</f>
        <v>0</v>
      </c>
      <c r="FG7">
        <f>INDEX($B$21:$GQ$21,MATCH(162,$B$29:$GQ$29,0))</f>
        <v>0.26273048669999999</v>
      </c>
      <c r="FH7">
        <f>INDEX($B$21:$GQ$21,MATCH(163,$B$29:$GQ$29,0))</f>
        <v>0</v>
      </c>
      <c r="FI7">
        <f>INDEX($B$21:$GQ$21,MATCH(164,$B$29:$GQ$29,0))</f>
        <v>157.13671563599999</v>
      </c>
      <c r="FJ7">
        <f>INDEX($B$21:$GQ$21,MATCH(165,$B$29:$GQ$29,0))</f>
        <v>0</v>
      </c>
      <c r="FK7">
        <f>INDEX($B$21:$GQ$21,MATCH(166,$B$29:$GQ$29,0))</f>
        <v>0</v>
      </c>
      <c r="FL7">
        <f>INDEX($B$21:$GQ$21,MATCH(167,$B$29:$GQ$29,0))</f>
        <v>0</v>
      </c>
      <c r="FM7">
        <f>INDEX($B$21:$GQ$21,MATCH(168,$B$29:$GQ$29,0))</f>
        <v>0</v>
      </c>
      <c r="FN7">
        <f>INDEX($B$21:$GQ$21,MATCH(169,$B$29:$GQ$29,0))</f>
        <v>0</v>
      </c>
      <c r="FO7">
        <f>INDEX($B$21:$GQ$21,MATCH(170,$B$29:$GQ$29,0))</f>
        <v>0</v>
      </c>
      <c r="FP7">
        <f>INDEX($B$21:$GQ$21,MATCH(171,$B$29:$GQ$29,0))</f>
        <v>0</v>
      </c>
      <c r="FQ7">
        <f>INDEX($B$21:$GQ$21,MATCH(172,$B$29:$GQ$29,0))</f>
        <v>0</v>
      </c>
      <c r="FR7">
        <f>INDEX($B$21:$GQ$21,MATCH(173,$B$29:$GQ$29,0))</f>
        <v>0</v>
      </c>
      <c r="FS7">
        <f>INDEX($B$21:$GQ$21,MATCH(174,$B$29:$GQ$29,0))</f>
        <v>0</v>
      </c>
      <c r="FT7">
        <f>INDEX($B$21:$GQ$21,MATCH(175,$B$29:$GQ$29,0))</f>
        <v>0</v>
      </c>
      <c r="FU7">
        <f>INDEX($B$21:$GQ$21,MATCH(176,$B$29:$GQ$29,0))</f>
        <v>0</v>
      </c>
      <c r="FV7">
        <f>INDEX($B$21:$GQ$21,MATCH(177,$B$29:$GQ$29,0))</f>
        <v>0</v>
      </c>
      <c r="FW7">
        <f>INDEX($B$21:$GQ$21,MATCH(178,$B$29:$GQ$29,0))</f>
        <v>0</v>
      </c>
      <c r="FX7">
        <f>INDEX($B$21:$GQ$21,MATCH(179,$B$29:$GQ$29,0))</f>
        <v>0</v>
      </c>
      <c r="FY7">
        <f>INDEX($B$21:$GQ$21,MATCH(180,$B$29:$GQ$29,0))</f>
        <v>0</v>
      </c>
      <c r="FZ7">
        <f>INDEX($B$21:$GQ$21,MATCH(181,$B$29:$GQ$29,0))</f>
        <v>0</v>
      </c>
      <c r="GA7">
        <f>INDEX($B$21:$GQ$21,MATCH(182,$B$29:$GQ$29,0))</f>
        <v>0</v>
      </c>
      <c r="GB7">
        <f>INDEX($B$21:$GQ$21,MATCH(183,$B$29:$GQ$29,0))</f>
        <v>0</v>
      </c>
      <c r="GC7">
        <f>INDEX($B$21:$GQ$21,MATCH(184,$B$29:$GQ$29,0))</f>
        <v>0</v>
      </c>
      <c r="GD7">
        <f>INDEX($B$21:$GQ$21,MATCH(185,$B$29:$GQ$29,0))</f>
        <v>1803.7615754999999</v>
      </c>
      <c r="GE7">
        <f>INDEX($B$21:$GQ$21,MATCH(186,$B$29:$GQ$29,0))</f>
        <v>0</v>
      </c>
      <c r="GF7">
        <f>INDEX($B$21:$GQ$21,MATCH(187,$B$29:$GQ$29,0))</f>
        <v>0</v>
      </c>
      <c r="GG7">
        <f>INDEX($B$21:$GQ$21,MATCH(188,$B$29:$GQ$29,0))</f>
        <v>0</v>
      </c>
      <c r="GH7">
        <f>INDEX($B$21:$GQ$21,MATCH(189,$B$29:$GQ$29,0))</f>
        <v>0</v>
      </c>
      <c r="GI7">
        <f>INDEX($B$21:$GQ$21,MATCH(190,$B$29:$GQ$29,0))</f>
        <v>0</v>
      </c>
      <c r="GJ7">
        <f>INDEX($B$21:$GQ$21,MATCH(191,$B$29:$GQ$29,0))</f>
        <v>0</v>
      </c>
      <c r="GK7">
        <f>INDEX($B$21:$GQ$21,MATCH(192,$B$29:$GQ$29,0))</f>
        <v>0</v>
      </c>
      <c r="GL7">
        <f>INDEX($B$21:$GQ$21,MATCH(193,$B$29:$GQ$29,0))</f>
        <v>0</v>
      </c>
      <c r="GM7">
        <f>INDEX($B$21:$GQ$21,MATCH(194,$B$29:$GQ$29,0))</f>
        <v>0</v>
      </c>
      <c r="GN7">
        <f>INDEX($B$21:$GQ$21,MATCH(195,$B$29:$GQ$29,0))</f>
        <v>0</v>
      </c>
      <c r="GO7">
        <f>INDEX($B$21:$GQ$21,MATCH(196,$B$29:$GQ$29,0))</f>
        <v>0</v>
      </c>
      <c r="GP7">
        <f>INDEX($B$21:$GQ$21,MATCH(197,$B$29:$GQ$29,0))</f>
        <v>0</v>
      </c>
      <c r="GQ7">
        <f>INDEX($B$21:$GQ$21,MATCH(198,$B$29:$GQ$29,0))</f>
        <v>0</v>
      </c>
      <c r="GR7">
        <f>INDEX($GR$21:$HC$21,MATCH(1,$GR$30:$HC$30,0))</f>
        <v>14392.991685798401</v>
      </c>
      <c r="GS7">
        <f>INDEX($GR$21:$HC$21,MATCH(2,$GR$30:$HC$30,0))</f>
        <v>26463.523517716021</v>
      </c>
      <c r="GT7">
        <f>INDEX($GR$21:$HC$21,MATCH(3,$GR$30:$HC$30,0))</f>
        <v>52451.491819216943</v>
      </c>
      <c r="GU7">
        <f>INDEX($GR$21:$HC$21,MATCH(4,$GR$30:$HC$30,0))</f>
        <v>58120.83281466164</v>
      </c>
      <c r="GV7">
        <f>INDEX($GR$21:$HC$21,MATCH(5,$GR$30:$HC$30,0))</f>
        <v>17903.873458744751</v>
      </c>
      <c r="GW7">
        <f>INDEX($GR$21:$HC$21,MATCH(6,$GR$30:$HC$30,0))</f>
        <v>3828.2993022389001</v>
      </c>
      <c r="GX7">
        <f>INDEX($GR$21:$HC$21,MATCH(7,$GR$30:$HC$30,0))</f>
        <v>1038.4943145499999</v>
      </c>
      <c r="GY7">
        <f>INDEX($GR$21:$HC$21,MATCH(8,$GR$30:$HC$30,0))</f>
        <v>2356.4986623639588</v>
      </c>
      <c r="GZ7">
        <f>INDEX($GR$21:$HC$21,MATCH(9,$GR$30:$HC$30,0))</f>
        <v>1806.0386160099999</v>
      </c>
      <c r="HA7">
        <f>INDEX($GR$21:$HC$21,MATCH(10,$GR$30:$HC$30,0))</f>
        <v>0</v>
      </c>
      <c r="HB7">
        <f>INDEX($GR$21:$HC$21,MATCH(11,$GR$30:$HC$30,0))</f>
        <v>6818.9374820032835</v>
      </c>
      <c r="HC7">
        <f>INDEX($GR$21:$HC$21,MATCH(12,$GR$30:$HC$30,0))</f>
        <v>22808.071933269999</v>
      </c>
    </row>
    <row r="8" spans="1:211" x14ac:dyDescent="0.45">
      <c r="A8" s="1" t="s">
        <v>7</v>
      </c>
      <c r="B8">
        <f>INDEX($B$22:$GQ$22,MATCH(1,$B$29:$GQ$29,0))</f>
        <v>23360.725289119</v>
      </c>
      <c r="C8">
        <f>INDEX($B$22:$GQ$22,MATCH(2,$B$29:$GQ$29,0))</f>
        <v>242143.13257310001</v>
      </c>
      <c r="D8">
        <f>INDEX($B$22:$GQ$22,MATCH(3,$B$29:$GQ$29,0))</f>
        <v>5050.4413716326299</v>
      </c>
      <c r="E8">
        <f>INDEX($B$22:$GQ$22,MATCH(4,$B$29:$GQ$29,0))</f>
        <v>186753.73804475501</v>
      </c>
      <c r="F8">
        <f>INDEX($B$22:$GQ$22,MATCH(5,$B$29:$GQ$29,0))</f>
        <v>15949.9837150327</v>
      </c>
      <c r="G8">
        <f>INDEX($B$22:$GQ$22,MATCH(6,$B$29:$GQ$29,0))</f>
        <v>258670.86586419999</v>
      </c>
      <c r="H8">
        <f>INDEX($B$22:$GQ$22,MATCH(7,$B$29:$GQ$29,0))</f>
        <v>1956.93538405</v>
      </c>
      <c r="I8">
        <f>INDEX($B$22:$GQ$22,MATCH(8,$B$29:$GQ$29,0))</f>
        <v>8488.2230403558297</v>
      </c>
      <c r="J8">
        <f>INDEX($B$22:$GQ$22,MATCH(9,$B$29:$GQ$29,0))</f>
        <v>83954.164852629998</v>
      </c>
      <c r="K8">
        <f>INDEX($B$22:$GQ$22,MATCH(10,$B$29:$GQ$29,0))</f>
        <v>1938.44845799</v>
      </c>
      <c r="L8">
        <f>INDEX($B$22:$GQ$22,MATCH(11,$B$29:$GQ$29,0))</f>
        <v>71885.084968099996</v>
      </c>
      <c r="M8">
        <f>INDEX($B$22:$GQ$22,MATCH(12,$B$29:$GQ$29,0))</f>
        <v>6143.0077963115054</v>
      </c>
      <c r="N8">
        <f>INDEX($B$22:$GQ$22,MATCH(13,$B$29:$GQ$29,0))</f>
        <v>37588.165323314177</v>
      </c>
      <c r="O8">
        <f>INDEX($B$22:$GQ$22,MATCH(14,$B$29:$GQ$29,0))</f>
        <v>130808.66813279</v>
      </c>
      <c r="P8">
        <f>INDEX($B$22:$GQ$22,MATCH(15,$B$29:$GQ$29,0))</f>
        <v>10280.107604815599</v>
      </c>
      <c r="Q8">
        <f>INDEX($B$22:$GQ$22,MATCH(16,$B$29:$GQ$29,0))</f>
        <v>4983.7269113496177</v>
      </c>
      <c r="R8">
        <f>INDEX($B$22:$GQ$22,MATCH(17,$B$29:$GQ$29,0))</f>
        <v>26547.7846919</v>
      </c>
      <c r="S8">
        <f>INDEX($B$22:$GQ$22,MATCH(18,$B$29:$GQ$29,0))</f>
        <v>30950.3724516</v>
      </c>
      <c r="T8">
        <f>INDEX($B$22:$GQ$22,MATCH(19,$B$29:$GQ$29,0))</f>
        <v>8018.0444478146992</v>
      </c>
      <c r="U8">
        <f>INDEX($B$22:$GQ$22,MATCH(20,$B$29:$GQ$29,0))</f>
        <v>11302.3998226312</v>
      </c>
      <c r="V8">
        <f>INDEX($B$22:$GQ$22,MATCH(21,$B$29:$GQ$29,0))</f>
        <v>3117.9127895699999</v>
      </c>
      <c r="W8">
        <f>INDEX($B$22:$GQ$22,MATCH(22,$B$29:$GQ$29,0))</f>
        <v>1190.0860007440001</v>
      </c>
      <c r="X8">
        <f>INDEX($B$22:$GQ$22,MATCH(23,$B$29:$GQ$29,0))</f>
        <v>7010.4418690136599</v>
      </c>
      <c r="Y8">
        <f>INDEX($B$22:$GQ$22,MATCH(24,$B$29:$GQ$29,0))</f>
        <v>16771.579081532</v>
      </c>
      <c r="Z8">
        <f>INDEX($B$22:$GQ$22,MATCH(25,$B$29:$GQ$29,0))</f>
        <v>7435.9329311493466</v>
      </c>
      <c r="AA8">
        <f>INDEX($B$22:$GQ$22,MATCH(26,$B$29:$GQ$29,0))</f>
        <v>235.5104379290872</v>
      </c>
      <c r="AB8">
        <f>INDEX($B$22:$GQ$22,MATCH(27,$B$29:$GQ$29,0))</f>
        <v>1889.7566549799999</v>
      </c>
      <c r="AC8">
        <f>INDEX($B$22:$GQ$22,MATCH(28,$B$29:$GQ$29,0))</f>
        <v>3273.5352910359002</v>
      </c>
      <c r="AD8">
        <f>INDEX($B$22:$GQ$22,MATCH(29,$B$29:$GQ$29,0))</f>
        <v>2869.1544762899998</v>
      </c>
      <c r="AE8">
        <f>INDEX($B$22:$GQ$22,MATCH(30,$B$29:$GQ$29,0))</f>
        <v>15294.563008583</v>
      </c>
      <c r="AF8">
        <f>INDEX($B$22:$GQ$22,MATCH(31,$B$29:$GQ$29,0))</f>
        <v>726.07848723778375</v>
      </c>
      <c r="AG8">
        <f>INDEX($B$22:$GQ$22,MATCH(32,$B$29:$GQ$29,0))</f>
        <v>2468.4934124624001</v>
      </c>
      <c r="AH8">
        <f>INDEX($B$22:$GQ$22,MATCH(33,$B$29:$GQ$29,0))</f>
        <v>4666.4618214472184</v>
      </c>
      <c r="AI8">
        <f>INDEX($B$22:$GQ$22,MATCH(34,$B$29:$GQ$29,0))</f>
        <v>31909.8454513</v>
      </c>
      <c r="AJ8">
        <f>INDEX($B$22:$GQ$22,MATCH(35,$B$29:$GQ$29,0))</f>
        <v>710.2622544142647</v>
      </c>
      <c r="AK8">
        <f>INDEX($B$22:$GQ$22,MATCH(36,$B$29:$GQ$29,0))</f>
        <v>11126.0696009</v>
      </c>
      <c r="AL8">
        <f>INDEX($B$22:$GQ$22,MATCH(37,$B$29:$GQ$29,0))</f>
        <v>42904.638546299997</v>
      </c>
      <c r="AM8">
        <f>INDEX($B$22:$GQ$22,MATCH(38,$B$29:$GQ$29,0))</f>
        <v>7391.2707397499989</v>
      </c>
      <c r="AN8">
        <f>INDEX($B$22:$GQ$22,MATCH(39,$B$29:$GQ$29,0))</f>
        <v>2108.0791581456701</v>
      </c>
      <c r="AO8">
        <f>INDEX($B$22:$GQ$22,MATCH(40,$B$29:$GQ$29,0))</f>
        <v>9071.7807908699997</v>
      </c>
      <c r="AP8">
        <f>INDEX($B$22:$GQ$22,MATCH(41,$B$29:$GQ$29,0))</f>
        <v>22590.5100676</v>
      </c>
      <c r="AQ8">
        <f>INDEX($B$22:$GQ$22,MATCH(42,$B$29:$GQ$29,0))</f>
        <v>1377.8064414299999</v>
      </c>
      <c r="AR8">
        <f>INDEX($B$22:$GQ$22,MATCH(43,$B$29:$GQ$29,0))</f>
        <v>749.58537190106574</v>
      </c>
      <c r="AS8">
        <f>INDEX($B$22:$GQ$22,MATCH(44,$B$29:$GQ$29,0))</f>
        <v>1501.0289734744999</v>
      </c>
      <c r="AT8">
        <f>INDEX($B$22:$GQ$22,MATCH(45,$B$29:$GQ$29,0))</f>
        <v>8796.4664476500002</v>
      </c>
      <c r="AU8">
        <f>INDEX($B$22:$GQ$22,MATCH(46,$B$29:$GQ$29,0))</f>
        <v>8925.8146115100008</v>
      </c>
      <c r="AV8">
        <f>INDEX($B$22:$GQ$22,MATCH(47,$B$29:$GQ$29,0))</f>
        <v>30296.038247430999</v>
      </c>
      <c r="AW8">
        <f>INDEX($B$22:$GQ$22,MATCH(48,$B$29:$GQ$29,0))</f>
        <v>10186.75299786705</v>
      </c>
      <c r="AX8">
        <f>INDEX($B$22:$GQ$22,MATCH(49,$B$29:$GQ$29,0))</f>
        <v>689.76229474199999</v>
      </c>
      <c r="AY8">
        <f>INDEX($B$22:$GQ$22,MATCH(50,$B$29:$GQ$29,0))</f>
        <v>13529.354277</v>
      </c>
      <c r="AZ8">
        <f>INDEX($B$22:$GQ$22,MATCH(51,$B$29:$GQ$29,0))</f>
        <v>15846.2651147</v>
      </c>
      <c r="BA8">
        <f>INDEX($B$22:$GQ$22,MATCH(52,$B$29:$GQ$29,0))</f>
        <v>11238.476071223</v>
      </c>
      <c r="BB8">
        <f>INDEX($B$22:$GQ$22,MATCH(53,$B$29:$GQ$29,0))</f>
        <v>5484.6488585699999</v>
      </c>
      <c r="BC8">
        <f>INDEX($B$22:$GQ$22,MATCH(54,$B$29:$GQ$29,0))</f>
        <v>3671.05667554</v>
      </c>
      <c r="BD8">
        <f>INDEX($B$22:$GQ$22,MATCH(55,$B$29:$GQ$29,0))</f>
        <v>1585.4834509899999</v>
      </c>
      <c r="BE8">
        <f>INDEX($B$22:$GQ$22,MATCH(56,$B$29:$GQ$29,0))</f>
        <v>128.12948849290001</v>
      </c>
      <c r="BF8">
        <f>INDEX($B$22:$GQ$22,MATCH(57,$B$29:$GQ$29,0))</f>
        <v>662.143368282305</v>
      </c>
      <c r="BG8">
        <f>INDEX($B$22:$GQ$22,MATCH(58,$B$29:$GQ$29,0))</f>
        <v>9886.4385954099998</v>
      </c>
      <c r="BH8">
        <f>INDEX($B$22:$GQ$22,MATCH(59,$B$29:$GQ$29,0))</f>
        <v>137.460607966</v>
      </c>
      <c r="BI8">
        <f>INDEX($B$22:$GQ$22,MATCH(60,$B$29:$GQ$29,0))</f>
        <v>460.33404258299998</v>
      </c>
      <c r="BJ8">
        <f>INDEX($B$22:$GQ$22,MATCH(61,$B$29:$GQ$29,0))</f>
        <v>160.53293276706461</v>
      </c>
      <c r="BK8">
        <f>INDEX($B$22:$GQ$22,MATCH(62,$B$29:$GQ$29,0))</f>
        <v>5628.20353823</v>
      </c>
      <c r="BL8">
        <f>INDEX($B$22:$GQ$22,MATCH(63,$B$29:$GQ$29,0))</f>
        <v>7198.7452669800005</v>
      </c>
      <c r="BM8">
        <f>INDEX($B$22:$GQ$22,MATCH(64,$B$29:$GQ$29,0))</f>
        <v>1908.1984372858201</v>
      </c>
      <c r="BN8">
        <f>INDEX($B$22:$GQ$22,MATCH(65,$B$29:$GQ$29,0))</f>
        <v>9539.4035679999997</v>
      </c>
      <c r="BO8">
        <f>INDEX($B$22:$GQ$22,MATCH(66,$B$29:$GQ$29,0))</f>
        <v>111.1237859411297</v>
      </c>
      <c r="BP8">
        <f>INDEX($B$22:$GQ$22,MATCH(67,$B$29:$GQ$29,0))</f>
        <v>2215.3406393403002</v>
      </c>
      <c r="BQ8">
        <f>INDEX($B$22:$GQ$22,MATCH(68,$B$29:$GQ$29,0))</f>
        <v>370.68346562429832</v>
      </c>
      <c r="BR8">
        <f>INDEX($B$22:$GQ$22,MATCH(69,$B$29:$GQ$29,0))</f>
        <v>301.73270808747918</v>
      </c>
      <c r="BS8">
        <f>INDEX($B$22:$GQ$22,MATCH(70,$B$29:$GQ$29,0))</f>
        <v>139.24546536700001</v>
      </c>
      <c r="BT8">
        <f>INDEX($B$22:$GQ$22,MATCH(71,$B$29:$GQ$29,0))</f>
        <v>308.12175901199998</v>
      </c>
      <c r="BU8">
        <f>INDEX($B$22:$GQ$22,MATCH(72,$B$29:$GQ$29,0))</f>
        <v>7.5170467887461898</v>
      </c>
      <c r="BV8">
        <f>INDEX($B$22:$GQ$22,MATCH(73,$B$29:$GQ$29,0))</f>
        <v>3328.271032657</v>
      </c>
      <c r="BW8">
        <f>INDEX($B$22:$GQ$22,MATCH(74,$B$29:$GQ$29,0))</f>
        <v>1235.3526669582809</v>
      </c>
      <c r="BX8">
        <f>INDEX($B$22:$GQ$22,MATCH(75,$B$29:$GQ$29,0))</f>
        <v>967.10634446200015</v>
      </c>
      <c r="BY8">
        <f>INDEX($B$22:$GQ$22,MATCH(76,$B$29:$GQ$29,0))</f>
        <v>514.07430814345184</v>
      </c>
      <c r="BZ8">
        <f>INDEX($B$22:$GQ$22,MATCH(77,$B$29:$GQ$29,0))</f>
        <v>458.08197929454701</v>
      </c>
      <c r="CA8">
        <f>INDEX($B$22:$GQ$22,MATCH(78,$B$29:$GQ$29,0))</f>
        <v>488.06950732907501</v>
      </c>
      <c r="CB8">
        <f>INDEX($B$22:$GQ$22,MATCH(79,$B$29:$GQ$29,0))</f>
        <v>317.56515019599999</v>
      </c>
      <c r="CC8">
        <f>INDEX($B$22:$GQ$22,MATCH(80,$B$29:$GQ$29,0))</f>
        <v>874.53301648599995</v>
      </c>
      <c r="CD8">
        <f>INDEX($B$22:$GQ$22,MATCH(81,$B$29:$GQ$29,0))</f>
        <v>438.23633378573538</v>
      </c>
      <c r="CE8">
        <f>INDEX($B$22:$GQ$22,MATCH(82,$B$29:$GQ$29,0))</f>
        <v>1333.3558007900001</v>
      </c>
      <c r="CF8">
        <f>INDEX($B$22:$GQ$22,MATCH(83,$B$29:$GQ$29,0))</f>
        <v>472.33991311599999</v>
      </c>
      <c r="CG8">
        <f>INDEX($B$22:$GQ$22,MATCH(84,$B$29:$GQ$29,0))</f>
        <v>310.99962491299999</v>
      </c>
      <c r="CH8">
        <f>INDEX($B$22:$GQ$22,MATCH(85,$B$29:$GQ$29,0))</f>
        <v>36.951677209631541</v>
      </c>
      <c r="CI8">
        <f>INDEX($B$22:$GQ$22,MATCH(86,$B$29:$GQ$29,0))</f>
        <v>2459.8227431700002</v>
      </c>
      <c r="CJ8">
        <f>INDEX($B$22:$GQ$22,MATCH(87,$B$29:$GQ$29,0))</f>
        <v>26.960627056900002</v>
      </c>
      <c r="CK8">
        <f>INDEX($B$22:$GQ$22,MATCH(88,$B$29:$GQ$29,0))</f>
        <v>479.80123612099999</v>
      </c>
      <c r="CL8">
        <f>INDEX($B$22:$GQ$22,MATCH(89,$B$29:$GQ$29,0))</f>
        <v>949.25281436</v>
      </c>
      <c r="CM8">
        <f>INDEX($B$22:$GQ$22,MATCH(90,$B$29:$GQ$29,0))</f>
        <v>919.98164076199998</v>
      </c>
      <c r="CN8">
        <f>INDEX($B$22:$GQ$22,MATCH(91,$B$29:$GQ$29,0))</f>
        <v>804.795130685</v>
      </c>
      <c r="CO8">
        <f>INDEX($B$22:$GQ$22,MATCH(92,$B$29:$GQ$29,0))</f>
        <v>769.05730232869996</v>
      </c>
      <c r="CP8">
        <f>INDEX($B$22:$GQ$22,MATCH(93,$B$29:$GQ$29,0))</f>
        <v>266.24321473499998</v>
      </c>
      <c r="CQ8">
        <f>INDEX($B$22:$GQ$22,MATCH(94,$B$29:$GQ$29,0))</f>
        <v>767.06281134100004</v>
      </c>
      <c r="CR8">
        <f>INDEX($B$22:$GQ$22,MATCH(95,$B$29:$GQ$29,0))</f>
        <v>773.51984684800004</v>
      </c>
      <c r="CS8">
        <f>INDEX($B$22:$GQ$22,MATCH(96,$B$29:$GQ$29,0))</f>
        <v>26.83840954758</v>
      </c>
      <c r="CT8">
        <f>INDEX($B$22:$GQ$22,MATCH(97,$B$29:$GQ$29,0))</f>
        <v>984.28394153700003</v>
      </c>
      <c r="CU8">
        <f>INDEX($B$22:$GQ$22,MATCH(98,$B$29:$GQ$29,0))</f>
        <v>0</v>
      </c>
      <c r="CV8">
        <f>INDEX($B$22:$GQ$22,MATCH(99,$B$29:$GQ$29,0))</f>
        <v>192.22371685499999</v>
      </c>
      <c r="CW8">
        <f>INDEX($B$22:$GQ$22,MATCH(100,$B$29:$GQ$29,0))</f>
        <v>347.92681815999998</v>
      </c>
      <c r="CX8">
        <f>INDEX($B$22:$GQ$22,MATCH(101,$B$29:$GQ$29,0))</f>
        <v>332.70708407199999</v>
      </c>
      <c r="CY8">
        <f>INDEX($B$22:$GQ$22,MATCH(102,$B$29:$GQ$29,0))</f>
        <v>0</v>
      </c>
      <c r="CZ8">
        <f>INDEX($B$22:$GQ$22,MATCH(103,$B$29:$GQ$29,0))</f>
        <v>84.577913012400003</v>
      </c>
      <c r="DA8">
        <f>INDEX($B$22:$GQ$22,MATCH(104,$B$29:$GQ$29,0))</f>
        <v>213.02996467476001</v>
      </c>
      <c r="DB8">
        <f>INDEX($B$22:$GQ$22,MATCH(105,$B$29:$GQ$29,0))</f>
        <v>43.24791175475945</v>
      </c>
      <c r="DC8">
        <f>INDEX($B$22:$GQ$22,MATCH(106,$B$29:$GQ$29,0))</f>
        <v>52.302272047400002</v>
      </c>
      <c r="DD8">
        <f>INDEX($B$22:$GQ$22,MATCH(107,$B$29:$GQ$29,0))</f>
        <v>222.57871309000001</v>
      </c>
      <c r="DE8">
        <f>INDEX($B$22:$GQ$22,MATCH(108,$B$29:$GQ$29,0))</f>
        <v>167.74187124900001</v>
      </c>
      <c r="DF8">
        <f>INDEX($B$22:$GQ$22,MATCH(109,$B$29:$GQ$29,0))</f>
        <v>50.515630950077558</v>
      </c>
      <c r="DG8">
        <f>INDEX($B$22:$GQ$22,MATCH(110,$B$29:$GQ$29,0))</f>
        <v>43.787168113900002</v>
      </c>
      <c r="DH8">
        <f>INDEX($B$22:$GQ$22,MATCH(111,$B$29:$GQ$29,0))</f>
        <v>0</v>
      </c>
      <c r="DI8">
        <f>INDEX($B$22:$GQ$22,MATCH(112,$B$29:$GQ$29,0))</f>
        <v>70.537428166500007</v>
      </c>
      <c r="DJ8">
        <f>INDEX($B$22:$GQ$22,MATCH(113,$B$29:$GQ$29,0))</f>
        <v>0</v>
      </c>
      <c r="DK8">
        <f>INDEX($B$22:$GQ$22,MATCH(114,$B$29:$GQ$29,0))</f>
        <v>167.10322240432029</v>
      </c>
      <c r="DL8">
        <f>INDEX($B$22:$GQ$22,MATCH(115,$B$29:$GQ$29,0))</f>
        <v>70.890308732400001</v>
      </c>
      <c r="DM8">
        <f>INDEX($B$22:$GQ$22,MATCH(116,$B$29:$GQ$29,0))</f>
        <v>0</v>
      </c>
      <c r="DN8">
        <f>INDEX($B$22:$GQ$22,MATCH(117,$B$29:$GQ$29,0))</f>
        <v>7.7309901311899996</v>
      </c>
      <c r="DO8">
        <f>INDEX($B$22:$GQ$22,MATCH(118,$B$29:$GQ$29,0))</f>
        <v>11.36406994162234</v>
      </c>
      <c r="DP8">
        <f>INDEX($B$22:$GQ$22,MATCH(119,$B$29:$GQ$29,0))</f>
        <v>11.094501610822441</v>
      </c>
      <c r="DQ8">
        <f>INDEX($B$22:$GQ$22,MATCH(120,$B$29:$GQ$29,0))</f>
        <v>8.0925708148400002</v>
      </c>
      <c r="DR8">
        <f>INDEX($B$22:$GQ$22,MATCH(121,$B$29:$GQ$29,0))</f>
        <v>1.8890696923700001</v>
      </c>
      <c r="DS8">
        <f>INDEX($B$22:$GQ$22,MATCH(122,$B$29:$GQ$29,0))</f>
        <v>6.1009405066999998</v>
      </c>
      <c r="DT8">
        <f>INDEX($B$22:$GQ$22,MATCH(123,$B$29:$GQ$29,0))</f>
        <v>2.1437064312718959</v>
      </c>
      <c r="DU8">
        <f>INDEX($B$22:$GQ$22,MATCH(124,$B$29:$GQ$29,0))</f>
        <v>0.46723417790522082</v>
      </c>
      <c r="DV8">
        <f>INDEX($B$22:$GQ$22,MATCH(125,$B$29:$GQ$29,0))</f>
        <v>0</v>
      </c>
      <c r="DW8">
        <f>INDEX($B$22:$GQ$22,MATCH(126,$B$29:$GQ$29,0))</f>
        <v>0.72930991165692571</v>
      </c>
      <c r="DX8">
        <f>INDEX($B$22:$GQ$22,MATCH(127,$B$29:$GQ$29,0))</f>
        <v>0.26654030710377918</v>
      </c>
      <c r="DY8">
        <f>INDEX($B$22:$GQ$22,MATCH(128,$B$29:$GQ$29,0))</f>
        <v>0.14561557168100001</v>
      </c>
      <c r="DZ8">
        <f>INDEX($B$22:$GQ$22,MATCH(129,$B$29:$GQ$29,0))</f>
        <v>0</v>
      </c>
      <c r="EA8">
        <f>INDEX($B$22:$GQ$22,MATCH(130,$B$29:$GQ$29,0))</f>
        <v>4.0624645841598698E-3</v>
      </c>
      <c r="EB8">
        <f>INDEX($B$22:$GQ$22,MATCH(131,$B$29:$GQ$29,0))</f>
        <v>1.8210031991701299E-3</v>
      </c>
      <c r="EC8">
        <f>INDEX($B$22:$GQ$22,MATCH(132,$B$29:$GQ$29,0))</f>
        <v>0</v>
      </c>
      <c r="ED8">
        <f>INDEX($B$22:$GQ$22,MATCH(133,$B$29:$GQ$29,0))</f>
        <v>0</v>
      </c>
      <c r="EE8">
        <f>INDEX($B$22:$GQ$22,MATCH(134,$B$29:$GQ$29,0))</f>
        <v>0</v>
      </c>
      <c r="EF8">
        <f>INDEX($B$22:$GQ$22,MATCH(135,$B$29:$GQ$29,0))</f>
        <v>0</v>
      </c>
      <c r="EG8">
        <f>INDEX($B$22:$GQ$22,MATCH(136,$B$29:$GQ$29,0))</f>
        <v>0</v>
      </c>
      <c r="EH8">
        <f>INDEX($B$22:$GQ$22,MATCH(137,$B$29:$GQ$29,0))</f>
        <v>0</v>
      </c>
      <c r="EI8">
        <f>INDEX($B$22:$GQ$22,MATCH(138,$B$29:$GQ$29,0))</f>
        <v>0</v>
      </c>
      <c r="EJ8">
        <f>INDEX($B$22:$GQ$22,MATCH(139,$B$29:$GQ$29,0))</f>
        <v>0</v>
      </c>
      <c r="EK8">
        <f>INDEX($B$22:$GQ$22,MATCH(140,$B$29:$GQ$29,0))</f>
        <v>0</v>
      </c>
      <c r="EL8">
        <f>INDEX($B$22:$GQ$22,MATCH(141,$B$29:$GQ$29,0))</f>
        <v>0</v>
      </c>
      <c r="EM8">
        <f>INDEX($B$22:$GQ$22,MATCH(142,$B$29:$GQ$29,0))</f>
        <v>0</v>
      </c>
      <c r="EN8">
        <f>INDEX($B$22:$GQ$22,MATCH(143,$B$29:$GQ$29,0))</f>
        <v>0</v>
      </c>
      <c r="EO8">
        <f>INDEX($B$22:$GQ$22,MATCH(144,$B$29:$GQ$29,0))</f>
        <v>0</v>
      </c>
      <c r="EP8">
        <f>INDEX($B$22:$GQ$22,MATCH(145,$B$29:$GQ$29,0))</f>
        <v>0</v>
      </c>
      <c r="EQ8">
        <f>INDEX($B$22:$GQ$22,MATCH(146,$B$29:$GQ$29,0))</f>
        <v>0</v>
      </c>
      <c r="ER8">
        <f>INDEX($B$22:$GQ$22,MATCH(147,$B$29:$GQ$29,0))</f>
        <v>0</v>
      </c>
      <c r="ES8">
        <f>INDEX($B$22:$GQ$22,MATCH(148,$B$29:$GQ$29,0))</f>
        <v>0</v>
      </c>
      <c r="ET8">
        <f>INDEX($B$22:$GQ$22,MATCH(149,$B$29:$GQ$29,0))</f>
        <v>0</v>
      </c>
      <c r="EU8">
        <f>INDEX($B$22:$GQ$22,MATCH(150,$B$29:$GQ$29,0))</f>
        <v>0</v>
      </c>
      <c r="EV8">
        <f>INDEX($B$22:$GQ$22,MATCH(151,$B$29:$GQ$29,0))</f>
        <v>0</v>
      </c>
      <c r="EW8">
        <f>INDEX($B$22:$GQ$22,MATCH(152,$B$29:$GQ$29,0))</f>
        <v>0</v>
      </c>
      <c r="EX8">
        <f>INDEX($B$22:$GQ$22,MATCH(153,$B$29:$GQ$29,0))</f>
        <v>0</v>
      </c>
      <c r="EY8">
        <f>INDEX($B$22:$GQ$22,MATCH(154,$B$29:$GQ$29,0))</f>
        <v>0</v>
      </c>
      <c r="EZ8">
        <f>INDEX($B$22:$GQ$22,MATCH(155,$B$29:$GQ$29,0))</f>
        <v>0</v>
      </c>
      <c r="FA8">
        <f>INDEX($B$22:$GQ$22,MATCH(156,$B$29:$GQ$29,0))</f>
        <v>0</v>
      </c>
      <c r="FB8">
        <f>INDEX($B$22:$GQ$22,MATCH(157,$B$29:$GQ$29,0))</f>
        <v>0</v>
      </c>
      <c r="FC8">
        <f>INDEX($B$22:$GQ$22,MATCH(158,$B$29:$GQ$29,0))</f>
        <v>0</v>
      </c>
      <c r="FD8">
        <f>INDEX($B$22:$GQ$22,MATCH(159,$B$29:$GQ$29,0))</f>
        <v>0</v>
      </c>
      <c r="FE8">
        <f>INDEX($B$22:$GQ$22,MATCH(160,$B$29:$GQ$29,0))</f>
        <v>0</v>
      </c>
      <c r="FF8">
        <f>INDEX($B$22:$GQ$22,MATCH(161,$B$29:$GQ$29,0))</f>
        <v>0</v>
      </c>
      <c r="FG8">
        <f>INDEX($B$22:$GQ$22,MATCH(162,$B$29:$GQ$29,0))</f>
        <v>0</v>
      </c>
      <c r="FH8">
        <f>INDEX($B$22:$GQ$22,MATCH(163,$B$29:$GQ$29,0))</f>
        <v>0</v>
      </c>
      <c r="FI8">
        <f>INDEX($B$22:$GQ$22,MATCH(164,$B$29:$GQ$29,0))</f>
        <v>0</v>
      </c>
      <c r="FJ8">
        <f>INDEX($B$22:$GQ$22,MATCH(165,$B$29:$GQ$29,0))</f>
        <v>0</v>
      </c>
      <c r="FK8">
        <f>INDEX($B$22:$GQ$22,MATCH(166,$B$29:$GQ$29,0))</f>
        <v>0</v>
      </c>
      <c r="FL8">
        <f>INDEX($B$22:$GQ$22,MATCH(167,$B$29:$GQ$29,0))</f>
        <v>0</v>
      </c>
      <c r="FM8">
        <f>INDEX($B$22:$GQ$22,MATCH(168,$B$29:$GQ$29,0))</f>
        <v>0</v>
      </c>
      <c r="FN8">
        <f>INDEX($B$22:$GQ$22,MATCH(169,$B$29:$GQ$29,0))</f>
        <v>0</v>
      </c>
      <c r="FO8">
        <f>INDEX($B$22:$GQ$22,MATCH(170,$B$29:$GQ$29,0))</f>
        <v>0</v>
      </c>
      <c r="FP8">
        <f>INDEX($B$22:$GQ$22,MATCH(171,$B$29:$GQ$29,0))</f>
        <v>0</v>
      </c>
      <c r="FQ8">
        <f>INDEX($B$22:$GQ$22,MATCH(172,$B$29:$GQ$29,0))</f>
        <v>0</v>
      </c>
      <c r="FR8">
        <f>INDEX($B$22:$GQ$22,MATCH(173,$B$29:$GQ$29,0))</f>
        <v>0</v>
      </c>
      <c r="FS8">
        <f>INDEX($B$22:$GQ$22,MATCH(174,$B$29:$GQ$29,0))</f>
        <v>0</v>
      </c>
      <c r="FT8">
        <f>INDEX($B$22:$GQ$22,MATCH(175,$B$29:$GQ$29,0))</f>
        <v>0</v>
      </c>
      <c r="FU8">
        <f>INDEX($B$22:$GQ$22,MATCH(176,$B$29:$GQ$29,0))</f>
        <v>0</v>
      </c>
      <c r="FV8">
        <f>INDEX($B$22:$GQ$22,MATCH(177,$B$29:$GQ$29,0))</f>
        <v>0</v>
      </c>
      <c r="FW8">
        <f>INDEX($B$22:$GQ$22,MATCH(178,$B$29:$GQ$29,0))</f>
        <v>0</v>
      </c>
      <c r="FX8">
        <f>INDEX($B$22:$GQ$22,MATCH(179,$B$29:$GQ$29,0))</f>
        <v>0</v>
      </c>
      <c r="FY8">
        <f>INDEX($B$22:$GQ$22,MATCH(180,$B$29:$GQ$29,0))</f>
        <v>0</v>
      </c>
      <c r="FZ8">
        <f>INDEX($B$22:$GQ$22,MATCH(181,$B$29:$GQ$29,0))</f>
        <v>0</v>
      </c>
      <c r="GA8">
        <f>INDEX($B$22:$GQ$22,MATCH(182,$B$29:$GQ$29,0))</f>
        <v>0</v>
      </c>
      <c r="GB8">
        <f>INDEX($B$22:$GQ$22,MATCH(183,$B$29:$GQ$29,0))</f>
        <v>0</v>
      </c>
      <c r="GC8">
        <f>INDEX($B$22:$GQ$22,MATCH(184,$B$29:$GQ$29,0))</f>
        <v>0</v>
      </c>
      <c r="GD8">
        <f>INDEX($B$22:$GQ$22,MATCH(185,$B$29:$GQ$29,0))</f>
        <v>0</v>
      </c>
      <c r="GE8">
        <f>INDEX($B$22:$GQ$22,MATCH(186,$B$29:$GQ$29,0))</f>
        <v>0</v>
      </c>
      <c r="GF8">
        <f>INDEX($B$22:$GQ$22,MATCH(187,$B$29:$GQ$29,0))</f>
        <v>0</v>
      </c>
      <c r="GG8">
        <f>INDEX($B$22:$GQ$22,MATCH(188,$B$29:$GQ$29,0))</f>
        <v>0</v>
      </c>
      <c r="GH8">
        <f>INDEX($B$22:$GQ$22,MATCH(189,$B$29:$GQ$29,0))</f>
        <v>0</v>
      </c>
      <c r="GI8">
        <f>INDEX($B$22:$GQ$22,MATCH(190,$B$29:$GQ$29,0))</f>
        <v>0</v>
      </c>
      <c r="GJ8">
        <f>INDEX($B$22:$GQ$22,MATCH(191,$B$29:$GQ$29,0))</f>
        <v>0</v>
      </c>
      <c r="GK8">
        <f>INDEX($B$22:$GQ$22,MATCH(192,$B$29:$GQ$29,0))</f>
        <v>0</v>
      </c>
      <c r="GL8">
        <f>INDEX($B$22:$GQ$22,MATCH(193,$B$29:$GQ$29,0))</f>
        <v>0</v>
      </c>
      <c r="GM8">
        <f>INDEX($B$22:$GQ$22,MATCH(194,$B$29:$GQ$29,0))</f>
        <v>0</v>
      </c>
      <c r="GN8">
        <f>INDEX($B$22:$GQ$22,MATCH(195,$B$29:$GQ$29,0))</f>
        <v>0</v>
      </c>
      <c r="GO8">
        <f>INDEX($B$22:$GQ$22,MATCH(196,$B$29:$GQ$29,0))</f>
        <v>0</v>
      </c>
      <c r="GP8">
        <f>INDEX($B$22:$GQ$22,MATCH(197,$B$29:$GQ$29,0))</f>
        <v>0</v>
      </c>
      <c r="GQ8">
        <f>INDEX($B$22:$GQ$22,MATCH(198,$B$29:$GQ$29,0))</f>
        <v>0</v>
      </c>
      <c r="GR8">
        <f>INDEX($GR$22:$HC$22,MATCH(1,$GR$30:$HC$30,0))</f>
        <v>879887.65012239758</v>
      </c>
      <c r="GS8">
        <f>INDEX($GR$22:$HC$22,MATCH(2,$GR$30:$HC$30,0))</f>
        <v>348068.80637080298</v>
      </c>
      <c r="GT8">
        <f>INDEX($GR$22:$HC$22,MATCH(3,$GR$30:$HC$30,0))</f>
        <v>76311.734081727249</v>
      </c>
      <c r="GU8">
        <f>INDEX($GR$22:$HC$22,MATCH(4,$GR$30:$HC$30,0))</f>
        <v>115961.4466882009</v>
      </c>
      <c r="GV8">
        <f>INDEX($GR$22:$HC$22,MATCH(5,$GR$30:$HC$30,0))</f>
        <v>35754.451946233312</v>
      </c>
      <c r="GW8">
        <f>INDEX($GR$22:$HC$22,MATCH(6,$GR$30:$HC$30,0))</f>
        <v>31083.776765543069</v>
      </c>
      <c r="GX8">
        <f>INDEX($GR$22:$HC$22,MATCH(7,$GR$30:$HC$30,0))</f>
        <v>5050.4413716326299</v>
      </c>
      <c r="GY8">
        <f>INDEX($GR$22:$HC$22,MATCH(8,$GR$30:$HC$30,0))</f>
        <v>8862.9789436519168</v>
      </c>
      <c r="GZ8">
        <f>INDEX($GR$22:$HC$22,MATCH(9,$GR$30:$HC$30,0))</f>
        <v>8625.6836483218303</v>
      </c>
      <c r="HA8">
        <f>INDEX($GR$22:$HC$22,MATCH(10,$GR$30:$HC$30,0))</f>
        <v>83954.164852629998</v>
      </c>
      <c r="HB8">
        <f>INDEX($GR$22:$HC$22,MATCH(11,$GR$30:$HC$30,0))</f>
        <v>10307.068231872499</v>
      </c>
      <c r="HC8">
        <f>INDEX($GR$22:$HC$22,MATCH(12,$GR$30:$HC$30,0))</f>
        <v>5617.0054188691001</v>
      </c>
    </row>
    <row r="9" spans="1:211" x14ac:dyDescent="0.45">
      <c r="A9" s="1" t="s">
        <v>8</v>
      </c>
      <c r="B9">
        <f>INDEX($B$23:$GQ$23,MATCH(1,$B$29:$GQ$29,0))</f>
        <v>7052152409.3627253</v>
      </c>
      <c r="C9">
        <f>INDEX($B$23:$GQ$23,MATCH(2,$B$29:$GQ$29,0))</f>
        <v>16263842952.901331</v>
      </c>
      <c r="D9">
        <f>INDEX($B$23:$GQ$23,MATCH(3,$B$29:$GQ$29,0))</f>
        <v>1574757811.7050381</v>
      </c>
      <c r="E9">
        <f>INDEX($B$23:$GQ$23,MATCH(4,$B$29:$GQ$29,0))</f>
        <v>13010747562.395069</v>
      </c>
      <c r="F9">
        <f>INDEX($B$23:$GQ$23,MATCH(5,$B$29:$GQ$29,0))</f>
        <v>6017165391.4940624</v>
      </c>
      <c r="G9">
        <f>INDEX($B$23:$GQ$23,MATCH(6,$B$29:$GQ$29,0))</f>
        <v>9791202057.2310848</v>
      </c>
      <c r="H9">
        <f>INDEX($B$23:$GQ$23,MATCH(7,$B$29:$GQ$29,0))</f>
        <v>178206255.59197849</v>
      </c>
      <c r="I9">
        <f>INDEX($B$23:$GQ$23,MATCH(8,$B$29:$GQ$29,0))</f>
        <v>2271722517.1765089</v>
      </c>
      <c r="J9">
        <f>INDEX($B$23:$GQ$23,MATCH(9,$B$29:$GQ$29,0))</f>
        <v>5803761498.4719887</v>
      </c>
      <c r="K9">
        <f>INDEX($B$23:$GQ$23,MATCH(10,$B$29:$GQ$29,0))</f>
        <v>191827977.41867331</v>
      </c>
      <c r="L9">
        <f>INDEX($B$23:$GQ$23,MATCH(11,$B$29:$GQ$29,0))</f>
        <v>6669056202.5699797</v>
      </c>
      <c r="M9">
        <f>INDEX($B$23:$GQ$23,MATCH(12,$B$29:$GQ$29,0))</f>
        <v>513808772.95584321</v>
      </c>
      <c r="N9">
        <f>INDEX($B$23:$GQ$23,MATCH(13,$B$29:$GQ$29,0))</f>
        <v>6438829639.2709427</v>
      </c>
      <c r="O9">
        <f>INDEX($B$23:$GQ$23,MATCH(14,$B$29:$GQ$29,0))</f>
        <v>5340394217.3979902</v>
      </c>
      <c r="P9">
        <f>INDEX($B$23:$GQ$23,MATCH(15,$B$29:$GQ$29,0))</f>
        <v>1798774903.6363969</v>
      </c>
      <c r="Q9">
        <f>INDEX($B$23:$GQ$23,MATCH(16,$B$29:$GQ$29,0))</f>
        <v>2171086698.473465</v>
      </c>
      <c r="R9">
        <f>INDEX($B$23:$GQ$23,MATCH(17,$B$29:$GQ$29,0))</f>
        <v>3403670571.4618878</v>
      </c>
      <c r="S9">
        <f>INDEX($B$23:$GQ$23,MATCH(18,$B$29:$GQ$29,0))</f>
        <v>2643059091.60501</v>
      </c>
      <c r="T9">
        <f>INDEX($B$23:$GQ$23,MATCH(19,$B$29:$GQ$29,0))</f>
        <v>1919417754.6292591</v>
      </c>
      <c r="U9">
        <f>INDEX($B$23:$GQ$23,MATCH(20,$B$29:$GQ$29,0))</f>
        <v>2802820976.454155</v>
      </c>
      <c r="V9">
        <f>INDEX($B$23:$GQ$23,MATCH(21,$B$29:$GQ$29,0))</f>
        <v>876825702.93985403</v>
      </c>
      <c r="W9">
        <f>INDEX($B$23:$GQ$23,MATCH(22,$B$29:$GQ$29,0))</f>
        <v>2229454306.3130269</v>
      </c>
      <c r="X9">
        <f>INDEX($B$23:$GQ$23,MATCH(23,$B$29:$GQ$29,0))</f>
        <v>1520425088.916513</v>
      </c>
      <c r="Y9">
        <f>INDEX($B$23:$GQ$23,MATCH(24,$B$29:$GQ$29,0))</f>
        <v>1404497876.0236211</v>
      </c>
      <c r="Z9">
        <f>INDEX($B$23:$GQ$23,MATCH(25,$B$29:$GQ$29,0))</f>
        <v>1675727031.240243</v>
      </c>
      <c r="AA9">
        <f>INDEX($B$23:$GQ$23,MATCH(26,$B$29:$GQ$29,0))</f>
        <v>216005819.91979721</v>
      </c>
      <c r="AB9">
        <f>INDEX($B$23:$GQ$23,MATCH(27,$B$29:$GQ$29,0))</f>
        <v>608055224.63576829</v>
      </c>
      <c r="AC9">
        <f>INDEX($B$23:$GQ$23,MATCH(28,$B$29:$GQ$29,0))</f>
        <v>316024118.80411911</v>
      </c>
      <c r="AD9">
        <f>INDEX($B$23:$GQ$23,MATCH(29,$B$29:$GQ$29,0))</f>
        <v>230978554.80014551</v>
      </c>
      <c r="AE9">
        <f>INDEX($B$23:$GQ$23,MATCH(30,$B$29:$GQ$29,0))</f>
        <v>2607790954.660183</v>
      </c>
      <c r="AF9">
        <f>INDEX($B$23:$GQ$23,MATCH(31,$B$29:$GQ$29,0))</f>
        <v>91460351.279038519</v>
      </c>
      <c r="AG9">
        <f>INDEX($B$23:$GQ$23,MATCH(32,$B$29:$GQ$29,0))</f>
        <v>929149870.81044388</v>
      </c>
      <c r="AH9">
        <f>INDEX($B$23:$GQ$23,MATCH(33,$B$29:$GQ$29,0))</f>
        <v>2358317520.4469891</v>
      </c>
      <c r="AI9">
        <f>INDEX($B$23:$GQ$23,MATCH(34,$B$29:$GQ$29,0))</f>
        <v>2194278055.730248</v>
      </c>
      <c r="AJ9">
        <f>INDEX($B$23:$GQ$23,MATCH(35,$B$29:$GQ$29,0))</f>
        <v>531375181.28243887</v>
      </c>
      <c r="AK9">
        <f>INDEX($B$23:$GQ$23,MATCH(36,$B$29:$GQ$29,0))</f>
        <v>2154159648.5873518</v>
      </c>
      <c r="AL9">
        <f>INDEX($B$23:$GQ$23,MATCH(37,$B$29:$GQ$29,0))</f>
        <v>1855357592.863003</v>
      </c>
      <c r="AM9">
        <f>INDEX($B$23:$GQ$23,MATCH(38,$B$29:$GQ$29,0))</f>
        <v>944767952.86846602</v>
      </c>
      <c r="AN9">
        <f>INDEX($B$23:$GQ$23,MATCH(39,$B$29:$GQ$29,0))</f>
        <v>353987429.55198312</v>
      </c>
      <c r="AO9">
        <f>INDEX($B$23:$GQ$23,MATCH(40,$B$29:$GQ$29,0))</f>
        <v>1343339018.3469551</v>
      </c>
      <c r="AP9">
        <f>INDEX($B$23:$GQ$23,MATCH(41,$B$29:$GQ$29,0))</f>
        <v>1453125006.4411409</v>
      </c>
      <c r="AQ9">
        <f>INDEX($B$23:$GQ$23,MATCH(42,$B$29:$GQ$29,0))</f>
        <v>639784535.28858614</v>
      </c>
      <c r="AR9">
        <f>INDEX($B$23:$GQ$23,MATCH(43,$B$29:$GQ$29,0))</f>
        <v>733402770.98391974</v>
      </c>
      <c r="AS9">
        <f>INDEX($B$23:$GQ$23,MATCH(44,$B$29:$GQ$29,0))</f>
        <v>154748907.8800649</v>
      </c>
      <c r="AT9">
        <f>INDEX($B$23:$GQ$23,MATCH(45,$B$29:$GQ$29,0))</f>
        <v>966684664.57424724</v>
      </c>
      <c r="AU9">
        <f>INDEX($B$23:$GQ$23,MATCH(46,$B$29:$GQ$29,0))</f>
        <v>726956426.02459574</v>
      </c>
      <c r="AV9">
        <f>INDEX($B$23:$GQ$23,MATCH(47,$B$29:$GQ$29,0))</f>
        <v>917597219.93868446</v>
      </c>
      <c r="AW9">
        <f>INDEX($B$23:$GQ$23,MATCH(48,$B$29:$GQ$29,0))</f>
        <v>816753840.57464147</v>
      </c>
      <c r="AX9">
        <f>INDEX($B$23:$GQ$23,MATCH(49,$B$29:$GQ$29,0))</f>
        <v>108241032.8549419</v>
      </c>
      <c r="AY9">
        <f>INDEX($B$23:$GQ$23,MATCH(50,$B$29:$GQ$29,0))</f>
        <v>818078054.13298392</v>
      </c>
      <c r="AZ9">
        <f>INDEX($B$23:$GQ$23,MATCH(51,$B$29:$GQ$29,0))</f>
        <v>758101330.19490087</v>
      </c>
      <c r="BA9">
        <f>INDEX($B$23:$GQ$23,MATCH(52,$B$29:$GQ$29,0))</f>
        <v>779168421.18594563</v>
      </c>
      <c r="BB9">
        <f>INDEX($B$23:$GQ$23,MATCH(53,$B$29:$GQ$29,0))</f>
        <v>494380533.83227152</v>
      </c>
      <c r="BC9">
        <f>INDEX($B$23:$GQ$23,MATCH(54,$B$29:$GQ$29,0))</f>
        <v>471884032.19864029</v>
      </c>
      <c r="BD9">
        <f>INDEX($B$23:$GQ$23,MATCH(55,$B$29:$GQ$29,0))</f>
        <v>459164547.43747967</v>
      </c>
      <c r="BE9">
        <f>INDEX($B$23:$GQ$23,MATCH(56,$B$29:$GQ$29,0))</f>
        <v>17719987.21297187</v>
      </c>
      <c r="BF9">
        <f>INDEX($B$23:$GQ$23,MATCH(57,$B$29:$GQ$29,0))</f>
        <v>75920364.060559541</v>
      </c>
      <c r="BG9">
        <f>INDEX($B$23:$GQ$23,MATCH(58,$B$29:$GQ$29,0))</f>
        <v>429636221.04279411</v>
      </c>
      <c r="BH9">
        <f>INDEX($B$23:$GQ$23,MATCH(59,$B$29:$GQ$29,0))</f>
        <v>67743572.301409021</v>
      </c>
      <c r="BI9">
        <f>INDEX($B$23:$GQ$23,MATCH(60,$B$29:$GQ$29,0))</f>
        <v>28931851.20002012</v>
      </c>
      <c r="BJ9">
        <f>INDEX($B$23:$GQ$23,MATCH(61,$B$29:$GQ$29,0))</f>
        <v>142387834.99027261</v>
      </c>
      <c r="BK9">
        <f>INDEX($B$23:$GQ$23,MATCH(62,$B$29:$GQ$29,0))</f>
        <v>353460867.38605642</v>
      </c>
      <c r="BL9">
        <f>INDEX($B$23:$GQ$23,MATCH(63,$B$29:$GQ$29,0))</f>
        <v>315868095.71526039</v>
      </c>
      <c r="BM9">
        <f>INDEX($B$23:$GQ$23,MATCH(64,$B$29:$GQ$29,0))</f>
        <v>230593817.8469412</v>
      </c>
      <c r="BN9">
        <f>INDEX($B$23:$GQ$23,MATCH(65,$B$29:$GQ$29,0))</f>
        <v>317751604.4921875</v>
      </c>
      <c r="BO9">
        <f>INDEX($B$23:$GQ$23,MATCH(66,$B$29:$GQ$29,0))</f>
        <v>23137300.158911481</v>
      </c>
      <c r="BP9">
        <f>INDEX($B$23:$GQ$23,MATCH(67,$B$29:$GQ$29,0))</f>
        <v>310511574.18928218</v>
      </c>
      <c r="BQ9">
        <f>INDEX($B$23:$GQ$23,MATCH(68,$B$29:$GQ$29,0))</f>
        <v>20345721.51485201</v>
      </c>
      <c r="BR9">
        <f>INDEX($B$23:$GQ$23,MATCH(69,$B$29:$GQ$29,0))</f>
        <v>39839536.371247724</v>
      </c>
      <c r="BS9">
        <f>INDEX($B$23:$GQ$23,MATCH(70,$B$29:$GQ$29,0))</f>
        <v>56421568.617604189</v>
      </c>
      <c r="BT9">
        <f>INDEX($B$23:$GQ$23,MATCH(71,$B$29:$GQ$29,0))</f>
        <v>275286565.72914708</v>
      </c>
      <c r="BU9">
        <f>INDEX($B$23:$GQ$23,MATCH(72,$B$29:$GQ$29,0))</f>
        <v>32550354.40911746</v>
      </c>
      <c r="BV9">
        <f>INDEX($B$23:$GQ$23,MATCH(73,$B$29:$GQ$29,0))</f>
        <v>183788874.91488981</v>
      </c>
      <c r="BW9">
        <f>INDEX($B$23:$GQ$23,MATCH(74,$B$29:$GQ$29,0))</f>
        <v>120234660.7971645</v>
      </c>
      <c r="BX9">
        <f>INDEX($B$23:$GQ$23,MATCH(75,$B$29:$GQ$29,0))</f>
        <v>103043078.19900741</v>
      </c>
      <c r="BY9">
        <f>INDEX($B$23:$GQ$23,MATCH(76,$B$29:$GQ$29,0))</f>
        <v>49310144.765707113</v>
      </c>
      <c r="BZ9">
        <f>INDEX($B$23:$GQ$23,MATCH(77,$B$29:$GQ$29,0))</f>
        <v>42115831.69256027</v>
      </c>
      <c r="CA9">
        <f>INDEX($B$23:$GQ$23,MATCH(78,$B$29:$GQ$29,0))</f>
        <v>22425961.158558618</v>
      </c>
      <c r="CB9">
        <f>INDEX($B$23:$GQ$23,MATCH(79,$B$29:$GQ$29,0))</f>
        <v>19501567.174850911</v>
      </c>
      <c r="CC9">
        <f>INDEX($B$23:$GQ$23,MATCH(80,$B$29:$GQ$29,0))</f>
        <v>79621745.855285868</v>
      </c>
      <c r="CD9">
        <f>INDEX($B$23:$GQ$23,MATCH(81,$B$29:$GQ$29,0))</f>
        <v>96036255.22082521</v>
      </c>
      <c r="CE9">
        <f>INDEX($B$23:$GQ$23,MATCH(82,$B$29:$GQ$29,0))</f>
        <v>73992979.342220932</v>
      </c>
      <c r="CF9">
        <f>INDEX($B$23:$GQ$23,MATCH(83,$B$29:$GQ$29,0))</f>
        <v>30722111.511048999</v>
      </c>
      <c r="CG9">
        <f>INDEX($B$23:$GQ$23,MATCH(84,$B$29:$GQ$29,0))</f>
        <v>33484539.739276689</v>
      </c>
      <c r="CH9">
        <f>INDEX($B$23:$GQ$23,MATCH(85,$B$29:$GQ$29,0))</f>
        <v>25705527.165688921</v>
      </c>
      <c r="CI9">
        <f>INDEX($B$23:$GQ$23,MATCH(86,$B$29:$GQ$29,0))</f>
        <v>87714249.47282508</v>
      </c>
      <c r="CJ9">
        <f>INDEX($B$23:$GQ$23,MATCH(87,$B$29:$GQ$29,0))</f>
        <v>5068818.104956992</v>
      </c>
      <c r="CK9">
        <f>INDEX($B$23:$GQ$23,MATCH(88,$B$29:$GQ$29,0))</f>
        <v>27641676.315244179</v>
      </c>
      <c r="CL9">
        <f>INDEX($B$23:$GQ$23,MATCH(89,$B$29:$GQ$29,0))</f>
        <v>54681035.433625117</v>
      </c>
      <c r="CM9">
        <f>INDEX($B$23:$GQ$23,MATCH(90,$B$29:$GQ$29,0))</f>
        <v>51192771.15095073</v>
      </c>
      <c r="CN9">
        <f>INDEX($B$23:$GQ$23,MATCH(91,$B$29:$GQ$29,0))</f>
        <v>46319953.681470737</v>
      </c>
      <c r="CO9">
        <f>INDEX($B$23:$GQ$23,MATCH(92,$B$29:$GQ$29,0))</f>
        <v>59983754.706042238</v>
      </c>
      <c r="CP9">
        <f>INDEX($B$23:$GQ$23,MATCH(93,$B$29:$GQ$29,0))</f>
        <v>17171856.755539902</v>
      </c>
      <c r="CQ9">
        <f>INDEX($B$23:$GQ$23,MATCH(94,$B$29:$GQ$29,0))</f>
        <v>43809525.92960456</v>
      </c>
      <c r="CR9">
        <f>INDEX($B$23:$GQ$23,MATCH(95,$B$29:$GQ$29,0))</f>
        <v>44669928.508943386</v>
      </c>
      <c r="CS9">
        <f>INDEX($B$23:$GQ$23,MATCH(96,$B$29:$GQ$29,0))</f>
        <v>1136554.6546632659</v>
      </c>
      <c r="CT9">
        <f>INDEX($B$23:$GQ$23,MATCH(97,$B$29:$GQ$29,0))</f>
        <v>24733936.953938439</v>
      </c>
      <c r="CU9">
        <f>INDEX($B$23:$GQ$23,MATCH(98,$B$29:$GQ$29,0))</f>
        <v>0</v>
      </c>
      <c r="CV9">
        <f>INDEX($B$23:$GQ$23,MATCH(99,$B$29:$GQ$29,0))</f>
        <v>11222683.75277664</v>
      </c>
      <c r="CW9">
        <f>INDEX($B$23:$GQ$23,MATCH(100,$B$29:$GQ$29,0))</f>
        <v>21076844.82482611</v>
      </c>
      <c r="CX9">
        <f>INDEX($B$23:$GQ$23,MATCH(101,$B$29:$GQ$29,0))</f>
        <v>20417069.89507452</v>
      </c>
      <c r="CY9">
        <f>INDEX($B$23:$GQ$23,MATCH(102,$B$29:$GQ$29,0))</f>
        <v>0</v>
      </c>
      <c r="CZ9">
        <f>INDEX($B$23:$GQ$23,MATCH(103,$B$29:$GQ$29,0))</f>
        <v>5768144.8577527981</v>
      </c>
      <c r="DA9">
        <f>INDEX($B$23:$GQ$23,MATCH(104,$B$29:$GQ$29,0))</f>
        <v>15221296.362458291</v>
      </c>
      <c r="DB9">
        <f>INDEX($B$23:$GQ$23,MATCH(105,$B$29:$GQ$29,0))</f>
        <v>5633376.9036260452</v>
      </c>
      <c r="DC9">
        <f>INDEX($B$23:$GQ$23,MATCH(106,$B$29:$GQ$29,0))</f>
        <v>3272353.3303555129</v>
      </c>
      <c r="DD9">
        <f>INDEX($B$23:$GQ$23,MATCH(107,$B$29:$GQ$29,0))</f>
        <v>13135260.173702439</v>
      </c>
      <c r="DE9">
        <f>INDEX($B$23:$GQ$23,MATCH(108,$B$29:$GQ$29,0))</f>
        <v>9645254.320365794</v>
      </c>
      <c r="DF9">
        <f>INDEX($B$23:$GQ$23,MATCH(109,$B$29:$GQ$29,0))</f>
        <v>4943761.5920854127</v>
      </c>
      <c r="DG9">
        <f>INDEX($B$23:$GQ$23,MATCH(110,$B$29:$GQ$29,0))</f>
        <v>3782137.2034846479</v>
      </c>
      <c r="DH9">
        <f>INDEX($B$23:$GQ$23,MATCH(111,$B$29:$GQ$29,0))</f>
        <v>0</v>
      </c>
      <c r="DI9">
        <f>INDEX($B$23:$GQ$23,MATCH(112,$B$29:$GQ$29,0))</f>
        <v>3750982.867825469</v>
      </c>
      <c r="DJ9">
        <f>INDEX($B$23:$GQ$23,MATCH(113,$B$29:$GQ$29,0))</f>
        <v>0</v>
      </c>
      <c r="DK9">
        <f>INDEX($B$23:$GQ$23,MATCH(114,$B$29:$GQ$29,0))</f>
        <v>1702100.0947476621</v>
      </c>
      <c r="DL9">
        <f>INDEX($B$23:$GQ$23,MATCH(115,$B$29:$GQ$29,0))</f>
        <v>3629156.8465684489</v>
      </c>
      <c r="DM9">
        <f>INDEX($B$23:$GQ$23,MATCH(116,$B$29:$GQ$29,0))</f>
        <v>0</v>
      </c>
      <c r="DN9">
        <f>INDEX($B$23:$GQ$23,MATCH(117,$B$29:$GQ$29,0))</f>
        <v>869814.87970836111</v>
      </c>
      <c r="DO9">
        <f>INDEX($B$23:$GQ$23,MATCH(118,$B$29:$GQ$29,0))</f>
        <v>1442046.5620769849</v>
      </c>
      <c r="DP9">
        <f>INDEX($B$23:$GQ$23,MATCH(119,$B$29:$GQ$29,0))</f>
        <v>940486.37702711136</v>
      </c>
      <c r="DQ9">
        <f>INDEX($B$23:$GQ$23,MATCH(120,$B$29:$GQ$29,0))</f>
        <v>937501.37524720002</v>
      </c>
      <c r="DR9">
        <f>INDEX($B$23:$GQ$23,MATCH(121,$B$29:$GQ$29,0))</f>
        <v>501927.71920153027</v>
      </c>
      <c r="DS9">
        <f>INDEX($B$23:$GQ$23,MATCH(122,$B$29:$GQ$29,0))</f>
        <v>333330.92819577019</v>
      </c>
      <c r="DT9">
        <f>INDEX($B$23:$GQ$23,MATCH(123,$B$29:$GQ$29,0))</f>
        <v>166702.24985038949</v>
      </c>
      <c r="DU9">
        <f>INDEX($B$23:$GQ$23,MATCH(124,$B$29:$GQ$29,0))</f>
        <v>64672.790346449081</v>
      </c>
      <c r="DV9">
        <f>INDEX($B$23:$GQ$23,MATCH(125,$B$29:$GQ$29,0))</f>
        <v>0</v>
      </c>
      <c r="DW9">
        <f>INDEX($B$23:$GQ$23,MATCH(126,$B$29:$GQ$29,0))</f>
        <v>12383.83920875585</v>
      </c>
      <c r="DX9">
        <f>INDEX($B$23:$GQ$23,MATCH(127,$B$29:$GQ$29,0))</f>
        <v>38392.088862086493</v>
      </c>
      <c r="DY9">
        <f>INDEX($B$23:$GQ$23,MATCH(128,$B$29:$GQ$29,0))</f>
        <v>19254.831611684229</v>
      </c>
      <c r="DZ9">
        <f>INDEX($B$23:$GQ$23,MATCH(129,$B$29:$GQ$29,0))</f>
        <v>0</v>
      </c>
      <c r="EA9">
        <f>INDEX($B$23:$GQ$23,MATCH(130,$B$29:$GQ$29,0))</f>
        <v>564.22940247149177</v>
      </c>
      <c r="EB9">
        <f>INDEX($B$23:$GQ$23,MATCH(131,$B$29:$GQ$29,0))</f>
        <v>198.28180519223949</v>
      </c>
      <c r="EC9">
        <f>INDEX($B$23:$GQ$23,MATCH(132,$B$29:$GQ$29,0))</f>
        <v>0</v>
      </c>
      <c r="ED9">
        <f>INDEX($B$23:$GQ$23,MATCH(133,$B$29:$GQ$29,0))</f>
        <v>0</v>
      </c>
      <c r="EE9">
        <f>INDEX($B$23:$GQ$23,MATCH(134,$B$29:$GQ$29,0))</f>
        <v>0</v>
      </c>
      <c r="EF9">
        <f>INDEX($B$23:$GQ$23,MATCH(135,$B$29:$GQ$29,0))</f>
        <v>0</v>
      </c>
      <c r="EG9">
        <f>INDEX($B$23:$GQ$23,MATCH(136,$B$29:$GQ$29,0))</f>
        <v>0</v>
      </c>
      <c r="EH9">
        <f>INDEX($B$23:$GQ$23,MATCH(137,$B$29:$GQ$29,0))</f>
        <v>0</v>
      </c>
      <c r="EI9">
        <f>INDEX($B$23:$GQ$23,MATCH(138,$B$29:$GQ$29,0))</f>
        <v>0</v>
      </c>
      <c r="EJ9">
        <f>INDEX($B$23:$GQ$23,MATCH(139,$B$29:$GQ$29,0))</f>
        <v>0</v>
      </c>
      <c r="EK9">
        <f>INDEX($B$23:$GQ$23,MATCH(140,$B$29:$GQ$29,0))</f>
        <v>0</v>
      </c>
      <c r="EL9">
        <f>INDEX($B$23:$GQ$23,MATCH(141,$B$29:$GQ$29,0))</f>
        <v>0</v>
      </c>
      <c r="EM9">
        <f>INDEX($B$23:$GQ$23,MATCH(142,$B$29:$GQ$29,0))</f>
        <v>0</v>
      </c>
      <c r="EN9">
        <f>INDEX($B$23:$GQ$23,MATCH(143,$B$29:$GQ$29,0))</f>
        <v>0</v>
      </c>
      <c r="EO9">
        <f>INDEX($B$23:$GQ$23,MATCH(144,$B$29:$GQ$29,0))</f>
        <v>0</v>
      </c>
      <c r="EP9">
        <f>INDEX($B$23:$GQ$23,MATCH(145,$B$29:$GQ$29,0))</f>
        <v>0</v>
      </c>
      <c r="EQ9">
        <f>INDEX($B$23:$GQ$23,MATCH(146,$B$29:$GQ$29,0))</f>
        <v>0</v>
      </c>
      <c r="ER9">
        <f>INDEX($B$23:$GQ$23,MATCH(147,$B$29:$GQ$29,0))</f>
        <v>0</v>
      </c>
      <c r="ES9">
        <f>INDEX($B$23:$GQ$23,MATCH(148,$B$29:$GQ$29,0))</f>
        <v>0</v>
      </c>
      <c r="ET9">
        <f>INDEX($B$23:$GQ$23,MATCH(149,$B$29:$GQ$29,0))</f>
        <v>0</v>
      </c>
      <c r="EU9">
        <f>INDEX($B$23:$GQ$23,MATCH(150,$B$29:$GQ$29,0))</f>
        <v>0</v>
      </c>
      <c r="EV9">
        <f>INDEX($B$23:$GQ$23,MATCH(151,$B$29:$GQ$29,0))</f>
        <v>0</v>
      </c>
      <c r="EW9">
        <f>INDEX($B$23:$GQ$23,MATCH(152,$B$29:$GQ$29,0))</f>
        <v>0</v>
      </c>
      <c r="EX9">
        <f>INDEX($B$23:$GQ$23,MATCH(153,$B$29:$GQ$29,0))</f>
        <v>0</v>
      </c>
      <c r="EY9">
        <f>INDEX($B$23:$GQ$23,MATCH(154,$B$29:$GQ$29,0))</f>
        <v>0</v>
      </c>
      <c r="EZ9">
        <f>INDEX($B$23:$GQ$23,MATCH(155,$B$29:$GQ$29,0))</f>
        <v>0</v>
      </c>
      <c r="FA9">
        <f>INDEX($B$23:$GQ$23,MATCH(156,$B$29:$GQ$29,0))</f>
        <v>0</v>
      </c>
      <c r="FB9">
        <f>INDEX($B$23:$GQ$23,MATCH(157,$B$29:$GQ$29,0))</f>
        <v>0</v>
      </c>
      <c r="FC9">
        <f>INDEX($B$23:$GQ$23,MATCH(158,$B$29:$GQ$29,0))</f>
        <v>0</v>
      </c>
      <c r="FD9">
        <f>INDEX($B$23:$GQ$23,MATCH(159,$B$29:$GQ$29,0))</f>
        <v>0</v>
      </c>
      <c r="FE9">
        <f>INDEX($B$23:$GQ$23,MATCH(160,$B$29:$GQ$29,0))</f>
        <v>0</v>
      </c>
      <c r="FF9">
        <f>INDEX($B$23:$GQ$23,MATCH(161,$B$29:$GQ$29,0))</f>
        <v>0</v>
      </c>
      <c r="FG9">
        <f>INDEX($B$23:$GQ$23,MATCH(162,$B$29:$GQ$29,0))</f>
        <v>0</v>
      </c>
      <c r="FH9">
        <f>INDEX($B$23:$GQ$23,MATCH(163,$B$29:$GQ$29,0))</f>
        <v>0</v>
      </c>
      <c r="FI9">
        <f>INDEX($B$23:$GQ$23,MATCH(164,$B$29:$GQ$29,0))</f>
        <v>0</v>
      </c>
      <c r="FJ9">
        <f>INDEX($B$23:$GQ$23,MATCH(165,$B$29:$GQ$29,0))</f>
        <v>0</v>
      </c>
      <c r="FK9">
        <f>INDEX($B$23:$GQ$23,MATCH(166,$B$29:$GQ$29,0))</f>
        <v>0</v>
      </c>
      <c r="FL9">
        <f>INDEX($B$23:$GQ$23,MATCH(167,$B$29:$GQ$29,0))</f>
        <v>0</v>
      </c>
      <c r="FM9">
        <f>INDEX($B$23:$GQ$23,MATCH(168,$B$29:$GQ$29,0))</f>
        <v>0</v>
      </c>
      <c r="FN9">
        <f>INDEX($B$23:$GQ$23,MATCH(169,$B$29:$GQ$29,0))</f>
        <v>0</v>
      </c>
      <c r="FO9">
        <f>INDEX($B$23:$GQ$23,MATCH(170,$B$29:$GQ$29,0))</f>
        <v>0</v>
      </c>
      <c r="FP9">
        <f>INDEX($B$23:$GQ$23,MATCH(171,$B$29:$GQ$29,0))</f>
        <v>0</v>
      </c>
      <c r="FQ9">
        <f>INDEX($B$23:$GQ$23,MATCH(172,$B$29:$GQ$29,0))</f>
        <v>0</v>
      </c>
      <c r="FR9">
        <f>INDEX($B$23:$GQ$23,MATCH(173,$B$29:$GQ$29,0))</f>
        <v>0</v>
      </c>
      <c r="FS9">
        <f>INDEX($B$23:$GQ$23,MATCH(174,$B$29:$GQ$29,0))</f>
        <v>0</v>
      </c>
      <c r="FT9">
        <f>INDEX($B$23:$GQ$23,MATCH(175,$B$29:$GQ$29,0))</f>
        <v>0</v>
      </c>
      <c r="FU9">
        <f>INDEX($B$23:$GQ$23,MATCH(176,$B$29:$GQ$29,0))</f>
        <v>0</v>
      </c>
      <c r="FV9">
        <f>INDEX($B$23:$GQ$23,MATCH(177,$B$29:$GQ$29,0))</f>
        <v>0</v>
      </c>
      <c r="FW9">
        <f>INDEX($B$23:$GQ$23,MATCH(178,$B$29:$GQ$29,0))</f>
        <v>0</v>
      </c>
      <c r="FX9">
        <f>INDEX($B$23:$GQ$23,MATCH(179,$B$29:$GQ$29,0))</f>
        <v>0</v>
      </c>
      <c r="FY9">
        <f>INDEX($B$23:$GQ$23,MATCH(180,$B$29:$GQ$29,0))</f>
        <v>0</v>
      </c>
      <c r="FZ9">
        <f>INDEX($B$23:$GQ$23,MATCH(181,$B$29:$GQ$29,0))</f>
        <v>0</v>
      </c>
      <c r="GA9">
        <f>INDEX($B$23:$GQ$23,MATCH(182,$B$29:$GQ$29,0))</f>
        <v>0</v>
      </c>
      <c r="GB9">
        <f>INDEX($B$23:$GQ$23,MATCH(183,$B$29:$GQ$29,0))</f>
        <v>0</v>
      </c>
      <c r="GC9">
        <f>INDEX($B$23:$GQ$23,MATCH(184,$B$29:$GQ$29,0))</f>
        <v>0</v>
      </c>
      <c r="GD9">
        <f>INDEX($B$23:$GQ$23,MATCH(185,$B$29:$GQ$29,0))</f>
        <v>0</v>
      </c>
      <c r="GE9">
        <f>INDEX($B$23:$GQ$23,MATCH(186,$B$29:$GQ$29,0))</f>
        <v>0</v>
      </c>
      <c r="GF9">
        <f>INDEX($B$23:$GQ$23,MATCH(187,$B$29:$GQ$29,0))</f>
        <v>0</v>
      </c>
      <c r="GG9">
        <f>INDEX($B$23:$GQ$23,MATCH(188,$B$29:$GQ$29,0))</f>
        <v>0</v>
      </c>
      <c r="GH9">
        <f>INDEX($B$23:$GQ$23,MATCH(189,$B$29:$GQ$29,0))</f>
        <v>0</v>
      </c>
      <c r="GI9">
        <f>INDEX($B$23:$GQ$23,MATCH(190,$B$29:$GQ$29,0))</f>
        <v>0</v>
      </c>
      <c r="GJ9">
        <f>INDEX($B$23:$GQ$23,MATCH(191,$B$29:$GQ$29,0))</f>
        <v>0</v>
      </c>
      <c r="GK9">
        <f>INDEX($B$23:$GQ$23,MATCH(192,$B$29:$GQ$29,0))</f>
        <v>0</v>
      </c>
      <c r="GL9">
        <f>INDEX($B$23:$GQ$23,MATCH(193,$B$29:$GQ$29,0))</f>
        <v>0</v>
      </c>
      <c r="GM9">
        <f>INDEX($B$23:$GQ$23,MATCH(194,$B$29:$GQ$29,0))</f>
        <v>0</v>
      </c>
      <c r="GN9">
        <f>INDEX($B$23:$GQ$23,MATCH(195,$B$29:$GQ$29,0))</f>
        <v>0</v>
      </c>
      <c r="GO9">
        <f>INDEX($B$23:$GQ$23,MATCH(196,$B$29:$GQ$29,0))</f>
        <v>0</v>
      </c>
      <c r="GP9">
        <f>INDEX($B$23:$GQ$23,MATCH(197,$B$29:$GQ$29,0))</f>
        <v>0</v>
      </c>
      <c r="GQ9">
        <f>INDEX($B$23:$GQ$23,MATCH(198,$B$29:$GQ$29,0))</f>
        <v>0</v>
      </c>
      <c r="GR9">
        <f>INDEX($GR$23:$HC$23,MATCH(1,$GR$30:$HC$30,0))</f>
        <v>48998812480.15239</v>
      </c>
      <c r="GS9">
        <f>INDEX($GR$23:$HC$23,MATCH(2,$GR$30:$HC$30,0))</f>
        <v>32538609592.458858</v>
      </c>
      <c r="GT9">
        <f>INDEX($GR$23:$HC$23,MATCH(3,$GR$30:$HC$30,0))</f>
        <v>10517480826.28989</v>
      </c>
      <c r="GU9">
        <f>INDEX($GR$23:$HC$23,MATCH(4,$GR$30:$HC$30,0))</f>
        <v>20803515112.60408</v>
      </c>
      <c r="GV9">
        <f>INDEX($GR$23:$HC$23,MATCH(5,$GR$30:$HC$30,0))</f>
        <v>9822313829.8638477</v>
      </c>
      <c r="GW9">
        <f>INDEX($GR$23:$HC$23,MATCH(6,$GR$30:$HC$30,0))</f>
        <v>9775451503.250927</v>
      </c>
      <c r="GX9">
        <f>INDEX($GR$23:$HC$23,MATCH(7,$GR$30:$HC$30,0))</f>
        <v>1574757811.7050381</v>
      </c>
      <c r="GY9">
        <f>INDEX($GR$23:$HC$23,MATCH(8,$GR$30:$HC$30,0))</f>
        <v>2544149905.7139101</v>
      </c>
      <c r="GZ9">
        <f>INDEX($GR$23:$HC$23,MATCH(9,$GR$30:$HC$30,0))</f>
        <v>2339466089.4779181</v>
      </c>
      <c r="HA9">
        <f>INDEX($GR$23:$HC$23,MATCH(10,$GR$30:$HC$30,0))</f>
        <v>5803761498.4719887</v>
      </c>
      <c r="HB9">
        <f>INDEX($GR$23:$HC$23,MATCH(11,$GR$30:$HC$30,0))</f>
        <v>1803843721.741354</v>
      </c>
      <c r="HC9">
        <f>INDEX($GR$23:$HC$23,MATCH(12,$GR$30:$HC$30,0))</f>
        <v>644255680.20637321</v>
      </c>
    </row>
    <row r="10" spans="1:211" x14ac:dyDescent="0.45">
      <c r="A10" s="1" t="s">
        <v>9</v>
      </c>
      <c r="B10">
        <f>INDEX($B$24:$GQ$24,MATCH(1,$B$29:$GQ$29,0))</f>
        <v>17508333246.163219</v>
      </c>
      <c r="C10">
        <f>INDEX($B$24:$GQ$24,MATCH(2,$B$29:$GQ$29,0))</f>
        <v>6626554897.3190546</v>
      </c>
      <c r="D10">
        <f>INDEX($B$24:$GQ$24,MATCH(3,$B$29:$GQ$29,0))</f>
        <v>16724821211.468781</v>
      </c>
      <c r="E10">
        <f>INDEX($B$24:$GQ$24,MATCH(4,$B$29:$GQ$29,0))</f>
        <v>4664169137.0959129</v>
      </c>
      <c r="F10">
        <f>INDEX($B$24:$GQ$24,MATCH(5,$B$29:$GQ$29,0))</f>
        <v>7656090879.8452492</v>
      </c>
      <c r="G10">
        <f>INDEX($B$24:$GQ$24,MATCH(6,$B$29:$GQ$29,0))</f>
        <v>4363299814.0317974</v>
      </c>
      <c r="H10">
        <f>INDEX($B$24:$GQ$24,MATCH(7,$B$29:$GQ$29,0))</f>
        <v>39825954.304601908</v>
      </c>
      <c r="I10">
        <f>INDEX($B$24:$GQ$24,MATCH(8,$B$29:$GQ$29,0))</f>
        <v>11045516936.12586</v>
      </c>
      <c r="J10">
        <f>INDEX($B$24:$GQ$24,MATCH(9,$B$29:$GQ$29,0))</f>
        <v>7862542129.8930254</v>
      </c>
      <c r="K10">
        <f>INDEX($B$24:$GQ$24,MATCH(10,$B$29:$GQ$29,0))</f>
        <v>41168351.800716661</v>
      </c>
      <c r="L10">
        <f>INDEX($B$24:$GQ$24,MATCH(11,$B$29:$GQ$29,0))</f>
        <v>3315294800.4698949</v>
      </c>
      <c r="M10">
        <f>INDEX($B$24:$GQ$24,MATCH(12,$B$29:$GQ$29,0))</f>
        <v>8993054843.1249981</v>
      </c>
      <c r="N10">
        <f>INDEX($B$24:$GQ$24,MATCH(13,$B$29:$GQ$29,0))</f>
        <v>1922558953.987654</v>
      </c>
      <c r="O10">
        <f>INDEX($B$24:$GQ$24,MATCH(14,$B$29:$GQ$29,0))</f>
        <v>3376850148.9607201</v>
      </c>
      <c r="P10">
        <f>INDEX($B$24:$GQ$24,MATCH(15,$B$29:$GQ$29,0))</f>
        <v>6819625924.0814877</v>
      </c>
      <c r="Q10">
        <f>INDEX($B$24:$GQ$24,MATCH(16,$B$29:$GQ$29,0))</f>
        <v>5782253964.8460464</v>
      </c>
      <c r="R10">
        <f>INDEX($B$24:$GQ$24,MATCH(17,$B$29:$GQ$29,0))</f>
        <v>742262087.6230551</v>
      </c>
      <c r="S10">
        <f>INDEX($B$24:$GQ$24,MATCH(18,$B$29:$GQ$29,0))</f>
        <v>2273921819.1877899</v>
      </c>
      <c r="T10">
        <f>INDEX($B$24:$GQ$24,MATCH(19,$B$29:$GQ$29,0))</f>
        <v>3174381761.6181078</v>
      </c>
      <c r="U10">
        <f>INDEX($B$24:$GQ$24,MATCH(20,$B$29:$GQ$29,0))</f>
        <v>2498677556.8271518</v>
      </c>
      <c r="V10">
        <f>INDEX($B$24:$GQ$24,MATCH(21,$B$29:$GQ$29,0))</f>
        <v>4338500701.7165155</v>
      </c>
      <c r="W10">
        <f>INDEX($B$24:$GQ$24,MATCH(22,$B$29:$GQ$29,0))</f>
        <v>1626224067.84091</v>
      </c>
      <c r="X10">
        <f>INDEX($B$24:$GQ$24,MATCH(23,$B$29:$GQ$29,0))</f>
        <v>3205842354.011158</v>
      </c>
      <c r="Y10">
        <f>INDEX($B$24:$GQ$24,MATCH(24,$B$29:$GQ$29,0))</f>
        <v>654479194.94805372</v>
      </c>
      <c r="Z10">
        <f>INDEX($B$24:$GQ$24,MATCH(25,$B$29:$GQ$29,0))</f>
        <v>324811711.79573327</v>
      </c>
      <c r="AA10">
        <f>INDEX($B$24:$GQ$24,MATCH(26,$B$29:$GQ$29,0))</f>
        <v>214994121.01335391</v>
      </c>
      <c r="AB10">
        <f>INDEX($B$24:$GQ$24,MATCH(27,$B$29:$GQ$29,0))</f>
        <v>3409629215.8626008</v>
      </c>
      <c r="AC10">
        <f>INDEX($B$24:$GQ$24,MATCH(28,$B$29:$GQ$29,0))</f>
        <v>64846433.173859157</v>
      </c>
      <c r="AD10">
        <f>INDEX($B$24:$GQ$24,MATCH(29,$B$29:$GQ$29,0))</f>
        <v>59700302.063526571</v>
      </c>
      <c r="AE10">
        <f>INDEX($B$24:$GQ$24,MATCH(30,$B$29:$GQ$29,0))</f>
        <v>645686803.38319945</v>
      </c>
      <c r="AF10">
        <f>INDEX($B$24:$GQ$24,MATCH(31,$B$29:$GQ$29,0))</f>
        <v>2167982734.7295609</v>
      </c>
      <c r="AG10">
        <f>INDEX($B$24:$GQ$24,MATCH(32,$B$29:$GQ$29,0))</f>
        <v>2288337770.3938079</v>
      </c>
      <c r="AH10">
        <f>INDEX($B$24:$GQ$24,MATCH(33,$B$29:$GQ$29,0))</f>
        <v>429535925.26990002</v>
      </c>
      <c r="AI10">
        <f>INDEX($B$24:$GQ$24,MATCH(34,$B$29:$GQ$29,0))</f>
        <v>593743206.10859931</v>
      </c>
      <c r="AJ10">
        <f>INDEX($B$24:$GQ$24,MATCH(35,$B$29:$GQ$29,0))</f>
        <v>391489976.0199855</v>
      </c>
      <c r="AK10">
        <f>INDEX($B$24:$GQ$24,MATCH(36,$B$29:$GQ$29,0))</f>
        <v>568559820.20559013</v>
      </c>
      <c r="AL10">
        <f>INDEX($B$24:$GQ$24,MATCH(37,$B$29:$GQ$29,0))</f>
        <v>592293065.68245423</v>
      </c>
      <c r="AM10">
        <f>INDEX($B$24:$GQ$24,MATCH(38,$B$29:$GQ$29,0))</f>
        <v>268063395.20044941</v>
      </c>
      <c r="AN10">
        <f>INDEX($B$24:$GQ$24,MATCH(39,$B$29:$GQ$29,0))</f>
        <v>1431629980.533046</v>
      </c>
      <c r="AO10">
        <f>INDEX($B$24:$GQ$24,MATCH(40,$B$29:$GQ$29,0))</f>
        <v>609216341.20395041</v>
      </c>
      <c r="AP10">
        <f>INDEX($B$24:$GQ$24,MATCH(41,$B$29:$GQ$29,0))</f>
        <v>452705635.11942852</v>
      </c>
      <c r="AQ10">
        <f>INDEX($B$24:$GQ$24,MATCH(42,$B$29:$GQ$29,0))</f>
        <v>1122446018.1469259</v>
      </c>
      <c r="AR10">
        <f>INDEX($B$24:$GQ$24,MATCH(43,$B$29:$GQ$29,0))</f>
        <v>684020819.34312451</v>
      </c>
      <c r="AS10">
        <f>INDEX($B$24:$GQ$24,MATCH(44,$B$29:$GQ$29,0))</f>
        <v>23656104.66299741</v>
      </c>
      <c r="AT10">
        <f>INDEX($B$24:$GQ$24,MATCH(45,$B$29:$GQ$29,0))</f>
        <v>406067280.66221529</v>
      </c>
      <c r="AU10">
        <f>INDEX($B$24:$GQ$24,MATCH(46,$B$29:$GQ$29,0))</f>
        <v>468245491.0558008</v>
      </c>
      <c r="AV10">
        <f>INDEX($B$24:$GQ$24,MATCH(47,$B$29:$GQ$29,0))</f>
        <v>262427974.60153821</v>
      </c>
      <c r="AW10">
        <f>INDEX($B$24:$GQ$24,MATCH(48,$B$29:$GQ$29,0))</f>
        <v>344701737.93170393</v>
      </c>
      <c r="AX10">
        <f>INDEX($B$24:$GQ$24,MATCH(49,$B$29:$GQ$29,0))</f>
        <v>67407079.710516363</v>
      </c>
      <c r="AY10">
        <f>INDEX($B$24:$GQ$24,MATCH(50,$B$29:$GQ$29,0))</f>
        <v>255415585.72596309</v>
      </c>
      <c r="AZ10">
        <f>INDEX($B$24:$GQ$24,MATCH(51,$B$29:$GQ$29,0))</f>
        <v>307845866.68800712</v>
      </c>
      <c r="BA10">
        <f>INDEX($B$24:$GQ$24,MATCH(52,$B$29:$GQ$29,0))</f>
        <v>66438290.154966973</v>
      </c>
      <c r="BB10">
        <f>INDEX($B$24:$GQ$24,MATCH(53,$B$29:$GQ$29,0))</f>
        <v>162098803.22381079</v>
      </c>
      <c r="BC10">
        <f>INDEX($B$24:$GQ$24,MATCH(54,$B$29:$GQ$29,0))</f>
        <v>106131593.80264729</v>
      </c>
      <c r="BD10">
        <f>INDEX($B$24:$GQ$24,MATCH(55,$B$29:$GQ$29,0))</f>
        <v>93080079.884383604</v>
      </c>
      <c r="BE10">
        <f>INDEX($B$24:$GQ$24,MATCH(56,$B$29:$GQ$29,0))</f>
        <v>11246522.60684512</v>
      </c>
      <c r="BF10">
        <f>INDEX($B$24:$GQ$24,MATCH(57,$B$29:$GQ$29,0))</f>
        <v>609736787.58022678</v>
      </c>
      <c r="BG10">
        <f>INDEX($B$24:$GQ$24,MATCH(58,$B$29:$GQ$29,0))</f>
        <v>198129481.0067651</v>
      </c>
      <c r="BH10">
        <f>INDEX($B$24:$GQ$24,MATCH(59,$B$29:$GQ$29,0))</f>
        <v>562326266.09397101</v>
      </c>
      <c r="BI10">
        <f>INDEX($B$24:$GQ$24,MATCH(60,$B$29:$GQ$29,0))</f>
        <v>479199972.25731492</v>
      </c>
      <c r="BJ10">
        <f>INDEX($B$24:$GQ$24,MATCH(61,$B$29:$GQ$29,0))</f>
        <v>361534132.96237081</v>
      </c>
      <c r="BK10">
        <f>INDEX($B$24:$GQ$24,MATCH(62,$B$29:$GQ$29,0))</f>
        <v>145091238.510912</v>
      </c>
      <c r="BL10">
        <f>INDEX($B$24:$GQ$24,MATCH(63,$B$29:$GQ$29,0))</f>
        <v>134217895.388814</v>
      </c>
      <c r="BM10">
        <f>INDEX($B$24:$GQ$24,MATCH(64,$B$29:$GQ$29,0))</f>
        <v>99215728.139262542</v>
      </c>
      <c r="BN10">
        <f>INDEX($B$24:$GQ$24,MATCH(65,$B$29:$GQ$29,0))</f>
        <v>97989970.751894653</v>
      </c>
      <c r="BO10">
        <f>INDEX($B$24:$GQ$24,MATCH(66,$B$29:$GQ$29,0))</f>
        <v>336766176.63803452</v>
      </c>
      <c r="BP10">
        <f>INDEX($B$24:$GQ$24,MATCH(67,$B$29:$GQ$29,0))</f>
        <v>60892867.934560157</v>
      </c>
      <c r="BQ10">
        <f>INDEX($B$24:$GQ$24,MATCH(68,$B$29:$GQ$29,0))</f>
        <v>327420756.13945019</v>
      </c>
      <c r="BR10">
        <f>INDEX($B$24:$GQ$24,MATCH(69,$B$29:$GQ$29,0))</f>
        <v>8084585.8056107834</v>
      </c>
      <c r="BS10">
        <f>INDEX($B$24:$GQ$24,MATCH(70,$B$29:$GQ$29,0))</f>
        <v>271946907.15070528</v>
      </c>
      <c r="BT10">
        <f>INDEX($B$24:$GQ$24,MATCH(71,$B$29:$GQ$29,0))</f>
        <v>7959705.1685925405</v>
      </c>
      <c r="BU10">
        <f>INDEX($B$24:$GQ$24,MATCH(72,$B$29:$GQ$29,0))</f>
        <v>85226742.041918129</v>
      </c>
      <c r="BV10">
        <f>INDEX($B$24:$GQ$24,MATCH(73,$B$29:$GQ$29,0))</f>
        <v>89147392.755825475</v>
      </c>
      <c r="BW10">
        <f>INDEX($B$24:$GQ$24,MATCH(74,$B$29:$GQ$29,0))</f>
        <v>43790674.198301546</v>
      </c>
      <c r="BX10">
        <f>INDEX($B$24:$GQ$24,MATCH(75,$B$29:$GQ$29,0))</f>
        <v>84928338.062269896</v>
      </c>
      <c r="BY10">
        <f>INDEX($B$24:$GQ$24,MATCH(76,$B$29:$GQ$29,0))</f>
        <v>203117117.21962869</v>
      </c>
      <c r="BZ10">
        <f>INDEX($B$24:$GQ$24,MATCH(77,$B$29:$GQ$29,0))</f>
        <v>164741175.88828391</v>
      </c>
      <c r="CA10">
        <f>INDEX($B$24:$GQ$24,MATCH(78,$B$29:$GQ$29,0))</f>
        <v>14104494.653368689</v>
      </c>
      <c r="CB10">
        <f>INDEX($B$24:$GQ$24,MATCH(79,$B$29:$GQ$29,0))</f>
        <v>170854273.9267149</v>
      </c>
      <c r="CC10">
        <f>INDEX($B$24:$GQ$24,MATCH(80,$B$29:$GQ$29,0))</f>
        <v>94189856.478769824</v>
      </c>
      <c r="CD10">
        <f>INDEX($B$24:$GQ$24,MATCH(81,$B$29:$GQ$29,0))</f>
        <v>27735026.252689369</v>
      </c>
      <c r="CE10">
        <f>INDEX($B$24:$GQ$24,MATCH(82,$B$29:$GQ$29,0))</f>
        <v>67264029.114319667</v>
      </c>
      <c r="CF10">
        <f>INDEX($B$24:$GQ$24,MATCH(83,$B$29:$GQ$29,0))</f>
        <v>96682173.274570838</v>
      </c>
      <c r="CG10">
        <f>INDEX($B$24:$GQ$24,MATCH(84,$B$29:$GQ$29,0))</f>
        <v>7158077.1019955426</v>
      </c>
      <c r="CH10">
        <f>INDEX($B$24:$GQ$24,MATCH(85,$B$29:$GQ$29,0))</f>
        <v>99780019.670274317</v>
      </c>
      <c r="CI10">
        <f>INDEX($B$24:$GQ$24,MATCH(86,$B$29:$GQ$29,0))</f>
        <v>26887796.011460811</v>
      </c>
      <c r="CJ10">
        <f>INDEX($B$24:$GQ$24,MATCH(87,$B$29:$GQ$29,0))</f>
        <v>9573577.5958863385</v>
      </c>
      <c r="CK10">
        <f>INDEX($B$24:$GQ$24,MATCH(88,$B$29:$GQ$29,0))</f>
        <v>74214735.20994316</v>
      </c>
      <c r="CL10">
        <f>INDEX($B$24:$GQ$24,MATCH(89,$B$29:$GQ$29,0))</f>
        <v>35149171.667390577</v>
      </c>
      <c r="CM10">
        <f>INDEX($B$24:$GQ$24,MATCH(90,$B$29:$GQ$29,0))</f>
        <v>33111053.60815784</v>
      </c>
      <c r="CN10">
        <f>INDEX($B$24:$GQ$24,MATCH(91,$B$29:$GQ$29,0))</f>
        <v>29563972.4758825</v>
      </c>
      <c r="CO10">
        <f>INDEX($B$24:$GQ$24,MATCH(92,$B$29:$GQ$29,0))</f>
        <v>15757941.633233789</v>
      </c>
      <c r="CP10">
        <f>INDEX($B$24:$GQ$24,MATCH(93,$B$29:$GQ$29,0))</f>
        <v>50749536.030400641</v>
      </c>
      <c r="CQ10">
        <f>INDEX($B$24:$GQ$24,MATCH(94,$B$29:$GQ$29,0))</f>
        <v>28286216.063150641</v>
      </c>
      <c r="CR10">
        <f>INDEX($B$24:$GQ$24,MATCH(95,$B$29:$GQ$29,0))</f>
        <v>25930216.581772842</v>
      </c>
      <c r="CS10">
        <f>INDEX($B$24:$GQ$24,MATCH(96,$B$29:$GQ$29,0))</f>
        <v>1229331.3796437969</v>
      </c>
      <c r="CT10">
        <f>INDEX($B$24:$GQ$24,MATCH(97,$B$29:$GQ$29,0))</f>
        <v>32900578.215837501</v>
      </c>
      <c r="CU10">
        <f>INDEX($B$24:$GQ$24,MATCH(98,$B$29:$GQ$29,0))</f>
        <v>0</v>
      </c>
      <c r="CV10">
        <f>INDEX($B$24:$GQ$24,MATCH(99,$B$29:$GQ$29,0))</f>
        <v>34939972.921297431</v>
      </c>
      <c r="CW10">
        <f>INDEX($B$24:$GQ$24,MATCH(100,$B$29:$GQ$29,0))</f>
        <v>14756350.972861459</v>
      </c>
      <c r="CX10">
        <f>INDEX($B$24:$GQ$24,MATCH(101,$B$29:$GQ$29,0))</f>
        <v>11904140.795943091</v>
      </c>
      <c r="CY10">
        <f>INDEX($B$24:$GQ$24,MATCH(102,$B$29:$GQ$29,0))</f>
        <v>0</v>
      </c>
      <c r="CZ10">
        <f>INDEX($B$24:$GQ$24,MATCH(103,$B$29:$GQ$29,0))</f>
        <v>21947086.958372109</v>
      </c>
      <c r="DA10">
        <f>INDEX($B$24:$GQ$24,MATCH(104,$B$29:$GQ$29,0))</f>
        <v>13020473.404237639</v>
      </c>
      <c r="DB10">
        <f>INDEX($B$24:$GQ$24,MATCH(105,$B$29:$GQ$29,0))</f>
        <v>1460553.289947974</v>
      </c>
      <c r="DC10">
        <f>INDEX($B$24:$GQ$24,MATCH(106,$B$29:$GQ$29,0))</f>
        <v>23359970.74448939</v>
      </c>
      <c r="DD10">
        <f>INDEX($B$24:$GQ$24,MATCH(107,$B$29:$GQ$29,0))</f>
        <v>8145634.6932891384</v>
      </c>
      <c r="DE10">
        <f>INDEX($B$24:$GQ$24,MATCH(108,$B$29:$GQ$29,0))</f>
        <v>6442815.421013684</v>
      </c>
      <c r="DF10">
        <f>INDEX($B$24:$GQ$24,MATCH(109,$B$29:$GQ$29,0))</f>
        <v>10548253.68473622</v>
      </c>
      <c r="DG10">
        <f>INDEX($B$24:$GQ$24,MATCH(110,$B$29:$GQ$29,0))</f>
        <v>4241382.3463208126</v>
      </c>
      <c r="DH10">
        <f>INDEX($B$24:$GQ$24,MATCH(111,$B$29:$GQ$29,0))</f>
        <v>0</v>
      </c>
      <c r="DI10">
        <f>INDEX($B$24:$GQ$24,MATCH(112,$B$29:$GQ$29,0))</f>
        <v>2309379.7277429332</v>
      </c>
      <c r="DJ10">
        <f>INDEX($B$24:$GQ$24,MATCH(113,$B$29:$GQ$29,0))</f>
        <v>0</v>
      </c>
      <c r="DK10">
        <f>INDEX($B$24:$GQ$24,MATCH(114,$B$29:$GQ$29,0))</f>
        <v>1317763.8329807001</v>
      </c>
      <c r="DL10">
        <f>INDEX($B$24:$GQ$24,MATCH(115,$B$29:$GQ$29,0))</f>
        <v>1214519.889724649</v>
      </c>
      <c r="DM10">
        <f>INDEX($B$24:$GQ$24,MATCH(116,$B$29:$GQ$29,0))</f>
        <v>0</v>
      </c>
      <c r="DN10">
        <f>INDEX($B$24:$GQ$24,MATCH(117,$B$29:$GQ$29,0))</f>
        <v>1316548.741315206</v>
      </c>
      <c r="DO10">
        <f>INDEX($B$24:$GQ$24,MATCH(118,$B$29:$GQ$29,0))</f>
        <v>491872.89363258443</v>
      </c>
      <c r="DP10">
        <f>INDEX($B$24:$GQ$24,MATCH(119,$B$29:$GQ$29,0))</f>
        <v>874435.23499074031</v>
      </c>
      <c r="DQ10">
        <f>INDEX($B$24:$GQ$24,MATCH(120,$B$29:$GQ$29,0))</f>
        <v>634447.9080531802</v>
      </c>
      <c r="DR10">
        <f>INDEX($B$24:$GQ$24,MATCH(121,$B$29:$GQ$29,0))</f>
        <v>36214.348623381193</v>
      </c>
      <c r="DS10">
        <f>INDEX($B$24:$GQ$24,MATCH(122,$B$29:$GQ$29,0))</f>
        <v>174373.27260209169</v>
      </c>
      <c r="DT10">
        <f>INDEX($B$24:$GQ$24,MATCH(123,$B$29:$GQ$29,0))</f>
        <v>33342.5821475134</v>
      </c>
      <c r="DU10">
        <f>INDEX($B$24:$GQ$24,MATCH(124,$B$29:$GQ$29,0))</f>
        <v>20753.20198224506</v>
      </c>
      <c r="DV10">
        <f>INDEX($B$24:$GQ$24,MATCH(125,$B$29:$GQ$29,0))</f>
        <v>0</v>
      </c>
      <c r="DW10">
        <f>INDEX($B$24:$GQ$24,MATCH(126,$B$29:$GQ$29,0))</f>
        <v>36490.075280260848</v>
      </c>
      <c r="DX10">
        <f>INDEX($B$24:$GQ$24,MATCH(127,$B$29:$GQ$29,0))</f>
        <v>7016.30212105385</v>
      </c>
      <c r="DY10">
        <f>INDEX($B$24:$GQ$24,MATCH(128,$B$29:$GQ$29,0))</f>
        <v>10632.21111738384</v>
      </c>
      <c r="DZ10">
        <f>INDEX($B$24:$GQ$24,MATCH(129,$B$29:$GQ$29,0))</f>
        <v>0</v>
      </c>
      <c r="EA10">
        <f>INDEX($B$24:$GQ$24,MATCH(130,$B$29:$GQ$29,0))</f>
        <v>1532.1113138683349</v>
      </c>
      <c r="EB10">
        <f>INDEX($B$24:$GQ$24,MATCH(131,$B$29:$GQ$29,0))</f>
        <v>106.66926869627341</v>
      </c>
      <c r="EC10">
        <f>INDEX($B$24:$GQ$24,MATCH(132,$B$29:$GQ$29,0))</f>
        <v>0</v>
      </c>
      <c r="ED10">
        <f>INDEX($B$24:$GQ$24,MATCH(133,$B$29:$GQ$29,0))</f>
        <v>0</v>
      </c>
      <c r="EE10">
        <f>INDEX($B$24:$GQ$24,MATCH(134,$B$29:$GQ$29,0))</f>
        <v>0</v>
      </c>
      <c r="EF10">
        <f>INDEX($B$24:$GQ$24,MATCH(135,$B$29:$GQ$29,0))</f>
        <v>0</v>
      </c>
      <c r="EG10">
        <f>INDEX($B$24:$GQ$24,MATCH(136,$B$29:$GQ$29,0))</f>
        <v>0</v>
      </c>
      <c r="EH10">
        <f>INDEX($B$24:$GQ$24,MATCH(137,$B$29:$GQ$29,0))</f>
        <v>0</v>
      </c>
      <c r="EI10">
        <f>INDEX($B$24:$GQ$24,MATCH(138,$B$29:$GQ$29,0))</f>
        <v>0</v>
      </c>
      <c r="EJ10">
        <f>INDEX($B$24:$GQ$24,MATCH(139,$B$29:$GQ$29,0))</f>
        <v>0</v>
      </c>
      <c r="EK10">
        <f>INDEX($B$24:$GQ$24,MATCH(140,$B$29:$GQ$29,0))</f>
        <v>0</v>
      </c>
      <c r="EL10">
        <f>INDEX($B$24:$GQ$24,MATCH(141,$B$29:$GQ$29,0))</f>
        <v>0</v>
      </c>
      <c r="EM10">
        <f>INDEX($B$24:$GQ$24,MATCH(142,$B$29:$GQ$29,0))</f>
        <v>0</v>
      </c>
      <c r="EN10">
        <f>INDEX($B$24:$GQ$24,MATCH(143,$B$29:$GQ$29,0))</f>
        <v>0</v>
      </c>
      <c r="EO10">
        <f>INDEX($B$24:$GQ$24,MATCH(144,$B$29:$GQ$29,0))</f>
        <v>0</v>
      </c>
      <c r="EP10">
        <f>INDEX($B$24:$GQ$24,MATCH(145,$B$29:$GQ$29,0))</f>
        <v>0</v>
      </c>
      <c r="EQ10">
        <f>INDEX($B$24:$GQ$24,MATCH(146,$B$29:$GQ$29,0))</f>
        <v>0</v>
      </c>
      <c r="ER10">
        <f>INDEX($B$24:$GQ$24,MATCH(147,$B$29:$GQ$29,0))</f>
        <v>0</v>
      </c>
      <c r="ES10">
        <f>INDEX($B$24:$GQ$24,MATCH(148,$B$29:$GQ$29,0))</f>
        <v>0</v>
      </c>
      <c r="ET10">
        <f>INDEX($B$24:$GQ$24,MATCH(149,$B$29:$GQ$29,0))</f>
        <v>0</v>
      </c>
      <c r="EU10">
        <f>INDEX($B$24:$GQ$24,MATCH(150,$B$29:$GQ$29,0))</f>
        <v>0</v>
      </c>
      <c r="EV10">
        <f>INDEX($B$24:$GQ$24,MATCH(151,$B$29:$GQ$29,0))</f>
        <v>0</v>
      </c>
      <c r="EW10">
        <f>INDEX($B$24:$GQ$24,MATCH(152,$B$29:$GQ$29,0))</f>
        <v>0</v>
      </c>
      <c r="EX10">
        <f>INDEX($B$24:$GQ$24,MATCH(153,$B$29:$GQ$29,0))</f>
        <v>0</v>
      </c>
      <c r="EY10">
        <f>INDEX($B$24:$GQ$24,MATCH(154,$B$29:$GQ$29,0))</f>
        <v>0</v>
      </c>
      <c r="EZ10">
        <f>INDEX($B$24:$GQ$24,MATCH(155,$B$29:$GQ$29,0))</f>
        <v>0</v>
      </c>
      <c r="FA10">
        <f>INDEX($B$24:$GQ$24,MATCH(156,$B$29:$GQ$29,0))</f>
        <v>0</v>
      </c>
      <c r="FB10">
        <f>INDEX($B$24:$GQ$24,MATCH(157,$B$29:$GQ$29,0))</f>
        <v>0</v>
      </c>
      <c r="FC10">
        <f>INDEX($B$24:$GQ$24,MATCH(158,$B$29:$GQ$29,0))</f>
        <v>0</v>
      </c>
      <c r="FD10">
        <f>INDEX($B$24:$GQ$24,MATCH(159,$B$29:$GQ$29,0))</f>
        <v>0</v>
      </c>
      <c r="FE10">
        <f>INDEX($B$24:$GQ$24,MATCH(160,$B$29:$GQ$29,0))</f>
        <v>0</v>
      </c>
      <c r="FF10">
        <f>INDEX($B$24:$GQ$24,MATCH(161,$B$29:$GQ$29,0))</f>
        <v>0</v>
      </c>
      <c r="FG10">
        <f>INDEX($B$24:$GQ$24,MATCH(162,$B$29:$GQ$29,0))</f>
        <v>0</v>
      </c>
      <c r="FH10">
        <f>INDEX($B$24:$GQ$24,MATCH(163,$B$29:$GQ$29,0))</f>
        <v>0</v>
      </c>
      <c r="FI10">
        <f>INDEX($B$24:$GQ$24,MATCH(164,$B$29:$GQ$29,0))</f>
        <v>0</v>
      </c>
      <c r="FJ10">
        <f>INDEX($B$24:$GQ$24,MATCH(165,$B$29:$GQ$29,0))</f>
        <v>0</v>
      </c>
      <c r="FK10">
        <f>INDEX($B$24:$GQ$24,MATCH(166,$B$29:$GQ$29,0))</f>
        <v>0</v>
      </c>
      <c r="FL10">
        <f>INDEX($B$24:$GQ$24,MATCH(167,$B$29:$GQ$29,0))</f>
        <v>0</v>
      </c>
      <c r="FM10">
        <f>INDEX($B$24:$GQ$24,MATCH(168,$B$29:$GQ$29,0))</f>
        <v>0</v>
      </c>
      <c r="FN10">
        <f>INDEX($B$24:$GQ$24,MATCH(169,$B$29:$GQ$29,0))</f>
        <v>0</v>
      </c>
      <c r="FO10">
        <f>INDEX($B$24:$GQ$24,MATCH(170,$B$29:$GQ$29,0))</f>
        <v>0</v>
      </c>
      <c r="FP10">
        <f>INDEX($B$24:$GQ$24,MATCH(171,$B$29:$GQ$29,0))</f>
        <v>0</v>
      </c>
      <c r="FQ10">
        <f>INDEX($B$24:$GQ$24,MATCH(172,$B$29:$GQ$29,0))</f>
        <v>0</v>
      </c>
      <c r="FR10">
        <f>INDEX($B$24:$GQ$24,MATCH(173,$B$29:$GQ$29,0))</f>
        <v>0</v>
      </c>
      <c r="FS10">
        <f>INDEX($B$24:$GQ$24,MATCH(174,$B$29:$GQ$29,0))</f>
        <v>0</v>
      </c>
      <c r="FT10">
        <f>INDEX($B$24:$GQ$24,MATCH(175,$B$29:$GQ$29,0))</f>
        <v>0</v>
      </c>
      <c r="FU10">
        <f>INDEX($B$24:$GQ$24,MATCH(176,$B$29:$GQ$29,0))</f>
        <v>0</v>
      </c>
      <c r="FV10">
        <f>INDEX($B$24:$GQ$24,MATCH(177,$B$29:$GQ$29,0))</f>
        <v>0</v>
      </c>
      <c r="FW10">
        <f>INDEX($B$24:$GQ$24,MATCH(178,$B$29:$GQ$29,0))</f>
        <v>0</v>
      </c>
      <c r="FX10">
        <f>INDEX($B$24:$GQ$24,MATCH(179,$B$29:$GQ$29,0))</f>
        <v>0</v>
      </c>
      <c r="FY10">
        <f>INDEX($B$24:$GQ$24,MATCH(180,$B$29:$GQ$29,0))</f>
        <v>0</v>
      </c>
      <c r="FZ10">
        <f>INDEX($B$24:$GQ$24,MATCH(181,$B$29:$GQ$29,0))</f>
        <v>0</v>
      </c>
      <c r="GA10">
        <f>INDEX($B$24:$GQ$24,MATCH(182,$B$29:$GQ$29,0))</f>
        <v>0</v>
      </c>
      <c r="GB10">
        <f>INDEX($B$24:$GQ$24,MATCH(183,$B$29:$GQ$29,0))</f>
        <v>0</v>
      </c>
      <c r="GC10">
        <f>INDEX($B$24:$GQ$24,MATCH(184,$B$29:$GQ$29,0))</f>
        <v>0</v>
      </c>
      <c r="GD10">
        <f>INDEX($B$24:$GQ$24,MATCH(185,$B$29:$GQ$29,0))</f>
        <v>0</v>
      </c>
      <c r="GE10">
        <f>INDEX($B$24:$GQ$24,MATCH(186,$B$29:$GQ$29,0))</f>
        <v>0</v>
      </c>
      <c r="GF10">
        <f>INDEX($B$24:$GQ$24,MATCH(187,$B$29:$GQ$29,0))</f>
        <v>0</v>
      </c>
      <c r="GG10">
        <f>INDEX($B$24:$GQ$24,MATCH(188,$B$29:$GQ$29,0))</f>
        <v>0</v>
      </c>
      <c r="GH10">
        <f>INDEX($B$24:$GQ$24,MATCH(189,$B$29:$GQ$29,0))</f>
        <v>0</v>
      </c>
      <c r="GI10">
        <f>INDEX($B$24:$GQ$24,MATCH(190,$B$29:$GQ$29,0))</f>
        <v>0</v>
      </c>
      <c r="GJ10">
        <f>INDEX($B$24:$GQ$24,MATCH(191,$B$29:$GQ$29,0))</f>
        <v>0</v>
      </c>
      <c r="GK10">
        <f>INDEX($B$24:$GQ$24,MATCH(192,$B$29:$GQ$29,0))</f>
        <v>0</v>
      </c>
      <c r="GL10">
        <f>INDEX($B$24:$GQ$24,MATCH(193,$B$29:$GQ$29,0))</f>
        <v>0</v>
      </c>
      <c r="GM10">
        <f>INDEX($B$24:$GQ$24,MATCH(194,$B$29:$GQ$29,0))</f>
        <v>0</v>
      </c>
      <c r="GN10">
        <f>INDEX($B$24:$GQ$24,MATCH(195,$B$29:$GQ$29,0))</f>
        <v>0</v>
      </c>
      <c r="GO10">
        <f>INDEX($B$24:$GQ$24,MATCH(196,$B$29:$GQ$29,0))</f>
        <v>0</v>
      </c>
      <c r="GP10">
        <f>INDEX($B$24:$GQ$24,MATCH(197,$B$29:$GQ$29,0))</f>
        <v>0</v>
      </c>
      <c r="GQ10">
        <f>INDEX($B$24:$GQ$24,MATCH(198,$B$29:$GQ$29,0))</f>
        <v>0</v>
      </c>
      <c r="GR10">
        <f>INDEX($GR$24:$HC$24,MATCH(1,$GR$30:$HC$30,0))</f>
        <v>21257345948.07119</v>
      </c>
      <c r="GS10">
        <f>INDEX($GR$24:$HC$24,MATCH(2,$GR$30:$HC$30,0))</f>
        <v>18845248849.2925</v>
      </c>
      <c r="GT10">
        <f>INDEX($GR$24:$HC$24,MATCH(3,$GR$30:$HC$30,0))</f>
        <v>4792048379.3938532</v>
      </c>
      <c r="GU10">
        <f>INDEX($GR$24:$HC$24,MATCH(4,$GR$30:$HC$30,0))</f>
        <v>11479956865.626221</v>
      </c>
      <c r="GV10">
        <f>INDEX($GR$24:$HC$24,MATCH(5,$GR$30:$HC$30,0))</f>
        <v>26415535374.594051</v>
      </c>
      <c r="GW10">
        <f>INDEX($GR$24:$HC$24,MATCH(6,$GR$30:$HC$30,0))</f>
        <v>20010232539.57552</v>
      </c>
      <c r="GX10">
        <f>INDEX($GR$24:$HC$24,MATCH(7,$GR$30:$HC$30,0))</f>
        <v>16724821211.468781</v>
      </c>
      <c r="GY10">
        <f>INDEX($GR$24:$HC$24,MATCH(8,$GR$30:$HC$30,0))</f>
        <v>11532457964.289921</v>
      </c>
      <c r="GZ10">
        <f>INDEX($GR$24:$HC$24,MATCH(9,$GR$30:$HC$30,0))</f>
        <v>11607843202.219839</v>
      </c>
      <c r="HA10">
        <f>INDEX($GR$24:$HC$24,MATCH(10,$GR$30:$HC$30,0))</f>
        <v>7862542129.8930254</v>
      </c>
      <c r="HB10">
        <f>INDEX($GR$24:$HC$24,MATCH(11,$GR$30:$HC$30,0))</f>
        <v>6829199501.6773739</v>
      </c>
      <c r="HC10">
        <f>INDEX($GR$24:$HC$24,MATCH(12,$GR$30:$HC$30,0))</f>
        <v>136985823.71526441</v>
      </c>
    </row>
    <row r="11" spans="1:211" x14ac:dyDescent="0.45">
      <c r="A11" s="1" t="s">
        <v>10</v>
      </c>
      <c r="B11">
        <f>INDEX($B$25:$GQ$25,MATCH(1,$B$29:$GQ$29,0))</f>
        <v>24560485655.52594</v>
      </c>
      <c r="C11">
        <f>INDEX($B$25:$GQ$25,MATCH(2,$B$29:$GQ$29,0))</f>
        <v>22890397850.22039</v>
      </c>
      <c r="D11">
        <f>INDEX($B$25:$GQ$25,MATCH(3,$B$29:$GQ$29,0))</f>
        <v>18299579023.17382</v>
      </c>
      <c r="E11">
        <f>INDEX($B$25:$GQ$25,MATCH(4,$B$29:$GQ$29,0))</f>
        <v>17674916699.49099</v>
      </c>
      <c r="F11">
        <f>INDEX($B$25:$GQ$25,MATCH(5,$B$29:$GQ$29,0))</f>
        <v>13673256271.33931</v>
      </c>
      <c r="G11">
        <f>INDEX($B$25:$GQ$25,MATCH(6,$B$29:$GQ$29,0))</f>
        <v>14154501871.26288</v>
      </c>
      <c r="H11">
        <f>INDEX($B$25:$GQ$25,MATCH(7,$B$29:$GQ$29,0))</f>
        <v>218032209.8965804</v>
      </c>
      <c r="I11">
        <f>INDEX($B$25:$GQ$25,MATCH(8,$B$29:$GQ$29,0))</f>
        <v>13317239453.30237</v>
      </c>
      <c r="J11">
        <f>INDEX($B$25:$GQ$25,MATCH(9,$B$29:$GQ$29,0))</f>
        <v>13666303628.365009</v>
      </c>
      <c r="K11">
        <f>INDEX($B$25:$GQ$25,MATCH(10,$B$29:$GQ$29,0))</f>
        <v>232996329.21939</v>
      </c>
      <c r="L11">
        <f>INDEX($B$25:$GQ$25,MATCH(11,$B$29:$GQ$29,0))</f>
        <v>9984351003.039875</v>
      </c>
      <c r="M11">
        <f>INDEX($B$25:$GQ$25,MATCH(12,$B$29:$GQ$29,0))</f>
        <v>9506863616.0808411</v>
      </c>
      <c r="N11">
        <f>INDEX($B$25:$GQ$25,MATCH(13,$B$29:$GQ$29,0))</f>
        <v>8361388593.2585964</v>
      </c>
      <c r="O11">
        <f>INDEX($B$25:$GQ$25,MATCH(14,$B$29:$GQ$29,0))</f>
        <v>8717244366.3587112</v>
      </c>
      <c r="P11">
        <f>INDEX($B$25:$GQ$25,MATCH(15,$B$29:$GQ$29,0))</f>
        <v>8618400827.7178841</v>
      </c>
      <c r="Q11">
        <f>INDEX($B$25:$GQ$25,MATCH(16,$B$29:$GQ$29,0))</f>
        <v>7953340663.3195114</v>
      </c>
      <c r="R11">
        <f>INDEX($B$25:$GQ$25,MATCH(17,$B$29:$GQ$29,0))</f>
        <v>4145932659.0849428</v>
      </c>
      <c r="S11">
        <f>INDEX($B$25:$GQ$25,MATCH(18,$B$29:$GQ$29,0))</f>
        <v>4916980910.7927999</v>
      </c>
      <c r="T11">
        <f>INDEX($B$25:$GQ$25,MATCH(19,$B$29:$GQ$29,0))</f>
        <v>5093799516.2473669</v>
      </c>
      <c r="U11">
        <f>INDEX($B$25:$GQ$25,MATCH(20,$B$29:$GQ$29,0))</f>
        <v>5301498533.2813072</v>
      </c>
      <c r="V11">
        <f>INDEX($B$25:$GQ$25,MATCH(21,$B$29:$GQ$29,0))</f>
        <v>5215326404.6563702</v>
      </c>
      <c r="W11">
        <f>INDEX($B$25:$GQ$25,MATCH(22,$B$29:$GQ$29,0))</f>
        <v>3855678374.1539369</v>
      </c>
      <c r="X11">
        <f>INDEX($B$25:$GQ$25,MATCH(23,$B$29:$GQ$29,0))</f>
        <v>4726267442.9276695</v>
      </c>
      <c r="Y11">
        <f>INDEX($B$25:$GQ$25,MATCH(24,$B$29:$GQ$29,0))</f>
        <v>2058977070.9716749</v>
      </c>
      <c r="Z11">
        <f>INDEX($B$25:$GQ$25,MATCH(25,$B$29:$GQ$29,0))</f>
        <v>2000538743.0359769</v>
      </c>
      <c r="AA11">
        <f>INDEX($B$25:$GQ$25,MATCH(26,$B$29:$GQ$29,0))</f>
        <v>430999940.93315113</v>
      </c>
      <c r="AB11">
        <f>INDEX($B$25:$GQ$25,MATCH(27,$B$29:$GQ$29,0))</f>
        <v>4017684440.4983702</v>
      </c>
      <c r="AC11">
        <f>INDEX($B$25:$GQ$25,MATCH(28,$B$29:$GQ$29,0))</f>
        <v>380870551.97797829</v>
      </c>
      <c r="AD11">
        <f>INDEX($B$25:$GQ$25,MATCH(29,$B$29:$GQ$29,0))</f>
        <v>290678856.86367202</v>
      </c>
      <c r="AE11">
        <f>INDEX($B$25:$GQ$25,MATCH(30,$B$29:$GQ$29,0))</f>
        <v>3253477758.0433831</v>
      </c>
      <c r="AF11">
        <f>INDEX($B$25:$GQ$25,MATCH(31,$B$29:$GQ$29,0))</f>
        <v>2259443086.0086002</v>
      </c>
      <c r="AG11">
        <f>INDEX($B$25:$GQ$25,MATCH(32,$B$29:$GQ$29,0))</f>
        <v>3217487641.2042518</v>
      </c>
      <c r="AH11">
        <f>INDEX($B$25:$GQ$25,MATCH(33,$B$29:$GQ$29,0))</f>
        <v>2787853445.7168889</v>
      </c>
      <c r="AI11">
        <f>INDEX($B$25:$GQ$25,MATCH(34,$B$29:$GQ$29,0))</f>
        <v>2788021261.8388481</v>
      </c>
      <c r="AJ11">
        <f>INDEX($B$25:$GQ$25,MATCH(35,$B$29:$GQ$29,0))</f>
        <v>922865157.30242443</v>
      </c>
      <c r="AK11">
        <f>INDEX($B$25:$GQ$25,MATCH(36,$B$29:$GQ$29,0))</f>
        <v>2722719468.792943</v>
      </c>
      <c r="AL11">
        <f>INDEX($B$25:$GQ$25,MATCH(37,$B$29:$GQ$29,0))</f>
        <v>2447650658.5454569</v>
      </c>
      <c r="AM11">
        <f>INDEX($B$25:$GQ$25,MATCH(38,$B$29:$GQ$29,0))</f>
        <v>1212831348.0689149</v>
      </c>
      <c r="AN11">
        <f>INDEX($B$25:$GQ$25,MATCH(39,$B$29:$GQ$29,0))</f>
        <v>1785617410.0850301</v>
      </c>
      <c r="AO11">
        <f>INDEX($B$25:$GQ$25,MATCH(40,$B$29:$GQ$29,0))</f>
        <v>1952555359.550905</v>
      </c>
      <c r="AP11">
        <f>INDEX($B$25:$GQ$25,MATCH(41,$B$29:$GQ$29,0))</f>
        <v>1905830641.560569</v>
      </c>
      <c r="AQ11">
        <f>INDEX($B$25:$GQ$25,MATCH(42,$B$29:$GQ$29,0))</f>
        <v>1762230553.4355121</v>
      </c>
      <c r="AR11">
        <f>INDEX($B$25:$GQ$25,MATCH(43,$B$29:$GQ$29,0))</f>
        <v>1417423590.327044</v>
      </c>
      <c r="AS11">
        <f>INDEX($B$25:$GQ$25,MATCH(44,$B$29:$GQ$29,0))</f>
        <v>178405012.5430623</v>
      </c>
      <c r="AT11">
        <f>INDEX($B$25:$GQ$25,MATCH(45,$B$29:$GQ$29,0))</f>
        <v>1372751945.2364631</v>
      </c>
      <c r="AU11">
        <f>INDEX($B$25:$GQ$25,MATCH(46,$B$29:$GQ$29,0))</f>
        <v>1195201917.0803969</v>
      </c>
      <c r="AV11">
        <f>INDEX($B$25:$GQ$25,MATCH(47,$B$29:$GQ$29,0))</f>
        <v>1180025194.5402229</v>
      </c>
      <c r="AW11">
        <f>INDEX($B$25:$GQ$25,MATCH(48,$B$29:$GQ$29,0))</f>
        <v>1161455578.506345</v>
      </c>
      <c r="AX11">
        <f>INDEX($B$25:$GQ$25,MATCH(49,$B$29:$GQ$29,0))</f>
        <v>175648112.56545821</v>
      </c>
      <c r="AY11">
        <f>INDEX($B$25:$GQ$25,MATCH(50,$B$29:$GQ$29,0))</f>
        <v>1073493639.858947</v>
      </c>
      <c r="AZ11">
        <f>INDEX($B$25:$GQ$25,MATCH(51,$B$29:$GQ$29,0))</f>
        <v>1065947196.882908</v>
      </c>
      <c r="BA11">
        <f>INDEX($B$25:$GQ$25,MATCH(52,$B$29:$GQ$29,0))</f>
        <v>845606711.34091258</v>
      </c>
      <c r="BB11">
        <f>INDEX($B$25:$GQ$25,MATCH(53,$B$29:$GQ$29,0))</f>
        <v>656479337.05608225</v>
      </c>
      <c r="BC11">
        <f>INDEX($B$25:$GQ$25,MATCH(54,$B$29:$GQ$29,0))</f>
        <v>578015626.0012877</v>
      </c>
      <c r="BD11">
        <f>INDEX($B$25:$GQ$25,MATCH(55,$B$29:$GQ$29,0))</f>
        <v>552244627.32186329</v>
      </c>
      <c r="BE11">
        <f>INDEX($B$25:$GQ$25,MATCH(56,$B$29:$GQ$29,0))</f>
        <v>28966509.819816981</v>
      </c>
      <c r="BF11">
        <f>INDEX($B$25:$GQ$25,MATCH(57,$B$29:$GQ$29,0))</f>
        <v>685657151.64078629</v>
      </c>
      <c r="BG11">
        <f>INDEX($B$25:$GQ$25,MATCH(58,$B$29:$GQ$29,0))</f>
        <v>627765702.04955924</v>
      </c>
      <c r="BH11">
        <f>INDEX($B$25:$GQ$25,MATCH(59,$B$29:$GQ$29,0))</f>
        <v>630069838.39538002</v>
      </c>
      <c r="BI11">
        <f>INDEX($B$25:$GQ$25,MATCH(60,$B$29:$GQ$29,0))</f>
        <v>508131823.457335</v>
      </c>
      <c r="BJ11">
        <f>INDEX($B$25:$GQ$25,MATCH(61,$B$29:$GQ$29,0))</f>
        <v>503921967.95264339</v>
      </c>
      <c r="BK11">
        <f>INDEX($B$25:$GQ$25,MATCH(62,$B$29:$GQ$29,0))</f>
        <v>498552105.89696842</v>
      </c>
      <c r="BL11">
        <f>INDEX($B$25:$GQ$25,MATCH(63,$B$29:$GQ$29,0))</f>
        <v>450085991.10407448</v>
      </c>
      <c r="BM11">
        <f>INDEX($B$25:$GQ$25,MATCH(64,$B$29:$GQ$29,0))</f>
        <v>329809545.98620367</v>
      </c>
      <c r="BN11">
        <f>INDEX($B$25:$GQ$25,MATCH(65,$B$29:$GQ$29,0))</f>
        <v>415741575.24408221</v>
      </c>
      <c r="BO11">
        <f>INDEX($B$25:$GQ$25,MATCH(66,$B$29:$GQ$29,0))</f>
        <v>359903476.79694593</v>
      </c>
      <c r="BP11">
        <f>INDEX($B$25:$GQ$25,MATCH(67,$B$29:$GQ$29,0))</f>
        <v>371404442.12384242</v>
      </c>
      <c r="BQ11">
        <f>INDEX($B$25:$GQ$25,MATCH(68,$B$29:$GQ$29,0))</f>
        <v>347766477.65430218</v>
      </c>
      <c r="BR11">
        <f>INDEX($B$25:$GQ$25,MATCH(69,$B$29:$GQ$29,0))</f>
        <v>47924122.176858507</v>
      </c>
      <c r="BS11">
        <f>INDEX($B$25:$GQ$25,MATCH(70,$B$29:$GQ$29,0))</f>
        <v>328368475.76830947</v>
      </c>
      <c r="BT11">
        <f>INDEX($B$25:$GQ$25,MATCH(71,$B$29:$GQ$29,0))</f>
        <v>283246270.89773959</v>
      </c>
      <c r="BU11">
        <f>INDEX($B$25:$GQ$25,MATCH(72,$B$29:$GQ$29,0))</f>
        <v>117777096.4510356</v>
      </c>
      <c r="BV11">
        <f>INDEX($B$25:$GQ$25,MATCH(73,$B$29:$GQ$29,0))</f>
        <v>272936267.67071527</v>
      </c>
      <c r="BW11">
        <f>INDEX($B$25:$GQ$25,MATCH(74,$B$29:$GQ$29,0))</f>
        <v>164025334.99546599</v>
      </c>
      <c r="BX11">
        <f>INDEX($B$25:$GQ$25,MATCH(75,$B$29:$GQ$29,0))</f>
        <v>187971416.26127729</v>
      </c>
      <c r="BY11">
        <f>INDEX($B$25:$GQ$25,MATCH(76,$B$29:$GQ$29,0))</f>
        <v>252427261.9853358</v>
      </c>
      <c r="BZ11">
        <f>INDEX($B$25:$GQ$25,MATCH(77,$B$29:$GQ$29,0))</f>
        <v>206857007.58084419</v>
      </c>
      <c r="CA11">
        <f>INDEX($B$25:$GQ$25,MATCH(78,$B$29:$GQ$29,0))</f>
        <v>36530455.811927304</v>
      </c>
      <c r="CB11">
        <f>INDEX($B$25:$GQ$25,MATCH(79,$B$29:$GQ$29,0))</f>
        <v>190355841.10156581</v>
      </c>
      <c r="CC11">
        <f>INDEX($B$25:$GQ$25,MATCH(80,$B$29:$GQ$29,0))</f>
        <v>173811602.33405569</v>
      </c>
      <c r="CD11">
        <f>INDEX($B$25:$GQ$25,MATCH(81,$B$29:$GQ$29,0))</f>
        <v>123771281.4735146</v>
      </c>
      <c r="CE11">
        <f>INDEX($B$25:$GQ$25,MATCH(82,$B$29:$GQ$29,0))</f>
        <v>141257008.45654061</v>
      </c>
      <c r="CF11">
        <f>INDEX($B$25:$GQ$25,MATCH(83,$B$29:$GQ$29,0))</f>
        <v>127404284.7856198</v>
      </c>
      <c r="CG11">
        <f>INDEX($B$25:$GQ$25,MATCH(84,$B$29:$GQ$29,0))</f>
        <v>40642616.841272227</v>
      </c>
      <c r="CH11">
        <f>INDEX($B$25:$GQ$25,MATCH(85,$B$29:$GQ$29,0))</f>
        <v>125485546.8359632</v>
      </c>
      <c r="CI11">
        <f>INDEX($B$25:$GQ$25,MATCH(86,$B$29:$GQ$29,0))</f>
        <v>114602045.48428591</v>
      </c>
      <c r="CJ11">
        <f>INDEX($B$25:$GQ$25,MATCH(87,$B$29:$GQ$29,0))</f>
        <v>14642395.70084333</v>
      </c>
      <c r="CK11">
        <f>INDEX($B$25:$GQ$25,MATCH(88,$B$29:$GQ$29,0))</f>
        <v>101856411.5251873</v>
      </c>
      <c r="CL11">
        <f>INDEX($B$25:$GQ$25,MATCH(89,$B$29:$GQ$29,0))</f>
        <v>89830207.101015717</v>
      </c>
      <c r="CM11">
        <f>INDEX($B$25:$GQ$25,MATCH(90,$B$29:$GQ$29,0))</f>
        <v>84303824.759108573</v>
      </c>
      <c r="CN11">
        <f>INDEX($B$25:$GQ$25,MATCH(91,$B$29:$GQ$29,0))</f>
        <v>75883926.157353252</v>
      </c>
      <c r="CO11">
        <f>INDEX($B$25:$GQ$25,MATCH(92,$B$29:$GQ$29,0))</f>
        <v>75741696.339276031</v>
      </c>
      <c r="CP11">
        <f>INDEX($B$25:$GQ$25,MATCH(93,$B$29:$GQ$29,0))</f>
        <v>67921392.785940543</v>
      </c>
      <c r="CQ11">
        <f>INDEX($B$25:$GQ$25,MATCH(94,$B$29:$GQ$29,0))</f>
        <v>72095741.992755204</v>
      </c>
      <c r="CR11">
        <f>INDEX($B$25:$GQ$25,MATCH(95,$B$29:$GQ$29,0))</f>
        <v>70600145.090716228</v>
      </c>
      <c r="CS11">
        <f>INDEX($B$25:$GQ$25,MATCH(96,$B$29:$GQ$29,0))</f>
        <v>2365886.0343070631</v>
      </c>
      <c r="CT11">
        <f>INDEX($B$25:$GQ$25,MATCH(97,$B$29:$GQ$29,0))</f>
        <v>57634515.169775948</v>
      </c>
      <c r="CU11">
        <f>INDEX($B$25:$GQ$25,MATCH(98,$B$29:$GQ$29,0))</f>
        <v>0</v>
      </c>
      <c r="CV11">
        <f>INDEX($B$25:$GQ$25,MATCH(99,$B$29:$GQ$29,0))</f>
        <v>46162656.674074069</v>
      </c>
      <c r="CW11">
        <f>INDEX($B$25:$GQ$25,MATCH(100,$B$29:$GQ$29,0))</f>
        <v>35833195.797687568</v>
      </c>
      <c r="CX11">
        <f>INDEX($B$25:$GQ$25,MATCH(101,$B$29:$GQ$29,0))</f>
        <v>32321210.691017609</v>
      </c>
      <c r="CY11">
        <f>INDEX($B$25:$GQ$25,MATCH(102,$B$29:$GQ$29,0))</f>
        <v>0</v>
      </c>
      <c r="CZ11">
        <f>INDEX($B$25:$GQ$25,MATCH(103,$B$29:$GQ$29,0))</f>
        <v>27715231.816124909</v>
      </c>
      <c r="DA11">
        <f>INDEX($B$25:$GQ$25,MATCH(104,$B$29:$GQ$29,0))</f>
        <v>28241769.76669592</v>
      </c>
      <c r="DB11">
        <f>INDEX($B$25:$GQ$25,MATCH(105,$B$29:$GQ$29,0))</f>
        <v>7093930.1935740197</v>
      </c>
      <c r="DC11">
        <f>INDEX($B$25:$GQ$25,MATCH(106,$B$29:$GQ$29,0))</f>
        <v>26632324.074844912</v>
      </c>
      <c r="DD11">
        <f>INDEX($B$25:$GQ$25,MATCH(107,$B$29:$GQ$29,0))</f>
        <v>21280894.86699158</v>
      </c>
      <c r="DE11">
        <f>INDEX($B$25:$GQ$25,MATCH(108,$B$29:$GQ$29,0))</f>
        <v>16088069.741379481</v>
      </c>
      <c r="DF11">
        <f>INDEX($B$25:$GQ$25,MATCH(109,$B$29:$GQ$29,0))</f>
        <v>15492015.27682163</v>
      </c>
      <c r="DG11">
        <f>INDEX($B$25:$GQ$25,MATCH(110,$B$29:$GQ$29,0))</f>
        <v>8023519.5498054596</v>
      </c>
      <c r="DH11">
        <f>INDEX($B$25:$GQ$25,MATCH(111,$B$29:$GQ$29,0))</f>
        <v>0</v>
      </c>
      <c r="DI11">
        <f>INDEX($B$25:$GQ$25,MATCH(112,$B$29:$GQ$29,0))</f>
        <v>6060362.5955684017</v>
      </c>
      <c r="DJ11">
        <f>INDEX($B$25:$GQ$25,MATCH(113,$B$29:$GQ$29,0))</f>
        <v>0</v>
      </c>
      <c r="DK11">
        <f>INDEX($B$25:$GQ$25,MATCH(114,$B$29:$GQ$29,0))</f>
        <v>3019863.9277283619</v>
      </c>
      <c r="DL11">
        <f>INDEX($B$25:$GQ$25,MATCH(115,$B$29:$GQ$29,0))</f>
        <v>4843676.736293098</v>
      </c>
      <c r="DM11">
        <f>INDEX($B$25:$GQ$25,MATCH(116,$B$29:$GQ$29,0))</f>
        <v>0</v>
      </c>
      <c r="DN11">
        <f>INDEX($B$25:$GQ$25,MATCH(117,$B$29:$GQ$29,0))</f>
        <v>2186363.6210235669</v>
      </c>
      <c r="DO11">
        <f>INDEX($B$25:$GQ$25,MATCH(118,$B$29:$GQ$29,0))</f>
        <v>1933919.4557095689</v>
      </c>
      <c r="DP11">
        <f>INDEX($B$25:$GQ$25,MATCH(119,$B$29:$GQ$29,0))</f>
        <v>1814921.612017852</v>
      </c>
      <c r="DQ11">
        <f>INDEX($B$25:$GQ$25,MATCH(120,$B$29:$GQ$29,0))</f>
        <v>1571949.28330038</v>
      </c>
      <c r="DR11">
        <f>INDEX($B$25:$GQ$25,MATCH(121,$B$29:$GQ$29,0))</f>
        <v>538142.06782491156</v>
      </c>
      <c r="DS11">
        <f>INDEX($B$25:$GQ$25,MATCH(122,$B$29:$GQ$29,0))</f>
        <v>507704.20079786179</v>
      </c>
      <c r="DT11">
        <f>INDEX($B$25:$GQ$25,MATCH(123,$B$29:$GQ$29,0))</f>
        <v>200044.83199790289</v>
      </c>
      <c r="DU11">
        <f>INDEX($B$25:$GQ$25,MATCH(124,$B$29:$GQ$29,0))</f>
        <v>85425.992328694148</v>
      </c>
      <c r="DV11">
        <f>INDEX($B$25:$GQ$25,MATCH(125,$B$29:$GQ$29,0))</f>
        <v>0</v>
      </c>
      <c r="DW11">
        <f>INDEX($B$25:$GQ$25,MATCH(126,$B$29:$GQ$29,0))</f>
        <v>48873.914489016694</v>
      </c>
      <c r="DX11">
        <f>INDEX($B$25:$GQ$25,MATCH(127,$B$29:$GQ$29,0))</f>
        <v>45408.390983140343</v>
      </c>
      <c r="DY11">
        <f>INDEX($B$25:$GQ$25,MATCH(128,$B$29:$GQ$29,0))</f>
        <v>29887.042729068071</v>
      </c>
      <c r="DZ11">
        <f>INDEX($B$25:$GQ$25,MATCH(129,$B$29:$GQ$29,0))</f>
        <v>0</v>
      </c>
      <c r="EA11">
        <f>INDEX($B$25:$GQ$25,MATCH(130,$B$29:$GQ$29,0))</f>
        <v>2096.3407163398269</v>
      </c>
      <c r="EB11">
        <f>INDEX($B$25:$GQ$25,MATCH(131,$B$29:$GQ$29,0))</f>
        <v>304.95107388851301</v>
      </c>
      <c r="EC11">
        <f>INDEX($B$25:$GQ$25,MATCH(132,$B$29:$GQ$29,0))</f>
        <v>0</v>
      </c>
      <c r="ED11">
        <f>INDEX($B$25:$GQ$25,MATCH(133,$B$29:$GQ$29,0))</f>
        <v>0</v>
      </c>
      <c r="EE11">
        <f>INDEX($B$25:$GQ$25,MATCH(134,$B$29:$GQ$29,0))</f>
        <v>0</v>
      </c>
      <c r="EF11">
        <f>INDEX($B$25:$GQ$25,MATCH(135,$B$29:$GQ$29,0))</f>
        <v>0</v>
      </c>
      <c r="EG11">
        <f>INDEX($B$25:$GQ$25,MATCH(136,$B$29:$GQ$29,0))</f>
        <v>0</v>
      </c>
      <c r="EH11">
        <f>INDEX($B$25:$GQ$25,MATCH(137,$B$29:$GQ$29,0))</f>
        <v>0</v>
      </c>
      <c r="EI11">
        <f>INDEX($B$25:$GQ$25,MATCH(138,$B$29:$GQ$29,0))</f>
        <v>0</v>
      </c>
      <c r="EJ11">
        <f>INDEX($B$25:$GQ$25,MATCH(139,$B$29:$GQ$29,0))</f>
        <v>0</v>
      </c>
      <c r="EK11">
        <f>INDEX($B$25:$GQ$25,MATCH(140,$B$29:$GQ$29,0))</f>
        <v>0</v>
      </c>
      <c r="EL11">
        <f>INDEX($B$25:$GQ$25,MATCH(141,$B$29:$GQ$29,0))</f>
        <v>0</v>
      </c>
      <c r="EM11">
        <f>INDEX($B$25:$GQ$25,MATCH(142,$B$29:$GQ$29,0))</f>
        <v>0</v>
      </c>
      <c r="EN11">
        <f>INDEX($B$25:$GQ$25,MATCH(143,$B$29:$GQ$29,0))</f>
        <v>0</v>
      </c>
      <c r="EO11">
        <f>INDEX($B$25:$GQ$25,MATCH(144,$B$29:$GQ$29,0))</f>
        <v>0</v>
      </c>
      <c r="EP11">
        <f>INDEX($B$25:$GQ$25,MATCH(145,$B$29:$GQ$29,0))</f>
        <v>0</v>
      </c>
      <c r="EQ11">
        <f>INDEX($B$25:$GQ$25,MATCH(146,$B$29:$GQ$29,0))</f>
        <v>0</v>
      </c>
      <c r="ER11">
        <f>INDEX($B$25:$GQ$25,MATCH(147,$B$29:$GQ$29,0))</f>
        <v>0</v>
      </c>
      <c r="ES11">
        <f>INDEX($B$25:$GQ$25,MATCH(148,$B$29:$GQ$29,0))</f>
        <v>0</v>
      </c>
      <c r="ET11">
        <f>INDEX($B$25:$GQ$25,MATCH(149,$B$29:$GQ$29,0))</f>
        <v>0</v>
      </c>
      <c r="EU11">
        <f>INDEX($B$25:$GQ$25,MATCH(150,$B$29:$GQ$29,0))</f>
        <v>0</v>
      </c>
      <c r="EV11">
        <f>INDEX($B$25:$GQ$25,MATCH(151,$B$29:$GQ$29,0))</f>
        <v>0</v>
      </c>
      <c r="EW11">
        <f>INDEX($B$25:$GQ$25,MATCH(152,$B$29:$GQ$29,0))</f>
        <v>0</v>
      </c>
      <c r="EX11">
        <f>INDEX($B$25:$GQ$25,MATCH(153,$B$29:$GQ$29,0))</f>
        <v>0</v>
      </c>
      <c r="EY11">
        <f>INDEX($B$25:$GQ$25,MATCH(154,$B$29:$GQ$29,0))</f>
        <v>0</v>
      </c>
      <c r="EZ11">
        <f>INDEX($B$25:$GQ$25,MATCH(155,$B$29:$GQ$29,0))</f>
        <v>0</v>
      </c>
      <c r="FA11">
        <f>INDEX($B$25:$GQ$25,MATCH(156,$B$29:$GQ$29,0))</f>
        <v>0</v>
      </c>
      <c r="FB11">
        <f>INDEX($B$25:$GQ$25,MATCH(157,$B$29:$GQ$29,0))</f>
        <v>0</v>
      </c>
      <c r="FC11">
        <f>INDEX($B$25:$GQ$25,MATCH(158,$B$29:$GQ$29,0))</f>
        <v>0</v>
      </c>
      <c r="FD11">
        <f>INDEX($B$25:$GQ$25,MATCH(159,$B$29:$GQ$29,0))</f>
        <v>0</v>
      </c>
      <c r="FE11">
        <f>INDEX($B$25:$GQ$25,MATCH(160,$B$29:$GQ$29,0))</f>
        <v>0</v>
      </c>
      <c r="FF11">
        <f>INDEX($B$25:$GQ$25,MATCH(161,$B$29:$GQ$29,0))</f>
        <v>0</v>
      </c>
      <c r="FG11">
        <f>INDEX($B$25:$GQ$25,MATCH(162,$B$29:$GQ$29,0))</f>
        <v>0</v>
      </c>
      <c r="FH11">
        <f>INDEX($B$25:$GQ$25,MATCH(163,$B$29:$GQ$29,0))</f>
        <v>0</v>
      </c>
      <c r="FI11">
        <f>INDEX($B$25:$GQ$25,MATCH(164,$B$29:$GQ$29,0))</f>
        <v>0</v>
      </c>
      <c r="FJ11">
        <f>INDEX($B$25:$GQ$25,MATCH(165,$B$29:$GQ$29,0))</f>
        <v>0</v>
      </c>
      <c r="FK11">
        <f>INDEX($B$25:$GQ$25,MATCH(166,$B$29:$GQ$29,0))</f>
        <v>0</v>
      </c>
      <c r="FL11">
        <f>INDEX($B$25:$GQ$25,MATCH(167,$B$29:$GQ$29,0))</f>
        <v>0</v>
      </c>
      <c r="FM11">
        <f>INDEX($B$25:$GQ$25,MATCH(168,$B$29:$GQ$29,0))</f>
        <v>0</v>
      </c>
      <c r="FN11">
        <f>INDEX($B$25:$GQ$25,MATCH(169,$B$29:$GQ$29,0))</f>
        <v>0</v>
      </c>
      <c r="FO11">
        <f>INDEX($B$25:$GQ$25,MATCH(170,$B$29:$GQ$29,0))</f>
        <v>0</v>
      </c>
      <c r="FP11">
        <f>INDEX($B$25:$GQ$25,MATCH(171,$B$29:$GQ$29,0))</f>
        <v>0</v>
      </c>
      <c r="FQ11">
        <f>INDEX($B$25:$GQ$25,MATCH(172,$B$29:$GQ$29,0))</f>
        <v>0</v>
      </c>
      <c r="FR11">
        <f>INDEX($B$25:$GQ$25,MATCH(173,$B$29:$GQ$29,0))</f>
        <v>0</v>
      </c>
      <c r="FS11">
        <f>INDEX($B$25:$GQ$25,MATCH(174,$B$29:$GQ$29,0))</f>
        <v>0</v>
      </c>
      <c r="FT11">
        <f>INDEX($B$25:$GQ$25,MATCH(175,$B$29:$GQ$29,0))</f>
        <v>0</v>
      </c>
      <c r="FU11">
        <f>INDEX($B$25:$GQ$25,MATCH(176,$B$29:$GQ$29,0))</f>
        <v>0</v>
      </c>
      <c r="FV11">
        <f>INDEX($B$25:$GQ$25,MATCH(177,$B$29:$GQ$29,0))</f>
        <v>0</v>
      </c>
      <c r="FW11">
        <f>INDEX($B$25:$GQ$25,MATCH(178,$B$29:$GQ$29,0))</f>
        <v>0</v>
      </c>
      <c r="FX11">
        <f>INDEX($B$25:$GQ$25,MATCH(179,$B$29:$GQ$29,0))</f>
        <v>0</v>
      </c>
      <c r="FY11">
        <f>INDEX($B$25:$GQ$25,MATCH(180,$B$29:$GQ$29,0))</f>
        <v>0</v>
      </c>
      <c r="FZ11">
        <f>INDEX($B$25:$GQ$25,MATCH(181,$B$29:$GQ$29,0))</f>
        <v>0</v>
      </c>
      <c r="GA11">
        <f>INDEX($B$25:$GQ$25,MATCH(182,$B$29:$GQ$29,0))</f>
        <v>0</v>
      </c>
      <c r="GB11">
        <f>INDEX($B$25:$GQ$25,MATCH(183,$B$29:$GQ$29,0))</f>
        <v>0</v>
      </c>
      <c r="GC11">
        <f>INDEX($B$25:$GQ$25,MATCH(184,$B$29:$GQ$29,0))</f>
        <v>0</v>
      </c>
      <c r="GD11">
        <f>INDEX($B$25:$GQ$25,MATCH(185,$B$29:$GQ$29,0))</f>
        <v>0</v>
      </c>
      <c r="GE11">
        <f>INDEX($B$25:$GQ$25,MATCH(186,$B$29:$GQ$29,0))</f>
        <v>0</v>
      </c>
      <c r="GF11">
        <f>INDEX($B$25:$GQ$25,MATCH(187,$B$29:$GQ$29,0))</f>
        <v>0</v>
      </c>
      <c r="GG11">
        <f>INDEX($B$25:$GQ$25,MATCH(188,$B$29:$GQ$29,0))</f>
        <v>0</v>
      </c>
      <c r="GH11">
        <f>INDEX($B$25:$GQ$25,MATCH(189,$B$29:$GQ$29,0))</f>
        <v>0</v>
      </c>
      <c r="GI11">
        <f>INDEX($B$25:$GQ$25,MATCH(190,$B$29:$GQ$29,0))</f>
        <v>0</v>
      </c>
      <c r="GJ11">
        <f>INDEX($B$25:$GQ$25,MATCH(191,$B$29:$GQ$29,0))</f>
        <v>0</v>
      </c>
      <c r="GK11">
        <f>INDEX($B$25:$GQ$25,MATCH(192,$B$29:$GQ$29,0))</f>
        <v>0</v>
      </c>
      <c r="GL11">
        <f>INDEX($B$25:$GQ$25,MATCH(193,$B$29:$GQ$29,0))</f>
        <v>0</v>
      </c>
      <c r="GM11">
        <f>INDEX($B$25:$GQ$25,MATCH(194,$B$29:$GQ$29,0))</f>
        <v>0</v>
      </c>
      <c r="GN11">
        <f>INDEX($B$25:$GQ$25,MATCH(195,$B$29:$GQ$29,0))</f>
        <v>0</v>
      </c>
      <c r="GO11">
        <f>INDEX($B$25:$GQ$25,MATCH(196,$B$29:$GQ$29,0))</f>
        <v>0</v>
      </c>
      <c r="GP11">
        <f>INDEX($B$25:$GQ$25,MATCH(197,$B$29:$GQ$29,0))</f>
        <v>0</v>
      </c>
      <c r="GQ11">
        <f>INDEX($B$25:$GQ$25,MATCH(198,$B$29:$GQ$29,0))</f>
        <v>0</v>
      </c>
      <c r="GR11">
        <f>INDEX($GR$25:$HC$25,MATCH(1,$GR$30:$HC$30,0))</f>
        <v>70256158428.223587</v>
      </c>
      <c r="GS11">
        <f>INDEX($GR$25:$HC$25,MATCH(2,$GR$30:$HC$30,0))</f>
        <v>51383858441.751358</v>
      </c>
      <c r="GT11">
        <f>INDEX($GR$25:$HC$25,MATCH(3,$GR$30:$HC$30,0))</f>
        <v>15309529205.683741</v>
      </c>
      <c r="GU11">
        <f>INDEX($GR$25:$HC$25,MATCH(4,$GR$30:$HC$30,0))</f>
        <v>32283471978.230301</v>
      </c>
      <c r="GV11">
        <f>INDEX($GR$25:$HC$25,MATCH(5,$GR$30:$HC$30,0))</f>
        <v>36237849204.457901</v>
      </c>
      <c r="GW11">
        <f>INDEX($GR$25:$HC$25,MATCH(6,$GR$30:$HC$30,0))</f>
        <v>29785684042.82645</v>
      </c>
      <c r="GX11">
        <f>INDEX($GR$25:$HC$25,MATCH(7,$GR$30:$HC$30,0))</f>
        <v>18299579023.17382</v>
      </c>
      <c r="GY11">
        <f>INDEX($GR$25:$HC$25,MATCH(8,$GR$30:$HC$30,0))</f>
        <v>14076607870.00383</v>
      </c>
      <c r="GZ11">
        <f>INDEX($GR$25:$HC$25,MATCH(9,$GR$30:$HC$30,0))</f>
        <v>13947309291.69775</v>
      </c>
      <c r="HA11">
        <f>INDEX($GR$25:$HC$25,MATCH(10,$GR$30:$HC$30,0))</f>
        <v>13666303628.365009</v>
      </c>
      <c r="HB11">
        <f>INDEX($GR$25:$HC$25,MATCH(11,$GR$30:$HC$30,0))</f>
        <v>8633043223.4187279</v>
      </c>
      <c r="HC11">
        <f>INDEX($GR$25:$HC$25,MATCH(12,$GR$30:$HC$30,0))</f>
        <v>781241503.92163765</v>
      </c>
    </row>
    <row r="12" spans="1:211" x14ac:dyDescent="0.45">
      <c r="A12" s="1" t="s">
        <v>11</v>
      </c>
      <c r="B12">
        <f>INDEX($B$26:$GQ$26,MATCH(1,$B$29:$GQ$29,0))</f>
        <v>0</v>
      </c>
      <c r="C12">
        <f>INDEX($B$26:$GQ$26,MATCH(2,$B$29:$GQ$29,0))</f>
        <v>0</v>
      </c>
      <c r="D12">
        <f>INDEX($B$26:$GQ$26,MATCH(3,$B$29:$GQ$29,0))</f>
        <v>686926225.50290406</v>
      </c>
      <c r="E12">
        <f>INDEX($B$26:$GQ$26,MATCH(4,$B$29:$GQ$29,0))</f>
        <v>0</v>
      </c>
      <c r="F12">
        <f>INDEX($B$26:$GQ$26,MATCH(5,$B$29:$GQ$29,0))</f>
        <v>908791332.71855545</v>
      </c>
      <c r="G12">
        <f>INDEX($B$26:$GQ$26,MATCH(6,$B$29:$GQ$29,0))</f>
        <v>190169072.98563981</v>
      </c>
      <c r="H12">
        <f>INDEX($B$26:$GQ$26,MATCH(7,$B$29:$GQ$29,0))</f>
        <v>13755505713.554411</v>
      </c>
      <c r="I12">
        <f>INDEX($B$26:$GQ$26,MATCH(8,$B$29:$GQ$29,0))</f>
        <v>633318314.01235366</v>
      </c>
      <c r="J12">
        <f>INDEX($B$26:$GQ$26,MATCH(9,$B$29:$GQ$29,0))</f>
        <v>0</v>
      </c>
      <c r="K12">
        <f>INDEX($B$26:$GQ$26,MATCH(10,$B$29:$GQ$29,0))</f>
        <v>11487988624.174789</v>
      </c>
      <c r="L12">
        <f>INDEX($B$26:$GQ$26,MATCH(11,$B$29:$GQ$29,0))</f>
        <v>350303933.05736762</v>
      </c>
      <c r="M12">
        <f>INDEX($B$26:$GQ$26,MATCH(12,$B$29:$GQ$29,0))</f>
        <v>302978867.37858123</v>
      </c>
      <c r="N12">
        <f>INDEX($B$26:$GQ$26,MATCH(13,$B$29:$GQ$29,0))</f>
        <v>532813557.55584991</v>
      </c>
      <c r="O12">
        <f>INDEX($B$26:$GQ$26,MATCH(14,$B$29:$GQ$29,0))</f>
        <v>0</v>
      </c>
      <c r="P12">
        <f>INDEX($B$26:$GQ$26,MATCH(15,$B$29:$GQ$29,0))</f>
        <v>56679032.743663378</v>
      </c>
      <c r="Q12">
        <f>INDEX($B$26:$GQ$26,MATCH(16,$B$29:$GQ$29,0))</f>
        <v>158851806.43325919</v>
      </c>
      <c r="R12">
        <f>INDEX($B$26:$GQ$26,MATCH(17,$B$29:$GQ$29,0))</f>
        <v>3169597399.7115932</v>
      </c>
      <c r="S12">
        <f>INDEX($B$26:$GQ$26,MATCH(18,$B$29:$GQ$29,0))</f>
        <v>1221511670.511632</v>
      </c>
      <c r="T12">
        <f>INDEX($B$26:$GQ$26,MATCH(19,$B$29:$GQ$29,0))</f>
        <v>340148784.59232903</v>
      </c>
      <c r="U12">
        <f>INDEX($B$26:$GQ$26,MATCH(20,$B$29:$GQ$29,0))</f>
        <v>73992811.746699646</v>
      </c>
      <c r="V12">
        <f>INDEX($B$26:$GQ$26,MATCH(21,$B$29:$GQ$29,0))</f>
        <v>24242871.269501749</v>
      </c>
      <c r="W12">
        <f>INDEX($B$26:$GQ$26,MATCH(22,$B$29:$GQ$29,0))</f>
        <v>1267755903.9741011</v>
      </c>
      <c r="X12">
        <f>INDEX($B$26:$GQ$26,MATCH(23,$B$29:$GQ$29,0))</f>
        <v>274566747.64676511</v>
      </c>
      <c r="Y12">
        <f>INDEX($B$26:$GQ$26,MATCH(24,$B$29:$GQ$29,0))</f>
        <v>2436431346.8222508</v>
      </c>
      <c r="Z12">
        <f>INDEX($B$26:$GQ$26,MATCH(25,$B$29:$GQ$29,0))</f>
        <v>2419076885.3862782</v>
      </c>
      <c r="AA12">
        <f>INDEX($B$26:$GQ$26,MATCH(26,$B$29:$GQ$29,0))</f>
        <v>3607834272.039464</v>
      </c>
      <c r="AB12">
        <f>INDEX($B$26:$GQ$26,MATCH(27,$B$29:$GQ$29,0))</f>
        <v>0</v>
      </c>
      <c r="AC12">
        <f>INDEX($B$26:$GQ$26,MATCH(28,$B$29:$GQ$29,0))</f>
        <v>3625259831.2375441</v>
      </c>
      <c r="AD12">
        <f>INDEX($B$26:$GQ$26,MATCH(29,$B$29:$GQ$29,0))</f>
        <v>3627748306.0324349</v>
      </c>
      <c r="AE12">
        <f>INDEX($B$26:$GQ$26,MATCH(30,$B$29:$GQ$29,0))</f>
        <v>531257223.57409698</v>
      </c>
      <c r="AF12">
        <f>INDEX($B$26:$GQ$26,MATCH(31,$B$29:$GQ$29,0))</f>
        <v>1252151503.928905</v>
      </c>
      <c r="AG12">
        <f>INDEX($B$26:$GQ$26,MATCH(32,$B$29:$GQ$29,0))</f>
        <v>0</v>
      </c>
      <c r="AH12">
        <f>INDEX($B$26:$GQ$26,MATCH(33,$B$29:$GQ$29,0))</f>
        <v>134145248.8353391</v>
      </c>
      <c r="AI12">
        <f>INDEX($B$26:$GQ$26,MATCH(34,$B$29:$GQ$29,0))</f>
        <v>0</v>
      </c>
      <c r="AJ12">
        <f>INDEX($B$26:$GQ$26,MATCH(35,$B$29:$GQ$29,0))</f>
        <v>1817367356.6483669</v>
      </c>
      <c r="AK12">
        <f>INDEX($B$26:$GQ$26,MATCH(36,$B$29:$GQ$29,0))</f>
        <v>0</v>
      </c>
      <c r="AL12">
        <f>INDEX($B$26:$GQ$26,MATCH(37,$B$29:$GQ$29,0))</f>
        <v>0</v>
      </c>
      <c r="AM12">
        <f>INDEX($B$26:$GQ$26,MATCH(38,$B$29:$GQ$29,0))</f>
        <v>1122072988.6083291</v>
      </c>
      <c r="AN12">
        <f>INDEX($B$26:$GQ$26,MATCH(39,$B$29:$GQ$29,0))</f>
        <v>291754172.49512857</v>
      </c>
      <c r="AO12">
        <f>INDEX($B$26:$GQ$26,MATCH(40,$B$29:$GQ$29,0))</f>
        <v>0</v>
      </c>
      <c r="AP12">
        <f>INDEX($B$26:$GQ$26,MATCH(41,$B$29:$GQ$29,0))</f>
        <v>0</v>
      </c>
      <c r="AQ12">
        <f>INDEX($B$26:$GQ$26,MATCH(42,$B$29:$GQ$29,0))</f>
        <v>0</v>
      </c>
      <c r="AR12">
        <f>INDEX($B$26:$GQ$26,MATCH(43,$B$29:$GQ$29,0))</f>
        <v>58795833.038071863</v>
      </c>
      <c r="AS12">
        <f>INDEX($B$26:$GQ$26,MATCH(44,$B$29:$GQ$29,0))</f>
        <v>1260908222.384798</v>
      </c>
      <c r="AT12">
        <f>INDEX($B$26:$GQ$26,MATCH(45,$B$29:$GQ$29,0))</f>
        <v>0</v>
      </c>
      <c r="AU12">
        <f>INDEX($B$26:$GQ$26,MATCH(46,$B$29:$GQ$29,0))</f>
        <v>0</v>
      </c>
      <c r="AV12">
        <f>INDEX($B$26:$GQ$26,MATCH(47,$B$29:$GQ$29,0))</f>
        <v>0</v>
      </c>
      <c r="AW12">
        <f>INDEX($B$26:$GQ$26,MATCH(48,$B$29:$GQ$29,0))</f>
        <v>2702222.1196209202</v>
      </c>
      <c r="AX12">
        <f>INDEX($B$26:$GQ$26,MATCH(49,$B$29:$GQ$29,0))</f>
        <v>975699438.83182025</v>
      </c>
      <c r="AY12">
        <f>INDEX($B$26:$GQ$26,MATCH(50,$B$29:$GQ$29,0))</f>
        <v>0</v>
      </c>
      <c r="AZ12">
        <f>INDEX($B$26:$GQ$26,MATCH(51,$B$29:$GQ$29,0))</f>
        <v>0</v>
      </c>
      <c r="BA12">
        <f>INDEX($B$26:$GQ$26,MATCH(52,$B$29:$GQ$29,0))</f>
        <v>71062994.616504267</v>
      </c>
      <c r="BB12">
        <f>INDEX($B$26:$GQ$26,MATCH(53,$B$29:$GQ$29,0))</f>
        <v>232955243.2774803</v>
      </c>
      <c r="BC12">
        <f>INDEX($B$26:$GQ$26,MATCH(54,$B$29:$GQ$29,0))</f>
        <v>287706680.08637422</v>
      </c>
      <c r="BD12">
        <f>INDEX($B$26:$GQ$26,MATCH(55,$B$29:$GQ$29,0))</f>
        <v>274292051.4192853</v>
      </c>
      <c r="BE12">
        <f>INDEX($B$26:$GQ$26,MATCH(56,$B$29:$GQ$29,0))</f>
        <v>733410169.69349504</v>
      </c>
      <c r="BF12">
        <f>INDEX($B$26:$GQ$26,MATCH(57,$B$29:$GQ$29,0))</f>
        <v>0</v>
      </c>
      <c r="BG12">
        <f>INDEX($B$26:$GQ$26,MATCH(58,$B$29:$GQ$29,0))</f>
        <v>23857234.756487619</v>
      </c>
      <c r="BH12">
        <f>INDEX($B$26:$GQ$26,MATCH(59,$B$29:$GQ$29,0))</f>
        <v>0</v>
      </c>
      <c r="BI12">
        <f>INDEX($B$26:$GQ$26,MATCH(60,$B$29:$GQ$29,0))</f>
        <v>11267449.74473937</v>
      </c>
      <c r="BJ12">
        <f>INDEX($B$26:$GQ$26,MATCH(61,$B$29:$GQ$29,0))</f>
        <v>4314022.590858805</v>
      </c>
      <c r="BK12">
        <f>INDEX($B$26:$GQ$26,MATCH(62,$B$29:$GQ$29,0))</f>
        <v>0</v>
      </c>
      <c r="BL12">
        <f>INDEX($B$26:$GQ$26,MATCH(63,$B$29:$GQ$29,0))</f>
        <v>0</v>
      </c>
      <c r="BM12">
        <f>INDEX($B$26:$GQ$26,MATCH(64,$B$29:$GQ$29,0))</f>
        <v>103078922.98045599</v>
      </c>
      <c r="BN12">
        <f>INDEX($B$26:$GQ$26,MATCH(65,$B$29:$GQ$29,0))</f>
        <v>0</v>
      </c>
      <c r="BO12">
        <f>INDEX($B$26:$GQ$26,MATCH(66,$B$29:$GQ$29,0))</f>
        <v>39767211.858023852</v>
      </c>
      <c r="BP12">
        <f>INDEX($B$26:$GQ$26,MATCH(67,$B$29:$GQ$29,0))</f>
        <v>0</v>
      </c>
      <c r="BQ12">
        <f>INDEX($B$26:$GQ$26,MATCH(68,$B$29:$GQ$29,0))</f>
        <v>3686833.586100271</v>
      </c>
      <c r="BR12">
        <f>INDEX($B$26:$GQ$26,MATCH(69,$B$29:$GQ$29,0))</f>
        <v>286828203.59814548</v>
      </c>
      <c r="BS12">
        <f>INDEX($B$26:$GQ$26,MATCH(70,$B$29:$GQ$29,0))</f>
        <v>0</v>
      </c>
      <c r="BT12">
        <f>INDEX($B$26:$GQ$26,MATCH(71,$B$29:$GQ$29,0))</f>
        <v>516721.03538553201</v>
      </c>
      <c r="BU12">
        <f>INDEX($B$26:$GQ$26,MATCH(72,$B$29:$GQ$29,0))</f>
        <v>156418417.67771319</v>
      </c>
      <c r="BV12">
        <f>INDEX($B$26:$GQ$26,MATCH(73,$B$29:$GQ$29,0))</f>
        <v>0</v>
      </c>
      <c r="BW12">
        <f>INDEX($B$26:$GQ$26,MATCH(74,$B$29:$GQ$29,0))</f>
        <v>108794783.32932919</v>
      </c>
      <c r="BX12">
        <f>INDEX($B$26:$GQ$26,MATCH(75,$B$29:$GQ$29,0))</f>
        <v>65886960.573933013</v>
      </c>
      <c r="BY12">
        <f>INDEX($B$26:$GQ$26,MATCH(76,$B$29:$GQ$29,0))</f>
        <v>0</v>
      </c>
      <c r="BZ12">
        <f>INDEX($B$26:$GQ$26,MATCH(77,$B$29:$GQ$29,0))</f>
        <v>0</v>
      </c>
      <c r="CA12">
        <f>INDEX($B$26:$GQ$26,MATCH(78,$B$29:$GQ$29,0))</f>
        <v>159274718.32346451</v>
      </c>
      <c r="CB12">
        <f>INDEX($B$26:$GQ$26,MATCH(79,$B$29:$GQ$29,0))</f>
        <v>2541669.2114812522</v>
      </c>
      <c r="CC12">
        <f>INDEX($B$26:$GQ$26,MATCH(80,$B$29:$GQ$29,0))</f>
        <v>0</v>
      </c>
      <c r="CD12">
        <f>INDEX($B$26:$GQ$26,MATCH(81,$B$29:$GQ$29,0))</f>
        <v>45349451.669929117</v>
      </c>
      <c r="CE12">
        <f>INDEX($B$26:$GQ$26,MATCH(82,$B$29:$GQ$29,0))</f>
        <v>0</v>
      </c>
      <c r="CF12">
        <f>INDEX($B$26:$GQ$26,MATCH(83,$B$29:$GQ$29,0))</f>
        <v>5482894.1947484054</v>
      </c>
      <c r="CG12">
        <f>INDEX($B$26:$GQ$26,MATCH(84,$B$29:$GQ$29,0))</f>
        <v>91908304.240434676</v>
      </c>
      <c r="CH12">
        <f>INDEX($B$26:$GQ$26,MATCH(85,$B$29:$GQ$29,0))</f>
        <v>1333634.5149293151</v>
      </c>
      <c r="CI12">
        <f>INDEX($B$26:$GQ$26,MATCH(86,$B$29:$GQ$29,0))</f>
        <v>0</v>
      </c>
      <c r="CJ12">
        <f>INDEX($B$26:$GQ$26,MATCH(87,$B$29:$GQ$29,0))</f>
        <v>92795778.049129993</v>
      </c>
      <c r="CK12">
        <f>INDEX($B$26:$GQ$26,MATCH(88,$B$29:$GQ$29,0))</f>
        <v>4710904.2185847079</v>
      </c>
      <c r="CL12">
        <f>INDEX($B$26:$GQ$26,MATCH(89,$B$29:$GQ$29,0))</f>
        <v>0</v>
      </c>
      <c r="CM12">
        <f>INDEX($B$26:$GQ$26,MATCH(90,$B$29:$GQ$29,0))</f>
        <v>2935013.9061775012</v>
      </c>
      <c r="CN12">
        <f>INDEX($B$26:$GQ$26,MATCH(91,$B$29:$GQ$29,0))</f>
        <v>0</v>
      </c>
      <c r="CO12">
        <f>INDEX($B$26:$GQ$26,MATCH(92,$B$29:$GQ$29,0))</f>
        <v>0</v>
      </c>
      <c r="CP12">
        <f>INDEX($B$26:$GQ$26,MATCH(93,$B$29:$GQ$29,0))</f>
        <v>7118224.1043667775</v>
      </c>
      <c r="CQ12">
        <f>INDEX($B$26:$GQ$26,MATCH(94,$B$29:$GQ$29,0))</f>
        <v>1263846.739760472</v>
      </c>
      <c r="CR12">
        <f>INDEX($B$26:$GQ$26,MATCH(95,$B$29:$GQ$29,0))</f>
        <v>2401086.1045583049</v>
      </c>
      <c r="CS12">
        <f>INDEX($B$26:$GQ$26,MATCH(96,$B$29:$GQ$29,0))</f>
        <v>55854354.272776127</v>
      </c>
      <c r="CT12">
        <f>INDEX($B$26:$GQ$26,MATCH(97,$B$29:$GQ$29,0))</f>
        <v>0</v>
      </c>
      <c r="CU12">
        <f>INDEX($B$26:$GQ$26,MATCH(98,$B$29:$GQ$29,0))</f>
        <v>52263497.440405831</v>
      </c>
      <c r="CV12">
        <f>INDEX($B$26:$GQ$26,MATCH(99,$B$29:$GQ$29,0))</f>
        <v>4315131.258344938</v>
      </c>
      <c r="CW12">
        <f>INDEX($B$26:$GQ$26,MATCH(100,$B$29:$GQ$29,0))</f>
        <v>0</v>
      </c>
      <c r="CX12">
        <f>INDEX($B$26:$GQ$26,MATCH(101,$B$29:$GQ$29,0))</f>
        <v>114063.9836609514</v>
      </c>
      <c r="CY12">
        <f>INDEX($B$26:$GQ$26,MATCH(102,$B$29:$GQ$29,0))</f>
        <v>31120840.658522151</v>
      </c>
      <c r="CZ12">
        <f>INDEX($B$26:$GQ$26,MATCH(103,$B$29:$GQ$29,0))</f>
        <v>3357592.4317094442</v>
      </c>
      <c r="DA12">
        <f>INDEX($B$26:$GQ$26,MATCH(104,$B$29:$GQ$29,0))</f>
        <v>1359541.1174069389</v>
      </c>
      <c r="DB12">
        <f>INDEX($B$26:$GQ$26,MATCH(105,$B$29:$GQ$29,0))</f>
        <v>20645294.29595967</v>
      </c>
      <c r="DC12">
        <f>INDEX($B$26:$GQ$26,MATCH(106,$B$29:$GQ$29,0))</f>
        <v>151401.57364435069</v>
      </c>
      <c r="DD12">
        <f>INDEX($B$26:$GQ$26,MATCH(107,$B$29:$GQ$29,0))</f>
        <v>1778337.5895998529</v>
      </c>
      <c r="DE12">
        <f>INDEX($B$26:$GQ$26,MATCH(108,$B$29:$GQ$29,0))</f>
        <v>1862083.446888685</v>
      </c>
      <c r="DF12">
        <f>INDEX($B$26:$GQ$26,MATCH(109,$B$29:$GQ$29,0))</f>
        <v>21046.878403202631</v>
      </c>
      <c r="DG12">
        <f>INDEX($B$26:$GQ$26,MATCH(110,$B$29:$GQ$29,0))</f>
        <v>5539310.5215550791</v>
      </c>
      <c r="DH12">
        <f>INDEX($B$26:$GQ$26,MATCH(111,$B$29:$GQ$29,0))</f>
        <v>11661249.11448746</v>
      </c>
      <c r="DI12">
        <f>INDEX($B$26:$GQ$26,MATCH(112,$B$29:$GQ$29,0))</f>
        <v>291565.9393479912</v>
      </c>
      <c r="DJ12">
        <f>INDEX($B$26:$GQ$26,MATCH(113,$B$29:$GQ$29,0))</f>
        <v>5808113.4420254016</v>
      </c>
      <c r="DK12">
        <f>INDEX($B$26:$GQ$26,MATCH(114,$B$29:$GQ$29,0))</f>
        <v>2350899.1775945988</v>
      </c>
      <c r="DL12">
        <f>INDEX($B$26:$GQ$26,MATCH(115,$B$29:$GQ$29,0))</f>
        <v>0</v>
      </c>
      <c r="DM12">
        <f>INDEX($B$26:$GQ$26,MATCH(116,$B$29:$GQ$29,0))</f>
        <v>4017426.2903243592</v>
      </c>
      <c r="DN12">
        <f>INDEX($B$26:$GQ$26,MATCH(117,$B$29:$GQ$29,0))</f>
        <v>200661.8472092353</v>
      </c>
      <c r="DO12">
        <f>INDEX($B$26:$GQ$26,MATCH(118,$B$29:$GQ$29,0))</f>
        <v>11652.12943214175</v>
      </c>
      <c r="DP12">
        <f>INDEX($B$26:$GQ$26,MATCH(119,$B$29:$GQ$29,0))</f>
        <v>27293.51284590469</v>
      </c>
      <c r="DQ12">
        <f>INDEX($B$26:$GQ$26,MATCH(120,$B$29:$GQ$29,0))</f>
        <v>0</v>
      </c>
      <c r="DR12">
        <f>INDEX($B$26:$GQ$26,MATCH(121,$B$29:$GQ$29,0))</f>
        <v>0</v>
      </c>
      <c r="DS12">
        <f>INDEX($B$26:$GQ$26,MATCH(122,$B$29:$GQ$29,0))</f>
        <v>5237.2041038371344</v>
      </c>
      <c r="DT12">
        <f>INDEX($B$26:$GQ$26,MATCH(123,$B$29:$GQ$29,0))</f>
        <v>308323.06509493617</v>
      </c>
      <c r="DU12">
        <f>INDEX($B$26:$GQ$26,MATCH(124,$B$29:$GQ$29,0))</f>
        <v>317701.75112611061</v>
      </c>
      <c r="DV12">
        <f>INDEX($B$26:$GQ$26,MATCH(125,$B$29:$GQ$29,0))</f>
        <v>284912.75052939821</v>
      </c>
      <c r="DW12">
        <f>INDEX($B$26:$GQ$26,MATCH(126,$B$29:$GQ$29,0))</f>
        <v>63468.13113666384</v>
      </c>
      <c r="DX12">
        <f>INDEX($B$26:$GQ$26,MATCH(127,$B$29:$GQ$29,0))</f>
        <v>0</v>
      </c>
      <c r="DY12">
        <f>INDEX($B$26:$GQ$26,MATCH(128,$B$29:$GQ$29,0))</f>
        <v>0</v>
      </c>
      <c r="DZ12">
        <f>INDEX($B$26:$GQ$26,MATCH(129,$B$29:$GQ$29,0))</f>
        <v>25372.215743937129</v>
      </c>
      <c r="EA12">
        <f>INDEX($B$26:$GQ$26,MATCH(130,$B$29:$GQ$29,0))</f>
        <v>0</v>
      </c>
      <c r="EB12">
        <f>INDEX($B$26:$GQ$26,MATCH(131,$B$29:$GQ$29,0))</f>
        <v>188.11527166462699</v>
      </c>
      <c r="EC12">
        <f>INDEX($B$26:$GQ$26,MATCH(132,$B$29:$GQ$29,0))</f>
        <v>53.747114746363643</v>
      </c>
      <c r="ED12">
        <f>INDEX($B$26:$GQ$26,MATCH(133,$B$29:$GQ$29,0))</f>
        <v>0</v>
      </c>
      <c r="EE12">
        <f>INDEX($B$26:$GQ$26,MATCH(134,$B$29:$GQ$29,0))</f>
        <v>0</v>
      </c>
      <c r="EF12">
        <f>INDEX($B$26:$GQ$26,MATCH(135,$B$29:$GQ$29,0))</f>
        <v>0</v>
      </c>
      <c r="EG12">
        <f>INDEX($B$26:$GQ$26,MATCH(136,$B$29:$GQ$29,0))</f>
        <v>0</v>
      </c>
      <c r="EH12">
        <f>INDEX($B$26:$GQ$26,MATCH(137,$B$29:$GQ$29,0))</f>
        <v>0</v>
      </c>
      <c r="EI12">
        <f>INDEX($B$26:$GQ$26,MATCH(138,$B$29:$GQ$29,0))</f>
        <v>0</v>
      </c>
      <c r="EJ12">
        <f>INDEX($B$26:$GQ$26,MATCH(139,$B$29:$GQ$29,0))</f>
        <v>0</v>
      </c>
      <c r="EK12">
        <f>INDEX($B$26:$GQ$26,MATCH(140,$B$29:$GQ$29,0))</f>
        <v>0</v>
      </c>
      <c r="EL12">
        <f>INDEX($B$26:$GQ$26,MATCH(141,$B$29:$GQ$29,0))</f>
        <v>0</v>
      </c>
      <c r="EM12">
        <f>INDEX($B$26:$GQ$26,MATCH(142,$B$29:$GQ$29,0))</f>
        <v>0</v>
      </c>
      <c r="EN12">
        <f>INDEX($B$26:$GQ$26,MATCH(143,$B$29:$GQ$29,0))</f>
        <v>0</v>
      </c>
      <c r="EO12">
        <f>INDEX($B$26:$GQ$26,MATCH(144,$B$29:$GQ$29,0))</f>
        <v>0</v>
      </c>
      <c r="EP12">
        <f>INDEX($B$26:$GQ$26,MATCH(145,$B$29:$GQ$29,0))</f>
        <v>0</v>
      </c>
      <c r="EQ12">
        <f>INDEX($B$26:$GQ$26,MATCH(146,$B$29:$GQ$29,0))</f>
        <v>0</v>
      </c>
      <c r="ER12">
        <f>INDEX($B$26:$GQ$26,MATCH(147,$B$29:$GQ$29,0))</f>
        <v>0</v>
      </c>
      <c r="ES12">
        <f>INDEX($B$26:$GQ$26,MATCH(148,$B$29:$GQ$29,0))</f>
        <v>0</v>
      </c>
      <c r="ET12">
        <f>INDEX($B$26:$GQ$26,MATCH(149,$B$29:$GQ$29,0))</f>
        <v>0</v>
      </c>
      <c r="EU12">
        <f>INDEX($B$26:$GQ$26,MATCH(150,$B$29:$GQ$29,0))</f>
        <v>0</v>
      </c>
      <c r="EV12">
        <f>INDEX($B$26:$GQ$26,MATCH(151,$B$29:$GQ$29,0))</f>
        <v>0</v>
      </c>
      <c r="EW12">
        <f>INDEX($B$26:$GQ$26,MATCH(152,$B$29:$GQ$29,0))</f>
        <v>0</v>
      </c>
      <c r="EX12">
        <f>INDEX($B$26:$GQ$26,MATCH(153,$B$29:$GQ$29,0))</f>
        <v>0</v>
      </c>
      <c r="EY12">
        <f>INDEX($B$26:$GQ$26,MATCH(154,$B$29:$GQ$29,0))</f>
        <v>0</v>
      </c>
      <c r="EZ12">
        <f>INDEX($B$26:$GQ$26,MATCH(155,$B$29:$GQ$29,0))</f>
        <v>0</v>
      </c>
      <c r="FA12">
        <f>INDEX($B$26:$GQ$26,MATCH(156,$B$29:$GQ$29,0))</f>
        <v>0</v>
      </c>
      <c r="FB12">
        <f>INDEX($B$26:$GQ$26,MATCH(157,$B$29:$GQ$29,0))</f>
        <v>0</v>
      </c>
      <c r="FC12">
        <f>INDEX($B$26:$GQ$26,MATCH(158,$B$29:$GQ$29,0))</f>
        <v>0</v>
      </c>
      <c r="FD12">
        <f>INDEX($B$26:$GQ$26,MATCH(159,$B$29:$GQ$29,0))</f>
        <v>0</v>
      </c>
      <c r="FE12">
        <f>INDEX($B$26:$GQ$26,MATCH(160,$B$29:$GQ$29,0))</f>
        <v>0</v>
      </c>
      <c r="FF12">
        <f>INDEX($B$26:$GQ$26,MATCH(161,$B$29:$GQ$29,0))</f>
        <v>0</v>
      </c>
      <c r="FG12">
        <f>INDEX($B$26:$GQ$26,MATCH(162,$B$29:$GQ$29,0))</f>
        <v>0</v>
      </c>
      <c r="FH12">
        <f>INDEX($B$26:$GQ$26,MATCH(163,$B$29:$GQ$29,0))</f>
        <v>0</v>
      </c>
      <c r="FI12">
        <f>INDEX($B$26:$GQ$26,MATCH(164,$B$29:$GQ$29,0))</f>
        <v>0</v>
      </c>
      <c r="FJ12">
        <f>INDEX($B$26:$GQ$26,MATCH(165,$B$29:$GQ$29,0))</f>
        <v>0</v>
      </c>
      <c r="FK12">
        <f>INDEX($B$26:$GQ$26,MATCH(166,$B$29:$GQ$29,0))</f>
        <v>0</v>
      </c>
      <c r="FL12">
        <f>INDEX($B$26:$GQ$26,MATCH(167,$B$29:$GQ$29,0))</f>
        <v>0</v>
      </c>
      <c r="FM12">
        <f>INDEX($B$26:$GQ$26,MATCH(168,$B$29:$GQ$29,0))</f>
        <v>0</v>
      </c>
      <c r="FN12">
        <f>INDEX($B$26:$GQ$26,MATCH(169,$B$29:$GQ$29,0))</f>
        <v>0</v>
      </c>
      <c r="FO12">
        <f>INDEX($B$26:$GQ$26,MATCH(170,$B$29:$GQ$29,0))</f>
        <v>0</v>
      </c>
      <c r="FP12">
        <f>INDEX($B$26:$GQ$26,MATCH(171,$B$29:$GQ$29,0))</f>
        <v>0</v>
      </c>
      <c r="FQ12">
        <f>INDEX($B$26:$GQ$26,MATCH(172,$B$29:$GQ$29,0))</f>
        <v>0</v>
      </c>
      <c r="FR12">
        <f>INDEX($B$26:$GQ$26,MATCH(173,$B$29:$GQ$29,0))</f>
        <v>0</v>
      </c>
      <c r="FS12">
        <f>INDEX($B$26:$GQ$26,MATCH(174,$B$29:$GQ$29,0))</f>
        <v>0</v>
      </c>
      <c r="FT12">
        <f>INDEX($B$26:$GQ$26,MATCH(175,$B$29:$GQ$29,0))</f>
        <v>0</v>
      </c>
      <c r="FU12">
        <f>INDEX($B$26:$GQ$26,MATCH(176,$B$29:$GQ$29,0))</f>
        <v>0</v>
      </c>
      <c r="FV12">
        <f>INDEX($B$26:$GQ$26,MATCH(177,$B$29:$GQ$29,0))</f>
        <v>0</v>
      </c>
      <c r="FW12">
        <f>INDEX($B$26:$GQ$26,MATCH(178,$B$29:$GQ$29,0))</f>
        <v>0</v>
      </c>
      <c r="FX12">
        <f>INDEX($B$26:$GQ$26,MATCH(179,$B$29:$GQ$29,0))</f>
        <v>0</v>
      </c>
      <c r="FY12">
        <f>INDEX($B$26:$GQ$26,MATCH(180,$B$29:$GQ$29,0))</f>
        <v>0</v>
      </c>
      <c r="FZ12">
        <f>INDEX($B$26:$GQ$26,MATCH(181,$B$29:$GQ$29,0))</f>
        <v>0</v>
      </c>
      <c r="GA12">
        <f>INDEX($B$26:$GQ$26,MATCH(182,$B$29:$GQ$29,0))</f>
        <v>0</v>
      </c>
      <c r="GB12">
        <f>INDEX($B$26:$GQ$26,MATCH(183,$B$29:$GQ$29,0))</f>
        <v>0</v>
      </c>
      <c r="GC12">
        <f>INDEX($B$26:$GQ$26,MATCH(184,$B$29:$GQ$29,0))</f>
        <v>0</v>
      </c>
      <c r="GD12">
        <f>INDEX($B$26:$GQ$26,MATCH(185,$B$29:$GQ$29,0))</f>
        <v>0</v>
      </c>
      <c r="GE12">
        <f>INDEX($B$26:$GQ$26,MATCH(186,$B$29:$GQ$29,0))</f>
        <v>0</v>
      </c>
      <c r="GF12">
        <f>INDEX($B$26:$GQ$26,MATCH(187,$B$29:$GQ$29,0))</f>
        <v>0</v>
      </c>
      <c r="GG12">
        <f>INDEX($B$26:$GQ$26,MATCH(188,$B$29:$GQ$29,0))</f>
        <v>0</v>
      </c>
      <c r="GH12">
        <f>INDEX($B$26:$GQ$26,MATCH(189,$B$29:$GQ$29,0))</f>
        <v>0</v>
      </c>
      <c r="GI12">
        <f>INDEX($B$26:$GQ$26,MATCH(190,$B$29:$GQ$29,0))</f>
        <v>0</v>
      </c>
      <c r="GJ12">
        <f>INDEX($B$26:$GQ$26,MATCH(191,$B$29:$GQ$29,0))</f>
        <v>0</v>
      </c>
      <c r="GK12">
        <f>INDEX($B$26:$GQ$26,MATCH(192,$B$29:$GQ$29,0))</f>
        <v>0</v>
      </c>
      <c r="GL12">
        <f>INDEX($B$26:$GQ$26,MATCH(193,$B$29:$GQ$29,0))</f>
        <v>0</v>
      </c>
      <c r="GM12">
        <f>INDEX($B$26:$GQ$26,MATCH(194,$B$29:$GQ$29,0))</f>
        <v>0</v>
      </c>
      <c r="GN12">
        <f>INDEX($B$26:$GQ$26,MATCH(195,$B$29:$GQ$29,0))</f>
        <v>0</v>
      </c>
      <c r="GO12">
        <f>INDEX($B$26:$GQ$26,MATCH(196,$B$29:$GQ$29,0))</f>
        <v>0</v>
      </c>
      <c r="GP12">
        <f>INDEX($B$26:$GQ$26,MATCH(197,$B$29:$GQ$29,0))</f>
        <v>0</v>
      </c>
      <c r="GQ12">
        <f>INDEX($B$26:$GQ$26,MATCH(198,$B$29:$GQ$29,0))</f>
        <v>0</v>
      </c>
      <c r="GR12">
        <f>INDEX($GR$26:$HC$26,MATCH(1,$GR$30:$HC$30,0))</f>
        <v>3121421083.889967</v>
      </c>
      <c r="GS12">
        <f>INDEX($GR$26:$HC$26,MATCH(2,$GR$30:$HC$30,0))</f>
        <v>7156018674.4065304</v>
      </c>
      <c r="GT12">
        <f>INDEX($GR$26:$HC$26,MATCH(3,$GR$30:$HC$30,0))</f>
        <v>33734453765.143589</v>
      </c>
      <c r="GU12">
        <f>INDEX($GR$26:$HC$26,MATCH(4,$GR$30:$HC$30,0))</f>
        <v>10725544682.590969</v>
      </c>
      <c r="GV12">
        <f>INDEX($GR$26:$HC$26,MATCH(5,$GR$30:$HC$30,0))</f>
        <v>1634001066.8209579</v>
      </c>
      <c r="GW12">
        <f>INDEX($GR$26:$HC$26,MATCH(6,$GR$30:$HC$30,0))</f>
        <v>1564937161.075515</v>
      </c>
      <c r="GX12">
        <f>INDEX($GR$26:$HC$26,MATCH(7,$GR$30:$HC$30,0))</f>
        <v>686926225.50290406</v>
      </c>
      <c r="GY12">
        <f>INDEX($GR$26:$HC$26,MATCH(8,$GR$30:$HC$30,0))</f>
        <v>4241152586.0518169</v>
      </c>
      <c r="GZ12">
        <f>INDEX($GR$26:$HC$26,MATCH(9,$GR$30:$HC$30,0))</f>
        <v>633318314.01235366</v>
      </c>
      <c r="HA12">
        <f>INDEX($GR$26:$HC$26,MATCH(10,$GR$30:$HC$30,0))</f>
        <v>0</v>
      </c>
      <c r="HB12">
        <f>INDEX($GR$26:$HC$26,MATCH(11,$GR$30:$HC$30,0))</f>
        <v>149474810.79279339</v>
      </c>
      <c r="HC12">
        <f>INDEX($GR$26:$HC$26,MATCH(12,$GR$30:$HC$30,0))</f>
        <v>4358670000.9310389</v>
      </c>
    </row>
    <row r="13" spans="1:211" x14ac:dyDescent="0.45">
      <c r="A13" s="1" t="s">
        <v>1</v>
      </c>
      <c r="B13">
        <f>INDEX($B$27:$GQ$27,MATCH(1,$B$29:$GQ$29,0))</f>
        <v>24560485655.52594</v>
      </c>
      <c r="C13">
        <f>INDEX($B$27:$GQ$27,MATCH(2,$B$29:$GQ$29,0))</f>
        <v>22890397850.22039</v>
      </c>
      <c r="D13">
        <f>INDEX($B$27:$GQ$27,MATCH(3,$B$29:$GQ$29,0))</f>
        <v>18986505248.67672</v>
      </c>
      <c r="E13">
        <f>INDEX($B$27:$GQ$27,MATCH(4,$B$29:$GQ$29,0))</f>
        <v>17674916699.49099</v>
      </c>
      <c r="F13">
        <f>INDEX($B$27:$GQ$27,MATCH(5,$B$29:$GQ$29,0))</f>
        <v>14582047604.057871</v>
      </c>
      <c r="G13">
        <f>INDEX($B$27:$GQ$27,MATCH(6,$B$29:$GQ$29,0))</f>
        <v>14344670944.24852</v>
      </c>
      <c r="H13">
        <f>INDEX($B$27:$GQ$27,MATCH(7,$B$29:$GQ$29,0))</f>
        <v>13973537923.450991</v>
      </c>
      <c r="I13">
        <f>INDEX($B$27:$GQ$27,MATCH(8,$B$29:$GQ$29,0))</f>
        <v>13950557767.31473</v>
      </c>
      <c r="J13">
        <f>INDEX($B$27:$GQ$27,MATCH(9,$B$29:$GQ$29,0))</f>
        <v>13666303628.365009</v>
      </c>
      <c r="K13">
        <f>INDEX($B$27:$GQ$27,MATCH(10,$B$29:$GQ$29,0))</f>
        <v>11720984953.39418</v>
      </c>
      <c r="L13">
        <f>INDEX($B$27:$GQ$27,MATCH(11,$B$29:$GQ$29,0))</f>
        <v>10334654936.09724</v>
      </c>
      <c r="M13">
        <f>INDEX($B$27:$GQ$27,MATCH(12,$B$29:$GQ$29,0))</f>
        <v>9809842483.4594231</v>
      </c>
      <c r="N13">
        <f>INDEX($B$27:$GQ$27,MATCH(13,$B$29:$GQ$29,0))</f>
        <v>8894202150.8144455</v>
      </c>
      <c r="O13">
        <f>INDEX($B$27:$GQ$27,MATCH(14,$B$29:$GQ$29,0))</f>
        <v>8717244366.3587112</v>
      </c>
      <c r="P13">
        <f>INDEX($B$27:$GQ$27,MATCH(15,$B$29:$GQ$29,0))</f>
        <v>8675079860.4615479</v>
      </c>
      <c r="Q13">
        <f>INDEX($B$27:$GQ$27,MATCH(16,$B$29:$GQ$29,0))</f>
        <v>8112192469.7527704</v>
      </c>
      <c r="R13">
        <f>INDEX($B$27:$GQ$27,MATCH(17,$B$29:$GQ$29,0))</f>
        <v>7315530058.7965345</v>
      </c>
      <c r="S13">
        <f>INDEX($B$27:$GQ$27,MATCH(18,$B$29:$GQ$29,0))</f>
        <v>6138492581.3044319</v>
      </c>
      <c r="T13">
        <f>INDEX($B$27:$GQ$27,MATCH(19,$B$29:$GQ$29,0))</f>
        <v>5433948300.8396959</v>
      </c>
      <c r="U13">
        <f>INDEX($B$27:$GQ$27,MATCH(20,$B$29:$GQ$29,0))</f>
        <v>5375491345.0280066</v>
      </c>
      <c r="V13">
        <f>INDEX($B$27:$GQ$27,MATCH(21,$B$29:$GQ$29,0))</f>
        <v>5239569275.9258718</v>
      </c>
      <c r="W13">
        <f>INDEX($B$27:$GQ$27,MATCH(22,$B$29:$GQ$29,0))</f>
        <v>5123434278.1280384</v>
      </c>
      <c r="X13">
        <f>INDEX($B$27:$GQ$27,MATCH(23,$B$29:$GQ$29,0))</f>
        <v>5000834190.5744352</v>
      </c>
      <c r="Y13">
        <f>INDEX($B$27:$GQ$27,MATCH(24,$B$29:$GQ$29,0))</f>
        <v>4495408417.7939262</v>
      </c>
      <c r="Z13">
        <f>INDEX($B$27:$GQ$27,MATCH(25,$B$29:$GQ$29,0))</f>
        <v>4419615628.4222546</v>
      </c>
      <c r="AA13">
        <f>INDEX($B$27:$GQ$27,MATCH(26,$B$29:$GQ$29,0))</f>
        <v>4038834212.9726148</v>
      </c>
      <c r="AB13">
        <f>INDEX($B$27:$GQ$27,MATCH(27,$B$29:$GQ$29,0))</f>
        <v>4017684440.4983702</v>
      </c>
      <c r="AC13">
        <f>INDEX($B$27:$GQ$27,MATCH(28,$B$29:$GQ$29,0))</f>
        <v>4006130383.2155218</v>
      </c>
      <c r="AD13">
        <f>INDEX($B$27:$GQ$27,MATCH(29,$B$29:$GQ$29,0))</f>
        <v>3918427162.8961072</v>
      </c>
      <c r="AE13">
        <f>INDEX($B$27:$GQ$27,MATCH(30,$B$29:$GQ$29,0))</f>
        <v>3784734981.6174798</v>
      </c>
      <c r="AF13">
        <f>INDEX($B$27:$GQ$27,MATCH(31,$B$29:$GQ$29,0))</f>
        <v>3511594589.9375048</v>
      </c>
      <c r="AG13">
        <f>INDEX($B$27:$GQ$27,MATCH(32,$B$29:$GQ$29,0))</f>
        <v>3217487641.2042518</v>
      </c>
      <c r="AH13">
        <f>INDEX($B$27:$GQ$27,MATCH(33,$B$29:$GQ$29,0))</f>
        <v>2921998694.552228</v>
      </c>
      <c r="AI13">
        <f>INDEX($B$27:$GQ$27,MATCH(34,$B$29:$GQ$29,0))</f>
        <v>2788021261.8388481</v>
      </c>
      <c r="AJ13">
        <f>INDEX($B$27:$GQ$27,MATCH(35,$B$29:$GQ$29,0))</f>
        <v>2740232513.9507909</v>
      </c>
      <c r="AK13">
        <f>INDEX($B$27:$GQ$27,MATCH(36,$B$29:$GQ$29,0))</f>
        <v>2722719468.792943</v>
      </c>
      <c r="AL13">
        <f>INDEX($B$27:$GQ$27,MATCH(37,$B$29:$GQ$29,0))</f>
        <v>2447650658.5454569</v>
      </c>
      <c r="AM13">
        <f>INDEX($B$27:$GQ$27,MATCH(38,$B$29:$GQ$29,0))</f>
        <v>2334904336.6772442</v>
      </c>
      <c r="AN13">
        <f>INDEX($B$27:$GQ$27,MATCH(39,$B$29:$GQ$29,0))</f>
        <v>2077371582.580158</v>
      </c>
      <c r="AO13">
        <f>INDEX($B$27:$GQ$27,MATCH(40,$B$29:$GQ$29,0))</f>
        <v>1952555359.550905</v>
      </c>
      <c r="AP13">
        <f>INDEX($B$27:$GQ$27,MATCH(41,$B$29:$GQ$29,0))</f>
        <v>1905830641.560569</v>
      </c>
      <c r="AQ13">
        <f>INDEX($B$27:$GQ$27,MATCH(42,$B$29:$GQ$29,0))</f>
        <v>1762230553.4355121</v>
      </c>
      <c r="AR13">
        <f>INDEX($B$27:$GQ$27,MATCH(43,$B$29:$GQ$29,0))</f>
        <v>1476219423.3651159</v>
      </c>
      <c r="AS13">
        <f>INDEX($B$27:$GQ$27,MATCH(44,$B$29:$GQ$29,0))</f>
        <v>1439313234.92786</v>
      </c>
      <c r="AT13">
        <f>INDEX($B$27:$GQ$27,MATCH(45,$B$29:$GQ$29,0))</f>
        <v>1372751945.2364631</v>
      </c>
      <c r="AU13">
        <f>INDEX($B$27:$GQ$27,MATCH(46,$B$29:$GQ$29,0))</f>
        <v>1195201917.0803969</v>
      </c>
      <c r="AV13">
        <f>INDEX($B$27:$GQ$27,MATCH(47,$B$29:$GQ$29,0))</f>
        <v>1180025194.5402229</v>
      </c>
      <c r="AW13">
        <f>INDEX($B$27:$GQ$27,MATCH(48,$B$29:$GQ$29,0))</f>
        <v>1164157800.6259661</v>
      </c>
      <c r="AX13">
        <f>INDEX($B$27:$GQ$27,MATCH(49,$B$29:$GQ$29,0))</f>
        <v>1151347551.397279</v>
      </c>
      <c r="AY13">
        <f>INDEX($B$27:$GQ$27,MATCH(50,$B$29:$GQ$29,0))</f>
        <v>1073493639.858947</v>
      </c>
      <c r="AZ13">
        <f>INDEX($B$27:$GQ$27,MATCH(51,$B$29:$GQ$29,0))</f>
        <v>1065947196.882908</v>
      </c>
      <c r="BA13">
        <f>INDEX($B$27:$GQ$27,MATCH(52,$B$29:$GQ$29,0))</f>
        <v>916669705.95741689</v>
      </c>
      <c r="BB13">
        <f>INDEX($B$27:$GQ$27,MATCH(53,$B$29:$GQ$29,0))</f>
        <v>889434580.33356261</v>
      </c>
      <c r="BC13">
        <f>INDEX($B$27:$GQ$27,MATCH(54,$B$29:$GQ$29,0))</f>
        <v>865722306.08766198</v>
      </c>
      <c r="BD13">
        <f>INDEX($B$27:$GQ$27,MATCH(55,$B$29:$GQ$29,0))</f>
        <v>826536678.74114859</v>
      </c>
      <c r="BE13">
        <f>INDEX($B$27:$GQ$27,MATCH(56,$B$29:$GQ$29,0))</f>
        <v>762376679.51331198</v>
      </c>
      <c r="BF13">
        <f>INDEX($B$27:$GQ$27,MATCH(57,$B$29:$GQ$29,0))</f>
        <v>685657151.64078629</v>
      </c>
      <c r="BG13">
        <f>INDEX($B$27:$GQ$27,MATCH(58,$B$29:$GQ$29,0))</f>
        <v>651622936.80604684</v>
      </c>
      <c r="BH13">
        <f>INDEX($B$27:$GQ$27,MATCH(59,$B$29:$GQ$29,0))</f>
        <v>630069838.39538002</v>
      </c>
      <c r="BI13">
        <f>INDEX($B$27:$GQ$27,MATCH(60,$B$29:$GQ$29,0))</f>
        <v>519399273.20207429</v>
      </c>
      <c r="BJ13">
        <f>INDEX($B$27:$GQ$27,MATCH(61,$B$29:$GQ$29,0))</f>
        <v>508235990.54350221</v>
      </c>
      <c r="BK13">
        <f>INDEX($B$27:$GQ$27,MATCH(62,$B$29:$GQ$29,0))</f>
        <v>498552105.89696842</v>
      </c>
      <c r="BL13">
        <f>INDEX($B$27:$GQ$27,MATCH(63,$B$29:$GQ$29,0))</f>
        <v>450085991.10407448</v>
      </c>
      <c r="BM13">
        <f>INDEX($B$27:$GQ$27,MATCH(64,$B$29:$GQ$29,0))</f>
        <v>432888468.96665972</v>
      </c>
      <c r="BN13">
        <f>INDEX($B$27:$GQ$27,MATCH(65,$B$29:$GQ$29,0))</f>
        <v>415741575.24408221</v>
      </c>
      <c r="BO13">
        <f>INDEX($B$27:$GQ$27,MATCH(66,$B$29:$GQ$29,0))</f>
        <v>399670688.65496981</v>
      </c>
      <c r="BP13">
        <f>INDEX($B$27:$GQ$27,MATCH(67,$B$29:$GQ$29,0))</f>
        <v>371404442.12384242</v>
      </c>
      <c r="BQ13">
        <f>INDEX($B$27:$GQ$27,MATCH(68,$B$29:$GQ$29,0))</f>
        <v>351453311.24040252</v>
      </c>
      <c r="BR13">
        <f>INDEX($B$27:$GQ$27,MATCH(69,$B$29:$GQ$29,0))</f>
        <v>334752325.77500403</v>
      </c>
      <c r="BS13">
        <f>INDEX($B$27:$GQ$27,MATCH(70,$B$29:$GQ$29,0))</f>
        <v>328368475.76830947</v>
      </c>
      <c r="BT13">
        <f>INDEX($B$27:$GQ$27,MATCH(71,$B$29:$GQ$29,0))</f>
        <v>283762991.9331252</v>
      </c>
      <c r="BU13">
        <f>INDEX($B$27:$GQ$27,MATCH(72,$B$29:$GQ$29,0))</f>
        <v>274195514.12874877</v>
      </c>
      <c r="BV13">
        <f>INDEX($B$27:$GQ$27,MATCH(73,$B$29:$GQ$29,0))</f>
        <v>272936267.67071527</v>
      </c>
      <c r="BW13">
        <f>INDEX($B$27:$GQ$27,MATCH(74,$B$29:$GQ$29,0))</f>
        <v>272820118.32479519</v>
      </c>
      <c r="BX13">
        <f>INDEX($B$27:$GQ$27,MATCH(75,$B$29:$GQ$29,0))</f>
        <v>253858376.83521029</v>
      </c>
      <c r="BY13">
        <f>INDEX($B$27:$GQ$27,MATCH(76,$B$29:$GQ$29,0))</f>
        <v>252427261.9853358</v>
      </c>
      <c r="BZ13">
        <f>INDEX($B$27:$GQ$27,MATCH(77,$B$29:$GQ$29,0))</f>
        <v>206857007.58084419</v>
      </c>
      <c r="CA13">
        <f>INDEX($B$27:$GQ$27,MATCH(78,$B$29:$GQ$29,0))</f>
        <v>195805174.1353918</v>
      </c>
      <c r="CB13">
        <f>INDEX($B$27:$GQ$27,MATCH(79,$B$29:$GQ$29,0))</f>
        <v>192897510.31304711</v>
      </c>
      <c r="CC13">
        <f>INDEX($B$27:$GQ$27,MATCH(80,$B$29:$GQ$29,0))</f>
        <v>173811602.33405569</v>
      </c>
      <c r="CD13">
        <f>INDEX($B$27:$GQ$27,MATCH(81,$B$29:$GQ$29,0))</f>
        <v>169120733.1434437</v>
      </c>
      <c r="CE13">
        <f>INDEX($B$27:$GQ$27,MATCH(82,$B$29:$GQ$29,0))</f>
        <v>141257008.45654061</v>
      </c>
      <c r="CF13">
        <f>INDEX($B$27:$GQ$27,MATCH(83,$B$29:$GQ$29,0))</f>
        <v>132887178.9803682</v>
      </c>
      <c r="CG13">
        <f>INDEX($B$27:$GQ$27,MATCH(84,$B$29:$GQ$29,0))</f>
        <v>132550921.0817069</v>
      </c>
      <c r="CH13">
        <f>INDEX($B$27:$GQ$27,MATCH(85,$B$29:$GQ$29,0))</f>
        <v>126819181.3508925</v>
      </c>
      <c r="CI13">
        <f>INDEX($B$27:$GQ$27,MATCH(86,$B$29:$GQ$29,0))</f>
        <v>114602045.48428591</v>
      </c>
      <c r="CJ13">
        <f>INDEX($B$27:$GQ$27,MATCH(87,$B$29:$GQ$29,0))</f>
        <v>107438173.7499733</v>
      </c>
      <c r="CK13">
        <f>INDEX($B$27:$GQ$27,MATCH(88,$B$29:$GQ$29,0))</f>
        <v>106567315.743772</v>
      </c>
      <c r="CL13">
        <f>INDEX($B$27:$GQ$27,MATCH(89,$B$29:$GQ$29,0))</f>
        <v>89830207.101015717</v>
      </c>
      <c r="CM13">
        <f>INDEX($B$27:$GQ$27,MATCH(90,$B$29:$GQ$29,0))</f>
        <v>87238838.665286079</v>
      </c>
      <c r="CN13">
        <f>INDEX($B$27:$GQ$27,MATCH(91,$B$29:$GQ$29,0))</f>
        <v>75883926.157353252</v>
      </c>
      <c r="CO13">
        <f>INDEX($B$27:$GQ$27,MATCH(92,$B$29:$GQ$29,0))</f>
        <v>75741696.339276031</v>
      </c>
      <c r="CP13">
        <f>INDEX($B$27:$GQ$27,MATCH(93,$B$29:$GQ$29,0))</f>
        <v>75039616.890307322</v>
      </c>
      <c r="CQ13">
        <f>INDEX($B$27:$GQ$27,MATCH(94,$B$29:$GQ$29,0))</f>
        <v>73359588.732515678</v>
      </c>
      <c r="CR13">
        <f>INDEX($B$27:$GQ$27,MATCH(95,$B$29:$GQ$29,0))</f>
        <v>73001231.195274532</v>
      </c>
      <c r="CS13">
        <f>INDEX($B$27:$GQ$27,MATCH(96,$B$29:$GQ$29,0))</f>
        <v>58220240.307083197</v>
      </c>
      <c r="CT13">
        <f>INDEX($B$27:$GQ$27,MATCH(97,$B$29:$GQ$29,0))</f>
        <v>57634515.169775948</v>
      </c>
      <c r="CU13">
        <f>INDEX($B$27:$GQ$27,MATCH(98,$B$29:$GQ$29,0))</f>
        <v>52263497.440405831</v>
      </c>
      <c r="CV13">
        <f>INDEX($B$27:$GQ$27,MATCH(99,$B$29:$GQ$29,0))</f>
        <v>50477787.93241901</v>
      </c>
      <c r="CW13">
        <f>INDEX($B$27:$GQ$27,MATCH(100,$B$29:$GQ$29,0))</f>
        <v>35833195.797687568</v>
      </c>
      <c r="CX13">
        <f>INDEX($B$27:$GQ$27,MATCH(101,$B$29:$GQ$29,0))</f>
        <v>32435274.67467856</v>
      </c>
      <c r="CY13">
        <f>INDEX($B$27:$GQ$27,MATCH(102,$B$29:$GQ$29,0))</f>
        <v>31120840.658522151</v>
      </c>
      <c r="CZ13">
        <f>INDEX($B$27:$GQ$27,MATCH(103,$B$29:$GQ$29,0))</f>
        <v>31072824.247834351</v>
      </c>
      <c r="DA13">
        <f>INDEX($B$27:$GQ$27,MATCH(104,$B$29:$GQ$29,0))</f>
        <v>29601310.884102859</v>
      </c>
      <c r="DB13">
        <f>INDEX($B$27:$GQ$27,MATCH(105,$B$29:$GQ$29,0))</f>
        <v>27739224.489533689</v>
      </c>
      <c r="DC13">
        <f>INDEX($B$27:$GQ$27,MATCH(106,$B$29:$GQ$29,0))</f>
        <v>26783725.648489259</v>
      </c>
      <c r="DD13">
        <f>INDEX($B$27:$GQ$27,MATCH(107,$B$29:$GQ$29,0))</f>
        <v>23059232.456591431</v>
      </c>
      <c r="DE13">
        <f>INDEX($B$27:$GQ$27,MATCH(108,$B$29:$GQ$29,0))</f>
        <v>17950153.188268159</v>
      </c>
      <c r="DF13">
        <f>INDEX($B$27:$GQ$27,MATCH(109,$B$29:$GQ$29,0))</f>
        <v>15513062.15522483</v>
      </c>
      <c r="DG13">
        <f>INDEX($B$27:$GQ$27,MATCH(110,$B$29:$GQ$29,0))</f>
        <v>13562830.07136054</v>
      </c>
      <c r="DH13">
        <f>INDEX($B$27:$GQ$27,MATCH(111,$B$29:$GQ$29,0))</f>
        <v>11661249.11448746</v>
      </c>
      <c r="DI13">
        <f>INDEX($B$27:$GQ$27,MATCH(112,$B$29:$GQ$29,0))</f>
        <v>6351928.5349163935</v>
      </c>
      <c r="DJ13">
        <f>INDEX($B$27:$GQ$27,MATCH(113,$B$29:$GQ$29,0))</f>
        <v>5808113.4420254016</v>
      </c>
      <c r="DK13">
        <f>INDEX($B$27:$GQ$27,MATCH(114,$B$29:$GQ$29,0))</f>
        <v>5370763.1053229608</v>
      </c>
      <c r="DL13">
        <f>INDEX($B$27:$GQ$27,MATCH(115,$B$29:$GQ$29,0))</f>
        <v>4843676.736293098</v>
      </c>
      <c r="DM13">
        <f>INDEX($B$27:$GQ$27,MATCH(116,$B$29:$GQ$29,0))</f>
        <v>4017426.2903243592</v>
      </c>
      <c r="DN13">
        <f>INDEX($B$27:$GQ$27,MATCH(117,$B$29:$GQ$29,0))</f>
        <v>2387025.468232803</v>
      </c>
      <c r="DO13">
        <f>INDEX($B$27:$GQ$27,MATCH(118,$B$29:$GQ$29,0))</f>
        <v>1945571.5851417109</v>
      </c>
      <c r="DP13">
        <f>INDEX($B$27:$GQ$27,MATCH(119,$B$29:$GQ$29,0))</f>
        <v>1842215.1248637571</v>
      </c>
      <c r="DQ13">
        <f>INDEX($B$27:$GQ$27,MATCH(120,$B$29:$GQ$29,0))</f>
        <v>1571949.28330038</v>
      </c>
      <c r="DR13">
        <f>INDEX($B$27:$GQ$27,MATCH(121,$B$29:$GQ$29,0))</f>
        <v>538142.06782491156</v>
      </c>
      <c r="DS13">
        <f>INDEX($B$27:$GQ$27,MATCH(122,$B$29:$GQ$29,0))</f>
        <v>512941.40490169899</v>
      </c>
      <c r="DT13">
        <f>INDEX($B$27:$GQ$27,MATCH(123,$B$29:$GQ$29,0))</f>
        <v>508367.89709283912</v>
      </c>
      <c r="DU13">
        <f>INDEX($B$27:$GQ$27,MATCH(124,$B$29:$GQ$29,0))</f>
        <v>403127.7434548047</v>
      </c>
      <c r="DV13">
        <f>INDEX($B$27:$GQ$27,MATCH(125,$B$29:$GQ$29,0))</f>
        <v>284912.75052939821</v>
      </c>
      <c r="DW13">
        <f>INDEX($B$27:$GQ$27,MATCH(126,$B$29:$GQ$29,0))</f>
        <v>112342.0456256805</v>
      </c>
      <c r="DX13">
        <f>INDEX($B$27:$GQ$27,MATCH(127,$B$29:$GQ$29,0))</f>
        <v>45408.390983140343</v>
      </c>
      <c r="DY13">
        <f>INDEX($B$27:$GQ$27,MATCH(128,$B$29:$GQ$29,0))</f>
        <v>29887.042729068071</v>
      </c>
      <c r="DZ13">
        <f>INDEX($B$27:$GQ$27,MATCH(129,$B$29:$GQ$29,0))</f>
        <v>25372.215743937129</v>
      </c>
      <c r="EA13">
        <f>INDEX($B$27:$GQ$27,MATCH(130,$B$29:$GQ$29,0))</f>
        <v>2096.3407163398269</v>
      </c>
      <c r="EB13">
        <f>INDEX($B$27:$GQ$27,MATCH(131,$B$29:$GQ$29,0))</f>
        <v>493.06634555313991</v>
      </c>
      <c r="EC13">
        <f>INDEX($B$27:$GQ$27,MATCH(132,$B$29:$GQ$29,0))</f>
        <v>53.747114746363643</v>
      </c>
      <c r="ED13">
        <f>INDEX($B$27:$GQ$27,MATCH(133,$B$29:$GQ$29,0))</f>
        <v>0</v>
      </c>
      <c r="EE13">
        <f>INDEX($B$27:$GQ$27,MATCH(134,$B$29:$GQ$29,0))</f>
        <v>0</v>
      </c>
      <c r="EF13">
        <f>INDEX($B$27:$GQ$27,MATCH(135,$B$29:$GQ$29,0))</f>
        <v>0</v>
      </c>
      <c r="EG13">
        <f>INDEX($B$27:$GQ$27,MATCH(136,$B$29:$GQ$29,0))</f>
        <v>0</v>
      </c>
      <c r="EH13">
        <f>INDEX($B$27:$GQ$27,MATCH(137,$B$29:$GQ$29,0))</f>
        <v>0</v>
      </c>
      <c r="EI13">
        <f>INDEX($B$27:$GQ$27,MATCH(138,$B$29:$GQ$29,0))</f>
        <v>0</v>
      </c>
      <c r="EJ13">
        <f>INDEX($B$27:$GQ$27,MATCH(139,$B$29:$GQ$29,0))</f>
        <v>0</v>
      </c>
      <c r="EK13">
        <f>INDEX($B$27:$GQ$27,MATCH(140,$B$29:$GQ$29,0))</f>
        <v>0</v>
      </c>
      <c r="EL13">
        <f>INDEX($B$27:$GQ$27,MATCH(141,$B$29:$GQ$29,0))</f>
        <v>0</v>
      </c>
      <c r="EM13">
        <f>INDEX($B$27:$GQ$27,MATCH(142,$B$29:$GQ$29,0))</f>
        <v>0</v>
      </c>
      <c r="EN13">
        <f>INDEX($B$27:$GQ$27,MATCH(143,$B$29:$GQ$29,0))</f>
        <v>0</v>
      </c>
      <c r="EO13">
        <f>INDEX($B$27:$GQ$27,MATCH(144,$B$29:$GQ$29,0))</f>
        <v>0</v>
      </c>
      <c r="EP13">
        <f>INDEX($B$27:$GQ$27,MATCH(145,$B$29:$GQ$29,0))</f>
        <v>0</v>
      </c>
      <c r="EQ13">
        <f>INDEX($B$27:$GQ$27,MATCH(146,$B$29:$GQ$29,0))</f>
        <v>0</v>
      </c>
      <c r="ER13">
        <f>INDEX($B$27:$GQ$27,MATCH(147,$B$29:$GQ$29,0))</f>
        <v>0</v>
      </c>
      <c r="ES13">
        <f>INDEX($B$27:$GQ$27,MATCH(148,$B$29:$GQ$29,0))</f>
        <v>0</v>
      </c>
      <c r="ET13">
        <f>INDEX($B$27:$GQ$27,MATCH(149,$B$29:$GQ$29,0))</f>
        <v>0</v>
      </c>
      <c r="EU13">
        <f>INDEX($B$27:$GQ$27,MATCH(150,$B$29:$GQ$29,0))</f>
        <v>0</v>
      </c>
      <c r="EV13">
        <f>INDEX($B$27:$GQ$27,MATCH(151,$B$29:$GQ$29,0))</f>
        <v>0</v>
      </c>
      <c r="EW13">
        <f>INDEX($B$27:$GQ$27,MATCH(152,$B$29:$GQ$29,0))</f>
        <v>0</v>
      </c>
      <c r="EX13">
        <f>INDEX($B$27:$GQ$27,MATCH(153,$B$29:$GQ$29,0))</f>
        <v>0</v>
      </c>
      <c r="EY13">
        <f>INDEX($B$27:$GQ$27,MATCH(154,$B$29:$GQ$29,0))</f>
        <v>0</v>
      </c>
      <c r="EZ13">
        <f>INDEX($B$27:$GQ$27,MATCH(155,$B$29:$GQ$29,0))</f>
        <v>0</v>
      </c>
      <c r="FA13">
        <f>INDEX($B$27:$GQ$27,MATCH(156,$B$29:$GQ$29,0))</f>
        <v>0</v>
      </c>
      <c r="FB13">
        <f>INDEX($B$27:$GQ$27,MATCH(157,$B$29:$GQ$29,0))</f>
        <v>0</v>
      </c>
      <c r="FC13">
        <f>INDEX($B$27:$GQ$27,MATCH(158,$B$29:$GQ$29,0))</f>
        <v>0</v>
      </c>
      <c r="FD13">
        <f>INDEX($B$27:$GQ$27,MATCH(159,$B$29:$GQ$29,0))</f>
        <v>0</v>
      </c>
      <c r="FE13">
        <f>INDEX($B$27:$GQ$27,MATCH(160,$B$29:$GQ$29,0))</f>
        <v>0</v>
      </c>
      <c r="FF13">
        <f>INDEX($B$27:$GQ$27,MATCH(161,$B$29:$GQ$29,0))</f>
        <v>0</v>
      </c>
      <c r="FG13">
        <f>INDEX($B$27:$GQ$27,MATCH(162,$B$29:$GQ$29,0))</f>
        <v>0</v>
      </c>
      <c r="FH13">
        <f>INDEX($B$27:$GQ$27,MATCH(163,$B$29:$GQ$29,0))</f>
        <v>0</v>
      </c>
      <c r="FI13">
        <f>INDEX($B$27:$GQ$27,MATCH(164,$B$29:$GQ$29,0))</f>
        <v>0</v>
      </c>
      <c r="FJ13">
        <f>INDEX($B$27:$GQ$27,MATCH(165,$B$29:$GQ$29,0))</f>
        <v>0</v>
      </c>
      <c r="FK13">
        <f>INDEX($B$27:$GQ$27,MATCH(166,$B$29:$GQ$29,0))</f>
        <v>0</v>
      </c>
      <c r="FL13">
        <f>INDEX($B$27:$GQ$27,MATCH(167,$B$29:$GQ$29,0))</f>
        <v>0</v>
      </c>
      <c r="FM13">
        <f>INDEX($B$27:$GQ$27,MATCH(168,$B$29:$GQ$29,0))</f>
        <v>0</v>
      </c>
      <c r="FN13">
        <f>INDEX($B$27:$GQ$27,MATCH(169,$B$29:$GQ$29,0))</f>
        <v>0</v>
      </c>
      <c r="FO13">
        <f>INDEX($B$27:$GQ$27,MATCH(170,$B$29:$GQ$29,0))</f>
        <v>0</v>
      </c>
      <c r="FP13">
        <f>INDEX($B$27:$GQ$27,MATCH(171,$B$29:$GQ$29,0))</f>
        <v>0</v>
      </c>
      <c r="FQ13">
        <f>INDEX($B$27:$GQ$27,MATCH(172,$B$29:$GQ$29,0))</f>
        <v>0</v>
      </c>
      <c r="FR13">
        <f>INDEX($B$27:$GQ$27,MATCH(173,$B$29:$GQ$29,0))</f>
        <v>0</v>
      </c>
      <c r="FS13">
        <f>INDEX($B$27:$GQ$27,MATCH(174,$B$29:$GQ$29,0))</f>
        <v>0</v>
      </c>
      <c r="FT13">
        <f>INDEX($B$27:$GQ$27,MATCH(175,$B$29:$GQ$29,0))</f>
        <v>0</v>
      </c>
      <c r="FU13">
        <f>INDEX($B$27:$GQ$27,MATCH(176,$B$29:$GQ$29,0))</f>
        <v>0</v>
      </c>
      <c r="FV13">
        <f>INDEX($B$27:$GQ$27,MATCH(177,$B$29:$GQ$29,0))</f>
        <v>0</v>
      </c>
      <c r="FW13">
        <f>INDEX($B$27:$GQ$27,MATCH(178,$B$29:$GQ$29,0))</f>
        <v>0</v>
      </c>
      <c r="FX13">
        <f>INDEX($B$27:$GQ$27,MATCH(179,$B$29:$GQ$29,0))</f>
        <v>0</v>
      </c>
      <c r="FY13">
        <f>INDEX($B$27:$GQ$27,MATCH(180,$B$29:$GQ$29,0))</f>
        <v>0</v>
      </c>
      <c r="FZ13">
        <f>INDEX($B$27:$GQ$27,MATCH(181,$B$29:$GQ$29,0))</f>
        <v>0</v>
      </c>
      <c r="GA13">
        <f>INDEX($B$27:$GQ$27,MATCH(182,$B$29:$GQ$29,0))</f>
        <v>0</v>
      </c>
      <c r="GB13">
        <f>INDEX($B$27:$GQ$27,MATCH(183,$B$29:$GQ$29,0))</f>
        <v>0</v>
      </c>
      <c r="GC13">
        <f>INDEX($B$27:$GQ$27,MATCH(184,$B$29:$GQ$29,0))</f>
        <v>0</v>
      </c>
      <c r="GD13">
        <f>INDEX($B$27:$GQ$27,MATCH(185,$B$29:$GQ$29,0))</f>
        <v>0</v>
      </c>
      <c r="GE13">
        <f>INDEX($B$27:$GQ$27,MATCH(186,$B$29:$GQ$29,0))</f>
        <v>0</v>
      </c>
      <c r="GF13">
        <f>INDEX($B$27:$GQ$27,MATCH(187,$B$29:$GQ$29,0))</f>
        <v>0</v>
      </c>
      <c r="GG13">
        <f>INDEX($B$27:$GQ$27,MATCH(188,$B$29:$GQ$29,0))</f>
        <v>0</v>
      </c>
      <c r="GH13">
        <f>INDEX($B$27:$GQ$27,MATCH(189,$B$29:$GQ$29,0))</f>
        <v>0</v>
      </c>
      <c r="GI13">
        <f>INDEX($B$27:$GQ$27,MATCH(190,$B$29:$GQ$29,0))</f>
        <v>0</v>
      </c>
      <c r="GJ13">
        <f>INDEX($B$27:$GQ$27,MATCH(191,$B$29:$GQ$29,0))</f>
        <v>0</v>
      </c>
      <c r="GK13">
        <f>INDEX($B$27:$GQ$27,MATCH(192,$B$29:$GQ$29,0))</f>
        <v>0</v>
      </c>
      <c r="GL13">
        <f>INDEX($B$27:$GQ$27,MATCH(193,$B$29:$GQ$29,0))</f>
        <v>0</v>
      </c>
      <c r="GM13">
        <f>INDEX($B$27:$GQ$27,MATCH(194,$B$29:$GQ$29,0))</f>
        <v>0</v>
      </c>
      <c r="GN13">
        <f>INDEX($B$27:$GQ$27,MATCH(195,$B$29:$GQ$29,0))</f>
        <v>0</v>
      </c>
      <c r="GO13">
        <f>INDEX($B$27:$GQ$27,MATCH(196,$B$29:$GQ$29,0))</f>
        <v>0</v>
      </c>
      <c r="GP13">
        <f>INDEX($B$27:$GQ$27,MATCH(197,$B$29:$GQ$29,0))</f>
        <v>0</v>
      </c>
      <c r="GQ13">
        <f>INDEX($B$27:$GQ$27,MATCH(198,$B$29:$GQ$29,0))</f>
        <v>0</v>
      </c>
      <c r="GR13">
        <f>INDEX($GR$27:$HC$27,MATCH(1,$GR$30:$HC$30,0))</f>
        <v>73377579512.113556</v>
      </c>
      <c r="GS13">
        <f>INDEX($GR$27:$HC$27,MATCH(2,$GR$30:$HC$30,0))</f>
        <v>58539877116.15789</v>
      </c>
      <c r="GT13">
        <f>INDEX($GR$27:$HC$27,MATCH(3,$GR$30:$HC$30,0))</f>
        <v>49043982970.827332</v>
      </c>
      <c r="GU13">
        <f>INDEX($GR$27:$HC$27,MATCH(4,$GR$30:$HC$30,0))</f>
        <v>43009016660.821274</v>
      </c>
      <c r="GV13">
        <f>INDEX($GR$27:$HC$27,MATCH(5,$GR$30:$HC$30,0))</f>
        <v>37871850271.278862</v>
      </c>
      <c r="GW13">
        <f>INDEX($GR$27:$HC$27,MATCH(6,$GR$30:$HC$30,0))</f>
        <v>31350621203.901958</v>
      </c>
      <c r="GX13">
        <f>INDEX($GR$27:$HC$27,MATCH(7,$GR$30:$HC$30,0))</f>
        <v>18986505248.67672</v>
      </c>
      <c r="GY13">
        <f>INDEX($GR$27:$HC$27,MATCH(8,$GR$30:$HC$30,0))</f>
        <v>18317760456.055649</v>
      </c>
      <c r="GZ13">
        <f>INDEX($GR$27:$HC$27,MATCH(9,$GR$30:$HC$30,0))</f>
        <v>14580627605.71011</v>
      </c>
      <c r="HA13">
        <f>INDEX($GR$27:$HC$27,MATCH(10,$GR$30:$HC$30,0))</f>
        <v>13666303628.365009</v>
      </c>
      <c r="HB13">
        <f>INDEX($GR$27:$HC$27,MATCH(11,$GR$30:$HC$30,0))</f>
        <v>8782518034.2115211</v>
      </c>
      <c r="HC13">
        <f>INDEX($GR$27:$HC$27,MATCH(12,$GR$30:$HC$30,0))</f>
        <v>5139911504.8526764</v>
      </c>
    </row>
    <row r="14" spans="1:211" x14ac:dyDescent="0.45">
      <c r="A14" s="2" t="str">
        <f>"Part de "&amp;$B$1&amp;" (%)"</f>
        <v>Part de M_imp*Y_dom+M_dom*Y_dom+M_row*Y_imp (%)</v>
      </c>
      <c r="B14" s="3">
        <f>IFERROR(INDEX($B$28:$GQ$28,MATCH(1,$B$29:$GQ$29,0))/SUM($B$28:$GQ$28)*100,0)</f>
        <v>7.0973047858561982</v>
      </c>
      <c r="C14" s="3">
        <f>IFERROR(INDEX($B$28:$GQ$28,MATCH(2,$B$29:$GQ$29,0))/SUM($B$28:$GQ$28)*100,0)</f>
        <v>6.6146953480933783</v>
      </c>
      <c r="D14" s="3">
        <f>IFERROR(INDEX($B$28:$GQ$28,MATCH(3,$B$29:$GQ$29,0))/SUM($B$28:$GQ$28)*100,0)</f>
        <v>5.4865777679684689</v>
      </c>
      <c r="E14" s="3">
        <f>IFERROR(INDEX($B$28:$GQ$28,MATCH(4,$B$29:$GQ$29,0))/SUM($B$28:$GQ$28)*100,0)</f>
        <v>5.1075647542288296</v>
      </c>
      <c r="F14" s="3">
        <f>IFERROR(INDEX($B$28:$GQ$28,MATCH(5,$B$29:$GQ$29,0))/SUM($B$28:$GQ$28)*100,0)</f>
        <v>4.2138106590973532</v>
      </c>
      <c r="G14" s="3">
        <f>IFERROR(INDEX($B$28:$GQ$28,MATCH(6,$B$29:$GQ$29,0))/SUM($B$28:$GQ$28)*100,0)</f>
        <v>4.145215333770941</v>
      </c>
      <c r="H14" s="3">
        <f>IFERROR(INDEX($B$28:$GQ$28,MATCH(7,$B$29:$GQ$29,0))/SUM($B$28:$GQ$28)*100,0)</f>
        <v>4.0379680992642841</v>
      </c>
      <c r="I14" s="3">
        <f>IFERROR(INDEX($B$28:$GQ$28,MATCH(8,$B$29:$GQ$29,0))/SUM($B$28:$GQ$28)*100,0)</f>
        <v>4.0313274662404455</v>
      </c>
      <c r="J14" s="3">
        <f>IFERROR(INDEX($B$28:$GQ$28,MATCH(9,$B$29:$GQ$29,0))/SUM($B$28:$GQ$28)*100,0)</f>
        <v>3.9491858388694339</v>
      </c>
      <c r="K14" s="3">
        <f>IFERROR(INDEX($B$28:$GQ$28,MATCH(10,$B$29:$GQ$29,0))/SUM($B$28:$GQ$28)*100,0)</f>
        <v>3.38704225036187</v>
      </c>
      <c r="L14" s="3">
        <f>IFERROR(INDEX($B$28:$GQ$28,MATCH(11,$B$29:$GQ$29,0))/SUM($B$28:$GQ$28)*100,0)</f>
        <v>2.9864310082008698</v>
      </c>
      <c r="M14" s="3">
        <f>IFERROR(INDEX($B$28:$GQ$28,MATCH(12,$B$29:$GQ$29,0))/SUM($B$28:$GQ$28)*100,0)</f>
        <v>2.8347746450480802</v>
      </c>
      <c r="N14" s="3">
        <f>IFERROR(INDEX($B$28:$GQ$28,MATCH(13,$B$29:$GQ$29,0))/SUM($B$28:$GQ$28)*100,0)</f>
        <v>2.5701797748101614</v>
      </c>
      <c r="O14" s="3">
        <f>IFERROR(INDEX($B$28:$GQ$28,MATCH(14,$B$29:$GQ$29,0))/SUM($B$28:$GQ$28)*100,0)</f>
        <v>2.5190438425599933</v>
      </c>
      <c r="P14" s="3">
        <f>IFERROR(INDEX($B$28:$GQ$28,MATCH(15,$B$29:$GQ$29,0))/SUM($B$28:$GQ$28)*100,0)</f>
        <v>2.5068594601461274</v>
      </c>
      <c r="Q14" s="3">
        <f>IFERROR(INDEX($B$28:$GQ$28,MATCH(16,$B$29:$GQ$29,0))/SUM($B$28:$GQ$28)*100,0)</f>
        <v>2.3442004871922815</v>
      </c>
      <c r="R14" s="3">
        <f>IFERROR(INDEX($B$28:$GQ$28,MATCH(17,$B$29:$GQ$29,0))/SUM($B$28:$GQ$28)*100,0)</f>
        <v>2.1139869636775588</v>
      </c>
      <c r="S14" s="3">
        <f>IFERROR(INDEX($B$28:$GQ$28,MATCH(18,$B$29:$GQ$29,0))/SUM($B$28:$GQ$28)*100,0)</f>
        <v>1.7738555086524721</v>
      </c>
      <c r="T14" s="3">
        <f>IFERROR(INDEX($B$28:$GQ$28,MATCH(19,$B$29:$GQ$29,0))/SUM($B$28:$GQ$28)*100,0)</f>
        <v>1.570261591018969</v>
      </c>
      <c r="U14" s="3">
        <f>IFERROR(INDEX($B$28:$GQ$28,MATCH(20,$B$29:$GQ$29,0))/SUM($B$28:$GQ$28)*100,0)</f>
        <v>1.5533691387251545</v>
      </c>
      <c r="V14" s="3">
        <f>IFERROR(INDEX($B$28:$GQ$28,MATCH(21,$B$29:$GQ$29,0))/SUM($B$28:$GQ$28)*100,0)</f>
        <v>1.5140913994706373</v>
      </c>
      <c r="W14" s="3">
        <f>IFERROR(INDEX($B$28:$GQ$28,MATCH(22,$B$29:$GQ$29,0))/SUM($B$28:$GQ$28)*100,0)</f>
        <v>1.4805315795535376</v>
      </c>
      <c r="X14" s="3">
        <f>IFERROR(INDEX($B$28:$GQ$28,MATCH(23,$B$29:$GQ$29,0))/SUM($B$28:$GQ$28)*100,0)</f>
        <v>1.4451035265278516</v>
      </c>
      <c r="Y14" s="3">
        <f>IFERROR(INDEX($B$28:$GQ$28,MATCH(24,$B$29:$GQ$29,0))/SUM($B$28:$GQ$28)*100,0)</f>
        <v>1.2990493805975942</v>
      </c>
      <c r="Z14" s="3">
        <f>IFERROR(INDEX($B$28:$GQ$28,MATCH(25,$B$29:$GQ$29,0))/SUM($B$28:$GQ$28)*100,0)</f>
        <v>1.2771473492499394</v>
      </c>
      <c r="AA14" s="3">
        <f>IFERROR(INDEX($B$28:$GQ$28,MATCH(26,$B$29:$GQ$29,0))/SUM($B$28:$GQ$28)*100,0)</f>
        <v>1.1671119940806587</v>
      </c>
      <c r="AB14" s="3">
        <f>IFERROR(INDEX($B$28:$GQ$28,MATCH(27,$B$29:$GQ$29,0))/SUM($B$28:$GQ$28)*100,0)</f>
        <v>1.1610002915880226</v>
      </c>
      <c r="AC14" s="3">
        <f>IFERROR(INDEX($B$28:$GQ$28,MATCH(28,$B$29:$GQ$29,0))/SUM($B$28:$GQ$28)*100,0)</f>
        <v>1.1576614868428825</v>
      </c>
      <c r="AD14" s="3">
        <f>IFERROR(INDEX($B$28:$GQ$28,MATCH(29,$B$29:$GQ$29,0))/SUM($B$28:$GQ$28)*100,0)</f>
        <v>1.1323176685634613</v>
      </c>
      <c r="AE14" s="3">
        <f>IFERROR(INDEX($B$28:$GQ$28,MATCH(30,$B$29:$GQ$29,0))/SUM($B$28:$GQ$28)*100,0)</f>
        <v>1.0936843055539285</v>
      </c>
      <c r="AF14" s="3">
        <f>IFERROR(INDEX($B$28:$GQ$28,MATCH(31,$B$29:$GQ$29,0))/SUM($B$28:$GQ$28)*100,0)</f>
        <v>1.0147542454455789</v>
      </c>
      <c r="AG14" s="3">
        <f>IFERROR(INDEX($B$28:$GQ$28,MATCH(32,$B$29:$GQ$29,0))/SUM($B$28:$GQ$28)*100,0)</f>
        <v>0.92976542706167054</v>
      </c>
      <c r="AH14" s="3">
        <f>IFERROR(INDEX($B$28:$GQ$28,MATCH(33,$B$29:$GQ$29,0))/SUM($B$28:$GQ$28)*100,0)</f>
        <v>0.84437724929291513</v>
      </c>
      <c r="AI14" s="3">
        <f>IFERROR(INDEX($B$28:$GQ$28,MATCH(34,$B$29:$GQ$29,0))/SUM($B$28:$GQ$28)*100,0)</f>
        <v>0.80566145646495613</v>
      </c>
      <c r="AJ14" s="3">
        <f>IFERROR(INDEX($B$28:$GQ$28,MATCH(35,$B$29:$GQ$29,0))/SUM($B$28:$GQ$28)*100,0)</f>
        <v>0.79185182281792477</v>
      </c>
      <c r="AK14" s="3">
        <f>IFERROR(INDEX($B$28:$GQ$28,MATCH(36,$B$29:$GQ$29,0))/SUM($B$28:$GQ$28)*100,0)</f>
        <v>0.78679103448674026</v>
      </c>
      <c r="AL14" s="3">
        <f>IFERROR(INDEX($B$28:$GQ$28,MATCH(37,$B$29:$GQ$29,0))/SUM($B$28:$GQ$28)*100,0)</f>
        <v>0.70730371445607909</v>
      </c>
      <c r="AM14" s="3">
        <f>IFERROR(INDEX($B$28:$GQ$28,MATCH(38,$B$29:$GQ$29,0))/SUM($B$28:$GQ$28)*100,0)</f>
        <v>0.67472312867263351</v>
      </c>
      <c r="AN14" s="3">
        <f>IFERROR(INDEX($B$28:$GQ$28,MATCH(39,$B$29:$GQ$29,0))/SUM($B$28:$GQ$28)*100,0)</f>
        <v>0.60030324651705658</v>
      </c>
      <c r="AO14" s="3">
        <f>IFERROR(INDEX($B$28:$GQ$28,MATCH(40,$B$29:$GQ$29,0))/SUM($B$28:$GQ$28)*100,0)</f>
        <v>0.56423479129664034</v>
      </c>
      <c r="AP14" s="3">
        <f>IFERROR(INDEX($B$28:$GQ$28,MATCH(41,$B$29:$GQ$29,0))/SUM($B$28:$GQ$28)*100,0)</f>
        <v>0.55073263302250297</v>
      </c>
      <c r="AQ14" s="3">
        <f>IFERROR(INDEX($B$28:$GQ$28,MATCH(42,$B$29:$GQ$29,0))/SUM($B$28:$GQ$28)*100,0)</f>
        <v>0.50923615746441353</v>
      </c>
      <c r="AR14" s="3">
        <f>IFERROR(INDEX($B$28:$GQ$28,MATCH(43,$B$29:$GQ$29,0))/SUM($B$28:$GQ$28)*100,0)</f>
        <v>0.42658680798788767</v>
      </c>
      <c r="AS14" s="3">
        <f>IFERROR(INDEX($B$28:$GQ$28,MATCH(44,$B$29:$GQ$29,0))/SUM($B$28:$GQ$28)*100,0)</f>
        <v>0.4159219346829694</v>
      </c>
      <c r="AT14" s="3">
        <f>IFERROR(INDEX($B$28:$GQ$28,MATCH(45,$B$29:$GQ$29,0))/SUM($B$28:$GQ$28)*100,0)</f>
        <v>0.3966875528183248</v>
      </c>
      <c r="AU14" s="3">
        <f>IFERROR(INDEX($B$28:$GQ$28,MATCH(46,$B$29:$GQ$29,0))/SUM($B$28:$GQ$28)*100,0)</f>
        <v>0.34538047842920616</v>
      </c>
      <c r="AV14" s="3">
        <f>IFERROR(INDEX($B$28:$GQ$28,MATCH(47,$B$29:$GQ$29,0))/SUM($B$28:$GQ$28)*100,0)</f>
        <v>0.34099482307089063</v>
      </c>
      <c r="AW14" s="3">
        <f>IFERROR(INDEX($B$28:$GQ$28,MATCH(48,$B$29:$GQ$29,0))/SUM($B$28:$GQ$28)*100,0)</f>
        <v>0.33640958268329341</v>
      </c>
      <c r="AX14" s="3">
        <f>IFERROR(INDEX($B$28:$GQ$28,MATCH(49,$B$29:$GQ$29,0))/SUM($B$28:$GQ$28)*100,0)</f>
        <v>0.33270777301902416</v>
      </c>
      <c r="AY14" s="3">
        <f>IFERROR(INDEX($B$28:$GQ$28,MATCH(50,$B$29:$GQ$29,0))/SUM($B$28:$GQ$28)*100,0)</f>
        <v>0.31021013405909148</v>
      </c>
      <c r="AZ14" s="3">
        <f>IFERROR(INDEX($B$28:$GQ$28,MATCH(51,$B$29:$GQ$29,0))/SUM($B$28:$GQ$28)*100,0)</f>
        <v>0.30802941961389552</v>
      </c>
      <c r="BA14" s="3">
        <f>IFERROR(INDEX($B$28:$GQ$28,MATCH(52,$B$29:$GQ$29,0))/SUM($B$28:$GQ$28)*100,0)</f>
        <v>0.26489233081094182</v>
      </c>
      <c r="BB14" s="3">
        <f>IFERROR(INDEX($B$28:$GQ$28,MATCH(53,$B$29:$GQ$29,0))/SUM($B$28:$GQ$28)*100,0)</f>
        <v>0.25702212864374302</v>
      </c>
      <c r="BC14" s="3">
        <f>IFERROR(INDEX($B$28:$GQ$28,MATCH(54,$B$29:$GQ$29,0))/SUM($B$28:$GQ$28)*100,0)</f>
        <v>0.25016993362409362</v>
      </c>
      <c r="BD14" s="3">
        <f>IFERROR(INDEX($B$28:$GQ$28,MATCH(55,$B$29:$GQ$29,0))/SUM($B$28:$GQ$28)*100,0)</f>
        <v>0.23884636517337721</v>
      </c>
      <c r="BE14" s="3">
        <f>IFERROR(INDEX($B$28:$GQ$28,MATCH(56,$B$29:$GQ$29,0))/SUM($B$28:$GQ$28)*100,0)</f>
        <v>0.22030589020203634</v>
      </c>
      <c r="BF14" s="3">
        <f>IFERROR(INDEX($B$28:$GQ$28,MATCH(57,$B$29:$GQ$29,0))/SUM($B$28:$GQ$28)*100,0)</f>
        <v>0.19813605691880093</v>
      </c>
      <c r="BG14" s="3">
        <f>IFERROR(INDEX($B$28:$GQ$28,MATCH(58,$B$29:$GQ$29,0))/SUM($B$28:$GQ$28)*100,0)</f>
        <v>0.18830110498758346</v>
      </c>
      <c r="BH14" s="3">
        <f>IFERROR(INDEX($B$28:$GQ$28,MATCH(59,$B$29:$GQ$29,0))/SUM($B$28:$GQ$28)*100,0)</f>
        <v>0.18207285239333404</v>
      </c>
      <c r="BI14" s="3">
        <f>IFERROR(INDEX($B$28:$GQ$28,MATCH(60,$B$29:$GQ$29,0))/SUM($B$28:$GQ$28)*100,0)</f>
        <v>0.15009210319250804</v>
      </c>
      <c r="BJ14" s="3">
        <f>IFERROR(INDEX($B$28:$GQ$28,MATCH(61,$B$29:$GQ$29,0))/SUM($B$28:$GQ$28)*100,0)</f>
        <v>0.1468662215650117</v>
      </c>
      <c r="BK14" s="3">
        <f>IFERROR(INDEX($B$28:$GQ$28,MATCH(62,$B$29:$GQ$29,0))/SUM($B$28:$GQ$28)*100,0)</f>
        <v>0.14406784527019847</v>
      </c>
      <c r="BL14" s="3">
        <f>IFERROR(INDEX($B$28:$GQ$28,MATCH(63,$B$29:$GQ$29,0))/SUM($B$28:$GQ$28)*100,0)</f>
        <v>0.13006247121954043</v>
      </c>
      <c r="BM14" s="3">
        <f>IFERROR(INDEX($B$28:$GQ$28,MATCH(64,$B$29:$GQ$29,0))/SUM($B$28:$GQ$28)*100,0)</f>
        <v>0.12509286036238379</v>
      </c>
      <c r="BN14" s="3">
        <f>IFERROR(INDEX($B$28:$GQ$28,MATCH(65,$B$29:$GQ$29,0))/SUM($B$28:$GQ$28)*100,0)</f>
        <v>0.1201378797245137</v>
      </c>
      <c r="BO14" s="3">
        <f>IFERROR(INDEX($B$28:$GQ$28,MATCH(66,$B$29:$GQ$29,0))/SUM($B$28:$GQ$28)*100,0)</f>
        <v>0.11549383555121792</v>
      </c>
      <c r="BP14" s="3">
        <f>IFERROR(INDEX($B$28:$GQ$28,MATCH(67,$B$29:$GQ$29,0))/SUM($B$28:$GQ$28)*100,0)</f>
        <v>0.10732566780415936</v>
      </c>
      <c r="BQ14" s="3">
        <f>IFERROR(INDEX($B$28:$GQ$28,MATCH(68,$B$29:$GQ$29,0))/SUM($B$28:$GQ$28)*100,0)</f>
        <v>0.10156033976104623</v>
      </c>
      <c r="BR14" s="3">
        <f>IFERROR(INDEX($B$28:$GQ$28,MATCH(69,$B$29:$GQ$29,0))/SUM($B$28:$GQ$28)*100,0)</f>
        <v>9.6734214344205441E-2</v>
      </c>
      <c r="BS14" s="3">
        <f>IFERROR(INDEX($B$28:$GQ$28,MATCH(70,$B$29:$GQ$29,0))/SUM($B$28:$GQ$28)*100,0)</f>
        <v>9.488945728849521E-2</v>
      </c>
      <c r="BT14" s="3">
        <f>IFERROR(INDEX($B$28:$GQ$28,MATCH(71,$B$29:$GQ$29,0))/SUM($B$28:$GQ$28)*100,0)</f>
        <v>8.1999699392862696E-2</v>
      </c>
      <c r="BU14" s="3">
        <f>IFERROR(INDEX($B$28:$GQ$28,MATCH(72,$B$29:$GQ$29,0))/SUM($B$28:$GQ$28)*100,0)</f>
        <v>7.9234961473509044E-2</v>
      </c>
      <c r="BV14" s="3">
        <f>IFERROR(INDEX($B$28:$GQ$28,MATCH(73,$B$29:$GQ$29,0))/SUM($B$28:$GQ$28)*100,0)</f>
        <v>7.887107388437406E-2</v>
      </c>
      <c r="BW14" s="3">
        <f>IFERROR(INDEX($B$28:$GQ$28,MATCH(74,$B$29:$GQ$29,0))/SUM($B$28:$GQ$28)*100,0)</f>
        <v>7.88375099182443E-2</v>
      </c>
      <c r="BX14" s="3">
        <f>IFERROR(INDEX($B$28:$GQ$28,MATCH(75,$B$29:$GQ$29,0))/SUM($B$28:$GQ$28)*100,0)</f>
        <v>7.335808819549347E-2</v>
      </c>
      <c r="BY14" s="3">
        <f>IFERROR(INDEX($B$28:$GQ$28,MATCH(76,$B$29:$GQ$29,0))/SUM($B$28:$GQ$28)*100,0)</f>
        <v>7.2944535368583516E-2</v>
      </c>
      <c r="BZ14" s="3">
        <f>IFERROR(INDEX($B$28:$GQ$28,MATCH(77,$B$29:$GQ$29,0))/SUM($B$28:$GQ$28)*100,0)</f>
        <v>5.9775985315709705E-2</v>
      </c>
      <c r="CA14" s="3">
        <f>IFERROR(INDEX($B$28:$GQ$28,MATCH(78,$B$29:$GQ$29,0))/SUM($B$28:$GQ$28)*100,0)</f>
        <v>5.6582309445247149E-2</v>
      </c>
      <c r="CB14" s="3">
        <f>IFERROR(INDEX($B$28:$GQ$28,MATCH(79,$B$29:$GQ$29,0))/SUM($B$28:$GQ$28)*100,0)</f>
        <v>5.5742074579722627E-2</v>
      </c>
      <c r="CC14" s="3">
        <f>IFERROR(INDEX($B$28:$GQ$28,MATCH(80,$B$29:$GQ$29,0))/SUM($B$28:$GQ$28)*100,0)</f>
        <v>5.0226772156896561E-2</v>
      </c>
      <c r="CD14" s="3">
        <f>IFERROR(INDEX($B$28:$GQ$28,MATCH(81,$B$29:$GQ$29,0))/SUM($B$28:$GQ$28)*100,0)</f>
        <v>4.8871239989361222E-2</v>
      </c>
      <c r="CE14" s="3">
        <f>IFERROR(INDEX($B$28:$GQ$28,MATCH(82,$B$29:$GQ$29,0))/SUM($B$28:$GQ$28)*100,0)</f>
        <v>4.0819389983388604E-2</v>
      </c>
      <c r="CF14" s="3">
        <f>IFERROR(INDEX($B$28:$GQ$28,MATCH(83,$B$29:$GQ$29,0))/SUM($B$28:$GQ$28)*100,0)</f>
        <v>3.8400739487987126E-2</v>
      </c>
      <c r="CG14" s="3">
        <f>IFERROR(INDEX($B$28:$GQ$28,MATCH(84,$B$29:$GQ$29,0))/SUM($B$28:$GQ$28)*100,0)</f>
        <v>3.8303570204491551E-2</v>
      </c>
      <c r="CH14" s="3">
        <f>IFERROR(INDEX($B$28:$GQ$28,MATCH(85,$B$29:$GQ$29,0))/SUM($B$28:$GQ$28)*100,0)</f>
        <v>3.6647255081356418E-2</v>
      </c>
      <c r="CI14" s="3">
        <f>IFERROR(INDEX($B$28:$GQ$28,MATCH(86,$B$29:$GQ$29,0))/SUM($B$28:$GQ$28)*100,0)</f>
        <v>3.3116838864362209E-2</v>
      </c>
      <c r="CJ14" s="3">
        <f>IFERROR(INDEX($B$28:$GQ$28,MATCH(87,$B$29:$GQ$29,0))/SUM($B$28:$GQ$28)*100,0)</f>
        <v>3.104667698489802E-2</v>
      </c>
      <c r="CK14" s="3">
        <f>IFERROR(INDEX($B$28:$GQ$28,MATCH(88,$B$29:$GQ$29,0))/SUM($B$28:$GQ$28)*100,0)</f>
        <v>3.0795022975205304E-2</v>
      </c>
      <c r="CL14" s="3">
        <f>IFERROR(INDEX($B$28:$GQ$28,MATCH(89,$B$29:$GQ$29,0))/SUM($B$28:$GQ$28)*100,0)</f>
        <v>2.5958458953723802E-2</v>
      </c>
      <c r="CM14" s="3">
        <f>IFERROR(INDEX($B$28:$GQ$28,MATCH(90,$B$29:$GQ$29,0))/SUM($B$28:$GQ$28)*100,0)</f>
        <v>2.520962475480874E-2</v>
      </c>
      <c r="CN14" s="3">
        <f>IFERROR(INDEX($B$28:$GQ$28,MATCH(91,$B$29:$GQ$29,0))/SUM($B$28:$GQ$28)*100,0)</f>
        <v>2.1928367371879177E-2</v>
      </c>
      <c r="CO14" s="3">
        <f>IFERROR(INDEX($B$28:$GQ$28,MATCH(92,$B$29:$GQ$29,0))/SUM($B$28:$GQ$28)*100,0)</f>
        <v>2.1887266866673825E-2</v>
      </c>
      <c r="CP14" s="3">
        <f>IFERROR(INDEX($B$28:$GQ$28,MATCH(93,$B$29:$GQ$29,0))/SUM($B$28:$GQ$28)*100,0)</f>
        <v>2.168438521754423E-2</v>
      </c>
      <c r="CQ14" s="3">
        <f>IFERROR(INDEX($B$28:$GQ$28,MATCH(94,$B$29:$GQ$29,0))/SUM($B$28:$GQ$28)*100,0)</f>
        <v>2.119890329133545E-2</v>
      </c>
      <c r="CR14" s="3">
        <f>IFERROR(INDEX($B$28:$GQ$28,MATCH(95,$B$29:$GQ$29,0))/SUM($B$28:$GQ$28)*100,0)</f>
        <v>2.1095347820170043E-2</v>
      </c>
      <c r="CS14" s="3">
        <f>IFERROR(INDEX($B$28:$GQ$28,MATCH(96,$B$29:$GQ$29,0))/SUM($B$28:$GQ$28)*100,0)</f>
        <v>1.6824048024155859E-2</v>
      </c>
      <c r="CT14" s="3">
        <f>IFERROR(INDEX($B$28:$GQ$28,MATCH(97,$B$29:$GQ$29,0))/SUM($B$28:$GQ$28)*100,0)</f>
        <v>1.6654789570617435E-2</v>
      </c>
      <c r="CU14" s="3">
        <f>IFERROR(INDEX($B$28:$GQ$28,MATCH(98,$B$29:$GQ$29,0))/SUM($B$28:$GQ$28)*100,0)</f>
        <v>1.5102713183764703E-2</v>
      </c>
      <c r="CV14" s="3">
        <f>IFERROR(INDEX($B$28:$GQ$28,MATCH(99,$B$29:$GQ$29,0))/SUM($B$28:$GQ$28)*100,0)</f>
        <v>1.458669225425461E-2</v>
      </c>
      <c r="CW14" s="3">
        <f>IFERROR(INDEX($B$28:$GQ$28,MATCH(100,$B$29:$GQ$29,0))/SUM($B$28:$GQ$28)*100,0)</f>
        <v>1.0354807946162503E-2</v>
      </c>
      <c r="CX14" s="3">
        <f>IFERROR(INDEX($B$28:$GQ$28,MATCH(101,$B$29:$GQ$29,0))/SUM($B$28:$GQ$28)*100,0)</f>
        <v>9.3729022059204428E-3</v>
      </c>
      <c r="CY14" s="3">
        <f>IFERROR(INDEX($B$28:$GQ$28,MATCH(102,$B$29:$GQ$29,0))/SUM($B$28:$GQ$28)*100,0)</f>
        <v>8.9930669304946042E-3</v>
      </c>
      <c r="CZ14" s="3">
        <f>IFERROR(INDEX($B$28:$GQ$28,MATCH(103,$B$29:$GQ$29,0))/SUM($B$28:$GQ$28)*100,0)</f>
        <v>8.979191508560613E-3</v>
      </c>
      <c r="DA14" s="3">
        <f>IFERROR(INDEX($B$28:$GQ$28,MATCH(104,$B$29:$GQ$29,0))/SUM($B$28:$GQ$28)*100,0)</f>
        <v>8.5539646223604573E-3</v>
      </c>
      <c r="DB14" s="3">
        <f>IFERROR(INDEX($B$28:$GQ$28,MATCH(105,$B$29:$GQ$29,0))/SUM($B$28:$GQ$28)*100,0)</f>
        <v>8.01587287347519E-3</v>
      </c>
      <c r="DC14" s="3">
        <f>IFERROR(INDEX($B$28:$GQ$28,MATCH(106,$B$29:$GQ$29,0))/SUM($B$28:$GQ$28)*100,0)</f>
        <v>7.7397599906707379E-3</v>
      </c>
      <c r="DD14" s="3">
        <f>IFERROR(INDEX($B$28:$GQ$28,MATCH(107,$B$29:$GQ$29,0))/SUM($B$28:$GQ$28)*100,0)</f>
        <v>6.6634839053158097E-3</v>
      </c>
      <c r="DE14" s="3">
        <f>IFERROR(INDEX($B$28:$GQ$28,MATCH(108,$B$29:$GQ$29,0))/SUM($B$28:$GQ$28)*100,0)</f>
        <v>5.1871005287423503E-3</v>
      </c>
      <c r="DF14" s="3">
        <f>IFERROR(INDEX($B$28:$GQ$28,MATCH(109,$B$29:$GQ$29,0))/SUM($B$28:$GQ$28)*100,0)</f>
        <v>4.4828482555999416E-3</v>
      </c>
      <c r="DG14" s="3">
        <f>IFERROR(INDEX($B$28:$GQ$28,MATCH(110,$B$29:$GQ$29,0))/SUM($B$28:$GQ$28)*100,0)</f>
        <v>3.9192848270719668E-3</v>
      </c>
      <c r="DH14" s="3">
        <f>IFERROR(INDEX($B$28:$GQ$28,MATCH(111,$B$29:$GQ$29,0))/SUM($B$28:$GQ$28)*100,0)</f>
        <v>3.3697802360309593E-3</v>
      </c>
      <c r="DI14" s="3">
        <f>IFERROR(INDEX($B$28:$GQ$28,MATCH(112,$B$29:$GQ$29,0))/SUM($B$28:$GQ$28)*100,0)</f>
        <v>1.8355326284085764E-3</v>
      </c>
      <c r="DJ14" s="3">
        <f>IFERROR(INDEX($B$28:$GQ$28,MATCH(113,$B$29:$GQ$29,0))/SUM($B$28:$GQ$28)*100,0)</f>
        <v>1.6783850249153336E-3</v>
      </c>
      <c r="DK14" s="3">
        <f>IFERROR(INDEX($B$28:$GQ$28,MATCH(114,$B$29:$GQ$29,0))/SUM($B$28:$GQ$28)*100,0)</f>
        <v>1.5520028075068732E-3</v>
      </c>
      <c r="DL14" s="3">
        <f>IFERROR(INDEX($B$28:$GQ$28,MATCH(115,$B$29:$GQ$29,0))/SUM($B$28:$GQ$28)*100,0)</f>
        <v>1.3996893450638561E-3</v>
      </c>
      <c r="DM14" s="3">
        <f>IFERROR(INDEX($B$28:$GQ$28,MATCH(116,$B$29:$GQ$29,0))/SUM($B$28:$GQ$28)*100,0)</f>
        <v>1.1609256932884949E-3</v>
      </c>
      <c r="DN14" s="3">
        <f>IFERROR(INDEX($B$28:$GQ$28,MATCH(117,$B$29:$GQ$29,0))/SUM($B$28:$GQ$28)*100,0)</f>
        <v>6.8978470203163902E-4</v>
      </c>
      <c r="DO14" s="3">
        <f>IFERROR(INDEX($B$28:$GQ$28,MATCH(118,$B$29:$GQ$29,0))/SUM($B$28:$GQ$28)*100,0)</f>
        <v>5.6221667259032072E-4</v>
      </c>
      <c r="DP14" s="3">
        <f>IFERROR(INDEX($B$28:$GQ$28,MATCH(119,$B$29:$GQ$29,0))/SUM($B$28:$GQ$28)*100,0)</f>
        <v>5.3234949852591716E-4</v>
      </c>
      <c r="DQ14" s="3">
        <f>IFERROR(INDEX($B$28:$GQ$28,MATCH(120,$B$29:$GQ$29,0))/SUM($B$28:$GQ$28)*100,0)</f>
        <v>4.5425010433296741E-4</v>
      </c>
      <c r="DR14" s="3">
        <f>IFERROR(INDEX($B$28:$GQ$28,MATCH(121,$B$29:$GQ$29,0))/SUM($B$28:$GQ$28)*100,0)</f>
        <v>1.5550825529319148E-4</v>
      </c>
      <c r="DS14" s="3">
        <f>IFERROR(INDEX($B$28:$GQ$28,MATCH(122,$B$29:$GQ$29,0))/SUM($B$28:$GQ$28)*100,0)</f>
        <v>1.4822595688589499E-4</v>
      </c>
      <c r="DT14" s="3">
        <f>IFERROR(INDEX($B$28:$GQ$28,MATCH(123,$B$29:$GQ$29,0))/SUM($B$28:$GQ$28)*100,0)</f>
        <v>1.4690433892950623E-4</v>
      </c>
      <c r="DU14" s="3">
        <f>IFERROR(INDEX($B$28:$GQ$28,MATCH(124,$B$29:$GQ$29,0))/SUM($B$28:$GQ$28)*100,0)</f>
        <v>1.164928292975128E-4</v>
      </c>
      <c r="DV14" s="3">
        <f>IFERROR(INDEX($B$28:$GQ$28,MATCH(125,$B$29:$GQ$29,0))/SUM($B$28:$GQ$28)*100,0)</f>
        <v>8.2331948001557106E-5</v>
      </c>
      <c r="DW14" s="3">
        <f>IFERROR(INDEX($B$28:$GQ$28,MATCH(126,$B$29:$GQ$29,0))/SUM($B$28:$GQ$28)*100,0)</f>
        <v>3.2463761069505761E-5</v>
      </c>
      <c r="DX14" s="3">
        <f>IFERROR(INDEX($B$28:$GQ$28,MATCH(127,$B$29:$GQ$29,0))/SUM($B$28:$GQ$28)*100,0)</f>
        <v>1.3121775976370452E-5</v>
      </c>
      <c r="DY14" s="3">
        <f>IFERROR(INDEX($B$28:$GQ$28,MATCH(128,$B$29:$GQ$29,0))/SUM($B$28:$GQ$28)*100,0)</f>
        <v>8.6365332661236909E-6</v>
      </c>
      <c r="DZ14" s="3">
        <f>IFERROR(INDEX($B$28:$GQ$28,MATCH(129,$B$29:$GQ$29,0))/SUM($B$28:$GQ$28)*100,0)</f>
        <v>7.3318724536990368E-6</v>
      </c>
      <c r="EA14" s="3">
        <f>IFERROR(INDEX($B$28:$GQ$28,MATCH(130,$B$29:$GQ$29,0))/SUM($B$28:$GQ$28)*100,0)</f>
        <v>6.0578480440252755E-7</v>
      </c>
      <c r="EB14" s="3">
        <f>IFERROR(INDEX($B$28:$GQ$28,MATCH(131,$B$29:$GQ$29,0))/SUM($B$28:$GQ$28)*100,0)</f>
        <v>1.4248261142391438E-7</v>
      </c>
      <c r="EC14" s="3">
        <f>IFERROR(INDEX($B$28:$GQ$28,MATCH(132,$B$29:$GQ$29,0))/SUM($B$28:$GQ$28)*100,0)</f>
        <v>1.5531437776333349E-8</v>
      </c>
      <c r="ED14" s="3">
        <f>IFERROR(INDEX($B$28:$GQ$28,MATCH(133,$B$29:$GQ$29,0))/SUM($B$28:$GQ$28)*100,0)</f>
        <v>0</v>
      </c>
      <c r="EE14" s="3">
        <f>IFERROR(INDEX($B$28:$GQ$28,MATCH(134,$B$29:$GQ$29,0))/SUM($B$28:$GQ$28)*100,0)</f>
        <v>0</v>
      </c>
      <c r="EF14" s="3">
        <f>IFERROR(INDEX($B$28:$GQ$28,MATCH(135,$B$29:$GQ$29,0))/SUM($B$28:$GQ$28)*100,0)</f>
        <v>0</v>
      </c>
      <c r="EG14" s="3">
        <f>IFERROR(INDEX($B$28:$GQ$28,MATCH(136,$B$29:$GQ$29,0))/SUM($B$28:$GQ$28)*100,0)</f>
        <v>0</v>
      </c>
      <c r="EH14" s="3">
        <f>IFERROR(INDEX($B$28:$GQ$28,MATCH(137,$B$29:$GQ$29,0))/SUM($B$28:$GQ$28)*100,0)</f>
        <v>0</v>
      </c>
      <c r="EI14" s="3">
        <f>IFERROR(INDEX($B$28:$GQ$28,MATCH(138,$B$29:$GQ$29,0))/SUM($B$28:$GQ$28)*100,0)</f>
        <v>0</v>
      </c>
      <c r="EJ14" s="3">
        <f>IFERROR(INDEX($B$28:$GQ$28,MATCH(139,$B$29:$GQ$29,0))/SUM($B$28:$GQ$28)*100,0)</f>
        <v>0</v>
      </c>
      <c r="EK14" s="3">
        <f>IFERROR(INDEX($B$28:$GQ$28,MATCH(140,$B$29:$GQ$29,0))/SUM($B$28:$GQ$28)*100,0)</f>
        <v>0</v>
      </c>
      <c r="EL14" s="3">
        <f>IFERROR(INDEX($B$28:$GQ$28,MATCH(141,$B$29:$GQ$29,0))/SUM($B$28:$GQ$28)*100,0)</f>
        <v>0</v>
      </c>
      <c r="EM14" s="3">
        <f>IFERROR(INDEX($B$28:$GQ$28,MATCH(142,$B$29:$GQ$29,0))/SUM($B$28:$GQ$28)*100,0)</f>
        <v>0</v>
      </c>
      <c r="EN14" s="3">
        <f>IFERROR(INDEX($B$28:$GQ$28,MATCH(143,$B$29:$GQ$29,0))/SUM($B$28:$GQ$28)*100,0)</f>
        <v>0</v>
      </c>
      <c r="EO14" s="3">
        <f>IFERROR(INDEX($B$28:$GQ$28,MATCH(144,$B$29:$GQ$29,0))/SUM($B$28:$GQ$28)*100,0)</f>
        <v>0</v>
      </c>
      <c r="EP14" s="3">
        <f>IFERROR(INDEX($B$28:$GQ$28,MATCH(145,$B$29:$GQ$29,0))/SUM($B$28:$GQ$28)*100,0)</f>
        <v>0</v>
      </c>
      <c r="EQ14" s="3">
        <f>IFERROR(INDEX($B$28:$GQ$28,MATCH(146,$B$29:$GQ$29,0))/SUM($B$28:$GQ$28)*100,0)</f>
        <v>0</v>
      </c>
      <c r="ER14" s="3">
        <f>IFERROR(INDEX($B$28:$GQ$28,MATCH(147,$B$29:$GQ$29,0))/SUM($B$28:$GQ$28)*100,0)</f>
        <v>0</v>
      </c>
      <c r="ES14" s="3">
        <f>IFERROR(INDEX($B$28:$GQ$28,MATCH(148,$B$29:$GQ$29,0))/SUM($B$28:$GQ$28)*100,0)</f>
        <v>0</v>
      </c>
      <c r="ET14" s="3">
        <f>IFERROR(INDEX($B$28:$GQ$28,MATCH(149,$B$29:$GQ$29,0))/SUM($B$28:$GQ$28)*100,0)</f>
        <v>0</v>
      </c>
      <c r="EU14" s="3">
        <f>IFERROR(INDEX($B$28:$GQ$28,MATCH(150,$B$29:$GQ$29,0))/SUM($B$28:$GQ$28)*100,0)</f>
        <v>0</v>
      </c>
      <c r="EV14" s="3">
        <f>IFERROR(INDEX($B$28:$GQ$28,MATCH(151,$B$29:$GQ$29,0))/SUM($B$28:$GQ$28)*100,0)</f>
        <v>0</v>
      </c>
      <c r="EW14" s="3">
        <f>IFERROR(INDEX($B$28:$GQ$28,MATCH(152,$B$29:$GQ$29,0))/SUM($B$28:$GQ$28)*100,0)</f>
        <v>0</v>
      </c>
      <c r="EX14" s="3">
        <f>IFERROR(INDEX($B$28:$GQ$28,MATCH(153,$B$29:$GQ$29,0))/SUM($B$28:$GQ$28)*100,0)</f>
        <v>0</v>
      </c>
      <c r="EY14" s="3">
        <f>IFERROR(INDEX($B$28:$GQ$28,MATCH(154,$B$29:$GQ$29,0))/SUM($B$28:$GQ$28)*100,0)</f>
        <v>0</v>
      </c>
      <c r="EZ14" s="3">
        <f>IFERROR(INDEX($B$28:$GQ$28,MATCH(155,$B$29:$GQ$29,0))/SUM($B$28:$GQ$28)*100,0)</f>
        <v>0</v>
      </c>
      <c r="FA14" s="3">
        <f>IFERROR(INDEX($B$28:$GQ$28,MATCH(156,$B$29:$GQ$29,0))/SUM($B$28:$GQ$28)*100,0)</f>
        <v>0</v>
      </c>
      <c r="FB14" s="3">
        <f>IFERROR(INDEX($B$28:$GQ$28,MATCH(157,$B$29:$GQ$29,0))/SUM($B$28:$GQ$28)*100,0)</f>
        <v>0</v>
      </c>
      <c r="FC14" s="3">
        <f>IFERROR(INDEX($B$28:$GQ$28,MATCH(158,$B$29:$GQ$29,0))/SUM($B$28:$GQ$28)*100,0)</f>
        <v>0</v>
      </c>
      <c r="FD14" s="3">
        <f>IFERROR(INDEX($B$28:$GQ$28,MATCH(159,$B$29:$GQ$29,0))/SUM($B$28:$GQ$28)*100,0)</f>
        <v>0</v>
      </c>
      <c r="FE14" s="3">
        <f>IFERROR(INDEX($B$28:$GQ$28,MATCH(160,$B$29:$GQ$29,0))/SUM($B$28:$GQ$28)*100,0)</f>
        <v>0</v>
      </c>
      <c r="FF14" s="3">
        <f>IFERROR(INDEX($B$28:$GQ$28,MATCH(161,$B$29:$GQ$29,0))/SUM($B$28:$GQ$28)*100,0)</f>
        <v>0</v>
      </c>
      <c r="FG14" s="3">
        <f>IFERROR(INDEX($B$28:$GQ$28,MATCH(162,$B$29:$GQ$29,0))/SUM($B$28:$GQ$28)*100,0)</f>
        <v>0</v>
      </c>
      <c r="FH14" s="3">
        <f>IFERROR(INDEX($B$28:$GQ$28,MATCH(163,$B$29:$GQ$29,0))/SUM($B$28:$GQ$28)*100,0)</f>
        <v>0</v>
      </c>
      <c r="FI14" s="3">
        <f>IFERROR(INDEX($B$28:$GQ$28,MATCH(164,$B$29:$GQ$29,0))/SUM($B$28:$GQ$28)*100,0)</f>
        <v>0</v>
      </c>
      <c r="FJ14" s="3">
        <f>IFERROR(INDEX($B$28:$GQ$28,MATCH(165,$B$29:$GQ$29,0))/SUM($B$28:$GQ$28)*100,0)</f>
        <v>0</v>
      </c>
      <c r="FK14" s="3">
        <f>IFERROR(INDEX($B$28:$GQ$28,MATCH(166,$B$29:$GQ$29,0))/SUM($B$28:$GQ$28)*100,0)</f>
        <v>0</v>
      </c>
      <c r="FL14" s="3">
        <f>IFERROR(INDEX($B$28:$GQ$28,MATCH(167,$B$29:$GQ$29,0))/SUM($B$28:$GQ$28)*100,0)</f>
        <v>0</v>
      </c>
      <c r="FM14" s="3">
        <f>IFERROR(INDEX($B$28:$GQ$28,MATCH(168,$B$29:$GQ$29,0))/SUM($B$28:$GQ$28)*100,0)</f>
        <v>0</v>
      </c>
      <c r="FN14" s="3">
        <f>IFERROR(INDEX($B$28:$GQ$28,MATCH(169,$B$29:$GQ$29,0))/SUM($B$28:$GQ$28)*100,0)</f>
        <v>0</v>
      </c>
      <c r="FO14" s="3">
        <f>IFERROR(INDEX($B$28:$GQ$28,MATCH(170,$B$29:$GQ$29,0))/SUM($B$28:$GQ$28)*100,0)</f>
        <v>0</v>
      </c>
      <c r="FP14" s="3">
        <f>IFERROR(INDEX($B$28:$GQ$28,MATCH(171,$B$29:$GQ$29,0))/SUM($B$28:$GQ$28)*100,0)</f>
        <v>0</v>
      </c>
      <c r="FQ14" s="3">
        <f>IFERROR(INDEX($B$28:$GQ$28,MATCH(172,$B$29:$GQ$29,0))/SUM($B$28:$GQ$28)*100,0)</f>
        <v>0</v>
      </c>
      <c r="FR14" s="3">
        <f>IFERROR(INDEX($B$28:$GQ$28,MATCH(173,$B$29:$GQ$29,0))/SUM($B$28:$GQ$28)*100,0)</f>
        <v>0</v>
      </c>
      <c r="FS14" s="3">
        <f>IFERROR(INDEX($B$28:$GQ$28,MATCH(174,$B$29:$GQ$29,0))/SUM($B$28:$GQ$28)*100,0)</f>
        <v>0</v>
      </c>
      <c r="FT14" s="3">
        <f>IFERROR(INDEX($B$28:$GQ$28,MATCH(175,$B$29:$GQ$29,0))/SUM($B$28:$GQ$28)*100,0)</f>
        <v>0</v>
      </c>
      <c r="FU14" s="3">
        <f>IFERROR(INDEX($B$28:$GQ$28,MATCH(176,$B$29:$GQ$29,0))/SUM($B$28:$GQ$28)*100,0)</f>
        <v>0</v>
      </c>
      <c r="FV14" s="3">
        <f>IFERROR(INDEX($B$28:$GQ$28,MATCH(177,$B$29:$GQ$29,0))/SUM($B$28:$GQ$28)*100,0)</f>
        <v>0</v>
      </c>
      <c r="FW14" s="3">
        <f>IFERROR(INDEX($B$28:$GQ$28,MATCH(178,$B$29:$GQ$29,0))/SUM($B$28:$GQ$28)*100,0)</f>
        <v>0</v>
      </c>
      <c r="FX14" s="3">
        <f>IFERROR(INDEX($B$28:$GQ$28,MATCH(179,$B$29:$GQ$29,0))/SUM($B$28:$GQ$28)*100,0)</f>
        <v>0</v>
      </c>
      <c r="FY14" s="3">
        <f>IFERROR(INDEX($B$28:$GQ$28,MATCH(180,$B$29:$GQ$29,0))/SUM($B$28:$GQ$28)*100,0)</f>
        <v>0</v>
      </c>
      <c r="FZ14" s="3">
        <f>IFERROR(INDEX($B$28:$GQ$28,MATCH(181,$B$29:$GQ$29,0))/SUM($B$28:$GQ$28)*100,0)</f>
        <v>0</v>
      </c>
      <c r="GA14" s="3">
        <f>IFERROR(INDEX($B$28:$GQ$28,MATCH(182,$B$29:$GQ$29,0))/SUM($B$28:$GQ$28)*100,0)</f>
        <v>0</v>
      </c>
      <c r="GB14" s="3">
        <f>IFERROR(INDEX($B$28:$GQ$28,MATCH(183,$B$29:$GQ$29,0))/SUM($B$28:$GQ$28)*100,0)</f>
        <v>0</v>
      </c>
      <c r="GC14" s="3">
        <f>IFERROR(INDEX($B$28:$GQ$28,MATCH(184,$B$29:$GQ$29,0))/SUM($B$28:$GQ$28)*100,0)</f>
        <v>0</v>
      </c>
      <c r="GD14" s="3">
        <f>IFERROR(INDEX($B$28:$GQ$28,MATCH(185,$B$29:$GQ$29,0))/SUM($B$28:$GQ$28)*100,0)</f>
        <v>0</v>
      </c>
      <c r="GE14" s="3">
        <f>IFERROR(INDEX($B$28:$GQ$28,MATCH(186,$B$29:$GQ$29,0))/SUM($B$28:$GQ$28)*100,0)</f>
        <v>0</v>
      </c>
      <c r="GF14" s="3">
        <f>IFERROR(INDEX($B$28:$GQ$28,MATCH(187,$B$29:$GQ$29,0))/SUM($B$28:$GQ$28)*100,0)</f>
        <v>0</v>
      </c>
      <c r="GG14" s="3">
        <f>IFERROR(INDEX($B$28:$GQ$28,MATCH(188,$B$29:$GQ$29,0))/SUM($B$28:$GQ$28)*100,0)</f>
        <v>0</v>
      </c>
      <c r="GH14" s="3">
        <f>IFERROR(INDEX($B$28:$GQ$28,MATCH(189,$B$29:$GQ$29,0))/SUM($B$28:$GQ$28)*100,0)</f>
        <v>0</v>
      </c>
      <c r="GI14" s="3">
        <f>IFERROR(INDEX($B$28:$GQ$28,MATCH(190,$B$29:$GQ$29,0))/SUM($B$28:$GQ$28)*100,0)</f>
        <v>0</v>
      </c>
      <c r="GJ14" s="3">
        <f>IFERROR(INDEX($B$28:$GQ$28,MATCH(191,$B$29:$GQ$29,0))/SUM($B$28:$GQ$28)*100,0)</f>
        <v>0</v>
      </c>
      <c r="GK14" s="3">
        <f>IFERROR(INDEX($B$28:$GQ$28,MATCH(192,$B$29:$GQ$29,0))/SUM($B$28:$GQ$28)*100,0)</f>
        <v>0</v>
      </c>
      <c r="GL14" s="3">
        <f>IFERROR(INDEX($B$28:$GQ$28,MATCH(193,$B$29:$GQ$29,0))/SUM($B$28:$GQ$28)*100,0)</f>
        <v>0</v>
      </c>
      <c r="GM14" s="3">
        <f>IFERROR(INDEX($B$28:$GQ$28,MATCH(194,$B$29:$GQ$29,0))/SUM($B$28:$GQ$28)*100,0)</f>
        <v>0</v>
      </c>
      <c r="GN14" s="3">
        <f>IFERROR(INDEX($B$28:$GQ$28,MATCH(195,$B$29:$GQ$29,0))/SUM($B$28:$GQ$28)*100,0)</f>
        <v>0</v>
      </c>
      <c r="GO14" s="3">
        <f>IFERROR(INDEX($B$28:$GQ$28,MATCH(196,$B$29:$GQ$29,0))/SUM($B$28:$GQ$28)*100,0)</f>
        <v>0</v>
      </c>
      <c r="GP14" s="3">
        <f>IFERROR(INDEX($B$28:$GQ$28,MATCH(197,$B$29:$GQ$29,0))/SUM($B$28:$GQ$28)*100,0)</f>
        <v>0</v>
      </c>
      <c r="GQ14" s="3">
        <f>IFERROR(INDEX($B$28:$GQ$28,MATCH(198,$B$29:$GQ$29,0))/SUM($B$28:$GQ$28)*100,0)</f>
        <v>0</v>
      </c>
      <c r="GR14" s="3">
        <f>IFERROR(INDEX($GR$28:$HC$28,MATCH(1,$GR$30:$HC$30,0))/SUM($GR$28:$HC$28)*100,0)</f>
        <v>19.689875220243007</v>
      </c>
      <c r="GS14" s="3">
        <f>IFERROR(INDEX($GR$28:$HC$28,MATCH(2,$GR$30:$HC$30,0))/SUM($GR$28:$HC$28)*100,0)</f>
        <v>15.708379637069164</v>
      </c>
      <c r="GT14" s="3">
        <f>IFERROR(INDEX($GR$28:$HC$28,MATCH(3,$GR$30:$HC$30,0))/SUM($GR$28:$HC$28)*100,0)</f>
        <v>13.160285627027193</v>
      </c>
      <c r="GU14" s="3">
        <f>IFERROR(INDEX($GR$28:$HC$28,MATCH(4,$GR$30:$HC$30,0))/SUM($GR$28:$HC$28)*100,0)</f>
        <v>11.54088451850776</v>
      </c>
      <c r="GV14" s="3">
        <f>IFERROR(INDEX($GR$28:$HC$28,MATCH(5,$GR$30:$HC$30,0))/SUM($GR$28:$HC$28)*100,0)</f>
        <v>10.162395804812618</v>
      </c>
      <c r="GW14" s="3">
        <f>IFERROR(INDEX($GR$28:$HC$28,MATCH(6,$GR$30:$HC$30,0))/SUM($GR$28:$HC$28)*100,0)</f>
        <v>8.4125127005590148</v>
      </c>
      <c r="GX14" s="3">
        <f>IFERROR(INDEX($GR$28:$HC$28,MATCH(7,$GR$30:$HC$30,0))/SUM($GR$28:$HC$28)*100,0)</f>
        <v>5.0947703876388806</v>
      </c>
      <c r="GY14" s="3">
        <f>IFERROR(INDEX($GR$28:$HC$28,MATCH(8,$GR$30:$HC$30,0))/SUM($GR$28:$HC$28)*100,0)</f>
        <v>4.9153218202638502</v>
      </c>
      <c r="GZ14" s="3">
        <f>IFERROR(INDEX($GR$28:$HC$28,MATCH(9,$GR$30:$HC$30,0))/SUM($GR$28:$HC$28)*100,0)</f>
        <v>3.9125130605032856</v>
      </c>
      <c r="HA14" s="3">
        <f>IFERROR(INDEX($GR$28:$HC$28,MATCH(10,$GR$30:$HC$30,0))/SUM($GR$28:$HC$28)*100,0)</f>
        <v>3.6671666598111061</v>
      </c>
      <c r="HB14" s="3">
        <f>IFERROR(INDEX($GR$28:$HC$28,MATCH(11,$GR$30:$HC$30,0))/SUM($GR$28:$HC$28)*100,0)</f>
        <v>2.3566692355205192</v>
      </c>
      <c r="HC14" s="3">
        <f>IFERROR(INDEX($GR$28:$HC$28,MATCH(12,$GR$30:$HC$30,0))/SUM($GR$28:$HC$28)*100,0)</f>
        <v>1.3792253280436069</v>
      </c>
    </row>
    <row r="16" spans="1:211" x14ac:dyDescent="0.45">
      <c r="A16" s="1" t="s">
        <v>12</v>
      </c>
    </row>
    <row r="17" spans="1:211" x14ac:dyDescent="0.45">
      <c r="A17" s="1" t="s">
        <v>228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19</v>
      </c>
      <c r="I17" s="1" t="s">
        <v>20</v>
      </c>
      <c r="J17" s="1" t="s">
        <v>21</v>
      </c>
      <c r="K17" s="1" t="s">
        <v>22</v>
      </c>
      <c r="L17" s="1" t="s">
        <v>23</v>
      </c>
      <c r="M17" s="1" t="s">
        <v>24</v>
      </c>
      <c r="N17" s="1" t="s">
        <v>25</v>
      </c>
      <c r="O17" s="1" t="s">
        <v>26</v>
      </c>
      <c r="P17" s="1" t="s">
        <v>27</v>
      </c>
      <c r="Q17" s="1" t="s">
        <v>28</v>
      </c>
      <c r="R17" s="1" t="s">
        <v>29</v>
      </c>
      <c r="S17" s="1" t="s">
        <v>30</v>
      </c>
      <c r="T17" s="1" t="s">
        <v>31</v>
      </c>
      <c r="U17" s="1" t="s">
        <v>32</v>
      </c>
      <c r="V17" s="1" t="s">
        <v>33</v>
      </c>
      <c r="W17" s="1" t="s">
        <v>34</v>
      </c>
      <c r="X17" s="1" t="s">
        <v>35</v>
      </c>
      <c r="Y17" s="1" t="s">
        <v>36</v>
      </c>
      <c r="Z17" s="1" t="s">
        <v>37</v>
      </c>
      <c r="AA17" s="1" t="s">
        <v>38</v>
      </c>
      <c r="AB17" s="1" t="s">
        <v>39</v>
      </c>
      <c r="AC17" s="1" t="s">
        <v>40</v>
      </c>
      <c r="AD17" s="1" t="s">
        <v>41</v>
      </c>
      <c r="AE17" s="1" t="s">
        <v>42</v>
      </c>
      <c r="AF17" s="1" t="s">
        <v>43</v>
      </c>
      <c r="AG17" s="1" t="s">
        <v>44</v>
      </c>
      <c r="AH17" s="1" t="s">
        <v>45</v>
      </c>
      <c r="AI17" s="1" t="s">
        <v>46</v>
      </c>
      <c r="AJ17" s="1" t="s">
        <v>47</v>
      </c>
      <c r="AK17" s="1" t="s">
        <v>48</v>
      </c>
      <c r="AL17" s="1" t="s">
        <v>49</v>
      </c>
      <c r="AM17" s="1" t="s">
        <v>50</v>
      </c>
      <c r="AN17" s="1" t="s">
        <v>51</v>
      </c>
      <c r="AO17" s="1" t="s">
        <v>52</v>
      </c>
      <c r="AP17" s="1" t="s">
        <v>53</v>
      </c>
      <c r="AQ17" s="1" t="s">
        <v>54</v>
      </c>
      <c r="AR17" s="1" t="s">
        <v>55</v>
      </c>
      <c r="AS17" s="1" t="s">
        <v>56</v>
      </c>
      <c r="AT17" s="1" t="s">
        <v>57</v>
      </c>
      <c r="AU17" s="1" t="s">
        <v>58</v>
      </c>
      <c r="AV17" s="1" t="s">
        <v>59</v>
      </c>
      <c r="AW17" s="1" t="s">
        <v>60</v>
      </c>
      <c r="AX17" s="1" t="s">
        <v>61</v>
      </c>
      <c r="AY17" s="1" t="s">
        <v>62</v>
      </c>
      <c r="AZ17" s="1" t="s">
        <v>63</v>
      </c>
      <c r="BA17" s="1" t="s">
        <v>64</v>
      </c>
      <c r="BB17" s="1" t="s">
        <v>65</v>
      </c>
      <c r="BC17" s="1" t="s">
        <v>66</v>
      </c>
      <c r="BD17" s="1" t="s">
        <v>67</v>
      </c>
      <c r="BE17" s="1" t="s">
        <v>68</v>
      </c>
      <c r="BF17" s="1" t="s">
        <v>69</v>
      </c>
      <c r="BG17" s="1" t="s">
        <v>70</v>
      </c>
      <c r="BH17" s="1" t="s">
        <v>71</v>
      </c>
      <c r="BI17" s="1" t="s">
        <v>72</v>
      </c>
      <c r="BJ17" s="1" t="s">
        <v>73</v>
      </c>
      <c r="BK17" s="1" t="s">
        <v>74</v>
      </c>
      <c r="BL17" s="1" t="s">
        <v>75</v>
      </c>
      <c r="BM17" s="1" t="s">
        <v>76</v>
      </c>
      <c r="BN17" s="1" t="s">
        <v>77</v>
      </c>
      <c r="BO17" s="1" t="s">
        <v>78</v>
      </c>
      <c r="BP17" s="1" t="s">
        <v>79</v>
      </c>
      <c r="BQ17" s="1" t="s">
        <v>80</v>
      </c>
      <c r="BR17" s="1" t="s">
        <v>81</v>
      </c>
      <c r="BS17" s="1" t="s">
        <v>82</v>
      </c>
      <c r="BT17" s="1" t="s">
        <v>83</v>
      </c>
      <c r="BU17" s="1" t="s">
        <v>84</v>
      </c>
      <c r="BV17" s="1" t="s">
        <v>85</v>
      </c>
      <c r="BW17" s="1" t="s">
        <v>86</v>
      </c>
      <c r="BX17" s="1" t="s">
        <v>87</v>
      </c>
      <c r="BY17" s="1" t="s">
        <v>88</v>
      </c>
      <c r="BZ17" s="1" t="s">
        <v>89</v>
      </c>
      <c r="CA17" s="1" t="s">
        <v>90</v>
      </c>
      <c r="CB17" s="1" t="s">
        <v>91</v>
      </c>
      <c r="CC17" s="1" t="s">
        <v>92</v>
      </c>
      <c r="CD17" s="1" t="s">
        <v>93</v>
      </c>
      <c r="CE17" s="1" t="s">
        <v>94</v>
      </c>
      <c r="CF17" s="1" t="s">
        <v>95</v>
      </c>
      <c r="CG17" s="1" t="s">
        <v>96</v>
      </c>
      <c r="CH17" s="1" t="s">
        <v>97</v>
      </c>
      <c r="CI17" s="1" t="s">
        <v>98</v>
      </c>
      <c r="CJ17" s="1" t="s">
        <v>99</v>
      </c>
      <c r="CK17" s="1" t="s">
        <v>100</v>
      </c>
      <c r="CL17" s="1" t="s">
        <v>101</v>
      </c>
      <c r="CM17" s="1" t="s">
        <v>102</v>
      </c>
      <c r="CN17" s="1" t="s">
        <v>103</v>
      </c>
      <c r="CO17" s="1" t="s">
        <v>104</v>
      </c>
      <c r="CP17" s="1" t="s">
        <v>105</v>
      </c>
      <c r="CQ17" s="1" t="s">
        <v>106</v>
      </c>
      <c r="CR17" s="1" t="s">
        <v>107</v>
      </c>
      <c r="CS17" s="1" t="s">
        <v>108</v>
      </c>
      <c r="CT17" s="1" t="s">
        <v>109</v>
      </c>
      <c r="CU17" s="1" t="s">
        <v>110</v>
      </c>
      <c r="CV17" s="1" t="s">
        <v>111</v>
      </c>
      <c r="CW17" s="1" t="s">
        <v>112</v>
      </c>
      <c r="CX17" s="1" t="s">
        <v>113</v>
      </c>
      <c r="CY17" s="1" t="s">
        <v>114</v>
      </c>
      <c r="CZ17" s="1" t="s">
        <v>115</v>
      </c>
      <c r="DA17" s="1" t="s">
        <v>116</v>
      </c>
      <c r="DB17" s="1" t="s">
        <v>117</v>
      </c>
      <c r="DC17" s="1" t="s">
        <v>118</v>
      </c>
      <c r="DD17" s="1" t="s">
        <v>119</v>
      </c>
      <c r="DE17" s="1" t="s">
        <v>120</v>
      </c>
      <c r="DF17" s="1" t="s">
        <v>121</v>
      </c>
      <c r="DG17" s="1" t="s">
        <v>122</v>
      </c>
      <c r="DH17" s="1" t="s">
        <v>123</v>
      </c>
      <c r="DI17" s="1" t="s">
        <v>124</v>
      </c>
      <c r="DJ17" s="1" t="s">
        <v>125</v>
      </c>
      <c r="DK17" s="1" t="s">
        <v>126</v>
      </c>
      <c r="DL17" s="1" t="s">
        <v>127</v>
      </c>
      <c r="DM17" s="1" t="s">
        <v>128</v>
      </c>
      <c r="DN17" s="1" t="s">
        <v>129</v>
      </c>
      <c r="DO17" s="1" t="s">
        <v>130</v>
      </c>
      <c r="DP17" s="1" t="s">
        <v>131</v>
      </c>
      <c r="DQ17" s="1" t="s">
        <v>132</v>
      </c>
      <c r="DR17" s="1" t="s">
        <v>133</v>
      </c>
      <c r="DS17" s="1" t="s">
        <v>134</v>
      </c>
      <c r="DT17" s="1" t="s">
        <v>135</v>
      </c>
      <c r="DU17" s="1" t="s">
        <v>136</v>
      </c>
      <c r="DV17" s="1" t="s">
        <v>137</v>
      </c>
      <c r="DW17" s="1" t="s">
        <v>138</v>
      </c>
      <c r="DX17" s="1" t="s">
        <v>139</v>
      </c>
      <c r="DY17" s="1" t="s">
        <v>140</v>
      </c>
      <c r="DZ17" s="1" t="s">
        <v>141</v>
      </c>
      <c r="EA17" s="1" t="s">
        <v>142</v>
      </c>
      <c r="EB17" s="1" t="s">
        <v>143</v>
      </c>
      <c r="EC17" s="1" t="s">
        <v>144</v>
      </c>
      <c r="ED17" s="1" t="s">
        <v>145</v>
      </c>
      <c r="EE17" s="1" t="s">
        <v>146</v>
      </c>
      <c r="EF17" s="1" t="s">
        <v>147</v>
      </c>
      <c r="EG17" s="1" t="s">
        <v>148</v>
      </c>
      <c r="EH17" s="1" t="s">
        <v>149</v>
      </c>
      <c r="EI17" s="1" t="s">
        <v>150</v>
      </c>
      <c r="EJ17" s="1" t="s">
        <v>151</v>
      </c>
      <c r="EK17" s="1" t="s">
        <v>152</v>
      </c>
      <c r="EL17" s="1" t="s">
        <v>153</v>
      </c>
      <c r="EM17" s="1" t="s">
        <v>154</v>
      </c>
      <c r="EN17" s="1" t="s">
        <v>155</v>
      </c>
      <c r="EO17" s="1" t="s">
        <v>156</v>
      </c>
      <c r="EP17" s="1" t="s">
        <v>157</v>
      </c>
      <c r="EQ17" s="1" t="s">
        <v>158</v>
      </c>
      <c r="ER17" s="1" t="s">
        <v>159</v>
      </c>
      <c r="ES17" s="1" t="s">
        <v>160</v>
      </c>
      <c r="ET17" s="1" t="s">
        <v>161</v>
      </c>
      <c r="EU17" s="1" t="s">
        <v>162</v>
      </c>
      <c r="EV17" s="1" t="s">
        <v>163</v>
      </c>
      <c r="EW17" s="1" t="s">
        <v>164</v>
      </c>
      <c r="EX17" s="1" t="s">
        <v>165</v>
      </c>
      <c r="EY17" s="1" t="s">
        <v>166</v>
      </c>
      <c r="EZ17" s="1" t="s">
        <v>167</v>
      </c>
      <c r="FA17" s="1" t="s">
        <v>168</v>
      </c>
      <c r="FB17" s="1" t="s">
        <v>169</v>
      </c>
      <c r="FC17" s="1" t="s">
        <v>170</v>
      </c>
      <c r="FD17" s="1" t="s">
        <v>171</v>
      </c>
      <c r="FE17" s="1" t="s">
        <v>172</v>
      </c>
      <c r="FF17" s="1" t="s">
        <v>173</v>
      </c>
      <c r="FG17" s="1" t="s">
        <v>174</v>
      </c>
      <c r="FH17" s="1" t="s">
        <v>175</v>
      </c>
      <c r="FI17" s="1" t="s">
        <v>176</v>
      </c>
      <c r="FJ17" s="1" t="s">
        <v>177</v>
      </c>
      <c r="FK17" s="1" t="s">
        <v>178</v>
      </c>
      <c r="FL17" s="1" t="s">
        <v>179</v>
      </c>
      <c r="FM17" s="1" t="s">
        <v>180</v>
      </c>
      <c r="FN17" s="1" t="s">
        <v>181</v>
      </c>
      <c r="FO17" s="1" t="s">
        <v>182</v>
      </c>
      <c r="FP17" s="1" t="s">
        <v>183</v>
      </c>
      <c r="FQ17" s="1" t="s">
        <v>184</v>
      </c>
      <c r="FR17" s="1" t="s">
        <v>185</v>
      </c>
      <c r="FS17" s="1" t="s">
        <v>186</v>
      </c>
      <c r="FT17" s="1" t="s">
        <v>187</v>
      </c>
      <c r="FU17" s="1" t="s">
        <v>188</v>
      </c>
      <c r="FV17" s="1" t="s">
        <v>189</v>
      </c>
      <c r="FW17" s="1" t="s">
        <v>190</v>
      </c>
      <c r="FX17" s="1" t="s">
        <v>191</v>
      </c>
      <c r="FY17" s="1" t="s">
        <v>192</v>
      </c>
      <c r="FZ17" s="1" t="s">
        <v>193</v>
      </c>
      <c r="GA17" s="1" t="s">
        <v>194</v>
      </c>
      <c r="GB17" s="1" t="s">
        <v>195</v>
      </c>
      <c r="GC17" s="1" t="s">
        <v>196</v>
      </c>
      <c r="GD17" s="1" t="s">
        <v>197</v>
      </c>
      <c r="GE17" s="1" t="s">
        <v>198</v>
      </c>
      <c r="GF17" s="1" t="s">
        <v>199</v>
      </c>
      <c r="GG17" s="1" t="s">
        <v>200</v>
      </c>
      <c r="GH17" s="1" t="s">
        <v>201</v>
      </c>
      <c r="GI17" s="1" t="s">
        <v>202</v>
      </c>
      <c r="GJ17" s="1" t="s">
        <v>203</v>
      </c>
      <c r="GK17" s="1" t="s">
        <v>204</v>
      </c>
      <c r="GL17" s="1" t="s">
        <v>205</v>
      </c>
      <c r="GM17" s="1" t="s">
        <v>206</v>
      </c>
      <c r="GN17" s="1" t="s">
        <v>207</v>
      </c>
      <c r="GO17" s="1" t="s">
        <v>208</v>
      </c>
      <c r="GP17" s="1" t="s">
        <v>209</v>
      </c>
      <c r="GQ17" s="1" t="s">
        <v>210</v>
      </c>
      <c r="GR17" s="1" t="s">
        <v>211</v>
      </c>
      <c r="GS17" s="1" t="s">
        <v>21</v>
      </c>
      <c r="GT17" s="1" t="s">
        <v>212</v>
      </c>
      <c r="GU17" s="1" t="s">
        <v>213</v>
      </c>
      <c r="GV17" s="1" t="s">
        <v>60</v>
      </c>
      <c r="GW17" s="1" t="s">
        <v>214</v>
      </c>
      <c r="GX17" s="1" t="s">
        <v>215</v>
      </c>
      <c r="GY17" s="1" t="s">
        <v>216</v>
      </c>
      <c r="GZ17" s="1" t="s">
        <v>217</v>
      </c>
      <c r="HA17" s="1" t="s">
        <v>218</v>
      </c>
      <c r="HB17" s="1" t="s">
        <v>219</v>
      </c>
      <c r="HC17" s="1" t="s">
        <v>220</v>
      </c>
    </row>
    <row r="18" spans="1:211" x14ac:dyDescent="0.45">
      <c r="A18" s="1" t="s">
        <v>3</v>
      </c>
      <c r="B18">
        <v>208211.94997053989</v>
      </c>
      <c r="C18">
        <v>83641.237320967324</v>
      </c>
      <c r="D18">
        <v>54887.048928891731</v>
      </c>
      <c r="E18">
        <v>174976.2719209069</v>
      </c>
      <c r="F18">
        <v>125964.8273384061</v>
      </c>
      <c r="G18">
        <v>6948.8144983034717</v>
      </c>
      <c r="H18">
        <v>95920.266748571245</v>
      </c>
      <c r="I18">
        <v>13566.573737239551</v>
      </c>
      <c r="J18">
        <v>429117.85124400537</v>
      </c>
      <c r="K18">
        <v>315382.72545149637</v>
      </c>
      <c r="L18">
        <v>281222.01040163782</v>
      </c>
      <c r="M18">
        <v>321763.7694426871</v>
      </c>
      <c r="N18">
        <v>405195.01636119792</v>
      </c>
      <c r="O18">
        <v>492821.7130988171</v>
      </c>
      <c r="P18">
        <v>954966.12727044243</v>
      </c>
      <c r="Q18">
        <v>0</v>
      </c>
      <c r="R18">
        <v>0</v>
      </c>
      <c r="S18">
        <v>435635.16562859272</v>
      </c>
      <c r="T18">
        <v>917181.51356347534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204496.38793387901</v>
      </c>
      <c r="AD18">
        <v>4330205.1089862539</v>
      </c>
      <c r="AE18">
        <v>21368.68547113004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25368.538443648889</v>
      </c>
      <c r="AO18">
        <v>24993.350575868109</v>
      </c>
      <c r="AP18">
        <v>691.03645200977189</v>
      </c>
      <c r="AQ18">
        <v>15611.603578328049</v>
      </c>
      <c r="AR18">
        <v>311805.97809731122</v>
      </c>
      <c r="AS18">
        <v>167919.42000098381</v>
      </c>
      <c r="AT18">
        <v>239387.2679456638</v>
      </c>
      <c r="AU18">
        <v>377252.13385785109</v>
      </c>
      <c r="AV18">
        <v>188008.16814309719</v>
      </c>
      <c r="AW18">
        <v>267632.28373900952</v>
      </c>
      <c r="AX18">
        <v>42348.062862977968</v>
      </c>
      <c r="AY18">
        <v>114658.49798889909</v>
      </c>
      <c r="AZ18">
        <v>301880.7131235557</v>
      </c>
      <c r="BA18">
        <v>216880.06509786961</v>
      </c>
      <c r="BB18">
        <v>376403.62583896372</v>
      </c>
      <c r="BC18">
        <v>91044.871210486192</v>
      </c>
      <c r="BD18">
        <v>140164.25676267489</v>
      </c>
      <c r="BE18">
        <v>96539.090221359496</v>
      </c>
      <c r="BF18">
        <v>138297.49436605131</v>
      </c>
      <c r="BG18">
        <v>748139.40622629668</v>
      </c>
      <c r="BH18">
        <v>219142.6128253887</v>
      </c>
      <c r="BI18">
        <v>154597.70647723609</v>
      </c>
      <c r="BJ18">
        <v>81790.431782562315</v>
      </c>
      <c r="BK18">
        <v>289605.38638909819</v>
      </c>
      <c r="BL18">
        <v>90138.958132165673</v>
      </c>
      <c r="BM18">
        <v>16980.21514697489</v>
      </c>
      <c r="BN18">
        <v>0</v>
      </c>
      <c r="BO18">
        <v>380705.53455876932</v>
      </c>
      <c r="BP18">
        <v>505375.93806255539</v>
      </c>
      <c r="BQ18">
        <v>0</v>
      </c>
      <c r="BR18">
        <v>0</v>
      </c>
      <c r="BS18">
        <v>130257.7783540286</v>
      </c>
      <c r="BT18">
        <v>0</v>
      </c>
      <c r="BU18">
        <v>225355.3181229718</v>
      </c>
      <c r="BV18">
        <v>77763.56287343055</v>
      </c>
      <c r="BW18">
        <v>663.31141547525749</v>
      </c>
      <c r="BX18">
        <v>132035.85591952901</v>
      </c>
      <c r="BY18">
        <v>126608.5586406072</v>
      </c>
      <c r="BZ18">
        <v>0</v>
      </c>
      <c r="CA18">
        <v>69548.703447900421</v>
      </c>
      <c r="CB18">
        <v>142332.45485754</v>
      </c>
      <c r="CC18">
        <v>240581.9508910765</v>
      </c>
      <c r="CD18">
        <v>26315.40664033451</v>
      </c>
      <c r="CE18">
        <v>29319.49768655029</v>
      </c>
      <c r="CF18">
        <v>44108.368179889287</v>
      </c>
      <c r="CG18">
        <v>28071.103637498469</v>
      </c>
      <c r="CH18">
        <v>548.85037972306623</v>
      </c>
      <c r="CI18">
        <v>171299.38596064539</v>
      </c>
      <c r="CJ18">
        <v>120843.7305791597</v>
      </c>
      <c r="CK18">
        <v>115847.163614315</v>
      </c>
      <c r="CL18">
        <v>86375.469490205025</v>
      </c>
      <c r="CM18">
        <v>148078.86668722361</v>
      </c>
      <c r="CN18">
        <v>0</v>
      </c>
      <c r="CO18">
        <v>32023.40221956262</v>
      </c>
      <c r="CP18">
        <v>60578.38523713217</v>
      </c>
      <c r="CQ18">
        <v>25128.863644077519</v>
      </c>
      <c r="CR18">
        <v>0</v>
      </c>
      <c r="CS18">
        <v>111311.70941341799</v>
      </c>
      <c r="CT18">
        <v>95152.421007577184</v>
      </c>
      <c r="CU18">
        <v>156925.12287211721</v>
      </c>
      <c r="CV18">
        <v>112510.1526386859</v>
      </c>
      <c r="CW18">
        <v>97865.977304551954</v>
      </c>
      <c r="CX18">
        <v>84770.493530749314</v>
      </c>
      <c r="CY18">
        <v>106547.8256750866</v>
      </c>
      <c r="CZ18">
        <v>138888.44832555659</v>
      </c>
      <c r="DA18">
        <v>108886.02792274109</v>
      </c>
      <c r="DB18">
        <v>165672.99379709849</v>
      </c>
      <c r="DC18">
        <v>0</v>
      </c>
      <c r="DD18">
        <v>138416.22339444541</v>
      </c>
      <c r="DE18">
        <v>144038.5856805451</v>
      </c>
      <c r="DF18">
        <v>358299.29961385927</v>
      </c>
      <c r="DG18">
        <v>484766.83347017289</v>
      </c>
      <c r="DH18">
        <v>412663.39273919398</v>
      </c>
      <c r="DI18">
        <v>0</v>
      </c>
      <c r="DJ18">
        <v>141680.52877945919</v>
      </c>
      <c r="DK18">
        <v>0</v>
      </c>
      <c r="DL18">
        <v>132230.58076416291</v>
      </c>
      <c r="DM18">
        <v>128541.7453080393</v>
      </c>
      <c r="DN18">
        <v>107667.4602055992</v>
      </c>
      <c r="DO18">
        <v>91342.734440568893</v>
      </c>
      <c r="DP18">
        <v>98959.545005174921</v>
      </c>
      <c r="DQ18">
        <v>91063.944698659121</v>
      </c>
      <c r="DR18">
        <v>80504.049785013834</v>
      </c>
      <c r="DS18">
        <v>128209.2125939376</v>
      </c>
      <c r="DT18">
        <v>103095.217090887</v>
      </c>
      <c r="DU18">
        <v>127822.1277685766</v>
      </c>
      <c r="DV18">
        <v>0</v>
      </c>
      <c r="DW18">
        <v>0</v>
      </c>
      <c r="DX18">
        <v>886969.62383960932</v>
      </c>
      <c r="DY18">
        <v>91939.507765442497</v>
      </c>
      <c r="DZ18">
        <v>80178.035213542244</v>
      </c>
      <c r="EA18">
        <v>97328.207574286862</v>
      </c>
      <c r="EB18">
        <v>45948.293883965547</v>
      </c>
      <c r="EC18">
        <v>695652.51449503121</v>
      </c>
      <c r="ED18">
        <v>71451.433537517354</v>
      </c>
      <c r="EE18">
        <v>10185.920236949631</v>
      </c>
      <c r="EF18">
        <v>0</v>
      </c>
      <c r="EG18">
        <v>126895.2557917042</v>
      </c>
      <c r="EH18">
        <v>0</v>
      </c>
      <c r="EI18">
        <v>0</v>
      </c>
      <c r="EJ18">
        <v>35658.768387427292</v>
      </c>
      <c r="EK18">
        <v>33309.378539984158</v>
      </c>
      <c r="EL18">
        <v>8880.8568678039937</v>
      </c>
      <c r="EM18">
        <v>18209.413482609631</v>
      </c>
      <c r="EN18">
        <v>1.915841237934323E-3</v>
      </c>
      <c r="EO18">
        <v>0</v>
      </c>
      <c r="EP18">
        <v>37765.943892259151</v>
      </c>
      <c r="EQ18">
        <v>81444.266732492091</v>
      </c>
      <c r="ER18">
        <v>464350.0828930409</v>
      </c>
      <c r="ES18">
        <v>62801.720830660553</v>
      </c>
      <c r="ET18">
        <v>109894.65717026631</v>
      </c>
      <c r="EU18">
        <v>0</v>
      </c>
      <c r="EV18">
        <v>30287.696775550961</v>
      </c>
      <c r="EW18">
        <v>77996.469865654828</v>
      </c>
      <c r="EX18">
        <v>43457.127346369431</v>
      </c>
      <c r="EY18">
        <v>43878.215439032007</v>
      </c>
      <c r="EZ18">
        <v>69130.120091834571</v>
      </c>
      <c r="FA18">
        <v>170504.44352001059</v>
      </c>
      <c r="FB18">
        <v>85396.681275425974</v>
      </c>
      <c r="FC18">
        <v>893434.35728739272</v>
      </c>
      <c r="FD18">
        <v>1873355.627172532</v>
      </c>
      <c r="FE18">
        <v>978411.26371489302</v>
      </c>
      <c r="FF18">
        <v>247984.58915264759</v>
      </c>
      <c r="FG18">
        <v>83742.733417998912</v>
      </c>
      <c r="FH18">
        <v>43243.753023599478</v>
      </c>
      <c r="FI18">
        <v>60466.895713103062</v>
      </c>
      <c r="FJ18">
        <v>68764.922696949448</v>
      </c>
      <c r="FK18">
        <v>90444.92534840187</v>
      </c>
      <c r="FL18">
        <v>67166.236680247297</v>
      </c>
      <c r="FM18">
        <v>55220.525345307848</v>
      </c>
      <c r="FN18">
        <v>51193.977166441153</v>
      </c>
      <c r="FO18">
        <v>193613.71318521141</v>
      </c>
      <c r="FP18">
        <v>47841.01015018599</v>
      </c>
      <c r="FQ18">
        <v>69667.936495477727</v>
      </c>
      <c r="FR18">
        <v>40825.996423850949</v>
      </c>
      <c r="FS18">
        <v>37851.970783487392</v>
      </c>
      <c r="FT18">
        <v>57113.348844295499</v>
      </c>
      <c r="FU18">
        <v>57554.962642536862</v>
      </c>
      <c r="FV18">
        <v>61366.501864613543</v>
      </c>
      <c r="FW18">
        <v>57604.291087081867</v>
      </c>
      <c r="FX18">
        <v>57500.576621374101</v>
      </c>
      <c r="FY18">
        <v>59013.999997345571</v>
      </c>
      <c r="FZ18">
        <v>55645.426911507617</v>
      </c>
      <c r="GA18">
        <v>53177.199188088707</v>
      </c>
      <c r="GB18">
        <v>54635.990603368293</v>
      </c>
      <c r="GC18">
        <v>57748.910633602944</v>
      </c>
      <c r="GD18">
        <v>57610.681745457798</v>
      </c>
      <c r="GE18">
        <v>265701.00681241619</v>
      </c>
      <c r="GF18">
        <v>64496.880315359682</v>
      </c>
      <c r="GG18">
        <v>65042.378714889768</v>
      </c>
      <c r="GH18">
        <v>62849.688538521659</v>
      </c>
      <c r="GI18">
        <v>61409.657712172193</v>
      </c>
      <c r="GJ18">
        <v>68199.186434254152</v>
      </c>
      <c r="GK18">
        <v>55493.799403265679</v>
      </c>
      <c r="GL18">
        <v>62566.17929312661</v>
      </c>
      <c r="GM18">
        <v>58383.449952964111</v>
      </c>
      <c r="GN18">
        <v>64324.577094222273</v>
      </c>
      <c r="GO18">
        <v>92773.851565028628</v>
      </c>
      <c r="GP18">
        <v>69330.433792626704</v>
      </c>
      <c r="GQ18">
        <v>0</v>
      </c>
      <c r="GR18">
        <v>175010.35999386679</v>
      </c>
      <c r="GS18">
        <v>311805.97809731122</v>
      </c>
      <c r="GT18">
        <v>314487.2509214257</v>
      </c>
      <c r="GU18">
        <v>287053.58795150358</v>
      </c>
      <c r="GV18">
        <v>271220.94721536338</v>
      </c>
      <c r="GW18">
        <v>274715.82684680523</v>
      </c>
      <c r="GX18">
        <v>93483.268241495287</v>
      </c>
      <c r="GY18">
        <v>179400.27230378499</v>
      </c>
      <c r="GZ18">
        <v>114697.3577846547</v>
      </c>
      <c r="HA18">
        <v>137822.58983953929</v>
      </c>
      <c r="HB18">
        <v>69130.120091834571</v>
      </c>
      <c r="HC18">
        <v>55687.578378144477</v>
      </c>
    </row>
    <row r="19" spans="1:211" x14ac:dyDescent="0.45">
      <c r="A19" s="1" t="s">
        <v>4</v>
      </c>
      <c r="B19">
        <v>3030549.8844004818</v>
      </c>
      <c r="C19">
        <v>1463949.768796447</v>
      </c>
      <c r="D19">
        <v>883289.34658041515</v>
      </c>
      <c r="E19">
        <v>663380.79193713027</v>
      </c>
      <c r="F19">
        <v>2985879.3130990639</v>
      </c>
      <c r="G19">
        <v>107257.51762060569</v>
      </c>
      <c r="H19">
        <v>395112.36800215492</v>
      </c>
      <c r="I19">
        <v>14107.304456418489</v>
      </c>
      <c r="J19">
        <v>8328986.4841155373</v>
      </c>
      <c r="K19">
        <v>2396215.3835412771</v>
      </c>
      <c r="L19">
        <v>1391475.963096085</v>
      </c>
      <c r="M19">
        <v>1804268.9289530171</v>
      </c>
      <c r="N19">
        <v>1953003.6862166601</v>
      </c>
      <c r="O19">
        <v>4090817.5397642562</v>
      </c>
      <c r="P19">
        <v>6266562.2170571703</v>
      </c>
      <c r="Q19">
        <v>0</v>
      </c>
      <c r="R19">
        <v>0</v>
      </c>
      <c r="S19">
        <v>1160226.8879697069</v>
      </c>
      <c r="T19">
        <v>912885.74257625546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446385.11188296188</v>
      </c>
      <c r="AD19">
        <v>11337795.87078153</v>
      </c>
      <c r="AE19">
        <v>48381.196099799847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48144.750338557293</v>
      </c>
      <c r="AO19">
        <v>30189.273951823969</v>
      </c>
      <c r="AP19">
        <v>935.19187992191894</v>
      </c>
      <c r="AQ19">
        <v>7392.0471108091142</v>
      </c>
      <c r="AR19">
        <v>3311556.353353377</v>
      </c>
      <c r="AS19">
        <v>679115.85530419613</v>
      </c>
      <c r="AT19">
        <v>395904.73491117632</v>
      </c>
      <c r="AU19">
        <v>480006.18788277882</v>
      </c>
      <c r="AV19">
        <v>355094.76748005318</v>
      </c>
      <c r="AW19">
        <v>1301275.5300622771</v>
      </c>
      <c r="AX19">
        <v>45804.926609544389</v>
      </c>
      <c r="AY19">
        <v>920853.1215255867</v>
      </c>
      <c r="AZ19">
        <v>749477.29702203558</v>
      </c>
      <c r="BA19">
        <v>457295.33371941448</v>
      </c>
      <c r="BB19">
        <v>927017.97737880913</v>
      </c>
      <c r="BC19">
        <v>107703.03087839761</v>
      </c>
      <c r="BD19">
        <v>27486.909621580031</v>
      </c>
      <c r="BE19">
        <v>19809.297108062859</v>
      </c>
      <c r="BF19">
        <v>87774.662485040026</v>
      </c>
      <c r="BG19">
        <v>551190.73776887858</v>
      </c>
      <c r="BH19">
        <v>63287.829224697998</v>
      </c>
      <c r="BI19">
        <v>148092.15332939831</v>
      </c>
      <c r="BJ19">
        <v>31463.879955791479</v>
      </c>
      <c r="BK19">
        <v>58707.69564088669</v>
      </c>
      <c r="BL19">
        <v>29555.001132027701</v>
      </c>
      <c r="BM19">
        <v>50033.702678411049</v>
      </c>
      <c r="BN19">
        <v>0</v>
      </c>
      <c r="BO19">
        <v>770315.44019557291</v>
      </c>
      <c r="BP19">
        <v>92047.453017988519</v>
      </c>
      <c r="BQ19">
        <v>0</v>
      </c>
      <c r="BR19">
        <v>0</v>
      </c>
      <c r="BS19">
        <v>33771.648865502502</v>
      </c>
      <c r="BT19">
        <v>0</v>
      </c>
      <c r="BU19">
        <v>43681.366521621952</v>
      </c>
      <c r="BV19">
        <v>15553.7071966196</v>
      </c>
      <c r="BW19">
        <v>324.52338387261062</v>
      </c>
      <c r="BX19">
        <v>26793.866189895711</v>
      </c>
      <c r="BY19">
        <v>20832.663869182339</v>
      </c>
      <c r="BZ19">
        <v>1166.3636897936351</v>
      </c>
      <c r="CA19">
        <v>12923.33862427737</v>
      </c>
      <c r="CB19">
        <v>29437.991556614099</v>
      </c>
      <c r="CC19">
        <v>41771.167673122407</v>
      </c>
      <c r="CD19">
        <v>6062.5160587904793</v>
      </c>
      <c r="CE19">
        <v>9648.4111694725216</v>
      </c>
      <c r="CF19">
        <v>7556.0273193396533</v>
      </c>
      <c r="CG19">
        <v>4955.6088950496742</v>
      </c>
      <c r="CH19">
        <v>174.58219488960751</v>
      </c>
      <c r="CI19">
        <v>51147.986007052627</v>
      </c>
      <c r="CJ19">
        <v>51994.449948499503</v>
      </c>
      <c r="CK19">
        <v>78398.808310672044</v>
      </c>
      <c r="CL19">
        <v>96863.59107051749</v>
      </c>
      <c r="CM19">
        <v>67155.099450493391</v>
      </c>
      <c r="CN19">
        <v>0</v>
      </c>
      <c r="CO19">
        <v>18212.300224845669</v>
      </c>
      <c r="CP19">
        <v>42412.226372488192</v>
      </c>
      <c r="CQ19">
        <v>33425.901640193268</v>
      </c>
      <c r="CR19">
        <v>0</v>
      </c>
      <c r="CS19">
        <v>71888.143061020863</v>
      </c>
      <c r="CT19">
        <v>47378.290454753107</v>
      </c>
      <c r="CU19">
        <v>97725.086199049838</v>
      </c>
      <c r="CV19">
        <v>170294.971145249</v>
      </c>
      <c r="CW19">
        <v>208811.67841218511</v>
      </c>
      <c r="CX19">
        <v>78816.991124481719</v>
      </c>
      <c r="CY19">
        <v>87816.958857317193</v>
      </c>
      <c r="CZ19">
        <v>377138.38044084283</v>
      </c>
      <c r="DA19">
        <v>58577.200053731307</v>
      </c>
      <c r="DB19">
        <v>98162.009761424226</v>
      </c>
      <c r="DC19">
        <v>0</v>
      </c>
      <c r="DD19">
        <v>44417.131630415279</v>
      </c>
      <c r="DE19">
        <v>26323.606351672759</v>
      </c>
      <c r="DF19">
        <v>705442.51597439067</v>
      </c>
      <c r="DG19">
        <v>32488.436910592991</v>
      </c>
      <c r="DH19">
        <v>70259.868344043891</v>
      </c>
      <c r="DI19">
        <v>0</v>
      </c>
      <c r="DJ19">
        <v>47746.251851330257</v>
      </c>
      <c r="DK19">
        <v>0</v>
      </c>
      <c r="DL19">
        <v>73015.619103400706</v>
      </c>
      <c r="DM19">
        <v>28910.366464727951</v>
      </c>
      <c r="DN19">
        <v>23016.35284607808</v>
      </c>
      <c r="DO19">
        <v>50416.925795049741</v>
      </c>
      <c r="DP19">
        <v>21237.785111606529</v>
      </c>
      <c r="DQ19">
        <v>20351.185138356279</v>
      </c>
      <c r="DR19">
        <v>20807.629061758591</v>
      </c>
      <c r="DS19">
        <v>27959.473690078808</v>
      </c>
      <c r="DT19">
        <v>15759.925411859</v>
      </c>
      <c r="DU19">
        <v>36267.56543483297</v>
      </c>
      <c r="DV19">
        <v>0</v>
      </c>
      <c r="DW19">
        <v>0</v>
      </c>
      <c r="DX19">
        <v>2252087.0124945738</v>
      </c>
      <c r="DY19">
        <v>359632.51848934928</v>
      </c>
      <c r="DZ19">
        <v>33838.234617436887</v>
      </c>
      <c r="EA19">
        <v>35447.913271700898</v>
      </c>
      <c r="EB19">
        <v>28898.536871427408</v>
      </c>
      <c r="EC19">
        <v>2700283.9168628161</v>
      </c>
      <c r="ED19">
        <v>61120.384750175552</v>
      </c>
      <c r="EE19">
        <v>7885.9271175050053</v>
      </c>
      <c r="EF19">
        <v>0</v>
      </c>
      <c r="EG19">
        <v>43283.16317651634</v>
      </c>
      <c r="EH19">
        <v>0</v>
      </c>
      <c r="EI19">
        <v>0</v>
      </c>
      <c r="EJ19">
        <v>10930.786003226491</v>
      </c>
      <c r="EK19">
        <v>10272.127607705241</v>
      </c>
      <c r="EL19">
        <v>5630.7072018643448</v>
      </c>
      <c r="EM19">
        <v>11299.73641077616</v>
      </c>
      <c r="EN19">
        <v>4.5187051848979862E-4</v>
      </c>
      <c r="EO19">
        <v>0</v>
      </c>
      <c r="EP19">
        <v>23584.772972624261</v>
      </c>
      <c r="EQ19">
        <v>52459.692637128013</v>
      </c>
      <c r="ER19">
        <v>814661.61312321934</v>
      </c>
      <c r="ES19">
        <v>25779.316175289099</v>
      </c>
      <c r="ET19">
        <v>46162.545276427132</v>
      </c>
      <c r="EU19">
        <v>0</v>
      </c>
      <c r="EV19">
        <v>8662.1218410889487</v>
      </c>
      <c r="EW19">
        <v>20489.94474861478</v>
      </c>
      <c r="EX19">
        <v>20040.531187717199</v>
      </c>
      <c r="EY19">
        <v>18644.623529666958</v>
      </c>
      <c r="EZ19">
        <v>93652.794280005503</v>
      </c>
      <c r="FA19">
        <v>42216.753955039647</v>
      </c>
      <c r="FB19">
        <v>73469.933931933614</v>
      </c>
      <c r="FC19">
        <v>25832.986265285301</v>
      </c>
      <c r="FD19">
        <v>1366476.092336396</v>
      </c>
      <c r="FE19">
        <v>912532.24113531027</v>
      </c>
      <c r="FF19">
        <v>221074.95718068301</v>
      </c>
      <c r="FG19">
        <v>39023.111167196686</v>
      </c>
      <c r="FH19">
        <v>13804.872520794899</v>
      </c>
      <c r="FI19">
        <v>18878.623509783571</v>
      </c>
      <c r="FJ19">
        <v>18606.89695331666</v>
      </c>
      <c r="FK19">
        <v>21867.3334150542</v>
      </c>
      <c r="FL19">
        <v>27366.27228244262</v>
      </c>
      <c r="FM19">
        <v>26784.895785562869</v>
      </c>
      <c r="FN19">
        <v>17132.382570222318</v>
      </c>
      <c r="FO19">
        <v>51101.587586653121</v>
      </c>
      <c r="FP19">
        <v>19427.029931641729</v>
      </c>
      <c r="FQ19">
        <v>24974.970707028941</v>
      </c>
      <c r="FR19">
        <v>25815.18638759261</v>
      </c>
      <c r="FS19">
        <v>16868.153278315051</v>
      </c>
      <c r="FT19">
        <v>36876.010210558787</v>
      </c>
      <c r="FU19">
        <v>36734.780503355163</v>
      </c>
      <c r="FV19">
        <v>35779.643313416673</v>
      </c>
      <c r="FW19">
        <v>37028.251205226778</v>
      </c>
      <c r="FX19">
        <v>38409.106641297782</v>
      </c>
      <c r="FY19">
        <v>36596.647452065372</v>
      </c>
      <c r="FZ19">
        <v>35990.993886283097</v>
      </c>
      <c r="GA19">
        <v>32739.77784236419</v>
      </c>
      <c r="GB19">
        <v>28581.375676520111</v>
      </c>
      <c r="GC19">
        <v>33522.367509295771</v>
      </c>
      <c r="GD19">
        <v>154678.0825533912</v>
      </c>
      <c r="GE19">
        <v>19170.467225032429</v>
      </c>
      <c r="GF19">
        <v>190613.4437300617</v>
      </c>
      <c r="GG19">
        <v>204687.70601401001</v>
      </c>
      <c r="GH19">
        <v>1040983.129486699</v>
      </c>
      <c r="GI19">
        <v>538013.29844053823</v>
      </c>
      <c r="GJ19">
        <v>259489.57803149431</v>
      </c>
      <c r="GK19">
        <v>50447.171771005458</v>
      </c>
      <c r="GL19">
        <v>446633.957379881</v>
      </c>
      <c r="GM19">
        <v>181767.23191578739</v>
      </c>
      <c r="GN19">
        <v>20039.63760732931</v>
      </c>
      <c r="GO19">
        <v>46119.369573550663</v>
      </c>
      <c r="GP19">
        <v>5911.6814178291861</v>
      </c>
      <c r="GQ19">
        <v>0</v>
      </c>
      <c r="GR19">
        <v>662574.39536098845</v>
      </c>
      <c r="GS19">
        <v>3311556.353353377</v>
      </c>
      <c r="GT19">
        <v>643751.64866571885</v>
      </c>
      <c r="GU19">
        <v>1301194.331794054</v>
      </c>
      <c r="GV19">
        <v>1345730.225624284</v>
      </c>
      <c r="GW19">
        <v>738804.09114694584</v>
      </c>
      <c r="GX19">
        <v>54142.308946859128</v>
      </c>
      <c r="GY19">
        <v>98998.04800205474</v>
      </c>
      <c r="GZ19">
        <v>24387.696557153129</v>
      </c>
      <c r="HA19">
        <v>62795.695014107972</v>
      </c>
      <c r="HB19">
        <v>93652.794280005503</v>
      </c>
      <c r="HC19">
        <v>24159.159348485198</v>
      </c>
    </row>
    <row r="20" spans="1:211" x14ac:dyDescent="0.45">
      <c r="A20" s="1" t="s">
        <v>5</v>
      </c>
      <c r="B20">
        <v>3158752.435851607</v>
      </c>
      <c r="C20">
        <v>770121.7593416865</v>
      </c>
      <c r="D20">
        <v>597470.88137796824</v>
      </c>
      <c r="E20">
        <v>8502.1782971371686</v>
      </c>
      <c r="F20">
        <v>1765615.927174852</v>
      </c>
      <c r="G20">
        <v>113078.2497347539</v>
      </c>
      <c r="H20">
        <v>0</v>
      </c>
      <c r="I20">
        <v>27874.058329364721</v>
      </c>
      <c r="J20">
        <v>775549.02733946778</v>
      </c>
      <c r="K20">
        <v>824523.16957540065</v>
      </c>
      <c r="L20">
        <v>643527.11175470671</v>
      </c>
      <c r="M20">
        <v>0</v>
      </c>
      <c r="N20">
        <v>0</v>
      </c>
      <c r="O20">
        <v>0</v>
      </c>
      <c r="P20">
        <v>108925.3813605578</v>
      </c>
      <c r="Q20">
        <v>0</v>
      </c>
      <c r="R20">
        <v>0</v>
      </c>
      <c r="S20">
        <v>489199.08435013797</v>
      </c>
      <c r="T20">
        <v>18837451.607702311</v>
      </c>
      <c r="U20">
        <v>914188.32034385414</v>
      </c>
      <c r="V20">
        <v>519674.90304328798</v>
      </c>
      <c r="W20">
        <v>3506679.6593305198</v>
      </c>
      <c r="X20">
        <v>0</v>
      </c>
      <c r="Y20">
        <v>19619.616810132891</v>
      </c>
      <c r="Z20">
        <v>365316.88765285088</v>
      </c>
      <c r="AA20">
        <v>0</v>
      </c>
      <c r="AB20">
        <v>599061.95480458753</v>
      </c>
      <c r="AC20">
        <v>0</v>
      </c>
      <c r="AD20">
        <v>15376.413284695431</v>
      </c>
      <c r="AE20">
        <v>0</v>
      </c>
      <c r="AF20">
        <v>158359.60379984221</v>
      </c>
      <c r="AG20">
        <v>484800.69842721481</v>
      </c>
      <c r="AH20">
        <v>278756690.06092459</v>
      </c>
      <c r="AI20">
        <v>1342530.628579881</v>
      </c>
      <c r="AJ20">
        <v>4011209.2593977652</v>
      </c>
      <c r="AK20">
        <v>166997.15460489641</v>
      </c>
      <c r="AL20">
        <v>1245413.0776715169</v>
      </c>
      <c r="AM20">
        <v>0</v>
      </c>
      <c r="AN20">
        <v>0</v>
      </c>
      <c r="AO20">
        <v>210097.74668797469</v>
      </c>
      <c r="AP20">
        <v>136960.79686906771</v>
      </c>
      <c r="AQ20">
        <v>0</v>
      </c>
      <c r="AR20">
        <v>661463.63622661016</v>
      </c>
      <c r="AS20">
        <v>489150.70821645821</v>
      </c>
      <c r="AT20">
        <v>381000.98132025142</v>
      </c>
      <c r="AU20">
        <v>419487.63801842718</v>
      </c>
      <c r="AV20">
        <v>608399.61671974498</v>
      </c>
      <c r="AW20">
        <v>350667.09448966011</v>
      </c>
      <c r="AX20">
        <v>426458.4132210653</v>
      </c>
      <c r="AY20">
        <v>0</v>
      </c>
      <c r="AZ20">
        <v>0</v>
      </c>
      <c r="BA20">
        <v>157984.3490882185</v>
      </c>
      <c r="BB20">
        <v>0</v>
      </c>
      <c r="BC20">
        <v>0</v>
      </c>
      <c r="BD20">
        <v>0</v>
      </c>
      <c r="BE20">
        <v>332702.82123380242</v>
      </c>
      <c r="BF20">
        <v>109140.6431748726</v>
      </c>
      <c r="BG20">
        <v>2897174.6810217812</v>
      </c>
      <c r="BH20">
        <v>708001.3451688448</v>
      </c>
      <c r="BI20">
        <v>1383095.6387918771</v>
      </c>
      <c r="BJ20">
        <v>78822.147091576204</v>
      </c>
      <c r="BK20">
        <v>155314.71143645191</v>
      </c>
      <c r="BL20">
        <v>149345.88661761241</v>
      </c>
      <c r="BM20">
        <v>595102.65349572396</v>
      </c>
      <c r="BN20">
        <v>180303.97055595031</v>
      </c>
      <c r="BO20">
        <v>0</v>
      </c>
      <c r="BP20">
        <v>511065.47503322258</v>
      </c>
      <c r="BQ20">
        <v>0</v>
      </c>
      <c r="BR20">
        <v>0</v>
      </c>
      <c r="BS20">
        <v>394819.61739775928</v>
      </c>
      <c r="BT20">
        <v>0</v>
      </c>
      <c r="BU20">
        <v>336069.01012120058</v>
      </c>
      <c r="BV20">
        <v>291743.68335772632</v>
      </c>
      <c r="BW20">
        <v>3653927.845904598</v>
      </c>
      <c r="BX20">
        <v>468347.46895894001</v>
      </c>
      <c r="BY20">
        <v>157799.7499372829</v>
      </c>
      <c r="BZ20">
        <v>1053672.1490335001</v>
      </c>
      <c r="CA20">
        <v>117454.4635218809</v>
      </c>
      <c r="CB20">
        <v>177566.344663961</v>
      </c>
      <c r="CC20">
        <v>56.833732591030483</v>
      </c>
      <c r="CD20">
        <v>117497.4986593568</v>
      </c>
      <c r="CE20">
        <v>671385.08136174618</v>
      </c>
      <c r="CF20">
        <v>2676897.4959521978</v>
      </c>
      <c r="CG20">
        <v>36285.169649217103</v>
      </c>
      <c r="CH20">
        <v>738843.41821691173</v>
      </c>
      <c r="CI20">
        <v>224056.11441313251</v>
      </c>
      <c r="CJ20">
        <v>360143.60469531949</v>
      </c>
      <c r="CK20">
        <v>0</v>
      </c>
      <c r="CL20">
        <v>124414.7241613869</v>
      </c>
      <c r="CM20">
        <v>0</v>
      </c>
      <c r="CN20">
        <v>0</v>
      </c>
      <c r="CO20">
        <v>10624451.65384545</v>
      </c>
      <c r="CP20">
        <v>448710.9991868877</v>
      </c>
      <c r="CQ20">
        <v>58207.793290098904</v>
      </c>
      <c r="CR20">
        <v>453952.50478550768</v>
      </c>
      <c r="CS20">
        <v>244796.26224936411</v>
      </c>
      <c r="CT20">
        <v>1954415.377388098</v>
      </c>
      <c r="CU20">
        <v>1089862.282254817</v>
      </c>
      <c r="CV20">
        <v>1782071.37064629</v>
      </c>
      <c r="CW20">
        <v>22905.205379970412</v>
      </c>
      <c r="CX20">
        <v>490977.05276535638</v>
      </c>
      <c r="CY20">
        <v>83268.851193034774</v>
      </c>
      <c r="CZ20">
        <v>0</v>
      </c>
      <c r="DA20">
        <v>474731.49751119787</v>
      </c>
      <c r="DB20">
        <v>5736522.3601323292</v>
      </c>
      <c r="DC20">
        <v>176460.17838907501</v>
      </c>
      <c r="DD20">
        <v>239559.98128998821</v>
      </c>
      <c r="DE20">
        <v>0</v>
      </c>
      <c r="DF20">
        <v>0</v>
      </c>
      <c r="DG20">
        <v>125429.1624751803</v>
      </c>
      <c r="DH20">
        <v>408718.57259378152</v>
      </c>
      <c r="DI20">
        <v>8586.2746878814905</v>
      </c>
      <c r="DJ20">
        <v>536114.82227565453</v>
      </c>
      <c r="DK20">
        <v>415958.3613738612</v>
      </c>
      <c r="DL20">
        <v>744209.03539937478</v>
      </c>
      <c r="DM20">
        <v>143107.14472431981</v>
      </c>
      <c r="DN20">
        <v>176585.72857888081</v>
      </c>
      <c r="DO20">
        <v>0</v>
      </c>
      <c r="DP20">
        <v>4457440.4388710558</v>
      </c>
      <c r="DQ20">
        <v>2928712.9820338562</v>
      </c>
      <c r="DR20">
        <v>776835.32771354518</v>
      </c>
      <c r="DS20">
        <v>109243.6448056403</v>
      </c>
      <c r="DT20">
        <v>448111.56541674287</v>
      </c>
      <c r="DU20">
        <v>103901.41701804529</v>
      </c>
      <c r="DV20">
        <v>124907.7458183268</v>
      </c>
      <c r="DW20">
        <v>0</v>
      </c>
      <c r="DX20">
        <v>68086.176341361657</v>
      </c>
      <c r="DY20">
        <v>0</v>
      </c>
      <c r="DZ20">
        <v>132319.50298794391</v>
      </c>
      <c r="EA20">
        <v>3110811.4109669649</v>
      </c>
      <c r="EB20">
        <v>20486614.57911196</v>
      </c>
      <c r="EC20">
        <v>171326.72441476211</v>
      </c>
      <c r="ED20">
        <v>302995.99269892531</v>
      </c>
      <c r="EE20">
        <v>1028260.410344463</v>
      </c>
      <c r="EF20">
        <v>286936.71051406441</v>
      </c>
      <c r="EG20">
        <v>2332872.800475982</v>
      </c>
      <c r="EH20">
        <v>6125815.5004111566</v>
      </c>
      <c r="EI20">
        <v>314591.88868758827</v>
      </c>
      <c r="EJ20">
        <v>182218.29588213499</v>
      </c>
      <c r="EK20">
        <v>175996.09326849991</v>
      </c>
      <c r="EL20">
        <v>783163.46645441884</v>
      </c>
      <c r="EM20">
        <v>20875027.319894399</v>
      </c>
      <c r="EN20">
        <v>2438827.0373925469</v>
      </c>
      <c r="EO20">
        <v>1650337.779724055</v>
      </c>
      <c r="EP20">
        <v>1056001.6499589949</v>
      </c>
      <c r="EQ20">
        <v>332800.59571412299</v>
      </c>
      <c r="ER20">
        <v>6793475.1420266815</v>
      </c>
      <c r="ES20">
        <v>87994.403520008462</v>
      </c>
      <c r="ET20">
        <v>1045980.877857696</v>
      </c>
      <c r="EU20">
        <v>0</v>
      </c>
      <c r="EV20">
        <v>102893.5205341012</v>
      </c>
      <c r="EW20">
        <v>212350.89545178591</v>
      </c>
      <c r="EX20">
        <v>221235.854561696</v>
      </c>
      <c r="EY20">
        <v>0</v>
      </c>
      <c r="EZ20">
        <v>140460.30165391049</v>
      </c>
      <c r="FA20">
        <v>403226.97137035022</v>
      </c>
      <c r="FB20">
        <v>240926.12819663729</v>
      </c>
      <c r="FC20">
        <v>776516.54942387575</v>
      </c>
      <c r="FD20">
        <v>407981.86806116073</v>
      </c>
      <c r="FE20">
        <v>241140.51147666029</v>
      </c>
      <c r="FF20">
        <v>9159.8141242923666</v>
      </c>
      <c r="FG20">
        <v>2852266.4376474218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123028.8760259203</v>
      </c>
      <c r="FT20">
        <v>176089.58778230581</v>
      </c>
      <c r="FU20">
        <v>0</v>
      </c>
      <c r="FV20">
        <v>33003.348703178017</v>
      </c>
      <c r="FW20">
        <v>0</v>
      </c>
      <c r="FX20">
        <v>1299547.044865896</v>
      </c>
      <c r="FY20">
        <v>705779.04798997857</v>
      </c>
      <c r="FZ20">
        <v>403819.77091949427</v>
      </c>
      <c r="GA20">
        <v>458743.03384161007</v>
      </c>
      <c r="GB20">
        <v>121267.80634170549</v>
      </c>
      <c r="GC20">
        <v>386231.53455606551</v>
      </c>
      <c r="GD20">
        <v>565015.81479842286</v>
      </c>
      <c r="GE20">
        <v>0</v>
      </c>
      <c r="GF20">
        <v>2490698.2991751619</v>
      </c>
      <c r="GG20">
        <v>1000877.653305392</v>
      </c>
      <c r="GH20">
        <v>1702345.2513942509</v>
      </c>
      <c r="GI20">
        <v>592923.6966451765</v>
      </c>
      <c r="GJ20">
        <v>3685800.3651015242</v>
      </c>
      <c r="GK20">
        <v>0</v>
      </c>
      <c r="GL20">
        <v>315494.65771684691</v>
      </c>
      <c r="GM20">
        <v>2700078.946433879</v>
      </c>
      <c r="GN20">
        <v>0</v>
      </c>
      <c r="GO20">
        <v>141168.01098967591</v>
      </c>
      <c r="GP20">
        <v>271033.83472887572</v>
      </c>
      <c r="GQ20">
        <v>1705298.858066126</v>
      </c>
      <c r="GR20">
        <v>21920.542780644519</v>
      </c>
      <c r="GS20">
        <v>661463.63622661016</v>
      </c>
      <c r="GT20">
        <v>408781.29882903729</v>
      </c>
      <c r="GU20">
        <v>1799768.7220400269</v>
      </c>
      <c r="GV20">
        <v>350667.09448966011</v>
      </c>
      <c r="GW20">
        <v>91265.226521295976</v>
      </c>
      <c r="GX20">
        <v>270410.65297355171</v>
      </c>
      <c r="GY20">
        <v>184538.73014505961</v>
      </c>
      <c r="GZ20">
        <v>191102.08060038049</v>
      </c>
      <c r="HA20">
        <v>643155.27728773037</v>
      </c>
      <c r="HB20">
        <v>0</v>
      </c>
      <c r="HC20">
        <v>216870.90161872891</v>
      </c>
    </row>
    <row r="21" spans="1:211" x14ac:dyDescent="0.45">
      <c r="A21" s="1" t="s">
        <v>6</v>
      </c>
      <c r="B21">
        <v>12.589531046076591</v>
      </c>
      <c r="C21">
        <v>393.41683792647649</v>
      </c>
      <c r="D21">
        <v>6.1707335051997774</v>
      </c>
      <c r="E21">
        <v>6666.4130958942833</v>
      </c>
      <c r="F21">
        <v>709.18679688875659</v>
      </c>
      <c r="G21">
        <v>0</v>
      </c>
      <c r="H21">
        <v>18.17377665812187</v>
      </c>
      <c r="I21">
        <v>418.35490823388932</v>
      </c>
      <c r="J21">
        <v>0</v>
      </c>
      <c r="K21">
        <v>0</v>
      </c>
      <c r="L21">
        <v>37.6718724459</v>
      </c>
      <c r="M21">
        <v>134.96855356699999</v>
      </c>
      <c r="N21">
        <v>358.93550539300003</v>
      </c>
      <c r="O21">
        <v>0</v>
      </c>
      <c r="P21">
        <v>0</v>
      </c>
      <c r="Q21">
        <v>0</v>
      </c>
      <c r="R21">
        <v>0</v>
      </c>
      <c r="S21">
        <v>324.71811889076042</v>
      </c>
      <c r="T21">
        <v>191.524540960959</v>
      </c>
      <c r="U21">
        <v>6.3533008602000001</v>
      </c>
      <c r="V21">
        <v>0</v>
      </c>
      <c r="W21">
        <v>14.903983972800001</v>
      </c>
      <c r="X21">
        <v>0</v>
      </c>
      <c r="Y21">
        <v>14.5218305376</v>
      </c>
      <c r="Z21">
        <v>0</v>
      </c>
      <c r="AA21">
        <v>0</v>
      </c>
      <c r="AB21">
        <v>0</v>
      </c>
      <c r="AC21">
        <v>0</v>
      </c>
      <c r="AD21">
        <v>10172.62054431125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1038.4943145499999</v>
      </c>
      <c r="AS21">
        <v>596.45047547599995</v>
      </c>
      <c r="AT21">
        <v>892.77666270999998</v>
      </c>
      <c r="AU21">
        <v>2166.4317380399998</v>
      </c>
      <c r="AV21">
        <v>152.52438610900001</v>
      </c>
      <c r="AW21">
        <v>1806.0386160099999</v>
      </c>
      <c r="AX21">
        <v>130.97256975400001</v>
      </c>
      <c r="AY21">
        <v>92.726657253900001</v>
      </c>
      <c r="AZ21">
        <v>11484.836648500001</v>
      </c>
      <c r="BA21">
        <v>1737.93637934</v>
      </c>
      <c r="BB21">
        <v>1549.8190821000001</v>
      </c>
      <c r="BC21">
        <v>1749.27710897</v>
      </c>
      <c r="BD21">
        <v>5191.81852316</v>
      </c>
      <c r="BE21">
        <v>10896.3904117</v>
      </c>
      <c r="BF21">
        <v>6719.8629984099998</v>
      </c>
      <c r="BG21">
        <v>627.28953437057316</v>
      </c>
      <c r="BH21">
        <v>64.052776141426875</v>
      </c>
      <c r="BI21">
        <v>0</v>
      </c>
      <c r="BJ21">
        <v>0</v>
      </c>
      <c r="BK21">
        <v>1766.04037623</v>
      </c>
      <c r="BL21">
        <v>1559.8370236600001</v>
      </c>
      <c r="BM21">
        <v>0.1066507278430744</v>
      </c>
      <c r="BN21">
        <v>0</v>
      </c>
      <c r="BO21">
        <v>0</v>
      </c>
      <c r="BP21">
        <v>262.48153199278192</v>
      </c>
      <c r="BQ21">
        <v>0.26273048669999999</v>
      </c>
      <c r="BR21">
        <v>0</v>
      </c>
      <c r="BS21">
        <v>52.290447045240562</v>
      </c>
      <c r="BT21">
        <v>157.13671563599999</v>
      </c>
      <c r="BU21">
        <v>7198.1551780506543</v>
      </c>
      <c r="BV21">
        <v>1.056828588528105</v>
      </c>
      <c r="BW21">
        <v>0</v>
      </c>
      <c r="BX21">
        <v>612.42607809052072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2378.0362296804178</v>
      </c>
      <c r="CJ21">
        <v>286.21616942958212</v>
      </c>
      <c r="CK21">
        <v>1.6789142170569999</v>
      </c>
      <c r="CL21">
        <v>44.522949826820003</v>
      </c>
      <c r="CM21">
        <v>6643.3333910300007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895.25021162600001</v>
      </c>
      <c r="CV21">
        <v>0.112600342789</v>
      </c>
      <c r="CW21">
        <v>0.91886879222690554</v>
      </c>
      <c r="CX21">
        <v>5.55902005850945E-2</v>
      </c>
      <c r="CY21">
        <v>791.25578928899995</v>
      </c>
      <c r="CZ21">
        <v>6.1700262321527496E-3</v>
      </c>
      <c r="DA21">
        <v>3.9625614194724822E-4</v>
      </c>
      <c r="DB21">
        <v>5.4250360592692362</v>
      </c>
      <c r="DC21">
        <v>3.0458495076355003E-4</v>
      </c>
      <c r="DD21">
        <v>1.3261887457802539</v>
      </c>
      <c r="DE21">
        <v>0.102340521859746</v>
      </c>
      <c r="DF21">
        <v>0</v>
      </c>
      <c r="DG21">
        <v>0</v>
      </c>
      <c r="DH21">
        <v>0</v>
      </c>
      <c r="DI21">
        <v>0</v>
      </c>
      <c r="DJ21">
        <v>7.4935930203748713</v>
      </c>
      <c r="DK21">
        <v>6.0997008595128847E-2</v>
      </c>
      <c r="DL21">
        <v>0</v>
      </c>
      <c r="DM21">
        <v>2010.42848448</v>
      </c>
      <c r="DN21">
        <v>520.47413446200005</v>
      </c>
      <c r="DO21">
        <v>1803.7615754999999</v>
      </c>
      <c r="DP21">
        <v>2577.2612739800002</v>
      </c>
      <c r="DQ21">
        <v>4696.7749308100001</v>
      </c>
      <c r="DR21">
        <v>4669.9064481400001</v>
      </c>
      <c r="DS21">
        <v>29014.020956100001</v>
      </c>
      <c r="DT21">
        <v>2813.8265550279998</v>
      </c>
      <c r="DU21">
        <v>10799.400247</v>
      </c>
      <c r="DV21">
        <v>0</v>
      </c>
      <c r="DW21">
        <v>0</v>
      </c>
      <c r="DX21">
        <v>63.361211080935377</v>
      </c>
      <c r="DY21">
        <v>50.540358367452967</v>
      </c>
      <c r="DZ21">
        <v>20.421948832948161</v>
      </c>
      <c r="EA21">
        <v>34.973120821718787</v>
      </c>
      <c r="EB21">
        <v>7.7745748429250057</v>
      </c>
      <c r="EC21">
        <v>7.7841592984684684</v>
      </c>
      <c r="ED21">
        <v>4.4869937232399604</v>
      </c>
      <c r="EE21">
        <v>2.2862877476796539</v>
      </c>
      <c r="EF21">
        <v>0</v>
      </c>
      <c r="EG21">
        <v>4.9947555776570151E-3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107.8362040536</v>
      </c>
      <c r="EY21">
        <v>0</v>
      </c>
      <c r="EZ21">
        <v>0</v>
      </c>
      <c r="FA21">
        <v>1317.5141081675199</v>
      </c>
      <c r="FB21">
        <v>5070.0672428300004</v>
      </c>
      <c r="FC21">
        <v>0.66543467202200002</v>
      </c>
      <c r="FD21">
        <v>3107.3829579702092</v>
      </c>
      <c r="FE21">
        <v>243.82395424985501</v>
      </c>
      <c r="FF21">
        <v>8077.9817955548197</v>
      </c>
      <c r="FG21">
        <v>854.20888969679993</v>
      </c>
      <c r="FH21">
        <v>2604.55483714</v>
      </c>
      <c r="FI21">
        <v>1220.2376179299999</v>
      </c>
      <c r="FJ21">
        <v>1145.74717822</v>
      </c>
      <c r="FK21">
        <v>0</v>
      </c>
      <c r="FL21">
        <v>0</v>
      </c>
      <c r="FM21">
        <v>0</v>
      </c>
      <c r="FN21">
        <v>1.81215275413</v>
      </c>
      <c r="FO21">
        <v>1038.6668066899999</v>
      </c>
      <c r="FP21">
        <v>652.78120585600004</v>
      </c>
      <c r="FQ21">
        <v>1267.5185599075201</v>
      </c>
      <c r="FR21">
        <v>1024.3292228667999</v>
      </c>
      <c r="FS21">
        <v>1545.727142509</v>
      </c>
      <c r="FT21">
        <v>7.1772939881199997</v>
      </c>
      <c r="FU21">
        <v>7.47894238651</v>
      </c>
      <c r="FV21">
        <v>3.4561336392499999</v>
      </c>
      <c r="FW21">
        <v>12.452825049199999</v>
      </c>
      <c r="FX21">
        <v>1.4328711332499999</v>
      </c>
      <c r="FY21">
        <v>2.5196803371600001</v>
      </c>
      <c r="FZ21">
        <v>7.2681283026200001</v>
      </c>
      <c r="GA21">
        <v>0.63557573159500003</v>
      </c>
      <c r="GB21">
        <v>4.31870936057E-2</v>
      </c>
      <c r="GC21">
        <v>6.2167013558799988</v>
      </c>
      <c r="GD21">
        <v>8.3376501952699993</v>
      </c>
      <c r="GE21">
        <v>0</v>
      </c>
      <c r="GF21">
        <v>2.8579230598600001</v>
      </c>
      <c r="GG21">
        <v>5.4780863341700003</v>
      </c>
      <c r="GH21">
        <v>6.6187806119300001</v>
      </c>
      <c r="GI21">
        <v>4.2866716676400003</v>
      </c>
      <c r="GJ21">
        <v>0.91095341557300002</v>
      </c>
      <c r="GK21">
        <v>10.798532357499999</v>
      </c>
      <c r="GL21">
        <v>0.47988633069100001</v>
      </c>
      <c r="GM21">
        <v>1.5981500333700001</v>
      </c>
      <c r="GN21">
        <v>95.863337095600002</v>
      </c>
      <c r="GO21">
        <v>2481.46822075</v>
      </c>
      <c r="GP21">
        <v>262.19233730575002</v>
      </c>
      <c r="GQ21">
        <v>0</v>
      </c>
      <c r="GR21">
        <v>6818.9374820032835</v>
      </c>
      <c r="GS21">
        <v>1038.4943145499999</v>
      </c>
      <c r="GT21">
        <v>3828.2993022389001</v>
      </c>
      <c r="GU21">
        <v>2356.4986623639588</v>
      </c>
      <c r="GV21">
        <v>1806.0386160099999</v>
      </c>
      <c r="GW21">
        <v>17903.873458744751</v>
      </c>
      <c r="GX21">
        <v>26463.523517716021</v>
      </c>
      <c r="GY21">
        <v>58120.83281466164</v>
      </c>
      <c r="GZ21">
        <v>22808.071933269999</v>
      </c>
      <c r="HA21">
        <v>52451.491819216943</v>
      </c>
      <c r="HB21">
        <v>0</v>
      </c>
      <c r="HC21">
        <v>14392.991685798401</v>
      </c>
    </row>
    <row r="22" spans="1:211" x14ac:dyDescent="0.45">
      <c r="A22" s="1" t="s">
        <v>7</v>
      </c>
      <c r="B22">
        <v>111.1237859411297</v>
      </c>
      <c r="C22">
        <v>6143.0077963115054</v>
      </c>
      <c r="D22">
        <v>370.68346562429832</v>
      </c>
      <c r="E22">
        <v>10280.107604815599</v>
      </c>
      <c r="F22">
        <v>726.07848723778375</v>
      </c>
      <c r="G22">
        <v>0</v>
      </c>
      <c r="H22">
        <v>514.07430814345184</v>
      </c>
      <c r="I22">
        <v>0</v>
      </c>
      <c r="J22">
        <v>0</v>
      </c>
      <c r="K22">
        <v>0</v>
      </c>
      <c r="L22">
        <v>3117.9127895699999</v>
      </c>
      <c r="M22">
        <v>1889.7566549799999</v>
      </c>
      <c r="N22">
        <v>139.24546536700001</v>
      </c>
      <c r="O22">
        <v>137.460607966</v>
      </c>
      <c r="P22">
        <v>0</v>
      </c>
      <c r="Q22">
        <v>0</v>
      </c>
      <c r="R22">
        <v>0</v>
      </c>
      <c r="S22">
        <v>4983.7269113496177</v>
      </c>
      <c r="T22">
        <v>235.5104379290872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7.5170467887461898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5050.4413716326299</v>
      </c>
      <c r="AS22">
        <v>2108.0791581456701</v>
      </c>
      <c r="AT22">
        <v>8018.0444478146992</v>
      </c>
      <c r="AU22">
        <v>15949.9837150327</v>
      </c>
      <c r="AV22">
        <v>26.960627056900002</v>
      </c>
      <c r="AW22">
        <v>8488.2230403558297</v>
      </c>
      <c r="AX22">
        <v>26.83840954758</v>
      </c>
      <c r="AY22">
        <v>662.143368282305</v>
      </c>
      <c r="AZ22">
        <v>23360.725289119</v>
      </c>
      <c r="BA22">
        <v>7010.4418690136599</v>
      </c>
      <c r="BB22">
        <v>2468.4934124624001</v>
      </c>
      <c r="BC22">
        <v>874.53301648599995</v>
      </c>
      <c r="BD22">
        <v>2215.3406393403002</v>
      </c>
      <c r="BE22">
        <v>3273.5352910359002</v>
      </c>
      <c r="BF22">
        <v>128.12948849290001</v>
      </c>
      <c r="BG22">
        <v>710.2622544142647</v>
      </c>
      <c r="BH22">
        <v>438.23633378573538</v>
      </c>
      <c r="BI22">
        <v>0</v>
      </c>
      <c r="BJ22">
        <v>0</v>
      </c>
      <c r="BK22">
        <v>1585.4834509899999</v>
      </c>
      <c r="BL22">
        <v>5484.6488585699999</v>
      </c>
      <c r="BM22">
        <v>0.72930991165692571</v>
      </c>
      <c r="BN22">
        <v>0</v>
      </c>
      <c r="BO22">
        <v>0</v>
      </c>
      <c r="BP22">
        <v>4666.4618214472184</v>
      </c>
      <c r="BQ22">
        <v>0</v>
      </c>
      <c r="BR22">
        <v>0</v>
      </c>
      <c r="BS22">
        <v>43.24791175475945</v>
      </c>
      <c r="BT22">
        <v>0</v>
      </c>
      <c r="BU22">
        <v>7435.9329311493466</v>
      </c>
      <c r="BV22">
        <v>2.1437064312718959</v>
      </c>
      <c r="BW22">
        <v>0</v>
      </c>
      <c r="BX22">
        <v>301.73270808747918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37588.165323314177</v>
      </c>
      <c r="CJ22">
        <v>1908.1984372858201</v>
      </c>
      <c r="CK22">
        <v>8.0925708148400002</v>
      </c>
      <c r="CL22">
        <v>43.787168113900002</v>
      </c>
      <c r="CM22">
        <v>9071.7807908699997</v>
      </c>
      <c r="CN22">
        <v>0</v>
      </c>
      <c r="CO22">
        <v>0</v>
      </c>
      <c r="CP22">
        <v>347.92681815999998</v>
      </c>
      <c r="CQ22">
        <v>984.28394153700003</v>
      </c>
      <c r="CR22">
        <v>0</v>
      </c>
      <c r="CS22">
        <v>0</v>
      </c>
      <c r="CT22">
        <v>0</v>
      </c>
      <c r="CU22">
        <v>689.76229474199999</v>
      </c>
      <c r="CV22">
        <v>7.7309901311899996</v>
      </c>
      <c r="CW22">
        <v>50.515630950077558</v>
      </c>
      <c r="CX22">
        <v>11.094501610822441</v>
      </c>
      <c r="CY22">
        <v>967.10634446200015</v>
      </c>
      <c r="CZ22">
        <v>4.0624645841598698E-3</v>
      </c>
      <c r="DA22">
        <v>1.8210031991701299E-3</v>
      </c>
      <c r="DB22">
        <v>0</v>
      </c>
      <c r="DC22">
        <v>0</v>
      </c>
      <c r="DD22">
        <v>0.46723417790522082</v>
      </c>
      <c r="DE22">
        <v>0.26654030710377918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0.14561557168100001</v>
      </c>
      <c r="DM22">
        <v>3671.05667554</v>
      </c>
      <c r="DN22">
        <v>310.99962491299999</v>
      </c>
      <c r="DO22">
        <v>0</v>
      </c>
      <c r="DP22">
        <v>1938.44845799</v>
      </c>
      <c r="DQ22">
        <v>1956.93538405</v>
      </c>
      <c r="DR22">
        <v>2869.1544762899998</v>
      </c>
      <c r="DS22">
        <v>26547.7846919</v>
      </c>
      <c r="DT22">
        <v>1501.0289734744999</v>
      </c>
      <c r="DU22">
        <v>7391.2707397499989</v>
      </c>
      <c r="DV22">
        <v>0</v>
      </c>
      <c r="DW22">
        <v>0</v>
      </c>
      <c r="DX22">
        <v>160.53293276706461</v>
      </c>
      <c r="DY22">
        <v>458.08197929454701</v>
      </c>
      <c r="DZ22">
        <v>10186.75299786705</v>
      </c>
      <c r="EA22">
        <v>1235.3526669582809</v>
      </c>
      <c r="EB22">
        <v>488.06950732907501</v>
      </c>
      <c r="EC22">
        <v>36.951677209631541</v>
      </c>
      <c r="ED22">
        <v>213.02996467476001</v>
      </c>
      <c r="EE22">
        <v>167.10322240432029</v>
      </c>
      <c r="EF22">
        <v>0</v>
      </c>
      <c r="EG22">
        <v>11.36406994162234</v>
      </c>
      <c r="EH22">
        <v>0</v>
      </c>
      <c r="EI22">
        <v>0</v>
      </c>
      <c r="EJ22">
        <v>2459.8227431700002</v>
      </c>
      <c r="EK22">
        <v>9539.4035679999997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8925.8146115100008</v>
      </c>
      <c r="ER22">
        <v>1377.8064414299999</v>
      </c>
      <c r="ES22">
        <v>5628.20353823</v>
      </c>
      <c r="ET22">
        <v>8796.4664476500002</v>
      </c>
      <c r="EU22">
        <v>0</v>
      </c>
      <c r="EV22">
        <v>30296.038247430999</v>
      </c>
      <c r="EW22">
        <v>769.05730232869996</v>
      </c>
      <c r="EX22">
        <v>9886.4385954099998</v>
      </c>
      <c r="EY22">
        <v>7198.7452669800005</v>
      </c>
      <c r="EZ22">
        <v>83954.164852629998</v>
      </c>
      <c r="FA22">
        <v>15294.563008583</v>
      </c>
      <c r="FB22">
        <v>30950.3724516</v>
      </c>
      <c r="FC22">
        <v>308.12175901199998</v>
      </c>
      <c r="FD22">
        <v>1190.0860007440001</v>
      </c>
      <c r="FE22">
        <v>749.58537190106574</v>
      </c>
      <c r="FF22">
        <v>11302.3998226312</v>
      </c>
      <c r="FG22">
        <v>16771.579081532</v>
      </c>
      <c r="FH22">
        <v>42904.638546299997</v>
      </c>
      <c r="FI22">
        <v>13529.354277</v>
      </c>
      <c r="FJ22">
        <v>31909.8454513</v>
      </c>
      <c r="FK22">
        <v>0</v>
      </c>
      <c r="FL22">
        <v>242143.13257310001</v>
      </c>
      <c r="FM22">
        <v>3328.271032657</v>
      </c>
      <c r="FN22">
        <v>70.890308732400001</v>
      </c>
      <c r="FO22">
        <v>11126.0696009</v>
      </c>
      <c r="FP22">
        <v>15846.2651147</v>
      </c>
      <c r="FQ22">
        <v>186753.73804475501</v>
      </c>
      <c r="FR22">
        <v>130808.66813279</v>
      </c>
      <c r="FS22">
        <v>258670.86586419999</v>
      </c>
      <c r="FT22">
        <v>767.06281134100004</v>
      </c>
      <c r="FU22">
        <v>804.795130685</v>
      </c>
      <c r="FV22">
        <v>332.70708407199999</v>
      </c>
      <c r="FW22">
        <v>949.25281436</v>
      </c>
      <c r="FX22">
        <v>167.74187124900001</v>
      </c>
      <c r="FY22">
        <v>222.57871309000001</v>
      </c>
      <c r="FZ22">
        <v>919.98164076199998</v>
      </c>
      <c r="GA22">
        <v>70.537428166500007</v>
      </c>
      <c r="GB22">
        <v>6.1009405066999998</v>
      </c>
      <c r="GC22">
        <v>773.51984684800004</v>
      </c>
      <c r="GD22">
        <v>479.80123612099999</v>
      </c>
      <c r="GE22">
        <v>1.8890696923700001</v>
      </c>
      <c r="GF22">
        <v>266.24321473499998</v>
      </c>
      <c r="GG22">
        <v>472.33991311599999</v>
      </c>
      <c r="GH22">
        <v>460.33404258299998</v>
      </c>
      <c r="GI22">
        <v>317.56515019599999</v>
      </c>
      <c r="GJ22">
        <v>84.577913012400003</v>
      </c>
      <c r="GK22">
        <v>1333.3558007900001</v>
      </c>
      <c r="GL22">
        <v>52.302272047400002</v>
      </c>
      <c r="GM22">
        <v>192.22371685499999</v>
      </c>
      <c r="GN22">
        <v>22590.5100676</v>
      </c>
      <c r="GO22">
        <v>71885.084968099996</v>
      </c>
      <c r="GP22">
        <v>11238.476071223</v>
      </c>
      <c r="GQ22">
        <v>0</v>
      </c>
      <c r="GR22">
        <v>10307.068231872499</v>
      </c>
      <c r="GS22">
        <v>5050.4413716326299</v>
      </c>
      <c r="GT22">
        <v>31083.776765543069</v>
      </c>
      <c r="GU22">
        <v>8862.9789436519168</v>
      </c>
      <c r="GV22">
        <v>8625.6836483218303</v>
      </c>
      <c r="GW22">
        <v>35754.451946233312</v>
      </c>
      <c r="GX22">
        <v>348068.80637080298</v>
      </c>
      <c r="GY22">
        <v>115961.4466882009</v>
      </c>
      <c r="GZ22">
        <v>5617.0054188691001</v>
      </c>
      <c r="HA22">
        <v>76311.734081727249</v>
      </c>
      <c r="HB22">
        <v>83954.164852629998</v>
      </c>
      <c r="HC22">
        <v>879887.65012239758</v>
      </c>
    </row>
    <row r="23" spans="1:211" x14ac:dyDescent="0.45">
      <c r="A23" s="1" t="s">
        <v>8</v>
      </c>
      <c r="B23">
        <v>23137300.158911481</v>
      </c>
      <c r="C23">
        <v>513808772.95584321</v>
      </c>
      <c r="D23">
        <v>20345721.51485201</v>
      </c>
      <c r="E23">
        <v>1798774903.6363969</v>
      </c>
      <c r="F23">
        <v>91460351.279038519</v>
      </c>
      <c r="G23">
        <v>0</v>
      </c>
      <c r="H23">
        <v>49310144.765707113</v>
      </c>
      <c r="I23">
        <v>0</v>
      </c>
      <c r="J23">
        <v>0</v>
      </c>
      <c r="K23">
        <v>0</v>
      </c>
      <c r="L23">
        <v>876825702.93985403</v>
      </c>
      <c r="M23">
        <v>608055224.63576829</v>
      </c>
      <c r="N23">
        <v>56421568.617604189</v>
      </c>
      <c r="O23">
        <v>67743572.301409021</v>
      </c>
      <c r="P23">
        <v>0</v>
      </c>
      <c r="Q23">
        <v>0</v>
      </c>
      <c r="R23">
        <v>0</v>
      </c>
      <c r="S23">
        <v>2171086698.473465</v>
      </c>
      <c r="T23">
        <v>216005819.91979721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32550354.40911746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1574757811.7050381</v>
      </c>
      <c r="AS23">
        <v>353987429.55198312</v>
      </c>
      <c r="AT23">
        <v>1919417754.6292591</v>
      </c>
      <c r="AU23">
        <v>6017165391.4940624</v>
      </c>
      <c r="AV23">
        <v>5068818.104956992</v>
      </c>
      <c r="AW23">
        <v>2271722517.1765089</v>
      </c>
      <c r="AX23">
        <v>1136554.6546632659</v>
      </c>
      <c r="AY23">
        <v>75920364.060559541</v>
      </c>
      <c r="AZ23">
        <v>7052152409.3627253</v>
      </c>
      <c r="BA23">
        <v>1520425088.916513</v>
      </c>
      <c r="BB23">
        <v>929149870.81044388</v>
      </c>
      <c r="BC23">
        <v>79621745.855285868</v>
      </c>
      <c r="BD23">
        <v>310511574.18928218</v>
      </c>
      <c r="BE23">
        <v>316024118.80411911</v>
      </c>
      <c r="BF23">
        <v>17719987.21297187</v>
      </c>
      <c r="BG23">
        <v>531375181.28243887</v>
      </c>
      <c r="BH23">
        <v>96036255.22082521</v>
      </c>
      <c r="BI23">
        <v>0</v>
      </c>
      <c r="BJ23">
        <v>0</v>
      </c>
      <c r="BK23">
        <v>459164547.43747967</v>
      </c>
      <c r="BL23">
        <v>494380533.83227152</v>
      </c>
      <c r="BM23">
        <v>12383.83920875585</v>
      </c>
      <c r="BN23">
        <v>0</v>
      </c>
      <c r="BO23">
        <v>0</v>
      </c>
      <c r="BP23">
        <v>2358317520.4469891</v>
      </c>
      <c r="BQ23">
        <v>0</v>
      </c>
      <c r="BR23">
        <v>0</v>
      </c>
      <c r="BS23">
        <v>5633376.9036260452</v>
      </c>
      <c r="BT23">
        <v>0</v>
      </c>
      <c r="BU23">
        <v>1675727031.240243</v>
      </c>
      <c r="BV23">
        <v>166702.24985038949</v>
      </c>
      <c r="BW23">
        <v>0</v>
      </c>
      <c r="BX23">
        <v>39839536.371247724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6438829639.2709427</v>
      </c>
      <c r="CJ23">
        <v>230593817.8469412</v>
      </c>
      <c r="CK23">
        <v>937501.37524720002</v>
      </c>
      <c r="CL23">
        <v>3782137.2034846479</v>
      </c>
      <c r="CM23">
        <v>1343339018.3469551</v>
      </c>
      <c r="CN23">
        <v>0</v>
      </c>
      <c r="CO23">
        <v>0</v>
      </c>
      <c r="CP23">
        <v>21076844.82482611</v>
      </c>
      <c r="CQ23">
        <v>24733936.953938439</v>
      </c>
      <c r="CR23">
        <v>0</v>
      </c>
      <c r="CS23">
        <v>0</v>
      </c>
      <c r="CT23">
        <v>0</v>
      </c>
      <c r="CU23">
        <v>108241032.8549419</v>
      </c>
      <c r="CV23">
        <v>869814.87970836111</v>
      </c>
      <c r="CW23">
        <v>4943761.5920854127</v>
      </c>
      <c r="CX23">
        <v>940486.37702711136</v>
      </c>
      <c r="CY23">
        <v>103043078.19900741</v>
      </c>
      <c r="CZ23">
        <v>564.22940247149177</v>
      </c>
      <c r="DA23">
        <v>198.28180519223949</v>
      </c>
      <c r="DB23">
        <v>0</v>
      </c>
      <c r="DC23">
        <v>0</v>
      </c>
      <c r="DD23">
        <v>64672.790346449081</v>
      </c>
      <c r="DE23">
        <v>38392.088862086493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19254.831611684229</v>
      </c>
      <c r="DM23">
        <v>471884032.19864029</v>
      </c>
      <c r="DN23">
        <v>33484539.739276689</v>
      </c>
      <c r="DO23">
        <v>0</v>
      </c>
      <c r="DP23">
        <v>191827977.41867331</v>
      </c>
      <c r="DQ23">
        <v>178206255.59197849</v>
      </c>
      <c r="DR23">
        <v>230978554.80014551</v>
      </c>
      <c r="DS23">
        <v>3403670571.4618878</v>
      </c>
      <c r="DT23">
        <v>154748907.8800649</v>
      </c>
      <c r="DU23">
        <v>944767952.86846602</v>
      </c>
      <c r="DV23">
        <v>0</v>
      </c>
      <c r="DW23">
        <v>0</v>
      </c>
      <c r="DX23">
        <v>142387834.99027261</v>
      </c>
      <c r="DY23">
        <v>42115831.69256027</v>
      </c>
      <c r="DZ23">
        <v>816753840.57464147</v>
      </c>
      <c r="EA23">
        <v>120234660.7971645</v>
      </c>
      <c r="EB23">
        <v>22425961.158558618</v>
      </c>
      <c r="EC23">
        <v>25705527.165688921</v>
      </c>
      <c r="ED23">
        <v>15221296.362458291</v>
      </c>
      <c r="EE23">
        <v>1702100.0947476621</v>
      </c>
      <c r="EF23">
        <v>0</v>
      </c>
      <c r="EG23">
        <v>1442046.5620769849</v>
      </c>
      <c r="EH23">
        <v>0</v>
      </c>
      <c r="EI23">
        <v>0</v>
      </c>
      <c r="EJ23">
        <v>87714249.47282508</v>
      </c>
      <c r="EK23">
        <v>317751604.4921875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726956426.02459574</v>
      </c>
      <c r="ER23">
        <v>639784535.28858614</v>
      </c>
      <c r="ES23">
        <v>353460867.38605642</v>
      </c>
      <c r="ET23">
        <v>966684664.57424724</v>
      </c>
      <c r="EU23">
        <v>0</v>
      </c>
      <c r="EV23">
        <v>917597219.93868446</v>
      </c>
      <c r="EW23">
        <v>59983754.706042238</v>
      </c>
      <c r="EX23">
        <v>429636221.04279411</v>
      </c>
      <c r="EY23">
        <v>315868095.71526039</v>
      </c>
      <c r="EZ23">
        <v>5803761498.4719887</v>
      </c>
      <c r="FA23">
        <v>2607790954.660183</v>
      </c>
      <c r="FB23">
        <v>2643059091.60501</v>
      </c>
      <c r="FC23">
        <v>275286565.72914708</v>
      </c>
      <c r="FD23">
        <v>2229454306.3130269</v>
      </c>
      <c r="FE23">
        <v>733402770.98391974</v>
      </c>
      <c r="FF23">
        <v>2802820976.454155</v>
      </c>
      <c r="FG23">
        <v>1404497876.0236211</v>
      </c>
      <c r="FH23">
        <v>1855357592.863003</v>
      </c>
      <c r="FI23">
        <v>818078054.13298392</v>
      </c>
      <c r="FJ23">
        <v>2194278055.730248</v>
      </c>
      <c r="FK23">
        <v>0</v>
      </c>
      <c r="FL23">
        <v>16263842952.901331</v>
      </c>
      <c r="FM23">
        <v>183788874.91488981</v>
      </c>
      <c r="FN23">
        <v>3629156.8465684489</v>
      </c>
      <c r="FO23">
        <v>2154159648.5873518</v>
      </c>
      <c r="FP23">
        <v>758101330.19490087</v>
      </c>
      <c r="FQ23">
        <v>13010747562.395069</v>
      </c>
      <c r="FR23">
        <v>5340394217.3979902</v>
      </c>
      <c r="FS23">
        <v>9791202057.2310848</v>
      </c>
      <c r="FT23">
        <v>43809525.92960456</v>
      </c>
      <c r="FU23">
        <v>46319953.681470737</v>
      </c>
      <c r="FV23">
        <v>20417069.89507452</v>
      </c>
      <c r="FW23">
        <v>54681035.433625117</v>
      </c>
      <c r="FX23">
        <v>9645254.320365794</v>
      </c>
      <c r="FY23">
        <v>13135260.173702439</v>
      </c>
      <c r="FZ23">
        <v>51192771.15095073</v>
      </c>
      <c r="GA23">
        <v>3750982.867825469</v>
      </c>
      <c r="GB23">
        <v>333330.92819577019</v>
      </c>
      <c r="GC23">
        <v>44669928.508943386</v>
      </c>
      <c r="GD23">
        <v>27641676.315244179</v>
      </c>
      <c r="GE23">
        <v>501927.71920153027</v>
      </c>
      <c r="GF23">
        <v>17171856.755539902</v>
      </c>
      <c r="GG23">
        <v>30722111.511048999</v>
      </c>
      <c r="GH23">
        <v>28931851.20002012</v>
      </c>
      <c r="GI23">
        <v>19501567.174850911</v>
      </c>
      <c r="GJ23">
        <v>5768144.8577527981</v>
      </c>
      <c r="GK23">
        <v>73992979.342220932</v>
      </c>
      <c r="GL23">
        <v>3272353.3303555129</v>
      </c>
      <c r="GM23">
        <v>11222683.75277664</v>
      </c>
      <c r="GN23">
        <v>1453125006.4411409</v>
      </c>
      <c r="GO23">
        <v>6669056202.5699797</v>
      </c>
      <c r="GP23">
        <v>779168421.18594563</v>
      </c>
      <c r="GQ23">
        <v>0</v>
      </c>
      <c r="GR23">
        <v>1803843721.741354</v>
      </c>
      <c r="GS23">
        <v>1574757811.7050381</v>
      </c>
      <c r="GT23">
        <v>9775451503.250927</v>
      </c>
      <c r="GU23">
        <v>2544149905.7139101</v>
      </c>
      <c r="GV23">
        <v>2339466089.4779181</v>
      </c>
      <c r="GW23">
        <v>9822313829.8638477</v>
      </c>
      <c r="GX23">
        <v>32538609592.458858</v>
      </c>
      <c r="GY23">
        <v>20803515112.60408</v>
      </c>
      <c r="GZ23">
        <v>644255680.20637321</v>
      </c>
      <c r="HA23">
        <v>10517480826.28989</v>
      </c>
      <c r="HB23">
        <v>5803761498.4719887</v>
      </c>
      <c r="HC23">
        <v>48998812480.15239</v>
      </c>
    </row>
    <row r="24" spans="1:211" x14ac:dyDescent="0.45">
      <c r="A24" s="1" t="s">
        <v>9</v>
      </c>
      <c r="B24">
        <v>336766176.63803452</v>
      </c>
      <c r="C24">
        <v>8993054843.1249981</v>
      </c>
      <c r="D24">
        <v>327420756.13945019</v>
      </c>
      <c r="E24">
        <v>6819625924.0814877</v>
      </c>
      <c r="F24">
        <v>2167982734.7295609</v>
      </c>
      <c r="G24">
        <v>0</v>
      </c>
      <c r="H24">
        <v>203117117.21962869</v>
      </c>
      <c r="I24">
        <v>0</v>
      </c>
      <c r="J24">
        <v>0</v>
      </c>
      <c r="K24">
        <v>0</v>
      </c>
      <c r="L24">
        <v>4338500701.7165155</v>
      </c>
      <c r="M24">
        <v>3409629215.8626008</v>
      </c>
      <c r="N24">
        <v>271946907.15070528</v>
      </c>
      <c r="O24">
        <v>562326266.09397101</v>
      </c>
      <c r="P24">
        <v>0</v>
      </c>
      <c r="Q24">
        <v>0</v>
      </c>
      <c r="R24">
        <v>0</v>
      </c>
      <c r="S24">
        <v>5782253964.8460464</v>
      </c>
      <c r="T24">
        <v>214994121.01335391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85226742.041918129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16724821211.468781</v>
      </c>
      <c r="AS24">
        <v>1431629980.533046</v>
      </c>
      <c r="AT24">
        <v>3174381761.6181078</v>
      </c>
      <c r="AU24">
        <v>7656090879.8452492</v>
      </c>
      <c r="AV24">
        <v>9573577.5958863385</v>
      </c>
      <c r="AW24">
        <v>11045516936.12586</v>
      </c>
      <c r="AX24">
        <v>1229331.3796437969</v>
      </c>
      <c r="AY24">
        <v>609736787.58022678</v>
      </c>
      <c r="AZ24">
        <v>17508333246.163219</v>
      </c>
      <c r="BA24">
        <v>3205842354.011158</v>
      </c>
      <c r="BB24">
        <v>2288337770.3938079</v>
      </c>
      <c r="BC24">
        <v>94189856.478769824</v>
      </c>
      <c r="BD24">
        <v>60892867.934560157</v>
      </c>
      <c r="BE24">
        <v>64846433.173859157</v>
      </c>
      <c r="BF24">
        <v>11246522.60684512</v>
      </c>
      <c r="BG24">
        <v>391489976.0199855</v>
      </c>
      <c r="BH24">
        <v>27735026.252689369</v>
      </c>
      <c r="BI24">
        <v>0</v>
      </c>
      <c r="BJ24">
        <v>0</v>
      </c>
      <c r="BK24">
        <v>93080079.884383604</v>
      </c>
      <c r="BL24">
        <v>162098803.22381079</v>
      </c>
      <c r="BM24">
        <v>36490.075280260848</v>
      </c>
      <c r="BN24">
        <v>0</v>
      </c>
      <c r="BO24">
        <v>0</v>
      </c>
      <c r="BP24">
        <v>429535925.26990002</v>
      </c>
      <c r="BQ24">
        <v>0</v>
      </c>
      <c r="BR24">
        <v>0</v>
      </c>
      <c r="BS24">
        <v>1460553.289947974</v>
      </c>
      <c r="BT24">
        <v>0</v>
      </c>
      <c r="BU24">
        <v>324811711.79573327</v>
      </c>
      <c r="BV24">
        <v>33342.5821475134</v>
      </c>
      <c r="BW24">
        <v>0</v>
      </c>
      <c r="BX24">
        <v>8084585.8056107834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1922558953.987654</v>
      </c>
      <c r="CJ24">
        <v>99215728.139262542</v>
      </c>
      <c r="CK24">
        <v>634447.9080531802</v>
      </c>
      <c r="CL24">
        <v>4241382.3463208126</v>
      </c>
      <c r="CM24">
        <v>609216341.20395041</v>
      </c>
      <c r="CN24">
        <v>0</v>
      </c>
      <c r="CO24">
        <v>0</v>
      </c>
      <c r="CP24">
        <v>14756350.972861459</v>
      </c>
      <c r="CQ24">
        <v>32900578.215837501</v>
      </c>
      <c r="CR24">
        <v>0</v>
      </c>
      <c r="CS24">
        <v>0</v>
      </c>
      <c r="CT24">
        <v>0</v>
      </c>
      <c r="CU24">
        <v>67407079.710516363</v>
      </c>
      <c r="CV24">
        <v>1316548.741315206</v>
      </c>
      <c r="CW24">
        <v>10548253.68473622</v>
      </c>
      <c r="CX24">
        <v>874435.23499074031</v>
      </c>
      <c r="CY24">
        <v>84928338.062269896</v>
      </c>
      <c r="CZ24">
        <v>1532.1113138683349</v>
      </c>
      <c r="DA24">
        <v>106.66926869627341</v>
      </c>
      <c r="DB24">
        <v>0</v>
      </c>
      <c r="DC24">
        <v>0</v>
      </c>
      <c r="DD24">
        <v>20753.20198224506</v>
      </c>
      <c r="DE24">
        <v>7016.30212105385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10632.21111738384</v>
      </c>
      <c r="DM24">
        <v>106131593.80264729</v>
      </c>
      <c r="DN24">
        <v>7158077.1019955426</v>
      </c>
      <c r="DO24">
        <v>0</v>
      </c>
      <c r="DP24">
        <v>41168351.800716661</v>
      </c>
      <c r="DQ24">
        <v>39825954.304601908</v>
      </c>
      <c r="DR24">
        <v>59700302.063526571</v>
      </c>
      <c r="DS24">
        <v>742262087.6230551</v>
      </c>
      <c r="DT24">
        <v>23656104.66299741</v>
      </c>
      <c r="DU24">
        <v>268063395.20044941</v>
      </c>
      <c r="DV24">
        <v>0</v>
      </c>
      <c r="DW24">
        <v>0</v>
      </c>
      <c r="DX24">
        <v>361534132.96237081</v>
      </c>
      <c r="DY24">
        <v>164741175.88828391</v>
      </c>
      <c r="DZ24">
        <v>344701737.93170393</v>
      </c>
      <c r="EA24">
        <v>43790674.198301546</v>
      </c>
      <c r="EB24">
        <v>14104494.653368689</v>
      </c>
      <c r="EC24">
        <v>99780019.670274317</v>
      </c>
      <c r="ED24">
        <v>13020473.404237639</v>
      </c>
      <c r="EE24">
        <v>1317763.8329807001</v>
      </c>
      <c r="EF24">
        <v>0</v>
      </c>
      <c r="EG24">
        <v>491872.89363258443</v>
      </c>
      <c r="EH24">
        <v>0</v>
      </c>
      <c r="EI24">
        <v>0</v>
      </c>
      <c r="EJ24">
        <v>26887796.011460811</v>
      </c>
      <c r="EK24">
        <v>97989970.751894653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468245491.0558008</v>
      </c>
      <c r="ER24">
        <v>1122446018.1469259</v>
      </c>
      <c r="ES24">
        <v>145091238.510912</v>
      </c>
      <c r="ET24">
        <v>406067280.66221529</v>
      </c>
      <c r="EU24">
        <v>0</v>
      </c>
      <c r="EV24">
        <v>262427974.60153821</v>
      </c>
      <c r="EW24">
        <v>15757941.633233789</v>
      </c>
      <c r="EX24">
        <v>198129481.0067651</v>
      </c>
      <c r="EY24">
        <v>134217895.388814</v>
      </c>
      <c r="EZ24">
        <v>7862542129.8930254</v>
      </c>
      <c r="FA24">
        <v>645686803.38319945</v>
      </c>
      <c r="FB24">
        <v>2273921819.1877899</v>
      </c>
      <c r="FC24">
        <v>7959705.1685925405</v>
      </c>
      <c r="FD24">
        <v>1626224067.84091</v>
      </c>
      <c r="FE24">
        <v>684020819.34312451</v>
      </c>
      <c r="FF24">
        <v>2498677556.8271518</v>
      </c>
      <c r="FG24">
        <v>654479194.94805372</v>
      </c>
      <c r="FH24">
        <v>592293065.68245423</v>
      </c>
      <c r="FI24">
        <v>255415585.72596309</v>
      </c>
      <c r="FJ24">
        <v>593743206.10859931</v>
      </c>
      <c r="FK24">
        <v>0</v>
      </c>
      <c r="FL24">
        <v>6626554897.3190546</v>
      </c>
      <c r="FM24">
        <v>89147392.755825475</v>
      </c>
      <c r="FN24">
        <v>1214519.889724649</v>
      </c>
      <c r="FO24">
        <v>568559820.20559013</v>
      </c>
      <c r="FP24">
        <v>307845866.68800712</v>
      </c>
      <c r="FQ24">
        <v>4664169137.0959129</v>
      </c>
      <c r="FR24">
        <v>3376850148.9607201</v>
      </c>
      <c r="FS24">
        <v>4363299814.0317974</v>
      </c>
      <c r="FT24">
        <v>28286216.063150641</v>
      </c>
      <c r="FU24">
        <v>29563972.4758825</v>
      </c>
      <c r="FV24">
        <v>11904140.795943091</v>
      </c>
      <c r="FW24">
        <v>35149171.667390577</v>
      </c>
      <c r="FX24">
        <v>6442815.421013684</v>
      </c>
      <c r="FY24">
        <v>8145634.6932891384</v>
      </c>
      <c r="FZ24">
        <v>33111053.60815784</v>
      </c>
      <c r="GA24">
        <v>2309379.7277429332</v>
      </c>
      <c r="GB24">
        <v>174373.27260209169</v>
      </c>
      <c r="GC24">
        <v>25930216.581772842</v>
      </c>
      <c r="GD24">
        <v>74214735.20994316</v>
      </c>
      <c r="GE24">
        <v>36214.348623381193</v>
      </c>
      <c r="GF24">
        <v>50749536.030400641</v>
      </c>
      <c r="GG24">
        <v>96682173.274570838</v>
      </c>
      <c r="GH24">
        <v>479199972.25731492</v>
      </c>
      <c r="GI24">
        <v>170854273.9267149</v>
      </c>
      <c r="GJ24">
        <v>21947086.958372109</v>
      </c>
      <c r="GK24">
        <v>67264029.114319667</v>
      </c>
      <c r="GL24">
        <v>23359970.74448939</v>
      </c>
      <c r="GM24">
        <v>34939972.921297431</v>
      </c>
      <c r="GN24">
        <v>452705635.11942852</v>
      </c>
      <c r="GO24">
        <v>3315294800.4698949</v>
      </c>
      <c r="GP24">
        <v>66438290.154966973</v>
      </c>
      <c r="GQ24">
        <v>0</v>
      </c>
      <c r="GR24">
        <v>6829199501.6773739</v>
      </c>
      <c r="GS24">
        <v>16724821211.468781</v>
      </c>
      <c r="GT24">
        <v>20010232539.57552</v>
      </c>
      <c r="GU24">
        <v>11532457964.289921</v>
      </c>
      <c r="GV24">
        <v>11607843202.219839</v>
      </c>
      <c r="GW24">
        <v>26415535374.594051</v>
      </c>
      <c r="GX24">
        <v>18845248849.2925</v>
      </c>
      <c r="GY24">
        <v>11479956865.626221</v>
      </c>
      <c r="GZ24">
        <v>136985823.71526441</v>
      </c>
      <c r="HA24">
        <v>4792048379.3938532</v>
      </c>
      <c r="HB24">
        <v>7862542129.8930254</v>
      </c>
      <c r="HC24">
        <v>21257345948.07119</v>
      </c>
    </row>
    <row r="25" spans="1:211" x14ac:dyDescent="0.45">
      <c r="A25" s="1" t="s">
        <v>10</v>
      </c>
      <c r="B25">
        <v>359903476.79694593</v>
      </c>
      <c r="C25">
        <v>9506863616.0808411</v>
      </c>
      <c r="D25">
        <v>347766477.65430218</v>
      </c>
      <c r="E25">
        <v>8618400827.7178841</v>
      </c>
      <c r="F25">
        <v>2259443086.0086002</v>
      </c>
      <c r="G25">
        <v>0</v>
      </c>
      <c r="H25">
        <v>252427261.9853358</v>
      </c>
      <c r="I25">
        <v>0</v>
      </c>
      <c r="J25">
        <v>0</v>
      </c>
      <c r="K25">
        <v>0</v>
      </c>
      <c r="L25">
        <v>5215326404.6563702</v>
      </c>
      <c r="M25">
        <v>4017684440.4983702</v>
      </c>
      <c r="N25">
        <v>328368475.76830947</v>
      </c>
      <c r="O25">
        <v>630069838.39538002</v>
      </c>
      <c r="P25">
        <v>0</v>
      </c>
      <c r="Q25">
        <v>0</v>
      </c>
      <c r="R25">
        <v>0</v>
      </c>
      <c r="S25">
        <v>7953340663.3195114</v>
      </c>
      <c r="T25">
        <v>430999940.93315113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117777096.4510356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18299579023.17382</v>
      </c>
      <c r="AS25">
        <v>1785617410.0850301</v>
      </c>
      <c r="AT25">
        <v>5093799516.2473669</v>
      </c>
      <c r="AU25">
        <v>13673256271.33931</v>
      </c>
      <c r="AV25">
        <v>14642395.70084333</v>
      </c>
      <c r="AW25">
        <v>13317239453.30237</v>
      </c>
      <c r="AX25">
        <v>2365886.0343070631</v>
      </c>
      <c r="AY25">
        <v>685657151.64078629</v>
      </c>
      <c r="AZ25">
        <v>24560485655.52594</v>
      </c>
      <c r="BA25">
        <v>4726267442.9276695</v>
      </c>
      <c r="BB25">
        <v>3217487641.2042518</v>
      </c>
      <c r="BC25">
        <v>173811602.33405569</v>
      </c>
      <c r="BD25">
        <v>371404442.12384242</v>
      </c>
      <c r="BE25">
        <v>380870551.97797829</v>
      </c>
      <c r="BF25">
        <v>28966509.819816981</v>
      </c>
      <c r="BG25">
        <v>922865157.30242443</v>
      </c>
      <c r="BH25">
        <v>123771281.4735146</v>
      </c>
      <c r="BI25">
        <v>0</v>
      </c>
      <c r="BJ25">
        <v>0</v>
      </c>
      <c r="BK25">
        <v>552244627.32186329</v>
      </c>
      <c r="BL25">
        <v>656479337.05608225</v>
      </c>
      <c r="BM25">
        <v>48873.914489016694</v>
      </c>
      <c r="BN25">
        <v>0</v>
      </c>
      <c r="BO25">
        <v>0</v>
      </c>
      <c r="BP25">
        <v>2787853445.7168889</v>
      </c>
      <c r="BQ25">
        <v>0</v>
      </c>
      <c r="BR25">
        <v>0</v>
      </c>
      <c r="BS25">
        <v>7093930.1935740197</v>
      </c>
      <c r="BT25">
        <v>0</v>
      </c>
      <c r="BU25">
        <v>2000538743.0359769</v>
      </c>
      <c r="BV25">
        <v>200044.83199790289</v>
      </c>
      <c r="BW25">
        <v>0</v>
      </c>
      <c r="BX25">
        <v>47924122.176858507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8361388593.2585964</v>
      </c>
      <c r="CJ25">
        <v>329809545.98620367</v>
      </c>
      <c r="CK25">
        <v>1571949.28330038</v>
      </c>
      <c r="CL25">
        <v>8023519.5498054596</v>
      </c>
      <c r="CM25">
        <v>1952555359.550905</v>
      </c>
      <c r="CN25">
        <v>0</v>
      </c>
      <c r="CO25">
        <v>0</v>
      </c>
      <c r="CP25">
        <v>35833195.797687568</v>
      </c>
      <c r="CQ25">
        <v>57634515.169775948</v>
      </c>
      <c r="CR25">
        <v>0</v>
      </c>
      <c r="CS25">
        <v>0</v>
      </c>
      <c r="CT25">
        <v>0</v>
      </c>
      <c r="CU25">
        <v>175648112.56545821</v>
      </c>
      <c r="CV25">
        <v>2186363.6210235669</v>
      </c>
      <c r="CW25">
        <v>15492015.27682163</v>
      </c>
      <c r="CX25">
        <v>1814921.612017852</v>
      </c>
      <c r="CY25">
        <v>187971416.26127729</v>
      </c>
      <c r="CZ25">
        <v>2096.3407163398269</v>
      </c>
      <c r="DA25">
        <v>304.95107388851301</v>
      </c>
      <c r="DB25">
        <v>0</v>
      </c>
      <c r="DC25">
        <v>0</v>
      </c>
      <c r="DD25">
        <v>85425.992328694148</v>
      </c>
      <c r="DE25">
        <v>45408.390983140343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29887.042729068071</v>
      </c>
      <c r="DM25">
        <v>578015626.0012877</v>
      </c>
      <c r="DN25">
        <v>40642616.841272227</v>
      </c>
      <c r="DO25">
        <v>0</v>
      </c>
      <c r="DP25">
        <v>232996329.21939</v>
      </c>
      <c r="DQ25">
        <v>218032209.8965804</v>
      </c>
      <c r="DR25">
        <v>290678856.86367202</v>
      </c>
      <c r="DS25">
        <v>4145932659.0849428</v>
      </c>
      <c r="DT25">
        <v>178405012.5430623</v>
      </c>
      <c r="DU25">
        <v>1212831348.0689149</v>
      </c>
      <c r="DV25">
        <v>0</v>
      </c>
      <c r="DW25">
        <v>0</v>
      </c>
      <c r="DX25">
        <v>503921967.95264339</v>
      </c>
      <c r="DY25">
        <v>206857007.58084419</v>
      </c>
      <c r="DZ25">
        <v>1161455578.506345</v>
      </c>
      <c r="EA25">
        <v>164025334.99546599</v>
      </c>
      <c r="EB25">
        <v>36530455.811927304</v>
      </c>
      <c r="EC25">
        <v>125485546.8359632</v>
      </c>
      <c r="ED25">
        <v>28241769.76669592</v>
      </c>
      <c r="EE25">
        <v>3019863.9277283619</v>
      </c>
      <c r="EF25">
        <v>0</v>
      </c>
      <c r="EG25">
        <v>1933919.4557095689</v>
      </c>
      <c r="EH25">
        <v>0</v>
      </c>
      <c r="EI25">
        <v>0</v>
      </c>
      <c r="EJ25">
        <v>114602045.48428591</v>
      </c>
      <c r="EK25">
        <v>415741575.24408221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1195201917.0803969</v>
      </c>
      <c r="ER25">
        <v>1762230553.4355121</v>
      </c>
      <c r="ES25">
        <v>498552105.89696842</v>
      </c>
      <c r="ET25">
        <v>1372751945.2364631</v>
      </c>
      <c r="EU25">
        <v>0</v>
      </c>
      <c r="EV25">
        <v>1180025194.5402229</v>
      </c>
      <c r="EW25">
        <v>75741696.339276031</v>
      </c>
      <c r="EX25">
        <v>627765702.04955924</v>
      </c>
      <c r="EY25">
        <v>450085991.10407448</v>
      </c>
      <c r="EZ25">
        <v>13666303628.365009</v>
      </c>
      <c r="FA25">
        <v>3253477758.0433831</v>
      </c>
      <c r="FB25">
        <v>4916980910.7927999</v>
      </c>
      <c r="FC25">
        <v>283246270.89773959</v>
      </c>
      <c r="FD25">
        <v>3855678374.1539369</v>
      </c>
      <c r="FE25">
        <v>1417423590.327044</v>
      </c>
      <c r="FF25">
        <v>5301498533.2813072</v>
      </c>
      <c r="FG25">
        <v>2058977070.9716749</v>
      </c>
      <c r="FH25">
        <v>2447650658.5454569</v>
      </c>
      <c r="FI25">
        <v>1073493639.858947</v>
      </c>
      <c r="FJ25">
        <v>2788021261.8388481</v>
      </c>
      <c r="FK25">
        <v>0</v>
      </c>
      <c r="FL25">
        <v>22890397850.22039</v>
      </c>
      <c r="FM25">
        <v>272936267.67071527</v>
      </c>
      <c r="FN25">
        <v>4843676.736293098</v>
      </c>
      <c r="FO25">
        <v>2722719468.792943</v>
      </c>
      <c r="FP25">
        <v>1065947196.882908</v>
      </c>
      <c r="FQ25">
        <v>17674916699.49099</v>
      </c>
      <c r="FR25">
        <v>8717244366.3587112</v>
      </c>
      <c r="FS25">
        <v>14154501871.26288</v>
      </c>
      <c r="FT25">
        <v>72095741.992755204</v>
      </c>
      <c r="FU25">
        <v>75883926.157353252</v>
      </c>
      <c r="FV25">
        <v>32321210.691017609</v>
      </c>
      <c r="FW25">
        <v>89830207.101015717</v>
      </c>
      <c r="FX25">
        <v>16088069.741379481</v>
      </c>
      <c r="FY25">
        <v>21280894.86699158</v>
      </c>
      <c r="FZ25">
        <v>84303824.759108573</v>
      </c>
      <c r="GA25">
        <v>6060362.5955684017</v>
      </c>
      <c r="GB25">
        <v>507704.20079786179</v>
      </c>
      <c r="GC25">
        <v>70600145.090716228</v>
      </c>
      <c r="GD25">
        <v>101856411.5251873</v>
      </c>
      <c r="GE25">
        <v>538142.06782491156</v>
      </c>
      <c r="GF25">
        <v>67921392.785940543</v>
      </c>
      <c r="GG25">
        <v>127404284.7856198</v>
      </c>
      <c r="GH25">
        <v>508131823.457335</v>
      </c>
      <c r="GI25">
        <v>190355841.10156581</v>
      </c>
      <c r="GJ25">
        <v>27715231.816124909</v>
      </c>
      <c r="GK25">
        <v>141257008.45654061</v>
      </c>
      <c r="GL25">
        <v>26632324.074844912</v>
      </c>
      <c r="GM25">
        <v>46162656.674074069</v>
      </c>
      <c r="GN25">
        <v>1905830641.560569</v>
      </c>
      <c r="GO25">
        <v>9984351003.039875</v>
      </c>
      <c r="GP25">
        <v>845606711.34091258</v>
      </c>
      <c r="GQ25">
        <v>0</v>
      </c>
      <c r="GR25">
        <v>8633043223.4187279</v>
      </c>
      <c r="GS25">
        <v>18299579023.17382</v>
      </c>
      <c r="GT25">
        <v>29785684042.82645</v>
      </c>
      <c r="GU25">
        <v>14076607870.00383</v>
      </c>
      <c r="GV25">
        <v>13947309291.69775</v>
      </c>
      <c r="GW25">
        <v>36237849204.457901</v>
      </c>
      <c r="GX25">
        <v>51383858441.751358</v>
      </c>
      <c r="GY25">
        <v>32283471978.230301</v>
      </c>
      <c r="GZ25">
        <v>781241503.92163765</v>
      </c>
      <c r="HA25">
        <v>15309529205.683741</v>
      </c>
      <c r="HB25">
        <v>13666303628.365009</v>
      </c>
      <c r="HC25">
        <v>70256158428.223587</v>
      </c>
    </row>
    <row r="26" spans="1:211" x14ac:dyDescent="0.45">
      <c r="A26" s="1" t="s">
        <v>11</v>
      </c>
      <c r="B26">
        <v>39767211.858023852</v>
      </c>
      <c r="C26">
        <v>302978867.37858123</v>
      </c>
      <c r="D26">
        <v>3686833.586100271</v>
      </c>
      <c r="E26">
        <v>56679032.743663378</v>
      </c>
      <c r="F26">
        <v>1252151503.928905</v>
      </c>
      <c r="G26">
        <v>0</v>
      </c>
      <c r="H26">
        <v>0</v>
      </c>
      <c r="I26">
        <v>11661249.11448746</v>
      </c>
      <c r="J26">
        <v>0</v>
      </c>
      <c r="K26">
        <v>0</v>
      </c>
      <c r="L26">
        <v>24242871.269501749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158851806.43325919</v>
      </c>
      <c r="T26">
        <v>3607834272.039464</v>
      </c>
      <c r="U26">
        <v>5808113.4420254016</v>
      </c>
      <c r="V26">
        <v>0</v>
      </c>
      <c r="W26">
        <v>52263497.440405831</v>
      </c>
      <c r="X26">
        <v>0</v>
      </c>
      <c r="Y26">
        <v>284912.75052939821</v>
      </c>
      <c r="Z26">
        <v>0</v>
      </c>
      <c r="AA26">
        <v>0</v>
      </c>
      <c r="AB26">
        <v>0</v>
      </c>
      <c r="AC26">
        <v>0</v>
      </c>
      <c r="AD26">
        <v>156418417.67771319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686926225.50290406</v>
      </c>
      <c r="AS26">
        <v>291754172.49512857</v>
      </c>
      <c r="AT26">
        <v>340148784.59232903</v>
      </c>
      <c r="AU26">
        <v>908791332.71855545</v>
      </c>
      <c r="AV26">
        <v>92795778.049129993</v>
      </c>
      <c r="AW26">
        <v>633318314.01235366</v>
      </c>
      <c r="AX26">
        <v>55854354.272776127</v>
      </c>
      <c r="AY26">
        <v>0</v>
      </c>
      <c r="AZ26">
        <v>0</v>
      </c>
      <c r="BA26">
        <v>274566747.64676511</v>
      </c>
      <c r="BB26">
        <v>0</v>
      </c>
      <c r="BC26">
        <v>0</v>
      </c>
      <c r="BD26">
        <v>0</v>
      </c>
      <c r="BE26">
        <v>3625259831.2375441</v>
      </c>
      <c r="BF26">
        <v>733410169.69349504</v>
      </c>
      <c r="BG26">
        <v>1817367356.6483669</v>
      </c>
      <c r="BH26">
        <v>45349451.669929117</v>
      </c>
      <c r="BI26">
        <v>0</v>
      </c>
      <c r="BJ26">
        <v>0</v>
      </c>
      <c r="BK26">
        <v>274292051.4192853</v>
      </c>
      <c r="BL26">
        <v>232955243.2774803</v>
      </c>
      <c r="BM26">
        <v>63468.13113666384</v>
      </c>
      <c r="BN26">
        <v>0</v>
      </c>
      <c r="BO26">
        <v>0</v>
      </c>
      <c r="BP26">
        <v>134145248.8353391</v>
      </c>
      <c r="BQ26">
        <v>0</v>
      </c>
      <c r="BR26">
        <v>0</v>
      </c>
      <c r="BS26">
        <v>20645294.29595967</v>
      </c>
      <c r="BT26">
        <v>0</v>
      </c>
      <c r="BU26">
        <v>2419076885.3862782</v>
      </c>
      <c r="BV26">
        <v>308323.06509493617</v>
      </c>
      <c r="BW26">
        <v>0</v>
      </c>
      <c r="BX26">
        <v>286828203.59814548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532813557.55584991</v>
      </c>
      <c r="CJ26">
        <v>103078922.98045599</v>
      </c>
      <c r="CK26">
        <v>0</v>
      </c>
      <c r="CL26">
        <v>5539310.5215550791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975699438.83182025</v>
      </c>
      <c r="CV26">
        <v>200661.8472092353</v>
      </c>
      <c r="CW26">
        <v>21046.878403202631</v>
      </c>
      <c r="CX26">
        <v>27293.51284590469</v>
      </c>
      <c r="CY26">
        <v>65886960.573933013</v>
      </c>
      <c r="CZ26">
        <v>0</v>
      </c>
      <c r="DA26">
        <v>188.11527166462699</v>
      </c>
      <c r="DB26">
        <v>31120840.658522151</v>
      </c>
      <c r="DC26">
        <v>53.747114746363643</v>
      </c>
      <c r="DD26">
        <v>317701.75112611061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4017426.2903243592</v>
      </c>
      <c r="DK26">
        <v>25372.215743937129</v>
      </c>
      <c r="DL26">
        <v>0</v>
      </c>
      <c r="DM26">
        <v>287706680.08637422</v>
      </c>
      <c r="DN26">
        <v>91908304.240434676</v>
      </c>
      <c r="DO26">
        <v>0</v>
      </c>
      <c r="DP26">
        <v>11487988624.174789</v>
      </c>
      <c r="DQ26">
        <v>13755505713.554411</v>
      </c>
      <c r="DR26">
        <v>3627748306.0324349</v>
      </c>
      <c r="DS26">
        <v>3169597399.7115932</v>
      </c>
      <c r="DT26">
        <v>1260908222.384798</v>
      </c>
      <c r="DU26">
        <v>1122072988.6083291</v>
      </c>
      <c r="DV26">
        <v>0</v>
      </c>
      <c r="DW26">
        <v>0</v>
      </c>
      <c r="DX26">
        <v>4314022.590858805</v>
      </c>
      <c r="DY26">
        <v>0</v>
      </c>
      <c r="DZ26">
        <v>2702222.1196209202</v>
      </c>
      <c r="EA26">
        <v>108794783.32932919</v>
      </c>
      <c r="EB26">
        <v>159274718.32346451</v>
      </c>
      <c r="EC26">
        <v>1333634.5149293151</v>
      </c>
      <c r="ED26">
        <v>1359541.1174069389</v>
      </c>
      <c r="EE26">
        <v>2350899.1775945988</v>
      </c>
      <c r="EF26">
        <v>0</v>
      </c>
      <c r="EG26">
        <v>11652.12943214175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23857234.756487619</v>
      </c>
      <c r="EY26">
        <v>0</v>
      </c>
      <c r="EZ26">
        <v>0</v>
      </c>
      <c r="FA26">
        <v>531257223.57409698</v>
      </c>
      <c r="FB26">
        <v>1221511670.511632</v>
      </c>
      <c r="FC26">
        <v>516721.03538553201</v>
      </c>
      <c r="FD26">
        <v>1267755903.9741011</v>
      </c>
      <c r="FE26">
        <v>58795833.038071863</v>
      </c>
      <c r="FF26">
        <v>73992811.746699646</v>
      </c>
      <c r="FG26">
        <v>2436431346.8222508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190169072.98563981</v>
      </c>
      <c r="FT26">
        <v>1263846.739760472</v>
      </c>
      <c r="FU26">
        <v>0</v>
      </c>
      <c r="FV26">
        <v>114063.9836609514</v>
      </c>
      <c r="FW26">
        <v>0</v>
      </c>
      <c r="FX26">
        <v>1862083.446888685</v>
      </c>
      <c r="FY26">
        <v>1778337.5895998529</v>
      </c>
      <c r="FZ26">
        <v>2935013.9061775012</v>
      </c>
      <c r="GA26">
        <v>291565.9393479912</v>
      </c>
      <c r="GB26">
        <v>5237.2041038371344</v>
      </c>
      <c r="GC26">
        <v>2401086.1045583049</v>
      </c>
      <c r="GD26">
        <v>4710904.2185847079</v>
      </c>
      <c r="GE26">
        <v>0</v>
      </c>
      <c r="GF26">
        <v>7118224.1043667775</v>
      </c>
      <c r="GG26">
        <v>5482894.1947484054</v>
      </c>
      <c r="GH26">
        <v>11267449.74473937</v>
      </c>
      <c r="GI26">
        <v>2541669.2114812522</v>
      </c>
      <c r="GJ26">
        <v>3357592.4317094442</v>
      </c>
      <c r="GK26">
        <v>0</v>
      </c>
      <c r="GL26">
        <v>151401.57364435069</v>
      </c>
      <c r="GM26">
        <v>4315131.258344938</v>
      </c>
      <c r="GN26">
        <v>0</v>
      </c>
      <c r="GO26">
        <v>350303933.05736762</v>
      </c>
      <c r="GP26">
        <v>71062994.616504267</v>
      </c>
      <c r="GQ26">
        <v>0</v>
      </c>
      <c r="GR26">
        <v>149474810.79279339</v>
      </c>
      <c r="GS26">
        <v>686926225.50290406</v>
      </c>
      <c r="GT26">
        <v>1564937161.075515</v>
      </c>
      <c r="GU26">
        <v>4241152586.0518169</v>
      </c>
      <c r="GV26">
        <v>633318314.01235366</v>
      </c>
      <c r="GW26">
        <v>1634001066.8209579</v>
      </c>
      <c r="GX26">
        <v>7156018674.4065304</v>
      </c>
      <c r="GY26">
        <v>10725544682.590969</v>
      </c>
      <c r="GZ26">
        <v>4358670000.9310389</v>
      </c>
      <c r="HA26">
        <v>33734453765.143589</v>
      </c>
      <c r="HB26">
        <v>0</v>
      </c>
      <c r="HC26">
        <v>3121421083.889967</v>
      </c>
    </row>
    <row r="27" spans="1:211" x14ac:dyDescent="0.45">
      <c r="A27" s="1" t="s">
        <v>1</v>
      </c>
      <c r="B27">
        <v>399670688.65496981</v>
      </c>
      <c r="C27">
        <v>9809842483.4594231</v>
      </c>
      <c r="D27">
        <v>351453311.24040252</v>
      </c>
      <c r="E27">
        <v>8675079860.4615479</v>
      </c>
      <c r="F27">
        <v>3511594589.9375048</v>
      </c>
      <c r="G27">
        <v>0</v>
      </c>
      <c r="H27">
        <v>252427261.9853358</v>
      </c>
      <c r="I27">
        <v>11661249.11448746</v>
      </c>
      <c r="J27">
        <v>0</v>
      </c>
      <c r="K27">
        <v>0</v>
      </c>
      <c r="L27">
        <v>5239569275.9258718</v>
      </c>
      <c r="M27">
        <v>4017684440.4983702</v>
      </c>
      <c r="N27">
        <v>328368475.76830947</v>
      </c>
      <c r="O27">
        <v>630069838.39538002</v>
      </c>
      <c r="P27">
        <v>0</v>
      </c>
      <c r="Q27">
        <v>0</v>
      </c>
      <c r="R27">
        <v>0</v>
      </c>
      <c r="S27">
        <v>8112192469.7527704</v>
      </c>
      <c r="T27">
        <v>4038834212.9726148</v>
      </c>
      <c r="U27">
        <v>5808113.4420254016</v>
      </c>
      <c r="V27">
        <v>0</v>
      </c>
      <c r="W27">
        <v>52263497.440405831</v>
      </c>
      <c r="X27">
        <v>0</v>
      </c>
      <c r="Y27">
        <v>284912.75052939821</v>
      </c>
      <c r="Z27">
        <v>0</v>
      </c>
      <c r="AA27">
        <v>0</v>
      </c>
      <c r="AB27">
        <v>0</v>
      </c>
      <c r="AC27">
        <v>0</v>
      </c>
      <c r="AD27">
        <v>274195514.12874877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18986505248.67672</v>
      </c>
      <c r="AS27">
        <v>2077371582.580158</v>
      </c>
      <c r="AT27">
        <v>5433948300.8396959</v>
      </c>
      <c r="AU27">
        <v>14582047604.057871</v>
      </c>
      <c r="AV27">
        <v>107438173.7499733</v>
      </c>
      <c r="AW27">
        <v>13950557767.31473</v>
      </c>
      <c r="AX27">
        <v>58220240.307083197</v>
      </c>
      <c r="AY27">
        <v>685657151.64078629</v>
      </c>
      <c r="AZ27">
        <v>24560485655.52594</v>
      </c>
      <c r="BA27">
        <v>5000834190.5744352</v>
      </c>
      <c r="BB27">
        <v>3217487641.2042518</v>
      </c>
      <c r="BC27">
        <v>173811602.33405569</v>
      </c>
      <c r="BD27">
        <v>371404442.12384242</v>
      </c>
      <c r="BE27">
        <v>4006130383.2155218</v>
      </c>
      <c r="BF27">
        <v>762376679.51331198</v>
      </c>
      <c r="BG27">
        <v>2740232513.9507909</v>
      </c>
      <c r="BH27">
        <v>169120733.1434437</v>
      </c>
      <c r="BI27">
        <v>0</v>
      </c>
      <c r="BJ27">
        <v>0</v>
      </c>
      <c r="BK27">
        <v>826536678.74114859</v>
      </c>
      <c r="BL27">
        <v>889434580.33356261</v>
      </c>
      <c r="BM27">
        <v>112342.0456256805</v>
      </c>
      <c r="BN27">
        <v>0</v>
      </c>
      <c r="BO27">
        <v>0</v>
      </c>
      <c r="BP27">
        <v>2921998694.552228</v>
      </c>
      <c r="BQ27">
        <v>0</v>
      </c>
      <c r="BR27">
        <v>0</v>
      </c>
      <c r="BS27">
        <v>27739224.489533689</v>
      </c>
      <c r="BT27">
        <v>0</v>
      </c>
      <c r="BU27">
        <v>4419615628.4222546</v>
      </c>
      <c r="BV27">
        <v>508367.89709283912</v>
      </c>
      <c r="BW27">
        <v>0</v>
      </c>
      <c r="BX27">
        <v>334752325.77500403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8894202150.8144455</v>
      </c>
      <c r="CJ27">
        <v>432888468.96665972</v>
      </c>
      <c r="CK27">
        <v>1571949.28330038</v>
      </c>
      <c r="CL27">
        <v>13562830.07136054</v>
      </c>
      <c r="CM27">
        <v>1952555359.550905</v>
      </c>
      <c r="CN27">
        <v>0</v>
      </c>
      <c r="CO27">
        <v>0</v>
      </c>
      <c r="CP27">
        <v>35833195.797687568</v>
      </c>
      <c r="CQ27">
        <v>57634515.169775948</v>
      </c>
      <c r="CR27">
        <v>0</v>
      </c>
      <c r="CS27">
        <v>0</v>
      </c>
      <c r="CT27">
        <v>0</v>
      </c>
      <c r="CU27">
        <v>1151347551.397279</v>
      </c>
      <c r="CV27">
        <v>2387025.468232803</v>
      </c>
      <c r="CW27">
        <v>15513062.15522483</v>
      </c>
      <c r="CX27">
        <v>1842215.1248637571</v>
      </c>
      <c r="CY27">
        <v>253858376.83521029</v>
      </c>
      <c r="CZ27">
        <v>2096.3407163398269</v>
      </c>
      <c r="DA27">
        <v>493.06634555313991</v>
      </c>
      <c r="DB27">
        <v>31120840.658522151</v>
      </c>
      <c r="DC27">
        <v>53.747114746363643</v>
      </c>
      <c r="DD27">
        <v>403127.7434548047</v>
      </c>
      <c r="DE27">
        <v>45408.390983140343</v>
      </c>
      <c r="DF27">
        <v>0</v>
      </c>
      <c r="DG27">
        <v>0</v>
      </c>
      <c r="DH27">
        <v>0</v>
      </c>
      <c r="DI27">
        <v>0</v>
      </c>
      <c r="DJ27">
        <v>4017426.2903243592</v>
      </c>
      <c r="DK27">
        <v>25372.215743937129</v>
      </c>
      <c r="DL27">
        <v>29887.042729068071</v>
      </c>
      <c r="DM27">
        <v>865722306.08766198</v>
      </c>
      <c r="DN27">
        <v>132550921.0817069</v>
      </c>
      <c r="DO27">
        <v>0</v>
      </c>
      <c r="DP27">
        <v>11720984953.39418</v>
      </c>
      <c r="DQ27">
        <v>13973537923.450991</v>
      </c>
      <c r="DR27">
        <v>3918427162.8961072</v>
      </c>
      <c r="DS27">
        <v>7315530058.7965345</v>
      </c>
      <c r="DT27">
        <v>1439313234.92786</v>
      </c>
      <c r="DU27">
        <v>2334904336.6772442</v>
      </c>
      <c r="DV27">
        <v>0</v>
      </c>
      <c r="DW27">
        <v>0</v>
      </c>
      <c r="DX27">
        <v>508235990.54350221</v>
      </c>
      <c r="DY27">
        <v>206857007.58084419</v>
      </c>
      <c r="DZ27">
        <v>1164157800.6259661</v>
      </c>
      <c r="EA27">
        <v>272820118.32479519</v>
      </c>
      <c r="EB27">
        <v>195805174.1353918</v>
      </c>
      <c r="EC27">
        <v>126819181.3508925</v>
      </c>
      <c r="ED27">
        <v>29601310.884102859</v>
      </c>
      <c r="EE27">
        <v>5370763.1053229608</v>
      </c>
      <c r="EF27">
        <v>0</v>
      </c>
      <c r="EG27">
        <v>1945571.5851417109</v>
      </c>
      <c r="EH27">
        <v>0</v>
      </c>
      <c r="EI27">
        <v>0</v>
      </c>
      <c r="EJ27">
        <v>114602045.48428591</v>
      </c>
      <c r="EK27">
        <v>415741575.24408221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1195201917.0803969</v>
      </c>
      <c r="ER27">
        <v>1762230553.4355121</v>
      </c>
      <c r="ES27">
        <v>498552105.89696842</v>
      </c>
      <c r="ET27">
        <v>1372751945.2364631</v>
      </c>
      <c r="EU27">
        <v>0</v>
      </c>
      <c r="EV27">
        <v>1180025194.5402229</v>
      </c>
      <c r="EW27">
        <v>75741696.339276031</v>
      </c>
      <c r="EX27">
        <v>651622936.80604684</v>
      </c>
      <c r="EY27">
        <v>450085991.10407448</v>
      </c>
      <c r="EZ27">
        <v>13666303628.365009</v>
      </c>
      <c r="FA27">
        <v>3784734981.6174798</v>
      </c>
      <c r="FB27">
        <v>6138492581.3044319</v>
      </c>
      <c r="FC27">
        <v>283762991.9331252</v>
      </c>
      <c r="FD27">
        <v>5123434278.1280384</v>
      </c>
      <c r="FE27">
        <v>1476219423.3651159</v>
      </c>
      <c r="FF27">
        <v>5375491345.0280066</v>
      </c>
      <c r="FG27">
        <v>4495408417.7939262</v>
      </c>
      <c r="FH27">
        <v>2447650658.5454569</v>
      </c>
      <c r="FI27">
        <v>1073493639.858947</v>
      </c>
      <c r="FJ27">
        <v>2788021261.8388481</v>
      </c>
      <c r="FK27">
        <v>0</v>
      </c>
      <c r="FL27">
        <v>22890397850.22039</v>
      </c>
      <c r="FM27">
        <v>272936267.67071527</v>
      </c>
      <c r="FN27">
        <v>4843676.736293098</v>
      </c>
      <c r="FO27">
        <v>2722719468.792943</v>
      </c>
      <c r="FP27">
        <v>1065947196.882908</v>
      </c>
      <c r="FQ27">
        <v>17674916699.49099</v>
      </c>
      <c r="FR27">
        <v>8717244366.3587112</v>
      </c>
      <c r="FS27">
        <v>14344670944.24852</v>
      </c>
      <c r="FT27">
        <v>73359588.732515678</v>
      </c>
      <c r="FU27">
        <v>75883926.157353252</v>
      </c>
      <c r="FV27">
        <v>32435274.67467856</v>
      </c>
      <c r="FW27">
        <v>89830207.101015717</v>
      </c>
      <c r="FX27">
        <v>17950153.188268159</v>
      </c>
      <c r="FY27">
        <v>23059232.456591431</v>
      </c>
      <c r="FZ27">
        <v>87238838.665286079</v>
      </c>
      <c r="GA27">
        <v>6351928.5349163935</v>
      </c>
      <c r="GB27">
        <v>512941.40490169899</v>
      </c>
      <c r="GC27">
        <v>73001231.195274532</v>
      </c>
      <c r="GD27">
        <v>106567315.743772</v>
      </c>
      <c r="GE27">
        <v>538142.06782491156</v>
      </c>
      <c r="GF27">
        <v>75039616.890307322</v>
      </c>
      <c r="GG27">
        <v>132887178.9803682</v>
      </c>
      <c r="GH27">
        <v>519399273.20207429</v>
      </c>
      <c r="GI27">
        <v>192897510.31304711</v>
      </c>
      <c r="GJ27">
        <v>31072824.247834351</v>
      </c>
      <c r="GK27">
        <v>141257008.45654061</v>
      </c>
      <c r="GL27">
        <v>26783725.648489259</v>
      </c>
      <c r="GM27">
        <v>50477787.93241901</v>
      </c>
      <c r="GN27">
        <v>1905830641.560569</v>
      </c>
      <c r="GO27">
        <v>10334654936.09724</v>
      </c>
      <c r="GP27">
        <v>916669705.95741689</v>
      </c>
      <c r="GQ27">
        <v>0</v>
      </c>
      <c r="GR27">
        <v>8782518034.2115211</v>
      </c>
      <c r="GS27">
        <v>18986505248.67672</v>
      </c>
      <c r="GT27">
        <v>31350621203.901958</v>
      </c>
      <c r="GU27">
        <v>18317760456.055649</v>
      </c>
      <c r="GV27">
        <v>14580627605.71011</v>
      </c>
      <c r="GW27">
        <v>37871850271.278862</v>
      </c>
      <c r="GX27">
        <v>58539877116.15789</v>
      </c>
      <c r="GY27">
        <v>43009016660.821274</v>
      </c>
      <c r="GZ27">
        <v>5139911504.8526764</v>
      </c>
      <c r="HA27">
        <v>49043982970.827332</v>
      </c>
      <c r="HB27">
        <v>13666303628.365009</v>
      </c>
      <c r="HC27">
        <v>73377579512.113556</v>
      </c>
    </row>
    <row r="28" spans="1:211" x14ac:dyDescent="0.45">
      <c r="A28" s="1" t="s">
        <v>221</v>
      </c>
      <c r="B28">
        <f t="shared" ref="B28:BM28" si="0">INDEX(B$18:B$27,MATCH($B$1,$A$18:$A$27,0))</f>
        <v>399670688.65496981</v>
      </c>
      <c r="C28">
        <f t="shared" si="0"/>
        <v>9809842483.4594231</v>
      </c>
      <c r="D28">
        <f t="shared" si="0"/>
        <v>351453311.24040252</v>
      </c>
      <c r="E28">
        <f t="shared" si="0"/>
        <v>8675079860.4615479</v>
      </c>
      <c r="F28">
        <f t="shared" si="0"/>
        <v>3511594589.9375048</v>
      </c>
      <c r="G28">
        <f t="shared" si="0"/>
        <v>0</v>
      </c>
      <c r="H28">
        <f t="shared" si="0"/>
        <v>252427261.9853358</v>
      </c>
      <c r="I28">
        <f t="shared" si="0"/>
        <v>11661249.11448746</v>
      </c>
      <c r="J28">
        <f t="shared" si="0"/>
        <v>0</v>
      </c>
      <c r="K28">
        <f t="shared" si="0"/>
        <v>0</v>
      </c>
      <c r="L28">
        <f t="shared" si="0"/>
        <v>5239569275.9258718</v>
      </c>
      <c r="M28">
        <f t="shared" si="0"/>
        <v>4017684440.4983702</v>
      </c>
      <c r="N28">
        <f t="shared" si="0"/>
        <v>328368475.76830947</v>
      </c>
      <c r="O28">
        <f t="shared" si="0"/>
        <v>630069838.39538002</v>
      </c>
      <c r="P28">
        <f t="shared" si="0"/>
        <v>0</v>
      </c>
      <c r="Q28">
        <f t="shared" si="0"/>
        <v>0</v>
      </c>
      <c r="R28">
        <f t="shared" si="0"/>
        <v>0</v>
      </c>
      <c r="S28">
        <f t="shared" si="0"/>
        <v>8112192469.7527704</v>
      </c>
      <c r="T28">
        <f t="shared" si="0"/>
        <v>4038834212.9726148</v>
      </c>
      <c r="U28">
        <f t="shared" si="0"/>
        <v>5808113.4420254016</v>
      </c>
      <c r="V28">
        <f t="shared" si="0"/>
        <v>0</v>
      </c>
      <c r="W28">
        <f t="shared" si="0"/>
        <v>52263497.440405831</v>
      </c>
      <c r="X28">
        <f t="shared" si="0"/>
        <v>0</v>
      </c>
      <c r="Y28">
        <f t="shared" si="0"/>
        <v>284912.75052939821</v>
      </c>
      <c r="Z28">
        <f t="shared" si="0"/>
        <v>0</v>
      </c>
      <c r="AA28">
        <f t="shared" si="0"/>
        <v>0</v>
      </c>
      <c r="AB28">
        <f t="shared" si="0"/>
        <v>0</v>
      </c>
      <c r="AC28">
        <f t="shared" si="0"/>
        <v>0</v>
      </c>
      <c r="AD28">
        <f t="shared" si="0"/>
        <v>274195514.12874877</v>
      </c>
      <c r="AE28">
        <f t="shared" si="0"/>
        <v>0</v>
      </c>
      <c r="AF28">
        <f t="shared" si="0"/>
        <v>0</v>
      </c>
      <c r="AG28">
        <f t="shared" si="0"/>
        <v>0</v>
      </c>
      <c r="AH28">
        <f t="shared" si="0"/>
        <v>0</v>
      </c>
      <c r="AI28">
        <f t="shared" si="0"/>
        <v>0</v>
      </c>
      <c r="AJ28">
        <f t="shared" si="0"/>
        <v>0</v>
      </c>
      <c r="AK28">
        <f t="shared" si="0"/>
        <v>0</v>
      </c>
      <c r="AL28">
        <f t="shared" si="0"/>
        <v>0</v>
      </c>
      <c r="AM28">
        <f t="shared" si="0"/>
        <v>0</v>
      </c>
      <c r="AN28">
        <f t="shared" si="0"/>
        <v>0</v>
      </c>
      <c r="AO28">
        <f t="shared" si="0"/>
        <v>0</v>
      </c>
      <c r="AP28">
        <f t="shared" si="0"/>
        <v>0</v>
      </c>
      <c r="AQ28">
        <f t="shared" si="0"/>
        <v>0</v>
      </c>
      <c r="AR28">
        <f t="shared" si="0"/>
        <v>18986505248.67672</v>
      </c>
      <c r="AS28">
        <f t="shared" si="0"/>
        <v>2077371582.580158</v>
      </c>
      <c r="AT28">
        <f t="shared" si="0"/>
        <v>5433948300.8396959</v>
      </c>
      <c r="AU28">
        <f t="shared" si="0"/>
        <v>14582047604.057871</v>
      </c>
      <c r="AV28">
        <f t="shared" si="0"/>
        <v>107438173.7499733</v>
      </c>
      <c r="AW28">
        <f t="shared" si="0"/>
        <v>13950557767.31473</v>
      </c>
      <c r="AX28">
        <f t="shared" si="0"/>
        <v>58220240.307083197</v>
      </c>
      <c r="AY28">
        <f t="shared" si="0"/>
        <v>685657151.64078629</v>
      </c>
      <c r="AZ28">
        <f t="shared" si="0"/>
        <v>24560485655.52594</v>
      </c>
      <c r="BA28">
        <f t="shared" si="0"/>
        <v>5000834190.5744352</v>
      </c>
      <c r="BB28">
        <f t="shared" si="0"/>
        <v>3217487641.2042518</v>
      </c>
      <c r="BC28">
        <f t="shared" si="0"/>
        <v>173811602.33405569</v>
      </c>
      <c r="BD28">
        <f t="shared" si="0"/>
        <v>371404442.12384242</v>
      </c>
      <c r="BE28">
        <f t="shared" si="0"/>
        <v>4006130383.2155218</v>
      </c>
      <c r="BF28">
        <f t="shared" si="0"/>
        <v>762376679.51331198</v>
      </c>
      <c r="BG28">
        <f t="shared" si="0"/>
        <v>2740232513.9507909</v>
      </c>
      <c r="BH28">
        <f t="shared" si="0"/>
        <v>169120733.1434437</v>
      </c>
      <c r="BI28">
        <f t="shared" si="0"/>
        <v>0</v>
      </c>
      <c r="BJ28">
        <f t="shared" si="0"/>
        <v>0</v>
      </c>
      <c r="BK28">
        <f t="shared" si="0"/>
        <v>826536678.74114859</v>
      </c>
      <c r="BL28">
        <f t="shared" si="0"/>
        <v>889434580.33356261</v>
      </c>
      <c r="BM28">
        <f t="shared" si="0"/>
        <v>112342.0456256805</v>
      </c>
      <c r="BN28">
        <f t="shared" ref="BN28:DY28" si="1">INDEX(BN$18:BN$27,MATCH($B$1,$A$18:$A$27,0))</f>
        <v>0</v>
      </c>
      <c r="BO28">
        <f t="shared" si="1"/>
        <v>0</v>
      </c>
      <c r="BP28">
        <f t="shared" si="1"/>
        <v>2921998694.552228</v>
      </c>
      <c r="BQ28">
        <f t="shared" si="1"/>
        <v>0</v>
      </c>
      <c r="BR28">
        <f t="shared" si="1"/>
        <v>0</v>
      </c>
      <c r="BS28">
        <f t="shared" si="1"/>
        <v>27739224.489533689</v>
      </c>
      <c r="BT28">
        <f t="shared" si="1"/>
        <v>0</v>
      </c>
      <c r="BU28">
        <f t="shared" si="1"/>
        <v>4419615628.4222546</v>
      </c>
      <c r="BV28">
        <f t="shared" si="1"/>
        <v>508367.89709283912</v>
      </c>
      <c r="BW28">
        <f t="shared" si="1"/>
        <v>0</v>
      </c>
      <c r="BX28">
        <f t="shared" si="1"/>
        <v>334752325.77500403</v>
      </c>
      <c r="BY28">
        <f t="shared" si="1"/>
        <v>0</v>
      </c>
      <c r="BZ28">
        <f t="shared" si="1"/>
        <v>0</v>
      </c>
      <c r="CA28">
        <f t="shared" si="1"/>
        <v>0</v>
      </c>
      <c r="CB28">
        <f t="shared" si="1"/>
        <v>0</v>
      </c>
      <c r="CC28">
        <f t="shared" si="1"/>
        <v>0</v>
      </c>
      <c r="CD28">
        <f t="shared" si="1"/>
        <v>0</v>
      </c>
      <c r="CE28">
        <f t="shared" si="1"/>
        <v>0</v>
      </c>
      <c r="CF28">
        <f t="shared" si="1"/>
        <v>0</v>
      </c>
      <c r="CG28">
        <f t="shared" si="1"/>
        <v>0</v>
      </c>
      <c r="CH28">
        <f t="shared" si="1"/>
        <v>0</v>
      </c>
      <c r="CI28">
        <f t="shared" si="1"/>
        <v>8894202150.8144455</v>
      </c>
      <c r="CJ28">
        <f t="shared" si="1"/>
        <v>432888468.96665972</v>
      </c>
      <c r="CK28">
        <f t="shared" si="1"/>
        <v>1571949.28330038</v>
      </c>
      <c r="CL28">
        <f t="shared" si="1"/>
        <v>13562830.07136054</v>
      </c>
      <c r="CM28">
        <f t="shared" si="1"/>
        <v>1952555359.550905</v>
      </c>
      <c r="CN28">
        <f t="shared" si="1"/>
        <v>0</v>
      </c>
      <c r="CO28">
        <f t="shared" si="1"/>
        <v>0</v>
      </c>
      <c r="CP28">
        <f t="shared" si="1"/>
        <v>35833195.797687568</v>
      </c>
      <c r="CQ28">
        <f t="shared" si="1"/>
        <v>57634515.169775948</v>
      </c>
      <c r="CR28">
        <f t="shared" si="1"/>
        <v>0</v>
      </c>
      <c r="CS28">
        <f t="shared" si="1"/>
        <v>0</v>
      </c>
      <c r="CT28">
        <f t="shared" si="1"/>
        <v>0</v>
      </c>
      <c r="CU28">
        <f t="shared" si="1"/>
        <v>1151347551.397279</v>
      </c>
      <c r="CV28">
        <f t="shared" si="1"/>
        <v>2387025.468232803</v>
      </c>
      <c r="CW28">
        <f t="shared" si="1"/>
        <v>15513062.15522483</v>
      </c>
      <c r="CX28">
        <f t="shared" si="1"/>
        <v>1842215.1248637571</v>
      </c>
      <c r="CY28">
        <f t="shared" si="1"/>
        <v>253858376.83521029</v>
      </c>
      <c r="CZ28">
        <f t="shared" si="1"/>
        <v>2096.3407163398269</v>
      </c>
      <c r="DA28">
        <f t="shared" si="1"/>
        <v>493.06634555313991</v>
      </c>
      <c r="DB28">
        <f t="shared" si="1"/>
        <v>31120840.658522151</v>
      </c>
      <c r="DC28">
        <f t="shared" si="1"/>
        <v>53.747114746363643</v>
      </c>
      <c r="DD28">
        <f t="shared" si="1"/>
        <v>403127.7434548047</v>
      </c>
      <c r="DE28">
        <f t="shared" si="1"/>
        <v>45408.390983140343</v>
      </c>
      <c r="DF28">
        <f t="shared" si="1"/>
        <v>0</v>
      </c>
      <c r="DG28">
        <f t="shared" si="1"/>
        <v>0</v>
      </c>
      <c r="DH28">
        <f t="shared" si="1"/>
        <v>0</v>
      </c>
      <c r="DI28">
        <f t="shared" si="1"/>
        <v>0</v>
      </c>
      <c r="DJ28">
        <f t="shared" si="1"/>
        <v>4017426.2903243592</v>
      </c>
      <c r="DK28">
        <f t="shared" si="1"/>
        <v>25372.215743937129</v>
      </c>
      <c r="DL28">
        <f t="shared" si="1"/>
        <v>29887.042729068071</v>
      </c>
      <c r="DM28">
        <f t="shared" si="1"/>
        <v>865722306.08766198</v>
      </c>
      <c r="DN28">
        <f t="shared" si="1"/>
        <v>132550921.0817069</v>
      </c>
      <c r="DO28">
        <f t="shared" si="1"/>
        <v>0</v>
      </c>
      <c r="DP28">
        <f t="shared" si="1"/>
        <v>11720984953.39418</v>
      </c>
      <c r="DQ28">
        <f t="shared" si="1"/>
        <v>13973537923.450991</v>
      </c>
      <c r="DR28">
        <f t="shared" si="1"/>
        <v>3918427162.8961072</v>
      </c>
      <c r="DS28">
        <f t="shared" si="1"/>
        <v>7315530058.7965345</v>
      </c>
      <c r="DT28">
        <f t="shared" si="1"/>
        <v>1439313234.92786</v>
      </c>
      <c r="DU28">
        <f t="shared" si="1"/>
        <v>2334904336.6772442</v>
      </c>
      <c r="DV28">
        <f t="shared" si="1"/>
        <v>0</v>
      </c>
      <c r="DW28">
        <f t="shared" si="1"/>
        <v>0</v>
      </c>
      <c r="DX28">
        <f t="shared" si="1"/>
        <v>508235990.54350221</v>
      </c>
      <c r="DY28">
        <f t="shared" si="1"/>
        <v>206857007.58084419</v>
      </c>
      <c r="DZ28">
        <f t="shared" ref="DZ28:GK28" si="2">INDEX(DZ$18:DZ$27,MATCH($B$1,$A$18:$A$27,0))</f>
        <v>1164157800.6259661</v>
      </c>
      <c r="EA28">
        <f t="shared" si="2"/>
        <v>272820118.32479519</v>
      </c>
      <c r="EB28">
        <f t="shared" si="2"/>
        <v>195805174.1353918</v>
      </c>
      <c r="EC28">
        <f t="shared" si="2"/>
        <v>126819181.3508925</v>
      </c>
      <c r="ED28">
        <f t="shared" si="2"/>
        <v>29601310.884102859</v>
      </c>
      <c r="EE28">
        <f t="shared" si="2"/>
        <v>5370763.1053229608</v>
      </c>
      <c r="EF28">
        <f t="shared" si="2"/>
        <v>0</v>
      </c>
      <c r="EG28">
        <f t="shared" si="2"/>
        <v>1945571.5851417109</v>
      </c>
      <c r="EH28">
        <f t="shared" si="2"/>
        <v>0</v>
      </c>
      <c r="EI28">
        <f t="shared" si="2"/>
        <v>0</v>
      </c>
      <c r="EJ28">
        <f t="shared" si="2"/>
        <v>114602045.48428591</v>
      </c>
      <c r="EK28">
        <f t="shared" si="2"/>
        <v>415741575.24408221</v>
      </c>
      <c r="EL28">
        <f t="shared" si="2"/>
        <v>0</v>
      </c>
      <c r="EM28">
        <f t="shared" si="2"/>
        <v>0</v>
      </c>
      <c r="EN28">
        <f t="shared" si="2"/>
        <v>0</v>
      </c>
      <c r="EO28">
        <f t="shared" si="2"/>
        <v>0</v>
      </c>
      <c r="EP28">
        <f t="shared" si="2"/>
        <v>0</v>
      </c>
      <c r="EQ28">
        <f t="shared" si="2"/>
        <v>1195201917.0803969</v>
      </c>
      <c r="ER28">
        <f t="shared" si="2"/>
        <v>1762230553.4355121</v>
      </c>
      <c r="ES28">
        <f t="shared" si="2"/>
        <v>498552105.89696842</v>
      </c>
      <c r="ET28">
        <f t="shared" si="2"/>
        <v>1372751945.2364631</v>
      </c>
      <c r="EU28">
        <f t="shared" si="2"/>
        <v>0</v>
      </c>
      <c r="EV28">
        <f t="shared" si="2"/>
        <v>1180025194.5402229</v>
      </c>
      <c r="EW28">
        <f t="shared" si="2"/>
        <v>75741696.339276031</v>
      </c>
      <c r="EX28">
        <f t="shared" si="2"/>
        <v>651622936.80604684</v>
      </c>
      <c r="EY28">
        <f t="shared" si="2"/>
        <v>450085991.10407448</v>
      </c>
      <c r="EZ28">
        <f t="shared" si="2"/>
        <v>13666303628.365009</v>
      </c>
      <c r="FA28">
        <f t="shared" si="2"/>
        <v>3784734981.6174798</v>
      </c>
      <c r="FB28">
        <f t="shared" si="2"/>
        <v>6138492581.3044319</v>
      </c>
      <c r="FC28">
        <f t="shared" si="2"/>
        <v>283762991.9331252</v>
      </c>
      <c r="FD28">
        <f t="shared" si="2"/>
        <v>5123434278.1280384</v>
      </c>
      <c r="FE28">
        <f t="shared" si="2"/>
        <v>1476219423.3651159</v>
      </c>
      <c r="FF28">
        <f t="shared" si="2"/>
        <v>5375491345.0280066</v>
      </c>
      <c r="FG28">
        <f t="shared" si="2"/>
        <v>4495408417.7939262</v>
      </c>
      <c r="FH28">
        <f t="shared" si="2"/>
        <v>2447650658.5454569</v>
      </c>
      <c r="FI28">
        <f t="shared" si="2"/>
        <v>1073493639.858947</v>
      </c>
      <c r="FJ28">
        <f t="shared" si="2"/>
        <v>2788021261.8388481</v>
      </c>
      <c r="FK28">
        <f t="shared" si="2"/>
        <v>0</v>
      </c>
      <c r="FL28">
        <f t="shared" si="2"/>
        <v>22890397850.22039</v>
      </c>
      <c r="FM28">
        <f t="shared" si="2"/>
        <v>272936267.67071527</v>
      </c>
      <c r="FN28">
        <f t="shared" si="2"/>
        <v>4843676.736293098</v>
      </c>
      <c r="FO28">
        <f t="shared" si="2"/>
        <v>2722719468.792943</v>
      </c>
      <c r="FP28">
        <f t="shared" si="2"/>
        <v>1065947196.882908</v>
      </c>
      <c r="FQ28">
        <f t="shared" si="2"/>
        <v>17674916699.49099</v>
      </c>
      <c r="FR28">
        <f t="shared" si="2"/>
        <v>8717244366.3587112</v>
      </c>
      <c r="FS28">
        <f t="shared" si="2"/>
        <v>14344670944.24852</v>
      </c>
      <c r="FT28">
        <f t="shared" si="2"/>
        <v>73359588.732515678</v>
      </c>
      <c r="FU28">
        <f t="shared" si="2"/>
        <v>75883926.157353252</v>
      </c>
      <c r="FV28">
        <f t="shared" si="2"/>
        <v>32435274.67467856</v>
      </c>
      <c r="FW28">
        <f t="shared" si="2"/>
        <v>89830207.101015717</v>
      </c>
      <c r="FX28">
        <f t="shared" si="2"/>
        <v>17950153.188268159</v>
      </c>
      <c r="FY28">
        <f t="shared" si="2"/>
        <v>23059232.456591431</v>
      </c>
      <c r="FZ28">
        <f t="shared" si="2"/>
        <v>87238838.665286079</v>
      </c>
      <c r="GA28">
        <f t="shared" si="2"/>
        <v>6351928.5349163935</v>
      </c>
      <c r="GB28">
        <f t="shared" si="2"/>
        <v>512941.40490169899</v>
      </c>
      <c r="GC28">
        <f t="shared" si="2"/>
        <v>73001231.195274532</v>
      </c>
      <c r="GD28">
        <f t="shared" si="2"/>
        <v>106567315.743772</v>
      </c>
      <c r="GE28">
        <f t="shared" si="2"/>
        <v>538142.06782491156</v>
      </c>
      <c r="GF28">
        <f t="shared" si="2"/>
        <v>75039616.890307322</v>
      </c>
      <c r="GG28">
        <f t="shared" si="2"/>
        <v>132887178.9803682</v>
      </c>
      <c r="GH28">
        <f t="shared" si="2"/>
        <v>519399273.20207429</v>
      </c>
      <c r="GI28">
        <f t="shared" si="2"/>
        <v>192897510.31304711</v>
      </c>
      <c r="GJ28">
        <f t="shared" si="2"/>
        <v>31072824.247834351</v>
      </c>
      <c r="GK28">
        <f t="shared" si="2"/>
        <v>141257008.45654061</v>
      </c>
      <c r="GL28">
        <f t="shared" ref="GL28:HC28" si="3">INDEX(GL$18:GL$27,MATCH($B$1,$A$18:$A$27,0))</f>
        <v>26783725.648489259</v>
      </c>
      <c r="GM28">
        <f t="shared" si="3"/>
        <v>50477787.93241901</v>
      </c>
      <c r="GN28">
        <f t="shared" si="3"/>
        <v>1905830641.560569</v>
      </c>
      <c r="GO28">
        <f t="shared" si="3"/>
        <v>10334654936.09724</v>
      </c>
      <c r="GP28">
        <f t="shared" si="3"/>
        <v>916669705.95741689</v>
      </c>
      <c r="GQ28">
        <f t="shared" si="3"/>
        <v>0</v>
      </c>
      <c r="GR28">
        <f t="shared" si="3"/>
        <v>8782518034.2115211</v>
      </c>
      <c r="GS28">
        <f t="shared" si="3"/>
        <v>18986505248.67672</v>
      </c>
      <c r="GT28">
        <f t="shared" si="3"/>
        <v>31350621203.901958</v>
      </c>
      <c r="GU28">
        <f t="shared" si="3"/>
        <v>18317760456.055649</v>
      </c>
      <c r="GV28">
        <f t="shared" si="3"/>
        <v>14580627605.71011</v>
      </c>
      <c r="GW28">
        <f t="shared" si="3"/>
        <v>37871850271.278862</v>
      </c>
      <c r="GX28">
        <f t="shared" si="3"/>
        <v>58539877116.15789</v>
      </c>
      <c r="GY28">
        <f t="shared" si="3"/>
        <v>43009016660.821274</v>
      </c>
      <c r="GZ28">
        <f t="shared" si="3"/>
        <v>5139911504.8526764</v>
      </c>
      <c r="HA28">
        <f t="shared" si="3"/>
        <v>49043982970.827332</v>
      </c>
      <c r="HB28">
        <f t="shared" si="3"/>
        <v>13666303628.365009</v>
      </c>
      <c r="HC28">
        <f t="shared" si="3"/>
        <v>73377579512.113556</v>
      </c>
    </row>
    <row r="29" spans="1:211" x14ac:dyDescent="0.45">
      <c r="A29" s="1" t="s">
        <v>222</v>
      </c>
      <c r="B29">
        <f>RANK(B28,$B$28:$GQ$28,0)+COUNTIF($B$28:B28,B28)-1</f>
        <v>66</v>
      </c>
      <c r="C29">
        <f>RANK(C28,$B$28:$GQ$28,0)+COUNTIF($B$28:C28,C28)-1</f>
        <v>12</v>
      </c>
      <c r="D29">
        <f>RANK(D28,$B$28:$GQ$28,0)+COUNTIF($B$28:D28,D28)-1</f>
        <v>68</v>
      </c>
      <c r="E29">
        <f>RANK(E28,$B$28:$GQ$28,0)+COUNTIF($B$28:E28,E28)-1</f>
        <v>15</v>
      </c>
      <c r="F29">
        <f>RANK(F28,$B$28:$GQ$28,0)+COUNTIF($B$28:F28,F28)-1</f>
        <v>31</v>
      </c>
      <c r="G29">
        <f>RANK(G28,$B$28:$GQ$28,0)+COUNTIF($B$28:G28,G28)-1</f>
        <v>133</v>
      </c>
      <c r="H29">
        <f>RANK(H28,$B$28:$GQ$28,0)+COUNTIF($B$28:H28,H28)-1</f>
        <v>76</v>
      </c>
      <c r="I29">
        <f>RANK(I28,$B$28:$GQ$28,0)+COUNTIF($B$28:I28,I28)-1</f>
        <v>111</v>
      </c>
      <c r="J29">
        <f>RANK(J28,$B$28:$GQ$28,0)+COUNTIF($B$28:J28,J28)-1</f>
        <v>134</v>
      </c>
      <c r="K29">
        <f>RANK(K28,$B$28:$GQ$28,0)+COUNTIF($B$28:K28,K28)-1</f>
        <v>135</v>
      </c>
      <c r="L29">
        <f>RANK(L28,$B$28:$GQ$28,0)+COUNTIF($B$28:L28,L28)-1</f>
        <v>21</v>
      </c>
      <c r="M29">
        <f>RANK(M28,$B$28:$GQ$28,0)+COUNTIF($B$28:M28,M28)-1</f>
        <v>27</v>
      </c>
      <c r="N29">
        <f>RANK(N28,$B$28:$GQ$28,0)+COUNTIF($B$28:N28,N28)-1</f>
        <v>70</v>
      </c>
      <c r="O29">
        <f>RANK(O28,$B$28:$GQ$28,0)+COUNTIF($B$28:O28,O28)-1</f>
        <v>59</v>
      </c>
      <c r="P29">
        <f>RANK(P28,$B$28:$GQ$28,0)+COUNTIF($B$28:P28,P28)-1</f>
        <v>136</v>
      </c>
      <c r="Q29">
        <f>RANK(Q28,$B$28:$GQ$28,0)+COUNTIF($B$28:Q28,Q28)-1</f>
        <v>137</v>
      </c>
      <c r="R29">
        <f>RANK(R28,$B$28:$GQ$28,0)+COUNTIF($B$28:R28,R28)-1</f>
        <v>138</v>
      </c>
      <c r="S29">
        <f>RANK(S28,$B$28:$GQ$28,0)+COUNTIF($B$28:S28,S28)-1</f>
        <v>16</v>
      </c>
      <c r="T29">
        <f>RANK(T28,$B$28:$GQ$28,0)+COUNTIF($B$28:T28,T28)-1</f>
        <v>26</v>
      </c>
      <c r="U29">
        <f>RANK(U28,$B$28:$GQ$28,0)+COUNTIF($B$28:U28,U28)-1</f>
        <v>113</v>
      </c>
      <c r="V29">
        <f>RANK(V28,$B$28:$GQ$28,0)+COUNTIF($B$28:V28,V28)-1</f>
        <v>139</v>
      </c>
      <c r="W29">
        <f>RANK(W28,$B$28:$GQ$28,0)+COUNTIF($B$28:W28,W28)-1</f>
        <v>98</v>
      </c>
      <c r="X29">
        <f>RANK(X28,$B$28:$GQ$28,0)+COUNTIF($B$28:X28,X28)-1</f>
        <v>140</v>
      </c>
      <c r="Y29">
        <f>RANK(Y28,$B$28:$GQ$28,0)+COUNTIF($B$28:Y28,Y28)-1</f>
        <v>125</v>
      </c>
      <c r="Z29">
        <f>RANK(Z28,$B$28:$GQ$28,0)+COUNTIF($B$28:Z28,Z28)-1</f>
        <v>141</v>
      </c>
      <c r="AA29">
        <f>RANK(AA28,$B$28:$GQ$28,0)+COUNTIF($B$28:AA28,AA28)-1</f>
        <v>142</v>
      </c>
      <c r="AB29">
        <f>RANK(AB28,$B$28:$GQ$28,0)+COUNTIF($B$28:AB28,AB28)-1</f>
        <v>143</v>
      </c>
      <c r="AC29">
        <f>RANK(AC28,$B$28:$GQ$28,0)+COUNTIF($B$28:AC28,AC28)-1</f>
        <v>144</v>
      </c>
      <c r="AD29">
        <f>RANK(AD28,$B$28:$GQ$28,0)+COUNTIF($B$28:AD28,AD28)-1</f>
        <v>72</v>
      </c>
      <c r="AE29">
        <f>RANK(AE28,$B$28:$GQ$28,0)+COUNTIF($B$28:AE28,AE28)-1</f>
        <v>145</v>
      </c>
      <c r="AF29">
        <f>RANK(AF28,$B$28:$GQ$28,0)+COUNTIF($B$28:AF28,AF28)-1</f>
        <v>146</v>
      </c>
      <c r="AG29">
        <f>RANK(AG28,$B$28:$GQ$28,0)+COUNTIF($B$28:AG28,AG28)-1</f>
        <v>147</v>
      </c>
      <c r="AH29">
        <f>RANK(AH28,$B$28:$GQ$28,0)+COUNTIF($B$28:AH28,AH28)-1</f>
        <v>148</v>
      </c>
      <c r="AI29">
        <f>RANK(AI28,$B$28:$GQ$28,0)+COUNTIF($B$28:AI28,AI28)-1</f>
        <v>149</v>
      </c>
      <c r="AJ29">
        <f>RANK(AJ28,$B$28:$GQ$28,0)+COUNTIF($B$28:AJ28,AJ28)-1</f>
        <v>150</v>
      </c>
      <c r="AK29">
        <f>RANK(AK28,$B$28:$GQ$28,0)+COUNTIF($B$28:AK28,AK28)-1</f>
        <v>151</v>
      </c>
      <c r="AL29">
        <f>RANK(AL28,$B$28:$GQ$28,0)+COUNTIF($B$28:AL28,AL28)-1</f>
        <v>152</v>
      </c>
      <c r="AM29">
        <f>RANK(AM28,$B$28:$GQ$28,0)+COUNTIF($B$28:AM28,AM28)-1</f>
        <v>153</v>
      </c>
      <c r="AN29">
        <f>RANK(AN28,$B$28:$GQ$28,0)+COUNTIF($B$28:AN28,AN28)-1</f>
        <v>154</v>
      </c>
      <c r="AO29">
        <f>RANK(AO28,$B$28:$GQ$28,0)+COUNTIF($B$28:AO28,AO28)-1</f>
        <v>155</v>
      </c>
      <c r="AP29">
        <f>RANK(AP28,$B$28:$GQ$28,0)+COUNTIF($B$28:AP28,AP28)-1</f>
        <v>156</v>
      </c>
      <c r="AQ29">
        <f>RANK(AQ28,$B$28:$GQ$28,0)+COUNTIF($B$28:AQ28,AQ28)-1</f>
        <v>157</v>
      </c>
      <c r="AR29">
        <f>RANK(AR28,$B$28:$GQ$28,0)+COUNTIF($B$28:AR28,AR28)-1</f>
        <v>3</v>
      </c>
      <c r="AS29">
        <f>RANK(AS28,$B$28:$GQ$28,0)+COUNTIF($B$28:AS28,AS28)-1</f>
        <v>39</v>
      </c>
      <c r="AT29">
        <f>RANK(AT28,$B$28:$GQ$28,0)+COUNTIF($B$28:AT28,AT28)-1</f>
        <v>19</v>
      </c>
      <c r="AU29">
        <f>RANK(AU28,$B$28:$GQ$28,0)+COUNTIF($B$28:AU28,AU28)-1</f>
        <v>5</v>
      </c>
      <c r="AV29">
        <f>RANK(AV28,$B$28:$GQ$28,0)+COUNTIF($B$28:AV28,AV28)-1</f>
        <v>87</v>
      </c>
      <c r="AW29">
        <f>RANK(AW28,$B$28:$GQ$28,0)+COUNTIF($B$28:AW28,AW28)-1</f>
        <v>8</v>
      </c>
      <c r="AX29">
        <f>RANK(AX28,$B$28:$GQ$28,0)+COUNTIF($B$28:AX28,AX28)-1</f>
        <v>96</v>
      </c>
      <c r="AY29">
        <f>RANK(AY28,$B$28:$GQ$28,0)+COUNTIF($B$28:AY28,AY28)-1</f>
        <v>57</v>
      </c>
      <c r="AZ29">
        <f>RANK(AZ28,$B$28:$GQ$28,0)+COUNTIF($B$28:AZ28,AZ28)-1</f>
        <v>1</v>
      </c>
      <c r="BA29">
        <f>RANK(BA28,$B$28:$GQ$28,0)+COUNTIF($B$28:BA28,BA28)-1</f>
        <v>23</v>
      </c>
      <c r="BB29">
        <f>RANK(BB28,$B$28:$GQ$28,0)+COUNTIF($B$28:BB28,BB28)-1</f>
        <v>32</v>
      </c>
      <c r="BC29">
        <f>RANK(BC28,$B$28:$GQ$28,0)+COUNTIF($B$28:BC28,BC28)-1</f>
        <v>80</v>
      </c>
      <c r="BD29">
        <f>RANK(BD28,$B$28:$GQ$28,0)+COUNTIF($B$28:BD28,BD28)-1</f>
        <v>67</v>
      </c>
      <c r="BE29">
        <f>RANK(BE28,$B$28:$GQ$28,0)+COUNTIF($B$28:BE28,BE28)-1</f>
        <v>28</v>
      </c>
      <c r="BF29">
        <f>RANK(BF28,$B$28:$GQ$28,0)+COUNTIF($B$28:BF28,BF28)-1</f>
        <v>56</v>
      </c>
      <c r="BG29">
        <f>RANK(BG28,$B$28:$GQ$28,0)+COUNTIF($B$28:BG28,BG28)-1</f>
        <v>35</v>
      </c>
      <c r="BH29">
        <f>RANK(BH28,$B$28:$GQ$28,0)+COUNTIF($B$28:BH28,BH28)-1</f>
        <v>81</v>
      </c>
      <c r="BI29">
        <f>RANK(BI28,$B$28:$GQ$28,0)+COUNTIF($B$28:BI28,BI28)-1</f>
        <v>158</v>
      </c>
      <c r="BJ29">
        <f>RANK(BJ28,$B$28:$GQ$28,0)+COUNTIF($B$28:BJ28,BJ28)-1</f>
        <v>159</v>
      </c>
      <c r="BK29">
        <f>RANK(BK28,$B$28:$GQ$28,0)+COUNTIF($B$28:BK28,BK28)-1</f>
        <v>55</v>
      </c>
      <c r="BL29">
        <f>RANK(BL28,$B$28:$GQ$28,0)+COUNTIF($B$28:BL28,BL28)-1</f>
        <v>53</v>
      </c>
      <c r="BM29">
        <f>RANK(BM28,$B$28:$GQ$28,0)+COUNTIF($B$28:BM28,BM28)-1</f>
        <v>126</v>
      </c>
      <c r="BN29">
        <f>RANK(BN28,$B$28:$GQ$28,0)+COUNTIF($B$28:BN28,BN28)-1</f>
        <v>160</v>
      </c>
      <c r="BO29">
        <f>RANK(BO28,$B$28:$GQ$28,0)+COUNTIF($B$28:BO28,BO28)-1</f>
        <v>161</v>
      </c>
      <c r="BP29">
        <f>RANK(BP28,$B$28:$GQ$28,0)+COUNTIF($B$28:BP28,BP28)-1</f>
        <v>33</v>
      </c>
      <c r="BQ29">
        <f>RANK(BQ28,$B$28:$GQ$28,0)+COUNTIF($B$28:BQ28,BQ28)-1</f>
        <v>162</v>
      </c>
      <c r="BR29">
        <f>RANK(BR28,$B$28:$GQ$28,0)+COUNTIF($B$28:BR28,BR28)-1</f>
        <v>163</v>
      </c>
      <c r="BS29">
        <f>RANK(BS28,$B$28:$GQ$28,0)+COUNTIF($B$28:BS28,BS28)-1</f>
        <v>105</v>
      </c>
      <c r="BT29">
        <f>RANK(BT28,$B$28:$GQ$28,0)+COUNTIF($B$28:BT28,BT28)-1</f>
        <v>164</v>
      </c>
      <c r="BU29">
        <f>RANK(BU28,$B$28:$GQ$28,0)+COUNTIF($B$28:BU28,BU28)-1</f>
        <v>25</v>
      </c>
      <c r="BV29">
        <f>RANK(BV28,$B$28:$GQ$28,0)+COUNTIF($B$28:BV28,BV28)-1</f>
        <v>123</v>
      </c>
      <c r="BW29">
        <f>RANK(BW28,$B$28:$GQ$28,0)+COUNTIF($B$28:BW28,BW28)-1</f>
        <v>165</v>
      </c>
      <c r="BX29">
        <f>RANK(BX28,$B$28:$GQ$28,0)+COUNTIF($B$28:BX28,BX28)-1</f>
        <v>69</v>
      </c>
      <c r="BY29">
        <f>RANK(BY28,$B$28:$GQ$28,0)+COUNTIF($B$28:BY28,BY28)-1</f>
        <v>166</v>
      </c>
      <c r="BZ29">
        <f>RANK(BZ28,$B$28:$GQ$28,0)+COUNTIF($B$28:BZ28,BZ28)-1</f>
        <v>167</v>
      </c>
      <c r="CA29">
        <f>RANK(CA28,$B$28:$GQ$28,0)+COUNTIF($B$28:CA28,CA28)-1</f>
        <v>168</v>
      </c>
      <c r="CB29">
        <f>RANK(CB28,$B$28:$GQ$28,0)+COUNTIF($B$28:CB28,CB28)-1</f>
        <v>169</v>
      </c>
      <c r="CC29">
        <f>RANK(CC28,$B$28:$GQ$28,0)+COUNTIF($B$28:CC28,CC28)-1</f>
        <v>170</v>
      </c>
      <c r="CD29">
        <f>RANK(CD28,$B$28:$GQ$28,0)+COUNTIF($B$28:CD28,CD28)-1</f>
        <v>171</v>
      </c>
      <c r="CE29">
        <f>RANK(CE28,$B$28:$GQ$28,0)+COUNTIF($B$28:CE28,CE28)-1</f>
        <v>172</v>
      </c>
      <c r="CF29">
        <f>RANK(CF28,$B$28:$GQ$28,0)+COUNTIF($B$28:CF28,CF28)-1</f>
        <v>173</v>
      </c>
      <c r="CG29">
        <f>RANK(CG28,$B$28:$GQ$28,0)+COUNTIF($B$28:CG28,CG28)-1</f>
        <v>174</v>
      </c>
      <c r="CH29">
        <f>RANK(CH28,$B$28:$GQ$28,0)+COUNTIF($B$28:CH28,CH28)-1</f>
        <v>175</v>
      </c>
      <c r="CI29">
        <f>RANK(CI28,$B$28:$GQ$28,0)+COUNTIF($B$28:CI28,CI28)-1</f>
        <v>13</v>
      </c>
      <c r="CJ29">
        <f>RANK(CJ28,$B$28:$GQ$28,0)+COUNTIF($B$28:CJ28,CJ28)-1</f>
        <v>64</v>
      </c>
      <c r="CK29">
        <f>RANK(CK28,$B$28:$GQ$28,0)+COUNTIF($B$28:CK28,CK28)-1</f>
        <v>120</v>
      </c>
      <c r="CL29">
        <f>RANK(CL28,$B$28:$GQ$28,0)+COUNTIF($B$28:CL28,CL28)-1</f>
        <v>110</v>
      </c>
      <c r="CM29">
        <f>RANK(CM28,$B$28:$GQ$28,0)+COUNTIF($B$28:CM28,CM28)-1</f>
        <v>40</v>
      </c>
      <c r="CN29">
        <f>RANK(CN28,$B$28:$GQ$28,0)+COUNTIF($B$28:CN28,CN28)-1</f>
        <v>176</v>
      </c>
      <c r="CO29">
        <f>RANK(CO28,$B$28:$GQ$28,0)+COUNTIF($B$28:CO28,CO28)-1</f>
        <v>177</v>
      </c>
      <c r="CP29">
        <f>RANK(CP28,$B$28:$GQ$28,0)+COUNTIF($B$28:CP28,CP28)-1</f>
        <v>100</v>
      </c>
      <c r="CQ29">
        <f>RANK(CQ28,$B$28:$GQ$28,0)+COUNTIF($B$28:CQ28,CQ28)-1</f>
        <v>97</v>
      </c>
      <c r="CR29">
        <f>RANK(CR28,$B$28:$GQ$28,0)+COUNTIF($B$28:CR28,CR28)-1</f>
        <v>178</v>
      </c>
      <c r="CS29">
        <f>RANK(CS28,$B$28:$GQ$28,0)+COUNTIF($B$28:CS28,CS28)-1</f>
        <v>179</v>
      </c>
      <c r="CT29">
        <f>RANK(CT28,$B$28:$GQ$28,0)+COUNTIF($B$28:CT28,CT28)-1</f>
        <v>180</v>
      </c>
      <c r="CU29">
        <f>RANK(CU28,$B$28:$GQ$28,0)+COUNTIF($B$28:CU28,CU28)-1</f>
        <v>49</v>
      </c>
      <c r="CV29">
        <f>RANK(CV28,$B$28:$GQ$28,0)+COUNTIF($B$28:CV28,CV28)-1</f>
        <v>117</v>
      </c>
      <c r="CW29">
        <f>RANK(CW28,$B$28:$GQ$28,0)+COUNTIF($B$28:CW28,CW28)-1</f>
        <v>109</v>
      </c>
      <c r="CX29">
        <f>RANK(CX28,$B$28:$GQ$28,0)+COUNTIF($B$28:CX28,CX28)-1</f>
        <v>119</v>
      </c>
      <c r="CY29">
        <f>RANK(CY28,$B$28:$GQ$28,0)+COUNTIF($B$28:CY28,CY28)-1</f>
        <v>75</v>
      </c>
      <c r="CZ29">
        <f>RANK(CZ28,$B$28:$GQ$28,0)+COUNTIF($B$28:CZ28,CZ28)-1</f>
        <v>130</v>
      </c>
      <c r="DA29">
        <f>RANK(DA28,$B$28:$GQ$28,0)+COUNTIF($B$28:DA28,DA28)-1</f>
        <v>131</v>
      </c>
      <c r="DB29">
        <f>RANK(DB28,$B$28:$GQ$28,0)+COUNTIF($B$28:DB28,DB28)-1</f>
        <v>102</v>
      </c>
      <c r="DC29">
        <f>RANK(DC28,$B$28:$GQ$28,0)+COUNTIF($B$28:DC28,DC28)-1</f>
        <v>132</v>
      </c>
      <c r="DD29">
        <f>RANK(DD28,$B$28:$GQ$28,0)+COUNTIF($B$28:DD28,DD28)-1</f>
        <v>124</v>
      </c>
      <c r="DE29">
        <f>RANK(DE28,$B$28:$GQ$28,0)+COUNTIF($B$28:DE28,DE28)-1</f>
        <v>127</v>
      </c>
      <c r="DF29">
        <f>RANK(DF28,$B$28:$GQ$28,0)+COUNTIF($B$28:DF28,DF28)-1</f>
        <v>181</v>
      </c>
      <c r="DG29">
        <f>RANK(DG28,$B$28:$GQ$28,0)+COUNTIF($B$28:DG28,DG28)-1</f>
        <v>182</v>
      </c>
      <c r="DH29">
        <f>RANK(DH28,$B$28:$GQ$28,0)+COUNTIF($B$28:DH28,DH28)-1</f>
        <v>183</v>
      </c>
      <c r="DI29">
        <f>RANK(DI28,$B$28:$GQ$28,0)+COUNTIF($B$28:DI28,DI28)-1</f>
        <v>184</v>
      </c>
      <c r="DJ29">
        <f>RANK(DJ28,$B$28:$GQ$28,0)+COUNTIF($B$28:DJ28,DJ28)-1</f>
        <v>116</v>
      </c>
      <c r="DK29">
        <f>RANK(DK28,$B$28:$GQ$28,0)+COUNTIF($B$28:DK28,DK28)-1</f>
        <v>129</v>
      </c>
      <c r="DL29">
        <f>RANK(DL28,$B$28:$GQ$28,0)+COUNTIF($B$28:DL28,DL28)-1</f>
        <v>128</v>
      </c>
      <c r="DM29">
        <f>RANK(DM28,$B$28:$GQ$28,0)+COUNTIF($B$28:DM28,DM28)-1</f>
        <v>54</v>
      </c>
      <c r="DN29">
        <f>RANK(DN28,$B$28:$GQ$28,0)+COUNTIF($B$28:DN28,DN28)-1</f>
        <v>84</v>
      </c>
      <c r="DO29">
        <f>RANK(DO28,$B$28:$GQ$28,0)+COUNTIF($B$28:DO28,DO28)-1</f>
        <v>185</v>
      </c>
      <c r="DP29">
        <f>RANK(DP28,$B$28:$GQ$28,0)+COUNTIF($B$28:DP28,DP28)-1</f>
        <v>10</v>
      </c>
      <c r="DQ29">
        <f>RANK(DQ28,$B$28:$GQ$28,0)+COUNTIF($B$28:DQ28,DQ28)-1</f>
        <v>7</v>
      </c>
      <c r="DR29">
        <f>RANK(DR28,$B$28:$GQ$28,0)+COUNTIF($B$28:DR28,DR28)-1</f>
        <v>29</v>
      </c>
      <c r="DS29">
        <f>RANK(DS28,$B$28:$GQ$28,0)+COUNTIF($B$28:DS28,DS28)-1</f>
        <v>17</v>
      </c>
      <c r="DT29">
        <f>RANK(DT28,$B$28:$GQ$28,0)+COUNTIF($B$28:DT28,DT28)-1</f>
        <v>44</v>
      </c>
      <c r="DU29">
        <f>RANK(DU28,$B$28:$GQ$28,0)+COUNTIF($B$28:DU28,DU28)-1</f>
        <v>38</v>
      </c>
      <c r="DV29">
        <f>RANK(DV28,$B$28:$GQ$28,0)+COUNTIF($B$28:DV28,DV28)-1</f>
        <v>186</v>
      </c>
      <c r="DW29">
        <f>RANK(DW28,$B$28:$GQ$28,0)+COUNTIF($B$28:DW28,DW28)-1</f>
        <v>187</v>
      </c>
      <c r="DX29">
        <f>RANK(DX28,$B$28:$GQ$28,0)+COUNTIF($B$28:DX28,DX28)-1</f>
        <v>61</v>
      </c>
      <c r="DY29">
        <f>RANK(DY28,$B$28:$GQ$28,0)+COUNTIF($B$28:DY28,DY28)-1</f>
        <v>77</v>
      </c>
      <c r="DZ29">
        <f>RANK(DZ28,$B$28:$GQ$28,0)+COUNTIF($B$28:DZ28,DZ28)-1</f>
        <v>48</v>
      </c>
      <c r="EA29">
        <f>RANK(EA28,$B$28:$GQ$28,0)+COUNTIF($B$28:EA28,EA28)-1</f>
        <v>74</v>
      </c>
      <c r="EB29">
        <f>RANK(EB28,$B$28:$GQ$28,0)+COUNTIF($B$28:EB28,EB28)-1</f>
        <v>78</v>
      </c>
      <c r="EC29">
        <f>RANK(EC28,$B$28:$GQ$28,0)+COUNTIF($B$28:EC28,EC28)-1</f>
        <v>85</v>
      </c>
      <c r="ED29">
        <f>RANK(ED28,$B$28:$GQ$28,0)+COUNTIF($B$28:ED28,ED28)-1</f>
        <v>104</v>
      </c>
      <c r="EE29">
        <f>RANK(EE28,$B$28:$GQ$28,0)+COUNTIF($B$28:EE28,EE28)-1</f>
        <v>114</v>
      </c>
      <c r="EF29">
        <f>RANK(EF28,$B$28:$GQ$28,0)+COUNTIF($B$28:EF28,EF28)-1</f>
        <v>188</v>
      </c>
      <c r="EG29">
        <f>RANK(EG28,$B$28:$GQ$28,0)+COUNTIF($B$28:EG28,EG28)-1</f>
        <v>118</v>
      </c>
      <c r="EH29">
        <f>RANK(EH28,$B$28:$GQ$28,0)+COUNTIF($B$28:EH28,EH28)-1</f>
        <v>189</v>
      </c>
      <c r="EI29">
        <f>RANK(EI28,$B$28:$GQ$28,0)+COUNTIF($B$28:EI28,EI28)-1</f>
        <v>190</v>
      </c>
      <c r="EJ29">
        <f>RANK(EJ28,$B$28:$GQ$28,0)+COUNTIF($B$28:EJ28,EJ28)-1</f>
        <v>86</v>
      </c>
      <c r="EK29">
        <f>RANK(EK28,$B$28:$GQ$28,0)+COUNTIF($B$28:EK28,EK28)-1</f>
        <v>65</v>
      </c>
      <c r="EL29">
        <f>RANK(EL28,$B$28:$GQ$28,0)+COUNTIF($B$28:EL28,EL28)-1</f>
        <v>191</v>
      </c>
      <c r="EM29">
        <f>RANK(EM28,$B$28:$GQ$28,0)+COUNTIF($B$28:EM28,EM28)-1</f>
        <v>192</v>
      </c>
      <c r="EN29">
        <f>RANK(EN28,$B$28:$GQ$28,0)+COUNTIF($B$28:EN28,EN28)-1</f>
        <v>193</v>
      </c>
      <c r="EO29">
        <f>RANK(EO28,$B$28:$GQ$28,0)+COUNTIF($B$28:EO28,EO28)-1</f>
        <v>194</v>
      </c>
      <c r="EP29">
        <f>RANK(EP28,$B$28:$GQ$28,0)+COUNTIF($B$28:EP28,EP28)-1</f>
        <v>195</v>
      </c>
      <c r="EQ29">
        <f>RANK(EQ28,$B$28:$GQ$28,0)+COUNTIF($B$28:EQ28,EQ28)-1</f>
        <v>46</v>
      </c>
      <c r="ER29">
        <f>RANK(ER28,$B$28:$GQ$28,0)+COUNTIF($B$28:ER28,ER28)-1</f>
        <v>42</v>
      </c>
      <c r="ES29">
        <f>RANK(ES28,$B$28:$GQ$28,0)+COUNTIF($B$28:ES28,ES28)-1</f>
        <v>62</v>
      </c>
      <c r="ET29">
        <f>RANK(ET28,$B$28:$GQ$28,0)+COUNTIF($B$28:ET28,ET28)-1</f>
        <v>45</v>
      </c>
      <c r="EU29">
        <f>RANK(EU28,$B$28:$GQ$28,0)+COUNTIF($B$28:EU28,EU28)-1</f>
        <v>196</v>
      </c>
      <c r="EV29">
        <f>RANK(EV28,$B$28:$GQ$28,0)+COUNTIF($B$28:EV28,EV28)-1</f>
        <v>47</v>
      </c>
      <c r="EW29">
        <f>RANK(EW28,$B$28:$GQ$28,0)+COUNTIF($B$28:EW28,EW28)-1</f>
        <v>92</v>
      </c>
      <c r="EX29">
        <f>RANK(EX28,$B$28:$GQ$28,0)+COUNTIF($B$28:EX28,EX28)-1</f>
        <v>58</v>
      </c>
      <c r="EY29">
        <f>RANK(EY28,$B$28:$GQ$28,0)+COUNTIF($B$28:EY28,EY28)-1</f>
        <v>63</v>
      </c>
      <c r="EZ29">
        <f>RANK(EZ28,$B$28:$GQ$28,0)+COUNTIF($B$28:EZ28,EZ28)-1</f>
        <v>9</v>
      </c>
      <c r="FA29">
        <f>RANK(FA28,$B$28:$GQ$28,0)+COUNTIF($B$28:FA28,FA28)-1</f>
        <v>30</v>
      </c>
      <c r="FB29">
        <f>RANK(FB28,$B$28:$GQ$28,0)+COUNTIF($B$28:FB28,FB28)-1</f>
        <v>18</v>
      </c>
      <c r="FC29">
        <f>RANK(FC28,$B$28:$GQ$28,0)+COUNTIF($B$28:FC28,FC28)-1</f>
        <v>71</v>
      </c>
      <c r="FD29">
        <f>RANK(FD28,$B$28:$GQ$28,0)+COUNTIF($B$28:FD28,FD28)-1</f>
        <v>22</v>
      </c>
      <c r="FE29">
        <f>RANK(FE28,$B$28:$GQ$28,0)+COUNTIF($B$28:FE28,FE28)-1</f>
        <v>43</v>
      </c>
      <c r="FF29">
        <f>RANK(FF28,$B$28:$GQ$28,0)+COUNTIF($B$28:FF28,FF28)-1</f>
        <v>20</v>
      </c>
      <c r="FG29">
        <f>RANK(FG28,$B$28:$GQ$28,0)+COUNTIF($B$28:FG28,FG28)-1</f>
        <v>24</v>
      </c>
      <c r="FH29">
        <f>RANK(FH28,$B$28:$GQ$28,0)+COUNTIF($B$28:FH28,FH28)-1</f>
        <v>37</v>
      </c>
      <c r="FI29">
        <f>RANK(FI28,$B$28:$GQ$28,0)+COUNTIF($B$28:FI28,FI28)-1</f>
        <v>50</v>
      </c>
      <c r="FJ29">
        <f>RANK(FJ28,$B$28:$GQ$28,0)+COUNTIF($B$28:FJ28,FJ28)-1</f>
        <v>34</v>
      </c>
      <c r="FK29">
        <f>RANK(FK28,$B$28:$GQ$28,0)+COUNTIF($B$28:FK28,FK28)-1</f>
        <v>197</v>
      </c>
      <c r="FL29">
        <f>RANK(FL28,$B$28:$GQ$28,0)+COUNTIF($B$28:FL28,FL28)-1</f>
        <v>2</v>
      </c>
      <c r="FM29">
        <f>RANK(FM28,$B$28:$GQ$28,0)+COUNTIF($B$28:FM28,FM28)-1</f>
        <v>73</v>
      </c>
      <c r="FN29">
        <f>RANK(FN28,$B$28:$GQ$28,0)+COUNTIF($B$28:FN28,FN28)-1</f>
        <v>115</v>
      </c>
      <c r="FO29">
        <f>RANK(FO28,$B$28:$GQ$28,0)+COUNTIF($B$28:FO28,FO28)-1</f>
        <v>36</v>
      </c>
      <c r="FP29">
        <f>RANK(FP28,$B$28:$GQ$28,0)+COUNTIF($B$28:FP28,FP28)-1</f>
        <v>51</v>
      </c>
      <c r="FQ29">
        <f>RANK(FQ28,$B$28:$GQ$28,0)+COUNTIF($B$28:FQ28,FQ28)-1</f>
        <v>4</v>
      </c>
      <c r="FR29">
        <f>RANK(FR28,$B$28:$GQ$28,0)+COUNTIF($B$28:FR28,FR28)-1</f>
        <v>14</v>
      </c>
      <c r="FS29">
        <f>RANK(FS28,$B$28:$GQ$28,0)+COUNTIF($B$28:FS28,FS28)-1</f>
        <v>6</v>
      </c>
      <c r="FT29">
        <f>RANK(FT28,$B$28:$GQ$28,0)+COUNTIF($B$28:FT28,FT28)-1</f>
        <v>94</v>
      </c>
      <c r="FU29">
        <f>RANK(FU28,$B$28:$GQ$28,0)+COUNTIF($B$28:FU28,FU28)-1</f>
        <v>91</v>
      </c>
      <c r="FV29">
        <f>RANK(FV28,$B$28:$GQ$28,0)+COUNTIF($B$28:FV28,FV28)-1</f>
        <v>101</v>
      </c>
      <c r="FW29">
        <f>RANK(FW28,$B$28:$GQ$28,0)+COUNTIF($B$28:FW28,FW28)-1</f>
        <v>89</v>
      </c>
      <c r="FX29">
        <f>RANK(FX28,$B$28:$GQ$28,0)+COUNTIF($B$28:FX28,FX28)-1</f>
        <v>108</v>
      </c>
      <c r="FY29">
        <f>RANK(FY28,$B$28:$GQ$28,0)+COUNTIF($B$28:FY28,FY28)-1</f>
        <v>107</v>
      </c>
      <c r="FZ29">
        <f>RANK(FZ28,$B$28:$GQ$28,0)+COUNTIF($B$28:FZ28,FZ28)-1</f>
        <v>90</v>
      </c>
      <c r="GA29">
        <f>RANK(GA28,$B$28:$GQ$28,0)+COUNTIF($B$28:GA28,GA28)-1</f>
        <v>112</v>
      </c>
      <c r="GB29">
        <f>RANK(GB28,$B$28:$GQ$28,0)+COUNTIF($B$28:GB28,GB28)-1</f>
        <v>122</v>
      </c>
      <c r="GC29">
        <f>RANK(GC28,$B$28:$GQ$28,0)+COUNTIF($B$28:GC28,GC28)-1</f>
        <v>95</v>
      </c>
      <c r="GD29">
        <f>RANK(GD28,$B$28:$GQ$28,0)+COUNTIF($B$28:GD28,GD28)-1</f>
        <v>88</v>
      </c>
      <c r="GE29">
        <f>RANK(GE28,$B$28:$GQ$28,0)+COUNTIF($B$28:GE28,GE28)-1</f>
        <v>121</v>
      </c>
      <c r="GF29">
        <f>RANK(GF28,$B$28:$GQ$28,0)+COUNTIF($B$28:GF28,GF28)-1</f>
        <v>93</v>
      </c>
      <c r="GG29">
        <f>RANK(GG28,$B$28:$GQ$28,0)+COUNTIF($B$28:GG28,GG28)-1</f>
        <v>83</v>
      </c>
      <c r="GH29">
        <f>RANK(GH28,$B$28:$GQ$28,0)+COUNTIF($B$28:GH28,GH28)-1</f>
        <v>60</v>
      </c>
      <c r="GI29">
        <f>RANK(GI28,$B$28:$GQ$28,0)+COUNTIF($B$28:GI28,GI28)-1</f>
        <v>79</v>
      </c>
      <c r="GJ29">
        <f>RANK(GJ28,$B$28:$GQ$28,0)+COUNTIF($B$28:GJ28,GJ28)-1</f>
        <v>103</v>
      </c>
      <c r="GK29">
        <f>RANK(GK28,$B$28:$GQ$28,0)+COUNTIF($B$28:GK28,GK28)-1</f>
        <v>82</v>
      </c>
      <c r="GL29">
        <f>RANK(GL28,$B$28:$GQ$28,0)+COUNTIF($B$28:GL28,GL28)-1</f>
        <v>106</v>
      </c>
      <c r="GM29">
        <f>RANK(GM28,$B$28:$GQ$28,0)+COUNTIF($B$28:GM28,GM28)-1</f>
        <v>99</v>
      </c>
      <c r="GN29">
        <f>RANK(GN28,$B$28:$GQ$28,0)+COUNTIF($B$28:GN28,GN28)-1</f>
        <v>41</v>
      </c>
      <c r="GO29">
        <f>RANK(GO28,$B$28:$GQ$28,0)+COUNTIF($B$28:GO28,GO28)-1</f>
        <v>11</v>
      </c>
      <c r="GP29">
        <f>RANK(GP28,$B$28:$GQ$28,0)+COUNTIF($B$28:GP28,GP28)-1</f>
        <v>52</v>
      </c>
      <c r="GQ29">
        <f>RANK(GQ28,$B$28:$GQ$28,0)+COUNTIF($B$28:GQ28,GQ28)-1</f>
        <v>198</v>
      </c>
    </row>
    <row r="30" spans="1:211" x14ac:dyDescent="0.45">
      <c r="A30" s="1" t="s">
        <v>223</v>
      </c>
      <c r="GR30">
        <f>RANK(GR28,$GR$28:$HC$28,0)+COUNTIF($GR$28:GR28,GR28)-1</f>
        <v>11</v>
      </c>
      <c r="GS30">
        <f>RANK(GS28,$GR$28:$HC$28,0)+COUNTIF($GR$28:GS28,GS28)-1</f>
        <v>7</v>
      </c>
      <c r="GT30">
        <f>RANK(GT28,$GR$28:$HC$28,0)+COUNTIF($GR$28:GT28,GT28)-1</f>
        <v>6</v>
      </c>
      <c r="GU30">
        <f>RANK(GU28,$GR$28:$HC$28,0)+COUNTIF($GR$28:GU28,GU28)-1</f>
        <v>8</v>
      </c>
      <c r="GV30">
        <f>RANK(GV28,$GR$28:$HC$28,0)+COUNTIF($GR$28:GV28,GV28)-1</f>
        <v>9</v>
      </c>
      <c r="GW30">
        <f>RANK(GW28,$GR$28:$HC$28,0)+COUNTIF($GR$28:GW28,GW28)-1</f>
        <v>5</v>
      </c>
      <c r="GX30">
        <f>RANK(GX28,$GR$28:$HC$28,0)+COUNTIF($GR$28:GX28,GX28)-1</f>
        <v>2</v>
      </c>
      <c r="GY30">
        <f>RANK(GY28,$GR$28:$HC$28,0)+COUNTIF($GR$28:GY28,GY28)-1</f>
        <v>4</v>
      </c>
      <c r="GZ30">
        <f>RANK(GZ28,$GR$28:$HC$28,0)+COUNTIF($GR$28:GZ28,GZ28)-1</f>
        <v>12</v>
      </c>
      <c r="HA30">
        <f>RANK(HA28,$GR$28:$HC$28,0)+COUNTIF($GR$28:HA28,HA28)-1</f>
        <v>3</v>
      </c>
      <c r="HB30">
        <f>RANK(HB28,$GR$28:$HC$28,0)+COUNTIF($GR$28:HB28,HB28)-1</f>
        <v>10</v>
      </c>
      <c r="HC30">
        <f>RANK(HC28,$GR$28:$HC$28,0)+COUNTIF($GR$28:HC28,HC28)-1</f>
        <v>1</v>
      </c>
    </row>
  </sheetData>
  <dataValidations count="1">
    <dataValidation type="list" sqref="B1" xr:uid="{00000000-0002-0000-0500-000000000000}">
      <formula1>$A$18:$A$27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46" customWidth="1"/>
  </cols>
  <sheetData>
    <row r="1" spans="1:211" x14ac:dyDescent="0.45">
      <c r="A1" s="1" t="s">
        <v>0</v>
      </c>
      <c r="B1" s="2" t="s">
        <v>1</v>
      </c>
    </row>
    <row r="3" spans="1:211" x14ac:dyDescent="0.45">
      <c r="A3" s="1" t="s">
        <v>229</v>
      </c>
      <c r="B3" s="1" t="str">
        <f>INDEX($B$17:$GQ$17,MATCH(1,$B$29:$GQ$29,0))</f>
        <v>Food products nec</v>
      </c>
      <c r="C3" s="1" t="str">
        <f>INDEX($B$17:$GQ$17,MATCH(2,$B$29:$GQ$29,0))</f>
        <v>Products of meat cattle</v>
      </c>
      <c r="D3" s="1" t="str">
        <f>INDEX($B$17:$GQ$17,MATCH(3,$B$29:$GQ$29,0))</f>
        <v>Meat products nec</v>
      </c>
      <c r="E3" s="1" t="str">
        <f>INDEX($B$17:$GQ$17,MATCH(4,$B$29:$GQ$29,0))</f>
        <v>Dairy products</v>
      </c>
      <c r="F3" s="1" t="str">
        <f>INDEX($B$17:$GQ$17,MATCH(5,$B$29:$GQ$29,0))</f>
        <v>Vegetables, fruit, nuts</v>
      </c>
      <c r="G3" s="1" t="str">
        <f>INDEX($B$17:$GQ$17,MATCH(6,$B$29:$GQ$29,0))</f>
        <v>Hotel and restaurant services (55)</v>
      </c>
      <c r="H3" s="1" t="str">
        <f>INDEX($B$17:$GQ$17,MATCH(7,$B$29:$GQ$29,0))</f>
        <v>Real estate services (70)</v>
      </c>
      <c r="I3" s="1" t="str">
        <f>INDEX($B$17:$GQ$17,MATCH(8,$B$29:$GQ$29,0))</f>
        <v>Health and social work services (85)</v>
      </c>
      <c r="J3" s="1" t="str">
        <f>INDEX($B$17:$GQ$17,MATCH(9,$B$29:$GQ$29,0))</f>
        <v>Public administration and defence services; compulsory social security services (75)</v>
      </c>
      <c r="K3" s="1" t="str">
        <f>INDEX($B$17:$GQ$17,MATCH(10,$B$29:$GQ$29,0))</f>
        <v>Wheat</v>
      </c>
      <c r="L3" s="1" t="str">
        <f>INDEX($B$17:$GQ$17,MATCH(11,$B$29:$GQ$29,0))</f>
        <v>Meat animals nec</v>
      </c>
      <c r="M3" s="1" t="str">
        <f>INDEX($B$17:$GQ$17,MATCH(12,$B$29:$GQ$29,0))</f>
        <v>Products of forestry, logging and related services (02)</v>
      </c>
      <c r="N3" s="1" t="str">
        <f>INDEX($B$17:$GQ$17,MATCH(13,$B$29:$GQ$29,0))</f>
        <v>Beverages</v>
      </c>
      <c r="O3" s="1" t="str">
        <f>INDEX($B$17:$GQ$17,MATCH(14,$B$29:$GQ$29,0))</f>
        <v>Products of meat poultry</v>
      </c>
      <c r="P3" s="1" t="str">
        <f>INDEX($B$17:$GQ$17,MATCH(15,$B$29:$GQ$29,0))</f>
        <v>Leather and leather products (19)</v>
      </c>
      <c r="Q3" s="1" t="str">
        <f>INDEX($B$17:$GQ$17,MATCH(16,$B$29:$GQ$29,0))</f>
        <v>Recreational, cultural and sporting services (92)</v>
      </c>
      <c r="R3" s="1" t="str">
        <f>INDEX($B$17:$GQ$17,MATCH(17,$B$29:$GQ$29,0))</f>
        <v>Poultry</v>
      </c>
      <c r="S3" s="1" t="str">
        <f>INDEX($B$17:$GQ$17,MATCH(18,$B$29:$GQ$29,0))</f>
        <v>Education services (80)</v>
      </c>
      <c r="T3" s="1" t="str">
        <f>INDEX($B$17:$GQ$17,MATCH(19,$B$29:$GQ$29,0))</f>
        <v>Fish products</v>
      </c>
      <c r="U3" s="1" t="str">
        <f>INDEX($B$17:$GQ$17,MATCH(20,$B$29:$GQ$29,0))</f>
        <v>Plastics, basic</v>
      </c>
      <c r="V3" s="1" t="str">
        <f>INDEX($B$17:$GQ$17,MATCH(21,$B$29:$GQ$29,0))</f>
        <v>Oil seeds</v>
      </c>
      <c r="W3" s="1" t="str">
        <f>INDEX($B$17:$GQ$17,MATCH(22,$B$29:$GQ$29,0))</f>
        <v>Wearing apparel; furs (18)</v>
      </c>
      <c r="X3" s="1" t="str">
        <f>INDEX($B$17:$GQ$17,MATCH(23,$B$29:$GQ$29,0))</f>
        <v>Motor vehicles, trailers and semi-trailers (34)</v>
      </c>
      <c r="Y3" s="1" t="str">
        <f>INDEX($B$17:$GQ$17,MATCH(24,$B$29:$GQ$29,0))</f>
        <v>Furniture; other manufactured goods n.e.c. (36)</v>
      </c>
      <c r="Z3" s="1" t="str">
        <f>INDEX($B$17:$GQ$17,MATCH(25,$B$29:$GQ$29,0))</f>
        <v>Products of meat pigs</v>
      </c>
      <c r="AA3" s="1" t="str">
        <f>INDEX($B$17:$GQ$17,MATCH(26,$B$29:$GQ$29,0))</f>
        <v>Chemicals nec</v>
      </c>
      <c r="AB3" s="1" t="str">
        <f>INDEX($B$17:$GQ$17,MATCH(27,$B$29:$GQ$29,0))</f>
        <v>Sugar</v>
      </c>
      <c r="AC3" s="1" t="str">
        <f>INDEX($B$17:$GQ$17,MATCH(28,$B$29:$GQ$29,0))</f>
        <v>Air transport services (62)</v>
      </c>
      <c r="AD3" s="1" t="str">
        <f>INDEX($B$17:$GQ$17,MATCH(29,$B$29:$GQ$29,0))</f>
        <v>Textiles (17)</v>
      </c>
      <c r="AE3" s="1" t="str">
        <f>INDEX($B$17:$GQ$17,MATCH(30,$B$29:$GQ$29,0))</f>
        <v>Wood and products of wood and cork (except furniture); articles of straw and plaiting materials (20)</v>
      </c>
      <c r="AF3" s="1" t="str">
        <f>INDEX($B$17:$GQ$17,MATCH(31,$B$29:$GQ$29,0))</f>
        <v>Research and development services (73)</v>
      </c>
      <c r="AG3" s="1" t="str">
        <f>INDEX($B$17:$GQ$17,MATCH(32,$B$29:$GQ$29,0))</f>
        <v>Insurance and pension funding services, except compulsory social security services (66)</v>
      </c>
      <c r="AH3" s="1" t="str">
        <f>INDEX($B$17:$GQ$17,MATCH(33,$B$29:$GQ$29,0))</f>
        <v>Crops nec</v>
      </c>
      <c r="AI3" s="1" t="str">
        <f>INDEX($B$17:$GQ$17,MATCH(34,$B$29:$GQ$29,0))</f>
        <v>Post and telecommunication services (64)</v>
      </c>
      <c r="AJ3" s="1" t="str">
        <f>INDEX($B$17:$GQ$17,MATCH(35,$B$29:$GQ$29,0))</f>
        <v>Other land transportation services</v>
      </c>
      <c r="AK3" s="1" t="str">
        <f>INDEX($B$17:$GQ$17,MATCH(36,$B$29:$GQ$29,0))</f>
        <v>Animal products nec</v>
      </c>
      <c r="AL3" s="1" t="str">
        <f>INDEX($B$17:$GQ$17,MATCH(37,$B$29:$GQ$29,0))</f>
        <v>Membership organisation services n.e.c. (91)</v>
      </c>
      <c r="AM3" s="1" t="str">
        <f>INDEX($B$17:$GQ$17,MATCH(38,$B$29:$GQ$29,0))</f>
        <v>Motor Gasoline</v>
      </c>
      <c r="AN3" s="1" t="str">
        <f>INDEX($B$17:$GQ$17,MATCH(39,$B$29:$GQ$29,0))</f>
        <v>Paper and paper products</v>
      </c>
      <c r="AO3" s="1" t="str">
        <f>INDEX($B$17:$GQ$17,MATCH(40,$B$29:$GQ$29,0))</f>
        <v>Gas/Diesel Oil</v>
      </c>
      <c r="AP3" s="1" t="str">
        <f>INDEX($B$17:$GQ$17,MATCH(41,$B$29:$GQ$29,0))</f>
        <v>Railway transportation services</v>
      </c>
      <c r="AQ3" s="1" t="str">
        <f>INDEX($B$17:$GQ$17,MATCH(42,$B$29:$GQ$29,0))</f>
        <v>Tobacco products (16)</v>
      </c>
      <c r="AR3" s="1" t="str">
        <f>INDEX($B$17:$GQ$17,MATCH(43,$B$29:$GQ$29,0))</f>
        <v>Other services (93)</v>
      </c>
      <c r="AS3" s="1" t="str">
        <f>INDEX($B$17:$GQ$17,MATCH(44,$B$29:$GQ$29,0))</f>
        <v>Raw milk</v>
      </c>
      <c r="AT3" s="1" t="str">
        <f>INDEX($B$17:$GQ$17,MATCH(45,$B$29:$GQ$29,0))</f>
        <v>Sea and coastal water transportation services</v>
      </c>
      <c r="AU3" s="1" t="str">
        <f>INDEX($B$17:$GQ$17,MATCH(46,$B$29:$GQ$29,0))</f>
        <v>Other business services (74)</v>
      </c>
      <c r="AV3" s="1" t="str">
        <f>INDEX($B$17:$GQ$17,MATCH(47,$B$29:$GQ$29,0))</f>
        <v>Supporting and auxiliary transport services; travel agency services (63)</v>
      </c>
      <c r="AW3" s="1" t="str">
        <f>INDEX($B$17:$GQ$17,MATCH(48,$B$29:$GQ$29,0))</f>
        <v>Construction work (45)</v>
      </c>
      <c r="AX3" s="1" t="str">
        <f>INDEX($B$17:$GQ$17,MATCH(49,$B$29:$GQ$29,0))</f>
        <v>Plant-based fibers</v>
      </c>
      <c r="AY3" s="1" t="str">
        <f>INDEX($B$17:$GQ$17,MATCH(50,$B$29:$GQ$29,0))</f>
        <v>Fish and other fishing products; services incidental of fishing (05)</v>
      </c>
      <c r="AZ3" s="1" t="str">
        <f>INDEX($B$17:$GQ$17,MATCH(51,$B$29:$GQ$29,0))</f>
        <v>Financial intermediation services, except insurance and pension funding services (65)</v>
      </c>
      <c r="BA3" s="1" t="str">
        <f>INDEX($B$17:$GQ$17,MATCH(52,$B$29:$GQ$29,0))</f>
        <v>Printed matter and recorded media (22)</v>
      </c>
      <c r="BB3" s="1" t="str">
        <f>INDEX($B$17:$GQ$17,MATCH(53,$B$29:$GQ$29,0))</f>
        <v>Sale, maintenance, repair of motor vehicles, motor vehicles parts, motorcycles, motor cycles parts and accessoiries</v>
      </c>
      <c r="BC3" s="1" t="str">
        <f>INDEX($B$17:$GQ$17,MATCH(54,$B$29:$GQ$29,0))</f>
        <v>Electricity by nuclear</v>
      </c>
      <c r="BD3" s="1" t="str">
        <f>INDEX($B$17:$GQ$17,MATCH(55,$B$29:$GQ$29,0))</f>
        <v>Cereal grains nec</v>
      </c>
      <c r="BE3" s="1" t="str">
        <f>INDEX($B$17:$GQ$17,MATCH(56,$B$29:$GQ$29,0))</f>
        <v>Distribution services of gaseous fuels through mains</v>
      </c>
      <c r="BF3" s="1" t="str">
        <f>INDEX($B$17:$GQ$17,MATCH(57,$B$29:$GQ$29,0))</f>
        <v>Fabricated metal products, except machinery and equipment (28)</v>
      </c>
      <c r="BG3" s="1" t="str">
        <f>INDEX($B$17:$GQ$17,MATCH(58,$B$29:$GQ$29,0))</f>
        <v>Paddy rice</v>
      </c>
      <c r="BH3" s="1" t="str">
        <f>INDEX($B$17:$GQ$17,MATCH(59,$B$29:$GQ$29,0))</f>
        <v>Office machinery and computers (30)</v>
      </c>
      <c r="BI3" s="1" t="str">
        <f>INDEX($B$17:$GQ$17,MATCH(60,$B$29:$GQ$29,0))</f>
        <v>Radio, television and communication equipment and apparatus (32)</v>
      </c>
      <c r="BJ3" s="1" t="str">
        <f>INDEX($B$17:$GQ$17,MATCH(61,$B$29:$GQ$29,0))</f>
        <v>Inland water transportation services</v>
      </c>
      <c r="BK3" s="1" t="str">
        <f>INDEX($B$17:$GQ$17,MATCH(62,$B$29:$GQ$29,0))</f>
        <v>Steam and hot water supply services</v>
      </c>
      <c r="BL3" s="1" t="str">
        <f>INDEX($B$17:$GQ$17,MATCH(63,$B$29:$GQ$29,0))</f>
        <v>Medical, precision and optical instruments, watches and clocks (33)</v>
      </c>
      <c r="BM3" s="1" t="str">
        <f>INDEX($B$17:$GQ$17,MATCH(64,$B$29:$GQ$29,0))</f>
        <v>products of Vegetable oils and fats</v>
      </c>
      <c r="BN3" s="1" t="str">
        <f>INDEX($B$17:$GQ$17,MATCH(65,$B$29:$GQ$29,0))</f>
        <v>Wholesale trade and commission trade services, except of motor vehicles and motorcycles (51)</v>
      </c>
      <c r="BO3" s="1" t="str">
        <f>INDEX($B$17:$GQ$17,MATCH(66,$B$29:$GQ$29,0))</f>
        <v>Ceramic goods</v>
      </c>
      <c r="BP3" s="1" t="str">
        <f>INDEX($B$17:$GQ$17,MATCH(67,$B$29:$GQ$29,0))</f>
        <v>Collected and purified water, distribution services of water (41)</v>
      </c>
      <c r="BQ3" s="1" t="str">
        <f>INDEX($B$17:$GQ$17,MATCH(68,$B$29:$GQ$29,0))</f>
        <v>Distribution and trade services of electricity</v>
      </c>
      <c r="BR3" s="1" t="str">
        <f>INDEX($B$17:$GQ$17,MATCH(69,$B$29:$GQ$29,0))</f>
        <v>Other transport equipment (35)</v>
      </c>
      <c r="BS3" s="1" t="str">
        <f>INDEX($B$17:$GQ$17,MATCH(70,$B$29:$GQ$29,0))</f>
        <v>Electrical machinery and apparatus n.e.c. (31)</v>
      </c>
      <c r="BT3" s="1" t="str">
        <f>INDEX($B$17:$GQ$17,MATCH(71,$B$29:$GQ$29,0))</f>
        <v>Retail  trade services, except of motor vehicles and motorcycles; repair services of personal and household goods (52)</v>
      </c>
      <c r="BU3" s="1" t="str">
        <f>INDEX($B$17:$GQ$17,MATCH(72,$B$29:$GQ$29,0))</f>
        <v>P- and other fertiliser</v>
      </c>
      <c r="BV3" s="1" t="str">
        <f>INDEX($B$17:$GQ$17,MATCH(73,$B$29:$GQ$29,0))</f>
        <v>Secondary plastic for treatment, Re-processing of secondary plastic into new plastic</v>
      </c>
      <c r="BW3" s="1" t="str">
        <f>INDEX($B$17:$GQ$17,MATCH(74,$B$29:$GQ$29,0))</f>
        <v>Renting services of machinery and equipment without operator and of personal and household goods (71)</v>
      </c>
      <c r="BX3" s="1" t="str">
        <f>INDEX($B$17:$GQ$17,MATCH(75,$B$29:$GQ$29,0))</f>
        <v>Other non-metallic mineral products</v>
      </c>
      <c r="BY3" s="1" t="str">
        <f>INDEX($B$17:$GQ$17,MATCH(76,$B$29:$GQ$29,0))</f>
        <v>Processed rice</v>
      </c>
      <c r="BZ3" s="1" t="str">
        <f>INDEX($B$17:$GQ$17,MATCH(77,$B$29:$GQ$29,0))</f>
        <v>Liquefied Petroleum Gases (LPG)</v>
      </c>
      <c r="CA3" s="1" t="str">
        <f>INDEX($B$17:$GQ$17,MATCH(78,$B$29:$GQ$29,0))</f>
        <v>Wood material for treatment, Re-processing of secondary wood material into new wood material</v>
      </c>
      <c r="CB3" s="1" t="str">
        <f>INDEX($B$17:$GQ$17,MATCH(79,$B$29:$GQ$29,0))</f>
        <v>Electricity by hydro</v>
      </c>
      <c r="CC3" s="1" t="str">
        <f>INDEX($B$17:$GQ$17,MATCH(80,$B$29:$GQ$29,0))</f>
        <v>Transportation services via pipelines</v>
      </c>
      <c r="CD3" s="1" t="str">
        <f>INDEX($B$17:$GQ$17,MATCH(81,$B$29:$GQ$29,0))</f>
        <v>Electricity by coal</v>
      </c>
      <c r="CE3" s="1" t="str">
        <f>INDEX($B$17:$GQ$17,MATCH(82,$B$29:$GQ$29,0))</f>
        <v>Transmission services of electricity</v>
      </c>
      <c r="CF3" s="1" t="str">
        <f>INDEX($B$17:$GQ$17,MATCH(83,$B$29:$GQ$29,0))</f>
        <v>Inert/metal/hazardous waste for treatment: landfill</v>
      </c>
      <c r="CG3" s="1" t="str">
        <f>INDEX($B$17:$GQ$17,MATCH(84,$B$29:$GQ$29,0))</f>
        <v>Natural gas and services related to natural gas extraction, excluding surveying</v>
      </c>
      <c r="CH3" s="1" t="str">
        <f>INDEX($B$17:$GQ$17,MATCH(85,$B$29:$GQ$29,0))</f>
        <v>Retail trade services of motor fuel</v>
      </c>
      <c r="CI3" s="1" t="str">
        <f>INDEX($B$17:$GQ$17,MATCH(86,$B$29:$GQ$29,0))</f>
        <v>Intert/metal waste for treatment: incineration</v>
      </c>
      <c r="CJ3" s="1" t="str">
        <f>INDEX($B$17:$GQ$17,MATCH(87,$B$29:$GQ$29,0))</f>
        <v>Machinery and equipment n.e.c. (29)</v>
      </c>
      <c r="CK3" s="1" t="str">
        <f>INDEX($B$17:$GQ$17,MATCH(88,$B$29:$GQ$29,0))</f>
        <v>Oil/hazardous waste for treatment: incineration</v>
      </c>
      <c r="CL3" s="1" t="str">
        <f>INDEX($B$17:$GQ$17,MATCH(89,$B$29:$GQ$29,0))</f>
        <v>Paper waste for treatment: incineration</v>
      </c>
      <c r="CM3" s="1" t="str">
        <f>INDEX($B$17:$GQ$17,MATCH(90,$B$29:$GQ$29,0))</f>
        <v>Sewage sludge for treatment: biogasification and land application</v>
      </c>
      <c r="CN3" s="1" t="str">
        <f>INDEX($B$17:$GQ$17,MATCH(91,$B$29:$GQ$29,0))</f>
        <v>Food waste for treatment: incineration</v>
      </c>
      <c r="CO3" s="1" t="str">
        <f>INDEX($B$17:$GQ$17,MATCH(92,$B$29:$GQ$29,0))</f>
        <v>Electricity by gas</v>
      </c>
      <c r="CP3" s="1" t="str">
        <f>INDEX($B$17:$GQ$17,MATCH(93,$B$29:$GQ$29,0))</f>
        <v>Other waste for treatment: waste water treatment</v>
      </c>
      <c r="CQ3" s="1" t="str">
        <f>INDEX($B$17:$GQ$17,MATCH(94,$B$29:$GQ$29,0))</f>
        <v>Food waste for treatment: landfill</v>
      </c>
      <c r="CR3" s="1" t="str">
        <f>INDEX($B$17:$GQ$17,MATCH(95,$B$29:$GQ$29,0))</f>
        <v>Biodiesels</v>
      </c>
      <c r="CS3" s="1" t="str">
        <f>INDEX($B$17:$GQ$17,MATCH(96,$B$29:$GQ$29,0))</f>
        <v>Food waste for treatment: composting and land application</v>
      </c>
      <c r="CT3" s="1" t="str">
        <f>INDEX($B$17:$GQ$17,MATCH(97,$B$29:$GQ$29,0))</f>
        <v>Biogasoline</v>
      </c>
      <c r="CU3" s="1" t="str">
        <f>INDEX($B$17:$GQ$17,MATCH(98,$B$29:$GQ$29,0))</f>
        <v>Plastic waste for treatment: incineration</v>
      </c>
      <c r="CV3" s="1" t="str">
        <f>INDEX($B$17:$GQ$17,MATCH(99,$B$29:$GQ$29,0))</f>
        <v>Paper for treatment: landfill</v>
      </c>
      <c r="CW3" s="1" t="str">
        <f>INDEX($B$17:$GQ$17,MATCH(100,$B$29:$GQ$29,0))</f>
        <v>Food waste for treatment: waste water treatment</v>
      </c>
      <c r="CX3" s="1" t="str">
        <f>INDEX($B$17:$GQ$17,MATCH(101,$B$29:$GQ$29,0))</f>
        <v>Electricity by wind</v>
      </c>
      <c r="CY3" s="1" t="str">
        <f>INDEX($B$17:$GQ$17,MATCH(102,$B$29:$GQ$29,0))</f>
        <v>Electricity by biomass and waste</v>
      </c>
      <c r="CZ3" s="1" t="str">
        <f>INDEX($B$17:$GQ$17,MATCH(103,$B$29:$GQ$29,0))</f>
        <v>Kerosene Type Jet Fuel</v>
      </c>
      <c r="DA3" s="1" t="str">
        <f>INDEX($B$17:$GQ$17,MATCH(104,$B$29:$GQ$29,0))</f>
        <v>Wood waste for treatment: incineration</v>
      </c>
      <c r="DB3" s="1" t="str">
        <f>INDEX($B$17:$GQ$17,MATCH(105,$B$29:$GQ$29,0))</f>
        <v>Wood waste for treatment: landfill</v>
      </c>
      <c r="DC3" s="1" t="str">
        <f>INDEX($B$17:$GQ$17,MATCH(106,$B$29:$GQ$29,0))</f>
        <v>Kerosene</v>
      </c>
      <c r="DD3" s="1" t="str">
        <f>INDEX($B$17:$GQ$17,MATCH(107,$B$29:$GQ$29,0))</f>
        <v>Electricity by petroleum and other oil derivatives</v>
      </c>
      <c r="DE3" s="1" t="str">
        <f>INDEX($B$17:$GQ$17,MATCH(108,$B$29:$GQ$29,0))</f>
        <v>Textiles waste for treatment: incineration</v>
      </c>
      <c r="DF3" s="1" t="str">
        <f>INDEX($B$17:$GQ$17,MATCH(109,$B$29:$GQ$29,0))</f>
        <v>Plastic waste for treatment: landfill</v>
      </c>
      <c r="DG3" s="1" t="str">
        <f>INDEX($B$17:$GQ$17,MATCH(110,$B$29:$GQ$29,0))</f>
        <v>N-fertiliser</v>
      </c>
      <c r="DH3" s="1" t="str">
        <f>INDEX($B$17:$GQ$17,MATCH(111,$B$29:$GQ$29,0))</f>
        <v>Computer and related services (72)</v>
      </c>
      <c r="DI3" s="1" t="str">
        <f>INDEX($B$17:$GQ$17,MATCH(112,$B$29:$GQ$29,0))</f>
        <v>Food waste for treatment: biogasification and land application</v>
      </c>
      <c r="DJ3" s="1" t="str">
        <f>INDEX($B$17:$GQ$17,MATCH(113,$B$29:$GQ$29,0))</f>
        <v>Textiles waste for treatment: landfill</v>
      </c>
      <c r="DK3" s="1" t="str">
        <f>INDEX($B$17:$GQ$17,MATCH(114,$B$29:$GQ$29,0))</f>
        <v>Cement, lime and plaster</v>
      </c>
      <c r="DL3" s="1" t="str">
        <f>INDEX($B$17:$GQ$17,MATCH(115,$B$29:$GQ$29,0))</f>
        <v>Other non-ferrous metal products</v>
      </c>
      <c r="DM3" s="1" t="str">
        <f>INDEX($B$17:$GQ$17,MATCH(116,$B$29:$GQ$29,0))</f>
        <v>Electricity by solar photovoltaic</v>
      </c>
      <c r="DN3" s="1" t="str">
        <f>INDEX($B$17:$GQ$17,MATCH(117,$B$29:$GQ$29,0))</f>
        <v>Other Bituminous Coal</v>
      </c>
      <c r="DO3" s="1" t="str">
        <f>INDEX($B$17:$GQ$17,MATCH(118,$B$29:$GQ$29,0))</f>
        <v>Precious metals</v>
      </c>
      <c r="DP3" s="1" t="str">
        <f>INDEX($B$17:$GQ$17,MATCH(119,$B$29:$GQ$29,0))</f>
        <v>Electricity by tide, wave, ocean</v>
      </c>
      <c r="DQ3" s="1" t="str">
        <f>INDEX($B$17:$GQ$17,MATCH(120,$B$29:$GQ$29,0))</f>
        <v>Heavy Fuel Oil</v>
      </c>
      <c r="DR3" s="1" t="str">
        <f>INDEX($B$17:$GQ$17,MATCH(121,$B$29:$GQ$29,0))</f>
        <v>Patent Fuel</v>
      </c>
      <c r="DS3" s="1" t="str">
        <f>INDEX($B$17:$GQ$17,MATCH(122,$B$29:$GQ$29,0))</f>
        <v>Bricks, tiles and construction products, in baked clay</v>
      </c>
      <c r="DT3" s="1" t="str">
        <f>INDEX($B$17:$GQ$17,MATCH(123,$B$29:$GQ$29,0))</f>
        <v>Paper and wood waste for treatment: composting and land application</v>
      </c>
      <c r="DU3" s="1" t="str">
        <f>INDEX($B$17:$GQ$17,MATCH(124,$B$29:$GQ$29,0))</f>
        <v>Ash for treatment, Re-processing of ash into clinker</v>
      </c>
      <c r="DV3" s="1" t="str">
        <f>INDEX($B$17:$GQ$17,MATCH(125,$B$29:$GQ$29,0))</f>
        <v>Aluminium and aluminium products</v>
      </c>
      <c r="DW3" s="1" t="str">
        <f>INDEX($B$17:$GQ$17,MATCH(126,$B$29:$GQ$29,0))</f>
        <v>Paper waste for treatment: biogasification and land application</v>
      </c>
      <c r="DX3" s="1" t="str">
        <f>INDEX($B$17:$GQ$17,MATCH(127,$B$29:$GQ$29,0))</f>
        <v>Anthracite</v>
      </c>
      <c r="DY3" s="1" t="str">
        <f>INDEX($B$17:$GQ$17,MATCH(128,$B$29:$GQ$29,0))</f>
        <v>Secondary aluminium for treatment, Re-processing of secondary aluminium into new aluminium</v>
      </c>
      <c r="DZ3" s="1" t="str">
        <f>INDEX($B$17:$GQ$17,MATCH(129,$B$29:$GQ$29,0))</f>
        <v>Coke Oven Coke</v>
      </c>
      <c r="EA3" s="1" t="str">
        <f>INDEX($B$17:$GQ$17,MATCH(130,$B$29:$GQ$29,0))</f>
        <v>Foundry work services</v>
      </c>
      <c r="EB3" s="1" t="str">
        <f>INDEX($B$17:$GQ$17,MATCH(131,$B$29:$GQ$29,0))</f>
        <v>Aviation Gasoline</v>
      </c>
      <c r="EC3" s="1" t="str">
        <f>INDEX($B$17:$GQ$17,MATCH(132,$B$29:$GQ$29,0))</f>
        <v>Basic iron and steel and of ferro-alloys and first products thereof</v>
      </c>
      <c r="ED3" s="1" t="str">
        <f>INDEX($B$17:$GQ$17,MATCH(133,$B$29:$GQ$29,0))</f>
        <v>Secondary steel for treatment, Re-processing of secondary steel into new steel</v>
      </c>
      <c r="EE3" s="1" t="str">
        <f>INDEX($B$17:$GQ$17,MATCH(134,$B$29:$GQ$29,0))</f>
        <v>Sugar cane, sugar beet</v>
      </c>
      <c r="EF3" s="1" t="str">
        <f>INDEX($B$17:$GQ$17,MATCH(135,$B$29:$GQ$29,0))</f>
        <v>Cattle</v>
      </c>
      <c r="EG3" s="1" t="str">
        <f>INDEX($B$17:$GQ$17,MATCH(136,$B$29:$GQ$29,0))</f>
        <v>Pigs</v>
      </c>
      <c r="EH3" s="1" t="str">
        <f>INDEX($B$17:$GQ$17,MATCH(137,$B$29:$GQ$29,0))</f>
        <v>Wool, silk-worm cocoons</v>
      </c>
      <c r="EI3" s="1" t="str">
        <f>INDEX($B$17:$GQ$17,MATCH(138,$B$29:$GQ$29,0))</f>
        <v>Manure (conventional treatment)</v>
      </c>
      <c r="EJ3" s="1" t="str">
        <f>INDEX($B$17:$GQ$17,MATCH(139,$B$29:$GQ$29,0))</f>
        <v>Manure (biogas treatment)</v>
      </c>
      <c r="EK3" s="1" t="str">
        <f>INDEX($B$17:$GQ$17,MATCH(140,$B$29:$GQ$29,0))</f>
        <v>Coking Coal</v>
      </c>
      <c r="EL3" s="1" t="str">
        <f>INDEX($B$17:$GQ$17,MATCH(141,$B$29:$GQ$29,0))</f>
        <v>Sub-Bituminous Coal</v>
      </c>
      <c r="EM3" s="1" t="str">
        <f>INDEX($B$17:$GQ$17,MATCH(142,$B$29:$GQ$29,0))</f>
        <v>Lignite/Brown Coal</v>
      </c>
      <c r="EN3" s="1" t="str">
        <f>INDEX($B$17:$GQ$17,MATCH(143,$B$29:$GQ$29,0))</f>
        <v>BKB/Peat Briquettes</v>
      </c>
      <c r="EO3" s="1" t="str">
        <f>INDEX($B$17:$GQ$17,MATCH(144,$B$29:$GQ$29,0))</f>
        <v>Peat</v>
      </c>
      <c r="EP3" s="1" t="str">
        <f>INDEX($B$17:$GQ$17,MATCH(145,$B$29:$GQ$29,0))</f>
        <v>Crude petroleum and services related to crude oil extraction, excluding surveying</v>
      </c>
      <c r="EQ3" s="1" t="str">
        <f>INDEX($B$17:$GQ$17,MATCH(146,$B$29:$GQ$29,0))</f>
        <v>Natural Gas Liquids</v>
      </c>
      <c r="ER3" s="1" t="str">
        <f>INDEX($B$17:$GQ$17,MATCH(147,$B$29:$GQ$29,0))</f>
        <v>Other Hydrocarbons</v>
      </c>
      <c r="ES3" s="1" t="str">
        <f>INDEX($B$17:$GQ$17,MATCH(148,$B$29:$GQ$29,0))</f>
        <v>Uranium and thorium ores (12)</v>
      </c>
      <c r="ET3" s="1" t="str">
        <f>INDEX($B$17:$GQ$17,MATCH(149,$B$29:$GQ$29,0))</f>
        <v>Iron ores</v>
      </c>
      <c r="EU3" s="1" t="str">
        <f>INDEX($B$17:$GQ$17,MATCH(150,$B$29:$GQ$29,0))</f>
        <v>Copper ores and concentrates</v>
      </c>
      <c r="EV3" s="1" t="str">
        <f>INDEX($B$17:$GQ$17,MATCH(151,$B$29:$GQ$29,0))</f>
        <v>Nickel ores and concentrates</v>
      </c>
      <c r="EW3" s="1" t="str">
        <f>INDEX($B$17:$GQ$17,MATCH(152,$B$29:$GQ$29,0))</f>
        <v>Aluminium ores and concentrates</v>
      </c>
      <c r="EX3" s="1" t="str">
        <f>INDEX($B$17:$GQ$17,MATCH(153,$B$29:$GQ$29,0))</f>
        <v>Precious metal ores and concentrates</v>
      </c>
      <c r="EY3" s="1" t="str">
        <f>INDEX($B$17:$GQ$17,MATCH(154,$B$29:$GQ$29,0))</f>
        <v>Lead, zinc and tin ores and concentrates</v>
      </c>
      <c r="EZ3" s="1" t="str">
        <f>INDEX($B$17:$GQ$17,MATCH(155,$B$29:$GQ$29,0))</f>
        <v>Other non-ferrous metal ores and concentrates</v>
      </c>
      <c r="FA3" s="1" t="str">
        <f>INDEX($B$17:$GQ$17,MATCH(156,$B$29:$GQ$29,0))</f>
        <v>Stone</v>
      </c>
      <c r="FB3" s="1" t="str">
        <f>INDEX($B$17:$GQ$17,MATCH(157,$B$29:$GQ$29,0))</f>
        <v>Sand and clay</v>
      </c>
      <c r="FC3" s="1" t="str">
        <f>INDEX($B$17:$GQ$17,MATCH(158,$B$29:$GQ$29,0))</f>
        <v>Chemical and fertilizer minerals, salt and other mining and quarrying products n.e.c.</v>
      </c>
      <c r="FD3" s="1" t="str">
        <f>INDEX($B$17:$GQ$17,MATCH(159,$B$29:$GQ$29,0))</f>
        <v>Pulp</v>
      </c>
      <c r="FE3" s="1" t="str">
        <f>INDEX($B$17:$GQ$17,MATCH(160,$B$29:$GQ$29,0))</f>
        <v>Secondary paper for treatment, Re-processing of secondary paper into new pulp</v>
      </c>
      <c r="FF3" s="1" t="str">
        <f>INDEX($B$17:$GQ$17,MATCH(161,$B$29:$GQ$29,0))</f>
        <v>Gas Coke</v>
      </c>
      <c r="FG3" s="1" t="str">
        <f>INDEX($B$17:$GQ$17,MATCH(162,$B$29:$GQ$29,0))</f>
        <v>Coal Tar</v>
      </c>
      <c r="FH3" s="1" t="str">
        <f>INDEX($B$17:$GQ$17,MATCH(163,$B$29:$GQ$29,0))</f>
        <v>Gasoline Type Jet Fuel</v>
      </c>
      <c r="FI3" s="1" t="str">
        <f>INDEX($B$17:$GQ$17,MATCH(164,$B$29:$GQ$29,0))</f>
        <v>Refinery Gas</v>
      </c>
      <c r="FJ3" s="1" t="str">
        <f>INDEX($B$17:$GQ$17,MATCH(165,$B$29:$GQ$29,0))</f>
        <v>Refinery Feedstocks</v>
      </c>
      <c r="FK3" s="1" t="str">
        <f>INDEX($B$17:$GQ$17,MATCH(166,$B$29:$GQ$29,0))</f>
        <v>Ethane</v>
      </c>
      <c r="FL3" s="1" t="str">
        <f>INDEX($B$17:$GQ$17,MATCH(167,$B$29:$GQ$29,0))</f>
        <v>Naphtha</v>
      </c>
      <c r="FM3" s="1" t="str">
        <f>INDEX($B$17:$GQ$17,MATCH(168,$B$29:$GQ$29,0))</f>
        <v>White Spirit &amp; SBP</v>
      </c>
      <c r="FN3" s="1" t="str">
        <f>INDEX($B$17:$GQ$17,MATCH(169,$B$29:$GQ$29,0))</f>
        <v>Lubricants</v>
      </c>
      <c r="FO3" s="1" t="str">
        <f>INDEX($B$17:$GQ$17,MATCH(170,$B$29:$GQ$29,0))</f>
        <v>Bitumen</v>
      </c>
      <c r="FP3" s="1" t="str">
        <f>INDEX($B$17:$GQ$17,MATCH(171,$B$29:$GQ$29,0))</f>
        <v>Paraffin Waxes</v>
      </c>
      <c r="FQ3" s="1" t="str">
        <f>INDEX($B$17:$GQ$17,MATCH(172,$B$29:$GQ$29,0))</f>
        <v>Petroleum Coke</v>
      </c>
      <c r="FR3" s="1" t="str">
        <f>INDEX($B$17:$GQ$17,MATCH(173,$B$29:$GQ$29,0))</f>
        <v>Non-specified Petroleum Products</v>
      </c>
      <c r="FS3" s="1" t="str">
        <f>INDEX($B$17:$GQ$17,MATCH(174,$B$29:$GQ$29,0))</f>
        <v>Nuclear fuel</v>
      </c>
      <c r="FT3" s="1" t="str">
        <f>INDEX($B$17:$GQ$17,MATCH(175,$B$29:$GQ$29,0))</f>
        <v>Charcoal</v>
      </c>
      <c r="FU3" s="1" t="str">
        <f>INDEX($B$17:$GQ$17,MATCH(176,$B$29:$GQ$29,0))</f>
        <v>Additives/Blending Components</v>
      </c>
      <c r="FV3" s="1" t="str">
        <f>INDEX($B$17:$GQ$17,MATCH(177,$B$29:$GQ$29,0))</f>
        <v>Other Liquid Biofuels</v>
      </c>
      <c r="FW3" s="1" t="str">
        <f>INDEX($B$17:$GQ$17,MATCH(178,$B$29:$GQ$29,0))</f>
        <v>Glass and glass products</v>
      </c>
      <c r="FX3" s="1" t="str">
        <f>INDEX($B$17:$GQ$17,MATCH(179,$B$29:$GQ$29,0))</f>
        <v>Secondary glass for treatment, Re-processing of secondary glass into new glass</v>
      </c>
      <c r="FY3" s="1" t="str">
        <f>INDEX($B$17:$GQ$17,MATCH(180,$B$29:$GQ$29,0))</f>
        <v>Secondary preciuos metals for treatment, Re-processing of secondary preciuos metals into new preciuos metals</v>
      </c>
      <c r="FZ3" s="1" t="str">
        <f>INDEX($B$17:$GQ$17,MATCH(181,$B$29:$GQ$29,0))</f>
        <v>Lead, zinc and tin and products thereof</v>
      </c>
      <c r="GA3" s="1" t="str">
        <f>INDEX($B$17:$GQ$17,MATCH(182,$B$29:$GQ$29,0))</f>
        <v>Secondary lead for treatment, Re-processing of secondary lead into new lead</v>
      </c>
      <c r="GB3" s="1" t="str">
        <f>INDEX($B$17:$GQ$17,MATCH(183,$B$29:$GQ$29,0))</f>
        <v>Copper products</v>
      </c>
      <c r="GC3" s="1" t="str">
        <f>INDEX($B$17:$GQ$17,MATCH(184,$B$29:$GQ$29,0))</f>
        <v>Secondary copper for treatment, Re-processing of secondary copper into new copper</v>
      </c>
      <c r="GD3" s="1" t="str">
        <f>INDEX($B$17:$GQ$17,MATCH(185,$B$29:$GQ$29,0))</f>
        <v>Secondary other non-ferrous metals for treatment, Re-processing of secondary other non-ferrous metals into new other non-ferrous metals</v>
      </c>
      <c r="GE3" s="1" t="str">
        <f>INDEX($B$17:$GQ$17,MATCH(186,$B$29:$GQ$29,0))</f>
        <v>Secondary raw materials</v>
      </c>
      <c r="GF3" s="1" t="str">
        <f>INDEX($B$17:$GQ$17,MATCH(187,$B$29:$GQ$29,0))</f>
        <v>Bottles for treatment, Recycling of bottles by direct reuse</v>
      </c>
      <c r="GG3" s="1" t="str">
        <f>INDEX($B$17:$GQ$17,MATCH(188,$B$29:$GQ$29,0))</f>
        <v>Electricity by solar thermal</v>
      </c>
      <c r="GH3" s="1" t="str">
        <f>INDEX($B$17:$GQ$17,MATCH(189,$B$29:$GQ$29,0))</f>
        <v>Electricity by Geothermal</v>
      </c>
      <c r="GI3" s="1" t="str">
        <f>INDEX($B$17:$GQ$17,MATCH(190,$B$29:$GQ$29,0))</f>
        <v>Electricity nec</v>
      </c>
      <c r="GJ3" s="1" t="str">
        <f>INDEX($B$17:$GQ$17,MATCH(191,$B$29:$GQ$29,0))</f>
        <v>Coke oven gas</v>
      </c>
      <c r="GK3" s="1" t="str">
        <f>INDEX($B$17:$GQ$17,MATCH(192,$B$29:$GQ$29,0))</f>
        <v>Blast Furnace Gas</v>
      </c>
      <c r="GL3" s="1" t="str">
        <f>INDEX($B$17:$GQ$17,MATCH(193,$B$29:$GQ$29,0))</f>
        <v>Oxygen Steel Furnace Gas</v>
      </c>
      <c r="GM3" s="1" t="str">
        <f>INDEX($B$17:$GQ$17,MATCH(194,$B$29:$GQ$29,0))</f>
        <v>Gas Works Gas</v>
      </c>
      <c r="GN3" s="1" t="str">
        <f>INDEX($B$17:$GQ$17,MATCH(195,$B$29:$GQ$29,0))</f>
        <v>Biogas</v>
      </c>
      <c r="GO3" s="1" t="str">
        <f>INDEX($B$17:$GQ$17,MATCH(196,$B$29:$GQ$29,0))</f>
        <v>Secondary construction material for treatment, Re-processing of secondary construction material into aggregates</v>
      </c>
      <c r="GP3" s="1" t="str">
        <f>INDEX($B$17:$GQ$17,MATCH(197,$B$29:$GQ$29,0))</f>
        <v>Services auxiliary to financial intermediation (67)</v>
      </c>
      <c r="GQ3" s="1" t="str">
        <f>INDEX($B$17:$GQ$17,MATCH(198,$B$29:$GQ$29,0))</f>
        <v>Extra-territorial organizations and bodies</v>
      </c>
      <c r="GR3" s="1" t="str">
        <f>INDEX($GR$17:$HC$17,MATCH(1,$GR$30:$HC$30,0))</f>
        <v>Food nec</v>
      </c>
      <c r="GS3" s="1" t="str">
        <f>INDEX($GR$17:$HC$17,MATCH(2,$GR$30:$HC$30,0))</f>
        <v>Meat nec</v>
      </c>
      <c r="GT3" s="1" t="str">
        <f>INDEX($GR$17:$HC$17,MATCH(3,$GR$30:$HC$30,0))</f>
        <v>Final services</v>
      </c>
      <c r="GU3" s="1" t="str">
        <f>INDEX($GR$17:$HC$17,MATCH(4,$GR$30:$HC$30,0))</f>
        <v>Housing</v>
      </c>
      <c r="GV3" s="1" t="str">
        <f>INDEX($GR$17:$HC$17,MATCH(5,$GR$30:$HC$30,0))</f>
        <v>Cattle</v>
      </c>
      <c r="GW3" s="1" t="str">
        <f>INDEX($GR$17:$HC$17,MATCH(6,$GR$30:$HC$30,0))</f>
        <v>Animal nec</v>
      </c>
      <c r="GX3" s="1" t="str">
        <f>INDEX($GR$17:$HC$17,MATCH(7,$GR$30:$HC$30,0))</f>
        <v>Dairy products</v>
      </c>
      <c r="GY3" s="1" t="str">
        <f>INDEX($GR$17:$HC$17,MATCH(8,$GR$30:$HC$30,0))</f>
        <v>Vegetables, fruits, nuts</v>
      </c>
      <c r="GZ3" s="1" t="str">
        <f>INDEX($GR$17:$HC$17,MATCH(9,$GR$30:$HC$30,0))</f>
        <v>Hotel &amp; restaurant</v>
      </c>
      <c r="HA3" s="1" t="str">
        <f>INDEX($GR$17:$HC$17,MATCH(10,$GR$30:$HC$30,0))</f>
        <v>Textiles</v>
      </c>
      <c r="HB3" s="1" t="str">
        <f>INDEX($GR$17:$HC$17,MATCH(11,$GR$30:$HC$30,0))</f>
        <v>Mobility</v>
      </c>
      <c r="HC3" s="1" t="str">
        <f>INDEX($GR$17:$HC$17,MATCH(12,$GR$30:$HC$30,0))</f>
        <v>Final goods nec</v>
      </c>
    </row>
    <row r="4" spans="1:211" x14ac:dyDescent="0.45">
      <c r="A4" s="1" t="s">
        <v>3</v>
      </c>
      <c r="B4">
        <f>INDEX($B$18:$GQ$18,MATCH(1,$B$29:$GQ$29,0))</f>
        <v>1.1636693719876019E-7</v>
      </c>
      <c r="C4">
        <f>INDEX($B$18:$GQ$18,MATCH(2,$B$29:$GQ$29,0))</f>
        <v>1.7102496848734401E-7</v>
      </c>
      <c r="D4">
        <f>INDEX($B$18:$GQ$18,MATCH(3,$B$29:$GQ$29,0))</f>
        <v>1.59279922584021E-7</v>
      </c>
      <c r="E4">
        <f>INDEX($B$18:$GQ$18,MATCH(4,$B$29:$GQ$29,0))</f>
        <v>9.3887519935813887E-8</v>
      </c>
      <c r="F4">
        <f>INDEX($B$18:$GQ$18,MATCH(5,$B$29:$GQ$29,0))</f>
        <v>5.6291513614392277E-8</v>
      </c>
      <c r="G4">
        <f>INDEX($B$18:$GQ$18,MATCH(6,$B$29:$GQ$29,0))</f>
        <v>2.8556679469491122E-8</v>
      </c>
      <c r="H4">
        <f>INDEX($B$18:$GQ$18,MATCH(7,$B$29:$GQ$29,0))</f>
        <v>1.335049847502083E-8</v>
      </c>
      <c r="I4">
        <f>INDEX($B$18:$GQ$18,MATCH(8,$B$29:$GQ$29,0))</f>
        <v>1.064501083724432E-8</v>
      </c>
      <c r="J4">
        <f>INDEX($B$18:$GQ$18,MATCH(9,$B$29:$GQ$29,0))</f>
        <v>1.6308850775806621E-8</v>
      </c>
      <c r="K4">
        <f>INDEX($B$18:$GQ$18,MATCH(10,$B$29:$GQ$29,0))</f>
        <v>2.4122951998586211E-8</v>
      </c>
      <c r="L4">
        <f>INDEX($B$18:$GQ$18,MATCH(11,$B$29:$GQ$29,0))</f>
        <v>1.164980724093978E-7</v>
      </c>
      <c r="M4">
        <f>INDEX($B$18:$GQ$18,MATCH(12,$B$29:$GQ$29,0))</f>
        <v>1.1927243666171151E-7</v>
      </c>
      <c r="N4">
        <f>INDEX($B$18:$GQ$18,MATCH(13,$B$29:$GQ$29,0))</f>
        <v>8.0525985663636445E-8</v>
      </c>
      <c r="O4">
        <f>INDEX($B$18:$GQ$18,MATCH(14,$B$29:$GQ$29,0))</f>
        <v>9.203402382201156E-8</v>
      </c>
      <c r="P4">
        <f>INDEX($B$18:$GQ$18,MATCH(15,$B$29:$GQ$29,0))</f>
        <v>5.6706522466419691E-8</v>
      </c>
      <c r="Q4">
        <f>INDEX($B$18:$GQ$18,MATCH(16,$B$29:$GQ$29,0))</f>
        <v>2.581643609696462E-8</v>
      </c>
      <c r="R4">
        <f>INDEX($B$18:$GQ$18,MATCH(17,$B$29:$GQ$29,0))</f>
        <v>1.004513317889441E-7</v>
      </c>
      <c r="S4">
        <f>INDEX($B$18:$GQ$18,MATCH(18,$B$29:$GQ$29,0))</f>
        <v>1.1042570074665759E-8</v>
      </c>
      <c r="T4">
        <f>INDEX($B$18:$GQ$18,MATCH(19,$B$29:$GQ$29,0))</f>
        <v>1.3831365014404579E-7</v>
      </c>
      <c r="U4">
        <f>INDEX($B$18:$GQ$18,MATCH(20,$B$29:$GQ$29,0))</f>
        <v>3.1988779109710707E-8</v>
      </c>
      <c r="V4">
        <f>INDEX($B$18:$GQ$18,MATCH(21,$B$29:$GQ$29,0))</f>
        <v>3.7179757334579958E-8</v>
      </c>
      <c r="W4">
        <f>INDEX($B$18:$GQ$18,MATCH(22,$B$29:$GQ$29,0))</f>
        <v>2.6552214063042069E-8</v>
      </c>
      <c r="X4">
        <f>INDEX($B$18:$GQ$18,MATCH(23,$B$29:$GQ$29,0))</f>
        <v>2.362988328280691E-8</v>
      </c>
      <c r="Y4">
        <f>INDEX($B$18:$GQ$18,MATCH(24,$B$29:$GQ$29,0))</f>
        <v>2.8570586855490289E-8</v>
      </c>
      <c r="Z4">
        <f>INDEX($B$18:$GQ$18,MATCH(25,$B$29:$GQ$29,0))</f>
        <v>5.8312500558410282E-8</v>
      </c>
      <c r="AA4">
        <f>INDEX($B$18:$GQ$18,MATCH(26,$B$29:$GQ$29,0))</f>
        <v>3.6309704271915288E-8</v>
      </c>
      <c r="AB4">
        <f>INDEX($B$18:$GQ$18,MATCH(27,$B$29:$GQ$29,0))</f>
        <v>3.8482671628872272E-8</v>
      </c>
      <c r="AC4">
        <f>INDEX($B$18:$GQ$18,MATCH(28,$B$29:$GQ$29,0))</f>
        <v>3.3945674799003777E-8</v>
      </c>
      <c r="AD4">
        <f>INDEX($B$18:$GQ$18,MATCH(29,$B$29:$GQ$29,0))</f>
        <v>3.9757172606888517E-8</v>
      </c>
      <c r="AE4">
        <f>INDEX($B$18:$GQ$18,MATCH(30,$B$29:$GQ$29,0))</f>
        <v>1.9816048341564481E-7</v>
      </c>
      <c r="AF4">
        <f>INDEX($B$18:$GQ$18,MATCH(31,$B$29:$GQ$29,0))</f>
        <v>4.0236013195029281E-8</v>
      </c>
      <c r="AG4">
        <f>INDEX($B$18:$GQ$18,MATCH(32,$B$29:$GQ$29,0))</f>
        <v>1.7001372654455852E-8</v>
      </c>
      <c r="AH4">
        <f>INDEX($B$18:$GQ$18,MATCH(33,$B$29:$GQ$29,0))</f>
        <v>3.972969742220735E-9</v>
      </c>
      <c r="AI4">
        <f>INDEX($B$18:$GQ$18,MATCH(34,$B$29:$GQ$29,0))</f>
        <v>9.7046549114672022E-9</v>
      </c>
      <c r="AJ4">
        <f>INDEX($B$18:$GQ$18,MATCH(35,$B$29:$GQ$29,0))</f>
        <v>1.20436269354818E-8</v>
      </c>
      <c r="AK4">
        <f>INDEX($B$18:$GQ$18,MATCH(36,$B$29:$GQ$29,0))</f>
        <v>1.5377236731226181E-7</v>
      </c>
      <c r="AL4">
        <f>INDEX($B$18:$GQ$18,MATCH(37,$B$29:$GQ$29,0))</f>
        <v>2.085303034987236E-8</v>
      </c>
      <c r="AM4">
        <f>INDEX($B$18:$GQ$18,MATCH(38,$B$29:$GQ$29,0))</f>
        <v>7.3147561380340647E-8</v>
      </c>
      <c r="AN4">
        <f>INDEX($B$18:$GQ$18,MATCH(39,$B$29:$GQ$29,0))</f>
        <v>6.2805399625452997E-8</v>
      </c>
      <c r="AO4">
        <f>INDEX($B$18:$GQ$18,MATCH(40,$B$29:$GQ$29,0))</f>
        <v>3.261769987801071E-8</v>
      </c>
      <c r="AP4">
        <f>INDEX($B$18:$GQ$18,MATCH(41,$B$29:$GQ$29,0))</f>
        <v>1.8619146791601251E-8</v>
      </c>
      <c r="AQ4">
        <f>INDEX($B$18:$GQ$18,MATCH(42,$B$29:$GQ$29,0))</f>
        <v>2.2030843455069272E-8</v>
      </c>
      <c r="AR4">
        <f>INDEX($B$18:$GQ$18,MATCH(43,$B$29:$GQ$29,0))</f>
        <v>3.1320420037828353E-8</v>
      </c>
      <c r="AS4">
        <f>INDEX($B$18:$GQ$18,MATCH(44,$B$29:$GQ$29,0))</f>
        <v>1.9261431556551431E-7</v>
      </c>
      <c r="AT4">
        <f>INDEX($B$18:$GQ$18,MATCH(45,$B$29:$GQ$29,0))</f>
        <v>6.7609784329413302E-8</v>
      </c>
      <c r="AU4">
        <f>INDEX($B$18:$GQ$18,MATCH(46,$B$29:$GQ$29,0))</f>
        <v>1.291093992537107E-8</v>
      </c>
      <c r="AV4">
        <f>INDEX($B$18:$GQ$18,MATCH(47,$B$29:$GQ$29,0))</f>
        <v>1.3089087194677851E-8</v>
      </c>
      <c r="AW4">
        <f>INDEX($B$18:$GQ$18,MATCH(48,$B$29:$GQ$29,0))</f>
        <v>2.0579740423518111E-8</v>
      </c>
      <c r="AX4">
        <f>INDEX($B$18:$GQ$18,MATCH(49,$B$29:$GQ$29,0))</f>
        <v>2.664212948603481E-8</v>
      </c>
      <c r="AY4">
        <f>INDEX($B$18:$GQ$18,MATCH(50,$B$29:$GQ$29,0))</f>
        <v>2.6282923502313851E-7</v>
      </c>
      <c r="AZ4">
        <f>INDEX($B$18:$GQ$18,MATCH(51,$B$29:$GQ$29,0))</f>
        <v>1.392669229072611E-8</v>
      </c>
      <c r="BA4">
        <f>INDEX($B$18:$GQ$18,MATCH(52,$B$29:$GQ$29,0))</f>
        <v>2.2291114791928211E-8</v>
      </c>
      <c r="BB4">
        <f>INDEX($B$18:$GQ$18,MATCH(53,$B$29:$GQ$29,0))</f>
        <v>5.9561150652949963E-9</v>
      </c>
      <c r="BC4">
        <f>INDEX($B$18:$GQ$18,MATCH(54,$B$29:$GQ$29,0))</f>
        <v>1.5796942692234441E-8</v>
      </c>
      <c r="BD4">
        <f>INDEX($B$18:$GQ$18,MATCH(55,$B$29:$GQ$29,0))</f>
        <v>1.6464322547432829E-8</v>
      </c>
      <c r="BE4">
        <f>INDEX($B$18:$GQ$18,MATCH(56,$B$29:$GQ$29,0))</f>
        <v>1.6948193813329221E-8</v>
      </c>
      <c r="BF4">
        <f>INDEX($B$18:$GQ$18,MATCH(57,$B$29:$GQ$29,0))</f>
        <v>1.7454541034541639E-8</v>
      </c>
      <c r="BG4">
        <f>INDEX($B$18:$GQ$18,MATCH(58,$B$29:$GQ$29,0))</f>
        <v>5.7886627278457897E-8</v>
      </c>
      <c r="BH4">
        <f>INDEX($B$18:$GQ$18,MATCH(59,$B$29:$GQ$29,0))</f>
        <v>2.257977719925517E-8</v>
      </c>
      <c r="BI4">
        <f>INDEX($B$18:$GQ$18,MATCH(60,$B$29:$GQ$29,0))</f>
        <v>1.8086991099796852E-8</v>
      </c>
      <c r="BJ4">
        <f>INDEX($B$18:$GQ$18,MATCH(61,$B$29:$GQ$29,0))</f>
        <v>1.1445547419731081E-7</v>
      </c>
      <c r="BK4">
        <f>INDEX($B$18:$GQ$18,MATCH(62,$B$29:$GQ$29,0))</f>
        <v>7.6267631804388508E-8</v>
      </c>
      <c r="BL4">
        <f>INDEX($B$18:$GQ$18,MATCH(63,$B$29:$GQ$29,0))</f>
        <v>1.438320517522758E-8</v>
      </c>
      <c r="BM4">
        <f>INDEX($B$18:$GQ$18,MATCH(64,$B$29:$GQ$29,0))</f>
        <v>7.262832330250809E-8</v>
      </c>
      <c r="BN4">
        <f>INDEX($B$18:$GQ$18,MATCH(65,$B$29:$GQ$29,0))</f>
        <v>8.3994723176154394E-9</v>
      </c>
      <c r="BO4">
        <f>INDEX($B$18:$GQ$18,MATCH(66,$B$29:$GQ$29,0))</f>
        <v>3.2812624578319517E-8</v>
      </c>
      <c r="BP4">
        <f>INDEX($B$18:$GQ$18,MATCH(67,$B$29:$GQ$29,0))</f>
        <v>1.234123919022402E-8</v>
      </c>
      <c r="BQ4">
        <f>INDEX($B$18:$GQ$18,MATCH(68,$B$29:$GQ$29,0))</f>
        <v>8.3524770989893466E-9</v>
      </c>
      <c r="BR4">
        <f>INDEX($B$18:$GQ$18,MATCH(69,$B$29:$GQ$29,0))</f>
        <v>1.8456033568421229E-8</v>
      </c>
      <c r="BS4">
        <f>INDEX($B$18:$GQ$18,MATCH(70,$B$29:$GQ$29,0))</f>
        <v>1.6852321217499281E-8</v>
      </c>
      <c r="BT4">
        <f>INDEX($B$18:$GQ$18,MATCH(71,$B$29:$GQ$29,0))</f>
        <v>9.1992017392979165E-9</v>
      </c>
      <c r="BU4">
        <f>INDEX($B$18:$GQ$18,MATCH(72,$B$29:$GQ$29,0))</f>
        <v>1.776556872246184E-8</v>
      </c>
      <c r="BV4">
        <f>INDEX($B$18:$GQ$18,MATCH(73,$B$29:$GQ$29,0))</f>
        <v>2.7393132014015869E-8</v>
      </c>
      <c r="BW4">
        <f>INDEX($B$18:$GQ$18,MATCH(74,$B$29:$GQ$29,0))</f>
        <v>1.3504218722148901E-8</v>
      </c>
      <c r="BX4">
        <f>INDEX($B$18:$GQ$18,MATCH(75,$B$29:$GQ$29,0))</f>
        <v>2.2034844314463849E-8</v>
      </c>
      <c r="BY4">
        <f>INDEX($B$18:$GQ$18,MATCH(76,$B$29:$GQ$29,0))</f>
        <v>1.4902064420680869E-8</v>
      </c>
      <c r="BZ4">
        <f>INDEX($B$18:$GQ$18,MATCH(77,$B$29:$GQ$29,0))</f>
        <v>1.9110722576555461E-8</v>
      </c>
      <c r="CA4">
        <f>INDEX($B$18:$GQ$18,MATCH(78,$B$29:$GQ$29,0))</f>
        <v>5.0365965731595732E-8</v>
      </c>
      <c r="CB4">
        <f>INDEX($B$18:$GQ$18,MATCH(79,$B$29:$GQ$29,0))</f>
        <v>1.9886217096709821E-8</v>
      </c>
      <c r="CC4">
        <f>INDEX($B$18:$GQ$18,MATCH(80,$B$29:$GQ$29,0))</f>
        <v>7.9314454835556363E-8</v>
      </c>
      <c r="CD4">
        <f>INDEX($B$18:$GQ$18,MATCH(81,$B$29:$GQ$29,0))</f>
        <v>1.382137695716425E-7</v>
      </c>
      <c r="CE4">
        <f>INDEX($B$18:$GQ$18,MATCH(82,$B$29:$GQ$29,0))</f>
        <v>8.6685955088006374E-9</v>
      </c>
      <c r="CF4">
        <f>INDEX($B$18:$GQ$18,MATCH(83,$B$29:$GQ$29,0))</f>
        <v>1.2395884342149351E-8</v>
      </c>
      <c r="CG4">
        <f>INDEX($B$18:$GQ$18,MATCH(84,$B$29:$GQ$29,0))</f>
        <v>8.8640537200796857E-7</v>
      </c>
      <c r="CH4">
        <f>INDEX($B$18:$GQ$18,MATCH(85,$B$29:$GQ$29,0))</f>
        <v>1.5388007077854458E-8</v>
      </c>
      <c r="CI4">
        <f>INDEX($B$18:$GQ$18,MATCH(86,$B$29:$GQ$29,0))</f>
        <v>1.272266253503169E-8</v>
      </c>
      <c r="CJ4">
        <f>INDEX($B$18:$GQ$18,MATCH(87,$B$29:$GQ$29,0))</f>
        <v>1.8615749225740519E-8</v>
      </c>
      <c r="CK4">
        <f>INDEX($B$18:$GQ$18,MATCH(88,$B$29:$GQ$29,0))</f>
        <v>1.2100966641813371E-8</v>
      </c>
      <c r="CL4">
        <f>INDEX($B$18:$GQ$18,MATCH(89,$B$29:$GQ$29,0))</f>
        <v>1.2631437210824589E-8</v>
      </c>
      <c r="CM4">
        <f>INDEX($B$18:$GQ$18,MATCH(90,$B$29:$GQ$29,0))</f>
        <v>1.334757442290257E-8</v>
      </c>
      <c r="CN4">
        <f>INDEX($B$18:$GQ$18,MATCH(91,$B$29:$GQ$29,0))</f>
        <v>1.247871074231484E-8</v>
      </c>
      <c r="CO4">
        <f>INDEX($B$18:$GQ$18,MATCH(92,$B$29:$GQ$29,0))</f>
        <v>1.9009322761858449E-8</v>
      </c>
      <c r="CP4">
        <f>INDEX($B$18:$GQ$18,MATCH(93,$B$29:$GQ$29,0))</f>
        <v>1.5582714861945571E-8</v>
      </c>
      <c r="CQ4">
        <f>INDEX($B$18:$GQ$18,MATCH(94,$B$29:$GQ$29,0))</f>
        <v>1.5029261053025661E-8</v>
      </c>
      <c r="CR4">
        <f>INDEX($B$18:$GQ$18,MATCH(95,$B$29:$GQ$29,0))</f>
        <v>6.1614609676480037E-9</v>
      </c>
      <c r="CS4">
        <f>INDEX($B$18:$GQ$18,MATCH(96,$B$29:$GQ$29,0))</f>
        <v>1.25106875895741E-8</v>
      </c>
      <c r="CT4">
        <f>INDEX($B$18:$GQ$18,MATCH(97,$B$29:$GQ$29,0))</f>
        <v>1.4853861621399741E-8</v>
      </c>
      <c r="CU4">
        <f>INDEX($B$18:$GQ$18,MATCH(98,$B$29:$GQ$29,0))</f>
        <v>1.4025756428648829E-8</v>
      </c>
      <c r="CV4">
        <f>INDEX($B$18:$GQ$18,MATCH(99,$B$29:$GQ$29,0))</f>
        <v>1.4667270495443921E-8</v>
      </c>
      <c r="CW4">
        <f>INDEX($B$18:$GQ$18,MATCH(100,$B$29:$GQ$29,0))</f>
        <v>1.5161396541294869E-8</v>
      </c>
      <c r="CX4">
        <f>INDEX($B$18:$GQ$18,MATCH(101,$B$29:$GQ$29,0))</f>
        <v>8.0482573313733043E-9</v>
      </c>
      <c r="CY4">
        <f>INDEX($B$18:$GQ$18,MATCH(102,$B$29:$GQ$29,0))</f>
        <v>1.5231324327851199E-8</v>
      </c>
      <c r="CZ4">
        <f>INDEX($B$18:$GQ$18,MATCH(103,$B$29:$GQ$29,0))</f>
        <v>1.885336427525008E-8</v>
      </c>
      <c r="DA4">
        <f>INDEX($B$18:$GQ$18,MATCH(104,$B$29:$GQ$29,0))</f>
        <v>1.2964386197290721E-8</v>
      </c>
      <c r="DB4">
        <f>INDEX($B$18:$GQ$18,MATCH(105,$B$29:$GQ$29,0))</f>
        <v>1.3370304539177379E-8</v>
      </c>
      <c r="DC4">
        <f>INDEX($B$18:$GQ$18,MATCH(106,$B$29:$GQ$29,0))</f>
        <v>0</v>
      </c>
      <c r="DD4">
        <f>INDEX($B$18:$GQ$18,MATCH(107,$B$29:$GQ$29,0))</f>
        <v>7.309623709970767E-8</v>
      </c>
      <c r="DE4">
        <f>INDEX($B$18:$GQ$18,MATCH(108,$B$29:$GQ$29,0))</f>
        <v>1.257296131408968E-8</v>
      </c>
      <c r="DF4">
        <f>INDEX($B$18:$GQ$18,MATCH(109,$B$29:$GQ$29,0))</f>
        <v>1.7605074252758541E-8</v>
      </c>
      <c r="DG4">
        <f>INDEX($B$18:$GQ$18,MATCH(110,$B$29:$GQ$29,0))</f>
        <v>1.1797014154902991E-8</v>
      </c>
      <c r="DH4">
        <f>INDEX($B$18:$GQ$18,MATCH(111,$B$29:$GQ$29,0))</f>
        <v>1.366055636071354E-8</v>
      </c>
      <c r="DI4">
        <f>INDEX($B$18:$GQ$18,MATCH(112,$B$29:$GQ$29,0))</f>
        <v>1.1646701918615481E-8</v>
      </c>
      <c r="DJ4">
        <f>INDEX($B$18:$GQ$18,MATCH(113,$B$29:$GQ$29,0))</f>
        <v>1.5181177192954819E-8</v>
      </c>
      <c r="DK4">
        <f>INDEX($B$18:$GQ$18,MATCH(114,$B$29:$GQ$29,0))</f>
        <v>1.5087186621450949E-8</v>
      </c>
      <c r="DL4">
        <f>INDEX($B$18:$GQ$18,MATCH(115,$B$29:$GQ$29,0))</f>
        <v>3.5924733440851893E-8</v>
      </c>
      <c r="DM4">
        <f>INDEX($B$18:$GQ$18,MATCH(116,$B$29:$GQ$29,0))</f>
        <v>1.7076059948868191E-9</v>
      </c>
      <c r="DN4">
        <f>INDEX($B$18:$GQ$18,MATCH(117,$B$29:$GQ$29,0))</f>
        <v>0</v>
      </c>
      <c r="DO4">
        <f>INDEX($B$18:$GQ$18,MATCH(118,$B$29:$GQ$29,0))</f>
        <v>3.7401178765806149E-8</v>
      </c>
      <c r="DP4">
        <f>INDEX($B$18:$GQ$18,MATCH(119,$B$29:$GQ$29,0))</f>
        <v>2.4156114350933381E-8</v>
      </c>
      <c r="DQ4">
        <f>INDEX($B$18:$GQ$18,MATCH(120,$B$29:$GQ$29,0))</f>
        <v>1.125541172927024E-8</v>
      </c>
      <c r="DR4">
        <f>INDEX($B$18:$GQ$18,MATCH(121,$B$29:$GQ$29,0))</f>
        <v>0</v>
      </c>
      <c r="DS4">
        <f>INDEX($B$18:$GQ$18,MATCH(122,$B$29:$GQ$29,0))</f>
        <v>2.1285197521996711E-8</v>
      </c>
      <c r="DT4">
        <f>INDEX($B$18:$GQ$18,MATCH(123,$B$29:$GQ$29,0))</f>
        <v>1.2135462314129359E-7</v>
      </c>
      <c r="DU4">
        <f>INDEX($B$18:$GQ$18,MATCH(124,$B$29:$GQ$29,0))</f>
        <v>1.3548550919593629E-8</v>
      </c>
      <c r="DV4">
        <f>INDEX($B$18:$GQ$18,MATCH(125,$B$29:$GQ$29,0))</f>
        <v>2.568811639278431E-8</v>
      </c>
      <c r="DW4">
        <f>INDEX($B$18:$GQ$18,MATCH(126,$B$29:$GQ$29,0))</f>
        <v>1.137326907278101E-8</v>
      </c>
      <c r="DX4">
        <f>INDEX($B$18:$GQ$18,MATCH(127,$B$29:$GQ$29,0))</f>
        <v>0</v>
      </c>
      <c r="DY4">
        <f>INDEX($B$18:$GQ$18,MATCH(128,$B$29:$GQ$29,0))</f>
        <v>2.5141216827351031E-8</v>
      </c>
      <c r="DZ4">
        <f>INDEX($B$18:$GQ$18,MATCH(129,$B$29:$GQ$29,0))</f>
        <v>2.5703323301148329E-9</v>
      </c>
      <c r="EA4">
        <f>INDEX($B$18:$GQ$18,MATCH(130,$B$29:$GQ$29,0))</f>
        <v>2.1067061644655311E-8</v>
      </c>
      <c r="EB4">
        <f>INDEX($B$18:$GQ$18,MATCH(131,$B$29:$GQ$29,0))</f>
        <v>0</v>
      </c>
      <c r="EC4">
        <f>INDEX($B$18:$GQ$18,MATCH(132,$B$29:$GQ$29,0))</f>
        <v>1.9892877607792209E-8</v>
      </c>
      <c r="ED4">
        <f>INDEX($B$18:$GQ$18,MATCH(133,$B$29:$GQ$29,0))</f>
        <v>1.631892499745247E-8</v>
      </c>
      <c r="EE4">
        <f>INDEX($B$18:$GQ$18,MATCH(134,$B$29:$GQ$29,0))</f>
        <v>2.0712956522055058E-9</v>
      </c>
      <c r="EF4">
        <f>INDEX($B$18:$GQ$18,MATCH(135,$B$29:$GQ$29,0))</f>
        <v>1.6429451863295501E-7</v>
      </c>
      <c r="EG4">
        <f>INDEX($B$18:$GQ$18,MATCH(136,$B$29:$GQ$29,0))</f>
        <v>1.115902464460594E-7</v>
      </c>
      <c r="EH4">
        <f>INDEX($B$18:$GQ$18,MATCH(137,$B$29:$GQ$29,0))</f>
        <v>1.366390113499456E-7</v>
      </c>
      <c r="EI4">
        <f>INDEX($B$18:$GQ$18,MATCH(138,$B$29:$GQ$29,0))</f>
        <v>0</v>
      </c>
      <c r="EJ4">
        <f>INDEX($B$18:$GQ$18,MATCH(139,$B$29:$GQ$29,0))</f>
        <v>0</v>
      </c>
      <c r="EK4">
        <f>INDEX($B$18:$GQ$18,MATCH(140,$B$29:$GQ$29,0))</f>
        <v>0</v>
      </c>
      <c r="EL4">
        <f>INDEX($B$18:$GQ$18,MATCH(141,$B$29:$GQ$29,0))</f>
        <v>0</v>
      </c>
      <c r="EM4">
        <f>INDEX($B$18:$GQ$18,MATCH(142,$B$29:$GQ$29,0))</f>
        <v>0</v>
      </c>
      <c r="EN4">
        <f>INDEX($B$18:$GQ$18,MATCH(143,$B$29:$GQ$29,0))</f>
        <v>0</v>
      </c>
      <c r="EO4">
        <f>INDEX($B$18:$GQ$18,MATCH(144,$B$29:$GQ$29,0))</f>
        <v>0</v>
      </c>
      <c r="EP4">
        <f>INDEX($B$18:$GQ$18,MATCH(145,$B$29:$GQ$29,0))</f>
        <v>6.1038708290370155E-8</v>
      </c>
      <c r="EQ4">
        <f>INDEX($B$18:$GQ$18,MATCH(146,$B$29:$GQ$29,0))</f>
        <v>4.3742202449434564E-9</v>
      </c>
      <c r="ER4">
        <f>INDEX($B$18:$GQ$18,MATCH(147,$B$29:$GQ$29,0))</f>
        <v>0</v>
      </c>
      <c r="ES4">
        <f>INDEX($B$18:$GQ$18,MATCH(148,$B$29:$GQ$29,0))</f>
        <v>0</v>
      </c>
      <c r="ET4">
        <f>INDEX($B$18:$GQ$18,MATCH(149,$B$29:$GQ$29,0))</f>
        <v>0</v>
      </c>
      <c r="EU4">
        <f>INDEX($B$18:$GQ$18,MATCH(150,$B$29:$GQ$29,0))</f>
        <v>0</v>
      </c>
      <c r="EV4">
        <f>INDEX($B$18:$GQ$18,MATCH(151,$B$29:$GQ$29,0))</f>
        <v>0</v>
      </c>
      <c r="EW4">
        <f>INDEX($B$18:$GQ$18,MATCH(152,$B$29:$GQ$29,0))</f>
        <v>0</v>
      </c>
      <c r="EX4">
        <f>INDEX($B$18:$GQ$18,MATCH(153,$B$29:$GQ$29,0))</f>
        <v>0</v>
      </c>
      <c r="EY4">
        <f>INDEX($B$18:$GQ$18,MATCH(154,$B$29:$GQ$29,0))</f>
        <v>0</v>
      </c>
      <c r="EZ4">
        <f>INDEX($B$18:$GQ$18,MATCH(155,$B$29:$GQ$29,0))</f>
        <v>6.4955758306815396E-9</v>
      </c>
      <c r="FA4">
        <f>INDEX($B$18:$GQ$18,MATCH(156,$B$29:$GQ$29,0))</f>
        <v>5.5498968421899156E-9</v>
      </c>
      <c r="FB4">
        <f>INDEX($B$18:$GQ$18,MATCH(157,$B$29:$GQ$29,0))</f>
        <v>1.585747142674415E-10</v>
      </c>
      <c r="FC4">
        <f>INDEX($B$18:$GQ$18,MATCH(158,$B$29:$GQ$29,0))</f>
        <v>3.715276733592534E-9</v>
      </c>
      <c r="FD4">
        <f>INDEX($B$18:$GQ$18,MATCH(159,$B$29:$GQ$29,0))</f>
        <v>3.5679497223747652E-8</v>
      </c>
      <c r="FE4">
        <f>INDEX($B$18:$GQ$18,MATCH(160,$B$29:$GQ$29,0))</f>
        <v>1.6660888245754411E-8</v>
      </c>
      <c r="FF4">
        <f>INDEX($B$18:$GQ$18,MATCH(161,$B$29:$GQ$29,0))</f>
        <v>0</v>
      </c>
      <c r="FG4">
        <f>INDEX($B$18:$GQ$18,MATCH(162,$B$29:$GQ$29,0))</f>
        <v>5.7628165663612212E-8</v>
      </c>
      <c r="FH4">
        <f>INDEX($B$18:$GQ$18,MATCH(163,$B$29:$GQ$29,0))</f>
        <v>0</v>
      </c>
      <c r="FI4">
        <f>INDEX($B$18:$GQ$18,MATCH(164,$B$29:$GQ$29,0))</f>
        <v>9.6007066811367671E-11</v>
      </c>
      <c r="FJ4">
        <f>INDEX($B$18:$GQ$18,MATCH(165,$B$29:$GQ$29,0))</f>
        <v>1.832521045311667E-8</v>
      </c>
      <c r="FK4">
        <f>INDEX($B$18:$GQ$18,MATCH(166,$B$29:$GQ$29,0))</f>
        <v>0</v>
      </c>
      <c r="FL4">
        <f>INDEX($B$18:$GQ$18,MATCH(167,$B$29:$GQ$29,0))</f>
        <v>1.0066400862501589E-8</v>
      </c>
      <c r="FM4">
        <f>INDEX($B$18:$GQ$18,MATCH(168,$B$29:$GQ$29,0))</f>
        <v>2.060107180082813E-8</v>
      </c>
      <c r="FN4">
        <f>INDEX($B$18:$GQ$18,MATCH(169,$B$29:$GQ$29,0))</f>
        <v>3.482161787213097E-8</v>
      </c>
      <c r="FO4">
        <f>INDEX($B$18:$GQ$18,MATCH(170,$B$29:$GQ$29,0))</f>
        <v>3.8088690359699696E-9</v>
      </c>
      <c r="FP4">
        <f>INDEX($B$18:$GQ$18,MATCH(171,$B$29:$GQ$29,0))</f>
        <v>4.2436742057993701E-9</v>
      </c>
      <c r="FQ4">
        <f>INDEX($B$18:$GQ$18,MATCH(172,$B$29:$GQ$29,0))</f>
        <v>6.384199597566994E-9</v>
      </c>
      <c r="FR4">
        <f>INDEX($B$18:$GQ$18,MATCH(173,$B$29:$GQ$29,0))</f>
        <v>4.0629801321243126E-9</v>
      </c>
      <c r="FS4">
        <f>INDEX($B$18:$GQ$18,MATCH(174,$B$29:$GQ$29,0))</f>
        <v>1.0795306732360089E-10</v>
      </c>
      <c r="FT4">
        <f>INDEX($B$18:$GQ$18,MATCH(175,$B$29:$GQ$29,0))</f>
        <v>0</v>
      </c>
      <c r="FU4">
        <f>INDEX($B$18:$GQ$18,MATCH(176,$B$29:$GQ$29,0))</f>
        <v>7.8521851794041003E-9</v>
      </c>
      <c r="FV4">
        <f>INDEX($B$18:$GQ$18,MATCH(177,$B$29:$GQ$29,0))</f>
        <v>0</v>
      </c>
      <c r="FW4">
        <f>INDEX($B$18:$GQ$18,MATCH(178,$B$29:$GQ$29,0))</f>
        <v>2.3994239659250041E-8</v>
      </c>
      <c r="FX4">
        <f>INDEX($B$18:$GQ$18,MATCH(179,$B$29:$GQ$29,0))</f>
        <v>1.9340942834750131E-8</v>
      </c>
      <c r="FY4">
        <f>INDEX($B$18:$GQ$18,MATCH(180,$B$29:$GQ$29,0))</f>
        <v>0</v>
      </c>
      <c r="FZ4">
        <f>INDEX($B$18:$GQ$18,MATCH(181,$B$29:$GQ$29,0))</f>
        <v>3.9294031213205023E-8</v>
      </c>
      <c r="GA4">
        <f>INDEX($B$18:$GQ$18,MATCH(182,$B$29:$GQ$29,0))</f>
        <v>4.8854295982638482E-8</v>
      </c>
      <c r="GB4">
        <f>INDEX($B$18:$GQ$18,MATCH(183,$B$29:$GQ$29,0))</f>
        <v>3.8795047124068247E-8</v>
      </c>
      <c r="GC4">
        <f>INDEX($B$18:$GQ$18,MATCH(184,$B$29:$GQ$29,0))</f>
        <v>0</v>
      </c>
      <c r="GD4">
        <f>INDEX($B$18:$GQ$18,MATCH(185,$B$29:$GQ$29,0))</f>
        <v>0</v>
      </c>
      <c r="GE4">
        <f>INDEX($B$18:$GQ$18,MATCH(186,$B$29:$GQ$29,0))</f>
        <v>0</v>
      </c>
      <c r="GF4">
        <f>INDEX($B$18:$GQ$18,MATCH(187,$B$29:$GQ$29,0))</f>
        <v>0</v>
      </c>
      <c r="GG4">
        <f>INDEX($B$18:$GQ$18,MATCH(188,$B$29:$GQ$29,0))</f>
        <v>0</v>
      </c>
      <c r="GH4">
        <f>INDEX($B$18:$GQ$18,MATCH(189,$B$29:$GQ$29,0))</f>
        <v>0</v>
      </c>
      <c r="GI4">
        <f>INDEX($B$18:$GQ$18,MATCH(190,$B$29:$GQ$29,0))</f>
        <v>0</v>
      </c>
      <c r="GJ4">
        <f>INDEX($B$18:$GQ$18,MATCH(191,$B$29:$GQ$29,0))</f>
        <v>1.8484566671662809E-9</v>
      </c>
      <c r="GK4">
        <f>INDEX($B$18:$GQ$18,MATCH(192,$B$29:$GQ$29,0))</f>
        <v>3.7895522511875947E-9</v>
      </c>
      <c r="GL4">
        <f>INDEX($B$18:$GQ$18,MATCH(193,$B$29:$GQ$29,0))</f>
        <v>3.8888619615504451E-16</v>
      </c>
      <c r="GM4">
        <f>INDEX($B$18:$GQ$18,MATCH(194,$B$29:$GQ$29,0))</f>
        <v>0</v>
      </c>
      <c r="GN4">
        <f>INDEX($B$18:$GQ$18,MATCH(195,$B$29:$GQ$29,0))</f>
        <v>7.8593623974394913E-9</v>
      </c>
      <c r="GO4">
        <f>INDEX($B$18:$GQ$18,MATCH(196,$B$29:$GQ$29,0))</f>
        <v>0</v>
      </c>
      <c r="GP4">
        <f>INDEX($B$18:$GQ$18,MATCH(197,$B$29:$GQ$29,0))</f>
        <v>2.1394251969761381E-8</v>
      </c>
      <c r="GQ4">
        <f>INDEX($B$18:$GQ$18,MATCH(198,$B$29:$GQ$29,0))</f>
        <v>0</v>
      </c>
      <c r="GR4">
        <f>INDEX($GR$18:$HC$18,MATCH(1,$GR$30:$HC$30,0))</f>
        <v>1.0394892543244171E-7</v>
      </c>
      <c r="GS4">
        <f>INDEX($GR$18:$HC$18,MATCH(2,$GR$30:$HC$30,0))</f>
        <v>1.2658448687140471E-7</v>
      </c>
      <c r="GT4">
        <f>INDEX($GR$18:$HC$18,MATCH(3,$GR$30:$HC$30,0))</f>
        <v>1.4221207123015139E-8</v>
      </c>
      <c r="GU4">
        <f>INDEX($GR$18:$HC$18,MATCH(4,$GR$30:$HC$30,0))</f>
        <v>1.874895539645802E-8</v>
      </c>
      <c r="GV4">
        <f>INDEX($GR$18:$HC$18,MATCH(5,$GR$30:$HC$30,0))</f>
        <v>1.7102496848734401E-7</v>
      </c>
      <c r="GW4">
        <f>INDEX($GR$18:$HC$18,MATCH(6,$GR$30:$HC$30,0))</f>
        <v>9.9317548716435374E-8</v>
      </c>
      <c r="GX4">
        <f>INDEX($GR$18:$HC$18,MATCH(7,$GR$30:$HC$30,0))</f>
        <v>9.5460849761378956E-8</v>
      </c>
      <c r="GY4">
        <f>INDEX($GR$18:$HC$18,MATCH(8,$GR$30:$HC$30,0))</f>
        <v>5.6334246486960147E-8</v>
      </c>
      <c r="GZ4">
        <f>INDEX($GR$18:$HC$18,MATCH(9,$GR$30:$HC$30,0))</f>
        <v>2.8556679469491122E-8</v>
      </c>
      <c r="HA4">
        <f>INDEX($GR$18:$HC$18,MATCH(10,$GR$30:$HC$30,0))</f>
        <v>3.244808471741587E-8</v>
      </c>
      <c r="HB4">
        <f>INDEX($GR$18:$HC$18,MATCH(11,$GR$30:$HC$30,0))</f>
        <v>2.4323027554211279E-8</v>
      </c>
      <c r="HC4">
        <f>INDEX($GR$18:$HC$18,MATCH(12,$GR$30:$HC$30,0))</f>
        <v>2.5070861052507918E-8</v>
      </c>
    </row>
    <row r="5" spans="1:211" x14ac:dyDescent="0.45">
      <c r="A5" s="1" t="s">
        <v>4</v>
      </c>
      <c r="B5">
        <f>INDEX($B$19:$GQ$19,MATCH(1,$B$29:$GQ$29,0))</f>
        <v>5.3539994733012972E-7</v>
      </c>
      <c r="C5">
        <f>INDEX($B$19:$GQ$19,MATCH(2,$B$29:$GQ$29,0))</f>
        <v>1.4384068374647699E-6</v>
      </c>
      <c r="D5">
        <f>INDEX($B$19:$GQ$19,MATCH(3,$B$29:$GQ$29,0))</f>
        <v>3.4462829458966711E-7</v>
      </c>
      <c r="E5">
        <f>INDEX($B$19:$GQ$19,MATCH(4,$B$29:$GQ$29,0))</f>
        <v>7.7677152534192355E-7</v>
      </c>
      <c r="F5">
        <f>INDEX($B$19:$GQ$19,MATCH(5,$B$29:$GQ$29,0))</f>
        <v>2.4003450526360613E-7</v>
      </c>
      <c r="G5">
        <f>INDEX($B$19:$GQ$19,MATCH(6,$B$29:$GQ$29,0))</f>
        <v>5.9111076213868438E-8</v>
      </c>
      <c r="H5">
        <f>INDEX($B$19:$GQ$19,MATCH(7,$B$29:$GQ$29,0))</f>
        <v>6.3518447135670497E-9</v>
      </c>
      <c r="I5">
        <f>INDEX($B$19:$GQ$19,MATCH(8,$B$29:$GQ$29,0))</f>
        <v>6.6000438136489924E-9</v>
      </c>
      <c r="J5">
        <f>INDEX($B$19:$GQ$19,MATCH(9,$B$29:$GQ$29,0))</f>
        <v>5.7991507323614517E-9</v>
      </c>
      <c r="K5">
        <f>INDEX($B$19:$GQ$19,MATCH(10,$B$29:$GQ$29,0))</f>
        <v>4.7480187792782022E-7</v>
      </c>
      <c r="L5">
        <f>INDEX($B$19:$GQ$19,MATCH(11,$B$29:$GQ$29,0))</f>
        <v>1.5487706006996699E-6</v>
      </c>
      <c r="M5">
        <f>INDEX($B$19:$GQ$19,MATCH(12,$B$29:$GQ$29,0))</f>
        <v>2.440956271589831E-7</v>
      </c>
      <c r="N5">
        <f>INDEX($B$19:$GQ$19,MATCH(13,$B$29:$GQ$29,0))</f>
        <v>3.6273928777770472E-7</v>
      </c>
      <c r="O5">
        <f>INDEX($B$19:$GQ$19,MATCH(14,$B$29:$GQ$29,0))</f>
        <v>2.5217991456389088E-7</v>
      </c>
      <c r="P5">
        <f>INDEX($B$19:$GQ$19,MATCH(15,$B$29:$GQ$29,0))</f>
        <v>4.4848380075120038E-8</v>
      </c>
      <c r="Q5">
        <f>INDEX($B$19:$GQ$19,MATCH(16,$B$29:$GQ$29,0))</f>
        <v>1.7369893794197849E-8</v>
      </c>
      <c r="R5">
        <f>INDEX($B$19:$GQ$19,MATCH(17,$B$29:$GQ$29,0))</f>
        <v>8.1108866510048153E-7</v>
      </c>
      <c r="S5">
        <f>INDEX($B$19:$GQ$19,MATCH(18,$B$29:$GQ$29,0))</f>
        <v>1.058037379453374E-8</v>
      </c>
      <c r="T5">
        <f>INDEX($B$19:$GQ$19,MATCH(19,$B$29:$GQ$29,0))</f>
        <v>6.4789154042770271E-7</v>
      </c>
      <c r="U5">
        <f>INDEX($B$19:$GQ$19,MATCH(20,$B$29:$GQ$29,0))</f>
        <v>1.285356469303759E-8</v>
      </c>
      <c r="V5">
        <f>INDEX($B$19:$GQ$19,MATCH(21,$B$29:$GQ$29,0))</f>
        <v>8.1148353938400999E-7</v>
      </c>
      <c r="W5">
        <f>INDEX($B$19:$GQ$19,MATCH(22,$B$29:$GQ$29,0))</f>
        <v>5.249802519216824E-9</v>
      </c>
      <c r="X5">
        <f>INDEX($B$19:$GQ$19,MATCH(23,$B$29:$GQ$29,0))</f>
        <v>4.4540762575401591E-9</v>
      </c>
      <c r="Y5">
        <f>INDEX($B$19:$GQ$19,MATCH(24,$B$29:$GQ$29,0))</f>
        <v>8.2325178648577695E-9</v>
      </c>
      <c r="Z5">
        <f>INDEX($B$19:$GQ$19,MATCH(25,$B$29:$GQ$29,0))</f>
        <v>3.1960310497006418E-7</v>
      </c>
      <c r="AA5">
        <f>INDEX($B$19:$GQ$19,MATCH(26,$B$29:$GQ$29,0))</f>
        <v>1.5048787378639549E-8</v>
      </c>
      <c r="AB5">
        <f>INDEX($B$19:$GQ$19,MATCH(27,$B$29:$GQ$29,0))</f>
        <v>1.3061631517358299E-6</v>
      </c>
      <c r="AC5">
        <f>INDEX($B$19:$GQ$19,MATCH(28,$B$29:$GQ$29,0))</f>
        <v>5.4740309565141473E-9</v>
      </c>
      <c r="AD5">
        <f>INDEX($B$19:$GQ$19,MATCH(29,$B$29:$GQ$29,0))</f>
        <v>1.938886855279719E-8</v>
      </c>
      <c r="AE5">
        <f>INDEX($B$19:$GQ$19,MATCH(30,$B$29:$GQ$29,0))</f>
        <v>2.6166988591058122E-7</v>
      </c>
      <c r="AF5">
        <f>INDEX($B$19:$GQ$19,MATCH(31,$B$29:$GQ$29,0))</f>
        <v>1.3730554342514241E-8</v>
      </c>
      <c r="AG5">
        <f>INDEX($B$19:$GQ$19,MATCH(32,$B$29:$GQ$29,0))</f>
        <v>3.6688634289303681E-9</v>
      </c>
      <c r="AH5">
        <f>INDEX($B$19:$GQ$19,MATCH(33,$B$29:$GQ$29,0))</f>
        <v>9.2394987650641371E-9</v>
      </c>
      <c r="AI5">
        <f>INDEX($B$19:$GQ$19,MATCH(34,$B$29:$GQ$29,0))</f>
        <v>3.4242541872703411E-9</v>
      </c>
      <c r="AJ5">
        <f>INDEX($B$19:$GQ$19,MATCH(35,$B$29:$GQ$29,0))</f>
        <v>1.874575723536111E-9</v>
      </c>
      <c r="AK5">
        <f>INDEX($B$19:$GQ$19,MATCH(36,$B$29:$GQ$29,0))</f>
        <v>2.1613169902116239E-6</v>
      </c>
      <c r="AL5">
        <f>INDEX($B$19:$GQ$19,MATCH(37,$B$29:$GQ$29,0))</f>
        <v>5.0639047929705746E-9</v>
      </c>
      <c r="AM5">
        <f>INDEX($B$19:$GQ$19,MATCH(38,$B$29:$GQ$29,0))</f>
        <v>3.5073087988406009E-9</v>
      </c>
      <c r="AN5">
        <f>INDEX($B$19:$GQ$19,MATCH(39,$B$29:$GQ$29,0))</f>
        <v>1.7349336449317852E-8</v>
      </c>
      <c r="AO5">
        <f>INDEX($B$19:$GQ$19,MATCH(40,$B$29:$GQ$29,0))</f>
        <v>1.5639763188320509E-9</v>
      </c>
      <c r="AP5">
        <f>INDEX($B$19:$GQ$19,MATCH(41,$B$29:$GQ$29,0))</f>
        <v>2.897125076835783E-9</v>
      </c>
      <c r="AQ5">
        <f>INDEX($B$19:$GQ$19,MATCH(42,$B$29:$GQ$29,0))</f>
        <v>1.122479022362143E-8</v>
      </c>
      <c r="AR5">
        <f>INDEX($B$19:$GQ$19,MATCH(43,$B$29:$GQ$29,0))</f>
        <v>9.1581014020624442E-10</v>
      </c>
      <c r="AS5">
        <f>INDEX($B$19:$GQ$19,MATCH(44,$B$29:$GQ$29,0))</f>
        <v>2.459448853558884E-6</v>
      </c>
      <c r="AT5">
        <f>INDEX($B$19:$GQ$19,MATCH(45,$B$29:$GQ$29,0))</f>
        <v>2.9218187079886049E-9</v>
      </c>
      <c r="AU5">
        <f>INDEX($B$19:$GQ$19,MATCH(46,$B$29:$GQ$29,0))</f>
        <v>5.660136508654605E-9</v>
      </c>
      <c r="AV5">
        <f>INDEX($B$19:$GQ$19,MATCH(47,$B$29:$GQ$29,0))</f>
        <v>2.6414644519170939E-9</v>
      </c>
      <c r="AW5">
        <f>INDEX($B$19:$GQ$19,MATCH(48,$B$29:$GQ$29,0))</f>
        <v>1.1364374545103869E-8</v>
      </c>
      <c r="AX5">
        <f>INDEX($B$19:$GQ$19,MATCH(49,$B$29:$GQ$29,0))</f>
        <v>1.033001975210745E-7</v>
      </c>
      <c r="AY5">
        <f>INDEX($B$19:$GQ$19,MATCH(50,$B$29:$GQ$29,0))</f>
        <v>1.4297829325935839E-7</v>
      </c>
      <c r="AZ5">
        <f>INDEX($B$19:$GQ$19,MATCH(51,$B$29:$GQ$29,0))</f>
        <v>3.2183649479685089E-9</v>
      </c>
      <c r="BA5">
        <f>INDEX($B$19:$GQ$19,MATCH(52,$B$29:$GQ$29,0))</f>
        <v>7.4462843727672123E-9</v>
      </c>
      <c r="BB5">
        <f>INDEX($B$19:$GQ$19,MATCH(53,$B$29:$GQ$29,0))</f>
        <v>8.5927009121638404E-10</v>
      </c>
      <c r="BC5">
        <f>INDEX($B$19:$GQ$19,MATCH(54,$B$29:$GQ$29,0))</f>
        <v>3.2032703101831061E-9</v>
      </c>
      <c r="BD5">
        <f>INDEX($B$19:$GQ$19,MATCH(55,$B$29:$GQ$29,0))</f>
        <v>4.0221573956495002E-7</v>
      </c>
      <c r="BE5">
        <f>INDEX($B$19:$GQ$19,MATCH(56,$B$29:$GQ$29,0))</f>
        <v>2.3013967927664711E-9</v>
      </c>
      <c r="BF5">
        <f>INDEX($B$19:$GQ$19,MATCH(57,$B$29:$GQ$29,0))</f>
        <v>2.5741338180433892E-9</v>
      </c>
      <c r="BG5">
        <f>INDEX($B$19:$GQ$19,MATCH(58,$B$29:$GQ$29,0))</f>
        <v>9.8707559773161638E-7</v>
      </c>
      <c r="BH5">
        <f>INDEX($B$19:$GQ$19,MATCH(59,$B$29:$GQ$29,0))</f>
        <v>3.6643616230385658E-9</v>
      </c>
      <c r="BI5">
        <f>INDEX($B$19:$GQ$19,MATCH(60,$B$29:$GQ$29,0))</f>
        <v>3.2649118219199729E-9</v>
      </c>
      <c r="BJ5">
        <f>INDEX($B$19:$GQ$19,MATCH(61,$B$29:$GQ$29,0))</f>
        <v>7.8314105507717762E-9</v>
      </c>
      <c r="BK5">
        <f>INDEX($B$19:$GQ$19,MATCH(62,$B$29:$GQ$29,0))</f>
        <v>1.2449731856524411E-8</v>
      </c>
      <c r="BL5">
        <f>INDEX($B$19:$GQ$19,MATCH(63,$B$29:$GQ$29,0))</f>
        <v>2.60469314064728E-9</v>
      </c>
      <c r="BM5">
        <f>INDEX($B$19:$GQ$19,MATCH(64,$B$29:$GQ$29,0))</f>
        <v>2.3709432172565079E-7</v>
      </c>
      <c r="BN5">
        <f>INDEX($B$19:$GQ$19,MATCH(65,$B$29:$GQ$29,0))</f>
        <v>2.1929269109269099E-9</v>
      </c>
      <c r="BO5">
        <f>INDEX($B$19:$GQ$19,MATCH(66,$B$29:$GQ$29,0))</f>
        <v>9.2121428283893226E-9</v>
      </c>
      <c r="BP5">
        <f>INDEX($B$19:$GQ$19,MATCH(67,$B$29:$GQ$29,0))</f>
        <v>3.8129467043406397E-9</v>
      </c>
      <c r="BQ5">
        <f>INDEX($B$19:$GQ$19,MATCH(68,$B$29:$GQ$29,0))</f>
        <v>1.014298386223212E-9</v>
      </c>
      <c r="BR5">
        <f>INDEX($B$19:$GQ$19,MATCH(69,$B$29:$GQ$29,0))</f>
        <v>2.4704417560342959E-9</v>
      </c>
      <c r="BS5">
        <f>INDEX($B$19:$GQ$19,MATCH(70,$B$29:$GQ$29,0))</f>
        <v>2.519624632867586E-9</v>
      </c>
      <c r="BT5">
        <f>INDEX($B$19:$GQ$19,MATCH(71,$B$29:$GQ$29,0))</f>
        <v>2.756870686731901E-9</v>
      </c>
      <c r="BU5">
        <f>INDEX($B$19:$GQ$19,MATCH(72,$B$29:$GQ$29,0))</f>
        <v>2.6490644729503731E-9</v>
      </c>
      <c r="BV5">
        <f>INDEX($B$19:$GQ$19,MATCH(73,$B$29:$GQ$29,0))</f>
        <v>1.356000465354182E-8</v>
      </c>
      <c r="BW5">
        <f>INDEX($B$19:$GQ$19,MATCH(74,$B$29:$GQ$29,0))</f>
        <v>6.9788022738400523E-9</v>
      </c>
      <c r="BX5">
        <f>INDEX($B$19:$GQ$19,MATCH(75,$B$29:$GQ$29,0))</f>
        <v>6.3903341953324252E-9</v>
      </c>
      <c r="BY5">
        <f>INDEX($B$19:$GQ$19,MATCH(76,$B$29:$GQ$29,0))</f>
        <v>2.3616366166338711E-8</v>
      </c>
      <c r="BZ5">
        <f>INDEX($B$19:$GQ$19,MATCH(77,$B$29:$GQ$29,0))</f>
        <v>9.1632694368216916E-10</v>
      </c>
      <c r="CA5">
        <f>INDEX($B$19:$GQ$19,MATCH(78,$B$29:$GQ$29,0))</f>
        <v>2.3115727733336541E-8</v>
      </c>
      <c r="CB5">
        <f>INDEX($B$19:$GQ$19,MATCH(79,$B$29:$GQ$29,0))</f>
        <v>3.6305322798945329E-9</v>
      </c>
      <c r="CC5">
        <f>INDEX($B$19:$GQ$19,MATCH(80,$B$29:$GQ$29,0))</f>
        <v>3.4176612305924899E-9</v>
      </c>
      <c r="CD5">
        <f>INDEX($B$19:$GQ$19,MATCH(81,$B$29:$GQ$29,0))</f>
        <v>9.7997079152514068E-9</v>
      </c>
      <c r="CE5">
        <f>INDEX($B$19:$GQ$19,MATCH(82,$B$29:$GQ$29,0))</f>
        <v>1.07136175705933E-9</v>
      </c>
      <c r="CF5">
        <f>INDEX($B$19:$GQ$19,MATCH(83,$B$29:$GQ$29,0))</f>
        <v>3.6639646563858551E-9</v>
      </c>
      <c r="CG5">
        <f>INDEX($B$19:$GQ$19,MATCH(84,$B$29:$GQ$29,0))</f>
        <v>5.6927617358560811E-8</v>
      </c>
      <c r="CH5">
        <f>INDEX($B$19:$GQ$19,MATCH(85,$B$29:$GQ$29,0))</f>
        <v>8.3587432027767459E-9</v>
      </c>
      <c r="CI5">
        <f>INDEX($B$19:$GQ$19,MATCH(86,$B$29:$GQ$29,0))</f>
        <v>3.7173839190987929E-9</v>
      </c>
      <c r="CJ5">
        <f>INDEX($B$19:$GQ$19,MATCH(87,$B$29:$GQ$29,0))</f>
        <v>3.0023288947764801E-9</v>
      </c>
      <c r="CK5">
        <f>INDEX($B$19:$GQ$19,MATCH(88,$B$29:$GQ$29,0))</f>
        <v>3.68465093959037E-9</v>
      </c>
      <c r="CL5">
        <f>INDEX($B$19:$GQ$19,MATCH(89,$B$29:$GQ$29,0))</f>
        <v>3.7383520028873126E-9</v>
      </c>
      <c r="CM5">
        <f>INDEX($B$19:$GQ$19,MATCH(90,$B$29:$GQ$29,0))</f>
        <v>3.5757572689091999E-9</v>
      </c>
      <c r="CN5">
        <f>INDEX($B$19:$GQ$19,MATCH(91,$B$29:$GQ$29,0))</f>
        <v>3.7334715383544774E-9</v>
      </c>
      <c r="CO5">
        <f>INDEX($B$19:$GQ$19,MATCH(92,$B$29:$GQ$29,0))</f>
        <v>4.0380325602482623E-9</v>
      </c>
      <c r="CP5">
        <f>INDEX($B$19:$GQ$19,MATCH(93,$B$29:$GQ$29,0))</f>
        <v>3.6766787951691099E-9</v>
      </c>
      <c r="CQ5">
        <f>INDEX($B$19:$GQ$19,MATCH(94,$B$29:$GQ$29,0))</f>
        <v>3.6655189391250392E-9</v>
      </c>
      <c r="CR5">
        <f>INDEX($B$19:$GQ$19,MATCH(95,$B$29:$GQ$29,0))</f>
        <v>2.552244743662158E-9</v>
      </c>
      <c r="CS5">
        <f>INDEX($B$19:$GQ$19,MATCH(96,$B$29:$GQ$29,0))</f>
        <v>3.5921461955322059E-9</v>
      </c>
      <c r="CT5">
        <f>INDEX($B$19:$GQ$19,MATCH(97,$B$29:$GQ$29,0))</f>
        <v>6.1529128191175602E-9</v>
      </c>
      <c r="CU5">
        <f>INDEX($B$19:$GQ$19,MATCH(98,$B$29:$GQ$29,0))</f>
        <v>3.7992280897224361E-9</v>
      </c>
      <c r="CV5">
        <f>INDEX($B$19:$GQ$19,MATCH(99,$B$29:$GQ$29,0))</f>
        <v>3.6876431572182229E-9</v>
      </c>
      <c r="CW5">
        <f>INDEX($B$19:$GQ$19,MATCH(100,$B$29:$GQ$29,0))</f>
        <v>3.7333069693759743E-9</v>
      </c>
      <c r="CX5">
        <f>INDEX($B$19:$GQ$19,MATCH(101,$B$29:$GQ$29,0))</f>
        <v>1.4543113221590471E-9</v>
      </c>
      <c r="CY5">
        <f>INDEX($B$19:$GQ$19,MATCH(102,$B$29:$GQ$29,0))</f>
        <v>2.694167128281913E-9</v>
      </c>
      <c r="CZ5">
        <f>INDEX($B$19:$GQ$19,MATCH(103,$B$29:$GQ$29,0))</f>
        <v>9.0398629599855107E-10</v>
      </c>
      <c r="DA5">
        <f>INDEX($B$19:$GQ$19,MATCH(104,$B$29:$GQ$29,0))</f>
        <v>3.7660614184735207E-9</v>
      </c>
      <c r="DB5">
        <f>INDEX($B$19:$GQ$19,MATCH(105,$B$29:$GQ$29,0))</f>
        <v>3.686913588976965E-9</v>
      </c>
      <c r="DC5">
        <f>INDEX($B$19:$GQ$19,MATCH(106,$B$29:$GQ$29,0))</f>
        <v>0</v>
      </c>
      <c r="DD5">
        <f>INDEX($B$19:$GQ$19,MATCH(107,$B$29:$GQ$29,0))</f>
        <v>6.2532242316471776E-9</v>
      </c>
      <c r="DE5">
        <f>INDEX($B$19:$GQ$19,MATCH(108,$B$29:$GQ$29,0))</f>
        <v>3.6831778759818612E-9</v>
      </c>
      <c r="DF5">
        <f>INDEX($B$19:$GQ$19,MATCH(109,$B$29:$GQ$29,0))</f>
        <v>3.6641851955871908E-9</v>
      </c>
      <c r="DG5">
        <f>INDEX($B$19:$GQ$19,MATCH(110,$B$29:$GQ$29,0))</f>
        <v>1.836880835384791E-9</v>
      </c>
      <c r="DH5">
        <f>INDEX($B$19:$GQ$19,MATCH(111,$B$29:$GQ$29,0))</f>
        <v>4.1038556480076058E-9</v>
      </c>
      <c r="DI5">
        <f>INDEX($B$19:$GQ$19,MATCH(112,$B$29:$GQ$29,0))</f>
        <v>3.598547214483237E-9</v>
      </c>
      <c r="DJ5">
        <f>INDEX($B$19:$GQ$19,MATCH(113,$B$29:$GQ$29,0))</f>
        <v>3.6585085947738121E-9</v>
      </c>
      <c r="DK5">
        <f>INDEX($B$19:$GQ$19,MATCH(114,$B$29:$GQ$29,0))</f>
        <v>3.3166460500563481E-9</v>
      </c>
      <c r="DL5">
        <f>INDEX($B$19:$GQ$19,MATCH(115,$B$29:$GQ$29,0))</f>
        <v>3.2078970192059621E-9</v>
      </c>
      <c r="DM5">
        <f>INDEX($B$19:$GQ$19,MATCH(116,$B$29:$GQ$29,0))</f>
        <v>2.9058986834961551E-10</v>
      </c>
      <c r="DN5">
        <f>INDEX($B$19:$GQ$19,MATCH(117,$B$29:$GQ$29,0))</f>
        <v>0</v>
      </c>
      <c r="DO5">
        <f>INDEX($B$19:$GQ$19,MATCH(118,$B$29:$GQ$29,0))</f>
        <v>4.5359232444121274E-9</v>
      </c>
      <c r="DP5">
        <f>INDEX($B$19:$GQ$19,MATCH(119,$B$29:$GQ$29,0))</f>
        <v>5.204138681026573E-9</v>
      </c>
      <c r="DQ5">
        <f>INDEX($B$19:$GQ$19,MATCH(120,$B$29:$GQ$29,0))</f>
        <v>5.39678216413356E-10</v>
      </c>
      <c r="DR5">
        <f>INDEX($B$19:$GQ$19,MATCH(121,$B$29:$GQ$29,0))</f>
        <v>0</v>
      </c>
      <c r="DS5">
        <f>INDEX($B$19:$GQ$19,MATCH(122,$B$29:$GQ$29,0))</f>
        <v>8.1790525441355701E-9</v>
      </c>
      <c r="DT5">
        <f>INDEX($B$19:$GQ$19,MATCH(123,$B$29:$GQ$29,0))</f>
        <v>1.593576736224137E-9</v>
      </c>
      <c r="DU5">
        <f>INDEX($B$19:$GQ$19,MATCH(124,$B$29:$GQ$29,0))</f>
        <v>3.310419901926094E-9</v>
      </c>
      <c r="DV5">
        <f>INDEX($B$19:$GQ$19,MATCH(125,$B$29:$GQ$29,0))</f>
        <v>2.9969445543613309E-9</v>
      </c>
      <c r="DW5">
        <f>INDEX($B$19:$GQ$19,MATCH(126,$B$29:$GQ$29,0))</f>
        <v>3.397906769592914E-9</v>
      </c>
      <c r="DX5">
        <f>INDEX($B$19:$GQ$19,MATCH(127,$B$29:$GQ$29,0))</f>
        <v>0</v>
      </c>
      <c r="DY5">
        <f>INDEX($B$19:$GQ$19,MATCH(128,$B$29:$GQ$29,0))</f>
        <v>3.1352668428428221E-9</v>
      </c>
      <c r="DZ5">
        <f>INDEX($B$19:$GQ$19,MATCH(129,$B$29:$GQ$29,0))</f>
        <v>6.4161121244670133E-11</v>
      </c>
      <c r="EA5">
        <f>INDEX($B$19:$GQ$19,MATCH(130,$B$29:$GQ$29,0))</f>
        <v>3.684919701763193E-9</v>
      </c>
      <c r="EB5">
        <f>INDEX($B$19:$GQ$19,MATCH(131,$B$29:$GQ$29,0))</f>
        <v>0</v>
      </c>
      <c r="EC5">
        <f>INDEX($B$19:$GQ$19,MATCH(132,$B$29:$GQ$29,0))</f>
        <v>4.553129243689589E-9</v>
      </c>
      <c r="ED5">
        <f>INDEX($B$19:$GQ$19,MATCH(133,$B$29:$GQ$29,0))</f>
        <v>4.6983547977022286E-9</v>
      </c>
      <c r="EE5">
        <f>INDEX($B$19:$GQ$19,MATCH(134,$B$29:$GQ$29,0))</f>
        <v>2.7266742669976759E-8</v>
      </c>
      <c r="EF5">
        <f>INDEX($B$19:$GQ$19,MATCH(135,$B$29:$GQ$29,0))</f>
        <v>3.6006037489909069E-6</v>
      </c>
      <c r="EG5">
        <f>INDEX($B$19:$GQ$19,MATCH(136,$B$29:$GQ$29,0))</f>
        <v>1.032515782650891E-6</v>
      </c>
      <c r="EH5">
        <f>INDEX($B$19:$GQ$19,MATCH(137,$B$29:$GQ$29,0))</f>
        <v>2.6955497423619759E-7</v>
      </c>
      <c r="EI5">
        <f>INDEX($B$19:$GQ$19,MATCH(138,$B$29:$GQ$29,0))</f>
        <v>0</v>
      </c>
      <c r="EJ5">
        <f>INDEX($B$19:$GQ$19,MATCH(139,$B$29:$GQ$29,0))</f>
        <v>0</v>
      </c>
      <c r="EK5">
        <f>INDEX($B$19:$GQ$19,MATCH(140,$B$29:$GQ$29,0))</f>
        <v>0</v>
      </c>
      <c r="EL5">
        <f>INDEX($B$19:$GQ$19,MATCH(141,$B$29:$GQ$29,0))</f>
        <v>0</v>
      </c>
      <c r="EM5">
        <f>INDEX($B$19:$GQ$19,MATCH(142,$B$29:$GQ$29,0))</f>
        <v>0</v>
      </c>
      <c r="EN5">
        <f>INDEX($B$19:$GQ$19,MATCH(143,$B$29:$GQ$29,0))</f>
        <v>0</v>
      </c>
      <c r="EO5">
        <f>INDEX($B$19:$GQ$19,MATCH(144,$B$29:$GQ$29,0))</f>
        <v>0</v>
      </c>
      <c r="EP5">
        <f>INDEX($B$19:$GQ$19,MATCH(145,$B$29:$GQ$29,0))</f>
        <v>3.648556989965826E-9</v>
      </c>
      <c r="EQ5">
        <f>INDEX($B$19:$GQ$19,MATCH(146,$B$29:$GQ$29,0))</f>
        <v>2.8095726517453418E-10</v>
      </c>
      <c r="ER5">
        <f>INDEX($B$19:$GQ$19,MATCH(147,$B$29:$GQ$29,0))</f>
        <v>0</v>
      </c>
      <c r="ES5">
        <f>INDEX($B$19:$GQ$19,MATCH(148,$B$29:$GQ$29,0))</f>
        <v>0</v>
      </c>
      <c r="ET5">
        <f>INDEX($B$19:$GQ$19,MATCH(149,$B$29:$GQ$29,0))</f>
        <v>0</v>
      </c>
      <c r="EU5">
        <f>INDEX($B$19:$GQ$19,MATCH(150,$B$29:$GQ$29,0))</f>
        <v>0</v>
      </c>
      <c r="EV5">
        <f>INDEX($B$19:$GQ$19,MATCH(151,$B$29:$GQ$29,0))</f>
        <v>0</v>
      </c>
      <c r="EW5">
        <f>INDEX($B$19:$GQ$19,MATCH(152,$B$29:$GQ$29,0))</f>
        <v>0</v>
      </c>
      <c r="EX5">
        <f>INDEX($B$19:$GQ$19,MATCH(153,$B$29:$GQ$29,0))</f>
        <v>0</v>
      </c>
      <c r="EY5">
        <f>INDEX($B$19:$GQ$19,MATCH(154,$B$29:$GQ$29,0))</f>
        <v>0</v>
      </c>
      <c r="EZ5">
        <f>INDEX($B$19:$GQ$19,MATCH(155,$B$29:$GQ$29,0))</f>
        <v>1.9723302375388192E-11</v>
      </c>
      <c r="FA5">
        <f>INDEX($B$19:$GQ$19,MATCH(156,$B$29:$GQ$29,0))</f>
        <v>3.4733691877930411E-9</v>
      </c>
      <c r="FB5">
        <f>INDEX($B$19:$GQ$19,MATCH(157,$B$29:$GQ$29,0))</f>
        <v>1.069729323679275E-10</v>
      </c>
      <c r="FC5">
        <f>INDEX($B$19:$GQ$19,MATCH(158,$B$29:$GQ$29,0))</f>
        <v>2.0374874728704932E-9</v>
      </c>
      <c r="FD5">
        <f>INDEX($B$19:$GQ$19,MATCH(159,$B$29:$GQ$29,0))</f>
        <v>2.1674896005678202E-8</v>
      </c>
      <c r="FE5">
        <f>INDEX($B$19:$GQ$19,MATCH(160,$B$29:$GQ$29,0))</f>
        <v>2.7672437715399689E-9</v>
      </c>
      <c r="FF5">
        <f>INDEX($B$19:$GQ$19,MATCH(161,$B$29:$GQ$29,0))</f>
        <v>0</v>
      </c>
      <c r="FG5">
        <f>INDEX($B$19:$GQ$19,MATCH(162,$B$29:$GQ$29,0))</f>
        <v>1.4384770874740841E-9</v>
      </c>
      <c r="FH5">
        <f>INDEX($B$19:$GQ$19,MATCH(163,$B$29:$GQ$29,0))</f>
        <v>0</v>
      </c>
      <c r="FI5">
        <f>INDEX($B$19:$GQ$19,MATCH(164,$B$29:$GQ$29,0))</f>
        <v>4.603448188761769E-12</v>
      </c>
      <c r="FJ5">
        <f>INDEX($B$19:$GQ$19,MATCH(165,$B$29:$GQ$29,0))</f>
        <v>8.7867915722741476E-10</v>
      </c>
      <c r="FK5">
        <f>INDEX($B$19:$GQ$19,MATCH(166,$B$29:$GQ$29,0))</f>
        <v>0</v>
      </c>
      <c r="FL5">
        <f>INDEX($B$19:$GQ$19,MATCH(167,$B$29:$GQ$29,0))</f>
        <v>4.8266643397336266E-10</v>
      </c>
      <c r="FM5">
        <f>INDEX($B$19:$GQ$19,MATCH(168,$B$29:$GQ$29,0))</f>
        <v>9.8780517845042618E-10</v>
      </c>
      <c r="FN5">
        <f>INDEX($B$19:$GQ$19,MATCH(169,$B$29:$GQ$29,0))</f>
        <v>1.6696685276943711E-9</v>
      </c>
      <c r="FO5">
        <f>INDEX($B$19:$GQ$19,MATCH(170,$B$29:$GQ$29,0))</f>
        <v>1.8263247601304319E-10</v>
      </c>
      <c r="FP5">
        <f>INDEX($B$19:$GQ$19,MATCH(171,$B$29:$GQ$29,0))</f>
        <v>2.034796075010176E-10</v>
      </c>
      <c r="FQ5">
        <f>INDEX($B$19:$GQ$19,MATCH(172,$B$29:$GQ$29,0))</f>
        <v>3.0611395733341709E-10</v>
      </c>
      <c r="FR5">
        <f>INDEX($B$19:$GQ$19,MATCH(173,$B$29:$GQ$29,0))</f>
        <v>1.948130083947872E-10</v>
      </c>
      <c r="FS5">
        <f>INDEX($B$19:$GQ$19,MATCH(174,$B$29:$GQ$29,0))</f>
        <v>2.9733871075998643E-11</v>
      </c>
      <c r="FT5">
        <f>INDEX($B$19:$GQ$19,MATCH(175,$B$29:$GQ$29,0))</f>
        <v>0</v>
      </c>
      <c r="FU5">
        <f>INDEX($B$19:$GQ$19,MATCH(176,$B$29:$GQ$29,0))</f>
        <v>3.2526002620997232E-9</v>
      </c>
      <c r="FV5">
        <f>INDEX($B$19:$GQ$19,MATCH(177,$B$29:$GQ$29,0))</f>
        <v>0</v>
      </c>
      <c r="FW5">
        <f>INDEX($B$19:$GQ$19,MATCH(178,$B$29:$GQ$29,0))</f>
        <v>5.52479128014495E-9</v>
      </c>
      <c r="FX5">
        <f>INDEX($B$19:$GQ$19,MATCH(179,$B$29:$GQ$29,0))</f>
        <v>4.9532809379129126E-9</v>
      </c>
      <c r="FY5">
        <f>INDEX($B$19:$GQ$19,MATCH(180,$B$29:$GQ$29,0))</f>
        <v>0</v>
      </c>
      <c r="FZ5">
        <f>INDEX($B$19:$GQ$19,MATCH(181,$B$29:$GQ$29,0))</f>
        <v>1.734216387621732E-9</v>
      </c>
      <c r="GA5">
        <f>INDEX($B$19:$GQ$19,MATCH(182,$B$29:$GQ$29,0))</f>
        <v>2.009566847562156E-9</v>
      </c>
      <c r="GB5">
        <f>INDEX($B$19:$GQ$19,MATCH(183,$B$29:$GQ$29,0))</f>
        <v>2.529201754262614E-9</v>
      </c>
      <c r="GC5">
        <f>INDEX($B$19:$GQ$19,MATCH(184,$B$29:$GQ$29,0))</f>
        <v>0</v>
      </c>
      <c r="GD5">
        <f>INDEX($B$19:$GQ$19,MATCH(185,$B$29:$GQ$29,0))</f>
        <v>0</v>
      </c>
      <c r="GE5">
        <f>INDEX($B$19:$GQ$19,MATCH(186,$B$29:$GQ$29,0))</f>
        <v>0</v>
      </c>
      <c r="GF5">
        <f>INDEX($B$19:$GQ$19,MATCH(187,$B$29:$GQ$29,0))</f>
        <v>0</v>
      </c>
      <c r="GG5">
        <f>INDEX($B$19:$GQ$19,MATCH(188,$B$29:$GQ$29,0))</f>
        <v>0</v>
      </c>
      <c r="GH5">
        <f>INDEX($B$19:$GQ$19,MATCH(189,$B$29:$GQ$29,0))</f>
        <v>0</v>
      </c>
      <c r="GI5">
        <f>INDEX($B$19:$GQ$19,MATCH(190,$B$29:$GQ$29,0))</f>
        <v>0</v>
      </c>
      <c r="GJ5">
        <f>INDEX($B$19:$GQ$19,MATCH(191,$B$29:$GQ$29,0))</f>
        <v>2.5153647900367018E-10</v>
      </c>
      <c r="GK5">
        <f>INDEX($B$19:$GQ$19,MATCH(192,$B$29:$GQ$29,0))</f>
        <v>5.147410190826834E-10</v>
      </c>
      <c r="GL5">
        <f>INDEX($B$19:$GQ$19,MATCH(193,$B$29:$GQ$29,0))</f>
        <v>1.069085897411092E-16</v>
      </c>
      <c r="GM5">
        <f>INDEX($B$19:$GQ$19,MATCH(194,$B$29:$GQ$29,0))</f>
        <v>0</v>
      </c>
      <c r="GN5">
        <f>INDEX($B$19:$GQ$19,MATCH(195,$B$29:$GQ$29,0))</f>
        <v>1.0677575480032599E-9</v>
      </c>
      <c r="GO5">
        <f>INDEX($B$19:$GQ$19,MATCH(196,$B$29:$GQ$29,0))</f>
        <v>0</v>
      </c>
      <c r="GP5">
        <f>INDEX($B$19:$GQ$19,MATCH(197,$B$29:$GQ$29,0))</f>
        <v>4.3234097816906417E-9</v>
      </c>
      <c r="GQ5">
        <f>INDEX($B$19:$GQ$19,MATCH(198,$B$29:$GQ$29,0))</f>
        <v>0</v>
      </c>
      <c r="GR5">
        <f>INDEX($GR$19:$HC$19,MATCH(1,$GR$30:$HC$30,0))</f>
        <v>5.1117884975148838E-7</v>
      </c>
      <c r="GS5">
        <f>INDEX($GR$19:$HC$19,MATCH(2,$GR$30:$HC$30,0))</f>
        <v>4.3907976401249509E-7</v>
      </c>
      <c r="GT5">
        <f>INDEX($GR$19:$HC$19,MATCH(3,$GR$30:$HC$30,0))</f>
        <v>7.1518240630724624E-9</v>
      </c>
      <c r="GU5">
        <f>INDEX($GR$19:$HC$19,MATCH(4,$GR$30:$HC$30,0))</f>
        <v>1.075909685212967E-8</v>
      </c>
      <c r="GV5">
        <f>INDEX($GR$19:$HC$19,MATCH(5,$GR$30:$HC$30,0))</f>
        <v>1.4384068374647699E-6</v>
      </c>
      <c r="GW5">
        <f>INDEX($GR$19:$HC$19,MATCH(6,$GR$30:$HC$30,0))</f>
        <v>7.8168260052443542E-7</v>
      </c>
      <c r="GX5">
        <f>INDEX($GR$19:$HC$19,MATCH(7,$GR$30:$HC$30,0))</f>
        <v>8.0358700547981484E-7</v>
      </c>
      <c r="GY5">
        <f>INDEX($GR$19:$HC$19,MATCH(8,$GR$30:$HC$30,0))</f>
        <v>2.4002681450324022E-7</v>
      </c>
      <c r="GZ5">
        <f>INDEX($GR$19:$HC$19,MATCH(9,$GR$30:$HC$30,0))</f>
        <v>5.9111076213868431E-8</v>
      </c>
      <c r="HA5">
        <f>INDEX($GR$19:$HC$19,MATCH(10,$GR$30:$HC$30,0))</f>
        <v>1.172951730665936E-8</v>
      </c>
      <c r="HB5">
        <f>INDEX($GR$19:$HC$19,MATCH(11,$GR$30:$HC$30,0))</f>
        <v>3.353132572652006E-9</v>
      </c>
      <c r="HC5">
        <f>INDEX($GR$19:$HC$19,MATCH(12,$GR$30:$HC$30,0))</f>
        <v>4.6151651462243498E-9</v>
      </c>
    </row>
    <row r="6" spans="1:211" x14ac:dyDescent="0.45">
      <c r="A6" s="1" t="s">
        <v>5</v>
      </c>
      <c r="B6">
        <f>INDEX($B$20:$GQ$20,MATCH(1,$B$29:$GQ$29,0))</f>
        <v>7.2875802959179187E-7</v>
      </c>
      <c r="C6">
        <f>INDEX($B$20:$GQ$20,MATCH(2,$B$29:$GQ$29,0))</f>
        <v>2.8818759768423239E-6</v>
      </c>
      <c r="D6">
        <f>INDEX($B$20:$GQ$20,MATCH(3,$B$29:$GQ$29,0))</f>
        <v>2.1572476430301251E-7</v>
      </c>
      <c r="E6">
        <f>INDEX($B$20:$GQ$20,MATCH(4,$B$29:$GQ$29,0))</f>
        <v>4.1798395588813399E-7</v>
      </c>
      <c r="F6">
        <f>INDEX($B$20:$GQ$20,MATCH(5,$B$29:$GQ$29,0))</f>
        <v>7.2689971595422603E-7</v>
      </c>
      <c r="G6">
        <f>INDEX($B$20:$GQ$20,MATCH(6,$B$29:$GQ$29,0))</f>
        <v>2.3873797329355201E-7</v>
      </c>
      <c r="H6">
        <f>INDEX($B$20:$GQ$20,MATCH(7,$B$29:$GQ$29,0))</f>
        <v>2.1323170332931011E-8</v>
      </c>
      <c r="I6">
        <f>INDEX($B$20:$GQ$20,MATCH(8,$B$29:$GQ$29,0))</f>
        <v>9.9092459756315847E-8</v>
      </c>
      <c r="J6">
        <f>INDEX($B$20:$GQ$20,MATCH(9,$B$29:$GQ$29,0))</f>
        <v>6.4484484655835951E-8</v>
      </c>
      <c r="K6">
        <f>INDEX($B$20:$GQ$20,MATCH(10,$B$29:$GQ$29,0))</f>
        <v>2.3309568647839188E-6</v>
      </c>
      <c r="L6">
        <f>INDEX($B$20:$GQ$20,MATCH(11,$B$29:$GQ$29,0))</f>
        <v>4.7143027575047737E-6</v>
      </c>
      <c r="M6">
        <f>INDEX($B$20:$GQ$20,MATCH(12,$B$29:$GQ$29,0))</f>
        <v>5.7572993842422601E-6</v>
      </c>
      <c r="N6">
        <f>INDEX($B$20:$GQ$20,MATCH(13,$B$29:$GQ$29,0))</f>
        <v>2.6255022720755839E-7</v>
      </c>
      <c r="O6">
        <f>INDEX($B$20:$GQ$20,MATCH(14,$B$29:$GQ$29,0))</f>
        <v>7.6635657103777639E-7</v>
      </c>
      <c r="P6">
        <f>INDEX($B$20:$GQ$20,MATCH(15,$B$29:$GQ$29,0))</f>
        <v>4.8860581102752865E-7</v>
      </c>
      <c r="Q6">
        <f>INDEX($B$20:$GQ$20,MATCH(16,$B$29:$GQ$29,0))</f>
        <v>5.0688414780980037E-8</v>
      </c>
      <c r="R6">
        <f>INDEX($B$20:$GQ$20,MATCH(17,$B$29:$GQ$29,0))</f>
        <v>1.4101268918455821E-6</v>
      </c>
      <c r="S6">
        <f>INDEX($B$20:$GQ$20,MATCH(18,$B$29:$GQ$29,0))</f>
        <v>4.5822527685400602E-8</v>
      </c>
      <c r="T6">
        <f>INDEX($B$20:$GQ$20,MATCH(19,$B$29:$GQ$29,0))</f>
        <v>2.397430384517339E-7</v>
      </c>
      <c r="U6">
        <f>INDEX($B$20:$GQ$20,MATCH(20,$B$29:$GQ$29,0))</f>
        <v>2.129184840612618E-7</v>
      </c>
      <c r="V6">
        <f>INDEX($B$20:$GQ$20,MATCH(21,$B$29:$GQ$29,0))</f>
        <v>2.0957648001781468E-6</v>
      </c>
      <c r="W6">
        <f>INDEX($B$20:$GQ$20,MATCH(22,$B$29:$GQ$29,0))</f>
        <v>1.7924317463809489E-7</v>
      </c>
      <c r="X6">
        <f>INDEX($B$20:$GQ$20,MATCH(23,$B$29:$GQ$29,0))</f>
        <v>4.2081959479648092E-8</v>
      </c>
      <c r="Y6">
        <f>INDEX($B$20:$GQ$20,MATCH(24,$B$29:$GQ$29,0))</f>
        <v>9.8668436665342647E-8</v>
      </c>
      <c r="Z6">
        <f>INDEX($B$20:$GQ$20,MATCH(25,$B$29:$GQ$29,0))</f>
        <v>5.7938842125440883E-7</v>
      </c>
      <c r="AA6">
        <f>INDEX($B$20:$GQ$20,MATCH(26,$B$29:$GQ$29,0))</f>
        <v>9.6381897797572926E-8</v>
      </c>
      <c r="AB6">
        <f>INDEX($B$20:$GQ$20,MATCH(27,$B$29:$GQ$29,0))</f>
        <v>9.0359975882999984E-7</v>
      </c>
      <c r="AC6">
        <f>INDEX($B$20:$GQ$20,MATCH(28,$B$29:$GQ$29,0))</f>
        <v>5.9153280957262219E-8</v>
      </c>
      <c r="AD6">
        <f>INDEX($B$20:$GQ$20,MATCH(29,$B$29:$GQ$29,0))</f>
        <v>1.4378009544147681E-7</v>
      </c>
      <c r="AE6">
        <f>INDEX($B$20:$GQ$20,MATCH(30,$B$29:$GQ$29,0))</f>
        <v>6.1664930864877428E-7</v>
      </c>
      <c r="AF6">
        <f>INDEX($B$20:$GQ$20,MATCH(31,$B$29:$GQ$29,0))</f>
        <v>1.079403418762214E-7</v>
      </c>
      <c r="AG6">
        <f>INDEX($B$20:$GQ$20,MATCH(32,$B$29:$GQ$29,0))</f>
        <v>2.5042408771273511E-8</v>
      </c>
      <c r="AH6">
        <f>INDEX($B$20:$GQ$20,MATCH(33,$B$29:$GQ$29,0))</f>
        <v>1.625171934242447E-6</v>
      </c>
      <c r="AI6">
        <f>INDEX($B$20:$GQ$20,MATCH(34,$B$29:$GQ$29,0))</f>
        <v>2.4615057308889729E-8</v>
      </c>
      <c r="AJ6">
        <f>INDEX($B$20:$GQ$20,MATCH(35,$B$29:$GQ$29,0))</f>
        <v>3.561231077556948E-8</v>
      </c>
      <c r="AK6">
        <f>INDEX($B$20:$GQ$20,MATCH(36,$B$29:$GQ$29,0))</f>
        <v>7.9780576443002651E-7</v>
      </c>
      <c r="AL6">
        <f>INDEX($B$20:$GQ$20,MATCH(37,$B$29:$GQ$29,0))</f>
        <v>9.8368248543185127E-8</v>
      </c>
      <c r="AM6">
        <f>INDEX($B$20:$GQ$20,MATCH(38,$B$29:$GQ$29,0))</f>
        <v>9.0149119491322518E-7</v>
      </c>
      <c r="AN6">
        <f>INDEX($B$20:$GQ$20,MATCH(39,$B$29:$GQ$29,0))</f>
        <v>2.0310524851216759E-7</v>
      </c>
      <c r="AO6">
        <f>INDEX($B$20:$GQ$20,MATCH(40,$B$29:$GQ$29,0))</f>
        <v>2.4228030134010859E-8</v>
      </c>
      <c r="AP6">
        <f>INDEX($B$20:$GQ$20,MATCH(41,$B$29:$GQ$29,0))</f>
        <v>6.1466038353520657E-8</v>
      </c>
      <c r="AQ6">
        <f>INDEX($B$20:$GQ$20,MATCH(42,$B$29:$GQ$29,0))</f>
        <v>2.1100814331289309E-7</v>
      </c>
      <c r="AR6">
        <f>INDEX($B$20:$GQ$20,MATCH(43,$B$29:$GQ$29,0))</f>
        <v>1.075222944446832E-7</v>
      </c>
      <c r="AS6">
        <f>INDEX($B$20:$GQ$20,MATCH(44,$B$29:$GQ$29,0))</f>
        <v>0</v>
      </c>
      <c r="AT6">
        <f>INDEX($B$20:$GQ$20,MATCH(45,$B$29:$GQ$29,0))</f>
        <v>7.7480957787848208E-8</v>
      </c>
      <c r="AU6">
        <f>INDEX($B$20:$GQ$20,MATCH(46,$B$29:$GQ$29,0))</f>
        <v>2.7538492547918991E-8</v>
      </c>
      <c r="AV6">
        <f>INDEX($B$20:$GQ$20,MATCH(47,$B$29:$GQ$29,0))</f>
        <v>4.9623295888290703E-8</v>
      </c>
      <c r="AW6">
        <f>INDEX($B$20:$GQ$20,MATCH(48,$B$29:$GQ$29,0))</f>
        <v>6.2069305372512232E-8</v>
      </c>
      <c r="AX6">
        <f>INDEX($B$20:$GQ$20,MATCH(49,$B$29:$GQ$29,0))</f>
        <v>1.109490700730354E-5</v>
      </c>
      <c r="AY6">
        <f>INDEX($B$20:$GQ$20,MATCH(50,$B$29:$GQ$29,0))</f>
        <v>8.3903832293477902E-7</v>
      </c>
      <c r="AZ6">
        <f>INDEX($B$20:$GQ$20,MATCH(51,$B$29:$GQ$29,0))</f>
        <v>1.5997004936547309E-8</v>
      </c>
      <c r="BA6">
        <f>INDEX($B$20:$GQ$20,MATCH(52,$B$29:$GQ$29,0))</f>
        <v>3.8950417613685202E-8</v>
      </c>
      <c r="BB6">
        <f>INDEX($B$20:$GQ$20,MATCH(53,$B$29:$GQ$29,0))</f>
        <v>3.8730514561617647E-8</v>
      </c>
      <c r="BC6">
        <f>INDEX($B$20:$GQ$20,MATCH(54,$B$29:$GQ$29,0))</f>
        <v>1.2074008423749739E-7</v>
      </c>
      <c r="BD6">
        <f>INDEX($B$20:$GQ$20,MATCH(55,$B$29:$GQ$29,0))</f>
        <v>2.754212221375211E-6</v>
      </c>
      <c r="BE6">
        <f>INDEX($B$20:$GQ$20,MATCH(56,$B$29:$GQ$29,0))</f>
        <v>0</v>
      </c>
      <c r="BF6">
        <f>INDEX($B$20:$GQ$20,MATCH(57,$B$29:$GQ$29,0))</f>
        <v>3.4007371023081281E-8</v>
      </c>
      <c r="BG6">
        <f>INDEX($B$20:$GQ$20,MATCH(58,$B$29:$GQ$29,0))</f>
        <v>2.0062290094296982E-6</v>
      </c>
      <c r="BH6">
        <f>INDEX($B$20:$GQ$20,MATCH(59,$B$29:$GQ$29,0))</f>
        <v>7.766503402227005E-8</v>
      </c>
      <c r="BI6">
        <f>INDEX($B$20:$GQ$20,MATCH(60,$B$29:$GQ$29,0))</f>
        <v>2.063254947009899E-8</v>
      </c>
      <c r="BJ6">
        <f>INDEX($B$20:$GQ$20,MATCH(61,$B$29:$GQ$29,0))</f>
        <v>1.8481412202438599E-7</v>
      </c>
      <c r="BK6">
        <f>INDEX($B$20:$GQ$20,MATCH(62,$B$29:$GQ$29,0))</f>
        <v>0</v>
      </c>
      <c r="BL6">
        <f>INDEX($B$20:$GQ$20,MATCH(63,$B$29:$GQ$29,0))</f>
        <v>1.5197437277037201E-8</v>
      </c>
      <c r="BM6">
        <f>INDEX($B$20:$GQ$20,MATCH(64,$B$29:$GQ$29,0))</f>
        <v>6.9844336580901094E-7</v>
      </c>
      <c r="BN6">
        <f>INDEX($B$20:$GQ$20,MATCH(65,$B$29:$GQ$29,0))</f>
        <v>6.8719406856611128E-8</v>
      </c>
      <c r="BO6">
        <f>INDEX($B$20:$GQ$20,MATCH(66,$B$29:$GQ$29,0))</f>
        <v>7.1330084472531945E-8</v>
      </c>
      <c r="BP6">
        <f>INDEX($B$20:$GQ$20,MATCH(67,$B$29:$GQ$29,0))</f>
        <v>0</v>
      </c>
      <c r="BQ6">
        <f>INDEX($B$20:$GQ$20,MATCH(68,$B$29:$GQ$29,0))</f>
        <v>0</v>
      </c>
      <c r="BR6">
        <f>INDEX($B$20:$GQ$20,MATCH(69,$B$29:$GQ$29,0))</f>
        <v>2.0569843065905501E-8</v>
      </c>
      <c r="BS6">
        <f>INDEX($B$20:$GQ$20,MATCH(70,$B$29:$GQ$29,0))</f>
        <v>1.9309543540917909E-8</v>
      </c>
      <c r="BT6">
        <f>INDEX($B$20:$GQ$20,MATCH(71,$B$29:$GQ$29,0))</f>
        <v>5.49405469278318E-8</v>
      </c>
      <c r="BU6">
        <f>INDEX($B$20:$GQ$20,MATCH(72,$B$29:$GQ$29,0))</f>
        <v>1.900323563403102E-6</v>
      </c>
      <c r="BV6">
        <f>INDEX($B$20:$GQ$20,MATCH(73,$B$29:$GQ$29,0))</f>
        <v>0</v>
      </c>
      <c r="BW6">
        <f>INDEX($B$20:$GQ$20,MATCH(74,$B$29:$GQ$29,0))</f>
        <v>2.9033575471685809E-8</v>
      </c>
      <c r="BX6">
        <f>INDEX($B$20:$GQ$20,MATCH(75,$B$29:$GQ$29,0))</f>
        <v>4.8027387812941947E-8</v>
      </c>
      <c r="BY6">
        <f>INDEX($B$20:$GQ$20,MATCH(76,$B$29:$GQ$29,0))</f>
        <v>3.9983633935818341E-7</v>
      </c>
      <c r="BZ6">
        <f>INDEX($B$20:$GQ$20,MATCH(77,$B$29:$GQ$29,0))</f>
        <v>5.7805264250876553E-8</v>
      </c>
      <c r="CA6">
        <f>INDEX($B$20:$GQ$20,MATCH(78,$B$29:$GQ$29,0))</f>
        <v>0</v>
      </c>
      <c r="CB6">
        <f>INDEX($B$20:$GQ$20,MATCH(79,$B$29:$GQ$29,0))</f>
        <v>8.1378827383612736E-8</v>
      </c>
      <c r="CC6">
        <f>INDEX($B$20:$GQ$20,MATCH(80,$B$29:$GQ$29,0))</f>
        <v>1.9857736954327929E-7</v>
      </c>
      <c r="CD6">
        <f>INDEX($B$20:$GQ$20,MATCH(81,$B$29:$GQ$29,0))</f>
        <v>6.9850774154277531E-9</v>
      </c>
      <c r="CE6">
        <f>INDEX($B$20:$GQ$20,MATCH(82,$B$29:$GQ$29,0))</f>
        <v>0</v>
      </c>
      <c r="CF6">
        <f>INDEX($B$20:$GQ$20,MATCH(83,$B$29:$GQ$29,0))</f>
        <v>3.4652273884093242E-8</v>
      </c>
      <c r="CG6">
        <f>INDEX($B$20:$GQ$20,MATCH(84,$B$29:$GQ$29,0))</f>
        <v>1.3570517799290999E-9</v>
      </c>
      <c r="CH6">
        <f>INDEX($B$20:$GQ$20,MATCH(85,$B$29:$GQ$29,0))</f>
        <v>3.4508420939744129E-7</v>
      </c>
      <c r="CI6">
        <f>INDEX($B$20:$GQ$20,MATCH(86,$B$29:$GQ$29,0))</f>
        <v>3.8640580744306029E-8</v>
      </c>
      <c r="CJ6">
        <f>INDEX($B$20:$GQ$20,MATCH(87,$B$29:$GQ$29,0))</f>
        <v>1.6831708413066821E-8</v>
      </c>
      <c r="CK6">
        <f>INDEX($B$20:$GQ$20,MATCH(88,$B$29:$GQ$29,0))</f>
        <v>3.0387999857294867E-8</v>
      </c>
      <c r="CL6">
        <f>INDEX($B$20:$GQ$20,MATCH(89,$B$29:$GQ$29,0))</f>
        <v>2.681837230752152E-8</v>
      </c>
      <c r="CM6">
        <f>INDEX($B$20:$GQ$20,MATCH(90,$B$29:$GQ$29,0))</f>
        <v>3.6678089083481673E-8</v>
      </c>
      <c r="CN6">
        <f>INDEX($B$20:$GQ$20,MATCH(91,$B$29:$GQ$29,0))</f>
        <v>4.0269252446310688E-8</v>
      </c>
      <c r="CO6">
        <f>INDEX($B$20:$GQ$20,MATCH(92,$B$29:$GQ$29,0))</f>
        <v>2.286352427955471E-8</v>
      </c>
      <c r="CP6">
        <f>INDEX($B$20:$GQ$20,MATCH(93,$B$29:$GQ$29,0))</f>
        <v>2.7684466830572541E-8</v>
      </c>
      <c r="CQ6">
        <f>INDEX($B$20:$GQ$20,MATCH(94,$B$29:$GQ$29,0))</f>
        <v>2.4517765383925349E-8</v>
      </c>
      <c r="CR6">
        <f>INDEX($B$20:$GQ$20,MATCH(95,$B$29:$GQ$29,0))</f>
        <v>0</v>
      </c>
      <c r="CS6">
        <f>INDEX($B$20:$GQ$20,MATCH(96,$B$29:$GQ$29,0))</f>
        <v>2.8792164171089889E-8</v>
      </c>
      <c r="CT6">
        <f>INDEX($B$20:$GQ$20,MATCH(97,$B$29:$GQ$29,0))</f>
        <v>0</v>
      </c>
      <c r="CU6">
        <f>INDEX($B$20:$GQ$20,MATCH(98,$B$29:$GQ$29,0))</f>
        <v>3.1640687455566653E-8</v>
      </c>
      <c r="CV6">
        <f>INDEX($B$20:$GQ$20,MATCH(99,$B$29:$GQ$29,0))</f>
        <v>2.0982620234294711E-8</v>
      </c>
      <c r="CW6">
        <f>INDEX($B$20:$GQ$20,MATCH(100,$B$29:$GQ$29,0))</f>
        <v>2.0465380878650381E-8</v>
      </c>
      <c r="CX6">
        <f>INDEX($B$20:$GQ$20,MATCH(101,$B$29:$GQ$29,0))</f>
        <v>2.468133744527088E-8</v>
      </c>
      <c r="CY6">
        <f>INDEX($B$20:$GQ$20,MATCH(102,$B$29:$GQ$29,0))</f>
        <v>7.0478023853326318E-8</v>
      </c>
      <c r="CZ6">
        <f>INDEX($B$20:$GQ$20,MATCH(103,$B$29:$GQ$29,0))</f>
        <v>6.077184894221723E-8</v>
      </c>
      <c r="DA6">
        <f>INDEX($B$20:$GQ$20,MATCH(104,$B$29:$GQ$29,0))</f>
        <v>2.634085538109678E-8</v>
      </c>
      <c r="DB6">
        <f>INDEX($B$20:$GQ$20,MATCH(105,$B$29:$GQ$29,0))</f>
        <v>2.0049003720917991E-8</v>
      </c>
      <c r="DC6">
        <f>INDEX($B$20:$GQ$20,MATCH(106,$B$29:$GQ$29,0))</f>
        <v>1.9885263354938341E-8</v>
      </c>
      <c r="DD6">
        <f>INDEX($B$20:$GQ$20,MATCH(107,$B$29:$GQ$29,0))</f>
        <v>1.363266612047383E-8</v>
      </c>
      <c r="DE6">
        <f>INDEX($B$20:$GQ$20,MATCH(108,$B$29:$GQ$29,0))</f>
        <v>2.225780062103958E-8</v>
      </c>
      <c r="DF6">
        <f>INDEX($B$20:$GQ$20,MATCH(109,$B$29:$GQ$29,0))</f>
        <v>2.0739923620335651E-8</v>
      </c>
      <c r="DG6">
        <f>INDEX($B$20:$GQ$20,MATCH(110,$B$29:$GQ$29,0))</f>
        <v>9.4690816943050542E-7</v>
      </c>
      <c r="DH6">
        <f>INDEX($B$20:$GQ$20,MATCH(111,$B$29:$GQ$29,0))</f>
        <v>3.5302462161612631E-8</v>
      </c>
      <c r="DI6">
        <f>INDEX($B$20:$GQ$20,MATCH(112,$B$29:$GQ$29,0))</f>
        <v>1.5502342747392271E-8</v>
      </c>
      <c r="DJ6">
        <f>INDEX($B$20:$GQ$20,MATCH(113,$B$29:$GQ$29,0))</f>
        <v>1.8716611810740791E-8</v>
      </c>
      <c r="DK6">
        <f>INDEX($B$20:$GQ$20,MATCH(114,$B$29:$GQ$29,0))</f>
        <v>4.3440355449981318E-8</v>
      </c>
      <c r="DL6">
        <f>INDEX($B$20:$GQ$20,MATCH(115,$B$29:$GQ$29,0))</f>
        <v>8.5805369153334518E-8</v>
      </c>
      <c r="DM6">
        <f>INDEX($B$20:$GQ$20,MATCH(116,$B$29:$GQ$29,0))</f>
        <v>7.4561581375227183E-8</v>
      </c>
      <c r="DN6">
        <f>INDEX($B$20:$GQ$20,MATCH(117,$B$29:$GQ$29,0))</f>
        <v>2.755065571103099E-8</v>
      </c>
      <c r="DO6">
        <f>INDEX($B$20:$GQ$20,MATCH(118,$B$29:$GQ$29,0))</f>
        <v>6.5438875189550427E-8</v>
      </c>
      <c r="DP6">
        <f>INDEX($B$20:$GQ$20,MATCH(119,$B$29:$GQ$29,0))</f>
        <v>0</v>
      </c>
      <c r="DQ6">
        <f>INDEX($B$20:$GQ$20,MATCH(120,$B$29:$GQ$29,0))</f>
        <v>2.4350316880289282E-7</v>
      </c>
      <c r="DR6">
        <f>INDEX($B$20:$GQ$20,MATCH(121,$B$29:$GQ$29,0))</f>
        <v>1.8974304426987018E-8</v>
      </c>
      <c r="DS6">
        <f>INDEX($B$20:$GQ$20,MATCH(122,$B$29:$GQ$29,0))</f>
        <v>5.856469867378254E-8</v>
      </c>
      <c r="DT6">
        <f>INDEX($B$20:$GQ$20,MATCH(123,$B$29:$GQ$29,0))</f>
        <v>1.249784527100086E-8</v>
      </c>
      <c r="DU6">
        <f>INDEX($B$20:$GQ$20,MATCH(124,$B$29:$GQ$29,0))</f>
        <v>0</v>
      </c>
      <c r="DV6">
        <f>INDEX($B$20:$GQ$20,MATCH(125,$B$29:$GQ$29,0))</f>
        <v>8.057987227487263E-8</v>
      </c>
      <c r="DW6">
        <f>INDEX($B$20:$GQ$20,MATCH(126,$B$29:$GQ$29,0))</f>
        <v>2.0938400123763551E-8</v>
      </c>
      <c r="DX6">
        <f>INDEX($B$20:$GQ$20,MATCH(127,$B$29:$GQ$29,0))</f>
        <v>3.7256167584603347E-9</v>
      </c>
      <c r="DY6">
        <f>INDEX($B$20:$GQ$20,MATCH(128,$B$29:$GQ$29,0))</f>
        <v>0</v>
      </c>
      <c r="DZ6">
        <f>INDEX($B$20:$GQ$20,MATCH(129,$B$29:$GQ$29,0))</f>
        <v>2.9175844222701319E-8</v>
      </c>
      <c r="EA6">
        <f>INDEX($B$20:$GQ$20,MATCH(130,$B$29:$GQ$29,0))</f>
        <v>0</v>
      </c>
      <c r="EB6">
        <f>INDEX($B$20:$GQ$20,MATCH(131,$B$29:$GQ$29,0))</f>
        <v>4.2506495446732872E-9</v>
      </c>
      <c r="EC6">
        <f>INDEX($B$20:$GQ$20,MATCH(132,$B$29:$GQ$29,0))</f>
        <v>3.67927048050723E-8</v>
      </c>
      <c r="ED6">
        <f>INDEX($B$20:$GQ$20,MATCH(133,$B$29:$GQ$29,0))</f>
        <v>0</v>
      </c>
      <c r="EE6">
        <f>INDEX($B$20:$GQ$20,MATCH(134,$B$29:$GQ$29,0))</f>
        <v>7.9480754923454772E-7</v>
      </c>
      <c r="EF6">
        <f>INDEX($B$20:$GQ$20,MATCH(135,$B$29:$GQ$29,0))</f>
        <v>2.239826258934101E-5</v>
      </c>
      <c r="EG6">
        <f>INDEX($B$20:$GQ$20,MATCH(136,$B$29:$GQ$29,0))</f>
        <v>9.922529144135436E-7</v>
      </c>
      <c r="EH6">
        <f>INDEX($B$20:$GQ$20,MATCH(137,$B$29:$GQ$29,0))</f>
        <v>1.266524442893996E-5</v>
      </c>
      <c r="EI6">
        <f>INDEX($B$20:$GQ$20,MATCH(138,$B$29:$GQ$29,0))</f>
        <v>0</v>
      </c>
      <c r="EJ6">
        <f>INDEX($B$20:$GQ$20,MATCH(139,$B$29:$GQ$29,0))</f>
        <v>0</v>
      </c>
      <c r="EK6">
        <f>INDEX($B$20:$GQ$20,MATCH(140,$B$29:$GQ$29,0))</f>
        <v>2.5010854729134839E-9</v>
      </c>
      <c r="EL6">
        <f>INDEX($B$20:$GQ$20,MATCH(141,$B$29:$GQ$29,0))</f>
        <v>0</v>
      </c>
      <c r="EM6">
        <f>INDEX($B$20:$GQ$20,MATCH(142,$B$29:$GQ$29,0))</f>
        <v>1.9951240668426761E-8</v>
      </c>
      <c r="EN6">
        <f>INDEX($B$20:$GQ$20,MATCH(143,$B$29:$GQ$29,0))</f>
        <v>6.3731208514210796E-8</v>
      </c>
      <c r="EO6">
        <f>INDEX($B$20:$GQ$20,MATCH(144,$B$29:$GQ$29,0))</f>
        <v>0</v>
      </c>
      <c r="EP6">
        <f>INDEX($B$20:$GQ$20,MATCH(145,$B$29:$GQ$29,0))</f>
        <v>2.1969072524696911E-8</v>
      </c>
      <c r="EQ6">
        <f>INDEX($B$20:$GQ$20,MATCH(146,$B$29:$GQ$29,0))</f>
        <v>3.4510867792729828E-7</v>
      </c>
      <c r="ER6">
        <f>INDEX($B$20:$GQ$20,MATCH(147,$B$29:$GQ$29,0))</f>
        <v>0</v>
      </c>
      <c r="ES6">
        <f>INDEX($B$20:$GQ$20,MATCH(148,$B$29:$GQ$29,0))</f>
        <v>9.5006704149764633E-9</v>
      </c>
      <c r="ET6">
        <f>INDEX($B$20:$GQ$20,MATCH(149,$B$29:$GQ$29,0))</f>
        <v>1.6283245175999429E-11</v>
      </c>
      <c r="EU6">
        <f>INDEX($B$20:$GQ$20,MATCH(150,$B$29:$GQ$29,0))</f>
        <v>4.8700671770319179E-5</v>
      </c>
      <c r="EV6">
        <f>INDEX($B$20:$GQ$20,MATCH(151,$B$29:$GQ$29,0))</f>
        <v>1.882463046878597E-7</v>
      </c>
      <c r="EW6">
        <f>INDEX($B$20:$GQ$20,MATCH(152,$B$29:$GQ$29,0))</f>
        <v>1.4685777823811781E-9</v>
      </c>
      <c r="EX6">
        <f>INDEX($B$20:$GQ$20,MATCH(153,$B$29:$GQ$29,0))</f>
        <v>2.6571408448120879E-7</v>
      </c>
      <c r="EY6">
        <f>INDEX($B$20:$GQ$20,MATCH(154,$B$29:$GQ$29,0))</f>
        <v>5.707699771731172E-9</v>
      </c>
      <c r="EZ6">
        <f>INDEX($B$20:$GQ$20,MATCH(155,$B$29:$GQ$29,0))</f>
        <v>8.6389578728615818E-10</v>
      </c>
      <c r="FA6">
        <f>INDEX($B$20:$GQ$20,MATCH(156,$B$29:$GQ$29,0))</f>
        <v>4.3199006107905121E-9</v>
      </c>
      <c r="FB6">
        <f>INDEX($B$20:$GQ$20,MATCH(157,$B$29:$GQ$29,0))</f>
        <v>1.0994382720998079E-9</v>
      </c>
      <c r="FC6">
        <f>INDEX($B$20:$GQ$20,MATCH(158,$B$29:$GQ$29,0))</f>
        <v>6.1410945135343281E-9</v>
      </c>
      <c r="FD6">
        <f>INDEX($B$20:$GQ$20,MATCH(159,$B$29:$GQ$29,0))</f>
        <v>1.107256389107885E-6</v>
      </c>
      <c r="FE6">
        <f>INDEX($B$20:$GQ$20,MATCH(160,$B$29:$GQ$29,0))</f>
        <v>0</v>
      </c>
      <c r="FF6">
        <f>INDEX($B$20:$GQ$20,MATCH(161,$B$29:$GQ$29,0))</f>
        <v>0</v>
      </c>
      <c r="FG6">
        <f>INDEX($B$20:$GQ$20,MATCH(162,$B$29:$GQ$29,0))</f>
        <v>0</v>
      </c>
      <c r="FH6">
        <f>INDEX($B$20:$GQ$20,MATCH(163,$B$29:$GQ$29,0))</f>
        <v>0</v>
      </c>
      <c r="FI6">
        <f>INDEX($B$20:$GQ$20,MATCH(164,$B$29:$GQ$29,0))</f>
        <v>0</v>
      </c>
      <c r="FJ6">
        <f>INDEX($B$20:$GQ$20,MATCH(165,$B$29:$GQ$29,0))</f>
        <v>1.6833823160097651E-8</v>
      </c>
      <c r="FK6">
        <f>INDEX($B$20:$GQ$20,MATCH(166,$B$29:$GQ$29,0))</f>
        <v>0</v>
      </c>
      <c r="FL6">
        <f>INDEX($B$20:$GQ$20,MATCH(167,$B$29:$GQ$29,0))</f>
        <v>2.9020787831934251E-8</v>
      </c>
      <c r="FM6">
        <f>INDEX($B$20:$GQ$20,MATCH(168,$B$29:$GQ$29,0))</f>
        <v>0</v>
      </c>
      <c r="FN6">
        <f>INDEX($B$20:$GQ$20,MATCH(169,$B$29:$GQ$29,0))</f>
        <v>0</v>
      </c>
      <c r="FO6">
        <f>INDEX($B$20:$GQ$20,MATCH(170,$B$29:$GQ$29,0))</f>
        <v>9.5923606062496737E-9</v>
      </c>
      <c r="FP6">
        <f>INDEX($B$20:$GQ$20,MATCH(171,$B$29:$GQ$29,0))</f>
        <v>0</v>
      </c>
      <c r="FQ6">
        <f>INDEX($B$20:$GQ$20,MATCH(172,$B$29:$GQ$29,0))</f>
        <v>1.241835157112791E-8</v>
      </c>
      <c r="FR6">
        <f>INDEX($B$20:$GQ$20,MATCH(173,$B$29:$GQ$29,0))</f>
        <v>7.6469425037417834E-9</v>
      </c>
      <c r="FS6">
        <f>INDEX($B$20:$GQ$20,MATCH(174,$B$29:$GQ$29,0))</f>
        <v>0</v>
      </c>
      <c r="FT6">
        <f>INDEX($B$20:$GQ$20,MATCH(175,$B$29:$GQ$29,0))</f>
        <v>0</v>
      </c>
      <c r="FU6">
        <f>INDEX($B$20:$GQ$20,MATCH(176,$B$29:$GQ$29,0))</f>
        <v>1.3805652822627259E-6</v>
      </c>
      <c r="FV6">
        <f>INDEX($B$20:$GQ$20,MATCH(177,$B$29:$GQ$29,0))</f>
        <v>0</v>
      </c>
      <c r="FW6">
        <f>INDEX($B$20:$GQ$20,MATCH(178,$B$29:$GQ$29,0))</f>
        <v>6.2852312061138765E-8</v>
      </c>
      <c r="FX6">
        <f>INDEX($B$20:$GQ$20,MATCH(179,$B$29:$GQ$29,0))</f>
        <v>0</v>
      </c>
      <c r="FY6">
        <f>INDEX($B$20:$GQ$20,MATCH(180,$B$29:$GQ$29,0))</f>
        <v>0</v>
      </c>
      <c r="FZ6">
        <f>INDEX($B$20:$GQ$20,MATCH(181,$B$29:$GQ$29,0))</f>
        <v>2.101795317742242E-7</v>
      </c>
      <c r="GA6">
        <f>INDEX($B$20:$GQ$20,MATCH(182,$B$29:$GQ$29,0))</f>
        <v>0</v>
      </c>
      <c r="GB6">
        <f>INDEX($B$20:$GQ$20,MATCH(183,$B$29:$GQ$29,0))</f>
        <v>9.5867757956512605E-8</v>
      </c>
      <c r="GC6">
        <f>INDEX($B$20:$GQ$20,MATCH(184,$B$29:$GQ$29,0))</f>
        <v>0</v>
      </c>
      <c r="GD6">
        <f>INDEX($B$20:$GQ$20,MATCH(185,$B$29:$GQ$29,0))</f>
        <v>0</v>
      </c>
      <c r="GE6">
        <f>INDEX($B$20:$GQ$20,MATCH(186,$B$29:$GQ$29,0))</f>
        <v>0</v>
      </c>
      <c r="GF6">
        <f>INDEX($B$20:$GQ$20,MATCH(187,$B$29:$GQ$29,0))</f>
        <v>0</v>
      </c>
      <c r="GG6">
        <f>INDEX($B$20:$GQ$20,MATCH(188,$B$29:$GQ$29,0))</f>
        <v>0</v>
      </c>
      <c r="GH6">
        <f>INDEX($B$20:$GQ$20,MATCH(189,$B$29:$GQ$29,0))</f>
        <v>0</v>
      </c>
      <c r="GI6">
        <f>INDEX($B$20:$GQ$20,MATCH(190,$B$29:$GQ$29,0))</f>
        <v>0</v>
      </c>
      <c r="GJ6">
        <f>INDEX($B$20:$GQ$20,MATCH(191,$B$29:$GQ$29,0))</f>
        <v>0</v>
      </c>
      <c r="GK6">
        <f>INDEX($B$20:$GQ$20,MATCH(192,$B$29:$GQ$29,0))</f>
        <v>0</v>
      </c>
      <c r="GL6">
        <f>INDEX($B$20:$GQ$20,MATCH(193,$B$29:$GQ$29,0))</f>
        <v>0</v>
      </c>
      <c r="GM6">
        <f>INDEX($B$20:$GQ$20,MATCH(194,$B$29:$GQ$29,0))</f>
        <v>0</v>
      </c>
      <c r="GN6">
        <f>INDEX($B$20:$GQ$20,MATCH(195,$B$29:$GQ$29,0))</f>
        <v>0</v>
      </c>
      <c r="GO6">
        <f>INDEX($B$20:$GQ$20,MATCH(196,$B$29:$GQ$29,0))</f>
        <v>0</v>
      </c>
      <c r="GP6">
        <f>INDEX($B$20:$GQ$20,MATCH(197,$B$29:$GQ$29,0))</f>
        <v>2.344236552226418E-8</v>
      </c>
      <c r="GQ6">
        <f>INDEX($B$20:$GQ$20,MATCH(198,$B$29:$GQ$29,0))</f>
        <v>0</v>
      </c>
      <c r="GR6">
        <f>INDEX($GR$20:$HC$20,MATCH(1,$GR$30:$HC$30,0))</f>
        <v>6.7560068492651257E-7</v>
      </c>
      <c r="GS6">
        <f>INDEX($GR$20:$HC$20,MATCH(2,$GR$30:$HC$30,0))</f>
        <v>5.7114643066895274E-7</v>
      </c>
      <c r="GT6">
        <f>INDEX($GR$20:$HC$20,MATCH(3,$GR$30:$HC$30,0))</f>
        <v>5.143459191769306E-8</v>
      </c>
      <c r="GU6">
        <f>INDEX($GR$20:$HC$20,MATCH(4,$GR$30:$HC$30,0))</f>
        <v>1.31684513306949E-7</v>
      </c>
      <c r="GV6">
        <f>INDEX($GR$20:$HC$20,MATCH(5,$GR$30:$HC$30,0))</f>
        <v>2.8818759768423239E-6</v>
      </c>
      <c r="GW6">
        <f>INDEX($GR$20:$HC$20,MATCH(6,$GR$30:$HC$30,0))</f>
        <v>5.100586006319688E-7</v>
      </c>
      <c r="GX6">
        <f>INDEX($GR$20:$HC$20,MATCH(7,$GR$30:$HC$30,0))</f>
        <v>4.1798395588813399E-7</v>
      </c>
      <c r="GY6">
        <f>INDEX($GR$20:$HC$20,MATCH(8,$GR$30:$HC$30,0))</f>
        <v>7.2626321102244499E-7</v>
      </c>
      <c r="GZ6">
        <f>INDEX($GR$20:$HC$20,MATCH(9,$GR$30:$HC$30,0))</f>
        <v>0</v>
      </c>
      <c r="HA6">
        <f>INDEX($GR$20:$HC$20,MATCH(10,$GR$30:$HC$30,0))</f>
        <v>2.6231712615167108E-7</v>
      </c>
      <c r="HB6">
        <f>INDEX($GR$20:$HC$20,MATCH(11,$GR$30:$HC$30,0))</f>
        <v>4.7570971107616148E-8</v>
      </c>
      <c r="HC6">
        <f>INDEX($GR$20:$HC$20,MATCH(12,$GR$30:$HC$30,0))</f>
        <v>5.151642458973661E-8</v>
      </c>
    </row>
    <row r="7" spans="1:211" x14ac:dyDescent="0.45">
      <c r="A7" s="1" t="s">
        <v>6</v>
      </c>
      <c r="B7">
        <f>INDEX($B$21:$GQ$21,MATCH(1,$B$29:$GQ$29,0))</f>
        <v>11484.836648500001</v>
      </c>
      <c r="C7">
        <f>INDEX($B$21:$GQ$21,MATCH(2,$B$29:$GQ$29,0))</f>
        <v>1038.4943145499999</v>
      </c>
      <c r="D7">
        <f>INDEX($B$21:$GQ$21,MATCH(3,$B$29:$GQ$29,0))</f>
        <v>2166.4317380399998</v>
      </c>
      <c r="E7">
        <f>INDEX($B$21:$GQ$21,MATCH(4,$B$29:$GQ$29,0))</f>
        <v>1806.0386160099999</v>
      </c>
      <c r="F7">
        <f>INDEX($B$21:$GQ$21,MATCH(5,$B$29:$GQ$29,0))</f>
        <v>6666.4130958942833</v>
      </c>
      <c r="G7">
        <f>INDEX($B$21:$GQ$21,MATCH(6,$B$29:$GQ$29,0))</f>
        <v>0</v>
      </c>
      <c r="H7">
        <f>INDEX($B$21:$GQ$21,MATCH(7,$B$29:$GQ$29,0))</f>
        <v>0</v>
      </c>
      <c r="I7">
        <f>INDEX($B$21:$GQ$21,MATCH(8,$B$29:$GQ$29,0))</f>
        <v>1545.727142509</v>
      </c>
      <c r="J7">
        <f>INDEX($B$21:$GQ$21,MATCH(9,$B$29:$GQ$29,0))</f>
        <v>1267.5185599075201</v>
      </c>
      <c r="K7">
        <f>INDEX($B$21:$GQ$21,MATCH(10,$B$29:$GQ$29,0))</f>
        <v>393.41683792647649</v>
      </c>
      <c r="L7">
        <f>INDEX($B$21:$GQ$21,MATCH(11,$B$29:$GQ$29,0))</f>
        <v>134.96855356699999</v>
      </c>
      <c r="M7">
        <f>INDEX($B$21:$GQ$21,MATCH(12,$B$29:$GQ$29,0))</f>
        <v>324.71811889076042</v>
      </c>
      <c r="N7">
        <f>INDEX($B$21:$GQ$21,MATCH(13,$B$29:$GQ$29,0))</f>
        <v>1737.93637934</v>
      </c>
      <c r="O7">
        <f>INDEX($B$21:$GQ$21,MATCH(14,$B$29:$GQ$29,0))</f>
        <v>892.77666270999998</v>
      </c>
      <c r="P7">
        <f>INDEX($B$21:$GQ$21,MATCH(15,$B$29:$GQ$29,0))</f>
        <v>6719.8629984099998</v>
      </c>
      <c r="Q7">
        <f>INDEX($B$21:$GQ$21,MATCH(16,$B$29:$GQ$29,0))</f>
        <v>2481.46822075</v>
      </c>
      <c r="R7">
        <f>INDEX($B$21:$GQ$21,MATCH(17,$B$29:$GQ$29,0))</f>
        <v>37.6718724459</v>
      </c>
      <c r="S7">
        <f>INDEX($B$21:$GQ$21,MATCH(18,$B$29:$GQ$29,0))</f>
        <v>1024.3292228667999</v>
      </c>
      <c r="T7">
        <f>INDEX($B$21:$GQ$21,MATCH(19,$B$29:$GQ$29,0))</f>
        <v>1549.8190821000001</v>
      </c>
      <c r="U7">
        <f>INDEX($B$21:$GQ$21,MATCH(20,$B$29:$GQ$29,0))</f>
        <v>2378.0362296804178</v>
      </c>
      <c r="V7">
        <f>INDEX($B$21:$GQ$21,MATCH(21,$B$29:$GQ$29,0))</f>
        <v>709.18679688875659</v>
      </c>
      <c r="W7">
        <f>INDEX($B$21:$GQ$21,MATCH(22,$B$29:$GQ$29,0))</f>
        <v>10896.3904117</v>
      </c>
      <c r="X7">
        <f>INDEX($B$21:$GQ$21,MATCH(23,$B$29:$GQ$29,0))</f>
        <v>29014.020956100001</v>
      </c>
      <c r="Y7">
        <f>INDEX($B$21:$GQ$21,MATCH(24,$B$29:$GQ$29,0))</f>
        <v>10799.400247</v>
      </c>
      <c r="Z7">
        <f>INDEX($B$21:$GQ$21,MATCH(25,$B$29:$GQ$29,0))</f>
        <v>596.45047547599995</v>
      </c>
      <c r="AA7">
        <f>INDEX($B$21:$GQ$21,MATCH(26,$B$29:$GQ$29,0))</f>
        <v>6643.3333910300007</v>
      </c>
      <c r="AB7">
        <f>INDEX($B$21:$GQ$21,MATCH(27,$B$29:$GQ$29,0))</f>
        <v>92.726657253900001</v>
      </c>
      <c r="AC7">
        <f>INDEX($B$21:$GQ$21,MATCH(28,$B$29:$GQ$29,0))</f>
        <v>8077.9817955548197</v>
      </c>
      <c r="AD7">
        <f>INDEX($B$21:$GQ$21,MATCH(29,$B$29:$GQ$29,0))</f>
        <v>5191.81852316</v>
      </c>
      <c r="AE7">
        <f>INDEX($B$21:$GQ$21,MATCH(30,$B$29:$GQ$29,0))</f>
        <v>627.28953437057316</v>
      </c>
      <c r="AF7">
        <f>INDEX($B$21:$GQ$21,MATCH(31,$B$29:$GQ$29,0))</f>
        <v>1038.6668066899999</v>
      </c>
      <c r="AG7">
        <f>INDEX($B$21:$GQ$21,MATCH(32,$B$29:$GQ$29,0))</f>
        <v>1145.74717822</v>
      </c>
      <c r="AH7">
        <f>INDEX($B$21:$GQ$21,MATCH(33,$B$29:$GQ$29,0))</f>
        <v>418.35490823388932</v>
      </c>
      <c r="AI7">
        <f>INDEX($B$21:$GQ$21,MATCH(34,$B$29:$GQ$29,0))</f>
        <v>2604.55483714</v>
      </c>
      <c r="AJ7">
        <f>INDEX($B$21:$GQ$21,MATCH(35,$B$29:$GQ$29,0))</f>
        <v>5070.0672428300004</v>
      </c>
      <c r="AK7">
        <f>INDEX($B$21:$GQ$21,MATCH(36,$B$29:$GQ$29,0))</f>
        <v>358.93550539300003</v>
      </c>
      <c r="AL7">
        <f>INDEX($B$21:$GQ$21,MATCH(37,$B$29:$GQ$29,0))</f>
        <v>95.863337095600002</v>
      </c>
      <c r="AM7">
        <f>INDEX($B$21:$GQ$21,MATCH(38,$B$29:$GQ$29,0))</f>
        <v>262.48153199278192</v>
      </c>
      <c r="AN7">
        <f>INDEX($B$21:$GQ$21,MATCH(39,$B$29:$GQ$29,0))</f>
        <v>1766.04037623</v>
      </c>
      <c r="AO7">
        <f>INDEX($B$21:$GQ$21,MATCH(40,$B$29:$GQ$29,0))</f>
        <v>7198.1551780506543</v>
      </c>
      <c r="AP7">
        <f>INDEX($B$21:$GQ$21,MATCH(41,$B$29:$GQ$29,0))</f>
        <v>1317.5141081675199</v>
      </c>
      <c r="AQ7">
        <f>INDEX($B$21:$GQ$21,MATCH(42,$B$29:$GQ$29,0))</f>
        <v>1749.27710897</v>
      </c>
      <c r="AR7">
        <f>INDEX($B$21:$GQ$21,MATCH(43,$B$29:$GQ$29,0))</f>
        <v>262.19233730575002</v>
      </c>
      <c r="AS7">
        <f>INDEX($B$21:$GQ$21,MATCH(44,$B$29:$GQ$29,0))</f>
        <v>0</v>
      </c>
      <c r="AT7">
        <f>INDEX($B$21:$GQ$21,MATCH(45,$B$29:$GQ$29,0))</f>
        <v>3107.3829579702092</v>
      </c>
      <c r="AU7">
        <f>INDEX($B$21:$GQ$21,MATCH(46,$B$29:$GQ$29,0))</f>
        <v>652.78120585600004</v>
      </c>
      <c r="AV7">
        <f>INDEX($B$21:$GQ$21,MATCH(47,$B$29:$GQ$29,0))</f>
        <v>854.20888969679993</v>
      </c>
      <c r="AW7">
        <f>INDEX($B$21:$GQ$21,MATCH(48,$B$29:$GQ$29,0))</f>
        <v>0</v>
      </c>
      <c r="AX7">
        <f>INDEX($B$21:$GQ$21,MATCH(49,$B$29:$GQ$29,0))</f>
        <v>18.17377665812187</v>
      </c>
      <c r="AY7">
        <f>INDEX($B$21:$GQ$21,MATCH(50,$B$29:$GQ$29,0))</f>
        <v>191.524540960959</v>
      </c>
      <c r="AZ7">
        <f>INDEX($B$21:$GQ$21,MATCH(51,$B$29:$GQ$29,0))</f>
        <v>1220.2376179299999</v>
      </c>
      <c r="BA7">
        <f>INDEX($B$21:$GQ$21,MATCH(52,$B$29:$GQ$29,0))</f>
        <v>1559.8370236600001</v>
      </c>
      <c r="BB7">
        <f>INDEX($B$21:$GQ$21,MATCH(53,$B$29:$GQ$29,0))</f>
        <v>0</v>
      </c>
      <c r="BC7">
        <f>INDEX($B$21:$GQ$21,MATCH(54,$B$29:$GQ$29,0))</f>
        <v>20.421948832948161</v>
      </c>
      <c r="BD7">
        <f>INDEX($B$21:$GQ$21,MATCH(55,$B$29:$GQ$29,0))</f>
        <v>6.1707335051997774</v>
      </c>
      <c r="BE7">
        <f>INDEX($B$21:$GQ$21,MATCH(56,$B$29:$GQ$29,0))</f>
        <v>0</v>
      </c>
      <c r="BF7">
        <f>INDEX($B$21:$GQ$21,MATCH(57,$B$29:$GQ$29,0))</f>
        <v>2010.42848448</v>
      </c>
      <c r="BG7">
        <f>INDEX($B$21:$GQ$21,MATCH(58,$B$29:$GQ$29,0))</f>
        <v>12.589531046076591</v>
      </c>
      <c r="BH7">
        <f>INDEX($B$21:$GQ$21,MATCH(59,$B$29:$GQ$29,0))</f>
        <v>1803.7615754999999</v>
      </c>
      <c r="BI7">
        <f>INDEX($B$21:$GQ$21,MATCH(60,$B$29:$GQ$29,0))</f>
        <v>4696.7749308100001</v>
      </c>
      <c r="BJ7">
        <f>INDEX($B$21:$GQ$21,MATCH(61,$B$29:$GQ$29,0))</f>
        <v>243.82395424985501</v>
      </c>
      <c r="BK7">
        <f>INDEX($B$21:$GQ$21,MATCH(62,$B$29:$GQ$29,0))</f>
        <v>0</v>
      </c>
      <c r="BL7">
        <f>INDEX($B$21:$GQ$21,MATCH(63,$B$29:$GQ$29,0))</f>
        <v>4669.9064481400001</v>
      </c>
      <c r="BM7">
        <f>INDEX($B$21:$GQ$21,MATCH(64,$B$29:$GQ$29,0))</f>
        <v>152.52438610900001</v>
      </c>
      <c r="BN7">
        <f>INDEX($B$21:$GQ$21,MATCH(65,$B$29:$GQ$29,0))</f>
        <v>107.8362040536</v>
      </c>
      <c r="BO7">
        <f>INDEX($B$21:$GQ$21,MATCH(66,$B$29:$GQ$29,0))</f>
        <v>895.25021162600001</v>
      </c>
      <c r="BP7">
        <f>INDEX($B$21:$GQ$21,MATCH(67,$B$29:$GQ$29,0))</f>
        <v>0</v>
      </c>
      <c r="BQ7">
        <f>INDEX($B$21:$GQ$21,MATCH(68,$B$29:$GQ$29,0))</f>
        <v>0</v>
      </c>
      <c r="BR7">
        <f>INDEX($B$21:$GQ$21,MATCH(69,$B$29:$GQ$29,0))</f>
        <v>2813.8265550279998</v>
      </c>
      <c r="BS7">
        <f>INDEX($B$21:$GQ$21,MATCH(70,$B$29:$GQ$29,0))</f>
        <v>2577.2612739800002</v>
      </c>
      <c r="BT7">
        <f>INDEX($B$21:$GQ$21,MATCH(71,$B$29:$GQ$29,0))</f>
        <v>0</v>
      </c>
      <c r="BU7">
        <f>INDEX($B$21:$GQ$21,MATCH(72,$B$29:$GQ$29,0))</f>
        <v>44.522949826820003</v>
      </c>
      <c r="BV7">
        <f>INDEX($B$21:$GQ$21,MATCH(73,$B$29:$GQ$29,0))</f>
        <v>286.21616942958212</v>
      </c>
      <c r="BW7">
        <f>INDEX($B$21:$GQ$21,MATCH(74,$B$29:$GQ$29,0))</f>
        <v>0</v>
      </c>
      <c r="BX7">
        <f>INDEX($B$21:$GQ$21,MATCH(75,$B$29:$GQ$29,0))</f>
        <v>791.25578928899995</v>
      </c>
      <c r="BY7">
        <f>INDEX($B$21:$GQ$21,MATCH(76,$B$29:$GQ$29,0))</f>
        <v>130.97256975400001</v>
      </c>
      <c r="BZ7">
        <f>INDEX($B$21:$GQ$21,MATCH(77,$B$29:$GQ$29,0))</f>
        <v>612.42607809052072</v>
      </c>
      <c r="CA7">
        <f>INDEX($B$21:$GQ$21,MATCH(78,$B$29:$GQ$29,0))</f>
        <v>64.052776141426875</v>
      </c>
      <c r="CB7">
        <f>INDEX($B$21:$GQ$21,MATCH(79,$B$29:$GQ$29,0))</f>
        <v>34.973120821718787</v>
      </c>
      <c r="CC7">
        <f>INDEX($B$21:$GQ$21,MATCH(80,$B$29:$GQ$29,0))</f>
        <v>0.66543467202200002</v>
      </c>
      <c r="CD7">
        <f>INDEX($B$21:$GQ$21,MATCH(81,$B$29:$GQ$29,0))</f>
        <v>63.361211080935377</v>
      </c>
      <c r="CE7">
        <f>INDEX($B$21:$GQ$21,MATCH(82,$B$29:$GQ$29,0))</f>
        <v>0</v>
      </c>
      <c r="CF7">
        <f>INDEX($B$21:$GQ$21,MATCH(83,$B$29:$GQ$29,0))</f>
        <v>10.798532357499999</v>
      </c>
      <c r="CG7">
        <f>INDEX($B$21:$GQ$21,MATCH(84,$B$29:$GQ$29,0))</f>
        <v>10172.62054431125</v>
      </c>
      <c r="CH7">
        <f>INDEX($B$21:$GQ$21,MATCH(85,$B$29:$GQ$29,0))</f>
        <v>0</v>
      </c>
      <c r="CI7">
        <f>INDEX($B$21:$GQ$21,MATCH(86,$B$29:$GQ$29,0))</f>
        <v>12.452825049199999</v>
      </c>
      <c r="CJ7">
        <f>INDEX($B$21:$GQ$21,MATCH(87,$B$29:$GQ$29,0))</f>
        <v>520.47413446200005</v>
      </c>
      <c r="CK7">
        <f>INDEX($B$21:$GQ$21,MATCH(88,$B$29:$GQ$29,0))</f>
        <v>7.2681283026200001</v>
      </c>
      <c r="CL7">
        <f>INDEX($B$21:$GQ$21,MATCH(89,$B$29:$GQ$29,0))</f>
        <v>7.47894238651</v>
      </c>
      <c r="CM7">
        <f>INDEX($B$21:$GQ$21,MATCH(90,$B$29:$GQ$29,0))</f>
        <v>6.2167013558799988</v>
      </c>
      <c r="CN7">
        <f>INDEX($B$21:$GQ$21,MATCH(91,$B$29:$GQ$29,0))</f>
        <v>7.1772939881199997</v>
      </c>
      <c r="CO7">
        <f>INDEX($B$21:$GQ$21,MATCH(92,$B$29:$GQ$29,0))</f>
        <v>50.540358367452967</v>
      </c>
      <c r="CP7">
        <f>INDEX($B$21:$GQ$21,MATCH(93,$B$29:$GQ$29,0))</f>
        <v>5.4780863341700003</v>
      </c>
      <c r="CQ7">
        <f>INDEX($B$21:$GQ$21,MATCH(94,$B$29:$GQ$29,0))</f>
        <v>6.6187806119300001</v>
      </c>
      <c r="CR7">
        <f>INDEX($B$21:$GQ$21,MATCH(95,$B$29:$GQ$29,0))</f>
        <v>0</v>
      </c>
      <c r="CS7">
        <f>INDEX($B$21:$GQ$21,MATCH(96,$B$29:$GQ$29,0))</f>
        <v>8.3376501952699993</v>
      </c>
      <c r="CT7">
        <f>INDEX($B$21:$GQ$21,MATCH(97,$B$29:$GQ$29,0))</f>
        <v>0</v>
      </c>
      <c r="CU7">
        <f>INDEX($B$21:$GQ$21,MATCH(98,$B$29:$GQ$29,0))</f>
        <v>3.4561336392499999</v>
      </c>
      <c r="CV7">
        <f>INDEX($B$21:$GQ$21,MATCH(99,$B$29:$GQ$29,0))</f>
        <v>4.2866716676400003</v>
      </c>
      <c r="CW7">
        <f>INDEX($B$21:$GQ$21,MATCH(100,$B$29:$GQ$29,0))</f>
        <v>2.8579230598600001</v>
      </c>
      <c r="CX7">
        <f>INDEX($B$21:$GQ$21,MATCH(101,$B$29:$GQ$29,0))</f>
        <v>7.7745748429250057</v>
      </c>
      <c r="CY7">
        <f>INDEX($B$21:$GQ$21,MATCH(102,$B$29:$GQ$29,0))</f>
        <v>4.4869937232399604</v>
      </c>
      <c r="CZ7">
        <f>INDEX($B$21:$GQ$21,MATCH(103,$B$29:$GQ$29,0))</f>
        <v>52.290447045240562</v>
      </c>
      <c r="DA7">
        <f>INDEX($B$21:$GQ$21,MATCH(104,$B$29:$GQ$29,0))</f>
        <v>2.5196803371600001</v>
      </c>
      <c r="DB7">
        <f>INDEX($B$21:$GQ$21,MATCH(105,$B$29:$GQ$29,0))</f>
        <v>1.5981500333700001</v>
      </c>
      <c r="DC7">
        <f>INDEX($B$21:$GQ$21,MATCH(106,$B$29:$GQ$29,0))</f>
        <v>157.13671563599999</v>
      </c>
      <c r="DD7">
        <f>INDEX($B$21:$GQ$21,MATCH(107,$B$29:$GQ$29,0))</f>
        <v>7.7841592984684684</v>
      </c>
      <c r="DE7">
        <f>INDEX($B$21:$GQ$21,MATCH(108,$B$29:$GQ$29,0))</f>
        <v>1.4328711332499999</v>
      </c>
      <c r="DF7">
        <f>INDEX($B$21:$GQ$21,MATCH(109,$B$29:$GQ$29,0))</f>
        <v>0.91095341557300002</v>
      </c>
      <c r="DG7">
        <f>INDEX($B$21:$GQ$21,MATCH(110,$B$29:$GQ$29,0))</f>
        <v>1.6789142170569999</v>
      </c>
      <c r="DH7">
        <f>INDEX($B$21:$GQ$21,MATCH(111,$B$29:$GQ$29,0))</f>
        <v>1.81215275413</v>
      </c>
      <c r="DI7">
        <f>INDEX($B$21:$GQ$21,MATCH(112,$B$29:$GQ$29,0))</f>
        <v>0.63557573159500003</v>
      </c>
      <c r="DJ7">
        <f>INDEX($B$21:$GQ$21,MATCH(113,$B$29:$GQ$29,0))</f>
        <v>0.47988633069100001</v>
      </c>
      <c r="DK7">
        <f>INDEX($B$21:$GQ$21,MATCH(114,$B$29:$GQ$29,0))</f>
        <v>0.91886879222690554</v>
      </c>
      <c r="DL7">
        <f>INDEX($B$21:$GQ$21,MATCH(115,$B$29:$GQ$29,0))</f>
        <v>7.4935930203748713</v>
      </c>
      <c r="DM7">
        <f>INDEX($B$21:$GQ$21,MATCH(116,$B$29:$GQ$29,0))</f>
        <v>2.2862877476796539</v>
      </c>
      <c r="DN7">
        <f>INDEX($B$21:$GQ$21,MATCH(117,$B$29:$GQ$29,0))</f>
        <v>14.903983972800001</v>
      </c>
      <c r="DO7">
        <f>INDEX($B$21:$GQ$21,MATCH(118,$B$29:$GQ$29,0))</f>
        <v>5.4250360592692362</v>
      </c>
      <c r="DP7">
        <f>INDEX($B$21:$GQ$21,MATCH(119,$B$29:$GQ$29,0))</f>
        <v>4.9947555776570151E-3</v>
      </c>
      <c r="DQ7">
        <f>INDEX($B$21:$GQ$21,MATCH(120,$B$29:$GQ$29,0))</f>
        <v>1.056828588528105</v>
      </c>
      <c r="DR7">
        <f>INDEX($B$21:$GQ$21,MATCH(121,$B$29:$GQ$29,0))</f>
        <v>14.5218305376</v>
      </c>
      <c r="DS7">
        <f>INDEX($B$21:$GQ$21,MATCH(122,$B$29:$GQ$29,0))</f>
        <v>0.112600342789</v>
      </c>
      <c r="DT7">
        <f>INDEX($B$21:$GQ$21,MATCH(123,$B$29:$GQ$29,0))</f>
        <v>0</v>
      </c>
      <c r="DU7">
        <f>INDEX($B$21:$GQ$21,MATCH(124,$B$29:$GQ$29,0))</f>
        <v>5.55902005850945E-2</v>
      </c>
      <c r="DV7">
        <f>INDEX($B$21:$GQ$21,MATCH(125,$B$29:$GQ$29,0))</f>
        <v>1.3261887457802539</v>
      </c>
      <c r="DW7">
        <f>INDEX($B$21:$GQ$21,MATCH(126,$B$29:$GQ$29,0))</f>
        <v>4.31870936057E-2</v>
      </c>
      <c r="DX7">
        <f>INDEX($B$21:$GQ$21,MATCH(127,$B$29:$GQ$29,0))</f>
        <v>6.3533008602000001</v>
      </c>
      <c r="DY7">
        <f>INDEX($B$21:$GQ$21,MATCH(128,$B$29:$GQ$29,0))</f>
        <v>0.102340521859746</v>
      </c>
      <c r="DZ7">
        <f>INDEX($B$21:$GQ$21,MATCH(129,$B$29:$GQ$29,0))</f>
        <v>0.1066507278430744</v>
      </c>
      <c r="EA7">
        <f>INDEX($B$21:$GQ$21,MATCH(130,$B$29:$GQ$29,0))</f>
        <v>0</v>
      </c>
      <c r="EB7">
        <f>INDEX($B$21:$GQ$21,MATCH(131,$B$29:$GQ$29,0))</f>
        <v>0.26273048669999999</v>
      </c>
      <c r="EC7">
        <f>INDEX($B$21:$GQ$21,MATCH(132,$B$29:$GQ$29,0))</f>
        <v>6.1700262321527496E-3</v>
      </c>
      <c r="ED7">
        <f>INDEX($B$21:$GQ$21,MATCH(133,$B$29:$GQ$29,0))</f>
        <v>3.9625614194724822E-4</v>
      </c>
      <c r="EE7">
        <f>INDEX($B$21:$GQ$21,MATCH(134,$B$29:$GQ$29,0))</f>
        <v>0</v>
      </c>
      <c r="EF7">
        <f>INDEX($B$21:$GQ$21,MATCH(135,$B$29:$GQ$29,0))</f>
        <v>0</v>
      </c>
      <c r="EG7">
        <f>INDEX($B$21:$GQ$21,MATCH(136,$B$29:$GQ$29,0))</f>
        <v>0</v>
      </c>
      <c r="EH7">
        <f>INDEX($B$21:$GQ$21,MATCH(137,$B$29:$GQ$29,0))</f>
        <v>0</v>
      </c>
      <c r="EI7">
        <f>INDEX($B$21:$GQ$21,MATCH(138,$B$29:$GQ$29,0))</f>
        <v>0</v>
      </c>
      <c r="EJ7">
        <f>INDEX($B$21:$GQ$21,MATCH(139,$B$29:$GQ$29,0))</f>
        <v>0</v>
      </c>
      <c r="EK7">
        <f>INDEX($B$21:$GQ$21,MATCH(140,$B$29:$GQ$29,0))</f>
        <v>0</v>
      </c>
      <c r="EL7">
        <f>INDEX($B$21:$GQ$21,MATCH(141,$B$29:$GQ$29,0))</f>
        <v>0</v>
      </c>
      <c r="EM7">
        <f>INDEX($B$21:$GQ$21,MATCH(142,$B$29:$GQ$29,0))</f>
        <v>0</v>
      </c>
      <c r="EN7">
        <f>INDEX($B$21:$GQ$21,MATCH(143,$B$29:$GQ$29,0))</f>
        <v>0</v>
      </c>
      <c r="EO7">
        <f>INDEX($B$21:$GQ$21,MATCH(144,$B$29:$GQ$29,0))</f>
        <v>0</v>
      </c>
      <c r="EP7">
        <f>INDEX($B$21:$GQ$21,MATCH(145,$B$29:$GQ$29,0))</f>
        <v>0</v>
      </c>
      <c r="EQ7">
        <f>INDEX($B$21:$GQ$21,MATCH(146,$B$29:$GQ$29,0))</f>
        <v>0</v>
      </c>
      <c r="ER7">
        <f>INDEX($B$21:$GQ$21,MATCH(147,$B$29:$GQ$29,0))</f>
        <v>0</v>
      </c>
      <c r="ES7">
        <f>INDEX($B$21:$GQ$21,MATCH(148,$B$29:$GQ$29,0))</f>
        <v>0</v>
      </c>
      <c r="ET7">
        <f>INDEX($B$21:$GQ$21,MATCH(149,$B$29:$GQ$29,0))</f>
        <v>0</v>
      </c>
      <c r="EU7">
        <f>INDEX($B$21:$GQ$21,MATCH(150,$B$29:$GQ$29,0))</f>
        <v>0</v>
      </c>
      <c r="EV7">
        <f>INDEX($B$21:$GQ$21,MATCH(151,$B$29:$GQ$29,0))</f>
        <v>0</v>
      </c>
      <c r="EW7">
        <f>INDEX($B$21:$GQ$21,MATCH(152,$B$29:$GQ$29,0))</f>
        <v>0</v>
      </c>
      <c r="EX7">
        <f>INDEX($B$21:$GQ$21,MATCH(153,$B$29:$GQ$29,0))</f>
        <v>0</v>
      </c>
      <c r="EY7">
        <f>INDEX($B$21:$GQ$21,MATCH(154,$B$29:$GQ$29,0))</f>
        <v>0</v>
      </c>
      <c r="EZ7">
        <f>INDEX($B$21:$GQ$21,MATCH(155,$B$29:$GQ$29,0))</f>
        <v>0</v>
      </c>
      <c r="FA7">
        <f>INDEX($B$21:$GQ$21,MATCH(156,$B$29:$GQ$29,0))</f>
        <v>0</v>
      </c>
      <c r="FB7">
        <f>INDEX($B$21:$GQ$21,MATCH(157,$B$29:$GQ$29,0))</f>
        <v>0</v>
      </c>
      <c r="FC7">
        <f>INDEX($B$21:$GQ$21,MATCH(158,$B$29:$GQ$29,0))</f>
        <v>0</v>
      </c>
      <c r="FD7">
        <f>INDEX($B$21:$GQ$21,MATCH(159,$B$29:$GQ$29,0))</f>
        <v>0</v>
      </c>
      <c r="FE7">
        <f>INDEX($B$21:$GQ$21,MATCH(160,$B$29:$GQ$29,0))</f>
        <v>0</v>
      </c>
      <c r="FF7">
        <f>INDEX($B$21:$GQ$21,MATCH(161,$B$29:$GQ$29,0))</f>
        <v>0</v>
      </c>
      <c r="FG7">
        <f>INDEX($B$21:$GQ$21,MATCH(162,$B$29:$GQ$29,0))</f>
        <v>0</v>
      </c>
      <c r="FH7">
        <f>INDEX($B$21:$GQ$21,MATCH(163,$B$29:$GQ$29,0))</f>
        <v>0</v>
      </c>
      <c r="FI7">
        <f>INDEX($B$21:$GQ$21,MATCH(164,$B$29:$GQ$29,0))</f>
        <v>0</v>
      </c>
      <c r="FJ7">
        <f>INDEX($B$21:$GQ$21,MATCH(165,$B$29:$GQ$29,0))</f>
        <v>0</v>
      </c>
      <c r="FK7">
        <f>INDEX($B$21:$GQ$21,MATCH(166,$B$29:$GQ$29,0))</f>
        <v>0</v>
      </c>
      <c r="FL7">
        <f>INDEX($B$21:$GQ$21,MATCH(167,$B$29:$GQ$29,0))</f>
        <v>0</v>
      </c>
      <c r="FM7">
        <f>INDEX($B$21:$GQ$21,MATCH(168,$B$29:$GQ$29,0))</f>
        <v>0</v>
      </c>
      <c r="FN7">
        <f>INDEX($B$21:$GQ$21,MATCH(169,$B$29:$GQ$29,0))</f>
        <v>0</v>
      </c>
      <c r="FO7">
        <f>INDEX($B$21:$GQ$21,MATCH(170,$B$29:$GQ$29,0))</f>
        <v>0</v>
      </c>
      <c r="FP7">
        <f>INDEX($B$21:$GQ$21,MATCH(171,$B$29:$GQ$29,0))</f>
        <v>0</v>
      </c>
      <c r="FQ7">
        <f>INDEX($B$21:$GQ$21,MATCH(172,$B$29:$GQ$29,0))</f>
        <v>0</v>
      </c>
      <c r="FR7">
        <f>INDEX($B$21:$GQ$21,MATCH(173,$B$29:$GQ$29,0))</f>
        <v>0</v>
      </c>
      <c r="FS7">
        <f>INDEX($B$21:$GQ$21,MATCH(174,$B$29:$GQ$29,0))</f>
        <v>0</v>
      </c>
      <c r="FT7">
        <f>INDEX($B$21:$GQ$21,MATCH(175,$B$29:$GQ$29,0))</f>
        <v>0</v>
      </c>
      <c r="FU7">
        <f>INDEX($B$21:$GQ$21,MATCH(176,$B$29:$GQ$29,0))</f>
        <v>0</v>
      </c>
      <c r="FV7">
        <f>INDEX($B$21:$GQ$21,MATCH(177,$B$29:$GQ$29,0))</f>
        <v>0</v>
      </c>
      <c r="FW7">
        <f>INDEX($B$21:$GQ$21,MATCH(178,$B$29:$GQ$29,0))</f>
        <v>0</v>
      </c>
      <c r="FX7">
        <f>INDEX($B$21:$GQ$21,MATCH(179,$B$29:$GQ$29,0))</f>
        <v>0</v>
      </c>
      <c r="FY7">
        <f>INDEX($B$21:$GQ$21,MATCH(180,$B$29:$GQ$29,0))</f>
        <v>3.0458495076355003E-4</v>
      </c>
      <c r="FZ7">
        <f>INDEX($B$21:$GQ$21,MATCH(181,$B$29:$GQ$29,0))</f>
        <v>0</v>
      </c>
      <c r="GA7">
        <f>INDEX($B$21:$GQ$21,MATCH(182,$B$29:$GQ$29,0))</f>
        <v>0</v>
      </c>
      <c r="GB7">
        <f>INDEX($B$21:$GQ$21,MATCH(183,$B$29:$GQ$29,0))</f>
        <v>0</v>
      </c>
      <c r="GC7">
        <f>INDEX($B$21:$GQ$21,MATCH(184,$B$29:$GQ$29,0))</f>
        <v>0</v>
      </c>
      <c r="GD7">
        <f>INDEX($B$21:$GQ$21,MATCH(185,$B$29:$GQ$29,0))</f>
        <v>6.0997008595128847E-2</v>
      </c>
      <c r="GE7">
        <f>INDEX($B$21:$GQ$21,MATCH(186,$B$29:$GQ$29,0))</f>
        <v>0</v>
      </c>
      <c r="GF7">
        <f>INDEX($B$21:$GQ$21,MATCH(187,$B$29:$GQ$29,0))</f>
        <v>0</v>
      </c>
      <c r="GG7">
        <f>INDEX($B$21:$GQ$21,MATCH(188,$B$29:$GQ$29,0))</f>
        <v>0</v>
      </c>
      <c r="GH7">
        <f>INDEX($B$21:$GQ$21,MATCH(189,$B$29:$GQ$29,0))</f>
        <v>0</v>
      </c>
      <c r="GI7">
        <f>INDEX($B$21:$GQ$21,MATCH(190,$B$29:$GQ$29,0))</f>
        <v>0</v>
      </c>
      <c r="GJ7">
        <f>INDEX($B$21:$GQ$21,MATCH(191,$B$29:$GQ$29,0))</f>
        <v>0</v>
      </c>
      <c r="GK7">
        <f>INDEX($B$21:$GQ$21,MATCH(192,$B$29:$GQ$29,0))</f>
        <v>0</v>
      </c>
      <c r="GL7">
        <f>INDEX($B$21:$GQ$21,MATCH(193,$B$29:$GQ$29,0))</f>
        <v>0</v>
      </c>
      <c r="GM7">
        <f>INDEX($B$21:$GQ$21,MATCH(194,$B$29:$GQ$29,0))</f>
        <v>0</v>
      </c>
      <c r="GN7">
        <f>INDEX($B$21:$GQ$21,MATCH(195,$B$29:$GQ$29,0))</f>
        <v>0</v>
      </c>
      <c r="GO7">
        <f>INDEX($B$21:$GQ$21,MATCH(196,$B$29:$GQ$29,0))</f>
        <v>0</v>
      </c>
      <c r="GP7">
        <f>INDEX($B$21:$GQ$21,MATCH(197,$B$29:$GQ$29,0))</f>
        <v>0</v>
      </c>
      <c r="GQ7">
        <f>INDEX($B$21:$GQ$21,MATCH(198,$B$29:$GQ$29,0))</f>
        <v>0</v>
      </c>
      <c r="GR7">
        <f>INDEX($GR$21:$HC$21,MATCH(1,$GR$30:$HC$30,0))</f>
        <v>17903.873458744751</v>
      </c>
      <c r="GS7">
        <f>INDEX($GR$21:$HC$21,MATCH(2,$GR$30:$HC$30,0))</f>
        <v>3828.2993022389001</v>
      </c>
      <c r="GT7">
        <f>INDEX($GR$21:$HC$21,MATCH(3,$GR$30:$HC$30,0))</f>
        <v>14392.991685798401</v>
      </c>
      <c r="GU7">
        <f>INDEX($GR$21:$HC$21,MATCH(4,$GR$30:$HC$30,0))</f>
        <v>26463.523517716021</v>
      </c>
      <c r="GV7">
        <f>INDEX($GR$21:$HC$21,MATCH(5,$GR$30:$HC$30,0))</f>
        <v>1038.4943145499999</v>
      </c>
      <c r="GW7">
        <f>INDEX($GR$21:$HC$21,MATCH(6,$GR$30:$HC$30,0))</f>
        <v>2356.4986623639588</v>
      </c>
      <c r="GX7">
        <f>INDEX($GR$21:$HC$21,MATCH(7,$GR$30:$HC$30,0))</f>
        <v>1806.0386160099999</v>
      </c>
      <c r="GY7">
        <f>INDEX($GR$21:$HC$21,MATCH(8,$GR$30:$HC$30,0))</f>
        <v>6818.9374820032835</v>
      </c>
      <c r="GZ7">
        <f>INDEX($GR$21:$HC$21,MATCH(9,$GR$30:$HC$30,0))</f>
        <v>0</v>
      </c>
      <c r="HA7">
        <f>INDEX($GR$21:$HC$21,MATCH(10,$GR$30:$HC$30,0))</f>
        <v>22808.071933269999</v>
      </c>
      <c r="HB7">
        <f>INDEX($GR$21:$HC$21,MATCH(11,$GR$30:$HC$30,0))</f>
        <v>58120.83281466164</v>
      </c>
      <c r="HC7">
        <f>INDEX($GR$21:$HC$21,MATCH(12,$GR$30:$HC$30,0))</f>
        <v>52451.491819216943</v>
      </c>
    </row>
    <row r="8" spans="1:211" x14ac:dyDescent="0.45">
      <c r="A8" s="1" t="s">
        <v>7</v>
      </c>
      <c r="B8">
        <f>INDEX($B$22:$GQ$22,MATCH(1,$B$29:$GQ$29,0))</f>
        <v>23360.725289119</v>
      </c>
      <c r="C8">
        <f>INDEX($B$22:$GQ$22,MATCH(2,$B$29:$GQ$29,0))</f>
        <v>5050.4413716326299</v>
      </c>
      <c r="D8">
        <f>INDEX($B$22:$GQ$22,MATCH(3,$B$29:$GQ$29,0))</f>
        <v>15949.9837150327</v>
      </c>
      <c r="E8">
        <f>INDEX($B$22:$GQ$22,MATCH(4,$B$29:$GQ$29,0))</f>
        <v>8488.2230403558297</v>
      </c>
      <c r="F8">
        <f>INDEX($B$22:$GQ$22,MATCH(5,$B$29:$GQ$29,0))</f>
        <v>10280.107604815599</v>
      </c>
      <c r="G8">
        <f>INDEX($B$22:$GQ$22,MATCH(6,$B$29:$GQ$29,0))</f>
        <v>83954.164852629998</v>
      </c>
      <c r="H8">
        <f>INDEX($B$22:$GQ$22,MATCH(7,$B$29:$GQ$29,0))</f>
        <v>242143.13257310001</v>
      </c>
      <c r="I8">
        <f>INDEX($B$22:$GQ$22,MATCH(8,$B$29:$GQ$29,0))</f>
        <v>258670.86586419999</v>
      </c>
      <c r="J8">
        <f>INDEX($B$22:$GQ$22,MATCH(9,$B$29:$GQ$29,0))</f>
        <v>186753.73804475501</v>
      </c>
      <c r="K8">
        <f>INDEX($B$22:$GQ$22,MATCH(10,$B$29:$GQ$29,0))</f>
        <v>6143.0077963115054</v>
      </c>
      <c r="L8">
        <f>INDEX($B$22:$GQ$22,MATCH(11,$B$29:$GQ$29,0))</f>
        <v>1889.7566549799999</v>
      </c>
      <c r="M8">
        <f>INDEX($B$22:$GQ$22,MATCH(12,$B$29:$GQ$29,0))</f>
        <v>4983.7269113496177</v>
      </c>
      <c r="N8">
        <f>INDEX($B$22:$GQ$22,MATCH(13,$B$29:$GQ$29,0))</f>
        <v>7010.4418690136599</v>
      </c>
      <c r="O8">
        <f>INDEX($B$22:$GQ$22,MATCH(14,$B$29:$GQ$29,0))</f>
        <v>8018.0444478146992</v>
      </c>
      <c r="P8">
        <f>INDEX($B$22:$GQ$22,MATCH(15,$B$29:$GQ$29,0))</f>
        <v>128.12948849290001</v>
      </c>
      <c r="Q8">
        <f>INDEX($B$22:$GQ$22,MATCH(16,$B$29:$GQ$29,0))</f>
        <v>71885.084968099996</v>
      </c>
      <c r="R8">
        <f>INDEX($B$22:$GQ$22,MATCH(17,$B$29:$GQ$29,0))</f>
        <v>3117.9127895699999</v>
      </c>
      <c r="S8">
        <f>INDEX($B$22:$GQ$22,MATCH(18,$B$29:$GQ$29,0))</f>
        <v>130808.66813279</v>
      </c>
      <c r="T8">
        <f>INDEX($B$22:$GQ$22,MATCH(19,$B$29:$GQ$29,0))</f>
        <v>2468.4934124624001</v>
      </c>
      <c r="U8">
        <f>INDEX($B$22:$GQ$22,MATCH(20,$B$29:$GQ$29,0))</f>
        <v>37588.165323314177</v>
      </c>
      <c r="V8">
        <f>INDEX($B$22:$GQ$22,MATCH(21,$B$29:$GQ$29,0))</f>
        <v>726.07848723778375</v>
      </c>
      <c r="W8">
        <f>INDEX($B$22:$GQ$22,MATCH(22,$B$29:$GQ$29,0))</f>
        <v>3273.5352910359002</v>
      </c>
      <c r="X8">
        <f>INDEX($B$22:$GQ$22,MATCH(23,$B$29:$GQ$29,0))</f>
        <v>26547.7846919</v>
      </c>
      <c r="Y8">
        <f>INDEX($B$22:$GQ$22,MATCH(24,$B$29:$GQ$29,0))</f>
        <v>7391.2707397499989</v>
      </c>
      <c r="Z8">
        <f>INDEX($B$22:$GQ$22,MATCH(25,$B$29:$GQ$29,0))</f>
        <v>2108.0791581456701</v>
      </c>
      <c r="AA8">
        <f>INDEX($B$22:$GQ$22,MATCH(26,$B$29:$GQ$29,0))</f>
        <v>9071.7807908699997</v>
      </c>
      <c r="AB8">
        <f>INDEX($B$22:$GQ$22,MATCH(27,$B$29:$GQ$29,0))</f>
        <v>662.143368282305</v>
      </c>
      <c r="AC8">
        <f>INDEX($B$22:$GQ$22,MATCH(28,$B$29:$GQ$29,0))</f>
        <v>11302.3998226312</v>
      </c>
      <c r="AD8">
        <f>INDEX($B$22:$GQ$22,MATCH(29,$B$29:$GQ$29,0))</f>
        <v>2215.3406393403002</v>
      </c>
      <c r="AE8">
        <f>INDEX($B$22:$GQ$22,MATCH(30,$B$29:$GQ$29,0))</f>
        <v>710.2622544142647</v>
      </c>
      <c r="AF8">
        <f>INDEX($B$22:$GQ$22,MATCH(31,$B$29:$GQ$29,0))</f>
        <v>11126.0696009</v>
      </c>
      <c r="AG8">
        <f>INDEX($B$22:$GQ$22,MATCH(32,$B$29:$GQ$29,0))</f>
        <v>31909.8454513</v>
      </c>
      <c r="AH8">
        <f>INDEX($B$22:$GQ$22,MATCH(33,$B$29:$GQ$29,0))</f>
        <v>0</v>
      </c>
      <c r="AI8">
        <f>INDEX($B$22:$GQ$22,MATCH(34,$B$29:$GQ$29,0))</f>
        <v>42904.638546299997</v>
      </c>
      <c r="AJ8">
        <f>INDEX($B$22:$GQ$22,MATCH(35,$B$29:$GQ$29,0))</f>
        <v>30950.3724516</v>
      </c>
      <c r="AK8">
        <f>INDEX($B$22:$GQ$22,MATCH(36,$B$29:$GQ$29,0))</f>
        <v>139.24546536700001</v>
      </c>
      <c r="AL8">
        <f>INDEX($B$22:$GQ$22,MATCH(37,$B$29:$GQ$29,0))</f>
        <v>22590.5100676</v>
      </c>
      <c r="AM8">
        <f>INDEX($B$22:$GQ$22,MATCH(38,$B$29:$GQ$29,0))</f>
        <v>4666.4618214472184</v>
      </c>
      <c r="AN8">
        <f>INDEX($B$22:$GQ$22,MATCH(39,$B$29:$GQ$29,0))</f>
        <v>1585.4834509899999</v>
      </c>
      <c r="AO8">
        <f>INDEX($B$22:$GQ$22,MATCH(40,$B$29:$GQ$29,0))</f>
        <v>7435.9329311493466</v>
      </c>
      <c r="AP8">
        <f>INDEX($B$22:$GQ$22,MATCH(41,$B$29:$GQ$29,0))</f>
        <v>15294.563008583</v>
      </c>
      <c r="AQ8">
        <f>INDEX($B$22:$GQ$22,MATCH(42,$B$29:$GQ$29,0))</f>
        <v>874.53301648599995</v>
      </c>
      <c r="AR8">
        <f>INDEX($B$22:$GQ$22,MATCH(43,$B$29:$GQ$29,0))</f>
        <v>11238.476071223</v>
      </c>
      <c r="AS8">
        <f>INDEX($B$22:$GQ$22,MATCH(44,$B$29:$GQ$29,0))</f>
        <v>137.460607966</v>
      </c>
      <c r="AT8">
        <f>INDEX($B$22:$GQ$22,MATCH(45,$B$29:$GQ$29,0))</f>
        <v>1190.0860007440001</v>
      </c>
      <c r="AU8">
        <f>INDEX($B$22:$GQ$22,MATCH(46,$B$29:$GQ$29,0))</f>
        <v>15846.2651147</v>
      </c>
      <c r="AV8">
        <f>INDEX($B$22:$GQ$22,MATCH(47,$B$29:$GQ$29,0))</f>
        <v>16771.579081532</v>
      </c>
      <c r="AW8">
        <f>INDEX($B$22:$GQ$22,MATCH(48,$B$29:$GQ$29,0))</f>
        <v>8796.4664476500002</v>
      </c>
      <c r="AX8">
        <f>INDEX($B$22:$GQ$22,MATCH(49,$B$29:$GQ$29,0))</f>
        <v>514.07430814345184</v>
      </c>
      <c r="AY8">
        <f>INDEX($B$22:$GQ$22,MATCH(50,$B$29:$GQ$29,0))</f>
        <v>235.5104379290872</v>
      </c>
      <c r="AZ8">
        <f>INDEX($B$22:$GQ$22,MATCH(51,$B$29:$GQ$29,0))</f>
        <v>13529.354277</v>
      </c>
      <c r="BA8">
        <f>INDEX($B$22:$GQ$22,MATCH(52,$B$29:$GQ$29,0))</f>
        <v>5484.6488585699999</v>
      </c>
      <c r="BB8">
        <f>INDEX($B$22:$GQ$22,MATCH(53,$B$29:$GQ$29,0))</f>
        <v>30296.038247430999</v>
      </c>
      <c r="BC8">
        <f>INDEX($B$22:$GQ$22,MATCH(54,$B$29:$GQ$29,0))</f>
        <v>10186.75299786705</v>
      </c>
      <c r="BD8">
        <f>INDEX($B$22:$GQ$22,MATCH(55,$B$29:$GQ$29,0))</f>
        <v>370.68346562429832</v>
      </c>
      <c r="BE8">
        <f>INDEX($B$22:$GQ$22,MATCH(56,$B$29:$GQ$29,0))</f>
        <v>8925.8146115100008</v>
      </c>
      <c r="BF8">
        <f>INDEX($B$22:$GQ$22,MATCH(57,$B$29:$GQ$29,0))</f>
        <v>3671.05667554</v>
      </c>
      <c r="BG8">
        <f>INDEX($B$22:$GQ$22,MATCH(58,$B$29:$GQ$29,0))</f>
        <v>111.1237859411297</v>
      </c>
      <c r="BH8">
        <f>INDEX($B$22:$GQ$22,MATCH(59,$B$29:$GQ$29,0))</f>
        <v>0</v>
      </c>
      <c r="BI8">
        <f>INDEX($B$22:$GQ$22,MATCH(60,$B$29:$GQ$29,0))</f>
        <v>1956.93538405</v>
      </c>
      <c r="BJ8">
        <f>INDEX($B$22:$GQ$22,MATCH(61,$B$29:$GQ$29,0))</f>
        <v>749.58537190106574</v>
      </c>
      <c r="BK8">
        <f>INDEX($B$22:$GQ$22,MATCH(62,$B$29:$GQ$29,0))</f>
        <v>1377.8064414299999</v>
      </c>
      <c r="BL8">
        <f>INDEX($B$22:$GQ$22,MATCH(63,$B$29:$GQ$29,0))</f>
        <v>2869.1544762899998</v>
      </c>
      <c r="BM8">
        <f>INDEX($B$22:$GQ$22,MATCH(64,$B$29:$GQ$29,0))</f>
        <v>26.960627056900002</v>
      </c>
      <c r="BN8">
        <f>INDEX($B$22:$GQ$22,MATCH(65,$B$29:$GQ$29,0))</f>
        <v>9886.4385954099998</v>
      </c>
      <c r="BO8">
        <f>INDEX($B$22:$GQ$22,MATCH(66,$B$29:$GQ$29,0))</f>
        <v>689.76229474199999</v>
      </c>
      <c r="BP8">
        <f>INDEX($B$22:$GQ$22,MATCH(67,$B$29:$GQ$29,0))</f>
        <v>5628.20353823</v>
      </c>
      <c r="BQ8">
        <f>INDEX($B$22:$GQ$22,MATCH(68,$B$29:$GQ$29,0))</f>
        <v>9539.4035679999997</v>
      </c>
      <c r="BR8">
        <f>INDEX($B$22:$GQ$22,MATCH(69,$B$29:$GQ$29,0))</f>
        <v>1501.0289734744999</v>
      </c>
      <c r="BS8">
        <f>INDEX($B$22:$GQ$22,MATCH(70,$B$29:$GQ$29,0))</f>
        <v>1938.44845799</v>
      </c>
      <c r="BT8">
        <f>INDEX($B$22:$GQ$22,MATCH(71,$B$29:$GQ$29,0))</f>
        <v>7198.7452669800005</v>
      </c>
      <c r="BU8">
        <f>INDEX($B$22:$GQ$22,MATCH(72,$B$29:$GQ$29,0))</f>
        <v>43.787168113900002</v>
      </c>
      <c r="BV8">
        <f>INDEX($B$22:$GQ$22,MATCH(73,$B$29:$GQ$29,0))</f>
        <v>1908.1984372858201</v>
      </c>
      <c r="BW8">
        <f>INDEX($B$22:$GQ$22,MATCH(74,$B$29:$GQ$29,0))</f>
        <v>3328.271032657</v>
      </c>
      <c r="BX8">
        <f>INDEX($B$22:$GQ$22,MATCH(75,$B$29:$GQ$29,0))</f>
        <v>967.10634446200015</v>
      </c>
      <c r="BY8">
        <f>INDEX($B$22:$GQ$22,MATCH(76,$B$29:$GQ$29,0))</f>
        <v>26.83840954758</v>
      </c>
      <c r="BZ8">
        <f>INDEX($B$22:$GQ$22,MATCH(77,$B$29:$GQ$29,0))</f>
        <v>301.73270808747918</v>
      </c>
      <c r="CA8">
        <f>INDEX($B$22:$GQ$22,MATCH(78,$B$29:$GQ$29,0))</f>
        <v>438.23633378573538</v>
      </c>
      <c r="CB8">
        <f>INDEX($B$22:$GQ$22,MATCH(79,$B$29:$GQ$29,0))</f>
        <v>1235.3526669582809</v>
      </c>
      <c r="CC8">
        <f>INDEX($B$22:$GQ$22,MATCH(80,$B$29:$GQ$29,0))</f>
        <v>308.12175901199998</v>
      </c>
      <c r="CD8">
        <f>INDEX($B$22:$GQ$22,MATCH(81,$B$29:$GQ$29,0))</f>
        <v>160.53293276706461</v>
      </c>
      <c r="CE8">
        <f>INDEX($B$22:$GQ$22,MATCH(82,$B$29:$GQ$29,0))</f>
        <v>2459.8227431700002</v>
      </c>
      <c r="CF8">
        <f>INDEX($B$22:$GQ$22,MATCH(83,$B$29:$GQ$29,0))</f>
        <v>1333.3558007900001</v>
      </c>
      <c r="CG8">
        <f>INDEX($B$22:$GQ$22,MATCH(84,$B$29:$GQ$29,0))</f>
        <v>7.5170467887461898</v>
      </c>
      <c r="CH8">
        <f>INDEX($B$22:$GQ$22,MATCH(85,$B$29:$GQ$29,0))</f>
        <v>769.05730232869996</v>
      </c>
      <c r="CI8">
        <f>INDEX($B$22:$GQ$22,MATCH(86,$B$29:$GQ$29,0))</f>
        <v>949.25281436</v>
      </c>
      <c r="CJ8">
        <f>INDEX($B$22:$GQ$22,MATCH(87,$B$29:$GQ$29,0))</f>
        <v>310.99962491299999</v>
      </c>
      <c r="CK8">
        <f>INDEX($B$22:$GQ$22,MATCH(88,$B$29:$GQ$29,0))</f>
        <v>919.98164076199998</v>
      </c>
      <c r="CL8">
        <f>INDEX($B$22:$GQ$22,MATCH(89,$B$29:$GQ$29,0))</f>
        <v>804.795130685</v>
      </c>
      <c r="CM8">
        <f>INDEX($B$22:$GQ$22,MATCH(90,$B$29:$GQ$29,0))</f>
        <v>773.51984684800004</v>
      </c>
      <c r="CN8">
        <f>INDEX($B$22:$GQ$22,MATCH(91,$B$29:$GQ$29,0))</f>
        <v>767.06281134100004</v>
      </c>
      <c r="CO8">
        <f>INDEX($B$22:$GQ$22,MATCH(92,$B$29:$GQ$29,0))</f>
        <v>458.08197929454701</v>
      </c>
      <c r="CP8">
        <f>INDEX($B$22:$GQ$22,MATCH(93,$B$29:$GQ$29,0))</f>
        <v>472.33991311599999</v>
      </c>
      <c r="CQ8">
        <f>INDEX($B$22:$GQ$22,MATCH(94,$B$29:$GQ$29,0))</f>
        <v>460.33404258299998</v>
      </c>
      <c r="CR8">
        <f>INDEX($B$22:$GQ$22,MATCH(95,$B$29:$GQ$29,0))</f>
        <v>984.28394153700003</v>
      </c>
      <c r="CS8">
        <f>INDEX($B$22:$GQ$22,MATCH(96,$B$29:$GQ$29,0))</f>
        <v>479.80123612099999</v>
      </c>
      <c r="CT8">
        <f>INDEX($B$22:$GQ$22,MATCH(97,$B$29:$GQ$29,0))</f>
        <v>347.92681815999998</v>
      </c>
      <c r="CU8">
        <f>INDEX($B$22:$GQ$22,MATCH(98,$B$29:$GQ$29,0))</f>
        <v>332.70708407199999</v>
      </c>
      <c r="CV8">
        <f>INDEX($B$22:$GQ$22,MATCH(99,$B$29:$GQ$29,0))</f>
        <v>317.56515019599999</v>
      </c>
      <c r="CW8">
        <f>INDEX($B$22:$GQ$22,MATCH(100,$B$29:$GQ$29,0))</f>
        <v>266.24321473499998</v>
      </c>
      <c r="CX8">
        <f>INDEX($B$22:$GQ$22,MATCH(101,$B$29:$GQ$29,0))</f>
        <v>488.06950732907501</v>
      </c>
      <c r="CY8">
        <f>INDEX($B$22:$GQ$22,MATCH(102,$B$29:$GQ$29,0))</f>
        <v>213.02996467476001</v>
      </c>
      <c r="CZ8">
        <f>INDEX($B$22:$GQ$22,MATCH(103,$B$29:$GQ$29,0))</f>
        <v>43.24791175475945</v>
      </c>
      <c r="DA8">
        <f>INDEX($B$22:$GQ$22,MATCH(104,$B$29:$GQ$29,0))</f>
        <v>222.57871309000001</v>
      </c>
      <c r="DB8">
        <f>INDEX($B$22:$GQ$22,MATCH(105,$B$29:$GQ$29,0))</f>
        <v>192.22371685499999</v>
      </c>
      <c r="DC8">
        <f>INDEX($B$22:$GQ$22,MATCH(106,$B$29:$GQ$29,0))</f>
        <v>0</v>
      </c>
      <c r="DD8">
        <f>INDEX($B$22:$GQ$22,MATCH(107,$B$29:$GQ$29,0))</f>
        <v>36.951677209631541</v>
      </c>
      <c r="DE8">
        <f>INDEX($B$22:$GQ$22,MATCH(108,$B$29:$GQ$29,0))</f>
        <v>167.74187124900001</v>
      </c>
      <c r="DF8">
        <f>INDEX($B$22:$GQ$22,MATCH(109,$B$29:$GQ$29,0))</f>
        <v>84.577913012400003</v>
      </c>
      <c r="DG8">
        <f>INDEX($B$22:$GQ$22,MATCH(110,$B$29:$GQ$29,0))</f>
        <v>8.0925708148400002</v>
      </c>
      <c r="DH8">
        <f>INDEX($B$22:$GQ$22,MATCH(111,$B$29:$GQ$29,0))</f>
        <v>70.890308732400001</v>
      </c>
      <c r="DI8">
        <f>INDEX($B$22:$GQ$22,MATCH(112,$B$29:$GQ$29,0))</f>
        <v>70.537428166500007</v>
      </c>
      <c r="DJ8">
        <f>INDEX($B$22:$GQ$22,MATCH(113,$B$29:$GQ$29,0))</f>
        <v>52.302272047400002</v>
      </c>
      <c r="DK8">
        <f>INDEX($B$22:$GQ$22,MATCH(114,$B$29:$GQ$29,0))</f>
        <v>50.515630950077558</v>
      </c>
      <c r="DL8">
        <f>INDEX($B$22:$GQ$22,MATCH(115,$B$29:$GQ$29,0))</f>
        <v>0</v>
      </c>
      <c r="DM8">
        <f>INDEX($B$22:$GQ$22,MATCH(116,$B$29:$GQ$29,0))</f>
        <v>167.10322240432029</v>
      </c>
      <c r="DN8">
        <f>INDEX($B$22:$GQ$22,MATCH(117,$B$29:$GQ$29,0))</f>
        <v>0</v>
      </c>
      <c r="DO8">
        <f>INDEX($B$22:$GQ$22,MATCH(118,$B$29:$GQ$29,0))</f>
        <v>0</v>
      </c>
      <c r="DP8">
        <f>INDEX($B$22:$GQ$22,MATCH(119,$B$29:$GQ$29,0))</f>
        <v>11.36406994162234</v>
      </c>
      <c r="DQ8">
        <f>INDEX($B$22:$GQ$22,MATCH(120,$B$29:$GQ$29,0))</f>
        <v>2.1437064312718959</v>
      </c>
      <c r="DR8">
        <f>INDEX($B$22:$GQ$22,MATCH(121,$B$29:$GQ$29,0))</f>
        <v>0</v>
      </c>
      <c r="DS8">
        <f>INDEX($B$22:$GQ$22,MATCH(122,$B$29:$GQ$29,0))</f>
        <v>7.7309901311899996</v>
      </c>
      <c r="DT8">
        <f>INDEX($B$22:$GQ$22,MATCH(123,$B$29:$GQ$29,0))</f>
        <v>1.8890696923700001</v>
      </c>
      <c r="DU8">
        <f>INDEX($B$22:$GQ$22,MATCH(124,$B$29:$GQ$29,0))</f>
        <v>11.094501610822441</v>
      </c>
      <c r="DV8">
        <f>INDEX($B$22:$GQ$22,MATCH(125,$B$29:$GQ$29,0))</f>
        <v>0.46723417790522082</v>
      </c>
      <c r="DW8">
        <f>INDEX($B$22:$GQ$22,MATCH(126,$B$29:$GQ$29,0))</f>
        <v>6.1009405066999998</v>
      </c>
      <c r="DX8">
        <f>INDEX($B$22:$GQ$22,MATCH(127,$B$29:$GQ$29,0))</f>
        <v>0</v>
      </c>
      <c r="DY8">
        <f>INDEX($B$22:$GQ$22,MATCH(128,$B$29:$GQ$29,0))</f>
        <v>0.26654030710377918</v>
      </c>
      <c r="DZ8">
        <f>INDEX($B$22:$GQ$22,MATCH(129,$B$29:$GQ$29,0))</f>
        <v>0.72930991165692571</v>
      </c>
      <c r="EA8">
        <f>INDEX($B$22:$GQ$22,MATCH(130,$B$29:$GQ$29,0))</f>
        <v>0.14561557168100001</v>
      </c>
      <c r="EB8">
        <f>INDEX($B$22:$GQ$22,MATCH(131,$B$29:$GQ$29,0))</f>
        <v>0</v>
      </c>
      <c r="EC8">
        <f>INDEX($B$22:$GQ$22,MATCH(132,$B$29:$GQ$29,0))</f>
        <v>4.0624645841598698E-3</v>
      </c>
      <c r="ED8">
        <f>INDEX($B$22:$GQ$22,MATCH(133,$B$29:$GQ$29,0))</f>
        <v>1.8210031991701299E-3</v>
      </c>
      <c r="EE8">
        <f>INDEX($B$22:$GQ$22,MATCH(134,$B$29:$GQ$29,0))</f>
        <v>0</v>
      </c>
      <c r="EF8">
        <f>INDEX($B$22:$GQ$22,MATCH(135,$B$29:$GQ$29,0))</f>
        <v>0</v>
      </c>
      <c r="EG8">
        <f>INDEX($B$22:$GQ$22,MATCH(136,$B$29:$GQ$29,0))</f>
        <v>0</v>
      </c>
      <c r="EH8">
        <f>INDEX($B$22:$GQ$22,MATCH(137,$B$29:$GQ$29,0))</f>
        <v>0</v>
      </c>
      <c r="EI8">
        <f>INDEX($B$22:$GQ$22,MATCH(138,$B$29:$GQ$29,0))</f>
        <v>0</v>
      </c>
      <c r="EJ8">
        <f>INDEX($B$22:$GQ$22,MATCH(139,$B$29:$GQ$29,0))</f>
        <v>0</v>
      </c>
      <c r="EK8">
        <f>INDEX($B$22:$GQ$22,MATCH(140,$B$29:$GQ$29,0))</f>
        <v>0</v>
      </c>
      <c r="EL8">
        <f>INDEX($B$22:$GQ$22,MATCH(141,$B$29:$GQ$29,0))</f>
        <v>0</v>
      </c>
      <c r="EM8">
        <f>INDEX($B$22:$GQ$22,MATCH(142,$B$29:$GQ$29,0))</f>
        <v>0</v>
      </c>
      <c r="EN8">
        <f>INDEX($B$22:$GQ$22,MATCH(143,$B$29:$GQ$29,0))</f>
        <v>0</v>
      </c>
      <c r="EO8">
        <f>INDEX($B$22:$GQ$22,MATCH(144,$B$29:$GQ$29,0))</f>
        <v>0</v>
      </c>
      <c r="EP8">
        <f>INDEX($B$22:$GQ$22,MATCH(145,$B$29:$GQ$29,0))</f>
        <v>0</v>
      </c>
      <c r="EQ8">
        <f>INDEX($B$22:$GQ$22,MATCH(146,$B$29:$GQ$29,0))</f>
        <v>0</v>
      </c>
      <c r="ER8">
        <f>INDEX($B$22:$GQ$22,MATCH(147,$B$29:$GQ$29,0))</f>
        <v>0</v>
      </c>
      <c r="ES8">
        <f>INDEX($B$22:$GQ$22,MATCH(148,$B$29:$GQ$29,0))</f>
        <v>0</v>
      </c>
      <c r="ET8">
        <f>INDEX($B$22:$GQ$22,MATCH(149,$B$29:$GQ$29,0))</f>
        <v>0</v>
      </c>
      <c r="EU8">
        <f>INDEX($B$22:$GQ$22,MATCH(150,$B$29:$GQ$29,0))</f>
        <v>0</v>
      </c>
      <c r="EV8">
        <f>INDEX($B$22:$GQ$22,MATCH(151,$B$29:$GQ$29,0))</f>
        <v>0</v>
      </c>
      <c r="EW8">
        <f>INDEX($B$22:$GQ$22,MATCH(152,$B$29:$GQ$29,0))</f>
        <v>0</v>
      </c>
      <c r="EX8">
        <f>INDEX($B$22:$GQ$22,MATCH(153,$B$29:$GQ$29,0))</f>
        <v>0</v>
      </c>
      <c r="EY8">
        <f>INDEX($B$22:$GQ$22,MATCH(154,$B$29:$GQ$29,0))</f>
        <v>0</v>
      </c>
      <c r="EZ8">
        <f>INDEX($B$22:$GQ$22,MATCH(155,$B$29:$GQ$29,0))</f>
        <v>0</v>
      </c>
      <c r="FA8">
        <f>INDEX($B$22:$GQ$22,MATCH(156,$B$29:$GQ$29,0))</f>
        <v>0</v>
      </c>
      <c r="FB8">
        <f>INDEX($B$22:$GQ$22,MATCH(157,$B$29:$GQ$29,0))</f>
        <v>0</v>
      </c>
      <c r="FC8">
        <f>INDEX($B$22:$GQ$22,MATCH(158,$B$29:$GQ$29,0))</f>
        <v>0</v>
      </c>
      <c r="FD8">
        <f>INDEX($B$22:$GQ$22,MATCH(159,$B$29:$GQ$29,0))</f>
        <v>0</v>
      </c>
      <c r="FE8">
        <f>INDEX($B$22:$GQ$22,MATCH(160,$B$29:$GQ$29,0))</f>
        <v>0</v>
      </c>
      <c r="FF8">
        <f>INDEX($B$22:$GQ$22,MATCH(161,$B$29:$GQ$29,0))</f>
        <v>0</v>
      </c>
      <c r="FG8">
        <f>INDEX($B$22:$GQ$22,MATCH(162,$B$29:$GQ$29,0))</f>
        <v>0</v>
      </c>
      <c r="FH8">
        <f>INDEX($B$22:$GQ$22,MATCH(163,$B$29:$GQ$29,0))</f>
        <v>0</v>
      </c>
      <c r="FI8">
        <f>INDEX($B$22:$GQ$22,MATCH(164,$B$29:$GQ$29,0))</f>
        <v>0</v>
      </c>
      <c r="FJ8">
        <f>INDEX($B$22:$GQ$22,MATCH(165,$B$29:$GQ$29,0))</f>
        <v>0</v>
      </c>
      <c r="FK8">
        <f>INDEX($B$22:$GQ$22,MATCH(166,$B$29:$GQ$29,0))</f>
        <v>0</v>
      </c>
      <c r="FL8">
        <f>INDEX($B$22:$GQ$22,MATCH(167,$B$29:$GQ$29,0))</f>
        <v>0</v>
      </c>
      <c r="FM8">
        <f>INDEX($B$22:$GQ$22,MATCH(168,$B$29:$GQ$29,0))</f>
        <v>0</v>
      </c>
      <c r="FN8">
        <f>INDEX($B$22:$GQ$22,MATCH(169,$B$29:$GQ$29,0))</f>
        <v>0</v>
      </c>
      <c r="FO8">
        <f>INDEX($B$22:$GQ$22,MATCH(170,$B$29:$GQ$29,0))</f>
        <v>0</v>
      </c>
      <c r="FP8">
        <f>INDEX($B$22:$GQ$22,MATCH(171,$B$29:$GQ$29,0))</f>
        <v>0</v>
      </c>
      <c r="FQ8">
        <f>INDEX($B$22:$GQ$22,MATCH(172,$B$29:$GQ$29,0))</f>
        <v>0</v>
      </c>
      <c r="FR8">
        <f>INDEX($B$22:$GQ$22,MATCH(173,$B$29:$GQ$29,0))</f>
        <v>0</v>
      </c>
      <c r="FS8">
        <f>INDEX($B$22:$GQ$22,MATCH(174,$B$29:$GQ$29,0))</f>
        <v>0</v>
      </c>
      <c r="FT8">
        <f>INDEX($B$22:$GQ$22,MATCH(175,$B$29:$GQ$29,0))</f>
        <v>0</v>
      </c>
      <c r="FU8">
        <f>INDEX($B$22:$GQ$22,MATCH(176,$B$29:$GQ$29,0))</f>
        <v>0</v>
      </c>
      <c r="FV8">
        <f>INDEX($B$22:$GQ$22,MATCH(177,$B$29:$GQ$29,0))</f>
        <v>0</v>
      </c>
      <c r="FW8">
        <f>INDEX($B$22:$GQ$22,MATCH(178,$B$29:$GQ$29,0))</f>
        <v>0</v>
      </c>
      <c r="FX8">
        <f>INDEX($B$22:$GQ$22,MATCH(179,$B$29:$GQ$29,0))</f>
        <v>0</v>
      </c>
      <c r="FY8">
        <f>INDEX($B$22:$GQ$22,MATCH(180,$B$29:$GQ$29,0))</f>
        <v>0</v>
      </c>
      <c r="FZ8">
        <f>INDEX($B$22:$GQ$22,MATCH(181,$B$29:$GQ$29,0))</f>
        <v>0</v>
      </c>
      <c r="GA8">
        <f>INDEX($B$22:$GQ$22,MATCH(182,$B$29:$GQ$29,0))</f>
        <v>0</v>
      </c>
      <c r="GB8">
        <f>INDEX($B$22:$GQ$22,MATCH(183,$B$29:$GQ$29,0))</f>
        <v>0</v>
      </c>
      <c r="GC8">
        <f>INDEX($B$22:$GQ$22,MATCH(184,$B$29:$GQ$29,0))</f>
        <v>0</v>
      </c>
      <c r="GD8">
        <f>INDEX($B$22:$GQ$22,MATCH(185,$B$29:$GQ$29,0))</f>
        <v>0</v>
      </c>
      <c r="GE8">
        <f>INDEX($B$22:$GQ$22,MATCH(186,$B$29:$GQ$29,0))</f>
        <v>0</v>
      </c>
      <c r="GF8">
        <f>INDEX($B$22:$GQ$22,MATCH(187,$B$29:$GQ$29,0))</f>
        <v>0</v>
      </c>
      <c r="GG8">
        <f>INDEX($B$22:$GQ$22,MATCH(188,$B$29:$GQ$29,0))</f>
        <v>0</v>
      </c>
      <c r="GH8">
        <f>INDEX($B$22:$GQ$22,MATCH(189,$B$29:$GQ$29,0))</f>
        <v>0</v>
      </c>
      <c r="GI8">
        <f>INDEX($B$22:$GQ$22,MATCH(190,$B$29:$GQ$29,0))</f>
        <v>0</v>
      </c>
      <c r="GJ8">
        <f>INDEX($B$22:$GQ$22,MATCH(191,$B$29:$GQ$29,0))</f>
        <v>0</v>
      </c>
      <c r="GK8">
        <f>INDEX($B$22:$GQ$22,MATCH(192,$B$29:$GQ$29,0))</f>
        <v>0</v>
      </c>
      <c r="GL8">
        <f>INDEX($B$22:$GQ$22,MATCH(193,$B$29:$GQ$29,0))</f>
        <v>0</v>
      </c>
      <c r="GM8">
        <f>INDEX($B$22:$GQ$22,MATCH(194,$B$29:$GQ$29,0))</f>
        <v>0</v>
      </c>
      <c r="GN8">
        <f>INDEX($B$22:$GQ$22,MATCH(195,$B$29:$GQ$29,0))</f>
        <v>0</v>
      </c>
      <c r="GO8">
        <f>INDEX($B$22:$GQ$22,MATCH(196,$B$29:$GQ$29,0))</f>
        <v>0</v>
      </c>
      <c r="GP8">
        <f>INDEX($B$22:$GQ$22,MATCH(197,$B$29:$GQ$29,0))</f>
        <v>0</v>
      </c>
      <c r="GQ8">
        <f>INDEX($B$22:$GQ$22,MATCH(198,$B$29:$GQ$29,0))</f>
        <v>0</v>
      </c>
      <c r="GR8">
        <f>INDEX($GR$22:$HC$22,MATCH(1,$GR$30:$HC$30,0))</f>
        <v>35754.451946233312</v>
      </c>
      <c r="GS8">
        <f>INDEX($GR$22:$HC$22,MATCH(2,$GR$30:$HC$30,0))</f>
        <v>31083.776765543069</v>
      </c>
      <c r="GT8">
        <f>INDEX($GR$22:$HC$22,MATCH(3,$GR$30:$HC$30,0))</f>
        <v>879887.65012239758</v>
      </c>
      <c r="GU8">
        <f>INDEX($GR$22:$HC$22,MATCH(4,$GR$30:$HC$30,0))</f>
        <v>348068.80637080298</v>
      </c>
      <c r="GV8">
        <f>INDEX($GR$22:$HC$22,MATCH(5,$GR$30:$HC$30,0))</f>
        <v>5050.4413716326299</v>
      </c>
      <c r="GW8">
        <f>INDEX($GR$22:$HC$22,MATCH(6,$GR$30:$HC$30,0))</f>
        <v>8862.9789436519168</v>
      </c>
      <c r="GX8">
        <f>INDEX($GR$22:$HC$22,MATCH(7,$GR$30:$HC$30,0))</f>
        <v>8625.6836483218303</v>
      </c>
      <c r="GY8">
        <f>INDEX($GR$22:$HC$22,MATCH(8,$GR$30:$HC$30,0))</f>
        <v>10307.068231872499</v>
      </c>
      <c r="GZ8">
        <f>INDEX($GR$22:$HC$22,MATCH(9,$GR$30:$HC$30,0))</f>
        <v>83954.164852629998</v>
      </c>
      <c r="HA8">
        <f>INDEX($GR$22:$HC$22,MATCH(10,$GR$30:$HC$30,0))</f>
        <v>5617.0054188691001</v>
      </c>
      <c r="HB8">
        <f>INDEX($GR$22:$HC$22,MATCH(11,$GR$30:$HC$30,0))</f>
        <v>115961.4466882009</v>
      </c>
      <c r="HC8">
        <f>INDEX($GR$22:$HC$22,MATCH(12,$GR$30:$HC$30,0))</f>
        <v>76311.734081727249</v>
      </c>
    </row>
    <row r="9" spans="1:211" x14ac:dyDescent="0.45">
      <c r="A9" s="1" t="s">
        <v>8</v>
      </c>
      <c r="B9">
        <f>INDEX($B$23:$GQ$23,MATCH(1,$B$29:$GQ$29,0))</f>
        <v>2.7184160526364E-3</v>
      </c>
      <c r="C9">
        <f>INDEX($B$23:$GQ$23,MATCH(2,$B$29:$GQ$29,0))</f>
        <v>8.6375157643064871E-4</v>
      </c>
      <c r="D9">
        <f>INDEX($B$23:$GQ$23,MATCH(3,$B$29:$GQ$29,0))</f>
        <v>2.5405121713468052E-3</v>
      </c>
      <c r="E9">
        <f>INDEX($B$23:$GQ$23,MATCH(4,$B$29:$GQ$29,0))</f>
        <v>7.9693820992104275E-4</v>
      </c>
      <c r="F9">
        <f>INDEX($B$23:$GQ$23,MATCH(5,$B$29:$GQ$29,0))</f>
        <v>5.7868281719389498E-4</v>
      </c>
      <c r="G9">
        <f>INDEX($B$23:$GQ$23,MATCH(6,$B$29:$GQ$29,0))</f>
        <v>2.3974521758253721E-3</v>
      </c>
      <c r="H9">
        <f>INDEX($B$23:$GQ$23,MATCH(7,$B$29:$GQ$29,0))</f>
        <v>3.232731522153939E-3</v>
      </c>
      <c r="I9">
        <f>INDEX($B$23:$GQ$23,MATCH(8,$B$29:$GQ$29,0))</f>
        <v>2.7535541704037801E-3</v>
      </c>
      <c r="J9">
        <f>INDEX($B$23:$GQ$23,MATCH(9,$B$29:$GQ$29,0))</f>
        <v>3.0457388455959892E-3</v>
      </c>
      <c r="K9">
        <f>INDEX($B$23:$GQ$23,MATCH(10,$B$29:$GQ$29,0))</f>
        <v>1.4818748219736329E-4</v>
      </c>
      <c r="L9">
        <f>INDEX($B$23:$GQ$23,MATCH(11,$B$29:$GQ$29,0))</f>
        <v>2.2015300762800129E-4</v>
      </c>
      <c r="M9">
        <f>INDEX($B$23:$GQ$23,MATCH(12,$B$29:$GQ$29,0))</f>
        <v>5.9442125237321437E-4</v>
      </c>
      <c r="N9">
        <f>INDEX($B$23:$GQ$23,MATCH(13,$B$29:$GQ$29,0))</f>
        <v>5.645227414399507E-4</v>
      </c>
      <c r="O9">
        <f>INDEX($B$23:$GQ$23,MATCH(14,$B$29:$GQ$29,0))</f>
        <v>7.3793289371612558E-4</v>
      </c>
      <c r="P9">
        <f>INDEX($B$23:$GQ$23,MATCH(15,$B$29:$GQ$29,0))</f>
        <v>7.2657777178334977E-6</v>
      </c>
      <c r="Q9">
        <f>INDEX($B$23:$GQ$23,MATCH(16,$B$29:$GQ$29,0))</f>
        <v>1.8558167024038249E-3</v>
      </c>
      <c r="R9">
        <f>INDEX($B$23:$GQ$23,MATCH(17,$B$29:$GQ$29,0))</f>
        <v>3.131984921140884E-4</v>
      </c>
      <c r="S9">
        <f>INDEX($B$23:$GQ$23,MATCH(18,$B$29:$GQ$29,0))</f>
        <v>1.444463884230031E-3</v>
      </c>
      <c r="T9">
        <f>INDEX($B$23:$GQ$23,MATCH(19,$B$29:$GQ$29,0))</f>
        <v>3.4142633423420632E-4</v>
      </c>
      <c r="U9">
        <f>INDEX($B$23:$GQ$23,MATCH(20,$B$29:$GQ$29,0))</f>
        <v>1.2023995176667849E-3</v>
      </c>
      <c r="V9">
        <f>INDEX($B$23:$GQ$23,MATCH(21,$B$29:$GQ$29,0))</f>
        <v>2.6995421961359711E-5</v>
      </c>
      <c r="W9">
        <f>INDEX($B$23:$GQ$23,MATCH(22,$B$29:$GQ$29,0))</f>
        <v>8.691960979050795E-5</v>
      </c>
      <c r="X9">
        <f>INDEX($B$23:$GQ$23,MATCH(23,$B$29:$GQ$29,0))</f>
        <v>6.2732105368668489E-4</v>
      </c>
      <c r="Y9">
        <f>INDEX($B$23:$GQ$23,MATCH(24,$B$29:$GQ$29,0))</f>
        <v>2.111729426424713E-4</v>
      </c>
      <c r="Z9">
        <f>INDEX($B$23:$GQ$23,MATCH(25,$B$29:$GQ$29,0))</f>
        <v>1.229273670865425E-4</v>
      </c>
      <c r="AA9">
        <f>INDEX($B$23:$GQ$23,MATCH(26,$B$29:$GQ$29,0))</f>
        <v>3.2939367773613152E-4</v>
      </c>
      <c r="AB9">
        <f>INDEX($B$23:$GQ$23,MATCH(27,$B$29:$GQ$29,0))</f>
        <v>2.5481045812843379E-5</v>
      </c>
      <c r="AC9">
        <f>INDEX($B$23:$GQ$23,MATCH(28,$B$29:$GQ$29,0))</f>
        <v>3.836675888273568E-4</v>
      </c>
      <c r="AD9">
        <f>INDEX($B$23:$GQ$23,MATCH(29,$B$29:$GQ$29,0))</f>
        <v>8.8075680181307097E-5</v>
      </c>
      <c r="AE9">
        <f>INDEX($B$23:$GQ$23,MATCH(30,$B$29:$GQ$29,0))</f>
        <v>1.407459116866164E-4</v>
      </c>
      <c r="AF9">
        <f>INDEX($B$23:$GQ$23,MATCH(31,$B$29:$GQ$29,0))</f>
        <v>4.4766868327062663E-4</v>
      </c>
      <c r="AG9">
        <f>INDEX($B$23:$GQ$23,MATCH(32,$B$29:$GQ$29,0))</f>
        <v>5.4251117386364437E-4</v>
      </c>
      <c r="AH9">
        <f>INDEX($B$23:$GQ$23,MATCH(33,$B$29:$GQ$29,0))</f>
        <v>0</v>
      </c>
      <c r="AI9">
        <f>INDEX($B$23:$GQ$23,MATCH(34,$B$29:$GQ$29,0))</f>
        <v>4.1637471119307531E-4</v>
      </c>
      <c r="AJ9">
        <f>INDEX($B$23:$GQ$23,MATCH(35,$B$29:$GQ$29,0))</f>
        <v>3.7275473932128349E-4</v>
      </c>
      <c r="AK9">
        <f>INDEX($B$23:$GQ$23,MATCH(36,$B$29:$GQ$29,0))</f>
        <v>2.1412104846981152E-5</v>
      </c>
      <c r="AL9">
        <f>INDEX($B$23:$GQ$23,MATCH(37,$B$29:$GQ$29,0))</f>
        <v>4.7108059205876001E-4</v>
      </c>
      <c r="AM9">
        <f>INDEX($B$23:$GQ$23,MATCH(38,$B$29:$GQ$29,0))</f>
        <v>3.413403025133266E-4</v>
      </c>
      <c r="AN9">
        <f>INDEX($B$23:$GQ$23,MATCH(39,$B$29:$GQ$29,0))</f>
        <v>9.9576921738969273E-5</v>
      </c>
      <c r="AO9">
        <f>INDEX($B$23:$GQ$23,MATCH(40,$B$29:$GQ$29,0))</f>
        <v>2.4254302866124589E-4</v>
      </c>
      <c r="AP9">
        <f>INDEX($B$23:$GQ$23,MATCH(41,$B$29:$GQ$29,0))</f>
        <v>2.8477171377020132E-4</v>
      </c>
      <c r="AQ9">
        <f>INDEX($B$23:$GQ$23,MATCH(42,$B$29:$GQ$29,0))</f>
        <v>1.9266699982492581E-5</v>
      </c>
      <c r="AR9">
        <f>INDEX($B$23:$GQ$23,MATCH(43,$B$29:$GQ$29,0))</f>
        <v>3.519937911357873E-4</v>
      </c>
      <c r="AS9">
        <f>INDEX($B$23:$GQ$23,MATCH(44,$B$29:$GQ$29,0))</f>
        <v>2.6476880920590572E-5</v>
      </c>
      <c r="AT9">
        <f>INDEX($B$23:$GQ$23,MATCH(45,$B$29:$GQ$29,0))</f>
        <v>8.0461457843755829E-5</v>
      </c>
      <c r="AU9">
        <f>INDEX($B$23:$GQ$23,MATCH(46,$B$29:$GQ$29,0))</f>
        <v>2.0459017693739501E-4</v>
      </c>
      <c r="AV9">
        <f>INDEX($B$23:$GQ$23,MATCH(47,$B$29:$GQ$29,0))</f>
        <v>2.195246609906074E-4</v>
      </c>
      <c r="AW9">
        <f>INDEX($B$23:$GQ$23,MATCH(48,$B$29:$GQ$29,0))</f>
        <v>1.8102899613682349E-4</v>
      </c>
      <c r="AX9">
        <f>INDEX($B$23:$GQ$23,MATCH(49,$B$29:$GQ$29,0))</f>
        <v>1.3696034283001601E-5</v>
      </c>
      <c r="AY9">
        <f>INDEX($B$23:$GQ$23,MATCH(50,$B$29:$GQ$29,0))</f>
        <v>6.1899028240866349E-5</v>
      </c>
      <c r="AZ9">
        <f>INDEX($B$23:$GQ$23,MATCH(51,$B$29:$GQ$29,0))</f>
        <v>1.8841915390799819E-4</v>
      </c>
      <c r="BA9">
        <f>INDEX($B$23:$GQ$23,MATCH(52,$B$29:$GQ$29,0))</f>
        <v>1.2225893729980191E-4</v>
      </c>
      <c r="BB9">
        <f>INDEX($B$23:$GQ$23,MATCH(53,$B$29:$GQ$29,0))</f>
        <v>1.804466898242772E-4</v>
      </c>
      <c r="BC9">
        <f>INDEX($B$23:$GQ$23,MATCH(54,$B$29:$GQ$29,0))</f>
        <v>1.6091955332725319E-4</v>
      </c>
      <c r="BD9">
        <f>INDEX($B$23:$GQ$23,MATCH(55,$B$29:$GQ$29,0))</f>
        <v>6.1030521410386747E-6</v>
      </c>
      <c r="BE9">
        <f>INDEX($B$23:$GQ$23,MATCH(56,$B$29:$GQ$29,0))</f>
        <v>1.5127643597771741E-4</v>
      </c>
      <c r="BF9">
        <f>INDEX($B$23:$GQ$23,MATCH(57,$B$29:$GQ$29,0))</f>
        <v>6.4076609383340922E-5</v>
      </c>
      <c r="BG9">
        <f>INDEX($B$23:$GQ$23,MATCH(58,$B$29:$GQ$29,0))</f>
        <v>6.4325811785453149E-6</v>
      </c>
      <c r="BH9">
        <f>INDEX($B$23:$GQ$23,MATCH(59,$B$29:$GQ$29,0))</f>
        <v>0</v>
      </c>
      <c r="BI9">
        <f>INDEX($B$23:$GQ$23,MATCH(60,$B$29:$GQ$29,0))</f>
        <v>3.539507287418988E-5</v>
      </c>
      <c r="BJ9">
        <f>INDEX($B$23:$GQ$23,MATCH(61,$B$29:$GQ$29,0))</f>
        <v>8.5794149192304031E-5</v>
      </c>
      <c r="BK9">
        <f>INDEX($B$23:$GQ$23,MATCH(62,$B$29:$GQ$29,0))</f>
        <v>1.05082034372698E-4</v>
      </c>
      <c r="BL9">
        <f>INDEX($B$23:$GQ$23,MATCH(63,$B$29:$GQ$29,0))</f>
        <v>4.1267637511901718E-5</v>
      </c>
      <c r="BM9">
        <f>INDEX($B$23:$GQ$23,MATCH(64,$B$29:$GQ$29,0))</f>
        <v>1.9581051383268799E-6</v>
      </c>
      <c r="BN9">
        <f>INDEX($B$23:$GQ$23,MATCH(65,$B$29:$GQ$29,0))</f>
        <v>8.3040867301951155E-5</v>
      </c>
      <c r="BO9">
        <f>INDEX($B$23:$GQ$23,MATCH(66,$B$29:$GQ$29,0))</f>
        <v>2.2632911225649419E-5</v>
      </c>
      <c r="BP9">
        <f>INDEX($B$23:$GQ$23,MATCH(67,$B$29:$GQ$29,0))</f>
        <v>6.9459006076561577E-5</v>
      </c>
      <c r="BQ9">
        <f>INDEX($B$23:$GQ$23,MATCH(68,$B$29:$GQ$29,0))</f>
        <v>7.9677649839737254E-5</v>
      </c>
      <c r="BR9">
        <f>INDEX($B$23:$GQ$23,MATCH(69,$B$29:$GQ$29,0))</f>
        <v>2.7703041121618238E-5</v>
      </c>
      <c r="BS9">
        <f>INDEX($B$23:$GQ$23,MATCH(70,$B$29:$GQ$29,0))</f>
        <v>3.2667356077613627E-5</v>
      </c>
      <c r="BT9">
        <f>INDEX($B$23:$GQ$23,MATCH(71,$B$29:$GQ$29,0))</f>
        <v>6.622270998076506E-5</v>
      </c>
      <c r="BU9">
        <f>INDEX($B$23:$GQ$23,MATCH(72,$B$29:$GQ$29,0))</f>
        <v>7.779039442894803E-7</v>
      </c>
      <c r="BV9">
        <f>INDEX($B$23:$GQ$23,MATCH(73,$B$29:$GQ$29,0))</f>
        <v>5.2271531701509252E-5</v>
      </c>
      <c r="BW9">
        <f>INDEX($B$23:$GQ$23,MATCH(74,$B$29:$GQ$29,0))</f>
        <v>4.4945699991592513E-5</v>
      </c>
      <c r="BX9">
        <f>INDEX($B$23:$GQ$23,MATCH(75,$B$29:$GQ$29,0))</f>
        <v>2.1310037735750422E-5</v>
      </c>
      <c r="BY9">
        <f>INDEX($B$23:$GQ$23,MATCH(76,$B$29:$GQ$29,0))</f>
        <v>3.9994770802665361E-7</v>
      </c>
      <c r="BZ9">
        <f>INDEX($B$23:$GQ$23,MATCH(77,$B$29:$GQ$29,0))</f>
        <v>5.7663300765326071E-6</v>
      </c>
      <c r="CA9">
        <f>INDEX($B$23:$GQ$23,MATCH(78,$B$29:$GQ$29,0))</f>
        <v>2.2072196169792499E-5</v>
      </c>
      <c r="CB9">
        <f>INDEX($B$23:$GQ$23,MATCH(79,$B$29:$GQ$29,0))</f>
        <v>2.456649132613185E-5</v>
      </c>
      <c r="CC9">
        <f>INDEX($B$23:$GQ$23,MATCH(80,$B$29:$GQ$29,0))</f>
        <v>2.4438509339009451E-5</v>
      </c>
      <c r="CD9">
        <f>INDEX($B$23:$GQ$23,MATCH(81,$B$29:$GQ$29,0))</f>
        <v>2.2187861778127049E-5</v>
      </c>
      <c r="CE9">
        <f>INDEX($B$23:$GQ$23,MATCH(82,$B$29:$GQ$29,0))</f>
        <v>2.1323208383889129E-5</v>
      </c>
      <c r="CF9">
        <f>INDEX($B$23:$GQ$23,MATCH(83,$B$29:$GQ$29,0))</f>
        <v>1.652812429352677E-5</v>
      </c>
      <c r="CG9">
        <f>INDEX($B$23:$GQ$23,MATCH(84,$B$29:$GQ$29,0))</f>
        <v>6.6631506551798719E-6</v>
      </c>
      <c r="CH9">
        <f>INDEX($B$23:$GQ$23,MATCH(85,$B$29:$GQ$29,0))</f>
        <v>1.1834259211509689E-5</v>
      </c>
      <c r="CI9">
        <f>INDEX($B$23:$GQ$23,MATCH(86,$B$29:$GQ$29,0))</f>
        <v>1.207702321753136E-5</v>
      </c>
      <c r="CJ9">
        <f>INDEX($B$23:$GQ$23,MATCH(87,$B$29:$GQ$29,0))</f>
        <v>5.7894910266797724E-6</v>
      </c>
      <c r="CK9">
        <f>INDEX($B$23:$GQ$23,MATCH(88,$B$29:$GQ$29,0))</f>
        <v>1.113266714594169E-5</v>
      </c>
      <c r="CL9">
        <f>INDEX($B$23:$GQ$23,MATCH(89,$B$29:$GQ$29,0))</f>
        <v>1.016571916082495E-5</v>
      </c>
      <c r="CM9">
        <f>INDEX($B$23:$GQ$23,MATCH(90,$B$29:$GQ$29,0))</f>
        <v>1.032461372339588E-5</v>
      </c>
      <c r="CN9">
        <f>INDEX($B$23:$GQ$23,MATCH(91,$B$29:$GQ$29,0))</f>
        <v>9.5719549439111581E-6</v>
      </c>
      <c r="CO9">
        <f>INDEX($B$23:$GQ$23,MATCH(92,$B$29:$GQ$29,0))</f>
        <v>8.7078281958010016E-6</v>
      </c>
      <c r="CP9">
        <f>INDEX($B$23:$GQ$23,MATCH(93,$B$29:$GQ$29,0))</f>
        <v>7.3603381840027741E-6</v>
      </c>
      <c r="CQ9">
        <f>INDEX($B$23:$GQ$23,MATCH(94,$B$29:$GQ$29,0))</f>
        <v>6.918480497574538E-6</v>
      </c>
      <c r="CR9">
        <f>INDEX($B$23:$GQ$23,MATCH(95,$B$29:$GQ$29,0))</f>
        <v>6.064627086862956E-6</v>
      </c>
      <c r="CS9">
        <f>INDEX($B$23:$GQ$23,MATCH(96,$B$29:$GQ$29,0))</f>
        <v>6.0026433702013079E-6</v>
      </c>
      <c r="CT9">
        <f>INDEX($B$23:$GQ$23,MATCH(97,$B$29:$GQ$29,0))</f>
        <v>5.1680568113225483E-6</v>
      </c>
      <c r="CU9">
        <f>INDEX($B$23:$GQ$23,MATCH(98,$B$29:$GQ$29,0))</f>
        <v>4.6664685232798592E-6</v>
      </c>
      <c r="CV9">
        <f>INDEX($B$23:$GQ$23,MATCH(99,$B$29:$GQ$29,0))</f>
        <v>4.6578139578510066E-6</v>
      </c>
      <c r="CW9">
        <f>INDEX($B$23:$GQ$23,MATCH(100,$B$29:$GQ$29,0))</f>
        <v>4.0366189550264561E-6</v>
      </c>
      <c r="CX9">
        <f>INDEX($B$23:$GQ$23,MATCH(101,$B$29:$GQ$29,0))</f>
        <v>3.9281089905809836E-6</v>
      </c>
      <c r="CY9">
        <f>INDEX($B$23:$GQ$23,MATCH(102,$B$29:$GQ$29,0))</f>
        <v>3.244728483511954E-6</v>
      </c>
      <c r="CZ9">
        <f>INDEX($B$23:$GQ$23,MATCH(103,$B$29:$GQ$29,0))</f>
        <v>8.153686344563498E-7</v>
      </c>
      <c r="DA9">
        <f>INDEX($B$23:$GQ$23,MATCH(104,$B$29:$GQ$29,0))</f>
        <v>2.8855963957947279E-6</v>
      </c>
      <c r="DB9">
        <f>INDEX($B$23:$GQ$23,MATCH(105,$B$29:$GQ$29,0))</f>
        <v>2.570089634003954E-6</v>
      </c>
      <c r="DC9">
        <f>INDEX($B$23:$GQ$23,MATCH(106,$B$29:$GQ$29,0))</f>
        <v>0</v>
      </c>
      <c r="DD9">
        <f>INDEX($B$23:$GQ$23,MATCH(107,$B$29:$GQ$29,0))</f>
        <v>2.7010285585470911E-6</v>
      </c>
      <c r="DE9">
        <f>INDEX($B$23:$GQ$23,MATCH(108,$B$29:$GQ$29,0))</f>
        <v>2.10901205796669E-6</v>
      </c>
      <c r="DF9">
        <f>INDEX($B$23:$GQ$23,MATCH(109,$B$29:$GQ$29,0))</f>
        <v>1.4890004387266541E-6</v>
      </c>
      <c r="DG9">
        <f>INDEX($B$23:$GQ$23,MATCH(110,$B$29:$GQ$29,0))</f>
        <v>9.5468172452222281E-8</v>
      </c>
      <c r="DH9">
        <f>INDEX($B$23:$GQ$23,MATCH(111,$B$29:$GQ$29,0))</f>
        <v>9.6840105786733361E-7</v>
      </c>
      <c r="DI9">
        <f>INDEX($B$23:$GQ$23,MATCH(112,$B$29:$GQ$29,0))</f>
        <v>8.215283999609774E-7</v>
      </c>
      <c r="DJ9">
        <f>INDEX($B$23:$GQ$23,MATCH(113,$B$29:$GQ$29,0))</f>
        <v>7.9401005954570744E-7</v>
      </c>
      <c r="DK9">
        <f>INDEX($B$23:$GQ$23,MATCH(114,$B$29:$GQ$29,0))</f>
        <v>7.6213875144416379E-7</v>
      </c>
      <c r="DL9">
        <f>INDEX($B$23:$GQ$23,MATCH(115,$B$29:$GQ$29,0))</f>
        <v>0</v>
      </c>
      <c r="DM9">
        <f>INDEX($B$23:$GQ$23,MATCH(116,$B$29:$GQ$29,0))</f>
        <v>2.8534646434252279E-7</v>
      </c>
      <c r="DN9">
        <f>INDEX($B$23:$GQ$23,MATCH(117,$B$29:$GQ$29,0))</f>
        <v>0</v>
      </c>
      <c r="DO9">
        <f>INDEX($B$23:$GQ$23,MATCH(118,$B$29:$GQ$29,0))</f>
        <v>0</v>
      </c>
      <c r="DP9">
        <f>INDEX($B$23:$GQ$23,MATCH(119,$B$29:$GQ$29,0))</f>
        <v>2.7451177300183421E-7</v>
      </c>
      <c r="DQ9">
        <f>INDEX($B$23:$GQ$23,MATCH(120,$B$29:$GQ$29,0))</f>
        <v>2.4128298510649749E-8</v>
      </c>
      <c r="DR9">
        <f>INDEX($B$23:$GQ$23,MATCH(121,$B$29:$GQ$29,0))</f>
        <v>0</v>
      </c>
      <c r="DS9">
        <f>INDEX($B$23:$GQ$23,MATCH(122,$B$29:$GQ$29,0))</f>
        <v>1.6455565198298641E-7</v>
      </c>
      <c r="DT9">
        <f>INDEX($B$23:$GQ$23,MATCH(123,$B$29:$GQ$29,0))</f>
        <v>2.292473406052007E-7</v>
      </c>
      <c r="DU9">
        <f>INDEX($B$23:$GQ$23,MATCH(124,$B$29:$GQ$29,0))</f>
        <v>1.5031442000174139E-7</v>
      </c>
      <c r="DV9">
        <f>INDEX($B$23:$GQ$23,MATCH(125,$B$29:$GQ$29,0))</f>
        <v>1.2002365944716201E-8</v>
      </c>
      <c r="DW9">
        <f>INDEX($B$23:$GQ$23,MATCH(126,$B$29:$GQ$29,0))</f>
        <v>6.938763797972801E-8</v>
      </c>
      <c r="DX9">
        <f>INDEX($B$23:$GQ$23,MATCH(127,$B$29:$GQ$29,0))</f>
        <v>0</v>
      </c>
      <c r="DY9">
        <f>INDEX($B$23:$GQ$23,MATCH(128,$B$29:$GQ$29,0))</f>
        <v>6.701147654124846E-9</v>
      </c>
      <c r="DZ9">
        <f>INDEX($B$23:$GQ$23,MATCH(129,$B$29:$GQ$29,0))</f>
        <v>1.8745688446049892E-9</v>
      </c>
      <c r="EA9">
        <f>INDEX($B$23:$GQ$23,MATCH(130,$B$29:$GQ$29,0))</f>
        <v>3.0676922250253519E-9</v>
      </c>
      <c r="EB9">
        <f>INDEX($B$23:$GQ$23,MATCH(131,$B$29:$GQ$29,0))</f>
        <v>0</v>
      </c>
      <c r="EC9">
        <f>INDEX($B$23:$GQ$23,MATCH(132,$B$29:$GQ$29,0))</f>
        <v>8.0814110758682753E-11</v>
      </c>
      <c r="ED9">
        <f>INDEX($B$23:$GQ$23,MATCH(133,$B$29:$GQ$29,0))</f>
        <v>2.9716814627378352E-11</v>
      </c>
      <c r="EE9">
        <f>INDEX($B$23:$GQ$23,MATCH(134,$B$29:$GQ$29,0))</f>
        <v>0</v>
      </c>
      <c r="EF9">
        <f>INDEX($B$23:$GQ$23,MATCH(135,$B$29:$GQ$29,0))</f>
        <v>0</v>
      </c>
      <c r="EG9">
        <f>INDEX($B$23:$GQ$23,MATCH(136,$B$29:$GQ$29,0))</f>
        <v>0</v>
      </c>
      <c r="EH9">
        <f>INDEX($B$23:$GQ$23,MATCH(137,$B$29:$GQ$29,0))</f>
        <v>0</v>
      </c>
      <c r="EI9">
        <f>INDEX($B$23:$GQ$23,MATCH(138,$B$29:$GQ$29,0))</f>
        <v>0</v>
      </c>
      <c r="EJ9">
        <f>INDEX($B$23:$GQ$23,MATCH(139,$B$29:$GQ$29,0))</f>
        <v>0</v>
      </c>
      <c r="EK9">
        <f>INDEX($B$23:$GQ$23,MATCH(140,$B$29:$GQ$29,0))</f>
        <v>0</v>
      </c>
      <c r="EL9">
        <f>INDEX($B$23:$GQ$23,MATCH(141,$B$29:$GQ$29,0))</f>
        <v>0</v>
      </c>
      <c r="EM9">
        <f>INDEX($B$23:$GQ$23,MATCH(142,$B$29:$GQ$29,0))</f>
        <v>0</v>
      </c>
      <c r="EN9">
        <f>INDEX($B$23:$GQ$23,MATCH(143,$B$29:$GQ$29,0))</f>
        <v>0</v>
      </c>
      <c r="EO9">
        <f>INDEX($B$23:$GQ$23,MATCH(144,$B$29:$GQ$29,0))</f>
        <v>0</v>
      </c>
      <c r="EP9">
        <f>INDEX($B$23:$GQ$23,MATCH(145,$B$29:$GQ$29,0))</f>
        <v>0</v>
      </c>
      <c r="EQ9">
        <f>INDEX($B$23:$GQ$23,MATCH(146,$B$29:$GQ$29,0))</f>
        <v>0</v>
      </c>
      <c r="ER9">
        <f>INDEX($B$23:$GQ$23,MATCH(147,$B$29:$GQ$29,0))</f>
        <v>0</v>
      </c>
      <c r="ES9">
        <f>INDEX($B$23:$GQ$23,MATCH(148,$B$29:$GQ$29,0))</f>
        <v>0</v>
      </c>
      <c r="ET9">
        <f>INDEX($B$23:$GQ$23,MATCH(149,$B$29:$GQ$29,0))</f>
        <v>0</v>
      </c>
      <c r="EU9">
        <f>INDEX($B$23:$GQ$23,MATCH(150,$B$29:$GQ$29,0))</f>
        <v>0</v>
      </c>
      <c r="EV9">
        <f>INDEX($B$23:$GQ$23,MATCH(151,$B$29:$GQ$29,0))</f>
        <v>0</v>
      </c>
      <c r="EW9">
        <f>INDEX($B$23:$GQ$23,MATCH(152,$B$29:$GQ$29,0))</f>
        <v>0</v>
      </c>
      <c r="EX9">
        <f>INDEX($B$23:$GQ$23,MATCH(153,$B$29:$GQ$29,0))</f>
        <v>0</v>
      </c>
      <c r="EY9">
        <f>INDEX($B$23:$GQ$23,MATCH(154,$B$29:$GQ$29,0))</f>
        <v>0</v>
      </c>
      <c r="EZ9">
        <f>INDEX($B$23:$GQ$23,MATCH(155,$B$29:$GQ$29,0))</f>
        <v>0</v>
      </c>
      <c r="FA9">
        <f>INDEX($B$23:$GQ$23,MATCH(156,$B$29:$GQ$29,0))</f>
        <v>0</v>
      </c>
      <c r="FB9">
        <f>INDEX($B$23:$GQ$23,MATCH(157,$B$29:$GQ$29,0))</f>
        <v>0</v>
      </c>
      <c r="FC9">
        <f>INDEX($B$23:$GQ$23,MATCH(158,$B$29:$GQ$29,0))</f>
        <v>0</v>
      </c>
      <c r="FD9">
        <f>INDEX($B$23:$GQ$23,MATCH(159,$B$29:$GQ$29,0))</f>
        <v>0</v>
      </c>
      <c r="FE9">
        <f>INDEX($B$23:$GQ$23,MATCH(160,$B$29:$GQ$29,0))</f>
        <v>0</v>
      </c>
      <c r="FF9">
        <f>INDEX($B$23:$GQ$23,MATCH(161,$B$29:$GQ$29,0))</f>
        <v>0</v>
      </c>
      <c r="FG9">
        <f>INDEX($B$23:$GQ$23,MATCH(162,$B$29:$GQ$29,0))</f>
        <v>0</v>
      </c>
      <c r="FH9">
        <f>INDEX($B$23:$GQ$23,MATCH(163,$B$29:$GQ$29,0))</f>
        <v>0</v>
      </c>
      <c r="FI9">
        <f>INDEX($B$23:$GQ$23,MATCH(164,$B$29:$GQ$29,0))</f>
        <v>0</v>
      </c>
      <c r="FJ9">
        <f>INDEX($B$23:$GQ$23,MATCH(165,$B$29:$GQ$29,0))</f>
        <v>0</v>
      </c>
      <c r="FK9">
        <f>INDEX($B$23:$GQ$23,MATCH(166,$B$29:$GQ$29,0))</f>
        <v>0</v>
      </c>
      <c r="FL9">
        <f>INDEX($B$23:$GQ$23,MATCH(167,$B$29:$GQ$29,0))</f>
        <v>0</v>
      </c>
      <c r="FM9">
        <f>INDEX($B$23:$GQ$23,MATCH(168,$B$29:$GQ$29,0))</f>
        <v>0</v>
      </c>
      <c r="FN9">
        <f>INDEX($B$23:$GQ$23,MATCH(169,$B$29:$GQ$29,0))</f>
        <v>0</v>
      </c>
      <c r="FO9">
        <f>INDEX($B$23:$GQ$23,MATCH(170,$B$29:$GQ$29,0))</f>
        <v>0</v>
      </c>
      <c r="FP9">
        <f>INDEX($B$23:$GQ$23,MATCH(171,$B$29:$GQ$29,0))</f>
        <v>0</v>
      </c>
      <c r="FQ9">
        <f>INDEX($B$23:$GQ$23,MATCH(172,$B$29:$GQ$29,0))</f>
        <v>0</v>
      </c>
      <c r="FR9">
        <f>INDEX($B$23:$GQ$23,MATCH(173,$B$29:$GQ$29,0))</f>
        <v>0</v>
      </c>
      <c r="FS9">
        <f>INDEX($B$23:$GQ$23,MATCH(174,$B$29:$GQ$29,0))</f>
        <v>0</v>
      </c>
      <c r="FT9">
        <f>INDEX($B$23:$GQ$23,MATCH(175,$B$29:$GQ$29,0))</f>
        <v>0</v>
      </c>
      <c r="FU9">
        <f>INDEX($B$23:$GQ$23,MATCH(176,$B$29:$GQ$29,0))</f>
        <v>0</v>
      </c>
      <c r="FV9">
        <f>INDEX($B$23:$GQ$23,MATCH(177,$B$29:$GQ$29,0))</f>
        <v>0</v>
      </c>
      <c r="FW9">
        <f>INDEX($B$23:$GQ$23,MATCH(178,$B$29:$GQ$29,0))</f>
        <v>0</v>
      </c>
      <c r="FX9">
        <f>INDEX($B$23:$GQ$23,MATCH(179,$B$29:$GQ$29,0))</f>
        <v>0</v>
      </c>
      <c r="FY9">
        <f>INDEX($B$23:$GQ$23,MATCH(180,$B$29:$GQ$29,0))</f>
        <v>0</v>
      </c>
      <c r="FZ9">
        <f>INDEX($B$23:$GQ$23,MATCH(181,$B$29:$GQ$29,0))</f>
        <v>0</v>
      </c>
      <c r="GA9">
        <f>INDEX($B$23:$GQ$23,MATCH(182,$B$29:$GQ$29,0))</f>
        <v>0</v>
      </c>
      <c r="GB9">
        <f>INDEX($B$23:$GQ$23,MATCH(183,$B$29:$GQ$29,0))</f>
        <v>0</v>
      </c>
      <c r="GC9">
        <f>INDEX($B$23:$GQ$23,MATCH(184,$B$29:$GQ$29,0))</f>
        <v>0</v>
      </c>
      <c r="GD9">
        <f>INDEX($B$23:$GQ$23,MATCH(185,$B$29:$GQ$29,0))</f>
        <v>0</v>
      </c>
      <c r="GE9">
        <f>INDEX($B$23:$GQ$23,MATCH(186,$B$29:$GQ$29,0))</f>
        <v>0</v>
      </c>
      <c r="GF9">
        <f>INDEX($B$23:$GQ$23,MATCH(187,$B$29:$GQ$29,0))</f>
        <v>0</v>
      </c>
      <c r="GG9">
        <f>INDEX($B$23:$GQ$23,MATCH(188,$B$29:$GQ$29,0))</f>
        <v>0</v>
      </c>
      <c r="GH9">
        <f>INDEX($B$23:$GQ$23,MATCH(189,$B$29:$GQ$29,0))</f>
        <v>0</v>
      </c>
      <c r="GI9">
        <f>INDEX($B$23:$GQ$23,MATCH(190,$B$29:$GQ$29,0))</f>
        <v>0</v>
      </c>
      <c r="GJ9">
        <f>INDEX($B$23:$GQ$23,MATCH(191,$B$29:$GQ$29,0))</f>
        <v>0</v>
      </c>
      <c r="GK9">
        <f>INDEX($B$23:$GQ$23,MATCH(192,$B$29:$GQ$29,0))</f>
        <v>0</v>
      </c>
      <c r="GL9">
        <f>INDEX($B$23:$GQ$23,MATCH(193,$B$29:$GQ$29,0))</f>
        <v>0</v>
      </c>
      <c r="GM9">
        <f>INDEX($B$23:$GQ$23,MATCH(194,$B$29:$GQ$29,0))</f>
        <v>0</v>
      </c>
      <c r="GN9">
        <f>INDEX($B$23:$GQ$23,MATCH(195,$B$29:$GQ$29,0))</f>
        <v>0</v>
      </c>
      <c r="GO9">
        <f>INDEX($B$23:$GQ$23,MATCH(196,$B$29:$GQ$29,0))</f>
        <v>0</v>
      </c>
      <c r="GP9">
        <f>INDEX($B$23:$GQ$23,MATCH(197,$B$29:$GQ$29,0))</f>
        <v>0</v>
      </c>
      <c r="GQ9">
        <f>INDEX($B$23:$GQ$23,MATCH(198,$B$29:$GQ$29,0))</f>
        <v>0</v>
      </c>
      <c r="GR9">
        <f>INDEX($GR$23:$HC$23,MATCH(1,$GR$30:$HC$30,0))</f>
        <v>3.7166368592368259E-3</v>
      </c>
      <c r="GS9">
        <f>INDEX($GR$23:$HC$23,MATCH(2,$GR$30:$HC$30,0))</f>
        <v>3.9347239318915624E-3</v>
      </c>
      <c r="GT9">
        <f>INDEX($GR$23:$HC$23,MATCH(3,$GR$30:$HC$30,0))</f>
        <v>1.25130645173737E-2</v>
      </c>
      <c r="GU9">
        <f>INDEX($GR$23:$HC$23,MATCH(4,$GR$30:$HC$30,0))</f>
        <v>6.5259265255445693E-3</v>
      </c>
      <c r="GV9">
        <f>INDEX($GR$23:$HC$23,MATCH(5,$GR$30:$HC$30,0))</f>
        <v>8.6375157643064871E-4</v>
      </c>
      <c r="GW9">
        <f>INDEX($GR$23:$HC$23,MATCH(6,$GR$30:$HC$30,0))</f>
        <v>8.8024934300889022E-4</v>
      </c>
      <c r="GX9">
        <f>INDEX($GR$23:$HC$23,MATCH(7,$GR$30:$HC$30,0))</f>
        <v>8.2341509084163335E-4</v>
      </c>
      <c r="GY9">
        <f>INDEX($GR$23:$HC$23,MATCH(8,$GR$30:$HC$30,0))</f>
        <v>5.8064092233222188E-4</v>
      </c>
      <c r="GZ9">
        <f>INDEX($GR$23:$HC$23,MATCH(9,$GR$30:$HC$30,0))</f>
        <v>2.3974521758253721E-3</v>
      </c>
      <c r="HA9">
        <f>INDEX($GR$23:$HC$23,MATCH(10,$GR$30:$HC$30,0))</f>
        <v>1.8226106768964861E-4</v>
      </c>
      <c r="HB9">
        <f>INDEX($GR$23:$HC$23,MATCH(11,$GR$30:$HC$30,0))</f>
        <v>2.820533463023312E-3</v>
      </c>
      <c r="HC9">
        <f>INDEX($GR$23:$HC$23,MATCH(12,$GR$30:$HC$30,0))</f>
        <v>1.9132008818389171E-3</v>
      </c>
    </row>
    <row r="10" spans="1:211" x14ac:dyDescent="0.45">
      <c r="A10" s="1" t="s">
        <v>9</v>
      </c>
      <c r="B10">
        <f>INDEX($B$24:$GQ$24,MATCH(1,$B$29:$GQ$29,0))</f>
        <v>1.250733108938794E-2</v>
      </c>
      <c r="C10">
        <f>INDEX($B$24:$GQ$24,MATCH(2,$B$29:$GQ$29,0))</f>
        <v>7.2645894011713263E-3</v>
      </c>
      <c r="D10">
        <f>INDEX($B$24:$GQ$24,MATCH(3,$B$29:$GQ$29,0))</f>
        <v>5.4968156864446827E-3</v>
      </c>
      <c r="E10">
        <f>INDEX($B$24:$GQ$24,MATCH(4,$B$29:$GQ$29,0))</f>
        <v>6.5934099584996578E-3</v>
      </c>
      <c r="F10">
        <f>INDEX($B$24:$GQ$24,MATCH(5,$B$29:$GQ$29,0))</f>
        <v>2.4675805429785471E-3</v>
      </c>
      <c r="G10">
        <f>INDEX($B$24:$GQ$24,MATCH(6,$B$29:$GQ$29,0))</f>
        <v>4.9626210370754863E-3</v>
      </c>
      <c r="H10">
        <f>INDEX($B$24:$GQ$24,MATCH(7,$B$29:$GQ$29,0))</f>
        <v>1.5380555765610109E-3</v>
      </c>
      <c r="I10">
        <f>INDEX($B$24:$GQ$24,MATCH(8,$B$29:$GQ$29,0))</f>
        <v>1.707239048018241E-3</v>
      </c>
      <c r="J10">
        <f>INDEX($B$24:$GQ$24,MATCH(9,$B$29:$GQ$29,0))</f>
        <v>1.0830130767534799E-3</v>
      </c>
      <c r="K10">
        <f>INDEX($B$24:$GQ$24,MATCH(10,$B$29:$GQ$29,0))</f>
        <v>2.9167116378139429E-3</v>
      </c>
      <c r="L10">
        <f>INDEX($B$24:$GQ$24,MATCH(11,$B$29:$GQ$29,0))</f>
        <v>2.926799549709572E-3</v>
      </c>
      <c r="M10">
        <f>INDEX($B$24:$GQ$24,MATCH(12,$B$29:$GQ$29,0))</f>
        <v>1.2165059460149869E-3</v>
      </c>
      <c r="N10">
        <f>INDEX($B$24:$GQ$24,MATCH(13,$B$29:$GQ$29,0))</f>
        <v>2.542962690573016E-3</v>
      </c>
      <c r="O10">
        <f>INDEX($B$24:$GQ$24,MATCH(14,$B$29:$GQ$29,0))</f>
        <v>2.0219897638193911E-3</v>
      </c>
      <c r="P10">
        <f>INDEX($B$24:$GQ$24,MATCH(15,$B$29:$GQ$29,0))</f>
        <v>5.7463999987602993E-6</v>
      </c>
      <c r="Q10">
        <f>INDEX($B$24:$GQ$24,MATCH(16,$B$29:$GQ$29,0))</f>
        <v>1.248636291282785E-3</v>
      </c>
      <c r="R10">
        <f>INDEX($B$24:$GQ$24,MATCH(17,$B$29:$GQ$29,0))</f>
        <v>2.5289037223920501E-3</v>
      </c>
      <c r="S10">
        <f>INDEX($B$24:$GQ$24,MATCH(18,$B$29:$GQ$29,0))</f>
        <v>1.3840046044100321E-3</v>
      </c>
      <c r="T10">
        <f>INDEX($B$24:$GQ$24,MATCH(19,$B$29:$GQ$29,0))</f>
        <v>1.5993159995359009E-3</v>
      </c>
      <c r="U10">
        <f>INDEX($B$24:$GQ$24,MATCH(20,$B$29:$GQ$29,0))</f>
        <v>4.8314191467581092E-4</v>
      </c>
      <c r="V10">
        <f>INDEX($B$24:$GQ$24,MATCH(21,$B$29:$GQ$29,0))</f>
        <v>5.8920074069430451E-4</v>
      </c>
      <c r="W10">
        <f>INDEX($B$24:$GQ$24,MATCH(22,$B$29:$GQ$29,0))</f>
        <v>1.7185413817625449E-5</v>
      </c>
      <c r="X10">
        <f>INDEX($B$24:$GQ$24,MATCH(23,$B$29:$GQ$29,0))</f>
        <v>1.182458574864799E-4</v>
      </c>
      <c r="Y10">
        <f>INDEX($B$24:$GQ$24,MATCH(24,$B$29:$GQ$29,0))</f>
        <v>6.0848768408992371E-5</v>
      </c>
      <c r="Z10">
        <f>INDEX($B$24:$GQ$24,MATCH(25,$B$29:$GQ$29,0))</f>
        <v>6.7374864446603528E-4</v>
      </c>
      <c r="AA10">
        <f>INDEX($B$24:$GQ$24,MATCH(26,$B$29:$GQ$29,0))</f>
        <v>1.3651930026742921E-4</v>
      </c>
      <c r="AB10">
        <f>INDEX($B$24:$GQ$24,MATCH(27,$B$29:$GQ$29,0))</f>
        <v>8.6486726881659416E-4</v>
      </c>
      <c r="AC10">
        <f>INDEX($B$24:$GQ$24,MATCH(28,$B$29:$GQ$29,0))</f>
        <v>6.1869686511983207E-5</v>
      </c>
      <c r="AD10">
        <f>INDEX($B$24:$GQ$24,MATCH(29,$B$29:$GQ$29,0))</f>
        <v>4.2952948455838768E-5</v>
      </c>
      <c r="AE10">
        <f>INDEX($B$24:$GQ$24,MATCH(30,$B$29:$GQ$29,0))</f>
        <v>1.8585424307917281E-4</v>
      </c>
      <c r="AF10">
        <f>INDEX($B$24:$GQ$24,MATCH(31,$B$29:$GQ$29,0))</f>
        <v>1.5276710327375321E-4</v>
      </c>
      <c r="AG10">
        <f>INDEX($B$24:$GQ$24,MATCH(32,$B$29:$GQ$29,0))</f>
        <v>1.170728649990946E-4</v>
      </c>
      <c r="AH10">
        <f>INDEX($B$24:$GQ$24,MATCH(33,$B$29:$GQ$29,0))</f>
        <v>0</v>
      </c>
      <c r="AI10">
        <f>INDEX($B$24:$GQ$24,MATCH(34,$B$29:$GQ$29,0))</f>
        <v>1.4691638819548821E-4</v>
      </c>
      <c r="AJ10">
        <f>INDEX($B$24:$GQ$24,MATCH(35,$B$29:$GQ$29,0))</f>
        <v>5.8018816832170187E-5</v>
      </c>
      <c r="AK10">
        <f>INDEX($B$24:$GQ$24,MATCH(36,$B$29:$GQ$29,0))</f>
        <v>3.0095359010762142E-4</v>
      </c>
      <c r="AL10">
        <f>INDEX($B$24:$GQ$24,MATCH(37,$B$29:$GQ$29,0))</f>
        <v>1.1439619220696969E-4</v>
      </c>
      <c r="AM10">
        <f>INDEX($B$24:$GQ$24,MATCH(38,$B$29:$GQ$29,0))</f>
        <v>1.6366722605815569E-5</v>
      </c>
      <c r="AN10">
        <f>INDEX($B$24:$GQ$24,MATCH(39,$B$29:$GQ$29,0))</f>
        <v>2.7507085826051059E-5</v>
      </c>
      <c r="AO10">
        <f>INDEX($B$24:$GQ$24,MATCH(40,$B$29:$GQ$29,0))</f>
        <v>1.1629623012740981E-5</v>
      </c>
      <c r="AP10">
        <f>INDEX($B$24:$GQ$24,MATCH(41,$B$29:$GQ$29,0))</f>
        <v>4.4310262031410758E-5</v>
      </c>
      <c r="AQ10">
        <f>INDEX($B$24:$GQ$24,MATCH(42,$B$29:$GQ$29,0))</f>
        <v>9.8164496536862104E-6</v>
      </c>
      <c r="AR10">
        <f>INDEX($B$24:$GQ$24,MATCH(43,$B$29:$GQ$29,0))</f>
        <v>1.029231034649126E-5</v>
      </c>
      <c r="AS10">
        <f>INDEX($B$24:$GQ$24,MATCH(44,$B$29:$GQ$29,0))</f>
        <v>3.3807733467148578E-4</v>
      </c>
      <c r="AT10">
        <f>INDEX($B$24:$GQ$24,MATCH(45,$B$29:$GQ$29,0))</f>
        <v>3.477215541089159E-6</v>
      </c>
      <c r="AU10">
        <f>INDEX($B$24:$GQ$24,MATCH(46,$B$29:$GQ$29,0))</f>
        <v>8.9692023701533325E-5</v>
      </c>
      <c r="AV10">
        <f>INDEX($B$24:$GQ$24,MATCH(47,$B$29:$GQ$29,0))</f>
        <v>4.4301529946383117E-5</v>
      </c>
      <c r="AW10">
        <f>INDEX($B$24:$GQ$24,MATCH(48,$B$29:$GQ$29,0))</f>
        <v>9.9966339384533943E-5</v>
      </c>
      <c r="AX10">
        <f>INDEX($B$24:$GQ$24,MATCH(49,$B$29:$GQ$29,0))</f>
        <v>5.3103977571728268E-5</v>
      </c>
      <c r="AY10">
        <f>INDEX($B$24:$GQ$24,MATCH(50,$B$29:$GQ$29,0))</f>
        <v>3.3672880459864967E-5</v>
      </c>
      <c r="AZ10">
        <f>INDEX($B$24:$GQ$24,MATCH(51,$B$29:$GQ$29,0))</f>
        <v>4.3542399573744627E-5</v>
      </c>
      <c r="BA10">
        <f>INDEX($B$24:$GQ$24,MATCH(52,$B$29:$GQ$29,0))</f>
        <v>4.0840255085685317E-5</v>
      </c>
      <c r="BB10">
        <f>INDEX($B$24:$GQ$24,MATCH(53,$B$29:$GQ$29,0))</f>
        <v>2.6032479548365099E-5</v>
      </c>
      <c r="BC10">
        <f>INDEX($B$24:$GQ$24,MATCH(54,$B$29:$GQ$29,0))</f>
        <v>3.2630923435236268E-5</v>
      </c>
      <c r="BD10">
        <f>INDEX($B$24:$GQ$24,MATCH(55,$B$29:$GQ$29,0))</f>
        <v>1.4909472427057581E-4</v>
      </c>
      <c r="BE10">
        <f>INDEX($B$24:$GQ$24,MATCH(56,$B$29:$GQ$29,0))</f>
        <v>2.0541841119757221E-5</v>
      </c>
      <c r="BF10">
        <f>INDEX($B$24:$GQ$24,MATCH(57,$B$29:$GQ$29,0))</f>
        <v>9.4497911364614506E-6</v>
      </c>
      <c r="BG10">
        <f>INDEX($B$24:$GQ$24,MATCH(58,$B$29:$GQ$29,0))</f>
        <v>1.096875774300408E-4</v>
      </c>
      <c r="BH10">
        <f>INDEX($B$24:$GQ$24,MATCH(59,$B$29:$GQ$29,0))</f>
        <v>0</v>
      </c>
      <c r="BI10">
        <f>INDEX($B$24:$GQ$24,MATCH(60,$B$29:$GQ$29,0))</f>
        <v>6.3892214701183474E-6</v>
      </c>
      <c r="BJ10">
        <f>INDEX($B$24:$GQ$24,MATCH(61,$B$29:$GQ$29,0))</f>
        <v>5.870310790210192E-6</v>
      </c>
      <c r="BK10">
        <f>INDEX($B$24:$GQ$24,MATCH(62,$B$29:$GQ$29,0))</f>
        <v>1.71533207459956E-5</v>
      </c>
      <c r="BL10">
        <f>INDEX($B$24:$GQ$24,MATCH(63,$B$29:$GQ$29,0))</f>
        <v>7.4732669838500038E-6</v>
      </c>
      <c r="BM10">
        <f>INDEX($B$24:$GQ$24,MATCH(64,$B$29:$GQ$29,0))</f>
        <v>6.3922115853539356E-6</v>
      </c>
      <c r="BN10">
        <f>INDEX($B$24:$GQ$24,MATCH(65,$B$29:$GQ$29,0))</f>
        <v>2.168023724910103E-5</v>
      </c>
      <c r="BO10">
        <f>INDEX($B$24:$GQ$24,MATCH(66,$B$29:$GQ$29,0))</f>
        <v>6.3541887768008773E-6</v>
      </c>
      <c r="BP10">
        <f>INDEX($B$24:$GQ$24,MATCH(67,$B$29:$GQ$29,0))</f>
        <v>2.1460040132452409E-5</v>
      </c>
      <c r="BQ10">
        <f>INDEX($B$24:$GQ$24,MATCH(68,$B$29:$GQ$29,0))</f>
        <v>9.6758016445543536E-6</v>
      </c>
      <c r="BR10">
        <f>INDEX($B$24:$GQ$24,MATCH(69,$B$29:$GQ$29,0))</f>
        <v>3.7082046530887002E-6</v>
      </c>
      <c r="BS10">
        <f>INDEX($B$24:$GQ$24,MATCH(70,$B$29:$GQ$29,0))</f>
        <v>4.8841624842957928E-6</v>
      </c>
      <c r="BT10">
        <f>INDEX($B$24:$GQ$24,MATCH(71,$B$29:$GQ$29,0))</f>
        <v>1.9846009807787181E-5</v>
      </c>
      <c r="BU10">
        <f>INDEX($B$24:$GQ$24,MATCH(72,$B$29:$GQ$29,0))</f>
        <v>1.1599503142163789E-7</v>
      </c>
      <c r="BV10">
        <f>INDEX($B$24:$GQ$24,MATCH(73,$B$29:$GQ$29,0))</f>
        <v>2.587517968947695E-5</v>
      </c>
      <c r="BW10">
        <f>INDEX($B$24:$GQ$24,MATCH(74,$B$29:$GQ$29,0))</f>
        <v>2.322734545066265E-5</v>
      </c>
      <c r="BX10">
        <f>INDEX($B$24:$GQ$24,MATCH(75,$B$29:$GQ$29,0))</f>
        <v>6.1801327435384591E-6</v>
      </c>
      <c r="BY10">
        <f>INDEX($B$24:$GQ$24,MATCH(76,$B$29:$GQ$29,0))</f>
        <v>6.3382570719781009E-7</v>
      </c>
      <c r="BZ10">
        <f>INDEX($B$24:$GQ$24,MATCH(77,$B$29:$GQ$29,0))</f>
        <v>2.7648581021074402E-7</v>
      </c>
      <c r="CA10">
        <f>INDEX($B$24:$GQ$24,MATCH(78,$B$29:$GQ$29,0))</f>
        <v>1.0130151774646659E-5</v>
      </c>
      <c r="CB10">
        <f>INDEX($B$24:$GQ$24,MATCH(79,$B$29:$GQ$29,0))</f>
        <v>4.4849877344458409E-6</v>
      </c>
      <c r="CC10">
        <f>INDEX($B$24:$GQ$24,MATCH(80,$B$29:$GQ$29,0))</f>
        <v>1.053055790077274E-6</v>
      </c>
      <c r="CD10">
        <f>INDEX($B$24:$GQ$24,MATCH(81,$B$29:$GQ$29,0))</f>
        <v>1.573175851895925E-6</v>
      </c>
      <c r="CE10">
        <f>INDEX($B$24:$GQ$24,MATCH(82,$B$29:$GQ$29,0))</f>
        <v>2.6353600161771121E-6</v>
      </c>
      <c r="CF10">
        <f>INDEX($B$24:$GQ$24,MATCH(83,$B$29:$GQ$29,0))</f>
        <v>4.8853685284816187E-6</v>
      </c>
      <c r="CG10">
        <f>INDEX($B$24:$GQ$24,MATCH(84,$B$29:$GQ$29,0))</f>
        <v>4.2792756325614138E-7</v>
      </c>
      <c r="CH10">
        <f>INDEX($B$24:$GQ$24,MATCH(85,$B$29:$GQ$29,0))</f>
        <v>6.4283524983858417E-6</v>
      </c>
      <c r="CI10">
        <f>INDEX($B$24:$GQ$24,MATCH(86,$B$29:$GQ$29,0))</f>
        <v>3.528737147261136E-6</v>
      </c>
      <c r="CJ10">
        <f>INDEX($B$24:$GQ$24,MATCH(87,$B$29:$GQ$29,0))</f>
        <v>9.3372316014094702E-7</v>
      </c>
      <c r="CK10">
        <f>INDEX($B$24:$GQ$24,MATCH(88,$B$29:$GQ$29,0))</f>
        <v>3.3898112170395929E-6</v>
      </c>
      <c r="CL10">
        <f>INDEX($B$24:$GQ$24,MATCH(89,$B$29:$GQ$29,0))</f>
        <v>3.008607488710226E-6</v>
      </c>
      <c r="CM10">
        <f>INDEX($B$24:$GQ$24,MATCH(90,$B$29:$GQ$29,0))</f>
        <v>2.765919215012268E-6</v>
      </c>
      <c r="CN10">
        <f>INDEX($B$24:$GQ$24,MATCH(91,$B$29:$GQ$29,0))</f>
        <v>2.863807174271793E-6</v>
      </c>
      <c r="CO10">
        <f>INDEX($B$24:$GQ$24,MATCH(92,$B$29:$GQ$29,0))</f>
        <v>1.849749947654351E-6</v>
      </c>
      <c r="CP10">
        <f>INDEX($B$24:$GQ$24,MATCH(93,$B$29:$GQ$29,0))</f>
        <v>1.7366421426656169E-6</v>
      </c>
      <c r="CQ10">
        <f>INDEX($B$24:$GQ$24,MATCH(94,$B$29:$GQ$29,0))</f>
        <v>1.687363151411979E-6</v>
      </c>
      <c r="CR10">
        <f>INDEX($B$24:$GQ$24,MATCH(95,$B$29:$GQ$29,0))</f>
        <v>2.512133516058879E-6</v>
      </c>
      <c r="CS10">
        <f>INDEX($B$24:$GQ$24,MATCH(96,$B$29:$GQ$29,0))</f>
        <v>1.7235161849437001E-6</v>
      </c>
      <c r="CT10">
        <f>INDEX($B$24:$GQ$24,MATCH(97,$B$29:$GQ$29,0))</f>
        <v>2.140763379571448E-6</v>
      </c>
      <c r="CU10">
        <f>INDEX($B$24:$GQ$24,MATCH(98,$B$29:$GQ$29,0))</f>
        <v>1.264030099455987E-6</v>
      </c>
      <c r="CV10">
        <f>INDEX($B$24:$GQ$24,MATCH(99,$B$29:$GQ$29,0))</f>
        <v>1.171066953091257E-6</v>
      </c>
      <c r="CW10">
        <f>INDEX($B$24:$GQ$24,MATCH(100,$B$29:$GQ$29,0))</f>
        <v>9.9396764911923958E-7</v>
      </c>
      <c r="CX10">
        <f>INDEX($B$24:$GQ$24,MATCH(101,$B$29:$GQ$29,0))</f>
        <v>7.0980501050926176E-7</v>
      </c>
      <c r="CY10">
        <f>INDEX($B$24:$GQ$24,MATCH(102,$B$29:$GQ$29,0))</f>
        <v>5.7393832816579552E-7</v>
      </c>
      <c r="CZ10">
        <f>INDEX($B$24:$GQ$24,MATCH(103,$B$29:$GQ$29,0))</f>
        <v>3.9095519556857191E-8</v>
      </c>
      <c r="DA10">
        <f>INDEX($B$24:$GQ$24,MATCH(104,$B$29:$GQ$29,0))</f>
        <v>8.3824510394173621E-7</v>
      </c>
      <c r="DB10">
        <f>INDEX($B$24:$GQ$24,MATCH(105,$B$29:$GQ$29,0))</f>
        <v>7.0871223379635994E-7</v>
      </c>
      <c r="DC10">
        <f>INDEX($B$24:$GQ$24,MATCH(106,$B$29:$GQ$29,0))</f>
        <v>0</v>
      </c>
      <c r="DD10">
        <f>INDEX($B$24:$GQ$24,MATCH(107,$B$29:$GQ$29,0))</f>
        <v>2.3106712332727271E-7</v>
      </c>
      <c r="DE10">
        <f>INDEX($B$24:$GQ$24,MATCH(108,$B$29:$GQ$29,0))</f>
        <v>6.1782314906011461E-7</v>
      </c>
      <c r="DF10">
        <f>INDEX($B$24:$GQ$24,MATCH(109,$B$29:$GQ$29,0))</f>
        <v>3.0990913673369728E-7</v>
      </c>
      <c r="DG10">
        <f>INDEX($B$24:$GQ$24,MATCH(110,$B$29:$GQ$29,0))</f>
        <v>1.4865088238773881E-8</v>
      </c>
      <c r="DH10">
        <f>INDEX($B$24:$GQ$24,MATCH(111,$B$29:$GQ$29,0))</f>
        <v>2.9092359388046271E-7</v>
      </c>
      <c r="DI10">
        <f>INDEX($B$24:$GQ$24,MATCH(112,$B$29:$GQ$29,0))</f>
        <v>2.5383226564537007E-7</v>
      </c>
      <c r="DJ10">
        <f>INDEX($B$24:$GQ$24,MATCH(113,$B$29:$GQ$29,0))</f>
        <v>1.91348311811611E-7</v>
      </c>
      <c r="DK10">
        <f>INDEX($B$24:$GQ$24,MATCH(114,$B$29:$GQ$29,0))</f>
        <v>1.6754246785667899E-7</v>
      </c>
      <c r="DL10">
        <f>INDEX($B$24:$GQ$24,MATCH(115,$B$29:$GQ$29,0))</f>
        <v>0</v>
      </c>
      <c r="DM10">
        <f>INDEX($B$24:$GQ$24,MATCH(116,$B$29:$GQ$29,0))</f>
        <v>4.8558503399267967E-8</v>
      </c>
      <c r="DN10">
        <f>INDEX($B$24:$GQ$24,MATCH(117,$B$29:$GQ$29,0))</f>
        <v>0</v>
      </c>
      <c r="DO10">
        <f>INDEX($B$24:$GQ$24,MATCH(118,$B$29:$GQ$29,0))</f>
        <v>0</v>
      </c>
      <c r="DP10">
        <f>INDEX($B$24:$GQ$24,MATCH(119,$B$29:$GQ$29,0))</f>
        <v>5.9140195957088227E-8</v>
      </c>
      <c r="DQ10">
        <f>INDEX($B$24:$GQ$24,MATCH(120,$B$29:$GQ$29,0))</f>
        <v>1.156911663342657E-9</v>
      </c>
      <c r="DR10">
        <f>INDEX($B$24:$GQ$24,MATCH(121,$B$29:$GQ$29,0))</f>
        <v>0</v>
      </c>
      <c r="DS10">
        <f>INDEX($B$24:$GQ$24,MATCH(122,$B$29:$GQ$29,0))</f>
        <v>6.3232174501196544E-8</v>
      </c>
      <c r="DT10">
        <f>INDEX($B$24:$GQ$24,MATCH(123,$B$29:$GQ$29,0))</f>
        <v>3.0103775148669189E-9</v>
      </c>
      <c r="DU10">
        <f>INDEX($B$24:$GQ$24,MATCH(124,$B$29:$GQ$29,0))</f>
        <v>3.6727458934417712E-8</v>
      </c>
      <c r="DV10">
        <f>INDEX($B$24:$GQ$24,MATCH(125,$B$29:$GQ$29,0))</f>
        <v>1.400274925084545E-9</v>
      </c>
      <c r="DW10">
        <f>INDEX($B$24:$GQ$24,MATCH(126,$B$29:$GQ$29,0))</f>
        <v>2.0730427048599549E-8</v>
      </c>
      <c r="DX10">
        <f>INDEX($B$24:$GQ$24,MATCH(127,$B$29:$GQ$29,0))</f>
        <v>0</v>
      </c>
      <c r="DY10">
        <f>INDEX($B$24:$GQ$24,MATCH(128,$B$29:$GQ$29,0))</f>
        <v>8.3567498714362196E-10</v>
      </c>
      <c r="DZ10">
        <f>INDEX($B$24:$GQ$24,MATCH(129,$B$29:$GQ$29,0))</f>
        <v>4.6793341666759677E-11</v>
      </c>
      <c r="EA10">
        <f>INDEX($B$24:$GQ$24,MATCH(130,$B$29:$GQ$29,0))</f>
        <v>5.3658168897082747E-10</v>
      </c>
      <c r="EB10">
        <f>INDEX($B$24:$GQ$24,MATCH(131,$B$29:$GQ$29,0))</f>
        <v>0</v>
      </c>
      <c r="EC10">
        <f>INDEX($B$24:$GQ$24,MATCH(132,$B$29:$GQ$29,0))</f>
        <v>1.849692629959157E-11</v>
      </c>
      <c r="ED10">
        <f>INDEX($B$24:$GQ$24,MATCH(133,$B$29:$GQ$29,0))</f>
        <v>8.5557191174520873E-12</v>
      </c>
      <c r="EE10">
        <f>INDEX($B$24:$GQ$24,MATCH(134,$B$29:$GQ$29,0))</f>
        <v>0</v>
      </c>
      <c r="EF10">
        <f>INDEX($B$24:$GQ$24,MATCH(135,$B$29:$GQ$29,0))</f>
        <v>0</v>
      </c>
      <c r="EG10">
        <f>INDEX($B$24:$GQ$24,MATCH(136,$B$29:$GQ$29,0))</f>
        <v>0</v>
      </c>
      <c r="EH10">
        <f>INDEX($B$24:$GQ$24,MATCH(137,$B$29:$GQ$29,0))</f>
        <v>0</v>
      </c>
      <c r="EI10">
        <f>INDEX($B$24:$GQ$24,MATCH(138,$B$29:$GQ$29,0))</f>
        <v>0</v>
      </c>
      <c r="EJ10">
        <f>INDEX($B$24:$GQ$24,MATCH(139,$B$29:$GQ$29,0))</f>
        <v>0</v>
      </c>
      <c r="EK10">
        <f>INDEX($B$24:$GQ$24,MATCH(140,$B$29:$GQ$29,0))</f>
        <v>0</v>
      </c>
      <c r="EL10">
        <f>INDEX($B$24:$GQ$24,MATCH(141,$B$29:$GQ$29,0))</f>
        <v>0</v>
      </c>
      <c r="EM10">
        <f>INDEX($B$24:$GQ$24,MATCH(142,$B$29:$GQ$29,0))</f>
        <v>0</v>
      </c>
      <c r="EN10">
        <f>INDEX($B$24:$GQ$24,MATCH(143,$B$29:$GQ$29,0))</f>
        <v>0</v>
      </c>
      <c r="EO10">
        <f>INDEX($B$24:$GQ$24,MATCH(144,$B$29:$GQ$29,0))</f>
        <v>0</v>
      </c>
      <c r="EP10">
        <f>INDEX($B$24:$GQ$24,MATCH(145,$B$29:$GQ$29,0))</f>
        <v>0</v>
      </c>
      <c r="EQ10">
        <f>INDEX($B$24:$GQ$24,MATCH(146,$B$29:$GQ$29,0))</f>
        <v>0</v>
      </c>
      <c r="ER10">
        <f>INDEX($B$24:$GQ$24,MATCH(147,$B$29:$GQ$29,0))</f>
        <v>0</v>
      </c>
      <c r="ES10">
        <f>INDEX($B$24:$GQ$24,MATCH(148,$B$29:$GQ$29,0))</f>
        <v>0</v>
      </c>
      <c r="ET10">
        <f>INDEX($B$24:$GQ$24,MATCH(149,$B$29:$GQ$29,0))</f>
        <v>0</v>
      </c>
      <c r="EU10">
        <f>INDEX($B$24:$GQ$24,MATCH(150,$B$29:$GQ$29,0))</f>
        <v>0</v>
      </c>
      <c r="EV10">
        <f>INDEX($B$24:$GQ$24,MATCH(151,$B$29:$GQ$29,0))</f>
        <v>0</v>
      </c>
      <c r="EW10">
        <f>INDEX($B$24:$GQ$24,MATCH(152,$B$29:$GQ$29,0))</f>
        <v>0</v>
      </c>
      <c r="EX10">
        <f>INDEX($B$24:$GQ$24,MATCH(153,$B$29:$GQ$29,0))</f>
        <v>0</v>
      </c>
      <c r="EY10">
        <f>INDEX($B$24:$GQ$24,MATCH(154,$B$29:$GQ$29,0))</f>
        <v>0</v>
      </c>
      <c r="EZ10">
        <f>INDEX($B$24:$GQ$24,MATCH(155,$B$29:$GQ$29,0))</f>
        <v>0</v>
      </c>
      <c r="FA10">
        <f>INDEX($B$24:$GQ$24,MATCH(156,$B$29:$GQ$29,0))</f>
        <v>0</v>
      </c>
      <c r="FB10">
        <f>INDEX($B$24:$GQ$24,MATCH(157,$B$29:$GQ$29,0))</f>
        <v>0</v>
      </c>
      <c r="FC10">
        <f>INDEX($B$24:$GQ$24,MATCH(158,$B$29:$GQ$29,0))</f>
        <v>0</v>
      </c>
      <c r="FD10">
        <f>INDEX($B$24:$GQ$24,MATCH(159,$B$29:$GQ$29,0))</f>
        <v>0</v>
      </c>
      <c r="FE10">
        <f>INDEX($B$24:$GQ$24,MATCH(160,$B$29:$GQ$29,0))</f>
        <v>0</v>
      </c>
      <c r="FF10">
        <f>INDEX($B$24:$GQ$24,MATCH(161,$B$29:$GQ$29,0))</f>
        <v>0</v>
      </c>
      <c r="FG10">
        <f>INDEX($B$24:$GQ$24,MATCH(162,$B$29:$GQ$29,0))</f>
        <v>0</v>
      </c>
      <c r="FH10">
        <f>INDEX($B$24:$GQ$24,MATCH(163,$B$29:$GQ$29,0))</f>
        <v>0</v>
      </c>
      <c r="FI10">
        <f>INDEX($B$24:$GQ$24,MATCH(164,$B$29:$GQ$29,0))</f>
        <v>0</v>
      </c>
      <c r="FJ10">
        <f>INDEX($B$24:$GQ$24,MATCH(165,$B$29:$GQ$29,0))</f>
        <v>0</v>
      </c>
      <c r="FK10">
        <f>INDEX($B$24:$GQ$24,MATCH(166,$B$29:$GQ$29,0))</f>
        <v>0</v>
      </c>
      <c r="FL10">
        <f>INDEX($B$24:$GQ$24,MATCH(167,$B$29:$GQ$29,0))</f>
        <v>0</v>
      </c>
      <c r="FM10">
        <f>INDEX($B$24:$GQ$24,MATCH(168,$B$29:$GQ$29,0))</f>
        <v>0</v>
      </c>
      <c r="FN10">
        <f>INDEX($B$24:$GQ$24,MATCH(169,$B$29:$GQ$29,0))</f>
        <v>0</v>
      </c>
      <c r="FO10">
        <f>INDEX($B$24:$GQ$24,MATCH(170,$B$29:$GQ$29,0))</f>
        <v>0</v>
      </c>
      <c r="FP10">
        <f>INDEX($B$24:$GQ$24,MATCH(171,$B$29:$GQ$29,0))</f>
        <v>0</v>
      </c>
      <c r="FQ10">
        <f>INDEX($B$24:$GQ$24,MATCH(172,$B$29:$GQ$29,0))</f>
        <v>0</v>
      </c>
      <c r="FR10">
        <f>INDEX($B$24:$GQ$24,MATCH(173,$B$29:$GQ$29,0))</f>
        <v>0</v>
      </c>
      <c r="FS10">
        <f>INDEX($B$24:$GQ$24,MATCH(174,$B$29:$GQ$29,0))</f>
        <v>0</v>
      </c>
      <c r="FT10">
        <f>INDEX($B$24:$GQ$24,MATCH(175,$B$29:$GQ$29,0))</f>
        <v>0</v>
      </c>
      <c r="FU10">
        <f>INDEX($B$24:$GQ$24,MATCH(176,$B$29:$GQ$29,0))</f>
        <v>0</v>
      </c>
      <c r="FV10">
        <f>INDEX($B$24:$GQ$24,MATCH(177,$B$29:$GQ$29,0))</f>
        <v>0</v>
      </c>
      <c r="FW10">
        <f>INDEX($B$24:$GQ$24,MATCH(178,$B$29:$GQ$29,0))</f>
        <v>0</v>
      </c>
      <c r="FX10">
        <f>INDEX($B$24:$GQ$24,MATCH(179,$B$29:$GQ$29,0))</f>
        <v>0</v>
      </c>
      <c r="FY10">
        <f>INDEX($B$24:$GQ$24,MATCH(180,$B$29:$GQ$29,0))</f>
        <v>0</v>
      </c>
      <c r="FZ10">
        <f>INDEX($B$24:$GQ$24,MATCH(181,$B$29:$GQ$29,0))</f>
        <v>0</v>
      </c>
      <c r="GA10">
        <f>INDEX($B$24:$GQ$24,MATCH(182,$B$29:$GQ$29,0))</f>
        <v>0</v>
      </c>
      <c r="GB10">
        <f>INDEX($B$24:$GQ$24,MATCH(183,$B$29:$GQ$29,0))</f>
        <v>0</v>
      </c>
      <c r="GC10">
        <f>INDEX($B$24:$GQ$24,MATCH(184,$B$29:$GQ$29,0))</f>
        <v>0</v>
      </c>
      <c r="GD10">
        <f>INDEX($B$24:$GQ$24,MATCH(185,$B$29:$GQ$29,0))</f>
        <v>0</v>
      </c>
      <c r="GE10">
        <f>INDEX($B$24:$GQ$24,MATCH(186,$B$29:$GQ$29,0))</f>
        <v>0</v>
      </c>
      <c r="GF10">
        <f>INDEX($B$24:$GQ$24,MATCH(187,$B$29:$GQ$29,0))</f>
        <v>0</v>
      </c>
      <c r="GG10">
        <f>INDEX($B$24:$GQ$24,MATCH(188,$B$29:$GQ$29,0))</f>
        <v>0</v>
      </c>
      <c r="GH10">
        <f>INDEX($B$24:$GQ$24,MATCH(189,$B$29:$GQ$29,0))</f>
        <v>0</v>
      </c>
      <c r="GI10">
        <f>INDEX($B$24:$GQ$24,MATCH(190,$B$29:$GQ$29,0))</f>
        <v>0</v>
      </c>
      <c r="GJ10">
        <f>INDEX($B$24:$GQ$24,MATCH(191,$B$29:$GQ$29,0))</f>
        <v>0</v>
      </c>
      <c r="GK10">
        <f>INDEX($B$24:$GQ$24,MATCH(192,$B$29:$GQ$29,0))</f>
        <v>0</v>
      </c>
      <c r="GL10">
        <f>INDEX($B$24:$GQ$24,MATCH(193,$B$29:$GQ$29,0))</f>
        <v>0</v>
      </c>
      <c r="GM10">
        <f>INDEX($B$24:$GQ$24,MATCH(194,$B$29:$GQ$29,0))</f>
        <v>0</v>
      </c>
      <c r="GN10">
        <f>INDEX($B$24:$GQ$24,MATCH(195,$B$29:$GQ$29,0))</f>
        <v>0</v>
      </c>
      <c r="GO10">
        <f>INDEX($B$24:$GQ$24,MATCH(196,$B$29:$GQ$29,0))</f>
        <v>0</v>
      </c>
      <c r="GP10">
        <f>INDEX($B$24:$GQ$24,MATCH(197,$B$29:$GQ$29,0))</f>
        <v>0</v>
      </c>
      <c r="GQ10">
        <f>INDEX($B$24:$GQ$24,MATCH(198,$B$29:$GQ$29,0))</f>
        <v>0</v>
      </c>
      <c r="GR10">
        <f>INDEX($GR$24:$HC$24,MATCH(1,$GR$30:$HC$30,0))</f>
        <v>1.8276919619370412E-2</v>
      </c>
      <c r="GS10">
        <f>INDEX($GR$24:$HC$24,MATCH(2,$GR$30:$HC$30,0))</f>
        <v>1.364825736683173E-2</v>
      </c>
      <c r="GT10">
        <f>INDEX($GR$24:$HC$24,MATCH(3,$GR$30:$HC$30,0))</f>
        <v>6.2928016689456469E-3</v>
      </c>
      <c r="GU10">
        <f>INDEX($GR$24:$HC$24,MATCH(4,$GR$30:$HC$30,0))</f>
        <v>3.7449059989486358E-3</v>
      </c>
      <c r="GV10">
        <f>INDEX($GR$24:$HC$24,MATCH(5,$GR$30:$HC$30,0))</f>
        <v>7.2645894011713263E-3</v>
      </c>
      <c r="GW10">
        <f>INDEX($GR$24:$HC$24,MATCH(6,$GR$30:$HC$30,0))</f>
        <v>6.9280364290671441E-3</v>
      </c>
      <c r="GX10">
        <f>INDEX($GR$24:$HC$24,MATCH(7,$GR$30:$HC$30,0))</f>
        <v>6.9314872931711437E-3</v>
      </c>
      <c r="GY10">
        <f>INDEX($GR$24:$HC$24,MATCH(8,$GR$30:$HC$30,0))</f>
        <v>2.473972754563901E-3</v>
      </c>
      <c r="GZ10">
        <f>INDEX($GR$24:$HC$24,MATCH(9,$GR$30:$HC$30,0))</f>
        <v>4.9626210370754863E-3</v>
      </c>
      <c r="HA10">
        <f>INDEX($GR$24:$HC$24,MATCH(10,$GR$30:$HC$30,0))</f>
        <v>6.588476227222453E-5</v>
      </c>
      <c r="HB10">
        <f>INDEX($GR$24:$HC$24,MATCH(11,$GR$30:$HC$30,0))</f>
        <v>3.8883410406205548E-4</v>
      </c>
      <c r="HC10">
        <f>INDEX($GR$24:$HC$24,MATCH(12,$GR$30:$HC$30,0))</f>
        <v>3.5219125538192851E-4</v>
      </c>
    </row>
    <row r="11" spans="1:211" x14ac:dyDescent="0.45">
      <c r="A11" s="1" t="s">
        <v>10</v>
      </c>
      <c r="B11">
        <f>INDEX($B$25:$GQ$25,MATCH(1,$B$29:$GQ$29,0))</f>
        <v>1.522574714202434E-2</v>
      </c>
      <c r="C11">
        <f>INDEX($B$25:$GQ$25,MATCH(2,$B$29:$GQ$29,0))</f>
        <v>8.1283409776019746E-3</v>
      </c>
      <c r="D11">
        <f>INDEX($B$25:$GQ$25,MATCH(3,$B$29:$GQ$29,0))</f>
        <v>8.0373278577914875E-3</v>
      </c>
      <c r="E11">
        <f>INDEX($B$25:$GQ$25,MATCH(4,$B$29:$GQ$29,0))</f>
        <v>7.3903481684207007E-3</v>
      </c>
      <c r="F11">
        <f>INDEX($B$25:$GQ$25,MATCH(5,$B$29:$GQ$29,0))</f>
        <v>3.0462633601724418E-3</v>
      </c>
      <c r="G11">
        <f>INDEX($B$25:$GQ$25,MATCH(6,$B$29:$GQ$29,0))</f>
        <v>7.3600732129008584E-3</v>
      </c>
      <c r="H11">
        <f>INDEX($B$25:$GQ$25,MATCH(7,$B$29:$GQ$29,0))</f>
        <v>4.7707870987149497E-3</v>
      </c>
      <c r="I11">
        <f>INDEX($B$25:$GQ$25,MATCH(8,$B$29:$GQ$29,0))</f>
        <v>4.4607932184220211E-3</v>
      </c>
      <c r="J11">
        <f>INDEX($B$25:$GQ$25,MATCH(9,$B$29:$GQ$29,0))</f>
        <v>4.1287519223494676E-3</v>
      </c>
      <c r="K11">
        <f>INDEX($B$25:$GQ$25,MATCH(10,$B$29:$GQ$29,0))</f>
        <v>3.0648991200113072E-3</v>
      </c>
      <c r="L11">
        <f>INDEX($B$25:$GQ$25,MATCH(11,$B$29:$GQ$29,0))</f>
        <v>3.1469525573375738E-3</v>
      </c>
      <c r="M11">
        <f>INDEX($B$25:$GQ$25,MATCH(12,$B$29:$GQ$29,0))</f>
        <v>1.810927198388201E-3</v>
      </c>
      <c r="N11">
        <f>INDEX($B$25:$GQ$25,MATCH(13,$B$29:$GQ$29,0))</f>
        <v>3.1074854320129659E-3</v>
      </c>
      <c r="O11">
        <f>INDEX($B$25:$GQ$25,MATCH(14,$B$29:$GQ$29,0))</f>
        <v>2.7599226575355171E-3</v>
      </c>
      <c r="P11">
        <f>INDEX($B$25:$GQ$25,MATCH(15,$B$29:$GQ$29,0))</f>
        <v>1.3012177716593799E-5</v>
      </c>
      <c r="Q11">
        <f>INDEX($B$25:$GQ$25,MATCH(16,$B$29:$GQ$29,0))</f>
        <v>3.104452993686611E-3</v>
      </c>
      <c r="R11">
        <f>INDEX($B$25:$GQ$25,MATCH(17,$B$29:$GQ$29,0))</f>
        <v>2.8421022145061381E-3</v>
      </c>
      <c r="S11">
        <f>INDEX($B$25:$GQ$25,MATCH(18,$B$29:$GQ$29,0))</f>
        <v>2.8284684886400631E-3</v>
      </c>
      <c r="T11">
        <f>INDEX($B$25:$GQ$25,MATCH(19,$B$29:$GQ$29,0))</f>
        <v>1.9407423337701069E-3</v>
      </c>
      <c r="U11">
        <f>INDEX($B$25:$GQ$25,MATCH(20,$B$29:$GQ$29,0))</f>
        <v>1.685541432342596E-3</v>
      </c>
      <c r="V11">
        <f>INDEX($B$25:$GQ$25,MATCH(21,$B$29:$GQ$29,0))</f>
        <v>6.1619616265566417E-4</v>
      </c>
      <c r="W11">
        <f>INDEX($B$25:$GQ$25,MATCH(22,$B$29:$GQ$29,0))</f>
        <v>1.041050236081334E-4</v>
      </c>
      <c r="X11">
        <f>INDEX($B$25:$GQ$25,MATCH(23,$B$29:$GQ$29,0))</f>
        <v>7.4556691117316472E-4</v>
      </c>
      <c r="Y11">
        <f>INDEX($B$25:$GQ$25,MATCH(24,$B$29:$GQ$29,0))</f>
        <v>2.720217110514637E-4</v>
      </c>
      <c r="Z11">
        <f>INDEX($B$25:$GQ$25,MATCH(25,$B$29:$GQ$29,0))</f>
        <v>7.9667601155257776E-4</v>
      </c>
      <c r="AA11">
        <f>INDEX($B$25:$GQ$25,MATCH(26,$B$29:$GQ$29,0))</f>
        <v>4.659129780035607E-4</v>
      </c>
      <c r="AB11">
        <f>INDEX($B$25:$GQ$25,MATCH(27,$B$29:$GQ$29,0))</f>
        <v>8.9034831462943753E-4</v>
      </c>
      <c r="AC11">
        <f>INDEX($B$25:$GQ$25,MATCH(28,$B$29:$GQ$29,0))</f>
        <v>4.4553727533934001E-4</v>
      </c>
      <c r="AD11">
        <f>INDEX($B$25:$GQ$25,MATCH(29,$B$29:$GQ$29,0))</f>
        <v>1.3102862863714591E-4</v>
      </c>
      <c r="AE11">
        <f>INDEX($B$25:$GQ$25,MATCH(30,$B$29:$GQ$29,0))</f>
        <v>3.2660015476578918E-4</v>
      </c>
      <c r="AF11">
        <f>INDEX($B$25:$GQ$25,MATCH(31,$B$29:$GQ$29,0))</f>
        <v>6.0043578654437983E-4</v>
      </c>
      <c r="AG11">
        <f>INDEX($B$25:$GQ$25,MATCH(32,$B$29:$GQ$29,0))</f>
        <v>6.5958403886273893E-4</v>
      </c>
      <c r="AH11">
        <f>INDEX($B$25:$GQ$25,MATCH(33,$B$29:$GQ$29,0))</f>
        <v>0</v>
      </c>
      <c r="AI11">
        <f>INDEX($B$25:$GQ$25,MATCH(34,$B$29:$GQ$29,0))</f>
        <v>5.6329109938856351E-4</v>
      </c>
      <c r="AJ11">
        <f>INDEX($B$25:$GQ$25,MATCH(35,$B$29:$GQ$29,0))</f>
        <v>4.3077355615345371E-4</v>
      </c>
      <c r="AK11">
        <f>INDEX($B$25:$GQ$25,MATCH(36,$B$29:$GQ$29,0))</f>
        <v>3.2236569495460251E-4</v>
      </c>
      <c r="AL11">
        <f>INDEX($B$25:$GQ$25,MATCH(37,$B$29:$GQ$29,0))</f>
        <v>5.8547678426572965E-4</v>
      </c>
      <c r="AM11">
        <f>INDEX($B$25:$GQ$25,MATCH(38,$B$29:$GQ$29,0))</f>
        <v>3.5770702511914209E-4</v>
      </c>
      <c r="AN11">
        <f>INDEX($B$25:$GQ$25,MATCH(39,$B$29:$GQ$29,0))</f>
        <v>1.270840075650203E-4</v>
      </c>
      <c r="AO11">
        <f>INDEX($B$25:$GQ$25,MATCH(40,$B$29:$GQ$29,0))</f>
        <v>2.5417265167398679E-4</v>
      </c>
      <c r="AP11">
        <f>INDEX($B$25:$GQ$25,MATCH(41,$B$29:$GQ$29,0))</f>
        <v>3.2908197580161199E-4</v>
      </c>
      <c r="AQ11">
        <f>INDEX($B$25:$GQ$25,MATCH(42,$B$29:$GQ$29,0))</f>
        <v>2.908314963617879E-5</v>
      </c>
      <c r="AR11">
        <f>INDEX($B$25:$GQ$25,MATCH(43,$B$29:$GQ$29,0))</f>
        <v>3.6228610148227849E-4</v>
      </c>
      <c r="AS11">
        <f>INDEX($B$25:$GQ$25,MATCH(44,$B$29:$GQ$29,0))</f>
        <v>3.6455421559207642E-4</v>
      </c>
      <c r="AT11">
        <f>INDEX($B$25:$GQ$25,MATCH(45,$B$29:$GQ$29,0))</f>
        <v>8.3938673384844991E-5</v>
      </c>
      <c r="AU11">
        <f>INDEX($B$25:$GQ$25,MATCH(46,$B$29:$GQ$29,0))</f>
        <v>2.9428220063892831E-4</v>
      </c>
      <c r="AV11">
        <f>INDEX($B$25:$GQ$25,MATCH(47,$B$29:$GQ$29,0))</f>
        <v>2.6382619093699049E-4</v>
      </c>
      <c r="AW11">
        <f>INDEX($B$25:$GQ$25,MATCH(48,$B$29:$GQ$29,0))</f>
        <v>2.8099533552135742E-4</v>
      </c>
      <c r="AX11">
        <f>INDEX($B$25:$GQ$25,MATCH(49,$B$29:$GQ$29,0))</f>
        <v>6.6800011854729869E-5</v>
      </c>
      <c r="AY11">
        <f>INDEX($B$25:$GQ$25,MATCH(50,$B$29:$GQ$29,0))</f>
        <v>9.5571908700731317E-5</v>
      </c>
      <c r="AZ11">
        <f>INDEX($B$25:$GQ$25,MATCH(51,$B$29:$GQ$29,0))</f>
        <v>2.3196155348174279E-4</v>
      </c>
      <c r="BA11">
        <f>INDEX($B$25:$GQ$25,MATCH(52,$B$29:$GQ$29,0))</f>
        <v>1.630991923854872E-4</v>
      </c>
      <c r="BB11">
        <f>INDEX($B$25:$GQ$25,MATCH(53,$B$29:$GQ$29,0))</f>
        <v>2.0647916937264229E-4</v>
      </c>
      <c r="BC11">
        <f>INDEX($B$25:$GQ$25,MATCH(54,$B$29:$GQ$29,0))</f>
        <v>1.935504767624895E-4</v>
      </c>
      <c r="BD11">
        <f>INDEX($B$25:$GQ$25,MATCH(55,$B$29:$GQ$29,0))</f>
        <v>1.5519777641161451E-4</v>
      </c>
      <c r="BE11">
        <f>INDEX($B$25:$GQ$25,MATCH(56,$B$29:$GQ$29,0))</f>
        <v>1.7181827709747459E-4</v>
      </c>
      <c r="BF11">
        <f>INDEX($B$25:$GQ$25,MATCH(57,$B$29:$GQ$29,0))</f>
        <v>7.3526400519802369E-5</v>
      </c>
      <c r="BG11">
        <f>INDEX($B$25:$GQ$25,MATCH(58,$B$29:$GQ$29,0))</f>
        <v>1.161201586085861E-4</v>
      </c>
      <c r="BH11">
        <f>INDEX($B$25:$GQ$25,MATCH(59,$B$29:$GQ$29,0))</f>
        <v>0</v>
      </c>
      <c r="BI11">
        <f>INDEX($B$25:$GQ$25,MATCH(60,$B$29:$GQ$29,0))</f>
        <v>4.178429434430823E-5</v>
      </c>
      <c r="BJ11">
        <f>INDEX($B$25:$GQ$25,MATCH(61,$B$29:$GQ$29,0))</f>
        <v>9.1664459982514218E-5</v>
      </c>
      <c r="BK11">
        <f>INDEX($B$25:$GQ$25,MATCH(62,$B$29:$GQ$29,0))</f>
        <v>1.2223535511869359E-4</v>
      </c>
      <c r="BL11">
        <f>INDEX($B$25:$GQ$25,MATCH(63,$B$29:$GQ$29,0))</f>
        <v>4.8740904495751732E-5</v>
      </c>
      <c r="BM11">
        <f>INDEX($B$25:$GQ$25,MATCH(64,$B$29:$GQ$29,0))</f>
        <v>8.3503167236808156E-6</v>
      </c>
      <c r="BN11">
        <f>INDEX($B$25:$GQ$25,MATCH(65,$B$29:$GQ$29,0))</f>
        <v>1.047211045510522E-4</v>
      </c>
      <c r="BO11">
        <f>INDEX($B$25:$GQ$25,MATCH(66,$B$29:$GQ$29,0))</f>
        <v>2.8987100002450299E-5</v>
      </c>
      <c r="BP11">
        <f>INDEX($B$25:$GQ$25,MATCH(67,$B$29:$GQ$29,0))</f>
        <v>9.0919046209013979E-5</v>
      </c>
      <c r="BQ11">
        <f>INDEX($B$25:$GQ$25,MATCH(68,$B$29:$GQ$29,0))</f>
        <v>8.9353451484291613E-5</v>
      </c>
      <c r="BR11">
        <f>INDEX($B$25:$GQ$25,MATCH(69,$B$29:$GQ$29,0))</f>
        <v>3.1411245774706943E-5</v>
      </c>
      <c r="BS11">
        <f>INDEX($B$25:$GQ$25,MATCH(70,$B$29:$GQ$29,0))</f>
        <v>3.755151856190943E-5</v>
      </c>
      <c r="BT11">
        <f>INDEX($B$25:$GQ$25,MATCH(71,$B$29:$GQ$29,0))</f>
        <v>8.6068719788552238E-5</v>
      </c>
      <c r="BU11">
        <f>INDEX($B$25:$GQ$25,MATCH(72,$B$29:$GQ$29,0))</f>
        <v>8.9389897571111816E-7</v>
      </c>
      <c r="BV11">
        <f>INDEX($B$25:$GQ$25,MATCH(73,$B$29:$GQ$29,0))</f>
        <v>7.8146711390986206E-5</v>
      </c>
      <c r="BW11">
        <f>INDEX($B$25:$GQ$25,MATCH(74,$B$29:$GQ$29,0))</f>
        <v>6.8173045442255169E-5</v>
      </c>
      <c r="BX11">
        <f>INDEX($B$25:$GQ$25,MATCH(75,$B$29:$GQ$29,0))</f>
        <v>2.7490170479288881E-5</v>
      </c>
      <c r="BY11">
        <f>INDEX($B$25:$GQ$25,MATCH(76,$B$29:$GQ$29,0))</f>
        <v>1.0337734152244639E-6</v>
      </c>
      <c r="BZ11">
        <f>INDEX($B$25:$GQ$25,MATCH(77,$B$29:$GQ$29,0))</f>
        <v>6.0428158867433513E-6</v>
      </c>
      <c r="CA11">
        <f>INDEX($B$25:$GQ$25,MATCH(78,$B$29:$GQ$29,0))</f>
        <v>3.2202347944439158E-5</v>
      </c>
      <c r="CB11">
        <f>INDEX($B$25:$GQ$25,MATCH(79,$B$29:$GQ$29,0))</f>
        <v>2.9051479060577689E-5</v>
      </c>
      <c r="CC11">
        <f>INDEX($B$25:$GQ$25,MATCH(80,$B$29:$GQ$29,0))</f>
        <v>2.5491565129086729E-5</v>
      </c>
      <c r="CD11">
        <f>INDEX($B$25:$GQ$25,MATCH(81,$B$29:$GQ$29,0))</f>
        <v>2.376103763002297E-5</v>
      </c>
      <c r="CE11">
        <f>INDEX($B$25:$GQ$25,MATCH(82,$B$29:$GQ$29,0))</f>
        <v>2.3958568400066242E-5</v>
      </c>
      <c r="CF11">
        <f>INDEX($B$25:$GQ$25,MATCH(83,$B$29:$GQ$29,0))</f>
        <v>2.1413492822008391E-5</v>
      </c>
      <c r="CG11">
        <f>INDEX($B$25:$GQ$25,MATCH(84,$B$29:$GQ$29,0))</f>
        <v>7.0910782184360129E-6</v>
      </c>
      <c r="CH11">
        <f>INDEX($B$25:$GQ$25,MATCH(85,$B$29:$GQ$29,0))</f>
        <v>1.8262611709895539E-5</v>
      </c>
      <c r="CI11">
        <f>INDEX($B$25:$GQ$25,MATCH(86,$B$29:$GQ$29,0))</f>
        <v>1.5605760364792499E-5</v>
      </c>
      <c r="CJ11">
        <f>INDEX($B$25:$GQ$25,MATCH(87,$B$29:$GQ$29,0))</f>
        <v>6.7232141868207197E-6</v>
      </c>
      <c r="CK11">
        <f>INDEX($B$25:$GQ$25,MATCH(88,$B$29:$GQ$29,0))</f>
        <v>1.4522478362981291E-5</v>
      </c>
      <c r="CL11">
        <f>INDEX($B$25:$GQ$25,MATCH(89,$B$29:$GQ$29,0))</f>
        <v>1.3174326649535181E-5</v>
      </c>
      <c r="CM11">
        <f>INDEX($B$25:$GQ$25,MATCH(90,$B$29:$GQ$29,0))</f>
        <v>1.309053293840814E-5</v>
      </c>
      <c r="CN11">
        <f>INDEX($B$25:$GQ$25,MATCH(91,$B$29:$GQ$29,0))</f>
        <v>1.2435762118182949E-5</v>
      </c>
      <c r="CO11">
        <f>INDEX($B$25:$GQ$25,MATCH(92,$B$29:$GQ$29,0))</f>
        <v>1.055757814345535E-5</v>
      </c>
      <c r="CP11">
        <f>INDEX($B$25:$GQ$25,MATCH(93,$B$29:$GQ$29,0))</f>
        <v>9.0969803266683915E-6</v>
      </c>
      <c r="CQ11">
        <f>INDEX($B$25:$GQ$25,MATCH(94,$B$29:$GQ$29,0))</f>
        <v>8.6058436489865162E-6</v>
      </c>
      <c r="CR11">
        <f>INDEX($B$25:$GQ$25,MATCH(95,$B$29:$GQ$29,0))</f>
        <v>8.5767606029218342E-6</v>
      </c>
      <c r="CS11">
        <f>INDEX($B$25:$GQ$25,MATCH(96,$B$29:$GQ$29,0))</f>
        <v>7.7261595551450076E-6</v>
      </c>
      <c r="CT11">
        <f>INDEX($B$25:$GQ$25,MATCH(97,$B$29:$GQ$29,0))</f>
        <v>7.3088201908939967E-6</v>
      </c>
      <c r="CU11">
        <f>INDEX($B$25:$GQ$25,MATCH(98,$B$29:$GQ$29,0))</f>
        <v>5.930498622735846E-6</v>
      </c>
      <c r="CV11">
        <f>INDEX($B$25:$GQ$25,MATCH(99,$B$29:$GQ$29,0))</f>
        <v>5.8288809109422638E-6</v>
      </c>
      <c r="CW11">
        <f>INDEX($B$25:$GQ$25,MATCH(100,$B$29:$GQ$29,0))</f>
        <v>5.0305866041456946E-6</v>
      </c>
      <c r="CX11">
        <f>INDEX($B$25:$GQ$25,MATCH(101,$B$29:$GQ$29,0))</f>
        <v>4.6379140010902467E-6</v>
      </c>
      <c r="CY11">
        <f>INDEX($B$25:$GQ$25,MATCH(102,$B$29:$GQ$29,0))</f>
        <v>3.8186668116777504E-6</v>
      </c>
      <c r="CZ11">
        <f>INDEX($B$25:$GQ$25,MATCH(103,$B$29:$GQ$29,0))</f>
        <v>8.5446415401320696E-7</v>
      </c>
      <c r="DA11">
        <f>INDEX($B$25:$GQ$25,MATCH(104,$B$29:$GQ$29,0))</f>
        <v>3.7238414997364639E-6</v>
      </c>
      <c r="DB11">
        <f>INDEX($B$25:$GQ$25,MATCH(105,$B$29:$GQ$29,0))</f>
        <v>3.2788018678003139E-6</v>
      </c>
      <c r="DC11">
        <f>INDEX($B$25:$GQ$25,MATCH(106,$B$29:$GQ$29,0))</f>
        <v>0</v>
      </c>
      <c r="DD11">
        <f>INDEX($B$25:$GQ$25,MATCH(107,$B$29:$GQ$29,0))</f>
        <v>2.9320956818743639E-6</v>
      </c>
      <c r="DE11">
        <f>INDEX($B$25:$GQ$25,MATCH(108,$B$29:$GQ$29,0))</f>
        <v>2.7268352070268042E-6</v>
      </c>
      <c r="DF11">
        <f>INDEX($B$25:$GQ$25,MATCH(109,$B$29:$GQ$29,0))</f>
        <v>1.798909575460352E-6</v>
      </c>
      <c r="DG11">
        <f>INDEX($B$25:$GQ$25,MATCH(110,$B$29:$GQ$29,0))</f>
        <v>1.1033326069099619E-7</v>
      </c>
      <c r="DH11">
        <f>INDEX($B$25:$GQ$25,MATCH(111,$B$29:$GQ$29,0))</f>
        <v>1.259324651747796E-6</v>
      </c>
      <c r="DI11">
        <f>INDEX($B$25:$GQ$25,MATCH(112,$B$29:$GQ$29,0))</f>
        <v>1.0753606656063479E-6</v>
      </c>
      <c r="DJ11">
        <f>INDEX($B$25:$GQ$25,MATCH(113,$B$29:$GQ$29,0))</f>
        <v>9.8535837135731852E-7</v>
      </c>
      <c r="DK11">
        <f>INDEX($B$25:$GQ$25,MATCH(114,$B$29:$GQ$29,0))</f>
        <v>9.2968121930084273E-7</v>
      </c>
      <c r="DL11">
        <f>INDEX($B$25:$GQ$25,MATCH(115,$B$29:$GQ$29,0))</f>
        <v>0</v>
      </c>
      <c r="DM11">
        <f>INDEX($B$25:$GQ$25,MATCH(116,$B$29:$GQ$29,0))</f>
        <v>3.3390496774179081E-7</v>
      </c>
      <c r="DN11">
        <f>INDEX($B$25:$GQ$25,MATCH(117,$B$29:$GQ$29,0))</f>
        <v>0</v>
      </c>
      <c r="DO11">
        <f>INDEX($B$25:$GQ$25,MATCH(118,$B$29:$GQ$29,0))</f>
        <v>0</v>
      </c>
      <c r="DP11">
        <f>INDEX($B$25:$GQ$25,MATCH(119,$B$29:$GQ$29,0))</f>
        <v>3.3365196895892242E-7</v>
      </c>
      <c r="DQ11">
        <f>INDEX($B$25:$GQ$25,MATCH(120,$B$29:$GQ$29,0))</f>
        <v>2.5285210173992401E-8</v>
      </c>
      <c r="DR11">
        <f>INDEX($B$25:$GQ$25,MATCH(121,$B$29:$GQ$29,0))</f>
        <v>0</v>
      </c>
      <c r="DS11">
        <f>INDEX($B$25:$GQ$25,MATCH(122,$B$29:$GQ$29,0))</f>
        <v>2.2778782648418291E-7</v>
      </c>
      <c r="DT11">
        <f>INDEX($B$25:$GQ$25,MATCH(123,$B$29:$GQ$29,0))</f>
        <v>2.3225771812006771E-7</v>
      </c>
      <c r="DU11">
        <f>INDEX($B$25:$GQ$25,MATCH(124,$B$29:$GQ$29,0))</f>
        <v>1.870418789361591E-7</v>
      </c>
      <c r="DV11">
        <f>INDEX($B$25:$GQ$25,MATCH(125,$B$29:$GQ$29,0))</f>
        <v>1.340264086980075E-8</v>
      </c>
      <c r="DW11">
        <f>INDEX($B$25:$GQ$25,MATCH(126,$B$29:$GQ$29,0))</f>
        <v>9.0118065028327559E-8</v>
      </c>
      <c r="DX11">
        <f>INDEX($B$25:$GQ$25,MATCH(127,$B$29:$GQ$29,0))</f>
        <v>0</v>
      </c>
      <c r="DY11">
        <f>INDEX($B$25:$GQ$25,MATCH(128,$B$29:$GQ$29,0))</f>
        <v>7.5368226412684672E-9</v>
      </c>
      <c r="DZ11">
        <f>INDEX($B$25:$GQ$25,MATCH(129,$B$29:$GQ$29,0))</f>
        <v>1.921362186271749E-9</v>
      </c>
      <c r="EA11">
        <f>INDEX($B$25:$GQ$25,MATCH(130,$B$29:$GQ$29,0))</f>
        <v>3.6042739139961789E-9</v>
      </c>
      <c r="EB11">
        <f>INDEX($B$25:$GQ$25,MATCH(131,$B$29:$GQ$29,0))</f>
        <v>0</v>
      </c>
      <c r="EC11">
        <f>INDEX($B$25:$GQ$25,MATCH(132,$B$29:$GQ$29,0))</f>
        <v>9.931103705827432E-11</v>
      </c>
      <c r="ED11">
        <f>INDEX($B$25:$GQ$25,MATCH(133,$B$29:$GQ$29,0))</f>
        <v>3.8272533744830442E-11</v>
      </c>
      <c r="EE11">
        <f>INDEX($B$25:$GQ$25,MATCH(134,$B$29:$GQ$29,0))</f>
        <v>0</v>
      </c>
      <c r="EF11">
        <f>INDEX($B$25:$GQ$25,MATCH(135,$B$29:$GQ$29,0))</f>
        <v>0</v>
      </c>
      <c r="EG11">
        <f>INDEX($B$25:$GQ$25,MATCH(136,$B$29:$GQ$29,0))</f>
        <v>0</v>
      </c>
      <c r="EH11">
        <f>INDEX($B$25:$GQ$25,MATCH(137,$B$29:$GQ$29,0))</f>
        <v>0</v>
      </c>
      <c r="EI11">
        <f>INDEX($B$25:$GQ$25,MATCH(138,$B$29:$GQ$29,0))</f>
        <v>0</v>
      </c>
      <c r="EJ11">
        <f>INDEX($B$25:$GQ$25,MATCH(139,$B$29:$GQ$29,0))</f>
        <v>0</v>
      </c>
      <c r="EK11">
        <f>INDEX($B$25:$GQ$25,MATCH(140,$B$29:$GQ$29,0))</f>
        <v>0</v>
      </c>
      <c r="EL11">
        <f>INDEX($B$25:$GQ$25,MATCH(141,$B$29:$GQ$29,0))</f>
        <v>0</v>
      </c>
      <c r="EM11">
        <f>INDEX($B$25:$GQ$25,MATCH(142,$B$29:$GQ$29,0))</f>
        <v>0</v>
      </c>
      <c r="EN11">
        <f>INDEX($B$25:$GQ$25,MATCH(143,$B$29:$GQ$29,0))</f>
        <v>0</v>
      </c>
      <c r="EO11">
        <f>INDEX($B$25:$GQ$25,MATCH(144,$B$29:$GQ$29,0))</f>
        <v>0</v>
      </c>
      <c r="EP11">
        <f>INDEX($B$25:$GQ$25,MATCH(145,$B$29:$GQ$29,0))</f>
        <v>0</v>
      </c>
      <c r="EQ11">
        <f>INDEX($B$25:$GQ$25,MATCH(146,$B$29:$GQ$29,0))</f>
        <v>0</v>
      </c>
      <c r="ER11">
        <f>INDEX($B$25:$GQ$25,MATCH(147,$B$29:$GQ$29,0))</f>
        <v>0</v>
      </c>
      <c r="ES11">
        <f>INDEX($B$25:$GQ$25,MATCH(148,$B$29:$GQ$29,0))</f>
        <v>0</v>
      </c>
      <c r="ET11">
        <f>INDEX($B$25:$GQ$25,MATCH(149,$B$29:$GQ$29,0))</f>
        <v>0</v>
      </c>
      <c r="EU11">
        <f>INDEX($B$25:$GQ$25,MATCH(150,$B$29:$GQ$29,0))</f>
        <v>0</v>
      </c>
      <c r="EV11">
        <f>INDEX($B$25:$GQ$25,MATCH(151,$B$29:$GQ$29,0))</f>
        <v>0</v>
      </c>
      <c r="EW11">
        <f>INDEX($B$25:$GQ$25,MATCH(152,$B$29:$GQ$29,0))</f>
        <v>0</v>
      </c>
      <c r="EX11">
        <f>INDEX($B$25:$GQ$25,MATCH(153,$B$29:$GQ$29,0))</f>
        <v>0</v>
      </c>
      <c r="EY11">
        <f>INDEX($B$25:$GQ$25,MATCH(154,$B$29:$GQ$29,0))</f>
        <v>0</v>
      </c>
      <c r="EZ11">
        <f>INDEX($B$25:$GQ$25,MATCH(155,$B$29:$GQ$29,0))</f>
        <v>0</v>
      </c>
      <c r="FA11">
        <f>INDEX($B$25:$GQ$25,MATCH(156,$B$29:$GQ$29,0))</f>
        <v>0</v>
      </c>
      <c r="FB11">
        <f>INDEX($B$25:$GQ$25,MATCH(157,$B$29:$GQ$29,0))</f>
        <v>0</v>
      </c>
      <c r="FC11">
        <f>INDEX($B$25:$GQ$25,MATCH(158,$B$29:$GQ$29,0))</f>
        <v>0</v>
      </c>
      <c r="FD11">
        <f>INDEX($B$25:$GQ$25,MATCH(159,$B$29:$GQ$29,0))</f>
        <v>0</v>
      </c>
      <c r="FE11">
        <f>INDEX($B$25:$GQ$25,MATCH(160,$B$29:$GQ$29,0))</f>
        <v>0</v>
      </c>
      <c r="FF11">
        <f>INDEX($B$25:$GQ$25,MATCH(161,$B$29:$GQ$29,0))</f>
        <v>0</v>
      </c>
      <c r="FG11">
        <f>INDEX($B$25:$GQ$25,MATCH(162,$B$29:$GQ$29,0))</f>
        <v>0</v>
      </c>
      <c r="FH11">
        <f>INDEX($B$25:$GQ$25,MATCH(163,$B$29:$GQ$29,0))</f>
        <v>0</v>
      </c>
      <c r="FI11">
        <f>INDEX($B$25:$GQ$25,MATCH(164,$B$29:$GQ$29,0))</f>
        <v>0</v>
      </c>
      <c r="FJ11">
        <f>INDEX($B$25:$GQ$25,MATCH(165,$B$29:$GQ$29,0))</f>
        <v>0</v>
      </c>
      <c r="FK11">
        <f>INDEX($B$25:$GQ$25,MATCH(166,$B$29:$GQ$29,0))</f>
        <v>0</v>
      </c>
      <c r="FL11">
        <f>INDEX($B$25:$GQ$25,MATCH(167,$B$29:$GQ$29,0))</f>
        <v>0</v>
      </c>
      <c r="FM11">
        <f>INDEX($B$25:$GQ$25,MATCH(168,$B$29:$GQ$29,0))</f>
        <v>0</v>
      </c>
      <c r="FN11">
        <f>INDEX($B$25:$GQ$25,MATCH(169,$B$29:$GQ$29,0))</f>
        <v>0</v>
      </c>
      <c r="FO11">
        <f>INDEX($B$25:$GQ$25,MATCH(170,$B$29:$GQ$29,0))</f>
        <v>0</v>
      </c>
      <c r="FP11">
        <f>INDEX($B$25:$GQ$25,MATCH(171,$B$29:$GQ$29,0))</f>
        <v>0</v>
      </c>
      <c r="FQ11">
        <f>INDEX($B$25:$GQ$25,MATCH(172,$B$29:$GQ$29,0))</f>
        <v>0</v>
      </c>
      <c r="FR11">
        <f>INDEX($B$25:$GQ$25,MATCH(173,$B$29:$GQ$29,0))</f>
        <v>0</v>
      </c>
      <c r="FS11">
        <f>INDEX($B$25:$GQ$25,MATCH(174,$B$29:$GQ$29,0))</f>
        <v>0</v>
      </c>
      <c r="FT11">
        <f>INDEX($B$25:$GQ$25,MATCH(175,$B$29:$GQ$29,0))</f>
        <v>0</v>
      </c>
      <c r="FU11">
        <f>INDEX($B$25:$GQ$25,MATCH(176,$B$29:$GQ$29,0))</f>
        <v>0</v>
      </c>
      <c r="FV11">
        <f>INDEX($B$25:$GQ$25,MATCH(177,$B$29:$GQ$29,0))</f>
        <v>0</v>
      </c>
      <c r="FW11">
        <f>INDEX($B$25:$GQ$25,MATCH(178,$B$29:$GQ$29,0))</f>
        <v>0</v>
      </c>
      <c r="FX11">
        <f>INDEX($B$25:$GQ$25,MATCH(179,$B$29:$GQ$29,0))</f>
        <v>0</v>
      </c>
      <c r="FY11">
        <f>INDEX($B$25:$GQ$25,MATCH(180,$B$29:$GQ$29,0))</f>
        <v>0</v>
      </c>
      <c r="FZ11">
        <f>INDEX($B$25:$GQ$25,MATCH(181,$B$29:$GQ$29,0))</f>
        <v>0</v>
      </c>
      <c r="GA11">
        <f>INDEX($B$25:$GQ$25,MATCH(182,$B$29:$GQ$29,0))</f>
        <v>0</v>
      </c>
      <c r="GB11">
        <f>INDEX($B$25:$GQ$25,MATCH(183,$B$29:$GQ$29,0))</f>
        <v>0</v>
      </c>
      <c r="GC11">
        <f>INDEX($B$25:$GQ$25,MATCH(184,$B$29:$GQ$29,0))</f>
        <v>0</v>
      </c>
      <c r="GD11">
        <f>INDEX($B$25:$GQ$25,MATCH(185,$B$29:$GQ$29,0))</f>
        <v>0</v>
      </c>
      <c r="GE11">
        <f>INDEX($B$25:$GQ$25,MATCH(186,$B$29:$GQ$29,0))</f>
        <v>0</v>
      </c>
      <c r="GF11">
        <f>INDEX($B$25:$GQ$25,MATCH(187,$B$29:$GQ$29,0))</f>
        <v>0</v>
      </c>
      <c r="GG11">
        <f>INDEX($B$25:$GQ$25,MATCH(188,$B$29:$GQ$29,0))</f>
        <v>0</v>
      </c>
      <c r="GH11">
        <f>INDEX($B$25:$GQ$25,MATCH(189,$B$29:$GQ$29,0))</f>
        <v>0</v>
      </c>
      <c r="GI11">
        <f>INDEX($B$25:$GQ$25,MATCH(190,$B$29:$GQ$29,0))</f>
        <v>0</v>
      </c>
      <c r="GJ11">
        <f>INDEX($B$25:$GQ$25,MATCH(191,$B$29:$GQ$29,0))</f>
        <v>0</v>
      </c>
      <c r="GK11">
        <f>INDEX($B$25:$GQ$25,MATCH(192,$B$29:$GQ$29,0))</f>
        <v>0</v>
      </c>
      <c r="GL11">
        <f>INDEX($B$25:$GQ$25,MATCH(193,$B$29:$GQ$29,0))</f>
        <v>0</v>
      </c>
      <c r="GM11">
        <f>INDEX($B$25:$GQ$25,MATCH(194,$B$29:$GQ$29,0))</f>
        <v>0</v>
      </c>
      <c r="GN11">
        <f>INDEX($B$25:$GQ$25,MATCH(195,$B$29:$GQ$29,0))</f>
        <v>0</v>
      </c>
      <c r="GO11">
        <f>INDEX($B$25:$GQ$25,MATCH(196,$B$29:$GQ$29,0))</f>
        <v>0</v>
      </c>
      <c r="GP11">
        <f>INDEX($B$25:$GQ$25,MATCH(197,$B$29:$GQ$29,0))</f>
        <v>0</v>
      </c>
      <c r="GQ11">
        <f>INDEX($B$25:$GQ$25,MATCH(198,$B$29:$GQ$29,0))</f>
        <v>0</v>
      </c>
      <c r="GR11">
        <f>INDEX($GR$25:$HC$25,MATCH(1,$GR$30:$HC$30,0))</f>
        <v>2.1993556478607231E-2</v>
      </c>
      <c r="GS11">
        <f>INDEX($GR$25:$HC$25,MATCH(2,$GR$30:$HC$30,0))</f>
        <v>1.758298129872329E-2</v>
      </c>
      <c r="GT11">
        <f>INDEX($GR$25:$HC$25,MATCH(3,$GR$30:$HC$30,0))</f>
        <v>1.8805866186319339E-2</v>
      </c>
      <c r="GU11">
        <f>INDEX($GR$25:$HC$25,MATCH(4,$GR$30:$HC$30,0))</f>
        <v>1.027083252449321E-2</v>
      </c>
      <c r="GV11">
        <f>INDEX($GR$25:$HC$25,MATCH(5,$GR$30:$HC$30,0))</f>
        <v>8.1283409776019746E-3</v>
      </c>
      <c r="GW11">
        <f>INDEX($GR$25:$HC$25,MATCH(6,$GR$30:$HC$30,0))</f>
        <v>7.8082857720760341E-3</v>
      </c>
      <c r="GX11">
        <f>INDEX($GR$25:$HC$25,MATCH(7,$GR$30:$HC$30,0))</f>
        <v>7.7549023840127766E-3</v>
      </c>
      <c r="GY11">
        <f>INDEX($GR$25:$HC$25,MATCH(8,$GR$30:$HC$30,0))</f>
        <v>3.0546136768961219E-3</v>
      </c>
      <c r="GZ11">
        <f>INDEX($GR$25:$HC$25,MATCH(9,$GR$30:$HC$30,0))</f>
        <v>7.3600732129008584E-3</v>
      </c>
      <c r="HA11">
        <f>INDEX($GR$25:$HC$25,MATCH(10,$GR$30:$HC$30,0))</f>
        <v>2.4814582996187312E-4</v>
      </c>
      <c r="HB11">
        <f>INDEX($GR$25:$HC$25,MATCH(11,$GR$30:$HC$30,0))</f>
        <v>3.2093675670853681E-3</v>
      </c>
      <c r="HC11">
        <f>INDEX($GR$25:$HC$25,MATCH(12,$GR$30:$HC$30,0))</f>
        <v>2.265392137220846E-3</v>
      </c>
    </row>
    <row r="12" spans="1:211" x14ac:dyDescent="0.45">
      <c r="A12" s="1" t="s">
        <v>11</v>
      </c>
      <c r="B12">
        <f>INDEX($B$26:$GQ$26,MATCH(1,$B$29:$GQ$29,0))</f>
        <v>8.3696669261444593E-3</v>
      </c>
      <c r="C12">
        <f>INDEX($B$26:$GQ$26,MATCH(2,$B$29:$GQ$29,0))</f>
        <v>2.9928118171889798E-3</v>
      </c>
      <c r="D12">
        <f>INDEX($B$26:$GQ$26,MATCH(3,$B$29:$GQ$29,0))</f>
        <v>4.673529760672447E-4</v>
      </c>
      <c r="E12">
        <f>INDEX($B$26:$GQ$26,MATCH(4,$B$29:$GQ$29,0))</f>
        <v>7.5489516520659049E-4</v>
      </c>
      <c r="F12">
        <f>INDEX($B$26:$GQ$26,MATCH(5,$B$29:$GQ$29,0))</f>
        <v>4.8458137858390874E-3</v>
      </c>
      <c r="G12">
        <f>INDEX($B$26:$GQ$26,MATCH(6,$B$29:$GQ$29,0))</f>
        <v>0</v>
      </c>
      <c r="H12">
        <f>INDEX($B$26:$GQ$26,MATCH(7,$B$29:$GQ$29,0))</f>
        <v>0</v>
      </c>
      <c r="I12">
        <f>INDEX($B$26:$GQ$26,MATCH(8,$B$29:$GQ$29,0))</f>
        <v>1.531699046633182E-4</v>
      </c>
      <c r="J12">
        <f>INDEX($B$26:$GQ$26,MATCH(9,$B$29:$GQ$29,0))</f>
        <v>8.1735281127343765E-5</v>
      </c>
      <c r="K12">
        <f>INDEX($B$26:$GQ$26,MATCH(10,$B$29:$GQ$29,0))</f>
        <v>9.1703767908630292E-4</v>
      </c>
      <c r="L12">
        <f>INDEX($B$26:$GQ$26,MATCH(11,$B$29:$GQ$29,0))</f>
        <v>6.3628262425733881E-4</v>
      </c>
      <c r="M12">
        <f>INDEX($B$26:$GQ$26,MATCH(12,$B$29:$GQ$29,0))</f>
        <v>1.8694994259420799E-3</v>
      </c>
      <c r="N12">
        <f>INDEX($B$26:$GQ$26,MATCH(13,$B$29:$GQ$29,0))</f>
        <v>4.5629559126799849E-4</v>
      </c>
      <c r="O12">
        <f>INDEX($B$26:$GQ$26,MATCH(14,$B$29:$GQ$29,0))</f>
        <v>6.8418526193698504E-4</v>
      </c>
      <c r="P12">
        <f>INDEX($B$26:$GQ$26,MATCH(15,$B$29:$GQ$29,0))</f>
        <v>3.2833641103319979E-3</v>
      </c>
      <c r="Q12">
        <f>INDEX($B$26:$GQ$26,MATCH(16,$B$29:$GQ$29,0))</f>
        <v>1.2578169043919651E-4</v>
      </c>
      <c r="R12">
        <f>INDEX($B$26:$GQ$26,MATCH(17,$B$29:$GQ$29,0))</f>
        <v>5.3122120402140193E-5</v>
      </c>
      <c r="S12">
        <f>INDEX($B$26:$GQ$26,MATCH(18,$B$29:$GQ$29,0))</f>
        <v>4.6937354173778821E-5</v>
      </c>
      <c r="T12">
        <f>INDEX($B$26:$GQ$26,MATCH(19,$B$29:$GQ$29,0))</f>
        <v>3.7155833579313128E-4</v>
      </c>
      <c r="U12">
        <f>INDEX($B$26:$GQ$26,MATCH(20,$B$29:$GQ$29,0))</f>
        <v>5.0632786906631316E-4</v>
      </c>
      <c r="V12">
        <f>INDEX($B$26:$GQ$26,MATCH(21,$B$29:$GQ$29,0))</f>
        <v>1.486288725670545E-3</v>
      </c>
      <c r="W12">
        <f>INDEX($B$26:$GQ$26,MATCH(22,$B$29:$GQ$29,0))</f>
        <v>1.9531036094892059E-3</v>
      </c>
      <c r="X12">
        <f>INDEX($B$26:$GQ$26,MATCH(23,$B$29:$GQ$29,0))</f>
        <v>1.2209668542162611E-3</v>
      </c>
      <c r="Y12">
        <f>INDEX($B$26:$GQ$26,MATCH(24,$B$29:$GQ$29,0))</f>
        <v>1.0655599392948049E-3</v>
      </c>
      <c r="Z12">
        <f>INDEX($B$26:$GQ$26,MATCH(25,$B$29:$GQ$29,0))</f>
        <v>3.455764993424811E-4</v>
      </c>
      <c r="AA12">
        <f>INDEX($B$26:$GQ$26,MATCH(26,$B$29:$GQ$29,0))</f>
        <v>6.4029707992945711E-4</v>
      </c>
      <c r="AB12">
        <f>INDEX($B$26:$GQ$26,MATCH(27,$B$29:$GQ$29,0))</f>
        <v>8.378778513173609E-5</v>
      </c>
      <c r="AC12">
        <f>INDEX($B$26:$GQ$26,MATCH(28,$B$29:$GQ$29,0))</f>
        <v>4.7783912672010379E-4</v>
      </c>
      <c r="AD12">
        <f>INDEX($B$26:$GQ$26,MATCH(29,$B$29:$GQ$29,0))</f>
        <v>7.4648016277477217E-4</v>
      </c>
      <c r="AE12">
        <f>INDEX($B$26:$GQ$26,MATCH(30,$B$29:$GQ$29,0))</f>
        <v>3.8681765769222552E-4</v>
      </c>
      <c r="AF12">
        <f>INDEX($B$26:$GQ$26,MATCH(31,$B$29:$GQ$29,0))</f>
        <v>1.121140502096017E-4</v>
      </c>
      <c r="AG12">
        <f>INDEX($B$26:$GQ$26,MATCH(32,$B$29:$GQ$29,0))</f>
        <v>2.8692269185518401E-5</v>
      </c>
      <c r="AH12">
        <f>INDEX($B$26:$GQ$26,MATCH(33,$B$29:$GQ$29,0))</f>
        <v>6.7989865541429127E-4</v>
      </c>
      <c r="AI12">
        <f>INDEX($B$26:$GQ$26,MATCH(34,$B$29:$GQ$29,0))</f>
        <v>6.4111266580347054E-5</v>
      </c>
      <c r="AJ12">
        <f>INDEX($B$26:$GQ$26,MATCH(35,$B$29:$GQ$29,0))</f>
        <v>1.805568103046967E-4</v>
      </c>
      <c r="AK12">
        <f>INDEX($B$26:$GQ$26,MATCH(36,$B$29:$GQ$29,0))</f>
        <v>2.8636081526114032E-4</v>
      </c>
      <c r="AL12">
        <f>INDEX($B$26:$GQ$26,MATCH(37,$B$29:$GQ$29,0))</f>
        <v>9.4299085695991193E-6</v>
      </c>
      <c r="AM12">
        <f>INDEX($B$26:$GQ$26,MATCH(38,$B$29:$GQ$29,0))</f>
        <v>2.3662478991882691E-4</v>
      </c>
      <c r="AN12">
        <f>INDEX($B$26:$GQ$26,MATCH(39,$B$29:$GQ$29,0))</f>
        <v>3.5869206949671608E-4</v>
      </c>
      <c r="AO12">
        <f>INDEX($B$26:$GQ$26,MATCH(40,$B$29:$GQ$29,0))</f>
        <v>1.7439712056309761E-4</v>
      </c>
      <c r="AP12">
        <f>INDEX($B$26:$GQ$26,MATCH(41,$B$29:$GQ$29,0))</f>
        <v>8.0982372703929342E-5</v>
      </c>
      <c r="AQ12">
        <f>INDEX($B$26:$GQ$26,MATCH(42,$B$29:$GQ$29,0))</f>
        <v>3.6911171490350508E-4</v>
      </c>
      <c r="AR12">
        <f>INDEX($B$26:$GQ$26,MATCH(43,$B$29:$GQ$29,0))</f>
        <v>2.819152169292855E-5</v>
      </c>
      <c r="AS12">
        <f>INDEX($B$26:$GQ$26,MATCH(44,$B$29:$GQ$29,0))</f>
        <v>0</v>
      </c>
      <c r="AT12">
        <f>INDEX($B$26:$GQ$26,MATCH(45,$B$29:$GQ$29,0))</f>
        <v>2.4076300779716871E-4</v>
      </c>
      <c r="AU12">
        <f>INDEX($B$26:$GQ$26,MATCH(46,$B$29:$GQ$29,0))</f>
        <v>1.7976610372887031E-5</v>
      </c>
      <c r="AV12">
        <f>INDEX($B$26:$GQ$26,MATCH(47,$B$29:$GQ$29,0))</f>
        <v>4.2388660483832572E-5</v>
      </c>
      <c r="AW12">
        <f>INDEX($B$26:$GQ$26,MATCH(48,$B$29:$GQ$29,0))</f>
        <v>0</v>
      </c>
      <c r="AX12">
        <f>INDEX($B$26:$GQ$26,MATCH(49,$B$29:$GQ$29,0))</f>
        <v>2.016363619933658E-4</v>
      </c>
      <c r="AY12">
        <f>INDEX($B$26:$GQ$26,MATCH(50,$B$29:$GQ$29,0))</f>
        <v>1.606964296487364E-4</v>
      </c>
      <c r="AZ12">
        <f>INDEX($B$26:$GQ$26,MATCH(51,$B$29:$GQ$29,0))</f>
        <v>1.9520147197786942E-5</v>
      </c>
      <c r="BA12">
        <f>INDEX($B$26:$GQ$26,MATCH(52,$B$29:$GQ$29,0))</f>
        <v>6.0756303480844763E-5</v>
      </c>
      <c r="BB12">
        <f>INDEX($B$26:$GQ$26,MATCH(53,$B$29:$GQ$29,0))</f>
        <v>0</v>
      </c>
      <c r="BC12">
        <f>INDEX($B$26:$GQ$26,MATCH(54,$B$29:$GQ$29,0))</f>
        <v>2.4657478223840231E-6</v>
      </c>
      <c r="BD12">
        <f>INDEX($B$26:$GQ$26,MATCH(55,$B$29:$GQ$29,0))</f>
        <v>1.6995509634870721E-5</v>
      </c>
      <c r="BE12">
        <f>INDEX($B$26:$GQ$26,MATCH(56,$B$29:$GQ$29,0))</f>
        <v>0</v>
      </c>
      <c r="BF12">
        <f>INDEX($B$26:$GQ$26,MATCH(57,$B$29:$GQ$29,0))</f>
        <v>6.8369387387082369E-5</v>
      </c>
      <c r="BG12">
        <f>INDEX($B$26:$GQ$26,MATCH(58,$B$29:$GQ$29,0))</f>
        <v>2.5257482399754649E-5</v>
      </c>
      <c r="BH12">
        <f>INDEX($B$26:$GQ$26,MATCH(59,$B$29:$GQ$29,0))</f>
        <v>1.4008920412927089E-4</v>
      </c>
      <c r="BI12">
        <f>INDEX($B$26:$GQ$26,MATCH(60,$B$29:$GQ$29,0))</f>
        <v>9.6906441109858069E-5</v>
      </c>
      <c r="BJ12">
        <f>INDEX($B$26:$GQ$26,MATCH(61,$B$29:$GQ$29,0))</f>
        <v>4.5062110033201019E-5</v>
      </c>
      <c r="BK12">
        <f>INDEX($B$26:$GQ$26,MATCH(62,$B$29:$GQ$29,0))</f>
        <v>0</v>
      </c>
      <c r="BL12">
        <f>INDEX($B$26:$GQ$26,MATCH(63,$B$29:$GQ$29,0))</f>
        <v>7.0970610335239237E-5</v>
      </c>
      <c r="BM12">
        <f>INDEX($B$26:$GQ$26,MATCH(64,$B$29:$GQ$29,0))</f>
        <v>1.065296456019231E-4</v>
      </c>
      <c r="BN12">
        <f>INDEX($B$26:$GQ$26,MATCH(65,$B$29:$GQ$29,0))</f>
        <v>7.410439980231877E-6</v>
      </c>
      <c r="BO12">
        <f>INDEX($B$26:$GQ$26,MATCH(66,$B$29:$GQ$29,0))</f>
        <v>6.3858273219334687E-5</v>
      </c>
      <c r="BP12">
        <f>INDEX($B$26:$GQ$26,MATCH(67,$B$29:$GQ$29,0))</f>
        <v>0</v>
      </c>
      <c r="BQ12">
        <f>INDEX($B$26:$GQ$26,MATCH(68,$B$29:$GQ$29,0))</f>
        <v>0</v>
      </c>
      <c r="BR12">
        <f>INDEX($B$26:$GQ$26,MATCH(69,$B$29:$GQ$29,0))</f>
        <v>5.7879970651603472E-5</v>
      </c>
      <c r="BS12">
        <f>INDEX($B$26:$GQ$26,MATCH(70,$B$29:$GQ$29,0))</f>
        <v>4.9765738786238371E-5</v>
      </c>
      <c r="BT12">
        <f>INDEX($B$26:$GQ$26,MATCH(71,$B$29:$GQ$29,0))</f>
        <v>0</v>
      </c>
      <c r="BU12">
        <f>INDEX($B$26:$GQ$26,MATCH(72,$B$29:$GQ$29,0))</f>
        <v>8.4608010668120101E-5</v>
      </c>
      <c r="BV12">
        <f>INDEX($B$26:$GQ$26,MATCH(73,$B$29:$GQ$29,0))</f>
        <v>0</v>
      </c>
      <c r="BW12">
        <f>INDEX($B$26:$GQ$26,MATCH(74,$B$29:$GQ$29,0))</f>
        <v>0</v>
      </c>
      <c r="BX12">
        <f>INDEX($B$26:$GQ$26,MATCH(75,$B$29:$GQ$29,0))</f>
        <v>3.8001948651418268E-5</v>
      </c>
      <c r="BY12">
        <f>INDEX($B$26:$GQ$26,MATCH(76,$B$29:$GQ$29,0))</f>
        <v>5.2367592846773689E-5</v>
      </c>
      <c r="BZ12">
        <f>INDEX($B$26:$GQ$26,MATCH(77,$B$29:$GQ$29,0))</f>
        <v>3.5401451278150511E-5</v>
      </c>
      <c r="CA12">
        <f>INDEX($B$26:$GQ$26,MATCH(78,$B$29:$GQ$29,0))</f>
        <v>0</v>
      </c>
      <c r="CB12">
        <f>INDEX($B$26:$GQ$26,MATCH(79,$B$29:$GQ$29,0))</f>
        <v>2.846071562416886E-6</v>
      </c>
      <c r="CC12">
        <f>INDEX($B$26:$GQ$26,MATCH(80,$B$29:$GQ$29,0))</f>
        <v>1.3214026677302361E-7</v>
      </c>
      <c r="CD12">
        <f>INDEX($B$26:$GQ$26,MATCH(81,$B$29:$GQ$29,0))</f>
        <v>4.4258296453559242E-7</v>
      </c>
      <c r="CE12">
        <f>INDEX($B$26:$GQ$26,MATCH(82,$B$29:$GQ$29,0))</f>
        <v>0</v>
      </c>
      <c r="CF12">
        <f>INDEX($B$26:$GQ$26,MATCH(83,$B$29:$GQ$29,0))</f>
        <v>3.7419370079833302E-7</v>
      </c>
      <c r="CG12">
        <f>INDEX($B$26:$GQ$26,MATCH(84,$B$29:$GQ$29,0))</f>
        <v>1.380477281620092E-5</v>
      </c>
      <c r="CH12">
        <f>INDEX($B$26:$GQ$26,MATCH(85,$B$29:$GQ$29,0))</f>
        <v>0</v>
      </c>
      <c r="CI12">
        <f>INDEX($B$26:$GQ$26,MATCH(86,$B$29:$GQ$29,0))</f>
        <v>4.8118439180832922E-7</v>
      </c>
      <c r="CJ12">
        <f>INDEX($B$26:$GQ$26,MATCH(87,$B$29:$GQ$29,0))</f>
        <v>8.7604688678077188E-6</v>
      </c>
      <c r="CK12">
        <f>INDEX($B$26:$GQ$26,MATCH(88,$B$29:$GQ$29,0))</f>
        <v>2.2086388182281739E-7</v>
      </c>
      <c r="CL12">
        <f>INDEX($B$26:$GQ$26,MATCH(89,$B$29:$GQ$29,0))</f>
        <v>2.0057306138792869E-7</v>
      </c>
      <c r="CM12">
        <f>INDEX($B$26:$GQ$26,MATCH(90,$B$29:$GQ$29,0))</f>
        <v>2.2801672613636789E-7</v>
      </c>
      <c r="CN12">
        <f>INDEX($B$26:$GQ$26,MATCH(91,$B$29:$GQ$29,0))</f>
        <v>2.8902426348899231E-7</v>
      </c>
      <c r="CO12">
        <f>INDEX($B$26:$GQ$26,MATCH(92,$B$29:$GQ$29,0))</f>
        <v>1.155530710631657E-6</v>
      </c>
      <c r="CP12">
        <f>INDEX($B$26:$GQ$26,MATCH(93,$B$29:$GQ$29,0))</f>
        <v>1.516578994133421E-7</v>
      </c>
      <c r="CQ12">
        <f>INDEX($B$26:$GQ$26,MATCH(94,$B$29:$GQ$29,0))</f>
        <v>1.622777101709736E-7</v>
      </c>
      <c r="CR12">
        <f>INDEX($B$26:$GQ$26,MATCH(95,$B$29:$GQ$29,0))</f>
        <v>0</v>
      </c>
      <c r="CS12">
        <f>INDEX($B$26:$GQ$26,MATCH(96,$B$29:$GQ$29,0))</f>
        <v>2.4005899322333352E-7</v>
      </c>
      <c r="CT12">
        <f>INDEX($B$26:$GQ$26,MATCH(97,$B$29:$GQ$29,0))</f>
        <v>0</v>
      </c>
      <c r="CU12">
        <f>INDEX($B$26:$GQ$26,MATCH(98,$B$29:$GQ$29,0))</f>
        <v>1.0935444428417941E-7</v>
      </c>
      <c r="CV12">
        <f>INDEX($B$26:$GQ$26,MATCH(99,$B$29:$GQ$29,0))</f>
        <v>8.9945603671200931E-8</v>
      </c>
      <c r="CW12">
        <f>INDEX($B$26:$GQ$26,MATCH(100,$B$29:$GQ$29,0))</f>
        <v>5.8488483941912832E-8</v>
      </c>
      <c r="CX12">
        <f>INDEX($B$26:$GQ$26,MATCH(101,$B$29:$GQ$29,0))</f>
        <v>1.9188690519174589E-7</v>
      </c>
      <c r="CY12">
        <f>INDEX($B$26:$GQ$26,MATCH(102,$B$29:$GQ$29,0))</f>
        <v>3.1623445065623138E-7</v>
      </c>
      <c r="CZ12">
        <f>INDEX($B$26:$GQ$26,MATCH(103,$B$29:$GQ$29,0))</f>
        <v>3.1777871489543688E-6</v>
      </c>
      <c r="DA12">
        <f>INDEX($B$26:$GQ$26,MATCH(104,$B$29:$GQ$29,0))</f>
        <v>6.6370535367724743E-8</v>
      </c>
      <c r="DB12">
        <f>INDEX($B$26:$GQ$26,MATCH(105,$B$29:$GQ$29,0))</f>
        <v>3.2041315965620352E-8</v>
      </c>
      <c r="DC12">
        <f>INDEX($B$26:$GQ$26,MATCH(106,$B$29:$GQ$29,0))</f>
        <v>3.1247049731519171E-6</v>
      </c>
      <c r="DD12">
        <f>INDEX($B$26:$GQ$26,MATCH(107,$B$29:$GQ$29,0))</f>
        <v>1.0611884474460241E-7</v>
      </c>
      <c r="DE12">
        <f>INDEX($B$26:$GQ$26,MATCH(108,$B$29:$GQ$29,0))</f>
        <v>3.1892559999521531E-8</v>
      </c>
      <c r="DF12">
        <f>INDEX($B$26:$GQ$26,MATCH(109,$B$29:$GQ$29,0))</f>
        <v>1.88931042606679E-8</v>
      </c>
      <c r="DG12">
        <f>INDEX($B$26:$GQ$26,MATCH(110,$B$29:$GQ$29,0))</f>
        <v>1.589777587904294E-6</v>
      </c>
      <c r="DH12">
        <f>INDEX($B$26:$GQ$26,MATCH(111,$B$29:$GQ$29,0))</f>
        <v>6.3973454033736441E-8</v>
      </c>
      <c r="DI12">
        <f>INDEX($B$26:$GQ$26,MATCH(112,$B$29:$GQ$29,0))</f>
        <v>9.8529128331102872E-9</v>
      </c>
      <c r="DJ12">
        <f>INDEX($B$26:$GQ$26,MATCH(113,$B$29:$GQ$29,0))</f>
        <v>8.9818461648242334E-9</v>
      </c>
      <c r="DK12">
        <f>INDEX($B$26:$GQ$26,MATCH(114,$B$29:$GQ$29,0))</f>
        <v>3.9915986946231808E-8</v>
      </c>
      <c r="DL12">
        <f>INDEX($B$26:$GQ$26,MATCH(115,$B$29:$GQ$29,0))</f>
        <v>6.4299051539811685E-7</v>
      </c>
      <c r="DM12">
        <f>INDEX($B$26:$GQ$26,MATCH(116,$B$29:$GQ$29,0))</f>
        <v>1.7046922994580141E-7</v>
      </c>
      <c r="DN12">
        <f>INDEX($B$26:$GQ$26,MATCH(117,$B$29:$GQ$29,0))</f>
        <v>4.1061453115733671E-7</v>
      </c>
      <c r="DO12">
        <f>INDEX($B$26:$GQ$26,MATCH(118,$B$29:$GQ$29,0))</f>
        <v>3.5500825758133002E-7</v>
      </c>
      <c r="DP12">
        <f>INDEX($B$26:$GQ$26,MATCH(119,$B$29:$GQ$29,0))</f>
        <v>0</v>
      </c>
      <c r="DQ12">
        <f>INDEX($B$26:$GQ$26,MATCH(120,$B$29:$GQ$29,0))</f>
        <v>2.5734111018808198E-7</v>
      </c>
      <c r="DR12">
        <f>INDEX($B$26:$GQ$26,MATCH(121,$B$29:$GQ$29,0))</f>
        <v>2.7554163345753902E-7</v>
      </c>
      <c r="DS12">
        <f>INDEX($B$26:$GQ$26,MATCH(122,$B$29:$GQ$29,0))</f>
        <v>6.5944051460024076E-9</v>
      </c>
      <c r="DT12">
        <f>INDEX($B$26:$GQ$26,MATCH(123,$B$29:$GQ$29,0))</f>
        <v>0</v>
      </c>
      <c r="DU12">
        <f>INDEX($B$26:$GQ$26,MATCH(124,$B$29:$GQ$29,0))</f>
        <v>0</v>
      </c>
      <c r="DV12">
        <f>INDEX($B$26:$GQ$26,MATCH(125,$B$29:$GQ$29,0))</f>
        <v>1.068641197473464E-7</v>
      </c>
      <c r="DW12">
        <f>INDEX($B$26:$GQ$26,MATCH(126,$B$29:$GQ$29,0))</f>
        <v>9.042686460985769E-10</v>
      </c>
      <c r="DX12">
        <f>INDEX($B$26:$GQ$26,MATCH(127,$B$29:$GQ$29,0))</f>
        <v>2.3669964156301582E-8</v>
      </c>
      <c r="DY12">
        <f>INDEX($B$26:$GQ$26,MATCH(128,$B$29:$GQ$29,0))</f>
        <v>0</v>
      </c>
      <c r="DZ12">
        <f>INDEX($B$26:$GQ$26,MATCH(129,$B$29:$GQ$29,0))</f>
        <v>3.111625021787252E-9</v>
      </c>
      <c r="EA12">
        <f>INDEX($B$26:$GQ$26,MATCH(130,$B$29:$GQ$29,0))</f>
        <v>0</v>
      </c>
      <c r="EB12">
        <f>INDEX($B$26:$GQ$26,MATCH(131,$B$29:$GQ$29,0))</f>
        <v>1.1167752236631459E-9</v>
      </c>
      <c r="EC12">
        <f>INDEX($B$26:$GQ$26,MATCH(132,$B$29:$GQ$29,0))</f>
        <v>2.2701195379914861E-10</v>
      </c>
      <c r="ED12">
        <f>INDEX($B$26:$GQ$26,MATCH(133,$B$29:$GQ$29,0))</f>
        <v>0</v>
      </c>
      <c r="EE12">
        <f>INDEX($B$26:$GQ$26,MATCH(134,$B$29:$GQ$29,0))</f>
        <v>0</v>
      </c>
      <c r="EF12">
        <f>INDEX($B$26:$GQ$26,MATCH(135,$B$29:$GQ$29,0))</f>
        <v>0</v>
      </c>
      <c r="EG12">
        <f>INDEX($B$26:$GQ$26,MATCH(136,$B$29:$GQ$29,0))</f>
        <v>0</v>
      </c>
      <c r="EH12">
        <f>INDEX($B$26:$GQ$26,MATCH(137,$B$29:$GQ$29,0))</f>
        <v>0</v>
      </c>
      <c r="EI12">
        <f>INDEX($B$26:$GQ$26,MATCH(138,$B$29:$GQ$29,0))</f>
        <v>0</v>
      </c>
      <c r="EJ12">
        <f>INDEX($B$26:$GQ$26,MATCH(139,$B$29:$GQ$29,0))</f>
        <v>0</v>
      </c>
      <c r="EK12">
        <f>INDEX($B$26:$GQ$26,MATCH(140,$B$29:$GQ$29,0))</f>
        <v>0</v>
      </c>
      <c r="EL12">
        <f>INDEX($B$26:$GQ$26,MATCH(141,$B$29:$GQ$29,0))</f>
        <v>0</v>
      </c>
      <c r="EM12">
        <f>INDEX($B$26:$GQ$26,MATCH(142,$B$29:$GQ$29,0))</f>
        <v>0</v>
      </c>
      <c r="EN12">
        <f>INDEX($B$26:$GQ$26,MATCH(143,$B$29:$GQ$29,0))</f>
        <v>0</v>
      </c>
      <c r="EO12">
        <f>INDEX($B$26:$GQ$26,MATCH(144,$B$29:$GQ$29,0))</f>
        <v>0</v>
      </c>
      <c r="EP12">
        <f>INDEX($B$26:$GQ$26,MATCH(145,$B$29:$GQ$29,0))</f>
        <v>0</v>
      </c>
      <c r="EQ12">
        <f>INDEX($B$26:$GQ$26,MATCH(146,$B$29:$GQ$29,0))</f>
        <v>0</v>
      </c>
      <c r="ER12">
        <f>INDEX($B$26:$GQ$26,MATCH(147,$B$29:$GQ$29,0))</f>
        <v>0</v>
      </c>
      <c r="ES12">
        <f>INDEX($B$26:$GQ$26,MATCH(148,$B$29:$GQ$29,0))</f>
        <v>0</v>
      </c>
      <c r="ET12">
        <f>INDEX($B$26:$GQ$26,MATCH(149,$B$29:$GQ$29,0))</f>
        <v>0</v>
      </c>
      <c r="EU12">
        <f>INDEX($B$26:$GQ$26,MATCH(150,$B$29:$GQ$29,0))</f>
        <v>0</v>
      </c>
      <c r="EV12">
        <f>INDEX($B$26:$GQ$26,MATCH(151,$B$29:$GQ$29,0))</f>
        <v>0</v>
      </c>
      <c r="EW12">
        <f>INDEX($B$26:$GQ$26,MATCH(152,$B$29:$GQ$29,0))</f>
        <v>0</v>
      </c>
      <c r="EX12">
        <f>INDEX($B$26:$GQ$26,MATCH(153,$B$29:$GQ$29,0))</f>
        <v>0</v>
      </c>
      <c r="EY12">
        <f>INDEX($B$26:$GQ$26,MATCH(154,$B$29:$GQ$29,0))</f>
        <v>0</v>
      </c>
      <c r="EZ12">
        <f>INDEX($B$26:$GQ$26,MATCH(155,$B$29:$GQ$29,0))</f>
        <v>0</v>
      </c>
      <c r="FA12">
        <f>INDEX($B$26:$GQ$26,MATCH(156,$B$29:$GQ$29,0))</f>
        <v>0</v>
      </c>
      <c r="FB12">
        <f>INDEX($B$26:$GQ$26,MATCH(157,$B$29:$GQ$29,0))</f>
        <v>0</v>
      </c>
      <c r="FC12">
        <f>INDEX($B$26:$GQ$26,MATCH(158,$B$29:$GQ$29,0))</f>
        <v>0</v>
      </c>
      <c r="FD12">
        <f>INDEX($B$26:$GQ$26,MATCH(159,$B$29:$GQ$29,0))</f>
        <v>0</v>
      </c>
      <c r="FE12">
        <f>INDEX($B$26:$GQ$26,MATCH(160,$B$29:$GQ$29,0))</f>
        <v>0</v>
      </c>
      <c r="FF12">
        <f>INDEX($B$26:$GQ$26,MATCH(161,$B$29:$GQ$29,0))</f>
        <v>0</v>
      </c>
      <c r="FG12">
        <f>INDEX($B$26:$GQ$26,MATCH(162,$B$29:$GQ$29,0))</f>
        <v>0</v>
      </c>
      <c r="FH12">
        <f>INDEX($B$26:$GQ$26,MATCH(163,$B$29:$GQ$29,0))</f>
        <v>0</v>
      </c>
      <c r="FI12">
        <f>INDEX($B$26:$GQ$26,MATCH(164,$B$29:$GQ$29,0))</f>
        <v>0</v>
      </c>
      <c r="FJ12">
        <f>INDEX($B$26:$GQ$26,MATCH(165,$B$29:$GQ$29,0))</f>
        <v>0</v>
      </c>
      <c r="FK12">
        <f>INDEX($B$26:$GQ$26,MATCH(166,$B$29:$GQ$29,0))</f>
        <v>0</v>
      </c>
      <c r="FL12">
        <f>INDEX($B$26:$GQ$26,MATCH(167,$B$29:$GQ$29,0))</f>
        <v>0</v>
      </c>
      <c r="FM12">
        <f>INDEX($B$26:$GQ$26,MATCH(168,$B$29:$GQ$29,0))</f>
        <v>0</v>
      </c>
      <c r="FN12">
        <f>INDEX($B$26:$GQ$26,MATCH(169,$B$29:$GQ$29,0))</f>
        <v>0</v>
      </c>
      <c r="FO12">
        <f>INDEX($B$26:$GQ$26,MATCH(170,$B$29:$GQ$29,0))</f>
        <v>0</v>
      </c>
      <c r="FP12">
        <f>INDEX($B$26:$GQ$26,MATCH(171,$B$29:$GQ$29,0))</f>
        <v>0</v>
      </c>
      <c r="FQ12">
        <f>INDEX($B$26:$GQ$26,MATCH(172,$B$29:$GQ$29,0))</f>
        <v>0</v>
      </c>
      <c r="FR12">
        <f>INDEX($B$26:$GQ$26,MATCH(173,$B$29:$GQ$29,0))</f>
        <v>0</v>
      </c>
      <c r="FS12">
        <f>INDEX($B$26:$GQ$26,MATCH(174,$B$29:$GQ$29,0))</f>
        <v>0</v>
      </c>
      <c r="FT12">
        <f>INDEX($B$26:$GQ$26,MATCH(175,$B$29:$GQ$29,0))</f>
        <v>0</v>
      </c>
      <c r="FU12">
        <f>INDEX($B$26:$GQ$26,MATCH(176,$B$29:$GQ$29,0))</f>
        <v>0</v>
      </c>
      <c r="FV12">
        <f>INDEX($B$26:$GQ$26,MATCH(177,$B$29:$GQ$29,0))</f>
        <v>0</v>
      </c>
      <c r="FW12">
        <f>INDEX($B$26:$GQ$26,MATCH(178,$B$29:$GQ$29,0))</f>
        <v>0</v>
      </c>
      <c r="FX12">
        <f>INDEX($B$26:$GQ$26,MATCH(179,$B$29:$GQ$29,0))</f>
        <v>0</v>
      </c>
      <c r="FY12">
        <f>INDEX($B$26:$GQ$26,MATCH(180,$B$29:$GQ$29,0))</f>
        <v>0</v>
      </c>
      <c r="FZ12">
        <f>INDEX($B$26:$GQ$26,MATCH(181,$B$29:$GQ$29,0))</f>
        <v>0</v>
      </c>
      <c r="GA12">
        <f>INDEX($B$26:$GQ$26,MATCH(182,$B$29:$GQ$29,0))</f>
        <v>0</v>
      </c>
      <c r="GB12">
        <f>INDEX($B$26:$GQ$26,MATCH(183,$B$29:$GQ$29,0))</f>
        <v>0</v>
      </c>
      <c r="GC12">
        <f>INDEX($B$26:$GQ$26,MATCH(184,$B$29:$GQ$29,0))</f>
        <v>0</v>
      </c>
      <c r="GD12">
        <f>INDEX($B$26:$GQ$26,MATCH(185,$B$29:$GQ$29,0))</f>
        <v>0</v>
      </c>
      <c r="GE12">
        <f>INDEX($B$26:$GQ$26,MATCH(186,$B$29:$GQ$29,0))</f>
        <v>0</v>
      </c>
      <c r="GF12">
        <f>INDEX($B$26:$GQ$26,MATCH(187,$B$29:$GQ$29,0))</f>
        <v>0</v>
      </c>
      <c r="GG12">
        <f>INDEX($B$26:$GQ$26,MATCH(188,$B$29:$GQ$29,0))</f>
        <v>0</v>
      </c>
      <c r="GH12">
        <f>INDEX($B$26:$GQ$26,MATCH(189,$B$29:$GQ$29,0))</f>
        <v>0</v>
      </c>
      <c r="GI12">
        <f>INDEX($B$26:$GQ$26,MATCH(190,$B$29:$GQ$29,0))</f>
        <v>0</v>
      </c>
      <c r="GJ12">
        <f>INDEX($B$26:$GQ$26,MATCH(191,$B$29:$GQ$29,0))</f>
        <v>0</v>
      </c>
      <c r="GK12">
        <f>INDEX($B$26:$GQ$26,MATCH(192,$B$29:$GQ$29,0))</f>
        <v>0</v>
      </c>
      <c r="GL12">
        <f>INDEX($B$26:$GQ$26,MATCH(193,$B$29:$GQ$29,0))</f>
        <v>0</v>
      </c>
      <c r="GM12">
        <f>INDEX($B$26:$GQ$26,MATCH(194,$B$29:$GQ$29,0))</f>
        <v>0</v>
      </c>
      <c r="GN12">
        <f>INDEX($B$26:$GQ$26,MATCH(195,$B$29:$GQ$29,0))</f>
        <v>0</v>
      </c>
      <c r="GO12">
        <f>INDEX($B$26:$GQ$26,MATCH(196,$B$29:$GQ$29,0))</f>
        <v>0</v>
      </c>
      <c r="GP12">
        <f>INDEX($B$26:$GQ$26,MATCH(197,$B$29:$GQ$29,0))</f>
        <v>0</v>
      </c>
      <c r="GQ12">
        <f>INDEX($B$26:$GQ$26,MATCH(198,$B$29:$GQ$29,0))</f>
        <v>0</v>
      </c>
      <c r="GR12">
        <f>INDEX($GR$26:$HC$26,MATCH(1,$GR$30:$HC$30,0))</f>
        <v>1.2095869171565561E-2</v>
      </c>
      <c r="GS12">
        <f>INDEX($GR$26:$HC$26,MATCH(2,$GR$30:$HC$30,0))</f>
        <v>2.1865194820061898E-3</v>
      </c>
      <c r="GT12">
        <f>INDEX($GR$26:$HC$26,MATCH(3,$GR$30:$HC$30,0))</f>
        <v>7.4029765383378952E-4</v>
      </c>
      <c r="GU12">
        <f>INDEX($GR$26:$HC$26,MATCH(4,$GR$30:$HC$30,0))</f>
        <v>3.4848362148174341E-3</v>
      </c>
      <c r="GV12">
        <f>INDEX($GR$26:$HC$26,MATCH(5,$GR$30:$HC$30,0))</f>
        <v>2.9928118171889798E-3</v>
      </c>
      <c r="GW12">
        <f>INDEX($GR$26:$HC$26,MATCH(6,$GR$30:$HC$30,0))</f>
        <v>1.2019524101164671E-3</v>
      </c>
      <c r="GX12">
        <f>INDEX($GR$26:$HC$26,MATCH(7,$GR$30:$HC$30,0))</f>
        <v>7.5489516520659049E-4</v>
      </c>
      <c r="GY12">
        <f>INDEX($GR$26:$HC$26,MATCH(8,$GR$30:$HC$30,0))</f>
        <v>4.9523434314410102E-3</v>
      </c>
      <c r="GZ12">
        <f>INDEX($GR$26:$HC$26,MATCH(9,$GR$30:$HC$30,0))</f>
        <v>0</v>
      </c>
      <c r="HA12">
        <f>INDEX($GR$26:$HC$26,MATCH(10,$GR$30:$HC$30,0))</f>
        <v>5.9829478825959761E-3</v>
      </c>
      <c r="HB12">
        <f>INDEX($GR$26:$HC$26,MATCH(11,$GR$30:$HC$30,0))</f>
        <v>2.764864458576858E-3</v>
      </c>
      <c r="HC12">
        <f>INDEX($GR$26:$HC$26,MATCH(12,$GR$30:$HC$30,0))</f>
        <v>2.7021133229238759E-3</v>
      </c>
    </row>
    <row r="13" spans="1:211" x14ac:dyDescent="0.45">
      <c r="A13" s="1" t="s">
        <v>1</v>
      </c>
      <c r="B13">
        <f>INDEX($B$27:$GQ$27,MATCH(1,$B$29:$GQ$29,0))</f>
        <v>2.3595414068168799E-2</v>
      </c>
      <c r="C13">
        <f>INDEX($B$27:$GQ$27,MATCH(2,$B$29:$GQ$29,0))</f>
        <v>1.1121152794790951E-2</v>
      </c>
      <c r="D13">
        <f>INDEX($B$27:$GQ$27,MATCH(3,$B$29:$GQ$29,0))</f>
        <v>8.5046808338587326E-3</v>
      </c>
      <c r="E13">
        <f>INDEX($B$27:$GQ$27,MATCH(4,$B$29:$GQ$29,0))</f>
        <v>8.1452433336272907E-3</v>
      </c>
      <c r="F13">
        <f>INDEX($B$27:$GQ$27,MATCH(5,$B$29:$GQ$29,0))</f>
        <v>7.8920771460115301E-3</v>
      </c>
      <c r="G13">
        <f>INDEX($B$27:$GQ$27,MATCH(6,$B$29:$GQ$29,0))</f>
        <v>7.3600732129008584E-3</v>
      </c>
      <c r="H13">
        <f>INDEX($B$27:$GQ$27,MATCH(7,$B$29:$GQ$29,0))</f>
        <v>4.7707870987149497E-3</v>
      </c>
      <c r="I13">
        <f>INDEX($B$27:$GQ$27,MATCH(8,$B$29:$GQ$29,0))</f>
        <v>4.6139631230853392E-3</v>
      </c>
      <c r="J13">
        <f>INDEX($B$27:$GQ$27,MATCH(9,$B$29:$GQ$29,0))</f>
        <v>4.2104872034768124E-3</v>
      </c>
      <c r="K13">
        <f>INDEX($B$27:$GQ$27,MATCH(10,$B$29:$GQ$29,0))</f>
        <v>3.9819367990976094E-3</v>
      </c>
      <c r="L13">
        <f>INDEX($B$27:$GQ$27,MATCH(11,$B$29:$GQ$29,0))</f>
        <v>3.783235181594913E-3</v>
      </c>
      <c r="M13">
        <f>INDEX($B$27:$GQ$27,MATCH(12,$B$29:$GQ$29,0))</f>
        <v>3.6804266243302811E-3</v>
      </c>
      <c r="N13">
        <f>INDEX($B$27:$GQ$27,MATCH(13,$B$29:$GQ$29,0))</f>
        <v>3.5637810232809651E-3</v>
      </c>
      <c r="O13">
        <f>INDEX($B$27:$GQ$27,MATCH(14,$B$29:$GQ$29,0))</f>
        <v>3.4441079194725021E-3</v>
      </c>
      <c r="P13">
        <f>INDEX($B$27:$GQ$27,MATCH(15,$B$29:$GQ$29,0))</f>
        <v>3.2963762880485921E-3</v>
      </c>
      <c r="Q13">
        <f>INDEX($B$27:$GQ$27,MATCH(16,$B$29:$GQ$29,0))</f>
        <v>3.230234684125807E-3</v>
      </c>
      <c r="R13">
        <f>INDEX($B$27:$GQ$27,MATCH(17,$B$29:$GQ$29,0))</f>
        <v>2.8952243349082778E-3</v>
      </c>
      <c r="S13">
        <f>INDEX($B$27:$GQ$27,MATCH(18,$B$29:$GQ$29,0))</f>
        <v>2.8754058428138419E-3</v>
      </c>
      <c r="T13">
        <f>INDEX($B$27:$GQ$27,MATCH(19,$B$29:$GQ$29,0))</f>
        <v>2.312300669563238E-3</v>
      </c>
      <c r="U13">
        <f>INDEX($B$27:$GQ$27,MATCH(20,$B$29:$GQ$29,0))</f>
        <v>2.1918693014089091E-3</v>
      </c>
      <c r="V13">
        <f>INDEX($B$27:$GQ$27,MATCH(21,$B$29:$GQ$29,0))</f>
        <v>2.102484888326209E-3</v>
      </c>
      <c r="W13">
        <f>INDEX($B$27:$GQ$27,MATCH(22,$B$29:$GQ$29,0))</f>
        <v>2.0572086330973389E-3</v>
      </c>
      <c r="X13">
        <f>INDEX($B$27:$GQ$27,MATCH(23,$B$29:$GQ$29,0))</f>
        <v>1.9665337653894249E-3</v>
      </c>
      <c r="Y13">
        <f>INDEX($B$27:$GQ$27,MATCH(24,$B$29:$GQ$29,0))</f>
        <v>1.337581650346269E-3</v>
      </c>
      <c r="Z13">
        <f>INDEX($B$27:$GQ$27,MATCH(25,$B$29:$GQ$29,0))</f>
        <v>1.142252510895059E-3</v>
      </c>
      <c r="AA13">
        <f>INDEX($B$27:$GQ$27,MATCH(26,$B$29:$GQ$29,0))</f>
        <v>1.106210057933018E-3</v>
      </c>
      <c r="AB13">
        <f>INDEX($B$27:$GQ$27,MATCH(27,$B$29:$GQ$29,0))</f>
        <v>9.7413609976117362E-4</v>
      </c>
      <c r="AC13">
        <f>INDEX($B$27:$GQ$27,MATCH(28,$B$29:$GQ$29,0))</f>
        <v>9.2337640205944374E-4</v>
      </c>
      <c r="AD13">
        <f>INDEX($B$27:$GQ$27,MATCH(29,$B$29:$GQ$29,0))</f>
        <v>8.7750879141191803E-4</v>
      </c>
      <c r="AE13">
        <f>INDEX($B$27:$GQ$27,MATCH(30,$B$29:$GQ$29,0))</f>
        <v>7.1341781245801465E-4</v>
      </c>
      <c r="AF13">
        <f>INDEX($B$27:$GQ$27,MATCH(31,$B$29:$GQ$29,0))</f>
        <v>7.1254983675398157E-4</v>
      </c>
      <c r="AG13">
        <f>INDEX($B$27:$GQ$27,MATCH(32,$B$29:$GQ$29,0))</f>
        <v>6.8827630804825729E-4</v>
      </c>
      <c r="AH13">
        <f>INDEX($B$27:$GQ$27,MATCH(33,$B$29:$GQ$29,0))</f>
        <v>6.7989865541429127E-4</v>
      </c>
      <c r="AI13">
        <f>INDEX($B$27:$GQ$27,MATCH(34,$B$29:$GQ$29,0))</f>
        <v>6.2740236596891055E-4</v>
      </c>
      <c r="AJ13">
        <f>INDEX($B$27:$GQ$27,MATCH(35,$B$29:$GQ$29,0))</f>
        <v>6.1133036645815038E-4</v>
      </c>
      <c r="AK13">
        <f>INDEX($B$27:$GQ$27,MATCH(36,$B$29:$GQ$29,0))</f>
        <v>6.0872651021574278E-4</v>
      </c>
      <c r="AL13">
        <f>INDEX($B$27:$GQ$27,MATCH(37,$B$29:$GQ$29,0))</f>
        <v>5.9490669283532879E-4</v>
      </c>
      <c r="AM13">
        <f>INDEX($B$27:$GQ$27,MATCH(38,$B$29:$GQ$29,0))</f>
        <v>5.94331815037969E-4</v>
      </c>
      <c r="AN13">
        <f>INDEX($B$27:$GQ$27,MATCH(39,$B$29:$GQ$29,0))</f>
        <v>4.8577607706173638E-4</v>
      </c>
      <c r="AO13">
        <f>INDEX($B$27:$GQ$27,MATCH(40,$B$29:$GQ$29,0))</f>
        <v>4.2856977223708451E-4</v>
      </c>
      <c r="AP13">
        <f>INDEX($B$27:$GQ$27,MATCH(41,$B$29:$GQ$29,0))</f>
        <v>4.100643485055414E-4</v>
      </c>
      <c r="AQ13">
        <f>INDEX($B$27:$GQ$27,MATCH(42,$B$29:$GQ$29,0))</f>
        <v>3.9819486453968392E-4</v>
      </c>
      <c r="AR13">
        <f>INDEX($B$27:$GQ$27,MATCH(43,$B$29:$GQ$29,0))</f>
        <v>3.904776231752071E-4</v>
      </c>
      <c r="AS13">
        <f>INDEX($B$27:$GQ$27,MATCH(44,$B$29:$GQ$29,0))</f>
        <v>3.6455421559207642E-4</v>
      </c>
      <c r="AT13">
        <f>INDEX($B$27:$GQ$27,MATCH(45,$B$29:$GQ$29,0))</f>
        <v>3.2470168118201362E-4</v>
      </c>
      <c r="AU13">
        <f>INDEX($B$27:$GQ$27,MATCH(46,$B$29:$GQ$29,0))</f>
        <v>3.1225881101181531E-4</v>
      </c>
      <c r="AV13">
        <f>INDEX($B$27:$GQ$27,MATCH(47,$B$29:$GQ$29,0))</f>
        <v>3.0621485142082308E-4</v>
      </c>
      <c r="AW13">
        <f>INDEX($B$27:$GQ$27,MATCH(48,$B$29:$GQ$29,0))</f>
        <v>2.8099533552135742E-4</v>
      </c>
      <c r="AX13">
        <f>INDEX($B$27:$GQ$27,MATCH(49,$B$29:$GQ$29,0))</f>
        <v>2.684363738480957E-4</v>
      </c>
      <c r="AY13">
        <f>INDEX($B$27:$GQ$27,MATCH(50,$B$29:$GQ$29,0))</f>
        <v>2.5626833834946773E-4</v>
      </c>
      <c r="AZ13">
        <f>INDEX($B$27:$GQ$27,MATCH(51,$B$29:$GQ$29,0))</f>
        <v>2.5148170067952971E-4</v>
      </c>
      <c r="BA13">
        <f>INDEX($B$27:$GQ$27,MATCH(52,$B$29:$GQ$29,0))</f>
        <v>2.2385549586633201E-4</v>
      </c>
      <c r="BB13">
        <f>INDEX($B$27:$GQ$27,MATCH(53,$B$29:$GQ$29,0))</f>
        <v>2.0647916937264229E-4</v>
      </c>
      <c r="BC13">
        <f>INDEX($B$27:$GQ$27,MATCH(54,$B$29:$GQ$29,0))</f>
        <v>1.9601622458487351E-4</v>
      </c>
      <c r="BD13">
        <f>INDEX($B$27:$GQ$27,MATCH(55,$B$29:$GQ$29,0))</f>
        <v>1.721932860464852E-4</v>
      </c>
      <c r="BE13">
        <f>INDEX($B$27:$GQ$27,MATCH(56,$B$29:$GQ$29,0))</f>
        <v>1.7181827709747459E-4</v>
      </c>
      <c r="BF13">
        <f>INDEX($B$27:$GQ$27,MATCH(57,$B$29:$GQ$29,0))</f>
        <v>1.4189578790688471E-4</v>
      </c>
      <c r="BG13">
        <f>INDEX($B$27:$GQ$27,MATCH(58,$B$29:$GQ$29,0))</f>
        <v>1.4137764100834079E-4</v>
      </c>
      <c r="BH13">
        <f>INDEX($B$27:$GQ$27,MATCH(59,$B$29:$GQ$29,0))</f>
        <v>1.4008920412927089E-4</v>
      </c>
      <c r="BI13">
        <f>INDEX($B$27:$GQ$27,MATCH(60,$B$29:$GQ$29,0))</f>
        <v>1.3869073545416631E-4</v>
      </c>
      <c r="BJ13">
        <f>INDEX($B$27:$GQ$27,MATCH(61,$B$29:$GQ$29,0))</f>
        <v>1.367265700157152E-4</v>
      </c>
      <c r="BK13">
        <f>INDEX($B$27:$GQ$27,MATCH(62,$B$29:$GQ$29,0))</f>
        <v>1.2223535511869359E-4</v>
      </c>
      <c r="BL13">
        <f>INDEX($B$27:$GQ$27,MATCH(63,$B$29:$GQ$29,0))</f>
        <v>1.19711514830991E-4</v>
      </c>
      <c r="BM13">
        <f>INDEX($B$27:$GQ$27,MATCH(64,$B$29:$GQ$29,0))</f>
        <v>1.148799623256039E-4</v>
      </c>
      <c r="BN13">
        <f>INDEX($B$27:$GQ$27,MATCH(65,$B$29:$GQ$29,0))</f>
        <v>1.1213154453128411E-4</v>
      </c>
      <c r="BO13">
        <f>INDEX($B$27:$GQ$27,MATCH(66,$B$29:$GQ$29,0))</f>
        <v>9.2845373221784976E-5</v>
      </c>
      <c r="BP13">
        <f>INDEX($B$27:$GQ$27,MATCH(67,$B$29:$GQ$29,0))</f>
        <v>9.0919046209013979E-5</v>
      </c>
      <c r="BQ13">
        <f>INDEX($B$27:$GQ$27,MATCH(68,$B$29:$GQ$29,0))</f>
        <v>8.9353451484291613E-5</v>
      </c>
      <c r="BR13">
        <f>INDEX($B$27:$GQ$27,MATCH(69,$B$29:$GQ$29,0))</f>
        <v>8.9291216426310409E-5</v>
      </c>
      <c r="BS13">
        <f>INDEX($B$27:$GQ$27,MATCH(70,$B$29:$GQ$29,0))</f>
        <v>8.7317257348147801E-5</v>
      </c>
      <c r="BT13">
        <f>INDEX($B$27:$GQ$27,MATCH(71,$B$29:$GQ$29,0))</f>
        <v>8.6068719788552238E-5</v>
      </c>
      <c r="BU13">
        <f>INDEX($B$27:$GQ$27,MATCH(72,$B$29:$GQ$29,0))</f>
        <v>8.5501909643831214E-5</v>
      </c>
      <c r="BV13">
        <f>INDEX($B$27:$GQ$27,MATCH(73,$B$29:$GQ$29,0))</f>
        <v>7.8146711390986206E-5</v>
      </c>
      <c r="BW13">
        <f>INDEX($B$27:$GQ$27,MATCH(74,$B$29:$GQ$29,0))</f>
        <v>6.8173045442255169E-5</v>
      </c>
      <c r="BX13">
        <f>INDEX($B$27:$GQ$27,MATCH(75,$B$29:$GQ$29,0))</f>
        <v>6.549211913070716E-5</v>
      </c>
      <c r="BY13">
        <f>INDEX($B$27:$GQ$27,MATCH(76,$B$29:$GQ$29,0))</f>
        <v>5.3401366261998153E-5</v>
      </c>
      <c r="BZ13">
        <f>INDEX($B$27:$GQ$27,MATCH(77,$B$29:$GQ$29,0))</f>
        <v>4.1444267164893857E-5</v>
      </c>
      <c r="CA13">
        <f>INDEX($B$27:$GQ$27,MATCH(78,$B$29:$GQ$29,0))</f>
        <v>3.2202347944439158E-5</v>
      </c>
      <c r="CB13">
        <f>INDEX($B$27:$GQ$27,MATCH(79,$B$29:$GQ$29,0))</f>
        <v>3.1897550622994577E-5</v>
      </c>
      <c r="CC13">
        <f>INDEX($B$27:$GQ$27,MATCH(80,$B$29:$GQ$29,0))</f>
        <v>2.562370539585975E-5</v>
      </c>
      <c r="CD13">
        <f>INDEX($B$27:$GQ$27,MATCH(81,$B$29:$GQ$29,0))</f>
        <v>2.420362059455857E-5</v>
      </c>
      <c r="CE13">
        <f>INDEX($B$27:$GQ$27,MATCH(82,$B$29:$GQ$29,0))</f>
        <v>2.3958568400066242E-5</v>
      </c>
      <c r="CF13">
        <f>INDEX($B$27:$GQ$27,MATCH(83,$B$29:$GQ$29,0))</f>
        <v>2.1787686522806719E-5</v>
      </c>
      <c r="CG13">
        <f>INDEX($B$27:$GQ$27,MATCH(84,$B$29:$GQ$29,0))</f>
        <v>2.0895851034636929E-5</v>
      </c>
      <c r="CH13">
        <f>INDEX($B$27:$GQ$27,MATCH(85,$B$29:$GQ$29,0))</f>
        <v>1.8262611709895539E-5</v>
      </c>
      <c r="CI13">
        <f>INDEX($B$27:$GQ$27,MATCH(86,$B$29:$GQ$29,0))</f>
        <v>1.608694475660082E-5</v>
      </c>
      <c r="CJ13">
        <f>INDEX($B$27:$GQ$27,MATCH(87,$B$29:$GQ$29,0))</f>
        <v>1.548368305462844E-5</v>
      </c>
      <c r="CK13">
        <f>INDEX($B$27:$GQ$27,MATCH(88,$B$29:$GQ$29,0))</f>
        <v>1.4743342244804101E-5</v>
      </c>
      <c r="CL13">
        <f>INDEX($B$27:$GQ$27,MATCH(89,$B$29:$GQ$29,0))</f>
        <v>1.33748997109231E-5</v>
      </c>
      <c r="CM13">
        <f>INDEX($B$27:$GQ$27,MATCH(90,$B$29:$GQ$29,0))</f>
        <v>1.331854966454451E-5</v>
      </c>
      <c r="CN13">
        <f>INDEX($B$27:$GQ$27,MATCH(91,$B$29:$GQ$29,0))</f>
        <v>1.272478638167194E-5</v>
      </c>
      <c r="CO13">
        <f>INDEX($B$27:$GQ$27,MATCH(92,$B$29:$GQ$29,0))</f>
        <v>1.171310885408701E-5</v>
      </c>
      <c r="CP13">
        <f>INDEX($B$27:$GQ$27,MATCH(93,$B$29:$GQ$29,0))</f>
        <v>9.2486382260817338E-6</v>
      </c>
      <c r="CQ13">
        <f>INDEX($B$27:$GQ$27,MATCH(94,$B$29:$GQ$29,0))</f>
        <v>8.7681213591574897E-6</v>
      </c>
      <c r="CR13">
        <f>INDEX($B$27:$GQ$27,MATCH(95,$B$29:$GQ$29,0))</f>
        <v>8.5767606029218342E-6</v>
      </c>
      <c r="CS13">
        <f>INDEX($B$27:$GQ$27,MATCH(96,$B$29:$GQ$29,0))</f>
        <v>7.9662185483683416E-6</v>
      </c>
      <c r="CT13">
        <f>INDEX($B$27:$GQ$27,MATCH(97,$B$29:$GQ$29,0))</f>
        <v>7.3088201908939967E-6</v>
      </c>
      <c r="CU13">
        <f>INDEX($B$27:$GQ$27,MATCH(98,$B$29:$GQ$29,0))</f>
        <v>6.0398530670200252E-6</v>
      </c>
      <c r="CV13">
        <f>INDEX($B$27:$GQ$27,MATCH(99,$B$29:$GQ$29,0))</f>
        <v>5.9188265146134647E-6</v>
      </c>
      <c r="CW13">
        <f>INDEX($B$27:$GQ$27,MATCH(100,$B$29:$GQ$29,0))</f>
        <v>5.0890750880876082E-6</v>
      </c>
      <c r="CX13">
        <f>INDEX($B$27:$GQ$27,MATCH(101,$B$29:$GQ$29,0))</f>
        <v>4.829800906281993E-6</v>
      </c>
      <c r="CY13">
        <f>INDEX($B$27:$GQ$27,MATCH(102,$B$29:$GQ$29,0))</f>
        <v>4.1349012623339814E-6</v>
      </c>
      <c r="CZ13">
        <f>INDEX($B$27:$GQ$27,MATCH(103,$B$29:$GQ$29,0))</f>
        <v>4.032251302967576E-6</v>
      </c>
      <c r="DA13">
        <f>INDEX($B$27:$GQ$27,MATCH(104,$B$29:$GQ$29,0))</f>
        <v>3.7902120351041892E-6</v>
      </c>
      <c r="DB13">
        <f>INDEX($B$27:$GQ$27,MATCH(105,$B$29:$GQ$29,0))</f>
        <v>3.310843183765934E-6</v>
      </c>
      <c r="DC13">
        <f>INDEX($B$27:$GQ$27,MATCH(106,$B$29:$GQ$29,0))</f>
        <v>3.1247049731519171E-6</v>
      </c>
      <c r="DD13">
        <f>INDEX($B$27:$GQ$27,MATCH(107,$B$29:$GQ$29,0))</f>
        <v>3.0382145266189672E-6</v>
      </c>
      <c r="DE13">
        <f>INDEX($B$27:$GQ$27,MATCH(108,$B$29:$GQ$29,0))</f>
        <v>2.7587277670263262E-6</v>
      </c>
      <c r="DF13">
        <f>INDEX($B$27:$GQ$27,MATCH(109,$B$29:$GQ$29,0))</f>
        <v>1.8178026797210199E-6</v>
      </c>
      <c r="DG13">
        <f>INDEX($B$27:$GQ$27,MATCH(110,$B$29:$GQ$29,0))</f>
        <v>1.7001108485952901E-6</v>
      </c>
      <c r="DH13">
        <f>INDEX($B$27:$GQ$27,MATCH(111,$B$29:$GQ$29,0))</f>
        <v>1.3232981057815331E-6</v>
      </c>
      <c r="DI13">
        <f>INDEX($B$27:$GQ$27,MATCH(112,$B$29:$GQ$29,0))</f>
        <v>1.085213578439458E-6</v>
      </c>
      <c r="DJ13">
        <f>INDEX($B$27:$GQ$27,MATCH(113,$B$29:$GQ$29,0))</f>
        <v>9.943402175221427E-7</v>
      </c>
      <c r="DK13">
        <f>INDEX($B$27:$GQ$27,MATCH(114,$B$29:$GQ$29,0))</f>
        <v>9.6959720624707446E-7</v>
      </c>
      <c r="DL13">
        <f>INDEX($B$27:$GQ$27,MATCH(115,$B$29:$GQ$29,0))</f>
        <v>6.4299051539811685E-7</v>
      </c>
      <c r="DM13">
        <f>INDEX($B$27:$GQ$27,MATCH(116,$B$29:$GQ$29,0))</f>
        <v>5.0437419768759222E-7</v>
      </c>
      <c r="DN13">
        <f>INDEX($B$27:$GQ$27,MATCH(117,$B$29:$GQ$29,0))</f>
        <v>4.1061453115733671E-7</v>
      </c>
      <c r="DO13">
        <f>INDEX($B$27:$GQ$27,MATCH(118,$B$29:$GQ$29,0))</f>
        <v>3.5500825758133002E-7</v>
      </c>
      <c r="DP13">
        <f>INDEX($B$27:$GQ$27,MATCH(119,$B$29:$GQ$29,0))</f>
        <v>3.3365196895892242E-7</v>
      </c>
      <c r="DQ13">
        <f>INDEX($B$27:$GQ$27,MATCH(120,$B$29:$GQ$29,0))</f>
        <v>2.8262632036207443E-7</v>
      </c>
      <c r="DR13">
        <f>INDEX($B$27:$GQ$27,MATCH(121,$B$29:$GQ$29,0))</f>
        <v>2.7554163345753902E-7</v>
      </c>
      <c r="DS13">
        <f>INDEX($B$27:$GQ$27,MATCH(122,$B$29:$GQ$29,0))</f>
        <v>2.3438223163018529E-7</v>
      </c>
      <c r="DT13">
        <f>INDEX($B$27:$GQ$27,MATCH(123,$B$29:$GQ$29,0))</f>
        <v>2.3225771812006771E-7</v>
      </c>
      <c r="DU13">
        <f>INDEX($B$27:$GQ$27,MATCH(124,$B$29:$GQ$29,0))</f>
        <v>1.870418789361591E-7</v>
      </c>
      <c r="DV13">
        <f>INDEX($B$27:$GQ$27,MATCH(125,$B$29:$GQ$29,0))</f>
        <v>1.202667606171472E-7</v>
      </c>
      <c r="DW13">
        <f>INDEX($B$27:$GQ$27,MATCH(126,$B$29:$GQ$29,0))</f>
        <v>9.1022333674426131E-8</v>
      </c>
      <c r="DX13">
        <f>INDEX($B$27:$GQ$27,MATCH(127,$B$29:$GQ$29,0))</f>
        <v>2.3669964156301582E-8</v>
      </c>
      <c r="DY13">
        <f>INDEX($B$27:$GQ$27,MATCH(128,$B$29:$GQ$29,0))</f>
        <v>7.5368226412684672E-9</v>
      </c>
      <c r="DZ13">
        <f>INDEX($B$27:$GQ$27,MATCH(129,$B$29:$GQ$29,0))</f>
        <v>5.032987208059001E-9</v>
      </c>
      <c r="EA13">
        <f>INDEX($B$27:$GQ$27,MATCH(130,$B$29:$GQ$29,0))</f>
        <v>3.6042739139961789E-9</v>
      </c>
      <c r="EB13">
        <f>INDEX($B$27:$GQ$27,MATCH(131,$B$29:$GQ$29,0))</f>
        <v>1.1167752236631459E-9</v>
      </c>
      <c r="EC13">
        <f>INDEX($B$27:$GQ$27,MATCH(132,$B$29:$GQ$29,0))</f>
        <v>3.2632299085742301E-10</v>
      </c>
      <c r="ED13">
        <f>INDEX($B$27:$GQ$27,MATCH(133,$B$29:$GQ$29,0))</f>
        <v>3.8272533744830442E-11</v>
      </c>
      <c r="EE13">
        <f>INDEX($B$27:$GQ$27,MATCH(134,$B$29:$GQ$29,0))</f>
        <v>0</v>
      </c>
      <c r="EF13">
        <f>INDEX($B$27:$GQ$27,MATCH(135,$B$29:$GQ$29,0))</f>
        <v>0</v>
      </c>
      <c r="EG13">
        <f>INDEX($B$27:$GQ$27,MATCH(136,$B$29:$GQ$29,0))</f>
        <v>0</v>
      </c>
      <c r="EH13">
        <f>INDEX($B$27:$GQ$27,MATCH(137,$B$29:$GQ$29,0))</f>
        <v>0</v>
      </c>
      <c r="EI13">
        <f>INDEX($B$27:$GQ$27,MATCH(138,$B$29:$GQ$29,0))</f>
        <v>0</v>
      </c>
      <c r="EJ13">
        <f>INDEX($B$27:$GQ$27,MATCH(139,$B$29:$GQ$29,0))</f>
        <v>0</v>
      </c>
      <c r="EK13">
        <f>INDEX($B$27:$GQ$27,MATCH(140,$B$29:$GQ$29,0))</f>
        <v>0</v>
      </c>
      <c r="EL13">
        <f>INDEX($B$27:$GQ$27,MATCH(141,$B$29:$GQ$29,0))</f>
        <v>0</v>
      </c>
      <c r="EM13">
        <f>INDEX($B$27:$GQ$27,MATCH(142,$B$29:$GQ$29,0))</f>
        <v>0</v>
      </c>
      <c r="EN13">
        <f>INDEX($B$27:$GQ$27,MATCH(143,$B$29:$GQ$29,0))</f>
        <v>0</v>
      </c>
      <c r="EO13">
        <f>INDEX($B$27:$GQ$27,MATCH(144,$B$29:$GQ$29,0))</f>
        <v>0</v>
      </c>
      <c r="EP13">
        <f>INDEX($B$27:$GQ$27,MATCH(145,$B$29:$GQ$29,0))</f>
        <v>0</v>
      </c>
      <c r="EQ13">
        <f>INDEX($B$27:$GQ$27,MATCH(146,$B$29:$GQ$29,0))</f>
        <v>0</v>
      </c>
      <c r="ER13">
        <f>INDEX($B$27:$GQ$27,MATCH(147,$B$29:$GQ$29,0))</f>
        <v>0</v>
      </c>
      <c r="ES13">
        <f>INDEX($B$27:$GQ$27,MATCH(148,$B$29:$GQ$29,0))</f>
        <v>0</v>
      </c>
      <c r="ET13">
        <f>INDEX($B$27:$GQ$27,MATCH(149,$B$29:$GQ$29,0))</f>
        <v>0</v>
      </c>
      <c r="EU13">
        <f>INDEX($B$27:$GQ$27,MATCH(150,$B$29:$GQ$29,0))</f>
        <v>0</v>
      </c>
      <c r="EV13">
        <f>INDEX($B$27:$GQ$27,MATCH(151,$B$29:$GQ$29,0))</f>
        <v>0</v>
      </c>
      <c r="EW13">
        <f>INDEX($B$27:$GQ$27,MATCH(152,$B$29:$GQ$29,0))</f>
        <v>0</v>
      </c>
      <c r="EX13">
        <f>INDEX($B$27:$GQ$27,MATCH(153,$B$29:$GQ$29,0))</f>
        <v>0</v>
      </c>
      <c r="EY13">
        <f>INDEX($B$27:$GQ$27,MATCH(154,$B$29:$GQ$29,0))</f>
        <v>0</v>
      </c>
      <c r="EZ13">
        <f>INDEX($B$27:$GQ$27,MATCH(155,$B$29:$GQ$29,0))</f>
        <v>0</v>
      </c>
      <c r="FA13">
        <f>INDEX($B$27:$GQ$27,MATCH(156,$B$29:$GQ$29,0))</f>
        <v>0</v>
      </c>
      <c r="FB13">
        <f>INDEX($B$27:$GQ$27,MATCH(157,$B$29:$GQ$29,0))</f>
        <v>0</v>
      </c>
      <c r="FC13">
        <f>INDEX($B$27:$GQ$27,MATCH(158,$B$29:$GQ$29,0))</f>
        <v>0</v>
      </c>
      <c r="FD13">
        <f>INDEX($B$27:$GQ$27,MATCH(159,$B$29:$GQ$29,0))</f>
        <v>0</v>
      </c>
      <c r="FE13">
        <f>INDEX($B$27:$GQ$27,MATCH(160,$B$29:$GQ$29,0))</f>
        <v>0</v>
      </c>
      <c r="FF13">
        <f>INDEX($B$27:$GQ$27,MATCH(161,$B$29:$GQ$29,0))</f>
        <v>0</v>
      </c>
      <c r="FG13">
        <f>INDEX($B$27:$GQ$27,MATCH(162,$B$29:$GQ$29,0))</f>
        <v>0</v>
      </c>
      <c r="FH13">
        <f>INDEX($B$27:$GQ$27,MATCH(163,$B$29:$GQ$29,0))</f>
        <v>0</v>
      </c>
      <c r="FI13">
        <f>INDEX($B$27:$GQ$27,MATCH(164,$B$29:$GQ$29,0))</f>
        <v>0</v>
      </c>
      <c r="FJ13">
        <f>INDEX($B$27:$GQ$27,MATCH(165,$B$29:$GQ$29,0))</f>
        <v>0</v>
      </c>
      <c r="FK13">
        <f>INDEX($B$27:$GQ$27,MATCH(166,$B$29:$GQ$29,0))</f>
        <v>0</v>
      </c>
      <c r="FL13">
        <f>INDEX($B$27:$GQ$27,MATCH(167,$B$29:$GQ$29,0))</f>
        <v>0</v>
      </c>
      <c r="FM13">
        <f>INDEX($B$27:$GQ$27,MATCH(168,$B$29:$GQ$29,0))</f>
        <v>0</v>
      </c>
      <c r="FN13">
        <f>INDEX($B$27:$GQ$27,MATCH(169,$B$29:$GQ$29,0))</f>
        <v>0</v>
      </c>
      <c r="FO13">
        <f>INDEX($B$27:$GQ$27,MATCH(170,$B$29:$GQ$29,0))</f>
        <v>0</v>
      </c>
      <c r="FP13">
        <f>INDEX($B$27:$GQ$27,MATCH(171,$B$29:$GQ$29,0))</f>
        <v>0</v>
      </c>
      <c r="FQ13">
        <f>INDEX($B$27:$GQ$27,MATCH(172,$B$29:$GQ$29,0))</f>
        <v>0</v>
      </c>
      <c r="FR13">
        <f>INDEX($B$27:$GQ$27,MATCH(173,$B$29:$GQ$29,0))</f>
        <v>0</v>
      </c>
      <c r="FS13">
        <f>INDEX($B$27:$GQ$27,MATCH(174,$B$29:$GQ$29,0))</f>
        <v>0</v>
      </c>
      <c r="FT13">
        <f>INDEX($B$27:$GQ$27,MATCH(175,$B$29:$GQ$29,0))</f>
        <v>0</v>
      </c>
      <c r="FU13">
        <f>INDEX($B$27:$GQ$27,MATCH(176,$B$29:$GQ$29,0))</f>
        <v>0</v>
      </c>
      <c r="FV13">
        <f>INDEX($B$27:$GQ$27,MATCH(177,$B$29:$GQ$29,0))</f>
        <v>0</v>
      </c>
      <c r="FW13">
        <f>INDEX($B$27:$GQ$27,MATCH(178,$B$29:$GQ$29,0))</f>
        <v>0</v>
      </c>
      <c r="FX13">
        <f>INDEX($B$27:$GQ$27,MATCH(179,$B$29:$GQ$29,0))</f>
        <v>0</v>
      </c>
      <c r="FY13">
        <f>INDEX($B$27:$GQ$27,MATCH(180,$B$29:$GQ$29,0))</f>
        <v>0</v>
      </c>
      <c r="FZ13">
        <f>INDEX($B$27:$GQ$27,MATCH(181,$B$29:$GQ$29,0))</f>
        <v>0</v>
      </c>
      <c r="GA13">
        <f>INDEX($B$27:$GQ$27,MATCH(182,$B$29:$GQ$29,0))</f>
        <v>0</v>
      </c>
      <c r="GB13">
        <f>INDEX($B$27:$GQ$27,MATCH(183,$B$29:$GQ$29,0))</f>
        <v>0</v>
      </c>
      <c r="GC13">
        <f>INDEX($B$27:$GQ$27,MATCH(184,$B$29:$GQ$29,0))</f>
        <v>0</v>
      </c>
      <c r="GD13">
        <f>INDEX($B$27:$GQ$27,MATCH(185,$B$29:$GQ$29,0))</f>
        <v>0</v>
      </c>
      <c r="GE13">
        <f>INDEX($B$27:$GQ$27,MATCH(186,$B$29:$GQ$29,0))</f>
        <v>0</v>
      </c>
      <c r="GF13">
        <f>INDEX($B$27:$GQ$27,MATCH(187,$B$29:$GQ$29,0))</f>
        <v>0</v>
      </c>
      <c r="GG13">
        <f>INDEX($B$27:$GQ$27,MATCH(188,$B$29:$GQ$29,0))</f>
        <v>0</v>
      </c>
      <c r="GH13">
        <f>INDEX($B$27:$GQ$27,MATCH(189,$B$29:$GQ$29,0))</f>
        <v>0</v>
      </c>
      <c r="GI13">
        <f>INDEX($B$27:$GQ$27,MATCH(190,$B$29:$GQ$29,0))</f>
        <v>0</v>
      </c>
      <c r="GJ13">
        <f>INDEX($B$27:$GQ$27,MATCH(191,$B$29:$GQ$29,0))</f>
        <v>0</v>
      </c>
      <c r="GK13">
        <f>INDEX($B$27:$GQ$27,MATCH(192,$B$29:$GQ$29,0))</f>
        <v>0</v>
      </c>
      <c r="GL13">
        <f>INDEX($B$27:$GQ$27,MATCH(193,$B$29:$GQ$29,0))</f>
        <v>0</v>
      </c>
      <c r="GM13">
        <f>INDEX($B$27:$GQ$27,MATCH(194,$B$29:$GQ$29,0))</f>
        <v>0</v>
      </c>
      <c r="GN13">
        <f>INDEX($B$27:$GQ$27,MATCH(195,$B$29:$GQ$29,0))</f>
        <v>0</v>
      </c>
      <c r="GO13">
        <f>INDEX($B$27:$GQ$27,MATCH(196,$B$29:$GQ$29,0))</f>
        <v>0</v>
      </c>
      <c r="GP13">
        <f>INDEX($B$27:$GQ$27,MATCH(197,$B$29:$GQ$29,0))</f>
        <v>0</v>
      </c>
      <c r="GQ13">
        <f>INDEX($B$27:$GQ$27,MATCH(198,$B$29:$GQ$29,0))</f>
        <v>0</v>
      </c>
      <c r="GR13">
        <f>INDEX($GR$27:$HC$27,MATCH(1,$GR$30:$HC$30,0))</f>
        <v>3.4089425650172797E-2</v>
      </c>
      <c r="GS13">
        <f>INDEX($GR$27:$HC$27,MATCH(2,$GR$30:$HC$30,0))</f>
        <v>1.976950078072948E-2</v>
      </c>
      <c r="GT13">
        <f>INDEX($GR$27:$HC$27,MATCH(3,$GR$30:$HC$30,0))</f>
        <v>1.9546163840153129E-2</v>
      </c>
      <c r="GU13">
        <f>INDEX($GR$27:$HC$27,MATCH(4,$GR$30:$HC$30,0))</f>
        <v>1.3755668739310639E-2</v>
      </c>
      <c r="GV13">
        <f>INDEX($GR$27:$HC$27,MATCH(5,$GR$30:$HC$30,0))</f>
        <v>1.1121152794790951E-2</v>
      </c>
      <c r="GW13">
        <f>INDEX($GR$27:$HC$27,MATCH(6,$GR$30:$HC$30,0))</f>
        <v>9.0102381821925009E-3</v>
      </c>
      <c r="GX13">
        <f>INDEX($GR$27:$HC$27,MATCH(7,$GR$30:$HC$30,0))</f>
        <v>8.5097975492193674E-3</v>
      </c>
      <c r="GY13">
        <f>INDEX($GR$27:$HC$27,MATCH(8,$GR$30:$HC$30,0))</f>
        <v>8.006957108337133E-3</v>
      </c>
      <c r="GZ13">
        <f>INDEX($GR$27:$HC$27,MATCH(9,$GR$30:$HC$30,0))</f>
        <v>7.3600732129008584E-3</v>
      </c>
      <c r="HA13">
        <f>INDEX($GR$27:$HC$27,MATCH(10,$GR$30:$HC$30,0))</f>
        <v>6.2310937125578496E-3</v>
      </c>
      <c r="HB13">
        <f>INDEX($GR$27:$HC$27,MATCH(11,$GR$30:$HC$30,0))</f>
        <v>5.9742320256622253E-3</v>
      </c>
      <c r="HC13">
        <f>INDEX($GR$27:$HC$27,MATCH(12,$GR$30:$HC$30,0))</f>
        <v>4.9675054601447206E-3</v>
      </c>
    </row>
    <row r="14" spans="1:211" x14ac:dyDescent="0.45">
      <c r="A14" s="2" t="str">
        <f>"Part de "&amp;$B$1&amp;" (%)"</f>
        <v>Part de M_imp*Y_dom+M_dom*Y_dom+M_row*Y_imp (%)</v>
      </c>
      <c r="B14" s="3">
        <f>IFERROR(INDEX($B$28:$GQ$28,MATCH(1,$B$29:$GQ$29,0))/SUM($B$28:$GQ$28)*100,0)</f>
        <v>16.648522579812834</v>
      </c>
      <c r="C14" s="3">
        <f>IFERROR(INDEX($B$28:$GQ$28,MATCH(2,$B$29:$GQ$29,0))/SUM($B$28:$GQ$28)*100,0)</f>
        <v>7.8468961334059344</v>
      </c>
      <c r="D14" s="3">
        <f>IFERROR(INDEX($B$28:$GQ$28,MATCH(3,$B$29:$GQ$29,0))/SUM($B$28:$GQ$28)*100,0)</f>
        <v>6.0007580493198409</v>
      </c>
      <c r="E14" s="3">
        <f>IFERROR(INDEX($B$28:$GQ$28,MATCH(4,$B$29:$GQ$29,0))/SUM($B$28:$GQ$28)*100,0)</f>
        <v>5.7471450666721902</v>
      </c>
      <c r="F14" s="3">
        <f>IFERROR(INDEX($B$28:$GQ$28,MATCH(5,$B$29:$GQ$29,0))/SUM($B$28:$GQ$28)*100,0)</f>
        <v>5.5685153135011225</v>
      </c>
      <c r="G14" s="3">
        <f>IFERROR(INDEX($B$28:$GQ$28,MATCH(6,$B$29:$GQ$29,0))/SUM($B$28:$GQ$28)*100,0)</f>
        <v>5.1931423928414748</v>
      </c>
      <c r="H14" s="3">
        <f>IFERROR(INDEX($B$28:$GQ$28,MATCH(7,$B$29:$GQ$29,0))/SUM($B$28:$GQ$28)*100,0)</f>
        <v>3.3661861795248313</v>
      </c>
      <c r="I14" s="3">
        <f>IFERROR(INDEX($B$28:$GQ$28,MATCH(8,$B$29:$GQ$29,0))/SUM($B$28:$GQ$28)*100,0)</f>
        <v>3.2555338514163887</v>
      </c>
      <c r="J14" s="3">
        <f>IFERROR(INDEX($B$28:$GQ$28,MATCH(9,$B$29:$GQ$29,0))/SUM($B$28:$GQ$28)*100,0)</f>
        <v>2.9708481095766133</v>
      </c>
      <c r="K14" s="3">
        <f>IFERROR(INDEX($B$28:$GQ$28,MATCH(10,$B$29:$GQ$29,0))/SUM($B$28:$GQ$28)*100,0)</f>
        <v>2.8095868341042043</v>
      </c>
      <c r="L14" s="3">
        <f>IFERROR(INDEX($B$28:$GQ$28,MATCH(11,$B$29:$GQ$29,0))/SUM($B$28:$GQ$28)*100,0)</f>
        <v>2.6693863546346908</v>
      </c>
      <c r="M14" s="3">
        <f>IFERROR(INDEX($B$28:$GQ$28,MATCH(12,$B$29:$GQ$29,0))/SUM($B$28:$GQ$28)*100,0)</f>
        <v>2.5968463863987767</v>
      </c>
      <c r="N14" s="3">
        <f>IFERROR(INDEX($B$28:$GQ$28,MATCH(13,$B$29:$GQ$29,0))/SUM($B$28:$GQ$28)*100,0)</f>
        <v>2.514543235570617</v>
      </c>
      <c r="O14" s="3">
        <f>IFERROR(INDEX($B$28:$GQ$28,MATCH(14,$B$29:$GQ$29,0))/SUM($B$28:$GQ$28)*100,0)</f>
        <v>2.4301039303227685</v>
      </c>
      <c r="P14" s="3">
        <f>IFERROR(INDEX($B$28:$GQ$28,MATCH(15,$B$29:$GQ$29,0))/SUM($B$28:$GQ$28)*100,0)</f>
        <v>2.3258670055369675</v>
      </c>
      <c r="Q14" s="3">
        <f>IFERROR(INDEX($B$28:$GQ$28,MATCH(16,$B$29:$GQ$29,0))/SUM($B$28:$GQ$28)*100,0)</f>
        <v>2.2791986155187969</v>
      </c>
      <c r="R14" s="3">
        <f>IFERROR(INDEX($B$28:$GQ$28,MATCH(17,$B$29:$GQ$29,0))/SUM($B$28:$GQ$28)*100,0)</f>
        <v>2.0428210148839687</v>
      </c>
      <c r="S14" s="3">
        <f>IFERROR(INDEX($B$28:$GQ$28,MATCH(18,$B$29:$GQ$29,0))/SUM($B$28:$GQ$28)*100,0)</f>
        <v>2.0288374241667717</v>
      </c>
      <c r="T14" s="3">
        <f>IFERROR(INDEX($B$28:$GQ$28,MATCH(19,$B$29:$GQ$29,0))/SUM($B$28:$GQ$28)*100,0)</f>
        <v>1.6315199977979256</v>
      </c>
      <c r="U14" s="3">
        <f>IFERROR(INDEX($B$28:$GQ$28,MATCH(20,$B$29:$GQ$29,0))/SUM($B$28:$GQ$28)*100,0)</f>
        <v>1.5465456741330601</v>
      </c>
      <c r="V14" s="3">
        <f>IFERROR(INDEX($B$28:$GQ$28,MATCH(21,$B$29:$GQ$29,0))/SUM($B$28:$GQ$28)*100,0)</f>
        <v>1.4834775535571136</v>
      </c>
      <c r="W14" s="3">
        <f>IFERROR(INDEX($B$28:$GQ$28,MATCH(22,$B$29:$GQ$29,0))/SUM($B$28:$GQ$28)*100,0)</f>
        <v>1.4515313984555553</v>
      </c>
      <c r="X14" s="3">
        <f>IFERROR(INDEX($B$28:$GQ$28,MATCH(23,$B$29:$GQ$29,0))/SUM($B$28:$GQ$28)*100,0)</f>
        <v>1.3875527550591986</v>
      </c>
      <c r="Y14" s="3">
        <f>IFERROR(INDEX($B$28:$GQ$28,MATCH(24,$B$29:$GQ$29,0))/SUM($B$28:$GQ$28)*100,0)</f>
        <v>0.94377484725621574</v>
      </c>
      <c r="Z14" s="3">
        <f>IFERROR(INDEX($B$28:$GQ$28,MATCH(25,$B$29:$GQ$29,0))/SUM($B$28:$GQ$28)*100,0)</f>
        <v>0.80595393090129219</v>
      </c>
      <c r="AA14" s="3">
        <f>IFERROR(INDEX($B$28:$GQ$28,MATCH(26,$B$29:$GQ$29,0))/SUM($B$28:$GQ$28)*100,0)</f>
        <v>0.78052298952273513</v>
      </c>
      <c r="AB14" s="3">
        <f>IFERROR(INDEX($B$28:$GQ$28,MATCH(27,$B$29:$GQ$29,0))/SUM($B$28:$GQ$28)*100,0)</f>
        <v>0.68733385249481027</v>
      </c>
      <c r="AC14" s="3">
        <f>IFERROR(INDEX($B$28:$GQ$28,MATCH(28,$B$29:$GQ$29,0))/SUM($B$28:$GQ$28)*100,0)</f>
        <v>0.65151867371090566</v>
      </c>
      <c r="AD14" s="3">
        <f>IFERROR(INDEX($B$28:$GQ$28,MATCH(29,$B$29:$GQ$29,0))/SUM($B$28:$GQ$28)*100,0)</f>
        <v>0.61915526829063117</v>
      </c>
      <c r="AE14" s="3">
        <f>IFERROR(INDEX($B$28:$GQ$28,MATCH(30,$B$29:$GQ$29,0))/SUM($B$28:$GQ$28)*100,0)</f>
        <v>0.50337546631872754</v>
      </c>
      <c r="AF14" s="3">
        <f>IFERROR(INDEX($B$28:$GQ$28,MATCH(31,$B$29:$GQ$29,0))/SUM($B$28:$GQ$28)*100,0)</f>
        <v>0.50276303743464124</v>
      </c>
      <c r="AG14" s="3">
        <f>IFERROR(INDEX($B$28:$GQ$28,MATCH(32,$B$29:$GQ$29,0))/SUM($B$28:$GQ$28)*100,0)</f>
        <v>0.48563604870787175</v>
      </c>
      <c r="AH14" s="3">
        <f>IFERROR(INDEX($B$28:$GQ$28,MATCH(33,$B$29:$GQ$29,0))/SUM($B$28:$GQ$28)*100,0)</f>
        <v>0.47972491959441532</v>
      </c>
      <c r="AI14" s="3">
        <f>IFERROR(INDEX($B$28:$GQ$28,MATCH(34,$B$29:$GQ$29,0))/SUM($B$28:$GQ$28)*100,0)</f>
        <v>0.44268443123244783</v>
      </c>
      <c r="AJ14" s="3">
        <f>IFERROR(INDEX($B$28:$GQ$28,MATCH(35,$B$29:$GQ$29,0))/SUM($B$28:$GQ$28)*100,0)</f>
        <v>0.43134430191814171</v>
      </c>
      <c r="AK14" s="3">
        <f>IFERROR(INDEX($B$28:$GQ$28,MATCH(36,$B$29:$GQ$29,0))/SUM($B$28:$GQ$28)*100,0)</f>
        <v>0.42950706527033089</v>
      </c>
      <c r="AL14" s="3">
        <f>IFERROR(INDEX($B$28:$GQ$28,MATCH(37,$B$29:$GQ$29,0))/SUM($B$28:$GQ$28)*100,0)</f>
        <v>0.41975603733575023</v>
      </c>
      <c r="AM14" s="3">
        <f>IFERROR(INDEX($B$28:$GQ$28,MATCH(38,$B$29:$GQ$29,0))/SUM($B$28:$GQ$28)*100,0)</f>
        <v>0.4193504133461764</v>
      </c>
      <c r="AN14" s="3">
        <f>IFERROR(INDEX($B$28:$GQ$28,MATCH(39,$B$29:$GQ$29,0))/SUM($B$28:$GQ$28)*100,0)</f>
        <v>0.34275533221540411</v>
      </c>
      <c r="AO14" s="3">
        <f>IFERROR(INDEX($B$28:$GQ$28,MATCH(40,$B$29:$GQ$29,0))/SUM($B$28:$GQ$28)*100,0)</f>
        <v>0.30239153716483536</v>
      </c>
      <c r="AP14" s="3">
        <f>IFERROR(INDEX($B$28:$GQ$28,MATCH(41,$B$29:$GQ$29,0))/SUM($B$28:$GQ$28)*100,0)</f>
        <v>0.28933442513647628</v>
      </c>
      <c r="AQ14" s="3">
        <f>IFERROR(INDEX($B$28:$GQ$28,MATCH(42,$B$29:$GQ$29,0))/SUM($B$28:$GQ$28)*100,0)</f>
        <v>0.28095951926513207</v>
      </c>
      <c r="AR14" s="3">
        <f>IFERROR(INDEX($B$28:$GQ$28,MATCH(43,$B$29:$GQ$29,0))/SUM($B$28:$GQ$28)*100,0)</f>
        <v>0.27551436510343064</v>
      </c>
      <c r="AS14" s="3">
        <f>IFERROR(INDEX($B$28:$GQ$28,MATCH(44,$B$29:$GQ$29,0))/SUM($B$28:$GQ$28)*100,0)</f>
        <v>0.257223249921194</v>
      </c>
      <c r="AT14" s="3">
        <f>IFERROR(INDEX($B$28:$GQ$28,MATCH(45,$B$29:$GQ$29,0))/SUM($B$28:$GQ$28)*100,0)</f>
        <v>0.22910397991932663</v>
      </c>
      <c r="AU14" s="3">
        <f>IFERROR(INDEX($B$28:$GQ$28,MATCH(46,$B$29:$GQ$29,0))/SUM($B$28:$GQ$28)*100,0)</f>
        <v>0.22032450250105631</v>
      </c>
      <c r="AV14" s="3">
        <f>IFERROR(INDEX($B$28:$GQ$28,MATCH(47,$B$29:$GQ$29,0))/SUM($B$28:$GQ$28)*100,0)</f>
        <v>0.21605998747998467</v>
      </c>
      <c r="AW14" s="3">
        <f>IFERROR(INDEX($B$28:$GQ$28,MATCH(48,$B$29:$GQ$29,0))/SUM($B$28:$GQ$28)*100,0)</f>
        <v>0.19826552628972222</v>
      </c>
      <c r="AX14" s="3">
        <f>IFERROR(INDEX($B$28:$GQ$28,MATCH(49,$B$29:$GQ$29,0))/SUM($B$28:$GQ$28)*100,0)</f>
        <v>0.18940413668273198</v>
      </c>
      <c r="AY14" s="3">
        <f>IFERROR(INDEX($B$28:$GQ$28,MATCH(50,$B$29:$GQ$29,0))/SUM($B$28:$GQ$28)*100,0)</f>
        <v>0.18081857793112013</v>
      </c>
      <c r="AZ14" s="3">
        <f>IFERROR(INDEX($B$28:$GQ$28,MATCH(51,$B$29:$GQ$29,0))/SUM($B$28:$GQ$28)*100,0)</f>
        <v>0.17744120785831216</v>
      </c>
      <c r="BA14" s="3">
        <f>IFERROR(INDEX($B$28:$GQ$28,MATCH(52,$B$29:$GQ$29,0))/SUM($B$28:$GQ$28)*100,0)</f>
        <v>0.15794862793162512</v>
      </c>
      <c r="BB14" s="3">
        <f>IFERROR(INDEX($B$28:$GQ$28,MATCH(53,$B$29:$GQ$29,0))/SUM($B$28:$GQ$28)*100,0)</f>
        <v>0.14568818769740782</v>
      </c>
      <c r="BC14" s="3">
        <f>IFERROR(INDEX($B$28:$GQ$28,MATCH(54,$B$29:$GQ$29,0))/SUM($B$28:$GQ$28)*100,0)</f>
        <v>0.13830571193125901</v>
      </c>
      <c r="BD14" s="3">
        <f>IFERROR(INDEX($B$28:$GQ$28,MATCH(55,$B$29:$GQ$29,0))/SUM($B$28:$GQ$28)*100,0)</f>
        <v>0.12149665195765576</v>
      </c>
      <c r="BE14" s="3">
        <f>IFERROR(INDEX($B$28:$GQ$28,MATCH(56,$B$29:$GQ$29,0))/SUM($B$28:$GQ$28)*100,0)</f>
        <v>0.12123205202577078</v>
      </c>
      <c r="BF14" s="3">
        <f>IFERROR(INDEX($B$28:$GQ$28,MATCH(57,$B$29:$GQ$29,0))/SUM($B$28:$GQ$28)*100,0)</f>
        <v>0.10011925292444937</v>
      </c>
      <c r="BG14" s="3">
        <f>IFERROR(INDEX($B$28:$GQ$28,MATCH(58,$B$29:$GQ$29,0))/SUM($B$28:$GQ$28)*100,0)</f>
        <v>9.9753657291537554E-2</v>
      </c>
      <c r="BH14" s="3">
        <f>IFERROR(INDEX($B$28:$GQ$28,MATCH(59,$B$29:$GQ$29,0))/SUM($B$28:$GQ$28)*100,0)</f>
        <v>9.884455815846506E-2</v>
      </c>
      <c r="BI14" s="3">
        <f>IFERROR(INDEX($B$28:$GQ$28,MATCH(60,$B$29:$GQ$29,0))/SUM($B$28:$GQ$28)*100,0)</f>
        <v>9.7857822462817795E-2</v>
      </c>
      <c r="BJ14" s="3">
        <f>IFERROR(INDEX($B$28:$GQ$28,MATCH(61,$B$29:$GQ$29,0))/SUM($B$28:$GQ$28)*100,0)</f>
        <v>9.6471940758938099E-2</v>
      </c>
      <c r="BK14" s="3">
        <f>IFERROR(INDEX($B$28:$GQ$28,MATCH(62,$B$29:$GQ$29,0))/SUM($B$28:$GQ$28)*100,0)</f>
        <v>8.6247186163618206E-2</v>
      </c>
      <c r="BL14" s="3">
        <f>IFERROR(INDEX($B$28:$GQ$28,MATCH(63,$B$29:$GQ$29,0))/SUM($B$28:$GQ$28)*100,0)</f>
        <v>8.4466407411600358E-2</v>
      </c>
      <c r="BM14" s="3">
        <f>IFERROR(INDEX($B$28:$GQ$28,MATCH(64,$B$29:$GQ$29,0))/SUM($B$28:$GQ$28)*100,0)</f>
        <v>8.105734619533618E-2</v>
      </c>
      <c r="BN14" s="3">
        <f>IFERROR(INDEX($B$28:$GQ$28,MATCH(65,$B$29:$GQ$29,0))/SUM($B$28:$GQ$28)*100,0)</f>
        <v>7.9118109376889303E-2</v>
      </c>
      <c r="BO14" s="3">
        <f>IFERROR(INDEX($B$28:$GQ$28,MATCH(66,$B$29:$GQ$29,0))/SUM($B$28:$GQ$28)*100,0)</f>
        <v>6.5510115145607992E-2</v>
      </c>
      <c r="BP14" s="3">
        <f>IFERROR(INDEX($B$28:$GQ$28,MATCH(67,$B$29:$GQ$29,0))/SUM($B$28:$GQ$28)*100,0)</f>
        <v>6.4150931590889804E-2</v>
      </c>
      <c r="BQ14" s="3">
        <f>IFERROR(INDEX($B$28:$GQ$28,MATCH(68,$B$29:$GQ$29,0))/SUM($B$28:$GQ$28)*100,0)</f>
        <v>6.3046274599066185E-2</v>
      </c>
      <c r="BR14" s="3">
        <f>IFERROR(INDEX($B$28:$GQ$28,MATCH(69,$B$29:$GQ$29,0))/SUM($B$28:$GQ$28)*100,0)</f>
        <v>6.3002362601376177E-2</v>
      </c>
      <c r="BS14" s="3">
        <f>IFERROR(INDEX($B$28:$GQ$28,MATCH(70,$B$29:$GQ$29,0))/SUM($B$28:$GQ$28)*100,0)</f>
        <v>6.1609570672000756E-2</v>
      </c>
      <c r="BT14" s="3">
        <f>IFERROR(INDEX($B$28:$GQ$28,MATCH(71,$B$29:$GQ$29,0))/SUM($B$28:$GQ$28)*100,0)</f>
        <v>6.0728623819675219E-2</v>
      </c>
      <c r="BU14" s="3">
        <f>IFERROR(INDEX($B$28:$GQ$28,MATCH(72,$B$29:$GQ$29,0))/SUM($B$28:$GQ$28)*100,0)</f>
        <v>6.0328692228494317E-2</v>
      </c>
      <c r="BV14" s="3">
        <f>IFERROR(INDEX($B$28:$GQ$28,MATCH(73,$B$29:$GQ$29,0))/SUM($B$28:$GQ$28)*100,0)</f>
        <v>5.5138989524497931E-2</v>
      </c>
      <c r="BW14" s="3">
        <f>IFERROR(INDEX($B$28:$GQ$28,MATCH(74,$B$29:$GQ$29,0))/SUM($B$28:$GQ$28)*100,0)</f>
        <v>4.8101740579798838E-2</v>
      </c>
      <c r="BX14" s="3">
        <f>IFERROR(INDEX($B$28:$GQ$28,MATCH(75,$B$29:$GQ$29,0))/SUM($B$28:$GQ$28)*100,0)</f>
        <v>4.6210124602911462E-2</v>
      </c>
      <c r="BY14" s="3">
        <f>IFERROR(INDEX($B$28:$GQ$28,MATCH(76,$B$29:$GQ$29,0))/SUM($B$28:$GQ$28)*100,0)</f>
        <v>3.7679095159643856E-2</v>
      </c>
      <c r="BZ14" s="3">
        <f>IFERROR(INDEX($B$28:$GQ$28,MATCH(77,$B$29:$GQ$29,0))/SUM($B$28:$GQ$28)*100,0)</f>
        <v>2.9242369542874465E-2</v>
      </c>
      <c r="CA14" s="3">
        <f>IFERROR(INDEX($B$28:$GQ$28,MATCH(78,$B$29:$GQ$29,0))/SUM($B$28:$GQ$28)*100,0)</f>
        <v>2.2721428635542999E-2</v>
      </c>
      <c r="CB14" s="3">
        <f>IFERROR(INDEX($B$28:$GQ$28,MATCH(79,$B$29:$GQ$29,0))/SUM($B$28:$GQ$28)*100,0)</f>
        <v>2.2506368833088326E-2</v>
      </c>
      <c r="CC14" s="3">
        <f>IFERROR(INDEX($B$28:$GQ$28,MATCH(80,$B$29:$GQ$29,0))/SUM($B$28:$GQ$28)*100,0)</f>
        <v>1.8079650419737282E-2</v>
      </c>
      <c r="CD14" s="3">
        <f>IFERROR(INDEX($B$28:$GQ$28,MATCH(81,$B$29:$GQ$29,0))/SUM($B$28:$GQ$28)*100,0)</f>
        <v>1.7077662753345522E-2</v>
      </c>
      <c r="CE14" s="3">
        <f>IFERROR(INDEX($B$28:$GQ$28,MATCH(82,$B$29:$GQ$29,0))/SUM($B$28:$GQ$28)*100,0)</f>
        <v>1.6904758095624684E-2</v>
      </c>
      <c r="CF14" s="3">
        <f>IFERROR(INDEX($B$28:$GQ$28,MATCH(83,$B$29:$GQ$29,0))/SUM($B$28:$GQ$28)*100,0)</f>
        <v>1.5373020790771928E-2</v>
      </c>
      <c r="CG14" s="3">
        <f>IFERROR(INDEX($B$28:$GQ$28,MATCH(84,$B$29:$GQ$29,0))/SUM($B$28:$GQ$28)*100,0)</f>
        <v>1.4743756849084914E-2</v>
      </c>
      <c r="CH14" s="3">
        <f>IFERROR(INDEX($B$28:$GQ$28,MATCH(85,$B$29:$GQ$29,0))/SUM($B$28:$GQ$28)*100,0)</f>
        <v>1.2885787998470443E-2</v>
      </c>
      <c r="CI14" s="3">
        <f>IFERROR(INDEX($B$28:$GQ$28,MATCH(86,$B$29:$GQ$29,0))/SUM($B$28:$GQ$28)*100,0)</f>
        <v>1.1350674425407775E-2</v>
      </c>
      <c r="CJ14" s="3">
        <f>IFERROR(INDEX($B$28:$GQ$28,MATCH(87,$B$29:$GQ$29,0))/SUM($B$28:$GQ$28)*100,0)</f>
        <v>1.0925023235824605E-2</v>
      </c>
      <c r="CK14" s="3">
        <f>IFERROR(INDEX($B$28:$GQ$28,MATCH(88,$B$29:$GQ$29,0))/SUM($B$28:$GQ$28)*100,0)</f>
        <v>1.0402651360785331E-2</v>
      </c>
      <c r="CL14" s="3">
        <f>IFERROR(INDEX($B$28:$GQ$28,MATCH(89,$B$29:$GQ$29,0))/SUM($B$28:$GQ$28)*100,0)</f>
        <v>9.4371015993497502E-3</v>
      </c>
      <c r="CM14" s="3">
        <f>IFERROR(INDEX($B$28:$GQ$28,MATCH(90,$B$29:$GQ$29,0))/SUM($B$28:$GQ$28)*100,0)</f>
        <v>9.3973419656854674E-3</v>
      </c>
      <c r="CN14" s="3">
        <f>IFERROR(INDEX($B$28:$GQ$28,MATCH(91,$B$29:$GQ$29,0))/SUM($B$28:$GQ$28)*100,0)</f>
        <v>8.9783926989589549E-3</v>
      </c>
      <c r="CO14" s="3">
        <f>IFERROR(INDEX($B$28:$GQ$28,MATCH(92,$B$29:$GQ$29,0))/SUM($B$28:$GQ$28)*100,0)</f>
        <v>8.2645702539352502E-3</v>
      </c>
      <c r="CP14" s="3">
        <f>IFERROR(INDEX($B$28:$GQ$28,MATCH(93,$B$29:$GQ$29,0))/SUM($B$28:$GQ$28)*100,0)</f>
        <v>6.5256817233464931E-3</v>
      </c>
      <c r="CQ14" s="3">
        <f>IFERROR(INDEX($B$28:$GQ$28,MATCH(94,$B$29:$GQ$29,0))/SUM($B$28:$GQ$28)*100,0)</f>
        <v>6.1866372002939646E-3</v>
      </c>
      <c r="CR14" s="3">
        <f>IFERROR(INDEX($B$28:$GQ$28,MATCH(95,$B$29:$GQ$29,0))/SUM($B$28:$GQ$28)*100,0)</f>
        <v>6.0516163075952758E-3</v>
      </c>
      <c r="CS14" s="3">
        <f>IFERROR(INDEX($B$28:$GQ$28,MATCH(96,$B$29:$GQ$29,0))/SUM($B$28:$GQ$28)*100,0)</f>
        <v>5.6208282251402342E-3</v>
      </c>
      <c r="CT14" s="3">
        <f>IFERROR(INDEX($B$28:$GQ$28,MATCH(97,$B$29:$GQ$29,0))/SUM($B$28:$GQ$28)*100,0)</f>
        <v>5.1569791328240971E-3</v>
      </c>
      <c r="CU14" s="3">
        <f>IFERROR(INDEX($B$28:$GQ$28,MATCH(98,$B$29:$GQ$29,0))/SUM($B$28:$GQ$28)*100,0)</f>
        <v>4.2616175276486076E-3</v>
      </c>
      <c r="CV14" s="3">
        <f>IFERROR(INDEX($B$28:$GQ$28,MATCH(99,$B$29:$GQ$29,0))/SUM($B$28:$GQ$28)*100,0)</f>
        <v>4.1762232521052193E-3</v>
      </c>
      <c r="CW14" s="3">
        <f>IFERROR(INDEX($B$28:$GQ$28,MATCH(100,$B$29:$GQ$29,0))/SUM($B$28:$GQ$28)*100,0)</f>
        <v>3.5907647676625383E-3</v>
      </c>
      <c r="CX14" s="3">
        <f>IFERROR(INDEX($B$28:$GQ$28,MATCH(101,$B$29:$GQ$29,0))/SUM($B$28:$GQ$28)*100,0)</f>
        <v>3.4078253177472913E-3</v>
      </c>
      <c r="CY14" s="3">
        <f>IFERROR(INDEX($B$28:$GQ$28,MATCH(102,$B$29:$GQ$29,0))/SUM($B$28:$GQ$28)*100,0)</f>
        <v>2.9175159559556921E-3</v>
      </c>
      <c r="CZ14" s="3">
        <f>IFERROR(INDEX($B$28:$GQ$28,MATCH(103,$B$29:$GQ$29,0))/SUM($B$28:$GQ$28)*100,0)</f>
        <v>2.8450878916974789E-3</v>
      </c>
      <c r="DA14" s="3">
        <f>IFERROR(INDEX($B$28:$GQ$28,MATCH(104,$B$29:$GQ$29,0))/SUM($B$28:$GQ$28)*100,0)</f>
        <v>2.674309103726936E-3</v>
      </c>
      <c r="DB14" s="3">
        <f>IFERROR(INDEX($B$28:$GQ$28,MATCH(105,$B$29:$GQ$29,0))/SUM($B$28:$GQ$28)*100,0)</f>
        <v>2.3360746009330104E-3</v>
      </c>
      <c r="DC14" s="3">
        <f>IFERROR(INDEX($B$28:$GQ$28,MATCH(106,$B$29:$GQ$29,0))/SUM($B$28:$GQ$28)*100,0)</f>
        <v>2.2047386475388293E-3</v>
      </c>
      <c r="DD14" s="3">
        <f>IFERROR(INDEX($B$28:$GQ$28,MATCH(107,$B$29:$GQ$29,0))/SUM($B$28:$GQ$28)*100,0)</f>
        <v>2.1437124605059666E-3</v>
      </c>
      <c r="DE14" s="3">
        <f>IFERROR(INDEX($B$28:$GQ$28,MATCH(108,$B$29:$GQ$29,0))/SUM($B$28:$GQ$28)*100,0)</f>
        <v>1.9465113597160483E-3</v>
      </c>
      <c r="DF14" s="3">
        <f>IFERROR(INDEX($B$28:$GQ$28,MATCH(109,$B$29:$GQ$29,0))/SUM($B$28:$GQ$28)*100,0)</f>
        <v>1.2826106323688851E-3</v>
      </c>
      <c r="DG14" s="3">
        <f>IFERROR(INDEX($B$28:$GQ$28,MATCH(110,$B$29:$GQ$29,0))/SUM($B$28:$GQ$28)*100,0)</f>
        <v>1.199569279405322E-3</v>
      </c>
      <c r="DH14" s="3">
        <f>IFERROR(INDEX($B$28:$GQ$28,MATCH(111,$B$29:$GQ$29,0))/SUM($B$28:$GQ$28)*100,0)</f>
        <v>9.3369662131287151E-4</v>
      </c>
      <c r="DI14" s="3">
        <f>IFERROR(INDEX($B$28:$GQ$28,MATCH(112,$B$29:$GQ$29,0))/SUM($B$28:$GQ$28)*100,0)</f>
        <v>7.6570823094569945E-4</v>
      </c>
      <c r="DJ14" s="3">
        <f>IFERROR(INDEX($B$28:$GQ$28,MATCH(113,$B$29:$GQ$29,0))/SUM($B$28:$GQ$28)*100,0)</f>
        <v>7.0158953411908259E-4</v>
      </c>
      <c r="DK14" s="3">
        <f>IFERROR(INDEX($B$28:$GQ$28,MATCH(114,$B$29:$GQ$29,0))/SUM($B$28:$GQ$28)*100,0)</f>
        <v>6.8413128648183287E-4</v>
      </c>
      <c r="DL14" s="3">
        <f>IFERROR(INDEX($B$28:$GQ$28,MATCH(115,$B$29:$GQ$29,0))/SUM($B$28:$GQ$28)*100,0)</f>
        <v>4.5368316416418894E-4</v>
      </c>
      <c r="DM14" s="3">
        <f>IFERROR(INDEX($B$28:$GQ$28,MATCH(116,$B$29:$GQ$29,0))/SUM($B$28:$GQ$28)*100,0)</f>
        <v>3.5587784959471765E-4</v>
      </c>
      <c r="DN14" s="3">
        <f>IFERROR(INDEX($B$28:$GQ$28,MATCH(117,$B$29:$GQ$29,0))/SUM($B$28:$GQ$28)*100,0)</f>
        <v>2.8972262465164363E-4</v>
      </c>
      <c r="DO14" s="3">
        <f>IFERROR(INDEX($B$28:$GQ$28,MATCH(118,$B$29:$GQ$29,0))/SUM($B$28:$GQ$28)*100,0)</f>
        <v>2.5048778441807935E-4</v>
      </c>
      <c r="DP14" s="3">
        <f>IFERROR(INDEX($B$28:$GQ$28,MATCH(119,$B$29:$GQ$29,0))/SUM($B$28:$GQ$28)*100,0)</f>
        <v>2.3541915064356954E-4</v>
      </c>
      <c r="DQ14" s="3">
        <f>IFERROR(INDEX($B$28:$GQ$28,MATCH(120,$B$29:$GQ$29,0))/SUM($B$28:$GQ$28)*100,0)</f>
        <v>1.9941632143447195E-4</v>
      </c>
      <c r="DR14" s="3">
        <f>IFERROR(INDEX($B$28:$GQ$28,MATCH(121,$B$29:$GQ$29,0))/SUM($B$28:$GQ$28)*100,0)</f>
        <v>1.9441748693382294E-4</v>
      </c>
      <c r="DS14" s="3">
        <f>IFERROR(INDEX($B$28:$GQ$28,MATCH(122,$B$29:$GQ$29,0))/SUM($B$28:$GQ$28)*100,0)</f>
        <v>1.653761135247964E-4</v>
      </c>
      <c r="DT14" s="3">
        <f>IFERROR(INDEX($B$28:$GQ$28,MATCH(123,$B$29:$GQ$29,0))/SUM($B$28:$GQ$28)*100,0)</f>
        <v>1.6387709295062367E-4</v>
      </c>
      <c r="DU14" s="3">
        <f>IFERROR(INDEX($B$28:$GQ$28,MATCH(124,$B$29:$GQ$29,0))/SUM($B$28:$GQ$28)*100,0)</f>
        <v>1.3197356638212763E-4</v>
      </c>
      <c r="DV14" s="3">
        <f>IFERROR(INDEX($B$28:$GQ$28,MATCH(125,$B$29:$GQ$29,0))/SUM($B$28:$GQ$28)*100,0)</f>
        <v>8.4858179388199749E-5</v>
      </c>
      <c r="DW14" s="3">
        <f>IFERROR(INDEX($B$28:$GQ$28,MATCH(126,$B$29:$GQ$29,0))/SUM($B$28:$GQ$28)*100,0)</f>
        <v>6.4223809468563737E-5</v>
      </c>
      <c r="DX14" s="3">
        <f>IFERROR(INDEX($B$28:$GQ$28,MATCH(127,$B$29:$GQ$29,0))/SUM($B$28:$GQ$28)*100,0)</f>
        <v>1.6701123853179762E-5</v>
      </c>
      <c r="DY14" s="3">
        <f>IFERROR(INDEX($B$28:$GQ$28,MATCH(128,$B$29:$GQ$29,0))/SUM($B$28:$GQ$28)*100,0)</f>
        <v>5.3178537812767751E-6</v>
      </c>
      <c r="DZ14" s="3">
        <f>IFERROR(INDEX($B$28:$GQ$28,MATCH(129,$B$29:$GQ$29,0))/SUM($B$28:$GQ$28)*100,0)</f>
        <v>3.5511901141128128E-6</v>
      </c>
      <c r="EA14" s="3">
        <f>IFERROR(INDEX($B$28:$GQ$28,MATCH(130,$B$29:$GQ$29,0))/SUM($B$28:$GQ$28)*100,0)</f>
        <v>2.5431143300827318E-6</v>
      </c>
      <c r="EB14" s="3">
        <f>IFERROR(INDEX($B$28:$GQ$28,MATCH(131,$B$29:$GQ$29,0))/SUM($B$28:$GQ$28)*100,0)</f>
        <v>7.8797759064604361E-7</v>
      </c>
      <c r="EC14" s="3">
        <f>IFERROR(INDEX($B$28:$GQ$28,MATCH(132,$B$29:$GQ$29,0))/SUM($B$28:$GQ$28)*100,0)</f>
        <v>2.3024794843210368E-7</v>
      </c>
      <c r="ED14" s="3">
        <f>IFERROR(INDEX($B$28:$GQ$28,MATCH(133,$B$29:$GQ$29,0))/SUM($B$28:$GQ$28)*100,0)</f>
        <v>2.7004448423604577E-8</v>
      </c>
      <c r="EE14" s="3">
        <f>IFERROR(INDEX($B$28:$GQ$28,MATCH(134,$B$29:$GQ$29,0))/SUM($B$28:$GQ$28)*100,0)</f>
        <v>0</v>
      </c>
      <c r="EF14" s="3">
        <f>IFERROR(INDEX($B$28:$GQ$28,MATCH(135,$B$29:$GQ$29,0))/SUM($B$28:$GQ$28)*100,0)</f>
        <v>0</v>
      </c>
      <c r="EG14" s="3">
        <f>IFERROR(INDEX($B$28:$GQ$28,MATCH(136,$B$29:$GQ$29,0))/SUM($B$28:$GQ$28)*100,0)</f>
        <v>0</v>
      </c>
      <c r="EH14" s="3">
        <f>IFERROR(INDEX($B$28:$GQ$28,MATCH(137,$B$29:$GQ$29,0))/SUM($B$28:$GQ$28)*100,0)</f>
        <v>0</v>
      </c>
      <c r="EI14" s="3">
        <f>IFERROR(INDEX($B$28:$GQ$28,MATCH(138,$B$29:$GQ$29,0))/SUM($B$28:$GQ$28)*100,0)</f>
        <v>0</v>
      </c>
      <c r="EJ14" s="3">
        <f>IFERROR(INDEX($B$28:$GQ$28,MATCH(139,$B$29:$GQ$29,0))/SUM($B$28:$GQ$28)*100,0)</f>
        <v>0</v>
      </c>
      <c r="EK14" s="3">
        <f>IFERROR(INDEX($B$28:$GQ$28,MATCH(140,$B$29:$GQ$29,0))/SUM($B$28:$GQ$28)*100,0)</f>
        <v>0</v>
      </c>
      <c r="EL14" s="3">
        <f>IFERROR(INDEX($B$28:$GQ$28,MATCH(141,$B$29:$GQ$29,0))/SUM($B$28:$GQ$28)*100,0)</f>
        <v>0</v>
      </c>
      <c r="EM14" s="3">
        <f>IFERROR(INDEX($B$28:$GQ$28,MATCH(142,$B$29:$GQ$29,0))/SUM($B$28:$GQ$28)*100,0)</f>
        <v>0</v>
      </c>
      <c r="EN14" s="3">
        <f>IFERROR(INDEX($B$28:$GQ$28,MATCH(143,$B$29:$GQ$29,0))/SUM($B$28:$GQ$28)*100,0)</f>
        <v>0</v>
      </c>
      <c r="EO14" s="3">
        <f>IFERROR(INDEX($B$28:$GQ$28,MATCH(144,$B$29:$GQ$29,0))/SUM($B$28:$GQ$28)*100,0)</f>
        <v>0</v>
      </c>
      <c r="EP14" s="3">
        <f>IFERROR(INDEX($B$28:$GQ$28,MATCH(145,$B$29:$GQ$29,0))/SUM($B$28:$GQ$28)*100,0)</f>
        <v>0</v>
      </c>
      <c r="EQ14" s="3">
        <f>IFERROR(INDEX($B$28:$GQ$28,MATCH(146,$B$29:$GQ$29,0))/SUM($B$28:$GQ$28)*100,0)</f>
        <v>0</v>
      </c>
      <c r="ER14" s="3">
        <f>IFERROR(INDEX($B$28:$GQ$28,MATCH(147,$B$29:$GQ$29,0))/SUM($B$28:$GQ$28)*100,0)</f>
        <v>0</v>
      </c>
      <c r="ES14" s="3">
        <f>IFERROR(INDEX($B$28:$GQ$28,MATCH(148,$B$29:$GQ$29,0))/SUM($B$28:$GQ$28)*100,0)</f>
        <v>0</v>
      </c>
      <c r="ET14" s="3">
        <f>IFERROR(INDEX($B$28:$GQ$28,MATCH(149,$B$29:$GQ$29,0))/SUM($B$28:$GQ$28)*100,0)</f>
        <v>0</v>
      </c>
      <c r="EU14" s="3">
        <f>IFERROR(INDEX($B$28:$GQ$28,MATCH(150,$B$29:$GQ$29,0))/SUM($B$28:$GQ$28)*100,0)</f>
        <v>0</v>
      </c>
      <c r="EV14" s="3">
        <f>IFERROR(INDEX($B$28:$GQ$28,MATCH(151,$B$29:$GQ$29,0))/SUM($B$28:$GQ$28)*100,0)</f>
        <v>0</v>
      </c>
      <c r="EW14" s="3">
        <f>IFERROR(INDEX($B$28:$GQ$28,MATCH(152,$B$29:$GQ$29,0))/SUM($B$28:$GQ$28)*100,0)</f>
        <v>0</v>
      </c>
      <c r="EX14" s="3">
        <f>IFERROR(INDEX($B$28:$GQ$28,MATCH(153,$B$29:$GQ$29,0))/SUM($B$28:$GQ$28)*100,0)</f>
        <v>0</v>
      </c>
      <c r="EY14" s="3">
        <f>IFERROR(INDEX($B$28:$GQ$28,MATCH(154,$B$29:$GQ$29,0))/SUM($B$28:$GQ$28)*100,0)</f>
        <v>0</v>
      </c>
      <c r="EZ14" s="3">
        <f>IFERROR(INDEX($B$28:$GQ$28,MATCH(155,$B$29:$GQ$29,0))/SUM($B$28:$GQ$28)*100,0)</f>
        <v>0</v>
      </c>
      <c r="FA14" s="3">
        <f>IFERROR(INDEX($B$28:$GQ$28,MATCH(156,$B$29:$GQ$29,0))/SUM($B$28:$GQ$28)*100,0)</f>
        <v>0</v>
      </c>
      <c r="FB14" s="3">
        <f>IFERROR(INDEX($B$28:$GQ$28,MATCH(157,$B$29:$GQ$29,0))/SUM($B$28:$GQ$28)*100,0)</f>
        <v>0</v>
      </c>
      <c r="FC14" s="3">
        <f>IFERROR(INDEX($B$28:$GQ$28,MATCH(158,$B$29:$GQ$29,0))/SUM($B$28:$GQ$28)*100,0)</f>
        <v>0</v>
      </c>
      <c r="FD14" s="3">
        <f>IFERROR(INDEX($B$28:$GQ$28,MATCH(159,$B$29:$GQ$29,0))/SUM($B$28:$GQ$28)*100,0)</f>
        <v>0</v>
      </c>
      <c r="FE14" s="3">
        <f>IFERROR(INDEX($B$28:$GQ$28,MATCH(160,$B$29:$GQ$29,0))/SUM($B$28:$GQ$28)*100,0)</f>
        <v>0</v>
      </c>
      <c r="FF14" s="3">
        <f>IFERROR(INDEX($B$28:$GQ$28,MATCH(161,$B$29:$GQ$29,0))/SUM($B$28:$GQ$28)*100,0)</f>
        <v>0</v>
      </c>
      <c r="FG14" s="3">
        <f>IFERROR(INDEX($B$28:$GQ$28,MATCH(162,$B$29:$GQ$29,0))/SUM($B$28:$GQ$28)*100,0)</f>
        <v>0</v>
      </c>
      <c r="FH14" s="3">
        <f>IFERROR(INDEX($B$28:$GQ$28,MATCH(163,$B$29:$GQ$29,0))/SUM($B$28:$GQ$28)*100,0)</f>
        <v>0</v>
      </c>
      <c r="FI14" s="3">
        <f>IFERROR(INDEX($B$28:$GQ$28,MATCH(164,$B$29:$GQ$29,0))/SUM($B$28:$GQ$28)*100,0)</f>
        <v>0</v>
      </c>
      <c r="FJ14" s="3">
        <f>IFERROR(INDEX($B$28:$GQ$28,MATCH(165,$B$29:$GQ$29,0))/SUM($B$28:$GQ$28)*100,0)</f>
        <v>0</v>
      </c>
      <c r="FK14" s="3">
        <f>IFERROR(INDEX($B$28:$GQ$28,MATCH(166,$B$29:$GQ$29,0))/SUM($B$28:$GQ$28)*100,0)</f>
        <v>0</v>
      </c>
      <c r="FL14" s="3">
        <f>IFERROR(INDEX($B$28:$GQ$28,MATCH(167,$B$29:$GQ$29,0))/SUM($B$28:$GQ$28)*100,0)</f>
        <v>0</v>
      </c>
      <c r="FM14" s="3">
        <f>IFERROR(INDEX($B$28:$GQ$28,MATCH(168,$B$29:$GQ$29,0))/SUM($B$28:$GQ$28)*100,0)</f>
        <v>0</v>
      </c>
      <c r="FN14" s="3">
        <f>IFERROR(INDEX($B$28:$GQ$28,MATCH(169,$B$29:$GQ$29,0))/SUM($B$28:$GQ$28)*100,0)</f>
        <v>0</v>
      </c>
      <c r="FO14" s="3">
        <f>IFERROR(INDEX($B$28:$GQ$28,MATCH(170,$B$29:$GQ$29,0))/SUM($B$28:$GQ$28)*100,0)</f>
        <v>0</v>
      </c>
      <c r="FP14" s="3">
        <f>IFERROR(INDEX($B$28:$GQ$28,MATCH(171,$B$29:$GQ$29,0))/SUM($B$28:$GQ$28)*100,0)</f>
        <v>0</v>
      </c>
      <c r="FQ14" s="3">
        <f>IFERROR(INDEX($B$28:$GQ$28,MATCH(172,$B$29:$GQ$29,0))/SUM($B$28:$GQ$28)*100,0)</f>
        <v>0</v>
      </c>
      <c r="FR14" s="3">
        <f>IFERROR(INDEX($B$28:$GQ$28,MATCH(173,$B$29:$GQ$29,0))/SUM($B$28:$GQ$28)*100,0)</f>
        <v>0</v>
      </c>
      <c r="FS14" s="3">
        <f>IFERROR(INDEX($B$28:$GQ$28,MATCH(174,$B$29:$GQ$29,0))/SUM($B$28:$GQ$28)*100,0)</f>
        <v>0</v>
      </c>
      <c r="FT14" s="3">
        <f>IFERROR(INDEX($B$28:$GQ$28,MATCH(175,$B$29:$GQ$29,0))/SUM($B$28:$GQ$28)*100,0)</f>
        <v>0</v>
      </c>
      <c r="FU14" s="3">
        <f>IFERROR(INDEX($B$28:$GQ$28,MATCH(176,$B$29:$GQ$29,0))/SUM($B$28:$GQ$28)*100,0)</f>
        <v>0</v>
      </c>
      <c r="FV14" s="3">
        <f>IFERROR(INDEX($B$28:$GQ$28,MATCH(177,$B$29:$GQ$29,0))/SUM($B$28:$GQ$28)*100,0)</f>
        <v>0</v>
      </c>
      <c r="FW14" s="3">
        <f>IFERROR(INDEX($B$28:$GQ$28,MATCH(178,$B$29:$GQ$29,0))/SUM($B$28:$GQ$28)*100,0)</f>
        <v>0</v>
      </c>
      <c r="FX14" s="3">
        <f>IFERROR(INDEX($B$28:$GQ$28,MATCH(179,$B$29:$GQ$29,0))/SUM($B$28:$GQ$28)*100,0)</f>
        <v>0</v>
      </c>
      <c r="FY14" s="3">
        <f>IFERROR(INDEX($B$28:$GQ$28,MATCH(180,$B$29:$GQ$29,0))/SUM($B$28:$GQ$28)*100,0)</f>
        <v>0</v>
      </c>
      <c r="FZ14" s="3">
        <f>IFERROR(INDEX($B$28:$GQ$28,MATCH(181,$B$29:$GQ$29,0))/SUM($B$28:$GQ$28)*100,0)</f>
        <v>0</v>
      </c>
      <c r="GA14" s="3">
        <f>IFERROR(INDEX($B$28:$GQ$28,MATCH(182,$B$29:$GQ$29,0))/SUM($B$28:$GQ$28)*100,0)</f>
        <v>0</v>
      </c>
      <c r="GB14" s="3">
        <f>IFERROR(INDEX($B$28:$GQ$28,MATCH(183,$B$29:$GQ$29,0))/SUM($B$28:$GQ$28)*100,0)</f>
        <v>0</v>
      </c>
      <c r="GC14" s="3">
        <f>IFERROR(INDEX($B$28:$GQ$28,MATCH(184,$B$29:$GQ$29,0))/SUM($B$28:$GQ$28)*100,0)</f>
        <v>0</v>
      </c>
      <c r="GD14" s="3">
        <f>IFERROR(INDEX($B$28:$GQ$28,MATCH(185,$B$29:$GQ$29,0))/SUM($B$28:$GQ$28)*100,0)</f>
        <v>0</v>
      </c>
      <c r="GE14" s="3">
        <f>IFERROR(INDEX($B$28:$GQ$28,MATCH(186,$B$29:$GQ$29,0))/SUM($B$28:$GQ$28)*100,0)</f>
        <v>0</v>
      </c>
      <c r="GF14" s="3">
        <f>IFERROR(INDEX($B$28:$GQ$28,MATCH(187,$B$29:$GQ$29,0))/SUM($B$28:$GQ$28)*100,0)</f>
        <v>0</v>
      </c>
      <c r="GG14" s="3">
        <f>IFERROR(INDEX($B$28:$GQ$28,MATCH(188,$B$29:$GQ$29,0))/SUM($B$28:$GQ$28)*100,0)</f>
        <v>0</v>
      </c>
      <c r="GH14" s="3">
        <f>IFERROR(INDEX($B$28:$GQ$28,MATCH(189,$B$29:$GQ$29,0))/SUM($B$28:$GQ$28)*100,0)</f>
        <v>0</v>
      </c>
      <c r="GI14" s="3">
        <f>IFERROR(INDEX($B$28:$GQ$28,MATCH(190,$B$29:$GQ$29,0))/SUM($B$28:$GQ$28)*100,0)</f>
        <v>0</v>
      </c>
      <c r="GJ14" s="3">
        <f>IFERROR(INDEX($B$28:$GQ$28,MATCH(191,$B$29:$GQ$29,0))/SUM($B$28:$GQ$28)*100,0)</f>
        <v>0</v>
      </c>
      <c r="GK14" s="3">
        <f>IFERROR(INDEX($B$28:$GQ$28,MATCH(192,$B$29:$GQ$29,0))/SUM($B$28:$GQ$28)*100,0)</f>
        <v>0</v>
      </c>
      <c r="GL14" s="3">
        <f>IFERROR(INDEX($B$28:$GQ$28,MATCH(193,$B$29:$GQ$29,0))/SUM($B$28:$GQ$28)*100,0)</f>
        <v>0</v>
      </c>
      <c r="GM14" s="3">
        <f>IFERROR(INDEX($B$28:$GQ$28,MATCH(194,$B$29:$GQ$29,0))/SUM($B$28:$GQ$28)*100,0)</f>
        <v>0</v>
      </c>
      <c r="GN14" s="3">
        <f>IFERROR(INDEX($B$28:$GQ$28,MATCH(195,$B$29:$GQ$29,0))/SUM($B$28:$GQ$28)*100,0)</f>
        <v>0</v>
      </c>
      <c r="GO14" s="3">
        <f>IFERROR(INDEX($B$28:$GQ$28,MATCH(196,$B$29:$GQ$29,0))/SUM($B$28:$GQ$28)*100,0)</f>
        <v>0</v>
      </c>
      <c r="GP14" s="3">
        <f>IFERROR(INDEX($B$28:$GQ$28,MATCH(197,$B$29:$GQ$29,0))/SUM($B$28:$GQ$28)*100,0)</f>
        <v>0</v>
      </c>
      <c r="GQ14" s="3">
        <f>IFERROR(INDEX($B$28:$GQ$28,MATCH(198,$B$29:$GQ$29,0))/SUM($B$28:$GQ$28)*100,0)</f>
        <v>0</v>
      </c>
      <c r="GR14" s="3">
        <f>IFERROR(INDEX($GR$28:$HC$28,MATCH(1,$GR$30:$HC$30,0))/SUM($GR$28:$HC$28)*100,0)</f>
        <v>22.980322180960037</v>
      </c>
      <c r="GS14" s="3">
        <f>IFERROR(INDEX($GR$28:$HC$28,MATCH(2,$GR$30:$HC$30,0))/SUM($GR$28:$HC$28)*100,0)</f>
        <v>13.326991834947549</v>
      </c>
      <c r="GT14" s="3">
        <f>IFERROR(INDEX($GR$28:$HC$28,MATCH(3,$GR$30:$HC$30,0))/SUM($GR$28:$HC$28)*100,0)</f>
        <v>13.176436208049552</v>
      </c>
      <c r="GU14" s="3">
        <f>IFERROR(INDEX($GR$28:$HC$28,MATCH(4,$GR$30:$HC$30,0))/SUM($GR$28:$HC$28)*100,0)</f>
        <v>9.2729546894644308</v>
      </c>
      <c r="GV14" s="3">
        <f>IFERROR(INDEX($GR$28:$HC$28,MATCH(5,$GR$30:$HC$30,0))/SUM($GR$28:$HC$28)*100,0)</f>
        <v>7.496978003402786</v>
      </c>
      <c r="GW14" s="3">
        <f>IFERROR(INDEX($GR$28:$HC$28,MATCH(6,$GR$30:$HC$30,0))/SUM($GR$28:$HC$28)*100,0)</f>
        <v>6.0739708107379577</v>
      </c>
      <c r="GX14" s="3">
        <f>IFERROR(INDEX($GR$28:$HC$28,MATCH(7,$GR$30:$HC$30,0))/SUM($GR$28:$HC$28)*100,0)</f>
        <v>5.7366143795624183</v>
      </c>
      <c r="GY14" s="3">
        <f>IFERROR(INDEX($GR$28:$HC$28,MATCH(8,$GR$30:$HC$30,0))/SUM($GR$28:$HC$28)*100,0)</f>
        <v>5.3976401927963478</v>
      </c>
      <c r="GZ14" s="3">
        <f>IFERROR(INDEX($GR$28:$HC$28,MATCH(9,$GR$30:$HC$30,0))/SUM($GR$28:$HC$28)*100,0)</f>
        <v>4.9615636075422724</v>
      </c>
      <c r="HA14" s="3">
        <f>IFERROR(INDEX($GR$28:$HC$28,MATCH(10,$GR$30:$HC$30,0))/SUM($GR$28:$HC$28)*100,0)</f>
        <v>4.2004973191329773</v>
      </c>
      <c r="HB14" s="3">
        <f>IFERROR(INDEX($GR$28:$HC$28,MATCH(11,$GR$30:$HC$30,0))/SUM($GR$28:$HC$28)*100,0)</f>
        <v>4.0273420309981534</v>
      </c>
      <c r="HC14" s="3">
        <f>IFERROR(INDEX($GR$28:$HC$28,MATCH(12,$GR$30:$HC$30,0))/SUM($GR$28:$HC$28)*100,0)</f>
        <v>3.3486887424055256</v>
      </c>
    </row>
    <row r="16" spans="1:211" x14ac:dyDescent="0.45">
      <c r="A16" s="1" t="s">
        <v>12</v>
      </c>
    </row>
    <row r="17" spans="1:211" x14ac:dyDescent="0.45">
      <c r="A17" s="1" t="s">
        <v>229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19</v>
      </c>
      <c r="I17" s="1" t="s">
        <v>20</v>
      </c>
      <c r="J17" s="1" t="s">
        <v>21</v>
      </c>
      <c r="K17" s="1" t="s">
        <v>22</v>
      </c>
      <c r="L17" s="1" t="s">
        <v>23</v>
      </c>
      <c r="M17" s="1" t="s">
        <v>24</v>
      </c>
      <c r="N17" s="1" t="s">
        <v>25</v>
      </c>
      <c r="O17" s="1" t="s">
        <v>26</v>
      </c>
      <c r="P17" s="1" t="s">
        <v>27</v>
      </c>
      <c r="Q17" s="1" t="s">
        <v>28</v>
      </c>
      <c r="R17" s="1" t="s">
        <v>29</v>
      </c>
      <c r="S17" s="1" t="s">
        <v>30</v>
      </c>
      <c r="T17" s="1" t="s">
        <v>31</v>
      </c>
      <c r="U17" s="1" t="s">
        <v>32</v>
      </c>
      <c r="V17" s="1" t="s">
        <v>33</v>
      </c>
      <c r="W17" s="1" t="s">
        <v>34</v>
      </c>
      <c r="X17" s="1" t="s">
        <v>35</v>
      </c>
      <c r="Y17" s="1" t="s">
        <v>36</v>
      </c>
      <c r="Z17" s="1" t="s">
        <v>37</v>
      </c>
      <c r="AA17" s="1" t="s">
        <v>38</v>
      </c>
      <c r="AB17" s="1" t="s">
        <v>39</v>
      </c>
      <c r="AC17" s="1" t="s">
        <v>40</v>
      </c>
      <c r="AD17" s="1" t="s">
        <v>41</v>
      </c>
      <c r="AE17" s="1" t="s">
        <v>42</v>
      </c>
      <c r="AF17" s="1" t="s">
        <v>43</v>
      </c>
      <c r="AG17" s="1" t="s">
        <v>44</v>
      </c>
      <c r="AH17" s="1" t="s">
        <v>45</v>
      </c>
      <c r="AI17" s="1" t="s">
        <v>46</v>
      </c>
      <c r="AJ17" s="1" t="s">
        <v>47</v>
      </c>
      <c r="AK17" s="1" t="s">
        <v>48</v>
      </c>
      <c r="AL17" s="1" t="s">
        <v>49</v>
      </c>
      <c r="AM17" s="1" t="s">
        <v>50</v>
      </c>
      <c r="AN17" s="1" t="s">
        <v>51</v>
      </c>
      <c r="AO17" s="1" t="s">
        <v>52</v>
      </c>
      <c r="AP17" s="1" t="s">
        <v>53</v>
      </c>
      <c r="AQ17" s="1" t="s">
        <v>54</v>
      </c>
      <c r="AR17" s="1" t="s">
        <v>55</v>
      </c>
      <c r="AS17" s="1" t="s">
        <v>56</v>
      </c>
      <c r="AT17" s="1" t="s">
        <v>57</v>
      </c>
      <c r="AU17" s="1" t="s">
        <v>58</v>
      </c>
      <c r="AV17" s="1" t="s">
        <v>59</v>
      </c>
      <c r="AW17" s="1" t="s">
        <v>60</v>
      </c>
      <c r="AX17" s="1" t="s">
        <v>61</v>
      </c>
      <c r="AY17" s="1" t="s">
        <v>62</v>
      </c>
      <c r="AZ17" s="1" t="s">
        <v>63</v>
      </c>
      <c r="BA17" s="1" t="s">
        <v>64</v>
      </c>
      <c r="BB17" s="1" t="s">
        <v>65</v>
      </c>
      <c r="BC17" s="1" t="s">
        <v>66</v>
      </c>
      <c r="BD17" s="1" t="s">
        <v>67</v>
      </c>
      <c r="BE17" s="1" t="s">
        <v>68</v>
      </c>
      <c r="BF17" s="1" t="s">
        <v>69</v>
      </c>
      <c r="BG17" s="1" t="s">
        <v>70</v>
      </c>
      <c r="BH17" s="1" t="s">
        <v>71</v>
      </c>
      <c r="BI17" s="1" t="s">
        <v>72</v>
      </c>
      <c r="BJ17" s="1" t="s">
        <v>73</v>
      </c>
      <c r="BK17" s="1" t="s">
        <v>74</v>
      </c>
      <c r="BL17" s="1" t="s">
        <v>75</v>
      </c>
      <c r="BM17" s="1" t="s">
        <v>76</v>
      </c>
      <c r="BN17" s="1" t="s">
        <v>77</v>
      </c>
      <c r="BO17" s="1" t="s">
        <v>78</v>
      </c>
      <c r="BP17" s="1" t="s">
        <v>79</v>
      </c>
      <c r="BQ17" s="1" t="s">
        <v>80</v>
      </c>
      <c r="BR17" s="1" t="s">
        <v>81</v>
      </c>
      <c r="BS17" s="1" t="s">
        <v>82</v>
      </c>
      <c r="BT17" s="1" t="s">
        <v>83</v>
      </c>
      <c r="BU17" s="1" t="s">
        <v>84</v>
      </c>
      <c r="BV17" s="1" t="s">
        <v>85</v>
      </c>
      <c r="BW17" s="1" t="s">
        <v>86</v>
      </c>
      <c r="BX17" s="1" t="s">
        <v>87</v>
      </c>
      <c r="BY17" s="1" t="s">
        <v>88</v>
      </c>
      <c r="BZ17" s="1" t="s">
        <v>89</v>
      </c>
      <c r="CA17" s="1" t="s">
        <v>90</v>
      </c>
      <c r="CB17" s="1" t="s">
        <v>91</v>
      </c>
      <c r="CC17" s="1" t="s">
        <v>92</v>
      </c>
      <c r="CD17" s="1" t="s">
        <v>93</v>
      </c>
      <c r="CE17" s="1" t="s">
        <v>94</v>
      </c>
      <c r="CF17" s="1" t="s">
        <v>95</v>
      </c>
      <c r="CG17" s="1" t="s">
        <v>96</v>
      </c>
      <c r="CH17" s="1" t="s">
        <v>97</v>
      </c>
      <c r="CI17" s="1" t="s">
        <v>98</v>
      </c>
      <c r="CJ17" s="1" t="s">
        <v>99</v>
      </c>
      <c r="CK17" s="1" t="s">
        <v>100</v>
      </c>
      <c r="CL17" s="1" t="s">
        <v>101</v>
      </c>
      <c r="CM17" s="1" t="s">
        <v>102</v>
      </c>
      <c r="CN17" s="1" t="s">
        <v>103</v>
      </c>
      <c r="CO17" s="1" t="s">
        <v>104</v>
      </c>
      <c r="CP17" s="1" t="s">
        <v>105</v>
      </c>
      <c r="CQ17" s="1" t="s">
        <v>106</v>
      </c>
      <c r="CR17" s="1" t="s">
        <v>107</v>
      </c>
      <c r="CS17" s="1" t="s">
        <v>108</v>
      </c>
      <c r="CT17" s="1" t="s">
        <v>109</v>
      </c>
      <c r="CU17" s="1" t="s">
        <v>110</v>
      </c>
      <c r="CV17" s="1" t="s">
        <v>111</v>
      </c>
      <c r="CW17" s="1" t="s">
        <v>112</v>
      </c>
      <c r="CX17" s="1" t="s">
        <v>113</v>
      </c>
      <c r="CY17" s="1" t="s">
        <v>114</v>
      </c>
      <c r="CZ17" s="1" t="s">
        <v>115</v>
      </c>
      <c r="DA17" s="1" t="s">
        <v>116</v>
      </c>
      <c r="DB17" s="1" t="s">
        <v>117</v>
      </c>
      <c r="DC17" s="1" t="s">
        <v>118</v>
      </c>
      <c r="DD17" s="1" t="s">
        <v>119</v>
      </c>
      <c r="DE17" s="1" t="s">
        <v>120</v>
      </c>
      <c r="DF17" s="1" t="s">
        <v>121</v>
      </c>
      <c r="DG17" s="1" t="s">
        <v>122</v>
      </c>
      <c r="DH17" s="1" t="s">
        <v>123</v>
      </c>
      <c r="DI17" s="1" t="s">
        <v>124</v>
      </c>
      <c r="DJ17" s="1" t="s">
        <v>125</v>
      </c>
      <c r="DK17" s="1" t="s">
        <v>126</v>
      </c>
      <c r="DL17" s="1" t="s">
        <v>127</v>
      </c>
      <c r="DM17" s="1" t="s">
        <v>128</v>
      </c>
      <c r="DN17" s="1" t="s">
        <v>129</v>
      </c>
      <c r="DO17" s="1" t="s">
        <v>130</v>
      </c>
      <c r="DP17" s="1" t="s">
        <v>131</v>
      </c>
      <c r="DQ17" s="1" t="s">
        <v>132</v>
      </c>
      <c r="DR17" s="1" t="s">
        <v>133</v>
      </c>
      <c r="DS17" s="1" t="s">
        <v>134</v>
      </c>
      <c r="DT17" s="1" t="s">
        <v>135</v>
      </c>
      <c r="DU17" s="1" t="s">
        <v>136</v>
      </c>
      <c r="DV17" s="1" t="s">
        <v>137</v>
      </c>
      <c r="DW17" s="1" t="s">
        <v>138</v>
      </c>
      <c r="DX17" s="1" t="s">
        <v>139</v>
      </c>
      <c r="DY17" s="1" t="s">
        <v>140</v>
      </c>
      <c r="DZ17" s="1" t="s">
        <v>141</v>
      </c>
      <c r="EA17" s="1" t="s">
        <v>142</v>
      </c>
      <c r="EB17" s="1" t="s">
        <v>143</v>
      </c>
      <c r="EC17" s="1" t="s">
        <v>144</v>
      </c>
      <c r="ED17" s="1" t="s">
        <v>145</v>
      </c>
      <c r="EE17" s="1" t="s">
        <v>146</v>
      </c>
      <c r="EF17" s="1" t="s">
        <v>147</v>
      </c>
      <c r="EG17" s="1" t="s">
        <v>148</v>
      </c>
      <c r="EH17" s="1" t="s">
        <v>149</v>
      </c>
      <c r="EI17" s="1" t="s">
        <v>150</v>
      </c>
      <c r="EJ17" s="1" t="s">
        <v>151</v>
      </c>
      <c r="EK17" s="1" t="s">
        <v>152</v>
      </c>
      <c r="EL17" s="1" t="s">
        <v>153</v>
      </c>
      <c r="EM17" s="1" t="s">
        <v>154</v>
      </c>
      <c r="EN17" s="1" t="s">
        <v>155</v>
      </c>
      <c r="EO17" s="1" t="s">
        <v>156</v>
      </c>
      <c r="EP17" s="1" t="s">
        <v>157</v>
      </c>
      <c r="EQ17" s="1" t="s">
        <v>158</v>
      </c>
      <c r="ER17" s="1" t="s">
        <v>159</v>
      </c>
      <c r="ES17" s="1" t="s">
        <v>160</v>
      </c>
      <c r="ET17" s="1" t="s">
        <v>161</v>
      </c>
      <c r="EU17" s="1" t="s">
        <v>162</v>
      </c>
      <c r="EV17" s="1" t="s">
        <v>163</v>
      </c>
      <c r="EW17" s="1" t="s">
        <v>164</v>
      </c>
      <c r="EX17" s="1" t="s">
        <v>165</v>
      </c>
      <c r="EY17" s="1" t="s">
        <v>166</v>
      </c>
      <c r="EZ17" s="1" t="s">
        <v>167</v>
      </c>
      <c r="FA17" s="1" t="s">
        <v>168</v>
      </c>
      <c r="FB17" s="1" t="s">
        <v>169</v>
      </c>
      <c r="FC17" s="1" t="s">
        <v>170</v>
      </c>
      <c r="FD17" s="1" t="s">
        <v>171</v>
      </c>
      <c r="FE17" s="1" t="s">
        <v>172</v>
      </c>
      <c r="FF17" s="1" t="s">
        <v>173</v>
      </c>
      <c r="FG17" s="1" t="s">
        <v>174</v>
      </c>
      <c r="FH17" s="1" t="s">
        <v>175</v>
      </c>
      <c r="FI17" s="1" t="s">
        <v>176</v>
      </c>
      <c r="FJ17" s="1" t="s">
        <v>177</v>
      </c>
      <c r="FK17" s="1" t="s">
        <v>178</v>
      </c>
      <c r="FL17" s="1" t="s">
        <v>179</v>
      </c>
      <c r="FM17" s="1" t="s">
        <v>180</v>
      </c>
      <c r="FN17" s="1" t="s">
        <v>181</v>
      </c>
      <c r="FO17" s="1" t="s">
        <v>182</v>
      </c>
      <c r="FP17" s="1" t="s">
        <v>183</v>
      </c>
      <c r="FQ17" s="1" t="s">
        <v>184</v>
      </c>
      <c r="FR17" s="1" t="s">
        <v>185</v>
      </c>
      <c r="FS17" s="1" t="s">
        <v>186</v>
      </c>
      <c r="FT17" s="1" t="s">
        <v>187</v>
      </c>
      <c r="FU17" s="1" t="s">
        <v>188</v>
      </c>
      <c r="FV17" s="1" t="s">
        <v>189</v>
      </c>
      <c r="FW17" s="1" t="s">
        <v>190</v>
      </c>
      <c r="FX17" s="1" t="s">
        <v>191</v>
      </c>
      <c r="FY17" s="1" t="s">
        <v>192</v>
      </c>
      <c r="FZ17" s="1" t="s">
        <v>193</v>
      </c>
      <c r="GA17" s="1" t="s">
        <v>194</v>
      </c>
      <c r="GB17" s="1" t="s">
        <v>195</v>
      </c>
      <c r="GC17" s="1" t="s">
        <v>196</v>
      </c>
      <c r="GD17" s="1" t="s">
        <v>197</v>
      </c>
      <c r="GE17" s="1" t="s">
        <v>198</v>
      </c>
      <c r="GF17" s="1" t="s">
        <v>199</v>
      </c>
      <c r="GG17" s="1" t="s">
        <v>200</v>
      </c>
      <c r="GH17" s="1" t="s">
        <v>201</v>
      </c>
      <c r="GI17" s="1" t="s">
        <v>202</v>
      </c>
      <c r="GJ17" s="1" t="s">
        <v>203</v>
      </c>
      <c r="GK17" s="1" t="s">
        <v>204</v>
      </c>
      <c r="GL17" s="1" t="s">
        <v>205</v>
      </c>
      <c r="GM17" s="1" t="s">
        <v>206</v>
      </c>
      <c r="GN17" s="1" t="s">
        <v>207</v>
      </c>
      <c r="GO17" s="1" t="s">
        <v>208</v>
      </c>
      <c r="GP17" s="1" t="s">
        <v>209</v>
      </c>
      <c r="GQ17" s="1" t="s">
        <v>210</v>
      </c>
      <c r="GR17" s="1" t="s">
        <v>211</v>
      </c>
      <c r="GS17" s="1" t="s">
        <v>21</v>
      </c>
      <c r="GT17" s="1" t="s">
        <v>212</v>
      </c>
      <c r="GU17" s="1" t="s">
        <v>213</v>
      </c>
      <c r="GV17" s="1" t="s">
        <v>60</v>
      </c>
      <c r="GW17" s="1" t="s">
        <v>214</v>
      </c>
      <c r="GX17" s="1" t="s">
        <v>215</v>
      </c>
      <c r="GY17" s="1" t="s">
        <v>216</v>
      </c>
      <c r="GZ17" s="1" t="s">
        <v>217</v>
      </c>
      <c r="HA17" s="1" t="s">
        <v>218</v>
      </c>
      <c r="HB17" s="1" t="s">
        <v>219</v>
      </c>
      <c r="HC17" s="1" t="s">
        <v>220</v>
      </c>
    </row>
    <row r="18" spans="1:211" x14ac:dyDescent="0.45">
      <c r="A18" s="1" t="s">
        <v>3</v>
      </c>
      <c r="B18">
        <v>5.7886627278457897E-8</v>
      </c>
      <c r="C18">
        <v>2.4122951998586211E-8</v>
      </c>
      <c r="D18">
        <v>1.6464322547432829E-8</v>
      </c>
      <c r="E18">
        <v>5.6291513614392277E-8</v>
      </c>
      <c r="F18">
        <v>3.7179757334579958E-8</v>
      </c>
      <c r="G18">
        <v>2.0712956522055058E-9</v>
      </c>
      <c r="H18">
        <v>2.664212948603481E-8</v>
      </c>
      <c r="I18">
        <v>3.972969742220735E-9</v>
      </c>
      <c r="J18">
        <v>1.6429451863295501E-7</v>
      </c>
      <c r="K18">
        <v>1.115902464460594E-7</v>
      </c>
      <c r="L18">
        <v>1.004513317889441E-7</v>
      </c>
      <c r="M18">
        <v>1.164980724093978E-7</v>
      </c>
      <c r="N18">
        <v>1.5377236731226181E-7</v>
      </c>
      <c r="O18">
        <v>1.9261431556551431E-7</v>
      </c>
      <c r="P18">
        <v>1.366390113499456E-7</v>
      </c>
      <c r="Q18">
        <v>0</v>
      </c>
      <c r="R18">
        <v>0</v>
      </c>
      <c r="S18">
        <v>1.1927243666171151E-7</v>
      </c>
      <c r="T18">
        <v>2.6282923502313851E-7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6.1038708290370155E-8</v>
      </c>
      <c r="AD18">
        <v>8.8640537200796857E-7</v>
      </c>
      <c r="AE18">
        <v>4.3742202449434564E-9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6.4955758306815396E-9</v>
      </c>
      <c r="AO18">
        <v>5.5498968421899156E-9</v>
      </c>
      <c r="AP18">
        <v>1.585747142674415E-10</v>
      </c>
      <c r="AQ18">
        <v>3.715276733592534E-9</v>
      </c>
      <c r="AR18">
        <v>1.7102496848734401E-7</v>
      </c>
      <c r="AS18">
        <v>5.8312500558410282E-8</v>
      </c>
      <c r="AT18">
        <v>9.203402382201156E-8</v>
      </c>
      <c r="AU18">
        <v>1.59279922584021E-7</v>
      </c>
      <c r="AV18">
        <v>7.262832330250809E-8</v>
      </c>
      <c r="AW18">
        <v>9.3887519935813887E-8</v>
      </c>
      <c r="AX18">
        <v>1.4902064420680869E-8</v>
      </c>
      <c r="AY18">
        <v>3.8482671628872272E-8</v>
      </c>
      <c r="AZ18">
        <v>1.1636693719876019E-7</v>
      </c>
      <c r="BA18">
        <v>8.0525985663636445E-8</v>
      </c>
      <c r="BB18">
        <v>1.3831365014404579E-7</v>
      </c>
      <c r="BC18">
        <v>2.2030843455069272E-8</v>
      </c>
      <c r="BD18">
        <v>3.9757172606888517E-8</v>
      </c>
      <c r="BE18">
        <v>2.6552214063042069E-8</v>
      </c>
      <c r="BF18">
        <v>5.6706522466419691E-8</v>
      </c>
      <c r="BG18">
        <v>1.9816048341564481E-7</v>
      </c>
      <c r="BH18">
        <v>5.0365965731595732E-8</v>
      </c>
      <c r="BI18">
        <v>3.5679497223747652E-8</v>
      </c>
      <c r="BJ18">
        <v>1.6660888245754411E-8</v>
      </c>
      <c r="BK18">
        <v>6.2805399625452997E-8</v>
      </c>
      <c r="BL18">
        <v>2.2291114791928211E-8</v>
      </c>
      <c r="BM18">
        <v>2.5703323301148329E-9</v>
      </c>
      <c r="BN18">
        <v>0</v>
      </c>
      <c r="BO18">
        <v>5.7628165663612212E-8</v>
      </c>
      <c r="BP18">
        <v>7.3147561380340647E-8</v>
      </c>
      <c r="BQ18">
        <v>0</v>
      </c>
      <c r="BR18">
        <v>0</v>
      </c>
      <c r="BS18">
        <v>1.885336427525008E-8</v>
      </c>
      <c r="BT18">
        <v>0</v>
      </c>
      <c r="BU18">
        <v>3.261769987801071E-8</v>
      </c>
      <c r="BV18">
        <v>1.125541172927024E-8</v>
      </c>
      <c r="BW18">
        <v>9.6007066811367671E-11</v>
      </c>
      <c r="BX18">
        <v>1.9110722576555461E-8</v>
      </c>
      <c r="BY18">
        <v>1.832521045311667E-8</v>
      </c>
      <c r="BZ18">
        <v>0</v>
      </c>
      <c r="CA18">
        <v>1.0066400862501589E-8</v>
      </c>
      <c r="CB18">
        <v>2.060107180082813E-8</v>
      </c>
      <c r="CC18">
        <v>3.482161787213097E-8</v>
      </c>
      <c r="CD18">
        <v>3.8088690359699696E-9</v>
      </c>
      <c r="CE18">
        <v>4.2436742057993701E-9</v>
      </c>
      <c r="CF18">
        <v>6.384199597566994E-9</v>
      </c>
      <c r="CG18">
        <v>4.0629801321243126E-9</v>
      </c>
      <c r="CH18">
        <v>1.0795306732360089E-10</v>
      </c>
      <c r="CI18">
        <v>3.1988779109710707E-8</v>
      </c>
      <c r="CJ18">
        <v>2.7393132014015869E-8</v>
      </c>
      <c r="CK18">
        <v>1.1797014154902991E-8</v>
      </c>
      <c r="CL18">
        <v>1.776556872246184E-8</v>
      </c>
      <c r="CM18">
        <v>3.6309704271915288E-8</v>
      </c>
      <c r="CN18">
        <v>0</v>
      </c>
      <c r="CO18">
        <v>7.8521851794041003E-9</v>
      </c>
      <c r="CP18">
        <v>1.4853861621399741E-8</v>
      </c>
      <c r="CQ18">
        <v>6.1614609676480037E-9</v>
      </c>
      <c r="CR18">
        <v>0</v>
      </c>
      <c r="CS18">
        <v>2.3994239659250041E-8</v>
      </c>
      <c r="CT18">
        <v>1.9340942834750131E-8</v>
      </c>
      <c r="CU18">
        <v>3.2812624578319517E-8</v>
      </c>
      <c r="CV18">
        <v>2.1285197521996711E-8</v>
      </c>
      <c r="CW18">
        <v>1.5087186621450949E-8</v>
      </c>
      <c r="CX18">
        <v>1.3548550919593629E-8</v>
      </c>
      <c r="CY18">
        <v>2.2034844314463849E-8</v>
      </c>
      <c r="CZ18">
        <v>1.9892877607792209E-8</v>
      </c>
      <c r="DA18">
        <v>1.631892499745247E-8</v>
      </c>
      <c r="DB18">
        <v>3.7401178765806149E-8</v>
      </c>
      <c r="DC18">
        <v>0</v>
      </c>
      <c r="DD18">
        <v>2.568811639278431E-8</v>
      </c>
      <c r="DE18">
        <v>2.5141216827351031E-8</v>
      </c>
      <c r="DF18">
        <v>3.9294031213205023E-8</v>
      </c>
      <c r="DG18">
        <v>4.8854295982638482E-8</v>
      </c>
      <c r="DH18">
        <v>3.8795047124068247E-8</v>
      </c>
      <c r="DI18">
        <v>0</v>
      </c>
      <c r="DJ18">
        <v>3.5924733440851893E-8</v>
      </c>
      <c r="DK18">
        <v>0</v>
      </c>
      <c r="DL18">
        <v>2.1067061644655311E-8</v>
      </c>
      <c r="DM18">
        <v>1.7454541034541639E-8</v>
      </c>
      <c r="DN18">
        <v>1.8615749225740519E-8</v>
      </c>
      <c r="DO18">
        <v>2.257977719925517E-8</v>
      </c>
      <c r="DP18">
        <v>1.6852321217499281E-8</v>
      </c>
      <c r="DQ18">
        <v>1.8086991099796852E-8</v>
      </c>
      <c r="DR18">
        <v>1.438320517522758E-8</v>
      </c>
      <c r="DS18">
        <v>2.362988328280691E-8</v>
      </c>
      <c r="DT18">
        <v>1.8456033568421229E-8</v>
      </c>
      <c r="DU18">
        <v>2.8570586855490289E-8</v>
      </c>
      <c r="DV18">
        <v>0</v>
      </c>
      <c r="DW18">
        <v>0</v>
      </c>
      <c r="DX18">
        <v>1.382137695716425E-7</v>
      </c>
      <c r="DY18">
        <v>1.9009322761858449E-8</v>
      </c>
      <c r="DZ18">
        <v>1.5796942692234441E-8</v>
      </c>
      <c r="EA18">
        <v>1.9886217096709821E-8</v>
      </c>
      <c r="EB18">
        <v>8.0482573313733043E-9</v>
      </c>
      <c r="EC18">
        <v>7.309623709970767E-8</v>
      </c>
      <c r="ED18">
        <v>1.5231324327851199E-8</v>
      </c>
      <c r="EE18">
        <v>1.7076059948868191E-9</v>
      </c>
      <c r="EF18">
        <v>0</v>
      </c>
      <c r="EG18">
        <v>2.4156114350933381E-8</v>
      </c>
      <c r="EH18">
        <v>0</v>
      </c>
      <c r="EI18">
        <v>0</v>
      </c>
      <c r="EJ18">
        <v>8.6685955088006374E-9</v>
      </c>
      <c r="EK18">
        <v>8.3524770989893466E-9</v>
      </c>
      <c r="EL18">
        <v>1.8484566671662809E-9</v>
      </c>
      <c r="EM18">
        <v>3.7895522511875947E-9</v>
      </c>
      <c r="EN18">
        <v>3.8888619615504451E-16</v>
      </c>
      <c r="EO18">
        <v>0</v>
      </c>
      <c r="EP18">
        <v>7.8593623974394913E-9</v>
      </c>
      <c r="EQ18">
        <v>1.6948193813329221E-8</v>
      </c>
      <c r="ER18">
        <v>7.6267631804388508E-8</v>
      </c>
      <c r="ES18">
        <v>1.234123919022402E-8</v>
      </c>
      <c r="ET18">
        <v>2.0579740423518111E-8</v>
      </c>
      <c r="EU18">
        <v>0</v>
      </c>
      <c r="EV18">
        <v>5.9561150652949963E-9</v>
      </c>
      <c r="EW18">
        <v>1.5388007077854458E-8</v>
      </c>
      <c r="EX18">
        <v>8.3994723176154394E-9</v>
      </c>
      <c r="EY18">
        <v>9.1992017392979165E-9</v>
      </c>
      <c r="EZ18">
        <v>2.8556679469491122E-8</v>
      </c>
      <c r="FA18">
        <v>1.8619146791601251E-8</v>
      </c>
      <c r="FB18">
        <v>1.20436269354818E-8</v>
      </c>
      <c r="FC18">
        <v>7.9314454835556363E-8</v>
      </c>
      <c r="FD18">
        <v>6.7609784329413302E-8</v>
      </c>
      <c r="FE18">
        <v>1.1445547419731081E-7</v>
      </c>
      <c r="FF18">
        <v>3.3945674799003777E-8</v>
      </c>
      <c r="FG18">
        <v>1.3089087194677851E-8</v>
      </c>
      <c r="FH18">
        <v>9.7046549114672022E-9</v>
      </c>
      <c r="FI18">
        <v>1.392669229072611E-8</v>
      </c>
      <c r="FJ18">
        <v>1.7001372654455852E-8</v>
      </c>
      <c r="FK18">
        <v>2.1394251969761381E-8</v>
      </c>
      <c r="FL18">
        <v>1.335049847502083E-8</v>
      </c>
      <c r="FM18">
        <v>1.3504218722148901E-8</v>
      </c>
      <c r="FN18">
        <v>1.366055636071354E-8</v>
      </c>
      <c r="FO18">
        <v>4.0236013195029281E-8</v>
      </c>
      <c r="FP18">
        <v>1.291093992537107E-8</v>
      </c>
      <c r="FQ18">
        <v>1.6308850775806621E-8</v>
      </c>
      <c r="FR18">
        <v>1.1042570074665759E-8</v>
      </c>
      <c r="FS18">
        <v>1.064501083724432E-8</v>
      </c>
      <c r="FT18">
        <v>1.247871074231484E-8</v>
      </c>
      <c r="FU18">
        <v>1.2631437210824589E-8</v>
      </c>
      <c r="FV18">
        <v>1.4025756428648829E-8</v>
      </c>
      <c r="FW18">
        <v>1.272266253503169E-8</v>
      </c>
      <c r="FX18">
        <v>1.257296131408968E-8</v>
      </c>
      <c r="FY18">
        <v>1.2964386197290721E-8</v>
      </c>
      <c r="FZ18">
        <v>1.2100966641813371E-8</v>
      </c>
      <c r="GA18">
        <v>1.1646701918615481E-8</v>
      </c>
      <c r="GB18">
        <v>1.137326907278101E-8</v>
      </c>
      <c r="GC18">
        <v>1.334757442290257E-8</v>
      </c>
      <c r="GD18">
        <v>1.25106875895741E-8</v>
      </c>
      <c r="GE18">
        <v>1.2135462314129359E-7</v>
      </c>
      <c r="GF18">
        <v>1.5161396541294869E-8</v>
      </c>
      <c r="GG18">
        <v>1.5582714861945571E-8</v>
      </c>
      <c r="GH18">
        <v>1.5029261053025661E-8</v>
      </c>
      <c r="GI18">
        <v>1.4667270495443921E-8</v>
      </c>
      <c r="GJ18">
        <v>1.7605074252758541E-8</v>
      </c>
      <c r="GK18">
        <v>1.2395884342149351E-8</v>
      </c>
      <c r="GL18">
        <v>1.5181177192954819E-8</v>
      </c>
      <c r="GM18">
        <v>1.3370304539177379E-8</v>
      </c>
      <c r="GN18">
        <v>2.085303034987236E-8</v>
      </c>
      <c r="GO18">
        <v>2.581643609696462E-8</v>
      </c>
      <c r="GP18">
        <v>3.1320420037828353E-8</v>
      </c>
      <c r="GQ18">
        <v>0</v>
      </c>
      <c r="GR18">
        <v>5.6334246486960147E-8</v>
      </c>
      <c r="GS18">
        <v>1.7102496848734401E-7</v>
      </c>
      <c r="GT18">
        <v>1.2658448687140471E-7</v>
      </c>
      <c r="GU18">
        <v>9.9317548716435374E-8</v>
      </c>
      <c r="GV18">
        <v>9.5460849761378956E-8</v>
      </c>
      <c r="GW18">
        <v>1.0394892543244171E-7</v>
      </c>
      <c r="GX18">
        <v>1.874895539645802E-8</v>
      </c>
      <c r="GY18">
        <v>2.4323027554211279E-8</v>
      </c>
      <c r="GZ18">
        <v>3.244808471741587E-8</v>
      </c>
      <c r="HA18">
        <v>2.5070861052507918E-8</v>
      </c>
      <c r="HB18">
        <v>2.8556679469491122E-8</v>
      </c>
      <c r="HC18">
        <v>1.4221207123015139E-8</v>
      </c>
    </row>
    <row r="19" spans="1:211" x14ac:dyDescent="0.45">
      <c r="A19" s="1" t="s">
        <v>4</v>
      </c>
      <c r="B19">
        <v>9.8707559773161638E-7</v>
      </c>
      <c r="C19">
        <v>4.7480187792782022E-7</v>
      </c>
      <c r="D19">
        <v>4.0221573956495002E-7</v>
      </c>
      <c r="E19">
        <v>2.4003450526360613E-7</v>
      </c>
      <c r="F19">
        <v>8.1148353938400999E-7</v>
      </c>
      <c r="G19">
        <v>2.7266742669976759E-8</v>
      </c>
      <c r="H19">
        <v>1.033001975210745E-7</v>
      </c>
      <c r="I19">
        <v>9.2394987650641371E-9</v>
      </c>
      <c r="J19">
        <v>3.6006037489909069E-6</v>
      </c>
      <c r="K19">
        <v>1.032515782650891E-6</v>
      </c>
      <c r="L19">
        <v>8.1108866510048153E-7</v>
      </c>
      <c r="M19">
        <v>1.5487706006996699E-6</v>
      </c>
      <c r="N19">
        <v>2.1613169902116239E-6</v>
      </c>
      <c r="O19">
        <v>2.459448853558884E-6</v>
      </c>
      <c r="P19">
        <v>2.6955497423619759E-7</v>
      </c>
      <c r="Q19">
        <v>0</v>
      </c>
      <c r="R19">
        <v>0</v>
      </c>
      <c r="S19">
        <v>2.440956271589831E-7</v>
      </c>
      <c r="T19">
        <v>1.4297829325935839E-7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3.648556989965826E-9</v>
      </c>
      <c r="AD19">
        <v>5.6927617358560811E-8</v>
      </c>
      <c r="AE19">
        <v>2.8095726517453418E-10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1.9723302375388192E-11</v>
      </c>
      <c r="AO19">
        <v>3.4733691877930411E-9</v>
      </c>
      <c r="AP19">
        <v>1.069729323679275E-10</v>
      </c>
      <c r="AQ19">
        <v>2.0374874728704932E-9</v>
      </c>
      <c r="AR19">
        <v>1.4384068374647699E-6</v>
      </c>
      <c r="AS19">
        <v>3.1960310497006418E-7</v>
      </c>
      <c r="AT19">
        <v>2.5217991456389088E-7</v>
      </c>
      <c r="AU19">
        <v>3.4462829458966711E-7</v>
      </c>
      <c r="AV19">
        <v>2.3709432172565079E-7</v>
      </c>
      <c r="AW19">
        <v>7.7677152534192355E-7</v>
      </c>
      <c r="AX19">
        <v>2.3616366166338711E-8</v>
      </c>
      <c r="AY19">
        <v>1.3061631517358299E-6</v>
      </c>
      <c r="AZ19">
        <v>5.3539994733012972E-7</v>
      </c>
      <c r="BA19">
        <v>3.6273928777770472E-7</v>
      </c>
      <c r="BB19">
        <v>6.4789154042770271E-7</v>
      </c>
      <c r="BC19">
        <v>1.122479022362143E-8</v>
      </c>
      <c r="BD19">
        <v>1.938886855279719E-8</v>
      </c>
      <c r="BE19">
        <v>5.249802519216824E-9</v>
      </c>
      <c r="BF19">
        <v>4.4848380075120038E-8</v>
      </c>
      <c r="BG19">
        <v>2.6166988591058122E-7</v>
      </c>
      <c r="BH19">
        <v>2.3115727733336541E-8</v>
      </c>
      <c r="BI19">
        <v>2.1674896005678202E-8</v>
      </c>
      <c r="BJ19">
        <v>2.7672437715399689E-9</v>
      </c>
      <c r="BK19">
        <v>1.7349336449317852E-8</v>
      </c>
      <c r="BL19">
        <v>7.4462843727672123E-9</v>
      </c>
      <c r="BM19">
        <v>6.4161121244670133E-11</v>
      </c>
      <c r="BN19">
        <v>0</v>
      </c>
      <c r="BO19">
        <v>1.4384770874740841E-9</v>
      </c>
      <c r="BP19">
        <v>3.5073087988406009E-9</v>
      </c>
      <c r="BQ19">
        <v>0</v>
      </c>
      <c r="BR19">
        <v>0</v>
      </c>
      <c r="BS19">
        <v>9.0398629599855107E-10</v>
      </c>
      <c r="BT19">
        <v>0</v>
      </c>
      <c r="BU19">
        <v>1.5639763188320509E-9</v>
      </c>
      <c r="BV19">
        <v>5.39678216413356E-10</v>
      </c>
      <c r="BW19">
        <v>4.603448188761769E-12</v>
      </c>
      <c r="BX19">
        <v>9.1632694368216916E-10</v>
      </c>
      <c r="BY19">
        <v>8.7867915722741476E-10</v>
      </c>
      <c r="BZ19">
        <v>0</v>
      </c>
      <c r="CA19">
        <v>4.8266643397336266E-10</v>
      </c>
      <c r="CB19">
        <v>9.8780517845042618E-10</v>
      </c>
      <c r="CC19">
        <v>1.6696685276943711E-9</v>
      </c>
      <c r="CD19">
        <v>1.8263247601304319E-10</v>
      </c>
      <c r="CE19">
        <v>2.034796075010176E-10</v>
      </c>
      <c r="CF19">
        <v>3.0611395733341709E-10</v>
      </c>
      <c r="CG19">
        <v>1.948130083947872E-10</v>
      </c>
      <c r="CH19">
        <v>2.9733871075998643E-11</v>
      </c>
      <c r="CI19">
        <v>1.285356469303759E-8</v>
      </c>
      <c r="CJ19">
        <v>1.356000465354182E-8</v>
      </c>
      <c r="CK19">
        <v>1.836880835384791E-9</v>
      </c>
      <c r="CL19">
        <v>2.6490644729503731E-9</v>
      </c>
      <c r="CM19">
        <v>1.5048787378639549E-8</v>
      </c>
      <c r="CN19">
        <v>0</v>
      </c>
      <c r="CO19">
        <v>3.2526002620997232E-9</v>
      </c>
      <c r="CP19">
        <v>6.1529128191175602E-9</v>
      </c>
      <c r="CQ19">
        <v>2.552244743662158E-9</v>
      </c>
      <c r="CR19">
        <v>0</v>
      </c>
      <c r="CS19">
        <v>5.52479128014495E-9</v>
      </c>
      <c r="CT19">
        <v>4.9532809379129126E-9</v>
      </c>
      <c r="CU19">
        <v>9.2121428283893226E-9</v>
      </c>
      <c r="CV19">
        <v>8.1790525441355701E-9</v>
      </c>
      <c r="CW19">
        <v>3.3166460500563481E-9</v>
      </c>
      <c r="CX19">
        <v>3.310419901926094E-9</v>
      </c>
      <c r="CY19">
        <v>6.3903341953324252E-9</v>
      </c>
      <c r="CZ19">
        <v>4.553129243689589E-9</v>
      </c>
      <c r="DA19">
        <v>4.6983547977022286E-9</v>
      </c>
      <c r="DB19">
        <v>4.5359232444121274E-9</v>
      </c>
      <c r="DC19">
        <v>0</v>
      </c>
      <c r="DD19">
        <v>2.9969445543613309E-9</v>
      </c>
      <c r="DE19">
        <v>3.1352668428428221E-9</v>
      </c>
      <c r="DF19">
        <v>1.734216387621732E-9</v>
      </c>
      <c r="DG19">
        <v>2.009566847562156E-9</v>
      </c>
      <c r="DH19">
        <v>2.529201754262614E-9</v>
      </c>
      <c r="DI19">
        <v>0</v>
      </c>
      <c r="DJ19">
        <v>3.2078970192059621E-9</v>
      </c>
      <c r="DK19">
        <v>0</v>
      </c>
      <c r="DL19">
        <v>3.684919701763193E-9</v>
      </c>
      <c r="DM19">
        <v>2.5741338180433892E-9</v>
      </c>
      <c r="DN19">
        <v>3.0023288947764801E-9</v>
      </c>
      <c r="DO19">
        <v>3.6643616230385658E-9</v>
      </c>
      <c r="DP19">
        <v>2.519624632867586E-9</v>
      </c>
      <c r="DQ19">
        <v>3.2649118219199729E-9</v>
      </c>
      <c r="DR19">
        <v>2.60469314064728E-9</v>
      </c>
      <c r="DS19">
        <v>4.4540762575401591E-9</v>
      </c>
      <c r="DT19">
        <v>2.4704417560342959E-9</v>
      </c>
      <c r="DU19">
        <v>8.2325178648577695E-9</v>
      </c>
      <c r="DV19">
        <v>0</v>
      </c>
      <c r="DW19">
        <v>0</v>
      </c>
      <c r="DX19">
        <v>9.7997079152514068E-9</v>
      </c>
      <c r="DY19">
        <v>4.0380325602482623E-9</v>
      </c>
      <c r="DZ19">
        <v>3.2032703101831061E-9</v>
      </c>
      <c r="EA19">
        <v>3.6305322798945329E-9</v>
      </c>
      <c r="EB19">
        <v>1.4543113221590471E-9</v>
      </c>
      <c r="EC19">
        <v>6.2532242316471776E-9</v>
      </c>
      <c r="ED19">
        <v>2.694167128281913E-9</v>
      </c>
      <c r="EE19">
        <v>2.9058986834961551E-10</v>
      </c>
      <c r="EF19">
        <v>0</v>
      </c>
      <c r="EG19">
        <v>5.204138681026573E-9</v>
      </c>
      <c r="EH19">
        <v>0</v>
      </c>
      <c r="EI19">
        <v>0</v>
      </c>
      <c r="EJ19">
        <v>1.07136175705933E-9</v>
      </c>
      <c r="EK19">
        <v>1.014298386223212E-9</v>
      </c>
      <c r="EL19">
        <v>2.5153647900367018E-10</v>
      </c>
      <c r="EM19">
        <v>5.147410190826834E-10</v>
      </c>
      <c r="EN19">
        <v>1.069085897411092E-16</v>
      </c>
      <c r="EO19">
        <v>0</v>
      </c>
      <c r="EP19">
        <v>1.0677575480032599E-9</v>
      </c>
      <c r="EQ19">
        <v>2.3013967927664711E-9</v>
      </c>
      <c r="ER19">
        <v>1.2449731856524411E-8</v>
      </c>
      <c r="ES19">
        <v>3.8129467043406397E-9</v>
      </c>
      <c r="ET19">
        <v>1.1364374545103869E-8</v>
      </c>
      <c r="EU19">
        <v>0</v>
      </c>
      <c r="EV19">
        <v>8.5927009121638404E-10</v>
      </c>
      <c r="EW19">
        <v>8.3587432027767459E-9</v>
      </c>
      <c r="EX19">
        <v>2.1929269109269099E-9</v>
      </c>
      <c r="EY19">
        <v>2.756870686731901E-9</v>
      </c>
      <c r="EZ19">
        <v>5.9111076213868438E-8</v>
      </c>
      <c r="FA19">
        <v>2.897125076835783E-9</v>
      </c>
      <c r="FB19">
        <v>1.874575723536111E-9</v>
      </c>
      <c r="FC19">
        <v>3.4176612305924899E-9</v>
      </c>
      <c r="FD19">
        <v>2.9218187079886049E-9</v>
      </c>
      <c r="FE19">
        <v>7.8314105507717762E-9</v>
      </c>
      <c r="FF19">
        <v>5.4740309565141473E-9</v>
      </c>
      <c r="FG19">
        <v>2.6414644519170939E-9</v>
      </c>
      <c r="FH19">
        <v>3.4242541872703411E-9</v>
      </c>
      <c r="FI19">
        <v>3.2183649479685089E-9</v>
      </c>
      <c r="FJ19">
        <v>3.6688634289303681E-9</v>
      </c>
      <c r="FK19">
        <v>4.3234097816906417E-9</v>
      </c>
      <c r="FL19">
        <v>6.3518447135670497E-9</v>
      </c>
      <c r="FM19">
        <v>6.9788022738400523E-9</v>
      </c>
      <c r="FN19">
        <v>4.1038556480076058E-9</v>
      </c>
      <c r="FO19">
        <v>1.3730554342514241E-8</v>
      </c>
      <c r="FP19">
        <v>5.660136508654605E-9</v>
      </c>
      <c r="FQ19">
        <v>5.7991507323614517E-9</v>
      </c>
      <c r="FR19">
        <v>1.058037379453374E-8</v>
      </c>
      <c r="FS19">
        <v>6.6000438136489924E-9</v>
      </c>
      <c r="FT19">
        <v>3.7334715383544774E-9</v>
      </c>
      <c r="FU19">
        <v>3.7383520028873126E-9</v>
      </c>
      <c r="FV19">
        <v>3.7992280897224361E-9</v>
      </c>
      <c r="FW19">
        <v>3.7173839190987929E-9</v>
      </c>
      <c r="FX19">
        <v>3.6831778759818612E-9</v>
      </c>
      <c r="FY19">
        <v>3.7660614184735207E-9</v>
      </c>
      <c r="FZ19">
        <v>3.68465093959037E-9</v>
      </c>
      <c r="GA19">
        <v>3.598547214483237E-9</v>
      </c>
      <c r="GB19">
        <v>3.397906769592914E-9</v>
      </c>
      <c r="GC19">
        <v>3.5757572689091999E-9</v>
      </c>
      <c r="GD19">
        <v>3.5921461955322059E-9</v>
      </c>
      <c r="GE19">
        <v>1.593576736224137E-9</v>
      </c>
      <c r="GF19">
        <v>3.7333069693759743E-9</v>
      </c>
      <c r="GG19">
        <v>3.6766787951691099E-9</v>
      </c>
      <c r="GH19">
        <v>3.6655189391250392E-9</v>
      </c>
      <c r="GI19">
        <v>3.6876431572182229E-9</v>
      </c>
      <c r="GJ19">
        <v>3.6641851955871908E-9</v>
      </c>
      <c r="GK19">
        <v>3.6639646563858551E-9</v>
      </c>
      <c r="GL19">
        <v>3.6585085947738121E-9</v>
      </c>
      <c r="GM19">
        <v>3.686913588976965E-9</v>
      </c>
      <c r="GN19">
        <v>5.0639047929705746E-9</v>
      </c>
      <c r="GO19">
        <v>1.7369893794197849E-8</v>
      </c>
      <c r="GP19">
        <v>9.1581014020624442E-10</v>
      </c>
      <c r="GQ19">
        <v>0</v>
      </c>
      <c r="GR19">
        <v>2.4002681450324022E-7</v>
      </c>
      <c r="GS19">
        <v>1.4384068374647699E-6</v>
      </c>
      <c r="GT19">
        <v>4.3907976401249509E-7</v>
      </c>
      <c r="GU19">
        <v>7.8168260052443542E-7</v>
      </c>
      <c r="GV19">
        <v>8.0358700547981484E-7</v>
      </c>
      <c r="GW19">
        <v>5.1117884975148838E-7</v>
      </c>
      <c r="GX19">
        <v>1.075909685212967E-8</v>
      </c>
      <c r="GY19">
        <v>3.353132572652006E-9</v>
      </c>
      <c r="GZ19">
        <v>1.172951730665936E-8</v>
      </c>
      <c r="HA19">
        <v>4.6151651462243498E-9</v>
      </c>
      <c r="HB19">
        <v>5.9111076213868431E-8</v>
      </c>
      <c r="HC19">
        <v>7.1518240630724624E-9</v>
      </c>
    </row>
    <row r="20" spans="1:211" x14ac:dyDescent="0.45">
      <c r="A20" s="1" t="s">
        <v>5</v>
      </c>
      <c r="B20">
        <v>2.0062290094296982E-6</v>
      </c>
      <c r="C20">
        <v>2.3309568647839188E-6</v>
      </c>
      <c r="D20">
        <v>2.754212221375211E-6</v>
      </c>
      <c r="E20">
        <v>7.2689971595422603E-7</v>
      </c>
      <c r="F20">
        <v>2.0957648001781468E-6</v>
      </c>
      <c r="G20">
        <v>7.9480754923454772E-7</v>
      </c>
      <c r="H20">
        <v>1.109490700730354E-5</v>
      </c>
      <c r="I20">
        <v>1.625171934242447E-6</v>
      </c>
      <c r="J20">
        <v>2.239826258934101E-5</v>
      </c>
      <c r="K20">
        <v>9.922529144135436E-7</v>
      </c>
      <c r="L20">
        <v>1.4101268918455821E-6</v>
      </c>
      <c r="M20">
        <v>4.7143027575047737E-6</v>
      </c>
      <c r="N20">
        <v>7.9780576443002651E-7</v>
      </c>
      <c r="O20">
        <v>0</v>
      </c>
      <c r="P20">
        <v>1.266524442893996E-5</v>
      </c>
      <c r="Q20">
        <v>0</v>
      </c>
      <c r="R20">
        <v>0</v>
      </c>
      <c r="S20">
        <v>5.7572993842422601E-6</v>
      </c>
      <c r="T20">
        <v>8.3903832293477902E-7</v>
      </c>
      <c r="U20">
        <v>3.7256167584603347E-9</v>
      </c>
      <c r="V20">
        <v>2.5010854729134839E-9</v>
      </c>
      <c r="W20">
        <v>2.755065571103099E-8</v>
      </c>
      <c r="X20">
        <v>0</v>
      </c>
      <c r="Y20">
        <v>1.8974304426987018E-8</v>
      </c>
      <c r="Z20">
        <v>1.9951240668426761E-8</v>
      </c>
      <c r="AA20">
        <v>6.3731208514210796E-8</v>
      </c>
      <c r="AB20">
        <v>0</v>
      </c>
      <c r="AC20">
        <v>2.1969072524696911E-8</v>
      </c>
      <c r="AD20">
        <v>1.3570517799290999E-9</v>
      </c>
      <c r="AE20">
        <v>3.4510867792729828E-7</v>
      </c>
      <c r="AF20">
        <v>0</v>
      </c>
      <c r="AG20">
        <v>9.5006704149764633E-9</v>
      </c>
      <c r="AH20">
        <v>1.6283245175999429E-11</v>
      </c>
      <c r="AI20">
        <v>4.8700671770319179E-5</v>
      </c>
      <c r="AJ20">
        <v>1.882463046878597E-7</v>
      </c>
      <c r="AK20">
        <v>1.4685777823811781E-9</v>
      </c>
      <c r="AL20">
        <v>2.6571408448120879E-7</v>
      </c>
      <c r="AM20">
        <v>5.707699771731172E-9</v>
      </c>
      <c r="AN20">
        <v>8.6389578728615818E-10</v>
      </c>
      <c r="AO20">
        <v>4.3199006107905121E-9</v>
      </c>
      <c r="AP20">
        <v>1.0994382720998079E-9</v>
      </c>
      <c r="AQ20">
        <v>6.1410945135343281E-9</v>
      </c>
      <c r="AR20">
        <v>2.8818759768423239E-6</v>
      </c>
      <c r="AS20">
        <v>5.7938842125440883E-7</v>
      </c>
      <c r="AT20">
        <v>7.6635657103777639E-7</v>
      </c>
      <c r="AU20">
        <v>2.1572476430301251E-7</v>
      </c>
      <c r="AV20">
        <v>6.9844336580901094E-7</v>
      </c>
      <c r="AW20">
        <v>4.1798395588813399E-7</v>
      </c>
      <c r="AX20">
        <v>3.9983633935818341E-7</v>
      </c>
      <c r="AY20">
        <v>9.0359975882999984E-7</v>
      </c>
      <c r="AZ20">
        <v>7.2875802959179187E-7</v>
      </c>
      <c r="BA20">
        <v>2.6255022720755839E-7</v>
      </c>
      <c r="BB20">
        <v>2.397430384517339E-7</v>
      </c>
      <c r="BC20">
        <v>2.1100814331289309E-7</v>
      </c>
      <c r="BD20">
        <v>1.4378009544147681E-7</v>
      </c>
      <c r="BE20">
        <v>1.7924317463809489E-7</v>
      </c>
      <c r="BF20">
        <v>4.8860581102752865E-7</v>
      </c>
      <c r="BG20">
        <v>6.1664930864877428E-7</v>
      </c>
      <c r="BH20">
        <v>0</v>
      </c>
      <c r="BI20">
        <v>1.107256389107885E-6</v>
      </c>
      <c r="BJ20">
        <v>0</v>
      </c>
      <c r="BK20">
        <v>2.0310524851216759E-7</v>
      </c>
      <c r="BL20">
        <v>3.8950417613685202E-8</v>
      </c>
      <c r="BM20">
        <v>2.9175844222701319E-8</v>
      </c>
      <c r="BN20">
        <v>0</v>
      </c>
      <c r="BO20">
        <v>0</v>
      </c>
      <c r="BP20">
        <v>9.0149119491322518E-7</v>
      </c>
      <c r="BQ20">
        <v>4.2506495446732872E-9</v>
      </c>
      <c r="BR20">
        <v>0</v>
      </c>
      <c r="BS20">
        <v>6.077184894221723E-8</v>
      </c>
      <c r="BT20">
        <v>1.9885263354938341E-8</v>
      </c>
      <c r="BU20">
        <v>2.4228030134010859E-8</v>
      </c>
      <c r="BV20">
        <v>2.4350316880289282E-7</v>
      </c>
      <c r="BW20">
        <v>0</v>
      </c>
      <c r="BX20">
        <v>5.7805264250876553E-8</v>
      </c>
      <c r="BY20">
        <v>1.6833823160097651E-8</v>
      </c>
      <c r="BZ20">
        <v>0</v>
      </c>
      <c r="CA20">
        <v>2.9020787831934251E-8</v>
      </c>
      <c r="CB20">
        <v>0</v>
      </c>
      <c r="CC20">
        <v>0</v>
      </c>
      <c r="CD20">
        <v>9.5923606062496737E-9</v>
      </c>
      <c r="CE20">
        <v>0</v>
      </c>
      <c r="CF20">
        <v>1.241835157112791E-8</v>
      </c>
      <c r="CG20">
        <v>7.6469425037417834E-9</v>
      </c>
      <c r="CH20">
        <v>0</v>
      </c>
      <c r="CI20">
        <v>2.129184840612618E-7</v>
      </c>
      <c r="CJ20">
        <v>0</v>
      </c>
      <c r="CK20">
        <v>9.4690816943050542E-7</v>
      </c>
      <c r="CL20">
        <v>1.900323563403102E-6</v>
      </c>
      <c r="CM20">
        <v>9.6381897797572926E-8</v>
      </c>
      <c r="CN20">
        <v>0</v>
      </c>
      <c r="CO20">
        <v>1.3805652822627259E-6</v>
      </c>
      <c r="CP20">
        <v>0</v>
      </c>
      <c r="CQ20">
        <v>0</v>
      </c>
      <c r="CR20">
        <v>0</v>
      </c>
      <c r="CS20">
        <v>6.2852312061138765E-8</v>
      </c>
      <c r="CT20">
        <v>0</v>
      </c>
      <c r="CU20">
        <v>7.1330084472531945E-8</v>
      </c>
      <c r="CV20">
        <v>5.856469867378254E-8</v>
      </c>
      <c r="CW20">
        <v>4.3440355449981318E-8</v>
      </c>
      <c r="CX20">
        <v>0</v>
      </c>
      <c r="CY20">
        <v>4.8027387812941947E-8</v>
      </c>
      <c r="CZ20">
        <v>3.67927048050723E-8</v>
      </c>
      <c r="DA20">
        <v>0</v>
      </c>
      <c r="DB20">
        <v>6.5438875189550427E-8</v>
      </c>
      <c r="DC20">
        <v>0</v>
      </c>
      <c r="DD20">
        <v>8.057987227487263E-8</v>
      </c>
      <c r="DE20">
        <v>0</v>
      </c>
      <c r="DF20">
        <v>2.101795317742242E-7</v>
      </c>
      <c r="DG20">
        <v>0</v>
      </c>
      <c r="DH20">
        <v>9.5867757956512605E-8</v>
      </c>
      <c r="DI20">
        <v>0</v>
      </c>
      <c r="DJ20">
        <v>8.5805369153334518E-8</v>
      </c>
      <c r="DK20">
        <v>0</v>
      </c>
      <c r="DL20">
        <v>0</v>
      </c>
      <c r="DM20">
        <v>3.4007371023081281E-8</v>
      </c>
      <c r="DN20">
        <v>1.6831708413066821E-8</v>
      </c>
      <c r="DO20">
        <v>7.766503402227005E-8</v>
      </c>
      <c r="DP20">
        <v>1.9309543540917909E-8</v>
      </c>
      <c r="DQ20">
        <v>2.063254947009899E-8</v>
      </c>
      <c r="DR20">
        <v>1.5197437277037201E-8</v>
      </c>
      <c r="DS20">
        <v>4.2081959479648092E-8</v>
      </c>
      <c r="DT20">
        <v>2.0569843065905501E-8</v>
      </c>
      <c r="DU20">
        <v>9.8668436665342647E-8</v>
      </c>
      <c r="DV20">
        <v>0</v>
      </c>
      <c r="DW20">
        <v>0</v>
      </c>
      <c r="DX20">
        <v>6.9850774154277531E-9</v>
      </c>
      <c r="DY20">
        <v>2.286352427955471E-8</v>
      </c>
      <c r="DZ20">
        <v>1.2074008423749739E-7</v>
      </c>
      <c r="EA20">
        <v>8.1378827383612736E-8</v>
      </c>
      <c r="EB20">
        <v>2.468133744527088E-8</v>
      </c>
      <c r="EC20">
        <v>1.363266612047383E-8</v>
      </c>
      <c r="ED20">
        <v>7.0478023853326318E-8</v>
      </c>
      <c r="EE20">
        <v>7.4561581375227183E-8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6.2069305372512232E-8</v>
      </c>
      <c r="EU20">
        <v>0</v>
      </c>
      <c r="EV20">
        <v>3.8730514561617647E-8</v>
      </c>
      <c r="EW20">
        <v>3.4508420939744129E-7</v>
      </c>
      <c r="EX20">
        <v>6.8719406856611128E-8</v>
      </c>
      <c r="EY20">
        <v>5.49405469278318E-8</v>
      </c>
      <c r="EZ20">
        <v>2.3873797329355201E-7</v>
      </c>
      <c r="FA20">
        <v>6.1466038353520657E-8</v>
      </c>
      <c r="FB20">
        <v>3.561231077556948E-8</v>
      </c>
      <c r="FC20">
        <v>1.9857736954327929E-7</v>
      </c>
      <c r="FD20">
        <v>7.7480957787848208E-8</v>
      </c>
      <c r="FE20">
        <v>1.8481412202438599E-7</v>
      </c>
      <c r="FF20">
        <v>5.9153280957262219E-8</v>
      </c>
      <c r="FG20">
        <v>4.9623295888290703E-8</v>
      </c>
      <c r="FH20">
        <v>2.4615057308889729E-8</v>
      </c>
      <c r="FI20">
        <v>1.5997004936547309E-8</v>
      </c>
      <c r="FJ20">
        <v>2.5042408771273511E-8</v>
      </c>
      <c r="FK20">
        <v>2.344236552226418E-8</v>
      </c>
      <c r="FL20">
        <v>2.1323170332931011E-8</v>
      </c>
      <c r="FM20">
        <v>2.9033575471685809E-8</v>
      </c>
      <c r="FN20">
        <v>3.5302462161612631E-8</v>
      </c>
      <c r="FO20">
        <v>1.079403418762214E-7</v>
      </c>
      <c r="FP20">
        <v>2.7538492547918991E-8</v>
      </c>
      <c r="FQ20">
        <v>6.4484484655835951E-8</v>
      </c>
      <c r="FR20">
        <v>4.5822527685400602E-8</v>
      </c>
      <c r="FS20">
        <v>9.9092459756315847E-8</v>
      </c>
      <c r="FT20">
        <v>4.0269252446310688E-8</v>
      </c>
      <c r="FU20">
        <v>2.681837230752152E-8</v>
      </c>
      <c r="FV20">
        <v>3.1640687455566653E-8</v>
      </c>
      <c r="FW20">
        <v>3.8640580744306029E-8</v>
      </c>
      <c r="FX20">
        <v>2.225780062103958E-8</v>
      </c>
      <c r="FY20">
        <v>2.634085538109678E-8</v>
      </c>
      <c r="FZ20">
        <v>3.0387999857294867E-8</v>
      </c>
      <c r="GA20">
        <v>1.5502342747392271E-8</v>
      </c>
      <c r="GB20">
        <v>2.0938400123763551E-8</v>
      </c>
      <c r="GC20">
        <v>3.6678089083481673E-8</v>
      </c>
      <c r="GD20">
        <v>2.8792164171089889E-8</v>
      </c>
      <c r="GE20">
        <v>1.249784527100086E-8</v>
      </c>
      <c r="GF20">
        <v>2.0465380878650381E-8</v>
      </c>
      <c r="GG20">
        <v>2.7684466830572541E-8</v>
      </c>
      <c r="GH20">
        <v>2.4517765383925349E-8</v>
      </c>
      <c r="GI20">
        <v>2.0982620234294711E-8</v>
      </c>
      <c r="GJ20">
        <v>2.0739923620335651E-8</v>
      </c>
      <c r="GK20">
        <v>3.4652273884093242E-8</v>
      </c>
      <c r="GL20">
        <v>1.8716611810740791E-8</v>
      </c>
      <c r="GM20">
        <v>2.0049003720917991E-8</v>
      </c>
      <c r="GN20">
        <v>9.8368248543185127E-8</v>
      </c>
      <c r="GO20">
        <v>5.0688414780980037E-8</v>
      </c>
      <c r="GP20">
        <v>1.075222944446832E-7</v>
      </c>
      <c r="GQ20">
        <v>0</v>
      </c>
      <c r="GR20">
        <v>7.2626321102244499E-7</v>
      </c>
      <c r="GS20">
        <v>2.8818759768423239E-6</v>
      </c>
      <c r="GT20">
        <v>5.7114643066895274E-7</v>
      </c>
      <c r="GU20">
        <v>5.100586006319688E-7</v>
      </c>
      <c r="GV20">
        <v>4.1798395588813399E-7</v>
      </c>
      <c r="GW20">
        <v>6.7560068492651257E-7</v>
      </c>
      <c r="GX20">
        <v>1.31684513306949E-7</v>
      </c>
      <c r="GY20">
        <v>4.7570971107616148E-8</v>
      </c>
      <c r="GZ20">
        <v>2.6231712615167108E-7</v>
      </c>
      <c r="HA20">
        <v>5.151642458973661E-8</v>
      </c>
      <c r="HB20">
        <v>0</v>
      </c>
      <c r="HC20">
        <v>5.143459191769306E-8</v>
      </c>
    </row>
    <row r="21" spans="1:211" x14ac:dyDescent="0.45">
      <c r="A21" s="1" t="s">
        <v>6</v>
      </c>
      <c r="B21">
        <v>12.589531046076591</v>
      </c>
      <c r="C21">
        <v>393.41683792647649</v>
      </c>
      <c r="D21">
        <v>6.1707335051997774</v>
      </c>
      <c r="E21">
        <v>6666.4130958942833</v>
      </c>
      <c r="F21">
        <v>709.18679688875659</v>
      </c>
      <c r="G21">
        <v>0</v>
      </c>
      <c r="H21">
        <v>18.17377665812187</v>
      </c>
      <c r="I21">
        <v>418.35490823388932</v>
      </c>
      <c r="J21">
        <v>0</v>
      </c>
      <c r="K21">
        <v>0</v>
      </c>
      <c r="L21">
        <v>37.6718724459</v>
      </c>
      <c r="M21">
        <v>134.96855356699999</v>
      </c>
      <c r="N21">
        <v>358.93550539300003</v>
      </c>
      <c r="O21">
        <v>0</v>
      </c>
      <c r="P21">
        <v>0</v>
      </c>
      <c r="Q21">
        <v>0</v>
      </c>
      <c r="R21">
        <v>0</v>
      </c>
      <c r="S21">
        <v>324.71811889076042</v>
      </c>
      <c r="T21">
        <v>191.524540960959</v>
      </c>
      <c r="U21">
        <v>6.3533008602000001</v>
      </c>
      <c r="V21">
        <v>0</v>
      </c>
      <c r="W21">
        <v>14.903983972800001</v>
      </c>
      <c r="X21">
        <v>0</v>
      </c>
      <c r="Y21">
        <v>14.5218305376</v>
      </c>
      <c r="Z21">
        <v>0</v>
      </c>
      <c r="AA21">
        <v>0</v>
      </c>
      <c r="AB21">
        <v>0</v>
      </c>
      <c r="AC21">
        <v>0</v>
      </c>
      <c r="AD21">
        <v>10172.62054431125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1038.4943145499999</v>
      </c>
      <c r="AS21">
        <v>596.45047547599995</v>
      </c>
      <c r="AT21">
        <v>892.77666270999998</v>
      </c>
      <c r="AU21">
        <v>2166.4317380399998</v>
      </c>
      <c r="AV21">
        <v>152.52438610900001</v>
      </c>
      <c r="AW21">
        <v>1806.0386160099999</v>
      </c>
      <c r="AX21">
        <v>130.97256975400001</v>
      </c>
      <c r="AY21">
        <v>92.726657253900001</v>
      </c>
      <c r="AZ21">
        <v>11484.836648500001</v>
      </c>
      <c r="BA21">
        <v>1737.93637934</v>
      </c>
      <c r="BB21">
        <v>1549.8190821000001</v>
      </c>
      <c r="BC21">
        <v>1749.27710897</v>
      </c>
      <c r="BD21">
        <v>5191.81852316</v>
      </c>
      <c r="BE21">
        <v>10896.3904117</v>
      </c>
      <c r="BF21">
        <v>6719.8629984099998</v>
      </c>
      <c r="BG21">
        <v>627.28953437057316</v>
      </c>
      <c r="BH21">
        <v>64.052776141426875</v>
      </c>
      <c r="BI21">
        <v>0</v>
      </c>
      <c r="BJ21">
        <v>0</v>
      </c>
      <c r="BK21">
        <v>1766.04037623</v>
      </c>
      <c r="BL21">
        <v>1559.8370236600001</v>
      </c>
      <c r="BM21">
        <v>0.1066507278430744</v>
      </c>
      <c r="BN21">
        <v>0</v>
      </c>
      <c r="BO21">
        <v>0</v>
      </c>
      <c r="BP21">
        <v>262.48153199278192</v>
      </c>
      <c r="BQ21">
        <v>0.26273048669999999</v>
      </c>
      <c r="BR21">
        <v>0</v>
      </c>
      <c r="BS21">
        <v>52.290447045240562</v>
      </c>
      <c r="BT21">
        <v>157.13671563599999</v>
      </c>
      <c r="BU21">
        <v>7198.1551780506543</v>
      </c>
      <c r="BV21">
        <v>1.056828588528105</v>
      </c>
      <c r="BW21">
        <v>0</v>
      </c>
      <c r="BX21">
        <v>612.42607809052072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2378.0362296804178</v>
      </c>
      <c r="CJ21">
        <v>286.21616942958212</v>
      </c>
      <c r="CK21">
        <v>1.6789142170569999</v>
      </c>
      <c r="CL21">
        <v>44.522949826820003</v>
      </c>
      <c r="CM21">
        <v>6643.3333910300007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895.25021162600001</v>
      </c>
      <c r="CV21">
        <v>0.112600342789</v>
      </c>
      <c r="CW21">
        <v>0.91886879222690554</v>
      </c>
      <c r="CX21">
        <v>5.55902005850945E-2</v>
      </c>
      <c r="CY21">
        <v>791.25578928899995</v>
      </c>
      <c r="CZ21">
        <v>6.1700262321527496E-3</v>
      </c>
      <c r="DA21">
        <v>3.9625614194724822E-4</v>
      </c>
      <c r="DB21">
        <v>5.4250360592692362</v>
      </c>
      <c r="DC21">
        <v>3.0458495076355003E-4</v>
      </c>
      <c r="DD21">
        <v>1.3261887457802539</v>
      </c>
      <c r="DE21">
        <v>0.102340521859746</v>
      </c>
      <c r="DF21">
        <v>0</v>
      </c>
      <c r="DG21">
        <v>0</v>
      </c>
      <c r="DH21">
        <v>0</v>
      </c>
      <c r="DI21">
        <v>0</v>
      </c>
      <c r="DJ21">
        <v>7.4935930203748713</v>
      </c>
      <c r="DK21">
        <v>6.0997008595128847E-2</v>
      </c>
      <c r="DL21">
        <v>0</v>
      </c>
      <c r="DM21">
        <v>2010.42848448</v>
      </c>
      <c r="DN21">
        <v>520.47413446200005</v>
      </c>
      <c r="DO21">
        <v>1803.7615754999999</v>
      </c>
      <c r="DP21">
        <v>2577.2612739800002</v>
      </c>
      <c r="DQ21">
        <v>4696.7749308100001</v>
      </c>
      <c r="DR21">
        <v>4669.9064481400001</v>
      </c>
      <c r="DS21">
        <v>29014.020956100001</v>
      </c>
      <c r="DT21">
        <v>2813.8265550279998</v>
      </c>
      <c r="DU21">
        <v>10799.400247</v>
      </c>
      <c r="DV21">
        <v>0</v>
      </c>
      <c r="DW21">
        <v>0</v>
      </c>
      <c r="DX21">
        <v>63.361211080935377</v>
      </c>
      <c r="DY21">
        <v>50.540358367452967</v>
      </c>
      <c r="DZ21">
        <v>20.421948832948161</v>
      </c>
      <c r="EA21">
        <v>34.973120821718787</v>
      </c>
      <c r="EB21">
        <v>7.7745748429250057</v>
      </c>
      <c r="EC21">
        <v>7.7841592984684684</v>
      </c>
      <c r="ED21">
        <v>4.4869937232399604</v>
      </c>
      <c r="EE21">
        <v>2.2862877476796539</v>
      </c>
      <c r="EF21">
        <v>0</v>
      </c>
      <c r="EG21">
        <v>4.9947555776570151E-3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107.8362040536</v>
      </c>
      <c r="EY21">
        <v>0</v>
      </c>
      <c r="EZ21">
        <v>0</v>
      </c>
      <c r="FA21">
        <v>1317.5141081675199</v>
      </c>
      <c r="FB21">
        <v>5070.0672428300004</v>
      </c>
      <c r="FC21">
        <v>0.66543467202200002</v>
      </c>
      <c r="FD21">
        <v>3107.3829579702092</v>
      </c>
      <c r="FE21">
        <v>243.82395424985501</v>
      </c>
      <c r="FF21">
        <v>8077.9817955548197</v>
      </c>
      <c r="FG21">
        <v>854.20888969679993</v>
      </c>
      <c r="FH21">
        <v>2604.55483714</v>
      </c>
      <c r="FI21">
        <v>1220.2376179299999</v>
      </c>
      <c r="FJ21">
        <v>1145.74717822</v>
      </c>
      <c r="FK21">
        <v>0</v>
      </c>
      <c r="FL21">
        <v>0</v>
      </c>
      <c r="FM21">
        <v>0</v>
      </c>
      <c r="FN21">
        <v>1.81215275413</v>
      </c>
      <c r="FO21">
        <v>1038.6668066899999</v>
      </c>
      <c r="FP21">
        <v>652.78120585600004</v>
      </c>
      <c r="FQ21">
        <v>1267.5185599075201</v>
      </c>
      <c r="FR21">
        <v>1024.3292228667999</v>
      </c>
      <c r="FS21">
        <v>1545.727142509</v>
      </c>
      <c r="FT21">
        <v>7.1772939881199997</v>
      </c>
      <c r="FU21">
        <v>7.47894238651</v>
      </c>
      <c r="FV21">
        <v>3.4561336392499999</v>
      </c>
      <c r="FW21">
        <v>12.452825049199999</v>
      </c>
      <c r="FX21">
        <v>1.4328711332499999</v>
      </c>
      <c r="FY21">
        <v>2.5196803371600001</v>
      </c>
      <c r="FZ21">
        <v>7.2681283026200001</v>
      </c>
      <c r="GA21">
        <v>0.63557573159500003</v>
      </c>
      <c r="GB21">
        <v>4.31870936057E-2</v>
      </c>
      <c r="GC21">
        <v>6.2167013558799988</v>
      </c>
      <c r="GD21">
        <v>8.3376501952699993</v>
      </c>
      <c r="GE21">
        <v>0</v>
      </c>
      <c r="GF21">
        <v>2.8579230598600001</v>
      </c>
      <c r="GG21">
        <v>5.4780863341700003</v>
      </c>
      <c r="GH21">
        <v>6.6187806119300001</v>
      </c>
      <c r="GI21">
        <v>4.2866716676400003</v>
      </c>
      <c r="GJ21">
        <v>0.91095341557300002</v>
      </c>
      <c r="GK21">
        <v>10.798532357499999</v>
      </c>
      <c r="GL21">
        <v>0.47988633069100001</v>
      </c>
      <c r="GM21">
        <v>1.5981500333700001</v>
      </c>
      <c r="GN21">
        <v>95.863337095600002</v>
      </c>
      <c r="GO21">
        <v>2481.46822075</v>
      </c>
      <c r="GP21">
        <v>262.19233730575002</v>
      </c>
      <c r="GQ21">
        <v>0</v>
      </c>
      <c r="GR21">
        <v>6818.9374820032835</v>
      </c>
      <c r="GS21">
        <v>1038.4943145499999</v>
      </c>
      <c r="GT21">
        <v>3828.2993022389001</v>
      </c>
      <c r="GU21">
        <v>2356.4986623639588</v>
      </c>
      <c r="GV21">
        <v>1806.0386160099999</v>
      </c>
      <c r="GW21">
        <v>17903.873458744751</v>
      </c>
      <c r="GX21">
        <v>26463.523517716021</v>
      </c>
      <c r="GY21">
        <v>58120.83281466164</v>
      </c>
      <c r="GZ21">
        <v>22808.071933269999</v>
      </c>
      <c r="HA21">
        <v>52451.491819216943</v>
      </c>
      <c r="HB21">
        <v>0</v>
      </c>
      <c r="HC21">
        <v>14392.991685798401</v>
      </c>
    </row>
    <row r="22" spans="1:211" x14ac:dyDescent="0.45">
      <c r="A22" s="1" t="s">
        <v>7</v>
      </c>
      <c r="B22">
        <v>111.1237859411297</v>
      </c>
      <c r="C22">
        <v>6143.0077963115054</v>
      </c>
      <c r="D22">
        <v>370.68346562429832</v>
      </c>
      <c r="E22">
        <v>10280.107604815599</v>
      </c>
      <c r="F22">
        <v>726.07848723778375</v>
      </c>
      <c r="G22">
        <v>0</v>
      </c>
      <c r="H22">
        <v>514.07430814345184</v>
      </c>
      <c r="I22">
        <v>0</v>
      </c>
      <c r="J22">
        <v>0</v>
      </c>
      <c r="K22">
        <v>0</v>
      </c>
      <c r="L22">
        <v>3117.9127895699999</v>
      </c>
      <c r="M22">
        <v>1889.7566549799999</v>
      </c>
      <c r="N22">
        <v>139.24546536700001</v>
      </c>
      <c r="O22">
        <v>137.460607966</v>
      </c>
      <c r="P22">
        <v>0</v>
      </c>
      <c r="Q22">
        <v>0</v>
      </c>
      <c r="R22">
        <v>0</v>
      </c>
      <c r="S22">
        <v>4983.7269113496177</v>
      </c>
      <c r="T22">
        <v>235.5104379290872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7.5170467887461898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5050.4413716326299</v>
      </c>
      <c r="AS22">
        <v>2108.0791581456701</v>
      </c>
      <c r="AT22">
        <v>8018.0444478146992</v>
      </c>
      <c r="AU22">
        <v>15949.9837150327</v>
      </c>
      <c r="AV22">
        <v>26.960627056900002</v>
      </c>
      <c r="AW22">
        <v>8488.2230403558297</v>
      </c>
      <c r="AX22">
        <v>26.83840954758</v>
      </c>
      <c r="AY22">
        <v>662.143368282305</v>
      </c>
      <c r="AZ22">
        <v>23360.725289119</v>
      </c>
      <c r="BA22">
        <v>7010.4418690136599</v>
      </c>
      <c r="BB22">
        <v>2468.4934124624001</v>
      </c>
      <c r="BC22">
        <v>874.53301648599995</v>
      </c>
      <c r="BD22">
        <v>2215.3406393403002</v>
      </c>
      <c r="BE22">
        <v>3273.5352910359002</v>
      </c>
      <c r="BF22">
        <v>128.12948849290001</v>
      </c>
      <c r="BG22">
        <v>710.2622544142647</v>
      </c>
      <c r="BH22">
        <v>438.23633378573538</v>
      </c>
      <c r="BI22">
        <v>0</v>
      </c>
      <c r="BJ22">
        <v>0</v>
      </c>
      <c r="BK22">
        <v>1585.4834509899999</v>
      </c>
      <c r="BL22">
        <v>5484.6488585699999</v>
      </c>
      <c r="BM22">
        <v>0.72930991165692571</v>
      </c>
      <c r="BN22">
        <v>0</v>
      </c>
      <c r="BO22">
        <v>0</v>
      </c>
      <c r="BP22">
        <v>4666.4618214472184</v>
      </c>
      <c r="BQ22">
        <v>0</v>
      </c>
      <c r="BR22">
        <v>0</v>
      </c>
      <c r="BS22">
        <v>43.24791175475945</v>
      </c>
      <c r="BT22">
        <v>0</v>
      </c>
      <c r="BU22">
        <v>7435.9329311493466</v>
      </c>
      <c r="BV22">
        <v>2.1437064312718959</v>
      </c>
      <c r="BW22">
        <v>0</v>
      </c>
      <c r="BX22">
        <v>301.73270808747918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37588.165323314177</v>
      </c>
      <c r="CJ22">
        <v>1908.1984372858201</v>
      </c>
      <c r="CK22">
        <v>8.0925708148400002</v>
      </c>
      <c r="CL22">
        <v>43.787168113900002</v>
      </c>
      <c r="CM22">
        <v>9071.7807908699997</v>
      </c>
      <c r="CN22">
        <v>0</v>
      </c>
      <c r="CO22">
        <v>0</v>
      </c>
      <c r="CP22">
        <v>347.92681815999998</v>
      </c>
      <c r="CQ22">
        <v>984.28394153700003</v>
      </c>
      <c r="CR22">
        <v>0</v>
      </c>
      <c r="CS22">
        <v>0</v>
      </c>
      <c r="CT22">
        <v>0</v>
      </c>
      <c r="CU22">
        <v>689.76229474199999</v>
      </c>
      <c r="CV22">
        <v>7.7309901311899996</v>
      </c>
      <c r="CW22">
        <v>50.515630950077558</v>
      </c>
      <c r="CX22">
        <v>11.094501610822441</v>
      </c>
      <c r="CY22">
        <v>967.10634446200015</v>
      </c>
      <c r="CZ22">
        <v>4.0624645841598698E-3</v>
      </c>
      <c r="DA22">
        <v>1.8210031991701299E-3</v>
      </c>
      <c r="DB22">
        <v>0</v>
      </c>
      <c r="DC22">
        <v>0</v>
      </c>
      <c r="DD22">
        <v>0.46723417790522082</v>
      </c>
      <c r="DE22">
        <v>0.26654030710377918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0.14561557168100001</v>
      </c>
      <c r="DM22">
        <v>3671.05667554</v>
      </c>
      <c r="DN22">
        <v>310.99962491299999</v>
      </c>
      <c r="DO22">
        <v>0</v>
      </c>
      <c r="DP22">
        <v>1938.44845799</v>
      </c>
      <c r="DQ22">
        <v>1956.93538405</v>
      </c>
      <c r="DR22">
        <v>2869.1544762899998</v>
      </c>
      <c r="DS22">
        <v>26547.7846919</v>
      </c>
      <c r="DT22">
        <v>1501.0289734744999</v>
      </c>
      <c r="DU22">
        <v>7391.2707397499989</v>
      </c>
      <c r="DV22">
        <v>0</v>
      </c>
      <c r="DW22">
        <v>0</v>
      </c>
      <c r="DX22">
        <v>160.53293276706461</v>
      </c>
      <c r="DY22">
        <v>458.08197929454701</v>
      </c>
      <c r="DZ22">
        <v>10186.75299786705</v>
      </c>
      <c r="EA22">
        <v>1235.3526669582809</v>
      </c>
      <c r="EB22">
        <v>488.06950732907501</v>
      </c>
      <c r="EC22">
        <v>36.951677209631541</v>
      </c>
      <c r="ED22">
        <v>213.02996467476001</v>
      </c>
      <c r="EE22">
        <v>167.10322240432029</v>
      </c>
      <c r="EF22">
        <v>0</v>
      </c>
      <c r="EG22">
        <v>11.36406994162234</v>
      </c>
      <c r="EH22">
        <v>0</v>
      </c>
      <c r="EI22">
        <v>0</v>
      </c>
      <c r="EJ22">
        <v>2459.8227431700002</v>
      </c>
      <c r="EK22">
        <v>9539.4035679999997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8925.8146115100008</v>
      </c>
      <c r="ER22">
        <v>1377.8064414299999</v>
      </c>
      <c r="ES22">
        <v>5628.20353823</v>
      </c>
      <c r="ET22">
        <v>8796.4664476500002</v>
      </c>
      <c r="EU22">
        <v>0</v>
      </c>
      <c r="EV22">
        <v>30296.038247430999</v>
      </c>
      <c r="EW22">
        <v>769.05730232869996</v>
      </c>
      <c r="EX22">
        <v>9886.4385954099998</v>
      </c>
      <c r="EY22">
        <v>7198.7452669800005</v>
      </c>
      <c r="EZ22">
        <v>83954.164852629998</v>
      </c>
      <c r="FA22">
        <v>15294.563008583</v>
      </c>
      <c r="FB22">
        <v>30950.3724516</v>
      </c>
      <c r="FC22">
        <v>308.12175901199998</v>
      </c>
      <c r="FD22">
        <v>1190.0860007440001</v>
      </c>
      <c r="FE22">
        <v>749.58537190106574</v>
      </c>
      <c r="FF22">
        <v>11302.3998226312</v>
      </c>
      <c r="FG22">
        <v>16771.579081532</v>
      </c>
      <c r="FH22">
        <v>42904.638546299997</v>
      </c>
      <c r="FI22">
        <v>13529.354277</v>
      </c>
      <c r="FJ22">
        <v>31909.8454513</v>
      </c>
      <c r="FK22">
        <v>0</v>
      </c>
      <c r="FL22">
        <v>242143.13257310001</v>
      </c>
      <c r="FM22">
        <v>3328.271032657</v>
      </c>
      <c r="FN22">
        <v>70.890308732400001</v>
      </c>
      <c r="FO22">
        <v>11126.0696009</v>
      </c>
      <c r="FP22">
        <v>15846.2651147</v>
      </c>
      <c r="FQ22">
        <v>186753.73804475501</v>
      </c>
      <c r="FR22">
        <v>130808.66813279</v>
      </c>
      <c r="FS22">
        <v>258670.86586419999</v>
      </c>
      <c r="FT22">
        <v>767.06281134100004</v>
      </c>
      <c r="FU22">
        <v>804.795130685</v>
      </c>
      <c r="FV22">
        <v>332.70708407199999</v>
      </c>
      <c r="FW22">
        <v>949.25281436</v>
      </c>
      <c r="FX22">
        <v>167.74187124900001</v>
      </c>
      <c r="FY22">
        <v>222.57871309000001</v>
      </c>
      <c r="FZ22">
        <v>919.98164076199998</v>
      </c>
      <c r="GA22">
        <v>70.537428166500007</v>
      </c>
      <c r="GB22">
        <v>6.1009405066999998</v>
      </c>
      <c r="GC22">
        <v>773.51984684800004</v>
      </c>
      <c r="GD22">
        <v>479.80123612099999</v>
      </c>
      <c r="GE22">
        <v>1.8890696923700001</v>
      </c>
      <c r="GF22">
        <v>266.24321473499998</v>
      </c>
      <c r="GG22">
        <v>472.33991311599999</v>
      </c>
      <c r="GH22">
        <v>460.33404258299998</v>
      </c>
      <c r="GI22">
        <v>317.56515019599999</v>
      </c>
      <c r="GJ22">
        <v>84.577913012400003</v>
      </c>
      <c r="GK22">
        <v>1333.3558007900001</v>
      </c>
      <c r="GL22">
        <v>52.302272047400002</v>
      </c>
      <c r="GM22">
        <v>192.22371685499999</v>
      </c>
      <c r="GN22">
        <v>22590.5100676</v>
      </c>
      <c r="GO22">
        <v>71885.084968099996</v>
      </c>
      <c r="GP22">
        <v>11238.476071223</v>
      </c>
      <c r="GQ22">
        <v>0</v>
      </c>
      <c r="GR22">
        <v>10307.068231872499</v>
      </c>
      <c r="GS22">
        <v>5050.4413716326299</v>
      </c>
      <c r="GT22">
        <v>31083.776765543069</v>
      </c>
      <c r="GU22">
        <v>8862.9789436519168</v>
      </c>
      <c r="GV22">
        <v>8625.6836483218303</v>
      </c>
      <c r="GW22">
        <v>35754.451946233312</v>
      </c>
      <c r="GX22">
        <v>348068.80637080298</v>
      </c>
      <c r="GY22">
        <v>115961.4466882009</v>
      </c>
      <c r="GZ22">
        <v>5617.0054188691001</v>
      </c>
      <c r="HA22">
        <v>76311.734081727249</v>
      </c>
      <c r="HB22">
        <v>83954.164852629998</v>
      </c>
      <c r="HC22">
        <v>879887.65012239758</v>
      </c>
    </row>
    <row r="23" spans="1:211" x14ac:dyDescent="0.45">
      <c r="A23" s="1" t="s">
        <v>8</v>
      </c>
      <c r="B23">
        <v>6.4325811785453149E-6</v>
      </c>
      <c r="C23">
        <v>1.4818748219736329E-4</v>
      </c>
      <c r="D23">
        <v>6.1030521410386747E-6</v>
      </c>
      <c r="E23">
        <v>5.7868281719389498E-4</v>
      </c>
      <c r="F23">
        <v>2.6995421961359711E-5</v>
      </c>
      <c r="G23">
        <v>0</v>
      </c>
      <c r="H23">
        <v>1.3696034283001601E-5</v>
      </c>
      <c r="I23">
        <v>0</v>
      </c>
      <c r="J23">
        <v>0</v>
      </c>
      <c r="K23">
        <v>0</v>
      </c>
      <c r="L23">
        <v>3.131984921140884E-4</v>
      </c>
      <c r="M23">
        <v>2.2015300762800129E-4</v>
      </c>
      <c r="N23">
        <v>2.1412104846981152E-5</v>
      </c>
      <c r="O23">
        <v>2.6476880920590572E-5</v>
      </c>
      <c r="P23">
        <v>0</v>
      </c>
      <c r="Q23">
        <v>0</v>
      </c>
      <c r="R23">
        <v>0</v>
      </c>
      <c r="S23">
        <v>5.9442125237321437E-4</v>
      </c>
      <c r="T23">
        <v>6.1899028240866349E-5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6.6631506551798719E-6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8.6375157643064871E-4</v>
      </c>
      <c r="AS23">
        <v>1.229273670865425E-4</v>
      </c>
      <c r="AT23">
        <v>7.3793289371612558E-4</v>
      </c>
      <c r="AU23">
        <v>2.5405121713468052E-3</v>
      </c>
      <c r="AV23">
        <v>1.9581051383268799E-6</v>
      </c>
      <c r="AW23">
        <v>7.9693820992104275E-4</v>
      </c>
      <c r="AX23">
        <v>3.9994770802665361E-7</v>
      </c>
      <c r="AY23">
        <v>2.5481045812843379E-5</v>
      </c>
      <c r="AZ23">
        <v>2.7184160526364E-3</v>
      </c>
      <c r="BA23">
        <v>5.645227414399507E-4</v>
      </c>
      <c r="BB23">
        <v>3.4142633423420632E-4</v>
      </c>
      <c r="BC23">
        <v>1.9266699982492581E-5</v>
      </c>
      <c r="BD23">
        <v>8.8075680181307097E-5</v>
      </c>
      <c r="BE23">
        <v>8.691960979050795E-5</v>
      </c>
      <c r="BF23">
        <v>7.2657777178334977E-6</v>
      </c>
      <c r="BG23">
        <v>1.407459116866164E-4</v>
      </c>
      <c r="BH23">
        <v>2.2072196169792499E-5</v>
      </c>
      <c r="BI23">
        <v>0</v>
      </c>
      <c r="BJ23">
        <v>0</v>
      </c>
      <c r="BK23">
        <v>9.9576921738969273E-5</v>
      </c>
      <c r="BL23">
        <v>1.2225893729980191E-4</v>
      </c>
      <c r="BM23">
        <v>1.8745688446049892E-9</v>
      </c>
      <c r="BN23">
        <v>0</v>
      </c>
      <c r="BO23">
        <v>0</v>
      </c>
      <c r="BP23">
        <v>3.413403025133266E-4</v>
      </c>
      <c r="BQ23">
        <v>0</v>
      </c>
      <c r="BR23">
        <v>0</v>
      </c>
      <c r="BS23">
        <v>8.153686344563498E-7</v>
      </c>
      <c r="BT23">
        <v>0</v>
      </c>
      <c r="BU23">
        <v>2.4254302866124589E-4</v>
      </c>
      <c r="BV23">
        <v>2.4128298510649749E-8</v>
      </c>
      <c r="BW23">
        <v>0</v>
      </c>
      <c r="BX23">
        <v>5.7663300765326071E-6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1.2023995176667849E-3</v>
      </c>
      <c r="CJ23">
        <v>5.2271531701509252E-5</v>
      </c>
      <c r="CK23">
        <v>9.5468172452222281E-8</v>
      </c>
      <c r="CL23">
        <v>7.779039442894803E-7</v>
      </c>
      <c r="CM23">
        <v>3.2939367773613152E-4</v>
      </c>
      <c r="CN23">
        <v>0</v>
      </c>
      <c r="CO23">
        <v>0</v>
      </c>
      <c r="CP23">
        <v>5.1680568113225483E-6</v>
      </c>
      <c r="CQ23">
        <v>6.064627086862956E-6</v>
      </c>
      <c r="CR23">
        <v>0</v>
      </c>
      <c r="CS23">
        <v>0</v>
      </c>
      <c r="CT23">
        <v>0</v>
      </c>
      <c r="CU23">
        <v>2.2632911225649419E-5</v>
      </c>
      <c r="CV23">
        <v>1.6455565198298641E-7</v>
      </c>
      <c r="CW23">
        <v>7.6213875144416379E-7</v>
      </c>
      <c r="CX23">
        <v>1.5031442000174139E-7</v>
      </c>
      <c r="CY23">
        <v>2.1310037735750422E-5</v>
      </c>
      <c r="CZ23">
        <v>8.0814110758682753E-11</v>
      </c>
      <c r="DA23">
        <v>2.9716814627378352E-11</v>
      </c>
      <c r="DB23">
        <v>0</v>
      </c>
      <c r="DC23">
        <v>0</v>
      </c>
      <c r="DD23">
        <v>1.2002365944716201E-8</v>
      </c>
      <c r="DE23">
        <v>6.701147654124846E-9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3.0676922250253519E-9</v>
      </c>
      <c r="DM23">
        <v>6.4076609383340922E-5</v>
      </c>
      <c r="DN23">
        <v>5.7894910266797724E-6</v>
      </c>
      <c r="DO23">
        <v>0</v>
      </c>
      <c r="DP23">
        <v>3.2667356077613627E-5</v>
      </c>
      <c r="DQ23">
        <v>3.539507287418988E-5</v>
      </c>
      <c r="DR23">
        <v>4.1267637511901718E-5</v>
      </c>
      <c r="DS23">
        <v>6.2732105368668489E-4</v>
      </c>
      <c r="DT23">
        <v>2.7703041121618238E-5</v>
      </c>
      <c r="DU23">
        <v>2.111729426424713E-4</v>
      </c>
      <c r="DV23">
        <v>0</v>
      </c>
      <c r="DW23">
        <v>0</v>
      </c>
      <c r="DX23">
        <v>2.2187861778127049E-5</v>
      </c>
      <c r="DY23">
        <v>8.7078281958010016E-6</v>
      </c>
      <c r="DZ23">
        <v>1.6091955332725319E-4</v>
      </c>
      <c r="EA23">
        <v>2.456649132613185E-5</v>
      </c>
      <c r="EB23">
        <v>3.9281089905809836E-6</v>
      </c>
      <c r="EC23">
        <v>2.7010285585470911E-6</v>
      </c>
      <c r="ED23">
        <v>3.244728483511954E-6</v>
      </c>
      <c r="EE23">
        <v>2.8534646434252279E-7</v>
      </c>
      <c r="EF23">
        <v>0</v>
      </c>
      <c r="EG23">
        <v>2.7451177300183421E-7</v>
      </c>
      <c r="EH23">
        <v>0</v>
      </c>
      <c r="EI23">
        <v>0</v>
      </c>
      <c r="EJ23">
        <v>2.1323208383889129E-5</v>
      </c>
      <c r="EK23">
        <v>7.9677649839737254E-5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1.5127643597771741E-4</v>
      </c>
      <c r="ER23">
        <v>1.05082034372698E-4</v>
      </c>
      <c r="ES23">
        <v>6.9459006076561577E-5</v>
      </c>
      <c r="ET23">
        <v>1.8102899613682349E-4</v>
      </c>
      <c r="EU23">
        <v>0</v>
      </c>
      <c r="EV23">
        <v>1.804466898242772E-4</v>
      </c>
      <c r="EW23">
        <v>1.1834259211509689E-5</v>
      </c>
      <c r="EX23">
        <v>8.3040867301951155E-5</v>
      </c>
      <c r="EY23">
        <v>6.622270998076506E-5</v>
      </c>
      <c r="EZ23">
        <v>2.3974521758253721E-3</v>
      </c>
      <c r="FA23">
        <v>2.8477171377020132E-4</v>
      </c>
      <c r="FB23">
        <v>3.7275473932128349E-4</v>
      </c>
      <c r="FC23">
        <v>2.4438509339009451E-5</v>
      </c>
      <c r="FD23">
        <v>8.0461457843755829E-5</v>
      </c>
      <c r="FE23">
        <v>8.5794149192304031E-5</v>
      </c>
      <c r="FF23">
        <v>3.836675888273568E-4</v>
      </c>
      <c r="FG23">
        <v>2.195246609906074E-4</v>
      </c>
      <c r="FH23">
        <v>4.1637471119307531E-4</v>
      </c>
      <c r="FI23">
        <v>1.8841915390799819E-4</v>
      </c>
      <c r="FJ23">
        <v>5.4251117386364437E-4</v>
      </c>
      <c r="FK23">
        <v>0</v>
      </c>
      <c r="FL23">
        <v>3.232731522153939E-3</v>
      </c>
      <c r="FM23">
        <v>4.4945699991592513E-5</v>
      </c>
      <c r="FN23">
        <v>9.6840105786733361E-7</v>
      </c>
      <c r="FO23">
        <v>4.4766868327062663E-4</v>
      </c>
      <c r="FP23">
        <v>2.0459017693739501E-4</v>
      </c>
      <c r="FQ23">
        <v>3.0457388455959892E-3</v>
      </c>
      <c r="FR23">
        <v>1.444463884230031E-3</v>
      </c>
      <c r="FS23">
        <v>2.7535541704037801E-3</v>
      </c>
      <c r="FT23">
        <v>9.5719549439111581E-6</v>
      </c>
      <c r="FU23">
        <v>1.016571916082495E-5</v>
      </c>
      <c r="FV23">
        <v>4.6664685232798592E-6</v>
      </c>
      <c r="FW23">
        <v>1.207702321753136E-5</v>
      </c>
      <c r="FX23">
        <v>2.10901205796669E-6</v>
      </c>
      <c r="FY23">
        <v>2.8855963957947279E-6</v>
      </c>
      <c r="FZ23">
        <v>1.113266714594169E-5</v>
      </c>
      <c r="GA23">
        <v>8.215283999609774E-7</v>
      </c>
      <c r="GB23">
        <v>6.938763797972801E-8</v>
      </c>
      <c r="GC23">
        <v>1.032461372339588E-5</v>
      </c>
      <c r="GD23">
        <v>6.0026433702013079E-6</v>
      </c>
      <c r="GE23">
        <v>2.292473406052007E-7</v>
      </c>
      <c r="GF23">
        <v>4.0366189550264561E-6</v>
      </c>
      <c r="GG23">
        <v>7.3603381840027741E-6</v>
      </c>
      <c r="GH23">
        <v>6.918480497574538E-6</v>
      </c>
      <c r="GI23">
        <v>4.6578139578510066E-6</v>
      </c>
      <c r="GJ23">
        <v>1.4890004387266541E-6</v>
      </c>
      <c r="GK23">
        <v>1.652812429352677E-5</v>
      </c>
      <c r="GL23">
        <v>7.9401005954570744E-7</v>
      </c>
      <c r="GM23">
        <v>2.570089634003954E-6</v>
      </c>
      <c r="GN23">
        <v>4.7108059205876001E-4</v>
      </c>
      <c r="GO23">
        <v>1.8558167024038249E-3</v>
      </c>
      <c r="GP23">
        <v>3.519937911357873E-4</v>
      </c>
      <c r="GQ23">
        <v>0</v>
      </c>
      <c r="GR23">
        <v>5.8064092233222188E-4</v>
      </c>
      <c r="GS23">
        <v>8.6375157643064871E-4</v>
      </c>
      <c r="GT23">
        <v>3.9347239318915624E-3</v>
      </c>
      <c r="GU23">
        <v>8.8024934300889022E-4</v>
      </c>
      <c r="GV23">
        <v>8.2341509084163335E-4</v>
      </c>
      <c r="GW23">
        <v>3.7166368592368259E-3</v>
      </c>
      <c r="GX23">
        <v>6.5259265255445693E-3</v>
      </c>
      <c r="GY23">
        <v>2.820533463023312E-3</v>
      </c>
      <c r="GZ23">
        <v>1.8226106768964861E-4</v>
      </c>
      <c r="HA23">
        <v>1.9132008818389171E-3</v>
      </c>
      <c r="HB23">
        <v>2.3974521758253721E-3</v>
      </c>
      <c r="HC23">
        <v>1.25130645173737E-2</v>
      </c>
    </row>
    <row r="24" spans="1:211" x14ac:dyDescent="0.45">
      <c r="A24" s="1" t="s">
        <v>9</v>
      </c>
      <c r="B24">
        <v>1.096875774300408E-4</v>
      </c>
      <c r="C24">
        <v>2.9167116378139429E-3</v>
      </c>
      <c r="D24">
        <v>1.4909472427057581E-4</v>
      </c>
      <c r="E24">
        <v>2.4675805429785471E-3</v>
      </c>
      <c r="F24">
        <v>5.8920074069430451E-4</v>
      </c>
      <c r="G24">
        <v>0</v>
      </c>
      <c r="H24">
        <v>5.3103977571728268E-5</v>
      </c>
      <c r="I24">
        <v>0</v>
      </c>
      <c r="J24">
        <v>0</v>
      </c>
      <c r="K24">
        <v>0</v>
      </c>
      <c r="L24">
        <v>2.5289037223920501E-3</v>
      </c>
      <c r="M24">
        <v>2.926799549709572E-3</v>
      </c>
      <c r="N24">
        <v>3.0095359010762142E-4</v>
      </c>
      <c r="O24">
        <v>3.3807733467148578E-4</v>
      </c>
      <c r="P24">
        <v>0</v>
      </c>
      <c r="Q24">
        <v>0</v>
      </c>
      <c r="R24">
        <v>0</v>
      </c>
      <c r="S24">
        <v>1.2165059460149869E-3</v>
      </c>
      <c r="T24">
        <v>3.3672880459864967E-5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4.2792756325614138E-7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7.2645894011713263E-3</v>
      </c>
      <c r="AS24">
        <v>6.7374864446603528E-4</v>
      </c>
      <c r="AT24">
        <v>2.0219897638193911E-3</v>
      </c>
      <c r="AU24">
        <v>5.4968156864446827E-3</v>
      </c>
      <c r="AV24">
        <v>6.3922115853539356E-6</v>
      </c>
      <c r="AW24">
        <v>6.5934099584996578E-3</v>
      </c>
      <c r="AX24">
        <v>6.3382570719781009E-7</v>
      </c>
      <c r="AY24">
        <v>8.6486726881659416E-4</v>
      </c>
      <c r="AZ24">
        <v>1.250733108938794E-2</v>
      </c>
      <c r="BA24">
        <v>2.542962690573016E-3</v>
      </c>
      <c r="BB24">
        <v>1.5993159995359009E-3</v>
      </c>
      <c r="BC24">
        <v>9.8164496536862104E-6</v>
      </c>
      <c r="BD24">
        <v>4.2952948455838768E-5</v>
      </c>
      <c r="BE24">
        <v>1.7185413817625449E-5</v>
      </c>
      <c r="BF24">
        <v>5.7463999987602993E-6</v>
      </c>
      <c r="BG24">
        <v>1.8585424307917281E-4</v>
      </c>
      <c r="BH24">
        <v>1.0130151774646659E-5</v>
      </c>
      <c r="BI24">
        <v>0</v>
      </c>
      <c r="BJ24">
        <v>0</v>
      </c>
      <c r="BK24">
        <v>2.7507085826051059E-5</v>
      </c>
      <c r="BL24">
        <v>4.0840255085685317E-5</v>
      </c>
      <c r="BM24">
        <v>4.6793341666759677E-11</v>
      </c>
      <c r="BN24">
        <v>0</v>
      </c>
      <c r="BO24">
        <v>0</v>
      </c>
      <c r="BP24">
        <v>1.6366722605815569E-5</v>
      </c>
      <c r="BQ24">
        <v>0</v>
      </c>
      <c r="BR24">
        <v>0</v>
      </c>
      <c r="BS24">
        <v>3.9095519556857191E-8</v>
      </c>
      <c r="BT24">
        <v>0</v>
      </c>
      <c r="BU24">
        <v>1.1629623012740981E-5</v>
      </c>
      <c r="BV24">
        <v>1.156911663342657E-9</v>
      </c>
      <c r="BW24">
        <v>0</v>
      </c>
      <c r="BX24">
        <v>2.7648581021074402E-7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4.8314191467581092E-4</v>
      </c>
      <c r="CJ24">
        <v>2.587517968947695E-5</v>
      </c>
      <c r="CK24">
        <v>1.4865088238773881E-8</v>
      </c>
      <c r="CL24">
        <v>1.1599503142163789E-7</v>
      </c>
      <c r="CM24">
        <v>1.3651930026742921E-4</v>
      </c>
      <c r="CN24">
        <v>0</v>
      </c>
      <c r="CO24">
        <v>0</v>
      </c>
      <c r="CP24">
        <v>2.140763379571448E-6</v>
      </c>
      <c r="CQ24">
        <v>2.512133516058879E-6</v>
      </c>
      <c r="CR24">
        <v>0</v>
      </c>
      <c r="CS24">
        <v>0</v>
      </c>
      <c r="CT24">
        <v>0</v>
      </c>
      <c r="CU24">
        <v>6.3541887768008773E-6</v>
      </c>
      <c r="CV24">
        <v>6.3232174501196544E-8</v>
      </c>
      <c r="CW24">
        <v>1.6754246785667899E-7</v>
      </c>
      <c r="CX24">
        <v>3.6727458934417712E-8</v>
      </c>
      <c r="CY24">
        <v>6.1801327435384591E-6</v>
      </c>
      <c r="CZ24">
        <v>1.849692629959157E-11</v>
      </c>
      <c r="DA24">
        <v>8.5557191174520873E-12</v>
      </c>
      <c r="DB24">
        <v>0</v>
      </c>
      <c r="DC24">
        <v>0</v>
      </c>
      <c r="DD24">
        <v>1.400274925084545E-9</v>
      </c>
      <c r="DE24">
        <v>8.3567498714362196E-10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5.3658168897082747E-10</v>
      </c>
      <c r="DM24">
        <v>9.4497911364614506E-6</v>
      </c>
      <c r="DN24">
        <v>9.3372316014094702E-7</v>
      </c>
      <c r="DO24">
        <v>0</v>
      </c>
      <c r="DP24">
        <v>4.8841624842957928E-6</v>
      </c>
      <c r="DQ24">
        <v>6.3892214701183474E-6</v>
      </c>
      <c r="DR24">
        <v>7.4732669838500038E-6</v>
      </c>
      <c r="DS24">
        <v>1.182458574864799E-4</v>
      </c>
      <c r="DT24">
        <v>3.7082046530887002E-6</v>
      </c>
      <c r="DU24">
        <v>6.0848768408992371E-5</v>
      </c>
      <c r="DV24">
        <v>0</v>
      </c>
      <c r="DW24">
        <v>0</v>
      </c>
      <c r="DX24">
        <v>1.573175851895925E-6</v>
      </c>
      <c r="DY24">
        <v>1.849749947654351E-6</v>
      </c>
      <c r="DZ24">
        <v>3.2630923435236268E-5</v>
      </c>
      <c r="EA24">
        <v>4.4849877344458409E-6</v>
      </c>
      <c r="EB24">
        <v>7.0980501050926176E-7</v>
      </c>
      <c r="EC24">
        <v>2.3106712332727271E-7</v>
      </c>
      <c r="ED24">
        <v>5.7393832816579552E-7</v>
      </c>
      <c r="EE24">
        <v>4.8558503399267967E-8</v>
      </c>
      <c r="EF24">
        <v>0</v>
      </c>
      <c r="EG24">
        <v>5.9140195957088227E-8</v>
      </c>
      <c r="EH24">
        <v>0</v>
      </c>
      <c r="EI24">
        <v>0</v>
      </c>
      <c r="EJ24">
        <v>2.6353600161771121E-6</v>
      </c>
      <c r="EK24">
        <v>9.6758016445543536E-6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2.0541841119757221E-5</v>
      </c>
      <c r="ER24">
        <v>1.71533207459956E-5</v>
      </c>
      <c r="ES24">
        <v>2.1460040132452409E-5</v>
      </c>
      <c r="ET24">
        <v>9.9966339384533943E-5</v>
      </c>
      <c r="EU24">
        <v>0</v>
      </c>
      <c r="EV24">
        <v>2.6032479548365099E-5</v>
      </c>
      <c r="EW24">
        <v>6.4283524983858417E-6</v>
      </c>
      <c r="EX24">
        <v>2.168023724910103E-5</v>
      </c>
      <c r="EY24">
        <v>1.9846009807787181E-5</v>
      </c>
      <c r="EZ24">
        <v>4.9626210370754863E-3</v>
      </c>
      <c r="FA24">
        <v>4.4310262031410758E-5</v>
      </c>
      <c r="FB24">
        <v>5.8018816832170187E-5</v>
      </c>
      <c r="FC24">
        <v>1.053055790077274E-6</v>
      </c>
      <c r="FD24">
        <v>3.477215541089159E-6</v>
      </c>
      <c r="FE24">
        <v>5.870310790210192E-6</v>
      </c>
      <c r="FF24">
        <v>6.1869686511983207E-5</v>
      </c>
      <c r="FG24">
        <v>4.4301529946383117E-5</v>
      </c>
      <c r="FH24">
        <v>1.4691638819548821E-4</v>
      </c>
      <c r="FI24">
        <v>4.3542399573744627E-5</v>
      </c>
      <c r="FJ24">
        <v>1.170728649990946E-4</v>
      </c>
      <c r="FK24">
        <v>0</v>
      </c>
      <c r="FL24">
        <v>1.5380555765610109E-3</v>
      </c>
      <c r="FM24">
        <v>2.322734545066265E-5</v>
      </c>
      <c r="FN24">
        <v>2.9092359388046271E-7</v>
      </c>
      <c r="FO24">
        <v>1.5276710327375321E-4</v>
      </c>
      <c r="FP24">
        <v>8.9692023701533325E-5</v>
      </c>
      <c r="FQ24">
        <v>1.0830130767534799E-3</v>
      </c>
      <c r="FR24">
        <v>1.3840046044100321E-3</v>
      </c>
      <c r="FS24">
        <v>1.707239048018241E-3</v>
      </c>
      <c r="FT24">
        <v>2.863807174271793E-6</v>
      </c>
      <c r="FU24">
        <v>3.008607488710226E-6</v>
      </c>
      <c r="FV24">
        <v>1.264030099455987E-6</v>
      </c>
      <c r="FW24">
        <v>3.528737147261136E-6</v>
      </c>
      <c r="FX24">
        <v>6.1782314906011461E-7</v>
      </c>
      <c r="FY24">
        <v>8.3824510394173621E-7</v>
      </c>
      <c r="FZ24">
        <v>3.3898112170395929E-6</v>
      </c>
      <c r="GA24">
        <v>2.5383226564537007E-7</v>
      </c>
      <c r="GB24">
        <v>2.0730427048599549E-8</v>
      </c>
      <c r="GC24">
        <v>2.765919215012268E-6</v>
      </c>
      <c r="GD24">
        <v>1.7235161849437001E-6</v>
      </c>
      <c r="GE24">
        <v>3.0103775148669189E-9</v>
      </c>
      <c r="GF24">
        <v>9.9396764911923958E-7</v>
      </c>
      <c r="GG24">
        <v>1.7366421426656169E-6</v>
      </c>
      <c r="GH24">
        <v>1.687363151411979E-6</v>
      </c>
      <c r="GI24">
        <v>1.171066953091257E-6</v>
      </c>
      <c r="GJ24">
        <v>3.0990913673369728E-7</v>
      </c>
      <c r="GK24">
        <v>4.8853685284816187E-6</v>
      </c>
      <c r="GL24">
        <v>1.91348311811611E-7</v>
      </c>
      <c r="GM24">
        <v>7.0871223379635994E-7</v>
      </c>
      <c r="GN24">
        <v>1.1439619220696969E-4</v>
      </c>
      <c r="GO24">
        <v>1.248636291282785E-3</v>
      </c>
      <c r="GP24">
        <v>1.029231034649126E-5</v>
      </c>
      <c r="GQ24">
        <v>0</v>
      </c>
      <c r="GR24">
        <v>2.473972754563901E-3</v>
      </c>
      <c r="GS24">
        <v>7.2645894011713263E-3</v>
      </c>
      <c r="GT24">
        <v>1.364825736683173E-2</v>
      </c>
      <c r="GU24">
        <v>6.9280364290671441E-3</v>
      </c>
      <c r="GV24">
        <v>6.9314872931711437E-3</v>
      </c>
      <c r="GW24">
        <v>1.8276919619370412E-2</v>
      </c>
      <c r="GX24">
        <v>3.7449059989486358E-3</v>
      </c>
      <c r="GY24">
        <v>3.8883410406205548E-4</v>
      </c>
      <c r="GZ24">
        <v>6.588476227222453E-5</v>
      </c>
      <c r="HA24">
        <v>3.5219125538192851E-4</v>
      </c>
      <c r="HB24">
        <v>4.9626210370754863E-3</v>
      </c>
      <c r="HC24">
        <v>6.2928016689456469E-3</v>
      </c>
    </row>
    <row r="25" spans="1:211" x14ac:dyDescent="0.45">
      <c r="A25" s="1" t="s">
        <v>10</v>
      </c>
      <c r="B25">
        <v>1.161201586085861E-4</v>
      </c>
      <c r="C25">
        <v>3.0648991200113072E-3</v>
      </c>
      <c r="D25">
        <v>1.5519777641161451E-4</v>
      </c>
      <c r="E25">
        <v>3.0462633601724418E-3</v>
      </c>
      <c r="F25">
        <v>6.1619616265566417E-4</v>
      </c>
      <c r="G25">
        <v>0</v>
      </c>
      <c r="H25">
        <v>6.6800011854729869E-5</v>
      </c>
      <c r="I25">
        <v>0</v>
      </c>
      <c r="J25">
        <v>0</v>
      </c>
      <c r="K25">
        <v>0</v>
      </c>
      <c r="L25">
        <v>2.8421022145061381E-3</v>
      </c>
      <c r="M25">
        <v>3.1469525573375738E-3</v>
      </c>
      <c r="N25">
        <v>3.2236569495460251E-4</v>
      </c>
      <c r="O25">
        <v>3.6455421559207642E-4</v>
      </c>
      <c r="P25">
        <v>0</v>
      </c>
      <c r="Q25">
        <v>0</v>
      </c>
      <c r="R25">
        <v>0</v>
      </c>
      <c r="S25">
        <v>1.810927198388201E-3</v>
      </c>
      <c r="T25">
        <v>9.5571908700731317E-5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7.0910782184360129E-6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8.1283409776019746E-3</v>
      </c>
      <c r="AS25">
        <v>7.9667601155257776E-4</v>
      </c>
      <c r="AT25">
        <v>2.7599226575355171E-3</v>
      </c>
      <c r="AU25">
        <v>8.0373278577914875E-3</v>
      </c>
      <c r="AV25">
        <v>8.3503167236808156E-6</v>
      </c>
      <c r="AW25">
        <v>7.3903481684207007E-3</v>
      </c>
      <c r="AX25">
        <v>1.0337734152244639E-6</v>
      </c>
      <c r="AY25">
        <v>8.9034831462943753E-4</v>
      </c>
      <c r="AZ25">
        <v>1.522574714202434E-2</v>
      </c>
      <c r="BA25">
        <v>3.1074854320129659E-3</v>
      </c>
      <c r="BB25">
        <v>1.9407423337701069E-3</v>
      </c>
      <c r="BC25">
        <v>2.908314963617879E-5</v>
      </c>
      <c r="BD25">
        <v>1.3102862863714591E-4</v>
      </c>
      <c r="BE25">
        <v>1.041050236081334E-4</v>
      </c>
      <c r="BF25">
        <v>1.3012177716593799E-5</v>
      </c>
      <c r="BG25">
        <v>3.2660015476578918E-4</v>
      </c>
      <c r="BH25">
        <v>3.2202347944439158E-5</v>
      </c>
      <c r="BI25">
        <v>0</v>
      </c>
      <c r="BJ25">
        <v>0</v>
      </c>
      <c r="BK25">
        <v>1.270840075650203E-4</v>
      </c>
      <c r="BL25">
        <v>1.630991923854872E-4</v>
      </c>
      <c r="BM25">
        <v>1.921362186271749E-9</v>
      </c>
      <c r="BN25">
        <v>0</v>
      </c>
      <c r="BO25">
        <v>0</v>
      </c>
      <c r="BP25">
        <v>3.5770702511914209E-4</v>
      </c>
      <c r="BQ25">
        <v>0</v>
      </c>
      <c r="BR25">
        <v>0</v>
      </c>
      <c r="BS25">
        <v>8.5446415401320696E-7</v>
      </c>
      <c r="BT25">
        <v>0</v>
      </c>
      <c r="BU25">
        <v>2.5417265167398679E-4</v>
      </c>
      <c r="BV25">
        <v>2.5285210173992401E-8</v>
      </c>
      <c r="BW25">
        <v>0</v>
      </c>
      <c r="BX25">
        <v>6.0428158867433513E-6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1.685541432342596E-3</v>
      </c>
      <c r="CJ25">
        <v>7.8146711390986206E-5</v>
      </c>
      <c r="CK25">
        <v>1.1033326069099619E-7</v>
      </c>
      <c r="CL25">
        <v>8.9389897571111816E-7</v>
      </c>
      <c r="CM25">
        <v>4.659129780035607E-4</v>
      </c>
      <c r="CN25">
        <v>0</v>
      </c>
      <c r="CO25">
        <v>0</v>
      </c>
      <c r="CP25">
        <v>7.3088201908939967E-6</v>
      </c>
      <c r="CQ25">
        <v>8.5767606029218342E-6</v>
      </c>
      <c r="CR25">
        <v>0</v>
      </c>
      <c r="CS25">
        <v>0</v>
      </c>
      <c r="CT25">
        <v>0</v>
      </c>
      <c r="CU25">
        <v>2.8987100002450299E-5</v>
      </c>
      <c r="CV25">
        <v>2.2778782648418291E-7</v>
      </c>
      <c r="CW25">
        <v>9.2968121930084273E-7</v>
      </c>
      <c r="CX25">
        <v>1.870418789361591E-7</v>
      </c>
      <c r="CY25">
        <v>2.7490170479288881E-5</v>
      </c>
      <c r="CZ25">
        <v>9.931103705827432E-11</v>
      </c>
      <c r="DA25">
        <v>3.8272533744830442E-11</v>
      </c>
      <c r="DB25">
        <v>0</v>
      </c>
      <c r="DC25">
        <v>0</v>
      </c>
      <c r="DD25">
        <v>1.340264086980075E-8</v>
      </c>
      <c r="DE25">
        <v>7.5368226412684672E-9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3.6042739139961789E-9</v>
      </c>
      <c r="DM25">
        <v>7.3526400519802369E-5</v>
      </c>
      <c r="DN25">
        <v>6.7232141868207197E-6</v>
      </c>
      <c r="DO25">
        <v>0</v>
      </c>
      <c r="DP25">
        <v>3.755151856190943E-5</v>
      </c>
      <c r="DQ25">
        <v>4.178429434430823E-5</v>
      </c>
      <c r="DR25">
        <v>4.8740904495751732E-5</v>
      </c>
      <c r="DS25">
        <v>7.4556691117316472E-4</v>
      </c>
      <c r="DT25">
        <v>3.1411245774706943E-5</v>
      </c>
      <c r="DU25">
        <v>2.720217110514637E-4</v>
      </c>
      <c r="DV25">
        <v>0</v>
      </c>
      <c r="DW25">
        <v>0</v>
      </c>
      <c r="DX25">
        <v>2.376103763002297E-5</v>
      </c>
      <c r="DY25">
        <v>1.055757814345535E-5</v>
      </c>
      <c r="DZ25">
        <v>1.935504767624895E-4</v>
      </c>
      <c r="EA25">
        <v>2.9051479060577689E-5</v>
      </c>
      <c r="EB25">
        <v>4.6379140010902467E-6</v>
      </c>
      <c r="EC25">
        <v>2.9320956818743639E-6</v>
      </c>
      <c r="ED25">
        <v>3.8186668116777504E-6</v>
      </c>
      <c r="EE25">
        <v>3.3390496774179081E-7</v>
      </c>
      <c r="EF25">
        <v>0</v>
      </c>
      <c r="EG25">
        <v>3.3365196895892242E-7</v>
      </c>
      <c r="EH25">
        <v>0</v>
      </c>
      <c r="EI25">
        <v>0</v>
      </c>
      <c r="EJ25">
        <v>2.3958568400066242E-5</v>
      </c>
      <c r="EK25">
        <v>8.9353451484291613E-5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1.7181827709747459E-4</v>
      </c>
      <c r="ER25">
        <v>1.2223535511869359E-4</v>
      </c>
      <c r="ES25">
        <v>9.0919046209013979E-5</v>
      </c>
      <c r="ET25">
        <v>2.8099533552135742E-4</v>
      </c>
      <c r="EU25">
        <v>0</v>
      </c>
      <c r="EV25">
        <v>2.0647916937264229E-4</v>
      </c>
      <c r="EW25">
        <v>1.8262611709895539E-5</v>
      </c>
      <c r="EX25">
        <v>1.047211045510522E-4</v>
      </c>
      <c r="EY25">
        <v>8.6068719788552238E-5</v>
      </c>
      <c r="EZ25">
        <v>7.3600732129008584E-3</v>
      </c>
      <c r="FA25">
        <v>3.2908197580161199E-4</v>
      </c>
      <c r="FB25">
        <v>4.3077355615345371E-4</v>
      </c>
      <c r="FC25">
        <v>2.5491565129086729E-5</v>
      </c>
      <c r="FD25">
        <v>8.3938673384844991E-5</v>
      </c>
      <c r="FE25">
        <v>9.1664459982514218E-5</v>
      </c>
      <c r="FF25">
        <v>4.4553727533934001E-4</v>
      </c>
      <c r="FG25">
        <v>2.6382619093699049E-4</v>
      </c>
      <c r="FH25">
        <v>5.6329109938856351E-4</v>
      </c>
      <c r="FI25">
        <v>2.3196155348174279E-4</v>
      </c>
      <c r="FJ25">
        <v>6.5958403886273893E-4</v>
      </c>
      <c r="FK25">
        <v>0</v>
      </c>
      <c r="FL25">
        <v>4.7707870987149497E-3</v>
      </c>
      <c r="FM25">
        <v>6.8173045442255169E-5</v>
      </c>
      <c r="FN25">
        <v>1.259324651747796E-6</v>
      </c>
      <c r="FO25">
        <v>6.0043578654437983E-4</v>
      </c>
      <c r="FP25">
        <v>2.9428220063892831E-4</v>
      </c>
      <c r="FQ25">
        <v>4.1287519223494676E-3</v>
      </c>
      <c r="FR25">
        <v>2.8284684886400631E-3</v>
      </c>
      <c r="FS25">
        <v>4.4607932184220211E-3</v>
      </c>
      <c r="FT25">
        <v>1.2435762118182949E-5</v>
      </c>
      <c r="FU25">
        <v>1.3174326649535181E-5</v>
      </c>
      <c r="FV25">
        <v>5.930498622735846E-6</v>
      </c>
      <c r="FW25">
        <v>1.5605760364792499E-5</v>
      </c>
      <c r="FX25">
        <v>2.7268352070268042E-6</v>
      </c>
      <c r="FY25">
        <v>3.7238414997364639E-6</v>
      </c>
      <c r="FZ25">
        <v>1.4522478362981291E-5</v>
      </c>
      <c r="GA25">
        <v>1.0753606656063479E-6</v>
      </c>
      <c r="GB25">
        <v>9.0118065028327559E-8</v>
      </c>
      <c r="GC25">
        <v>1.309053293840814E-5</v>
      </c>
      <c r="GD25">
        <v>7.7261595551450076E-6</v>
      </c>
      <c r="GE25">
        <v>2.3225771812006771E-7</v>
      </c>
      <c r="GF25">
        <v>5.0305866041456946E-6</v>
      </c>
      <c r="GG25">
        <v>9.0969803266683915E-6</v>
      </c>
      <c r="GH25">
        <v>8.6058436489865162E-6</v>
      </c>
      <c r="GI25">
        <v>5.8288809109422638E-6</v>
      </c>
      <c r="GJ25">
        <v>1.798909575460352E-6</v>
      </c>
      <c r="GK25">
        <v>2.1413492822008391E-5</v>
      </c>
      <c r="GL25">
        <v>9.8535837135731852E-7</v>
      </c>
      <c r="GM25">
        <v>3.2788018678003139E-6</v>
      </c>
      <c r="GN25">
        <v>5.8547678426572965E-4</v>
      </c>
      <c r="GO25">
        <v>3.104452993686611E-3</v>
      </c>
      <c r="GP25">
        <v>3.6228610148227849E-4</v>
      </c>
      <c r="GQ25">
        <v>0</v>
      </c>
      <c r="GR25">
        <v>3.0546136768961219E-3</v>
      </c>
      <c r="GS25">
        <v>8.1283409776019746E-3</v>
      </c>
      <c r="GT25">
        <v>1.758298129872329E-2</v>
      </c>
      <c r="GU25">
        <v>7.8082857720760341E-3</v>
      </c>
      <c r="GV25">
        <v>7.7549023840127766E-3</v>
      </c>
      <c r="GW25">
        <v>2.1993556478607231E-2</v>
      </c>
      <c r="GX25">
        <v>1.027083252449321E-2</v>
      </c>
      <c r="GY25">
        <v>3.2093675670853681E-3</v>
      </c>
      <c r="GZ25">
        <v>2.4814582996187312E-4</v>
      </c>
      <c r="HA25">
        <v>2.265392137220846E-3</v>
      </c>
      <c r="HB25">
        <v>7.3600732129008584E-3</v>
      </c>
      <c r="HC25">
        <v>1.8805866186319339E-2</v>
      </c>
    </row>
    <row r="26" spans="1:211" x14ac:dyDescent="0.45">
      <c r="A26" s="1" t="s">
        <v>11</v>
      </c>
      <c r="B26">
        <v>2.5257482399754649E-5</v>
      </c>
      <c r="C26">
        <v>9.1703767908630292E-4</v>
      </c>
      <c r="D26">
        <v>1.6995509634870721E-5</v>
      </c>
      <c r="E26">
        <v>4.8458137858390874E-3</v>
      </c>
      <c r="F26">
        <v>1.486288725670545E-3</v>
      </c>
      <c r="G26">
        <v>0</v>
      </c>
      <c r="H26">
        <v>2.016363619933658E-4</v>
      </c>
      <c r="I26">
        <v>6.7989865541429127E-4</v>
      </c>
      <c r="J26">
        <v>0</v>
      </c>
      <c r="K26">
        <v>0</v>
      </c>
      <c r="L26">
        <v>5.3122120402140193E-5</v>
      </c>
      <c r="M26">
        <v>6.3628262425733881E-4</v>
      </c>
      <c r="N26">
        <v>2.8636081526114032E-4</v>
      </c>
      <c r="O26">
        <v>0</v>
      </c>
      <c r="P26">
        <v>0</v>
      </c>
      <c r="Q26">
        <v>0</v>
      </c>
      <c r="R26">
        <v>0</v>
      </c>
      <c r="S26">
        <v>1.8694994259420799E-3</v>
      </c>
      <c r="T26">
        <v>1.606964296487364E-4</v>
      </c>
      <c r="U26">
        <v>2.3669964156301582E-8</v>
      </c>
      <c r="V26">
        <v>0</v>
      </c>
      <c r="W26">
        <v>4.1061453115733671E-7</v>
      </c>
      <c r="X26">
        <v>0</v>
      </c>
      <c r="Y26">
        <v>2.7554163345753902E-7</v>
      </c>
      <c r="Z26">
        <v>0</v>
      </c>
      <c r="AA26">
        <v>0</v>
      </c>
      <c r="AB26">
        <v>0</v>
      </c>
      <c r="AC26">
        <v>0</v>
      </c>
      <c r="AD26">
        <v>1.380477281620092E-5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2.9928118171889798E-3</v>
      </c>
      <c r="AS26">
        <v>3.455764993424811E-4</v>
      </c>
      <c r="AT26">
        <v>6.8418526193698504E-4</v>
      </c>
      <c r="AU26">
        <v>4.673529760672447E-4</v>
      </c>
      <c r="AV26">
        <v>1.065296456019231E-4</v>
      </c>
      <c r="AW26">
        <v>7.5489516520659049E-4</v>
      </c>
      <c r="AX26">
        <v>5.2367592846773689E-5</v>
      </c>
      <c r="AY26">
        <v>8.378778513173609E-5</v>
      </c>
      <c r="AZ26">
        <v>8.3696669261444593E-3</v>
      </c>
      <c r="BA26">
        <v>4.5629559126799849E-4</v>
      </c>
      <c r="BB26">
        <v>3.7155833579313128E-4</v>
      </c>
      <c r="BC26">
        <v>3.6911171490350508E-4</v>
      </c>
      <c r="BD26">
        <v>7.4648016277477217E-4</v>
      </c>
      <c r="BE26">
        <v>1.9531036094892059E-3</v>
      </c>
      <c r="BF26">
        <v>3.2833641103319979E-3</v>
      </c>
      <c r="BG26">
        <v>3.8681765769222552E-4</v>
      </c>
      <c r="BH26">
        <v>0</v>
      </c>
      <c r="BI26">
        <v>0</v>
      </c>
      <c r="BJ26">
        <v>0</v>
      </c>
      <c r="BK26">
        <v>3.5869206949671608E-4</v>
      </c>
      <c r="BL26">
        <v>6.0756303480844763E-5</v>
      </c>
      <c r="BM26">
        <v>3.111625021787252E-9</v>
      </c>
      <c r="BN26">
        <v>0</v>
      </c>
      <c r="BO26">
        <v>0</v>
      </c>
      <c r="BP26">
        <v>2.3662478991882691E-4</v>
      </c>
      <c r="BQ26">
        <v>1.1167752236631459E-9</v>
      </c>
      <c r="BR26">
        <v>0</v>
      </c>
      <c r="BS26">
        <v>3.1777871489543688E-6</v>
      </c>
      <c r="BT26">
        <v>3.1247049731519171E-6</v>
      </c>
      <c r="BU26">
        <v>1.7439712056309761E-4</v>
      </c>
      <c r="BV26">
        <v>2.5734111018808198E-7</v>
      </c>
      <c r="BW26">
        <v>0</v>
      </c>
      <c r="BX26">
        <v>3.5401451278150511E-5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5.0632786906631316E-4</v>
      </c>
      <c r="CJ26">
        <v>0</v>
      </c>
      <c r="CK26">
        <v>1.589777587904294E-6</v>
      </c>
      <c r="CL26">
        <v>8.4608010668120101E-5</v>
      </c>
      <c r="CM26">
        <v>6.4029707992945711E-4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6.3858273219334687E-5</v>
      </c>
      <c r="CV26">
        <v>6.5944051460024076E-9</v>
      </c>
      <c r="CW26">
        <v>3.9915986946231808E-8</v>
      </c>
      <c r="CX26">
        <v>0</v>
      </c>
      <c r="CY26">
        <v>3.8001948651418268E-5</v>
      </c>
      <c r="CZ26">
        <v>2.2701195379914861E-10</v>
      </c>
      <c r="DA26">
        <v>0</v>
      </c>
      <c r="DB26">
        <v>3.5500825758133002E-7</v>
      </c>
      <c r="DC26">
        <v>0</v>
      </c>
      <c r="DD26">
        <v>1.068641197473464E-7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6.4299051539811685E-7</v>
      </c>
      <c r="DK26">
        <v>0</v>
      </c>
      <c r="DL26">
        <v>0</v>
      </c>
      <c r="DM26">
        <v>6.8369387387082369E-5</v>
      </c>
      <c r="DN26">
        <v>8.7604688678077188E-6</v>
      </c>
      <c r="DO26">
        <v>1.4008920412927089E-4</v>
      </c>
      <c r="DP26">
        <v>4.9765738786238371E-5</v>
      </c>
      <c r="DQ26">
        <v>9.6906441109858069E-5</v>
      </c>
      <c r="DR26">
        <v>7.0970610335239237E-5</v>
      </c>
      <c r="DS26">
        <v>1.2209668542162611E-3</v>
      </c>
      <c r="DT26">
        <v>5.7879970651603472E-5</v>
      </c>
      <c r="DU26">
        <v>1.0655599392948049E-3</v>
      </c>
      <c r="DV26">
        <v>0</v>
      </c>
      <c r="DW26">
        <v>0</v>
      </c>
      <c r="DX26">
        <v>4.4258296453559242E-7</v>
      </c>
      <c r="DY26">
        <v>1.155530710631657E-6</v>
      </c>
      <c r="DZ26">
        <v>2.4657478223840231E-6</v>
      </c>
      <c r="EA26">
        <v>2.846071562416886E-6</v>
      </c>
      <c r="EB26">
        <v>1.9188690519174589E-7</v>
      </c>
      <c r="EC26">
        <v>1.0611884474460241E-7</v>
      </c>
      <c r="ED26">
        <v>3.1623445065623138E-7</v>
      </c>
      <c r="EE26">
        <v>1.7046922994580141E-7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7.410439980231877E-6</v>
      </c>
      <c r="EY26">
        <v>0</v>
      </c>
      <c r="EZ26">
        <v>0</v>
      </c>
      <c r="FA26">
        <v>8.0982372703929342E-5</v>
      </c>
      <c r="FB26">
        <v>1.805568103046967E-4</v>
      </c>
      <c r="FC26">
        <v>1.3214026677302361E-7</v>
      </c>
      <c r="FD26">
        <v>2.4076300779716871E-4</v>
      </c>
      <c r="FE26">
        <v>4.5062110033201019E-5</v>
      </c>
      <c r="FF26">
        <v>4.7783912672010379E-4</v>
      </c>
      <c r="FG26">
        <v>4.2388660483832572E-5</v>
      </c>
      <c r="FH26">
        <v>6.4111266580347054E-5</v>
      </c>
      <c r="FI26">
        <v>1.9520147197786942E-5</v>
      </c>
      <c r="FJ26">
        <v>2.8692269185518401E-5</v>
      </c>
      <c r="FK26">
        <v>0</v>
      </c>
      <c r="FL26">
        <v>0</v>
      </c>
      <c r="FM26">
        <v>0</v>
      </c>
      <c r="FN26">
        <v>6.3973454033736441E-8</v>
      </c>
      <c r="FO26">
        <v>1.121140502096017E-4</v>
      </c>
      <c r="FP26">
        <v>1.7976610372887031E-5</v>
      </c>
      <c r="FQ26">
        <v>8.1735281127343765E-5</v>
      </c>
      <c r="FR26">
        <v>4.6937354173778821E-5</v>
      </c>
      <c r="FS26">
        <v>1.531699046633182E-4</v>
      </c>
      <c r="FT26">
        <v>2.8902426348899231E-7</v>
      </c>
      <c r="FU26">
        <v>2.0057306138792869E-7</v>
      </c>
      <c r="FV26">
        <v>1.0935444428417941E-7</v>
      </c>
      <c r="FW26">
        <v>4.8118439180832922E-7</v>
      </c>
      <c r="FX26">
        <v>3.1892559999521531E-8</v>
      </c>
      <c r="FY26">
        <v>6.6370535367724743E-8</v>
      </c>
      <c r="FZ26">
        <v>2.2086388182281739E-7</v>
      </c>
      <c r="GA26">
        <v>9.8529128331102872E-9</v>
      </c>
      <c r="GB26">
        <v>9.042686460985769E-10</v>
      </c>
      <c r="GC26">
        <v>2.2801672613636789E-7</v>
      </c>
      <c r="GD26">
        <v>2.4005899322333352E-7</v>
      </c>
      <c r="GE26">
        <v>0</v>
      </c>
      <c r="GF26">
        <v>5.8488483941912832E-8</v>
      </c>
      <c r="GG26">
        <v>1.516578994133421E-7</v>
      </c>
      <c r="GH26">
        <v>1.622777101709736E-7</v>
      </c>
      <c r="GI26">
        <v>8.9945603671200931E-8</v>
      </c>
      <c r="GJ26">
        <v>1.88931042606679E-8</v>
      </c>
      <c r="GK26">
        <v>3.7419370079833302E-7</v>
      </c>
      <c r="GL26">
        <v>8.9818461648242334E-9</v>
      </c>
      <c r="GM26">
        <v>3.2041315965620352E-8</v>
      </c>
      <c r="GN26">
        <v>9.4299085695991193E-6</v>
      </c>
      <c r="GO26">
        <v>1.2578169043919651E-4</v>
      </c>
      <c r="GP26">
        <v>2.819152169292855E-5</v>
      </c>
      <c r="GQ26">
        <v>0</v>
      </c>
      <c r="GR26">
        <v>4.9523434314410102E-3</v>
      </c>
      <c r="GS26">
        <v>2.9928118171889798E-3</v>
      </c>
      <c r="GT26">
        <v>2.1865194820061898E-3</v>
      </c>
      <c r="GU26">
        <v>1.2019524101164671E-3</v>
      </c>
      <c r="GV26">
        <v>7.5489516520659049E-4</v>
      </c>
      <c r="GW26">
        <v>1.2095869171565561E-2</v>
      </c>
      <c r="GX26">
        <v>3.4848362148174341E-3</v>
      </c>
      <c r="GY26">
        <v>2.764864458576858E-3</v>
      </c>
      <c r="GZ26">
        <v>5.9829478825959761E-3</v>
      </c>
      <c r="HA26">
        <v>2.7021133229238759E-3</v>
      </c>
      <c r="HB26">
        <v>0</v>
      </c>
      <c r="HC26">
        <v>7.4029765383378952E-4</v>
      </c>
    </row>
    <row r="27" spans="1:211" x14ac:dyDescent="0.45">
      <c r="A27" s="1" t="s">
        <v>1</v>
      </c>
      <c r="B27">
        <v>1.4137764100834079E-4</v>
      </c>
      <c r="C27">
        <v>3.9819367990976094E-3</v>
      </c>
      <c r="D27">
        <v>1.721932860464852E-4</v>
      </c>
      <c r="E27">
        <v>7.8920771460115301E-3</v>
      </c>
      <c r="F27">
        <v>2.102484888326209E-3</v>
      </c>
      <c r="G27">
        <v>0</v>
      </c>
      <c r="H27">
        <v>2.684363738480957E-4</v>
      </c>
      <c r="I27">
        <v>6.7989865541429127E-4</v>
      </c>
      <c r="J27">
        <v>0</v>
      </c>
      <c r="K27">
        <v>0</v>
      </c>
      <c r="L27">
        <v>2.8952243349082778E-3</v>
      </c>
      <c r="M27">
        <v>3.783235181594913E-3</v>
      </c>
      <c r="N27">
        <v>6.0872651021574278E-4</v>
      </c>
      <c r="O27">
        <v>3.6455421559207642E-4</v>
      </c>
      <c r="P27">
        <v>0</v>
      </c>
      <c r="Q27">
        <v>0</v>
      </c>
      <c r="R27">
        <v>0</v>
      </c>
      <c r="S27">
        <v>3.6804266243302811E-3</v>
      </c>
      <c r="T27">
        <v>2.5626833834946773E-4</v>
      </c>
      <c r="U27">
        <v>2.3669964156301582E-8</v>
      </c>
      <c r="V27">
        <v>0</v>
      </c>
      <c r="W27">
        <v>4.1061453115733671E-7</v>
      </c>
      <c r="X27">
        <v>0</v>
      </c>
      <c r="Y27">
        <v>2.7554163345753902E-7</v>
      </c>
      <c r="Z27">
        <v>0</v>
      </c>
      <c r="AA27">
        <v>0</v>
      </c>
      <c r="AB27">
        <v>0</v>
      </c>
      <c r="AC27">
        <v>0</v>
      </c>
      <c r="AD27">
        <v>2.0895851034636929E-5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1.1121152794790951E-2</v>
      </c>
      <c r="AS27">
        <v>1.142252510895059E-3</v>
      </c>
      <c r="AT27">
        <v>3.4441079194725021E-3</v>
      </c>
      <c r="AU27">
        <v>8.5046808338587326E-3</v>
      </c>
      <c r="AV27">
        <v>1.148799623256039E-4</v>
      </c>
      <c r="AW27">
        <v>8.1452433336272907E-3</v>
      </c>
      <c r="AX27">
        <v>5.3401366261998153E-5</v>
      </c>
      <c r="AY27">
        <v>9.7413609976117362E-4</v>
      </c>
      <c r="AZ27">
        <v>2.3595414068168799E-2</v>
      </c>
      <c r="BA27">
        <v>3.5637810232809651E-3</v>
      </c>
      <c r="BB27">
        <v>2.312300669563238E-3</v>
      </c>
      <c r="BC27">
        <v>3.9819486453968392E-4</v>
      </c>
      <c r="BD27">
        <v>8.7750879141191803E-4</v>
      </c>
      <c r="BE27">
        <v>2.0572086330973389E-3</v>
      </c>
      <c r="BF27">
        <v>3.2963762880485921E-3</v>
      </c>
      <c r="BG27">
        <v>7.1341781245801465E-4</v>
      </c>
      <c r="BH27">
        <v>3.2202347944439158E-5</v>
      </c>
      <c r="BI27">
        <v>0</v>
      </c>
      <c r="BJ27">
        <v>0</v>
      </c>
      <c r="BK27">
        <v>4.8577607706173638E-4</v>
      </c>
      <c r="BL27">
        <v>2.2385549586633201E-4</v>
      </c>
      <c r="BM27">
        <v>5.032987208059001E-9</v>
      </c>
      <c r="BN27">
        <v>0</v>
      </c>
      <c r="BO27">
        <v>0</v>
      </c>
      <c r="BP27">
        <v>5.94331815037969E-4</v>
      </c>
      <c r="BQ27">
        <v>1.1167752236631459E-9</v>
      </c>
      <c r="BR27">
        <v>0</v>
      </c>
      <c r="BS27">
        <v>4.032251302967576E-6</v>
      </c>
      <c r="BT27">
        <v>3.1247049731519171E-6</v>
      </c>
      <c r="BU27">
        <v>4.2856977223708451E-4</v>
      </c>
      <c r="BV27">
        <v>2.8262632036207443E-7</v>
      </c>
      <c r="BW27">
        <v>0</v>
      </c>
      <c r="BX27">
        <v>4.1444267164893857E-5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2.1918693014089091E-3</v>
      </c>
      <c r="CJ27">
        <v>7.8146711390986206E-5</v>
      </c>
      <c r="CK27">
        <v>1.7001108485952901E-6</v>
      </c>
      <c r="CL27">
        <v>8.5501909643831214E-5</v>
      </c>
      <c r="CM27">
        <v>1.106210057933018E-3</v>
      </c>
      <c r="CN27">
        <v>0</v>
      </c>
      <c r="CO27">
        <v>0</v>
      </c>
      <c r="CP27">
        <v>7.3088201908939967E-6</v>
      </c>
      <c r="CQ27">
        <v>8.5767606029218342E-6</v>
      </c>
      <c r="CR27">
        <v>0</v>
      </c>
      <c r="CS27">
        <v>0</v>
      </c>
      <c r="CT27">
        <v>0</v>
      </c>
      <c r="CU27">
        <v>9.2845373221784976E-5</v>
      </c>
      <c r="CV27">
        <v>2.3438223163018529E-7</v>
      </c>
      <c r="CW27">
        <v>9.6959720624707446E-7</v>
      </c>
      <c r="CX27">
        <v>1.870418789361591E-7</v>
      </c>
      <c r="CY27">
        <v>6.549211913070716E-5</v>
      </c>
      <c r="CZ27">
        <v>3.2632299085742301E-10</v>
      </c>
      <c r="DA27">
        <v>3.8272533744830442E-11</v>
      </c>
      <c r="DB27">
        <v>3.5500825758133002E-7</v>
      </c>
      <c r="DC27">
        <v>0</v>
      </c>
      <c r="DD27">
        <v>1.202667606171472E-7</v>
      </c>
      <c r="DE27">
        <v>7.5368226412684672E-9</v>
      </c>
      <c r="DF27">
        <v>0</v>
      </c>
      <c r="DG27">
        <v>0</v>
      </c>
      <c r="DH27">
        <v>0</v>
      </c>
      <c r="DI27">
        <v>0</v>
      </c>
      <c r="DJ27">
        <v>6.4299051539811685E-7</v>
      </c>
      <c r="DK27">
        <v>0</v>
      </c>
      <c r="DL27">
        <v>3.6042739139961789E-9</v>
      </c>
      <c r="DM27">
        <v>1.4189578790688471E-4</v>
      </c>
      <c r="DN27">
        <v>1.548368305462844E-5</v>
      </c>
      <c r="DO27">
        <v>1.4008920412927089E-4</v>
      </c>
      <c r="DP27">
        <v>8.7317257348147801E-5</v>
      </c>
      <c r="DQ27">
        <v>1.3869073545416631E-4</v>
      </c>
      <c r="DR27">
        <v>1.19711514830991E-4</v>
      </c>
      <c r="DS27">
        <v>1.9665337653894249E-3</v>
      </c>
      <c r="DT27">
        <v>8.9291216426310409E-5</v>
      </c>
      <c r="DU27">
        <v>1.337581650346269E-3</v>
      </c>
      <c r="DV27">
        <v>0</v>
      </c>
      <c r="DW27">
        <v>0</v>
      </c>
      <c r="DX27">
        <v>2.420362059455857E-5</v>
      </c>
      <c r="DY27">
        <v>1.171310885408701E-5</v>
      </c>
      <c r="DZ27">
        <v>1.9601622458487351E-4</v>
      </c>
      <c r="EA27">
        <v>3.1897550622994577E-5</v>
      </c>
      <c r="EB27">
        <v>4.829800906281993E-6</v>
      </c>
      <c r="EC27">
        <v>3.0382145266189672E-6</v>
      </c>
      <c r="ED27">
        <v>4.1349012623339814E-6</v>
      </c>
      <c r="EE27">
        <v>5.0437419768759222E-7</v>
      </c>
      <c r="EF27">
        <v>0</v>
      </c>
      <c r="EG27">
        <v>3.3365196895892242E-7</v>
      </c>
      <c r="EH27">
        <v>0</v>
      </c>
      <c r="EI27">
        <v>0</v>
      </c>
      <c r="EJ27">
        <v>2.3958568400066242E-5</v>
      </c>
      <c r="EK27">
        <v>8.9353451484291613E-5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1.7181827709747459E-4</v>
      </c>
      <c r="ER27">
        <v>1.2223535511869359E-4</v>
      </c>
      <c r="ES27">
        <v>9.0919046209013979E-5</v>
      </c>
      <c r="ET27">
        <v>2.8099533552135742E-4</v>
      </c>
      <c r="EU27">
        <v>0</v>
      </c>
      <c r="EV27">
        <v>2.0647916937264229E-4</v>
      </c>
      <c r="EW27">
        <v>1.8262611709895539E-5</v>
      </c>
      <c r="EX27">
        <v>1.1213154453128411E-4</v>
      </c>
      <c r="EY27">
        <v>8.6068719788552238E-5</v>
      </c>
      <c r="EZ27">
        <v>7.3600732129008584E-3</v>
      </c>
      <c r="FA27">
        <v>4.100643485055414E-4</v>
      </c>
      <c r="FB27">
        <v>6.1133036645815038E-4</v>
      </c>
      <c r="FC27">
        <v>2.562370539585975E-5</v>
      </c>
      <c r="FD27">
        <v>3.2470168118201362E-4</v>
      </c>
      <c r="FE27">
        <v>1.367265700157152E-4</v>
      </c>
      <c r="FF27">
        <v>9.2337640205944374E-4</v>
      </c>
      <c r="FG27">
        <v>3.0621485142082308E-4</v>
      </c>
      <c r="FH27">
        <v>6.2740236596891055E-4</v>
      </c>
      <c r="FI27">
        <v>2.5148170067952971E-4</v>
      </c>
      <c r="FJ27">
        <v>6.8827630804825729E-4</v>
      </c>
      <c r="FK27">
        <v>0</v>
      </c>
      <c r="FL27">
        <v>4.7707870987149497E-3</v>
      </c>
      <c r="FM27">
        <v>6.8173045442255169E-5</v>
      </c>
      <c r="FN27">
        <v>1.3232981057815331E-6</v>
      </c>
      <c r="FO27">
        <v>7.1254983675398157E-4</v>
      </c>
      <c r="FP27">
        <v>3.1225881101181531E-4</v>
      </c>
      <c r="FQ27">
        <v>4.2104872034768124E-3</v>
      </c>
      <c r="FR27">
        <v>2.8754058428138419E-3</v>
      </c>
      <c r="FS27">
        <v>4.6139631230853392E-3</v>
      </c>
      <c r="FT27">
        <v>1.272478638167194E-5</v>
      </c>
      <c r="FU27">
        <v>1.33748997109231E-5</v>
      </c>
      <c r="FV27">
        <v>6.0398530670200252E-6</v>
      </c>
      <c r="FW27">
        <v>1.608694475660082E-5</v>
      </c>
      <c r="FX27">
        <v>2.7587277670263262E-6</v>
      </c>
      <c r="FY27">
        <v>3.7902120351041892E-6</v>
      </c>
      <c r="FZ27">
        <v>1.4743342244804101E-5</v>
      </c>
      <c r="GA27">
        <v>1.085213578439458E-6</v>
      </c>
      <c r="GB27">
        <v>9.1022333674426131E-8</v>
      </c>
      <c r="GC27">
        <v>1.331854966454451E-5</v>
      </c>
      <c r="GD27">
        <v>7.9662185483683416E-6</v>
      </c>
      <c r="GE27">
        <v>2.3225771812006771E-7</v>
      </c>
      <c r="GF27">
        <v>5.0890750880876082E-6</v>
      </c>
      <c r="GG27">
        <v>9.2486382260817338E-6</v>
      </c>
      <c r="GH27">
        <v>8.7681213591574897E-6</v>
      </c>
      <c r="GI27">
        <v>5.9188265146134647E-6</v>
      </c>
      <c r="GJ27">
        <v>1.8178026797210199E-6</v>
      </c>
      <c r="GK27">
        <v>2.1787686522806719E-5</v>
      </c>
      <c r="GL27">
        <v>9.943402175221427E-7</v>
      </c>
      <c r="GM27">
        <v>3.310843183765934E-6</v>
      </c>
      <c r="GN27">
        <v>5.9490669283532879E-4</v>
      </c>
      <c r="GO27">
        <v>3.230234684125807E-3</v>
      </c>
      <c r="GP27">
        <v>3.904776231752071E-4</v>
      </c>
      <c r="GQ27">
        <v>0</v>
      </c>
      <c r="GR27">
        <v>8.006957108337133E-3</v>
      </c>
      <c r="GS27">
        <v>1.1121152794790951E-2</v>
      </c>
      <c r="GT27">
        <v>1.976950078072948E-2</v>
      </c>
      <c r="GU27">
        <v>9.0102381821925009E-3</v>
      </c>
      <c r="GV27">
        <v>8.5097975492193674E-3</v>
      </c>
      <c r="GW27">
        <v>3.4089425650172797E-2</v>
      </c>
      <c r="GX27">
        <v>1.3755668739310639E-2</v>
      </c>
      <c r="GY27">
        <v>5.9742320256622253E-3</v>
      </c>
      <c r="GZ27">
        <v>6.2310937125578496E-3</v>
      </c>
      <c r="HA27">
        <v>4.9675054601447206E-3</v>
      </c>
      <c r="HB27">
        <v>7.3600732129008584E-3</v>
      </c>
      <c r="HC27">
        <v>1.9546163840153129E-2</v>
      </c>
    </row>
    <row r="28" spans="1:211" x14ac:dyDescent="0.45">
      <c r="A28" s="1" t="s">
        <v>221</v>
      </c>
      <c r="B28">
        <f t="shared" ref="B28:BM28" si="0">INDEX(B$18:B$27,MATCH($B$1,$A$18:$A$27,0))</f>
        <v>1.4137764100834079E-4</v>
      </c>
      <c r="C28">
        <f t="shared" si="0"/>
        <v>3.9819367990976094E-3</v>
      </c>
      <c r="D28">
        <f t="shared" si="0"/>
        <v>1.721932860464852E-4</v>
      </c>
      <c r="E28">
        <f t="shared" si="0"/>
        <v>7.8920771460115301E-3</v>
      </c>
      <c r="F28">
        <f t="shared" si="0"/>
        <v>2.102484888326209E-3</v>
      </c>
      <c r="G28">
        <f t="shared" si="0"/>
        <v>0</v>
      </c>
      <c r="H28">
        <f t="shared" si="0"/>
        <v>2.684363738480957E-4</v>
      </c>
      <c r="I28">
        <f t="shared" si="0"/>
        <v>6.7989865541429127E-4</v>
      </c>
      <c r="J28">
        <f t="shared" si="0"/>
        <v>0</v>
      </c>
      <c r="K28">
        <f t="shared" si="0"/>
        <v>0</v>
      </c>
      <c r="L28">
        <f t="shared" si="0"/>
        <v>2.8952243349082778E-3</v>
      </c>
      <c r="M28">
        <f t="shared" si="0"/>
        <v>3.783235181594913E-3</v>
      </c>
      <c r="N28">
        <f t="shared" si="0"/>
        <v>6.0872651021574278E-4</v>
      </c>
      <c r="O28">
        <f t="shared" si="0"/>
        <v>3.6455421559207642E-4</v>
      </c>
      <c r="P28">
        <f t="shared" si="0"/>
        <v>0</v>
      </c>
      <c r="Q28">
        <f t="shared" si="0"/>
        <v>0</v>
      </c>
      <c r="R28">
        <f t="shared" si="0"/>
        <v>0</v>
      </c>
      <c r="S28">
        <f t="shared" si="0"/>
        <v>3.6804266243302811E-3</v>
      </c>
      <c r="T28">
        <f t="shared" si="0"/>
        <v>2.5626833834946773E-4</v>
      </c>
      <c r="U28">
        <f t="shared" si="0"/>
        <v>2.3669964156301582E-8</v>
      </c>
      <c r="V28">
        <f t="shared" si="0"/>
        <v>0</v>
      </c>
      <c r="W28">
        <f t="shared" si="0"/>
        <v>4.1061453115733671E-7</v>
      </c>
      <c r="X28">
        <f t="shared" si="0"/>
        <v>0</v>
      </c>
      <c r="Y28">
        <f t="shared" si="0"/>
        <v>2.7554163345753902E-7</v>
      </c>
      <c r="Z28">
        <f t="shared" si="0"/>
        <v>0</v>
      </c>
      <c r="AA28">
        <f t="shared" si="0"/>
        <v>0</v>
      </c>
      <c r="AB28">
        <f t="shared" si="0"/>
        <v>0</v>
      </c>
      <c r="AC28">
        <f t="shared" si="0"/>
        <v>0</v>
      </c>
      <c r="AD28">
        <f t="shared" si="0"/>
        <v>2.0895851034636929E-5</v>
      </c>
      <c r="AE28">
        <f t="shared" si="0"/>
        <v>0</v>
      </c>
      <c r="AF28">
        <f t="shared" si="0"/>
        <v>0</v>
      </c>
      <c r="AG28">
        <f t="shared" si="0"/>
        <v>0</v>
      </c>
      <c r="AH28">
        <f t="shared" si="0"/>
        <v>0</v>
      </c>
      <c r="AI28">
        <f t="shared" si="0"/>
        <v>0</v>
      </c>
      <c r="AJ28">
        <f t="shared" si="0"/>
        <v>0</v>
      </c>
      <c r="AK28">
        <f t="shared" si="0"/>
        <v>0</v>
      </c>
      <c r="AL28">
        <f t="shared" si="0"/>
        <v>0</v>
      </c>
      <c r="AM28">
        <f t="shared" si="0"/>
        <v>0</v>
      </c>
      <c r="AN28">
        <f t="shared" si="0"/>
        <v>0</v>
      </c>
      <c r="AO28">
        <f t="shared" si="0"/>
        <v>0</v>
      </c>
      <c r="AP28">
        <f t="shared" si="0"/>
        <v>0</v>
      </c>
      <c r="AQ28">
        <f t="shared" si="0"/>
        <v>0</v>
      </c>
      <c r="AR28">
        <f t="shared" si="0"/>
        <v>1.1121152794790951E-2</v>
      </c>
      <c r="AS28">
        <f t="shared" si="0"/>
        <v>1.142252510895059E-3</v>
      </c>
      <c r="AT28">
        <f t="shared" si="0"/>
        <v>3.4441079194725021E-3</v>
      </c>
      <c r="AU28">
        <f t="shared" si="0"/>
        <v>8.5046808338587326E-3</v>
      </c>
      <c r="AV28">
        <f t="shared" si="0"/>
        <v>1.148799623256039E-4</v>
      </c>
      <c r="AW28">
        <f t="shared" si="0"/>
        <v>8.1452433336272907E-3</v>
      </c>
      <c r="AX28">
        <f t="shared" si="0"/>
        <v>5.3401366261998153E-5</v>
      </c>
      <c r="AY28">
        <f t="shared" si="0"/>
        <v>9.7413609976117362E-4</v>
      </c>
      <c r="AZ28">
        <f t="shared" si="0"/>
        <v>2.3595414068168799E-2</v>
      </c>
      <c r="BA28">
        <f t="shared" si="0"/>
        <v>3.5637810232809651E-3</v>
      </c>
      <c r="BB28">
        <f t="shared" si="0"/>
        <v>2.312300669563238E-3</v>
      </c>
      <c r="BC28">
        <f t="shared" si="0"/>
        <v>3.9819486453968392E-4</v>
      </c>
      <c r="BD28">
        <f t="shared" si="0"/>
        <v>8.7750879141191803E-4</v>
      </c>
      <c r="BE28">
        <f t="shared" si="0"/>
        <v>2.0572086330973389E-3</v>
      </c>
      <c r="BF28">
        <f t="shared" si="0"/>
        <v>3.2963762880485921E-3</v>
      </c>
      <c r="BG28">
        <f t="shared" si="0"/>
        <v>7.1341781245801465E-4</v>
      </c>
      <c r="BH28">
        <f t="shared" si="0"/>
        <v>3.2202347944439158E-5</v>
      </c>
      <c r="BI28">
        <f t="shared" si="0"/>
        <v>0</v>
      </c>
      <c r="BJ28">
        <f t="shared" si="0"/>
        <v>0</v>
      </c>
      <c r="BK28">
        <f t="shared" si="0"/>
        <v>4.8577607706173638E-4</v>
      </c>
      <c r="BL28">
        <f t="shared" si="0"/>
        <v>2.2385549586633201E-4</v>
      </c>
      <c r="BM28">
        <f t="shared" si="0"/>
        <v>5.032987208059001E-9</v>
      </c>
      <c r="BN28">
        <f t="shared" ref="BN28:DY28" si="1">INDEX(BN$18:BN$27,MATCH($B$1,$A$18:$A$27,0))</f>
        <v>0</v>
      </c>
      <c r="BO28">
        <f t="shared" si="1"/>
        <v>0</v>
      </c>
      <c r="BP28">
        <f t="shared" si="1"/>
        <v>5.94331815037969E-4</v>
      </c>
      <c r="BQ28">
        <f t="shared" si="1"/>
        <v>1.1167752236631459E-9</v>
      </c>
      <c r="BR28">
        <f t="shared" si="1"/>
        <v>0</v>
      </c>
      <c r="BS28">
        <f t="shared" si="1"/>
        <v>4.032251302967576E-6</v>
      </c>
      <c r="BT28">
        <f t="shared" si="1"/>
        <v>3.1247049731519171E-6</v>
      </c>
      <c r="BU28">
        <f t="shared" si="1"/>
        <v>4.2856977223708451E-4</v>
      </c>
      <c r="BV28">
        <f t="shared" si="1"/>
        <v>2.8262632036207443E-7</v>
      </c>
      <c r="BW28">
        <f t="shared" si="1"/>
        <v>0</v>
      </c>
      <c r="BX28">
        <f t="shared" si="1"/>
        <v>4.1444267164893857E-5</v>
      </c>
      <c r="BY28">
        <f t="shared" si="1"/>
        <v>0</v>
      </c>
      <c r="BZ28">
        <f t="shared" si="1"/>
        <v>0</v>
      </c>
      <c r="CA28">
        <f t="shared" si="1"/>
        <v>0</v>
      </c>
      <c r="CB28">
        <f t="shared" si="1"/>
        <v>0</v>
      </c>
      <c r="CC28">
        <f t="shared" si="1"/>
        <v>0</v>
      </c>
      <c r="CD28">
        <f t="shared" si="1"/>
        <v>0</v>
      </c>
      <c r="CE28">
        <f t="shared" si="1"/>
        <v>0</v>
      </c>
      <c r="CF28">
        <f t="shared" si="1"/>
        <v>0</v>
      </c>
      <c r="CG28">
        <f t="shared" si="1"/>
        <v>0</v>
      </c>
      <c r="CH28">
        <f t="shared" si="1"/>
        <v>0</v>
      </c>
      <c r="CI28">
        <f t="shared" si="1"/>
        <v>2.1918693014089091E-3</v>
      </c>
      <c r="CJ28">
        <f t="shared" si="1"/>
        <v>7.8146711390986206E-5</v>
      </c>
      <c r="CK28">
        <f t="shared" si="1"/>
        <v>1.7001108485952901E-6</v>
      </c>
      <c r="CL28">
        <f t="shared" si="1"/>
        <v>8.5501909643831214E-5</v>
      </c>
      <c r="CM28">
        <f t="shared" si="1"/>
        <v>1.106210057933018E-3</v>
      </c>
      <c r="CN28">
        <f t="shared" si="1"/>
        <v>0</v>
      </c>
      <c r="CO28">
        <f t="shared" si="1"/>
        <v>0</v>
      </c>
      <c r="CP28">
        <f t="shared" si="1"/>
        <v>7.3088201908939967E-6</v>
      </c>
      <c r="CQ28">
        <f t="shared" si="1"/>
        <v>8.5767606029218342E-6</v>
      </c>
      <c r="CR28">
        <f t="shared" si="1"/>
        <v>0</v>
      </c>
      <c r="CS28">
        <f t="shared" si="1"/>
        <v>0</v>
      </c>
      <c r="CT28">
        <f t="shared" si="1"/>
        <v>0</v>
      </c>
      <c r="CU28">
        <f t="shared" si="1"/>
        <v>9.2845373221784976E-5</v>
      </c>
      <c r="CV28">
        <f t="shared" si="1"/>
        <v>2.3438223163018529E-7</v>
      </c>
      <c r="CW28">
        <f t="shared" si="1"/>
        <v>9.6959720624707446E-7</v>
      </c>
      <c r="CX28">
        <f t="shared" si="1"/>
        <v>1.870418789361591E-7</v>
      </c>
      <c r="CY28">
        <f t="shared" si="1"/>
        <v>6.549211913070716E-5</v>
      </c>
      <c r="CZ28">
        <f t="shared" si="1"/>
        <v>3.2632299085742301E-10</v>
      </c>
      <c r="DA28">
        <f t="shared" si="1"/>
        <v>3.8272533744830442E-11</v>
      </c>
      <c r="DB28">
        <f t="shared" si="1"/>
        <v>3.5500825758133002E-7</v>
      </c>
      <c r="DC28">
        <f t="shared" si="1"/>
        <v>0</v>
      </c>
      <c r="DD28">
        <f t="shared" si="1"/>
        <v>1.202667606171472E-7</v>
      </c>
      <c r="DE28">
        <f t="shared" si="1"/>
        <v>7.5368226412684672E-9</v>
      </c>
      <c r="DF28">
        <f t="shared" si="1"/>
        <v>0</v>
      </c>
      <c r="DG28">
        <f t="shared" si="1"/>
        <v>0</v>
      </c>
      <c r="DH28">
        <f t="shared" si="1"/>
        <v>0</v>
      </c>
      <c r="DI28">
        <f t="shared" si="1"/>
        <v>0</v>
      </c>
      <c r="DJ28">
        <f t="shared" si="1"/>
        <v>6.4299051539811685E-7</v>
      </c>
      <c r="DK28">
        <f t="shared" si="1"/>
        <v>0</v>
      </c>
      <c r="DL28">
        <f t="shared" si="1"/>
        <v>3.6042739139961789E-9</v>
      </c>
      <c r="DM28">
        <f t="shared" si="1"/>
        <v>1.4189578790688471E-4</v>
      </c>
      <c r="DN28">
        <f t="shared" si="1"/>
        <v>1.548368305462844E-5</v>
      </c>
      <c r="DO28">
        <f t="shared" si="1"/>
        <v>1.4008920412927089E-4</v>
      </c>
      <c r="DP28">
        <f t="shared" si="1"/>
        <v>8.7317257348147801E-5</v>
      </c>
      <c r="DQ28">
        <f t="shared" si="1"/>
        <v>1.3869073545416631E-4</v>
      </c>
      <c r="DR28">
        <f t="shared" si="1"/>
        <v>1.19711514830991E-4</v>
      </c>
      <c r="DS28">
        <f t="shared" si="1"/>
        <v>1.9665337653894249E-3</v>
      </c>
      <c r="DT28">
        <f t="shared" si="1"/>
        <v>8.9291216426310409E-5</v>
      </c>
      <c r="DU28">
        <f t="shared" si="1"/>
        <v>1.337581650346269E-3</v>
      </c>
      <c r="DV28">
        <f t="shared" si="1"/>
        <v>0</v>
      </c>
      <c r="DW28">
        <f t="shared" si="1"/>
        <v>0</v>
      </c>
      <c r="DX28">
        <f t="shared" si="1"/>
        <v>2.420362059455857E-5</v>
      </c>
      <c r="DY28">
        <f t="shared" si="1"/>
        <v>1.171310885408701E-5</v>
      </c>
      <c r="DZ28">
        <f t="shared" ref="DZ28:GK28" si="2">INDEX(DZ$18:DZ$27,MATCH($B$1,$A$18:$A$27,0))</f>
        <v>1.9601622458487351E-4</v>
      </c>
      <c r="EA28">
        <f t="shared" si="2"/>
        <v>3.1897550622994577E-5</v>
      </c>
      <c r="EB28">
        <f t="shared" si="2"/>
        <v>4.829800906281993E-6</v>
      </c>
      <c r="EC28">
        <f t="shared" si="2"/>
        <v>3.0382145266189672E-6</v>
      </c>
      <c r="ED28">
        <f t="shared" si="2"/>
        <v>4.1349012623339814E-6</v>
      </c>
      <c r="EE28">
        <f t="shared" si="2"/>
        <v>5.0437419768759222E-7</v>
      </c>
      <c r="EF28">
        <f t="shared" si="2"/>
        <v>0</v>
      </c>
      <c r="EG28">
        <f t="shared" si="2"/>
        <v>3.3365196895892242E-7</v>
      </c>
      <c r="EH28">
        <f t="shared" si="2"/>
        <v>0</v>
      </c>
      <c r="EI28">
        <f t="shared" si="2"/>
        <v>0</v>
      </c>
      <c r="EJ28">
        <f t="shared" si="2"/>
        <v>2.3958568400066242E-5</v>
      </c>
      <c r="EK28">
        <f t="shared" si="2"/>
        <v>8.9353451484291613E-5</v>
      </c>
      <c r="EL28">
        <f t="shared" si="2"/>
        <v>0</v>
      </c>
      <c r="EM28">
        <f t="shared" si="2"/>
        <v>0</v>
      </c>
      <c r="EN28">
        <f t="shared" si="2"/>
        <v>0</v>
      </c>
      <c r="EO28">
        <f t="shared" si="2"/>
        <v>0</v>
      </c>
      <c r="EP28">
        <f t="shared" si="2"/>
        <v>0</v>
      </c>
      <c r="EQ28">
        <f t="shared" si="2"/>
        <v>1.7181827709747459E-4</v>
      </c>
      <c r="ER28">
        <f t="shared" si="2"/>
        <v>1.2223535511869359E-4</v>
      </c>
      <c r="ES28">
        <f t="shared" si="2"/>
        <v>9.0919046209013979E-5</v>
      </c>
      <c r="ET28">
        <f t="shared" si="2"/>
        <v>2.8099533552135742E-4</v>
      </c>
      <c r="EU28">
        <f t="shared" si="2"/>
        <v>0</v>
      </c>
      <c r="EV28">
        <f t="shared" si="2"/>
        <v>2.0647916937264229E-4</v>
      </c>
      <c r="EW28">
        <f t="shared" si="2"/>
        <v>1.8262611709895539E-5</v>
      </c>
      <c r="EX28">
        <f t="shared" si="2"/>
        <v>1.1213154453128411E-4</v>
      </c>
      <c r="EY28">
        <f t="shared" si="2"/>
        <v>8.6068719788552238E-5</v>
      </c>
      <c r="EZ28">
        <f t="shared" si="2"/>
        <v>7.3600732129008584E-3</v>
      </c>
      <c r="FA28">
        <f t="shared" si="2"/>
        <v>4.100643485055414E-4</v>
      </c>
      <c r="FB28">
        <f t="shared" si="2"/>
        <v>6.1133036645815038E-4</v>
      </c>
      <c r="FC28">
        <f t="shared" si="2"/>
        <v>2.562370539585975E-5</v>
      </c>
      <c r="FD28">
        <f t="shared" si="2"/>
        <v>3.2470168118201362E-4</v>
      </c>
      <c r="FE28">
        <f t="shared" si="2"/>
        <v>1.367265700157152E-4</v>
      </c>
      <c r="FF28">
        <f t="shared" si="2"/>
        <v>9.2337640205944374E-4</v>
      </c>
      <c r="FG28">
        <f t="shared" si="2"/>
        <v>3.0621485142082308E-4</v>
      </c>
      <c r="FH28">
        <f t="shared" si="2"/>
        <v>6.2740236596891055E-4</v>
      </c>
      <c r="FI28">
        <f t="shared" si="2"/>
        <v>2.5148170067952971E-4</v>
      </c>
      <c r="FJ28">
        <f t="shared" si="2"/>
        <v>6.8827630804825729E-4</v>
      </c>
      <c r="FK28">
        <f t="shared" si="2"/>
        <v>0</v>
      </c>
      <c r="FL28">
        <f t="shared" si="2"/>
        <v>4.7707870987149497E-3</v>
      </c>
      <c r="FM28">
        <f t="shared" si="2"/>
        <v>6.8173045442255169E-5</v>
      </c>
      <c r="FN28">
        <f t="shared" si="2"/>
        <v>1.3232981057815331E-6</v>
      </c>
      <c r="FO28">
        <f t="shared" si="2"/>
        <v>7.1254983675398157E-4</v>
      </c>
      <c r="FP28">
        <f t="shared" si="2"/>
        <v>3.1225881101181531E-4</v>
      </c>
      <c r="FQ28">
        <f t="shared" si="2"/>
        <v>4.2104872034768124E-3</v>
      </c>
      <c r="FR28">
        <f t="shared" si="2"/>
        <v>2.8754058428138419E-3</v>
      </c>
      <c r="FS28">
        <f t="shared" si="2"/>
        <v>4.6139631230853392E-3</v>
      </c>
      <c r="FT28">
        <f t="shared" si="2"/>
        <v>1.272478638167194E-5</v>
      </c>
      <c r="FU28">
        <f t="shared" si="2"/>
        <v>1.33748997109231E-5</v>
      </c>
      <c r="FV28">
        <f t="shared" si="2"/>
        <v>6.0398530670200252E-6</v>
      </c>
      <c r="FW28">
        <f t="shared" si="2"/>
        <v>1.608694475660082E-5</v>
      </c>
      <c r="FX28">
        <f t="shared" si="2"/>
        <v>2.7587277670263262E-6</v>
      </c>
      <c r="FY28">
        <f t="shared" si="2"/>
        <v>3.7902120351041892E-6</v>
      </c>
      <c r="FZ28">
        <f t="shared" si="2"/>
        <v>1.4743342244804101E-5</v>
      </c>
      <c r="GA28">
        <f t="shared" si="2"/>
        <v>1.085213578439458E-6</v>
      </c>
      <c r="GB28">
        <f t="shared" si="2"/>
        <v>9.1022333674426131E-8</v>
      </c>
      <c r="GC28">
        <f t="shared" si="2"/>
        <v>1.331854966454451E-5</v>
      </c>
      <c r="GD28">
        <f t="shared" si="2"/>
        <v>7.9662185483683416E-6</v>
      </c>
      <c r="GE28">
        <f t="shared" si="2"/>
        <v>2.3225771812006771E-7</v>
      </c>
      <c r="GF28">
        <f t="shared" si="2"/>
        <v>5.0890750880876082E-6</v>
      </c>
      <c r="GG28">
        <f t="shared" si="2"/>
        <v>9.2486382260817338E-6</v>
      </c>
      <c r="GH28">
        <f t="shared" si="2"/>
        <v>8.7681213591574897E-6</v>
      </c>
      <c r="GI28">
        <f t="shared" si="2"/>
        <v>5.9188265146134647E-6</v>
      </c>
      <c r="GJ28">
        <f t="shared" si="2"/>
        <v>1.8178026797210199E-6</v>
      </c>
      <c r="GK28">
        <f t="shared" si="2"/>
        <v>2.1787686522806719E-5</v>
      </c>
      <c r="GL28">
        <f t="shared" ref="GL28:HC28" si="3">INDEX(GL$18:GL$27,MATCH($B$1,$A$18:$A$27,0))</f>
        <v>9.943402175221427E-7</v>
      </c>
      <c r="GM28">
        <f t="shared" si="3"/>
        <v>3.310843183765934E-6</v>
      </c>
      <c r="GN28">
        <f t="shared" si="3"/>
        <v>5.9490669283532879E-4</v>
      </c>
      <c r="GO28">
        <f t="shared" si="3"/>
        <v>3.230234684125807E-3</v>
      </c>
      <c r="GP28">
        <f t="shared" si="3"/>
        <v>3.904776231752071E-4</v>
      </c>
      <c r="GQ28">
        <f t="shared" si="3"/>
        <v>0</v>
      </c>
      <c r="GR28">
        <f t="shared" si="3"/>
        <v>8.006957108337133E-3</v>
      </c>
      <c r="GS28">
        <f t="shared" si="3"/>
        <v>1.1121152794790951E-2</v>
      </c>
      <c r="GT28">
        <f t="shared" si="3"/>
        <v>1.976950078072948E-2</v>
      </c>
      <c r="GU28">
        <f t="shared" si="3"/>
        <v>9.0102381821925009E-3</v>
      </c>
      <c r="GV28">
        <f t="shared" si="3"/>
        <v>8.5097975492193674E-3</v>
      </c>
      <c r="GW28">
        <f t="shared" si="3"/>
        <v>3.4089425650172797E-2</v>
      </c>
      <c r="GX28">
        <f t="shared" si="3"/>
        <v>1.3755668739310639E-2</v>
      </c>
      <c r="GY28">
        <f t="shared" si="3"/>
        <v>5.9742320256622253E-3</v>
      </c>
      <c r="GZ28">
        <f t="shared" si="3"/>
        <v>6.2310937125578496E-3</v>
      </c>
      <c r="HA28">
        <f t="shared" si="3"/>
        <v>4.9675054601447206E-3</v>
      </c>
      <c r="HB28">
        <f t="shared" si="3"/>
        <v>7.3600732129008584E-3</v>
      </c>
      <c r="HC28">
        <f t="shared" si="3"/>
        <v>1.9546163840153129E-2</v>
      </c>
    </row>
    <row r="29" spans="1:211" x14ac:dyDescent="0.45">
      <c r="A29" s="1" t="s">
        <v>222</v>
      </c>
      <c r="B29">
        <f>RANK(B28,$B$28:$GQ$28,0)+COUNTIF($B$28:B28,B28)-1</f>
        <v>58</v>
      </c>
      <c r="C29">
        <f>RANK(C28,$B$28:$GQ$28,0)+COUNTIF($B$28:C28,C28)-1</f>
        <v>10</v>
      </c>
      <c r="D29">
        <f>RANK(D28,$B$28:$GQ$28,0)+COUNTIF($B$28:D28,D28)-1</f>
        <v>55</v>
      </c>
      <c r="E29">
        <f>RANK(E28,$B$28:$GQ$28,0)+COUNTIF($B$28:E28,E28)-1</f>
        <v>5</v>
      </c>
      <c r="F29">
        <f>RANK(F28,$B$28:$GQ$28,0)+COUNTIF($B$28:F28,F28)-1</f>
        <v>21</v>
      </c>
      <c r="G29">
        <f>RANK(G28,$B$28:$GQ$28,0)+COUNTIF($B$28:G28,G28)-1</f>
        <v>134</v>
      </c>
      <c r="H29">
        <f>RANK(H28,$B$28:$GQ$28,0)+COUNTIF($B$28:H28,H28)-1</f>
        <v>49</v>
      </c>
      <c r="I29">
        <f>RANK(I28,$B$28:$GQ$28,0)+COUNTIF($B$28:I28,I28)-1</f>
        <v>33</v>
      </c>
      <c r="J29">
        <f>RANK(J28,$B$28:$GQ$28,0)+COUNTIF($B$28:J28,J28)-1</f>
        <v>135</v>
      </c>
      <c r="K29">
        <f>RANK(K28,$B$28:$GQ$28,0)+COUNTIF($B$28:K28,K28)-1</f>
        <v>136</v>
      </c>
      <c r="L29">
        <f>RANK(L28,$B$28:$GQ$28,0)+COUNTIF($B$28:L28,L28)-1</f>
        <v>17</v>
      </c>
      <c r="M29">
        <f>RANK(M28,$B$28:$GQ$28,0)+COUNTIF($B$28:M28,M28)-1</f>
        <v>11</v>
      </c>
      <c r="N29">
        <f>RANK(N28,$B$28:$GQ$28,0)+COUNTIF($B$28:N28,N28)-1</f>
        <v>36</v>
      </c>
      <c r="O29">
        <f>RANK(O28,$B$28:$GQ$28,0)+COUNTIF($B$28:O28,O28)-1</f>
        <v>44</v>
      </c>
      <c r="P29">
        <f>RANK(P28,$B$28:$GQ$28,0)+COUNTIF($B$28:P28,P28)-1</f>
        <v>137</v>
      </c>
      <c r="Q29">
        <f>RANK(Q28,$B$28:$GQ$28,0)+COUNTIF($B$28:Q28,Q28)-1</f>
        <v>138</v>
      </c>
      <c r="R29">
        <f>RANK(R28,$B$28:$GQ$28,0)+COUNTIF($B$28:R28,R28)-1</f>
        <v>139</v>
      </c>
      <c r="S29">
        <f>RANK(S28,$B$28:$GQ$28,0)+COUNTIF($B$28:S28,S28)-1</f>
        <v>12</v>
      </c>
      <c r="T29">
        <f>RANK(T28,$B$28:$GQ$28,0)+COUNTIF($B$28:T28,T28)-1</f>
        <v>50</v>
      </c>
      <c r="U29">
        <f>RANK(U28,$B$28:$GQ$28,0)+COUNTIF($B$28:U28,U28)-1</f>
        <v>127</v>
      </c>
      <c r="V29">
        <f>RANK(V28,$B$28:$GQ$28,0)+COUNTIF($B$28:V28,V28)-1</f>
        <v>140</v>
      </c>
      <c r="W29">
        <f>RANK(W28,$B$28:$GQ$28,0)+COUNTIF($B$28:W28,W28)-1</f>
        <v>117</v>
      </c>
      <c r="X29">
        <f>RANK(X28,$B$28:$GQ$28,0)+COUNTIF($B$28:X28,X28)-1</f>
        <v>141</v>
      </c>
      <c r="Y29">
        <f>RANK(Y28,$B$28:$GQ$28,0)+COUNTIF($B$28:Y28,Y28)-1</f>
        <v>121</v>
      </c>
      <c r="Z29">
        <f>RANK(Z28,$B$28:$GQ$28,0)+COUNTIF($B$28:Z28,Z28)-1</f>
        <v>142</v>
      </c>
      <c r="AA29">
        <f>RANK(AA28,$B$28:$GQ$28,0)+COUNTIF($B$28:AA28,AA28)-1</f>
        <v>143</v>
      </c>
      <c r="AB29">
        <f>RANK(AB28,$B$28:$GQ$28,0)+COUNTIF($B$28:AB28,AB28)-1</f>
        <v>144</v>
      </c>
      <c r="AC29">
        <f>RANK(AC28,$B$28:$GQ$28,0)+COUNTIF($B$28:AC28,AC28)-1</f>
        <v>145</v>
      </c>
      <c r="AD29">
        <f>RANK(AD28,$B$28:$GQ$28,0)+COUNTIF($B$28:AD28,AD28)-1</f>
        <v>84</v>
      </c>
      <c r="AE29">
        <f>RANK(AE28,$B$28:$GQ$28,0)+COUNTIF($B$28:AE28,AE28)-1</f>
        <v>146</v>
      </c>
      <c r="AF29">
        <f>RANK(AF28,$B$28:$GQ$28,0)+COUNTIF($B$28:AF28,AF28)-1</f>
        <v>147</v>
      </c>
      <c r="AG29">
        <f>RANK(AG28,$B$28:$GQ$28,0)+COUNTIF($B$28:AG28,AG28)-1</f>
        <v>148</v>
      </c>
      <c r="AH29">
        <f>RANK(AH28,$B$28:$GQ$28,0)+COUNTIF($B$28:AH28,AH28)-1</f>
        <v>149</v>
      </c>
      <c r="AI29">
        <f>RANK(AI28,$B$28:$GQ$28,0)+COUNTIF($B$28:AI28,AI28)-1</f>
        <v>150</v>
      </c>
      <c r="AJ29">
        <f>RANK(AJ28,$B$28:$GQ$28,0)+COUNTIF($B$28:AJ28,AJ28)-1</f>
        <v>151</v>
      </c>
      <c r="AK29">
        <f>RANK(AK28,$B$28:$GQ$28,0)+COUNTIF($B$28:AK28,AK28)-1</f>
        <v>152</v>
      </c>
      <c r="AL29">
        <f>RANK(AL28,$B$28:$GQ$28,0)+COUNTIF($B$28:AL28,AL28)-1</f>
        <v>153</v>
      </c>
      <c r="AM29">
        <f>RANK(AM28,$B$28:$GQ$28,0)+COUNTIF($B$28:AM28,AM28)-1</f>
        <v>154</v>
      </c>
      <c r="AN29">
        <f>RANK(AN28,$B$28:$GQ$28,0)+COUNTIF($B$28:AN28,AN28)-1</f>
        <v>155</v>
      </c>
      <c r="AO29">
        <f>RANK(AO28,$B$28:$GQ$28,0)+COUNTIF($B$28:AO28,AO28)-1</f>
        <v>156</v>
      </c>
      <c r="AP29">
        <f>RANK(AP28,$B$28:$GQ$28,0)+COUNTIF($B$28:AP28,AP28)-1</f>
        <v>157</v>
      </c>
      <c r="AQ29">
        <f>RANK(AQ28,$B$28:$GQ$28,0)+COUNTIF($B$28:AQ28,AQ28)-1</f>
        <v>158</v>
      </c>
      <c r="AR29">
        <f>RANK(AR28,$B$28:$GQ$28,0)+COUNTIF($B$28:AR28,AR28)-1</f>
        <v>2</v>
      </c>
      <c r="AS29">
        <f>RANK(AS28,$B$28:$GQ$28,0)+COUNTIF($B$28:AS28,AS28)-1</f>
        <v>25</v>
      </c>
      <c r="AT29">
        <f>RANK(AT28,$B$28:$GQ$28,0)+COUNTIF($B$28:AT28,AT28)-1</f>
        <v>14</v>
      </c>
      <c r="AU29">
        <f>RANK(AU28,$B$28:$GQ$28,0)+COUNTIF($B$28:AU28,AU28)-1</f>
        <v>3</v>
      </c>
      <c r="AV29">
        <f>RANK(AV28,$B$28:$GQ$28,0)+COUNTIF($B$28:AV28,AV28)-1</f>
        <v>64</v>
      </c>
      <c r="AW29">
        <f>RANK(AW28,$B$28:$GQ$28,0)+COUNTIF($B$28:AW28,AW28)-1</f>
        <v>4</v>
      </c>
      <c r="AX29">
        <f>RANK(AX28,$B$28:$GQ$28,0)+COUNTIF($B$28:AX28,AX28)-1</f>
        <v>76</v>
      </c>
      <c r="AY29">
        <f>RANK(AY28,$B$28:$GQ$28,0)+COUNTIF($B$28:AY28,AY28)-1</f>
        <v>27</v>
      </c>
      <c r="AZ29">
        <f>RANK(AZ28,$B$28:$GQ$28,0)+COUNTIF($B$28:AZ28,AZ28)-1</f>
        <v>1</v>
      </c>
      <c r="BA29">
        <f>RANK(BA28,$B$28:$GQ$28,0)+COUNTIF($B$28:BA28,BA28)-1</f>
        <v>13</v>
      </c>
      <c r="BB29">
        <f>RANK(BB28,$B$28:$GQ$28,0)+COUNTIF($B$28:BB28,BB28)-1</f>
        <v>19</v>
      </c>
      <c r="BC29">
        <f>RANK(BC28,$B$28:$GQ$28,0)+COUNTIF($B$28:BC28,BC28)-1</f>
        <v>42</v>
      </c>
      <c r="BD29">
        <f>RANK(BD28,$B$28:$GQ$28,0)+COUNTIF($B$28:BD28,BD28)-1</f>
        <v>29</v>
      </c>
      <c r="BE29">
        <f>RANK(BE28,$B$28:$GQ$28,0)+COUNTIF($B$28:BE28,BE28)-1</f>
        <v>22</v>
      </c>
      <c r="BF29">
        <f>RANK(BF28,$B$28:$GQ$28,0)+COUNTIF($B$28:BF28,BF28)-1</f>
        <v>15</v>
      </c>
      <c r="BG29">
        <f>RANK(BG28,$B$28:$GQ$28,0)+COUNTIF($B$28:BG28,BG28)-1</f>
        <v>30</v>
      </c>
      <c r="BH29">
        <f>RANK(BH28,$B$28:$GQ$28,0)+COUNTIF($B$28:BH28,BH28)-1</f>
        <v>78</v>
      </c>
      <c r="BI29">
        <f>RANK(BI28,$B$28:$GQ$28,0)+COUNTIF($B$28:BI28,BI28)-1</f>
        <v>159</v>
      </c>
      <c r="BJ29">
        <f>RANK(BJ28,$B$28:$GQ$28,0)+COUNTIF($B$28:BJ28,BJ28)-1</f>
        <v>160</v>
      </c>
      <c r="BK29">
        <f>RANK(BK28,$B$28:$GQ$28,0)+COUNTIF($B$28:BK28,BK28)-1</f>
        <v>39</v>
      </c>
      <c r="BL29">
        <f>RANK(BL28,$B$28:$GQ$28,0)+COUNTIF($B$28:BL28,BL28)-1</f>
        <v>52</v>
      </c>
      <c r="BM29">
        <f>RANK(BM28,$B$28:$GQ$28,0)+COUNTIF($B$28:BM28,BM28)-1</f>
        <v>129</v>
      </c>
      <c r="BN29">
        <f>RANK(BN28,$B$28:$GQ$28,0)+COUNTIF($B$28:BN28,BN28)-1</f>
        <v>161</v>
      </c>
      <c r="BO29">
        <f>RANK(BO28,$B$28:$GQ$28,0)+COUNTIF($B$28:BO28,BO28)-1</f>
        <v>162</v>
      </c>
      <c r="BP29">
        <f>RANK(BP28,$B$28:$GQ$28,0)+COUNTIF($B$28:BP28,BP28)-1</f>
        <v>38</v>
      </c>
      <c r="BQ29">
        <f>RANK(BQ28,$B$28:$GQ$28,0)+COUNTIF($B$28:BQ28,BQ28)-1</f>
        <v>131</v>
      </c>
      <c r="BR29">
        <f>RANK(BR28,$B$28:$GQ$28,0)+COUNTIF($B$28:BR28,BR28)-1</f>
        <v>163</v>
      </c>
      <c r="BS29">
        <f>RANK(BS28,$B$28:$GQ$28,0)+COUNTIF($B$28:BS28,BS28)-1</f>
        <v>103</v>
      </c>
      <c r="BT29">
        <f>RANK(BT28,$B$28:$GQ$28,0)+COUNTIF($B$28:BT28,BT28)-1</f>
        <v>106</v>
      </c>
      <c r="BU29">
        <f>RANK(BU28,$B$28:$GQ$28,0)+COUNTIF($B$28:BU28,BU28)-1</f>
        <v>40</v>
      </c>
      <c r="BV29">
        <f>RANK(BV28,$B$28:$GQ$28,0)+COUNTIF($B$28:BV28,BV28)-1</f>
        <v>120</v>
      </c>
      <c r="BW29">
        <f>RANK(BW28,$B$28:$GQ$28,0)+COUNTIF($B$28:BW28,BW28)-1</f>
        <v>164</v>
      </c>
      <c r="BX29">
        <f>RANK(BX28,$B$28:$GQ$28,0)+COUNTIF($B$28:BX28,BX28)-1</f>
        <v>77</v>
      </c>
      <c r="BY29">
        <f>RANK(BY28,$B$28:$GQ$28,0)+COUNTIF($B$28:BY28,BY28)-1</f>
        <v>165</v>
      </c>
      <c r="BZ29">
        <f>RANK(BZ28,$B$28:$GQ$28,0)+COUNTIF($B$28:BZ28,BZ28)-1</f>
        <v>166</v>
      </c>
      <c r="CA29">
        <f>RANK(CA28,$B$28:$GQ$28,0)+COUNTIF($B$28:CA28,CA28)-1</f>
        <v>167</v>
      </c>
      <c r="CB29">
        <f>RANK(CB28,$B$28:$GQ$28,0)+COUNTIF($B$28:CB28,CB28)-1</f>
        <v>168</v>
      </c>
      <c r="CC29">
        <f>RANK(CC28,$B$28:$GQ$28,0)+COUNTIF($B$28:CC28,CC28)-1</f>
        <v>169</v>
      </c>
      <c r="CD29">
        <f>RANK(CD28,$B$28:$GQ$28,0)+COUNTIF($B$28:CD28,CD28)-1</f>
        <v>170</v>
      </c>
      <c r="CE29">
        <f>RANK(CE28,$B$28:$GQ$28,0)+COUNTIF($B$28:CE28,CE28)-1</f>
        <v>171</v>
      </c>
      <c r="CF29">
        <f>RANK(CF28,$B$28:$GQ$28,0)+COUNTIF($B$28:CF28,CF28)-1</f>
        <v>172</v>
      </c>
      <c r="CG29">
        <f>RANK(CG28,$B$28:$GQ$28,0)+COUNTIF($B$28:CG28,CG28)-1</f>
        <v>173</v>
      </c>
      <c r="CH29">
        <f>RANK(CH28,$B$28:$GQ$28,0)+COUNTIF($B$28:CH28,CH28)-1</f>
        <v>174</v>
      </c>
      <c r="CI29">
        <f>RANK(CI28,$B$28:$GQ$28,0)+COUNTIF($B$28:CI28,CI28)-1</f>
        <v>20</v>
      </c>
      <c r="CJ29">
        <f>RANK(CJ28,$B$28:$GQ$28,0)+COUNTIF($B$28:CJ28,CJ28)-1</f>
        <v>73</v>
      </c>
      <c r="CK29">
        <f>RANK(CK28,$B$28:$GQ$28,0)+COUNTIF($B$28:CK28,CK28)-1</f>
        <v>110</v>
      </c>
      <c r="CL29">
        <f>RANK(CL28,$B$28:$GQ$28,0)+COUNTIF($B$28:CL28,CL28)-1</f>
        <v>72</v>
      </c>
      <c r="CM29">
        <f>RANK(CM28,$B$28:$GQ$28,0)+COUNTIF($B$28:CM28,CM28)-1</f>
        <v>26</v>
      </c>
      <c r="CN29">
        <f>RANK(CN28,$B$28:$GQ$28,0)+COUNTIF($B$28:CN28,CN28)-1</f>
        <v>175</v>
      </c>
      <c r="CO29">
        <f>RANK(CO28,$B$28:$GQ$28,0)+COUNTIF($B$28:CO28,CO28)-1</f>
        <v>176</v>
      </c>
      <c r="CP29">
        <f>RANK(CP28,$B$28:$GQ$28,0)+COUNTIF($B$28:CP28,CP28)-1</f>
        <v>97</v>
      </c>
      <c r="CQ29">
        <f>RANK(CQ28,$B$28:$GQ$28,0)+COUNTIF($B$28:CQ28,CQ28)-1</f>
        <v>95</v>
      </c>
      <c r="CR29">
        <f>RANK(CR28,$B$28:$GQ$28,0)+COUNTIF($B$28:CR28,CR28)-1</f>
        <v>177</v>
      </c>
      <c r="CS29">
        <f>RANK(CS28,$B$28:$GQ$28,0)+COUNTIF($B$28:CS28,CS28)-1</f>
        <v>178</v>
      </c>
      <c r="CT29">
        <f>RANK(CT28,$B$28:$GQ$28,0)+COUNTIF($B$28:CT28,CT28)-1</f>
        <v>179</v>
      </c>
      <c r="CU29">
        <f>RANK(CU28,$B$28:$GQ$28,0)+COUNTIF($B$28:CU28,CU28)-1</f>
        <v>66</v>
      </c>
      <c r="CV29">
        <f>RANK(CV28,$B$28:$GQ$28,0)+COUNTIF($B$28:CV28,CV28)-1</f>
        <v>122</v>
      </c>
      <c r="CW29">
        <f>RANK(CW28,$B$28:$GQ$28,0)+COUNTIF($B$28:CW28,CW28)-1</f>
        <v>114</v>
      </c>
      <c r="CX29">
        <f>RANK(CX28,$B$28:$GQ$28,0)+COUNTIF($B$28:CX28,CX28)-1</f>
        <v>124</v>
      </c>
      <c r="CY29">
        <f>RANK(CY28,$B$28:$GQ$28,0)+COUNTIF($B$28:CY28,CY28)-1</f>
        <v>75</v>
      </c>
      <c r="CZ29">
        <f>RANK(CZ28,$B$28:$GQ$28,0)+COUNTIF($B$28:CZ28,CZ28)-1</f>
        <v>132</v>
      </c>
      <c r="DA29">
        <f>RANK(DA28,$B$28:$GQ$28,0)+COUNTIF($B$28:DA28,DA28)-1</f>
        <v>133</v>
      </c>
      <c r="DB29">
        <f>RANK(DB28,$B$28:$GQ$28,0)+COUNTIF($B$28:DB28,DB28)-1</f>
        <v>118</v>
      </c>
      <c r="DC29">
        <f>RANK(DC28,$B$28:$GQ$28,0)+COUNTIF($B$28:DC28,DC28)-1</f>
        <v>180</v>
      </c>
      <c r="DD29">
        <f>RANK(DD28,$B$28:$GQ$28,0)+COUNTIF($B$28:DD28,DD28)-1</f>
        <v>125</v>
      </c>
      <c r="DE29">
        <f>RANK(DE28,$B$28:$GQ$28,0)+COUNTIF($B$28:DE28,DE28)-1</f>
        <v>128</v>
      </c>
      <c r="DF29">
        <f>RANK(DF28,$B$28:$GQ$28,0)+COUNTIF($B$28:DF28,DF28)-1</f>
        <v>181</v>
      </c>
      <c r="DG29">
        <f>RANK(DG28,$B$28:$GQ$28,0)+COUNTIF($B$28:DG28,DG28)-1</f>
        <v>182</v>
      </c>
      <c r="DH29">
        <f>RANK(DH28,$B$28:$GQ$28,0)+COUNTIF($B$28:DH28,DH28)-1</f>
        <v>183</v>
      </c>
      <c r="DI29">
        <f>RANK(DI28,$B$28:$GQ$28,0)+COUNTIF($B$28:DI28,DI28)-1</f>
        <v>184</v>
      </c>
      <c r="DJ29">
        <f>RANK(DJ28,$B$28:$GQ$28,0)+COUNTIF($B$28:DJ28,DJ28)-1</f>
        <v>115</v>
      </c>
      <c r="DK29">
        <f>RANK(DK28,$B$28:$GQ$28,0)+COUNTIF($B$28:DK28,DK28)-1</f>
        <v>185</v>
      </c>
      <c r="DL29">
        <f>RANK(DL28,$B$28:$GQ$28,0)+COUNTIF($B$28:DL28,DL28)-1</f>
        <v>130</v>
      </c>
      <c r="DM29">
        <f>RANK(DM28,$B$28:$GQ$28,0)+COUNTIF($B$28:DM28,DM28)-1</f>
        <v>57</v>
      </c>
      <c r="DN29">
        <f>RANK(DN28,$B$28:$GQ$28,0)+COUNTIF($B$28:DN28,DN28)-1</f>
        <v>87</v>
      </c>
      <c r="DO29">
        <f>RANK(DO28,$B$28:$GQ$28,0)+COUNTIF($B$28:DO28,DO28)-1</f>
        <v>59</v>
      </c>
      <c r="DP29">
        <f>RANK(DP28,$B$28:$GQ$28,0)+COUNTIF($B$28:DP28,DP28)-1</f>
        <v>70</v>
      </c>
      <c r="DQ29">
        <f>RANK(DQ28,$B$28:$GQ$28,0)+COUNTIF($B$28:DQ28,DQ28)-1</f>
        <v>60</v>
      </c>
      <c r="DR29">
        <f>RANK(DR28,$B$28:$GQ$28,0)+COUNTIF($B$28:DR28,DR28)-1</f>
        <v>63</v>
      </c>
      <c r="DS29">
        <f>RANK(DS28,$B$28:$GQ$28,0)+COUNTIF($B$28:DS28,DS28)-1</f>
        <v>23</v>
      </c>
      <c r="DT29">
        <f>RANK(DT28,$B$28:$GQ$28,0)+COUNTIF($B$28:DT28,DT28)-1</f>
        <v>69</v>
      </c>
      <c r="DU29">
        <f>RANK(DU28,$B$28:$GQ$28,0)+COUNTIF($B$28:DU28,DU28)-1</f>
        <v>24</v>
      </c>
      <c r="DV29">
        <f>RANK(DV28,$B$28:$GQ$28,0)+COUNTIF($B$28:DV28,DV28)-1</f>
        <v>186</v>
      </c>
      <c r="DW29">
        <f>RANK(DW28,$B$28:$GQ$28,0)+COUNTIF($B$28:DW28,DW28)-1</f>
        <v>187</v>
      </c>
      <c r="DX29">
        <f>RANK(DX28,$B$28:$GQ$28,0)+COUNTIF($B$28:DX28,DX28)-1</f>
        <v>81</v>
      </c>
      <c r="DY29">
        <f>RANK(DY28,$B$28:$GQ$28,0)+COUNTIF($B$28:DY28,DY28)-1</f>
        <v>92</v>
      </c>
      <c r="DZ29">
        <f>RANK(DZ28,$B$28:$GQ$28,0)+COUNTIF($B$28:DZ28,DZ28)-1</f>
        <v>54</v>
      </c>
      <c r="EA29">
        <f>RANK(EA28,$B$28:$GQ$28,0)+COUNTIF($B$28:EA28,EA28)-1</f>
        <v>79</v>
      </c>
      <c r="EB29">
        <f>RANK(EB28,$B$28:$GQ$28,0)+COUNTIF($B$28:EB28,EB28)-1</f>
        <v>101</v>
      </c>
      <c r="EC29">
        <f>RANK(EC28,$B$28:$GQ$28,0)+COUNTIF($B$28:EC28,EC28)-1</f>
        <v>107</v>
      </c>
      <c r="ED29">
        <f>RANK(ED28,$B$28:$GQ$28,0)+COUNTIF($B$28:ED28,ED28)-1</f>
        <v>102</v>
      </c>
      <c r="EE29">
        <f>RANK(EE28,$B$28:$GQ$28,0)+COUNTIF($B$28:EE28,EE28)-1</f>
        <v>116</v>
      </c>
      <c r="EF29">
        <f>RANK(EF28,$B$28:$GQ$28,0)+COUNTIF($B$28:EF28,EF28)-1</f>
        <v>188</v>
      </c>
      <c r="EG29">
        <f>RANK(EG28,$B$28:$GQ$28,0)+COUNTIF($B$28:EG28,EG28)-1</f>
        <v>119</v>
      </c>
      <c r="EH29">
        <f>RANK(EH28,$B$28:$GQ$28,0)+COUNTIF($B$28:EH28,EH28)-1</f>
        <v>189</v>
      </c>
      <c r="EI29">
        <f>RANK(EI28,$B$28:$GQ$28,0)+COUNTIF($B$28:EI28,EI28)-1</f>
        <v>190</v>
      </c>
      <c r="EJ29">
        <f>RANK(EJ28,$B$28:$GQ$28,0)+COUNTIF($B$28:EJ28,EJ28)-1</f>
        <v>82</v>
      </c>
      <c r="EK29">
        <f>RANK(EK28,$B$28:$GQ$28,0)+COUNTIF($B$28:EK28,EK28)-1</f>
        <v>68</v>
      </c>
      <c r="EL29">
        <f>RANK(EL28,$B$28:$GQ$28,0)+COUNTIF($B$28:EL28,EL28)-1</f>
        <v>191</v>
      </c>
      <c r="EM29">
        <f>RANK(EM28,$B$28:$GQ$28,0)+COUNTIF($B$28:EM28,EM28)-1</f>
        <v>192</v>
      </c>
      <c r="EN29">
        <f>RANK(EN28,$B$28:$GQ$28,0)+COUNTIF($B$28:EN28,EN28)-1</f>
        <v>193</v>
      </c>
      <c r="EO29">
        <f>RANK(EO28,$B$28:$GQ$28,0)+COUNTIF($B$28:EO28,EO28)-1</f>
        <v>194</v>
      </c>
      <c r="EP29">
        <f>RANK(EP28,$B$28:$GQ$28,0)+COUNTIF($B$28:EP28,EP28)-1</f>
        <v>195</v>
      </c>
      <c r="EQ29">
        <f>RANK(EQ28,$B$28:$GQ$28,0)+COUNTIF($B$28:EQ28,EQ28)-1</f>
        <v>56</v>
      </c>
      <c r="ER29">
        <f>RANK(ER28,$B$28:$GQ$28,0)+COUNTIF($B$28:ER28,ER28)-1</f>
        <v>62</v>
      </c>
      <c r="ES29">
        <f>RANK(ES28,$B$28:$GQ$28,0)+COUNTIF($B$28:ES28,ES28)-1</f>
        <v>67</v>
      </c>
      <c r="ET29">
        <f>RANK(ET28,$B$28:$GQ$28,0)+COUNTIF($B$28:ET28,ET28)-1</f>
        <v>48</v>
      </c>
      <c r="EU29">
        <f>RANK(EU28,$B$28:$GQ$28,0)+COUNTIF($B$28:EU28,EU28)-1</f>
        <v>196</v>
      </c>
      <c r="EV29">
        <f>RANK(EV28,$B$28:$GQ$28,0)+COUNTIF($B$28:EV28,EV28)-1</f>
        <v>53</v>
      </c>
      <c r="EW29">
        <f>RANK(EW28,$B$28:$GQ$28,0)+COUNTIF($B$28:EW28,EW28)-1</f>
        <v>85</v>
      </c>
      <c r="EX29">
        <f>RANK(EX28,$B$28:$GQ$28,0)+COUNTIF($B$28:EX28,EX28)-1</f>
        <v>65</v>
      </c>
      <c r="EY29">
        <f>RANK(EY28,$B$28:$GQ$28,0)+COUNTIF($B$28:EY28,EY28)-1</f>
        <v>71</v>
      </c>
      <c r="EZ29">
        <f>RANK(EZ28,$B$28:$GQ$28,0)+COUNTIF($B$28:EZ28,EZ28)-1</f>
        <v>6</v>
      </c>
      <c r="FA29">
        <f>RANK(FA28,$B$28:$GQ$28,0)+COUNTIF($B$28:FA28,FA28)-1</f>
        <v>41</v>
      </c>
      <c r="FB29">
        <f>RANK(FB28,$B$28:$GQ$28,0)+COUNTIF($B$28:FB28,FB28)-1</f>
        <v>35</v>
      </c>
      <c r="FC29">
        <f>RANK(FC28,$B$28:$GQ$28,0)+COUNTIF($B$28:FC28,FC28)-1</f>
        <v>80</v>
      </c>
      <c r="FD29">
        <f>RANK(FD28,$B$28:$GQ$28,0)+COUNTIF($B$28:FD28,FD28)-1</f>
        <v>45</v>
      </c>
      <c r="FE29">
        <f>RANK(FE28,$B$28:$GQ$28,0)+COUNTIF($B$28:FE28,FE28)-1</f>
        <v>61</v>
      </c>
      <c r="FF29">
        <f>RANK(FF28,$B$28:$GQ$28,0)+COUNTIF($B$28:FF28,FF28)-1</f>
        <v>28</v>
      </c>
      <c r="FG29">
        <f>RANK(FG28,$B$28:$GQ$28,0)+COUNTIF($B$28:FG28,FG28)-1</f>
        <v>47</v>
      </c>
      <c r="FH29">
        <f>RANK(FH28,$B$28:$GQ$28,0)+COUNTIF($B$28:FH28,FH28)-1</f>
        <v>34</v>
      </c>
      <c r="FI29">
        <f>RANK(FI28,$B$28:$GQ$28,0)+COUNTIF($B$28:FI28,FI28)-1</f>
        <v>51</v>
      </c>
      <c r="FJ29">
        <f>RANK(FJ28,$B$28:$GQ$28,0)+COUNTIF($B$28:FJ28,FJ28)-1</f>
        <v>32</v>
      </c>
      <c r="FK29">
        <f>RANK(FK28,$B$28:$GQ$28,0)+COUNTIF($B$28:FK28,FK28)-1</f>
        <v>197</v>
      </c>
      <c r="FL29">
        <f>RANK(FL28,$B$28:$GQ$28,0)+COUNTIF($B$28:FL28,FL28)-1</f>
        <v>7</v>
      </c>
      <c r="FM29">
        <f>RANK(FM28,$B$28:$GQ$28,0)+COUNTIF($B$28:FM28,FM28)-1</f>
        <v>74</v>
      </c>
      <c r="FN29">
        <f>RANK(FN28,$B$28:$GQ$28,0)+COUNTIF($B$28:FN28,FN28)-1</f>
        <v>111</v>
      </c>
      <c r="FO29">
        <f>RANK(FO28,$B$28:$GQ$28,0)+COUNTIF($B$28:FO28,FO28)-1</f>
        <v>31</v>
      </c>
      <c r="FP29">
        <f>RANK(FP28,$B$28:$GQ$28,0)+COUNTIF($B$28:FP28,FP28)-1</f>
        <v>46</v>
      </c>
      <c r="FQ29">
        <f>RANK(FQ28,$B$28:$GQ$28,0)+COUNTIF($B$28:FQ28,FQ28)-1</f>
        <v>9</v>
      </c>
      <c r="FR29">
        <f>RANK(FR28,$B$28:$GQ$28,0)+COUNTIF($B$28:FR28,FR28)-1</f>
        <v>18</v>
      </c>
      <c r="FS29">
        <f>RANK(FS28,$B$28:$GQ$28,0)+COUNTIF($B$28:FS28,FS28)-1</f>
        <v>8</v>
      </c>
      <c r="FT29">
        <f>RANK(FT28,$B$28:$GQ$28,0)+COUNTIF($B$28:FT28,FT28)-1</f>
        <v>91</v>
      </c>
      <c r="FU29">
        <f>RANK(FU28,$B$28:$GQ$28,0)+COUNTIF($B$28:FU28,FU28)-1</f>
        <v>89</v>
      </c>
      <c r="FV29">
        <f>RANK(FV28,$B$28:$GQ$28,0)+COUNTIF($B$28:FV28,FV28)-1</f>
        <v>98</v>
      </c>
      <c r="FW29">
        <f>RANK(FW28,$B$28:$GQ$28,0)+COUNTIF($B$28:FW28,FW28)-1</f>
        <v>86</v>
      </c>
      <c r="FX29">
        <f>RANK(FX28,$B$28:$GQ$28,0)+COUNTIF($B$28:FX28,FX28)-1</f>
        <v>108</v>
      </c>
      <c r="FY29">
        <f>RANK(FY28,$B$28:$GQ$28,0)+COUNTIF($B$28:FY28,FY28)-1</f>
        <v>104</v>
      </c>
      <c r="FZ29">
        <f>RANK(FZ28,$B$28:$GQ$28,0)+COUNTIF($B$28:FZ28,FZ28)-1</f>
        <v>88</v>
      </c>
      <c r="GA29">
        <f>RANK(GA28,$B$28:$GQ$28,0)+COUNTIF($B$28:GA28,GA28)-1</f>
        <v>112</v>
      </c>
      <c r="GB29">
        <f>RANK(GB28,$B$28:$GQ$28,0)+COUNTIF($B$28:GB28,GB28)-1</f>
        <v>126</v>
      </c>
      <c r="GC29">
        <f>RANK(GC28,$B$28:$GQ$28,0)+COUNTIF($B$28:GC28,GC28)-1</f>
        <v>90</v>
      </c>
      <c r="GD29">
        <f>RANK(GD28,$B$28:$GQ$28,0)+COUNTIF($B$28:GD28,GD28)-1</f>
        <v>96</v>
      </c>
      <c r="GE29">
        <f>RANK(GE28,$B$28:$GQ$28,0)+COUNTIF($B$28:GE28,GE28)-1</f>
        <v>123</v>
      </c>
      <c r="GF29">
        <f>RANK(GF28,$B$28:$GQ$28,0)+COUNTIF($B$28:GF28,GF28)-1</f>
        <v>100</v>
      </c>
      <c r="GG29">
        <f>RANK(GG28,$B$28:$GQ$28,0)+COUNTIF($B$28:GG28,GG28)-1</f>
        <v>93</v>
      </c>
      <c r="GH29">
        <f>RANK(GH28,$B$28:$GQ$28,0)+COUNTIF($B$28:GH28,GH28)-1</f>
        <v>94</v>
      </c>
      <c r="GI29">
        <f>RANK(GI28,$B$28:$GQ$28,0)+COUNTIF($B$28:GI28,GI28)-1</f>
        <v>99</v>
      </c>
      <c r="GJ29">
        <f>RANK(GJ28,$B$28:$GQ$28,0)+COUNTIF($B$28:GJ28,GJ28)-1</f>
        <v>109</v>
      </c>
      <c r="GK29">
        <f>RANK(GK28,$B$28:$GQ$28,0)+COUNTIF($B$28:GK28,GK28)-1</f>
        <v>83</v>
      </c>
      <c r="GL29">
        <f>RANK(GL28,$B$28:$GQ$28,0)+COUNTIF($B$28:GL28,GL28)-1</f>
        <v>113</v>
      </c>
      <c r="GM29">
        <f>RANK(GM28,$B$28:$GQ$28,0)+COUNTIF($B$28:GM28,GM28)-1</f>
        <v>105</v>
      </c>
      <c r="GN29">
        <f>RANK(GN28,$B$28:$GQ$28,0)+COUNTIF($B$28:GN28,GN28)-1</f>
        <v>37</v>
      </c>
      <c r="GO29">
        <f>RANK(GO28,$B$28:$GQ$28,0)+COUNTIF($B$28:GO28,GO28)-1</f>
        <v>16</v>
      </c>
      <c r="GP29">
        <f>RANK(GP28,$B$28:$GQ$28,0)+COUNTIF($B$28:GP28,GP28)-1</f>
        <v>43</v>
      </c>
      <c r="GQ29">
        <f>RANK(GQ28,$B$28:$GQ$28,0)+COUNTIF($B$28:GQ28,GQ28)-1</f>
        <v>198</v>
      </c>
    </row>
    <row r="30" spans="1:211" x14ac:dyDescent="0.45">
      <c r="A30" s="1" t="s">
        <v>223</v>
      </c>
      <c r="GR30">
        <f>RANK(GR28,$GR$28:$HC$28,0)+COUNTIF($GR$28:GR28,GR28)-1</f>
        <v>8</v>
      </c>
      <c r="GS30">
        <f>RANK(GS28,$GR$28:$HC$28,0)+COUNTIF($GR$28:GS28,GS28)-1</f>
        <v>5</v>
      </c>
      <c r="GT30">
        <f>RANK(GT28,$GR$28:$HC$28,0)+COUNTIF($GR$28:GT28,GT28)-1</f>
        <v>2</v>
      </c>
      <c r="GU30">
        <f>RANK(GU28,$GR$28:$HC$28,0)+COUNTIF($GR$28:GU28,GU28)-1</f>
        <v>6</v>
      </c>
      <c r="GV30">
        <f>RANK(GV28,$GR$28:$HC$28,0)+COUNTIF($GR$28:GV28,GV28)-1</f>
        <v>7</v>
      </c>
      <c r="GW30">
        <f>RANK(GW28,$GR$28:$HC$28,0)+COUNTIF($GR$28:GW28,GW28)-1</f>
        <v>1</v>
      </c>
      <c r="GX30">
        <f>RANK(GX28,$GR$28:$HC$28,0)+COUNTIF($GR$28:GX28,GX28)-1</f>
        <v>4</v>
      </c>
      <c r="GY30">
        <f>RANK(GY28,$GR$28:$HC$28,0)+COUNTIF($GR$28:GY28,GY28)-1</f>
        <v>11</v>
      </c>
      <c r="GZ30">
        <f>RANK(GZ28,$GR$28:$HC$28,0)+COUNTIF($GR$28:GZ28,GZ28)-1</f>
        <v>10</v>
      </c>
      <c r="HA30">
        <f>RANK(HA28,$GR$28:$HC$28,0)+COUNTIF($GR$28:HA28,HA28)-1</f>
        <v>12</v>
      </c>
      <c r="HB30">
        <f>RANK(HB28,$GR$28:$HC$28,0)+COUNTIF($GR$28:HB28,HB28)-1</f>
        <v>9</v>
      </c>
      <c r="HC30">
        <f>RANK(HC28,$GR$28:$HC$28,0)+COUNTIF($GR$28:HC28,HC28)-1</f>
        <v>3</v>
      </c>
    </row>
  </sheetData>
  <dataValidations count="1">
    <dataValidation type="list" sqref="B1" xr:uid="{00000000-0002-0000-0600-000000000000}">
      <formula1>$A$18:$A$27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46" customWidth="1"/>
  </cols>
  <sheetData>
    <row r="1" spans="1:211" x14ac:dyDescent="0.45">
      <c r="A1" s="1" t="s">
        <v>0</v>
      </c>
      <c r="B1" s="2" t="s">
        <v>1</v>
      </c>
    </row>
    <row r="3" spans="1:211" x14ac:dyDescent="0.45">
      <c r="A3" s="1" t="s">
        <v>230</v>
      </c>
      <c r="B3" s="1" t="str">
        <f>INDEX($B$17:$GQ$17,MATCH(1,$B$29:$GQ$29,0))</f>
        <v>Real estate services (70)</v>
      </c>
      <c r="C3" s="1" t="str">
        <f>INDEX($B$17:$GQ$17,MATCH(2,$B$29:$GQ$29,0))</f>
        <v>Public administration and defence services; compulsory social security services (75)</v>
      </c>
      <c r="D3" s="1" t="str">
        <f>INDEX($B$17:$GQ$17,MATCH(3,$B$29:$GQ$29,0))</f>
        <v>Chemicals nec</v>
      </c>
      <c r="E3" s="1" t="str">
        <f>INDEX($B$17:$GQ$17,MATCH(4,$B$29:$GQ$29,0))</f>
        <v>Food products nec</v>
      </c>
      <c r="F3" s="1" t="str">
        <f>INDEX($B$17:$GQ$17,MATCH(5,$B$29:$GQ$29,0))</f>
        <v>Health and social work services (85)</v>
      </c>
      <c r="G3" s="1" t="str">
        <f>INDEX($B$17:$GQ$17,MATCH(6,$B$29:$GQ$29,0))</f>
        <v>Plastics, basic</v>
      </c>
      <c r="H3" s="1" t="str">
        <f>INDEX($B$17:$GQ$17,MATCH(7,$B$29:$GQ$29,0))</f>
        <v>Motor vehicles, trailers and semi-trailers (34)</v>
      </c>
      <c r="I3" s="1" t="str">
        <f>INDEX($B$17:$GQ$17,MATCH(8,$B$29:$GQ$29,0))</f>
        <v>Motor Gasoline</v>
      </c>
      <c r="J3" s="1" t="str">
        <f>INDEX($B$17:$GQ$17,MATCH(9,$B$29:$GQ$29,0))</f>
        <v>Recreational, cultural and sporting services (92)</v>
      </c>
      <c r="K3" s="1" t="str">
        <f>INDEX($B$17:$GQ$17,MATCH(10,$B$29:$GQ$29,0))</f>
        <v>Gas/Diesel Oil</v>
      </c>
      <c r="L3" s="1" t="str">
        <f>INDEX($B$17:$GQ$17,MATCH(11,$B$29:$GQ$29,0))</f>
        <v>Education services (80)</v>
      </c>
      <c r="M3" s="1" t="str">
        <f>INDEX($B$17:$GQ$17,MATCH(12,$B$29:$GQ$29,0))</f>
        <v>Hotel and restaurant services (55)</v>
      </c>
      <c r="N3" s="1" t="str">
        <f>INDEX($B$17:$GQ$17,MATCH(13,$B$29:$GQ$29,0))</f>
        <v>Vegetables, fruit, nuts</v>
      </c>
      <c r="O3" s="1" t="str">
        <f>INDEX($B$17:$GQ$17,MATCH(14,$B$29:$GQ$29,0))</f>
        <v>Wearing apparel; furs (18)</v>
      </c>
      <c r="P3" s="1" t="str">
        <f>INDEX($B$17:$GQ$17,MATCH(15,$B$29:$GQ$29,0))</f>
        <v>Meat products nec</v>
      </c>
      <c r="Q3" s="1" t="str">
        <f>INDEX($B$17:$GQ$17,MATCH(16,$B$29:$GQ$29,0))</f>
        <v>Dairy products</v>
      </c>
      <c r="R3" s="1" t="str">
        <f>INDEX($B$17:$GQ$17,MATCH(17,$B$29:$GQ$29,0))</f>
        <v>Products of meat cattle</v>
      </c>
      <c r="S3" s="1" t="str">
        <f>INDEX($B$17:$GQ$17,MATCH(18,$B$29:$GQ$29,0))</f>
        <v>Air transport services (62)</v>
      </c>
      <c r="T3" s="1" t="str">
        <f>INDEX($B$17:$GQ$17,MATCH(19,$B$29:$GQ$29,0))</f>
        <v>Furniture; other manufactured goods n.e.c. (36)</v>
      </c>
      <c r="U3" s="1" t="str">
        <f>INDEX($B$17:$GQ$17,MATCH(20,$B$29:$GQ$29,0))</f>
        <v>Other land transportation services</v>
      </c>
      <c r="V3" s="1" t="str">
        <f>INDEX($B$17:$GQ$17,MATCH(21,$B$29:$GQ$29,0))</f>
        <v>Leather and leather products (19)</v>
      </c>
      <c r="W3" s="1" t="str">
        <f>INDEX($B$17:$GQ$17,MATCH(22,$B$29:$GQ$29,0))</f>
        <v>Research and development services (73)</v>
      </c>
      <c r="X3" s="1" t="str">
        <f>INDEX($B$17:$GQ$17,MATCH(23,$B$29:$GQ$29,0))</f>
        <v>Beverages</v>
      </c>
      <c r="Y3" s="1" t="str">
        <f>INDEX($B$17:$GQ$17,MATCH(24,$B$29:$GQ$29,0))</f>
        <v>Railway transportation services</v>
      </c>
      <c r="Z3" s="1" t="str">
        <f>INDEX($B$17:$GQ$17,MATCH(25,$B$29:$GQ$29,0))</f>
        <v>Products of forestry, logging and related services (02)</v>
      </c>
      <c r="AA3" s="1" t="str">
        <f>INDEX($B$17:$GQ$17,MATCH(26,$B$29:$GQ$29,0))</f>
        <v>Products of meat poultry</v>
      </c>
      <c r="AB3" s="1" t="str">
        <f>INDEX($B$17:$GQ$17,MATCH(27,$B$29:$GQ$29,0))</f>
        <v>Post and telecommunication services (64)</v>
      </c>
      <c r="AC3" s="1" t="str">
        <f>INDEX($B$17:$GQ$17,MATCH(28,$B$29:$GQ$29,0))</f>
        <v>Insurance and pension funding services, except compulsory social security services (66)</v>
      </c>
      <c r="AD3" s="1" t="str">
        <f>INDEX($B$17:$GQ$17,MATCH(29,$B$29:$GQ$29,0))</f>
        <v>Construction work (45)</v>
      </c>
      <c r="AE3" s="1" t="str">
        <f>INDEX($B$17:$GQ$17,MATCH(30,$B$29:$GQ$29,0))</f>
        <v>Textiles (17)</v>
      </c>
      <c r="AF3" s="1" t="str">
        <f>INDEX($B$17:$GQ$17,MATCH(31,$B$29:$GQ$29,0))</f>
        <v>Fish products</v>
      </c>
      <c r="AG3" s="1" t="str">
        <f>INDEX($B$17:$GQ$17,MATCH(32,$B$29:$GQ$29,0))</f>
        <v>Meat animals nec</v>
      </c>
      <c r="AH3" s="1" t="str">
        <f>INDEX($B$17:$GQ$17,MATCH(33,$B$29:$GQ$29,0))</f>
        <v>Poultry</v>
      </c>
      <c r="AI3" s="1" t="str">
        <f>INDEX($B$17:$GQ$17,MATCH(34,$B$29:$GQ$29,0))</f>
        <v>Other non-metallic mineral products</v>
      </c>
      <c r="AJ3" s="1" t="str">
        <f>INDEX($B$17:$GQ$17,MATCH(35,$B$29:$GQ$29,0))</f>
        <v>Steam and hot water supply services</v>
      </c>
      <c r="AK3" s="1" t="str">
        <f>INDEX($B$17:$GQ$17,MATCH(36,$B$29:$GQ$29,0))</f>
        <v>Ceramic goods</v>
      </c>
      <c r="AL3" s="1" t="str">
        <f>INDEX($B$17:$GQ$17,MATCH(37,$B$29:$GQ$29,0))</f>
        <v>Supporting and auxiliary transport services; travel agency services (63)</v>
      </c>
      <c r="AM3" s="1" t="str">
        <f>INDEX($B$17:$GQ$17,MATCH(38,$B$29:$GQ$29,0))</f>
        <v>Distribution services of gaseous fuels through mains</v>
      </c>
      <c r="AN3" s="1" t="str">
        <f>INDEX($B$17:$GQ$17,MATCH(39,$B$29:$GQ$29,0))</f>
        <v>Sugar</v>
      </c>
      <c r="AO3" s="1" t="str">
        <f>INDEX($B$17:$GQ$17,MATCH(40,$B$29:$GQ$29,0))</f>
        <v>Natural gas and services related to natural gas extraction, excluding surveying</v>
      </c>
      <c r="AP3" s="1" t="str">
        <f>INDEX($B$17:$GQ$17,MATCH(41,$B$29:$GQ$29,0))</f>
        <v>Inland water transportation services</v>
      </c>
      <c r="AQ3" s="1" t="str">
        <f>INDEX($B$17:$GQ$17,MATCH(42,$B$29:$GQ$29,0))</f>
        <v>Membership organisation services n.e.c. (91)</v>
      </c>
      <c r="AR3" s="1" t="str">
        <f>INDEX($B$17:$GQ$17,MATCH(43,$B$29:$GQ$29,0))</f>
        <v>Sea and coastal water transportation services</v>
      </c>
      <c r="AS3" s="1" t="str">
        <f>INDEX($B$17:$GQ$17,MATCH(44,$B$29:$GQ$29,0))</f>
        <v>Electricity by nuclear</v>
      </c>
      <c r="AT3" s="1" t="str">
        <f>INDEX($B$17:$GQ$17,MATCH(45,$B$29:$GQ$29,0))</f>
        <v>Fabricated metal products, except machinery and equipment (28)</v>
      </c>
      <c r="AU3" s="1" t="str">
        <f>INDEX($B$17:$GQ$17,MATCH(46,$B$29:$GQ$29,0))</f>
        <v>Paper and paper products</v>
      </c>
      <c r="AV3" s="1" t="str">
        <f>INDEX($B$17:$GQ$17,MATCH(47,$B$29:$GQ$29,0))</f>
        <v>Financial intermediation services, except insurance and pension funding services (65)</v>
      </c>
      <c r="AW3" s="1" t="str">
        <f>INDEX($B$17:$GQ$17,MATCH(48,$B$29:$GQ$29,0))</f>
        <v>Sale, maintenance, repair of motor vehicles, motor vehicles parts, motorcycles, motor cycles parts and accessoiries</v>
      </c>
      <c r="AX3" s="1" t="str">
        <f>INDEX($B$17:$GQ$17,MATCH(49,$B$29:$GQ$29,0))</f>
        <v>Electrical machinery and apparatus n.e.c. (31)</v>
      </c>
      <c r="AY3" s="1" t="str">
        <f>INDEX($B$17:$GQ$17,MATCH(50,$B$29:$GQ$29,0))</f>
        <v>Office machinery and computers (30)</v>
      </c>
      <c r="AZ3" s="1" t="str">
        <f>INDEX($B$17:$GQ$17,MATCH(51,$B$29:$GQ$29,0))</f>
        <v>Wheat</v>
      </c>
      <c r="BA3" s="1" t="str">
        <f>INDEX($B$17:$GQ$17,MATCH(52,$B$29:$GQ$29,0))</f>
        <v>Other business services (74)</v>
      </c>
      <c r="BB3" s="1" t="str">
        <f>INDEX($B$17:$GQ$17,MATCH(53,$B$29:$GQ$29,0))</f>
        <v>Wood and products of wood and cork (except furniture); articles of straw and plaiting materials (20)</v>
      </c>
      <c r="BC3" s="1" t="str">
        <f>INDEX($B$17:$GQ$17,MATCH(54,$B$29:$GQ$29,0))</f>
        <v>Products of meat pigs</v>
      </c>
      <c r="BD3" s="1" t="str">
        <f>INDEX($B$17:$GQ$17,MATCH(55,$B$29:$GQ$29,0))</f>
        <v>Medical, precision and optical instruments, watches and clocks (33)</v>
      </c>
      <c r="BE3" s="1" t="str">
        <f>INDEX($B$17:$GQ$17,MATCH(56,$B$29:$GQ$29,0))</f>
        <v>Other transport equipment (35)</v>
      </c>
      <c r="BF3" s="1" t="str">
        <f>INDEX($B$17:$GQ$17,MATCH(57,$B$29:$GQ$29,0))</f>
        <v>Printed matter and recorded media (22)</v>
      </c>
      <c r="BG3" s="1" t="str">
        <f>INDEX($B$17:$GQ$17,MATCH(58,$B$29:$GQ$29,0))</f>
        <v>Oil seeds</v>
      </c>
      <c r="BH3" s="1" t="str">
        <f>INDEX($B$17:$GQ$17,MATCH(59,$B$29:$GQ$29,0))</f>
        <v>Fish and other fishing products; services incidental of fishing (05)</v>
      </c>
      <c r="BI3" s="1" t="str">
        <f>INDEX($B$17:$GQ$17,MATCH(60,$B$29:$GQ$29,0))</f>
        <v>Collected and purified water, distribution services of water (41)</v>
      </c>
      <c r="BJ3" s="1" t="str">
        <f>INDEX($B$17:$GQ$17,MATCH(61,$B$29:$GQ$29,0))</f>
        <v>Radio, television and communication equipment and apparatus (32)</v>
      </c>
      <c r="BK3" s="1" t="str">
        <f>INDEX($B$17:$GQ$17,MATCH(62,$B$29:$GQ$29,0))</f>
        <v>Other services (93)</v>
      </c>
      <c r="BL3" s="1" t="str">
        <f>INDEX($B$17:$GQ$17,MATCH(63,$B$29:$GQ$29,0))</f>
        <v>Animal products nec</v>
      </c>
      <c r="BM3" s="1" t="str">
        <f>INDEX($B$17:$GQ$17,MATCH(64,$B$29:$GQ$29,0))</f>
        <v>Distribution and trade services of electricity</v>
      </c>
      <c r="BN3" s="1" t="str">
        <f>INDEX($B$17:$GQ$17,MATCH(65,$B$29:$GQ$29,0))</f>
        <v>Electricity by coal</v>
      </c>
      <c r="BO3" s="1" t="str">
        <f>INDEX($B$17:$GQ$17,MATCH(66,$B$29:$GQ$29,0))</f>
        <v>Wholesale trade and commission trade services, except of motor vehicles and motorcycles (51)</v>
      </c>
      <c r="BP3" s="1" t="str">
        <f>INDEX($B$17:$GQ$17,MATCH(67,$B$29:$GQ$29,0))</f>
        <v>Tobacco products (16)</v>
      </c>
      <c r="BQ3" s="1" t="str">
        <f>INDEX($B$17:$GQ$17,MATCH(68,$B$29:$GQ$29,0))</f>
        <v>Secondary plastic for treatment, Re-processing of secondary plastic into new plastic</v>
      </c>
      <c r="BR3" s="1" t="str">
        <f>INDEX($B$17:$GQ$17,MATCH(69,$B$29:$GQ$29,0))</f>
        <v>Retail  trade services, except of motor vehicles and motorcycles; repair services of personal and household goods (52)</v>
      </c>
      <c r="BS3" s="1" t="str">
        <f>INDEX($B$17:$GQ$17,MATCH(70,$B$29:$GQ$29,0))</f>
        <v>Liquefied Petroleum Gases (LPG)</v>
      </c>
      <c r="BT3" s="1" t="str">
        <f>INDEX($B$17:$GQ$17,MATCH(71,$B$29:$GQ$29,0))</f>
        <v>Crops nec</v>
      </c>
      <c r="BU3" s="1" t="str">
        <f>INDEX($B$17:$GQ$17,MATCH(72,$B$29:$GQ$29,0))</f>
        <v>Biodiesels</v>
      </c>
      <c r="BV3" s="1" t="str">
        <f>INDEX($B$17:$GQ$17,MATCH(73,$B$29:$GQ$29,0))</f>
        <v>P- and other fertiliser</v>
      </c>
      <c r="BW3" s="1" t="str">
        <f>INDEX($B$17:$GQ$17,MATCH(74,$B$29:$GQ$29,0))</f>
        <v>Renting services of machinery and equipment without operator and of personal and household goods (71)</v>
      </c>
      <c r="BX3" s="1" t="str">
        <f>INDEX($B$17:$GQ$17,MATCH(75,$B$29:$GQ$29,0))</f>
        <v>Electricity by hydro</v>
      </c>
      <c r="BY3" s="1" t="str">
        <f>INDEX($B$17:$GQ$17,MATCH(76,$B$29:$GQ$29,0))</f>
        <v>Biogasoline</v>
      </c>
      <c r="BZ3" s="1" t="str">
        <f>INDEX($B$17:$GQ$17,MATCH(77,$B$29:$GQ$29,0))</f>
        <v>Electricity by gas</v>
      </c>
      <c r="CA3" s="1" t="str">
        <f>INDEX($B$17:$GQ$17,MATCH(78,$B$29:$GQ$29,0))</f>
        <v>Raw milk</v>
      </c>
      <c r="CB3" s="1" t="str">
        <f>INDEX($B$17:$GQ$17,MATCH(79,$B$29:$GQ$29,0))</f>
        <v>Transmission services of electricity</v>
      </c>
      <c r="CC3" s="1" t="str">
        <f>INDEX($B$17:$GQ$17,MATCH(80,$B$29:$GQ$29,0))</f>
        <v>Plant-based fibers</v>
      </c>
      <c r="CD3" s="1" t="str">
        <f>INDEX($B$17:$GQ$17,MATCH(81,$B$29:$GQ$29,0))</f>
        <v>Inert/metal/hazardous waste for treatment: landfill</v>
      </c>
      <c r="CE3" s="1" t="str">
        <f>INDEX($B$17:$GQ$17,MATCH(82,$B$29:$GQ$29,0))</f>
        <v>Transportation services via pipelines</v>
      </c>
      <c r="CF3" s="1" t="str">
        <f>INDEX($B$17:$GQ$17,MATCH(83,$B$29:$GQ$29,0))</f>
        <v>Machinery and equipment n.e.c. (29)</v>
      </c>
      <c r="CG3" s="1" t="str">
        <f>INDEX($B$17:$GQ$17,MATCH(84,$B$29:$GQ$29,0))</f>
        <v>Intert/metal waste for treatment: incineration</v>
      </c>
      <c r="CH3" s="1" t="str">
        <f>INDEX($B$17:$GQ$17,MATCH(85,$B$29:$GQ$29,0))</f>
        <v>Oil/hazardous waste for treatment: incineration</v>
      </c>
      <c r="CI3" s="1" t="str">
        <f>INDEX($B$17:$GQ$17,MATCH(86,$B$29:$GQ$29,0))</f>
        <v>products of Vegetable oils and fats</v>
      </c>
      <c r="CJ3" s="1" t="str">
        <f>INDEX($B$17:$GQ$17,MATCH(87,$B$29:$GQ$29,0))</f>
        <v>Cement, lime and plaster</v>
      </c>
      <c r="CK3" s="1" t="str">
        <f>INDEX($B$17:$GQ$17,MATCH(88,$B$29:$GQ$29,0))</f>
        <v>Paper waste for treatment: incineration</v>
      </c>
      <c r="CL3" s="1" t="str">
        <f>INDEX($B$17:$GQ$17,MATCH(89,$B$29:$GQ$29,0))</f>
        <v>Food waste for treatment: incineration</v>
      </c>
      <c r="CM3" s="1" t="str">
        <f>INDEX($B$17:$GQ$17,MATCH(90,$B$29:$GQ$29,0))</f>
        <v>Wood material for treatment, Re-processing of secondary wood material into new wood material</v>
      </c>
      <c r="CN3" s="1" t="str">
        <f>INDEX($B$17:$GQ$17,MATCH(91,$B$29:$GQ$29,0))</f>
        <v>Sewage sludge for treatment: biogasification and land application</v>
      </c>
      <c r="CO3" s="1" t="str">
        <f>INDEX($B$17:$GQ$17,MATCH(92,$B$29:$GQ$29,0))</f>
        <v>Retail trade services of motor fuel</v>
      </c>
      <c r="CP3" s="1" t="str">
        <f>INDEX($B$17:$GQ$17,MATCH(93,$B$29:$GQ$29,0))</f>
        <v>Kerosene Type Jet Fuel</v>
      </c>
      <c r="CQ3" s="1" t="str">
        <f>INDEX($B$17:$GQ$17,MATCH(94,$B$29:$GQ$29,0))</f>
        <v>Processed rice</v>
      </c>
      <c r="CR3" s="1" t="str">
        <f>INDEX($B$17:$GQ$17,MATCH(95,$B$29:$GQ$29,0))</f>
        <v>Other waste for treatment: waste water treatment</v>
      </c>
      <c r="CS3" s="1" t="str">
        <f>INDEX($B$17:$GQ$17,MATCH(96,$B$29:$GQ$29,0))</f>
        <v>Food waste for treatment: composting and land application</v>
      </c>
      <c r="CT3" s="1" t="str">
        <f>INDEX($B$17:$GQ$17,MATCH(97,$B$29:$GQ$29,0))</f>
        <v>Food waste for treatment: landfill</v>
      </c>
      <c r="CU3" s="1" t="str">
        <f>INDEX($B$17:$GQ$17,MATCH(98,$B$29:$GQ$29,0))</f>
        <v>Electricity by wind</v>
      </c>
      <c r="CV3" s="1" t="str">
        <f>INDEX($B$17:$GQ$17,MATCH(99,$B$29:$GQ$29,0))</f>
        <v>Electricity by biomass and waste</v>
      </c>
      <c r="CW3" s="1" t="str">
        <f>INDEX($B$17:$GQ$17,MATCH(100,$B$29:$GQ$29,0))</f>
        <v>Paddy rice</v>
      </c>
      <c r="CX3" s="1" t="str">
        <f>INDEX($B$17:$GQ$17,MATCH(101,$B$29:$GQ$29,0))</f>
        <v>Plastic waste for treatment: incineration</v>
      </c>
      <c r="CY3" s="1" t="str">
        <f>INDEX($B$17:$GQ$17,MATCH(102,$B$29:$GQ$29,0))</f>
        <v>Paper for treatment: landfill</v>
      </c>
      <c r="CZ3" s="1" t="str">
        <f>INDEX($B$17:$GQ$17,MATCH(103,$B$29:$GQ$29,0))</f>
        <v>Electricity by petroleum and other oil derivatives</v>
      </c>
      <c r="DA3" s="1" t="str">
        <f>INDEX($B$17:$GQ$17,MATCH(104,$B$29:$GQ$29,0))</f>
        <v>Cereal grains nec</v>
      </c>
      <c r="DB3" s="1" t="str">
        <f>INDEX($B$17:$GQ$17,MATCH(105,$B$29:$GQ$29,0))</f>
        <v>Food waste for treatment: waste water treatment</v>
      </c>
      <c r="DC3" s="1" t="str">
        <f>INDEX($B$17:$GQ$17,MATCH(106,$B$29:$GQ$29,0))</f>
        <v>Kerosene</v>
      </c>
      <c r="DD3" s="1" t="str">
        <f>INDEX($B$17:$GQ$17,MATCH(107,$B$29:$GQ$29,0))</f>
        <v>Wood waste for treatment: incineration</v>
      </c>
      <c r="DE3" s="1" t="str">
        <f>INDEX($B$17:$GQ$17,MATCH(108,$B$29:$GQ$29,0))</f>
        <v>Wood waste for treatment: landfill</v>
      </c>
      <c r="DF3" s="1" t="str">
        <f>INDEX($B$17:$GQ$17,MATCH(109,$B$29:$GQ$29,0))</f>
        <v>Textiles waste for treatment: incineration</v>
      </c>
      <c r="DG3" s="1" t="str">
        <f>INDEX($B$17:$GQ$17,MATCH(110,$B$29:$GQ$29,0))</f>
        <v>Ash for treatment, Re-processing of ash into clinker</v>
      </c>
      <c r="DH3" s="1" t="str">
        <f>INDEX($B$17:$GQ$17,MATCH(111,$B$29:$GQ$29,0))</f>
        <v>Other Bituminous Coal</v>
      </c>
      <c r="DI3" s="1" t="str">
        <f>INDEX($B$17:$GQ$17,MATCH(112,$B$29:$GQ$29,0))</f>
        <v>Plastic waste for treatment: landfill</v>
      </c>
      <c r="DJ3" s="1" t="str">
        <f>INDEX($B$17:$GQ$17,MATCH(113,$B$29:$GQ$29,0))</f>
        <v>Other non-ferrous metal products</v>
      </c>
      <c r="DK3" s="1" t="str">
        <f>INDEX($B$17:$GQ$17,MATCH(114,$B$29:$GQ$29,0))</f>
        <v>Food waste for treatment: biogasification and land application</v>
      </c>
      <c r="DL3" s="1" t="str">
        <f>INDEX($B$17:$GQ$17,MATCH(115,$B$29:$GQ$29,0))</f>
        <v>Bricks, tiles and construction products, in baked clay</v>
      </c>
      <c r="DM3" s="1" t="str">
        <f>INDEX($B$17:$GQ$17,MATCH(116,$B$29:$GQ$29,0))</f>
        <v>Electricity by solar photovoltaic</v>
      </c>
      <c r="DN3" s="1" t="str">
        <f>INDEX($B$17:$GQ$17,MATCH(117,$B$29:$GQ$29,0))</f>
        <v>Computer and related services (72)</v>
      </c>
      <c r="DO3" s="1" t="str">
        <f>INDEX($B$17:$GQ$17,MATCH(118,$B$29:$GQ$29,0))</f>
        <v>Textiles waste for treatment: landfill</v>
      </c>
      <c r="DP3" s="1" t="str">
        <f>INDEX($B$17:$GQ$17,MATCH(119,$B$29:$GQ$29,0))</f>
        <v>N-fertiliser</v>
      </c>
      <c r="DQ3" s="1" t="str">
        <f>INDEX($B$17:$GQ$17,MATCH(120,$B$29:$GQ$29,0))</f>
        <v>Heavy Fuel Oil</v>
      </c>
      <c r="DR3" s="1" t="str">
        <f>INDEX($B$17:$GQ$17,MATCH(121,$B$29:$GQ$29,0))</f>
        <v>Precious metals</v>
      </c>
      <c r="DS3" s="1" t="str">
        <f>INDEX($B$17:$GQ$17,MATCH(122,$B$29:$GQ$29,0))</f>
        <v>Electricity by tide, wave, ocean</v>
      </c>
      <c r="DT3" s="1" t="str">
        <f>INDEX($B$17:$GQ$17,MATCH(123,$B$29:$GQ$29,0))</f>
        <v>Patent Fuel</v>
      </c>
      <c r="DU3" s="1" t="str">
        <f>INDEX($B$17:$GQ$17,MATCH(124,$B$29:$GQ$29,0))</f>
        <v>Aluminium and aluminium products</v>
      </c>
      <c r="DV3" s="1" t="str">
        <f>INDEX($B$17:$GQ$17,MATCH(125,$B$29:$GQ$29,0))</f>
        <v>Anthracite</v>
      </c>
      <c r="DW3" s="1" t="str">
        <f>INDEX($B$17:$GQ$17,MATCH(126,$B$29:$GQ$29,0))</f>
        <v>Paper waste for treatment: biogasification and land application</v>
      </c>
      <c r="DX3" s="1" t="str">
        <f>INDEX($B$17:$GQ$17,MATCH(127,$B$29:$GQ$29,0))</f>
        <v>Coke Oven Coke</v>
      </c>
      <c r="DY3" s="1" t="str">
        <f>INDEX($B$17:$GQ$17,MATCH(128,$B$29:$GQ$29,0))</f>
        <v>Paper and wood waste for treatment: composting and land application</v>
      </c>
      <c r="DZ3" s="1" t="str">
        <f>INDEX($B$17:$GQ$17,MATCH(129,$B$29:$GQ$29,0))</f>
        <v>Secondary aluminium for treatment, Re-processing of secondary aluminium into new aluminium</v>
      </c>
      <c r="EA3" s="1" t="str">
        <f>INDEX($B$17:$GQ$17,MATCH(130,$B$29:$GQ$29,0))</f>
        <v>Foundry work services</v>
      </c>
      <c r="EB3" s="1" t="str">
        <f>INDEX($B$17:$GQ$17,MATCH(131,$B$29:$GQ$29,0))</f>
        <v>Aviation Gasoline</v>
      </c>
      <c r="EC3" s="1" t="str">
        <f>INDEX($B$17:$GQ$17,MATCH(132,$B$29:$GQ$29,0))</f>
        <v>Basic iron and steel and of ferro-alloys and first products thereof</v>
      </c>
      <c r="ED3" s="1" t="str">
        <f>INDEX($B$17:$GQ$17,MATCH(133,$B$29:$GQ$29,0))</f>
        <v>Secondary steel for treatment, Re-processing of secondary steel into new steel</v>
      </c>
      <c r="EE3" s="1" t="str">
        <f>INDEX($B$17:$GQ$17,MATCH(134,$B$29:$GQ$29,0))</f>
        <v>Sugar cane, sugar beet</v>
      </c>
      <c r="EF3" s="1" t="str">
        <f>INDEX($B$17:$GQ$17,MATCH(135,$B$29:$GQ$29,0))</f>
        <v>Cattle</v>
      </c>
      <c r="EG3" s="1" t="str">
        <f>INDEX($B$17:$GQ$17,MATCH(136,$B$29:$GQ$29,0))</f>
        <v>Pigs</v>
      </c>
      <c r="EH3" s="1" t="str">
        <f>INDEX($B$17:$GQ$17,MATCH(137,$B$29:$GQ$29,0))</f>
        <v>Wool, silk-worm cocoons</v>
      </c>
      <c r="EI3" s="1" t="str">
        <f>INDEX($B$17:$GQ$17,MATCH(138,$B$29:$GQ$29,0))</f>
        <v>Manure (conventional treatment)</v>
      </c>
      <c r="EJ3" s="1" t="str">
        <f>INDEX($B$17:$GQ$17,MATCH(139,$B$29:$GQ$29,0))</f>
        <v>Manure (biogas treatment)</v>
      </c>
      <c r="EK3" s="1" t="str">
        <f>INDEX($B$17:$GQ$17,MATCH(140,$B$29:$GQ$29,0))</f>
        <v>Coking Coal</v>
      </c>
      <c r="EL3" s="1" t="str">
        <f>INDEX($B$17:$GQ$17,MATCH(141,$B$29:$GQ$29,0))</f>
        <v>Sub-Bituminous Coal</v>
      </c>
      <c r="EM3" s="1" t="str">
        <f>INDEX($B$17:$GQ$17,MATCH(142,$B$29:$GQ$29,0))</f>
        <v>Lignite/Brown Coal</v>
      </c>
      <c r="EN3" s="1" t="str">
        <f>INDEX($B$17:$GQ$17,MATCH(143,$B$29:$GQ$29,0))</f>
        <v>BKB/Peat Briquettes</v>
      </c>
      <c r="EO3" s="1" t="str">
        <f>INDEX($B$17:$GQ$17,MATCH(144,$B$29:$GQ$29,0))</f>
        <v>Peat</v>
      </c>
      <c r="EP3" s="1" t="str">
        <f>INDEX($B$17:$GQ$17,MATCH(145,$B$29:$GQ$29,0))</f>
        <v>Crude petroleum and services related to crude oil extraction, excluding surveying</v>
      </c>
      <c r="EQ3" s="1" t="str">
        <f>INDEX($B$17:$GQ$17,MATCH(146,$B$29:$GQ$29,0))</f>
        <v>Natural Gas Liquids</v>
      </c>
      <c r="ER3" s="1" t="str">
        <f>INDEX($B$17:$GQ$17,MATCH(147,$B$29:$GQ$29,0))</f>
        <v>Other Hydrocarbons</v>
      </c>
      <c r="ES3" s="1" t="str">
        <f>INDEX($B$17:$GQ$17,MATCH(148,$B$29:$GQ$29,0))</f>
        <v>Uranium and thorium ores (12)</v>
      </c>
      <c r="ET3" s="1" t="str">
        <f>INDEX($B$17:$GQ$17,MATCH(149,$B$29:$GQ$29,0))</f>
        <v>Iron ores</v>
      </c>
      <c r="EU3" s="1" t="str">
        <f>INDEX($B$17:$GQ$17,MATCH(150,$B$29:$GQ$29,0))</f>
        <v>Copper ores and concentrates</v>
      </c>
      <c r="EV3" s="1" t="str">
        <f>INDEX($B$17:$GQ$17,MATCH(151,$B$29:$GQ$29,0))</f>
        <v>Nickel ores and concentrates</v>
      </c>
      <c r="EW3" s="1" t="str">
        <f>INDEX($B$17:$GQ$17,MATCH(152,$B$29:$GQ$29,0))</f>
        <v>Aluminium ores and concentrates</v>
      </c>
      <c r="EX3" s="1" t="str">
        <f>INDEX($B$17:$GQ$17,MATCH(153,$B$29:$GQ$29,0))</f>
        <v>Precious metal ores and concentrates</v>
      </c>
      <c r="EY3" s="1" t="str">
        <f>INDEX($B$17:$GQ$17,MATCH(154,$B$29:$GQ$29,0))</f>
        <v>Lead, zinc and tin ores and concentrates</v>
      </c>
      <c r="EZ3" s="1" t="str">
        <f>INDEX($B$17:$GQ$17,MATCH(155,$B$29:$GQ$29,0))</f>
        <v>Other non-ferrous metal ores and concentrates</v>
      </c>
      <c r="FA3" s="1" t="str">
        <f>INDEX($B$17:$GQ$17,MATCH(156,$B$29:$GQ$29,0))</f>
        <v>Stone</v>
      </c>
      <c r="FB3" s="1" t="str">
        <f>INDEX($B$17:$GQ$17,MATCH(157,$B$29:$GQ$29,0))</f>
        <v>Sand and clay</v>
      </c>
      <c r="FC3" s="1" t="str">
        <f>INDEX($B$17:$GQ$17,MATCH(158,$B$29:$GQ$29,0))</f>
        <v>Chemical and fertilizer minerals, salt and other mining and quarrying products n.e.c.</v>
      </c>
      <c r="FD3" s="1" t="str">
        <f>INDEX($B$17:$GQ$17,MATCH(159,$B$29:$GQ$29,0))</f>
        <v>Pulp</v>
      </c>
      <c r="FE3" s="1" t="str">
        <f>INDEX($B$17:$GQ$17,MATCH(160,$B$29:$GQ$29,0))</f>
        <v>Secondary paper for treatment, Re-processing of secondary paper into new pulp</v>
      </c>
      <c r="FF3" s="1" t="str">
        <f>INDEX($B$17:$GQ$17,MATCH(161,$B$29:$GQ$29,0))</f>
        <v>Gas Coke</v>
      </c>
      <c r="FG3" s="1" t="str">
        <f>INDEX($B$17:$GQ$17,MATCH(162,$B$29:$GQ$29,0))</f>
        <v>Coal Tar</v>
      </c>
      <c r="FH3" s="1" t="str">
        <f>INDEX($B$17:$GQ$17,MATCH(163,$B$29:$GQ$29,0))</f>
        <v>Gasoline Type Jet Fuel</v>
      </c>
      <c r="FI3" s="1" t="str">
        <f>INDEX($B$17:$GQ$17,MATCH(164,$B$29:$GQ$29,0))</f>
        <v>Refinery Gas</v>
      </c>
      <c r="FJ3" s="1" t="str">
        <f>INDEX($B$17:$GQ$17,MATCH(165,$B$29:$GQ$29,0))</f>
        <v>Refinery Feedstocks</v>
      </c>
      <c r="FK3" s="1" t="str">
        <f>INDEX($B$17:$GQ$17,MATCH(166,$B$29:$GQ$29,0))</f>
        <v>Ethane</v>
      </c>
      <c r="FL3" s="1" t="str">
        <f>INDEX($B$17:$GQ$17,MATCH(167,$B$29:$GQ$29,0))</f>
        <v>Naphtha</v>
      </c>
      <c r="FM3" s="1" t="str">
        <f>INDEX($B$17:$GQ$17,MATCH(168,$B$29:$GQ$29,0))</f>
        <v>White Spirit &amp; SBP</v>
      </c>
      <c r="FN3" s="1" t="str">
        <f>INDEX($B$17:$GQ$17,MATCH(169,$B$29:$GQ$29,0))</f>
        <v>Lubricants</v>
      </c>
      <c r="FO3" s="1" t="str">
        <f>INDEX($B$17:$GQ$17,MATCH(170,$B$29:$GQ$29,0))</f>
        <v>Bitumen</v>
      </c>
      <c r="FP3" s="1" t="str">
        <f>INDEX($B$17:$GQ$17,MATCH(171,$B$29:$GQ$29,0))</f>
        <v>Paraffin Waxes</v>
      </c>
      <c r="FQ3" s="1" t="str">
        <f>INDEX($B$17:$GQ$17,MATCH(172,$B$29:$GQ$29,0))</f>
        <v>Petroleum Coke</v>
      </c>
      <c r="FR3" s="1" t="str">
        <f>INDEX($B$17:$GQ$17,MATCH(173,$B$29:$GQ$29,0))</f>
        <v>Non-specified Petroleum Products</v>
      </c>
      <c r="FS3" s="1" t="str">
        <f>INDEX($B$17:$GQ$17,MATCH(174,$B$29:$GQ$29,0))</f>
        <v>Nuclear fuel</v>
      </c>
      <c r="FT3" s="1" t="str">
        <f>INDEX($B$17:$GQ$17,MATCH(175,$B$29:$GQ$29,0))</f>
        <v>Charcoal</v>
      </c>
      <c r="FU3" s="1" t="str">
        <f>INDEX($B$17:$GQ$17,MATCH(176,$B$29:$GQ$29,0))</f>
        <v>Additives/Blending Components</v>
      </c>
      <c r="FV3" s="1" t="str">
        <f>INDEX($B$17:$GQ$17,MATCH(177,$B$29:$GQ$29,0))</f>
        <v>Other Liquid Biofuels</v>
      </c>
      <c r="FW3" s="1" t="str">
        <f>INDEX($B$17:$GQ$17,MATCH(178,$B$29:$GQ$29,0))</f>
        <v>Glass and glass products</v>
      </c>
      <c r="FX3" s="1" t="str">
        <f>INDEX($B$17:$GQ$17,MATCH(179,$B$29:$GQ$29,0))</f>
        <v>Secondary glass for treatment, Re-processing of secondary glass into new glass</v>
      </c>
      <c r="FY3" s="1" t="str">
        <f>INDEX($B$17:$GQ$17,MATCH(180,$B$29:$GQ$29,0))</f>
        <v>Secondary preciuos metals for treatment, Re-processing of secondary preciuos metals into new preciuos metals</v>
      </c>
      <c r="FZ3" s="1" t="str">
        <f>INDEX($B$17:$GQ$17,MATCH(181,$B$29:$GQ$29,0))</f>
        <v>Lead, zinc and tin and products thereof</v>
      </c>
      <c r="GA3" s="1" t="str">
        <f>INDEX($B$17:$GQ$17,MATCH(182,$B$29:$GQ$29,0))</f>
        <v>Secondary lead for treatment, Re-processing of secondary lead into new lead</v>
      </c>
      <c r="GB3" s="1" t="str">
        <f>INDEX($B$17:$GQ$17,MATCH(183,$B$29:$GQ$29,0))</f>
        <v>Copper products</v>
      </c>
      <c r="GC3" s="1" t="str">
        <f>INDEX($B$17:$GQ$17,MATCH(184,$B$29:$GQ$29,0))</f>
        <v>Secondary copper for treatment, Re-processing of secondary copper into new copper</v>
      </c>
      <c r="GD3" s="1" t="str">
        <f>INDEX($B$17:$GQ$17,MATCH(185,$B$29:$GQ$29,0))</f>
        <v>Secondary other non-ferrous metals for treatment, Re-processing of secondary other non-ferrous metals into new other non-ferrous metals</v>
      </c>
      <c r="GE3" s="1" t="str">
        <f>INDEX($B$17:$GQ$17,MATCH(186,$B$29:$GQ$29,0))</f>
        <v>Secondary raw materials</v>
      </c>
      <c r="GF3" s="1" t="str">
        <f>INDEX($B$17:$GQ$17,MATCH(187,$B$29:$GQ$29,0))</f>
        <v>Bottles for treatment, Recycling of bottles by direct reuse</v>
      </c>
      <c r="GG3" s="1" t="str">
        <f>INDEX($B$17:$GQ$17,MATCH(188,$B$29:$GQ$29,0))</f>
        <v>Electricity by solar thermal</v>
      </c>
      <c r="GH3" s="1" t="str">
        <f>INDEX($B$17:$GQ$17,MATCH(189,$B$29:$GQ$29,0))</f>
        <v>Electricity by Geothermal</v>
      </c>
      <c r="GI3" s="1" t="str">
        <f>INDEX($B$17:$GQ$17,MATCH(190,$B$29:$GQ$29,0))</f>
        <v>Electricity nec</v>
      </c>
      <c r="GJ3" s="1" t="str">
        <f>INDEX($B$17:$GQ$17,MATCH(191,$B$29:$GQ$29,0))</f>
        <v>Coke oven gas</v>
      </c>
      <c r="GK3" s="1" t="str">
        <f>INDEX($B$17:$GQ$17,MATCH(192,$B$29:$GQ$29,0))</f>
        <v>Blast Furnace Gas</v>
      </c>
      <c r="GL3" s="1" t="str">
        <f>INDEX($B$17:$GQ$17,MATCH(193,$B$29:$GQ$29,0))</f>
        <v>Oxygen Steel Furnace Gas</v>
      </c>
      <c r="GM3" s="1" t="str">
        <f>INDEX($B$17:$GQ$17,MATCH(194,$B$29:$GQ$29,0))</f>
        <v>Gas Works Gas</v>
      </c>
      <c r="GN3" s="1" t="str">
        <f>INDEX($B$17:$GQ$17,MATCH(195,$B$29:$GQ$29,0))</f>
        <v>Biogas</v>
      </c>
      <c r="GO3" s="1" t="str">
        <f>INDEX($B$17:$GQ$17,MATCH(196,$B$29:$GQ$29,0))</f>
        <v>Secondary construction material for treatment, Re-processing of secondary construction material into aggregates</v>
      </c>
      <c r="GP3" s="1" t="str">
        <f>INDEX($B$17:$GQ$17,MATCH(197,$B$29:$GQ$29,0))</f>
        <v>Services auxiliary to financial intermediation (67)</v>
      </c>
      <c r="GQ3" s="1" t="str">
        <f>INDEX($B$17:$GQ$17,MATCH(198,$B$29:$GQ$29,0))</f>
        <v>Extra-territorial organizations and bodies</v>
      </c>
      <c r="GR3" s="1" t="str">
        <f>INDEX($GR$17:$HC$17,MATCH(1,$GR$30:$HC$30,0))</f>
        <v>Housing</v>
      </c>
      <c r="GS3" s="1" t="str">
        <f>INDEX($GR$17:$HC$17,MATCH(2,$GR$30:$HC$30,0))</f>
        <v>Final services</v>
      </c>
      <c r="GT3" s="1" t="str">
        <f>INDEX($GR$17:$HC$17,MATCH(3,$GR$30:$HC$30,0))</f>
        <v>Final goods nec</v>
      </c>
      <c r="GU3" s="1" t="str">
        <f>INDEX($GR$17:$HC$17,MATCH(4,$GR$30:$HC$30,0))</f>
        <v>Mobility</v>
      </c>
      <c r="GV3" s="1" t="str">
        <f>INDEX($GR$17:$HC$17,MATCH(5,$GR$30:$HC$30,0))</f>
        <v>Food nec</v>
      </c>
      <c r="GW3" s="1" t="str">
        <f>INDEX($GR$17:$HC$17,MATCH(6,$GR$30:$HC$30,0))</f>
        <v>Meat nec</v>
      </c>
      <c r="GX3" s="1" t="str">
        <f>INDEX($GR$17:$HC$17,MATCH(7,$GR$30:$HC$30,0))</f>
        <v>Textiles</v>
      </c>
      <c r="GY3" s="1" t="str">
        <f>INDEX($GR$17:$HC$17,MATCH(8,$GR$30:$HC$30,0))</f>
        <v>Animal nec</v>
      </c>
      <c r="GZ3" s="1" t="str">
        <f>INDEX($GR$17:$HC$17,MATCH(9,$GR$30:$HC$30,0))</f>
        <v>Hotel &amp; restaurant</v>
      </c>
      <c r="HA3" s="1" t="str">
        <f>INDEX($GR$17:$HC$17,MATCH(10,$GR$30:$HC$30,0))</f>
        <v>Vegetables, fruits, nuts</v>
      </c>
      <c r="HB3" s="1" t="str">
        <f>INDEX($GR$17:$HC$17,MATCH(11,$GR$30:$HC$30,0))</f>
        <v>Dairy products</v>
      </c>
      <c r="HC3" s="1" t="str">
        <f>INDEX($GR$17:$HC$17,MATCH(12,$GR$30:$HC$30,0))</f>
        <v>Cattle</v>
      </c>
    </row>
    <row r="4" spans="1:211" x14ac:dyDescent="0.45">
      <c r="A4" s="1" t="s">
        <v>3</v>
      </c>
      <c r="B4">
        <f>INDEX($B$18:$GQ$18,MATCH(1,$B$29:$GQ$29,0))</f>
        <v>0.26220247990464562</v>
      </c>
      <c r="C4">
        <f>INDEX($B$18:$GQ$18,MATCH(2,$B$29:$GQ$29,0))</f>
        <v>0.2256237933597236</v>
      </c>
      <c r="D4">
        <f>INDEX($B$18:$GQ$18,MATCH(3,$B$29:$GQ$29,0))</f>
        <v>1.32245573376398</v>
      </c>
      <c r="E4">
        <f>INDEX($B$18:$GQ$18,MATCH(4,$B$29:$GQ$29,0))</f>
        <v>0.48300287449233298</v>
      </c>
      <c r="F4">
        <f>INDEX($B$18:$GQ$18,MATCH(5,$B$29:$GQ$29,0))</f>
        <v>0.1254768953737079</v>
      </c>
      <c r="G4">
        <f>INDEX($B$18:$GQ$18,MATCH(6,$B$29:$GQ$29,0))</f>
        <v>0.65911511581561899</v>
      </c>
      <c r="H4">
        <f>INDEX($B$18:$GQ$18,MATCH(7,$B$29:$GQ$29,0))</f>
        <v>0.43043548158816092</v>
      </c>
      <c r="I4">
        <f>INDEX($B$18:$GQ$18,MATCH(8,$B$29:$GQ$29,0))</f>
        <v>3.927581570863353</v>
      </c>
      <c r="J4">
        <f>INDEX($B$18:$GQ$18,MATCH(9,$B$29:$GQ$29,0))</f>
        <v>0.24692087276949551</v>
      </c>
      <c r="K4">
        <f>INDEX($B$18:$GQ$18,MATCH(10,$B$29:$GQ$29,0))</f>
        <v>1.7513707259369879</v>
      </c>
      <c r="L4">
        <f>INDEX($B$18:$GQ$18,MATCH(11,$B$29:$GQ$29,0))</f>
        <v>0.1174399740413197</v>
      </c>
      <c r="M4">
        <f>INDEX($B$18:$GQ$18,MATCH(12,$B$29:$GQ$29,0))</f>
        <v>0.14568712348349219</v>
      </c>
      <c r="N4">
        <f>INDEX($B$18:$GQ$18,MATCH(13,$B$29:$GQ$29,0))</f>
        <v>0.44866878761138151</v>
      </c>
      <c r="O4">
        <f>INDEX($B$18:$GQ$18,MATCH(14,$B$29:$GQ$29,0))</f>
        <v>0.31570283172131519</v>
      </c>
      <c r="P4">
        <f>INDEX($B$18:$GQ$18,MATCH(15,$B$29:$GQ$29,0))</f>
        <v>0.55775780307290501</v>
      </c>
      <c r="Q4">
        <f>INDEX($B$18:$GQ$18,MATCH(16,$B$29:$GQ$29,0))</f>
        <v>0.53094170347712133</v>
      </c>
      <c r="R4">
        <f>INDEX($B$18:$GQ$18,MATCH(17,$B$29:$GQ$29,0))</f>
        <v>0.60191718704284103</v>
      </c>
      <c r="S4">
        <f>INDEX($B$18:$GQ$18,MATCH(18,$B$29:$GQ$29,0))</f>
        <v>0.81467187551415021</v>
      </c>
      <c r="T4">
        <f>INDEX($B$18:$GQ$18,MATCH(19,$B$29:$GQ$29,0))</f>
        <v>0.35840050213949609</v>
      </c>
      <c r="U4">
        <f>INDEX($B$18:$GQ$18,MATCH(20,$B$29:$GQ$29,0))</f>
        <v>0.32572037073874188</v>
      </c>
      <c r="V4">
        <f>INDEX($B$18:$GQ$18,MATCH(21,$B$29:$GQ$29,0))</f>
        <v>0.40305036422739732</v>
      </c>
      <c r="W4">
        <f>INDEX($B$18:$GQ$18,MATCH(22,$B$29:$GQ$29,0))</f>
        <v>0.65077362871885902</v>
      </c>
      <c r="X4">
        <f>INDEX($B$18:$GQ$18,MATCH(23,$B$29:$GQ$29,0))</f>
        <v>0.49552664654366207</v>
      </c>
      <c r="Y4">
        <f>INDEX($B$18:$GQ$18,MATCH(24,$B$29:$GQ$29,0))</f>
        <v>0.40730247766791738</v>
      </c>
      <c r="Z4">
        <f>INDEX($B$18:$GQ$18,MATCH(25,$B$29:$GQ$29,0))</f>
        <v>0.36534643001059719</v>
      </c>
      <c r="AA4">
        <f>INDEX($B$18:$GQ$18,MATCH(26,$B$29:$GQ$29,0))</f>
        <v>0.43316480985141459</v>
      </c>
      <c r="AB4">
        <f>INDEX($B$18:$GQ$18,MATCH(27,$B$29:$GQ$29,0))</f>
        <v>0.13511410035309451</v>
      </c>
      <c r="AC4">
        <f>INDEX($B$18:$GQ$18,MATCH(28,$B$29:$GQ$29,0))</f>
        <v>0.19073503652118931</v>
      </c>
      <c r="AD4">
        <f>INDEX($B$18:$GQ$18,MATCH(29,$B$29:$GQ$29,0))</f>
        <v>0.45494090924073832</v>
      </c>
      <c r="AE4">
        <f>INDEX($B$18:$GQ$18,MATCH(30,$B$29:$GQ$29,0))</f>
        <v>0.41774102872057212</v>
      </c>
      <c r="AF4">
        <f>INDEX($B$18:$GQ$18,MATCH(31,$B$29:$GQ$29,0))</f>
        <v>0.53801066258158659</v>
      </c>
      <c r="AG4">
        <f>INDEX($B$18:$GQ$18,MATCH(32,$B$29:$GQ$29,0))</f>
        <v>0.50170731126607704</v>
      </c>
      <c r="AH4">
        <f>INDEX($B$18:$GQ$18,MATCH(33,$B$29:$GQ$29,0))</f>
        <v>0.5373559835230437</v>
      </c>
      <c r="AI4">
        <f>INDEX($B$18:$GQ$18,MATCH(34,$B$29:$GQ$29,0))</f>
        <v>0.52000721865413824</v>
      </c>
      <c r="AJ4">
        <f>INDEX($B$18:$GQ$18,MATCH(35,$B$29:$GQ$29,0))</f>
        <v>2.730276621011396</v>
      </c>
      <c r="AK4">
        <f>INDEX($B$18:$GQ$18,MATCH(36,$B$29:$GQ$29,0))</f>
        <v>0.86342846996883171</v>
      </c>
      <c r="AL4">
        <f>INDEX($B$18:$GQ$18,MATCH(37,$B$29:$GQ$29,0))</f>
        <v>0.23625023413950641</v>
      </c>
      <c r="AM4">
        <f>INDEX($B$18:$GQ$18,MATCH(38,$B$29:$GQ$29,0))</f>
        <v>0.46062189924011909</v>
      </c>
      <c r="AN4">
        <f>INDEX($B$18:$GQ$18,MATCH(39,$B$29:$GQ$29,0))</f>
        <v>0.25612926386993079</v>
      </c>
      <c r="AO4">
        <f>INDEX($B$18:$GQ$18,MATCH(40,$B$29:$GQ$29,0))</f>
        <v>33.552570010224613</v>
      </c>
      <c r="AP4">
        <f>INDEX($B$18:$GQ$18,MATCH(41,$B$29:$GQ$29,0))</f>
        <v>4.7872106734463014</v>
      </c>
      <c r="AQ4">
        <f>INDEX($B$18:$GQ$18,MATCH(42,$B$29:$GQ$29,0))</f>
        <v>0.16002927612899071</v>
      </c>
      <c r="AR4">
        <f>INDEX($B$18:$GQ$18,MATCH(43,$B$29:$GQ$29,0))</f>
        <v>1.2638254119915451</v>
      </c>
      <c r="AS4">
        <f>INDEX($B$18:$GQ$18,MATCH(44,$B$29:$GQ$29,0))</f>
        <v>0.33583929997623752</v>
      </c>
      <c r="AT4">
        <f>INDEX($B$18:$GQ$18,MATCH(45,$B$29:$GQ$29,0))</f>
        <v>0.45673405814819279</v>
      </c>
      <c r="AU4">
        <f>INDEX($B$18:$GQ$18,MATCH(46,$B$29:$GQ$29,0))</f>
        <v>0.67265286836493776</v>
      </c>
      <c r="AV4">
        <f>INDEX($B$18:$GQ$18,MATCH(47,$B$29:$GQ$29,0))</f>
        <v>0.19440793228922801</v>
      </c>
      <c r="AW4">
        <f>INDEX($B$18:$GQ$18,MATCH(48,$B$29:$GQ$29,0))</f>
        <v>9.5293481885939363E-2</v>
      </c>
      <c r="AX4">
        <f>INDEX($B$18:$GQ$18,MATCH(49,$B$29:$GQ$29,0))</f>
        <v>0.44031633041505142</v>
      </c>
      <c r="AY4">
        <f>INDEX($B$18:$GQ$18,MATCH(50,$B$29:$GQ$29,0))</f>
        <v>0.30186887260360251</v>
      </c>
      <c r="AZ4">
        <f>INDEX($B$18:$GQ$18,MATCH(51,$B$29:$GQ$29,0))</f>
        <v>0.22450467730488841</v>
      </c>
      <c r="BA4">
        <f>INDEX($B$18:$GQ$18,MATCH(52,$B$29:$GQ$29,0))</f>
        <v>0.13451990787248369</v>
      </c>
      <c r="BB4">
        <f>INDEX($B$18:$GQ$18,MATCH(53,$B$29:$GQ$29,0))</f>
        <v>0.75656470543662835</v>
      </c>
      <c r="BC4">
        <f>INDEX($B$18:$GQ$18,MATCH(54,$B$29:$GQ$29,0))</f>
        <v>0.3346933294044746</v>
      </c>
      <c r="BD4">
        <f>INDEX($B$18:$GQ$18,MATCH(55,$B$29:$GQ$29,0))</f>
        <v>0.34528833521694258</v>
      </c>
      <c r="BE4">
        <f>INDEX($B$18:$GQ$18,MATCH(56,$B$29:$GQ$29,0))</f>
        <v>0.39012004408656692</v>
      </c>
      <c r="BF4">
        <f>INDEX($B$18:$GQ$18,MATCH(57,$B$29:$GQ$29,0))</f>
        <v>0.2356983598477255</v>
      </c>
      <c r="BG4">
        <f>INDEX($B$18:$GQ$18,MATCH(58,$B$29:$GQ$29,0))</f>
        <v>0.37337114263669008</v>
      </c>
      <c r="BH4">
        <f>INDEX($B$18:$GQ$18,MATCH(59,$B$29:$GQ$29,0))</f>
        <v>3.3238284869585621</v>
      </c>
      <c r="BI4">
        <f>INDEX($B$18:$GQ$18,MATCH(60,$B$29:$GQ$29,0))</f>
        <v>0.2335540375512026</v>
      </c>
      <c r="BJ4">
        <f>INDEX($B$18:$GQ$18,MATCH(61,$B$29:$GQ$29,0))</f>
        <v>0.33868510291090298</v>
      </c>
      <c r="BK4">
        <f>INDEX($B$18:$GQ$18,MATCH(62,$B$29:$GQ$29,0))</f>
        <v>0.13432890696732161</v>
      </c>
      <c r="BL4">
        <f>INDEX($B$18:$GQ$18,MATCH(63,$B$29:$GQ$29,0))</f>
        <v>0.62891420230921091</v>
      </c>
      <c r="BM4">
        <f>INDEX($B$18:$GQ$18,MATCH(64,$B$29:$GQ$29,0))</f>
        <v>0.13851326683160939</v>
      </c>
      <c r="BN4">
        <f>INDEX($B$18:$GQ$18,MATCH(65,$B$29:$GQ$29,0))</f>
        <v>7.4386684412674242</v>
      </c>
      <c r="BO4">
        <f>INDEX($B$18:$GQ$18,MATCH(66,$B$29:$GQ$29,0))</f>
        <v>0.1187892740197261</v>
      </c>
      <c r="BP4">
        <f>INDEX($B$18:$GQ$18,MATCH(67,$B$29:$GQ$29,0))</f>
        <v>0.31307761162816622</v>
      </c>
      <c r="BQ4">
        <f>INDEX($B$18:$GQ$18,MATCH(68,$B$29:$GQ$29,0))</f>
        <v>0.51020083362396718</v>
      </c>
      <c r="BR4">
        <f>INDEX($B$18:$GQ$18,MATCH(69,$B$29:$GQ$29,0))</f>
        <v>0.13385662426619299</v>
      </c>
      <c r="BS4">
        <f>INDEX($B$18:$GQ$18,MATCH(70,$B$29:$GQ$29,0))</f>
        <v>1.026130629385106</v>
      </c>
      <c r="BT4">
        <f>INDEX($B$18:$GQ$18,MATCH(71,$B$29:$GQ$29,0))</f>
        <v>2.695389741939256E-2</v>
      </c>
      <c r="BU4">
        <f>INDEX($B$18:$GQ$18,MATCH(72,$B$29:$GQ$29,0))</f>
        <v>0.22457627641583841</v>
      </c>
      <c r="BV4">
        <f>INDEX($B$18:$GQ$18,MATCH(73,$B$29:$GQ$29,0))</f>
        <v>0.49072199594792809</v>
      </c>
      <c r="BW4">
        <f>INDEX($B$18:$GQ$18,MATCH(74,$B$29:$GQ$29,0))</f>
        <v>0.16006225103446989</v>
      </c>
      <c r="BX4">
        <f>INDEX($B$18:$GQ$18,MATCH(75,$B$29:$GQ$29,0))</f>
        <v>0.39723968805973781</v>
      </c>
      <c r="BY4">
        <f>INDEX($B$18:$GQ$18,MATCH(76,$B$29:$GQ$29,0))</f>
        <v>0.54142282770629779</v>
      </c>
      <c r="BZ4">
        <f>INDEX($B$18:$GQ$18,MATCH(77,$B$29:$GQ$29,0))</f>
        <v>0.58860834372587179</v>
      </c>
      <c r="CA4">
        <f>INDEX($B$18:$GQ$18,MATCH(78,$B$29:$GQ$29,0))</f>
        <v>0.74242815339315404</v>
      </c>
      <c r="CB4">
        <f>INDEX($B$18:$GQ$18,MATCH(79,$B$29:$GQ$29,0))</f>
        <v>0.15097621810943049</v>
      </c>
      <c r="CC4">
        <f>INDEX($B$18:$GQ$18,MATCH(80,$B$29:$GQ$29,0))</f>
        <v>0.14269465898301861</v>
      </c>
      <c r="CD4">
        <f>INDEX($B$18:$GQ$18,MATCH(81,$B$29:$GQ$29,0))</f>
        <v>0.19478243945828819</v>
      </c>
      <c r="CE4">
        <f>INDEX($B$18:$GQ$18,MATCH(82,$B$29:$GQ$29,0))</f>
        <v>1.080505697848998</v>
      </c>
      <c r="CF4">
        <f>INDEX($B$18:$GQ$18,MATCH(83,$B$29:$GQ$29,0))</f>
        <v>0.37433102114395411</v>
      </c>
      <c r="CG4">
        <f>INDEX($B$18:$GQ$18,MATCH(84,$B$29:$GQ$29,0))</f>
        <v>0.20721766146484091</v>
      </c>
      <c r="CH4">
        <f>INDEX($B$18:$GQ$18,MATCH(85,$B$29:$GQ$29,0))</f>
        <v>0.1951982178385985</v>
      </c>
      <c r="CI4">
        <f>INDEX($B$18:$GQ$18,MATCH(86,$B$29:$GQ$29,0))</f>
        <v>0.26864538872919969</v>
      </c>
      <c r="CJ4">
        <f>INDEX($B$18:$GQ$18,MATCH(87,$B$29:$GQ$29,0))</f>
        <v>1.1945191468030221</v>
      </c>
      <c r="CK4">
        <f>INDEX($B$18:$GQ$18,MATCH(88,$B$29:$GQ$29,0))</f>
        <v>0.20103338082410729</v>
      </c>
      <c r="CL4">
        <f>INDEX($B$18:$GQ$18,MATCH(89,$B$29:$GQ$29,0))</f>
        <v>0.20003846818148729</v>
      </c>
      <c r="CM4">
        <f>INDEX($B$18:$GQ$18,MATCH(90,$B$29:$GQ$29,0))</f>
        <v>0.37616296417091089</v>
      </c>
      <c r="CN4">
        <f>INDEX($B$18:$GQ$18,MATCH(91,$B$29:$GQ$29,0))</f>
        <v>0.19440342361984489</v>
      </c>
      <c r="CO4">
        <f>INDEX($B$18:$GQ$18,MATCH(92,$B$29:$GQ$29,0))</f>
        <v>0.16356461770002281</v>
      </c>
      <c r="CP4">
        <f>INDEX($B$18:$GQ$18,MATCH(93,$B$29:$GQ$29,0))</f>
        <v>1.012312229811118</v>
      </c>
      <c r="CQ4">
        <f>INDEX($B$18:$GQ$18,MATCH(94,$B$29:$GQ$29,0))</f>
        <v>0.11703292897524881</v>
      </c>
      <c r="CR4">
        <f>INDEX($B$18:$GQ$18,MATCH(95,$B$29:$GQ$29,0))</f>
        <v>0.23047102877414161</v>
      </c>
      <c r="CS4">
        <f>INDEX($B$18:$GQ$18,MATCH(96,$B$29:$GQ$29,0))</f>
        <v>0.2082590334741207</v>
      </c>
      <c r="CT4">
        <f>INDEX($B$18:$GQ$18,MATCH(97,$B$29:$GQ$29,0))</f>
        <v>0.21473710119958209</v>
      </c>
      <c r="CU4">
        <f>INDEX($B$18:$GQ$18,MATCH(98,$B$29:$GQ$29,0))</f>
        <v>0.1949141099437523</v>
      </c>
      <c r="CV4">
        <f>INDEX($B$18:$GQ$18,MATCH(99,$B$29:$GQ$29,0))</f>
        <v>0.35775589761194049</v>
      </c>
      <c r="CW4">
        <f>INDEX($B$18:$GQ$18,MATCH(100,$B$29:$GQ$29,0))</f>
        <v>0.29734748297072561</v>
      </c>
      <c r="CX4">
        <f>INDEX($B$18:$GQ$18,MATCH(101,$B$29:$GQ$29,0))</f>
        <v>0.20858753250508061</v>
      </c>
      <c r="CY4">
        <f>INDEX($B$18:$GQ$18,MATCH(102,$B$29:$GQ$29,0))</f>
        <v>0.20530106099288201</v>
      </c>
      <c r="CZ4">
        <f>INDEX($B$18:$GQ$18,MATCH(103,$B$29:$GQ$29,0))</f>
        <v>2.0648678065138442</v>
      </c>
      <c r="DA4">
        <f>INDEX($B$18:$GQ$18,MATCH(104,$B$29:$GQ$29,0))</f>
        <v>0.13904535183781749</v>
      </c>
      <c r="DB4">
        <f>INDEX($B$18:$GQ$18,MATCH(105,$B$29:$GQ$29,0))</f>
        <v>0.2236872379849007</v>
      </c>
      <c r="DC4">
        <f>INDEX($B$18:$GQ$18,MATCH(106,$B$29:$GQ$29,0))</f>
        <v>0</v>
      </c>
      <c r="DD4">
        <f>INDEX($B$18:$GQ$18,MATCH(107,$B$29:$GQ$29,0))</f>
        <v>0.2032042083417627</v>
      </c>
      <c r="DE4">
        <f>INDEX($B$18:$GQ$18,MATCH(108,$B$29:$GQ$29,0))</f>
        <v>0.1914466884174286</v>
      </c>
      <c r="DF4">
        <f>INDEX($B$18:$GQ$18,MATCH(109,$B$29:$GQ$29,0))</f>
        <v>0.19879168124074409</v>
      </c>
      <c r="DG4">
        <f>INDEX($B$18:$GQ$18,MATCH(110,$B$29:$GQ$29,0))</f>
        <v>1.0464910915909389</v>
      </c>
      <c r="DH4">
        <f>INDEX($B$18:$GQ$18,MATCH(111,$B$29:$GQ$29,0))</f>
        <v>0</v>
      </c>
      <c r="DI4">
        <f>INDEX($B$18:$GQ$18,MATCH(112,$B$29:$GQ$29,0))</f>
        <v>0.20983490118527581</v>
      </c>
      <c r="DJ4">
        <f>INDEX($B$18:$GQ$18,MATCH(113,$B$29:$GQ$29,0))</f>
        <v>0.59591030113713639</v>
      </c>
      <c r="DK4">
        <f>INDEX($B$18:$GQ$18,MATCH(114,$B$29:$GQ$29,0))</f>
        <v>0.17133981834254169</v>
      </c>
      <c r="DL4">
        <f>INDEX($B$18:$GQ$18,MATCH(115,$B$29:$GQ$29,0))</f>
        <v>0.92377938579715768</v>
      </c>
      <c r="DM4">
        <f>INDEX($B$18:$GQ$18,MATCH(116,$B$29:$GQ$29,0))</f>
        <v>4.3231345164040452E-2</v>
      </c>
      <c r="DN4">
        <f>INDEX($B$18:$GQ$18,MATCH(117,$B$29:$GQ$29,0))</f>
        <v>0.14580701834184651</v>
      </c>
      <c r="DO4">
        <f>INDEX($B$18:$GQ$18,MATCH(118,$B$29:$GQ$29,0))</f>
        <v>0.19378387164453079</v>
      </c>
      <c r="DP4">
        <f>INDEX($B$18:$GQ$18,MATCH(119,$B$29:$GQ$29,0))</f>
        <v>0.35588872025206347</v>
      </c>
      <c r="DQ4">
        <f>INDEX($B$18:$GQ$18,MATCH(120,$B$29:$GQ$29,0))</f>
        <v>0.60434772984285423</v>
      </c>
      <c r="DR4">
        <f>INDEX($B$18:$GQ$18,MATCH(121,$B$29:$GQ$29,0))</f>
        <v>0.7361054134449293</v>
      </c>
      <c r="DS4">
        <f>INDEX($B$18:$GQ$18,MATCH(122,$B$29:$GQ$29,0))</f>
        <v>0.47866540208321312</v>
      </c>
      <c r="DT4">
        <f>INDEX($B$18:$GQ$18,MATCH(123,$B$29:$GQ$29,0))</f>
        <v>0</v>
      </c>
      <c r="DU4">
        <f>INDEX($B$18:$GQ$18,MATCH(124,$B$29:$GQ$29,0))</f>
        <v>0.8059921848310232</v>
      </c>
      <c r="DV4">
        <f>INDEX($B$18:$GQ$18,MATCH(125,$B$29:$GQ$29,0))</f>
        <v>0</v>
      </c>
      <c r="DW4">
        <f>INDEX($B$18:$GQ$18,MATCH(126,$B$29:$GQ$29,0))</f>
        <v>0.16719667304596769</v>
      </c>
      <c r="DX4">
        <f>INDEX($B$18:$GQ$18,MATCH(127,$B$29:$GQ$29,0))</f>
        <v>0.91144809162285012</v>
      </c>
      <c r="DY4">
        <f>INDEX($B$18:$GQ$18,MATCH(128,$B$29:$GQ$29,0))</f>
        <v>0.5005232992486357</v>
      </c>
      <c r="DZ4">
        <f>INDEX($B$18:$GQ$18,MATCH(129,$B$29:$GQ$29,0))</f>
        <v>0.69485365051901737</v>
      </c>
      <c r="EA4">
        <f>INDEX($B$18:$GQ$18,MATCH(130,$B$29:$GQ$29,0))</f>
        <v>0.65125455925097708</v>
      </c>
      <c r="EB4">
        <f>INDEX($B$18:$GQ$18,MATCH(131,$B$29:$GQ$29,0))</f>
        <v>0</v>
      </c>
      <c r="EC4">
        <f>INDEX($B$18:$GQ$18,MATCH(132,$B$29:$GQ$29,0))</f>
        <v>0.58001057073037421</v>
      </c>
      <c r="ED4">
        <f>INDEX($B$18:$GQ$18,MATCH(133,$B$29:$GQ$29,0))</f>
        <v>0.37118201036328008</v>
      </c>
      <c r="EE4">
        <f>INDEX($B$18:$GQ$18,MATCH(134,$B$29:$GQ$29,0))</f>
        <v>1.8809751751437349E-2</v>
      </c>
      <c r="EF4">
        <f>INDEX($B$18:$GQ$18,MATCH(135,$B$29:$GQ$29,0))</f>
        <v>0.65151071068693756</v>
      </c>
      <c r="EG4">
        <f>INDEX($B$18:$GQ$18,MATCH(136,$B$29:$GQ$29,0))</f>
        <v>0.5806701211420473</v>
      </c>
      <c r="EH4">
        <f>INDEX($B$18:$GQ$18,MATCH(137,$B$29:$GQ$29,0))</f>
        <v>11.04027504343863</v>
      </c>
      <c r="EI4">
        <f>INDEX($B$18:$GQ$18,MATCH(138,$B$29:$GQ$29,0))</f>
        <v>0</v>
      </c>
      <c r="EJ4">
        <f>INDEX($B$18:$GQ$18,MATCH(139,$B$29:$GQ$29,0))</f>
        <v>0</v>
      </c>
      <c r="EK4">
        <f>INDEX($B$18:$GQ$18,MATCH(140,$B$29:$GQ$29,0))</f>
        <v>0</v>
      </c>
      <c r="EL4">
        <f>INDEX($B$18:$GQ$18,MATCH(141,$B$29:$GQ$29,0))</f>
        <v>0</v>
      </c>
      <c r="EM4">
        <f>INDEX($B$18:$GQ$18,MATCH(142,$B$29:$GQ$29,0))</f>
        <v>0</v>
      </c>
      <c r="EN4">
        <f>INDEX($B$18:$GQ$18,MATCH(143,$B$29:$GQ$29,0))</f>
        <v>0</v>
      </c>
      <c r="EO4">
        <f>INDEX($B$18:$GQ$18,MATCH(144,$B$29:$GQ$29,0))</f>
        <v>0</v>
      </c>
      <c r="EP4">
        <f>INDEX($B$18:$GQ$18,MATCH(145,$B$29:$GQ$29,0))</f>
        <v>0.64769131231939792</v>
      </c>
      <c r="EQ4">
        <f>INDEX($B$18:$GQ$18,MATCH(146,$B$29:$GQ$29,0))</f>
        <v>0.16557088013812479</v>
      </c>
      <c r="ER4">
        <f>INDEX($B$18:$GQ$18,MATCH(147,$B$29:$GQ$29,0))</f>
        <v>0</v>
      </c>
      <c r="ES4">
        <f>INDEX($B$18:$GQ$18,MATCH(148,$B$29:$GQ$29,0))</f>
        <v>0</v>
      </c>
      <c r="ET4">
        <f>INDEX($B$18:$GQ$18,MATCH(149,$B$29:$GQ$29,0))</f>
        <v>0</v>
      </c>
      <c r="EU4">
        <f>INDEX($B$18:$GQ$18,MATCH(150,$B$29:$GQ$29,0))</f>
        <v>0</v>
      </c>
      <c r="EV4">
        <f>INDEX($B$18:$GQ$18,MATCH(151,$B$29:$GQ$29,0))</f>
        <v>0</v>
      </c>
      <c r="EW4">
        <f>INDEX($B$18:$GQ$18,MATCH(152,$B$29:$GQ$29,0))</f>
        <v>0</v>
      </c>
      <c r="EX4">
        <f>INDEX($B$18:$GQ$18,MATCH(153,$B$29:$GQ$29,0))</f>
        <v>0</v>
      </c>
      <c r="EY4">
        <f>INDEX($B$18:$GQ$18,MATCH(154,$B$29:$GQ$29,0))</f>
        <v>0</v>
      </c>
      <c r="EZ4">
        <f>INDEX($B$18:$GQ$18,MATCH(155,$B$29:$GQ$29,0))</f>
        <v>8.9236374387776082E-2</v>
      </c>
      <c r="FA4">
        <f>INDEX($B$18:$GQ$18,MATCH(156,$B$29:$GQ$29,0))</f>
        <v>0.26626504445781141</v>
      </c>
      <c r="FB4">
        <f>INDEX($B$18:$GQ$18,MATCH(157,$B$29:$GQ$29,0))</f>
        <v>6.0222556967112423E-3</v>
      </c>
      <c r="FC4">
        <f>INDEX($B$18:$GQ$18,MATCH(158,$B$29:$GQ$29,0))</f>
        <v>5.1375427315759122E-2</v>
      </c>
      <c r="FD4">
        <f>INDEX($B$18:$GQ$18,MATCH(159,$B$29:$GQ$29,0))</f>
        <v>0.40275669184004231</v>
      </c>
      <c r="FE4">
        <f>INDEX($B$18:$GQ$18,MATCH(160,$B$29:$GQ$29,0))</f>
        <v>0.58003002032254924</v>
      </c>
      <c r="FF4">
        <f>INDEX($B$18:$GQ$18,MATCH(161,$B$29:$GQ$29,0))</f>
        <v>0</v>
      </c>
      <c r="FG4">
        <f>INDEX($B$18:$GQ$18,MATCH(162,$B$29:$GQ$29,0))</f>
        <v>20.43522814700318</v>
      </c>
      <c r="FH4">
        <f>INDEX($B$18:$GQ$18,MATCH(163,$B$29:$GQ$29,0))</f>
        <v>0</v>
      </c>
      <c r="FI4">
        <f>INDEX($B$18:$GQ$18,MATCH(164,$B$29:$GQ$29,0))</f>
        <v>5.1549845083079361E-3</v>
      </c>
      <c r="FJ4">
        <f>INDEX($B$18:$GQ$18,MATCH(165,$B$29:$GQ$29,0))</f>
        <v>0.98394926213787748</v>
      </c>
      <c r="FK4">
        <f>INDEX($B$18:$GQ$18,MATCH(166,$B$29:$GQ$29,0))</f>
        <v>0</v>
      </c>
      <c r="FL4">
        <f>INDEX($B$18:$GQ$18,MATCH(167,$B$29:$GQ$29,0))</f>
        <v>0.54050519272770536</v>
      </c>
      <c r="FM4">
        <f>INDEX($B$18:$GQ$18,MATCH(168,$B$29:$GQ$29,0))</f>
        <v>1.106148782217016</v>
      </c>
      <c r="FN4">
        <f>INDEX($B$18:$GQ$18,MATCH(169,$B$29:$GQ$29,0))</f>
        <v>1.8697032687440021</v>
      </c>
      <c r="FO4">
        <f>INDEX($B$18:$GQ$18,MATCH(170,$B$29:$GQ$29,0))</f>
        <v>0.20451239910495941</v>
      </c>
      <c r="FP4">
        <f>INDEX($B$18:$GQ$18,MATCH(171,$B$29:$GQ$29,0))</f>
        <v>0.22785918873770991</v>
      </c>
      <c r="FQ4">
        <f>INDEX($B$18:$GQ$18,MATCH(172,$B$29:$GQ$29,0))</f>
        <v>0.34279247064782992</v>
      </c>
      <c r="FR4">
        <f>INDEX($B$18:$GQ$18,MATCH(173,$B$29:$GQ$29,0))</f>
        <v>0.2181575621018213</v>
      </c>
      <c r="FS4">
        <f>INDEX($B$18:$GQ$18,MATCH(174,$B$29:$GQ$29,0))</f>
        <v>1.6903611993638191E-3</v>
      </c>
      <c r="FT4">
        <f>INDEX($B$18:$GQ$18,MATCH(175,$B$29:$GQ$29,0))</f>
        <v>0</v>
      </c>
      <c r="FU4">
        <f>INDEX($B$18:$GQ$18,MATCH(176,$B$29:$GQ$29,0))</f>
        <v>0.2862169776448209</v>
      </c>
      <c r="FV4">
        <f>INDEX($B$18:$GQ$18,MATCH(177,$B$29:$GQ$29,0))</f>
        <v>0</v>
      </c>
      <c r="FW4">
        <f>INDEX($B$18:$GQ$18,MATCH(178,$B$29:$GQ$29,0))</f>
        <v>0.51826968301139642</v>
      </c>
      <c r="FX4">
        <f>INDEX($B$18:$GQ$18,MATCH(179,$B$29:$GQ$29,0))</f>
        <v>0.3365014363939372</v>
      </c>
      <c r="FY4">
        <f>INDEX($B$18:$GQ$18,MATCH(180,$B$29:$GQ$29,0))</f>
        <v>0</v>
      </c>
      <c r="FZ4">
        <f>INDEX($B$18:$GQ$18,MATCH(181,$B$29:$GQ$29,0))</f>
        <v>1.3943490034684289</v>
      </c>
      <c r="GA4">
        <f>INDEX($B$18:$GQ$18,MATCH(182,$B$29:$GQ$29,0))</f>
        <v>1.1057334714375979</v>
      </c>
      <c r="GB4">
        <f>INDEX($B$18:$GQ$18,MATCH(183,$B$29:$GQ$29,0))</f>
        <v>1.59483003653092</v>
      </c>
      <c r="GC4">
        <f>INDEX($B$18:$GQ$18,MATCH(184,$B$29:$GQ$29,0))</f>
        <v>0</v>
      </c>
      <c r="GD4">
        <f>INDEX($B$18:$GQ$18,MATCH(185,$B$29:$GQ$29,0))</f>
        <v>0</v>
      </c>
      <c r="GE4">
        <f>INDEX($B$18:$GQ$18,MATCH(186,$B$29:$GQ$29,0))</f>
        <v>0</v>
      </c>
      <c r="GF4">
        <f>INDEX($B$18:$GQ$18,MATCH(187,$B$29:$GQ$29,0))</f>
        <v>0</v>
      </c>
      <c r="GG4">
        <f>INDEX($B$18:$GQ$18,MATCH(188,$B$29:$GQ$29,0))</f>
        <v>0</v>
      </c>
      <c r="GH4">
        <f>INDEX($B$18:$GQ$18,MATCH(189,$B$29:$GQ$29,0))</f>
        <v>0</v>
      </c>
      <c r="GI4">
        <f>INDEX($B$18:$GQ$18,MATCH(190,$B$29:$GQ$29,0))</f>
        <v>0</v>
      </c>
      <c r="GJ4">
        <f>INDEX($B$18:$GQ$18,MATCH(191,$B$29:$GQ$29,0))</f>
        <v>5.0197287356487597E-2</v>
      </c>
      <c r="GK4">
        <f>INDEX($B$18:$GQ$18,MATCH(192,$B$29:$GQ$29,0))</f>
        <v>0.10297910466926791</v>
      </c>
      <c r="GL4">
        <f>INDEX($B$18:$GQ$18,MATCH(193,$B$29:$GQ$29,0))</f>
        <v>6.2598835252380973E-9</v>
      </c>
      <c r="GM4">
        <f>INDEX($B$18:$GQ$18,MATCH(194,$B$29:$GQ$29,0))</f>
        <v>0</v>
      </c>
      <c r="GN4">
        <f>INDEX($B$18:$GQ$18,MATCH(195,$B$29:$GQ$29,0))</f>
        <v>0.2135972856606255</v>
      </c>
      <c r="GO4">
        <f>INDEX($B$18:$GQ$18,MATCH(196,$B$29:$GQ$29,0))</f>
        <v>0</v>
      </c>
      <c r="GP4">
        <f>INDEX($B$18:$GQ$18,MATCH(197,$B$29:$GQ$29,0))</f>
        <v>0.25198242898792228</v>
      </c>
      <c r="GQ4">
        <f>INDEX($B$18:$GQ$18,MATCH(198,$B$29:$GQ$29,0))</f>
        <v>0</v>
      </c>
      <c r="GR4">
        <f>INDEX($GR$18:$HC$18,MATCH(1,$GR$30:$HC$30,0))</f>
        <v>0.36710662702547658</v>
      </c>
      <c r="GS4">
        <f>INDEX($GR$18:$HC$18,MATCH(2,$GR$30:$HC$30,0))</f>
        <v>0.16984815762660729</v>
      </c>
      <c r="GT4">
        <f>INDEX($GR$18:$HC$18,MATCH(3,$GR$30:$HC$30,0))</f>
        <v>0.87195610041970961</v>
      </c>
      <c r="GU4">
        <f>INDEX($GR$18:$HC$18,MATCH(4,$GR$30:$HC$30,0))</f>
        <v>0.72843192633218157</v>
      </c>
      <c r="GV4">
        <f>INDEX($GR$18:$HC$18,MATCH(5,$GR$30:$HC$30,0))</f>
        <v>0.4729274213651824</v>
      </c>
      <c r="GW4">
        <f>INDEX($GR$18:$HC$18,MATCH(6,$GR$30:$HC$30,0))</f>
        <v>0.50503696989449265</v>
      </c>
      <c r="GX4">
        <f>INDEX($GR$18:$HC$18,MATCH(7,$GR$30:$HC$30,0))</f>
        <v>0.35793906643129553</v>
      </c>
      <c r="GY4">
        <f>INDEX($GR$18:$HC$18,MATCH(8,$GR$30:$HC$30,0))</f>
        <v>0.60669458745954363</v>
      </c>
      <c r="GZ4">
        <f>INDEX($GR$18:$HC$18,MATCH(9,$GR$30:$HC$30,0))</f>
        <v>0.14568712348349219</v>
      </c>
      <c r="HA4">
        <f>INDEX($GR$18:$HC$18,MATCH(10,$GR$30:$HC$30,0))</f>
        <v>0.44819789291954559</v>
      </c>
      <c r="HB4">
        <f>INDEX($GR$18:$HC$18,MATCH(11,$GR$30:$HC$30,0))</f>
        <v>0.53431199355119374</v>
      </c>
      <c r="HC4">
        <f>INDEX($GR$18:$HC$18,MATCH(12,$GR$30:$HC$30,0))</f>
        <v>0.60191718704284103</v>
      </c>
    </row>
    <row r="5" spans="1:211" x14ac:dyDescent="0.45">
      <c r="A5" s="1" t="s">
        <v>4</v>
      </c>
      <c r="B5">
        <f>INDEX($B$19:$GQ$19,MATCH(1,$B$29:$GQ$29,0))</f>
        <v>0.2745708142294373</v>
      </c>
      <c r="C5">
        <f>INDEX($B$19:$GQ$19,MATCH(2,$B$29:$GQ$29,0))</f>
        <v>0.123069169833648</v>
      </c>
      <c r="D5">
        <f>INDEX($B$19:$GQ$19,MATCH(3,$B$29:$GQ$29,0))</f>
        <v>3.665029632622641</v>
      </c>
      <c r="E5">
        <f>INDEX($B$19:$GQ$19,MATCH(4,$B$29:$GQ$29,0))</f>
        <v>1.1933656047131149</v>
      </c>
      <c r="F5">
        <f>INDEX($B$19:$GQ$19,MATCH(5,$B$29:$GQ$29,0))</f>
        <v>7.1607155611420864E-2</v>
      </c>
      <c r="G5">
        <f>INDEX($B$19:$GQ$19,MATCH(6,$B$29:$GQ$29,0))</f>
        <v>0.35112475409349042</v>
      </c>
      <c r="H5">
        <f>INDEX($B$19:$GQ$19,MATCH(7,$B$29:$GQ$29,0))</f>
        <v>0.13692093591693469</v>
      </c>
      <c r="I5">
        <f>INDEX($B$19:$GQ$19,MATCH(8,$B$29:$GQ$29,0))</f>
        <v>2.3462705920807769</v>
      </c>
      <c r="J5">
        <f>INDEX($B$19:$GQ$19,MATCH(9,$B$29:$GQ$29,0))</f>
        <v>0.13844382315357431</v>
      </c>
      <c r="K5">
        <f>INDEX($B$19:$GQ$19,MATCH(10,$B$29:$GQ$29,0))</f>
        <v>1.0466542393600691</v>
      </c>
      <c r="L5">
        <f>INDEX($B$19:$GQ$19,MATCH(11,$B$29:$GQ$29,0))</f>
        <v>7.5567873360074367E-2</v>
      </c>
      <c r="M5">
        <f>INDEX($B$19:$GQ$19,MATCH(12,$B$29:$GQ$29,0))</f>
        <v>0.14373897378194719</v>
      </c>
      <c r="N5">
        <f>INDEX($B$19:$GQ$19,MATCH(13,$B$29:$GQ$29,0))</f>
        <v>0.26328366948035947</v>
      </c>
      <c r="O5">
        <f>INDEX($B$19:$GQ$19,MATCH(14,$B$29:$GQ$29,0))</f>
        <v>9.962252746347397E-2</v>
      </c>
      <c r="P5">
        <f>INDEX($B$19:$GQ$19,MATCH(15,$B$29:$GQ$29,0))</f>
        <v>0.70205551819706236</v>
      </c>
      <c r="Q5">
        <f>INDEX($B$19:$GQ$19,MATCH(16,$B$29:$GQ$29,0))</f>
        <v>1.3870338637406281</v>
      </c>
      <c r="R5">
        <f>INDEX($B$19:$GQ$19,MATCH(17,$B$29:$GQ$29,0))</f>
        <v>2.21851723770919</v>
      </c>
      <c r="S5">
        <f>INDEX($B$19:$GQ$19,MATCH(18,$B$29:$GQ$29,0))</f>
        <v>0.16620692865854969</v>
      </c>
      <c r="T5">
        <f>INDEX($B$19:$GQ$19,MATCH(19,$B$29:$GQ$29,0))</f>
        <v>0.12804006522496111</v>
      </c>
      <c r="U5">
        <f>INDEX($B$19:$GQ$19,MATCH(20,$B$29:$GQ$29,0))</f>
        <v>0.11889773594313489</v>
      </c>
      <c r="V5">
        <f>INDEX($B$19:$GQ$19,MATCH(21,$B$29:$GQ$29,0))</f>
        <v>0.17897843160394861</v>
      </c>
      <c r="W5">
        <f>INDEX($B$19:$GQ$19,MATCH(22,$B$29:$GQ$29,0))</f>
        <v>0.26315169944299421</v>
      </c>
      <c r="X5">
        <f>INDEX($B$19:$GQ$19,MATCH(23,$B$29:$GQ$29,0))</f>
        <v>0.74578111209255016</v>
      </c>
      <c r="Y5">
        <f>INDEX($B$19:$GQ$19,MATCH(24,$B$29:$GQ$29,0))</f>
        <v>9.2166329371876243E-2</v>
      </c>
      <c r="Z5">
        <f>INDEX($B$19:$GQ$19,MATCH(25,$B$29:$GQ$29,0))</f>
        <v>0.62449621490961782</v>
      </c>
      <c r="AA5">
        <f>INDEX($B$19:$GQ$19,MATCH(26,$B$29:$GQ$29,0))</f>
        <v>0.54772114259727445</v>
      </c>
      <c r="AB5">
        <f>INDEX($B$19:$GQ$19,MATCH(27,$B$29:$GQ$29,0))</f>
        <v>6.2431999292378929E-2</v>
      </c>
      <c r="AC5">
        <f>INDEX($B$19:$GQ$19,MATCH(28,$B$29:$GQ$29,0))</f>
        <v>8.4820504859580328E-2</v>
      </c>
      <c r="AD5">
        <f>INDEX($B$19:$GQ$19,MATCH(29,$B$29:$GQ$29,0))</f>
        <v>0.53892918778801691</v>
      </c>
      <c r="AE5">
        <f>INDEX($B$19:$GQ$19,MATCH(30,$B$29:$GQ$29,0))</f>
        <v>0.1341790885751501</v>
      </c>
      <c r="AF5">
        <f>INDEX($B$19:$GQ$19,MATCH(31,$B$29:$GQ$29,0))</f>
        <v>1.224582752596193</v>
      </c>
      <c r="AG5">
        <f>INDEX($B$19:$GQ$19,MATCH(32,$B$29:$GQ$29,0))</f>
        <v>2.838457560997298</v>
      </c>
      <c r="AH5">
        <f>INDEX($B$19:$GQ$19,MATCH(33,$B$29:$GQ$29,0))</f>
        <v>1.5634212803144969</v>
      </c>
      <c r="AI5">
        <f>INDEX($B$19:$GQ$19,MATCH(34,$B$29:$GQ$29,0))</f>
        <v>0.76046227708069902</v>
      </c>
      <c r="AJ5">
        <f>INDEX($B$19:$GQ$19,MATCH(35,$B$29:$GQ$29,0))</f>
        <v>2.0313750320129329</v>
      </c>
      <c r="AK5">
        <f>INDEX($B$19:$GQ$19,MATCH(36,$B$29:$GQ$29,0))</f>
        <v>1.5022861874209139</v>
      </c>
      <c r="AL5">
        <f>INDEX($B$19:$GQ$19,MATCH(37,$B$29:$GQ$29,0))</f>
        <v>9.7616554200706668E-2</v>
      </c>
      <c r="AM5">
        <f>INDEX($B$19:$GQ$19,MATCH(38,$B$29:$GQ$29,0))</f>
        <v>0.20524584562410411</v>
      </c>
      <c r="AN5">
        <f>INDEX($B$19:$GQ$19,MATCH(39,$B$29:$GQ$29,0))</f>
        <v>7.7598640998044681</v>
      </c>
      <c r="AO5">
        <f>INDEX($B$19:$GQ$19,MATCH(40,$B$29:$GQ$29,0))</f>
        <v>49.124864928732528</v>
      </c>
      <c r="AP5">
        <f>INDEX($B$19:$GQ$19,MATCH(41,$B$29:$GQ$29,0))</f>
        <v>1.8242027119461679</v>
      </c>
      <c r="AQ5">
        <f>INDEX($B$19:$GQ$19,MATCH(42,$B$29:$GQ$29,0))</f>
        <v>6.8520951834543847E-2</v>
      </c>
      <c r="AR5">
        <f>INDEX($B$19:$GQ$19,MATCH(43,$B$29:$GQ$29,0))</f>
        <v>0.1130331465402527</v>
      </c>
      <c r="AS5">
        <f>INDEX($B$19:$GQ$19,MATCH(44,$B$29:$GQ$29,0))</f>
        <v>0.14483980137318669</v>
      </c>
      <c r="AT5">
        <f>INDEX($B$19:$GQ$19,MATCH(45,$B$29:$GQ$29,0))</f>
        <v>0.19397254863385019</v>
      </c>
      <c r="AU5">
        <f>INDEX($B$19:$GQ$19,MATCH(46,$B$29:$GQ$29,0))</f>
        <v>0.50721624651079067</v>
      </c>
      <c r="AV5">
        <f>INDEX($B$19:$GQ$19,MATCH(47,$B$29:$GQ$29,0))</f>
        <v>9.7791820775182239E-2</v>
      </c>
      <c r="AW5">
        <f>INDEX($B$19:$GQ$19,MATCH(48,$B$29:$GQ$29,0))</f>
        <v>3.0576398607753519E-2</v>
      </c>
      <c r="AX5">
        <f>INDEX($B$19:$GQ$19,MATCH(49,$B$29:$GQ$29,0))</f>
        <v>0.50385708449599853</v>
      </c>
      <c r="AY5">
        <f>INDEX($B$19:$GQ$19,MATCH(50,$B$29:$GQ$29,0))</f>
        <v>0.10997248267245879</v>
      </c>
      <c r="AZ5">
        <f>INDEX($B$19:$GQ$19,MATCH(51,$B$29:$GQ$29,0))</f>
        <v>0.12780915243573129</v>
      </c>
      <c r="BA5">
        <f>INDEX($B$19:$GQ$19,MATCH(52,$B$29:$GQ$29,0))</f>
        <v>6.020861160563775E-2</v>
      </c>
      <c r="BB5">
        <f>INDEX($B$19:$GQ$19,MATCH(53,$B$29:$GQ$29,0))</f>
        <v>0.77450882319233705</v>
      </c>
      <c r="BC5">
        <f>INDEX($B$19:$GQ$19,MATCH(54,$B$29:$GQ$29,0))</f>
        <v>0.63571767216006536</v>
      </c>
      <c r="BD5">
        <f>INDEX($B$19:$GQ$19,MATCH(55,$B$29:$GQ$29,0))</f>
        <v>0.34171280365577039</v>
      </c>
      <c r="BE5">
        <f>INDEX($B$19:$GQ$19,MATCH(56,$B$29:$GQ$29,0))</f>
        <v>9.1780773470014121E-2</v>
      </c>
      <c r="BF5">
        <f>INDEX($B$19:$GQ$19,MATCH(57,$B$29:$GQ$29,0))</f>
        <v>0.11129126905604859</v>
      </c>
      <c r="BG5">
        <f>INDEX($B$19:$GQ$19,MATCH(58,$B$29:$GQ$29,0))</f>
        <v>0.15013577657156041</v>
      </c>
      <c r="BH5">
        <f>INDEX($B$19:$GQ$19,MATCH(59,$B$29:$GQ$29,0))</f>
        <v>1.542071281893493</v>
      </c>
      <c r="BI5">
        <f>INDEX($B$19:$GQ$19,MATCH(60,$B$29:$GQ$29,0))</f>
        <v>0.16796276088748749</v>
      </c>
      <c r="BJ5">
        <f>INDEX($B$19:$GQ$19,MATCH(61,$B$29:$GQ$29,0))</f>
        <v>0.1125601930255615</v>
      </c>
      <c r="BK5">
        <f>INDEX($B$19:$GQ$19,MATCH(62,$B$29:$GQ$29,0))</f>
        <v>1.7330618707839179E-2</v>
      </c>
      <c r="BL5">
        <f>INDEX($B$19:$GQ$19,MATCH(63,$B$29:$GQ$29,0))</f>
        <v>4.3046595553447249</v>
      </c>
      <c r="BM5">
        <f>INDEX($B$19:$GQ$19,MATCH(64,$B$29:$GQ$29,0))</f>
        <v>5.284194923380716E-2</v>
      </c>
      <c r="BN5">
        <f>INDEX($B$19:$GQ$19,MATCH(65,$B$29:$GQ$29,0))</f>
        <v>3.1080743215856148</v>
      </c>
      <c r="BO5">
        <f>INDEX($B$19:$GQ$19,MATCH(66,$B$29:$GQ$29,0))</f>
        <v>5.1990950368731872E-2</v>
      </c>
      <c r="BP5">
        <f>INDEX($B$19:$GQ$19,MATCH(67,$B$29:$GQ$29,0))</f>
        <v>0.14602675040979191</v>
      </c>
      <c r="BQ5">
        <f>INDEX($B$19:$GQ$19,MATCH(68,$B$29:$GQ$29,0))</f>
        <v>0.33148940344987587</v>
      </c>
      <c r="BR5">
        <f>INDEX($B$19:$GQ$19,MATCH(69,$B$29:$GQ$29,0))</f>
        <v>8.7859445115831547E-2</v>
      </c>
      <c r="BS5">
        <f>INDEX($B$19:$GQ$19,MATCH(70,$B$29:$GQ$29,0))</f>
        <v>0.61292045387083804</v>
      </c>
      <c r="BT5">
        <f>INDEX($B$19:$GQ$19,MATCH(71,$B$29:$GQ$29,0))</f>
        <v>2.3688908377557799E-2</v>
      </c>
      <c r="BU5">
        <f>INDEX($B$19:$GQ$19,MATCH(72,$B$29:$GQ$29,0))</f>
        <v>0.62502223083370556</v>
      </c>
      <c r="BV5">
        <f>INDEX($B$19:$GQ$19,MATCH(73,$B$29:$GQ$29,0))</f>
        <v>0.48802319862663412</v>
      </c>
      <c r="BW5">
        <f>INDEX($B$19:$GQ$19,MATCH(74,$B$29:$GQ$29,0))</f>
        <v>7.527830836748528E-2</v>
      </c>
      <c r="BX5">
        <f>INDEX($B$19:$GQ$19,MATCH(75,$B$29:$GQ$29,0))</f>
        <v>0.1580701523507588</v>
      </c>
      <c r="BY5">
        <f>INDEX($B$19:$GQ$19,MATCH(76,$B$29:$GQ$29,0))</f>
        <v>1.502715735546398</v>
      </c>
      <c r="BZ5">
        <f>INDEX($B$19:$GQ$19,MATCH(77,$B$29:$GQ$29,0))</f>
        <v>0.53339310437704868</v>
      </c>
      <c r="CA5">
        <f>INDEX($B$19:$GQ$19,MATCH(78,$B$29:$GQ$29,0))</f>
        <v>4.0289016486300486</v>
      </c>
      <c r="CB5">
        <f>INDEX($B$19:$GQ$19,MATCH(79,$B$29:$GQ$29,0))</f>
        <v>5.590652238412766E-2</v>
      </c>
      <c r="CC5">
        <f>INDEX($B$19:$GQ$19,MATCH(80,$B$29:$GQ$29,0))</f>
        <v>0.13902132711100479</v>
      </c>
      <c r="CD5">
        <f>INDEX($B$19:$GQ$19,MATCH(81,$B$29:$GQ$29,0))</f>
        <v>0.1106424477294381</v>
      </c>
      <c r="CE5">
        <f>INDEX($B$19:$GQ$19,MATCH(82,$B$29:$GQ$29,0))</f>
        <v>0.126806115834978</v>
      </c>
      <c r="CF5">
        <f>INDEX($B$19:$GQ$19,MATCH(83,$B$29:$GQ$29,0))</f>
        <v>0.1247102254107012</v>
      </c>
      <c r="CG5">
        <f>INDEX($B$19:$GQ$19,MATCH(84,$B$29:$GQ$29,0))</f>
        <v>0.11304805462866351</v>
      </c>
      <c r="CH5">
        <f>INDEX($B$19:$GQ$19,MATCH(85,$B$29:$GQ$29,0))</f>
        <v>0.1092935655888688</v>
      </c>
      <c r="CI5">
        <f>INDEX($B$19:$GQ$19,MATCH(86,$B$29:$GQ$29,0))</f>
        <v>0.44731727506684371</v>
      </c>
      <c r="CJ5">
        <f>INDEX($B$19:$GQ$19,MATCH(87,$B$29:$GQ$29,0))</f>
        <v>3.925896641487344</v>
      </c>
      <c r="CK5">
        <f>INDEX($B$19:$GQ$19,MATCH(88,$B$29:$GQ$29,0))</f>
        <v>0.113224959643701</v>
      </c>
      <c r="CL5">
        <f>INDEX($B$19:$GQ$19,MATCH(89,$B$29:$GQ$29,0))</f>
        <v>0.1153418462053276</v>
      </c>
      <c r="CM5">
        <f>INDEX($B$19:$GQ$19,MATCH(90,$B$29:$GQ$29,0))</f>
        <v>0.16898448417524509</v>
      </c>
      <c r="CN5">
        <f>INDEX($B$19:$GQ$19,MATCH(91,$B$29:$GQ$29,0))</f>
        <v>0.1009549359262306</v>
      </c>
      <c r="CO5">
        <f>INDEX($B$19:$GQ$19,MATCH(92,$B$29:$GQ$29,0))</f>
        <v>8.3152199003876909E-2</v>
      </c>
      <c r="CP5">
        <f>INDEX($B$19:$GQ$19,MATCH(93,$B$29:$GQ$29,0))</f>
        <v>0.60463426470519077</v>
      </c>
      <c r="CQ5">
        <f>INDEX($B$19:$GQ$19,MATCH(94,$B$29:$GQ$29,0))</f>
        <v>6.7491201757271635E-2</v>
      </c>
      <c r="CR5">
        <f>INDEX($B$19:$GQ$19,MATCH(95,$B$29:$GQ$29,0))</f>
        <v>0.1177238127024184</v>
      </c>
      <c r="CS5">
        <f>INDEX($B$19:$GQ$19,MATCH(96,$B$29:$GQ$29,0))</f>
        <v>0.10743621254688181</v>
      </c>
      <c r="CT5">
        <f>INDEX($B$19:$GQ$19,MATCH(97,$B$29:$GQ$29,0))</f>
        <v>0.1082606875445315</v>
      </c>
      <c r="CU5">
        <f>INDEX($B$19:$GQ$19,MATCH(98,$B$29:$GQ$29,0))</f>
        <v>8.6423913619685905E-2</v>
      </c>
      <c r="CV5">
        <f>INDEX($B$19:$GQ$19,MATCH(99,$B$29:$GQ$29,0))</f>
        <v>0.15847033056827281</v>
      </c>
      <c r="CW5">
        <f>INDEX($B$19:$GQ$19,MATCH(100,$B$29:$GQ$29,0))</f>
        <v>0.3121692841673408</v>
      </c>
      <c r="CX5">
        <f>INDEX($B$19:$GQ$19,MATCH(101,$B$29:$GQ$29,0))</f>
        <v>0.1048113693077035</v>
      </c>
      <c r="CY5">
        <f>INDEX($B$19:$GQ$19,MATCH(102,$B$29:$GQ$29,0))</f>
        <v>0.1026794648128523</v>
      </c>
      <c r="CZ5">
        <f>INDEX($B$19:$GQ$19,MATCH(103,$B$29:$GQ$29,0))</f>
        <v>0.51034465814090046</v>
      </c>
      <c r="DA5">
        <f>INDEX($B$19:$GQ$19,MATCH(104,$B$29:$GQ$29,0))</f>
        <v>7.8582170833536802E-2</v>
      </c>
      <c r="DB5">
        <f>INDEX($B$19:$GQ$19,MATCH(105,$B$29:$GQ$29,0))</f>
        <v>0.1125354597854089</v>
      </c>
      <c r="DC5">
        <f>INDEX($B$19:$GQ$19,MATCH(106,$B$29:$GQ$29,0))</f>
        <v>0</v>
      </c>
      <c r="DD5">
        <f>INDEX($B$19:$GQ$19,MATCH(107,$B$29:$GQ$29,0))</f>
        <v>0.10596614328163211</v>
      </c>
      <c r="DE5">
        <f>INDEX($B$19:$GQ$19,MATCH(108,$B$29:$GQ$29,0))</f>
        <v>9.8252467641184851E-2</v>
      </c>
      <c r="DF5">
        <f>INDEX($B$19:$GQ$19,MATCH(109,$B$29:$GQ$29,0))</f>
        <v>0.10838352743138829</v>
      </c>
      <c r="DG5">
        <f>INDEX($B$19:$GQ$19,MATCH(110,$B$29:$GQ$29,0))</f>
        <v>3.470928870312624</v>
      </c>
      <c r="DH5">
        <f>INDEX($B$19:$GQ$19,MATCH(111,$B$29:$GQ$29,0))</f>
        <v>0</v>
      </c>
      <c r="DI5">
        <f>INDEX($B$19:$GQ$19,MATCH(112,$B$29:$GQ$29,0))</f>
        <v>9.3895567319511014E-2</v>
      </c>
      <c r="DJ5">
        <f>INDEX($B$19:$GQ$19,MATCH(113,$B$29:$GQ$29,0))</f>
        <v>0.39940246933458012</v>
      </c>
      <c r="DK5">
        <f>INDEX($B$19:$GQ$19,MATCH(114,$B$29:$GQ$29,0))</f>
        <v>8.5666901893793737E-2</v>
      </c>
      <c r="DL5">
        <f>INDEX($B$19:$GQ$19,MATCH(115,$B$29:$GQ$29,0))</f>
        <v>1.4460438914869289</v>
      </c>
      <c r="DM5">
        <f>INDEX($B$19:$GQ$19,MATCH(116,$B$29:$GQ$29,0))</f>
        <v>2.1410888990112949E-2</v>
      </c>
      <c r="DN5">
        <f>INDEX($B$19:$GQ$19,MATCH(117,$B$29:$GQ$29,0))</f>
        <v>5.5899033518833859E-2</v>
      </c>
      <c r="DO5">
        <f>INDEX($B$19:$GQ$19,MATCH(118,$B$29:$GQ$29,0))</f>
        <v>9.0124794039416839E-2</v>
      </c>
      <c r="DP5">
        <f>INDEX($B$19:$GQ$19,MATCH(119,$B$29:$GQ$29,0))</f>
        <v>0.20660487687300491</v>
      </c>
      <c r="DQ5">
        <f>INDEX($B$19:$GQ$19,MATCH(120,$B$29:$GQ$29,0))</f>
        <v>0.36099227998866518</v>
      </c>
      <c r="DR5">
        <f>INDEX($B$19:$GQ$19,MATCH(121,$B$29:$GQ$29,0))</f>
        <v>0.48396936859563933</v>
      </c>
      <c r="DS5">
        <f>INDEX($B$19:$GQ$19,MATCH(122,$B$29:$GQ$29,0))</f>
        <v>0.20053674294149679</v>
      </c>
      <c r="DT5">
        <f>INDEX($B$19:$GQ$19,MATCH(123,$B$29:$GQ$29,0))</f>
        <v>0</v>
      </c>
      <c r="DU5">
        <f>INDEX($B$19:$GQ$19,MATCH(124,$B$29:$GQ$29,0))</f>
        <v>0.50823773318790422</v>
      </c>
      <c r="DV5">
        <f>INDEX($B$19:$GQ$19,MATCH(125,$B$29:$GQ$29,0))</f>
        <v>0</v>
      </c>
      <c r="DW5">
        <f>INDEX($B$19:$GQ$19,MATCH(126,$B$29:$GQ$29,0))</f>
        <v>7.8508126586053245E-2</v>
      </c>
      <c r="DX5">
        <f>INDEX($B$19:$GQ$19,MATCH(127,$B$29:$GQ$29,0))</f>
        <v>0.76532370604013833</v>
      </c>
      <c r="DY5">
        <f>INDEX($B$19:$GQ$19,MATCH(128,$B$29:$GQ$29,0))</f>
        <v>4.2653477549435041E-2</v>
      </c>
      <c r="DZ5">
        <f>INDEX($B$19:$GQ$19,MATCH(129,$B$29:$GQ$29,0))</f>
        <v>0.16424258750950371</v>
      </c>
      <c r="EA5">
        <f>INDEX($B$19:$GQ$19,MATCH(130,$B$29:$GQ$29,0))</f>
        <v>0.85011371110737743</v>
      </c>
      <c r="EB5">
        <f>INDEX($B$19:$GQ$19,MATCH(131,$B$29:$GQ$29,0))</f>
        <v>0</v>
      </c>
      <c r="EC5">
        <f>INDEX($B$19:$GQ$19,MATCH(132,$B$29:$GQ$29,0))</f>
        <v>1.2186380337194109</v>
      </c>
      <c r="ED5">
        <f>INDEX($B$19:$GQ$19,MATCH(133,$B$29:$GQ$29,0))</f>
        <v>0.19193520617849161</v>
      </c>
      <c r="EE5">
        <f>INDEX($B$19:$GQ$19,MATCH(134,$B$29:$GQ$29,0))</f>
        <v>8.5829221747305579E-3</v>
      </c>
      <c r="EF5">
        <f>INDEX($B$19:$GQ$19,MATCH(135,$B$29:$GQ$29,0))</f>
        <v>5.3337183482329884</v>
      </c>
      <c r="EG5">
        <f>INDEX($B$19:$GQ$19,MATCH(136,$B$29:$GQ$29,0))</f>
        <v>1.8648702702694151</v>
      </c>
      <c r="EH5">
        <f>INDEX($B$19:$GQ$19,MATCH(137,$B$29:$GQ$29,0))</f>
        <v>20.44329934662272</v>
      </c>
      <c r="EI5">
        <f>INDEX($B$19:$GQ$19,MATCH(138,$B$29:$GQ$29,0))</f>
        <v>0</v>
      </c>
      <c r="EJ5">
        <f>INDEX($B$19:$GQ$19,MATCH(139,$B$29:$GQ$29,0))</f>
        <v>0</v>
      </c>
      <c r="EK5">
        <f>INDEX($B$19:$GQ$19,MATCH(140,$B$29:$GQ$29,0))</f>
        <v>0</v>
      </c>
      <c r="EL5">
        <f>INDEX($B$19:$GQ$19,MATCH(141,$B$29:$GQ$29,0))</f>
        <v>0</v>
      </c>
      <c r="EM5">
        <f>INDEX($B$19:$GQ$19,MATCH(142,$B$29:$GQ$29,0))</f>
        <v>0</v>
      </c>
      <c r="EN5">
        <f>INDEX($B$19:$GQ$19,MATCH(143,$B$29:$GQ$29,0))</f>
        <v>0</v>
      </c>
      <c r="EO5">
        <f>INDEX($B$19:$GQ$19,MATCH(144,$B$29:$GQ$29,0))</f>
        <v>0</v>
      </c>
      <c r="EP5">
        <f>INDEX($B$19:$GQ$19,MATCH(145,$B$29:$GQ$29,0))</f>
        <v>0.19554048630459939</v>
      </c>
      <c r="EQ5">
        <f>INDEX($B$19:$GQ$19,MATCH(146,$B$29:$GQ$29,0))</f>
        <v>0.2426514779631653</v>
      </c>
      <c r="ER5">
        <f>INDEX($B$19:$GQ$19,MATCH(147,$B$29:$GQ$29,0))</f>
        <v>0</v>
      </c>
      <c r="ES5">
        <f>INDEX($B$19:$GQ$19,MATCH(148,$B$29:$GQ$29,0))</f>
        <v>0</v>
      </c>
      <c r="ET5">
        <f>INDEX($B$19:$GQ$19,MATCH(149,$B$29:$GQ$29,0))</f>
        <v>0</v>
      </c>
      <c r="EU5">
        <f>INDEX($B$19:$GQ$19,MATCH(150,$B$29:$GQ$29,0))</f>
        <v>0</v>
      </c>
      <c r="EV5">
        <f>INDEX($B$19:$GQ$19,MATCH(151,$B$29:$GQ$29,0))</f>
        <v>0</v>
      </c>
      <c r="EW5">
        <f>INDEX($B$19:$GQ$19,MATCH(152,$B$29:$GQ$29,0))</f>
        <v>0</v>
      </c>
      <c r="EX5">
        <f>INDEX($B$19:$GQ$19,MATCH(153,$B$29:$GQ$29,0))</f>
        <v>0</v>
      </c>
      <c r="EY5">
        <f>INDEX($B$19:$GQ$19,MATCH(154,$B$29:$GQ$29,0))</f>
        <v>0</v>
      </c>
      <c r="EZ5">
        <f>INDEX($B$19:$GQ$19,MATCH(155,$B$29:$GQ$29,0))</f>
        <v>2.4181003401528959E-2</v>
      </c>
      <c r="FA5">
        <f>INDEX($B$19:$GQ$19,MATCH(156,$B$29:$GQ$29,0))</f>
        <v>0.87637632296345791</v>
      </c>
      <c r="FB5">
        <f>INDEX($B$19:$GQ$19,MATCH(157,$B$29:$GQ$29,0))</f>
        <v>1.478431043241803E-2</v>
      </c>
      <c r="FC5">
        <f>INDEX($B$19:$GQ$19,MATCH(158,$B$29:$GQ$29,0))</f>
        <v>0.19098130184004811</v>
      </c>
      <c r="FD5">
        <f>INDEX($B$19:$GQ$19,MATCH(159,$B$29:$GQ$29,0))</f>
        <v>0.9954853721158009</v>
      </c>
      <c r="FE5">
        <f>INDEX($B$19:$GQ$19,MATCH(160,$B$29:$GQ$29,0))</f>
        <v>1.2080046034377061</v>
      </c>
      <c r="FF5">
        <f>INDEX($B$19:$GQ$19,MATCH(161,$B$29:$GQ$29,0))</f>
        <v>0</v>
      </c>
      <c r="FG5">
        <f>INDEX($B$19:$GQ$19,MATCH(162,$B$29:$GQ$29,0))</f>
        <v>17.114469784085571</v>
      </c>
      <c r="FH5">
        <f>INDEX($B$19:$GQ$19,MATCH(163,$B$29:$GQ$29,0))</f>
        <v>0</v>
      </c>
      <c r="FI5">
        <f>INDEX($B$19:$GQ$19,MATCH(164,$B$29:$GQ$29,0))</f>
        <v>3.0824604913094402E-3</v>
      </c>
      <c r="FJ5">
        <f>INDEX($B$19:$GQ$19,MATCH(165,$B$29:$GQ$29,0))</f>
        <v>0.58841932798245267</v>
      </c>
      <c r="FK5">
        <f>INDEX($B$19:$GQ$19,MATCH(166,$B$29:$GQ$29,0))</f>
        <v>0</v>
      </c>
      <c r="FL5">
        <f>INDEX($B$19:$GQ$19,MATCH(167,$B$29:$GQ$29,0))</f>
        <v>0.32282791975847558</v>
      </c>
      <c r="FM5">
        <f>INDEX($B$19:$GQ$19,MATCH(168,$B$29:$GQ$29,0))</f>
        <v>0.661525911278248</v>
      </c>
      <c r="FN5">
        <f>INDEX($B$19:$GQ$19,MATCH(169,$B$29:$GQ$29,0))</f>
        <v>1.1181101642612541</v>
      </c>
      <c r="FO5">
        <f>INDEX($B$19:$GQ$19,MATCH(170,$B$29:$GQ$29,0))</f>
        <v>0.1223133147921848</v>
      </c>
      <c r="FP5">
        <f>INDEX($B$19:$GQ$19,MATCH(171,$B$29:$GQ$29,0))</f>
        <v>0.1362172246617</v>
      </c>
      <c r="FQ5">
        <f>INDEX($B$19:$GQ$19,MATCH(172,$B$29:$GQ$29,0))</f>
        <v>0.20485914671265529</v>
      </c>
      <c r="FR5">
        <f>INDEX($B$19:$GQ$19,MATCH(173,$B$29:$GQ$29,0))</f>
        <v>0.1303064907449327</v>
      </c>
      <c r="FS5">
        <f>INDEX($B$19:$GQ$19,MATCH(174,$B$29:$GQ$29,0))</f>
        <v>4.980661518242303E-4</v>
      </c>
      <c r="FT5">
        <f>INDEX($B$19:$GQ$19,MATCH(175,$B$29:$GQ$29,0))</f>
        <v>0</v>
      </c>
      <c r="FU5">
        <f>INDEX($B$19:$GQ$19,MATCH(176,$B$29:$GQ$29,0))</f>
        <v>0.79398100707322117</v>
      </c>
      <c r="FV5">
        <f>INDEX($B$19:$GQ$19,MATCH(177,$B$29:$GQ$29,0))</f>
        <v>0</v>
      </c>
      <c r="FW5">
        <f>INDEX($B$19:$GQ$19,MATCH(178,$B$29:$GQ$29,0))</f>
        <v>1.776443496865389</v>
      </c>
      <c r="FX5">
        <f>INDEX($B$19:$GQ$19,MATCH(179,$B$29:$GQ$29,0))</f>
        <v>0.16162783364925451</v>
      </c>
      <c r="FY5">
        <f>INDEX($B$19:$GQ$19,MATCH(180,$B$29:$GQ$29,0))</f>
        <v>0</v>
      </c>
      <c r="FZ5">
        <f>INDEX($B$19:$GQ$19,MATCH(181,$B$29:$GQ$29,0))</f>
        <v>0.65437170563519809</v>
      </c>
      <c r="GA5">
        <f>INDEX($B$19:$GQ$19,MATCH(182,$B$29:$GQ$29,0))</f>
        <v>7.5125154182046155E-2</v>
      </c>
      <c r="GB5">
        <f>INDEX($B$19:$GQ$19,MATCH(183,$B$29:$GQ$29,0))</f>
        <v>0.1658437623189204</v>
      </c>
      <c r="GC5">
        <f>INDEX($B$19:$GQ$19,MATCH(184,$B$29:$GQ$29,0))</f>
        <v>0</v>
      </c>
      <c r="GD5">
        <f>INDEX($B$19:$GQ$19,MATCH(185,$B$29:$GQ$29,0))</f>
        <v>0</v>
      </c>
      <c r="GE5">
        <f>INDEX($B$19:$GQ$19,MATCH(186,$B$29:$GQ$29,0))</f>
        <v>0</v>
      </c>
      <c r="GF5">
        <f>INDEX($B$19:$GQ$19,MATCH(187,$B$29:$GQ$29,0))</f>
        <v>0</v>
      </c>
      <c r="GG5">
        <f>INDEX($B$19:$GQ$19,MATCH(188,$B$29:$GQ$29,0))</f>
        <v>0</v>
      </c>
      <c r="GH5">
        <f>INDEX($B$19:$GQ$19,MATCH(189,$B$29:$GQ$29,0))</f>
        <v>0</v>
      </c>
      <c r="GI5">
        <f>INDEX($B$19:$GQ$19,MATCH(190,$B$29:$GQ$29,0))</f>
        <v>0</v>
      </c>
      <c r="GJ5">
        <f>INDEX($B$19:$GQ$19,MATCH(191,$B$29:$GQ$29,0))</f>
        <v>2.2360429812357752E-2</v>
      </c>
      <c r="GK5">
        <f>INDEX($B$19:$GQ$19,MATCH(192,$B$29:$GQ$29,0))</f>
        <v>4.5869706692280757E-2</v>
      </c>
      <c r="GL5">
        <f>INDEX($B$19:$GQ$19,MATCH(193,$B$29:$GQ$29,0))</f>
        <v>2.593207460345739E-9</v>
      </c>
      <c r="GM5">
        <f>INDEX($B$19:$GQ$19,MATCH(194,$B$29:$GQ$29,0))</f>
        <v>0</v>
      </c>
      <c r="GN5">
        <f>INDEX($B$19:$GQ$19,MATCH(195,$B$29:$GQ$29,0))</f>
        <v>9.514017891973639E-2</v>
      </c>
      <c r="GO5">
        <f>INDEX($B$19:$GQ$19,MATCH(196,$B$29:$GQ$29,0))</f>
        <v>0</v>
      </c>
      <c r="GP5">
        <f>INDEX($B$19:$GQ$19,MATCH(197,$B$29:$GQ$29,0))</f>
        <v>0.1205159760622161</v>
      </c>
      <c r="GQ5">
        <f>INDEX($B$19:$GQ$19,MATCH(198,$B$29:$GQ$29,0))</f>
        <v>0</v>
      </c>
      <c r="GR5">
        <f>INDEX($GR$19:$HC$19,MATCH(1,$GR$30:$HC$30,0))</f>
        <v>0.31076333298480729</v>
      </c>
      <c r="GS5">
        <f>INDEX($GR$19:$HC$19,MATCH(2,$GR$30:$HC$30,0))</f>
        <v>9.0463154916465657E-2</v>
      </c>
      <c r="GT5">
        <f>INDEX($GR$19:$HC$19,MATCH(3,$GR$30:$HC$30,0))</f>
        <v>0.85680936876927138</v>
      </c>
      <c r="GU5">
        <f>INDEX($GR$19:$HC$19,MATCH(4,$GR$30:$HC$30,0))</f>
        <v>0.32491314553694722</v>
      </c>
      <c r="GV5">
        <f>INDEX($GR$19:$HC$19,MATCH(5,$GR$30:$HC$30,0))</f>
        <v>1.1638226736403141</v>
      </c>
      <c r="GW5">
        <f>INDEX($GR$19:$HC$19,MATCH(6,$GR$30:$HC$30,0))</f>
        <v>0.87403069452802573</v>
      </c>
      <c r="GX5">
        <f>INDEX($GR$19:$HC$19,MATCH(7,$GR$30:$HC$30,0))</f>
        <v>0.1150617836375251</v>
      </c>
      <c r="GY5">
        <f>INDEX($GR$19:$HC$19,MATCH(8,$GR$30:$HC$30,0))</f>
        <v>1.436992131751164</v>
      </c>
      <c r="GZ5">
        <f>INDEX($GR$19:$HC$19,MATCH(9,$GR$30:$HC$30,0))</f>
        <v>0.14373897378194719</v>
      </c>
      <c r="HA5">
        <f>INDEX($GR$19:$HC$19,MATCH(10,$GR$30:$HC$30,0))</f>
        <v>0.26376505383666082</v>
      </c>
      <c r="HB5">
        <f>INDEX($GR$19:$HC$19,MATCH(11,$GR$30:$HC$30,0))</f>
        <v>1.4291351935230321</v>
      </c>
      <c r="HC5">
        <f>INDEX($GR$19:$HC$19,MATCH(12,$GR$30:$HC$30,0))</f>
        <v>2.21851723770919</v>
      </c>
    </row>
    <row r="6" spans="1:211" x14ac:dyDescent="0.45">
      <c r="A6" s="1" t="s">
        <v>5</v>
      </c>
      <c r="B6">
        <f>INDEX($B$20:$GQ$20,MATCH(1,$B$29:$GQ$29,0))</f>
        <v>0.37134648475563142</v>
      </c>
      <c r="C6">
        <f>INDEX($B$20:$GQ$20,MATCH(2,$B$29:$GQ$29,0))</f>
        <v>0.69321638828993737</v>
      </c>
      <c r="D6">
        <f>INDEX($B$20:$GQ$20,MATCH(3,$B$29:$GQ$29,0))</f>
        <v>2.3527329179370531</v>
      </c>
      <c r="E6">
        <f>INDEX($B$20:$GQ$20,MATCH(4,$B$29:$GQ$29,0))</f>
        <v>1.6880064910068331</v>
      </c>
      <c r="F6">
        <f>INDEX($B$20:$GQ$20,MATCH(5,$B$29:$GQ$29,0))</f>
        <v>0.85592783029849384</v>
      </c>
      <c r="G6">
        <f>INDEX($B$20:$GQ$20,MATCH(6,$B$29:$GQ$29,0))</f>
        <v>3.3375488684962091</v>
      </c>
      <c r="H6">
        <f>INDEX($B$20:$GQ$20,MATCH(7,$B$29:$GQ$29,0))</f>
        <v>0.7897341914354491</v>
      </c>
      <c r="I6">
        <f>INDEX($B$20:$GQ$20,MATCH(8,$B$29:$GQ$29,0))</f>
        <v>31.428815396464071</v>
      </c>
      <c r="J6">
        <f>INDEX($B$20:$GQ$20,MATCH(9,$B$29:$GQ$29,0))</f>
        <v>0.70581008459176076</v>
      </c>
      <c r="K6">
        <f>INDEX($B$20:$GQ$20,MATCH(10,$B$29:$GQ$29,0))</f>
        <v>1.084247713233198</v>
      </c>
      <c r="L6">
        <f>INDEX($B$20:$GQ$20,MATCH(11,$B$29:$GQ$29,0))</f>
        <v>0.527785248266333</v>
      </c>
      <c r="M6">
        <f>INDEX($B$20:$GQ$20,MATCH(12,$B$29:$GQ$29,0))</f>
        <v>0.78310293009628196</v>
      </c>
      <c r="N6">
        <f>INDEX($B$20:$GQ$20,MATCH(13,$B$29:$GQ$29,0))</f>
        <v>2.5039353496947401</v>
      </c>
      <c r="O6">
        <f>INDEX($B$20:$GQ$20,MATCH(14,$B$29:$GQ$29,0))</f>
        <v>2.0127577497936562</v>
      </c>
      <c r="P6">
        <f>INDEX($B$20:$GQ$20,MATCH(15,$B$29:$GQ$29,0))</f>
        <v>1.288521228134246</v>
      </c>
      <c r="Q6">
        <f>INDEX($B$20:$GQ$20,MATCH(16,$B$29:$GQ$29,0))</f>
        <v>2.4733371854267459</v>
      </c>
      <c r="R6">
        <f>INDEX($B$20:$GQ$20,MATCH(17,$B$29:$GQ$29,0))</f>
        <v>5.9172192786255184</v>
      </c>
      <c r="S6">
        <f>INDEX($B$20:$GQ$20,MATCH(18,$B$29:$GQ$29,0))</f>
        <v>1.0659502901333899</v>
      </c>
      <c r="T6">
        <f>INDEX($B$20:$GQ$20,MATCH(19,$B$29:$GQ$29,0))</f>
        <v>1.197771690132075</v>
      </c>
      <c r="U6">
        <f>INDEX($B$20:$GQ$20,MATCH(20,$B$29:$GQ$29,0))</f>
        <v>0.54096153514716538</v>
      </c>
      <c r="V6">
        <f>INDEX($B$20:$GQ$20,MATCH(21,$B$29:$GQ$29,0))</f>
        <v>2.4259016342321291</v>
      </c>
      <c r="W6">
        <f>INDEX($B$20:$GQ$20,MATCH(22,$B$29:$GQ$29,0))</f>
        <v>1.4747380592957331</v>
      </c>
      <c r="X6">
        <f>INDEX($B$20:$GQ$20,MATCH(23,$B$29:$GQ$29,0))</f>
        <v>1.0430316937120461</v>
      </c>
      <c r="Y6">
        <f>INDEX($B$20:$GQ$20,MATCH(24,$B$29:$GQ$29,0))</f>
        <v>1.825116496040077</v>
      </c>
      <c r="Z6">
        <f>INDEX($B$20:$GQ$20,MATCH(25,$B$29:$GQ$29,0))</f>
        <v>15.336852040032721</v>
      </c>
      <c r="AA6">
        <f>INDEX($B$20:$GQ$20,MATCH(26,$B$29:$GQ$29,0))</f>
        <v>2.008230112538401</v>
      </c>
      <c r="AB6">
        <f>INDEX($B$20:$GQ$20,MATCH(27,$B$29:$GQ$29,0))</f>
        <v>0.40284919669343688</v>
      </c>
      <c r="AC6">
        <f>INDEX($B$20:$GQ$20,MATCH(28,$B$29:$GQ$29,0))</f>
        <v>0.30725893510770791</v>
      </c>
      <c r="AD6">
        <f>INDEX($B$20:$GQ$20,MATCH(29,$B$29:$GQ$29,0))</f>
        <v>2.322206197622529</v>
      </c>
      <c r="AE6">
        <f>INDEX($B$20:$GQ$20,MATCH(30,$B$29:$GQ$29,0))</f>
        <v>1.354112373729319</v>
      </c>
      <c r="AF6">
        <f>INDEX($B$20:$GQ$20,MATCH(31,$B$29:$GQ$29,0))</f>
        <v>1.9323075131019409</v>
      </c>
      <c r="AG6">
        <f>INDEX($B$20:$GQ$20,MATCH(32,$B$29:$GQ$29,0))</f>
        <v>7.6360294534257216</v>
      </c>
      <c r="AH6">
        <f>INDEX($B$20:$GQ$20,MATCH(33,$B$29:$GQ$29,0))</f>
        <v>3.1233667594118399</v>
      </c>
      <c r="AI6">
        <f>INDEX($B$20:$GQ$20,MATCH(34,$B$29:$GQ$29,0))</f>
        <v>6.8439146892099583</v>
      </c>
      <c r="AJ6">
        <f>INDEX($B$20:$GQ$20,MATCH(35,$B$29:$GQ$29,0))</f>
        <v>0</v>
      </c>
      <c r="AK6">
        <f>INDEX($B$20:$GQ$20,MATCH(36,$B$29:$GQ$29,0))</f>
        <v>5.287845898683079</v>
      </c>
      <c r="AL6">
        <f>INDEX($B$20:$GQ$20,MATCH(37,$B$29:$GQ$29,0))</f>
        <v>0.67247604703384645</v>
      </c>
      <c r="AM6">
        <f>INDEX($B$20:$GQ$20,MATCH(38,$B$29:$GQ$29,0))</f>
        <v>0</v>
      </c>
      <c r="AN6">
        <f>INDEX($B$20:$GQ$20,MATCH(39,$B$29:$GQ$29,0))</f>
        <v>4.9342011601817788</v>
      </c>
      <c r="AO6">
        <f>INDEX($B$20:$GQ$20,MATCH(40,$B$29:$GQ$29,0))</f>
        <v>0.483166269382025</v>
      </c>
      <c r="AP6">
        <f>INDEX($B$20:$GQ$20,MATCH(41,$B$29:$GQ$29,0))</f>
        <v>1.8184330102829831</v>
      </c>
      <c r="AQ6">
        <f>INDEX($B$20:$GQ$20,MATCH(42,$B$29:$GQ$29,0))</f>
        <v>1.1122329020657471</v>
      </c>
      <c r="AR6">
        <f>INDEX($B$20:$GQ$20,MATCH(43,$B$29:$GQ$29,0))</f>
        <v>1.100581265198801</v>
      </c>
      <c r="AS6">
        <f>INDEX($B$20:$GQ$20,MATCH(44,$B$29:$GQ$29,0))</f>
        <v>3.9914398161799851</v>
      </c>
      <c r="AT6">
        <f>INDEX($B$20:$GQ$20,MATCH(45,$B$29:$GQ$29,0))</f>
        <v>1.174887577315928</v>
      </c>
      <c r="AU6">
        <f>INDEX($B$20:$GQ$20,MATCH(46,$B$29:$GQ$29,0))</f>
        <v>1.343058453170259</v>
      </c>
      <c r="AV6">
        <f>INDEX($B$20:$GQ$20,MATCH(47,$B$29:$GQ$29,0))</f>
        <v>0.22823615390416749</v>
      </c>
      <c r="AW6">
        <f>INDEX($B$20:$GQ$20,MATCH(48,$B$29:$GQ$29,0))</f>
        <v>0.64036778838057651</v>
      </c>
      <c r="AX6">
        <f>INDEX($B$20:$GQ$20,MATCH(49,$B$29:$GQ$29,0))</f>
        <v>0.75209138800028064</v>
      </c>
      <c r="AY6">
        <f>INDEX($B$20:$GQ$20,MATCH(50,$B$29:$GQ$29,0))</f>
        <v>1.996514577886723</v>
      </c>
      <c r="AZ6">
        <f>INDEX($B$20:$GQ$20,MATCH(51,$B$29:$GQ$29,0))</f>
        <v>3.251753220837807</v>
      </c>
      <c r="BA6">
        <f>INDEX($B$20:$GQ$20,MATCH(52,$B$29:$GQ$29,0))</f>
        <v>0.4013543486463706</v>
      </c>
      <c r="BB6">
        <f>INDEX($B$20:$GQ$20,MATCH(53,$B$29:$GQ$29,0))</f>
        <v>2.8168672794266061</v>
      </c>
      <c r="BC6">
        <f>INDEX($B$20:$GQ$20,MATCH(54,$B$29:$GQ$29,0))</f>
        <v>1.303972570158674</v>
      </c>
      <c r="BD6">
        <f>INDEX($B$20:$GQ$20,MATCH(55,$B$29:$GQ$29,0))</f>
        <v>0.1800503056357082</v>
      </c>
      <c r="BE6">
        <f>INDEX($B$20:$GQ$20,MATCH(56,$B$29:$GQ$29,0))</f>
        <v>0.69893637646763307</v>
      </c>
      <c r="BF6">
        <f>INDEX($B$20:$GQ$20,MATCH(57,$B$29:$GQ$29,0))</f>
        <v>0.44196307186441508</v>
      </c>
      <c r="BG6">
        <f>INDEX($B$20:$GQ$20,MATCH(58,$B$29:$GQ$29,0))</f>
        <v>3.002672096534309</v>
      </c>
      <c r="BH6">
        <f>INDEX($B$20:$GQ$20,MATCH(59,$B$29:$GQ$29,0))</f>
        <v>6.6101057484039263</v>
      </c>
      <c r="BI6">
        <f>INDEX($B$20:$GQ$20,MATCH(60,$B$29:$GQ$29,0))</f>
        <v>0</v>
      </c>
      <c r="BJ6">
        <f>INDEX($B$20:$GQ$20,MATCH(61,$B$29:$GQ$29,0))</f>
        <v>0.2786980407048929</v>
      </c>
      <c r="BK6">
        <f>INDEX($B$20:$GQ$20,MATCH(62,$B$29:$GQ$29,0))</f>
        <v>1.554249277672989</v>
      </c>
      <c r="BL6">
        <f>INDEX($B$20:$GQ$20,MATCH(63,$B$29:$GQ$29,0))</f>
        <v>3.1825966752526011</v>
      </c>
      <c r="BM6">
        <f>INDEX($B$20:$GQ$20,MATCH(64,$B$29:$GQ$29,0))</f>
        <v>0</v>
      </c>
      <c r="BN6">
        <f>INDEX($B$20:$GQ$20,MATCH(65,$B$29:$GQ$29,0))</f>
        <v>1.514071695889565</v>
      </c>
      <c r="BO6">
        <f>INDEX($B$20:$GQ$20,MATCH(66,$B$29:$GQ$29,0))</f>
        <v>0.75282907953858191</v>
      </c>
      <c r="BP6">
        <f>INDEX($B$20:$GQ$20,MATCH(67,$B$29:$GQ$29,0))</f>
        <v>0.76051468571737468</v>
      </c>
      <c r="BQ6">
        <f>INDEX($B$20:$GQ$20,MATCH(68,$B$29:$GQ$29,0))</f>
        <v>0</v>
      </c>
      <c r="BR6">
        <f>INDEX($B$20:$GQ$20,MATCH(69,$B$29:$GQ$29,0))</f>
        <v>0.72506626635504445</v>
      </c>
      <c r="BS6">
        <f>INDEX($B$20:$GQ$20,MATCH(70,$B$29:$GQ$29,0))</f>
        <v>1.220072368650204</v>
      </c>
      <c r="BT6">
        <f>INDEX($B$20:$GQ$20,MATCH(71,$B$29:$GQ$29,0))</f>
        <v>2.0427156840695702</v>
      </c>
      <c r="BU6">
        <f>INDEX($B$20:$GQ$20,MATCH(72,$B$29:$GQ$29,0))</f>
        <v>0</v>
      </c>
      <c r="BV6">
        <f>INDEX($B$20:$GQ$20,MATCH(73,$B$29:$GQ$29,0))</f>
        <v>17.661356020826979</v>
      </c>
      <c r="BW6">
        <f>INDEX($B$20:$GQ$20,MATCH(74,$B$29:$GQ$29,0))</f>
        <v>0.39344588118482698</v>
      </c>
      <c r="BX6">
        <f>INDEX($B$20:$GQ$20,MATCH(75,$B$29:$GQ$29,0))</f>
        <v>2.1375514147509431</v>
      </c>
      <c r="BY6">
        <f>INDEX($B$20:$GQ$20,MATCH(76,$B$29:$GQ$29,0))</f>
        <v>0</v>
      </c>
      <c r="BZ6">
        <f>INDEX($B$20:$GQ$20,MATCH(77,$B$29:$GQ$29,0))</f>
        <v>3.022876011165367</v>
      </c>
      <c r="CA6">
        <f>INDEX($B$20:$GQ$20,MATCH(78,$B$29:$GQ$29,0))</f>
        <v>0</v>
      </c>
      <c r="CB6">
        <f>INDEX($B$20:$GQ$20,MATCH(79,$B$29:$GQ$29,0))</f>
        <v>0</v>
      </c>
      <c r="CC6">
        <f>INDEX($B$20:$GQ$20,MATCH(80,$B$29:$GQ$29,0))</f>
        <v>17.36491439472864</v>
      </c>
      <c r="CD6">
        <f>INDEX($B$20:$GQ$20,MATCH(81,$B$29:$GQ$29,0))</f>
        <v>0.44991344517081161</v>
      </c>
      <c r="CE6">
        <f>INDEX($B$20:$GQ$20,MATCH(82,$B$29:$GQ$29,0))</f>
        <v>2.5188248203872061</v>
      </c>
      <c r="CF6">
        <f>INDEX($B$20:$GQ$20,MATCH(83,$B$29:$GQ$29,0))</f>
        <v>0.41382942929847771</v>
      </c>
      <c r="CG6">
        <f>INDEX($B$20:$GQ$20,MATCH(84,$B$29:$GQ$29,0))</f>
        <v>0.51713631238378632</v>
      </c>
      <c r="CH6">
        <f>INDEX($B$20:$GQ$20,MATCH(85,$B$29:$GQ$29,0))</f>
        <v>0.65127148564731407</v>
      </c>
      <c r="CI6">
        <f>INDEX($B$20:$GQ$20,MATCH(86,$B$29:$GQ$29,0))</f>
        <v>1.710733694464821</v>
      </c>
      <c r="CJ6">
        <f>INDEX($B$20:$GQ$20,MATCH(87,$B$29:$GQ$29,0))</f>
        <v>5.3948453419904201</v>
      </c>
      <c r="CK6">
        <f>INDEX($B$20:$GQ$20,MATCH(88,$B$29:$GQ$29,0))</f>
        <v>0.3536094448440964</v>
      </c>
      <c r="CL6">
        <f>INDEX($B$20:$GQ$20,MATCH(89,$B$29:$GQ$29,0))</f>
        <v>0.6668641673189144</v>
      </c>
      <c r="CM6">
        <f>INDEX($B$20:$GQ$20,MATCH(90,$B$29:$GQ$29,0))</f>
        <v>0</v>
      </c>
      <c r="CN6">
        <f>INDEX($B$20:$GQ$20,MATCH(91,$B$29:$GQ$29,0))</f>
        <v>0.56770160052620777</v>
      </c>
      <c r="CO6">
        <f>INDEX($B$20:$GQ$20,MATCH(92,$B$29:$GQ$29,0))</f>
        <v>1.494940622101427</v>
      </c>
      <c r="CP6">
        <f>INDEX($B$20:$GQ$20,MATCH(93,$B$29:$GQ$29,0))</f>
        <v>2.147527879616125</v>
      </c>
      <c r="CQ6">
        <f>INDEX($B$20:$GQ$20,MATCH(94,$B$29:$GQ$29,0))</f>
        <v>1.3456359570604399</v>
      </c>
      <c r="CR6">
        <f>INDEX($B$20:$GQ$20,MATCH(95,$B$29:$GQ$29,0))</f>
        <v>0.97222223066049773</v>
      </c>
      <c r="CS6">
        <f>INDEX($B$20:$GQ$20,MATCH(96,$B$29:$GQ$29,0))</f>
        <v>0.63492668144200048</v>
      </c>
      <c r="CT6">
        <f>INDEX($B$20:$GQ$20,MATCH(97,$B$29:$GQ$29,0))</f>
        <v>0.37298695338110438</v>
      </c>
      <c r="CU6">
        <f>INDEX($B$20:$GQ$20,MATCH(98,$B$29:$GQ$29,0))</f>
        <v>1.1557025254736</v>
      </c>
      <c r="CV6">
        <f>INDEX($B$20:$GQ$20,MATCH(99,$B$29:$GQ$29,0))</f>
        <v>0.69747292226509705</v>
      </c>
      <c r="CW6">
        <f>INDEX($B$20:$GQ$20,MATCH(100,$B$29:$GQ$29,0))</f>
        <v>3.104340098076126</v>
      </c>
      <c r="CX6">
        <f>INDEX($B$20:$GQ$20,MATCH(101,$B$29:$GQ$29,0))</f>
        <v>0.52666446874492701</v>
      </c>
      <c r="CY6">
        <f>INDEX($B$20:$GQ$20,MATCH(102,$B$29:$GQ$29,0))</f>
        <v>0.38817777479716747</v>
      </c>
      <c r="CZ6">
        <f>INDEX($B$20:$GQ$20,MATCH(103,$B$29:$GQ$29,0))</f>
        <v>0.30936892188097531</v>
      </c>
      <c r="DA6">
        <f>INDEX($B$20:$GQ$20,MATCH(104,$B$29:$GQ$29,0))</f>
        <v>2.6331825236068398</v>
      </c>
      <c r="DB6">
        <f>INDEX($B$20:$GQ$20,MATCH(105,$B$29:$GQ$29,0))</f>
        <v>0.6100313132530798</v>
      </c>
      <c r="DC6">
        <f>INDEX($B$20:$GQ$20,MATCH(106,$B$29:$GQ$29,0))</f>
        <v>0.52523221997183578</v>
      </c>
      <c r="DD6">
        <f>INDEX($B$20:$GQ$20,MATCH(107,$B$29:$GQ$29,0))</f>
        <v>0.48569711828270168</v>
      </c>
      <c r="DE6">
        <f>INDEX($B$20:$GQ$20,MATCH(108,$B$29:$GQ$29,0))</f>
        <v>0.31745040003312369</v>
      </c>
      <c r="DF6">
        <f>INDEX($B$20:$GQ$20,MATCH(109,$B$29:$GQ$29,0))</f>
        <v>0.54185904845954946</v>
      </c>
      <c r="DG6">
        <f>INDEX($B$20:$GQ$20,MATCH(110,$B$29:$GQ$29,0))</f>
        <v>0</v>
      </c>
      <c r="DH6">
        <f>INDEX($B$20:$GQ$20,MATCH(111,$B$29:$GQ$29,0))</f>
        <v>2.393205806679076</v>
      </c>
      <c r="DI6">
        <f>INDEX($B$20:$GQ$20,MATCH(112,$B$29:$GQ$29,0))</f>
        <v>0.34056405423232189</v>
      </c>
      <c r="DJ6">
        <f>INDEX($B$20:$GQ$20,MATCH(113,$B$29:$GQ$29,0))</f>
        <v>3.3937992606076128</v>
      </c>
      <c r="DK6">
        <f>INDEX($B$20:$GQ$20,MATCH(114,$B$29:$GQ$29,0))</f>
        <v>1.2313160063150059</v>
      </c>
      <c r="DL6">
        <f>INDEX($B$20:$GQ$20,MATCH(115,$B$29:$GQ$29,0))</f>
        <v>4.4207058916139559</v>
      </c>
      <c r="DM6">
        <f>INDEX($B$20:$GQ$20,MATCH(116,$B$29:$GQ$29,0))</f>
        <v>2.7117500546781179</v>
      </c>
      <c r="DN6">
        <f>INDEX($B$20:$GQ$20,MATCH(117,$B$29:$GQ$29,0))</f>
        <v>0.39849049074825271</v>
      </c>
      <c r="DO6">
        <f>INDEX($B$20:$GQ$20,MATCH(118,$B$29:$GQ$29,0))</f>
        <v>0.34042942495265283</v>
      </c>
      <c r="DP6">
        <f>INDEX($B$20:$GQ$20,MATCH(119,$B$29:$GQ$29,0))</f>
        <v>3.7511920674550008</v>
      </c>
      <c r="DQ6">
        <f>INDEX($B$20:$GQ$20,MATCH(120,$B$29:$GQ$29,0))</f>
        <v>7.2489502879189862</v>
      </c>
      <c r="DR6">
        <f>INDEX($B$20:$GQ$20,MATCH(121,$B$29:$GQ$29,0))</f>
        <v>1.774172529654354</v>
      </c>
      <c r="DS6">
        <f>INDEX($B$20:$GQ$20,MATCH(122,$B$29:$GQ$29,0))</f>
        <v>0</v>
      </c>
      <c r="DT6">
        <f>INDEX($B$20:$GQ$20,MATCH(123,$B$29:$GQ$29,0))</f>
        <v>0.47327815349138319</v>
      </c>
      <c r="DU6">
        <f>INDEX($B$20:$GQ$20,MATCH(124,$B$29:$GQ$29,0))</f>
        <v>2.3436096382582332</v>
      </c>
      <c r="DV6">
        <f>INDEX($B$20:$GQ$20,MATCH(125,$B$29:$GQ$29,0))</f>
        <v>0.55429855863754129</v>
      </c>
      <c r="DW6">
        <f>INDEX($B$20:$GQ$20,MATCH(126,$B$29:$GQ$29,0))</f>
        <v>0.41001132940882701</v>
      </c>
      <c r="DX6">
        <f>INDEX($B$20:$GQ$20,MATCH(127,$B$29:$GQ$29,0))</f>
        <v>2.7441432265503369</v>
      </c>
      <c r="DY6">
        <f>INDEX($B$20:$GQ$20,MATCH(128,$B$29:$GQ$29,0))</f>
        <v>0.23795684119677979</v>
      </c>
      <c r="DZ6">
        <f>INDEX($B$20:$GQ$20,MATCH(129,$B$29:$GQ$29,0))</f>
        <v>0</v>
      </c>
      <c r="EA6">
        <f>INDEX($B$20:$GQ$20,MATCH(130,$B$29:$GQ$29,0))</f>
        <v>0</v>
      </c>
      <c r="EB6">
        <f>INDEX($B$20:$GQ$20,MATCH(131,$B$29:$GQ$29,0))</f>
        <v>0.1105475404301566</v>
      </c>
      <c r="EC6">
        <f>INDEX($B$20:$GQ$20,MATCH(132,$B$29:$GQ$29,0))</f>
        <v>2.038182620051272</v>
      </c>
      <c r="ED6">
        <f>INDEX($B$20:$GQ$20,MATCH(133,$B$29:$GQ$29,0))</f>
        <v>0</v>
      </c>
      <c r="EE6">
        <f>INDEX($B$20:$GQ$20,MATCH(134,$B$29:$GQ$29,0))</f>
        <v>4.7114101955415908</v>
      </c>
      <c r="EF6">
        <f>INDEX($B$20:$GQ$20,MATCH(135,$B$29:$GQ$29,0))</f>
        <v>42.037125213480657</v>
      </c>
      <c r="EG6">
        <f>INDEX($B$20:$GQ$20,MATCH(136,$B$29:$GQ$29,0))</f>
        <v>3.0962394199773202</v>
      </c>
      <c r="EH6">
        <f>INDEX($B$20:$GQ$20,MATCH(137,$B$29:$GQ$29,0))</f>
        <v>65.415547020717426</v>
      </c>
      <c r="EI6">
        <f>INDEX($B$20:$GQ$20,MATCH(138,$B$29:$GQ$29,0))</f>
        <v>0</v>
      </c>
      <c r="EJ6">
        <f>INDEX($B$20:$GQ$20,MATCH(139,$B$29:$GQ$29,0))</f>
        <v>0</v>
      </c>
      <c r="EK6">
        <f>INDEX($B$20:$GQ$20,MATCH(140,$B$29:$GQ$29,0))</f>
        <v>1.1845188976357639</v>
      </c>
      <c r="EL6">
        <f>INDEX($B$20:$GQ$20,MATCH(141,$B$29:$GQ$29,0))</f>
        <v>0</v>
      </c>
      <c r="EM6">
        <f>INDEX($B$20:$GQ$20,MATCH(142,$B$29:$GQ$29,0))</f>
        <v>54.848212540771073</v>
      </c>
      <c r="EN6">
        <f>INDEX($B$20:$GQ$20,MATCH(143,$B$29:$GQ$29,0))</f>
        <v>15.76476134675433</v>
      </c>
      <c r="EO6">
        <f>INDEX($B$20:$GQ$20,MATCH(144,$B$29:$GQ$29,0))</f>
        <v>0</v>
      </c>
      <c r="EP6">
        <f>INDEX($B$20:$GQ$20,MATCH(145,$B$29:$GQ$29,0))</f>
        <v>1.538190877467849</v>
      </c>
      <c r="EQ6">
        <f>INDEX($B$20:$GQ$20,MATCH(146,$B$29:$GQ$29,0))</f>
        <v>20.637865783637899</v>
      </c>
      <c r="ER6">
        <f>INDEX($B$20:$GQ$20,MATCH(147,$B$29:$GQ$29,0))</f>
        <v>0</v>
      </c>
      <c r="ES6">
        <f>INDEX($B$20:$GQ$20,MATCH(148,$B$29:$GQ$29,0))</f>
        <v>161.77992884990701</v>
      </c>
      <c r="ET6">
        <f>INDEX($B$20:$GQ$20,MATCH(149,$B$29:$GQ$29,0))</f>
        <v>3.3652562087929903E-2</v>
      </c>
      <c r="EU6">
        <f>INDEX($B$20:$GQ$20,MATCH(150,$B$29:$GQ$29,0))</f>
        <v>6251.8225697222306</v>
      </c>
      <c r="EV6">
        <f>INDEX($B$20:$GQ$20,MATCH(151,$B$29:$GQ$29,0))</f>
        <v>16.938798562697229</v>
      </c>
      <c r="EW6">
        <f>INDEX($B$20:$GQ$20,MATCH(152,$B$29:$GQ$29,0))</f>
        <v>0.48370029265544012</v>
      </c>
      <c r="EX6">
        <f>INDEX($B$20:$GQ$20,MATCH(153,$B$29:$GQ$29,0))</f>
        <v>79.897573465655256</v>
      </c>
      <c r="EY6">
        <f>INDEX($B$20:$GQ$20,MATCH(154,$B$29:$GQ$29,0))</f>
        <v>1.161243305853928</v>
      </c>
      <c r="EZ6">
        <f>INDEX($B$20:$GQ$20,MATCH(155,$B$29:$GQ$29,0))</f>
        <v>0.35210219619636701</v>
      </c>
      <c r="FA6">
        <f>INDEX($B$20:$GQ$20,MATCH(156,$B$29:$GQ$29,0))</f>
        <v>9.7272572933214949</v>
      </c>
      <c r="FB6">
        <f>INDEX($B$20:$GQ$20,MATCH(157,$B$29:$GQ$29,0))</f>
        <v>5.7925742024928004</v>
      </c>
      <c r="FC6">
        <f>INDEX($B$20:$GQ$20,MATCH(158,$B$29:$GQ$29,0))</f>
        <v>1.31003467206591</v>
      </c>
      <c r="FD6">
        <f>INDEX($B$20:$GQ$20,MATCH(159,$B$29:$GQ$29,0))</f>
        <v>8.4839129375152211</v>
      </c>
      <c r="FE6">
        <f>INDEX($B$20:$GQ$20,MATCH(160,$B$29:$GQ$29,0))</f>
        <v>0</v>
      </c>
      <c r="FF6">
        <f>INDEX($B$20:$GQ$20,MATCH(161,$B$29:$GQ$29,0))</f>
        <v>0</v>
      </c>
      <c r="FG6">
        <f>INDEX($B$20:$GQ$20,MATCH(162,$B$29:$GQ$29,0))</f>
        <v>0</v>
      </c>
      <c r="FH6">
        <f>INDEX($B$20:$GQ$20,MATCH(163,$B$29:$GQ$29,0))</f>
        <v>0</v>
      </c>
      <c r="FI6">
        <f>INDEX($B$20:$GQ$20,MATCH(164,$B$29:$GQ$29,0))</f>
        <v>0</v>
      </c>
      <c r="FJ6">
        <f>INDEX($B$20:$GQ$20,MATCH(165,$B$29:$GQ$29,0))</f>
        <v>0.56776089547958908</v>
      </c>
      <c r="FK6">
        <f>INDEX($B$20:$GQ$20,MATCH(166,$B$29:$GQ$29,0))</f>
        <v>0</v>
      </c>
      <c r="FL6">
        <f>INDEX($B$20:$GQ$20,MATCH(167,$B$29:$GQ$29,0))</f>
        <v>1.0784567764884561</v>
      </c>
      <c r="FM6">
        <f>INDEX($B$20:$GQ$20,MATCH(168,$B$29:$GQ$29,0))</f>
        <v>0</v>
      </c>
      <c r="FN6">
        <f>INDEX($B$20:$GQ$20,MATCH(169,$B$29:$GQ$29,0))</f>
        <v>0</v>
      </c>
      <c r="FO6">
        <f>INDEX($B$20:$GQ$20,MATCH(170,$B$29:$GQ$29,0))</f>
        <v>0.70318336229058109</v>
      </c>
      <c r="FP6">
        <f>INDEX($B$20:$GQ$20,MATCH(171,$B$29:$GQ$29,0))</f>
        <v>0</v>
      </c>
      <c r="FQ6">
        <f>INDEX($B$20:$GQ$20,MATCH(172,$B$29:$GQ$29,0))</f>
        <v>0.45937961353454138</v>
      </c>
      <c r="FR6">
        <f>INDEX($B$20:$GQ$20,MATCH(173,$B$29:$GQ$29,0))</f>
        <v>0.42831510183867039</v>
      </c>
      <c r="FS6">
        <f>INDEX($B$20:$GQ$20,MATCH(174,$B$29:$GQ$29,0))</f>
        <v>0</v>
      </c>
      <c r="FT6">
        <f>INDEX($B$20:$GQ$20,MATCH(175,$B$29:$GQ$29,0))</f>
        <v>0</v>
      </c>
      <c r="FU6">
        <f>INDEX($B$20:$GQ$20,MATCH(176,$B$29:$GQ$29,0))</f>
        <v>18.41364755043449</v>
      </c>
      <c r="FV6">
        <f>INDEX($B$20:$GQ$20,MATCH(177,$B$29:$GQ$29,0))</f>
        <v>0</v>
      </c>
      <c r="FW6">
        <f>INDEX($B$20:$GQ$20,MATCH(178,$B$29:$GQ$29,0))</f>
        <v>3.8845644616039898</v>
      </c>
      <c r="FX6">
        <f>INDEX($B$20:$GQ$20,MATCH(179,$B$29:$GQ$29,0))</f>
        <v>0</v>
      </c>
      <c r="FY6">
        <f>INDEX($B$20:$GQ$20,MATCH(180,$B$29:$GQ$29,0))</f>
        <v>0</v>
      </c>
      <c r="FZ6">
        <f>INDEX($B$20:$GQ$20,MATCH(181,$B$29:$GQ$29,0))</f>
        <v>4.6227362177315277</v>
      </c>
      <c r="GA6">
        <f>INDEX($B$20:$GQ$20,MATCH(182,$B$29:$GQ$29,0))</f>
        <v>0</v>
      </c>
      <c r="GB6">
        <f>INDEX($B$20:$GQ$20,MATCH(183,$B$29:$GQ$29,0))</f>
        <v>5.0580394140722582</v>
      </c>
      <c r="GC6">
        <f>INDEX($B$20:$GQ$20,MATCH(184,$B$29:$GQ$29,0))</f>
        <v>0</v>
      </c>
      <c r="GD6">
        <f>INDEX($B$20:$GQ$20,MATCH(185,$B$29:$GQ$29,0))</f>
        <v>0</v>
      </c>
      <c r="GE6">
        <f>INDEX($B$20:$GQ$20,MATCH(186,$B$29:$GQ$29,0))</f>
        <v>0</v>
      </c>
      <c r="GF6">
        <f>INDEX($B$20:$GQ$20,MATCH(187,$B$29:$GQ$29,0))</f>
        <v>0</v>
      </c>
      <c r="GG6">
        <f>INDEX($B$20:$GQ$20,MATCH(188,$B$29:$GQ$29,0))</f>
        <v>0</v>
      </c>
      <c r="GH6">
        <f>INDEX($B$20:$GQ$20,MATCH(189,$B$29:$GQ$29,0))</f>
        <v>0</v>
      </c>
      <c r="GI6">
        <f>INDEX($B$20:$GQ$20,MATCH(190,$B$29:$GQ$29,0))</f>
        <v>0</v>
      </c>
      <c r="GJ6">
        <f>INDEX($B$20:$GQ$20,MATCH(191,$B$29:$GQ$29,0))</f>
        <v>0</v>
      </c>
      <c r="GK6">
        <f>INDEX($B$20:$GQ$20,MATCH(192,$B$29:$GQ$29,0))</f>
        <v>0</v>
      </c>
      <c r="GL6">
        <f>INDEX($B$20:$GQ$20,MATCH(193,$B$29:$GQ$29,0))</f>
        <v>0</v>
      </c>
      <c r="GM6">
        <f>INDEX($B$20:$GQ$20,MATCH(194,$B$29:$GQ$29,0))</f>
        <v>0</v>
      </c>
      <c r="GN6">
        <f>INDEX($B$20:$GQ$20,MATCH(195,$B$29:$GQ$29,0))</f>
        <v>0</v>
      </c>
      <c r="GO6">
        <f>INDEX($B$20:$GQ$20,MATCH(196,$B$29:$GQ$29,0))</f>
        <v>0</v>
      </c>
      <c r="GP6">
        <f>INDEX($B$20:$GQ$20,MATCH(197,$B$29:$GQ$29,0))</f>
        <v>0.26203660445500088</v>
      </c>
      <c r="GQ6">
        <f>INDEX($B$20:$GQ$20,MATCH(198,$B$29:$GQ$29,0))</f>
        <v>0</v>
      </c>
      <c r="GR6">
        <f>INDEX($GR$20:$HC$20,MATCH(1,$GR$30:$HC$30,0))</f>
        <v>1.557315570351864</v>
      </c>
      <c r="GS6">
        <f>INDEX($GR$20:$HC$20,MATCH(2,$GR$30:$HC$30,0))</f>
        <v>0.63828803042539317</v>
      </c>
      <c r="GT6">
        <f>INDEX($GR$20:$HC$20,MATCH(3,$GR$30:$HC$30,0))</f>
        <v>1.1823408440769529</v>
      </c>
      <c r="GU6">
        <f>INDEX($GR$20:$HC$20,MATCH(4,$GR$30:$HC$30,0))</f>
        <v>1.0311770961634741</v>
      </c>
      <c r="GV6">
        <f>INDEX($GR$20:$HC$20,MATCH(5,$GR$30:$HC$30,0))</f>
        <v>1.647506991766005</v>
      </c>
      <c r="GW6">
        <f>INDEX($GR$20:$HC$20,MATCH(6,$GR$30:$HC$30,0))</f>
        <v>1.700607954490807</v>
      </c>
      <c r="GX6">
        <f>INDEX($GR$20:$HC$20,MATCH(7,$GR$30:$HC$30,0))</f>
        <v>1.9845529561807129</v>
      </c>
      <c r="GY6">
        <f>INDEX($GR$20:$HC$20,MATCH(8,$GR$30:$HC$30,0))</f>
        <v>2.9175857352948671</v>
      </c>
      <c r="GZ6">
        <f>INDEX($GR$20:$HC$20,MATCH(9,$GR$30:$HC$30,0))</f>
        <v>0</v>
      </c>
      <c r="HA6">
        <f>INDEX($GR$20:$HC$20,MATCH(10,$GR$30:$HC$30,0))</f>
        <v>2.4861932020589999</v>
      </c>
      <c r="HB6">
        <f>INDEX($GR$20:$HC$20,MATCH(11,$GR$30:$HC$30,0))</f>
        <v>2.4733371854267472</v>
      </c>
      <c r="HC6">
        <f>INDEX($GR$20:$HC$20,MATCH(12,$GR$30:$HC$30,0))</f>
        <v>5.9172192786255184</v>
      </c>
    </row>
    <row r="7" spans="1:211" x14ac:dyDescent="0.45">
      <c r="A7" s="1" t="s">
        <v>6</v>
      </c>
      <c r="B7">
        <f>INDEX($B$21:$GQ$21,MATCH(1,$B$29:$GQ$29,0))</f>
        <v>0</v>
      </c>
      <c r="C7">
        <f>INDEX($B$21:$GQ$21,MATCH(2,$B$29:$GQ$29,0))</f>
        <v>1267.5185599075201</v>
      </c>
      <c r="D7">
        <f>INDEX($B$21:$GQ$21,MATCH(3,$B$29:$GQ$29,0))</f>
        <v>6643.3333910300007</v>
      </c>
      <c r="E7">
        <f>INDEX($B$21:$GQ$21,MATCH(4,$B$29:$GQ$29,0))</f>
        <v>11484.836648500001</v>
      </c>
      <c r="F7">
        <f>INDEX($B$21:$GQ$21,MATCH(5,$B$29:$GQ$29,0))</f>
        <v>1545.727142509</v>
      </c>
      <c r="G7">
        <f>INDEX($B$21:$GQ$21,MATCH(6,$B$29:$GQ$29,0))</f>
        <v>2378.0362296804178</v>
      </c>
      <c r="H7">
        <f>INDEX($B$21:$GQ$21,MATCH(7,$B$29:$GQ$29,0))</f>
        <v>29014.020956100001</v>
      </c>
      <c r="I7">
        <f>INDEX($B$21:$GQ$21,MATCH(8,$B$29:$GQ$29,0))</f>
        <v>262.48153199278192</v>
      </c>
      <c r="J7">
        <f>INDEX($B$21:$GQ$21,MATCH(9,$B$29:$GQ$29,0))</f>
        <v>2481.46822075</v>
      </c>
      <c r="K7">
        <f>INDEX($B$21:$GQ$21,MATCH(10,$B$29:$GQ$29,0))</f>
        <v>7198.1551780506543</v>
      </c>
      <c r="L7">
        <f>INDEX($B$21:$GQ$21,MATCH(11,$B$29:$GQ$29,0))</f>
        <v>1024.3292228667999</v>
      </c>
      <c r="M7">
        <f>INDEX($B$21:$GQ$21,MATCH(12,$B$29:$GQ$29,0))</f>
        <v>0</v>
      </c>
      <c r="N7">
        <f>INDEX($B$21:$GQ$21,MATCH(13,$B$29:$GQ$29,0))</f>
        <v>6666.4130958942833</v>
      </c>
      <c r="O7">
        <f>INDEX($B$21:$GQ$21,MATCH(14,$B$29:$GQ$29,0))</f>
        <v>10896.3904117</v>
      </c>
      <c r="P7">
        <f>INDEX($B$21:$GQ$21,MATCH(15,$B$29:$GQ$29,0))</f>
        <v>2166.4317380399998</v>
      </c>
      <c r="Q7">
        <f>INDEX($B$21:$GQ$21,MATCH(16,$B$29:$GQ$29,0))</f>
        <v>1806.0386160099999</v>
      </c>
      <c r="R7">
        <f>INDEX($B$21:$GQ$21,MATCH(17,$B$29:$GQ$29,0))</f>
        <v>1038.4943145499999</v>
      </c>
      <c r="S7">
        <f>INDEX($B$21:$GQ$21,MATCH(18,$B$29:$GQ$29,0))</f>
        <v>8077.9817955548197</v>
      </c>
      <c r="T7">
        <f>INDEX($B$21:$GQ$21,MATCH(19,$B$29:$GQ$29,0))</f>
        <v>10799.400247</v>
      </c>
      <c r="U7">
        <f>INDEX($B$21:$GQ$21,MATCH(20,$B$29:$GQ$29,0))</f>
        <v>5070.0672428300004</v>
      </c>
      <c r="V7">
        <f>INDEX($B$21:$GQ$21,MATCH(21,$B$29:$GQ$29,0))</f>
        <v>6719.8629984099998</v>
      </c>
      <c r="W7">
        <f>INDEX($B$21:$GQ$21,MATCH(22,$B$29:$GQ$29,0))</f>
        <v>1038.6668066899999</v>
      </c>
      <c r="X7">
        <f>INDEX($B$21:$GQ$21,MATCH(23,$B$29:$GQ$29,0))</f>
        <v>1737.93637934</v>
      </c>
      <c r="Y7">
        <f>INDEX($B$21:$GQ$21,MATCH(24,$B$29:$GQ$29,0))</f>
        <v>1317.5141081675199</v>
      </c>
      <c r="Z7">
        <f>INDEX($B$21:$GQ$21,MATCH(25,$B$29:$GQ$29,0))</f>
        <v>324.71811889076042</v>
      </c>
      <c r="AA7">
        <f>INDEX($B$21:$GQ$21,MATCH(26,$B$29:$GQ$29,0))</f>
        <v>892.77666270999998</v>
      </c>
      <c r="AB7">
        <f>INDEX($B$21:$GQ$21,MATCH(27,$B$29:$GQ$29,0))</f>
        <v>2604.55483714</v>
      </c>
      <c r="AC7">
        <f>INDEX($B$21:$GQ$21,MATCH(28,$B$29:$GQ$29,0))</f>
        <v>1145.74717822</v>
      </c>
      <c r="AD7">
        <f>INDEX($B$21:$GQ$21,MATCH(29,$B$29:$GQ$29,0))</f>
        <v>0</v>
      </c>
      <c r="AE7">
        <f>INDEX($B$21:$GQ$21,MATCH(30,$B$29:$GQ$29,0))</f>
        <v>5191.81852316</v>
      </c>
      <c r="AF7">
        <f>INDEX($B$21:$GQ$21,MATCH(31,$B$29:$GQ$29,0))</f>
        <v>1549.8190821000001</v>
      </c>
      <c r="AG7">
        <f>INDEX($B$21:$GQ$21,MATCH(32,$B$29:$GQ$29,0))</f>
        <v>134.96855356699999</v>
      </c>
      <c r="AH7">
        <f>INDEX($B$21:$GQ$21,MATCH(33,$B$29:$GQ$29,0))</f>
        <v>37.6718724459</v>
      </c>
      <c r="AI7">
        <f>INDEX($B$21:$GQ$21,MATCH(34,$B$29:$GQ$29,0))</f>
        <v>791.25578928899995</v>
      </c>
      <c r="AJ7">
        <f>INDEX($B$21:$GQ$21,MATCH(35,$B$29:$GQ$29,0))</f>
        <v>0</v>
      </c>
      <c r="AK7">
        <f>INDEX($B$21:$GQ$21,MATCH(36,$B$29:$GQ$29,0))</f>
        <v>895.25021162600001</v>
      </c>
      <c r="AL7">
        <f>INDEX($B$21:$GQ$21,MATCH(37,$B$29:$GQ$29,0))</f>
        <v>854.20888969679993</v>
      </c>
      <c r="AM7">
        <f>INDEX($B$21:$GQ$21,MATCH(38,$B$29:$GQ$29,0))</f>
        <v>0</v>
      </c>
      <c r="AN7">
        <f>INDEX($B$21:$GQ$21,MATCH(39,$B$29:$GQ$29,0))</f>
        <v>92.726657253900001</v>
      </c>
      <c r="AO7">
        <f>INDEX($B$21:$GQ$21,MATCH(40,$B$29:$GQ$29,0))</f>
        <v>10172.62054431125</v>
      </c>
      <c r="AP7">
        <f>INDEX($B$21:$GQ$21,MATCH(41,$B$29:$GQ$29,0))</f>
        <v>243.82395424985501</v>
      </c>
      <c r="AQ7">
        <f>INDEX($B$21:$GQ$21,MATCH(42,$B$29:$GQ$29,0))</f>
        <v>95.863337095600002</v>
      </c>
      <c r="AR7">
        <f>INDEX($B$21:$GQ$21,MATCH(43,$B$29:$GQ$29,0))</f>
        <v>3107.3829579702092</v>
      </c>
      <c r="AS7">
        <f>INDEX($B$21:$GQ$21,MATCH(44,$B$29:$GQ$29,0))</f>
        <v>20.421948832948161</v>
      </c>
      <c r="AT7">
        <f>INDEX($B$21:$GQ$21,MATCH(45,$B$29:$GQ$29,0))</f>
        <v>2010.42848448</v>
      </c>
      <c r="AU7">
        <f>INDEX($B$21:$GQ$21,MATCH(46,$B$29:$GQ$29,0))</f>
        <v>1766.04037623</v>
      </c>
      <c r="AV7">
        <f>INDEX($B$21:$GQ$21,MATCH(47,$B$29:$GQ$29,0))</f>
        <v>1220.2376179299999</v>
      </c>
      <c r="AW7">
        <f>INDEX($B$21:$GQ$21,MATCH(48,$B$29:$GQ$29,0))</f>
        <v>0</v>
      </c>
      <c r="AX7">
        <f>INDEX($B$21:$GQ$21,MATCH(49,$B$29:$GQ$29,0))</f>
        <v>2577.2612739800002</v>
      </c>
      <c r="AY7">
        <f>INDEX($B$21:$GQ$21,MATCH(50,$B$29:$GQ$29,0))</f>
        <v>1803.7615754999999</v>
      </c>
      <c r="AZ7">
        <f>INDEX($B$21:$GQ$21,MATCH(51,$B$29:$GQ$29,0))</f>
        <v>393.41683792647649</v>
      </c>
      <c r="BA7">
        <f>INDEX($B$21:$GQ$21,MATCH(52,$B$29:$GQ$29,0))</f>
        <v>652.78120585600004</v>
      </c>
      <c r="BB7">
        <f>INDEX($B$21:$GQ$21,MATCH(53,$B$29:$GQ$29,0))</f>
        <v>627.28953437057316</v>
      </c>
      <c r="BC7">
        <f>INDEX($B$21:$GQ$21,MATCH(54,$B$29:$GQ$29,0))</f>
        <v>596.45047547599995</v>
      </c>
      <c r="BD7">
        <f>INDEX($B$21:$GQ$21,MATCH(55,$B$29:$GQ$29,0))</f>
        <v>4669.9064481400001</v>
      </c>
      <c r="BE7">
        <f>INDEX($B$21:$GQ$21,MATCH(56,$B$29:$GQ$29,0))</f>
        <v>2813.8265550279998</v>
      </c>
      <c r="BF7">
        <f>INDEX($B$21:$GQ$21,MATCH(57,$B$29:$GQ$29,0))</f>
        <v>1559.8370236600001</v>
      </c>
      <c r="BG7">
        <f>INDEX($B$21:$GQ$21,MATCH(58,$B$29:$GQ$29,0))</f>
        <v>709.18679688875659</v>
      </c>
      <c r="BH7">
        <f>INDEX($B$21:$GQ$21,MATCH(59,$B$29:$GQ$29,0))</f>
        <v>191.524540960959</v>
      </c>
      <c r="BI7">
        <f>INDEX($B$21:$GQ$21,MATCH(60,$B$29:$GQ$29,0))</f>
        <v>0</v>
      </c>
      <c r="BJ7">
        <f>INDEX($B$21:$GQ$21,MATCH(61,$B$29:$GQ$29,0))</f>
        <v>4696.7749308100001</v>
      </c>
      <c r="BK7">
        <f>INDEX($B$21:$GQ$21,MATCH(62,$B$29:$GQ$29,0))</f>
        <v>262.19233730575002</v>
      </c>
      <c r="BL7">
        <f>INDEX($B$21:$GQ$21,MATCH(63,$B$29:$GQ$29,0))</f>
        <v>358.93550539300003</v>
      </c>
      <c r="BM7">
        <f>INDEX($B$21:$GQ$21,MATCH(64,$B$29:$GQ$29,0))</f>
        <v>0</v>
      </c>
      <c r="BN7">
        <f>INDEX($B$21:$GQ$21,MATCH(65,$B$29:$GQ$29,0))</f>
        <v>63.361211080935377</v>
      </c>
      <c r="BO7">
        <f>INDEX($B$21:$GQ$21,MATCH(66,$B$29:$GQ$29,0))</f>
        <v>107.8362040536</v>
      </c>
      <c r="BP7">
        <f>INDEX($B$21:$GQ$21,MATCH(67,$B$29:$GQ$29,0))</f>
        <v>1749.27710897</v>
      </c>
      <c r="BQ7">
        <f>INDEX($B$21:$GQ$21,MATCH(68,$B$29:$GQ$29,0))</f>
        <v>286.21616942958212</v>
      </c>
      <c r="BR7">
        <f>INDEX($B$21:$GQ$21,MATCH(69,$B$29:$GQ$29,0))</f>
        <v>0</v>
      </c>
      <c r="BS7">
        <f>INDEX($B$21:$GQ$21,MATCH(70,$B$29:$GQ$29,0))</f>
        <v>612.42607809052072</v>
      </c>
      <c r="BT7">
        <f>INDEX($B$21:$GQ$21,MATCH(71,$B$29:$GQ$29,0))</f>
        <v>418.35490823388932</v>
      </c>
      <c r="BU7">
        <f>INDEX($B$21:$GQ$21,MATCH(72,$B$29:$GQ$29,0))</f>
        <v>0</v>
      </c>
      <c r="BV7">
        <f>INDEX($B$21:$GQ$21,MATCH(73,$B$29:$GQ$29,0))</f>
        <v>44.522949826820003</v>
      </c>
      <c r="BW7">
        <f>INDEX($B$21:$GQ$21,MATCH(74,$B$29:$GQ$29,0))</f>
        <v>0</v>
      </c>
      <c r="BX7">
        <f>INDEX($B$21:$GQ$21,MATCH(75,$B$29:$GQ$29,0))</f>
        <v>34.973120821718787</v>
      </c>
      <c r="BY7">
        <f>INDEX($B$21:$GQ$21,MATCH(76,$B$29:$GQ$29,0))</f>
        <v>0</v>
      </c>
      <c r="BZ7">
        <f>INDEX($B$21:$GQ$21,MATCH(77,$B$29:$GQ$29,0))</f>
        <v>50.540358367452967</v>
      </c>
      <c r="CA7">
        <f>INDEX($B$21:$GQ$21,MATCH(78,$B$29:$GQ$29,0))</f>
        <v>0</v>
      </c>
      <c r="CB7">
        <f>INDEX($B$21:$GQ$21,MATCH(79,$B$29:$GQ$29,0))</f>
        <v>0</v>
      </c>
      <c r="CC7">
        <f>INDEX($B$21:$GQ$21,MATCH(80,$B$29:$GQ$29,0))</f>
        <v>18.17377665812187</v>
      </c>
      <c r="CD7">
        <f>INDEX($B$21:$GQ$21,MATCH(81,$B$29:$GQ$29,0))</f>
        <v>10.798532357499999</v>
      </c>
      <c r="CE7">
        <f>INDEX($B$21:$GQ$21,MATCH(82,$B$29:$GQ$29,0))</f>
        <v>0.66543467202200002</v>
      </c>
      <c r="CF7">
        <f>INDEX($B$21:$GQ$21,MATCH(83,$B$29:$GQ$29,0))</f>
        <v>520.47413446200005</v>
      </c>
      <c r="CG7">
        <f>INDEX($B$21:$GQ$21,MATCH(84,$B$29:$GQ$29,0))</f>
        <v>12.452825049199999</v>
      </c>
      <c r="CH7">
        <f>INDEX($B$21:$GQ$21,MATCH(85,$B$29:$GQ$29,0))</f>
        <v>7.2681283026200001</v>
      </c>
      <c r="CI7">
        <f>INDEX($B$21:$GQ$21,MATCH(86,$B$29:$GQ$29,0))</f>
        <v>152.52438610900001</v>
      </c>
      <c r="CJ7">
        <f>INDEX($B$21:$GQ$21,MATCH(87,$B$29:$GQ$29,0))</f>
        <v>0.91886879222690554</v>
      </c>
      <c r="CK7">
        <f>INDEX($B$21:$GQ$21,MATCH(88,$B$29:$GQ$29,0))</f>
        <v>7.47894238651</v>
      </c>
      <c r="CL7">
        <f>INDEX($B$21:$GQ$21,MATCH(89,$B$29:$GQ$29,0))</f>
        <v>7.1772939881199997</v>
      </c>
      <c r="CM7">
        <f>INDEX($B$21:$GQ$21,MATCH(90,$B$29:$GQ$29,0))</f>
        <v>64.052776141426875</v>
      </c>
      <c r="CN7">
        <f>INDEX($B$21:$GQ$21,MATCH(91,$B$29:$GQ$29,0))</f>
        <v>6.2167013558799988</v>
      </c>
      <c r="CO7">
        <f>INDEX($B$21:$GQ$21,MATCH(92,$B$29:$GQ$29,0))</f>
        <v>0</v>
      </c>
      <c r="CP7">
        <f>INDEX($B$21:$GQ$21,MATCH(93,$B$29:$GQ$29,0))</f>
        <v>52.290447045240562</v>
      </c>
      <c r="CQ7">
        <f>INDEX($B$21:$GQ$21,MATCH(94,$B$29:$GQ$29,0))</f>
        <v>130.97256975400001</v>
      </c>
      <c r="CR7">
        <f>INDEX($B$21:$GQ$21,MATCH(95,$B$29:$GQ$29,0))</f>
        <v>5.4780863341700003</v>
      </c>
      <c r="CS7">
        <f>INDEX($B$21:$GQ$21,MATCH(96,$B$29:$GQ$29,0))</f>
        <v>8.3376501952699993</v>
      </c>
      <c r="CT7">
        <f>INDEX($B$21:$GQ$21,MATCH(97,$B$29:$GQ$29,0))</f>
        <v>6.6187806119300001</v>
      </c>
      <c r="CU7">
        <f>INDEX($B$21:$GQ$21,MATCH(98,$B$29:$GQ$29,0))</f>
        <v>7.7745748429250057</v>
      </c>
      <c r="CV7">
        <f>INDEX($B$21:$GQ$21,MATCH(99,$B$29:$GQ$29,0))</f>
        <v>4.4869937232399604</v>
      </c>
      <c r="CW7">
        <f>INDEX($B$21:$GQ$21,MATCH(100,$B$29:$GQ$29,0))</f>
        <v>12.589531046076591</v>
      </c>
      <c r="CX7">
        <f>INDEX($B$21:$GQ$21,MATCH(101,$B$29:$GQ$29,0))</f>
        <v>3.4561336392499999</v>
      </c>
      <c r="CY7">
        <f>INDEX($B$21:$GQ$21,MATCH(102,$B$29:$GQ$29,0))</f>
        <v>4.2866716676400003</v>
      </c>
      <c r="CZ7">
        <f>INDEX($B$21:$GQ$21,MATCH(103,$B$29:$GQ$29,0))</f>
        <v>7.7841592984684684</v>
      </c>
      <c r="DA7">
        <f>INDEX($B$21:$GQ$21,MATCH(104,$B$29:$GQ$29,0))</f>
        <v>6.1707335051997774</v>
      </c>
      <c r="DB7">
        <f>INDEX($B$21:$GQ$21,MATCH(105,$B$29:$GQ$29,0))</f>
        <v>2.8579230598600001</v>
      </c>
      <c r="DC7">
        <f>INDEX($B$21:$GQ$21,MATCH(106,$B$29:$GQ$29,0))</f>
        <v>157.13671563599999</v>
      </c>
      <c r="DD7">
        <f>INDEX($B$21:$GQ$21,MATCH(107,$B$29:$GQ$29,0))</f>
        <v>2.5196803371600001</v>
      </c>
      <c r="DE7">
        <f>INDEX($B$21:$GQ$21,MATCH(108,$B$29:$GQ$29,0))</f>
        <v>1.5981500333700001</v>
      </c>
      <c r="DF7">
        <f>INDEX($B$21:$GQ$21,MATCH(109,$B$29:$GQ$29,0))</f>
        <v>1.4328711332499999</v>
      </c>
      <c r="DG7">
        <f>INDEX($B$21:$GQ$21,MATCH(110,$B$29:$GQ$29,0))</f>
        <v>5.55902005850945E-2</v>
      </c>
      <c r="DH7">
        <f>INDEX($B$21:$GQ$21,MATCH(111,$B$29:$GQ$29,0))</f>
        <v>14.903983972800001</v>
      </c>
      <c r="DI7">
        <f>INDEX($B$21:$GQ$21,MATCH(112,$B$29:$GQ$29,0))</f>
        <v>0.91095341557300002</v>
      </c>
      <c r="DJ7">
        <f>INDEX($B$21:$GQ$21,MATCH(113,$B$29:$GQ$29,0))</f>
        <v>7.4935930203748713</v>
      </c>
      <c r="DK7">
        <f>INDEX($B$21:$GQ$21,MATCH(114,$B$29:$GQ$29,0))</f>
        <v>0.63557573159500003</v>
      </c>
      <c r="DL7">
        <f>INDEX($B$21:$GQ$21,MATCH(115,$B$29:$GQ$29,0))</f>
        <v>0.112600342789</v>
      </c>
      <c r="DM7">
        <f>INDEX($B$21:$GQ$21,MATCH(116,$B$29:$GQ$29,0))</f>
        <v>2.2862877476796539</v>
      </c>
      <c r="DN7">
        <f>INDEX($B$21:$GQ$21,MATCH(117,$B$29:$GQ$29,0))</f>
        <v>1.81215275413</v>
      </c>
      <c r="DO7">
        <f>INDEX($B$21:$GQ$21,MATCH(118,$B$29:$GQ$29,0))</f>
        <v>0.47988633069100001</v>
      </c>
      <c r="DP7">
        <f>INDEX($B$21:$GQ$21,MATCH(119,$B$29:$GQ$29,0))</f>
        <v>1.6789142170569999</v>
      </c>
      <c r="DQ7">
        <f>INDEX($B$21:$GQ$21,MATCH(120,$B$29:$GQ$29,0))</f>
        <v>1.056828588528105</v>
      </c>
      <c r="DR7">
        <f>INDEX($B$21:$GQ$21,MATCH(121,$B$29:$GQ$29,0))</f>
        <v>5.4250360592692362</v>
      </c>
      <c r="DS7">
        <f>INDEX($B$21:$GQ$21,MATCH(122,$B$29:$GQ$29,0))</f>
        <v>4.9947555776570151E-3</v>
      </c>
      <c r="DT7">
        <f>INDEX($B$21:$GQ$21,MATCH(123,$B$29:$GQ$29,0))</f>
        <v>14.5218305376</v>
      </c>
      <c r="DU7">
        <f>INDEX($B$21:$GQ$21,MATCH(124,$B$29:$GQ$29,0))</f>
        <v>1.3261887457802539</v>
      </c>
      <c r="DV7">
        <f>INDEX($B$21:$GQ$21,MATCH(125,$B$29:$GQ$29,0))</f>
        <v>6.3533008602000001</v>
      </c>
      <c r="DW7">
        <f>INDEX($B$21:$GQ$21,MATCH(126,$B$29:$GQ$29,0))</f>
        <v>4.31870936057E-2</v>
      </c>
      <c r="DX7">
        <f>INDEX($B$21:$GQ$21,MATCH(127,$B$29:$GQ$29,0))</f>
        <v>0.1066507278430744</v>
      </c>
      <c r="DY7">
        <f>INDEX($B$21:$GQ$21,MATCH(128,$B$29:$GQ$29,0))</f>
        <v>0</v>
      </c>
      <c r="DZ7">
        <f>INDEX($B$21:$GQ$21,MATCH(129,$B$29:$GQ$29,0))</f>
        <v>0.102340521859746</v>
      </c>
      <c r="EA7">
        <f>INDEX($B$21:$GQ$21,MATCH(130,$B$29:$GQ$29,0))</f>
        <v>0</v>
      </c>
      <c r="EB7">
        <f>INDEX($B$21:$GQ$21,MATCH(131,$B$29:$GQ$29,0))</f>
        <v>0.26273048669999999</v>
      </c>
      <c r="EC7">
        <f>INDEX($B$21:$GQ$21,MATCH(132,$B$29:$GQ$29,0))</f>
        <v>6.1700262321527496E-3</v>
      </c>
      <c r="ED7">
        <f>INDEX($B$21:$GQ$21,MATCH(133,$B$29:$GQ$29,0))</f>
        <v>3.9625614194724822E-4</v>
      </c>
      <c r="EE7">
        <f>INDEX($B$21:$GQ$21,MATCH(134,$B$29:$GQ$29,0))</f>
        <v>0</v>
      </c>
      <c r="EF7">
        <f>INDEX($B$21:$GQ$21,MATCH(135,$B$29:$GQ$29,0))</f>
        <v>0</v>
      </c>
      <c r="EG7">
        <f>INDEX($B$21:$GQ$21,MATCH(136,$B$29:$GQ$29,0))</f>
        <v>0</v>
      </c>
      <c r="EH7">
        <f>INDEX($B$21:$GQ$21,MATCH(137,$B$29:$GQ$29,0))</f>
        <v>0</v>
      </c>
      <c r="EI7">
        <f>INDEX($B$21:$GQ$21,MATCH(138,$B$29:$GQ$29,0))</f>
        <v>0</v>
      </c>
      <c r="EJ7">
        <f>INDEX($B$21:$GQ$21,MATCH(139,$B$29:$GQ$29,0))</f>
        <v>0</v>
      </c>
      <c r="EK7">
        <f>INDEX($B$21:$GQ$21,MATCH(140,$B$29:$GQ$29,0))</f>
        <v>0</v>
      </c>
      <c r="EL7">
        <f>INDEX($B$21:$GQ$21,MATCH(141,$B$29:$GQ$29,0))</f>
        <v>0</v>
      </c>
      <c r="EM7">
        <f>INDEX($B$21:$GQ$21,MATCH(142,$B$29:$GQ$29,0))</f>
        <v>0</v>
      </c>
      <c r="EN7">
        <f>INDEX($B$21:$GQ$21,MATCH(143,$B$29:$GQ$29,0))</f>
        <v>0</v>
      </c>
      <c r="EO7">
        <f>INDEX($B$21:$GQ$21,MATCH(144,$B$29:$GQ$29,0))</f>
        <v>0</v>
      </c>
      <c r="EP7">
        <f>INDEX($B$21:$GQ$21,MATCH(145,$B$29:$GQ$29,0))</f>
        <v>0</v>
      </c>
      <c r="EQ7">
        <f>INDEX($B$21:$GQ$21,MATCH(146,$B$29:$GQ$29,0))</f>
        <v>0</v>
      </c>
      <c r="ER7">
        <f>INDEX($B$21:$GQ$21,MATCH(147,$B$29:$GQ$29,0))</f>
        <v>0</v>
      </c>
      <c r="ES7">
        <f>INDEX($B$21:$GQ$21,MATCH(148,$B$29:$GQ$29,0))</f>
        <v>0</v>
      </c>
      <c r="ET7">
        <f>INDEX($B$21:$GQ$21,MATCH(149,$B$29:$GQ$29,0))</f>
        <v>0</v>
      </c>
      <c r="EU7">
        <f>INDEX($B$21:$GQ$21,MATCH(150,$B$29:$GQ$29,0))</f>
        <v>0</v>
      </c>
      <c r="EV7">
        <f>INDEX($B$21:$GQ$21,MATCH(151,$B$29:$GQ$29,0))</f>
        <v>0</v>
      </c>
      <c r="EW7">
        <f>INDEX($B$21:$GQ$21,MATCH(152,$B$29:$GQ$29,0))</f>
        <v>0</v>
      </c>
      <c r="EX7">
        <f>INDEX($B$21:$GQ$21,MATCH(153,$B$29:$GQ$29,0))</f>
        <v>0</v>
      </c>
      <c r="EY7">
        <f>INDEX($B$21:$GQ$21,MATCH(154,$B$29:$GQ$29,0))</f>
        <v>0</v>
      </c>
      <c r="EZ7">
        <f>INDEX($B$21:$GQ$21,MATCH(155,$B$29:$GQ$29,0))</f>
        <v>0</v>
      </c>
      <c r="FA7">
        <f>INDEX($B$21:$GQ$21,MATCH(156,$B$29:$GQ$29,0))</f>
        <v>0</v>
      </c>
      <c r="FB7">
        <f>INDEX($B$21:$GQ$21,MATCH(157,$B$29:$GQ$29,0))</f>
        <v>0</v>
      </c>
      <c r="FC7">
        <f>INDEX($B$21:$GQ$21,MATCH(158,$B$29:$GQ$29,0))</f>
        <v>0</v>
      </c>
      <c r="FD7">
        <f>INDEX($B$21:$GQ$21,MATCH(159,$B$29:$GQ$29,0))</f>
        <v>0</v>
      </c>
      <c r="FE7">
        <f>INDEX($B$21:$GQ$21,MATCH(160,$B$29:$GQ$29,0))</f>
        <v>0</v>
      </c>
      <c r="FF7">
        <f>INDEX($B$21:$GQ$21,MATCH(161,$B$29:$GQ$29,0))</f>
        <v>0</v>
      </c>
      <c r="FG7">
        <f>INDEX($B$21:$GQ$21,MATCH(162,$B$29:$GQ$29,0))</f>
        <v>0</v>
      </c>
      <c r="FH7">
        <f>INDEX($B$21:$GQ$21,MATCH(163,$B$29:$GQ$29,0))</f>
        <v>0</v>
      </c>
      <c r="FI7">
        <f>INDEX($B$21:$GQ$21,MATCH(164,$B$29:$GQ$29,0))</f>
        <v>0</v>
      </c>
      <c r="FJ7">
        <f>INDEX($B$21:$GQ$21,MATCH(165,$B$29:$GQ$29,0))</f>
        <v>0</v>
      </c>
      <c r="FK7">
        <f>INDEX($B$21:$GQ$21,MATCH(166,$B$29:$GQ$29,0))</f>
        <v>0</v>
      </c>
      <c r="FL7">
        <f>INDEX($B$21:$GQ$21,MATCH(167,$B$29:$GQ$29,0))</f>
        <v>0</v>
      </c>
      <c r="FM7">
        <f>INDEX($B$21:$GQ$21,MATCH(168,$B$29:$GQ$29,0))</f>
        <v>0</v>
      </c>
      <c r="FN7">
        <f>INDEX($B$21:$GQ$21,MATCH(169,$B$29:$GQ$29,0))</f>
        <v>0</v>
      </c>
      <c r="FO7">
        <f>INDEX($B$21:$GQ$21,MATCH(170,$B$29:$GQ$29,0))</f>
        <v>0</v>
      </c>
      <c r="FP7">
        <f>INDEX($B$21:$GQ$21,MATCH(171,$B$29:$GQ$29,0))</f>
        <v>0</v>
      </c>
      <c r="FQ7">
        <f>INDEX($B$21:$GQ$21,MATCH(172,$B$29:$GQ$29,0))</f>
        <v>0</v>
      </c>
      <c r="FR7">
        <f>INDEX($B$21:$GQ$21,MATCH(173,$B$29:$GQ$29,0))</f>
        <v>0</v>
      </c>
      <c r="FS7">
        <f>INDEX($B$21:$GQ$21,MATCH(174,$B$29:$GQ$29,0))</f>
        <v>0</v>
      </c>
      <c r="FT7">
        <f>INDEX($B$21:$GQ$21,MATCH(175,$B$29:$GQ$29,0))</f>
        <v>0</v>
      </c>
      <c r="FU7">
        <f>INDEX($B$21:$GQ$21,MATCH(176,$B$29:$GQ$29,0))</f>
        <v>0</v>
      </c>
      <c r="FV7">
        <f>INDEX($B$21:$GQ$21,MATCH(177,$B$29:$GQ$29,0))</f>
        <v>0</v>
      </c>
      <c r="FW7">
        <f>INDEX($B$21:$GQ$21,MATCH(178,$B$29:$GQ$29,0))</f>
        <v>0</v>
      </c>
      <c r="FX7">
        <f>INDEX($B$21:$GQ$21,MATCH(179,$B$29:$GQ$29,0))</f>
        <v>0</v>
      </c>
      <c r="FY7">
        <f>INDEX($B$21:$GQ$21,MATCH(180,$B$29:$GQ$29,0))</f>
        <v>3.0458495076355003E-4</v>
      </c>
      <c r="FZ7">
        <f>INDEX($B$21:$GQ$21,MATCH(181,$B$29:$GQ$29,0))</f>
        <v>0</v>
      </c>
      <c r="GA7">
        <f>INDEX($B$21:$GQ$21,MATCH(182,$B$29:$GQ$29,0))</f>
        <v>0</v>
      </c>
      <c r="GB7">
        <f>INDEX($B$21:$GQ$21,MATCH(183,$B$29:$GQ$29,0))</f>
        <v>0</v>
      </c>
      <c r="GC7">
        <f>INDEX($B$21:$GQ$21,MATCH(184,$B$29:$GQ$29,0))</f>
        <v>0</v>
      </c>
      <c r="GD7">
        <f>INDEX($B$21:$GQ$21,MATCH(185,$B$29:$GQ$29,0))</f>
        <v>6.0997008595128847E-2</v>
      </c>
      <c r="GE7">
        <f>INDEX($B$21:$GQ$21,MATCH(186,$B$29:$GQ$29,0))</f>
        <v>0</v>
      </c>
      <c r="GF7">
        <f>INDEX($B$21:$GQ$21,MATCH(187,$B$29:$GQ$29,0))</f>
        <v>0</v>
      </c>
      <c r="GG7">
        <f>INDEX($B$21:$GQ$21,MATCH(188,$B$29:$GQ$29,0))</f>
        <v>0</v>
      </c>
      <c r="GH7">
        <f>INDEX($B$21:$GQ$21,MATCH(189,$B$29:$GQ$29,0))</f>
        <v>0</v>
      </c>
      <c r="GI7">
        <f>INDEX($B$21:$GQ$21,MATCH(190,$B$29:$GQ$29,0))</f>
        <v>0</v>
      </c>
      <c r="GJ7">
        <f>INDEX($B$21:$GQ$21,MATCH(191,$B$29:$GQ$29,0))</f>
        <v>0</v>
      </c>
      <c r="GK7">
        <f>INDEX($B$21:$GQ$21,MATCH(192,$B$29:$GQ$29,0))</f>
        <v>0</v>
      </c>
      <c r="GL7">
        <f>INDEX($B$21:$GQ$21,MATCH(193,$B$29:$GQ$29,0))</f>
        <v>0</v>
      </c>
      <c r="GM7">
        <f>INDEX($B$21:$GQ$21,MATCH(194,$B$29:$GQ$29,0))</f>
        <v>0</v>
      </c>
      <c r="GN7">
        <f>INDEX($B$21:$GQ$21,MATCH(195,$B$29:$GQ$29,0))</f>
        <v>0</v>
      </c>
      <c r="GO7">
        <f>INDEX($B$21:$GQ$21,MATCH(196,$B$29:$GQ$29,0))</f>
        <v>0</v>
      </c>
      <c r="GP7">
        <f>INDEX($B$21:$GQ$21,MATCH(197,$B$29:$GQ$29,0))</f>
        <v>0</v>
      </c>
      <c r="GQ7">
        <f>INDEX($B$21:$GQ$21,MATCH(198,$B$29:$GQ$29,0))</f>
        <v>0</v>
      </c>
      <c r="GR7">
        <f>INDEX($GR$21:$HC$21,MATCH(1,$GR$30:$HC$30,0))</f>
        <v>26463.523517716021</v>
      </c>
      <c r="GS7">
        <f>INDEX($GR$21:$HC$21,MATCH(2,$GR$30:$HC$30,0))</f>
        <v>14392.991685798401</v>
      </c>
      <c r="GT7">
        <f>INDEX($GR$21:$HC$21,MATCH(3,$GR$30:$HC$30,0))</f>
        <v>52451.491819216943</v>
      </c>
      <c r="GU7">
        <f>INDEX($GR$21:$HC$21,MATCH(4,$GR$30:$HC$30,0))</f>
        <v>58120.83281466164</v>
      </c>
      <c r="GV7">
        <f>INDEX($GR$21:$HC$21,MATCH(5,$GR$30:$HC$30,0))</f>
        <v>17903.873458744751</v>
      </c>
      <c r="GW7">
        <f>INDEX($GR$21:$HC$21,MATCH(6,$GR$30:$HC$30,0))</f>
        <v>3828.2993022389001</v>
      </c>
      <c r="GX7">
        <f>INDEX($GR$21:$HC$21,MATCH(7,$GR$30:$HC$30,0))</f>
        <v>22808.071933269999</v>
      </c>
      <c r="GY7">
        <f>INDEX($GR$21:$HC$21,MATCH(8,$GR$30:$HC$30,0))</f>
        <v>2356.4986623639588</v>
      </c>
      <c r="GZ7">
        <f>INDEX($GR$21:$HC$21,MATCH(9,$GR$30:$HC$30,0))</f>
        <v>0</v>
      </c>
      <c r="HA7">
        <f>INDEX($GR$21:$HC$21,MATCH(10,$GR$30:$HC$30,0))</f>
        <v>6818.9374820032835</v>
      </c>
      <c r="HB7">
        <f>INDEX($GR$21:$HC$21,MATCH(11,$GR$30:$HC$30,0))</f>
        <v>1806.0386160099999</v>
      </c>
      <c r="HC7">
        <f>INDEX($GR$21:$HC$21,MATCH(12,$GR$30:$HC$30,0))</f>
        <v>1038.4943145499999</v>
      </c>
    </row>
    <row r="8" spans="1:211" x14ac:dyDescent="0.45">
      <c r="A8" s="1" t="s">
        <v>7</v>
      </c>
      <c r="B8">
        <f>INDEX($B$22:$GQ$22,MATCH(1,$B$29:$GQ$29,0))</f>
        <v>242143.13257310001</v>
      </c>
      <c r="C8">
        <f>INDEX($B$22:$GQ$22,MATCH(2,$B$29:$GQ$29,0))</f>
        <v>186753.73804475501</v>
      </c>
      <c r="D8">
        <f>INDEX($B$22:$GQ$22,MATCH(3,$B$29:$GQ$29,0))</f>
        <v>9071.7807908699997</v>
      </c>
      <c r="E8">
        <f>INDEX($B$22:$GQ$22,MATCH(4,$B$29:$GQ$29,0))</f>
        <v>23360.725289119</v>
      </c>
      <c r="F8">
        <f>INDEX($B$22:$GQ$22,MATCH(5,$B$29:$GQ$29,0))</f>
        <v>258670.86586419999</v>
      </c>
      <c r="G8">
        <f>INDEX($B$22:$GQ$22,MATCH(6,$B$29:$GQ$29,0))</f>
        <v>37588.165323314177</v>
      </c>
      <c r="H8">
        <f>INDEX($B$22:$GQ$22,MATCH(7,$B$29:$GQ$29,0))</f>
        <v>26547.7846919</v>
      </c>
      <c r="I8">
        <f>INDEX($B$22:$GQ$22,MATCH(8,$B$29:$GQ$29,0))</f>
        <v>4666.4618214472184</v>
      </c>
      <c r="J8">
        <f>INDEX($B$22:$GQ$22,MATCH(9,$B$29:$GQ$29,0))</f>
        <v>71885.084968099996</v>
      </c>
      <c r="K8">
        <f>INDEX($B$22:$GQ$22,MATCH(10,$B$29:$GQ$29,0))</f>
        <v>7435.9329311493466</v>
      </c>
      <c r="L8">
        <f>INDEX($B$22:$GQ$22,MATCH(11,$B$29:$GQ$29,0))</f>
        <v>130808.66813279</v>
      </c>
      <c r="M8">
        <f>INDEX($B$22:$GQ$22,MATCH(12,$B$29:$GQ$29,0))</f>
        <v>83954.164852629998</v>
      </c>
      <c r="N8">
        <f>INDEX($B$22:$GQ$22,MATCH(13,$B$29:$GQ$29,0))</f>
        <v>10280.107604815599</v>
      </c>
      <c r="O8">
        <f>INDEX($B$22:$GQ$22,MATCH(14,$B$29:$GQ$29,0))</f>
        <v>3273.5352910359002</v>
      </c>
      <c r="P8">
        <f>INDEX($B$22:$GQ$22,MATCH(15,$B$29:$GQ$29,0))</f>
        <v>15949.9837150327</v>
      </c>
      <c r="Q8">
        <f>INDEX($B$22:$GQ$22,MATCH(16,$B$29:$GQ$29,0))</f>
        <v>8488.2230403558297</v>
      </c>
      <c r="R8">
        <f>INDEX($B$22:$GQ$22,MATCH(17,$B$29:$GQ$29,0))</f>
        <v>5050.4413716326299</v>
      </c>
      <c r="S8">
        <f>INDEX($B$22:$GQ$22,MATCH(18,$B$29:$GQ$29,0))</f>
        <v>11302.3998226312</v>
      </c>
      <c r="T8">
        <f>INDEX($B$22:$GQ$22,MATCH(19,$B$29:$GQ$29,0))</f>
        <v>7391.2707397499989</v>
      </c>
      <c r="U8">
        <f>INDEX($B$22:$GQ$22,MATCH(20,$B$29:$GQ$29,0))</f>
        <v>30950.3724516</v>
      </c>
      <c r="V8">
        <f>INDEX($B$22:$GQ$22,MATCH(21,$B$29:$GQ$29,0))</f>
        <v>128.12948849290001</v>
      </c>
      <c r="W8">
        <f>INDEX($B$22:$GQ$22,MATCH(22,$B$29:$GQ$29,0))</f>
        <v>11126.0696009</v>
      </c>
      <c r="X8">
        <f>INDEX($B$22:$GQ$22,MATCH(23,$B$29:$GQ$29,0))</f>
        <v>7010.4418690136599</v>
      </c>
      <c r="Y8">
        <f>INDEX($B$22:$GQ$22,MATCH(24,$B$29:$GQ$29,0))</f>
        <v>15294.563008583</v>
      </c>
      <c r="Z8">
        <f>INDEX($B$22:$GQ$22,MATCH(25,$B$29:$GQ$29,0))</f>
        <v>4983.7269113496177</v>
      </c>
      <c r="AA8">
        <f>INDEX($B$22:$GQ$22,MATCH(26,$B$29:$GQ$29,0))</f>
        <v>8018.0444478146992</v>
      </c>
      <c r="AB8">
        <f>INDEX($B$22:$GQ$22,MATCH(27,$B$29:$GQ$29,0))</f>
        <v>42904.638546299997</v>
      </c>
      <c r="AC8">
        <f>INDEX($B$22:$GQ$22,MATCH(28,$B$29:$GQ$29,0))</f>
        <v>31909.8454513</v>
      </c>
      <c r="AD8">
        <f>INDEX($B$22:$GQ$22,MATCH(29,$B$29:$GQ$29,0))</f>
        <v>8796.4664476500002</v>
      </c>
      <c r="AE8">
        <f>INDEX($B$22:$GQ$22,MATCH(30,$B$29:$GQ$29,0))</f>
        <v>2215.3406393403002</v>
      </c>
      <c r="AF8">
        <f>INDEX($B$22:$GQ$22,MATCH(31,$B$29:$GQ$29,0))</f>
        <v>2468.4934124624001</v>
      </c>
      <c r="AG8">
        <f>INDEX($B$22:$GQ$22,MATCH(32,$B$29:$GQ$29,0))</f>
        <v>1889.7566549799999</v>
      </c>
      <c r="AH8">
        <f>INDEX($B$22:$GQ$22,MATCH(33,$B$29:$GQ$29,0))</f>
        <v>3117.9127895699999</v>
      </c>
      <c r="AI8">
        <f>INDEX($B$22:$GQ$22,MATCH(34,$B$29:$GQ$29,0))</f>
        <v>967.10634446200015</v>
      </c>
      <c r="AJ8">
        <f>INDEX($B$22:$GQ$22,MATCH(35,$B$29:$GQ$29,0))</f>
        <v>1377.8064414299999</v>
      </c>
      <c r="AK8">
        <f>INDEX($B$22:$GQ$22,MATCH(36,$B$29:$GQ$29,0))</f>
        <v>689.76229474199999</v>
      </c>
      <c r="AL8">
        <f>INDEX($B$22:$GQ$22,MATCH(37,$B$29:$GQ$29,0))</f>
        <v>16771.579081532</v>
      </c>
      <c r="AM8">
        <f>INDEX($B$22:$GQ$22,MATCH(38,$B$29:$GQ$29,0))</f>
        <v>8925.8146115100008</v>
      </c>
      <c r="AN8">
        <f>INDEX($B$22:$GQ$22,MATCH(39,$B$29:$GQ$29,0))</f>
        <v>662.143368282305</v>
      </c>
      <c r="AO8">
        <f>INDEX($B$22:$GQ$22,MATCH(40,$B$29:$GQ$29,0))</f>
        <v>7.5170467887461898</v>
      </c>
      <c r="AP8">
        <f>INDEX($B$22:$GQ$22,MATCH(41,$B$29:$GQ$29,0))</f>
        <v>749.58537190106574</v>
      </c>
      <c r="AQ8">
        <f>INDEX($B$22:$GQ$22,MATCH(42,$B$29:$GQ$29,0))</f>
        <v>22590.5100676</v>
      </c>
      <c r="AR8">
        <f>INDEX($B$22:$GQ$22,MATCH(43,$B$29:$GQ$29,0))</f>
        <v>1190.0860007440001</v>
      </c>
      <c r="AS8">
        <f>INDEX($B$22:$GQ$22,MATCH(44,$B$29:$GQ$29,0))</f>
        <v>10186.75299786705</v>
      </c>
      <c r="AT8">
        <f>INDEX($B$22:$GQ$22,MATCH(45,$B$29:$GQ$29,0))</f>
        <v>3671.05667554</v>
      </c>
      <c r="AU8">
        <f>INDEX($B$22:$GQ$22,MATCH(46,$B$29:$GQ$29,0))</f>
        <v>1585.4834509899999</v>
      </c>
      <c r="AV8">
        <f>INDEX($B$22:$GQ$22,MATCH(47,$B$29:$GQ$29,0))</f>
        <v>13529.354277</v>
      </c>
      <c r="AW8">
        <f>INDEX($B$22:$GQ$22,MATCH(48,$B$29:$GQ$29,0))</f>
        <v>30296.038247430999</v>
      </c>
      <c r="AX8">
        <f>INDEX($B$22:$GQ$22,MATCH(49,$B$29:$GQ$29,0))</f>
        <v>1938.44845799</v>
      </c>
      <c r="AY8">
        <f>INDEX($B$22:$GQ$22,MATCH(50,$B$29:$GQ$29,0))</f>
        <v>0</v>
      </c>
      <c r="AZ8">
        <f>INDEX($B$22:$GQ$22,MATCH(51,$B$29:$GQ$29,0))</f>
        <v>6143.0077963115054</v>
      </c>
      <c r="BA8">
        <f>INDEX($B$22:$GQ$22,MATCH(52,$B$29:$GQ$29,0))</f>
        <v>15846.2651147</v>
      </c>
      <c r="BB8">
        <f>INDEX($B$22:$GQ$22,MATCH(53,$B$29:$GQ$29,0))</f>
        <v>710.2622544142647</v>
      </c>
      <c r="BC8">
        <f>INDEX($B$22:$GQ$22,MATCH(54,$B$29:$GQ$29,0))</f>
        <v>2108.0791581456701</v>
      </c>
      <c r="BD8">
        <f>INDEX($B$22:$GQ$22,MATCH(55,$B$29:$GQ$29,0))</f>
        <v>2869.1544762899998</v>
      </c>
      <c r="BE8">
        <f>INDEX($B$22:$GQ$22,MATCH(56,$B$29:$GQ$29,0))</f>
        <v>1501.0289734744999</v>
      </c>
      <c r="BF8">
        <f>INDEX($B$22:$GQ$22,MATCH(57,$B$29:$GQ$29,0))</f>
        <v>5484.6488585699999</v>
      </c>
      <c r="BG8">
        <f>INDEX($B$22:$GQ$22,MATCH(58,$B$29:$GQ$29,0))</f>
        <v>726.07848723778375</v>
      </c>
      <c r="BH8">
        <f>INDEX($B$22:$GQ$22,MATCH(59,$B$29:$GQ$29,0))</f>
        <v>235.5104379290872</v>
      </c>
      <c r="BI8">
        <f>INDEX($B$22:$GQ$22,MATCH(60,$B$29:$GQ$29,0))</f>
        <v>5628.20353823</v>
      </c>
      <c r="BJ8">
        <f>INDEX($B$22:$GQ$22,MATCH(61,$B$29:$GQ$29,0))</f>
        <v>1956.93538405</v>
      </c>
      <c r="BK8">
        <f>INDEX($B$22:$GQ$22,MATCH(62,$B$29:$GQ$29,0))</f>
        <v>11238.476071223</v>
      </c>
      <c r="BL8">
        <f>INDEX($B$22:$GQ$22,MATCH(63,$B$29:$GQ$29,0))</f>
        <v>139.24546536700001</v>
      </c>
      <c r="BM8">
        <f>INDEX($B$22:$GQ$22,MATCH(64,$B$29:$GQ$29,0))</f>
        <v>9539.4035679999997</v>
      </c>
      <c r="BN8">
        <f>INDEX($B$22:$GQ$22,MATCH(65,$B$29:$GQ$29,0))</f>
        <v>160.53293276706461</v>
      </c>
      <c r="BO8">
        <f>INDEX($B$22:$GQ$22,MATCH(66,$B$29:$GQ$29,0))</f>
        <v>9886.4385954099998</v>
      </c>
      <c r="BP8">
        <f>INDEX($B$22:$GQ$22,MATCH(67,$B$29:$GQ$29,0))</f>
        <v>874.53301648599995</v>
      </c>
      <c r="BQ8">
        <f>INDEX($B$22:$GQ$22,MATCH(68,$B$29:$GQ$29,0))</f>
        <v>1908.1984372858201</v>
      </c>
      <c r="BR8">
        <f>INDEX($B$22:$GQ$22,MATCH(69,$B$29:$GQ$29,0))</f>
        <v>7198.7452669800005</v>
      </c>
      <c r="BS8">
        <f>INDEX($B$22:$GQ$22,MATCH(70,$B$29:$GQ$29,0))</f>
        <v>301.73270808747918</v>
      </c>
      <c r="BT8">
        <f>INDEX($B$22:$GQ$22,MATCH(71,$B$29:$GQ$29,0))</f>
        <v>0</v>
      </c>
      <c r="BU8">
        <f>INDEX($B$22:$GQ$22,MATCH(72,$B$29:$GQ$29,0))</f>
        <v>984.28394153700003</v>
      </c>
      <c r="BV8">
        <f>INDEX($B$22:$GQ$22,MATCH(73,$B$29:$GQ$29,0))</f>
        <v>43.787168113900002</v>
      </c>
      <c r="BW8">
        <f>INDEX($B$22:$GQ$22,MATCH(74,$B$29:$GQ$29,0))</f>
        <v>3328.271032657</v>
      </c>
      <c r="BX8">
        <f>INDEX($B$22:$GQ$22,MATCH(75,$B$29:$GQ$29,0))</f>
        <v>1235.3526669582809</v>
      </c>
      <c r="BY8">
        <f>INDEX($B$22:$GQ$22,MATCH(76,$B$29:$GQ$29,0))</f>
        <v>347.92681815999998</v>
      </c>
      <c r="BZ8">
        <f>INDEX($B$22:$GQ$22,MATCH(77,$B$29:$GQ$29,0))</f>
        <v>458.08197929454701</v>
      </c>
      <c r="CA8">
        <f>INDEX($B$22:$GQ$22,MATCH(78,$B$29:$GQ$29,0))</f>
        <v>137.460607966</v>
      </c>
      <c r="CB8">
        <f>INDEX($B$22:$GQ$22,MATCH(79,$B$29:$GQ$29,0))</f>
        <v>2459.8227431700002</v>
      </c>
      <c r="CC8">
        <f>INDEX($B$22:$GQ$22,MATCH(80,$B$29:$GQ$29,0))</f>
        <v>514.07430814345184</v>
      </c>
      <c r="CD8">
        <f>INDEX($B$22:$GQ$22,MATCH(81,$B$29:$GQ$29,0))</f>
        <v>1333.3558007900001</v>
      </c>
      <c r="CE8">
        <f>INDEX($B$22:$GQ$22,MATCH(82,$B$29:$GQ$29,0))</f>
        <v>308.12175901199998</v>
      </c>
      <c r="CF8">
        <f>INDEX($B$22:$GQ$22,MATCH(83,$B$29:$GQ$29,0))</f>
        <v>310.99962491299999</v>
      </c>
      <c r="CG8">
        <f>INDEX($B$22:$GQ$22,MATCH(84,$B$29:$GQ$29,0))</f>
        <v>949.25281436</v>
      </c>
      <c r="CH8">
        <f>INDEX($B$22:$GQ$22,MATCH(85,$B$29:$GQ$29,0))</f>
        <v>919.98164076199998</v>
      </c>
      <c r="CI8">
        <f>INDEX($B$22:$GQ$22,MATCH(86,$B$29:$GQ$29,0))</f>
        <v>26.960627056900002</v>
      </c>
      <c r="CJ8">
        <f>INDEX($B$22:$GQ$22,MATCH(87,$B$29:$GQ$29,0))</f>
        <v>50.515630950077558</v>
      </c>
      <c r="CK8">
        <f>INDEX($B$22:$GQ$22,MATCH(88,$B$29:$GQ$29,0))</f>
        <v>804.795130685</v>
      </c>
      <c r="CL8">
        <f>INDEX($B$22:$GQ$22,MATCH(89,$B$29:$GQ$29,0))</f>
        <v>767.06281134100004</v>
      </c>
      <c r="CM8">
        <f>INDEX($B$22:$GQ$22,MATCH(90,$B$29:$GQ$29,0))</f>
        <v>438.23633378573538</v>
      </c>
      <c r="CN8">
        <f>INDEX($B$22:$GQ$22,MATCH(91,$B$29:$GQ$29,0))</f>
        <v>773.51984684800004</v>
      </c>
      <c r="CO8">
        <f>INDEX($B$22:$GQ$22,MATCH(92,$B$29:$GQ$29,0))</f>
        <v>769.05730232869996</v>
      </c>
      <c r="CP8">
        <f>INDEX($B$22:$GQ$22,MATCH(93,$B$29:$GQ$29,0))</f>
        <v>43.24791175475945</v>
      </c>
      <c r="CQ8">
        <f>INDEX($B$22:$GQ$22,MATCH(94,$B$29:$GQ$29,0))</f>
        <v>26.83840954758</v>
      </c>
      <c r="CR8">
        <f>INDEX($B$22:$GQ$22,MATCH(95,$B$29:$GQ$29,0))</f>
        <v>472.33991311599999</v>
      </c>
      <c r="CS8">
        <f>INDEX($B$22:$GQ$22,MATCH(96,$B$29:$GQ$29,0))</f>
        <v>479.80123612099999</v>
      </c>
      <c r="CT8">
        <f>INDEX($B$22:$GQ$22,MATCH(97,$B$29:$GQ$29,0))</f>
        <v>460.33404258299998</v>
      </c>
      <c r="CU8">
        <f>INDEX($B$22:$GQ$22,MATCH(98,$B$29:$GQ$29,0))</f>
        <v>488.06950732907501</v>
      </c>
      <c r="CV8">
        <f>INDEX($B$22:$GQ$22,MATCH(99,$B$29:$GQ$29,0))</f>
        <v>213.02996467476001</v>
      </c>
      <c r="CW8">
        <f>INDEX($B$22:$GQ$22,MATCH(100,$B$29:$GQ$29,0))</f>
        <v>111.1237859411297</v>
      </c>
      <c r="CX8">
        <f>INDEX($B$22:$GQ$22,MATCH(101,$B$29:$GQ$29,0))</f>
        <v>332.70708407199999</v>
      </c>
      <c r="CY8">
        <f>INDEX($B$22:$GQ$22,MATCH(102,$B$29:$GQ$29,0))</f>
        <v>317.56515019599999</v>
      </c>
      <c r="CZ8">
        <f>INDEX($B$22:$GQ$22,MATCH(103,$B$29:$GQ$29,0))</f>
        <v>36.951677209631541</v>
      </c>
      <c r="DA8">
        <f>INDEX($B$22:$GQ$22,MATCH(104,$B$29:$GQ$29,0))</f>
        <v>370.68346562429832</v>
      </c>
      <c r="DB8">
        <f>INDEX($B$22:$GQ$22,MATCH(105,$B$29:$GQ$29,0))</f>
        <v>266.24321473499998</v>
      </c>
      <c r="DC8">
        <f>INDEX($B$22:$GQ$22,MATCH(106,$B$29:$GQ$29,0))</f>
        <v>0</v>
      </c>
      <c r="DD8">
        <f>INDEX($B$22:$GQ$22,MATCH(107,$B$29:$GQ$29,0))</f>
        <v>222.57871309000001</v>
      </c>
      <c r="DE8">
        <f>INDEX($B$22:$GQ$22,MATCH(108,$B$29:$GQ$29,0))</f>
        <v>192.22371685499999</v>
      </c>
      <c r="DF8">
        <f>INDEX($B$22:$GQ$22,MATCH(109,$B$29:$GQ$29,0))</f>
        <v>167.74187124900001</v>
      </c>
      <c r="DG8">
        <f>INDEX($B$22:$GQ$22,MATCH(110,$B$29:$GQ$29,0))</f>
        <v>11.094501610822441</v>
      </c>
      <c r="DH8">
        <f>INDEX($B$22:$GQ$22,MATCH(111,$B$29:$GQ$29,0))</f>
        <v>0</v>
      </c>
      <c r="DI8">
        <f>INDEX($B$22:$GQ$22,MATCH(112,$B$29:$GQ$29,0))</f>
        <v>84.577913012400003</v>
      </c>
      <c r="DJ8">
        <f>INDEX($B$22:$GQ$22,MATCH(113,$B$29:$GQ$29,0))</f>
        <v>0</v>
      </c>
      <c r="DK8">
        <f>INDEX($B$22:$GQ$22,MATCH(114,$B$29:$GQ$29,0))</f>
        <v>70.537428166500007</v>
      </c>
      <c r="DL8">
        <f>INDEX($B$22:$GQ$22,MATCH(115,$B$29:$GQ$29,0))</f>
        <v>7.7309901311899996</v>
      </c>
      <c r="DM8">
        <f>INDEX($B$22:$GQ$22,MATCH(116,$B$29:$GQ$29,0))</f>
        <v>167.10322240432029</v>
      </c>
      <c r="DN8">
        <f>INDEX($B$22:$GQ$22,MATCH(117,$B$29:$GQ$29,0))</f>
        <v>70.890308732400001</v>
      </c>
      <c r="DO8">
        <f>INDEX($B$22:$GQ$22,MATCH(118,$B$29:$GQ$29,0))</f>
        <v>52.302272047400002</v>
      </c>
      <c r="DP8">
        <f>INDEX($B$22:$GQ$22,MATCH(119,$B$29:$GQ$29,0))</f>
        <v>8.0925708148400002</v>
      </c>
      <c r="DQ8">
        <f>INDEX($B$22:$GQ$22,MATCH(120,$B$29:$GQ$29,0))</f>
        <v>2.1437064312718959</v>
      </c>
      <c r="DR8">
        <f>INDEX($B$22:$GQ$22,MATCH(121,$B$29:$GQ$29,0))</f>
        <v>0</v>
      </c>
      <c r="DS8">
        <f>INDEX($B$22:$GQ$22,MATCH(122,$B$29:$GQ$29,0))</f>
        <v>11.36406994162234</v>
      </c>
      <c r="DT8">
        <f>INDEX($B$22:$GQ$22,MATCH(123,$B$29:$GQ$29,0))</f>
        <v>0</v>
      </c>
      <c r="DU8">
        <f>INDEX($B$22:$GQ$22,MATCH(124,$B$29:$GQ$29,0))</f>
        <v>0.46723417790522082</v>
      </c>
      <c r="DV8">
        <f>INDEX($B$22:$GQ$22,MATCH(125,$B$29:$GQ$29,0))</f>
        <v>0</v>
      </c>
      <c r="DW8">
        <f>INDEX($B$22:$GQ$22,MATCH(126,$B$29:$GQ$29,0))</f>
        <v>6.1009405066999998</v>
      </c>
      <c r="DX8">
        <f>INDEX($B$22:$GQ$22,MATCH(127,$B$29:$GQ$29,0))</f>
        <v>0.72930991165692571</v>
      </c>
      <c r="DY8">
        <f>INDEX($B$22:$GQ$22,MATCH(128,$B$29:$GQ$29,0))</f>
        <v>1.8890696923700001</v>
      </c>
      <c r="DZ8">
        <f>INDEX($B$22:$GQ$22,MATCH(129,$B$29:$GQ$29,0))</f>
        <v>0.26654030710377918</v>
      </c>
      <c r="EA8">
        <f>INDEX($B$22:$GQ$22,MATCH(130,$B$29:$GQ$29,0))</f>
        <v>0.14561557168100001</v>
      </c>
      <c r="EB8">
        <f>INDEX($B$22:$GQ$22,MATCH(131,$B$29:$GQ$29,0))</f>
        <v>0</v>
      </c>
      <c r="EC8">
        <f>INDEX($B$22:$GQ$22,MATCH(132,$B$29:$GQ$29,0))</f>
        <v>4.0624645841598698E-3</v>
      </c>
      <c r="ED8">
        <f>INDEX($B$22:$GQ$22,MATCH(133,$B$29:$GQ$29,0))</f>
        <v>1.8210031991701299E-3</v>
      </c>
      <c r="EE8">
        <f>INDEX($B$22:$GQ$22,MATCH(134,$B$29:$GQ$29,0))</f>
        <v>0</v>
      </c>
      <c r="EF8">
        <f>INDEX($B$22:$GQ$22,MATCH(135,$B$29:$GQ$29,0))</f>
        <v>0</v>
      </c>
      <c r="EG8">
        <f>INDEX($B$22:$GQ$22,MATCH(136,$B$29:$GQ$29,0))</f>
        <v>0</v>
      </c>
      <c r="EH8">
        <f>INDEX($B$22:$GQ$22,MATCH(137,$B$29:$GQ$29,0))</f>
        <v>0</v>
      </c>
      <c r="EI8">
        <f>INDEX($B$22:$GQ$22,MATCH(138,$B$29:$GQ$29,0))</f>
        <v>0</v>
      </c>
      <c r="EJ8">
        <f>INDEX($B$22:$GQ$22,MATCH(139,$B$29:$GQ$29,0))</f>
        <v>0</v>
      </c>
      <c r="EK8">
        <f>INDEX($B$22:$GQ$22,MATCH(140,$B$29:$GQ$29,0))</f>
        <v>0</v>
      </c>
      <c r="EL8">
        <f>INDEX($B$22:$GQ$22,MATCH(141,$B$29:$GQ$29,0))</f>
        <v>0</v>
      </c>
      <c r="EM8">
        <f>INDEX($B$22:$GQ$22,MATCH(142,$B$29:$GQ$29,0))</f>
        <v>0</v>
      </c>
      <c r="EN8">
        <f>INDEX($B$22:$GQ$22,MATCH(143,$B$29:$GQ$29,0))</f>
        <v>0</v>
      </c>
      <c r="EO8">
        <f>INDEX($B$22:$GQ$22,MATCH(144,$B$29:$GQ$29,0))</f>
        <v>0</v>
      </c>
      <c r="EP8">
        <f>INDEX($B$22:$GQ$22,MATCH(145,$B$29:$GQ$29,0))</f>
        <v>0</v>
      </c>
      <c r="EQ8">
        <f>INDEX($B$22:$GQ$22,MATCH(146,$B$29:$GQ$29,0))</f>
        <v>0</v>
      </c>
      <c r="ER8">
        <f>INDEX($B$22:$GQ$22,MATCH(147,$B$29:$GQ$29,0))</f>
        <v>0</v>
      </c>
      <c r="ES8">
        <f>INDEX($B$22:$GQ$22,MATCH(148,$B$29:$GQ$29,0))</f>
        <v>0</v>
      </c>
      <c r="ET8">
        <f>INDEX($B$22:$GQ$22,MATCH(149,$B$29:$GQ$29,0))</f>
        <v>0</v>
      </c>
      <c r="EU8">
        <f>INDEX($B$22:$GQ$22,MATCH(150,$B$29:$GQ$29,0))</f>
        <v>0</v>
      </c>
      <c r="EV8">
        <f>INDEX($B$22:$GQ$22,MATCH(151,$B$29:$GQ$29,0))</f>
        <v>0</v>
      </c>
      <c r="EW8">
        <f>INDEX($B$22:$GQ$22,MATCH(152,$B$29:$GQ$29,0))</f>
        <v>0</v>
      </c>
      <c r="EX8">
        <f>INDEX($B$22:$GQ$22,MATCH(153,$B$29:$GQ$29,0))</f>
        <v>0</v>
      </c>
      <c r="EY8">
        <f>INDEX($B$22:$GQ$22,MATCH(154,$B$29:$GQ$29,0))</f>
        <v>0</v>
      </c>
      <c r="EZ8">
        <f>INDEX($B$22:$GQ$22,MATCH(155,$B$29:$GQ$29,0))</f>
        <v>0</v>
      </c>
      <c r="FA8">
        <f>INDEX($B$22:$GQ$22,MATCH(156,$B$29:$GQ$29,0))</f>
        <v>0</v>
      </c>
      <c r="FB8">
        <f>INDEX($B$22:$GQ$22,MATCH(157,$B$29:$GQ$29,0))</f>
        <v>0</v>
      </c>
      <c r="FC8">
        <f>INDEX($B$22:$GQ$22,MATCH(158,$B$29:$GQ$29,0))</f>
        <v>0</v>
      </c>
      <c r="FD8">
        <f>INDEX($B$22:$GQ$22,MATCH(159,$B$29:$GQ$29,0))</f>
        <v>0</v>
      </c>
      <c r="FE8">
        <f>INDEX($B$22:$GQ$22,MATCH(160,$B$29:$GQ$29,0))</f>
        <v>0</v>
      </c>
      <c r="FF8">
        <f>INDEX($B$22:$GQ$22,MATCH(161,$B$29:$GQ$29,0))</f>
        <v>0</v>
      </c>
      <c r="FG8">
        <f>INDEX($B$22:$GQ$22,MATCH(162,$B$29:$GQ$29,0))</f>
        <v>0</v>
      </c>
      <c r="FH8">
        <f>INDEX($B$22:$GQ$22,MATCH(163,$B$29:$GQ$29,0))</f>
        <v>0</v>
      </c>
      <c r="FI8">
        <f>INDEX($B$22:$GQ$22,MATCH(164,$B$29:$GQ$29,0))</f>
        <v>0</v>
      </c>
      <c r="FJ8">
        <f>INDEX($B$22:$GQ$22,MATCH(165,$B$29:$GQ$29,0))</f>
        <v>0</v>
      </c>
      <c r="FK8">
        <f>INDEX($B$22:$GQ$22,MATCH(166,$B$29:$GQ$29,0))</f>
        <v>0</v>
      </c>
      <c r="FL8">
        <f>INDEX($B$22:$GQ$22,MATCH(167,$B$29:$GQ$29,0))</f>
        <v>0</v>
      </c>
      <c r="FM8">
        <f>INDEX($B$22:$GQ$22,MATCH(168,$B$29:$GQ$29,0))</f>
        <v>0</v>
      </c>
      <c r="FN8">
        <f>INDEX($B$22:$GQ$22,MATCH(169,$B$29:$GQ$29,0))</f>
        <v>0</v>
      </c>
      <c r="FO8">
        <f>INDEX($B$22:$GQ$22,MATCH(170,$B$29:$GQ$29,0))</f>
        <v>0</v>
      </c>
      <c r="FP8">
        <f>INDEX($B$22:$GQ$22,MATCH(171,$B$29:$GQ$29,0))</f>
        <v>0</v>
      </c>
      <c r="FQ8">
        <f>INDEX($B$22:$GQ$22,MATCH(172,$B$29:$GQ$29,0))</f>
        <v>0</v>
      </c>
      <c r="FR8">
        <f>INDEX($B$22:$GQ$22,MATCH(173,$B$29:$GQ$29,0))</f>
        <v>0</v>
      </c>
      <c r="FS8">
        <f>INDEX($B$22:$GQ$22,MATCH(174,$B$29:$GQ$29,0))</f>
        <v>0</v>
      </c>
      <c r="FT8">
        <f>INDEX($B$22:$GQ$22,MATCH(175,$B$29:$GQ$29,0))</f>
        <v>0</v>
      </c>
      <c r="FU8">
        <f>INDEX($B$22:$GQ$22,MATCH(176,$B$29:$GQ$29,0))</f>
        <v>0</v>
      </c>
      <c r="FV8">
        <f>INDEX($B$22:$GQ$22,MATCH(177,$B$29:$GQ$29,0))</f>
        <v>0</v>
      </c>
      <c r="FW8">
        <f>INDEX($B$22:$GQ$22,MATCH(178,$B$29:$GQ$29,0))</f>
        <v>0</v>
      </c>
      <c r="FX8">
        <f>INDEX($B$22:$GQ$22,MATCH(179,$B$29:$GQ$29,0))</f>
        <v>0</v>
      </c>
      <c r="FY8">
        <f>INDEX($B$22:$GQ$22,MATCH(180,$B$29:$GQ$29,0))</f>
        <v>0</v>
      </c>
      <c r="FZ8">
        <f>INDEX($B$22:$GQ$22,MATCH(181,$B$29:$GQ$29,0))</f>
        <v>0</v>
      </c>
      <c r="GA8">
        <f>INDEX($B$22:$GQ$22,MATCH(182,$B$29:$GQ$29,0))</f>
        <v>0</v>
      </c>
      <c r="GB8">
        <f>INDEX($B$22:$GQ$22,MATCH(183,$B$29:$GQ$29,0))</f>
        <v>0</v>
      </c>
      <c r="GC8">
        <f>INDEX($B$22:$GQ$22,MATCH(184,$B$29:$GQ$29,0))</f>
        <v>0</v>
      </c>
      <c r="GD8">
        <f>INDEX($B$22:$GQ$22,MATCH(185,$B$29:$GQ$29,0))</f>
        <v>0</v>
      </c>
      <c r="GE8">
        <f>INDEX($B$22:$GQ$22,MATCH(186,$B$29:$GQ$29,0))</f>
        <v>0</v>
      </c>
      <c r="GF8">
        <f>INDEX($B$22:$GQ$22,MATCH(187,$B$29:$GQ$29,0))</f>
        <v>0</v>
      </c>
      <c r="GG8">
        <f>INDEX($B$22:$GQ$22,MATCH(188,$B$29:$GQ$29,0))</f>
        <v>0</v>
      </c>
      <c r="GH8">
        <f>INDEX($B$22:$GQ$22,MATCH(189,$B$29:$GQ$29,0))</f>
        <v>0</v>
      </c>
      <c r="GI8">
        <f>INDEX($B$22:$GQ$22,MATCH(190,$B$29:$GQ$29,0))</f>
        <v>0</v>
      </c>
      <c r="GJ8">
        <f>INDEX($B$22:$GQ$22,MATCH(191,$B$29:$GQ$29,0))</f>
        <v>0</v>
      </c>
      <c r="GK8">
        <f>INDEX($B$22:$GQ$22,MATCH(192,$B$29:$GQ$29,0))</f>
        <v>0</v>
      </c>
      <c r="GL8">
        <f>INDEX($B$22:$GQ$22,MATCH(193,$B$29:$GQ$29,0))</f>
        <v>0</v>
      </c>
      <c r="GM8">
        <f>INDEX($B$22:$GQ$22,MATCH(194,$B$29:$GQ$29,0))</f>
        <v>0</v>
      </c>
      <c r="GN8">
        <f>INDEX($B$22:$GQ$22,MATCH(195,$B$29:$GQ$29,0))</f>
        <v>0</v>
      </c>
      <c r="GO8">
        <f>INDEX($B$22:$GQ$22,MATCH(196,$B$29:$GQ$29,0))</f>
        <v>0</v>
      </c>
      <c r="GP8">
        <f>INDEX($B$22:$GQ$22,MATCH(197,$B$29:$GQ$29,0))</f>
        <v>0</v>
      </c>
      <c r="GQ8">
        <f>INDEX($B$22:$GQ$22,MATCH(198,$B$29:$GQ$29,0))</f>
        <v>0</v>
      </c>
      <c r="GR8">
        <f>INDEX($GR$22:$HC$22,MATCH(1,$GR$30:$HC$30,0))</f>
        <v>348068.80637080298</v>
      </c>
      <c r="GS8">
        <f>INDEX($GR$22:$HC$22,MATCH(2,$GR$30:$HC$30,0))</f>
        <v>879887.65012239758</v>
      </c>
      <c r="GT8">
        <f>INDEX($GR$22:$HC$22,MATCH(3,$GR$30:$HC$30,0))</f>
        <v>76311.734081727249</v>
      </c>
      <c r="GU8">
        <f>INDEX($GR$22:$HC$22,MATCH(4,$GR$30:$HC$30,0))</f>
        <v>115961.4466882009</v>
      </c>
      <c r="GV8">
        <f>INDEX($GR$22:$HC$22,MATCH(5,$GR$30:$HC$30,0))</f>
        <v>35754.451946233312</v>
      </c>
      <c r="GW8">
        <f>INDEX($GR$22:$HC$22,MATCH(6,$GR$30:$HC$30,0))</f>
        <v>31083.776765543069</v>
      </c>
      <c r="GX8">
        <f>INDEX($GR$22:$HC$22,MATCH(7,$GR$30:$HC$30,0))</f>
        <v>5617.0054188691001</v>
      </c>
      <c r="GY8">
        <f>INDEX($GR$22:$HC$22,MATCH(8,$GR$30:$HC$30,0))</f>
        <v>8862.9789436519168</v>
      </c>
      <c r="GZ8">
        <f>INDEX($GR$22:$HC$22,MATCH(9,$GR$30:$HC$30,0))</f>
        <v>83954.164852629998</v>
      </c>
      <c r="HA8">
        <f>INDEX($GR$22:$HC$22,MATCH(10,$GR$30:$HC$30,0))</f>
        <v>10307.068231872499</v>
      </c>
      <c r="HB8">
        <f>INDEX($GR$22:$HC$22,MATCH(11,$GR$30:$HC$30,0))</f>
        <v>8625.6836483218303</v>
      </c>
      <c r="HC8">
        <f>INDEX($GR$22:$HC$22,MATCH(12,$GR$30:$HC$30,0))</f>
        <v>5050.4413716326299</v>
      </c>
    </row>
    <row r="9" spans="1:211" x14ac:dyDescent="0.45">
      <c r="A9" s="1" t="s">
        <v>8</v>
      </c>
      <c r="B9">
        <f>INDEX($B$23:$GQ$23,MATCH(1,$B$29:$GQ$29,0))</f>
        <v>63490.529852546177</v>
      </c>
      <c r="C9">
        <f>INDEX($B$23:$GQ$23,MATCH(2,$B$29:$GQ$29,0))</f>
        <v>42136.086801765763</v>
      </c>
      <c r="D9">
        <f>INDEX($B$23:$GQ$23,MATCH(3,$B$29:$GQ$29,0))</f>
        <v>11997.02852233597</v>
      </c>
      <c r="E9">
        <f>INDEX($B$23:$GQ$23,MATCH(4,$B$29:$GQ$29,0))</f>
        <v>11283.297464870209</v>
      </c>
      <c r="F9">
        <f>INDEX($B$23:$GQ$23,MATCH(5,$B$29:$GQ$29,0))</f>
        <v>32457.217172268662</v>
      </c>
      <c r="G9">
        <f>INDEX($B$23:$GQ$23,MATCH(6,$B$29:$GQ$29,0))</f>
        <v>24774.927940372861</v>
      </c>
      <c r="H9">
        <f>INDEX($B$23:$GQ$23,MATCH(7,$B$29:$GQ$29,0))</f>
        <v>11427.108488956779</v>
      </c>
      <c r="I9">
        <f>INDEX($B$23:$GQ$23,MATCH(8,$B$29:$GQ$29,0))</f>
        <v>18327.909451053529</v>
      </c>
      <c r="J9">
        <f>INDEX($B$23:$GQ$23,MATCH(9,$B$29:$GQ$29,0))</f>
        <v>17749.92791943259</v>
      </c>
      <c r="K9">
        <f>INDEX($B$23:$GQ$23,MATCH(10,$B$29:$GQ$29,0))</f>
        <v>13023.07525564579</v>
      </c>
      <c r="L9">
        <f>INDEX($B$23:$GQ$23,MATCH(11,$B$29:$GQ$29,0))</f>
        <v>15362.166589894459</v>
      </c>
      <c r="M9">
        <f>INDEX($B$23:$GQ$23,MATCH(12,$B$29:$GQ$29,0))</f>
        <v>12231.04078183857</v>
      </c>
      <c r="N9">
        <f>INDEX($B$23:$GQ$23,MATCH(13,$B$29:$GQ$29,0))</f>
        <v>4612.3634155671571</v>
      </c>
      <c r="O9">
        <f>INDEX($B$23:$GQ$23,MATCH(14,$B$29:$GQ$29,0))</f>
        <v>1033.464361119693</v>
      </c>
      <c r="P9">
        <f>INDEX($B$23:$GQ$23,MATCH(15,$B$29:$GQ$29,0))</f>
        <v>8896.2278759452511</v>
      </c>
      <c r="Q9">
        <f>INDEX($B$23:$GQ$23,MATCH(16,$B$29:$GQ$29,0))</f>
        <v>4506.751600540274</v>
      </c>
      <c r="R9">
        <f>INDEX($B$23:$GQ$23,MATCH(17,$B$29:$GQ$29,0))</f>
        <v>3039.9474637378999</v>
      </c>
      <c r="S9">
        <f>INDEX($B$23:$GQ$23,MATCH(18,$B$29:$GQ$29,0))</f>
        <v>9207.7472613137597</v>
      </c>
      <c r="T9">
        <f>INDEX($B$23:$GQ$23,MATCH(19,$B$29:$GQ$29,0))</f>
        <v>2649.0351445753649</v>
      </c>
      <c r="U9">
        <f>INDEX($B$23:$GQ$23,MATCH(20,$B$29:$GQ$29,0))</f>
        <v>10081.1667894373</v>
      </c>
      <c r="V9">
        <f>INDEX($B$23:$GQ$23,MATCH(21,$B$29:$GQ$29,0))</f>
        <v>51.642637005333462</v>
      </c>
      <c r="W9">
        <f>INDEX($B$23:$GQ$23,MATCH(22,$B$29:$GQ$29,0))</f>
        <v>7240.5526875562809</v>
      </c>
      <c r="X9">
        <f>INDEX($B$23:$GQ$23,MATCH(23,$B$29:$GQ$29,0))</f>
        <v>3473.8607501416218</v>
      </c>
      <c r="Y9">
        <f>INDEX($B$23:$GQ$23,MATCH(24,$B$29:$GQ$29,0))</f>
        <v>6229.5134082439336</v>
      </c>
      <c r="Z9">
        <f>INDEX($B$23:$GQ$23,MATCH(25,$B$29:$GQ$29,0))</f>
        <v>1820.786835209323</v>
      </c>
      <c r="AA9">
        <f>INDEX($B$23:$GQ$23,MATCH(26,$B$29:$GQ$29,0))</f>
        <v>3473.1346986178451</v>
      </c>
      <c r="AB9">
        <f>INDEX($B$23:$GQ$23,MATCH(27,$B$29:$GQ$29,0))</f>
        <v>5797.021638158024</v>
      </c>
      <c r="AC9">
        <f>INDEX($B$23:$GQ$23,MATCH(28,$B$29:$GQ$29,0))</f>
        <v>6086.3255375392127</v>
      </c>
      <c r="AD9">
        <f>INDEX($B$23:$GQ$23,MATCH(29,$B$29:$GQ$29,0))</f>
        <v>4001.8724437995379</v>
      </c>
      <c r="AE9">
        <f>INDEX($B$23:$GQ$23,MATCH(30,$B$29:$GQ$29,0))</f>
        <v>925.43867764450692</v>
      </c>
      <c r="AF9">
        <f>INDEX($B$23:$GQ$23,MATCH(31,$B$29:$GQ$29,0))</f>
        <v>1328.0757764171781</v>
      </c>
      <c r="AG9">
        <f>INDEX($B$23:$GQ$23,MATCH(32,$B$29:$GQ$29,0))</f>
        <v>948.10473031719141</v>
      </c>
      <c r="AH9">
        <f>INDEX($B$23:$GQ$23,MATCH(33,$B$29:$GQ$29,0))</f>
        <v>1675.4290935784641</v>
      </c>
      <c r="AI9">
        <f>INDEX($B$23:$GQ$23,MATCH(34,$B$29:$GQ$29,0))</f>
        <v>502.90228032645558</v>
      </c>
      <c r="AJ9">
        <f>INDEX($B$23:$GQ$23,MATCH(35,$B$29:$GQ$29,0))</f>
        <v>3761.792715315235</v>
      </c>
      <c r="AK9">
        <f>INDEX($B$23:$GQ$23,MATCH(36,$B$29:$GQ$29,0))</f>
        <v>595.56040279127535</v>
      </c>
      <c r="AL9">
        <f>INDEX($B$23:$GQ$23,MATCH(37,$B$29:$GQ$29,0))</f>
        <v>3962.2894849011818</v>
      </c>
      <c r="AM9">
        <f>INDEX($B$23:$GQ$23,MATCH(38,$B$29:$GQ$29,0))</f>
        <v>4111.4256786189426</v>
      </c>
      <c r="AN9">
        <f>INDEX($B$23:$GQ$23,MATCH(39,$B$29:$GQ$29,0))</f>
        <v>169.59429349450329</v>
      </c>
      <c r="AO9">
        <f>INDEX($B$23:$GQ$23,MATCH(40,$B$29:$GQ$29,0))</f>
        <v>252.21623864954071</v>
      </c>
      <c r="AP9">
        <f>INDEX($B$23:$GQ$23,MATCH(41,$B$29:$GQ$29,0))</f>
        <v>3588.4230930239969</v>
      </c>
      <c r="AQ9">
        <f>INDEX($B$23:$GQ$23,MATCH(42,$B$29:$GQ$29,0))</f>
        <v>3615.142973502705</v>
      </c>
      <c r="AR9">
        <f>INDEX($B$23:$GQ$23,MATCH(43,$B$29:$GQ$29,0))</f>
        <v>1504.0609301956549</v>
      </c>
      <c r="AS9">
        <f>INDEX($B$23:$GQ$23,MATCH(44,$B$29:$GQ$29,0))</f>
        <v>3421.1119958345098</v>
      </c>
      <c r="AT9">
        <f>INDEX($B$23:$GQ$23,MATCH(45,$B$29:$GQ$29,0))</f>
        <v>1676.6966131113979</v>
      </c>
      <c r="AU9">
        <f>INDEX($B$23:$GQ$23,MATCH(46,$B$29:$GQ$29,0))</f>
        <v>1066.4799910535639</v>
      </c>
      <c r="AV9">
        <f>INDEX($B$23:$GQ$23,MATCH(47,$B$29:$GQ$29,0))</f>
        <v>2630.213790199994</v>
      </c>
      <c r="AW9">
        <f>INDEX($B$23:$GQ$23,MATCH(48,$B$29:$GQ$29,0))</f>
        <v>2887.014971947292</v>
      </c>
      <c r="AX9">
        <f>INDEX($B$23:$GQ$23,MATCH(49,$B$29:$GQ$29,0))</f>
        <v>853.53051172087157</v>
      </c>
      <c r="AY9">
        <f>INDEX($B$23:$GQ$23,MATCH(50,$B$29:$GQ$29,0))</f>
        <v>0</v>
      </c>
      <c r="AZ9">
        <f>INDEX($B$23:$GQ$23,MATCH(51,$B$29:$GQ$29,0))</f>
        <v>1379.1339829923279</v>
      </c>
      <c r="BA9">
        <f>INDEX($B$23:$GQ$23,MATCH(52,$B$29:$GQ$29,0))</f>
        <v>2131.6381233523962</v>
      </c>
      <c r="BB9">
        <f>INDEX($B$23:$GQ$23,MATCH(53,$B$29:$GQ$29,0))</f>
        <v>537.35935329368374</v>
      </c>
      <c r="BC9">
        <f>INDEX($B$23:$GQ$23,MATCH(54,$B$29:$GQ$29,0))</f>
        <v>705.5600320879563</v>
      </c>
      <c r="BD9">
        <f>INDEX($B$23:$GQ$23,MATCH(55,$B$29:$GQ$29,0))</f>
        <v>990.68557259841293</v>
      </c>
      <c r="BE9">
        <f>INDEX($B$23:$GQ$23,MATCH(56,$B$29:$GQ$29,0))</f>
        <v>585.58148930708614</v>
      </c>
      <c r="BF9">
        <f>INDEX($B$23:$GQ$23,MATCH(57,$B$29:$GQ$29,0))</f>
        <v>1292.722740305649</v>
      </c>
      <c r="BG9">
        <f>INDEX($B$23:$GQ$23,MATCH(58,$B$29:$GQ$29,0))</f>
        <v>271.09675442389067</v>
      </c>
      <c r="BH9">
        <f>INDEX($B$23:$GQ$23,MATCH(59,$B$29:$GQ$29,0))</f>
        <v>782.7963025647864</v>
      </c>
      <c r="BI9">
        <f>INDEX($B$23:$GQ$23,MATCH(60,$B$29:$GQ$29,0))</f>
        <v>1314.4896605135809</v>
      </c>
      <c r="BJ9">
        <f>INDEX($B$23:$GQ$23,MATCH(61,$B$29:$GQ$29,0))</f>
        <v>662.78486193696176</v>
      </c>
      <c r="BK9">
        <f>INDEX($B$23:$GQ$23,MATCH(62,$B$29:$GQ$29,0))</f>
        <v>1509.6522066257851</v>
      </c>
      <c r="BL9">
        <f>INDEX($B$23:$GQ$23,MATCH(63,$B$29:$GQ$29,0))</f>
        <v>87.573450776461669</v>
      </c>
      <c r="BM9">
        <f>INDEX($B$23:$GQ$23,MATCH(64,$B$29:$GQ$29,0))</f>
        <v>1321.333951828791</v>
      </c>
      <c r="BN9">
        <f>INDEX($B$23:$GQ$23,MATCH(65,$B$29:$GQ$29,0))</f>
        <v>1194.1512607584691</v>
      </c>
      <c r="BO9">
        <f>INDEX($B$23:$GQ$23,MATCH(66,$B$29:$GQ$29,0))</f>
        <v>1174.402863389354</v>
      </c>
      <c r="BP9">
        <f>INDEX($B$23:$GQ$23,MATCH(67,$B$29:$GQ$29,0))</f>
        <v>273.79670809141248</v>
      </c>
      <c r="BQ9">
        <f>INDEX($B$23:$GQ$23,MATCH(68,$B$29:$GQ$29,0))</f>
        <v>973.56443342317698</v>
      </c>
      <c r="BR9">
        <f>INDEX($B$23:$GQ$23,MATCH(69,$B$29:$GQ$29,0))</f>
        <v>963.59974039017686</v>
      </c>
      <c r="BS9">
        <f>INDEX($B$23:$GQ$23,MATCH(70,$B$29:$GQ$29,0))</f>
        <v>309.61717365587771</v>
      </c>
      <c r="BT9">
        <f>INDEX($B$23:$GQ$23,MATCH(71,$B$29:$GQ$29,0))</f>
        <v>0</v>
      </c>
      <c r="BU9">
        <f>INDEX($B$23:$GQ$23,MATCH(72,$B$29:$GQ$29,0))</f>
        <v>221.04682252628419</v>
      </c>
      <c r="BV9">
        <f>INDEX($B$23:$GQ$23,MATCH(73,$B$29:$GQ$29,0))</f>
        <v>21.487326533760481</v>
      </c>
      <c r="BW9">
        <f>INDEX($B$23:$GQ$23,MATCH(74,$B$29:$GQ$29,0))</f>
        <v>532.73055353989923</v>
      </c>
      <c r="BX9">
        <f>INDEX($B$23:$GQ$23,MATCH(75,$B$29:$GQ$29,0))</f>
        <v>490.73110806627278</v>
      </c>
      <c r="BY9">
        <f>INDEX($B$23:$GQ$23,MATCH(76,$B$29:$GQ$29,0))</f>
        <v>188.37552172304211</v>
      </c>
      <c r="BZ9">
        <f>INDEX($B$23:$GQ$23,MATCH(77,$B$29:$GQ$29,0))</f>
        <v>269.63087512323239</v>
      </c>
      <c r="CA9">
        <f>INDEX($B$23:$GQ$23,MATCH(78,$B$29:$GQ$29,0))</f>
        <v>102.05462533649769</v>
      </c>
      <c r="CB9">
        <f>INDEX($B$23:$GQ$23,MATCH(79,$B$29:$GQ$29,0))</f>
        <v>371.37473498337158</v>
      </c>
      <c r="CC9">
        <f>INDEX($B$23:$GQ$23,MATCH(80,$B$29:$GQ$29,0))</f>
        <v>73.35565809246107</v>
      </c>
      <c r="CD9">
        <f>INDEX($B$23:$GQ$23,MATCH(81,$B$29:$GQ$29,0))</f>
        <v>259.7142955437356</v>
      </c>
      <c r="CE9">
        <f>INDEX($B$23:$GQ$23,MATCH(82,$B$29:$GQ$29,0))</f>
        <v>332.9273162437218</v>
      </c>
      <c r="CF9">
        <f>INDEX($B$23:$GQ$23,MATCH(83,$B$29:$GQ$29,0))</f>
        <v>116.41680716907</v>
      </c>
      <c r="CG9">
        <f>INDEX($B$23:$GQ$23,MATCH(84,$B$29:$GQ$29,0))</f>
        <v>196.70194833059799</v>
      </c>
      <c r="CH9">
        <f>INDEX($B$23:$GQ$23,MATCH(85,$B$29:$GQ$29,0))</f>
        <v>179.5787767209722</v>
      </c>
      <c r="CI9">
        <f>INDEX($B$23:$GQ$23,MATCH(86,$B$29:$GQ$29,0))</f>
        <v>7.2428481360838806</v>
      </c>
      <c r="CJ9">
        <f>INDEX($B$23:$GQ$23,MATCH(87,$B$29:$GQ$29,0))</f>
        <v>60.34188838270299</v>
      </c>
      <c r="CK9">
        <f>INDEX($B$23:$GQ$23,MATCH(88,$B$29:$GQ$29,0))</f>
        <v>161.79068599238479</v>
      </c>
      <c r="CL9">
        <f>INDEX($B$23:$GQ$23,MATCH(89,$B$29:$GQ$29,0))</f>
        <v>153.44206977963881</v>
      </c>
      <c r="CM9">
        <f>INDEX($B$23:$GQ$23,MATCH(90,$B$29:$GQ$29,0))</f>
        <v>164.848278324235</v>
      </c>
      <c r="CN9">
        <f>INDEX($B$23:$GQ$23,MATCH(91,$B$29:$GQ$29,0))</f>
        <v>150.37490646514931</v>
      </c>
      <c r="CO9">
        <f>INDEX($B$23:$GQ$23,MATCH(92,$B$29:$GQ$29,0))</f>
        <v>125.79056364480471</v>
      </c>
      <c r="CP9">
        <f>INDEX($B$23:$GQ$23,MATCH(93,$B$29:$GQ$29,0))</f>
        <v>43.780389983134988</v>
      </c>
      <c r="CQ9">
        <f>INDEX($B$23:$GQ$23,MATCH(94,$B$29:$GQ$29,0))</f>
        <v>3.1409776783905681</v>
      </c>
      <c r="CR9">
        <f>INDEX($B$23:$GQ$23,MATCH(95,$B$29:$GQ$29,0))</f>
        <v>108.8606657069332</v>
      </c>
      <c r="CS9">
        <f>INDEX($B$23:$GQ$23,MATCH(96,$B$29:$GQ$29,0))</f>
        <v>99.922941694247811</v>
      </c>
      <c r="CT9">
        <f>INDEX($B$23:$GQ$23,MATCH(97,$B$29:$GQ$29,0))</f>
        <v>98.850797887758404</v>
      </c>
      <c r="CU9">
        <f>INDEX($B$23:$GQ$23,MATCH(98,$B$29:$GQ$29,0))</f>
        <v>95.131633611732354</v>
      </c>
      <c r="CV9">
        <f>INDEX($B$23:$GQ$23,MATCH(99,$B$29:$GQ$29,0))</f>
        <v>76.212726230458756</v>
      </c>
      <c r="CW9">
        <f>INDEX($B$23:$GQ$23,MATCH(100,$B$29:$GQ$29,0))</f>
        <v>33.042378047772623</v>
      </c>
      <c r="CX9">
        <f>INDEX($B$23:$GQ$23,MATCH(101,$B$29:$GQ$29,0))</f>
        <v>69.398549713538884</v>
      </c>
      <c r="CY9">
        <f>INDEX($B$23:$GQ$23,MATCH(102,$B$29:$GQ$29,0))</f>
        <v>65.196462269602719</v>
      </c>
      <c r="CZ9">
        <f>INDEX($B$23:$GQ$23,MATCH(103,$B$29:$GQ$29,0))</f>
        <v>76.300328666859471</v>
      </c>
      <c r="DA9">
        <f>INDEX($B$23:$GQ$23,MATCH(104,$B$29:$GQ$29,0))</f>
        <v>51.541812898192077</v>
      </c>
      <c r="DB9">
        <f>INDEX($B$23:$GQ$23,MATCH(105,$B$29:$GQ$29,0))</f>
        <v>59.555209336292947</v>
      </c>
      <c r="DC9">
        <f>INDEX($B$23:$GQ$23,MATCH(106,$B$29:$GQ$29,0))</f>
        <v>0</v>
      </c>
      <c r="DD9">
        <f>INDEX($B$23:$GQ$23,MATCH(107,$B$29:$GQ$29,0))</f>
        <v>45.228931187181793</v>
      </c>
      <c r="DE9">
        <f>INDEX($B$23:$GQ$23,MATCH(108,$B$29:$GQ$29,0))</f>
        <v>36.800594027179187</v>
      </c>
      <c r="DF9">
        <f>INDEX($B$23:$GQ$23,MATCH(109,$B$29:$GQ$29,0))</f>
        <v>33.345688600057159</v>
      </c>
      <c r="DG9">
        <f>INDEX($B$23:$GQ$23,MATCH(110,$B$29:$GQ$29,0))</f>
        <v>11.61029710136701</v>
      </c>
      <c r="DH9">
        <f>INDEX($B$23:$GQ$23,MATCH(111,$B$29:$GQ$29,0))</f>
        <v>0</v>
      </c>
      <c r="DI9">
        <f>INDEX($B$23:$GQ$23,MATCH(112,$B$29:$GQ$29,0))</f>
        <v>17.747398019413811</v>
      </c>
      <c r="DJ9">
        <f>INDEX($B$23:$GQ$23,MATCH(113,$B$29:$GQ$29,0))</f>
        <v>0</v>
      </c>
      <c r="DK9">
        <f>INDEX($B$23:$GQ$23,MATCH(114,$B$29:$GQ$29,0))</f>
        <v>12.08587012839819</v>
      </c>
      <c r="DL9">
        <f>INDEX($B$23:$GQ$23,MATCH(115,$B$29:$GQ$29,0))</f>
        <v>7.1417293149945849</v>
      </c>
      <c r="DM9">
        <f>INDEX($B$23:$GQ$23,MATCH(116,$B$29:$GQ$29,0))</f>
        <v>7.2240970857845914</v>
      </c>
      <c r="DN9">
        <f>INDEX($B$23:$GQ$23,MATCH(117,$B$29:$GQ$29,0))</f>
        <v>10.336304545604211</v>
      </c>
      <c r="DO9">
        <f>INDEX($B$23:$GQ$23,MATCH(118,$B$29:$GQ$29,0))</f>
        <v>10.1353367731507</v>
      </c>
      <c r="DP9">
        <f>INDEX($B$23:$GQ$23,MATCH(119,$B$29:$GQ$29,0))</f>
        <v>2.8800546708426071</v>
      </c>
      <c r="DQ9">
        <f>INDEX($B$23:$GQ$23,MATCH(120,$B$29:$GQ$29,0))</f>
        <v>1.2955441151886971</v>
      </c>
      <c r="DR9">
        <f>INDEX($B$23:$GQ$23,MATCH(121,$B$29:$GQ$29,0))</f>
        <v>0</v>
      </c>
      <c r="DS9">
        <f>INDEX($B$23:$GQ$23,MATCH(122,$B$29:$GQ$29,0))</f>
        <v>5.439587107908415</v>
      </c>
      <c r="DT9">
        <f>INDEX($B$23:$GQ$23,MATCH(123,$B$29:$GQ$29,0))</f>
        <v>0</v>
      </c>
      <c r="DU9">
        <f>INDEX($B$23:$GQ$23,MATCH(124,$B$29:$GQ$29,0))</f>
        <v>0.3765870958775559</v>
      </c>
      <c r="DV9">
        <f>INDEX($B$23:$GQ$23,MATCH(125,$B$29:$GQ$29,0))</f>
        <v>0</v>
      </c>
      <c r="DW9">
        <f>INDEX($B$23:$GQ$23,MATCH(126,$B$29:$GQ$29,0))</f>
        <v>1.020056955171621</v>
      </c>
      <c r="DX9">
        <f>INDEX($B$23:$GQ$23,MATCH(127,$B$29:$GQ$29,0))</f>
        <v>0.66472812718133434</v>
      </c>
      <c r="DY9">
        <f>INDEX($B$23:$GQ$23,MATCH(128,$B$29:$GQ$29,0))</f>
        <v>0.94552339493563775</v>
      </c>
      <c r="DZ9">
        <f>INDEX($B$23:$GQ$23,MATCH(129,$B$29:$GQ$29,0))</f>
        <v>0.18520650540152089</v>
      </c>
      <c r="EA9">
        <f>INDEX($B$23:$GQ$23,MATCH(130,$B$29:$GQ$29,0))</f>
        <v>9.4832804955188713E-2</v>
      </c>
      <c r="EB9">
        <f>INDEX($B$23:$GQ$23,MATCH(131,$B$29:$GQ$29,0))</f>
        <v>0</v>
      </c>
      <c r="EC9">
        <f>INDEX($B$23:$GQ$23,MATCH(132,$B$29:$GQ$29,0))</f>
        <v>2.3562724020304978E-3</v>
      </c>
      <c r="ED9">
        <f>INDEX($B$23:$GQ$23,MATCH(133,$B$29:$GQ$29,0))</f>
        <v>6.7592362834593348E-4</v>
      </c>
      <c r="EE9">
        <f>INDEX($B$23:$GQ$23,MATCH(134,$B$29:$GQ$29,0))</f>
        <v>0</v>
      </c>
      <c r="EF9">
        <f>INDEX($B$23:$GQ$23,MATCH(135,$B$29:$GQ$29,0))</f>
        <v>0</v>
      </c>
      <c r="EG9">
        <f>INDEX($B$23:$GQ$23,MATCH(136,$B$29:$GQ$29,0))</f>
        <v>0</v>
      </c>
      <c r="EH9">
        <f>INDEX($B$23:$GQ$23,MATCH(137,$B$29:$GQ$29,0))</f>
        <v>0</v>
      </c>
      <c r="EI9">
        <f>INDEX($B$23:$GQ$23,MATCH(138,$B$29:$GQ$29,0))</f>
        <v>0</v>
      </c>
      <c r="EJ9">
        <f>INDEX($B$23:$GQ$23,MATCH(139,$B$29:$GQ$29,0))</f>
        <v>0</v>
      </c>
      <c r="EK9">
        <f>INDEX($B$23:$GQ$23,MATCH(140,$B$29:$GQ$29,0))</f>
        <v>0</v>
      </c>
      <c r="EL9">
        <f>INDEX($B$23:$GQ$23,MATCH(141,$B$29:$GQ$29,0))</f>
        <v>0</v>
      </c>
      <c r="EM9">
        <f>INDEX($B$23:$GQ$23,MATCH(142,$B$29:$GQ$29,0))</f>
        <v>0</v>
      </c>
      <c r="EN9">
        <f>INDEX($B$23:$GQ$23,MATCH(143,$B$29:$GQ$29,0))</f>
        <v>0</v>
      </c>
      <c r="EO9">
        <f>INDEX($B$23:$GQ$23,MATCH(144,$B$29:$GQ$29,0))</f>
        <v>0</v>
      </c>
      <c r="EP9">
        <f>INDEX($B$23:$GQ$23,MATCH(145,$B$29:$GQ$29,0))</f>
        <v>0</v>
      </c>
      <c r="EQ9">
        <f>INDEX($B$23:$GQ$23,MATCH(146,$B$29:$GQ$29,0))</f>
        <v>0</v>
      </c>
      <c r="ER9">
        <f>INDEX($B$23:$GQ$23,MATCH(147,$B$29:$GQ$29,0))</f>
        <v>0</v>
      </c>
      <c r="ES9">
        <f>INDEX($B$23:$GQ$23,MATCH(148,$B$29:$GQ$29,0))</f>
        <v>0</v>
      </c>
      <c r="ET9">
        <f>INDEX($B$23:$GQ$23,MATCH(149,$B$29:$GQ$29,0))</f>
        <v>0</v>
      </c>
      <c r="EU9">
        <f>INDEX($B$23:$GQ$23,MATCH(150,$B$29:$GQ$29,0))</f>
        <v>0</v>
      </c>
      <c r="EV9">
        <f>INDEX($B$23:$GQ$23,MATCH(151,$B$29:$GQ$29,0))</f>
        <v>0</v>
      </c>
      <c r="EW9">
        <f>INDEX($B$23:$GQ$23,MATCH(152,$B$29:$GQ$29,0))</f>
        <v>0</v>
      </c>
      <c r="EX9">
        <f>INDEX($B$23:$GQ$23,MATCH(153,$B$29:$GQ$29,0))</f>
        <v>0</v>
      </c>
      <c r="EY9">
        <f>INDEX($B$23:$GQ$23,MATCH(154,$B$29:$GQ$29,0))</f>
        <v>0</v>
      </c>
      <c r="EZ9">
        <f>INDEX($B$23:$GQ$23,MATCH(155,$B$29:$GQ$29,0))</f>
        <v>0</v>
      </c>
      <c r="FA9">
        <f>INDEX($B$23:$GQ$23,MATCH(156,$B$29:$GQ$29,0))</f>
        <v>0</v>
      </c>
      <c r="FB9">
        <f>INDEX($B$23:$GQ$23,MATCH(157,$B$29:$GQ$29,0))</f>
        <v>0</v>
      </c>
      <c r="FC9">
        <f>INDEX($B$23:$GQ$23,MATCH(158,$B$29:$GQ$29,0))</f>
        <v>0</v>
      </c>
      <c r="FD9">
        <f>INDEX($B$23:$GQ$23,MATCH(159,$B$29:$GQ$29,0))</f>
        <v>0</v>
      </c>
      <c r="FE9">
        <f>INDEX($B$23:$GQ$23,MATCH(160,$B$29:$GQ$29,0))</f>
        <v>0</v>
      </c>
      <c r="FF9">
        <f>INDEX($B$23:$GQ$23,MATCH(161,$B$29:$GQ$29,0))</f>
        <v>0</v>
      </c>
      <c r="FG9">
        <f>INDEX($B$23:$GQ$23,MATCH(162,$B$29:$GQ$29,0))</f>
        <v>0</v>
      </c>
      <c r="FH9">
        <f>INDEX($B$23:$GQ$23,MATCH(163,$B$29:$GQ$29,0))</f>
        <v>0</v>
      </c>
      <c r="FI9">
        <f>INDEX($B$23:$GQ$23,MATCH(164,$B$29:$GQ$29,0))</f>
        <v>0</v>
      </c>
      <c r="FJ9">
        <f>INDEX($B$23:$GQ$23,MATCH(165,$B$29:$GQ$29,0))</f>
        <v>0</v>
      </c>
      <c r="FK9">
        <f>INDEX($B$23:$GQ$23,MATCH(166,$B$29:$GQ$29,0))</f>
        <v>0</v>
      </c>
      <c r="FL9">
        <f>INDEX($B$23:$GQ$23,MATCH(167,$B$29:$GQ$29,0))</f>
        <v>0</v>
      </c>
      <c r="FM9">
        <f>INDEX($B$23:$GQ$23,MATCH(168,$B$29:$GQ$29,0))</f>
        <v>0</v>
      </c>
      <c r="FN9">
        <f>INDEX($B$23:$GQ$23,MATCH(169,$B$29:$GQ$29,0))</f>
        <v>0</v>
      </c>
      <c r="FO9">
        <f>INDEX($B$23:$GQ$23,MATCH(170,$B$29:$GQ$29,0))</f>
        <v>0</v>
      </c>
      <c r="FP9">
        <f>INDEX($B$23:$GQ$23,MATCH(171,$B$29:$GQ$29,0))</f>
        <v>0</v>
      </c>
      <c r="FQ9">
        <f>INDEX($B$23:$GQ$23,MATCH(172,$B$29:$GQ$29,0))</f>
        <v>0</v>
      </c>
      <c r="FR9">
        <f>INDEX($B$23:$GQ$23,MATCH(173,$B$29:$GQ$29,0))</f>
        <v>0</v>
      </c>
      <c r="FS9">
        <f>INDEX($B$23:$GQ$23,MATCH(174,$B$29:$GQ$29,0))</f>
        <v>0</v>
      </c>
      <c r="FT9">
        <f>INDEX($B$23:$GQ$23,MATCH(175,$B$29:$GQ$29,0))</f>
        <v>0</v>
      </c>
      <c r="FU9">
        <f>INDEX($B$23:$GQ$23,MATCH(176,$B$29:$GQ$29,0))</f>
        <v>0</v>
      </c>
      <c r="FV9">
        <f>INDEX($B$23:$GQ$23,MATCH(177,$B$29:$GQ$29,0))</f>
        <v>0</v>
      </c>
      <c r="FW9">
        <f>INDEX($B$23:$GQ$23,MATCH(178,$B$29:$GQ$29,0))</f>
        <v>0</v>
      </c>
      <c r="FX9">
        <f>INDEX($B$23:$GQ$23,MATCH(179,$B$29:$GQ$29,0))</f>
        <v>0</v>
      </c>
      <c r="FY9">
        <f>INDEX($B$23:$GQ$23,MATCH(180,$B$29:$GQ$29,0))</f>
        <v>0</v>
      </c>
      <c r="FZ9">
        <f>INDEX($B$23:$GQ$23,MATCH(181,$B$29:$GQ$29,0))</f>
        <v>0</v>
      </c>
      <c r="GA9">
        <f>INDEX($B$23:$GQ$23,MATCH(182,$B$29:$GQ$29,0))</f>
        <v>0</v>
      </c>
      <c r="GB9">
        <f>INDEX($B$23:$GQ$23,MATCH(183,$B$29:$GQ$29,0))</f>
        <v>0</v>
      </c>
      <c r="GC9">
        <f>INDEX($B$23:$GQ$23,MATCH(184,$B$29:$GQ$29,0))</f>
        <v>0</v>
      </c>
      <c r="GD9">
        <f>INDEX($B$23:$GQ$23,MATCH(185,$B$29:$GQ$29,0))</f>
        <v>0</v>
      </c>
      <c r="GE9">
        <f>INDEX($B$23:$GQ$23,MATCH(186,$B$29:$GQ$29,0))</f>
        <v>0</v>
      </c>
      <c r="GF9">
        <f>INDEX($B$23:$GQ$23,MATCH(187,$B$29:$GQ$29,0))</f>
        <v>0</v>
      </c>
      <c r="GG9">
        <f>INDEX($B$23:$GQ$23,MATCH(188,$B$29:$GQ$29,0))</f>
        <v>0</v>
      </c>
      <c r="GH9">
        <f>INDEX($B$23:$GQ$23,MATCH(189,$B$29:$GQ$29,0))</f>
        <v>0</v>
      </c>
      <c r="GI9">
        <f>INDEX($B$23:$GQ$23,MATCH(190,$B$29:$GQ$29,0))</f>
        <v>0</v>
      </c>
      <c r="GJ9">
        <f>INDEX($B$23:$GQ$23,MATCH(191,$B$29:$GQ$29,0))</f>
        <v>0</v>
      </c>
      <c r="GK9">
        <f>INDEX($B$23:$GQ$23,MATCH(192,$B$29:$GQ$29,0))</f>
        <v>0</v>
      </c>
      <c r="GL9">
        <f>INDEX($B$23:$GQ$23,MATCH(193,$B$29:$GQ$29,0))</f>
        <v>0</v>
      </c>
      <c r="GM9">
        <f>INDEX($B$23:$GQ$23,MATCH(194,$B$29:$GQ$29,0))</f>
        <v>0</v>
      </c>
      <c r="GN9">
        <f>INDEX($B$23:$GQ$23,MATCH(195,$B$29:$GQ$29,0))</f>
        <v>0</v>
      </c>
      <c r="GO9">
        <f>INDEX($B$23:$GQ$23,MATCH(196,$B$29:$GQ$29,0))</f>
        <v>0</v>
      </c>
      <c r="GP9">
        <f>INDEX($B$23:$GQ$23,MATCH(197,$B$29:$GQ$29,0))</f>
        <v>0</v>
      </c>
      <c r="GQ9">
        <f>INDEX($B$23:$GQ$23,MATCH(198,$B$29:$GQ$29,0))</f>
        <v>0</v>
      </c>
      <c r="GR9">
        <f>INDEX($GR$23:$HC$23,MATCH(1,$GR$30:$HC$30,0))</f>
        <v>127778.3654795692</v>
      </c>
      <c r="GS9">
        <f>INDEX($GR$23:$HC$23,MATCH(2,$GR$30:$HC$30,0))</f>
        <v>149447.2962916941</v>
      </c>
      <c r="GT9">
        <f>INDEX($GR$23:$HC$23,MATCH(3,$GR$30:$HC$30,0))</f>
        <v>66540.482066168741</v>
      </c>
      <c r="GU9">
        <f>INDEX($GR$23:$HC$23,MATCH(4,$GR$30:$HC$30,0))</f>
        <v>84470.019991352732</v>
      </c>
      <c r="GV9">
        <f>INDEX($GR$23:$HC$23,MATCH(5,$GR$30:$HC$30,0))</f>
        <v>16909.26076125745</v>
      </c>
      <c r="GW9">
        <f>INDEX($GR$23:$HC$23,MATCH(6,$GR$30:$HC$30,0))</f>
        <v>15698.45643054671</v>
      </c>
      <c r="GX9">
        <f>INDEX($GR$23:$HC$23,MATCH(7,$GR$30:$HC$30,0))</f>
        <v>2010.545675769534</v>
      </c>
      <c r="GY9">
        <f>INDEX($GR$23:$HC$23,MATCH(8,$GR$30:$HC$30,0))</f>
        <v>5377.1213538815218</v>
      </c>
      <c r="GZ9">
        <f>INDEX($GR$23:$HC$23,MATCH(9,$GR$30:$HC$30,0))</f>
        <v>12231.04078183857</v>
      </c>
      <c r="HA9">
        <f>INDEX($GR$23:$HC$23,MATCH(10,$GR$30:$HC$30,0))</f>
        <v>4619.606263703241</v>
      </c>
      <c r="HB9">
        <f>INDEX($GR$23:$HC$23,MATCH(11,$GR$30:$HC$30,0))</f>
        <v>4608.8062258767714</v>
      </c>
      <c r="HC9">
        <f>INDEX($GR$23:$HC$23,MATCH(12,$GR$30:$HC$30,0))</f>
        <v>3039.9474637378999</v>
      </c>
    </row>
    <row r="10" spans="1:211" x14ac:dyDescent="0.45">
      <c r="A10" s="1" t="s">
        <v>9</v>
      </c>
      <c r="B10">
        <f>INDEX($B$24:$GQ$24,MATCH(1,$B$29:$GQ$29,0))</f>
        <v>66485.437070662651</v>
      </c>
      <c r="C10">
        <f>INDEX($B$24:$GQ$24,MATCH(2,$B$29:$GQ$29,0))</f>
        <v>22983.62750449856</v>
      </c>
      <c r="D10">
        <f>INDEX($B$24:$GQ$24,MATCH(3,$B$29:$GQ$29,0))</f>
        <v>33248.345419195401</v>
      </c>
      <c r="E10">
        <f>INDEX($B$24:$GQ$24,MATCH(4,$B$29:$GQ$29,0))</f>
        <v>27877.886061186458</v>
      </c>
      <c r="F10">
        <f>INDEX($B$24:$GQ$24,MATCH(5,$B$29:$GQ$29,0))</f>
        <v>18522.684944078741</v>
      </c>
      <c r="G10">
        <f>INDEX($B$24:$GQ$24,MATCH(6,$B$29:$GQ$29,0))</f>
        <v>13198.13530597415</v>
      </c>
      <c r="H10">
        <f>INDEX($B$24:$GQ$24,MATCH(7,$B$29:$GQ$29,0))</f>
        <v>3634.9475265362198</v>
      </c>
      <c r="I10">
        <f>INDEX($B$24:$GQ$24,MATCH(8,$B$29:$GQ$29,0))</f>
        <v>10948.78214072931</v>
      </c>
      <c r="J10">
        <f>INDEX($B$24:$GQ$24,MATCH(9,$B$29:$GQ$29,0))</f>
        <v>9952.0459907032946</v>
      </c>
      <c r="K10">
        <f>INDEX($B$24:$GQ$24,MATCH(10,$B$29:$GQ$29,0))</f>
        <v>7782.8507259846092</v>
      </c>
      <c r="L10">
        <f>INDEX($B$24:$GQ$24,MATCH(11,$B$29:$GQ$29,0))</f>
        <v>9884.9328678586699</v>
      </c>
      <c r="M10">
        <f>INDEX($B$24:$GQ$24,MATCH(12,$B$29:$GQ$29,0))</f>
        <v>12067.48550063746</v>
      </c>
      <c r="N10">
        <f>INDEX($B$24:$GQ$24,MATCH(13,$B$29:$GQ$29,0))</f>
        <v>2706.5844528488001</v>
      </c>
      <c r="O10">
        <f>INDEX($B$24:$GQ$24,MATCH(14,$B$29:$GQ$29,0))</f>
        <v>326.1178594338752</v>
      </c>
      <c r="P10">
        <f>INDEX($B$24:$GQ$24,MATCH(15,$B$29:$GQ$29,0))</f>
        <v>11197.77408229199</v>
      </c>
      <c r="Q10">
        <f>INDEX($B$24:$GQ$24,MATCH(16,$B$29:$GQ$29,0))</f>
        <v>11773.452799956969</v>
      </c>
      <c r="R10">
        <f>INDEX($B$24:$GQ$24,MATCH(17,$B$29:$GQ$29,0))</f>
        <v>11204.49124100663</v>
      </c>
      <c r="S10">
        <f>INDEX($B$24:$GQ$24,MATCH(18,$B$29:$GQ$29,0))</f>
        <v>1878.5371609904689</v>
      </c>
      <c r="T10">
        <f>INDEX($B$24:$GQ$24,MATCH(19,$B$29:$GQ$29,0))</f>
        <v>946.37878761293666</v>
      </c>
      <c r="U10">
        <f>INDEX($B$24:$GQ$24,MATCH(20,$B$29:$GQ$29,0))</f>
        <v>3679.9292110920142</v>
      </c>
      <c r="V10">
        <f>INDEX($B$24:$GQ$24,MATCH(21,$B$29:$GQ$29,0))</f>
        <v>22.932414892675421</v>
      </c>
      <c r="W10">
        <f>INDEX($B$24:$GQ$24,MATCH(22,$B$29:$GQ$29,0))</f>
        <v>2927.8441235978712</v>
      </c>
      <c r="X10">
        <f>INDEX($B$24:$GQ$24,MATCH(23,$B$29:$GQ$29,0))</f>
        <v>5228.255133333183</v>
      </c>
      <c r="Y10">
        <f>INDEX($B$24:$GQ$24,MATCH(24,$B$29:$GQ$29,0))</f>
        <v>1409.643731847975</v>
      </c>
      <c r="Z10">
        <f>INDEX($B$24:$GQ$24,MATCH(25,$B$29:$GQ$29,0))</f>
        <v>3112.3185922810371</v>
      </c>
      <c r="AA10">
        <f>INDEX($B$24:$GQ$24,MATCH(26,$B$29:$GQ$29,0))</f>
        <v>4391.6524663527998</v>
      </c>
      <c r="AB10">
        <f>INDEX($B$24:$GQ$24,MATCH(27,$B$29:$GQ$29,0))</f>
        <v>2678.6223633623749</v>
      </c>
      <c r="AC10">
        <f>INDEX($B$24:$GQ$24,MATCH(28,$B$29:$GQ$29,0))</f>
        <v>2706.6092011704491</v>
      </c>
      <c r="AD10">
        <f>INDEX($B$24:$GQ$24,MATCH(29,$B$29:$GQ$29,0))</f>
        <v>4740.6725180365574</v>
      </c>
      <c r="AE10">
        <f>INDEX($B$24:$GQ$24,MATCH(30,$B$29:$GQ$29,0))</f>
        <v>297.25238787017179</v>
      </c>
      <c r="AF10">
        <f>INDEX($B$24:$GQ$24,MATCH(31,$B$29:$GQ$29,0))</f>
        <v>3022.8744577987759</v>
      </c>
      <c r="AG10">
        <f>INDEX($B$24:$GQ$24,MATCH(32,$B$29:$GQ$29,0))</f>
        <v>5363.9940657729421</v>
      </c>
      <c r="AH10">
        <f>INDEX($B$24:$GQ$24,MATCH(33,$B$29:$GQ$29,0))</f>
        <v>4874.6112053784727</v>
      </c>
      <c r="AI10">
        <f>INDEX($B$24:$GQ$24,MATCH(34,$B$29:$GQ$29,0))</f>
        <v>735.44789288876348</v>
      </c>
      <c r="AJ10">
        <f>INDEX($B$24:$GQ$24,MATCH(35,$B$29:$GQ$29,0))</f>
        <v>2798.841604067492</v>
      </c>
      <c r="AK10">
        <f>INDEX($B$24:$GQ$24,MATCH(36,$B$29:$GQ$29,0))</f>
        <v>1036.2203679946599</v>
      </c>
      <c r="AL10">
        <f>INDEX($B$24:$GQ$24,MATCH(37,$B$29:$GQ$29,0))</f>
        <v>1637.1837584438069</v>
      </c>
      <c r="AM10">
        <f>INDEX($B$24:$GQ$24,MATCH(38,$B$29:$GQ$29,0))</f>
        <v>1831.9863678233539</v>
      </c>
      <c r="AN10">
        <f>INDEX($B$24:$GQ$24,MATCH(39,$B$29:$GQ$29,0))</f>
        <v>5138.142552457467</v>
      </c>
      <c r="AO10">
        <f>INDEX($B$24:$GQ$24,MATCH(40,$B$29:$GQ$29,0))</f>
        <v>369.27390816011922</v>
      </c>
      <c r="AP10">
        <f>INDEX($B$24:$GQ$24,MATCH(41,$B$29:$GQ$29,0))</f>
        <v>1367.3956682571011</v>
      </c>
      <c r="AQ10">
        <f>INDEX($B$24:$GQ$24,MATCH(42,$B$29:$GQ$29,0))</f>
        <v>1547.923252259797</v>
      </c>
      <c r="AR10">
        <f>INDEX($B$24:$GQ$24,MATCH(43,$B$29:$GQ$29,0))</f>
        <v>134.5191653175998</v>
      </c>
      <c r="AS10">
        <f>INDEX($B$24:$GQ$24,MATCH(44,$B$29:$GQ$29,0))</f>
        <v>1475.447280848779</v>
      </c>
      <c r="AT10">
        <f>INDEX($B$24:$GQ$24,MATCH(45,$B$29:$GQ$29,0))</f>
        <v>712.08421953380321</v>
      </c>
      <c r="AU10">
        <f>INDEX($B$24:$GQ$24,MATCH(46,$B$29:$GQ$29,0))</f>
        <v>804.18296491612296</v>
      </c>
      <c r="AV10">
        <f>INDEX($B$24:$GQ$24,MATCH(47,$B$29:$GQ$29,0))</f>
        <v>1323.060188660329</v>
      </c>
      <c r="AW10">
        <f>INDEX($B$24:$GQ$24,MATCH(48,$B$29:$GQ$29,0))</f>
        <v>926.34374168919669</v>
      </c>
      <c r="AX10">
        <f>INDEX($B$24:$GQ$24,MATCH(49,$B$29:$GQ$29,0))</f>
        <v>976.7009884886055</v>
      </c>
      <c r="AY10">
        <f>INDEX($B$24:$GQ$24,MATCH(50,$B$29:$GQ$29,0))</f>
        <v>0</v>
      </c>
      <c r="AZ10">
        <f>INDEX($B$24:$GQ$24,MATCH(51,$B$29:$GQ$29,0))</f>
        <v>785.13261985266297</v>
      </c>
      <c r="BA10">
        <f>INDEX($B$24:$GQ$24,MATCH(52,$B$29:$GQ$29,0))</f>
        <v>954.08162169093907</v>
      </c>
      <c r="BB10">
        <f>INDEX($B$24:$GQ$24,MATCH(53,$B$29:$GQ$29,0))</f>
        <v>550.10438282432847</v>
      </c>
      <c r="BC10">
        <f>INDEX($B$24:$GQ$24,MATCH(54,$B$29:$GQ$29,0))</f>
        <v>1340.1431751455159</v>
      </c>
      <c r="BD10">
        <f>INDEX($B$24:$GQ$24,MATCH(55,$B$29:$GQ$29,0))</f>
        <v>980.42682021455971</v>
      </c>
      <c r="BE10">
        <f>INDEX($B$24:$GQ$24,MATCH(56,$B$29:$GQ$29,0))</f>
        <v>137.76560018639091</v>
      </c>
      <c r="BF10">
        <f>INDEX($B$24:$GQ$24,MATCH(57,$B$29:$GQ$29,0))</f>
        <v>610.39353179706347</v>
      </c>
      <c r="BG10">
        <f>INDEX($B$24:$GQ$24,MATCH(58,$B$29:$GQ$29,0))</f>
        <v>109.0103575333484</v>
      </c>
      <c r="BH10">
        <f>INDEX($B$24:$GQ$24,MATCH(59,$B$29:$GQ$29,0))</f>
        <v>363.17388291660552</v>
      </c>
      <c r="BI10">
        <f>INDEX($B$24:$GQ$24,MATCH(60,$B$29:$GQ$29,0))</f>
        <v>945.32860511783667</v>
      </c>
      <c r="BJ10">
        <f>INDEX($B$24:$GQ$24,MATCH(61,$B$29:$GQ$29,0))</f>
        <v>220.2730245672193</v>
      </c>
      <c r="BK10">
        <f>INDEX($B$24:$GQ$24,MATCH(62,$B$29:$GQ$29,0))</f>
        <v>194.7697436475402</v>
      </c>
      <c r="BL10">
        <f>INDEX($B$24:$GQ$24,MATCH(63,$B$29:$GQ$29,0))</f>
        <v>599.40432303047953</v>
      </c>
      <c r="BM10">
        <f>INDEX($B$24:$GQ$24,MATCH(64,$B$29:$GQ$29,0))</f>
        <v>504.08067906105492</v>
      </c>
      <c r="BN10">
        <f>INDEX($B$24:$GQ$24,MATCH(65,$B$29:$GQ$29,0))</f>
        <v>498.94828610214353</v>
      </c>
      <c r="BO10">
        <f>INDEX($B$24:$GQ$24,MATCH(66,$B$29:$GQ$29,0))</f>
        <v>514.00533833747647</v>
      </c>
      <c r="BP10">
        <f>INDEX($B$24:$GQ$24,MATCH(67,$B$29:$GQ$29,0))</f>
        <v>127.70521452352349</v>
      </c>
      <c r="BQ10">
        <f>INDEX($B$24:$GQ$24,MATCH(68,$B$29:$GQ$29,0))</f>
        <v>632.54756163986201</v>
      </c>
      <c r="BR10">
        <f>INDEX($B$24:$GQ$24,MATCH(69,$B$29:$GQ$29,0))</f>
        <v>632.4777646870815</v>
      </c>
      <c r="BS10">
        <f>INDEX($B$24:$GQ$24,MATCH(70,$B$29:$GQ$29,0))</f>
        <v>184.93814838865489</v>
      </c>
      <c r="BT10">
        <f>INDEX($B$24:$GQ$24,MATCH(71,$B$29:$GQ$29,0))</f>
        <v>0</v>
      </c>
      <c r="BU10">
        <f>INDEX($B$24:$GQ$24,MATCH(72,$B$29:$GQ$29,0))</f>
        <v>615.19934491324841</v>
      </c>
      <c r="BV10">
        <f>INDEX($B$24:$GQ$24,MATCH(73,$B$29:$GQ$29,0))</f>
        <v>21.369153841747639</v>
      </c>
      <c r="BW10">
        <f>INDEX($B$24:$GQ$24,MATCH(74,$B$29:$GQ$29,0))</f>
        <v>250.54661312692241</v>
      </c>
      <c r="BX10">
        <f>INDEX($B$24:$GQ$24,MATCH(75,$B$29:$GQ$29,0))</f>
        <v>195.27238427301171</v>
      </c>
      <c r="BY10">
        <f>INDEX($B$24:$GQ$24,MATCH(76,$B$29:$GQ$29,0))</f>
        <v>522.83510446762205</v>
      </c>
      <c r="BZ10">
        <f>INDEX($B$24:$GQ$24,MATCH(77,$B$29:$GQ$29,0))</f>
        <v>244.3377689951013</v>
      </c>
      <c r="CA10">
        <f>INDEX($B$24:$GQ$24,MATCH(78,$B$29:$GQ$29,0))</f>
        <v>553.81527005590624</v>
      </c>
      <c r="CB10">
        <f>INDEX($B$24:$GQ$24,MATCH(79,$B$29:$GQ$29,0))</f>
        <v>137.52013525201991</v>
      </c>
      <c r="CC10">
        <f>INDEX($B$24:$GQ$24,MATCH(80,$B$29:$GQ$29,0))</f>
        <v>71.467292551774321</v>
      </c>
      <c r="CD10">
        <f>INDEX($B$24:$GQ$24,MATCH(81,$B$29:$GQ$29,0))</f>
        <v>147.52574949365061</v>
      </c>
      <c r="CE10">
        <f>INDEX($B$24:$GQ$24,MATCH(82,$B$29:$GQ$29,0))</f>
        <v>39.071723464552839</v>
      </c>
      <c r="CF10">
        <f>INDEX($B$24:$GQ$24,MATCH(83,$B$29:$GQ$29,0))</f>
        <v>38.784833325543772</v>
      </c>
      <c r="CG10">
        <f>INDEX($B$24:$GQ$24,MATCH(84,$B$29:$GQ$29,0))</f>
        <v>107.3111840141818</v>
      </c>
      <c r="CH10">
        <f>INDEX($B$24:$GQ$24,MATCH(85,$B$29:$GQ$29,0))</f>
        <v>100.5480737951768</v>
      </c>
      <c r="CI10">
        <f>INDEX($B$24:$GQ$24,MATCH(86,$B$29:$GQ$29,0))</f>
        <v>12.05995422918593</v>
      </c>
      <c r="CJ10">
        <f>INDEX($B$24:$GQ$24,MATCH(87,$B$29:$GQ$29,0))</f>
        <v>198.31914588952361</v>
      </c>
      <c r="CK10">
        <f>INDEX($B$24:$GQ$24,MATCH(88,$B$29:$GQ$29,0))</f>
        <v>91.122896193256182</v>
      </c>
      <c r="CL10">
        <f>INDEX($B$24:$GQ$24,MATCH(89,$B$29:$GQ$29,0))</f>
        <v>88.474440815519813</v>
      </c>
      <c r="CM10">
        <f>INDEX($B$24:$GQ$24,MATCH(90,$B$29:$GQ$29,0))</f>
        <v>74.055140811633052</v>
      </c>
      <c r="CN10">
        <f>INDEX($B$24:$GQ$24,MATCH(91,$B$29:$GQ$29,0))</f>
        <v>78.090646576207561</v>
      </c>
      <c r="CO10">
        <f>INDEX($B$24:$GQ$24,MATCH(92,$B$29:$GQ$29,0))</f>
        <v>63.948805848620793</v>
      </c>
      <c r="CP10">
        <f>INDEX($B$24:$GQ$24,MATCH(93,$B$29:$GQ$29,0))</f>
        <v>26.149169323873959</v>
      </c>
      <c r="CQ10">
        <f>INDEX($B$24:$GQ$24,MATCH(94,$B$29:$GQ$29,0))</f>
        <v>1.8113565136200069</v>
      </c>
      <c r="CR10">
        <f>INDEX($B$24:$GQ$24,MATCH(95,$B$29:$GQ$29,0))</f>
        <v>55.605655463544579</v>
      </c>
      <c r="CS10">
        <f>INDEX($B$24:$GQ$24,MATCH(96,$B$29:$GQ$29,0))</f>
        <v>51.548027584152379</v>
      </c>
      <c r="CT10">
        <f>INDEX($B$24:$GQ$24,MATCH(97,$B$29:$GQ$29,0))</f>
        <v>49.836079950189209</v>
      </c>
      <c r="CU10">
        <f>INDEX($B$24:$GQ$24,MATCH(98,$B$29:$GQ$29,0))</f>
        <v>42.180876941810638</v>
      </c>
      <c r="CV10">
        <f>INDEX($B$24:$GQ$24,MATCH(99,$B$29:$GQ$29,0))</f>
        <v>33.758928922956713</v>
      </c>
      <c r="CW10">
        <f>INDEX($B$24:$GQ$24,MATCH(100,$B$29:$GQ$29,0))</f>
        <v>34.689432711207267</v>
      </c>
      <c r="CX10">
        <f>INDEX($B$24:$GQ$24,MATCH(101,$B$29:$GQ$29,0))</f>
        <v>34.871485059959532</v>
      </c>
      <c r="CY10">
        <f>INDEX($B$24:$GQ$24,MATCH(102,$B$29:$GQ$29,0))</f>
        <v>32.607419665338327</v>
      </c>
      <c r="CZ10">
        <f>INDEX($B$24:$GQ$24,MATCH(103,$B$29:$GQ$29,0))</f>
        <v>18.85809107328231</v>
      </c>
      <c r="DA10">
        <f>INDEX($B$24:$GQ$24,MATCH(104,$B$29:$GQ$29,0))</f>
        <v>29.12911142085607</v>
      </c>
      <c r="DB10">
        <f>INDEX($B$24:$GQ$24,MATCH(105,$B$29:$GQ$29,0))</f>
        <v>29.961802584948568</v>
      </c>
      <c r="DC10">
        <f>INDEX($B$24:$GQ$24,MATCH(106,$B$29:$GQ$29,0))</f>
        <v>0</v>
      </c>
      <c r="DD10">
        <f>INDEX($B$24:$GQ$24,MATCH(107,$B$29:$GQ$29,0))</f>
        <v>23.58580780273622</v>
      </c>
      <c r="DE10">
        <f>INDEX($B$24:$GQ$24,MATCH(108,$B$29:$GQ$29,0))</f>
        <v>18.886454520164161</v>
      </c>
      <c r="DF10">
        <f>INDEX($B$24:$GQ$24,MATCH(109,$B$29:$GQ$29,0))</f>
        <v>18.1804557039084</v>
      </c>
      <c r="DG10">
        <f>INDEX($B$24:$GQ$24,MATCH(110,$B$29:$GQ$29,0))</f>
        <v>38.508225942733517</v>
      </c>
      <c r="DH10">
        <f>INDEX($B$24:$GQ$24,MATCH(111,$B$29:$GQ$29,0))</f>
        <v>0</v>
      </c>
      <c r="DI10">
        <f>INDEX($B$24:$GQ$24,MATCH(112,$B$29:$GQ$29,0))</f>
        <v>7.9414911249995512</v>
      </c>
      <c r="DJ10">
        <f>INDEX($B$24:$GQ$24,MATCH(113,$B$29:$GQ$29,0))</f>
        <v>0</v>
      </c>
      <c r="DK10">
        <f>INDEX($B$24:$GQ$24,MATCH(114,$B$29:$GQ$29,0))</f>
        <v>6.0427229385800789</v>
      </c>
      <c r="DL10">
        <f>INDEX($B$24:$GQ$24,MATCH(115,$B$29:$GQ$29,0))</f>
        <v>11.179351054353029</v>
      </c>
      <c r="DM10">
        <f>INDEX($B$24:$GQ$24,MATCH(116,$B$29:$GQ$29,0))</f>
        <v>3.5778285447890581</v>
      </c>
      <c r="DN10">
        <f>INDEX($B$24:$GQ$24,MATCH(117,$B$29:$GQ$29,0))</f>
        <v>3.9626997439929079</v>
      </c>
      <c r="DO10">
        <f>INDEX($B$24:$GQ$24,MATCH(118,$B$29:$GQ$29,0))</f>
        <v>4.7137314960654733</v>
      </c>
      <c r="DP10">
        <f>INDEX($B$24:$GQ$24,MATCH(119,$B$29:$GQ$29,0))</f>
        <v>1.671964596786091</v>
      </c>
      <c r="DQ10">
        <f>INDEX($B$24:$GQ$24,MATCH(120,$B$29:$GQ$29,0))</f>
        <v>0.77386147225120649</v>
      </c>
      <c r="DR10">
        <f>INDEX($B$24:$GQ$24,MATCH(121,$B$29:$GQ$29,0))</f>
        <v>0</v>
      </c>
      <c r="DS10">
        <f>INDEX($B$24:$GQ$24,MATCH(122,$B$29:$GQ$29,0))</f>
        <v>2.2789135726523111</v>
      </c>
      <c r="DT10">
        <f>INDEX($B$24:$GQ$24,MATCH(123,$B$29:$GQ$29,0))</f>
        <v>0</v>
      </c>
      <c r="DU10">
        <f>INDEX($B$24:$GQ$24,MATCH(124,$B$29:$GQ$29,0))</f>
        <v>0.23746603944646341</v>
      </c>
      <c r="DV10">
        <f>INDEX($B$24:$GQ$24,MATCH(125,$B$29:$GQ$29,0))</f>
        <v>0</v>
      </c>
      <c r="DW10">
        <f>INDEX($B$24:$GQ$24,MATCH(126,$B$29:$GQ$29,0))</f>
        <v>0.47897340959398338</v>
      </c>
      <c r="DX10">
        <f>INDEX($B$24:$GQ$24,MATCH(127,$B$29:$GQ$29,0))</f>
        <v>0.55815816444108424</v>
      </c>
      <c r="DY10">
        <f>INDEX($B$24:$GQ$24,MATCH(128,$B$29:$GQ$29,0))</f>
        <v>8.0575391712821964E-2</v>
      </c>
      <c r="DZ10">
        <f>INDEX($B$24:$GQ$24,MATCH(129,$B$29:$GQ$29,0))</f>
        <v>4.3777269714302437E-2</v>
      </c>
      <c r="EA10">
        <f>INDEX($B$24:$GQ$24,MATCH(130,$B$29:$GQ$29,0))</f>
        <v>0.1237897940367572</v>
      </c>
      <c r="EB10">
        <f>INDEX($B$24:$GQ$24,MATCH(131,$B$29:$GQ$29,0))</f>
        <v>0</v>
      </c>
      <c r="EC10">
        <f>INDEX($B$24:$GQ$24,MATCH(132,$B$29:$GQ$29,0))</f>
        <v>4.9506738528953291E-3</v>
      </c>
      <c r="ED10">
        <f>INDEX($B$24:$GQ$24,MATCH(133,$B$29:$GQ$29,0))</f>
        <v>3.4951462448441171E-4</v>
      </c>
      <c r="EE10">
        <f>INDEX($B$24:$GQ$24,MATCH(134,$B$29:$GQ$29,0))</f>
        <v>0</v>
      </c>
      <c r="EF10">
        <f>INDEX($B$24:$GQ$24,MATCH(135,$B$29:$GQ$29,0))</f>
        <v>0</v>
      </c>
      <c r="EG10">
        <f>INDEX($B$24:$GQ$24,MATCH(136,$B$29:$GQ$29,0))</f>
        <v>0</v>
      </c>
      <c r="EH10">
        <f>INDEX($B$24:$GQ$24,MATCH(137,$B$29:$GQ$29,0))</f>
        <v>0</v>
      </c>
      <c r="EI10">
        <f>INDEX($B$24:$GQ$24,MATCH(138,$B$29:$GQ$29,0))</f>
        <v>0</v>
      </c>
      <c r="EJ10">
        <f>INDEX($B$24:$GQ$24,MATCH(139,$B$29:$GQ$29,0))</f>
        <v>0</v>
      </c>
      <c r="EK10">
        <f>INDEX($B$24:$GQ$24,MATCH(140,$B$29:$GQ$29,0))</f>
        <v>0</v>
      </c>
      <c r="EL10">
        <f>INDEX($B$24:$GQ$24,MATCH(141,$B$29:$GQ$29,0))</f>
        <v>0</v>
      </c>
      <c r="EM10">
        <f>INDEX($B$24:$GQ$24,MATCH(142,$B$29:$GQ$29,0))</f>
        <v>0</v>
      </c>
      <c r="EN10">
        <f>INDEX($B$24:$GQ$24,MATCH(143,$B$29:$GQ$29,0))</f>
        <v>0</v>
      </c>
      <c r="EO10">
        <f>INDEX($B$24:$GQ$24,MATCH(144,$B$29:$GQ$29,0))</f>
        <v>0</v>
      </c>
      <c r="EP10">
        <f>INDEX($B$24:$GQ$24,MATCH(145,$B$29:$GQ$29,0))</f>
        <v>0</v>
      </c>
      <c r="EQ10">
        <f>INDEX($B$24:$GQ$24,MATCH(146,$B$29:$GQ$29,0))</f>
        <v>0</v>
      </c>
      <c r="ER10">
        <f>INDEX($B$24:$GQ$24,MATCH(147,$B$29:$GQ$29,0))</f>
        <v>0</v>
      </c>
      <c r="ES10">
        <f>INDEX($B$24:$GQ$24,MATCH(148,$B$29:$GQ$29,0))</f>
        <v>0</v>
      </c>
      <c r="ET10">
        <f>INDEX($B$24:$GQ$24,MATCH(149,$B$29:$GQ$29,0))</f>
        <v>0</v>
      </c>
      <c r="EU10">
        <f>INDEX($B$24:$GQ$24,MATCH(150,$B$29:$GQ$29,0))</f>
        <v>0</v>
      </c>
      <c r="EV10">
        <f>INDEX($B$24:$GQ$24,MATCH(151,$B$29:$GQ$29,0))</f>
        <v>0</v>
      </c>
      <c r="EW10">
        <f>INDEX($B$24:$GQ$24,MATCH(152,$B$29:$GQ$29,0))</f>
        <v>0</v>
      </c>
      <c r="EX10">
        <f>INDEX($B$24:$GQ$24,MATCH(153,$B$29:$GQ$29,0))</f>
        <v>0</v>
      </c>
      <c r="EY10">
        <f>INDEX($B$24:$GQ$24,MATCH(154,$B$29:$GQ$29,0))</f>
        <v>0</v>
      </c>
      <c r="EZ10">
        <f>INDEX($B$24:$GQ$24,MATCH(155,$B$29:$GQ$29,0))</f>
        <v>0</v>
      </c>
      <c r="FA10">
        <f>INDEX($B$24:$GQ$24,MATCH(156,$B$29:$GQ$29,0))</f>
        <v>0</v>
      </c>
      <c r="FB10">
        <f>INDEX($B$24:$GQ$24,MATCH(157,$B$29:$GQ$29,0))</f>
        <v>0</v>
      </c>
      <c r="FC10">
        <f>INDEX($B$24:$GQ$24,MATCH(158,$B$29:$GQ$29,0))</f>
        <v>0</v>
      </c>
      <c r="FD10">
        <f>INDEX($B$24:$GQ$24,MATCH(159,$B$29:$GQ$29,0))</f>
        <v>0</v>
      </c>
      <c r="FE10">
        <f>INDEX($B$24:$GQ$24,MATCH(160,$B$29:$GQ$29,0))</f>
        <v>0</v>
      </c>
      <c r="FF10">
        <f>INDEX($B$24:$GQ$24,MATCH(161,$B$29:$GQ$29,0))</f>
        <v>0</v>
      </c>
      <c r="FG10">
        <f>INDEX($B$24:$GQ$24,MATCH(162,$B$29:$GQ$29,0))</f>
        <v>0</v>
      </c>
      <c r="FH10">
        <f>INDEX($B$24:$GQ$24,MATCH(163,$B$29:$GQ$29,0))</f>
        <v>0</v>
      </c>
      <c r="FI10">
        <f>INDEX($B$24:$GQ$24,MATCH(164,$B$29:$GQ$29,0))</f>
        <v>0</v>
      </c>
      <c r="FJ10">
        <f>INDEX($B$24:$GQ$24,MATCH(165,$B$29:$GQ$29,0))</f>
        <v>0</v>
      </c>
      <c r="FK10">
        <f>INDEX($B$24:$GQ$24,MATCH(166,$B$29:$GQ$29,0))</f>
        <v>0</v>
      </c>
      <c r="FL10">
        <f>INDEX($B$24:$GQ$24,MATCH(167,$B$29:$GQ$29,0))</f>
        <v>0</v>
      </c>
      <c r="FM10">
        <f>INDEX($B$24:$GQ$24,MATCH(168,$B$29:$GQ$29,0))</f>
        <v>0</v>
      </c>
      <c r="FN10">
        <f>INDEX($B$24:$GQ$24,MATCH(169,$B$29:$GQ$29,0))</f>
        <v>0</v>
      </c>
      <c r="FO10">
        <f>INDEX($B$24:$GQ$24,MATCH(170,$B$29:$GQ$29,0))</f>
        <v>0</v>
      </c>
      <c r="FP10">
        <f>INDEX($B$24:$GQ$24,MATCH(171,$B$29:$GQ$29,0))</f>
        <v>0</v>
      </c>
      <c r="FQ10">
        <f>INDEX($B$24:$GQ$24,MATCH(172,$B$29:$GQ$29,0))</f>
        <v>0</v>
      </c>
      <c r="FR10">
        <f>INDEX($B$24:$GQ$24,MATCH(173,$B$29:$GQ$29,0))</f>
        <v>0</v>
      </c>
      <c r="FS10">
        <f>INDEX($B$24:$GQ$24,MATCH(174,$B$29:$GQ$29,0))</f>
        <v>0</v>
      </c>
      <c r="FT10">
        <f>INDEX($B$24:$GQ$24,MATCH(175,$B$29:$GQ$29,0))</f>
        <v>0</v>
      </c>
      <c r="FU10">
        <f>INDEX($B$24:$GQ$24,MATCH(176,$B$29:$GQ$29,0))</f>
        <v>0</v>
      </c>
      <c r="FV10">
        <f>INDEX($B$24:$GQ$24,MATCH(177,$B$29:$GQ$29,0))</f>
        <v>0</v>
      </c>
      <c r="FW10">
        <f>INDEX($B$24:$GQ$24,MATCH(178,$B$29:$GQ$29,0))</f>
        <v>0</v>
      </c>
      <c r="FX10">
        <f>INDEX($B$24:$GQ$24,MATCH(179,$B$29:$GQ$29,0))</f>
        <v>0</v>
      </c>
      <c r="FY10">
        <f>INDEX($B$24:$GQ$24,MATCH(180,$B$29:$GQ$29,0))</f>
        <v>0</v>
      </c>
      <c r="FZ10">
        <f>INDEX($B$24:$GQ$24,MATCH(181,$B$29:$GQ$29,0))</f>
        <v>0</v>
      </c>
      <c r="GA10">
        <f>INDEX($B$24:$GQ$24,MATCH(182,$B$29:$GQ$29,0))</f>
        <v>0</v>
      </c>
      <c r="GB10">
        <f>INDEX($B$24:$GQ$24,MATCH(183,$B$29:$GQ$29,0))</f>
        <v>0</v>
      </c>
      <c r="GC10">
        <f>INDEX($B$24:$GQ$24,MATCH(184,$B$29:$GQ$29,0))</f>
        <v>0</v>
      </c>
      <c r="GD10">
        <f>INDEX($B$24:$GQ$24,MATCH(185,$B$29:$GQ$29,0))</f>
        <v>0</v>
      </c>
      <c r="GE10">
        <f>INDEX($B$24:$GQ$24,MATCH(186,$B$29:$GQ$29,0))</f>
        <v>0</v>
      </c>
      <c r="GF10">
        <f>INDEX($B$24:$GQ$24,MATCH(187,$B$29:$GQ$29,0))</f>
        <v>0</v>
      </c>
      <c r="GG10">
        <f>INDEX($B$24:$GQ$24,MATCH(188,$B$29:$GQ$29,0))</f>
        <v>0</v>
      </c>
      <c r="GH10">
        <f>INDEX($B$24:$GQ$24,MATCH(189,$B$29:$GQ$29,0))</f>
        <v>0</v>
      </c>
      <c r="GI10">
        <f>INDEX($B$24:$GQ$24,MATCH(190,$B$29:$GQ$29,0))</f>
        <v>0</v>
      </c>
      <c r="GJ10">
        <f>INDEX($B$24:$GQ$24,MATCH(191,$B$29:$GQ$29,0))</f>
        <v>0</v>
      </c>
      <c r="GK10">
        <f>INDEX($B$24:$GQ$24,MATCH(192,$B$29:$GQ$29,0))</f>
        <v>0</v>
      </c>
      <c r="GL10">
        <f>INDEX($B$24:$GQ$24,MATCH(193,$B$29:$GQ$29,0))</f>
        <v>0</v>
      </c>
      <c r="GM10">
        <f>INDEX($B$24:$GQ$24,MATCH(194,$B$29:$GQ$29,0))</f>
        <v>0</v>
      </c>
      <c r="GN10">
        <f>INDEX($B$24:$GQ$24,MATCH(195,$B$29:$GQ$29,0))</f>
        <v>0</v>
      </c>
      <c r="GO10">
        <f>INDEX($B$24:$GQ$24,MATCH(196,$B$29:$GQ$29,0))</f>
        <v>0</v>
      </c>
      <c r="GP10">
        <f>INDEX($B$24:$GQ$24,MATCH(197,$B$29:$GQ$29,0))</f>
        <v>0</v>
      </c>
      <c r="GQ10">
        <f>INDEX($B$24:$GQ$24,MATCH(198,$B$29:$GQ$29,0))</f>
        <v>0</v>
      </c>
      <c r="GR10">
        <f>INDEX($GR$24:$HC$24,MATCH(1,$GR$30:$HC$30,0))</f>
        <v>108167.02237583431</v>
      </c>
      <c r="GS10">
        <f>INDEX($GR$24:$HC$24,MATCH(2,$GR$30:$HC$30,0))</f>
        <v>79597.412802107385</v>
      </c>
      <c r="GT10">
        <f>INDEX($GR$24:$HC$24,MATCH(3,$GR$30:$HC$30,0))</f>
        <v>65384.608708253218</v>
      </c>
      <c r="GU10">
        <f>INDEX($GR$24:$HC$24,MATCH(4,$GR$30:$HC$30,0))</f>
        <v>37677.39840447835</v>
      </c>
      <c r="GV10">
        <f>INDEX($GR$24:$HC$24,MATCH(5,$GR$30:$HC$30,0))</f>
        <v>41611.841858609369</v>
      </c>
      <c r="GW10">
        <f>INDEX($GR$24:$HC$24,MATCH(6,$GR$30:$HC$30,0))</f>
        <v>27168.174994941721</v>
      </c>
      <c r="GX10">
        <f>INDEX($GR$24:$HC$24,MATCH(7,$GR$30:$HC$30,0))</f>
        <v>646.30266219672251</v>
      </c>
      <c r="GY10">
        <f>INDEX($GR$24:$HC$24,MATCH(8,$GR$30:$HC$30,0))</f>
        <v>12736.031005904049</v>
      </c>
      <c r="GZ10">
        <f>INDEX($GR$24:$HC$24,MATCH(9,$GR$30:$HC$30,0))</f>
        <v>12067.48550063746</v>
      </c>
      <c r="HA10">
        <f>INDEX($GR$24:$HC$24,MATCH(10,$GR$30:$HC$30,0))</f>
        <v>2718.6444070779862</v>
      </c>
      <c r="HB10">
        <f>INDEX($GR$24:$HC$24,MATCH(11,$GR$30:$HC$30,0))</f>
        <v>12327.268070012869</v>
      </c>
      <c r="HC10">
        <f>INDEX($GR$24:$HC$24,MATCH(12,$GR$30:$HC$30,0))</f>
        <v>11204.49124100663</v>
      </c>
    </row>
    <row r="11" spans="1:211" x14ac:dyDescent="0.45">
      <c r="A11" s="1" t="s">
        <v>10</v>
      </c>
      <c r="B11">
        <f>INDEX($B$25:$GQ$25,MATCH(1,$B$29:$GQ$29,0))</f>
        <v>129975.96692320881</v>
      </c>
      <c r="C11">
        <f>INDEX($B$25:$GQ$25,MATCH(2,$B$29:$GQ$29,0))</f>
        <v>65119.714306264323</v>
      </c>
      <c r="D11">
        <f>INDEX($B$25:$GQ$25,MATCH(3,$B$29:$GQ$29,0))</f>
        <v>45245.373941531368</v>
      </c>
      <c r="E11">
        <f>INDEX($B$25:$GQ$25,MATCH(4,$B$29:$GQ$29,0))</f>
        <v>39161.183526056673</v>
      </c>
      <c r="F11">
        <f>INDEX($B$25:$GQ$25,MATCH(5,$B$29:$GQ$29,0))</f>
        <v>50979.902116347403</v>
      </c>
      <c r="G11">
        <f>INDEX($B$25:$GQ$25,MATCH(6,$B$29:$GQ$29,0))</f>
        <v>37973.06324634701</v>
      </c>
      <c r="H11">
        <f>INDEX($B$25:$GQ$25,MATCH(7,$B$29:$GQ$29,0))</f>
        <v>15062.056015493001</v>
      </c>
      <c r="I11">
        <f>INDEX($B$25:$GQ$25,MATCH(8,$B$29:$GQ$29,0))</f>
        <v>29276.691591782841</v>
      </c>
      <c r="J11">
        <f>INDEX($B$25:$GQ$25,MATCH(9,$B$29:$GQ$29,0))</f>
        <v>27701.97391013589</v>
      </c>
      <c r="K11">
        <f>INDEX($B$25:$GQ$25,MATCH(10,$B$29:$GQ$29,0))</f>
        <v>20805.9259816304</v>
      </c>
      <c r="L11">
        <f>INDEX($B$25:$GQ$25,MATCH(11,$B$29:$GQ$29,0))</f>
        <v>25247.099457753131</v>
      </c>
      <c r="M11">
        <f>INDEX($B$25:$GQ$25,MATCH(12,$B$29:$GQ$29,0))</f>
        <v>24298.526282476028</v>
      </c>
      <c r="N11">
        <f>INDEX($B$25:$GQ$25,MATCH(13,$B$29:$GQ$29,0))</f>
        <v>7318.9478684159567</v>
      </c>
      <c r="O11">
        <f>INDEX($B$25:$GQ$25,MATCH(14,$B$29:$GQ$29,0))</f>
        <v>1359.582220553569</v>
      </c>
      <c r="P11">
        <f>INDEX($B$25:$GQ$25,MATCH(15,$B$29:$GQ$29,0))</f>
        <v>20094.001958237241</v>
      </c>
      <c r="Q11">
        <f>INDEX($B$25:$GQ$25,MATCH(16,$B$29:$GQ$29,0))</f>
        <v>16280.204400497239</v>
      </c>
      <c r="R11">
        <f>INDEX($B$25:$GQ$25,MATCH(17,$B$29:$GQ$29,0))</f>
        <v>14244.438704744531</v>
      </c>
      <c r="S11">
        <f>INDEX($B$25:$GQ$25,MATCH(18,$B$29:$GQ$29,0))</f>
        <v>11086.28442230423</v>
      </c>
      <c r="T11">
        <f>INDEX($B$25:$GQ$25,MATCH(19,$B$29:$GQ$29,0))</f>
        <v>3595.4139321883022</v>
      </c>
      <c r="U11">
        <f>INDEX($B$25:$GQ$25,MATCH(20,$B$29:$GQ$29,0))</f>
        <v>13761.096000529309</v>
      </c>
      <c r="V11">
        <f>INDEX($B$25:$GQ$25,MATCH(21,$B$29:$GQ$29,0))</f>
        <v>74.57505189800888</v>
      </c>
      <c r="W11">
        <f>INDEX($B$25:$GQ$25,MATCH(22,$B$29:$GQ$29,0))</f>
        <v>10168.396811154151</v>
      </c>
      <c r="X11">
        <f>INDEX($B$25:$GQ$25,MATCH(23,$B$29:$GQ$29,0))</f>
        <v>8702.1158834748057</v>
      </c>
      <c r="Y11">
        <f>INDEX($B$25:$GQ$25,MATCH(24,$B$29:$GQ$29,0))</f>
        <v>7639.1571400919092</v>
      </c>
      <c r="Z11">
        <f>INDEX($B$25:$GQ$25,MATCH(25,$B$29:$GQ$29,0))</f>
        <v>4933.1054274903599</v>
      </c>
      <c r="AA11">
        <f>INDEX($B$25:$GQ$25,MATCH(26,$B$29:$GQ$29,0))</f>
        <v>7864.7871649706449</v>
      </c>
      <c r="AB11">
        <f>INDEX($B$25:$GQ$25,MATCH(27,$B$29:$GQ$29,0))</f>
        <v>8475.6440015203989</v>
      </c>
      <c r="AC11">
        <f>INDEX($B$25:$GQ$25,MATCH(28,$B$29:$GQ$29,0))</f>
        <v>8792.9347387096623</v>
      </c>
      <c r="AD11">
        <f>INDEX($B$25:$GQ$25,MATCH(29,$B$29:$GQ$29,0))</f>
        <v>8742.5449618360944</v>
      </c>
      <c r="AE11">
        <f>INDEX($B$25:$GQ$25,MATCH(30,$B$29:$GQ$29,0))</f>
        <v>1222.6910655146789</v>
      </c>
      <c r="AF11">
        <f>INDEX($B$25:$GQ$25,MATCH(31,$B$29:$GQ$29,0))</f>
        <v>4350.950234215954</v>
      </c>
      <c r="AG11">
        <f>INDEX($B$25:$GQ$25,MATCH(32,$B$29:$GQ$29,0))</f>
        <v>6312.0987960901339</v>
      </c>
      <c r="AH11">
        <f>INDEX($B$25:$GQ$25,MATCH(33,$B$29:$GQ$29,0))</f>
        <v>6550.0402989569366</v>
      </c>
      <c r="AI11">
        <f>INDEX($B$25:$GQ$25,MATCH(34,$B$29:$GQ$29,0))</f>
        <v>1238.350173215219</v>
      </c>
      <c r="AJ11">
        <f>INDEX($B$25:$GQ$25,MATCH(35,$B$29:$GQ$29,0))</f>
        <v>6560.634319382727</v>
      </c>
      <c r="AK11">
        <f>INDEX($B$25:$GQ$25,MATCH(36,$B$29:$GQ$29,0))</f>
        <v>1631.7807707859349</v>
      </c>
      <c r="AL11">
        <f>INDEX($B$25:$GQ$25,MATCH(37,$B$29:$GQ$29,0))</f>
        <v>5599.4732433449881</v>
      </c>
      <c r="AM11">
        <f>INDEX($B$25:$GQ$25,MATCH(38,$B$29:$GQ$29,0))</f>
        <v>5943.4120464422967</v>
      </c>
      <c r="AN11">
        <f>INDEX($B$25:$GQ$25,MATCH(39,$B$29:$GQ$29,0))</f>
        <v>5307.7368459519703</v>
      </c>
      <c r="AO11">
        <f>INDEX($B$25:$GQ$25,MATCH(40,$B$29:$GQ$29,0))</f>
        <v>621.49014680965979</v>
      </c>
      <c r="AP11">
        <f>INDEX($B$25:$GQ$25,MATCH(41,$B$29:$GQ$29,0))</f>
        <v>4955.818761281098</v>
      </c>
      <c r="AQ11">
        <f>INDEX($B$25:$GQ$25,MATCH(42,$B$29:$GQ$29,0))</f>
        <v>5163.0662257625027</v>
      </c>
      <c r="AR11">
        <f>INDEX($B$25:$GQ$25,MATCH(43,$B$29:$GQ$29,0))</f>
        <v>1638.5800955132549</v>
      </c>
      <c r="AS11">
        <f>INDEX($B$25:$GQ$25,MATCH(44,$B$29:$GQ$29,0))</f>
        <v>4896.5592766832888</v>
      </c>
      <c r="AT11">
        <f>INDEX($B$25:$GQ$25,MATCH(45,$B$29:$GQ$29,0))</f>
        <v>2388.7808326452009</v>
      </c>
      <c r="AU11">
        <f>INDEX($B$25:$GQ$25,MATCH(46,$B$29:$GQ$29,0))</f>
        <v>1870.6629559696869</v>
      </c>
      <c r="AV11">
        <f>INDEX($B$25:$GQ$25,MATCH(47,$B$29:$GQ$29,0))</f>
        <v>3953.273978860323</v>
      </c>
      <c r="AW11">
        <f>INDEX($B$25:$GQ$25,MATCH(48,$B$29:$GQ$29,0))</f>
        <v>3813.358713636489</v>
      </c>
      <c r="AX11">
        <f>INDEX($B$25:$GQ$25,MATCH(49,$B$29:$GQ$29,0))</f>
        <v>1830.231500209477</v>
      </c>
      <c r="AY11">
        <f>INDEX($B$25:$GQ$25,MATCH(50,$B$29:$GQ$29,0))</f>
        <v>0</v>
      </c>
      <c r="AZ11">
        <f>INDEX($B$25:$GQ$25,MATCH(51,$B$29:$GQ$29,0))</f>
        <v>2164.2666028449912</v>
      </c>
      <c r="BA11">
        <f>INDEX($B$25:$GQ$25,MATCH(52,$B$29:$GQ$29,0))</f>
        <v>3085.719745043335</v>
      </c>
      <c r="BB11">
        <f>INDEX($B$25:$GQ$25,MATCH(53,$B$29:$GQ$29,0))</f>
        <v>1087.4637361180121</v>
      </c>
      <c r="BC11">
        <f>INDEX($B$25:$GQ$25,MATCH(54,$B$29:$GQ$29,0))</f>
        <v>2045.7032072334721</v>
      </c>
      <c r="BD11">
        <f>INDEX($B$25:$GQ$25,MATCH(55,$B$29:$GQ$29,0))</f>
        <v>1971.112392812973</v>
      </c>
      <c r="BE11">
        <f>INDEX($B$25:$GQ$25,MATCH(56,$B$29:$GQ$29,0))</f>
        <v>723.34708949347703</v>
      </c>
      <c r="BF11">
        <f>INDEX($B$25:$GQ$25,MATCH(57,$B$29:$GQ$29,0))</f>
        <v>1903.1162721027119</v>
      </c>
      <c r="BG11">
        <f>INDEX($B$25:$GQ$25,MATCH(58,$B$29:$GQ$29,0))</f>
        <v>380.10711195723923</v>
      </c>
      <c r="BH11">
        <f>INDEX($B$25:$GQ$25,MATCH(59,$B$29:$GQ$29,0))</f>
        <v>1145.970185481392</v>
      </c>
      <c r="BI11">
        <f>INDEX($B$25:$GQ$25,MATCH(60,$B$29:$GQ$29,0))</f>
        <v>2259.818265631417</v>
      </c>
      <c r="BJ11">
        <f>INDEX($B$25:$GQ$25,MATCH(61,$B$29:$GQ$29,0))</f>
        <v>883.05788650418106</v>
      </c>
      <c r="BK11">
        <f>INDEX($B$25:$GQ$25,MATCH(62,$B$29:$GQ$29,0))</f>
        <v>1704.4219502733249</v>
      </c>
      <c r="BL11">
        <f>INDEX($B$25:$GQ$25,MATCH(63,$B$29:$GQ$29,0))</f>
        <v>686.97777380694117</v>
      </c>
      <c r="BM11">
        <f>INDEX($B$25:$GQ$25,MATCH(64,$B$29:$GQ$29,0))</f>
        <v>1825.414630889846</v>
      </c>
      <c r="BN11">
        <f>INDEX($B$25:$GQ$25,MATCH(65,$B$29:$GQ$29,0))</f>
        <v>1693.099546860612</v>
      </c>
      <c r="BO11">
        <f>INDEX($B$25:$GQ$25,MATCH(66,$B$29:$GQ$29,0))</f>
        <v>1688.4082017268311</v>
      </c>
      <c r="BP11">
        <f>INDEX($B$25:$GQ$25,MATCH(67,$B$29:$GQ$29,0))</f>
        <v>401.50192261493601</v>
      </c>
      <c r="BQ11">
        <f>INDEX($B$25:$GQ$25,MATCH(68,$B$29:$GQ$29,0))</f>
        <v>1606.1119950630391</v>
      </c>
      <c r="BR11">
        <f>INDEX($B$25:$GQ$25,MATCH(69,$B$29:$GQ$29,0))</f>
        <v>1596.0775050772579</v>
      </c>
      <c r="BS11">
        <f>INDEX($B$25:$GQ$25,MATCH(70,$B$29:$GQ$29,0))</f>
        <v>494.55532204453249</v>
      </c>
      <c r="BT11">
        <f>INDEX($B$25:$GQ$25,MATCH(71,$B$29:$GQ$29,0))</f>
        <v>0</v>
      </c>
      <c r="BU11">
        <f>INDEX($B$25:$GQ$25,MATCH(72,$B$29:$GQ$29,0))</f>
        <v>836.24616743953266</v>
      </c>
      <c r="BV11">
        <f>INDEX($B$25:$GQ$25,MATCH(73,$B$29:$GQ$29,0))</f>
        <v>42.856480375508127</v>
      </c>
      <c r="BW11">
        <f>INDEX($B$25:$GQ$25,MATCH(74,$B$29:$GQ$29,0))</f>
        <v>783.27716666682159</v>
      </c>
      <c r="BX11">
        <f>INDEX($B$25:$GQ$25,MATCH(75,$B$29:$GQ$29,0))</f>
        <v>686.00349233928455</v>
      </c>
      <c r="BY11">
        <f>INDEX($B$25:$GQ$25,MATCH(76,$B$29:$GQ$29,0))</f>
        <v>711.21062619066413</v>
      </c>
      <c r="BZ11">
        <f>INDEX($B$25:$GQ$25,MATCH(77,$B$29:$GQ$29,0))</f>
        <v>513.96864411833371</v>
      </c>
      <c r="CA11">
        <f>INDEX($B$25:$GQ$25,MATCH(78,$B$29:$GQ$29,0))</f>
        <v>655.86989539240392</v>
      </c>
      <c r="CB11">
        <f>INDEX($B$25:$GQ$25,MATCH(79,$B$29:$GQ$29,0))</f>
        <v>508.89487023539152</v>
      </c>
      <c r="CC11">
        <f>INDEX($B$25:$GQ$25,MATCH(80,$B$29:$GQ$29,0))</f>
        <v>144.82295064423539</v>
      </c>
      <c r="CD11">
        <f>INDEX($B$25:$GQ$25,MATCH(81,$B$29:$GQ$29,0))</f>
        <v>407.24004503738632</v>
      </c>
      <c r="CE11">
        <f>INDEX($B$25:$GQ$25,MATCH(82,$B$29:$GQ$29,0))</f>
        <v>371.99903970827472</v>
      </c>
      <c r="CF11">
        <f>INDEX($B$25:$GQ$25,MATCH(83,$B$29:$GQ$29,0))</f>
        <v>155.2016404946138</v>
      </c>
      <c r="CG11">
        <f>INDEX($B$25:$GQ$25,MATCH(84,$B$29:$GQ$29,0))</f>
        <v>304.01313234477982</v>
      </c>
      <c r="CH11">
        <f>INDEX($B$25:$GQ$25,MATCH(85,$B$29:$GQ$29,0))</f>
        <v>280.12685051614898</v>
      </c>
      <c r="CI11">
        <f>INDEX($B$25:$GQ$25,MATCH(86,$B$29:$GQ$29,0))</f>
        <v>19.302802365269809</v>
      </c>
      <c r="CJ11">
        <f>INDEX($B$25:$GQ$25,MATCH(87,$B$29:$GQ$29,0))</f>
        <v>258.66103427222657</v>
      </c>
      <c r="CK11">
        <f>INDEX($B$25:$GQ$25,MATCH(88,$B$29:$GQ$29,0))</f>
        <v>252.91358218564099</v>
      </c>
      <c r="CL11">
        <f>INDEX($B$25:$GQ$25,MATCH(89,$B$29:$GQ$29,0))</f>
        <v>241.91651059515871</v>
      </c>
      <c r="CM11">
        <f>INDEX($B$25:$GQ$25,MATCH(90,$B$29:$GQ$29,0))</f>
        <v>238.90341913586801</v>
      </c>
      <c r="CN11">
        <f>INDEX($B$25:$GQ$25,MATCH(91,$B$29:$GQ$29,0))</f>
        <v>228.4655530413568</v>
      </c>
      <c r="CO11">
        <f>INDEX($B$25:$GQ$25,MATCH(92,$B$29:$GQ$29,0))</f>
        <v>189.7393694934255</v>
      </c>
      <c r="CP11">
        <f>INDEX($B$25:$GQ$25,MATCH(93,$B$29:$GQ$29,0))</f>
        <v>69.929559307008944</v>
      </c>
      <c r="CQ11">
        <f>INDEX($B$25:$GQ$25,MATCH(94,$B$29:$GQ$29,0))</f>
        <v>4.952334192010575</v>
      </c>
      <c r="CR11">
        <f>INDEX($B$25:$GQ$25,MATCH(95,$B$29:$GQ$29,0))</f>
        <v>164.46632117047781</v>
      </c>
      <c r="CS11">
        <f>INDEX($B$25:$GQ$25,MATCH(96,$B$29:$GQ$29,0))</f>
        <v>151.47096927840019</v>
      </c>
      <c r="CT11">
        <f>INDEX($B$25:$GQ$25,MATCH(97,$B$29:$GQ$29,0))</f>
        <v>148.68687783794761</v>
      </c>
      <c r="CU11">
        <f>INDEX($B$25:$GQ$25,MATCH(98,$B$29:$GQ$29,0))</f>
        <v>137.31251055354301</v>
      </c>
      <c r="CV11">
        <f>INDEX($B$25:$GQ$25,MATCH(99,$B$29:$GQ$29,0))</f>
        <v>109.9716551534155</v>
      </c>
      <c r="CW11">
        <f>INDEX($B$25:$GQ$25,MATCH(100,$B$29:$GQ$29,0))</f>
        <v>67.73181075897989</v>
      </c>
      <c r="CX11">
        <f>INDEX($B$25:$GQ$25,MATCH(101,$B$29:$GQ$29,0))</f>
        <v>104.27003477349839</v>
      </c>
      <c r="CY11">
        <f>INDEX($B$25:$GQ$25,MATCH(102,$B$29:$GQ$29,0))</f>
        <v>97.803881934941046</v>
      </c>
      <c r="CZ11">
        <f>INDEX($B$25:$GQ$25,MATCH(103,$B$29:$GQ$29,0))</f>
        <v>95.158419740141781</v>
      </c>
      <c r="DA11">
        <f>INDEX($B$25:$GQ$25,MATCH(104,$B$29:$GQ$29,0))</f>
        <v>80.670924319048154</v>
      </c>
      <c r="DB11">
        <f>INDEX($B$25:$GQ$25,MATCH(105,$B$29:$GQ$29,0))</f>
        <v>89.517011921241519</v>
      </c>
      <c r="DC11">
        <f>INDEX($B$25:$GQ$25,MATCH(106,$B$29:$GQ$29,0))</f>
        <v>0</v>
      </c>
      <c r="DD11">
        <f>INDEX($B$25:$GQ$25,MATCH(107,$B$29:$GQ$29,0))</f>
        <v>68.814738989918013</v>
      </c>
      <c r="DE11">
        <f>INDEX($B$25:$GQ$25,MATCH(108,$B$29:$GQ$29,0))</f>
        <v>55.687048547343359</v>
      </c>
      <c r="DF11">
        <f>INDEX($B$25:$GQ$25,MATCH(109,$B$29:$GQ$29,0))</f>
        <v>51.526144303965552</v>
      </c>
      <c r="DG11">
        <f>INDEX($B$25:$GQ$25,MATCH(110,$B$29:$GQ$29,0))</f>
        <v>50.118523044100527</v>
      </c>
      <c r="DH11">
        <f>INDEX($B$25:$GQ$25,MATCH(111,$B$29:$GQ$29,0))</f>
        <v>0</v>
      </c>
      <c r="DI11">
        <f>INDEX($B$25:$GQ$25,MATCH(112,$B$29:$GQ$29,0))</f>
        <v>25.688889144413359</v>
      </c>
      <c r="DJ11">
        <f>INDEX($B$25:$GQ$25,MATCH(113,$B$29:$GQ$29,0))</f>
        <v>0</v>
      </c>
      <c r="DK11">
        <f>INDEX($B$25:$GQ$25,MATCH(114,$B$29:$GQ$29,0))</f>
        <v>18.128593066978269</v>
      </c>
      <c r="DL11">
        <f>INDEX($B$25:$GQ$25,MATCH(115,$B$29:$GQ$29,0))</f>
        <v>18.321080369347619</v>
      </c>
      <c r="DM11">
        <f>INDEX($B$25:$GQ$25,MATCH(116,$B$29:$GQ$29,0))</f>
        <v>10.801925630573651</v>
      </c>
      <c r="DN11">
        <f>INDEX($B$25:$GQ$25,MATCH(117,$B$29:$GQ$29,0))</f>
        <v>14.29900428959712</v>
      </c>
      <c r="DO11">
        <f>INDEX($B$25:$GQ$25,MATCH(118,$B$29:$GQ$29,0))</f>
        <v>14.84906826921617</v>
      </c>
      <c r="DP11">
        <f>INDEX($B$25:$GQ$25,MATCH(119,$B$29:$GQ$29,0))</f>
        <v>4.5520192676286984</v>
      </c>
      <c r="DQ11">
        <f>INDEX($B$25:$GQ$25,MATCH(120,$B$29:$GQ$29,0))</f>
        <v>2.069405587439904</v>
      </c>
      <c r="DR11">
        <f>INDEX($B$25:$GQ$25,MATCH(121,$B$29:$GQ$29,0))</f>
        <v>0</v>
      </c>
      <c r="DS11">
        <f>INDEX($B$25:$GQ$25,MATCH(122,$B$29:$GQ$29,0))</f>
        <v>7.7185006805607257</v>
      </c>
      <c r="DT11">
        <f>INDEX($B$25:$GQ$25,MATCH(123,$B$29:$GQ$29,0))</f>
        <v>0</v>
      </c>
      <c r="DU11">
        <f>INDEX($B$25:$GQ$25,MATCH(124,$B$29:$GQ$29,0))</f>
        <v>0.61405313532401928</v>
      </c>
      <c r="DV11">
        <f>INDEX($B$25:$GQ$25,MATCH(125,$B$29:$GQ$29,0))</f>
        <v>0</v>
      </c>
      <c r="DW11">
        <f>INDEX($B$25:$GQ$25,MATCH(126,$B$29:$GQ$29,0))</f>
        <v>1.499030364765604</v>
      </c>
      <c r="DX11">
        <f>INDEX($B$25:$GQ$25,MATCH(127,$B$29:$GQ$29,0))</f>
        <v>1.222886291622419</v>
      </c>
      <c r="DY11">
        <f>INDEX($B$25:$GQ$25,MATCH(128,$B$29:$GQ$29,0))</f>
        <v>1.0260987866484601</v>
      </c>
      <c r="DZ11">
        <f>INDEX($B$25:$GQ$25,MATCH(129,$B$29:$GQ$29,0))</f>
        <v>0.22898377511582341</v>
      </c>
      <c r="EA11">
        <f>INDEX($B$25:$GQ$25,MATCH(130,$B$29:$GQ$29,0))</f>
        <v>0.218622598991946</v>
      </c>
      <c r="EB11">
        <f>INDEX($B$25:$GQ$25,MATCH(131,$B$29:$GQ$29,0))</f>
        <v>0</v>
      </c>
      <c r="EC11">
        <f>INDEX($B$25:$GQ$25,MATCH(132,$B$29:$GQ$29,0))</f>
        <v>7.3069462549258269E-3</v>
      </c>
      <c r="ED11">
        <f>INDEX($B$25:$GQ$25,MATCH(133,$B$29:$GQ$29,0))</f>
        <v>1.025438252830345E-3</v>
      </c>
      <c r="EE11">
        <f>INDEX($B$25:$GQ$25,MATCH(134,$B$29:$GQ$29,0))</f>
        <v>0</v>
      </c>
      <c r="EF11">
        <f>INDEX($B$25:$GQ$25,MATCH(135,$B$29:$GQ$29,0))</f>
        <v>0</v>
      </c>
      <c r="EG11">
        <f>INDEX($B$25:$GQ$25,MATCH(136,$B$29:$GQ$29,0))</f>
        <v>0</v>
      </c>
      <c r="EH11">
        <f>INDEX($B$25:$GQ$25,MATCH(137,$B$29:$GQ$29,0))</f>
        <v>0</v>
      </c>
      <c r="EI11">
        <f>INDEX($B$25:$GQ$25,MATCH(138,$B$29:$GQ$29,0))</f>
        <v>0</v>
      </c>
      <c r="EJ11">
        <f>INDEX($B$25:$GQ$25,MATCH(139,$B$29:$GQ$29,0))</f>
        <v>0</v>
      </c>
      <c r="EK11">
        <f>INDEX($B$25:$GQ$25,MATCH(140,$B$29:$GQ$29,0))</f>
        <v>0</v>
      </c>
      <c r="EL11">
        <f>INDEX($B$25:$GQ$25,MATCH(141,$B$29:$GQ$29,0))</f>
        <v>0</v>
      </c>
      <c r="EM11">
        <f>INDEX($B$25:$GQ$25,MATCH(142,$B$29:$GQ$29,0))</f>
        <v>0</v>
      </c>
      <c r="EN11">
        <f>INDEX($B$25:$GQ$25,MATCH(143,$B$29:$GQ$29,0))</f>
        <v>0</v>
      </c>
      <c r="EO11">
        <f>INDEX($B$25:$GQ$25,MATCH(144,$B$29:$GQ$29,0))</f>
        <v>0</v>
      </c>
      <c r="EP11">
        <f>INDEX($B$25:$GQ$25,MATCH(145,$B$29:$GQ$29,0))</f>
        <v>0</v>
      </c>
      <c r="EQ11">
        <f>INDEX($B$25:$GQ$25,MATCH(146,$B$29:$GQ$29,0))</f>
        <v>0</v>
      </c>
      <c r="ER11">
        <f>INDEX($B$25:$GQ$25,MATCH(147,$B$29:$GQ$29,0))</f>
        <v>0</v>
      </c>
      <c r="ES11">
        <f>INDEX($B$25:$GQ$25,MATCH(148,$B$29:$GQ$29,0))</f>
        <v>0</v>
      </c>
      <c r="ET11">
        <f>INDEX($B$25:$GQ$25,MATCH(149,$B$29:$GQ$29,0))</f>
        <v>0</v>
      </c>
      <c r="EU11">
        <f>INDEX($B$25:$GQ$25,MATCH(150,$B$29:$GQ$29,0))</f>
        <v>0</v>
      </c>
      <c r="EV11">
        <f>INDEX($B$25:$GQ$25,MATCH(151,$B$29:$GQ$29,0))</f>
        <v>0</v>
      </c>
      <c r="EW11">
        <f>INDEX($B$25:$GQ$25,MATCH(152,$B$29:$GQ$29,0))</f>
        <v>0</v>
      </c>
      <c r="EX11">
        <f>INDEX($B$25:$GQ$25,MATCH(153,$B$29:$GQ$29,0))</f>
        <v>0</v>
      </c>
      <c r="EY11">
        <f>INDEX($B$25:$GQ$25,MATCH(154,$B$29:$GQ$29,0))</f>
        <v>0</v>
      </c>
      <c r="EZ11">
        <f>INDEX($B$25:$GQ$25,MATCH(155,$B$29:$GQ$29,0))</f>
        <v>0</v>
      </c>
      <c r="FA11">
        <f>INDEX($B$25:$GQ$25,MATCH(156,$B$29:$GQ$29,0))</f>
        <v>0</v>
      </c>
      <c r="FB11">
        <f>INDEX($B$25:$GQ$25,MATCH(157,$B$29:$GQ$29,0))</f>
        <v>0</v>
      </c>
      <c r="FC11">
        <f>INDEX($B$25:$GQ$25,MATCH(158,$B$29:$GQ$29,0))</f>
        <v>0</v>
      </c>
      <c r="FD11">
        <f>INDEX($B$25:$GQ$25,MATCH(159,$B$29:$GQ$29,0))</f>
        <v>0</v>
      </c>
      <c r="FE11">
        <f>INDEX($B$25:$GQ$25,MATCH(160,$B$29:$GQ$29,0))</f>
        <v>0</v>
      </c>
      <c r="FF11">
        <f>INDEX($B$25:$GQ$25,MATCH(161,$B$29:$GQ$29,0))</f>
        <v>0</v>
      </c>
      <c r="FG11">
        <f>INDEX($B$25:$GQ$25,MATCH(162,$B$29:$GQ$29,0))</f>
        <v>0</v>
      </c>
      <c r="FH11">
        <f>INDEX($B$25:$GQ$25,MATCH(163,$B$29:$GQ$29,0))</f>
        <v>0</v>
      </c>
      <c r="FI11">
        <f>INDEX($B$25:$GQ$25,MATCH(164,$B$29:$GQ$29,0))</f>
        <v>0</v>
      </c>
      <c r="FJ11">
        <f>INDEX($B$25:$GQ$25,MATCH(165,$B$29:$GQ$29,0))</f>
        <v>0</v>
      </c>
      <c r="FK11">
        <f>INDEX($B$25:$GQ$25,MATCH(166,$B$29:$GQ$29,0))</f>
        <v>0</v>
      </c>
      <c r="FL11">
        <f>INDEX($B$25:$GQ$25,MATCH(167,$B$29:$GQ$29,0))</f>
        <v>0</v>
      </c>
      <c r="FM11">
        <f>INDEX($B$25:$GQ$25,MATCH(168,$B$29:$GQ$29,0))</f>
        <v>0</v>
      </c>
      <c r="FN11">
        <f>INDEX($B$25:$GQ$25,MATCH(169,$B$29:$GQ$29,0))</f>
        <v>0</v>
      </c>
      <c r="FO11">
        <f>INDEX($B$25:$GQ$25,MATCH(170,$B$29:$GQ$29,0))</f>
        <v>0</v>
      </c>
      <c r="FP11">
        <f>INDEX($B$25:$GQ$25,MATCH(171,$B$29:$GQ$29,0))</f>
        <v>0</v>
      </c>
      <c r="FQ11">
        <f>INDEX($B$25:$GQ$25,MATCH(172,$B$29:$GQ$29,0))</f>
        <v>0</v>
      </c>
      <c r="FR11">
        <f>INDEX($B$25:$GQ$25,MATCH(173,$B$29:$GQ$29,0))</f>
        <v>0</v>
      </c>
      <c r="FS11">
        <f>INDEX($B$25:$GQ$25,MATCH(174,$B$29:$GQ$29,0))</f>
        <v>0</v>
      </c>
      <c r="FT11">
        <f>INDEX($B$25:$GQ$25,MATCH(175,$B$29:$GQ$29,0))</f>
        <v>0</v>
      </c>
      <c r="FU11">
        <f>INDEX($B$25:$GQ$25,MATCH(176,$B$29:$GQ$29,0))</f>
        <v>0</v>
      </c>
      <c r="FV11">
        <f>INDEX($B$25:$GQ$25,MATCH(177,$B$29:$GQ$29,0))</f>
        <v>0</v>
      </c>
      <c r="FW11">
        <f>INDEX($B$25:$GQ$25,MATCH(178,$B$29:$GQ$29,0))</f>
        <v>0</v>
      </c>
      <c r="FX11">
        <f>INDEX($B$25:$GQ$25,MATCH(179,$B$29:$GQ$29,0))</f>
        <v>0</v>
      </c>
      <c r="FY11">
        <f>INDEX($B$25:$GQ$25,MATCH(180,$B$29:$GQ$29,0))</f>
        <v>0</v>
      </c>
      <c r="FZ11">
        <f>INDEX($B$25:$GQ$25,MATCH(181,$B$29:$GQ$29,0))</f>
        <v>0</v>
      </c>
      <c r="GA11">
        <f>INDEX($B$25:$GQ$25,MATCH(182,$B$29:$GQ$29,0))</f>
        <v>0</v>
      </c>
      <c r="GB11">
        <f>INDEX($B$25:$GQ$25,MATCH(183,$B$29:$GQ$29,0))</f>
        <v>0</v>
      </c>
      <c r="GC11">
        <f>INDEX($B$25:$GQ$25,MATCH(184,$B$29:$GQ$29,0))</f>
        <v>0</v>
      </c>
      <c r="GD11">
        <f>INDEX($B$25:$GQ$25,MATCH(185,$B$29:$GQ$29,0))</f>
        <v>0</v>
      </c>
      <c r="GE11">
        <f>INDEX($B$25:$GQ$25,MATCH(186,$B$29:$GQ$29,0))</f>
        <v>0</v>
      </c>
      <c r="GF11">
        <f>INDEX($B$25:$GQ$25,MATCH(187,$B$29:$GQ$29,0))</f>
        <v>0</v>
      </c>
      <c r="GG11">
        <f>INDEX($B$25:$GQ$25,MATCH(188,$B$29:$GQ$29,0))</f>
        <v>0</v>
      </c>
      <c r="GH11">
        <f>INDEX($B$25:$GQ$25,MATCH(189,$B$29:$GQ$29,0))</f>
        <v>0</v>
      </c>
      <c r="GI11">
        <f>INDEX($B$25:$GQ$25,MATCH(190,$B$29:$GQ$29,0))</f>
        <v>0</v>
      </c>
      <c r="GJ11">
        <f>INDEX($B$25:$GQ$25,MATCH(191,$B$29:$GQ$29,0))</f>
        <v>0</v>
      </c>
      <c r="GK11">
        <f>INDEX($B$25:$GQ$25,MATCH(192,$B$29:$GQ$29,0))</f>
        <v>0</v>
      </c>
      <c r="GL11">
        <f>INDEX($B$25:$GQ$25,MATCH(193,$B$29:$GQ$29,0))</f>
        <v>0</v>
      </c>
      <c r="GM11">
        <f>INDEX($B$25:$GQ$25,MATCH(194,$B$29:$GQ$29,0))</f>
        <v>0</v>
      </c>
      <c r="GN11">
        <f>INDEX($B$25:$GQ$25,MATCH(195,$B$29:$GQ$29,0))</f>
        <v>0</v>
      </c>
      <c r="GO11">
        <f>INDEX($B$25:$GQ$25,MATCH(196,$B$29:$GQ$29,0))</f>
        <v>0</v>
      </c>
      <c r="GP11">
        <f>INDEX($B$25:$GQ$25,MATCH(197,$B$29:$GQ$29,0))</f>
        <v>0</v>
      </c>
      <c r="GQ11">
        <f>INDEX($B$25:$GQ$25,MATCH(198,$B$29:$GQ$29,0))</f>
        <v>0</v>
      </c>
      <c r="GR11">
        <f>INDEX($GR$25:$HC$25,MATCH(1,$GR$30:$HC$30,0))</f>
        <v>235945.3878554035</v>
      </c>
      <c r="GS11">
        <f>INDEX($GR$25:$HC$25,MATCH(2,$GR$30:$HC$30,0))</f>
        <v>229044.7090938015</v>
      </c>
      <c r="GT11">
        <f>INDEX($GR$25:$HC$25,MATCH(3,$GR$30:$HC$30,0))</f>
        <v>131925.09077442199</v>
      </c>
      <c r="GU11">
        <f>INDEX($GR$25:$HC$25,MATCH(4,$GR$30:$HC$30,0))</f>
        <v>122147.4183958311</v>
      </c>
      <c r="GV11">
        <f>INDEX($GR$25:$HC$25,MATCH(5,$GR$30:$HC$30,0))</f>
        <v>58521.102619866811</v>
      </c>
      <c r="GW11">
        <f>INDEX($GR$25:$HC$25,MATCH(6,$GR$30:$HC$30,0))</f>
        <v>42866.631425488427</v>
      </c>
      <c r="GX11">
        <f>INDEX($GR$25:$HC$25,MATCH(7,$GR$30:$HC$30,0))</f>
        <v>2656.8483379662562</v>
      </c>
      <c r="GY11">
        <f>INDEX($GR$25:$HC$25,MATCH(8,$GR$30:$HC$30,0))</f>
        <v>18113.15235978557</v>
      </c>
      <c r="GZ11">
        <f>INDEX($GR$25:$HC$25,MATCH(9,$GR$30:$HC$30,0))</f>
        <v>24298.526282476028</v>
      </c>
      <c r="HA11">
        <f>INDEX($GR$25:$HC$25,MATCH(10,$GR$30:$HC$30,0))</f>
        <v>7338.2506707812272</v>
      </c>
      <c r="HB11">
        <f>INDEX($GR$25:$HC$25,MATCH(11,$GR$30:$HC$30,0))</f>
        <v>16936.074295889641</v>
      </c>
      <c r="HC11">
        <f>INDEX($GR$25:$HC$25,MATCH(12,$GR$30:$HC$30,0))</f>
        <v>14244.438704744531</v>
      </c>
    </row>
    <row r="12" spans="1:211" x14ac:dyDescent="0.45">
      <c r="A12" s="1" t="s">
        <v>11</v>
      </c>
      <c r="B12">
        <f>INDEX($B$26:$GQ$26,MATCH(1,$B$29:$GQ$29,0))</f>
        <v>0</v>
      </c>
      <c r="C12">
        <f>INDEX($B$26:$GQ$26,MATCH(2,$B$29:$GQ$29,0))</f>
        <v>878.66463818955367</v>
      </c>
      <c r="D12">
        <f>INDEX($B$26:$GQ$26,MATCH(3,$B$29:$GQ$29,0))</f>
        <v>15629.98915390667</v>
      </c>
      <c r="E12">
        <f>INDEX($B$26:$GQ$26,MATCH(4,$B$29:$GQ$29,0))</f>
        <v>19386.478810821161</v>
      </c>
      <c r="F12">
        <f>INDEX($B$26:$GQ$26,MATCH(5,$B$29:$GQ$29,0))</f>
        <v>1323.0308793212189</v>
      </c>
      <c r="G12">
        <f>INDEX($B$26:$GQ$26,MATCH(6,$B$29:$GQ$29,0))</f>
        <v>7936.8121276128686</v>
      </c>
      <c r="H12">
        <f>INDEX($B$26:$GQ$26,MATCH(7,$B$29:$GQ$29,0))</f>
        <v>22913.36438005681</v>
      </c>
      <c r="I12">
        <f>INDEX($B$26:$GQ$26,MATCH(8,$B$29:$GQ$29,0))</f>
        <v>8249.48361398222</v>
      </c>
      <c r="J12">
        <f>INDEX($B$26:$GQ$26,MATCH(9,$B$29:$GQ$29,0))</f>
        <v>1751.4452947993241</v>
      </c>
      <c r="K12">
        <f>INDEX($B$26:$GQ$26,MATCH(10,$B$29:$GQ$29,0))</f>
        <v>7804.5832912991218</v>
      </c>
      <c r="L12">
        <f>INDEX($B$26:$GQ$26,MATCH(11,$B$29:$GQ$29,0))</f>
        <v>540.62585319721393</v>
      </c>
      <c r="M12">
        <f>INDEX($B$26:$GQ$26,MATCH(12,$B$29:$GQ$29,0))</f>
        <v>0</v>
      </c>
      <c r="N12">
        <f>INDEX($B$26:$GQ$26,MATCH(13,$B$29:$GQ$29,0))</f>
        <v>16692.267406477651</v>
      </c>
      <c r="O12">
        <f>INDEX($B$26:$GQ$26,MATCH(14,$B$29:$GQ$29,0))</f>
        <v>21931.79424592646</v>
      </c>
      <c r="P12">
        <f>INDEX($B$26:$GQ$26,MATCH(15,$B$29:$GQ$29,0))</f>
        <v>2791.4932837683091</v>
      </c>
      <c r="Q12">
        <f>INDEX($B$26:$GQ$26,MATCH(16,$B$29:$GQ$29,0))</f>
        <v>4466.9424672941896</v>
      </c>
      <c r="R12">
        <f>INDEX($B$26:$GQ$26,MATCH(17,$B$29:$GQ$29,0))</f>
        <v>6144.9985787982523</v>
      </c>
      <c r="S12">
        <f>INDEX($B$26:$GQ$26,MATCH(18,$B$29:$GQ$29,0))</f>
        <v>8610.7270386639048</v>
      </c>
      <c r="T12">
        <f>INDEX($B$26:$GQ$26,MATCH(19,$B$29:$GQ$29,0))</f>
        <v>12935.21588626194</v>
      </c>
      <c r="U12">
        <f>INDEX($B$26:$GQ$26,MATCH(20,$B$29:$GQ$29,0))</f>
        <v>2742.7113589806731</v>
      </c>
      <c r="V12">
        <f>INDEX($B$26:$GQ$26,MATCH(21,$B$29:$GQ$29,0))</f>
        <v>16301.72662965883</v>
      </c>
      <c r="W12">
        <f>INDEX($B$26:$GQ$26,MATCH(22,$B$29:$GQ$29,0))</f>
        <v>1531.7614707529069</v>
      </c>
      <c r="X12">
        <f>INDEX($B$26:$GQ$26,MATCH(23,$B$29:$GQ$29,0))</f>
        <v>1812.722725306782</v>
      </c>
      <c r="Y12">
        <f>INDEX($B$26:$GQ$26,MATCH(24,$B$29:$GQ$29,0))</f>
        <v>2404.6167325820702</v>
      </c>
      <c r="Z12">
        <f>INDEX($B$26:$GQ$26,MATCH(25,$B$29:$GQ$29,0))</f>
        <v>4980.1537441453456</v>
      </c>
      <c r="AA12">
        <f>INDEX($B$26:$GQ$26,MATCH(26,$B$29:$GQ$29,0))</f>
        <v>1792.9009778257609</v>
      </c>
      <c r="AB12">
        <f>INDEX($B$26:$GQ$26,MATCH(27,$B$29:$GQ$29,0))</f>
        <v>1049.242823885854</v>
      </c>
      <c r="AC12">
        <f>INDEX($B$26:$GQ$26,MATCH(28,$B$29:$GQ$29,0))</f>
        <v>352.04105788253838</v>
      </c>
      <c r="AD12">
        <f>INDEX($B$26:$GQ$26,MATCH(29,$B$29:$GQ$29,0))</f>
        <v>0</v>
      </c>
      <c r="AE12">
        <f>INDEX($B$26:$GQ$26,MATCH(30,$B$29:$GQ$29,0))</f>
        <v>7030.3057043680355</v>
      </c>
      <c r="AF12">
        <f>INDEX($B$26:$GQ$26,MATCH(31,$B$29:$GQ$29,0))</f>
        <v>2994.7270562905851</v>
      </c>
      <c r="AG12">
        <f>INDEX($B$26:$GQ$26,MATCH(32,$B$29:$GQ$29,0))</f>
        <v>1030.623850323879</v>
      </c>
      <c r="AH12">
        <f>INDEX($B$26:$GQ$26,MATCH(33,$B$29:$GQ$29,0))</f>
        <v>117.66307416232689</v>
      </c>
      <c r="AI12">
        <f>INDEX($B$26:$GQ$26,MATCH(34,$B$29:$GQ$29,0))</f>
        <v>5415.2871192374059</v>
      </c>
      <c r="AJ12">
        <f>INDEX($B$26:$GQ$26,MATCH(35,$B$29:$GQ$29,0))</f>
        <v>0</v>
      </c>
      <c r="AK12">
        <f>INDEX($B$26:$GQ$26,MATCH(36,$B$29:$GQ$29,0))</f>
        <v>4733.9451598417027</v>
      </c>
      <c r="AL12">
        <f>INDEX($B$26:$GQ$26,MATCH(37,$B$29:$GQ$29,0))</f>
        <v>574.435017484475</v>
      </c>
      <c r="AM12">
        <f>INDEX($B$26:$GQ$26,MATCH(38,$B$29:$GQ$29,0))</f>
        <v>0</v>
      </c>
      <c r="AN12">
        <f>INDEX($B$26:$GQ$26,MATCH(39,$B$29:$GQ$29,0))</f>
        <v>457.53197980197149</v>
      </c>
      <c r="AO12">
        <f>INDEX($B$26:$GQ$26,MATCH(40,$B$29:$GQ$29,0))</f>
        <v>4915.0671182338119</v>
      </c>
      <c r="AP12">
        <f>INDEX($B$26:$GQ$26,MATCH(41,$B$29:$GQ$29,0))</f>
        <v>443.37752710566411</v>
      </c>
      <c r="AQ12">
        <f>INDEX($B$26:$GQ$26,MATCH(42,$B$29:$GQ$29,0))</f>
        <v>106.62235761954609</v>
      </c>
      <c r="AR12">
        <f>INDEX($B$26:$GQ$26,MATCH(43,$B$29:$GQ$29,0))</f>
        <v>3419.927467340046</v>
      </c>
      <c r="AS12">
        <f>INDEX($B$26:$GQ$26,MATCH(44,$B$29:$GQ$29,0))</f>
        <v>81.512979695819638</v>
      </c>
      <c r="AT12">
        <f>INDEX($B$26:$GQ$26,MATCH(45,$B$29:$GQ$29,0))</f>
        <v>2362.0274514976409</v>
      </c>
      <c r="AU12">
        <f>INDEX($B$26:$GQ$26,MATCH(46,$B$29:$GQ$29,0))</f>
        <v>2371.8954559356862</v>
      </c>
      <c r="AV12">
        <f>INDEX($B$26:$GQ$26,MATCH(47,$B$29:$GQ$29,0))</f>
        <v>278.50234076552618</v>
      </c>
      <c r="AW12">
        <f>INDEX($B$26:$GQ$26,MATCH(48,$B$29:$GQ$29,0))</f>
        <v>0</v>
      </c>
      <c r="AX12">
        <f>INDEX($B$26:$GQ$26,MATCH(49,$B$29:$GQ$29,0))</f>
        <v>1938.3360087869901</v>
      </c>
      <c r="AY12">
        <f>INDEX($B$26:$GQ$26,MATCH(50,$B$29:$GQ$29,0))</f>
        <v>3601.2362805176731</v>
      </c>
      <c r="AZ12">
        <f>INDEX($B$26:$GQ$26,MATCH(51,$B$29:$GQ$29,0))</f>
        <v>1279.294469859246</v>
      </c>
      <c r="BA12">
        <f>INDEX($B$26:$GQ$26,MATCH(52,$B$29:$GQ$29,0))</f>
        <v>261.99657568492728</v>
      </c>
      <c r="BB12">
        <f>INDEX($B$26:$GQ$26,MATCH(53,$B$29:$GQ$29,0))</f>
        <v>1766.9913640952191</v>
      </c>
      <c r="BC12">
        <f>INDEX($B$26:$GQ$26,MATCH(54,$B$29:$GQ$29,0))</f>
        <v>777.75505947880254</v>
      </c>
      <c r="BD12">
        <f>INDEX($B$26:$GQ$26,MATCH(55,$B$29:$GQ$29,0))</f>
        <v>840.81808327777162</v>
      </c>
      <c r="BE12">
        <f>INDEX($B$26:$GQ$26,MATCH(56,$B$29:$GQ$29,0))</f>
        <v>1966.685736379673</v>
      </c>
      <c r="BF12">
        <f>INDEX($B$26:$GQ$26,MATCH(57,$B$29:$GQ$29,0))</f>
        <v>689.39036258461999</v>
      </c>
      <c r="BG12">
        <f>INDEX($B$26:$GQ$26,MATCH(58,$B$29:$GQ$29,0))</f>
        <v>2129.455406248414</v>
      </c>
      <c r="BH12">
        <f>INDEX($B$26:$GQ$26,MATCH(59,$B$29:$GQ$29,0))</f>
        <v>1265.9974691664579</v>
      </c>
      <c r="BI12">
        <f>INDEX($B$26:$GQ$26,MATCH(60,$B$29:$GQ$29,0))</f>
        <v>0</v>
      </c>
      <c r="BJ12">
        <f>INDEX($B$26:$GQ$26,MATCH(61,$B$29:$GQ$29,0))</f>
        <v>1308.9819708486059</v>
      </c>
      <c r="BK12">
        <f>INDEX($B$26:$GQ$26,MATCH(62,$B$29:$GQ$29,0))</f>
        <v>407.51225086885478</v>
      </c>
      <c r="BL12">
        <f>INDEX($B$26:$GQ$26,MATCH(63,$B$29:$GQ$29,0))</f>
        <v>1142.3469460938741</v>
      </c>
      <c r="BM12">
        <f>INDEX($B$26:$GQ$26,MATCH(64,$B$29:$GQ$29,0))</f>
        <v>0</v>
      </c>
      <c r="BN12">
        <f>INDEX($B$26:$GQ$26,MATCH(65,$B$29:$GQ$29,0))</f>
        <v>95.933416314928508</v>
      </c>
      <c r="BO12">
        <f>INDEX($B$26:$GQ$26,MATCH(66,$B$29:$GQ$29,0))</f>
        <v>81.18223023860638</v>
      </c>
      <c r="BP12">
        <f>INDEX($B$26:$GQ$26,MATCH(67,$B$29:$GQ$29,0))</f>
        <v>1330.350930760917</v>
      </c>
      <c r="BQ12">
        <f>INDEX($B$26:$GQ$26,MATCH(68,$B$29:$GQ$29,0))</f>
        <v>0</v>
      </c>
      <c r="BR12">
        <f>INDEX($B$26:$GQ$26,MATCH(69,$B$29:$GQ$29,0))</f>
        <v>0</v>
      </c>
      <c r="BS12">
        <f>INDEX($B$26:$GQ$26,MATCH(70,$B$29:$GQ$29,0))</f>
        <v>747.20413571905658</v>
      </c>
      <c r="BT12">
        <f>INDEX($B$26:$GQ$26,MATCH(71,$B$29:$GQ$29,0))</f>
        <v>854.58013255685148</v>
      </c>
      <c r="BU12">
        <f>INDEX($B$26:$GQ$26,MATCH(72,$B$29:$GQ$29,0))</f>
        <v>0</v>
      </c>
      <c r="BV12">
        <f>INDEX($B$26:$GQ$26,MATCH(73,$B$29:$GQ$29,0))</f>
        <v>786.33566798888478</v>
      </c>
      <c r="BW12">
        <f>INDEX($B$26:$GQ$26,MATCH(74,$B$29:$GQ$29,0))</f>
        <v>0</v>
      </c>
      <c r="BX12">
        <f>INDEX($B$26:$GQ$26,MATCH(75,$B$29:$GQ$29,0))</f>
        <v>74.756843890720674</v>
      </c>
      <c r="BY12">
        <f>INDEX($B$26:$GQ$26,MATCH(76,$B$29:$GQ$29,0))</f>
        <v>0</v>
      </c>
      <c r="BZ12">
        <f>INDEX($B$26:$GQ$26,MATCH(77,$B$29:$GQ$29,0))</f>
        <v>152.77723690467451</v>
      </c>
      <c r="CA12">
        <f>INDEX($B$26:$GQ$26,MATCH(78,$B$29:$GQ$29,0))</f>
        <v>0</v>
      </c>
      <c r="CB12">
        <f>INDEX($B$26:$GQ$26,MATCH(79,$B$29:$GQ$29,0))</f>
        <v>0</v>
      </c>
      <c r="CC12">
        <f>INDEX($B$26:$GQ$26,MATCH(80,$B$29:$GQ$29,0))</f>
        <v>315.5860758972039</v>
      </c>
      <c r="CD12">
        <f>INDEX($B$26:$GQ$26,MATCH(81,$B$29:$GQ$29,0))</f>
        <v>4.8584048957513106</v>
      </c>
      <c r="CE12">
        <f>INDEX($B$26:$GQ$26,MATCH(82,$B$29:$GQ$29,0))</f>
        <v>1.6761133682352329</v>
      </c>
      <c r="CF12">
        <f>INDEX($B$26:$GQ$26,MATCH(83,$B$29:$GQ$29,0))</f>
        <v>215.38751402902861</v>
      </c>
      <c r="CG12">
        <f>INDEX($B$26:$GQ$26,MATCH(84,$B$29:$GQ$29,0))</f>
        <v>6.4398080247037299</v>
      </c>
      <c r="CH12">
        <f>INDEX($B$26:$GQ$26,MATCH(85,$B$29:$GQ$29,0))</f>
        <v>4.7335247175226183</v>
      </c>
      <c r="CI12">
        <f>INDEX($B$26:$GQ$26,MATCH(86,$B$29:$GQ$29,0))</f>
        <v>260.92860654422839</v>
      </c>
      <c r="CJ12">
        <f>INDEX($B$26:$GQ$26,MATCH(87,$B$29:$GQ$29,0))</f>
        <v>4.9571550236456847</v>
      </c>
      <c r="CK12">
        <f>INDEX($B$26:$GQ$26,MATCH(88,$B$29:$GQ$29,0))</f>
        <v>2.6446246653147831</v>
      </c>
      <c r="CL12">
        <f>INDEX($B$26:$GQ$26,MATCH(89,$B$29:$GQ$29,0))</f>
        <v>4.7862801789906939</v>
      </c>
      <c r="CM12">
        <f>INDEX($B$26:$GQ$26,MATCH(90,$B$29:$GQ$29,0))</f>
        <v>0</v>
      </c>
      <c r="CN12">
        <f>INDEX($B$26:$GQ$26,MATCH(91,$B$29:$GQ$29,0))</f>
        <v>3.5292313097265211</v>
      </c>
      <c r="CO12">
        <f>INDEX($B$26:$GQ$26,MATCH(92,$B$29:$GQ$29,0))</f>
        <v>0</v>
      </c>
      <c r="CP12">
        <f>INDEX($B$26:$GQ$26,MATCH(93,$B$29:$GQ$29,0))</f>
        <v>112.29519286724469</v>
      </c>
      <c r="CQ12">
        <f>INDEX($B$26:$GQ$26,MATCH(94,$B$29:$GQ$29,0))</f>
        <v>176.24139924958899</v>
      </c>
      <c r="CR12">
        <f>INDEX($B$26:$GQ$26,MATCH(95,$B$29:$GQ$29,0))</f>
        <v>5.3259173155575468</v>
      </c>
      <c r="CS12">
        <f>INDEX($B$26:$GQ$26,MATCH(96,$B$29:$GQ$29,0))</f>
        <v>5.2937965695070277</v>
      </c>
      <c r="CT12">
        <f>INDEX($B$26:$GQ$26,MATCH(97,$B$29:$GQ$29,0))</f>
        <v>2.4687188155416928</v>
      </c>
      <c r="CU12">
        <f>INDEX($B$26:$GQ$26,MATCH(98,$B$29:$GQ$29,0))</f>
        <v>8.985095780451946</v>
      </c>
      <c r="CV12">
        <f>INDEX($B$26:$GQ$26,MATCH(99,$B$29:$GQ$29,0))</f>
        <v>3.1295566243333228</v>
      </c>
      <c r="CW12">
        <f>INDEX($B$26:$GQ$26,MATCH(100,$B$29:$GQ$29,0))</f>
        <v>39.082186042309822</v>
      </c>
      <c r="CX12">
        <f>INDEX($B$26:$GQ$26,MATCH(101,$B$29:$GQ$29,0))</f>
        <v>1.8202227870270731</v>
      </c>
      <c r="CY12">
        <f>INDEX($B$26:$GQ$26,MATCH(102,$B$29:$GQ$29,0))</f>
        <v>1.663990669230559</v>
      </c>
      <c r="CZ12">
        <f>INDEX($B$26:$GQ$26,MATCH(103,$B$29:$GQ$29,0))</f>
        <v>2.4081769699169588</v>
      </c>
      <c r="DA12">
        <f>INDEX($B$26:$GQ$26,MATCH(104,$B$29:$GQ$29,0))</f>
        <v>16.248667623727229</v>
      </c>
      <c r="DB12">
        <f>INDEX($B$26:$GQ$26,MATCH(105,$B$29:$GQ$29,0))</f>
        <v>1.7434225573826561</v>
      </c>
      <c r="DC12">
        <f>INDEX($B$26:$GQ$26,MATCH(106,$B$29:$GQ$29,0))</f>
        <v>82.533265992579359</v>
      </c>
      <c r="DD12">
        <f>INDEX($B$26:$GQ$26,MATCH(107,$B$29:$GQ$29,0))</f>
        <v>1.223801478752198</v>
      </c>
      <c r="DE12">
        <f>INDEX($B$26:$GQ$26,MATCH(108,$B$29:$GQ$29,0))</f>
        <v>0.50733336740625656</v>
      </c>
      <c r="DF12">
        <f>INDEX($B$26:$GQ$26,MATCH(109,$B$29:$GQ$29,0))</f>
        <v>0.77641418882800128</v>
      </c>
      <c r="DG12">
        <f>INDEX($B$26:$GQ$26,MATCH(110,$B$29:$GQ$29,0))</f>
        <v>0</v>
      </c>
      <c r="DH12">
        <f>INDEX($B$26:$GQ$26,MATCH(111,$B$29:$GQ$29,0))</f>
        <v>35.66830098635684</v>
      </c>
      <c r="DI12">
        <f>INDEX($B$26:$GQ$26,MATCH(112,$B$29:$GQ$29,0))</f>
        <v>0.3102379884243221</v>
      </c>
      <c r="DJ12">
        <f>INDEX($B$26:$GQ$26,MATCH(113,$B$29:$GQ$29,0))</f>
        <v>25.431750451842611</v>
      </c>
      <c r="DK12">
        <f>INDEX($B$26:$GQ$26,MATCH(114,$B$29:$GQ$29,0))</f>
        <v>0.7825945715382937</v>
      </c>
      <c r="DL12">
        <f>INDEX($B$26:$GQ$26,MATCH(115,$B$29:$GQ$29,0))</f>
        <v>0.4977729987650833</v>
      </c>
      <c r="DM12">
        <f>INDEX($B$26:$GQ$26,MATCH(116,$B$29:$GQ$29,0))</f>
        <v>6.1998409247802151</v>
      </c>
      <c r="DN12">
        <f>INDEX($B$26:$GQ$26,MATCH(117,$B$29:$GQ$29,0))</f>
        <v>0.72212564030406146</v>
      </c>
      <c r="DO12">
        <f>INDEX($B$26:$GQ$26,MATCH(118,$B$29:$GQ$29,0))</f>
        <v>0.16336742759977571</v>
      </c>
      <c r="DP12">
        <f>INDEX($B$26:$GQ$26,MATCH(119,$B$29:$GQ$29,0))</f>
        <v>6.2979296929616417</v>
      </c>
      <c r="DQ12">
        <f>INDEX($B$26:$GQ$26,MATCH(120,$B$29:$GQ$29,0))</f>
        <v>7.660897901091821</v>
      </c>
      <c r="DR12">
        <f>INDEX($B$26:$GQ$26,MATCH(121,$B$29:$GQ$29,0))</f>
        <v>9.6249499487397863</v>
      </c>
      <c r="DS12">
        <f>INDEX($B$26:$GQ$26,MATCH(122,$B$29:$GQ$29,0))</f>
        <v>0</v>
      </c>
      <c r="DT12">
        <f>INDEX($B$26:$GQ$26,MATCH(123,$B$29:$GQ$29,0))</f>
        <v>6.8728651421501086</v>
      </c>
      <c r="DU12">
        <f>INDEX($B$26:$GQ$26,MATCH(124,$B$29:$GQ$29,0))</f>
        <v>3.1080687267602021</v>
      </c>
      <c r="DV12">
        <f>INDEX($B$26:$GQ$26,MATCH(125,$B$29:$GQ$29,0))</f>
        <v>3.5216255093995108</v>
      </c>
      <c r="DW12">
        <f>INDEX($B$26:$GQ$26,MATCH(126,$B$29:$GQ$29,0))</f>
        <v>1.7707197662576508E-2</v>
      </c>
      <c r="DX12">
        <f>INDEX($B$26:$GQ$26,MATCH(127,$B$29:$GQ$29,0))</f>
        <v>0.29266487241723599</v>
      </c>
      <c r="DY12">
        <f>INDEX($B$26:$GQ$26,MATCH(128,$B$29:$GQ$29,0))</f>
        <v>0</v>
      </c>
      <c r="DZ12">
        <f>INDEX($B$26:$GQ$26,MATCH(129,$B$29:$GQ$29,0))</f>
        <v>0</v>
      </c>
      <c r="EA12">
        <f>INDEX($B$26:$GQ$26,MATCH(130,$B$29:$GQ$29,0))</f>
        <v>0</v>
      </c>
      <c r="EB12">
        <f>INDEX($B$26:$GQ$26,MATCH(131,$B$29:$GQ$29,0))</f>
        <v>2.9044209100702972E-2</v>
      </c>
      <c r="EC12">
        <f>INDEX($B$26:$GQ$26,MATCH(132,$B$29:$GQ$29,0))</f>
        <v>1.2575640231634169E-2</v>
      </c>
      <c r="ED12">
        <f>INDEX($B$26:$GQ$26,MATCH(133,$B$29:$GQ$29,0))</f>
        <v>0</v>
      </c>
      <c r="EE12">
        <f>INDEX($B$26:$GQ$26,MATCH(134,$B$29:$GQ$29,0))</f>
        <v>0</v>
      </c>
      <c r="EF12">
        <f>INDEX($B$26:$GQ$26,MATCH(135,$B$29:$GQ$29,0))</f>
        <v>0</v>
      </c>
      <c r="EG12">
        <f>INDEX($B$26:$GQ$26,MATCH(136,$B$29:$GQ$29,0))</f>
        <v>0</v>
      </c>
      <c r="EH12">
        <f>INDEX($B$26:$GQ$26,MATCH(137,$B$29:$GQ$29,0))</f>
        <v>0</v>
      </c>
      <c r="EI12">
        <f>INDEX($B$26:$GQ$26,MATCH(138,$B$29:$GQ$29,0))</f>
        <v>0</v>
      </c>
      <c r="EJ12">
        <f>INDEX($B$26:$GQ$26,MATCH(139,$B$29:$GQ$29,0))</f>
        <v>0</v>
      </c>
      <c r="EK12">
        <f>INDEX($B$26:$GQ$26,MATCH(140,$B$29:$GQ$29,0))</f>
        <v>0</v>
      </c>
      <c r="EL12">
        <f>INDEX($B$26:$GQ$26,MATCH(141,$B$29:$GQ$29,0))</f>
        <v>0</v>
      </c>
      <c r="EM12">
        <f>INDEX($B$26:$GQ$26,MATCH(142,$B$29:$GQ$29,0))</f>
        <v>0</v>
      </c>
      <c r="EN12">
        <f>INDEX($B$26:$GQ$26,MATCH(143,$B$29:$GQ$29,0))</f>
        <v>0</v>
      </c>
      <c r="EO12">
        <f>INDEX($B$26:$GQ$26,MATCH(144,$B$29:$GQ$29,0))</f>
        <v>0</v>
      </c>
      <c r="EP12">
        <f>INDEX($B$26:$GQ$26,MATCH(145,$B$29:$GQ$29,0))</f>
        <v>0</v>
      </c>
      <c r="EQ12">
        <f>INDEX($B$26:$GQ$26,MATCH(146,$B$29:$GQ$29,0))</f>
        <v>0</v>
      </c>
      <c r="ER12">
        <f>INDEX($B$26:$GQ$26,MATCH(147,$B$29:$GQ$29,0))</f>
        <v>0</v>
      </c>
      <c r="ES12">
        <f>INDEX($B$26:$GQ$26,MATCH(148,$B$29:$GQ$29,0))</f>
        <v>0</v>
      </c>
      <c r="ET12">
        <f>INDEX($B$26:$GQ$26,MATCH(149,$B$29:$GQ$29,0))</f>
        <v>0</v>
      </c>
      <c r="EU12">
        <f>INDEX($B$26:$GQ$26,MATCH(150,$B$29:$GQ$29,0))</f>
        <v>0</v>
      </c>
      <c r="EV12">
        <f>INDEX($B$26:$GQ$26,MATCH(151,$B$29:$GQ$29,0))</f>
        <v>0</v>
      </c>
      <c r="EW12">
        <f>INDEX($B$26:$GQ$26,MATCH(152,$B$29:$GQ$29,0))</f>
        <v>0</v>
      </c>
      <c r="EX12">
        <f>INDEX($B$26:$GQ$26,MATCH(153,$B$29:$GQ$29,0))</f>
        <v>0</v>
      </c>
      <c r="EY12">
        <f>INDEX($B$26:$GQ$26,MATCH(154,$B$29:$GQ$29,0))</f>
        <v>0</v>
      </c>
      <c r="EZ12">
        <f>INDEX($B$26:$GQ$26,MATCH(155,$B$29:$GQ$29,0))</f>
        <v>0</v>
      </c>
      <c r="FA12">
        <f>INDEX($B$26:$GQ$26,MATCH(156,$B$29:$GQ$29,0))</f>
        <v>0</v>
      </c>
      <c r="FB12">
        <f>INDEX($B$26:$GQ$26,MATCH(157,$B$29:$GQ$29,0))</f>
        <v>0</v>
      </c>
      <c r="FC12">
        <f>INDEX($B$26:$GQ$26,MATCH(158,$B$29:$GQ$29,0))</f>
        <v>0</v>
      </c>
      <c r="FD12">
        <f>INDEX($B$26:$GQ$26,MATCH(159,$B$29:$GQ$29,0))</f>
        <v>0</v>
      </c>
      <c r="FE12">
        <f>INDEX($B$26:$GQ$26,MATCH(160,$B$29:$GQ$29,0))</f>
        <v>0</v>
      </c>
      <c r="FF12">
        <f>INDEX($B$26:$GQ$26,MATCH(161,$B$29:$GQ$29,0))</f>
        <v>0</v>
      </c>
      <c r="FG12">
        <f>INDEX($B$26:$GQ$26,MATCH(162,$B$29:$GQ$29,0))</f>
        <v>0</v>
      </c>
      <c r="FH12">
        <f>INDEX($B$26:$GQ$26,MATCH(163,$B$29:$GQ$29,0))</f>
        <v>0</v>
      </c>
      <c r="FI12">
        <f>INDEX($B$26:$GQ$26,MATCH(164,$B$29:$GQ$29,0))</f>
        <v>0</v>
      </c>
      <c r="FJ12">
        <f>INDEX($B$26:$GQ$26,MATCH(165,$B$29:$GQ$29,0))</f>
        <v>0</v>
      </c>
      <c r="FK12">
        <f>INDEX($B$26:$GQ$26,MATCH(166,$B$29:$GQ$29,0))</f>
        <v>0</v>
      </c>
      <c r="FL12">
        <f>INDEX($B$26:$GQ$26,MATCH(167,$B$29:$GQ$29,0))</f>
        <v>0</v>
      </c>
      <c r="FM12">
        <f>INDEX($B$26:$GQ$26,MATCH(168,$B$29:$GQ$29,0))</f>
        <v>0</v>
      </c>
      <c r="FN12">
        <f>INDEX($B$26:$GQ$26,MATCH(169,$B$29:$GQ$29,0))</f>
        <v>0</v>
      </c>
      <c r="FO12">
        <f>INDEX($B$26:$GQ$26,MATCH(170,$B$29:$GQ$29,0))</f>
        <v>0</v>
      </c>
      <c r="FP12">
        <f>INDEX($B$26:$GQ$26,MATCH(171,$B$29:$GQ$29,0))</f>
        <v>0</v>
      </c>
      <c r="FQ12">
        <f>INDEX($B$26:$GQ$26,MATCH(172,$B$29:$GQ$29,0))</f>
        <v>0</v>
      </c>
      <c r="FR12">
        <f>INDEX($B$26:$GQ$26,MATCH(173,$B$29:$GQ$29,0))</f>
        <v>0</v>
      </c>
      <c r="FS12">
        <f>INDEX($B$26:$GQ$26,MATCH(174,$B$29:$GQ$29,0))</f>
        <v>0</v>
      </c>
      <c r="FT12">
        <f>INDEX($B$26:$GQ$26,MATCH(175,$B$29:$GQ$29,0))</f>
        <v>0</v>
      </c>
      <c r="FU12">
        <f>INDEX($B$26:$GQ$26,MATCH(176,$B$29:$GQ$29,0))</f>
        <v>0</v>
      </c>
      <c r="FV12">
        <f>INDEX($B$26:$GQ$26,MATCH(177,$B$29:$GQ$29,0))</f>
        <v>0</v>
      </c>
      <c r="FW12">
        <f>INDEX($B$26:$GQ$26,MATCH(178,$B$29:$GQ$29,0))</f>
        <v>0</v>
      </c>
      <c r="FX12">
        <f>INDEX($B$26:$GQ$26,MATCH(179,$B$29:$GQ$29,0))</f>
        <v>0</v>
      </c>
      <c r="FY12">
        <f>INDEX($B$26:$GQ$26,MATCH(180,$B$29:$GQ$29,0))</f>
        <v>0</v>
      </c>
      <c r="FZ12">
        <f>INDEX($B$26:$GQ$26,MATCH(181,$B$29:$GQ$29,0))</f>
        <v>0</v>
      </c>
      <c r="GA12">
        <f>INDEX($B$26:$GQ$26,MATCH(182,$B$29:$GQ$29,0))</f>
        <v>0</v>
      </c>
      <c r="GB12">
        <f>INDEX($B$26:$GQ$26,MATCH(183,$B$29:$GQ$29,0))</f>
        <v>0</v>
      </c>
      <c r="GC12">
        <f>INDEX($B$26:$GQ$26,MATCH(184,$B$29:$GQ$29,0))</f>
        <v>0</v>
      </c>
      <c r="GD12">
        <f>INDEX($B$26:$GQ$26,MATCH(185,$B$29:$GQ$29,0))</f>
        <v>0</v>
      </c>
      <c r="GE12">
        <f>INDEX($B$26:$GQ$26,MATCH(186,$B$29:$GQ$29,0))</f>
        <v>0</v>
      </c>
      <c r="GF12">
        <f>INDEX($B$26:$GQ$26,MATCH(187,$B$29:$GQ$29,0))</f>
        <v>0</v>
      </c>
      <c r="GG12">
        <f>INDEX($B$26:$GQ$26,MATCH(188,$B$29:$GQ$29,0))</f>
        <v>0</v>
      </c>
      <c r="GH12">
        <f>INDEX($B$26:$GQ$26,MATCH(189,$B$29:$GQ$29,0))</f>
        <v>0</v>
      </c>
      <c r="GI12">
        <f>INDEX($B$26:$GQ$26,MATCH(190,$B$29:$GQ$29,0))</f>
        <v>0</v>
      </c>
      <c r="GJ12">
        <f>INDEX($B$26:$GQ$26,MATCH(191,$B$29:$GQ$29,0))</f>
        <v>0</v>
      </c>
      <c r="GK12">
        <f>INDEX($B$26:$GQ$26,MATCH(192,$B$29:$GQ$29,0))</f>
        <v>0</v>
      </c>
      <c r="GL12">
        <f>INDEX($B$26:$GQ$26,MATCH(193,$B$29:$GQ$29,0))</f>
        <v>0</v>
      </c>
      <c r="GM12">
        <f>INDEX($B$26:$GQ$26,MATCH(194,$B$29:$GQ$29,0))</f>
        <v>0</v>
      </c>
      <c r="GN12">
        <f>INDEX($B$26:$GQ$26,MATCH(195,$B$29:$GQ$29,0))</f>
        <v>0</v>
      </c>
      <c r="GO12">
        <f>INDEX($B$26:$GQ$26,MATCH(196,$B$29:$GQ$29,0))</f>
        <v>0</v>
      </c>
      <c r="GP12">
        <f>INDEX($B$26:$GQ$26,MATCH(197,$B$29:$GQ$29,0))</f>
        <v>0</v>
      </c>
      <c r="GQ12">
        <f>INDEX($B$26:$GQ$26,MATCH(198,$B$29:$GQ$29,0))</f>
        <v>0</v>
      </c>
      <c r="GR12">
        <f>INDEX($GR$26:$HC$26,MATCH(1,$GR$30:$HC$30,0))</f>
        <v>41212.057220511881</v>
      </c>
      <c r="GS12">
        <f>INDEX($GR$26:$HC$26,MATCH(2,$GR$30:$HC$30,0))</f>
        <v>9186.8743150573173</v>
      </c>
      <c r="GT12">
        <f>INDEX($GR$26:$HC$26,MATCH(3,$GR$30:$HC$30,0))</f>
        <v>62015.541110628343</v>
      </c>
      <c r="GU12">
        <f>INDEX($GR$26:$HC$26,MATCH(4,$GR$30:$HC$30,0))</f>
        <v>59932.871608425543</v>
      </c>
      <c r="GV12">
        <f>INDEX($GR$26:$HC$26,MATCH(5,$GR$30:$HC$30,0))</f>
        <v>29496.756702975781</v>
      </c>
      <c r="GW12">
        <f>INDEX($GR$26:$HC$26,MATCH(6,$GR$30:$HC$30,0))</f>
        <v>6510.4362455590781</v>
      </c>
      <c r="GX12">
        <f>INDEX($GR$26:$HC$26,MATCH(7,$GR$30:$HC$30,0))</f>
        <v>45263.826579953333</v>
      </c>
      <c r="GY12">
        <f>INDEX($GR$26:$HC$26,MATCH(8,$GR$30:$HC$30,0))</f>
        <v>6875.2868825545229</v>
      </c>
      <c r="GZ12">
        <f>INDEX($GR$26:$HC$26,MATCH(9,$GR$30:$HC$30,0))</f>
        <v>0</v>
      </c>
      <c r="HA12">
        <f>INDEX($GR$26:$HC$26,MATCH(10,$GR$30:$HC$30,0))</f>
        <v>16953.196013021879</v>
      </c>
      <c r="HB12">
        <f>INDEX($GR$26:$HC$26,MATCH(11,$GR$30:$HC$30,0))</f>
        <v>4466.9424672941896</v>
      </c>
      <c r="HC12">
        <f>INDEX($GR$26:$HC$26,MATCH(12,$GR$30:$HC$30,0))</f>
        <v>6144.9985787982523</v>
      </c>
    </row>
    <row r="13" spans="1:211" x14ac:dyDescent="0.45">
      <c r="A13" s="1" t="s">
        <v>1</v>
      </c>
      <c r="B13">
        <f>INDEX($B$27:$GQ$27,MATCH(1,$B$29:$GQ$29,0))</f>
        <v>129975.96692320881</v>
      </c>
      <c r="C13">
        <f>INDEX($B$27:$GQ$27,MATCH(2,$B$29:$GQ$29,0))</f>
        <v>65998.378944453871</v>
      </c>
      <c r="D13">
        <f>INDEX($B$27:$GQ$27,MATCH(3,$B$29:$GQ$29,0))</f>
        <v>60875.363095438042</v>
      </c>
      <c r="E13">
        <f>INDEX($B$27:$GQ$27,MATCH(4,$B$29:$GQ$29,0))</f>
        <v>58547.662336877831</v>
      </c>
      <c r="F13">
        <f>INDEX($B$27:$GQ$27,MATCH(5,$B$29:$GQ$29,0))</f>
        <v>52302.93299566862</v>
      </c>
      <c r="G13">
        <f>INDEX($B$27:$GQ$27,MATCH(6,$B$29:$GQ$29,0))</f>
        <v>45909.875373959883</v>
      </c>
      <c r="H13">
        <f>INDEX($B$27:$GQ$27,MATCH(7,$B$29:$GQ$29,0))</f>
        <v>37975.420395549809</v>
      </c>
      <c r="I13">
        <f>INDEX($B$27:$GQ$27,MATCH(8,$B$29:$GQ$29,0))</f>
        <v>37526.175205765059</v>
      </c>
      <c r="J13">
        <f>INDEX($B$27:$GQ$27,MATCH(9,$B$29:$GQ$29,0))</f>
        <v>29453.41920493521</v>
      </c>
      <c r="K13">
        <f>INDEX($B$27:$GQ$27,MATCH(10,$B$29:$GQ$29,0))</f>
        <v>28610.509272929521</v>
      </c>
      <c r="L13">
        <f>INDEX($B$27:$GQ$27,MATCH(11,$B$29:$GQ$29,0))</f>
        <v>25787.72531095034</v>
      </c>
      <c r="M13">
        <f>INDEX($B$27:$GQ$27,MATCH(12,$B$29:$GQ$29,0))</f>
        <v>24298.526282476028</v>
      </c>
      <c r="N13">
        <f>INDEX($B$27:$GQ$27,MATCH(13,$B$29:$GQ$29,0))</f>
        <v>24011.21527489361</v>
      </c>
      <c r="O13">
        <f>INDEX($B$27:$GQ$27,MATCH(14,$B$29:$GQ$29,0))</f>
        <v>23291.376466480029</v>
      </c>
      <c r="P13">
        <f>INDEX($B$27:$GQ$27,MATCH(15,$B$29:$GQ$29,0))</f>
        <v>22885.495242005549</v>
      </c>
      <c r="Q13">
        <f>INDEX($B$27:$GQ$27,MATCH(16,$B$29:$GQ$29,0))</f>
        <v>20747.146867791431</v>
      </c>
      <c r="R13">
        <f>INDEX($B$27:$GQ$27,MATCH(17,$B$29:$GQ$29,0))</f>
        <v>20389.437283542789</v>
      </c>
      <c r="S13">
        <f>INDEX($B$27:$GQ$27,MATCH(18,$B$29:$GQ$29,0))</f>
        <v>19697.01146096813</v>
      </c>
      <c r="T13">
        <f>INDEX($B$27:$GQ$27,MATCH(19,$B$29:$GQ$29,0))</f>
        <v>16530.629818450241</v>
      </c>
      <c r="U13">
        <f>INDEX($B$27:$GQ$27,MATCH(20,$B$29:$GQ$29,0))</f>
        <v>16503.807359509981</v>
      </c>
      <c r="V13">
        <f>INDEX($B$27:$GQ$27,MATCH(21,$B$29:$GQ$29,0))</f>
        <v>16376.301681556841</v>
      </c>
      <c r="W13">
        <f>INDEX($B$27:$GQ$27,MATCH(22,$B$29:$GQ$29,0))</f>
        <v>11700.158281907061</v>
      </c>
      <c r="X13">
        <f>INDEX($B$27:$GQ$27,MATCH(23,$B$29:$GQ$29,0))</f>
        <v>10514.838608781591</v>
      </c>
      <c r="Y13">
        <f>INDEX($B$27:$GQ$27,MATCH(24,$B$29:$GQ$29,0))</f>
        <v>10043.773872673981</v>
      </c>
      <c r="Z13">
        <f>INDEX($B$27:$GQ$27,MATCH(25,$B$29:$GQ$29,0))</f>
        <v>9913.2591716357056</v>
      </c>
      <c r="AA13">
        <f>INDEX($B$27:$GQ$27,MATCH(26,$B$29:$GQ$29,0))</f>
        <v>9657.6881427964072</v>
      </c>
      <c r="AB13">
        <f>INDEX($B$27:$GQ$27,MATCH(27,$B$29:$GQ$29,0))</f>
        <v>9524.8868254062527</v>
      </c>
      <c r="AC13">
        <f>INDEX($B$27:$GQ$27,MATCH(28,$B$29:$GQ$29,0))</f>
        <v>9144.9757965921999</v>
      </c>
      <c r="AD13">
        <f>INDEX($B$27:$GQ$27,MATCH(29,$B$29:$GQ$29,0))</f>
        <v>8742.5449618360944</v>
      </c>
      <c r="AE13">
        <f>INDEX($B$27:$GQ$27,MATCH(30,$B$29:$GQ$29,0))</f>
        <v>8252.9967698827149</v>
      </c>
      <c r="AF13">
        <f>INDEX($B$27:$GQ$27,MATCH(31,$B$29:$GQ$29,0))</f>
        <v>7345.6772905065391</v>
      </c>
      <c r="AG13">
        <f>INDEX($B$27:$GQ$27,MATCH(32,$B$29:$GQ$29,0))</f>
        <v>7342.7226464140131</v>
      </c>
      <c r="AH13">
        <f>INDEX($B$27:$GQ$27,MATCH(33,$B$29:$GQ$29,0))</f>
        <v>6667.7033731192632</v>
      </c>
      <c r="AI13">
        <f>INDEX($B$27:$GQ$27,MATCH(34,$B$29:$GQ$29,0))</f>
        <v>6653.6372924526249</v>
      </c>
      <c r="AJ13">
        <f>INDEX($B$27:$GQ$27,MATCH(35,$B$29:$GQ$29,0))</f>
        <v>6560.634319382727</v>
      </c>
      <c r="AK13">
        <f>INDEX($B$27:$GQ$27,MATCH(36,$B$29:$GQ$29,0))</f>
        <v>6365.7259306276374</v>
      </c>
      <c r="AL13">
        <f>INDEX($B$27:$GQ$27,MATCH(37,$B$29:$GQ$29,0))</f>
        <v>6173.908260829463</v>
      </c>
      <c r="AM13">
        <f>INDEX($B$27:$GQ$27,MATCH(38,$B$29:$GQ$29,0))</f>
        <v>5943.4120464422967</v>
      </c>
      <c r="AN13">
        <f>INDEX($B$27:$GQ$27,MATCH(39,$B$29:$GQ$29,0))</f>
        <v>5765.2688257539421</v>
      </c>
      <c r="AO13">
        <f>INDEX($B$27:$GQ$27,MATCH(40,$B$29:$GQ$29,0))</f>
        <v>5536.5572650434706</v>
      </c>
      <c r="AP13">
        <f>INDEX($B$27:$GQ$27,MATCH(41,$B$29:$GQ$29,0))</f>
        <v>5399.1962883867618</v>
      </c>
      <c r="AQ13">
        <f>INDEX($B$27:$GQ$27,MATCH(42,$B$29:$GQ$29,0))</f>
        <v>5269.6885833820488</v>
      </c>
      <c r="AR13">
        <f>INDEX($B$27:$GQ$27,MATCH(43,$B$29:$GQ$29,0))</f>
        <v>5058.5075628533014</v>
      </c>
      <c r="AS13">
        <f>INDEX($B$27:$GQ$27,MATCH(44,$B$29:$GQ$29,0))</f>
        <v>4978.0722563791087</v>
      </c>
      <c r="AT13">
        <f>INDEX($B$27:$GQ$27,MATCH(45,$B$29:$GQ$29,0))</f>
        <v>4750.8082841428422</v>
      </c>
      <c r="AU13">
        <f>INDEX($B$27:$GQ$27,MATCH(46,$B$29:$GQ$29,0))</f>
        <v>4242.5584119053729</v>
      </c>
      <c r="AV13">
        <f>INDEX($B$27:$GQ$27,MATCH(47,$B$29:$GQ$29,0))</f>
        <v>4231.7763196258493</v>
      </c>
      <c r="AW13">
        <f>INDEX($B$27:$GQ$27,MATCH(48,$B$29:$GQ$29,0))</f>
        <v>3813.358713636489</v>
      </c>
      <c r="AX13">
        <f>INDEX($B$27:$GQ$27,MATCH(49,$B$29:$GQ$29,0))</f>
        <v>3768.567508996467</v>
      </c>
      <c r="AY13">
        <f>INDEX($B$27:$GQ$27,MATCH(50,$B$29:$GQ$29,0))</f>
        <v>3601.2362805176731</v>
      </c>
      <c r="AZ13">
        <f>INDEX($B$27:$GQ$27,MATCH(51,$B$29:$GQ$29,0))</f>
        <v>3443.5610727042372</v>
      </c>
      <c r="BA13">
        <f>INDEX($B$27:$GQ$27,MATCH(52,$B$29:$GQ$29,0))</f>
        <v>3347.716320728262</v>
      </c>
      <c r="BB13">
        <f>INDEX($B$27:$GQ$27,MATCH(53,$B$29:$GQ$29,0))</f>
        <v>2854.4551002132312</v>
      </c>
      <c r="BC13">
        <f>INDEX($B$27:$GQ$27,MATCH(54,$B$29:$GQ$29,0))</f>
        <v>2823.458266712275</v>
      </c>
      <c r="BD13">
        <f>INDEX($B$27:$GQ$27,MATCH(55,$B$29:$GQ$29,0))</f>
        <v>2811.9304760907439</v>
      </c>
      <c r="BE13">
        <f>INDEX($B$27:$GQ$27,MATCH(56,$B$29:$GQ$29,0))</f>
        <v>2690.0328258731502</v>
      </c>
      <c r="BF13">
        <f>INDEX($B$27:$GQ$27,MATCH(57,$B$29:$GQ$29,0))</f>
        <v>2592.5066346873318</v>
      </c>
      <c r="BG13">
        <f>INDEX($B$27:$GQ$27,MATCH(58,$B$29:$GQ$29,0))</f>
        <v>2509.5625182056529</v>
      </c>
      <c r="BH13">
        <f>INDEX($B$27:$GQ$27,MATCH(59,$B$29:$GQ$29,0))</f>
        <v>2411.9676546478499</v>
      </c>
      <c r="BI13">
        <f>INDEX($B$27:$GQ$27,MATCH(60,$B$29:$GQ$29,0))</f>
        <v>2259.818265631417</v>
      </c>
      <c r="BJ13">
        <f>INDEX($B$27:$GQ$27,MATCH(61,$B$29:$GQ$29,0))</f>
        <v>2192.0398573527868</v>
      </c>
      <c r="BK13">
        <f>INDEX($B$27:$GQ$27,MATCH(62,$B$29:$GQ$29,0))</f>
        <v>2111.93420114218</v>
      </c>
      <c r="BL13">
        <f>INDEX($B$27:$GQ$27,MATCH(63,$B$29:$GQ$29,0))</f>
        <v>1829.3247199008149</v>
      </c>
      <c r="BM13">
        <f>INDEX($B$27:$GQ$27,MATCH(64,$B$29:$GQ$29,0))</f>
        <v>1825.414630889846</v>
      </c>
      <c r="BN13">
        <f>INDEX($B$27:$GQ$27,MATCH(65,$B$29:$GQ$29,0))</f>
        <v>1789.032963175541</v>
      </c>
      <c r="BO13">
        <f>INDEX($B$27:$GQ$27,MATCH(66,$B$29:$GQ$29,0))</f>
        <v>1769.5904319654369</v>
      </c>
      <c r="BP13">
        <f>INDEX($B$27:$GQ$27,MATCH(67,$B$29:$GQ$29,0))</f>
        <v>1731.8528533758531</v>
      </c>
      <c r="BQ13">
        <f>INDEX($B$27:$GQ$27,MATCH(68,$B$29:$GQ$29,0))</f>
        <v>1606.1119950630391</v>
      </c>
      <c r="BR13">
        <f>INDEX($B$27:$GQ$27,MATCH(69,$B$29:$GQ$29,0))</f>
        <v>1596.0775050772579</v>
      </c>
      <c r="BS13">
        <f>INDEX($B$27:$GQ$27,MATCH(70,$B$29:$GQ$29,0))</f>
        <v>1241.7594577635889</v>
      </c>
      <c r="BT13">
        <f>INDEX($B$27:$GQ$27,MATCH(71,$B$29:$GQ$29,0))</f>
        <v>854.58013255685148</v>
      </c>
      <c r="BU13">
        <f>INDEX($B$27:$GQ$27,MATCH(72,$B$29:$GQ$29,0))</f>
        <v>836.24616743953266</v>
      </c>
      <c r="BV13">
        <f>INDEX($B$27:$GQ$27,MATCH(73,$B$29:$GQ$29,0))</f>
        <v>829.19214836439289</v>
      </c>
      <c r="BW13">
        <f>INDEX($B$27:$GQ$27,MATCH(74,$B$29:$GQ$29,0))</f>
        <v>783.27716666682159</v>
      </c>
      <c r="BX13">
        <f>INDEX($B$27:$GQ$27,MATCH(75,$B$29:$GQ$29,0))</f>
        <v>760.76033623000524</v>
      </c>
      <c r="BY13">
        <f>INDEX($B$27:$GQ$27,MATCH(76,$B$29:$GQ$29,0))</f>
        <v>711.21062619066413</v>
      </c>
      <c r="BZ13">
        <f>INDEX($B$27:$GQ$27,MATCH(77,$B$29:$GQ$29,0))</f>
        <v>666.74588102300822</v>
      </c>
      <c r="CA13">
        <f>INDEX($B$27:$GQ$27,MATCH(78,$B$29:$GQ$29,0))</f>
        <v>655.86989539240392</v>
      </c>
      <c r="CB13">
        <f>INDEX($B$27:$GQ$27,MATCH(79,$B$29:$GQ$29,0))</f>
        <v>508.89487023539152</v>
      </c>
      <c r="CC13">
        <f>INDEX($B$27:$GQ$27,MATCH(80,$B$29:$GQ$29,0))</f>
        <v>460.40902654143929</v>
      </c>
      <c r="CD13">
        <f>INDEX($B$27:$GQ$27,MATCH(81,$B$29:$GQ$29,0))</f>
        <v>412.0984499331376</v>
      </c>
      <c r="CE13">
        <f>INDEX($B$27:$GQ$27,MATCH(82,$B$29:$GQ$29,0))</f>
        <v>373.6751530765099</v>
      </c>
      <c r="CF13">
        <f>INDEX($B$27:$GQ$27,MATCH(83,$B$29:$GQ$29,0))</f>
        <v>370.58915452364238</v>
      </c>
      <c r="CG13">
        <f>INDEX($B$27:$GQ$27,MATCH(84,$B$29:$GQ$29,0))</f>
        <v>310.45294036948349</v>
      </c>
      <c r="CH13">
        <f>INDEX($B$27:$GQ$27,MATCH(85,$B$29:$GQ$29,0))</f>
        <v>284.86037523367162</v>
      </c>
      <c r="CI13">
        <f>INDEX($B$27:$GQ$27,MATCH(86,$B$29:$GQ$29,0))</f>
        <v>280.23140890949821</v>
      </c>
      <c r="CJ13">
        <f>INDEX($B$27:$GQ$27,MATCH(87,$B$29:$GQ$29,0))</f>
        <v>263.6181892958723</v>
      </c>
      <c r="CK13">
        <f>INDEX($B$27:$GQ$27,MATCH(88,$B$29:$GQ$29,0))</f>
        <v>255.55820685095571</v>
      </c>
      <c r="CL13">
        <f>INDEX($B$27:$GQ$27,MATCH(89,$B$29:$GQ$29,0))</f>
        <v>246.70279077414929</v>
      </c>
      <c r="CM13">
        <f>INDEX($B$27:$GQ$27,MATCH(90,$B$29:$GQ$29,0))</f>
        <v>238.90341913586801</v>
      </c>
      <c r="CN13">
        <f>INDEX($B$27:$GQ$27,MATCH(91,$B$29:$GQ$29,0))</f>
        <v>231.99478435108341</v>
      </c>
      <c r="CO13">
        <f>INDEX($B$27:$GQ$27,MATCH(92,$B$29:$GQ$29,0))</f>
        <v>189.7393694934255</v>
      </c>
      <c r="CP13">
        <f>INDEX($B$27:$GQ$27,MATCH(93,$B$29:$GQ$29,0))</f>
        <v>182.22475217425361</v>
      </c>
      <c r="CQ13">
        <f>INDEX($B$27:$GQ$27,MATCH(94,$B$29:$GQ$29,0))</f>
        <v>181.19373344159959</v>
      </c>
      <c r="CR13">
        <f>INDEX($B$27:$GQ$27,MATCH(95,$B$29:$GQ$29,0))</f>
        <v>169.7922384860353</v>
      </c>
      <c r="CS13">
        <f>INDEX($B$27:$GQ$27,MATCH(96,$B$29:$GQ$29,0))</f>
        <v>156.7647658479072</v>
      </c>
      <c r="CT13">
        <f>INDEX($B$27:$GQ$27,MATCH(97,$B$29:$GQ$29,0))</f>
        <v>151.15559665348931</v>
      </c>
      <c r="CU13">
        <f>INDEX($B$27:$GQ$27,MATCH(98,$B$29:$GQ$29,0))</f>
        <v>146.29760633399499</v>
      </c>
      <c r="CV13">
        <f>INDEX($B$27:$GQ$27,MATCH(99,$B$29:$GQ$29,0))</f>
        <v>113.1012117777488</v>
      </c>
      <c r="CW13">
        <f>INDEX($B$27:$GQ$27,MATCH(100,$B$29:$GQ$29,0))</f>
        <v>106.8139968012897</v>
      </c>
      <c r="CX13">
        <f>INDEX($B$27:$GQ$27,MATCH(101,$B$29:$GQ$29,0))</f>
        <v>106.0902575605255</v>
      </c>
      <c r="CY13">
        <f>INDEX($B$27:$GQ$27,MATCH(102,$B$29:$GQ$29,0))</f>
        <v>99.467872604171603</v>
      </c>
      <c r="CZ13">
        <f>INDEX($B$27:$GQ$27,MATCH(103,$B$29:$GQ$29,0))</f>
        <v>97.566596710058747</v>
      </c>
      <c r="DA13">
        <f>INDEX($B$27:$GQ$27,MATCH(104,$B$29:$GQ$29,0))</f>
        <v>96.919591942775384</v>
      </c>
      <c r="DB13">
        <f>INDEX($B$27:$GQ$27,MATCH(105,$B$29:$GQ$29,0))</f>
        <v>91.260434478624177</v>
      </c>
      <c r="DC13">
        <f>INDEX($B$27:$GQ$27,MATCH(106,$B$29:$GQ$29,0))</f>
        <v>82.533265992579359</v>
      </c>
      <c r="DD13">
        <f>INDEX($B$27:$GQ$27,MATCH(107,$B$29:$GQ$29,0))</f>
        <v>70.038540468670206</v>
      </c>
      <c r="DE13">
        <f>INDEX($B$27:$GQ$27,MATCH(108,$B$29:$GQ$29,0))</f>
        <v>56.194381914749613</v>
      </c>
      <c r="DF13">
        <f>INDEX($B$27:$GQ$27,MATCH(109,$B$29:$GQ$29,0))</f>
        <v>52.302558492793551</v>
      </c>
      <c r="DG13">
        <f>INDEX($B$27:$GQ$27,MATCH(110,$B$29:$GQ$29,0))</f>
        <v>50.118523044100527</v>
      </c>
      <c r="DH13">
        <f>INDEX($B$27:$GQ$27,MATCH(111,$B$29:$GQ$29,0))</f>
        <v>35.66830098635684</v>
      </c>
      <c r="DI13">
        <f>INDEX($B$27:$GQ$27,MATCH(112,$B$29:$GQ$29,0))</f>
        <v>25.999127132837689</v>
      </c>
      <c r="DJ13">
        <f>INDEX($B$27:$GQ$27,MATCH(113,$B$29:$GQ$29,0))</f>
        <v>25.431750451842611</v>
      </c>
      <c r="DK13">
        <f>INDEX($B$27:$GQ$27,MATCH(114,$B$29:$GQ$29,0))</f>
        <v>18.911187638516569</v>
      </c>
      <c r="DL13">
        <f>INDEX($B$27:$GQ$27,MATCH(115,$B$29:$GQ$29,0))</f>
        <v>18.818853368112698</v>
      </c>
      <c r="DM13">
        <f>INDEX($B$27:$GQ$27,MATCH(116,$B$29:$GQ$29,0))</f>
        <v>17.001766555353861</v>
      </c>
      <c r="DN13">
        <f>INDEX($B$27:$GQ$27,MATCH(117,$B$29:$GQ$29,0))</f>
        <v>15.02112992990118</v>
      </c>
      <c r="DO13">
        <f>INDEX($B$27:$GQ$27,MATCH(118,$B$29:$GQ$29,0))</f>
        <v>15.01243569681594</v>
      </c>
      <c r="DP13">
        <f>INDEX($B$27:$GQ$27,MATCH(119,$B$29:$GQ$29,0))</f>
        <v>10.849948960590339</v>
      </c>
      <c r="DQ13">
        <f>INDEX($B$27:$GQ$27,MATCH(120,$B$29:$GQ$29,0))</f>
        <v>9.7303034885317246</v>
      </c>
      <c r="DR13">
        <f>INDEX($B$27:$GQ$27,MATCH(121,$B$29:$GQ$29,0))</f>
        <v>9.6249499487397863</v>
      </c>
      <c r="DS13">
        <f>INDEX($B$27:$GQ$27,MATCH(122,$B$29:$GQ$29,0))</f>
        <v>7.7185006805607257</v>
      </c>
      <c r="DT13">
        <f>INDEX($B$27:$GQ$27,MATCH(123,$B$29:$GQ$29,0))</f>
        <v>6.8728651421501086</v>
      </c>
      <c r="DU13">
        <f>INDEX($B$27:$GQ$27,MATCH(124,$B$29:$GQ$29,0))</f>
        <v>3.7221218620842209</v>
      </c>
      <c r="DV13">
        <f>INDEX($B$27:$GQ$27,MATCH(125,$B$29:$GQ$29,0))</f>
        <v>3.5216255093995108</v>
      </c>
      <c r="DW13">
        <f>INDEX($B$27:$GQ$27,MATCH(126,$B$29:$GQ$29,0))</f>
        <v>1.5167375624281809</v>
      </c>
      <c r="DX13">
        <f>INDEX($B$27:$GQ$27,MATCH(127,$B$29:$GQ$29,0))</f>
        <v>1.5155511640396551</v>
      </c>
      <c r="DY13">
        <f>INDEX($B$27:$GQ$27,MATCH(128,$B$29:$GQ$29,0))</f>
        <v>1.0260987866484601</v>
      </c>
      <c r="DZ13">
        <f>INDEX($B$27:$GQ$27,MATCH(129,$B$29:$GQ$29,0))</f>
        <v>0.22898377511582341</v>
      </c>
      <c r="EA13">
        <f>INDEX($B$27:$GQ$27,MATCH(130,$B$29:$GQ$29,0))</f>
        <v>0.218622598991946</v>
      </c>
      <c r="EB13">
        <f>INDEX($B$27:$GQ$27,MATCH(131,$B$29:$GQ$29,0))</f>
        <v>2.9044209100702972E-2</v>
      </c>
      <c r="EC13">
        <f>INDEX($B$27:$GQ$27,MATCH(132,$B$29:$GQ$29,0))</f>
        <v>1.9882586486559991E-2</v>
      </c>
      <c r="ED13">
        <f>INDEX($B$27:$GQ$27,MATCH(133,$B$29:$GQ$29,0))</f>
        <v>1.025438252830345E-3</v>
      </c>
      <c r="EE13">
        <f>INDEX($B$27:$GQ$27,MATCH(134,$B$29:$GQ$29,0))</f>
        <v>0</v>
      </c>
      <c r="EF13">
        <f>INDEX($B$27:$GQ$27,MATCH(135,$B$29:$GQ$29,0))</f>
        <v>0</v>
      </c>
      <c r="EG13">
        <f>INDEX($B$27:$GQ$27,MATCH(136,$B$29:$GQ$29,0))</f>
        <v>0</v>
      </c>
      <c r="EH13">
        <f>INDEX($B$27:$GQ$27,MATCH(137,$B$29:$GQ$29,0))</f>
        <v>0</v>
      </c>
      <c r="EI13">
        <f>INDEX($B$27:$GQ$27,MATCH(138,$B$29:$GQ$29,0))</f>
        <v>0</v>
      </c>
      <c r="EJ13">
        <f>INDEX($B$27:$GQ$27,MATCH(139,$B$29:$GQ$29,0))</f>
        <v>0</v>
      </c>
      <c r="EK13">
        <f>INDEX($B$27:$GQ$27,MATCH(140,$B$29:$GQ$29,0))</f>
        <v>0</v>
      </c>
      <c r="EL13">
        <f>INDEX($B$27:$GQ$27,MATCH(141,$B$29:$GQ$29,0))</f>
        <v>0</v>
      </c>
      <c r="EM13">
        <f>INDEX($B$27:$GQ$27,MATCH(142,$B$29:$GQ$29,0))</f>
        <v>0</v>
      </c>
      <c r="EN13">
        <f>INDEX($B$27:$GQ$27,MATCH(143,$B$29:$GQ$29,0))</f>
        <v>0</v>
      </c>
      <c r="EO13">
        <f>INDEX($B$27:$GQ$27,MATCH(144,$B$29:$GQ$29,0))</f>
        <v>0</v>
      </c>
      <c r="EP13">
        <f>INDEX($B$27:$GQ$27,MATCH(145,$B$29:$GQ$29,0))</f>
        <v>0</v>
      </c>
      <c r="EQ13">
        <f>INDEX($B$27:$GQ$27,MATCH(146,$B$29:$GQ$29,0))</f>
        <v>0</v>
      </c>
      <c r="ER13">
        <f>INDEX($B$27:$GQ$27,MATCH(147,$B$29:$GQ$29,0))</f>
        <v>0</v>
      </c>
      <c r="ES13">
        <f>INDEX($B$27:$GQ$27,MATCH(148,$B$29:$GQ$29,0))</f>
        <v>0</v>
      </c>
      <c r="ET13">
        <f>INDEX($B$27:$GQ$27,MATCH(149,$B$29:$GQ$29,0))</f>
        <v>0</v>
      </c>
      <c r="EU13">
        <f>INDEX($B$27:$GQ$27,MATCH(150,$B$29:$GQ$29,0))</f>
        <v>0</v>
      </c>
      <c r="EV13">
        <f>INDEX($B$27:$GQ$27,MATCH(151,$B$29:$GQ$29,0))</f>
        <v>0</v>
      </c>
      <c r="EW13">
        <f>INDEX($B$27:$GQ$27,MATCH(152,$B$29:$GQ$29,0))</f>
        <v>0</v>
      </c>
      <c r="EX13">
        <f>INDEX($B$27:$GQ$27,MATCH(153,$B$29:$GQ$29,0))</f>
        <v>0</v>
      </c>
      <c r="EY13">
        <f>INDEX($B$27:$GQ$27,MATCH(154,$B$29:$GQ$29,0))</f>
        <v>0</v>
      </c>
      <c r="EZ13">
        <f>INDEX($B$27:$GQ$27,MATCH(155,$B$29:$GQ$29,0))</f>
        <v>0</v>
      </c>
      <c r="FA13">
        <f>INDEX($B$27:$GQ$27,MATCH(156,$B$29:$GQ$29,0))</f>
        <v>0</v>
      </c>
      <c r="FB13">
        <f>INDEX($B$27:$GQ$27,MATCH(157,$B$29:$GQ$29,0))</f>
        <v>0</v>
      </c>
      <c r="FC13">
        <f>INDEX($B$27:$GQ$27,MATCH(158,$B$29:$GQ$29,0))</f>
        <v>0</v>
      </c>
      <c r="FD13">
        <f>INDEX($B$27:$GQ$27,MATCH(159,$B$29:$GQ$29,0))</f>
        <v>0</v>
      </c>
      <c r="FE13">
        <f>INDEX($B$27:$GQ$27,MATCH(160,$B$29:$GQ$29,0))</f>
        <v>0</v>
      </c>
      <c r="FF13">
        <f>INDEX($B$27:$GQ$27,MATCH(161,$B$29:$GQ$29,0))</f>
        <v>0</v>
      </c>
      <c r="FG13">
        <f>INDEX($B$27:$GQ$27,MATCH(162,$B$29:$GQ$29,0))</f>
        <v>0</v>
      </c>
      <c r="FH13">
        <f>INDEX($B$27:$GQ$27,MATCH(163,$B$29:$GQ$29,0))</f>
        <v>0</v>
      </c>
      <c r="FI13">
        <f>INDEX($B$27:$GQ$27,MATCH(164,$B$29:$GQ$29,0))</f>
        <v>0</v>
      </c>
      <c r="FJ13">
        <f>INDEX($B$27:$GQ$27,MATCH(165,$B$29:$GQ$29,0))</f>
        <v>0</v>
      </c>
      <c r="FK13">
        <f>INDEX($B$27:$GQ$27,MATCH(166,$B$29:$GQ$29,0))</f>
        <v>0</v>
      </c>
      <c r="FL13">
        <f>INDEX($B$27:$GQ$27,MATCH(167,$B$29:$GQ$29,0))</f>
        <v>0</v>
      </c>
      <c r="FM13">
        <f>INDEX($B$27:$GQ$27,MATCH(168,$B$29:$GQ$29,0))</f>
        <v>0</v>
      </c>
      <c r="FN13">
        <f>INDEX($B$27:$GQ$27,MATCH(169,$B$29:$GQ$29,0))</f>
        <v>0</v>
      </c>
      <c r="FO13">
        <f>INDEX($B$27:$GQ$27,MATCH(170,$B$29:$GQ$29,0))</f>
        <v>0</v>
      </c>
      <c r="FP13">
        <f>INDEX($B$27:$GQ$27,MATCH(171,$B$29:$GQ$29,0))</f>
        <v>0</v>
      </c>
      <c r="FQ13">
        <f>INDEX($B$27:$GQ$27,MATCH(172,$B$29:$GQ$29,0))</f>
        <v>0</v>
      </c>
      <c r="FR13">
        <f>INDEX($B$27:$GQ$27,MATCH(173,$B$29:$GQ$29,0))</f>
        <v>0</v>
      </c>
      <c r="FS13">
        <f>INDEX($B$27:$GQ$27,MATCH(174,$B$29:$GQ$29,0))</f>
        <v>0</v>
      </c>
      <c r="FT13">
        <f>INDEX($B$27:$GQ$27,MATCH(175,$B$29:$GQ$29,0))</f>
        <v>0</v>
      </c>
      <c r="FU13">
        <f>INDEX($B$27:$GQ$27,MATCH(176,$B$29:$GQ$29,0))</f>
        <v>0</v>
      </c>
      <c r="FV13">
        <f>INDEX($B$27:$GQ$27,MATCH(177,$B$29:$GQ$29,0))</f>
        <v>0</v>
      </c>
      <c r="FW13">
        <f>INDEX($B$27:$GQ$27,MATCH(178,$B$29:$GQ$29,0))</f>
        <v>0</v>
      </c>
      <c r="FX13">
        <f>INDEX($B$27:$GQ$27,MATCH(179,$B$29:$GQ$29,0))</f>
        <v>0</v>
      </c>
      <c r="FY13">
        <f>INDEX($B$27:$GQ$27,MATCH(180,$B$29:$GQ$29,0))</f>
        <v>0</v>
      </c>
      <c r="FZ13">
        <f>INDEX($B$27:$GQ$27,MATCH(181,$B$29:$GQ$29,0))</f>
        <v>0</v>
      </c>
      <c r="GA13">
        <f>INDEX($B$27:$GQ$27,MATCH(182,$B$29:$GQ$29,0))</f>
        <v>0</v>
      </c>
      <c r="GB13">
        <f>INDEX($B$27:$GQ$27,MATCH(183,$B$29:$GQ$29,0))</f>
        <v>0</v>
      </c>
      <c r="GC13">
        <f>INDEX($B$27:$GQ$27,MATCH(184,$B$29:$GQ$29,0))</f>
        <v>0</v>
      </c>
      <c r="GD13">
        <f>INDEX($B$27:$GQ$27,MATCH(185,$B$29:$GQ$29,0))</f>
        <v>0</v>
      </c>
      <c r="GE13">
        <f>INDEX($B$27:$GQ$27,MATCH(186,$B$29:$GQ$29,0))</f>
        <v>0</v>
      </c>
      <c r="GF13">
        <f>INDEX($B$27:$GQ$27,MATCH(187,$B$29:$GQ$29,0))</f>
        <v>0</v>
      </c>
      <c r="GG13">
        <f>INDEX($B$27:$GQ$27,MATCH(188,$B$29:$GQ$29,0))</f>
        <v>0</v>
      </c>
      <c r="GH13">
        <f>INDEX($B$27:$GQ$27,MATCH(189,$B$29:$GQ$29,0))</f>
        <v>0</v>
      </c>
      <c r="GI13">
        <f>INDEX($B$27:$GQ$27,MATCH(190,$B$29:$GQ$29,0))</f>
        <v>0</v>
      </c>
      <c r="GJ13">
        <f>INDEX($B$27:$GQ$27,MATCH(191,$B$29:$GQ$29,0))</f>
        <v>0</v>
      </c>
      <c r="GK13">
        <f>INDEX($B$27:$GQ$27,MATCH(192,$B$29:$GQ$29,0))</f>
        <v>0</v>
      </c>
      <c r="GL13">
        <f>INDEX($B$27:$GQ$27,MATCH(193,$B$29:$GQ$29,0))</f>
        <v>0</v>
      </c>
      <c r="GM13">
        <f>INDEX($B$27:$GQ$27,MATCH(194,$B$29:$GQ$29,0))</f>
        <v>0</v>
      </c>
      <c r="GN13">
        <f>INDEX($B$27:$GQ$27,MATCH(195,$B$29:$GQ$29,0))</f>
        <v>0</v>
      </c>
      <c r="GO13">
        <f>INDEX($B$27:$GQ$27,MATCH(196,$B$29:$GQ$29,0))</f>
        <v>0</v>
      </c>
      <c r="GP13">
        <f>INDEX($B$27:$GQ$27,MATCH(197,$B$29:$GQ$29,0))</f>
        <v>0</v>
      </c>
      <c r="GQ13">
        <f>INDEX($B$27:$GQ$27,MATCH(198,$B$29:$GQ$29,0))</f>
        <v>0</v>
      </c>
      <c r="GR13">
        <f>INDEX($GR$27:$HC$27,MATCH(1,$GR$30:$HC$30,0))</f>
        <v>277157.44507591543</v>
      </c>
      <c r="GS13">
        <f>INDEX($GR$27:$HC$27,MATCH(2,$GR$30:$HC$30,0))</f>
        <v>238231.5834088588</v>
      </c>
      <c r="GT13">
        <f>INDEX($GR$27:$HC$27,MATCH(3,$GR$30:$HC$30,0))</f>
        <v>193940.6318850503</v>
      </c>
      <c r="GU13">
        <f>INDEX($GR$27:$HC$27,MATCH(4,$GR$30:$HC$30,0))</f>
        <v>182080.29000425659</v>
      </c>
      <c r="GV13">
        <f>INDEX($GR$27:$HC$27,MATCH(5,$GR$30:$HC$30,0))</f>
        <v>88017.859322842589</v>
      </c>
      <c r="GW13">
        <f>INDEX($GR$27:$HC$27,MATCH(6,$GR$30:$HC$30,0))</f>
        <v>49377.067671047509</v>
      </c>
      <c r="GX13">
        <f>INDEX($GR$27:$HC$27,MATCH(7,$GR$30:$HC$30,0))</f>
        <v>47920.674917919583</v>
      </c>
      <c r="GY13">
        <f>INDEX($GR$27:$HC$27,MATCH(8,$GR$30:$HC$30,0))</f>
        <v>24988.4392423401</v>
      </c>
      <c r="GZ13">
        <f>INDEX($GR$27:$HC$27,MATCH(9,$GR$30:$HC$30,0))</f>
        <v>24298.526282476028</v>
      </c>
      <c r="HA13">
        <f>INDEX($GR$27:$HC$27,MATCH(10,$GR$30:$HC$30,0))</f>
        <v>24291.4466838031</v>
      </c>
      <c r="HB13">
        <f>INDEX($GR$27:$HC$27,MATCH(11,$GR$30:$HC$30,0))</f>
        <v>21403.01676318383</v>
      </c>
      <c r="HC13">
        <f>INDEX($GR$27:$HC$27,MATCH(12,$GR$30:$HC$30,0))</f>
        <v>20389.437283542789</v>
      </c>
    </row>
    <row r="14" spans="1:211" x14ac:dyDescent="0.45">
      <c r="A14" s="2" t="str">
        <f>"Part de "&amp;$B$1&amp;" (%)"</f>
        <v>Part de M_imp*Y_dom+M_dom*Y_dom+M_row*Y_imp (%)</v>
      </c>
      <c r="B14" s="3">
        <f>IFERROR(INDEX($B$28:$GQ$28,MATCH(1,$B$29:$GQ$29,0))/SUM($B$28:$GQ$28)*100,0)</f>
        <v>12.584076736794216</v>
      </c>
      <c r="C14" s="3">
        <f>IFERROR(INDEX($B$28:$GQ$28,MATCH(2,$B$29:$GQ$29,0))/SUM($B$28:$GQ$28)*100,0)</f>
        <v>6.3898633324398837</v>
      </c>
      <c r="D14" s="3">
        <f>IFERROR(INDEX($B$28:$GQ$28,MATCH(3,$B$29:$GQ$29,0))/SUM($B$28:$GQ$28)*100,0)</f>
        <v>5.8938606783037022</v>
      </c>
      <c r="E14" s="3">
        <f>IFERROR(INDEX($B$28:$GQ$28,MATCH(4,$B$29:$GQ$29,0))/SUM($B$28:$GQ$28)*100,0)</f>
        <v>5.66849620778338</v>
      </c>
      <c r="F14" s="3">
        <f>IFERROR(INDEX($B$28:$GQ$28,MATCH(5,$B$29:$GQ$29,0))/SUM($B$28:$GQ$28)*100,0)</f>
        <v>5.063890948130144</v>
      </c>
      <c r="G14" s="3">
        <f>IFERROR(INDEX($B$28:$GQ$28,MATCH(6,$B$29:$GQ$29,0))/SUM($B$28:$GQ$28)*100,0)</f>
        <v>4.4449247684681685</v>
      </c>
      <c r="H14" s="3">
        <f>IFERROR(INDEX($B$28:$GQ$28,MATCH(7,$B$29:$GQ$29,0))/SUM($B$28:$GQ$28)*100,0)</f>
        <v>3.6767228256279019</v>
      </c>
      <c r="I14" s="3">
        <f>IFERROR(INDEX($B$28:$GQ$28,MATCH(8,$B$29:$GQ$29,0))/SUM($B$28:$GQ$28)*100,0)</f>
        <v>3.6332275851175764</v>
      </c>
      <c r="J14" s="3">
        <f>IFERROR(INDEX($B$28:$GQ$28,MATCH(9,$B$29:$GQ$29,0))/SUM($B$28:$GQ$28)*100,0)</f>
        <v>2.851635546245666</v>
      </c>
      <c r="K14" s="3">
        <f>IFERROR(INDEX($B$28:$GQ$28,MATCH(10,$B$29:$GQ$29,0))/SUM($B$28:$GQ$28)*100,0)</f>
        <v>2.7700262801816371</v>
      </c>
      <c r="L14" s="3">
        <f>IFERROR(INDEX($B$28:$GQ$28,MATCH(11,$B$29:$GQ$29,0))/SUM($B$28:$GQ$28)*100,0)</f>
        <v>2.4967286019275883</v>
      </c>
      <c r="M14" s="3">
        <f>IFERROR(INDEX($B$28:$GQ$28,MATCH(12,$B$29:$GQ$29,0))/SUM($B$28:$GQ$28)*100,0)</f>
        <v>2.3525466020217745</v>
      </c>
      <c r="N14" s="3">
        <f>IFERROR(INDEX($B$28:$GQ$28,MATCH(13,$B$29:$GQ$29,0))/SUM($B$28:$GQ$28)*100,0)</f>
        <v>2.3247295843658957</v>
      </c>
      <c r="O14" s="3">
        <f>IFERROR(INDEX($B$28:$GQ$28,MATCH(14,$B$29:$GQ$29,0))/SUM($B$28:$GQ$28)*100,0)</f>
        <v>2.2550358785398728</v>
      </c>
      <c r="P14" s="3">
        <f>IFERROR(INDEX($B$28:$GQ$28,MATCH(15,$B$29:$GQ$29,0))/SUM($B$28:$GQ$28)*100,0)</f>
        <v>2.2157390716322656</v>
      </c>
      <c r="Q14" s="3">
        <f>IFERROR(INDEX($B$28:$GQ$28,MATCH(16,$B$29:$GQ$29,0))/SUM($B$28:$GQ$28)*100,0)</f>
        <v>2.0087074128717823</v>
      </c>
      <c r="R14" s="3">
        <f>IFERROR(INDEX($B$28:$GQ$28,MATCH(17,$B$29:$GQ$29,0))/SUM($B$28:$GQ$28)*100,0)</f>
        <v>1.9740745113883014</v>
      </c>
      <c r="S14" s="3">
        <f>IFERROR(INDEX($B$28:$GQ$28,MATCH(18,$B$29:$GQ$29,0))/SUM($B$28:$GQ$28)*100,0)</f>
        <v>1.9070348894329177</v>
      </c>
      <c r="T14" s="3">
        <f>IFERROR(INDEX($B$28:$GQ$28,MATCH(19,$B$29:$GQ$29,0))/SUM($B$28:$GQ$28)*100,0)</f>
        <v>1.6004706028909059</v>
      </c>
      <c r="U14" s="3">
        <f>IFERROR(INDEX($B$28:$GQ$28,MATCH(20,$B$29:$GQ$29,0))/SUM($B$28:$GQ$28)*100,0)</f>
        <v>1.597873692942368</v>
      </c>
      <c r="V14" s="3">
        <f>IFERROR(INDEX($B$28:$GQ$28,MATCH(21,$B$29:$GQ$29,0))/SUM($B$28:$GQ$28)*100,0)</f>
        <v>1.5855287858512959</v>
      </c>
      <c r="W14" s="3">
        <f>IFERROR(INDEX($B$28:$GQ$28,MATCH(22,$B$29:$GQ$29,0))/SUM($B$28:$GQ$28)*100,0)</f>
        <v>1.1327916470830737</v>
      </c>
      <c r="X14" s="3">
        <f>IFERROR(INDEX($B$28:$GQ$28,MATCH(23,$B$29:$GQ$29,0))/SUM($B$28:$GQ$28)*100,0)</f>
        <v>1.0180307872307646</v>
      </c>
      <c r="Y14" s="3">
        <f>IFERROR(INDEX($B$28:$GQ$28,MATCH(24,$B$29:$GQ$29,0))/SUM($B$28:$GQ$28)*100,0)</f>
        <v>0.97242301121261676</v>
      </c>
      <c r="Z14" s="3">
        <f>IFERROR(INDEX($B$28:$GQ$28,MATCH(25,$B$29:$GQ$29,0))/SUM($B$28:$GQ$28)*100,0)</f>
        <v>0.95978677505277543</v>
      </c>
      <c r="AA14" s="3">
        <f>IFERROR(INDEX($B$28:$GQ$28,MATCH(26,$B$29:$GQ$29,0))/SUM($B$28:$GQ$28)*100,0)</f>
        <v>0.93504277418286608</v>
      </c>
      <c r="AB14" s="3">
        <f>IFERROR(INDEX($B$28:$GQ$28,MATCH(27,$B$29:$GQ$29,0))/SUM($B$28:$GQ$28)*100,0)</f>
        <v>0.92218515128268463</v>
      </c>
      <c r="AC14" s="3">
        <f>IFERROR(INDEX($B$28:$GQ$28,MATCH(28,$B$29:$GQ$29,0))/SUM($B$28:$GQ$28)*100,0)</f>
        <v>0.88540273948054715</v>
      </c>
      <c r="AD14" s="3">
        <f>IFERROR(INDEX($B$28:$GQ$28,MATCH(29,$B$29:$GQ$29,0))/SUM($B$28:$GQ$28)*100,0)</f>
        <v>0.84643999409227866</v>
      </c>
      <c r="AE14" s="3">
        <f>IFERROR(INDEX($B$28:$GQ$28,MATCH(30,$B$29:$GQ$29,0))/SUM($B$28:$GQ$28)*100,0)</f>
        <v>0.79904267780580018</v>
      </c>
      <c r="AF14" s="3">
        <f>IFERROR(INDEX($B$28:$GQ$28,MATCH(31,$B$29:$GQ$29,0))/SUM($B$28:$GQ$28)*100,0)</f>
        <v>0.71119737668175687</v>
      </c>
      <c r="AG14" s="3">
        <f>IFERROR(INDEX($B$28:$GQ$28,MATCH(32,$B$29:$GQ$29,0))/SUM($B$28:$GQ$28)*100,0)</f>
        <v>0.71091131250489081</v>
      </c>
      <c r="AH14" s="3">
        <f>IFERROR(INDEX($B$28:$GQ$28,MATCH(33,$B$29:$GQ$29,0))/SUM($B$28:$GQ$28)*100,0)</f>
        <v>0.64555696635122972</v>
      </c>
      <c r="AI14" s="3">
        <f>IFERROR(INDEX($B$28:$GQ$28,MATCH(34,$B$29:$GQ$29,0))/SUM($B$28:$GQ$28)*100,0)</f>
        <v>0.64419510967352933</v>
      </c>
      <c r="AJ14" s="3">
        <f>IFERROR(INDEX($B$28:$GQ$28,MATCH(35,$B$29:$GQ$29,0))/SUM($B$28:$GQ$28)*100,0)</f>
        <v>0.6351907023391099</v>
      </c>
      <c r="AK14" s="3">
        <f>IFERROR(INDEX($B$28:$GQ$28,MATCH(36,$B$29:$GQ$29,0))/SUM($B$28:$GQ$28)*100,0)</f>
        <v>0.61631996662696042</v>
      </c>
      <c r="AL14" s="3">
        <f>IFERROR(INDEX($B$28:$GQ$28,MATCH(37,$B$29:$GQ$29,0))/SUM($B$28:$GQ$28)*100,0)</f>
        <v>0.59774846965445161</v>
      </c>
      <c r="AM14" s="3">
        <f>IFERROR(INDEX($B$28:$GQ$28,MATCH(38,$B$29:$GQ$29,0))/SUM($B$28:$GQ$28)*100,0)</f>
        <v>0.57543217443425621</v>
      </c>
      <c r="AN14" s="3">
        <f>IFERROR(INDEX($B$28:$GQ$28,MATCH(39,$B$29:$GQ$29,0))/SUM($B$28:$GQ$28)*100,0)</f>
        <v>0.5581846169638327</v>
      </c>
      <c r="AO14" s="3">
        <f>IFERROR(INDEX($B$28:$GQ$28,MATCH(40,$B$29:$GQ$29,0))/SUM($B$28:$GQ$28)*100,0)</f>
        <v>0.53604110921618131</v>
      </c>
      <c r="AP14" s="3">
        <f>IFERROR(INDEX($B$28:$GQ$28,MATCH(41,$B$29:$GQ$29,0))/SUM($B$28:$GQ$28)*100,0)</f>
        <v>0.52274202699500216</v>
      </c>
      <c r="AQ14" s="3">
        <f>IFERROR(INDEX($B$28:$GQ$28,MATCH(42,$B$29:$GQ$29,0))/SUM($B$28:$GQ$28)*100,0)</f>
        <v>0.51020328666965964</v>
      </c>
      <c r="AR14" s="3">
        <f>IFERROR(INDEX($B$28:$GQ$28,MATCH(43,$B$29:$GQ$29,0))/SUM($B$28:$GQ$28)*100,0)</f>
        <v>0.48975705933550667</v>
      </c>
      <c r="AS14" s="3">
        <f>IFERROR(INDEX($B$28:$GQ$28,MATCH(44,$B$29:$GQ$29,0))/SUM($B$28:$GQ$28)*100,0)</f>
        <v>0.48196943449239388</v>
      </c>
      <c r="AT14" s="3">
        <f>IFERROR(INDEX($B$28:$GQ$28,MATCH(45,$B$29:$GQ$29,0))/SUM($B$28:$GQ$28)*100,0)</f>
        <v>0.45996608007365336</v>
      </c>
      <c r="AU14" s="3">
        <f>IFERROR(INDEX($B$28:$GQ$28,MATCH(46,$B$29:$GQ$29,0))/SUM($B$28:$GQ$28)*100,0)</f>
        <v>0.41075809535844132</v>
      </c>
      <c r="AV14" s="3">
        <f>IFERROR(INDEX($B$28:$GQ$28,MATCH(47,$B$29:$GQ$29,0))/SUM($B$28:$GQ$28)*100,0)</f>
        <v>0.40971418947460292</v>
      </c>
      <c r="AW14" s="3">
        <f>IFERROR(INDEX($B$28:$GQ$28,MATCH(48,$B$29:$GQ$29,0))/SUM($B$28:$GQ$28)*100,0)</f>
        <v>0.36920362904994619</v>
      </c>
      <c r="AX14" s="3">
        <f>IFERROR(INDEX($B$28:$GQ$28,MATCH(49,$B$29:$GQ$29,0))/SUM($B$28:$GQ$28)*100,0)</f>
        <v>0.36486701229173807</v>
      </c>
      <c r="AY14" s="3">
        <f>IFERROR(INDEX($B$28:$GQ$28,MATCH(50,$B$29:$GQ$29,0))/SUM($B$28:$GQ$28)*100,0)</f>
        <v>0.34866625557120323</v>
      </c>
      <c r="AZ14" s="3">
        <f>IFERROR(INDEX($B$28:$GQ$28,MATCH(51,$B$29:$GQ$29,0))/SUM($B$28:$GQ$28)*100,0)</f>
        <v>0.33340038018220503</v>
      </c>
      <c r="BA14" s="3">
        <f>IFERROR(INDEX($B$28:$GQ$28,MATCH(52,$B$29:$GQ$29,0))/SUM($B$28:$GQ$28)*100,0)</f>
        <v>0.32412083610774345</v>
      </c>
      <c r="BB14" s="3">
        <f>IFERROR(INDEX($B$28:$GQ$28,MATCH(53,$B$29:$GQ$29,0))/SUM($B$28:$GQ$28)*100,0)</f>
        <v>0.2763640300059414</v>
      </c>
      <c r="BC14" s="3">
        <f>IFERROR(INDEX($B$28:$GQ$28,MATCH(54,$B$29:$GQ$29,0))/SUM($B$28:$GQ$28)*100,0)</f>
        <v>0.27336296341949989</v>
      </c>
      <c r="BD14" s="3">
        <f>IFERROR(INDEX($B$28:$GQ$28,MATCH(55,$B$29:$GQ$29,0))/SUM($B$28:$GQ$28)*100,0)</f>
        <v>0.27224686014886412</v>
      </c>
      <c r="BE14" s="3">
        <f>IFERROR(INDEX($B$28:$GQ$28,MATCH(56,$B$29:$GQ$29,0))/SUM($B$28:$GQ$28)*100,0)</f>
        <v>0.26044491382997742</v>
      </c>
      <c r="BF14" s="3">
        <f>IFERROR(INDEX($B$28:$GQ$28,MATCH(57,$B$29:$GQ$29,0))/SUM($B$28:$GQ$28)*100,0)</f>
        <v>0.25100257535170561</v>
      </c>
      <c r="BG14" s="3">
        <f>IFERROR(INDEX($B$28:$GQ$28,MATCH(58,$B$29:$GQ$29,0))/SUM($B$28:$GQ$28)*100,0)</f>
        <v>0.24297205131422936</v>
      </c>
      <c r="BH14" s="3">
        <f>IFERROR(INDEX($B$28:$GQ$28,MATCH(59,$B$29:$GQ$29,0))/SUM($B$28:$GQ$28)*100,0)</f>
        <v>0.23352306408065907</v>
      </c>
      <c r="BI14" s="3">
        <f>IFERROR(INDEX($B$28:$GQ$28,MATCH(60,$B$29:$GQ$29,0))/SUM($B$28:$GQ$28)*100,0)</f>
        <v>0.21879219011862616</v>
      </c>
      <c r="BJ14" s="3">
        <f>IFERROR(INDEX($B$28:$GQ$28,MATCH(61,$B$29:$GQ$29,0))/SUM($B$28:$GQ$28)*100,0)</f>
        <v>0.21222998703549797</v>
      </c>
      <c r="BK14" s="3">
        <f>IFERROR(INDEX($B$28:$GQ$28,MATCH(62,$B$29:$GQ$29,0))/SUM($B$28:$GQ$28)*100,0)</f>
        <v>0.20447427843283678</v>
      </c>
      <c r="BL14" s="3">
        <f>IFERROR(INDEX($B$28:$GQ$28,MATCH(63,$B$29:$GQ$29,0))/SUM($B$28:$GQ$28)*100,0)</f>
        <v>0.17711245545376184</v>
      </c>
      <c r="BM14" s="3">
        <f>IFERROR(INDEX($B$28:$GQ$28,MATCH(64,$B$29:$GQ$29,0))/SUM($B$28:$GQ$28)*100,0)</f>
        <v>0.17673388654347397</v>
      </c>
      <c r="BN14" s="3">
        <f>IFERROR(INDEX($B$28:$GQ$28,MATCH(65,$B$29:$GQ$29,0))/SUM($B$28:$GQ$28)*100,0)</f>
        <v>0.17321146844444302</v>
      </c>
      <c r="BO14" s="3">
        <f>IFERROR(INDEX($B$28:$GQ$28,MATCH(66,$B$29:$GQ$29,0))/SUM($B$28:$GQ$28)*100,0)</f>
        <v>0.17132907194840447</v>
      </c>
      <c r="BP14" s="3">
        <f>IFERROR(INDEX($B$28:$GQ$28,MATCH(67,$B$29:$GQ$29,0))/SUM($B$28:$GQ$28)*100,0)</f>
        <v>0.16767537660707499</v>
      </c>
      <c r="BQ14" s="3">
        <f>IFERROR(INDEX($B$28:$GQ$28,MATCH(68,$B$29:$GQ$29,0))/SUM($B$28:$GQ$28)*100,0)</f>
        <v>0.15550133668711286</v>
      </c>
      <c r="BR14" s="3">
        <f>IFERROR(INDEX($B$28:$GQ$28,MATCH(69,$B$29:$GQ$29,0))/SUM($B$28:$GQ$28)*100,0)</f>
        <v>0.15452981252780218</v>
      </c>
      <c r="BS14" s="3">
        <f>IFERROR(INDEX($B$28:$GQ$28,MATCH(70,$B$29:$GQ$29,0))/SUM($B$28:$GQ$28)*100,0)</f>
        <v>0.12022527452609159</v>
      </c>
      <c r="BT14" s="3">
        <f>IFERROR(INDEX($B$28:$GQ$28,MATCH(71,$B$29:$GQ$29,0))/SUM($B$28:$GQ$28)*100,0)</f>
        <v>8.2739157248884559E-2</v>
      </c>
      <c r="BU14" s="3">
        <f>IFERROR(INDEX($B$28:$GQ$28,MATCH(72,$B$29:$GQ$29,0))/SUM($B$28:$GQ$28)*100,0)</f>
        <v>8.0964090447016815E-2</v>
      </c>
      <c r="BV14" s="3">
        <f>IFERROR(INDEX($B$28:$GQ$28,MATCH(73,$B$29:$GQ$29,0))/SUM($B$28:$GQ$28)*100,0)</f>
        <v>8.0281130978080414E-2</v>
      </c>
      <c r="BW14" s="3">
        <f>IFERROR(INDEX($B$28:$GQ$28,MATCH(74,$B$29:$GQ$29,0))/SUM($B$28:$GQ$28)*100,0)</f>
        <v>7.5835711823075344E-2</v>
      </c>
      <c r="BX14" s="3">
        <f>IFERROR(INDEX($B$28:$GQ$28,MATCH(75,$B$29:$GQ$29,0))/SUM($B$28:$GQ$28)*100,0)</f>
        <v>7.3655666320865773E-2</v>
      </c>
      <c r="BY14" s="3">
        <f>IFERROR(INDEX($B$28:$GQ$28,MATCH(76,$B$29:$GQ$29,0))/SUM($B$28:$GQ$28)*100,0)</f>
        <v>6.8858338259522214E-2</v>
      </c>
      <c r="BZ14" s="3">
        <f>IFERROR(INDEX($B$28:$GQ$28,MATCH(77,$B$29:$GQ$29,0))/SUM($B$28:$GQ$28)*100,0)</f>
        <v>6.4553328814180924E-2</v>
      </c>
      <c r="CA14" s="3">
        <f>IFERROR(INDEX($B$28:$GQ$28,MATCH(78,$B$29:$GQ$29,0))/SUM($B$28:$GQ$28)*100,0)</f>
        <v>6.3500332317954392E-2</v>
      </c>
      <c r="CB14" s="3">
        <f>IFERROR(INDEX($B$28:$GQ$28,MATCH(79,$B$29:$GQ$29,0))/SUM($B$28:$GQ$28)*100,0)</f>
        <v>4.9270432446843322E-2</v>
      </c>
      <c r="CC14" s="3">
        <f>IFERROR(INDEX($B$28:$GQ$28,MATCH(80,$B$29:$GQ$29,0))/SUM($B$28:$GQ$28)*100,0)</f>
        <v>4.4576106317664468E-2</v>
      </c>
      <c r="CD14" s="3">
        <f>IFERROR(INDEX($B$28:$GQ$28,MATCH(81,$B$29:$GQ$29,0))/SUM($B$28:$GQ$28)*100,0)</f>
        <v>3.9898749282907243E-2</v>
      </c>
      <c r="CE14" s="3">
        <f>IFERROR(INDEX($B$28:$GQ$28,MATCH(82,$B$29:$GQ$29,0))/SUM($B$28:$GQ$28)*100,0)</f>
        <v>3.6178663735014403E-2</v>
      </c>
      <c r="CF14" s="3">
        <f>IFERROR(INDEX($B$28:$GQ$28,MATCH(83,$B$29:$GQ$29,0))/SUM($B$28:$GQ$28)*100,0)</f>
        <v>3.5879882017761516E-2</v>
      </c>
      <c r="CG14" s="3">
        <f>IFERROR(INDEX($B$28:$GQ$28,MATCH(84,$B$29:$GQ$29,0))/SUM($B$28:$GQ$28)*100,0)</f>
        <v>3.00575846231722E-2</v>
      </c>
      <c r="CH14" s="3">
        <f>IFERROR(INDEX($B$28:$GQ$28,MATCH(85,$B$29:$GQ$29,0))/SUM($B$28:$GQ$28)*100,0)</f>
        <v>2.757975113453397E-2</v>
      </c>
      <c r="CI14" s="3">
        <f>IFERROR(INDEX($B$28:$GQ$28,MATCH(86,$B$29:$GQ$29,0))/SUM($B$28:$GQ$28)*100,0)</f>
        <v>2.713158160893352E-2</v>
      </c>
      <c r="CJ14" s="3">
        <f>IFERROR(INDEX($B$28:$GQ$28,MATCH(87,$B$29:$GQ$29,0))/SUM($B$28:$GQ$28)*100,0)</f>
        <v>2.5523114786858644E-2</v>
      </c>
      <c r="CK14" s="3">
        <f>IFERROR(INDEX($B$28:$GQ$28,MATCH(88,$B$29:$GQ$29,0))/SUM($B$28:$GQ$28)*100,0)</f>
        <v>2.4742759464370687E-2</v>
      </c>
      <c r="CL14" s="3">
        <f>IFERROR(INDEX($B$28:$GQ$28,MATCH(89,$B$29:$GQ$29,0))/SUM($B$28:$GQ$28)*100,0)</f>
        <v>2.3885391459463969E-2</v>
      </c>
      <c r="CM14" s="3">
        <f>IFERROR(INDEX($B$28:$GQ$28,MATCH(90,$B$29:$GQ$29,0))/SUM($B$28:$GQ$28)*100,0)</f>
        <v>2.3130268081517528E-2</v>
      </c>
      <c r="CN14" s="3">
        <f>IFERROR(INDEX($B$28:$GQ$28,MATCH(91,$B$29:$GQ$29,0))/SUM($B$28:$GQ$28)*100,0)</f>
        <v>2.2461384499912172E-2</v>
      </c>
      <c r="CO14" s="3">
        <f>IFERROR(INDEX($B$28:$GQ$28,MATCH(92,$B$29:$GQ$29,0))/SUM($B$28:$GQ$28)*100,0)</f>
        <v>1.8370279077107338E-2</v>
      </c>
      <c r="CP14" s="3">
        <f>IFERROR(INDEX($B$28:$GQ$28,MATCH(93,$B$29:$GQ$29,0))/SUM($B$28:$GQ$28)*100,0)</f>
        <v>1.7642725182101717E-2</v>
      </c>
      <c r="CQ14" s="3">
        <f>IFERROR(INDEX($B$28:$GQ$28,MATCH(94,$B$29:$GQ$29,0))/SUM($B$28:$GQ$28)*100,0)</f>
        <v>1.7542903506172536E-2</v>
      </c>
      <c r="CR14" s="3">
        <f>IFERROR(INDEX($B$28:$GQ$28,MATCH(95,$B$29:$GQ$29,0))/SUM($B$28:$GQ$28)*100,0)</f>
        <v>1.6439027991095499E-2</v>
      </c>
      <c r="CS14" s="3">
        <f>IFERROR(INDEX($B$28:$GQ$28,MATCH(96,$B$29:$GQ$29,0))/SUM($B$28:$GQ$28)*100,0)</f>
        <v>1.5177727773482594E-2</v>
      </c>
      <c r="CT14" s="3">
        <f>IFERROR(INDEX($B$28:$GQ$28,MATCH(97,$B$29:$GQ$29,0))/SUM($B$28:$GQ$28)*100,0)</f>
        <v>1.4634656486973759E-2</v>
      </c>
      <c r="CU14" s="3">
        <f>IFERROR(INDEX($B$28:$GQ$28,MATCH(98,$B$29:$GQ$29,0))/SUM($B$28:$GQ$28)*100,0)</f>
        <v>1.4164313204178731E-2</v>
      </c>
      <c r="CV14" s="3">
        <f>IFERROR(INDEX($B$28:$GQ$28,MATCH(99,$B$29:$GQ$29,0))/SUM($B$28:$GQ$28)*100,0)</f>
        <v>1.095028843968124E-2</v>
      </c>
      <c r="CW14" s="3">
        <f>IFERROR(INDEX($B$28:$GQ$28,MATCH(100,$B$29:$GQ$29,0))/SUM($B$28:$GQ$28)*100,0)</f>
        <v>1.0341569785014663E-2</v>
      </c>
      <c r="CX14" s="3">
        <f>IFERROR(INDEX($B$28:$GQ$28,MATCH(101,$B$29:$GQ$29,0))/SUM($B$28:$GQ$28)*100,0)</f>
        <v>1.0271498445221617E-2</v>
      </c>
      <c r="CY14" s="3">
        <f>IFERROR(INDEX($B$28:$GQ$28,MATCH(102,$B$29:$GQ$29,0))/SUM($B$28:$GQ$28)*100,0)</f>
        <v>9.6303291395100077E-3</v>
      </c>
      <c r="CZ14" s="3">
        <f>IFERROR(INDEX($B$28:$GQ$28,MATCH(103,$B$29:$GQ$29,0))/SUM($B$28:$GQ$28)*100,0)</f>
        <v>9.4462504800800762E-3</v>
      </c>
      <c r="DA14" s="3">
        <f>IFERROR(INDEX($B$28:$GQ$28,MATCH(104,$B$29:$GQ$29,0))/SUM($B$28:$GQ$28)*100,0)</f>
        <v>9.383608456071316E-3</v>
      </c>
      <c r="DB14" s="3">
        <f>IFERROR(INDEX($B$28:$GQ$28,MATCH(105,$B$29:$GQ$29,0))/SUM($B$28:$GQ$28)*100,0)</f>
        <v>8.8356973808141857E-3</v>
      </c>
      <c r="DC14" s="3">
        <f>IFERROR(INDEX($B$28:$GQ$28,MATCH(106,$B$29:$GQ$29,0))/SUM($B$28:$GQ$28)*100,0)</f>
        <v>7.9907461138756988E-3</v>
      </c>
      <c r="DD14" s="3">
        <f>IFERROR(INDEX($B$28:$GQ$28,MATCH(107,$B$29:$GQ$29,0))/SUM($B$28:$GQ$28)*100,0)</f>
        <v>6.7810256669337656E-3</v>
      </c>
      <c r="DE14" s="3">
        <f>IFERROR(INDEX($B$28:$GQ$28,MATCH(108,$B$29:$GQ$29,0))/SUM($B$28:$GQ$28)*100,0)</f>
        <v>5.4406551528847222E-3</v>
      </c>
      <c r="DF14" s="3">
        <f>IFERROR(INDEX($B$28:$GQ$28,MATCH(109,$B$29:$GQ$29,0))/SUM($B$28:$GQ$28)*100,0)</f>
        <v>5.0638546893276163E-3</v>
      </c>
      <c r="DG14" s="3">
        <f>IFERROR(INDEX($B$28:$GQ$28,MATCH(110,$B$29:$GQ$29,0))/SUM($B$28:$GQ$28)*100,0)</f>
        <v>4.852399677044694E-3</v>
      </c>
      <c r="DH14" s="3">
        <f>IFERROR(INDEX($B$28:$GQ$28,MATCH(111,$B$29:$GQ$29,0))/SUM($B$28:$GQ$28)*100,0)</f>
        <v>3.4533510102569523E-3</v>
      </c>
      <c r="DI14" s="3">
        <f>IFERROR(INDEX($B$28:$GQ$28,MATCH(112,$B$29:$GQ$29,0))/SUM($B$28:$GQ$28)*100,0)</f>
        <v>2.5171962069156723E-3</v>
      </c>
      <c r="DJ14" s="3">
        <f>IFERROR(INDEX($B$28:$GQ$28,MATCH(113,$B$29:$GQ$29,0))/SUM($B$28:$GQ$28)*100,0)</f>
        <v>2.4622636539112538E-3</v>
      </c>
      <c r="DK14" s="3">
        <f>IFERROR(INDEX($B$28:$GQ$28,MATCH(114,$B$29:$GQ$29,0))/SUM($B$28:$GQ$28)*100,0)</f>
        <v>1.8309526142445069E-3</v>
      </c>
      <c r="DL14" s="3">
        <f>IFERROR(INDEX($B$28:$GQ$28,MATCH(115,$B$29:$GQ$29,0))/SUM($B$28:$GQ$28)*100,0)</f>
        <v>1.822012949691869E-3</v>
      </c>
      <c r="DM14" s="3">
        <f>IFERROR(INDEX($B$28:$GQ$28,MATCH(116,$B$29:$GQ$29,0))/SUM($B$28:$GQ$28)*100,0)</f>
        <v>1.6460853499173373E-3</v>
      </c>
      <c r="DN14" s="3">
        <f>IFERROR(INDEX($B$28:$GQ$28,MATCH(117,$B$29:$GQ$29,0))/SUM($B$28:$GQ$28)*100,0)</f>
        <v>1.4543231043852283E-3</v>
      </c>
      <c r="DO14" s="3">
        <f>IFERROR(INDEX($B$28:$GQ$28,MATCH(118,$B$29:$GQ$29,0))/SUM($B$28:$GQ$28)*100,0)</f>
        <v>1.4534813418740336E-3</v>
      </c>
      <c r="DP14" s="3">
        <f>IFERROR(INDEX($B$28:$GQ$28,MATCH(119,$B$29:$GQ$29,0))/SUM($B$28:$GQ$28)*100,0)</f>
        <v>1.0504756651745991E-3</v>
      </c>
      <c r="DQ14" s="3">
        <f>IFERROR(INDEX($B$28:$GQ$28,MATCH(120,$B$29:$GQ$29,0))/SUM($B$28:$GQ$28)*100,0)</f>
        <v>9.4207328224242114E-4</v>
      </c>
      <c r="DR14" s="3">
        <f>IFERROR(INDEX($B$28:$GQ$28,MATCH(121,$B$29:$GQ$29,0))/SUM($B$28:$GQ$28)*100,0)</f>
        <v>9.318731116984472E-4</v>
      </c>
      <c r="DS14" s="3">
        <f>IFERROR(INDEX($B$28:$GQ$28,MATCH(122,$B$29:$GQ$29,0))/SUM($B$28:$GQ$28)*100,0)</f>
        <v>7.4729357400787877E-4</v>
      </c>
      <c r="DT14" s="3">
        <f>IFERROR(INDEX($B$28:$GQ$28,MATCH(123,$B$29:$GQ$29,0))/SUM($B$28:$GQ$28)*100,0)</f>
        <v>6.6542041884984381E-4</v>
      </c>
      <c r="DU14" s="3">
        <f>IFERROR(INDEX($B$28:$GQ$28,MATCH(124,$B$29:$GQ$29,0))/SUM($B$28:$GQ$28)*100,0)</f>
        <v>3.6037021493243035E-4</v>
      </c>
      <c r="DV14" s="3">
        <f>IFERROR(INDEX($B$28:$GQ$28,MATCH(125,$B$29:$GQ$29,0))/SUM($B$28:$GQ$28)*100,0)</f>
        <v>3.4095846099547062E-4</v>
      </c>
      <c r="DW14" s="3">
        <f>IFERROR(INDEX($B$28:$GQ$28,MATCH(126,$B$29:$GQ$29,0))/SUM($B$28:$GQ$28)*100,0)</f>
        <v>1.4684823915525158E-4</v>
      </c>
      <c r="DX14" s="3">
        <f>IFERROR(INDEX($B$28:$GQ$28,MATCH(127,$B$29:$GQ$29,0))/SUM($B$28:$GQ$28)*100,0)</f>
        <v>1.4673337385580405E-4</v>
      </c>
      <c r="DY14" s="3">
        <f>IFERROR(INDEX($B$28:$GQ$28,MATCH(128,$B$29:$GQ$29,0))/SUM($B$28:$GQ$28)*100,0)</f>
        <v>9.9345334190470034E-5</v>
      </c>
      <c r="DZ14" s="3">
        <f>IFERROR(INDEX($B$28:$GQ$28,MATCH(129,$B$29:$GQ$29,0))/SUM($B$28:$GQ$28)*100,0)</f>
        <v>2.2169863135088672E-5</v>
      </c>
      <c r="EA14" s="3">
        <f>IFERROR(INDEX($B$28:$GQ$28,MATCH(130,$B$29:$GQ$29,0))/SUM($B$28:$GQ$28)*100,0)</f>
        <v>2.1166709717477655E-5</v>
      </c>
      <c r="EB14" s="3">
        <f>IFERROR(INDEX($B$28:$GQ$28,MATCH(131,$B$29:$GQ$29,0))/SUM($B$28:$GQ$28)*100,0)</f>
        <v>2.8120164422295176E-6</v>
      </c>
      <c r="EC14" s="3">
        <f>IFERROR(INDEX($B$28:$GQ$28,MATCH(132,$B$29:$GQ$29,0))/SUM($B$28:$GQ$28)*100,0)</f>
        <v>1.9250019830253838E-6</v>
      </c>
      <c r="ED14" s="3">
        <f>IFERROR(INDEX($B$28:$GQ$28,MATCH(133,$B$29:$GQ$29,0))/SUM($B$28:$GQ$28)*100,0)</f>
        <v>9.9281382304200789E-8</v>
      </c>
      <c r="EE14" s="3">
        <f>IFERROR(INDEX($B$28:$GQ$28,MATCH(134,$B$29:$GQ$29,0))/SUM($B$28:$GQ$28)*100,0)</f>
        <v>0</v>
      </c>
      <c r="EF14" s="3">
        <f>IFERROR(INDEX($B$28:$GQ$28,MATCH(135,$B$29:$GQ$29,0))/SUM($B$28:$GQ$28)*100,0)</f>
        <v>0</v>
      </c>
      <c r="EG14" s="3">
        <f>IFERROR(INDEX($B$28:$GQ$28,MATCH(136,$B$29:$GQ$29,0))/SUM($B$28:$GQ$28)*100,0)</f>
        <v>0</v>
      </c>
      <c r="EH14" s="3">
        <f>IFERROR(INDEX($B$28:$GQ$28,MATCH(137,$B$29:$GQ$29,0))/SUM($B$28:$GQ$28)*100,0)</f>
        <v>0</v>
      </c>
      <c r="EI14" s="3">
        <f>IFERROR(INDEX($B$28:$GQ$28,MATCH(138,$B$29:$GQ$29,0))/SUM($B$28:$GQ$28)*100,0)</f>
        <v>0</v>
      </c>
      <c r="EJ14" s="3">
        <f>IFERROR(INDEX($B$28:$GQ$28,MATCH(139,$B$29:$GQ$29,0))/SUM($B$28:$GQ$28)*100,0)</f>
        <v>0</v>
      </c>
      <c r="EK14" s="3">
        <f>IFERROR(INDEX($B$28:$GQ$28,MATCH(140,$B$29:$GQ$29,0))/SUM($B$28:$GQ$28)*100,0)</f>
        <v>0</v>
      </c>
      <c r="EL14" s="3">
        <f>IFERROR(INDEX($B$28:$GQ$28,MATCH(141,$B$29:$GQ$29,0))/SUM($B$28:$GQ$28)*100,0)</f>
        <v>0</v>
      </c>
      <c r="EM14" s="3">
        <f>IFERROR(INDEX($B$28:$GQ$28,MATCH(142,$B$29:$GQ$29,0))/SUM($B$28:$GQ$28)*100,0)</f>
        <v>0</v>
      </c>
      <c r="EN14" s="3">
        <f>IFERROR(INDEX($B$28:$GQ$28,MATCH(143,$B$29:$GQ$29,0))/SUM($B$28:$GQ$28)*100,0)</f>
        <v>0</v>
      </c>
      <c r="EO14" s="3">
        <f>IFERROR(INDEX($B$28:$GQ$28,MATCH(144,$B$29:$GQ$29,0))/SUM($B$28:$GQ$28)*100,0)</f>
        <v>0</v>
      </c>
      <c r="EP14" s="3">
        <f>IFERROR(INDEX($B$28:$GQ$28,MATCH(145,$B$29:$GQ$29,0))/SUM($B$28:$GQ$28)*100,0)</f>
        <v>0</v>
      </c>
      <c r="EQ14" s="3">
        <f>IFERROR(INDEX($B$28:$GQ$28,MATCH(146,$B$29:$GQ$29,0))/SUM($B$28:$GQ$28)*100,0)</f>
        <v>0</v>
      </c>
      <c r="ER14" s="3">
        <f>IFERROR(INDEX($B$28:$GQ$28,MATCH(147,$B$29:$GQ$29,0))/SUM($B$28:$GQ$28)*100,0)</f>
        <v>0</v>
      </c>
      <c r="ES14" s="3">
        <f>IFERROR(INDEX($B$28:$GQ$28,MATCH(148,$B$29:$GQ$29,0))/SUM($B$28:$GQ$28)*100,0)</f>
        <v>0</v>
      </c>
      <c r="ET14" s="3">
        <f>IFERROR(INDEX($B$28:$GQ$28,MATCH(149,$B$29:$GQ$29,0))/SUM($B$28:$GQ$28)*100,0)</f>
        <v>0</v>
      </c>
      <c r="EU14" s="3">
        <f>IFERROR(INDEX($B$28:$GQ$28,MATCH(150,$B$29:$GQ$29,0))/SUM($B$28:$GQ$28)*100,0)</f>
        <v>0</v>
      </c>
      <c r="EV14" s="3">
        <f>IFERROR(INDEX($B$28:$GQ$28,MATCH(151,$B$29:$GQ$29,0))/SUM($B$28:$GQ$28)*100,0)</f>
        <v>0</v>
      </c>
      <c r="EW14" s="3">
        <f>IFERROR(INDEX($B$28:$GQ$28,MATCH(152,$B$29:$GQ$29,0))/SUM($B$28:$GQ$28)*100,0)</f>
        <v>0</v>
      </c>
      <c r="EX14" s="3">
        <f>IFERROR(INDEX($B$28:$GQ$28,MATCH(153,$B$29:$GQ$29,0))/SUM($B$28:$GQ$28)*100,0)</f>
        <v>0</v>
      </c>
      <c r="EY14" s="3">
        <f>IFERROR(INDEX($B$28:$GQ$28,MATCH(154,$B$29:$GQ$29,0))/SUM($B$28:$GQ$28)*100,0)</f>
        <v>0</v>
      </c>
      <c r="EZ14" s="3">
        <f>IFERROR(INDEX($B$28:$GQ$28,MATCH(155,$B$29:$GQ$29,0))/SUM($B$28:$GQ$28)*100,0)</f>
        <v>0</v>
      </c>
      <c r="FA14" s="3">
        <f>IFERROR(INDEX($B$28:$GQ$28,MATCH(156,$B$29:$GQ$29,0))/SUM($B$28:$GQ$28)*100,0)</f>
        <v>0</v>
      </c>
      <c r="FB14" s="3">
        <f>IFERROR(INDEX($B$28:$GQ$28,MATCH(157,$B$29:$GQ$29,0))/SUM($B$28:$GQ$28)*100,0)</f>
        <v>0</v>
      </c>
      <c r="FC14" s="3">
        <f>IFERROR(INDEX($B$28:$GQ$28,MATCH(158,$B$29:$GQ$29,0))/SUM($B$28:$GQ$28)*100,0)</f>
        <v>0</v>
      </c>
      <c r="FD14" s="3">
        <f>IFERROR(INDEX($B$28:$GQ$28,MATCH(159,$B$29:$GQ$29,0))/SUM($B$28:$GQ$28)*100,0)</f>
        <v>0</v>
      </c>
      <c r="FE14" s="3">
        <f>IFERROR(INDEX($B$28:$GQ$28,MATCH(160,$B$29:$GQ$29,0))/SUM($B$28:$GQ$28)*100,0)</f>
        <v>0</v>
      </c>
      <c r="FF14" s="3">
        <f>IFERROR(INDEX($B$28:$GQ$28,MATCH(161,$B$29:$GQ$29,0))/SUM($B$28:$GQ$28)*100,0)</f>
        <v>0</v>
      </c>
      <c r="FG14" s="3">
        <f>IFERROR(INDEX($B$28:$GQ$28,MATCH(162,$B$29:$GQ$29,0))/SUM($B$28:$GQ$28)*100,0)</f>
        <v>0</v>
      </c>
      <c r="FH14" s="3">
        <f>IFERROR(INDEX($B$28:$GQ$28,MATCH(163,$B$29:$GQ$29,0))/SUM($B$28:$GQ$28)*100,0)</f>
        <v>0</v>
      </c>
      <c r="FI14" s="3">
        <f>IFERROR(INDEX($B$28:$GQ$28,MATCH(164,$B$29:$GQ$29,0))/SUM($B$28:$GQ$28)*100,0)</f>
        <v>0</v>
      </c>
      <c r="FJ14" s="3">
        <f>IFERROR(INDEX($B$28:$GQ$28,MATCH(165,$B$29:$GQ$29,0))/SUM($B$28:$GQ$28)*100,0)</f>
        <v>0</v>
      </c>
      <c r="FK14" s="3">
        <f>IFERROR(INDEX($B$28:$GQ$28,MATCH(166,$B$29:$GQ$29,0))/SUM($B$28:$GQ$28)*100,0)</f>
        <v>0</v>
      </c>
      <c r="FL14" s="3">
        <f>IFERROR(INDEX($B$28:$GQ$28,MATCH(167,$B$29:$GQ$29,0))/SUM($B$28:$GQ$28)*100,0)</f>
        <v>0</v>
      </c>
      <c r="FM14" s="3">
        <f>IFERROR(INDEX($B$28:$GQ$28,MATCH(168,$B$29:$GQ$29,0))/SUM($B$28:$GQ$28)*100,0)</f>
        <v>0</v>
      </c>
      <c r="FN14" s="3">
        <f>IFERROR(INDEX($B$28:$GQ$28,MATCH(169,$B$29:$GQ$29,0))/SUM($B$28:$GQ$28)*100,0)</f>
        <v>0</v>
      </c>
      <c r="FO14" s="3">
        <f>IFERROR(INDEX($B$28:$GQ$28,MATCH(170,$B$29:$GQ$29,0))/SUM($B$28:$GQ$28)*100,0)</f>
        <v>0</v>
      </c>
      <c r="FP14" s="3">
        <f>IFERROR(INDEX($B$28:$GQ$28,MATCH(171,$B$29:$GQ$29,0))/SUM($B$28:$GQ$28)*100,0)</f>
        <v>0</v>
      </c>
      <c r="FQ14" s="3">
        <f>IFERROR(INDEX($B$28:$GQ$28,MATCH(172,$B$29:$GQ$29,0))/SUM($B$28:$GQ$28)*100,0)</f>
        <v>0</v>
      </c>
      <c r="FR14" s="3">
        <f>IFERROR(INDEX($B$28:$GQ$28,MATCH(173,$B$29:$GQ$29,0))/SUM($B$28:$GQ$28)*100,0)</f>
        <v>0</v>
      </c>
      <c r="FS14" s="3">
        <f>IFERROR(INDEX($B$28:$GQ$28,MATCH(174,$B$29:$GQ$29,0))/SUM($B$28:$GQ$28)*100,0)</f>
        <v>0</v>
      </c>
      <c r="FT14" s="3">
        <f>IFERROR(INDEX($B$28:$GQ$28,MATCH(175,$B$29:$GQ$29,0))/SUM($B$28:$GQ$28)*100,0)</f>
        <v>0</v>
      </c>
      <c r="FU14" s="3">
        <f>IFERROR(INDEX($B$28:$GQ$28,MATCH(176,$B$29:$GQ$29,0))/SUM($B$28:$GQ$28)*100,0)</f>
        <v>0</v>
      </c>
      <c r="FV14" s="3">
        <f>IFERROR(INDEX($B$28:$GQ$28,MATCH(177,$B$29:$GQ$29,0))/SUM($B$28:$GQ$28)*100,0)</f>
        <v>0</v>
      </c>
      <c r="FW14" s="3">
        <f>IFERROR(INDEX($B$28:$GQ$28,MATCH(178,$B$29:$GQ$29,0))/SUM($B$28:$GQ$28)*100,0)</f>
        <v>0</v>
      </c>
      <c r="FX14" s="3">
        <f>IFERROR(INDEX($B$28:$GQ$28,MATCH(179,$B$29:$GQ$29,0))/SUM($B$28:$GQ$28)*100,0)</f>
        <v>0</v>
      </c>
      <c r="FY14" s="3">
        <f>IFERROR(INDEX($B$28:$GQ$28,MATCH(180,$B$29:$GQ$29,0))/SUM($B$28:$GQ$28)*100,0)</f>
        <v>0</v>
      </c>
      <c r="FZ14" s="3">
        <f>IFERROR(INDEX($B$28:$GQ$28,MATCH(181,$B$29:$GQ$29,0))/SUM($B$28:$GQ$28)*100,0)</f>
        <v>0</v>
      </c>
      <c r="GA14" s="3">
        <f>IFERROR(INDEX($B$28:$GQ$28,MATCH(182,$B$29:$GQ$29,0))/SUM($B$28:$GQ$28)*100,0)</f>
        <v>0</v>
      </c>
      <c r="GB14" s="3">
        <f>IFERROR(INDEX($B$28:$GQ$28,MATCH(183,$B$29:$GQ$29,0))/SUM($B$28:$GQ$28)*100,0)</f>
        <v>0</v>
      </c>
      <c r="GC14" s="3">
        <f>IFERROR(INDEX($B$28:$GQ$28,MATCH(184,$B$29:$GQ$29,0))/SUM($B$28:$GQ$28)*100,0)</f>
        <v>0</v>
      </c>
      <c r="GD14" s="3">
        <f>IFERROR(INDEX($B$28:$GQ$28,MATCH(185,$B$29:$GQ$29,0))/SUM($B$28:$GQ$28)*100,0)</f>
        <v>0</v>
      </c>
      <c r="GE14" s="3">
        <f>IFERROR(INDEX($B$28:$GQ$28,MATCH(186,$B$29:$GQ$29,0))/SUM($B$28:$GQ$28)*100,0)</f>
        <v>0</v>
      </c>
      <c r="GF14" s="3">
        <f>IFERROR(INDEX($B$28:$GQ$28,MATCH(187,$B$29:$GQ$29,0))/SUM($B$28:$GQ$28)*100,0)</f>
        <v>0</v>
      </c>
      <c r="GG14" s="3">
        <f>IFERROR(INDEX($B$28:$GQ$28,MATCH(188,$B$29:$GQ$29,0))/SUM($B$28:$GQ$28)*100,0)</f>
        <v>0</v>
      </c>
      <c r="GH14" s="3">
        <f>IFERROR(INDEX($B$28:$GQ$28,MATCH(189,$B$29:$GQ$29,0))/SUM($B$28:$GQ$28)*100,0)</f>
        <v>0</v>
      </c>
      <c r="GI14" s="3">
        <f>IFERROR(INDEX($B$28:$GQ$28,MATCH(190,$B$29:$GQ$29,0))/SUM($B$28:$GQ$28)*100,0)</f>
        <v>0</v>
      </c>
      <c r="GJ14" s="3">
        <f>IFERROR(INDEX($B$28:$GQ$28,MATCH(191,$B$29:$GQ$29,0))/SUM($B$28:$GQ$28)*100,0)</f>
        <v>0</v>
      </c>
      <c r="GK14" s="3">
        <f>IFERROR(INDEX($B$28:$GQ$28,MATCH(192,$B$29:$GQ$29,0))/SUM($B$28:$GQ$28)*100,0)</f>
        <v>0</v>
      </c>
      <c r="GL14" s="3">
        <f>IFERROR(INDEX($B$28:$GQ$28,MATCH(193,$B$29:$GQ$29,0))/SUM($B$28:$GQ$28)*100,0)</f>
        <v>0</v>
      </c>
      <c r="GM14" s="3">
        <f>IFERROR(INDEX($B$28:$GQ$28,MATCH(194,$B$29:$GQ$29,0))/SUM($B$28:$GQ$28)*100,0)</f>
        <v>0</v>
      </c>
      <c r="GN14" s="3">
        <f>IFERROR(INDEX($B$28:$GQ$28,MATCH(195,$B$29:$GQ$29,0))/SUM($B$28:$GQ$28)*100,0)</f>
        <v>0</v>
      </c>
      <c r="GO14" s="3">
        <f>IFERROR(INDEX($B$28:$GQ$28,MATCH(196,$B$29:$GQ$29,0))/SUM($B$28:$GQ$28)*100,0)</f>
        <v>0</v>
      </c>
      <c r="GP14" s="3">
        <f>IFERROR(INDEX($B$28:$GQ$28,MATCH(197,$B$29:$GQ$29,0))/SUM($B$28:$GQ$28)*100,0)</f>
        <v>0</v>
      </c>
      <c r="GQ14" s="3">
        <f>IFERROR(INDEX($B$28:$GQ$28,MATCH(198,$B$29:$GQ$29,0))/SUM($B$28:$GQ$28)*100,0)</f>
        <v>0</v>
      </c>
      <c r="GR14" s="3">
        <f>IFERROR(INDEX($GR$28:$HC$28,MATCH(1,$GR$30:$HC$30,0))/SUM($GR$28:$HC$28)*100,0)</f>
        <v>23.249582899936215</v>
      </c>
      <c r="GS14" s="3">
        <f>IFERROR(INDEX($GR$28:$HC$28,MATCH(2,$GR$30:$HC$30,0))/SUM($GR$28:$HC$28)*100,0)</f>
        <v>19.984254604202381</v>
      </c>
      <c r="GT14" s="3">
        <f>IFERROR(INDEX($GR$28:$HC$28,MATCH(3,$GR$30:$HC$30,0))/SUM($GR$28:$HC$28)*100,0)</f>
        <v>16.268871281601083</v>
      </c>
      <c r="GU14" s="3">
        <f>IFERROR(INDEX($GR$28:$HC$28,MATCH(4,$GR$30:$HC$30,0))/SUM($GR$28:$HC$28)*100,0)</f>
        <v>15.273956634067186</v>
      </c>
      <c r="GV14" s="3">
        <f>IFERROR(INDEX($GR$28:$HC$28,MATCH(5,$GR$30:$HC$30,0))/SUM($GR$28:$HC$28)*100,0)</f>
        <v>7.3834513680151526</v>
      </c>
      <c r="GW14" s="3">
        <f>IFERROR(INDEX($GR$28:$HC$28,MATCH(6,$GR$30:$HC$30,0))/SUM($GR$28:$HC$28)*100,0)</f>
        <v>4.1420364077152421</v>
      </c>
      <c r="GX14" s="3">
        <f>IFERROR(INDEX($GR$28:$HC$28,MATCH(7,$GR$30:$HC$30,0))/SUM($GR$28:$HC$28)*100,0)</f>
        <v>4.0198656897702874</v>
      </c>
      <c r="GY14" s="3">
        <f>IFERROR(INDEX($GR$28:$HC$28,MATCH(8,$GR$30:$HC$30,0))/SUM($GR$28:$HC$28)*100,0)</f>
        <v>2.096176018456489</v>
      </c>
      <c r="GZ14" s="3">
        <f>IFERROR(INDEX($GR$28:$HC$28,MATCH(9,$GR$30:$HC$30,0))/SUM($GR$28:$HC$28)*100,0)</f>
        <v>2.0383020957491027</v>
      </c>
      <c r="HA14" s="3">
        <f>IFERROR(INDEX($GR$28:$HC$28,MATCH(10,$GR$30:$HC$30,0))/SUM($GR$28:$HC$28)*100,0)</f>
        <v>2.0377082177235661</v>
      </c>
      <c r="HB14" s="3">
        <f>IFERROR(INDEX($GR$28:$HC$28,MATCH(11,$GR$30:$HC$30,0))/SUM($GR$28:$HC$28)*100,0)</f>
        <v>1.7954098704008028</v>
      </c>
      <c r="HC14" s="3">
        <f>IFERROR(INDEX($GR$28:$HC$28,MATCH(12,$GR$30:$HC$30,0))/SUM($GR$28:$HC$28)*100,0)</f>
        <v>1.7103849123624795</v>
      </c>
    </row>
    <row r="16" spans="1:211" x14ac:dyDescent="0.45">
      <c r="A16" s="1" t="s">
        <v>12</v>
      </c>
    </row>
    <row r="17" spans="1:211" x14ac:dyDescent="0.45">
      <c r="A17" s="1" t="s">
        <v>230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19</v>
      </c>
      <c r="I17" s="1" t="s">
        <v>20</v>
      </c>
      <c r="J17" s="1" t="s">
        <v>21</v>
      </c>
      <c r="K17" s="1" t="s">
        <v>22</v>
      </c>
      <c r="L17" s="1" t="s">
        <v>23</v>
      </c>
      <c r="M17" s="1" t="s">
        <v>24</v>
      </c>
      <c r="N17" s="1" t="s">
        <v>25</v>
      </c>
      <c r="O17" s="1" t="s">
        <v>26</v>
      </c>
      <c r="P17" s="1" t="s">
        <v>27</v>
      </c>
      <c r="Q17" s="1" t="s">
        <v>28</v>
      </c>
      <c r="R17" s="1" t="s">
        <v>29</v>
      </c>
      <c r="S17" s="1" t="s">
        <v>30</v>
      </c>
      <c r="T17" s="1" t="s">
        <v>31</v>
      </c>
      <c r="U17" s="1" t="s">
        <v>32</v>
      </c>
      <c r="V17" s="1" t="s">
        <v>33</v>
      </c>
      <c r="W17" s="1" t="s">
        <v>34</v>
      </c>
      <c r="X17" s="1" t="s">
        <v>35</v>
      </c>
      <c r="Y17" s="1" t="s">
        <v>36</v>
      </c>
      <c r="Z17" s="1" t="s">
        <v>37</v>
      </c>
      <c r="AA17" s="1" t="s">
        <v>38</v>
      </c>
      <c r="AB17" s="1" t="s">
        <v>39</v>
      </c>
      <c r="AC17" s="1" t="s">
        <v>40</v>
      </c>
      <c r="AD17" s="1" t="s">
        <v>41</v>
      </c>
      <c r="AE17" s="1" t="s">
        <v>42</v>
      </c>
      <c r="AF17" s="1" t="s">
        <v>43</v>
      </c>
      <c r="AG17" s="1" t="s">
        <v>44</v>
      </c>
      <c r="AH17" s="1" t="s">
        <v>45</v>
      </c>
      <c r="AI17" s="1" t="s">
        <v>46</v>
      </c>
      <c r="AJ17" s="1" t="s">
        <v>47</v>
      </c>
      <c r="AK17" s="1" t="s">
        <v>48</v>
      </c>
      <c r="AL17" s="1" t="s">
        <v>49</v>
      </c>
      <c r="AM17" s="1" t="s">
        <v>50</v>
      </c>
      <c r="AN17" s="1" t="s">
        <v>51</v>
      </c>
      <c r="AO17" s="1" t="s">
        <v>52</v>
      </c>
      <c r="AP17" s="1" t="s">
        <v>53</v>
      </c>
      <c r="AQ17" s="1" t="s">
        <v>54</v>
      </c>
      <c r="AR17" s="1" t="s">
        <v>55</v>
      </c>
      <c r="AS17" s="1" t="s">
        <v>56</v>
      </c>
      <c r="AT17" s="1" t="s">
        <v>57</v>
      </c>
      <c r="AU17" s="1" t="s">
        <v>58</v>
      </c>
      <c r="AV17" s="1" t="s">
        <v>59</v>
      </c>
      <c r="AW17" s="1" t="s">
        <v>60</v>
      </c>
      <c r="AX17" s="1" t="s">
        <v>61</v>
      </c>
      <c r="AY17" s="1" t="s">
        <v>62</v>
      </c>
      <c r="AZ17" s="1" t="s">
        <v>63</v>
      </c>
      <c r="BA17" s="1" t="s">
        <v>64</v>
      </c>
      <c r="BB17" s="1" t="s">
        <v>65</v>
      </c>
      <c r="BC17" s="1" t="s">
        <v>66</v>
      </c>
      <c r="BD17" s="1" t="s">
        <v>67</v>
      </c>
      <c r="BE17" s="1" t="s">
        <v>68</v>
      </c>
      <c r="BF17" s="1" t="s">
        <v>69</v>
      </c>
      <c r="BG17" s="1" t="s">
        <v>70</v>
      </c>
      <c r="BH17" s="1" t="s">
        <v>71</v>
      </c>
      <c r="BI17" s="1" t="s">
        <v>72</v>
      </c>
      <c r="BJ17" s="1" t="s">
        <v>73</v>
      </c>
      <c r="BK17" s="1" t="s">
        <v>74</v>
      </c>
      <c r="BL17" s="1" t="s">
        <v>75</v>
      </c>
      <c r="BM17" s="1" t="s">
        <v>76</v>
      </c>
      <c r="BN17" s="1" t="s">
        <v>77</v>
      </c>
      <c r="BO17" s="1" t="s">
        <v>78</v>
      </c>
      <c r="BP17" s="1" t="s">
        <v>79</v>
      </c>
      <c r="BQ17" s="1" t="s">
        <v>80</v>
      </c>
      <c r="BR17" s="1" t="s">
        <v>81</v>
      </c>
      <c r="BS17" s="1" t="s">
        <v>82</v>
      </c>
      <c r="BT17" s="1" t="s">
        <v>83</v>
      </c>
      <c r="BU17" s="1" t="s">
        <v>84</v>
      </c>
      <c r="BV17" s="1" t="s">
        <v>85</v>
      </c>
      <c r="BW17" s="1" t="s">
        <v>86</v>
      </c>
      <c r="BX17" s="1" t="s">
        <v>87</v>
      </c>
      <c r="BY17" s="1" t="s">
        <v>88</v>
      </c>
      <c r="BZ17" s="1" t="s">
        <v>89</v>
      </c>
      <c r="CA17" s="1" t="s">
        <v>90</v>
      </c>
      <c r="CB17" s="1" t="s">
        <v>91</v>
      </c>
      <c r="CC17" s="1" t="s">
        <v>92</v>
      </c>
      <c r="CD17" s="1" t="s">
        <v>93</v>
      </c>
      <c r="CE17" s="1" t="s">
        <v>94</v>
      </c>
      <c r="CF17" s="1" t="s">
        <v>95</v>
      </c>
      <c r="CG17" s="1" t="s">
        <v>96</v>
      </c>
      <c r="CH17" s="1" t="s">
        <v>97</v>
      </c>
      <c r="CI17" s="1" t="s">
        <v>98</v>
      </c>
      <c r="CJ17" s="1" t="s">
        <v>99</v>
      </c>
      <c r="CK17" s="1" t="s">
        <v>100</v>
      </c>
      <c r="CL17" s="1" t="s">
        <v>101</v>
      </c>
      <c r="CM17" s="1" t="s">
        <v>102</v>
      </c>
      <c r="CN17" s="1" t="s">
        <v>103</v>
      </c>
      <c r="CO17" s="1" t="s">
        <v>104</v>
      </c>
      <c r="CP17" s="1" t="s">
        <v>105</v>
      </c>
      <c r="CQ17" s="1" t="s">
        <v>106</v>
      </c>
      <c r="CR17" s="1" t="s">
        <v>107</v>
      </c>
      <c r="CS17" s="1" t="s">
        <v>108</v>
      </c>
      <c r="CT17" s="1" t="s">
        <v>109</v>
      </c>
      <c r="CU17" s="1" t="s">
        <v>110</v>
      </c>
      <c r="CV17" s="1" t="s">
        <v>111</v>
      </c>
      <c r="CW17" s="1" t="s">
        <v>112</v>
      </c>
      <c r="CX17" s="1" t="s">
        <v>113</v>
      </c>
      <c r="CY17" s="1" t="s">
        <v>114</v>
      </c>
      <c r="CZ17" s="1" t="s">
        <v>115</v>
      </c>
      <c r="DA17" s="1" t="s">
        <v>116</v>
      </c>
      <c r="DB17" s="1" t="s">
        <v>117</v>
      </c>
      <c r="DC17" s="1" t="s">
        <v>118</v>
      </c>
      <c r="DD17" s="1" t="s">
        <v>119</v>
      </c>
      <c r="DE17" s="1" t="s">
        <v>120</v>
      </c>
      <c r="DF17" s="1" t="s">
        <v>121</v>
      </c>
      <c r="DG17" s="1" t="s">
        <v>122</v>
      </c>
      <c r="DH17" s="1" t="s">
        <v>123</v>
      </c>
      <c r="DI17" s="1" t="s">
        <v>124</v>
      </c>
      <c r="DJ17" s="1" t="s">
        <v>125</v>
      </c>
      <c r="DK17" s="1" t="s">
        <v>126</v>
      </c>
      <c r="DL17" s="1" t="s">
        <v>127</v>
      </c>
      <c r="DM17" s="1" t="s">
        <v>128</v>
      </c>
      <c r="DN17" s="1" t="s">
        <v>129</v>
      </c>
      <c r="DO17" s="1" t="s">
        <v>130</v>
      </c>
      <c r="DP17" s="1" t="s">
        <v>131</v>
      </c>
      <c r="DQ17" s="1" t="s">
        <v>132</v>
      </c>
      <c r="DR17" s="1" t="s">
        <v>133</v>
      </c>
      <c r="DS17" s="1" t="s">
        <v>134</v>
      </c>
      <c r="DT17" s="1" t="s">
        <v>135</v>
      </c>
      <c r="DU17" s="1" t="s">
        <v>136</v>
      </c>
      <c r="DV17" s="1" t="s">
        <v>137</v>
      </c>
      <c r="DW17" s="1" t="s">
        <v>138</v>
      </c>
      <c r="DX17" s="1" t="s">
        <v>139</v>
      </c>
      <c r="DY17" s="1" t="s">
        <v>140</v>
      </c>
      <c r="DZ17" s="1" t="s">
        <v>141</v>
      </c>
      <c r="EA17" s="1" t="s">
        <v>142</v>
      </c>
      <c r="EB17" s="1" t="s">
        <v>143</v>
      </c>
      <c r="EC17" s="1" t="s">
        <v>144</v>
      </c>
      <c r="ED17" s="1" t="s">
        <v>145</v>
      </c>
      <c r="EE17" s="1" t="s">
        <v>146</v>
      </c>
      <c r="EF17" s="1" t="s">
        <v>147</v>
      </c>
      <c r="EG17" s="1" t="s">
        <v>148</v>
      </c>
      <c r="EH17" s="1" t="s">
        <v>149</v>
      </c>
      <c r="EI17" s="1" t="s">
        <v>150</v>
      </c>
      <c r="EJ17" s="1" t="s">
        <v>151</v>
      </c>
      <c r="EK17" s="1" t="s">
        <v>152</v>
      </c>
      <c r="EL17" s="1" t="s">
        <v>153</v>
      </c>
      <c r="EM17" s="1" t="s">
        <v>154</v>
      </c>
      <c r="EN17" s="1" t="s">
        <v>155</v>
      </c>
      <c r="EO17" s="1" t="s">
        <v>156</v>
      </c>
      <c r="EP17" s="1" t="s">
        <v>157</v>
      </c>
      <c r="EQ17" s="1" t="s">
        <v>158</v>
      </c>
      <c r="ER17" s="1" t="s">
        <v>159</v>
      </c>
      <c r="ES17" s="1" t="s">
        <v>160</v>
      </c>
      <c r="ET17" s="1" t="s">
        <v>161</v>
      </c>
      <c r="EU17" s="1" t="s">
        <v>162</v>
      </c>
      <c r="EV17" s="1" t="s">
        <v>163</v>
      </c>
      <c r="EW17" s="1" t="s">
        <v>164</v>
      </c>
      <c r="EX17" s="1" t="s">
        <v>165</v>
      </c>
      <c r="EY17" s="1" t="s">
        <v>166</v>
      </c>
      <c r="EZ17" s="1" t="s">
        <v>167</v>
      </c>
      <c r="FA17" s="1" t="s">
        <v>168</v>
      </c>
      <c r="FB17" s="1" t="s">
        <v>169</v>
      </c>
      <c r="FC17" s="1" t="s">
        <v>170</v>
      </c>
      <c r="FD17" s="1" t="s">
        <v>171</v>
      </c>
      <c r="FE17" s="1" t="s">
        <v>172</v>
      </c>
      <c r="FF17" s="1" t="s">
        <v>173</v>
      </c>
      <c r="FG17" s="1" t="s">
        <v>174</v>
      </c>
      <c r="FH17" s="1" t="s">
        <v>175</v>
      </c>
      <c r="FI17" s="1" t="s">
        <v>176</v>
      </c>
      <c r="FJ17" s="1" t="s">
        <v>177</v>
      </c>
      <c r="FK17" s="1" t="s">
        <v>178</v>
      </c>
      <c r="FL17" s="1" t="s">
        <v>179</v>
      </c>
      <c r="FM17" s="1" t="s">
        <v>180</v>
      </c>
      <c r="FN17" s="1" t="s">
        <v>181</v>
      </c>
      <c r="FO17" s="1" t="s">
        <v>182</v>
      </c>
      <c r="FP17" s="1" t="s">
        <v>183</v>
      </c>
      <c r="FQ17" s="1" t="s">
        <v>184</v>
      </c>
      <c r="FR17" s="1" t="s">
        <v>185</v>
      </c>
      <c r="FS17" s="1" t="s">
        <v>186</v>
      </c>
      <c r="FT17" s="1" t="s">
        <v>187</v>
      </c>
      <c r="FU17" s="1" t="s">
        <v>188</v>
      </c>
      <c r="FV17" s="1" t="s">
        <v>189</v>
      </c>
      <c r="FW17" s="1" t="s">
        <v>190</v>
      </c>
      <c r="FX17" s="1" t="s">
        <v>191</v>
      </c>
      <c r="FY17" s="1" t="s">
        <v>192</v>
      </c>
      <c r="FZ17" s="1" t="s">
        <v>193</v>
      </c>
      <c r="GA17" s="1" t="s">
        <v>194</v>
      </c>
      <c r="GB17" s="1" t="s">
        <v>195</v>
      </c>
      <c r="GC17" s="1" t="s">
        <v>196</v>
      </c>
      <c r="GD17" s="1" t="s">
        <v>197</v>
      </c>
      <c r="GE17" s="1" t="s">
        <v>198</v>
      </c>
      <c r="GF17" s="1" t="s">
        <v>199</v>
      </c>
      <c r="GG17" s="1" t="s">
        <v>200</v>
      </c>
      <c r="GH17" s="1" t="s">
        <v>201</v>
      </c>
      <c r="GI17" s="1" t="s">
        <v>202</v>
      </c>
      <c r="GJ17" s="1" t="s">
        <v>203</v>
      </c>
      <c r="GK17" s="1" t="s">
        <v>204</v>
      </c>
      <c r="GL17" s="1" t="s">
        <v>205</v>
      </c>
      <c r="GM17" s="1" t="s">
        <v>206</v>
      </c>
      <c r="GN17" s="1" t="s">
        <v>207</v>
      </c>
      <c r="GO17" s="1" t="s">
        <v>208</v>
      </c>
      <c r="GP17" s="1" t="s">
        <v>209</v>
      </c>
      <c r="GQ17" s="1" t="s">
        <v>210</v>
      </c>
      <c r="GR17" s="1" t="s">
        <v>211</v>
      </c>
      <c r="GS17" s="1" t="s">
        <v>21</v>
      </c>
      <c r="GT17" s="1" t="s">
        <v>212</v>
      </c>
      <c r="GU17" s="1" t="s">
        <v>213</v>
      </c>
      <c r="GV17" s="1" t="s">
        <v>60</v>
      </c>
      <c r="GW17" s="1" t="s">
        <v>214</v>
      </c>
      <c r="GX17" s="1" t="s">
        <v>215</v>
      </c>
      <c r="GY17" s="1" t="s">
        <v>216</v>
      </c>
      <c r="GZ17" s="1" t="s">
        <v>217</v>
      </c>
      <c r="HA17" s="1" t="s">
        <v>218</v>
      </c>
      <c r="HB17" s="1" t="s">
        <v>219</v>
      </c>
      <c r="HC17" s="1" t="s">
        <v>220</v>
      </c>
    </row>
    <row r="18" spans="1:211" x14ac:dyDescent="0.45">
      <c r="A18" s="1" t="s">
        <v>3</v>
      </c>
      <c r="B18">
        <v>0.29734748297072561</v>
      </c>
      <c r="C18">
        <v>0.22450467730488841</v>
      </c>
      <c r="D18">
        <v>0.13904535183781749</v>
      </c>
      <c r="E18">
        <v>0.44866878761138151</v>
      </c>
      <c r="F18">
        <v>0.37337114263669008</v>
      </c>
      <c r="G18">
        <v>1.8809751751437349E-2</v>
      </c>
      <c r="H18">
        <v>0.14269465898301861</v>
      </c>
      <c r="I18">
        <v>2.695389741939256E-2</v>
      </c>
      <c r="J18">
        <v>0.65151071068693756</v>
      </c>
      <c r="K18">
        <v>0.5806701211420473</v>
      </c>
      <c r="L18">
        <v>0.5373559835230437</v>
      </c>
      <c r="M18">
        <v>0.50170731126607704</v>
      </c>
      <c r="N18">
        <v>0.62891420230921091</v>
      </c>
      <c r="O18">
        <v>0.74242815339315404</v>
      </c>
      <c r="P18">
        <v>11.04027504343863</v>
      </c>
      <c r="Q18">
        <v>0</v>
      </c>
      <c r="R18">
        <v>0</v>
      </c>
      <c r="S18">
        <v>0.36534643001059719</v>
      </c>
      <c r="T18">
        <v>3.3238284869585621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0.64769131231939792</v>
      </c>
      <c r="AD18">
        <v>33.552570010224613</v>
      </c>
      <c r="AE18">
        <v>0.16557088013812479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8.9236374387776082E-2</v>
      </c>
      <c r="AO18">
        <v>0.26626504445781141</v>
      </c>
      <c r="AP18">
        <v>6.0222556967112423E-3</v>
      </c>
      <c r="AQ18">
        <v>5.1375427315759122E-2</v>
      </c>
      <c r="AR18">
        <v>0.60191718704284103</v>
      </c>
      <c r="AS18">
        <v>0.3346933294044746</v>
      </c>
      <c r="AT18">
        <v>0.43316480985141459</v>
      </c>
      <c r="AU18">
        <v>0.55775780307290501</v>
      </c>
      <c r="AV18">
        <v>0.26864538872919969</v>
      </c>
      <c r="AW18">
        <v>0.53094170347712133</v>
      </c>
      <c r="AX18">
        <v>0.11703292897524881</v>
      </c>
      <c r="AY18">
        <v>0.25612926386993079</v>
      </c>
      <c r="AZ18">
        <v>0.48300287449233298</v>
      </c>
      <c r="BA18">
        <v>0.49552664654366207</v>
      </c>
      <c r="BB18">
        <v>0.53801066258158659</v>
      </c>
      <c r="BC18">
        <v>0.31307761162816622</v>
      </c>
      <c r="BD18">
        <v>0.41774102872057212</v>
      </c>
      <c r="BE18">
        <v>0.31570283172131519</v>
      </c>
      <c r="BF18">
        <v>0.40305036422739732</v>
      </c>
      <c r="BG18">
        <v>0.75656470543662835</v>
      </c>
      <c r="BH18">
        <v>0.37616296417091089</v>
      </c>
      <c r="BI18">
        <v>0.40275669184004231</v>
      </c>
      <c r="BJ18">
        <v>0.58003002032254924</v>
      </c>
      <c r="BK18">
        <v>0.67265286836493776</v>
      </c>
      <c r="BL18">
        <v>0.2356983598477255</v>
      </c>
      <c r="BM18">
        <v>0.91144809162285012</v>
      </c>
      <c r="BN18">
        <v>0</v>
      </c>
      <c r="BO18">
        <v>20.43522814700318</v>
      </c>
      <c r="BP18">
        <v>3.927581570863353</v>
      </c>
      <c r="BQ18">
        <v>0</v>
      </c>
      <c r="BR18">
        <v>0</v>
      </c>
      <c r="BS18">
        <v>1.012312229811118</v>
      </c>
      <c r="BT18">
        <v>0</v>
      </c>
      <c r="BU18">
        <v>1.7513707259369879</v>
      </c>
      <c r="BV18">
        <v>0.60434772984285423</v>
      </c>
      <c r="BW18">
        <v>5.1549845083079361E-3</v>
      </c>
      <c r="BX18">
        <v>1.026130629385106</v>
      </c>
      <c r="BY18">
        <v>0.98394926213787748</v>
      </c>
      <c r="BZ18">
        <v>0</v>
      </c>
      <c r="CA18">
        <v>0.54050519272770536</v>
      </c>
      <c r="CB18">
        <v>1.106148782217016</v>
      </c>
      <c r="CC18">
        <v>1.8697032687440021</v>
      </c>
      <c r="CD18">
        <v>0.20451239910495941</v>
      </c>
      <c r="CE18">
        <v>0.22785918873770991</v>
      </c>
      <c r="CF18">
        <v>0.34279247064782992</v>
      </c>
      <c r="CG18">
        <v>0.2181575621018213</v>
      </c>
      <c r="CH18">
        <v>1.6903611993638191E-3</v>
      </c>
      <c r="CI18">
        <v>0.65911511581561899</v>
      </c>
      <c r="CJ18">
        <v>0.51020083362396718</v>
      </c>
      <c r="CK18">
        <v>0.35588872025206347</v>
      </c>
      <c r="CL18">
        <v>0.49072199594792809</v>
      </c>
      <c r="CM18">
        <v>1.32245573376398</v>
      </c>
      <c r="CN18">
        <v>0</v>
      </c>
      <c r="CO18">
        <v>0.2862169776448209</v>
      </c>
      <c r="CP18">
        <v>0.54142282770629779</v>
      </c>
      <c r="CQ18">
        <v>0.22457627641583841</v>
      </c>
      <c r="CR18">
        <v>0</v>
      </c>
      <c r="CS18">
        <v>0.51826968301139642</v>
      </c>
      <c r="CT18">
        <v>0.3365014363939372</v>
      </c>
      <c r="CU18">
        <v>0.86342846996883171</v>
      </c>
      <c r="CV18">
        <v>0.92377938579715768</v>
      </c>
      <c r="CW18">
        <v>1.1945191468030221</v>
      </c>
      <c r="CX18">
        <v>1.0464910915909389</v>
      </c>
      <c r="CY18">
        <v>0.52000721865413824</v>
      </c>
      <c r="CZ18">
        <v>0.58001057073037421</v>
      </c>
      <c r="DA18">
        <v>0.37118201036328008</v>
      </c>
      <c r="DB18">
        <v>0.7361054134449293</v>
      </c>
      <c r="DC18">
        <v>0</v>
      </c>
      <c r="DD18">
        <v>0.8059921848310232</v>
      </c>
      <c r="DE18">
        <v>0.69485365051901737</v>
      </c>
      <c r="DF18">
        <v>1.3943490034684289</v>
      </c>
      <c r="DG18">
        <v>1.1057334714375979</v>
      </c>
      <c r="DH18">
        <v>1.59483003653092</v>
      </c>
      <c r="DI18">
        <v>0</v>
      </c>
      <c r="DJ18">
        <v>0.59591030113713639</v>
      </c>
      <c r="DK18">
        <v>0</v>
      </c>
      <c r="DL18">
        <v>0.65125455925097708</v>
      </c>
      <c r="DM18">
        <v>0.45673405814819279</v>
      </c>
      <c r="DN18">
        <v>0.37433102114395411</v>
      </c>
      <c r="DO18">
        <v>0.30186887260360251</v>
      </c>
      <c r="DP18">
        <v>0.44031633041505142</v>
      </c>
      <c r="DQ18">
        <v>0.33868510291090298</v>
      </c>
      <c r="DR18">
        <v>0.34528833521694258</v>
      </c>
      <c r="DS18">
        <v>0.43043548158816092</v>
      </c>
      <c r="DT18">
        <v>0.39012004408656692</v>
      </c>
      <c r="DU18">
        <v>0.35840050213949609</v>
      </c>
      <c r="DV18">
        <v>0</v>
      </c>
      <c r="DW18">
        <v>0</v>
      </c>
      <c r="DX18">
        <v>7.4386684412674242</v>
      </c>
      <c r="DY18">
        <v>0.58860834372587179</v>
      </c>
      <c r="DZ18">
        <v>0.33583929997623752</v>
      </c>
      <c r="EA18">
        <v>0.39723968805973781</v>
      </c>
      <c r="EB18">
        <v>0.1949141099437523</v>
      </c>
      <c r="EC18">
        <v>2.0648678065138442</v>
      </c>
      <c r="ED18">
        <v>0.35775589761194049</v>
      </c>
      <c r="EE18">
        <v>4.3231345164040452E-2</v>
      </c>
      <c r="EF18">
        <v>0</v>
      </c>
      <c r="EG18">
        <v>0.47866540208321312</v>
      </c>
      <c r="EH18">
        <v>0</v>
      </c>
      <c r="EI18">
        <v>0</v>
      </c>
      <c r="EJ18">
        <v>0.15097621810943049</v>
      </c>
      <c r="EK18">
        <v>0.13851326683160939</v>
      </c>
      <c r="EL18">
        <v>5.0197287356487597E-2</v>
      </c>
      <c r="EM18">
        <v>0.10297910466926791</v>
      </c>
      <c r="EN18">
        <v>6.2598835252380973E-9</v>
      </c>
      <c r="EO18">
        <v>0</v>
      </c>
      <c r="EP18">
        <v>0.2135972856606255</v>
      </c>
      <c r="EQ18">
        <v>0.46062189924011909</v>
      </c>
      <c r="ER18">
        <v>2.730276621011396</v>
      </c>
      <c r="ES18">
        <v>0.2335540375512026</v>
      </c>
      <c r="ET18">
        <v>0.45494090924073832</v>
      </c>
      <c r="EU18">
        <v>0</v>
      </c>
      <c r="EV18">
        <v>9.5293481885939363E-2</v>
      </c>
      <c r="EW18">
        <v>0.16356461770002281</v>
      </c>
      <c r="EX18">
        <v>0.1187892740197261</v>
      </c>
      <c r="EY18">
        <v>0.13385662426619299</v>
      </c>
      <c r="EZ18">
        <v>0.14568712348349219</v>
      </c>
      <c r="FA18">
        <v>0.40730247766791738</v>
      </c>
      <c r="FB18">
        <v>0.32572037073874188</v>
      </c>
      <c r="FC18">
        <v>1.080505697848998</v>
      </c>
      <c r="FD18">
        <v>1.2638254119915451</v>
      </c>
      <c r="FE18">
        <v>4.7872106734463014</v>
      </c>
      <c r="FF18">
        <v>0.81467187551415021</v>
      </c>
      <c r="FG18">
        <v>0.23625023413950641</v>
      </c>
      <c r="FH18">
        <v>0.13511410035309451</v>
      </c>
      <c r="FI18">
        <v>0.19440793228922801</v>
      </c>
      <c r="FJ18">
        <v>0.19073503652118931</v>
      </c>
      <c r="FK18">
        <v>0.25198242898792228</v>
      </c>
      <c r="FL18">
        <v>0.26220247990464562</v>
      </c>
      <c r="FM18">
        <v>0.16006225103446989</v>
      </c>
      <c r="FN18">
        <v>0.14580701834184651</v>
      </c>
      <c r="FO18">
        <v>0.65077362871885902</v>
      </c>
      <c r="FP18">
        <v>0.13451990787248369</v>
      </c>
      <c r="FQ18">
        <v>0.2256237933597236</v>
      </c>
      <c r="FR18">
        <v>0.1174399740413197</v>
      </c>
      <c r="FS18">
        <v>0.1254768953737079</v>
      </c>
      <c r="FT18">
        <v>0.20003846818148729</v>
      </c>
      <c r="FU18">
        <v>0.20103338082410729</v>
      </c>
      <c r="FV18">
        <v>0.20858753250508061</v>
      </c>
      <c r="FW18">
        <v>0.20721766146484091</v>
      </c>
      <c r="FX18">
        <v>0.19879168124074409</v>
      </c>
      <c r="FY18">
        <v>0.2032042083417627</v>
      </c>
      <c r="FZ18">
        <v>0.1951982178385985</v>
      </c>
      <c r="GA18">
        <v>0.17133981834254169</v>
      </c>
      <c r="GB18">
        <v>0.16719667304596769</v>
      </c>
      <c r="GC18">
        <v>0.19440342361984489</v>
      </c>
      <c r="GD18">
        <v>0.2082590334741207</v>
      </c>
      <c r="GE18">
        <v>0.5005232992486357</v>
      </c>
      <c r="GF18">
        <v>0.2236872379849007</v>
      </c>
      <c r="GG18">
        <v>0.23047102877414161</v>
      </c>
      <c r="GH18">
        <v>0.21473710119958209</v>
      </c>
      <c r="GI18">
        <v>0.20530106099288201</v>
      </c>
      <c r="GJ18">
        <v>0.20983490118527581</v>
      </c>
      <c r="GK18">
        <v>0.19478243945828819</v>
      </c>
      <c r="GL18">
        <v>0.19378387164453079</v>
      </c>
      <c r="GM18">
        <v>0.1914466884174286</v>
      </c>
      <c r="GN18">
        <v>0.16002927612899071</v>
      </c>
      <c r="GO18">
        <v>0.24692087276949551</v>
      </c>
      <c r="GP18">
        <v>0.13432890696732161</v>
      </c>
      <c r="GQ18">
        <v>0</v>
      </c>
      <c r="GR18">
        <v>0.44819789291954559</v>
      </c>
      <c r="GS18">
        <v>0.60191718704284103</v>
      </c>
      <c r="GT18">
        <v>0.50503696989449265</v>
      </c>
      <c r="GU18">
        <v>0.60669458745954363</v>
      </c>
      <c r="GV18">
        <v>0.53431199355119374</v>
      </c>
      <c r="GW18">
        <v>0.4729274213651824</v>
      </c>
      <c r="GX18">
        <v>0.36710662702547658</v>
      </c>
      <c r="GY18">
        <v>0.72843192633218157</v>
      </c>
      <c r="GZ18">
        <v>0.35793906643129553</v>
      </c>
      <c r="HA18">
        <v>0.87195610041970961</v>
      </c>
      <c r="HB18">
        <v>0.14568712348349219</v>
      </c>
      <c r="HC18">
        <v>0.16984815762660729</v>
      </c>
    </row>
    <row r="19" spans="1:211" x14ac:dyDescent="0.45">
      <c r="A19" s="1" t="s">
        <v>4</v>
      </c>
      <c r="B19">
        <v>0.3121692841673408</v>
      </c>
      <c r="C19">
        <v>0.12780915243573129</v>
      </c>
      <c r="D19">
        <v>7.8582170833536802E-2</v>
      </c>
      <c r="E19">
        <v>0.26328366948035947</v>
      </c>
      <c r="F19">
        <v>0.15013577657156041</v>
      </c>
      <c r="G19">
        <v>8.5829221747305579E-3</v>
      </c>
      <c r="H19">
        <v>0.13902132711100479</v>
      </c>
      <c r="I19">
        <v>2.3688908377557799E-2</v>
      </c>
      <c r="J19">
        <v>5.3337183482329884</v>
      </c>
      <c r="K19">
        <v>1.8648702702694151</v>
      </c>
      <c r="L19">
        <v>1.5634212803144969</v>
      </c>
      <c r="M19">
        <v>2.838457560997298</v>
      </c>
      <c r="N19">
        <v>4.3046595553447249</v>
      </c>
      <c r="O19">
        <v>4.0289016486300486</v>
      </c>
      <c r="P19">
        <v>20.44329934662272</v>
      </c>
      <c r="Q19">
        <v>0</v>
      </c>
      <c r="R19">
        <v>0</v>
      </c>
      <c r="S19">
        <v>0.62449621490961782</v>
      </c>
      <c r="T19">
        <v>1.542071281893493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0.19554048630459939</v>
      </c>
      <c r="AD19">
        <v>49.124864928732528</v>
      </c>
      <c r="AE19">
        <v>0.2426514779631653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2.4181003401528959E-2</v>
      </c>
      <c r="AO19">
        <v>0.87637632296345791</v>
      </c>
      <c r="AP19">
        <v>1.478431043241803E-2</v>
      </c>
      <c r="AQ19">
        <v>0.19098130184004811</v>
      </c>
      <c r="AR19">
        <v>2.21851723770919</v>
      </c>
      <c r="AS19">
        <v>0.63571767216006536</v>
      </c>
      <c r="AT19">
        <v>0.54772114259727445</v>
      </c>
      <c r="AU19">
        <v>0.70205551819706236</v>
      </c>
      <c r="AV19">
        <v>0.44731727506684371</v>
      </c>
      <c r="AW19">
        <v>1.3870338637406281</v>
      </c>
      <c r="AX19">
        <v>6.7491201757271635E-2</v>
      </c>
      <c r="AY19">
        <v>7.7598640998044681</v>
      </c>
      <c r="AZ19">
        <v>1.1933656047131149</v>
      </c>
      <c r="BA19">
        <v>0.74578111209255016</v>
      </c>
      <c r="BB19">
        <v>1.224582752596193</v>
      </c>
      <c r="BC19">
        <v>0.14602675040979191</v>
      </c>
      <c r="BD19">
        <v>0.1341790885751501</v>
      </c>
      <c r="BE19">
        <v>9.962252746347397E-2</v>
      </c>
      <c r="BF19">
        <v>0.17897843160394861</v>
      </c>
      <c r="BG19">
        <v>0.77450882319233705</v>
      </c>
      <c r="BH19">
        <v>0.16898448417524509</v>
      </c>
      <c r="BI19">
        <v>0.9954853721158009</v>
      </c>
      <c r="BJ19">
        <v>1.2080046034377061</v>
      </c>
      <c r="BK19">
        <v>0.50721624651079067</v>
      </c>
      <c r="BL19">
        <v>0.11129126905604859</v>
      </c>
      <c r="BM19">
        <v>0.76532370604013833</v>
      </c>
      <c r="BN19">
        <v>0</v>
      </c>
      <c r="BO19">
        <v>17.114469784085571</v>
      </c>
      <c r="BP19">
        <v>2.3462705920807769</v>
      </c>
      <c r="BQ19">
        <v>0</v>
      </c>
      <c r="BR19">
        <v>0</v>
      </c>
      <c r="BS19">
        <v>0.60463426470519077</v>
      </c>
      <c r="BT19">
        <v>0</v>
      </c>
      <c r="BU19">
        <v>1.0466542393600691</v>
      </c>
      <c r="BV19">
        <v>0.36099227998866518</v>
      </c>
      <c r="BW19">
        <v>3.0824604913094402E-3</v>
      </c>
      <c r="BX19">
        <v>0.61292045387083804</v>
      </c>
      <c r="BY19">
        <v>0.58841932798245267</v>
      </c>
      <c r="BZ19">
        <v>0</v>
      </c>
      <c r="CA19">
        <v>0.32282791975847558</v>
      </c>
      <c r="CB19">
        <v>0.661525911278248</v>
      </c>
      <c r="CC19">
        <v>1.1181101642612541</v>
      </c>
      <c r="CD19">
        <v>0.1223133147921848</v>
      </c>
      <c r="CE19">
        <v>0.1362172246617</v>
      </c>
      <c r="CF19">
        <v>0.20485914671265529</v>
      </c>
      <c r="CG19">
        <v>0.1303064907449327</v>
      </c>
      <c r="CH19">
        <v>4.980661518242303E-4</v>
      </c>
      <c r="CI19">
        <v>0.35112475409349042</v>
      </c>
      <c r="CJ19">
        <v>0.33148940344987587</v>
      </c>
      <c r="CK19">
        <v>0.20660487687300491</v>
      </c>
      <c r="CL19">
        <v>0.48802319862663412</v>
      </c>
      <c r="CM19">
        <v>3.665029632622641</v>
      </c>
      <c r="CN19">
        <v>0</v>
      </c>
      <c r="CO19">
        <v>0.79398100707322117</v>
      </c>
      <c r="CP19">
        <v>1.502715735546398</v>
      </c>
      <c r="CQ19">
        <v>0.62502223083370556</v>
      </c>
      <c r="CR19">
        <v>0</v>
      </c>
      <c r="CS19">
        <v>1.776443496865389</v>
      </c>
      <c r="CT19">
        <v>0.16162783364925451</v>
      </c>
      <c r="CU19">
        <v>1.5022861874209139</v>
      </c>
      <c r="CV19">
        <v>1.4460438914869289</v>
      </c>
      <c r="CW19">
        <v>3.925896641487344</v>
      </c>
      <c r="CX19">
        <v>3.470928870312624</v>
      </c>
      <c r="CY19">
        <v>0.76046227708069902</v>
      </c>
      <c r="CZ19">
        <v>1.2186380337194109</v>
      </c>
      <c r="DA19">
        <v>0.19193520617849161</v>
      </c>
      <c r="DB19">
        <v>0.48396936859563933</v>
      </c>
      <c r="DC19">
        <v>0</v>
      </c>
      <c r="DD19">
        <v>0.50823773318790422</v>
      </c>
      <c r="DE19">
        <v>0.16424258750950371</v>
      </c>
      <c r="DF19">
        <v>0.65437170563519809</v>
      </c>
      <c r="DG19">
        <v>7.5125154182046155E-2</v>
      </c>
      <c r="DH19">
        <v>0.1658437623189204</v>
      </c>
      <c r="DI19">
        <v>0</v>
      </c>
      <c r="DJ19">
        <v>0.39940246933458012</v>
      </c>
      <c r="DK19">
        <v>0</v>
      </c>
      <c r="DL19">
        <v>0.85011371110737743</v>
      </c>
      <c r="DM19">
        <v>0.19397254863385019</v>
      </c>
      <c r="DN19">
        <v>0.1247102254107012</v>
      </c>
      <c r="DO19">
        <v>0.10997248267245879</v>
      </c>
      <c r="DP19">
        <v>0.50385708449599853</v>
      </c>
      <c r="DQ19">
        <v>0.1125601930255615</v>
      </c>
      <c r="DR19">
        <v>0.34171280365577039</v>
      </c>
      <c r="DS19">
        <v>0.13692093591693469</v>
      </c>
      <c r="DT19">
        <v>9.1780773470014121E-2</v>
      </c>
      <c r="DU19">
        <v>0.12804006522496111</v>
      </c>
      <c r="DV19">
        <v>0</v>
      </c>
      <c r="DW19">
        <v>0</v>
      </c>
      <c r="DX19">
        <v>3.1080743215856148</v>
      </c>
      <c r="DY19">
        <v>0.53339310437704868</v>
      </c>
      <c r="DZ19">
        <v>0.14483980137318669</v>
      </c>
      <c r="EA19">
        <v>0.1580701523507588</v>
      </c>
      <c r="EB19">
        <v>8.6423913619685905E-2</v>
      </c>
      <c r="EC19">
        <v>0.51034465814090046</v>
      </c>
      <c r="ED19">
        <v>0.15847033056827281</v>
      </c>
      <c r="EE19">
        <v>2.1410888990112949E-2</v>
      </c>
      <c r="EF19">
        <v>0</v>
      </c>
      <c r="EG19">
        <v>0.20053674294149679</v>
      </c>
      <c r="EH19">
        <v>0</v>
      </c>
      <c r="EI19">
        <v>0</v>
      </c>
      <c r="EJ19">
        <v>5.590652238412766E-2</v>
      </c>
      <c r="EK19">
        <v>5.284194923380716E-2</v>
      </c>
      <c r="EL19">
        <v>2.2360429812357752E-2</v>
      </c>
      <c r="EM19">
        <v>4.5869706692280757E-2</v>
      </c>
      <c r="EN19">
        <v>2.593207460345739E-9</v>
      </c>
      <c r="EO19">
        <v>0</v>
      </c>
      <c r="EP19">
        <v>9.514017891973639E-2</v>
      </c>
      <c r="EQ19">
        <v>0.20524584562410411</v>
      </c>
      <c r="ER19">
        <v>2.0313750320129329</v>
      </c>
      <c r="ES19">
        <v>0.16796276088748749</v>
      </c>
      <c r="ET19">
        <v>0.53892918778801691</v>
      </c>
      <c r="EU19">
        <v>0</v>
      </c>
      <c r="EV19">
        <v>3.0576398607753519E-2</v>
      </c>
      <c r="EW19">
        <v>8.3152199003876909E-2</v>
      </c>
      <c r="EX19">
        <v>5.1990950368731872E-2</v>
      </c>
      <c r="EY19">
        <v>8.7859445115831547E-2</v>
      </c>
      <c r="EZ19">
        <v>0.14373897378194719</v>
      </c>
      <c r="FA19">
        <v>9.2166329371876243E-2</v>
      </c>
      <c r="FB19">
        <v>0.11889773594313489</v>
      </c>
      <c r="FC19">
        <v>0.126806115834978</v>
      </c>
      <c r="FD19">
        <v>0.1130331465402527</v>
      </c>
      <c r="FE19">
        <v>1.8242027119461679</v>
      </c>
      <c r="FF19">
        <v>0.16620692865854969</v>
      </c>
      <c r="FG19">
        <v>9.7616554200706668E-2</v>
      </c>
      <c r="FH19">
        <v>6.2431999292378929E-2</v>
      </c>
      <c r="FI19">
        <v>9.7791820775182239E-2</v>
      </c>
      <c r="FJ19">
        <v>8.4820504859580328E-2</v>
      </c>
      <c r="FK19">
        <v>0.1205159760622161</v>
      </c>
      <c r="FL19">
        <v>0.2745708142294373</v>
      </c>
      <c r="FM19">
        <v>7.527830836748528E-2</v>
      </c>
      <c r="FN19">
        <v>5.5899033518833859E-2</v>
      </c>
      <c r="FO19">
        <v>0.26315169944299421</v>
      </c>
      <c r="FP19">
        <v>6.020861160563775E-2</v>
      </c>
      <c r="FQ19">
        <v>0.123069169833648</v>
      </c>
      <c r="FR19">
        <v>7.5567873360074367E-2</v>
      </c>
      <c r="FS19">
        <v>7.1607155611420864E-2</v>
      </c>
      <c r="FT19">
        <v>0.1153418462053276</v>
      </c>
      <c r="FU19">
        <v>0.113224959643701</v>
      </c>
      <c r="FV19">
        <v>0.1048113693077035</v>
      </c>
      <c r="FW19">
        <v>0.11304805462866351</v>
      </c>
      <c r="FX19">
        <v>0.10838352743138829</v>
      </c>
      <c r="FY19">
        <v>0.10596614328163211</v>
      </c>
      <c r="FZ19">
        <v>0.1092935655888688</v>
      </c>
      <c r="GA19">
        <v>8.5666901893793737E-2</v>
      </c>
      <c r="GB19">
        <v>7.8508126586053245E-2</v>
      </c>
      <c r="GC19">
        <v>0.1009549359262306</v>
      </c>
      <c r="GD19">
        <v>0.10743621254688181</v>
      </c>
      <c r="GE19">
        <v>4.2653477549435041E-2</v>
      </c>
      <c r="GF19">
        <v>0.1125354597854089</v>
      </c>
      <c r="GG19">
        <v>0.1177238127024184</v>
      </c>
      <c r="GH19">
        <v>0.1082606875445315</v>
      </c>
      <c r="GI19">
        <v>0.1026794648128523</v>
      </c>
      <c r="GJ19">
        <v>9.3895567319511014E-2</v>
      </c>
      <c r="GK19">
        <v>0.1106424477294381</v>
      </c>
      <c r="GL19">
        <v>9.0124794039416839E-2</v>
      </c>
      <c r="GM19">
        <v>9.8252467641184851E-2</v>
      </c>
      <c r="GN19">
        <v>6.8520951834543847E-2</v>
      </c>
      <c r="GO19">
        <v>0.13844382315357431</v>
      </c>
      <c r="GP19">
        <v>1.7330618707839179E-2</v>
      </c>
      <c r="GQ19">
        <v>0</v>
      </c>
      <c r="GR19">
        <v>0.26376505383666082</v>
      </c>
      <c r="GS19">
        <v>2.21851723770919</v>
      </c>
      <c r="GT19">
        <v>0.87403069452802573</v>
      </c>
      <c r="GU19">
        <v>1.436992131751164</v>
      </c>
      <c r="GV19">
        <v>1.4291351935230321</v>
      </c>
      <c r="GW19">
        <v>1.1638226736403141</v>
      </c>
      <c r="GX19">
        <v>0.31076333298480729</v>
      </c>
      <c r="GY19">
        <v>0.32491314553694722</v>
      </c>
      <c r="GZ19">
        <v>0.1150617836375251</v>
      </c>
      <c r="HA19">
        <v>0.85680936876927138</v>
      </c>
      <c r="HB19">
        <v>0.14373897378194719</v>
      </c>
      <c r="HC19">
        <v>9.0463154916465657E-2</v>
      </c>
    </row>
    <row r="20" spans="1:211" x14ac:dyDescent="0.45">
      <c r="A20" s="1" t="s">
        <v>5</v>
      </c>
      <c r="B20">
        <v>3.104340098076126</v>
      </c>
      <c r="C20">
        <v>3.251753220837807</v>
      </c>
      <c r="D20">
        <v>2.6331825236068398</v>
      </c>
      <c r="E20">
        <v>2.5039353496947401</v>
      </c>
      <c r="F20">
        <v>3.002672096534309</v>
      </c>
      <c r="G20">
        <v>4.7114101955415908</v>
      </c>
      <c r="H20">
        <v>17.36491439472864</v>
      </c>
      <c r="I20">
        <v>2.0427156840695702</v>
      </c>
      <c r="J20">
        <v>42.037125213480657</v>
      </c>
      <c r="K20">
        <v>3.0962394199773202</v>
      </c>
      <c r="L20">
        <v>3.1233667594118399</v>
      </c>
      <c r="M20">
        <v>7.6360294534257216</v>
      </c>
      <c r="N20">
        <v>3.1825966752526011</v>
      </c>
      <c r="O20">
        <v>0</v>
      </c>
      <c r="P20">
        <v>65.415547020717426</v>
      </c>
      <c r="Q20">
        <v>0</v>
      </c>
      <c r="R20">
        <v>0</v>
      </c>
      <c r="S20">
        <v>15.336852040032721</v>
      </c>
      <c r="T20">
        <v>6.6101057484039263</v>
      </c>
      <c r="U20">
        <v>0.55429855863754129</v>
      </c>
      <c r="V20">
        <v>1.1845188976357639</v>
      </c>
      <c r="W20">
        <v>2.393205806679076</v>
      </c>
      <c r="X20">
        <v>0</v>
      </c>
      <c r="Y20">
        <v>0.47327815349138319</v>
      </c>
      <c r="Z20">
        <v>54.848212540771073</v>
      </c>
      <c r="AA20">
        <v>15.76476134675433</v>
      </c>
      <c r="AB20">
        <v>0</v>
      </c>
      <c r="AC20">
        <v>1.538190877467849</v>
      </c>
      <c r="AD20">
        <v>0.483166269382025</v>
      </c>
      <c r="AE20">
        <v>20.637865783637899</v>
      </c>
      <c r="AF20">
        <v>0</v>
      </c>
      <c r="AG20">
        <v>161.77992884990701</v>
      </c>
      <c r="AH20">
        <v>3.3652562087929903E-2</v>
      </c>
      <c r="AI20">
        <v>6251.8225697222306</v>
      </c>
      <c r="AJ20">
        <v>16.938798562697229</v>
      </c>
      <c r="AK20">
        <v>0.48370029265544012</v>
      </c>
      <c r="AL20">
        <v>79.897573465655256</v>
      </c>
      <c r="AM20">
        <v>1.161243305853928</v>
      </c>
      <c r="AN20">
        <v>0.35210219619636701</v>
      </c>
      <c r="AO20">
        <v>9.7272572933214949</v>
      </c>
      <c r="AP20">
        <v>5.7925742024928004</v>
      </c>
      <c r="AQ20">
        <v>1.31003467206591</v>
      </c>
      <c r="AR20">
        <v>5.9172192786255184</v>
      </c>
      <c r="AS20">
        <v>1.303972570158674</v>
      </c>
      <c r="AT20">
        <v>2.008230112538401</v>
      </c>
      <c r="AU20">
        <v>1.288521228134246</v>
      </c>
      <c r="AV20">
        <v>1.710733694464821</v>
      </c>
      <c r="AW20">
        <v>2.4733371854267459</v>
      </c>
      <c r="AX20">
        <v>1.3456359570604399</v>
      </c>
      <c r="AY20">
        <v>4.9342011601817788</v>
      </c>
      <c r="AZ20">
        <v>1.6880064910068331</v>
      </c>
      <c r="BA20">
        <v>1.0430316937120461</v>
      </c>
      <c r="BB20">
        <v>1.9323075131019409</v>
      </c>
      <c r="BC20">
        <v>0.76051468571737468</v>
      </c>
      <c r="BD20">
        <v>1.354112373729319</v>
      </c>
      <c r="BE20">
        <v>2.0127577497936562</v>
      </c>
      <c r="BF20">
        <v>2.4259016342321291</v>
      </c>
      <c r="BG20">
        <v>2.8168672794266061</v>
      </c>
      <c r="BH20">
        <v>0</v>
      </c>
      <c r="BI20">
        <v>8.4839129375152211</v>
      </c>
      <c r="BJ20">
        <v>0</v>
      </c>
      <c r="BK20">
        <v>1.343058453170259</v>
      </c>
      <c r="BL20">
        <v>0.44196307186441508</v>
      </c>
      <c r="BM20">
        <v>2.7441432265503369</v>
      </c>
      <c r="BN20">
        <v>0</v>
      </c>
      <c r="BO20">
        <v>0</v>
      </c>
      <c r="BP20">
        <v>31.428815396464071</v>
      </c>
      <c r="BQ20">
        <v>0.1105475404301566</v>
      </c>
      <c r="BR20">
        <v>0</v>
      </c>
      <c r="BS20">
        <v>2.147527879616125</v>
      </c>
      <c r="BT20">
        <v>0.52523221997183578</v>
      </c>
      <c r="BU20">
        <v>1.084247713233198</v>
      </c>
      <c r="BV20">
        <v>7.2489502879189862</v>
      </c>
      <c r="BW20">
        <v>0</v>
      </c>
      <c r="BX20">
        <v>1.220072368650204</v>
      </c>
      <c r="BY20">
        <v>0.56776089547958908</v>
      </c>
      <c r="BZ20">
        <v>0</v>
      </c>
      <c r="CA20">
        <v>1.0784567764884561</v>
      </c>
      <c r="CB20">
        <v>0</v>
      </c>
      <c r="CC20">
        <v>0</v>
      </c>
      <c r="CD20">
        <v>0.70318336229058109</v>
      </c>
      <c r="CE20">
        <v>0</v>
      </c>
      <c r="CF20">
        <v>0.45937961353454138</v>
      </c>
      <c r="CG20">
        <v>0.42831510183867039</v>
      </c>
      <c r="CH20">
        <v>0</v>
      </c>
      <c r="CI20">
        <v>3.3375488684962091</v>
      </c>
      <c r="CJ20">
        <v>0</v>
      </c>
      <c r="CK20">
        <v>3.7511920674550008</v>
      </c>
      <c r="CL20">
        <v>17.661356020826979</v>
      </c>
      <c r="CM20">
        <v>2.3527329179370531</v>
      </c>
      <c r="CN20">
        <v>0</v>
      </c>
      <c r="CO20">
        <v>18.41364755043449</v>
      </c>
      <c r="CP20">
        <v>0</v>
      </c>
      <c r="CQ20">
        <v>0</v>
      </c>
      <c r="CR20">
        <v>0</v>
      </c>
      <c r="CS20">
        <v>3.8845644616039898</v>
      </c>
      <c r="CT20">
        <v>0</v>
      </c>
      <c r="CU20">
        <v>5.287845898683079</v>
      </c>
      <c r="CV20">
        <v>4.4207058916139559</v>
      </c>
      <c r="CW20">
        <v>5.3948453419904201</v>
      </c>
      <c r="CX20">
        <v>0</v>
      </c>
      <c r="CY20">
        <v>6.8439146892099583</v>
      </c>
      <c r="CZ20">
        <v>2.038182620051272</v>
      </c>
      <c r="DA20">
        <v>0</v>
      </c>
      <c r="DB20">
        <v>1.774172529654354</v>
      </c>
      <c r="DC20">
        <v>0</v>
      </c>
      <c r="DD20">
        <v>2.3436096382582332</v>
      </c>
      <c r="DE20">
        <v>0</v>
      </c>
      <c r="DF20">
        <v>4.6227362177315277</v>
      </c>
      <c r="DG20">
        <v>0</v>
      </c>
      <c r="DH20">
        <v>5.0580394140722582</v>
      </c>
      <c r="DI20">
        <v>0</v>
      </c>
      <c r="DJ20">
        <v>3.3937992606076128</v>
      </c>
      <c r="DK20">
        <v>0</v>
      </c>
      <c r="DL20">
        <v>0</v>
      </c>
      <c r="DM20">
        <v>1.174887577315928</v>
      </c>
      <c r="DN20">
        <v>0.41382942929847771</v>
      </c>
      <c r="DO20">
        <v>1.996514577886723</v>
      </c>
      <c r="DP20">
        <v>0.75209138800028064</v>
      </c>
      <c r="DQ20">
        <v>0.2786980407048929</v>
      </c>
      <c r="DR20">
        <v>0.1800503056357082</v>
      </c>
      <c r="DS20">
        <v>0.7897341914354491</v>
      </c>
      <c r="DT20">
        <v>0.69893637646763307</v>
      </c>
      <c r="DU20">
        <v>1.197771690132075</v>
      </c>
      <c r="DV20">
        <v>0</v>
      </c>
      <c r="DW20">
        <v>0</v>
      </c>
      <c r="DX20">
        <v>1.514071695889565</v>
      </c>
      <c r="DY20">
        <v>3.022876011165367</v>
      </c>
      <c r="DZ20">
        <v>3.9914398161799851</v>
      </c>
      <c r="EA20">
        <v>2.1375514147509431</v>
      </c>
      <c r="EB20">
        <v>1.1557025254736</v>
      </c>
      <c r="EC20">
        <v>0.30936892188097531</v>
      </c>
      <c r="ED20">
        <v>0.69747292226509705</v>
      </c>
      <c r="EE20">
        <v>2.7117500546781179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2.322206197622529</v>
      </c>
      <c r="EU20">
        <v>0</v>
      </c>
      <c r="EV20">
        <v>0.64036778838057651</v>
      </c>
      <c r="EW20">
        <v>1.494940622101427</v>
      </c>
      <c r="EX20">
        <v>0.75282907953858191</v>
      </c>
      <c r="EY20">
        <v>0.72506626635504445</v>
      </c>
      <c r="EZ20">
        <v>0.78310293009628196</v>
      </c>
      <c r="FA20">
        <v>1.825116496040077</v>
      </c>
      <c r="FB20">
        <v>0.54096153514716538</v>
      </c>
      <c r="FC20">
        <v>2.5188248203872061</v>
      </c>
      <c r="FD20">
        <v>1.100581265198801</v>
      </c>
      <c r="FE20">
        <v>1.8184330102829831</v>
      </c>
      <c r="FF20">
        <v>1.0659502901333899</v>
      </c>
      <c r="FG20">
        <v>0.67247604703384645</v>
      </c>
      <c r="FH20">
        <v>0.40284919669343688</v>
      </c>
      <c r="FI20">
        <v>0.22823615390416749</v>
      </c>
      <c r="FJ20">
        <v>0.30725893510770791</v>
      </c>
      <c r="FK20">
        <v>0.26203660445500088</v>
      </c>
      <c r="FL20">
        <v>0.37134648475563142</v>
      </c>
      <c r="FM20">
        <v>0.39344588118482698</v>
      </c>
      <c r="FN20">
        <v>0.39849049074825271</v>
      </c>
      <c r="FO20">
        <v>1.4747380592957331</v>
      </c>
      <c r="FP20">
        <v>0.4013543486463706</v>
      </c>
      <c r="FQ20">
        <v>0.69321638828993737</v>
      </c>
      <c r="FR20">
        <v>0.527785248266333</v>
      </c>
      <c r="FS20">
        <v>0.85592783029849384</v>
      </c>
      <c r="FT20">
        <v>0.6668641673189144</v>
      </c>
      <c r="FU20">
        <v>0.3536094448440964</v>
      </c>
      <c r="FV20">
        <v>0.52666446874492701</v>
      </c>
      <c r="FW20">
        <v>0.51713631238378632</v>
      </c>
      <c r="FX20">
        <v>0.54185904845954946</v>
      </c>
      <c r="FY20">
        <v>0.48569711828270168</v>
      </c>
      <c r="FZ20">
        <v>0.65127148564731407</v>
      </c>
      <c r="GA20">
        <v>1.2313160063150059</v>
      </c>
      <c r="GB20">
        <v>0.41001132940882701</v>
      </c>
      <c r="GC20">
        <v>0.56770160052620777</v>
      </c>
      <c r="GD20">
        <v>0.63492668144200048</v>
      </c>
      <c r="GE20">
        <v>0.23795684119677979</v>
      </c>
      <c r="GF20">
        <v>0.6100313132530798</v>
      </c>
      <c r="GG20">
        <v>0.97222223066049773</v>
      </c>
      <c r="GH20">
        <v>0.37298695338110438</v>
      </c>
      <c r="GI20">
        <v>0.38817777479716747</v>
      </c>
      <c r="GJ20">
        <v>0.34056405423232189</v>
      </c>
      <c r="GK20">
        <v>0.44991344517081161</v>
      </c>
      <c r="GL20">
        <v>0.34042942495265283</v>
      </c>
      <c r="GM20">
        <v>0.31745040003312369</v>
      </c>
      <c r="GN20">
        <v>1.1122329020657471</v>
      </c>
      <c r="GO20">
        <v>0.70581008459176076</v>
      </c>
      <c r="GP20">
        <v>1.554249277672989</v>
      </c>
      <c r="GQ20">
        <v>0</v>
      </c>
      <c r="GR20">
        <v>2.4861932020589999</v>
      </c>
      <c r="GS20">
        <v>5.9172192786255184</v>
      </c>
      <c r="GT20">
        <v>1.700607954490807</v>
      </c>
      <c r="GU20">
        <v>2.9175857352948671</v>
      </c>
      <c r="GV20">
        <v>2.4733371854267472</v>
      </c>
      <c r="GW20">
        <v>1.647506991766005</v>
      </c>
      <c r="GX20">
        <v>1.557315570351864</v>
      </c>
      <c r="GY20">
        <v>1.0311770961634741</v>
      </c>
      <c r="GZ20">
        <v>1.9845529561807129</v>
      </c>
      <c r="HA20">
        <v>1.1823408440769529</v>
      </c>
      <c r="HB20">
        <v>0</v>
      </c>
      <c r="HC20">
        <v>0.63828803042539317</v>
      </c>
    </row>
    <row r="21" spans="1:211" x14ac:dyDescent="0.45">
      <c r="A21" s="1" t="s">
        <v>6</v>
      </c>
      <c r="B21">
        <v>12.589531046076591</v>
      </c>
      <c r="C21">
        <v>393.41683792647649</v>
      </c>
      <c r="D21">
        <v>6.1707335051997774</v>
      </c>
      <c r="E21">
        <v>6666.4130958942833</v>
      </c>
      <c r="F21">
        <v>709.18679688875659</v>
      </c>
      <c r="G21">
        <v>0</v>
      </c>
      <c r="H21">
        <v>18.17377665812187</v>
      </c>
      <c r="I21">
        <v>418.35490823388932</v>
      </c>
      <c r="J21">
        <v>0</v>
      </c>
      <c r="K21">
        <v>0</v>
      </c>
      <c r="L21">
        <v>37.6718724459</v>
      </c>
      <c r="M21">
        <v>134.96855356699999</v>
      </c>
      <c r="N21">
        <v>358.93550539300003</v>
      </c>
      <c r="O21">
        <v>0</v>
      </c>
      <c r="P21">
        <v>0</v>
      </c>
      <c r="Q21">
        <v>0</v>
      </c>
      <c r="R21">
        <v>0</v>
      </c>
      <c r="S21">
        <v>324.71811889076042</v>
      </c>
      <c r="T21">
        <v>191.524540960959</v>
      </c>
      <c r="U21">
        <v>6.3533008602000001</v>
      </c>
      <c r="V21">
        <v>0</v>
      </c>
      <c r="W21">
        <v>14.903983972800001</v>
      </c>
      <c r="X21">
        <v>0</v>
      </c>
      <c r="Y21">
        <v>14.5218305376</v>
      </c>
      <c r="Z21">
        <v>0</v>
      </c>
      <c r="AA21">
        <v>0</v>
      </c>
      <c r="AB21">
        <v>0</v>
      </c>
      <c r="AC21">
        <v>0</v>
      </c>
      <c r="AD21">
        <v>10172.62054431125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1038.4943145499999</v>
      </c>
      <c r="AS21">
        <v>596.45047547599995</v>
      </c>
      <c r="AT21">
        <v>892.77666270999998</v>
      </c>
      <c r="AU21">
        <v>2166.4317380399998</v>
      </c>
      <c r="AV21">
        <v>152.52438610900001</v>
      </c>
      <c r="AW21">
        <v>1806.0386160099999</v>
      </c>
      <c r="AX21">
        <v>130.97256975400001</v>
      </c>
      <c r="AY21">
        <v>92.726657253900001</v>
      </c>
      <c r="AZ21">
        <v>11484.836648500001</v>
      </c>
      <c r="BA21">
        <v>1737.93637934</v>
      </c>
      <c r="BB21">
        <v>1549.8190821000001</v>
      </c>
      <c r="BC21">
        <v>1749.27710897</v>
      </c>
      <c r="BD21">
        <v>5191.81852316</v>
      </c>
      <c r="BE21">
        <v>10896.3904117</v>
      </c>
      <c r="BF21">
        <v>6719.8629984099998</v>
      </c>
      <c r="BG21">
        <v>627.28953437057316</v>
      </c>
      <c r="BH21">
        <v>64.052776141426875</v>
      </c>
      <c r="BI21">
        <v>0</v>
      </c>
      <c r="BJ21">
        <v>0</v>
      </c>
      <c r="BK21">
        <v>1766.04037623</v>
      </c>
      <c r="BL21">
        <v>1559.8370236600001</v>
      </c>
      <c r="BM21">
        <v>0.1066507278430744</v>
      </c>
      <c r="BN21">
        <v>0</v>
      </c>
      <c r="BO21">
        <v>0</v>
      </c>
      <c r="BP21">
        <v>262.48153199278192</v>
      </c>
      <c r="BQ21">
        <v>0.26273048669999999</v>
      </c>
      <c r="BR21">
        <v>0</v>
      </c>
      <c r="BS21">
        <v>52.290447045240562</v>
      </c>
      <c r="BT21">
        <v>157.13671563599999</v>
      </c>
      <c r="BU21">
        <v>7198.1551780506543</v>
      </c>
      <c r="BV21">
        <v>1.056828588528105</v>
      </c>
      <c r="BW21">
        <v>0</v>
      </c>
      <c r="BX21">
        <v>612.42607809052072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2378.0362296804178</v>
      </c>
      <c r="CJ21">
        <v>286.21616942958212</v>
      </c>
      <c r="CK21">
        <v>1.6789142170569999</v>
      </c>
      <c r="CL21">
        <v>44.522949826820003</v>
      </c>
      <c r="CM21">
        <v>6643.3333910300007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895.25021162600001</v>
      </c>
      <c r="CV21">
        <v>0.112600342789</v>
      </c>
      <c r="CW21">
        <v>0.91886879222690554</v>
      </c>
      <c r="CX21">
        <v>5.55902005850945E-2</v>
      </c>
      <c r="CY21">
        <v>791.25578928899995</v>
      </c>
      <c r="CZ21">
        <v>6.1700262321527496E-3</v>
      </c>
      <c r="DA21">
        <v>3.9625614194724822E-4</v>
      </c>
      <c r="DB21">
        <v>5.4250360592692362</v>
      </c>
      <c r="DC21">
        <v>3.0458495076355003E-4</v>
      </c>
      <c r="DD21">
        <v>1.3261887457802539</v>
      </c>
      <c r="DE21">
        <v>0.102340521859746</v>
      </c>
      <c r="DF21">
        <v>0</v>
      </c>
      <c r="DG21">
        <v>0</v>
      </c>
      <c r="DH21">
        <v>0</v>
      </c>
      <c r="DI21">
        <v>0</v>
      </c>
      <c r="DJ21">
        <v>7.4935930203748713</v>
      </c>
      <c r="DK21">
        <v>6.0997008595128847E-2</v>
      </c>
      <c r="DL21">
        <v>0</v>
      </c>
      <c r="DM21">
        <v>2010.42848448</v>
      </c>
      <c r="DN21">
        <v>520.47413446200005</v>
      </c>
      <c r="DO21">
        <v>1803.7615754999999</v>
      </c>
      <c r="DP21">
        <v>2577.2612739800002</v>
      </c>
      <c r="DQ21">
        <v>4696.7749308100001</v>
      </c>
      <c r="DR21">
        <v>4669.9064481400001</v>
      </c>
      <c r="DS21">
        <v>29014.020956100001</v>
      </c>
      <c r="DT21">
        <v>2813.8265550279998</v>
      </c>
      <c r="DU21">
        <v>10799.400247</v>
      </c>
      <c r="DV21">
        <v>0</v>
      </c>
      <c r="DW21">
        <v>0</v>
      </c>
      <c r="DX21">
        <v>63.361211080935377</v>
      </c>
      <c r="DY21">
        <v>50.540358367452967</v>
      </c>
      <c r="DZ21">
        <v>20.421948832948161</v>
      </c>
      <c r="EA21">
        <v>34.973120821718787</v>
      </c>
      <c r="EB21">
        <v>7.7745748429250057</v>
      </c>
      <c r="EC21">
        <v>7.7841592984684684</v>
      </c>
      <c r="ED21">
        <v>4.4869937232399604</v>
      </c>
      <c r="EE21">
        <v>2.2862877476796539</v>
      </c>
      <c r="EF21">
        <v>0</v>
      </c>
      <c r="EG21">
        <v>4.9947555776570151E-3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107.8362040536</v>
      </c>
      <c r="EY21">
        <v>0</v>
      </c>
      <c r="EZ21">
        <v>0</v>
      </c>
      <c r="FA21">
        <v>1317.5141081675199</v>
      </c>
      <c r="FB21">
        <v>5070.0672428300004</v>
      </c>
      <c r="FC21">
        <v>0.66543467202200002</v>
      </c>
      <c r="FD21">
        <v>3107.3829579702092</v>
      </c>
      <c r="FE21">
        <v>243.82395424985501</v>
      </c>
      <c r="FF21">
        <v>8077.9817955548197</v>
      </c>
      <c r="FG21">
        <v>854.20888969679993</v>
      </c>
      <c r="FH21">
        <v>2604.55483714</v>
      </c>
      <c r="FI21">
        <v>1220.2376179299999</v>
      </c>
      <c r="FJ21">
        <v>1145.74717822</v>
      </c>
      <c r="FK21">
        <v>0</v>
      </c>
      <c r="FL21">
        <v>0</v>
      </c>
      <c r="FM21">
        <v>0</v>
      </c>
      <c r="FN21">
        <v>1.81215275413</v>
      </c>
      <c r="FO21">
        <v>1038.6668066899999</v>
      </c>
      <c r="FP21">
        <v>652.78120585600004</v>
      </c>
      <c r="FQ21">
        <v>1267.5185599075201</v>
      </c>
      <c r="FR21">
        <v>1024.3292228667999</v>
      </c>
      <c r="FS21">
        <v>1545.727142509</v>
      </c>
      <c r="FT21">
        <v>7.1772939881199997</v>
      </c>
      <c r="FU21">
        <v>7.47894238651</v>
      </c>
      <c r="FV21">
        <v>3.4561336392499999</v>
      </c>
      <c r="FW21">
        <v>12.452825049199999</v>
      </c>
      <c r="FX21">
        <v>1.4328711332499999</v>
      </c>
      <c r="FY21">
        <v>2.5196803371600001</v>
      </c>
      <c r="FZ21">
        <v>7.2681283026200001</v>
      </c>
      <c r="GA21">
        <v>0.63557573159500003</v>
      </c>
      <c r="GB21">
        <v>4.31870936057E-2</v>
      </c>
      <c r="GC21">
        <v>6.2167013558799988</v>
      </c>
      <c r="GD21">
        <v>8.3376501952699993</v>
      </c>
      <c r="GE21">
        <v>0</v>
      </c>
      <c r="GF21">
        <v>2.8579230598600001</v>
      </c>
      <c r="GG21">
        <v>5.4780863341700003</v>
      </c>
      <c r="GH21">
        <v>6.6187806119300001</v>
      </c>
      <c r="GI21">
        <v>4.2866716676400003</v>
      </c>
      <c r="GJ21">
        <v>0.91095341557300002</v>
      </c>
      <c r="GK21">
        <v>10.798532357499999</v>
      </c>
      <c r="GL21">
        <v>0.47988633069100001</v>
      </c>
      <c r="GM21">
        <v>1.5981500333700001</v>
      </c>
      <c r="GN21">
        <v>95.863337095600002</v>
      </c>
      <c r="GO21">
        <v>2481.46822075</v>
      </c>
      <c r="GP21">
        <v>262.19233730575002</v>
      </c>
      <c r="GQ21">
        <v>0</v>
      </c>
      <c r="GR21">
        <v>6818.9374820032835</v>
      </c>
      <c r="GS21">
        <v>1038.4943145499999</v>
      </c>
      <c r="GT21">
        <v>3828.2993022389001</v>
      </c>
      <c r="GU21">
        <v>2356.4986623639588</v>
      </c>
      <c r="GV21">
        <v>1806.0386160099999</v>
      </c>
      <c r="GW21">
        <v>17903.873458744751</v>
      </c>
      <c r="GX21">
        <v>26463.523517716021</v>
      </c>
      <c r="GY21">
        <v>58120.83281466164</v>
      </c>
      <c r="GZ21">
        <v>22808.071933269999</v>
      </c>
      <c r="HA21">
        <v>52451.491819216943</v>
      </c>
      <c r="HB21">
        <v>0</v>
      </c>
      <c r="HC21">
        <v>14392.991685798401</v>
      </c>
    </row>
    <row r="22" spans="1:211" x14ac:dyDescent="0.45">
      <c r="A22" s="1" t="s">
        <v>7</v>
      </c>
      <c r="B22">
        <v>111.1237859411297</v>
      </c>
      <c r="C22">
        <v>6143.0077963115054</v>
      </c>
      <c r="D22">
        <v>370.68346562429832</v>
      </c>
      <c r="E22">
        <v>10280.107604815599</v>
      </c>
      <c r="F22">
        <v>726.07848723778375</v>
      </c>
      <c r="G22">
        <v>0</v>
      </c>
      <c r="H22">
        <v>514.07430814345184</v>
      </c>
      <c r="I22">
        <v>0</v>
      </c>
      <c r="J22">
        <v>0</v>
      </c>
      <c r="K22">
        <v>0</v>
      </c>
      <c r="L22">
        <v>3117.9127895699999</v>
      </c>
      <c r="M22">
        <v>1889.7566549799999</v>
      </c>
      <c r="N22">
        <v>139.24546536700001</v>
      </c>
      <c r="O22">
        <v>137.460607966</v>
      </c>
      <c r="P22">
        <v>0</v>
      </c>
      <c r="Q22">
        <v>0</v>
      </c>
      <c r="R22">
        <v>0</v>
      </c>
      <c r="S22">
        <v>4983.7269113496177</v>
      </c>
      <c r="T22">
        <v>235.5104379290872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7.5170467887461898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5050.4413716326299</v>
      </c>
      <c r="AS22">
        <v>2108.0791581456701</v>
      </c>
      <c r="AT22">
        <v>8018.0444478146992</v>
      </c>
      <c r="AU22">
        <v>15949.9837150327</v>
      </c>
      <c r="AV22">
        <v>26.960627056900002</v>
      </c>
      <c r="AW22">
        <v>8488.2230403558297</v>
      </c>
      <c r="AX22">
        <v>26.83840954758</v>
      </c>
      <c r="AY22">
        <v>662.143368282305</v>
      </c>
      <c r="AZ22">
        <v>23360.725289119</v>
      </c>
      <c r="BA22">
        <v>7010.4418690136599</v>
      </c>
      <c r="BB22">
        <v>2468.4934124624001</v>
      </c>
      <c r="BC22">
        <v>874.53301648599995</v>
      </c>
      <c r="BD22">
        <v>2215.3406393403002</v>
      </c>
      <c r="BE22">
        <v>3273.5352910359002</v>
      </c>
      <c r="BF22">
        <v>128.12948849290001</v>
      </c>
      <c r="BG22">
        <v>710.2622544142647</v>
      </c>
      <c r="BH22">
        <v>438.23633378573538</v>
      </c>
      <c r="BI22">
        <v>0</v>
      </c>
      <c r="BJ22">
        <v>0</v>
      </c>
      <c r="BK22">
        <v>1585.4834509899999</v>
      </c>
      <c r="BL22">
        <v>5484.6488585699999</v>
      </c>
      <c r="BM22">
        <v>0.72930991165692571</v>
      </c>
      <c r="BN22">
        <v>0</v>
      </c>
      <c r="BO22">
        <v>0</v>
      </c>
      <c r="BP22">
        <v>4666.4618214472184</v>
      </c>
      <c r="BQ22">
        <v>0</v>
      </c>
      <c r="BR22">
        <v>0</v>
      </c>
      <c r="BS22">
        <v>43.24791175475945</v>
      </c>
      <c r="BT22">
        <v>0</v>
      </c>
      <c r="BU22">
        <v>7435.9329311493466</v>
      </c>
      <c r="BV22">
        <v>2.1437064312718959</v>
      </c>
      <c r="BW22">
        <v>0</v>
      </c>
      <c r="BX22">
        <v>301.73270808747918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37588.165323314177</v>
      </c>
      <c r="CJ22">
        <v>1908.1984372858201</v>
      </c>
      <c r="CK22">
        <v>8.0925708148400002</v>
      </c>
      <c r="CL22">
        <v>43.787168113900002</v>
      </c>
      <c r="CM22">
        <v>9071.7807908699997</v>
      </c>
      <c r="CN22">
        <v>0</v>
      </c>
      <c r="CO22">
        <v>0</v>
      </c>
      <c r="CP22">
        <v>347.92681815999998</v>
      </c>
      <c r="CQ22">
        <v>984.28394153700003</v>
      </c>
      <c r="CR22">
        <v>0</v>
      </c>
      <c r="CS22">
        <v>0</v>
      </c>
      <c r="CT22">
        <v>0</v>
      </c>
      <c r="CU22">
        <v>689.76229474199999</v>
      </c>
      <c r="CV22">
        <v>7.7309901311899996</v>
      </c>
      <c r="CW22">
        <v>50.515630950077558</v>
      </c>
      <c r="CX22">
        <v>11.094501610822441</v>
      </c>
      <c r="CY22">
        <v>967.10634446200015</v>
      </c>
      <c r="CZ22">
        <v>4.0624645841598698E-3</v>
      </c>
      <c r="DA22">
        <v>1.8210031991701299E-3</v>
      </c>
      <c r="DB22">
        <v>0</v>
      </c>
      <c r="DC22">
        <v>0</v>
      </c>
      <c r="DD22">
        <v>0.46723417790522082</v>
      </c>
      <c r="DE22">
        <v>0.26654030710377918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0.14561557168100001</v>
      </c>
      <c r="DM22">
        <v>3671.05667554</v>
      </c>
      <c r="DN22">
        <v>310.99962491299999</v>
      </c>
      <c r="DO22">
        <v>0</v>
      </c>
      <c r="DP22">
        <v>1938.44845799</v>
      </c>
      <c r="DQ22">
        <v>1956.93538405</v>
      </c>
      <c r="DR22">
        <v>2869.1544762899998</v>
      </c>
      <c r="DS22">
        <v>26547.7846919</v>
      </c>
      <c r="DT22">
        <v>1501.0289734744999</v>
      </c>
      <c r="DU22">
        <v>7391.2707397499989</v>
      </c>
      <c r="DV22">
        <v>0</v>
      </c>
      <c r="DW22">
        <v>0</v>
      </c>
      <c r="DX22">
        <v>160.53293276706461</v>
      </c>
      <c r="DY22">
        <v>458.08197929454701</v>
      </c>
      <c r="DZ22">
        <v>10186.75299786705</v>
      </c>
      <c r="EA22">
        <v>1235.3526669582809</v>
      </c>
      <c r="EB22">
        <v>488.06950732907501</v>
      </c>
      <c r="EC22">
        <v>36.951677209631541</v>
      </c>
      <c r="ED22">
        <v>213.02996467476001</v>
      </c>
      <c r="EE22">
        <v>167.10322240432029</v>
      </c>
      <c r="EF22">
        <v>0</v>
      </c>
      <c r="EG22">
        <v>11.36406994162234</v>
      </c>
      <c r="EH22">
        <v>0</v>
      </c>
      <c r="EI22">
        <v>0</v>
      </c>
      <c r="EJ22">
        <v>2459.8227431700002</v>
      </c>
      <c r="EK22">
        <v>9539.4035679999997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8925.8146115100008</v>
      </c>
      <c r="ER22">
        <v>1377.8064414299999</v>
      </c>
      <c r="ES22">
        <v>5628.20353823</v>
      </c>
      <c r="ET22">
        <v>8796.4664476500002</v>
      </c>
      <c r="EU22">
        <v>0</v>
      </c>
      <c r="EV22">
        <v>30296.038247430999</v>
      </c>
      <c r="EW22">
        <v>769.05730232869996</v>
      </c>
      <c r="EX22">
        <v>9886.4385954099998</v>
      </c>
      <c r="EY22">
        <v>7198.7452669800005</v>
      </c>
      <c r="EZ22">
        <v>83954.164852629998</v>
      </c>
      <c r="FA22">
        <v>15294.563008583</v>
      </c>
      <c r="FB22">
        <v>30950.3724516</v>
      </c>
      <c r="FC22">
        <v>308.12175901199998</v>
      </c>
      <c r="FD22">
        <v>1190.0860007440001</v>
      </c>
      <c r="FE22">
        <v>749.58537190106574</v>
      </c>
      <c r="FF22">
        <v>11302.3998226312</v>
      </c>
      <c r="FG22">
        <v>16771.579081532</v>
      </c>
      <c r="FH22">
        <v>42904.638546299997</v>
      </c>
      <c r="FI22">
        <v>13529.354277</v>
      </c>
      <c r="FJ22">
        <v>31909.8454513</v>
      </c>
      <c r="FK22">
        <v>0</v>
      </c>
      <c r="FL22">
        <v>242143.13257310001</v>
      </c>
      <c r="FM22">
        <v>3328.271032657</v>
      </c>
      <c r="FN22">
        <v>70.890308732400001</v>
      </c>
      <c r="FO22">
        <v>11126.0696009</v>
      </c>
      <c r="FP22">
        <v>15846.2651147</v>
      </c>
      <c r="FQ22">
        <v>186753.73804475501</v>
      </c>
      <c r="FR22">
        <v>130808.66813279</v>
      </c>
      <c r="FS22">
        <v>258670.86586419999</v>
      </c>
      <c r="FT22">
        <v>767.06281134100004</v>
      </c>
      <c r="FU22">
        <v>804.795130685</v>
      </c>
      <c r="FV22">
        <v>332.70708407199999</v>
      </c>
      <c r="FW22">
        <v>949.25281436</v>
      </c>
      <c r="FX22">
        <v>167.74187124900001</v>
      </c>
      <c r="FY22">
        <v>222.57871309000001</v>
      </c>
      <c r="FZ22">
        <v>919.98164076199998</v>
      </c>
      <c r="GA22">
        <v>70.537428166500007</v>
      </c>
      <c r="GB22">
        <v>6.1009405066999998</v>
      </c>
      <c r="GC22">
        <v>773.51984684800004</v>
      </c>
      <c r="GD22">
        <v>479.80123612099999</v>
      </c>
      <c r="GE22">
        <v>1.8890696923700001</v>
      </c>
      <c r="GF22">
        <v>266.24321473499998</v>
      </c>
      <c r="GG22">
        <v>472.33991311599999</v>
      </c>
      <c r="GH22">
        <v>460.33404258299998</v>
      </c>
      <c r="GI22">
        <v>317.56515019599999</v>
      </c>
      <c r="GJ22">
        <v>84.577913012400003</v>
      </c>
      <c r="GK22">
        <v>1333.3558007900001</v>
      </c>
      <c r="GL22">
        <v>52.302272047400002</v>
      </c>
      <c r="GM22">
        <v>192.22371685499999</v>
      </c>
      <c r="GN22">
        <v>22590.5100676</v>
      </c>
      <c r="GO22">
        <v>71885.084968099996</v>
      </c>
      <c r="GP22">
        <v>11238.476071223</v>
      </c>
      <c r="GQ22">
        <v>0</v>
      </c>
      <c r="GR22">
        <v>10307.068231872499</v>
      </c>
      <c r="GS22">
        <v>5050.4413716326299</v>
      </c>
      <c r="GT22">
        <v>31083.776765543069</v>
      </c>
      <c r="GU22">
        <v>8862.9789436519168</v>
      </c>
      <c r="GV22">
        <v>8625.6836483218303</v>
      </c>
      <c r="GW22">
        <v>35754.451946233312</v>
      </c>
      <c r="GX22">
        <v>348068.80637080298</v>
      </c>
      <c r="GY22">
        <v>115961.4466882009</v>
      </c>
      <c r="GZ22">
        <v>5617.0054188691001</v>
      </c>
      <c r="HA22">
        <v>76311.734081727249</v>
      </c>
      <c r="HB22">
        <v>83954.164852629998</v>
      </c>
      <c r="HC22">
        <v>879887.65012239758</v>
      </c>
    </row>
    <row r="23" spans="1:211" x14ac:dyDescent="0.45">
      <c r="A23" s="1" t="s">
        <v>8</v>
      </c>
      <c r="B23">
        <v>33.042378047772623</v>
      </c>
      <c r="C23">
        <v>1379.1339829923279</v>
      </c>
      <c r="D23">
        <v>51.541812898192077</v>
      </c>
      <c r="E23">
        <v>4612.3634155671571</v>
      </c>
      <c r="F23">
        <v>271.09675442389067</v>
      </c>
      <c r="G23">
        <v>0</v>
      </c>
      <c r="H23">
        <v>73.35565809246107</v>
      </c>
      <c r="I23">
        <v>0</v>
      </c>
      <c r="J23">
        <v>0</v>
      </c>
      <c r="K23">
        <v>0</v>
      </c>
      <c r="L23">
        <v>1675.4290935784641</v>
      </c>
      <c r="M23">
        <v>948.10473031719141</v>
      </c>
      <c r="N23">
        <v>87.573450776461669</v>
      </c>
      <c r="O23">
        <v>102.05462533649769</v>
      </c>
      <c r="P23">
        <v>0</v>
      </c>
      <c r="Q23">
        <v>0</v>
      </c>
      <c r="R23">
        <v>0</v>
      </c>
      <c r="S23">
        <v>1820.786835209323</v>
      </c>
      <c r="T23">
        <v>782.7963025647864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252.21623864954071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3039.9474637378999</v>
      </c>
      <c r="AS23">
        <v>705.5600320879563</v>
      </c>
      <c r="AT23">
        <v>3473.1346986178451</v>
      </c>
      <c r="AU23">
        <v>8896.2278759452511</v>
      </c>
      <c r="AV23">
        <v>7.2428481360838806</v>
      </c>
      <c r="AW23">
        <v>4506.751600540274</v>
      </c>
      <c r="AX23">
        <v>3.1409776783905681</v>
      </c>
      <c r="AY23">
        <v>169.59429349450329</v>
      </c>
      <c r="AZ23">
        <v>11283.297464870209</v>
      </c>
      <c r="BA23">
        <v>3473.8607501416218</v>
      </c>
      <c r="BB23">
        <v>1328.0757764171781</v>
      </c>
      <c r="BC23">
        <v>273.79670809141248</v>
      </c>
      <c r="BD23">
        <v>925.43867764450692</v>
      </c>
      <c r="BE23">
        <v>1033.464361119693</v>
      </c>
      <c r="BF23">
        <v>51.642637005333462</v>
      </c>
      <c r="BG23">
        <v>537.35935329368374</v>
      </c>
      <c r="BH23">
        <v>164.848278324235</v>
      </c>
      <c r="BI23">
        <v>0</v>
      </c>
      <c r="BJ23">
        <v>0</v>
      </c>
      <c r="BK23">
        <v>1066.4799910535639</v>
      </c>
      <c r="BL23">
        <v>1292.722740305649</v>
      </c>
      <c r="BM23">
        <v>0.66472812718133434</v>
      </c>
      <c r="BN23">
        <v>0</v>
      </c>
      <c r="BO23">
        <v>0</v>
      </c>
      <c r="BP23">
        <v>18327.909451053529</v>
      </c>
      <c r="BQ23">
        <v>0</v>
      </c>
      <c r="BR23">
        <v>0</v>
      </c>
      <c r="BS23">
        <v>43.780389983134988</v>
      </c>
      <c r="BT23">
        <v>0</v>
      </c>
      <c r="BU23">
        <v>13023.07525564579</v>
      </c>
      <c r="BV23">
        <v>1.2955441151886971</v>
      </c>
      <c r="BW23">
        <v>0</v>
      </c>
      <c r="BX23">
        <v>309.61717365587771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24774.927940372861</v>
      </c>
      <c r="CJ23">
        <v>973.56443342317698</v>
      </c>
      <c r="CK23">
        <v>2.8800546708426071</v>
      </c>
      <c r="CL23">
        <v>21.487326533760481</v>
      </c>
      <c r="CM23">
        <v>11997.02852233597</v>
      </c>
      <c r="CN23">
        <v>0</v>
      </c>
      <c r="CO23">
        <v>0</v>
      </c>
      <c r="CP23">
        <v>188.37552172304211</v>
      </c>
      <c r="CQ23">
        <v>221.04682252628419</v>
      </c>
      <c r="CR23">
        <v>0</v>
      </c>
      <c r="CS23">
        <v>0</v>
      </c>
      <c r="CT23">
        <v>0</v>
      </c>
      <c r="CU23">
        <v>595.56040279127535</v>
      </c>
      <c r="CV23">
        <v>7.1417293149945849</v>
      </c>
      <c r="CW23">
        <v>60.34188838270299</v>
      </c>
      <c r="CX23">
        <v>11.61029710136701</v>
      </c>
      <c r="CY23">
        <v>502.90228032645558</v>
      </c>
      <c r="CZ23">
        <v>2.3562724020304978E-3</v>
      </c>
      <c r="DA23">
        <v>6.7592362834593348E-4</v>
      </c>
      <c r="DB23">
        <v>0</v>
      </c>
      <c r="DC23">
        <v>0</v>
      </c>
      <c r="DD23">
        <v>0.3765870958775559</v>
      </c>
      <c r="DE23">
        <v>0.18520650540152089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9.4832804955188713E-2</v>
      </c>
      <c r="DM23">
        <v>1676.6966131113979</v>
      </c>
      <c r="DN23">
        <v>116.41680716907</v>
      </c>
      <c r="DO23">
        <v>0</v>
      </c>
      <c r="DP23">
        <v>853.53051172087157</v>
      </c>
      <c r="DQ23">
        <v>662.78486193696176</v>
      </c>
      <c r="DR23">
        <v>990.68557259841293</v>
      </c>
      <c r="DS23">
        <v>11427.108488956779</v>
      </c>
      <c r="DT23">
        <v>585.58148930708614</v>
      </c>
      <c r="DU23">
        <v>2649.0351445753649</v>
      </c>
      <c r="DV23">
        <v>0</v>
      </c>
      <c r="DW23">
        <v>0</v>
      </c>
      <c r="DX23">
        <v>1194.1512607584691</v>
      </c>
      <c r="DY23">
        <v>269.63087512323239</v>
      </c>
      <c r="DZ23">
        <v>3421.1119958345098</v>
      </c>
      <c r="EA23">
        <v>490.73110806627278</v>
      </c>
      <c r="EB23">
        <v>95.131633611732354</v>
      </c>
      <c r="EC23">
        <v>76.300328666859471</v>
      </c>
      <c r="ED23">
        <v>76.212726230458756</v>
      </c>
      <c r="EE23">
        <v>7.2240970857845914</v>
      </c>
      <c r="EF23">
        <v>0</v>
      </c>
      <c r="EG23">
        <v>5.439587107908415</v>
      </c>
      <c r="EH23">
        <v>0</v>
      </c>
      <c r="EI23">
        <v>0</v>
      </c>
      <c r="EJ23">
        <v>371.37473498337158</v>
      </c>
      <c r="EK23">
        <v>1321.333951828791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4111.4256786189426</v>
      </c>
      <c r="ER23">
        <v>3761.792715315235</v>
      </c>
      <c r="ES23">
        <v>1314.4896605135809</v>
      </c>
      <c r="ET23">
        <v>4001.8724437995379</v>
      </c>
      <c r="EU23">
        <v>0</v>
      </c>
      <c r="EV23">
        <v>2887.014971947292</v>
      </c>
      <c r="EW23">
        <v>125.79056364480471</v>
      </c>
      <c r="EX23">
        <v>1174.402863389354</v>
      </c>
      <c r="EY23">
        <v>963.59974039017686</v>
      </c>
      <c r="EZ23">
        <v>12231.04078183857</v>
      </c>
      <c r="FA23">
        <v>6229.5134082439336</v>
      </c>
      <c r="FB23">
        <v>10081.1667894373</v>
      </c>
      <c r="FC23">
        <v>332.9273162437218</v>
      </c>
      <c r="FD23">
        <v>1504.0609301956549</v>
      </c>
      <c r="FE23">
        <v>3588.4230930239969</v>
      </c>
      <c r="FF23">
        <v>9207.7472613137597</v>
      </c>
      <c r="FG23">
        <v>3962.2894849011818</v>
      </c>
      <c r="FH23">
        <v>5797.021638158024</v>
      </c>
      <c r="FI23">
        <v>2630.213790199994</v>
      </c>
      <c r="FJ23">
        <v>6086.3255375392127</v>
      </c>
      <c r="FK23">
        <v>0</v>
      </c>
      <c r="FL23">
        <v>63490.529852546177</v>
      </c>
      <c r="FM23">
        <v>532.73055353989923</v>
      </c>
      <c r="FN23">
        <v>10.336304545604211</v>
      </c>
      <c r="FO23">
        <v>7240.5526875562809</v>
      </c>
      <c r="FP23">
        <v>2131.6381233523962</v>
      </c>
      <c r="FQ23">
        <v>42136.086801765763</v>
      </c>
      <c r="FR23">
        <v>15362.166589894459</v>
      </c>
      <c r="FS23">
        <v>32457.217172268662</v>
      </c>
      <c r="FT23">
        <v>153.44206977963881</v>
      </c>
      <c r="FU23">
        <v>161.79068599238479</v>
      </c>
      <c r="FV23">
        <v>69.398549713538884</v>
      </c>
      <c r="FW23">
        <v>196.70194833059799</v>
      </c>
      <c r="FX23">
        <v>33.345688600057159</v>
      </c>
      <c r="FY23">
        <v>45.228931187181793</v>
      </c>
      <c r="FZ23">
        <v>179.5787767209722</v>
      </c>
      <c r="GA23">
        <v>12.08587012839819</v>
      </c>
      <c r="GB23">
        <v>1.020056955171621</v>
      </c>
      <c r="GC23">
        <v>150.37490646514931</v>
      </c>
      <c r="GD23">
        <v>99.922941694247811</v>
      </c>
      <c r="GE23">
        <v>0.94552339493563775</v>
      </c>
      <c r="GF23">
        <v>59.555209336292947</v>
      </c>
      <c r="GG23">
        <v>108.8606657069332</v>
      </c>
      <c r="GH23">
        <v>98.850797887758404</v>
      </c>
      <c r="GI23">
        <v>65.196462269602719</v>
      </c>
      <c r="GJ23">
        <v>17.747398019413811</v>
      </c>
      <c r="GK23">
        <v>259.7142955437356</v>
      </c>
      <c r="GL23">
        <v>10.1353367731507</v>
      </c>
      <c r="GM23">
        <v>36.800594027179187</v>
      </c>
      <c r="GN23">
        <v>3615.142973502705</v>
      </c>
      <c r="GO23">
        <v>17749.92791943259</v>
      </c>
      <c r="GP23">
        <v>1509.6522066257851</v>
      </c>
      <c r="GQ23">
        <v>0</v>
      </c>
      <c r="GR23">
        <v>4619.606263703241</v>
      </c>
      <c r="GS23">
        <v>3039.9474637378999</v>
      </c>
      <c r="GT23">
        <v>15698.45643054671</v>
      </c>
      <c r="GU23">
        <v>5377.1213538815218</v>
      </c>
      <c r="GV23">
        <v>4608.8062258767714</v>
      </c>
      <c r="GW23">
        <v>16909.26076125745</v>
      </c>
      <c r="GX23">
        <v>127778.3654795692</v>
      </c>
      <c r="GY23">
        <v>84470.019991352732</v>
      </c>
      <c r="GZ23">
        <v>2010.545675769534</v>
      </c>
      <c r="HA23">
        <v>66540.482066168741</v>
      </c>
      <c r="HB23">
        <v>12231.04078183857</v>
      </c>
      <c r="HC23">
        <v>149447.2962916941</v>
      </c>
    </row>
    <row r="24" spans="1:211" x14ac:dyDescent="0.45">
      <c r="A24" s="1" t="s">
        <v>9</v>
      </c>
      <c r="B24">
        <v>34.689432711207267</v>
      </c>
      <c r="C24">
        <v>785.13261985266297</v>
      </c>
      <c r="D24">
        <v>29.12911142085607</v>
      </c>
      <c r="E24">
        <v>2706.5844528488001</v>
      </c>
      <c r="F24">
        <v>109.0103575333484</v>
      </c>
      <c r="G24">
        <v>0</v>
      </c>
      <c r="H24">
        <v>71.467292551774321</v>
      </c>
      <c r="I24">
        <v>0</v>
      </c>
      <c r="J24">
        <v>0</v>
      </c>
      <c r="K24">
        <v>0</v>
      </c>
      <c r="L24">
        <v>4874.6112053784727</v>
      </c>
      <c r="M24">
        <v>5363.9940657729421</v>
      </c>
      <c r="N24">
        <v>599.40432303047953</v>
      </c>
      <c r="O24">
        <v>553.81527005590624</v>
      </c>
      <c r="P24">
        <v>0</v>
      </c>
      <c r="Q24">
        <v>0</v>
      </c>
      <c r="R24">
        <v>0</v>
      </c>
      <c r="S24">
        <v>3112.3185922810371</v>
      </c>
      <c r="T24">
        <v>363.17388291660552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369.27390816011922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11204.49124100663</v>
      </c>
      <c r="AS24">
        <v>1340.1431751455159</v>
      </c>
      <c r="AT24">
        <v>4391.6524663527998</v>
      </c>
      <c r="AU24">
        <v>11197.77408229199</v>
      </c>
      <c r="AV24">
        <v>12.05995422918593</v>
      </c>
      <c r="AW24">
        <v>11773.452799956969</v>
      </c>
      <c r="AX24">
        <v>1.8113565136200069</v>
      </c>
      <c r="AY24">
        <v>5138.142552457467</v>
      </c>
      <c r="AZ24">
        <v>27877.886061186458</v>
      </c>
      <c r="BA24">
        <v>5228.255133333183</v>
      </c>
      <c r="BB24">
        <v>3022.8744577987759</v>
      </c>
      <c r="BC24">
        <v>127.70521452352349</v>
      </c>
      <c r="BD24">
        <v>297.25238787017179</v>
      </c>
      <c r="BE24">
        <v>326.1178594338752</v>
      </c>
      <c r="BF24">
        <v>22.932414892675421</v>
      </c>
      <c r="BG24">
        <v>550.10438282432847</v>
      </c>
      <c r="BH24">
        <v>74.055140811633052</v>
      </c>
      <c r="BI24">
        <v>0</v>
      </c>
      <c r="BJ24">
        <v>0</v>
      </c>
      <c r="BK24">
        <v>804.18296491612296</v>
      </c>
      <c r="BL24">
        <v>610.39353179706347</v>
      </c>
      <c r="BM24">
        <v>0.55815816444108424</v>
      </c>
      <c r="BN24">
        <v>0</v>
      </c>
      <c r="BO24">
        <v>0</v>
      </c>
      <c r="BP24">
        <v>10948.78214072931</v>
      </c>
      <c r="BQ24">
        <v>0</v>
      </c>
      <c r="BR24">
        <v>0</v>
      </c>
      <c r="BS24">
        <v>26.149169323873959</v>
      </c>
      <c r="BT24">
        <v>0</v>
      </c>
      <c r="BU24">
        <v>7782.8507259846092</v>
      </c>
      <c r="BV24">
        <v>0.77386147225120649</v>
      </c>
      <c r="BW24">
        <v>0</v>
      </c>
      <c r="BX24">
        <v>184.93814838865489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13198.13530597415</v>
      </c>
      <c r="CJ24">
        <v>632.54756163986201</v>
      </c>
      <c r="CK24">
        <v>1.671964596786091</v>
      </c>
      <c r="CL24">
        <v>21.369153841747639</v>
      </c>
      <c r="CM24">
        <v>33248.345419195401</v>
      </c>
      <c r="CN24">
        <v>0</v>
      </c>
      <c r="CO24">
        <v>0</v>
      </c>
      <c r="CP24">
        <v>522.83510446762205</v>
      </c>
      <c r="CQ24">
        <v>615.19934491324841</v>
      </c>
      <c r="CR24">
        <v>0</v>
      </c>
      <c r="CS24">
        <v>0</v>
      </c>
      <c r="CT24">
        <v>0</v>
      </c>
      <c r="CU24">
        <v>1036.2203679946599</v>
      </c>
      <c r="CV24">
        <v>11.179351054353029</v>
      </c>
      <c r="CW24">
        <v>198.31914588952361</v>
      </c>
      <c r="CX24">
        <v>38.508225942733517</v>
      </c>
      <c r="CY24">
        <v>735.44789288876348</v>
      </c>
      <c r="CZ24">
        <v>4.9506738528953291E-3</v>
      </c>
      <c r="DA24">
        <v>3.4951462448441171E-4</v>
      </c>
      <c r="DB24">
        <v>0</v>
      </c>
      <c r="DC24">
        <v>0</v>
      </c>
      <c r="DD24">
        <v>0.23746603944646341</v>
      </c>
      <c r="DE24">
        <v>4.3777269714302437E-2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0.1237897940367572</v>
      </c>
      <c r="DM24">
        <v>712.08421953380321</v>
      </c>
      <c r="DN24">
        <v>38.784833325543772</v>
      </c>
      <c r="DO24">
        <v>0</v>
      </c>
      <c r="DP24">
        <v>976.7009884886055</v>
      </c>
      <c r="DQ24">
        <v>220.2730245672193</v>
      </c>
      <c r="DR24">
        <v>980.42682021455971</v>
      </c>
      <c r="DS24">
        <v>3634.9475265362198</v>
      </c>
      <c r="DT24">
        <v>137.76560018639091</v>
      </c>
      <c r="DU24">
        <v>946.37878761293666</v>
      </c>
      <c r="DV24">
        <v>0</v>
      </c>
      <c r="DW24">
        <v>0</v>
      </c>
      <c r="DX24">
        <v>498.94828610214353</v>
      </c>
      <c r="DY24">
        <v>244.3377689951013</v>
      </c>
      <c r="DZ24">
        <v>1475.447280848779</v>
      </c>
      <c r="EA24">
        <v>195.27238427301171</v>
      </c>
      <c r="EB24">
        <v>42.180876941810638</v>
      </c>
      <c r="EC24">
        <v>18.85809107328231</v>
      </c>
      <c r="ED24">
        <v>33.758928922956713</v>
      </c>
      <c r="EE24">
        <v>3.5778285447890581</v>
      </c>
      <c r="EF24">
        <v>0</v>
      </c>
      <c r="EG24">
        <v>2.2789135726523111</v>
      </c>
      <c r="EH24">
        <v>0</v>
      </c>
      <c r="EI24">
        <v>0</v>
      </c>
      <c r="EJ24">
        <v>137.52013525201991</v>
      </c>
      <c r="EK24">
        <v>504.08067906105492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1831.9863678233539</v>
      </c>
      <c r="ER24">
        <v>2798.841604067492</v>
      </c>
      <c r="ES24">
        <v>945.32860511783667</v>
      </c>
      <c r="ET24">
        <v>4740.6725180365574</v>
      </c>
      <c r="EU24">
        <v>0</v>
      </c>
      <c r="EV24">
        <v>926.34374168919669</v>
      </c>
      <c r="EW24">
        <v>63.948805848620793</v>
      </c>
      <c r="EX24">
        <v>514.00533833747647</v>
      </c>
      <c r="EY24">
        <v>632.4777646870815</v>
      </c>
      <c r="EZ24">
        <v>12067.48550063746</v>
      </c>
      <c r="FA24">
        <v>1409.643731847975</v>
      </c>
      <c r="FB24">
        <v>3679.9292110920142</v>
      </c>
      <c r="FC24">
        <v>39.071723464552839</v>
      </c>
      <c r="FD24">
        <v>134.5191653175998</v>
      </c>
      <c r="FE24">
        <v>1367.3956682571011</v>
      </c>
      <c r="FF24">
        <v>1878.5371609904689</v>
      </c>
      <c r="FG24">
        <v>1637.1837584438069</v>
      </c>
      <c r="FH24">
        <v>2678.6223633623749</v>
      </c>
      <c r="FI24">
        <v>1323.060188660329</v>
      </c>
      <c r="FJ24">
        <v>2706.6092011704491</v>
      </c>
      <c r="FK24">
        <v>0</v>
      </c>
      <c r="FL24">
        <v>66485.437070662651</v>
      </c>
      <c r="FM24">
        <v>250.54661312692241</v>
      </c>
      <c r="FN24">
        <v>3.9626997439929079</v>
      </c>
      <c r="FO24">
        <v>2927.8441235978712</v>
      </c>
      <c r="FP24">
        <v>954.08162169093907</v>
      </c>
      <c r="FQ24">
        <v>22983.62750449856</v>
      </c>
      <c r="FR24">
        <v>9884.9328678586699</v>
      </c>
      <c r="FS24">
        <v>18522.684944078741</v>
      </c>
      <c r="FT24">
        <v>88.474440815519813</v>
      </c>
      <c r="FU24">
        <v>91.122896193256182</v>
      </c>
      <c r="FV24">
        <v>34.871485059959532</v>
      </c>
      <c r="FW24">
        <v>107.3111840141818</v>
      </c>
      <c r="FX24">
        <v>18.1804557039084</v>
      </c>
      <c r="FY24">
        <v>23.58580780273622</v>
      </c>
      <c r="FZ24">
        <v>100.5480737951768</v>
      </c>
      <c r="GA24">
        <v>6.0427229385800789</v>
      </c>
      <c r="GB24">
        <v>0.47897340959398338</v>
      </c>
      <c r="GC24">
        <v>78.090646576207561</v>
      </c>
      <c r="GD24">
        <v>51.548027584152379</v>
      </c>
      <c r="GE24">
        <v>8.0575391712821964E-2</v>
      </c>
      <c r="GF24">
        <v>29.961802584948568</v>
      </c>
      <c r="GG24">
        <v>55.605655463544579</v>
      </c>
      <c r="GH24">
        <v>49.836079950189209</v>
      </c>
      <c r="GI24">
        <v>32.607419665338327</v>
      </c>
      <c r="GJ24">
        <v>7.9414911249995512</v>
      </c>
      <c r="GK24">
        <v>147.52574949365061</v>
      </c>
      <c r="GL24">
        <v>4.7137314960654733</v>
      </c>
      <c r="GM24">
        <v>18.886454520164161</v>
      </c>
      <c r="GN24">
        <v>1547.923252259797</v>
      </c>
      <c r="GO24">
        <v>9952.0459907032946</v>
      </c>
      <c r="GP24">
        <v>194.7697436475402</v>
      </c>
      <c r="GQ24">
        <v>0</v>
      </c>
      <c r="GR24">
        <v>2718.6444070779862</v>
      </c>
      <c r="GS24">
        <v>11204.49124100663</v>
      </c>
      <c r="GT24">
        <v>27168.174994941721</v>
      </c>
      <c r="GU24">
        <v>12736.031005904049</v>
      </c>
      <c r="GV24">
        <v>12327.268070012869</v>
      </c>
      <c r="GW24">
        <v>41611.841858609369</v>
      </c>
      <c r="GX24">
        <v>108167.02237583431</v>
      </c>
      <c r="GY24">
        <v>37677.39840447835</v>
      </c>
      <c r="GZ24">
        <v>646.30266219672251</v>
      </c>
      <c r="HA24">
        <v>65384.608708253218</v>
      </c>
      <c r="HB24">
        <v>12067.48550063746</v>
      </c>
      <c r="HC24">
        <v>79597.412802107385</v>
      </c>
    </row>
    <row r="25" spans="1:211" x14ac:dyDescent="0.45">
      <c r="A25" s="1" t="s">
        <v>10</v>
      </c>
      <c r="B25">
        <v>67.73181075897989</v>
      </c>
      <c r="C25">
        <v>2164.2666028449912</v>
      </c>
      <c r="D25">
        <v>80.670924319048154</v>
      </c>
      <c r="E25">
        <v>7318.9478684159567</v>
      </c>
      <c r="F25">
        <v>380.10711195723923</v>
      </c>
      <c r="G25">
        <v>0</v>
      </c>
      <c r="H25">
        <v>144.82295064423539</v>
      </c>
      <c r="I25">
        <v>0</v>
      </c>
      <c r="J25">
        <v>0</v>
      </c>
      <c r="K25">
        <v>0</v>
      </c>
      <c r="L25">
        <v>6550.0402989569366</v>
      </c>
      <c r="M25">
        <v>6312.0987960901339</v>
      </c>
      <c r="N25">
        <v>686.97777380694117</v>
      </c>
      <c r="O25">
        <v>655.86989539240392</v>
      </c>
      <c r="P25">
        <v>0</v>
      </c>
      <c r="Q25">
        <v>0</v>
      </c>
      <c r="R25">
        <v>0</v>
      </c>
      <c r="S25">
        <v>4933.1054274903599</v>
      </c>
      <c r="T25">
        <v>1145.970185481392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621.49014680965979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14244.438704744531</v>
      </c>
      <c r="AS25">
        <v>2045.7032072334721</v>
      </c>
      <c r="AT25">
        <v>7864.7871649706449</v>
      </c>
      <c r="AU25">
        <v>20094.001958237241</v>
      </c>
      <c r="AV25">
        <v>19.302802365269809</v>
      </c>
      <c r="AW25">
        <v>16280.204400497239</v>
      </c>
      <c r="AX25">
        <v>4.952334192010575</v>
      </c>
      <c r="AY25">
        <v>5307.7368459519703</v>
      </c>
      <c r="AZ25">
        <v>39161.183526056673</v>
      </c>
      <c r="BA25">
        <v>8702.1158834748057</v>
      </c>
      <c r="BB25">
        <v>4350.950234215954</v>
      </c>
      <c r="BC25">
        <v>401.50192261493601</v>
      </c>
      <c r="BD25">
        <v>1222.6910655146789</v>
      </c>
      <c r="BE25">
        <v>1359.582220553569</v>
      </c>
      <c r="BF25">
        <v>74.57505189800888</v>
      </c>
      <c r="BG25">
        <v>1087.4637361180121</v>
      </c>
      <c r="BH25">
        <v>238.90341913586801</v>
      </c>
      <c r="BI25">
        <v>0</v>
      </c>
      <c r="BJ25">
        <v>0</v>
      </c>
      <c r="BK25">
        <v>1870.6629559696869</v>
      </c>
      <c r="BL25">
        <v>1903.1162721027119</v>
      </c>
      <c r="BM25">
        <v>1.222886291622419</v>
      </c>
      <c r="BN25">
        <v>0</v>
      </c>
      <c r="BO25">
        <v>0</v>
      </c>
      <c r="BP25">
        <v>29276.691591782841</v>
      </c>
      <c r="BQ25">
        <v>0</v>
      </c>
      <c r="BR25">
        <v>0</v>
      </c>
      <c r="BS25">
        <v>69.929559307008944</v>
      </c>
      <c r="BT25">
        <v>0</v>
      </c>
      <c r="BU25">
        <v>20805.9259816304</v>
      </c>
      <c r="BV25">
        <v>2.069405587439904</v>
      </c>
      <c r="BW25">
        <v>0</v>
      </c>
      <c r="BX25">
        <v>494.55532204453249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37973.06324634701</v>
      </c>
      <c r="CJ25">
        <v>1606.1119950630391</v>
      </c>
      <c r="CK25">
        <v>4.5520192676286984</v>
      </c>
      <c r="CL25">
        <v>42.856480375508127</v>
      </c>
      <c r="CM25">
        <v>45245.373941531368</v>
      </c>
      <c r="CN25">
        <v>0</v>
      </c>
      <c r="CO25">
        <v>0</v>
      </c>
      <c r="CP25">
        <v>711.21062619066413</v>
      </c>
      <c r="CQ25">
        <v>836.24616743953266</v>
      </c>
      <c r="CR25">
        <v>0</v>
      </c>
      <c r="CS25">
        <v>0</v>
      </c>
      <c r="CT25">
        <v>0</v>
      </c>
      <c r="CU25">
        <v>1631.7807707859349</v>
      </c>
      <c r="CV25">
        <v>18.321080369347619</v>
      </c>
      <c r="CW25">
        <v>258.66103427222657</v>
      </c>
      <c r="CX25">
        <v>50.118523044100527</v>
      </c>
      <c r="CY25">
        <v>1238.350173215219</v>
      </c>
      <c r="CZ25">
        <v>7.3069462549258269E-3</v>
      </c>
      <c r="DA25">
        <v>1.025438252830345E-3</v>
      </c>
      <c r="DB25">
        <v>0</v>
      </c>
      <c r="DC25">
        <v>0</v>
      </c>
      <c r="DD25">
        <v>0.61405313532401928</v>
      </c>
      <c r="DE25">
        <v>0.22898377511582341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0.218622598991946</v>
      </c>
      <c r="DM25">
        <v>2388.7808326452009</v>
      </c>
      <c r="DN25">
        <v>155.2016404946138</v>
      </c>
      <c r="DO25">
        <v>0</v>
      </c>
      <c r="DP25">
        <v>1830.231500209477</v>
      </c>
      <c r="DQ25">
        <v>883.05788650418106</v>
      </c>
      <c r="DR25">
        <v>1971.112392812973</v>
      </c>
      <c r="DS25">
        <v>15062.056015493001</v>
      </c>
      <c r="DT25">
        <v>723.34708949347703</v>
      </c>
      <c r="DU25">
        <v>3595.4139321883022</v>
      </c>
      <c r="DV25">
        <v>0</v>
      </c>
      <c r="DW25">
        <v>0</v>
      </c>
      <c r="DX25">
        <v>1693.099546860612</v>
      </c>
      <c r="DY25">
        <v>513.96864411833371</v>
      </c>
      <c r="DZ25">
        <v>4896.5592766832888</v>
      </c>
      <c r="EA25">
        <v>686.00349233928455</v>
      </c>
      <c r="EB25">
        <v>137.31251055354301</v>
      </c>
      <c r="EC25">
        <v>95.158419740141781</v>
      </c>
      <c r="ED25">
        <v>109.9716551534155</v>
      </c>
      <c r="EE25">
        <v>10.801925630573651</v>
      </c>
      <c r="EF25">
        <v>0</v>
      </c>
      <c r="EG25">
        <v>7.7185006805607257</v>
      </c>
      <c r="EH25">
        <v>0</v>
      </c>
      <c r="EI25">
        <v>0</v>
      </c>
      <c r="EJ25">
        <v>508.89487023539152</v>
      </c>
      <c r="EK25">
        <v>1825.414630889846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5943.4120464422967</v>
      </c>
      <c r="ER25">
        <v>6560.634319382727</v>
      </c>
      <c r="ES25">
        <v>2259.818265631417</v>
      </c>
      <c r="ET25">
        <v>8742.5449618360944</v>
      </c>
      <c r="EU25">
        <v>0</v>
      </c>
      <c r="EV25">
        <v>3813.358713636489</v>
      </c>
      <c r="EW25">
        <v>189.7393694934255</v>
      </c>
      <c r="EX25">
        <v>1688.4082017268311</v>
      </c>
      <c r="EY25">
        <v>1596.0775050772579</v>
      </c>
      <c r="EZ25">
        <v>24298.526282476028</v>
      </c>
      <c r="FA25">
        <v>7639.1571400919092</v>
      </c>
      <c r="FB25">
        <v>13761.096000529309</v>
      </c>
      <c r="FC25">
        <v>371.99903970827472</v>
      </c>
      <c r="FD25">
        <v>1638.5800955132549</v>
      </c>
      <c r="FE25">
        <v>4955.818761281098</v>
      </c>
      <c r="FF25">
        <v>11086.28442230423</v>
      </c>
      <c r="FG25">
        <v>5599.4732433449881</v>
      </c>
      <c r="FH25">
        <v>8475.6440015203989</v>
      </c>
      <c r="FI25">
        <v>3953.273978860323</v>
      </c>
      <c r="FJ25">
        <v>8792.9347387096623</v>
      </c>
      <c r="FK25">
        <v>0</v>
      </c>
      <c r="FL25">
        <v>129975.96692320881</v>
      </c>
      <c r="FM25">
        <v>783.27716666682159</v>
      </c>
      <c r="FN25">
        <v>14.29900428959712</v>
      </c>
      <c r="FO25">
        <v>10168.396811154151</v>
      </c>
      <c r="FP25">
        <v>3085.719745043335</v>
      </c>
      <c r="FQ25">
        <v>65119.714306264323</v>
      </c>
      <c r="FR25">
        <v>25247.099457753131</v>
      </c>
      <c r="FS25">
        <v>50979.902116347403</v>
      </c>
      <c r="FT25">
        <v>241.91651059515871</v>
      </c>
      <c r="FU25">
        <v>252.91358218564099</v>
      </c>
      <c r="FV25">
        <v>104.27003477349839</v>
      </c>
      <c r="FW25">
        <v>304.01313234477982</v>
      </c>
      <c r="FX25">
        <v>51.526144303965552</v>
      </c>
      <c r="FY25">
        <v>68.814738989918013</v>
      </c>
      <c r="FZ25">
        <v>280.12685051614898</v>
      </c>
      <c r="GA25">
        <v>18.128593066978269</v>
      </c>
      <c r="GB25">
        <v>1.499030364765604</v>
      </c>
      <c r="GC25">
        <v>228.4655530413568</v>
      </c>
      <c r="GD25">
        <v>151.47096927840019</v>
      </c>
      <c r="GE25">
        <v>1.0260987866484601</v>
      </c>
      <c r="GF25">
        <v>89.517011921241519</v>
      </c>
      <c r="GG25">
        <v>164.46632117047781</v>
      </c>
      <c r="GH25">
        <v>148.68687783794761</v>
      </c>
      <c r="GI25">
        <v>97.803881934941046</v>
      </c>
      <c r="GJ25">
        <v>25.688889144413359</v>
      </c>
      <c r="GK25">
        <v>407.24004503738632</v>
      </c>
      <c r="GL25">
        <v>14.84906826921617</v>
      </c>
      <c r="GM25">
        <v>55.687048547343359</v>
      </c>
      <c r="GN25">
        <v>5163.0662257625027</v>
      </c>
      <c r="GO25">
        <v>27701.97391013589</v>
      </c>
      <c r="GP25">
        <v>1704.4219502733249</v>
      </c>
      <c r="GQ25">
        <v>0</v>
      </c>
      <c r="GR25">
        <v>7338.2506707812272</v>
      </c>
      <c r="GS25">
        <v>14244.438704744531</v>
      </c>
      <c r="GT25">
        <v>42866.631425488427</v>
      </c>
      <c r="GU25">
        <v>18113.15235978557</v>
      </c>
      <c r="GV25">
        <v>16936.074295889641</v>
      </c>
      <c r="GW25">
        <v>58521.102619866811</v>
      </c>
      <c r="GX25">
        <v>235945.3878554035</v>
      </c>
      <c r="GY25">
        <v>122147.4183958311</v>
      </c>
      <c r="GZ25">
        <v>2656.8483379662562</v>
      </c>
      <c r="HA25">
        <v>131925.09077442199</v>
      </c>
      <c r="HB25">
        <v>24298.526282476028</v>
      </c>
      <c r="HC25">
        <v>229044.7090938015</v>
      </c>
    </row>
    <row r="26" spans="1:211" x14ac:dyDescent="0.45">
      <c r="A26" s="1" t="s">
        <v>11</v>
      </c>
      <c r="B26">
        <v>39.082186042309822</v>
      </c>
      <c r="C26">
        <v>1279.294469859246</v>
      </c>
      <c r="D26">
        <v>16.248667623727229</v>
      </c>
      <c r="E26">
        <v>16692.267406477651</v>
      </c>
      <c r="F26">
        <v>2129.455406248414</v>
      </c>
      <c r="G26">
        <v>0</v>
      </c>
      <c r="H26">
        <v>315.5860758972039</v>
      </c>
      <c r="I26">
        <v>854.58013255685148</v>
      </c>
      <c r="J26">
        <v>0</v>
      </c>
      <c r="K26">
        <v>0</v>
      </c>
      <c r="L26">
        <v>117.66307416232689</v>
      </c>
      <c r="M26">
        <v>1030.623850323879</v>
      </c>
      <c r="N26">
        <v>1142.3469460938741</v>
      </c>
      <c r="O26">
        <v>0</v>
      </c>
      <c r="P26">
        <v>0</v>
      </c>
      <c r="Q26">
        <v>0</v>
      </c>
      <c r="R26">
        <v>0</v>
      </c>
      <c r="S26">
        <v>4980.1537441453456</v>
      </c>
      <c r="T26">
        <v>1265.9974691664579</v>
      </c>
      <c r="U26">
        <v>3.5216255093995108</v>
      </c>
      <c r="V26">
        <v>0</v>
      </c>
      <c r="W26">
        <v>35.66830098635684</v>
      </c>
      <c r="X26">
        <v>0</v>
      </c>
      <c r="Y26">
        <v>6.8728651421501086</v>
      </c>
      <c r="Z26">
        <v>0</v>
      </c>
      <c r="AA26">
        <v>0</v>
      </c>
      <c r="AB26">
        <v>0</v>
      </c>
      <c r="AC26">
        <v>0</v>
      </c>
      <c r="AD26">
        <v>4915.0671182338119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6144.9985787982523</v>
      </c>
      <c r="AS26">
        <v>777.75505947880254</v>
      </c>
      <c r="AT26">
        <v>1792.9009778257609</v>
      </c>
      <c r="AU26">
        <v>2791.4932837683091</v>
      </c>
      <c r="AV26">
        <v>260.92860654422839</v>
      </c>
      <c r="AW26">
        <v>4466.9424672941896</v>
      </c>
      <c r="AX26">
        <v>176.24139924958899</v>
      </c>
      <c r="AY26">
        <v>457.53197980197149</v>
      </c>
      <c r="AZ26">
        <v>19386.478810821161</v>
      </c>
      <c r="BA26">
        <v>1812.722725306782</v>
      </c>
      <c r="BB26">
        <v>2994.7270562905851</v>
      </c>
      <c r="BC26">
        <v>1330.350930760917</v>
      </c>
      <c r="BD26">
        <v>7030.3057043680355</v>
      </c>
      <c r="BE26">
        <v>21931.79424592646</v>
      </c>
      <c r="BF26">
        <v>16301.72662965883</v>
      </c>
      <c r="BG26">
        <v>1766.9913640952191</v>
      </c>
      <c r="BH26">
        <v>0</v>
      </c>
      <c r="BI26">
        <v>0</v>
      </c>
      <c r="BJ26">
        <v>0</v>
      </c>
      <c r="BK26">
        <v>2371.8954559356862</v>
      </c>
      <c r="BL26">
        <v>689.39036258461999</v>
      </c>
      <c r="BM26">
        <v>0.29266487241723599</v>
      </c>
      <c r="BN26">
        <v>0</v>
      </c>
      <c r="BO26">
        <v>0</v>
      </c>
      <c r="BP26">
        <v>8249.48361398222</v>
      </c>
      <c r="BQ26">
        <v>2.9044209100702972E-2</v>
      </c>
      <c r="BR26">
        <v>0</v>
      </c>
      <c r="BS26">
        <v>112.29519286724469</v>
      </c>
      <c r="BT26">
        <v>82.533265992579359</v>
      </c>
      <c r="BU26">
        <v>7804.5832912991218</v>
      </c>
      <c r="BV26">
        <v>7.660897901091821</v>
      </c>
      <c r="BW26">
        <v>0</v>
      </c>
      <c r="BX26">
        <v>747.20413571905658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7936.8121276128686</v>
      </c>
      <c r="CJ26">
        <v>0</v>
      </c>
      <c r="CK26">
        <v>6.2979296929616417</v>
      </c>
      <c r="CL26">
        <v>786.33566798888478</v>
      </c>
      <c r="CM26">
        <v>15629.98915390667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4733.9451598417027</v>
      </c>
      <c r="CV26">
        <v>0.4977729987650833</v>
      </c>
      <c r="CW26">
        <v>4.9571550236456847</v>
      </c>
      <c r="CX26">
        <v>0</v>
      </c>
      <c r="CY26">
        <v>5415.2871192374059</v>
      </c>
      <c r="CZ26">
        <v>1.2575640231634169E-2</v>
      </c>
      <c r="DA26">
        <v>0</v>
      </c>
      <c r="DB26">
        <v>9.6249499487397863</v>
      </c>
      <c r="DC26">
        <v>0</v>
      </c>
      <c r="DD26">
        <v>3.1080687267602021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25.431750451842611</v>
      </c>
      <c r="DK26">
        <v>0</v>
      </c>
      <c r="DL26">
        <v>0</v>
      </c>
      <c r="DM26">
        <v>2362.0274514976409</v>
      </c>
      <c r="DN26">
        <v>215.38751402902861</v>
      </c>
      <c r="DO26">
        <v>3601.2362805176731</v>
      </c>
      <c r="DP26">
        <v>1938.3360087869901</v>
      </c>
      <c r="DQ26">
        <v>1308.9819708486059</v>
      </c>
      <c r="DR26">
        <v>840.81808327777162</v>
      </c>
      <c r="DS26">
        <v>22913.36438005681</v>
      </c>
      <c r="DT26">
        <v>1966.685736379673</v>
      </c>
      <c r="DU26">
        <v>12935.21588626194</v>
      </c>
      <c r="DV26">
        <v>0</v>
      </c>
      <c r="DW26">
        <v>0</v>
      </c>
      <c r="DX26">
        <v>95.933416314928508</v>
      </c>
      <c r="DY26">
        <v>152.77723690467451</v>
      </c>
      <c r="DZ26">
        <v>81.512979695819638</v>
      </c>
      <c r="EA26">
        <v>74.756843890720674</v>
      </c>
      <c r="EB26">
        <v>8.985095780451946</v>
      </c>
      <c r="EC26">
        <v>2.4081769699169588</v>
      </c>
      <c r="ED26">
        <v>3.1295566243333228</v>
      </c>
      <c r="EE26">
        <v>6.1998409247802151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81.18223023860638</v>
      </c>
      <c r="EY26">
        <v>0</v>
      </c>
      <c r="EZ26">
        <v>0</v>
      </c>
      <c r="FA26">
        <v>2404.6167325820702</v>
      </c>
      <c r="FB26">
        <v>2742.7113589806731</v>
      </c>
      <c r="FC26">
        <v>1.6761133682352329</v>
      </c>
      <c r="FD26">
        <v>3419.927467340046</v>
      </c>
      <c r="FE26">
        <v>443.37752710566411</v>
      </c>
      <c r="FF26">
        <v>8610.7270386639048</v>
      </c>
      <c r="FG26">
        <v>574.435017484475</v>
      </c>
      <c r="FH26">
        <v>1049.242823885854</v>
      </c>
      <c r="FI26">
        <v>278.50234076552618</v>
      </c>
      <c r="FJ26">
        <v>352.04105788253838</v>
      </c>
      <c r="FK26">
        <v>0</v>
      </c>
      <c r="FL26">
        <v>0</v>
      </c>
      <c r="FM26">
        <v>0</v>
      </c>
      <c r="FN26">
        <v>0.72212564030406146</v>
      </c>
      <c r="FO26">
        <v>1531.7614707529069</v>
      </c>
      <c r="FP26">
        <v>261.99657568492728</v>
      </c>
      <c r="FQ26">
        <v>878.66463818955367</v>
      </c>
      <c r="FR26">
        <v>540.62585319721393</v>
      </c>
      <c r="FS26">
        <v>1323.0308793212189</v>
      </c>
      <c r="FT26">
        <v>4.7862801789906939</v>
      </c>
      <c r="FU26">
        <v>2.6446246653147831</v>
      </c>
      <c r="FV26">
        <v>1.8202227870270731</v>
      </c>
      <c r="FW26">
        <v>6.4398080247037299</v>
      </c>
      <c r="FX26">
        <v>0.77641418882800128</v>
      </c>
      <c r="FY26">
        <v>1.223801478752198</v>
      </c>
      <c r="FZ26">
        <v>4.7335247175226183</v>
      </c>
      <c r="GA26">
        <v>0.7825945715382937</v>
      </c>
      <c r="GB26">
        <v>1.7707197662576508E-2</v>
      </c>
      <c r="GC26">
        <v>3.5292313097265211</v>
      </c>
      <c r="GD26">
        <v>5.2937965695070277</v>
      </c>
      <c r="GE26">
        <v>0</v>
      </c>
      <c r="GF26">
        <v>1.7434225573826561</v>
      </c>
      <c r="GG26">
        <v>5.3259173155575468</v>
      </c>
      <c r="GH26">
        <v>2.4687188155416928</v>
      </c>
      <c r="GI26">
        <v>1.663990669230559</v>
      </c>
      <c r="GJ26">
        <v>0.3102379884243221</v>
      </c>
      <c r="GK26">
        <v>4.8584048957513106</v>
      </c>
      <c r="GL26">
        <v>0.16336742759977571</v>
      </c>
      <c r="GM26">
        <v>0.50733336740625656</v>
      </c>
      <c r="GN26">
        <v>106.62235761954609</v>
      </c>
      <c r="GO26">
        <v>1751.4452947993241</v>
      </c>
      <c r="GP26">
        <v>407.51225086885478</v>
      </c>
      <c r="GQ26">
        <v>0</v>
      </c>
      <c r="GR26">
        <v>16953.196013021879</v>
      </c>
      <c r="GS26">
        <v>6144.9985787982523</v>
      </c>
      <c r="GT26">
        <v>6510.4362455590781</v>
      </c>
      <c r="GU26">
        <v>6875.2868825545229</v>
      </c>
      <c r="GV26">
        <v>4466.9424672941896</v>
      </c>
      <c r="GW26">
        <v>29496.756702975781</v>
      </c>
      <c r="GX26">
        <v>41212.057220511881</v>
      </c>
      <c r="GY26">
        <v>59932.871608425543</v>
      </c>
      <c r="GZ26">
        <v>45263.826579953333</v>
      </c>
      <c r="HA26">
        <v>62015.541110628343</v>
      </c>
      <c r="HB26">
        <v>0</v>
      </c>
      <c r="HC26">
        <v>9186.8743150573173</v>
      </c>
    </row>
    <row r="27" spans="1:211" x14ac:dyDescent="0.45">
      <c r="A27" s="1" t="s">
        <v>1</v>
      </c>
      <c r="B27">
        <v>106.8139968012897</v>
      </c>
      <c r="C27">
        <v>3443.5610727042372</v>
      </c>
      <c r="D27">
        <v>96.919591942775384</v>
      </c>
      <c r="E27">
        <v>24011.21527489361</v>
      </c>
      <c r="F27">
        <v>2509.5625182056529</v>
      </c>
      <c r="G27">
        <v>0</v>
      </c>
      <c r="H27">
        <v>460.40902654143929</v>
      </c>
      <c r="I27">
        <v>854.58013255685148</v>
      </c>
      <c r="J27">
        <v>0</v>
      </c>
      <c r="K27">
        <v>0</v>
      </c>
      <c r="L27">
        <v>6667.7033731192632</v>
      </c>
      <c r="M27">
        <v>7342.7226464140131</v>
      </c>
      <c r="N27">
        <v>1829.3247199008149</v>
      </c>
      <c r="O27">
        <v>655.86989539240392</v>
      </c>
      <c r="P27">
        <v>0</v>
      </c>
      <c r="Q27">
        <v>0</v>
      </c>
      <c r="R27">
        <v>0</v>
      </c>
      <c r="S27">
        <v>9913.2591716357056</v>
      </c>
      <c r="T27">
        <v>2411.9676546478499</v>
      </c>
      <c r="U27">
        <v>3.5216255093995108</v>
      </c>
      <c r="V27">
        <v>0</v>
      </c>
      <c r="W27">
        <v>35.66830098635684</v>
      </c>
      <c r="X27">
        <v>0</v>
      </c>
      <c r="Y27">
        <v>6.8728651421501086</v>
      </c>
      <c r="Z27">
        <v>0</v>
      </c>
      <c r="AA27">
        <v>0</v>
      </c>
      <c r="AB27">
        <v>0</v>
      </c>
      <c r="AC27">
        <v>0</v>
      </c>
      <c r="AD27">
        <v>5536.5572650434706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20389.437283542789</v>
      </c>
      <c r="AS27">
        <v>2823.458266712275</v>
      </c>
      <c r="AT27">
        <v>9657.6881427964072</v>
      </c>
      <c r="AU27">
        <v>22885.495242005549</v>
      </c>
      <c r="AV27">
        <v>280.23140890949821</v>
      </c>
      <c r="AW27">
        <v>20747.146867791431</v>
      </c>
      <c r="AX27">
        <v>181.19373344159959</v>
      </c>
      <c r="AY27">
        <v>5765.2688257539421</v>
      </c>
      <c r="AZ27">
        <v>58547.662336877831</v>
      </c>
      <c r="BA27">
        <v>10514.838608781591</v>
      </c>
      <c r="BB27">
        <v>7345.6772905065391</v>
      </c>
      <c r="BC27">
        <v>1731.8528533758531</v>
      </c>
      <c r="BD27">
        <v>8252.9967698827149</v>
      </c>
      <c r="BE27">
        <v>23291.376466480029</v>
      </c>
      <c r="BF27">
        <v>16376.301681556841</v>
      </c>
      <c r="BG27">
        <v>2854.4551002132312</v>
      </c>
      <c r="BH27">
        <v>238.90341913586801</v>
      </c>
      <c r="BI27">
        <v>0</v>
      </c>
      <c r="BJ27">
        <v>0</v>
      </c>
      <c r="BK27">
        <v>4242.5584119053729</v>
      </c>
      <c r="BL27">
        <v>2592.5066346873318</v>
      </c>
      <c r="BM27">
        <v>1.5155511640396551</v>
      </c>
      <c r="BN27">
        <v>0</v>
      </c>
      <c r="BO27">
        <v>0</v>
      </c>
      <c r="BP27">
        <v>37526.175205765059</v>
      </c>
      <c r="BQ27">
        <v>2.9044209100702972E-2</v>
      </c>
      <c r="BR27">
        <v>0</v>
      </c>
      <c r="BS27">
        <v>182.22475217425361</v>
      </c>
      <c r="BT27">
        <v>82.533265992579359</v>
      </c>
      <c r="BU27">
        <v>28610.509272929521</v>
      </c>
      <c r="BV27">
        <v>9.7303034885317246</v>
      </c>
      <c r="BW27">
        <v>0</v>
      </c>
      <c r="BX27">
        <v>1241.7594577635889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45909.875373959883</v>
      </c>
      <c r="CJ27">
        <v>1606.1119950630391</v>
      </c>
      <c r="CK27">
        <v>10.849948960590339</v>
      </c>
      <c r="CL27">
        <v>829.19214836439289</v>
      </c>
      <c r="CM27">
        <v>60875.363095438042</v>
      </c>
      <c r="CN27">
        <v>0</v>
      </c>
      <c r="CO27">
        <v>0</v>
      </c>
      <c r="CP27">
        <v>711.21062619066413</v>
      </c>
      <c r="CQ27">
        <v>836.24616743953266</v>
      </c>
      <c r="CR27">
        <v>0</v>
      </c>
      <c r="CS27">
        <v>0</v>
      </c>
      <c r="CT27">
        <v>0</v>
      </c>
      <c r="CU27">
        <v>6365.7259306276374</v>
      </c>
      <c r="CV27">
        <v>18.818853368112698</v>
      </c>
      <c r="CW27">
        <v>263.6181892958723</v>
      </c>
      <c r="CX27">
        <v>50.118523044100527</v>
      </c>
      <c r="CY27">
        <v>6653.6372924526249</v>
      </c>
      <c r="CZ27">
        <v>1.9882586486559991E-2</v>
      </c>
      <c r="DA27">
        <v>1.025438252830345E-3</v>
      </c>
      <c r="DB27">
        <v>9.6249499487397863</v>
      </c>
      <c r="DC27">
        <v>0</v>
      </c>
      <c r="DD27">
        <v>3.7221218620842209</v>
      </c>
      <c r="DE27">
        <v>0.22898377511582341</v>
      </c>
      <c r="DF27">
        <v>0</v>
      </c>
      <c r="DG27">
        <v>0</v>
      </c>
      <c r="DH27">
        <v>0</v>
      </c>
      <c r="DI27">
        <v>0</v>
      </c>
      <c r="DJ27">
        <v>25.431750451842611</v>
      </c>
      <c r="DK27">
        <v>0</v>
      </c>
      <c r="DL27">
        <v>0.218622598991946</v>
      </c>
      <c r="DM27">
        <v>4750.8082841428422</v>
      </c>
      <c r="DN27">
        <v>370.58915452364238</v>
      </c>
      <c r="DO27">
        <v>3601.2362805176731</v>
      </c>
      <c r="DP27">
        <v>3768.567508996467</v>
      </c>
      <c r="DQ27">
        <v>2192.0398573527868</v>
      </c>
      <c r="DR27">
        <v>2811.9304760907439</v>
      </c>
      <c r="DS27">
        <v>37975.420395549809</v>
      </c>
      <c r="DT27">
        <v>2690.0328258731502</v>
      </c>
      <c r="DU27">
        <v>16530.629818450241</v>
      </c>
      <c r="DV27">
        <v>0</v>
      </c>
      <c r="DW27">
        <v>0</v>
      </c>
      <c r="DX27">
        <v>1789.032963175541</v>
      </c>
      <c r="DY27">
        <v>666.74588102300822</v>
      </c>
      <c r="DZ27">
        <v>4978.0722563791087</v>
      </c>
      <c r="EA27">
        <v>760.76033623000524</v>
      </c>
      <c r="EB27">
        <v>146.29760633399499</v>
      </c>
      <c r="EC27">
        <v>97.566596710058747</v>
      </c>
      <c r="ED27">
        <v>113.1012117777488</v>
      </c>
      <c r="EE27">
        <v>17.001766555353861</v>
      </c>
      <c r="EF27">
        <v>0</v>
      </c>
      <c r="EG27">
        <v>7.7185006805607257</v>
      </c>
      <c r="EH27">
        <v>0</v>
      </c>
      <c r="EI27">
        <v>0</v>
      </c>
      <c r="EJ27">
        <v>508.89487023539152</v>
      </c>
      <c r="EK27">
        <v>1825.414630889846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5943.4120464422967</v>
      </c>
      <c r="ER27">
        <v>6560.634319382727</v>
      </c>
      <c r="ES27">
        <v>2259.818265631417</v>
      </c>
      <c r="ET27">
        <v>8742.5449618360944</v>
      </c>
      <c r="EU27">
        <v>0</v>
      </c>
      <c r="EV27">
        <v>3813.358713636489</v>
      </c>
      <c r="EW27">
        <v>189.7393694934255</v>
      </c>
      <c r="EX27">
        <v>1769.5904319654369</v>
      </c>
      <c r="EY27">
        <v>1596.0775050772579</v>
      </c>
      <c r="EZ27">
        <v>24298.526282476028</v>
      </c>
      <c r="FA27">
        <v>10043.773872673981</v>
      </c>
      <c r="FB27">
        <v>16503.807359509981</v>
      </c>
      <c r="FC27">
        <v>373.6751530765099</v>
      </c>
      <c r="FD27">
        <v>5058.5075628533014</v>
      </c>
      <c r="FE27">
        <v>5399.1962883867618</v>
      </c>
      <c r="FF27">
        <v>19697.01146096813</v>
      </c>
      <c r="FG27">
        <v>6173.908260829463</v>
      </c>
      <c r="FH27">
        <v>9524.8868254062527</v>
      </c>
      <c r="FI27">
        <v>4231.7763196258493</v>
      </c>
      <c r="FJ27">
        <v>9144.9757965921999</v>
      </c>
      <c r="FK27">
        <v>0</v>
      </c>
      <c r="FL27">
        <v>129975.96692320881</v>
      </c>
      <c r="FM27">
        <v>783.27716666682159</v>
      </c>
      <c r="FN27">
        <v>15.02112992990118</v>
      </c>
      <c r="FO27">
        <v>11700.158281907061</v>
      </c>
      <c r="FP27">
        <v>3347.716320728262</v>
      </c>
      <c r="FQ27">
        <v>65998.378944453871</v>
      </c>
      <c r="FR27">
        <v>25787.72531095034</v>
      </c>
      <c r="FS27">
        <v>52302.93299566862</v>
      </c>
      <c r="FT27">
        <v>246.70279077414929</v>
      </c>
      <c r="FU27">
        <v>255.55820685095571</v>
      </c>
      <c r="FV27">
        <v>106.0902575605255</v>
      </c>
      <c r="FW27">
        <v>310.45294036948349</v>
      </c>
      <c r="FX27">
        <v>52.302558492793551</v>
      </c>
      <c r="FY27">
        <v>70.038540468670206</v>
      </c>
      <c r="FZ27">
        <v>284.86037523367162</v>
      </c>
      <c r="GA27">
        <v>18.911187638516569</v>
      </c>
      <c r="GB27">
        <v>1.5167375624281809</v>
      </c>
      <c r="GC27">
        <v>231.99478435108341</v>
      </c>
      <c r="GD27">
        <v>156.7647658479072</v>
      </c>
      <c r="GE27">
        <v>1.0260987866484601</v>
      </c>
      <c r="GF27">
        <v>91.260434478624177</v>
      </c>
      <c r="GG27">
        <v>169.7922384860353</v>
      </c>
      <c r="GH27">
        <v>151.15559665348931</v>
      </c>
      <c r="GI27">
        <v>99.467872604171603</v>
      </c>
      <c r="GJ27">
        <v>25.999127132837689</v>
      </c>
      <c r="GK27">
        <v>412.0984499331376</v>
      </c>
      <c r="GL27">
        <v>15.01243569681594</v>
      </c>
      <c r="GM27">
        <v>56.194381914749613</v>
      </c>
      <c r="GN27">
        <v>5269.6885833820488</v>
      </c>
      <c r="GO27">
        <v>29453.41920493521</v>
      </c>
      <c r="GP27">
        <v>2111.93420114218</v>
      </c>
      <c r="GQ27">
        <v>0</v>
      </c>
      <c r="GR27">
        <v>24291.4466838031</v>
      </c>
      <c r="GS27">
        <v>20389.437283542789</v>
      </c>
      <c r="GT27">
        <v>49377.067671047509</v>
      </c>
      <c r="GU27">
        <v>24988.4392423401</v>
      </c>
      <c r="GV27">
        <v>21403.01676318383</v>
      </c>
      <c r="GW27">
        <v>88017.859322842589</v>
      </c>
      <c r="GX27">
        <v>277157.44507591543</v>
      </c>
      <c r="GY27">
        <v>182080.29000425659</v>
      </c>
      <c r="GZ27">
        <v>47920.674917919583</v>
      </c>
      <c r="HA27">
        <v>193940.6318850503</v>
      </c>
      <c r="HB27">
        <v>24298.526282476028</v>
      </c>
      <c r="HC27">
        <v>238231.5834088588</v>
      </c>
    </row>
    <row r="28" spans="1:211" x14ac:dyDescent="0.45">
      <c r="A28" s="1" t="s">
        <v>221</v>
      </c>
      <c r="B28">
        <f t="shared" ref="B28:BM28" si="0">INDEX(B$18:B$27,MATCH($B$1,$A$18:$A$27,0))</f>
        <v>106.8139968012897</v>
      </c>
      <c r="C28">
        <f t="shared" si="0"/>
        <v>3443.5610727042372</v>
      </c>
      <c r="D28">
        <f t="shared" si="0"/>
        <v>96.919591942775384</v>
      </c>
      <c r="E28">
        <f t="shared" si="0"/>
        <v>24011.21527489361</v>
      </c>
      <c r="F28">
        <f t="shared" si="0"/>
        <v>2509.5625182056529</v>
      </c>
      <c r="G28">
        <f t="shared" si="0"/>
        <v>0</v>
      </c>
      <c r="H28">
        <f t="shared" si="0"/>
        <v>460.40902654143929</v>
      </c>
      <c r="I28">
        <f t="shared" si="0"/>
        <v>854.58013255685148</v>
      </c>
      <c r="J28">
        <f t="shared" si="0"/>
        <v>0</v>
      </c>
      <c r="K28">
        <f t="shared" si="0"/>
        <v>0</v>
      </c>
      <c r="L28">
        <f t="shared" si="0"/>
        <v>6667.7033731192632</v>
      </c>
      <c r="M28">
        <f t="shared" si="0"/>
        <v>7342.7226464140131</v>
      </c>
      <c r="N28">
        <f t="shared" si="0"/>
        <v>1829.3247199008149</v>
      </c>
      <c r="O28">
        <f t="shared" si="0"/>
        <v>655.86989539240392</v>
      </c>
      <c r="P28">
        <f t="shared" si="0"/>
        <v>0</v>
      </c>
      <c r="Q28">
        <f t="shared" si="0"/>
        <v>0</v>
      </c>
      <c r="R28">
        <f t="shared" si="0"/>
        <v>0</v>
      </c>
      <c r="S28">
        <f t="shared" si="0"/>
        <v>9913.2591716357056</v>
      </c>
      <c r="T28">
        <f t="shared" si="0"/>
        <v>2411.9676546478499</v>
      </c>
      <c r="U28">
        <f t="shared" si="0"/>
        <v>3.5216255093995108</v>
      </c>
      <c r="V28">
        <f t="shared" si="0"/>
        <v>0</v>
      </c>
      <c r="W28">
        <f t="shared" si="0"/>
        <v>35.66830098635684</v>
      </c>
      <c r="X28">
        <f t="shared" si="0"/>
        <v>0</v>
      </c>
      <c r="Y28">
        <f t="shared" si="0"/>
        <v>6.8728651421501086</v>
      </c>
      <c r="Z28">
        <f t="shared" si="0"/>
        <v>0</v>
      </c>
      <c r="AA28">
        <f t="shared" si="0"/>
        <v>0</v>
      </c>
      <c r="AB28">
        <f t="shared" si="0"/>
        <v>0</v>
      </c>
      <c r="AC28">
        <f t="shared" si="0"/>
        <v>0</v>
      </c>
      <c r="AD28">
        <f t="shared" si="0"/>
        <v>5536.5572650434706</v>
      </c>
      <c r="AE28">
        <f t="shared" si="0"/>
        <v>0</v>
      </c>
      <c r="AF28">
        <f t="shared" si="0"/>
        <v>0</v>
      </c>
      <c r="AG28">
        <f t="shared" si="0"/>
        <v>0</v>
      </c>
      <c r="AH28">
        <f t="shared" si="0"/>
        <v>0</v>
      </c>
      <c r="AI28">
        <f t="shared" si="0"/>
        <v>0</v>
      </c>
      <c r="AJ28">
        <f t="shared" si="0"/>
        <v>0</v>
      </c>
      <c r="AK28">
        <f t="shared" si="0"/>
        <v>0</v>
      </c>
      <c r="AL28">
        <f t="shared" si="0"/>
        <v>0</v>
      </c>
      <c r="AM28">
        <f t="shared" si="0"/>
        <v>0</v>
      </c>
      <c r="AN28">
        <f t="shared" si="0"/>
        <v>0</v>
      </c>
      <c r="AO28">
        <f t="shared" si="0"/>
        <v>0</v>
      </c>
      <c r="AP28">
        <f t="shared" si="0"/>
        <v>0</v>
      </c>
      <c r="AQ28">
        <f t="shared" si="0"/>
        <v>0</v>
      </c>
      <c r="AR28">
        <f t="shared" si="0"/>
        <v>20389.437283542789</v>
      </c>
      <c r="AS28">
        <f t="shared" si="0"/>
        <v>2823.458266712275</v>
      </c>
      <c r="AT28">
        <f t="shared" si="0"/>
        <v>9657.6881427964072</v>
      </c>
      <c r="AU28">
        <f t="shared" si="0"/>
        <v>22885.495242005549</v>
      </c>
      <c r="AV28">
        <f t="shared" si="0"/>
        <v>280.23140890949821</v>
      </c>
      <c r="AW28">
        <f t="shared" si="0"/>
        <v>20747.146867791431</v>
      </c>
      <c r="AX28">
        <f t="shared" si="0"/>
        <v>181.19373344159959</v>
      </c>
      <c r="AY28">
        <f t="shared" si="0"/>
        <v>5765.2688257539421</v>
      </c>
      <c r="AZ28">
        <f t="shared" si="0"/>
        <v>58547.662336877831</v>
      </c>
      <c r="BA28">
        <f t="shared" si="0"/>
        <v>10514.838608781591</v>
      </c>
      <c r="BB28">
        <f t="shared" si="0"/>
        <v>7345.6772905065391</v>
      </c>
      <c r="BC28">
        <f t="shared" si="0"/>
        <v>1731.8528533758531</v>
      </c>
      <c r="BD28">
        <f t="shared" si="0"/>
        <v>8252.9967698827149</v>
      </c>
      <c r="BE28">
        <f t="shared" si="0"/>
        <v>23291.376466480029</v>
      </c>
      <c r="BF28">
        <f t="shared" si="0"/>
        <v>16376.301681556841</v>
      </c>
      <c r="BG28">
        <f t="shared" si="0"/>
        <v>2854.4551002132312</v>
      </c>
      <c r="BH28">
        <f t="shared" si="0"/>
        <v>238.90341913586801</v>
      </c>
      <c r="BI28">
        <f t="shared" si="0"/>
        <v>0</v>
      </c>
      <c r="BJ28">
        <f t="shared" si="0"/>
        <v>0</v>
      </c>
      <c r="BK28">
        <f t="shared" si="0"/>
        <v>4242.5584119053729</v>
      </c>
      <c r="BL28">
        <f t="shared" si="0"/>
        <v>2592.5066346873318</v>
      </c>
      <c r="BM28">
        <f t="shared" si="0"/>
        <v>1.5155511640396551</v>
      </c>
      <c r="BN28">
        <f t="shared" ref="BN28:DY28" si="1">INDEX(BN$18:BN$27,MATCH($B$1,$A$18:$A$27,0))</f>
        <v>0</v>
      </c>
      <c r="BO28">
        <f t="shared" si="1"/>
        <v>0</v>
      </c>
      <c r="BP28">
        <f t="shared" si="1"/>
        <v>37526.175205765059</v>
      </c>
      <c r="BQ28">
        <f t="shared" si="1"/>
        <v>2.9044209100702972E-2</v>
      </c>
      <c r="BR28">
        <f t="shared" si="1"/>
        <v>0</v>
      </c>
      <c r="BS28">
        <f t="shared" si="1"/>
        <v>182.22475217425361</v>
      </c>
      <c r="BT28">
        <f t="shared" si="1"/>
        <v>82.533265992579359</v>
      </c>
      <c r="BU28">
        <f t="shared" si="1"/>
        <v>28610.509272929521</v>
      </c>
      <c r="BV28">
        <f t="shared" si="1"/>
        <v>9.7303034885317246</v>
      </c>
      <c r="BW28">
        <f t="shared" si="1"/>
        <v>0</v>
      </c>
      <c r="BX28">
        <f t="shared" si="1"/>
        <v>1241.7594577635889</v>
      </c>
      <c r="BY28">
        <f t="shared" si="1"/>
        <v>0</v>
      </c>
      <c r="BZ28">
        <f t="shared" si="1"/>
        <v>0</v>
      </c>
      <c r="CA28">
        <f t="shared" si="1"/>
        <v>0</v>
      </c>
      <c r="CB28">
        <f t="shared" si="1"/>
        <v>0</v>
      </c>
      <c r="CC28">
        <f t="shared" si="1"/>
        <v>0</v>
      </c>
      <c r="CD28">
        <f t="shared" si="1"/>
        <v>0</v>
      </c>
      <c r="CE28">
        <f t="shared" si="1"/>
        <v>0</v>
      </c>
      <c r="CF28">
        <f t="shared" si="1"/>
        <v>0</v>
      </c>
      <c r="CG28">
        <f t="shared" si="1"/>
        <v>0</v>
      </c>
      <c r="CH28">
        <f t="shared" si="1"/>
        <v>0</v>
      </c>
      <c r="CI28">
        <f t="shared" si="1"/>
        <v>45909.875373959883</v>
      </c>
      <c r="CJ28">
        <f t="shared" si="1"/>
        <v>1606.1119950630391</v>
      </c>
      <c r="CK28">
        <f t="shared" si="1"/>
        <v>10.849948960590339</v>
      </c>
      <c r="CL28">
        <f t="shared" si="1"/>
        <v>829.19214836439289</v>
      </c>
      <c r="CM28">
        <f t="shared" si="1"/>
        <v>60875.363095438042</v>
      </c>
      <c r="CN28">
        <f t="shared" si="1"/>
        <v>0</v>
      </c>
      <c r="CO28">
        <f t="shared" si="1"/>
        <v>0</v>
      </c>
      <c r="CP28">
        <f t="shared" si="1"/>
        <v>711.21062619066413</v>
      </c>
      <c r="CQ28">
        <f t="shared" si="1"/>
        <v>836.24616743953266</v>
      </c>
      <c r="CR28">
        <f t="shared" si="1"/>
        <v>0</v>
      </c>
      <c r="CS28">
        <f t="shared" si="1"/>
        <v>0</v>
      </c>
      <c r="CT28">
        <f t="shared" si="1"/>
        <v>0</v>
      </c>
      <c r="CU28">
        <f t="shared" si="1"/>
        <v>6365.7259306276374</v>
      </c>
      <c r="CV28">
        <f t="shared" si="1"/>
        <v>18.818853368112698</v>
      </c>
      <c r="CW28">
        <f t="shared" si="1"/>
        <v>263.6181892958723</v>
      </c>
      <c r="CX28">
        <f t="shared" si="1"/>
        <v>50.118523044100527</v>
      </c>
      <c r="CY28">
        <f t="shared" si="1"/>
        <v>6653.6372924526249</v>
      </c>
      <c r="CZ28">
        <f t="shared" si="1"/>
        <v>1.9882586486559991E-2</v>
      </c>
      <c r="DA28">
        <f t="shared" si="1"/>
        <v>1.025438252830345E-3</v>
      </c>
      <c r="DB28">
        <f t="shared" si="1"/>
        <v>9.6249499487397863</v>
      </c>
      <c r="DC28">
        <f t="shared" si="1"/>
        <v>0</v>
      </c>
      <c r="DD28">
        <f t="shared" si="1"/>
        <v>3.7221218620842209</v>
      </c>
      <c r="DE28">
        <f t="shared" si="1"/>
        <v>0.22898377511582341</v>
      </c>
      <c r="DF28">
        <f t="shared" si="1"/>
        <v>0</v>
      </c>
      <c r="DG28">
        <f t="shared" si="1"/>
        <v>0</v>
      </c>
      <c r="DH28">
        <f t="shared" si="1"/>
        <v>0</v>
      </c>
      <c r="DI28">
        <f t="shared" si="1"/>
        <v>0</v>
      </c>
      <c r="DJ28">
        <f t="shared" si="1"/>
        <v>25.431750451842611</v>
      </c>
      <c r="DK28">
        <f t="shared" si="1"/>
        <v>0</v>
      </c>
      <c r="DL28">
        <f t="shared" si="1"/>
        <v>0.218622598991946</v>
      </c>
      <c r="DM28">
        <f t="shared" si="1"/>
        <v>4750.8082841428422</v>
      </c>
      <c r="DN28">
        <f t="shared" si="1"/>
        <v>370.58915452364238</v>
      </c>
      <c r="DO28">
        <f t="shared" si="1"/>
        <v>3601.2362805176731</v>
      </c>
      <c r="DP28">
        <f t="shared" si="1"/>
        <v>3768.567508996467</v>
      </c>
      <c r="DQ28">
        <f t="shared" si="1"/>
        <v>2192.0398573527868</v>
      </c>
      <c r="DR28">
        <f t="shared" si="1"/>
        <v>2811.9304760907439</v>
      </c>
      <c r="DS28">
        <f t="shared" si="1"/>
        <v>37975.420395549809</v>
      </c>
      <c r="DT28">
        <f t="shared" si="1"/>
        <v>2690.0328258731502</v>
      </c>
      <c r="DU28">
        <f t="shared" si="1"/>
        <v>16530.629818450241</v>
      </c>
      <c r="DV28">
        <f t="shared" si="1"/>
        <v>0</v>
      </c>
      <c r="DW28">
        <f t="shared" si="1"/>
        <v>0</v>
      </c>
      <c r="DX28">
        <f t="shared" si="1"/>
        <v>1789.032963175541</v>
      </c>
      <c r="DY28">
        <f t="shared" si="1"/>
        <v>666.74588102300822</v>
      </c>
      <c r="DZ28">
        <f t="shared" ref="DZ28:GK28" si="2">INDEX(DZ$18:DZ$27,MATCH($B$1,$A$18:$A$27,0))</f>
        <v>4978.0722563791087</v>
      </c>
      <c r="EA28">
        <f t="shared" si="2"/>
        <v>760.76033623000524</v>
      </c>
      <c r="EB28">
        <f t="shared" si="2"/>
        <v>146.29760633399499</v>
      </c>
      <c r="EC28">
        <f t="shared" si="2"/>
        <v>97.566596710058747</v>
      </c>
      <c r="ED28">
        <f t="shared" si="2"/>
        <v>113.1012117777488</v>
      </c>
      <c r="EE28">
        <f t="shared" si="2"/>
        <v>17.001766555353861</v>
      </c>
      <c r="EF28">
        <f t="shared" si="2"/>
        <v>0</v>
      </c>
      <c r="EG28">
        <f t="shared" si="2"/>
        <v>7.7185006805607257</v>
      </c>
      <c r="EH28">
        <f t="shared" si="2"/>
        <v>0</v>
      </c>
      <c r="EI28">
        <f t="shared" si="2"/>
        <v>0</v>
      </c>
      <c r="EJ28">
        <f t="shared" si="2"/>
        <v>508.89487023539152</v>
      </c>
      <c r="EK28">
        <f t="shared" si="2"/>
        <v>1825.414630889846</v>
      </c>
      <c r="EL28">
        <f t="shared" si="2"/>
        <v>0</v>
      </c>
      <c r="EM28">
        <f t="shared" si="2"/>
        <v>0</v>
      </c>
      <c r="EN28">
        <f t="shared" si="2"/>
        <v>0</v>
      </c>
      <c r="EO28">
        <f t="shared" si="2"/>
        <v>0</v>
      </c>
      <c r="EP28">
        <f t="shared" si="2"/>
        <v>0</v>
      </c>
      <c r="EQ28">
        <f t="shared" si="2"/>
        <v>5943.4120464422967</v>
      </c>
      <c r="ER28">
        <f t="shared" si="2"/>
        <v>6560.634319382727</v>
      </c>
      <c r="ES28">
        <f t="shared" si="2"/>
        <v>2259.818265631417</v>
      </c>
      <c r="ET28">
        <f t="shared" si="2"/>
        <v>8742.5449618360944</v>
      </c>
      <c r="EU28">
        <f t="shared" si="2"/>
        <v>0</v>
      </c>
      <c r="EV28">
        <f t="shared" si="2"/>
        <v>3813.358713636489</v>
      </c>
      <c r="EW28">
        <f t="shared" si="2"/>
        <v>189.7393694934255</v>
      </c>
      <c r="EX28">
        <f t="shared" si="2"/>
        <v>1769.5904319654369</v>
      </c>
      <c r="EY28">
        <f t="shared" si="2"/>
        <v>1596.0775050772579</v>
      </c>
      <c r="EZ28">
        <f t="shared" si="2"/>
        <v>24298.526282476028</v>
      </c>
      <c r="FA28">
        <f t="shared" si="2"/>
        <v>10043.773872673981</v>
      </c>
      <c r="FB28">
        <f t="shared" si="2"/>
        <v>16503.807359509981</v>
      </c>
      <c r="FC28">
        <f t="shared" si="2"/>
        <v>373.6751530765099</v>
      </c>
      <c r="FD28">
        <f t="shared" si="2"/>
        <v>5058.5075628533014</v>
      </c>
      <c r="FE28">
        <f t="shared" si="2"/>
        <v>5399.1962883867618</v>
      </c>
      <c r="FF28">
        <f t="shared" si="2"/>
        <v>19697.01146096813</v>
      </c>
      <c r="FG28">
        <f t="shared" si="2"/>
        <v>6173.908260829463</v>
      </c>
      <c r="FH28">
        <f t="shared" si="2"/>
        <v>9524.8868254062527</v>
      </c>
      <c r="FI28">
        <f t="shared" si="2"/>
        <v>4231.7763196258493</v>
      </c>
      <c r="FJ28">
        <f t="shared" si="2"/>
        <v>9144.9757965921999</v>
      </c>
      <c r="FK28">
        <f t="shared" si="2"/>
        <v>0</v>
      </c>
      <c r="FL28">
        <f t="shared" si="2"/>
        <v>129975.96692320881</v>
      </c>
      <c r="FM28">
        <f t="shared" si="2"/>
        <v>783.27716666682159</v>
      </c>
      <c r="FN28">
        <f t="shared" si="2"/>
        <v>15.02112992990118</v>
      </c>
      <c r="FO28">
        <f t="shared" si="2"/>
        <v>11700.158281907061</v>
      </c>
      <c r="FP28">
        <f t="shared" si="2"/>
        <v>3347.716320728262</v>
      </c>
      <c r="FQ28">
        <f t="shared" si="2"/>
        <v>65998.378944453871</v>
      </c>
      <c r="FR28">
        <f t="shared" si="2"/>
        <v>25787.72531095034</v>
      </c>
      <c r="FS28">
        <f t="shared" si="2"/>
        <v>52302.93299566862</v>
      </c>
      <c r="FT28">
        <f t="shared" si="2"/>
        <v>246.70279077414929</v>
      </c>
      <c r="FU28">
        <f t="shared" si="2"/>
        <v>255.55820685095571</v>
      </c>
      <c r="FV28">
        <f t="shared" si="2"/>
        <v>106.0902575605255</v>
      </c>
      <c r="FW28">
        <f t="shared" si="2"/>
        <v>310.45294036948349</v>
      </c>
      <c r="FX28">
        <f t="shared" si="2"/>
        <v>52.302558492793551</v>
      </c>
      <c r="FY28">
        <f t="shared" si="2"/>
        <v>70.038540468670206</v>
      </c>
      <c r="FZ28">
        <f t="shared" si="2"/>
        <v>284.86037523367162</v>
      </c>
      <c r="GA28">
        <f t="shared" si="2"/>
        <v>18.911187638516569</v>
      </c>
      <c r="GB28">
        <f t="shared" si="2"/>
        <v>1.5167375624281809</v>
      </c>
      <c r="GC28">
        <f t="shared" si="2"/>
        <v>231.99478435108341</v>
      </c>
      <c r="GD28">
        <f t="shared" si="2"/>
        <v>156.7647658479072</v>
      </c>
      <c r="GE28">
        <f t="shared" si="2"/>
        <v>1.0260987866484601</v>
      </c>
      <c r="GF28">
        <f t="shared" si="2"/>
        <v>91.260434478624177</v>
      </c>
      <c r="GG28">
        <f t="shared" si="2"/>
        <v>169.7922384860353</v>
      </c>
      <c r="GH28">
        <f t="shared" si="2"/>
        <v>151.15559665348931</v>
      </c>
      <c r="GI28">
        <f t="shared" si="2"/>
        <v>99.467872604171603</v>
      </c>
      <c r="GJ28">
        <f t="shared" si="2"/>
        <v>25.999127132837689</v>
      </c>
      <c r="GK28">
        <f t="shared" si="2"/>
        <v>412.0984499331376</v>
      </c>
      <c r="GL28">
        <f t="shared" ref="GL28:HC28" si="3">INDEX(GL$18:GL$27,MATCH($B$1,$A$18:$A$27,0))</f>
        <v>15.01243569681594</v>
      </c>
      <c r="GM28">
        <f t="shared" si="3"/>
        <v>56.194381914749613</v>
      </c>
      <c r="GN28">
        <f t="shared" si="3"/>
        <v>5269.6885833820488</v>
      </c>
      <c r="GO28">
        <f t="shared" si="3"/>
        <v>29453.41920493521</v>
      </c>
      <c r="GP28">
        <f t="shared" si="3"/>
        <v>2111.93420114218</v>
      </c>
      <c r="GQ28">
        <f t="shared" si="3"/>
        <v>0</v>
      </c>
      <c r="GR28">
        <f t="shared" si="3"/>
        <v>24291.4466838031</v>
      </c>
      <c r="GS28">
        <f t="shared" si="3"/>
        <v>20389.437283542789</v>
      </c>
      <c r="GT28">
        <f t="shared" si="3"/>
        <v>49377.067671047509</v>
      </c>
      <c r="GU28">
        <f t="shared" si="3"/>
        <v>24988.4392423401</v>
      </c>
      <c r="GV28">
        <f t="shared" si="3"/>
        <v>21403.01676318383</v>
      </c>
      <c r="GW28">
        <f t="shared" si="3"/>
        <v>88017.859322842589</v>
      </c>
      <c r="GX28">
        <f t="shared" si="3"/>
        <v>277157.44507591543</v>
      </c>
      <c r="GY28">
        <f t="shared" si="3"/>
        <v>182080.29000425659</v>
      </c>
      <c r="GZ28">
        <f t="shared" si="3"/>
        <v>47920.674917919583</v>
      </c>
      <c r="HA28">
        <f t="shared" si="3"/>
        <v>193940.6318850503</v>
      </c>
      <c r="HB28">
        <f t="shared" si="3"/>
        <v>24298.526282476028</v>
      </c>
      <c r="HC28">
        <f t="shared" si="3"/>
        <v>238231.5834088588</v>
      </c>
    </row>
    <row r="29" spans="1:211" x14ac:dyDescent="0.45">
      <c r="A29" s="1" t="s">
        <v>222</v>
      </c>
      <c r="B29">
        <f>RANK(B28,$B$28:$GQ$28,0)+COUNTIF($B$28:B28,B28)-1</f>
        <v>100</v>
      </c>
      <c r="C29">
        <f>RANK(C28,$B$28:$GQ$28,0)+COUNTIF($B$28:C28,C28)-1</f>
        <v>51</v>
      </c>
      <c r="D29">
        <f>RANK(D28,$B$28:$GQ$28,0)+COUNTIF($B$28:D28,D28)-1</f>
        <v>104</v>
      </c>
      <c r="E29">
        <f>RANK(E28,$B$28:$GQ$28,0)+COUNTIF($B$28:E28,E28)-1</f>
        <v>13</v>
      </c>
      <c r="F29">
        <f>RANK(F28,$B$28:$GQ$28,0)+COUNTIF($B$28:F28,F28)-1</f>
        <v>58</v>
      </c>
      <c r="G29">
        <f>RANK(G28,$B$28:$GQ$28,0)+COUNTIF($B$28:G28,G28)-1</f>
        <v>134</v>
      </c>
      <c r="H29">
        <f>RANK(H28,$B$28:$GQ$28,0)+COUNTIF($B$28:H28,H28)-1</f>
        <v>80</v>
      </c>
      <c r="I29">
        <f>RANK(I28,$B$28:$GQ$28,0)+COUNTIF($B$28:I28,I28)-1</f>
        <v>71</v>
      </c>
      <c r="J29">
        <f>RANK(J28,$B$28:$GQ$28,0)+COUNTIF($B$28:J28,J28)-1</f>
        <v>135</v>
      </c>
      <c r="K29">
        <f>RANK(K28,$B$28:$GQ$28,0)+COUNTIF($B$28:K28,K28)-1</f>
        <v>136</v>
      </c>
      <c r="L29">
        <f>RANK(L28,$B$28:$GQ$28,0)+COUNTIF($B$28:L28,L28)-1</f>
        <v>33</v>
      </c>
      <c r="M29">
        <f>RANK(M28,$B$28:$GQ$28,0)+COUNTIF($B$28:M28,M28)-1</f>
        <v>32</v>
      </c>
      <c r="N29">
        <f>RANK(N28,$B$28:$GQ$28,0)+COUNTIF($B$28:N28,N28)-1</f>
        <v>63</v>
      </c>
      <c r="O29">
        <f>RANK(O28,$B$28:$GQ$28,0)+COUNTIF($B$28:O28,O28)-1</f>
        <v>78</v>
      </c>
      <c r="P29">
        <f>RANK(P28,$B$28:$GQ$28,0)+COUNTIF($B$28:P28,P28)-1</f>
        <v>137</v>
      </c>
      <c r="Q29">
        <f>RANK(Q28,$B$28:$GQ$28,0)+COUNTIF($B$28:Q28,Q28)-1</f>
        <v>138</v>
      </c>
      <c r="R29">
        <f>RANK(R28,$B$28:$GQ$28,0)+COUNTIF($B$28:R28,R28)-1</f>
        <v>139</v>
      </c>
      <c r="S29">
        <f>RANK(S28,$B$28:$GQ$28,0)+COUNTIF($B$28:S28,S28)-1</f>
        <v>25</v>
      </c>
      <c r="T29">
        <f>RANK(T28,$B$28:$GQ$28,0)+COUNTIF($B$28:T28,T28)-1</f>
        <v>59</v>
      </c>
      <c r="U29">
        <f>RANK(U28,$B$28:$GQ$28,0)+COUNTIF($B$28:U28,U28)-1</f>
        <v>125</v>
      </c>
      <c r="V29">
        <f>RANK(V28,$B$28:$GQ$28,0)+COUNTIF($B$28:V28,V28)-1</f>
        <v>140</v>
      </c>
      <c r="W29">
        <f>RANK(W28,$B$28:$GQ$28,0)+COUNTIF($B$28:W28,W28)-1</f>
        <v>111</v>
      </c>
      <c r="X29">
        <f>RANK(X28,$B$28:$GQ$28,0)+COUNTIF($B$28:X28,X28)-1</f>
        <v>141</v>
      </c>
      <c r="Y29">
        <f>RANK(Y28,$B$28:$GQ$28,0)+COUNTIF($B$28:Y28,Y28)-1</f>
        <v>123</v>
      </c>
      <c r="Z29">
        <f>RANK(Z28,$B$28:$GQ$28,0)+COUNTIF($B$28:Z28,Z28)-1</f>
        <v>142</v>
      </c>
      <c r="AA29">
        <f>RANK(AA28,$B$28:$GQ$28,0)+COUNTIF($B$28:AA28,AA28)-1</f>
        <v>143</v>
      </c>
      <c r="AB29">
        <f>RANK(AB28,$B$28:$GQ$28,0)+COUNTIF($B$28:AB28,AB28)-1</f>
        <v>144</v>
      </c>
      <c r="AC29">
        <f>RANK(AC28,$B$28:$GQ$28,0)+COUNTIF($B$28:AC28,AC28)-1</f>
        <v>145</v>
      </c>
      <c r="AD29">
        <f>RANK(AD28,$B$28:$GQ$28,0)+COUNTIF($B$28:AD28,AD28)-1</f>
        <v>40</v>
      </c>
      <c r="AE29">
        <f>RANK(AE28,$B$28:$GQ$28,0)+COUNTIF($B$28:AE28,AE28)-1</f>
        <v>146</v>
      </c>
      <c r="AF29">
        <f>RANK(AF28,$B$28:$GQ$28,0)+COUNTIF($B$28:AF28,AF28)-1</f>
        <v>147</v>
      </c>
      <c r="AG29">
        <f>RANK(AG28,$B$28:$GQ$28,0)+COUNTIF($B$28:AG28,AG28)-1</f>
        <v>148</v>
      </c>
      <c r="AH29">
        <f>RANK(AH28,$B$28:$GQ$28,0)+COUNTIF($B$28:AH28,AH28)-1</f>
        <v>149</v>
      </c>
      <c r="AI29">
        <f>RANK(AI28,$B$28:$GQ$28,0)+COUNTIF($B$28:AI28,AI28)-1</f>
        <v>150</v>
      </c>
      <c r="AJ29">
        <f>RANK(AJ28,$B$28:$GQ$28,0)+COUNTIF($B$28:AJ28,AJ28)-1</f>
        <v>151</v>
      </c>
      <c r="AK29">
        <f>RANK(AK28,$B$28:$GQ$28,0)+COUNTIF($B$28:AK28,AK28)-1</f>
        <v>152</v>
      </c>
      <c r="AL29">
        <f>RANK(AL28,$B$28:$GQ$28,0)+COUNTIF($B$28:AL28,AL28)-1</f>
        <v>153</v>
      </c>
      <c r="AM29">
        <f>RANK(AM28,$B$28:$GQ$28,0)+COUNTIF($B$28:AM28,AM28)-1</f>
        <v>154</v>
      </c>
      <c r="AN29">
        <f>RANK(AN28,$B$28:$GQ$28,0)+COUNTIF($B$28:AN28,AN28)-1</f>
        <v>155</v>
      </c>
      <c r="AO29">
        <f>RANK(AO28,$B$28:$GQ$28,0)+COUNTIF($B$28:AO28,AO28)-1</f>
        <v>156</v>
      </c>
      <c r="AP29">
        <f>RANK(AP28,$B$28:$GQ$28,0)+COUNTIF($B$28:AP28,AP28)-1</f>
        <v>157</v>
      </c>
      <c r="AQ29">
        <f>RANK(AQ28,$B$28:$GQ$28,0)+COUNTIF($B$28:AQ28,AQ28)-1</f>
        <v>158</v>
      </c>
      <c r="AR29">
        <f>RANK(AR28,$B$28:$GQ$28,0)+COUNTIF($B$28:AR28,AR28)-1</f>
        <v>17</v>
      </c>
      <c r="AS29">
        <f>RANK(AS28,$B$28:$GQ$28,0)+COUNTIF($B$28:AS28,AS28)-1</f>
        <v>54</v>
      </c>
      <c r="AT29">
        <f>RANK(AT28,$B$28:$GQ$28,0)+COUNTIF($B$28:AT28,AT28)-1</f>
        <v>26</v>
      </c>
      <c r="AU29">
        <f>RANK(AU28,$B$28:$GQ$28,0)+COUNTIF($B$28:AU28,AU28)-1</f>
        <v>15</v>
      </c>
      <c r="AV29">
        <f>RANK(AV28,$B$28:$GQ$28,0)+COUNTIF($B$28:AV28,AV28)-1</f>
        <v>86</v>
      </c>
      <c r="AW29">
        <f>RANK(AW28,$B$28:$GQ$28,0)+COUNTIF($B$28:AW28,AW28)-1</f>
        <v>16</v>
      </c>
      <c r="AX29">
        <f>RANK(AX28,$B$28:$GQ$28,0)+COUNTIF($B$28:AX28,AX28)-1</f>
        <v>94</v>
      </c>
      <c r="AY29">
        <f>RANK(AY28,$B$28:$GQ$28,0)+COUNTIF($B$28:AY28,AY28)-1</f>
        <v>39</v>
      </c>
      <c r="AZ29">
        <f>RANK(AZ28,$B$28:$GQ$28,0)+COUNTIF($B$28:AZ28,AZ28)-1</f>
        <v>4</v>
      </c>
      <c r="BA29">
        <f>RANK(BA28,$B$28:$GQ$28,0)+COUNTIF($B$28:BA28,BA28)-1</f>
        <v>23</v>
      </c>
      <c r="BB29">
        <f>RANK(BB28,$B$28:$GQ$28,0)+COUNTIF($B$28:BB28,BB28)-1</f>
        <v>31</v>
      </c>
      <c r="BC29">
        <f>RANK(BC28,$B$28:$GQ$28,0)+COUNTIF($B$28:BC28,BC28)-1</f>
        <v>67</v>
      </c>
      <c r="BD29">
        <f>RANK(BD28,$B$28:$GQ$28,0)+COUNTIF($B$28:BD28,BD28)-1</f>
        <v>30</v>
      </c>
      <c r="BE29">
        <f>RANK(BE28,$B$28:$GQ$28,0)+COUNTIF($B$28:BE28,BE28)-1</f>
        <v>14</v>
      </c>
      <c r="BF29">
        <f>RANK(BF28,$B$28:$GQ$28,0)+COUNTIF($B$28:BF28,BF28)-1</f>
        <v>21</v>
      </c>
      <c r="BG29">
        <f>RANK(BG28,$B$28:$GQ$28,0)+COUNTIF($B$28:BG28,BG28)-1</f>
        <v>53</v>
      </c>
      <c r="BH29">
        <f>RANK(BH28,$B$28:$GQ$28,0)+COUNTIF($B$28:BH28,BH28)-1</f>
        <v>90</v>
      </c>
      <c r="BI29">
        <f>RANK(BI28,$B$28:$GQ$28,0)+COUNTIF($B$28:BI28,BI28)-1</f>
        <v>159</v>
      </c>
      <c r="BJ29">
        <f>RANK(BJ28,$B$28:$GQ$28,0)+COUNTIF($B$28:BJ28,BJ28)-1</f>
        <v>160</v>
      </c>
      <c r="BK29">
        <f>RANK(BK28,$B$28:$GQ$28,0)+COUNTIF($B$28:BK28,BK28)-1</f>
        <v>46</v>
      </c>
      <c r="BL29">
        <f>RANK(BL28,$B$28:$GQ$28,0)+COUNTIF($B$28:BL28,BL28)-1</f>
        <v>57</v>
      </c>
      <c r="BM29">
        <f>RANK(BM28,$B$28:$GQ$28,0)+COUNTIF($B$28:BM28,BM28)-1</f>
        <v>127</v>
      </c>
      <c r="BN29">
        <f>RANK(BN28,$B$28:$GQ$28,0)+COUNTIF($B$28:BN28,BN28)-1</f>
        <v>161</v>
      </c>
      <c r="BO29">
        <f>RANK(BO28,$B$28:$GQ$28,0)+COUNTIF($B$28:BO28,BO28)-1</f>
        <v>162</v>
      </c>
      <c r="BP29">
        <f>RANK(BP28,$B$28:$GQ$28,0)+COUNTIF($B$28:BP28,BP28)-1</f>
        <v>8</v>
      </c>
      <c r="BQ29">
        <f>RANK(BQ28,$B$28:$GQ$28,0)+COUNTIF($B$28:BQ28,BQ28)-1</f>
        <v>131</v>
      </c>
      <c r="BR29">
        <f>RANK(BR28,$B$28:$GQ$28,0)+COUNTIF($B$28:BR28,BR28)-1</f>
        <v>163</v>
      </c>
      <c r="BS29">
        <f>RANK(BS28,$B$28:$GQ$28,0)+COUNTIF($B$28:BS28,BS28)-1</f>
        <v>93</v>
      </c>
      <c r="BT29">
        <f>RANK(BT28,$B$28:$GQ$28,0)+COUNTIF($B$28:BT28,BT28)-1</f>
        <v>106</v>
      </c>
      <c r="BU29">
        <f>RANK(BU28,$B$28:$GQ$28,0)+COUNTIF($B$28:BU28,BU28)-1</f>
        <v>10</v>
      </c>
      <c r="BV29">
        <f>RANK(BV28,$B$28:$GQ$28,0)+COUNTIF($B$28:BV28,BV28)-1</f>
        <v>120</v>
      </c>
      <c r="BW29">
        <f>RANK(BW28,$B$28:$GQ$28,0)+COUNTIF($B$28:BW28,BW28)-1</f>
        <v>164</v>
      </c>
      <c r="BX29">
        <f>RANK(BX28,$B$28:$GQ$28,0)+COUNTIF($B$28:BX28,BX28)-1</f>
        <v>70</v>
      </c>
      <c r="BY29">
        <f>RANK(BY28,$B$28:$GQ$28,0)+COUNTIF($B$28:BY28,BY28)-1</f>
        <v>165</v>
      </c>
      <c r="BZ29">
        <f>RANK(BZ28,$B$28:$GQ$28,0)+COUNTIF($B$28:BZ28,BZ28)-1</f>
        <v>166</v>
      </c>
      <c r="CA29">
        <f>RANK(CA28,$B$28:$GQ$28,0)+COUNTIF($B$28:CA28,CA28)-1</f>
        <v>167</v>
      </c>
      <c r="CB29">
        <f>RANK(CB28,$B$28:$GQ$28,0)+COUNTIF($B$28:CB28,CB28)-1</f>
        <v>168</v>
      </c>
      <c r="CC29">
        <f>RANK(CC28,$B$28:$GQ$28,0)+COUNTIF($B$28:CC28,CC28)-1</f>
        <v>169</v>
      </c>
      <c r="CD29">
        <f>RANK(CD28,$B$28:$GQ$28,0)+COUNTIF($B$28:CD28,CD28)-1</f>
        <v>170</v>
      </c>
      <c r="CE29">
        <f>RANK(CE28,$B$28:$GQ$28,0)+COUNTIF($B$28:CE28,CE28)-1</f>
        <v>171</v>
      </c>
      <c r="CF29">
        <f>RANK(CF28,$B$28:$GQ$28,0)+COUNTIF($B$28:CF28,CF28)-1</f>
        <v>172</v>
      </c>
      <c r="CG29">
        <f>RANK(CG28,$B$28:$GQ$28,0)+COUNTIF($B$28:CG28,CG28)-1</f>
        <v>173</v>
      </c>
      <c r="CH29">
        <f>RANK(CH28,$B$28:$GQ$28,0)+COUNTIF($B$28:CH28,CH28)-1</f>
        <v>174</v>
      </c>
      <c r="CI29">
        <f>RANK(CI28,$B$28:$GQ$28,0)+COUNTIF($B$28:CI28,CI28)-1</f>
        <v>6</v>
      </c>
      <c r="CJ29">
        <f>RANK(CJ28,$B$28:$GQ$28,0)+COUNTIF($B$28:CJ28,CJ28)-1</f>
        <v>68</v>
      </c>
      <c r="CK29">
        <f>RANK(CK28,$B$28:$GQ$28,0)+COUNTIF($B$28:CK28,CK28)-1</f>
        <v>119</v>
      </c>
      <c r="CL29">
        <f>RANK(CL28,$B$28:$GQ$28,0)+COUNTIF($B$28:CL28,CL28)-1</f>
        <v>73</v>
      </c>
      <c r="CM29">
        <f>RANK(CM28,$B$28:$GQ$28,0)+COUNTIF($B$28:CM28,CM28)-1</f>
        <v>3</v>
      </c>
      <c r="CN29">
        <f>RANK(CN28,$B$28:$GQ$28,0)+COUNTIF($B$28:CN28,CN28)-1</f>
        <v>175</v>
      </c>
      <c r="CO29">
        <f>RANK(CO28,$B$28:$GQ$28,0)+COUNTIF($B$28:CO28,CO28)-1</f>
        <v>176</v>
      </c>
      <c r="CP29">
        <f>RANK(CP28,$B$28:$GQ$28,0)+COUNTIF($B$28:CP28,CP28)-1</f>
        <v>76</v>
      </c>
      <c r="CQ29">
        <f>RANK(CQ28,$B$28:$GQ$28,0)+COUNTIF($B$28:CQ28,CQ28)-1</f>
        <v>72</v>
      </c>
      <c r="CR29">
        <f>RANK(CR28,$B$28:$GQ$28,0)+COUNTIF($B$28:CR28,CR28)-1</f>
        <v>177</v>
      </c>
      <c r="CS29">
        <f>RANK(CS28,$B$28:$GQ$28,0)+COUNTIF($B$28:CS28,CS28)-1</f>
        <v>178</v>
      </c>
      <c r="CT29">
        <f>RANK(CT28,$B$28:$GQ$28,0)+COUNTIF($B$28:CT28,CT28)-1</f>
        <v>179</v>
      </c>
      <c r="CU29">
        <f>RANK(CU28,$B$28:$GQ$28,0)+COUNTIF($B$28:CU28,CU28)-1</f>
        <v>36</v>
      </c>
      <c r="CV29">
        <f>RANK(CV28,$B$28:$GQ$28,0)+COUNTIF($B$28:CV28,CV28)-1</f>
        <v>115</v>
      </c>
      <c r="CW29">
        <f>RANK(CW28,$B$28:$GQ$28,0)+COUNTIF($B$28:CW28,CW28)-1</f>
        <v>87</v>
      </c>
      <c r="CX29">
        <f>RANK(CX28,$B$28:$GQ$28,0)+COUNTIF($B$28:CX28,CX28)-1</f>
        <v>110</v>
      </c>
      <c r="CY29">
        <f>RANK(CY28,$B$28:$GQ$28,0)+COUNTIF($B$28:CY28,CY28)-1</f>
        <v>34</v>
      </c>
      <c r="CZ29">
        <f>RANK(CZ28,$B$28:$GQ$28,0)+COUNTIF($B$28:CZ28,CZ28)-1</f>
        <v>132</v>
      </c>
      <c r="DA29">
        <f>RANK(DA28,$B$28:$GQ$28,0)+COUNTIF($B$28:DA28,DA28)-1</f>
        <v>133</v>
      </c>
      <c r="DB29">
        <f>RANK(DB28,$B$28:$GQ$28,0)+COUNTIF($B$28:DB28,DB28)-1</f>
        <v>121</v>
      </c>
      <c r="DC29">
        <f>RANK(DC28,$B$28:$GQ$28,0)+COUNTIF($B$28:DC28,DC28)-1</f>
        <v>180</v>
      </c>
      <c r="DD29">
        <f>RANK(DD28,$B$28:$GQ$28,0)+COUNTIF($B$28:DD28,DD28)-1</f>
        <v>124</v>
      </c>
      <c r="DE29">
        <f>RANK(DE28,$B$28:$GQ$28,0)+COUNTIF($B$28:DE28,DE28)-1</f>
        <v>129</v>
      </c>
      <c r="DF29">
        <f>RANK(DF28,$B$28:$GQ$28,0)+COUNTIF($B$28:DF28,DF28)-1</f>
        <v>181</v>
      </c>
      <c r="DG29">
        <f>RANK(DG28,$B$28:$GQ$28,0)+COUNTIF($B$28:DG28,DG28)-1</f>
        <v>182</v>
      </c>
      <c r="DH29">
        <f>RANK(DH28,$B$28:$GQ$28,0)+COUNTIF($B$28:DH28,DH28)-1</f>
        <v>183</v>
      </c>
      <c r="DI29">
        <f>RANK(DI28,$B$28:$GQ$28,0)+COUNTIF($B$28:DI28,DI28)-1</f>
        <v>184</v>
      </c>
      <c r="DJ29">
        <f>RANK(DJ28,$B$28:$GQ$28,0)+COUNTIF($B$28:DJ28,DJ28)-1</f>
        <v>113</v>
      </c>
      <c r="DK29">
        <f>RANK(DK28,$B$28:$GQ$28,0)+COUNTIF($B$28:DK28,DK28)-1</f>
        <v>185</v>
      </c>
      <c r="DL29">
        <f>RANK(DL28,$B$28:$GQ$28,0)+COUNTIF($B$28:DL28,DL28)-1</f>
        <v>130</v>
      </c>
      <c r="DM29">
        <f>RANK(DM28,$B$28:$GQ$28,0)+COUNTIF($B$28:DM28,DM28)-1</f>
        <v>45</v>
      </c>
      <c r="DN29">
        <f>RANK(DN28,$B$28:$GQ$28,0)+COUNTIF($B$28:DN28,DN28)-1</f>
        <v>83</v>
      </c>
      <c r="DO29">
        <f>RANK(DO28,$B$28:$GQ$28,0)+COUNTIF($B$28:DO28,DO28)-1</f>
        <v>50</v>
      </c>
      <c r="DP29">
        <f>RANK(DP28,$B$28:$GQ$28,0)+COUNTIF($B$28:DP28,DP28)-1</f>
        <v>49</v>
      </c>
      <c r="DQ29">
        <f>RANK(DQ28,$B$28:$GQ$28,0)+COUNTIF($B$28:DQ28,DQ28)-1</f>
        <v>61</v>
      </c>
      <c r="DR29">
        <f>RANK(DR28,$B$28:$GQ$28,0)+COUNTIF($B$28:DR28,DR28)-1</f>
        <v>55</v>
      </c>
      <c r="DS29">
        <f>RANK(DS28,$B$28:$GQ$28,0)+COUNTIF($B$28:DS28,DS28)-1</f>
        <v>7</v>
      </c>
      <c r="DT29">
        <f>RANK(DT28,$B$28:$GQ$28,0)+COUNTIF($B$28:DT28,DT28)-1</f>
        <v>56</v>
      </c>
      <c r="DU29">
        <f>RANK(DU28,$B$28:$GQ$28,0)+COUNTIF($B$28:DU28,DU28)-1</f>
        <v>19</v>
      </c>
      <c r="DV29">
        <f>RANK(DV28,$B$28:$GQ$28,0)+COUNTIF($B$28:DV28,DV28)-1</f>
        <v>186</v>
      </c>
      <c r="DW29">
        <f>RANK(DW28,$B$28:$GQ$28,0)+COUNTIF($B$28:DW28,DW28)-1</f>
        <v>187</v>
      </c>
      <c r="DX29">
        <f>RANK(DX28,$B$28:$GQ$28,0)+COUNTIF($B$28:DX28,DX28)-1</f>
        <v>65</v>
      </c>
      <c r="DY29">
        <f>RANK(DY28,$B$28:$GQ$28,0)+COUNTIF($B$28:DY28,DY28)-1</f>
        <v>77</v>
      </c>
      <c r="DZ29">
        <f>RANK(DZ28,$B$28:$GQ$28,0)+COUNTIF($B$28:DZ28,DZ28)-1</f>
        <v>44</v>
      </c>
      <c r="EA29">
        <f>RANK(EA28,$B$28:$GQ$28,0)+COUNTIF($B$28:EA28,EA28)-1</f>
        <v>75</v>
      </c>
      <c r="EB29">
        <f>RANK(EB28,$B$28:$GQ$28,0)+COUNTIF($B$28:EB28,EB28)-1</f>
        <v>98</v>
      </c>
      <c r="EC29">
        <f>RANK(EC28,$B$28:$GQ$28,0)+COUNTIF($B$28:EC28,EC28)-1</f>
        <v>103</v>
      </c>
      <c r="ED29">
        <f>RANK(ED28,$B$28:$GQ$28,0)+COUNTIF($B$28:ED28,ED28)-1</f>
        <v>99</v>
      </c>
      <c r="EE29">
        <f>RANK(EE28,$B$28:$GQ$28,0)+COUNTIF($B$28:EE28,EE28)-1</f>
        <v>116</v>
      </c>
      <c r="EF29">
        <f>RANK(EF28,$B$28:$GQ$28,0)+COUNTIF($B$28:EF28,EF28)-1</f>
        <v>188</v>
      </c>
      <c r="EG29">
        <f>RANK(EG28,$B$28:$GQ$28,0)+COUNTIF($B$28:EG28,EG28)-1</f>
        <v>122</v>
      </c>
      <c r="EH29">
        <f>RANK(EH28,$B$28:$GQ$28,0)+COUNTIF($B$28:EH28,EH28)-1</f>
        <v>189</v>
      </c>
      <c r="EI29">
        <f>RANK(EI28,$B$28:$GQ$28,0)+COUNTIF($B$28:EI28,EI28)-1</f>
        <v>190</v>
      </c>
      <c r="EJ29">
        <f>RANK(EJ28,$B$28:$GQ$28,0)+COUNTIF($B$28:EJ28,EJ28)-1</f>
        <v>79</v>
      </c>
      <c r="EK29">
        <f>RANK(EK28,$B$28:$GQ$28,0)+COUNTIF($B$28:EK28,EK28)-1</f>
        <v>64</v>
      </c>
      <c r="EL29">
        <f>RANK(EL28,$B$28:$GQ$28,0)+COUNTIF($B$28:EL28,EL28)-1</f>
        <v>191</v>
      </c>
      <c r="EM29">
        <f>RANK(EM28,$B$28:$GQ$28,0)+COUNTIF($B$28:EM28,EM28)-1</f>
        <v>192</v>
      </c>
      <c r="EN29">
        <f>RANK(EN28,$B$28:$GQ$28,0)+COUNTIF($B$28:EN28,EN28)-1</f>
        <v>193</v>
      </c>
      <c r="EO29">
        <f>RANK(EO28,$B$28:$GQ$28,0)+COUNTIF($B$28:EO28,EO28)-1</f>
        <v>194</v>
      </c>
      <c r="EP29">
        <f>RANK(EP28,$B$28:$GQ$28,0)+COUNTIF($B$28:EP28,EP28)-1</f>
        <v>195</v>
      </c>
      <c r="EQ29">
        <f>RANK(EQ28,$B$28:$GQ$28,0)+COUNTIF($B$28:EQ28,EQ28)-1</f>
        <v>38</v>
      </c>
      <c r="ER29">
        <f>RANK(ER28,$B$28:$GQ$28,0)+COUNTIF($B$28:ER28,ER28)-1</f>
        <v>35</v>
      </c>
      <c r="ES29">
        <f>RANK(ES28,$B$28:$GQ$28,0)+COUNTIF($B$28:ES28,ES28)-1</f>
        <v>60</v>
      </c>
      <c r="ET29">
        <f>RANK(ET28,$B$28:$GQ$28,0)+COUNTIF($B$28:ET28,ET28)-1</f>
        <v>29</v>
      </c>
      <c r="EU29">
        <f>RANK(EU28,$B$28:$GQ$28,0)+COUNTIF($B$28:EU28,EU28)-1</f>
        <v>196</v>
      </c>
      <c r="EV29">
        <f>RANK(EV28,$B$28:$GQ$28,0)+COUNTIF($B$28:EV28,EV28)-1</f>
        <v>48</v>
      </c>
      <c r="EW29">
        <f>RANK(EW28,$B$28:$GQ$28,0)+COUNTIF($B$28:EW28,EW28)-1</f>
        <v>92</v>
      </c>
      <c r="EX29">
        <f>RANK(EX28,$B$28:$GQ$28,0)+COUNTIF($B$28:EX28,EX28)-1</f>
        <v>66</v>
      </c>
      <c r="EY29">
        <f>RANK(EY28,$B$28:$GQ$28,0)+COUNTIF($B$28:EY28,EY28)-1</f>
        <v>69</v>
      </c>
      <c r="EZ29">
        <f>RANK(EZ28,$B$28:$GQ$28,0)+COUNTIF($B$28:EZ28,EZ28)-1</f>
        <v>12</v>
      </c>
      <c r="FA29">
        <f>RANK(FA28,$B$28:$GQ$28,0)+COUNTIF($B$28:FA28,FA28)-1</f>
        <v>24</v>
      </c>
      <c r="FB29">
        <f>RANK(FB28,$B$28:$GQ$28,0)+COUNTIF($B$28:FB28,FB28)-1</f>
        <v>20</v>
      </c>
      <c r="FC29">
        <f>RANK(FC28,$B$28:$GQ$28,0)+COUNTIF($B$28:FC28,FC28)-1</f>
        <v>82</v>
      </c>
      <c r="FD29">
        <f>RANK(FD28,$B$28:$GQ$28,0)+COUNTIF($B$28:FD28,FD28)-1</f>
        <v>43</v>
      </c>
      <c r="FE29">
        <f>RANK(FE28,$B$28:$GQ$28,0)+COUNTIF($B$28:FE28,FE28)-1</f>
        <v>41</v>
      </c>
      <c r="FF29">
        <f>RANK(FF28,$B$28:$GQ$28,0)+COUNTIF($B$28:FF28,FF28)-1</f>
        <v>18</v>
      </c>
      <c r="FG29">
        <f>RANK(FG28,$B$28:$GQ$28,0)+COUNTIF($B$28:FG28,FG28)-1</f>
        <v>37</v>
      </c>
      <c r="FH29">
        <f>RANK(FH28,$B$28:$GQ$28,0)+COUNTIF($B$28:FH28,FH28)-1</f>
        <v>27</v>
      </c>
      <c r="FI29">
        <f>RANK(FI28,$B$28:$GQ$28,0)+COUNTIF($B$28:FI28,FI28)-1</f>
        <v>47</v>
      </c>
      <c r="FJ29">
        <f>RANK(FJ28,$B$28:$GQ$28,0)+COUNTIF($B$28:FJ28,FJ28)-1</f>
        <v>28</v>
      </c>
      <c r="FK29">
        <f>RANK(FK28,$B$28:$GQ$28,0)+COUNTIF($B$28:FK28,FK28)-1</f>
        <v>197</v>
      </c>
      <c r="FL29">
        <f>RANK(FL28,$B$28:$GQ$28,0)+COUNTIF($B$28:FL28,FL28)-1</f>
        <v>1</v>
      </c>
      <c r="FM29">
        <f>RANK(FM28,$B$28:$GQ$28,0)+COUNTIF($B$28:FM28,FM28)-1</f>
        <v>74</v>
      </c>
      <c r="FN29">
        <f>RANK(FN28,$B$28:$GQ$28,0)+COUNTIF($B$28:FN28,FN28)-1</f>
        <v>117</v>
      </c>
      <c r="FO29">
        <f>RANK(FO28,$B$28:$GQ$28,0)+COUNTIF($B$28:FO28,FO28)-1</f>
        <v>22</v>
      </c>
      <c r="FP29">
        <f>RANK(FP28,$B$28:$GQ$28,0)+COUNTIF($B$28:FP28,FP28)-1</f>
        <v>52</v>
      </c>
      <c r="FQ29">
        <f>RANK(FQ28,$B$28:$GQ$28,0)+COUNTIF($B$28:FQ28,FQ28)-1</f>
        <v>2</v>
      </c>
      <c r="FR29">
        <f>RANK(FR28,$B$28:$GQ$28,0)+COUNTIF($B$28:FR28,FR28)-1</f>
        <v>11</v>
      </c>
      <c r="FS29">
        <f>RANK(FS28,$B$28:$GQ$28,0)+COUNTIF($B$28:FS28,FS28)-1</f>
        <v>5</v>
      </c>
      <c r="FT29">
        <f>RANK(FT28,$B$28:$GQ$28,0)+COUNTIF($B$28:FT28,FT28)-1</f>
        <v>89</v>
      </c>
      <c r="FU29">
        <f>RANK(FU28,$B$28:$GQ$28,0)+COUNTIF($B$28:FU28,FU28)-1</f>
        <v>88</v>
      </c>
      <c r="FV29">
        <f>RANK(FV28,$B$28:$GQ$28,0)+COUNTIF($B$28:FV28,FV28)-1</f>
        <v>101</v>
      </c>
      <c r="FW29">
        <f>RANK(FW28,$B$28:$GQ$28,0)+COUNTIF($B$28:FW28,FW28)-1</f>
        <v>84</v>
      </c>
      <c r="FX29">
        <f>RANK(FX28,$B$28:$GQ$28,0)+COUNTIF($B$28:FX28,FX28)-1</f>
        <v>109</v>
      </c>
      <c r="FY29">
        <f>RANK(FY28,$B$28:$GQ$28,0)+COUNTIF($B$28:FY28,FY28)-1</f>
        <v>107</v>
      </c>
      <c r="FZ29">
        <f>RANK(FZ28,$B$28:$GQ$28,0)+COUNTIF($B$28:FZ28,FZ28)-1</f>
        <v>85</v>
      </c>
      <c r="GA29">
        <f>RANK(GA28,$B$28:$GQ$28,0)+COUNTIF($B$28:GA28,GA28)-1</f>
        <v>114</v>
      </c>
      <c r="GB29">
        <f>RANK(GB28,$B$28:$GQ$28,0)+COUNTIF($B$28:GB28,GB28)-1</f>
        <v>126</v>
      </c>
      <c r="GC29">
        <f>RANK(GC28,$B$28:$GQ$28,0)+COUNTIF($B$28:GC28,GC28)-1</f>
        <v>91</v>
      </c>
      <c r="GD29">
        <f>RANK(GD28,$B$28:$GQ$28,0)+COUNTIF($B$28:GD28,GD28)-1</f>
        <v>96</v>
      </c>
      <c r="GE29">
        <f>RANK(GE28,$B$28:$GQ$28,0)+COUNTIF($B$28:GE28,GE28)-1</f>
        <v>128</v>
      </c>
      <c r="GF29">
        <f>RANK(GF28,$B$28:$GQ$28,0)+COUNTIF($B$28:GF28,GF28)-1</f>
        <v>105</v>
      </c>
      <c r="GG29">
        <f>RANK(GG28,$B$28:$GQ$28,0)+COUNTIF($B$28:GG28,GG28)-1</f>
        <v>95</v>
      </c>
      <c r="GH29">
        <f>RANK(GH28,$B$28:$GQ$28,0)+COUNTIF($B$28:GH28,GH28)-1</f>
        <v>97</v>
      </c>
      <c r="GI29">
        <f>RANK(GI28,$B$28:$GQ$28,0)+COUNTIF($B$28:GI28,GI28)-1</f>
        <v>102</v>
      </c>
      <c r="GJ29">
        <f>RANK(GJ28,$B$28:$GQ$28,0)+COUNTIF($B$28:GJ28,GJ28)-1</f>
        <v>112</v>
      </c>
      <c r="GK29">
        <f>RANK(GK28,$B$28:$GQ$28,0)+COUNTIF($B$28:GK28,GK28)-1</f>
        <v>81</v>
      </c>
      <c r="GL29">
        <f>RANK(GL28,$B$28:$GQ$28,0)+COUNTIF($B$28:GL28,GL28)-1</f>
        <v>118</v>
      </c>
      <c r="GM29">
        <f>RANK(GM28,$B$28:$GQ$28,0)+COUNTIF($B$28:GM28,GM28)-1</f>
        <v>108</v>
      </c>
      <c r="GN29">
        <f>RANK(GN28,$B$28:$GQ$28,0)+COUNTIF($B$28:GN28,GN28)-1</f>
        <v>42</v>
      </c>
      <c r="GO29">
        <f>RANK(GO28,$B$28:$GQ$28,0)+COUNTIF($B$28:GO28,GO28)-1</f>
        <v>9</v>
      </c>
      <c r="GP29">
        <f>RANK(GP28,$B$28:$GQ$28,0)+COUNTIF($B$28:GP28,GP28)-1</f>
        <v>62</v>
      </c>
      <c r="GQ29">
        <f>RANK(GQ28,$B$28:$GQ$28,0)+COUNTIF($B$28:GQ28,GQ28)-1</f>
        <v>198</v>
      </c>
    </row>
    <row r="30" spans="1:211" x14ac:dyDescent="0.45">
      <c r="A30" s="1" t="s">
        <v>223</v>
      </c>
      <c r="GR30">
        <f>RANK(GR28,$GR$28:$HC$28,0)+COUNTIF($GR$28:GR28,GR28)-1</f>
        <v>10</v>
      </c>
      <c r="GS30">
        <f>RANK(GS28,$GR$28:$HC$28,0)+COUNTIF($GR$28:GS28,GS28)-1</f>
        <v>12</v>
      </c>
      <c r="GT30">
        <f>RANK(GT28,$GR$28:$HC$28,0)+COUNTIF($GR$28:GT28,GT28)-1</f>
        <v>6</v>
      </c>
      <c r="GU30">
        <f>RANK(GU28,$GR$28:$HC$28,0)+COUNTIF($GR$28:GU28,GU28)-1</f>
        <v>8</v>
      </c>
      <c r="GV30">
        <f>RANK(GV28,$GR$28:$HC$28,0)+COUNTIF($GR$28:GV28,GV28)-1</f>
        <v>11</v>
      </c>
      <c r="GW30">
        <f>RANK(GW28,$GR$28:$HC$28,0)+COUNTIF($GR$28:GW28,GW28)-1</f>
        <v>5</v>
      </c>
      <c r="GX30">
        <f>RANK(GX28,$GR$28:$HC$28,0)+COUNTIF($GR$28:GX28,GX28)-1</f>
        <v>1</v>
      </c>
      <c r="GY30">
        <f>RANK(GY28,$GR$28:$HC$28,0)+COUNTIF($GR$28:GY28,GY28)-1</f>
        <v>4</v>
      </c>
      <c r="GZ30">
        <f>RANK(GZ28,$GR$28:$HC$28,0)+COUNTIF($GR$28:GZ28,GZ28)-1</f>
        <v>7</v>
      </c>
      <c r="HA30">
        <f>RANK(HA28,$GR$28:$HC$28,0)+COUNTIF($GR$28:HA28,HA28)-1</f>
        <v>3</v>
      </c>
      <c r="HB30">
        <f>RANK(HB28,$GR$28:$HC$28,0)+COUNTIF($GR$28:HB28,HB28)-1</f>
        <v>9</v>
      </c>
      <c r="HC30">
        <f>RANK(HC28,$GR$28:$HC$28,0)+COUNTIF($GR$28:HC28,HC28)-1</f>
        <v>2</v>
      </c>
    </row>
  </sheetData>
  <dataValidations count="1">
    <dataValidation type="list" sqref="B1" xr:uid="{00000000-0002-0000-0700-000000000000}">
      <formula1>$A$18:$A$27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N surplus</vt:lpstr>
      <vt:lpstr>P surplus</vt:lpstr>
      <vt:lpstr>Blue water consumption</vt:lpstr>
      <vt:lpstr>Cropland use</vt:lpstr>
      <vt:lpstr>GHG emissions</vt:lpstr>
      <vt:lpstr>Biodiversity loss - PDF</vt:lpstr>
      <vt:lpstr>Biodiversity loss - HANPP</vt:lpstr>
      <vt:lpstr>Raw material 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Arnaud Destarac (Student at CentraleSupelec)</cp:lastModifiedBy>
  <dcterms:created xsi:type="dcterms:W3CDTF">2026-10-04T14:28:44Z</dcterms:created>
  <dcterms:modified xsi:type="dcterms:W3CDTF">2026-10-06T15:15:33Z</dcterms:modified>
</cp:coreProperties>
</file>