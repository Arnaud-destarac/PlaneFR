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PlaneFR\Archives\Data\3.10.2\base-year_2015\extensions\dom_land_use\"/>
    </mc:Choice>
  </mc:AlternateContent>
  <xr:revisionPtr revIDLastSave="0" documentId="13_ncr:1_{D375DE25-9210-4279-AFD9-ECCA1FE61531}" xr6:coauthVersionLast="47" xr6:coauthVersionMax="47" xr10:uidLastSave="{00000000-0000-0000-0000-000000000000}"/>
  <bookViews>
    <workbookView xWindow="-103" yWindow="-103" windowWidth="16663" windowHeight="9017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9" i="1" l="1"/>
  <c r="J37" i="1"/>
  <c r="K37" i="1"/>
  <c r="L37" i="1"/>
  <c r="N37" i="1"/>
  <c r="O37" i="1"/>
  <c r="P37" i="1"/>
  <c r="C37" i="1"/>
  <c r="D37" i="1"/>
  <c r="E37" i="1"/>
  <c r="F37" i="1"/>
  <c r="G37" i="1"/>
  <c r="H37" i="1"/>
  <c r="I37" i="1"/>
  <c r="M37" i="1"/>
  <c r="Q37" i="1"/>
  <c r="R37" i="1"/>
  <c r="S37" i="1"/>
  <c r="B37" i="1"/>
  <c r="B38" i="1"/>
  <c r="P35" i="1"/>
  <c r="J34" i="1"/>
  <c r="C34" i="1"/>
  <c r="D34" i="1"/>
  <c r="E34" i="1"/>
  <c r="F34" i="1"/>
  <c r="G34" i="1"/>
  <c r="H34" i="1"/>
  <c r="I34" i="1"/>
  <c r="B34" i="1"/>
  <c r="P33" i="1"/>
  <c r="Q33" i="1"/>
  <c r="R33" i="1"/>
  <c r="S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B33" i="1"/>
  <c r="B35" i="1" l="1"/>
  <c r="O34" i="1" l="1"/>
  <c r="M34" i="1"/>
  <c r="L34" i="1"/>
  <c r="K34" i="1"/>
  <c r="P34" i="1" l="1"/>
</calcChain>
</file>

<file path=xl/sharedStrings.xml><?xml version="1.0" encoding="utf-8"?>
<sst xmlns="http://schemas.openxmlformats.org/spreadsheetml/2006/main" count="324" uniqueCount="281">
  <si>
    <t>region</t>
  </si>
  <si>
    <t>France</t>
  </si>
  <si>
    <t>category</t>
  </si>
  <si>
    <t>Agriculture</t>
  </si>
  <si>
    <t>Extractive_industry</t>
  </si>
  <si>
    <t>Manufacturing_industry</t>
  </si>
  <si>
    <t>Energy_industry</t>
  </si>
  <si>
    <t>Water_and_waste_treatment</t>
  </si>
  <si>
    <t>Construction</t>
  </si>
  <si>
    <t>Oth_services</t>
  </si>
  <si>
    <t>Transports</t>
  </si>
  <si>
    <t>sub_category</t>
  </si>
  <si>
    <t>Primary_Crops</t>
  </si>
  <si>
    <t>Farm_animals</t>
  </si>
  <si>
    <t>Forestry</t>
  </si>
  <si>
    <t>Fishing</t>
  </si>
  <si>
    <t>Fossil_fuels</t>
  </si>
  <si>
    <t>Metal_ores</t>
  </si>
  <si>
    <t>NonMetallic_Minerals</t>
  </si>
  <si>
    <t>Food_industry</t>
  </si>
  <si>
    <t>Clothing_industry</t>
  </si>
  <si>
    <t>Primary_materials</t>
  </si>
  <si>
    <t>Secondary_materials</t>
  </si>
  <si>
    <t>Materials</t>
  </si>
  <si>
    <t>Other_manufacturing_industry</t>
  </si>
  <si>
    <t>Coal</t>
  </si>
  <si>
    <t>Motor_fuels</t>
  </si>
  <si>
    <t>Other_fuels</t>
  </si>
  <si>
    <t>Nuclear_fuel</t>
  </si>
  <si>
    <t>Bioenergy</t>
  </si>
  <si>
    <t>Transport_equipment</t>
  </si>
  <si>
    <t>Electricity</t>
  </si>
  <si>
    <t>Energy_Services</t>
  </si>
  <si>
    <t>Gas</t>
  </si>
  <si>
    <t>Heat</t>
  </si>
  <si>
    <t>Water_services</t>
  </si>
  <si>
    <t>Business_services</t>
  </si>
  <si>
    <t>Trade_services</t>
  </si>
  <si>
    <t>Land_transport</t>
  </si>
  <si>
    <t>Water_transport</t>
  </si>
  <si>
    <t>Air_transport</t>
  </si>
  <si>
    <t>Public_services</t>
  </si>
  <si>
    <t>Incineration</t>
  </si>
  <si>
    <t>Land_application</t>
  </si>
  <si>
    <t>Other_waste_treatment</t>
  </si>
  <si>
    <t>Landfill</t>
  </si>
  <si>
    <t>sector</t>
  </si>
  <si>
    <t>Paddy rice</t>
  </si>
  <si>
    <t>Wheat</t>
  </si>
  <si>
    <t>Cereal grains nec</t>
  </si>
  <si>
    <t>Vegetables, fruit, nuts</t>
  </si>
  <si>
    <t>Oil seeds</t>
  </si>
  <si>
    <t>Sugar cane, sugar beet</t>
  </si>
  <si>
    <t>Plant-based fibers</t>
  </si>
  <si>
    <t>Crops nec</t>
  </si>
  <si>
    <t>Cattle</t>
  </si>
  <si>
    <t>Pigs</t>
  </si>
  <si>
    <t>Poultry</t>
  </si>
  <si>
    <t>Meat animals nec</t>
  </si>
  <si>
    <t>Animal products nec</t>
  </si>
  <si>
    <t>Raw milk</t>
  </si>
  <si>
    <t>Wool, silk-worm cocoons</t>
  </si>
  <si>
    <t>Manure (conventional treatment)</t>
  </si>
  <si>
    <t>Manure (biogas treatment)</t>
  </si>
  <si>
    <t>Products of forestry, logging and related services (02)</t>
  </si>
  <si>
    <t>Fish and other fishing products; services incidental of fishing (05)</t>
  </si>
  <si>
    <t>Anthracite</t>
  </si>
  <si>
    <t>Coking Coal</t>
  </si>
  <si>
    <t>Other Bituminous Coal</t>
  </si>
  <si>
    <t>Sub-Bituminous Coal</t>
  </si>
  <si>
    <t>Patent Fuel</t>
  </si>
  <si>
    <t>Lignite/Brown Coal</t>
  </si>
  <si>
    <t>BKB/Peat Briquettes</t>
  </si>
  <si>
    <t>Peat</t>
  </si>
  <si>
    <t>Crude petroleum and services related to crude oil extraction, excluding surveying</t>
  </si>
  <si>
    <t>Natural gas and services related to natural gas extraction, excluding surveying</t>
  </si>
  <si>
    <t>Natural Gas Liquids</t>
  </si>
  <si>
    <t>Other Hydrocarbons</t>
  </si>
  <si>
    <t>Uranium and thorium ores (12)</t>
  </si>
  <si>
    <t>Iron ores</t>
  </si>
  <si>
    <t>Copper ores and concentrates</t>
  </si>
  <si>
    <t>Nickel ores and concentrates</t>
  </si>
  <si>
    <t>Aluminium ores and concentrates</t>
  </si>
  <si>
    <t>Precious metal ores and concentrates</t>
  </si>
  <si>
    <t>Lead, zinc and tin ores and concentrates</t>
  </si>
  <si>
    <t>Other non-ferrous metal ores and concentrates</t>
  </si>
  <si>
    <t>Stone</t>
  </si>
  <si>
    <t>Sand and clay</t>
  </si>
  <si>
    <t>Chemical and fertilizer minerals, salt and other mining and quarrying products n.e.c.</t>
  </si>
  <si>
    <t>Products of meat cattle</t>
  </si>
  <si>
    <t>Products of meat pigs</t>
  </si>
  <si>
    <t>Products of meat poultry</t>
  </si>
  <si>
    <t>Meat products nec</t>
  </si>
  <si>
    <t>products of Vegetable oils and fats</t>
  </si>
  <si>
    <t>Dairy products</t>
  </si>
  <si>
    <t>Processed rice</t>
  </si>
  <si>
    <t>Sugar</t>
  </si>
  <si>
    <t>Food products nec</t>
  </si>
  <si>
    <t>Beverages</t>
  </si>
  <si>
    <t>Fish products</t>
  </si>
  <si>
    <t>Tobacco products (16)</t>
  </si>
  <si>
    <t>Textiles (17)</t>
  </si>
  <si>
    <t>Wearing apparel; furs (18)</t>
  </si>
  <si>
    <t>Leather and leather products (19)</t>
  </si>
  <si>
    <t>Wood and products of wood and cork (except furniture); articles of straw and plaiting materials (20)</t>
  </si>
  <si>
    <t>Wood material for treatment, Re-processing of secondary wood material into new wood material</t>
  </si>
  <si>
    <t>Pulp</t>
  </si>
  <si>
    <t>Secondary paper for treatment, Re-processing of secondary paper into new pulp</t>
  </si>
  <si>
    <t>Paper and paper products</t>
  </si>
  <si>
    <t>Printed matter and recorded media (22)</t>
  </si>
  <si>
    <t>Coke Oven Coke</t>
  </si>
  <si>
    <t>Gas Coke</t>
  </si>
  <si>
    <t>Coal Tar</t>
  </si>
  <si>
    <t>Motor Gasoline</t>
  </si>
  <si>
    <t>Aviation Gasoline</t>
  </si>
  <si>
    <t>Gasoline Type Jet Fuel</t>
  </si>
  <si>
    <t>Kerosene Type Jet Fuel</t>
  </si>
  <si>
    <t>Kerosene</t>
  </si>
  <si>
    <t>Gas/Diesel Oil</t>
  </si>
  <si>
    <t>Heavy Fuel Oil</t>
  </si>
  <si>
    <t>Refinery Gas</t>
  </si>
  <si>
    <t>Liquefied Petroleum Gases (LPG)</t>
  </si>
  <si>
    <t>Refinery Feedstocks</t>
  </si>
  <si>
    <t>Ethane</t>
  </si>
  <si>
    <t>Naphtha</t>
  </si>
  <si>
    <t>White Spirit &amp; SBP</t>
  </si>
  <si>
    <t>Lubricants</t>
  </si>
  <si>
    <t>Bitumen</t>
  </si>
  <si>
    <t>Paraffin Waxes</t>
  </si>
  <si>
    <t>Petroleum Coke</t>
  </si>
  <si>
    <t>Non-specified Petroleum Products</t>
  </si>
  <si>
    <t>Nuclear fuel</t>
  </si>
  <si>
    <t>Plastics, basic</t>
  </si>
  <si>
    <t>Secondary plastic for treatment, Re-processing of secondary plastic into new plastic</t>
  </si>
  <si>
    <t>N-fertiliser</t>
  </si>
  <si>
    <t>P- and other fertiliser</t>
  </si>
  <si>
    <t>Chemicals nec</t>
  </si>
  <si>
    <t>Charcoal</t>
  </si>
  <si>
    <t>Additives/Blending Components</t>
  </si>
  <si>
    <t>Biogasoline</t>
  </si>
  <si>
    <t>Biodiesels</t>
  </si>
  <si>
    <t>Other Liquid Biofuels</t>
  </si>
  <si>
    <t>Rubber and plastic products (25)</t>
  </si>
  <si>
    <t>Glass and glass products</t>
  </si>
  <si>
    <t>Secondary glass for treatment, Re-processing of secondary glass into new glass</t>
  </si>
  <si>
    <t>Ceramic goods</t>
  </si>
  <si>
    <t>Bricks, tiles and construction products, in baked clay</t>
  </si>
  <si>
    <t>Cement, lime and plaster</t>
  </si>
  <si>
    <t>Ash for treatment, Re-processing of ash into clinker</t>
  </si>
  <si>
    <t>Other non-metallic mineral products</t>
  </si>
  <si>
    <t>Basic iron and steel and of ferro-alloys and first products thereof</t>
  </si>
  <si>
    <t>Secondary steel for treatment, Re-processing of secondary steel into new steel</t>
  </si>
  <si>
    <t>Precious metals</t>
  </si>
  <si>
    <t>Secondary preciuos metals for treatment, Re-processing of secondary preciuos metals into new preciuos metals</t>
  </si>
  <si>
    <t>Aluminium and aluminium products</t>
  </si>
  <si>
    <t>Secondary aluminium for treatment, Re-processing of secondary aluminium into new aluminium</t>
  </si>
  <si>
    <t>Lead, zinc and tin and products thereof</t>
  </si>
  <si>
    <t>Secondary lead for treatment, Re-processing of secondary lead into new lead</t>
  </si>
  <si>
    <t>Copper products</t>
  </si>
  <si>
    <t>Secondary copper for treatment, Re-processing of secondary copper into new copper</t>
  </si>
  <si>
    <t>Other non-ferrous metal products</t>
  </si>
  <si>
    <t>Secondary other non-ferrous metals for treatment, Re-processing of secondary other non-ferrous metals into new other non-ferrous metals</t>
  </si>
  <si>
    <t>Foundry work services</t>
  </si>
  <si>
    <t>Fabricated metal products, except machinery and equipment (28)</t>
  </si>
  <si>
    <t>Machinery and equipment n.e.c. (29)</t>
  </si>
  <si>
    <t>Office machinery and computers (30)</t>
  </si>
  <si>
    <t>Electrical machinery and apparatus n.e.c. (31)</t>
  </si>
  <si>
    <t>Radio, television and communication equipment and apparatus (32)</t>
  </si>
  <si>
    <t>Medical, precision and optical instruments, watches and clocks (33)</t>
  </si>
  <si>
    <t>Motor vehicles, trailers and semi-trailers (34)</t>
  </si>
  <si>
    <t>Other transport equipment (35)</t>
  </si>
  <si>
    <t>Furniture; other manufactured goods n.e.c. (36)</t>
  </si>
  <si>
    <t>Secondary raw materials</t>
  </si>
  <si>
    <t>Bottles for treatment, Recycling of bottles by direct reuse</t>
  </si>
  <si>
    <t>Electricity by coal</t>
  </si>
  <si>
    <t>Electricity by gas</t>
  </si>
  <si>
    <t>Electricity by nuclear</t>
  </si>
  <si>
    <t>Electricity by hydro</t>
  </si>
  <si>
    <t>Electricity by wind</t>
  </si>
  <si>
    <t>Electricity by petroleum and other oil derivatives</t>
  </si>
  <si>
    <t>Electricity by biomass and waste</t>
  </si>
  <si>
    <t>Electricity by solar photovoltaic</t>
  </si>
  <si>
    <t>Electricity by solar thermal</t>
  </si>
  <si>
    <t>Electricity by tide, wave, ocean</t>
  </si>
  <si>
    <t>Electricity by Geothermal</t>
  </si>
  <si>
    <t>Electricity nec</t>
  </si>
  <si>
    <t>Transmission services of electricity</t>
  </si>
  <si>
    <t>Distribution and trade services of electricity</t>
  </si>
  <si>
    <t>Coke oven gas</t>
  </si>
  <si>
    <t>Blast Furnace Gas</t>
  </si>
  <si>
    <t>Oxygen Steel Furnace Gas</t>
  </si>
  <si>
    <t>Gas Works Gas</t>
  </si>
  <si>
    <t>Biogas</t>
  </si>
  <si>
    <t>Distribution services of gaseous fuels through mains</t>
  </si>
  <si>
    <t>Steam and hot water supply services</t>
  </si>
  <si>
    <t>Collected and purified water, distribution services of water (41)</t>
  </si>
  <si>
    <t>Construction work (45)</t>
  </si>
  <si>
    <t>Secondary construction material for treatment, Re-processing of secondary construction material into aggregates</t>
  </si>
  <si>
    <t>Sale, maintenance, repair of motor vehicles, motor vehicles parts, motorcycles, motor cycles parts and accessoiries</t>
  </si>
  <si>
    <t>Retail trade services of motor fuel</t>
  </si>
  <si>
    <t>Wholesale trade and commission trade services, except of motor vehicles and motorcycles (51)</t>
  </si>
  <si>
    <t>Retail  trade services, except of motor vehicles and motorcycles; repair services of personal and household goods (52)</t>
  </si>
  <si>
    <t>Hotel and restaurant services (55)</t>
  </si>
  <si>
    <t>Railway transportation services</t>
  </si>
  <si>
    <t>Other land transportation services</t>
  </si>
  <si>
    <t>Transportation services via pipelines</t>
  </si>
  <si>
    <t>Sea and coastal water transportation services</t>
  </si>
  <si>
    <t>Inland water transportation services</t>
  </si>
  <si>
    <t>Air transport services (62)</t>
  </si>
  <si>
    <t>Supporting and auxiliary transport services; travel agency services (63)</t>
  </si>
  <si>
    <t>Post and telecommunication services (64)</t>
  </si>
  <si>
    <t>Financial intermediation services, except insurance and pension funding services (65)</t>
  </si>
  <si>
    <t>Insurance and pension funding services, except compulsory social security services (66)</t>
  </si>
  <si>
    <t>Services auxiliary to financial intermediation (67)</t>
  </si>
  <si>
    <t>Real estate services (70)</t>
  </si>
  <si>
    <t>Renting services of machinery and equipment without operator and of personal and household goods (71)</t>
  </si>
  <si>
    <t>Computer and related services (72)</t>
  </si>
  <si>
    <t>Research and development services (73)</t>
  </si>
  <si>
    <t>Other business services (74)</t>
  </si>
  <si>
    <t>Public administration and defence services; compulsory social security services (75)</t>
  </si>
  <si>
    <t>Education services (80)</t>
  </si>
  <si>
    <t>Health and social work services (85)</t>
  </si>
  <si>
    <t>Food waste for treatment: incineration</t>
  </si>
  <si>
    <t>Paper waste for treatment: incineration</t>
  </si>
  <si>
    <t>Plastic waste for treatment: incineration</t>
  </si>
  <si>
    <t>Intert/metal waste for treatment: incineration</t>
  </si>
  <si>
    <t>Textiles waste for treatment: incineration</t>
  </si>
  <si>
    <t>Wood waste for treatment: incineration</t>
  </si>
  <si>
    <t>Oil/hazardous waste for treatment: incineration</t>
  </si>
  <si>
    <t>Food waste for treatment: biogasification and land application</t>
  </si>
  <si>
    <t>Paper waste for treatment: biogasification and land application</t>
  </si>
  <si>
    <t>Sewage sludge for treatment: biogasification and land application</t>
  </si>
  <si>
    <t>Food waste for treatment: composting and land application</t>
  </si>
  <si>
    <t>Paper and wood waste for treatment: composting and land application</t>
  </si>
  <si>
    <t>Food waste for treatment: waste water treatment</t>
  </si>
  <si>
    <t>Other waste for treatment: waste water treatment</t>
  </si>
  <si>
    <t>Food waste for treatment: landfill</t>
  </si>
  <si>
    <t>Paper for treatment: landfill</t>
  </si>
  <si>
    <t>Plastic waste for treatment: landfill</t>
  </si>
  <si>
    <t>Inert/metal/hazardous waste for treatment: landfill</t>
  </si>
  <si>
    <t>Textiles waste for treatment: landfill</t>
  </si>
  <si>
    <t>Wood waste for treatment: landfill</t>
  </si>
  <si>
    <t>Membership organisation services n.e.c. (91)</t>
  </si>
  <si>
    <t>Recreational, cultural and sporting services (92)</t>
  </si>
  <si>
    <t>Other services (93)</t>
  </si>
  <si>
    <t>Private households with employed persons (95)</t>
  </si>
  <si>
    <t>Extra-territorial organizations and bodies</t>
  </si>
  <si>
    <t>indicator</t>
  </si>
  <si>
    <t>Artificial Surfaces</t>
  </si>
  <si>
    <t>Cropland - cropped area - Cereal grains nec</t>
  </si>
  <si>
    <t>Cropland - cropped area - Crops nec</t>
  </si>
  <si>
    <t>Cropland - cropped area - Oil seeds</t>
  </si>
  <si>
    <t>Cropland - cropped area - Paddy rice</t>
  </si>
  <si>
    <t>Cropland - cropped area - Plant-based fibers</t>
  </si>
  <si>
    <t>Cropland - cropped area - Sugar cane, sugar beet</t>
  </si>
  <si>
    <t>Cropland - cropped area - Vegetables, fruit, nuts</t>
  </si>
  <si>
    <t>Cropland - cropped area - Wheat</t>
  </si>
  <si>
    <t>Cropland - fallowed area - Cereal grains nec</t>
  </si>
  <si>
    <t>Cropland - fallowed area - Crops nec</t>
  </si>
  <si>
    <t>Cropland - fallowed area - Oil seeds</t>
  </si>
  <si>
    <t>Cropland - fallowed area - Paddy rice</t>
  </si>
  <si>
    <t>Cropland - fallowed area - Plant-based fibers</t>
  </si>
  <si>
    <t>Cropland - fallowed area - Sugar cane, sugar beet</t>
  </si>
  <si>
    <t>Cropland - fallowed area - Vegetables, fruit, nuts</t>
  </si>
  <si>
    <t>Cropland - fallowed area - Wheat</t>
  </si>
  <si>
    <t>Cropland - fallowed area-Cattle</t>
  </si>
  <si>
    <t>Cropland - fallowed area-Meat animals nec</t>
  </si>
  <si>
    <t>Cropland - fallowed area-Pigs</t>
  </si>
  <si>
    <t>Cropland - fallowed area-Poultry</t>
  </si>
  <si>
    <t>Cropland - fallowed area-Raw milk</t>
  </si>
  <si>
    <t>Forest</t>
  </si>
  <si>
    <t>Permanent pastures - Grazing-Cattle</t>
  </si>
  <si>
    <t>Permanent pastures - Grazing-Meat animals nec</t>
  </si>
  <si>
    <t>Permanent pastures - Grazing-Raw milk</t>
  </si>
  <si>
    <t>Cropland use share</t>
  </si>
  <si>
    <t>Total Cropland use</t>
  </si>
  <si>
    <t>All surface</t>
  </si>
  <si>
    <t xml:space="preserve">Total all surface </t>
  </si>
  <si>
    <t>All surface share</t>
  </si>
  <si>
    <t>Share top 6</t>
  </si>
  <si>
    <t>Share top 6 + forest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</si>
</sst>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10" fontId="0" fillId="0" borderId="0" xfId="0" applyNumberFormat="1"/>
    <xf numFmtId="10" fontId="0" fillId="0" borderId="0" xfId="0" applyNumberFormat="1" applyFont="1"/>
    <xf numFmtId="0" fontId="2" fillId="0" borderId="0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13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E2FDF69-0BD7-4DF2-9DAF-C1400BEBEA27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6dc66e88-f342-427e-a900-79082b7276e4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S39"/>
  <sheetViews>
    <sheetView tabSelected="1" topLeftCell="A24" zoomScale="70" zoomScaleNormal="70" workbookViewId="0">
      <selection activeCell="K34" sqref="K34:K35"/>
    </sheetView>
  </sheetViews>
  <sheetFormatPr baseColWidth="10" defaultColWidth="9.23046875" defaultRowHeight="14.6" x14ac:dyDescent="0.4"/>
  <cols>
    <col min="1" max="1" width="29.69140625" customWidth="1"/>
  </cols>
  <sheetData>
    <row r="1" spans="1:201" x14ac:dyDescent="0.4">
      <c r="A1" s="1" t="s">
        <v>0</v>
      </c>
      <c r="B1" s="2" t="s">
        <v>1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</row>
    <row r="2" spans="1:201" x14ac:dyDescent="0.4">
      <c r="A2" s="1" t="s">
        <v>2</v>
      </c>
      <c r="B2" s="2" t="s">
        <v>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 t="s">
        <v>4</v>
      </c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 t="s">
        <v>5</v>
      </c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 t="s">
        <v>6</v>
      </c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 t="s">
        <v>5</v>
      </c>
      <c r="CJ2" s="2"/>
      <c r="CK2" s="2"/>
      <c r="CL2" s="2"/>
      <c r="CM2" s="2"/>
      <c r="CN2" s="2" t="s">
        <v>6</v>
      </c>
      <c r="CO2" s="2"/>
      <c r="CP2" s="2"/>
      <c r="CQ2" s="2"/>
      <c r="CR2" s="2"/>
      <c r="CS2" s="2" t="s">
        <v>5</v>
      </c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 t="s">
        <v>6</v>
      </c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1" t="s">
        <v>7</v>
      </c>
      <c r="EU2" s="2" t="s">
        <v>8</v>
      </c>
      <c r="EV2" s="2"/>
      <c r="EW2" s="2" t="s">
        <v>9</v>
      </c>
      <c r="EX2" s="2"/>
      <c r="EY2" s="2"/>
      <c r="EZ2" s="2"/>
      <c r="FA2" s="2"/>
      <c r="FB2" s="2" t="s">
        <v>10</v>
      </c>
      <c r="FC2" s="2"/>
      <c r="FD2" s="2"/>
      <c r="FE2" s="2"/>
      <c r="FF2" s="2"/>
      <c r="FG2" s="2"/>
      <c r="FH2" s="2" t="s">
        <v>9</v>
      </c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 t="s">
        <v>7</v>
      </c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 t="s">
        <v>9</v>
      </c>
      <c r="GP2" s="2"/>
      <c r="GQ2" s="2"/>
      <c r="GR2" s="2"/>
      <c r="GS2" s="2"/>
    </row>
    <row r="3" spans="1:201" x14ac:dyDescent="0.4">
      <c r="A3" s="1" t="s">
        <v>11</v>
      </c>
      <c r="B3" s="2" t="s">
        <v>12</v>
      </c>
      <c r="C3" s="2"/>
      <c r="D3" s="2"/>
      <c r="E3" s="2"/>
      <c r="F3" s="2"/>
      <c r="G3" s="2"/>
      <c r="H3" s="2"/>
      <c r="I3" s="2"/>
      <c r="J3" s="2" t="s">
        <v>13</v>
      </c>
      <c r="K3" s="2"/>
      <c r="L3" s="2"/>
      <c r="M3" s="2"/>
      <c r="N3" s="2"/>
      <c r="O3" s="2"/>
      <c r="P3" s="2"/>
      <c r="Q3" s="2"/>
      <c r="R3" s="2"/>
      <c r="S3" s="1" t="s">
        <v>14</v>
      </c>
      <c r="T3" s="1" t="s">
        <v>15</v>
      </c>
      <c r="U3" s="2" t="s">
        <v>16</v>
      </c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 t="s">
        <v>17</v>
      </c>
      <c r="AH3" s="2"/>
      <c r="AI3" s="2"/>
      <c r="AJ3" s="2"/>
      <c r="AK3" s="2"/>
      <c r="AL3" s="2"/>
      <c r="AM3" s="2"/>
      <c r="AN3" s="2"/>
      <c r="AO3" s="2" t="s">
        <v>18</v>
      </c>
      <c r="AP3" s="2"/>
      <c r="AQ3" s="2"/>
      <c r="AR3" s="2" t="s">
        <v>19</v>
      </c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 t="s">
        <v>20</v>
      </c>
      <c r="BE3" s="2"/>
      <c r="BF3" s="2"/>
      <c r="BG3" s="1" t="s">
        <v>21</v>
      </c>
      <c r="BH3" s="1" t="s">
        <v>22</v>
      </c>
      <c r="BI3" s="1" t="s">
        <v>21</v>
      </c>
      <c r="BJ3" s="1" t="s">
        <v>22</v>
      </c>
      <c r="BK3" s="1" t="s">
        <v>23</v>
      </c>
      <c r="BL3" s="1" t="s">
        <v>24</v>
      </c>
      <c r="BM3" s="2" t="s">
        <v>25</v>
      </c>
      <c r="BN3" s="2"/>
      <c r="BO3" s="2"/>
      <c r="BP3" s="2" t="s">
        <v>26</v>
      </c>
      <c r="BQ3" s="2"/>
      <c r="BR3" s="2"/>
      <c r="BS3" s="2"/>
      <c r="BT3" s="2"/>
      <c r="BU3" s="2"/>
      <c r="BV3" s="2" t="s">
        <v>27</v>
      </c>
      <c r="BW3" s="2"/>
      <c r="BX3" s="1" t="s">
        <v>26</v>
      </c>
      <c r="BY3" s="2" t="s">
        <v>27</v>
      </c>
      <c r="BZ3" s="2"/>
      <c r="CA3" s="2"/>
      <c r="CB3" s="2"/>
      <c r="CC3" s="2"/>
      <c r="CD3" s="2"/>
      <c r="CE3" s="2"/>
      <c r="CF3" s="2"/>
      <c r="CG3" s="2"/>
      <c r="CH3" s="1" t="s">
        <v>28</v>
      </c>
      <c r="CI3" s="1" t="s">
        <v>21</v>
      </c>
      <c r="CJ3" s="1" t="s">
        <v>22</v>
      </c>
      <c r="CK3" s="2" t="s">
        <v>24</v>
      </c>
      <c r="CL3" s="2"/>
      <c r="CM3" s="2"/>
      <c r="CN3" s="1" t="s">
        <v>29</v>
      </c>
      <c r="CO3" s="1" t="s">
        <v>27</v>
      </c>
      <c r="CP3" s="2" t="s">
        <v>29</v>
      </c>
      <c r="CQ3" s="2"/>
      <c r="CR3" s="2"/>
      <c r="CS3" s="1" t="s">
        <v>23</v>
      </c>
      <c r="CT3" s="1" t="s">
        <v>21</v>
      </c>
      <c r="CU3" s="1" t="s">
        <v>22</v>
      </c>
      <c r="CV3" s="2" t="s">
        <v>23</v>
      </c>
      <c r="CW3" s="2"/>
      <c r="CX3" s="1" t="s">
        <v>21</v>
      </c>
      <c r="CY3" s="1" t="s">
        <v>22</v>
      </c>
      <c r="CZ3" s="1" t="s">
        <v>23</v>
      </c>
      <c r="DA3" s="1" t="s">
        <v>21</v>
      </c>
      <c r="DB3" s="1" t="s">
        <v>22</v>
      </c>
      <c r="DC3" s="1" t="s">
        <v>21</v>
      </c>
      <c r="DD3" s="1" t="s">
        <v>22</v>
      </c>
      <c r="DE3" s="1" t="s">
        <v>21</v>
      </c>
      <c r="DF3" s="1" t="s">
        <v>22</v>
      </c>
      <c r="DG3" s="1" t="s">
        <v>21</v>
      </c>
      <c r="DH3" s="1" t="s">
        <v>22</v>
      </c>
      <c r="DI3" s="1" t="s">
        <v>21</v>
      </c>
      <c r="DJ3" s="1" t="s">
        <v>22</v>
      </c>
      <c r="DK3" s="1" t="s">
        <v>21</v>
      </c>
      <c r="DL3" s="1" t="s">
        <v>22</v>
      </c>
      <c r="DM3" s="2" t="s">
        <v>24</v>
      </c>
      <c r="DN3" s="2"/>
      <c r="DO3" s="2"/>
      <c r="DP3" s="2"/>
      <c r="DQ3" s="2"/>
      <c r="DR3" s="2"/>
      <c r="DS3" s="2"/>
      <c r="DT3" s="2" t="s">
        <v>30</v>
      </c>
      <c r="DU3" s="2"/>
      <c r="DV3" s="2" t="s">
        <v>24</v>
      </c>
      <c r="DW3" s="2"/>
      <c r="DX3" s="2"/>
      <c r="DY3" s="2" t="s">
        <v>31</v>
      </c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 t="s">
        <v>32</v>
      </c>
      <c r="EL3" s="2"/>
      <c r="EM3" s="2" t="s">
        <v>33</v>
      </c>
      <c r="EN3" s="2"/>
      <c r="EO3" s="2"/>
      <c r="EP3" s="2"/>
      <c r="EQ3" s="1" t="s">
        <v>29</v>
      </c>
      <c r="ER3" s="1" t="s">
        <v>32</v>
      </c>
      <c r="ES3" s="1" t="s">
        <v>34</v>
      </c>
      <c r="ET3" s="1" t="s">
        <v>35</v>
      </c>
      <c r="EU3" s="2" t="s">
        <v>8</v>
      </c>
      <c r="EV3" s="2"/>
      <c r="EW3" s="1" t="s">
        <v>36</v>
      </c>
      <c r="EX3" s="2" t="s">
        <v>37</v>
      </c>
      <c r="EY3" s="2"/>
      <c r="EZ3" s="2"/>
      <c r="FA3" s="1" t="s">
        <v>36</v>
      </c>
      <c r="FB3" s="2" t="s">
        <v>38</v>
      </c>
      <c r="FC3" s="2"/>
      <c r="FD3" s="2"/>
      <c r="FE3" s="2" t="s">
        <v>39</v>
      </c>
      <c r="FF3" s="2"/>
      <c r="FG3" s="1" t="s">
        <v>40</v>
      </c>
      <c r="FH3" s="2" t="s">
        <v>36</v>
      </c>
      <c r="FI3" s="2"/>
      <c r="FJ3" s="2"/>
      <c r="FK3" s="2"/>
      <c r="FL3" s="2"/>
      <c r="FM3" s="2"/>
      <c r="FN3" s="2"/>
      <c r="FO3" s="2"/>
      <c r="FP3" s="2"/>
      <c r="FQ3" s="2"/>
      <c r="FR3" s="2" t="s">
        <v>41</v>
      </c>
      <c r="FS3" s="2"/>
      <c r="FT3" s="2"/>
      <c r="FU3" s="2" t="s">
        <v>42</v>
      </c>
      <c r="FV3" s="2"/>
      <c r="FW3" s="2"/>
      <c r="FX3" s="2"/>
      <c r="FY3" s="2"/>
      <c r="FZ3" s="2"/>
      <c r="GA3" s="2"/>
      <c r="GB3" s="2" t="s">
        <v>43</v>
      </c>
      <c r="GC3" s="2"/>
      <c r="GD3" s="2"/>
      <c r="GE3" s="2"/>
      <c r="GF3" s="2"/>
      <c r="GG3" s="2" t="s">
        <v>44</v>
      </c>
      <c r="GH3" s="2"/>
      <c r="GI3" s="2" t="s">
        <v>45</v>
      </c>
      <c r="GJ3" s="2"/>
      <c r="GK3" s="2"/>
      <c r="GL3" s="2"/>
      <c r="GM3" s="2"/>
      <c r="GN3" s="2"/>
      <c r="GO3" s="2" t="s">
        <v>36</v>
      </c>
      <c r="GP3" s="2"/>
      <c r="GQ3" s="2"/>
      <c r="GR3" s="2"/>
      <c r="GS3" s="2"/>
    </row>
    <row r="4" spans="1:201" x14ac:dyDescent="0.4">
      <c r="A4" s="1" t="s">
        <v>46</v>
      </c>
      <c r="B4" s="1" t="s">
        <v>47</v>
      </c>
      <c r="C4" s="1" t="s">
        <v>48</v>
      </c>
      <c r="D4" s="1" t="s">
        <v>49</v>
      </c>
      <c r="E4" s="1" t="s">
        <v>50</v>
      </c>
      <c r="F4" s="1" t="s">
        <v>51</v>
      </c>
      <c r="G4" s="1" t="s">
        <v>52</v>
      </c>
      <c r="H4" s="1" t="s">
        <v>53</v>
      </c>
      <c r="I4" s="1" t="s">
        <v>54</v>
      </c>
      <c r="J4" s="1" t="s">
        <v>55</v>
      </c>
      <c r="K4" s="1" t="s">
        <v>56</v>
      </c>
      <c r="L4" s="1" t="s">
        <v>57</v>
      </c>
      <c r="M4" s="1" t="s">
        <v>58</v>
      </c>
      <c r="N4" s="1" t="s">
        <v>59</v>
      </c>
      <c r="O4" s="1" t="s">
        <v>60</v>
      </c>
      <c r="P4" s="1" t="s">
        <v>61</v>
      </c>
      <c r="Q4" s="1" t="s">
        <v>62</v>
      </c>
      <c r="R4" s="1" t="s">
        <v>63</v>
      </c>
      <c r="S4" s="1" t="s">
        <v>64</v>
      </c>
      <c r="T4" s="1" t="s">
        <v>65</v>
      </c>
      <c r="U4" s="1" t="s">
        <v>66</v>
      </c>
      <c r="V4" s="1" t="s">
        <v>67</v>
      </c>
      <c r="W4" s="1" t="s">
        <v>68</v>
      </c>
      <c r="X4" s="1" t="s">
        <v>69</v>
      </c>
      <c r="Y4" s="1" t="s">
        <v>70</v>
      </c>
      <c r="Z4" s="1" t="s">
        <v>71</v>
      </c>
      <c r="AA4" s="1" t="s">
        <v>72</v>
      </c>
      <c r="AB4" s="1" t="s">
        <v>73</v>
      </c>
      <c r="AC4" s="1" t="s">
        <v>74</v>
      </c>
      <c r="AD4" s="1" t="s">
        <v>75</v>
      </c>
      <c r="AE4" s="1" t="s">
        <v>76</v>
      </c>
      <c r="AF4" s="1" t="s">
        <v>77</v>
      </c>
      <c r="AG4" s="1" t="s">
        <v>78</v>
      </c>
      <c r="AH4" s="1" t="s">
        <v>79</v>
      </c>
      <c r="AI4" s="1" t="s">
        <v>80</v>
      </c>
      <c r="AJ4" s="1" t="s">
        <v>81</v>
      </c>
      <c r="AK4" s="1" t="s">
        <v>82</v>
      </c>
      <c r="AL4" s="1" t="s">
        <v>83</v>
      </c>
      <c r="AM4" s="1" t="s">
        <v>84</v>
      </c>
      <c r="AN4" s="1" t="s">
        <v>85</v>
      </c>
      <c r="AO4" s="1" t="s">
        <v>86</v>
      </c>
      <c r="AP4" s="1" t="s">
        <v>87</v>
      </c>
      <c r="AQ4" s="1" t="s">
        <v>88</v>
      </c>
      <c r="AR4" s="1" t="s">
        <v>89</v>
      </c>
      <c r="AS4" s="1" t="s">
        <v>90</v>
      </c>
      <c r="AT4" s="1" t="s">
        <v>91</v>
      </c>
      <c r="AU4" s="1" t="s">
        <v>92</v>
      </c>
      <c r="AV4" s="1" t="s">
        <v>93</v>
      </c>
      <c r="AW4" s="1" t="s">
        <v>94</v>
      </c>
      <c r="AX4" s="1" t="s">
        <v>95</v>
      </c>
      <c r="AY4" s="1" t="s">
        <v>96</v>
      </c>
      <c r="AZ4" s="1" t="s">
        <v>97</v>
      </c>
      <c r="BA4" s="1" t="s">
        <v>98</v>
      </c>
      <c r="BB4" s="1" t="s">
        <v>99</v>
      </c>
      <c r="BC4" s="1" t="s">
        <v>100</v>
      </c>
      <c r="BD4" s="1" t="s">
        <v>101</v>
      </c>
      <c r="BE4" s="1" t="s">
        <v>102</v>
      </c>
      <c r="BF4" s="1" t="s">
        <v>103</v>
      </c>
      <c r="BG4" s="1" t="s">
        <v>104</v>
      </c>
      <c r="BH4" s="1" t="s">
        <v>105</v>
      </c>
      <c r="BI4" s="1" t="s">
        <v>106</v>
      </c>
      <c r="BJ4" s="1" t="s">
        <v>107</v>
      </c>
      <c r="BK4" s="1" t="s">
        <v>108</v>
      </c>
      <c r="BL4" s="1" t="s">
        <v>109</v>
      </c>
      <c r="BM4" s="1" t="s">
        <v>110</v>
      </c>
      <c r="BN4" s="1" t="s">
        <v>111</v>
      </c>
      <c r="BO4" s="1" t="s">
        <v>112</v>
      </c>
      <c r="BP4" s="1" t="s">
        <v>113</v>
      </c>
      <c r="BQ4" s="1" t="s">
        <v>114</v>
      </c>
      <c r="BR4" s="1" t="s">
        <v>115</v>
      </c>
      <c r="BS4" s="1" t="s">
        <v>116</v>
      </c>
      <c r="BT4" s="1" t="s">
        <v>117</v>
      </c>
      <c r="BU4" s="1" t="s">
        <v>118</v>
      </c>
      <c r="BV4" s="1" t="s">
        <v>119</v>
      </c>
      <c r="BW4" s="1" t="s">
        <v>120</v>
      </c>
      <c r="BX4" s="1" t="s">
        <v>121</v>
      </c>
      <c r="BY4" s="1" t="s">
        <v>122</v>
      </c>
      <c r="BZ4" s="1" t="s">
        <v>123</v>
      </c>
      <c r="CA4" s="1" t="s">
        <v>124</v>
      </c>
      <c r="CB4" s="1" t="s">
        <v>125</v>
      </c>
      <c r="CC4" s="1" t="s">
        <v>126</v>
      </c>
      <c r="CD4" s="1" t="s">
        <v>127</v>
      </c>
      <c r="CE4" s="1" t="s">
        <v>128</v>
      </c>
      <c r="CF4" s="1" t="s">
        <v>129</v>
      </c>
      <c r="CG4" s="1" t="s">
        <v>130</v>
      </c>
      <c r="CH4" s="1" t="s">
        <v>131</v>
      </c>
      <c r="CI4" s="1" t="s">
        <v>132</v>
      </c>
      <c r="CJ4" s="1" t="s">
        <v>133</v>
      </c>
      <c r="CK4" s="1" t="s">
        <v>134</v>
      </c>
      <c r="CL4" s="1" t="s">
        <v>135</v>
      </c>
      <c r="CM4" s="1" t="s">
        <v>136</v>
      </c>
      <c r="CN4" s="1" t="s">
        <v>137</v>
      </c>
      <c r="CO4" s="1" t="s">
        <v>138</v>
      </c>
      <c r="CP4" s="1" t="s">
        <v>139</v>
      </c>
      <c r="CQ4" s="1" t="s">
        <v>140</v>
      </c>
      <c r="CR4" s="1" t="s">
        <v>141</v>
      </c>
      <c r="CS4" s="1" t="s">
        <v>142</v>
      </c>
      <c r="CT4" s="1" t="s">
        <v>143</v>
      </c>
      <c r="CU4" s="1" t="s">
        <v>144</v>
      </c>
      <c r="CV4" s="1" t="s">
        <v>145</v>
      </c>
      <c r="CW4" s="1" t="s">
        <v>146</v>
      </c>
      <c r="CX4" s="1" t="s">
        <v>147</v>
      </c>
      <c r="CY4" s="1" t="s">
        <v>148</v>
      </c>
      <c r="CZ4" s="1" t="s">
        <v>149</v>
      </c>
      <c r="DA4" s="1" t="s">
        <v>150</v>
      </c>
      <c r="DB4" s="1" t="s">
        <v>151</v>
      </c>
      <c r="DC4" s="1" t="s">
        <v>152</v>
      </c>
      <c r="DD4" s="1" t="s">
        <v>153</v>
      </c>
      <c r="DE4" s="1" t="s">
        <v>154</v>
      </c>
      <c r="DF4" s="1" t="s">
        <v>155</v>
      </c>
      <c r="DG4" s="1" t="s">
        <v>156</v>
      </c>
      <c r="DH4" s="1" t="s">
        <v>157</v>
      </c>
      <c r="DI4" s="1" t="s">
        <v>158</v>
      </c>
      <c r="DJ4" s="1" t="s">
        <v>159</v>
      </c>
      <c r="DK4" s="1" t="s">
        <v>160</v>
      </c>
      <c r="DL4" s="1" t="s">
        <v>161</v>
      </c>
      <c r="DM4" s="1" t="s">
        <v>162</v>
      </c>
      <c r="DN4" s="1" t="s">
        <v>163</v>
      </c>
      <c r="DO4" s="1" t="s">
        <v>164</v>
      </c>
      <c r="DP4" s="1" t="s">
        <v>165</v>
      </c>
      <c r="DQ4" s="1" t="s">
        <v>166</v>
      </c>
      <c r="DR4" s="1" t="s">
        <v>167</v>
      </c>
      <c r="DS4" s="1" t="s">
        <v>168</v>
      </c>
      <c r="DT4" s="1" t="s">
        <v>169</v>
      </c>
      <c r="DU4" s="1" t="s">
        <v>170</v>
      </c>
      <c r="DV4" s="1" t="s">
        <v>171</v>
      </c>
      <c r="DW4" s="1" t="s">
        <v>172</v>
      </c>
      <c r="DX4" s="1" t="s">
        <v>173</v>
      </c>
      <c r="DY4" s="1" t="s">
        <v>174</v>
      </c>
      <c r="DZ4" s="1" t="s">
        <v>175</v>
      </c>
      <c r="EA4" s="1" t="s">
        <v>176</v>
      </c>
      <c r="EB4" s="1" t="s">
        <v>177</v>
      </c>
      <c r="EC4" s="1" t="s">
        <v>178</v>
      </c>
      <c r="ED4" s="1" t="s">
        <v>179</v>
      </c>
      <c r="EE4" s="1" t="s">
        <v>180</v>
      </c>
      <c r="EF4" s="1" t="s">
        <v>181</v>
      </c>
      <c r="EG4" s="1" t="s">
        <v>182</v>
      </c>
      <c r="EH4" s="1" t="s">
        <v>183</v>
      </c>
      <c r="EI4" s="1" t="s">
        <v>184</v>
      </c>
      <c r="EJ4" s="1" t="s">
        <v>185</v>
      </c>
      <c r="EK4" s="1" t="s">
        <v>186</v>
      </c>
      <c r="EL4" s="1" t="s">
        <v>187</v>
      </c>
      <c r="EM4" s="1" t="s">
        <v>188</v>
      </c>
      <c r="EN4" s="1" t="s">
        <v>189</v>
      </c>
      <c r="EO4" s="1" t="s">
        <v>190</v>
      </c>
      <c r="EP4" s="1" t="s">
        <v>191</v>
      </c>
      <c r="EQ4" s="1" t="s">
        <v>192</v>
      </c>
      <c r="ER4" s="1" t="s">
        <v>193</v>
      </c>
      <c r="ES4" s="1" t="s">
        <v>194</v>
      </c>
      <c r="ET4" s="1" t="s">
        <v>195</v>
      </c>
      <c r="EU4" s="1" t="s">
        <v>196</v>
      </c>
      <c r="EV4" s="1" t="s">
        <v>197</v>
      </c>
      <c r="EW4" s="1" t="s">
        <v>198</v>
      </c>
      <c r="EX4" s="1" t="s">
        <v>199</v>
      </c>
      <c r="EY4" s="1" t="s">
        <v>200</v>
      </c>
      <c r="EZ4" s="1" t="s">
        <v>201</v>
      </c>
      <c r="FA4" s="1" t="s">
        <v>202</v>
      </c>
      <c r="FB4" s="1" t="s">
        <v>203</v>
      </c>
      <c r="FC4" s="1" t="s">
        <v>204</v>
      </c>
      <c r="FD4" s="1" t="s">
        <v>205</v>
      </c>
      <c r="FE4" s="1" t="s">
        <v>206</v>
      </c>
      <c r="FF4" s="1" t="s">
        <v>207</v>
      </c>
      <c r="FG4" s="1" t="s">
        <v>208</v>
      </c>
      <c r="FH4" s="1" t="s">
        <v>209</v>
      </c>
      <c r="FI4" s="1" t="s">
        <v>210</v>
      </c>
      <c r="FJ4" s="1" t="s">
        <v>211</v>
      </c>
      <c r="FK4" s="1" t="s">
        <v>212</v>
      </c>
      <c r="FL4" s="1" t="s">
        <v>213</v>
      </c>
      <c r="FM4" s="1" t="s">
        <v>214</v>
      </c>
      <c r="FN4" s="1" t="s">
        <v>215</v>
      </c>
      <c r="FO4" s="1" t="s">
        <v>216</v>
      </c>
      <c r="FP4" s="1" t="s">
        <v>217</v>
      </c>
      <c r="FQ4" s="1" t="s">
        <v>218</v>
      </c>
      <c r="FR4" s="1" t="s">
        <v>219</v>
      </c>
      <c r="FS4" s="1" t="s">
        <v>220</v>
      </c>
      <c r="FT4" s="1" t="s">
        <v>221</v>
      </c>
      <c r="FU4" s="1" t="s">
        <v>222</v>
      </c>
      <c r="FV4" s="1" t="s">
        <v>223</v>
      </c>
      <c r="FW4" s="1" t="s">
        <v>224</v>
      </c>
      <c r="FX4" s="1" t="s">
        <v>225</v>
      </c>
      <c r="FY4" s="1" t="s">
        <v>226</v>
      </c>
      <c r="FZ4" s="1" t="s">
        <v>227</v>
      </c>
      <c r="GA4" s="1" t="s">
        <v>228</v>
      </c>
      <c r="GB4" s="1" t="s">
        <v>229</v>
      </c>
      <c r="GC4" s="1" t="s">
        <v>230</v>
      </c>
      <c r="GD4" s="1" t="s">
        <v>231</v>
      </c>
      <c r="GE4" s="1" t="s">
        <v>232</v>
      </c>
      <c r="GF4" s="1" t="s">
        <v>233</v>
      </c>
      <c r="GG4" s="1" t="s">
        <v>234</v>
      </c>
      <c r="GH4" s="1" t="s">
        <v>235</v>
      </c>
      <c r="GI4" s="1" t="s">
        <v>236</v>
      </c>
      <c r="GJ4" s="1" t="s">
        <v>237</v>
      </c>
      <c r="GK4" s="1" t="s">
        <v>238</v>
      </c>
      <c r="GL4" s="1" t="s">
        <v>239</v>
      </c>
      <c r="GM4" s="1" t="s">
        <v>240</v>
      </c>
      <c r="GN4" s="1" t="s">
        <v>241</v>
      </c>
      <c r="GO4" s="1" t="s">
        <v>242</v>
      </c>
      <c r="GP4" s="1" t="s">
        <v>243</v>
      </c>
      <c r="GQ4" s="1" t="s">
        <v>244</v>
      </c>
      <c r="GR4" s="1" t="s">
        <v>245</v>
      </c>
      <c r="GS4" s="1" t="s">
        <v>246</v>
      </c>
    </row>
    <row r="5" spans="1:201" x14ac:dyDescent="0.4">
      <c r="A5" s="1" t="s">
        <v>247</v>
      </c>
    </row>
    <row r="6" spans="1:201" x14ac:dyDescent="0.4">
      <c r="A6" s="1" t="s">
        <v>248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0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</v>
      </c>
      <c r="ED6">
        <v>0</v>
      </c>
      <c r="EE6">
        <v>0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v>0</v>
      </c>
      <c r="ES6"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v>0</v>
      </c>
      <c r="FE6">
        <v>0</v>
      </c>
      <c r="FF6">
        <v>0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v>0</v>
      </c>
      <c r="FO6">
        <v>0</v>
      </c>
      <c r="FP6">
        <v>0</v>
      </c>
      <c r="FQ6">
        <v>0</v>
      </c>
      <c r="FR6">
        <v>0</v>
      </c>
      <c r="FS6">
        <v>0</v>
      </c>
      <c r="FT6">
        <v>0</v>
      </c>
      <c r="FU6">
        <v>0</v>
      </c>
      <c r="FV6">
        <v>0</v>
      </c>
      <c r="FW6">
        <v>0</v>
      </c>
      <c r="FX6">
        <v>0</v>
      </c>
      <c r="FY6">
        <v>0</v>
      </c>
      <c r="FZ6">
        <v>0</v>
      </c>
      <c r="GA6">
        <v>0</v>
      </c>
      <c r="GB6">
        <v>0</v>
      </c>
      <c r="GC6">
        <v>0</v>
      </c>
      <c r="GD6">
        <v>0</v>
      </c>
      <c r="GE6">
        <v>0</v>
      </c>
      <c r="GF6">
        <v>0</v>
      </c>
      <c r="GG6">
        <v>0</v>
      </c>
      <c r="GH6">
        <v>0</v>
      </c>
      <c r="GI6">
        <v>0</v>
      </c>
      <c r="GJ6">
        <v>0</v>
      </c>
      <c r="GK6">
        <v>0</v>
      </c>
      <c r="GL6">
        <v>0</v>
      </c>
      <c r="GM6">
        <v>0</v>
      </c>
      <c r="GN6">
        <v>0</v>
      </c>
      <c r="GO6">
        <v>0</v>
      </c>
      <c r="GP6">
        <v>0</v>
      </c>
      <c r="GQ6">
        <v>0</v>
      </c>
      <c r="GR6">
        <v>0</v>
      </c>
      <c r="GS6">
        <v>0</v>
      </c>
    </row>
    <row r="7" spans="1:201" x14ac:dyDescent="0.4">
      <c r="A7" s="1" t="s">
        <v>249</v>
      </c>
      <c r="B7">
        <v>0</v>
      </c>
      <c r="C7">
        <v>0</v>
      </c>
      <c r="D7">
        <v>41195.269999999997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v>0</v>
      </c>
      <c r="ES7"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v>0</v>
      </c>
      <c r="FE7">
        <v>0</v>
      </c>
      <c r="FF7">
        <v>0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v>0</v>
      </c>
      <c r="FP7">
        <v>0</v>
      </c>
      <c r="FQ7">
        <v>0</v>
      </c>
      <c r="FR7">
        <v>0</v>
      </c>
      <c r="FS7">
        <v>0</v>
      </c>
      <c r="FT7">
        <v>0</v>
      </c>
      <c r="FU7">
        <v>0</v>
      </c>
      <c r="FV7">
        <v>0</v>
      </c>
      <c r="FW7">
        <v>0</v>
      </c>
      <c r="FX7">
        <v>0</v>
      </c>
      <c r="FY7">
        <v>0</v>
      </c>
      <c r="FZ7">
        <v>0</v>
      </c>
      <c r="GA7">
        <v>0</v>
      </c>
      <c r="GB7">
        <v>0</v>
      </c>
      <c r="GC7">
        <v>0</v>
      </c>
      <c r="GD7">
        <v>0</v>
      </c>
      <c r="GE7">
        <v>0</v>
      </c>
      <c r="GF7">
        <v>0</v>
      </c>
      <c r="GG7">
        <v>0</v>
      </c>
      <c r="GH7">
        <v>0</v>
      </c>
      <c r="GI7">
        <v>0</v>
      </c>
      <c r="GJ7">
        <v>0</v>
      </c>
      <c r="GK7">
        <v>0</v>
      </c>
      <c r="GL7">
        <v>0</v>
      </c>
      <c r="GM7">
        <v>0</v>
      </c>
      <c r="GN7">
        <v>0</v>
      </c>
      <c r="GO7">
        <v>0</v>
      </c>
      <c r="GP7">
        <v>0</v>
      </c>
      <c r="GQ7">
        <v>0</v>
      </c>
      <c r="GR7">
        <v>0</v>
      </c>
      <c r="GS7">
        <v>0</v>
      </c>
    </row>
    <row r="8" spans="1:201" x14ac:dyDescent="0.4">
      <c r="A8" s="1" t="s">
        <v>250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50.1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</v>
      </c>
      <c r="ED8">
        <v>0</v>
      </c>
      <c r="EE8">
        <v>0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0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v>0</v>
      </c>
      <c r="FP8">
        <v>0</v>
      </c>
      <c r="FQ8">
        <v>0</v>
      </c>
      <c r="FR8">
        <v>0</v>
      </c>
      <c r="FS8">
        <v>0</v>
      </c>
      <c r="FT8">
        <v>0</v>
      </c>
      <c r="FU8">
        <v>0</v>
      </c>
      <c r="FV8">
        <v>0</v>
      </c>
      <c r="FW8">
        <v>0</v>
      </c>
      <c r="FX8">
        <v>0</v>
      </c>
      <c r="FY8">
        <v>0</v>
      </c>
      <c r="FZ8">
        <v>0</v>
      </c>
      <c r="GA8">
        <v>0</v>
      </c>
      <c r="GB8">
        <v>0</v>
      </c>
      <c r="GC8">
        <v>0</v>
      </c>
      <c r="GD8">
        <v>0</v>
      </c>
      <c r="GE8">
        <v>0</v>
      </c>
      <c r="GF8">
        <v>0</v>
      </c>
      <c r="GG8">
        <v>0</v>
      </c>
      <c r="GH8">
        <v>0</v>
      </c>
      <c r="GI8">
        <v>0</v>
      </c>
      <c r="GJ8">
        <v>0</v>
      </c>
      <c r="GK8">
        <v>0</v>
      </c>
      <c r="GL8">
        <v>0</v>
      </c>
      <c r="GM8">
        <v>0</v>
      </c>
      <c r="GN8">
        <v>0</v>
      </c>
      <c r="GO8">
        <v>0</v>
      </c>
      <c r="GP8">
        <v>0</v>
      </c>
      <c r="GQ8">
        <v>0</v>
      </c>
      <c r="GR8">
        <v>0</v>
      </c>
      <c r="GS8">
        <v>0</v>
      </c>
    </row>
    <row r="9" spans="1:201" x14ac:dyDescent="0.4">
      <c r="A9" s="1" t="s">
        <v>251</v>
      </c>
      <c r="B9">
        <v>0</v>
      </c>
      <c r="C9">
        <v>0</v>
      </c>
      <c r="D9">
        <v>0</v>
      </c>
      <c r="E9">
        <v>0</v>
      </c>
      <c r="F9">
        <v>22942.46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A9">
        <v>0</v>
      </c>
      <c r="EB9">
        <v>0</v>
      </c>
      <c r="EC9">
        <v>0</v>
      </c>
      <c r="ED9">
        <v>0</v>
      </c>
      <c r="EE9">
        <v>0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v>0</v>
      </c>
      <c r="ES9"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v>0</v>
      </c>
      <c r="FE9">
        <v>0</v>
      </c>
      <c r="FF9">
        <v>0</v>
      </c>
      <c r="FG9">
        <v>0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v>0</v>
      </c>
      <c r="FO9">
        <v>0</v>
      </c>
      <c r="FP9">
        <v>0</v>
      </c>
      <c r="FQ9">
        <v>0</v>
      </c>
      <c r="FR9">
        <v>0</v>
      </c>
      <c r="FS9">
        <v>0</v>
      </c>
      <c r="FT9">
        <v>0</v>
      </c>
      <c r="FU9">
        <v>0</v>
      </c>
      <c r="FV9">
        <v>0</v>
      </c>
      <c r="FW9">
        <v>0</v>
      </c>
      <c r="FX9">
        <v>0</v>
      </c>
      <c r="FY9">
        <v>0</v>
      </c>
      <c r="FZ9">
        <v>0</v>
      </c>
      <c r="GA9">
        <v>0</v>
      </c>
      <c r="GB9">
        <v>0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0</v>
      </c>
      <c r="GQ9">
        <v>0</v>
      </c>
      <c r="GR9">
        <v>0</v>
      </c>
      <c r="GS9">
        <v>0</v>
      </c>
    </row>
    <row r="10" spans="1:201" x14ac:dyDescent="0.4">
      <c r="A10" s="1" t="s">
        <v>252</v>
      </c>
      <c r="B10">
        <v>161.66999999999999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</v>
      </c>
      <c r="DI10">
        <v>0</v>
      </c>
      <c r="DJ10">
        <v>0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0</v>
      </c>
      <c r="EA10">
        <v>0</v>
      </c>
      <c r="EB10">
        <v>0</v>
      </c>
      <c r="EC10">
        <v>0</v>
      </c>
      <c r="ED10">
        <v>0</v>
      </c>
      <c r="EE10">
        <v>0</v>
      </c>
      <c r="EF10">
        <v>0</v>
      </c>
      <c r="EG10">
        <v>0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v>0</v>
      </c>
      <c r="ES10"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v>0</v>
      </c>
      <c r="FE10">
        <v>0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0</v>
      </c>
      <c r="FO10">
        <v>0</v>
      </c>
      <c r="FP10">
        <v>0</v>
      </c>
      <c r="FQ10">
        <v>0</v>
      </c>
      <c r="FR10">
        <v>0</v>
      </c>
      <c r="FS10">
        <v>0</v>
      </c>
      <c r="FT10">
        <v>0</v>
      </c>
      <c r="FU10">
        <v>0</v>
      </c>
      <c r="FV10">
        <v>0</v>
      </c>
      <c r="FW10">
        <v>0</v>
      </c>
      <c r="FX10">
        <v>0</v>
      </c>
      <c r="FY10">
        <v>0</v>
      </c>
      <c r="FZ10">
        <v>0</v>
      </c>
      <c r="GA10">
        <v>0</v>
      </c>
      <c r="GB10">
        <v>0</v>
      </c>
      <c r="GC10">
        <v>0</v>
      </c>
      <c r="GD10">
        <v>0</v>
      </c>
      <c r="GE10">
        <v>0</v>
      </c>
      <c r="GF10">
        <v>0</v>
      </c>
      <c r="GG10">
        <v>0</v>
      </c>
      <c r="GH10">
        <v>0</v>
      </c>
      <c r="GI10">
        <v>0</v>
      </c>
      <c r="GJ10">
        <v>0</v>
      </c>
      <c r="GK10">
        <v>0</v>
      </c>
      <c r="GL10">
        <v>0</v>
      </c>
      <c r="GM10">
        <v>0</v>
      </c>
      <c r="GN10">
        <v>0</v>
      </c>
      <c r="GO10">
        <v>0</v>
      </c>
      <c r="GP10">
        <v>0</v>
      </c>
      <c r="GQ10">
        <v>0</v>
      </c>
      <c r="GR10">
        <v>0</v>
      </c>
      <c r="GS10">
        <v>0</v>
      </c>
    </row>
    <row r="11" spans="1:201" x14ac:dyDescent="0.4">
      <c r="A11" s="1" t="s">
        <v>253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117.79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0</v>
      </c>
      <c r="FT11">
        <v>0</v>
      </c>
      <c r="FU11">
        <v>0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0</v>
      </c>
      <c r="GH11">
        <v>0</v>
      </c>
      <c r="GI11">
        <v>0</v>
      </c>
      <c r="GJ11">
        <v>0</v>
      </c>
      <c r="GK11">
        <v>0</v>
      </c>
      <c r="GL11">
        <v>0</v>
      </c>
      <c r="GM11">
        <v>0</v>
      </c>
      <c r="GN11">
        <v>0</v>
      </c>
      <c r="GO11">
        <v>0</v>
      </c>
      <c r="GP11">
        <v>0</v>
      </c>
      <c r="GQ11">
        <v>0</v>
      </c>
      <c r="GR11">
        <v>0</v>
      </c>
      <c r="GS11">
        <v>0</v>
      </c>
    </row>
    <row r="12" spans="1:201" x14ac:dyDescent="0.4">
      <c r="A12" s="1" t="s">
        <v>254</v>
      </c>
      <c r="B12">
        <v>0</v>
      </c>
      <c r="C12">
        <v>0</v>
      </c>
      <c r="D12">
        <v>0</v>
      </c>
      <c r="E12">
        <v>0</v>
      </c>
      <c r="F12">
        <v>0</v>
      </c>
      <c r="G12">
        <v>3850.81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0</v>
      </c>
      <c r="FT12">
        <v>0</v>
      </c>
      <c r="FU12">
        <v>0</v>
      </c>
      <c r="FV12">
        <v>0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  <c r="GC12">
        <v>0</v>
      </c>
      <c r="GD12">
        <v>0</v>
      </c>
      <c r="GE12">
        <v>0</v>
      </c>
      <c r="GF12">
        <v>0</v>
      </c>
      <c r="GG12">
        <v>0</v>
      </c>
      <c r="GH12">
        <v>0</v>
      </c>
      <c r="GI12">
        <v>0</v>
      </c>
      <c r="GJ12">
        <v>0</v>
      </c>
      <c r="GK12">
        <v>0</v>
      </c>
      <c r="GL12">
        <v>0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0</v>
      </c>
    </row>
    <row r="13" spans="1:201" x14ac:dyDescent="0.4">
      <c r="A13" s="1" t="s">
        <v>255</v>
      </c>
      <c r="B13">
        <v>0</v>
      </c>
      <c r="C13">
        <v>0</v>
      </c>
      <c r="D13">
        <v>0</v>
      </c>
      <c r="E13">
        <v>16511.18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0</v>
      </c>
      <c r="FT13">
        <v>0</v>
      </c>
      <c r="FU13">
        <v>0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0</v>
      </c>
      <c r="GD13">
        <v>0</v>
      </c>
      <c r="GE13">
        <v>0</v>
      </c>
      <c r="GF13">
        <v>0</v>
      </c>
      <c r="GG13">
        <v>0</v>
      </c>
      <c r="GH13">
        <v>0</v>
      </c>
      <c r="GI13">
        <v>0</v>
      </c>
      <c r="GJ13">
        <v>0</v>
      </c>
      <c r="GK13">
        <v>0</v>
      </c>
      <c r="GL13">
        <v>0</v>
      </c>
      <c r="GM13">
        <v>0</v>
      </c>
      <c r="GN13">
        <v>0</v>
      </c>
      <c r="GO13">
        <v>0</v>
      </c>
      <c r="GP13">
        <v>0</v>
      </c>
      <c r="GQ13">
        <v>0</v>
      </c>
      <c r="GR13">
        <v>0</v>
      </c>
      <c r="GS13">
        <v>0</v>
      </c>
    </row>
    <row r="14" spans="1:201" x14ac:dyDescent="0.4">
      <c r="A14" s="1" t="s">
        <v>256</v>
      </c>
      <c r="B14">
        <v>0</v>
      </c>
      <c r="C14">
        <v>54802.080000000002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0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0</v>
      </c>
      <c r="DW14">
        <v>0</v>
      </c>
      <c r="DX14">
        <v>0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</v>
      </c>
      <c r="FQ14">
        <v>0</v>
      </c>
      <c r="FR14">
        <v>0</v>
      </c>
      <c r="FS14">
        <v>0</v>
      </c>
      <c r="FT14">
        <v>0</v>
      </c>
      <c r="FU14">
        <v>0</v>
      </c>
      <c r="FV14">
        <v>0</v>
      </c>
      <c r="FW14">
        <v>0</v>
      </c>
      <c r="FX14">
        <v>0</v>
      </c>
      <c r="FY14">
        <v>0</v>
      </c>
      <c r="FZ14">
        <v>0</v>
      </c>
      <c r="GA14">
        <v>0</v>
      </c>
      <c r="GB14">
        <v>0</v>
      </c>
      <c r="GC14">
        <v>0</v>
      </c>
      <c r="GD14">
        <v>0</v>
      </c>
      <c r="GE14">
        <v>0</v>
      </c>
      <c r="GF14">
        <v>0</v>
      </c>
      <c r="GG14">
        <v>0</v>
      </c>
      <c r="GH14">
        <v>0</v>
      </c>
      <c r="GI14">
        <v>0</v>
      </c>
      <c r="GJ14">
        <v>0</v>
      </c>
      <c r="GK14">
        <v>0</v>
      </c>
      <c r="GL14">
        <v>0</v>
      </c>
      <c r="GM14">
        <v>0</v>
      </c>
      <c r="GN14">
        <v>0</v>
      </c>
      <c r="GO14">
        <v>0</v>
      </c>
      <c r="GP14">
        <v>0</v>
      </c>
      <c r="GQ14">
        <v>0</v>
      </c>
      <c r="GR14">
        <v>0</v>
      </c>
      <c r="GS14">
        <v>0</v>
      </c>
    </row>
    <row r="15" spans="1:201" x14ac:dyDescent="0.4">
      <c r="A15" s="1" t="s">
        <v>257</v>
      </c>
      <c r="B15">
        <v>0</v>
      </c>
      <c r="C15">
        <v>0</v>
      </c>
      <c r="D15">
        <v>4109.5503067199998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0</v>
      </c>
      <c r="DD15">
        <v>0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Q15">
        <v>0</v>
      </c>
      <c r="FR15">
        <v>0</v>
      </c>
      <c r="FS15">
        <v>0</v>
      </c>
      <c r="FT15">
        <v>0</v>
      </c>
      <c r="FU15">
        <v>0</v>
      </c>
      <c r="FV15">
        <v>0</v>
      </c>
      <c r="FW15">
        <v>0</v>
      </c>
      <c r="FX15">
        <v>0</v>
      </c>
      <c r="FY15">
        <v>0</v>
      </c>
      <c r="FZ15">
        <v>0</v>
      </c>
      <c r="GA15">
        <v>0</v>
      </c>
      <c r="GB15">
        <v>0</v>
      </c>
      <c r="GC15">
        <v>0</v>
      </c>
      <c r="GD15">
        <v>0</v>
      </c>
      <c r="GE15">
        <v>0</v>
      </c>
      <c r="GF15">
        <v>0</v>
      </c>
      <c r="GG15">
        <v>0</v>
      </c>
      <c r="GH15">
        <v>0</v>
      </c>
      <c r="GI15">
        <v>0</v>
      </c>
      <c r="GJ15">
        <v>0</v>
      </c>
      <c r="GK15">
        <v>0</v>
      </c>
      <c r="GL15">
        <v>0</v>
      </c>
      <c r="GM15">
        <v>0</v>
      </c>
      <c r="GN15">
        <v>0</v>
      </c>
      <c r="GO15">
        <v>0</v>
      </c>
      <c r="GP15">
        <v>0</v>
      </c>
      <c r="GQ15">
        <v>0</v>
      </c>
      <c r="GR15">
        <v>0</v>
      </c>
      <c r="GS15">
        <v>0</v>
      </c>
    </row>
    <row r="16" spans="1:201" x14ac:dyDescent="0.4">
      <c r="A16" s="1" t="s">
        <v>258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4.9978667542900004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0</v>
      </c>
      <c r="DW16">
        <v>0</v>
      </c>
      <c r="DX16">
        <v>0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Q16">
        <v>0</v>
      </c>
      <c r="FR16">
        <v>0</v>
      </c>
      <c r="FS16">
        <v>0</v>
      </c>
      <c r="FT16">
        <v>0</v>
      </c>
      <c r="FU16">
        <v>0</v>
      </c>
      <c r="FV16">
        <v>0</v>
      </c>
      <c r="FW16">
        <v>0</v>
      </c>
      <c r="FX16">
        <v>0</v>
      </c>
      <c r="FY16">
        <v>0</v>
      </c>
      <c r="FZ16">
        <v>0</v>
      </c>
      <c r="GA16">
        <v>0</v>
      </c>
      <c r="GB16">
        <v>0</v>
      </c>
      <c r="GC16">
        <v>0</v>
      </c>
      <c r="GD16">
        <v>0</v>
      </c>
      <c r="GE16">
        <v>0</v>
      </c>
      <c r="GF16">
        <v>0</v>
      </c>
      <c r="GG16">
        <v>0</v>
      </c>
      <c r="GH16">
        <v>0</v>
      </c>
      <c r="GI16">
        <v>0</v>
      </c>
      <c r="GJ16">
        <v>0</v>
      </c>
      <c r="GK16">
        <v>0</v>
      </c>
      <c r="GL16">
        <v>0</v>
      </c>
      <c r="GM16">
        <v>0</v>
      </c>
      <c r="GN16">
        <v>0</v>
      </c>
      <c r="GO16">
        <v>0</v>
      </c>
      <c r="GP16">
        <v>0</v>
      </c>
      <c r="GQ16">
        <v>0</v>
      </c>
      <c r="GR16">
        <v>0</v>
      </c>
      <c r="GS16">
        <v>0</v>
      </c>
    </row>
    <row r="17" spans="1:201" x14ac:dyDescent="0.4">
      <c r="A17" s="1" t="s">
        <v>259</v>
      </c>
      <c r="B17">
        <v>0</v>
      </c>
      <c r="C17">
        <v>0</v>
      </c>
      <c r="D17">
        <v>0</v>
      </c>
      <c r="E17">
        <v>0</v>
      </c>
      <c r="F17">
        <v>2288.6897823499999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0</v>
      </c>
      <c r="DM17">
        <v>0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0</v>
      </c>
      <c r="DW17">
        <v>0</v>
      </c>
      <c r="DX17">
        <v>0</v>
      </c>
      <c r="DY17">
        <v>0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Q17">
        <v>0</v>
      </c>
      <c r="FR17">
        <v>0</v>
      </c>
      <c r="FS17">
        <v>0</v>
      </c>
      <c r="FT17">
        <v>0</v>
      </c>
      <c r="FU17">
        <v>0</v>
      </c>
      <c r="FV17">
        <v>0</v>
      </c>
      <c r="FW17">
        <v>0</v>
      </c>
      <c r="FX17">
        <v>0</v>
      </c>
      <c r="FY17">
        <v>0</v>
      </c>
      <c r="FZ17">
        <v>0</v>
      </c>
      <c r="GA17">
        <v>0</v>
      </c>
      <c r="GB17">
        <v>0</v>
      </c>
      <c r="GC17">
        <v>0</v>
      </c>
      <c r="GD17">
        <v>0</v>
      </c>
      <c r="GE17">
        <v>0</v>
      </c>
      <c r="GF17">
        <v>0</v>
      </c>
      <c r="GG17">
        <v>0</v>
      </c>
      <c r="GH17">
        <v>0</v>
      </c>
      <c r="GI17">
        <v>0</v>
      </c>
      <c r="GJ17">
        <v>0</v>
      </c>
      <c r="GK17">
        <v>0</v>
      </c>
      <c r="GL17">
        <v>0</v>
      </c>
      <c r="GM17">
        <v>0</v>
      </c>
      <c r="GN17">
        <v>0</v>
      </c>
      <c r="GO17">
        <v>0</v>
      </c>
      <c r="GP17">
        <v>0</v>
      </c>
      <c r="GQ17">
        <v>0</v>
      </c>
      <c r="GR17">
        <v>0</v>
      </c>
      <c r="GS17">
        <v>0</v>
      </c>
    </row>
    <row r="18" spans="1:201" x14ac:dyDescent="0.4">
      <c r="A18" s="1" t="s">
        <v>260</v>
      </c>
      <c r="B18">
        <v>16.12784667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  <c r="DD18">
        <v>0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0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0</v>
      </c>
      <c r="DX18">
        <v>0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0</v>
      </c>
      <c r="FS18">
        <v>0</v>
      </c>
      <c r="FT18">
        <v>0</v>
      </c>
      <c r="FU18">
        <v>0</v>
      </c>
      <c r="FV18">
        <v>0</v>
      </c>
      <c r="FW18">
        <v>0</v>
      </c>
      <c r="FX18">
        <v>0</v>
      </c>
      <c r="FY18">
        <v>0</v>
      </c>
      <c r="FZ18">
        <v>0</v>
      </c>
      <c r="GA18">
        <v>0</v>
      </c>
      <c r="GB18">
        <v>0</v>
      </c>
      <c r="GC18">
        <v>0</v>
      </c>
      <c r="GD18">
        <v>0</v>
      </c>
      <c r="GE18">
        <v>0</v>
      </c>
      <c r="GF18">
        <v>0</v>
      </c>
      <c r="GG18">
        <v>0</v>
      </c>
      <c r="GH18">
        <v>0</v>
      </c>
      <c r="GI18">
        <v>0</v>
      </c>
      <c r="GJ18">
        <v>0</v>
      </c>
      <c r="GK18">
        <v>0</v>
      </c>
      <c r="GL18">
        <v>0</v>
      </c>
      <c r="GM18">
        <v>0</v>
      </c>
      <c r="GN18">
        <v>0</v>
      </c>
      <c r="GO18">
        <v>0</v>
      </c>
      <c r="GP18">
        <v>0</v>
      </c>
      <c r="GQ18">
        <v>0</v>
      </c>
      <c r="GR18">
        <v>0</v>
      </c>
      <c r="GS18">
        <v>0</v>
      </c>
    </row>
    <row r="19" spans="1:201" x14ac:dyDescent="0.4">
      <c r="A19" s="1" t="s">
        <v>261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11.750473552600001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Q19">
        <v>0</v>
      </c>
      <c r="FR19">
        <v>0</v>
      </c>
      <c r="FS19">
        <v>0</v>
      </c>
      <c r="FT19">
        <v>0</v>
      </c>
      <c r="FU19">
        <v>0</v>
      </c>
      <c r="FV19">
        <v>0</v>
      </c>
      <c r="FW19">
        <v>0</v>
      </c>
      <c r="FX19">
        <v>0</v>
      </c>
      <c r="FY19">
        <v>0</v>
      </c>
      <c r="FZ19">
        <v>0</v>
      </c>
      <c r="GA19">
        <v>0</v>
      </c>
      <c r="GB19">
        <v>0</v>
      </c>
      <c r="GC19">
        <v>0</v>
      </c>
      <c r="GD19">
        <v>0</v>
      </c>
      <c r="GE19">
        <v>0</v>
      </c>
      <c r="GF19">
        <v>0</v>
      </c>
      <c r="GG19">
        <v>0</v>
      </c>
      <c r="GH19">
        <v>0</v>
      </c>
      <c r="GI19">
        <v>0</v>
      </c>
      <c r="GJ19">
        <v>0</v>
      </c>
      <c r="GK19">
        <v>0</v>
      </c>
      <c r="GL19">
        <v>0</v>
      </c>
      <c r="GM19">
        <v>0</v>
      </c>
      <c r="GN19">
        <v>0</v>
      </c>
      <c r="GO19">
        <v>0</v>
      </c>
      <c r="GP19">
        <v>0</v>
      </c>
      <c r="GQ19">
        <v>0</v>
      </c>
      <c r="GR19">
        <v>0</v>
      </c>
      <c r="GS19">
        <v>0</v>
      </c>
    </row>
    <row r="20" spans="1:201" x14ac:dyDescent="0.4">
      <c r="A20" s="1" t="s">
        <v>262</v>
      </c>
      <c r="B20">
        <v>0</v>
      </c>
      <c r="C20">
        <v>0</v>
      </c>
      <c r="D20">
        <v>0</v>
      </c>
      <c r="E20">
        <v>0</v>
      </c>
      <c r="F20">
        <v>0</v>
      </c>
      <c r="G20">
        <v>384.14840870400002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0</v>
      </c>
      <c r="FS20">
        <v>0</v>
      </c>
      <c r="FT20">
        <v>0</v>
      </c>
      <c r="FU20">
        <v>0</v>
      </c>
      <c r="FV20">
        <v>0</v>
      </c>
      <c r="FW20">
        <v>0</v>
      </c>
      <c r="FX20">
        <v>0</v>
      </c>
      <c r="FY20">
        <v>0</v>
      </c>
      <c r="FZ20">
        <v>0</v>
      </c>
      <c r="GA20">
        <v>0</v>
      </c>
      <c r="GB20">
        <v>0</v>
      </c>
      <c r="GC20">
        <v>0</v>
      </c>
      <c r="GD20">
        <v>0</v>
      </c>
      <c r="GE20">
        <v>0</v>
      </c>
      <c r="GF20">
        <v>0</v>
      </c>
      <c r="GG20">
        <v>0</v>
      </c>
      <c r="GH20">
        <v>0</v>
      </c>
      <c r="GI20">
        <v>0</v>
      </c>
      <c r="GJ20">
        <v>0</v>
      </c>
      <c r="GK20">
        <v>0</v>
      </c>
      <c r="GL20">
        <v>0</v>
      </c>
      <c r="GM20">
        <v>0</v>
      </c>
      <c r="GN20">
        <v>0</v>
      </c>
      <c r="GO20">
        <v>0</v>
      </c>
      <c r="GP20">
        <v>0</v>
      </c>
      <c r="GQ20">
        <v>0</v>
      </c>
      <c r="GR20">
        <v>0</v>
      </c>
      <c r="GS20">
        <v>0</v>
      </c>
    </row>
    <row r="21" spans="1:201" x14ac:dyDescent="0.4">
      <c r="A21" s="1" t="s">
        <v>263</v>
      </c>
      <c r="B21">
        <v>0</v>
      </c>
      <c r="C21">
        <v>0</v>
      </c>
      <c r="D21">
        <v>0</v>
      </c>
      <c r="E21">
        <v>1647.11931329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0</v>
      </c>
      <c r="FT21">
        <v>0</v>
      </c>
      <c r="FU21">
        <v>0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0</v>
      </c>
      <c r="GD21">
        <v>0</v>
      </c>
      <c r="GE21">
        <v>0</v>
      </c>
      <c r="GF21">
        <v>0</v>
      </c>
      <c r="GG21">
        <v>0</v>
      </c>
      <c r="GH21">
        <v>0</v>
      </c>
      <c r="GI21">
        <v>0</v>
      </c>
      <c r="GJ21">
        <v>0</v>
      </c>
      <c r="GK21">
        <v>0</v>
      </c>
      <c r="GL21">
        <v>0</v>
      </c>
      <c r="GM21">
        <v>0</v>
      </c>
      <c r="GN21">
        <v>0</v>
      </c>
      <c r="GO21">
        <v>0</v>
      </c>
      <c r="GP21">
        <v>0</v>
      </c>
      <c r="GQ21">
        <v>0</v>
      </c>
      <c r="GR21">
        <v>0</v>
      </c>
      <c r="GS21">
        <v>0</v>
      </c>
    </row>
    <row r="22" spans="1:201" x14ac:dyDescent="0.4">
      <c r="A22" s="1" t="s">
        <v>264</v>
      </c>
      <c r="B22">
        <v>0</v>
      </c>
      <c r="C22">
        <v>5466.93600195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0</v>
      </c>
      <c r="FS22">
        <v>0</v>
      </c>
      <c r="FT22">
        <v>0</v>
      </c>
      <c r="FU22">
        <v>0</v>
      </c>
      <c r="FV22">
        <v>0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0</v>
      </c>
      <c r="GC22">
        <v>0</v>
      </c>
      <c r="GD22">
        <v>0</v>
      </c>
      <c r="GE22">
        <v>0</v>
      </c>
      <c r="GF22">
        <v>0</v>
      </c>
      <c r="GG22">
        <v>0</v>
      </c>
      <c r="GH22">
        <v>0</v>
      </c>
      <c r="GI22">
        <v>0</v>
      </c>
      <c r="GJ22">
        <v>0</v>
      </c>
      <c r="GK22">
        <v>0</v>
      </c>
      <c r="GL22">
        <v>0</v>
      </c>
      <c r="GM22">
        <v>0</v>
      </c>
      <c r="GN22">
        <v>0</v>
      </c>
      <c r="GO22">
        <v>0</v>
      </c>
      <c r="GP22">
        <v>0</v>
      </c>
      <c r="GQ22">
        <v>0</v>
      </c>
      <c r="GR22">
        <v>0</v>
      </c>
      <c r="GS22">
        <v>0</v>
      </c>
    </row>
    <row r="23" spans="1:201" x14ac:dyDescent="0.4">
      <c r="A23" s="1" t="s">
        <v>265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20726.261291399998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0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0</v>
      </c>
      <c r="DK23">
        <v>0</v>
      </c>
      <c r="DL23">
        <v>0</v>
      </c>
      <c r="DM23">
        <v>0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0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Q23">
        <v>0</v>
      </c>
      <c r="FR23">
        <v>0</v>
      </c>
      <c r="FS23">
        <v>0</v>
      </c>
      <c r="FT23">
        <v>0</v>
      </c>
      <c r="FU23">
        <v>0</v>
      </c>
      <c r="FV23">
        <v>0</v>
      </c>
      <c r="FW23">
        <v>0</v>
      </c>
      <c r="FX23">
        <v>0</v>
      </c>
      <c r="FY23">
        <v>0</v>
      </c>
      <c r="FZ23">
        <v>0</v>
      </c>
      <c r="GA23">
        <v>0</v>
      </c>
      <c r="GB23">
        <v>0</v>
      </c>
      <c r="GC23">
        <v>0</v>
      </c>
      <c r="GD23">
        <v>0</v>
      </c>
      <c r="GE23">
        <v>0</v>
      </c>
      <c r="GF23">
        <v>0</v>
      </c>
      <c r="GG23">
        <v>0</v>
      </c>
      <c r="GH23">
        <v>0</v>
      </c>
      <c r="GI23">
        <v>0</v>
      </c>
      <c r="GJ23">
        <v>0</v>
      </c>
      <c r="GK23">
        <v>0</v>
      </c>
      <c r="GL23">
        <v>0</v>
      </c>
      <c r="GM23">
        <v>0</v>
      </c>
      <c r="GN23">
        <v>0</v>
      </c>
      <c r="GO23">
        <v>0</v>
      </c>
      <c r="GP23">
        <v>0</v>
      </c>
      <c r="GQ23">
        <v>0</v>
      </c>
      <c r="GR23">
        <v>0</v>
      </c>
      <c r="GS23">
        <v>0</v>
      </c>
    </row>
    <row r="24" spans="1:201" x14ac:dyDescent="0.4">
      <c r="A24" s="1" t="s">
        <v>266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1582.1872706700001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0</v>
      </c>
      <c r="FS24">
        <v>0</v>
      </c>
      <c r="FT24">
        <v>0</v>
      </c>
      <c r="FU24">
        <v>0</v>
      </c>
      <c r="FV24">
        <v>0</v>
      </c>
      <c r="FW24">
        <v>0</v>
      </c>
      <c r="FX24">
        <v>0</v>
      </c>
      <c r="FY24">
        <v>0</v>
      </c>
      <c r="FZ24">
        <v>0</v>
      </c>
      <c r="GA24">
        <v>0</v>
      </c>
      <c r="GB24">
        <v>0</v>
      </c>
      <c r="GC24">
        <v>0</v>
      </c>
      <c r="GD24">
        <v>0</v>
      </c>
      <c r="GE24">
        <v>0</v>
      </c>
      <c r="GF24">
        <v>0</v>
      </c>
      <c r="GG24">
        <v>0</v>
      </c>
      <c r="GH24">
        <v>0</v>
      </c>
      <c r="GI24">
        <v>0</v>
      </c>
      <c r="GJ24">
        <v>0</v>
      </c>
      <c r="GK24">
        <v>0</v>
      </c>
      <c r="GL24">
        <v>0</v>
      </c>
      <c r="GM24">
        <v>0</v>
      </c>
      <c r="GN24">
        <v>0</v>
      </c>
      <c r="GO24">
        <v>0</v>
      </c>
      <c r="GP24">
        <v>0</v>
      </c>
      <c r="GQ24">
        <v>0</v>
      </c>
      <c r="GR24">
        <v>0</v>
      </c>
      <c r="GS24">
        <v>0</v>
      </c>
    </row>
    <row r="25" spans="1:201" x14ac:dyDescent="0.4">
      <c r="A25" s="1" t="s">
        <v>267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2785.50955462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0</v>
      </c>
      <c r="DD25">
        <v>0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0</v>
      </c>
      <c r="DL25">
        <v>0</v>
      </c>
      <c r="DM25">
        <v>0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0</v>
      </c>
      <c r="DW25">
        <v>0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Q25">
        <v>0</v>
      </c>
      <c r="FR25">
        <v>0</v>
      </c>
      <c r="FS25">
        <v>0</v>
      </c>
      <c r="FT25">
        <v>0</v>
      </c>
      <c r="FU25">
        <v>0</v>
      </c>
      <c r="FV25">
        <v>0</v>
      </c>
      <c r="FW25">
        <v>0</v>
      </c>
      <c r="FX25">
        <v>0</v>
      </c>
      <c r="FY25">
        <v>0</v>
      </c>
      <c r="FZ25">
        <v>0</v>
      </c>
      <c r="GA25">
        <v>0</v>
      </c>
      <c r="GB25">
        <v>0</v>
      </c>
      <c r="GC25">
        <v>0</v>
      </c>
      <c r="GD25">
        <v>0</v>
      </c>
      <c r="GE25">
        <v>0</v>
      </c>
      <c r="GF25">
        <v>0</v>
      </c>
      <c r="GG25">
        <v>0</v>
      </c>
      <c r="GH25">
        <v>0</v>
      </c>
      <c r="GI25">
        <v>0</v>
      </c>
      <c r="GJ25">
        <v>0</v>
      </c>
      <c r="GK25">
        <v>0</v>
      </c>
      <c r="GL25">
        <v>0</v>
      </c>
      <c r="GM25">
        <v>0</v>
      </c>
      <c r="GN25">
        <v>0</v>
      </c>
      <c r="GO25">
        <v>0</v>
      </c>
      <c r="GP25">
        <v>0</v>
      </c>
      <c r="GQ25">
        <v>0</v>
      </c>
      <c r="GR25">
        <v>0</v>
      </c>
      <c r="GS25">
        <v>0</v>
      </c>
    </row>
    <row r="26" spans="1:201" x14ac:dyDescent="0.4">
      <c r="A26" s="1" t="s">
        <v>268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1545.61443534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0</v>
      </c>
      <c r="DD26">
        <v>0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0</v>
      </c>
      <c r="DK26">
        <v>0</v>
      </c>
      <c r="DL26">
        <v>0</v>
      </c>
      <c r="DM26">
        <v>0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0</v>
      </c>
      <c r="DW26">
        <v>0</v>
      </c>
      <c r="DX26">
        <v>0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Q26">
        <v>0</v>
      </c>
      <c r="FR26">
        <v>0</v>
      </c>
      <c r="FS26">
        <v>0</v>
      </c>
      <c r="FT26">
        <v>0</v>
      </c>
      <c r="FU26">
        <v>0</v>
      </c>
      <c r="FV26">
        <v>0</v>
      </c>
      <c r="FW26">
        <v>0</v>
      </c>
      <c r="FX26">
        <v>0</v>
      </c>
      <c r="FY26">
        <v>0</v>
      </c>
      <c r="FZ26">
        <v>0</v>
      </c>
      <c r="GA26">
        <v>0</v>
      </c>
      <c r="GB26">
        <v>0</v>
      </c>
      <c r="GC26">
        <v>0</v>
      </c>
      <c r="GD26">
        <v>0</v>
      </c>
      <c r="GE26">
        <v>0</v>
      </c>
      <c r="GF26">
        <v>0</v>
      </c>
      <c r="GG26">
        <v>0</v>
      </c>
      <c r="GH26">
        <v>0</v>
      </c>
      <c r="GI26">
        <v>0</v>
      </c>
      <c r="GJ26">
        <v>0</v>
      </c>
      <c r="GK26">
        <v>0</v>
      </c>
      <c r="GL26">
        <v>0</v>
      </c>
      <c r="GM26">
        <v>0</v>
      </c>
      <c r="GN26">
        <v>0</v>
      </c>
      <c r="GO26">
        <v>0</v>
      </c>
      <c r="GP26">
        <v>0</v>
      </c>
      <c r="GQ26">
        <v>0</v>
      </c>
      <c r="GR26">
        <v>0</v>
      </c>
      <c r="GS26">
        <v>0</v>
      </c>
    </row>
    <row r="27" spans="1:201" x14ac:dyDescent="0.4">
      <c r="A27" s="1" t="s">
        <v>269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14449.747447899999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0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0</v>
      </c>
      <c r="DK27">
        <v>0</v>
      </c>
      <c r="DL27">
        <v>0</v>
      </c>
      <c r="DM27">
        <v>0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0</v>
      </c>
      <c r="DW27">
        <v>0</v>
      </c>
      <c r="DX27">
        <v>0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Q27">
        <v>0</v>
      </c>
      <c r="FR27">
        <v>0</v>
      </c>
      <c r="FS27">
        <v>0</v>
      </c>
      <c r="FT27">
        <v>0</v>
      </c>
      <c r="FU27">
        <v>0</v>
      </c>
      <c r="FV27">
        <v>0</v>
      </c>
      <c r="FW27">
        <v>0</v>
      </c>
      <c r="FX27">
        <v>0</v>
      </c>
      <c r="FY27">
        <v>0</v>
      </c>
      <c r="FZ27">
        <v>0</v>
      </c>
      <c r="GA27">
        <v>0</v>
      </c>
      <c r="GB27">
        <v>0</v>
      </c>
      <c r="GC27">
        <v>0</v>
      </c>
      <c r="GD27">
        <v>0</v>
      </c>
      <c r="GE27">
        <v>0</v>
      </c>
      <c r="GF27">
        <v>0</v>
      </c>
      <c r="GG27">
        <v>0</v>
      </c>
      <c r="GH27">
        <v>0</v>
      </c>
      <c r="GI27">
        <v>0</v>
      </c>
      <c r="GJ27">
        <v>0</v>
      </c>
      <c r="GK27">
        <v>0</v>
      </c>
      <c r="GL27">
        <v>0</v>
      </c>
      <c r="GM27">
        <v>0</v>
      </c>
      <c r="GN27">
        <v>0</v>
      </c>
      <c r="GO27">
        <v>0</v>
      </c>
      <c r="GP27">
        <v>0</v>
      </c>
      <c r="GQ27">
        <v>0</v>
      </c>
      <c r="GR27">
        <v>0</v>
      </c>
      <c r="GS27">
        <v>0</v>
      </c>
    </row>
    <row r="28" spans="1:201" x14ac:dyDescent="0.4">
      <c r="A28" s="1" t="s">
        <v>270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168360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0</v>
      </c>
      <c r="DD28">
        <v>0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0</v>
      </c>
      <c r="DL28">
        <v>0</v>
      </c>
      <c r="DM28">
        <v>0</v>
      </c>
      <c r="DN28">
        <v>0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0</v>
      </c>
      <c r="DW28">
        <v>0</v>
      </c>
      <c r="DX28">
        <v>0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Q28">
        <v>0</v>
      </c>
      <c r="FR28">
        <v>0</v>
      </c>
      <c r="FS28">
        <v>0</v>
      </c>
      <c r="FT28">
        <v>0</v>
      </c>
      <c r="FU28">
        <v>0</v>
      </c>
      <c r="FV28">
        <v>0</v>
      </c>
      <c r="FW28">
        <v>0</v>
      </c>
      <c r="FX28">
        <v>0</v>
      </c>
      <c r="FY28">
        <v>0</v>
      </c>
      <c r="FZ28">
        <v>0</v>
      </c>
      <c r="GA28">
        <v>0</v>
      </c>
      <c r="GB28">
        <v>0</v>
      </c>
      <c r="GC28">
        <v>0</v>
      </c>
      <c r="GD28">
        <v>0</v>
      </c>
      <c r="GE28">
        <v>0</v>
      </c>
      <c r="GF28">
        <v>0</v>
      </c>
      <c r="GG28">
        <v>0</v>
      </c>
      <c r="GH28">
        <v>0</v>
      </c>
      <c r="GI28">
        <v>0</v>
      </c>
      <c r="GJ28">
        <v>0</v>
      </c>
      <c r="GK28">
        <v>0</v>
      </c>
      <c r="GL28">
        <v>0</v>
      </c>
      <c r="GM28">
        <v>0</v>
      </c>
      <c r="GN28">
        <v>0</v>
      </c>
      <c r="GO28">
        <v>0</v>
      </c>
      <c r="GP28">
        <v>0</v>
      </c>
      <c r="GQ28">
        <v>0</v>
      </c>
      <c r="GR28">
        <v>0</v>
      </c>
      <c r="GS28">
        <v>0</v>
      </c>
    </row>
    <row r="29" spans="1:201" x14ac:dyDescent="0.4">
      <c r="A29" s="1" t="s">
        <v>271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52223.609375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0</v>
      </c>
      <c r="DD29">
        <v>0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0</v>
      </c>
      <c r="DL29">
        <v>0</v>
      </c>
      <c r="DM29">
        <v>0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0</v>
      </c>
      <c r="DW29">
        <v>0</v>
      </c>
      <c r="DX29">
        <v>0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Q29">
        <v>0</v>
      </c>
      <c r="FR29">
        <v>0</v>
      </c>
      <c r="FS29">
        <v>0</v>
      </c>
      <c r="FT29">
        <v>0</v>
      </c>
      <c r="FU29">
        <v>0</v>
      </c>
      <c r="FV29">
        <v>0</v>
      </c>
      <c r="FW29">
        <v>0</v>
      </c>
      <c r="FX29">
        <v>0</v>
      </c>
      <c r="FY29">
        <v>0</v>
      </c>
      <c r="FZ29">
        <v>0</v>
      </c>
      <c r="GA29">
        <v>0</v>
      </c>
      <c r="GB29">
        <v>0</v>
      </c>
      <c r="GC29">
        <v>0</v>
      </c>
      <c r="GD29">
        <v>0</v>
      </c>
      <c r="GE29">
        <v>0</v>
      </c>
      <c r="GF29">
        <v>0</v>
      </c>
      <c r="GG29">
        <v>0</v>
      </c>
      <c r="GH29">
        <v>0</v>
      </c>
      <c r="GI29">
        <v>0</v>
      </c>
      <c r="GJ29">
        <v>0</v>
      </c>
      <c r="GK29">
        <v>0</v>
      </c>
      <c r="GL29">
        <v>0</v>
      </c>
      <c r="GM29">
        <v>0</v>
      </c>
      <c r="GN29">
        <v>0</v>
      </c>
      <c r="GO29">
        <v>0</v>
      </c>
      <c r="GP29">
        <v>0</v>
      </c>
      <c r="GQ29">
        <v>0</v>
      </c>
      <c r="GR29">
        <v>0</v>
      </c>
      <c r="GS29">
        <v>0</v>
      </c>
    </row>
    <row r="30" spans="1:201" x14ac:dyDescent="0.4">
      <c r="A30" s="1" t="s">
        <v>272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3986.6103515599998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0</v>
      </c>
      <c r="DD30">
        <v>0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0</v>
      </c>
      <c r="DK30">
        <v>0</v>
      </c>
      <c r="DL30">
        <v>0</v>
      </c>
      <c r="DM30">
        <v>0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0</v>
      </c>
      <c r="DW30">
        <v>0</v>
      </c>
      <c r="DX30">
        <v>0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Q30">
        <v>0</v>
      </c>
      <c r="FR30">
        <v>0</v>
      </c>
      <c r="FS30">
        <v>0</v>
      </c>
      <c r="FT30">
        <v>0</v>
      </c>
      <c r="FU30">
        <v>0</v>
      </c>
      <c r="FV30">
        <v>0</v>
      </c>
      <c r="FW30">
        <v>0</v>
      </c>
      <c r="FX30">
        <v>0</v>
      </c>
      <c r="FY30">
        <v>0</v>
      </c>
      <c r="FZ30">
        <v>0</v>
      </c>
      <c r="GA30">
        <v>0</v>
      </c>
      <c r="GB30">
        <v>0</v>
      </c>
      <c r="GC30">
        <v>0</v>
      </c>
      <c r="GD30">
        <v>0</v>
      </c>
      <c r="GE30">
        <v>0</v>
      </c>
      <c r="GF30">
        <v>0</v>
      </c>
      <c r="GG30">
        <v>0</v>
      </c>
      <c r="GH30">
        <v>0</v>
      </c>
      <c r="GI30">
        <v>0</v>
      </c>
      <c r="GJ30">
        <v>0</v>
      </c>
      <c r="GK30">
        <v>0</v>
      </c>
      <c r="GL30">
        <v>0</v>
      </c>
      <c r="GM30">
        <v>0</v>
      </c>
      <c r="GN30">
        <v>0</v>
      </c>
      <c r="GO30">
        <v>0</v>
      </c>
      <c r="GP30">
        <v>0</v>
      </c>
      <c r="GQ30">
        <v>0</v>
      </c>
      <c r="GR30">
        <v>0</v>
      </c>
      <c r="GS30">
        <v>0</v>
      </c>
    </row>
    <row r="31" spans="1:201" x14ac:dyDescent="0.4">
      <c r="A31" s="1" t="s">
        <v>273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36408.78125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0</v>
      </c>
      <c r="DD31">
        <v>0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0</v>
      </c>
      <c r="DL31">
        <v>0</v>
      </c>
      <c r="DM31">
        <v>0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0</v>
      </c>
      <c r="DW31">
        <v>0</v>
      </c>
      <c r="DX31">
        <v>0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Q31">
        <v>0</v>
      </c>
      <c r="FR31">
        <v>0</v>
      </c>
      <c r="FS31">
        <v>0</v>
      </c>
      <c r="FT31">
        <v>0</v>
      </c>
      <c r="FU31">
        <v>0</v>
      </c>
      <c r="FV31">
        <v>0</v>
      </c>
      <c r="FW31">
        <v>0</v>
      </c>
      <c r="FX31">
        <v>0</v>
      </c>
      <c r="FY31">
        <v>0</v>
      </c>
      <c r="FZ31">
        <v>0</v>
      </c>
      <c r="GA31">
        <v>0</v>
      </c>
      <c r="GB31">
        <v>0</v>
      </c>
      <c r="GC31">
        <v>0</v>
      </c>
      <c r="GD31">
        <v>0</v>
      </c>
      <c r="GE31">
        <v>0</v>
      </c>
      <c r="GF31">
        <v>0</v>
      </c>
      <c r="GG31">
        <v>0</v>
      </c>
      <c r="GH31">
        <v>0</v>
      </c>
      <c r="GI31">
        <v>0</v>
      </c>
      <c r="GJ31">
        <v>0</v>
      </c>
      <c r="GK31">
        <v>0</v>
      </c>
      <c r="GL31">
        <v>0</v>
      </c>
      <c r="GM31">
        <v>0</v>
      </c>
      <c r="GN31">
        <v>0</v>
      </c>
      <c r="GO31">
        <v>0</v>
      </c>
      <c r="GP31">
        <v>0</v>
      </c>
      <c r="GQ31">
        <v>0</v>
      </c>
      <c r="GR31">
        <v>0</v>
      </c>
      <c r="GS31">
        <v>0</v>
      </c>
    </row>
    <row r="33" spans="1:19" x14ac:dyDescent="0.4">
      <c r="A33" s="5" t="s">
        <v>276</v>
      </c>
      <c r="B33">
        <f>SUM(B6:B31)</f>
        <v>177.79784666999998</v>
      </c>
      <c r="C33">
        <f t="shared" ref="C33:S33" si="0">SUM(C6:C31)</f>
        <v>60269.016001950004</v>
      </c>
      <c r="D33">
        <f t="shared" si="0"/>
        <v>45304.820306719994</v>
      </c>
      <c r="E33">
        <f t="shared" si="0"/>
        <v>18158.299313290001</v>
      </c>
      <c r="F33">
        <f t="shared" si="0"/>
        <v>25231.149782349999</v>
      </c>
      <c r="G33">
        <f t="shared" si="0"/>
        <v>4234.9584087040002</v>
      </c>
      <c r="H33">
        <f t="shared" si="0"/>
        <v>129.54047355260002</v>
      </c>
      <c r="I33">
        <f t="shared" si="0"/>
        <v>55.097866754290003</v>
      </c>
      <c r="J33">
        <f t="shared" si="0"/>
        <v>72949.870666400006</v>
      </c>
      <c r="K33">
        <f t="shared" si="0"/>
        <v>2785.50955462</v>
      </c>
      <c r="L33">
        <f t="shared" si="0"/>
        <v>1545.61443534</v>
      </c>
      <c r="M33">
        <f t="shared" si="0"/>
        <v>5568.7976222300003</v>
      </c>
      <c r="N33">
        <f t="shared" si="0"/>
        <v>0</v>
      </c>
      <c r="O33">
        <f t="shared" si="0"/>
        <v>50858.528697900001</v>
      </c>
      <c r="P33">
        <f>SUM(P6:P31)</f>
        <v>0</v>
      </c>
      <c r="Q33">
        <f t="shared" si="0"/>
        <v>0</v>
      </c>
      <c r="R33">
        <f t="shared" si="0"/>
        <v>0</v>
      </c>
      <c r="S33">
        <f t="shared" si="0"/>
        <v>168360</v>
      </c>
    </row>
    <row r="34" spans="1:19" x14ac:dyDescent="0.4">
      <c r="A34" s="5" t="s">
        <v>274</v>
      </c>
      <c r="B34" s="4">
        <f>B33/B35</f>
        <v>9.1342330680746107E-4</v>
      </c>
      <c r="C34" s="4">
        <f t="shared" ref="C34:I34" si="1">C33/C35</f>
        <v>0.30962761881312362</v>
      </c>
      <c r="D34" s="4">
        <f t="shared" si="1"/>
        <v>0.23275016854219582</v>
      </c>
      <c r="E34" s="4">
        <f t="shared" si="1"/>
        <v>9.3286921722565558E-2</v>
      </c>
      <c r="F34" s="4">
        <f t="shared" si="1"/>
        <v>0.12962316867382614</v>
      </c>
      <c r="G34" s="4">
        <f t="shared" si="1"/>
        <v>2.175678607092588E-2</v>
      </c>
      <c r="H34" s="4">
        <f t="shared" si="1"/>
        <v>6.6550461624789465E-4</v>
      </c>
      <c r="I34" s="4">
        <f t="shared" si="1"/>
        <v>2.8306122144522173E-4</v>
      </c>
      <c r="J34" s="4">
        <f>J23/B35</f>
        <v>0.10647963673983266</v>
      </c>
      <c r="K34" s="3">
        <f>K25/B35</f>
        <v>1.4310349625590203E-2</v>
      </c>
      <c r="L34" s="3">
        <f>L26/B35</f>
        <v>7.9404800171622332E-3</v>
      </c>
      <c r="M34" s="3">
        <f>M24/B35</f>
        <v>8.1283702577479768E-3</v>
      </c>
      <c r="N34" s="3"/>
      <c r="O34" s="3">
        <f>O27/B35</f>
        <v>7.423451039252954E-2</v>
      </c>
      <c r="P34">
        <f>SUM(B34:O34)</f>
        <v>1</v>
      </c>
    </row>
    <row r="35" spans="1:19" x14ac:dyDescent="0.4">
      <c r="A35" s="5" t="s">
        <v>275</v>
      </c>
      <c r="B35">
        <f>SUM(B33:S33)-(S28+O31+M30+J29)</f>
        <v>194649.99999992084</v>
      </c>
      <c r="C35">
        <v>194649.99999992084</v>
      </c>
      <c r="D35">
        <v>194649.99999992084</v>
      </c>
      <c r="E35">
        <v>194649.99999992084</v>
      </c>
      <c r="F35">
        <v>194649.99999992084</v>
      </c>
      <c r="G35">
        <v>194649.99999992084</v>
      </c>
      <c r="H35">
        <v>194649.99999992084</v>
      </c>
      <c r="I35">
        <v>194649.99999992084</v>
      </c>
      <c r="J35" s="3"/>
      <c r="O35" t="s">
        <v>279</v>
      </c>
      <c r="P35" s="3">
        <f>C34+D34+E34+F34+J34+O34</f>
        <v>0.94600202488407348</v>
      </c>
    </row>
    <row r="37" spans="1:19" x14ac:dyDescent="0.4">
      <c r="A37" s="5" t="s">
        <v>278</v>
      </c>
      <c r="B37" s="3">
        <f>B33/B38</f>
        <v>3.9022504337729314E-4</v>
      </c>
      <c r="C37" s="3">
        <f t="shared" ref="C37:S37" si="2">C33/C38</f>
        <v>0.13227651416565786</v>
      </c>
      <c r="D37" s="3">
        <f t="shared" si="2"/>
        <v>9.9433574705791367E-2</v>
      </c>
      <c r="E37" s="3">
        <f t="shared" si="2"/>
        <v>3.9853256211466043E-2</v>
      </c>
      <c r="F37" s="3">
        <f t="shared" si="2"/>
        <v>5.5376522847044168E-2</v>
      </c>
      <c r="G37" s="3">
        <f t="shared" si="2"/>
        <v>9.2947516501975368E-3</v>
      </c>
      <c r="H37" s="3">
        <f t="shared" si="2"/>
        <v>2.8431129992817727E-4</v>
      </c>
      <c r="I37" s="3">
        <f t="shared" si="2"/>
        <v>1.2092704071998724E-4</v>
      </c>
      <c r="J37" s="3">
        <f t="shared" si="2"/>
        <v>0.16010804955360078</v>
      </c>
      <c r="K37" s="3">
        <f t="shared" si="2"/>
        <v>6.1135475324227339E-3</v>
      </c>
      <c r="L37" s="3">
        <f t="shared" si="2"/>
        <v>3.3922652685134573E-3</v>
      </c>
      <c r="M37" s="3">
        <f t="shared" si="2"/>
        <v>1.2222219416005648E-2</v>
      </c>
      <c r="N37" s="3">
        <f t="shared" si="2"/>
        <v>0</v>
      </c>
      <c r="O37" s="3">
        <f t="shared" si="2"/>
        <v>0.11162267675872825</v>
      </c>
      <c r="P37" s="3">
        <f t="shared" si="2"/>
        <v>0</v>
      </c>
      <c r="Q37" s="3">
        <f t="shared" si="2"/>
        <v>0</v>
      </c>
      <c r="R37" s="3">
        <f t="shared" si="2"/>
        <v>0</v>
      </c>
      <c r="S37" s="3">
        <f t="shared" si="2"/>
        <v>0.36951115850654687</v>
      </c>
    </row>
    <row r="38" spans="1:19" x14ac:dyDescent="0.4">
      <c r="A38" s="5" t="s">
        <v>277</v>
      </c>
      <c r="B38">
        <f>SUM(B33:S33)</f>
        <v>455629.00097648083</v>
      </c>
      <c r="C38">
        <v>455629.00097648083</v>
      </c>
      <c r="D38">
        <v>455629.00097648083</v>
      </c>
      <c r="E38">
        <v>455629.00097648083</v>
      </c>
      <c r="F38">
        <v>455629.00097648083</v>
      </c>
      <c r="G38">
        <v>455629.00097648083</v>
      </c>
      <c r="H38">
        <v>455629.00097648083</v>
      </c>
      <c r="I38">
        <v>455629.00097648083</v>
      </c>
      <c r="J38">
        <v>455629.00097648083</v>
      </c>
      <c r="K38">
        <v>455629.00097648083</v>
      </c>
      <c r="L38">
        <v>455629.00097648083</v>
      </c>
      <c r="M38">
        <v>455629.00097648083</v>
      </c>
      <c r="N38">
        <v>455629.00097648083</v>
      </c>
      <c r="O38">
        <v>455629.00097648083</v>
      </c>
      <c r="P38">
        <v>455629.00097648083</v>
      </c>
      <c r="Q38">
        <v>455629.00097648083</v>
      </c>
      <c r="R38">
        <v>455629.00097648083</v>
      </c>
      <c r="S38">
        <v>455629.00097648083</v>
      </c>
    </row>
    <row r="39" spans="1:19" x14ac:dyDescent="0.4">
      <c r="O39" t="s">
        <v>280</v>
      </c>
      <c r="P39" s="3">
        <f>C37+D37+E37+F37+J37+O37+S37</f>
        <v>0.96818175274883544</v>
      </c>
    </row>
  </sheetData>
  <mergeCells count="46">
    <mergeCell ref="BD3:BF3"/>
    <mergeCell ref="AO3:AQ3"/>
    <mergeCell ref="J3:R3"/>
    <mergeCell ref="DM3:DS3"/>
    <mergeCell ref="CK3:CM3"/>
    <mergeCell ref="GO3:GS3"/>
    <mergeCell ref="B1:GS1"/>
    <mergeCell ref="AR2:BL2"/>
    <mergeCell ref="CS2:DX2"/>
    <mergeCell ref="FR3:FT3"/>
    <mergeCell ref="AR3:BC3"/>
    <mergeCell ref="DY2:ES2"/>
    <mergeCell ref="B2:T2"/>
    <mergeCell ref="EM3:EP3"/>
    <mergeCell ref="BM2:CH2"/>
    <mergeCell ref="GG3:GH3"/>
    <mergeCell ref="AG3:AN3"/>
    <mergeCell ref="BM3:BO3"/>
    <mergeCell ref="GO2:GS2"/>
    <mergeCell ref="DV3:DX3"/>
    <mergeCell ref="B3:I3"/>
    <mergeCell ref="CV3:CW3"/>
    <mergeCell ref="EW2:FA2"/>
    <mergeCell ref="CN2:CR2"/>
    <mergeCell ref="CP3:CR3"/>
    <mergeCell ref="FH3:FQ3"/>
    <mergeCell ref="U3:AF3"/>
    <mergeCell ref="FB3:FD3"/>
    <mergeCell ref="FH2:FT2"/>
    <mergeCell ref="DT3:DU3"/>
    <mergeCell ref="EK3:EL3"/>
    <mergeCell ref="U2:AQ2"/>
    <mergeCell ref="EU3:EV3"/>
    <mergeCell ref="CI2:CM2"/>
    <mergeCell ref="FB2:FG2"/>
    <mergeCell ref="BP3:BU3"/>
    <mergeCell ref="BY3:CG3"/>
    <mergeCell ref="FE3:FF3"/>
    <mergeCell ref="GB3:GF3"/>
    <mergeCell ref="EU2:EV2"/>
    <mergeCell ref="FU3:GA3"/>
    <mergeCell ref="EX3:EZ3"/>
    <mergeCell ref="BV3:BW3"/>
    <mergeCell ref="FU2:GN2"/>
    <mergeCell ref="DY3:EJ3"/>
    <mergeCell ref="GI3:GN3"/>
  </mergeCells>
  <pageMargins left="0.75" right="0.75" top="1" bottom="1" header="0.5" footer="0.5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DDBE4AC5AD34144A319C175B124CDA5" ma:contentTypeVersion="7" ma:contentTypeDescription="Crée un document." ma:contentTypeScope="" ma:versionID="fc6499810b9fd453994c0b215026778e">
  <xsd:schema xmlns:xsd="http://www.w3.org/2001/XMLSchema" xmlns:xs="http://www.w3.org/2001/XMLSchema" xmlns:p="http://schemas.microsoft.com/office/2006/metadata/properties" xmlns:ns2="df3242dc-6eaf-41b4-ba9f-f9ed2a2fc658" targetNamespace="http://schemas.microsoft.com/office/2006/metadata/properties" ma:root="true" ma:fieldsID="f2a1cb09faa248fb1b7a5ebc9a370fc2" ns2:_="">
    <xsd:import namespace="df3242dc-6eaf-41b4-ba9f-f9ed2a2fc65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3242dc-6eaf-41b4-ba9f-f9ed2a2fc6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9D1577D-4C9F-4E13-9AEB-84310660B063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7C48355-DE7F-4C2B-9B12-BF6A4D993FC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FC09C6-56FE-4455-837C-2ADA305A50F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f3242dc-6eaf-41b4-ba9f-f9ed2a2fc65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Arnaud Destarac (Student at CentraleSupelec)</cp:lastModifiedBy>
  <dcterms:created xsi:type="dcterms:W3CDTF">2026-05-14T08:26:18Z</dcterms:created>
  <dcterms:modified xsi:type="dcterms:W3CDTF">2026-07-09T12:49:11Z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0x010100CDDBE4AC5AD34144A319C175B124CDA5</vt:lpwstr>
  </property>
</Properties>
</file>