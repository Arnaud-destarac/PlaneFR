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Archives\Data\3.10.2\base-year_2015\extensions\dom_biogeochemical\"/>
    </mc:Choice>
  </mc:AlternateContent>
  <xr:revisionPtr revIDLastSave="0" documentId="13_ncr:1_{7FBBF495-8DAF-4E54-87FC-6D229B8FFA07}" xr6:coauthVersionLast="47" xr6:coauthVersionMax="47" xr10:uidLastSave="{00000000-0000-0000-0000-000000000000}"/>
  <bookViews>
    <workbookView xWindow="-98" yWindow="-98" windowWidth="14595" windowHeight="8746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21" i="1"/>
  <c r="B20" i="1"/>
  <c r="B17" i="1"/>
  <c r="AA18" i="1" s="1"/>
  <c r="X18" i="1"/>
  <c r="AP18" i="1"/>
  <c r="AQ18" i="1"/>
  <c r="BP18" i="1"/>
  <c r="BQ18" i="1"/>
  <c r="CP18" i="1"/>
  <c r="CQ18" i="1"/>
  <c r="DJ18" i="1"/>
  <c r="DK18" i="1"/>
  <c r="EJ18" i="1"/>
  <c r="EK18" i="1"/>
  <c r="FJ18" i="1"/>
  <c r="FK18" i="1"/>
  <c r="GI18" i="1"/>
  <c r="GJ18" i="1"/>
  <c r="GQ18" i="1" l="1"/>
  <c r="EX18" i="1"/>
  <c r="DD18" i="1"/>
  <c r="CD18" i="1"/>
  <c r="AE18" i="1"/>
  <c r="GP18" i="1"/>
  <c r="EW18" i="1"/>
  <c r="CW18" i="1"/>
  <c r="BC18" i="1"/>
  <c r="J18" i="1"/>
  <c r="FV18" i="1"/>
  <c r="DV18" i="1"/>
  <c r="CV18" i="1"/>
  <c r="CB18" i="1"/>
  <c r="BB18" i="1"/>
  <c r="AC18" i="1"/>
  <c r="GN18" i="1"/>
  <c r="EU18" i="1"/>
  <c r="CU18" i="1"/>
  <c r="AB18" i="1"/>
  <c r="GM18" i="1"/>
  <c r="FN18" i="1"/>
  <c r="ET18" i="1"/>
  <c r="DT18" i="1"/>
  <c r="CT18" i="1"/>
  <c r="BT18" i="1"/>
  <c r="AZ18" i="1"/>
  <c r="D18" i="1"/>
  <c r="R18" i="1"/>
  <c r="AF18" i="1"/>
  <c r="AT18" i="1"/>
  <c r="BH18" i="1"/>
  <c r="BV18" i="1"/>
  <c r="CJ18" i="1"/>
  <c r="CX18" i="1"/>
  <c r="DL18" i="1"/>
  <c r="DZ18" i="1"/>
  <c r="EN18" i="1"/>
  <c r="FB18" i="1"/>
  <c r="FP18" i="1"/>
  <c r="GD18" i="1"/>
  <c r="GR18" i="1"/>
  <c r="E18" i="1"/>
  <c r="S18" i="1"/>
  <c r="AG18" i="1"/>
  <c r="AU18" i="1"/>
  <c r="BI18" i="1"/>
  <c r="BW18" i="1"/>
  <c r="CK18" i="1"/>
  <c r="CY18" i="1"/>
  <c r="DM18" i="1"/>
  <c r="EA18" i="1"/>
  <c r="EO18" i="1"/>
  <c r="FC18" i="1"/>
  <c r="FQ18" i="1"/>
  <c r="GE18" i="1"/>
  <c r="GS18" i="1"/>
  <c r="T18" i="1"/>
  <c r="AH18" i="1"/>
  <c r="AV18" i="1"/>
  <c r="BJ18" i="1"/>
  <c r="BX18" i="1"/>
  <c r="CL18" i="1"/>
  <c r="CZ18" i="1"/>
  <c r="DN18" i="1"/>
  <c r="EB18" i="1"/>
  <c r="EP18" i="1"/>
  <c r="FD18" i="1"/>
  <c r="FR18" i="1"/>
  <c r="GF18" i="1"/>
  <c r="GT18" i="1"/>
  <c r="G18" i="1"/>
  <c r="U18" i="1"/>
  <c r="AI18" i="1"/>
  <c r="AW18" i="1"/>
  <c r="BK18" i="1"/>
  <c r="BY18" i="1"/>
  <c r="CM18" i="1"/>
  <c r="DA18" i="1"/>
  <c r="DO18" i="1"/>
  <c r="EC18" i="1"/>
  <c r="EQ18" i="1"/>
  <c r="FE18" i="1"/>
  <c r="FS18" i="1"/>
  <c r="GG18" i="1"/>
  <c r="C18" i="1"/>
  <c r="H18" i="1"/>
  <c r="V18" i="1"/>
  <c r="AJ18" i="1"/>
  <c r="AX18" i="1"/>
  <c r="BL18" i="1"/>
  <c r="BZ18" i="1"/>
  <c r="CN18" i="1"/>
  <c r="DB18" i="1"/>
  <c r="DP18" i="1"/>
  <c r="ED18" i="1"/>
  <c r="ER18" i="1"/>
  <c r="FF18" i="1"/>
  <c r="FT18" i="1"/>
  <c r="GH18" i="1"/>
  <c r="B18" i="1"/>
  <c r="W18" i="1"/>
  <c r="AY18" i="1"/>
  <c r="BM18" i="1"/>
  <c r="CA18" i="1"/>
  <c r="CO18" i="1"/>
  <c r="DC18" i="1"/>
  <c r="DQ18" i="1"/>
  <c r="EE18" i="1"/>
  <c r="ES18" i="1"/>
  <c r="FG18" i="1"/>
  <c r="FU18" i="1"/>
  <c r="F18" i="1"/>
  <c r="I18" i="1"/>
  <c r="FO18" i="1"/>
  <c r="DU18" i="1"/>
  <c r="BU18" i="1"/>
  <c r="BA18" i="1"/>
  <c r="GL18" i="1"/>
  <c r="FM18" i="1"/>
  <c r="EM18" i="1"/>
  <c r="DS18" i="1"/>
  <c r="CS18" i="1"/>
  <c r="BS18" i="1"/>
  <c r="AS18" i="1"/>
  <c r="Z18" i="1"/>
  <c r="GA18" i="1"/>
  <c r="FX18" i="1"/>
  <c r="DX18" i="1"/>
  <c r="BD18" i="1"/>
  <c r="K18" i="1"/>
  <c r="FW18" i="1"/>
  <c r="DW18" i="1"/>
  <c r="CC18" i="1"/>
  <c r="AD18" i="1"/>
  <c r="GO18" i="1"/>
  <c r="EV18" i="1"/>
  <c r="GK18" i="1"/>
  <c r="FL18" i="1"/>
  <c r="EL18" i="1"/>
  <c r="DR18" i="1"/>
  <c r="CR18" i="1"/>
  <c r="BR18" i="1"/>
  <c r="AR18" i="1"/>
  <c r="Y18" i="1"/>
  <c r="Q18" i="1"/>
  <c r="GC18" i="1"/>
  <c r="FI18" i="1"/>
  <c r="EI18" i="1"/>
  <c r="DI18" i="1"/>
  <c r="CI18" i="1"/>
  <c r="BO18" i="1"/>
  <c r="AO18" i="1"/>
  <c r="P18" i="1"/>
  <c r="GB18" i="1"/>
  <c r="FH18" i="1"/>
  <c r="EH18" i="1"/>
  <c r="DH18" i="1"/>
  <c r="CH18" i="1"/>
  <c r="BN18" i="1"/>
  <c r="AN18" i="1"/>
  <c r="O18" i="1"/>
  <c r="FA18" i="1"/>
  <c r="EG18" i="1"/>
  <c r="DG18" i="1"/>
  <c r="CG18" i="1"/>
  <c r="BG18" i="1"/>
  <c r="AM18" i="1"/>
  <c r="N18" i="1"/>
  <c r="FZ18" i="1"/>
  <c r="EZ18" i="1"/>
  <c r="EF18" i="1"/>
  <c r="DF18" i="1"/>
  <c r="CF18" i="1"/>
  <c r="BF18" i="1"/>
  <c r="AL18" i="1"/>
  <c r="M18" i="1"/>
  <c r="FY18" i="1"/>
  <c r="EY18" i="1"/>
  <c r="DY18" i="1"/>
  <c r="DE18" i="1"/>
  <c r="CE18" i="1"/>
  <c r="BE18" i="1"/>
  <c r="AK18" i="1"/>
  <c r="L18" i="1"/>
</calcChain>
</file>

<file path=xl/sharedStrings.xml><?xml version="1.0" encoding="utf-8"?>
<sst xmlns="http://schemas.openxmlformats.org/spreadsheetml/2006/main" count="304" uniqueCount="261">
  <si>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</si>
  <si>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</si>
  <si>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</si>
  <si>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</si>
  <si>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</si>
  <si>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</si>
  <si>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</si>
  <si>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</si>
  <si>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</si>
  <si>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</si>
  <si>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</si>
  <si>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</si>
  <si>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</si>
  <si>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</si>
  <si>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</si>
  <si>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</si>
  <si>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</si>
  <si>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</si>
  <si>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</si>
  <si>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</si>
  <si>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</si>
  <si>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</si>
  <si>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</si>
  <si>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</si>
  <si>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</si>
  <si>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</si>
  <si>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</si>
  <si>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</si>
  <si>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</si>
  <si>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</si>
  <si>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</si>
  <si>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</si>
  <si>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</si>
  <si>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</si>
  <si>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</si>
  <si>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</si>
  <si>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</si>
  <si>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</si>
  <si>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</si>
  <si>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</si>
  <si>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</si>
  <si>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</si>
  <si>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</si>
  <si>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</si>
  <si>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</si>
  <si>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</si>
  <si>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</si>
  <si>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</si>
  <si>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</si>
  <si>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</si>
  <si>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</si>
  <si>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</si>
  <si>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</si>
  <si>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</si>
  <si>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</si>
  <si>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</si>
  <si>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</si>
  <si>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</si>
  <si>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</si>
  <si>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</si>
  <si>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</si>
  <si>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</si>
  <si>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</si>
  <si>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</si>
  <si>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</si>
  <si>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</si>
  <si>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</si>
  <si>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</si>
  <si>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</si>
  <si>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</si>
  <si>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</si>
  <si>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</si>
  <si>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</si>
  <si>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</si>
  <si>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</si>
  <si>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</si>
  <si>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</si>
  <si>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</si>
  <si>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</si>
  <si>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</si>
  <si>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</si>
  <si>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</si>
  <si>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</si>
  <si>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</si>
  <si>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</si>
  <si>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</si>
  <si>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</si>
  <si>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</si>
  <si>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</si>
  <si>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</si>
  <si>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</si>
  <si>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</si>
  <si>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</si>
  <si>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</si>
  <si>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</si>
  <si>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</si>
  <si>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</si>
  <si>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</si>
  <si>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</si>
  <si>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</si>
  <si>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</si>
  <si>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</si>
  <si>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</si>
  <si>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</si>
  <si>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</si>
  <si>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</si>
  <si>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</si>
  <si>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</si>
  <si>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</si>
  <si>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</si>
  <si>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</si>
  <si>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</si>
  <si>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</si>
  <si>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</si>
  <si>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</si>
  <si>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</si>
  <si>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</si>
  <si>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</si>
  <si>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</si>
  <si>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</si>
  <si>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</si>
  <si>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</si>
  <si>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</si>
  <si>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</si>
  <si>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</si>
  <si>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</si>
  <si>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</si>
  <si>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</si>
  <si>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</si>
  <si>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</si>
  <si>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</si>
  <si>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</si>
  <si>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</si>
  <si>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</si>
  <si>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</si>
  <si>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</si>
  <si>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</si>
  <si>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</si>
  <si>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</si>
  <si>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</si>
  <si>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</si>
  <si>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</si>
  <si>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</si>
  <si>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</si>
  <si>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</si>
  <si>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</si>
  <si>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</si>
  <si>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</si>
  <si>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</si>
  <si>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</si>
  <si>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</si>
  <si>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</si>
  <si>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</si>
  <si>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</si>
  <si>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</si>
  <si>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</si>
  <si>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</si>
  <si>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</si>
  <si>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</si>
  <si>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</si>
  <si>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</si>
  <si>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</si>
  <si>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</si>
  <si>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</si>
  <si>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</si>
  <si>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</si>
  <si>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</si>
  <si>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</si>
  <si>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</si>
  <si>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</si>
  <si>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</si>
  <si>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</si>
  <si>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</si>
  <si>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</si>
  <si>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</si>
  <si>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</si>
  <si>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</si>
  <si>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</si>
  <si>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</si>
  <si>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</si>
  <si>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</si>
  <si>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</si>
  <si>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</si>
  <si>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</si>
  <si>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</si>
  <si>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</si>
  <si>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</si>
  <si>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</si>
  <si>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</si>
  <si>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</si>
  <si>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</si>
  <si>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</si>
  <si>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</si>
  <si>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</si>
  <si>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</si>
  <si>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</si>
  <si>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</si>
  <si>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</si>
  <si>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</si>
  <si>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</si>
  <si>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</si>
  <si>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</si>
  <si>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</si>
  <si>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</si>
  <si>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</si>
  <si>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</si>
  <si>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</si>
  <si>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</si>
  <si>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</si>
  <si>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</si>
  <si>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</si>
  <si>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</si>
  <si>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</si>
  <si>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</si>
  <si>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</si>
  <si>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</si>
  <si>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</si>
  <si>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</si>
  <si>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</si>
  <si>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</si>
  <si>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</si>
  <si>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</si>
  <si>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</si>
  <si>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</si>
  <si>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</si>
  <si>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</si>
  <si>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</si>
  <si>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</si>
  <si>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</si>
  <si>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</si>
  <si>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</si>
  <si>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</si>
  <si>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</si>
  <si>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</si>
  <si>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</si>
  <si>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</si>
  <si>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</si>
  <si>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</si>
  <si>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</si>
  <si>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</si>
  <si>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</si>
  <si>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</si>
  <si>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</si>
  <si>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</si>
  <si>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</si>
  <si>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</si>
  <si>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</si>
  <si>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</si>
  <si>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NH3 - combustion - air</t>
  </si>
  <si>
    <t>NH3 - non combustion - N- fertilizer production - air</t>
  </si>
  <si>
    <t>NH3 - agriculture - air</t>
  </si>
  <si>
    <t>NH3 - waste - air</t>
  </si>
  <si>
    <t>N - agriculture - water</t>
  </si>
  <si>
    <t>P - agriculture - soil</t>
  </si>
  <si>
    <t>P - agriculture - water</t>
  </si>
  <si>
    <t>N - waste - water</t>
  </si>
  <si>
    <t>P - waste - water</t>
  </si>
  <si>
    <t xml:space="preserve">Total N - agriculture </t>
  </si>
  <si>
    <t xml:space="preserve">Total NH3 - agriculture </t>
  </si>
  <si>
    <t>Share N - agriculture - water</t>
  </si>
  <si>
    <t>Share NH3 -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</si>
</sst>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21"/>
  <sheetViews>
    <sheetView tabSelected="1" topLeftCell="AY3" zoomScale="62" workbookViewId="0">
      <selection activeCell="B21" sqref="B21:BU21"/>
    </sheetView>
  </sheetViews>
  <sheetFormatPr baseColWidth="10" defaultColWidth="8.7265625" defaultRowHeight="14.5" x14ac:dyDescent="0.35"/>
  <cols>
    <col min="1" max="1" width="52.26953125" customWidth="1"/>
    <col min="2" max="2" width="12.08984375" bestFit="1" customWidth="1"/>
    <col min="3" max="4" width="11.81640625" bestFit="1" customWidth="1"/>
    <col min="5" max="5" width="12" bestFit="1" customWidth="1"/>
    <col min="6" max="6" width="11.81640625" bestFit="1" customWidth="1"/>
    <col min="7" max="7" width="12" bestFit="1" customWidth="1"/>
    <col min="8" max="12" width="11.81640625" bestFit="1" customWidth="1"/>
    <col min="13" max="13" width="12" bestFit="1" customWidth="1"/>
    <col min="14" max="16" width="11.81640625" bestFit="1" customWidth="1"/>
    <col min="17" max="18" width="8.90625" bestFit="1" customWidth="1"/>
    <col min="19" max="20" width="11.81640625" bestFit="1" customWidth="1"/>
    <col min="21" max="28" width="8.81640625" bestFit="1" customWidth="1"/>
  </cols>
  <sheetData>
    <row r="1" spans="1:201" x14ac:dyDescent="0.3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 x14ac:dyDescent="0.3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 x14ac:dyDescent="0.35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 x14ac:dyDescent="0.35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 x14ac:dyDescent="0.35">
      <c r="A5" s="1" t="s">
        <v>247</v>
      </c>
    </row>
    <row r="6" spans="1:201" x14ac:dyDescent="0.35">
      <c r="A6" s="1" t="s">
        <v>248</v>
      </c>
      <c r="B6">
        <v>43.740119592399999</v>
      </c>
      <c r="C6">
        <v>38396.559514499997</v>
      </c>
      <c r="D6">
        <v>20524.502816</v>
      </c>
      <c r="E6">
        <v>35799.170902099999</v>
      </c>
      <c r="F6">
        <v>12644.6704694</v>
      </c>
      <c r="G6">
        <v>4593.6873560200002</v>
      </c>
      <c r="H6">
        <v>93.770740804900001</v>
      </c>
      <c r="I6">
        <v>279.70054632300003</v>
      </c>
      <c r="J6">
        <v>15255.920824999999</v>
      </c>
      <c r="K6">
        <v>5255.1986597100004</v>
      </c>
      <c r="L6">
        <v>11957.937579900001</v>
      </c>
      <c r="M6">
        <v>1940.04563207</v>
      </c>
      <c r="N6">
        <v>595.95855521299995</v>
      </c>
      <c r="O6">
        <v>20294.177377299999</v>
      </c>
      <c r="P6">
        <v>28.2896659709</v>
      </c>
      <c r="Q6">
        <v>0</v>
      </c>
      <c r="R6">
        <v>0</v>
      </c>
      <c r="S6">
        <v>10345.813972800001</v>
      </c>
      <c r="T6">
        <v>10040.286888799999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565.24204168000006</v>
      </c>
      <c r="AD6">
        <v>6.1205188702999997</v>
      </c>
      <c r="AE6">
        <v>0</v>
      </c>
      <c r="AF6">
        <v>0</v>
      </c>
      <c r="AG6">
        <v>0.10908975062</v>
      </c>
      <c r="AH6">
        <v>0</v>
      </c>
      <c r="AI6">
        <v>0</v>
      </c>
      <c r="AJ6">
        <v>0</v>
      </c>
      <c r="AK6">
        <v>82.644531459299998</v>
      </c>
      <c r="AL6">
        <v>0</v>
      </c>
      <c r="AM6">
        <v>0</v>
      </c>
      <c r="AN6">
        <v>155.56742597499999</v>
      </c>
      <c r="AO6">
        <v>901.99247144699996</v>
      </c>
      <c r="AP6">
        <v>3741.2568456899999</v>
      </c>
      <c r="AQ6">
        <v>87.174767613499995</v>
      </c>
      <c r="AR6">
        <v>10437.3158473</v>
      </c>
      <c r="AS6">
        <v>3858.6595896399999</v>
      </c>
      <c r="AT6">
        <v>6398.3909991700002</v>
      </c>
      <c r="AU6">
        <v>876.94687302299997</v>
      </c>
      <c r="AV6">
        <v>93.324170268700001</v>
      </c>
      <c r="AW6">
        <v>33637.699895600002</v>
      </c>
      <c r="AX6">
        <v>28.290781427700001</v>
      </c>
      <c r="AY6">
        <v>2192.0657448900001</v>
      </c>
      <c r="AZ6">
        <v>35085.982375400003</v>
      </c>
      <c r="BA6">
        <v>22798.164006200001</v>
      </c>
      <c r="BB6">
        <v>2188.3093080399999</v>
      </c>
      <c r="BC6">
        <v>119.762292809</v>
      </c>
      <c r="BD6">
        <v>2347.4556985099998</v>
      </c>
      <c r="BE6">
        <v>834.40771642100003</v>
      </c>
      <c r="BF6">
        <v>2919.4017538500002</v>
      </c>
      <c r="BG6">
        <v>125154.015207</v>
      </c>
      <c r="BH6">
        <v>0</v>
      </c>
      <c r="BI6">
        <v>24334.332664900001</v>
      </c>
      <c r="BJ6">
        <v>0</v>
      </c>
      <c r="BK6">
        <v>31392.390220900001</v>
      </c>
      <c r="BL6">
        <v>7848.6353674499996</v>
      </c>
      <c r="BM6">
        <v>760.02684328199996</v>
      </c>
      <c r="BN6">
        <v>0</v>
      </c>
      <c r="BO6">
        <v>141.38353326000001</v>
      </c>
      <c r="BP6">
        <v>12922.1517196</v>
      </c>
      <c r="BQ6">
        <v>2.95813620234</v>
      </c>
      <c r="BR6">
        <v>0</v>
      </c>
      <c r="BS6">
        <v>7637.05504767</v>
      </c>
      <c r="BT6">
        <v>2.77884068427</v>
      </c>
      <c r="BU6">
        <v>17611.611668000001</v>
      </c>
      <c r="BV6">
        <v>3143.9498749499999</v>
      </c>
      <c r="BW6">
        <v>33.938728347000001</v>
      </c>
      <c r="BX6">
        <v>1280.17430947</v>
      </c>
      <c r="BY6">
        <v>262.01007450600002</v>
      </c>
      <c r="BZ6">
        <v>0.29232482586000003</v>
      </c>
      <c r="CA6">
        <v>1148.3793179100001</v>
      </c>
      <c r="CB6">
        <v>113.719039579</v>
      </c>
      <c r="CC6">
        <v>253.983980253</v>
      </c>
      <c r="CD6">
        <v>212.788139906</v>
      </c>
      <c r="CE6">
        <v>35.994103033499997</v>
      </c>
      <c r="CF6">
        <v>19.577147252700001</v>
      </c>
      <c r="CG6">
        <v>80.309954002400005</v>
      </c>
      <c r="CH6">
        <v>5084.6502563399999</v>
      </c>
      <c r="CI6">
        <v>47751.208017099998</v>
      </c>
      <c r="CJ6">
        <v>0</v>
      </c>
      <c r="CK6">
        <v>1138.27794277</v>
      </c>
      <c r="CL6">
        <v>1706.7171490400001</v>
      </c>
      <c r="CM6">
        <v>8973.3356176800007</v>
      </c>
      <c r="CN6">
        <v>16.859774380699999</v>
      </c>
      <c r="CO6">
        <v>124.07977272399999</v>
      </c>
      <c r="CP6">
        <v>10.144212512599999</v>
      </c>
      <c r="CQ6">
        <v>856.993165729</v>
      </c>
      <c r="CR6">
        <v>10.7007168802</v>
      </c>
      <c r="CS6">
        <v>10586.455062200001</v>
      </c>
      <c r="CT6">
        <v>5173.7251303399999</v>
      </c>
      <c r="CU6">
        <v>0</v>
      </c>
      <c r="CV6">
        <v>12236.5247648</v>
      </c>
      <c r="CW6">
        <v>4062.3079815299998</v>
      </c>
      <c r="CX6">
        <v>40977.800031300001</v>
      </c>
      <c r="CY6">
        <v>0</v>
      </c>
      <c r="CZ6">
        <v>9045.2254445899998</v>
      </c>
      <c r="DA6">
        <v>12863.2559076</v>
      </c>
      <c r="DB6">
        <v>0</v>
      </c>
      <c r="DC6">
        <v>52.427752881300002</v>
      </c>
      <c r="DD6">
        <v>0</v>
      </c>
      <c r="DE6">
        <v>300.78111638399997</v>
      </c>
      <c r="DF6">
        <v>0</v>
      </c>
      <c r="DG6">
        <v>57.207374091200002</v>
      </c>
      <c r="DH6">
        <v>0</v>
      </c>
      <c r="DI6">
        <v>1173.6233798400001</v>
      </c>
      <c r="DJ6">
        <v>0</v>
      </c>
      <c r="DK6">
        <v>28.730650782800002</v>
      </c>
      <c r="DL6">
        <v>0</v>
      </c>
      <c r="DM6">
        <v>9132.2821038700004</v>
      </c>
      <c r="DN6">
        <v>9335.0889457400008</v>
      </c>
      <c r="DO6">
        <v>6854.84878415</v>
      </c>
      <c r="DP6">
        <v>5054.1087543399999</v>
      </c>
      <c r="DQ6">
        <v>215.533776002</v>
      </c>
      <c r="DR6">
        <v>189.0131394</v>
      </c>
      <c r="DS6">
        <v>0</v>
      </c>
      <c r="DT6">
        <v>7131.6618491999998</v>
      </c>
      <c r="DU6">
        <v>4660.73705539</v>
      </c>
      <c r="DV6">
        <v>22202.438499</v>
      </c>
      <c r="DW6">
        <v>0</v>
      </c>
      <c r="DX6">
        <v>0</v>
      </c>
      <c r="DY6">
        <v>1347.0843966499999</v>
      </c>
      <c r="DZ6">
        <v>120798.327277</v>
      </c>
      <c r="EA6">
        <v>44.396693003700001</v>
      </c>
      <c r="EB6">
        <v>35.835679584499999</v>
      </c>
      <c r="EC6">
        <v>1.75313863791</v>
      </c>
      <c r="ED6">
        <v>23248.575253999999</v>
      </c>
      <c r="EE6">
        <v>6490.7964571800003</v>
      </c>
      <c r="EF6">
        <v>3.27445609699E-3</v>
      </c>
      <c r="EG6">
        <v>0</v>
      </c>
      <c r="EH6">
        <v>5.1866701712899997E-2</v>
      </c>
      <c r="EI6">
        <v>1.97664119744E-3</v>
      </c>
      <c r="EJ6">
        <v>0.102414841784</v>
      </c>
      <c r="EK6">
        <v>4.7804303135300001</v>
      </c>
      <c r="EL6">
        <v>12.5332030151</v>
      </c>
      <c r="EM6">
        <v>18.899295714000001</v>
      </c>
      <c r="EN6">
        <v>33.685743004800003</v>
      </c>
      <c r="EO6">
        <v>0</v>
      </c>
      <c r="EP6">
        <v>2.4824523669099998E-3</v>
      </c>
      <c r="EQ6">
        <v>54.347166311899997</v>
      </c>
      <c r="ER6">
        <v>14708.442703299999</v>
      </c>
      <c r="ES6">
        <v>272811.43676100002</v>
      </c>
      <c r="ET6">
        <v>4901.3505193999999</v>
      </c>
      <c r="EU6">
        <v>72040.676070999994</v>
      </c>
      <c r="EV6">
        <v>0</v>
      </c>
      <c r="EW6">
        <v>14065.0594642</v>
      </c>
      <c r="EX6">
        <v>233.54142945500001</v>
      </c>
      <c r="EY6">
        <v>164933.19680400001</v>
      </c>
      <c r="EZ6">
        <v>52600.404298300004</v>
      </c>
      <c r="FA6">
        <v>49453.077240799998</v>
      </c>
      <c r="FB6">
        <v>44123.770098499997</v>
      </c>
      <c r="FC6">
        <v>246585.153319</v>
      </c>
      <c r="FD6">
        <v>194.72995772300001</v>
      </c>
      <c r="FE6">
        <v>358662.14940400003</v>
      </c>
      <c r="FF6">
        <v>13310.394077999999</v>
      </c>
      <c r="FG6">
        <v>947798.25326100003</v>
      </c>
      <c r="FH6">
        <v>31169.728934399998</v>
      </c>
      <c r="FI6">
        <v>50776.094419900001</v>
      </c>
      <c r="FJ6">
        <v>10841.4644002</v>
      </c>
      <c r="FK6">
        <v>6143.2881533299997</v>
      </c>
      <c r="FL6">
        <v>2502.7185099100002</v>
      </c>
      <c r="FM6">
        <v>20988.430025199999</v>
      </c>
      <c r="FN6">
        <v>38971.437869699999</v>
      </c>
      <c r="FO6">
        <v>11745.841989799999</v>
      </c>
      <c r="FP6">
        <v>16586.0832968</v>
      </c>
      <c r="FQ6">
        <v>86365.534349099995</v>
      </c>
      <c r="FR6">
        <v>106019.852317</v>
      </c>
      <c r="FS6">
        <v>36317.819097699998</v>
      </c>
      <c r="FT6">
        <v>17614.6787841</v>
      </c>
      <c r="FU6">
        <v>4442.7341485300003</v>
      </c>
      <c r="FV6">
        <v>4531.1896163800002</v>
      </c>
      <c r="FW6">
        <v>1687.7356073399999</v>
      </c>
      <c r="FX6">
        <v>4408.6258550499997</v>
      </c>
      <c r="FY6">
        <v>949.66995145999999</v>
      </c>
      <c r="FZ6">
        <v>1266.22272922</v>
      </c>
      <c r="GA6">
        <v>4790.0897886100001</v>
      </c>
      <c r="GB6">
        <v>376.88756611399998</v>
      </c>
      <c r="GC6">
        <v>46.400325489399997</v>
      </c>
      <c r="GD6">
        <v>3216.8553674200002</v>
      </c>
      <c r="GE6">
        <v>5080.3267555000002</v>
      </c>
      <c r="GF6">
        <v>13.605571612</v>
      </c>
      <c r="GG6">
        <v>3136.4249468799999</v>
      </c>
      <c r="GH6">
        <v>4653.67417845</v>
      </c>
      <c r="GI6">
        <v>4083.3163547499998</v>
      </c>
      <c r="GJ6">
        <v>2332.97696976</v>
      </c>
      <c r="GK6">
        <v>636.17060120899998</v>
      </c>
      <c r="GL6">
        <v>9059.2553501900002</v>
      </c>
      <c r="GM6">
        <v>357.851751181</v>
      </c>
      <c r="GN6">
        <v>1096.8811299700001</v>
      </c>
      <c r="GO6">
        <v>7479.44249408</v>
      </c>
      <c r="GP6">
        <v>97010.937097400005</v>
      </c>
      <c r="GQ6">
        <v>4165.9162674400004</v>
      </c>
      <c r="GR6">
        <v>0</v>
      </c>
      <c r="GS6">
        <v>0</v>
      </c>
    </row>
    <row r="7" spans="1:201" x14ac:dyDescent="0.35">
      <c r="A7" s="1" t="s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 x14ac:dyDescent="0.35">
      <c r="A8" s="1" t="s">
        <v>250</v>
      </c>
      <c r="B8">
        <v>278817.56492400001</v>
      </c>
      <c r="C8">
        <v>80139368.007200003</v>
      </c>
      <c r="D8">
        <v>99362348.570600003</v>
      </c>
      <c r="E8">
        <v>12213701.822699999</v>
      </c>
      <c r="F8">
        <v>68720667.945899993</v>
      </c>
      <c r="G8">
        <v>12627705.4498</v>
      </c>
      <c r="H8">
        <v>1031078.71261</v>
      </c>
      <c r="I8">
        <v>95374.070177100002</v>
      </c>
      <c r="J8">
        <v>430036799.20099998</v>
      </c>
      <c r="K8">
        <v>77095124.105800003</v>
      </c>
      <c r="L8">
        <v>76576096.934</v>
      </c>
      <c r="M8">
        <v>44927047.027599998</v>
      </c>
      <c r="N8">
        <v>8442599.6704999991</v>
      </c>
      <c r="O8">
        <v>298254043.40899998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15076650.129899999</v>
      </c>
      <c r="BA8">
        <v>1368511.83213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x14ac:dyDescent="0.35">
      <c r="A9" s="1" t="s">
        <v>251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21.351339654499998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x14ac:dyDescent="0.35">
      <c r="A10" s="1" t="s">
        <v>252</v>
      </c>
      <c r="B10">
        <v>608495.49289999995</v>
      </c>
      <c r="C10">
        <v>217279952.42199999</v>
      </c>
      <c r="D10">
        <v>234341742.523</v>
      </c>
      <c r="E10">
        <v>31873989.963199999</v>
      </c>
      <c r="F10">
        <v>191211223.91</v>
      </c>
      <c r="G10">
        <v>47753503.969400004</v>
      </c>
      <c r="H10">
        <v>2445814.3366999999</v>
      </c>
      <c r="I10">
        <v>270620.64630000002</v>
      </c>
      <c r="J10">
        <v>43575901.957900003</v>
      </c>
      <c r="K10">
        <v>68354.297500000001</v>
      </c>
      <c r="L10">
        <v>95184.998999999996</v>
      </c>
      <c r="M10">
        <v>4317259.6366999997</v>
      </c>
      <c r="N10">
        <v>553220.34199999995</v>
      </c>
      <c r="O10">
        <v>37907162.804099999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2722208.0252</v>
      </c>
      <c r="BA10">
        <v>3788324.8407000001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x14ac:dyDescent="0.35">
      <c r="A11" s="1" t="s">
        <v>253</v>
      </c>
      <c r="B11">
        <v>174809.62409999999</v>
      </c>
      <c r="C11">
        <v>0</v>
      </c>
      <c r="D11">
        <v>34830193.613700002</v>
      </c>
      <c r="E11">
        <v>0</v>
      </c>
      <c r="F11">
        <v>0</v>
      </c>
      <c r="G11">
        <v>0</v>
      </c>
      <c r="H11">
        <v>1411482.3422000001</v>
      </c>
      <c r="I11">
        <v>28875.868600000002</v>
      </c>
      <c r="J11">
        <v>101563939.499</v>
      </c>
      <c r="K11">
        <v>83167.659100000004</v>
      </c>
      <c r="L11">
        <v>115812.9602</v>
      </c>
      <c r="M11">
        <v>8874505.6109999996</v>
      </c>
      <c r="N11">
        <v>1233515.9475</v>
      </c>
      <c r="O11">
        <v>35902487.899700001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3148394.7337000002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 x14ac:dyDescent="0.35">
      <c r="A12" s="1" t="s">
        <v>254</v>
      </c>
      <c r="B12">
        <v>5220.8847999999998</v>
      </c>
      <c r="C12">
        <v>0</v>
      </c>
      <c r="D12">
        <v>1040242.6517</v>
      </c>
      <c r="E12">
        <v>0</v>
      </c>
      <c r="F12">
        <v>0</v>
      </c>
      <c r="G12">
        <v>0</v>
      </c>
      <c r="H12">
        <v>42155.497300000003</v>
      </c>
      <c r="I12">
        <v>862.41010000000006</v>
      </c>
      <c r="J12">
        <v>3033320.5411999999</v>
      </c>
      <c r="K12">
        <v>2483.8951000000002</v>
      </c>
      <c r="L12">
        <v>3458.8834999999999</v>
      </c>
      <c r="M12">
        <v>265047.02649999998</v>
      </c>
      <c r="N12">
        <v>36840.3321</v>
      </c>
      <c r="O12">
        <v>1072267.9187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94030.326799999995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 x14ac:dyDescent="0.35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2804.9099000000001</v>
      </c>
      <c r="GH13">
        <v>146174.63519999999</v>
      </c>
      <c r="GI13">
        <v>10284362.738299999</v>
      </c>
      <c r="GJ13">
        <v>3570880.6247999999</v>
      </c>
      <c r="GK13">
        <v>6343982.4800000004</v>
      </c>
      <c r="GL13">
        <v>0</v>
      </c>
      <c r="GM13">
        <v>8654260.4974000007</v>
      </c>
      <c r="GN13">
        <v>1914538.0316999999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 x14ac:dyDescent="0.35">
      <c r="A14" s="1" t="s">
        <v>256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5043.4147000000003</v>
      </c>
      <c r="GH14">
        <v>262831.72859999997</v>
      </c>
      <c r="GI14">
        <v>60307.070899999999</v>
      </c>
      <c r="GJ14">
        <v>1539.9648</v>
      </c>
      <c r="GK14">
        <v>0</v>
      </c>
      <c r="GL14">
        <v>0</v>
      </c>
      <c r="GM14">
        <v>68.954999999999998</v>
      </c>
      <c r="GN14">
        <v>1505.2789</v>
      </c>
      <c r="GO14">
        <v>0</v>
      </c>
      <c r="GP14">
        <v>0</v>
      </c>
      <c r="GQ14">
        <v>0</v>
      </c>
      <c r="GR14">
        <v>0</v>
      </c>
      <c r="GS14">
        <v>0</v>
      </c>
    </row>
    <row r="17" spans="1:202" x14ac:dyDescent="0.35">
      <c r="A17" s="3" t="s">
        <v>257</v>
      </c>
      <c r="B17">
        <f>SUM(B10:GS10)</f>
        <v>818812960.16660011</v>
      </c>
    </row>
    <row r="18" spans="1:202" s="4" customFormat="1" x14ac:dyDescent="0.35">
      <c r="A18" s="5" t="s">
        <v>259</v>
      </c>
      <c r="B18" s="4">
        <f>B10*100/$B$17</f>
        <v>7.4314345583415306E-2</v>
      </c>
      <c r="C18" s="4">
        <f>C10*100/$B$17</f>
        <v>26.535968895483904</v>
      </c>
      <c r="D18" s="4">
        <f t="shared" ref="D18:BO18" si="0">D10*100/$B$17</f>
        <v>28.619691421996979</v>
      </c>
      <c r="E18" s="4">
        <f t="shared" si="0"/>
        <v>3.8927070666681609</v>
      </c>
      <c r="F18" s="4">
        <f t="shared" si="0"/>
        <v>23.352246875903763</v>
      </c>
      <c r="G18" s="4">
        <f t="shared" si="0"/>
        <v>5.8320405626803735</v>
      </c>
      <c r="H18" s="4">
        <f t="shared" si="0"/>
        <v>0.29870244557467207</v>
      </c>
      <c r="I18" s="4">
        <f t="shared" si="0"/>
        <v>3.3050361861021116E-2</v>
      </c>
      <c r="J18" s="4">
        <f t="shared" si="0"/>
        <v>5.3218383291141134</v>
      </c>
      <c r="K18" s="4">
        <f t="shared" si="0"/>
        <v>8.3479745467258202E-3</v>
      </c>
      <c r="L18" s="4">
        <f t="shared" si="0"/>
        <v>1.1624754813435433E-2</v>
      </c>
      <c r="M18" s="4">
        <f t="shared" si="0"/>
        <v>0.52725834185887666</v>
      </c>
      <c r="N18" s="4">
        <f t="shared" si="0"/>
        <v>6.756370122517831E-2</v>
      </c>
      <c r="O18" s="4">
        <f t="shared" si="0"/>
        <v>4.6295264789637915</v>
      </c>
      <c r="P18" s="4">
        <f t="shared" si="0"/>
        <v>0</v>
      </c>
      <c r="Q18" s="4">
        <f t="shared" si="0"/>
        <v>0</v>
      </c>
      <c r="R18" s="4">
        <f t="shared" si="0"/>
        <v>0</v>
      </c>
      <c r="S18" s="4">
        <f t="shared" si="0"/>
        <v>0</v>
      </c>
      <c r="T18" s="4">
        <f t="shared" si="0"/>
        <v>0</v>
      </c>
      <c r="U18" s="4">
        <f t="shared" si="0"/>
        <v>0</v>
      </c>
      <c r="V18" s="4">
        <f t="shared" si="0"/>
        <v>0</v>
      </c>
      <c r="W18" s="4">
        <f t="shared" si="0"/>
        <v>0</v>
      </c>
      <c r="X18" s="4">
        <f t="shared" si="0"/>
        <v>0</v>
      </c>
      <c r="Y18" s="4">
        <f t="shared" si="0"/>
        <v>0</v>
      </c>
      <c r="Z18" s="4">
        <f t="shared" si="0"/>
        <v>0</v>
      </c>
      <c r="AA18" s="4">
        <f t="shared" si="0"/>
        <v>0</v>
      </c>
      <c r="AB18" s="4">
        <f t="shared" si="0"/>
        <v>0</v>
      </c>
      <c r="AC18" s="4">
        <f t="shared" si="0"/>
        <v>0</v>
      </c>
      <c r="AD18" s="4">
        <f t="shared" si="0"/>
        <v>0</v>
      </c>
      <c r="AE18" s="4">
        <f t="shared" si="0"/>
        <v>0</v>
      </c>
      <c r="AF18" s="4">
        <f t="shared" si="0"/>
        <v>0</v>
      </c>
      <c r="AG18" s="4">
        <f t="shared" si="0"/>
        <v>0</v>
      </c>
      <c r="AH18" s="4">
        <f t="shared" si="0"/>
        <v>0</v>
      </c>
      <c r="AI18" s="4">
        <f t="shared" si="0"/>
        <v>0</v>
      </c>
      <c r="AJ18" s="4">
        <f t="shared" si="0"/>
        <v>0</v>
      </c>
      <c r="AK18" s="4">
        <f t="shared" si="0"/>
        <v>0</v>
      </c>
      <c r="AL18" s="4">
        <f t="shared" si="0"/>
        <v>0</v>
      </c>
      <c r="AM18" s="4">
        <f t="shared" si="0"/>
        <v>0</v>
      </c>
      <c r="AN18" s="4">
        <f t="shared" si="0"/>
        <v>0</v>
      </c>
      <c r="AO18" s="4">
        <f t="shared" si="0"/>
        <v>0</v>
      </c>
      <c r="AP18" s="4">
        <f t="shared" si="0"/>
        <v>0</v>
      </c>
      <c r="AQ18" s="4">
        <f t="shared" si="0"/>
        <v>0</v>
      </c>
      <c r="AR18" s="4">
        <f t="shared" si="0"/>
        <v>0</v>
      </c>
      <c r="AS18" s="4">
        <f t="shared" si="0"/>
        <v>0</v>
      </c>
      <c r="AT18" s="4">
        <f t="shared" si="0"/>
        <v>0</v>
      </c>
      <c r="AU18" s="4">
        <f t="shared" si="0"/>
        <v>0</v>
      </c>
      <c r="AV18" s="4">
        <f t="shared" si="0"/>
        <v>0</v>
      </c>
      <c r="AW18" s="4">
        <f t="shared" si="0"/>
        <v>0</v>
      </c>
      <c r="AX18" s="4">
        <f t="shared" si="0"/>
        <v>0</v>
      </c>
      <c r="AY18" s="4">
        <f t="shared" si="0"/>
        <v>0</v>
      </c>
      <c r="AZ18" s="4">
        <f t="shared" si="0"/>
        <v>0.33245785760964564</v>
      </c>
      <c r="BA18" s="4">
        <f t="shared" si="0"/>
        <v>0.46266058611593142</v>
      </c>
      <c r="BB18" s="4">
        <f t="shared" si="0"/>
        <v>0</v>
      </c>
      <c r="BC18" s="4">
        <f t="shared" si="0"/>
        <v>0</v>
      </c>
      <c r="BD18" s="4">
        <f t="shared" si="0"/>
        <v>0</v>
      </c>
      <c r="BE18" s="4">
        <f t="shared" si="0"/>
        <v>0</v>
      </c>
      <c r="BF18" s="4">
        <f t="shared" si="0"/>
        <v>0</v>
      </c>
      <c r="BG18" s="4">
        <f t="shared" si="0"/>
        <v>0</v>
      </c>
      <c r="BH18" s="4">
        <f t="shared" si="0"/>
        <v>0</v>
      </c>
      <c r="BI18" s="4">
        <f t="shared" si="0"/>
        <v>0</v>
      </c>
      <c r="BJ18" s="4">
        <f t="shared" si="0"/>
        <v>0</v>
      </c>
      <c r="BK18" s="4">
        <f t="shared" si="0"/>
        <v>0</v>
      </c>
      <c r="BL18" s="4">
        <f t="shared" si="0"/>
        <v>0</v>
      </c>
      <c r="BM18" s="4">
        <f t="shared" si="0"/>
        <v>0</v>
      </c>
      <c r="BN18" s="4">
        <f t="shared" si="0"/>
        <v>0</v>
      </c>
      <c r="BO18" s="4">
        <f t="shared" si="0"/>
        <v>0</v>
      </c>
      <c r="BP18" s="4">
        <f t="shared" ref="BP18:EA18" si="1">BP10*100/$B$17</f>
        <v>0</v>
      </c>
      <c r="BQ18" s="4">
        <f t="shared" si="1"/>
        <v>0</v>
      </c>
      <c r="BR18" s="4">
        <f t="shared" si="1"/>
        <v>0</v>
      </c>
      <c r="BS18" s="4">
        <f t="shared" si="1"/>
        <v>0</v>
      </c>
      <c r="BT18" s="4">
        <f t="shared" si="1"/>
        <v>0</v>
      </c>
      <c r="BU18" s="4">
        <f t="shared" si="1"/>
        <v>0</v>
      </c>
      <c r="BV18" s="4">
        <f t="shared" si="1"/>
        <v>0</v>
      </c>
      <c r="BW18" s="4">
        <f t="shared" si="1"/>
        <v>0</v>
      </c>
      <c r="BX18" s="4">
        <f t="shared" si="1"/>
        <v>0</v>
      </c>
      <c r="BY18" s="4">
        <f t="shared" si="1"/>
        <v>0</v>
      </c>
      <c r="BZ18" s="4">
        <f t="shared" si="1"/>
        <v>0</v>
      </c>
      <c r="CA18" s="4">
        <f t="shared" si="1"/>
        <v>0</v>
      </c>
      <c r="CB18" s="4">
        <f t="shared" si="1"/>
        <v>0</v>
      </c>
      <c r="CC18" s="4">
        <f t="shared" si="1"/>
        <v>0</v>
      </c>
      <c r="CD18" s="4">
        <f t="shared" si="1"/>
        <v>0</v>
      </c>
      <c r="CE18" s="4">
        <f t="shared" si="1"/>
        <v>0</v>
      </c>
      <c r="CF18" s="4">
        <f t="shared" si="1"/>
        <v>0</v>
      </c>
      <c r="CG18" s="4">
        <f t="shared" si="1"/>
        <v>0</v>
      </c>
      <c r="CH18" s="4">
        <f t="shared" si="1"/>
        <v>0</v>
      </c>
      <c r="CI18" s="4">
        <f t="shared" si="1"/>
        <v>0</v>
      </c>
      <c r="CJ18" s="4">
        <f t="shared" si="1"/>
        <v>0</v>
      </c>
      <c r="CK18" s="4">
        <f t="shared" si="1"/>
        <v>0</v>
      </c>
      <c r="CL18" s="4">
        <f t="shared" si="1"/>
        <v>0</v>
      </c>
      <c r="CM18" s="4">
        <f t="shared" si="1"/>
        <v>0</v>
      </c>
      <c r="CN18" s="4">
        <f t="shared" si="1"/>
        <v>0</v>
      </c>
      <c r="CO18" s="4">
        <f t="shared" si="1"/>
        <v>0</v>
      </c>
      <c r="CP18" s="4">
        <f t="shared" si="1"/>
        <v>0</v>
      </c>
      <c r="CQ18" s="4">
        <f t="shared" si="1"/>
        <v>0</v>
      </c>
      <c r="CR18" s="4">
        <f t="shared" si="1"/>
        <v>0</v>
      </c>
      <c r="CS18" s="4">
        <f t="shared" si="1"/>
        <v>0</v>
      </c>
      <c r="CT18" s="4">
        <f t="shared" si="1"/>
        <v>0</v>
      </c>
      <c r="CU18" s="4">
        <f t="shared" si="1"/>
        <v>0</v>
      </c>
      <c r="CV18" s="4">
        <f t="shared" si="1"/>
        <v>0</v>
      </c>
      <c r="CW18" s="4">
        <f t="shared" si="1"/>
        <v>0</v>
      </c>
      <c r="CX18" s="4">
        <f t="shared" si="1"/>
        <v>0</v>
      </c>
      <c r="CY18" s="4">
        <f t="shared" si="1"/>
        <v>0</v>
      </c>
      <c r="CZ18" s="4">
        <f t="shared" si="1"/>
        <v>0</v>
      </c>
      <c r="DA18" s="4">
        <f t="shared" si="1"/>
        <v>0</v>
      </c>
      <c r="DB18" s="4">
        <f t="shared" si="1"/>
        <v>0</v>
      </c>
      <c r="DC18" s="4">
        <f t="shared" si="1"/>
        <v>0</v>
      </c>
      <c r="DD18" s="4">
        <f t="shared" si="1"/>
        <v>0</v>
      </c>
      <c r="DE18" s="4">
        <f t="shared" si="1"/>
        <v>0</v>
      </c>
      <c r="DF18" s="4">
        <f t="shared" si="1"/>
        <v>0</v>
      </c>
      <c r="DG18" s="4">
        <f t="shared" si="1"/>
        <v>0</v>
      </c>
      <c r="DH18" s="4">
        <f t="shared" si="1"/>
        <v>0</v>
      </c>
      <c r="DI18" s="4">
        <f t="shared" si="1"/>
        <v>0</v>
      </c>
      <c r="DJ18" s="4">
        <f t="shared" si="1"/>
        <v>0</v>
      </c>
      <c r="DK18" s="4">
        <f t="shared" si="1"/>
        <v>0</v>
      </c>
      <c r="DL18" s="4">
        <f t="shared" si="1"/>
        <v>0</v>
      </c>
      <c r="DM18" s="4">
        <f t="shared" si="1"/>
        <v>0</v>
      </c>
      <c r="DN18" s="4">
        <f t="shared" si="1"/>
        <v>0</v>
      </c>
      <c r="DO18" s="4">
        <f t="shared" si="1"/>
        <v>0</v>
      </c>
      <c r="DP18" s="4">
        <f t="shared" si="1"/>
        <v>0</v>
      </c>
      <c r="DQ18" s="4">
        <f t="shared" si="1"/>
        <v>0</v>
      </c>
      <c r="DR18" s="4">
        <f t="shared" si="1"/>
        <v>0</v>
      </c>
      <c r="DS18" s="4">
        <f t="shared" si="1"/>
        <v>0</v>
      </c>
      <c r="DT18" s="4">
        <f t="shared" si="1"/>
        <v>0</v>
      </c>
      <c r="DU18" s="4">
        <f t="shared" si="1"/>
        <v>0</v>
      </c>
      <c r="DV18" s="4">
        <f t="shared" si="1"/>
        <v>0</v>
      </c>
      <c r="DW18" s="4">
        <f t="shared" si="1"/>
        <v>0</v>
      </c>
      <c r="DX18" s="4">
        <f t="shared" si="1"/>
        <v>0</v>
      </c>
      <c r="DY18" s="4">
        <f t="shared" si="1"/>
        <v>0</v>
      </c>
      <c r="DZ18" s="4">
        <f t="shared" si="1"/>
        <v>0</v>
      </c>
      <c r="EA18" s="4">
        <f t="shared" si="1"/>
        <v>0</v>
      </c>
      <c r="EB18" s="4">
        <f t="shared" ref="EB18:GM18" si="2">EB10*100/$B$17</f>
        <v>0</v>
      </c>
      <c r="EC18" s="4">
        <f t="shared" si="2"/>
        <v>0</v>
      </c>
      <c r="ED18" s="4">
        <f t="shared" si="2"/>
        <v>0</v>
      </c>
      <c r="EE18" s="4">
        <f t="shared" si="2"/>
        <v>0</v>
      </c>
      <c r="EF18" s="4">
        <f t="shared" si="2"/>
        <v>0</v>
      </c>
      <c r="EG18" s="4">
        <f t="shared" si="2"/>
        <v>0</v>
      </c>
      <c r="EH18" s="4">
        <f t="shared" si="2"/>
        <v>0</v>
      </c>
      <c r="EI18" s="4">
        <f t="shared" si="2"/>
        <v>0</v>
      </c>
      <c r="EJ18" s="4">
        <f t="shared" si="2"/>
        <v>0</v>
      </c>
      <c r="EK18" s="4">
        <f t="shared" si="2"/>
        <v>0</v>
      </c>
      <c r="EL18" s="4">
        <f t="shared" si="2"/>
        <v>0</v>
      </c>
      <c r="EM18" s="4">
        <f t="shared" si="2"/>
        <v>0</v>
      </c>
      <c r="EN18" s="4">
        <f t="shared" si="2"/>
        <v>0</v>
      </c>
      <c r="EO18" s="4">
        <f t="shared" si="2"/>
        <v>0</v>
      </c>
      <c r="EP18" s="4">
        <f t="shared" si="2"/>
        <v>0</v>
      </c>
      <c r="EQ18" s="4">
        <f t="shared" si="2"/>
        <v>0</v>
      </c>
      <c r="ER18" s="4">
        <f t="shared" si="2"/>
        <v>0</v>
      </c>
      <c r="ES18" s="4">
        <f t="shared" si="2"/>
        <v>0</v>
      </c>
      <c r="ET18" s="4">
        <f t="shared" si="2"/>
        <v>0</v>
      </c>
      <c r="EU18" s="4">
        <f t="shared" si="2"/>
        <v>0</v>
      </c>
      <c r="EV18" s="4">
        <f t="shared" si="2"/>
        <v>0</v>
      </c>
      <c r="EW18" s="4">
        <f t="shared" si="2"/>
        <v>0</v>
      </c>
      <c r="EX18" s="4">
        <f t="shared" si="2"/>
        <v>0</v>
      </c>
      <c r="EY18" s="4">
        <f t="shared" si="2"/>
        <v>0</v>
      </c>
      <c r="EZ18" s="4">
        <f t="shared" si="2"/>
        <v>0</v>
      </c>
      <c r="FA18" s="4">
        <f t="shared" si="2"/>
        <v>0</v>
      </c>
      <c r="FB18" s="4">
        <f t="shared" si="2"/>
        <v>0</v>
      </c>
      <c r="FC18" s="4">
        <f t="shared" si="2"/>
        <v>0</v>
      </c>
      <c r="FD18" s="4">
        <f t="shared" si="2"/>
        <v>0</v>
      </c>
      <c r="FE18" s="4">
        <f t="shared" si="2"/>
        <v>0</v>
      </c>
      <c r="FF18" s="4">
        <f t="shared" si="2"/>
        <v>0</v>
      </c>
      <c r="FG18" s="4">
        <f t="shared" si="2"/>
        <v>0</v>
      </c>
      <c r="FH18" s="4">
        <f t="shared" si="2"/>
        <v>0</v>
      </c>
      <c r="FI18" s="4">
        <f t="shared" si="2"/>
        <v>0</v>
      </c>
      <c r="FJ18" s="4">
        <f t="shared" si="2"/>
        <v>0</v>
      </c>
      <c r="FK18" s="4">
        <f t="shared" si="2"/>
        <v>0</v>
      </c>
      <c r="FL18" s="4">
        <f t="shared" si="2"/>
        <v>0</v>
      </c>
      <c r="FM18" s="4">
        <f t="shared" si="2"/>
        <v>0</v>
      </c>
      <c r="FN18" s="4">
        <f t="shared" si="2"/>
        <v>0</v>
      </c>
      <c r="FO18" s="4">
        <f t="shared" si="2"/>
        <v>0</v>
      </c>
      <c r="FP18" s="4">
        <f t="shared" si="2"/>
        <v>0</v>
      </c>
      <c r="FQ18" s="4">
        <f t="shared" si="2"/>
        <v>0</v>
      </c>
      <c r="FR18" s="4">
        <f t="shared" si="2"/>
        <v>0</v>
      </c>
      <c r="FS18" s="4">
        <f t="shared" si="2"/>
        <v>0</v>
      </c>
      <c r="FT18" s="4">
        <f t="shared" si="2"/>
        <v>0</v>
      </c>
      <c r="FU18" s="4">
        <f t="shared" si="2"/>
        <v>0</v>
      </c>
      <c r="FV18" s="4">
        <f t="shared" si="2"/>
        <v>0</v>
      </c>
      <c r="FW18" s="4">
        <f t="shared" si="2"/>
        <v>0</v>
      </c>
      <c r="FX18" s="4">
        <f t="shared" si="2"/>
        <v>0</v>
      </c>
      <c r="FY18" s="4">
        <f t="shared" si="2"/>
        <v>0</v>
      </c>
      <c r="FZ18" s="4">
        <f t="shared" si="2"/>
        <v>0</v>
      </c>
      <c r="GA18" s="4">
        <f t="shared" si="2"/>
        <v>0</v>
      </c>
      <c r="GB18" s="4">
        <f t="shared" si="2"/>
        <v>0</v>
      </c>
      <c r="GC18" s="4">
        <f t="shared" si="2"/>
        <v>0</v>
      </c>
      <c r="GD18" s="4">
        <f t="shared" si="2"/>
        <v>0</v>
      </c>
      <c r="GE18" s="4">
        <f t="shared" si="2"/>
        <v>0</v>
      </c>
      <c r="GF18" s="4">
        <f t="shared" si="2"/>
        <v>0</v>
      </c>
      <c r="GG18" s="4">
        <f t="shared" si="2"/>
        <v>0</v>
      </c>
      <c r="GH18" s="4">
        <f t="shared" si="2"/>
        <v>0</v>
      </c>
      <c r="GI18" s="4">
        <f t="shared" si="2"/>
        <v>0</v>
      </c>
      <c r="GJ18" s="4">
        <f t="shared" si="2"/>
        <v>0</v>
      </c>
      <c r="GK18" s="4">
        <f t="shared" si="2"/>
        <v>0</v>
      </c>
      <c r="GL18" s="4">
        <f t="shared" si="2"/>
        <v>0</v>
      </c>
      <c r="GM18" s="4">
        <f t="shared" si="2"/>
        <v>0</v>
      </c>
      <c r="GN18" s="4">
        <f t="shared" ref="GN18:GT18" si="3">GN10*100/$B$17</f>
        <v>0</v>
      </c>
      <c r="GO18" s="4">
        <f t="shared" si="3"/>
        <v>0</v>
      </c>
      <c r="GP18" s="4">
        <f t="shared" si="3"/>
        <v>0</v>
      </c>
      <c r="GQ18" s="4">
        <f t="shared" si="3"/>
        <v>0</v>
      </c>
      <c r="GR18" s="4">
        <f t="shared" si="3"/>
        <v>0</v>
      </c>
      <c r="GS18" s="4">
        <f t="shared" si="3"/>
        <v>0</v>
      </c>
      <c r="GT18" s="4">
        <f t="shared" si="3"/>
        <v>0</v>
      </c>
    </row>
    <row r="20" spans="1:202" x14ac:dyDescent="0.35">
      <c r="A20" s="3" t="s">
        <v>258</v>
      </c>
      <c r="B20">
        <f>SUM(B8:GS8)</f>
        <v>1226245934.4538412</v>
      </c>
    </row>
    <row r="21" spans="1:202" x14ac:dyDescent="0.35">
      <c r="A21" s="6" t="s">
        <v>260</v>
      </c>
      <c r="B21">
        <f>B8*100/$B$20</f>
        <v>2.2737491484380156E-2</v>
      </c>
      <c r="C21">
        <f t="shared" ref="C21:BN21" si="4">C8*100/$B$20</f>
        <v>6.5353421981287427</v>
      </c>
      <c r="D21">
        <f t="shared" si="4"/>
        <v>8.1029706830265731</v>
      </c>
      <c r="E21">
        <f t="shared" si="4"/>
        <v>0.99602383824741259</v>
      </c>
      <c r="F21">
        <f t="shared" si="4"/>
        <v>5.604150522750361</v>
      </c>
      <c r="G21">
        <f t="shared" si="4"/>
        <v>1.0297857138604309</v>
      </c>
      <c r="H21">
        <f t="shared" si="4"/>
        <v>8.4084169711782425E-2</v>
      </c>
      <c r="I21">
        <f t="shared" si="4"/>
        <v>7.7777277377542335E-3</v>
      </c>
      <c r="J21">
        <f t="shared" si="4"/>
        <v>35.069376143745131</v>
      </c>
      <c r="K21">
        <f t="shared" si="4"/>
        <v>6.2870849916527929</v>
      </c>
      <c r="L21">
        <f t="shared" si="4"/>
        <v>6.2447584764557273</v>
      </c>
      <c r="M21">
        <f t="shared" si="4"/>
        <v>3.6637876436760708</v>
      </c>
      <c r="N21">
        <f t="shared" si="4"/>
        <v>0.688491552411161</v>
      </c>
      <c r="O21">
        <f t="shared" si="4"/>
        <v>24.32253066281028</v>
      </c>
      <c r="P21">
        <f t="shared" si="4"/>
        <v>0</v>
      </c>
      <c r="Q21">
        <f t="shared" si="4"/>
        <v>0</v>
      </c>
      <c r="R21">
        <f t="shared" si="4"/>
        <v>0</v>
      </c>
      <c r="S21">
        <f t="shared" si="4"/>
        <v>0</v>
      </c>
      <c r="T21">
        <f t="shared" si="4"/>
        <v>0</v>
      </c>
      <c r="U21">
        <f t="shared" si="4"/>
        <v>0</v>
      </c>
      <c r="V21">
        <f t="shared" si="4"/>
        <v>0</v>
      </c>
      <c r="W21">
        <f t="shared" si="4"/>
        <v>0</v>
      </c>
      <c r="X21">
        <f t="shared" si="4"/>
        <v>0</v>
      </c>
      <c r="Y21">
        <f t="shared" si="4"/>
        <v>0</v>
      </c>
      <c r="Z21">
        <f t="shared" si="4"/>
        <v>0</v>
      </c>
      <c r="AA21">
        <f t="shared" si="4"/>
        <v>0</v>
      </c>
      <c r="AB21">
        <f t="shared" si="4"/>
        <v>0</v>
      </c>
      <c r="AC21">
        <f t="shared" si="4"/>
        <v>0</v>
      </c>
      <c r="AD21">
        <f t="shared" si="4"/>
        <v>0</v>
      </c>
      <c r="AE21">
        <f t="shared" si="4"/>
        <v>0</v>
      </c>
      <c r="AF21">
        <f t="shared" si="4"/>
        <v>0</v>
      </c>
      <c r="AG21">
        <f t="shared" si="4"/>
        <v>0</v>
      </c>
      <c r="AH21">
        <f t="shared" si="4"/>
        <v>0</v>
      </c>
      <c r="AI21">
        <f t="shared" si="4"/>
        <v>0</v>
      </c>
      <c r="AJ21">
        <f t="shared" si="4"/>
        <v>0</v>
      </c>
      <c r="AK21">
        <f t="shared" si="4"/>
        <v>0</v>
      </c>
      <c r="AL21">
        <f t="shared" si="4"/>
        <v>0</v>
      </c>
      <c r="AM21">
        <f t="shared" si="4"/>
        <v>0</v>
      </c>
      <c r="AN21">
        <f t="shared" si="4"/>
        <v>0</v>
      </c>
      <c r="AO21">
        <f t="shared" si="4"/>
        <v>0</v>
      </c>
      <c r="AP21">
        <f t="shared" si="4"/>
        <v>0</v>
      </c>
      <c r="AQ21">
        <f t="shared" si="4"/>
        <v>0</v>
      </c>
      <c r="AR21">
        <f t="shared" si="4"/>
        <v>0</v>
      </c>
      <c r="AS21">
        <f t="shared" si="4"/>
        <v>0</v>
      </c>
      <c r="AT21">
        <f t="shared" si="4"/>
        <v>0</v>
      </c>
      <c r="AU21">
        <f t="shared" si="4"/>
        <v>0</v>
      </c>
      <c r="AV21">
        <f t="shared" si="4"/>
        <v>0</v>
      </c>
      <c r="AW21">
        <f t="shared" si="4"/>
        <v>0</v>
      </c>
      <c r="AX21">
        <f t="shared" si="4"/>
        <v>0</v>
      </c>
      <c r="AY21">
        <f t="shared" si="4"/>
        <v>0</v>
      </c>
      <c r="AZ21">
        <f t="shared" si="4"/>
        <v>1.2294964416428424</v>
      </c>
      <c r="BA21">
        <f t="shared" si="4"/>
        <v>0.11160174265854123</v>
      </c>
      <c r="BB21">
        <f t="shared" si="4"/>
        <v>0</v>
      </c>
      <c r="BC21">
        <f t="shared" si="4"/>
        <v>0</v>
      </c>
      <c r="BD21">
        <f t="shared" si="4"/>
        <v>0</v>
      </c>
      <c r="BE21">
        <f t="shared" si="4"/>
        <v>0</v>
      </c>
      <c r="BF21">
        <f t="shared" si="4"/>
        <v>0</v>
      </c>
      <c r="BG21">
        <f t="shared" si="4"/>
        <v>0</v>
      </c>
      <c r="BH21">
        <f t="shared" si="4"/>
        <v>0</v>
      </c>
      <c r="BI21">
        <f t="shared" si="4"/>
        <v>0</v>
      </c>
      <c r="BJ21">
        <f t="shared" si="4"/>
        <v>0</v>
      </c>
      <c r="BK21">
        <f t="shared" si="4"/>
        <v>0</v>
      </c>
      <c r="BL21">
        <f t="shared" si="4"/>
        <v>0</v>
      </c>
      <c r="BM21">
        <f t="shared" si="4"/>
        <v>0</v>
      </c>
      <c r="BN21">
        <f t="shared" si="4"/>
        <v>0</v>
      </c>
      <c r="BO21">
        <f t="shared" ref="BO21:BU21" si="5">BO8*100/$B$20</f>
        <v>0</v>
      </c>
      <c r="BP21">
        <f t="shared" si="5"/>
        <v>0</v>
      </c>
      <c r="BQ21">
        <f t="shared" si="5"/>
        <v>0</v>
      </c>
      <c r="BR21">
        <f t="shared" si="5"/>
        <v>0</v>
      </c>
      <c r="BS21">
        <f t="shared" si="5"/>
        <v>0</v>
      </c>
      <c r="BT21">
        <f t="shared" si="5"/>
        <v>0</v>
      </c>
      <c r="BU21">
        <f t="shared" si="5"/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09156-DCA4-41D9-BFF0-13EDBBF70E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BEC8DC3-D771-4382-ABCE-FDDF3DFFB1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B6E3A3-9C53-4E47-BC58-8B7EDBDCC7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Destarac (Student at CentraleSupelec)</cp:lastModifiedBy>
  <dcterms:created xsi:type="dcterms:W3CDTF">2026-05-14T08:26:18Z</dcterms:created>
  <dcterms:modified xsi:type="dcterms:W3CDTF">2026-07-10T11:14:56Z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